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8460" tabRatio="600" firstSheet="0" activeTab="1" autoFilterDateGrouping="1"/>
  </bookViews>
  <sheets>
    <sheet name="单次交易" sheetId="1" state="visible" r:id="rId1"/>
    <sheet name="持仓跟踪" sheetId="2" state="visible" r:id="rId2"/>
    <sheet name="买入理由" sheetId="3" state="visible" r:id="rId3"/>
    <sheet name="多次统计数据" sheetId="4" state="visible" r:id="rId4"/>
    <sheet name="账户数据" sheetId="5" state="visible" r:id="rId5"/>
    <sheet name="目标收益" sheetId="6" state="visible" r:id="rId6"/>
    <sheet name="技术指标" sheetId="7" state="visible" r:id="rId7"/>
  </sheets>
  <definedNames>
    <definedName name="_AccountRiskLimit">账户数据!$B$7</definedName>
    <definedName name="_LockStatus">账户数据!$B$23</definedName>
    <definedName name="_TrackRule">持仓跟踪!$AC$2:$AC$501</definedName>
    <definedName name="_TrackTradeId">持仓跟踪!$B$2:$B$501</definedName>
    <definedName name="_TrackType">持仓跟踪!$A$2:$A$501</definedName>
    <definedName name="_TradeIds">单次交易!$A$2:$A$201</definedName>
    <definedName name="技术指标列表">技术指标!$A$2:$A$201</definedName>
  </definedNames>
  <calcPr calcId="18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\¥#,##0.00;[Red]\-\¥#,##0.00"/>
    <numFmt numFmtId="165" formatCode="yyyy\-mm\-dd"/>
  </numFmts>
  <fonts count="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sz val="9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b val="1"/>
      <color rgb="FFFFFFFF"/>
      <sz val="11"/>
    </font>
  </fonts>
  <fills count="8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7E6E6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2" fillId="0" borderId="0"/>
  </cellStyleXfs>
  <cellXfs count="5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0" pivotButton="0" quotePrefix="0" xfId="0"/>
    <xf numFmtId="2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164" fontId="4" fillId="3" borderId="1" applyAlignment="1" pivotButton="0" quotePrefix="0" xfId="0">
      <alignment vertical="top" wrapText="1"/>
    </xf>
    <xf numFmtId="0" fontId="5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  <xf numFmtId="10" fontId="0" fillId="3" borderId="2" applyAlignment="1" pivotButton="0" quotePrefix="0" xfId="0">
      <alignment vertical="top" wrapText="1"/>
    </xf>
    <xf numFmtId="10" fontId="0" fillId="4" borderId="2" applyAlignment="1" pivotButton="0" quotePrefix="0" xfId="0">
      <alignment vertical="top" wrapText="1"/>
    </xf>
    <xf numFmtId="10" fontId="0" fillId="6" borderId="2" applyAlignment="1" pivotButton="0" quotePrefix="0" xfId="0">
      <alignment vertical="top" wrapText="1"/>
    </xf>
    <xf numFmtId="1" fontId="0" fillId="7" borderId="2" applyAlignment="1" pivotButton="0" quotePrefix="0" xfId="0">
      <alignment vertical="top" wrapText="1"/>
    </xf>
    <xf numFmtId="1" fontId="0" fillId="6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164" fontId="0" fillId="7" borderId="2" applyAlignment="1" pivotButton="0" quotePrefix="0" xfId="0">
      <alignment vertical="top" wrapText="1"/>
    </xf>
    <xf numFmtId="10" fontId="0" fillId="7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0" fontId="5" fillId="5" borderId="2" applyAlignment="1" pivotButton="0" quotePrefix="0" xfId="0">
      <alignment horizontal="center" vertical="center" wrapText="1"/>
    </xf>
    <xf numFmtId="164" fontId="0" fillId="6" borderId="2" applyAlignment="1" pivotButton="0" quotePrefix="0" xfId="0">
      <alignment vertical="top" wrapText="1"/>
    </xf>
    <xf numFmtId="165" fontId="0" fillId="6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165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4" fontId="0" fillId="6" borderId="2" applyAlignment="1" pivotButton="0" quotePrefix="0" xfId="0">
      <alignment vertical="top" wrapText="1"/>
    </xf>
    <xf numFmtId="164" fontId="0" fillId="7" borderId="2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165" fontId="0" fillId="7" borderId="1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5" fontId="0" fillId="6" borderId="2" applyAlignment="1" pivotButton="0" quotePrefix="0" xfId="0">
      <alignment vertical="top" wrapText="1"/>
    </xf>
    <xf numFmtId="164" fontId="0" fillId="3" borderId="2" applyAlignment="1" pivotButton="0" quotePrefix="0" xfId="0">
      <alignment vertical="top" wrapText="1"/>
    </xf>
    <xf numFmtId="164" fontId="0" fillId="4" borderId="2" applyAlignment="1" pivotButton="0" quotePrefix="0" xfId="0">
      <alignment vertical="top" wrapText="1"/>
    </xf>
  </cellXfs>
  <cellStyles count="1">
    <cellStyle name="常规" xfId="0" builtinId="0"/>
  </cellStyles>
  <dxfs count="26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Codex</author>
  </authors>
  <commentList>
    <comment ref="C1" authorId="0" shapeId="0">
      <text>
        <t>开仓时从“账户数据”的当前总金额复制，并粘贴为数值；不要保留公式。</t>
      </text>
    </comment>
    <comment ref="D1" authorId="0" shapeId="0">
      <text>
        <t>开仓时从“账户数据”的单次交易允许亏损比例复制，并粘贴为数值。</t>
      </text>
    </comment>
    <comment ref="F1" authorId="0" shapeId="0">
      <text>
        <t>按账户快照、本次风险比例和止损距离计算；仅作仓位建议。</t>
      </text>
    </comment>
    <comment ref="G1" authorId="0" shapeId="0">
      <text>
        <t>开仓前必须在“持仓跟踪”填写至少一条规则有效的止损计划；同时检查连续亏损锁仓和原有风险额度。</t>
      </text>
    </comment>
    <comment ref="H1" authorId="0" shapeId="0">
      <text>
        <t>手动填写实际成交股数；后续盈亏、收益率和统计均引用此列。</t>
      </text>
    </comment>
    <comment ref="L1" authorId="0" shapeId="0">
      <text>
        <t>卖出股数由“持仓跟踪”同步，按累计买入股数一次性全部卖出。</t>
      </text>
    </comment>
    <comment ref="AE1" authorId="0" shapeId="0">
      <text>
        <t>实际盈亏金额÷买入时账户金额快照；用于账户口径统计与逐笔复利。</t>
      </text>
    </comment>
    <comment ref="AG1" authorId="0" shapeId="0">
      <text>
        <t>开仓前必选：短期博反弹、突破冲新高或趋势波段。同时必须选择预期持有周期并填写选择理由。</t>
      </text>
    </comment>
    <comment ref="AK1" authorId="0" shapeId="0">
      <text>
        <t>需要第二批时先填价格，再填股数；股数录入时会检查锁仓和风险上限。</t>
      </text>
    </comment>
    <comment ref="AM1" authorId="0" shapeId="0">
      <text>
        <t>第三批必须在第二批完整后填写，同样采用先价格、后股数。</t>
      </text>
    </comment>
    <comment ref="AR1" authorId="0" shapeId="0">
      <text>
        <t>持续审计价格股数配对、批次顺序、整手、锁仓及风险上限；粘贴绕过验证时仍会显示违规。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同一张表同时记录止损计划和每日跟踪；先选择记录类型，再填写对应的蓝色输入列。</t>
      </text>
    </comment>
    <comment ref="S1" authorId="0" shapeId="0">
      <text>
        <t>当前有效止损取初始止损、已激活计划止损和历次人工上调止损的最大值，只升不降。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可在本列继续添加或修改指标；买入理由页的三个下拉框会引用A2:A201。</t>
      </text>
    </comment>
  </commentList>
</comments>
</file>

<file path=xl/tables/table1.xml><?xml version="1.0" encoding="utf-8"?>
<table xmlns="http://schemas.openxmlformats.org/spreadsheetml/2006/main" id="1" name="TradeRecords" displayName="TradeRecords" ref="A1:AR201" headerRowCount="1">
  <autoFilter ref="A1:AR201"/>
  <tableColumns count="44">
    <tableColumn id="1" name="交易编号"/>
    <tableColumn id="2" name="股票代码"/>
    <tableColumn id="3" name="买入时账户金额"/>
    <tableColumn id="4" name="本次允许亏损比例"/>
    <tableColumn id="5" name="第一批买入价"/>
    <tableColumn id="6" name="买入建议股数">
      <calculatedColumnFormula>IF(OR(C2="",D2="",E2="",N2="",C2&lt;=0,D2&lt;=0,E2&lt;=N2),"",ROUNDDOWN((C2*D2)/(E2-N2)/100,0)*100)</calculatedColumnFormula>
    </tableColumn>
    <tableColumn id="7" name="开仓风险告警">
      <calculatedColumnFormula>IF(OR(A2="",F2="",E2="",N2="",E2&lt;=N2,账户数据!$B$7=""),"",IF(账户数据!$B$9+IF(H2="",F2*(E2-N2),0)&gt;=账户数据!$B$7,"禁止开仓","允许开仓"))</calculatedColumnFormula>
    </tableColumn>
    <tableColumn id="8" name="第一批买入股数"/>
    <tableColumn id="9" name="首次买入日期"/>
    <tableColumn id="10" name="期望卖出价"/>
    <tableColumn id="11" name="实际卖出价"/>
    <tableColumn id="12" name="卖出股数">
      <calculatedColumnFormula>IF(K2="","",H2)</calculatedColumnFormula>
    </tableColumn>
    <tableColumn id="13" name="卖出日期"/>
    <tableColumn id="14" name="止损价"/>
    <tableColumn id="15" name="买入总费用"/>
    <tableColumn id="16" name="卖出费用"/>
    <tableColumn id="17" name="买入价的由来"/>
    <tableColumn id="18" name="止损价的由来"/>
    <tableColumn id="19" name="期望卖出价的由来"/>
    <tableColumn id="20" name="实际卖出价的由来"/>
    <tableColumn id="21" name="期望盈利比例">
      <calculatedColumnFormula>IF(OR(E2="",J2="",E2&lt;=0),"",(J2-E2)/E2)</calculatedColumnFormula>
    </tableColumn>
    <tableColumn id="22" name="期望止损比例">
      <calculatedColumnFormula>IF(OR(E2="",N2="",E2&lt;=0),"",(E2-N2)/E2)</calculatedColumnFormula>
    </tableColumn>
    <tableColumn id="23" name="盈亏比">
      <calculatedColumnFormula>IF(OR(U2="",V2="",V2&lt;=0),"",U2/V2)</calculatedColumnFormula>
    </tableColumn>
    <tableColumn id="24" name="实际盈亏金额">
      <calculatedColumnFormula>IF(OR(K2="",L2="",E2="",H2=""),"",K2*L2-E2*H2-IF(O2="",0,O2)-IF(P2="",0,P2))</calculatedColumnFormula>
    </tableColumn>
    <tableColumn id="25" name="单笔仓位收益率">
      <calculatedColumnFormula>IF(OR(X2="",E2="",H2=""),"",IF(E2*H2+IF(O2="",0,O2)&lt;=0,"",X2/(E2*H2+IF(O2="",0,O2))))</calculatedColumnFormula>
    </tableColumn>
    <tableColumn id="26" name="账户收益率与平均盈利率差值">
      <calculatedColumnFormula>IF(OR(AE2="",多次统计数据!$B$8=""),"",AE2-多次统计数据!$B$8)</calculatedColumnFormula>
    </tableColumn>
    <tableColumn id="27" name="持有天数">
      <calculatedColumnFormula>IF(OR(I2="",M2="",M2&lt;I2),"",M2-I2)</calculatedColumnFormula>
    </tableColumn>
    <tableColumn id="28" name="复利容许平均亏损上限">
      <calculatedColumnFormula>IF(OR(A2="",多次统计数据!$B$8="",多次统计数据!$B$6&lt;=0,多次统计数据!$B$6&gt;=1),"",1-POWER(1+多次统计数据!$B$8,-多次统计数据!$B$6/(1-多次统计数据!$B$6)))</calculatedColumnFormula>
    </tableColumn>
    <tableColumn id="29" name="复利风险判断">
      <calculatedColumnFormula>IF(OR(AB2="",多次统计数据!$B$9=""),"",IF(多次统计数据!$B$9&lt;AB2,"低于上限","达到或超过上限"))</calculatedColumnFormula>
    </tableColumn>
    <tableColumn id="30" name="交易打分评价"/>
    <tableColumn id="31" name="实际账户收益率">
      <calculatedColumnFormula>IF(OR(X2="",C2="",C2&lt;=0),"",X2/C2)</calculatedColumnFormula>
    </tableColumn>
    <tableColumn id="32" name="列1"/>
    <tableColumn id="33" name="交易预期类型"/>
    <tableColumn id="34" name="预期持有周期"/>
    <tableColumn id="35" name="预期选择理由"/>
    <tableColumn id="36" name="周期匹配检查"/>
    <tableColumn id="37" name="第二批买入价"/>
    <tableColumn id="38" name="第二批买入股数"/>
    <tableColumn id="39" name="第三批买入价"/>
    <tableColumn id="40" name="第三批买入股数"/>
    <tableColumn id="41" name="实际加权买入价"/>
    <tableColumn id="42" name="累计买入股数"/>
    <tableColumn id="43" name="当前持仓风险"/>
    <tableColumn id="44" name="分仓规则检查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sitionTracking" displayName="PositionTracking" ref="A1:AC501" headerRowCount="1">
  <autoFilter ref="A1:AC501"/>
  <tableColumns count="29">
    <tableColumn id="1" name="记录类型"/>
    <tableColumn id="2" name="交易编号"/>
    <tableColumn id="3" name="股票代码"/>
    <tableColumn id="4" name="止损阶段序号"/>
    <tableColumn id="5" name="激活价"/>
    <tableColumn id="6" name="激活后止损价"/>
    <tableColumn id="7" name="止损依据"/>
    <tableColumn id="8" name="记录日期"/>
    <tableColumn id="9" name="收盘价"/>
    <tableColumn id="10" name="成交量"/>
    <tableColumn id="11" name="量价分析"/>
    <tableColumn id="12" name="当前阶段"/>
    <tableColumn id="13" name="阶段判断理由"/>
    <tableColumn id="14" name="初始止损"/>
    <tableColumn id="15" name="历史最高收盘价"/>
    <tableColumn id="16" name="已激活止损阶段"/>
    <tableColumn id="17" name="当前计划止损"/>
    <tableColumn id="18" name="人工上调止损"/>
    <tableColumn id="19" name="当前有效止损"/>
    <tableColumn id="20" name="下一阶段激活价"/>
    <tableColumn id="21" name="下一阶段止损价"/>
    <tableColumn id="22" name="距离下一阶段涨幅"/>
    <tableColumn id="23" name="止损判断"/>
    <tableColumn id="24" name="卖出动作"/>
    <tableColumn id="25" name="实际卖出价"/>
    <tableColumn id="26" name="实际卖出股数"/>
    <tableColumn id="27" name="卖出费用"/>
    <tableColumn id="28" name="执行检查"/>
    <tableColumn id="29" name="规则检查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radeReasonLog" displayName="TradeReasonLog" ref="A1:L501" headerRowCount="1">
  <autoFilter ref="A1:L501"/>
  <tableColumns count="12">
    <tableColumn id="1" name="交易编号"/>
    <tableColumn id="2" name="股票代码"/>
    <tableColumn id="3" name="所属板块"/>
    <tableColumn id="4" name="阶段"/>
    <tableColumn id="5" name="记录日期"/>
    <tableColumn id="6" name="技术指标1"/>
    <tableColumn id="7" name="技术指标2"/>
    <tableColumn id="8" name="技术指标3"/>
    <tableColumn id="9" name="综述"/>
    <tableColumn id="10" name="列1"/>
    <tableColumn id="11" name="列2"/>
    <tableColumn id="12" name="列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echnicalIndicatorCatalog" displayName="TechnicalIndicatorCatalog" ref="A1:C201" headerRowCount="1">
  <autoFilter ref="A1:C201"/>
  <tableColumns count="3">
    <tableColumn id="1" name="技术指标"/>
    <tableColumn id="2" name="分类"/>
    <tableColumn id="3" name="说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1"/>
  <sheetViews>
    <sheetView topLeftCell="A97" zoomScale="115" zoomScaleNormal="115" workbookViewId="0">
      <pane xSplit="2" topLeftCell="C1" activePane="topRight" state="frozen"/>
      <selection pane="topRight" activeCell="I105" sqref="I105"/>
    </sheetView>
  </sheetViews>
  <sheetFormatPr baseColWidth="8" defaultColWidth="9" defaultRowHeight="13.5"/>
  <cols>
    <col width="14" customWidth="1" min="1" max="2"/>
    <col width="17" customWidth="1" min="3" max="3"/>
    <col width="18" customWidth="1" min="4" max="4"/>
    <col width="14" customWidth="1" min="5" max="5"/>
    <col width="16" customWidth="1" min="6" max="8"/>
    <col width="13" customWidth="1" min="9" max="9"/>
    <col width="14.375" customWidth="1" min="10" max="10"/>
    <col width="15" customWidth="1" min="11" max="11"/>
    <col width="14" customWidth="1" min="12" max="12"/>
    <col width="13" customWidth="1" min="13" max="13"/>
    <col width="14" customWidth="1" min="14" max="16"/>
    <col width="24" customWidth="1" min="17" max="20"/>
    <col width="14" customWidth="1" min="21" max="27"/>
    <col width="22" customWidth="1" min="28" max="28"/>
    <col width="18" customWidth="1" min="29" max="31"/>
    <col width="20" customWidth="1" min="32" max="32"/>
    <col width="18" customWidth="1" min="33" max="33"/>
    <col width="20" customWidth="1" min="34" max="34"/>
    <col width="42" customWidth="1" min="35" max="35"/>
    <col width="32" customWidth="1" min="36" max="36"/>
    <col width="16" customWidth="1" min="37" max="37"/>
    <col width="18" customWidth="1" min="38" max="38"/>
    <col width="16" customWidth="1" min="39" max="39"/>
    <col width="18" customWidth="1" min="40" max="43"/>
    <col width="28" customWidth="1" min="44" max="44"/>
  </cols>
  <sheetData>
    <row r="1" ht="42" customHeight="1">
      <c r="A1" s="1" t="inlineStr">
        <is>
          <t>交易编号</t>
        </is>
      </c>
      <c r="B1" s="1" t="inlineStr">
        <is>
          <t>股票代码</t>
        </is>
      </c>
      <c r="C1" s="1" t="inlineStr">
        <is>
          <t>买入时账户金额</t>
        </is>
      </c>
      <c r="D1" s="1" t="inlineStr">
        <is>
          <t>本次允许亏损比例</t>
        </is>
      </c>
      <c r="E1" s="1" t="inlineStr">
        <is>
          <t>第一批买入价</t>
        </is>
      </c>
      <c r="F1" s="1" t="inlineStr">
        <is>
          <t>买入建议股数</t>
        </is>
      </c>
      <c r="G1" s="1" t="inlineStr">
        <is>
          <t>开仓风险告警</t>
        </is>
      </c>
      <c r="H1" s="1" t="inlineStr">
        <is>
          <t>第一批买入股数</t>
        </is>
      </c>
      <c r="I1" s="1" t="inlineStr">
        <is>
          <t>首次买入日期</t>
        </is>
      </c>
      <c r="J1" s="1" t="inlineStr">
        <is>
          <t>期望卖出价</t>
        </is>
      </c>
      <c r="K1" s="1" t="inlineStr">
        <is>
          <t>实际卖出价</t>
        </is>
      </c>
      <c r="L1" s="1" t="inlineStr">
        <is>
          <t>卖出股数</t>
        </is>
      </c>
      <c r="M1" s="1" t="inlineStr">
        <is>
          <t>卖出日期</t>
        </is>
      </c>
      <c r="N1" s="1" t="inlineStr">
        <is>
          <t>止损价</t>
        </is>
      </c>
      <c r="O1" s="1" t="inlineStr">
        <is>
          <t>买入总费用</t>
        </is>
      </c>
      <c r="P1" s="1" t="inlineStr">
        <is>
          <t>卖出费用</t>
        </is>
      </c>
      <c r="Q1" s="1" t="inlineStr">
        <is>
          <t>买入价的由来</t>
        </is>
      </c>
      <c r="R1" s="1" t="inlineStr">
        <is>
          <t>止损价的由来</t>
        </is>
      </c>
      <c r="S1" s="1" t="inlineStr">
        <is>
          <t>期望卖出价的由来</t>
        </is>
      </c>
      <c r="T1" s="1" t="inlineStr">
        <is>
          <t>实际卖出价的由来</t>
        </is>
      </c>
      <c r="U1" s="1" t="inlineStr">
        <is>
          <t>期望盈利比例</t>
        </is>
      </c>
      <c r="V1" s="1" t="inlineStr">
        <is>
          <t>期望止损比例</t>
        </is>
      </c>
      <c r="W1" s="1" t="inlineStr">
        <is>
          <t>盈亏比</t>
        </is>
      </c>
      <c r="X1" s="1" t="inlineStr">
        <is>
          <t>实际盈亏金额</t>
        </is>
      </c>
      <c r="Y1" s="1" t="inlineStr">
        <is>
          <t>单笔仓位收益率</t>
        </is>
      </c>
      <c r="Z1" s="1" t="inlineStr">
        <is>
          <t>账户收益率与平均盈利率差值</t>
        </is>
      </c>
      <c r="AA1" s="1" t="inlineStr">
        <is>
          <t>持有天数</t>
        </is>
      </c>
      <c r="AB1" s="1" t="inlineStr">
        <is>
          <t>复利容许平均亏损上限</t>
        </is>
      </c>
      <c r="AC1" s="1" t="inlineStr">
        <is>
          <t>复利风险判断</t>
        </is>
      </c>
      <c r="AD1" s="1" t="inlineStr">
        <is>
          <t>交易打分评价</t>
        </is>
      </c>
      <c r="AE1" s="1" t="inlineStr">
        <is>
          <t>实际账户收益率</t>
        </is>
      </c>
      <c r="AF1" t="inlineStr">
        <is>
          <t>列1</t>
        </is>
      </c>
      <c r="AG1" s="35" t="inlineStr">
        <is>
          <t>交易预期类型</t>
        </is>
      </c>
      <c r="AH1" s="35" t="inlineStr">
        <is>
          <t>预期持有周期</t>
        </is>
      </c>
      <c r="AI1" s="35" t="inlineStr">
        <is>
          <t>预期选择理由</t>
        </is>
      </c>
      <c r="AJ1" s="35" t="inlineStr">
        <is>
          <t>周期匹配检查</t>
        </is>
      </c>
      <c r="AK1" s="35" t="inlineStr">
        <is>
          <t>第二批买入价</t>
        </is>
      </c>
      <c r="AL1" s="35" t="inlineStr">
        <is>
          <t>第二批买入股数</t>
        </is>
      </c>
      <c r="AM1" s="35" t="inlineStr">
        <is>
          <t>第三批买入价</t>
        </is>
      </c>
      <c r="AN1" s="35" t="inlineStr">
        <is>
          <t>第三批买入股数</t>
        </is>
      </c>
      <c r="AO1" s="35" t="inlineStr">
        <is>
          <t>实际加权买入价</t>
        </is>
      </c>
      <c r="AP1" s="35" t="inlineStr">
        <is>
          <t>累计买入股数</t>
        </is>
      </c>
      <c r="AQ1" s="35" t="inlineStr">
        <is>
          <t>当前持仓风险</t>
        </is>
      </c>
      <c r="AR1" s="35" t="inlineStr">
        <is>
          <t>分仓规则检查</t>
        </is>
      </c>
    </row>
    <row r="2">
      <c r="A2" s="2" t="n">
        <v>1</v>
      </c>
      <c r="B2" s="2" t="inlineStr">
        <is>
          <t>长电科技</t>
        </is>
      </c>
      <c r="C2" s="40" t="n">
        <v>100000</v>
      </c>
      <c r="D2" s="6" t="n">
        <v>0.02</v>
      </c>
      <c r="E2" s="40" t="n">
        <v>24</v>
      </c>
      <c r="F2" s="8">
        <f>IF(OR(C2="",D2="",E2="",N2="",C2&lt;=0,D2&lt;=0,E2&lt;=N2),"",ROUNDDOWN((C2*D2)/(E2-N2)/100,0)*100)</f>
        <v/>
      </c>
      <c r="G2" s="8">
        <f>IF(A2="","",IF(H2&lt;&gt;"","已开仓",IF(账户数据!$B$23="已锁仓","禁止开仓：连续亏损达到上限",IF(账户数据!$B$23="解锁信息不完整","禁止开仓：请完整填写解锁信息",IF(OR(F2="",E2="",N2="",E2&lt;=N2,账户数据!$B$7=""),"",IF(OR(AG2="",AH2="",AI2=""),"禁止开仓：交易预期未填写完整",IF(COUNTIFS(持仓跟踪!$A$2:$A$501,"止损计划",持仓跟踪!$B$2:$B$501,A2,持仓跟踪!$AC$2:$AC$501,"计划有效")=0,"禁止开仓：请先填写止损计划",IF(账户数据!$B$9+F2*(E2-N2)&gt;=账户数据!$B$7,"禁止开仓：风险额度不足",IF(AJ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" s="2" t="n">
        <v>4000</v>
      </c>
      <c r="I2" s="41" t="n">
        <v>44701</v>
      </c>
      <c r="J2" s="40" t="n">
        <v>25</v>
      </c>
      <c r="K2" s="40" t="n">
        <v>22.97</v>
      </c>
      <c r="L2" s="8">
        <f>IF(K2="","",H2)</f>
        <v/>
      </c>
      <c r="M2" s="41" t="n">
        <v>44705</v>
      </c>
      <c r="N2" s="40" t="n">
        <v>23.5</v>
      </c>
      <c r="O2" s="40" t="n"/>
      <c r="P2" s="40" t="n"/>
      <c r="Q2" s="2" t="n"/>
      <c r="R2" s="2" t="inlineStr">
        <is>
          <t>之前的支撑位</t>
        </is>
      </c>
      <c r="S2" s="2" t="inlineStr">
        <is>
          <t>之前的压力位</t>
        </is>
      </c>
      <c r="T2" s="2" t="n"/>
      <c r="U2" s="7">
        <f>IF(OR(AO2="",J2="",AO2&lt;=0),"",(J2-AO2)/AO2)</f>
        <v/>
      </c>
      <c r="V2" s="7">
        <f>IF(OR(AO2="",N2="",AO2&lt;=0),"",(AO2-N2)/AO2)</f>
        <v/>
      </c>
      <c r="W2" s="13">
        <f>IF(OR(U2="",V2="",V2&lt;=0),"",U2/V2)</f>
        <v/>
      </c>
      <c r="X2" s="42">
        <f>IF(OR(K2="",L2="",AP2=""),"",K2*L2-(E2*H2+IF(AND(AK2&lt;&gt;"",AL2&lt;&gt;""),AK2*AL2,0)+IF(AND(AM2&lt;&gt;"",AN2&lt;&gt;""),AM2*AN2,0))-IF(O2="",0,O2)-IF(P2="",0,P2))</f>
        <v/>
      </c>
      <c r="Y2" s="7">
        <f>IF(OR(X2="",AP2=""),"",IF((E2*H2+IF(AND(AK2&lt;&gt;"",AL2&lt;&gt;""),AK2*AL2,0)+IF(AND(AM2&lt;&gt;"",AN2&lt;&gt;""),AM2*AN2,0))+IF(O2="",0,O2)&lt;=0,"",X2/((E2*H2+IF(AND(AK2&lt;&gt;"",AL2&lt;&gt;""),AK2*AL2,0)+IF(AND(AM2&lt;&gt;"",AN2&lt;&gt;""),AM2*AN2,0))+IF(O2="",0,O2))))</f>
        <v/>
      </c>
      <c r="Z2" s="7">
        <f>IF(OR(AE2="",多次统计数据!$B$8=""),"",AE2-多次统计数据!$B$8)</f>
        <v/>
      </c>
      <c r="AA2" s="14">
        <f>IF(OR(I2="",M2="",M2&lt;I2),"",M2-I2)</f>
        <v/>
      </c>
      <c r="AB2" s="7">
        <f>IF(OR(A2="",多次统计数据!$B$8="",多次统计数据!$B$6&lt;=0,多次统计数据!$B$6&gt;=1),"",1-POWER(1+多次统计数据!$B$8,-多次统计数据!$B$6/(1-多次统计数据!$B$6)))</f>
        <v/>
      </c>
      <c r="AC2" s="8">
        <f>IF(OR(AB2="",多次统计数据!$B$9=""),"",IF(多次统计数据!$B$9&lt;AB2,"低于上限","达到或超过上限"))</f>
        <v/>
      </c>
      <c r="AD2" s="2" t="n"/>
      <c r="AE2" s="7">
        <f>IF(OR(X2="",C2="",C2&lt;=0),"",X2/C2)</f>
        <v/>
      </c>
      <c r="AG2" s="28" t="n"/>
      <c r="AH2" s="28" t="n"/>
      <c r="AI2" s="28" t="n"/>
      <c r="AJ2" s="31">
        <f>IF(OR(AG2="",AH2=""),"",IF(OR(AND(AG2="短期博反弹",OR(AH2="1～3个交易日",AH2="4～10个交易日")),AND(AG2="突破冲新高",OR(AH2="4～10个交易日",AH2="11～20个交易日")),AND(AG2="趋势波段",OR(AH2="11～20个交易日",AH2="21～60个交易日",AH2="60个交易日以上"))),"匹配","周期与交易预期不匹配，请重新确认"))</f>
        <v/>
      </c>
      <c r="AK2" s="43" t="n"/>
      <c r="AL2" s="27" t="n"/>
      <c r="AM2" s="43" t="n"/>
      <c r="AN2" s="27" t="n"/>
      <c r="AO2" s="44">
        <f>IF(OR(A2="",H2="",H2&lt;=0),"",(E2*H2+IF(AND(AK2&lt;&gt;"",AL2&lt;&gt;""),AK2*AL2,0)+IF(AND(AM2&lt;&gt;"",AN2&lt;&gt;""),AM2*AN2,0))/AP2)</f>
        <v/>
      </c>
      <c r="AP2" s="26">
        <f>IF(OR(A2="",H2="",H2&lt;=0),"",H2+IF(AL2="",0,AL2)+IF(AN2="",0,AN2))</f>
        <v/>
      </c>
      <c r="AQ2" s="44">
        <f>IF(A2="","",IF(M2&lt;&gt;"",0,IF(OR(H2="",N2=""),"",MAX(E2-MAX(N2,IFERROR(AGGREGATE(14,6,'持仓跟踪'!$S$2:$S$501/(('持仓跟踪'!$A$2:$A$501="每日跟踪")*('持仓跟踪'!$B$2:$B$501=A2)),1),0)),0)*H2+IF(OR(AK2="",AL2=""),0,MAX(AK2-MAX(N2,IFERROR(AGGREGATE(14,6,'持仓跟踪'!$S$2:$S$501/(('持仓跟踪'!$A$2:$A$501="每日跟踪")*('持仓跟踪'!$B$2:$B$501=A2)),1),0)),0)*AL2)+IF(OR(AM2="",AN2=""),0,MAX(AM2-MAX(N2,IFERROR(AGGREGATE(14,6,'持仓跟踪'!$S$2:$S$501/(('持仓跟踪'!$A$2:$A$501="每日跟踪")*('持仓跟踪'!$B$2:$B$501=A2)),1),0)),0)*AN2))))</f>
        <v/>
      </c>
      <c r="AR2" s="31">
        <f>IF(A2="","",IF(OR(E2="",H2=""),"违规：第一批价格或股数缺失",IF(OR(AND(AK2="",AL2&lt;&gt;""),AND(AK2&lt;&gt;"",AL2="")),"违规：第二批价格与股数须成对填写",IF(OR(AND(AM2="",AN2&lt;&gt;""),AND(AM2&lt;&gt;"",AN2="")),"违规：第三批价格与股数须成对填写",IF(AND(OR(AM2&lt;&gt;"",AN2&lt;&gt;""),OR(AK2="",AL2="")),"违规：必须先完成第二批",IF(OR(H2&lt;=0,H2&lt;&gt;INT(H2),MOD(H2,100)&lt;&gt;0,AND(AL2&lt;&gt;"",OR(AL2&lt;=0,AL2&lt;&gt;INT(AL2),MOD(AL2,100)&lt;&gt;0)),AND(AN2&lt;&gt;"",OR(AN2&lt;=0,AN2&lt;&gt;INT(AN2),MOD(AN2,100)&lt;&gt;0))),"违规：股数须为100股整数倍",IF(AND(OR(AL2&lt;&gt;"",AN2&lt;&gt;""),OR(_LockStatus="已锁仓",_LockStatus="解锁信息不完整")),"违规：锁仓期间禁止加仓",IF(AQ2&gt;C2*D2,"违规：超过单笔风险上限",IF(SUM($AQ$2:$AQ$201)&gt;账户数据!$B$7,"违规：超过账户风险上限","通过")))))))))</f>
        <v/>
      </c>
    </row>
    <row r="3">
      <c r="A3" s="2" t="n">
        <v>2</v>
      </c>
      <c r="B3" s="2" t="inlineStr">
        <is>
          <t>长电科技</t>
        </is>
      </c>
      <c r="C3" s="42">
        <f>IF(C2="","",C2+SUM(单次交易!Y2:Y201))</f>
        <v/>
      </c>
      <c r="D3" s="6" t="n">
        <v>0.02</v>
      </c>
      <c r="E3" s="40" t="n">
        <v>33.13</v>
      </c>
      <c r="F3" s="8">
        <f>IF(OR(C3="",D3="",E3="",N3="",C3&lt;=0,D3&lt;=0,E3&lt;=N3),"",ROUNDDOWN((C3*D3)/(E3-N3)/100,0)*100)</f>
        <v/>
      </c>
      <c r="G3" s="8">
        <f>IF(A3="","",IF(H3&lt;&gt;"","已开仓",IF(账户数据!$B$23="已锁仓","禁止开仓：连续亏损达到上限",IF(账户数据!$B$23="解锁信息不完整","禁止开仓：请完整填写解锁信息",IF(OR(F3="",E3="",N3="",E3&lt;=N3,账户数据!$B$7=""),"",IF(OR(AG3="",AH3="",AI3=""),"禁止开仓：交易预期未填写完整",IF(COUNTIFS(持仓跟踪!$A$2:$A$501,"止损计划",持仓跟踪!$B$2:$B$501,A3,持仓跟踪!$AC$2:$AC$501,"计划有效")=0,"禁止开仓：请先填写止损计划",IF(账户数据!$B$9+F3*(E3-N3)&gt;=账户数据!$B$7,"禁止开仓：风险额度不足",IF(AJ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" s="2" t="n">
        <v>3100</v>
      </c>
      <c r="I3" s="41" t="n">
        <v>45135</v>
      </c>
      <c r="J3" s="40" t="n">
        <v>36</v>
      </c>
      <c r="K3" s="40" t="n">
        <v>32.1</v>
      </c>
      <c r="L3" s="8">
        <f>IF(K3="","",H3)</f>
        <v/>
      </c>
      <c r="M3" s="41" t="n">
        <v>45147</v>
      </c>
      <c r="N3" s="40" t="n">
        <v>32.5</v>
      </c>
      <c r="O3" s="40" t="n"/>
      <c r="P3" s="40" t="n"/>
      <c r="Q3" s="2" t="n"/>
      <c r="R3" s="2" t="n"/>
      <c r="S3" s="2" t="n"/>
      <c r="T3" s="2" t="n"/>
      <c r="U3" s="7">
        <f>IF(OR(AO3="",J3="",AO3&lt;=0),"",(J3-AO3)/AO3)</f>
        <v/>
      </c>
      <c r="V3" s="7">
        <f>IF(OR(AO3="",N3="",AO3&lt;=0),"",(AO3-N3)/AO3)</f>
        <v/>
      </c>
      <c r="W3" s="13">
        <f>IF(OR(U3="",V3="",V3&lt;=0),"",U3/V3)</f>
        <v/>
      </c>
      <c r="X3" s="42">
        <f>IF(OR(K3="",L3="",AP3=""),"",K3*L3-(E3*H3+IF(AND(AK3&lt;&gt;"",AL3&lt;&gt;""),AK3*AL3,0)+IF(AND(AM3&lt;&gt;"",AN3&lt;&gt;""),AM3*AN3,0))-IF(O3="",0,O3)-IF(P3="",0,P3))</f>
        <v/>
      </c>
      <c r="Y3" s="7">
        <f>IF(OR(X3="",AP3=""),"",IF((E3*H3+IF(AND(AK3&lt;&gt;"",AL3&lt;&gt;""),AK3*AL3,0)+IF(AND(AM3&lt;&gt;"",AN3&lt;&gt;""),AM3*AN3,0))+IF(O3="",0,O3)&lt;=0,"",X3/((E3*H3+IF(AND(AK3&lt;&gt;"",AL3&lt;&gt;""),AK3*AL3,0)+IF(AND(AM3&lt;&gt;"",AN3&lt;&gt;""),AM3*AN3,0))+IF(O3="",0,O3))))</f>
        <v/>
      </c>
      <c r="Z3" s="7">
        <f>IF(OR(AE3="",多次统计数据!$B$8=""),"",AE3-多次统计数据!$B$8)</f>
        <v/>
      </c>
      <c r="AA3" s="14">
        <f>IF(OR(I3="",M3="",M3&lt;I3),"",M3-I3)</f>
        <v/>
      </c>
      <c r="AB3" s="7">
        <f>IF(OR(A3="",多次统计数据!$B$8="",多次统计数据!$B$6&lt;=0,多次统计数据!$B$6&gt;=1),"",1-POWER(1+多次统计数据!$B$8,-多次统计数据!$B$6/(1-多次统计数据!$B$6)))</f>
        <v/>
      </c>
      <c r="AC3" s="8">
        <f>IF(OR(AB3="",多次统计数据!$B$9=""),"",IF(多次统计数据!$B$9&lt;AB3,"低于上限","达到或超过上限"))</f>
        <v/>
      </c>
      <c r="AD3" s="2" t="n"/>
      <c r="AE3" s="7">
        <f>IF(OR(X3="",C3="",C3&lt;=0),"",X3/C3)</f>
        <v/>
      </c>
      <c r="AG3" s="28" t="n"/>
      <c r="AH3" s="28" t="n"/>
      <c r="AI3" s="28" t="n"/>
      <c r="AJ3" s="31">
        <f>IF(OR(AG3="",AH3=""),"",IF(OR(AND(AG3="短期博反弹",OR(AH3="1～3个交易日",AH3="4～10个交易日")),AND(AG3="突破冲新高",OR(AH3="4～10个交易日",AH3="11～20个交易日")),AND(AG3="趋势波段",OR(AH3="11～20个交易日",AH3="21～60个交易日",AH3="60个交易日以上"))),"匹配","周期与交易预期不匹配，请重新确认"))</f>
        <v/>
      </c>
      <c r="AK3" s="43" t="n"/>
      <c r="AL3" s="27" t="n"/>
      <c r="AM3" s="43" t="n"/>
      <c r="AN3" s="27" t="n"/>
      <c r="AO3" s="44">
        <f>IF(OR(A3="",H3="",H3&lt;=0),"",(E3*H3+IF(AND(AK3&lt;&gt;"",AL3&lt;&gt;""),AK3*AL3,0)+IF(AND(AM3&lt;&gt;"",AN3&lt;&gt;""),AM3*AN3,0))/AP3)</f>
        <v/>
      </c>
      <c r="AP3" s="26">
        <f>IF(OR(A3="",H3="",H3&lt;=0),"",H3+IF(AL3="",0,AL3)+IF(AN3="",0,AN3))</f>
        <v/>
      </c>
      <c r="AQ3" s="44">
        <f>IF(A3="","",IF(M3&lt;&gt;"",0,IF(OR(H3="",N3=""),"",MAX(E3-MAX(N3,IFERROR(AGGREGATE(14,6,'持仓跟踪'!$S$2:$S$501/(('持仓跟踪'!$A$2:$A$501="每日跟踪")*('持仓跟踪'!$B$2:$B$501=A3)),1),0)),0)*H3+IF(OR(AK3="",AL3=""),0,MAX(AK3-MAX(N3,IFERROR(AGGREGATE(14,6,'持仓跟踪'!$S$2:$S$501/(('持仓跟踪'!$A$2:$A$501="每日跟踪")*('持仓跟踪'!$B$2:$B$501=A3)),1),0)),0)*AL3)+IF(OR(AM3="",AN3=""),0,MAX(AM3-MAX(N3,IFERROR(AGGREGATE(14,6,'持仓跟踪'!$S$2:$S$501/(('持仓跟踪'!$A$2:$A$501="每日跟踪")*('持仓跟踪'!$B$2:$B$501=A3)),1),0)),0)*AN3))))</f>
        <v/>
      </c>
      <c r="AR3" s="31">
        <f>IF(A3="","",IF(OR(E3="",H3=""),"违规：第一批价格或股数缺失",IF(OR(AND(AK3="",AL3&lt;&gt;""),AND(AK3&lt;&gt;"",AL3="")),"违规：第二批价格与股数须成对填写",IF(OR(AND(AM3="",AN3&lt;&gt;""),AND(AM3&lt;&gt;"",AN3="")),"违规：第三批价格与股数须成对填写",IF(AND(OR(AM3&lt;&gt;"",AN3&lt;&gt;""),OR(AK3="",AL3="")),"违规：必须先完成第二批",IF(OR(H3&lt;=0,H3&lt;&gt;INT(H3),MOD(H3,100)&lt;&gt;0,AND(AL3&lt;&gt;"",OR(AL3&lt;=0,AL3&lt;&gt;INT(AL3),MOD(AL3,100)&lt;&gt;0)),AND(AN3&lt;&gt;"",OR(AN3&lt;=0,AN3&lt;&gt;INT(AN3),MOD(AN3,100)&lt;&gt;0))),"违规：股数须为100股整数倍",IF(AND(OR(AL3&lt;&gt;"",AN3&lt;&gt;""),OR(_LockStatus="已锁仓",_LockStatus="解锁信息不完整")),"违规：锁仓期间禁止加仓",IF(AQ3&gt;C3*D3,"违规：超过单笔风险上限",IF(SUM($AQ$2:$AQ$201)&gt;账户数据!$B$7,"违规：超过账户风险上限","通过")))))))))</f>
        <v/>
      </c>
    </row>
    <row r="4">
      <c r="A4" s="2" t="n">
        <v>3</v>
      </c>
      <c r="B4" s="2" t="inlineStr">
        <is>
          <t>长电科技</t>
        </is>
      </c>
      <c r="C4" s="40" t="n">
        <v>92687</v>
      </c>
      <c r="D4" s="6" t="n">
        <v>0.02</v>
      </c>
      <c r="E4" s="40" t="n">
        <v>28.16</v>
      </c>
      <c r="F4" s="8">
        <f>IF(OR(C4="",D4="",E4="",N4="",C4&lt;=0,D4&lt;=0,E4&lt;=N4),"",ROUNDDOWN((C4*D4)/(E4-N4)/100,0)*100)</f>
        <v/>
      </c>
      <c r="G4" s="8">
        <f>IF(A4="","",IF(H4&lt;&gt;"","已开仓",IF(账户数据!$B$23="已锁仓","禁止开仓：连续亏损达到上限",IF(账户数据!$B$23="解锁信息不完整","禁止开仓：请完整填写解锁信息",IF(OR(F4="",E4="",N4="",E4&lt;=N4,账户数据!$B$7=""),"",IF(OR(AG4="",AH4="",AI4=""),"禁止开仓：交易预期未填写完整",IF(COUNTIFS(持仓跟踪!$A$2:$A$501,"止损计划",持仓跟踪!$B$2:$B$501,A4,持仓跟踪!$AC$2:$AC$501,"计划有效")=0,"禁止开仓：请先填写止损计划",IF(账户数据!$B$9+F4*(E4-N4)&gt;=账户数据!$B$7,"禁止开仓：风险额度不足",IF(AJ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" s="2" t="n">
        <v>2800</v>
      </c>
      <c r="I4" s="41" t="n">
        <v>45226</v>
      </c>
      <c r="J4" s="40" t="n">
        <v>30</v>
      </c>
      <c r="K4" s="40" t="n">
        <v>30.2</v>
      </c>
      <c r="L4" s="8">
        <f>IF(K4="","",H4)</f>
        <v/>
      </c>
      <c r="M4" s="41" t="n">
        <v>45231</v>
      </c>
      <c r="N4" s="40" t="n">
        <v>27.5</v>
      </c>
      <c r="O4" s="40" t="n"/>
      <c r="P4" s="40" t="n"/>
      <c r="Q4" s="2" t="n"/>
      <c r="R4" s="2" t="inlineStr">
        <is>
          <t>下方支撑位</t>
        </is>
      </c>
      <c r="S4" s="2" t="inlineStr">
        <is>
          <t>前高</t>
        </is>
      </c>
      <c r="T4" s="2" t="n"/>
      <c r="U4" s="7">
        <f>IF(OR(AO4="",J4="",AO4&lt;=0),"",(J4-AO4)/AO4)</f>
        <v/>
      </c>
      <c r="V4" s="7">
        <f>IF(OR(AO4="",N4="",AO4&lt;=0),"",(AO4-N4)/AO4)</f>
        <v/>
      </c>
      <c r="W4" s="13">
        <f>IF(OR(U4="",V4="",V4&lt;=0),"",U4/V4)</f>
        <v/>
      </c>
      <c r="X4" s="42">
        <f>IF(OR(K4="",L4="",AP4=""),"",K4*L4-(E4*H4+IF(AND(AK4&lt;&gt;"",AL4&lt;&gt;""),AK4*AL4,0)+IF(AND(AM4&lt;&gt;"",AN4&lt;&gt;""),AM4*AN4,0))-IF(O4="",0,O4)-IF(P4="",0,P4))</f>
        <v/>
      </c>
      <c r="Y4" s="7">
        <f>IF(OR(X4="",AP4=""),"",IF((E4*H4+IF(AND(AK4&lt;&gt;"",AL4&lt;&gt;""),AK4*AL4,0)+IF(AND(AM4&lt;&gt;"",AN4&lt;&gt;""),AM4*AN4,0))+IF(O4="",0,O4)&lt;=0,"",X4/((E4*H4+IF(AND(AK4&lt;&gt;"",AL4&lt;&gt;""),AK4*AL4,0)+IF(AND(AM4&lt;&gt;"",AN4&lt;&gt;""),AM4*AN4,0))+IF(O4="",0,O4))))</f>
        <v/>
      </c>
      <c r="Z4" s="7">
        <f>IF(OR(AE4="",多次统计数据!$B$8=""),"",AE4-多次统计数据!$B$8)</f>
        <v/>
      </c>
      <c r="AA4" s="14">
        <f>IF(OR(I4="",M4="",M4&lt;I4),"",M4-I4)</f>
        <v/>
      </c>
      <c r="AB4" s="7">
        <f>IF(OR(A4="",多次统计数据!$B$8="",多次统计数据!$B$6&lt;=0,多次统计数据!$B$6&gt;=1),"",1-POWER(1+多次统计数据!$B$8,-多次统计数据!$B$6/(1-多次统计数据!$B$6)))</f>
        <v/>
      </c>
      <c r="AC4" s="8">
        <f>IF(OR(AB4="",多次统计数据!$B$9=""),"",IF(多次统计数据!$B$9&lt;AB4,"低于上限","达到或超过上限"))</f>
        <v/>
      </c>
      <c r="AD4" s="2" t="n"/>
      <c r="AE4" s="7">
        <f>IF(OR(X4="",C4="",C4&lt;=0),"",X4/C4)</f>
        <v/>
      </c>
      <c r="AG4" s="28" t="n"/>
      <c r="AH4" s="28" t="n"/>
      <c r="AI4" s="28" t="n"/>
      <c r="AJ4" s="31">
        <f>IF(OR(AG4="",AH4=""),"",IF(OR(AND(AG4="短期博反弹",OR(AH4="1～3个交易日",AH4="4～10个交易日")),AND(AG4="突破冲新高",OR(AH4="4～10个交易日",AH4="11～20个交易日")),AND(AG4="趋势波段",OR(AH4="11～20个交易日",AH4="21～60个交易日",AH4="60个交易日以上"))),"匹配","周期与交易预期不匹配，请重新确认"))</f>
        <v/>
      </c>
      <c r="AK4" s="43" t="n"/>
      <c r="AL4" s="27" t="n"/>
      <c r="AM4" s="43" t="n"/>
      <c r="AN4" s="27" t="n"/>
      <c r="AO4" s="44">
        <f>IF(OR(A4="",H4="",H4&lt;=0),"",(E4*H4+IF(AND(AK4&lt;&gt;"",AL4&lt;&gt;""),AK4*AL4,0)+IF(AND(AM4&lt;&gt;"",AN4&lt;&gt;""),AM4*AN4,0))/AP4)</f>
        <v/>
      </c>
      <c r="AP4" s="26">
        <f>IF(OR(A4="",H4="",H4&lt;=0),"",H4+IF(AL4="",0,AL4)+IF(AN4="",0,AN4))</f>
        <v/>
      </c>
      <c r="AQ4" s="44">
        <f>IF(A4="","",IF(M4&lt;&gt;"",0,IF(OR(H4="",N4=""),"",MAX(E4-MAX(N4,IFERROR(AGGREGATE(14,6,'持仓跟踪'!$S$2:$S$501/(('持仓跟踪'!$A$2:$A$501="每日跟踪")*('持仓跟踪'!$B$2:$B$501=A4)),1),0)),0)*H4+IF(OR(AK4="",AL4=""),0,MAX(AK4-MAX(N4,IFERROR(AGGREGATE(14,6,'持仓跟踪'!$S$2:$S$501/(('持仓跟踪'!$A$2:$A$501="每日跟踪")*('持仓跟踪'!$B$2:$B$501=A4)),1),0)),0)*AL4)+IF(OR(AM4="",AN4=""),0,MAX(AM4-MAX(N4,IFERROR(AGGREGATE(14,6,'持仓跟踪'!$S$2:$S$501/(('持仓跟踪'!$A$2:$A$501="每日跟踪")*('持仓跟踪'!$B$2:$B$501=A4)),1),0)),0)*AN4))))</f>
        <v/>
      </c>
      <c r="AR4" s="31">
        <f>IF(A4="","",IF(OR(E4="",H4=""),"违规：第一批价格或股数缺失",IF(OR(AND(AK4="",AL4&lt;&gt;""),AND(AK4&lt;&gt;"",AL4="")),"违规：第二批价格与股数须成对填写",IF(OR(AND(AM4="",AN4&lt;&gt;""),AND(AM4&lt;&gt;"",AN4="")),"违规：第三批价格与股数须成对填写",IF(AND(OR(AM4&lt;&gt;"",AN4&lt;&gt;""),OR(AK4="",AL4="")),"违规：必须先完成第二批",IF(OR(H4&lt;=0,H4&lt;&gt;INT(H4),MOD(H4,100)&lt;&gt;0,AND(AL4&lt;&gt;"",OR(AL4&lt;=0,AL4&lt;&gt;INT(AL4),MOD(AL4,100)&lt;&gt;0)),AND(AN4&lt;&gt;"",OR(AN4&lt;=0,AN4&lt;&gt;INT(AN4),MOD(AN4,100)&lt;&gt;0))),"违规：股数须为100股整数倍",IF(AND(OR(AL4&lt;&gt;"",AN4&lt;&gt;""),OR(_LockStatus="已锁仓",_LockStatus="解锁信息不完整")),"违规：锁仓期间禁止加仓",IF(AQ4&gt;C4*D4,"违规：超过单笔风险上限",IF(SUM($AQ$2:$AQ$201)&gt;账户数据!$B$7,"违规：超过账户风险上限","通过")))))))))</f>
        <v/>
      </c>
    </row>
    <row r="5">
      <c r="A5" s="2" t="n">
        <v>4</v>
      </c>
      <c r="B5" s="2" t="inlineStr">
        <is>
          <t>长电科技</t>
        </is>
      </c>
      <c r="C5" s="40" t="n">
        <v>98399</v>
      </c>
      <c r="D5" s="6" t="n">
        <v>0.02</v>
      </c>
      <c r="E5" s="40" t="n">
        <v>25.78</v>
      </c>
      <c r="F5" s="8">
        <f>IF(OR(C5="",D5="",E5="",N5="",C5&lt;=0,D5&lt;=0,E5&lt;=N5),"",ROUNDDOWN((C5*D5)/(E5-N5)/100,0)*100)</f>
        <v/>
      </c>
      <c r="G5" s="8">
        <f>IF(A5="","",IF(H5&lt;&gt;"","已开仓",IF(账户数据!$B$23="已锁仓","禁止开仓：连续亏损达到上限",IF(账户数据!$B$23="解锁信息不完整","禁止开仓：请完整填写解锁信息",IF(OR(F5="",E5="",N5="",E5&lt;=N5,账户数据!$B$7=""),"",IF(OR(AG5="",AH5="",AI5=""),"禁止开仓：交易预期未填写完整",IF(COUNTIFS(持仓跟踪!$A$2:$A$501,"止损计划",持仓跟踪!$B$2:$B$501,A5,持仓跟踪!$AC$2:$AC$501,"计划有效")=0,"禁止开仓：请先填写止损计划",IF(账户数据!$B$9+F5*(E5-N5)&gt;=账户数据!$B$7,"禁止开仓：风险额度不足",IF(AJ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" s="2" t="n">
        <v>2500</v>
      </c>
      <c r="I5" s="41" t="n">
        <v>45306</v>
      </c>
      <c r="J5" s="40" t="n">
        <v>30</v>
      </c>
      <c r="K5" s="40" t="n">
        <v>24.68</v>
      </c>
      <c r="L5" s="8">
        <f>IF(K5="","",H5)</f>
        <v/>
      </c>
      <c r="M5" s="41" t="n">
        <v>45308</v>
      </c>
      <c r="N5" s="40" t="n">
        <v>25</v>
      </c>
      <c r="O5" s="40" t="n"/>
      <c r="P5" s="40" t="n"/>
      <c r="Q5" s="2" t="n"/>
      <c r="R5" s="2" t="inlineStr">
        <is>
          <t>下方支撑位</t>
        </is>
      </c>
      <c r="S5" s="2" t="inlineStr">
        <is>
          <t>前高</t>
        </is>
      </c>
      <c r="T5" s="2" t="n"/>
      <c r="U5" s="7">
        <f>IF(OR(AO5="",J5="",AO5&lt;=0),"",(J5-AO5)/AO5)</f>
        <v/>
      </c>
      <c r="V5" s="7">
        <f>IF(OR(AO5="",N5="",AO5&lt;=0),"",(AO5-N5)/AO5)</f>
        <v/>
      </c>
      <c r="W5" s="13">
        <f>IF(OR(U5="",V5="",V5&lt;=0),"",U5/V5)</f>
        <v/>
      </c>
      <c r="X5" s="42">
        <f>IF(OR(K5="",L5="",AP5=""),"",K5*L5-(E5*H5+IF(AND(AK5&lt;&gt;"",AL5&lt;&gt;""),AK5*AL5,0)+IF(AND(AM5&lt;&gt;"",AN5&lt;&gt;""),AM5*AN5,0))-IF(O5="",0,O5)-IF(P5="",0,P5))</f>
        <v/>
      </c>
      <c r="Y5" s="7">
        <f>IF(OR(X5="",AP5=""),"",IF((E5*H5+IF(AND(AK5&lt;&gt;"",AL5&lt;&gt;""),AK5*AL5,0)+IF(AND(AM5&lt;&gt;"",AN5&lt;&gt;""),AM5*AN5,0))+IF(O5="",0,O5)&lt;=0,"",X5/((E5*H5+IF(AND(AK5&lt;&gt;"",AL5&lt;&gt;""),AK5*AL5,0)+IF(AND(AM5&lt;&gt;"",AN5&lt;&gt;""),AM5*AN5,0))+IF(O5="",0,O5))))</f>
        <v/>
      </c>
      <c r="Z5" s="7">
        <f>IF(OR(AE5="",多次统计数据!$B$8=""),"",AE5-多次统计数据!$B$8)</f>
        <v/>
      </c>
      <c r="AA5" s="14">
        <f>IF(OR(I5="",M5="",M5&lt;I5),"",M5-I5)</f>
        <v/>
      </c>
      <c r="AB5" s="7">
        <f>IF(OR(A5="",多次统计数据!$B$8="",多次统计数据!$B$6&lt;=0,多次统计数据!$B$6&gt;=1),"",1-POWER(1+多次统计数据!$B$8,-多次统计数据!$B$6/(1-多次统计数据!$B$6)))</f>
        <v/>
      </c>
      <c r="AC5" s="8">
        <f>IF(OR(AB5="",多次统计数据!$B$9=""),"",IF(多次统计数据!$B$9&lt;AB5,"低于上限","达到或超过上限"))</f>
        <v/>
      </c>
      <c r="AD5" s="2" t="n"/>
      <c r="AE5" s="7">
        <f>IF(OR(X5="",C5="",C5&lt;=0),"",X5/C5)</f>
        <v/>
      </c>
      <c r="AG5" s="28" t="n"/>
      <c r="AH5" s="28" t="n"/>
      <c r="AI5" s="28" t="n"/>
      <c r="AJ5" s="31">
        <f>IF(OR(AG5="",AH5=""),"",IF(OR(AND(AG5="短期博反弹",OR(AH5="1～3个交易日",AH5="4～10个交易日")),AND(AG5="突破冲新高",OR(AH5="4～10个交易日",AH5="11～20个交易日")),AND(AG5="趋势波段",OR(AH5="11～20个交易日",AH5="21～60个交易日",AH5="60个交易日以上"))),"匹配","周期与交易预期不匹配，请重新确认"))</f>
        <v/>
      </c>
      <c r="AK5" s="43" t="n"/>
      <c r="AL5" s="27" t="n"/>
      <c r="AM5" s="43" t="n"/>
      <c r="AN5" s="27" t="n"/>
      <c r="AO5" s="44">
        <f>IF(OR(A5="",H5="",H5&lt;=0),"",(E5*H5+IF(AND(AK5&lt;&gt;"",AL5&lt;&gt;""),AK5*AL5,0)+IF(AND(AM5&lt;&gt;"",AN5&lt;&gt;""),AM5*AN5,0))/AP5)</f>
        <v/>
      </c>
      <c r="AP5" s="26">
        <f>IF(OR(A5="",H5="",H5&lt;=0),"",H5+IF(AL5="",0,AL5)+IF(AN5="",0,AN5))</f>
        <v/>
      </c>
      <c r="AQ5" s="44">
        <f>IF(A5="","",IF(M5&lt;&gt;"",0,IF(OR(H5="",N5=""),"",MAX(E5-MAX(N5,IFERROR(AGGREGATE(14,6,'持仓跟踪'!$S$2:$S$501/(('持仓跟踪'!$A$2:$A$501="每日跟踪")*('持仓跟踪'!$B$2:$B$501=A5)),1),0)),0)*H5+IF(OR(AK5="",AL5=""),0,MAX(AK5-MAX(N5,IFERROR(AGGREGATE(14,6,'持仓跟踪'!$S$2:$S$501/(('持仓跟踪'!$A$2:$A$501="每日跟踪")*('持仓跟踪'!$B$2:$B$501=A5)),1),0)),0)*AL5)+IF(OR(AM5="",AN5=""),0,MAX(AM5-MAX(N5,IFERROR(AGGREGATE(14,6,'持仓跟踪'!$S$2:$S$501/(('持仓跟踪'!$A$2:$A$501="每日跟踪")*('持仓跟踪'!$B$2:$B$501=A5)),1),0)),0)*AN5))))</f>
        <v/>
      </c>
      <c r="AR5" s="31">
        <f>IF(A5="","",IF(OR(E5="",H5=""),"违规：第一批价格或股数缺失",IF(OR(AND(AK5="",AL5&lt;&gt;""),AND(AK5&lt;&gt;"",AL5="")),"违规：第二批价格与股数须成对填写",IF(OR(AND(AM5="",AN5&lt;&gt;""),AND(AM5&lt;&gt;"",AN5="")),"违规：第三批价格与股数须成对填写",IF(AND(OR(AM5&lt;&gt;"",AN5&lt;&gt;""),OR(AK5="",AL5="")),"违规：必须先完成第二批",IF(OR(H5&lt;=0,H5&lt;&gt;INT(H5),MOD(H5,100)&lt;&gt;0,AND(AL5&lt;&gt;"",OR(AL5&lt;=0,AL5&lt;&gt;INT(AL5),MOD(AL5,100)&lt;&gt;0)),AND(AN5&lt;&gt;"",OR(AN5&lt;=0,AN5&lt;&gt;INT(AN5),MOD(AN5,100)&lt;&gt;0))),"违规：股数须为100股整数倍",IF(AND(OR(AL5&lt;&gt;"",AN5&lt;&gt;""),OR(_LockStatus="已锁仓",_LockStatus="解锁信息不完整")),"违规：锁仓期间禁止加仓",IF(AQ5&gt;C5*D5,"违规：超过单笔风险上限",IF(SUM($AQ$2:$AQ$201)&gt;账户数据!$B$7,"违规：超过账户风险上限","通过")))))))))</f>
        <v/>
      </c>
    </row>
    <row r="6">
      <c r="A6" s="2" t="n">
        <v>5</v>
      </c>
      <c r="B6" s="2" t="inlineStr">
        <is>
          <t>长电科技</t>
        </is>
      </c>
      <c r="C6" s="40" t="n">
        <v>95649</v>
      </c>
      <c r="D6" s="6" t="n">
        <v>0.02</v>
      </c>
      <c r="E6" s="40" t="n">
        <v>35</v>
      </c>
      <c r="F6" s="8">
        <f>IF(OR(C6="",D6="",E6="",N6="",C6&lt;=0,D6&lt;=0,E6&lt;=N6),"",ROUNDDOWN((C6*D6)/(E6-N6)/100,0)*100)</f>
        <v/>
      </c>
      <c r="G6" s="8">
        <f>IF(A6="","",IF(H6&lt;&gt;"","已开仓",IF(账户数据!$B$23="已锁仓","禁止开仓：连续亏损达到上限",IF(账户数据!$B$23="解锁信息不完整","禁止开仓：请完整填写解锁信息",IF(OR(F6="",E6="",N6="",E6&lt;=N6,账户数据!$B$7=""),"",IF(OR(AG6="",AH6="",AI6=""),"禁止开仓：交易预期未填写完整",IF(COUNTIFS(持仓跟踪!$A$2:$A$501,"止损计划",持仓跟踪!$B$2:$B$501,A6,持仓跟踪!$AC$2:$AC$501,"计划有效")=0,"禁止开仓：请先填写止损计划",IF(账户数据!$B$9+F6*(E6-N6)&gt;=账户数据!$B$7,"禁止开仓：风险额度不足",IF(AJ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" s="2" t="n">
        <v>900</v>
      </c>
      <c r="I6" s="41" t="n">
        <v>45491</v>
      </c>
      <c r="J6" s="40" t="n">
        <v>40</v>
      </c>
      <c r="K6" s="40" t="n">
        <v>31.84</v>
      </c>
      <c r="L6" s="8">
        <f>IF(K6="","",H6)</f>
        <v/>
      </c>
      <c r="M6" s="41" t="n">
        <v>45498</v>
      </c>
      <c r="N6" s="40" t="n">
        <v>33</v>
      </c>
      <c r="O6" s="40" t="n"/>
      <c r="P6" s="40" t="n"/>
      <c r="Q6" s="2" t="n"/>
      <c r="R6" s="2" t="inlineStr">
        <is>
          <t>下发支撑位</t>
        </is>
      </c>
      <c r="S6" s="2" t="inlineStr">
        <is>
          <t>从收益率的角度推断</t>
        </is>
      </c>
      <c r="T6" s="2" t="n"/>
      <c r="U6" s="7">
        <f>IF(OR(AO6="",J6="",AO6&lt;=0),"",(J6-AO6)/AO6)</f>
        <v/>
      </c>
      <c r="V6" s="7">
        <f>IF(OR(AO6="",N6="",AO6&lt;=0),"",(AO6-N6)/AO6)</f>
        <v/>
      </c>
      <c r="W6" s="13">
        <f>IF(OR(U6="",V6="",V6&lt;=0),"",U6/V6)</f>
        <v/>
      </c>
      <c r="X6" s="42">
        <f>IF(OR(K6="",L6="",AP6=""),"",K6*L6-(E6*H6+IF(AND(AK6&lt;&gt;"",AL6&lt;&gt;""),AK6*AL6,0)+IF(AND(AM6&lt;&gt;"",AN6&lt;&gt;""),AM6*AN6,0))-IF(O6="",0,O6)-IF(P6="",0,P6))</f>
        <v/>
      </c>
      <c r="Y6" s="7">
        <f>IF(OR(X6="",AP6=""),"",IF((E6*H6+IF(AND(AK6&lt;&gt;"",AL6&lt;&gt;""),AK6*AL6,0)+IF(AND(AM6&lt;&gt;"",AN6&lt;&gt;""),AM6*AN6,0))+IF(O6="",0,O6)&lt;=0,"",X6/((E6*H6+IF(AND(AK6&lt;&gt;"",AL6&lt;&gt;""),AK6*AL6,0)+IF(AND(AM6&lt;&gt;"",AN6&lt;&gt;""),AM6*AN6,0))+IF(O6="",0,O6))))</f>
        <v/>
      </c>
      <c r="Z6" s="7">
        <f>IF(OR(AE6="",多次统计数据!$B$8=""),"",AE6-多次统计数据!$B$8)</f>
        <v/>
      </c>
      <c r="AA6" s="14">
        <f>IF(OR(I6="",M6="",M6&lt;I6),"",M6-I6)</f>
        <v/>
      </c>
      <c r="AB6" s="7">
        <f>IF(OR(A6="",多次统计数据!$B$8="",多次统计数据!$B$6&lt;=0,多次统计数据!$B$6&gt;=1),"",1-POWER(1+多次统计数据!$B$8,-多次统计数据!$B$6/(1-多次统计数据!$B$6)))</f>
        <v/>
      </c>
      <c r="AC6" s="8">
        <f>IF(OR(AB6="",多次统计数据!$B$9=""),"",IF(多次统计数据!$B$9&lt;AB6,"低于上限","达到或超过上限"))</f>
        <v/>
      </c>
      <c r="AD6" s="2" t="n"/>
      <c r="AE6" s="7">
        <f>IF(OR(X6="",C6="",C6&lt;=0),"",X6/C6)</f>
        <v/>
      </c>
      <c r="AG6" s="28" t="n"/>
      <c r="AH6" s="28" t="n"/>
      <c r="AI6" s="28" t="n"/>
      <c r="AJ6" s="31">
        <f>IF(OR(AG6="",AH6=""),"",IF(OR(AND(AG6="短期博反弹",OR(AH6="1～3个交易日",AH6="4～10个交易日")),AND(AG6="突破冲新高",OR(AH6="4～10个交易日",AH6="11～20个交易日")),AND(AG6="趋势波段",OR(AH6="11～20个交易日",AH6="21～60个交易日",AH6="60个交易日以上"))),"匹配","周期与交易预期不匹配，请重新确认"))</f>
        <v/>
      </c>
      <c r="AK6" s="43" t="n"/>
      <c r="AL6" s="27" t="n"/>
      <c r="AM6" s="43" t="n"/>
      <c r="AN6" s="27" t="n"/>
      <c r="AO6" s="44">
        <f>IF(OR(A6="",H6="",H6&lt;=0),"",(E6*H6+IF(AND(AK6&lt;&gt;"",AL6&lt;&gt;""),AK6*AL6,0)+IF(AND(AM6&lt;&gt;"",AN6&lt;&gt;""),AM6*AN6,0))/AP6)</f>
        <v/>
      </c>
      <c r="AP6" s="26">
        <f>IF(OR(A6="",H6="",H6&lt;=0),"",H6+IF(AL6="",0,AL6)+IF(AN6="",0,AN6))</f>
        <v/>
      </c>
      <c r="AQ6" s="44">
        <f>IF(A6="","",IF(M6&lt;&gt;"",0,IF(OR(H6="",N6=""),"",MAX(E6-MAX(N6,IFERROR(AGGREGATE(14,6,'持仓跟踪'!$S$2:$S$501/(('持仓跟踪'!$A$2:$A$501="每日跟踪")*('持仓跟踪'!$B$2:$B$501=A6)),1),0)),0)*H6+IF(OR(AK6="",AL6=""),0,MAX(AK6-MAX(N6,IFERROR(AGGREGATE(14,6,'持仓跟踪'!$S$2:$S$501/(('持仓跟踪'!$A$2:$A$501="每日跟踪")*('持仓跟踪'!$B$2:$B$501=A6)),1),0)),0)*AL6)+IF(OR(AM6="",AN6=""),0,MAX(AM6-MAX(N6,IFERROR(AGGREGATE(14,6,'持仓跟踪'!$S$2:$S$501/(('持仓跟踪'!$A$2:$A$501="每日跟踪")*('持仓跟踪'!$B$2:$B$501=A6)),1),0)),0)*AN6))))</f>
        <v/>
      </c>
      <c r="AR6" s="31">
        <f>IF(A6="","",IF(OR(E6="",H6=""),"违规：第一批价格或股数缺失",IF(OR(AND(AK6="",AL6&lt;&gt;""),AND(AK6&lt;&gt;"",AL6="")),"违规：第二批价格与股数须成对填写",IF(OR(AND(AM6="",AN6&lt;&gt;""),AND(AM6&lt;&gt;"",AN6="")),"违规：第三批价格与股数须成对填写",IF(AND(OR(AM6&lt;&gt;"",AN6&lt;&gt;""),OR(AK6="",AL6="")),"违规：必须先完成第二批",IF(OR(H6&lt;=0,H6&lt;&gt;INT(H6),MOD(H6,100)&lt;&gt;0,AND(AL6&lt;&gt;"",OR(AL6&lt;=0,AL6&lt;&gt;INT(AL6),MOD(AL6,100)&lt;&gt;0)),AND(AN6&lt;&gt;"",OR(AN6&lt;=0,AN6&lt;&gt;INT(AN6),MOD(AN6,100)&lt;&gt;0))),"违规：股数须为100股整数倍",IF(AND(OR(AL6&lt;&gt;"",AN6&lt;&gt;""),OR(_LockStatus="已锁仓",_LockStatus="解锁信息不完整")),"违规：锁仓期间禁止加仓",IF(AQ6&gt;C6*D6,"违规：超过单笔风险上限",IF(SUM($AQ$2:$AQ$201)&gt;账户数据!$B$7,"违规：超过账户风险上限","通过")))))))))</f>
        <v/>
      </c>
    </row>
    <row r="7">
      <c r="A7" s="2" t="n">
        <v>6</v>
      </c>
      <c r="B7" s="2" t="inlineStr">
        <is>
          <t>长电科技</t>
        </is>
      </c>
      <c r="C7" s="40" t="n">
        <v>92805</v>
      </c>
      <c r="D7" s="6" t="n">
        <v>0.02</v>
      </c>
      <c r="E7" s="40" t="n">
        <v>30.78</v>
      </c>
      <c r="F7" s="8">
        <f>IF(OR(C7="",D7="",E7="",N7="",C7&lt;=0,D7&lt;=0,E7&lt;=N7),"",ROUNDDOWN((C7*D7)/(E7-N7)/100,0)*100)</f>
        <v/>
      </c>
      <c r="G7" s="8">
        <f>IF(A7="","",IF(H7&lt;&gt;"","已开仓",IF(账户数据!$B$23="已锁仓","禁止开仓：连续亏损达到上限",IF(账户数据!$B$23="解锁信息不完整","禁止开仓：请完整填写解锁信息",IF(OR(F7="",E7="",N7="",E7&lt;=N7,账户数据!$B$7=""),"",IF(OR(AG7="",AH7="",AI7=""),"禁止开仓：交易预期未填写完整",IF(COUNTIFS(持仓跟踪!$A$2:$A$501,"止损计划",持仓跟踪!$B$2:$B$501,A7,持仓跟踪!$AC$2:$AC$501,"计划有效")=0,"禁止开仓：请先填写止损计划",IF(账户数据!$B$9+F7*(E7-N7)&gt;=账户数据!$B$7,"禁止开仓：风险额度不足",IF(AJ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" s="2" t="n">
        <v>6600</v>
      </c>
      <c r="I7" s="41" t="n">
        <v>45537</v>
      </c>
      <c r="J7" s="40" t="n">
        <v>34</v>
      </c>
      <c r="K7" s="40" t="n">
        <v>30.23</v>
      </c>
      <c r="L7" s="8">
        <f>IF(K7="","",H7)</f>
        <v/>
      </c>
      <c r="M7" s="41" t="n">
        <v>45559</v>
      </c>
      <c r="N7" s="40" t="n">
        <v>30.5</v>
      </c>
      <c r="O7" s="40" t="n"/>
      <c r="P7" s="40" t="n"/>
      <c r="Q7" s="2" t="n"/>
      <c r="R7" s="2" t="n"/>
      <c r="S7" s="2" t="n"/>
      <c r="T7" s="2" t="n"/>
      <c r="U7" s="7">
        <f>IF(OR(AO7="",J7="",AO7&lt;=0),"",(J7-AO7)/AO7)</f>
        <v/>
      </c>
      <c r="V7" s="7">
        <f>IF(OR(AO7="",N7="",AO7&lt;=0),"",(AO7-N7)/AO7)</f>
        <v/>
      </c>
      <c r="W7" s="13">
        <f>IF(OR(U7="",V7="",V7&lt;=0),"",U7/V7)</f>
        <v/>
      </c>
      <c r="X7" s="42">
        <f>IF(OR(K7="",L7="",AP7=""),"",K7*L7-(E7*H7+IF(AND(AK7&lt;&gt;"",AL7&lt;&gt;""),AK7*AL7,0)+IF(AND(AM7&lt;&gt;"",AN7&lt;&gt;""),AM7*AN7,0))-IF(O7="",0,O7)-IF(P7="",0,P7))</f>
        <v/>
      </c>
      <c r="Y7" s="7">
        <f>IF(OR(X7="",AP7=""),"",IF((E7*H7+IF(AND(AK7&lt;&gt;"",AL7&lt;&gt;""),AK7*AL7,0)+IF(AND(AM7&lt;&gt;"",AN7&lt;&gt;""),AM7*AN7,0))+IF(O7="",0,O7)&lt;=0,"",X7/((E7*H7+IF(AND(AK7&lt;&gt;"",AL7&lt;&gt;""),AK7*AL7,0)+IF(AND(AM7&lt;&gt;"",AN7&lt;&gt;""),AM7*AN7,0))+IF(O7="",0,O7))))</f>
        <v/>
      </c>
      <c r="Z7" s="7">
        <f>IF(OR(AE7="",多次统计数据!$B$8=""),"",AE7-多次统计数据!$B$8)</f>
        <v/>
      </c>
      <c r="AA7" s="14">
        <f>IF(OR(I7="",M7="",M7&lt;I7),"",M7-I7)</f>
        <v/>
      </c>
      <c r="AB7" s="7">
        <f>IF(OR(A7="",多次统计数据!$B$8="",多次统计数据!$B$6&lt;=0,多次统计数据!$B$6&gt;=1),"",1-POWER(1+多次统计数据!$B$8,-多次统计数据!$B$6/(1-多次统计数据!$B$6)))</f>
        <v/>
      </c>
      <c r="AC7" s="8">
        <f>IF(OR(AB7="",多次统计数据!$B$9=""),"",IF(多次统计数据!$B$9&lt;AB7,"低于上限","达到或超过上限"))</f>
        <v/>
      </c>
      <c r="AD7" s="2" t="n"/>
      <c r="AE7" s="7">
        <f>IF(OR(X7="",C7="",C7&lt;=0),"",X7/C7)</f>
        <v/>
      </c>
      <c r="AG7" s="28" t="n"/>
      <c r="AH7" s="28" t="n"/>
      <c r="AI7" s="28" t="n"/>
      <c r="AJ7" s="31">
        <f>IF(OR(AG7="",AH7=""),"",IF(OR(AND(AG7="短期博反弹",OR(AH7="1～3个交易日",AH7="4～10个交易日")),AND(AG7="突破冲新高",OR(AH7="4～10个交易日",AH7="11～20个交易日")),AND(AG7="趋势波段",OR(AH7="11～20个交易日",AH7="21～60个交易日",AH7="60个交易日以上"))),"匹配","周期与交易预期不匹配，请重新确认"))</f>
        <v/>
      </c>
      <c r="AK7" s="43" t="n"/>
      <c r="AL7" s="27" t="n"/>
      <c r="AM7" s="43" t="n"/>
      <c r="AN7" s="27" t="n"/>
      <c r="AO7" s="44">
        <f>IF(OR(A7="",H7="",H7&lt;=0),"",(E7*H7+IF(AND(AK7&lt;&gt;"",AL7&lt;&gt;""),AK7*AL7,0)+IF(AND(AM7&lt;&gt;"",AN7&lt;&gt;""),AM7*AN7,0))/AP7)</f>
        <v/>
      </c>
      <c r="AP7" s="26">
        <f>IF(OR(A7="",H7="",H7&lt;=0),"",H7+IF(AL7="",0,AL7)+IF(AN7="",0,AN7))</f>
        <v/>
      </c>
      <c r="AQ7" s="44">
        <f>IF(A7="","",IF(M7&lt;&gt;"",0,IF(OR(H7="",N7=""),"",MAX(E7-MAX(N7,IFERROR(AGGREGATE(14,6,'持仓跟踪'!$S$2:$S$501/(('持仓跟踪'!$A$2:$A$501="每日跟踪")*('持仓跟踪'!$B$2:$B$501=A7)),1),0)),0)*H7+IF(OR(AK7="",AL7=""),0,MAX(AK7-MAX(N7,IFERROR(AGGREGATE(14,6,'持仓跟踪'!$S$2:$S$501/(('持仓跟踪'!$A$2:$A$501="每日跟踪")*('持仓跟踪'!$B$2:$B$501=A7)),1),0)),0)*AL7)+IF(OR(AM7="",AN7=""),0,MAX(AM7-MAX(N7,IFERROR(AGGREGATE(14,6,'持仓跟踪'!$S$2:$S$501/(('持仓跟踪'!$A$2:$A$501="每日跟踪")*('持仓跟踪'!$B$2:$B$501=A7)),1),0)),0)*AN7))))</f>
        <v/>
      </c>
      <c r="AR7" s="31">
        <f>IF(A7="","",IF(OR(E7="",H7=""),"违规：第一批价格或股数缺失",IF(OR(AND(AK7="",AL7&lt;&gt;""),AND(AK7&lt;&gt;"",AL7="")),"违规：第二批价格与股数须成对填写",IF(OR(AND(AM7="",AN7&lt;&gt;""),AND(AM7&lt;&gt;"",AN7="")),"违规：第三批价格与股数须成对填写",IF(AND(OR(AM7&lt;&gt;"",AN7&lt;&gt;""),OR(AK7="",AL7="")),"违规：必须先完成第二批",IF(OR(H7&lt;=0,H7&lt;&gt;INT(H7),MOD(H7,100)&lt;&gt;0,AND(AL7&lt;&gt;"",OR(AL7&lt;=0,AL7&lt;&gt;INT(AL7),MOD(AL7,100)&lt;&gt;0)),AND(AN7&lt;&gt;"",OR(AN7&lt;=0,AN7&lt;&gt;INT(AN7),MOD(AN7,100)&lt;&gt;0))),"违规：股数须为100股整数倍",IF(AND(OR(AL7&lt;&gt;"",AN7&lt;&gt;""),OR(_LockStatus="已锁仓",_LockStatus="解锁信息不完整")),"违规：锁仓期间禁止加仓",IF(AQ7&gt;C7*D7,"违规：超过单笔风险上限",IF(SUM($AQ$2:$AQ$201)&gt;账户数据!$B$7,"违规：超过账户风险上限","通过")))))))))</f>
        <v/>
      </c>
    </row>
    <row r="8">
      <c r="A8" s="2" t="n"/>
      <c r="B8" s="2" t="n"/>
      <c r="C8" s="40" t="n"/>
      <c r="D8" s="6" t="n"/>
      <c r="E8" s="40" t="n"/>
      <c r="F8" s="8">
        <f>IF(OR(C8="",D8="",E8="",N8="",C8&lt;=0,D8&lt;=0,E8&lt;=N8),"",ROUNDDOWN((C8*D8)/(E8-N8)/100,0)*100)</f>
        <v/>
      </c>
      <c r="G8" s="8">
        <f>IF(A8="","",IF(H8&lt;&gt;"","已开仓",IF(账户数据!$B$23="已锁仓","禁止开仓：连续亏损达到上限",IF(账户数据!$B$23="解锁信息不完整","禁止开仓：请完整填写解锁信息",IF(OR(F8="",E8="",N8="",E8&lt;=N8,账户数据!$B$7=""),"",IF(OR(AG8="",AH8="",AI8=""),"禁止开仓：交易预期未填写完整",IF(COUNTIFS(持仓跟踪!$A$2:$A$501,"止损计划",持仓跟踪!$B$2:$B$501,A8,持仓跟踪!$AC$2:$AC$501,"计划有效")=0,"禁止开仓：请先填写止损计划",IF(账户数据!$B$9+F8*(E8-N8)&gt;=账户数据!$B$7,"禁止开仓：风险额度不足",IF(AJ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" s="2" t="n"/>
      <c r="I8" s="41" t="n"/>
      <c r="J8" s="40" t="n"/>
      <c r="K8" s="40" t="n"/>
      <c r="L8" s="8">
        <f>IF(K8="","",H8)</f>
        <v/>
      </c>
      <c r="M8" s="41" t="n"/>
      <c r="N8" s="40" t="n"/>
      <c r="O8" s="40" t="n"/>
      <c r="P8" s="40" t="n"/>
      <c r="Q8" s="2" t="n"/>
      <c r="R8" s="2" t="n"/>
      <c r="S8" s="2" t="n"/>
      <c r="T8" s="2" t="n"/>
      <c r="U8" s="7">
        <f>IF(OR(AO8="",J8="",AO8&lt;=0),"",(J8-AO8)/AO8)</f>
        <v/>
      </c>
      <c r="V8" s="7">
        <f>IF(OR(AO8="",N8="",AO8&lt;=0),"",(AO8-N8)/AO8)</f>
        <v/>
      </c>
      <c r="W8" s="13">
        <f>IF(OR(U8="",V8="",V8&lt;=0),"",U8/V8)</f>
        <v/>
      </c>
      <c r="X8" s="42">
        <f>IF(OR(K8="",L8="",AP8=""),"",K8*L8-(E8*H8+IF(AND(AK8&lt;&gt;"",AL8&lt;&gt;""),AK8*AL8,0)+IF(AND(AM8&lt;&gt;"",AN8&lt;&gt;""),AM8*AN8,0))-IF(O8="",0,O8)-IF(P8="",0,P8))</f>
        <v/>
      </c>
      <c r="Y8" s="7">
        <f>IF(OR(X8="",AP8=""),"",IF((E8*H8+IF(AND(AK8&lt;&gt;"",AL8&lt;&gt;""),AK8*AL8,0)+IF(AND(AM8&lt;&gt;"",AN8&lt;&gt;""),AM8*AN8,0))+IF(O8="",0,O8)&lt;=0,"",X8/((E8*H8+IF(AND(AK8&lt;&gt;"",AL8&lt;&gt;""),AK8*AL8,0)+IF(AND(AM8&lt;&gt;"",AN8&lt;&gt;""),AM8*AN8,0))+IF(O8="",0,O8))))</f>
        <v/>
      </c>
      <c r="Z8" s="7">
        <f>IF(OR(AE8="",多次统计数据!$B$8=""),"",AE8-多次统计数据!$B$8)</f>
        <v/>
      </c>
      <c r="AA8" s="14">
        <f>IF(OR(I8="",M8="",M8&lt;I8),"",M8-I8)</f>
        <v/>
      </c>
      <c r="AB8" s="7">
        <f>IF(OR(A8="",多次统计数据!$B$8="",多次统计数据!$B$6&lt;=0,多次统计数据!$B$6&gt;=1),"",1-POWER(1+多次统计数据!$B$8,-多次统计数据!$B$6/(1-多次统计数据!$B$6)))</f>
        <v/>
      </c>
      <c r="AC8" s="8">
        <f>IF(OR(AB8="",多次统计数据!$B$9=""),"",IF(多次统计数据!$B$9&lt;AB8,"低于上限","达到或超过上限"))</f>
        <v/>
      </c>
      <c r="AD8" s="2" t="n"/>
      <c r="AE8" s="7">
        <f>IF(OR(X8="",C8="",C8&lt;=0),"",X8/C8)</f>
        <v/>
      </c>
      <c r="AG8" s="28" t="n"/>
      <c r="AH8" s="28" t="n"/>
      <c r="AI8" s="28" t="n"/>
      <c r="AJ8" s="31">
        <f>IF(OR(AG8="",AH8=""),"",IF(OR(AND(AG8="短期博反弹",OR(AH8="1～3个交易日",AH8="4～10个交易日")),AND(AG8="突破冲新高",OR(AH8="4～10个交易日",AH8="11～20个交易日")),AND(AG8="趋势波段",OR(AH8="11～20个交易日",AH8="21～60个交易日",AH8="60个交易日以上"))),"匹配","周期与交易预期不匹配，请重新确认"))</f>
        <v/>
      </c>
      <c r="AK8" s="43" t="n"/>
      <c r="AL8" s="27" t="n"/>
      <c r="AM8" s="43" t="n"/>
      <c r="AN8" s="27" t="n"/>
      <c r="AO8" s="44">
        <f>IF(OR(A8="",H8="",H8&lt;=0),"",(E8*H8+IF(AND(AK8&lt;&gt;"",AL8&lt;&gt;""),AK8*AL8,0)+IF(AND(AM8&lt;&gt;"",AN8&lt;&gt;""),AM8*AN8,0))/AP8)</f>
        <v/>
      </c>
      <c r="AP8" s="26">
        <f>IF(OR(A8="",H8="",H8&lt;=0),"",H8+IF(AL8="",0,AL8)+IF(AN8="",0,AN8))</f>
        <v/>
      </c>
      <c r="AQ8" s="44">
        <f>IF(A8="","",IF(M8&lt;&gt;"",0,IF(OR(H8="",N8=""),"",MAX(E8-MAX(N8,IFERROR(AGGREGATE(14,6,'持仓跟踪'!$S$2:$S$501/(('持仓跟踪'!$A$2:$A$501="每日跟踪")*('持仓跟踪'!$B$2:$B$501=A8)),1),0)),0)*H8+IF(OR(AK8="",AL8=""),0,MAX(AK8-MAX(N8,IFERROR(AGGREGATE(14,6,'持仓跟踪'!$S$2:$S$501/(('持仓跟踪'!$A$2:$A$501="每日跟踪")*('持仓跟踪'!$B$2:$B$501=A8)),1),0)),0)*AL8)+IF(OR(AM8="",AN8=""),0,MAX(AM8-MAX(N8,IFERROR(AGGREGATE(14,6,'持仓跟踪'!$S$2:$S$501/(('持仓跟踪'!$A$2:$A$501="每日跟踪")*('持仓跟踪'!$B$2:$B$501=A8)),1),0)),0)*AN8))))</f>
        <v/>
      </c>
      <c r="AR8" s="31">
        <f>IF(A8="","",IF(OR(E8="",H8=""),"违规：第一批价格或股数缺失",IF(OR(AND(AK8="",AL8&lt;&gt;""),AND(AK8&lt;&gt;"",AL8="")),"违规：第二批价格与股数须成对填写",IF(OR(AND(AM8="",AN8&lt;&gt;""),AND(AM8&lt;&gt;"",AN8="")),"违规：第三批价格与股数须成对填写",IF(AND(OR(AM8&lt;&gt;"",AN8&lt;&gt;""),OR(AK8="",AL8="")),"违规：必须先完成第二批",IF(OR(H8&lt;=0,H8&lt;&gt;INT(H8),MOD(H8,100)&lt;&gt;0,AND(AL8&lt;&gt;"",OR(AL8&lt;=0,AL8&lt;&gt;INT(AL8),MOD(AL8,100)&lt;&gt;0)),AND(AN8&lt;&gt;"",OR(AN8&lt;=0,AN8&lt;&gt;INT(AN8),MOD(AN8,100)&lt;&gt;0))),"违规：股数须为100股整数倍",IF(AND(OR(AL8&lt;&gt;"",AN8&lt;&gt;""),OR(_LockStatus="已锁仓",_LockStatus="解锁信息不完整")),"违规：锁仓期间禁止加仓",IF(AQ8&gt;C8*D8,"违规：超过单笔风险上限",IF(SUM($AQ$2:$AQ$201)&gt;账户数据!$B$7,"违规：超过账户风险上限","通过")))))))))</f>
        <v/>
      </c>
    </row>
    <row r="9">
      <c r="A9" s="2" t="n"/>
      <c r="B9" s="2" t="n"/>
      <c r="C9" s="40" t="n"/>
      <c r="D9" s="6" t="n"/>
      <c r="E9" s="40" t="n"/>
      <c r="F9" s="8">
        <f>IF(OR(C9="",D9="",E9="",N9="",C9&lt;=0,D9&lt;=0,E9&lt;=N9),"",ROUNDDOWN((C9*D9)/(E9-N9)/100,0)*100)</f>
        <v/>
      </c>
      <c r="G9" s="8">
        <f>IF(A9="","",IF(H9&lt;&gt;"","已开仓",IF(账户数据!$B$23="已锁仓","禁止开仓：连续亏损达到上限",IF(账户数据!$B$23="解锁信息不完整","禁止开仓：请完整填写解锁信息",IF(OR(F9="",E9="",N9="",E9&lt;=N9,账户数据!$B$7=""),"",IF(OR(AG9="",AH9="",AI9=""),"禁止开仓：交易预期未填写完整",IF(COUNTIFS(持仓跟踪!$A$2:$A$501,"止损计划",持仓跟踪!$B$2:$B$501,A9,持仓跟踪!$AC$2:$AC$501,"计划有效")=0,"禁止开仓：请先填写止损计划",IF(账户数据!$B$9+F9*(E9-N9)&gt;=账户数据!$B$7,"禁止开仓：风险额度不足",IF(AJ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" s="2" t="n"/>
      <c r="I9" s="41" t="n"/>
      <c r="J9" s="40" t="n"/>
      <c r="K9" s="40" t="n"/>
      <c r="L9" s="8">
        <f>IF(K9="","",H9)</f>
        <v/>
      </c>
      <c r="M9" s="41" t="n"/>
      <c r="N9" s="40" t="n"/>
      <c r="O9" s="40" t="n"/>
      <c r="P9" s="40" t="n"/>
      <c r="Q9" s="2" t="n"/>
      <c r="R9" s="2" t="n"/>
      <c r="S9" s="2" t="n"/>
      <c r="T9" s="2" t="n"/>
      <c r="U9" s="7">
        <f>IF(OR(AO9="",J9="",AO9&lt;=0),"",(J9-AO9)/AO9)</f>
        <v/>
      </c>
      <c r="V9" s="7">
        <f>IF(OR(AO9="",N9="",AO9&lt;=0),"",(AO9-N9)/AO9)</f>
        <v/>
      </c>
      <c r="W9" s="13">
        <f>IF(OR(U9="",V9="",V9&lt;=0),"",U9/V9)</f>
        <v/>
      </c>
      <c r="X9" s="42">
        <f>IF(OR(K9="",L9="",AP9=""),"",K9*L9-(E9*H9+IF(AND(AK9&lt;&gt;"",AL9&lt;&gt;""),AK9*AL9,0)+IF(AND(AM9&lt;&gt;"",AN9&lt;&gt;""),AM9*AN9,0))-IF(O9="",0,O9)-IF(P9="",0,P9))</f>
        <v/>
      </c>
      <c r="Y9" s="7">
        <f>IF(OR(X9="",AP9=""),"",IF((E9*H9+IF(AND(AK9&lt;&gt;"",AL9&lt;&gt;""),AK9*AL9,0)+IF(AND(AM9&lt;&gt;"",AN9&lt;&gt;""),AM9*AN9,0))+IF(O9="",0,O9)&lt;=0,"",X9/((E9*H9+IF(AND(AK9&lt;&gt;"",AL9&lt;&gt;""),AK9*AL9,0)+IF(AND(AM9&lt;&gt;"",AN9&lt;&gt;""),AM9*AN9,0))+IF(O9="",0,O9))))</f>
        <v/>
      </c>
      <c r="Z9" s="7">
        <f>IF(OR(AE9="",多次统计数据!$B$8=""),"",AE9-多次统计数据!$B$8)</f>
        <v/>
      </c>
      <c r="AA9" s="14">
        <f>IF(OR(I9="",M9="",M9&lt;I9),"",M9-I9)</f>
        <v/>
      </c>
      <c r="AB9" s="7">
        <f>IF(OR(A9="",多次统计数据!$B$8="",多次统计数据!$B$6&lt;=0,多次统计数据!$B$6&gt;=1),"",1-POWER(1+多次统计数据!$B$8,-多次统计数据!$B$6/(1-多次统计数据!$B$6)))</f>
        <v/>
      </c>
      <c r="AC9" s="8">
        <f>IF(OR(AB9="",多次统计数据!$B$9=""),"",IF(多次统计数据!$B$9&lt;AB9,"低于上限","达到或超过上限"))</f>
        <v/>
      </c>
      <c r="AD9" s="2" t="n"/>
      <c r="AE9" s="7">
        <f>IF(OR(X9="",C9="",C9&lt;=0),"",X9/C9)</f>
        <v/>
      </c>
      <c r="AG9" s="28" t="n"/>
      <c r="AH9" s="28" t="n"/>
      <c r="AI9" s="28" t="n"/>
      <c r="AJ9" s="31">
        <f>IF(OR(AG9="",AH9=""),"",IF(OR(AND(AG9="短期博反弹",OR(AH9="1～3个交易日",AH9="4～10个交易日")),AND(AG9="突破冲新高",OR(AH9="4～10个交易日",AH9="11～20个交易日")),AND(AG9="趋势波段",OR(AH9="11～20个交易日",AH9="21～60个交易日",AH9="60个交易日以上"))),"匹配","周期与交易预期不匹配，请重新确认"))</f>
        <v/>
      </c>
      <c r="AK9" s="43" t="n"/>
      <c r="AL9" s="27" t="n"/>
      <c r="AM9" s="43" t="n"/>
      <c r="AN9" s="27" t="n"/>
      <c r="AO9" s="44">
        <f>IF(OR(A9="",H9="",H9&lt;=0),"",(E9*H9+IF(AND(AK9&lt;&gt;"",AL9&lt;&gt;""),AK9*AL9,0)+IF(AND(AM9&lt;&gt;"",AN9&lt;&gt;""),AM9*AN9,0))/AP9)</f>
        <v/>
      </c>
      <c r="AP9" s="26">
        <f>IF(OR(A9="",H9="",H9&lt;=0),"",H9+IF(AL9="",0,AL9)+IF(AN9="",0,AN9))</f>
        <v/>
      </c>
      <c r="AQ9" s="44">
        <f>IF(A9="","",IF(M9&lt;&gt;"",0,IF(OR(H9="",N9=""),"",MAX(E9-MAX(N9,IFERROR(AGGREGATE(14,6,'持仓跟踪'!$S$2:$S$501/(('持仓跟踪'!$A$2:$A$501="每日跟踪")*('持仓跟踪'!$B$2:$B$501=A9)),1),0)),0)*H9+IF(OR(AK9="",AL9=""),0,MAX(AK9-MAX(N9,IFERROR(AGGREGATE(14,6,'持仓跟踪'!$S$2:$S$501/(('持仓跟踪'!$A$2:$A$501="每日跟踪")*('持仓跟踪'!$B$2:$B$501=A9)),1),0)),0)*AL9)+IF(OR(AM9="",AN9=""),0,MAX(AM9-MAX(N9,IFERROR(AGGREGATE(14,6,'持仓跟踪'!$S$2:$S$501/(('持仓跟踪'!$A$2:$A$501="每日跟踪")*('持仓跟踪'!$B$2:$B$501=A9)),1),0)),0)*AN9))))</f>
        <v/>
      </c>
      <c r="AR9" s="31">
        <f>IF(A9="","",IF(OR(E9="",H9=""),"违规：第一批价格或股数缺失",IF(OR(AND(AK9="",AL9&lt;&gt;""),AND(AK9&lt;&gt;"",AL9="")),"违规：第二批价格与股数须成对填写",IF(OR(AND(AM9="",AN9&lt;&gt;""),AND(AM9&lt;&gt;"",AN9="")),"违规：第三批价格与股数须成对填写",IF(AND(OR(AM9&lt;&gt;"",AN9&lt;&gt;""),OR(AK9="",AL9="")),"违规：必须先完成第二批",IF(OR(H9&lt;=0,H9&lt;&gt;INT(H9),MOD(H9,100)&lt;&gt;0,AND(AL9&lt;&gt;"",OR(AL9&lt;=0,AL9&lt;&gt;INT(AL9),MOD(AL9,100)&lt;&gt;0)),AND(AN9&lt;&gt;"",OR(AN9&lt;=0,AN9&lt;&gt;INT(AN9),MOD(AN9,100)&lt;&gt;0))),"违规：股数须为100股整数倍",IF(AND(OR(AL9&lt;&gt;"",AN9&lt;&gt;""),OR(_LockStatus="已锁仓",_LockStatus="解锁信息不完整")),"违规：锁仓期间禁止加仓",IF(AQ9&gt;C9*D9,"违规：超过单笔风险上限",IF(SUM($AQ$2:$AQ$201)&gt;账户数据!$B$7,"违规：超过账户风险上限","通过")))))))))</f>
        <v/>
      </c>
    </row>
    <row r="10" ht="27" customHeight="1">
      <c r="A10" s="2" t="n">
        <v>9</v>
      </c>
      <c r="B10" s="2" t="inlineStr">
        <is>
          <t>北方稀土</t>
        </is>
      </c>
      <c r="C10" s="40" t="n">
        <v>89175</v>
      </c>
      <c r="D10" s="6" t="n">
        <v>0.02</v>
      </c>
      <c r="E10" s="40" t="n">
        <v>16.87</v>
      </c>
      <c r="F10" s="8">
        <f>IF(OR(C10="",D10="",E10="",N10="",C10&lt;=0,D10&lt;=0,E10&lt;=N10),"",ROUNDDOWN((C10*D10)/(E10-N10)/100,0)*100)</f>
        <v/>
      </c>
      <c r="G10" s="8">
        <f>IF(A10="","",IF(H10&lt;&gt;"","已开仓",IF(账户数据!$B$23="已锁仓","禁止开仓：连续亏损达到上限",IF(账户数据!$B$23="解锁信息不完整","禁止开仓：请完整填写解锁信息",IF(OR(F10="",E10="",N10="",E10&lt;=N10,账户数据!$B$7=""),"",IF(OR(AG10="",AH10="",AI10=""),"禁止开仓：交易预期未填写完整",IF(COUNTIFS(持仓跟踪!$A$2:$A$501,"止损计划",持仓跟踪!$B$2:$B$501,A10,持仓跟踪!$AC$2:$AC$501,"计划有效")=0,"禁止开仓：请先填写止损计划",IF(账户数据!$B$9+F10*(E10-N10)&gt;=账户数据!$B$7,"禁止开仓：风险额度不足",IF(AJ10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" s="2" t="n">
        <v>4200</v>
      </c>
      <c r="I10" s="41" t="n">
        <v>45559</v>
      </c>
      <c r="J10" s="40" t="n">
        <v>18</v>
      </c>
      <c r="K10" s="40" t="n">
        <v>19.73</v>
      </c>
      <c r="L10" s="8">
        <f>IF(K10="","",H10)</f>
        <v/>
      </c>
      <c r="M10" s="41" t="n">
        <v>45576</v>
      </c>
      <c r="N10" s="40" t="n">
        <v>16.45</v>
      </c>
      <c r="O10" s="40" t="n"/>
      <c r="P10" s="40" t="n"/>
      <c r="Q10" s="2" t="n"/>
      <c r="R10" s="2" t="inlineStr">
        <is>
          <t>下方支撑位</t>
        </is>
      </c>
      <c r="S10" s="2" t="inlineStr">
        <is>
          <t>前方高点，整数位，凑一下啊盈亏比</t>
        </is>
      </c>
      <c r="T10" s="2" t="n"/>
      <c r="U10" s="7">
        <f>IF(OR(AO10="",J10="",AO10&lt;=0),"",(J10-AO10)/AO10)</f>
        <v/>
      </c>
      <c r="V10" s="7">
        <f>IF(OR(AO10="",N10="",AO10&lt;=0),"",(AO10-N10)/AO10)</f>
        <v/>
      </c>
      <c r="W10" s="13">
        <f>IF(OR(U10="",V10="",V10&lt;=0),"",U10/V10)</f>
        <v/>
      </c>
      <c r="X10" s="42">
        <f>IF(OR(K10="",L10="",AP10=""),"",K10*L10-(E10*H10+IF(AND(AK10&lt;&gt;"",AL10&lt;&gt;""),AK10*AL10,0)+IF(AND(AM10&lt;&gt;"",AN10&lt;&gt;""),AM10*AN10,0))-IF(O10="",0,O10)-IF(P10="",0,P10))</f>
        <v/>
      </c>
      <c r="Y10" s="7">
        <f>IF(OR(X10="",AP10=""),"",IF((E10*H10+IF(AND(AK10&lt;&gt;"",AL10&lt;&gt;""),AK10*AL10,0)+IF(AND(AM10&lt;&gt;"",AN10&lt;&gt;""),AM10*AN10,0))+IF(O10="",0,O10)&lt;=0,"",X10/((E10*H10+IF(AND(AK10&lt;&gt;"",AL10&lt;&gt;""),AK10*AL10,0)+IF(AND(AM10&lt;&gt;"",AN10&lt;&gt;""),AM10*AN10,0))+IF(O10="",0,O10))))</f>
        <v/>
      </c>
      <c r="Z10" s="7">
        <f>IF(OR(AE10="",多次统计数据!$B$8=""),"",AE10-多次统计数据!$B$8)</f>
        <v/>
      </c>
      <c r="AA10" s="14">
        <f>IF(OR(I10="",M10="",M10&lt;I10),"",M10-I10)</f>
        <v/>
      </c>
      <c r="AB10" s="7">
        <f>IF(OR(A10="",多次统计数据!$B$8="",多次统计数据!$B$6&lt;=0,多次统计数据!$B$6&gt;=1),"",1-POWER(1+多次统计数据!$B$8,-多次统计数据!$B$6/(1-多次统计数据!$B$6)))</f>
        <v/>
      </c>
      <c r="AC10" s="8">
        <f>IF(OR(AB10="",多次统计数据!$B$9=""),"",IF(多次统计数据!$B$9&lt;AB10,"低于上限","达到或超过上限"))</f>
        <v/>
      </c>
      <c r="AD10" s="2" t="n"/>
      <c r="AE10" s="7">
        <f>IF(OR(X10="",C10="",C10&lt;=0),"",X10/C10)</f>
        <v/>
      </c>
      <c r="AG10" s="28" t="n"/>
      <c r="AH10" s="28" t="n"/>
      <c r="AI10" s="28" t="n"/>
      <c r="AJ10" s="31">
        <f>IF(OR(AG10="",AH10=""),"",IF(OR(AND(AG10="短期博反弹",OR(AH10="1～3个交易日",AH10="4～10个交易日")),AND(AG10="突破冲新高",OR(AH10="4～10个交易日",AH10="11～20个交易日")),AND(AG10="趋势波段",OR(AH10="11～20个交易日",AH10="21～60个交易日",AH10="60个交易日以上"))),"匹配","周期与交易预期不匹配，请重新确认"))</f>
        <v/>
      </c>
      <c r="AK10" s="43" t="n"/>
      <c r="AL10" s="27" t="n"/>
      <c r="AM10" s="43" t="n"/>
      <c r="AN10" s="27" t="n"/>
      <c r="AO10" s="44">
        <f>IF(OR(A10="",H10="",H10&lt;=0),"",(E10*H10+IF(AND(AK10&lt;&gt;"",AL10&lt;&gt;""),AK10*AL10,0)+IF(AND(AM10&lt;&gt;"",AN10&lt;&gt;""),AM10*AN10,0))/AP10)</f>
        <v/>
      </c>
      <c r="AP10" s="26">
        <f>IF(OR(A10="",H10="",H10&lt;=0),"",H10+IF(AL10="",0,AL10)+IF(AN10="",0,AN10))</f>
        <v/>
      </c>
      <c r="AQ10" s="44">
        <f>IF(A10="","",IF(M10&lt;&gt;"",0,IF(OR(H10="",N10=""),"",MAX(E10-MAX(N10,IFERROR(AGGREGATE(14,6,'持仓跟踪'!$S$2:$S$501/(('持仓跟踪'!$A$2:$A$501="每日跟踪")*('持仓跟踪'!$B$2:$B$501=A10)),1),0)),0)*H10+IF(OR(AK10="",AL10=""),0,MAX(AK10-MAX(N10,IFERROR(AGGREGATE(14,6,'持仓跟踪'!$S$2:$S$501/(('持仓跟踪'!$A$2:$A$501="每日跟踪")*('持仓跟踪'!$B$2:$B$501=A10)),1),0)),0)*AL10)+IF(OR(AM10="",AN10=""),0,MAX(AM10-MAX(N10,IFERROR(AGGREGATE(14,6,'持仓跟踪'!$S$2:$S$501/(('持仓跟踪'!$A$2:$A$501="每日跟踪")*('持仓跟踪'!$B$2:$B$501=A10)),1),0)),0)*AN10))))</f>
        <v/>
      </c>
      <c r="AR10" s="31">
        <f>IF(A10="","",IF(OR(E10="",H10=""),"违规：第一批价格或股数缺失",IF(OR(AND(AK10="",AL10&lt;&gt;""),AND(AK10&lt;&gt;"",AL10="")),"违规：第二批价格与股数须成对填写",IF(OR(AND(AM10="",AN10&lt;&gt;""),AND(AM10&lt;&gt;"",AN10="")),"违规：第三批价格与股数须成对填写",IF(AND(OR(AM10&lt;&gt;"",AN10&lt;&gt;""),OR(AK10="",AL10="")),"违规：必须先完成第二批",IF(OR(H10&lt;=0,H10&lt;&gt;INT(H10),MOD(H10,100)&lt;&gt;0,AND(AL10&lt;&gt;"",OR(AL10&lt;=0,AL10&lt;&gt;INT(AL10),MOD(AL10,100)&lt;&gt;0)),AND(AN10&lt;&gt;"",OR(AN10&lt;=0,AN10&lt;&gt;INT(AN10),MOD(AN10,100)&lt;&gt;0))),"违规：股数须为100股整数倍",IF(AND(OR(AL10&lt;&gt;"",AN10&lt;&gt;""),OR(_LockStatus="已锁仓",_LockStatus="解锁信息不完整")),"违规：锁仓期间禁止加仓",IF(AQ10&gt;C10*D10,"违规：超过单笔风险上限",IF(SUM($AQ$2:$AQ$201)&gt;账户数据!$B$7,"违规：超过账户风险上限","通过")))))))))</f>
        <v/>
      </c>
    </row>
    <row r="11">
      <c r="A11" s="2" t="n">
        <v>10</v>
      </c>
      <c r="B11" s="2" t="inlineStr">
        <is>
          <t>北方稀土</t>
        </is>
      </c>
      <c r="C11" s="40" t="n">
        <v>101187</v>
      </c>
      <c r="D11" s="6" t="n">
        <v>0.02</v>
      </c>
      <c r="E11" s="40" t="n">
        <v>24.41</v>
      </c>
      <c r="F11" s="8">
        <f>IF(OR(C11="",D11="",E11="",N11="",C11&lt;=0,D11&lt;=0,E11&lt;=N11),"",ROUNDDOWN((C11*D11)/(E11-N11)/100,0)*100)</f>
        <v/>
      </c>
      <c r="G11" s="8">
        <f>IF(A11="","",IF(H11&lt;&gt;"","已开仓",IF(账户数据!$B$23="已锁仓","禁止开仓：连续亏损达到上限",IF(账户数据!$B$23="解锁信息不完整","禁止开仓：请完整填写解锁信息",IF(OR(F11="",E11="",N11="",E11&lt;=N11,账户数据!$B$7=""),"",IF(OR(AG11="",AH11="",AI11=""),"禁止开仓：交易预期未填写完整",IF(COUNTIFS(持仓跟踪!$A$2:$A$501,"止损计划",持仓跟踪!$B$2:$B$501,A11,持仓跟踪!$AC$2:$AC$501,"计划有效")=0,"禁止开仓：请先填写止损计划",IF(账户数据!$B$9+F11*(E11-N11)&gt;=账户数据!$B$7,"禁止开仓：风险额度不足",IF(AJ11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" s="2" t="n">
        <v>1800</v>
      </c>
      <c r="I11" s="41" t="n">
        <v>45783</v>
      </c>
      <c r="J11" s="40" t="n">
        <v>26.8</v>
      </c>
      <c r="K11" s="40" t="n">
        <v>23.19</v>
      </c>
      <c r="L11" s="8">
        <f>IF(K11="","",H11)</f>
        <v/>
      </c>
      <c r="M11" s="41" t="n">
        <v>45799</v>
      </c>
      <c r="N11" s="40" t="n">
        <v>23.3</v>
      </c>
      <c r="O11" s="40" t="n"/>
      <c r="P11" s="40" t="n"/>
      <c r="Q11" s="2" t="n"/>
      <c r="R11" s="2" t="n"/>
      <c r="S11" s="2" t="n"/>
      <c r="T11" s="2" t="n"/>
      <c r="U11" s="7">
        <f>IF(OR(AO11="",J11="",AO11&lt;=0),"",(J11-AO11)/AO11)</f>
        <v/>
      </c>
      <c r="V11" s="7">
        <f>IF(OR(AO11="",N11="",AO11&lt;=0),"",(AO11-N11)/AO11)</f>
        <v/>
      </c>
      <c r="W11" s="13">
        <f>IF(OR(U11="",V11="",V11&lt;=0),"",U11/V11)</f>
        <v/>
      </c>
      <c r="X11" s="42">
        <f>IF(OR(K11="",L11="",AP11=""),"",K11*L11-(E11*H11+IF(AND(AK11&lt;&gt;"",AL11&lt;&gt;""),AK11*AL11,0)+IF(AND(AM11&lt;&gt;"",AN11&lt;&gt;""),AM11*AN11,0))-IF(O11="",0,O11)-IF(P11="",0,P11))</f>
        <v/>
      </c>
      <c r="Y11" s="7">
        <f>IF(OR(X11="",AP11=""),"",IF((E11*H11+IF(AND(AK11&lt;&gt;"",AL11&lt;&gt;""),AK11*AL11,0)+IF(AND(AM11&lt;&gt;"",AN11&lt;&gt;""),AM11*AN11,0))+IF(O11="",0,O11)&lt;=0,"",X11/((E11*H11+IF(AND(AK11&lt;&gt;"",AL11&lt;&gt;""),AK11*AL11,0)+IF(AND(AM11&lt;&gt;"",AN11&lt;&gt;""),AM11*AN11,0))+IF(O11="",0,O11))))</f>
        <v/>
      </c>
      <c r="Z11" s="7">
        <f>IF(OR(AE11="",多次统计数据!$B$8=""),"",AE11-多次统计数据!$B$8)</f>
        <v/>
      </c>
      <c r="AA11" s="14">
        <f>IF(OR(I11="",M11="",M11&lt;I11),"",M11-I11)</f>
        <v/>
      </c>
      <c r="AB11" s="7">
        <f>IF(OR(A11="",多次统计数据!$B$8="",多次统计数据!$B$6&lt;=0,多次统计数据!$B$6&gt;=1),"",1-POWER(1+多次统计数据!$B$8,-多次统计数据!$B$6/(1-多次统计数据!$B$6)))</f>
        <v/>
      </c>
      <c r="AC11" s="8">
        <f>IF(OR(AB11="",多次统计数据!$B$9=""),"",IF(多次统计数据!$B$9&lt;AB11,"低于上限","达到或超过上限"))</f>
        <v/>
      </c>
      <c r="AD11" s="2" t="n"/>
      <c r="AE11" s="7">
        <f>IF(OR(X11="",C11="",C11&lt;=0),"",X11/C11)</f>
        <v/>
      </c>
      <c r="AG11" s="28" t="n"/>
      <c r="AH11" s="28" t="n"/>
      <c r="AI11" s="28" t="n"/>
      <c r="AJ11" s="31">
        <f>IF(OR(AG11="",AH11=""),"",IF(OR(AND(AG11="短期博反弹",OR(AH11="1～3个交易日",AH11="4～10个交易日")),AND(AG11="突破冲新高",OR(AH11="4～10个交易日",AH11="11～20个交易日")),AND(AG11="趋势波段",OR(AH11="11～20个交易日",AH11="21～60个交易日",AH11="60个交易日以上"))),"匹配","周期与交易预期不匹配，请重新确认"))</f>
        <v/>
      </c>
      <c r="AK11" s="43" t="n"/>
      <c r="AL11" s="27" t="n"/>
      <c r="AM11" s="43" t="n"/>
      <c r="AN11" s="27" t="n"/>
      <c r="AO11" s="44">
        <f>IF(OR(A11="",H11="",H11&lt;=0),"",(E11*H11+IF(AND(AK11&lt;&gt;"",AL11&lt;&gt;""),AK11*AL11,0)+IF(AND(AM11&lt;&gt;"",AN11&lt;&gt;""),AM11*AN11,0))/AP11)</f>
        <v/>
      </c>
      <c r="AP11" s="26">
        <f>IF(OR(A11="",H11="",H11&lt;=0),"",H11+IF(AL11="",0,AL11)+IF(AN11="",0,AN11))</f>
        <v/>
      </c>
      <c r="AQ11" s="44">
        <f>IF(A11="","",IF(M11&lt;&gt;"",0,IF(OR(H11="",N11=""),"",MAX(E11-MAX(N11,IFERROR(AGGREGATE(14,6,'持仓跟踪'!$S$2:$S$501/(('持仓跟踪'!$A$2:$A$501="每日跟踪")*('持仓跟踪'!$B$2:$B$501=A11)),1),0)),0)*H11+IF(OR(AK11="",AL11=""),0,MAX(AK11-MAX(N11,IFERROR(AGGREGATE(14,6,'持仓跟踪'!$S$2:$S$501/(('持仓跟踪'!$A$2:$A$501="每日跟踪")*('持仓跟踪'!$B$2:$B$501=A11)),1),0)),0)*AL11)+IF(OR(AM11="",AN11=""),0,MAX(AM11-MAX(N11,IFERROR(AGGREGATE(14,6,'持仓跟踪'!$S$2:$S$501/(('持仓跟踪'!$A$2:$A$501="每日跟踪")*('持仓跟踪'!$B$2:$B$501=A11)),1),0)),0)*AN11))))</f>
        <v/>
      </c>
      <c r="AR11" s="31">
        <f>IF(A11="","",IF(OR(E11="",H11=""),"违规：第一批价格或股数缺失",IF(OR(AND(AK11="",AL11&lt;&gt;""),AND(AK11&lt;&gt;"",AL11="")),"违规：第二批价格与股数须成对填写",IF(OR(AND(AM11="",AN11&lt;&gt;""),AND(AM11&lt;&gt;"",AN11="")),"违规：第三批价格与股数须成对填写",IF(AND(OR(AM11&lt;&gt;"",AN11&lt;&gt;""),OR(AK11="",AL11="")),"违规：必须先完成第二批",IF(OR(H11&lt;=0,H11&lt;&gt;INT(H11),MOD(H11,100)&lt;&gt;0,AND(AL11&lt;&gt;"",OR(AL11&lt;=0,AL11&lt;&gt;INT(AL11),MOD(AL11,100)&lt;&gt;0)),AND(AN11&lt;&gt;"",OR(AN11&lt;=0,AN11&lt;&gt;INT(AN11),MOD(AN11,100)&lt;&gt;0))),"违规：股数须为100股整数倍",IF(AND(OR(AL11&lt;&gt;"",AN11&lt;&gt;""),OR(_LockStatus="已锁仓",_LockStatus="解锁信息不完整")),"违规：锁仓期间禁止加仓",IF(AQ11&gt;C11*D11,"违规：超过单笔风险上限",IF(SUM($AQ$2:$AQ$201)&gt;账户数据!$B$7,"违规：超过账户风险上限","通过")))))))))</f>
        <v/>
      </c>
    </row>
    <row r="12">
      <c r="A12" s="2" t="n">
        <v>11</v>
      </c>
      <c r="B12" s="2" t="inlineStr">
        <is>
          <t>赛轮轮胎</t>
        </is>
      </c>
      <c r="C12" s="40" t="n">
        <v>98991</v>
      </c>
      <c r="D12" s="6" t="n">
        <v>0.02</v>
      </c>
      <c r="E12" s="40" t="n">
        <v>8.220000000000001</v>
      </c>
      <c r="F12" s="8">
        <f>IF(OR(C12="",D12="",E12="",N12="",C12&lt;=0,D12&lt;=0,E12&lt;=N12),"",ROUNDDOWN((C12*D12)/(E12-N12)/100,0)*100)</f>
        <v/>
      </c>
      <c r="G12" s="8">
        <f>IF(A12="","",IF(H12&lt;&gt;"","已开仓",IF(账户数据!$B$23="已锁仓","禁止开仓：连续亏损达到上限",IF(账户数据!$B$23="解锁信息不完整","禁止开仓：请完整填写解锁信息",IF(OR(F12="",E12="",N12="",E12&lt;=N12,账户数据!$B$7=""),"",IF(OR(AG12="",AH12="",AI12=""),"禁止开仓：交易预期未填写完整",IF(COUNTIFS(持仓跟踪!$A$2:$A$501,"止损计划",持仓跟踪!$B$2:$B$501,A12,持仓跟踪!$AC$2:$AC$501,"计划有效")=0,"禁止开仓：请先填写止损计划",IF(账户数据!$B$9+F12*(E12-N12)&gt;=账户数据!$B$7,"禁止开仓：风险额度不足",IF(AJ12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" s="2" t="n">
        <v>3100</v>
      </c>
      <c r="I12" s="41" t="n">
        <v>44867</v>
      </c>
      <c r="J12" s="40" t="n">
        <v>9.5</v>
      </c>
      <c r="K12" s="40" t="n">
        <v>8.44</v>
      </c>
      <c r="L12" s="8">
        <f>IF(K12="","",H12)</f>
        <v/>
      </c>
      <c r="M12" s="41" t="n">
        <v>44923</v>
      </c>
      <c r="N12" s="40" t="n">
        <v>7.6</v>
      </c>
      <c r="O12" s="40" t="n"/>
      <c r="P12" s="40" t="n"/>
      <c r="Q12" s="2" t="n"/>
      <c r="R12" s="2" t="inlineStr">
        <is>
          <t>前方支撑位</t>
        </is>
      </c>
      <c r="S12" s="2" t="inlineStr">
        <is>
          <t>前方高点</t>
        </is>
      </c>
      <c r="T12" s="2" t="n"/>
      <c r="U12" s="7">
        <f>IF(OR(AO12="",J12="",AO12&lt;=0),"",(J12-AO12)/AO12)</f>
        <v/>
      </c>
      <c r="V12" s="7">
        <f>IF(OR(AO12="",N12="",AO12&lt;=0),"",(AO12-N12)/AO12)</f>
        <v/>
      </c>
      <c r="W12" s="13">
        <f>IF(OR(U12="",V12="",V12&lt;=0),"",U12/V12)</f>
        <v/>
      </c>
      <c r="X12" s="42">
        <f>IF(OR(K12="",L12="",AP12=""),"",K12*L12-(E12*H12+IF(AND(AK12&lt;&gt;"",AL12&lt;&gt;""),AK12*AL12,0)+IF(AND(AM12&lt;&gt;"",AN12&lt;&gt;""),AM12*AN12,0))-IF(O12="",0,O12)-IF(P12="",0,P12))</f>
        <v/>
      </c>
      <c r="Y12" s="7">
        <f>IF(OR(X12="",AP12=""),"",IF((E12*H12+IF(AND(AK12&lt;&gt;"",AL12&lt;&gt;""),AK12*AL12,0)+IF(AND(AM12&lt;&gt;"",AN12&lt;&gt;""),AM12*AN12,0))+IF(O12="",0,O12)&lt;=0,"",X12/((E12*H12+IF(AND(AK12&lt;&gt;"",AL12&lt;&gt;""),AK12*AL12,0)+IF(AND(AM12&lt;&gt;"",AN12&lt;&gt;""),AM12*AN12,0))+IF(O12="",0,O12))))</f>
        <v/>
      </c>
      <c r="Z12" s="7">
        <f>IF(OR(AE12="",多次统计数据!$B$8=""),"",AE12-多次统计数据!$B$8)</f>
        <v/>
      </c>
      <c r="AA12" s="14">
        <f>IF(OR(I12="",M12="",M12&lt;I12),"",M12-I12)</f>
        <v/>
      </c>
      <c r="AB12" s="7">
        <f>IF(OR(A12="",多次统计数据!$B$8="",多次统计数据!$B$6&lt;=0,多次统计数据!$B$6&gt;=1),"",1-POWER(1+多次统计数据!$B$8,-多次统计数据!$B$6/(1-多次统计数据!$B$6)))</f>
        <v/>
      </c>
      <c r="AC12" s="8">
        <f>IF(OR(AB12="",多次统计数据!$B$9=""),"",IF(多次统计数据!$B$9&lt;AB12,"低于上限","达到或超过上限"))</f>
        <v/>
      </c>
      <c r="AD12" s="2" t="n"/>
      <c r="AE12" s="7">
        <f>IF(OR(X12="",C12="",C12&lt;=0),"",X12/C12)</f>
        <v/>
      </c>
      <c r="AG12" s="28" t="n"/>
      <c r="AH12" s="28" t="n"/>
      <c r="AI12" s="28" t="n"/>
      <c r="AJ12" s="31">
        <f>IF(OR(AG12="",AH12=""),"",IF(OR(AND(AG12="短期博反弹",OR(AH12="1～3个交易日",AH12="4～10个交易日")),AND(AG12="突破冲新高",OR(AH12="4～10个交易日",AH12="11～20个交易日")),AND(AG12="趋势波段",OR(AH12="11～20个交易日",AH12="21～60个交易日",AH12="60个交易日以上"))),"匹配","周期与交易预期不匹配，请重新确认"))</f>
        <v/>
      </c>
      <c r="AK12" s="43" t="n"/>
      <c r="AL12" s="27" t="n"/>
      <c r="AM12" s="43" t="n"/>
      <c r="AN12" s="27" t="n"/>
      <c r="AO12" s="44">
        <f>IF(OR(A12="",H12="",H12&lt;=0),"",(E12*H12+IF(AND(AK12&lt;&gt;"",AL12&lt;&gt;""),AK12*AL12,0)+IF(AND(AM12&lt;&gt;"",AN12&lt;&gt;""),AM12*AN12,0))/AP12)</f>
        <v/>
      </c>
      <c r="AP12" s="26">
        <f>IF(OR(A12="",H12="",H12&lt;=0),"",H12+IF(AL12="",0,AL12)+IF(AN12="",0,AN12))</f>
        <v/>
      </c>
      <c r="AQ12" s="44">
        <f>IF(A12="","",IF(M12&lt;&gt;"",0,IF(OR(H12="",N12=""),"",MAX(E12-MAX(N12,IFERROR(AGGREGATE(14,6,'持仓跟踪'!$S$2:$S$501/(('持仓跟踪'!$A$2:$A$501="每日跟踪")*('持仓跟踪'!$B$2:$B$501=A12)),1),0)),0)*H12+IF(OR(AK12="",AL12=""),0,MAX(AK12-MAX(N12,IFERROR(AGGREGATE(14,6,'持仓跟踪'!$S$2:$S$501/(('持仓跟踪'!$A$2:$A$501="每日跟踪")*('持仓跟踪'!$B$2:$B$501=A12)),1),0)),0)*AL12)+IF(OR(AM12="",AN12=""),0,MAX(AM12-MAX(N12,IFERROR(AGGREGATE(14,6,'持仓跟踪'!$S$2:$S$501/(('持仓跟踪'!$A$2:$A$501="每日跟踪")*('持仓跟踪'!$B$2:$B$501=A12)),1),0)),0)*AN12))))</f>
        <v/>
      </c>
      <c r="AR12" s="31">
        <f>IF(A12="","",IF(OR(E12="",H12=""),"违规：第一批价格或股数缺失",IF(OR(AND(AK12="",AL12&lt;&gt;""),AND(AK12&lt;&gt;"",AL12="")),"违规：第二批价格与股数须成对填写",IF(OR(AND(AM12="",AN12&lt;&gt;""),AND(AM12&lt;&gt;"",AN12="")),"违规：第三批价格与股数须成对填写",IF(AND(OR(AM12&lt;&gt;"",AN12&lt;&gt;""),OR(AK12="",AL12="")),"违规：必须先完成第二批",IF(OR(H12&lt;=0,H12&lt;&gt;INT(H12),MOD(H12,100)&lt;&gt;0,AND(AL12&lt;&gt;"",OR(AL12&lt;=0,AL12&lt;&gt;INT(AL12),MOD(AL12,100)&lt;&gt;0)),AND(AN12&lt;&gt;"",OR(AN12&lt;=0,AN12&lt;&gt;INT(AN12),MOD(AN12,100)&lt;&gt;0))),"违规：股数须为100股整数倍",IF(AND(OR(AL12&lt;&gt;"",AN12&lt;&gt;""),OR(_LockStatus="已锁仓",_LockStatus="解锁信息不完整")),"违规：锁仓期间禁止加仓",IF(AQ12&gt;C12*D12,"违规：超过单笔风险上限",IF(SUM($AQ$2:$AQ$201)&gt;账户数据!$B$7,"违规：超过账户风险上限","通过")))))))))</f>
        <v/>
      </c>
    </row>
    <row r="13">
      <c r="A13" s="2" t="n">
        <v>12</v>
      </c>
      <c r="B13" s="2" t="inlineStr">
        <is>
          <t>赛轮轮胎</t>
        </is>
      </c>
      <c r="C13" s="40" t="n">
        <v>99673</v>
      </c>
      <c r="D13" s="6" t="n">
        <v>0.02</v>
      </c>
      <c r="E13" s="40" t="n">
        <v>10.38</v>
      </c>
      <c r="F13" s="8">
        <f>IF(OR(C13="",D13="",E13="",N13="",C13&lt;=0,D13&lt;=0,E13&lt;=N13),"",ROUNDDOWN((C13*D13)/(E13-N13)/100,0)*100)</f>
        <v/>
      </c>
      <c r="G13" s="8">
        <f>IF(A13="","",IF(H13&lt;&gt;"","已开仓",IF(账户数据!$B$23="已锁仓","禁止开仓：连续亏损达到上限",IF(账户数据!$B$23="解锁信息不完整","禁止开仓：请完整填写解锁信息",IF(OR(F13="",E13="",N13="",E13&lt;=N13,账户数据!$B$7=""),"",IF(OR(AG13="",AH13="",AI13=""),"禁止开仓：交易预期未填写完整",IF(COUNTIFS(持仓跟踪!$A$2:$A$501,"止损计划",持仓跟踪!$B$2:$B$501,A13,持仓跟踪!$AC$2:$AC$501,"计划有效")=0,"禁止开仓：请先填写止损计划",IF(账户数据!$B$9+F13*(E13-N13)&gt;=账户数据!$B$7,"禁止开仓：风险额度不足",IF(AJ13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" s="2" t="n">
        <v>2200</v>
      </c>
      <c r="I13" s="41" t="n">
        <v>44979</v>
      </c>
      <c r="J13" s="40" t="n">
        <v>12.17</v>
      </c>
      <c r="K13" s="40" t="n">
        <v>9.550000000000001</v>
      </c>
      <c r="L13" s="8">
        <f>IF(K13="","",H13)</f>
        <v/>
      </c>
      <c r="M13" s="41" t="n">
        <v>44995</v>
      </c>
      <c r="N13" s="40" t="n">
        <v>9.5</v>
      </c>
      <c r="O13" s="40" t="n"/>
      <c r="P13" s="40" t="n"/>
      <c r="Q13" s="2" t="n"/>
      <c r="R13" s="2" t="inlineStr">
        <is>
          <t>前方支撑区域</t>
        </is>
      </c>
      <c r="S13" s="2" t="inlineStr">
        <is>
          <t>前方高点</t>
        </is>
      </c>
      <c r="T13" s="2" t="n"/>
      <c r="U13" s="7">
        <f>IF(OR(AO13="",J13="",AO13&lt;=0),"",(J13-AO13)/AO13)</f>
        <v/>
      </c>
      <c r="V13" s="7">
        <f>IF(OR(AO13="",N13="",AO13&lt;=0),"",(AO13-N13)/AO13)</f>
        <v/>
      </c>
      <c r="W13" s="13">
        <f>IF(OR(U13="",V13="",V13&lt;=0),"",U13/V13)</f>
        <v/>
      </c>
      <c r="X13" s="42">
        <f>IF(OR(K13="",L13="",AP13=""),"",K13*L13-(E13*H13+IF(AND(AK13&lt;&gt;"",AL13&lt;&gt;""),AK13*AL13,0)+IF(AND(AM13&lt;&gt;"",AN13&lt;&gt;""),AM13*AN13,0))-IF(O13="",0,O13)-IF(P13="",0,P13))</f>
        <v/>
      </c>
      <c r="Y13" s="7">
        <f>IF(OR(X13="",AP13=""),"",IF((E13*H13+IF(AND(AK13&lt;&gt;"",AL13&lt;&gt;""),AK13*AL13,0)+IF(AND(AM13&lt;&gt;"",AN13&lt;&gt;""),AM13*AN13,0))+IF(O13="",0,O13)&lt;=0,"",X13/((E13*H13+IF(AND(AK13&lt;&gt;"",AL13&lt;&gt;""),AK13*AL13,0)+IF(AND(AM13&lt;&gt;"",AN13&lt;&gt;""),AM13*AN13,0))+IF(O13="",0,O13))))</f>
        <v/>
      </c>
      <c r="Z13" s="7">
        <f>IF(OR(AE13="",多次统计数据!$B$8=""),"",AE13-多次统计数据!$B$8)</f>
        <v/>
      </c>
      <c r="AA13" s="14">
        <f>IF(OR(I13="",M13="",M13&lt;I13),"",M13-I13)</f>
        <v/>
      </c>
      <c r="AB13" s="7">
        <f>IF(OR(A13="",多次统计数据!$B$8="",多次统计数据!$B$6&lt;=0,多次统计数据!$B$6&gt;=1),"",1-POWER(1+多次统计数据!$B$8,-多次统计数据!$B$6/(1-多次统计数据!$B$6)))</f>
        <v/>
      </c>
      <c r="AC13" s="8">
        <f>IF(OR(AB13="",多次统计数据!$B$9=""),"",IF(多次统计数据!$B$9&lt;AB13,"低于上限","达到或超过上限"))</f>
        <v/>
      </c>
      <c r="AD13" s="2" t="n"/>
      <c r="AE13" s="7">
        <f>IF(OR(X13="",C13="",C13&lt;=0),"",X13/C13)</f>
        <v/>
      </c>
      <c r="AG13" s="28" t="n"/>
      <c r="AH13" s="28" t="n"/>
      <c r="AI13" s="28" t="n"/>
      <c r="AJ13" s="31">
        <f>IF(OR(AG13="",AH13=""),"",IF(OR(AND(AG13="短期博反弹",OR(AH13="1～3个交易日",AH13="4～10个交易日")),AND(AG13="突破冲新高",OR(AH13="4～10个交易日",AH13="11～20个交易日")),AND(AG13="趋势波段",OR(AH13="11～20个交易日",AH13="21～60个交易日",AH13="60个交易日以上"))),"匹配","周期与交易预期不匹配，请重新确认"))</f>
        <v/>
      </c>
      <c r="AK13" s="43" t="n"/>
      <c r="AL13" s="27" t="n"/>
      <c r="AM13" s="43" t="n"/>
      <c r="AN13" s="27" t="n"/>
      <c r="AO13" s="44">
        <f>IF(OR(A13="",H13="",H13&lt;=0),"",(E13*H13+IF(AND(AK13&lt;&gt;"",AL13&lt;&gt;""),AK13*AL13,0)+IF(AND(AM13&lt;&gt;"",AN13&lt;&gt;""),AM13*AN13,0))/AP13)</f>
        <v/>
      </c>
      <c r="AP13" s="26">
        <f>IF(OR(A13="",H13="",H13&lt;=0),"",H13+IF(AL13="",0,AL13)+IF(AN13="",0,AN13))</f>
        <v/>
      </c>
      <c r="AQ13" s="44">
        <f>IF(A13="","",IF(M13&lt;&gt;"",0,IF(OR(H13="",N13=""),"",MAX(E13-MAX(N13,IFERROR(AGGREGATE(14,6,'持仓跟踪'!$S$2:$S$501/(('持仓跟踪'!$A$2:$A$501="每日跟踪")*('持仓跟踪'!$B$2:$B$501=A13)),1),0)),0)*H13+IF(OR(AK13="",AL13=""),0,MAX(AK13-MAX(N13,IFERROR(AGGREGATE(14,6,'持仓跟踪'!$S$2:$S$501/(('持仓跟踪'!$A$2:$A$501="每日跟踪")*('持仓跟踪'!$B$2:$B$501=A13)),1),0)),0)*AL13)+IF(OR(AM13="",AN13=""),0,MAX(AM13-MAX(N13,IFERROR(AGGREGATE(14,6,'持仓跟踪'!$S$2:$S$501/(('持仓跟踪'!$A$2:$A$501="每日跟踪")*('持仓跟踪'!$B$2:$B$501=A13)),1),0)),0)*AN13))))</f>
        <v/>
      </c>
      <c r="AR13" s="31">
        <f>IF(A13="","",IF(OR(E13="",H13=""),"违规：第一批价格或股数缺失",IF(OR(AND(AK13="",AL13&lt;&gt;""),AND(AK13&lt;&gt;"",AL13="")),"违规：第二批价格与股数须成对填写",IF(OR(AND(AM13="",AN13&lt;&gt;""),AND(AM13&lt;&gt;"",AN13="")),"违规：第三批价格与股数须成对填写",IF(AND(OR(AM13&lt;&gt;"",AN13&lt;&gt;""),OR(AK13="",AL13="")),"违规：必须先完成第二批",IF(OR(H13&lt;=0,H13&lt;&gt;INT(H13),MOD(H13,100)&lt;&gt;0,AND(AL13&lt;&gt;"",OR(AL13&lt;=0,AL13&lt;&gt;INT(AL13),MOD(AL13,100)&lt;&gt;0)),AND(AN13&lt;&gt;"",OR(AN13&lt;=0,AN13&lt;&gt;INT(AN13),MOD(AN13,100)&lt;&gt;0))),"违规：股数须为100股整数倍",IF(AND(OR(AL13&lt;&gt;"",AN13&lt;&gt;""),OR(_LockStatus="已锁仓",_LockStatus="解锁信息不完整")),"违规：锁仓期间禁止加仓",IF(AQ13&gt;C13*D13,"违规：超过单笔风险上限",IF(SUM($AQ$2:$AQ$201)&gt;账户数据!$B$7,"违规：超过账户风险上限","通过")))))))))</f>
        <v/>
      </c>
    </row>
    <row r="14">
      <c r="A14" s="2" t="n">
        <v>13</v>
      </c>
      <c r="B14" s="2" t="inlineStr">
        <is>
          <t>赛轮轮胎</t>
        </is>
      </c>
      <c r="C14" s="40" t="n">
        <v>97847</v>
      </c>
      <c r="D14" s="6" t="n">
        <v>0.02</v>
      </c>
      <c r="E14" s="40" t="n">
        <v>10.49</v>
      </c>
      <c r="F14" s="8">
        <f>IF(OR(C14="",D14="",E14="",N14="",C14&lt;=0,D14&lt;=0,E14&lt;=N14),"",ROUNDDOWN((C14*D14)/(E14-N14)/100,0)*100)</f>
        <v/>
      </c>
      <c r="G14" s="8">
        <f>IF(A14="","",IF(H14&lt;&gt;"","已开仓",IF(账户数据!$B$23="已锁仓","禁止开仓：连续亏损达到上限",IF(账户数据!$B$23="解锁信息不完整","禁止开仓：请完整填写解锁信息",IF(OR(F14="",E14="",N14="",E14&lt;=N14,账户数据!$B$7=""),"",IF(OR(AG14="",AH14="",AI14=""),"禁止开仓：交易预期未填写完整",IF(COUNTIFS(持仓跟踪!$A$2:$A$501,"止损计划",持仓跟踪!$B$2:$B$501,A14,持仓跟踪!$AC$2:$AC$501,"计划有效")=0,"禁止开仓：请先填写止损计划",IF(账户数据!$B$9+F14*(E14-N14)&gt;=账户数据!$B$7,"禁止开仓：风险额度不足",IF(AJ14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" s="2" t="n">
        <v>3900</v>
      </c>
      <c r="I14" s="41" t="n">
        <v>45106</v>
      </c>
      <c r="J14" s="40" t="n">
        <v>12</v>
      </c>
      <c r="K14" s="40" t="n">
        <v>10.73</v>
      </c>
      <c r="L14" s="8">
        <f>IF(K14="","",H14)</f>
        <v/>
      </c>
      <c r="M14" s="41" t="n">
        <v>45119</v>
      </c>
      <c r="N14" s="40" t="n">
        <v>10</v>
      </c>
      <c r="O14" s="40" t="n"/>
      <c r="P14" s="40" t="n"/>
      <c r="Q14" s="2" t="n"/>
      <c r="R14" s="2" t="inlineStr">
        <is>
          <t>前方支撑区域</t>
        </is>
      </c>
      <c r="S14" s="2" t="inlineStr">
        <is>
          <t>新高</t>
        </is>
      </c>
      <c r="T14" s="2" t="n"/>
      <c r="U14" s="7">
        <f>IF(OR(AO14="",J14="",AO14&lt;=0),"",(J14-AO14)/AO14)</f>
        <v/>
      </c>
      <c r="V14" s="7">
        <f>IF(OR(AO14="",N14="",AO14&lt;=0),"",(AO14-N14)/AO14)</f>
        <v/>
      </c>
      <c r="W14" s="13">
        <f>IF(OR(U14="",V14="",V14&lt;=0),"",U14/V14)</f>
        <v/>
      </c>
      <c r="X14" s="42">
        <f>IF(OR(K14="",L14="",AP14=""),"",K14*L14-(E14*H14+IF(AND(AK14&lt;&gt;"",AL14&lt;&gt;""),AK14*AL14,0)+IF(AND(AM14&lt;&gt;"",AN14&lt;&gt;""),AM14*AN14,0))-IF(O14="",0,O14)-IF(P14="",0,P14))</f>
        <v/>
      </c>
      <c r="Y14" s="7">
        <f>IF(OR(X14="",AP14=""),"",IF((E14*H14+IF(AND(AK14&lt;&gt;"",AL14&lt;&gt;""),AK14*AL14,0)+IF(AND(AM14&lt;&gt;"",AN14&lt;&gt;""),AM14*AN14,0))+IF(O14="",0,O14)&lt;=0,"",X14/((E14*H14+IF(AND(AK14&lt;&gt;"",AL14&lt;&gt;""),AK14*AL14,0)+IF(AND(AM14&lt;&gt;"",AN14&lt;&gt;""),AM14*AN14,0))+IF(O14="",0,O14))))</f>
        <v/>
      </c>
      <c r="Z14" s="7">
        <f>IF(OR(AE14="",多次统计数据!$B$8=""),"",AE14-多次统计数据!$B$8)</f>
        <v/>
      </c>
      <c r="AA14" s="14">
        <f>IF(OR(I14="",M14="",M14&lt;I14),"",M14-I14)</f>
        <v/>
      </c>
      <c r="AB14" s="7">
        <f>IF(OR(A14="",多次统计数据!$B$8="",多次统计数据!$B$6&lt;=0,多次统计数据!$B$6&gt;=1),"",1-POWER(1+多次统计数据!$B$8,-多次统计数据!$B$6/(1-多次统计数据!$B$6)))</f>
        <v/>
      </c>
      <c r="AC14" s="8">
        <f>IF(OR(AB14="",多次统计数据!$B$9=""),"",IF(多次统计数据!$B$9&lt;AB14,"低于上限","达到或超过上限"))</f>
        <v/>
      </c>
      <c r="AD14" s="2" t="n"/>
      <c r="AE14" s="7">
        <f>IF(OR(X14="",C14="",C14&lt;=0),"",X14/C14)</f>
        <v/>
      </c>
      <c r="AG14" s="28" t="n"/>
      <c r="AH14" s="28" t="n"/>
      <c r="AI14" s="28" t="n"/>
      <c r="AJ14" s="31">
        <f>IF(OR(AG14="",AH14=""),"",IF(OR(AND(AG14="短期博反弹",OR(AH14="1～3个交易日",AH14="4～10个交易日")),AND(AG14="突破冲新高",OR(AH14="4～10个交易日",AH14="11～20个交易日")),AND(AG14="趋势波段",OR(AH14="11～20个交易日",AH14="21～60个交易日",AH14="60个交易日以上"))),"匹配","周期与交易预期不匹配，请重新确认"))</f>
        <v/>
      </c>
      <c r="AK14" s="43" t="n"/>
      <c r="AL14" s="27" t="n"/>
      <c r="AM14" s="43" t="n"/>
      <c r="AN14" s="27" t="n"/>
      <c r="AO14" s="44">
        <f>IF(OR(A14="",H14="",H14&lt;=0),"",(E14*H14+IF(AND(AK14&lt;&gt;"",AL14&lt;&gt;""),AK14*AL14,0)+IF(AND(AM14&lt;&gt;"",AN14&lt;&gt;""),AM14*AN14,0))/AP14)</f>
        <v/>
      </c>
      <c r="AP14" s="26">
        <f>IF(OR(A14="",H14="",H14&lt;=0),"",H14+IF(AL14="",0,AL14)+IF(AN14="",0,AN14))</f>
        <v/>
      </c>
      <c r="AQ14" s="44">
        <f>IF(A14="","",IF(M14&lt;&gt;"",0,IF(OR(H14="",N14=""),"",MAX(E14-MAX(N14,IFERROR(AGGREGATE(14,6,'持仓跟踪'!$S$2:$S$501/(('持仓跟踪'!$A$2:$A$501="每日跟踪")*('持仓跟踪'!$B$2:$B$501=A14)),1),0)),0)*H14+IF(OR(AK14="",AL14=""),0,MAX(AK14-MAX(N14,IFERROR(AGGREGATE(14,6,'持仓跟踪'!$S$2:$S$501/(('持仓跟踪'!$A$2:$A$501="每日跟踪")*('持仓跟踪'!$B$2:$B$501=A14)),1),0)),0)*AL14)+IF(OR(AM14="",AN14=""),0,MAX(AM14-MAX(N14,IFERROR(AGGREGATE(14,6,'持仓跟踪'!$S$2:$S$501/(('持仓跟踪'!$A$2:$A$501="每日跟踪")*('持仓跟踪'!$B$2:$B$501=A14)),1),0)),0)*AN14))))</f>
        <v/>
      </c>
      <c r="AR14" s="31">
        <f>IF(A14="","",IF(OR(E14="",H14=""),"违规：第一批价格或股数缺失",IF(OR(AND(AK14="",AL14&lt;&gt;""),AND(AK14&lt;&gt;"",AL14="")),"违规：第二批价格与股数须成对填写",IF(OR(AND(AM14="",AN14&lt;&gt;""),AND(AM14&lt;&gt;"",AN14="")),"违规：第三批价格与股数须成对填写",IF(AND(OR(AM14&lt;&gt;"",AN14&lt;&gt;""),OR(AK14="",AL14="")),"违规：必须先完成第二批",IF(OR(H14&lt;=0,H14&lt;&gt;INT(H14),MOD(H14,100)&lt;&gt;0,AND(AL14&lt;&gt;"",OR(AL14&lt;=0,AL14&lt;&gt;INT(AL14),MOD(AL14,100)&lt;&gt;0)),AND(AN14&lt;&gt;"",OR(AN14&lt;=0,AN14&lt;&gt;INT(AN14),MOD(AN14,100)&lt;&gt;0))),"违规：股数须为100股整数倍",IF(AND(OR(AL14&lt;&gt;"",AN14&lt;&gt;""),OR(_LockStatus="已锁仓",_LockStatus="解锁信息不完整")),"违规：锁仓期间禁止加仓",IF(AQ14&gt;C14*D14,"违规：超过单笔风险上限",IF(SUM($AQ$2:$AQ$201)&gt;账户数据!$B$7,"违规：超过账户风险上限","通过")))))))))</f>
        <v/>
      </c>
    </row>
    <row r="15">
      <c r="A15" s="2" t="n">
        <v>14</v>
      </c>
      <c r="B15" s="2" t="inlineStr">
        <is>
          <t>赛轮轮胎</t>
        </is>
      </c>
      <c r="C15" s="40" t="n">
        <v>98783</v>
      </c>
      <c r="D15" s="6" t="n">
        <v>0.02</v>
      </c>
      <c r="E15" s="40" t="n">
        <v>10.44</v>
      </c>
      <c r="F15" s="8">
        <f>IF(OR(C15="",D15="",E15="",N15="",C15&lt;=0,D15&lt;=0,E15&lt;=N15),"",ROUNDDOWN((C15*D15)/(E15-N15)/100,0)*100)</f>
        <v/>
      </c>
      <c r="G15" s="8">
        <f>IF(A15="","",IF(H15&lt;&gt;"","已开仓",IF(账户数据!$B$23="已锁仓","禁止开仓：连续亏损达到上限",IF(账户数据!$B$23="解锁信息不完整","禁止开仓：请完整填写解锁信息",IF(OR(F15="",E15="",N15="",E15&lt;=N15,账户数据!$B$7=""),"",IF(OR(AG15="",AH15="",AI15=""),"禁止开仓：交易预期未填写完整",IF(COUNTIFS(持仓跟踪!$A$2:$A$501,"止损计划",持仓跟踪!$B$2:$B$501,A15,持仓跟踪!$AC$2:$AC$501,"计划有效")=0,"禁止开仓：请先填写止损计划",IF(账户数据!$B$9+F15*(E15-N15)&gt;=账户数据!$B$7,"禁止开仓：风险额度不足",IF(AJ15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" s="2" t="n">
        <v>7500</v>
      </c>
      <c r="I15" s="41" t="n">
        <v>45320</v>
      </c>
      <c r="J15" s="40" t="n">
        <v>11</v>
      </c>
      <c r="K15" s="40" t="n">
        <v>11.3</v>
      </c>
      <c r="L15" s="8">
        <f>IF(K15="","",H15)</f>
        <v/>
      </c>
      <c r="M15" s="41" t="n">
        <v>45323</v>
      </c>
      <c r="N15" s="40" t="n">
        <v>10.18</v>
      </c>
      <c r="O15" s="40" t="n"/>
      <c r="P15" s="40" t="n"/>
      <c r="Q15" s="2" t="n"/>
      <c r="R15" s="2" t="n"/>
      <c r="S15" s="2" t="n"/>
      <c r="T15" s="2" t="n"/>
      <c r="U15" s="7">
        <f>IF(OR(AO15="",J15="",AO15&lt;=0),"",(J15-AO15)/AO15)</f>
        <v/>
      </c>
      <c r="V15" s="7">
        <f>IF(OR(AO15="",N15="",AO15&lt;=0),"",(AO15-N15)/AO15)</f>
        <v/>
      </c>
      <c r="W15" s="13">
        <f>IF(OR(U15="",V15="",V15&lt;=0),"",U15/V15)</f>
        <v/>
      </c>
      <c r="X15" s="42">
        <f>IF(OR(K15="",L15="",AP15=""),"",K15*L15-(E15*H15+IF(AND(AK15&lt;&gt;"",AL15&lt;&gt;""),AK15*AL15,0)+IF(AND(AM15&lt;&gt;"",AN15&lt;&gt;""),AM15*AN15,0))-IF(O15="",0,O15)-IF(P15="",0,P15))</f>
        <v/>
      </c>
      <c r="Y15" s="7">
        <f>IF(OR(X15="",AP15=""),"",IF((E15*H15+IF(AND(AK15&lt;&gt;"",AL15&lt;&gt;""),AK15*AL15,0)+IF(AND(AM15&lt;&gt;"",AN15&lt;&gt;""),AM15*AN15,0))+IF(O15="",0,O15)&lt;=0,"",X15/((E15*H15+IF(AND(AK15&lt;&gt;"",AL15&lt;&gt;""),AK15*AL15,0)+IF(AND(AM15&lt;&gt;"",AN15&lt;&gt;""),AM15*AN15,0))+IF(O15="",0,O15))))</f>
        <v/>
      </c>
      <c r="Z15" s="7">
        <f>IF(OR(AE15="",多次统计数据!$B$8=""),"",AE15-多次统计数据!$B$8)</f>
        <v/>
      </c>
      <c r="AA15" s="14">
        <f>IF(OR(I15="",M15="",M15&lt;I15),"",M15-I15)</f>
        <v/>
      </c>
      <c r="AB15" s="7">
        <f>IF(OR(A15="",多次统计数据!$B$8="",多次统计数据!$B$6&lt;=0,多次统计数据!$B$6&gt;=1),"",1-POWER(1+多次统计数据!$B$8,-多次统计数据!$B$6/(1-多次统计数据!$B$6)))</f>
        <v/>
      </c>
      <c r="AC15" s="8">
        <f>IF(OR(AB15="",多次统计数据!$B$9=""),"",IF(多次统计数据!$B$9&lt;AB15,"低于上限","达到或超过上限"))</f>
        <v/>
      </c>
      <c r="AD15" s="2" t="n"/>
      <c r="AE15" s="7">
        <f>IF(OR(X15="",C15="",C15&lt;=0),"",X15/C15)</f>
        <v/>
      </c>
      <c r="AG15" s="28" t="n"/>
      <c r="AH15" s="28" t="n"/>
      <c r="AI15" s="28" t="n"/>
      <c r="AJ15" s="31">
        <f>IF(OR(AG15="",AH15=""),"",IF(OR(AND(AG15="短期博反弹",OR(AH15="1～3个交易日",AH15="4～10个交易日")),AND(AG15="突破冲新高",OR(AH15="4～10个交易日",AH15="11～20个交易日")),AND(AG15="趋势波段",OR(AH15="11～20个交易日",AH15="21～60个交易日",AH15="60个交易日以上"))),"匹配","周期与交易预期不匹配，请重新确认"))</f>
        <v/>
      </c>
      <c r="AK15" s="43" t="n"/>
      <c r="AL15" s="27" t="n"/>
      <c r="AM15" s="43" t="n"/>
      <c r="AN15" s="27" t="n"/>
      <c r="AO15" s="44">
        <f>IF(OR(A15="",H15="",H15&lt;=0),"",(E15*H15+IF(AND(AK15&lt;&gt;"",AL15&lt;&gt;""),AK15*AL15,0)+IF(AND(AM15&lt;&gt;"",AN15&lt;&gt;""),AM15*AN15,0))/AP15)</f>
        <v/>
      </c>
      <c r="AP15" s="26">
        <f>IF(OR(A15="",H15="",H15&lt;=0),"",H15+IF(AL15="",0,AL15)+IF(AN15="",0,AN15))</f>
        <v/>
      </c>
      <c r="AQ15" s="44">
        <f>IF(A15="","",IF(M15&lt;&gt;"",0,IF(OR(H15="",N15=""),"",MAX(E15-MAX(N15,IFERROR(AGGREGATE(14,6,'持仓跟踪'!$S$2:$S$501/(('持仓跟踪'!$A$2:$A$501="每日跟踪")*('持仓跟踪'!$B$2:$B$501=A15)),1),0)),0)*H15+IF(OR(AK15="",AL15=""),0,MAX(AK15-MAX(N15,IFERROR(AGGREGATE(14,6,'持仓跟踪'!$S$2:$S$501/(('持仓跟踪'!$A$2:$A$501="每日跟踪")*('持仓跟踪'!$B$2:$B$501=A15)),1),0)),0)*AL15)+IF(OR(AM15="",AN15=""),0,MAX(AM15-MAX(N15,IFERROR(AGGREGATE(14,6,'持仓跟踪'!$S$2:$S$501/(('持仓跟踪'!$A$2:$A$501="每日跟踪")*('持仓跟踪'!$B$2:$B$501=A15)),1),0)),0)*AN15))))</f>
        <v/>
      </c>
      <c r="AR15" s="31">
        <f>IF(A15="","",IF(OR(E15="",H15=""),"违规：第一批价格或股数缺失",IF(OR(AND(AK15="",AL15&lt;&gt;""),AND(AK15&lt;&gt;"",AL15="")),"违规：第二批价格与股数须成对填写",IF(OR(AND(AM15="",AN15&lt;&gt;""),AND(AM15&lt;&gt;"",AN15="")),"违规：第三批价格与股数须成对填写",IF(AND(OR(AM15&lt;&gt;"",AN15&lt;&gt;""),OR(AK15="",AL15="")),"违规：必须先完成第二批",IF(OR(H15&lt;=0,H15&lt;&gt;INT(H15),MOD(H15,100)&lt;&gt;0,AND(AL15&lt;&gt;"",OR(AL15&lt;=0,AL15&lt;&gt;INT(AL15),MOD(AL15,100)&lt;&gt;0)),AND(AN15&lt;&gt;"",OR(AN15&lt;=0,AN15&lt;&gt;INT(AN15),MOD(AN15,100)&lt;&gt;0))),"违规：股数须为100股整数倍",IF(AND(OR(AL15&lt;&gt;"",AN15&lt;&gt;""),OR(_LockStatus="已锁仓",_LockStatus="解锁信息不完整")),"违规：锁仓期间禁止加仓",IF(AQ15&gt;C15*D15,"违规：超过单笔风险上限",IF(SUM($AQ$2:$AQ$201)&gt;账户数据!$B$7,"违规：超过账户风险上限","通过")))))))))</f>
        <v/>
      </c>
    </row>
    <row r="16">
      <c r="A16" s="2" t="n">
        <v>15</v>
      </c>
      <c r="B16" s="2" t="inlineStr">
        <is>
          <t>赛轮轮胎</t>
        </is>
      </c>
      <c r="C16" s="40" t="n">
        <v>105233</v>
      </c>
      <c r="D16" s="6" t="n">
        <v>0.02</v>
      </c>
      <c r="E16" s="40" t="n">
        <v>14.37</v>
      </c>
      <c r="F16" s="8">
        <f>IF(OR(C16="",D16="",E16="",N16="",C16&lt;=0,D16&lt;=0,E16&lt;=N16),"",ROUNDDOWN((C16*D16)/(E16-N16)/100,0)*100)</f>
        <v/>
      </c>
      <c r="G16" s="8">
        <f>IF(A16="","",IF(H16&lt;&gt;"","已开仓",IF(账户数据!$B$23="已锁仓","禁止开仓：连续亏损达到上限",IF(账户数据!$B$23="解锁信息不完整","禁止开仓：请完整填写解锁信息",IF(OR(F16="",E16="",N16="",E16&lt;=N16,账户数据!$B$7=""),"",IF(OR(AG16="",AH16="",AI16=""),"禁止开仓：交易预期未填写完整",IF(COUNTIFS(持仓跟踪!$A$2:$A$501,"止损计划",持仓跟踪!$B$2:$B$501,A16,持仓跟踪!$AC$2:$AC$501,"计划有效")=0,"禁止开仓：请先填写止损计划",IF(账户数据!$B$9+F16*(E16-N16)&gt;=账户数据!$B$7,"禁止开仓：风险额度不足",IF(AJ16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" s="2" t="n">
        <v>5000</v>
      </c>
      <c r="I16" s="41" t="n">
        <v>45562</v>
      </c>
      <c r="J16" s="40" t="n">
        <v>16</v>
      </c>
      <c r="K16" s="40" t="n">
        <v>14.01</v>
      </c>
      <c r="L16" s="8">
        <f>IF(K16="","",H16)</f>
        <v/>
      </c>
      <c r="M16" s="41" t="n">
        <v>45574</v>
      </c>
      <c r="N16" s="40" t="n">
        <v>14</v>
      </c>
      <c r="O16" s="40" t="n"/>
      <c r="P16" s="40" t="n"/>
      <c r="Q16" s="2" t="n"/>
      <c r="R16" s="2" t="n"/>
      <c r="S16" s="2" t="n"/>
      <c r="T16" s="2" t="n"/>
      <c r="U16" s="7">
        <f>IF(OR(AO16="",J16="",AO16&lt;=0),"",(J16-AO16)/AO16)</f>
        <v/>
      </c>
      <c r="V16" s="7">
        <f>IF(OR(AO16="",N16="",AO16&lt;=0),"",(AO16-N16)/AO16)</f>
        <v/>
      </c>
      <c r="W16" s="13">
        <f>IF(OR(U16="",V16="",V16&lt;=0),"",U16/V16)</f>
        <v/>
      </c>
      <c r="X16" s="42">
        <f>IF(OR(K16="",L16="",AP16=""),"",K16*L16-(E16*H16+IF(AND(AK16&lt;&gt;"",AL16&lt;&gt;""),AK16*AL16,0)+IF(AND(AM16&lt;&gt;"",AN16&lt;&gt;""),AM16*AN16,0))-IF(O16="",0,O16)-IF(P16="",0,P16))</f>
        <v/>
      </c>
      <c r="Y16" s="7">
        <f>IF(OR(X16="",AP16=""),"",IF((E16*H16+IF(AND(AK16&lt;&gt;"",AL16&lt;&gt;""),AK16*AL16,0)+IF(AND(AM16&lt;&gt;"",AN16&lt;&gt;""),AM16*AN16,0))+IF(O16="",0,O16)&lt;=0,"",X16/((E16*H16+IF(AND(AK16&lt;&gt;"",AL16&lt;&gt;""),AK16*AL16,0)+IF(AND(AM16&lt;&gt;"",AN16&lt;&gt;""),AM16*AN16,0))+IF(O16="",0,O16))))</f>
        <v/>
      </c>
      <c r="Z16" s="7">
        <f>IF(OR(AE16="",多次统计数据!$B$8=""),"",AE16-多次统计数据!$B$8)</f>
        <v/>
      </c>
      <c r="AA16" s="14">
        <f>IF(OR(I16="",M16="",M16&lt;I16),"",M16-I16)</f>
        <v/>
      </c>
      <c r="AB16" s="7">
        <f>IF(OR(A16="",多次统计数据!$B$8="",多次统计数据!$B$6&lt;=0,多次统计数据!$B$6&gt;=1),"",1-POWER(1+多次统计数据!$B$8,-多次统计数据!$B$6/(1-多次统计数据!$B$6)))</f>
        <v/>
      </c>
      <c r="AC16" s="8">
        <f>IF(OR(AB16="",多次统计数据!$B$9=""),"",IF(多次统计数据!$B$9&lt;AB16,"低于上限","达到或超过上限"))</f>
        <v/>
      </c>
      <c r="AD16" s="2" t="n"/>
      <c r="AE16" s="7">
        <f>IF(OR(X16="",C16="",C16&lt;=0),"",X16/C16)</f>
        <v/>
      </c>
      <c r="AG16" s="28" t="n"/>
      <c r="AH16" s="28" t="n"/>
      <c r="AI16" s="28" t="n"/>
      <c r="AJ16" s="31">
        <f>IF(OR(AG16="",AH16=""),"",IF(OR(AND(AG16="短期博反弹",OR(AH16="1～3个交易日",AH16="4～10个交易日")),AND(AG16="突破冲新高",OR(AH16="4～10个交易日",AH16="11～20个交易日")),AND(AG16="趋势波段",OR(AH16="11～20个交易日",AH16="21～60个交易日",AH16="60个交易日以上"))),"匹配","周期与交易预期不匹配，请重新确认"))</f>
        <v/>
      </c>
      <c r="AK16" s="43" t="n"/>
      <c r="AL16" s="27" t="n"/>
      <c r="AM16" s="43" t="n"/>
      <c r="AN16" s="27" t="n"/>
      <c r="AO16" s="44">
        <f>IF(OR(A16="",H16="",H16&lt;=0),"",(E16*H16+IF(AND(AK16&lt;&gt;"",AL16&lt;&gt;""),AK16*AL16,0)+IF(AND(AM16&lt;&gt;"",AN16&lt;&gt;""),AM16*AN16,0))/AP16)</f>
        <v/>
      </c>
      <c r="AP16" s="26">
        <f>IF(OR(A16="",H16="",H16&lt;=0),"",H16+IF(AL16="",0,AL16)+IF(AN16="",0,AN16))</f>
        <v/>
      </c>
      <c r="AQ16" s="44">
        <f>IF(A16="","",IF(M16&lt;&gt;"",0,IF(OR(H16="",N16=""),"",MAX(E16-MAX(N16,IFERROR(AGGREGATE(14,6,'持仓跟踪'!$S$2:$S$501/(('持仓跟踪'!$A$2:$A$501="每日跟踪")*('持仓跟踪'!$B$2:$B$501=A16)),1),0)),0)*H16+IF(OR(AK16="",AL16=""),0,MAX(AK16-MAX(N16,IFERROR(AGGREGATE(14,6,'持仓跟踪'!$S$2:$S$501/(('持仓跟踪'!$A$2:$A$501="每日跟踪")*('持仓跟踪'!$B$2:$B$501=A16)),1),0)),0)*AL16)+IF(OR(AM16="",AN16=""),0,MAX(AM16-MAX(N16,IFERROR(AGGREGATE(14,6,'持仓跟踪'!$S$2:$S$501/(('持仓跟踪'!$A$2:$A$501="每日跟踪")*('持仓跟踪'!$B$2:$B$501=A16)),1),0)),0)*AN16))))</f>
        <v/>
      </c>
      <c r="AR16" s="31">
        <f>IF(A16="","",IF(OR(E16="",H16=""),"违规：第一批价格或股数缺失",IF(OR(AND(AK16="",AL16&lt;&gt;""),AND(AK16&lt;&gt;"",AL16="")),"违规：第二批价格与股数须成对填写",IF(OR(AND(AM16="",AN16&lt;&gt;""),AND(AM16&lt;&gt;"",AN16="")),"违规：第三批价格与股数须成对填写",IF(AND(OR(AM16&lt;&gt;"",AN16&lt;&gt;""),OR(AK16="",AL16="")),"违规：必须先完成第二批",IF(OR(H16&lt;=0,H16&lt;&gt;INT(H16),MOD(H16,100)&lt;&gt;0,AND(AL16&lt;&gt;"",OR(AL16&lt;=0,AL16&lt;&gt;INT(AL16),MOD(AL16,100)&lt;&gt;0)),AND(AN16&lt;&gt;"",OR(AN16&lt;=0,AN16&lt;&gt;INT(AN16),MOD(AN16,100)&lt;&gt;0))),"违规：股数须为100股整数倍",IF(AND(OR(AL16&lt;&gt;"",AN16&lt;&gt;""),OR(_LockStatus="已锁仓",_LockStatus="解锁信息不完整")),"违规：锁仓期间禁止加仓",IF(AQ16&gt;C16*D16,"违规：超过单笔风险上限",IF(SUM($AQ$2:$AQ$201)&gt;账户数据!$B$7,"违规：超过账户风险上限","通过")))))))))</f>
        <v/>
      </c>
    </row>
    <row r="17">
      <c r="A17" s="2" t="n">
        <v>16</v>
      </c>
      <c r="B17" s="2" t="inlineStr">
        <is>
          <t>赛轮轮胎</t>
        </is>
      </c>
      <c r="C17" s="40" t="n">
        <v>103433</v>
      </c>
      <c r="D17" s="6" t="n">
        <v>0.02</v>
      </c>
      <c r="E17" s="40" t="n">
        <v>14.86</v>
      </c>
      <c r="F17" s="8">
        <f>IF(OR(C17="",D17="",E17="",N17="",C17&lt;=0,D17&lt;=0,E17&lt;=N17),"",ROUNDDOWN((C17*D17)/(E17-N17)/100,0)*100)</f>
        <v/>
      </c>
      <c r="G17" s="8">
        <f>IF(A17="","",IF(H17&lt;&gt;"","已开仓",IF(账户数据!$B$23="已锁仓","禁止开仓：连续亏损达到上限",IF(账户数据!$B$23="解锁信息不完整","禁止开仓：请完整填写解锁信息",IF(OR(F17="",E17="",N17="",E17&lt;=N17,账户数据!$B$7=""),"",IF(OR(AG17="",AH17="",AI17=""),"禁止开仓：交易预期未填写完整",IF(COUNTIFS(持仓跟踪!$A$2:$A$501,"止损计划",持仓跟踪!$B$2:$B$501,A17,持仓跟踪!$AC$2:$AC$501,"计划有效")=0,"禁止开仓：请先填写止损计划",IF(账户数据!$B$9+F17*(E17-N17)&gt;=账户数据!$B$7,"禁止开仓：风险额度不足",IF(AJ17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" s="2" t="n">
        <v>3000</v>
      </c>
      <c r="I17" s="41" t="n">
        <v>45674</v>
      </c>
      <c r="J17" s="40" t="n">
        <v>16</v>
      </c>
      <c r="K17" s="40" t="n">
        <v>15.17</v>
      </c>
      <c r="L17" s="8">
        <f>IF(K17="","",H17)</f>
        <v/>
      </c>
      <c r="M17" s="41" t="n">
        <v>45716</v>
      </c>
      <c r="N17" s="40" t="n">
        <v>14</v>
      </c>
      <c r="O17" s="40" t="n"/>
      <c r="P17" s="40" t="n"/>
      <c r="Q17" s="2" t="n"/>
      <c r="R17" s="2" t="n"/>
      <c r="S17" s="2" t="n"/>
      <c r="T17" s="2" t="n"/>
      <c r="U17" s="7">
        <f>IF(OR(AO17="",J17="",AO17&lt;=0),"",(J17-AO17)/AO17)</f>
        <v/>
      </c>
      <c r="V17" s="7">
        <f>IF(OR(AO17="",N17="",AO17&lt;=0),"",(AO17-N17)/AO17)</f>
        <v/>
      </c>
      <c r="W17" s="13">
        <f>IF(OR(U17="",V17="",V17&lt;=0),"",U17/V17)</f>
        <v/>
      </c>
      <c r="X17" s="42">
        <f>IF(OR(K17="",L17="",AP17=""),"",K17*L17-(E17*H17+IF(AND(AK17&lt;&gt;"",AL17&lt;&gt;""),AK17*AL17,0)+IF(AND(AM17&lt;&gt;"",AN17&lt;&gt;""),AM17*AN17,0))-IF(O17="",0,O17)-IF(P17="",0,P17))</f>
        <v/>
      </c>
      <c r="Y17" s="7">
        <f>IF(OR(X17="",AP17=""),"",IF((E17*H17+IF(AND(AK17&lt;&gt;"",AL17&lt;&gt;""),AK17*AL17,0)+IF(AND(AM17&lt;&gt;"",AN17&lt;&gt;""),AM17*AN17,0))+IF(O17="",0,O17)&lt;=0,"",X17/((E17*H17+IF(AND(AK17&lt;&gt;"",AL17&lt;&gt;""),AK17*AL17,0)+IF(AND(AM17&lt;&gt;"",AN17&lt;&gt;""),AM17*AN17,0))+IF(O17="",0,O17))))</f>
        <v/>
      </c>
      <c r="Z17" s="7">
        <f>IF(OR(AE17="",多次统计数据!$B$8=""),"",AE17-多次统计数据!$B$8)</f>
        <v/>
      </c>
      <c r="AA17" s="14">
        <f>IF(OR(I17="",M17="",M17&lt;I17),"",M17-I17)</f>
        <v/>
      </c>
      <c r="AB17" s="7">
        <f>IF(OR(A17="",多次统计数据!$B$8="",多次统计数据!$B$6&lt;=0,多次统计数据!$B$6&gt;=1),"",1-POWER(1+多次统计数据!$B$8,-多次统计数据!$B$6/(1-多次统计数据!$B$6)))</f>
        <v/>
      </c>
      <c r="AC17" s="8">
        <f>IF(OR(AB17="",多次统计数据!$B$9=""),"",IF(多次统计数据!$B$9&lt;AB17,"低于上限","达到或超过上限"))</f>
        <v/>
      </c>
      <c r="AD17" s="2" t="n"/>
      <c r="AE17" s="7">
        <f>IF(OR(X17="",C17="",C17&lt;=0),"",X17/C17)</f>
        <v/>
      </c>
      <c r="AG17" s="28" t="n"/>
      <c r="AH17" s="28" t="n"/>
      <c r="AI17" s="28" t="n"/>
      <c r="AJ17" s="31">
        <f>IF(OR(AG17="",AH17=""),"",IF(OR(AND(AG17="短期博反弹",OR(AH17="1～3个交易日",AH17="4～10个交易日")),AND(AG17="突破冲新高",OR(AH17="4～10个交易日",AH17="11～20个交易日")),AND(AG17="趋势波段",OR(AH17="11～20个交易日",AH17="21～60个交易日",AH17="60个交易日以上"))),"匹配","周期与交易预期不匹配，请重新确认"))</f>
        <v/>
      </c>
      <c r="AK17" s="43" t="n"/>
      <c r="AL17" s="27" t="n"/>
      <c r="AM17" s="43" t="n"/>
      <c r="AN17" s="27" t="n"/>
      <c r="AO17" s="44">
        <f>IF(OR(A17="",H17="",H17&lt;=0),"",(E17*H17+IF(AND(AK17&lt;&gt;"",AL17&lt;&gt;""),AK17*AL17,0)+IF(AND(AM17&lt;&gt;"",AN17&lt;&gt;""),AM17*AN17,0))/AP17)</f>
        <v/>
      </c>
      <c r="AP17" s="26">
        <f>IF(OR(A17="",H17="",H17&lt;=0),"",H17+IF(AL17="",0,AL17)+IF(AN17="",0,AN17))</f>
        <v/>
      </c>
      <c r="AQ17" s="44">
        <f>IF(A17="","",IF(M17&lt;&gt;"",0,IF(OR(H17="",N17=""),"",MAX(E17-MAX(N17,IFERROR(AGGREGATE(14,6,'持仓跟踪'!$S$2:$S$501/(('持仓跟踪'!$A$2:$A$501="每日跟踪")*('持仓跟踪'!$B$2:$B$501=A17)),1),0)),0)*H17+IF(OR(AK17="",AL17=""),0,MAX(AK17-MAX(N17,IFERROR(AGGREGATE(14,6,'持仓跟踪'!$S$2:$S$501/(('持仓跟踪'!$A$2:$A$501="每日跟踪")*('持仓跟踪'!$B$2:$B$501=A17)),1),0)),0)*AL17)+IF(OR(AM17="",AN17=""),0,MAX(AM17-MAX(N17,IFERROR(AGGREGATE(14,6,'持仓跟踪'!$S$2:$S$501/(('持仓跟踪'!$A$2:$A$501="每日跟踪")*('持仓跟踪'!$B$2:$B$501=A17)),1),0)),0)*AN17))))</f>
        <v/>
      </c>
      <c r="AR17" s="31">
        <f>IF(A17="","",IF(OR(E17="",H17=""),"违规：第一批价格或股数缺失",IF(OR(AND(AK17="",AL17&lt;&gt;""),AND(AK17&lt;&gt;"",AL17="")),"违规：第二批价格与股数须成对填写",IF(OR(AND(AM17="",AN17&lt;&gt;""),AND(AM17&lt;&gt;"",AN17="")),"违规：第三批价格与股数须成对填写",IF(AND(OR(AM17&lt;&gt;"",AN17&lt;&gt;""),OR(AK17="",AL17="")),"违规：必须先完成第二批",IF(OR(H17&lt;=0,H17&lt;&gt;INT(H17),MOD(H17,100)&lt;&gt;0,AND(AL17&lt;&gt;"",OR(AL17&lt;=0,AL17&lt;&gt;INT(AL17),MOD(AL17,100)&lt;&gt;0)),AND(AN17&lt;&gt;"",OR(AN17&lt;=0,AN17&lt;&gt;INT(AN17),MOD(AN17,100)&lt;&gt;0))),"违规：股数须为100股整数倍",IF(AND(OR(AL17&lt;&gt;"",AN17&lt;&gt;""),OR(_LockStatus="已锁仓",_LockStatus="解锁信息不完整")),"违规：锁仓期间禁止加仓",IF(AQ17&gt;C17*D17,"违规：超过单笔风险上限",IF(SUM($AQ$2:$AQ$201)&gt;账户数据!$B$7,"违规：超过账户风险上限","通过")))))))))</f>
        <v/>
      </c>
    </row>
    <row r="18">
      <c r="A18" s="2" t="n">
        <v>17</v>
      </c>
      <c r="B18" s="2" t="inlineStr">
        <is>
          <t>赛轮轮胎</t>
        </is>
      </c>
      <c r="C18" s="40" t="n">
        <v>104364</v>
      </c>
      <c r="D18" s="6" t="n">
        <v>0.02</v>
      </c>
      <c r="E18" s="40" t="n">
        <v>12.91</v>
      </c>
      <c r="F18" s="8">
        <f>IF(OR(C18="",D18="",E18="",N18="",C18&lt;=0,D18&lt;=0,E18&lt;=N18),"",ROUNDDOWN((C18*D18)/(E18-N18)/100,0)*100)</f>
        <v/>
      </c>
      <c r="G18" s="8">
        <f>IF(A18="","",IF(H18&lt;&gt;"","已开仓",IF(账户数据!$B$23="已锁仓","禁止开仓：连续亏损达到上限",IF(账户数据!$B$23="解锁信息不完整","禁止开仓：请完整填写解锁信息",IF(OR(F18="",E18="",N18="",E18&lt;=N18,账户数据!$B$7=""),"",IF(OR(AG18="",AH18="",AI18=""),"禁止开仓：交易预期未填写完整",IF(COUNTIFS(持仓跟踪!$A$2:$A$501,"止损计划",持仓跟踪!$B$2:$B$501,A18,持仓跟踪!$AC$2:$AC$501,"计划有效")=0,"禁止开仓：请先填写止损计划",IF(账户数据!$B$9+F18*(E18-N18)&gt;=账户数据!$B$7,"禁止开仓：风险额度不足",IF(AJ18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" s="2" t="n">
        <v>5000</v>
      </c>
      <c r="I18" s="41" t="n">
        <v>45888</v>
      </c>
      <c r="J18" s="40" t="n">
        <v>14</v>
      </c>
      <c r="K18" s="40" t="n">
        <v>14.62</v>
      </c>
      <c r="L18" s="8">
        <f>IF(K18="","",H18)</f>
        <v/>
      </c>
      <c r="M18" s="41" t="n">
        <v>45917</v>
      </c>
      <c r="N18" s="40" t="n">
        <v>12.5</v>
      </c>
      <c r="O18" s="40" t="n"/>
      <c r="P18" s="40" t="n"/>
      <c r="Q18" s="2" t="n"/>
      <c r="R18" s="2" t="n"/>
      <c r="S18" s="2" t="n"/>
      <c r="T18" s="2" t="n"/>
      <c r="U18" s="7">
        <f>IF(OR(AO18="",J18="",AO18&lt;=0),"",(J18-AO18)/AO18)</f>
        <v/>
      </c>
      <c r="V18" s="7">
        <f>IF(OR(AO18="",N18="",AO18&lt;=0),"",(AO18-N18)/AO18)</f>
        <v/>
      </c>
      <c r="W18" s="13">
        <f>IF(OR(U18="",V18="",V18&lt;=0),"",U18/V18)</f>
        <v/>
      </c>
      <c r="X18" s="42">
        <f>IF(OR(K18="",L18="",AP18=""),"",K18*L18-(E18*H18+IF(AND(AK18&lt;&gt;"",AL18&lt;&gt;""),AK18*AL18,0)+IF(AND(AM18&lt;&gt;"",AN18&lt;&gt;""),AM18*AN18,0))-IF(O18="",0,O18)-IF(P18="",0,P18))</f>
        <v/>
      </c>
      <c r="Y18" s="7">
        <f>IF(OR(X18="",AP18=""),"",IF((E18*H18+IF(AND(AK18&lt;&gt;"",AL18&lt;&gt;""),AK18*AL18,0)+IF(AND(AM18&lt;&gt;"",AN18&lt;&gt;""),AM18*AN18,0))+IF(O18="",0,O18)&lt;=0,"",X18/((E18*H18+IF(AND(AK18&lt;&gt;"",AL18&lt;&gt;""),AK18*AL18,0)+IF(AND(AM18&lt;&gt;"",AN18&lt;&gt;""),AM18*AN18,0))+IF(O18="",0,O18))))</f>
        <v/>
      </c>
      <c r="Z18" s="7">
        <f>IF(OR(AE18="",多次统计数据!$B$8=""),"",AE18-多次统计数据!$B$8)</f>
        <v/>
      </c>
      <c r="AA18" s="14">
        <f>IF(OR(I18="",M18="",M18&lt;I18),"",M18-I18)</f>
        <v/>
      </c>
      <c r="AB18" s="7">
        <f>IF(OR(A18="",多次统计数据!$B$8="",多次统计数据!$B$6&lt;=0,多次统计数据!$B$6&gt;=1),"",1-POWER(1+多次统计数据!$B$8,-多次统计数据!$B$6/(1-多次统计数据!$B$6)))</f>
        <v/>
      </c>
      <c r="AC18" s="8">
        <f>IF(OR(AB18="",多次统计数据!$B$9=""),"",IF(多次统计数据!$B$9&lt;AB18,"低于上限","达到或超过上限"))</f>
        <v/>
      </c>
      <c r="AD18" s="2" t="n"/>
      <c r="AE18" s="7">
        <f>IF(OR(X18="",C18="",C18&lt;=0),"",X18/C18)</f>
        <v/>
      </c>
      <c r="AG18" s="28" t="n"/>
      <c r="AH18" s="28" t="n"/>
      <c r="AI18" s="28" t="n"/>
      <c r="AJ18" s="31">
        <f>IF(OR(AG18="",AH18=""),"",IF(OR(AND(AG18="短期博反弹",OR(AH18="1～3个交易日",AH18="4～10个交易日")),AND(AG18="突破冲新高",OR(AH18="4～10个交易日",AH18="11～20个交易日")),AND(AG18="趋势波段",OR(AH18="11～20个交易日",AH18="21～60个交易日",AH18="60个交易日以上"))),"匹配","周期与交易预期不匹配，请重新确认"))</f>
        <v/>
      </c>
      <c r="AK18" s="43" t="n"/>
      <c r="AL18" s="27" t="n"/>
      <c r="AM18" s="43" t="n"/>
      <c r="AN18" s="27" t="n"/>
      <c r="AO18" s="44">
        <f>IF(OR(A18="",H18="",H18&lt;=0),"",(E18*H18+IF(AND(AK18&lt;&gt;"",AL18&lt;&gt;""),AK18*AL18,0)+IF(AND(AM18&lt;&gt;"",AN18&lt;&gt;""),AM18*AN18,0))/AP18)</f>
        <v/>
      </c>
      <c r="AP18" s="26">
        <f>IF(OR(A18="",H18="",H18&lt;=0),"",H18+IF(AL18="",0,AL18)+IF(AN18="",0,AN18))</f>
        <v/>
      </c>
      <c r="AQ18" s="44">
        <f>IF(A18="","",IF(M18&lt;&gt;"",0,IF(OR(H18="",N18=""),"",MAX(E18-MAX(N18,IFERROR(AGGREGATE(14,6,'持仓跟踪'!$S$2:$S$501/(('持仓跟踪'!$A$2:$A$501="每日跟踪")*('持仓跟踪'!$B$2:$B$501=A18)),1),0)),0)*H18+IF(OR(AK18="",AL18=""),0,MAX(AK18-MAX(N18,IFERROR(AGGREGATE(14,6,'持仓跟踪'!$S$2:$S$501/(('持仓跟踪'!$A$2:$A$501="每日跟踪")*('持仓跟踪'!$B$2:$B$501=A18)),1),0)),0)*AL18)+IF(OR(AM18="",AN18=""),0,MAX(AM18-MAX(N18,IFERROR(AGGREGATE(14,6,'持仓跟踪'!$S$2:$S$501/(('持仓跟踪'!$A$2:$A$501="每日跟踪")*('持仓跟踪'!$B$2:$B$501=A18)),1),0)),0)*AN18))))</f>
        <v/>
      </c>
      <c r="AR18" s="31">
        <f>IF(A18="","",IF(OR(E18="",H18=""),"违规：第一批价格或股数缺失",IF(OR(AND(AK18="",AL18&lt;&gt;""),AND(AK18&lt;&gt;"",AL18="")),"违规：第二批价格与股数须成对填写",IF(OR(AND(AM18="",AN18&lt;&gt;""),AND(AM18&lt;&gt;"",AN18="")),"违规：第三批价格与股数须成对填写",IF(AND(OR(AM18&lt;&gt;"",AN18&lt;&gt;""),OR(AK18="",AL18="")),"违规：必须先完成第二批",IF(OR(H18&lt;=0,H18&lt;&gt;INT(H18),MOD(H18,100)&lt;&gt;0,AND(AL18&lt;&gt;"",OR(AL18&lt;=0,AL18&lt;&gt;INT(AL18),MOD(AL18,100)&lt;&gt;0)),AND(AN18&lt;&gt;"",OR(AN18&lt;=0,AN18&lt;&gt;INT(AN18),MOD(AN18,100)&lt;&gt;0))),"违规：股数须为100股整数倍",IF(AND(OR(AL18&lt;&gt;"",AN18&lt;&gt;""),OR(_LockStatus="已锁仓",_LockStatus="解锁信息不完整")),"违规：锁仓期间禁止加仓",IF(AQ18&gt;C18*D18,"违规：超过单笔风险上限",IF(SUM($AQ$2:$AQ$201)&gt;账户数据!$B$7,"违规：超过账户风险上限","通过")))))))))</f>
        <v/>
      </c>
    </row>
    <row r="19">
      <c r="A19" s="2" t="n">
        <v>18</v>
      </c>
      <c r="B19" s="2" t="inlineStr">
        <is>
          <t>通富微电</t>
        </is>
      </c>
      <c r="C19" s="40" t="n">
        <v>112913</v>
      </c>
      <c r="D19" s="6" t="n">
        <v>0.02</v>
      </c>
      <c r="E19" s="40" t="n">
        <v>20.1</v>
      </c>
      <c r="F19" s="8">
        <f>IF(OR(C19="",D19="",E19="",N19="",C19&lt;=0,D19&lt;=0,E19&lt;=N19),"",ROUNDDOWN((C19*D19)/(E19-N19)/100,0)*100)</f>
        <v/>
      </c>
      <c r="G19" s="8">
        <f>IF(A19="","",IF(H19&lt;&gt;"","已开仓",IF(账户数据!$B$23="已锁仓","禁止开仓：连续亏损达到上限",IF(账户数据!$B$23="解锁信息不完整","禁止开仓：请完整填写解锁信息",IF(OR(F19="",E19="",N19="",E19&lt;=N19,账户数据!$B$7=""),"",IF(OR(AG19="",AH19="",AI19=""),"禁止开仓：交易预期未填写完整",IF(COUNTIFS(持仓跟踪!$A$2:$A$501,"止损计划",持仓跟踪!$B$2:$B$501,A19,持仓跟踪!$AC$2:$AC$501,"计划有效")=0,"禁止开仓：请先填写止损计划",IF(账户数据!$B$9+F19*(E19-N19)&gt;=账户数据!$B$7,"禁止开仓：风险额度不足",IF(AJ19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" s="2" t="n">
        <v>2000</v>
      </c>
      <c r="I19" s="41" t="n">
        <v>44540</v>
      </c>
      <c r="J19" s="40" t="n">
        <v>23</v>
      </c>
      <c r="K19" s="40" t="n">
        <v>18.9</v>
      </c>
      <c r="L19" s="8">
        <f>IF(K19="","",H19)</f>
        <v/>
      </c>
      <c r="M19" s="41" t="n">
        <v>44550</v>
      </c>
      <c r="N19" s="40" t="n">
        <v>19</v>
      </c>
      <c r="O19" s="40" t="n"/>
      <c r="P19" s="40" t="n"/>
      <c r="Q19" s="2" t="n"/>
      <c r="R19" s="2" t="n"/>
      <c r="S19" s="2" t="n"/>
      <c r="T19" s="2" t="n"/>
      <c r="U19" s="7">
        <f>IF(OR(AO19="",J19="",AO19&lt;=0),"",(J19-AO19)/AO19)</f>
        <v/>
      </c>
      <c r="V19" s="7">
        <f>IF(OR(AO19="",N19="",AO19&lt;=0),"",(AO19-N19)/AO19)</f>
        <v/>
      </c>
      <c r="W19" s="13">
        <f>IF(OR(U19="",V19="",V19&lt;=0),"",U19/V19)</f>
        <v/>
      </c>
      <c r="X19" s="42">
        <f>IF(OR(K19="",L19="",AP19=""),"",K19*L19-(E19*H19+IF(AND(AK19&lt;&gt;"",AL19&lt;&gt;""),AK19*AL19,0)+IF(AND(AM19&lt;&gt;"",AN19&lt;&gt;""),AM19*AN19,0))-IF(O19="",0,O19)-IF(P19="",0,P19))</f>
        <v/>
      </c>
      <c r="Y19" s="7">
        <f>IF(OR(X19="",AP19=""),"",IF((E19*H19+IF(AND(AK19&lt;&gt;"",AL19&lt;&gt;""),AK19*AL19,0)+IF(AND(AM19&lt;&gt;"",AN19&lt;&gt;""),AM19*AN19,0))+IF(O19="",0,O19)&lt;=0,"",X19/((E19*H19+IF(AND(AK19&lt;&gt;"",AL19&lt;&gt;""),AK19*AL19,0)+IF(AND(AM19&lt;&gt;"",AN19&lt;&gt;""),AM19*AN19,0))+IF(O19="",0,O19))))</f>
        <v/>
      </c>
      <c r="Z19" s="7">
        <f>IF(OR(AE19="",多次统计数据!$B$8=""),"",AE19-多次统计数据!$B$8)</f>
        <v/>
      </c>
      <c r="AA19" s="14">
        <f>IF(OR(I19="",M19="",M19&lt;I19),"",M19-I19)</f>
        <v/>
      </c>
      <c r="AB19" s="7">
        <f>IF(OR(A19="",多次统计数据!$B$8="",多次统计数据!$B$6&lt;=0,多次统计数据!$B$6&gt;=1),"",1-POWER(1+多次统计数据!$B$8,-多次统计数据!$B$6/(1-多次统计数据!$B$6)))</f>
        <v/>
      </c>
      <c r="AC19" s="8">
        <f>IF(OR(AB19="",多次统计数据!$B$9=""),"",IF(多次统计数据!$B$9&lt;AB19,"低于上限","达到或超过上限"))</f>
        <v/>
      </c>
      <c r="AD19" s="2" t="n"/>
      <c r="AE19" s="7">
        <f>IF(OR(X19="",C19="",C19&lt;=0),"",X19/C19)</f>
        <v/>
      </c>
      <c r="AG19" s="28" t="n"/>
      <c r="AH19" s="28" t="n"/>
      <c r="AI19" s="28" t="n"/>
      <c r="AJ19" s="31">
        <f>IF(OR(AG19="",AH19=""),"",IF(OR(AND(AG19="短期博反弹",OR(AH19="1～3个交易日",AH19="4～10个交易日")),AND(AG19="突破冲新高",OR(AH19="4～10个交易日",AH19="11～20个交易日")),AND(AG19="趋势波段",OR(AH19="11～20个交易日",AH19="21～60个交易日",AH19="60个交易日以上"))),"匹配","周期与交易预期不匹配，请重新确认"))</f>
        <v/>
      </c>
      <c r="AK19" s="43" t="n"/>
      <c r="AL19" s="27" t="n"/>
      <c r="AM19" s="43" t="n"/>
      <c r="AN19" s="27" t="n"/>
      <c r="AO19" s="44">
        <f>IF(OR(A19="",H19="",H19&lt;=0),"",(E19*H19+IF(AND(AK19&lt;&gt;"",AL19&lt;&gt;""),AK19*AL19,0)+IF(AND(AM19&lt;&gt;"",AN19&lt;&gt;""),AM19*AN19,0))/AP19)</f>
        <v/>
      </c>
      <c r="AP19" s="26">
        <f>IF(OR(A19="",H19="",H19&lt;=0),"",H19+IF(AL19="",0,AL19)+IF(AN19="",0,AN19))</f>
        <v/>
      </c>
      <c r="AQ19" s="44">
        <f>IF(A19="","",IF(M19&lt;&gt;"",0,IF(OR(H19="",N19=""),"",MAX(E19-MAX(N19,IFERROR(AGGREGATE(14,6,'持仓跟踪'!$S$2:$S$501/(('持仓跟踪'!$A$2:$A$501="每日跟踪")*('持仓跟踪'!$B$2:$B$501=A19)),1),0)),0)*H19+IF(OR(AK19="",AL19=""),0,MAX(AK19-MAX(N19,IFERROR(AGGREGATE(14,6,'持仓跟踪'!$S$2:$S$501/(('持仓跟踪'!$A$2:$A$501="每日跟踪")*('持仓跟踪'!$B$2:$B$501=A19)),1),0)),0)*AL19)+IF(OR(AM19="",AN19=""),0,MAX(AM19-MAX(N19,IFERROR(AGGREGATE(14,6,'持仓跟踪'!$S$2:$S$501/(('持仓跟踪'!$A$2:$A$501="每日跟踪")*('持仓跟踪'!$B$2:$B$501=A19)),1),0)),0)*AN19))))</f>
        <v/>
      </c>
      <c r="AR19" s="31">
        <f>IF(A19="","",IF(OR(E19="",H19=""),"违规：第一批价格或股数缺失",IF(OR(AND(AK19="",AL19&lt;&gt;""),AND(AK19&lt;&gt;"",AL19="")),"违规：第二批价格与股数须成对填写",IF(OR(AND(AM19="",AN19&lt;&gt;""),AND(AM19&lt;&gt;"",AN19="")),"违规：第三批价格与股数须成对填写",IF(AND(OR(AM19&lt;&gt;"",AN19&lt;&gt;""),OR(AK19="",AL19="")),"违规：必须先完成第二批",IF(OR(H19&lt;=0,H19&lt;&gt;INT(H19),MOD(H19,100)&lt;&gt;0,AND(AL19&lt;&gt;"",OR(AL19&lt;=0,AL19&lt;&gt;INT(AL19),MOD(AL19,100)&lt;&gt;0)),AND(AN19&lt;&gt;"",OR(AN19&lt;=0,AN19&lt;&gt;INT(AN19),MOD(AN19,100)&lt;&gt;0))),"违规：股数须为100股整数倍",IF(AND(OR(AL19&lt;&gt;"",AN19&lt;&gt;""),OR(_LockStatus="已锁仓",_LockStatus="解锁信息不完整")),"违规：锁仓期间禁止加仓",IF(AQ19&gt;C19*D19,"违规：超过单笔风险上限",IF(SUM($AQ$2:$AQ$201)&gt;账户数据!$B$7,"违规：超过账户风险上限","通过")))))))))</f>
        <v/>
      </c>
    </row>
    <row r="20">
      <c r="A20" s="2" t="n">
        <v>19</v>
      </c>
      <c r="B20" s="2" t="inlineStr">
        <is>
          <t>通富微电</t>
        </is>
      </c>
      <c r="C20" s="40" t="n">
        <v>110513</v>
      </c>
      <c r="D20" s="6" t="n">
        <v>0.02</v>
      </c>
      <c r="E20" s="40" t="n">
        <v>14.23</v>
      </c>
      <c r="F20" s="8">
        <f>IF(OR(C20="",D20="",E20="",N20="",C20&lt;=0,D20&lt;=0,E20&lt;=N20),"",ROUNDDOWN((C20*D20)/(E20-N20)/100,0)*100)</f>
        <v/>
      </c>
      <c r="G20" s="8">
        <f>IF(A20="","",IF(H20&lt;&gt;"","已开仓",IF(账户数据!$B$23="已锁仓","禁止开仓：连续亏损达到上限",IF(账户数据!$B$23="解锁信息不完整","禁止开仓：请完整填写解锁信息",IF(OR(F20="",E20="",N20="",E20&lt;=N20,账户数据!$B$7=""),"",IF(OR(AG20="",AH20="",AI20=""),"禁止开仓：交易预期未填写完整",IF(COUNTIFS(持仓跟踪!$A$2:$A$501,"止损计划",持仓跟踪!$B$2:$B$501,A20,持仓跟踪!$AC$2:$AC$501,"计划有效")=0,"禁止开仓：请先填写止损计划",IF(账户数据!$B$9+F20*(E20-N20)&gt;=账户数据!$B$7,"禁止开仓：风险额度不足",IF(AJ20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" s="2" t="n">
        <v>3000</v>
      </c>
      <c r="I20" s="41" t="n">
        <v>44727</v>
      </c>
      <c r="J20" s="40" t="n">
        <v>16</v>
      </c>
      <c r="K20" s="40" t="n">
        <v>14.86</v>
      </c>
      <c r="L20" s="8">
        <f>IF(K20="","",H20)</f>
        <v/>
      </c>
      <c r="M20" s="41" t="n">
        <v>44741</v>
      </c>
      <c r="N20" s="40" t="n">
        <v>13.5</v>
      </c>
      <c r="O20" s="40" t="n"/>
      <c r="P20" s="40" t="n"/>
      <c r="Q20" s="2" t="n"/>
      <c r="R20" s="2" t="n"/>
      <c r="S20" s="2" t="n"/>
      <c r="T20" s="2" t="n"/>
      <c r="U20" s="7">
        <f>IF(OR(AO20="",J20="",AO20&lt;=0),"",(J20-AO20)/AO20)</f>
        <v/>
      </c>
      <c r="V20" s="7">
        <f>IF(OR(AO20="",N20="",AO20&lt;=0),"",(AO20-N20)/AO20)</f>
        <v/>
      </c>
      <c r="W20" s="13">
        <f>IF(OR(U20="",V20="",V20&lt;=0),"",U20/V20)</f>
        <v/>
      </c>
      <c r="X20" s="42">
        <f>IF(OR(K20="",L20="",AP20=""),"",K20*L20-(E20*H20+IF(AND(AK20&lt;&gt;"",AL20&lt;&gt;""),AK20*AL20,0)+IF(AND(AM20&lt;&gt;"",AN20&lt;&gt;""),AM20*AN20,0))-IF(O20="",0,O20)-IF(P20="",0,P20))</f>
        <v/>
      </c>
      <c r="Y20" s="7">
        <f>IF(OR(X20="",AP20=""),"",IF((E20*H20+IF(AND(AK20&lt;&gt;"",AL20&lt;&gt;""),AK20*AL20,0)+IF(AND(AM20&lt;&gt;"",AN20&lt;&gt;""),AM20*AN20,0))+IF(O20="",0,O20)&lt;=0,"",X20/((E20*H20+IF(AND(AK20&lt;&gt;"",AL20&lt;&gt;""),AK20*AL20,0)+IF(AND(AM20&lt;&gt;"",AN20&lt;&gt;""),AM20*AN20,0))+IF(O20="",0,O20))))</f>
        <v/>
      </c>
      <c r="Z20" s="7">
        <f>IF(OR(AE20="",多次统计数据!$B$8=""),"",AE20-多次统计数据!$B$8)</f>
        <v/>
      </c>
      <c r="AA20" s="14">
        <f>IF(OR(I20="",M20="",M20&lt;I20),"",M20-I20)</f>
        <v/>
      </c>
      <c r="AB20" s="7">
        <f>IF(OR(A20="",多次统计数据!$B$8="",多次统计数据!$B$6&lt;=0,多次统计数据!$B$6&gt;=1),"",1-POWER(1+多次统计数据!$B$8,-多次统计数据!$B$6/(1-多次统计数据!$B$6)))</f>
        <v/>
      </c>
      <c r="AC20" s="8">
        <f>IF(OR(AB20="",多次统计数据!$B$9=""),"",IF(多次统计数据!$B$9&lt;AB20,"低于上限","达到或超过上限"))</f>
        <v/>
      </c>
      <c r="AD20" s="2" t="n"/>
      <c r="AE20" s="7">
        <f>IF(OR(X20="",C20="",C20&lt;=0),"",X20/C20)</f>
        <v/>
      </c>
      <c r="AG20" s="28" t="n"/>
      <c r="AH20" s="28" t="n"/>
      <c r="AI20" s="28" t="n"/>
      <c r="AJ20" s="31">
        <f>IF(OR(AG20="",AH20=""),"",IF(OR(AND(AG20="短期博反弹",OR(AH20="1～3个交易日",AH20="4～10个交易日")),AND(AG20="突破冲新高",OR(AH20="4～10个交易日",AH20="11～20个交易日")),AND(AG20="趋势波段",OR(AH20="11～20个交易日",AH20="21～60个交易日",AH20="60个交易日以上"))),"匹配","周期与交易预期不匹配，请重新确认"))</f>
        <v/>
      </c>
      <c r="AK20" s="43" t="n"/>
      <c r="AL20" s="27" t="n"/>
      <c r="AM20" s="43" t="n"/>
      <c r="AN20" s="27" t="n"/>
      <c r="AO20" s="44">
        <f>IF(OR(A20="",H20="",H20&lt;=0),"",(E20*H20+IF(AND(AK20&lt;&gt;"",AL20&lt;&gt;""),AK20*AL20,0)+IF(AND(AM20&lt;&gt;"",AN20&lt;&gt;""),AM20*AN20,0))/AP20)</f>
        <v/>
      </c>
      <c r="AP20" s="26">
        <f>IF(OR(A20="",H20="",H20&lt;=0),"",H20+IF(AL20="",0,AL20)+IF(AN20="",0,AN20))</f>
        <v/>
      </c>
      <c r="AQ20" s="44">
        <f>IF(A20="","",IF(M20&lt;&gt;"",0,IF(OR(H20="",N20=""),"",MAX(E20-MAX(N20,IFERROR(AGGREGATE(14,6,'持仓跟踪'!$S$2:$S$501/(('持仓跟踪'!$A$2:$A$501="每日跟踪")*('持仓跟踪'!$B$2:$B$501=A20)),1),0)),0)*H20+IF(OR(AK20="",AL20=""),0,MAX(AK20-MAX(N20,IFERROR(AGGREGATE(14,6,'持仓跟踪'!$S$2:$S$501/(('持仓跟踪'!$A$2:$A$501="每日跟踪")*('持仓跟踪'!$B$2:$B$501=A20)),1),0)),0)*AL20)+IF(OR(AM20="",AN20=""),0,MAX(AM20-MAX(N20,IFERROR(AGGREGATE(14,6,'持仓跟踪'!$S$2:$S$501/(('持仓跟踪'!$A$2:$A$501="每日跟踪")*('持仓跟踪'!$B$2:$B$501=A20)),1),0)),0)*AN20))))</f>
        <v/>
      </c>
      <c r="AR20" s="31">
        <f>IF(A20="","",IF(OR(E20="",H20=""),"违规：第一批价格或股数缺失",IF(OR(AND(AK20="",AL20&lt;&gt;""),AND(AK20&lt;&gt;"",AL20="")),"违规：第二批价格与股数须成对填写",IF(OR(AND(AM20="",AN20&lt;&gt;""),AND(AM20&lt;&gt;"",AN20="")),"违规：第三批价格与股数须成对填写",IF(AND(OR(AM20&lt;&gt;"",AN20&lt;&gt;""),OR(AK20="",AL20="")),"违规：必须先完成第二批",IF(OR(H20&lt;=0,H20&lt;&gt;INT(H20),MOD(H20,100)&lt;&gt;0,AND(AL20&lt;&gt;"",OR(AL20&lt;=0,AL20&lt;&gt;INT(AL20),MOD(AL20,100)&lt;&gt;0)),AND(AN20&lt;&gt;"",OR(AN20&lt;=0,AN20&lt;&gt;INT(AN20),MOD(AN20,100)&lt;&gt;0))),"违规：股数须为100股整数倍",IF(AND(OR(AL20&lt;&gt;"",AN20&lt;&gt;""),OR(_LockStatus="已锁仓",_LockStatus="解锁信息不完整")),"违规：锁仓期间禁止加仓",IF(AQ20&gt;C20*D20,"违规：超过单笔风险上限",IF(SUM($AQ$2:$AQ$201)&gt;账户数据!$B$7,"违规：超过账户风险上限","通过")))))))))</f>
        <v/>
      </c>
    </row>
    <row r="21">
      <c r="A21" s="2" t="n">
        <v>20</v>
      </c>
      <c r="B21" s="2" t="inlineStr">
        <is>
          <t>通富微电</t>
        </is>
      </c>
      <c r="C21" s="40" t="n">
        <v>112403</v>
      </c>
      <c r="D21" s="6" t="n">
        <v>0.02</v>
      </c>
      <c r="E21" s="40" t="n">
        <v>20.05</v>
      </c>
      <c r="F21" s="8">
        <f>IF(OR(C21="",D21="",E21="",N21="",C21&lt;=0,D21&lt;=0,E21&lt;=N21),"",ROUNDDOWN((C21*D21)/(E21-N21)/100,0)*100)</f>
        <v/>
      </c>
      <c r="G21" s="8">
        <f>IF(A21="","",IF(H21&lt;&gt;"","已开仓",IF(账户数据!$B$23="已锁仓","禁止开仓：连续亏损达到上限",IF(账户数据!$B$23="解锁信息不完整","禁止开仓：请完整填写解锁信息",IF(OR(F21="",E21="",N21="",E21&lt;=N21,账户数据!$B$7=""),"",IF(OR(AG21="",AH21="",AI21=""),"禁止开仓：交易预期未填写完整",IF(COUNTIFS(持仓跟踪!$A$2:$A$501,"止损计划",持仓跟踪!$B$2:$B$501,A21,持仓跟踪!$AC$2:$AC$501,"计划有效")=0,"禁止开仓：请先填写止损计划",IF(账户数据!$B$9+F21*(E21-N21)&gt;=账户数据!$B$7,"禁止开仓：风险额度不足",IF(AJ21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1" s="2" t="n">
        <v>4000</v>
      </c>
      <c r="I21" s="41" t="n">
        <v>45068</v>
      </c>
      <c r="J21" s="40" t="n">
        <v>22.5</v>
      </c>
      <c r="K21" s="40" t="n">
        <v>25.16</v>
      </c>
      <c r="L21" s="8">
        <f>IF(K21="","",H21)</f>
        <v/>
      </c>
      <c r="M21" s="41" t="n">
        <v>45091</v>
      </c>
      <c r="N21" s="40" t="n">
        <v>19.5</v>
      </c>
      <c r="O21" s="40" t="n"/>
      <c r="P21" s="40" t="n"/>
      <c r="Q21" s="2" t="n"/>
      <c r="R21" s="2" t="n"/>
      <c r="S21" s="2" t="n"/>
      <c r="T21" s="2" t="n"/>
      <c r="U21" s="7">
        <f>IF(OR(AO21="",J21="",AO21&lt;=0),"",(J21-AO21)/AO21)</f>
        <v/>
      </c>
      <c r="V21" s="7">
        <f>IF(OR(AO21="",N21="",AO21&lt;=0),"",(AO21-N21)/AO21)</f>
        <v/>
      </c>
      <c r="W21" s="13">
        <f>IF(OR(U21="",V21="",V21&lt;=0),"",U21/V21)</f>
        <v/>
      </c>
      <c r="X21" s="42">
        <f>IF(OR(K21="",L21="",AP21=""),"",K21*L21-(E21*H21+IF(AND(AK21&lt;&gt;"",AL21&lt;&gt;""),AK21*AL21,0)+IF(AND(AM21&lt;&gt;"",AN21&lt;&gt;""),AM21*AN21,0))-IF(O21="",0,O21)-IF(P21="",0,P21))</f>
        <v/>
      </c>
      <c r="Y21" s="7">
        <f>IF(OR(X21="",AP21=""),"",IF((E21*H21+IF(AND(AK21&lt;&gt;"",AL21&lt;&gt;""),AK21*AL21,0)+IF(AND(AM21&lt;&gt;"",AN21&lt;&gt;""),AM21*AN21,0))+IF(O21="",0,O21)&lt;=0,"",X21/((E21*H21+IF(AND(AK21&lt;&gt;"",AL21&lt;&gt;""),AK21*AL21,0)+IF(AND(AM21&lt;&gt;"",AN21&lt;&gt;""),AM21*AN21,0))+IF(O21="",0,O21))))</f>
        <v/>
      </c>
      <c r="Z21" s="7">
        <f>IF(OR(AE21="",多次统计数据!$B$8=""),"",AE21-多次统计数据!$B$8)</f>
        <v/>
      </c>
      <c r="AA21" s="14">
        <f>IF(OR(I21="",M21="",M21&lt;I21),"",M21-I21)</f>
        <v/>
      </c>
      <c r="AB21" s="7">
        <f>IF(OR(A21="",多次统计数据!$B$8="",多次统计数据!$B$6&lt;=0,多次统计数据!$B$6&gt;=1),"",1-POWER(1+多次统计数据!$B$8,-多次统计数据!$B$6/(1-多次统计数据!$B$6)))</f>
        <v/>
      </c>
      <c r="AC21" s="8">
        <f>IF(OR(AB21="",多次统计数据!$B$9=""),"",IF(多次统计数据!$B$9&lt;AB21,"低于上限","达到或超过上限"))</f>
        <v/>
      </c>
      <c r="AD21" s="2" t="n"/>
      <c r="AE21" s="7">
        <f>IF(OR(X21="",C21="",C21&lt;=0),"",X21/C21)</f>
        <v/>
      </c>
      <c r="AG21" s="28" t="n"/>
      <c r="AH21" s="28" t="n"/>
      <c r="AI21" s="28" t="n"/>
      <c r="AJ21" s="31">
        <f>IF(OR(AG21="",AH21=""),"",IF(OR(AND(AG21="短期博反弹",OR(AH21="1～3个交易日",AH21="4～10个交易日")),AND(AG21="突破冲新高",OR(AH21="4～10个交易日",AH21="11～20个交易日")),AND(AG21="趋势波段",OR(AH21="11～20个交易日",AH21="21～60个交易日",AH21="60个交易日以上"))),"匹配","周期与交易预期不匹配，请重新确认"))</f>
        <v/>
      </c>
      <c r="AK21" s="43" t="n"/>
      <c r="AL21" s="27" t="n"/>
      <c r="AM21" s="43" t="n"/>
      <c r="AN21" s="27" t="n"/>
      <c r="AO21" s="44">
        <f>IF(OR(A21="",H21="",H21&lt;=0),"",(E21*H21+IF(AND(AK21&lt;&gt;"",AL21&lt;&gt;""),AK21*AL21,0)+IF(AND(AM21&lt;&gt;"",AN21&lt;&gt;""),AM21*AN21,0))/AP21)</f>
        <v/>
      </c>
      <c r="AP21" s="26">
        <f>IF(OR(A21="",H21="",H21&lt;=0),"",H21+IF(AL21="",0,AL21)+IF(AN21="",0,AN21))</f>
        <v/>
      </c>
      <c r="AQ21" s="44">
        <f>IF(A21="","",IF(M21&lt;&gt;"",0,IF(OR(H21="",N21=""),"",MAX(E21-MAX(N21,IFERROR(AGGREGATE(14,6,'持仓跟踪'!$S$2:$S$501/(('持仓跟踪'!$A$2:$A$501="每日跟踪")*('持仓跟踪'!$B$2:$B$501=A21)),1),0)),0)*H21+IF(OR(AK21="",AL21=""),0,MAX(AK21-MAX(N21,IFERROR(AGGREGATE(14,6,'持仓跟踪'!$S$2:$S$501/(('持仓跟踪'!$A$2:$A$501="每日跟踪")*('持仓跟踪'!$B$2:$B$501=A21)),1),0)),0)*AL21)+IF(OR(AM21="",AN21=""),0,MAX(AM21-MAX(N21,IFERROR(AGGREGATE(14,6,'持仓跟踪'!$S$2:$S$501/(('持仓跟踪'!$A$2:$A$501="每日跟踪")*('持仓跟踪'!$B$2:$B$501=A21)),1),0)),0)*AN21))))</f>
        <v/>
      </c>
      <c r="AR21" s="31">
        <f>IF(A21="","",IF(OR(E21="",H21=""),"违规：第一批价格或股数缺失",IF(OR(AND(AK21="",AL21&lt;&gt;""),AND(AK21&lt;&gt;"",AL21="")),"违规：第二批价格与股数须成对填写",IF(OR(AND(AM21="",AN21&lt;&gt;""),AND(AM21&lt;&gt;"",AN21="")),"违规：第三批价格与股数须成对填写",IF(AND(OR(AM21&lt;&gt;"",AN21&lt;&gt;""),OR(AK21="",AL21="")),"违规：必须先完成第二批",IF(OR(H21&lt;=0,H21&lt;&gt;INT(H21),MOD(H21,100)&lt;&gt;0,AND(AL21&lt;&gt;"",OR(AL21&lt;=0,AL21&lt;&gt;INT(AL21),MOD(AL21,100)&lt;&gt;0)),AND(AN21&lt;&gt;"",OR(AN21&lt;=0,AN21&lt;&gt;INT(AN21),MOD(AN21,100)&lt;&gt;0))),"违规：股数须为100股整数倍",IF(AND(OR(AL21&lt;&gt;"",AN21&lt;&gt;""),OR(_LockStatus="已锁仓",_LockStatus="解锁信息不完整")),"违规：锁仓期间禁止加仓",IF(AQ21&gt;C21*D21,"违规：超过单笔风险上限",IF(SUM($AQ$2:$AQ$201)&gt;账户数据!$B$7,"违规：超过账户风险上限","通过")))))))))</f>
        <v/>
      </c>
    </row>
    <row r="22">
      <c r="A22" s="2" t="n">
        <v>21</v>
      </c>
      <c r="B22" s="2" t="inlineStr">
        <is>
          <t>通富微电</t>
        </is>
      </c>
      <c r="C22" s="40" t="n">
        <v>132843</v>
      </c>
      <c r="D22" s="6" t="n">
        <v>0.02</v>
      </c>
      <c r="E22" s="40" t="n">
        <v>24.36</v>
      </c>
      <c r="F22" s="8">
        <f>IF(OR(C22="",D22="",E22="",N22="",C22&lt;=0,D22&lt;=0,E22&lt;=N22),"",ROUNDDOWN((C22*D22)/(E22-N22)/100,0)*100)</f>
        <v/>
      </c>
      <c r="G22" s="8">
        <f>IF(A22="","",IF(H22&lt;&gt;"","已开仓",IF(账户数据!$B$23="已锁仓","禁止开仓：连续亏损达到上限",IF(账户数据!$B$23="解锁信息不完整","禁止开仓：请完整填写解锁信息",IF(OR(F22="",E22="",N22="",E22&lt;=N22,账户数据!$B$7=""),"",IF(OR(AG22="",AH22="",AI22=""),"禁止开仓：交易预期未填写完整",IF(COUNTIFS(持仓跟踪!$A$2:$A$501,"止损计划",持仓跟踪!$B$2:$B$501,A22,持仓跟踪!$AC$2:$AC$501,"计划有效")=0,"禁止开仓：请先填写止损计划",IF(账户数据!$B$9+F22*(E22-N22)&gt;=账户数据!$B$7,"禁止开仓：风险额度不足",IF(AJ22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2" s="2" t="n">
        <v>1900</v>
      </c>
      <c r="I22" s="41" t="n">
        <v>45128</v>
      </c>
      <c r="J22" s="40" t="n">
        <v>28</v>
      </c>
      <c r="K22" s="40" t="n">
        <v>22.11</v>
      </c>
      <c r="L22" s="8">
        <f>IF(K22="","",H22)</f>
        <v/>
      </c>
      <c r="M22" s="41" t="n">
        <v>45134</v>
      </c>
      <c r="N22" s="40" t="n">
        <v>23</v>
      </c>
      <c r="O22" s="40" t="n"/>
      <c r="P22" s="40" t="n"/>
      <c r="Q22" s="2" t="n"/>
      <c r="R22" s="2" t="n"/>
      <c r="S22" s="2" t="n"/>
      <c r="T22" s="2" t="n"/>
      <c r="U22" s="7">
        <f>IF(OR(AO22="",J22="",AO22&lt;=0),"",(J22-AO22)/AO22)</f>
        <v/>
      </c>
      <c r="V22" s="7">
        <f>IF(OR(AO22="",N22="",AO22&lt;=0),"",(AO22-N22)/AO22)</f>
        <v/>
      </c>
      <c r="W22" s="13">
        <f>IF(OR(U22="",V22="",V22&lt;=0),"",U22/V22)</f>
        <v/>
      </c>
      <c r="X22" s="42">
        <f>IF(OR(K22="",L22="",AP22=""),"",K22*L22-(E22*H22+IF(AND(AK22&lt;&gt;"",AL22&lt;&gt;""),AK22*AL22,0)+IF(AND(AM22&lt;&gt;"",AN22&lt;&gt;""),AM22*AN22,0))-IF(O22="",0,O22)-IF(P22="",0,P22))</f>
        <v/>
      </c>
      <c r="Y22" s="7">
        <f>IF(OR(X22="",AP22=""),"",IF((E22*H22+IF(AND(AK22&lt;&gt;"",AL22&lt;&gt;""),AK22*AL22,0)+IF(AND(AM22&lt;&gt;"",AN22&lt;&gt;""),AM22*AN22,0))+IF(O22="",0,O22)&lt;=0,"",X22/((E22*H22+IF(AND(AK22&lt;&gt;"",AL22&lt;&gt;""),AK22*AL22,0)+IF(AND(AM22&lt;&gt;"",AN22&lt;&gt;""),AM22*AN22,0))+IF(O22="",0,O22))))</f>
        <v/>
      </c>
      <c r="Z22" s="7">
        <f>IF(OR(AE22="",多次统计数据!$B$8=""),"",AE22-多次统计数据!$B$8)</f>
        <v/>
      </c>
      <c r="AA22" s="14">
        <f>IF(OR(I22="",M22="",M22&lt;I22),"",M22-I22)</f>
        <v/>
      </c>
      <c r="AB22" s="7">
        <f>IF(OR(A22="",多次统计数据!$B$8="",多次统计数据!$B$6&lt;=0,多次统计数据!$B$6&gt;=1),"",1-POWER(1+多次统计数据!$B$8,-多次统计数据!$B$6/(1-多次统计数据!$B$6)))</f>
        <v/>
      </c>
      <c r="AC22" s="8">
        <f>IF(OR(AB22="",多次统计数据!$B$9=""),"",IF(多次统计数据!$B$9&lt;AB22,"低于上限","达到或超过上限"))</f>
        <v/>
      </c>
      <c r="AD22" s="2" t="n"/>
      <c r="AE22" s="7">
        <f>IF(OR(X22="",C22="",C22&lt;=0),"",X22/C22)</f>
        <v/>
      </c>
      <c r="AG22" s="28" t="n"/>
      <c r="AH22" s="28" t="n"/>
      <c r="AI22" s="28" t="n"/>
      <c r="AJ22" s="31">
        <f>IF(OR(AG22="",AH22=""),"",IF(OR(AND(AG22="短期博反弹",OR(AH22="1～3个交易日",AH22="4～10个交易日")),AND(AG22="突破冲新高",OR(AH22="4～10个交易日",AH22="11～20个交易日")),AND(AG22="趋势波段",OR(AH22="11～20个交易日",AH22="21～60个交易日",AH22="60个交易日以上"))),"匹配","周期与交易预期不匹配，请重新确认"))</f>
        <v/>
      </c>
      <c r="AK22" s="43" t="n"/>
      <c r="AL22" s="27" t="n"/>
      <c r="AM22" s="43" t="n"/>
      <c r="AN22" s="27" t="n"/>
      <c r="AO22" s="44">
        <f>IF(OR(A22="",H22="",H22&lt;=0),"",(E22*H22+IF(AND(AK22&lt;&gt;"",AL22&lt;&gt;""),AK22*AL22,0)+IF(AND(AM22&lt;&gt;"",AN22&lt;&gt;""),AM22*AN22,0))/AP22)</f>
        <v/>
      </c>
      <c r="AP22" s="26">
        <f>IF(OR(A22="",H22="",H22&lt;=0),"",H22+IF(AL22="",0,AL22)+IF(AN22="",0,AN22))</f>
        <v/>
      </c>
      <c r="AQ22" s="44">
        <f>IF(A22="","",IF(M22&lt;&gt;"",0,IF(OR(H22="",N22=""),"",MAX(E22-MAX(N22,IFERROR(AGGREGATE(14,6,'持仓跟踪'!$S$2:$S$501/(('持仓跟踪'!$A$2:$A$501="每日跟踪")*('持仓跟踪'!$B$2:$B$501=A22)),1),0)),0)*H22+IF(OR(AK22="",AL22=""),0,MAX(AK22-MAX(N22,IFERROR(AGGREGATE(14,6,'持仓跟踪'!$S$2:$S$501/(('持仓跟踪'!$A$2:$A$501="每日跟踪")*('持仓跟踪'!$B$2:$B$501=A22)),1),0)),0)*AL22)+IF(OR(AM22="",AN22=""),0,MAX(AM22-MAX(N22,IFERROR(AGGREGATE(14,6,'持仓跟踪'!$S$2:$S$501/(('持仓跟踪'!$A$2:$A$501="每日跟踪")*('持仓跟踪'!$B$2:$B$501=A22)),1),0)),0)*AN22))))</f>
        <v/>
      </c>
      <c r="AR22" s="31">
        <f>IF(A22="","",IF(OR(E22="",H22=""),"违规：第一批价格或股数缺失",IF(OR(AND(AK22="",AL22&lt;&gt;""),AND(AK22&lt;&gt;"",AL22="")),"违规：第二批价格与股数须成对填写",IF(OR(AND(AM22="",AN22&lt;&gt;""),AND(AM22&lt;&gt;"",AN22="")),"违规：第三批价格与股数须成对填写",IF(AND(OR(AM22&lt;&gt;"",AN22&lt;&gt;""),OR(AK22="",AL22="")),"违规：必须先完成第二批",IF(OR(H22&lt;=0,H22&lt;&gt;INT(H22),MOD(H22,100)&lt;&gt;0,AND(AL22&lt;&gt;"",OR(AL22&lt;=0,AL22&lt;&gt;INT(AL22),MOD(AL22,100)&lt;&gt;0)),AND(AN22&lt;&gt;"",OR(AN22&lt;=0,AN22&lt;&gt;INT(AN22),MOD(AN22,100)&lt;&gt;0))),"违规：股数须为100股整数倍",IF(AND(OR(AL22&lt;&gt;"",AN22&lt;&gt;""),OR(_LockStatus="已锁仓",_LockStatus="解锁信息不完整")),"违规：锁仓期间禁止加仓",IF(AQ22&gt;C22*D22,"违规：超过单笔风险上限",IF(SUM($AQ$2:$AQ$201)&gt;账户数据!$B$7,"违规：超过账户风险上限","通过")))))))))</f>
        <v/>
      </c>
    </row>
    <row r="23">
      <c r="A23" s="2" t="n">
        <v>22</v>
      </c>
      <c r="B23" s="2" t="inlineStr">
        <is>
          <t>通富微电</t>
        </is>
      </c>
      <c r="C23" s="40" t="n">
        <v>128568</v>
      </c>
      <c r="D23" s="6" t="n">
        <v>0.02</v>
      </c>
      <c r="E23" s="40" t="n">
        <v>19.84</v>
      </c>
      <c r="F23" s="8">
        <f>IF(OR(C23="",D23="",E23="",N23="",C23&lt;=0,D23&lt;=0,E23&lt;=N23),"",ROUNDDOWN((C23*D23)/(E23-N23)/100,0)*100)</f>
        <v/>
      </c>
      <c r="G23" s="8">
        <f>IF(A23="","",IF(H23&lt;&gt;"","已开仓",IF(账户数据!$B$23="已锁仓","禁止开仓：连续亏损达到上限",IF(账户数据!$B$23="解锁信息不完整","禁止开仓：请完整填写解锁信息",IF(OR(F23="",E23="",N23="",E23&lt;=N23,账户数据!$B$7=""),"",IF(OR(AG23="",AH23="",AI23=""),"禁止开仓：交易预期未填写完整",IF(COUNTIFS(持仓跟踪!$A$2:$A$501,"止损计划",持仓跟踪!$B$2:$B$501,A23,持仓跟踪!$AC$2:$AC$501,"计划有效")=0,"禁止开仓：请先填写止损计划",IF(账户数据!$B$9+F23*(E23-N23)&gt;=账户数据!$B$7,"禁止开仓：风险额度不足",IF(AJ23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3" s="2" t="n">
        <v>1300</v>
      </c>
      <c r="I23" s="41" t="n">
        <v>45218</v>
      </c>
      <c r="J23" s="40" t="n">
        <v>24</v>
      </c>
      <c r="K23" s="40" t="n">
        <v>17.84</v>
      </c>
      <c r="L23" s="8">
        <f>IF(K23="","",H23)</f>
        <v/>
      </c>
      <c r="M23" s="41" t="n">
        <v>45222</v>
      </c>
      <c r="N23" s="40" t="n">
        <v>18</v>
      </c>
      <c r="O23" s="40" t="n"/>
      <c r="P23" s="40" t="n"/>
      <c r="Q23" s="2" t="n"/>
      <c r="R23" s="2" t="n"/>
      <c r="S23" s="2" t="n"/>
      <c r="T23" s="2" t="n"/>
      <c r="U23" s="7">
        <f>IF(OR(AO23="",J23="",AO23&lt;=0),"",(J23-AO23)/AO23)</f>
        <v/>
      </c>
      <c r="V23" s="7">
        <f>IF(OR(AO23="",N23="",AO23&lt;=0),"",(AO23-N23)/AO23)</f>
        <v/>
      </c>
      <c r="W23" s="13">
        <f>IF(OR(U23="",V23="",V23&lt;=0),"",U23/V23)</f>
        <v/>
      </c>
      <c r="X23" s="42">
        <f>IF(OR(K23="",L23="",AP23=""),"",K23*L23-(E23*H23+IF(AND(AK23&lt;&gt;"",AL23&lt;&gt;""),AK23*AL23,0)+IF(AND(AM23&lt;&gt;"",AN23&lt;&gt;""),AM23*AN23,0))-IF(O23="",0,O23)-IF(P23="",0,P23))</f>
        <v/>
      </c>
      <c r="Y23" s="7">
        <f>IF(OR(X23="",AP23=""),"",IF((E23*H23+IF(AND(AK23&lt;&gt;"",AL23&lt;&gt;""),AK23*AL23,0)+IF(AND(AM23&lt;&gt;"",AN23&lt;&gt;""),AM23*AN23,0))+IF(O23="",0,O23)&lt;=0,"",X23/((E23*H23+IF(AND(AK23&lt;&gt;"",AL23&lt;&gt;""),AK23*AL23,0)+IF(AND(AM23&lt;&gt;"",AN23&lt;&gt;""),AM23*AN23,0))+IF(O23="",0,O23))))</f>
        <v/>
      </c>
      <c r="Z23" s="7">
        <f>IF(OR(AE23="",多次统计数据!$B$8=""),"",AE23-多次统计数据!$B$8)</f>
        <v/>
      </c>
      <c r="AA23" s="14">
        <f>IF(OR(I23="",M23="",M23&lt;I23),"",M23-I23)</f>
        <v/>
      </c>
      <c r="AB23" s="7">
        <f>IF(OR(A23="",多次统计数据!$B$8="",多次统计数据!$B$6&lt;=0,多次统计数据!$B$6&gt;=1),"",1-POWER(1+多次统计数据!$B$8,-多次统计数据!$B$6/(1-多次统计数据!$B$6)))</f>
        <v/>
      </c>
      <c r="AC23" s="8">
        <f>IF(OR(AB23="",多次统计数据!$B$9=""),"",IF(多次统计数据!$B$9&lt;AB23,"低于上限","达到或超过上限"))</f>
        <v/>
      </c>
      <c r="AD23" s="2" t="n"/>
      <c r="AE23" s="7">
        <f>IF(OR(X23="",C23="",C23&lt;=0),"",X23/C23)</f>
        <v/>
      </c>
      <c r="AG23" s="28" t="n"/>
      <c r="AH23" s="28" t="n"/>
      <c r="AI23" s="28" t="n"/>
      <c r="AJ23" s="31">
        <f>IF(OR(AG23="",AH23=""),"",IF(OR(AND(AG23="短期博反弹",OR(AH23="1～3个交易日",AH23="4～10个交易日")),AND(AG23="突破冲新高",OR(AH23="4～10个交易日",AH23="11～20个交易日")),AND(AG23="趋势波段",OR(AH23="11～20个交易日",AH23="21～60个交易日",AH23="60个交易日以上"))),"匹配","周期与交易预期不匹配，请重新确认"))</f>
        <v/>
      </c>
      <c r="AK23" s="43" t="n"/>
      <c r="AL23" s="27" t="n"/>
      <c r="AM23" s="43" t="n"/>
      <c r="AN23" s="27" t="n"/>
      <c r="AO23" s="44">
        <f>IF(OR(A23="",H23="",H23&lt;=0),"",(E23*H23+IF(AND(AK23&lt;&gt;"",AL23&lt;&gt;""),AK23*AL23,0)+IF(AND(AM23&lt;&gt;"",AN23&lt;&gt;""),AM23*AN23,0))/AP23)</f>
        <v/>
      </c>
      <c r="AP23" s="26">
        <f>IF(OR(A23="",H23="",H23&lt;=0),"",H23+IF(AL23="",0,AL23)+IF(AN23="",0,AN23))</f>
        <v/>
      </c>
      <c r="AQ23" s="44">
        <f>IF(A23="","",IF(M23&lt;&gt;"",0,IF(OR(H23="",N23=""),"",MAX(E23-MAX(N23,IFERROR(AGGREGATE(14,6,'持仓跟踪'!$S$2:$S$501/(('持仓跟踪'!$A$2:$A$501="每日跟踪")*('持仓跟踪'!$B$2:$B$501=A23)),1),0)),0)*H23+IF(OR(AK23="",AL23=""),0,MAX(AK23-MAX(N23,IFERROR(AGGREGATE(14,6,'持仓跟踪'!$S$2:$S$501/(('持仓跟踪'!$A$2:$A$501="每日跟踪")*('持仓跟踪'!$B$2:$B$501=A23)),1),0)),0)*AL23)+IF(OR(AM23="",AN23=""),0,MAX(AM23-MAX(N23,IFERROR(AGGREGATE(14,6,'持仓跟踪'!$S$2:$S$501/(('持仓跟踪'!$A$2:$A$501="每日跟踪")*('持仓跟踪'!$B$2:$B$501=A23)),1),0)),0)*AN23))))</f>
        <v/>
      </c>
      <c r="AR23" s="31">
        <f>IF(A23="","",IF(OR(E23="",H23=""),"违规：第一批价格或股数缺失",IF(OR(AND(AK23="",AL23&lt;&gt;""),AND(AK23&lt;&gt;"",AL23="")),"违规：第二批价格与股数须成对填写",IF(OR(AND(AM23="",AN23&lt;&gt;""),AND(AM23&lt;&gt;"",AN23="")),"违规：第三批价格与股数须成对填写",IF(AND(OR(AM23&lt;&gt;"",AN23&lt;&gt;""),OR(AK23="",AL23="")),"违规：必须先完成第二批",IF(OR(H23&lt;=0,H23&lt;&gt;INT(H23),MOD(H23,100)&lt;&gt;0,AND(AL23&lt;&gt;"",OR(AL23&lt;=0,AL23&lt;&gt;INT(AL23),MOD(AL23,100)&lt;&gt;0)),AND(AN23&lt;&gt;"",OR(AN23&lt;=0,AN23&lt;&gt;INT(AN23),MOD(AN23,100)&lt;&gt;0))),"违规：股数须为100股整数倍",IF(AND(OR(AL23&lt;&gt;"",AN23&lt;&gt;""),OR(_LockStatus="已锁仓",_LockStatus="解锁信息不完整")),"违规：锁仓期间禁止加仓",IF(AQ23&gt;C23*D23,"违规：超过单笔风险上限",IF(SUM($AQ$2:$AQ$201)&gt;账户数据!$B$7,"违规：超过账户风险上限","通过")))))))))</f>
        <v/>
      </c>
    </row>
    <row r="24">
      <c r="A24" s="2" t="n">
        <v>23</v>
      </c>
      <c r="B24" s="2" t="inlineStr">
        <is>
          <t>通富微电</t>
        </is>
      </c>
      <c r="C24" s="40" t="n">
        <v>125968</v>
      </c>
      <c r="D24" s="6" t="n">
        <v>0.02</v>
      </c>
      <c r="E24" s="40" t="n">
        <v>21.54</v>
      </c>
      <c r="F24" s="8">
        <f>IF(OR(C24="",D24="",E24="",N24="",C24&lt;=0,D24&lt;=0,E24&lt;=N24),"",ROUNDDOWN((C24*D24)/(E24-N24)/100,0)*100)</f>
        <v/>
      </c>
      <c r="G24" s="8">
        <f>IF(A24="","",IF(H24&lt;&gt;"","已开仓",IF(账户数据!$B$23="已锁仓","禁止开仓：连续亏损达到上限",IF(账户数据!$B$23="解锁信息不完整","禁止开仓：请完整填写解锁信息",IF(OR(F24="",E24="",N24="",E24&lt;=N24,账户数据!$B$7=""),"",IF(OR(AG24="",AH24="",AI24=""),"禁止开仓：交易预期未填写完整",IF(COUNTIFS(持仓跟踪!$A$2:$A$501,"止损计划",持仓跟踪!$B$2:$B$501,A24,持仓跟踪!$AC$2:$AC$501,"计划有效")=0,"禁止开仓：请先填写止损计划",IF(账户数据!$B$9+F24*(E24-N24)&gt;=账户数据!$B$7,"禁止开仓：风险额度不足",IF(AJ24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4" s="2" t="n">
        <v>3400</v>
      </c>
      <c r="I24" s="41" t="n">
        <v>45439</v>
      </c>
      <c r="J24" s="40" t="n">
        <v>27</v>
      </c>
      <c r="K24" s="40" t="n">
        <v>23.44</v>
      </c>
      <c r="L24" s="8">
        <f>IF(K24="","",H24)</f>
        <v/>
      </c>
      <c r="M24" s="41" t="n">
        <v>45449</v>
      </c>
      <c r="N24" s="40" t="n">
        <v>20.8</v>
      </c>
      <c r="O24" s="40" t="n"/>
      <c r="P24" s="40" t="n"/>
      <c r="Q24" s="2" t="n"/>
      <c r="R24" s="2" t="n"/>
      <c r="S24" s="2" t="n"/>
      <c r="T24" s="2" t="n"/>
      <c r="U24" s="7">
        <f>IF(OR(AO24="",J24="",AO24&lt;=0),"",(J24-AO24)/AO24)</f>
        <v/>
      </c>
      <c r="V24" s="7">
        <f>IF(OR(AO24="",N24="",AO24&lt;=0),"",(AO24-N24)/AO24)</f>
        <v/>
      </c>
      <c r="W24" s="13">
        <f>IF(OR(U24="",V24="",V24&lt;=0),"",U24/V24)</f>
        <v/>
      </c>
      <c r="X24" s="42">
        <f>IF(OR(K24="",L24="",AP24=""),"",K24*L24-(E24*H24+IF(AND(AK24&lt;&gt;"",AL24&lt;&gt;""),AK24*AL24,0)+IF(AND(AM24&lt;&gt;"",AN24&lt;&gt;""),AM24*AN24,0))-IF(O24="",0,O24)-IF(P24="",0,P24))</f>
        <v/>
      </c>
      <c r="Y24" s="7">
        <f>IF(OR(X24="",AP24=""),"",IF((E24*H24+IF(AND(AK24&lt;&gt;"",AL24&lt;&gt;""),AK24*AL24,0)+IF(AND(AM24&lt;&gt;"",AN24&lt;&gt;""),AM24*AN24,0))+IF(O24="",0,O24)&lt;=0,"",X24/((E24*H24+IF(AND(AK24&lt;&gt;"",AL24&lt;&gt;""),AK24*AL24,0)+IF(AND(AM24&lt;&gt;"",AN24&lt;&gt;""),AM24*AN24,0))+IF(O24="",0,O24))))</f>
        <v/>
      </c>
      <c r="Z24" s="7">
        <f>IF(OR(AE24="",多次统计数据!$B$8=""),"",AE24-多次统计数据!$B$8)</f>
        <v/>
      </c>
      <c r="AA24" s="14">
        <f>IF(OR(I24="",M24="",M24&lt;I24),"",M24-I24)</f>
        <v/>
      </c>
      <c r="AB24" s="7">
        <f>IF(OR(A24="",多次统计数据!$B$8="",多次统计数据!$B$6&lt;=0,多次统计数据!$B$6&gt;=1),"",1-POWER(1+多次统计数据!$B$8,-多次统计数据!$B$6/(1-多次统计数据!$B$6)))</f>
        <v/>
      </c>
      <c r="AC24" s="8">
        <f>IF(OR(AB24="",多次统计数据!$B$9=""),"",IF(多次统计数据!$B$9&lt;AB24,"低于上限","达到或超过上限"))</f>
        <v/>
      </c>
      <c r="AD24" s="2" t="n"/>
      <c r="AE24" s="7">
        <f>IF(OR(X24="",C24="",C24&lt;=0),"",X24/C24)</f>
        <v/>
      </c>
      <c r="AG24" s="28" t="n"/>
      <c r="AH24" s="28" t="n"/>
      <c r="AI24" s="28" t="n"/>
      <c r="AJ24" s="31">
        <f>IF(OR(AG24="",AH24=""),"",IF(OR(AND(AG24="短期博反弹",OR(AH24="1～3个交易日",AH24="4～10个交易日")),AND(AG24="突破冲新高",OR(AH24="4～10个交易日",AH24="11～20个交易日")),AND(AG24="趋势波段",OR(AH24="11～20个交易日",AH24="21～60个交易日",AH24="60个交易日以上"))),"匹配","周期与交易预期不匹配，请重新确认"))</f>
        <v/>
      </c>
      <c r="AK24" s="43" t="n"/>
      <c r="AL24" s="27" t="n"/>
      <c r="AM24" s="43" t="n"/>
      <c r="AN24" s="27" t="n"/>
      <c r="AO24" s="44">
        <f>IF(OR(A24="",H24="",H24&lt;=0),"",(E24*H24+IF(AND(AK24&lt;&gt;"",AL24&lt;&gt;""),AK24*AL24,0)+IF(AND(AM24&lt;&gt;"",AN24&lt;&gt;""),AM24*AN24,0))/AP24)</f>
        <v/>
      </c>
      <c r="AP24" s="26">
        <f>IF(OR(A24="",H24="",H24&lt;=0),"",H24+IF(AL24="",0,AL24)+IF(AN24="",0,AN24))</f>
        <v/>
      </c>
      <c r="AQ24" s="44">
        <f>IF(A24="","",IF(M24&lt;&gt;"",0,IF(OR(H24="",N24=""),"",MAX(E24-MAX(N24,IFERROR(AGGREGATE(14,6,'持仓跟踪'!$S$2:$S$501/(('持仓跟踪'!$A$2:$A$501="每日跟踪")*('持仓跟踪'!$B$2:$B$501=A24)),1),0)),0)*H24+IF(OR(AK24="",AL24=""),0,MAX(AK24-MAX(N24,IFERROR(AGGREGATE(14,6,'持仓跟踪'!$S$2:$S$501/(('持仓跟踪'!$A$2:$A$501="每日跟踪")*('持仓跟踪'!$B$2:$B$501=A24)),1),0)),0)*AL24)+IF(OR(AM24="",AN24=""),0,MAX(AM24-MAX(N24,IFERROR(AGGREGATE(14,6,'持仓跟踪'!$S$2:$S$501/(('持仓跟踪'!$A$2:$A$501="每日跟踪")*('持仓跟踪'!$B$2:$B$501=A24)),1),0)),0)*AN24))))</f>
        <v/>
      </c>
      <c r="AR24" s="31">
        <f>IF(A24="","",IF(OR(E24="",H24=""),"违规：第一批价格或股数缺失",IF(OR(AND(AK24="",AL24&lt;&gt;""),AND(AK24&lt;&gt;"",AL24="")),"违规：第二批价格与股数须成对填写",IF(OR(AND(AM24="",AN24&lt;&gt;""),AND(AM24&lt;&gt;"",AN24="")),"违规：第三批价格与股数须成对填写",IF(AND(OR(AM24&lt;&gt;"",AN24&lt;&gt;""),OR(AK24="",AL24="")),"违规：必须先完成第二批",IF(OR(H24&lt;=0,H24&lt;&gt;INT(H24),MOD(H24,100)&lt;&gt;0,AND(AL24&lt;&gt;"",OR(AL24&lt;=0,AL24&lt;&gt;INT(AL24),MOD(AL24,100)&lt;&gt;0)),AND(AN24&lt;&gt;"",OR(AN24&lt;=0,AN24&lt;&gt;INT(AN24),MOD(AN24,100)&lt;&gt;0))),"违规：股数须为100股整数倍",IF(AND(OR(AL24&lt;&gt;"",AN24&lt;&gt;""),OR(_LockStatus="已锁仓",_LockStatus="解锁信息不完整")),"违规：锁仓期间禁止加仓",IF(AQ24&gt;C24*D24,"违规：超过单笔风险上限",IF(SUM($AQ$2:$AQ$201)&gt;账户数据!$B$7,"违规：超过账户风险上限","通过")))))))))</f>
        <v/>
      </c>
    </row>
    <row r="25">
      <c r="A25" s="2" t="n">
        <v>24</v>
      </c>
      <c r="B25" s="2" t="inlineStr">
        <is>
          <t>通富微电</t>
        </is>
      </c>
      <c r="C25" s="40" t="n">
        <v>132428</v>
      </c>
      <c r="D25" s="6" t="n">
        <v>0.02</v>
      </c>
      <c r="E25" s="40" t="n">
        <v>22.04</v>
      </c>
      <c r="F25" s="8">
        <f>IF(OR(C25="",D25="",E25="",N25="",C25&lt;=0,D25&lt;=0,E25&lt;=N25),"",ROUNDDOWN((C25*D25)/(E25-N25)/100,0)*100)</f>
        <v/>
      </c>
      <c r="G25" s="8">
        <f>IF(A25="","",IF(H25&lt;&gt;"","已开仓",IF(账户数据!$B$23="已锁仓","禁止开仓：连续亏损达到上限",IF(账户数据!$B$23="解锁信息不完整","禁止开仓：请完整填写解锁信息",IF(OR(F25="",E25="",N25="",E25&lt;=N25,账户数据!$B$7=""),"",IF(OR(AG25="",AH25="",AI25=""),"禁止开仓：交易预期未填写完整",IF(COUNTIFS(持仓跟踪!$A$2:$A$501,"止损计划",持仓跟踪!$B$2:$B$501,A25,持仓跟踪!$AC$2:$AC$501,"计划有效")=0,"禁止开仓：请先填写止损计划",IF(账户数据!$B$9+F25*(E25-N25)&gt;=账户数据!$B$7,"禁止开仓：风险额度不足",IF(AJ25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5" s="2" t="n">
        <v>2100</v>
      </c>
      <c r="I25" s="41" t="n">
        <v>45503</v>
      </c>
      <c r="J25" s="40" t="n">
        <v>24.5</v>
      </c>
      <c r="K25" s="40" t="n">
        <v>20.51</v>
      </c>
      <c r="L25" s="8">
        <f>IF(K25="","",H25)</f>
        <v/>
      </c>
      <c r="M25" s="41" t="n">
        <v>45509</v>
      </c>
      <c r="N25" s="40" t="n">
        <v>20.8</v>
      </c>
      <c r="O25" s="40" t="n"/>
      <c r="P25" s="40" t="n"/>
      <c r="Q25" s="2" t="n"/>
      <c r="R25" s="2" t="n"/>
      <c r="S25" s="2" t="n"/>
      <c r="T25" s="2" t="n"/>
      <c r="U25" s="7">
        <f>IF(OR(AO25="",J25="",AO25&lt;=0),"",(J25-AO25)/AO25)</f>
        <v/>
      </c>
      <c r="V25" s="7">
        <f>IF(OR(AO25="",N25="",AO25&lt;=0),"",(AO25-N25)/AO25)</f>
        <v/>
      </c>
      <c r="W25" s="13">
        <f>IF(OR(U25="",V25="",V25&lt;=0),"",U25/V25)</f>
        <v/>
      </c>
      <c r="X25" s="42">
        <f>IF(OR(K25="",L25="",AP25=""),"",K25*L25-(E25*H25+IF(AND(AK25&lt;&gt;"",AL25&lt;&gt;""),AK25*AL25,0)+IF(AND(AM25&lt;&gt;"",AN25&lt;&gt;""),AM25*AN25,0))-IF(O25="",0,O25)-IF(P25="",0,P25))</f>
        <v/>
      </c>
      <c r="Y25" s="7">
        <f>IF(OR(X25="",AP25=""),"",IF((E25*H25+IF(AND(AK25&lt;&gt;"",AL25&lt;&gt;""),AK25*AL25,0)+IF(AND(AM25&lt;&gt;"",AN25&lt;&gt;""),AM25*AN25,0))+IF(O25="",0,O25)&lt;=0,"",X25/((E25*H25+IF(AND(AK25&lt;&gt;"",AL25&lt;&gt;""),AK25*AL25,0)+IF(AND(AM25&lt;&gt;"",AN25&lt;&gt;""),AM25*AN25,0))+IF(O25="",0,O25))))</f>
        <v/>
      </c>
      <c r="Z25" s="7">
        <f>IF(OR(AE25="",多次统计数据!$B$8=""),"",AE25-多次统计数据!$B$8)</f>
        <v/>
      </c>
      <c r="AA25" s="14">
        <f>IF(OR(I25="",M25="",M25&lt;I25),"",M25-I25)</f>
        <v/>
      </c>
      <c r="AB25" s="7">
        <f>IF(OR(A25="",多次统计数据!$B$8="",多次统计数据!$B$6&lt;=0,多次统计数据!$B$6&gt;=1),"",1-POWER(1+多次统计数据!$B$8,-多次统计数据!$B$6/(1-多次统计数据!$B$6)))</f>
        <v/>
      </c>
      <c r="AC25" s="8">
        <f>IF(OR(AB25="",多次统计数据!$B$9=""),"",IF(多次统计数据!$B$9&lt;AB25,"低于上限","达到或超过上限"))</f>
        <v/>
      </c>
      <c r="AD25" s="2" t="n"/>
      <c r="AE25" s="7">
        <f>IF(OR(X25="",C25="",C25&lt;=0),"",X25/C25)</f>
        <v/>
      </c>
      <c r="AG25" s="28" t="n"/>
      <c r="AH25" s="28" t="n"/>
      <c r="AI25" s="28" t="n"/>
      <c r="AJ25" s="31">
        <f>IF(OR(AG25="",AH25=""),"",IF(OR(AND(AG25="短期博反弹",OR(AH25="1～3个交易日",AH25="4～10个交易日")),AND(AG25="突破冲新高",OR(AH25="4～10个交易日",AH25="11～20个交易日")),AND(AG25="趋势波段",OR(AH25="11～20个交易日",AH25="21～60个交易日",AH25="60个交易日以上"))),"匹配","周期与交易预期不匹配，请重新确认"))</f>
        <v/>
      </c>
      <c r="AK25" s="43" t="n"/>
      <c r="AL25" s="27" t="n"/>
      <c r="AM25" s="43" t="n"/>
      <c r="AN25" s="27" t="n"/>
      <c r="AO25" s="44">
        <f>IF(OR(A25="",H25="",H25&lt;=0),"",(E25*H25+IF(AND(AK25&lt;&gt;"",AL25&lt;&gt;""),AK25*AL25,0)+IF(AND(AM25&lt;&gt;"",AN25&lt;&gt;""),AM25*AN25,0))/AP25)</f>
        <v/>
      </c>
      <c r="AP25" s="26">
        <f>IF(OR(A25="",H25="",H25&lt;=0),"",H25+IF(AL25="",0,AL25)+IF(AN25="",0,AN25))</f>
        <v/>
      </c>
      <c r="AQ25" s="44">
        <f>IF(A25="","",IF(M25&lt;&gt;"",0,IF(OR(H25="",N25=""),"",MAX(E25-MAX(N25,IFERROR(AGGREGATE(14,6,'持仓跟踪'!$S$2:$S$501/(('持仓跟踪'!$A$2:$A$501="每日跟踪")*('持仓跟踪'!$B$2:$B$501=A25)),1),0)),0)*H25+IF(OR(AK25="",AL25=""),0,MAX(AK25-MAX(N25,IFERROR(AGGREGATE(14,6,'持仓跟踪'!$S$2:$S$501/(('持仓跟踪'!$A$2:$A$501="每日跟踪")*('持仓跟踪'!$B$2:$B$501=A25)),1),0)),0)*AL25)+IF(OR(AM25="",AN25=""),0,MAX(AM25-MAX(N25,IFERROR(AGGREGATE(14,6,'持仓跟踪'!$S$2:$S$501/(('持仓跟踪'!$A$2:$A$501="每日跟踪")*('持仓跟踪'!$B$2:$B$501=A25)),1),0)),0)*AN25))))</f>
        <v/>
      </c>
      <c r="AR25" s="31">
        <f>IF(A25="","",IF(OR(E25="",H25=""),"违规：第一批价格或股数缺失",IF(OR(AND(AK25="",AL25&lt;&gt;""),AND(AK25&lt;&gt;"",AL25="")),"违规：第二批价格与股数须成对填写",IF(OR(AND(AM25="",AN25&lt;&gt;""),AND(AM25&lt;&gt;"",AN25="")),"违规：第三批价格与股数须成对填写",IF(AND(OR(AM25&lt;&gt;"",AN25&lt;&gt;""),OR(AK25="",AL25="")),"违规：必须先完成第二批",IF(OR(H25&lt;=0,H25&lt;&gt;INT(H25),MOD(H25,100)&lt;&gt;0,AND(AL25&lt;&gt;"",OR(AL25&lt;=0,AL25&lt;&gt;INT(AL25),MOD(AL25,100)&lt;&gt;0)),AND(AN25&lt;&gt;"",OR(AN25&lt;=0,AN25&lt;&gt;INT(AN25),MOD(AN25,100)&lt;&gt;0))),"违规：股数须为100股整数倍",IF(AND(OR(AL25&lt;&gt;"",AN25&lt;&gt;""),OR(_LockStatus="已锁仓",_LockStatus="解锁信息不完整")),"违规：锁仓期间禁止加仓",IF(AQ25&gt;C25*D25,"违规：超过单笔风险上限",IF(SUM($AQ$2:$AQ$201)&gt;账户数据!$B$7,"违规：超过账户风险上限","通过")))))))))</f>
        <v/>
      </c>
    </row>
    <row r="26">
      <c r="A26" s="2" t="n">
        <v>25</v>
      </c>
      <c r="B26" s="2" t="inlineStr">
        <is>
          <t>通富微电</t>
        </is>
      </c>
      <c r="C26" s="40" t="n">
        <v>129215</v>
      </c>
      <c r="D26" s="6" t="n">
        <v>0.02</v>
      </c>
      <c r="E26" s="40" t="n">
        <v>18.92</v>
      </c>
      <c r="F26" s="8">
        <f>IF(OR(C26="",D26="",E26="",N26="",C26&lt;=0,D26&lt;=0,E26&lt;=N26),"",ROUNDDOWN((C26*D26)/(E26-N26)/100,0)*100)</f>
        <v/>
      </c>
      <c r="G26" s="8">
        <f>IF(A26="","",IF(H26&lt;&gt;"","已开仓",IF(账户数据!$B$23="已锁仓","禁止开仓：连续亏损达到上限",IF(账户数据!$B$23="解锁信息不完整","禁止开仓：请完整填写解锁信息",IF(OR(F26="",E26="",N26="",E26&lt;=N26,账户数据!$B$7=""),"",IF(OR(AG26="",AH26="",AI26=""),"禁止开仓：交易预期未填写完整",IF(COUNTIFS(持仓跟踪!$A$2:$A$501,"止损计划",持仓跟踪!$B$2:$B$501,A26,持仓跟踪!$AC$2:$AC$501,"计划有效")=0,"禁止开仓：请先填写止损计划",IF(账户数据!$B$9+F26*(E26-N26)&gt;=账户数据!$B$7,"禁止开仓：风险额度不足",IF(AJ26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6" s="2" t="n">
        <v>2800</v>
      </c>
      <c r="I26" s="41" t="n">
        <v>45559</v>
      </c>
      <c r="J26" s="40" t="n">
        <v>21</v>
      </c>
      <c r="K26" s="40" t="n">
        <v>24.77</v>
      </c>
      <c r="L26" s="8">
        <f>IF(K26="","",H26)</f>
        <v/>
      </c>
      <c r="M26" s="41" t="n">
        <v>45574</v>
      </c>
      <c r="N26" s="40" t="n">
        <v>18</v>
      </c>
      <c r="O26" s="40" t="n"/>
      <c r="P26" s="40" t="n"/>
      <c r="Q26" s="2" t="n"/>
      <c r="R26" s="2" t="n"/>
      <c r="S26" s="2" t="n"/>
      <c r="T26" s="2" t="n"/>
      <c r="U26" s="7">
        <f>IF(OR(AO26="",J26="",AO26&lt;=0),"",(J26-AO26)/AO26)</f>
        <v/>
      </c>
      <c r="V26" s="7">
        <f>IF(OR(AO26="",N26="",AO26&lt;=0),"",(AO26-N26)/AO26)</f>
        <v/>
      </c>
      <c r="W26" s="13">
        <f>IF(OR(U26="",V26="",V26&lt;=0),"",U26/V26)</f>
        <v/>
      </c>
      <c r="X26" s="42">
        <f>IF(OR(K26="",L26="",AP26=""),"",K26*L26-(E26*H26+IF(AND(AK26&lt;&gt;"",AL26&lt;&gt;""),AK26*AL26,0)+IF(AND(AM26&lt;&gt;"",AN26&lt;&gt;""),AM26*AN26,0))-IF(O26="",0,O26)-IF(P26="",0,P26))</f>
        <v/>
      </c>
      <c r="Y26" s="7">
        <f>IF(OR(X26="",AP26=""),"",IF((E26*H26+IF(AND(AK26&lt;&gt;"",AL26&lt;&gt;""),AK26*AL26,0)+IF(AND(AM26&lt;&gt;"",AN26&lt;&gt;""),AM26*AN26,0))+IF(O26="",0,O26)&lt;=0,"",X26/((E26*H26+IF(AND(AK26&lt;&gt;"",AL26&lt;&gt;""),AK26*AL26,0)+IF(AND(AM26&lt;&gt;"",AN26&lt;&gt;""),AM26*AN26,0))+IF(O26="",0,O26))))</f>
        <v/>
      </c>
      <c r="Z26" s="7">
        <f>IF(OR(AE26="",多次统计数据!$B$8=""),"",AE26-多次统计数据!$B$8)</f>
        <v/>
      </c>
      <c r="AA26" s="14">
        <f>IF(OR(I26="",M26="",M26&lt;I26),"",M26-I26)</f>
        <v/>
      </c>
      <c r="AB26" s="7">
        <f>IF(OR(A26="",多次统计数据!$B$8="",多次统计数据!$B$6&lt;=0,多次统计数据!$B$6&gt;=1),"",1-POWER(1+多次统计数据!$B$8,-多次统计数据!$B$6/(1-多次统计数据!$B$6)))</f>
        <v/>
      </c>
      <c r="AC26" s="8">
        <f>IF(OR(AB26="",多次统计数据!$B$9=""),"",IF(多次统计数据!$B$9&lt;AB26,"低于上限","达到或超过上限"))</f>
        <v/>
      </c>
      <c r="AD26" s="2" t="n"/>
      <c r="AE26" s="7">
        <f>IF(OR(X26="",C26="",C26&lt;=0),"",X26/C26)</f>
        <v/>
      </c>
      <c r="AG26" s="28" t="n"/>
      <c r="AH26" s="28" t="n"/>
      <c r="AI26" s="28" t="n"/>
      <c r="AJ26" s="31">
        <f>IF(OR(AG26="",AH26=""),"",IF(OR(AND(AG26="短期博反弹",OR(AH26="1～3个交易日",AH26="4～10个交易日")),AND(AG26="突破冲新高",OR(AH26="4～10个交易日",AH26="11～20个交易日")),AND(AG26="趋势波段",OR(AH26="11～20个交易日",AH26="21～60个交易日",AH26="60个交易日以上"))),"匹配","周期与交易预期不匹配，请重新确认"))</f>
        <v/>
      </c>
      <c r="AK26" s="43" t="n"/>
      <c r="AL26" s="27" t="n"/>
      <c r="AM26" s="43" t="n"/>
      <c r="AN26" s="27" t="n"/>
      <c r="AO26" s="44">
        <f>IF(OR(A26="",H26="",H26&lt;=0),"",(E26*H26+IF(AND(AK26&lt;&gt;"",AL26&lt;&gt;""),AK26*AL26,0)+IF(AND(AM26&lt;&gt;"",AN26&lt;&gt;""),AM26*AN26,0))/AP26)</f>
        <v/>
      </c>
      <c r="AP26" s="26">
        <f>IF(OR(A26="",H26="",H26&lt;=0),"",H26+IF(AL26="",0,AL26)+IF(AN26="",0,AN26))</f>
        <v/>
      </c>
      <c r="AQ26" s="44">
        <f>IF(A26="","",IF(M26&lt;&gt;"",0,IF(OR(H26="",N26=""),"",MAX(E26-MAX(N26,IFERROR(AGGREGATE(14,6,'持仓跟踪'!$S$2:$S$501/(('持仓跟踪'!$A$2:$A$501="每日跟踪")*('持仓跟踪'!$B$2:$B$501=A26)),1),0)),0)*H26+IF(OR(AK26="",AL26=""),0,MAX(AK26-MAX(N26,IFERROR(AGGREGATE(14,6,'持仓跟踪'!$S$2:$S$501/(('持仓跟踪'!$A$2:$A$501="每日跟踪")*('持仓跟踪'!$B$2:$B$501=A26)),1),0)),0)*AL26)+IF(OR(AM26="",AN26=""),0,MAX(AM26-MAX(N26,IFERROR(AGGREGATE(14,6,'持仓跟踪'!$S$2:$S$501/(('持仓跟踪'!$A$2:$A$501="每日跟踪")*('持仓跟踪'!$B$2:$B$501=A26)),1),0)),0)*AN26))))</f>
        <v/>
      </c>
      <c r="AR26" s="31">
        <f>IF(A26="","",IF(OR(E26="",H26=""),"违规：第一批价格或股数缺失",IF(OR(AND(AK26="",AL26&lt;&gt;""),AND(AK26&lt;&gt;"",AL26="")),"违规：第二批价格与股数须成对填写",IF(OR(AND(AM26="",AN26&lt;&gt;""),AND(AM26&lt;&gt;"",AN26="")),"违规：第三批价格与股数须成对填写",IF(AND(OR(AM26&lt;&gt;"",AN26&lt;&gt;""),OR(AK26="",AL26="")),"违规：必须先完成第二批",IF(OR(H26&lt;=0,H26&lt;&gt;INT(H26),MOD(H26,100)&lt;&gt;0,AND(AL26&lt;&gt;"",OR(AL26&lt;=0,AL26&lt;&gt;INT(AL26),MOD(AL26,100)&lt;&gt;0)),AND(AN26&lt;&gt;"",OR(AN26&lt;=0,AN26&lt;&gt;INT(AN26),MOD(AN26,100)&lt;&gt;0))),"违规：股数须为100股整数倍",IF(AND(OR(AL26&lt;&gt;"",AN26&lt;&gt;""),OR(_LockStatus="已锁仓",_LockStatus="解锁信息不完整")),"违规：锁仓期间禁止加仓",IF(AQ26&gt;C26*D26,"违规：超过单笔风险上限",IF(SUM($AQ$2:$AQ$201)&gt;账户数据!$B$7,"违规：超过账户风险上限","通过")))))))))</f>
        <v/>
      </c>
    </row>
    <row r="27">
      <c r="A27" s="2" t="n">
        <v>26</v>
      </c>
      <c r="B27" s="2" t="inlineStr">
        <is>
          <t>比亚迪</t>
        </is>
      </c>
      <c r="C27" s="40" t="n">
        <v>145595</v>
      </c>
      <c r="D27" s="6" t="n">
        <v>0.02</v>
      </c>
      <c r="E27" s="40" t="n">
        <v>73.34999999999999</v>
      </c>
      <c r="F27" s="8">
        <f>IF(OR(C27="",D27="",E27="",N27="",C27&lt;=0,D27&lt;=0,E27&lt;=N27),"",ROUNDDOWN((C27*D27)/(E27-N27)/100,0)*100)</f>
        <v/>
      </c>
      <c r="G27" s="8">
        <f>IF(A27="","",IF(H27&lt;&gt;"","已开仓",IF(账户数据!$B$23="已锁仓","禁止开仓：连续亏损达到上限",IF(账户数据!$B$23="解锁信息不完整","禁止开仓：请完整填写解锁信息",IF(OR(F27="",E27="",N27="",E27&lt;=N27,账户数据!$B$7=""),"",IF(OR(AG27="",AH27="",AI27=""),"禁止开仓：交易预期未填写完整",IF(COUNTIFS(持仓跟踪!$A$2:$A$501,"止损计划",持仓跟踪!$B$2:$B$501,A27,持仓跟踪!$AC$2:$AC$501,"计划有效")=0,"禁止开仓：请先填写止损计划",IF(账户数据!$B$9+F27*(E27-N27)&gt;=账户数据!$B$7,"禁止开仓：风险额度不足",IF(AJ27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7" s="2" t="n">
        <v>500</v>
      </c>
      <c r="I27" s="41" t="n">
        <v>44636</v>
      </c>
      <c r="J27" s="40" t="n">
        <v>85</v>
      </c>
      <c r="K27" s="40" t="n">
        <v>92.90000000000001</v>
      </c>
      <c r="L27" s="8">
        <f>IF(K27="","",H27)</f>
        <v/>
      </c>
      <c r="M27" s="41" t="n">
        <v>44804</v>
      </c>
      <c r="N27" s="40" t="n">
        <v>68</v>
      </c>
      <c r="O27" s="40" t="n"/>
      <c r="P27" s="40" t="n"/>
      <c r="Q27" s="2" t="n"/>
      <c r="R27" s="2" t="n"/>
      <c r="S27" s="2" t="n"/>
      <c r="T27" s="2" t="n"/>
      <c r="U27" s="7">
        <f>IF(OR(AO27="",J27="",AO27&lt;=0),"",(J27-AO27)/AO27)</f>
        <v/>
      </c>
      <c r="V27" s="7">
        <f>IF(OR(AO27="",N27="",AO27&lt;=0),"",(AO27-N27)/AO27)</f>
        <v/>
      </c>
      <c r="W27" s="13">
        <f>IF(OR(U27="",V27="",V27&lt;=0),"",U27/V27)</f>
        <v/>
      </c>
      <c r="X27" s="42">
        <f>IF(OR(K27="",L27="",AP27=""),"",K27*L27-(E27*H27+IF(AND(AK27&lt;&gt;"",AL27&lt;&gt;""),AK27*AL27,0)+IF(AND(AM27&lt;&gt;"",AN27&lt;&gt;""),AM27*AN27,0))-IF(O27="",0,O27)-IF(P27="",0,P27))</f>
        <v/>
      </c>
      <c r="Y27" s="7">
        <f>IF(OR(X27="",AP27=""),"",IF((E27*H27+IF(AND(AK27&lt;&gt;"",AL27&lt;&gt;""),AK27*AL27,0)+IF(AND(AM27&lt;&gt;"",AN27&lt;&gt;""),AM27*AN27,0))+IF(O27="",0,O27)&lt;=0,"",X27/((E27*H27+IF(AND(AK27&lt;&gt;"",AL27&lt;&gt;""),AK27*AL27,0)+IF(AND(AM27&lt;&gt;"",AN27&lt;&gt;""),AM27*AN27,0))+IF(O27="",0,O27))))</f>
        <v/>
      </c>
      <c r="Z27" s="7">
        <f>IF(OR(AE27="",多次统计数据!$B$8=""),"",AE27-多次统计数据!$B$8)</f>
        <v/>
      </c>
      <c r="AA27" s="14">
        <f>IF(OR(I27="",M27="",M27&lt;I27),"",M27-I27)</f>
        <v/>
      </c>
      <c r="AB27" s="7">
        <f>IF(OR(A27="",多次统计数据!$B$8="",多次统计数据!$B$6&lt;=0,多次统计数据!$B$6&gt;=1),"",1-POWER(1+多次统计数据!$B$8,-多次统计数据!$B$6/(1-多次统计数据!$B$6)))</f>
        <v/>
      </c>
      <c r="AC27" s="8">
        <f>IF(OR(AB27="",多次统计数据!$B$9=""),"",IF(多次统计数据!$B$9&lt;AB27,"低于上限","达到或超过上限"))</f>
        <v/>
      </c>
      <c r="AD27" s="2" t="n"/>
      <c r="AE27" s="7">
        <f>IF(OR(X27="",C27="",C27&lt;=0),"",X27/C27)</f>
        <v/>
      </c>
      <c r="AG27" s="28" t="n"/>
      <c r="AH27" s="28" t="n"/>
      <c r="AI27" s="28" t="n"/>
      <c r="AJ27" s="31">
        <f>IF(OR(AG27="",AH27=""),"",IF(OR(AND(AG27="短期博反弹",OR(AH27="1～3个交易日",AH27="4～10个交易日")),AND(AG27="突破冲新高",OR(AH27="4～10个交易日",AH27="11～20个交易日")),AND(AG27="趋势波段",OR(AH27="11～20个交易日",AH27="21～60个交易日",AH27="60个交易日以上"))),"匹配","周期与交易预期不匹配，请重新确认"))</f>
        <v/>
      </c>
      <c r="AK27" s="43" t="n"/>
      <c r="AL27" s="27" t="n"/>
      <c r="AM27" s="43" t="n"/>
      <c r="AN27" s="27" t="n"/>
      <c r="AO27" s="44">
        <f>IF(OR(A27="",H27="",H27&lt;=0),"",(E27*H27+IF(AND(AK27&lt;&gt;"",AL27&lt;&gt;""),AK27*AL27,0)+IF(AND(AM27&lt;&gt;"",AN27&lt;&gt;""),AM27*AN27,0))/AP27)</f>
        <v/>
      </c>
      <c r="AP27" s="26">
        <f>IF(OR(A27="",H27="",H27&lt;=0),"",H27+IF(AL27="",0,AL27)+IF(AN27="",0,AN27))</f>
        <v/>
      </c>
      <c r="AQ27" s="44">
        <f>IF(A27="","",IF(M27&lt;&gt;"",0,IF(OR(H27="",N27=""),"",MAX(E27-MAX(N27,IFERROR(AGGREGATE(14,6,'持仓跟踪'!$S$2:$S$501/(('持仓跟踪'!$A$2:$A$501="每日跟踪")*('持仓跟踪'!$B$2:$B$501=A27)),1),0)),0)*H27+IF(OR(AK27="",AL27=""),0,MAX(AK27-MAX(N27,IFERROR(AGGREGATE(14,6,'持仓跟踪'!$S$2:$S$501/(('持仓跟踪'!$A$2:$A$501="每日跟踪")*('持仓跟踪'!$B$2:$B$501=A27)),1),0)),0)*AL27)+IF(OR(AM27="",AN27=""),0,MAX(AM27-MAX(N27,IFERROR(AGGREGATE(14,6,'持仓跟踪'!$S$2:$S$501/(('持仓跟踪'!$A$2:$A$501="每日跟踪")*('持仓跟踪'!$B$2:$B$501=A27)),1),0)),0)*AN27))))</f>
        <v/>
      </c>
      <c r="AR27" s="31">
        <f>IF(A27="","",IF(OR(E27="",H27=""),"违规：第一批价格或股数缺失",IF(OR(AND(AK27="",AL27&lt;&gt;""),AND(AK27&lt;&gt;"",AL27="")),"违规：第二批价格与股数须成对填写",IF(OR(AND(AM27="",AN27&lt;&gt;""),AND(AM27&lt;&gt;"",AN27="")),"违规：第三批价格与股数须成对填写",IF(AND(OR(AM27&lt;&gt;"",AN27&lt;&gt;""),OR(AK27="",AL27="")),"违规：必须先完成第二批",IF(OR(H27&lt;=0,H27&lt;&gt;INT(H27),MOD(H27,100)&lt;&gt;0,AND(AL27&lt;&gt;"",OR(AL27&lt;=0,AL27&lt;&gt;INT(AL27),MOD(AL27,100)&lt;&gt;0)),AND(AN27&lt;&gt;"",OR(AN27&lt;=0,AN27&lt;&gt;INT(AN27),MOD(AN27,100)&lt;&gt;0))),"违规：股数须为100股整数倍",IF(AND(OR(AL27&lt;&gt;"",AN27&lt;&gt;""),OR(_LockStatus="已锁仓",_LockStatus="解锁信息不完整")),"违规：锁仓期间禁止加仓",IF(AQ27&gt;C27*D27,"违规：超过单笔风险上限",IF(SUM($AQ$2:$AQ$201)&gt;账户数据!$B$7,"违规：超过账户风险上限","通过")))))))))</f>
        <v/>
      </c>
    </row>
    <row r="28">
      <c r="A28" s="2" t="n">
        <v>27</v>
      </c>
      <c r="B28" s="2" t="inlineStr">
        <is>
          <t>比亚迪</t>
        </is>
      </c>
      <c r="C28" s="40" t="n">
        <v>155370</v>
      </c>
      <c r="D28" s="6" t="n">
        <v>0.02</v>
      </c>
      <c r="E28" s="40" t="n">
        <v>83.41</v>
      </c>
      <c r="F28" s="8">
        <f>IF(OR(C28="",D28="",E28="",N28="",C28&lt;=0,D28&lt;=0,E28&lt;=N28),"",ROUNDDOWN((C28*D28)/(E28-N28)/100,0)*100)</f>
        <v/>
      </c>
      <c r="G28" s="8">
        <f>IF(A28="","",IF(H28&lt;&gt;"","已开仓",IF(账户数据!$B$23="已锁仓","禁止开仓：连续亏损达到上限",IF(账户数据!$B$23="解锁信息不完整","禁止开仓：请完整填写解锁信息",IF(OR(F28="",E28="",N28="",E28&lt;=N28,账户数据!$B$7=""),"",IF(OR(AG28="",AH28="",AI28=""),"禁止开仓：交易预期未填写完整",IF(COUNTIFS(持仓跟踪!$A$2:$A$501,"止损计划",持仓跟踪!$B$2:$B$501,A28,持仓跟踪!$AC$2:$AC$501,"计划有效")=0,"禁止开仓：请先填写止损计划",IF(账户数据!$B$9+F28*(E28-N28)&gt;=账户数据!$B$7,"禁止开仓：风险额度不足",IF(AJ28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8" s="2" t="n">
        <v>900</v>
      </c>
      <c r="I28" s="41" t="n">
        <v>44895</v>
      </c>
      <c r="J28" s="40" t="n">
        <v>90</v>
      </c>
      <c r="K28" s="40" t="n">
        <v>84.90000000000001</v>
      </c>
      <c r="L28" s="8">
        <f>IF(K28="","",H28)</f>
        <v/>
      </c>
      <c r="M28" s="41" t="n">
        <v>44935</v>
      </c>
      <c r="N28" s="40" t="n">
        <v>80</v>
      </c>
      <c r="O28" s="40" t="n"/>
      <c r="P28" s="40" t="n"/>
      <c r="Q28" s="2" t="n"/>
      <c r="R28" s="2" t="n"/>
      <c r="S28" s="2" t="n"/>
      <c r="T28" s="2" t="n"/>
      <c r="U28" s="7">
        <f>IF(OR(AO28="",J28="",AO28&lt;=0),"",(J28-AO28)/AO28)</f>
        <v/>
      </c>
      <c r="V28" s="7">
        <f>IF(OR(AO28="",N28="",AO28&lt;=0),"",(AO28-N28)/AO28)</f>
        <v/>
      </c>
      <c r="W28" s="13">
        <f>IF(OR(U28="",V28="",V28&lt;=0),"",U28/V28)</f>
        <v/>
      </c>
      <c r="X28" s="42">
        <f>IF(OR(K28="",L28="",AP28=""),"",K28*L28-(E28*H28+IF(AND(AK28&lt;&gt;"",AL28&lt;&gt;""),AK28*AL28,0)+IF(AND(AM28&lt;&gt;"",AN28&lt;&gt;""),AM28*AN28,0))-IF(O28="",0,O28)-IF(P28="",0,P28))</f>
        <v/>
      </c>
      <c r="Y28" s="7">
        <f>IF(OR(X28="",AP28=""),"",IF((E28*H28+IF(AND(AK28&lt;&gt;"",AL28&lt;&gt;""),AK28*AL28,0)+IF(AND(AM28&lt;&gt;"",AN28&lt;&gt;""),AM28*AN28,0))+IF(O28="",0,O28)&lt;=0,"",X28/((E28*H28+IF(AND(AK28&lt;&gt;"",AL28&lt;&gt;""),AK28*AL28,0)+IF(AND(AM28&lt;&gt;"",AN28&lt;&gt;""),AM28*AN28,0))+IF(O28="",0,O28))))</f>
        <v/>
      </c>
      <c r="Z28" s="7">
        <f>IF(OR(AE28="",多次统计数据!$B$8=""),"",AE28-多次统计数据!$B$8)</f>
        <v/>
      </c>
      <c r="AA28" s="14">
        <f>IF(OR(I28="",M28="",M28&lt;I28),"",M28-I28)</f>
        <v/>
      </c>
      <c r="AB28" s="7">
        <f>IF(OR(A28="",多次统计数据!$B$8="",多次统计数据!$B$6&lt;=0,多次统计数据!$B$6&gt;=1),"",1-POWER(1+多次统计数据!$B$8,-多次统计数据!$B$6/(1-多次统计数据!$B$6)))</f>
        <v/>
      </c>
      <c r="AC28" s="8">
        <f>IF(OR(AB28="",多次统计数据!$B$9=""),"",IF(多次统计数据!$B$9&lt;AB28,"低于上限","达到或超过上限"))</f>
        <v/>
      </c>
      <c r="AD28" s="2" t="n"/>
      <c r="AE28" s="7">
        <f>IF(OR(X28="",C28="",C28&lt;=0),"",X28/C28)</f>
        <v/>
      </c>
      <c r="AG28" s="28" t="n"/>
      <c r="AH28" s="28" t="n"/>
      <c r="AI28" s="28" t="n"/>
      <c r="AJ28" s="31">
        <f>IF(OR(AG28="",AH28=""),"",IF(OR(AND(AG28="短期博反弹",OR(AH28="1～3个交易日",AH28="4～10个交易日")),AND(AG28="突破冲新高",OR(AH28="4～10个交易日",AH28="11～20个交易日")),AND(AG28="趋势波段",OR(AH28="11～20个交易日",AH28="21～60个交易日",AH28="60个交易日以上"))),"匹配","周期与交易预期不匹配，请重新确认"))</f>
        <v/>
      </c>
      <c r="AK28" s="43" t="n"/>
      <c r="AL28" s="27" t="n"/>
      <c r="AM28" s="43" t="n"/>
      <c r="AN28" s="27" t="n"/>
      <c r="AO28" s="44">
        <f>IF(OR(A28="",H28="",H28&lt;=0),"",(E28*H28+IF(AND(AK28&lt;&gt;"",AL28&lt;&gt;""),AK28*AL28,0)+IF(AND(AM28&lt;&gt;"",AN28&lt;&gt;""),AM28*AN28,0))/AP28)</f>
        <v/>
      </c>
      <c r="AP28" s="26">
        <f>IF(OR(A28="",H28="",H28&lt;=0),"",H28+IF(AL28="",0,AL28)+IF(AN28="",0,AN28))</f>
        <v/>
      </c>
      <c r="AQ28" s="44">
        <f>IF(A28="","",IF(M28&lt;&gt;"",0,IF(OR(H28="",N28=""),"",MAX(E28-MAX(N28,IFERROR(AGGREGATE(14,6,'持仓跟踪'!$S$2:$S$501/(('持仓跟踪'!$A$2:$A$501="每日跟踪")*('持仓跟踪'!$B$2:$B$501=A28)),1),0)),0)*H28+IF(OR(AK28="",AL28=""),0,MAX(AK28-MAX(N28,IFERROR(AGGREGATE(14,6,'持仓跟踪'!$S$2:$S$501/(('持仓跟踪'!$A$2:$A$501="每日跟踪")*('持仓跟踪'!$B$2:$B$501=A28)),1),0)),0)*AL28)+IF(OR(AM28="",AN28=""),0,MAX(AM28-MAX(N28,IFERROR(AGGREGATE(14,6,'持仓跟踪'!$S$2:$S$501/(('持仓跟踪'!$A$2:$A$501="每日跟踪")*('持仓跟踪'!$B$2:$B$501=A28)),1),0)),0)*AN28))))</f>
        <v/>
      </c>
      <c r="AR28" s="31">
        <f>IF(A28="","",IF(OR(E28="",H28=""),"违规：第一批价格或股数缺失",IF(OR(AND(AK28="",AL28&lt;&gt;""),AND(AK28&lt;&gt;"",AL28="")),"违规：第二批价格与股数须成对填写",IF(OR(AND(AM28="",AN28&lt;&gt;""),AND(AM28&lt;&gt;"",AN28="")),"违规：第三批价格与股数须成对填写",IF(AND(OR(AM28&lt;&gt;"",AN28&lt;&gt;""),OR(AK28="",AL28="")),"违规：必须先完成第二批",IF(OR(H28&lt;=0,H28&lt;&gt;INT(H28),MOD(H28,100)&lt;&gt;0,AND(AL28&lt;&gt;"",OR(AL28&lt;=0,AL28&lt;&gt;INT(AL28),MOD(AL28,100)&lt;&gt;0)),AND(AN28&lt;&gt;"",OR(AN28&lt;=0,AN28&lt;&gt;INT(AN28),MOD(AN28,100)&lt;&gt;0))),"违规：股数须为100股整数倍",IF(AND(OR(AL28&lt;&gt;"",AN28&lt;&gt;""),OR(_LockStatus="已锁仓",_LockStatus="解锁信息不完整")),"违规：锁仓期间禁止加仓",IF(AQ28&gt;C28*D28,"违规：超过单笔风险上限",IF(SUM($AQ$2:$AQ$201)&gt;账户数据!$B$7,"违规：超过账户风险上限","通过")))))))))</f>
        <v/>
      </c>
    </row>
    <row r="29">
      <c r="A29" s="2" t="n">
        <v>28</v>
      </c>
      <c r="B29" s="2" t="inlineStr">
        <is>
          <t>比亚迪</t>
        </is>
      </c>
      <c r="C29" s="40" t="n">
        <v>156711</v>
      </c>
      <c r="D29" s="6" t="n">
        <v>0.02</v>
      </c>
      <c r="E29" s="40" t="n">
        <v>82.64</v>
      </c>
      <c r="F29" s="8">
        <f>IF(OR(C29="",D29="",E29="",N29="",C29&lt;=0,D29&lt;=0,E29&lt;=N29),"",ROUNDDOWN((C29*D29)/(E29-N29)/100,0)*100)</f>
        <v/>
      </c>
      <c r="G29" s="8">
        <f>IF(A29="","",IF(H29&lt;&gt;"","已开仓",IF(账户数据!$B$23="已锁仓","禁止开仓：连续亏损达到上限",IF(账户数据!$B$23="解锁信息不完整","禁止开仓：请完整填写解锁信息",IF(OR(F29="",E29="",N29="",E29&lt;=N29,账户数据!$B$7=""),"",IF(OR(AG29="",AH29="",AI29=""),"禁止开仓：交易预期未填写完整",IF(COUNTIFS(持仓跟踪!$A$2:$A$501,"止损计划",持仓跟踪!$B$2:$B$501,A29,持仓跟踪!$AC$2:$AC$501,"计划有效")=0,"禁止开仓：请先填写止损计划",IF(账户数据!$B$9+F29*(E29-N29)&gt;=账户数据!$B$7,"禁止开仓：风险额度不足",IF(AJ29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9" s="2" t="n">
        <v>1100</v>
      </c>
      <c r="I29" s="41" t="n">
        <v>45015</v>
      </c>
      <c r="J29" s="40" t="n">
        <v>90</v>
      </c>
      <c r="K29" s="40" t="n">
        <v>78.04000000000001</v>
      </c>
      <c r="L29" s="8">
        <f>IF(K29="","",H29)</f>
        <v/>
      </c>
      <c r="M29" s="41" t="n">
        <v>45028</v>
      </c>
      <c r="N29" s="40" t="n">
        <v>80</v>
      </c>
      <c r="O29" s="40" t="n"/>
      <c r="P29" s="40" t="n"/>
      <c r="Q29" s="2" t="n"/>
      <c r="R29" s="2" t="n"/>
      <c r="S29" s="2" t="n"/>
      <c r="T29" s="2" t="n"/>
      <c r="U29" s="7">
        <f>IF(OR(AO29="",J29="",AO29&lt;=0),"",(J29-AO29)/AO29)</f>
        <v/>
      </c>
      <c r="V29" s="7">
        <f>IF(OR(AO29="",N29="",AO29&lt;=0),"",(AO29-N29)/AO29)</f>
        <v/>
      </c>
      <c r="W29" s="13">
        <f>IF(OR(U29="",V29="",V29&lt;=0),"",U29/V29)</f>
        <v/>
      </c>
      <c r="X29" s="42">
        <f>IF(OR(K29="",L29="",AP29=""),"",K29*L29-(E29*H29+IF(AND(AK29&lt;&gt;"",AL29&lt;&gt;""),AK29*AL29,0)+IF(AND(AM29&lt;&gt;"",AN29&lt;&gt;""),AM29*AN29,0))-IF(O29="",0,O29)-IF(P29="",0,P29))</f>
        <v/>
      </c>
      <c r="Y29" s="7">
        <f>IF(OR(X29="",AP29=""),"",IF((E29*H29+IF(AND(AK29&lt;&gt;"",AL29&lt;&gt;""),AK29*AL29,0)+IF(AND(AM29&lt;&gt;"",AN29&lt;&gt;""),AM29*AN29,0))+IF(O29="",0,O29)&lt;=0,"",X29/((E29*H29+IF(AND(AK29&lt;&gt;"",AL29&lt;&gt;""),AK29*AL29,0)+IF(AND(AM29&lt;&gt;"",AN29&lt;&gt;""),AM29*AN29,0))+IF(O29="",0,O29))))</f>
        <v/>
      </c>
      <c r="Z29" s="7">
        <f>IF(OR(AE29="",多次统计数据!$B$8=""),"",AE29-多次统计数据!$B$8)</f>
        <v/>
      </c>
      <c r="AA29" s="14">
        <f>IF(OR(I29="",M29="",M29&lt;I29),"",M29-I29)</f>
        <v/>
      </c>
      <c r="AB29" s="7">
        <f>IF(OR(A29="",多次统计数据!$B$8="",多次统计数据!$B$6&lt;=0,多次统计数据!$B$6&gt;=1),"",1-POWER(1+多次统计数据!$B$8,-多次统计数据!$B$6/(1-多次统计数据!$B$6)))</f>
        <v/>
      </c>
      <c r="AC29" s="8">
        <f>IF(OR(AB29="",多次统计数据!$B$9=""),"",IF(多次统计数据!$B$9&lt;AB29,"低于上限","达到或超过上限"))</f>
        <v/>
      </c>
      <c r="AD29" s="2" t="n"/>
      <c r="AE29" s="7">
        <f>IF(OR(X29="",C29="",C29&lt;=0),"",X29/C29)</f>
        <v/>
      </c>
      <c r="AG29" s="28" t="n"/>
      <c r="AH29" s="28" t="n"/>
      <c r="AI29" s="28" t="n"/>
      <c r="AJ29" s="31">
        <f>IF(OR(AG29="",AH29=""),"",IF(OR(AND(AG29="短期博反弹",OR(AH29="1～3个交易日",AH29="4～10个交易日")),AND(AG29="突破冲新高",OR(AH29="4～10个交易日",AH29="11～20个交易日")),AND(AG29="趋势波段",OR(AH29="11～20个交易日",AH29="21～60个交易日",AH29="60个交易日以上"))),"匹配","周期与交易预期不匹配，请重新确认"))</f>
        <v/>
      </c>
      <c r="AK29" s="43" t="n"/>
      <c r="AL29" s="27" t="n"/>
      <c r="AM29" s="43" t="n"/>
      <c r="AN29" s="27" t="n"/>
      <c r="AO29" s="44">
        <f>IF(OR(A29="",H29="",H29&lt;=0),"",(E29*H29+IF(AND(AK29&lt;&gt;"",AL29&lt;&gt;""),AK29*AL29,0)+IF(AND(AM29&lt;&gt;"",AN29&lt;&gt;""),AM29*AN29,0))/AP29)</f>
        <v/>
      </c>
      <c r="AP29" s="26">
        <f>IF(OR(A29="",H29="",H29&lt;=0),"",H29+IF(AL29="",0,AL29)+IF(AN29="",0,AN29))</f>
        <v/>
      </c>
      <c r="AQ29" s="44">
        <f>IF(A29="","",IF(M29&lt;&gt;"",0,IF(OR(H29="",N29=""),"",MAX(E29-MAX(N29,IFERROR(AGGREGATE(14,6,'持仓跟踪'!$S$2:$S$501/(('持仓跟踪'!$A$2:$A$501="每日跟踪")*('持仓跟踪'!$B$2:$B$501=A29)),1),0)),0)*H29+IF(OR(AK29="",AL29=""),0,MAX(AK29-MAX(N29,IFERROR(AGGREGATE(14,6,'持仓跟踪'!$S$2:$S$501/(('持仓跟踪'!$A$2:$A$501="每日跟踪")*('持仓跟踪'!$B$2:$B$501=A29)),1),0)),0)*AL29)+IF(OR(AM29="",AN29=""),0,MAX(AM29-MAX(N29,IFERROR(AGGREGATE(14,6,'持仓跟踪'!$S$2:$S$501/(('持仓跟踪'!$A$2:$A$501="每日跟踪")*('持仓跟踪'!$B$2:$B$501=A29)),1),0)),0)*AN29))))</f>
        <v/>
      </c>
      <c r="AR29" s="31">
        <f>IF(A29="","",IF(OR(E29="",H29=""),"违规：第一批价格或股数缺失",IF(OR(AND(AK29="",AL29&lt;&gt;""),AND(AK29&lt;&gt;"",AL29="")),"违规：第二批价格与股数须成对填写",IF(OR(AND(AM29="",AN29&lt;&gt;""),AND(AM29&lt;&gt;"",AN29="")),"违规：第三批价格与股数须成对填写",IF(AND(OR(AM29&lt;&gt;"",AN29&lt;&gt;""),OR(AK29="",AL29="")),"违规：必须先完成第二批",IF(OR(H29&lt;=0,H29&lt;&gt;INT(H29),MOD(H29,100)&lt;&gt;0,AND(AL29&lt;&gt;"",OR(AL29&lt;=0,AL29&lt;&gt;INT(AL29),MOD(AL29,100)&lt;&gt;0)),AND(AN29&lt;&gt;"",OR(AN29&lt;=0,AN29&lt;&gt;INT(AN29),MOD(AN29,100)&lt;&gt;0))),"违规：股数须为100股整数倍",IF(AND(OR(AL29&lt;&gt;"",AN29&lt;&gt;""),OR(_LockStatus="已锁仓",_LockStatus="解锁信息不完整")),"违规：锁仓期间禁止加仓",IF(AQ29&gt;C29*D29,"违规：超过单笔风险上限",IF(SUM($AQ$2:$AQ$201)&gt;账户数据!$B$7,"违规：超过账户风险上限","通过")))))))))</f>
        <v/>
      </c>
    </row>
    <row r="30">
      <c r="A30" s="2" t="n">
        <v>29</v>
      </c>
      <c r="B30" s="2" t="inlineStr">
        <is>
          <t>比亚迪</t>
        </is>
      </c>
      <c r="C30" s="40" t="n">
        <v>151651</v>
      </c>
      <c r="D30" s="6" t="n">
        <v>0.02</v>
      </c>
      <c r="E30" s="40" t="n">
        <v>83.5</v>
      </c>
      <c r="F30" s="8">
        <f>IF(OR(C30="",D30="",E30="",N30="",C30&lt;=0,D30&lt;=0,E30&lt;=N30),"",ROUNDDOWN((C30*D30)/(E30-N30)/100,0)*100)</f>
        <v/>
      </c>
      <c r="G30" s="8">
        <f>IF(A30="","",IF(H30&lt;&gt;"","已开仓",IF(账户数据!$B$23="已锁仓","禁止开仓：连续亏损达到上限",IF(账户数据!$B$23="解锁信息不完整","禁止开仓：请完整填写解锁信息",IF(OR(F30="",E30="",N30="",E30&lt;=N30,账户数据!$B$7=""),"",IF(OR(AG30="",AH30="",AI30=""),"禁止开仓：交易预期未填写完整",IF(COUNTIFS(持仓跟踪!$A$2:$A$501,"止损计划",持仓跟踪!$B$2:$B$501,A30,持仓跟踪!$AC$2:$AC$501,"计划有效")=0,"禁止开仓：请先填写止损计划",IF(账户数据!$B$9+F30*(E30-N30)&gt;=账户数据!$B$7,"禁止开仓：风险额度不足",IF(AJ30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0" s="2" t="n">
        <v>800</v>
      </c>
      <c r="I30" s="41" t="n">
        <v>45056</v>
      </c>
      <c r="J30" s="40" t="n">
        <v>90</v>
      </c>
      <c r="K30" s="40" t="n">
        <v>79.23</v>
      </c>
      <c r="L30" s="8">
        <f>IF(K30="","",H30)</f>
        <v/>
      </c>
      <c r="M30" s="41" t="n">
        <v>45072</v>
      </c>
      <c r="N30" s="40" t="n">
        <v>80</v>
      </c>
      <c r="O30" s="40" t="n"/>
      <c r="P30" s="40" t="n"/>
      <c r="Q30" s="2" t="n"/>
      <c r="R30" s="2" t="n"/>
      <c r="S30" s="2" t="n"/>
      <c r="T30" s="2" t="n"/>
      <c r="U30" s="7">
        <f>IF(OR(AO30="",J30="",AO30&lt;=0),"",(J30-AO30)/AO30)</f>
        <v/>
      </c>
      <c r="V30" s="7">
        <f>IF(OR(AO30="",N30="",AO30&lt;=0),"",(AO30-N30)/AO30)</f>
        <v/>
      </c>
      <c r="W30" s="13">
        <f>IF(OR(U30="",V30="",V30&lt;=0),"",U30/V30)</f>
        <v/>
      </c>
      <c r="X30" s="42">
        <f>IF(OR(K30="",L30="",AP30=""),"",K30*L30-(E30*H30+IF(AND(AK30&lt;&gt;"",AL30&lt;&gt;""),AK30*AL30,0)+IF(AND(AM30&lt;&gt;"",AN30&lt;&gt;""),AM30*AN30,0))-IF(O30="",0,O30)-IF(P30="",0,P30))</f>
        <v/>
      </c>
      <c r="Y30" s="7">
        <f>IF(OR(X30="",AP30=""),"",IF((E30*H30+IF(AND(AK30&lt;&gt;"",AL30&lt;&gt;""),AK30*AL30,0)+IF(AND(AM30&lt;&gt;"",AN30&lt;&gt;""),AM30*AN30,0))+IF(O30="",0,O30)&lt;=0,"",X30/((E30*H30+IF(AND(AK30&lt;&gt;"",AL30&lt;&gt;""),AK30*AL30,0)+IF(AND(AM30&lt;&gt;"",AN30&lt;&gt;""),AM30*AN30,0))+IF(O30="",0,O30))))</f>
        <v/>
      </c>
      <c r="Z30" s="7">
        <f>IF(OR(AE30="",多次统计数据!$B$8=""),"",AE30-多次统计数据!$B$8)</f>
        <v/>
      </c>
      <c r="AA30" s="14">
        <f>IF(OR(I30="",M30="",M30&lt;I30),"",M30-I30)</f>
        <v/>
      </c>
      <c r="AB30" s="7">
        <f>IF(OR(A30="",多次统计数据!$B$8="",多次统计数据!$B$6&lt;=0,多次统计数据!$B$6&gt;=1),"",1-POWER(1+多次统计数据!$B$8,-多次统计数据!$B$6/(1-多次统计数据!$B$6)))</f>
        <v/>
      </c>
      <c r="AC30" s="8">
        <f>IF(OR(AB30="",多次统计数据!$B$9=""),"",IF(多次统计数据!$B$9&lt;AB30,"低于上限","达到或超过上限"))</f>
        <v/>
      </c>
      <c r="AD30" s="2" t="n"/>
      <c r="AE30" s="7">
        <f>IF(OR(X30="",C30="",C30&lt;=0),"",X30/C30)</f>
        <v/>
      </c>
      <c r="AG30" s="28" t="n"/>
      <c r="AH30" s="28" t="n"/>
      <c r="AI30" s="28" t="n"/>
      <c r="AJ30" s="31">
        <f>IF(OR(AG30="",AH30=""),"",IF(OR(AND(AG30="短期博反弹",OR(AH30="1～3个交易日",AH30="4～10个交易日")),AND(AG30="突破冲新高",OR(AH30="4～10个交易日",AH30="11～20个交易日")),AND(AG30="趋势波段",OR(AH30="11～20个交易日",AH30="21～60个交易日",AH30="60个交易日以上"))),"匹配","周期与交易预期不匹配，请重新确认"))</f>
        <v/>
      </c>
      <c r="AK30" s="43" t="n"/>
      <c r="AL30" s="27" t="n"/>
      <c r="AM30" s="43" t="n"/>
      <c r="AN30" s="27" t="n"/>
      <c r="AO30" s="44">
        <f>IF(OR(A30="",H30="",H30&lt;=0),"",(E30*H30+IF(AND(AK30&lt;&gt;"",AL30&lt;&gt;""),AK30*AL30,0)+IF(AND(AM30&lt;&gt;"",AN30&lt;&gt;""),AM30*AN30,0))/AP30)</f>
        <v/>
      </c>
      <c r="AP30" s="26">
        <f>IF(OR(A30="",H30="",H30&lt;=0),"",H30+IF(AL30="",0,AL30)+IF(AN30="",0,AN30))</f>
        <v/>
      </c>
      <c r="AQ30" s="44">
        <f>IF(A30="","",IF(M30&lt;&gt;"",0,IF(OR(H30="",N30=""),"",MAX(E30-MAX(N30,IFERROR(AGGREGATE(14,6,'持仓跟踪'!$S$2:$S$501/(('持仓跟踪'!$A$2:$A$501="每日跟踪")*('持仓跟踪'!$B$2:$B$501=A30)),1),0)),0)*H30+IF(OR(AK30="",AL30=""),0,MAX(AK30-MAX(N30,IFERROR(AGGREGATE(14,6,'持仓跟踪'!$S$2:$S$501/(('持仓跟踪'!$A$2:$A$501="每日跟踪")*('持仓跟踪'!$B$2:$B$501=A30)),1),0)),0)*AL30)+IF(OR(AM30="",AN30=""),0,MAX(AM30-MAX(N30,IFERROR(AGGREGATE(14,6,'持仓跟踪'!$S$2:$S$501/(('持仓跟踪'!$A$2:$A$501="每日跟踪")*('持仓跟踪'!$B$2:$B$501=A30)),1),0)),0)*AN30))))</f>
        <v/>
      </c>
      <c r="AR30" s="31">
        <f>IF(A30="","",IF(OR(E30="",H30=""),"违规：第一批价格或股数缺失",IF(OR(AND(AK30="",AL30&lt;&gt;""),AND(AK30&lt;&gt;"",AL30="")),"违规：第二批价格与股数须成对填写",IF(OR(AND(AM30="",AN30&lt;&gt;""),AND(AM30&lt;&gt;"",AN30="")),"违规：第三批价格与股数须成对填写",IF(AND(OR(AM30&lt;&gt;"",AN30&lt;&gt;""),OR(AK30="",AL30="")),"违规：必须先完成第二批",IF(OR(H30&lt;=0,H30&lt;&gt;INT(H30),MOD(H30,100)&lt;&gt;0,AND(AL30&lt;&gt;"",OR(AL30&lt;=0,AL30&lt;&gt;INT(AL30),MOD(AL30,100)&lt;&gt;0)),AND(AN30&lt;&gt;"",OR(AN30&lt;=0,AN30&lt;&gt;INT(AN30),MOD(AN30,100)&lt;&gt;0))),"违规：股数须为100股整数倍",IF(AND(OR(AL30&lt;&gt;"",AN30&lt;&gt;""),OR(_LockStatus="已锁仓",_LockStatus="解锁信息不完整")),"违规：锁仓期间禁止加仓",IF(AQ30&gt;C30*D30,"违规：超过单笔风险上限",IF(SUM($AQ$2:$AQ$201)&gt;账户数据!$B$7,"违规：超过账户风险上限","通过")))))))))</f>
        <v/>
      </c>
    </row>
    <row r="31">
      <c r="A31" s="2" t="n">
        <v>30</v>
      </c>
      <c r="B31" s="2" t="inlineStr">
        <is>
          <t>比亚迪</t>
        </is>
      </c>
      <c r="C31" s="40" t="n">
        <v>148235</v>
      </c>
      <c r="D31" s="6" t="n">
        <v>0.02</v>
      </c>
      <c r="E31" s="40" t="n">
        <v>86.28</v>
      </c>
      <c r="F31" s="8">
        <f>IF(OR(C31="",D31="",E31="",N31="",C31&lt;=0,D31&lt;=0,E31&lt;=N31),"",ROUNDDOWN((C31*D31)/(E31-N31)/100,0)*100)</f>
        <v/>
      </c>
      <c r="G31" s="8">
        <f>IF(A31="","",IF(H31&lt;&gt;"","已开仓",IF(账户数据!$B$23="已锁仓","禁止开仓：连续亏损达到上限",IF(账户数据!$B$23="解锁信息不完整","禁止开仓：请完整填写解锁信息",IF(OR(F31="",E31="",N31="",E31&lt;=N31,账户数据!$B$7=""),"",IF(OR(AG31="",AH31="",AI31=""),"禁止开仓：交易预期未填写完整",IF(COUNTIFS(持仓跟踪!$A$2:$A$501,"止损计划",持仓跟踪!$B$2:$B$501,A31,持仓跟踪!$AC$2:$AC$501,"计划有效")=0,"禁止开仓：请先填写止损计划",IF(账户数据!$B$9+F31*(E31-N31)&gt;=账户数据!$B$7,"禁止开仓：风险额度不足",IF(AJ31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1" s="2" t="n">
        <v>1300</v>
      </c>
      <c r="I31" s="41" t="n">
        <v>45135</v>
      </c>
      <c r="J31" s="40" t="n">
        <v>95</v>
      </c>
      <c r="K31" s="40" t="n">
        <v>79.22</v>
      </c>
      <c r="L31" s="8">
        <f>IF(K31="","",H31)</f>
        <v/>
      </c>
      <c r="M31" s="41" t="n">
        <v>45152</v>
      </c>
      <c r="N31" s="40" t="n">
        <v>84</v>
      </c>
      <c r="O31" s="40" t="n"/>
      <c r="P31" s="40" t="n"/>
      <c r="Q31" s="2" t="n"/>
      <c r="R31" s="2" t="n"/>
      <c r="S31" s="2" t="n"/>
      <c r="T31" s="2" t="n"/>
      <c r="U31" s="7">
        <f>IF(OR(AO31="",J31="",AO31&lt;=0),"",(J31-AO31)/AO31)</f>
        <v/>
      </c>
      <c r="V31" s="7">
        <f>IF(OR(AO31="",N31="",AO31&lt;=0),"",(AO31-N31)/AO31)</f>
        <v/>
      </c>
      <c r="W31" s="13">
        <f>IF(OR(U31="",V31="",V31&lt;=0),"",U31/V31)</f>
        <v/>
      </c>
      <c r="X31" s="42">
        <f>IF(OR(K31="",L31="",AP31=""),"",K31*L31-(E31*H31+IF(AND(AK31&lt;&gt;"",AL31&lt;&gt;""),AK31*AL31,0)+IF(AND(AM31&lt;&gt;"",AN31&lt;&gt;""),AM31*AN31,0))-IF(O31="",0,O31)-IF(P31="",0,P31))</f>
        <v/>
      </c>
      <c r="Y31" s="7">
        <f>IF(OR(X31="",AP31=""),"",IF((E31*H31+IF(AND(AK31&lt;&gt;"",AL31&lt;&gt;""),AK31*AL31,0)+IF(AND(AM31&lt;&gt;"",AN31&lt;&gt;""),AM31*AN31,0))+IF(O31="",0,O31)&lt;=0,"",X31/((E31*H31+IF(AND(AK31&lt;&gt;"",AL31&lt;&gt;""),AK31*AL31,0)+IF(AND(AM31&lt;&gt;"",AN31&lt;&gt;""),AM31*AN31,0))+IF(O31="",0,O31))))</f>
        <v/>
      </c>
      <c r="Z31" s="7">
        <f>IF(OR(AE31="",多次统计数据!$B$8=""),"",AE31-多次统计数据!$B$8)</f>
        <v/>
      </c>
      <c r="AA31" s="14">
        <f>IF(OR(I31="",M31="",M31&lt;I31),"",M31-I31)</f>
        <v/>
      </c>
      <c r="AB31" s="7">
        <f>IF(OR(A31="",多次统计数据!$B$8="",多次统计数据!$B$6&lt;=0,多次统计数据!$B$6&gt;=1),"",1-POWER(1+多次统计数据!$B$8,-多次统计数据!$B$6/(1-多次统计数据!$B$6)))</f>
        <v/>
      </c>
      <c r="AC31" s="8">
        <f>IF(OR(AB31="",多次统计数据!$B$9=""),"",IF(多次统计数据!$B$9&lt;AB31,"低于上限","达到或超过上限"))</f>
        <v/>
      </c>
      <c r="AD31" s="2" t="n"/>
      <c r="AE31" s="7">
        <f>IF(OR(X31="",C31="",C31&lt;=0),"",X31/C31)</f>
        <v/>
      </c>
      <c r="AF31" t="inlineStr">
        <is>
          <t>特别注意，放大了风险</t>
        </is>
      </c>
      <c r="AG31" s="28" t="n"/>
      <c r="AH31" s="28" t="n"/>
      <c r="AI31" s="28" t="n"/>
      <c r="AJ31" s="31">
        <f>IF(OR(AG31="",AH31=""),"",IF(OR(AND(AG31="短期博反弹",OR(AH31="1～3个交易日",AH31="4～10个交易日")),AND(AG31="突破冲新高",OR(AH31="4～10个交易日",AH31="11～20个交易日")),AND(AG31="趋势波段",OR(AH31="11～20个交易日",AH31="21～60个交易日",AH31="60个交易日以上"))),"匹配","周期与交易预期不匹配，请重新确认"))</f>
        <v/>
      </c>
      <c r="AK31" s="43" t="n"/>
      <c r="AL31" s="27" t="n"/>
      <c r="AM31" s="43" t="n"/>
      <c r="AN31" s="27" t="n"/>
      <c r="AO31" s="44">
        <f>IF(OR(A31="",H31="",H31&lt;=0),"",(E31*H31+IF(AND(AK31&lt;&gt;"",AL31&lt;&gt;""),AK31*AL31,0)+IF(AND(AM31&lt;&gt;"",AN31&lt;&gt;""),AM31*AN31,0))/AP31)</f>
        <v/>
      </c>
      <c r="AP31" s="26">
        <f>IF(OR(A31="",H31="",H31&lt;=0),"",H31+IF(AL31="",0,AL31)+IF(AN31="",0,AN31))</f>
        <v/>
      </c>
      <c r="AQ31" s="44">
        <f>IF(A31="","",IF(M31&lt;&gt;"",0,IF(OR(H31="",N31=""),"",MAX(E31-MAX(N31,IFERROR(AGGREGATE(14,6,'持仓跟踪'!$S$2:$S$501/(('持仓跟踪'!$A$2:$A$501="每日跟踪")*('持仓跟踪'!$B$2:$B$501=A31)),1),0)),0)*H31+IF(OR(AK31="",AL31=""),0,MAX(AK31-MAX(N31,IFERROR(AGGREGATE(14,6,'持仓跟踪'!$S$2:$S$501/(('持仓跟踪'!$A$2:$A$501="每日跟踪")*('持仓跟踪'!$B$2:$B$501=A31)),1),0)),0)*AL31)+IF(OR(AM31="",AN31=""),0,MAX(AM31-MAX(N31,IFERROR(AGGREGATE(14,6,'持仓跟踪'!$S$2:$S$501/(('持仓跟踪'!$A$2:$A$501="每日跟踪")*('持仓跟踪'!$B$2:$B$501=A31)),1),0)),0)*AN31))))</f>
        <v/>
      </c>
      <c r="AR31" s="31">
        <f>IF(A31="","",IF(OR(E31="",H31=""),"违规：第一批价格或股数缺失",IF(OR(AND(AK31="",AL31&lt;&gt;""),AND(AK31&lt;&gt;"",AL31="")),"违规：第二批价格与股数须成对填写",IF(OR(AND(AM31="",AN31&lt;&gt;""),AND(AM31&lt;&gt;"",AN31="")),"违规：第三批价格与股数须成对填写",IF(AND(OR(AM31&lt;&gt;"",AN31&lt;&gt;""),OR(AK31="",AL31="")),"违规：必须先完成第二批",IF(OR(H31&lt;=0,H31&lt;&gt;INT(H31),MOD(H31,100)&lt;&gt;0,AND(AL31&lt;&gt;"",OR(AL31&lt;=0,AL31&lt;&gt;INT(AL31),MOD(AL31,100)&lt;&gt;0)),AND(AN31&lt;&gt;"",OR(AN31&lt;=0,AN31&lt;&gt;INT(AN31),MOD(AN31,100)&lt;&gt;0))),"违规：股数须为100股整数倍",IF(AND(OR(AL31&lt;&gt;"",AN31&lt;&gt;""),OR(_LockStatus="已锁仓",_LockStatus="解锁信息不完整")),"违规：锁仓期间禁止加仓",IF(AQ31&gt;C31*D31,"违规：超过单笔风险上限",IF(SUM($AQ$2:$AQ$201)&gt;账户数据!$B$7,"违规：超过账户风险上限","通过")))))))))</f>
        <v/>
      </c>
    </row>
    <row r="32">
      <c r="A32" s="2" t="n">
        <v>31</v>
      </c>
      <c r="B32" s="2" t="inlineStr">
        <is>
          <t>比亚迪</t>
        </is>
      </c>
      <c r="C32" s="40" t="n">
        <v>139057</v>
      </c>
      <c r="D32" s="6" t="n">
        <v>0.02</v>
      </c>
      <c r="E32" s="40" t="n">
        <v>73.91</v>
      </c>
      <c r="F32" s="8">
        <f>IF(OR(C32="",D32="",E32="",N32="",C32&lt;=0,D32&lt;=0,E32&lt;=N32),"",ROUNDDOWN((C32*D32)/(E32-N32)/100,0)*100)</f>
        <v/>
      </c>
      <c r="G32" s="8">
        <f>IF(A32="","",IF(H32&lt;&gt;"","已开仓",IF(账户数据!$B$23="已锁仓","禁止开仓：连续亏损达到上限",IF(账户数据!$B$23="解锁信息不完整","禁止开仓：请完整填写解锁信息",IF(OR(F32="",E32="",N32="",E32&lt;=N32,账户数据!$B$7=""),"",IF(OR(AG32="",AH32="",AI32=""),"禁止开仓：交易预期未填写完整",IF(COUNTIFS(持仓跟踪!$A$2:$A$501,"止损计划",持仓跟踪!$B$2:$B$501,A32,持仓跟踪!$AC$2:$AC$501,"计划有效")=0,"禁止开仓：请先填写止损计划",IF(账户数据!$B$9+F32*(E32-N32)&gt;=账户数据!$B$7,"禁止开仓：风险额度不足",IF(AJ32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2" s="2" t="n">
        <v>700</v>
      </c>
      <c r="I32" s="41" t="n">
        <v>45419</v>
      </c>
      <c r="J32" s="40" t="n">
        <v>75</v>
      </c>
      <c r="K32" s="40" t="n">
        <v>69.59</v>
      </c>
      <c r="L32" s="8">
        <f>IF(K32="","",H32)</f>
        <v/>
      </c>
      <c r="M32" s="41" t="n">
        <v>45434</v>
      </c>
      <c r="N32" s="40" t="n">
        <v>70</v>
      </c>
      <c r="O32" s="40" t="n"/>
      <c r="P32" s="40" t="n"/>
      <c r="Q32" s="2" t="n"/>
      <c r="R32" s="2" t="n"/>
      <c r="S32" s="2" t="n"/>
      <c r="T32" s="2" t="n"/>
      <c r="U32" s="7">
        <f>IF(OR(AO32="",J32="",AO32&lt;=0),"",(J32-AO32)/AO32)</f>
        <v/>
      </c>
      <c r="V32" s="7">
        <f>IF(OR(AO32="",N32="",AO32&lt;=0),"",(AO32-N32)/AO32)</f>
        <v/>
      </c>
      <c r="W32" s="13">
        <f>IF(OR(U32="",V32="",V32&lt;=0),"",U32/V32)</f>
        <v/>
      </c>
      <c r="X32" s="42">
        <f>IF(OR(K32="",L32="",AP32=""),"",K32*L32-(E32*H32+IF(AND(AK32&lt;&gt;"",AL32&lt;&gt;""),AK32*AL32,0)+IF(AND(AM32&lt;&gt;"",AN32&lt;&gt;""),AM32*AN32,0))-IF(O32="",0,O32)-IF(P32="",0,P32))</f>
        <v/>
      </c>
      <c r="Y32" s="7">
        <f>IF(OR(X32="",AP32=""),"",IF((E32*H32+IF(AND(AK32&lt;&gt;"",AL32&lt;&gt;""),AK32*AL32,0)+IF(AND(AM32&lt;&gt;"",AN32&lt;&gt;""),AM32*AN32,0))+IF(O32="",0,O32)&lt;=0,"",X32/((E32*H32+IF(AND(AK32&lt;&gt;"",AL32&lt;&gt;""),AK32*AL32,0)+IF(AND(AM32&lt;&gt;"",AN32&lt;&gt;""),AM32*AN32,0))+IF(O32="",0,O32))))</f>
        <v/>
      </c>
      <c r="Z32" s="7">
        <f>IF(OR(AE32="",多次统计数据!$B$8=""),"",AE32-多次统计数据!$B$8)</f>
        <v/>
      </c>
      <c r="AA32" s="14">
        <f>IF(OR(I32="",M32="",M32&lt;I32),"",M32-I32)</f>
        <v/>
      </c>
      <c r="AB32" s="7">
        <f>IF(OR(A32="",多次统计数据!$B$8="",多次统计数据!$B$6&lt;=0,多次统计数据!$B$6&gt;=1),"",1-POWER(1+多次统计数据!$B$8,-多次统计数据!$B$6/(1-多次统计数据!$B$6)))</f>
        <v/>
      </c>
      <c r="AC32" s="8">
        <f>IF(OR(AB32="",多次统计数据!$B$9=""),"",IF(多次统计数据!$B$9&lt;AB32,"低于上限","达到或超过上限"))</f>
        <v/>
      </c>
      <c r="AD32" s="2" t="n"/>
      <c r="AE32" s="7">
        <f>IF(OR(X32="",C32="",C32&lt;=0),"",X32/C32)</f>
        <v/>
      </c>
      <c r="AG32" s="28" t="n"/>
      <c r="AH32" s="28" t="n"/>
      <c r="AI32" s="28" t="n"/>
      <c r="AJ32" s="31">
        <f>IF(OR(AG32="",AH32=""),"",IF(OR(AND(AG32="短期博反弹",OR(AH32="1～3个交易日",AH32="4～10个交易日")),AND(AG32="突破冲新高",OR(AH32="4～10个交易日",AH32="11～20个交易日")),AND(AG32="趋势波段",OR(AH32="11～20个交易日",AH32="21～60个交易日",AH32="60个交易日以上"))),"匹配","周期与交易预期不匹配，请重新确认"))</f>
        <v/>
      </c>
      <c r="AK32" s="43" t="n"/>
      <c r="AL32" s="27" t="n"/>
      <c r="AM32" s="43" t="n"/>
      <c r="AN32" s="27" t="n"/>
      <c r="AO32" s="44">
        <f>IF(OR(A32="",H32="",H32&lt;=0),"",(E32*H32+IF(AND(AK32&lt;&gt;"",AL32&lt;&gt;""),AK32*AL32,0)+IF(AND(AM32&lt;&gt;"",AN32&lt;&gt;""),AM32*AN32,0))/AP32)</f>
        <v/>
      </c>
      <c r="AP32" s="26">
        <f>IF(OR(A32="",H32="",H32&lt;=0),"",H32+IF(AL32="",0,AL32)+IF(AN32="",0,AN32))</f>
        <v/>
      </c>
      <c r="AQ32" s="44">
        <f>IF(A32="","",IF(M32&lt;&gt;"",0,IF(OR(H32="",N32=""),"",MAX(E32-MAX(N32,IFERROR(AGGREGATE(14,6,'持仓跟踪'!$S$2:$S$501/(('持仓跟踪'!$A$2:$A$501="每日跟踪")*('持仓跟踪'!$B$2:$B$501=A32)),1),0)),0)*H32+IF(OR(AK32="",AL32=""),0,MAX(AK32-MAX(N32,IFERROR(AGGREGATE(14,6,'持仓跟踪'!$S$2:$S$501/(('持仓跟踪'!$A$2:$A$501="每日跟踪")*('持仓跟踪'!$B$2:$B$501=A32)),1),0)),0)*AL32)+IF(OR(AM32="",AN32=""),0,MAX(AM32-MAX(N32,IFERROR(AGGREGATE(14,6,'持仓跟踪'!$S$2:$S$501/(('持仓跟踪'!$A$2:$A$501="每日跟踪")*('持仓跟踪'!$B$2:$B$501=A32)),1),0)),0)*AN32))))</f>
        <v/>
      </c>
      <c r="AR32" s="31">
        <f>IF(A32="","",IF(OR(E32="",H32=""),"违规：第一批价格或股数缺失",IF(OR(AND(AK32="",AL32&lt;&gt;""),AND(AK32&lt;&gt;"",AL32="")),"违规：第二批价格与股数须成对填写",IF(OR(AND(AM32="",AN32&lt;&gt;""),AND(AM32&lt;&gt;"",AN32="")),"违规：第三批价格与股数须成对填写",IF(AND(OR(AM32&lt;&gt;"",AN32&lt;&gt;""),OR(AK32="",AL32="")),"违规：必须先完成第二批",IF(OR(H32&lt;=0,H32&lt;&gt;INT(H32),MOD(H32,100)&lt;&gt;0,AND(AL32&lt;&gt;"",OR(AL32&lt;=0,AL32&lt;&gt;INT(AL32),MOD(AL32,100)&lt;&gt;0)),AND(AN32&lt;&gt;"",OR(AN32&lt;=0,AN32&lt;&gt;INT(AN32),MOD(AN32,100)&lt;&gt;0))),"违规：股数须为100股整数倍",IF(AND(OR(AL32&lt;&gt;"",AN32&lt;&gt;""),OR(_LockStatus="已锁仓",_LockStatus="解锁信息不完整")),"违规：锁仓期间禁止加仓",IF(AQ32&gt;C32*D32,"违规：超过单笔风险上限",IF(SUM($AQ$2:$AQ$201)&gt;账户数据!$B$7,"违规：超过账户风险上限","通过")))))))))</f>
        <v/>
      </c>
    </row>
    <row r="33">
      <c r="A33" s="2" t="n">
        <v>32</v>
      </c>
      <c r="B33" s="2" t="inlineStr">
        <is>
          <t>沪电股份</t>
        </is>
      </c>
      <c r="C33" s="40" t="n">
        <v>136033</v>
      </c>
      <c r="D33" s="6" t="n">
        <v>0.02</v>
      </c>
      <c r="E33" s="40" t="n">
        <v>11.92</v>
      </c>
      <c r="F33" s="8">
        <f>IF(OR(C33="",D33="",E33="",N33="",C33&lt;=0,D33&lt;=0,E33&lt;=N33),"",ROUNDDOWN((C33*D33)/(E33-N33)/100,0)*100)</f>
        <v/>
      </c>
      <c r="G33" s="8">
        <f>IF(A33="","",IF(H33&lt;&gt;"","已开仓",IF(账户数据!$B$23="已锁仓","禁止开仓：连续亏损达到上限",IF(账户数据!$B$23="解锁信息不完整","禁止开仓：请完整填写解锁信息",IF(OR(F33="",E33="",N33="",E33&lt;=N33,账户数据!$B$7=""),"",IF(OR(AG33="",AH33="",AI33=""),"禁止开仓：交易预期未填写完整",IF(COUNTIFS(持仓跟踪!$A$2:$A$501,"止损计划",持仓跟踪!$B$2:$B$501,A33,持仓跟踪!$AC$2:$AC$501,"计划有效")=0,"禁止开仓：请先填写止损计划",IF(账户数据!$B$9+F33*(E33-N33)&gt;=账户数据!$B$7,"禁止开仓：风险额度不足",IF(AJ33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3" s="2" t="n">
        <v>6400</v>
      </c>
      <c r="I33" s="41" t="n">
        <v>44344</v>
      </c>
      <c r="J33" s="40" t="n">
        <v>12.75</v>
      </c>
      <c r="K33" s="40" t="n">
        <v>11.24</v>
      </c>
      <c r="L33" s="8">
        <f>IF(K33="","",H33)</f>
        <v/>
      </c>
      <c r="M33" s="41" t="n">
        <v>44362</v>
      </c>
      <c r="N33" s="40" t="n">
        <v>11.5</v>
      </c>
      <c r="O33" s="40" t="n"/>
      <c r="P33" s="40" t="n"/>
      <c r="Q33" s="2" t="n"/>
      <c r="R33" s="2" t="n"/>
      <c r="S33" s="2" t="n"/>
      <c r="T33" s="2" t="n"/>
      <c r="U33" s="7">
        <f>IF(OR(AO33="",J33="",AO33&lt;=0),"",(J33-AO33)/AO33)</f>
        <v/>
      </c>
      <c r="V33" s="7">
        <f>IF(OR(AO33="",N33="",AO33&lt;=0),"",(AO33-N33)/AO33)</f>
        <v/>
      </c>
      <c r="W33" s="13">
        <f>IF(OR(U33="",V33="",V33&lt;=0),"",U33/V33)</f>
        <v/>
      </c>
      <c r="X33" s="42">
        <f>IF(OR(K33="",L33="",AP33=""),"",K33*L33-(E33*H33+IF(AND(AK33&lt;&gt;"",AL33&lt;&gt;""),AK33*AL33,0)+IF(AND(AM33&lt;&gt;"",AN33&lt;&gt;""),AM33*AN33,0))-IF(O33="",0,O33)-IF(P33="",0,P33))</f>
        <v/>
      </c>
      <c r="Y33" s="7">
        <f>IF(OR(X33="",AP33=""),"",IF((E33*H33+IF(AND(AK33&lt;&gt;"",AL33&lt;&gt;""),AK33*AL33,0)+IF(AND(AM33&lt;&gt;"",AN33&lt;&gt;""),AM33*AN33,0))+IF(O33="",0,O33)&lt;=0,"",X33/((E33*H33+IF(AND(AK33&lt;&gt;"",AL33&lt;&gt;""),AK33*AL33,0)+IF(AND(AM33&lt;&gt;"",AN33&lt;&gt;""),AM33*AN33,0))+IF(O33="",0,O33))))</f>
        <v/>
      </c>
      <c r="Z33" s="7">
        <f>IF(OR(AE33="",多次统计数据!$B$8=""),"",AE33-多次统计数据!$B$8)</f>
        <v/>
      </c>
      <c r="AA33" s="14">
        <f>IF(OR(I33="",M33="",M33&lt;I33),"",M33-I33)</f>
        <v/>
      </c>
      <c r="AB33" s="7">
        <f>IF(OR(A33="",多次统计数据!$B$8="",多次统计数据!$B$6&lt;=0,多次统计数据!$B$6&gt;=1),"",1-POWER(1+多次统计数据!$B$8,-多次统计数据!$B$6/(1-多次统计数据!$B$6)))</f>
        <v/>
      </c>
      <c r="AC33" s="8">
        <f>IF(OR(AB33="",多次统计数据!$B$9=""),"",IF(多次统计数据!$B$9&lt;AB33,"低于上限","达到或超过上限"))</f>
        <v/>
      </c>
      <c r="AD33" s="2" t="n"/>
      <c r="AE33" s="7">
        <f>IF(OR(X33="",C33="",C33&lt;=0),"",X33/C33)</f>
        <v/>
      </c>
      <c r="AG33" s="28" t="n"/>
      <c r="AH33" s="28" t="n"/>
      <c r="AI33" s="28" t="n"/>
      <c r="AJ33" s="31">
        <f>IF(OR(AG33="",AH33=""),"",IF(OR(AND(AG33="短期博反弹",OR(AH33="1～3个交易日",AH33="4～10个交易日")),AND(AG33="突破冲新高",OR(AH33="4～10个交易日",AH33="11～20个交易日")),AND(AG33="趋势波段",OR(AH33="11～20个交易日",AH33="21～60个交易日",AH33="60个交易日以上"))),"匹配","周期与交易预期不匹配，请重新确认"))</f>
        <v/>
      </c>
      <c r="AK33" s="43" t="n"/>
      <c r="AL33" s="27" t="n"/>
      <c r="AM33" s="43" t="n"/>
      <c r="AN33" s="27" t="n"/>
      <c r="AO33" s="44">
        <f>IF(OR(A33="",H33="",H33&lt;=0),"",(E33*H33+IF(AND(AK33&lt;&gt;"",AL33&lt;&gt;""),AK33*AL33,0)+IF(AND(AM33&lt;&gt;"",AN33&lt;&gt;""),AM33*AN33,0))/AP33)</f>
        <v/>
      </c>
      <c r="AP33" s="26">
        <f>IF(OR(A33="",H33="",H33&lt;=0),"",H33+IF(AL33="",0,AL33)+IF(AN33="",0,AN33))</f>
        <v/>
      </c>
      <c r="AQ33" s="44">
        <f>IF(A33="","",IF(M33&lt;&gt;"",0,IF(OR(H33="",N33=""),"",MAX(E33-MAX(N33,IFERROR(AGGREGATE(14,6,'持仓跟踪'!$S$2:$S$501/(('持仓跟踪'!$A$2:$A$501="每日跟踪")*('持仓跟踪'!$B$2:$B$501=A33)),1),0)),0)*H33+IF(OR(AK33="",AL33=""),0,MAX(AK33-MAX(N33,IFERROR(AGGREGATE(14,6,'持仓跟踪'!$S$2:$S$501/(('持仓跟踪'!$A$2:$A$501="每日跟踪")*('持仓跟踪'!$B$2:$B$501=A33)),1),0)),0)*AL33)+IF(OR(AM33="",AN33=""),0,MAX(AM33-MAX(N33,IFERROR(AGGREGATE(14,6,'持仓跟踪'!$S$2:$S$501/(('持仓跟踪'!$A$2:$A$501="每日跟踪")*('持仓跟踪'!$B$2:$B$501=A33)),1),0)),0)*AN33))))</f>
        <v/>
      </c>
      <c r="AR33" s="31">
        <f>IF(A33="","",IF(OR(E33="",H33=""),"违规：第一批价格或股数缺失",IF(OR(AND(AK33="",AL33&lt;&gt;""),AND(AK33&lt;&gt;"",AL33="")),"违规：第二批价格与股数须成对填写",IF(OR(AND(AM33="",AN33&lt;&gt;""),AND(AM33&lt;&gt;"",AN33="")),"违规：第三批价格与股数须成对填写",IF(AND(OR(AM33&lt;&gt;"",AN33&lt;&gt;""),OR(AK33="",AL33="")),"违规：必须先完成第二批",IF(OR(H33&lt;=0,H33&lt;&gt;INT(H33),MOD(H33,100)&lt;&gt;0,AND(AL33&lt;&gt;"",OR(AL33&lt;=0,AL33&lt;&gt;INT(AL33),MOD(AL33,100)&lt;&gt;0)),AND(AN33&lt;&gt;"",OR(AN33&lt;=0,AN33&lt;&gt;INT(AN33),MOD(AN33,100)&lt;&gt;0))),"违规：股数须为100股整数倍",IF(AND(OR(AL33&lt;&gt;"",AN33&lt;&gt;""),OR(_LockStatus="已锁仓",_LockStatus="解锁信息不完整")),"违规：锁仓期间禁止加仓",IF(AQ33&gt;C33*D33,"违规：超过单笔风险上限",IF(SUM($AQ$2:$AQ$201)&gt;账户数据!$B$7,"违规：超过账户风险上限","通过")))))))))</f>
        <v/>
      </c>
    </row>
    <row r="34">
      <c r="A34" s="2" t="n">
        <v>33</v>
      </c>
      <c r="B34" s="2" t="inlineStr">
        <is>
          <t>沪电股份</t>
        </is>
      </c>
      <c r="C34" s="40" t="n">
        <v>131681</v>
      </c>
      <c r="D34" s="6" t="n">
        <v>0.02</v>
      </c>
      <c r="E34" s="40" t="n">
        <v>12.13</v>
      </c>
      <c r="F34" s="8">
        <f>IF(OR(C34="",D34="",E34="",N34="",C34&lt;=0,D34&lt;=0,E34&lt;=N34),"",ROUNDDOWN((C34*D34)/(E34-N34)/100,0)*100)</f>
        <v/>
      </c>
      <c r="G34" s="8">
        <f>IF(A34="","",IF(H34&lt;&gt;"","已开仓",IF(账户数据!$B$23="已锁仓","禁止开仓：连续亏损达到上限",IF(账户数据!$B$23="解锁信息不完整","禁止开仓：请完整填写解锁信息",IF(OR(F34="",E34="",N34="",E34&lt;=N34,账户数据!$B$7=""),"",IF(OR(AG34="",AH34="",AI34=""),"禁止开仓：交易预期未填写完整",IF(COUNTIFS(持仓跟踪!$A$2:$A$501,"止损计划",持仓跟踪!$B$2:$B$501,A34,持仓跟踪!$AC$2:$AC$501,"计划有效")=0,"禁止开仓：请先填写止损计划",IF(账户数据!$B$9+F34*(E34-N34)&gt;=账户数据!$B$7,"禁止开仓：风险额度不足",IF(AJ34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4" s="2" t="n">
        <v>2800</v>
      </c>
      <c r="I34" s="41" t="n">
        <v>44385</v>
      </c>
      <c r="J34" s="40" t="n">
        <v>13</v>
      </c>
      <c r="K34" s="40" t="n">
        <v>11.09</v>
      </c>
      <c r="L34" s="8">
        <f>IF(K34="","",H34)</f>
        <v/>
      </c>
      <c r="M34" s="41" t="n">
        <v>44396</v>
      </c>
      <c r="N34" s="40" t="n">
        <v>11.2</v>
      </c>
      <c r="O34" s="40" t="n"/>
      <c r="P34" s="40" t="n"/>
      <c r="Q34" s="2" t="n"/>
      <c r="R34" s="2" t="n"/>
      <c r="S34" s="2" t="n"/>
      <c r="T34" s="2" t="n"/>
      <c r="U34" s="7">
        <f>IF(OR(AO34="",J34="",AO34&lt;=0),"",(J34-AO34)/AO34)</f>
        <v/>
      </c>
      <c r="V34" s="7">
        <f>IF(OR(AO34="",N34="",AO34&lt;=0),"",(AO34-N34)/AO34)</f>
        <v/>
      </c>
      <c r="W34" s="13">
        <f>IF(OR(U34="",V34="",V34&lt;=0),"",U34/V34)</f>
        <v/>
      </c>
      <c r="X34" s="42">
        <f>IF(OR(K34="",L34="",AP34=""),"",K34*L34-(E34*H34+IF(AND(AK34&lt;&gt;"",AL34&lt;&gt;""),AK34*AL34,0)+IF(AND(AM34&lt;&gt;"",AN34&lt;&gt;""),AM34*AN34,0))-IF(O34="",0,O34)-IF(P34="",0,P34))</f>
        <v/>
      </c>
      <c r="Y34" s="7">
        <f>IF(OR(X34="",AP34=""),"",IF((E34*H34+IF(AND(AK34&lt;&gt;"",AL34&lt;&gt;""),AK34*AL34,0)+IF(AND(AM34&lt;&gt;"",AN34&lt;&gt;""),AM34*AN34,0))+IF(O34="",0,O34)&lt;=0,"",X34/((E34*H34+IF(AND(AK34&lt;&gt;"",AL34&lt;&gt;""),AK34*AL34,0)+IF(AND(AM34&lt;&gt;"",AN34&lt;&gt;""),AM34*AN34,0))+IF(O34="",0,O34))))</f>
        <v/>
      </c>
      <c r="Z34" s="7">
        <f>IF(OR(AE34="",多次统计数据!$B$8=""),"",AE34-多次统计数据!$B$8)</f>
        <v/>
      </c>
      <c r="AA34" s="14">
        <f>IF(OR(I34="",M34="",M34&lt;I34),"",M34-I34)</f>
        <v/>
      </c>
      <c r="AB34" s="7">
        <f>IF(OR(A34="",多次统计数据!$B$8="",多次统计数据!$B$6&lt;=0,多次统计数据!$B$6&gt;=1),"",1-POWER(1+多次统计数据!$B$8,-多次统计数据!$B$6/(1-多次统计数据!$B$6)))</f>
        <v/>
      </c>
      <c r="AC34" s="8">
        <f>IF(OR(AB34="",多次统计数据!$B$9=""),"",IF(多次统计数据!$B$9&lt;AB34,"低于上限","达到或超过上限"))</f>
        <v/>
      </c>
      <c r="AD34" s="2" t="n"/>
      <c r="AE34" s="7">
        <f>IF(OR(X34="",C34="",C34&lt;=0),"",X34/C34)</f>
        <v/>
      </c>
      <c r="AG34" s="28" t="n"/>
      <c r="AH34" s="28" t="n"/>
      <c r="AI34" s="28" t="n"/>
      <c r="AJ34" s="31">
        <f>IF(OR(AG34="",AH34=""),"",IF(OR(AND(AG34="短期博反弹",OR(AH34="1～3个交易日",AH34="4～10个交易日")),AND(AG34="突破冲新高",OR(AH34="4～10个交易日",AH34="11～20个交易日")),AND(AG34="趋势波段",OR(AH34="11～20个交易日",AH34="21～60个交易日",AH34="60个交易日以上"))),"匹配","周期与交易预期不匹配，请重新确认"))</f>
        <v/>
      </c>
      <c r="AK34" s="43" t="n"/>
      <c r="AL34" s="27" t="n"/>
      <c r="AM34" s="43" t="n"/>
      <c r="AN34" s="27" t="n"/>
      <c r="AO34" s="44">
        <f>IF(OR(A34="",H34="",H34&lt;=0),"",(E34*H34+IF(AND(AK34&lt;&gt;"",AL34&lt;&gt;""),AK34*AL34,0)+IF(AND(AM34&lt;&gt;"",AN34&lt;&gt;""),AM34*AN34,0))/AP34)</f>
        <v/>
      </c>
      <c r="AP34" s="26">
        <f>IF(OR(A34="",H34="",H34&lt;=0),"",H34+IF(AL34="",0,AL34)+IF(AN34="",0,AN34))</f>
        <v/>
      </c>
      <c r="AQ34" s="44">
        <f>IF(A34="","",IF(M34&lt;&gt;"",0,IF(OR(H34="",N34=""),"",MAX(E34-MAX(N34,IFERROR(AGGREGATE(14,6,'持仓跟踪'!$S$2:$S$501/(('持仓跟踪'!$A$2:$A$501="每日跟踪")*('持仓跟踪'!$B$2:$B$501=A34)),1),0)),0)*H34+IF(OR(AK34="",AL34=""),0,MAX(AK34-MAX(N34,IFERROR(AGGREGATE(14,6,'持仓跟踪'!$S$2:$S$501/(('持仓跟踪'!$A$2:$A$501="每日跟踪")*('持仓跟踪'!$B$2:$B$501=A34)),1),0)),0)*AL34)+IF(OR(AM34="",AN34=""),0,MAX(AM34-MAX(N34,IFERROR(AGGREGATE(14,6,'持仓跟踪'!$S$2:$S$501/(('持仓跟踪'!$A$2:$A$501="每日跟踪")*('持仓跟踪'!$B$2:$B$501=A34)),1),0)),0)*AN34))))</f>
        <v/>
      </c>
      <c r="AR34" s="31">
        <f>IF(A34="","",IF(OR(E34="",H34=""),"违规：第一批价格或股数缺失",IF(OR(AND(AK34="",AL34&lt;&gt;""),AND(AK34&lt;&gt;"",AL34="")),"违规：第二批价格与股数须成对填写",IF(OR(AND(AM34="",AN34&lt;&gt;""),AND(AM34&lt;&gt;"",AN34="")),"违规：第三批价格与股数须成对填写",IF(AND(OR(AM34&lt;&gt;"",AN34&lt;&gt;""),OR(AK34="",AL34="")),"违规：必须先完成第二批",IF(OR(H34&lt;=0,H34&lt;&gt;INT(H34),MOD(H34,100)&lt;&gt;0,AND(AL34&lt;&gt;"",OR(AL34&lt;=0,AL34&lt;&gt;INT(AL34),MOD(AL34,100)&lt;&gt;0)),AND(AN34&lt;&gt;"",OR(AN34&lt;=0,AN34&lt;&gt;INT(AN34),MOD(AN34,100)&lt;&gt;0))),"违规：股数须为100股整数倍",IF(AND(OR(AL34&lt;&gt;"",AN34&lt;&gt;""),OR(_LockStatus="已锁仓",_LockStatus="解锁信息不完整")),"违规：锁仓期间禁止加仓",IF(AQ34&gt;C34*D34,"违规：超过单笔风险上限",IF(SUM($AQ$2:$AQ$201)&gt;账户数据!$B$7,"违规：超过账户风险上限","通过")))))))))</f>
        <v/>
      </c>
    </row>
    <row r="35">
      <c r="A35" s="2" t="n">
        <v>34</v>
      </c>
      <c r="B35" s="2" t="inlineStr">
        <is>
          <t>沪电股份</t>
        </is>
      </c>
      <c r="C35" s="40" t="n">
        <v>128769</v>
      </c>
      <c r="D35" s="6" t="n">
        <v>0.02</v>
      </c>
      <c r="E35" s="40" t="n">
        <v>11.08</v>
      </c>
      <c r="F35" s="8">
        <f>IF(OR(C35="",D35="",E35="",N35="",C35&lt;=0,D35&lt;=0,E35&lt;=N35),"",ROUNDDOWN((C35*D35)/(E35-N35)/100,0)*100)</f>
        <v/>
      </c>
      <c r="G35" s="8">
        <f>IF(A35="","",IF(H35&lt;&gt;"","已开仓",IF(账户数据!$B$23="已锁仓","禁止开仓：连续亏损达到上限",IF(账户数据!$B$23="解锁信息不完整","禁止开仓：请完整填写解锁信息",IF(OR(F35="",E35="",N35="",E35&lt;=N35,账户数据!$B$7=""),"",IF(OR(AG35="",AH35="",AI35=""),"禁止开仓：交易预期未填写完整",IF(COUNTIFS(持仓跟踪!$A$2:$A$501,"止损计划",持仓跟踪!$B$2:$B$501,A35,持仓跟踪!$AC$2:$AC$501,"计划有效")=0,"禁止开仓：请先填写止损计划",IF(账户数据!$B$9+F35*(E35-N35)&gt;=账户数据!$B$7,"禁止开仓：风险额度不足",IF(AJ35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5" s="2" t="n">
        <v>4400</v>
      </c>
      <c r="I35" s="41" t="n">
        <v>44405</v>
      </c>
      <c r="J35" s="40" t="n">
        <v>12.36</v>
      </c>
      <c r="K35" s="40" t="n">
        <v>11.36</v>
      </c>
      <c r="L35" s="8">
        <f>IF(K35="","",H35)</f>
        <v/>
      </c>
      <c r="M35" s="41" t="n">
        <v>44406</v>
      </c>
      <c r="N35" s="40" t="n">
        <v>10.5</v>
      </c>
      <c r="O35" s="40" t="n"/>
      <c r="P35" s="40" t="n"/>
      <c r="Q35" s="2" t="n"/>
      <c r="R35" s="2" t="n"/>
      <c r="S35" s="2" t="n"/>
      <c r="T35" s="2" t="n"/>
      <c r="U35" s="7">
        <f>IF(OR(AO35="",J35="",AO35&lt;=0),"",(J35-AO35)/AO35)</f>
        <v/>
      </c>
      <c r="V35" s="7">
        <f>IF(OR(AO35="",N35="",AO35&lt;=0),"",(AO35-N35)/AO35)</f>
        <v/>
      </c>
      <c r="W35" s="13">
        <f>IF(OR(U35="",V35="",V35&lt;=0),"",U35/V35)</f>
        <v/>
      </c>
      <c r="X35" s="42">
        <f>IF(OR(K35="",L35="",AP35=""),"",K35*L35-(E35*H35+IF(AND(AK35&lt;&gt;"",AL35&lt;&gt;""),AK35*AL35,0)+IF(AND(AM35&lt;&gt;"",AN35&lt;&gt;""),AM35*AN35,0))-IF(O35="",0,O35)-IF(P35="",0,P35))</f>
        <v/>
      </c>
      <c r="Y35" s="7">
        <f>IF(OR(X35="",AP35=""),"",IF((E35*H35+IF(AND(AK35&lt;&gt;"",AL35&lt;&gt;""),AK35*AL35,0)+IF(AND(AM35&lt;&gt;"",AN35&lt;&gt;""),AM35*AN35,0))+IF(O35="",0,O35)&lt;=0,"",X35/((E35*H35+IF(AND(AK35&lt;&gt;"",AL35&lt;&gt;""),AK35*AL35,0)+IF(AND(AM35&lt;&gt;"",AN35&lt;&gt;""),AM35*AN35,0))+IF(O35="",0,O35))))</f>
        <v/>
      </c>
      <c r="Z35" s="7">
        <f>IF(OR(AE35="",多次统计数据!$B$8=""),"",AE35-多次统计数据!$B$8)</f>
        <v/>
      </c>
      <c r="AA35" s="14">
        <f>IF(OR(I35="",M35="",M35&lt;I35),"",M35-I35)</f>
        <v/>
      </c>
      <c r="AB35" s="7">
        <f>IF(OR(A35="",多次统计数据!$B$8="",多次统计数据!$B$6&lt;=0,多次统计数据!$B$6&gt;=1),"",1-POWER(1+多次统计数据!$B$8,-多次统计数据!$B$6/(1-多次统计数据!$B$6)))</f>
        <v/>
      </c>
      <c r="AC35" s="8">
        <f>IF(OR(AB35="",多次统计数据!$B$9=""),"",IF(多次统计数据!$B$9&lt;AB35,"低于上限","达到或超过上限"))</f>
        <v/>
      </c>
      <c r="AD35" s="2" t="n"/>
      <c r="AE35" s="7">
        <f>IF(OR(X35="",C35="",C35&lt;=0),"",X35/C35)</f>
        <v/>
      </c>
      <c r="AG35" s="28" t="n"/>
      <c r="AH35" s="28" t="n"/>
      <c r="AI35" s="28" t="n"/>
      <c r="AJ35" s="31">
        <f>IF(OR(AG35="",AH35=""),"",IF(OR(AND(AG35="短期博反弹",OR(AH35="1～3个交易日",AH35="4～10个交易日")),AND(AG35="突破冲新高",OR(AH35="4～10个交易日",AH35="11～20个交易日")),AND(AG35="趋势波段",OR(AH35="11～20个交易日",AH35="21～60个交易日",AH35="60个交易日以上"))),"匹配","周期与交易预期不匹配，请重新确认"))</f>
        <v/>
      </c>
      <c r="AK35" s="43" t="n"/>
      <c r="AL35" s="27" t="n"/>
      <c r="AM35" s="43" t="n"/>
      <c r="AN35" s="27" t="n"/>
      <c r="AO35" s="44">
        <f>IF(OR(A35="",H35="",H35&lt;=0),"",(E35*H35+IF(AND(AK35&lt;&gt;"",AL35&lt;&gt;""),AK35*AL35,0)+IF(AND(AM35&lt;&gt;"",AN35&lt;&gt;""),AM35*AN35,0))/AP35)</f>
        <v/>
      </c>
      <c r="AP35" s="26">
        <f>IF(OR(A35="",H35="",H35&lt;=0),"",H35+IF(AL35="",0,AL35)+IF(AN35="",0,AN35))</f>
        <v/>
      </c>
      <c r="AQ35" s="44">
        <f>IF(A35="","",IF(M35&lt;&gt;"",0,IF(OR(H35="",N35=""),"",MAX(E35-MAX(N35,IFERROR(AGGREGATE(14,6,'持仓跟踪'!$S$2:$S$501/(('持仓跟踪'!$A$2:$A$501="每日跟踪")*('持仓跟踪'!$B$2:$B$501=A35)),1),0)),0)*H35+IF(OR(AK35="",AL35=""),0,MAX(AK35-MAX(N35,IFERROR(AGGREGATE(14,6,'持仓跟踪'!$S$2:$S$501/(('持仓跟踪'!$A$2:$A$501="每日跟踪")*('持仓跟踪'!$B$2:$B$501=A35)),1),0)),0)*AL35)+IF(OR(AM35="",AN35=""),0,MAX(AM35-MAX(N35,IFERROR(AGGREGATE(14,6,'持仓跟踪'!$S$2:$S$501/(('持仓跟踪'!$A$2:$A$501="每日跟踪")*('持仓跟踪'!$B$2:$B$501=A35)),1),0)),0)*AN35))))</f>
        <v/>
      </c>
      <c r="AR35" s="31">
        <f>IF(A35="","",IF(OR(E35="",H35=""),"违规：第一批价格或股数缺失",IF(OR(AND(AK35="",AL35&lt;&gt;""),AND(AK35&lt;&gt;"",AL35="")),"违规：第二批价格与股数须成对填写",IF(OR(AND(AM35="",AN35&lt;&gt;""),AND(AM35&lt;&gt;"",AN35="")),"违规：第三批价格与股数须成对填写",IF(AND(OR(AM35&lt;&gt;"",AN35&lt;&gt;""),OR(AK35="",AL35="")),"违规：必须先完成第二批",IF(OR(H35&lt;=0,H35&lt;&gt;INT(H35),MOD(H35,100)&lt;&gt;0,AND(AL35&lt;&gt;"",OR(AL35&lt;=0,AL35&lt;&gt;INT(AL35),MOD(AL35,100)&lt;&gt;0)),AND(AN35&lt;&gt;"",OR(AN35&lt;=0,AN35&lt;&gt;INT(AN35),MOD(AN35,100)&lt;&gt;0))),"违规：股数须为100股整数倍",IF(AND(OR(AL35&lt;&gt;"",AN35&lt;&gt;""),OR(_LockStatus="已锁仓",_LockStatus="解锁信息不完整")),"违规：锁仓期间禁止加仓",IF(AQ35&gt;C35*D35,"违规：超过单笔风险上限",IF(SUM($AQ$2:$AQ$201)&gt;账户数据!$B$7,"违规：超过账户风险上限","通过")))))))))</f>
        <v/>
      </c>
    </row>
    <row r="36">
      <c r="A36" s="2" t="n">
        <v>35</v>
      </c>
      <c r="B36" s="2" t="inlineStr">
        <is>
          <t>沪电股份</t>
        </is>
      </c>
      <c r="C36" s="40" t="n">
        <v>130001</v>
      </c>
      <c r="D36" s="6" t="n">
        <v>0.02</v>
      </c>
      <c r="E36" s="40" t="n">
        <v>8.380000000000001</v>
      </c>
      <c r="F36" s="8">
        <f>IF(OR(C36="",D36="",E36="",N36="",C36&lt;=0,D36&lt;=0,E36&lt;=N36),"",ROUNDDOWN((C36*D36)/(E36-N36)/100,0)*100)</f>
        <v/>
      </c>
      <c r="G36" s="8">
        <f>IF(A36="","",IF(H36&lt;&gt;"","已开仓",IF(账户数据!$B$23="已锁仓","禁止开仓：连续亏损达到上限",IF(账户数据!$B$23="解锁信息不完整","禁止开仓：请完整填写解锁信息",IF(OR(F36="",E36="",N36="",E36&lt;=N36,账户数据!$B$7=""),"",IF(OR(AG36="",AH36="",AI36=""),"禁止开仓：交易预期未填写完整",IF(COUNTIFS(持仓跟踪!$A$2:$A$501,"止损计划",持仓跟踪!$B$2:$B$501,A36,持仓跟踪!$AC$2:$AC$501,"计划有效")=0,"禁止开仓：请先填写止损计划",IF(账户数据!$B$9+F36*(E36-N36)&gt;=账户数据!$B$7,"禁止开仓：风险额度不足",IF(AJ36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6" s="2" t="n">
        <v>6800</v>
      </c>
      <c r="I36" s="41" t="n">
        <v>44496</v>
      </c>
      <c r="J36" s="40" t="n">
        <v>9.449999999999999</v>
      </c>
      <c r="K36" s="40" t="n">
        <v>9.800000000000001</v>
      </c>
      <c r="L36" s="8">
        <f>IF(K36="","",H36)</f>
        <v/>
      </c>
      <c r="M36" s="41" t="n">
        <v>44508</v>
      </c>
      <c r="N36" s="40" t="n">
        <v>8</v>
      </c>
      <c r="O36" s="40" t="n"/>
      <c r="P36" s="40" t="n"/>
      <c r="Q36" s="2" t="n"/>
      <c r="R36" s="2" t="n"/>
      <c r="S36" s="2" t="n"/>
      <c r="T36" s="2" t="n"/>
      <c r="U36" s="7">
        <f>IF(OR(AO36="",J36="",AO36&lt;=0),"",(J36-AO36)/AO36)</f>
        <v/>
      </c>
      <c r="V36" s="7">
        <f>IF(OR(AO36="",N36="",AO36&lt;=0),"",(AO36-N36)/AO36)</f>
        <v/>
      </c>
      <c r="W36" s="13">
        <f>IF(OR(U36="",V36="",V36&lt;=0),"",U36/V36)</f>
        <v/>
      </c>
      <c r="X36" s="42">
        <f>IF(OR(K36="",L36="",AP36=""),"",K36*L36-(E36*H36+IF(AND(AK36&lt;&gt;"",AL36&lt;&gt;""),AK36*AL36,0)+IF(AND(AM36&lt;&gt;"",AN36&lt;&gt;""),AM36*AN36,0))-IF(O36="",0,O36)-IF(P36="",0,P36))</f>
        <v/>
      </c>
      <c r="Y36" s="7">
        <f>IF(OR(X36="",AP36=""),"",IF((E36*H36+IF(AND(AK36&lt;&gt;"",AL36&lt;&gt;""),AK36*AL36,0)+IF(AND(AM36&lt;&gt;"",AN36&lt;&gt;""),AM36*AN36,0))+IF(O36="",0,O36)&lt;=0,"",X36/((E36*H36+IF(AND(AK36&lt;&gt;"",AL36&lt;&gt;""),AK36*AL36,0)+IF(AND(AM36&lt;&gt;"",AN36&lt;&gt;""),AM36*AN36,0))+IF(O36="",0,O36))))</f>
        <v/>
      </c>
      <c r="Z36" s="7">
        <f>IF(OR(AE36="",多次统计数据!$B$8=""),"",AE36-多次统计数据!$B$8)</f>
        <v/>
      </c>
      <c r="AA36" s="14">
        <f>IF(OR(I36="",M36="",M36&lt;I36),"",M36-I36)</f>
        <v/>
      </c>
      <c r="AB36" s="7">
        <f>IF(OR(A36="",多次统计数据!$B$8="",多次统计数据!$B$6&lt;=0,多次统计数据!$B$6&gt;=1),"",1-POWER(1+多次统计数据!$B$8,-多次统计数据!$B$6/(1-多次统计数据!$B$6)))</f>
        <v/>
      </c>
      <c r="AC36" s="8">
        <f>IF(OR(AB36="",多次统计数据!$B$9=""),"",IF(多次统计数据!$B$9&lt;AB36,"低于上限","达到或超过上限"))</f>
        <v/>
      </c>
      <c r="AD36" s="2" t="n"/>
      <c r="AE36" s="7">
        <f>IF(OR(X36="",C36="",C36&lt;=0),"",X36/C36)</f>
        <v/>
      </c>
      <c r="AG36" s="28" t="n"/>
      <c r="AH36" s="28" t="n"/>
      <c r="AI36" s="28" t="n"/>
      <c r="AJ36" s="31">
        <f>IF(OR(AG36="",AH36=""),"",IF(OR(AND(AG36="短期博反弹",OR(AH36="1～3个交易日",AH36="4～10个交易日")),AND(AG36="突破冲新高",OR(AH36="4～10个交易日",AH36="11～20个交易日")),AND(AG36="趋势波段",OR(AH36="11～20个交易日",AH36="21～60个交易日",AH36="60个交易日以上"))),"匹配","周期与交易预期不匹配，请重新确认"))</f>
        <v/>
      </c>
      <c r="AK36" s="43" t="n"/>
      <c r="AL36" s="27" t="n"/>
      <c r="AM36" s="43" t="n"/>
      <c r="AN36" s="27" t="n"/>
      <c r="AO36" s="44">
        <f>IF(OR(A36="",H36="",H36&lt;=0),"",(E36*H36+IF(AND(AK36&lt;&gt;"",AL36&lt;&gt;""),AK36*AL36,0)+IF(AND(AM36&lt;&gt;"",AN36&lt;&gt;""),AM36*AN36,0))/AP36)</f>
        <v/>
      </c>
      <c r="AP36" s="26">
        <f>IF(OR(A36="",H36="",H36&lt;=0),"",H36+IF(AL36="",0,AL36)+IF(AN36="",0,AN36))</f>
        <v/>
      </c>
      <c r="AQ36" s="44">
        <f>IF(A36="","",IF(M36&lt;&gt;"",0,IF(OR(H36="",N36=""),"",MAX(E36-MAX(N36,IFERROR(AGGREGATE(14,6,'持仓跟踪'!$S$2:$S$501/(('持仓跟踪'!$A$2:$A$501="每日跟踪")*('持仓跟踪'!$B$2:$B$501=A36)),1),0)),0)*H36+IF(OR(AK36="",AL36=""),0,MAX(AK36-MAX(N36,IFERROR(AGGREGATE(14,6,'持仓跟踪'!$S$2:$S$501/(('持仓跟踪'!$A$2:$A$501="每日跟踪")*('持仓跟踪'!$B$2:$B$501=A36)),1),0)),0)*AL36)+IF(OR(AM36="",AN36=""),0,MAX(AM36-MAX(N36,IFERROR(AGGREGATE(14,6,'持仓跟踪'!$S$2:$S$501/(('持仓跟踪'!$A$2:$A$501="每日跟踪")*('持仓跟踪'!$B$2:$B$501=A36)),1),0)),0)*AN36))))</f>
        <v/>
      </c>
      <c r="AR36" s="31">
        <f>IF(A36="","",IF(OR(E36="",H36=""),"违规：第一批价格或股数缺失",IF(OR(AND(AK36="",AL36&lt;&gt;""),AND(AK36&lt;&gt;"",AL36="")),"违规：第二批价格与股数须成对填写",IF(OR(AND(AM36="",AN36&lt;&gt;""),AND(AM36&lt;&gt;"",AN36="")),"违规：第三批价格与股数须成对填写",IF(AND(OR(AM36&lt;&gt;"",AN36&lt;&gt;""),OR(AK36="",AL36="")),"违规：必须先完成第二批",IF(OR(H36&lt;=0,H36&lt;&gt;INT(H36),MOD(H36,100)&lt;&gt;0,AND(AL36&lt;&gt;"",OR(AL36&lt;=0,AL36&lt;&gt;INT(AL36),MOD(AL36,100)&lt;&gt;0)),AND(AN36&lt;&gt;"",OR(AN36&lt;=0,AN36&lt;&gt;INT(AN36),MOD(AN36,100)&lt;&gt;0))),"违规：股数须为100股整数倍",IF(AND(OR(AL36&lt;&gt;"",AN36&lt;&gt;""),OR(_LockStatus="已锁仓",_LockStatus="解锁信息不完整")),"违规：锁仓期间禁止加仓",IF(AQ36&gt;C36*D36,"违规：超过单笔风险上限",IF(SUM($AQ$2:$AQ$201)&gt;账户数据!$B$7,"违规：超过账户风险上限","通过")))))))))</f>
        <v/>
      </c>
    </row>
    <row r="37">
      <c r="A37" s="2" t="n">
        <v>36</v>
      </c>
      <c r="B37" s="2" t="inlineStr">
        <is>
          <t>沪电股份</t>
        </is>
      </c>
      <c r="C37" s="40" t="n">
        <v>139657</v>
      </c>
      <c r="D37" s="6" t="n">
        <v>0.02</v>
      </c>
      <c r="E37" s="40" t="n">
        <v>15.16</v>
      </c>
      <c r="F37" s="8">
        <f>IF(OR(C37="",D37="",E37="",N37="",C37&lt;=0,D37&lt;=0,E37&lt;=N37),"",ROUNDDOWN((C37*D37)/(E37-N37)/100,0)*100)</f>
        <v/>
      </c>
      <c r="G37" s="8">
        <f>IF(A37="","",IF(H37&lt;&gt;"","已开仓",IF(账户数据!$B$23="已锁仓","禁止开仓：连续亏损达到上限",IF(账户数据!$B$23="解锁信息不完整","禁止开仓：请完整填写解锁信息",IF(OR(F37="",E37="",N37="",E37&lt;=N37,账户数据!$B$7=""),"",IF(OR(AG37="",AH37="",AI37=""),"禁止开仓：交易预期未填写完整",IF(COUNTIFS(持仓跟踪!$A$2:$A$501,"止损计划",持仓跟踪!$B$2:$B$501,A37,持仓跟踪!$AC$2:$AC$501,"计划有效")=0,"禁止开仓：请先填写止损计划",IF(账户数据!$B$9+F37*(E37-N37)&gt;=账户数据!$B$7,"禁止开仓：风险额度不足",IF(AJ37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7" s="2" t="n">
        <v>2400</v>
      </c>
      <c r="I37" s="41" t="n">
        <v>44553</v>
      </c>
      <c r="J37" s="40" t="n">
        <v>18</v>
      </c>
      <c r="K37" s="40" t="n">
        <v>13.4</v>
      </c>
      <c r="L37" s="8">
        <f>IF(K37="","",H37)</f>
        <v/>
      </c>
      <c r="M37" s="41" t="n">
        <v>44568</v>
      </c>
      <c r="N37" s="40" t="n">
        <v>14</v>
      </c>
      <c r="O37" s="40" t="n"/>
      <c r="P37" s="40" t="n"/>
      <c r="Q37" s="2" t="n"/>
      <c r="R37" s="2" t="n"/>
      <c r="S37" s="2" t="n"/>
      <c r="T37" s="2" t="n"/>
      <c r="U37" s="7">
        <f>IF(OR(AO37="",J37="",AO37&lt;=0),"",(J37-AO37)/AO37)</f>
        <v/>
      </c>
      <c r="V37" s="7">
        <f>IF(OR(AO37="",N37="",AO37&lt;=0),"",(AO37-N37)/AO37)</f>
        <v/>
      </c>
      <c r="W37" s="13">
        <f>IF(OR(U37="",V37="",V37&lt;=0),"",U37/V37)</f>
        <v/>
      </c>
      <c r="X37" s="42">
        <f>IF(OR(K37="",L37="",AP37=""),"",K37*L37-(E37*H37+IF(AND(AK37&lt;&gt;"",AL37&lt;&gt;""),AK37*AL37,0)+IF(AND(AM37&lt;&gt;"",AN37&lt;&gt;""),AM37*AN37,0))-IF(O37="",0,O37)-IF(P37="",0,P37))</f>
        <v/>
      </c>
      <c r="Y37" s="7">
        <f>IF(OR(X37="",AP37=""),"",IF((E37*H37+IF(AND(AK37&lt;&gt;"",AL37&lt;&gt;""),AK37*AL37,0)+IF(AND(AM37&lt;&gt;"",AN37&lt;&gt;""),AM37*AN37,0))+IF(O37="",0,O37)&lt;=0,"",X37/((E37*H37+IF(AND(AK37&lt;&gt;"",AL37&lt;&gt;""),AK37*AL37,0)+IF(AND(AM37&lt;&gt;"",AN37&lt;&gt;""),AM37*AN37,0))+IF(O37="",0,O37))))</f>
        <v/>
      </c>
      <c r="Z37" s="7">
        <f>IF(OR(AE37="",多次统计数据!$B$8=""),"",AE37-多次统计数据!$B$8)</f>
        <v/>
      </c>
      <c r="AA37" s="14">
        <f>IF(OR(I37="",M37="",M37&lt;I37),"",M37-I37)</f>
        <v/>
      </c>
      <c r="AB37" s="7">
        <f>IF(OR(A37="",多次统计数据!$B$8="",多次统计数据!$B$6&lt;=0,多次统计数据!$B$6&gt;=1),"",1-POWER(1+多次统计数据!$B$8,-多次统计数据!$B$6/(1-多次统计数据!$B$6)))</f>
        <v/>
      </c>
      <c r="AC37" s="8">
        <f>IF(OR(AB37="",多次统计数据!$B$9=""),"",IF(多次统计数据!$B$9&lt;AB37,"低于上限","达到或超过上限"))</f>
        <v/>
      </c>
      <c r="AD37" s="2" t="n"/>
      <c r="AE37" s="7">
        <f>IF(OR(X37="",C37="",C37&lt;=0),"",X37/C37)</f>
        <v/>
      </c>
      <c r="AG37" s="28" t="n"/>
      <c r="AH37" s="28" t="n"/>
      <c r="AI37" s="28" t="n"/>
      <c r="AJ37" s="31">
        <f>IF(OR(AG37="",AH37=""),"",IF(OR(AND(AG37="短期博反弹",OR(AH37="1～3个交易日",AH37="4～10个交易日")),AND(AG37="突破冲新高",OR(AH37="4～10个交易日",AH37="11～20个交易日")),AND(AG37="趋势波段",OR(AH37="11～20个交易日",AH37="21～60个交易日",AH37="60个交易日以上"))),"匹配","周期与交易预期不匹配，请重新确认"))</f>
        <v/>
      </c>
      <c r="AK37" s="43" t="n"/>
      <c r="AL37" s="27" t="n"/>
      <c r="AM37" s="43" t="n"/>
      <c r="AN37" s="27" t="n"/>
      <c r="AO37" s="44">
        <f>IF(OR(A37="",H37="",H37&lt;=0),"",(E37*H37+IF(AND(AK37&lt;&gt;"",AL37&lt;&gt;""),AK37*AL37,0)+IF(AND(AM37&lt;&gt;"",AN37&lt;&gt;""),AM37*AN37,0))/AP37)</f>
        <v/>
      </c>
      <c r="AP37" s="26">
        <f>IF(OR(A37="",H37="",H37&lt;=0),"",H37+IF(AL37="",0,AL37)+IF(AN37="",0,AN37))</f>
        <v/>
      </c>
      <c r="AQ37" s="44">
        <f>IF(A37="","",IF(M37&lt;&gt;"",0,IF(OR(H37="",N37=""),"",MAX(E37-MAX(N37,IFERROR(AGGREGATE(14,6,'持仓跟踪'!$S$2:$S$501/(('持仓跟踪'!$A$2:$A$501="每日跟踪")*('持仓跟踪'!$B$2:$B$501=A37)),1),0)),0)*H37+IF(OR(AK37="",AL37=""),0,MAX(AK37-MAX(N37,IFERROR(AGGREGATE(14,6,'持仓跟踪'!$S$2:$S$501/(('持仓跟踪'!$A$2:$A$501="每日跟踪")*('持仓跟踪'!$B$2:$B$501=A37)),1),0)),0)*AL37)+IF(OR(AM37="",AN37=""),0,MAX(AM37-MAX(N37,IFERROR(AGGREGATE(14,6,'持仓跟踪'!$S$2:$S$501/(('持仓跟踪'!$A$2:$A$501="每日跟踪")*('持仓跟踪'!$B$2:$B$501=A37)),1),0)),0)*AN37))))</f>
        <v/>
      </c>
      <c r="AR37" s="31">
        <f>IF(A37="","",IF(OR(E37="",H37=""),"违规：第一批价格或股数缺失",IF(OR(AND(AK37="",AL37&lt;&gt;""),AND(AK37&lt;&gt;"",AL37="")),"违规：第二批价格与股数须成对填写",IF(OR(AND(AM37="",AN37&lt;&gt;""),AND(AM37&lt;&gt;"",AN37="")),"违规：第三批价格与股数须成对填写",IF(AND(OR(AM37&lt;&gt;"",AN37&lt;&gt;""),OR(AK37="",AL37="")),"违规：必须先完成第二批",IF(OR(H37&lt;=0,H37&lt;&gt;INT(H37),MOD(H37,100)&lt;&gt;0,AND(AL37&lt;&gt;"",OR(AL37&lt;=0,AL37&lt;&gt;INT(AL37),MOD(AL37,100)&lt;&gt;0)),AND(AN37&lt;&gt;"",OR(AN37&lt;=0,AN37&lt;&gt;INT(AN37),MOD(AN37,100)&lt;&gt;0))),"违规：股数须为100股整数倍",IF(AND(OR(AL37&lt;&gt;"",AN37&lt;&gt;""),OR(_LockStatus="已锁仓",_LockStatus="解锁信息不完整")),"违规：锁仓期间禁止加仓",IF(AQ37&gt;C37*D37,"违规：超过单笔风险上限",IF(SUM($AQ$2:$AQ$201)&gt;账户数据!$B$7,"违规：超过账户风险上限","通过")))))))))</f>
        <v/>
      </c>
    </row>
    <row r="38">
      <c r="A38" s="2" t="n">
        <v>37</v>
      </c>
      <c r="B38" s="2" t="inlineStr">
        <is>
          <t>沪电股份</t>
        </is>
      </c>
      <c r="C38" s="40" t="n">
        <v>135433</v>
      </c>
      <c r="D38" s="6" t="n">
        <v>0.02</v>
      </c>
      <c r="E38" s="40" t="n">
        <v>12.17</v>
      </c>
      <c r="F38" s="8">
        <f>IF(OR(C38="",D38="",E38="",N38="",C38&lt;=0,D38&lt;=0,E38&lt;=N38),"",ROUNDDOWN((C38*D38)/(E38-N38)/100,0)*100)</f>
        <v/>
      </c>
      <c r="G38" s="8">
        <f>IF(A38="","",IF(H38&lt;&gt;"","已开仓",IF(账户数据!$B$23="已锁仓","禁止开仓：连续亏损达到上限",IF(账户数据!$B$23="解锁信息不完整","禁止开仓：请完整填写解锁信息",IF(OR(F38="",E38="",N38="",E38&lt;=N38,账户数据!$B$7=""),"",IF(OR(AG38="",AH38="",AI38=""),"禁止开仓：交易预期未填写完整",IF(COUNTIFS(持仓跟踪!$A$2:$A$501,"止损计划",持仓跟踪!$B$2:$B$501,A38,持仓跟踪!$AC$2:$AC$501,"计划有效")=0,"禁止开仓：请先填写止损计划",IF(账户数据!$B$9+F38*(E38-N38)&gt;=账户数据!$B$7,"禁止开仓：风险额度不足",IF(AJ38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8" s="2" t="n">
        <v>2700</v>
      </c>
      <c r="I38" s="41" t="n">
        <v>44641</v>
      </c>
      <c r="J38" s="40" t="n">
        <v>14</v>
      </c>
      <c r="K38" s="40" t="n">
        <v>9.49</v>
      </c>
      <c r="L38" s="8">
        <f>IF(K38="","",H38)</f>
        <v/>
      </c>
      <c r="M38" s="41" t="n">
        <v>44662</v>
      </c>
      <c r="N38" s="40" t="n">
        <v>11.2</v>
      </c>
      <c r="O38" s="40" t="n"/>
      <c r="P38" s="40" t="n"/>
      <c r="Q38" s="2" t="n"/>
      <c r="R38" s="2" t="n"/>
      <c r="S38" s="2" t="n"/>
      <c r="T38" s="2" t="n"/>
      <c r="U38" s="7">
        <f>IF(OR(AO38="",J38="",AO38&lt;=0),"",(J38-AO38)/AO38)</f>
        <v/>
      </c>
      <c r="V38" s="7">
        <f>IF(OR(AO38="",N38="",AO38&lt;=0),"",(AO38-N38)/AO38)</f>
        <v/>
      </c>
      <c r="W38" s="13">
        <f>IF(OR(U38="",V38="",V38&lt;=0),"",U38/V38)</f>
        <v/>
      </c>
      <c r="X38" s="42">
        <f>IF(OR(K38="",L38="",AP38=""),"",K38*L38-(E38*H38+IF(AND(AK38&lt;&gt;"",AL38&lt;&gt;""),AK38*AL38,0)+IF(AND(AM38&lt;&gt;"",AN38&lt;&gt;""),AM38*AN38,0))-IF(O38="",0,O38)-IF(P38="",0,P38))</f>
        <v/>
      </c>
      <c r="Y38" s="7">
        <f>IF(OR(X38="",AP38=""),"",IF((E38*H38+IF(AND(AK38&lt;&gt;"",AL38&lt;&gt;""),AK38*AL38,0)+IF(AND(AM38&lt;&gt;"",AN38&lt;&gt;""),AM38*AN38,0))+IF(O38="",0,O38)&lt;=0,"",X38/((E38*H38+IF(AND(AK38&lt;&gt;"",AL38&lt;&gt;""),AK38*AL38,0)+IF(AND(AM38&lt;&gt;"",AN38&lt;&gt;""),AM38*AN38,0))+IF(O38="",0,O38))))</f>
        <v/>
      </c>
      <c r="Z38" s="7">
        <f>IF(OR(AE38="",多次统计数据!$B$8=""),"",AE38-多次统计数据!$B$8)</f>
        <v/>
      </c>
      <c r="AA38" s="14">
        <f>IF(OR(I38="",M38="",M38&lt;I38),"",M38-I38)</f>
        <v/>
      </c>
      <c r="AB38" s="7">
        <f>IF(OR(A38="",多次统计数据!$B$8="",多次统计数据!$B$6&lt;=0,多次统计数据!$B$6&gt;=1),"",1-POWER(1+多次统计数据!$B$8,-多次统计数据!$B$6/(1-多次统计数据!$B$6)))</f>
        <v/>
      </c>
      <c r="AC38" s="8">
        <f>IF(OR(AB38="",多次统计数据!$B$9=""),"",IF(多次统计数据!$B$9&lt;AB38,"低于上限","达到或超过上限"))</f>
        <v/>
      </c>
      <c r="AD38" s="2" t="n"/>
      <c r="AE38" s="7">
        <f>IF(OR(X38="",C38="",C38&lt;=0),"",X38/C38)</f>
        <v/>
      </c>
      <c r="AF38" t="inlineStr">
        <is>
          <t>不遵守纪律</t>
        </is>
      </c>
      <c r="AG38" s="28" t="n"/>
      <c r="AH38" s="28" t="n"/>
      <c r="AI38" s="28" t="n"/>
      <c r="AJ38" s="31">
        <f>IF(OR(AG38="",AH38=""),"",IF(OR(AND(AG38="短期博反弹",OR(AH38="1～3个交易日",AH38="4～10个交易日")),AND(AG38="突破冲新高",OR(AH38="4～10个交易日",AH38="11～20个交易日")),AND(AG38="趋势波段",OR(AH38="11～20个交易日",AH38="21～60个交易日",AH38="60个交易日以上"))),"匹配","周期与交易预期不匹配，请重新确认"))</f>
        <v/>
      </c>
      <c r="AK38" s="43" t="n"/>
      <c r="AL38" s="27" t="n"/>
      <c r="AM38" s="43" t="n"/>
      <c r="AN38" s="27" t="n"/>
      <c r="AO38" s="44">
        <f>IF(OR(A38="",H38="",H38&lt;=0),"",(E38*H38+IF(AND(AK38&lt;&gt;"",AL38&lt;&gt;""),AK38*AL38,0)+IF(AND(AM38&lt;&gt;"",AN38&lt;&gt;""),AM38*AN38,0))/AP38)</f>
        <v/>
      </c>
      <c r="AP38" s="26">
        <f>IF(OR(A38="",H38="",H38&lt;=0),"",H38+IF(AL38="",0,AL38)+IF(AN38="",0,AN38))</f>
        <v/>
      </c>
      <c r="AQ38" s="44">
        <f>IF(A38="","",IF(M38&lt;&gt;"",0,IF(OR(H38="",N38=""),"",MAX(E38-MAX(N38,IFERROR(AGGREGATE(14,6,'持仓跟踪'!$S$2:$S$501/(('持仓跟踪'!$A$2:$A$501="每日跟踪")*('持仓跟踪'!$B$2:$B$501=A38)),1),0)),0)*H38+IF(OR(AK38="",AL38=""),0,MAX(AK38-MAX(N38,IFERROR(AGGREGATE(14,6,'持仓跟踪'!$S$2:$S$501/(('持仓跟踪'!$A$2:$A$501="每日跟踪")*('持仓跟踪'!$B$2:$B$501=A38)),1),0)),0)*AL38)+IF(OR(AM38="",AN38=""),0,MAX(AM38-MAX(N38,IFERROR(AGGREGATE(14,6,'持仓跟踪'!$S$2:$S$501/(('持仓跟踪'!$A$2:$A$501="每日跟踪")*('持仓跟踪'!$B$2:$B$501=A38)),1),0)),0)*AN38))))</f>
        <v/>
      </c>
      <c r="AR38" s="31">
        <f>IF(A38="","",IF(OR(E38="",H38=""),"违规：第一批价格或股数缺失",IF(OR(AND(AK38="",AL38&lt;&gt;""),AND(AK38&lt;&gt;"",AL38="")),"违规：第二批价格与股数须成对填写",IF(OR(AND(AM38="",AN38&lt;&gt;""),AND(AM38&lt;&gt;"",AN38="")),"违规：第三批价格与股数须成对填写",IF(AND(OR(AM38&lt;&gt;"",AN38&lt;&gt;""),OR(AK38="",AL38="")),"违规：必须先完成第二批",IF(OR(H38&lt;=0,H38&lt;&gt;INT(H38),MOD(H38,100)&lt;&gt;0,AND(AL38&lt;&gt;"",OR(AL38&lt;=0,AL38&lt;&gt;INT(AL38),MOD(AL38,100)&lt;&gt;0)),AND(AN38&lt;&gt;"",OR(AN38&lt;=0,AN38&lt;&gt;INT(AN38),MOD(AN38,100)&lt;&gt;0))),"违规：股数须为100股整数倍",IF(AND(OR(AL38&lt;&gt;"",AN38&lt;&gt;""),OR(_LockStatus="已锁仓",_LockStatus="解锁信息不完整")),"违规：锁仓期间禁止加仓",IF(AQ38&gt;C38*D38,"违规：超过单笔风险上限",IF(SUM($AQ$2:$AQ$201)&gt;账户数据!$B$7,"违规：超过账户风险上限","通过")))))))))</f>
        <v/>
      </c>
    </row>
    <row r="39">
      <c r="A39" s="2" t="n">
        <v>38</v>
      </c>
      <c r="B39" s="2" t="inlineStr">
        <is>
          <t>沪电股份</t>
        </is>
      </c>
      <c r="C39" s="40" t="n">
        <v>128197</v>
      </c>
      <c r="D39" s="6" t="n">
        <v>0.02</v>
      </c>
      <c r="E39" s="40" t="n">
        <v>10.45</v>
      </c>
      <c r="F39" s="8">
        <f>IF(OR(C39="",D39="",E39="",N39="",C39&lt;=0,D39&lt;=0,E39&lt;=N39),"",ROUNDDOWN((C39*D39)/(E39-N39)/100,0)*100)</f>
        <v/>
      </c>
      <c r="G39" s="8">
        <f>IF(A39="","",IF(H39&lt;&gt;"","已开仓",IF(账户数据!$B$23="已锁仓","禁止开仓：连续亏损达到上限",IF(账户数据!$B$23="解锁信息不完整","禁止开仓：请完整填写解锁信息",IF(OR(F39="",E39="",N39="",E39&lt;=N39,账户数据!$B$7=""),"",IF(OR(AG39="",AH39="",AI39=""),"禁止开仓：交易预期未填写完整",IF(COUNTIFS(持仓跟踪!$A$2:$A$501,"止损计划",持仓跟踪!$B$2:$B$501,A39,持仓跟踪!$AC$2:$AC$501,"计划有效")=0,"禁止开仓：请先填写止损计划",IF(账户数据!$B$9+F39*(E39-N39)&gt;=账户数据!$B$7,"禁止开仓：风险额度不足",IF(AJ39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39" s="2" t="n">
        <v>5600</v>
      </c>
      <c r="I39" s="41" t="n">
        <v>44670</v>
      </c>
      <c r="J39" s="40" t="n">
        <v>12</v>
      </c>
      <c r="K39" s="40" t="n">
        <v>9.279999999999999</v>
      </c>
      <c r="L39" s="8">
        <f>IF(K39="","",H39)</f>
        <v/>
      </c>
      <c r="M39" s="41" t="n">
        <v>44676</v>
      </c>
      <c r="N39" s="40" t="n">
        <v>10</v>
      </c>
      <c r="O39" s="40" t="n"/>
      <c r="P39" s="40" t="n"/>
      <c r="Q39" s="2" t="n"/>
      <c r="R39" s="2" t="n"/>
      <c r="S39" s="2" t="n"/>
      <c r="T39" s="2" t="n"/>
      <c r="U39" s="7">
        <f>IF(OR(AO39="",J39="",AO39&lt;=0),"",(J39-AO39)/AO39)</f>
        <v/>
      </c>
      <c r="V39" s="7">
        <f>IF(OR(AO39="",N39="",AO39&lt;=0),"",(AO39-N39)/AO39)</f>
        <v/>
      </c>
      <c r="W39" s="13">
        <f>IF(OR(U39="",V39="",V39&lt;=0),"",U39/V39)</f>
        <v/>
      </c>
      <c r="X39" s="42">
        <f>IF(OR(K39="",L39="",AP39=""),"",K39*L39-(E39*H39+IF(AND(AK39&lt;&gt;"",AL39&lt;&gt;""),AK39*AL39,0)+IF(AND(AM39&lt;&gt;"",AN39&lt;&gt;""),AM39*AN39,0))-IF(O39="",0,O39)-IF(P39="",0,P39))</f>
        <v/>
      </c>
      <c r="Y39" s="7">
        <f>IF(OR(X39="",AP39=""),"",IF((E39*H39+IF(AND(AK39&lt;&gt;"",AL39&lt;&gt;""),AK39*AL39,0)+IF(AND(AM39&lt;&gt;"",AN39&lt;&gt;""),AM39*AN39,0))+IF(O39="",0,O39)&lt;=0,"",X39/((E39*H39+IF(AND(AK39&lt;&gt;"",AL39&lt;&gt;""),AK39*AL39,0)+IF(AND(AM39&lt;&gt;"",AN39&lt;&gt;""),AM39*AN39,0))+IF(O39="",0,O39))))</f>
        <v/>
      </c>
      <c r="Z39" s="7">
        <f>IF(OR(AE39="",多次统计数据!$B$8=""),"",AE39-多次统计数据!$B$8)</f>
        <v/>
      </c>
      <c r="AA39" s="14">
        <f>IF(OR(I39="",M39="",M39&lt;I39),"",M39-I39)</f>
        <v/>
      </c>
      <c r="AB39" s="7">
        <f>IF(OR(A39="",多次统计数据!$B$8="",多次统计数据!$B$6&lt;=0,多次统计数据!$B$6&gt;=1),"",1-POWER(1+多次统计数据!$B$8,-多次统计数据!$B$6/(1-多次统计数据!$B$6)))</f>
        <v/>
      </c>
      <c r="AC39" s="8">
        <f>IF(OR(AB39="",多次统计数据!$B$9=""),"",IF(多次统计数据!$B$9&lt;AB39,"低于上限","达到或超过上限"))</f>
        <v/>
      </c>
      <c r="AD39" s="2" t="n"/>
      <c r="AE39" s="7">
        <f>IF(OR(X39="",C39="",C39&lt;=0),"",X39/C39)</f>
        <v/>
      </c>
      <c r="AG39" s="28" t="n"/>
      <c r="AH39" s="28" t="n"/>
      <c r="AI39" s="28" t="n"/>
      <c r="AJ39" s="31">
        <f>IF(OR(AG39="",AH39=""),"",IF(OR(AND(AG39="短期博反弹",OR(AH39="1～3个交易日",AH39="4～10个交易日")),AND(AG39="突破冲新高",OR(AH39="4～10个交易日",AH39="11～20个交易日")),AND(AG39="趋势波段",OR(AH39="11～20个交易日",AH39="21～60个交易日",AH39="60个交易日以上"))),"匹配","周期与交易预期不匹配，请重新确认"))</f>
        <v/>
      </c>
      <c r="AK39" s="43" t="n"/>
      <c r="AL39" s="27" t="n"/>
      <c r="AM39" s="43" t="n"/>
      <c r="AN39" s="27" t="n"/>
      <c r="AO39" s="44">
        <f>IF(OR(A39="",H39="",H39&lt;=0),"",(E39*H39+IF(AND(AK39&lt;&gt;"",AL39&lt;&gt;""),AK39*AL39,0)+IF(AND(AM39&lt;&gt;"",AN39&lt;&gt;""),AM39*AN39,0))/AP39)</f>
        <v/>
      </c>
      <c r="AP39" s="26">
        <f>IF(OR(A39="",H39="",H39&lt;=0),"",H39+IF(AL39="",0,AL39)+IF(AN39="",0,AN39))</f>
        <v/>
      </c>
      <c r="AQ39" s="44">
        <f>IF(A39="","",IF(M39&lt;&gt;"",0,IF(OR(H39="",N39=""),"",MAX(E39-MAX(N39,IFERROR(AGGREGATE(14,6,'持仓跟踪'!$S$2:$S$501/(('持仓跟踪'!$A$2:$A$501="每日跟踪")*('持仓跟踪'!$B$2:$B$501=A39)),1),0)),0)*H39+IF(OR(AK39="",AL39=""),0,MAX(AK39-MAX(N39,IFERROR(AGGREGATE(14,6,'持仓跟踪'!$S$2:$S$501/(('持仓跟踪'!$A$2:$A$501="每日跟踪")*('持仓跟踪'!$B$2:$B$501=A39)),1),0)),0)*AL39)+IF(OR(AM39="",AN39=""),0,MAX(AM39-MAX(N39,IFERROR(AGGREGATE(14,6,'持仓跟踪'!$S$2:$S$501/(('持仓跟踪'!$A$2:$A$501="每日跟踪")*('持仓跟踪'!$B$2:$B$501=A39)),1),0)),0)*AN39))))</f>
        <v/>
      </c>
      <c r="AR39" s="31">
        <f>IF(A39="","",IF(OR(E39="",H39=""),"违规：第一批价格或股数缺失",IF(OR(AND(AK39="",AL39&lt;&gt;""),AND(AK39&lt;&gt;"",AL39="")),"违规：第二批价格与股数须成对填写",IF(OR(AND(AM39="",AN39&lt;&gt;""),AND(AM39&lt;&gt;"",AN39="")),"违规：第三批价格与股数须成对填写",IF(AND(OR(AM39&lt;&gt;"",AN39&lt;&gt;""),OR(AK39="",AL39="")),"违规：必须先完成第二批",IF(OR(H39&lt;=0,H39&lt;&gt;INT(H39),MOD(H39,100)&lt;&gt;0,AND(AL39&lt;&gt;"",OR(AL39&lt;=0,AL39&lt;&gt;INT(AL39),MOD(AL39,100)&lt;&gt;0)),AND(AN39&lt;&gt;"",OR(AN39&lt;=0,AN39&lt;&gt;INT(AN39),MOD(AN39,100)&lt;&gt;0))),"违规：股数须为100股整数倍",IF(AND(OR(AL39&lt;&gt;"",AN39&lt;&gt;""),OR(_LockStatus="已锁仓",_LockStatus="解锁信息不完整")),"违规：锁仓期间禁止加仓",IF(AQ39&gt;C39*D39,"违规：超过单笔风险上限",IF(SUM($AQ$2:$AQ$201)&gt;账户数据!$B$7,"违规：超过账户风险上限","通过")))))))))</f>
        <v/>
      </c>
    </row>
    <row r="40">
      <c r="A40" s="2" t="n">
        <v>39</v>
      </c>
      <c r="B40" s="2" t="inlineStr">
        <is>
          <t>沪电股份</t>
        </is>
      </c>
      <c r="C40" s="40" t="n">
        <v>121645</v>
      </c>
      <c r="D40" s="6" t="n">
        <v>0.02</v>
      </c>
      <c r="E40" s="40" t="n">
        <v>13.54</v>
      </c>
      <c r="F40" s="8">
        <f>IF(OR(C40="",D40="",E40="",N40="",C40&lt;=0,D40&lt;=0,E40&lt;=N40),"",ROUNDDOWN((C40*D40)/(E40-N40)/100,0)*100)</f>
        <v/>
      </c>
      <c r="G40" s="8">
        <f>IF(A40="","",IF(H40&lt;&gt;"","已开仓",IF(账户数据!$B$23="已锁仓","禁止开仓：连续亏损达到上限",IF(账户数据!$B$23="解锁信息不完整","禁止开仓：请完整填写解锁信息",IF(OR(F40="",E40="",N40="",E40&lt;=N40,账户数据!$B$7=""),"",IF(OR(AG40="",AH40="",AI40=""),"禁止开仓：交易预期未填写完整",IF(COUNTIFS(持仓跟踪!$A$2:$A$501,"止损计划",持仓跟踪!$B$2:$B$501,A40,持仓跟踪!$AC$2:$AC$501,"计划有效")=0,"禁止开仓：请先填写止损计划",IF(账户数据!$B$9+F40*(E40-N40)&gt;=账户数据!$B$7,"禁止开仓：风险额度不足",IF(AJ40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0" s="2" t="n">
        <v>4500</v>
      </c>
      <c r="I40" s="41" t="n">
        <v>44740</v>
      </c>
      <c r="J40" s="40" t="n">
        <v>15</v>
      </c>
      <c r="K40" s="40" t="n">
        <v>12.66</v>
      </c>
      <c r="L40" s="8">
        <f>IF(K40="","",H40)</f>
        <v/>
      </c>
      <c r="M40" s="41" t="n">
        <v>44743</v>
      </c>
      <c r="N40" s="40" t="n">
        <v>13</v>
      </c>
      <c r="O40" s="40" t="n"/>
      <c r="P40" s="40" t="n"/>
      <c r="Q40" s="2" t="n"/>
      <c r="R40" s="2" t="n"/>
      <c r="S40" s="2" t="n"/>
      <c r="T40" s="2" t="n"/>
      <c r="U40" s="7">
        <f>IF(OR(AO40="",J40="",AO40&lt;=0),"",(J40-AO40)/AO40)</f>
        <v/>
      </c>
      <c r="V40" s="7">
        <f>IF(OR(AO40="",N40="",AO40&lt;=0),"",(AO40-N40)/AO40)</f>
        <v/>
      </c>
      <c r="W40" s="13">
        <f>IF(OR(U40="",V40="",V40&lt;=0),"",U40/V40)</f>
        <v/>
      </c>
      <c r="X40" s="42">
        <f>IF(OR(K40="",L40="",AP40=""),"",K40*L40-(E40*H40+IF(AND(AK40&lt;&gt;"",AL40&lt;&gt;""),AK40*AL40,0)+IF(AND(AM40&lt;&gt;"",AN40&lt;&gt;""),AM40*AN40,0))-IF(O40="",0,O40)-IF(P40="",0,P40))</f>
        <v/>
      </c>
      <c r="Y40" s="7">
        <f>IF(OR(X40="",AP40=""),"",IF((E40*H40+IF(AND(AK40&lt;&gt;"",AL40&lt;&gt;""),AK40*AL40,0)+IF(AND(AM40&lt;&gt;"",AN40&lt;&gt;""),AM40*AN40,0))+IF(O40="",0,O40)&lt;=0,"",X40/((E40*H40+IF(AND(AK40&lt;&gt;"",AL40&lt;&gt;""),AK40*AL40,0)+IF(AND(AM40&lt;&gt;"",AN40&lt;&gt;""),AM40*AN40,0))+IF(O40="",0,O40))))</f>
        <v/>
      </c>
      <c r="Z40" s="7">
        <f>IF(OR(AE40="",多次统计数据!$B$8=""),"",AE40-多次统计数据!$B$8)</f>
        <v/>
      </c>
      <c r="AA40" s="14">
        <f>IF(OR(I40="",M40="",M40&lt;I40),"",M40-I40)</f>
        <v/>
      </c>
      <c r="AB40" s="7">
        <f>IF(OR(A40="",多次统计数据!$B$8="",多次统计数据!$B$6&lt;=0,多次统计数据!$B$6&gt;=1),"",1-POWER(1+多次统计数据!$B$8,-多次统计数据!$B$6/(1-多次统计数据!$B$6)))</f>
        <v/>
      </c>
      <c r="AC40" s="8">
        <f>IF(OR(AB40="",多次统计数据!$B$9=""),"",IF(多次统计数据!$B$9&lt;AB40,"低于上限","达到或超过上限"))</f>
        <v/>
      </c>
      <c r="AD40" s="2" t="n"/>
      <c r="AE40" s="7">
        <f>IF(OR(X40="",C40="",C40&lt;=0),"",X40/C40)</f>
        <v/>
      </c>
      <c r="AG40" s="28" t="n"/>
      <c r="AH40" s="28" t="n"/>
      <c r="AI40" s="28" t="n"/>
      <c r="AJ40" s="31">
        <f>IF(OR(AG40="",AH40=""),"",IF(OR(AND(AG40="短期博反弹",OR(AH40="1～3个交易日",AH40="4～10个交易日")),AND(AG40="突破冲新高",OR(AH40="4～10个交易日",AH40="11～20个交易日")),AND(AG40="趋势波段",OR(AH40="11～20个交易日",AH40="21～60个交易日",AH40="60个交易日以上"))),"匹配","周期与交易预期不匹配，请重新确认"))</f>
        <v/>
      </c>
      <c r="AK40" s="43" t="n"/>
      <c r="AL40" s="27" t="n"/>
      <c r="AM40" s="43" t="n"/>
      <c r="AN40" s="27" t="n"/>
      <c r="AO40" s="44">
        <f>IF(OR(A40="",H40="",H40&lt;=0),"",(E40*H40+IF(AND(AK40&lt;&gt;"",AL40&lt;&gt;""),AK40*AL40,0)+IF(AND(AM40&lt;&gt;"",AN40&lt;&gt;""),AM40*AN40,0))/AP40)</f>
        <v/>
      </c>
      <c r="AP40" s="26">
        <f>IF(OR(A40="",H40="",H40&lt;=0),"",H40+IF(AL40="",0,AL40)+IF(AN40="",0,AN40))</f>
        <v/>
      </c>
      <c r="AQ40" s="44">
        <f>IF(A40="","",IF(M40&lt;&gt;"",0,IF(OR(H40="",N40=""),"",MAX(E40-MAX(N40,IFERROR(AGGREGATE(14,6,'持仓跟踪'!$S$2:$S$501/(('持仓跟踪'!$A$2:$A$501="每日跟踪")*('持仓跟踪'!$B$2:$B$501=A40)),1),0)),0)*H40+IF(OR(AK40="",AL40=""),0,MAX(AK40-MAX(N40,IFERROR(AGGREGATE(14,6,'持仓跟踪'!$S$2:$S$501/(('持仓跟踪'!$A$2:$A$501="每日跟踪")*('持仓跟踪'!$B$2:$B$501=A40)),1),0)),0)*AL40)+IF(OR(AM40="",AN40=""),0,MAX(AM40-MAX(N40,IFERROR(AGGREGATE(14,6,'持仓跟踪'!$S$2:$S$501/(('持仓跟踪'!$A$2:$A$501="每日跟踪")*('持仓跟踪'!$B$2:$B$501=A40)),1),0)),0)*AN40))))</f>
        <v/>
      </c>
      <c r="AR40" s="31">
        <f>IF(A40="","",IF(OR(E40="",H40=""),"违规：第一批价格或股数缺失",IF(OR(AND(AK40="",AL40&lt;&gt;""),AND(AK40&lt;&gt;"",AL40="")),"违规：第二批价格与股数须成对填写",IF(OR(AND(AM40="",AN40&lt;&gt;""),AND(AM40&lt;&gt;"",AN40="")),"违规：第三批价格与股数须成对填写",IF(AND(OR(AM40&lt;&gt;"",AN40&lt;&gt;""),OR(AK40="",AL40="")),"违规：必须先完成第二批",IF(OR(H40&lt;=0,H40&lt;&gt;INT(H40),MOD(H40,100)&lt;&gt;0,AND(AL40&lt;&gt;"",OR(AL40&lt;=0,AL40&lt;&gt;INT(AL40),MOD(AL40,100)&lt;&gt;0)),AND(AN40&lt;&gt;"",OR(AN40&lt;=0,AN40&lt;&gt;INT(AN40),MOD(AN40,100)&lt;&gt;0))),"违规：股数须为100股整数倍",IF(AND(OR(AL40&lt;&gt;"",AN40&lt;&gt;""),OR(_LockStatus="已锁仓",_LockStatus="解锁信息不完整")),"违规：锁仓期间禁止加仓",IF(AQ40&gt;C40*D40,"违规：超过单笔风险上限",IF(SUM($AQ$2:$AQ$201)&gt;账户数据!$B$7,"违规：超过账户风险上限","通过")))))))))</f>
        <v/>
      </c>
    </row>
    <row r="41">
      <c r="A41" s="2" t="n">
        <v>40</v>
      </c>
      <c r="B41" s="2" t="inlineStr">
        <is>
          <t>沪电股份</t>
        </is>
      </c>
      <c r="C41" s="40" t="n">
        <v>117685</v>
      </c>
      <c r="D41" s="6" t="n">
        <v>0.02</v>
      </c>
      <c r="E41" s="40" t="n">
        <v>11.67</v>
      </c>
      <c r="F41" s="8">
        <f>IF(OR(C41="",D41="",E41="",N41="",C41&lt;=0,D41&lt;=0,E41&lt;=N41),"",ROUNDDOWN((C41*D41)/(E41-N41)/100,0)*100)</f>
        <v/>
      </c>
      <c r="G41" s="8">
        <f>IF(A41="","",IF(H41&lt;&gt;"","已开仓",IF(账户数据!$B$23="已锁仓","禁止开仓：连续亏损达到上限",IF(账户数据!$B$23="解锁信息不完整","禁止开仓：请完整填写解锁信息",IF(OR(F41="",E41="",N41="",E41&lt;=N41,账户数据!$B$7=""),"",IF(OR(AG41="",AH41="",AI41=""),"禁止开仓：交易预期未填写完整",IF(COUNTIFS(持仓跟踪!$A$2:$A$501,"止损计划",持仓跟踪!$B$2:$B$501,A41,持仓跟踪!$AC$2:$AC$501,"计划有效")=0,"禁止开仓：请先填写止损计划",IF(账户数据!$B$9+F41*(E41-N41)&gt;=账户数据!$B$7,"禁止开仓：风险额度不足",IF(AJ41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1" s="2" t="n">
        <v>2000</v>
      </c>
      <c r="I41" s="41" t="n">
        <v>44883</v>
      </c>
      <c r="J41" s="40" t="n">
        <v>15</v>
      </c>
      <c r="K41" s="40" t="n">
        <v>10.23</v>
      </c>
      <c r="L41" s="8">
        <f>IF(K41="","",H41)</f>
        <v/>
      </c>
      <c r="M41" s="41" t="n">
        <v>44914</v>
      </c>
      <c r="N41" s="40" t="n">
        <v>10.52</v>
      </c>
      <c r="O41" s="40" t="n"/>
      <c r="P41" s="40" t="n"/>
      <c r="Q41" s="2" t="n"/>
      <c r="R41" s="2" t="n"/>
      <c r="S41" s="2" t="n"/>
      <c r="T41" s="2" t="n"/>
      <c r="U41" s="7">
        <f>IF(OR(AO41="",J41="",AO41&lt;=0),"",(J41-AO41)/AO41)</f>
        <v/>
      </c>
      <c r="V41" s="7">
        <f>IF(OR(AO41="",N41="",AO41&lt;=0),"",(AO41-N41)/AO41)</f>
        <v/>
      </c>
      <c r="W41" s="13">
        <f>IF(OR(U41="",V41="",V41&lt;=0),"",U41/V41)</f>
        <v/>
      </c>
      <c r="X41" s="42">
        <f>IF(OR(K41="",L41="",AP41=""),"",K41*L41-(E41*H41+IF(AND(AK41&lt;&gt;"",AL41&lt;&gt;""),AK41*AL41,0)+IF(AND(AM41&lt;&gt;"",AN41&lt;&gt;""),AM41*AN41,0))-IF(O41="",0,O41)-IF(P41="",0,P41))</f>
        <v/>
      </c>
      <c r="Y41" s="7">
        <f>IF(OR(X41="",AP41=""),"",IF((E41*H41+IF(AND(AK41&lt;&gt;"",AL41&lt;&gt;""),AK41*AL41,0)+IF(AND(AM41&lt;&gt;"",AN41&lt;&gt;""),AM41*AN41,0))+IF(O41="",0,O41)&lt;=0,"",X41/((E41*H41+IF(AND(AK41&lt;&gt;"",AL41&lt;&gt;""),AK41*AL41,0)+IF(AND(AM41&lt;&gt;"",AN41&lt;&gt;""),AM41*AN41,0))+IF(O41="",0,O41))))</f>
        <v/>
      </c>
      <c r="Z41" s="7">
        <f>IF(OR(AE41="",多次统计数据!$B$8=""),"",AE41-多次统计数据!$B$8)</f>
        <v/>
      </c>
      <c r="AA41" s="14">
        <f>IF(OR(I41="",M41="",M41&lt;I41),"",M41-I41)</f>
        <v/>
      </c>
      <c r="AB41" s="7">
        <f>IF(OR(A41="",多次统计数据!$B$8="",多次统计数据!$B$6&lt;=0,多次统计数据!$B$6&gt;=1),"",1-POWER(1+多次统计数据!$B$8,-多次统计数据!$B$6/(1-多次统计数据!$B$6)))</f>
        <v/>
      </c>
      <c r="AC41" s="8">
        <f>IF(OR(AB41="",多次统计数据!$B$9=""),"",IF(多次统计数据!$B$9&lt;AB41,"低于上限","达到或超过上限"))</f>
        <v/>
      </c>
      <c r="AD41" s="2" t="n"/>
      <c r="AE41" s="7">
        <f>IF(OR(X41="",C41="",C41&lt;=0),"",X41/C41)</f>
        <v/>
      </c>
      <c r="AG41" s="28" t="n"/>
      <c r="AH41" s="28" t="n"/>
      <c r="AI41" s="28" t="n"/>
      <c r="AJ41" s="31">
        <f>IF(OR(AG41="",AH41=""),"",IF(OR(AND(AG41="短期博反弹",OR(AH41="1～3个交易日",AH41="4～10个交易日")),AND(AG41="突破冲新高",OR(AH41="4～10个交易日",AH41="11～20个交易日")),AND(AG41="趋势波段",OR(AH41="11～20个交易日",AH41="21～60个交易日",AH41="60个交易日以上"))),"匹配","周期与交易预期不匹配，请重新确认"))</f>
        <v/>
      </c>
      <c r="AK41" s="43" t="n"/>
      <c r="AL41" s="27" t="n"/>
      <c r="AM41" s="43" t="n"/>
      <c r="AN41" s="27" t="n"/>
      <c r="AO41" s="44">
        <f>IF(OR(A41="",H41="",H41&lt;=0),"",(E41*H41+IF(AND(AK41&lt;&gt;"",AL41&lt;&gt;""),AK41*AL41,0)+IF(AND(AM41&lt;&gt;"",AN41&lt;&gt;""),AM41*AN41,0))/AP41)</f>
        <v/>
      </c>
      <c r="AP41" s="26">
        <f>IF(OR(A41="",H41="",H41&lt;=0),"",H41+IF(AL41="",0,AL41)+IF(AN41="",0,AN41))</f>
        <v/>
      </c>
      <c r="AQ41" s="44">
        <f>IF(A41="","",IF(M41&lt;&gt;"",0,IF(OR(H41="",N41=""),"",MAX(E41-MAX(N41,IFERROR(AGGREGATE(14,6,'持仓跟踪'!$S$2:$S$501/(('持仓跟踪'!$A$2:$A$501="每日跟踪")*('持仓跟踪'!$B$2:$B$501=A41)),1),0)),0)*H41+IF(OR(AK41="",AL41=""),0,MAX(AK41-MAX(N41,IFERROR(AGGREGATE(14,6,'持仓跟踪'!$S$2:$S$501/(('持仓跟踪'!$A$2:$A$501="每日跟踪")*('持仓跟踪'!$B$2:$B$501=A41)),1),0)),0)*AL41)+IF(OR(AM41="",AN41=""),0,MAX(AM41-MAX(N41,IFERROR(AGGREGATE(14,6,'持仓跟踪'!$S$2:$S$501/(('持仓跟踪'!$A$2:$A$501="每日跟踪")*('持仓跟踪'!$B$2:$B$501=A41)),1),0)),0)*AN41))))</f>
        <v/>
      </c>
      <c r="AR41" s="31">
        <f>IF(A41="","",IF(OR(E41="",H41=""),"违规：第一批价格或股数缺失",IF(OR(AND(AK41="",AL41&lt;&gt;""),AND(AK41&lt;&gt;"",AL41="")),"违规：第二批价格与股数须成对填写",IF(OR(AND(AM41="",AN41&lt;&gt;""),AND(AM41&lt;&gt;"",AN41="")),"违规：第三批价格与股数须成对填写",IF(AND(OR(AM41&lt;&gt;"",AN41&lt;&gt;""),OR(AK41="",AL41="")),"违规：必须先完成第二批",IF(OR(H41&lt;=0,H41&lt;&gt;INT(H41),MOD(H41,100)&lt;&gt;0,AND(AL41&lt;&gt;"",OR(AL41&lt;=0,AL41&lt;&gt;INT(AL41),MOD(AL41,100)&lt;&gt;0)),AND(AN41&lt;&gt;"",OR(AN41&lt;=0,AN41&lt;&gt;INT(AN41),MOD(AN41,100)&lt;&gt;0))),"违规：股数须为100股整数倍",IF(AND(OR(AL41&lt;&gt;"",AN41&lt;&gt;""),OR(_LockStatus="已锁仓",_LockStatus="解锁信息不完整")),"违规：锁仓期间禁止加仓",IF(AQ41&gt;C41*D41,"违规：超过单笔风险上限",IF(SUM($AQ$2:$AQ$201)&gt;账户数据!$B$7,"违规：超过账户风险上限","通过")))))))))</f>
        <v/>
      </c>
    </row>
    <row r="42">
      <c r="A42" s="2" t="n">
        <v>41</v>
      </c>
      <c r="B42" s="2" t="inlineStr">
        <is>
          <t>沪电股份</t>
        </is>
      </c>
      <c r="C42" s="40" t="n">
        <v>114805</v>
      </c>
      <c r="D42" s="6" t="n">
        <v>0.02</v>
      </c>
      <c r="E42" s="40" t="n">
        <v>18.24</v>
      </c>
      <c r="F42" s="8">
        <f>IF(OR(C42="",D42="",E42="",N42="",C42&lt;=0,D42&lt;=0,E42&lt;=N42),"",ROUNDDOWN((C42*D42)/(E42-N42)/100,0)*100)</f>
        <v/>
      </c>
      <c r="G42" s="8">
        <f>IF(A42="","",IF(H42&lt;&gt;"","已开仓",IF(账户数据!$B$23="已锁仓","禁止开仓：连续亏损达到上限",IF(账户数据!$B$23="解锁信息不完整","禁止开仓：请完整填写解锁信息",IF(OR(F42="",E42="",N42="",E42&lt;=N42,账户数据!$B$7=""),"",IF(OR(AG42="",AH42="",AI42=""),"禁止开仓：交易预期未填写完整",IF(COUNTIFS(持仓跟踪!$A$2:$A$501,"止损计划",持仓跟踪!$B$2:$B$501,A42,持仓跟踪!$AC$2:$AC$501,"计划有效")=0,"禁止开仓：请先填写止损计划",IF(账户数据!$B$9+F42*(E42-N42)&gt;=账户数据!$B$7,"禁止开仓：风险额度不足",IF(AJ42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2" s="2" t="n">
        <v>1800</v>
      </c>
      <c r="I42" s="41" t="n">
        <v>45064</v>
      </c>
      <c r="J42" s="40" t="n">
        <v>20</v>
      </c>
      <c r="K42" s="40" t="n">
        <v>16.44</v>
      </c>
      <c r="L42" s="8">
        <f>IF(K42="","",H42)</f>
        <v/>
      </c>
      <c r="M42" s="41" t="n">
        <v>45069</v>
      </c>
      <c r="N42" s="40" t="n">
        <v>17</v>
      </c>
      <c r="O42" s="40" t="n"/>
      <c r="P42" s="40" t="n"/>
      <c r="Q42" s="2" t="n"/>
      <c r="R42" s="2" t="n"/>
      <c r="S42" s="2" t="n"/>
      <c r="T42" s="2" t="n"/>
      <c r="U42" s="7">
        <f>IF(OR(AO42="",J42="",AO42&lt;=0),"",(J42-AO42)/AO42)</f>
        <v/>
      </c>
      <c r="V42" s="7">
        <f>IF(OR(AO42="",N42="",AO42&lt;=0),"",(AO42-N42)/AO42)</f>
        <v/>
      </c>
      <c r="W42" s="13">
        <f>IF(OR(U42="",V42="",V42&lt;=0),"",U42/V42)</f>
        <v/>
      </c>
      <c r="X42" s="42">
        <f>IF(OR(K42="",L42="",AP42=""),"",K42*L42-(E42*H42+IF(AND(AK42&lt;&gt;"",AL42&lt;&gt;""),AK42*AL42,0)+IF(AND(AM42&lt;&gt;"",AN42&lt;&gt;""),AM42*AN42,0))-IF(O42="",0,O42)-IF(P42="",0,P42))</f>
        <v/>
      </c>
      <c r="Y42" s="7">
        <f>IF(OR(X42="",AP42=""),"",IF((E42*H42+IF(AND(AK42&lt;&gt;"",AL42&lt;&gt;""),AK42*AL42,0)+IF(AND(AM42&lt;&gt;"",AN42&lt;&gt;""),AM42*AN42,0))+IF(O42="",0,O42)&lt;=0,"",X42/((E42*H42+IF(AND(AK42&lt;&gt;"",AL42&lt;&gt;""),AK42*AL42,0)+IF(AND(AM42&lt;&gt;"",AN42&lt;&gt;""),AM42*AN42,0))+IF(O42="",0,O42))))</f>
        <v/>
      </c>
      <c r="Z42" s="7">
        <f>IF(OR(AE42="",多次统计数据!$B$8=""),"",AE42-多次统计数据!$B$8)</f>
        <v/>
      </c>
      <c r="AA42" s="14">
        <f>IF(OR(I42="",M42="",M42&lt;I42),"",M42-I42)</f>
        <v/>
      </c>
      <c r="AB42" s="7">
        <f>IF(OR(A42="",多次统计数据!$B$8="",多次统计数据!$B$6&lt;=0,多次统计数据!$B$6&gt;=1),"",1-POWER(1+多次统计数据!$B$8,-多次统计数据!$B$6/(1-多次统计数据!$B$6)))</f>
        <v/>
      </c>
      <c r="AC42" s="8">
        <f>IF(OR(AB42="",多次统计数据!$B$9=""),"",IF(多次统计数据!$B$9&lt;AB42,"低于上限","达到或超过上限"))</f>
        <v/>
      </c>
      <c r="AD42" s="2" t="n"/>
      <c r="AE42" s="7">
        <f>IF(OR(X42="",C42="",C42&lt;=0),"",X42/C42)</f>
        <v/>
      </c>
      <c r="AG42" s="28" t="n"/>
      <c r="AH42" s="28" t="n"/>
      <c r="AI42" s="28" t="n"/>
      <c r="AJ42" s="31">
        <f>IF(OR(AG42="",AH42=""),"",IF(OR(AND(AG42="短期博反弹",OR(AH42="1～3个交易日",AH42="4～10个交易日")),AND(AG42="突破冲新高",OR(AH42="4～10个交易日",AH42="11～20个交易日")),AND(AG42="趋势波段",OR(AH42="11～20个交易日",AH42="21～60个交易日",AH42="60个交易日以上"))),"匹配","周期与交易预期不匹配，请重新确认"))</f>
        <v/>
      </c>
      <c r="AK42" s="43" t="n"/>
      <c r="AL42" s="27" t="n"/>
      <c r="AM42" s="43" t="n"/>
      <c r="AN42" s="27" t="n"/>
      <c r="AO42" s="44">
        <f>IF(OR(A42="",H42="",H42&lt;=0),"",(E42*H42+IF(AND(AK42&lt;&gt;"",AL42&lt;&gt;""),AK42*AL42,0)+IF(AND(AM42&lt;&gt;"",AN42&lt;&gt;""),AM42*AN42,0))/AP42)</f>
        <v/>
      </c>
      <c r="AP42" s="26">
        <f>IF(OR(A42="",H42="",H42&lt;=0),"",H42+IF(AL42="",0,AL42)+IF(AN42="",0,AN42))</f>
        <v/>
      </c>
      <c r="AQ42" s="44">
        <f>IF(A42="","",IF(M42&lt;&gt;"",0,IF(OR(H42="",N42=""),"",MAX(E42-MAX(N42,IFERROR(AGGREGATE(14,6,'持仓跟踪'!$S$2:$S$501/(('持仓跟踪'!$A$2:$A$501="每日跟踪")*('持仓跟踪'!$B$2:$B$501=A42)),1),0)),0)*H42+IF(OR(AK42="",AL42=""),0,MAX(AK42-MAX(N42,IFERROR(AGGREGATE(14,6,'持仓跟踪'!$S$2:$S$501/(('持仓跟踪'!$A$2:$A$501="每日跟踪")*('持仓跟踪'!$B$2:$B$501=A42)),1),0)),0)*AL42)+IF(OR(AM42="",AN42=""),0,MAX(AM42-MAX(N42,IFERROR(AGGREGATE(14,6,'持仓跟踪'!$S$2:$S$501/(('持仓跟踪'!$A$2:$A$501="每日跟踪")*('持仓跟踪'!$B$2:$B$501=A42)),1),0)),0)*AN42))))</f>
        <v/>
      </c>
      <c r="AR42" s="31">
        <f>IF(A42="","",IF(OR(E42="",H42=""),"违规：第一批价格或股数缺失",IF(OR(AND(AK42="",AL42&lt;&gt;""),AND(AK42&lt;&gt;"",AL42="")),"违规：第二批价格与股数须成对填写",IF(OR(AND(AM42="",AN42&lt;&gt;""),AND(AM42&lt;&gt;"",AN42="")),"违规：第三批价格与股数须成对填写",IF(AND(OR(AM42&lt;&gt;"",AN42&lt;&gt;""),OR(AK42="",AL42="")),"违规：必须先完成第二批",IF(OR(H42&lt;=0,H42&lt;&gt;INT(H42),MOD(H42,100)&lt;&gt;0,AND(AL42&lt;&gt;"",OR(AL42&lt;=0,AL42&lt;&gt;INT(AL42),MOD(AL42,100)&lt;&gt;0)),AND(AN42&lt;&gt;"",OR(AN42&lt;=0,AN42&lt;&gt;INT(AN42),MOD(AN42,100)&lt;&gt;0))),"违规：股数须为100股整数倍",IF(AND(OR(AL42&lt;&gt;"",AN42&lt;&gt;""),OR(_LockStatus="已锁仓",_LockStatus="解锁信息不完整")),"违规：锁仓期间禁止加仓",IF(AQ42&gt;C42*D42,"违规：超过单笔风险上限",IF(SUM($AQ$2:$AQ$201)&gt;账户数据!$B$7,"违规：超过账户风险上限","通过")))))))))</f>
        <v/>
      </c>
    </row>
    <row r="43">
      <c r="A43" s="2" t="n">
        <v>42</v>
      </c>
      <c r="B43" s="2" t="inlineStr">
        <is>
          <t>沪电股份</t>
        </is>
      </c>
      <c r="C43" s="40" t="n">
        <v>111565</v>
      </c>
      <c r="D43" s="6" t="n">
        <v>0.02</v>
      </c>
      <c r="E43" s="40" t="n">
        <v>20.31</v>
      </c>
      <c r="F43" s="8">
        <f>IF(OR(C43="",D43="",E43="",N43="",C43&lt;=0,D43&lt;=0,E43&lt;=N43),"",ROUNDDOWN((C43*D43)/(E43-N43)/100,0)*100)</f>
        <v/>
      </c>
      <c r="G43" s="8">
        <f>IF(A43="","",IF(H43&lt;&gt;"","已开仓",IF(账户数据!$B$23="已锁仓","禁止开仓：连续亏损达到上限",IF(账户数据!$B$23="解锁信息不完整","禁止开仓：请完整填写解锁信息",IF(OR(F43="",E43="",N43="",E43&lt;=N43,账户数据!$B$7=""),"",IF(OR(AG43="",AH43="",AI43=""),"禁止开仓：交易预期未填写完整",IF(COUNTIFS(持仓跟踪!$A$2:$A$501,"止损计划",持仓跟踪!$B$2:$B$501,A43,持仓跟踪!$AC$2:$AC$501,"计划有效")=0,"禁止开仓：请先填写止损计划",IF(账户数据!$B$9+F43*(E43-N43)&gt;=账户数据!$B$7,"禁止开仓：风险额度不足",IF(AJ43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3" s="2" t="n">
        <v>1700</v>
      </c>
      <c r="I43" s="41" t="n">
        <v>45086</v>
      </c>
      <c r="J43" s="40" t="n">
        <v>24</v>
      </c>
      <c r="K43" s="40" t="n">
        <v>18</v>
      </c>
      <c r="L43" s="8">
        <f>IF(K43="","",H43)</f>
        <v/>
      </c>
      <c r="M43" s="41" t="n">
        <v>45103</v>
      </c>
      <c r="N43" s="40" t="n">
        <v>19</v>
      </c>
      <c r="O43" s="40" t="n"/>
      <c r="P43" s="40" t="n"/>
      <c r="Q43" s="2" t="n"/>
      <c r="R43" s="2" t="n"/>
      <c r="S43" s="2" t="n"/>
      <c r="T43" s="2" t="n"/>
      <c r="U43" s="7">
        <f>IF(OR(AO43="",J43="",AO43&lt;=0),"",(J43-AO43)/AO43)</f>
        <v/>
      </c>
      <c r="V43" s="7">
        <f>IF(OR(AO43="",N43="",AO43&lt;=0),"",(AO43-N43)/AO43)</f>
        <v/>
      </c>
      <c r="W43" s="13">
        <f>IF(OR(U43="",V43="",V43&lt;=0),"",U43/V43)</f>
        <v/>
      </c>
      <c r="X43" s="42">
        <f>IF(OR(K43="",L43="",AP43=""),"",K43*L43-(E43*H43+IF(AND(AK43&lt;&gt;"",AL43&lt;&gt;""),AK43*AL43,0)+IF(AND(AM43&lt;&gt;"",AN43&lt;&gt;""),AM43*AN43,0))-IF(O43="",0,O43)-IF(P43="",0,P43))</f>
        <v/>
      </c>
      <c r="Y43" s="7">
        <f>IF(OR(X43="",AP43=""),"",IF((E43*H43+IF(AND(AK43&lt;&gt;"",AL43&lt;&gt;""),AK43*AL43,0)+IF(AND(AM43&lt;&gt;"",AN43&lt;&gt;""),AM43*AN43,0))+IF(O43="",0,O43)&lt;=0,"",X43/((E43*H43+IF(AND(AK43&lt;&gt;"",AL43&lt;&gt;""),AK43*AL43,0)+IF(AND(AM43&lt;&gt;"",AN43&lt;&gt;""),AM43*AN43,0))+IF(O43="",0,O43))))</f>
        <v/>
      </c>
      <c r="Z43" s="7">
        <f>IF(OR(AE43="",多次统计数据!$B$8=""),"",AE43-多次统计数据!$B$8)</f>
        <v/>
      </c>
      <c r="AA43" s="14">
        <f>IF(OR(I43="",M43="",M43&lt;I43),"",M43-I43)</f>
        <v/>
      </c>
      <c r="AB43" s="7">
        <f>IF(OR(A43="",多次统计数据!$B$8="",多次统计数据!$B$6&lt;=0,多次统计数据!$B$6&gt;=1),"",1-POWER(1+多次统计数据!$B$8,-多次统计数据!$B$6/(1-多次统计数据!$B$6)))</f>
        <v/>
      </c>
      <c r="AC43" s="8">
        <f>IF(OR(AB43="",多次统计数据!$B$9=""),"",IF(多次统计数据!$B$9&lt;AB43,"低于上限","达到或超过上限"))</f>
        <v/>
      </c>
      <c r="AD43" s="2" t="n"/>
      <c r="AE43" s="7">
        <f>IF(OR(X43="",C43="",C43&lt;=0),"",X43/C43)</f>
        <v/>
      </c>
      <c r="AG43" s="28" t="n"/>
      <c r="AH43" s="28" t="n"/>
      <c r="AI43" s="28" t="n"/>
      <c r="AJ43" s="31">
        <f>IF(OR(AG43="",AH43=""),"",IF(OR(AND(AG43="短期博反弹",OR(AH43="1～3个交易日",AH43="4～10个交易日")),AND(AG43="突破冲新高",OR(AH43="4～10个交易日",AH43="11～20个交易日")),AND(AG43="趋势波段",OR(AH43="11～20个交易日",AH43="21～60个交易日",AH43="60个交易日以上"))),"匹配","周期与交易预期不匹配，请重新确认"))</f>
        <v/>
      </c>
      <c r="AK43" s="43" t="n"/>
      <c r="AL43" s="27" t="n"/>
      <c r="AM43" s="43" t="n"/>
      <c r="AN43" s="27" t="n"/>
      <c r="AO43" s="44">
        <f>IF(OR(A43="",H43="",H43&lt;=0),"",(E43*H43+IF(AND(AK43&lt;&gt;"",AL43&lt;&gt;""),AK43*AL43,0)+IF(AND(AM43&lt;&gt;"",AN43&lt;&gt;""),AM43*AN43,0))/AP43)</f>
        <v/>
      </c>
      <c r="AP43" s="26">
        <f>IF(OR(A43="",H43="",H43&lt;=0),"",H43+IF(AL43="",0,AL43)+IF(AN43="",0,AN43))</f>
        <v/>
      </c>
      <c r="AQ43" s="44">
        <f>IF(A43="","",IF(M43&lt;&gt;"",0,IF(OR(H43="",N43=""),"",MAX(E43-MAX(N43,IFERROR(AGGREGATE(14,6,'持仓跟踪'!$S$2:$S$501/(('持仓跟踪'!$A$2:$A$501="每日跟踪")*('持仓跟踪'!$B$2:$B$501=A43)),1),0)),0)*H43+IF(OR(AK43="",AL43=""),0,MAX(AK43-MAX(N43,IFERROR(AGGREGATE(14,6,'持仓跟踪'!$S$2:$S$501/(('持仓跟踪'!$A$2:$A$501="每日跟踪")*('持仓跟踪'!$B$2:$B$501=A43)),1),0)),0)*AL43)+IF(OR(AM43="",AN43=""),0,MAX(AM43-MAX(N43,IFERROR(AGGREGATE(14,6,'持仓跟踪'!$S$2:$S$501/(('持仓跟踪'!$A$2:$A$501="每日跟踪")*('持仓跟踪'!$B$2:$B$501=A43)),1),0)),0)*AN43))))</f>
        <v/>
      </c>
      <c r="AR43" s="31">
        <f>IF(A43="","",IF(OR(E43="",H43=""),"违规：第一批价格或股数缺失",IF(OR(AND(AK43="",AL43&lt;&gt;""),AND(AK43&lt;&gt;"",AL43="")),"违规：第二批价格与股数须成对填写",IF(OR(AND(AM43="",AN43&lt;&gt;""),AND(AM43&lt;&gt;"",AN43="")),"违规：第三批价格与股数须成对填写",IF(AND(OR(AM43&lt;&gt;"",AN43&lt;&gt;""),OR(AK43="",AL43="")),"违规：必须先完成第二批",IF(OR(H43&lt;=0,H43&lt;&gt;INT(H43),MOD(H43,100)&lt;&gt;0,AND(AL43&lt;&gt;"",OR(AL43&lt;=0,AL43&lt;&gt;INT(AL43),MOD(AL43,100)&lt;&gt;0)),AND(AN43&lt;&gt;"",OR(AN43&lt;=0,AN43&lt;&gt;INT(AN43),MOD(AN43,100)&lt;&gt;0))),"违规：股数须为100股整数倍",IF(AND(OR(AL43&lt;&gt;"",AN43&lt;&gt;""),OR(_LockStatus="已锁仓",_LockStatus="解锁信息不完整")),"违规：锁仓期间禁止加仓",IF(AQ43&gt;C43*D43,"违规：超过单笔风险上限",IF(SUM($AQ$2:$AQ$201)&gt;账户数据!$B$7,"违规：超过账户风险上限","通过")))))))))</f>
        <v/>
      </c>
    </row>
    <row r="44">
      <c r="A44" s="2" t="n">
        <v>43</v>
      </c>
      <c r="B44" s="2" t="inlineStr">
        <is>
          <t>沪电股份</t>
        </is>
      </c>
      <c r="C44" s="40" t="n">
        <v>107638</v>
      </c>
      <c r="D44" s="6" t="n">
        <v>0.02</v>
      </c>
      <c r="E44" s="40" t="n">
        <v>20.43</v>
      </c>
      <c r="F44" s="8">
        <f>IF(OR(C44="",D44="",E44="",N44="",C44&lt;=0,D44&lt;=0,E44&lt;=N44),"",ROUNDDOWN((C44*D44)/(E44-N44)/100,0)*100)</f>
        <v/>
      </c>
      <c r="G44" s="8">
        <f>IF(A44="","",IF(H44&lt;&gt;"","已开仓",IF(账户数据!$B$23="已锁仓","禁止开仓：连续亏损达到上限",IF(账户数据!$B$23="解锁信息不完整","禁止开仓：请完整填写解锁信息",IF(OR(F44="",E44="",N44="",E44&lt;=N44,账户数据!$B$7=""),"",IF(OR(AG44="",AH44="",AI44=""),"禁止开仓：交易预期未填写完整",IF(COUNTIFS(持仓跟踪!$A$2:$A$501,"止损计划",持仓跟踪!$B$2:$B$501,A44,持仓跟踪!$AC$2:$AC$501,"计划有效")=0,"禁止开仓：请先填写止损计划",IF(账户数据!$B$9+F44*(E44-N44)&gt;=账户数据!$B$7,"禁止开仓：风险额度不足",IF(AJ44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4" s="2" t="n">
        <v>600</v>
      </c>
      <c r="I44" s="41" t="n">
        <v>45138</v>
      </c>
      <c r="J44" s="40" t="n">
        <v>24</v>
      </c>
      <c r="K44" s="40" t="n">
        <v>30.34</v>
      </c>
      <c r="L44" s="8">
        <f>IF(K44="","",H44)</f>
        <v/>
      </c>
      <c r="M44" s="41" t="n">
        <v>45366</v>
      </c>
      <c r="N44" s="40" t="n">
        <v>17</v>
      </c>
      <c r="O44" s="40" t="n"/>
      <c r="P44" s="40" t="n"/>
      <c r="Q44" s="2" t="n"/>
      <c r="R44" s="2" t="n"/>
      <c r="S44" s="2" t="n"/>
      <c r="T44" s="2" t="n"/>
      <c r="U44" s="7">
        <f>IF(OR(AO44="",J44="",AO44&lt;=0),"",(J44-AO44)/AO44)</f>
        <v/>
      </c>
      <c r="V44" s="7">
        <f>IF(OR(AO44="",N44="",AO44&lt;=0),"",(AO44-N44)/AO44)</f>
        <v/>
      </c>
      <c r="W44" s="13">
        <f>IF(OR(U44="",V44="",V44&lt;=0),"",U44/V44)</f>
        <v/>
      </c>
      <c r="X44" s="42">
        <f>IF(OR(K44="",L44="",AP44=""),"",K44*L44-(E44*H44+IF(AND(AK44&lt;&gt;"",AL44&lt;&gt;""),AK44*AL44,0)+IF(AND(AM44&lt;&gt;"",AN44&lt;&gt;""),AM44*AN44,0))-IF(O44="",0,O44)-IF(P44="",0,P44))</f>
        <v/>
      </c>
      <c r="Y44" s="7">
        <f>IF(OR(X44="",AP44=""),"",IF((E44*H44+IF(AND(AK44&lt;&gt;"",AL44&lt;&gt;""),AK44*AL44,0)+IF(AND(AM44&lt;&gt;"",AN44&lt;&gt;""),AM44*AN44,0))+IF(O44="",0,O44)&lt;=0,"",X44/((E44*H44+IF(AND(AK44&lt;&gt;"",AL44&lt;&gt;""),AK44*AL44,0)+IF(AND(AM44&lt;&gt;"",AN44&lt;&gt;""),AM44*AN44,0))+IF(O44="",0,O44))))</f>
        <v/>
      </c>
      <c r="Z44" s="7">
        <f>IF(OR(AE44="",多次统计数据!$B$8=""),"",AE44-多次统计数据!$B$8)</f>
        <v/>
      </c>
      <c r="AA44" s="14">
        <f>IF(OR(I44="",M44="",M44&lt;I44),"",M44-I44)</f>
        <v/>
      </c>
      <c r="AB44" s="7">
        <f>IF(OR(A44="",多次统计数据!$B$8="",多次统计数据!$B$6&lt;=0,多次统计数据!$B$6&gt;=1),"",1-POWER(1+多次统计数据!$B$8,-多次统计数据!$B$6/(1-多次统计数据!$B$6)))</f>
        <v/>
      </c>
      <c r="AC44" s="8">
        <f>IF(OR(AB44="",多次统计数据!$B$9=""),"",IF(多次统计数据!$B$9&lt;AB44,"低于上限","达到或超过上限"))</f>
        <v/>
      </c>
      <c r="AD44" s="2" t="n"/>
      <c r="AE44" s="7">
        <f>IF(OR(X44="",C44="",C44&lt;=0),"",X44/C44)</f>
        <v/>
      </c>
      <c r="AG44" s="28" t="n"/>
      <c r="AH44" s="28" t="n"/>
      <c r="AI44" s="28" t="n"/>
      <c r="AJ44" s="31">
        <f>IF(OR(AG44="",AH44=""),"",IF(OR(AND(AG44="短期博反弹",OR(AH44="1～3个交易日",AH44="4～10个交易日")),AND(AG44="突破冲新高",OR(AH44="4～10个交易日",AH44="11～20个交易日")),AND(AG44="趋势波段",OR(AH44="11～20个交易日",AH44="21～60个交易日",AH44="60个交易日以上"))),"匹配","周期与交易预期不匹配，请重新确认"))</f>
        <v/>
      </c>
      <c r="AK44" s="43" t="n"/>
      <c r="AL44" s="27" t="n"/>
      <c r="AM44" s="43" t="n"/>
      <c r="AN44" s="27" t="n"/>
      <c r="AO44" s="44">
        <f>IF(OR(A44="",H44="",H44&lt;=0),"",(E44*H44+IF(AND(AK44&lt;&gt;"",AL44&lt;&gt;""),AK44*AL44,0)+IF(AND(AM44&lt;&gt;"",AN44&lt;&gt;""),AM44*AN44,0))/AP44)</f>
        <v/>
      </c>
      <c r="AP44" s="26">
        <f>IF(OR(A44="",H44="",H44&lt;=0),"",H44+IF(AL44="",0,AL44)+IF(AN44="",0,AN44))</f>
        <v/>
      </c>
      <c r="AQ44" s="44">
        <f>IF(A44="","",IF(M44&lt;&gt;"",0,IF(OR(H44="",N44=""),"",MAX(E44-MAX(N44,IFERROR(AGGREGATE(14,6,'持仓跟踪'!$S$2:$S$501/(('持仓跟踪'!$A$2:$A$501="每日跟踪")*('持仓跟踪'!$B$2:$B$501=A44)),1),0)),0)*H44+IF(OR(AK44="",AL44=""),0,MAX(AK44-MAX(N44,IFERROR(AGGREGATE(14,6,'持仓跟踪'!$S$2:$S$501/(('持仓跟踪'!$A$2:$A$501="每日跟踪")*('持仓跟踪'!$B$2:$B$501=A44)),1),0)),0)*AL44)+IF(OR(AM44="",AN44=""),0,MAX(AM44-MAX(N44,IFERROR(AGGREGATE(14,6,'持仓跟踪'!$S$2:$S$501/(('持仓跟踪'!$A$2:$A$501="每日跟踪")*('持仓跟踪'!$B$2:$B$501=A44)),1),0)),0)*AN44))))</f>
        <v/>
      </c>
      <c r="AR44" s="31">
        <f>IF(A44="","",IF(OR(E44="",H44=""),"违规：第一批价格或股数缺失",IF(OR(AND(AK44="",AL44&lt;&gt;""),AND(AK44&lt;&gt;"",AL44="")),"违规：第二批价格与股数须成对填写",IF(OR(AND(AM44="",AN44&lt;&gt;""),AND(AM44&lt;&gt;"",AN44="")),"违规：第三批价格与股数须成对填写",IF(AND(OR(AM44&lt;&gt;"",AN44&lt;&gt;""),OR(AK44="",AL44="")),"违规：必须先完成第二批",IF(OR(H44&lt;=0,H44&lt;&gt;INT(H44),MOD(H44,100)&lt;&gt;0,AND(AL44&lt;&gt;"",OR(AL44&lt;=0,AL44&lt;&gt;INT(AL44),MOD(AL44,100)&lt;&gt;0)),AND(AN44&lt;&gt;"",OR(AN44&lt;=0,AN44&lt;&gt;INT(AN44),MOD(AN44,100)&lt;&gt;0))),"违规：股数须为100股整数倍",IF(AND(OR(AL44&lt;&gt;"",AN44&lt;&gt;""),OR(_LockStatus="已锁仓",_LockStatus="解锁信息不完整")),"违规：锁仓期间禁止加仓",IF(AQ44&gt;C44*D44,"违规：超过单笔风险上限",IF(SUM($AQ$2:$AQ$201)&gt;账户数据!$B$7,"违规：超过账户风险上限","通过")))))))))</f>
        <v/>
      </c>
    </row>
    <row r="45">
      <c r="A45" s="2" t="n">
        <v>44</v>
      </c>
      <c r="B45" s="2" t="inlineStr">
        <is>
          <t>深南电路</t>
        </is>
      </c>
      <c r="C45" s="40" t="n">
        <v>113584</v>
      </c>
      <c r="D45" s="6" t="n">
        <v>0.02</v>
      </c>
      <c r="E45" s="40" t="n">
        <v>64.98</v>
      </c>
      <c r="F45" s="8">
        <f>IF(OR(C45="",D45="",E45="",N45="",C45&lt;=0,D45&lt;=0,E45&lt;=N45),"",ROUNDDOWN((C45*D45)/(E45-N45)/100,0)*100)</f>
        <v/>
      </c>
      <c r="G45" s="8">
        <f>IF(A45="","",IF(H45&lt;&gt;"","已开仓",IF(账户数据!$B$23="已锁仓","禁止开仓：连续亏损达到上限",IF(账户数据!$B$23="解锁信息不完整","禁止开仓：请完整填写解锁信息",IF(OR(F45="",E45="",N45="",E45&lt;=N45,账户数据!$B$7=""),"",IF(OR(AG45="",AH45="",AI45=""),"禁止开仓：交易预期未填写完整",IF(COUNTIFS(持仓跟踪!$A$2:$A$501,"止损计划",持仓跟踪!$B$2:$B$501,A45,持仓跟踪!$AC$2:$AC$501,"计划有效")=0,"禁止开仓：请先填写止损计划",IF(账户数据!$B$9+F45*(E45-N45)&gt;=账户数据!$B$7,"禁止开仓：风险额度不足",IF(AJ45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5" s="2" t="n">
        <v>1100</v>
      </c>
      <c r="I45" s="41" t="n">
        <v>44613</v>
      </c>
      <c r="J45" s="40" t="n">
        <v>69</v>
      </c>
      <c r="K45" s="40" t="n">
        <v>69.19</v>
      </c>
      <c r="L45" s="8">
        <f>IF(K45="","",H45)</f>
        <v/>
      </c>
      <c r="M45" s="41" t="n">
        <v>44719</v>
      </c>
      <c r="N45" s="40" t="n">
        <v>63</v>
      </c>
      <c r="O45" s="40" t="n"/>
      <c r="P45" s="40" t="n"/>
      <c r="Q45" s="2" t="n"/>
      <c r="R45" s="2" t="n"/>
      <c r="S45" s="2" t="n"/>
      <c r="T45" s="2" t="n"/>
      <c r="U45" s="7">
        <f>IF(OR(AO45="",J45="",AO45&lt;=0),"",(J45-AO45)/AO45)</f>
        <v/>
      </c>
      <c r="V45" s="7">
        <f>IF(OR(AO45="",N45="",AO45&lt;=0),"",(AO45-N45)/AO45)</f>
        <v/>
      </c>
      <c r="W45" s="13">
        <f>IF(OR(U45="",V45="",V45&lt;=0),"",U45/V45)</f>
        <v/>
      </c>
      <c r="X45" s="42">
        <f>IF(OR(K45="",L45="",AP45=""),"",K45*L45-(E45*H45+IF(AND(AK45&lt;&gt;"",AL45&lt;&gt;""),AK45*AL45,0)+IF(AND(AM45&lt;&gt;"",AN45&lt;&gt;""),AM45*AN45,0))-IF(O45="",0,O45)-IF(P45="",0,P45))</f>
        <v/>
      </c>
      <c r="Y45" s="7">
        <f>IF(OR(X45="",AP45=""),"",IF((E45*H45+IF(AND(AK45&lt;&gt;"",AL45&lt;&gt;""),AK45*AL45,0)+IF(AND(AM45&lt;&gt;"",AN45&lt;&gt;""),AM45*AN45,0))+IF(O45="",0,O45)&lt;=0,"",X45/((E45*H45+IF(AND(AK45&lt;&gt;"",AL45&lt;&gt;""),AK45*AL45,0)+IF(AND(AM45&lt;&gt;"",AN45&lt;&gt;""),AM45*AN45,0))+IF(O45="",0,O45))))</f>
        <v/>
      </c>
      <c r="Z45" s="7">
        <f>IF(OR(AE45="",多次统计数据!$B$8=""),"",AE45-多次统计数据!$B$8)</f>
        <v/>
      </c>
      <c r="AA45" s="14">
        <f>IF(OR(I45="",M45="",M45&lt;I45),"",M45-I45)</f>
        <v/>
      </c>
      <c r="AB45" s="7">
        <f>IF(OR(A45="",多次统计数据!$B$8="",多次统计数据!$B$6&lt;=0,多次统计数据!$B$6&gt;=1),"",1-POWER(1+多次统计数据!$B$8,-多次统计数据!$B$6/(1-多次统计数据!$B$6)))</f>
        <v/>
      </c>
      <c r="AC45" s="8">
        <f>IF(OR(AB45="",多次统计数据!$B$9=""),"",IF(多次统计数据!$B$9&lt;AB45,"低于上限","达到或超过上限"))</f>
        <v/>
      </c>
      <c r="AD45" s="2" t="n"/>
      <c r="AE45" s="7">
        <f>IF(OR(X45="",C45="",C45&lt;=0),"",X45/C45)</f>
        <v/>
      </c>
      <c r="AG45" s="28" t="n"/>
      <c r="AH45" s="28" t="n"/>
      <c r="AI45" s="28" t="n"/>
      <c r="AJ45" s="31">
        <f>IF(OR(AG45="",AH45=""),"",IF(OR(AND(AG45="短期博反弹",OR(AH45="1～3个交易日",AH45="4～10个交易日")),AND(AG45="突破冲新高",OR(AH45="4～10个交易日",AH45="11～20个交易日")),AND(AG45="趋势波段",OR(AH45="11～20个交易日",AH45="21～60个交易日",AH45="60个交易日以上"))),"匹配","周期与交易预期不匹配，请重新确认"))</f>
        <v/>
      </c>
      <c r="AK45" s="43" t="n"/>
      <c r="AL45" s="27" t="n"/>
      <c r="AM45" s="43" t="n"/>
      <c r="AN45" s="27" t="n"/>
      <c r="AO45" s="44">
        <f>IF(OR(A45="",H45="",H45&lt;=0),"",(E45*H45+IF(AND(AK45&lt;&gt;"",AL45&lt;&gt;""),AK45*AL45,0)+IF(AND(AM45&lt;&gt;"",AN45&lt;&gt;""),AM45*AN45,0))/AP45)</f>
        <v/>
      </c>
      <c r="AP45" s="26">
        <f>IF(OR(A45="",H45="",H45&lt;=0),"",H45+IF(AL45="",0,AL45)+IF(AN45="",0,AN45))</f>
        <v/>
      </c>
      <c r="AQ45" s="44">
        <f>IF(A45="","",IF(M45&lt;&gt;"",0,IF(OR(H45="",N45=""),"",MAX(E45-MAX(N45,IFERROR(AGGREGATE(14,6,'持仓跟踪'!$S$2:$S$501/(('持仓跟踪'!$A$2:$A$501="每日跟踪")*('持仓跟踪'!$B$2:$B$501=A45)),1),0)),0)*H45+IF(OR(AK45="",AL45=""),0,MAX(AK45-MAX(N45,IFERROR(AGGREGATE(14,6,'持仓跟踪'!$S$2:$S$501/(('持仓跟踪'!$A$2:$A$501="每日跟踪")*('持仓跟踪'!$B$2:$B$501=A45)),1),0)),0)*AL45)+IF(OR(AM45="",AN45=""),0,MAX(AM45-MAX(N45,IFERROR(AGGREGATE(14,6,'持仓跟踪'!$S$2:$S$501/(('持仓跟踪'!$A$2:$A$501="每日跟踪")*('持仓跟踪'!$B$2:$B$501=A45)),1),0)),0)*AN45))))</f>
        <v/>
      </c>
      <c r="AR45" s="31">
        <f>IF(A45="","",IF(OR(E45="",H45=""),"违规：第一批价格或股数缺失",IF(OR(AND(AK45="",AL45&lt;&gt;""),AND(AK45&lt;&gt;"",AL45="")),"违规：第二批价格与股数须成对填写",IF(OR(AND(AM45="",AN45&lt;&gt;""),AND(AM45&lt;&gt;"",AN45="")),"违规：第三批价格与股数须成对填写",IF(AND(OR(AM45&lt;&gt;"",AN45&lt;&gt;""),OR(AK45="",AL45="")),"违规：必须先完成第二批",IF(OR(H45&lt;=0,H45&lt;&gt;INT(H45),MOD(H45,100)&lt;&gt;0,AND(AL45&lt;&gt;"",OR(AL45&lt;=0,AL45&lt;&gt;INT(AL45),MOD(AL45,100)&lt;&gt;0)),AND(AN45&lt;&gt;"",OR(AN45&lt;=0,AN45&lt;&gt;INT(AN45),MOD(AN45,100)&lt;&gt;0))),"违规：股数须为100股整数倍",IF(AND(OR(AL45&lt;&gt;"",AN45&lt;&gt;""),OR(_LockStatus="已锁仓",_LockStatus="解锁信息不完整")),"违规：锁仓期间禁止加仓",IF(AQ45&gt;C45*D45,"违规：超过单笔风险上限",IF(SUM($AQ$2:$AQ$201)&gt;账户数据!$B$7,"违规：超过账户风险上限","通过")))))))))</f>
        <v/>
      </c>
    </row>
    <row r="46">
      <c r="A46" s="2" t="n">
        <v>45</v>
      </c>
      <c r="B46" s="2" t="inlineStr">
        <is>
          <t>深南电路</t>
        </is>
      </c>
      <c r="C46" s="40" t="n">
        <v>118215</v>
      </c>
      <c r="D46" s="6" t="n">
        <v>0.02</v>
      </c>
      <c r="E46" s="40" t="n">
        <v>66.84999999999999</v>
      </c>
      <c r="F46" s="8">
        <f>IF(OR(C46="",D46="",E46="",N46="",C46&lt;=0,D46&lt;=0,E46&lt;=N46),"",ROUNDDOWN((C46*D46)/(E46-N46)/100,0)*100)</f>
        <v/>
      </c>
      <c r="G46" s="8">
        <f>IF(A46="","",IF(H46&lt;&gt;"","已开仓",IF(账户数据!$B$23="已锁仓","禁止开仓：连续亏损达到上限",IF(账户数据!$B$23="解锁信息不完整","禁止开仓：请完整填写解锁信息",IF(OR(F46="",E46="",N46="",E46&lt;=N46,账户数据!$B$7=""),"",IF(OR(AG46="",AH46="",AI46=""),"禁止开仓：交易预期未填写完整",IF(COUNTIFS(持仓跟踪!$A$2:$A$501,"止损计划",持仓跟踪!$B$2:$B$501,A46,持仓跟踪!$AC$2:$AC$501,"计划有效")=0,"禁止开仓：请先填写止损计划",IF(账户数据!$B$9+F46*(E46-N46)&gt;=账户数据!$B$7,"禁止开仓：风险额度不足",IF(AJ46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6" s="2" t="n">
        <v>6700</v>
      </c>
      <c r="I46" s="41" t="n">
        <v>44722</v>
      </c>
      <c r="J46" s="40" t="n">
        <v>69</v>
      </c>
      <c r="K46" s="40" t="n">
        <v>66.06999999999999</v>
      </c>
      <c r="L46" s="8">
        <f>IF(K46="","",H46)</f>
        <v/>
      </c>
      <c r="M46" s="41" t="n">
        <v>44725</v>
      </c>
      <c r="N46" s="40" t="n">
        <v>66.5</v>
      </c>
      <c r="O46" s="40" t="n"/>
      <c r="P46" s="40" t="n"/>
      <c r="Q46" s="2" t="n"/>
      <c r="R46" s="2" t="n"/>
      <c r="S46" s="2" t="n"/>
      <c r="T46" s="2" t="n"/>
      <c r="U46" s="7">
        <f>IF(OR(AO46="",J46="",AO46&lt;=0),"",(J46-AO46)/AO46)</f>
        <v/>
      </c>
      <c r="V46" s="7">
        <f>IF(OR(AO46="",N46="",AO46&lt;=0),"",(AO46-N46)/AO46)</f>
        <v/>
      </c>
      <c r="W46" s="13">
        <f>IF(OR(U46="",V46="",V46&lt;=0),"",U46/V46)</f>
        <v/>
      </c>
      <c r="X46" s="42">
        <f>IF(OR(K46="",L46="",AP46=""),"",K46*L46-(E46*H46+IF(AND(AK46&lt;&gt;"",AL46&lt;&gt;""),AK46*AL46,0)+IF(AND(AM46&lt;&gt;"",AN46&lt;&gt;""),AM46*AN46,0))-IF(O46="",0,O46)-IF(P46="",0,P46))</f>
        <v/>
      </c>
      <c r="Y46" s="7">
        <f>IF(OR(X46="",AP46=""),"",IF((E46*H46+IF(AND(AK46&lt;&gt;"",AL46&lt;&gt;""),AK46*AL46,0)+IF(AND(AM46&lt;&gt;"",AN46&lt;&gt;""),AM46*AN46,0))+IF(O46="",0,O46)&lt;=0,"",X46/((E46*H46+IF(AND(AK46&lt;&gt;"",AL46&lt;&gt;""),AK46*AL46,0)+IF(AND(AM46&lt;&gt;"",AN46&lt;&gt;""),AM46*AN46,0))+IF(O46="",0,O46))))</f>
        <v/>
      </c>
      <c r="Z46" s="7">
        <f>IF(OR(AE46="",多次统计数据!$B$8=""),"",AE46-多次统计数据!$B$8)</f>
        <v/>
      </c>
      <c r="AA46" s="14">
        <f>IF(OR(I46="",M46="",M46&lt;I46),"",M46-I46)</f>
        <v/>
      </c>
      <c r="AB46" s="7">
        <f>IF(OR(A46="",多次统计数据!$B$8="",多次统计数据!$B$6&lt;=0,多次统计数据!$B$6&gt;=1),"",1-POWER(1+多次统计数据!$B$8,-多次统计数据!$B$6/(1-多次统计数据!$B$6)))</f>
        <v/>
      </c>
      <c r="AC46" s="8">
        <f>IF(OR(AB46="",多次统计数据!$B$9=""),"",IF(多次统计数据!$B$9&lt;AB46,"低于上限","达到或超过上限"))</f>
        <v/>
      </c>
      <c r="AD46" s="2" t="n"/>
      <c r="AE46" s="7">
        <f>IF(OR(X46="",C46="",C46&lt;=0),"",X46/C46)</f>
        <v/>
      </c>
      <c r="AG46" s="28" t="n"/>
      <c r="AH46" s="28" t="n"/>
      <c r="AI46" s="28" t="n"/>
      <c r="AJ46" s="31">
        <f>IF(OR(AG46="",AH46=""),"",IF(OR(AND(AG46="短期博反弹",OR(AH46="1～3个交易日",AH46="4～10个交易日")),AND(AG46="突破冲新高",OR(AH46="4～10个交易日",AH46="11～20个交易日")),AND(AG46="趋势波段",OR(AH46="11～20个交易日",AH46="21～60个交易日",AH46="60个交易日以上"))),"匹配","周期与交易预期不匹配，请重新确认"))</f>
        <v/>
      </c>
      <c r="AK46" s="43" t="n"/>
      <c r="AL46" s="27" t="n"/>
      <c r="AM46" s="43" t="n"/>
      <c r="AN46" s="27" t="n"/>
      <c r="AO46" s="44">
        <f>IF(OR(A46="",H46="",H46&lt;=0),"",(E46*H46+IF(AND(AK46&lt;&gt;"",AL46&lt;&gt;""),AK46*AL46,0)+IF(AND(AM46&lt;&gt;"",AN46&lt;&gt;""),AM46*AN46,0))/AP46)</f>
        <v/>
      </c>
      <c r="AP46" s="26">
        <f>IF(OR(A46="",H46="",H46&lt;=0),"",H46+IF(AL46="",0,AL46)+IF(AN46="",0,AN46))</f>
        <v/>
      </c>
      <c r="AQ46" s="44">
        <f>IF(A46="","",IF(M46&lt;&gt;"",0,IF(OR(H46="",N46=""),"",MAX(E46-MAX(N46,IFERROR(AGGREGATE(14,6,'持仓跟踪'!$S$2:$S$501/(('持仓跟踪'!$A$2:$A$501="每日跟踪")*('持仓跟踪'!$B$2:$B$501=A46)),1),0)),0)*H46+IF(OR(AK46="",AL46=""),0,MAX(AK46-MAX(N46,IFERROR(AGGREGATE(14,6,'持仓跟踪'!$S$2:$S$501/(('持仓跟踪'!$A$2:$A$501="每日跟踪")*('持仓跟踪'!$B$2:$B$501=A46)),1),0)),0)*AL46)+IF(OR(AM46="",AN46=""),0,MAX(AM46-MAX(N46,IFERROR(AGGREGATE(14,6,'持仓跟踪'!$S$2:$S$501/(('持仓跟踪'!$A$2:$A$501="每日跟踪")*('持仓跟踪'!$B$2:$B$501=A46)),1),0)),0)*AN46))))</f>
        <v/>
      </c>
      <c r="AR46" s="31">
        <f>IF(A46="","",IF(OR(E46="",H46=""),"违规：第一批价格或股数缺失",IF(OR(AND(AK46="",AL46&lt;&gt;""),AND(AK46&lt;&gt;"",AL46="")),"违规：第二批价格与股数须成对填写",IF(OR(AND(AM46="",AN46&lt;&gt;""),AND(AM46&lt;&gt;"",AN46="")),"违规：第三批价格与股数须成对填写",IF(AND(OR(AM46&lt;&gt;"",AN46&lt;&gt;""),OR(AK46="",AL46="")),"违规：必须先完成第二批",IF(OR(H46&lt;=0,H46&lt;&gt;INT(H46),MOD(H46,100)&lt;&gt;0,AND(AL46&lt;&gt;"",OR(AL46&lt;=0,AL46&lt;&gt;INT(AL46),MOD(AL46,100)&lt;&gt;0)),AND(AN46&lt;&gt;"",OR(AN46&lt;=0,AN46&lt;&gt;INT(AN46),MOD(AN46,100)&lt;&gt;0))),"违规：股数须为100股整数倍",IF(AND(OR(AL46&lt;&gt;"",AN46&lt;&gt;""),OR(_LockStatus="已锁仓",_LockStatus="解锁信息不完整")),"违规：锁仓期间禁止加仓",IF(AQ46&gt;C46*D46,"违规：超过单笔风险上限",IF(SUM($AQ$2:$AQ$201)&gt;账户数据!$B$7,"违规：超过账户风险上限","通过")))))))))</f>
        <v/>
      </c>
    </row>
    <row r="47">
      <c r="A47" s="2" t="n">
        <v>46</v>
      </c>
      <c r="B47" s="2" t="inlineStr">
        <is>
          <t>深南电路</t>
        </is>
      </c>
      <c r="C47" s="40" t="n">
        <v>112989</v>
      </c>
      <c r="D47" s="6" t="n">
        <v>0.02</v>
      </c>
      <c r="E47" s="40" t="n">
        <v>66.45</v>
      </c>
      <c r="F47" s="8">
        <f>IF(OR(C47="",D47="",E47="",N47="",C47&lt;=0,D47&lt;=0,E47&lt;=N47),"",ROUNDDOWN((C47*D47)/(E47-N47)/100,0)*100)</f>
        <v/>
      </c>
      <c r="G47" s="8">
        <f>IF(A47="","",IF(H47&lt;&gt;"","已开仓",IF(账户数据!$B$23="已锁仓","禁止开仓：连续亏损达到上限",IF(账户数据!$B$23="解锁信息不完整","禁止开仓：请完整填写解锁信息",IF(OR(F47="",E47="",N47="",E47&lt;=N47,账户数据!$B$7=""),"",IF(OR(AG47="",AH47="",AI47=""),"禁止开仓：交易预期未填写完整",IF(COUNTIFS(持仓跟踪!$A$2:$A$501,"止损计划",持仓跟踪!$B$2:$B$501,A47,持仓跟踪!$AC$2:$AC$501,"计划有效")=0,"禁止开仓：请先填写止损计划",IF(账户数据!$B$9+F47*(E47-N47)&gt;=账户数据!$B$7,"禁止开仓：风险额度不足",IF(AJ47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7" s="2" t="n">
        <v>1500</v>
      </c>
      <c r="I47" s="41" t="n">
        <v>44732</v>
      </c>
      <c r="J47" s="40" t="n">
        <v>69</v>
      </c>
      <c r="K47" s="40" t="n">
        <v>63.21</v>
      </c>
      <c r="L47" s="8">
        <f>IF(K47="","",H47)</f>
        <v/>
      </c>
      <c r="M47" s="41" t="n">
        <v>44764</v>
      </c>
      <c r="N47" s="40" t="n">
        <v>65</v>
      </c>
      <c r="O47" s="40" t="n"/>
      <c r="P47" s="40" t="n"/>
      <c r="Q47" s="2" t="n"/>
      <c r="R47" s="2" t="n"/>
      <c r="S47" s="2" t="n"/>
      <c r="T47" s="2" t="n"/>
      <c r="U47" s="7">
        <f>IF(OR(AO47="",J47="",AO47&lt;=0),"",(J47-AO47)/AO47)</f>
        <v/>
      </c>
      <c r="V47" s="7">
        <f>IF(OR(AO47="",N47="",AO47&lt;=0),"",(AO47-N47)/AO47)</f>
        <v/>
      </c>
      <c r="W47" s="13">
        <f>IF(OR(U47="",V47="",V47&lt;=0),"",U47/V47)</f>
        <v/>
      </c>
      <c r="X47" s="42">
        <f>IF(OR(K47="",L47="",AP47=""),"",K47*L47-(E47*H47+IF(AND(AK47&lt;&gt;"",AL47&lt;&gt;""),AK47*AL47,0)+IF(AND(AM47&lt;&gt;"",AN47&lt;&gt;""),AM47*AN47,0))-IF(O47="",0,O47)-IF(P47="",0,P47))</f>
        <v/>
      </c>
      <c r="Y47" s="7">
        <f>IF(OR(X47="",AP47=""),"",IF((E47*H47+IF(AND(AK47&lt;&gt;"",AL47&lt;&gt;""),AK47*AL47,0)+IF(AND(AM47&lt;&gt;"",AN47&lt;&gt;""),AM47*AN47,0))+IF(O47="",0,O47)&lt;=0,"",X47/((E47*H47+IF(AND(AK47&lt;&gt;"",AL47&lt;&gt;""),AK47*AL47,0)+IF(AND(AM47&lt;&gt;"",AN47&lt;&gt;""),AM47*AN47,0))+IF(O47="",0,O47))))</f>
        <v/>
      </c>
      <c r="Z47" s="7">
        <f>IF(OR(AE47="",多次统计数据!$B$8=""),"",AE47-多次统计数据!$B$8)</f>
        <v/>
      </c>
      <c r="AA47" s="14">
        <f>IF(OR(I47="",M47="",M47&lt;I47),"",M47-I47)</f>
        <v/>
      </c>
      <c r="AB47" s="7">
        <f>IF(OR(A47="",多次统计数据!$B$8="",多次统计数据!$B$6&lt;=0,多次统计数据!$B$6&gt;=1),"",1-POWER(1+多次统计数据!$B$8,-多次统计数据!$B$6/(1-多次统计数据!$B$6)))</f>
        <v/>
      </c>
      <c r="AC47" s="8">
        <f>IF(OR(AB47="",多次统计数据!$B$9=""),"",IF(多次统计数据!$B$9&lt;AB47,"低于上限","达到或超过上限"))</f>
        <v/>
      </c>
      <c r="AD47" s="2" t="n"/>
      <c r="AE47" s="7">
        <f>IF(OR(X47="",C47="",C47&lt;=0),"",X47/C47)</f>
        <v/>
      </c>
      <c r="AF47" t="inlineStr">
        <is>
          <t>不准守纪律，想上涨</t>
        </is>
      </c>
      <c r="AG47" s="28" t="n"/>
      <c r="AH47" s="28" t="n"/>
      <c r="AI47" s="28" t="n"/>
      <c r="AJ47" s="31">
        <f>IF(OR(AG47="",AH47=""),"",IF(OR(AND(AG47="短期博反弹",OR(AH47="1～3个交易日",AH47="4～10个交易日")),AND(AG47="突破冲新高",OR(AH47="4～10个交易日",AH47="11～20个交易日")),AND(AG47="趋势波段",OR(AH47="11～20个交易日",AH47="21～60个交易日",AH47="60个交易日以上"))),"匹配","周期与交易预期不匹配，请重新确认"))</f>
        <v/>
      </c>
      <c r="AK47" s="43" t="n"/>
      <c r="AL47" s="27" t="n"/>
      <c r="AM47" s="43" t="n"/>
      <c r="AN47" s="27" t="n"/>
      <c r="AO47" s="44">
        <f>IF(OR(A47="",H47="",H47&lt;=0),"",(E47*H47+IF(AND(AK47&lt;&gt;"",AL47&lt;&gt;""),AK47*AL47,0)+IF(AND(AM47&lt;&gt;"",AN47&lt;&gt;""),AM47*AN47,0))/AP47)</f>
        <v/>
      </c>
      <c r="AP47" s="26">
        <f>IF(OR(A47="",H47="",H47&lt;=0),"",H47+IF(AL47="",0,AL47)+IF(AN47="",0,AN47))</f>
        <v/>
      </c>
      <c r="AQ47" s="44">
        <f>IF(A47="","",IF(M47&lt;&gt;"",0,IF(OR(H47="",N47=""),"",MAX(E47-MAX(N47,IFERROR(AGGREGATE(14,6,'持仓跟踪'!$S$2:$S$501/(('持仓跟踪'!$A$2:$A$501="每日跟踪")*('持仓跟踪'!$B$2:$B$501=A47)),1),0)),0)*H47+IF(OR(AK47="",AL47=""),0,MAX(AK47-MAX(N47,IFERROR(AGGREGATE(14,6,'持仓跟踪'!$S$2:$S$501/(('持仓跟踪'!$A$2:$A$501="每日跟踪")*('持仓跟踪'!$B$2:$B$501=A47)),1),0)),0)*AL47)+IF(OR(AM47="",AN47=""),0,MAX(AM47-MAX(N47,IFERROR(AGGREGATE(14,6,'持仓跟踪'!$S$2:$S$501/(('持仓跟踪'!$A$2:$A$501="每日跟踪")*('持仓跟踪'!$B$2:$B$501=A47)),1),0)),0)*AN47))))</f>
        <v/>
      </c>
      <c r="AR47" s="31">
        <f>IF(A47="","",IF(OR(E47="",H47=""),"违规：第一批价格或股数缺失",IF(OR(AND(AK47="",AL47&lt;&gt;""),AND(AK47&lt;&gt;"",AL47="")),"违规：第二批价格与股数须成对填写",IF(OR(AND(AM47="",AN47&lt;&gt;""),AND(AM47&lt;&gt;"",AN47="")),"违规：第三批价格与股数须成对填写",IF(AND(OR(AM47&lt;&gt;"",AN47&lt;&gt;""),OR(AK47="",AL47="")),"违规：必须先完成第二批",IF(OR(H47&lt;=0,H47&lt;&gt;INT(H47),MOD(H47,100)&lt;&gt;0,AND(AL47&lt;&gt;"",OR(AL47&lt;=0,AL47&lt;&gt;INT(AL47),MOD(AL47,100)&lt;&gt;0)),AND(AN47&lt;&gt;"",OR(AN47&lt;=0,AN47&lt;&gt;INT(AN47),MOD(AN47,100)&lt;&gt;0))),"违规：股数须为100股整数倍",IF(AND(OR(AL47&lt;&gt;"",AN47&lt;&gt;""),OR(_LockStatus="已锁仓",_LockStatus="解锁信息不完整")),"违规：锁仓期间禁止加仓",IF(AQ47&gt;C47*D47,"违规：超过单笔风险上限",IF(SUM($AQ$2:$AQ$201)&gt;账户数据!$B$7,"违规：超过账户风险上限","通过")))))))))</f>
        <v/>
      </c>
    </row>
    <row r="48">
      <c r="A48" s="2" t="n">
        <v>47</v>
      </c>
      <c r="B48" s="2" t="inlineStr">
        <is>
          <t>深南电路</t>
        </is>
      </c>
      <c r="C48" s="40" t="n">
        <v>108129</v>
      </c>
      <c r="D48" s="6" t="n">
        <v>0.02</v>
      </c>
      <c r="E48" s="40" t="n">
        <v>51.49</v>
      </c>
      <c r="F48" s="8">
        <f>IF(OR(C48="",D48="",E48="",N48="",C48&lt;=0,D48&lt;=0,E48&lt;=N48),"",ROUNDDOWN((C48*D48)/(E48-N48)/100,0)*100)</f>
        <v/>
      </c>
      <c r="G48" s="8">
        <f>IF(A48="","",IF(H48&lt;&gt;"","已开仓",IF(账户数据!$B$23="已锁仓","禁止开仓：连续亏损达到上限",IF(账户数据!$B$23="解锁信息不完整","禁止开仓：请完整填写解锁信息",IF(OR(F48="",E48="",N48="",E48&lt;=N48,账户数据!$B$7=""),"",IF(OR(AG48="",AH48="",AI48=""),"禁止开仓：交易预期未填写完整",IF(COUNTIFS(持仓跟踪!$A$2:$A$501,"止损计划",持仓跟踪!$B$2:$B$501,A48,持仓跟踪!$AC$2:$AC$501,"计划有效")=0,"禁止开仓：请先填写止损计划",IF(账户数据!$B$9+F48*(E48-N48)&gt;=账户数据!$B$7,"禁止开仓：风险额度不足",IF(AJ48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8" s="2" t="n">
        <v>1400</v>
      </c>
      <c r="I48" s="41" t="n">
        <v>45070</v>
      </c>
      <c r="J48" s="40" t="n">
        <v>55</v>
      </c>
      <c r="K48" s="40" t="n">
        <v>56</v>
      </c>
      <c r="L48" s="8">
        <f>IF(K48="","",H48)</f>
        <v/>
      </c>
      <c r="M48" s="41" t="n">
        <v>45077</v>
      </c>
      <c r="N48" s="40" t="n">
        <v>50</v>
      </c>
      <c r="O48" s="40" t="n"/>
      <c r="P48" s="40" t="n"/>
      <c r="Q48" s="2" t="n"/>
      <c r="R48" s="2" t="n"/>
      <c r="S48" s="2" t="n"/>
      <c r="T48" s="2" t="n"/>
      <c r="U48" s="7">
        <f>IF(OR(AO48="",J48="",AO48&lt;=0),"",(J48-AO48)/AO48)</f>
        <v/>
      </c>
      <c r="V48" s="7">
        <f>IF(OR(AO48="",N48="",AO48&lt;=0),"",(AO48-N48)/AO48)</f>
        <v/>
      </c>
      <c r="W48" s="13">
        <f>IF(OR(U48="",V48="",V48&lt;=0),"",U48/V48)</f>
        <v/>
      </c>
      <c r="X48" s="42">
        <f>IF(OR(K48="",L48="",AP48=""),"",K48*L48-(E48*H48+IF(AND(AK48&lt;&gt;"",AL48&lt;&gt;""),AK48*AL48,0)+IF(AND(AM48&lt;&gt;"",AN48&lt;&gt;""),AM48*AN48,0))-IF(O48="",0,O48)-IF(P48="",0,P48))</f>
        <v/>
      </c>
      <c r="Y48" s="7">
        <f>IF(OR(X48="",AP48=""),"",IF((E48*H48+IF(AND(AK48&lt;&gt;"",AL48&lt;&gt;""),AK48*AL48,0)+IF(AND(AM48&lt;&gt;"",AN48&lt;&gt;""),AM48*AN48,0))+IF(O48="",0,O48)&lt;=0,"",X48/((E48*H48+IF(AND(AK48&lt;&gt;"",AL48&lt;&gt;""),AK48*AL48,0)+IF(AND(AM48&lt;&gt;"",AN48&lt;&gt;""),AM48*AN48,0))+IF(O48="",0,O48))))</f>
        <v/>
      </c>
      <c r="Z48" s="7">
        <f>IF(OR(AE48="",多次统计数据!$B$8=""),"",AE48-多次统计数据!$B$8)</f>
        <v/>
      </c>
      <c r="AA48" s="14">
        <f>IF(OR(I48="",M48="",M48&lt;I48),"",M48-I48)</f>
        <v/>
      </c>
      <c r="AB48" s="7">
        <f>IF(OR(A48="",多次统计数据!$B$8="",多次统计数据!$B$6&lt;=0,多次统计数据!$B$6&gt;=1),"",1-POWER(1+多次统计数据!$B$8,-多次统计数据!$B$6/(1-多次统计数据!$B$6)))</f>
        <v/>
      </c>
      <c r="AC48" s="8">
        <f>IF(OR(AB48="",多次统计数据!$B$9=""),"",IF(多次统计数据!$B$9&lt;AB48,"低于上限","达到或超过上限"))</f>
        <v/>
      </c>
      <c r="AD48" s="2" t="n"/>
      <c r="AE48" s="7">
        <f>IF(OR(X48="",C48="",C48&lt;=0),"",X48/C48)</f>
        <v/>
      </c>
      <c r="AG48" s="28" t="n"/>
      <c r="AH48" s="28" t="n"/>
      <c r="AI48" s="28" t="n"/>
      <c r="AJ48" s="31">
        <f>IF(OR(AG48="",AH48=""),"",IF(OR(AND(AG48="短期博反弹",OR(AH48="1～3个交易日",AH48="4～10个交易日")),AND(AG48="突破冲新高",OR(AH48="4～10个交易日",AH48="11～20个交易日")),AND(AG48="趋势波段",OR(AH48="11～20个交易日",AH48="21～60个交易日",AH48="60个交易日以上"))),"匹配","周期与交易预期不匹配，请重新确认"))</f>
        <v/>
      </c>
      <c r="AK48" s="43" t="n"/>
      <c r="AL48" s="27" t="n"/>
      <c r="AM48" s="43" t="n"/>
      <c r="AN48" s="27" t="n"/>
      <c r="AO48" s="44">
        <f>IF(OR(A48="",H48="",H48&lt;=0),"",(E48*H48+IF(AND(AK48&lt;&gt;"",AL48&lt;&gt;""),AK48*AL48,0)+IF(AND(AM48&lt;&gt;"",AN48&lt;&gt;""),AM48*AN48,0))/AP48)</f>
        <v/>
      </c>
      <c r="AP48" s="26">
        <f>IF(OR(A48="",H48="",H48&lt;=0),"",H48+IF(AL48="",0,AL48)+IF(AN48="",0,AN48))</f>
        <v/>
      </c>
      <c r="AQ48" s="44">
        <f>IF(A48="","",IF(M48&lt;&gt;"",0,IF(OR(H48="",N48=""),"",MAX(E48-MAX(N48,IFERROR(AGGREGATE(14,6,'持仓跟踪'!$S$2:$S$501/(('持仓跟踪'!$A$2:$A$501="每日跟踪")*('持仓跟踪'!$B$2:$B$501=A48)),1),0)),0)*H48+IF(OR(AK48="",AL48=""),0,MAX(AK48-MAX(N48,IFERROR(AGGREGATE(14,6,'持仓跟踪'!$S$2:$S$501/(('持仓跟踪'!$A$2:$A$501="每日跟踪")*('持仓跟踪'!$B$2:$B$501=A48)),1),0)),0)*AL48)+IF(OR(AM48="",AN48=""),0,MAX(AM48-MAX(N48,IFERROR(AGGREGATE(14,6,'持仓跟踪'!$S$2:$S$501/(('持仓跟踪'!$A$2:$A$501="每日跟踪")*('持仓跟踪'!$B$2:$B$501=A48)),1),0)),0)*AN48))))</f>
        <v/>
      </c>
      <c r="AR48" s="31">
        <f>IF(A48="","",IF(OR(E48="",H48=""),"违规：第一批价格或股数缺失",IF(OR(AND(AK48="",AL48&lt;&gt;""),AND(AK48&lt;&gt;"",AL48="")),"违规：第二批价格与股数须成对填写",IF(OR(AND(AM48="",AN48&lt;&gt;""),AND(AM48&lt;&gt;"",AN48="")),"违规：第三批价格与股数须成对填写",IF(AND(OR(AM48&lt;&gt;"",AN48&lt;&gt;""),OR(AK48="",AL48="")),"违规：必须先完成第二批",IF(OR(H48&lt;=0,H48&lt;&gt;INT(H48),MOD(H48,100)&lt;&gt;0,AND(AL48&lt;&gt;"",OR(AL48&lt;=0,AL48&lt;&gt;INT(AL48),MOD(AL48,100)&lt;&gt;0)),AND(AN48&lt;&gt;"",OR(AN48&lt;=0,AN48&lt;&gt;INT(AN48),MOD(AN48,100)&lt;&gt;0))),"违规：股数须为100股整数倍",IF(AND(OR(AL48&lt;&gt;"",AN48&lt;&gt;""),OR(_LockStatus="已锁仓",_LockStatus="解锁信息不完整")),"违规：锁仓期间禁止加仓",IF(AQ48&gt;C48*D48,"违规：超过单笔风险上限",IF(SUM($AQ$2:$AQ$201)&gt;账户数据!$B$7,"违规：超过账户风险上限","通过")))))))))</f>
        <v/>
      </c>
    </row>
    <row r="49">
      <c r="A49" s="2" t="n">
        <v>48</v>
      </c>
      <c r="B49" s="2" t="inlineStr">
        <is>
          <t>深南电路</t>
        </is>
      </c>
      <c r="C49" s="40" t="n">
        <v>111443</v>
      </c>
      <c r="D49" s="6" t="n">
        <v>0.02</v>
      </c>
      <c r="E49" s="40" t="n">
        <v>52.19</v>
      </c>
      <c r="F49" s="8">
        <f>IF(OR(C49="",D49="",E49="",N49="",C49&lt;=0,D49&lt;=0,E49&lt;=N49),"",ROUNDDOWN((C49*D49)/(E49-N49)/100,0)*100)</f>
        <v/>
      </c>
      <c r="G49" s="8">
        <f>IF(A49="","",IF(H49&lt;&gt;"","已开仓",IF(账户数据!$B$23="已锁仓","禁止开仓：连续亏损达到上限",IF(账户数据!$B$23="解锁信息不完整","禁止开仓：请完整填写解锁信息",IF(OR(F49="",E49="",N49="",E49&lt;=N49,账户数据!$B$7=""),"",IF(OR(AG49="",AH49="",AI49=""),"禁止开仓：交易预期未填写完整",IF(COUNTIFS(持仓跟踪!$A$2:$A$501,"止损计划",持仓跟踪!$B$2:$B$501,A49,持仓跟踪!$AC$2:$AC$501,"计划有效")=0,"禁止开仓：请先填写止损计划",IF(账户数据!$B$9+F49*(E49-N49)&gt;=账户数据!$B$7,"禁止开仓：风险额度不足",IF(AJ49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49" s="2" t="n">
        <v>1000</v>
      </c>
      <c r="I49" s="41" t="n">
        <v>45153</v>
      </c>
      <c r="J49" s="40" t="n">
        <v>55</v>
      </c>
      <c r="K49" s="40" t="n">
        <v>46.45</v>
      </c>
      <c r="L49" s="8">
        <f>IF(K49="","",H49)</f>
        <v/>
      </c>
      <c r="M49" s="41" t="n">
        <v>45159</v>
      </c>
      <c r="N49" s="40" t="n">
        <v>50</v>
      </c>
      <c r="O49" s="40" t="n"/>
      <c r="P49" s="40" t="n"/>
      <c r="Q49" s="2" t="n"/>
      <c r="R49" s="2" t="n"/>
      <c r="S49" s="2" t="n"/>
      <c r="T49" s="2" t="n"/>
      <c r="U49" s="7">
        <f>IF(OR(AO49="",J49="",AO49&lt;=0),"",(J49-AO49)/AO49)</f>
        <v/>
      </c>
      <c r="V49" s="7">
        <f>IF(OR(AO49="",N49="",AO49&lt;=0),"",(AO49-N49)/AO49)</f>
        <v/>
      </c>
      <c r="W49" s="13">
        <f>IF(OR(U49="",V49="",V49&lt;=0),"",U49/V49)</f>
        <v/>
      </c>
      <c r="X49" s="42">
        <f>IF(OR(K49="",L49="",AP49=""),"",K49*L49-(E49*H49+IF(AND(AK49&lt;&gt;"",AL49&lt;&gt;""),AK49*AL49,0)+IF(AND(AM49&lt;&gt;"",AN49&lt;&gt;""),AM49*AN49,0))-IF(O49="",0,O49)-IF(P49="",0,P49))</f>
        <v/>
      </c>
      <c r="Y49" s="7">
        <f>IF(OR(X49="",AP49=""),"",IF((E49*H49+IF(AND(AK49&lt;&gt;"",AL49&lt;&gt;""),AK49*AL49,0)+IF(AND(AM49&lt;&gt;"",AN49&lt;&gt;""),AM49*AN49,0))+IF(O49="",0,O49)&lt;=0,"",X49/((E49*H49+IF(AND(AK49&lt;&gt;"",AL49&lt;&gt;""),AK49*AL49,0)+IF(AND(AM49&lt;&gt;"",AN49&lt;&gt;""),AM49*AN49,0))+IF(O49="",0,O49))))</f>
        <v/>
      </c>
      <c r="Z49" s="7">
        <f>IF(OR(AE49="",多次统计数据!$B$8=""),"",AE49-多次统计数据!$B$8)</f>
        <v/>
      </c>
      <c r="AA49" s="14">
        <f>IF(OR(I49="",M49="",M49&lt;I49),"",M49-I49)</f>
        <v/>
      </c>
      <c r="AB49" s="7">
        <f>IF(OR(A49="",多次统计数据!$B$8="",多次统计数据!$B$6&lt;=0,多次统计数据!$B$6&gt;=1),"",1-POWER(1+多次统计数据!$B$8,-多次统计数据!$B$6/(1-多次统计数据!$B$6)))</f>
        <v/>
      </c>
      <c r="AC49" s="8">
        <f>IF(OR(AB49="",多次统计数据!$B$9=""),"",IF(多次统计数据!$B$9&lt;AB49,"低于上限","达到或超过上限"))</f>
        <v/>
      </c>
      <c r="AD49" s="2" t="n"/>
      <c r="AE49" s="7">
        <f>IF(OR(X49="",C49="",C49&lt;=0),"",X49/C49)</f>
        <v/>
      </c>
      <c r="AF49" t="inlineStr">
        <is>
          <t>盈利比不好，强行买入了</t>
        </is>
      </c>
      <c r="AG49" s="28" t="n"/>
      <c r="AH49" s="28" t="n"/>
      <c r="AI49" s="28" t="n"/>
      <c r="AJ49" s="31">
        <f>IF(OR(AG49="",AH49=""),"",IF(OR(AND(AG49="短期博反弹",OR(AH49="1～3个交易日",AH49="4～10个交易日")),AND(AG49="突破冲新高",OR(AH49="4～10个交易日",AH49="11～20个交易日")),AND(AG49="趋势波段",OR(AH49="11～20个交易日",AH49="21～60个交易日",AH49="60个交易日以上"))),"匹配","周期与交易预期不匹配，请重新确认"))</f>
        <v/>
      </c>
      <c r="AK49" s="43" t="n"/>
      <c r="AL49" s="27" t="n"/>
      <c r="AM49" s="43" t="n"/>
      <c r="AN49" s="27" t="n"/>
      <c r="AO49" s="44">
        <f>IF(OR(A49="",H49="",H49&lt;=0),"",(E49*H49+IF(AND(AK49&lt;&gt;"",AL49&lt;&gt;""),AK49*AL49,0)+IF(AND(AM49&lt;&gt;"",AN49&lt;&gt;""),AM49*AN49,0))/AP49)</f>
        <v/>
      </c>
      <c r="AP49" s="26">
        <f>IF(OR(A49="",H49="",H49&lt;=0),"",H49+IF(AL49="",0,AL49)+IF(AN49="",0,AN49))</f>
        <v/>
      </c>
      <c r="AQ49" s="44">
        <f>IF(A49="","",IF(M49&lt;&gt;"",0,IF(OR(H49="",N49=""),"",MAX(E49-MAX(N49,IFERROR(AGGREGATE(14,6,'持仓跟踪'!$S$2:$S$501/(('持仓跟踪'!$A$2:$A$501="每日跟踪")*('持仓跟踪'!$B$2:$B$501=A49)),1),0)),0)*H49+IF(OR(AK49="",AL49=""),0,MAX(AK49-MAX(N49,IFERROR(AGGREGATE(14,6,'持仓跟踪'!$S$2:$S$501/(('持仓跟踪'!$A$2:$A$501="每日跟踪")*('持仓跟踪'!$B$2:$B$501=A49)),1),0)),0)*AL49)+IF(OR(AM49="",AN49=""),0,MAX(AM49-MAX(N49,IFERROR(AGGREGATE(14,6,'持仓跟踪'!$S$2:$S$501/(('持仓跟踪'!$A$2:$A$501="每日跟踪")*('持仓跟踪'!$B$2:$B$501=A49)),1),0)),0)*AN49))))</f>
        <v/>
      </c>
      <c r="AR49" s="31">
        <f>IF(A49="","",IF(OR(E49="",H49=""),"违规：第一批价格或股数缺失",IF(OR(AND(AK49="",AL49&lt;&gt;""),AND(AK49&lt;&gt;"",AL49="")),"违规：第二批价格与股数须成对填写",IF(OR(AND(AM49="",AN49&lt;&gt;""),AND(AM49&lt;&gt;"",AN49="")),"违规：第三批价格与股数须成对填写",IF(AND(OR(AM49&lt;&gt;"",AN49&lt;&gt;""),OR(AK49="",AL49="")),"违规：必须先完成第二批",IF(OR(H49&lt;=0,H49&lt;&gt;INT(H49),MOD(H49,100)&lt;&gt;0,AND(AL49&lt;&gt;"",OR(AL49&lt;=0,AL49&lt;&gt;INT(AL49),MOD(AL49,100)&lt;&gt;0)),AND(AN49&lt;&gt;"",OR(AN49&lt;=0,AN49&lt;&gt;INT(AN49),MOD(AN49,100)&lt;&gt;0))),"违规：股数须为100股整数倍",IF(AND(OR(AL49&lt;&gt;"",AN49&lt;&gt;""),OR(_LockStatus="已锁仓",_LockStatus="解锁信息不完整")),"违规：锁仓期间禁止加仓",IF(AQ49&gt;C49*D49,"违规：超过单笔风险上限",IF(SUM($AQ$2:$AQ$201)&gt;账户数据!$B$7,"违规：超过账户风险上限","通过")))))))))</f>
        <v/>
      </c>
    </row>
    <row r="50">
      <c r="A50" s="2" t="n">
        <v>49</v>
      </c>
      <c r="B50" s="2" t="inlineStr">
        <is>
          <t>深南电路</t>
        </is>
      </c>
      <c r="C50" s="40" t="n">
        <v>108793</v>
      </c>
      <c r="D50" s="6" t="n">
        <v>0.02</v>
      </c>
      <c r="E50" s="40" t="n">
        <v>41.88</v>
      </c>
      <c r="F50" s="8">
        <f>IF(OR(C50="",D50="",E50="",N50="",C50&lt;=0,D50&lt;=0,E50&lt;=N50),"",ROUNDDOWN((C50*D50)/(E50-N50)/100,0)*100)</f>
        <v/>
      </c>
      <c r="G50" s="8">
        <f>IF(A50="","",IF(H50&lt;&gt;"","已开仓",IF(账户数据!$B$23="已锁仓","禁止开仓：连续亏损达到上限",IF(账户数据!$B$23="解锁信息不完整","禁止开仓：请完整填写解锁信息",IF(OR(F50="",E50="",N50="",E50&lt;=N50,账户数据!$B$7=""),"",IF(OR(AG50="",AH50="",AI50=""),"禁止开仓：交易预期未填写完整",IF(COUNTIFS(持仓跟踪!$A$2:$A$501,"止损计划",持仓跟踪!$B$2:$B$501,A50,持仓跟踪!$AC$2:$AC$501,"计划有效")=0,"禁止开仓：请先填写止损计划",IF(账户数据!$B$9+F50*(E50-N50)&gt;=账户数据!$B$7,"禁止开仓：风险额度不足",IF(AJ50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0" s="2" t="n">
        <v>1100</v>
      </c>
      <c r="I50" s="41" t="n">
        <v>45309</v>
      </c>
      <c r="J50" s="40" t="n">
        <v>45.5</v>
      </c>
      <c r="K50" s="40" t="n">
        <v>38.83</v>
      </c>
      <c r="L50" s="8">
        <f>IF(K50="","",H50)</f>
        <v/>
      </c>
      <c r="M50" s="41" t="n">
        <v>45313</v>
      </c>
      <c r="N50" s="40" t="n">
        <v>40</v>
      </c>
      <c r="O50" s="40" t="n"/>
      <c r="P50" s="40" t="n"/>
      <c r="Q50" s="2" t="n"/>
      <c r="R50" s="2" t="n"/>
      <c r="S50" s="2" t="n"/>
      <c r="T50" s="2" t="n"/>
      <c r="U50" s="7">
        <f>IF(OR(AO50="",J50="",AO50&lt;=0),"",(J50-AO50)/AO50)</f>
        <v/>
      </c>
      <c r="V50" s="7">
        <f>IF(OR(AO50="",N50="",AO50&lt;=0),"",(AO50-N50)/AO50)</f>
        <v/>
      </c>
      <c r="W50" s="13">
        <f>IF(OR(U50="",V50="",V50&lt;=0),"",U50/V50)</f>
        <v/>
      </c>
      <c r="X50" s="42">
        <f>IF(OR(K50="",L50="",AP50=""),"",K50*L50-(E50*H50+IF(AND(AK50&lt;&gt;"",AL50&lt;&gt;""),AK50*AL50,0)+IF(AND(AM50&lt;&gt;"",AN50&lt;&gt;""),AM50*AN50,0))-IF(O50="",0,O50)-IF(P50="",0,P50))</f>
        <v/>
      </c>
      <c r="Y50" s="7">
        <f>IF(OR(X50="",AP50=""),"",IF((E50*H50+IF(AND(AK50&lt;&gt;"",AL50&lt;&gt;""),AK50*AL50,0)+IF(AND(AM50&lt;&gt;"",AN50&lt;&gt;""),AM50*AN50,0))+IF(O50="",0,O50)&lt;=0,"",X50/((E50*H50+IF(AND(AK50&lt;&gt;"",AL50&lt;&gt;""),AK50*AL50,0)+IF(AND(AM50&lt;&gt;"",AN50&lt;&gt;""),AM50*AN50,0))+IF(O50="",0,O50))))</f>
        <v/>
      </c>
      <c r="Z50" s="7">
        <f>IF(OR(AE50="",多次统计数据!$B$8=""),"",AE50-多次统计数据!$B$8)</f>
        <v/>
      </c>
      <c r="AA50" s="14">
        <f>IF(OR(I50="",M50="",M50&lt;I50),"",M50-I50)</f>
        <v/>
      </c>
      <c r="AB50" s="7">
        <f>IF(OR(A50="",多次统计数据!$B$8="",多次统计数据!$B$6&lt;=0,多次统计数据!$B$6&gt;=1),"",1-POWER(1+多次统计数据!$B$8,-多次统计数据!$B$6/(1-多次统计数据!$B$6)))</f>
        <v/>
      </c>
      <c r="AC50" s="8">
        <f>IF(OR(AB50="",多次统计数据!$B$9=""),"",IF(多次统计数据!$B$9&lt;AB50,"低于上限","达到或超过上限"))</f>
        <v/>
      </c>
      <c r="AD50" s="2" t="n"/>
      <c r="AE50" s="7">
        <f>IF(OR(X50="",C50="",C50&lt;=0),"",X50/C50)</f>
        <v/>
      </c>
      <c r="AF50" t="inlineStr">
        <is>
          <t>不要强跑等确认上升</t>
        </is>
      </c>
      <c r="AG50" s="28" t="n"/>
      <c r="AH50" s="28" t="n"/>
      <c r="AI50" s="28" t="n"/>
      <c r="AJ50" s="31">
        <f>IF(OR(AG50="",AH50=""),"",IF(OR(AND(AG50="短期博反弹",OR(AH50="1～3个交易日",AH50="4～10个交易日")),AND(AG50="突破冲新高",OR(AH50="4～10个交易日",AH50="11～20个交易日")),AND(AG50="趋势波段",OR(AH50="11～20个交易日",AH50="21～60个交易日",AH50="60个交易日以上"))),"匹配","周期与交易预期不匹配，请重新确认"))</f>
        <v/>
      </c>
      <c r="AK50" s="43" t="n"/>
      <c r="AL50" s="27" t="n"/>
      <c r="AM50" s="43" t="n"/>
      <c r="AN50" s="27" t="n"/>
      <c r="AO50" s="44">
        <f>IF(OR(A50="",H50="",H50&lt;=0),"",(E50*H50+IF(AND(AK50&lt;&gt;"",AL50&lt;&gt;""),AK50*AL50,0)+IF(AND(AM50&lt;&gt;"",AN50&lt;&gt;""),AM50*AN50,0))/AP50)</f>
        <v/>
      </c>
      <c r="AP50" s="26">
        <f>IF(OR(A50="",H50="",H50&lt;=0),"",H50+IF(AL50="",0,AL50)+IF(AN50="",0,AN50))</f>
        <v/>
      </c>
      <c r="AQ50" s="44">
        <f>IF(A50="","",IF(M50&lt;&gt;"",0,IF(OR(H50="",N50=""),"",MAX(E50-MAX(N50,IFERROR(AGGREGATE(14,6,'持仓跟踪'!$S$2:$S$501/(('持仓跟踪'!$A$2:$A$501="每日跟踪")*('持仓跟踪'!$B$2:$B$501=A50)),1),0)),0)*H50+IF(OR(AK50="",AL50=""),0,MAX(AK50-MAX(N50,IFERROR(AGGREGATE(14,6,'持仓跟踪'!$S$2:$S$501/(('持仓跟踪'!$A$2:$A$501="每日跟踪")*('持仓跟踪'!$B$2:$B$501=A50)),1),0)),0)*AL50)+IF(OR(AM50="",AN50=""),0,MAX(AM50-MAX(N50,IFERROR(AGGREGATE(14,6,'持仓跟踪'!$S$2:$S$501/(('持仓跟踪'!$A$2:$A$501="每日跟踪")*('持仓跟踪'!$B$2:$B$501=A50)),1),0)),0)*AN50))))</f>
        <v/>
      </c>
      <c r="AR50" s="31">
        <f>IF(A50="","",IF(OR(E50="",H50=""),"违规：第一批价格或股数缺失",IF(OR(AND(AK50="",AL50&lt;&gt;""),AND(AK50&lt;&gt;"",AL50="")),"违规：第二批价格与股数须成对填写",IF(OR(AND(AM50="",AN50&lt;&gt;""),AND(AM50&lt;&gt;"",AN50="")),"违规：第三批价格与股数须成对填写",IF(AND(OR(AM50&lt;&gt;"",AN50&lt;&gt;""),OR(AK50="",AL50="")),"违规：必须先完成第二批",IF(OR(H50&lt;=0,H50&lt;&gt;INT(H50),MOD(H50,100)&lt;&gt;0,AND(AL50&lt;&gt;"",OR(AL50&lt;=0,AL50&lt;&gt;INT(AL50),MOD(AL50,100)&lt;&gt;0)),AND(AN50&lt;&gt;"",OR(AN50&lt;=0,AN50&lt;&gt;INT(AN50),MOD(AN50,100)&lt;&gt;0))),"违规：股数须为100股整数倍",IF(AND(OR(AL50&lt;&gt;"",AN50&lt;&gt;""),OR(_LockStatus="已锁仓",_LockStatus="解锁信息不完整")),"违规：锁仓期间禁止加仓",IF(AQ50&gt;C50*D50,"违规：超过单笔风险上限",IF(SUM($AQ$2:$AQ$201)&gt;账户数据!$B$7,"违规：超过账户风险上限","通过")))))))))</f>
        <v/>
      </c>
    </row>
    <row r="51">
      <c r="A51" s="2" t="n">
        <v>50</v>
      </c>
      <c r="B51" s="2" t="inlineStr">
        <is>
          <t>深南电路</t>
        </is>
      </c>
      <c r="C51" s="40" t="n">
        <v>105348</v>
      </c>
      <c r="D51" s="6" t="n">
        <v>0.02</v>
      </c>
      <c r="E51" s="40" t="n">
        <v>97.5</v>
      </c>
      <c r="F51" s="8">
        <f>IF(OR(C51="",D51="",E51="",N51="",C51&lt;=0,D51&lt;=0,E51&lt;=N51),"",ROUNDDOWN((C51*D51)/(E51-N51)/100,0)*100)</f>
        <v/>
      </c>
      <c r="G51" s="8">
        <f>IF(A51="","",IF(H51&lt;&gt;"","已开仓",IF(账户数据!$B$23="已锁仓","禁止开仓：连续亏损达到上限",IF(账户数据!$B$23="解锁信息不完整","禁止开仓：请完整填写解锁信息",IF(OR(F51="",E51="",N51="",E51&lt;=N51,账户数据!$B$7=""),"",IF(OR(AG51="",AH51="",AI51=""),"禁止开仓：交易预期未填写完整",IF(COUNTIFS(持仓跟踪!$A$2:$A$501,"止损计划",持仓跟踪!$B$2:$B$501,A51,持仓跟踪!$AC$2:$AC$501,"计划有效")=0,"禁止开仓：请先填写止损计划",IF(账户数据!$B$9+F51*(E51-N51)&gt;=账户数据!$B$7,"禁止开仓：风险额度不足",IF(AJ51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1" s="2" t="n">
        <v>800</v>
      </c>
      <c r="I51" s="41" t="n">
        <v>45833</v>
      </c>
      <c r="J51" s="40" t="n">
        <v>100</v>
      </c>
      <c r="K51" s="40" t="n">
        <v>129.8</v>
      </c>
      <c r="L51" s="8">
        <f>IF(K51="","",H51)</f>
        <v/>
      </c>
      <c r="M51" s="41" t="n">
        <v>45861</v>
      </c>
      <c r="N51" s="40" t="n">
        <v>95</v>
      </c>
      <c r="O51" s="40" t="n"/>
      <c r="P51" s="40" t="n"/>
      <c r="Q51" s="2" t="n"/>
      <c r="R51" s="2" t="n"/>
      <c r="S51" s="2" t="n"/>
      <c r="T51" s="2" t="n"/>
      <c r="U51" s="7">
        <f>IF(OR(AO51="",J51="",AO51&lt;=0),"",(J51-AO51)/AO51)</f>
        <v/>
      </c>
      <c r="V51" s="7">
        <f>IF(OR(AO51="",N51="",AO51&lt;=0),"",(AO51-N51)/AO51)</f>
        <v/>
      </c>
      <c r="W51" s="13">
        <f>IF(OR(U51="",V51="",V51&lt;=0),"",U51/V51)</f>
        <v/>
      </c>
      <c r="X51" s="42">
        <f>IF(OR(K51="",L51="",AP51=""),"",K51*L51-(E51*H51+IF(AND(AK51&lt;&gt;"",AL51&lt;&gt;""),AK51*AL51,0)+IF(AND(AM51&lt;&gt;"",AN51&lt;&gt;""),AM51*AN51,0))-IF(O51="",0,O51)-IF(P51="",0,P51))</f>
        <v/>
      </c>
      <c r="Y51" s="7">
        <f>IF(OR(X51="",AP51=""),"",IF((E51*H51+IF(AND(AK51&lt;&gt;"",AL51&lt;&gt;""),AK51*AL51,0)+IF(AND(AM51&lt;&gt;"",AN51&lt;&gt;""),AM51*AN51,0))+IF(O51="",0,O51)&lt;=0,"",X51/((E51*H51+IF(AND(AK51&lt;&gt;"",AL51&lt;&gt;""),AK51*AL51,0)+IF(AND(AM51&lt;&gt;"",AN51&lt;&gt;""),AM51*AN51,0))+IF(O51="",0,O51))))</f>
        <v/>
      </c>
      <c r="Z51" s="7">
        <f>IF(OR(AE51="",多次统计数据!$B$8=""),"",AE51-多次统计数据!$B$8)</f>
        <v/>
      </c>
      <c r="AA51" s="14">
        <f>IF(OR(I51="",M51="",M51&lt;I51),"",M51-I51)</f>
        <v/>
      </c>
      <c r="AB51" s="7">
        <f>IF(OR(A51="",多次统计数据!$B$8="",多次统计数据!$B$6&lt;=0,多次统计数据!$B$6&gt;=1),"",1-POWER(1+多次统计数据!$B$8,-多次统计数据!$B$6/(1-多次统计数据!$B$6)))</f>
        <v/>
      </c>
      <c r="AC51" s="8">
        <f>IF(OR(AB51="",多次统计数据!$B$9=""),"",IF(多次统计数据!$B$9&lt;AB51,"低于上限","达到或超过上限"))</f>
        <v/>
      </c>
      <c r="AD51" s="2" t="n"/>
      <c r="AE51" s="7">
        <f>IF(OR(X51="",C51="",C51&lt;=0),"",X51/C51)</f>
        <v/>
      </c>
      <c r="AG51" s="28" t="n"/>
      <c r="AH51" s="28" t="n"/>
      <c r="AI51" s="28" t="n"/>
      <c r="AJ51" s="31">
        <f>IF(OR(AG51="",AH51=""),"",IF(OR(AND(AG51="短期博反弹",OR(AH51="1～3个交易日",AH51="4～10个交易日")),AND(AG51="突破冲新高",OR(AH51="4～10个交易日",AH51="11～20个交易日")),AND(AG51="趋势波段",OR(AH51="11～20个交易日",AH51="21～60个交易日",AH51="60个交易日以上"))),"匹配","周期与交易预期不匹配，请重新确认"))</f>
        <v/>
      </c>
      <c r="AK51" s="43" t="n"/>
      <c r="AL51" s="27" t="n"/>
      <c r="AM51" s="43" t="n"/>
      <c r="AN51" s="27" t="n"/>
      <c r="AO51" s="44">
        <f>IF(OR(A51="",H51="",H51&lt;=0),"",(E51*H51+IF(AND(AK51&lt;&gt;"",AL51&lt;&gt;""),AK51*AL51,0)+IF(AND(AM51&lt;&gt;"",AN51&lt;&gt;""),AM51*AN51,0))/AP51)</f>
        <v/>
      </c>
      <c r="AP51" s="26">
        <f>IF(OR(A51="",H51="",H51&lt;=0),"",H51+IF(AL51="",0,AL51)+IF(AN51="",0,AN51))</f>
        <v/>
      </c>
      <c r="AQ51" s="44">
        <f>IF(A51="","",IF(M51&lt;&gt;"",0,IF(OR(H51="",N51=""),"",MAX(E51-MAX(N51,IFERROR(AGGREGATE(14,6,'持仓跟踪'!$S$2:$S$501/(('持仓跟踪'!$A$2:$A$501="每日跟踪")*('持仓跟踪'!$B$2:$B$501=A51)),1),0)),0)*H51+IF(OR(AK51="",AL51=""),0,MAX(AK51-MAX(N51,IFERROR(AGGREGATE(14,6,'持仓跟踪'!$S$2:$S$501/(('持仓跟踪'!$A$2:$A$501="每日跟踪")*('持仓跟踪'!$B$2:$B$501=A51)),1),0)),0)*AL51)+IF(OR(AM51="",AN51=""),0,MAX(AM51-MAX(N51,IFERROR(AGGREGATE(14,6,'持仓跟踪'!$S$2:$S$501/(('持仓跟踪'!$A$2:$A$501="每日跟踪")*('持仓跟踪'!$B$2:$B$501=A51)),1),0)),0)*AN51))))</f>
        <v/>
      </c>
      <c r="AR51" s="31">
        <f>IF(A51="","",IF(OR(E51="",H51=""),"违规：第一批价格或股数缺失",IF(OR(AND(AK51="",AL51&lt;&gt;""),AND(AK51&lt;&gt;"",AL51="")),"违规：第二批价格与股数须成对填写",IF(OR(AND(AM51="",AN51&lt;&gt;""),AND(AM51&lt;&gt;"",AN51="")),"违规：第三批价格与股数须成对填写",IF(AND(OR(AM51&lt;&gt;"",AN51&lt;&gt;""),OR(AK51="",AL51="")),"违规：必须先完成第二批",IF(OR(H51&lt;=0,H51&lt;&gt;INT(H51),MOD(H51,100)&lt;&gt;0,AND(AL51&lt;&gt;"",OR(AL51&lt;=0,AL51&lt;&gt;INT(AL51),MOD(AL51,100)&lt;&gt;0)),AND(AN51&lt;&gt;"",OR(AN51&lt;=0,AN51&lt;&gt;INT(AN51),MOD(AN51,100)&lt;&gt;0))),"违规：股数须为100股整数倍",IF(AND(OR(AL51&lt;&gt;"",AN51&lt;&gt;""),OR(_LockStatus="已锁仓",_LockStatus="解锁信息不完整")),"违规：锁仓期间禁止加仓",IF(AQ51&gt;C51*D51,"违规：超过单笔风险上限",IF(SUM($AQ$2:$AQ$201)&gt;账户数据!$B$7,"违规：超过账户风险上限","通过")))))))))</f>
        <v/>
      </c>
    </row>
    <row r="52">
      <c r="A52" s="2" t="n">
        <v>51</v>
      </c>
      <c r="B52" s="2" t="inlineStr">
        <is>
          <t>深南电路</t>
        </is>
      </c>
      <c r="C52" s="40" t="n">
        <v>131188</v>
      </c>
      <c r="D52" s="6" t="n">
        <v>0.02</v>
      </c>
      <c r="E52" s="40" t="n">
        <v>139.18</v>
      </c>
      <c r="F52" s="8">
        <f>IF(OR(C52="",D52="",E52="",N52="",C52&lt;=0,D52&lt;=0,E52&lt;=N52),"",ROUNDDOWN((C52*D52)/(E52-N52)/100,0)*100)</f>
        <v/>
      </c>
      <c r="G52" s="8">
        <f>IF(A52="","",IF(H52&lt;&gt;"","已开仓",IF(账户数据!$B$23="已锁仓","禁止开仓：连续亏损达到上限",IF(账户数据!$B$23="解锁信息不完整","禁止开仓：请完整填写解锁信息",IF(OR(F52="",E52="",N52="",E52&lt;=N52,账户数据!$B$7=""),"",IF(OR(AG52="",AH52="",AI52=""),"禁止开仓：交易预期未填写完整",IF(COUNTIFS(持仓跟踪!$A$2:$A$501,"止损计划",持仓跟踪!$B$2:$B$501,A52,持仓跟踪!$AC$2:$AC$501,"计划有效")=0,"禁止开仓：请先填写止损计划",IF(账户数据!$B$9+F52*(E52-N52)&gt;=账户数据!$B$7,"禁止开仓：风险额度不足",IF(AJ52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2" s="2" t="n">
        <v>600</v>
      </c>
      <c r="I52" s="41" t="n">
        <v>45890</v>
      </c>
      <c r="J52" s="40" t="n">
        <v>150</v>
      </c>
      <c r="K52" s="40" t="n">
        <v>177.39</v>
      </c>
      <c r="L52" s="8">
        <f>IF(K52="","",H52)</f>
        <v/>
      </c>
      <c r="M52" s="41" t="n">
        <v>45902</v>
      </c>
      <c r="N52" s="40" t="n">
        <v>135</v>
      </c>
      <c r="O52" s="40" t="n"/>
      <c r="P52" s="40" t="n"/>
      <c r="Q52" s="2" t="n"/>
      <c r="R52" s="2" t="n"/>
      <c r="S52" s="2" t="n"/>
      <c r="T52" s="2" t="n"/>
      <c r="U52" s="7">
        <f>IF(OR(AO52="",J52="",AO52&lt;=0),"",(J52-AO52)/AO52)</f>
        <v/>
      </c>
      <c r="V52" s="7">
        <f>IF(OR(AO52="",N52="",AO52&lt;=0),"",(AO52-N52)/AO52)</f>
        <v/>
      </c>
      <c r="W52" s="13">
        <f>IF(OR(U52="",V52="",V52&lt;=0),"",U52/V52)</f>
        <v/>
      </c>
      <c r="X52" s="42">
        <f>IF(OR(K52="",L52="",AP52=""),"",K52*L52-(E52*H52+IF(AND(AK52&lt;&gt;"",AL52&lt;&gt;""),AK52*AL52,0)+IF(AND(AM52&lt;&gt;"",AN52&lt;&gt;""),AM52*AN52,0))-IF(O52="",0,O52)-IF(P52="",0,P52))</f>
        <v/>
      </c>
      <c r="Y52" s="7">
        <f>IF(OR(X52="",AP52=""),"",IF((E52*H52+IF(AND(AK52&lt;&gt;"",AL52&lt;&gt;""),AK52*AL52,0)+IF(AND(AM52&lt;&gt;"",AN52&lt;&gt;""),AM52*AN52,0))+IF(O52="",0,O52)&lt;=0,"",X52/((E52*H52+IF(AND(AK52&lt;&gt;"",AL52&lt;&gt;""),AK52*AL52,0)+IF(AND(AM52&lt;&gt;"",AN52&lt;&gt;""),AM52*AN52,0))+IF(O52="",0,O52))))</f>
        <v/>
      </c>
      <c r="Z52" s="7">
        <f>IF(OR(AE52="",多次统计数据!$B$8=""),"",AE52-多次统计数据!$B$8)</f>
        <v/>
      </c>
      <c r="AA52" s="14">
        <f>IF(OR(I52="",M52="",M52&lt;I52),"",M52-I52)</f>
        <v/>
      </c>
      <c r="AB52" s="7">
        <f>IF(OR(A52="",多次统计数据!$B$8="",多次统计数据!$B$6&lt;=0,多次统计数据!$B$6&gt;=1),"",1-POWER(1+多次统计数据!$B$8,-多次统计数据!$B$6/(1-多次统计数据!$B$6)))</f>
        <v/>
      </c>
      <c r="AC52" s="8">
        <f>IF(OR(AB52="",多次统计数据!$B$9=""),"",IF(多次统计数据!$B$9&lt;AB52,"低于上限","达到或超过上限"))</f>
        <v/>
      </c>
      <c r="AD52" s="2" t="n"/>
      <c r="AE52" s="7">
        <f>IF(OR(X52="",C52="",C52&lt;=0),"",X52/C52)</f>
        <v/>
      </c>
      <c r="AG52" s="28" t="n"/>
      <c r="AH52" s="28" t="n"/>
      <c r="AI52" s="28" t="n"/>
      <c r="AJ52" s="31">
        <f>IF(OR(AG52="",AH52=""),"",IF(OR(AND(AG52="短期博反弹",OR(AH52="1～3个交易日",AH52="4～10个交易日")),AND(AG52="突破冲新高",OR(AH52="4～10个交易日",AH52="11～20个交易日")),AND(AG52="趋势波段",OR(AH52="11～20个交易日",AH52="21～60个交易日",AH52="60个交易日以上"))),"匹配","周期与交易预期不匹配，请重新确认"))</f>
        <v/>
      </c>
      <c r="AK52" s="43" t="n"/>
      <c r="AL52" s="27" t="n"/>
      <c r="AM52" s="43" t="n"/>
      <c r="AN52" s="27" t="n"/>
      <c r="AO52" s="44">
        <f>IF(OR(A52="",H52="",H52&lt;=0),"",(E52*H52+IF(AND(AK52&lt;&gt;"",AL52&lt;&gt;""),AK52*AL52,0)+IF(AND(AM52&lt;&gt;"",AN52&lt;&gt;""),AM52*AN52,0))/AP52)</f>
        <v/>
      </c>
      <c r="AP52" s="26">
        <f>IF(OR(A52="",H52="",H52&lt;=0),"",H52+IF(AL52="",0,AL52)+IF(AN52="",0,AN52))</f>
        <v/>
      </c>
      <c r="AQ52" s="44">
        <f>IF(A52="","",IF(M52&lt;&gt;"",0,IF(OR(H52="",N52=""),"",MAX(E52-MAX(N52,IFERROR(AGGREGATE(14,6,'持仓跟踪'!$S$2:$S$501/(('持仓跟踪'!$A$2:$A$501="每日跟踪")*('持仓跟踪'!$B$2:$B$501=A52)),1),0)),0)*H52+IF(OR(AK52="",AL52=""),0,MAX(AK52-MAX(N52,IFERROR(AGGREGATE(14,6,'持仓跟踪'!$S$2:$S$501/(('持仓跟踪'!$A$2:$A$501="每日跟踪")*('持仓跟踪'!$B$2:$B$501=A52)),1),0)),0)*AL52)+IF(OR(AM52="",AN52=""),0,MAX(AM52-MAX(N52,IFERROR(AGGREGATE(14,6,'持仓跟踪'!$S$2:$S$501/(('持仓跟踪'!$A$2:$A$501="每日跟踪")*('持仓跟踪'!$B$2:$B$501=A52)),1),0)),0)*AN52))))</f>
        <v/>
      </c>
      <c r="AR52" s="31">
        <f>IF(A52="","",IF(OR(E52="",H52=""),"违规：第一批价格或股数缺失",IF(OR(AND(AK52="",AL52&lt;&gt;""),AND(AK52&lt;&gt;"",AL52="")),"违规：第二批价格与股数须成对填写",IF(OR(AND(AM52="",AN52&lt;&gt;""),AND(AM52&lt;&gt;"",AN52="")),"违规：第三批价格与股数须成对填写",IF(AND(OR(AM52&lt;&gt;"",AN52&lt;&gt;""),OR(AK52="",AL52="")),"违规：必须先完成第二批",IF(OR(H52&lt;=0,H52&lt;&gt;INT(H52),MOD(H52,100)&lt;&gt;0,AND(AL52&lt;&gt;"",OR(AL52&lt;=0,AL52&lt;&gt;INT(AL52),MOD(AL52,100)&lt;&gt;0)),AND(AN52&lt;&gt;"",OR(AN52&lt;=0,AN52&lt;&gt;INT(AN52),MOD(AN52,100)&lt;&gt;0))),"违规：股数须为100股整数倍",IF(AND(OR(AL52&lt;&gt;"",AN52&lt;&gt;""),OR(_LockStatus="已锁仓",_LockStatus="解锁信息不完整")),"违规：锁仓期间禁止加仓",IF(AQ52&gt;C52*D52,"违规：超过单笔风险上限",IF(SUM($AQ$2:$AQ$201)&gt;账户数据!$B$7,"违规：超过账户风险上限","通过")))))))))</f>
        <v/>
      </c>
    </row>
    <row r="53">
      <c r="A53" s="2" t="n">
        <v>52</v>
      </c>
      <c r="B53" s="2" t="inlineStr">
        <is>
          <t>双汇发展</t>
        </is>
      </c>
      <c r="C53" s="40" t="n">
        <v>154114</v>
      </c>
      <c r="D53" s="6" t="n">
        <v>0.02</v>
      </c>
      <c r="E53" s="40" t="n">
        <v>41.46</v>
      </c>
      <c r="F53" s="8">
        <f>IF(OR(C53="",D53="",E53="",N53="",C53&lt;=0,D53&lt;=0,E53&lt;=N53),"",ROUNDDOWN((C53*D53)/(E53-N53)/100,0)*100)</f>
        <v/>
      </c>
      <c r="G53" s="8">
        <f>IF(A53="","",IF(H53&lt;&gt;"","已开仓",IF(账户数据!$B$23="已锁仓","禁止开仓：连续亏损达到上限",IF(账户数据!$B$23="解锁信息不完整","禁止开仓：请完整填写解锁信息",IF(OR(F53="",E53="",N53="",E53&lt;=N53,账户数据!$B$7=""),"",IF(OR(AG53="",AH53="",AI53=""),"禁止开仓：交易预期未填写完整",IF(COUNTIFS(持仓跟踪!$A$2:$A$501,"止损计划",持仓跟踪!$B$2:$B$501,A53,持仓跟踪!$AC$2:$AC$501,"计划有效")=0,"禁止开仓：请先填写止损计划",IF(账户数据!$B$9+F53*(E53-N53)&gt;=账户数据!$B$7,"禁止开仓：风险额度不足",IF(AJ53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3" s="2" t="n">
        <v>1200</v>
      </c>
      <c r="I53" s="41" t="n">
        <v>44221</v>
      </c>
      <c r="J53" s="40" t="n">
        <v>45</v>
      </c>
      <c r="K53" s="40" t="n">
        <v>38.76</v>
      </c>
      <c r="L53" s="8">
        <f>IF(K53="","",H53)</f>
        <v/>
      </c>
      <c r="M53" s="41" t="n">
        <v>44223</v>
      </c>
      <c r="N53" s="40" t="n">
        <v>39</v>
      </c>
      <c r="O53" s="40" t="n"/>
      <c r="P53" s="40" t="n"/>
      <c r="Q53" s="2" t="n"/>
      <c r="R53" s="2" t="n"/>
      <c r="S53" s="2" t="n"/>
      <c r="T53" s="2" t="n"/>
      <c r="U53" s="7">
        <f>IF(OR(AO53="",J53="",AO53&lt;=0),"",(J53-AO53)/AO53)</f>
        <v/>
      </c>
      <c r="V53" s="7">
        <f>IF(OR(AO53="",N53="",AO53&lt;=0),"",(AO53-N53)/AO53)</f>
        <v/>
      </c>
      <c r="W53" s="13">
        <f>IF(OR(U53="",V53="",V53&lt;=0),"",U53/V53)</f>
        <v/>
      </c>
      <c r="X53" s="42">
        <f>IF(OR(K53="",L53="",AP53=""),"",K53*L53-(E53*H53+IF(AND(AK53&lt;&gt;"",AL53&lt;&gt;""),AK53*AL53,0)+IF(AND(AM53&lt;&gt;"",AN53&lt;&gt;""),AM53*AN53,0))-IF(O53="",0,O53)-IF(P53="",0,P53))</f>
        <v/>
      </c>
      <c r="Y53" s="7">
        <f>IF(OR(X53="",AP53=""),"",IF((E53*H53+IF(AND(AK53&lt;&gt;"",AL53&lt;&gt;""),AK53*AL53,0)+IF(AND(AM53&lt;&gt;"",AN53&lt;&gt;""),AM53*AN53,0))+IF(O53="",0,O53)&lt;=0,"",X53/((E53*H53+IF(AND(AK53&lt;&gt;"",AL53&lt;&gt;""),AK53*AL53,0)+IF(AND(AM53&lt;&gt;"",AN53&lt;&gt;""),AM53*AN53,0))+IF(O53="",0,O53))))</f>
        <v/>
      </c>
      <c r="Z53" s="7">
        <f>IF(OR(AE53="",多次统计数据!$B$8=""),"",AE53-多次统计数据!$B$8)</f>
        <v/>
      </c>
      <c r="AA53" s="14">
        <f>IF(OR(I53="",M53="",M53&lt;I53),"",M53-I53)</f>
        <v/>
      </c>
      <c r="AB53" s="7">
        <f>IF(OR(A53="",多次统计数据!$B$8="",多次统计数据!$B$6&lt;=0,多次统计数据!$B$6&gt;=1),"",1-POWER(1+多次统计数据!$B$8,-多次统计数据!$B$6/(1-多次统计数据!$B$6)))</f>
        <v/>
      </c>
      <c r="AC53" s="8">
        <f>IF(OR(AB53="",多次统计数据!$B$9=""),"",IF(多次统计数据!$B$9&lt;AB53,"低于上限","达到或超过上限"))</f>
        <v/>
      </c>
      <c r="AD53" s="2" t="n"/>
      <c r="AE53" s="7">
        <f>IF(OR(X53="",C53="",C53&lt;=0),"",X53/C53)</f>
        <v/>
      </c>
      <c r="AG53" s="28" t="n"/>
      <c r="AH53" s="28" t="n"/>
      <c r="AI53" s="28" t="n"/>
      <c r="AJ53" s="31">
        <f>IF(OR(AG53="",AH53=""),"",IF(OR(AND(AG53="短期博反弹",OR(AH53="1～3个交易日",AH53="4～10个交易日")),AND(AG53="突破冲新高",OR(AH53="4～10个交易日",AH53="11～20个交易日")),AND(AG53="趋势波段",OR(AH53="11～20个交易日",AH53="21～60个交易日",AH53="60个交易日以上"))),"匹配","周期与交易预期不匹配，请重新确认"))</f>
        <v/>
      </c>
      <c r="AK53" s="43" t="n"/>
      <c r="AL53" s="27" t="n"/>
      <c r="AM53" s="43" t="n"/>
      <c r="AN53" s="27" t="n"/>
      <c r="AO53" s="44">
        <f>IF(OR(A53="",H53="",H53&lt;=0),"",(E53*H53+IF(AND(AK53&lt;&gt;"",AL53&lt;&gt;""),AK53*AL53,0)+IF(AND(AM53&lt;&gt;"",AN53&lt;&gt;""),AM53*AN53,0))/AP53)</f>
        <v/>
      </c>
      <c r="AP53" s="26">
        <f>IF(OR(A53="",H53="",H53&lt;=0),"",H53+IF(AL53="",0,AL53)+IF(AN53="",0,AN53))</f>
        <v/>
      </c>
      <c r="AQ53" s="44">
        <f>IF(A53="","",IF(M53&lt;&gt;"",0,IF(OR(H53="",N53=""),"",MAX(E53-MAX(N53,IFERROR(AGGREGATE(14,6,'持仓跟踪'!$S$2:$S$501/(('持仓跟踪'!$A$2:$A$501="每日跟踪")*('持仓跟踪'!$B$2:$B$501=A53)),1),0)),0)*H53+IF(OR(AK53="",AL53=""),0,MAX(AK53-MAX(N53,IFERROR(AGGREGATE(14,6,'持仓跟踪'!$S$2:$S$501/(('持仓跟踪'!$A$2:$A$501="每日跟踪")*('持仓跟踪'!$B$2:$B$501=A53)),1),0)),0)*AL53)+IF(OR(AM53="",AN53=""),0,MAX(AM53-MAX(N53,IFERROR(AGGREGATE(14,6,'持仓跟踪'!$S$2:$S$501/(('持仓跟踪'!$A$2:$A$501="每日跟踪")*('持仓跟踪'!$B$2:$B$501=A53)),1),0)),0)*AN53))))</f>
        <v/>
      </c>
      <c r="AR53" s="31">
        <f>IF(A53="","",IF(OR(E53="",H53=""),"违规：第一批价格或股数缺失",IF(OR(AND(AK53="",AL53&lt;&gt;""),AND(AK53&lt;&gt;"",AL53="")),"违规：第二批价格与股数须成对填写",IF(OR(AND(AM53="",AN53&lt;&gt;""),AND(AM53&lt;&gt;"",AN53="")),"违规：第三批价格与股数须成对填写",IF(AND(OR(AM53&lt;&gt;"",AN53&lt;&gt;""),OR(AK53="",AL53="")),"违规：必须先完成第二批",IF(OR(H53&lt;=0,H53&lt;&gt;INT(H53),MOD(H53,100)&lt;&gt;0,AND(AL53&lt;&gt;"",OR(AL53&lt;=0,AL53&lt;&gt;INT(AL53),MOD(AL53,100)&lt;&gt;0)),AND(AN53&lt;&gt;"",OR(AN53&lt;=0,AN53&lt;&gt;INT(AN53),MOD(AN53,100)&lt;&gt;0))),"违规：股数须为100股整数倍",IF(AND(OR(AL53&lt;&gt;"",AN53&lt;&gt;""),OR(_LockStatus="已锁仓",_LockStatus="解锁信息不完整")),"违规：锁仓期间禁止加仓",IF(AQ53&gt;C53*D53,"违规：超过单笔风险上限",IF(SUM($AQ$2:$AQ$201)&gt;账户数据!$B$7,"违规：超过账户风险上限","通过")))))))))</f>
        <v/>
      </c>
    </row>
    <row r="54">
      <c r="A54" s="2" t="n">
        <v>53</v>
      </c>
      <c r="B54" s="2" t="inlineStr">
        <is>
          <t>双汇发展</t>
        </is>
      </c>
      <c r="C54" s="40" t="n">
        <v>150874</v>
      </c>
      <c r="D54" s="6" t="n">
        <v>0.02</v>
      </c>
      <c r="E54" s="40" t="n">
        <v>20.64</v>
      </c>
      <c r="F54" s="8">
        <f>IF(OR(C54="",D54="",E54="",N54="",C54&lt;=0,D54&lt;=0,E54&lt;=N54),"",ROUNDDOWN((C54*D54)/(E54-N54)/100,0)*100)</f>
        <v/>
      </c>
      <c r="G54" s="8">
        <f>IF(A54="","",IF(H54&lt;&gt;"","已开仓",IF(账户数据!$B$23="已锁仓","禁止开仓：连续亏损达到上限",IF(账户数据!$B$23="解锁信息不完整","禁止开仓：请完整填写解锁信息",IF(OR(F54="",E54="",N54="",E54&lt;=N54,账户数据!$B$7=""),"",IF(OR(AG54="",AH54="",AI54=""),"禁止开仓：交易预期未填写完整",IF(COUNTIFS(持仓跟踪!$A$2:$A$501,"止损计划",持仓跟踪!$B$2:$B$501,A54,持仓跟踪!$AC$2:$AC$501,"计划有效")=0,"禁止开仓：请先填写止损计划",IF(账户数据!$B$9+F54*(E54-N54)&gt;=账户数据!$B$7,"禁止开仓：风险额度不足",IF(AJ54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4" s="2" t="n">
        <v>1600</v>
      </c>
      <c r="I54" s="41" t="n">
        <v>44496</v>
      </c>
      <c r="J54" s="40" t="n">
        <v>24</v>
      </c>
      <c r="K54" s="40" t="n">
        <v>22.77</v>
      </c>
      <c r="L54" s="8">
        <f>IF(K54="","",H54)</f>
        <v/>
      </c>
      <c r="M54" s="41" t="n">
        <v>44501</v>
      </c>
      <c r="N54" s="40" t="n">
        <v>18.8</v>
      </c>
      <c r="O54" s="40" t="n"/>
      <c r="P54" s="40" t="n"/>
      <c r="Q54" s="2" t="n"/>
      <c r="R54" s="2" t="n"/>
      <c r="S54" s="2" t="n"/>
      <c r="T54" s="2" t="n"/>
      <c r="U54" s="7">
        <f>IF(OR(AO54="",J54="",AO54&lt;=0),"",(J54-AO54)/AO54)</f>
        <v/>
      </c>
      <c r="V54" s="7">
        <f>IF(OR(AO54="",N54="",AO54&lt;=0),"",(AO54-N54)/AO54)</f>
        <v/>
      </c>
      <c r="W54" s="13">
        <f>IF(OR(U54="",V54="",V54&lt;=0),"",U54/V54)</f>
        <v/>
      </c>
      <c r="X54" s="42">
        <f>IF(OR(K54="",L54="",AP54=""),"",K54*L54-(E54*H54+IF(AND(AK54&lt;&gt;"",AL54&lt;&gt;""),AK54*AL54,0)+IF(AND(AM54&lt;&gt;"",AN54&lt;&gt;""),AM54*AN54,0))-IF(O54="",0,O54)-IF(P54="",0,P54))</f>
        <v/>
      </c>
      <c r="Y54" s="7">
        <f>IF(OR(X54="",AP54=""),"",IF((E54*H54+IF(AND(AK54&lt;&gt;"",AL54&lt;&gt;""),AK54*AL54,0)+IF(AND(AM54&lt;&gt;"",AN54&lt;&gt;""),AM54*AN54,0))+IF(O54="",0,O54)&lt;=0,"",X54/((E54*H54+IF(AND(AK54&lt;&gt;"",AL54&lt;&gt;""),AK54*AL54,0)+IF(AND(AM54&lt;&gt;"",AN54&lt;&gt;""),AM54*AN54,0))+IF(O54="",0,O54))))</f>
        <v/>
      </c>
      <c r="Z54" s="7">
        <f>IF(OR(AE54="",多次统计数据!$B$8=""),"",AE54-多次统计数据!$B$8)</f>
        <v/>
      </c>
      <c r="AA54" s="14">
        <f>IF(OR(I54="",M54="",M54&lt;I54),"",M54-I54)</f>
        <v/>
      </c>
      <c r="AB54" s="7">
        <f>IF(OR(A54="",多次统计数据!$B$8="",多次统计数据!$B$6&lt;=0,多次统计数据!$B$6&gt;=1),"",1-POWER(1+多次统计数据!$B$8,-多次统计数据!$B$6/(1-多次统计数据!$B$6)))</f>
        <v/>
      </c>
      <c r="AC54" s="8">
        <f>IF(OR(AB54="",多次统计数据!$B$9=""),"",IF(多次统计数据!$B$9&lt;AB54,"低于上限","达到或超过上限"))</f>
        <v/>
      </c>
      <c r="AD54" s="2" t="n"/>
      <c r="AE54" s="7">
        <f>IF(OR(X54="",C54="",C54&lt;=0),"",X54/C54)</f>
        <v/>
      </c>
      <c r="AG54" s="28" t="n"/>
      <c r="AH54" s="28" t="n"/>
      <c r="AI54" s="28" t="n"/>
      <c r="AJ54" s="31">
        <f>IF(OR(AG54="",AH54=""),"",IF(OR(AND(AG54="短期博反弹",OR(AH54="1～3个交易日",AH54="4～10个交易日")),AND(AG54="突破冲新高",OR(AH54="4～10个交易日",AH54="11～20个交易日")),AND(AG54="趋势波段",OR(AH54="11～20个交易日",AH54="21～60个交易日",AH54="60个交易日以上"))),"匹配","周期与交易预期不匹配，请重新确认"))</f>
        <v/>
      </c>
      <c r="AK54" s="43" t="n"/>
      <c r="AL54" s="27" t="n"/>
      <c r="AM54" s="43" t="n"/>
      <c r="AN54" s="27" t="n"/>
      <c r="AO54" s="44">
        <f>IF(OR(A54="",H54="",H54&lt;=0),"",(E54*H54+IF(AND(AK54&lt;&gt;"",AL54&lt;&gt;""),AK54*AL54,0)+IF(AND(AM54&lt;&gt;"",AN54&lt;&gt;""),AM54*AN54,0))/AP54)</f>
        <v/>
      </c>
      <c r="AP54" s="26">
        <f>IF(OR(A54="",H54="",H54&lt;=0),"",H54+IF(AL54="",0,AL54)+IF(AN54="",0,AN54))</f>
        <v/>
      </c>
      <c r="AQ54" s="44">
        <f>IF(A54="","",IF(M54&lt;&gt;"",0,IF(OR(H54="",N54=""),"",MAX(E54-MAX(N54,IFERROR(AGGREGATE(14,6,'持仓跟踪'!$S$2:$S$501/(('持仓跟踪'!$A$2:$A$501="每日跟踪")*('持仓跟踪'!$B$2:$B$501=A54)),1),0)),0)*H54+IF(OR(AK54="",AL54=""),0,MAX(AK54-MAX(N54,IFERROR(AGGREGATE(14,6,'持仓跟踪'!$S$2:$S$501/(('持仓跟踪'!$A$2:$A$501="每日跟踪")*('持仓跟踪'!$B$2:$B$501=A54)),1),0)),0)*AL54)+IF(OR(AM54="",AN54=""),0,MAX(AM54-MAX(N54,IFERROR(AGGREGATE(14,6,'持仓跟踪'!$S$2:$S$501/(('持仓跟踪'!$A$2:$A$501="每日跟踪")*('持仓跟踪'!$B$2:$B$501=A54)),1),0)),0)*AN54))))</f>
        <v/>
      </c>
      <c r="AR54" s="31">
        <f>IF(A54="","",IF(OR(E54="",H54=""),"违规：第一批价格或股数缺失",IF(OR(AND(AK54="",AL54&lt;&gt;""),AND(AK54&lt;&gt;"",AL54="")),"违规：第二批价格与股数须成对填写",IF(OR(AND(AM54="",AN54&lt;&gt;""),AND(AM54&lt;&gt;"",AN54="")),"违规：第三批价格与股数须成对填写",IF(AND(OR(AM54&lt;&gt;"",AN54&lt;&gt;""),OR(AK54="",AL54="")),"违规：必须先完成第二批",IF(OR(H54&lt;=0,H54&lt;&gt;INT(H54),MOD(H54,100)&lt;&gt;0,AND(AL54&lt;&gt;"",OR(AL54&lt;=0,AL54&lt;&gt;INT(AL54),MOD(AL54,100)&lt;&gt;0)),AND(AN54&lt;&gt;"",OR(AN54&lt;=0,AN54&lt;&gt;INT(AN54),MOD(AN54,100)&lt;&gt;0))),"违规：股数须为100股整数倍",IF(AND(OR(AL54&lt;&gt;"",AN54&lt;&gt;""),OR(_LockStatus="已锁仓",_LockStatus="解锁信息不完整")),"违规：锁仓期间禁止加仓",IF(AQ54&gt;C54*D54,"违规：超过单笔风险上限",IF(SUM($AQ$2:$AQ$201)&gt;账户数据!$B$7,"违规：超过账户风险上限","通过")))))))))</f>
        <v/>
      </c>
    </row>
    <row r="55">
      <c r="A55" s="2" t="n">
        <v>54</v>
      </c>
      <c r="B55" s="2" t="inlineStr">
        <is>
          <t>双汇发展</t>
        </is>
      </c>
      <c r="C55" s="40" t="n">
        <v>154282</v>
      </c>
      <c r="D55" s="6" t="n">
        <v>0.02</v>
      </c>
      <c r="E55" s="40" t="n">
        <v>21.57</v>
      </c>
      <c r="F55" s="8">
        <f>IF(OR(C55="",D55="",E55="",N55="",C55&lt;=0,D55&lt;=0,E55&lt;=N55),"",ROUNDDOWN((C55*D55)/(E55-N55)/100,0)*100)</f>
        <v/>
      </c>
      <c r="G55" s="8">
        <f>IF(A55="","",IF(H55&lt;&gt;"","已开仓",IF(账户数据!$B$23="已锁仓","禁止开仓：连续亏损达到上限",IF(账户数据!$B$23="解锁信息不完整","禁止开仓：请完整填写解锁信息",IF(OR(F55="",E55="",N55="",E55&lt;=N55,账户数据!$B$7=""),"",IF(OR(AG55="",AH55="",AI55=""),"禁止开仓：交易预期未填写完整",IF(COUNTIFS(持仓跟踪!$A$2:$A$501,"止损计划",持仓跟踪!$B$2:$B$501,A55,持仓跟踪!$AC$2:$AC$501,"计划有效")=0,"禁止开仓：请先填写止损计划",IF(账户数据!$B$9+F55*(E55-N55)&gt;=账户数据!$B$7,"禁止开仓：风险额度不足",IF(AJ55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5" s="2" t="n">
        <v>1900</v>
      </c>
      <c r="I55" s="41" t="n">
        <v>44662</v>
      </c>
      <c r="J55" s="40" t="n">
        <v>24</v>
      </c>
      <c r="K55" s="40" t="n">
        <v>24.04</v>
      </c>
      <c r="L55" s="8">
        <f>IF(K55="","",H55)</f>
        <v/>
      </c>
      <c r="M55" s="41" t="n">
        <v>44670</v>
      </c>
      <c r="N55" s="40" t="n">
        <v>20</v>
      </c>
      <c r="O55" s="40" t="n"/>
      <c r="P55" s="40" t="n"/>
      <c r="Q55" s="2" t="n"/>
      <c r="R55" s="2" t="n"/>
      <c r="S55" s="2" t="n"/>
      <c r="T55" s="2" t="n"/>
      <c r="U55" s="7">
        <f>IF(OR(AO55="",J55="",AO55&lt;=0),"",(J55-AO55)/AO55)</f>
        <v/>
      </c>
      <c r="V55" s="7">
        <f>IF(OR(AO55="",N55="",AO55&lt;=0),"",(AO55-N55)/AO55)</f>
        <v/>
      </c>
      <c r="W55" s="13">
        <f>IF(OR(U55="",V55="",V55&lt;=0),"",U55/V55)</f>
        <v/>
      </c>
      <c r="X55" s="42">
        <f>IF(OR(K55="",L55="",AP55=""),"",K55*L55-(E55*H55+IF(AND(AK55&lt;&gt;"",AL55&lt;&gt;""),AK55*AL55,0)+IF(AND(AM55&lt;&gt;"",AN55&lt;&gt;""),AM55*AN55,0))-IF(O55="",0,O55)-IF(P55="",0,P55))</f>
        <v/>
      </c>
      <c r="Y55" s="7">
        <f>IF(OR(X55="",AP55=""),"",IF((E55*H55+IF(AND(AK55&lt;&gt;"",AL55&lt;&gt;""),AK55*AL55,0)+IF(AND(AM55&lt;&gt;"",AN55&lt;&gt;""),AM55*AN55,0))+IF(O55="",0,O55)&lt;=0,"",X55/((E55*H55+IF(AND(AK55&lt;&gt;"",AL55&lt;&gt;""),AK55*AL55,0)+IF(AND(AM55&lt;&gt;"",AN55&lt;&gt;""),AM55*AN55,0))+IF(O55="",0,O55))))</f>
        <v/>
      </c>
      <c r="Z55" s="7">
        <f>IF(OR(AE55="",多次统计数据!$B$8=""),"",AE55-多次统计数据!$B$8)</f>
        <v/>
      </c>
      <c r="AA55" s="14">
        <f>IF(OR(I55="",M55="",M55&lt;I55),"",M55-I55)</f>
        <v/>
      </c>
      <c r="AB55" s="7">
        <f>IF(OR(A55="",多次统计数据!$B$8="",多次统计数据!$B$6&lt;=0,多次统计数据!$B$6&gt;=1),"",1-POWER(1+多次统计数据!$B$8,-多次统计数据!$B$6/(1-多次统计数据!$B$6)))</f>
        <v/>
      </c>
      <c r="AC55" s="8">
        <f>IF(OR(AB55="",多次统计数据!$B$9=""),"",IF(多次统计数据!$B$9&lt;AB55,"低于上限","达到或超过上限"))</f>
        <v/>
      </c>
      <c r="AD55" s="2" t="n"/>
      <c r="AE55" s="7">
        <f>IF(OR(X55="",C55="",C55&lt;=0),"",X55/C55)</f>
        <v/>
      </c>
      <c r="AG55" s="28" t="n"/>
      <c r="AH55" s="28" t="n"/>
      <c r="AI55" s="28" t="n"/>
      <c r="AJ55" s="31">
        <f>IF(OR(AG55="",AH55=""),"",IF(OR(AND(AG55="短期博反弹",OR(AH55="1～3个交易日",AH55="4～10个交易日")),AND(AG55="突破冲新高",OR(AH55="4～10个交易日",AH55="11～20个交易日")),AND(AG55="趋势波段",OR(AH55="11～20个交易日",AH55="21～60个交易日",AH55="60个交易日以上"))),"匹配","周期与交易预期不匹配，请重新确认"))</f>
        <v/>
      </c>
      <c r="AK55" s="43" t="n"/>
      <c r="AL55" s="27" t="n"/>
      <c r="AM55" s="43" t="n"/>
      <c r="AN55" s="27" t="n"/>
      <c r="AO55" s="44">
        <f>IF(OR(A55="",H55="",H55&lt;=0),"",(E55*H55+IF(AND(AK55&lt;&gt;"",AL55&lt;&gt;""),AK55*AL55,0)+IF(AND(AM55&lt;&gt;"",AN55&lt;&gt;""),AM55*AN55,0))/AP55)</f>
        <v/>
      </c>
      <c r="AP55" s="26">
        <f>IF(OR(A55="",H55="",H55&lt;=0),"",H55+IF(AL55="",0,AL55)+IF(AN55="",0,AN55))</f>
        <v/>
      </c>
      <c r="AQ55" s="44">
        <f>IF(A55="","",IF(M55&lt;&gt;"",0,IF(OR(H55="",N55=""),"",MAX(E55-MAX(N55,IFERROR(AGGREGATE(14,6,'持仓跟踪'!$S$2:$S$501/(('持仓跟踪'!$A$2:$A$501="每日跟踪")*('持仓跟踪'!$B$2:$B$501=A55)),1),0)),0)*H55+IF(OR(AK55="",AL55=""),0,MAX(AK55-MAX(N55,IFERROR(AGGREGATE(14,6,'持仓跟踪'!$S$2:$S$501/(('持仓跟踪'!$A$2:$A$501="每日跟踪")*('持仓跟踪'!$B$2:$B$501=A55)),1),0)),0)*AL55)+IF(OR(AM55="",AN55=""),0,MAX(AM55-MAX(N55,IFERROR(AGGREGATE(14,6,'持仓跟踪'!$S$2:$S$501/(('持仓跟踪'!$A$2:$A$501="每日跟踪")*('持仓跟踪'!$B$2:$B$501=A55)),1),0)),0)*AN55))))</f>
        <v/>
      </c>
      <c r="AR55" s="31">
        <f>IF(A55="","",IF(OR(E55="",H55=""),"违规：第一批价格或股数缺失",IF(OR(AND(AK55="",AL55&lt;&gt;""),AND(AK55&lt;&gt;"",AL55="")),"违规：第二批价格与股数须成对填写",IF(OR(AND(AM55="",AN55&lt;&gt;""),AND(AM55&lt;&gt;"",AN55="")),"违规：第三批价格与股数须成对填写",IF(AND(OR(AM55&lt;&gt;"",AN55&lt;&gt;""),OR(AK55="",AL55="")),"违规：必须先完成第二批",IF(OR(H55&lt;=0,H55&lt;&gt;INT(H55),MOD(H55,100)&lt;&gt;0,AND(AL55&lt;&gt;"",OR(AL55&lt;=0,AL55&lt;&gt;INT(AL55),MOD(AL55,100)&lt;&gt;0)),AND(AN55&lt;&gt;"",OR(AN55&lt;=0,AN55&lt;&gt;INT(AN55),MOD(AN55,100)&lt;&gt;0))),"违规：股数须为100股整数倍",IF(AND(OR(AL55&lt;&gt;"",AN55&lt;&gt;""),OR(_LockStatus="已锁仓",_LockStatus="解锁信息不完整")),"违规：锁仓期间禁止加仓",IF(AQ55&gt;C55*D55,"违规：超过单笔风险上限",IF(SUM($AQ$2:$AQ$201)&gt;账户数据!$B$7,"违规：超过账户风险上限","通过")))))))))</f>
        <v/>
      </c>
    </row>
    <row r="56">
      <c r="A56" s="2" t="n">
        <v>55</v>
      </c>
      <c r="B56" s="2" t="inlineStr">
        <is>
          <t>双汇发展</t>
        </is>
      </c>
      <c r="C56" s="40" t="n">
        <v>158975</v>
      </c>
      <c r="D56" s="6" t="n">
        <v>0.02</v>
      </c>
      <c r="E56" s="40" t="n">
        <v>21.3</v>
      </c>
      <c r="F56" s="8">
        <f>IF(OR(C56="",D56="",E56="",N56="",C56&lt;=0,D56&lt;=0,E56&lt;=N56),"",ROUNDDOWN((C56*D56)/(E56-N56)/100,0)*100)</f>
        <v/>
      </c>
      <c r="G56" s="8">
        <f>IF(A56="","",IF(H56&lt;&gt;"","已开仓",IF(账户数据!$B$23="已锁仓","禁止开仓：连续亏损达到上限",IF(账户数据!$B$23="解锁信息不完整","禁止开仓：请完整填写解锁信息",IF(OR(F56="",E56="",N56="",E56&lt;=N56,账户数据!$B$7=""),"",IF(OR(AG56="",AH56="",AI56=""),"禁止开仓：交易预期未填写完整",IF(COUNTIFS(持仓跟踪!$A$2:$A$501,"止损计划",持仓跟踪!$B$2:$B$501,A56,持仓跟踪!$AC$2:$AC$501,"计划有效")=0,"禁止开仓：请先填写止损计划",IF(账户数据!$B$9+F56*(E56-N56)&gt;=账户数据!$B$7,"禁止开仓：风险额度不足",IF(AJ56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6" s="2" t="n">
        <v>2000</v>
      </c>
      <c r="I56" s="41" t="n">
        <v>44719</v>
      </c>
      <c r="J56" s="40" t="n">
        <v>24</v>
      </c>
      <c r="K56" s="40" t="n">
        <v>20.41</v>
      </c>
      <c r="L56" s="8">
        <f>IF(K56="","",H56)</f>
        <v/>
      </c>
      <c r="M56" s="41" t="n">
        <v>44769</v>
      </c>
      <c r="N56" s="40" t="n">
        <v>20</v>
      </c>
      <c r="O56" s="40" t="n"/>
      <c r="P56" s="40" t="n"/>
      <c r="Q56" s="2" t="n"/>
      <c r="R56" s="2" t="n"/>
      <c r="S56" s="2" t="n"/>
      <c r="T56" s="2" t="n"/>
      <c r="U56" s="7">
        <f>IF(OR(AO56="",J56="",AO56&lt;=0),"",(J56-AO56)/AO56)</f>
        <v/>
      </c>
      <c r="V56" s="7">
        <f>IF(OR(AO56="",N56="",AO56&lt;=0),"",(AO56-N56)/AO56)</f>
        <v/>
      </c>
      <c r="W56" s="13">
        <f>IF(OR(U56="",V56="",V56&lt;=0),"",U56/V56)</f>
        <v/>
      </c>
      <c r="X56" s="42">
        <f>IF(OR(K56="",L56="",AP56=""),"",K56*L56-(E56*H56+IF(AND(AK56&lt;&gt;"",AL56&lt;&gt;""),AK56*AL56,0)+IF(AND(AM56&lt;&gt;"",AN56&lt;&gt;""),AM56*AN56,0))-IF(O56="",0,O56)-IF(P56="",0,P56))</f>
        <v/>
      </c>
      <c r="Y56" s="7">
        <f>IF(OR(X56="",AP56=""),"",IF((E56*H56+IF(AND(AK56&lt;&gt;"",AL56&lt;&gt;""),AK56*AL56,0)+IF(AND(AM56&lt;&gt;"",AN56&lt;&gt;""),AM56*AN56,0))+IF(O56="",0,O56)&lt;=0,"",X56/((E56*H56+IF(AND(AK56&lt;&gt;"",AL56&lt;&gt;""),AK56*AL56,0)+IF(AND(AM56&lt;&gt;"",AN56&lt;&gt;""),AM56*AN56,0))+IF(O56="",0,O56))))</f>
        <v/>
      </c>
      <c r="Z56" s="7">
        <f>IF(OR(AE56="",多次统计数据!$B$8=""),"",AE56-多次统计数据!$B$8)</f>
        <v/>
      </c>
      <c r="AA56" s="14">
        <f>IF(OR(I56="",M56="",M56&lt;I56),"",M56-I56)</f>
        <v/>
      </c>
      <c r="AB56" s="7">
        <f>IF(OR(A56="",多次统计数据!$B$8="",多次统计数据!$B$6&lt;=0,多次统计数据!$B$6&gt;=1),"",1-POWER(1+多次统计数据!$B$8,-多次统计数据!$B$6/(1-多次统计数据!$B$6)))</f>
        <v/>
      </c>
      <c r="AC56" s="8">
        <f>IF(OR(AB56="",多次统计数据!$B$9=""),"",IF(多次统计数据!$B$9&lt;AB56,"低于上限","达到或超过上限"))</f>
        <v/>
      </c>
      <c r="AD56" s="2" t="n"/>
      <c r="AE56" s="7">
        <f>IF(OR(X56="",C56="",C56&lt;=0),"",X56/C56)</f>
        <v/>
      </c>
      <c r="AG56" s="28" t="n"/>
      <c r="AH56" s="28" t="n"/>
      <c r="AI56" s="28" t="n"/>
      <c r="AJ56" s="31">
        <f>IF(OR(AG56="",AH56=""),"",IF(OR(AND(AG56="短期博反弹",OR(AH56="1～3个交易日",AH56="4～10个交易日")),AND(AG56="突破冲新高",OR(AH56="4～10个交易日",AH56="11～20个交易日")),AND(AG56="趋势波段",OR(AH56="11～20个交易日",AH56="21～60个交易日",AH56="60个交易日以上"))),"匹配","周期与交易预期不匹配，请重新确认"))</f>
        <v/>
      </c>
      <c r="AK56" s="43" t="n"/>
      <c r="AL56" s="27" t="n"/>
      <c r="AM56" s="43" t="n"/>
      <c r="AN56" s="27" t="n"/>
      <c r="AO56" s="44">
        <f>IF(OR(A56="",H56="",H56&lt;=0),"",(E56*H56+IF(AND(AK56&lt;&gt;"",AL56&lt;&gt;""),AK56*AL56,0)+IF(AND(AM56&lt;&gt;"",AN56&lt;&gt;""),AM56*AN56,0))/AP56)</f>
        <v/>
      </c>
      <c r="AP56" s="26">
        <f>IF(OR(A56="",H56="",H56&lt;=0),"",H56+IF(AL56="",0,AL56)+IF(AN56="",0,AN56))</f>
        <v/>
      </c>
      <c r="AQ56" s="44">
        <f>IF(A56="","",IF(M56&lt;&gt;"",0,IF(OR(H56="",N56=""),"",MAX(E56-MAX(N56,IFERROR(AGGREGATE(14,6,'持仓跟踪'!$S$2:$S$501/(('持仓跟踪'!$A$2:$A$501="每日跟踪")*('持仓跟踪'!$B$2:$B$501=A56)),1),0)),0)*H56+IF(OR(AK56="",AL56=""),0,MAX(AK56-MAX(N56,IFERROR(AGGREGATE(14,6,'持仓跟踪'!$S$2:$S$501/(('持仓跟踪'!$A$2:$A$501="每日跟踪")*('持仓跟踪'!$B$2:$B$501=A56)),1),0)),0)*AL56)+IF(OR(AM56="",AN56=""),0,MAX(AM56-MAX(N56,IFERROR(AGGREGATE(14,6,'持仓跟踪'!$S$2:$S$501/(('持仓跟踪'!$A$2:$A$501="每日跟踪")*('持仓跟踪'!$B$2:$B$501=A56)),1),0)),0)*AN56))))</f>
        <v/>
      </c>
      <c r="AR56" s="31">
        <f>IF(A56="","",IF(OR(E56="",H56=""),"违规：第一批价格或股数缺失",IF(OR(AND(AK56="",AL56&lt;&gt;""),AND(AK56&lt;&gt;"",AL56="")),"违规：第二批价格与股数须成对填写",IF(OR(AND(AM56="",AN56&lt;&gt;""),AND(AM56&lt;&gt;"",AN56="")),"违规：第三批价格与股数须成对填写",IF(AND(OR(AM56&lt;&gt;"",AN56&lt;&gt;""),OR(AK56="",AL56="")),"违规：必须先完成第二批",IF(OR(H56&lt;=0,H56&lt;&gt;INT(H56),MOD(H56,100)&lt;&gt;0,AND(AL56&lt;&gt;"",OR(AL56&lt;=0,AL56&lt;&gt;INT(AL56),MOD(AL56,100)&lt;&gt;0)),AND(AN56&lt;&gt;"",OR(AN56&lt;=0,AN56&lt;&gt;INT(AN56),MOD(AN56,100)&lt;&gt;0))),"违规：股数须为100股整数倍",IF(AND(OR(AL56&lt;&gt;"",AN56&lt;&gt;""),OR(_LockStatus="已锁仓",_LockStatus="解锁信息不完整")),"违规：锁仓期间禁止加仓",IF(AQ56&gt;C56*D56,"违规：超过单笔风险上限",IF(SUM($AQ$2:$AQ$201)&gt;账户数据!$B$7,"违规：超过账户风险上限","通过")))))))))</f>
        <v/>
      </c>
    </row>
    <row r="57">
      <c r="A57" s="2" t="n">
        <v>56</v>
      </c>
      <c r="B57" s="2" t="inlineStr">
        <is>
          <t>航发动力</t>
        </is>
      </c>
      <c r="C57" s="40" t="n">
        <v>157195</v>
      </c>
      <c r="D57" s="6" t="n">
        <v>0.02</v>
      </c>
      <c r="E57" s="40" t="n">
        <v>50.39</v>
      </c>
      <c r="F57" s="8">
        <f>IF(OR(C57="",D57="",E57="",N57="",C57&lt;=0,D57&lt;=0,E57&lt;=N57),"",ROUNDDOWN((C57*D57)/(E57-N57)/100,0)*100)</f>
        <v/>
      </c>
      <c r="G57" s="8">
        <f>IF(A57="","",IF(H57&lt;&gt;"","已开仓",IF(账户数据!$B$23="已锁仓","禁止开仓：连续亏损达到上限",IF(账户数据!$B$23="解锁信息不完整","禁止开仓：请完整填写解锁信息",IF(OR(F57="",E57="",N57="",E57&lt;=N57,账户数据!$B$7=""),"",IF(OR(AG57="",AH57="",AI57=""),"禁止开仓：交易预期未填写完整",IF(COUNTIFS(持仓跟踪!$A$2:$A$501,"止损计划",持仓跟踪!$B$2:$B$501,A57,持仓跟踪!$AC$2:$AC$501,"计划有效")=0,"禁止开仓：请先填写止损计划",IF(账户数据!$B$9+F57*(E57-N57)&gt;=账户数据!$B$7,"禁止开仓：风险额度不足",IF(AJ57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7" s="2" t="n">
        <v>1000</v>
      </c>
      <c r="I57" s="41" t="n">
        <v>44351</v>
      </c>
      <c r="J57" s="40" t="n">
        <v>60</v>
      </c>
      <c r="K57" s="40" t="n">
        <v>55</v>
      </c>
      <c r="L57" s="8">
        <f>IF(K57="","",H57)</f>
        <v/>
      </c>
      <c r="M57" s="41" t="n">
        <v>44356</v>
      </c>
      <c r="N57" s="40" t="n">
        <v>47.5</v>
      </c>
      <c r="O57" s="40" t="n"/>
      <c r="P57" s="40" t="n"/>
      <c r="Q57" s="2" t="n"/>
      <c r="R57" s="2" t="n"/>
      <c r="S57" s="2" t="n"/>
      <c r="T57" s="2" t="n"/>
      <c r="U57" s="7">
        <f>IF(OR(AO57="",J57="",AO57&lt;=0),"",(J57-AO57)/AO57)</f>
        <v/>
      </c>
      <c r="V57" s="7">
        <f>IF(OR(AO57="",N57="",AO57&lt;=0),"",(AO57-N57)/AO57)</f>
        <v/>
      </c>
      <c r="W57" s="13">
        <f>IF(OR(U57="",V57="",V57&lt;=0),"",U57/V57)</f>
        <v/>
      </c>
      <c r="X57" s="42">
        <f>IF(OR(K57="",L57="",AP57=""),"",K57*L57-(E57*H57+IF(AND(AK57&lt;&gt;"",AL57&lt;&gt;""),AK57*AL57,0)+IF(AND(AM57&lt;&gt;"",AN57&lt;&gt;""),AM57*AN57,0))-IF(O57="",0,O57)-IF(P57="",0,P57))</f>
        <v/>
      </c>
      <c r="Y57" s="7">
        <f>IF(OR(X57="",AP57=""),"",IF((E57*H57+IF(AND(AK57&lt;&gt;"",AL57&lt;&gt;""),AK57*AL57,0)+IF(AND(AM57&lt;&gt;"",AN57&lt;&gt;""),AM57*AN57,0))+IF(O57="",0,O57)&lt;=0,"",X57/((E57*H57+IF(AND(AK57&lt;&gt;"",AL57&lt;&gt;""),AK57*AL57,0)+IF(AND(AM57&lt;&gt;"",AN57&lt;&gt;""),AM57*AN57,0))+IF(O57="",0,O57))))</f>
        <v/>
      </c>
      <c r="Z57" s="7">
        <f>IF(OR(AE57="",多次统计数据!$B$8=""),"",AE57-多次统计数据!$B$8)</f>
        <v/>
      </c>
      <c r="AA57" s="14">
        <f>IF(OR(I57="",M57="",M57&lt;I57),"",M57-I57)</f>
        <v/>
      </c>
      <c r="AB57" s="7">
        <f>IF(OR(A57="",多次统计数据!$B$8="",多次统计数据!$B$6&lt;=0,多次统计数据!$B$6&gt;=1),"",1-POWER(1+多次统计数据!$B$8,-多次统计数据!$B$6/(1-多次统计数据!$B$6)))</f>
        <v/>
      </c>
      <c r="AC57" s="8">
        <f>IF(OR(AB57="",多次统计数据!$B$9=""),"",IF(多次统计数据!$B$9&lt;AB57,"低于上限","达到或超过上限"))</f>
        <v/>
      </c>
      <c r="AD57" s="2" t="n"/>
      <c r="AE57" s="7">
        <f>IF(OR(X57="",C57="",C57&lt;=0),"",X57/C57)</f>
        <v/>
      </c>
      <c r="AG57" s="28" t="n"/>
      <c r="AH57" s="28" t="n"/>
      <c r="AI57" s="28" t="n"/>
      <c r="AJ57" s="31">
        <f>IF(OR(AG57="",AH57=""),"",IF(OR(AND(AG57="短期博反弹",OR(AH57="1～3个交易日",AH57="4～10个交易日")),AND(AG57="突破冲新高",OR(AH57="4～10个交易日",AH57="11～20个交易日")),AND(AG57="趋势波段",OR(AH57="11～20个交易日",AH57="21～60个交易日",AH57="60个交易日以上"))),"匹配","周期与交易预期不匹配，请重新确认"))</f>
        <v/>
      </c>
      <c r="AK57" s="43" t="n"/>
      <c r="AL57" s="27" t="n"/>
      <c r="AM57" s="43" t="n"/>
      <c r="AN57" s="27" t="n"/>
      <c r="AO57" s="44">
        <f>IF(OR(A57="",H57="",H57&lt;=0),"",(E57*H57+IF(AND(AK57&lt;&gt;"",AL57&lt;&gt;""),AK57*AL57,0)+IF(AND(AM57&lt;&gt;"",AN57&lt;&gt;""),AM57*AN57,0))/AP57)</f>
        <v/>
      </c>
      <c r="AP57" s="26">
        <f>IF(OR(A57="",H57="",H57&lt;=0),"",H57+IF(AL57="",0,AL57)+IF(AN57="",0,AN57))</f>
        <v/>
      </c>
      <c r="AQ57" s="44">
        <f>IF(A57="","",IF(M57&lt;&gt;"",0,IF(OR(H57="",N57=""),"",MAX(E57-MAX(N57,IFERROR(AGGREGATE(14,6,'持仓跟踪'!$S$2:$S$501/(('持仓跟踪'!$A$2:$A$501="每日跟踪")*('持仓跟踪'!$B$2:$B$501=A57)),1),0)),0)*H57+IF(OR(AK57="",AL57=""),0,MAX(AK57-MAX(N57,IFERROR(AGGREGATE(14,6,'持仓跟踪'!$S$2:$S$501/(('持仓跟踪'!$A$2:$A$501="每日跟踪")*('持仓跟踪'!$B$2:$B$501=A57)),1),0)),0)*AL57)+IF(OR(AM57="",AN57=""),0,MAX(AM57-MAX(N57,IFERROR(AGGREGATE(14,6,'持仓跟踪'!$S$2:$S$501/(('持仓跟踪'!$A$2:$A$501="每日跟踪")*('持仓跟踪'!$B$2:$B$501=A57)),1),0)),0)*AN57))))</f>
        <v/>
      </c>
      <c r="AR57" s="31">
        <f>IF(A57="","",IF(OR(E57="",H57=""),"违规：第一批价格或股数缺失",IF(OR(AND(AK57="",AL57&lt;&gt;""),AND(AK57&lt;&gt;"",AL57="")),"违规：第二批价格与股数须成对填写",IF(OR(AND(AM57="",AN57&lt;&gt;""),AND(AM57&lt;&gt;"",AN57="")),"违规：第三批价格与股数须成对填写",IF(AND(OR(AM57&lt;&gt;"",AN57&lt;&gt;""),OR(AK57="",AL57="")),"违规：必须先完成第二批",IF(OR(H57&lt;=0,H57&lt;&gt;INT(H57),MOD(H57,100)&lt;&gt;0,AND(AL57&lt;&gt;"",OR(AL57&lt;=0,AL57&lt;&gt;INT(AL57),MOD(AL57,100)&lt;&gt;0)),AND(AN57&lt;&gt;"",OR(AN57&lt;=0,AN57&lt;&gt;INT(AN57),MOD(AN57,100)&lt;&gt;0))),"违规：股数须为100股整数倍",IF(AND(OR(AL57&lt;&gt;"",AN57&lt;&gt;""),OR(_LockStatus="已锁仓",_LockStatus="解锁信息不完整")),"违规：锁仓期间禁止加仓",IF(AQ57&gt;C57*D57,"违规：超过单笔风险上限",IF(SUM($AQ$2:$AQ$201)&gt;账户数据!$B$7,"违规：超过账户风险上限","通过")))))))))</f>
        <v/>
      </c>
    </row>
    <row r="58">
      <c r="A58" s="2" t="n">
        <v>57</v>
      </c>
      <c r="B58" s="2" t="inlineStr">
        <is>
          <t>航发动力</t>
        </is>
      </c>
      <c r="C58" s="40" t="n">
        <v>161805</v>
      </c>
      <c r="D58" s="6" t="n">
        <v>0.02</v>
      </c>
      <c r="E58" s="40" t="n">
        <v>45.04</v>
      </c>
      <c r="F58" s="8">
        <f>IF(OR(C58="",D58="",E58="",N58="",C58&lt;=0,D58&lt;=0,E58&lt;=N58),"",ROUNDDOWN((C58*D58)/(E58-N58)/100,0)*100)</f>
        <v/>
      </c>
      <c r="G58" s="8">
        <f>IF(A58="","",IF(H58&lt;&gt;"","已开仓",IF(账户数据!$B$23="已锁仓","禁止开仓：连续亏损达到上限",IF(账户数据!$B$23="解锁信息不完整","禁止开仓：请完整填写解锁信息",IF(OR(F58="",E58="",N58="",E58&lt;=N58,账户数据!$B$7=""),"",IF(OR(AG58="",AH58="",AI58=""),"禁止开仓：交易预期未填写完整",IF(COUNTIFS(持仓跟踪!$A$2:$A$501,"止损计划",持仓跟踪!$B$2:$B$501,A58,持仓跟踪!$AC$2:$AC$501,"计划有效")=0,"禁止开仓：请先填写止损计划",IF(账户数据!$B$9+F58*(E58-N58)&gt;=账户数据!$B$7,"禁止开仓：风险额度不足",IF(AJ58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8" s="2" t="n">
        <v>1200</v>
      </c>
      <c r="I58" s="41" t="n">
        <v>44742</v>
      </c>
      <c r="J58" s="40" t="n">
        <v>50</v>
      </c>
      <c r="K58" s="40" t="n">
        <v>49.64</v>
      </c>
      <c r="L58" s="8">
        <f>IF(K58="","",H58)</f>
        <v/>
      </c>
      <c r="M58" s="41" t="n">
        <v>44755</v>
      </c>
      <c r="N58" s="40" t="n">
        <v>42.5</v>
      </c>
      <c r="O58" s="40" t="n"/>
      <c r="P58" s="40" t="n"/>
      <c r="Q58" s="2" t="n"/>
      <c r="R58" s="2" t="n"/>
      <c r="S58" s="2" t="n"/>
      <c r="T58" s="2" t="n"/>
      <c r="U58" s="7">
        <f>IF(OR(AO58="",J58="",AO58&lt;=0),"",(J58-AO58)/AO58)</f>
        <v/>
      </c>
      <c r="V58" s="7">
        <f>IF(OR(AO58="",N58="",AO58&lt;=0),"",(AO58-N58)/AO58)</f>
        <v/>
      </c>
      <c r="W58" s="13">
        <f>IF(OR(U58="",V58="",V58&lt;=0),"",U58/V58)</f>
        <v/>
      </c>
      <c r="X58" s="42">
        <f>IF(OR(K58="",L58="",AP58=""),"",K58*L58-(E58*H58+IF(AND(AK58&lt;&gt;"",AL58&lt;&gt;""),AK58*AL58,0)+IF(AND(AM58&lt;&gt;"",AN58&lt;&gt;""),AM58*AN58,0))-IF(O58="",0,O58)-IF(P58="",0,P58))</f>
        <v/>
      </c>
      <c r="Y58" s="7">
        <f>IF(OR(X58="",AP58=""),"",IF((E58*H58+IF(AND(AK58&lt;&gt;"",AL58&lt;&gt;""),AK58*AL58,0)+IF(AND(AM58&lt;&gt;"",AN58&lt;&gt;""),AM58*AN58,0))+IF(O58="",0,O58)&lt;=0,"",X58/((E58*H58+IF(AND(AK58&lt;&gt;"",AL58&lt;&gt;""),AK58*AL58,0)+IF(AND(AM58&lt;&gt;"",AN58&lt;&gt;""),AM58*AN58,0))+IF(O58="",0,O58))))</f>
        <v/>
      </c>
      <c r="Z58" s="7">
        <f>IF(OR(AE58="",多次统计数据!$B$8=""),"",AE58-多次统计数据!$B$8)</f>
        <v/>
      </c>
      <c r="AA58" s="14">
        <f>IF(OR(I58="",M58="",M58&lt;I58),"",M58-I58)</f>
        <v/>
      </c>
      <c r="AB58" s="7">
        <f>IF(OR(A58="",多次统计数据!$B$8="",多次统计数据!$B$6&lt;=0,多次统计数据!$B$6&gt;=1),"",1-POWER(1+多次统计数据!$B$8,-多次统计数据!$B$6/(1-多次统计数据!$B$6)))</f>
        <v/>
      </c>
      <c r="AC58" s="8">
        <f>IF(OR(AB58="",多次统计数据!$B$9=""),"",IF(多次统计数据!$B$9&lt;AB58,"低于上限","达到或超过上限"))</f>
        <v/>
      </c>
      <c r="AD58" s="2" t="n"/>
      <c r="AE58" s="7">
        <f>IF(OR(X58="",C58="",C58&lt;=0),"",X58/C58)</f>
        <v/>
      </c>
      <c r="AG58" s="28" t="n"/>
      <c r="AH58" s="28" t="n"/>
      <c r="AI58" s="28" t="n"/>
      <c r="AJ58" s="31">
        <f>IF(OR(AG58="",AH58=""),"",IF(OR(AND(AG58="短期博反弹",OR(AH58="1～3个交易日",AH58="4～10个交易日")),AND(AG58="突破冲新高",OR(AH58="4～10个交易日",AH58="11～20个交易日")),AND(AG58="趋势波段",OR(AH58="11～20个交易日",AH58="21～60个交易日",AH58="60个交易日以上"))),"匹配","周期与交易预期不匹配，请重新确认"))</f>
        <v/>
      </c>
      <c r="AK58" s="43" t="n"/>
      <c r="AL58" s="27" t="n"/>
      <c r="AM58" s="43" t="n"/>
      <c r="AN58" s="27" t="n"/>
      <c r="AO58" s="44">
        <f>IF(OR(A58="",H58="",H58&lt;=0),"",(E58*H58+IF(AND(AK58&lt;&gt;"",AL58&lt;&gt;""),AK58*AL58,0)+IF(AND(AM58&lt;&gt;"",AN58&lt;&gt;""),AM58*AN58,0))/AP58)</f>
        <v/>
      </c>
      <c r="AP58" s="26">
        <f>IF(OR(A58="",H58="",H58&lt;=0),"",H58+IF(AL58="",0,AL58)+IF(AN58="",0,AN58))</f>
        <v/>
      </c>
      <c r="AQ58" s="44">
        <f>IF(A58="","",IF(M58&lt;&gt;"",0,IF(OR(H58="",N58=""),"",MAX(E58-MAX(N58,IFERROR(AGGREGATE(14,6,'持仓跟踪'!$S$2:$S$501/(('持仓跟踪'!$A$2:$A$501="每日跟踪")*('持仓跟踪'!$B$2:$B$501=A58)),1),0)),0)*H58+IF(OR(AK58="",AL58=""),0,MAX(AK58-MAX(N58,IFERROR(AGGREGATE(14,6,'持仓跟踪'!$S$2:$S$501/(('持仓跟踪'!$A$2:$A$501="每日跟踪")*('持仓跟踪'!$B$2:$B$501=A58)),1),0)),0)*AL58)+IF(OR(AM58="",AN58=""),0,MAX(AM58-MAX(N58,IFERROR(AGGREGATE(14,6,'持仓跟踪'!$S$2:$S$501/(('持仓跟踪'!$A$2:$A$501="每日跟踪")*('持仓跟踪'!$B$2:$B$501=A58)),1),0)),0)*AN58))))</f>
        <v/>
      </c>
      <c r="AR58" s="31">
        <f>IF(A58="","",IF(OR(E58="",H58=""),"违规：第一批价格或股数缺失",IF(OR(AND(AK58="",AL58&lt;&gt;""),AND(AK58&lt;&gt;"",AL58="")),"违规：第二批价格与股数须成对填写",IF(OR(AND(AM58="",AN58&lt;&gt;""),AND(AM58&lt;&gt;"",AN58="")),"违规：第三批价格与股数须成对填写",IF(AND(OR(AM58&lt;&gt;"",AN58&lt;&gt;""),OR(AK58="",AL58="")),"违规：必须先完成第二批",IF(OR(H58&lt;=0,H58&lt;&gt;INT(H58),MOD(H58,100)&lt;&gt;0,AND(AL58&lt;&gt;"",OR(AL58&lt;=0,AL58&lt;&gt;INT(AL58),MOD(AL58,100)&lt;&gt;0)),AND(AN58&lt;&gt;"",OR(AN58&lt;=0,AN58&lt;&gt;INT(AN58),MOD(AN58,100)&lt;&gt;0))),"违规：股数须为100股整数倍",IF(AND(OR(AL58&lt;&gt;"",AN58&lt;&gt;""),OR(_LockStatus="已锁仓",_LockStatus="解锁信息不完整")),"违规：锁仓期间禁止加仓",IF(AQ58&gt;C58*D58,"违规：超过单笔风险上限",IF(SUM($AQ$2:$AQ$201)&gt;账户数据!$B$7,"违规：超过账户风险上限","通过")))))))))</f>
        <v/>
      </c>
    </row>
    <row r="59">
      <c r="A59" s="2" t="n">
        <v>58</v>
      </c>
      <c r="B59" s="2" t="inlineStr">
        <is>
          <t>航发动力</t>
        </is>
      </c>
      <c r="C59" s="40" t="n">
        <v>167325</v>
      </c>
      <c r="D59" s="6" t="n">
        <v>0.02</v>
      </c>
      <c r="E59" s="40" t="n">
        <v>44.84</v>
      </c>
      <c r="F59" s="8">
        <f>IF(OR(C59="",D59="",E59="",N59="",C59&lt;=0,D59&lt;=0,E59&lt;=N59),"",ROUNDDOWN((C59*D59)/(E59-N59)/100,0)*100)</f>
        <v/>
      </c>
      <c r="G59" s="8">
        <f>IF(A59="","",IF(H59&lt;&gt;"","已开仓",IF(账户数据!$B$23="已锁仓","禁止开仓：连续亏损达到上限",IF(账户数据!$B$23="解锁信息不完整","禁止开仓：请完整填写解锁信息",IF(OR(F59="",E59="",N59="",E59&lt;=N59,账户数据!$B$7=""),"",IF(OR(AG59="",AH59="",AI59=""),"禁止开仓：交易预期未填写完整",IF(COUNTIFS(持仓跟踪!$A$2:$A$501,"止损计划",持仓跟踪!$B$2:$B$501,A59,持仓跟踪!$AC$2:$AC$501,"计划有效")=0,"禁止开仓：请先填写止损计划",IF(账户数据!$B$9+F59*(E59-N59)&gt;=账户数据!$B$7,"禁止开仓：风险额度不足",IF(AJ59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59" s="2" t="n">
        <v>2400</v>
      </c>
      <c r="I59" s="41" t="n">
        <v>44966</v>
      </c>
      <c r="J59" s="40" t="n">
        <v>48.5</v>
      </c>
      <c r="K59" s="40" t="n">
        <v>45.09</v>
      </c>
      <c r="L59" s="8">
        <f>IF(K59="","",H59)</f>
        <v/>
      </c>
      <c r="M59" s="41" t="n">
        <v>44980</v>
      </c>
      <c r="N59" s="40" t="n">
        <v>43.5</v>
      </c>
      <c r="O59" s="40" t="n"/>
      <c r="P59" s="40" t="n"/>
      <c r="Q59" s="2" t="n"/>
      <c r="R59" s="2" t="n"/>
      <c r="S59" s="2" t="n"/>
      <c r="T59" s="2" t="n"/>
      <c r="U59" s="7">
        <f>IF(OR(AO59="",J59="",AO59&lt;=0),"",(J59-AO59)/AO59)</f>
        <v/>
      </c>
      <c r="V59" s="7">
        <f>IF(OR(AO59="",N59="",AO59&lt;=0),"",(AO59-N59)/AO59)</f>
        <v/>
      </c>
      <c r="W59" s="13">
        <f>IF(OR(U59="",V59="",V59&lt;=0),"",U59/V59)</f>
        <v/>
      </c>
      <c r="X59" s="42">
        <f>IF(OR(K59="",L59="",AP59=""),"",K59*L59-(E59*H59+IF(AND(AK59&lt;&gt;"",AL59&lt;&gt;""),AK59*AL59,0)+IF(AND(AM59&lt;&gt;"",AN59&lt;&gt;""),AM59*AN59,0))-IF(O59="",0,O59)-IF(P59="",0,P59))</f>
        <v/>
      </c>
      <c r="Y59" s="7">
        <f>IF(OR(X59="",AP59=""),"",IF((E59*H59+IF(AND(AK59&lt;&gt;"",AL59&lt;&gt;""),AK59*AL59,0)+IF(AND(AM59&lt;&gt;"",AN59&lt;&gt;""),AM59*AN59,0))+IF(O59="",0,O59)&lt;=0,"",X59/((E59*H59+IF(AND(AK59&lt;&gt;"",AL59&lt;&gt;""),AK59*AL59,0)+IF(AND(AM59&lt;&gt;"",AN59&lt;&gt;""),AM59*AN59,0))+IF(O59="",0,O59))))</f>
        <v/>
      </c>
      <c r="Z59" s="7">
        <f>IF(OR(AE59="",多次统计数据!$B$8=""),"",AE59-多次统计数据!$B$8)</f>
        <v/>
      </c>
      <c r="AA59" s="14">
        <f>IF(OR(I59="",M59="",M59&lt;I59),"",M59-I59)</f>
        <v/>
      </c>
      <c r="AB59" s="7">
        <f>IF(OR(A59="",多次统计数据!$B$8="",多次统计数据!$B$6&lt;=0,多次统计数据!$B$6&gt;=1),"",1-POWER(1+多次统计数据!$B$8,-多次统计数据!$B$6/(1-多次统计数据!$B$6)))</f>
        <v/>
      </c>
      <c r="AC59" s="8">
        <f>IF(OR(AB59="",多次统计数据!$B$9=""),"",IF(多次统计数据!$B$9&lt;AB59,"低于上限","达到或超过上限"))</f>
        <v/>
      </c>
      <c r="AD59" s="2" t="n"/>
      <c r="AE59" s="7">
        <f>IF(OR(X59="",C59="",C59&lt;=0),"",X59/C59)</f>
        <v/>
      </c>
      <c r="AG59" s="28" t="n"/>
      <c r="AH59" s="28" t="n"/>
      <c r="AI59" s="28" t="n"/>
      <c r="AJ59" s="31">
        <f>IF(OR(AG59="",AH59=""),"",IF(OR(AND(AG59="短期博反弹",OR(AH59="1～3个交易日",AH59="4～10个交易日")),AND(AG59="突破冲新高",OR(AH59="4～10个交易日",AH59="11～20个交易日")),AND(AG59="趋势波段",OR(AH59="11～20个交易日",AH59="21～60个交易日",AH59="60个交易日以上"))),"匹配","周期与交易预期不匹配，请重新确认"))</f>
        <v/>
      </c>
      <c r="AK59" s="43" t="n"/>
      <c r="AL59" s="27" t="n"/>
      <c r="AM59" s="43" t="n"/>
      <c r="AN59" s="27" t="n"/>
      <c r="AO59" s="44">
        <f>IF(OR(A59="",H59="",H59&lt;=0),"",(E59*H59+IF(AND(AK59&lt;&gt;"",AL59&lt;&gt;""),AK59*AL59,0)+IF(AND(AM59&lt;&gt;"",AN59&lt;&gt;""),AM59*AN59,0))/AP59)</f>
        <v/>
      </c>
      <c r="AP59" s="26">
        <f>IF(OR(A59="",H59="",H59&lt;=0),"",H59+IF(AL59="",0,AL59)+IF(AN59="",0,AN59))</f>
        <v/>
      </c>
      <c r="AQ59" s="44">
        <f>IF(A59="","",IF(M59&lt;&gt;"",0,IF(OR(H59="",N59=""),"",MAX(E59-MAX(N59,IFERROR(AGGREGATE(14,6,'持仓跟踪'!$S$2:$S$501/(('持仓跟踪'!$A$2:$A$501="每日跟踪")*('持仓跟踪'!$B$2:$B$501=A59)),1),0)),0)*H59+IF(OR(AK59="",AL59=""),0,MAX(AK59-MAX(N59,IFERROR(AGGREGATE(14,6,'持仓跟踪'!$S$2:$S$501/(('持仓跟踪'!$A$2:$A$501="每日跟踪")*('持仓跟踪'!$B$2:$B$501=A59)),1),0)),0)*AL59)+IF(OR(AM59="",AN59=""),0,MAX(AM59-MAX(N59,IFERROR(AGGREGATE(14,6,'持仓跟踪'!$S$2:$S$501/(('持仓跟踪'!$A$2:$A$501="每日跟踪")*('持仓跟踪'!$B$2:$B$501=A59)),1),0)),0)*AN59))))</f>
        <v/>
      </c>
      <c r="AR59" s="31">
        <f>IF(A59="","",IF(OR(E59="",H59=""),"违规：第一批价格或股数缺失",IF(OR(AND(AK59="",AL59&lt;&gt;""),AND(AK59&lt;&gt;"",AL59="")),"违规：第二批价格与股数须成对填写",IF(OR(AND(AM59="",AN59&lt;&gt;""),AND(AM59&lt;&gt;"",AN59="")),"违规：第三批价格与股数须成对填写",IF(AND(OR(AM59&lt;&gt;"",AN59&lt;&gt;""),OR(AK59="",AL59="")),"违规：必须先完成第二批",IF(OR(H59&lt;=0,H59&lt;&gt;INT(H59),MOD(H59,100)&lt;&gt;0,AND(AL59&lt;&gt;"",OR(AL59&lt;=0,AL59&lt;&gt;INT(AL59),MOD(AL59,100)&lt;&gt;0)),AND(AN59&lt;&gt;"",OR(AN59&lt;=0,AN59&lt;&gt;INT(AN59),MOD(AN59,100)&lt;&gt;0))),"违规：股数须为100股整数倍",IF(AND(OR(AL59&lt;&gt;"",AN59&lt;&gt;""),OR(_LockStatus="已锁仓",_LockStatus="解锁信息不完整")),"违规：锁仓期间禁止加仓",IF(AQ59&gt;C59*D59,"违规：超过单笔风险上限",IF(SUM($AQ$2:$AQ$201)&gt;账户数据!$B$7,"违规：超过账户风险上限","通过")))))))))</f>
        <v/>
      </c>
    </row>
    <row r="60">
      <c r="A60" s="2" t="n">
        <v>59</v>
      </c>
      <c r="B60" s="2" t="inlineStr">
        <is>
          <t>航发动力</t>
        </is>
      </c>
      <c r="C60" s="40" t="n">
        <v>167925</v>
      </c>
      <c r="D60" s="6" t="n">
        <v>0.02</v>
      </c>
      <c r="E60" s="40" t="n">
        <v>40.5</v>
      </c>
      <c r="F60" s="8">
        <f>IF(OR(C60="",D60="",E60="",N60="",C60&lt;=0,D60&lt;=0,E60&lt;=N60),"",ROUNDDOWN((C60*D60)/(E60-N60)/100,0)*100)</f>
        <v/>
      </c>
      <c r="G60" s="8">
        <f>IF(A60="","",IF(H60&lt;&gt;"","已开仓",IF(账户数据!$B$23="已锁仓","禁止开仓：连续亏损达到上限",IF(账户数据!$B$23="解锁信息不完整","禁止开仓：请完整填写解锁信息",IF(OR(F60="",E60="",N60="",E60&lt;=N60,账户数据!$B$7=""),"",IF(OR(AG60="",AH60="",AI60=""),"禁止开仓：交易预期未填写完整",IF(COUNTIFS(持仓跟踪!$A$2:$A$501,"止损计划",持仓跟踪!$B$2:$B$501,A60,持仓跟踪!$AC$2:$AC$501,"计划有效")=0,"禁止开仓：请先填写止损计划",IF(账户数据!$B$9+F60*(E60-N60)&gt;=账户数据!$B$7,"禁止开仓：风险额度不足",IF(AJ60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0" s="2" t="n">
        <v>1600</v>
      </c>
      <c r="I60" s="41" t="n">
        <v>45104</v>
      </c>
      <c r="J60" s="40" t="n">
        <v>42.5</v>
      </c>
      <c r="K60" s="40" t="n">
        <v>42.23</v>
      </c>
      <c r="L60" s="8">
        <f>IF(K60="","",H60)</f>
        <v/>
      </c>
      <c r="M60" s="41" t="n">
        <v>45112</v>
      </c>
      <c r="N60" s="40" t="n">
        <v>38.5</v>
      </c>
      <c r="O60" s="40" t="n"/>
      <c r="P60" s="40" t="n"/>
      <c r="Q60" s="2" t="n"/>
      <c r="R60" s="2" t="n"/>
      <c r="S60" s="2" t="n"/>
      <c r="T60" s="2" t="n"/>
      <c r="U60" s="7">
        <f>IF(OR(AO60="",J60="",AO60&lt;=0),"",(J60-AO60)/AO60)</f>
        <v/>
      </c>
      <c r="V60" s="7">
        <f>IF(OR(AO60="",N60="",AO60&lt;=0),"",(AO60-N60)/AO60)</f>
        <v/>
      </c>
      <c r="W60" s="13">
        <f>IF(OR(U60="",V60="",V60&lt;=0),"",U60/V60)</f>
        <v/>
      </c>
      <c r="X60" s="42">
        <f>IF(OR(K60="",L60="",AP60=""),"",K60*L60-(E60*H60+IF(AND(AK60&lt;&gt;"",AL60&lt;&gt;""),AK60*AL60,0)+IF(AND(AM60&lt;&gt;"",AN60&lt;&gt;""),AM60*AN60,0))-IF(O60="",0,O60)-IF(P60="",0,P60))</f>
        <v/>
      </c>
      <c r="Y60" s="7">
        <f>IF(OR(X60="",AP60=""),"",IF((E60*H60+IF(AND(AK60&lt;&gt;"",AL60&lt;&gt;""),AK60*AL60,0)+IF(AND(AM60&lt;&gt;"",AN60&lt;&gt;""),AM60*AN60,0))+IF(O60="",0,O60)&lt;=0,"",X60/((E60*H60+IF(AND(AK60&lt;&gt;"",AL60&lt;&gt;""),AK60*AL60,0)+IF(AND(AM60&lt;&gt;"",AN60&lt;&gt;""),AM60*AN60,0))+IF(O60="",0,O60))))</f>
        <v/>
      </c>
      <c r="Z60" s="7">
        <f>IF(OR(AE60="",多次统计数据!$B$8=""),"",AE60-多次统计数据!$B$8)</f>
        <v/>
      </c>
      <c r="AA60" s="14">
        <f>IF(OR(I60="",M60="",M60&lt;I60),"",M60-I60)</f>
        <v/>
      </c>
      <c r="AB60" s="7">
        <f>IF(OR(A60="",多次统计数据!$B$8="",多次统计数据!$B$6&lt;=0,多次统计数据!$B$6&gt;=1),"",1-POWER(1+多次统计数据!$B$8,-多次统计数据!$B$6/(1-多次统计数据!$B$6)))</f>
        <v/>
      </c>
      <c r="AC60" s="8">
        <f>IF(OR(AB60="",多次统计数据!$B$9=""),"",IF(多次统计数据!$B$9&lt;AB60,"低于上限","达到或超过上限"))</f>
        <v/>
      </c>
      <c r="AD60" s="2" t="n"/>
      <c r="AE60" s="7">
        <f>IF(OR(X60="",C60="",C60&lt;=0),"",X60/C60)</f>
        <v/>
      </c>
      <c r="AG60" s="28" t="n"/>
      <c r="AH60" s="28" t="n"/>
      <c r="AI60" s="28" t="n"/>
      <c r="AJ60" s="31">
        <f>IF(OR(AG60="",AH60=""),"",IF(OR(AND(AG60="短期博反弹",OR(AH60="1～3个交易日",AH60="4～10个交易日")),AND(AG60="突破冲新高",OR(AH60="4～10个交易日",AH60="11～20个交易日")),AND(AG60="趋势波段",OR(AH60="11～20个交易日",AH60="21～60个交易日",AH60="60个交易日以上"))),"匹配","周期与交易预期不匹配，请重新确认"))</f>
        <v/>
      </c>
      <c r="AK60" s="43" t="n"/>
      <c r="AL60" s="27" t="n"/>
      <c r="AM60" s="43" t="n"/>
      <c r="AN60" s="27" t="n"/>
      <c r="AO60" s="44">
        <f>IF(OR(A60="",H60="",H60&lt;=0),"",(E60*H60+IF(AND(AK60&lt;&gt;"",AL60&lt;&gt;""),AK60*AL60,0)+IF(AND(AM60&lt;&gt;"",AN60&lt;&gt;""),AM60*AN60,0))/AP60)</f>
        <v/>
      </c>
      <c r="AP60" s="26">
        <f>IF(OR(A60="",H60="",H60&lt;=0),"",H60+IF(AL60="",0,AL60)+IF(AN60="",0,AN60))</f>
        <v/>
      </c>
      <c r="AQ60" s="44">
        <f>IF(A60="","",IF(M60&lt;&gt;"",0,IF(OR(H60="",N60=""),"",MAX(E60-MAX(N60,IFERROR(AGGREGATE(14,6,'持仓跟踪'!$S$2:$S$501/(('持仓跟踪'!$A$2:$A$501="每日跟踪")*('持仓跟踪'!$B$2:$B$501=A60)),1),0)),0)*H60+IF(OR(AK60="",AL60=""),0,MAX(AK60-MAX(N60,IFERROR(AGGREGATE(14,6,'持仓跟踪'!$S$2:$S$501/(('持仓跟踪'!$A$2:$A$501="每日跟踪")*('持仓跟踪'!$B$2:$B$501=A60)),1),0)),0)*AL60)+IF(OR(AM60="",AN60=""),0,MAX(AM60-MAX(N60,IFERROR(AGGREGATE(14,6,'持仓跟踪'!$S$2:$S$501/(('持仓跟踪'!$A$2:$A$501="每日跟踪")*('持仓跟踪'!$B$2:$B$501=A60)),1),0)),0)*AN60))))</f>
        <v/>
      </c>
      <c r="AR60" s="31">
        <f>IF(A60="","",IF(OR(E60="",H60=""),"违规：第一批价格或股数缺失",IF(OR(AND(AK60="",AL60&lt;&gt;""),AND(AK60&lt;&gt;"",AL60="")),"违规：第二批价格与股数须成对填写",IF(OR(AND(AM60="",AN60&lt;&gt;""),AND(AM60&lt;&gt;"",AN60="")),"违规：第三批价格与股数须成对填写",IF(AND(OR(AM60&lt;&gt;"",AN60&lt;&gt;""),OR(AK60="",AL60="")),"违规：必须先完成第二批",IF(OR(H60&lt;=0,H60&lt;&gt;INT(H60),MOD(H60,100)&lt;&gt;0,AND(AL60&lt;&gt;"",OR(AL60&lt;=0,AL60&lt;&gt;INT(AL60),MOD(AL60,100)&lt;&gt;0)),AND(AN60&lt;&gt;"",OR(AN60&lt;=0,AN60&lt;&gt;INT(AN60),MOD(AN60,100)&lt;&gt;0))),"违规：股数须为100股整数倍",IF(AND(OR(AL60&lt;&gt;"",AN60&lt;&gt;""),OR(_LockStatus="已锁仓",_LockStatus="解锁信息不完整")),"违规：锁仓期间禁止加仓",IF(AQ60&gt;C60*D60,"违规：超过单笔风险上限",IF(SUM($AQ$2:$AQ$201)&gt;账户数据!$B$7,"违规：超过账户风险上限","通过")))))))))</f>
        <v/>
      </c>
    </row>
    <row r="61">
      <c r="A61" s="2" t="n">
        <v>60</v>
      </c>
      <c r="B61" s="2" t="inlineStr">
        <is>
          <t>航发动力</t>
        </is>
      </c>
      <c r="C61" s="40" t="n">
        <v>170693</v>
      </c>
      <c r="D61" s="6" t="n">
        <v>0.02</v>
      </c>
      <c r="E61" s="40" t="n">
        <v>38.09</v>
      </c>
      <c r="F61" s="8">
        <f>IF(OR(C61="",D61="",E61="",N61="",C61&lt;=0,D61&lt;=0,E61&lt;=N61),"",ROUNDDOWN((C61*D61)/(E61-N61)/100,0)*100)</f>
        <v/>
      </c>
      <c r="G61" s="8">
        <f>IF(A61="","",IF(H61&lt;&gt;"","已开仓",IF(账户数据!$B$23="已锁仓","禁止开仓：连续亏损达到上限",IF(账户数据!$B$23="解锁信息不完整","禁止开仓：请完整填写解锁信息",IF(OR(F61="",E61="",N61="",E61&lt;=N61,账户数据!$B$7=""),"",IF(OR(AG61="",AH61="",AI61=""),"禁止开仓：交易预期未填写完整",IF(COUNTIFS(持仓跟踪!$A$2:$A$501,"止损计划",持仓跟踪!$B$2:$B$501,A61,持仓跟踪!$AC$2:$AC$501,"计划有效")=0,"禁止开仓：请先填写止损计划",IF(账户数据!$B$9+F61*(E61-N61)&gt;=账户数据!$B$7,"禁止开仓：风险额度不足",IF(AJ61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1" s="2" t="n">
        <v>1500</v>
      </c>
      <c r="I61" s="41" t="n">
        <v>45162</v>
      </c>
      <c r="J61" s="40" t="n">
        <v>40</v>
      </c>
      <c r="K61" s="40" t="n">
        <v>37.47</v>
      </c>
      <c r="L61" s="8">
        <f>IF(K61="","",H61)</f>
        <v/>
      </c>
      <c r="M61" s="41" t="n">
        <v>45166</v>
      </c>
      <c r="N61" s="40" t="n">
        <v>37</v>
      </c>
      <c r="O61" s="40" t="n"/>
      <c r="P61" s="40" t="n"/>
      <c r="Q61" s="2" t="n"/>
      <c r="R61" s="2" t="n"/>
      <c r="S61" s="2" t="n"/>
      <c r="T61" s="2" t="n"/>
      <c r="U61" s="7">
        <f>IF(OR(AO61="",J61="",AO61&lt;=0),"",(J61-AO61)/AO61)</f>
        <v/>
      </c>
      <c r="V61" s="7">
        <f>IF(OR(AO61="",N61="",AO61&lt;=0),"",(AO61-N61)/AO61)</f>
        <v/>
      </c>
      <c r="W61" s="13">
        <f>IF(OR(U61="",V61="",V61&lt;=0),"",U61/V61)</f>
        <v/>
      </c>
      <c r="X61" s="42">
        <f>IF(OR(K61="",L61="",AP61=""),"",K61*L61-(E61*H61+IF(AND(AK61&lt;&gt;"",AL61&lt;&gt;""),AK61*AL61,0)+IF(AND(AM61&lt;&gt;"",AN61&lt;&gt;""),AM61*AN61,0))-IF(O61="",0,O61)-IF(P61="",0,P61))</f>
        <v/>
      </c>
      <c r="Y61" s="7">
        <f>IF(OR(X61="",AP61=""),"",IF((E61*H61+IF(AND(AK61&lt;&gt;"",AL61&lt;&gt;""),AK61*AL61,0)+IF(AND(AM61&lt;&gt;"",AN61&lt;&gt;""),AM61*AN61,0))+IF(O61="",0,O61)&lt;=0,"",X61/((E61*H61+IF(AND(AK61&lt;&gt;"",AL61&lt;&gt;""),AK61*AL61,0)+IF(AND(AM61&lt;&gt;"",AN61&lt;&gt;""),AM61*AN61,0))+IF(O61="",0,O61))))</f>
        <v/>
      </c>
      <c r="Z61" s="7">
        <f>IF(OR(AE61="",多次统计数据!$B$8=""),"",AE61-多次统计数据!$B$8)</f>
        <v/>
      </c>
      <c r="AA61" s="14">
        <f>IF(OR(I61="",M61="",M61&lt;I61),"",M61-I61)</f>
        <v/>
      </c>
      <c r="AB61" s="7">
        <f>IF(OR(A61="",多次统计数据!$B$8="",多次统计数据!$B$6&lt;=0,多次统计数据!$B$6&gt;=1),"",1-POWER(1+多次统计数据!$B$8,-多次统计数据!$B$6/(1-多次统计数据!$B$6)))</f>
        <v/>
      </c>
      <c r="AC61" s="8">
        <f>IF(OR(AB61="",多次统计数据!$B$9=""),"",IF(多次统计数据!$B$9&lt;AB61,"低于上限","达到或超过上限"))</f>
        <v/>
      </c>
      <c r="AD61" s="2" t="n"/>
      <c r="AE61" s="7">
        <f>IF(OR(X61="",C61="",C61&lt;=0),"",X61/C61)</f>
        <v/>
      </c>
      <c r="AG61" s="28" t="n"/>
      <c r="AH61" s="28" t="n"/>
      <c r="AI61" s="28" t="n"/>
      <c r="AJ61" s="31">
        <f>IF(OR(AG61="",AH61=""),"",IF(OR(AND(AG61="短期博反弹",OR(AH61="1～3个交易日",AH61="4～10个交易日")),AND(AG61="突破冲新高",OR(AH61="4～10个交易日",AH61="11～20个交易日")),AND(AG61="趋势波段",OR(AH61="11～20个交易日",AH61="21～60个交易日",AH61="60个交易日以上"))),"匹配","周期与交易预期不匹配，请重新确认"))</f>
        <v/>
      </c>
      <c r="AK61" s="43" t="n"/>
      <c r="AL61" s="27" t="n"/>
      <c r="AM61" s="43" t="n"/>
      <c r="AN61" s="27" t="n"/>
      <c r="AO61" s="44">
        <f>IF(OR(A61="",H61="",H61&lt;=0),"",(E61*H61+IF(AND(AK61&lt;&gt;"",AL61&lt;&gt;""),AK61*AL61,0)+IF(AND(AM61&lt;&gt;"",AN61&lt;&gt;""),AM61*AN61,0))/AP61)</f>
        <v/>
      </c>
      <c r="AP61" s="26">
        <f>IF(OR(A61="",H61="",H61&lt;=0),"",H61+IF(AL61="",0,AL61)+IF(AN61="",0,AN61))</f>
        <v/>
      </c>
      <c r="AQ61" s="44">
        <f>IF(A61="","",IF(M61&lt;&gt;"",0,IF(OR(H61="",N61=""),"",MAX(E61-MAX(N61,IFERROR(AGGREGATE(14,6,'持仓跟踪'!$S$2:$S$501/(('持仓跟踪'!$A$2:$A$501="每日跟踪")*('持仓跟踪'!$B$2:$B$501=A61)),1),0)),0)*H61+IF(OR(AK61="",AL61=""),0,MAX(AK61-MAX(N61,IFERROR(AGGREGATE(14,6,'持仓跟踪'!$S$2:$S$501/(('持仓跟踪'!$A$2:$A$501="每日跟踪")*('持仓跟踪'!$B$2:$B$501=A61)),1),0)),0)*AL61)+IF(OR(AM61="",AN61=""),0,MAX(AM61-MAX(N61,IFERROR(AGGREGATE(14,6,'持仓跟踪'!$S$2:$S$501/(('持仓跟踪'!$A$2:$A$501="每日跟踪")*('持仓跟踪'!$B$2:$B$501=A61)),1),0)),0)*AN61))))</f>
        <v/>
      </c>
      <c r="AR61" s="31">
        <f>IF(A61="","",IF(OR(E61="",H61=""),"违规：第一批价格或股数缺失",IF(OR(AND(AK61="",AL61&lt;&gt;""),AND(AK61&lt;&gt;"",AL61="")),"违规：第二批价格与股数须成对填写",IF(OR(AND(AM61="",AN61&lt;&gt;""),AND(AM61&lt;&gt;"",AN61="")),"违规：第三批价格与股数须成对填写",IF(AND(OR(AM61&lt;&gt;"",AN61&lt;&gt;""),OR(AK61="",AL61="")),"违规：必须先完成第二批",IF(OR(H61&lt;=0,H61&lt;&gt;INT(H61),MOD(H61,100)&lt;&gt;0,AND(AL61&lt;&gt;"",OR(AL61&lt;=0,AL61&lt;&gt;INT(AL61),MOD(AL61,100)&lt;&gt;0)),AND(AN61&lt;&gt;"",OR(AN61&lt;=0,AN61&lt;&gt;INT(AN61),MOD(AN61,100)&lt;&gt;0))),"违规：股数须为100股整数倍",IF(AND(OR(AL61&lt;&gt;"",AN61&lt;&gt;""),OR(_LockStatus="已锁仓",_LockStatus="解锁信息不完整")),"违规：锁仓期间禁止加仓",IF(AQ61&gt;C61*D61,"违规：超过单笔风险上限",IF(SUM($AQ$2:$AQ$201)&gt;账户数据!$B$7,"违规：超过账户风险上限","通过")))))))))</f>
        <v/>
      </c>
    </row>
    <row r="62">
      <c r="A62" s="2" t="n">
        <v>61</v>
      </c>
      <c r="B62" s="2" t="inlineStr">
        <is>
          <t>航发动力</t>
        </is>
      </c>
      <c r="C62" s="40" t="n">
        <v>169763</v>
      </c>
      <c r="D62" s="6" t="n">
        <v>0.02</v>
      </c>
      <c r="E62" s="40" t="n">
        <v>31.73</v>
      </c>
      <c r="F62" s="8">
        <f>IF(OR(C62="",D62="",E62="",N62="",C62&lt;=0,D62&lt;=0,E62&lt;=N62),"",ROUNDDOWN((C62*D62)/(E62-N62)/100,0)*100)</f>
        <v/>
      </c>
      <c r="G62" s="8">
        <f>IF(A62="","",IF(H62&lt;&gt;"","已开仓",IF(账户数据!$B$23="已锁仓","禁止开仓：连续亏损达到上限",IF(账户数据!$B$23="解锁信息不完整","禁止开仓：请完整填写解锁信息",IF(OR(F62="",E62="",N62="",E62&lt;=N62,账户数据!$B$7=""),"",IF(OR(AG62="",AH62="",AI62=""),"禁止开仓：交易预期未填写完整",IF(COUNTIFS(持仓跟踪!$A$2:$A$501,"止损计划",持仓跟踪!$B$2:$B$501,A62,持仓跟踪!$AC$2:$AC$501,"计划有效")=0,"禁止开仓：请先填写止损计划",IF(账户数据!$B$9+F62*(E62-N62)&gt;=账户数据!$B$7,"禁止开仓：风险额度不足",IF(AJ62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2" s="2" t="n">
        <v>1900</v>
      </c>
      <c r="I62" s="41" t="n">
        <v>45313</v>
      </c>
      <c r="J62" s="40" t="n">
        <v>35</v>
      </c>
      <c r="K62" s="40" t="n">
        <v>29.67</v>
      </c>
      <c r="L62" s="8">
        <f>IF(K62="","",H62)</f>
        <v/>
      </c>
      <c r="M62" s="41" t="n">
        <v>45324</v>
      </c>
      <c r="N62" s="40" t="n">
        <v>30</v>
      </c>
      <c r="O62" s="40" t="n"/>
      <c r="P62" s="40" t="n"/>
      <c r="Q62" s="2" t="n"/>
      <c r="R62" s="2" t="n"/>
      <c r="S62" s="2" t="n"/>
      <c r="T62" s="2" t="n"/>
      <c r="U62" s="7">
        <f>IF(OR(AO62="",J62="",AO62&lt;=0),"",(J62-AO62)/AO62)</f>
        <v/>
      </c>
      <c r="V62" s="7">
        <f>IF(OR(AO62="",N62="",AO62&lt;=0),"",(AO62-N62)/AO62)</f>
        <v/>
      </c>
      <c r="W62" s="13">
        <f>IF(OR(U62="",V62="",V62&lt;=0),"",U62/V62)</f>
        <v/>
      </c>
      <c r="X62" s="42">
        <f>IF(OR(K62="",L62="",AP62=""),"",K62*L62-(E62*H62+IF(AND(AK62&lt;&gt;"",AL62&lt;&gt;""),AK62*AL62,0)+IF(AND(AM62&lt;&gt;"",AN62&lt;&gt;""),AM62*AN62,0))-IF(O62="",0,O62)-IF(P62="",0,P62))</f>
        <v/>
      </c>
      <c r="Y62" s="7">
        <f>IF(OR(X62="",AP62=""),"",IF((E62*H62+IF(AND(AK62&lt;&gt;"",AL62&lt;&gt;""),AK62*AL62,0)+IF(AND(AM62&lt;&gt;"",AN62&lt;&gt;""),AM62*AN62,0))+IF(O62="",0,O62)&lt;=0,"",X62/((E62*H62+IF(AND(AK62&lt;&gt;"",AL62&lt;&gt;""),AK62*AL62,0)+IF(AND(AM62&lt;&gt;"",AN62&lt;&gt;""),AM62*AN62,0))+IF(O62="",0,O62))))</f>
        <v/>
      </c>
      <c r="Z62" s="7">
        <f>IF(OR(AE62="",多次统计数据!$B$8=""),"",AE62-多次统计数据!$B$8)</f>
        <v/>
      </c>
      <c r="AA62" s="14">
        <f>IF(OR(I62="",M62="",M62&lt;I62),"",M62-I62)</f>
        <v/>
      </c>
      <c r="AB62" s="7">
        <f>IF(OR(A62="",多次统计数据!$B$8="",多次统计数据!$B$6&lt;=0,多次统计数据!$B$6&gt;=1),"",1-POWER(1+多次统计数据!$B$8,-多次统计数据!$B$6/(1-多次统计数据!$B$6)))</f>
        <v/>
      </c>
      <c r="AC62" s="8">
        <f>IF(OR(AB62="",多次统计数据!$B$9=""),"",IF(多次统计数据!$B$9&lt;AB62,"低于上限","达到或超过上限"))</f>
        <v/>
      </c>
      <c r="AD62" s="2" t="n"/>
      <c r="AE62" s="7">
        <f>IF(OR(X62="",C62="",C62&lt;=0),"",X62/C62)</f>
        <v/>
      </c>
      <c r="AF62" t="inlineStr">
        <is>
          <t>别贪，这是低点反弹</t>
        </is>
      </c>
      <c r="AG62" s="28" t="n"/>
      <c r="AH62" s="28" t="n"/>
      <c r="AI62" s="28" t="n"/>
      <c r="AJ62" s="31">
        <f>IF(OR(AG62="",AH62=""),"",IF(OR(AND(AG62="短期博反弹",OR(AH62="1～3个交易日",AH62="4～10个交易日")),AND(AG62="突破冲新高",OR(AH62="4～10个交易日",AH62="11～20个交易日")),AND(AG62="趋势波段",OR(AH62="11～20个交易日",AH62="21～60个交易日",AH62="60个交易日以上"))),"匹配","周期与交易预期不匹配，请重新确认"))</f>
        <v/>
      </c>
      <c r="AK62" s="43" t="n"/>
      <c r="AL62" s="27" t="n"/>
      <c r="AM62" s="43" t="n"/>
      <c r="AN62" s="27" t="n"/>
      <c r="AO62" s="44">
        <f>IF(OR(A62="",H62="",H62&lt;=0),"",(E62*H62+IF(AND(AK62&lt;&gt;"",AL62&lt;&gt;""),AK62*AL62,0)+IF(AND(AM62&lt;&gt;"",AN62&lt;&gt;""),AM62*AN62,0))/AP62)</f>
        <v/>
      </c>
      <c r="AP62" s="26">
        <f>IF(OR(A62="",H62="",H62&lt;=0),"",H62+IF(AL62="",0,AL62)+IF(AN62="",0,AN62))</f>
        <v/>
      </c>
      <c r="AQ62" s="44">
        <f>IF(A62="","",IF(M62&lt;&gt;"",0,IF(OR(H62="",N62=""),"",MAX(E62-MAX(N62,IFERROR(AGGREGATE(14,6,'持仓跟踪'!$S$2:$S$501/(('持仓跟踪'!$A$2:$A$501="每日跟踪")*('持仓跟踪'!$B$2:$B$501=A62)),1),0)),0)*H62+IF(OR(AK62="",AL62=""),0,MAX(AK62-MAX(N62,IFERROR(AGGREGATE(14,6,'持仓跟踪'!$S$2:$S$501/(('持仓跟踪'!$A$2:$A$501="每日跟踪")*('持仓跟踪'!$B$2:$B$501=A62)),1),0)),0)*AL62)+IF(OR(AM62="",AN62=""),0,MAX(AM62-MAX(N62,IFERROR(AGGREGATE(14,6,'持仓跟踪'!$S$2:$S$501/(('持仓跟踪'!$A$2:$A$501="每日跟踪")*('持仓跟踪'!$B$2:$B$501=A62)),1),0)),0)*AN62))))</f>
        <v/>
      </c>
      <c r="AR62" s="31">
        <f>IF(A62="","",IF(OR(E62="",H62=""),"违规：第一批价格或股数缺失",IF(OR(AND(AK62="",AL62&lt;&gt;""),AND(AK62&lt;&gt;"",AL62="")),"违规：第二批价格与股数须成对填写",IF(OR(AND(AM62="",AN62&lt;&gt;""),AND(AM62&lt;&gt;"",AN62="")),"违规：第三批价格与股数须成对填写",IF(AND(OR(AM62&lt;&gt;"",AN62&lt;&gt;""),OR(AK62="",AL62="")),"违规：必须先完成第二批",IF(OR(H62&lt;=0,H62&lt;&gt;INT(H62),MOD(H62,100)&lt;&gt;0,AND(AL62&lt;&gt;"",OR(AL62&lt;=0,AL62&lt;&gt;INT(AL62),MOD(AL62,100)&lt;&gt;0)),AND(AN62&lt;&gt;"",OR(AN62&lt;=0,AN62&lt;&gt;INT(AN62),MOD(AN62,100)&lt;&gt;0))),"违规：股数须为100股整数倍",IF(AND(OR(AL62&lt;&gt;"",AN62&lt;&gt;""),OR(_LockStatus="已锁仓",_LockStatus="解锁信息不完整")),"违规：锁仓期间禁止加仓",IF(AQ62&gt;C62*D62,"违规：超过单笔风险上限",IF(SUM($AQ$2:$AQ$201)&gt;账户数据!$B$7,"违规：超过账户风险上限","通过")))))))))</f>
        <v/>
      </c>
    </row>
    <row r="63">
      <c r="A63" s="2" t="n">
        <v>62</v>
      </c>
      <c r="B63" s="2" t="inlineStr">
        <is>
          <t>航发动力</t>
        </is>
      </c>
      <c r="C63" s="40" t="n">
        <v>165849</v>
      </c>
      <c r="D63" s="6" t="n">
        <v>0.02</v>
      </c>
      <c r="E63" s="40" t="n">
        <v>36.33</v>
      </c>
      <c r="F63" s="8">
        <f>IF(OR(C63="",D63="",E63="",N63="",C63&lt;=0,D63&lt;=0,E63&lt;=N63),"",ROUNDDOWN((C63*D63)/(E63-N63)/100,0)*100)</f>
        <v/>
      </c>
      <c r="G63" s="8">
        <f>IF(A63="","",IF(H63&lt;&gt;"","已开仓",IF(账户数据!$B$23="已锁仓","禁止开仓：连续亏损达到上限",IF(账户数据!$B$23="解锁信息不完整","禁止开仓：请完整填写解锁信息",IF(OR(F63="",E63="",N63="",E63&lt;=N63,账户数据!$B$7=""),"",IF(OR(AG63="",AH63="",AI63=""),"禁止开仓：交易预期未填写完整",IF(COUNTIFS(持仓跟踪!$A$2:$A$501,"止损计划",持仓跟踪!$B$2:$B$501,A63,持仓跟踪!$AC$2:$AC$501,"计划有效")=0,"禁止开仓：请先填写止损计划",IF(账户数据!$B$9+F63*(E63-N63)&gt;=账户数据!$B$7,"禁止开仓：风险额度不足",IF(AJ63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3" s="2" t="n">
        <v>1900</v>
      </c>
      <c r="I63" s="41" t="n">
        <v>45429</v>
      </c>
      <c r="J63" s="40" t="n">
        <v>38</v>
      </c>
      <c r="K63" s="40" t="n">
        <v>35.05</v>
      </c>
      <c r="L63" s="8">
        <f>IF(K63="","",H63)</f>
        <v/>
      </c>
      <c r="M63" s="41" t="n">
        <v>45435</v>
      </c>
      <c r="N63" s="40" t="n">
        <v>35.5</v>
      </c>
      <c r="O63" s="40" t="n"/>
      <c r="P63" s="40" t="n"/>
      <c r="Q63" s="2" t="n"/>
      <c r="R63" s="2" t="n"/>
      <c r="S63" s="2" t="n"/>
      <c r="T63" s="2" t="n"/>
      <c r="U63" s="7">
        <f>IF(OR(AO63="",J63="",AO63&lt;=0),"",(J63-AO63)/AO63)</f>
        <v/>
      </c>
      <c r="V63" s="7">
        <f>IF(OR(AO63="",N63="",AO63&lt;=0),"",(AO63-N63)/AO63)</f>
        <v/>
      </c>
      <c r="W63" s="13">
        <f>IF(OR(U63="",V63="",V63&lt;=0),"",U63/V63)</f>
        <v/>
      </c>
      <c r="X63" s="42">
        <f>IF(OR(K63="",L63="",AP63=""),"",K63*L63-(E63*H63+IF(AND(AK63&lt;&gt;"",AL63&lt;&gt;""),AK63*AL63,0)+IF(AND(AM63&lt;&gt;"",AN63&lt;&gt;""),AM63*AN63,0))-IF(O63="",0,O63)-IF(P63="",0,P63))</f>
        <v/>
      </c>
      <c r="Y63" s="7">
        <f>IF(OR(X63="",AP63=""),"",IF((E63*H63+IF(AND(AK63&lt;&gt;"",AL63&lt;&gt;""),AK63*AL63,0)+IF(AND(AM63&lt;&gt;"",AN63&lt;&gt;""),AM63*AN63,0))+IF(O63="",0,O63)&lt;=0,"",X63/((E63*H63+IF(AND(AK63&lt;&gt;"",AL63&lt;&gt;""),AK63*AL63,0)+IF(AND(AM63&lt;&gt;"",AN63&lt;&gt;""),AM63*AN63,0))+IF(O63="",0,O63))))</f>
        <v/>
      </c>
      <c r="Z63" s="7">
        <f>IF(OR(AE63="",多次统计数据!$B$8=""),"",AE63-多次统计数据!$B$8)</f>
        <v/>
      </c>
      <c r="AA63" s="14">
        <f>IF(OR(I63="",M63="",M63&lt;I63),"",M63-I63)</f>
        <v/>
      </c>
      <c r="AB63" s="7">
        <f>IF(OR(A63="",多次统计数据!$B$8="",多次统计数据!$B$6&lt;=0,多次统计数据!$B$6&gt;=1),"",1-POWER(1+多次统计数据!$B$8,-多次统计数据!$B$6/(1-多次统计数据!$B$6)))</f>
        <v/>
      </c>
      <c r="AC63" s="8">
        <f>IF(OR(AB63="",多次统计数据!$B$9=""),"",IF(多次统计数据!$B$9&lt;AB63,"低于上限","达到或超过上限"))</f>
        <v/>
      </c>
      <c r="AD63" s="2" t="n"/>
      <c r="AE63" s="7">
        <f>IF(OR(X63="",C63="",C63&lt;=0),"",X63/C63)</f>
        <v/>
      </c>
      <c r="AG63" s="28" t="n"/>
      <c r="AH63" s="28" t="n"/>
      <c r="AI63" s="28" t="n"/>
      <c r="AJ63" s="31">
        <f>IF(OR(AG63="",AH63=""),"",IF(OR(AND(AG63="短期博反弹",OR(AH63="1～3个交易日",AH63="4～10个交易日")),AND(AG63="突破冲新高",OR(AH63="4～10个交易日",AH63="11～20个交易日")),AND(AG63="趋势波段",OR(AH63="11～20个交易日",AH63="21～60个交易日",AH63="60个交易日以上"))),"匹配","周期与交易预期不匹配，请重新确认"))</f>
        <v/>
      </c>
      <c r="AK63" s="43" t="n"/>
      <c r="AL63" s="27" t="n"/>
      <c r="AM63" s="43" t="n"/>
      <c r="AN63" s="27" t="n"/>
      <c r="AO63" s="44">
        <f>IF(OR(A63="",H63="",H63&lt;=0),"",(E63*H63+IF(AND(AK63&lt;&gt;"",AL63&lt;&gt;""),AK63*AL63,0)+IF(AND(AM63&lt;&gt;"",AN63&lt;&gt;""),AM63*AN63,0))/AP63)</f>
        <v/>
      </c>
      <c r="AP63" s="26">
        <f>IF(OR(A63="",H63="",H63&lt;=0),"",H63+IF(AL63="",0,AL63)+IF(AN63="",0,AN63))</f>
        <v/>
      </c>
      <c r="AQ63" s="44">
        <f>IF(A63="","",IF(M63&lt;&gt;"",0,IF(OR(H63="",N63=""),"",MAX(E63-MAX(N63,IFERROR(AGGREGATE(14,6,'持仓跟踪'!$S$2:$S$501/(('持仓跟踪'!$A$2:$A$501="每日跟踪")*('持仓跟踪'!$B$2:$B$501=A63)),1),0)),0)*H63+IF(OR(AK63="",AL63=""),0,MAX(AK63-MAX(N63,IFERROR(AGGREGATE(14,6,'持仓跟踪'!$S$2:$S$501/(('持仓跟踪'!$A$2:$A$501="每日跟踪")*('持仓跟踪'!$B$2:$B$501=A63)),1),0)),0)*AL63)+IF(OR(AM63="",AN63=""),0,MAX(AM63-MAX(N63,IFERROR(AGGREGATE(14,6,'持仓跟踪'!$S$2:$S$501/(('持仓跟踪'!$A$2:$A$501="每日跟踪")*('持仓跟踪'!$B$2:$B$501=A63)),1),0)),0)*AN63))))</f>
        <v/>
      </c>
      <c r="AR63" s="31">
        <f>IF(A63="","",IF(OR(E63="",H63=""),"违规：第一批价格或股数缺失",IF(OR(AND(AK63="",AL63&lt;&gt;""),AND(AK63&lt;&gt;"",AL63="")),"违规：第二批价格与股数须成对填写",IF(OR(AND(AM63="",AN63&lt;&gt;""),AND(AM63&lt;&gt;"",AN63="")),"违规：第三批价格与股数须成对填写",IF(AND(OR(AM63&lt;&gt;"",AN63&lt;&gt;""),OR(AK63="",AL63="")),"违规：必须先完成第二批",IF(OR(H63&lt;=0,H63&lt;&gt;INT(H63),MOD(H63,100)&lt;&gt;0,AND(AL63&lt;&gt;"",OR(AL63&lt;=0,AL63&lt;&gt;INT(AL63),MOD(AL63,100)&lt;&gt;0)),AND(AN63&lt;&gt;"",OR(AN63&lt;=0,AN63&lt;&gt;INT(AN63),MOD(AN63,100)&lt;&gt;0))),"违规：股数须为100股整数倍",IF(AND(OR(AL63&lt;&gt;"",AN63&lt;&gt;""),OR(_LockStatus="已锁仓",_LockStatus="解锁信息不完整")),"违规：锁仓期间禁止加仓",IF(AQ63&gt;C63*D63,"违规：超过单笔风险上限",IF(SUM($AQ$2:$AQ$201)&gt;账户数据!$B$7,"违规：超过账户风险上限","通过")))))))))</f>
        <v/>
      </c>
    </row>
    <row r="64">
      <c r="A64" s="2" t="n">
        <v>63</v>
      </c>
      <c r="B64" s="2" t="inlineStr">
        <is>
          <t>航发动力</t>
        </is>
      </c>
      <c r="C64" s="40" t="n">
        <v>163417</v>
      </c>
      <c r="D64" s="6" t="n">
        <v>0.02</v>
      </c>
      <c r="E64" s="40" t="n">
        <v>35</v>
      </c>
      <c r="F64" s="8">
        <f>IF(OR(C64="",D64="",E64="",N64="",C64&lt;=0,D64&lt;=0,E64&lt;=N64),"",ROUNDDOWN((C64*D64)/(E64-N64)/100,0)*100)</f>
        <v/>
      </c>
      <c r="G64" s="8">
        <f>IF(A64="","",IF(H64&lt;&gt;"","已开仓",IF(账户数据!$B$23="已锁仓","禁止开仓：连续亏损达到上限",IF(账户数据!$B$23="解锁信息不完整","禁止开仓：请完整填写解锁信息",IF(OR(F64="",E64="",N64="",E64&lt;=N64,账户数据!$B$7=""),"",IF(OR(AG64="",AH64="",AI64=""),"禁止开仓：交易预期未填写完整",IF(COUNTIFS(持仓跟踪!$A$2:$A$501,"止损计划",持仓跟踪!$B$2:$B$501,A64,持仓跟踪!$AC$2:$AC$501,"计划有效")=0,"禁止开仓：请先填写止损计划",IF(账户数据!$B$9+F64*(E64-N64)&gt;=账户数据!$B$7,"禁止开仓：风险额度不足",IF(AJ64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4" s="2" t="n">
        <v>1600</v>
      </c>
      <c r="I64" s="41" t="n">
        <v>45785</v>
      </c>
      <c r="J64" s="40" t="n">
        <v>37</v>
      </c>
      <c r="K64" s="40" t="n">
        <v>41.19</v>
      </c>
      <c r="L64" s="8">
        <f>IF(K64="","",H64)</f>
        <v/>
      </c>
      <c r="M64" s="41" t="n">
        <v>45870</v>
      </c>
      <c r="N64" s="40" t="n">
        <v>33</v>
      </c>
      <c r="O64" s="40" t="n"/>
      <c r="P64" s="40" t="n"/>
      <c r="Q64" s="2" t="n"/>
      <c r="R64" s="2" t="n"/>
      <c r="S64" s="2" t="n"/>
      <c r="T64" s="2" t="n"/>
      <c r="U64" s="7">
        <f>IF(OR(AO64="",J64="",AO64&lt;=0),"",(J64-AO64)/AO64)</f>
        <v/>
      </c>
      <c r="V64" s="7">
        <f>IF(OR(AO64="",N64="",AO64&lt;=0),"",(AO64-N64)/AO64)</f>
        <v/>
      </c>
      <c r="W64" s="13">
        <f>IF(OR(U64="",V64="",V64&lt;=0),"",U64/V64)</f>
        <v/>
      </c>
      <c r="X64" s="42">
        <f>IF(OR(K64="",L64="",AP64=""),"",K64*L64-(E64*H64+IF(AND(AK64&lt;&gt;"",AL64&lt;&gt;""),AK64*AL64,0)+IF(AND(AM64&lt;&gt;"",AN64&lt;&gt;""),AM64*AN64,0))-IF(O64="",0,O64)-IF(P64="",0,P64))</f>
        <v/>
      </c>
      <c r="Y64" s="7">
        <f>IF(OR(X64="",AP64=""),"",IF((E64*H64+IF(AND(AK64&lt;&gt;"",AL64&lt;&gt;""),AK64*AL64,0)+IF(AND(AM64&lt;&gt;"",AN64&lt;&gt;""),AM64*AN64,0))+IF(O64="",0,O64)&lt;=0,"",X64/((E64*H64+IF(AND(AK64&lt;&gt;"",AL64&lt;&gt;""),AK64*AL64,0)+IF(AND(AM64&lt;&gt;"",AN64&lt;&gt;""),AM64*AN64,0))+IF(O64="",0,O64))))</f>
        <v/>
      </c>
      <c r="Z64" s="7">
        <f>IF(OR(AE64="",多次统计数据!$B$8=""),"",AE64-多次统计数据!$B$8)</f>
        <v/>
      </c>
      <c r="AA64" s="14">
        <f>IF(OR(I64="",M64="",M64&lt;I64),"",M64-I64)</f>
        <v/>
      </c>
      <c r="AB64" s="7">
        <f>IF(OR(A64="",多次统计数据!$B$8="",多次统计数据!$B$6&lt;=0,多次统计数据!$B$6&gt;=1),"",1-POWER(1+多次统计数据!$B$8,-多次统计数据!$B$6/(1-多次统计数据!$B$6)))</f>
        <v/>
      </c>
      <c r="AC64" s="8">
        <f>IF(OR(AB64="",多次统计数据!$B$9=""),"",IF(多次统计数据!$B$9&lt;AB64,"低于上限","达到或超过上限"))</f>
        <v/>
      </c>
      <c r="AD64" s="2" t="n"/>
      <c r="AE64" s="7">
        <f>IF(OR(X64="",C64="",C64&lt;=0),"",X64/C64)</f>
        <v/>
      </c>
      <c r="AG64" s="28" t="n"/>
      <c r="AH64" s="28" t="n"/>
      <c r="AI64" s="28" t="n"/>
      <c r="AJ64" s="31">
        <f>IF(OR(AG64="",AH64=""),"",IF(OR(AND(AG64="短期博反弹",OR(AH64="1～3个交易日",AH64="4～10个交易日")),AND(AG64="突破冲新高",OR(AH64="4～10个交易日",AH64="11～20个交易日")),AND(AG64="趋势波段",OR(AH64="11～20个交易日",AH64="21～60个交易日",AH64="60个交易日以上"))),"匹配","周期与交易预期不匹配，请重新确认"))</f>
        <v/>
      </c>
      <c r="AK64" s="43" t="n"/>
      <c r="AL64" s="27" t="n"/>
      <c r="AM64" s="43" t="n"/>
      <c r="AN64" s="27" t="n"/>
      <c r="AO64" s="44">
        <f>IF(OR(A64="",H64="",H64&lt;=0),"",(E64*H64+IF(AND(AK64&lt;&gt;"",AL64&lt;&gt;""),AK64*AL64,0)+IF(AND(AM64&lt;&gt;"",AN64&lt;&gt;""),AM64*AN64,0))/AP64)</f>
        <v/>
      </c>
      <c r="AP64" s="26">
        <f>IF(OR(A64="",H64="",H64&lt;=0),"",H64+IF(AL64="",0,AL64)+IF(AN64="",0,AN64))</f>
        <v/>
      </c>
      <c r="AQ64" s="44">
        <f>IF(A64="","",IF(M64&lt;&gt;"",0,IF(OR(H64="",N64=""),"",MAX(E64-MAX(N64,IFERROR(AGGREGATE(14,6,'持仓跟踪'!$S$2:$S$501/(('持仓跟踪'!$A$2:$A$501="每日跟踪")*('持仓跟踪'!$B$2:$B$501=A64)),1),0)),0)*H64+IF(OR(AK64="",AL64=""),0,MAX(AK64-MAX(N64,IFERROR(AGGREGATE(14,6,'持仓跟踪'!$S$2:$S$501/(('持仓跟踪'!$A$2:$A$501="每日跟踪")*('持仓跟踪'!$B$2:$B$501=A64)),1),0)),0)*AL64)+IF(OR(AM64="",AN64=""),0,MAX(AM64-MAX(N64,IFERROR(AGGREGATE(14,6,'持仓跟踪'!$S$2:$S$501/(('持仓跟踪'!$A$2:$A$501="每日跟踪")*('持仓跟踪'!$B$2:$B$501=A64)),1),0)),0)*AN64))))</f>
        <v/>
      </c>
      <c r="AR64" s="31">
        <f>IF(A64="","",IF(OR(E64="",H64=""),"违规：第一批价格或股数缺失",IF(OR(AND(AK64="",AL64&lt;&gt;""),AND(AK64&lt;&gt;"",AL64="")),"违规：第二批价格与股数须成对填写",IF(OR(AND(AM64="",AN64&lt;&gt;""),AND(AM64&lt;&gt;"",AN64="")),"违规：第三批价格与股数须成对填写",IF(AND(OR(AM64&lt;&gt;"",AN64&lt;&gt;""),OR(AK64="",AL64="")),"违规：必须先完成第二批",IF(OR(H64&lt;=0,H64&lt;&gt;INT(H64),MOD(H64,100)&lt;&gt;0,AND(AL64&lt;&gt;"",OR(AL64&lt;=0,AL64&lt;&gt;INT(AL64),MOD(AL64,100)&lt;&gt;0)),AND(AN64&lt;&gt;"",OR(AN64&lt;=0,AN64&lt;&gt;INT(AN64),MOD(AN64,100)&lt;&gt;0))),"违规：股数须为100股整数倍",IF(AND(OR(AL64&lt;&gt;"",AN64&lt;&gt;""),OR(_LockStatus="已锁仓",_LockStatus="解锁信息不完整")),"违规：锁仓期间禁止加仓",IF(AQ64&gt;C64*D64,"违规：超过单笔风险上限",IF(SUM($AQ$2:$AQ$201)&gt;账户数据!$B$7,"违规：超过账户风险上限","通过")))))))))</f>
        <v/>
      </c>
    </row>
    <row r="65">
      <c r="A65" s="2" t="n">
        <v>64</v>
      </c>
      <c r="B65" s="2" t="inlineStr">
        <is>
          <t>东方电气</t>
        </is>
      </c>
      <c r="C65" s="40" t="n">
        <v>173321</v>
      </c>
      <c r="D65" s="6" t="n">
        <v>0.02</v>
      </c>
      <c r="E65" s="40" t="n">
        <v>9.640000000000001</v>
      </c>
      <c r="F65" s="8">
        <f>IF(OR(C65="",D65="",E65="",N65="",C65&lt;=0,D65&lt;=0,E65&lt;=N65),"",ROUNDDOWN((C65*D65)/(E65-N65)/100,0)*100)</f>
        <v/>
      </c>
      <c r="G65" s="8">
        <f>IF(A65="","",IF(H65&lt;&gt;"","已开仓",IF(账户数据!$B$23="已锁仓","禁止开仓：连续亏损达到上限",IF(账户数据!$B$23="解锁信息不完整","禁止开仓：请完整填写解锁信息",IF(OR(F65="",E65="",N65="",E65&lt;=N65,账户数据!$B$7=""),"",IF(OR(AG65="",AH65="",AI65=""),"禁止开仓：交易预期未填写完整",IF(COUNTIFS(持仓跟踪!$A$2:$A$501,"止损计划",持仓跟踪!$B$2:$B$501,A65,持仓跟踪!$AC$2:$AC$501,"计划有效")=0,"禁止开仓：请先填写止损计划",IF(账户数据!$B$9+F65*(E65-N65)&gt;=账户数据!$B$7,"禁止开仓：风险额度不足",IF(AJ65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5" s="2" t="n">
        <v>10100</v>
      </c>
      <c r="I65" s="41" t="n">
        <v>44412</v>
      </c>
      <c r="J65" s="40" t="n">
        <v>10.3</v>
      </c>
      <c r="K65" s="40" t="n">
        <v>9.970000000000001</v>
      </c>
      <c r="L65" s="8">
        <f>IF(K65="","",H65)</f>
        <v/>
      </c>
      <c r="M65" s="41" t="n">
        <v>44414</v>
      </c>
      <c r="N65" s="40" t="n">
        <v>9.300000000000001</v>
      </c>
      <c r="O65" s="40" t="n"/>
      <c r="P65" s="40" t="n"/>
      <c r="Q65" s="2" t="n"/>
      <c r="R65" s="2" t="n"/>
      <c r="S65" s="2" t="n"/>
      <c r="T65" s="2" t="n"/>
      <c r="U65" s="7">
        <f>IF(OR(AO65="",J65="",AO65&lt;=0),"",(J65-AO65)/AO65)</f>
        <v/>
      </c>
      <c r="V65" s="7">
        <f>IF(OR(AO65="",N65="",AO65&lt;=0),"",(AO65-N65)/AO65)</f>
        <v/>
      </c>
      <c r="W65" s="13">
        <f>IF(OR(U65="",V65="",V65&lt;=0),"",U65/V65)</f>
        <v/>
      </c>
      <c r="X65" s="42">
        <f>IF(OR(K65="",L65="",AP65=""),"",K65*L65-(E65*H65+IF(AND(AK65&lt;&gt;"",AL65&lt;&gt;""),AK65*AL65,0)+IF(AND(AM65&lt;&gt;"",AN65&lt;&gt;""),AM65*AN65,0))-IF(O65="",0,O65)-IF(P65="",0,P65))</f>
        <v/>
      </c>
      <c r="Y65" s="7">
        <f>IF(OR(X65="",AP65=""),"",IF((E65*H65+IF(AND(AK65&lt;&gt;"",AL65&lt;&gt;""),AK65*AL65,0)+IF(AND(AM65&lt;&gt;"",AN65&lt;&gt;""),AM65*AN65,0))+IF(O65="",0,O65)&lt;=0,"",X65/((E65*H65+IF(AND(AK65&lt;&gt;"",AL65&lt;&gt;""),AK65*AL65,0)+IF(AND(AM65&lt;&gt;"",AN65&lt;&gt;""),AM65*AN65,0))+IF(O65="",0,O65))))</f>
        <v/>
      </c>
      <c r="Z65" s="7">
        <f>IF(OR(AE65="",多次统计数据!$B$8=""),"",AE65-多次统计数据!$B$8)</f>
        <v/>
      </c>
      <c r="AA65" s="14">
        <f>IF(OR(I65="",M65="",M65&lt;I65),"",M65-I65)</f>
        <v/>
      </c>
      <c r="AB65" s="7">
        <f>IF(OR(A65="",多次统计数据!$B$8="",多次统计数据!$B$6&lt;=0,多次统计数据!$B$6&gt;=1),"",1-POWER(1+多次统计数据!$B$8,-多次统计数据!$B$6/(1-多次统计数据!$B$6)))</f>
        <v/>
      </c>
      <c r="AC65" s="8">
        <f>IF(OR(AB65="",多次统计数据!$B$9=""),"",IF(多次统计数据!$B$9&lt;AB65,"低于上限","达到或超过上限"))</f>
        <v/>
      </c>
      <c r="AD65" s="2" t="n"/>
      <c r="AE65" s="7">
        <f>IF(OR(X65="",C65="",C65&lt;=0),"",X65/C65)</f>
        <v/>
      </c>
      <c r="AG65" s="28" t="n"/>
      <c r="AH65" s="28" t="n"/>
      <c r="AI65" s="28" t="n"/>
      <c r="AJ65" s="31">
        <f>IF(OR(AG65="",AH65=""),"",IF(OR(AND(AG65="短期博反弹",OR(AH65="1～3个交易日",AH65="4～10个交易日")),AND(AG65="突破冲新高",OR(AH65="4～10个交易日",AH65="11～20个交易日")),AND(AG65="趋势波段",OR(AH65="11～20个交易日",AH65="21～60个交易日",AH65="60个交易日以上"))),"匹配","周期与交易预期不匹配，请重新确认"))</f>
        <v/>
      </c>
      <c r="AK65" s="43" t="n"/>
      <c r="AL65" s="27" t="n"/>
      <c r="AM65" s="43" t="n"/>
      <c r="AN65" s="27" t="n"/>
      <c r="AO65" s="44">
        <f>IF(OR(A65="",H65="",H65&lt;=0),"",(E65*H65+IF(AND(AK65&lt;&gt;"",AL65&lt;&gt;""),AK65*AL65,0)+IF(AND(AM65&lt;&gt;"",AN65&lt;&gt;""),AM65*AN65,0))/AP65)</f>
        <v/>
      </c>
      <c r="AP65" s="26">
        <f>IF(OR(A65="",H65="",H65&lt;=0),"",H65+IF(AL65="",0,AL65)+IF(AN65="",0,AN65))</f>
        <v/>
      </c>
      <c r="AQ65" s="44">
        <f>IF(A65="","",IF(M65&lt;&gt;"",0,IF(OR(H65="",N65=""),"",MAX(E65-MAX(N65,IFERROR(AGGREGATE(14,6,'持仓跟踪'!$S$2:$S$501/(('持仓跟踪'!$A$2:$A$501="每日跟踪")*('持仓跟踪'!$B$2:$B$501=A65)),1),0)),0)*H65+IF(OR(AK65="",AL65=""),0,MAX(AK65-MAX(N65,IFERROR(AGGREGATE(14,6,'持仓跟踪'!$S$2:$S$501/(('持仓跟踪'!$A$2:$A$501="每日跟踪")*('持仓跟踪'!$B$2:$B$501=A65)),1),0)),0)*AL65)+IF(OR(AM65="",AN65=""),0,MAX(AM65-MAX(N65,IFERROR(AGGREGATE(14,6,'持仓跟踪'!$S$2:$S$501/(('持仓跟踪'!$A$2:$A$501="每日跟踪")*('持仓跟踪'!$B$2:$B$501=A65)),1),0)),0)*AN65))))</f>
        <v/>
      </c>
      <c r="AR65" s="31">
        <f>IF(A65="","",IF(OR(E65="",H65=""),"违规：第一批价格或股数缺失",IF(OR(AND(AK65="",AL65&lt;&gt;""),AND(AK65&lt;&gt;"",AL65="")),"违规：第二批价格与股数须成对填写",IF(OR(AND(AM65="",AN65&lt;&gt;""),AND(AM65&lt;&gt;"",AN65="")),"违规：第三批价格与股数须成对填写",IF(AND(OR(AM65&lt;&gt;"",AN65&lt;&gt;""),OR(AK65="",AL65="")),"违规：必须先完成第二批",IF(OR(H65&lt;=0,H65&lt;&gt;INT(H65),MOD(H65,100)&lt;&gt;0,AND(AL65&lt;&gt;"",OR(AL65&lt;=0,AL65&lt;&gt;INT(AL65),MOD(AL65,100)&lt;&gt;0)),AND(AN65&lt;&gt;"",OR(AN65&lt;=0,AN65&lt;&gt;INT(AN65),MOD(AN65,100)&lt;&gt;0))),"违规：股数须为100股整数倍",IF(AND(OR(AL65&lt;&gt;"",AN65&lt;&gt;""),OR(_LockStatus="已锁仓",_LockStatus="解锁信息不完整")),"违规：锁仓期间禁止加仓",IF(AQ65&gt;C65*D65,"违规：超过单笔风险上限",IF(SUM($AQ$2:$AQ$201)&gt;账户数据!$B$7,"违规：超过账户风险上限","通过")))))))))</f>
        <v/>
      </c>
    </row>
    <row r="66">
      <c r="A66" s="2" t="n">
        <v>65</v>
      </c>
      <c r="B66" s="2" t="inlineStr">
        <is>
          <t>东方电气</t>
        </is>
      </c>
      <c r="C66" s="40" t="n">
        <v>176654</v>
      </c>
      <c r="D66" s="6" t="n">
        <v>0.02</v>
      </c>
      <c r="E66" s="40" t="n">
        <v>14.13</v>
      </c>
      <c r="F66" s="8">
        <f>IF(OR(C66="",D66="",E66="",N66="",C66&lt;=0,D66&lt;=0,E66&lt;=N66),"",ROUNDDOWN((C66*D66)/(E66-N66)/100,0)*100)</f>
        <v/>
      </c>
      <c r="G66" s="8">
        <f>IF(A66="","",IF(H66&lt;&gt;"","已开仓",IF(账户数据!$B$23="已锁仓","禁止开仓：连续亏损达到上限",IF(账户数据!$B$23="解锁信息不完整","禁止开仓：请完整填写解锁信息",IF(OR(F66="",E66="",N66="",E66&lt;=N66,账户数据!$B$7=""),"",IF(OR(AG66="",AH66="",AI66=""),"禁止开仓：交易预期未填写完整",IF(COUNTIFS(持仓跟踪!$A$2:$A$501,"止损计划",持仓跟踪!$B$2:$B$501,A66,持仓跟踪!$AC$2:$AC$501,"计划有效")=0,"禁止开仓：请先填写止损计划",IF(账户数据!$B$9+F66*(E66-N66)&gt;=账户数据!$B$7,"禁止开仓：风险额度不足",IF(AJ66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6" s="2" t="n">
        <v>3100</v>
      </c>
      <c r="I66" s="41" t="n">
        <v>44446</v>
      </c>
      <c r="J66" s="40" t="n">
        <v>16</v>
      </c>
      <c r="K66" s="40" t="n">
        <v>15.31</v>
      </c>
      <c r="L66" s="8">
        <f>IF(K66="","",H66)</f>
        <v/>
      </c>
      <c r="M66" s="41" t="n">
        <v>44449</v>
      </c>
      <c r="N66" s="40" t="n">
        <v>13</v>
      </c>
      <c r="O66" s="40" t="n"/>
      <c r="P66" s="40" t="n"/>
      <c r="Q66" s="2" t="n"/>
      <c r="R66" s="2" t="n"/>
      <c r="S66" s="2" t="n"/>
      <c r="T66" s="2" t="n"/>
      <c r="U66" s="7">
        <f>IF(OR(AO66="",J66="",AO66&lt;=0),"",(J66-AO66)/AO66)</f>
        <v/>
      </c>
      <c r="V66" s="7">
        <f>IF(OR(AO66="",N66="",AO66&lt;=0),"",(AO66-N66)/AO66)</f>
        <v/>
      </c>
      <c r="W66" s="13">
        <f>IF(OR(U66="",V66="",V66&lt;=0),"",U66/V66)</f>
        <v/>
      </c>
      <c r="X66" s="42">
        <f>IF(OR(K66="",L66="",AP66=""),"",K66*L66-(E66*H66+IF(AND(AK66&lt;&gt;"",AL66&lt;&gt;""),AK66*AL66,0)+IF(AND(AM66&lt;&gt;"",AN66&lt;&gt;""),AM66*AN66,0))-IF(O66="",0,O66)-IF(P66="",0,P66))</f>
        <v/>
      </c>
      <c r="Y66" s="7">
        <f>IF(OR(X66="",AP66=""),"",IF((E66*H66+IF(AND(AK66&lt;&gt;"",AL66&lt;&gt;""),AK66*AL66,0)+IF(AND(AM66&lt;&gt;"",AN66&lt;&gt;""),AM66*AN66,0))+IF(O66="",0,O66)&lt;=0,"",X66/((E66*H66+IF(AND(AK66&lt;&gt;"",AL66&lt;&gt;""),AK66*AL66,0)+IF(AND(AM66&lt;&gt;"",AN66&lt;&gt;""),AM66*AN66,0))+IF(O66="",0,O66))))</f>
        <v/>
      </c>
      <c r="Z66" s="7">
        <f>IF(OR(AE66="",多次统计数据!$B$8=""),"",AE66-多次统计数据!$B$8)</f>
        <v/>
      </c>
      <c r="AA66" s="14">
        <f>IF(OR(I66="",M66="",M66&lt;I66),"",M66-I66)</f>
        <v/>
      </c>
      <c r="AB66" s="7">
        <f>IF(OR(A66="",多次统计数据!$B$8="",多次统计数据!$B$6&lt;=0,多次统计数据!$B$6&gt;=1),"",1-POWER(1+多次统计数据!$B$8,-多次统计数据!$B$6/(1-多次统计数据!$B$6)))</f>
        <v/>
      </c>
      <c r="AC66" s="8">
        <f>IF(OR(AB66="",多次统计数据!$B$9=""),"",IF(多次统计数据!$B$9&lt;AB66,"低于上限","达到或超过上限"))</f>
        <v/>
      </c>
      <c r="AD66" s="2" t="n"/>
      <c r="AE66" s="7">
        <f>IF(OR(X66="",C66="",C66&lt;=0),"",X66/C66)</f>
        <v/>
      </c>
      <c r="AG66" s="28" t="n"/>
      <c r="AH66" s="28" t="n"/>
      <c r="AI66" s="28" t="n"/>
      <c r="AJ66" s="31">
        <f>IF(OR(AG66="",AH66=""),"",IF(OR(AND(AG66="短期博反弹",OR(AH66="1～3个交易日",AH66="4～10个交易日")),AND(AG66="突破冲新高",OR(AH66="4～10个交易日",AH66="11～20个交易日")),AND(AG66="趋势波段",OR(AH66="11～20个交易日",AH66="21～60个交易日",AH66="60个交易日以上"))),"匹配","周期与交易预期不匹配，请重新确认"))</f>
        <v/>
      </c>
      <c r="AK66" s="43" t="n"/>
      <c r="AL66" s="27" t="n"/>
      <c r="AM66" s="43" t="n"/>
      <c r="AN66" s="27" t="n"/>
      <c r="AO66" s="44">
        <f>IF(OR(A66="",H66="",H66&lt;=0),"",(E66*H66+IF(AND(AK66&lt;&gt;"",AL66&lt;&gt;""),AK66*AL66,0)+IF(AND(AM66&lt;&gt;"",AN66&lt;&gt;""),AM66*AN66,0))/AP66)</f>
        <v/>
      </c>
      <c r="AP66" s="26">
        <f>IF(OR(A66="",H66="",H66&lt;=0),"",H66+IF(AL66="",0,AL66)+IF(AN66="",0,AN66))</f>
        <v/>
      </c>
      <c r="AQ66" s="44">
        <f>IF(A66="","",IF(M66&lt;&gt;"",0,IF(OR(H66="",N66=""),"",MAX(E66-MAX(N66,IFERROR(AGGREGATE(14,6,'持仓跟踪'!$S$2:$S$501/(('持仓跟踪'!$A$2:$A$501="每日跟踪")*('持仓跟踪'!$B$2:$B$501=A66)),1),0)),0)*H66+IF(OR(AK66="",AL66=""),0,MAX(AK66-MAX(N66,IFERROR(AGGREGATE(14,6,'持仓跟踪'!$S$2:$S$501/(('持仓跟踪'!$A$2:$A$501="每日跟踪")*('持仓跟踪'!$B$2:$B$501=A66)),1),0)),0)*AL66)+IF(OR(AM66="",AN66=""),0,MAX(AM66-MAX(N66,IFERROR(AGGREGATE(14,6,'持仓跟踪'!$S$2:$S$501/(('持仓跟踪'!$A$2:$A$501="每日跟踪")*('持仓跟踪'!$B$2:$B$501=A66)),1),0)),0)*AN66))))</f>
        <v/>
      </c>
      <c r="AR66" s="31">
        <f>IF(A66="","",IF(OR(E66="",H66=""),"违规：第一批价格或股数缺失",IF(OR(AND(AK66="",AL66&lt;&gt;""),AND(AK66&lt;&gt;"",AL66="")),"违规：第二批价格与股数须成对填写",IF(OR(AND(AM66="",AN66&lt;&gt;""),AND(AM66&lt;&gt;"",AN66="")),"违规：第三批价格与股数须成对填写",IF(AND(OR(AM66&lt;&gt;"",AN66&lt;&gt;""),OR(AK66="",AL66="")),"违规：必须先完成第二批",IF(OR(H66&lt;=0,H66&lt;&gt;INT(H66),MOD(H66,100)&lt;&gt;0,AND(AL66&lt;&gt;"",OR(AL66&lt;=0,AL66&lt;&gt;INT(AL66),MOD(AL66,100)&lt;&gt;0)),AND(AN66&lt;&gt;"",OR(AN66&lt;=0,AN66&lt;&gt;INT(AN66),MOD(AN66,100)&lt;&gt;0))),"违规：股数须为100股整数倍",IF(AND(OR(AL66&lt;&gt;"",AN66&lt;&gt;""),OR(_LockStatus="已锁仓",_LockStatus="解锁信息不完整")),"违规：锁仓期间禁止加仓",IF(AQ66&gt;C66*D66,"违规：超过单笔风险上限",IF(SUM($AQ$2:$AQ$201)&gt;账户数据!$B$7,"违规：超过账户风险上限","通过")))))))))</f>
        <v/>
      </c>
    </row>
    <row r="67">
      <c r="A67" s="2" t="n">
        <v>66</v>
      </c>
      <c r="B67" s="2" t="inlineStr">
        <is>
          <t>东方电气</t>
        </is>
      </c>
      <c r="C67" s="40" t="n">
        <v>180312</v>
      </c>
      <c r="D67" s="6" t="n">
        <v>0.02</v>
      </c>
      <c r="E67" s="40" t="n">
        <v>11.49</v>
      </c>
      <c r="F67" s="8">
        <f>IF(OR(C67="",D67="",E67="",N67="",C67&lt;=0,D67&lt;=0,E67&lt;=N67),"",ROUNDDOWN((C67*D67)/(E67-N67)/100,0)*100)</f>
        <v/>
      </c>
      <c r="G67" s="8">
        <f>IF(A67="","",IF(H67&lt;&gt;"","已开仓",IF(账户数据!$B$23="已锁仓","禁止开仓：连续亏损达到上限",IF(账户数据!$B$23="解锁信息不完整","禁止开仓：请完整填写解锁信息",IF(OR(F67="",E67="",N67="",E67&lt;=N67,账户数据!$B$7=""),"",IF(OR(AG67="",AH67="",AI67=""),"禁止开仓：交易预期未填写完整",IF(COUNTIFS(持仓跟踪!$A$2:$A$501,"止损计划",持仓跟踪!$B$2:$B$501,A67,持仓跟踪!$AC$2:$AC$501,"计划有效")=0,"禁止开仓：请先填写止损计划",IF(账户数据!$B$9+F67*(E67-N67)&gt;=账户数据!$B$7,"禁止开仓：风险额度不足",IF(AJ67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7" s="2" t="n">
        <v>3600</v>
      </c>
      <c r="I67" s="41" t="n">
        <v>44706</v>
      </c>
      <c r="J67" s="40" t="n">
        <v>13</v>
      </c>
      <c r="K67" s="40" t="n">
        <v>14.49</v>
      </c>
      <c r="L67" s="8">
        <f>IF(K67="","",H67)</f>
        <v/>
      </c>
      <c r="M67" s="41" t="n">
        <v>44739</v>
      </c>
      <c r="N67" s="40" t="n">
        <v>10.5</v>
      </c>
      <c r="O67" s="40" t="n"/>
      <c r="P67" s="40" t="n"/>
      <c r="Q67" s="2" t="n"/>
      <c r="R67" s="2" t="n"/>
      <c r="S67" s="2" t="n"/>
      <c r="T67" s="2" t="n"/>
      <c r="U67" s="7">
        <f>IF(OR(AO67="",J67="",AO67&lt;=0),"",(J67-AO67)/AO67)</f>
        <v/>
      </c>
      <c r="V67" s="7">
        <f>IF(OR(AO67="",N67="",AO67&lt;=0),"",(AO67-N67)/AO67)</f>
        <v/>
      </c>
      <c r="W67" s="13">
        <f>IF(OR(U67="",V67="",V67&lt;=0),"",U67/V67)</f>
        <v/>
      </c>
      <c r="X67" s="42">
        <f>IF(OR(K67="",L67="",AP67=""),"",K67*L67-(E67*H67+IF(AND(AK67&lt;&gt;"",AL67&lt;&gt;""),AK67*AL67,0)+IF(AND(AM67&lt;&gt;"",AN67&lt;&gt;""),AM67*AN67,0))-IF(O67="",0,O67)-IF(P67="",0,P67))</f>
        <v/>
      </c>
      <c r="Y67" s="7">
        <f>IF(OR(X67="",AP67=""),"",IF((E67*H67+IF(AND(AK67&lt;&gt;"",AL67&lt;&gt;""),AK67*AL67,0)+IF(AND(AM67&lt;&gt;"",AN67&lt;&gt;""),AM67*AN67,0))+IF(O67="",0,O67)&lt;=0,"",X67/((E67*H67+IF(AND(AK67&lt;&gt;"",AL67&lt;&gt;""),AK67*AL67,0)+IF(AND(AM67&lt;&gt;"",AN67&lt;&gt;""),AM67*AN67,0))+IF(O67="",0,O67))))</f>
        <v/>
      </c>
      <c r="Z67" s="7">
        <f>IF(OR(AE67="",多次统计数据!$B$8=""),"",AE67-多次统计数据!$B$8)</f>
        <v/>
      </c>
      <c r="AA67" s="14">
        <f>IF(OR(I67="",M67="",M67&lt;I67),"",M67-I67)</f>
        <v/>
      </c>
      <c r="AB67" s="7">
        <f>IF(OR(A67="",多次统计数据!$B$8="",多次统计数据!$B$6&lt;=0,多次统计数据!$B$6&gt;=1),"",1-POWER(1+多次统计数据!$B$8,-多次统计数据!$B$6/(1-多次统计数据!$B$6)))</f>
        <v/>
      </c>
      <c r="AC67" s="8">
        <f>IF(OR(AB67="",多次统计数据!$B$9=""),"",IF(多次统计数据!$B$9&lt;AB67,"低于上限","达到或超过上限"))</f>
        <v/>
      </c>
      <c r="AD67" s="2" t="n"/>
      <c r="AE67" s="7">
        <f>IF(OR(X67="",C67="",C67&lt;=0),"",X67/C67)</f>
        <v/>
      </c>
      <c r="AG67" s="28" t="n"/>
      <c r="AH67" s="28" t="n"/>
      <c r="AI67" s="28" t="n"/>
      <c r="AJ67" s="31">
        <f>IF(OR(AG67="",AH67=""),"",IF(OR(AND(AG67="短期博反弹",OR(AH67="1～3个交易日",AH67="4～10个交易日")),AND(AG67="突破冲新高",OR(AH67="4～10个交易日",AH67="11～20个交易日")),AND(AG67="趋势波段",OR(AH67="11～20个交易日",AH67="21～60个交易日",AH67="60个交易日以上"))),"匹配","周期与交易预期不匹配，请重新确认"))</f>
        <v/>
      </c>
      <c r="AK67" s="43" t="n"/>
      <c r="AL67" s="27" t="n"/>
      <c r="AM67" s="43" t="n"/>
      <c r="AN67" s="27" t="n"/>
      <c r="AO67" s="44">
        <f>IF(OR(A67="",H67="",H67&lt;=0),"",(E67*H67+IF(AND(AK67&lt;&gt;"",AL67&lt;&gt;""),AK67*AL67,0)+IF(AND(AM67&lt;&gt;"",AN67&lt;&gt;""),AM67*AN67,0))/AP67)</f>
        <v/>
      </c>
      <c r="AP67" s="26">
        <f>IF(OR(A67="",H67="",H67&lt;=0),"",H67+IF(AL67="",0,AL67)+IF(AN67="",0,AN67))</f>
        <v/>
      </c>
      <c r="AQ67" s="44">
        <f>IF(A67="","",IF(M67&lt;&gt;"",0,IF(OR(H67="",N67=""),"",MAX(E67-MAX(N67,IFERROR(AGGREGATE(14,6,'持仓跟踪'!$S$2:$S$501/(('持仓跟踪'!$A$2:$A$501="每日跟踪")*('持仓跟踪'!$B$2:$B$501=A67)),1),0)),0)*H67+IF(OR(AK67="",AL67=""),0,MAX(AK67-MAX(N67,IFERROR(AGGREGATE(14,6,'持仓跟踪'!$S$2:$S$501/(('持仓跟踪'!$A$2:$A$501="每日跟踪")*('持仓跟踪'!$B$2:$B$501=A67)),1),0)),0)*AL67)+IF(OR(AM67="",AN67=""),0,MAX(AM67-MAX(N67,IFERROR(AGGREGATE(14,6,'持仓跟踪'!$S$2:$S$501/(('持仓跟踪'!$A$2:$A$501="每日跟踪")*('持仓跟踪'!$B$2:$B$501=A67)),1),0)),0)*AN67))))</f>
        <v/>
      </c>
      <c r="AR67" s="31">
        <f>IF(A67="","",IF(OR(E67="",H67=""),"违规：第一批价格或股数缺失",IF(OR(AND(AK67="",AL67&lt;&gt;""),AND(AK67&lt;&gt;"",AL67="")),"违规：第二批价格与股数须成对填写",IF(OR(AND(AM67="",AN67&lt;&gt;""),AND(AM67&lt;&gt;"",AN67="")),"违规：第三批价格与股数须成对填写",IF(AND(OR(AM67&lt;&gt;"",AN67&lt;&gt;""),OR(AK67="",AL67="")),"违规：必须先完成第二批",IF(OR(H67&lt;=0,H67&lt;&gt;INT(H67),MOD(H67,100)&lt;&gt;0,AND(AL67&lt;&gt;"",OR(AL67&lt;=0,AL67&lt;&gt;INT(AL67),MOD(AL67,100)&lt;&gt;0)),AND(AN67&lt;&gt;"",OR(AN67&lt;=0,AN67&lt;&gt;INT(AN67),MOD(AN67,100)&lt;&gt;0))),"违规：股数须为100股整数倍",IF(AND(OR(AL67&lt;&gt;"",AN67&lt;&gt;""),OR(_LockStatus="已锁仓",_LockStatus="解锁信息不完整")),"违规：锁仓期间禁止加仓",IF(AQ67&gt;C67*D67,"违规：超过单笔风险上限",IF(SUM($AQ$2:$AQ$201)&gt;账户数据!$B$7,"违规：超过账户风险上限","通过")))))))))</f>
        <v/>
      </c>
    </row>
    <row r="68">
      <c r="A68" s="2" t="n">
        <v>67</v>
      </c>
      <c r="B68" s="2" t="inlineStr">
        <is>
          <t>东方电气</t>
        </is>
      </c>
      <c r="C68" s="40" t="n">
        <v>191112</v>
      </c>
      <c r="D68" s="6" t="n">
        <v>0.02</v>
      </c>
      <c r="E68" s="40" t="n">
        <v>15.96</v>
      </c>
      <c r="F68" s="8">
        <f>IF(OR(C68="",D68="",E68="",N68="",C68&lt;=0,D68&lt;=0,E68&lt;=N68),"",ROUNDDOWN((C68*D68)/(E68-N68)/100,0)*100)</f>
        <v/>
      </c>
      <c r="G68" s="8">
        <f>IF(A68="","",IF(H68&lt;&gt;"","已开仓",IF(账户数据!$B$23="已锁仓","禁止开仓：连续亏损达到上限",IF(账户数据!$B$23="解锁信息不完整","禁止开仓：请完整填写解锁信息",IF(OR(F68="",E68="",N68="",E68&lt;=N68,账户数据!$B$7=""),"",IF(OR(AG68="",AH68="",AI68=""),"禁止开仓：交易预期未填写完整",IF(COUNTIFS(持仓跟踪!$A$2:$A$501,"止损计划",持仓跟踪!$B$2:$B$501,A68,持仓跟踪!$AC$2:$AC$501,"计划有效")=0,"禁止开仓：请先填写止损计划",IF(账户数据!$B$9+F68*(E68-N68)&gt;=账户数据!$B$7,"禁止开仓：风险额度不足",IF(AJ68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8" s="2" t="n">
        <v>8300</v>
      </c>
      <c r="I68" s="41" t="n">
        <v>44764</v>
      </c>
      <c r="J68" s="40" t="n">
        <v>17</v>
      </c>
      <c r="K68" s="40" t="n">
        <v>14.83</v>
      </c>
      <c r="L68" s="8">
        <f>IF(K68="","",H68)</f>
        <v/>
      </c>
      <c r="M68" s="41" t="n">
        <v>44767</v>
      </c>
      <c r="N68" s="40" t="n">
        <v>15.5</v>
      </c>
      <c r="O68" s="40" t="n"/>
      <c r="P68" s="40" t="n"/>
      <c r="Q68" s="2" t="n"/>
      <c r="R68" s="2" t="n"/>
      <c r="S68" s="2" t="n"/>
      <c r="T68" s="2" t="n"/>
      <c r="U68" s="7">
        <f>IF(OR(AO68="",J68="",AO68&lt;=0),"",(J68-AO68)/AO68)</f>
        <v/>
      </c>
      <c r="V68" s="7">
        <f>IF(OR(AO68="",N68="",AO68&lt;=0),"",(AO68-N68)/AO68)</f>
        <v/>
      </c>
      <c r="W68" s="13">
        <f>IF(OR(U68="",V68="",V68&lt;=0),"",U68/V68)</f>
        <v/>
      </c>
      <c r="X68" s="42">
        <f>IF(OR(K68="",L68="",AP68=""),"",K68*L68-(E68*H68+IF(AND(AK68&lt;&gt;"",AL68&lt;&gt;""),AK68*AL68,0)+IF(AND(AM68&lt;&gt;"",AN68&lt;&gt;""),AM68*AN68,0))-IF(O68="",0,O68)-IF(P68="",0,P68))</f>
        <v/>
      </c>
      <c r="Y68" s="7">
        <f>IF(OR(X68="",AP68=""),"",IF((E68*H68+IF(AND(AK68&lt;&gt;"",AL68&lt;&gt;""),AK68*AL68,0)+IF(AND(AM68&lt;&gt;"",AN68&lt;&gt;""),AM68*AN68,0))+IF(O68="",0,O68)&lt;=0,"",X68/((E68*H68+IF(AND(AK68&lt;&gt;"",AL68&lt;&gt;""),AK68*AL68,0)+IF(AND(AM68&lt;&gt;"",AN68&lt;&gt;""),AM68*AN68,0))+IF(O68="",0,O68))))</f>
        <v/>
      </c>
      <c r="Z68" s="7">
        <f>IF(OR(AE68="",多次统计数据!$B$8=""),"",AE68-多次统计数据!$B$8)</f>
        <v/>
      </c>
      <c r="AA68" s="14">
        <f>IF(OR(I68="",M68="",M68&lt;I68),"",M68-I68)</f>
        <v/>
      </c>
      <c r="AB68" s="7">
        <f>IF(OR(A68="",多次统计数据!$B$8="",多次统计数据!$B$6&lt;=0,多次统计数据!$B$6&gt;=1),"",1-POWER(1+多次统计数据!$B$8,-多次统计数据!$B$6/(1-多次统计数据!$B$6)))</f>
        <v/>
      </c>
      <c r="AC68" s="8">
        <f>IF(OR(AB68="",多次统计数据!$B$9=""),"",IF(多次统计数据!$B$9&lt;AB68,"低于上限","达到或超过上限"))</f>
        <v/>
      </c>
      <c r="AD68" s="2" t="n"/>
      <c r="AE68" s="7">
        <f>IF(OR(X68="",C68="",C68&lt;=0),"",X68/C68)</f>
        <v/>
      </c>
      <c r="AG68" s="28" t="n"/>
      <c r="AH68" s="28" t="n"/>
      <c r="AI68" s="28" t="n"/>
      <c r="AJ68" s="31">
        <f>IF(OR(AG68="",AH68=""),"",IF(OR(AND(AG68="短期博反弹",OR(AH68="1～3个交易日",AH68="4～10个交易日")),AND(AG68="突破冲新高",OR(AH68="4～10个交易日",AH68="11～20个交易日")),AND(AG68="趋势波段",OR(AH68="11～20个交易日",AH68="21～60个交易日",AH68="60个交易日以上"))),"匹配","周期与交易预期不匹配，请重新确认"))</f>
        <v/>
      </c>
      <c r="AK68" s="43" t="n"/>
      <c r="AL68" s="27" t="n"/>
      <c r="AM68" s="43" t="n"/>
      <c r="AN68" s="27" t="n"/>
      <c r="AO68" s="44">
        <f>IF(OR(A68="",H68="",H68&lt;=0),"",(E68*H68+IF(AND(AK68&lt;&gt;"",AL68&lt;&gt;""),AK68*AL68,0)+IF(AND(AM68&lt;&gt;"",AN68&lt;&gt;""),AM68*AN68,0))/AP68)</f>
        <v/>
      </c>
      <c r="AP68" s="26">
        <f>IF(OR(A68="",H68="",H68&lt;=0),"",H68+IF(AL68="",0,AL68)+IF(AN68="",0,AN68))</f>
        <v/>
      </c>
      <c r="AQ68" s="44">
        <f>IF(A68="","",IF(M68&lt;&gt;"",0,IF(OR(H68="",N68=""),"",MAX(E68-MAX(N68,IFERROR(AGGREGATE(14,6,'持仓跟踪'!$S$2:$S$501/(('持仓跟踪'!$A$2:$A$501="每日跟踪")*('持仓跟踪'!$B$2:$B$501=A68)),1),0)),0)*H68+IF(OR(AK68="",AL68=""),0,MAX(AK68-MAX(N68,IFERROR(AGGREGATE(14,6,'持仓跟踪'!$S$2:$S$501/(('持仓跟踪'!$A$2:$A$501="每日跟踪")*('持仓跟踪'!$B$2:$B$501=A68)),1),0)),0)*AL68)+IF(OR(AM68="",AN68=""),0,MAX(AM68-MAX(N68,IFERROR(AGGREGATE(14,6,'持仓跟踪'!$S$2:$S$501/(('持仓跟踪'!$A$2:$A$501="每日跟踪")*('持仓跟踪'!$B$2:$B$501=A68)),1),0)),0)*AN68))))</f>
        <v/>
      </c>
      <c r="AR68" s="31">
        <f>IF(A68="","",IF(OR(E68="",H68=""),"违规：第一批价格或股数缺失",IF(OR(AND(AK68="",AL68&lt;&gt;""),AND(AK68&lt;&gt;"",AL68="")),"违规：第二批价格与股数须成对填写",IF(OR(AND(AM68="",AN68&lt;&gt;""),AND(AM68&lt;&gt;"",AN68="")),"违规：第三批价格与股数须成对填写",IF(AND(OR(AM68&lt;&gt;"",AN68&lt;&gt;""),OR(AK68="",AL68="")),"违规：必须先完成第二批",IF(OR(H68&lt;=0,H68&lt;&gt;INT(H68),MOD(H68,100)&lt;&gt;0,AND(AL68&lt;&gt;"",OR(AL68&lt;=0,AL68&lt;&gt;INT(AL68),MOD(AL68,100)&lt;&gt;0)),AND(AN68&lt;&gt;"",OR(AN68&lt;=0,AN68&lt;&gt;INT(AN68),MOD(AN68,100)&lt;&gt;0))),"违规：股数须为100股整数倍",IF(AND(OR(AL68&lt;&gt;"",AN68&lt;&gt;""),OR(_LockStatus="已锁仓",_LockStatus="解锁信息不完整")),"违规：锁仓期间禁止加仓",IF(AQ68&gt;C68*D68,"违规：超过单笔风险上限",IF(SUM($AQ$2:$AQ$201)&gt;账户数据!$B$7,"违规：超过账户风险上限","通过")))))))))</f>
        <v/>
      </c>
    </row>
    <row r="69">
      <c r="A69" s="2" t="n">
        <v>68</v>
      </c>
      <c r="B69" s="2" t="inlineStr">
        <is>
          <t>东方电气</t>
        </is>
      </c>
      <c r="C69" s="40" t="n">
        <v>181733</v>
      </c>
      <c r="D69" s="6" t="n">
        <v>0.02</v>
      </c>
      <c r="E69" s="40" t="n">
        <v>20.37</v>
      </c>
      <c r="F69" s="8">
        <f>IF(OR(C69="",D69="",E69="",N69="",C69&lt;=0,D69&lt;=0,E69&lt;=N69),"",ROUNDDOWN((C69*D69)/(E69-N69)/100,0)*100)</f>
        <v/>
      </c>
      <c r="G69" s="8">
        <f>IF(A69="","",IF(H69&lt;&gt;"","已开仓",IF(账户数据!$B$23="已锁仓","禁止开仓：连续亏损达到上限",IF(账户数据!$B$23="解锁信息不完整","禁止开仓：请完整填写解锁信息",IF(OR(F69="",E69="",N69="",E69&lt;=N69,账户数据!$B$7=""),"",IF(OR(AG69="",AH69="",AI69=""),"禁止开仓：交易预期未填写完整",IF(COUNTIFS(持仓跟踪!$A$2:$A$501,"止损计划",持仓跟踪!$B$2:$B$501,A69,持仓跟踪!$AC$2:$AC$501,"计划有效")=0,"禁止开仓：请先填写止损计划",IF(账户数据!$B$9+F69*(E69-N69)&gt;=账户数据!$B$7,"禁止开仓：风险额度不足",IF(AJ69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69" s="2" t="n">
        <v>3100</v>
      </c>
      <c r="I69" s="41" t="n">
        <v>44937</v>
      </c>
      <c r="J69" s="40" t="n">
        <v>24</v>
      </c>
      <c r="K69" s="40" t="n">
        <v>18.78</v>
      </c>
      <c r="L69" s="8">
        <f>IF(K69="","",H69)</f>
        <v/>
      </c>
      <c r="M69" s="41" t="n">
        <v>44980</v>
      </c>
      <c r="N69" s="40" t="n">
        <v>19.2</v>
      </c>
      <c r="O69" s="40" t="n"/>
      <c r="P69" s="40" t="n"/>
      <c r="Q69" s="2" t="n"/>
      <c r="R69" s="2" t="n"/>
      <c r="S69" s="2" t="n"/>
      <c r="T69" s="2" t="n"/>
      <c r="U69" s="7">
        <f>IF(OR(AO69="",J69="",AO69&lt;=0),"",(J69-AO69)/AO69)</f>
        <v/>
      </c>
      <c r="V69" s="7">
        <f>IF(OR(AO69="",N69="",AO69&lt;=0),"",(AO69-N69)/AO69)</f>
        <v/>
      </c>
      <c r="W69" s="13">
        <f>IF(OR(U69="",V69="",V69&lt;=0),"",U69/V69)</f>
        <v/>
      </c>
      <c r="X69" s="42">
        <f>IF(OR(K69="",L69="",AP69=""),"",K69*L69-(E69*H69+IF(AND(AK69&lt;&gt;"",AL69&lt;&gt;""),AK69*AL69,0)+IF(AND(AM69&lt;&gt;"",AN69&lt;&gt;""),AM69*AN69,0))-IF(O69="",0,O69)-IF(P69="",0,P69))</f>
        <v/>
      </c>
      <c r="Y69" s="7">
        <f>IF(OR(X69="",AP69=""),"",IF((E69*H69+IF(AND(AK69&lt;&gt;"",AL69&lt;&gt;""),AK69*AL69,0)+IF(AND(AM69&lt;&gt;"",AN69&lt;&gt;""),AM69*AN69,0))+IF(O69="",0,O69)&lt;=0,"",X69/((E69*H69+IF(AND(AK69&lt;&gt;"",AL69&lt;&gt;""),AK69*AL69,0)+IF(AND(AM69&lt;&gt;"",AN69&lt;&gt;""),AM69*AN69,0))+IF(O69="",0,O69))))</f>
        <v/>
      </c>
      <c r="Z69" s="7">
        <f>IF(OR(AE69="",多次统计数据!$B$8=""),"",AE69-多次统计数据!$B$8)</f>
        <v/>
      </c>
      <c r="AA69" s="14">
        <f>IF(OR(I69="",M69="",M69&lt;I69),"",M69-I69)</f>
        <v/>
      </c>
      <c r="AB69" s="7">
        <f>IF(OR(A69="",多次统计数据!$B$8="",多次统计数据!$B$6&lt;=0,多次统计数据!$B$6&gt;=1),"",1-POWER(1+多次统计数据!$B$8,-多次统计数据!$B$6/(1-多次统计数据!$B$6)))</f>
        <v/>
      </c>
      <c r="AC69" s="8">
        <f>IF(OR(AB69="",多次统计数据!$B$9=""),"",IF(多次统计数据!$B$9&lt;AB69,"低于上限","达到或超过上限"))</f>
        <v/>
      </c>
      <c r="AD69" s="2" t="n"/>
      <c r="AE69" s="7">
        <f>IF(OR(X69="",C69="",C69&lt;=0),"",X69/C69)</f>
        <v/>
      </c>
      <c r="AG69" s="28" t="n"/>
      <c r="AH69" s="28" t="n"/>
      <c r="AI69" s="28" t="n"/>
      <c r="AJ69" s="31">
        <f>IF(OR(AG69="",AH69=""),"",IF(OR(AND(AG69="短期博反弹",OR(AH69="1～3个交易日",AH69="4～10个交易日")),AND(AG69="突破冲新高",OR(AH69="4～10个交易日",AH69="11～20个交易日")),AND(AG69="趋势波段",OR(AH69="11～20个交易日",AH69="21～60个交易日",AH69="60个交易日以上"))),"匹配","周期与交易预期不匹配，请重新确认"))</f>
        <v/>
      </c>
      <c r="AK69" s="43" t="n"/>
      <c r="AL69" s="27" t="n"/>
      <c r="AM69" s="43" t="n"/>
      <c r="AN69" s="27" t="n"/>
      <c r="AO69" s="44">
        <f>IF(OR(A69="",H69="",H69&lt;=0),"",(E69*H69+IF(AND(AK69&lt;&gt;"",AL69&lt;&gt;""),AK69*AL69,0)+IF(AND(AM69&lt;&gt;"",AN69&lt;&gt;""),AM69*AN69,0))/AP69)</f>
        <v/>
      </c>
      <c r="AP69" s="26">
        <f>IF(OR(A69="",H69="",H69&lt;=0),"",H69+IF(AL69="",0,AL69)+IF(AN69="",0,AN69))</f>
        <v/>
      </c>
      <c r="AQ69" s="44">
        <f>IF(A69="","",IF(M69&lt;&gt;"",0,IF(OR(H69="",N69=""),"",MAX(E69-MAX(N69,IFERROR(AGGREGATE(14,6,'持仓跟踪'!$S$2:$S$501/(('持仓跟踪'!$A$2:$A$501="每日跟踪")*('持仓跟踪'!$B$2:$B$501=A69)),1),0)),0)*H69+IF(OR(AK69="",AL69=""),0,MAX(AK69-MAX(N69,IFERROR(AGGREGATE(14,6,'持仓跟踪'!$S$2:$S$501/(('持仓跟踪'!$A$2:$A$501="每日跟踪")*('持仓跟踪'!$B$2:$B$501=A69)),1),0)),0)*AL69)+IF(OR(AM69="",AN69=""),0,MAX(AM69-MAX(N69,IFERROR(AGGREGATE(14,6,'持仓跟踪'!$S$2:$S$501/(('持仓跟踪'!$A$2:$A$501="每日跟踪")*('持仓跟踪'!$B$2:$B$501=A69)),1),0)),0)*AN69))))</f>
        <v/>
      </c>
      <c r="AR69" s="31">
        <f>IF(A69="","",IF(OR(E69="",H69=""),"违规：第一批价格或股数缺失",IF(OR(AND(AK69="",AL69&lt;&gt;""),AND(AK69&lt;&gt;"",AL69="")),"违规：第二批价格与股数须成对填写",IF(OR(AND(AM69="",AN69&lt;&gt;""),AND(AM69&lt;&gt;"",AN69="")),"违规：第三批价格与股数须成对填写",IF(AND(OR(AM69&lt;&gt;"",AN69&lt;&gt;""),OR(AK69="",AL69="")),"违规：必须先完成第二批",IF(OR(H69&lt;=0,H69&lt;&gt;INT(H69),MOD(H69,100)&lt;&gt;0,AND(AL69&lt;&gt;"",OR(AL69&lt;=0,AL69&lt;&gt;INT(AL69),MOD(AL69,100)&lt;&gt;0)),AND(AN69&lt;&gt;"",OR(AN69&lt;=0,AN69&lt;&gt;INT(AN69),MOD(AN69,100)&lt;&gt;0))),"违规：股数须为100股整数倍",IF(AND(OR(AL69&lt;&gt;"",AN69&lt;&gt;""),OR(_LockStatus="已锁仓",_LockStatus="解锁信息不完整")),"违规：锁仓期间禁止加仓",IF(AQ69&gt;C69*D69,"违规：超过单笔风险上限",IF(SUM($AQ$2:$AQ$201)&gt;账户数据!$B$7,"违规：超过账户风险上限","通过")))))))))</f>
        <v/>
      </c>
    </row>
    <row r="70">
      <c r="A70" s="2" t="n">
        <v>69</v>
      </c>
      <c r="B70" s="2" t="inlineStr">
        <is>
          <t>东方电气</t>
        </is>
      </c>
      <c r="C70" s="40" t="n">
        <v>176804</v>
      </c>
      <c r="D70" s="6" t="n">
        <v>0.02</v>
      </c>
      <c r="E70" s="40" t="n">
        <v>19.13</v>
      </c>
      <c r="F70" s="8">
        <f>IF(OR(C70="",D70="",E70="",N70="",C70&lt;=0,D70&lt;=0,E70&lt;=N70),"",ROUNDDOWN((C70*D70)/(E70-N70)/100,0)*100)</f>
        <v/>
      </c>
      <c r="G70" s="8">
        <f>IF(A70="","",IF(H70&lt;&gt;"","已开仓",IF(账户数据!$B$23="已锁仓","禁止开仓：连续亏损达到上限",IF(账户数据!$B$23="解锁信息不完整","禁止开仓：请完整填写解锁信息",IF(OR(F70="",E70="",N70="",E70&lt;=N70,账户数据!$B$7=""),"",IF(OR(AG70="",AH70="",AI70=""),"禁止开仓：交易预期未填写完整",IF(COUNTIFS(持仓跟踪!$A$2:$A$501,"止损计划",持仓跟踪!$B$2:$B$501,A70,持仓跟踪!$AC$2:$AC$501,"计划有效")=0,"禁止开仓：请先填写止损计划",IF(账户数据!$B$9+F70*(E70-N70)&gt;=账户数据!$B$7,"禁止开仓：风险额度不足",IF(AJ70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0" s="2" t="n">
        <v>3100</v>
      </c>
      <c r="I70" s="41" t="n">
        <v>44995</v>
      </c>
      <c r="J70" s="40" t="n">
        <v>21.3</v>
      </c>
      <c r="K70" s="40" t="n">
        <v>17.16</v>
      </c>
      <c r="L70" s="8">
        <f>IF(K70="","",H70)</f>
        <v/>
      </c>
      <c r="M70" s="41" t="n">
        <v>45002</v>
      </c>
      <c r="N70" s="40" t="n">
        <v>18</v>
      </c>
      <c r="O70" s="40" t="n"/>
      <c r="P70" s="40" t="n"/>
      <c r="Q70" s="2" t="n"/>
      <c r="R70" s="2" t="n"/>
      <c r="S70" s="2" t="n"/>
      <c r="T70" s="2" t="n"/>
      <c r="U70" s="7">
        <f>IF(OR(AO70="",J70="",AO70&lt;=0),"",(J70-AO70)/AO70)</f>
        <v/>
      </c>
      <c r="V70" s="7">
        <f>IF(OR(AO70="",N70="",AO70&lt;=0),"",(AO70-N70)/AO70)</f>
        <v/>
      </c>
      <c r="W70" s="13">
        <f>IF(OR(U70="",V70="",V70&lt;=0),"",U70/V70)</f>
        <v/>
      </c>
      <c r="X70" s="42">
        <f>IF(OR(K70="",L70="",AP70=""),"",K70*L70-(E70*H70+IF(AND(AK70&lt;&gt;"",AL70&lt;&gt;""),AK70*AL70,0)+IF(AND(AM70&lt;&gt;"",AN70&lt;&gt;""),AM70*AN70,0))-IF(O70="",0,O70)-IF(P70="",0,P70))</f>
        <v/>
      </c>
      <c r="Y70" s="7">
        <f>IF(OR(X70="",AP70=""),"",IF((E70*H70+IF(AND(AK70&lt;&gt;"",AL70&lt;&gt;""),AK70*AL70,0)+IF(AND(AM70&lt;&gt;"",AN70&lt;&gt;""),AM70*AN70,0))+IF(O70="",0,O70)&lt;=0,"",X70/((E70*H70+IF(AND(AK70&lt;&gt;"",AL70&lt;&gt;""),AK70*AL70,0)+IF(AND(AM70&lt;&gt;"",AN70&lt;&gt;""),AM70*AN70,0))+IF(O70="",0,O70))))</f>
        <v/>
      </c>
      <c r="Z70" s="7">
        <f>IF(OR(AE70="",多次统计数据!$B$8=""),"",AE70-多次统计数据!$B$8)</f>
        <v/>
      </c>
      <c r="AA70" s="14">
        <f>IF(OR(I70="",M70="",M70&lt;I70),"",M70-I70)</f>
        <v/>
      </c>
      <c r="AB70" s="7">
        <f>IF(OR(A70="",多次统计数据!$B$8="",多次统计数据!$B$6&lt;=0,多次统计数据!$B$6&gt;=1),"",1-POWER(1+多次统计数据!$B$8,-多次统计数据!$B$6/(1-多次统计数据!$B$6)))</f>
        <v/>
      </c>
      <c r="AC70" s="8">
        <f>IF(OR(AB70="",多次统计数据!$B$9=""),"",IF(多次统计数据!$B$9&lt;AB70,"低于上限","达到或超过上限"))</f>
        <v/>
      </c>
      <c r="AD70" s="2" t="n"/>
      <c r="AE70" s="7">
        <f>IF(OR(X70="",C70="",C70&lt;=0),"",X70/C70)</f>
        <v/>
      </c>
      <c r="AG70" s="28" t="n"/>
      <c r="AH70" s="28" t="n"/>
      <c r="AI70" s="28" t="n"/>
      <c r="AJ70" s="31">
        <f>IF(OR(AG70="",AH70=""),"",IF(OR(AND(AG70="短期博反弹",OR(AH70="1～3个交易日",AH70="4～10个交易日")),AND(AG70="突破冲新高",OR(AH70="4～10个交易日",AH70="11～20个交易日")),AND(AG70="趋势波段",OR(AH70="11～20个交易日",AH70="21～60个交易日",AH70="60个交易日以上"))),"匹配","周期与交易预期不匹配，请重新确认"))</f>
        <v/>
      </c>
      <c r="AK70" s="43" t="n"/>
      <c r="AL70" s="27" t="n"/>
      <c r="AM70" s="43" t="n"/>
      <c r="AN70" s="27" t="n"/>
      <c r="AO70" s="44">
        <f>IF(OR(A70="",H70="",H70&lt;=0),"",(E70*H70+IF(AND(AK70&lt;&gt;"",AL70&lt;&gt;""),AK70*AL70,0)+IF(AND(AM70&lt;&gt;"",AN70&lt;&gt;""),AM70*AN70,0))/AP70)</f>
        <v/>
      </c>
      <c r="AP70" s="26">
        <f>IF(OR(A70="",H70="",H70&lt;=0),"",H70+IF(AL70="",0,AL70)+IF(AN70="",0,AN70))</f>
        <v/>
      </c>
      <c r="AQ70" s="44">
        <f>IF(A70="","",IF(M70&lt;&gt;"",0,IF(OR(H70="",N70=""),"",MAX(E70-MAX(N70,IFERROR(AGGREGATE(14,6,'持仓跟踪'!$S$2:$S$501/(('持仓跟踪'!$A$2:$A$501="每日跟踪")*('持仓跟踪'!$B$2:$B$501=A70)),1),0)),0)*H70+IF(OR(AK70="",AL70=""),0,MAX(AK70-MAX(N70,IFERROR(AGGREGATE(14,6,'持仓跟踪'!$S$2:$S$501/(('持仓跟踪'!$A$2:$A$501="每日跟踪")*('持仓跟踪'!$B$2:$B$501=A70)),1),0)),0)*AL70)+IF(OR(AM70="",AN70=""),0,MAX(AM70-MAX(N70,IFERROR(AGGREGATE(14,6,'持仓跟踪'!$S$2:$S$501/(('持仓跟踪'!$A$2:$A$501="每日跟踪")*('持仓跟踪'!$B$2:$B$501=A70)),1),0)),0)*AN70))))</f>
        <v/>
      </c>
      <c r="AR70" s="31">
        <f>IF(A70="","",IF(OR(E70="",H70=""),"违规：第一批价格或股数缺失",IF(OR(AND(AK70="",AL70&lt;&gt;""),AND(AK70&lt;&gt;"",AL70="")),"违规：第二批价格与股数须成对填写",IF(OR(AND(AM70="",AN70&lt;&gt;""),AND(AM70&lt;&gt;"",AN70="")),"违规：第三批价格与股数须成对填写",IF(AND(OR(AM70&lt;&gt;"",AN70&lt;&gt;""),OR(AK70="",AL70="")),"违规：必须先完成第二批",IF(OR(H70&lt;=0,H70&lt;&gt;INT(H70),MOD(H70,100)&lt;&gt;0,AND(AL70&lt;&gt;"",OR(AL70&lt;=0,AL70&lt;&gt;INT(AL70),MOD(AL70,100)&lt;&gt;0)),AND(AN70&lt;&gt;"",OR(AN70&lt;=0,AN70&lt;&gt;INT(AN70),MOD(AN70,100)&lt;&gt;0))),"违规：股数须为100股整数倍",IF(AND(OR(AL70&lt;&gt;"",AN70&lt;&gt;""),OR(_LockStatus="已锁仓",_LockStatus="解锁信息不完整")),"违规：锁仓期间禁止加仓",IF(AQ70&gt;C70*D70,"违规：超过单笔风险上限",IF(SUM($AQ$2:$AQ$201)&gt;账户数据!$B$7,"违规：超过账户风险上限","通过")))))))))</f>
        <v/>
      </c>
    </row>
    <row r="71">
      <c r="A71" s="2" t="n">
        <v>70</v>
      </c>
      <c r="B71" s="2" t="inlineStr">
        <is>
          <t>东方电气</t>
        </is>
      </c>
      <c r="C71" s="40" t="n">
        <v>170697</v>
      </c>
      <c r="D71" s="6" t="n">
        <v>0.02</v>
      </c>
      <c r="E71" s="40" t="n">
        <v>17.3</v>
      </c>
      <c r="F71" s="8">
        <f>IF(OR(C71="",D71="",E71="",N71="",C71&lt;=0,D71&lt;=0,E71&lt;=N71),"",ROUNDDOWN((C71*D71)/(E71-N71)/100,0)*100)</f>
        <v/>
      </c>
      <c r="G71" s="8">
        <f>IF(A71="","",IF(H71&lt;&gt;"","已开仓",IF(账户数据!$B$23="已锁仓","禁止开仓：连续亏损达到上限",IF(账户数据!$B$23="解锁信息不完整","禁止开仓：请完整填写解锁信息",IF(OR(F71="",E71="",N71="",E71&lt;=N71,账户数据!$B$7=""),"",IF(OR(AG71="",AH71="",AI71=""),"禁止开仓：交易预期未填写完整",IF(COUNTIFS(持仓跟踪!$A$2:$A$501,"止损计划",持仓跟踪!$B$2:$B$501,A71,持仓跟踪!$AC$2:$AC$501,"计划有效")=0,"禁止开仓：请先填写止损计划",IF(账户数据!$B$9+F71*(E71-N71)&gt;=账户数据!$B$7,"禁止开仓：风险额度不足",IF(AJ71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1" s="2" t="n">
        <v>4200</v>
      </c>
      <c r="I71" s="41" t="n">
        <v>45068</v>
      </c>
      <c r="J71" s="40" t="n">
        <v>20</v>
      </c>
      <c r="K71" s="40" t="n">
        <v>16.47</v>
      </c>
      <c r="L71" s="8">
        <f>IF(K71="","",H71)</f>
        <v/>
      </c>
      <c r="M71" s="41" t="n">
        <v>45075</v>
      </c>
      <c r="N71" s="40" t="n">
        <v>16.5</v>
      </c>
      <c r="O71" s="40" t="n"/>
      <c r="P71" s="40" t="n"/>
      <c r="Q71" s="2" t="n"/>
      <c r="R71" s="2" t="n"/>
      <c r="S71" s="2" t="n"/>
      <c r="T71" s="2" t="n"/>
      <c r="U71" s="7">
        <f>IF(OR(AO71="",J71="",AO71&lt;=0),"",(J71-AO71)/AO71)</f>
        <v/>
      </c>
      <c r="V71" s="7">
        <f>IF(OR(AO71="",N71="",AO71&lt;=0),"",(AO71-N71)/AO71)</f>
        <v/>
      </c>
      <c r="W71" s="13">
        <f>IF(OR(U71="",V71="",V71&lt;=0),"",U71/V71)</f>
        <v/>
      </c>
      <c r="X71" s="42">
        <f>IF(OR(K71="",L71="",AP71=""),"",K71*L71-(E71*H71+IF(AND(AK71&lt;&gt;"",AL71&lt;&gt;""),AK71*AL71,0)+IF(AND(AM71&lt;&gt;"",AN71&lt;&gt;""),AM71*AN71,0))-IF(O71="",0,O71)-IF(P71="",0,P71))</f>
        <v/>
      </c>
      <c r="Y71" s="7">
        <f>IF(OR(X71="",AP71=""),"",IF((E71*H71+IF(AND(AK71&lt;&gt;"",AL71&lt;&gt;""),AK71*AL71,0)+IF(AND(AM71&lt;&gt;"",AN71&lt;&gt;""),AM71*AN71,0))+IF(O71="",0,O71)&lt;=0,"",X71/((E71*H71+IF(AND(AK71&lt;&gt;"",AL71&lt;&gt;""),AK71*AL71,0)+IF(AND(AM71&lt;&gt;"",AN71&lt;&gt;""),AM71*AN71,0))+IF(O71="",0,O71))))</f>
        <v/>
      </c>
      <c r="Z71" s="7">
        <f>IF(OR(AE71="",多次统计数据!$B$8=""),"",AE71-多次统计数据!$B$8)</f>
        <v/>
      </c>
      <c r="AA71" s="14">
        <f>IF(OR(I71="",M71="",M71&lt;I71),"",M71-I71)</f>
        <v/>
      </c>
      <c r="AB71" s="7">
        <f>IF(OR(A71="",多次统计数据!$B$8="",多次统计数据!$B$6&lt;=0,多次统计数据!$B$6&gt;=1),"",1-POWER(1+多次统计数据!$B$8,-多次统计数据!$B$6/(1-多次统计数据!$B$6)))</f>
        <v/>
      </c>
      <c r="AC71" s="8">
        <f>IF(OR(AB71="",多次统计数据!$B$9=""),"",IF(多次统计数据!$B$9&lt;AB71,"低于上限","达到或超过上限"))</f>
        <v/>
      </c>
      <c r="AD71" s="2" t="n"/>
      <c r="AE71" s="7">
        <f>IF(OR(X71="",C71="",C71&lt;=0),"",X71/C71)</f>
        <v/>
      </c>
      <c r="AG71" s="28" t="n"/>
      <c r="AH71" s="28" t="n"/>
      <c r="AI71" s="28" t="n"/>
      <c r="AJ71" s="31">
        <f>IF(OR(AG71="",AH71=""),"",IF(OR(AND(AG71="短期博反弹",OR(AH71="1～3个交易日",AH71="4～10个交易日")),AND(AG71="突破冲新高",OR(AH71="4～10个交易日",AH71="11～20个交易日")),AND(AG71="趋势波段",OR(AH71="11～20个交易日",AH71="21～60个交易日",AH71="60个交易日以上"))),"匹配","周期与交易预期不匹配，请重新确认"))</f>
        <v/>
      </c>
      <c r="AK71" s="43" t="n"/>
      <c r="AL71" s="27" t="n"/>
      <c r="AM71" s="43" t="n"/>
      <c r="AN71" s="27" t="n"/>
      <c r="AO71" s="44">
        <f>IF(OR(A71="",H71="",H71&lt;=0),"",(E71*H71+IF(AND(AK71&lt;&gt;"",AL71&lt;&gt;""),AK71*AL71,0)+IF(AND(AM71&lt;&gt;"",AN71&lt;&gt;""),AM71*AN71,0))/AP71)</f>
        <v/>
      </c>
      <c r="AP71" s="26">
        <f>IF(OR(A71="",H71="",H71&lt;=0),"",H71+IF(AL71="",0,AL71)+IF(AN71="",0,AN71))</f>
        <v/>
      </c>
      <c r="AQ71" s="44">
        <f>IF(A71="","",IF(M71&lt;&gt;"",0,IF(OR(H71="",N71=""),"",MAX(E71-MAX(N71,IFERROR(AGGREGATE(14,6,'持仓跟踪'!$S$2:$S$501/(('持仓跟踪'!$A$2:$A$501="每日跟踪")*('持仓跟踪'!$B$2:$B$501=A71)),1),0)),0)*H71+IF(OR(AK71="",AL71=""),0,MAX(AK71-MAX(N71,IFERROR(AGGREGATE(14,6,'持仓跟踪'!$S$2:$S$501/(('持仓跟踪'!$A$2:$A$501="每日跟踪")*('持仓跟踪'!$B$2:$B$501=A71)),1),0)),0)*AL71)+IF(OR(AM71="",AN71=""),0,MAX(AM71-MAX(N71,IFERROR(AGGREGATE(14,6,'持仓跟踪'!$S$2:$S$501/(('持仓跟踪'!$A$2:$A$501="每日跟踪")*('持仓跟踪'!$B$2:$B$501=A71)),1),0)),0)*AN71))))</f>
        <v/>
      </c>
      <c r="AR71" s="31">
        <f>IF(A71="","",IF(OR(E71="",H71=""),"违规：第一批价格或股数缺失",IF(OR(AND(AK71="",AL71&lt;&gt;""),AND(AK71&lt;&gt;"",AL71="")),"违规：第二批价格与股数须成对填写",IF(OR(AND(AM71="",AN71&lt;&gt;""),AND(AM71&lt;&gt;"",AN71="")),"违规：第三批价格与股数须成对填写",IF(AND(OR(AM71&lt;&gt;"",AN71&lt;&gt;""),OR(AK71="",AL71="")),"违规：必须先完成第二批",IF(OR(H71&lt;=0,H71&lt;&gt;INT(H71),MOD(H71,100)&lt;&gt;0,AND(AL71&lt;&gt;"",OR(AL71&lt;=0,AL71&lt;&gt;INT(AL71),MOD(AL71,100)&lt;&gt;0)),AND(AN71&lt;&gt;"",OR(AN71&lt;=0,AN71&lt;&gt;INT(AN71),MOD(AN71,100)&lt;&gt;0))),"违规：股数须为100股整数倍",IF(AND(OR(AL71&lt;&gt;"",AN71&lt;&gt;""),OR(_LockStatus="已锁仓",_LockStatus="解锁信息不完整")),"违规：锁仓期间禁止加仓",IF(AQ71&gt;C71*D71,"违规：超过单笔风险上限",IF(SUM($AQ$2:$AQ$201)&gt;账户数据!$B$7,"违规：超过账户风险上限","通过")))))))))</f>
        <v/>
      </c>
    </row>
    <row r="72">
      <c r="A72" s="2" t="n">
        <v>71</v>
      </c>
      <c r="B72" s="2" t="inlineStr">
        <is>
          <t>东方电气</t>
        </is>
      </c>
      <c r="C72" s="40" t="n">
        <v>167211</v>
      </c>
      <c r="D72" s="6" t="n">
        <v>0.02</v>
      </c>
      <c r="E72" s="40" t="n">
        <v>15</v>
      </c>
      <c r="F72" s="8">
        <f>IF(OR(C72="",D72="",E72="",N72="",C72&lt;=0,D72&lt;=0,E72&lt;=N72),"",ROUNDDOWN((C72*D72)/(E72-N72)/100,0)*100)</f>
        <v/>
      </c>
      <c r="G72" s="8">
        <f>IF(A72="","",IF(H72&lt;&gt;"","已开仓",IF(账户数据!$B$23="已锁仓","禁止开仓：连续亏损达到上限",IF(账户数据!$B$23="解锁信息不完整","禁止开仓：请完整填写解锁信息",IF(OR(F72="",E72="",N72="",E72&lt;=N72,账户数据!$B$7=""),"",IF(OR(AG72="",AH72="",AI72=""),"禁止开仓：交易预期未填写完整",IF(COUNTIFS(持仓跟踪!$A$2:$A$501,"止损计划",持仓跟踪!$B$2:$B$501,A72,持仓跟踪!$AC$2:$AC$501,"计划有效")=0,"禁止开仓：请先填写止损计划",IF(账户数据!$B$9+F72*(E72-N72)&gt;=账户数据!$B$7,"禁止开仓：风险额度不足",IF(AJ72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2" s="2" t="n">
        <v>3300</v>
      </c>
      <c r="I72" s="41" t="n">
        <v>45357</v>
      </c>
      <c r="J72" s="40" t="n">
        <v>16</v>
      </c>
      <c r="K72" s="40" t="n">
        <v>13.75</v>
      </c>
      <c r="L72" s="8">
        <f>IF(K72="","",H72)</f>
        <v/>
      </c>
      <c r="M72" s="41" t="n">
        <v>45378</v>
      </c>
      <c r="N72" s="40" t="n">
        <v>14</v>
      </c>
      <c r="O72" s="40" t="n"/>
      <c r="P72" s="40" t="n"/>
      <c r="Q72" s="2" t="n"/>
      <c r="R72" s="2" t="n"/>
      <c r="S72" s="2" t="n"/>
      <c r="T72" s="2" t="n"/>
      <c r="U72" s="7">
        <f>IF(OR(AO72="",J72="",AO72&lt;=0),"",(J72-AO72)/AO72)</f>
        <v/>
      </c>
      <c r="V72" s="7">
        <f>IF(OR(AO72="",N72="",AO72&lt;=0),"",(AO72-N72)/AO72)</f>
        <v/>
      </c>
      <c r="W72" s="13">
        <f>IF(OR(U72="",V72="",V72&lt;=0),"",U72/V72)</f>
        <v/>
      </c>
      <c r="X72" s="42">
        <f>IF(OR(K72="",L72="",AP72=""),"",K72*L72-(E72*H72+IF(AND(AK72&lt;&gt;"",AL72&lt;&gt;""),AK72*AL72,0)+IF(AND(AM72&lt;&gt;"",AN72&lt;&gt;""),AM72*AN72,0))-IF(O72="",0,O72)-IF(P72="",0,P72))</f>
        <v/>
      </c>
      <c r="Y72" s="7">
        <f>IF(OR(X72="",AP72=""),"",IF((E72*H72+IF(AND(AK72&lt;&gt;"",AL72&lt;&gt;""),AK72*AL72,0)+IF(AND(AM72&lt;&gt;"",AN72&lt;&gt;""),AM72*AN72,0))+IF(O72="",0,O72)&lt;=0,"",X72/((E72*H72+IF(AND(AK72&lt;&gt;"",AL72&lt;&gt;""),AK72*AL72,0)+IF(AND(AM72&lt;&gt;"",AN72&lt;&gt;""),AM72*AN72,0))+IF(O72="",0,O72))))</f>
        <v/>
      </c>
      <c r="Z72" s="7">
        <f>IF(OR(AE72="",多次统计数据!$B$8=""),"",AE72-多次统计数据!$B$8)</f>
        <v/>
      </c>
      <c r="AA72" s="14">
        <f>IF(OR(I72="",M72="",M72&lt;I72),"",M72-I72)</f>
        <v/>
      </c>
      <c r="AB72" s="7">
        <f>IF(OR(A72="",多次统计数据!$B$8="",多次统计数据!$B$6&lt;=0,多次统计数据!$B$6&gt;=1),"",1-POWER(1+多次统计数据!$B$8,-多次统计数据!$B$6/(1-多次统计数据!$B$6)))</f>
        <v/>
      </c>
      <c r="AC72" s="8">
        <f>IF(OR(AB72="",多次统计数据!$B$9=""),"",IF(多次统计数据!$B$9&lt;AB72,"低于上限","达到或超过上限"))</f>
        <v/>
      </c>
      <c r="AD72" s="2" t="n"/>
      <c r="AE72" s="7">
        <f>IF(OR(X72="",C72="",C72&lt;=0),"",X72/C72)</f>
        <v/>
      </c>
      <c r="AG72" s="28" t="n"/>
      <c r="AH72" s="28" t="n"/>
      <c r="AI72" s="28" t="n"/>
      <c r="AJ72" s="31">
        <f>IF(OR(AG72="",AH72=""),"",IF(OR(AND(AG72="短期博反弹",OR(AH72="1～3个交易日",AH72="4～10个交易日")),AND(AG72="突破冲新高",OR(AH72="4～10个交易日",AH72="11～20个交易日")),AND(AG72="趋势波段",OR(AH72="11～20个交易日",AH72="21～60个交易日",AH72="60个交易日以上"))),"匹配","周期与交易预期不匹配，请重新确认"))</f>
        <v/>
      </c>
      <c r="AK72" s="43" t="n"/>
      <c r="AL72" s="27" t="n"/>
      <c r="AM72" s="43" t="n"/>
      <c r="AN72" s="27" t="n"/>
      <c r="AO72" s="44">
        <f>IF(OR(A72="",H72="",H72&lt;=0),"",(E72*H72+IF(AND(AK72&lt;&gt;"",AL72&lt;&gt;""),AK72*AL72,0)+IF(AND(AM72&lt;&gt;"",AN72&lt;&gt;""),AM72*AN72,0))/AP72)</f>
        <v/>
      </c>
      <c r="AP72" s="26">
        <f>IF(OR(A72="",H72="",H72&lt;=0),"",H72+IF(AL72="",0,AL72)+IF(AN72="",0,AN72))</f>
        <v/>
      </c>
      <c r="AQ72" s="44">
        <f>IF(A72="","",IF(M72&lt;&gt;"",0,IF(OR(H72="",N72=""),"",MAX(E72-MAX(N72,IFERROR(AGGREGATE(14,6,'持仓跟踪'!$S$2:$S$501/(('持仓跟踪'!$A$2:$A$501="每日跟踪")*('持仓跟踪'!$B$2:$B$501=A72)),1),0)),0)*H72+IF(OR(AK72="",AL72=""),0,MAX(AK72-MAX(N72,IFERROR(AGGREGATE(14,6,'持仓跟踪'!$S$2:$S$501/(('持仓跟踪'!$A$2:$A$501="每日跟踪")*('持仓跟踪'!$B$2:$B$501=A72)),1),0)),0)*AL72)+IF(OR(AM72="",AN72=""),0,MAX(AM72-MAX(N72,IFERROR(AGGREGATE(14,6,'持仓跟踪'!$S$2:$S$501/(('持仓跟踪'!$A$2:$A$501="每日跟踪")*('持仓跟踪'!$B$2:$B$501=A72)),1),0)),0)*AN72))))</f>
        <v/>
      </c>
      <c r="AR72" s="31">
        <f>IF(A72="","",IF(OR(E72="",H72=""),"违规：第一批价格或股数缺失",IF(OR(AND(AK72="",AL72&lt;&gt;""),AND(AK72&lt;&gt;"",AL72="")),"违规：第二批价格与股数须成对填写",IF(OR(AND(AM72="",AN72&lt;&gt;""),AND(AM72&lt;&gt;"",AN72="")),"违规：第三批价格与股数须成对填写",IF(AND(OR(AM72&lt;&gt;"",AN72&lt;&gt;""),OR(AK72="",AL72="")),"违规：必须先完成第二批",IF(OR(H72&lt;=0,H72&lt;&gt;INT(H72),MOD(H72,100)&lt;&gt;0,AND(AL72&lt;&gt;"",OR(AL72&lt;=0,AL72&lt;&gt;INT(AL72),MOD(AL72,100)&lt;&gt;0)),AND(AN72&lt;&gt;"",OR(AN72&lt;=0,AN72&lt;&gt;INT(AN72),MOD(AN72,100)&lt;&gt;0))),"违规：股数须为100股整数倍",IF(AND(OR(AL72&lt;&gt;"",AN72&lt;&gt;""),OR(_LockStatus="已锁仓",_LockStatus="解锁信息不完整")),"违规：锁仓期间禁止加仓",IF(AQ72&gt;C72*D72,"违规：超过单笔风险上限",IF(SUM($AQ$2:$AQ$201)&gt;账户数据!$B$7,"违规：超过账户风险上限","通过")))))))))</f>
        <v/>
      </c>
    </row>
    <row r="73">
      <c r="A73" s="2" t="n">
        <v>72</v>
      </c>
      <c r="B73" s="2" t="inlineStr">
        <is>
          <t>东方电气</t>
        </is>
      </c>
      <c r="C73" s="40" t="n">
        <v>163086</v>
      </c>
      <c r="D73" s="6" t="n">
        <v>0.02</v>
      </c>
      <c r="E73" s="40" t="n">
        <v>14.67</v>
      </c>
      <c r="F73" s="8">
        <f>IF(OR(C73="",D73="",E73="",N73="",C73&lt;=0,D73&lt;=0,E73&lt;=N73),"",ROUNDDOWN((C73*D73)/(E73-N73)/100,0)*100)</f>
        <v/>
      </c>
      <c r="G73" s="8">
        <f>IF(A73="","",IF(H73&lt;&gt;"","已开仓",IF(账户数据!$B$23="已锁仓","禁止开仓：连续亏损达到上限",IF(账户数据!$B$23="解锁信息不完整","禁止开仓：请完整填写解锁信息",IF(OR(F73="",E73="",N73="",E73&lt;=N73,账户数据!$B$7=""),"",IF(OR(AG73="",AH73="",AI73=""),"禁止开仓：交易预期未填写完整",IF(COUNTIFS(持仓跟踪!$A$2:$A$501,"止损计划",持仓跟踪!$B$2:$B$501,A73,持仓跟踪!$AC$2:$AC$501,"计划有效")=0,"禁止开仓：请先填写止损计划",IF(账户数据!$B$9+F73*(E73-N73)&gt;=账户数据!$B$7,"禁止开仓：风险额度不足",IF(AJ73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3" s="2" t="n">
        <v>4200</v>
      </c>
      <c r="I73" s="41" t="n">
        <v>45750</v>
      </c>
      <c r="J73" s="40" t="n">
        <v>16</v>
      </c>
      <c r="K73" s="40" t="n">
        <v>13.15</v>
      </c>
      <c r="L73" s="8">
        <f>IF(K73="","",H73)</f>
        <v/>
      </c>
      <c r="M73" s="41" t="n">
        <v>45754</v>
      </c>
      <c r="N73" s="40" t="n">
        <v>14</v>
      </c>
      <c r="O73" s="40" t="n"/>
      <c r="P73" s="40" t="n"/>
      <c r="Q73" s="2" t="n"/>
      <c r="R73" s="2" t="n"/>
      <c r="S73" s="2" t="n"/>
      <c r="T73" s="2" t="n"/>
      <c r="U73" s="7">
        <f>IF(OR(AO73="",J73="",AO73&lt;=0),"",(J73-AO73)/AO73)</f>
        <v/>
      </c>
      <c r="V73" s="7">
        <f>IF(OR(AO73="",N73="",AO73&lt;=0),"",(AO73-N73)/AO73)</f>
        <v/>
      </c>
      <c r="W73" s="13">
        <f>IF(OR(U73="",V73="",V73&lt;=0),"",U73/V73)</f>
        <v/>
      </c>
      <c r="X73" s="42">
        <f>IF(OR(K73="",L73="",AP73=""),"",K73*L73-(E73*H73+IF(AND(AK73&lt;&gt;"",AL73&lt;&gt;""),AK73*AL73,0)+IF(AND(AM73&lt;&gt;"",AN73&lt;&gt;""),AM73*AN73,0))-IF(O73="",0,O73)-IF(P73="",0,P73))</f>
        <v/>
      </c>
      <c r="Y73" s="7">
        <f>IF(OR(X73="",AP73=""),"",IF((E73*H73+IF(AND(AK73&lt;&gt;"",AL73&lt;&gt;""),AK73*AL73,0)+IF(AND(AM73&lt;&gt;"",AN73&lt;&gt;""),AM73*AN73,0))+IF(O73="",0,O73)&lt;=0,"",X73/((E73*H73+IF(AND(AK73&lt;&gt;"",AL73&lt;&gt;""),AK73*AL73,0)+IF(AND(AM73&lt;&gt;"",AN73&lt;&gt;""),AM73*AN73,0))+IF(O73="",0,O73))))</f>
        <v/>
      </c>
      <c r="Z73" s="7">
        <f>IF(OR(AE73="",多次统计数据!$B$8=""),"",AE73-多次统计数据!$B$8)</f>
        <v/>
      </c>
      <c r="AA73" s="14">
        <f>IF(OR(I73="",M73="",M73&lt;I73),"",M73-I73)</f>
        <v/>
      </c>
      <c r="AB73" s="7">
        <f>IF(OR(A73="",多次统计数据!$B$8="",多次统计数据!$B$6&lt;=0,多次统计数据!$B$6&gt;=1),"",1-POWER(1+多次统计数据!$B$8,-多次统计数据!$B$6/(1-多次统计数据!$B$6)))</f>
        <v/>
      </c>
      <c r="AC73" s="8">
        <f>IF(OR(AB73="",多次统计数据!$B$9=""),"",IF(多次统计数据!$B$9&lt;AB73,"低于上限","达到或超过上限"))</f>
        <v/>
      </c>
      <c r="AD73" s="2" t="n"/>
      <c r="AE73" s="7">
        <f>IF(OR(X73="",C73="",C73&lt;=0),"",X73/C73)</f>
        <v/>
      </c>
      <c r="AG73" s="28" t="n"/>
      <c r="AH73" s="28" t="n"/>
      <c r="AI73" s="28" t="n"/>
      <c r="AJ73" s="31">
        <f>IF(OR(AG73="",AH73=""),"",IF(OR(AND(AG73="短期博反弹",OR(AH73="1～3个交易日",AH73="4～10个交易日")),AND(AG73="突破冲新高",OR(AH73="4～10个交易日",AH73="11～20个交易日")),AND(AG73="趋势波段",OR(AH73="11～20个交易日",AH73="21～60个交易日",AH73="60个交易日以上"))),"匹配","周期与交易预期不匹配，请重新确认"))</f>
        <v/>
      </c>
      <c r="AK73" s="43" t="n"/>
      <c r="AL73" s="27" t="n"/>
      <c r="AM73" s="43" t="n"/>
      <c r="AN73" s="27" t="n"/>
      <c r="AO73" s="44">
        <f>IF(OR(A73="",H73="",H73&lt;=0),"",(E73*H73+IF(AND(AK73&lt;&gt;"",AL73&lt;&gt;""),AK73*AL73,0)+IF(AND(AM73&lt;&gt;"",AN73&lt;&gt;""),AM73*AN73,0))/AP73)</f>
        <v/>
      </c>
      <c r="AP73" s="26">
        <f>IF(OR(A73="",H73="",H73&lt;=0),"",H73+IF(AL73="",0,AL73)+IF(AN73="",0,AN73))</f>
        <v/>
      </c>
      <c r="AQ73" s="44">
        <f>IF(A73="","",IF(M73&lt;&gt;"",0,IF(OR(H73="",N73=""),"",MAX(E73-MAX(N73,IFERROR(AGGREGATE(14,6,'持仓跟踪'!$S$2:$S$501/(('持仓跟踪'!$A$2:$A$501="每日跟踪")*('持仓跟踪'!$B$2:$B$501=A73)),1),0)),0)*H73+IF(OR(AK73="",AL73=""),0,MAX(AK73-MAX(N73,IFERROR(AGGREGATE(14,6,'持仓跟踪'!$S$2:$S$501/(('持仓跟踪'!$A$2:$A$501="每日跟踪")*('持仓跟踪'!$B$2:$B$501=A73)),1),0)),0)*AL73)+IF(OR(AM73="",AN73=""),0,MAX(AM73-MAX(N73,IFERROR(AGGREGATE(14,6,'持仓跟踪'!$S$2:$S$501/(('持仓跟踪'!$A$2:$A$501="每日跟踪")*('持仓跟踪'!$B$2:$B$501=A73)),1),0)),0)*AN73))))</f>
        <v/>
      </c>
      <c r="AR73" s="31">
        <f>IF(A73="","",IF(OR(E73="",H73=""),"违规：第一批价格或股数缺失",IF(OR(AND(AK73="",AL73&lt;&gt;""),AND(AK73&lt;&gt;"",AL73="")),"违规：第二批价格与股数须成对填写",IF(OR(AND(AM73="",AN73&lt;&gt;""),AND(AM73&lt;&gt;"",AN73="")),"违规：第三批价格与股数须成对填写",IF(AND(OR(AM73&lt;&gt;"",AN73&lt;&gt;""),OR(AK73="",AL73="")),"违规：必须先完成第二批",IF(OR(H73&lt;=0,H73&lt;&gt;INT(H73),MOD(H73,100)&lt;&gt;0,AND(AL73&lt;&gt;"",OR(AL73&lt;=0,AL73&lt;&gt;INT(AL73),MOD(AL73,100)&lt;&gt;0)),AND(AN73&lt;&gt;"",OR(AN73&lt;=0,AN73&lt;&gt;INT(AN73),MOD(AN73,100)&lt;&gt;0))),"违规：股数须为100股整数倍",IF(AND(OR(AL73&lt;&gt;"",AN73&lt;&gt;""),OR(_LockStatus="已锁仓",_LockStatus="解锁信息不完整")),"违规：锁仓期间禁止加仓",IF(AQ73&gt;C73*D73,"违规：超过单笔风险上限",IF(SUM($AQ$2:$AQ$201)&gt;账户数据!$B$7,"违规：超过账户风险上限","通过")))))))))</f>
        <v/>
      </c>
    </row>
    <row r="74">
      <c r="A74" s="2" t="n">
        <v>73</v>
      </c>
      <c r="B74" s="2" t="inlineStr">
        <is>
          <t>东方电气</t>
        </is>
      </c>
      <c r="C74" s="40" t="n">
        <v>156702</v>
      </c>
      <c r="D74" s="6" t="n">
        <v>0.02</v>
      </c>
      <c r="E74" s="40" t="n">
        <v>15.77</v>
      </c>
      <c r="F74" s="8">
        <f>IF(OR(C74="",D74="",E74="",N74="",C74&lt;=0,D74&lt;=0,E74&lt;=N74),"",ROUNDDOWN((C74*D74)/(E74-N74)/100,0)*100)</f>
        <v/>
      </c>
      <c r="G74" s="8">
        <f>IF(A74="","",IF(H74&lt;&gt;"","已开仓",IF(账户数据!$B$23="已锁仓","禁止开仓：连续亏损达到上限",IF(账户数据!$B$23="解锁信息不完整","禁止开仓：请完整填写解锁信息",IF(OR(F74="",E74="",N74="",E74&lt;=N74,账户数据!$B$7=""),"",IF(OR(AG74="",AH74="",AI74=""),"禁止开仓：交易预期未填写完整",IF(COUNTIFS(持仓跟踪!$A$2:$A$501,"止损计划",持仓跟踪!$B$2:$B$501,A74,持仓跟踪!$AC$2:$AC$501,"计划有效")=0,"禁止开仓：请先填写止损计划",IF(账户数据!$B$9+F74*(E74-N74)&gt;=账户数据!$B$7,"禁止开仓：风险额度不足",IF(AJ74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4" s="2" t="n">
        <v>4000</v>
      </c>
      <c r="I74" s="41" t="n">
        <v>45821</v>
      </c>
      <c r="J74" s="40" t="n">
        <v>17</v>
      </c>
      <c r="K74" s="40" t="n">
        <v>15.53</v>
      </c>
      <c r="L74" s="8">
        <f>IF(K74="","",H74)</f>
        <v/>
      </c>
      <c r="M74" s="41" t="n">
        <v>45827</v>
      </c>
      <c r="N74" s="40" t="n">
        <v>15</v>
      </c>
      <c r="O74" s="40" t="n"/>
      <c r="P74" s="40" t="n"/>
      <c r="Q74" s="2" t="n"/>
      <c r="R74" s="2" t="n"/>
      <c r="S74" s="2" t="n"/>
      <c r="T74" s="2" t="n"/>
      <c r="U74" s="7">
        <f>IF(OR(AO74="",J74="",AO74&lt;=0),"",(J74-AO74)/AO74)</f>
        <v/>
      </c>
      <c r="V74" s="7">
        <f>IF(OR(AO74="",N74="",AO74&lt;=0),"",(AO74-N74)/AO74)</f>
        <v/>
      </c>
      <c r="W74" s="13">
        <f>IF(OR(U74="",V74="",V74&lt;=0),"",U74/V74)</f>
        <v/>
      </c>
      <c r="X74" s="42">
        <f>IF(OR(K74="",L74="",AP74=""),"",K74*L74-(E74*H74+IF(AND(AK74&lt;&gt;"",AL74&lt;&gt;""),AK74*AL74,0)+IF(AND(AM74&lt;&gt;"",AN74&lt;&gt;""),AM74*AN74,0))-IF(O74="",0,O74)-IF(P74="",0,P74))</f>
        <v/>
      </c>
      <c r="Y74" s="7">
        <f>IF(OR(X74="",AP74=""),"",IF((E74*H74+IF(AND(AK74&lt;&gt;"",AL74&lt;&gt;""),AK74*AL74,0)+IF(AND(AM74&lt;&gt;"",AN74&lt;&gt;""),AM74*AN74,0))+IF(O74="",0,O74)&lt;=0,"",X74/((E74*H74+IF(AND(AK74&lt;&gt;"",AL74&lt;&gt;""),AK74*AL74,0)+IF(AND(AM74&lt;&gt;"",AN74&lt;&gt;""),AM74*AN74,0))+IF(O74="",0,O74))))</f>
        <v/>
      </c>
      <c r="Z74" s="7">
        <f>IF(OR(AE74="",多次统计数据!$B$8=""),"",AE74-多次统计数据!$B$8)</f>
        <v/>
      </c>
      <c r="AA74" s="14">
        <f>IF(OR(I74="",M74="",M74&lt;I74),"",M74-I74)</f>
        <v/>
      </c>
      <c r="AB74" s="7">
        <f>IF(OR(A74="",多次统计数据!$B$8="",多次统计数据!$B$6&lt;=0,多次统计数据!$B$6&gt;=1),"",1-POWER(1+多次统计数据!$B$8,-多次统计数据!$B$6/(1-多次统计数据!$B$6)))</f>
        <v/>
      </c>
      <c r="AC74" s="8">
        <f>IF(OR(AB74="",多次统计数据!$B$9=""),"",IF(多次统计数据!$B$9&lt;AB74,"低于上限","达到或超过上限"))</f>
        <v/>
      </c>
      <c r="AD74" s="2" t="n"/>
      <c r="AE74" s="7">
        <f>IF(OR(X74="",C74="",C74&lt;=0),"",X74/C74)</f>
        <v/>
      </c>
      <c r="AG74" s="28" t="n"/>
      <c r="AH74" s="28" t="n"/>
      <c r="AI74" s="28" t="n"/>
      <c r="AJ74" s="31">
        <f>IF(OR(AG74="",AH74=""),"",IF(OR(AND(AG74="短期博反弹",OR(AH74="1～3个交易日",AH74="4～10个交易日")),AND(AG74="突破冲新高",OR(AH74="4～10个交易日",AH74="11～20个交易日")),AND(AG74="趋势波段",OR(AH74="11～20个交易日",AH74="21～60个交易日",AH74="60个交易日以上"))),"匹配","周期与交易预期不匹配，请重新确认"))</f>
        <v/>
      </c>
      <c r="AK74" s="43" t="n"/>
      <c r="AL74" s="27" t="n"/>
      <c r="AM74" s="43" t="n"/>
      <c r="AN74" s="27" t="n"/>
      <c r="AO74" s="44">
        <f>IF(OR(A74="",H74="",H74&lt;=0),"",(E74*H74+IF(AND(AK74&lt;&gt;"",AL74&lt;&gt;""),AK74*AL74,0)+IF(AND(AM74&lt;&gt;"",AN74&lt;&gt;""),AM74*AN74,0))/AP74)</f>
        <v/>
      </c>
      <c r="AP74" s="26">
        <f>IF(OR(A74="",H74="",H74&lt;=0),"",H74+IF(AL74="",0,AL74)+IF(AN74="",0,AN74))</f>
        <v/>
      </c>
      <c r="AQ74" s="44">
        <f>IF(A74="","",IF(M74&lt;&gt;"",0,IF(OR(H74="",N74=""),"",MAX(E74-MAX(N74,IFERROR(AGGREGATE(14,6,'持仓跟踪'!$S$2:$S$501/(('持仓跟踪'!$A$2:$A$501="每日跟踪")*('持仓跟踪'!$B$2:$B$501=A74)),1),0)),0)*H74+IF(OR(AK74="",AL74=""),0,MAX(AK74-MAX(N74,IFERROR(AGGREGATE(14,6,'持仓跟踪'!$S$2:$S$501/(('持仓跟踪'!$A$2:$A$501="每日跟踪")*('持仓跟踪'!$B$2:$B$501=A74)),1),0)),0)*AL74)+IF(OR(AM74="",AN74=""),0,MAX(AM74-MAX(N74,IFERROR(AGGREGATE(14,6,'持仓跟踪'!$S$2:$S$501/(('持仓跟踪'!$A$2:$A$501="每日跟踪")*('持仓跟踪'!$B$2:$B$501=A74)),1),0)),0)*AN74))))</f>
        <v/>
      </c>
      <c r="AR74" s="31">
        <f>IF(A74="","",IF(OR(E74="",H74=""),"违规：第一批价格或股数缺失",IF(OR(AND(AK74="",AL74&lt;&gt;""),AND(AK74&lt;&gt;"",AL74="")),"违规：第二批价格与股数须成对填写",IF(OR(AND(AM74="",AN74&lt;&gt;""),AND(AM74&lt;&gt;"",AN74="")),"违规：第三批价格与股数须成对填写",IF(AND(OR(AM74&lt;&gt;"",AN74&lt;&gt;""),OR(AK74="",AL74="")),"违规：必须先完成第二批",IF(OR(H74&lt;=0,H74&lt;&gt;INT(H74),MOD(H74,100)&lt;&gt;0,AND(AL74&lt;&gt;"",OR(AL74&lt;=0,AL74&lt;&gt;INT(AL74),MOD(AL74,100)&lt;&gt;0)),AND(AN74&lt;&gt;"",OR(AN74&lt;=0,AN74&lt;&gt;INT(AN74),MOD(AN74,100)&lt;&gt;0))),"违规：股数须为100股整数倍",IF(AND(OR(AL74&lt;&gt;"",AN74&lt;&gt;""),OR(_LockStatus="已锁仓",_LockStatus="解锁信息不完整")),"违规：锁仓期间禁止加仓",IF(AQ74&gt;C74*D74,"违规：超过单笔风险上限",IF(SUM($AQ$2:$AQ$201)&gt;账户数据!$B$7,"违规：超过账户风险上限","通过")))))))))</f>
        <v/>
      </c>
    </row>
    <row r="75">
      <c r="A75" s="2" t="n">
        <v>74</v>
      </c>
      <c r="B75" s="11" t="inlineStr">
        <is>
          <t>东方电缆</t>
        </is>
      </c>
      <c r="C75" s="40" t="n">
        <v>155742</v>
      </c>
      <c r="D75" s="6" t="n">
        <v>0.02</v>
      </c>
      <c r="E75" s="40" t="n">
        <v>4.59</v>
      </c>
      <c r="F75" s="8">
        <f>IF(OR(C75="",D75="",E75="",N75="",C75&lt;=0,D75&lt;=0,E75&lt;=N75),"",ROUNDDOWN((C75*D75)/(E75-N75)/100,0)*100)</f>
        <v/>
      </c>
      <c r="G75" s="8">
        <f>IF(A75="","",IF(H75&lt;&gt;"","已开仓",IF(账户数据!$B$23="已锁仓","禁止开仓：连续亏损达到上限",IF(账户数据!$B$23="解锁信息不完整","禁止开仓：请完整填写解锁信息",IF(OR(F75="",E75="",N75="",E75&lt;=N75,账户数据!$B$7=""),"",IF(OR(AG75="",AH75="",AI75=""),"禁止开仓：交易预期未填写完整",IF(COUNTIFS(持仓跟踪!$A$2:$A$501,"止损计划",持仓跟踪!$B$2:$B$501,A75,持仓跟踪!$AC$2:$AC$501,"计划有效")=0,"禁止开仓：请先填写止损计划",IF(账户数据!$B$9+F75*(E75-N75)&gt;=账户数据!$B$7,"禁止开仓：风险额度不足",IF(AJ75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5" s="2" t="n">
        <v>5200</v>
      </c>
      <c r="I75" s="41" t="n">
        <v>42622</v>
      </c>
      <c r="J75" s="40" t="n">
        <v>5.5</v>
      </c>
      <c r="K75" s="40" t="n">
        <v>5.72</v>
      </c>
      <c r="L75" s="8">
        <f>IF(K75="","",H75)</f>
        <v/>
      </c>
      <c r="M75" s="41" t="n">
        <v>42788</v>
      </c>
      <c r="N75" s="40" t="n">
        <v>4</v>
      </c>
      <c r="O75" s="40" t="n"/>
      <c r="P75" s="40" t="n"/>
      <c r="Q75" s="2" t="n"/>
      <c r="R75" s="2" t="n"/>
      <c r="S75" s="2" t="n"/>
      <c r="T75" s="2" t="n"/>
      <c r="U75" s="7">
        <f>IF(OR(AO75="",J75="",AO75&lt;=0),"",(J75-AO75)/AO75)</f>
        <v/>
      </c>
      <c r="V75" s="7">
        <f>IF(OR(AO75="",N75="",AO75&lt;=0),"",(AO75-N75)/AO75)</f>
        <v/>
      </c>
      <c r="W75" s="13">
        <f>IF(OR(U75="",V75="",V75&lt;=0),"",U75/V75)</f>
        <v/>
      </c>
      <c r="X75" s="42">
        <f>IF(OR(K75="",L75="",AP75=""),"",K75*L75-(E75*H75+IF(AND(AK75&lt;&gt;"",AL75&lt;&gt;""),AK75*AL75,0)+IF(AND(AM75&lt;&gt;"",AN75&lt;&gt;""),AM75*AN75,0))-IF(O75="",0,O75)-IF(P75="",0,P75))</f>
        <v/>
      </c>
      <c r="Y75" s="7">
        <f>IF(OR(X75="",AP75=""),"",IF((E75*H75+IF(AND(AK75&lt;&gt;"",AL75&lt;&gt;""),AK75*AL75,0)+IF(AND(AM75&lt;&gt;"",AN75&lt;&gt;""),AM75*AN75,0))+IF(O75="",0,O75)&lt;=0,"",X75/((E75*H75+IF(AND(AK75&lt;&gt;"",AL75&lt;&gt;""),AK75*AL75,0)+IF(AND(AM75&lt;&gt;"",AN75&lt;&gt;""),AM75*AN75,0))+IF(O75="",0,O75))))</f>
        <v/>
      </c>
      <c r="Z75" s="7">
        <f>IF(OR(AE75="",多次统计数据!$B$8=""),"",AE75-多次统计数据!$B$8)</f>
        <v/>
      </c>
      <c r="AA75" s="14">
        <f>IF(OR(I75="",M75="",M75&lt;I75),"",M75-I75)</f>
        <v/>
      </c>
      <c r="AB75" s="7">
        <f>IF(OR(A75="",多次统计数据!$B$8="",多次统计数据!$B$6&lt;=0,多次统计数据!$B$6&gt;=1),"",1-POWER(1+多次统计数据!$B$8,-多次统计数据!$B$6/(1-多次统计数据!$B$6)))</f>
        <v/>
      </c>
      <c r="AC75" s="8">
        <f>IF(OR(AB75="",多次统计数据!$B$9=""),"",IF(多次统计数据!$B$9&lt;AB75,"低于上限","达到或超过上限"))</f>
        <v/>
      </c>
      <c r="AD75" s="2" t="inlineStr">
        <is>
          <t>5-优秀</t>
        </is>
      </c>
      <c r="AE75" s="7">
        <f>IF(OR(X75="",C75="",C75&lt;=0),"",X75/C75)</f>
        <v/>
      </c>
      <c r="AF75" s="12" t="inlineStr">
        <is>
          <t>完全按照预期来操作</t>
        </is>
      </c>
      <c r="AG75" s="28" t="n"/>
      <c r="AH75" s="28" t="n"/>
      <c r="AI75" s="28" t="n"/>
      <c r="AJ75" s="31">
        <f>IF(OR(AG75="",AH75=""),"",IF(OR(AND(AG75="短期博反弹",OR(AH75="1～3个交易日",AH75="4～10个交易日")),AND(AG75="突破冲新高",OR(AH75="4～10个交易日",AH75="11～20个交易日")),AND(AG75="趋势波段",OR(AH75="11～20个交易日",AH75="21～60个交易日",AH75="60个交易日以上"))),"匹配","周期与交易预期不匹配，请重新确认"))</f>
        <v/>
      </c>
      <c r="AK75" s="43" t="n"/>
      <c r="AL75" s="27" t="n"/>
      <c r="AM75" s="43" t="n"/>
      <c r="AN75" s="27" t="n"/>
      <c r="AO75" s="44">
        <f>IF(OR(A75="",H75="",H75&lt;=0),"",(E75*H75+IF(AND(AK75&lt;&gt;"",AL75&lt;&gt;""),AK75*AL75,0)+IF(AND(AM75&lt;&gt;"",AN75&lt;&gt;""),AM75*AN75,0))/AP75)</f>
        <v/>
      </c>
      <c r="AP75" s="26">
        <f>IF(OR(A75="",H75="",H75&lt;=0),"",H75+IF(AL75="",0,AL75)+IF(AN75="",0,AN75))</f>
        <v/>
      </c>
      <c r="AQ75" s="44">
        <f>IF(A75="","",IF(M75&lt;&gt;"",0,IF(OR(H75="",N75=""),"",MAX(E75-MAX(N75,IFERROR(AGGREGATE(14,6,'持仓跟踪'!$S$2:$S$501/(('持仓跟踪'!$A$2:$A$501="每日跟踪")*('持仓跟踪'!$B$2:$B$501=A75)),1),0)),0)*H75+IF(OR(AK75="",AL75=""),0,MAX(AK75-MAX(N75,IFERROR(AGGREGATE(14,6,'持仓跟踪'!$S$2:$S$501/(('持仓跟踪'!$A$2:$A$501="每日跟踪")*('持仓跟踪'!$B$2:$B$501=A75)),1),0)),0)*AL75)+IF(OR(AM75="",AN75=""),0,MAX(AM75-MAX(N75,IFERROR(AGGREGATE(14,6,'持仓跟踪'!$S$2:$S$501/(('持仓跟踪'!$A$2:$A$501="每日跟踪")*('持仓跟踪'!$B$2:$B$501=A75)),1),0)),0)*AN75))))</f>
        <v/>
      </c>
      <c r="AR75" s="31">
        <f>IF(A75="","",IF(OR(E75="",H75=""),"违规：第一批价格或股数缺失",IF(OR(AND(AK75="",AL75&lt;&gt;""),AND(AK75&lt;&gt;"",AL75="")),"违规：第二批价格与股数须成对填写",IF(OR(AND(AM75="",AN75&lt;&gt;""),AND(AM75&lt;&gt;"",AN75="")),"违规：第三批价格与股数须成对填写",IF(AND(OR(AM75&lt;&gt;"",AN75&lt;&gt;""),OR(AK75="",AL75="")),"违规：必须先完成第二批",IF(OR(H75&lt;=0,H75&lt;&gt;INT(H75),MOD(H75,100)&lt;&gt;0,AND(AL75&lt;&gt;"",OR(AL75&lt;=0,AL75&lt;&gt;INT(AL75),MOD(AL75,100)&lt;&gt;0)),AND(AN75&lt;&gt;"",OR(AN75&lt;=0,AN75&lt;&gt;INT(AN75),MOD(AN75,100)&lt;&gt;0))),"违规：股数须为100股整数倍",IF(AND(OR(AL75&lt;&gt;"",AN75&lt;&gt;""),OR(_LockStatus="已锁仓",_LockStatus="解锁信息不完整")),"违规：锁仓期间禁止加仓",IF(AQ75&gt;C75*D75,"违规：超过单笔风险上限",IF(SUM($AQ$2:$AQ$201)&gt;账户数据!$B$7,"违规：超过账户风险上限","通过")))))))))</f>
        <v/>
      </c>
    </row>
    <row r="76">
      <c r="A76" s="2" t="n">
        <v>75</v>
      </c>
      <c r="B76" s="11" t="inlineStr">
        <is>
          <t>神马电力</t>
        </is>
      </c>
      <c r="C76" s="40" t="n">
        <v>161618</v>
      </c>
      <c r="D76" s="6" t="n">
        <v>0.02</v>
      </c>
      <c r="E76" s="40" t="n">
        <v>18.75</v>
      </c>
      <c r="F76" s="8">
        <f>IF(OR(C76="",D76="",E76="",N76="",C76&lt;=0,D76&lt;=0,E76&lt;=N76),"",ROUNDDOWN((C76*D76)/(E76-N76)/100,0)*100)</f>
        <v/>
      </c>
      <c r="G76" s="8">
        <f>IF(A76="","",IF(H76&lt;&gt;"","已开仓",IF(账户数据!$B$23="已锁仓","禁止开仓：连续亏损达到上限",IF(账户数据!$B$23="解锁信息不完整","禁止开仓：请完整填写解锁信息",IF(OR(F76="",E76="",N76="",E76&lt;=N76,账户数据!$B$7=""),"",IF(OR(AG76="",AH76="",AI76=""),"禁止开仓：交易预期未填写完整",IF(COUNTIFS(持仓跟踪!$A$2:$A$501,"止损计划",持仓跟踪!$B$2:$B$501,A76,持仓跟踪!$AC$2:$AC$501,"计划有效")=0,"禁止开仓：请先填写止损计划",IF(账户数据!$B$9+F76*(E76-N76)&gt;=账户数据!$B$7,"禁止开仓：风险额度不足",IF(AJ76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6" s="2" t="n">
        <v>1800</v>
      </c>
      <c r="I76" s="41" t="n">
        <v>44032</v>
      </c>
      <c r="J76" s="40" t="n">
        <v>24</v>
      </c>
      <c r="K76" s="40" t="n">
        <v>16.88</v>
      </c>
      <c r="L76" s="8">
        <f>IF(K76="","",H76)</f>
        <v/>
      </c>
      <c r="M76" s="41" t="n">
        <v>44299</v>
      </c>
      <c r="N76" s="40" t="n">
        <v>17</v>
      </c>
      <c r="O76" s="40" t="n"/>
      <c r="P76" s="40" t="n"/>
      <c r="Q76" s="2" t="n"/>
      <c r="R76" s="2" t="n"/>
      <c r="S76" s="2" t="n"/>
      <c r="T76" s="2" t="n"/>
      <c r="U76" s="7">
        <f>IF(OR(AO76="",J76="",AO76&lt;=0),"",(J76-AO76)/AO76)</f>
        <v/>
      </c>
      <c r="V76" s="7">
        <f>IF(OR(AO76="",N76="",AO76&lt;=0),"",(AO76-N76)/AO76)</f>
        <v/>
      </c>
      <c r="W76" s="13">
        <f>IF(OR(U76="",V76="",V76&lt;=0),"",U76/V76)</f>
        <v/>
      </c>
      <c r="X76" s="42">
        <f>IF(OR(K76="",L76="",AP76=""),"",K76*L76-(E76*H76+IF(AND(AK76&lt;&gt;"",AL76&lt;&gt;""),AK76*AL76,0)+IF(AND(AM76&lt;&gt;"",AN76&lt;&gt;""),AM76*AN76,0))-IF(O76="",0,O76)-IF(P76="",0,P76))</f>
        <v/>
      </c>
      <c r="Y76" s="7">
        <f>IF(OR(X76="",AP76=""),"",IF((E76*H76+IF(AND(AK76&lt;&gt;"",AL76&lt;&gt;""),AK76*AL76,0)+IF(AND(AM76&lt;&gt;"",AN76&lt;&gt;""),AM76*AN76,0))+IF(O76="",0,O76)&lt;=0,"",X76/((E76*H76+IF(AND(AK76&lt;&gt;"",AL76&lt;&gt;""),AK76*AL76,0)+IF(AND(AM76&lt;&gt;"",AN76&lt;&gt;""),AM76*AN76,0))+IF(O76="",0,O76))))</f>
        <v/>
      </c>
      <c r="Z76" s="7">
        <f>IF(OR(AE76="",多次统计数据!$B$8=""),"",AE76-多次统计数据!$B$8)</f>
        <v/>
      </c>
      <c r="AA76" s="14">
        <f>IF(OR(I76="",M76="",M76&lt;I76),"",M76-I76)</f>
        <v/>
      </c>
      <c r="AB76" s="7">
        <f>IF(OR(A76="",多次统计数据!$B$8="",多次统计数据!$B$6&lt;=0,多次统计数据!$B$6&gt;=1),"",1-POWER(1+多次统计数据!$B$8,-多次统计数据!$B$6/(1-多次统计数据!$B$6)))</f>
        <v/>
      </c>
      <c r="AC76" s="8">
        <f>IF(OR(AB76="",多次统计数据!$B$9=""),"",IF(多次统计数据!$B$9&lt;AB76,"低于上限","达到或超过上限"))</f>
        <v/>
      </c>
      <c r="AD76" s="2" t="inlineStr">
        <is>
          <t>3-一般</t>
        </is>
      </c>
      <c r="AE76" s="7">
        <f>IF(OR(X76="",C76="",C76&lt;=0),"",X76/C76)</f>
        <v/>
      </c>
      <c r="AF76" s="12" t="inlineStr">
        <is>
          <t>现象不是那么完美</t>
        </is>
      </c>
      <c r="AG76" s="28" t="n"/>
      <c r="AH76" s="28" t="n"/>
      <c r="AI76" s="28" t="n"/>
      <c r="AJ76" s="31">
        <f>IF(OR(AG76="",AH76=""),"",IF(OR(AND(AG76="短期博反弹",OR(AH76="1～3个交易日",AH76="4～10个交易日")),AND(AG76="突破冲新高",OR(AH76="4～10个交易日",AH76="11～20个交易日")),AND(AG76="趋势波段",OR(AH76="11～20个交易日",AH76="21～60个交易日",AH76="60个交易日以上"))),"匹配","周期与交易预期不匹配，请重新确认"))</f>
        <v/>
      </c>
      <c r="AK76" s="43" t="n"/>
      <c r="AL76" s="27" t="n"/>
      <c r="AM76" s="43" t="n"/>
      <c r="AN76" s="27" t="n"/>
      <c r="AO76" s="44">
        <f>IF(OR(A76="",H76="",H76&lt;=0),"",(E76*H76+IF(AND(AK76&lt;&gt;"",AL76&lt;&gt;""),AK76*AL76,0)+IF(AND(AM76&lt;&gt;"",AN76&lt;&gt;""),AM76*AN76,0))/AP76)</f>
        <v/>
      </c>
      <c r="AP76" s="26">
        <f>IF(OR(A76="",H76="",H76&lt;=0),"",H76+IF(AL76="",0,AL76)+IF(AN76="",0,AN76))</f>
        <v/>
      </c>
      <c r="AQ76" s="44">
        <f>IF(A76="","",IF(M76&lt;&gt;"",0,IF(OR(H76="",N76=""),"",MAX(E76-MAX(N76,IFERROR(AGGREGATE(14,6,'持仓跟踪'!$S$2:$S$501/(('持仓跟踪'!$A$2:$A$501="每日跟踪")*('持仓跟踪'!$B$2:$B$501=A76)),1),0)),0)*H76+IF(OR(AK76="",AL76=""),0,MAX(AK76-MAX(N76,IFERROR(AGGREGATE(14,6,'持仓跟踪'!$S$2:$S$501/(('持仓跟踪'!$A$2:$A$501="每日跟踪")*('持仓跟踪'!$B$2:$B$501=A76)),1),0)),0)*AL76)+IF(OR(AM76="",AN76=""),0,MAX(AM76-MAX(N76,IFERROR(AGGREGATE(14,6,'持仓跟踪'!$S$2:$S$501/(('持仓跟踪'!$A$2:$A$501="每日跟踪")*('持仓跟踪'!$B$2:$B$501=A76)),1),0)),0)*AN76))))</f>
        <v/>
      </c>
      <c r="AR76" s="31">
        <f>IF(A76="","",IF(OR(E76="",H76=""),"违规：第一批价格或股数缺失",IF(OR(AND(AK76="",AL76&lt;&gt;""),AND(AK76&lt;&gt;"",AL76="")),"违规：第二批价格与股数须成对填写",IF(OR(AND(AM76="",AN76&lt;&gt;""),AND(AM76&lt;&gt;"",AN76="")),"违规：第三批价格与股数须成对填写",IF(AND(OR(AM76&lt;&gt;"",AN76&lt;&gt;""),OR(AK76="",AL76="")),"违规：必须先完成第二批",IF(OR(H76&lt;=0,H76&lt;&gt;INT(H76),MOD(H76,100)&lt;&gt;0,AND(AL76&lt;&gt;"",OR(AL76&lt;=0,AL76&lt;&gt;INT(AL76),MOD(AL76,100)&lt;&gt;0)),AND(AN76&lt;&gt;"",OR(AN76&lt;=0,AN76&lt;&gt;INT(AN76),MOD(AN76,100)&lt;&gt;0))),"违规：股数须为100股整数倍",IF(AND(OR(AL76&lt;&gt;"",AN76&lt;&gt;""),OR(_LockStatus="已锁仓",_LockStatus="解锁信息不完整")),"违规：锁仓期间禁止加仓",IF(AQ76&gt;C76*D76,"违规：超过单笔风险上限",IF(SUM($AQ$2:$AQ$201)&gt;账户数据!$B$7,"违规：超过账户风险上限","通过")))))))))</f>
        <v/>
      </c>
    </row>
    <row r="77">
      <c r="A77" s="2" t="n">
        <v>76</v>
      </c>
      <c r="B77" s="11" t="inlineStr">
        <is>
          <t>景旺电子</t>
        </is>
      </c>
      <c r="C77" s="40" t="n">
        <v>158252</v>
      </c>
      <c r="D77" s="6" t="n">
        <v>0.02</v>
      </c>
      <c r="E77" s="40" t="n">
        <v>26.05</v>
      </c>
      <c r="F77" s="8">
        <f>IF(OR(C77="",D77="",E77="",N77="",C77&lt;=0,D77&lt;=0,E77&lt;=N77),"",ROUNDDOWN((C77*D77)/(E77-N77)/100,0)*100)</f>
        <v/>
      </c>
      <c r="G77" s="8">
        <f>IF(A77="","",IF(H77&lt;&gt;"","已开仓",IF(账户数据!$B$23="已锁仓","禁止开仓：连续亏损达到上限",IF(账户数据!$B$23="解锁信息不完整","禁止开仓：请完整填写解锁信息",IF(OR(F77="",E77="",N77="",E77&lt;=N77,账户数据!$B$7=""),"",IF(OR(AG77="",AH77="",AI77=""),"禁止开仓：交易预期未填写完整",IF(COUNTIFS(持仓跟踪!$A$2:$A$501,"止损计划",持仓跟踪!$B$2:$B$501,A77,持仓跟踪!$AC$2:$AC$501,"计划有效")=0,"禁止开仓：请先填写止损计划",IF(账户数据!$B$9+F77*(E77-N77)&gt;=账户数据!$B$7,"禁止开仓：风险额度不足",IF(AJ77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7" s="2" t="n">
        <v>1500</v>
      </c>
      <c r="I77" s="41" t="n">
        <v>44399</v>
      </c>
      <c r="J77" s="40" t="n">
        <v>30</v>
      </c>
      <c r="K77" s="40" t="n">
        <v>23.4</v>
      </c>
      <c r="L77" s="8">
        <f>IF(K77="","",H77)</f>
        <v/>
      </c>
      <c r="M77" s="41" t="n">
        <v>44428</v>
      </c>
      <c r="N77" s="40" t="n">
        <v>24</v>
      </c>
      <c r="O77" s="40" t="n"/>
      <c r="P77" s="40" t="n"/>
      <c r="Q77" s="2" t="n"/>
      <c r="R77" s="2" t="n"/>
      <c r="S77" s="2" t="n"/>
      <c r="T77" s="2" t="n"/>
      <c r="U77" s="7">
        <f>IF(OR(AO77="",J77="",AO77&lt;=0),"",(J77-AO77)/AO77)</f>
        <v/>
      </c>
      <c r="V77" s="7">
        <f>IF(OR(AO77="",N77="",AO77&lt;=0),"",(AO77-N77)/AO77)</f>
        <v/>
      </c>
      <c r="W77" s="13">
        <f>IF(OR(U77="",V77="",V77&lt;=0),"",U77/V77)</f>
        <v/>
      </c>
      <c r="X77" s="42">
        <f>IF(OR(K77="",L77="",AP77=""),"",K77*L77-(E77*H77+IF(AND(AK77&lt;&gt;"",AL77&lt;&gt;""),AK77*AL77,0)+IF(AND(AM77&lt;&gt;"",AN77&lt;&gt;""),AM77*AN77,0))-IF(O77="",0,O77)-IF(P77="",0,P77))</f>
        <v/>
      </c>
      <c r="Y77" s="7">
        <f>IF(OR(X77="",AP77=""),"",IF((E77*H77+IF(AND(AK77&lt;&gt;"",AL77&lt;&gt;""),AK77*AL77,0)+IF(AND(AM77&lt;&gt;"",AN77&lt;&gt;""),AM77*AN77,0))+IF(O77="",0,O77)&lt;=0,"",X77/((E77*H77+IF(AND(AK77&lt;&gt;"",AL77&lt;&gt;""),AK77*AL77,0)+IF(AND(AM77&lt;&gt;"",AN77&lt;&gt;""),AM77*AN77,0))+IF(O77="",0,O77))))</f>
        <v/>
      </c>
      <c r="Z77" s="7">
        <f>IF(OR(AE77="",多次统计数据!$B$8=""),"",AE77-多次统计数据!$B$8)</f>
        <v/>
      </c>
      <c r="AA77" s="14">
        <f>IF(OR(I77="",M77="",M77&lt;I77),"",M77-I77)</f>
        <v/>
      </c>
      <c r="AB77" s="7">
        <f>IF(OR(A77="",多次统计数据!$B$8="",多次统计数据!$B$6&lt;=0,多次统计数据!$B$6&gt;=1),"",1-POWER(1+多次统计数据!$B$8,-多次统计数据!$B$6/(1-多次统计数据!$B$6)))</f>
        <v/>
      </c>
      <c r="AC77" s="8">
        <f>IF(OR(AB77="",多次统计数据!$B$9=""),"",IF(多次统计数据!$B$9&lt;AB77,"低于上限","达到或超过上限"))</f>
        <v/>
      </c>
      <c r="AD77" s="2" t="inlineStr">
        <is>
          <t>1-差</t>
        </is>
      </c>
      <c r="AE77" s="7">
        <f>IF(OR(X77="",C77="",C77&lt;=0),"",X77/C77)</f>
        <v/>
      </c>
      <c r="AF77" s="12" t="inlineStr">
        <is>
          <t>1.期待超级上涨，判断正确的情况，后续动力不足没有发现，没有及时止盈</t>
        </is>
      </c>
      <c r="AG77" s="28" t="n"/>
      <c r="AH77" s="28" t="n"/>
      <c r="AI77" s="28" t="n"/>
      <c r="AJ77" s="31">
        <f>IF(OR(AG77="",AH77=""),"",IF(OR(AND(AG77="短期博反弹",OR(AH77="1～3个交易日",AH77="4～10个交易日")),AND(AG77="突破冲新高",OR(AH77="4～10个交易日",AH77="11～20个交易日")),AND(AG77="趋势波段",OR(AH77="11～20个交易日",AH77="21～60个交易日",AH77="60个交易日以上"))),"匹配","周期与交易预期不匹配，请重新确认"))</f>
        <v/>
      </c>
      <c r="AK77" s="43" t="n"/>
      <c r="AL77" s="27" t="n"/>
      <c r="AM77" s="43" t="n"/>
      <c r="AN77" s="27" t="n"/>
      <c r="AO77" s="44">
        <f>IF(OR(A77="",H77="",H77&lt;=0),"",(E77*H77+IF(AND(AK77&lt;&gt;"",AL77&lt;&gt;""),AK77*AL77,0)+IF(AND(AM77&lt;&gt;"",AN77&lt;&gt;""),AM77*AN77,0))/AP77)</f>
        <v/>
      </c>
      <c r="AP77" s="26">
        <f>IF(OR(A77="",H77="",H77&lt;=0),"",H77+IF(AL77="",0,AL77)+IF(AN77="",0,AN77))</f>
        <v/>
      </c>
      <c r="AQ77" s="44">
        <f>IF(A77="","",IF(M77&lt;&gt;"",0,IF(OR(H77="",N77=""),"",MAX(E77-MAX(N77,IFERROR(AGGREGATE(14,6,'持仓跟踪'!$S$2:$S$501/(('持仓跟踪'!$A$2:$A$501="每日跟踪")*('持仓跟踪'!$B$2:$B$501=A77)),1),0)),0)*H77+IF(OR(AK77="",AL77=""),0,MAX(AK77-MAX(N77,IFERROR(AGGREGATE(14,6,'持仓跟踪'!$S$2:$S$501/(('持仓跟踪'!$A$2:$A$501="每日跟踪")*('持仓跟踪'!$B$2:$B$501=A77)),1),0)),0)*AL77)+IF(OR(AM77="",AN77=""),0,MAX(AM77-MAX(N77,IFERROR(AGGREGATE(14,6,'持仓跟踪'!$S$2:$S$501/(('持仓跟踪'!$A$2:$A$501="每日跟踪")*('持仓跟踪'!$B$2:$B$501=A77)),1),0)),0)*AN77))))</f>
        <v/>
      </c>
      <c r="AR77" s="31">
        <f>IF(A77="","",IF(OR(E77="",H77=""),"违规：第一批价格或股数缺失",IF(OR(AND(AK77="",AL77&lt;&gt;""),AND(AK77&lt;&gt;"",AL77="")),"违规：第二批价格与股数须成对填写",IF(OR(AND(AM77="",AN77&lt;&gt;""),AND(AM77&lt;&gt;"",AN77="")),"违规：第三批价格与股数须成对填写",IF(AND(OR(AM77&lt;&gt;"",AN77&lt;&gt;""),OR(AK77="",AL77="")),"违规：必须先完成第二批",IF(OR(H77&lt;=0,H77&lt;&gt;INT(H77),MOD(H77,100)&lt;&gt;0,AND(AL77&lt;&gt;"",OR(AL77&lt;=0,AL77&lt;&gt;INT(AL77),MOD(AL77,100)&lt;&gt;0)),AND(AN77&lt;&gt;"",OR(AN77&lt;=0,AN77&lt;&gt;INT(AN77),MOD(AN77,100)&lt;&gt;0))),"违规：股数须为100股整数倍",IF(AND(OR(AL77&lt;&gt;"",AN77&lt;&gt;""),OR(_LockStatus="已锁仓",_LockStatus="解锁信息不完整")),"违规：锁仓期间禁止加仓",IF(AQ77&gt;C77*D77,"违规：超过单笔风险上限",IF(SUM($AQ$2:$AQ$201)&gt;账户数据!$B$7,"违规：超过账户风险上限","通过")))))))))</f>
        <v/>
      </c>
    </row>
    <row r="78">
      <c r="A78" s="2" t="n">
        <v>77</v>
      </c>
      <c r="B78" s="2" t="inlineStr">
        <is>
          <t>爱旭股份</t>
        </is>
      </c>
      <c r="C78" s="40" t="n">
        <v>154277</v>
      </c>
      <c r="D78" s="6" t="n">
        <v>0.02</v>
      </c>
      <c r="E78" s="40" t="n">
        <v>2.75</v>
      </c>
      <c r="F78" s="8">
        <f>IF(OR(C78="",D78="",E78="",N78="",C78&lt;=0,D78&lt;=0,E78&lt;=N78),"",ROUNDDOWN((C78*D78)/(E78-N78)/100,0)*100)</f>
        <v/>
      </c>
      <c r="G78" s="8">
        <f>IF(A78="","",IF(H78&lt;&gt;"","已开仓",IF(账户数据!$B$23="已锁仓","禁止开仓：连续亏损达到上限",IF(账户数据!$B$23="解锁信息不完整","禁止开仓：请完整填写解锁信息",IF(OR(F78="",E78="",N78="",E78&lt;=N78,账户数据!$B$7=""),"",IF(OR(AG78="",AH78="",AI78=""),"禁止开仓：交易预期未填写完整",IF(COUNTIFS(持仓跟踪!$A$2:$A$501,"止损计划",持仓跟踪!$B$2:$B$501,A78,持仓跟踪!$AC$2:$AC$501,"计划有效")=0,"禁止开仓：请先填写止损计划",IF(账户数据!$B$9+F78*(E78-N78)&gt;=账户数据!$B$7,"禁止开仓：风险额度不足",IF(AJ78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8" s="2" t="n">
        <v>12300</v>
      </c>
      <c r="I78" s="41" t="n">
        <v>43419</v>
      </c>
      <c r="J78" s="40" t="n">
        <v>3</v>
      </c>
      <c r="K78" s="40" t="n">
        <v>2.81</v>
      </c>
      <c r="L78" s="8">
        <f>IF(K78="","",H78)</f>
        <v/>
      </c>
      <c r="M78" s="41" t="n">
        <v>43440</v>
      </c>
      <c r="N78" s="40" t="n">
        <v>2.5</v>
      </c>
      <c r="O78" s="40" t="n"/>
      <c r="P78" s="40" t="n"/>
      <c r="Q78" s="2" t="n"/>
      <c r="R78" s="2" t="n"/>
      <c r="S78" s="2" t="n"/>
      <c r="T78" s="2" t="n"/>
      <c r="U78" s="7">
        <f>IF(OR(AO78="",J78="",AO78&lt;=0),"",(J78-AO78)/AO78)</f>
        <v/>
      </c>
      <c r="V78" s="7">
        <f>IF(OR(AO78="",N78="",AO78&lt;=0),"",(AO78-N78)/AO78)</f>
        <v/>
      </c>
      <c r="W78" s="13">
        <f>IF(OR(U78="",V78="",V78&lt;=0),"",U78/V78)</f>
        <v/>
      </c>
      <c r="X78" s="42">
        <f>IF(OR(K78="",L78="",AP78=""),"",K78*L78-(E78*H78+IF(AND(AK78&lt;&gt;"",AL78&lt;&gt;""),AK78*AL78,0)+IF(AND(AM78&lt;&gt;"",AN78&lt;&gt;""),AM78*AN78,0))-IF(O78="",0,O78)-IF(P78="",0,P78))</f>
        <v/>
      </c>
      <c r="Y78" s="7">
        <f>IF(OR(X78="",AP78=""),"",IF((E78*H78+IF(AND(AK78&lt;&gt;"",AL78&lt;&gt;""),AK78*AL78,0)+IF(AND(AM78&lt;&gt;"",AN78&lt;&gt;""),AM78*AN78,0))+IF(O78="",0,O78)&lt;=0,"",X78/((E78*H78+IF(AND(AK78&lt;&gt;"",AL78&lt;&gt;""),AK78*AL78,0)+IF(AND(AM78&lt;&gt;"",AN78&lt;&gt;""),AM78*AN78,0))+IF(O78="",0,O78))))</f>
        <v/>
      </c>
      <c r="Z78" s="7">
        <f>IF(OR(AE78="",多次统计数据!$B$8=""),"",AE78-多次统计数据!$B$8)</f>
        <v/>
      </c>
      <c r="AA78" s="14">
        <f>IF(OR(I78="",M78="",M78&lt;I78),"",M78-I78)</f>
        <v/>
      </c>
      <c r="AB78" s="7">
        <f>IF(OR(A78="",多次统计数据!$B$8="",多次统计数据!$B$6&lt;=0,多次统计数据!$B$6&gt;=1),"",1-POWER(1+多次统计数据!$B$8,-多次统计数据!$B$6/(1-多次统计数据!$B$6)))</f>
        <v/>
      </c>
      <c r="AC78" s="8">
        <f>IF(OR(AB78="",多次统计数据!$B$9=""),"",IF(多次统计数据!$B$9&lt;AB78,"低于上限","达到或超过上限"))</f>
        <v/>
      </c>
      <c r="AD78" s="2" t="inlineStr">
        <is>
          <t>5-优秀</t>
        </is>
      </c>
      <c r="AE78" s="7">
        <f>IF(OR(X78="",C78="",C78&lt;=0),"",X78/C78)</f>
        <v/>
      </c>
      <c r="AF78" t="inlineStr">
        <is>
          <t>完全考虑了后续发展</t>
        </is>
      </c>
      <c r="AG78" s="28" t="n"/>
      <c r="AH78" s="28" t="n"/>
      <c r="AI78" s="28" t="n"/>
      <c r="AJ78" s="31">
        <f>IF(OR(AG78="",AH78=""),"",IF(OR(AND(AG78="短期博反弹",OR(AH78="1～3个交易日",AH78="4～10个交易日")),AND(AG78="突破冲新高",OR(AH78="4～10个交易日",AH78="11～20个交易日")),AND(AG78="趋势波段",OR(AH78="11～20个交易日",AH78="21～60个交易日",AH78="60个交易日以上"))),"匹配","周期与交易预期不匹配，请重新确认"))</f>
        <v/>
      </c>
      <c r="AK78" s="43" t="n"/>
      <c r="AL78" s="27" t="n"/>
      <c r="AM78" s="43" t="n"/>
      <c r="AN78" s="27" t="n"/>
      <c r="AO78" s="44">
        <f>IF(OR(A78="",H78="",H78&lt;=0),"",(E78*H78+IF(AND(AK78&lt;&gt;"",AL78&lt;&gt;""),AK78*AL78,0)+IF(AND(AM78&lt;&gt;"",AN78&lt;&gt;""),AM78*AN78,0))/AP78)</f>
        <v/>
      </c>
      <c r="AP78" s="26">
        <f>IF(OR(A78="",H78="",H78&lt;=0),"",H78+IF(AL78="",0,AL78)+IF(AN78="",0,AN78))</f>
        <v/>
      </c>
      <c r="AQ78" s="44">
        <f>IF(A78="","",IF(M78&lt;&gt;"",0,IF(OR(H78="",N78=""),"",MAX(E78-MAX(N78,IFERROR(AGGREGATE(14,6,'持仓跟踪'!$S$2:$S$501/(('持仓跟踪'!$A$2:$A$501="每日跟踪")*('持仓跟踪'!$B$2:$B$501=A78)),1),0)),0)*H78+IF(OR(AK78="",AL78=""),0,MAX(AK78-MAX(N78,IFERROR(AGGREGATE(14,6,'持仓跟踪'!$S$2:$S$501/(('持仓跟踪'!$A$2:$A$501="每日跟踪")*('持仓跟踪'!$B$2:$B$501=A78)),1),0)),0)*AL78)+IF(OR(AM78="",AN78=""),0,MAX(AM78-MAX(N78,IFERROR(AGGREGATE(14,6,'持仓跟踪'!$S$2:$S$501/(('持仓跟踪'!$A$2:$A$501="每日跟踪")*('持仓跟踪'!$B$2:$B$501=A78)),1),0)),0)*AN78))))</f>
        <v/>
      </c>
      <c r="AR78" s="31">
        <f>IF(A78="","",IF(OR(E78="",H78=""),"违规：第一批价格或股数缺失",IF(OR(AND(AK78="",AL78&lt;&gt;""),AND(AK78&lt;&gt;"",AL78="")),"违规：第二批价格与股数须成对填写",IF(OR(AND(AM78="",AN78&lt;&gt;""),AND(AM78&lt;&gt;"",AN78="")),"违规：第三批价格与股数须成对填写",IF(AND(OR(AM78&lt;&gt;"",AN78&lt;&gt;""),OR(AK78="",AL78="")),"违规：必须先完成第二批",IF(OR(H78&lt;=0,H78&lt;&gt;INT(H78),MOD(H78,100)&lt;&gt;0,AND(AL78&lt;&gt;"",OR(AL78&lt;=0,AL78&lt;&gt;INT(AL78),MOD(AL78,100)&lt;&gt;0)),AND(AN78&lt;&gt;"",OR(AN78&lt;=0,AN78&lt;&gt;INT(AN78),MOD(AN78,100)&lt;&gt;0))),"违规：股数须为100股整数倍",IF(AND(OR(AL78&lt;&gt;"",AN78&lt;&gt;""),OR(_LockStatus="已锁仓",_LockStatus="解锁信息不完整")),"违规：锁仓期间禁止加仓",IF(AQ78&gt;C78*D78,"违规：超过单笔风险上限",IF(SUM($AQ$2:$AQ$201)&gt;账户数据!$B$7,"违规：超过账户风险上限","通过")))))))))</f>
        <v/>
      </c>
    </row>
    <row r="79">
      <c r="A79" s="2" t="n">
        <v>78</v>
      </c>
      <c r="B79" s="2" t="inlineStr">
        <is>
          <t>爱旭股份</t>
        </is>
      </c>
      <c r="C79" s="40" t="n">
        <v>155015</v>
      </c>
      <c r="D79" s="6" t="n">
        <v>0.02</v>
      </c>
      <c r="E79" s="40" t="n">
        <v>2.73</v>
      </c>
      <c r="F79" s="8">
        <f>IF(OR(C79="",D79="",E79="",N79="",C79&lt;=0,D79&lt;=0,E79&lt;=N79),"",ROUNDDOWN((C79*D79)/(E79-N79)/100,0)*100)</f>
        <v/>
      </c>
      <c r="G79" s="8">
        <f>IF(A79="","",IF(H79&lt;&gt;"","已开仓",IF(账户数据!$B$23="已锁仓","禁止开仓：连续亏损达到上限",IF(账户数据!$B$23="解锁信息不完整","禁止开仓：请完整填写解锁信息",IF(OR(F79="",E79="",N79="",E79&lt;=N79,账户数据!$B$7=""),"",IF(OR(AG79="",AH79="",AI79=""),"禁止开仓：交易预期未填写完整",IF(COUNTIFS(持仓跟踪!$A$2:$A$501,"止损计划",持仓跟踪!$B$2:$B$501,A79,持仓跟踪!$AC$2:$AC$501,"计划有效")=0,"禁止开仓：请先填写止损计划",IF(账户数据!$B$9+F79*(E79-N79)&gt;=账户数据!$B$7,"禁止开仓：风险额度不足",IF(AJ79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79" s="2" t="n">
        <v>13400</v>
      </c>
      <c r="I79" s="41" t="n">
        <v>43460</v>
      </c>
      <c r="J79" s="40" t="n">
        <v>3</v>
      </c>
      <c r="K79" s="40" t="n">
        <v>3.31</v>
      </c>
      <c r="L79" s="8">
        <f>IF(K79="","",H79)</f>
        <v/>
      </c>
      <c r="M79" s="41" t="n">
        <v>43486</v>
      </c>
      <c r="N79" s="40" t="n">
        <v>2.5</v>
      </c>
      <c r="O79" s="40" t="n"/>
      <c r="P79" s="40" t="n"/>
      <c r="Q79" s="2" t="n"/>
      <c r="R79" s="2" t="n"/>
      <c r="S79" s="2" t="n"/>
      <c r="T79" s="2" t="n"/>
      <c r="U79" s="7">
        <f>IF(OR(AO79="",J79="",AO79&lt;=0),"",(J79-AO79)/AO79)</f>
        <v/>
      </c>
      <c r="V79" s="7">
        <f>IF(OR(AO79="",N79="",AO79&lt;=0),"",(AO79-N79)/AO79)</f>
        <v/>
      </c>
      <c r="W79" s="13">
        <f>IF(OR(U79="",V79="",V79&lt;=0),"",U79/V79)</f>
        <v/>
      </c>
      <c r="X79" s="42">
        <f>IF(OR(K79="",L79="",AP79=""),"",K79*L79-(E79*H79+IF(AND(AK79&lt;&gt;"",AL79&lt;&gt;""),AK79*AL79,0)+IF(AND(AM79&lt;&gt;"",AN79&lt;&gt;""),AM79*AN79,0))-IF(O79="",0,O79)-IF(P79="",0,P79))</f>
        <v/>
      </c>
      <c r="Y79" s="7">
        <f>IF(OR(X79="",AP79=""),"",IF((E79*H79+IF(AND(AK79&lt;&gt;"",AL79&lt;&gt;""),AK79*AL79,0)+IF(AND(AM79&lt;&gt;"",AN79&lt;&gt;""),AM79*AN79,0))+IF(O79="",0,O79)&lt;=0,"",X79/((E79*H79+IF(AND(AK79&lt;&gt;"",AL79&lt;&gt;""),AK79*AL79,0)+IF(AND(AM79&lt;&gt;"",AN79&lt;&gt;""),AM79*AN79,0))+IF(O79="",0,O79))))</f>
        <v/>
      </c>
      <c r="Z79" s="7">
        <f>IF(OR(AE79="",多次统计数据!$B$8=""),"",AE79-多次统计数据!$B$8)</f>
        <v/>
      </c>
      <c r="AA79" s="14">
        <f>IF(OR(I79="",M79="",M79&lt;I79),"",M79-I79)</f>
        <v/>
      </c>
      <c r="AB79" s="7">
        <f>IF(OR(A79="",多次统计数据!$B$8="",多次统计数据!$B$6&lt;=0,多次统计数据!$B$6&gt;=1),"",1-POWER(1+多次统计数据!$B$8,-多次统计数据!$B$6/(1-多次统计数据!$B$6)))</f>
        <v/>
      </c>
      <c r="AC79" s="8">
        <f>IF(OR(AB79="",多次统计数据!$B$9=""),"",IF(多次统计数据!$B$9&lt;AB79,"低于上限","达到或超过上限"))</f>
        <v/>
      </c>
      <c r="AD79" s="2" t="inlineStr">
        <is>
          <t>4-良好</t>
        </is>
      </c>
      <c r="AE79" s="7">
        <f>IF(OR(X79="",C79="",C79&lt;=0),"",X79/C79)</f>
        <v/>
      </c>
      <c r="AF79" t="inlineStr">
        <is>
          <t>考虑了后续发展，</t>
        </is>
      </c>
      <c r="AG79" s="28" t="n"/>
      <c r="AH79" s="28" t="n"/>
      <c r="AI79" s="28" t="n"/>
      <c r="AJ79" s="31">
        <f>IF(OR(AG79="",AH79=""),"",IF(OR(AND(AG79="短期博反弹",OR(AH79="1～3个交易日",AH79="4～10个交易日")),AND(AG79="突破冲新高",OR(AH79="4～10个交易日",AH79="11～20个交易日")),AND(AG79="趋势波段",OR(AH79="11～20个交易日",AH79="21～60个交易日",AH79="60个交易日以上"))),"匹配","周期与交易预期不匹配，请重新确认"))</f>
        <v/>
      </c>
      <c r="AK79" s="43" t="n"/>
      <c r="AL79" s="27" t="n"/>
      <c r="AM79" s="43" t="n"/>
      <c r="AN79" s="27" t="n"/>
      <c r="AO79" s="44">
        <f>IF(OR(A79="",H79="",H79&lt;=0),"",(E79*H79+IF(AND(AK79&lt;&gt;"",AL79&lt;&gt;""),AK79*AL79,0)+IF(AND(AM79&lt;&gt;"",AN79&lt;&gt;""),AM79*AN79,0))/AP79)</f>
        <v/>
      </c>
      <c r="AP79" s="26">
        <f>IF(OR(A79="",H79="",H79&lt;=0),"",H79+IF(AL79="",0,AL79)+IF(AN79="",0,AN79))</f>
        <v/>
      </c>
      <c r="AQ79" s="44">
        <f>IF(A79="","",IF(M79&lt;&gt;"",0,IF(OR(H79="",N79=""),"",MAX(E79-MAX(N79,IFERROR(AGGREGATE(14,6,'持仓跟踪'!$S$2:$S$501/(('持仓跟踪'!$A$2:$A$501="每日跟踪")*('持仓跟踪'!$B$2:$B$501=A79)),1),0)),0)*H79+IF(OR(AK79="",AL79=""),0,MAX(AK79-MAX(N79,IFERROR(AGGREGATE(14,6,'持仓跟踪'!$S$2:$S$501/(('持仓跟踪'!$A$2:$A$501="每日跟踪")*('持仓跟踪'!$B$2:$B$501=A79)),1),0)),0)*AL79)+IF(OR(AM79="",AN79=""),0,MAX(AM79-MAX(N79,IFERROR(AGGREGATE(14,6,'持仓跟踪'!$S$2:$S$501/(('持仓跟踪'!$A$2:$A$501="每日跟踪")*('持仓跟踪'!$B$2:$B$501=A79)),1),0)),0)*AN79))))</f>
        <v/>
      </c>
      <c r="AR79" s="31">
        <f>IF(A79="","",IF(OR(E79="",H79=""),"违规：第一批价格或股数缺失",IF(OR(AND(AK79="",AL79&lt;&gt;""),AND(AK79&lt;&gt;"",AL79="")),"违规：第二批价格与股数须成对填写",IF(OR(AND(AM79="",AN79&lt;&gt;""),AND(AM79&lt;&gt;"",AN79="")),"违规：第三批价格与股数须成对填写",IF(AND(OR(AM79&lt;&gt;"",AN79&lt;&gt;""),OR(AK79="",AL79="")),"违规：必须先完成第二批",IF(OR(H79&lt;=0,H79&lt;&gt;INT(H79),MOD(H79,100)&lt;&gt;0,AND(AL79&lt;&gt;"",OR(AL79&lt;=0,AL79&lt;&gt;INT(AL79),MOD(AL79,100)&lt;&gt;0)),AND(AN79&lt;&gt;"",OR(AN79&lt;=0,AN79&lt;&gt;INT(AN79),MOD(AN79,100)&lt;&gt;0))),"违规：股数须为100股整数倍",IF(AND(OR(AL79&lt;&gt;"",AN79&lt;&gt;""),OR(_LockStatus="已锁仓",_LockStatus="解锁信息不完整")),"违规：锁仓期间禁止加仓",IF(AQ79&gt;C79*D79,"违规：超过单笔风险上限",IF(SUM($AQ$2:$AQ$201)&gt;账户数据!$B$7,"违规：超过账户风险上限","通过")))))))))</f>
        <v/>
      </c>
    </row>
    <row r="80">
      <c r="A80" s="2" t="n">
        <v>79</v>
      </c>
      <c r="B80" s="2" t="inlineStr">
        <is>
          <t>爱旭股份</t>
        </is>
      </c>
      <c r="C80" s="40" t="n">
        <v>162787</v>
      </c>
      <c r="D80" s="6" t="n">
        <v>0.02</v>
      </c>
      <c r="E80" s="40" t="n">
        <v>3</v>
      </c>
      <c r="F80" s="8">
        <f>IF(OR(C80="",D80="",E80="",N80="",C80&lt;=0,D80&lt;=0,E80&lt;=N80),"",ROUNDDOWN((C80*D80)/(E80-N80)/100,0)*100)</f>
        <v/>
      </c>
      <c r="G80" s="8">
        <f>IF(A80="","",IF(H80&lt;&gt;"","已开仓",IF(账户数据!$B$23="已锁仓","禁止开仓：连续亏损达到上限",IF(账户数据!$B$23="解锁信息不完整","禁止开仓：请完整填写解锁信息",IF(OR(F80="",E80="",N80="",E80&lt;=N80,账户数据!$B$7=""),"",IF(OR(AG80="",AH80="",AI80=""),"禁止开仓：交易预期未填写完整",IF(COUNTIFS(持仓跟踪!$A$2:$A$501,"止损计划",持仓跟踪!$B$2:$B$501,A80,持仓跟踪!$AC$2:$AC$501,"计划有效")=0,"禁止开仓：请先填写止损计划",IF(账户数据!$B$9+F80*(E80-N80)&gt;=账户数据!$B$7,"禁止开仓：风险额度不足",IF(AJ80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0" s="2" t="n">
        <v>8100</v>
      </c>
      <c r="I80" s="41" t="n">
        <v>43490</v>
      </c>
      <c r="J80" s="40" t="n">
        <v>4</v>
      </c>
      <c r="K80" s="40" t="n">
        <v>4.48</v>
      </c>
      <c r="L80" s="8">
        <f>IF(K80="","",H80)</f>
        <v/>
      </c>
      <c r="M80" s="41" t="n">
        <v>43622</v>
      </c>
      <c r="N80" s="40" t="n">
        <v>2.6</v>
      </c>
      <c r="O80" s="40" t="n"/>
      <c r="P80" s="40" t="n"/>
      <c r="Q80" s="2" t="n"/>
      <c r="R80" s="2" t="n"/>
      <c r="S80" s="2" t="n"/>
      <c r="T80" s="2" t="n"/>
      <c r="U80" s="7">
        <f>IF(OR(AO80="",J80="",AO80&lt;=0),"",(J80-AO80)/AO80)</f>
        <v/>
      </c>
      <c r="V80" s="7">
        <f>IF(OR(AO80="",N80="",AO80&lt;=0),"",(AO80-N80)/AO80)</f>
        <v/>
      </c>
      <c r="W80" s="13">
        <f>IF(OR(U80="",V80="",V80&lt;=0),"",U80/V80)</f>
        <v/>
      </c>
      <c r="X80" s="42">
        <f>IF(OR(K80="",L80="",AP80=""),"",K80*L80-(E80*H80+IF(AND(AK80&lt;&gt;"",AL80&lt;&gt;""),AK80*AL80,0)+IF(AND(AM80&lt;&gt;"",AN80&lt;&gt;""),AM80*AN80,0))-IF(O80="",0,O80)-IF(P80="",0,P80))</f>
        <v/>
      </c>
      <c r="Y80" s="7">
        <f>IF(OR(X80="",AP80=""),"",IF((E80*H80+IF(AND(AK80&lt;&gt;"",AL80&lt;&gt;""),AK80*AL80,0)+IF(AND(AM80&lt;&gt;"",AN80&lt;&gt;""),AM80*AN80,0))+IF(O80="",0,O80)&lt;=0,"",X80/((E80*H80+IF(AND(AK80&lt;&gt;"",AL80&lt;&gt;""),AK80*AL80,0)+IF(AND(AM80&lt;&gt;"",AN80&lt;&gt;""),AM80*AN80,0))+IF(O80="",0,O80))))</f>
        <v/>
      </c>
      <c r="Z80" s="7">
        <f>IF(OR(AE80="",多次统计数据!$B$8=""),"",AE80-多次统计数据!$B$8)</f>
        <v/>
      </c>
      <c r="AA80" s="14">
        <f>IF(OR(I80="",M80="",M80&lt;I80),"",M80-I80)</f>
        <v/>
      </c>
      <c r="AB80" s="7">
        <f>IF(OR(A80="",多次统计数据!$B$8="",多次统计数据!$B$6&lt;=0,多次统计数据!$B$6&gt;=1),"",1-POWER(1+多次统计数据!$B$8,-多次统计数据!$B$6/(1-多次统计数据!$B$6)))</f>
        <v/>
      </c>
      <c r="AC80" s="8">
        <f>IF(OR(AB80="",多次统计数据!$B$9=""),"",IF(多次统计数据!$B$9&lt;AB80,"低于上限","达到或超过上限"))</f>
        <v/>
      </c>
      <c r="AD80" s="2" t="inlineStr">
        <is>
          <t>4-良好</t>
        </is>
      </c>
      <c r="AE80" s="7">
        <f>IF(OR(X80="",C80="",C80&lt;=0),"",X80/C80)</f>
        <v/>
      </c>
      <c r="AF80" t="inlineStr">
        <is>
          <t>判断非常好，但是后面的走势判断一般，后面应该仔细思考的每天都要分析</t>
        </is>
      </c>
      <c r="AG80" s="28" t="n"/>
      <c r="AH80" s="28" t="n"/>
      <c r="AI80" s="28" t="n"/>
      <c r="AJ80" s="31">
        <f>IF(OR(AG80="",AH80=""),"",IF(OR(AND(AG80="短期博反弹",OR(AH80="1～3个交易日",AH80="4～10个交易日")),AND(AG80="突破冲新高",OR(AH80="4～10个交易日",AH80="11～20个交易日")),AND(AG80="趋势波段",OR(AH80="11～20个交易日",AH80="21～60个交易日",AH80="60个交易日以上"))),"匹配","周期与交易预期不匹配，请重新确认"))</f>
        <v/>
      </c>
      <c r="AK80" s="43" t="n"/>
      <c r="AL80" s="27" t="n"/>
      <c r="AM80" s="43" t="n"/>
      <c r="AN80" s="27" t="n"/>
      <c r="AO80" s="44">
        <f>IF(OR(A80="",H80="",H80&lt;=0),"",(E80*H80+IF(AND(AK80&lt;&gt;"",AL80&lt;&gt;""),AK80*AL80,0)+IF(AND(AM80&lt;&gt;"",AN80&lt;&gt;""),AM80*AN80,0))/AP80)</f>
        <v/>
      </c>
      <c r="AP80" s="26">
        <f>IF(OR(A80="",H80="",H80&lt;=0),"",H80+IF(AL80="",0,AL80)+IF(AN80="",0,AN80))</f>
        <v/>
      </c>
      <c r="AQ80" s="44">
        <f>IF(A80="","",IF(M80&lt;&gt;"",0,IF(OR(H80="",N80=""),"",MAX(E80-MAX(N80,IFERROR(AGGREGATE(14,6,'持仓跟踪'!$S$2:$S$501/(('持仓跟踪'!$A$2:$A$501="每日跟踪")*('持仓跟踪'!$B$2:$B$501=A80)),1),0)),0)*H80+IF(OR(AK80="",AL80=""),0,MAX(AK80-MAX(N80,IFERROR(AGGREGATE(14,6,'持仓跟踪'!$S$2:$S$501/(('持仓跟踪'!$A$2:$A$501="每日跟踪")*('持仓跟踪'!$B$2:$B$501=A80)),1),0)),0)*AL80)+IF(OR(AM80="",AN80=""),0,MAX(AM80-MAX(N80,IFERROR(AGGREGATE(14,6,'持仓跟踪'!$S$2:$S$501/(('持仓跟踪'!$A$2:$A$501="每日跟踪")*('持仓跟踪'!$B$2:$B$501=A80)),1),0)),0)*AN80))))</f>
        <v/>
      </c>
      <c r="AR80" s="31">
        <f>IF(A80="","",IF(OR(E80="",H80=""),"违规：第一批价格或股数缺失",IF(OR(AND(AK80="",AL80&lt;&gt;""),AND(AK80&lt;&gt;"",AL80="")),"违规：第二批价格与股数须成对填写",IF(OR(AND(AM80="",AN80&lt;&gt;""),AND(AM80&lt;&gt;"",AN80="")),"违规：第三批价格与股数须成对填写",IF(AND(OR(AM80&lt;&gt;"",AN80&lt;&gt;""),OR(AK80="",AL80="")),"违规：必须先完成第二批",IF(OR(H80&lt;=0,H80&lt;&gt;INT(H80),MOD(H80,100)&lt;&gt;0,AND(AL80&lt;&gt;"",OR(AL80&lt;=0,AL80&lt;&gt;INT(AL80),MOD(AL80,100)&lt;&gt;0)),AND(AN80&lt;&gt;"",OR(AN80&lt;=0,AN80&lt;&gt;INT(AN80),MOD(AN80,100)&lt;&gt;0))),"违规：股数须为100股整数倍",IF(AND(OR(AL80&lt;&gt;"",AN80&lt;&gt;""),OR(_LockStatus="已锁仓",_LockStatus="解锁信息不完整")),"违规：锁仓期间禁止加仓",IF(AQ80&gt;C80*D80,"违规：超过单笔风险上限",IF(SUM($AQ$2:$AQ$201)&gt;账户数据!$B$7,"违规：超过账户风险上限","通过")))))))))</f>
        <v/>
      </c>
    </row>
    <row r="81">
      <c r="A81" s="2" t="n">
        <v>80</v>
      </c>
      <c r="B81" s="2" t="inlineStr">
        <is>
          <t>鹏鼎控股</t>
        </is>
      </c>
      <c r="C81" s="40" t="n">
        <v>174775</v>
      </c>
      <c r="D81" s="6" t="n">
        <v>0.02</v>
      </c>
      <c r="E81" s="40" t="n">
        <v>34.19</v>
      </c>
      <c r="F81" s="8">
        <f>IF(OR(C81="",D81="",E81="",N81="",C81&lt;=0,D81&lt;=0,E81&lt;=N81),"",ROUNDDOWN((C81*D81)/(E81-N81)/100,0)*100)</f>
        <v/>
      </c>
      <c r="G81" s="8">
        <f>IF(A81="","",IF(H81&lt;&gt;"","已开仓",IF(账户数据!$B$23="已锁仓","禁止开仓：连续亏损达到上限",IF(账户数据!$B$23="解锁信息不完整","禁止开仓：请完整填写解锁信息",IF(OR(F81="",E81="",N81="",E81&lt;=N81,账户数据!$B$7=""),"",IF(OR(AG81="",AH81="",AI81=""),"禁止开仓：交易预期未填写完整",IF(COUNTIFS(持仓跟踪!$A$2:$A$501,"止损计划",持仓跟踪!$B$2:$B$501,A81,持仓跟踪!$AC$2:$AC$501,"计划有效")=0,"禁止开仓：请先填写止损计划",IF(账户数据!$B$9+F81*(E81-N81)&gt;=账户数据!$B$7,"禁止开仓：风险额度不足",IF(AJ81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1" s="2" t="n">
        <v>800</v>
      </c>
      <c r="I81" s="41" t="n">
        <v>44404</v>
      </c>
      <c r="J81" s="40" t="n">
        <v>40</v>
      </c>
      <c r="K81" s="40" t="n">
        <v>28.47</v>
      </c>
      <c r="L81" s="8">
        <f>IF(K81="","",H81)</f>
        <v/>
      </c>
      <c r="M81" s="41" t="n">
        <v>44434</v>
      </c>
      <c r="N81" s="40" t="n">
        <v>30</v>
      </c>
      <c r="O81" s="40" t="n"/>
      <c r="P81" s="40" t="n"/>
      <c r="Q81" s="2" t="n"/>
      <c r="R81" s="2" t="n"/>
      <c r="S81" s="2" t="n"/>
      <c r="T81" s="2" t="n"/>
      <c r="U81" s="7">
        <f>IF(OR(AO81="",J81="",AO81&lt;=0),"",(J81-AO81)/AO81)</f>
        <v/>
      </c>
      <c r="V81" s="7">
        <f>IF(OR(AO81="",N81="",AO81&lt;=0),"",(AO81-N81)/AO81)</f>
        <v/>
      </c>
      <c r="W81" s="13">
        <f>IF(OR(U81="",V81="",V81&lt;=0),"",U81/V81)</f>
        <v/>
      </c>
      <c r="X81" s="42">
        <f>IF(OR(K81="",L81="",AP81=""),"",K81*L81-(E81*H81+IF(AND(AK81&lt;&gt;"",AL81&lt;&gt;""),AK81*AL81,0)+IF(AND(AM81&lt;&gt;"",AN81&lt;&gt;""),AM81*AN81,0))-IF(O81="",0,O81)-IF(P81="",0,P81))</f>
        <v/>
      </c>
      <c r="Y81" s="7">
        <f>IF(OR(X81="",AP81=""),"",IF((E81*H81+IF(AND(AK81&lt;&gt;"",AL81&lt;&gt;""),AK81*AL81,0)+IF(AND(AM81&lt;&gt;"",AN81&lt;&gt;""),AM81*AN81,0))+IF(O81="",0,O81)&lt;=0,"",X81/((E81*H81+IF(AND(AK81&lt;&gt;"",AL81&lt;&gt;""),AK81*AL81,0)+IF(AND(AM81&lt;&gt;"",AN81&lt;&gt;""),AM81*AN81,0))+IF(O81="",0,O81))))</f>
        <v/>
      </c>
      <c r="Z81" s="7">
        <f>IF(OR(AE81="",多次统计数据!$B$8=""),"",AE81-多次统计数据!$B$8)</f>
        <v/>
      </c>
      <c r="AA81" s="14">
        <f>IF(OR(I81="",M81="",M81&lt;I81),"",M81-I81)</f>
        <v/>
      </c>
      <c r="AB81" s="7">
        <f>IF(OR(A81="",多次统计数据!$B$8="",多次统计数据!$B$6&lt;=0,多次统计数据!$B$6&gt;=1),"",1-POWER(1+多次统计数据!$B$8,-多次统计数据!$B$6/(1-多次统计数据!$B$6)))</f>
        <v/>
      </c>
      <c r="AC81" s="8">
        <f>IF(OR(AB81="",多次统计数据!$B$9=""),"",IF(多次统计数据!$B$9&lt;AB81,"低于上限","达到或超过上限"))</f>
        <v/>
      </c>
      <c r="AD81" s="2" t="inlineStr">
        <is>
          <t>1-差</t>
        </is>
      </c>
      <c r="AE81" s="7">
        <f>IF(OR(X81="",C81="",C81&lt;=0),"",X81/C81)</f>
        <v/>
      </c>
      <c r="AF81" t="inlineStr">
        <is>
          <t>到达止损位没有抛，止损位置已经放的很低了</t>
        </is>
      </c>
      <c r="AG81" s="28" t="n"/>
      <c r="AH81" s="28" t="n"/>
      <c r="AI81" s="28" t="n"/>
      <c r="AJ81" s="31">
        <f>IF(OR(AG81="",AH81=""),"",IF(OR(AND(AG81="短期博反弹",OR(AH81="1～3个交易日",AH81="4～10个交易日")),AND(AG81="突破冲新高",OR(AH81="4～10个交易日",AH81="11～20个交易日")),AND(AG81="趋势波段",OR(AH81="11～20个交易日",AH81="21～60个交易日",AH81="60个交易日以上"))),"匹配","周期与交易预期不匹配，请重新确认"))</f>
        <v/>
      </c>
      <c r="AK81" s="43" t="n"/>
      <c r="AL81" s="27" t="n"/>
      <c r="AM81" s="43" t="n"/>
      <c r="AN81" s="27" t="n"/>
      <c r="AO81" s="44">
        <f>IF(OR(A81="",H81="",H81&lt;=0),"",(E81*H81+IF(AND(AK81&lt;&gt;"",AL81&lt;&gt;""),AK81*AL81,0)+IF(AND(AM81&lt;&gt;"",AN81&lt;&gt;""),AM81*AN81,0))/AP81)</f>
        <v/>
      </c>
      <c r="AP81" s="26">
        <f>IF(OR(A81="",H81="",H81&lt;=0),"",H81+IF(AL81="",0,AL81)+IF(AN81="",0,AN81))</f>
        <v/>
      </c>
      <c r="AQ81" s="44">
        <f>IF(A81="","",IF(M81&lt;&gt;"",0,IF(OR(H81="",N81=""),"",MAX(E81-MAX(N81,IFERROR(AGGREGATE(14,6,'持仓跟踪'!$S$2:$S$501/(('持仓跟踪'!$A$2:$A$501="每日跟踪")*('持仓跟踪'!$B$2:$B$501=A81)),1),0)),0)*H81+IF(OR(AK81="",AL81=""),0,MAX(AK81-MAX(N81,IFERROR(AGGREGATE(14,6,'持仓跟踪'!$S$2:$S$501/(('持仓跟踪'!$A$2:$A$501="每日跟踪")*('持仓跟踪'!$B$2:$B$501=A81)),1),0)),0)*AL81)+IF(OR(AM81="",AN81=""),0,MAX(AM81-MAX(N81,IFERROR(AGGREGATE(14,6,'持仓跟踪'!$S$2:$S$501/(('持仓跟踪'!$A$2:$A$501="每日跟踪")*('持仓跟踪'!$B$2:$B$501=A81)),1),0)),0)*AN81))))</f>
        <v/>
      </c>
      <c r="AR81" s="31">
        <f>IF(A81="","",IF(OR(E81="",H81=""),"违规：第一批价格或股数缺失",IF(OR(AND(AK81="",AL81&lt;&gt;""),AND(AK81&lt;&gt;"",AL81="")),"违规：第二批价格与股数须成对填写",IF(OR(AND(AM81="",AN81&lt;&gt;""),AND(AM81&lt;&gt;"",AN81="")),"违规：第三批价格与股数须成对填写",IF(AND(OR(AM81&lt;&gt;"",AN81&lt;&gt;""),OR(AK81="",AL81="")),"违规：必须先完成第二批",IF(OR(H81&lt;=0,H81&lt;&gt;INT(H81),MOD(H81,100)&lt;&gt;0,AND(AL81&lt;&gt;"",OR(AL81&lt;=0,AL81&lt;&gt;INT(AL81),MOD(AL81,100)&lt;&gt;0)),AND(AN81&lt;&gt;"",OR(AN81&lt;=0,AN81&lt;&gt;INT(AN81),MOD(AN81,100)&lt;&gt;0))),"违规：股数须为100股整数倍",IF(AND(OR(AL81&lt;&gt;"",AN81&lt;&gt;""),OR(_LockStatus="已锁仓",_LockStatus="解锁信息不完整")),"违规：锁仓期间禁止加仓",IF(AQ81&gt;C81*D81,"违规：超过单笔风险上限",IF(SUM($AQ$2:$AQ$201)&gt;账户数据!$B$7,"违规：超过账户风险上限","通过")))))))))</f>
        <v/>
      </c>
    </row>
    <row r="82">
      <c r="A82" s="2" t="n">
        <v>81</v>
      </c>
      <c r="B82" s="2" t="inlineStr">
        <is>
          <t>鹏鼎控股</t>
        </is>
      </c>
      <c r="C82" s="40" t="n">
        <v>170199</v>
      </c>
      <c r="D82" s="6" t="n">
        <v>0.02</v>
      </c>
      <c r="E82" s="40" t="n">
        <v>37.29</v>
      </c>
      <c r="F82" s="8">
        <f>IF(OR(C82="",D82="",E82="",N82="",C82&lt;=0,D82&lt;=0,E82&lt;=N82),"",ROUNDDOWN((C82*D82)/(E82-N82)/100,0)*100)</f>
        <v/>
      </c>
      <c r="G82" s="8">
        <f>IF(A82="","",IF(H82&lt;&gt;"","已开仓",IF(账户数据!$B$23="已锁仓","禁止开仓：连续亏损达到上限",IF(账户数据!$B$23="解锁信息不完整","禁止开仓：请完整填写解锁信息",IF(OR(F82="",E82="",N82="",E82&lt;=N82,账户数据!$B$7=""),"",IF(OR(AG82="",AH82="",AI82=""),"禁止开仓：交易预期未填写完整",IF(COUNTIFS(持仓跟踪!$A$2:$A$501,"止损计划",持仓跟踪!$B$2:$B$501,A82,持仓跟踪!$AC$2:$AC$501,"计划有效")=0,"禁止开仓：请先填写止损计划",IF(账户数据!$B$9+F82*(E82-N82)&gt;=账户数据!$B$7,"禁止开仓：风险额度不足",IF(AJ82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2" s="2" t="n">
        <v>1400</v>
      </c>
      <c r="I82" s="41" t="n">
        <v>44545</v>
      </c>
      <c r="J82" s="40" t="n">
        <v>40</v>
      </c>
      <c r="K82" s="40" t="n">
        <v>34.75</v>
      </c>
      <c r="L82" s="8">
        <f>IF(K82="","",H82)</f>
        <v/>
      </c>
      <c r="M82" s="41" t="n">
        <v>44581</v>
      </c>
      <c r="N82" s="40" t="n">
        <v>35</v>
      </c>
      <c r="O82" s="40" t="n"/>
      <c r="P82" s="40" t="n"/>
      <c r="Q82" s="2" t="n"/>
      <c r="R82" s="2" t="n"/>
      <c r="S82" s="2" t="n"/>
      <c r="T82" s="2" t="n"/>
      <c r="U82" s="7">
        <f>IF(OR(AO82="",J82="",AO82&lt;=0),"",(J82-AO82)/AO82)</f>
        <v/>
      </c>
      <c r="V82" s="7">
        <f>IF(OR(AO82="",N82="",AO82&lt;=0),"",(AO82-N82)/AO82)</f>
        <v/>
      </c>
      <c r="W82" s="13">
        <f>IF(OR(U82="",V82="",V82&lt;=0),"",U82/V82)</f>
        <v/>
      </c>
      <c r="X82" s="42">
        <f>IF(OR(K82="",L82="",AP82=""),"",K82*L82-(E82*H82+IF(AND(AK82&lt;&gt;"",AL82&lt;&gt;""),AK82*AL82,0)+IF(AND(AM82&lt;&gt;"",AN82&lt;&gt;""),AM82*AN82,0))-IF(O82="",0,O82)-IF(P82="",0,P82))</f>
        <v/>
      </c>
      <c r="Y82" s="7">
        <f>IF(OR(X82="",AP82=""),"",IF((E82*H82+IF(AND(AK82&lt;&gt;"",AL82&lt;&gt;""),AK82*AL82,0)+IF(AND(AM82&lt;&gt;"",AN82&lt;&gt;""),AM82*AN82,0))+IF(O82="",0,O82)&lt;=0,"",X82/((E82*H82+IF(AND(AK82&lt;&gt;"",AL82&lt;&gt;""),AK82*AL82,0)+IF(AND(AM82&lt;&gt;"",AN82&lt;&gt;""),AM82*AN82,0))+IF(O82="",0,O82))))</f>
        <v/>
      </c>
      <c r="Z82" s="7">
        <f>IF(OR(AE82="",多次统计数据!$B$8=""),"",AE82-多次统计数据!$B$8)</f>
        <v/>
      </c>
      <c r="AA82" s="14">
        <f>IF(OR(I82="",M82="",M82&lt;I82),"",M82-I82)</f>
        <v/>
      </c>
      <c r="AB82" s="7">
        <f>IF(OR(A82="",多次统计数据!$B$8="",多次统计数据!$B$6&lt;=0,多次统计数据!$B$6&gt;=1),"",1-POWER(1+多次统计数据!$B$8,-多次统计数据!$B$6/(1-多次统计数据!$B$6)))</f>
        <v/>
      </c>
      <c r="AC82" s="8">
        <f>IF(OR(AB82="",多次统计数据!$B$9=""),"",IF(多次统计数据!$B$9&lt;AB82,"低于上限","达到或超过上限"))</f>
        <v/>
      </c>
      <c r="AD82" s="2" t="inlineStr">
        <is>
          <t>3-一般</t>
        </is>
      </c>
      <c r="AE82" s="7">
        <f>IF(OR(X82="",C82="",C82&lt;=0),"",X82/C82)</f>
        <v/>
      </c>
      <c r="AF82" t="inlineStr">
        <is>
          <t>没有估计到顶，还在期待突破</t>
        </is>
      </c>
      <c r="AG82" s="28" t="n"/>
      <c r="AH82" s="28" t="n"/>
      <c r="AI82" s="28" t="n"/>
      <c r="AJ82" s="31">
        <f>IF(OR(AG82="",AH82=""),"",IF(OR(AND(AG82="短期博反弹",OR(AH82="1～3个交易日",AH82="4～10个交易日")),AND(AG82="突破冲新高",OR(AH82="4～10个交易日",AH82="11～20个交易日")),AND(AG82="趋势波段",OR(AH82="11～20个交易日",AH82="21～60个交易日",AH82="60个交易日以上"))),"匹配","周期与交易预期不匹配，请重新确认"))</f>
        <v/>
      </c>
      <c r="AK82" s="43" t="n"/>
      <c r="AL82" s="27" t="n"/>
      <c r="AM82" s="43" t="n"/>
      <c r="AN82" s="27" t="n"/>
      <c r="AO82" s="44">
        <f>IF(OR(A82="",H82="",H82&lt;=0),"",(E82*H82+IF(AND(AK82&lt;&gt;"",AL82&lt;&gt;""),AK82*AL82,0)+IF(AND(AM82&lt;&gt;"",AN82&lt;&gt;""),AM82*AN82,0))/AP82)</f>
        <v/>
      </c>
      <c r="AP82" s="26">
        <f>IF(OR(A82="",H82="",H82&lt;=0),"",H82+IF(AL82="",0,AL82)+IF(AN82="",0,AN82))</f>
        <v/>
      </c>
      <c r="AQ82" s="44">
        <f>IF(A82="","",IF(M82&lt;&gt;"",0,IF(OR(H82="",N82=""),"",MAX(E82-MAX(N82,IFERROR(AGGREGATE(14,6,'持仓跟踪'!$S$2:$S$501/(('持仓跟踪'!$A$2:$A$501="每日跟踪")*('持仓跟踪'!$B$2:$B$501=A82)),1),0)),0)*H82+IF(OR(AK82="",AL82=""),0,MAX(AK82-MAX(N82,IFERROR(AGGREGATE(14,6,'持仓跟踪'!$S$2:$S$501/(('持仓跟踪'!$A$2:$A$501="每日跟踪")*('持仓跟踪'!$B$2:$B$501=A82)),1),0)),0)*AL82)+IF(OR(AM82="",AN82=""),0,MAX(AM82-MAX(N82,IFERROR(AGGREGATE(14,6,'持仓跟踪'!$S$2:$S$501/(('持仓跟踪'!$A$2:$A$501="每日跟踪")*('持仓跟踪'!$B$2:$B$501=A82)),1),0)),0)*AN82))))</f>
        <v/>
      </c>
      <c r="AR82" s="31">
        <f>IF(A82="","",IF(OR(E82="",H82=""),"违规：第一批价格或股数缺失",IF(OR(AND(AK82="",AL82&lt;&gt;""),AND(AK82&lt;&gt;"",AL82="")),"违规：第二批价格与股数须成对填写",IF(OR(AND(AM82="",AN82&lt;&gt;""),AND(AM82&lt;&gt;"",AN82="")),"违规：第三批价格与股数须成对填写",IF(AND(OR(AM82&lt;&gt;"",AN82&lt;&gt;""),OR(AK82="",AL82="")),"违规：必须先完成第二批",IF(OR(H82&lt;=0,H82&lt;&gt;INT(H82),MOD(H82,100)&lt;&gt;0,AND(AL82&lt;&gt;"",OR(AL82&lt;=0,AL82&lt;&gt;INT(AL82),MOD(AL82,100)&lt;&gt;0)),AND(AN82&lt;&gt;"",OR(AN82&lt;=0,AN82&lt;&gt;INT(AN82),MOD(AN82,100)&lt;&gt;0))),"违规：股数须为100股整数倍",IF(AND(OR(AL82&lt;&gt;"",AN82&lt;&gt;""),OR(_LockStatus="已锁仓",_LockStatus="解锁信息不完整")),"违规：锁仓期间禁止加仓",IF(AQ82&gt;C82*D82,"违规：超过单笔风险上限",IF(SUM($AQ$2:$AQ$201)&gt;账户数据!$B$7,"违规：超过账户风险上限","通过")))))))))</f>
        <v/>
      </c>
    </row>
    <row r="83">
      <c r="A83" s="2" t="n">
        <v>82</v>
      </c>
      <c r="B83" s="2" t="inlineStr">
        <is>
          <t>鹏鼎控股</t>
        </is>
      </c>
      <c r="C83" s="40" t="n">
        <v>166643</v>
      </c>
      <c r="D83" s="6" t="n">
        <v>0.02</v>
      </c>
      <c r="E83" s="40" t="n">
        <v>24.67</v>
      </c>
      <c r="F83" s="8">
        <f>IF(OR(C83="",D83="",E83="",N83="",C83&lt;=0,D83&lt;=0,E83&lt;=N83),"",ROUNDDOWN((C83*D83)/(E83-N83)/100,0)*100)</f>
        <v/>
      </c>
      <c r="G83" s="8">
        <f>IF(A83="","",IF(H83&lt;&gt;"","已开仓",IF(账户数据!$B$23="已锁仓","禁止开仓：连续亏损达到上限",IF(账户数据!$B$23="解锁信息不完整","禁止开仓：请完整填写解锁信息",IF(OR(F83="",E83="",N83="",E83&lt;=N83,账户数据!$B$7=""),"",IF(OR(AG83="",AH83="",AI83=""),"禁止开仓：交易预期未填写完整",IF(COUNTIFS(持仓跟踪!$A$2:$A$501,"止损计划",持仓跟踪!$B$2:$B$501,A83,持仓跟踪!$AC$2:$AC$501,"计划有效")=0,"禁止开仓：请先填写止损计划",IF(账户数据!$B$9+F83*(E83-N83)&gt;=账户数据!$B$7,"禁止开仓：风险额度不足",IF(AJ83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3" s="2" t="n">
        <v>1200</v>
      </c>
      <c r="I83" s="41" t="n">
        <v>44691</v>
      </c>
      <c r="J83" s="40" t="n">
        <v>28</v>
      </c>
      <c r="K83" s="40" t="n">
        <v>26.03</v>
      </c>
      <c r="L83" s="8">
        <f>IF(K83="","",H83)</f>
        <v/>
      </c>
      <c r="M83" s="41" t="n">
        <v>44749</v>
      </c>
      <c r="N83" s="40" t="n">
        <v>22</v>
      </c>
      <c r="O83" s="40" t="n"/>
      <c r="P83" s="40" t="n"/>
      <c r="Q83" s="2" t="n"/>
      <c r="R83" s="2" t="n"/>
      <c r="S83" s="2" t="n"/>
      <c r="T83" s="2" t="n"/>
      <c r="U83" s="7">
        <f>IF(OR(AO83="",J83="",AO83&lt;=0),"",(J83-AO83)/AO83)</f>
        <v/>
      </c>
      <c r="V83" s="7">
        <f>IF(OR(AO83="",N83="",AO83&lt;=0),"",(AO83-N83)/AO83)</f>
        <v/>
      </c>
      <c r="W83" s="13">
        <f>IF(OR(U83="",V83="",V83&lt;=0),"",U83/V83)</f>
        <v/>
      </c>
      <c r="X83" s="42">
        <f>IF(OR(K83="",L83="",AP83=""),"",K83*L83-(E83*H83+IF(AND(AK83&lt;&gt;"",AL83&lt;&gt;""),AK83*AL83,0)+IF(AND(AM83&lt;&gt;"",AN83&lt;&gt;""),AM83*AN83,0))-IF(O83="",0,O83)-IF(P83="",0,P83))</f>
        <v/>
      </c>
      <c r="Y83" s="7">
        <f>IF(OR(X83="",AP83=""),"",IF((E83*H83+IF(AND(AK83&lt;&gt;"",AL83&lt;&gt;""),AK83*AL83,0)+IF(AND(AM83&lt;&gt;"",AN83&lt;&gt;""),AM83*AN83,0))+IF(O83="",0,O83)&lt;=0,"",X83/((E83*H83+IF(AND(AK83&lt;&gt;"",AL83&lt;&gt;""),AK83*AL83,0)+IF(AND(AM83&lt;&gt;"",AN83&lt;&gt;""),AM83*AN83,0))+IF(O83="",0,O83))))</f>
        <v/>
      </c>
      <c r="Z83" s="7">
        <f>IF(OR(AE83="",多次统计数据!$B$8=""),"",AE83-多次统计数据!$B$8)</f>
        <v/>
      </c>
      <c r="AA83" s="14">
        <f>IF(OR(I83="",M83="",M83&lt;I83),"",M83-I83)</f>
        <v/>
      </c>
      <c r="AB83" s="7">
        <f>IF(OR(A83="",多次统计数据!$B$8="",多次统计数据!$B$6&lt;=0,多次统计数据!$B$6&gt;=1),"",1-POWER(1+多次统计数据!$B$8,-多次统计数据!$B$6/(1-多次统计数据!$B$6)))</f>
        <v/>
      </c>
      <c r="AC83" s="8">
        <f>IF(OR(AB83="",多次统计数据!$B$9=""),"",IF(多次统计数据!$B$9&lt;AB83,"低于上限","达到或超过上限"))</f>
        <v/>
      </c>
      <c r="AD83" s="2" t="inlineStr">
        <is>
          <t>4-良好</t>
        </is>
      </c>
      <c r="AE83" s="7">
        <f>IF(OR(X83="",C83="",C83&lt;=0),"",X83/C83)</f>
        <v/>
      </c>
      <c r="AF83" t="inlineStr">
        <is>
          <t>预估了局势</t>
        </is>
      </c>
      <c r="AG83" s="28" t="n"/>
      <c r="AH83" s="28" t="n"/>
      <c r="AI83" s="28" t="n"/>
      <c r="AJ83" s="31">
        <f>IF(OR(AG83="",AH83=""),"",IF(OR(AND(AG83="短期博反弹",OR(AH83="1～3个交易日",AH83="4～10个交易日")),AND(AG83="突破冲新高",OR(AH83="4～10个交易日",AH83="11～20个交易日")),AND(AG83="趋势波段",OR(AH83="11～20个交易日",AH83="21～60个交易日",AH83="60个交易日以上"))),"匹配","周期与交易预期不匹配，请重新确认"))</f>
        <v/>
      </c>
      <c r="AK83" s="43" t="n"/>
      <c r="AL83" s="27" t="n"/>
      <c r="AM83" s="43" t="n"/>
      <c r="AN83" s="27" t="n"/>
      <c r="AO83" s="44">
        <f>IF(OR(A83="",H83="",H83&lt;=0),"",(E83*H83+IF(AND(AK83&lt;&gt;"",AL83&lt;&gt;""),AK83*AL83,0)+IF(AND(AM83&lt;&gt;"",AN83&lt;&gt;""),AM83*AN83,0))/AP83)</f>
        <v/>
      </c>
      <c r="AP83" s="26">
        <f>IF(OR(A83="",H83="",H83&lt;=0),"",H83+IF(AL83="",0,AL83)+IF(AN83="",0,AN83))</f>
        <v/>
      </c>
      <c r="AQ83" s="44">
        <f>IF(A83="","",IF(M83&lt;&gt;"",0,IF(OR(H83="",N83=""),"",MAX(E83-MAX(N83,IFERROR(AGGREGATE(14,6,'持仓跟踪'!$S$2:$S$501/(('持仓跟踪'!$A$2:$A$501="每日跟踪")*('持仓跟踪'!$B$2:$B$501=A83)),1),0)),0)*H83+IF(OR(AK83="",AL83=""),0,MAX(AK83-MAX(N83,IFERROR(AGGREGATE(14,6,'持仓跟踪'!$S$2:$S$501/(('持仓跟踪'!$A$2:$A$501="每日跟踪")*('持仓跟踪'!$B$2:$B$501=A83)),1),0)),0)*AL83)+IF(OR(AM83="",AN83=""),0,MAX(AM83-MAX(N83,IFERROR(AGGREGATE(14,6,'持仓跟踪'!$S$2:$S$501/(('持仓跟踪'!$A$2:$A$501="每日跟踪")*('持仓跟踪'!$B$2:$B$501=A83)),1),0)),0)*AN83))))</f>
        <v/>
      </c>
      <c r="AR83" s="31">
        <f>IF(A83="","",IF(OR(E83="",H83=""),"违规：第一批价格或股数缺失",IF(OR(AND(AK83="",AL83&lt;&gt;""),AND(AK83&lt;&gt;"",AL83="")),"违规：第二批价格与股数须成对填写",IF(OR(AND(AM83="",AN83&lt;&gt;""),AND(AM83&lt;&gt;"",AN83="")),"违规：第三批价格与股数须成对填写",IF(AND(OR(AM83&lt;&gt;"",AN83&lt;&gt;""),OR(AK83="",AL83="")),"违规：必须先完成第二批",IF(OR(H83&lt;=0,H83&lt;&gt;INT(H83),MOD(H83,100)&lt;&gt;0,AND(AL83&lt;&gt;"",OR(AL83&lt;=0,AL83&lt;&gt;INT(AL83),MOD(AL83,100)&lt;&gt;0)),AND(AN83&lt;&gt;"",OR(AN83&lt;=0,AN83&lt;&gt;INT(AN83),MOD(AN83,100)&lt;&gt;0))),"违规：股数须为100股整数倍",IF(AND(OR(AL83&lt;&gt;"",AN83&lt;&gt;""),OR(_LockStatus="已锁仓",_LockStatus="解锁信息不完整")),"违规：锁仓期间禁止加仓",IF(AQ83&gt;C83*D83,"违规：超过单笔风险上限",IF(SUM($AQ$2:$AQ$201)&gt;账户数据!$B$7,"违规：超过账户风险上限","通过")))))))))</f>
        <v/>
      </c>
    </row>
    <row r="84">
      <c r="A84" s="2" t="n">
        <v>83</v>
      </c>
      <c r="B84" s="2" t="inlineStr">
        <is>
          <t>鹏鼎控股</t>
        </is>
      </c>
      <c r="C84" s="40" t="n">
        <v>168275</v>
      </c>
      <c r="D84" s="6" t="n">
        <v>0.02</v>
      </c>
      <c r="E84" s="40" t="n">
        <v>26.02</v>
      </c>
      <c r="F84" s="8">
        <f>IF(OR(C84="",D84="",E84="",N84="",C84&lt;=0,D84&lt;=0,E84&lt;=N84),"",ROUNDDOWN((C84*D84)/(E84-N84)/100,0)*100)</f>
        <v/>
      </c>
      <c r="G84" s="8">
        <f>IF(A84="","",IF(H84&lt;&gt;"","已开仓",IF(账户数据!$B$23="已锁仓","禁止开仓：连续亏损达到上限",IF(账户数据!$B$23="解锁信息不完整","禁止开仓：请完整填写解锁信息",IF(OR(F84="",E84="",N84="",E84&lt;=N84,账户数据!$B$7=""),"",IF(OR(AG84="",AH84="",AI84=""),"禁止开仓：交易预期未填写完整",IF(COUNTIFS(持仓跟踪!$A$2:$A$501,"止损计划",持仓跟踪!$B$2:$B$501,A84,持仓跟踪!$AC$2:$AC$501,"计划有效")=0,"禁止开仓：请先填写止损计划",IF(账户数据!$B$9+F84*(E84-N84)&gt;=账户数据!$B$7,"禁止开仓：风险额度不足",IF(AJ84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4" s="2" t="n">
        <v>3200</v>
      </c>
      <c r="I84" s="41" t="n">
        <v>44959</v>
      </c>
      <c r="J84" s="40" t="n">
        <v>28</v>
      </c>
      <c r="K84" s="40" t="n">
        <v>26.34</v>
      </c>
      <c r="L84" s="8">
        <f>IF(K84="","",H84)</f>
        <v/>
      </c>
      <c r="M84" s="41" t="n">
        <v>44973</v>
      </c>
      <c r="N84" s="40" t="n">
        <v>25</v>
      </c>
      <c r="O84" s="40" t="n"/>
      <c r="P84" s="40" t="n"/>
      <c r="Q84" s="2" t="n"/>
      <c r="R84" s="2" t="n"/>
      <c r="S84" s="2" t="n"/>
      <c r="T84" s="2" t="n"/>
      <c r="U84" s="7">
        <f>IF(OR(AO84="",J84="",AO84&lt;=0),"",(J84-AO84)/AO84)</f>
        <v/>
      </c>
      <c r="V84" s="7">
        <f>IF(OR(AO84="",N84="",AO84&lt;=0),"",(AO84-N84)/AO84)</f>
        <v/>
      </c>
      <c r="W84" s="13">
        <f>IF(OR(U84="",V84="",V84&lt;=0),"",U84/V84)</f>
        <v/>
      </c>
      <c r="X84" s="42">
        <f>IF(OR(K84="",L84="",AP84=""),"",K84*L84-(E84*H84+IF(AND(AK84&lt;&gt;"",AL84&lt;&gt;""),AK84*AL84,0)+IF(AND(AM84&lt;&gt;"",AN84&lt;&gt;""),AM84*AN84,0))-IF(O84="",0,O84)-IF(P84="",0,P84))</f>
        <v/>
      </c>
      <c r="Y84" s="7">
        <f>IF(OR(X84="",AP84=""),"",IF((E84*H84+IF(AND(AK84&lt;&gt;"",AL84&lt;&gt;""),AK84*AL84,0)+IF(AND(AM84&lt;&gt;"",AN84&lt;&gt;""),AM84*AN84,0))+IF(O84="",0,O84)&lt;=0,"",X84/((E84*H84+IF(AND(AK84&lt;&gt;"",AL84&lt;&gt;""),AK84*AL84,0)+IF(AND(AM84&lt;&gt;"",AN84&lt;&gt;""),AM84*AN84,0))+IF(O84="",0,O84))))</f>
        <v/>
      </c>
      <c r="Z84" s="7">
        <f>IF(OR(AE84="",多次统计数据!$B$8=""),"",AE84-多次统计数据!$B$8)</f>
        <v/>
      </c>
      <c r="AA84" s="14">
        <f>IF(OR(I84="",M84="",M84&lt;I84),"",M84-I84)</f>
        <v/>
      </c>
      <c r="AB84" s="7">
        <f>IF(OR(A84="",多次统计数据!$B$8="",多次统计数据!$B$6&lt;=0,多次统计数据!$B$6&gt;=1),"",1-POWER(1+多次统计数据!$B$8,-多次统计数据!$B$6/(1-多次统计数据!$B$6)))</f>
        <v/>
      </c>
      <c r="AC84" s="8">
        <f>IF(OR(AB84="",多次统计数据!$B$9=""),"",IF(多次统计数据!$B$9&lt;AB84,"低于上限","达到或超过上限"))</f>
        <v/>
      </c>
      <c r="AD84" s="2" t="inlineStr">
        <is>
          <t>4-良好</t>
        </is>
      </c>
      <c r="AE84" s="7">
        <f>IF(OR(X84="",C84="",C84&lt;=0),"",X84/C84)</f>
        <v/>
      </c>
      <c r="AF84" t="inlineStr">
        <is>
          <t>预估了局势</t>
        </is>
      </c>
      <c r="AG84" s="28" t="n"/>
      <c r="AH84" s="28" t="n"/>
      <c r="AI84" s="28" t="n"/>
      <c r="AJ84" s="31">
        <f>IF(OR(AG84="",AH84=""),"",IF(OR(AND(AG84="短期博反弹",OR(AH84="1～3个交易日",AH84="4～10个交易日")),AND(AG84="突破冲新高",OR(AH84="4～10个交易日",AH84="11～20个交易日")),AND(AG84="趋势波段",OR(AH84="11～20个交易日",AH84="21～60个交易日",AH84="60个交易日以上"))),"匹配","周期与交易预期不匹配，请重新确认"))</f>
        <v/>
      </c>
      <c r="AK84" s="43" t="n"/>
      <c r="AL84" s="27" t="n"/>
      <c r="AM84" s="43" t="n"/>
      <c r="AN84" s="27" t="n"/>
      <c r="AO84" s="44">
        <f>IF(OR(A84="",H84="",H84&lt;=0),"",(E84*H84+IF(AND(AK84&lt;&gt;"",AL84&lt;&gt;""),AK84*AL84,0)+IF(AND(AM84&lt;&gt;"",AN84&lt;&gt;""),AM84*AN84,0))/AP84)</f>
        <v/>
      </c>
      <c r="AP84" s="26">
        <f>IF(OR(A84="",H84="",H84&lt;=0),"",H84+IF(AL84="",0,AL84)+IF(AN84="",0,AN84))</f>
        <v/>
      </c>
      <c r="AQ84" s="44">
        <f>IF(A84="","",IF(M84&lt;&gt;"",0,IF(OR(H84="",N84=""),"",MAX(E84-MAX(N84,IFERROR(AGGREGATE(14,6,'持仓跟踪'!$S$2:$S$501/(('持仓跟踪'!$A$2:$A$501="每日跟踪")*('持仓跟踪'!$B$2:$B$501=A84)),1),0)),0)*H84+IF(OR(AK84="",AL84=""),0,MAX(AK84-MAX(N84,IFERROR(AGGREGATE(14,6,'持仓跟踪'!$S$2:$S$501/(('持仓跟踪'!$A$2:$A$501="每日跟踪")*('持仓跟踪'!$B$2:$B$501=A84)),1),0)),0)*AL84)+IF(OR(AM84="",AN84=""),0,MAX(AM84-MAX(N84,IFERROR(AGGREGATE(14,6,'持仓跟踪'!$S$2:$S$501/(('持仓跟踪'!$A$2:$A$501="每日跟踪")*('持仓跟踪'!$B$2:$B$501=A84)),1),0)),0)*AN84))))</f>
        <v/>
      </c>
      <c r="AR84" s="31">
        <f>IF(A84="","",IF(OR(E84="",H84=""),"违规：第一批价格或股数缺失",IF(OR(AND(AK84="",AL84&lt;&gt;""),AND(AK84&lt;&gt;"",AL84="")),"违规：第二批价格与股数须成对填写",IF(OR(AND(AM84="",AN84&lt;&gt;""),AND(AM84&lt;&gt;"",AN84="")),"违规：第三批价格与股数须成对填写",IF(AND(OR(AM84&lt;&gt;"",AN84&lt;&gt;""),OR(AK84="",AL84="")),"违规：必须先完成第二批",IF(OR(H84&lt;=0,H84&lt;&gt;INT(H84),MOD(H84,100)&lt;&gt;0,AND(AL84&lt;&gt;"",OR(AL84&lt;=0,AL84&lt;&gt;INT(AL84),MOD(AL84,100)&lt;&gt;0)),AND(AN84&lt;&gt;"",OR(AN84&lt;=0,AN84&lt;&gt;INT(AN84),MOD(AN84,100)&lt;&gt;0))),"违规：股数须为100股整数倍",IF(AND(OR(AL84&lt;&gt;"",AN84&lt;&gt;""),OR(_LockStatus="已锁仓",_LockStatus="解锁信息不完整")),"违规：锁仓期间禁止加仓",IF(AQ84&gt;C84*D84,"违规：超过单笔风险上限",IF(SUM($AQ$2:$AQ$201)&gt;账户数据!$B$7,"违规：超过账户风险上限","通过")))))))))</f>
        <v/>
      </c>
    </row>
    <row r="85">
      <c r="A85" s="2" t="n">
        <v>84</v>
      </c>
      <c r="B85" s="2" t="inlineStr">
        <is>
          <t>鹏鼎控股</t>
        </is>
      </c>
      <c r="C85" s="40" t="n">
        <v>169299</v>
      </c>
      <c r="D85" s="6" t="n">
        <v>0.02</v>
      </c>
      <c r="E85" s="40" t="n">
        <v>25.4</v>
      </c>
      <c r="F85" s="8">
        <f>IF(OR(C85="",D85="",E85="",N85="",C85&lt;=0,D85&lt;=0,E85&lt;=N85),"",ROUNDDOWN((C85*D85)/(E85-N85)/100,0)*100)</f>
        <v/>
      </c>
      <c r="G85" s="8">
        <f>IF(A85="","",IF(H85&lt;&gt;"","已开仓",IF(账户数据!$B$23="已锁仓","禁止开仓：连续亏损达到上限",IF(账户数据!$B$23="解锁信息不完整","禁止开仓：请完整填写解锁信息",IF(OR(F85="",E85="",N85="",E85&lt;=N85,账户数据!$B$7=""),"",IF(OR(AG85="",AH85="",AI85=""),"禁止开仓：交易预期未填写完整",IF(COUNTIFS(持仓跟踪!$A$2:$A$501,"止损计划",持仓跟踪!$B$2:$B$501,A85,持仓跟踪!$AC$2:$AC$501,"计划有效")=0,"禁止开仓：请先填写止损计划",IF(账户数据!$B$9+F85*(E85-N85)&gt;=账户数据!$B$7,"禁止开仓：风险额度不足",IF(AJ85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5" s="2" t="n">
        <v>2900</v>
      </c>
      <c r="I85" s="41" t="n">
        <v>45006</v>
      </c>
      <c r="J85" s="40" t="n">
        <v>28</v>
      </c>
      <c r="K85" s="40" t="n">
        <v>30.16</v>
      </c>
      <c r="L85" s="8">
        <f>IF(K85="","",H85)</f>
        <v/>
      </c>
      <c r="M85" s="41" t="n">
        <v>45009</v>
      </c>
      <c r="N85" s="40" t="n">
        <v>24.25</v>
      </c>
      <c r="O85" s="40" t="n"/>
      <c r="P85" s="40" t="n"/>
      <c r="Q85" s="2" t="n"/>
      <c r="R85" s="2" t="n"/>
      <c r="S85" s="2" t="n"/>
      <c r="T85" s="2" t="n"/>
      <c r="U85" s="7">
        <f>IF(OR(AO85="",J85="",AO85&lt;=0),"",(J85-AO85)/AO85)</f>
        <v/>
      </c>
      <c r="V85" s="7">
        <f>IF(OR(AO85="",N85="",AO85&lt;=0),"",(AO85-N85)/AO85)</f>
        <v/>
      </c>
      <c r="W85" s="13">
        <f>IF(OR(U85="",V85="",V85&lt;=0),"",U85/V85)</f>
        <v/>
      </c>
      <c r="X85" s="42">
        <f>IF(OR(K85="",L85="",AP85=""),"",K85*L85-(E85*H85+IF(AND(AK85&lt;&gt;"",AL85&lt;&gt;""),AK85*AL85,0)+IF(AND(AM85&lt;&gt;"",AN85&lt;&gt;""),AM85*AN85,0))-IF(O85="",0,O85)-IF(P85="",0,P85))</f>
        <v/>
      </c>
      <c r="Y85" s="7">
        <f>IF(OR(X85="",AP85=""),"",IF((E85*H85+IF(AND(AK85&lt;&gt;"",AL85&lt;&gt;""),AK85*AL85,0)+IF(AND(AM85&lt;&gt;"",AN85&lt;&gt;""),AM85*AN85,0))+IF(O85="",0,O85)&lt;=0,"",X85/((E85*H85+IF(AND(AK85&lt;&gt;"",AL85&lt;&gt;""),AK85*AL85,0)+IF(AND(AM85&lt;&gt;"",AN85&lt;&gt;""),AM85*AN85,0))+IF(O85="",0,O85))))</f>
        <v/>
      </c>
      <c r="Z85" s="7">
        <f>IF(OR(AE85="",多次统计数据!$B$8=""),"",AE85-多次统计数据!$B$8)</f>
        <v/>
      </c>
      <c r="AA85" s="14">
        <f>IF(OR(I85="",M85="",M85&lt;I85),"",M85-I85)</f>
        <v/>
      </c>
      <c r="AB85" s="7">
        <f>IF(OR(A85="",多次统计数据!$B$8="",多次统计数据!$B$6&lt;=0,多次统计数据!$B$6&gt;=1),"",1-POWER(1+多次统计数据!$B$8,-多次统计数据!$B$6/(1-多次统计数据!$B$6)))</f>
        <v/>
      </c>
      <c r="AC85" s="8">
        <f>IF(OR(AB85="",多次统计数据!$B$9=""),"",IF(多次统计数据!$B$9&lt;AB85,"低于上限","达到或超过上限"))</f>
        <v/>
      </c>
      <c r="AD85" s="2" t="inlineStr">
        <is>
          <t>5-优秀</t>
        </is>
      </c>
      <c r="AE85" s="7">
        <f>IF(OR(X85="",C85="",C85&lt;=0),"",X85/C85)</f>
        <v/>
      </c>
      <c r="AF85" t="inlineStr">
        <is>
          <t>完美走人</t>
        </is>
      </c>
      <c r="AG85" s="28" t="n"/>
      <c r="AH85" s="28" t="n"/>
      <c r="AI85" s="28" t="n"/>
      <c r="AJ85" s="31">
        <f>IF(OR(AG85="",AH85=""),"",IF(OR(AND(AG85="短期博反弹",OR(AH85="1～3个交易日",AH85="4～10个交易日")),AND(AG85="突破冲新高",OR(AH85="4～10个交易日",AH85="11～20个交易日")),AND(AG85="趋势波段",OR(AH85="11～20个交易日",AH85="21～60个交易日",AH85="60个交易日以上"))),"匹配","周期与交易预期不匹配，请重新确认"))</f>
        <v/>
      </c>
      <c r="AK85" s="43" t="n"/>
      <c r="AL85" s="27" t="n"/>
      <c r="AM85" s="43" t="n"/>
      <c r="AN85" s="27" t="n"/>
      <c r="AO85" s="44">
        <f>IF(OR(A85="",H85="",H85&lt;=0),"",(E85*H85+IF(AND(AK85&lt;&gt;"",AL85&lt;&gt;""),AK85*AL85,0)+IF(AND(AM85&lt;&gt;"",AN85&lt;&gt;""),AM85*AN85,0))/AP85)</f>
        <v/>
      </c>
      <c r="AP85" s="26">
        <f>IF(OR(A85="",H85="",H85&lt;=0),"",H85+IF(AL85="",0,AL85)+IF(AN85="",0,AN85))</f>
        <v/>
      </c>
      <c r="AQ85" s="44">
        <f>IF(A85="","",IF(M85&lt;&gt;"",0,IF(OR(H85="",N85=""),"",MAX(E85-MAX(N85,IFERROR(AGGREGATE(14,6,'持仓跟踪'!$S$2:$S$501/(('持仓跟踪'!$A$2:$A$501="每日跟踪")*('持仓跟踪'!$B$2:$B$501=A85)),1),0)),0)*H85+IF(OR(AK85="",AL85=""),0,MAX(AK85-MAX(N85,IFERROR(AGGREGATE(14,6,'持仓跟踪'!$S$2:$S$501/(('持仓跟踪'!$A$2:$A$501="每日跟踪")*('持仓跟踪'!$B$2:$B$501=A85)),1),0)),0)*AL85)+IF(OR(AM85="",AN85=""),0,MAX(AM85-MAX(N85,IFERROR(AGGREGATE(14,6,'持仓跟踪'!$S$2:$S$501/(('持仓跟踪'!$A$2:$A$501="每日跟踪")*('持仓跟踪'!$B$2:$B$501=A85)),1),0)),0)*AN85))))</f>
        <v/>
      </c>
      <c r="AR85" s="31">
        <f>IF(A85="","",IF(OR(E85="",H85=""),"违规：第一批价格或股数缺失",IF(OR(AND(AK85="",AL85&lt;&gt;""),AND(AK85&lt;&gt;"",AL85="")),"违规：第二批价格与股数须成对填写",IF(OR(AND(AM85="",AN85&lt;&gt;""),AND(AM85&lt;&gt;"",AN85="")),"违规：第三批价格与股数须成对填写",IF(AND(OR(AM85&lt;&gt;"",AN85&lt;&gt;""),OR(AK85="",AL85="")),"违规：必须先完成第二批",IF(OR(H85&lt;=0,H85&lt;&gt;INT(H85),MOD(H85,100)&lt;&gt;0,AND(AL85&lt;&gt;"",OR(AL85&lt;=0,AL85&lt;&gt;INT(AL85),MOD(AL85,100)&lt;&gt;0)),AND(AN85&lt;&gt;"",OR(AN85&lt;=0,AN85&lt;&gt;INT(AN85),MOD(AN85,100)&lt;&gt;0))),"违规：股数须为100股整数倍",IF(AND(OR(AL85&lt;&gt;"",AN85&lt;&gt;""),OR(_LockStatus="已锁仓",_LockStatus="解锁信息不完整")),"违规：锁仓期间禁止加仓",IF(AQ85&gt;C85*D85,"违规：超过单笔风险上限",IF(SUM($AQ$2:$AQ$201)&gt;账户数据!$B$7,"违规：超过账户风险上限","通过")))))))))</f>
        <v/>
      </c>
    </row>
    <row r="86">
      <c r="A86" s="2" t="n">
        <v>85</v>
      </c>
      <c r="B86" s="2" t="inlineStr">
        <is>
          <t>鹏鼎控股</t>
        </is>
      </c>
      <c r="C86" s="40" t="n">
        <v>183103</v>
      </c>
      <c r="D86" s="6" t="n">
        <v>0.02</v>
      </c>
      <c r="E86" s="40" t="n">
        <v>27.82</v>
      </c>
      <c r="F86" s="8">
        <f>IF(OR(C86="",D86="",E86="",N86="",C86&lt;=0,D86&lt;=0,E86&lt;=N86),"",ROUNDDOWN((C86*D86)/(E86-N86)/100,0)*100)</f>
        <v/>
      </c>
      <c r="G86" s="8">
        <f>IF(A86="","",IF(H86&lt;&gt;"","已开仓",IF(账户数据!$B$23="已锁仓","禁止开仓：连续亏损达到上限",IF(账户数据!$B$23="解锁信息不完整","禁止开仓：请完整填写解锁信息",IF(OR(F86="",E86="",N86="",E86&lt;=N86,账户数据!$B$7=""),"",IF(OR(AG86="",AH86="",AI86=""),"禁止开仓：交易预期未填写完整",IF(COUNTIFS(持仓跟踪!$A$2:$A$501,"止损计划",持仓跟踪!$B$2:$B$501,A86,持仓跟踪!$AC$2:$AC$501,"计划有效")=0,"禁止开仓：请先填写止损计划",IF(账户数据!$B$9+F86*(E86-N86)&gt;=账户数据!$B$7,"禁止开仓：风险额度不足",IF(AJ86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6" s="2" t="n">
        <v>2000</v>
      </c>
      <c r="I86" s="41" t="n">
        <v>45016</v>
      </c>
      <c r="J86" s="40" t="n">
        <v>30</v>
      </c>
      <c r="K86" s="40" t="n">
        <v>25.74</v>
      </c>
      <c r="L86" s="8">
        <f>IF(K86="","",H86)</f>
        <v/>
      </c>
      <c r="M86" s="41" t="n">
        <v>45029</v>
      </c>
      <c r="N86" s="40" t="n">
        <v>26</v>
      </c>
      <c r="O86" s="40" t="n"/>
      <c r="P86" s="40" t="n"/>
      <c r="Q86" s="2" t="n"/>
      <c r="R86" s="2" t="n"/>
      <c r="S86" s="2" t="n"/>
      <c r="T86" s="2" t="n"/>
      <c r="U86" s="7">
        <f>IF(OR(AO86="",J86="",AO86&lt;=0),"",(J86-AO86)/AO86)</f>
        <v/>
      </c>
      <c r="V86" s="7">
        <f>IF(OR(AO86="",N86="",AO86&lt;=0),"",(AO86-N86)/AO86)</f>
        <v/>
      </c>
      <c r="W86" s="13">
        <f>IF(OR(U86="",V86="",V86&lt;=0),"",U86/V86)</f>
        <v/>
      </c>
      <c r="X86" s="42">
        <f>IF(OR(K86="",L86="",AP86=""),"",K86*L86-(E86*H86+IF(AND(AK86&lt;&gt;"",AL86&lt;&gt;""),AK86*AL86,0)+IF(AND(AM86&lt;&gt;"",AN86&lt;&gt;""),AM86*AN86,0))-IF(O86="",0,O86)-IF(P86="",0,P86))</f>
        <v/>
      </c>
      <c r="Y86" s="7">
        <f>IF(OR(X86="",AP86=""),"",IF((E86*H86+IF(AND(AK86&lt;&gt;"",AL86&lt;&gt;""),AK86*AL86,0)+IF(AND(AM86&lt;&gt;"",AN86&lt;&gt;""),AM86*AN86,0))+IF(O86="",0,O86)&lt;=0,"",X86/((E86*H86+IF(AND(AK86&lt;&gt;"",AL86&lt;&gt;""),AK86*AL86,0)+IF(AND(AM86&lt;&gt;"",AN86&lt;&gt;""),AM86*AN86,0))+IF(O86="",0,O86))))</f>
        <v/>
      </c>
      <c r="Z86" s="7">
        <f>IF(OR(AE86="",多次统计数据!$B$8=""),"",AE86-多次统计数据!$B$8)</f>
        <v/>
      </c>
      <c r="AA86" s="14">
        <f>IF(OR(I86="",M86="",M86&lt;I86),"",M86-I86)</f>
        <v/>
      </c>
      <c r="AB86" s="7">
        <f>IF(OR(A86="",多次统计数据!$B$8="",多次统计数据!$B$6&lt;=0,多次统计数据!$B$6&gt;=1),"",1-POWER(1+多次统计数据!$B$8,-多次统计数据!$B$6/(1-多次统计数据!$B$6)))</f>
        <v/>
      </c>
      <c r="AC86" s="8">
        <f>IF(OR(AB86="",多次统计数据!$B$9=""),"",IF(多次统计数据!$B$9&lt;AB86,"低于上限","达到或超过上限"))</f>
        <v/>
      </c>
      <c r="AD86" s="2" t="inlineStr">
        <is>
          <t>3-一般</t>
        </is>
      </c>
      <c r="AE86" s="7">
        <f>IF(OR(X86="",C86="",C86&lt;=0),"",X86/C86)</f>
        <v/>
      </c>
      <c r="AF86" t="inlineStr">
        <is>
          <t>又低谷了压力位</t>
        </is>
      </c>
      <c r="AG86" s="28" t="n"/>
      <c r="AH86" s="28" t="n"/>
      <c r="AI86" s="28" t="n"/>
      <c r="AJ86" s="31">
        <f>IF(OR(AG86="",AH86=""),"",IF(OR(AND(AG86="短期博反弹",OR(AH86="1～3个交易日",AH86="4～10个交易日")),AND(AG86="突破冲新高",OR(AH86="4～10个交易日",AH86="11～20个交易日")),AND(AG86="趋势波段",OR(AH86="11～20个交易日",AH86="21～60个交易日",AH86="60个交易日以上"))),"匹配","周期与交易预期不匹配，请重新确认"))</f>
        <v/>
      </c>
      <c r="AK86" s="43" t="n"/>
      <c r="AL86" s="27" t="n"/>
      <c r="AM86" s="43" t="n"/>
      <c r="AN86" s="27" t="n"/>
      <c r="AO86" s="44">
        <f>IF(OR(A86="",H86="",H86&lt;=0),"",(E86*H86+IF(AND(AK86&lt;&gt;"",AL86&lt;&gt;""),AK86*AL86,0)+IF(AND(AM86&lt;&gt;"",AN86&lt;&gt;""),AM86*AN86,0))/AP86)</f>
        <v/>
      </c>
      <c r="AP86" s="26">
        <f>IF(OR(A86="",H86="",H86&lt;=0),"",H86+IF(AL86="",0,AL86)+IF(AN86="",0,AN86))</f>
        <v/>
      </c>
      <c r="AQ86" s="44">
        <f>IF(A86="","",IF(M86&lt;&gt;"",0,IF(OR(H86="",N86=""),"",MAX(E86-MAX(N86,IFERROR(AGGREGATE(14,6,'持仓跟踪'!$S$2:$S$501/(('持仓跟踪'!$A$2:$A$501="每日跟踪")*('持仓跟踪'!$B$2:$B$501=A86)),1),0)),0)*H86+IF(OR(AK86="",AL86=""),0,MAX(AK86-MAX(N86,IFERROR(AGGREGATE(14,6,'持仓跟踪'!$S$2:$S$501/(('持仓跟踪'!$A$2:$A$501="每日跟踪")*('持仓跟踪'!$B$2:$B$501=A86)),1),0)),0)*AL86)+IF(OR(AM86="",AN86=""),0,MAX(AM86-MAX(N86,IFERROR(AGGREGATE(14,6,'持仓跟踪'!$S$2:$S$501/(('持仓跟踪'!$A$2:$A$501="每日跟踪")*('持仓跟踪'!$B$2:$B$501=A86)),1),0)),0)*AN86))))</f>
        <v/>
      </c>
      <c r="AR86" s="31">
        <f>IF(A86="","",IF(OR(E86="",H86=""),"违规：第一批价格或股数缺失",IF(OR(AND(AK86="",AL86&lt;&gt;""),AND(AK86&lt;&gt;"",AL86="")),"违规：第二批价格与股数须成对填写",IF(OR(AND(AM86="",AN86&lt;&gt;""),AND(AM86&lt;&gt;"",AN86="")),"违规：第三批价格与股数须成对填写",IF(AND(OR(AM86&lt;&gt;"",AN86&lt;&gt;""),OR(AK86="",AL86="")),"违规：必须先完成第二批",IF(OR(H86&lt;=0,H86&lt;&gt;INT(H86),MOD(H86,100)&lt;&gt;0,AND(AL86&lt;&gt;"",OR(AL86&lt;=0,AL86&lt;&gt;INT(AL86),MOD(AL86,100)&lt;&gt;0)),AND(AN86&lt;&gt;"",OR(AN86&lt;=0,AN86&lt;&gt;INT(AN86),MOD(AN86,100)&lt;&gt;0))),"违规：股数须为100股整数倍",IF(AND(OR(AL86&lt;&gt;"",AN86&lt;&gt;""),OR(_LockStatus="已锁仓",_LockStatus="解锁信息不完整")),"违规：锁仓期间禁止加仓",IF(AQ86&gt;C86*D86,"违规：超过单笔风险上限",IF(SUM($AQ$2:$AQ$201)&gt;账户数据!$B$7,"违规：超过账户风险上限","通过")))))))))</f>
        <v/>
      </c>
    </row>
    <row r="87">
      <c r="A87" s="2" t="n">
        <v>86</v>
      </c>
      <c r="B87" s="2" t="inlineStr">
        <is>
          <t>华润江中</t>
        </is>
      </c>
      <c r="C87" s="40" t="n">
        <v>178943</v>
      </c>
      <c r="D87" s="6" t="n">
        <v>0.02</v>
      </c>
      <c r="E87" s="40" t="n">
        <v>4.2</v>
      </c>
      <c r="F87" s="8">
        <f>IF(OR(C87="",D87="",E87="",N87="",C87&lt;=0,D87&lt;=0,E87&lt;=N87),"",ROUNDDOWN((C87*D87)/(E87-N87)/100,0)*100)</f>
        <v/>
      </c>
      <c r="G87" s="8">
        <f>IF(A87="","",IF(H87&lt;&gt;"","已开仓",IF(账户数据!$B$23="已锁仓","禁止开仓：连续亏损达到上限",IF(账户数据!$B$23="解锁信息不完整","禁止开仓：请完整填写解锁信息",IF(OR(F87="",E87="",N87="",E87&lt;=N87,账户数据!$B$7=""),"",IF(OR(AG87="",AH87="",AI87=""),"禁止开仓：交易预期未填写完整",IF(COUNTIFS(持仓跟踪!$A$2:$A$501,"止损计划",持仓跟踪!$B$2:$B$501,A87,持仓跟踪!$AC$2:$AC$501,"计划有效")=0,"禁止开仓：请先填写止损计划",IF(账户数据!$B$9+F87*(E87-N87)&gt;=账户数据!$B$7,"禁止开仓：风险额度不足",IF(AJ87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7" s="2" t="n">
        <v>8900</v>
      </c>
      <c r="I87" s="41" t="n">
        <v>43748</v>
      </c>
      <c r="J87" s="40" t="n">
        <v>4.8</v>
      </c>
      <c r="K87" s="40" t="n">
        <v>4.25</v>
      </c>
      <c r="L87" s="8">
        <f>IF(K87="","",H87)</f>
        <v/>
      </c>
      <c r="M87" s="41" t="n">
        <v>43756</v>
      </c>
      <c r="N87" s="40" t="n">
        <v>3.8</v>
      </c>
      <c r="O87" s="40" t="n"/>
      <c r="P87" s="40" t="n"/>
      <c r="Q87" s="2" t="n"/>
      <c r="R87" s="2" t="n"/>
      <c r="S87" s="2" t="n"/>
      <c r="T87" s="2" t="n"/>
      <c r="U87" s="7">
        <f>IF(OR(AO87="",J87="",AO87&lt;=0),"",(J87-AO87)/AO87)</f>
        <v/>
      </c>
      <c r="V87" s="7">
        <f>IF(OR(AO87="",N87="",AO87&lt;=0),"",(AO87-N87)/AO87)</f>
        <v/>
      </c>
      <c r="W87" s="13">
        <f>IF(OR(U87="",V87="",V87&lt;=0),"",U87/V87)</f>
        <v/>
      </c>
      <c r="X87" s="42">
        <f>IF(OR(K87="",L87="",AP87=""),"",K87*L87-(E87*H87+IF(AND(AK87&lt;&gt;"",AL87&lt;&gt;""),AK87*AL87,0)+IF(AND(AM87&lt;&gt;"",AN87&lt;&gt;""),AM87*AN87,0))-IF(O87="",0,O87)-IF(P87="",0,P87))</f>
        <v/>
      </c>
      <c r="Y87" s="7">
        <f>IF(OR(X87="",AP87=""),"",IF((E87*H87+IF(AND(AK87&lt;&gt;"",AL87&lt;&gt;""),AK87*AL87,0)+IF(AND(AM87&lt;&gt;"",AN87&lt;&gt;""),AM87*AN87,0))+IF(O87="",0,O87)&lt;=0,"",X87/((E87*H87+IF(AND(AK87&lt;&gt;"",AL87&lt;&gt;""),AK87*AL87,0)+IF(AND(AM87&lt;&gt;"",AN87&lt;&gt;""),AM87*AN87,0))+IF(O87="",0,O87))))</f>
        <v/>
      </c>
      <c r="Z87" s="7">
        <f>IF(OR(AE87="",多次统计数据!$B$8=""),"",AE87-多次统计数据!$B$8)</f>
        <v/>
      </c>
      <c r="AA87" s="14">
        <f>IF(OR(I87="",M87="",M87&lt;I87),"",M87-I87)</f>
        <v/>
      </c>
      <c r="AB87" s="7">
        <f>IF(OR(A87="",多次统计数据!$B$8="",多次统计数据!$B$6&lt;=0,多次统计数据!$B$6&gt;=1),"",1-POWER(1+多次统计数据!$B$8,-多次统计数据!$B$6/(1-多次统计数据!$B$6)))</f>
        <v/>
      </c>
      <c r="AC87" s="8">
        <f>IF(OR(AB87="",多次统计数据!$B$9=""),"",IF(多次统计数据!$B$9&lt;AB87,"低于上限","达到或超过上限"))</f>
        <v/>
      </c>
      <c r="AD87" s="2" t="n"/>
      <c r="AE87" s="7">
        <f>IF(OR(X87="",C87="",C87&lt;=0),"",X87/C87)</f>
        <v/>
      </c>
      <c r="AG87" s="28" t="n"/>
      <c r="AH87" s="28" t="n"/>
      <c r="AI87" s="28" t="n"/>
      <c r="AJ87" s="31">
        <f>IF(OR(AG87="",AH87=""),"",IF(OR(AND(AG87="短期博反弹",OR(AH87="1～3个交易日",AH87="4～10个交易日")),AND(AG87="突破冲新高",OR(AH87="4～10个交易日",AH87="11～20个交易日")),AND(AG87="趋势波段",OR(AH87="11～20个交易日",AH87="21～60个交易日",AH87="60个交易日以上"))),"匹配","周期与交易预期不匹配，请重新确认"))</f>
        <v/>
      </c>
      <c r="AK87" s="43" t="n"/>
      <c r="AL87" s="27" t="n"/>
      <c r="AM87" s="43" t="n"/>
      <c r="AN87" s="27" t="n"/>
      <c r="AO87" s="44">
        <f>IF(OR(A87="",H87="",H87&lt;=0),"",(E87*H87+IF(AND(AK87&lt;&gt;"",AL87&lt;&gt;""),AK87*AL87,0)+IF(AND(AM87&lt;&gt;"",AN87&lt;&gt;""),AM87*AN87,0))/AP87)</f>
        <v/>
      </c>
      <c r="AP87" s="26">
        <f>IF(OR(A87="",H87="",H87&lt;=0),"",H87+IF(AL87="",0,AL87)+IF(AN87="",0,AN87))</f>
        <v/>
      </c>
      <c r="AQ87" s="44">
        <f>IF(A87="","",IF(M87&lt;&gt;"",0,IF(OR(H87="",N87=""),"",MAX(E87-MAX(N87,IFERROR(AGGREGATE(14,6,'持仓跟踪'!$S$2:$S$501/(('持仓跟踪'!$A$2:$A$501="每日跟踪")*('持仓跟踪'!$B$2:$B$501=A87)),1),0)),0)*H87+IF(OR(AK87="",AL87=""),0,MAX(AK87-MAX(N87,IFERROR(AGGREGATE(14,6,'持仓跟踪'!$S$2:$S$501/(('持仓跟踪'!$A$2:$A$501="每日跟踪")*('持仓跟踪'!$B$2:$B$501=A87)),1),0)),0)*AL87)+IF(OR(AM87="",AN87=""),0,MAX(AM87-MAX(N87,IFERROR(AGGREGATE(14,6,'持仓跟踪'!$S$2:$S$501/(('持仓跟踪'!$A$2:$A$501="每日跟踪")*('持仓跟踪'!$B$2:$B$501=A87)),1),0)),0)*AN87))))</f>
        <v/>
      </c>
      <c r="AR87" s="31">
        <f>IF(A87="","",IF(OR(E87="",H87=""),"违规：第一批价格或股数缺失",IF(OR(AND(AK87="",AL87&lt;&gt;""),AND(AK87&lt;&gt;"",AL87="")),"违规：第二批价格与股数须成对填写",IF(OR(AND(AM87="",AN87&lt;&gt;""),AND(AM87&lt;&gt;"",AN87="")),"违规：第三批价格与股数须成对填写",IF(AND(OR(AM87&lt;&gt;"",AN87&lt;&gt;""),OR(AK87="",AL87="")),"违规：必须先完成第二批",IF(OR(H87&lt;=0,H87&lt;&gt;INT(H87),MOD(H87,100)&lt;&gt;0,AND(AL87&lt;&gt;"",OR(AL87&lt;=0,AL87&lt;&gt;INT(AL87),MOD(AL87,100)&lt;&gt;0)),AND(AN87&lt;&gt;"",OR(AN87&lt;=0,AN87&lt;&gt;INT(AN87),MOD(AN87,100)&lt;&gt;0))),"违规：股数须为100股整数倍",IF(AND(OR(AL87&lt;&gt;"",AN87&lt;&gt;""),OR(_LockStatus="已锁仓",_LockStatus="解锁信息不完整")),"违规：锁仓期间禁止加仓",IF(AQ87&gt;C87*D87,"违规：超过单笔风险上限",IF(SUM($AQ$2:$AQ$201)&gt;账户数据!$B$7,"违规：超过账户风险上限","通过")))))))))</f>
        <v/>
      </c>
    </row>
    <row r="88">
      <c r="A88" s="2" t="n">
        <v>87</v>
      </c>
      <c r="B88" s="2" t="inlineStr">
        <is>
          <t>华润江中</t>
        </is>
      </c>
      <c r="C88" s="40" t="n">
        <v>179388</v>
      </c>
      <c r="D88" s="6" t="n">
        <v>0.02</v>
      </c>
      <c r="E88" s="40" t="n">
        <v>4.46</v>
      </c>
      <c r="F88" s="8">
        <f>IF(OR(C88="",D88="",E88="",N88="",C88&lt;=0,D88&lt;=0,E88&lt;=N88),"",ROUNDDOWN((C88*D88)/(E88-N88)/100,0)*100)</f>
        <v/>
      </c>
      <c r="G88" s="8">
        <f>IF(A88="","",IF(H88&lt;&gt;"","已开仓",IF(账户数据!$B$23="已锁仓","禁止开仓：连续亏损达到上限",IF(账户数据!$B$23="解锁信息不完整","禁止开仓：请完整填写解锁信息",IF(OR(F88="",E88="",N88="",E88&lt;=N88,账户数据!$B$7=""),"",IF(OR(AG88="",AH88="",AI88=""),"禁止开仓：交易预期未填写完整",IF(COUNTIFS(持仓跟踪!$A$2:$A$501,"止损计划",持仓跟踪!$B$2:$B$501,A88,持仓跟踪!$AC$2:$AC$501,"计划有效")=0,"禁止开仓：请先填写止损计划",IF(账户数据!$B$9+F88*(E88-N88)&gt;=账户数据!$B$7,"禁止开仓：风险额度不足",IF(AJ88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8" s="2" t="n">
        <v>13700</v>
      </c>
      <c r="I88" s="41" t="n">
        <v>43753</v>
      </c>
      <c r="J88" s="40" t="n">
        <v>5</v>
      </c>
      <c r="K88" s="40" t="n">
        <v>4.9</v>
      </c>
      <c r="L88" s="8">
        <f>IF(K88="","",H88)</f>
        <v/>
      </c>
      <c r="M88" s="41" t="n">
        <v>43767</v>
      </c>
      <c r="N88" s="40" t="n">
        <v>4.2</v>
      </c>
      <c r="O88" s="40" t="n"/>
      <c r="P88" s="40" t="n"/>
      <c r="Q88" s="2" t="n"/>
      <c r="R88" s="2" t="n"/>
      <c r="S88" s="2" t="n"/>
      <c r="T88" s="2" t="n"/>
      <c r="U88" s="7">
        <f>IF(OR(AO88="",J88="",AO88&lt;=0),"",(J88-AO88)/AO88)</f>
        <v/>
      </c>
      <c r="V88" s="7">
        <f>IF(OR(AO88="",N88="",AO88&lt;=0),"",(AO88-N88)/AO88)</f>
        <v/>
      </c>
      <c r="W88" s="13">
        <f>IF(OR(U88="",V88="",V88&lt;=0),"",U88/V88)</f>
        <v/>
      </c>
      <c r="X88" s="42">
        <f>IF(OR(K88="",L88="",AP88=""),"",K88*L88-(E88*H88+IF(AND(AK88&lt;&gt;"",AL88&lt;&gt;""),AK88*AL88,0)+IF(AND(AM88&lt;&gt;"",AN88&lt;&gt;""),AM88*AN88,0))-IF(O88="",0,O88)-IF(P88="",0,P88))</f>
        <v/>
      </c>
      <c r="Y88" s="7">
        <f>IF(OR(X88="",AP88=""),"",IF((E88*H88+IF(AND(AK88&lt;&gt;"",AL88&lt;&gt;""),AK88*AL88,0)+IF(AND(AM88&lt;&gt;"",AN88&lt;&gt;""),AM88*AN88,0))+IF(O88="",0,O88)&lt;=0,"",X88/((E88*H88+IF(AND(AK88&lt;&gt;"",AL88&lt;&gt;""),AK88*AL88,0)+IF(AND(AM88&lt;&gt;"",AN88&lt;&gt;""),AM88*AN88,0))+IF(O88="",0,O88))))</f>
        <v/>
      </c>
      <c r="Z88" s="7">
        <f>IF(OR(AE88="",多次统计数据!$B$8=""),"",AE88-多次统计数据!$B$8)</f>
        <v/>
      </c>
      <c r="AA88" s="14">
        <f>IF(OR(I88="",M88="",M88&lt;I88),"",M88-I88)</f>
        <v/>
      </c>
      <c r="AB88" s="7">
        <f>IF(OR(A88="",多次统计数据!$B$8="",多次统计数据!$B$6&lt;=0,多次统计数据!$B$6&gt;=1),"",1-POWER(1+多次统计数据!$B$8,-多次统计数据!$B$6/(1-多次统计数据!$B$6)))</f>
        <v/>
      </c>
      <c r="AC88" s="8">
        <f>IF(OR(AB88="",多次统计数据!$B$9=""),"",IF(多次统计数据!$B$9&lt;AB88,"低于上限","达到或超过上限"))</f>
        <v/>
      </c>
      <c r="AD88" s="2" t="inlineStr">
        <is>
          <t>5-优秀</t>
        </is>
      </c>
      <c r="AE88" s="7">
        <f>IF(OR(X88="",C88="",C88&lt;=0),"",X88/C88)</f>
        <v/>
      </c>
      <c r="AG88" s="28" t="n"/>
      <c r="AH88" s="28" t="n"/>
      <c r="AI88" s="28" t="n"/>
      <c r="AJ88" s="31">
        <f>IF(OR(AG88="",AH88=""),"",IF(OR(AND(AG88="短期博反弹",OR(AH88="1～3个交易日",AH88="4～10个交易日")),AND(AG88="突破冲新高",OR(AH88="4～10个交易日",AH88="11～20个交易日")),AND(AG88="趋势波段",OR(AH88="11～20个交易日",AH88="21～60个交易日",AH88="60个交易日以上"))),"匹配","周期与交易预期不匹配，请重新确认"))</f>
        <v/>
      </c>
      <c r="AK88" s="43" t="n"/>
      <c r="AL88" s="27" t="n"/>
      <c r="AM88" s="43" t="n"/>
      <c r="AN88" s="27" t="n"/>
      <c r="AO88" s="44">
        <f>IF(OR(A88="",H88="",H88&lt;=0),"",(E88*H88+IF(AND(AK88&lt;&gt;"",AL88&lt;&gt;""),AK88*AL88,0)+IF(AND(AM88&lt;&gt;"",AN88&lt;&gt;""),AM88*AN88,0))/AP88)</f>
        <v/>
      </c>
      <c r="AP88" s="26">
        <f>IF(OR(A88="",H88="",H88&lt;=0),"",H88+IF(AL88="",0,AL88)+IF(AN88="",0,AN88))</f>
        <v/>
      </c>
      <c r="AQ88" s="44">
        <f>IF(A88="","",IF(M88&lt;&gt;"",0,IF(OR(H88="",N88=""),"",MAX(E88-MAX(N88,IFERROR(AGGREGATE(14,6,'持仓跟踪'!$S$2:$S$501/(('持仓跟踪'!$A$2:$A$501="每日跟踪")*('持仓跟踪'!$B$2:$B$501=A88)),1),0)),0)*H88+IF(OR(AK88="",AL88=""),0,MAX(AK88-MAX(N88,IFERROR(AGGREGATE(14,6,'持仓跟踪'!$S$2:$S$501/(('持仓跟踪'!$A$2:$A$501="每日跟踪")*('持仓跟踪'!$B$2:$B$501=A88)),1),0)),0)*AL88)+IF(OR(AM88="",AN88=""),0,MAX(AM88-MAX(N88,IFERROR(AGGREGATE(14,6,'持仓跟踪'!$S$2:$S$501/(('持仓跟踪'!$A$2:$A$501="每日跟踪")*('持仓跟踪'!$B$2:$B$501=A88)),1),0)),0)*AN88))))</f>
        <v/>
      </c>
      <c r="AR88" s="31">
        <f>IF(A88="","",IF(OR(E88="",H88=""),"违规：第一批价格或股数缺失",IF(OR(AND(AK88="",AL88&lt;&gt;""),AND(AK88&lt;&gt;"",AL88="")),"违规：第二批价格与股数须成对填写",IF(OR(AND(AM88="",AN88&lt;&gt;""),AND(AM88&lt;&gt;"",AN88="")),"违规：第三批价格与股数须成对填写",IF(AND(OR(AM88&lt;&gt;"",AN88&lt;&gt;""),OR(AK88="",AL88="")),"违规：必须先完成第二批",IF(OR(H88&lt;=0,H88&lt;&gt;INT(H88),MOD(H88,100)&lt;&gt;0,AND(AL88&lt;&gt;"",OR(AL88&lt;=0,AL88&lt;&gt;INT(AL88),MOD(AL88,100)&lt;&gt;0)),AND(AN88&lt;&gt;"",OR(AN88&lt;=0,AN88&lt;&gt;INT(AN88),MOD(AN88,100)&lt;&gt;0))),"违规：股数须为100股整数倍",IF(AND(OR(AL88&lt;&gt;"",AN88&lt;&gt;""),OR(_LockStatus="已锁仓",_LockStatus="解锁信息不完整")),"违规：锁仓期间禁止加仓",IF(AQ88&gt;C88*D88,"违规：超过单笔风险上限",IF(SUM($AQ$2:$AQ$201)&gt;账户数据!$B$7,"违规：超过账户风险上限","通过")))))))))</f>
        <v/>
      </c>
    </row>
    <row r="89">
      <c r="A89" s="2" t="n">
        <v>88</v>
      </c>
      <c r="B89" s="2" t="inlineStr">
        <is>
          <t>华润江中</t>
        </is>
      </c>
      <c r="C89" s="40" t="n">
        <v>185416</v>
      </c>
      <c r="D89" s="6" t="n">
        <v>0.02</v>
      </c>
      <c r="E89" s="40" t="n">
        <v>5.19</v>
      </c>
      <c r="F89" s="8">
        <f>IF(OR(C89="",D89="",E89="",N89="",C89&lt;=0,D89&lt;=0,E89&lt;=N89),"",ROUNDDOWN((C89*D89)/(E89-N89)/100,0)*100)</f>
        <v/>
      </c>
      <c r="G89" s="8">
        <f>IF(A89="","",IF(H89&lt;&gt;"","已开仓",IF(账户数据!$B$23="已锁仓","禁止开仓：连续亏损达到上限",IF(账户数据!$B$23="解锁信息不完整","禁止开仓：请完整填写解锁信息",IF(OR(F89="",E89="",N89="",E89&lt;=N89,账户数据!$B$7=""),"",IF(OR(AG89="",AH89="",AI89=""),"禁止开仓：交易预期未填写完整",IF(COUNTIFS(持仓跟踪!$A$2:$A$501,"止损计划",持仓跟踪!$B$2:$B$501,A89,持仓跟踪!$AC$2:$AC$501,"计划有效")=0,"禁止开仓：请先填写止损计划",IF(账户数据!$B$9+F89*(E89-N89)&gt;=账户数据!$B$7,"禁止开仓：风险额度不足",IF(AJ89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89" s="2" t="n">
        <v>19500</v>
      </c>
      <c r="I89" s="41" t="n">
        <v>43775</v>
      </c>
      <c r="J89" s="40" t="n">
        <v>6</v>
      </c>
      <c r="K89" s="40" t="n">
        <v>4.63</v>
      </c>
      <c r="L89" s="8">
        <f>IF(K89="","",H89)</f>
        <v/>
      </c>
      <c r="M89" s="41" t="n">
        <v>43777</v>
      </c>
      <c r="N89" s="40" t="n">
        <v>5</v>
      </c>
      <c r="O89" s="40" t="n"/>
      <c r="P89" s="40" t="n"/>
      <c r="Q89" s="2" t="n"/>
      <c r="R89" s="2" t="n"/>
      <c r="S89" s="2" t="n"/>
      <c r="T89" s="2" t="n"/>
      <c r="U89" s="7">
        <f>IF(OR(AO89="",J89="",AO89&lt;=0),"",(J89-AO89)/AO89)</f>
        <v/>
      </c>
      <c r="V89" s="7">
        <f>IF(OR(AO89="",N89="",AO89&lt;=0),"",(AO89-N89)/AO89)</f>
        <v/>
      </c>
      <c r="W89" s="13">
        <f>IF(OR(U89="",V89="",V89&lt;=0),"",U89/V89)</f>
        <v/>
      </c>
      <c r="X89" s="42">
        <f>IF(OR(K89="",L89="",AP89=""),"",K89*L89-(E89*H89+IF(AND(AK89&lt;&gt;"",AL89&lt;&gt;""),AK89*AL89,0)+IF(AND(AM89&lt;&gt;"",AN89&lt;&gt;""),AM89*AN89,0))-IF(O89="",0,O89)-IF(P89="",0,P89))</f>
        <v/>
      </c>
      <c r="Y89" s="7">
        <f>IF(OR(X89="",AP89=""),"",IF((E89*H89+IF(AND(AK89&lt;&gt;"",AL89&lt;&gt;""),AK89*AL89,0)+IF(AND(AM89&lt;&gt;"",AN89&lt;&gt;""),AM89*AN89,0))+IF(O89="",0,O89)&lt;=0,"",X89/((E89*H89+IF(AND(AK89&lt;&gt;"",AL89&lt;&gt;""),AK89*AL89,0)+IF(AND(AM89&lt;&gt;"",AN89&lt;&gt;""),AM89*AN89,0))+IF(O89="",0,O89))))</f>
        <v/>
      </c>
      <c r="Z89" s="7">
        <f>IF(OR(AE89="",多次统计数据!$B$8=""),"",AE89-多次统计数据!$B$8)</f>
        <v/>
      </c>
      <c r="AA89" s="14">
        <f>IF(OR(I89="",M89="",M89&lt;I89),"",M89-I89)</f>
        <v/>
      </c>
      <c r="AB89" s="7">
        <f>IF(OR(A89="",多次统计数据!$B$8="",多次统计数据!$B$6&lt;=0,多次统计数据!$B$6&gt;=1),"",1-POWER(1+多次统计数据!$B$8,-多次统计数据!$B$6/(1-多次统计数据!$B$6)))</f>
        <v/>
      </c>
      <c r="AC89" s="8">
        <f>IF(OR(AB89="",多次统计数据!$B$9=""),"",IF(多次统计数据!$B$9&lt;AB89,"低于上限","达到或超过上限"))</f>
        <v/>
      </c>
      <c r="AD89" s="2" t="inlineStr">
        <is>
          <t>1-差</t>
        </is>
      </c>
      <c r="AE89" s="7">
        <f>IF(OR(X89="",C89="",C89&lt;=0),"",X89/C89)</f>
        <v/>
      </c>
      <c r="AF89" t="inlineStr">
        <is>
          <t>第二天很关键，应该要预测的，有交易量就是继续上涨，没有就是派发</t>
        </is>
      </c>
      <c r="AG89" s="28" t="n"/>
      <c r="AH89" s="28" t="n"/>
      <c r="AI89" s="28" t="n"/>
      <c r="AJ89" s="31">
        <f>IF(OR(AG89="",AH89=""),"",IF(OR(AND(AG89="短期博反弹",OR(AH89="1～3个交易日",AH89="4～10个交易日")),AND(AG89="突破冲新高",OR(AH89="4～10个交易日",AH89="11～20个交易日")),AND(AG89="趋势波段",OR(AH89="11～20个交易日",AH89="21～60个交易日",AH89="60个交易日以上"))),"匹配","周期与交易预期不匹配，请重新确认"))</f>
        <v/>
      </c>
      <c r="AK89" s="43" t="n"/>
      <c r="AL89" s="27" t="n"/>
      <c r="AM89" s="43" t="n"/>
      <c r="AN89" s="27" t="n"/>
      <c r="AO89" s="44">
        <f>IF(OR(A89="",H89="",H89&lt;=0),"",(E89*H89+IF(AND(AK89&lt;&gt;"",AL89&lt;&gt;""),AK89*AL89,0)+IF(AND(AM89&lt;&gt;"",AN89&lt;&gt;""),AM89*AN89,0))/AP89)</f>
        <v/>
      </c>
      <c r="AP89" s="26">
        <f>IF(OR(A89="",H89="",H89&lt;=0),"",H89+IF(AL89="",0,AL89)+IF(AN89="",0,AN89))</f>
        <v/>
      </c>
      <c r="AQ89" s="44">
        <f>IF(A89="","",IF(M89&lt;&gt;"",0,IF(OR(H89="",N89=""),"",MAX(E89-MAX(N89,IFERROR(AGGREGATE(14,6,'持仓跟踪'!$S$2:$S$501/(('持仓跟踪'!$A$2:$A$501="每日跟踪")*('持仓跟踪'!$B$2:$B$501=A89)),1),0)),0)*H89+IF(OR(AK89="",AL89=""),0,MAX(AK89-MAX(N89,IFERROR(AGGREGATE(14,6,'持仓跟踪'!$S$2:$S$501/(('持仓跟踪'!$A$2:$A$501="每日跟踪")*('持仓跟踪'!$B$2:$B$501=A89)),1),0)),0)*AL89)+IF(OR(AM89="",AN89=""),0,MAX(AM89-MAX(N89,IFERROR(AGGREGATE(14,6,'持仓跟踪'!$S$2:$S$501/(('持仓跟踪'!$A$2:$A$501="每日跟踪")*('持仓跟踪'!$B$2:$B$501=A89)),1),0)),0)*AN89))))</f>
        <v/>
      </c>
      <c r="AR89" s="31">
        <f>IF(A89="","",IF(OR(E89="",H89=""),"违规：第一批价格或股数缺失",IF(OR(AND(AK89="",AL89&lt;&gt;""),AND(AK89&lt;&gt;"",AL89="")),"违规：第二批价格与股数须成对填写",IF(OR(AND(AM89="",AN89&lt;&gt;""),AND(AM89&lt;&gt;"",AN89="")),"违规：第三批价格与股数须成对填写",IF(AND(OR(AM89&lt;&gt;"",AN89&lt;&gt;""),OR(AK89="",AL89="")),"违规：必须先完成第二批",IF(OR(H89&lt;=0,H89&lt;&gt;INT(H89),MOD(H89,100)&lt;&gt;0,AND(AL89&lt;&gt;"",OR(AL89&lt;=0,AL89&lt;&gt;INT(AL89),MOD(AL89,100)&lt;&gt;0)),AND(AN89&lt;&gt;"",OR(AN89&lt;=0,AN89&lt;&gt;INT(AN89),MOD(AN89,100)&lt;&gt;0))),"违规：股数须为100股整数倍",IF(AND(OR(AL89&lt;&gt;"",AN89&lt;&gt;""),OR(_LockStatus="已锁仓",_LockStatus="解锁信息不完整")),"违规：锁仓期间禁止加仓",IF(AQ89&gt;C89*D89,"违规：超过单笔风险上限",IF(SUM($AQ$2:$AQ$201)&gt;账户数据!$B$7,"违规：超过账户风险上限","通过")))))))))</f>
        <v/>
      </c>
    </row>
    <row r="90">
      <c r="A90" s="2" t="n">
        <v>89</v>
      </c>
      <c r="B90" s="2" t="inlineStr">
        <is>
          <t>华润江中</t>
        </is>
      </c>
      <c r="C90" s="40" t="n">
        <v>174496</v>
      </c>
      <c r="D90" s="6" t="n">
        <v>0.02</v>
      </c>
      <c r="E90" s="40" t="n">
        <v>4.99</v>
      </c>
      <c r="F90" s="8">
        <f>IF(OR(C90="",D90="",E90="",N90="",C90&lt;=0,D90&lt;=0,E90&lt;=N90),"",ROUNDDOWN((C90*D90)/(E90-N90)/100,0)*100)</f>
        <v/>
      </c>
      <c r="G90" s="8">
        <f>IF(A90="","",IF(H90&lt;&gt;"","已开仓",IF(账户数据!$B$23="已锁仓","禁止开仓：连续亏损达到上限",IF(账户数据!$B$23="解锁信息不完整","禁止开仓：请完整填写解锁信息",IF(OR(F90="",E90="",N90="",E90&lt;=N90,账户数据!$B$7=""),"",IF(OR(AG90="",AH90="",AI90=""),"禁止开仓：交易预期未填写完整",IF(COUNTIFS(持仓跟踪!$A$2:$A$501,"止损计划",持仓跟踪!$B$2:$B$501,A90,持仓跟踪!$AC$2:$AC$501,"计划有效")=0,"禁止开仓：请先填写止损计划",IF(账户数据!$B$9+F90*(E90-N90)&gt;=账户数据!$B$7,"禁止开仓：风险额度不足",IF(AJ90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0" s="2" t="n">
        <v>7100</v>
      </c>
      <c r="I90" s="41" t="n">
        <v>43851</v>
      </c>
      <c r="J90" s="40" t="n">
        <v>6</v>
      </c>
      <c r="K90" s="40" t="n">
        <v>4.55</v>
      </c>
      <c r="L90" s="8">
        <f>IF(K90="","",H90)</f>
        <v/>
      </c>
      <c r="M90" s="41" t="n">
        <v>43852</v>
      </c>
      <c r="N90" s="40" t="n">
        <v>4.5</v>
      </c>
      <c r="O90" s="40" t="n"/>
      <c r="P90" s="40" t="n"/>
      <c r="Q90" s="2" t="n"/>
      <c r="R90" s="2" t="n"/>
      <c r="S90" s="2" t="n"/>
      <c r="T90" s="2" t="n"/>
      <c r="U90" s="7">
        <f>IF(OR(AO90="",J90="",AO90&lt;=0),"",(J90-AO90)/AO90)</f>
        <v/>
      </c>
      <c r="V90" s="7">
        <f>IF(OR(AO90="",N90="",AO90&lt;=0),"",(AO90-N90)/AO90)</f>
        <v/>
      </c>
      <c r="W90" s="13">
        <f>IF(OR(U90="",V90="",V90&lt;=0),"",U90/V90)</f>
        <v/>
      </c>
      <c r="X90" s="42">
        <f>IF(OR(K90="",L90="",AP90=""),"",K90*L90-(E90*H90+IF(AND(AK90&lt;&gt;"",AL90&lt;&gt;""),AK90*AL90,0)+IF(AND(AM90&lt;&gt;"",AN90&lt;&gt;""),AM90*AN90,0))-IF(O90="",0,O90)-IF(P90="",0,P90))</f>
        <v/>
      </c>
      <c r="Y90" s="7">
        <f>IF(OR(X90="",AP90=""),"",IF((E90*H90+IF(AND(AK90&lt;&gt;"",AL90&lt;&gt;""),AK90*AL90,0)+IF(AND(AM90&lt;&gt;"",AN90&lt;&gt;""),AM90*AN90,0))+IF(O90="",0,O90)&lt;=0,"",X90/((E90*H90+IF(AND(AK90&lt;&gt;"",AL90&lt;&gt;""),AK90*AL90,0)+IF(AND(AM90&lt;&gt;"",AN90&lt;&gt;""),AM90*AN90,0))+IF(O90="",0,O90))))</f>
        <v/>
      </c>
      <c r="Z90" s="7">
        <f>IF(OR(AE90="",多次统计数据!$B$8=""),"",AE90-多次统计数据!$B$8)</f>
        <v/>
      </c>
      <c r="AA90" s="14">
        <f>IF(OR(I90="",M90="",M90&lt;I90),"",M90-I90)</f>
        <v/>
      </c>
      <c r="AB90" s="7">
        <f>IF(OR(A90="",多次统计数据!$B$8="",多次统计数据!$B$6&lt;=0,多次统计数据!$B$6&gt;=1),"",1-POWER(1+多次统计数据!$B$8,-多次统计数据!$B$6/(1-多次统计数据!$B$6)))</f>
        <v/>
      </c>
      <c r="AC90" s="8">
        <f>IF(OR(AB90="",多次统计数据!$B$9=""),"",IF(多次统计数据!$B$9&lt;AB90,"低于上限","达到或超过上限"))</f>
        <v/>
      </c>
      <c r="AD90" s="2" t="inlineStr">
        <is>
          <t>4-良好</t>
        </is>
      </c>
      <c r="AE90" s="7">
        <f>IF(OR(X90="",C90="",C90&lt;=0),"",X90/C90)</f>
        <v/>
      </c>
      <c r="AG90" s="28" t="n"/>
      <c r="AH90" s="28" t="n"/>
      <c r="AI90" s="28" t="n"/>
      <c r="AJ90" s="31">
        <f>IF(OR(AG90="",AH90=""),"",IF(OR(AND(AG90="短期博反弹",OR(AH90="1～3个交易日",AH90="4～10个交易日")),AND(AG90="突破冲新高",OR(AH90="4～10个交易日",AH90="11～20个交易日")),AND(AG90="趋势波段",OR(AH90="11～20个交易日",AH90="21～60个交易日",AH90="60个交易日以上"))),"匹配","周期与交易预期不匹配，请重新确认"))</f>
        <v/>
      </c>
      <c r="AK90" s="43" t="n"/>
      <c r="AL90" s="27" t="n"/>
      <c r="AM90" s="43" t="n"/>
      <c r="AN90" s="27" t="n"/>
      <c r="AO90" s="44">
        <f>IF(OR(A90="",H90="",H90&lt;=0),"",(E90*H90+IF(AND(AK90&lt;&gt;"",AL90&lt;&gt;""),AK90*AL90,0)+IF(AND(AM90&lt;&gt;"",AN90&lt;&gt;""),AM90*AN90,0))/AP90)</f>
        <v/>
      </c>
      <c r="AP90" s="26">
        <f>IF(OR(A90="",H90="",H90&lt;=0),"",H90+IF(AL90="",0,AL90)+IF(AN90="",0,AN90))</f>
        <v/>
      </c>
      <c r="AQ90" s="44">
        <f>IF(A90="","",IF(M90&lt;&gt;"",0,IF(OR(H90="",N90=""),"",MAX(E90-MAX(N90,IFERROR(AGGREGATE(14,6,'持仓跟踪'!$S$2:$S$501/(('持仓跟踪'!$A$2:$A$501="每日跟踪")*('持仓跟踪'!$B$2:$B$501=A90)),1),0)),0)*H90+IF(OR(AK90="",AL90=""),0,MAX(AK90-MAX(N90,IFERROR(AGGREGATE(14,6,'持仓跟踪'!$S$2:$S$501/(('持仓跟踪'!$A$2:$A$501="每日跟踪")*('持仓跟踪'!$B$2:$B$501=A90)),1),0)),0)*AL90)+IF(OR(AM90="",AN90=""),0,MAX(AM90-MAX(N90,IFERROR(AGGREGATE(14,6,'持仓跟踪'!$S$2:$S$501/(('持仓跟踪'!$A$2:$A$501="每日跟踪")*('持仓跟踪'!$B$2:$B$501=A90)),1),0)),0)*AN90))))</f>
        <v/>
      </c>
      <c r="AR90" s="31">
        <f>IF(A90="","",IF(OR(E90="",H90=""),"违规：第一批价格或股数缺失",IF(OR(AND(AK90="",AL90&lt;&gt;""),AND(AK90&lt;&gt;"",AL90="")),"违规：第二批价格与股数须成对填写",IF(OR(AND(AM90="",AN90&lt;&gt;""),AND(AM90&lt;&gt;"",AN90="")),"违规：第三批价格与股数须成对填写",IF(AND(OR(AM90&lt;&gt;"",AN90&lt;&gt;""),OR(AK90="",AL90="")),"违规：必须先完成第二批",IF(OR(H90&lt;=0,H90&lt;&gt;INT(H90),MOD(H90,100)&lt;&gt;0,AND(AL90&lt;&gt;"",OR(AL90&lt;=0,AL90&lt;&gt;INT(AL90),MOD(AL90,100)&lt;&gt;0)),AND(AN90&lt;&gt;"",OR(AN90&lt;=0,AN90&lt;&gt;INT(AN90),MOD(AN90,100)&lt;&gt;0))),"违规：股数须为100股整数倍",IF(AND(OR(AL90&lt;&gt;"",AN90&lt;&gt;""),OR(_LockStatus="已锁仓",_LockStatus="解锁信息不完整")),"违规：锁仓期间禁止加仓",IF(AQ90&gt;C90*D90,"违规：超过单笔风险上限",IF(SUM($AQ$2:$AQ$201)&gt;账户数据!$B$7,"违规：超过账户风险上限","通过")))))))))</f>
        <v/>
      </c>
    </row>
    <row r="91">
      <c r="A91" s="2" t="n">
        <v>90</v>
      </c>
      <c r="B91" s="2" t="inlineStr">
        <is>
          <t>华润江中</t>
        </is>
      </c>
      <c r="C91" s="40" t="n">
        <v>171372</v>
      </c>
      <c r="D91" s="6" t="n">
        <v>0.02</v>
      </c>
      <c r="E91" s="40" t="n">
        <v>4.55</v>
      </c>
      <c r="F91" s="8">
        <f>IF(OR(C91="",D91="",E91="",N91="",C91&lt;=0,D91&lt;=0,E91&lt;=N91),"",ROUNDDOWN((C91*D91)/(E91-N91)/100,0)*100)</f>
        <v/>
      </c>
      <c r="G91" s="8">
        <f>IF(A91="","",IF(H91&lt;&gt;"","已开仓",IF(账户数据!$B$23="已锁仓","禁止开仓：连续亏损达到上限",IF(账户数据!$B$23="解锁信息不完整","禁止开仓：请完整填写解锁信息",IF(OR(F91="",E91="",N91="",E91&lt;=N91,账户数据!$B$7=""),"",IF(OR(AG91="",AH91="",AI91=""),"禁止开仓：交易预期未填写完整",IF(COUNTIFS(持仓跟踪!$A$2:$A$501,"止损计划",持仓跟踪!$B$2:$B$501,A91,持仓跟踪!$AC$2:$AC$501,"计划有效")=0,"禁止开仓：请先填写止损计划",IF(账户数据!$B$9+F91*(E91-N91)&gt;=账户数据!$B$7,"禁止开仓：风险额度不足",IF(AJ91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1" s="2" t="n">
        <v>6200</v>
      </c>
      <c r="I91" s="41" t="n">
        <v>43864</v>
      </c>
      <c r="J91" s="40" t="n">
        <v>6</v>
      </c>
      <c r="K91" s="40" t="n">
        <v>3.91</v>
      </c>
      <c r="L91" s="8">
        <f>IF(K91="","",H91)</f>
        <v/>
      </c>
      <c r="M91" s="41" t="n">
        <v>43889</v>
      </c>
      <c r="N91" s="40" t="n">
        <v>4</v>
      </c>
      <c r="O91" s="40" t="n"/>
      <c r="P91" s="40" t="n"/>
      <c r="Q91" s="2" t="n"/>
      <c r="R91" s="2" t="n"/>
      <c r="S91" s="2" t="n"/>
      <c r="T91" s="2" t="n"/>
      <c r="U91" s="7">
        <f>IF(OR(AO91="",J91="",AO91&lt;=0),"",(J91-AO91)/AO91)</f>
        <v/>
      </c>
      <c r="V91" s="7">
        <f>IF(OR(AO91="",N91="",AO91&lt;=0),"",(AO91-N91)/AO91)</f>
        <v/>
      </c>
      <c r="W91" s="13">
        <f>IF(OR(U91="",V91="",V91&lt;=0),"",U91/V91)</f>
        <v/>
      </c>
      <c r="X91" s="42">
        <f>IF(OR(K91="",L91="",AP91=""),"",K91*L91-(E91*H91+IF(AND(AK91&lt;&gt;"",AL91&lt;&gt;""),AK91*AL91,0)+IF(AND(AM91&lt;&gt;"",AN91&lt;&gt;""),AM91*AN91,0))-IF(O91="",0,O91)-IF(P91="",0,P91))</f>
        <v/>
      </c>
      <c r="Y91" s="7">
        <f>IF(OR(X91="",AP91=""),"",IF((E91*H91+IF(AND(AK91&lt;&gt;"",AL91&lt;&gt;""),AK91*AL91,0)+IF(AND(AM91&lt;&gt;"",AN91&lt;&gt;""),AM91*AN91,0))+IF(O91="",0,O91)&lt;=0,"",X91/((E91*H91+IF(AND(AK91&lt;&gt;"",AL91&lt;&gt;""),AK91*AL91,0)+IF(AND(AM91&lt;&gt;"",AN91&lt;&gt;""),AM91*AN91,0))+IF(O91="",0,O91))))</f>
        <v/>
      </c>
      <c r="Z91" s="7">
        <f>IF(OR(AE91="",多次统计数据!$B$8=""),"",AE91-多次统计数据!$B$8)</f>
        <v/>
      </c>
      <c r="AA91" s="14">
        <f>IF(OR(I91="",M91="",M91&lt;I91),"",M91-I91)</f>
        <v/>
      </c>
      <c r="AB91" s="7">
        <f>IF(OR(A91="",多次统计数据!$B$8="",多次统计数据!$B$6&lt;=0,多次统计数据!$B$6&gt;=1),"",1-POWER(1+多次统计数据!$B$8,-多次统计数据!$B$6/(1-多次统计数据!$B$6)))</f>
        <v/>
      </c>
      <c r="AC91" s="8">
        <f>IF(OR(AB91="",多次统计数据!$B$9=""),"",IF(多次统计数据!$B$9&lt;AB91,"低于上限","达到或超过上限"))</f>
        <v/>
      </c>
      <c r="AD91" s="2" t="inlineStr">
        <is>
          <t>2-较差</t>
        </is>
      </c>
      <c r="AE91" s="7">
        <f>IF(OR(X91="",C91="",C91&lt;=0),"",X91/C91)</f>
        <v/>
      </c>
      <c r="AF91" t="inlineStr">
        <is>
          <t>又贪了，没有估计好，总是以为它会大涨，</t>
        </is>
      </c>
      <c r="AG91" s="28" t="n"/>
      <c r="AH91" s="28" t="n"/>
      <c r="AI91" s="28" t="n"/>
      <c r="AJ91" s="31">
        <f>IF(OR(AG91="",AH91=""),"",IF(OR(AND(AG91="短期博反弹",OR(AH91="1～3个交易日",AH91="4～10个交易日")),AND(AG91="突破冲新高",OR(AH91="4～10个交易日",AH91="11～20个交易日")),AND(AG91="趋势波段",OR(AH91="11～20个交易日",AH91="21～60个交易日",AH91="60个交易日以上"))),"匹配","周期与交易预期不匹配，请重新确认"))</f>
        <v/>
      </c>
      <c r="AK91" s="43" t="n"/>
      <c r="AL91" s="27" t="n"/>
      <c r="AM91" s="43" t="n"/>
      <c r="AN91" s="27" t="n"/>
      <c r="AO91" s="44">
        <f>IF(OR(A91="",H91="",H91&lt;=0),"",(E91*H91+IF(AND(AK91&lt;&gt;"",AL91&lt;&gt;""),AK91*AL91,0)+IF(AND(AM91&lt;&gt;"",AN91&lt;&gt;""),AM91*AN91,0))/AP91)</f>
        <v/>
      </c>
      <c r="AP91" s="26">
        <f>IF(OR(A91="",H91="",H91&lt;=0),"",H91+IF(AL91="",0,AL91)+IF(AN91="",0,AN91))</f>
        <v/>
      </c>
      <c r="AQ91" s="44">
        <f>IF(A91="","",IF(M91&lt;&gt;"",0,IF(OR(H91="",N91=""),"",MAX(E91-MAX(N91,IFERROR(AGGREGATE(14,6,'持仓跟踪'!$S$2:$S$501/(('持仓跟踪'!$A$2:$A$501="每日跟踪")*('持仓跟踪'!$B$2:$B$501=A91)),1),0)),0)*H91+IF(OR(AK91="",AL91=""),0,MAX(AK91-MAX(N91,IFERROR(AGGREGATE(14,6,'持仓跟踪'!$S$2:$S$501/(('持仓跟踪'!$A$2:$A$501="每日跟踪")*('持仓跟踪'!$B$2:$B$501=A91)),1),0)),0)*AL91)+IF(OR(AM91="",AN91=""),0,MAX(AM91-MAX(N91,IFERROR(AGGREGATE(14,6,'持仓跟踪'!$S$2:$S$501/(('持仓跟踪'!$A$2:$A$501="每日跟踪")*('持仓跟踪'!$B$2:$B$501=A91)),1),0)),0)*AN91))))</f>
        <v/>
      </c>
      <c r="AR91" s="31">
        <f>IF(A91="","",IF(OR(E91="",H91=""),"违规：第一批价格或股数缺失",IF(OR(AND(AK91="",AL91&lt;&gt;""),AND(AK91&lt;&gt;"",AL91="")),"违规：第二批价格与股数须成对填写",IF(OR(AND(AM91="",AN91&lt;&gt;""),AND(AM91&lt;&gt;"",AN91="")),"违规：第三批价格与股数须成对填写",IF(AND(OR(AM91&lt;&gt;"",AN91&lt;&gt;""),OR(AK91="",AL91="")),"违规：必须先完成第二批",IF(OR(H91&lt;=0,H91&lt;&gt;INT(H91),MOD(H91,100)&lt;&gt;0,AND(AL91&lt;&gt;"",OR(AL91&lt;=0,AL91&lt;&gt;INT(AL91),MOD(AL91,100)&lt;&gt;0)),AND(AN91&lt;&gt;"",OR(AN91&lt;=0,AN91&lt;&gt;INT(AN91),MOD(AN91,100)&lt;&gt;0))),"违规：股数须为100股整数倍",IF(AND(OR(AL91&lt;&gt;"",AN91&lt;&gt;""),OR(_LockStatus="已锁仓",_LockStatus="解锁信息不完整")),"违规：锁仓期间禁止加仓",IF(AQ91&gt;C91*D91,"违规：超过单笔风险上限",IF(SUM($AQ$2:$AQ$201)&gt;账户数据!$B$7,"违规：超过账户风险上限","通过")))))))))</f>
        <v/>
      </c>
    </row>
    <row r="92">
      <c r="A92" s="2" t="n">
        <v>91</v>
      </c>
      <c r="B92" s="2" t="inlineStr">
        <is>
          <t>华润江中</t>
        </is>
      </c>
      <c r="C92" s="40" t="n">
        <v>167404</v>
      </c>
      <c r="D92" s="6" t="n">
        <v>0.02</v>
      </c>
      <c r="E92" s="40" t="n">
        <v>4.33</v>
      </c>
      <c r="F92" s="8">
        <f>IF(OR(C92="",D92="",E92="",N92="",C92&lt;=0,D92&lt;=0,E92&lt;=N92),"",ROUNDDOWN((C92*D92)/(E92-N92)/100,0)*100)</f>
        <v/>
      </c>
      <c r="G92" s="8">
        <f>IF(A92="","",IF(H92&lt;&gt;"","已开仓",IF(账户数据!$B$23="已锁仓","禁止开仓：连续亏损达到上限",IF(账户数据!$B$23="解锁信息不完整","禁止开仓：请完整填写解锁信息",IF(OR(F92="",E92="",N92="",E92&lt;=N92,账户数据!$B$7=""),"",IF(OR(AG92="",AH92="",AI92=""),"禁止开仓：交易预期未填写完整",IF(COUNTIFS(持仓跟踪!$A$2:$A$501,"止损计划",持仓跟踪!$B$2:$B$501,A92,持仓跟踪!$AC$2:$AC$501,"计划有效")=0,"禁止开仓：请先填写止损计划",IF(账户数据!$B$9+F92*(E92-N92)&gt;=账户数据!$B$7,"禁止开仓：风险额度不足",IF(AJ92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2" s="2" t="n">
        <v>7700</v>
      </c>
      <c r="I92" s="41" t="n">
        <v>44235</v>
      </c>
      <c r="J92" s="40" t="n">
        <v>5</v>
      </c>
      <c r="K92" s="40" t="n">
        <v>9.27</v>
      </c>
      <c r="L92" s="8">
        <f>IF(K92="","",H92)</f>
        <v/>
      </c>
      <c r="M92" s="41" t="n">
        <v>44565</v>
      </c>
      <c r="N92" s="40" t="n">
        <v>3.9</v>
      </c>
      <c r="O92" s="40" t="n"/>
      <c r="P92" s="40" t="n"/>
      <c r="Q92" s="2" t="n"/>
      <c r="R92" s="2" t="n"/>
      <c r="S92" s="2" t="n"/>
      <c r="T92" s="2" t="n"/>
      <c r="U92" s="7">
        <f>IF(OR(AO92="",J92="",AO92&lt;=0),"",(J92-AO92)/AO92)</f>
        <v/>
      </c>
      <c r="V92" s="7">
        <f>IF(OR(AO92="",N92="",AO92&lt;=0),"",(AO92-N92)/AO92)</f>
        <v/>
      </c>
      <c r="W92" s="13">
        <f>IF(OR(U92="",V92="",V92&lt;=0),"",U92/V92)</f>
        <v/>
      </c>
      <c r="X92" s="42">
        <f>IF(OR(K92="",L92="",AP92=""),"",K92*L92-(E92*H92+IF(AND(AK92&lt;&gt;"",AL92&lt;&gt;""),AK92*AL92,0)+IF(AND(AM92&lt;&gt;"",AN92&lt;&gt;""),AM92*AN92,0))-IF(O92="",0,O92)-IF(P92="",0,P92))</f>
        <v/>
      </c>
      <c r="Y92" s="7">
        <f>IF(OR(X92="",AP92=""),"",IF((E92*H92+IF(AND(AK92&lt;&gt;"",AL92&lt;&gt;""),AK92*AL92,0)+IF(AND(AM92&lt;&gt;"",AN92&lt;&gt;""),AM92*AN92,0))+IF(O92="",0,O92)&lt;=0,"",X92/((E92*H92+IF(AND(AK92&lt;&gt;"",AL92&lt;&gt;""),AK92*AL92,0)+IF(AND(AM92&lt;&gt;"",AN92&lt;&gt;""),AM92*AN92,0))+IF(O92="",0,O92))))</f>
        <v/>
      </c>
      <c r="Z92" s="7">
        <f>IF(OR(AE92="",多次统计数据!$B$8=""),"",AE92-多次统计数据!$B$8)</f>
        <v/>
      </c>
      <c r="AA92" s="14">
        <f>IF(OR(I92="",M92="",M92&lt;I92),"",M92-I92)</f>
        <v/>
      </c>
      <c r="AB92" s="7">
        <f>IF(OR(A92="",多次统计数据!$B$8="",多次统计数据!$B$6&lt;=0,多次统计数据!$B$6&gt;=1),"",1-POWER(1+多次统计数据!$B$8,-多次统计数据!$B$6/(1-多次统计数据!$B$6)))</f>
        <v/>
      </c>
      <c r="AC92" s="8">
        <f>IF(OR(AB92="",多次统计数据!$B$9=""),"",IF(多次统计数据!$B$9&lt;AB92,"低于上限","达到或超过上限"))</f>
        <v/>
      </c>
      <c r="AD92" s="2" t="inlineStr">
        <is>
          <t>3-一般</t>
        </is>
      </c>
      <c r="AE92" s="7">
        <f>IF(OR(X92="",C92="",C92&lt;=0),"",X92/C92)</f>
        <v/>
      </c>
      <c r="AF92" t="inlineStr">
        <is>
          <t>太贪婪</t>
        </is>
      </c>
      <c r="AG92" s="28" t="n"/>
      <c r="AH92" s="28" t="n"/>
      <c r="AI92" s="28" t="n"/>
      <c r="AJ92" s="31">
        <f>IF(OR(AG92="",AH92=""),"",IF(OR(AND(AG92="短期博反弹",OR(AH92="1～3个交易日",AH92="4～10个交易日")),AND(AG92="突破冲新高",OR(AH92="4～10个交易日",AH92="11～20个交易日")),AND(AG92="趋势波段",OR(AH92="11～20个交易日",AH92="21～60个交易日",AH92="60个交易日以上"))),"匹配","周期与交易预期不匹配，请重新确认"))</f>
        <v/>
      </c>
      <c r="AK92" s="43" t="n"/>
      <c r="AL92" s="27" t="n"/>
      <c r="AM92" s="43" t="n"/>
      <c r="AN92" s="27" t="n"/>
      <c r="AO92" s="44">
        <f>IF(OR(A92="",H92="",H92&lt;=0),"",(E92*H92+IF(AND(AK92&lt;&gt;"",AL92&lt;&gt;""),AK92*AL92,0)+IF(AND(AM92&lt;&gt;"",AN92&lt;&gt;""),AM92*AN92,0))/AP92)</f>
        <v/>
      </c>
      <c r="AP92" s="26">
        <f>IF(OR(A92="",H92="",H92&lt;=0),"",H92+IF(AL92="",0,AL92)+IF(AN92="",0,AN92))</f>
        <v/>
      </c>
      <c r="AQ92" s="44">
        <f>IF(A92="","",IF(M92&lt;&gt;"",0,IF(OR(H92="",N92=""),"",MAX(E92-MAX(N92,IFERROR(AGGREGATE(14,6,'持仓跟踪'!$S$2:$S$501/(('持仓跟踪'!$A$2:$A$501="每日跟踪")*('持仓跟踪'!$B$2:$B$501=A92)),1),0)),0)*H92+IF(OR(AK92="",AL92=""),0,MAX(AK92-MAX(N92,IFERROR(AGGREGATE(14,6,'持仓跟踪'!$S$2:$S$501/(('持仓跟踪'!$A$2:$A$501="每日跟踪")*('持仓跟踪'!$B$2:$B$501=A92)),1),0)),0)*AL92)+IF(OR(AM92="",AN92=""),0,MAX(AM92-MAX(N92,IFERROR(AGGREGATE(14,6,'持仓跟踪'!$S$2:$S$501/(('持仓跟踪'!$A$2:$A$501="每日跟踪")*('持仓跟踪'!$B$2:$B$501=A92)),1),0)),0)*AN92))))</f>
        <v/>
      </c>
      <c r="AR92" s="31">
        <f>IF(A92="","",IF(OR(E92="",H92=""),"违规：第一批价格或股数缺失",IF(OR(AND(AK92="",AL92&lt;&gt;""),AND(AK92&lt;&gt;"",AL92="")),"违规：第二批价格与股数须成对填写",IF(OR(AND(AM92="",AN92&lt;&gt;""),AND(AM92&lt;&gt;"",AN92="")),"违规：第三批价格与股数须成对填写",IF(AND(OR(AM92&lt;&gt;"",AN92&lt;&gt;""),OR(AK92="",AL92="")),"违规：必须先完成第二批",IF(OR(H92&lt;=0,H92&lt;&gt;INT(H92),MOD(H92,100)&lt;&gt;0,AND(AL92&lt;&gt;"",OR(AL92&lt;=0,AL92&lt;&gt;INT(AL92),MOD(AL92,100)&lt;&gt;0)),AND(AN92&lt;&gt;"",OR(AN92&lt;=0,AN92&lt;&gt;INT(AN92),MOD(AN92,100)&lt;&gt;0))),"违规：股数须为100股整数倍",IF(AND(OR(AL92&lt;&gt;"",AN92&lt;&gt;""),OR(_LockStatus="已锁仓",_LockStatus="解锁信息不完整")),"违规：锁仓期间禁止加仓",IF(AQ92&gt;C92*D92,"违规：超过单笔风险上限",IF(SUM($AQ$2:$AQ$201)&gt;账户数据!$B$7,"违规：超过账户风险上限","通过")))))))))</f>
        <v/>
      </c>
    </row>
    <row r="93">
      <c r="A93" s="2" t="n">
        <v>92</v>
      </c>
      <c r="B93" s="2" t="inlineStr">
        <is>
          <t>华润江中</t>
        </is>
      </c>
      <c r="C93" s="40" t="n">
        <v>205442</v>
      </c>
      <c r="D93" s="6" t="n">
        <v>0.02</v>
      </c>
      <c r="E93" s="40" t="n">
        <v>6.13</v>
      </c>
      <c r="F93" s="8">
        <f>IF(OR(C93="",D93="",E93="",N93="",C93&lt;=0,D93&lt;=0,E93&lt;=N93),"",ROUNDDOWN((C93*D93)/(E93-N93)/100,0)*100)</f>
        <v/>
      </c>
      <c r="G93" s="8">
        <f>IF(A93="","",IF(H93&lt;&gt;"","已开仓",IF(账户数据!$B$23="已锁仓","禁止开仓：连续亏损达到上限",IF(账户数据!$B$23="解锁信息不完整","禁止开仓：请完整填写解锁信息",IF(OR(F93="",E93="",N93="",E93&lt;=N93,账户数据!$B$7=""),"",IF(OR(AG93="",AH93="",AI93=""),"禁止开仓：交易预期未填写完整",IF(COUNTIFS(持仓跟踪!$A$2:$A$501,"止损计划",持仓跟踪!$B$2:$B$501,A93,持仓跟踪!$AC$2:$AC$501,"计划有效")=0,"禁止开仓：请先填写止损计划",IF(账户数据!$B$9+F93*(E93-N93)&gt;=账户数据!$B$7,"禁止开仓：风险额度不足",IF(AJ93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3" s="2" t="n">
        <v>6500</v>
      </c>
      <c r="I93" s="41" t="n">
        <v>44636</v>
      </c>
      <c r="J93" s="40" t="n">
        <v>7</v>
      </c>
      <c r="K93" s="40" t="n">
        <v>7.62</v>
      </c>
      <c r="L93" s="8">
        <f>IF(K93="","",H93)</f>
        <v/>
      </c>
      <c r="M93" s="41" t="n">
        <v>44644</v>
      </c>
      <c r="N93" s="40" t="n">
        <v>5.5</v>
      </c>
      <c r="O93" s="40" t="n"/>
      <c r="P93" s="40" t="n"/>
      <c r="Q93" s="2" t="n"/>
      <c r="R93" s="2" t="n"/>
      <c r="S93" s="2" t="n"/>
      <c r="T93" s="2" t="n"/>
      <c r="U93" s="7">
        <f>IF(OR(AO93="",J93="",AO93&lt;=0),"",(J93-AO93)/AO93)</f>
        <v/>
      </c>
      <c r="V93" s="7">
        <f>IF(OR(AO93="",N93="",AO93&lt;=0),"",(AO93-N93)/AO93)</f>
        <v/>
      </c>
      <c r="W93" s="13">
        <f>IF(OR(U93="",V93="",V93&lt;=0),"",U93/V93)</f>
        <v/>
      </c>
      <c r="X93" s="42">
        <f>IF(OR(K93="",L93="",AP93=""),"",K93*L93-(E93*H93+IF(AND(AK93&lt;&gt;"",AL93&lt;&gt;""),AK93*AL93,0)+IF(AND(AM93&lt;&gt;"",AN93&lt;&gt;""),AM93*AN93,0))-IF(O93="",0,O93)-IF(P93="",0,P93))</f>
        <v/>
      </c>
      <c r="Y93" s="7">
        <f>IF(OR(X93="",AP93=""),"",IF((E93*H93+IF(AND(AK93&lt;&gt;"",AL93&lt;&gt;""),AK93*AL93,0)+IF(AND(AM93&lt;&gt;"",AN93&lt;&gt;""),AM93*AN93,0))+IF(O93="",0,O93)&lt;=0,"",X93/((E93*H93+IF(AND(AK93&lt;&gt;"",AL93&lt;&gt;""),AK93*AL93,0)+IF(AND(AM93&lt;&gt;"",AN93&lt;&gt;""),AM93*AN93,0))+IF(O93="",0,O93))))</f>
        <v/>
      </c>
      <c r="Z93" s="7">
        <f>IF(OR(AE93="",多次统计数据!$B$8=""),"",AE93-多次统计数据!$B$8)</f>
        <v/>
      </c>
      <c r="AA93" s="14">
        <f>IF(OR(I93="",M93="",M93&lt;I93),"",M93-I93)</f>
        <v/>
      </c>
      <c r="AB93" s="7">
        <f>IF(OR(A93="",多次统计数据!$B$8="",多次统计数据!$B$6&lt;=0,多次统计数据!$B$6&gt;=1),"",1-POWER(1+多次统计数据!$B$8,-多次统计数据!$B$6/(1-多次统计数据!$B$6)))</f>
        <v/>
      </c>
      <c r="AC93" s="8">
        <f>IF(OR(AB93="",多次统计数据!$B$9=""),"",IF(多次统计数据!$B$9&lt;AB93,"低于上限","达到或超过上限"))</f>
        <v/>
      </c>
      <c r="AD93" s="2" t="inlineStr">
        <is>
          <t>5-优秀</t>
        </is>
      </c>
      <c r="AE93" s="7">
        <f>IF(OR(X93="",C93="",C93&lt;=0),"",X93/C93)</f>
        <v/>
      </c>
      <c r="AF93" t="inlineStr">
        <is>
          <t>完美预测</t>
        </is>
      </c>
      <c r="AG93" s="28" t="n"/>
      <c r="AH93" s="28" t="n"/>
      <c r="AI93" s="28" t="n"/>
      <c r="AJ93" s="31">
        <f>IF(OR(AG93="",AH93=""),"",IF(OR(AND(AG93="短期博反弹",OR(AH93="1～3个交易日",AH93="4～10个交易日")),AND(AG93="突破冲新高",OR(AH93="4～10个交易日",AH93="11～20个交易日")),AND(AG93="趋势波段",OR(AH93="11～20个交易日",AH93="21～60个交易日",AH93="60个交易日以上"))),"匹配","周期与交易预期不匹配，请重新确认"))</f>
        <v/>
      </c>
      <c r="AK93" s="43" t="n"/>
      <c r="AL93" s="27" t="n"/>
      <c r="AM93" s="43" t="n"/>
      <c r="AN93" s="27" t="n"/>
      <c r="AO93" s="44">
        <f>IF(OR(A93="",H93="",H93&lt;=0),"",(E93*H93+IF(AND(AK93&lt;&gt;"",AL93&lt;&gt;""),AK93*AL93,0)+IF(AND(AM93&lt;&gt;"",AN93&lt;&gt;""),AM93*AN93,0))/AP93)</f>
        <v/>
      </c>
      <c r="AP93" s="26">
        <f>IF(OR(A93="",H93="",H93&lt;=0),"",H93+IF(AL93="",0,AL93)+IF(AN93="",0,AN93))</f>
        <v/>
      </c>
      <c r="AQ93" s="44">
        <f>IF(A93="","",IF(M93&lt;&gt;"",0,IF(OR(H93="",N93=""),"",MAX(E93-MAX(N93,IFERROR(AGGREGATE(14,6,'持仓跟踪'!$S$2:$S$501/(('持仓跟踪'!$A$2:$A$501="每日跟踪")*('持仓跟踪'!$B$2:$B$501=A93)),1),0)),0)*H93+IF(OR(AK93="",AL93=""),0,MAX(AK93-MAX(N93,IFERROR(AGGREGATE(14,6,'持仓跟踪'!$S$2:$S$501/(('持仓跟踪'!$A$2:$A$501="每日跟踪")*('持仓跟踪'!$B$2:$B$501=A93)),1),0)),0)*AL93)+IF(OR(AM93="",AN93=""),0,MAX(AM93-MAX(N93,IFERROR(AGGREGATE(14,6,'持仓跟踪'!$S$2:$S$501/(('持仓跟踪'!$A$2:$A$501="每日跟踪")*('持仓跟踪'!$B$2:$B$501=A93)),1),0)),0)*AN93))))</f>
        <v/>
      </c>
      <c r="AR93" s="31">
        <f>IF(A93="","",IF(OR(E93="",H93=""),"违规：第一批价格或股数缺失",IF(OR(AND(AK93="",AL93&lt;&gt;""),AND(AK93&lt;&gt;"",AL93="")),"违规：第二批价格与股数须成对填写",IF(OR(AND(AM93="",AN93&lt;&gt;""),AND(AM93&lt;&gt;"",AN93="")),"违规：第三批价格与股数须成对填写",IF(AND(OR(AM93&lt;&gt;"",AN93&lt;&gt;""),OR(AK93="",AL93="")),"违规：必须先完成第二批",IF(OR(H93&lt;=0,H93&lt;&gt;INT(H93),MOD(H93,100)&lt;&gt;0,AND(AL93&lt;&gt;"",OR(AL93&lt;=0,AL93&lt;&gt;INT(AL93),MOD(AL93,100)&lt;&gt;0)),AND(AN93&lt;&gt;"",OR(AN93&lt;=0,AN93&lt;&gt;INT(AN93),MOD(AN93,100)&lt;&gt;0))),"违规：股数须为100股整数倍",IF(AND(OR(AL93&lt;&gt;"",AN93&lt;&gt;""),OR(_LockStatus="已锁仓",_LockStatus="解锁信息不完整")),"违规：锁仓期间禁止加仓",IF(AQ93&gt;C93*D93,"违规：超过单笔风险上限",IF(SUM($AQ$2:$AQ$201)&gt;账户数据!$B$7,"违规：超过账户风险上限","通过")))))))))</f>
        <v/>
      </c>
    </row>
    <row r="94">
      <c r="A94" s="2" t="n">
        <v>93</v>
      </c>
      <c r="B94" s="2" t="inlineStr">
        <is>
          <t>华润江中</t>
        </is>
      </c>
      <c r="C94" s="40" t="n">
        <v>215127</v>
      </c>
      <c r="D94" s="6" t="n">
        <v>0.02</v>
      </c>
      <c r="E94" s="40" t="n">
        <v>6.86</v>
      </c>
      <c r="F94" s="8">
        <f>IF(OR(C94="",D94="",E94="",N94="",C94&lt;=0,D94&lt;=0,E94&lt;=N94),"",ROUNDDOWN((C94*D94)/(E94-N94)/100,0)*100)</f>
        <v/>
      </c>
      <c r="G94" s="8">
        <f>IF(A94="","",IF(H94&lt;&gt;"","已开仓",IF(账户数据!$B$23="已锁仓","禁止开仓：连续亏损达到上限",IF(账户数据!$B$23="解锁信息不完整","禁止开仓：请完整填写解锁信息",IF(OR(F94="",E94="",N94="",E94&lt;=N94,账户数据!$B$7=""),"",IF(OR(AG94="",AH94="",AI94=""),"禁止开仓：交易预期未填写完整",IF(COUNTIFS(持仓跟踪!$A$2:$A$501,"止损计划",持仓跟踪!$B$2:$B$501,A94,持仓跟踪!$AC$2:$AC$501,"计划有效")=0,"禁止开仓：请先填写止损计划",IF(账户数据!$B$9+F94*(E94-N94)&gt;=账户数据!$B$7,"禁止开仓：风险额度不足",IF(AJ94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4" s="2" t="n">
        <v>5000</v>
      </c>
      <c r="I94" s="41" t="n">
        <v>44678</v>
      </c>
      <c r="J94" s="40" t="n">
        <v>9</v>
      </c>
      <c r="K94" s="40" t="n">
        <v>7.74</v>
      </c>
      <c r="L94" s="8">
        <f>IF(K94="","",H94)</f>
        <v/>
      </c>
      <c r="M94" s="41" t="n">
        <v>44692</v>
      </c>
      <c r="N94" s="40" t="n">
        <v>6</v>
      </c>
      <c r="O94" s="40" t="n"/>
      <c r="P94" s="40" t="n"/>
      <c r="Q94" s="2" t="n"/>
      <c r="R94" s="2" t="n"/>
      <c r="S94" s="2" t="n"/>
      <c r="T94" s="2" t="n"/>
      <c r="U94" s="7">
        <f>IF(OR(AO94="",J94="",AO94&lt;=0),"",(J94-AO94)/AO94)</f>
        <v/>
      </c>
      <c r="V94" s="7">
        <f>IF(OR(AO94="",N94="",AO94&lt;=0),"",(AO94-N94)/AO94)</f>
        <v/>
      </c>
      <c r="W94" s="13">
        <f>IF(OR(U94="",V94="",V94&lt;=0),"",U94/V94)</f>
        <v/>
      </c>
      <c r="X94" s="42">
        <f>IF(OR(K94="",L94="",AP94=""),"",K94*L94-(E94*H94+IF(AND(AK94&lt;&gt;"",AL94&lt;&gt;""),AK94*AL94,0)+IF(AND(AM94&lt;&gt;"",AN94&lt;&gt;""),AM94*AN94,0))-IF(O94="",0,O94)-IF(P94="",0,P94))</f>
        <v/>
      </c>
      <c r="Y94" s="7">
        <f>IF(OR(X94="",AP94=""),"",IF((E94*H94+IF(AND(AK94&lt;&gt;"",AL94&lt;&gt;""),AK94*AL94,0)+IF(AND(AM94&lt;&gt;"",AN94&lt;&gt;""),AM94*AN94,0))+IF(O94="",0,O94)&lt;=0,"",X94/((E94*H94+IF(AND(AK94&lt;&gt;"",AL94&lt;&gt;""),AK94*AL94,0)+IF(AND(AM94&lt;&gt;"",AN94&lt;&gt;""),AM94*AN94,0))+IF(O94="",0,O94))))</f>
        <v/>
      </c>
      <c r="Z94" s="7">
        <f>IF(OR(AE94="",多次统计数据!$B$8=""),"",AE94-多次统计数据!$B$8)</f>
        <v/>
      </c>
      <c r="AA94" s="14">
        <f>IF(OR(I94="",M94="",M94&lt;I94),"",M94-I94)</f>
        <v/>
      </c>
      <c r="AB94" s="7">
        <f>IF(OR(A94="",多次统计数据!$B$8="",多次统计数据!$B$6&lt;=0,多次统计数据!$B$6&gt;=1),"",1-POWER(1+多次统计数据!$B$8,-多次统计数据!$B$6/(1-多次统计数据!$B$6)))</f>
        <v/>
      </c>
      <c r="AC94" s="8">
        <f>IF(OR(AB94="",多次统计数据!$B$9=""),"",IF(多次统计数据!$B$9&lt;AB94,"低于上限","达到或超过上限"))</f>
        <v/>
      </c>
      <c r="AD94" s="2" t="inlineStr">
        <is>
          <t>4-良好</t>
        </is>
      </c>
      <c r="AE94" s="7">
        <f>IF(OR(X94="",C94="",C94&lt;=0),"",X94/C94)</f>
        <v/>
      </c>
      <c r="AF94" t="inlineStr">
        <is>
          <t>保护了本金</t>
        </is>
      </c>
      <c r="AG94" s="28" t="n"/>
      <c r="AH94" s="28" t="n"/>
      <c r="AI94" s="28" t="n"/>
      <c r="AJ94" s="31">
        <f>IF(OR(AG94="",AH94=""),"",IF(OR(AND(AG94="短期博反弹",OR(AH94="1～3个交易日",AH94="4～10个交易日")),AND(AG94="突破冲新高",OR(AH94="4～10个交易日",AH94="11～20个交易日")),AND(AG94="趋势波段",OR(AH94="11～20个交易日",AH94="21～60个交易日",AH94="60个交易日以上"))),"匹配","周期与交易预期不匹配，请重新确认"))</f>
        <v/>
      </c>
      <c r="AK94" s="43" t="n"/>
      <c r="AL94" s="27" t="n"/>
      <c r="AM94" s="43" t="n"/>
      <c r="AN94" s="27" t="n"/>
      <c r="AO94" s="44">
        <f>IF(OR(A94="",H94="",H94&lt;=0),"",(E94*H94+IF(AND(AK94&lt;&gt;"",AL94&lt;&gt;""),AK94*AL94,0)+IF(AND(AM94&lt;&gt;"",AN94&lt;&gt;""),AM94*AN94,0))/AP94)</f>
        <v/>
      </c>
      <c r="AP94" s="26">
        <f>IF(OR(A94="",H94="",H94&lt;=0),"",H94+IF(AL94="",0,AL94)+IF(AN94="",0,AN94))</f>
        <v/>
      </c>
      <c r="AQ94" s="44">
        <f>IF(A94="","",IF(M94&lt;&gt;"",0,IF(OR(H94="",N94=""),"",MAX(E94-MAX(N94,IFERROR(AGGREGATE(14,6,'持仓跟踪'!$S$2:$S$501/(('持仓跟踪'!$A$2:$A$501="每日跟踪")*('持仓跟踪'!$B$2:$B$501=A94)),1),0)),0)*H94+IF(OR(AK94="",AL94=""),0,MAX(AK94-MAX(N94,IFERROR(AGGREGATE(14,6,'持仓跟踪'!$S$2:$S$501/(('持仓跟踪'!$A$2:$A$501="每日跟踪")*('持仓跟踪'!$B$2:$B$501=A94)),1),0)),0)*AL94)+IF(OR(AM94="",AN94=""),0,MAX(AM94-MAX(N94,IFERROR(AGGREGATE(14,6,'持仓跟踪'!$S$2:$S$501/(('持仓跟踪'!$A$2:$A$501="每日跟踪")*('持仓跟踪'!$B$2:$B$501=A94)),1),0)),0)*AN94))))</f>
        <v/>
      </c>
      <c r="AR94" s="31">
        <f>IF(A94="","",IF(OR(E94="",H94=""),"违规：第一批价格或股数缺失",IF(OR(AND(AK94="",AL94&lt;&gt;""),AND(AK94&lt;&gt;"",AL94="")),"违规：第二批价格与股数须成对填写",IF(OR(AND(AM94="",AN94&lt;&gt;""),AND(AM94&lt;&gt;"",AN94="")),"违规：第三批价格与股数须成对填写",IF(AND(OR(AM94&lt;&gt;"",AN94&lt;&gt;""),OR(AK94="",AL94="")),"违规：必须先完成第二批",IF(OR(H94&lt;=0,H94&lt;&gt;INT(H94),MOD(H94,100)&lt;&gt;0,AND(AL94&lt;&gt;"",OR(AL94&lt;=0,AL94&lt;&gt;INT(AL94),MOD(AL94,100)&lt;&gt;0)),AND(AN94&lt;&gt;"",OR(AN94&lt;=0,AN94&lt;&gt;INT(AN94),MOD(AN94,100)&lt;&gt;0))),"违规：股数须为100股整数倍",IF(AND(OR(AL94&lt;&gt;"",AN94&lt;&gt;""),OR(_LockStatus="已锁仓",_LockStatus="解锁信息不完整")),"违规：锁仓期间禁止加仓",IF(AQ94&gt;C94*D94,"违规：超过单笔风险上限",IF(SUM($AQ$2:$AQ$201)&gt;账户数据!$B$7,"违规：超过账户风险上限","通过")))))))))</f>
        <v/>
      </c>
    </row>
    <row r="95">
      <c r="A95" s="2" t="n">
        <v>94</v>
      </c>
      <c r="B95" s="2" t="inlineStr">
        <is>
          <t>华润江中</t>
        </is>
      </c>
      <c r="C95" s="40" t="n">
        <v>219527</v>
      </c>
      <c r="D95" s="6" t="n">
        <v>0.02</v>
      </c>
      <c r="E95" s="40" t="n">
        <v>12.26</v>
      </c>
      <c r="F95" s="8">
        <f>IF(OR(C95="",D95="",E95="",N95="",C95&lt;=0,D95&lt;=0,E95&lt;=N95),"",ROUNDDOWN((C95*D95)/(E95-N95)/100,0)*100)</f>
        <v/>
      </c>
      <c r="G95" s="8">
        <f>IF(A95="","",IF(H95&lt;&gt;"","已开仓",IF(账户数据!$B$23="已锁仓","禁止开仓：连续亏损达到上限",IF(账户数据!$B$23="解锁信息不完整","禁止开仓：请完整填写解锁信息",IF(OR(F95="",E95="",N95="",E95&lt;=N95,账户数据!$B$7=""),"",IF(OR(AG95="",AH95="",AI95=""),"禁止开仓：交易预期未填写完整",IF(COUNTIFS(持仓跟踪!$A$2:$A$501,"止损计划",持仓跟踪!$B$2:$B$501,A95,持仓跟踪!$AC$2:$AC$501,"计划有效")=0,"禁止开仓：请先填写止损计划",IF(账户数据!$B$9+F95*(E95-N95)&gt;=账户数据!$B$7,"禁止开仓：风险额度不足",IF(AJ95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5" s="2" t="n">
        <v>5700</v>
      </c>
      <c r="I95" s="41" t="n">
        <v>44992</v>
      </c>
      <c r="J95" s="40" t="n">
        <v>14</v>
      </c>
      <c r="K95" s="40" t="n">
        <v>18.07</v>
      </c>
      <c r="L95" s="8">
        <f>IF(K95="","",H95)</f>
        <v/>
      </c>
      <c r="M95" s="41" t="n">
        <v>45034</v>
      </c>
      <c r="N95" s="40" t="n">
        <v>11.5</v>
      </c>
      <c r="O95" s="40" t="n"/>
      <c r="P95" s="40" t="n"/>
      <c r="Q95" s="2" t="n"/>
      <c r="R95" s="2" t="n"/>
      <c r="S95" s="2" t="n"/>
      <c r="T95" s="2" t="n"/>
      <c r="U95" s="7">
        <f>IF(OR(AO95="",J95="",AO95&lt;=0),"",(J95-AO95)/AO95)</f>
        <v/>
      </c>
      <c r="V95" s="7">
        <f>IF(OR(AO95="",N95="",AO95&lt;=0),"",(AO95-N95)/AO95)</f>
        <v/>
      </c>
      <c r="W95" s="13">
        <f>IF(OR(U95="",V95="",V95&lt;=0),"",U95/V95)</f>
        <v/>
      </c>
      <c r="X95" s="42">
        <f>IF(OR(K95="",L95="",AP95=""),"",K95*L95-(E95*H95+IF(AND(AK95&lt;&gt;"",AL95&lt;&gt;""),AK95*AL95,0)+IF(AND(AM95&lt;&gt;"",AN95&lt;&gt;""),AM95*AN95,0))-IF(O95="",0,O95)-IF(P95="",0,P95))</f>
        <v/>
      </c>
      <c r="Y95" s="7">
        <f>IF(OR(X95="",AP95=""),"",IF((E95*H95+IF(AND(AK95&lt;&gt;"",AL95&lt;&gt;""),AK95*AL95,0)+IF(AND(AM95&lt;&gt;"",AN95&lt;&gt;""),AM95*AN95,0))+IF(O95="",0,O95)&lt;=0,"",X95/((E95*H95+IF(AND(AK95&lt;&gt;"",AL95&lt;&gt;""),AK95*AL95,0)+IF(AND(AM95&lt;&gt;"",AN95&lt;&gt;""),AM95*AN95,0))+IF(O95="",0,O95))))</f>
        <v/>
      </c>
      <c r="Z95" s="7">
        <f>IF(OR(AE95="",多次统计数据!$B$8=""),"",AE95-多次统计数据!$B$8)</f>
        <v/>
      </c>
      <c r="AA95" s="14">
        <f>IF(OR(I95="",M95="",M95&lt;I95),"",M95-I95)</f>
        <v/>
      </c>
      <c r="AB95" s="7">
        <f>IF(OR(A95="",多次统计数据!$B$8="",多次统计数据!$B$6&lt;=0,多次统计数据!$B$6&gt;=1),"",1-POWER(1+多次统计数据!$B$8,-多次统计数据!$B$6/(1-多次统计数据!$B$6)))</f>
        <v/>
      </c>
      <c r="AC95" s="8">
        <f>IF(OR(AB95="",多次统计数据!$B$9=""),"",IF(多次统计数据!$B$9&lt;AB95,"低于上限","达到或超过上限"))</f>
        <v/>
      </c>
      <c r="AD95" s="2" t="inlineStr">
        <is>
          <t>5-优秀</t>
        </is>
      </c>
      <c r="AE95" s="7">
        <f>IF(OR(X95="",C95="",C95&lt;=0),"",X95/C95)</f>
        <v/>
      </c>
      <c r="AF95" t="inlineStr">
        <is>
          <t>完美预测</t>
        </is>
      </c>
      <c r="AG95" s="28" t="n"/>
      <c r="AH95" s="28" t="n"/>
      <c r="AI95" s="28" t="n"/>
      <c r="AJ95" s="31">
        <f>IF(OR(AG95="",AH95=""),"",IF(OR(AND(AG95="短期博反弹",OR(AH95="1～3个交易日",AH95="4～10个交易日")),AND(AG95="突破冲新高",OR(AH95="4～10个交易日",AH95="11～20个交易日")),AND(AG95="趋势波段",OR(AH95="11～20个交易日",AH95="21～60个交易日",AH95="60个交易日以上"))),"匹配","周期与交易预期不匹配，请重新确认"))</f>
        <v/>
      </c>
      <c r="AK95" s="43" t="n"/>
      <c r="AL95" s="27" t="n"/>
      <c r="AM95" s="43" t="n"/>
      <c r="AN95" s="27" t="n"/>
      <c r="AO95" s="44">
        <f>IF(OR(A95="",H95="",H95&lt;=0),"",(E95*H95+IF(AND(AK95&lt;&gt;"",AL95&lt;&gt;""),AK95*AL95,0)+IF(AND(AM95&lt;&gt;"",AN95&lt;&gt;""),AM95*AN95,0))/AP95)</f>
        <v/>
      </c>
      <c r="AP95" s="26">
        <f>IF(OR(A95="",H95="",H95&lt;=0),"",H95+IF(AL95="",0,AL95)+IF(AN95="",0,AN95))</f>
        <v/>
      </c>
      <c r="AQ95" s="44">
        <f>IF(A95="","",IF(M95&lt;&gt;"",0,IF(OR(H95="",N95=""),"",MAX(E95-MAX(N95,IFERROR(AGGREGATE(14,6,'持仓跟踪'!$S$2:$S$501/(('持仓跟踪'!$A$2:$A$501="每日跟踪")*('持仓跟踪'!$B$2:$B$501=A95)),1),0)),0)*H95+IF(OR(AK95="",AL95=""),0,MAX(AK95-MAX(N95,IFERROR(AGGREGATE(14,6,'持仓跟踪'!$S$2:$S$501/(('持仓跟踪'!$A$2:$A$501="每日跟踪")*('持仓跟踪'!$B$2:$B$501=A95)),1),0)),0)*AL95)+IF(OR(AM95="",AN95=""),0,MAX(AM95-MAX(N95,IFERROR(AGGREGATE(14,6,'持仓跟踪'!$S$2:$S$501/(('持仓跟踪'!$A$2:$A$501="每日跟踪")*('持仓跟踪'!$B$2:$B$501=A95)),1),0)),0)*AN95))))</f>
        <v/>
      </c>
      <c r="AR95" s="31">
        <f>IF(A95="","",IF(OR(E95="",H95=""),"违规：第一批价格或股数缺失",IF(OR(AND(AK95="",AL95&lt;&gt;""),AND(AK95&lt;&gt;"",AL95="")),"违规：第二批价格与股数须成对填写",IF(OR(AND(AM95="",AN95&lt;&gt;""),AND(AM95&lt;&gt;"",AN95="")),"违规：第三批价格与股数须成对填写",IF(AND(OR(AM95&lt;&gt;"",AN95&lt;&gt;""),OR(AK95="",AL95="")),"违规：必须先完成第二批",IF(OR(H95&lt;=0,H95&lt;&gt;INT(H95),MOD(H95,100)&lt;&gt;0,AND(AL95&lt;&gt;"",OR(AL95&lt;=0,AL95&lt;&gt;INT(AL95),MOD(AL95,100)&lt;&gt;0)),AND(AN95&lt;&gt;"",OR(AN95&lt;=0,AN95&lt;&gt;INT(AN95),MOD(AN95,100)&lt;&gt;0))),"违规：股数须为100股整数倍",IF(AND(OR(AL95&lt;&gt;"",AN95&lt;&gt;""),OR(_LockStatus="已锁仓",_LockStatus="解锁信息不完整")),"违规：锁仓期间禁止加仓",IF(AQ95&gt;C95*D95,"违规：超过单笔风险上限",IF(SUM($AQ$2:$AQ$201)&gt;账户数据!$B$7,"违规：超过账户风险上限","通过")))))))))</f>
        <v/>
      </c>
    </row>
    <row r="96">
      <c r="A96" s="2" t="n">
        <v>95</v>
      </c>
      <c r="B96" s="2" t="inlineStr">
        <is>
          <t>华润江中</t>
        </is>
      </c>
      <c r="C96" s="40" t="n">
        <v>252644</v>
      </c>
      <c r="D96" s="6" t="n">
        <v>0.02</v>
      </c>
      <c r="E96" s="40" t="n">
        <v>18.15</v>
      </c>
      <c r="F96" s="8">
        <f>IF(OR(C96="",D96="",E96="",N96="",C96&lt;=0,D96&lt;=0,E96&lt;=N96),"",ROUNDDOWN((C96*D96)/(E96-N96)/100,0)*100)</f>
        <v/>
      </c>
      <c r="G96" s="8">
        <f>IF(A96="","",IF(H96&lt;&gt;"","已开仓",IF(账户数据!$B$23="已锁仓","禁止开仓：连续亏损达到上限",IF(账户数据!$B$23="解锁信息不完整","禁止开仓：请完整填写解锁信息",IF(OR(F96="",E96="",N96="",E96&lt;=N96,账户数据!$B$7=""),"",IF(OR(AG96="",AH96="",AI96=""),"禁止开仓：交易预期未填写完整",IF(COUNTIFS(持仓跟踪!$A$2:$A$501,"止损计划",持仓跟踪!$B$2:$B$501,A96,持仓跟踪!$AC$2:$AC$501,"计划有效")=0,"禁止开仓：请先填写止损计划",IF(账户数据!$B$9+F96*(E96-N96)&gt;=账户数据!$B$7,"禁止开仓：风险额度不足",IF(AJ96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6" s="2" t="n">
        <v>3800</v>
      </c>
      <c r="I96" s="41" t="n">
        <v>45306</v>
      </c>
      <c r="J96" s="40" t="n">
        <v>20</v>
      </c>
      <c r="K96" s="40" t="n">
        <v>16.25</v>
      </c>
      <c r="L96" s="8">
        <f>IF(K96="","",H96)</f>
        <v/>
      </c>
      <c r="M96" s="41" t="n">
        <v>45313</v>
      </c>
      <c r="N96" s="40" t="n">
        <v>16.83</v>
      </c>
      <c r="O96" s="40" t="n"/>
      <c r="P96" s="40" t="n"/>
      <c r="Q96" s="2" t="n"/>
      <c r="R96" s="2" t="n"/>
      <c r="S96" s="2" t="n"/>
      <c r="T96" s="2" t="n"/>
      <c r="U96" s="7">
        <f>IF(OR(AO96="",J96="",AO96&lt;=0),"",(J96-AO96)/AO96)</f>
        <v/>
      </c>
      <c r="V96" s="7">
        <f>IF(OR(AO96="",N96="",AO96&lt;=0),"",(AO96-N96)/AO96)</f>
        <v/>
      </c>
      <c r="W96" s="13">
        <f>IF(OR(U96="",V96="",V96&lt;=0),"",U96/V96)</f>
        <v/>
      </c>
      <c r="X96" s="42">
        <f>IF(OR(K96="",L96="",AP96=""),"",K96*L96-(E96*H96+IF(AND(AK96&lt;&gt;"",AL96&lt;&gt;""),AK96*AL96,0)+IF(AND(AM96&lt;&gt;"",AN96&lt;&gt;""),AM96*AN96,0))-IF(O96="",0,O96)-IF(P96="",0,P96))</f>
        <v/>
      </c>
      <c r="Y96" s="7">
        <f>IF(OR(X96="",AP96=""),"",IF((E96*H96+IF(AND(AK96&lt;&gt;"",AL96&lt;&gt;""),AK96*AL96,0)+IF(AND(AM96&lt;&gt;"",AN96&lt;&gt;""),AM96*AN96,0))+IF(O96="",0,O96)&lt;=0,"",X96/((E96*H96+IF(AND(AK96&lt;&gt;"",AL96&lt;&gt;""),AK96*AL96,0)+IF(AND(AM96&lt;&gt;"",AN96&lt;&gt;""),AM96*AN96,0))+IF(O96="",0,O96))))</f>
        <v/>
      </c>
      <c r="Z96" s="7">
        <f>IF(OR(AE96="",多次统计数据!$B$8=""),"",AE96-多次统计数据!$B$8)</f>
        <v/>
      </c>
      <c r="AA96" s="14">
        <f>IF(OR(I96="",M96="",M96&lt;I96),"",M96-I96)</f>
        <v/>
      </c>
      <c r="AB96" s="7">
        <f>IF(OR(A96="",多次统计数据!$B$8="",多次统计数据!$B$6&lt;=0,多次统计数据!$B$6&gt;=1),"",1-POWER(1+多次统计数据!$B$8,-多次统计数据!$B$6/(1-多次统计数据!$B$6)))</f>
        <v/>
      </c>
      <c r="AC96" s="8">
        <f>IF(OR(AB96="",多次统计数据!$B$9=""),"",IF(多次统计数据!$B$9&lt;AB96,"低于上限","达到或超过上限"))</f>
        <v/>
      </c>
      <c r="AD96" s="2" t="inlineStr">
        <is>
          <t>2-较差</t>
        </is>
      </c>
      <c r="AE96" s="7">
        <f>IF(OR(X96="",C96="",C96&lt;=0),"",X96/C96)</f>
        <v/>
      </c>
      <c r="AF96" t="inlineStr">
        <is>
          <t>不能建立假设要实时分析，还是要一个一个分析</t>
        </is>
      </c>
      <c r="AG96" s="28" t="n"/>
      <c r="AH96" s="28" t="n"/>
      <c r="AI96" s="28" t="n"/>
      <c r="AJ96" s="31">
        <f>IF(OR(AG96="",AH96=""),"",IF(OR(AND(AG96="短期博反弹",OR(AH96="1～3个交易日",AH96="4～10个交易日")),AND(AG96="突破冲新高",OR(AH96="4～10个交易日",AH96="11～20个交易日")),AND(AG96="趋势波段",OR(AH96="11～20个交易日",AH96="21～60个交易日",AH96="60个交易日以上"))),"匹配","周期与交易预期不匹配，请重新确认"))</f>
        <v/>
      </c>
      <c r="AK96" s="43" t="n"/>
      <c r="AL96" s="27" t="n"/>
      <c r="AM96" s="43" t="n"/>
      <c r="AN96" s="27" t="n"/>
      <c r="AO96" s="44">
        <f>IF(OR(A96="",H96="",H96&lt;=0),"",(E96*H96+IF(AND(AK96&lt;&gt;"",AL96&lt;&gt;""),AK96*AL96,0)+IF(AND(AM96&lt;&gt;"",AN96&lt;&gt;""),AM96*AN96,0))/AP96)</f>
        <v/>
      </c>
      <c r="AP96" s="26">
        <f>IF(OR(A96="",H96="",H96&lt;=0),"",H96+IF(AL96="",0,AL96)+IF(AN96="",0,AN96))</f>
        <v/>
      </c>
      <c r="AQ96" s="44">
        <f>IF(A96="","",IF(M96&lt;&gt;"",0,IF(OR(H96="",N96=""),"",MAX(E96-MAX(N96,IFERROR(AGGREGATE(14,6,'持仓跟踪'!$S$2:$S$501/(('持仓跟踪'!$A$2:$A$501="每日跟踪")*('持仓跟踪'!$B$2:$B$501=A96)),1),0)),0)*H96+IF(OR(AK96="",AL96=""),0,MAX(AK96-MAX(N96,IFERROR(AGGREGATE(14,6,'持仓跟踪'!$S$2:$S$501/(('持仓跟踪'!$A$2:$A$501="每日跟踪")*('持仓跟踪'!$B$2:$B$501=A96)),1),0)),0)*AL96)+IF(OR(AM96="",AN96=""),0,MAX(AM96-MAX(N96,IFERROR(AGGREGATE(14,6,'持仓跟踪'!$S$2:$S$501/(('持仓跟踪'!$A$2:$A$501="每日跟踪")*('持仓跟踪'!$B$2:$B$501=A96)),1),0)),0)*AN96))))</f>
        <v/>
      </c>
      <c r="AR96" s="31">
        <f>IF(A96="","",IF(OR(E96="",H96=""),"违规：第一批价格或股数缺失",IF(OR(AND(AK96="",AL96&lt;&gt;""),AND(AK96&lt;&gt;"",AL96="")),"违规：第二批价格与股数须成对填写",IF(OR(AND(AM96="",AN96&lt;&gt;""),AND(AM96&lt;&gt;"",AN96="")),"违规：第三批价格与股数须成对填写",IF(AND(OR(AM96&lt;&gt;"",AN96&lt;&gt;""),OR(AK96="",AL96="")),"违规：必须先完成第二批",IF(OR(H96&lt;=0,H96&lt;&gt;INT(H96),MOD(H96,100)&lt;&gt;0,AND(AL96&lt;&gt;"",OR(AL96&lt;=0,AL96&lt;&gt;INT(AL96),MOD(AL96,100)&lt;&gt;0)),AND(AN96&lt;&gt;"",OR(AN96&lt;=0,AN96&lt;&gt;INT(AN96),MOD(AN96,100)&lt;&gt;0))),"违规：股数须为100股整数倍",IF(AND(OR(AL96&lt;&gt;"",AN96&lt;&gt;""),OR(_LockStatus="已锁仓",_LockStatus="解锁信息不完整")),"违规：锁仓期间禁止加仓",IF(AQ96&gt;C96*D96,"违规：超过单笔风险上限",IF(SUM($AQ$2:$AQ$201)&gt;账户数据!$B$7,"违规：超过账户风险上限","通过")))))))))</f>
        <v/>
      </c>
    </row>
    <row r="97">
      <c r="A97" s="2" t="n">
        <v>96</v>
      </c>
      <c r="B97" s="15" t="inlineStr">
        <is>
          <t>豫光金铅</t>
        </is>
      </c>
      <c r="C97" s="40" t="n">
        <v>245424</v>
      </c>
      <c r="D97" s="6" t="n">
        <v>0.02</v>
      </c>
      <c r="E97" s="40" t="n">
        <v>6.94</v>
      </c>
      <c r="F97" s="8">
        <f>IF(OR(C97="",D97="",E97="",N97="",C97&lt;=0,D97&lt;=0,E97&lt;=N97),"",ROUNDDOWN((C97*D97)/(E97-N97)/100,0)*100)</f>
        <v/>
      </c>
      <c r="G97" s="8">
        <f>IF(A97="","",IF(H97&lt;&gt;"","已开仓",IF(账户数据!$B$23="已锁仓","禁止开仓：连续亏损达到上限",IF(账户数据!$B$23="解锁信息不完整","禁止开仓：请完整填写解锁信息",IF(OR(F97="",E97="",N97="",E97&lt;=N97,账户数据!$B$7=""),"",IF(OR(AG97="",AH97="",AI97=""),"禁止开仓：交易预期未填写完整",IF(COUNTIFS(持仓跟踪!$A$2:$A$501,"止损计划",持仓跟踪!$B$2:$B$501,A97,持仓跟踪!$AC$2:$AC$501,"计划有效")=0,"禁止开仓：请先填写止损计划",IF(账户数据!$B$9+F97*(E97-N97)&gt;=账户数据!$B$7,"禁止开仓：风险额度不足",IF(AJ97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7" s="2" t="n">
        <v>5200</v>
      </c>
      <c r="I97" s="41" t="n">
        <v>42536</v>
      </c>
      <c r="J97" s="40" t="n">
        <v>9</v>
      </c>
      <c r="K97" s="40" t="n">
        <v>9</v>
      </c>
      <c r="L97" s="8">
        <f>IF(K97="","",H97)</f>
        <v/>
      </c>
      <c r="M97" s="41" t="n">
        <v>42615</v>
      </c>
      <c r="N97" s="40" t="n">
        <v>6</v>
      </c>
      <c r="O97" s="40" t="n"/>
      <c r="P97" s="40" t="n"/>
      <c r="Q97" s="2" t="n"/>
      <c r="R97" s="2" t="n"/>
      <c r="S97" s="2" t="n"/>
      <c r="T97" s="2" t="n"/>
      <c r="U97" s="7">
        <f>IF(OR(AO97="",J97="",AO97&lt;=0),"",(J97-AO97)/AO97)</f>
        <v/>
      </c>
      <c r="V97" s="7">
        <f>IF(OR(AO97="",N97="",AO97&lt;=0),"",(AO97-N97)/AO97)</f>
        <v/>
      </c>
      <c r="W97" s="13">
        <f>IF(OR(U97="",V97="",V97&lt;=0),"",U97/V97)</f>
        <v/>
      </c>
      <c r="X97" s="42">
        <f>IF(OR(K97="",L97="",AP97=""),"",K97*L97-(E97*H97+IF(AND(AK97&lt;&gt;"",AL97&lt;&gt;""),AK97*AL97,0)+IF(AND(AM97&lt;&gt;"",AN97&lt;&gt;""),AM97*AN97,0))-IF(O97="",0,O97)-IF(P97="",0,P97))</f>
        <v/>
      </c>
      <c r="Y97" s="7">
        <f>IF(OR(X97="",AP97=""),"",IF((E97*H97+IF(AND(AK97&lt;&gt;"",AL97&lt;&gt;""),AK97*AL97,0)+IF(AND(AM97&lt;&gt;"",AN97&lt;&gt;""),AM97*AN97,0))+IF(O97="",0,O97)&lt;=0,"",X97/((E97*H97+IF(AND(AK97&lt;&gt;"",AL97&lt;&gt;""),AK97*AL97,0)+IF(AND(AM97&lt;&gt;"",AN97&lt;&gt;""),AM97*AN97,0))+IF(O97="",0,O97))))</f>
        <v/>
      </c>
      <c r="Z97" s="7">
        <f>IF(OR(AE97="",多次统计数据!$B$8=""),"",AE97-多次统计数据!$B$8)</f>
        <v/>
      </c>
      <c r="AA97" s="14">
        <f>IF(OR(I97="",M97="",M97&lt;I97),"",M97-I97)</f>
        <v/>
      </c>
      <c r="AB97" s="7">
        <f>IF(OR(A97="",多次统计数据!$B$8="",多次统计数据!$B$6&lt;=0,多次统计数据!$B$6&gt;=1),"",1-POWER(1+多次统计数据!$B$8,-多次统计数据!$B$6/(1-多次统计数据!$B$6)))</f>
        <v/>
      </c>
      <c r="AC97" s="8">
        <f>IF(OR(AB97="",多次统计数据!$B$9=""),"",IF(多次统计数据!$B$9&lt;AB97,"低于上限","达到或超过上限"))</f>
        <v/>
      </c>
      <c r="AD97" s="2" t="inlineStr">
        <is>
          <t>2-较差</t>
        </is>
      </c>
      <c r="AE97" s="7">
        <f>IF(OR(X97="",C97="",C97&lt;=0),"",X97/C97)</f>
        <v/>
      </c>
      <c r="AF97" s="16" t="inlineStr">
        <is>
          <t>又是预期会有大涨幅，没有实时分析</t>
        </is>
      </c>
      <c r="AG97" s="28" t="n"/>
      <c r="AH97" s="28" t="n"/>
      <c r="AI97" s="28" t="n"/>
      <c r="AJ97" s="31">
        <f>IF(OR(AG97="",AH97=""),"",IF(OR(AND(AG97="短期博反弹",OR(AH97="1～3个交易日",AH97="4～10个交易日")),AND(AG97="突破冲新高",OR(AH97="4～10个交易日",AH97="11～20个交易日")),AND(AG97="趋势波段",OR(AH97="11～20个交易日",AH97="21～60个交易日",AH97="60个交易日以上"))),"匹配","周期与交易预期不匹配，请重新确认"))</f>
        <v/>
      </c>
      <c r="AK97" s="43" t="n"/>
      <c r="AL97" s="27" t="n"/>
      <c r="AM97" s="43" t="n"/>
      <c r="AN97" s="27" t="n"/>
      <c r="AO97" s="44">
        <f>IF(OR(A97="",H97="",H97&lt;=0),"",(E97*H97+IF(AND(AK97&lt;&gt;"",AL97&lt;&gt;""),AK97*AL97,0)+IF(AND(AM97&lt;&gt;"",AN97&lt;&gt;""),AM97*AN97,0))/AP97)</f>
        <v/>
      </c>
      <c r="AP97" s="26">
        <f>IF(OR(A97="",H97="",H97&lt;=0),"",H97+IF(AL97="",0,AL97)+IF(AN97="",0,AN97))</f>
        <v/>
      </c>
      <c r="AQ97" s="44">
        <f>IF(A97="","",IF(M97&lt;&gt;"",0,IF(OR(H97="",N97=""),"",MAX(E97-MAX(N97,IFERROR(AGGREGATE(14,6,'持仓跟踪'!$S$2:$S$501/(('持仓跟踪'!$A$2:$A$501="每日跟踪")*('持仓跟踪'!$B$2:$B$501=A97)),1),0)),0)*H97+IF(OR(AK97="",AL97=""),0,MAX(AK97-MAX(N97,IFERROR(AGGREGATE(14,6,'持仓跟踪'!$S$2:$S$501/(('持仓跟踪'!$A$2:$A$501="每日跟踪")*('持仓跟踪'!$B$2:$B$501=A97)),1),0)),0)*AL97)+IF(OR(AM97="",AN97=""),0,MAX(AM97-MAX(N97,IFERROR(AGGREGATE(14,6,'持仓跟踪'!$S$2:$S$501/(('持仓跟踪'!$A$2:$A$501="每日跟踪")*('持仓跟踪'!$B$2:$B$501=A97)),1),0)),0)*AN97))))</f>
        <v/>
      </c>
      <c r="AR97" s="31">
        <f>IF(A97="","",IF(OR(E97="",H97=""),"违规：第一批价格或股数缺失",IF(OR(AND(AK97="",AL97&lt;&gt;""),AND(AK97&lt;&gt;"",AL97="")),"违规：第二批价格与股数须成对填写",IF(OR(AND(AM97="",AN97&lt;&gt;""),AND(AM97&lt;&gt;"",AN97="")),"违规：第三批价格与股数须成对填写",IF(AND(OR(AM97&lt;&gt;"",AN97&lt;&gt;""),OR(AK97="",AL97="")),"违规：必须先完成第二批",IF(OR(H97&lt;=0,H97&lt;&gt;INT(H97),MOD(H97,100)&lt;&gt;0,AND(AL97&lt;&gt;"",OR(AL97&lt;=0,AL97&lt;&gt;INT(AL97),MOD(AL97,100)&lt;&gt;0)),AND(AN97&lt;&gt;"",OR(AN97&lt;=0,AN97&lt;&gt;INT(AN97),MOD(AN97,100)&lt;&gt;0))),"违规：股数须为100股整数倍",IF(AND(OR(AL97&lt;&gt;"",AN97&lt;&gt;""),OR(_LockStatus="已锁仓",_LockStatus="解锁信息不完整")),"违规：锁仓期间禁止加仓",IF(AQ97&gt;C97*D97,"违规：超过单笔风险上限",IF(SUM($AQ$2:$AQ$201)&gt;账户数据!$B$7,"违规：超过账户风险上限","通过")))))))))</f>
        <v/>
      </c>
    </row>
    <row r="98">
      <c r="A98" s="2" t="n">
        <v>97</v>
      </c>
      <c r="B98" s="15" t="inlineStr">
        <is>
          <t>豫光金铅</t>
        </is>
      </c>
      <c r="C98" s="40" t="n">
        <v>256136</v>
      </c>
      <c r="D98" s="6" t="n">
        <v>0.02</v>
      </c>
      <c r="E98" s="40" t="n">
        <v>8.99</v>
      </c>
      <c r="F98" s="8">
        <f>IF(OR(C98="",D98="",E98="",N98="",C98&lt;=0,D98&lt;=0,E98&lt;=N98),"",ROUNDDOWN((C98*D98)/(E98-N98)/100,0)*100)</f>
        <v/>
      </c>
      <c r="G98" s="8">
        <f>IF(A98="","",IF(H98&lt;&gt;"","已开仓",IF(账户数据!$B$23="已锁仓","禁止开仓：连续亏损达到上限",IF(账户数据!$B$23="解锁信息不完整","禁止开仓：请完整填写解锁信息",IF(OR(F98="",E98="",N98="",E98&lt;=N98,账户数据!$B$7=""),"",IF(OR(AG98="",AH98="",AI98=""),"禁止开仓：交易预期未填写完整",IF(COUNTIFS(持仓跟踪!$A$2:$A$501,"止损计划",持仓跟踪!$B$2:$B$501,A98,持仓跟踪!$AC$2:$AC$501,"计划有效")=0,"禁止开仓：请先填写止损计划",IF(账户数据!$B$9+F98*(E98-N98)&gt;=账户数据!$B$7,"禁止开仓：风险额度不足",IF(AJ98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8" s="2" t="n">
        <v>5100</v>
      </c>
      <c r="I98" s="41" t="n">
        <v>42683</v>
      </c>
      <c r="J98" s="40" t="n">
        <v>10</v>
      </c>
      <c r="K98" s="40" t="n">
        <v>8.449999999999999</v>
      </c>
      <c r="L98" s="8">
        <f>IF(K98="","",H98)</f>
        <v/>
      </c>
      <c r="M98" s="41" t="n">
        <v>42706</v>
      </c>
      <c r="N98" s="40" t="n">
        <v>8</v>
      </c>
      <c r="O98" s="40" t="n"/>
      <c r="P98" s="40" t="n"/>
      <c r="Q98" s="2" t="n"/>
      <c r="R98" s="2" t="n"/>
      <c r="S98" s="2" t="n"/>
      <c r="T98" s="2" t="n"/>
      <c r="U98" s="7">
        <f>IF(OR(AO98="",J98="",AO98&lt;=0),"",(J98-AO98)/AO98)</f>
        <v/>
      </c>
      <c r="V98" s="7">
        <f>IF(OR(AO98="",N98="",AO98&lt;=0),"",(AO98-N98)/AO98)</f>
        <v/>
      </c>
      <c r="W98" s="13">
        <f>IF(OR(U98="",V98="",V98&lt;=0),"",U98/V98)</f>
        <v/>
      </c>
      <c r="X98" s="42">
        <f>IF(OR(K98="",L98="",AP98=""),"",K98*L98-(E98*H98+IF(AND(AK98&lt;&gt;"",AL98&lt;&gt;""),AK98*AL98,0)+IF(AND(AM98&lt;&gt;"",AN98&lt;&gt;""),AM98*AN98,0))-IF(O98="",0,O98)-IF(P98="",0,P98))</f>
        <v/>
      </c>
      <c r="Y98" s="7">
        <f>IF(OR(X98="",AP98=""),"",IF((E98*H98+IF(AND(AK98&lt;&gt;"",AL98&lt;&gt;""),AK98*AL98,0)+IF(AND(AM98&lt;&gt;"",AN98&lt;&gt;""),AM98*AN98,0))+IF(O98="",0,O98)&lt;=0,"",X98/((E98*H98+IF(AND(AK98&lt;&gt;"",AL98&lt;&gt;""),AK98*AL98,0)+IF(AND(AM98&lt;&gt;"",AN98&lt;&gt;""),AM98*AN98,0))+IF(O98="",0,O98))))</f>
        <v/>
      </c>
      <c r="Z98" s="7">
        <f>IF(OR(AE98="",多次统计数据!$B$8=""),"",AE98-多次统计数据!$B$8)</f>
        <v/>
      </c>
      <c r="AA98" s="14">
        <f>IF(OR(I98="",M98="",M98&lt;I98),"",M98-I98)</f>
        <v/>
      </c>
      <c r="AB98" s="7">
        <f>IF(OR(A98="",多次统计数据!$B$8="",多次统计数据!$B$6&lt;=0,多次统计数据!$B$6&gt;=1),"",1-POWER(1+多次统计数据!$B$8,-多次统计数据!$B$6/(1-多次统计数据!$B$6)))</f>
        <v/>
      </c>
      <c r="AC98" s="8">
        <f>IF(OR(AB98="",多次统计数据!$B$9=""),"",IF(多次统计数据!$B$9&lt;AB98,"低于上限","达到或超过上限"))</f>
        <v/>
      </c>
      <c r="AD98" s="2" t="inlineStr">
        <is>
          <t>4-良好</t>
        </is>
      </c>
      <c r="AE98" s="7">
        <f>IF(OR(X98="",C98="",C98&lt;=0),"",X98/C98)</f>
        <v/>
      </c>
      <c r="AF98" s="16" t="inlineStr">
        <is>
          <t>实时分析了</t>
        </is>
      </c>
      <c r="AG98" s="28" t="n"/>
      <c r="AH98" s="28" t="n"/>
      <c r="AI98" s="28" t="n"/>
      <c r="AJ98" s="31">
        <f>IF(OR(AG98="",AH98=""),"",IF(OR(AND(AG98="短期博反弹",OR(AH98="1～3个交易日",AH98="4～10个交易日")),AND(AG98="突破冲新高",OR(AH98="4～10个交易日",AH98="11～20个交易日")),AND(AG98="趋势波段",OR(AH98="11～20个交易日",AH98="21～60个交易日",AH98="60个交易日以上"))),"匹配","周期与交易预期不匹配，请重新确认"))</f>
        <v/>
      </c>
      <c r="AK98" s="43" t="n"/>
      <c r="AL98" s="27" t="n"/>
      <c r="AM98" s="43" t="n"/>
      <c r="AN98" s="27" t="n"/>
      <c r="AO98" s="44">
        <f>IF(OR(A98="",H98="",H98&lt;=0),"",(E98*H98+IF(AND(AK98&lt;&gt;"",AL98&lt;&gt;""),AK98*AL98,0)+IF(AND(AM98&lt;&gt;"",AN98&lt;&gt;""),AM98*AN98,0))/AP98)</f>
        <v/>
      </c>
      <c r="AP98" s="26">
        <f>IF(OR(A98="",H98="",H98&lt;=0),"",H98+IF(AL98="",0,AL98)+IF(AN98="",0,AN98))</f>
        <v/>
      </c>
      <c r="AQ98" s="44">
        <f>IF(A98="","",IF(M98&lt;&gt;"",0,IF(OR(H98="",N98=""),"",MAX(E98-MAX(N98,IFERROR(AGGREGATE(14,6,'持仓跟踪'!$S$2:$S$501/(('持仓跟踪'!$A$2:$A$501="每日跟踪")*('持仓跟踪'!$B$2:$B$501=A98)),1),0)),0)*H98+IF(OR(AK98="",AL98=""),0,MAX(AK98-MAX(N98,IFERROR(AGGREGATE(14,6,'持仓跟踪'!$S$2:$S$501/(('持仓跟踪'!$A$2:$A$501="每日跟踪")*('持仓跟踪'!$B$2:$B$501=A98)),1),0)),0)*AL98)+IF(OR(AM98="",AN98=""),0,MAX(AM98-MAX(N98,IFERROR(AGGREGATE(14,6,'持仓跟踪'!$S$2:$S$501/(('持仓跟踪'!$A$2:$A$501="每日跟踪")*('持仓跟踪'!$B$2:$B$501=A98)),1),0)),0)*AN98))))</f>
        <v/>
      </c>
      <c r="AR98" s="31">
        <f>IF(A98="","",IF(OR(E98="",H98=""),"违规：第一批价格或股数缺失",IF(OR(AND(AK98="",AL98&lt;&gt;""),AND(AK98&lt;&gt;"",AL98="")),"违规：第二批价格与股数须成对填写",IF(OR(AND(AM98="",AN98&lt;&gt;""),AND(AM98&lt;&gt;"",AN98="")),"违规：第三批价格与股数须成对填写",IF(AND(OR(AM98&lt;&gt;"",AN98&lt;&gt;""),OR(AK98="",AL98="")),"违规：必须先完成第二批",IF(OR(H98&lt;=0,H98&lt;&gt;INT(H98),MOD(H98,100)&lt;&gt;0,AND(AL98&lt;&gt;"",OR(AL98&lt;=0,AL98&lt;&gt;INT(AL98),MOD(AL98,100)&lt;&gt;0)),AND(AN98&lt;&gt;"",OR(AN98&lt;=0,AN98&lt;&gt;INT(AN98),MOD(AN98,100)&lt;&gt;0))),"违规：股数须为100股整数倍",IF(AND(OR(AL98&lt;&gt;"",AN98&lt;&gt;""),OR(_LockStatus="已锁仓",_LockStatus="解锁信息不完整")),"违规：锁仓期间禁止加仓",IF(AQ98&gt;C98*D98,"违规：超过单笔风险上限",IF(SUM($AQ$2:$AQ$201)&gt;账户数据!$B$7,"违规：超过账户风险上限","通过")))))))))</f>
        <v/>
      </c>
    </row>
    <row r="99">
      <c r="A99" s="2" t="n">
        <v>98</v>
      </c>
      <c r="B99" s="15" t="inlineStr">
        <is>
          <t>豫光金铅</t>
        </is>
      </c>
      <c r="C99" s="40" t="n">
        <v>253382</v>
      </c>
      <c r="D99" s="6" t="n">
        <v>0.02</v>
      </c>
      <c r="E99" s="40" t="n">
        <v>7.86</v>
      </c>
      <c r="F99" s="8">
        <f>IF(OR(C99="",D99="",E99="",N99="",C99&lt;=0,D99&lt;=0,E99&lt;=N99),"",ROUNDDOWN((C99*D99)/(E99-N99)/100,0)*100)</f>
        <v/>
      </c>
      <c r="G99" s="8">
        <f>IF(A99="","",IF(H99&lt;&gt;"","已开仓",IF(账户数据!$B$23="已锁仓","禁止开仓：连续亏损达到上限",IF(账户数据!$B$23="解锁信息不完整","禁止开仓：请完整填写解锁信息",IF(OR(F99="",E99="",N99="",E99&lt;=N99,账户数据!$B$7=""),"",IF(OR(AG99="",AH99="",AI99=""),"禁止开仓：交易预期未填写完整",IF(COUNTIFS(持仓跟踪!$A$2:$A$501,"止损计划",持仓跟踪!$B$2:$B$501,A99,持仓跟踪!$AC$2:$AC$501,"计划有效")=0,"禁止开仓：请先填写止损计划",IF(账户数据!$B$9+F99*(E99-N99)&gt;=账户数据!$B$7,"禁止开仓：风险额度不足",IF(AJ99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99" s="2" t="n">
        <v>5800</v>
      </c>
      <c r="I99" s="41" t="n">
        <v>42718</v>
      </c>
      <c r="J99" s="40" t="n">
        <v>9</v>
      </c>
      <c r="K99" s="40" t="n">
        <v>6.6</v>
      </c>
      <c r="L99" s="8">
        <f>IF(K99="","",H99)</f>
        <v/>
      </c>
      <c r="M99" s="41" t="n">
        <v>42845</v>
      </c>
      <c r="N99" s="40" t="n">
        <v>7</v>
      </c>
      <c r="O99" s="40" t="n"/>
      <c r="P99" s="40" t="n"/>
      <c r="Q99" s="2" t="n"/>
      <c r="R99" s="2" t="n"/>
      <c r="S99" s="2" t="n"/>
      <c r="T99" s="2" t="n"/>
      <c r="U99" s="7">
        <f>IF(OR(AO99="",J99="",AO99&lt;=0),"",(J99-AO99)/AO99)</f>
        <v/>
      </c>
      <c r="V99" s="7">
        <f>IF(OR(AO99="",N99="",AO99&lt;=0),"",(AO99-N99)/AO99)</f>
        <v/>
      </c>
      <c r="W99" s="13">
        <f>IF(OR(U99="",V99="",V99&lt;=0),"",U99/V99)</f>
        <v/>
      </c>
      <c r="X99" s="42">
        <f>IF(OR(K99="",L99="",AP99=""),"",K99*L99-(E99*H99+IF(AND(AK99&lt;&gt;"",AL99&lt;&gt;""),AK99*AL99,0)+IF(AND(AM99&lt;&gt;"",AN99&lt;&gt;""),AM99*AN99,0))-IF(O99="",0,O99)-IF(P99="",0,P99))</f>
        <v/>
      </c>
      <c r="Y99" s="7">
        <f>IF(OR(X99="",AP99=""),"",IF((E99*H99+IF(AND(AK99&lt;&gt;"",AL99&lt;&gt;""),AK99*AL99,0)+IF(AND(AM99&lt;&gt;"",AN99&lt;&gt;""),AM99*AN99,0))+IF(O99="",0,O99)&lt;=0,"",X99/((E99*H99+IF(AND(AK99&lt;&gt;"",AL99&lt;&gt;""),AK99*AL99,0)+IF(AND(AM99&lt;&gt;"",AN99&lt;&gt;""),AM99*AN99,0))+IF(O99="",0,O99))))</f>
        <v/>
      </c>
      <c r="Z99" s="7">
        <f>IF(OR(AE99="",多次统计数据!$B$8=""),"",AE99-多次统计数据!$B$8)</f>
        <v/>
      </c>
      <c r="AA99" s="14">
        <f>IF(OR(I99="",M99="",M99&lt;I99),"",M99-I99)</f>
        <v/>
      </c>
      <c r="AB99" s="7">
        <f>IF(OR(A99="",多次统计数据!$B$8="",多次统计数据!$B$6&lt;=0,多次统计数据!$B$6&gt;=1),"",1-POWER(1+多次统计数据!$B$8,-多次统计数据!$B$6/(1-多次统计数据!$B$6)))</f>
        <v/>
      </c>
      <c r="AC99" s="8">
        <f>IF(OR(AB99="",多次统计数据!$B$9=""),"",IF(多次统计数据!$B$9&lt;AB99,"低于上限","达到或超过上限"))</f>
        <v/>
      </c>
      <c r="AD99" s="2" t="inlineStr">
        <is>
          <t>2-较差</t>
        </is>
      </c>
      <c r="AE99" s="7">
        <f>IF(OR(X99="",C99="",C99&lt;=0),"",X99/C99)</f>
        <v/>
      </c>
      <c r="AF99" s="16" t="inlineStr">
        <is>
          <t>还是觉得会反弹，所以等了，那个可能是假象，失败就失败，尝试失败了而已</t>
        </is>
      </c>
      <c r="AG99" s="28" t="n"/>
      <c r="AH99" s="28" t="n"/>
      <c r="AI99" s="28" t="n"/>
      <c r="AJ99" s="31">
        <f>IF(OR(AG99="",AH99=""),"",IF(OR(AND(AG99="短期博反弹",OR(AH99="1～3个交易日",AH99="4～10个交易日")),AND(AG99="突破冲新高",OR(AH99="4～10个交易日",AH99="11～20个交易日")),AND(AG99="趋势波段",OR(AH99="11～20个交易日",AH99="21～60个交易日",AH99="60个交易日以上"))),"匹配","周期与交易预期不匹配，请重新确认"))</f>
        <v/>
      </c>
      <c r="AK99" s="43" t="n"/>
      <c r="AL99" s="27" t="n"/>
      <c r="AM99" s="43" t="n"/>
      <c r="AN99" s="27" t="n"/>
      <c r="AO99" s="44">
        <f>IF(OR(A99="",H99="",H99&lt;=0),"",(E99*H99+IF(AND(AK99&lt;&gt;"",AL99&lt;&gt;""),AK99*AL99,0)+IF(AND(AM99&lt;&gt;"",AN99&lt;&gt;""),AM99*AN99,0))/AP99)</f>
        <v/>
      </c>
      <c r="AP99" s="26">
        <f>IF(OR(A99="",H99="",H99&lt;=0),"",H99+IF(AL99="",0,AL99)+IF(AN99="",0,AN99))</f>
        <v/>
      </c>
      <c r="AQ99" s="44">
        <f>IF(A99="","",IF(M99&lt;&gt;"",0,IF(OR(H99="",N99=""),"",MAX(E99-MAX(N99,IFERROR(AGGREGATE(14,6,'持仓跟踪'!$S$2:$S$501/(('持仓跟踪'!$A$2:$A$501="每日跟踪")*('持仓跟踪'!$B$2:$B$501=A99)),1),0)),0)*H99+IF(OR(AK99="",AL99=""),0,MAX(AK99-MAX(N99,IFERROR(AGGREGATE(14,6,'持仓跟踪'!$S$2:$S$501/(('持仓跟踪'!$A$2:$A$501="每日跟踪")*('持仓跟踪'!$B$2:$B$501=A99)),1),0)),0)*AL99)+IF(OR(AM99="",AN99=""),0,MAX(AM99-MAX(N99,IFERROR(AGGREGATE(14,6,'持仓跟踪'!$S$2:$S$501/(('持仓跟踪'!$A$2:$A$501="每日跟踪")*('持仓跟踪'!$B$2:$B$501=A99)),1),0)),0)*AN99))))</f>
        <v/>
      </c>
      <c r="AR99" s="31">
        <f>IF(A99="","",IF(OR(E99="",H99=""),"违规：第一批价格或股数缺失",IF(OR(AND(AK99="",AL99&lt;&gt;""),AND(AK99&lt;&gt;"",AL99="")),"违规：第二批价格与股数须成对填写",IF(OR(AND(AM99="",AN99&lt;&gt;""),AND(AM99&lt;&gt;"",AN99="")),"违规：第三批价格与股数须成对填写",IF(AND(OR(AM99&lt;&gt;"",AN99&lt;&gt;""),OR(AK99="",AL99="")),"违规：必须先完成第二批",IF(OR(H99&lt;=0,H99&lt;&gt;INT(H99),MOD(H99,100)&lt;&gt;0,AND(AL99&lt;&gt;"",OR(AL99&lt;=0,AL99&lt;&gt;INT(AL99),MOD(AL99,100)&lt;&gt;0)),AND(AN99&lt;&gt;"",OR(AN99&lt;=0,AN99&lt;&gt;INT(AN99),MOD(AN99,100)&lt;&gt;0))),"违规：股数须为100股整数倍",IF(AND(OR(AL99&lt;&gt;"",AN99&lt;&gt;""),OR(_LockStatus="已锁仓",_LockStatus="解锁信息不完整")),"违规：锁仓期间禁止加仓",IF(AQ99&gt;C99*D99,"违规：超过单笔风险上限",IF(SUM($AQ$2:$AQ$201)&gt;账户数据!$B$7,"违规：超过账户风险上限","通过")))))))))</f>
        <v/>
      </c>
    </row>
    <row r="100">
      <c r="A100" s="2" t="n">
        <v>99</v>
      </c>
      <c r="B100" s="15" t="inlineStr">
        <is>
          <t>豫光金铅</t>
        </is>
      </c>
      <c r="C100" s="40" t="n">
        <v>246074</v>
      </c>
      <c r="D100" s="6" t="n">
        <v>0.02</v>
      </c>
      <c r="E100" s="40" t="n">
        <v>6.27</v>
      </c>
      <c r="F100" s="8">
        <f>IF(OR(C100="",D100="",E100="",N100="",C100&lt;=0,D100&lt;=0,E100&lt;=N100),"",ROUNDDOWN((C100*D100)/(E100-N100)/100,0)*100)</f>
        <v/>
      </c>
      <c r="G100" s="8">
        <f>IF(A100="","",IF(H100&lt;&gt;"","已开仓",IF(账户数据!$B$23="已锁仓","禁止开仓：连续亏损达到上限",IF(账户数据!$B$23="解锁信息不完整","禁止开仓：请完整填写解锁信息",IF(OR(F100="",E100="",N100="",E100&lt;=N100,账户数据!$B$7=""),"",IF(OR(AG100="",AH100="",AI100=""),"禁止开仓：交易预期未填写完整",IF(COUNTIFS(持仓跟踪!$A$2:$A$501,"止损计划",持仓跟踪!$B$2:$B$501,A100,持仓跟踪!$AC$2:$AC$501,"计划有效")=0,"禁止开仓：请先填写止损计划",IF(账户数据!$B$9+F100*(E100-N100)&gt;=账户数据!$B$7,"禁止开仓：风险额度不足",IF(AJ100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0" s="2" t="n">
        <v>10400</v>
      </c>
      <c r="I100" s="41" t="n">
        <v>42870</v>
      </c>
      <c r="J100" s="40" t="n">
        <v>7</v>
      </c>
      <c r="K100" s="40" t="n">
        <v>5.46</v>
      </c>
      <c r="L100" s="8">
        <f>IF(K100="","",H100)</f>
        <v/>
      </c>
      <c r="M100" s="41" t="n">
        <v>43075</v>
      </c>
      <c r="N100" s="40" t="n">
        <v>5.8</v>
      </c>
      <c r="O100" s="40" t="n"/>
      <c r="P100" s="40" t="n"/>
      <c r="Q100" s="2" t="n"/>
      <c r="R100" s="2" t="n"/>
      <c r="S100" s="2" t="n"/>
      <c r="T100" s="2" t="n"/>
      <c r="U100" s="7">
        <f>IF(OR(AO100="",J100="",AO100&lt;=0),"",(J100-AO100)/AO100)</f>
        <v/>
      </c>
      <c r="V100" s="7">
        <f>IF(OR(AO100="",N100="",AO100&lt;=0),"",(AO100-N100)/AO100)</f>
        <v/>
      </c>
      <c r="W100" s="13">
        <f>IF(OR(U100="",V100="",V100&lt;=0),"",U100/V100)</f>
        <v/>
      </c>
      <c r="X100" s="42">
        <f>IF(OR(K100="",L100="",AP100=""),"",K100*L100-(E100*H100+IF(AND(AK100&lt;&gt;"",AL100&lt;&gt;""),AK100*AL100,0)+IF(AND(AM100&lt;&gt;"",AN100&lt;&gt;""),AM100*AN100,0))-IF(O100="",0,O100)-IF(P100="",0,P100))</f>
        <v/>
      </c>
      <c r="Y100" s="7">
        <f>IF(OR(X100="",AP100=""),"",IF((E100*H100+IF(AND(AK100&lt;&gt;"",AL100&lt;&gt;""),AK100*AL100,0)+IF(AND(AM100&lt;&gt;"",AN100&lt;&gt;""),AM100*AN100,0))+IF(O100="",0,O100)&lt;=0,"",X100/((E100*H100+IF(AND(AK100&lt;&gt;"",AL100&lt;&gt;""),AK100*AL100,0)+IF(AND(AM100&lt;&gt;"",AN100&lt;&gt;""),AM100*AN100,0))+IF(O100="",0,O100))))</f>
        <v/>
      </c>
      <c r="Z100" s="7">
        <f>IF(OR(AE100="",多次统计数据!$B$8=""),"",AE100-多次统计数据!$B$8)</f>
        <v/>
      </c>
      <c r="AA100" s="14">
        <f>IF(OR(I100="",M100="",M100&lt;I100),"",M100-I100)</f>
        <v/>
      </c>
      <c r="AB100" s="7">
        <f>IF(OR(A100="",多次统计数据!$B$8="",多次统计数据!$B$6&lt;=0,多次统计数据!$B$6&gt;=1),"",1-POWER(1+多次统计数据!$B$8,-多次统计数据!$B$6/(1-多次统计数据!$B$6)))</f>
        <v/>
      </c>
      <c r="AC100" s="8">
        <f>IF(OR(AB100="",多次统计数据!$B$9=""),"",IF(多次统计数据!$B$9&lt;AB100,"低于上限","达到或超过上限"))</f>
        <v/>
      </c>
      <c r="AD100" s="2" t="inlineStr">
        <is>
          <t>1-差</t>
        </is>
      </c>
      <c r="AE100" s="7">
        <f>IF(OR(X100="",C100="",C100&lt;=0),"",X100/C100)</f>
        <v/>
      </c>
      <c r="AG100" s="28" t="n"/>
      <c r="AH100" s="28" t="n"/>
      <c r="AI100" s="28" t="n"/>
      <c r="AJ100" s="31">
        <f>IF(OR(AG100="",AH100=""),"",IF(OR(AND(AG100="短期博反弹",OR(AH100="1～3个交易日",AH100="4～10个交易日")),AND(AG100="突破冲新高",OR(AH100="4～10个交易日",AH100="11～20个交易日")),AND(AG100="趋势波段",OR(AH100="11～20个交易日",AH100="21～60个交易日",AH100="60个交易日以上"))),"匹配","周期与交易预期不匹配，请重新确认"))</f>
        <v/>
      </c>
      <c r="AK100" s="43" t="n"/>
      <c r="AL100" s="27" t="n"/>
      <c r="AM100" s="43" t="n"/>
      <c r="AN100" s="27" t="n"/>
      <c r="AO100" s="44">
        <f>IF(OR(A100="",H100="",H100&lt;=0),"",(E100*H100+IF(AND(AK100&lt;&gt;"",AL100&lt;&gt;""),AK100*AL100,0)+IF(AND(AM100&lt;&gt;"",AN100&lt;&gt;""),AM100*AN100,0))/AP100)</f>
        <v/>
      </c>
      <c r="AP100" s="26">
        <f>IF(OR(A100="",H100="",H100&lt;=0),"",H100+IF(AL100="",0,AL100)+IF(AN100="",0,AN100))</f>
        <v/>
      </c>
      <c r="AQ100" s="44">
        <f>IF(A100="","",IF(M100&lt;&gt;"",0,IF(OR(H100="",N100=""),"",MAX(E100-MAX(N100,IFERROR(AGGREGATE(14,6,'持仓跟踪'!$S$2:$S$501/(('持仓跟踪'!$A$2:$A$501="每日跟踪")*('持仓跟踪'!$B$2:$B$501=A100)),1),0)),0)*H100+IF(OR(AK100="",AL100=""),0,MAX(AK100-MAX(N100,IFERROR(AGGREGATE(14,6,'持仓跟踪'!$S$2:$S$501/(('持仓跟踪'!$A$2:$A$501="每日跟踪")*('持仓跟踪'!$B$2:$B$501=A100)),1),0)),0)*AL100)+IF(OR(AM100="",AN100=""),0,MAX(AM100-MAX(N100,IFERROR(AGGREGATE(14,6,'持仓跟踪'!$S$2:$S$501/(('持仓跟踪'!$A$2:$A$501="每日跟踪")*('持仓跟踪'!$B$2:$B$501=A100)),1),0)),0)*AN100))))</f>
        <v/>
      </c>
      <c r="AR100" s="31">
        <f>IF(A100="","",IF(OR(E100="",H100=""),"违规：第一批价格或股数缺失",IF(OR(AND(AK100="",AL100&lt;&gt;""),AND(AK100&lt;&gt;"",AL100="")),"违规：第二批价格与股数须成对填写",IF(OR(AND(AM100="",AN100&lt;&gt;""),AND(AM100&lt;&gt;"",AN100="")),"违规：第三批价格与股数须成对填写",IF(AND(OR(AM100&lt;&gt;"",AN100&lt;&gt;""),OR(AK100="",AL100="")),"违规：必须先完成第二批",IF(OR(H100&lt;=0,H100&lt;&gt;INT(H100),MOD(H100,100)&lt;&gt;0,AND(AL100&lt;&gt;"",OR(AL100&lt;=0,AL100&lt;&gt;INT(AL100),MOD(AL100,100)&lt;&gt;0)),AND(AN100&lt;&gt;"",OR(AN100&lt;=0,AN100&lt;&gt;INT(AN100),MOD(AN100,100)&lt;&gt;0))),"违规：股数须为100股整数倍",IF(AND(OR(AL100&lt;&gt;"",AN100&lt;&gt;""),OR(_LockStatus="已锁仓",_LockStatus="解锁信息不完整")),"违规：锁仓期间禁止加仓",IF(AQ100&gt;C100*D100,"违规：超过单笔风险上限",IF(SUM($AQ$2:$AQ$201)&gt;账户数据!$B$7,"违规：超过账户风险上限","通过")))))))))</f>
        <v/>
      </c>
    </row>
    <row r="101">
      <c r="A101" s="2" t="n">
        <v>99</v>
      </c>
      <c r="B101" s="15" t="inlineStr">
        <is>
          <t>豫光金铅</t>
        </is>
      </c>
      <c r="C101" s="40" t="n">
        <v>237650</v>
      </c>
      <c r="D101" s="6" t="n">
        <v>0.02</v>
      </c>
      <c r="E101" s="40" t="n">
        <v>5.6</v>
      </c>
      <c r="F101" s="8">
        <f>IF(OR(C101="",D101="",E101="",N101="",C101&lt;=0,D101&lt;=0,E101&lt;=N101),"",ROUNDDOWN((C101*D101)/(E101-N101)/100,0)*100)</f>
        <v/>
      </c>
      <c r="G101" s="8">
        <f>IF(A101="","",IF(H101&lt;&gt;"","已开仓",IF(账户数据!$B$23="已锁仓","禁止开仓：连续亏损达到上限",IF(账户数据!$B$23="解锁信息不完整","禁止开仓：请完整填写解锁信息",IF(OR(F101="",E101="",N101="",E101&lt;=N101,账户数据!$B$7=""),"",IF(OR(AG101="",AH101="",AI101=""),"禁止开仓：交易预期未填写完整",IF(COUNTIFS(持仓跟踪!$A$2:$A$501,"止损计划",持仓跟踪!$B$2:$B$501,A101,持仓跟踪!$AC$2:$AC$501,"计划有效")=0,"禁止开仓：请先填写止损计划",IF(账户数据!$B$9+F101*(E101-N101)&gt;=账户数据!$B$7,"禁止开仓：风险额度不足",IF(AJ101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1" s="2" t="n">
        <v>7900</v>
      </c>
      <c r="I101" s="41" t="n">
        <v>43108</v>
      </c>
      <c r="J101" s="40" t="n">
        <v>6</v>
      </c>
      <c r="K101" s="40" t="n">
        <v>4.29</v>
      </c>
      <c r="L101" s="8">
        <f>IF(K101="","",H101)</f>
        <v/>
      </c>
      <c r="M101" s="41" t="n">
        <v>43266</v>
      </c>
      <c r="N101" s="40" t="n">
        <v>5</v>
      </c>
      <c r="O101" s="40" t="n"/>
      <c r="P101" s="40" t="n"/>
      <c r="Q101" s="2" t="n"/>
      <c r="R101" s="2" t="n"/>
      <c r="S101" s="2" t="n"/>
      <c r="T101" s="2" t="n"/>
      <c r="U101" s="7">
        <f>IF(OR(AO101="",J101="",AO101&lt;=0),"",(J101-AO101)/AO101)</f>
        <v/>
      </c>
      <c r="V101" s="7">
        <f>IF(OR(AO101="",N101="",AO101&lt;=0),"",(AO101-N101)/AO101)</f>
        <v/>
      </c>
      <c r="W101" s="13">
        <f>IF(OR(U101="",V101="",V101&lt;=0),"",U101/V101)</f>
        <v/>
      </c>
      <c r="X101" s="42">
        <f>IF(OR(K101="",L101="",AP101=""),"",K101*L101-(E101*H101+IF(AND(AK101&lt;&gt;"",AL101&lt;&gt;""),AK101*AL101,0)+IF(AND(AM101&lt;&gt;"",AN101&lt;&gt;""),AM101*AN101,0))-IF(O101="",0,O101)-IF(P101="",0,P101))</f>
        <v/>
      </c>
      <c r="Y101" s="7">
        <f>IF(OR(X101="",AP101=""),"",IF((E101*H101+IF(AND(AK101&lt;&gt;"",AL101&lt;&gt;""),AK101*AL101,0)+IF(AND(AM101&lt;&gt;"",AN101&lt;&gt;""),AM101*AN101,0))+IF(O101="",0,O101)&lt;=0,"",X101/((E101*H101+IF(AND(AK101&lt;&gt;"",AL101&lt;&gt;""),AK101*AL101,0)+IF(AND(AM101&lt;&gt;"",AN101&lt;&gt;""),AM101*AN101,0))+IF(O101="",0,O101))))</f>
        <v/>
      </c>
      <c r="Z101" s="7">
        <f>IF(OR(AE101="",多次统计数据!$B$8=""),"",AE101-多次统计数据!$B$8)</f>
        <v/>
      </c>
      <c r="AA101" s="14">
        <f>IF(OR(I101="",M101="",M101&lt;I101),"",M101-I101)</f>
        <v/>
      </c>
      <c r="AB101" s="7">
        <f>IF(OR(A101="",多次统计数据!$B$8="",多次统计数据!$B$6&lt;=0,多次统计数据!$B$6&gt;=1),"",1-POWER(1+多次统计数据!$B$8,-多次统计数据!$B$6/(1-多次统计数据!$B$6)))</f>
        <v/>
      </c>
      <c r="AC101" s="8">
        <f>IF(OR(AB101="",多次统计数据!$B$9=""),"",IF(多次统计数据!$B$9&lt;AB101,"低于上限","达到或超过上限"))</f>
        <v/>
      </c>
      <c r="AD101" s="2" t="inlineStr">
        <is>
          <t>1-差</t>
        </is>
      </c>
      <c r="AE101" s="7">
        <f>IF(OR(X101="",C101="",C101&lt;=0),"",X101/C101)</f>
        <v/>
      </c>
      <c r="AG101" s="28" t="n"/>
      <c r="AH101" s="28" t="n"/>
      <c r="AI101" s="28" t="n"/>
      <c r="AJ101" s="31">
        <f>IF(OR(AG101="",AH101=""),"",IF(OR(AND(AG101="短期博反弹",OR(AH101="1～3个交易日",AH101="4～10个交易日")),AND(AG101="突破冲新高",OR(AH101="4～10个交易日",AH101="11～20个交易日")),AND(AG101="趋势波段",OR(AH101="11～20个交易日",AH101="21～60个交易日",AH101="60个交易日以上"))),"匹配","周期与交易预期不匹配，请重新确认"))</f>
        <v/>
      </c>
      <c r="AK101" s="43" t="n"/>
      <c r="AL101" s="27" t="n"/>
      <c r="AM101" s="43" t="n"/>
      <c r="AN101" s="27" t="n"/>
      <c r="AO101" s="44">
        <f>IF(OR(A101="",H101="",H101&lt;=0),"",(E101*H101+IF(AND(AK101&lt;&gt;"",AL101&lt;&gt;""),AK101*AL101,0)+IF(AND(AM101&lt;&gt;"",AN101&lt;&gt;""),AM101*AN101,0))/AP101)</f>
        <v/>
      </c>
      <c r="AP101" s="26">
        <f>IF(OR(A101="",H101="",H101&lt;=0),"",H101+IF(AL101="",0,AL101)+IF(AN101="",0,AN101))</f>
        <v/>
      </c>
      <c r="AQ101" s="44">
        <f>IF(A101="","",IF(M101&lt;&gt;"",0,IF(OR(H101="",N101=""),"",MAX(E101-MAX(N101,IFERROR(AGGREGATE(14,6,'持仓跟踪'!$S$2:$S$501/(('持仓跟踪'!$A$2:$A$501="每日跟踪")*('持仓跟踪'!$B$2:$B$501=A101)),1),0)),0)*H101+IF(OR(AK101="",AL101=""),0,MAX(AK101-MAX(N101,IFERROR(AGGREGATE(14,6,'持仓跟踪'!$S$2:$S$501/(('持仓跟踪'!$A$2:$A$501="每日跟踪")*('持仓跟踪'!$B$2:$B$501=A101)),1),0)),0)*AL101)+IF(OR(AM101="",AN101=""),0,MAX(AM101-MAX(N101,IFERROR(AGGREGATE(14,6,'持仓跟踪'!$S$2:$S$501/(('持仓跟踪'!$A$2:$A$501="每日跟踪")*('持仓跟踪'!$B$2:$B$501=A101)),1),0)),0)*AN101))))</f>
        <v/>
      </c>
      <c r="AR101" s="31">
        <f>IF(A101="","",IF(OR(E101="",H101=""),"违规：第一批价格或股数缺失",IF(OR(AND(AK101="",AL101&lt;&gt;""),AND(AK101&lt;&gt;"",AL101="")),"违规：第二批价格与股数须成对填写",IF(OR(AND(AM101="",AN101&lt;&gt;""),AND(AM101&lt;&gt;"",AN101="")),"违规：第三批价格与股数须成对填写",IF(AND(OR(AM101&lt;&gt;"",AN101&lt;&gt;""),OR(AK101="",AL101="")),"违规：必须先完成第二批",IF(OR(H101&lt;=0,H101&lt;&gt;INT(H101),MOD(H101,100)&lt;&gt;0,AND(AL101&lt;&gt;"",OR(AL101&lt;=0,AL101&lt;&gt;INT(AL101),MOD(AL101,100)&lt;&gt;0)),AND(AN101&lt;&gt;"",OR(AN101&lt;=0,AN101&lt;&gt;INT(AN101),MOD(AN101,100)&lt;&gt;0))),"违规：股数须为100股整数倍",IF(AND(OR(AL101&lt;&gt;"",AN101&lt;&gt;""),OR(_LockStatus="已锁仓",_LockStatus="解锁信息不完整")),"违规：锁仓期间禁止加仓",IF(AQ101&gt;C101*D101,"违规：超过单笔风险上限",IF(SUM($AQ$2:$AQ$201)&gt;账户数据!$B$7,"违规：超过账户风险上限","通过")))))))))</f>
        <v/>
      </c>
    </row>
    <row r="102">
      <c r="A102" s="2" t="n">
        <v>100</v>
      </c>
      <c r="B102" s="15" t="inlineStr">
        <is>
          <t>豫光金铅</t>
        </is>
      </c>
      <c r="C102" s="40" t="n">
        <v>227301</v>
      </c>
      <c r="D102" s="6" t="n">
        <v>0.02</v>
      </c>
      <c r="E102" s="40" t="n">
        <v>3.07</v>
      </c>
      <c r="F102" s="8">
        <f>IF(OR(C102="",D102="",E102="",N102="",C102&lt;=0,D102&lt;=0,E102&lt;=N102),"",ROUNDDOWN((C102*D102)/(E102-N102)/100,0)*100)</f>
        <v/>
      </c>
      <c r="G102" s="8">
        <f>IF(A102="","",IF(H102&lt;&gt;"","已开仓",IF(账户数据!$B$23="已锁仓","禁止开仓：连续亏损达到上限",IF(账户数据!$B$23="解锁信息不完整","禁止开仓：请完整填写解锁信息",IF(OR(F102="",E102="",N102="",E102&lt;=N102,账户数据!$B$7=""),"",IF(OR(AG102="",AH102="",AI102=""),"禁止开仓：交易预期未填写完整",IF(COUNTIFS(持仓跟踪!$A$2:$A$501,"止损计划",持仓跟踪!$B$2:$B$501,A102,持仓跟踪!$AC$2:$AC$501,"计划有效")=0,"禁止开仓：请先填写止损计划",IF(账户数据!$B$9+F102*(E102-N102)&gt;=账户数据!$B$7,"禁止开仓：风险额度不足",IF(AJ102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2" s="2" t="n">
        <v>16800</v>
      </c>
      <c r="I102" s="41" t="n">
        <v>43381</v>
      </c>
      <c r="J102" s="40" t="n">
        <v>4</v>
      </c>
      <c r="K102" s="45" t="n">
        <v>2.73</v>
      </c>
      <c r="L102" s="8">
        <f>IF(K102="","",H102)</f>
        <v/>
      </c>
      <c r="M102" s="41" t="n">
        <v>43384</v>
      </c>
      <c r="N102" s="40" t="n">
        <v>2.8</v>
      </c>
      <c r="O102" s="40" t="n"/>
      <c r="P102" s="40" t="n"/>
      <c r="Q102" s="2" t="n"/>
      <c r="R102" s="2" t="n"/>
      <c r="S102" s="2" t="n"/>
      <c r="T102" s="2" t="n"/>
      <c r="U102" s="7">
        <f>IF(OR(AO102="",J102="",AO102&lt;=0),"",(J102-AO102)/AO102)</f>
        <v/>
      </c>
      <c r="V102" s="7">
        <f>IF(OR(AO102="",N102="",AO102&lt;=0),"",(AO102-N102)/AO102)</f>
        <v/>
      </c>
      <c r="W102" s="13">
        <f>IF(OR(U102="",V102="",V102&lt;=0),"",U102/V102)</f>
        <v/>
      </c>
      <c r="X102" s="42">
        <f>IF(OR(K102="",L102="",AP102=""),"",K102*L102-(E102*H102+IF(AND(AK102&lt;&gt;"",AL102&lt;&gt;""),AK102*AL102,0)+IF(AND(AM102&lt;&gt;"",AN102&lt;&gt;""),AM102*AN102,0))-IF(O102="",0,O102)-IF(P102="",0,P102))</f>
        <v/>
      </c>
      <c r="Y102" s="7">
        <f>IF(OR(X102="",AP102=""),"",IF((E102*H102+IF(AND(AK102&lt;&gt;"",AL102&lt;&gt;""),AK102*AL102,0)+IF(AND(AM102&lt;&gt;"",AN102&lt;&gt;""),AM102*AN102,0))+IF(O102="",0,O102)&lt;=0,"",X102/((E102*H102+IF(AND(AK102&lt;&gt;"",AL102&lt;&gt;""),AK102*AL102,0)+IF(AND(AM102&lt;&gt;"",AN102&lt;&gt;""),AM102*AN102,0))+IF(O102="",0,O102))))</f>
        <v/>
      </c>
      <c r="Z102" s="7">
        <f>IF(OR(AE102="",多次统计数据!$B$8=""),"",AE102-多次统计数据!$B$8)</f>
        <v/>
      </c>
      <c r="AA102" s="14">
        <f>IF(OR(I102="",M102="",M102&lt;I102),"",M102-I102)</f>
        <v/>
      </c>
      <c r="AB102" s="7">
        <f>IF(OR(A102="",多次统计数据!$B$8="",多次统计数据!$B$6&lt;=0,多次统计数据!$B$6&gt;=1),"",1-POWER(1+多次统计数据!$B$8,-多次统计数据!$B$6/(1-多次统计数据!$B$6)))</f>
        <v/>
      </c>
      <c r="AC102" s="8">
        <f>IF(OR(AB102="",多次统计数据!$B$9=""),"",IF(多次统计数据!$B$9&lt;AB102,"低于上限","达到或超过上限"))</f>
        <v/>
      </c>
      <c r="AD102" s="2" t="n"/>
      <c r="AE102" s="7">
        <f>IF(OR(X102="",C102="",C102&lt;=0),"",X102/C102)</f>
        <v/>
      </c>
      <c r="AG102" s="28" t="n"/>
      <c r="AH102" s="28" t="n"/>
      <c r="AI102" s="28" t="n"/>
      <c r="AJ102" s="31">
        <f>IF(OR(AG102="",AH102=""),"",IF(OR(AND(AG102="短期博反弹",OR(AH102="1～3个交易日",AH102="4～10个交易日")),AND(AG102="突破冲新高",OR(AH102="4～10个交易日",AH102="11～20个交易日")),AND(AG102="趋势波段",OR(AH102="11～20个交易日",AH102="21～60个交易日",AH102="60个交易日以上"))),"匹配","周期与交易预期不匹配，请重新确认"))</f>
        <v/>
      </c>
      <c r="AK102" s="43" t="n"/>
      <c r="AL102" s="27" t="n"/>
      <c r="AM102" s="43" t="n"/>
      <c r="AN102" s="27" t="n"/>
      <c r="AO102" s="44">
        <f>IF(OR(A102="",H102="",H102&lt;=0),"",(E102*H102+IF(AND(AK102&lt;&gt;"",AL102&lt;&gt;""),AK102*AL102,0)+IF(AND(AM102&lt;&gt;"",AN102&lt;&gt;""),AM102*AN102,0))/AP102)</f>
        <v/>
      </c>
      <c r="AP102" s="26">
        <f>IF(OR(A102="",H102="",H102&lt;=0),"",H102+IF(AL102="",0,AL102)+IF(AN102="",0,AN102))</f>
        <v/>
      </c>
      <c r="AQ102" s="44">
        <f>IF(A102="","",IF(M102&lt;&gt;"",0,IF(OR(H102="",N102=""),"",MAX(E102-MAX(N102,IFERROR(AGGREGATE(14,6,'持仓跟踪'!$S$2:$S$501/(('持仓跟踪'!$A$2:$A$501="每日跟踪")*('持仓跟踪'!$B$2:$B$501=A102)),1),0)),0)*H102+IF(OR(AK102="",AL102=""),0,MAX(AK102-MAX(N102,IFERROR(AGGREGATE(14,6,'持仓跟踪'!$S$2:$S$501/(('持仓跟踪'!$A$2:$A$501="每日跟踪")*('持仓跟踪'!$B$2:$B$501=A102)),1),0)),0)*AL102)+IF(OR(AM102="",AN102=""),0,MAX(AM102-MAX(N102,IFERROR(AGGREGATE(14,6,'持仓跟踪'!$S$2:$S$501/(('持仓跟踪'!$A$2:$A$501="每日跟踪")*('持仓跟踪'!$B$2:$B$501=A102)),1),0)),0)*AN102))))</f>
        <v/>
      </c>
      <c r="AR102" s="31">
        <f>IF(A102="","",IF(OR(E102="",H102=""),"违规：第一批价格或股数缺失",IF(OR(AND(AK102="",AL102&lt;&gt;""),AND(AK102&lt;&gt;"",AL102="")),"违规：第二批价格与股数须成对填写",IF(OR(AND(AM102="",AN102&lt;&gt;""),AND(AM102&lt;&gt;"",AN102="")),"违规：第三批价格与股数须成对填写",IF(AND(OR(AM102&lt;&gt;"",AN102&lt;&gt;""),OR(AK102="",AL102="")),"违规：必须先完成第二批",IF(OR(H102&lt;=0,H102&lt;&gt;INT(H102),MOD(H102,100)&lt;&gt;0,AND(AL102&lt;&gt;"",OR(AL102&lt;=0,AL102&lt;&gt;INT(AL102),MOD(AL102,100)&lt;&gt;0)),AND(AN102&lt;&gt;"",OR(AN102&lt;=0,AN102&lt;&gt;INT(AN102),MOD(AN102,100)&lt;&gt;0))),"违规：股数须为100股整数倍",IF(AND(OR(AL102&lt;&gt;"",AN102&lt;&gt;""),OR(_LockStatus="已锁仓",_LockStatus="解锁信息不完整")),"违规：锁仓期间禁止加仓",IF(AQ102&gt;C102*D102,"违规：超过单笔风险上限",IF(SUM($AQ$2:$AQ$201)&gt;账户数据!$B$7,"违规：超过账户风险上限","通过")))))))))</f>
        <v/>
      </c>
    </row>
    <row r="103">
      <c r="A103" s="2" t="n">
        <v>101</v>
      </c>
      <c r="B103" s="15" t="inlineStr">
        <is>
          <t>豫光金铅</t>
        </is>
      </c>
      <c r="C103" s="40" t="n">
        <v>221589</v>
      </c>
      <c r="D103" s="6" t="n">
        <v>0.02</v>
      </c>
      <c r="E103" s="40" t="n">
        <v>2.74</v>
      </c>
      <c r="F103" s="8">
        <f>IF(OR(C103="",D103="",E103="",N103="",C103&lt;=0,D103&lt;=0,E103&lt;=N103),"",ROUNDDOWN((C103*D103)/(E103-N103)/100,0)*100)</f>
        <v/>
      </c>
      <c r="G103" s="8">
        <f>IF(A103="","",IF(H103&lt;&gt;"","已开仓",IF(账户数据!$B$23="已锁仓","禁止开仓：连续亏损达到上限",IF(账户数据!$B$23="解锁信息不完整","禁止开仓：请完整填写解锁信息",IF(OR(F103="",E103="",N103="",E103&lt;=N103,账户数据!$B$7=""),"",IF(OR(AG103="",AH103="",AI103=""),"禁止开仓：交易预期未填写完整",IF(COUNTIFS(持仓跟踪!$A$2:$A$501,"止损计划",持仓跟踪!$B$2:$B$501,A103,持仓跟踪!$AC$2:$AC$501,"计划有效")=0,"禁止开仓：请先填写止损计划",IF(账户数据!$B$9+F103*(E103-N103)&gt;=账户数据!$B$7,"禁止开仓：风险额度不足",IF(AJ103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3" s="2" t="n">
        <v>18400</v>
      </c>
      <c r="I103" s="41" t="n">
        <v>43404</v>
      </c>
      <c r="J103" s="40" t="n">
        <v>3</v>
      </c>
      <c r="K103" s="40" t="n">
        <v>2.42</v>
      </c>
      <c r="L103" s="8">
        <f>IF(K103="","",H103)</f>
        <v/>
      </c>
      <c r="M103" s="41" t="n">
        <v>43461</v>
      </c>
      <c r="N103" s="40" t="n">
        <v>2.5</v>
      </c>
      <c r="O103" s="40" t="n"/>
      <c r="P103" s="40" t="n"/>
      <c r="Q103" s="2" t="n"/>
      <c r="R103" s="2" t="n"/>
      <c r="S103" s="2" t="n"/>
      <c r="T103" s="2" t="n"/>
      <c r="U103" s="7">
        <f>IF(OR(AO103="",J103="",AO103&lt;=0),"",(J103-AO103)/AO103)</f>
        <v/>
      </c>
      <c r="V103" s="7">
        <f>IF(OR(AO103="",N103="",AO103&lt;=0),"",(AO103-N103)/AO103)</f>
        <v/>
      </c>
      <c r="W103" s="13">
        <f>IF(OR(U103="",V103="",V103&lt;=0),"",U103/V103)</f>
        <v/>
      </c>
      <c r="X103" s="42">
        <f>IF(OR(K103="",L103="",AP103=""),"",K103*L103-(E103*H103+IF(AND(AK103&lt;&gt;"",AL103&lt;&gt;""),AK103*AL103,0)+IF(AND(AM103&lt;&gt;"",AN103&lt;&gt;""),AM103*AN103,0))-IF(O103="",0,O103)-IF(P103="",0,P103))</f>
        <v/>
      </c>
      <c r="Y103" s="7">
        <f>IF(OR(X103="",AP103=""),"",IF((E103*H103+IF(AND(AK103&lt;&gt;"",AL103&lt;&gt;""),AK103*AL103,0)+IF(AND(AM103&lt;&gt;"",AN103&lt;&gt;""),AM103*AN103,0))+IF(O103="",0,O103)&lt;=0,"",X103/((E103*H103+IF(AND(AK103&lt;&gt;"",AL103&lt;&gt;""),AK103*AL103,0)+IF(AND(AM103&lt;&gt;"",AN103&lt;&gt;""),AM103*AN103,0))+IF(O103="",0,O103))))</f>
        <v/>
      </c>
      <c r="Z103" s="7">
        <f>IF(OR(AE103="",多次统计数据!$B$8=""),"",AE103-多次统计数据!$B$8)</f>
        <v/>
      </c>
      <c r="AA103" s="14">
        <f>IF(OR(I103="",M103="",M103&lt;I103),"",M103-I103)</f>
        <v/>
      </c>
      <c r="AB103" s="7">
        <f>IF(OR(A103="",多次统计数据!$B$8="",多次统计数据!$B$6&lt;=0,多次统计数据!$B$6&gt;=1),"",1-POWER(1+多次统计数据!$B$8,-多次统计数据!$B$6/(1-多次统计数据!$B$6)))</f>
        <v/>
      </c>
      <c r="AC103" s="8">
        <f>IF(OR(AB103="",多次统计数据!$B$9=""),"",IF(多次统计数据!$B$9&lt;AB103,"低于上限","达到或超过上限"))</f>
        <v/>
      </c>
      <c r="AD103" s="2" t="n"/>
      <c r="AE103" s="7">
        <f>IF(OR(X103="",C103="",C103&lt;=0),"",X103/C103)</f>
        <v/>
      </c>
      <c r="AG103" s="28" t="n"/>
      <c r="AH103" s="28" t="n"/>
      <c r="AI103" s="28" t="n"/>
      <c r="AJ103" s="31">
        <f>IF(OR(AG103="",AH103=""),"",IF(OR(AND(AG103="短期博反弹",OR(AH103="1～3个交易日",AH103="4～10个交易日")),AND(AG103="突破冲新高",OR(AH103="4～10个交易日",AH103="11～20个交易日")),AND(AG103="趋势波段",OR(AH103="11～20个交易日",AH103="21～60个交易日",AH103="60个交易日以上"))),"匹配","周期与交易预期不匹配，请重新确认"))</f>
        <v/>
      </c>
      <c r="AK103" s="43" t="n"/>
      <c r="AL103" s="27" t="n"/>
      <c r="AM103" s="43" t="n"/>
      <c r="AN103" s="27" t="n"/>
      <c r="AO103" s="44">
        <f>IF(OR(A103="",H103="",H103&lt;=0),"",(E103*H103+IF(AND(AK103&lt;&gt;"",AL103&lt;&gt;""),AK103*AL103,0)+IF(AND(AM103&lt;&gt;"",AN103&lt;&gt;""),AM103*AN103,0))/AP103)</f>
        <v/>
      </c>
      <c r="AP103" s="26">
        <f>IF(OR(A103="",H103="",H103&lt;=0),"",H103+IF(AL103="",0,AL103)+IF(AN103="",0,AN103))</f>
        <v/>
      </c>
      <c r="AQ103" s="44">
        <f>IF(A103="","",IF(M103&lt;&gt;"",0,IF(OR(H103="",N103=""),"",MAX(E103-MAX(N103,IFERROR(AGGREGATE(14,6,'持仓跟踪'!$S$2:$S$501/(('持仓跟踪'!$A$2:$A$501="每日跟踪")*('持仓跟踪'!$B$2:$B$501=A103)),1),0)),0)*H103+IF(OR(AK103="",AL103=""),0,MAX(AK103-MAX(N103,IFERROR(AGGREGATE(14,6,'持仓跟踪'!$S$2:$S$501/(('持仓跟踪'!$A$2:$A$501="每日跟踪")*('持仓跟踪'!$B$2:$B$501=A103)),1),0)),0)*AL103)+IF(OR(AM103="",AN103=""),0,MAX(AM103-MAX(N103,IFERROR(AGGREGATE(14,6,'持仓跟踪'!$S$2:$S$501/(('持仓跟踪'!$A$2:$A$501="每日跟踪")*('持仓跟踪'!$B$2:$B$501=A103)),1),0)),0)*AN103))))</f>
        <v/>
      </c>
      <c r="AR103" s="31">
        <f>IF(A103="","",IF(OR(E103="",H103=""),"违规：第一批价格或股数缺失",IF(OR(AND(AK103="",AL103&lt;&gt;""),AND(AK103&lt;&gt;"",AL103="")),"违规：第二批价格与股数须成对填写",IF(OR(AND(AM103="",AN103&lt;&gt;""),AND(AM103&lt;&gt;"",AN103="")),"违规：第三批价格与股数须成对填写",IF(AND(OR(AM103&lt;&gt;"",AN103&lt;&gt;""),OR(AK103="",AL103="")),"违规：必须先完成第二批",IF(OR(H103&lt;=0,H103&lt;&gt;INT(H103),MOD(H103,100)&lt;&gt;0,AND(AL103&lt;&gt;"",OR(AL103&lt;=0,AL103&lt;&gt;INT(AL103),MOD(AL103,100)&lt;&gt;0)),AND(AN103&lt;&gt;"",OR(AN103&lt;=0,AN103&lt;&gt;INT(AN103),MOD(AN103,100)&lt;&gt;0))),"违规：股数须为100股整数倍",IF(AND(OR(AL103&lt;&gt;"",AN103&lt;&gt;""),OR(_LockStatus="已锁仓",_LockStatus="解锁信息不完整")),"违规：锁仓期间禁止加仓",IF(AQ103&gt;C103*D103,"违规：超过单笔风险上限",IF(SUM($AQ$2:$AQ$201)&gt;账户数据!$B$7,"违规：超过账户风险上限","通过")))))))))</f>
        <v/>
      </c>
    </row>
    <row r="104" ht="27" customHeight="1">
      <c r="A104" s="2" t="n">
        <v>102</v>
      </c>
      <c r="B104" s="15" t="inlineStr">
        <is>
          <t>豫光金铅</t>
        </is>
      </c>
      <c r="C104" s="40" t="n">
        <v>215701</v>
      </c>
      <c r="D104" s="6" t="n">
        <v>0.02</v>
      </c>
      <c r="E104" s="40" t="n">
        <v>2.78</v>
      </c>
      <c r="F104" s="8">
        <f>IF(OR(C104="",D104="",E104="",N104="",C104&lt;=0,D104&lt;=0,E104&lt;=N104),"",ROUNDDOWN((C104*D104)/(E104-N104)/100,0)*100)</f>
        <v/>
      </c>
      <c r="G104" s="8">
        <f>IF(A104="","",IF(H104&lt;&gt;"","已开仓",IF(账户数据!$B$23="已锁仓","禁止开仓：连续亏损达到上限",IF(账户数据!$B$23="解锁信息不完整","禁止开仓：请完整填写解锁信息",IF(OR(F104="",E104="",N104="",E104&lt;=N104,账户数据!$B$7=""),"",IF(OR(AG104="",AH104="",AI104=""),"禁止开仓：交易预期未填写完整",IF(COUNTIFS(持仓跟踪!$A$2:$A$501,"止损计划",持仓跟踪!$B$2:$B$501,A104,持仓跟踪!$AC$2:$AC$501,"计划有效")=0,"禁止开仓：请先填写止损计划",IF(账户数据!$B$9+F104*(E104-N104)&gt;=账户数据!$B$7,"禁止开仓：风险额度不足",IF(AJ104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4" s="2" t="n"/>
      <c r="I104" s="41" t="n">
        <v>43488</v>
      </c>
      <c r="J104" s="40" t="n">
        <v>3</v>
      </c>
      <c r="K104" s="46">
        <f>IF(A104="","",IFERROR(LOOKUP(2,1/((持仓跟踪!$B$2:$B$501=A104)*(持仓跟踪!$X$2:$X$501="执行卖出")*(持仓跟踪!$Y$2:$Y$501&lt;&gt;"")),持仓跟踪!$Y$2:$Y$501),""))</f>
        <v/>
      </c>
      <c r="L104" s="33">
        <f>IF(A104="","",IFERROR(LOOKUP(2,1/((持仓跟踪!$B$2:$B$501=A104)*(持仓跟踪!$X$2:$X$501="执行卖出")*(持仓跟踪!$Z$2:$Z$501&lt;&gt;"")),持仓跟踪!$Z$2:$Z$501),""))</f>
        <v/>
      </c>
      <c r="M104" s="47">
        <f>IF(A104="","",IFERROR(LOOKUP(2,1/((持仓跟踪!$B$2:$B$501=A104)*(持仓跟踪!$X$2:$X$501="执行卖出")*(持仓跟踪!$H$2:$H$501&lt;&gt;"")),持仓跟踪!$H$2:$H$501),""))</f>
        <v/>
      </c>
      <c r="N104" s="40" t="n">
        <v>2.6</v>
      </c>
      <c r="O104" s="40" t="n"/>
      <c r="P104" s="46">
        <f>IF(A104="","",IFERROR(LOOKUP(2,1/((持仓跟踪!$B$2:$B$501=A104)*(持仓跟踪!$X$2:$X$501="执行卖出")*(持仓跟踪!$AA$2:$AA$501&lt;&gt;"")),持仓跟踪!$AA$2:$AA$501),""))</f>
        <v/>
      </c>
      <c r="Q104" s="2" t="n"/>
      <c r="R104" s="2" t="n"/>
      <c r="S104" s="2" t="n"/>
      <c r="T104" s="2" t="n"/>
      <c r="U104" s="7">
        <f>IF(OR(AO104="",J104="",AO104&lt;=0),"",(J104-AO104)/AO104)</f>
        <v/>
      </c>
      <c r="V104" s="7">
        <f>IF(OR(AO104="",N104="",AO104&lt;=0),"",(AO104-N104)/AO104)</f>
        <v/>
      </c>
      <c r="W104" s="13">
        <f>IF(OR(U104="",V104="",V104&lt;=0),"",U104/V104)</f>
        <v/>
      </c>
      <c r="X104" s="42">
        <f>IF(OR(K104="",L104="",AP104=""),"",K104*L104-(E104*H104+IF(AND(AK104&lt;&gt;"",AL104&lt;&gt;""),AK104*AL104,0)+IF(AND(AM104&lt;&gt;"",AN104&lt;&gt;""),AM104*AN104,0))-IF(O104="",0,O104)-IF(P104="",0,P104))</f>
        <v/>
      </c>
      <c r="Y104" s="7">
        <f>IF(OR(X104="",AP104=""),"",IF((E104*H104+IF(AND(AK104&lt;&gt;"",AL104&lt;&gt;""),AK104*AL104,0)+IF(AND(AM104&lt;&gt;"",AN104&lt;&gt;""),AM104*AN104,0))+IF(O104="",0,O104)&lt;=0,"",X104/((E104*H104+IF(AND(AK104&lt;&gt;"",AL104&lt;&gt;""),AK104*AL104,0)+IF(AND(AM104&lt;&gt;"",AN104&lt;&gt;""),AM104*AN104,0))+IF(O104="",0,O104))))</f>
        <v/>
      </c>
      <c r="Z104" s="7">
        <f>IF(OR(AE104="",多次统计数据!$B$8=""),"",AE104-多次统计数据!$B$8)</f>
        <v/>
      </c>
      <c r="AA104" s="14">
        <f>IF(OR(I104="",M104="",M104&lt;I104),"",M104-I104)</f>
        <v/>
      </c>
      <c r="AB104" s="7">
        <f>IF(OR(A104="",多次统计数据!$B$8="",多次统计数据!$B$6&lt;=0,多次统计数据!$B$6&gt;=1),"",1-POWER(1+多次统计数据!$B$8,-多次统计数据!$B$6/(1-多次统计数据!$B$6)))</f>
        <v/>
      </c>
      <c r="AC104" s="8">
        <f>IF(OR(AB104="",多次统计数据!$B$9=""),"",IF(多次统计数据!$B$9&lt;AB104,"低于上限","达到或超过上限"))</f>
        <v/>
      </c>
      <c r="AD104" s="2" t="n"/>
      <c r="AE104" s="7">
        <f>IF(OR(X104="",C104="",C104&lt;=0),"",X104/C104)</f>
        <v/>
      </c>
      <c r="AG104" s="28" t="inlineStr">
        <is>
          <t>短期博反弹</t>
        </is>
      </c>
      <c r="AH104" s="28" t="inlineStr">
        <is>
          <t>4～10个交易日</t>
        </is>
      </c>
      <c r="AI104" s="38" t="inlineStr">
        <is>
          <t>上方3快供应比较多</t>
        </is>
      </c>
      <c r="AJ104" s="31">
        <f>IF(OR(AG104="",AH104=""),"",IF(OR(AND(AG104="短期博反弹",OR(AH104="1～3个交易日",AH104="4～10个交易日")),AND(AG104="突破冲新高",OR(AH104="4～10个交易日",AH104="11～20个交易日")),AND(AG104="趋势波段",OR(AH104="11～20个交易日",AH104="21～60个交易日",AH104="60个交易日以上"))),"匹配","周期与交易预期不匹配，请重新确认"))</f>
        <v/>
      </c>
      <c r="AK104" s="43" t="n"/>
      <c r="AL104" s="27" t="n"/>
      <c r="AM104" s="43" t="n"/>
      <c r="AN104" s="27" t="n"/>
      <c r="AO104" s="44">
        <f>IF(OR(A104="",H104="",H104&lt;=0),"",(E104*H104+IF(AND(AK104&lt;&gt;"",AL104&lt;&gt;""),AK104*AL104,0)+IF(AND(AM104&lt;&gt;"",AN104&lt;&gt;""),AM104*AN104,0))/AP104)</f>
        <v/>
      </c>
      <c r="AP104" s="26">
        <f>IF(OR(A104="",H104="",H104&lt;=0),"",H104+IF(AL104="",0,AL104)+IF(AN104="",0,AN104))</f>
        <v/>
      </c>
      <c r="AQ104" s="44">
        <f>IF(A104="","",IF(M104&lt;&gt;"",0,IF(OR(H104="",N104=""),"",MAX(E104-MAX(N104,IFERROR(AGGREGATE(14,6,'持仓跟踪'!$S$2:$S$501/(('持仓跟踪'!$A$2:$A$501="每日跟踪")*('持仓跟踪'!$B$2:$B$501=A104)),1),0)),0)*H104+IF(OR(AK104="",AL104=""),0,MAX(AK104-MAX(N104,IFERROR(AGGREGATE(14,6,'持仓跟踪'!$S$2:$S$501/(('持仓跟踪'!$A$2:$A$501="每日跟踪")*('持仓跟踪'!$B$2:$B$501=A104)),1),0)),0)*AL104)+IF(OR(AM104="",AN104=""),0,MAX(AM104-MAX(N104,IFERROR(AGGREGATE(14,6,'持仓跟踪'!$S$2:$S$501/(('持仓跟踪'!$A$2:$A$501="每日跟踪")*('持仓跟踪'!$B$2:$B$501=A104)),1),0)),0)*AN104))))</f>
        <v/>
      </c>
      <c r="AR104" s="31">
        <f>IF(A104="","",IF(OR(E104="",H104=""),"违规：第一批价格或股数缺失",IF(OR(AND(AK104="",AL104&lt;&gt;""),AND(AK104&lt;&gt;"",AL104="")),"违规：第二批价格与股数须成对填写",IF(OR(AND(AM104="",AN104&lt;&gt;""),AND(AM104&lt;&gt;"",AN104="")),"违规：第三批价格与股数须成对填写",IF(AND(OR(AM104&lt;&gt;"",AN104&lt;&gt;""),OR(AK104="",AL104="")),"违规：必须先完成第二批",IF(OR(H104&lt;=0,H104&lt;&gt;INT(H104),MOD(H104,100)&lt;&gt;0,AND(AL104&lt;&gt;"",OR(AL104&lt;=0,AL104&lt;&gt;INT(AL104),MOD(AL104,100)&lt;&gt;0)),AND(AN104&lt;&gt;"",OR(AN104&lt;=0,AN104&lt;&gt;INT(AN104),MOD(AN104,100)&lt;&gt;0))),"违规：股数须为100股整数倍",IF(AND(OR(AL104&lt;&gt;"",AN104&lt;&gt;""),OR(_LockStatus="已锁仓",_LockStatus="解锁信息不完整")),"违规：锁仓期间禁止加仓",IF(AQ104&gt;C104*D104,"违规：超过单笔风险上限",IF(SUM($AQ$2:$AQ$201)&gt;账户数据!$B$7,"违规：超过账户风险上限","通过")))))))))</f>
        <v/>
      </c>
    </row>
    <row r="105">
      <c r="A105" s="2" t="n"/>
      <c r="B105" s="2" t="n"/>
      <c r="C105" s="40" t="n"/>
      <c r="D105" s="6" t="n"/>
      <c r="E105" s="40" t="n"/>
      <c r="F105" s="8">
        <f>IF(OR(C105="",D105="",E105="",N105="",C105&lt;=0,D105&lt;=0,E105&lt;=N105),"",ROUNDDOWN((C105*D105)/(E105-N105)/100,0)*100)</f>
        <v/>
      </c>
      <c r="G105" s="8">
        <f>IF(A105="","",IF(H105&lt;&gt;"","已开仓",IF(账户数据!$B$23="已锁仓","禁止开仓：连续亏损达到上限",IF(账户数据!$B$23="解锁信息不完整","禁止开仓：请完整填写解锁信息",IF(OR(F105="",E105="",N105="",E105&lt;=N105,账户数据!$B$7=""),"",IF(OR(AG105="",AH105="",AI105=""),"禁止开仓：交易预期未填写完整",IF(COUNTIFS(持仓跟踪!$A$2:$A$501,"止损计划",持仓跟踪!$B$2:$B$501,A105,持仓跟踪!$AC$2:$AC$501,"计划有效")=0,"禁止开仓：请先填写止损计划",IF(账户数据!$B$9+F105*(E105-N105)&gt;=账户数据!$B$7,"禁止开仓：风险额度不足",IF(AJ105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5" s="2" t="n"/>
      <c r="I105" s="41" t="n"/>
      <c r="J105" s="40" t="n"/>
      <c r="K105" s="46">
        <f>IF(A105="","",IFERROR(LOOKUP(2,1/((持仓跟踪!$B$2:$B$501=A105)*(持仓跟踪!$X$2:$X$501="执行卖出")*(持仓跟踪!$Y$2:$Y$501&lt;&gt;"")),持仓跟踪!$Y$2:$Y$501),""))</f>
        <v/>
      </c>
      <c r="L105" s="33">
        <f>IF(A105="","",IFERROR(LOOKUP(2,1/((持仓跟踪!$B$2:$B$501=A105)*(持仓跟踪!$X$2:$X$501="执行卖出")*(持仓跟踪!$Z$2:$Z$501&lt;&gt;"")),持仓跟踪!$Z$2:$Z$501),""))</f>
        <v/>
      </c>
      <c r="M105" s="47">
        <f>IF(A105="","",IFERROR(LOOKUP(2,1/((持仓跟踪!$B$2:$B$501=A105)*(持仓跟踪!$X$2:$X$501="执行卖出")*(持仓跟踪!$H$2:$H$501&lt;&gt;"")),持仓跟踪!$H$2:$H$501),""))</f>
        <v/>
      </c>
      <c r="N105" s="40" t="n"/>
      <c r="O105" s="40" t="n"/>
      <c r="P105" s="46">
        <f>IF(A105="","",IFERROR(LOOKUP(2,1/((持仓跟踪!$B$2:$B$501=A105)*(持仓跟踪!$X$2:$X$501="执行卖出")*(持仓跟踪!$AA$2:$AA$501&lt;&gt;"")),持仓跟踪!$AA$2:$AA$501),""))</f>
        <v/>
      </c>
      <c r="Q105" s="2" t="n"/>
      <c r="R105" s="2" t="n"/>
      <c r="S105" s="2" t="n"/>
      <c r="T105" s="2" t="n"/>
      <c r="U105" s="7">
        <f>IF(OR(AO105="",J105="",AO105&lt;=0),"",(J105-AO105)/AO105)</f>
        <v/>
      </c>
      <c r="V105" s="7">
        <f>IF(OR(AO105="",N105="",AO105&lt;=0),"",(AO105-N105)/AO105)</f>
        <v/>
      </c>
      <c r="W105" s="13">
        <f>IF(OR(U105="",V105="",V105&lt;=0),"",U105/V105)</f>
        <v/>
      </c>
      <c r="X105" s="42">
        <f>IF(OR(K105="",L105="",AP105=""),"",K105*L105-(E105*H105+IF(AND(AK105&lt;&gt;"",AL105&lt;&gt;""),AK105*AL105,0)+IF(AND(AM105&lt;&gt;"",AN105&lt;&gt;""),AM105*AN105,0))-IF(O105="",0,O105)-IF(P105="",0,P105))</f>
        <v/>
      </c>
      <c r="Y105" s="7">
        <f>IF(OR(X105="",AP105=""),"",IF((E105*H105+IF(AND(AK105&lt;&gt;"",AL105&lt;&gt;""),AK105*AL105,0)+IF(AND(AM105&lt;&gt;"",AN105&lt;&gt;""),AM105*AN105,0))+IF(O105="",0,O105)&lt;=0,"",X105/((E105*H105+IF(AND(AK105&lt;&gt;"",AL105&lt;&gt;""),AK105*AL105,0)+IF(AND(AM105&lt;&gt;"",AN105&lt;&gt;""),AM105*AN105,0))+IF(O105="",0,O105))))</f>
        <v/>
      </c>
      <c r="Z105" s="7">
        <f>IF(OR(AE105="",多次统计数据!$B$8=""),"",AE105-多次统计数据!$B$8)</f>
        <v/>
      </c>
      <c r="AA105" s="14">
        <f>IF(OR(I105="",M105="",M105&lt;I105),"",M105-I105)</f>
        <v/>
      </c>
      <c r="AB105" s="7">
        <f>IF(OR(A105="",多次统计数据!$B$8="",多次统计数据!$B$6&lt;=0,多次统计数据!$B$6&gt;=1),"",1-POWER(1+多次统计数据!$B$8,-多次统计数据!$B$6/(1-多次统计数据!$B$6)))</f>
        <v/>
      </c>
      <c r="AC105" s="8">
        <f>IF(OR(AB105="",多次统计数据!$B$9=""),"",IF(多次统计数据!$B$9&lt;AB105,"低于上限","达到或超过上限"))</f>
        <v/>
      </c>
      <c r="AD105" s="2" t="n"/>
      <c r="AE105" s="7">
        <f>IF(OR(X105="",C105="",C105&lt;=0),"",X105/C105)</f>
        <v/>
      </c>
      <c r="AG105" s="28" t="n"/>
      <c r="AH105" s="28" t="n"/>
      <c r="AI105" s="28" t="n"/>
      <c r="AJ105" s="31">
        <f>IF(OR(AG105="",AH105=""),"",IF(OR(AND(AG105="短期博反弹",OR(AH105="1～3个交易日",AH105="4～10个交易日")),AND(AG105="突破冲新高",OR(AH105="4～10个交易日",AH105="11～20个交易日")),AND(AG105="趋势波段",OR(AH105="11～20个交易日",AH105="21～60个交易日",AH105="60个交易日以上"))),"匹配","周期与交易预期不匹配，请重新确认"))</f>
        <v/>
      </c>
      <c r="AK105" s="43" t="n"/>
      <c r="AL105" s="27" t="n"/>
      <c r="AM105" s="43" t="n"/>
      <c r="AN105" s="27" t="n"/>
      <c r="AO105" s="44">
        <f>IF(OR(A105="",H105="",H105&lt;=0),"",(E105*H105+IF(AND(AK105&lt;&gt;"",AL105&lt;&gt;""),AK105*AL105,0)+IF(AND(AM105&lt;&gt;"",AN105&lt;&gt;""),AM105*AN105,0))/AP105)</f>
        <v/>
      </c>
      <c r="AP105" s="26">
        <f>IF(OR(A105="",H105="",H105&lt;=0),"",H105+IF(AL105="",0,AL105)+IF(AN105="",0,AN105))</f>
        <v/>
      </c>
      <c r="AQ105" s="44">
        <f>IF(A105="","",IF(M105&lt;&gt;"",0,IF(OR(H105="",N105=""),"",MAX(E105-MAX(N105,IFERROR(AGGREGATE(14,6,'持仓跟踪'!$S$2:$S$501/(('持仓跟踪'!$A$2:$A$501="每日跟踪")*('持仓跟踪'!$B$2:$B$501=A105)),1),0)),0)*H105+IF(OR(AK105="",AL105=""),0,MAX(AK105-MAX(N105,IFERROR(AGGREGATE(14,6,'持仓跟踪'!$S$2:$S$501/(('持仓跟踪'!$A$2:$A$501="每日跟踪")*('持仓跟踪'!$B$2:$B$501=A105)),1),0)),0)*AL105)+IF(OR(AM105="",AN105=""),0,MAX(AM105-MAX(N105,IFERROR(AGGREGATE(14,6,'持仓跟踪'!$S$2:$S$501/(('持仓跟踪'!$A$2:$A$501="每日跟踪")*('持仓跟踪'!$B$2:$B$501=A105)),1),0)),0)*AN105))))</f>
        <v/>
      </c>
      <c r="AR105" s="31">
        <f>IF(A105="","",IF(OR(E105="",H105=""),"违规：第一批价格或股数缺失",IF(OR(AND(AK105="",AL105&lt;&gt;""),AND(AK105&lt;&gt;"",AL105="")),"违规：第二批价格与股数须成对填写",IF(OR(AND(AM105="",AN105&lt;&gt;""),AND(AM105&lt;&gt;"",AN105="")),"违规：第三批价格与股数须成对填写",IF(AND(OR(AM105&lt;&gt;"",AN105&lt;&gt;""),OR(AK105="",AL105="")),"违规：必须先完成第二批",IF(OR(H105&lt;=0,H105&lt;&gt;INT(H105),MOD(H105,100)&lt;&gt;0,AND(AL105&lt;&gt;"",OR(AL105&lt;=0,AL105&lt;&gt;INT(AL105),MOD(AL105,100)&lt;&gt;0)),AND(AN105&lt;&gt;"",OR(AN105&lt;=0,AN105&lt;&gt;INT(AN105),MOD(AN105,100)&lt;&gt;0))),"违规：股数须为100股整数倍",IF(AND(OR(AL105&lt;&gt;"",AN105&lt;&gt;""),OR(_LockStatus="已锁仓",_LockStatus="解锁信息不完整")),"违规：锁仓期间禁止加仓",IF(AQ105&gt;C105*D105,"违规：超过单笔风险上限",IF(SUM($AQ$2:$AQ$201)&gt;账户数据!$B$7,"违规：超过账户风险上限","通过")))))))))</f>
        <v/>
      </c>
    </row>
    <row r="106">
      <c r="A106" s="2" t="n"/>
      <c r="B106" s="2" t="n"/>
      <c r="C106" s="40" t="n"/>
      <c r="D106" s="6" t="n"/>
      <c r="E106" s="40" t="n"/>
      <c r="F106" s="8">
        <f>IF(OR(C106="",D106="",E106="",N106="",C106&lt;=0,D106&lt;=0,E106&lt;=N106),"",ROUNDDOWN((C106*D106)/(E106-N106)/100,0)*100)</f>
        <v/>
      </c>
      <c r="G106" s="8">
        <f>IF(A106="","",IF(H106&lt;&gt;"","已开仓",IF(账户数据!$B$23="已锁仓","禁止开仓：连续亏损达到上限",IF(账户数据!$B$23="解锁信息不完整","禁止开仓：请完整填写解锁信息",IF(OR(F106="",E106="",N106="",E106&lt;=N106,账户数据!$B$7=""),"",IF(OR(AG106="",AH106="",AI106=""),"禁止开仓：交易预期未填写完整",IF(COUNTIFS(持仓跟踪!$A$2:$A$501,"止损计划",持仓跟踪!$B$2:$B$501,A106,持仓跟踪!$AC$2:$AC$501,"计划有效")=0,"禁止开仓：请先填写止损计划",IF(账户数据!$B$9+F106*(E106-N106)&gt;=账户数据!$B$7,"禁止开仓：风险额度不足",IF(AJ106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6" s="2" t="n"/>
      <c r="I106" s="41" t="n"/>
      <c r="J106" s="40" t="n"/>
      <c r="K106" s="46">
        <f>IF(A106="","",IFERROR(LOOKUP(2,1/((持仓跟踪!$B$2:$B$501=A106)*(持仓跟踪!$X$2:$X$501="执行卖出")*(持仓跟踪!$Y$2:$Y$501&lt;&gt;"")),持仓跟踪!$Y$2:$Y$501),""))</f>
        <v/>
      </c>
      <c r="L106" s="33">
        <f>IF(A106="","",IFERROR(LOOKUP(2,1/((持仓跟踪!$B$2:$B$501=A106)*(持仓跟踪!$X$2:$X$501="执行卖出")*(持仓跟踪!$Z$2:$Z$501&lt;&gt;"")),持仓跟踪!$Z$2:$Z$501),""))</f>
        <v/>
      </c>
      <c r="M106" s="47">
        <f>IF(A106="","",IFERROR(LOOKUP(2,1/((持仓跟踪!$B$2:$B$501=A106)*(持仓跟踪!$X$2:$X$501="执行卖出")*(持仓跟踪!$H$2:$H$501&lt;&gt;"")),持仓跟踪!$H$2:$H$501),""))</f>
        <v/>
      </c>
      <c r="N106" s="40" t="n"/>
      <c r="O106" s="40" t="n"/>
      <c r="P106" s="46">
        <f>IF(A106="","",IFERROR(LOOKUP(2,1/((持仓跟踪!$B$2:$B$501=A106)*(持仓跟踪!$X$2:$X$501="执行卖出")*(持仓跟踪!$AA$2:$AA$501&lt;&gt;"")),持仓跟踪!$AA$2:$AA$501),""))</f>
        <v/>
      </c>
      <c r="Q106" s="2" t="n"/>
      <c r="R106" s="2" t="n"/>
      <c r="S106" s="2" t="n"/>
      <c r="T106" s="2" t="n"/>
      <c r="U106" s="7">
        <f>IF(OR(AO106="",J106="",AO106&lt;=0),"",(J106-AO106)/AO106)</f>
        <v/>
      </c>
      <c r="V106" s="7">
        <f>IF(OR(AO106="",N106="",AO106&lt;=0),"",(AO106-N106)/AO106)</f>
        <v/>
      </c>
      <c r="W106" s="13">
        <f>IF(OR(U106="",V106="",V106&lt;=0),"",U106/V106)</f>
        <v/>
      </c>
      <c r="X106" s="42">
        <f>IF(OR(K106="",L106="",AP106=""),"",K106*L106-(E106*H106+IF(AND(AK106&lt;&gt;"",AL106&lt;&gt;""),AK106*AL106,0)+IF(AND(AM106&lt;&gt;"",AN106&lt;&gt;""),AM106*AN106,0))-IF(O106="",0,O106)-IF(P106="",0,P106))</f>
        <v/>
      </c>
      <c r="Y106" s="7">
        <f>IF(OR(X106="",AP106=""),"",IF((E106*H106+IF(AND(AK106&lt;&gt;"",AL106&lt;&gt;""),AK106*AL106,0)+IF(AND(AM106&lt;&gt;"",AN106&lt;&gt;""),AM106*AN106,0))+IF(O106="",0,O106)&lt;=0,"",X106/((E106*H106+IF(AND(AK106&lt;&gt;"",AL106&lt;&gt;""),AK106*AL106,0)+IF(AND(AM106&lt;&gt;"",AN106&lt;&gt;""),AM106*AN106,0))+IF(O106="",0,O106))))</f>
        <v/>
      </c>
      <c r="Z106" s="7">
        <f>IF(OR(AE106="",多次统计数据!$B$8=""),"",AE106-多次统计数据!$B$8)</f>
        <v/>
      </c>
      <c r="AA106" s="14">
        <f>IF(OR(I106="",M106="",M106&lt;I106),"",M106-I106)</f>
        <v/>
      </c>
      <c r="AB106" s="7">
        <f>IF(OR(A106="",多次统计数据!$B$8="",多次统计数据!$B$6&lt;=0,多次统计数据!$B$6&gt;=1),"",1-POWER(1+多次统计数据!$B$8,-多次统计数据!$B$6/(1-多次统计数据!$B$6)))</f>
        <v/>
      </c>
      <c r="AC106" s="8">
        <f>IF(OR(AB106="",多次统计数据!$B$9=""),"",IF(多次统计数据!$B$9&lt;AB106,"低于上限","达到或超过上限"))</f>
        <v/>
      </c>
      <c r="AD106" s="2" t="n"/>
      <c r="AE106" s="7">
        <f>IF(OR(X106="",C106="",C106&lt;=0),"",X106/C106)</f>
        <v/>
      </c>
      <c r="AG106" s="28" t="n"/>
      <c r="AH106" s="28" t="n"/>
      <c r="AI106" s="28" t="n"/>
      <c r="AJ106" s="31">
        <f>IF(OR(AG106="",AH106=""),"",IF(OR(AND(AG106="短期博反弹",OR(AH106="1～3个交易日",AH106="4～10个交易日")),AND(AG106="突破冲新高",OR(AH106="4～10个交易日",AH106="11～20个交易日")),AND(AG106="趋势波段",OR(AH106="11～20个交易日",AH106="21～60个交易日",AH106="60个交易日以上"))),"匹配","周期与交易预期不匹配，请重新确认"))</f>
        <v/>
      </c>
      <c r="AK106" s="43" t="n"/>
      <c r="AL106" s="27" t="n"/>
      <c r="AM106" s="43" t="n"/>
      <c r="AN106" s="27" t="n"/>
      <c r="AO106" s="44">
        <f>IF(OR(A106="",H106="",H106&lt;=0),"",(E106*H106+IF(AND(AK106&lt;&gt;"",AL106&lt;&gt;""),AK106*AL106,0)+IF(AND(AM106&lt;&gt;"",AN106&lt;&gt;""),AM106*AN106,0))/AP106)</f>
        <v/>
      </c>
      <c r="AP106" s="26">
        <f>IF(OR(A106="",H106="",H106&lt;=0),"",H106+IF(AL106="",0,AL106)+IF(AN106="",0,AN106))</f>
        <v/>
      </c>
      <c r="AQ106" s="44">
        <f>IF(A106="","",IF(M106&lt;&gt;"",0,IF(OR(H106="",N106=""),"",MAX(E106-MAX(N106,IFERROR(AGGREGATE(14,6,'持仓跟踪'!$S$2:$S$501/(('持仓跟踪'!$A$2:$A$501="每日跟踪")*('持仓跟踪'!$B$2:$B$501=A106)),1),0)),0)*H106+IF(OR(AK106="",AL106=""),0,MAX(AK106-MAX(N106,IFERROR(AGGREGATE(14,6,'持仓跟踪'!$S$2:$S$501/(('持仓跟踪'!$A$2:$A$501="每日跟踪")*('持仓跟踪'!$B$2:$B$501=A106)),1),0)),0)*AL106)+IF(OR(AM106="",AN106=""),0,MAX(AM106-MAX(N106,IFERROR(AGGREGATE(14,6,'持仓跟踪'!$S$2:$S$501/(('持仓跟踪'!$A$2:$A$501="每日跟踪")*('持仓跟踪'!$B$2:$B$501=A106)),1),0)),0)*AN106))))</f>
        <v/>
      </c>
      <c r="AR106" s="31">
        <f>IF(A106="","",IF(OR(E106="",H106=""),"违规：第一批价格或股数缺失",IF(OR(AND(AK106="",AL106&lt;&gt;""),AND(AK106&lt;&gt;"",AL106="")),"违规：第二批价格与股数须成对填写",IF(OR(AND(AM106="",AN106&lt;&gt;""),AND(AM106&lt;&gt;"",AN106="")),"违规：第三批价格与股数须成对填写",IF(AND(OR(AM106&lt;&gt;"",AN106&lt;&gt;""),OR(AK106="",AL106="")),"违规：必须先完成第二批",IF(OR(H106&lt;=0,H106&lt;&gt;INT(H106),MOD(H106,100)&lt;&gt;0,AND(AL106&lt;&gt;"",OR(AL106&lt;=0,AL106&lt;&gt;INT(AL106),MOD(AL106,100)&lt;&gt;0)),AND(AN106&lt;&gt;"",OR(AN106&lt;=0,AN106&lt;&gt;INT(AN106),MOD(AN106,100)&lt;&gt;0))),"违规：股数须为100股整数倍",IF(AND(OR(AL106&lt;&gt;"",AN106&lt;&gt;""),OR(_LockStatus="已锁仓",_LockStatus="解锁信息不完整")),"违规：锁仓期间禁止加仓",IF(AQ106&gt;C106*D106,"违规：超过单笔风险上限",IF(SUM($AQ$2:$AQ$201)&gt;账户数据!$B$7,"违规：超过账户风险上限","通过")))))))))</f>
        <v/>
      </c>
    </row>
    <row r="107">
      <c r="A107" s="2" t="n"/>
      <c r="B107" s="2" t="n"/>
      <c r="C107" s="40" t="n"/>
      <c r="D107" s="6" t="n"/>
      <c r="E107" s="40" t="n"/>
      <c r="F107" s="8">
        <f>IF(OR(C107="",D107="",E107="",N107="",C107&lt;=0,D107&lt;=0,E107&lt;=N107),"",ROUNDDOWN((C107*D107)/(E107-N107)/100,0)*100)</f>
        <v/>
      </c>
      <c r="G107" s="8">
        <f>IF(A107="","",IF(H107&lt;&gt;"","已开仓",IF(账户数据!$B$23="已锁仓","禁止开仓：连续亏损达到上限",IF(账户数据!$B$23="解锁信息不完整","禁止开仓：请完整填写解锁信息",IF(OR(F107="",E107="",N107="",E107&lt;=N107,账户数据!$B$7=""),"",IF(OR(AG107="",AH107="",AI107=""),"禁止开仓：交易预期未填写完整",IF(COUNTIFS(持仓跟踪!$A$2:$A$501,"止损计划",持仓跟踪!$B$2:$B$501,A107,持仓跟踪!$AC$2:$AC$501,"计划有效")=0,"禁止开仓：请先填写止损计划",IF(账户数据!$B$9+F107*(E107-N107)&gt;=账户数据!$B$7,"禁止开仓：风险额度不足",IF(AJ107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7" s="2" t="n"/>
      <c r="I107" s="41" t="n"/>
      <c r="J107" s="40" t="n"/>
      <c r="K107" s="46">
        <f>IF(A107="","",IFERROR(LOOKUP(2,1/((持仓跟踪!$B$2:$B$501=A107)*(持仓跟踪!$X$2:$X$501="执行卖出")*(持仓跟踪!$Y$2:$Y$501&lt;&gt;"")),持仓跟踪!$Y$2:$Y$501),""))</f>
        <v/>
      </c>
      <c r="L107" s="33">
        <f>IF(A107="","",IFERROR(LOOKUP(2,1/((持仓跟踪!$B$2:$B$501=A107)*(持仓跟踪!$X$2:$X$501="执行卖出")*(持仓跟踪!$Z$2:$Z$501&lt;&gt;"")),持仓跟踪!$Z$2:$Z$501),""))</f>
        <v/>
      </c>
      <c r="M107" s="47">
        <f>IF(A107="","",IFERROR(LOOKUP(2,1/((持仓跟踪!$B$2:$B$501=A107)*(持仓跟踪!$X$2:$X$501="执行卖出")*(持仓跟踪!$H$2:$H$501&lt;&gt;"")),持仓跟踪!$H$2:$H$501),""))</f>
        <v/>
      </c>
      <c r="N107" s="40" t="n"/>
      <c r="O107" s="40" t="n"/>
      <c r="P107" s="46">
        <f>IF(A107="","",IFERROR(LOOKUP(2,1/((持仓跟踪!$B$2:$B$501=A107)*(持仓跟踪!$X$2:$X$501="执行卖出")*(持仓跟踪!$AA$2:$AA$501&lt;&gt;"")),持仓跟踪!$AA$2:$AA$501),""))</f>
        <v/>
      </c>
      <c r="Q107" s="2" t="n"/>
      <c r="R107" s="2" t="n"/>
      <c r="S107" s="2" t="n"/>
      <c r="T107" s="2" t="n"/>
      <c r="U107" s="7">
        <f>IF(OR(AO107="",J107="",AO107&lt;=0),"",(J107-AO107)/AO107)</f>
        <v/>
      </c>
      <c r="V107" s="7">
        <f>IF(OR(AO107="",N107="",AO107&lt;=0),"",(AO107-N107)/AO107)</f>
        <v/>
      </c>
      <c r="W107" s="13">
        <f>IF(OR(U107="",V107="",V107&lt;=0),"",U107/V107)</f>
        <v/>
      </c>
      <c r="X107" s="42">
        <f>IF(OR(K107="",L107="",AP107=""),"",K107*L107-(E107*H107+IF(AND(AK107&lt;&gt;"",AL107&lt;&gt;""),AK107*AL107,0)+IF(AND(AM107&lt;&gt;"",AN107&lt;&gt;""),AM107*AN107,0))-IF(O107="",0,O107)-IF(P107="",0,P107))</f>
        <v/>
      </c>
      <c r="Y107" s="7">
        <f>IF(OR(X107="",AP107=""),"",IF((E107*H107+IF(AND(AK107&lt;&gt;"",AL107&lt;&gt;""),AK107*AL107,0)+IF(AND(AM107&lt;&gt;"",AN107&lt;&gt;""),AM107*AN107,0))+IF(O107="",0,O107)&lt;=0,"",X107/((E107*H107+IF(AND(AK107&lt;&gt;"",AL107&lt;&gt;""),AK107*AL107,0)+IF(AND(AM107&lt;&gt;"",AN107&lt;&gt;""),AM107*AN107,0))+IF(O107="",0,O107))))</f>
        <v/>
      </c>
      <c r="Z107" s="7">
        <f>IF(OR(AE107="",多次统计数据!$B$8=""),"",AE107-多次统计数据!$B$8)</f>
        <v/>
      </c>
      <c r="AA107" s="14">
        <f>IF(OR(I107="",M107="",M107&lt;I107),"",M107-I107)</f>
        <v/>
      </c>
      <c r="AB107" s="7">
        <f>IF(OR(A107="",多次统计数据!$B$8="",多次统计数据!$B$6&lt;=0,多次统计数据!$B$6&gt;=1),"",1-POWER(1+多次统计数据!$B$8,-多次统计数据!$B$6/(1-多次统计数据!$B$6)))</f>
        <v/>
      </c>
      <c r="AC107" s="8">
        <f>IF(OR(AB107="",多次统计数据!$B$9=""),"",IF(多次统计数据!$B$9&lt;AB107,"低于上限","达到或超过上限"))</f>
        <v/>
      </c>
      <c r="AD107" s="2" t="n"/>
      <c r="AE107" s="7">
        <f>IF(OR(X107="",C107="",C107&lt;=0),"",X107/C107)</f>
        <v/>
      </c>
      <c r="AG107" s="28" t="n"/>
      <c r="AH107" s="28" t="n"/>
      <c r="AI107" s="28" t="n"/>
      <c r="AJ107" s="31">
        <f>IF(OR(AG107="",AH107=""),"",IF(OR(AND(AG107="短期博反弹",OR(AH107="1～3个交易日",AH107="4～10个交易日")),AND(AG107="突破冲新高",OR(AH107="4～10个交易日",AH107="11～20个交易日")),AND(AG107="趋势波段",OR(AH107="11～20个交易日",AH107="21～60个交易日",AH107="60个交易日以上"))),"匹配","周期与交易预期不匹配，请重新确认"))</f>
        <v/>
      </c>
      <c r="AK107" s="43" t="n"/>
      <c r="AL107" s="27" t="n"/>
      <c r="AM107" s="43" t="n"/>
      <c r="AN107" s="27" t="n"/>
      <c r="AO107" s="44">
        <f>IF(OR(A107="",H107="",H107&lt;=0),"",(E107*H107+IF(AND(AK107&lt;&gt;"",AL107&lt;&gt;""),AK107*AL107,0)+IF(AND(AM107&lt;&gt;"",AN107&lt;&gt;""),AM107*AN107,0))/AP107)</f>
        <v/>
      </c>
      <c r="AP107" s="26">
        <f>IF(OR(A107="",H107="",H107&lt;=0),"",H107+IF(AL107="",0,AL107)+IF(AN107="",0,AN107))</f>
        <v/>
      </c>
      <c r="AQ107" s="44">
        <f>IF(A107="","",IF(M107&lt;&gt;"",0,IF(OR(H107="",N107=""),"",MAX(E107-MAX(N107,IFERROR(AGGREGATE(14,6,'持仓跟踪'!$S$2:$S$501/(('持仓跟踪'!$A$2:$A$501="每日跟踪")*('持仓跟踪'!$B$2:$B$501=A107)),1),0)),0)*H107+IF(OR(AK107="",AL107=""),0,MAX(AK107-MAX(N107,IFERROR(AGGREGATE(14,6,'持仓跟踪'!$S$2:$S$501/(('持仓跟踪'!$A$2:$A$501="每日跟踪")*('持仓跟踪'!$B$2:$B$501=A107)),1),0)),0)*AL107)+IF(OR(AM107="",AN107=""),0,MAX(AM107-MAX(N107,IFERROR(AGGREGATE(14,6,'持仓跟踪'!$S$2:$S$501/(('持仓跟踪'!$A$2:$A$501="每日跟踪")*('持仓跟踪'!$B$2:$B$501=A107)),1),0)),0)*AN107))))</f>
        <v/>
      </c>
      <c r="AR107" s="31">
        <f>IF(A107="","",IF(OR(E107="",H107=""),"违规：第一批价格或股数缺失",IF(OR(AND(AK107="",AL107&lt;&gt;""),AND(AK107&lt;&gt;"",AL107="")),"违规：第二批价格与股数须成对填写",IF(OR(AND(AM107="",AN107&lt;&gt;""),AND(AM107&lt;&gt;"",AN107="")),"违规：第三批价格与股数须成对填写",IF(AND(OR(AM107&lt;&gt;"",AN107&lt;&gt;""),OR(AK107="",AL107="")),"违规：必须先完成第二批",IF(OR(H107&lt;=0,H107&lt;&gt;INT(H107),MOD(H107,100)&lt;&gt;0,AND(AL107&lt;&gt;"",OR(AL107&lt;=0,AL107&lt;&gt;INT(AL107),MOD(AL107,100)&lt;&gt;0)),AND(AN107&lt;&gt;"",OR(AN107&lt;=0,AN107&lt;&gt;INT(AN107),MOD(AN107,100)&lt;&gt;0))),"违规：股数须为100股整数倍",IF(AND(OR(AL107&lt;&gt;"",AN107&lt;&gt;""),OR(_LockStatus="已锁仓",_LockStatus="解锁信息不完整")),"违规：锁仓期间禁止加仓",IF(AQ107&gt;C107*D107,"违规：超过单笔风险上限",IF(SUM($AQ$2:$AQ$201)&gt;账户数据!$B$7,"违规：超过账户风险上限","通过")))))))))</f>
        <v/>
      </c>
    </row>
    <row r="108">
      <c r="A108" s="2" t="n"/>
      <c r="B108" s="2" t="n"/>
      <c r="C108" s="40" t="n"/>
      <c r="D108" s="6" t="n"/>
      <c r="E108" s="40" t="n"/>
      <c r="F108" s="8">
        <f>IF(OR(C108="",D108="",E108="",N108="",C108&lt;=0,D108&lt;=0,E108&lt;=N108),"",ROUNDDOWN((C108*D108)/(E108-N108)/100,0)*100)</f>
        <v/>
      </c>
      <c r="G108" s="8">
        <f>IF(A108="","",IF(H108&lt;&gt;"","已开仓",IF(账户数据!$B$23="已锁仓","禁止开仓：连续亏损达到上限",IF(账户数据!$B$23="解锁信息不完整","禁止开仓：请完整填写解锁信息",IF(OR(F108="",E108="",N108="",E108&lt;=N108,账户数据!$B$7=""),"",IF(OR(AG108="",AH108="",AI108=""),"禁止开仓：交易预期未填写完整",IF(COUNTIFS(持仓跟踪!$A$2:$A$501,"止损计划",持仓跟踪!$B$2:$B$501,A108,持仓跟踪!$AC$2:$AC$501,"计划有效")=0,"禁止开仓：请先填写止损计划",IF(账户数据!$B$9+F108*(E108-N108)&gt;=账户数据!$B$7,"禁止开仓：风险额度不足",IF(AJ108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8" s="2" t="n"/>
      <c r="I108" s="41" t="n"/>
      <c r="J108" s="40" t="n"/>
      <c r="K108" s="46">
        <f>IF(A108="","",IFERROR(LOOKUP(2,1/((持仓跟踪!$B$2:$B$501=A108)*(持仓跟踪!$X$2:$X$501="执行卖出")*(持仓跟踪!$Y$2:$Y$501&lt;&gt;"")),持仓跟踪!$Y$2:$Y$501),""))</f>
        <v/>
      </c>
      <c r="L108" s="33">
        <f>IF(A108="","",IFERROR(LOOKUP(2,1/((持仓跟踪!$B$2:$B$501=A108)*(持仓跟踪!$X$2:$X$501="执行卖出")*(持仓跟踪!$Z$2:$Z$501&lt;&gt;"")),持仓跟踪!$Z$2:$Z$501),""))</f>
        <v/>
      </c>
      <c r="M108" s="47">
        <f>IF(A108="","",IFERROR(LOOKUP(2,1/((持仓跟踪!$B$2:$B$501=A108)*(持仓跟踪!$X$2:$X$501="执行卖出")*(持仓跟踪!$H$2:$H$501&lt;&gt;"")),持仓跟踪!$H$2:$H$501),""))</f>
        <v/>
      </c>
      <c r="N108" s="40" t="n"/>
      <c r="O108" s="40" t="n"/>
      <c r="P108" s="46">
        <f>IF(A108="","",IFERROR(LOOKUP(2,1/((持仓跟踪!$B$2:$B$501=A108)*(持仓跟踪!$X$2:$X$501="执行卖出")*(持仓跟踪!$AA$2:$AA$501&lt;&gt;"")),持仓跟踪!$AA$2:$AA$501),""))</f>
        <v/>
      </c>
      <c r="Q108" s="2" t="n"/>
      <c r="R108" s="2" t="n"/>
      <c r="S108" s="2" t="n"/>
      <c r="T108" s="2" t="n"/>
      <c r="U108" s="7">
        <f>IF(OR(AO108="",J108="",AO108&lt;=0),"",(J108-AO108)/AO108)</f>
        <v/>
      </c>
      <c r="V108" s="7">
        <f>IF(OR(AO108="",N108="",AO108&lt;=0),"",(AO108-N108)/AO108)</f>
        <v/>
      </c>
      <c r="W108" s="13">
        <f>IF(OR(U108="",V108="",V108&lt;=0),"",U108/V108)</f>
        <v/>
      </c>
      <c r="X108" s="42">
        <f>IF(OR(K108="",L108="",AP108=""),"",K108*L108-(E108*H108+IF(AND(AK108&lt;&gt;"",AL108&lt;&gt;""),AK108*AL108,0)+IF(AND(AM108&lt;&gt;"",AN108&lt;&gt;""),AM108*AN108,0))-IF(O108="",0,O108)-IF(P108="",0,P108))</f>
        <v/>
      </c>
      <c r="Y108" s="7">
        <f>IF(OR(X108="",AP108=""),"",IF((E108*H108+IF(AND(AK108&lt;&gt;"",AL108&lt;&gt;""),AK108*AL108,0)+IF(AND(AM108&lt;&gt;"",AN108&lt;&gt;""),AM108*AN108,0))+IF(O108="",0,O108)&lt;=0,"",X108/((E108*H108+IF(AND(AK108&lt;&gt;"",AL108&lt;&gt;""),AK108*AL108,0)+IF(AND(AM108&lt;&gt;"",AN108&lt;&gt;""),AM108*AN108,0))+IF(O108="",0,O108))))</f>
        <v/>
      </c>
      <c r="Z108" s="7">
        <f>IF(OR(AE108="",多次统计数据!$B$8=""),"",AE108-多次统计数据!$B$8)</f>
        <v/>
      </c>
      <c r="AA108" s="14">
        <f>IF(OR(I108="",M108="",M108&lt;I108),"",M108-I108)</f>
        <v/>
      </c>
      <c r="AB108" s="7">
        <f>IF(OR(A108="",多次统计数据!$B$8="",多次统计数据!$B$6&lt;=0,多次统计数据!$B$6&gt;=1),"",1-POWER(1+多次统计数据!$B$8,-多次统计数据!$B$6/(1-多次统计数据!$B$6)))</f>
        <v/>
      </c>
      <c r="AC108" s="8">
        <f>IF(OR(AB108="",多次统计数据!$B$9=""),"",IF(多次统计数据!$B$9&lt;AB108,"低于上限","达到或超过上限"))</f>
        <v/>
      </c>
      <c r="AD108" s="2" t="n"/>
      <c r="AE108" s="7">
        <f>IF(OR(X108="",C108="",C108&lt;=0),"",X108/C108)</f>
        <v/>
      </c>
      <c r="AG108" s="28" t="n"/>
      <c r="AH108" s="28" t="n"/>
      <c r="AI108" s="28" t="n"/>
      <c r="AJ108" s="31">
        <f>IF(OR(AG108="",AH108=""),"",IF(OR(AND(AG108="短期博反弹",OR(AH108="1～3个交易日",AH108="4～10个交易日")),AND(AG108="突破冲新高",OR(AH108="4～10个交易日",AH108="11～20个交易日")),AND(AG108="趋势波段",OR(AH108="11～20个交易日",AH108="21～60个交易日",AH108="60个交易日以上"))),"匹配","周期与交易预期不匹配，请重新确认"))</f>
        <v/>
      </c>
      <c r="AK108" s="43" t="n"/>
      <c r="AL108" s="27" t="n"/>
      <c r="AM108" s="43" t="n"/>
      <c r="AN108" s="27" t="n"/>
      <c r="AO108" s="44">
        <f>IF(OR(A108="",H108="",H108&lt;=0),"",(E108*H108+IF(AND(AK108&lt;&gt;"",AL108&lt;&gt;""),AK108*AL108,0)+IF(AND(AM108&lt;&gt;"",AN108&lt;&gt;""),AM108*AN108,0))/AP108)</f>
        <v/>
      </c>
      <c r="AP108" s="26">
        <f>IF(OR(A108="",H108="",H108&lt;=0),"",H108+IF(AL108="",0,AL108)+IF(AN108="",0,AN108))</f>
        <v/>
      </c>
      <c r="AQ108" s="44">
        <f>IF(A108="","",IF(M108&lt;&gt;"",0,IF(OR(H108="",N108=""),"",MAX(E108-MAX(N108,IFERROR(AGGREGATE(14,6,'持仓跟踪'!$S$2:$S$501/(('持仓跟踪'!$A$2:$A$501="每日跟踪")*('持仓跟踪'!$B$2:$B$501=A108)),1),0)),0)*H108+IF(OR(AK108="",AL108=""),0,MAX(AK108-MAX(N108,IFERROR(AGGREGATE(14,6,'持仓跟踪'!$S$2:$S$501/(('持仓跟踪'!$A$2:$A$501="每日跟踪")*('持仓跟踪'!$B$2:$B$501=A108)),1),0)),0)*AL108)+IF(OR(AM108="",AN108=""),0,MAX(AM108-MAX(N108,IFERROR(AGGREGATE(14,6,'持仓跟踪'!$S$2:$S$501/(('持仓跟踪'!$A$2:$A$501="每日跟踪")*('持仓跟踪'!$B$2:$B$501=A108)),1),0)),0)*AN108))))</f>
        <v/>
      </c>
      <c r="AR108" s="31">
        <f>IF(A108="","",IF(OR(E108="",H108=""),"违规：第一批价格或股数缺失",IF(OR(AND(AK108="",AL108&lt;&gt;""),AND(AK108&lt;&gt;"",AL108="")),"违规：第二批价格与股数须成对填写",IF(OR(AND(AM108="",AN108&lt;&gt;""),AND(AM108&lt;&gt;"",AN108="")),"违规：第三批价格与股数须成对填写",IF(AND(OR(AM108&lt;&gt;"",AN108&lt;&gt;""),OR(AK108="",AL108="")),"违规：必须先完成第二批",IF(OR(H108&lt;=0,H108&lt;&gt;INT(H108),MOD(H108,100)&lt;&gt;0,AND(AL108&lt;&gt;"",OR(AL108&lt;=0,AL108&lt;&gt;INT(AL108),MOD(AL108,100)&lt;&gt;0)),AND(AN108&lt;&gt;"",OR(AN108&lt;=0,AN108&lt;&gt;INT(AN108),MOD(AN108,100)&lt;&gt;0))),"违规：股数须为100股整数倍",IF(AND(OR(AL108&lt;&gt;"",AN108&lt;&gt;""),OR(_LockStatus="已锁仓",_LockStatus="解锁信息不完整")),"违规：锁仓期间禁止加仓",IF(AQ108&gt;C108*D108,"违规：超过单笔风险上限",IF(SUM($AQ$2:$AQ$201)&gt;账户数据!$B$7,"违规：超过账户风险上限","通过")))))))))</f>
        <v/>
      </c>
    </row>
    <row r="109">
      <c r="A109" s="2" t="n"/>
      <c r="B109" s="2" t="n"/>
      <c r="C109" s="40" t="n"/>
      <c r="D109" s="6" t="n"/>
      <c r="E109" s="40" t="n"/>
      <c r="F109" s="8">
        <f>IF(OR(C109="",D109="",E109="",N109="",C109&lt;=0,D109&lt;=0,E109&lt;=N109),"",ROUNDDOWN((C109*D109)/(E109-N109)/100,0)*100)</f>
        <v/>
      </c>
      <c r="G109" s="8">
        <f>IF(A109="","",IF(H109&lt;&gt;"","已开仓",IF(账户数据!$B$23="已锁仓","禁止开仓：连续亏损达到上限",IF(账户数据!$B$23="解锁信息不完整","禁止开仓：请完整填写解锁信息",IF(OR(F109="",E109="",N109="",E109&lt;=N109,账户数据!$B$7=""),"",IF(OR(AG109="",AH109="",AI109=""),"禁止开仓：交易预期未填写完整",IF(COUNTIFS(持仓跟踪!$A$2:$A$501,"止损计划",持仓跟踪!$B$2:$B$501,A109,持仓跟踪!$AC$2:$AC$501,"计划有效")=0,"禁止开仓：请先填写止损计划",IF(账户数据!$B$9+F109*(E109-N109)&gt;=账户数据!$B$7,"禁止开仓：风险额度不足",IF(AJ109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09" s="2" t="n"/>
      <c r="I109" s="41" t="n"/>
      <c r="J109" s="40" t="n"/>
      <c r="K109" s="46">
        <f>IF(A109="","",IFERROR(LOOKUP(2,1/((持仓跟踪!$B$2:$B$501=A109)*(持仓跟踪!$X$2:$X$501="执行卖出")*(持仓跟踪!$Y$2:$Y$501&lt;&gt;"")),持仓跟踪!$Y$2:$Y$501),""))</f>
        <v/>
      </c>
      <c r="L109" s="33">
        <f>IF(A109="","",IFERROR(LOOKUP(2,1/((持仓跟踪!$B$2:$B$501=A109)*(持仓跟踪!$X$2:$X$501="执行卖出")*(持仓跟踪!$Z$2:$Z$501&lt;&gt;"")),持仓跟踪!$Z$2:$Z$501),""))</f>
        <v/>
      </c>
      <c r="M109" s="47">
        <f>IF(A109="","",IFERROR(LOOKUP(2,1/((持仓跟踪!$B$2:$B$501=A109)*(持仓跟踪!$X$2:$X$501="执行卖出")*(持仓跟踪!$H$2:$H$501&lt;&gt;"")),持仓跟踪!$H$2:$H$501),""))</f>
        <v/>
      </c>
      <c r="N109" s="40" t="n"/>
      <c r="O109" s="40" t="n"/>
      <c r="P109" s="46">
        <f>IF(A109="","",IFERROR(LOOKUP(2,1/((持仓跟踪!$B$2:$B$501=A109)*(持仓跟踪!$X$2:$X$501="执行卖出")*(持仓跟踪!$AA$2:$AA$501&lt;&gt;"")),持仓跟踪!$AA$2:$AA$501),""))</f>
        <v/>
      </c>
      <c r="Q109" s="2" t="n"/>
      <c r="R109" s="2" t="n"/>
      <c r="S109" s="2" t="n"/>
      <c r="T109" s="2" t="n"/>
      <c r="U109" s="7">
        <f>IF(OR(AO109="",J109="",AO109&lt;=0),"",(J109-AO109)/AO109)</f>
        <v/>
      </c>
      <c r="V109" s="7">
        <f>IF(OR(AO109="",N109="",AO109&lt;=0),"",(AO109-N109)/AO109)</f>
        <v/>
      </c>
      <c r="W109" s="13">
        <f>IF(OR(U109="",V109="",V109&lt;=0),"",U109/V109)</f>
        <v/>
      </c>
      <c r="X109" s="42">
        <f>IF(OR(K109="",L109="",AP109=""),"",K109*L109-(E109*H109+IF(AND(AK109&lt;&gt;"",AL109&lt;&gt;""),AK109*AL109,0)+IF(AND(AM109&lt;&gt;"",AN109&lt;&gt;""),AM109*AN109,0))-IF(O109="",0,O109)-IF(P109="",0,P109))</f>
        <v/>
      </c>
      <c r="Y109" s="7">
        <f>IF(OR(X109="",AP109=""),"",IF((E109*H109+IF(AND(AK109&lt;&gt;"",AL109&lt;&gt;""),AK109*AL109,0)+IF(AND(AM109&lt;&gt;"",AN109&lt;&gt;""),AM109*AN109,0))+IF(O109="",0,O109)&lt;=0,"",X109/((E109*H109+IF(AND(AK109&lt;&gt;"",AL109&lt;&gt;""),AK109*AL109,0)+IF(AND(AM109&lt;&gt;"",AN109&lt;&gt;""),AM109*AN109,0))+IF(O109="",0,O109))))</f>
        <v/>
      </c>
      <c r="Z109" s="7">
        <f>IF(OR(AE109="",多次统计数据!$B$8=""),"",AE109-多次统计数据!$B$8)</f>
        <v/>
      </c>
      <c r="AA109" s="14">
        <f>IF(OR(I109="",M109="",M109&lt;I109),"",M109-I109)</f>
        <v/>
      </c>
      <c r="AB109" s="7">
        <f>IF(OR(A109="",多次统计数据!$B$8="",多次统计数据!$B$6&lt;=0,多次统计数据!$B$6&gt;=1),"",1-POWER(1+多次统计数据!$B$8,-多次统计数据!$B$6/(1-多次统计数据!$B$6)))</f>
        <v/>
      </c>
      <c r="AC109" s="8">
        <f>IF(OR(AB109="",多次统计数据!$B$9=""),"",IF(多次统计数据!$B$9&lt;AB109,"低于上限","达到或超过上限"))</f>
        <v/>
      </c>
      <c r="AD109" s="2" t="n"/>
      <c r="AE109" s="7">
        <f>IF(OR(X109="",C109="",C109&lt;=0),"",X109/C109)</f>
        <v/>
      </c>
      <c r="AG109" s="28" t="n"/>
      <c r="AH109" s="28" t="n"/>
      <c r="AI109" s="28" t="n"/>
      <c r="AJ109" s="31">
        <f>IF(OR(AG109="",AH109=""),"",IF(OR(AND(AG109="短期博反弹",OR(AH109="1～3个交易日",AH109="4～10个交易日")),AND(AG109="突破冲新高",OR(AH109="4～10个交易日",AH109="11～20个交易日")),AND(AG109="趋势波段",OR(AH109="11～20个交易日",AH109="21～60个交易日",AH109="60个交易日以上"))),"匹配","周期与交易预期不匹配，请重新确认"))</f>
        <v/>
      </c>
      <c r="AK109" s="43" t="n"/>
      <c r="AL109" s="27" t="n"/>
      <c r="AM109" s="43" t="n"/>
      <c r="AN109" s="27" t="n"/>
      <c r="AO109" s="44">
        <f>IF(OR(A109="",H109="",H109&lt;=0),"",(E109*H109+IF(AND(AK109&lt;&gt;"",AL109&lt;&gt;""),AK109*AL109,0)+IF(AND(AM109&lt;&gt;"",AN109&lt;&gt;""),AM109*AN109,0))/AP109)</f>
        <v/>
      </c>
      <c r="AP109" s="26">
        <f>IF(OR(A109="",H109="",H109&lt;=0),"",H109+IF(AL109="",0,AL109)+IF(AN109="",0,AN109))</f>
        <v/>
      </c>
      <c r="AQ109" s="44">
        <f>IF(A109="","",IF(M109&lt;&gt;"",0,IF(OR(H109="",N109=""),"",MAX(E109-MAX(N109,IFERROR(AGGREGATE(14,6,'持仓跟踪'!$S$2:$S$501/(('持仓跟踪'!$A$2:$A$501="每日跟踪")*('持仓跟踪'!$B$2:$B$501=A109)),1),0)),0)*H109+IF(OR(AK109="",AL109=""),0,MAX(AK109-MAX(N109,IFERROR(AGGREGATE(14,6,'持仓跟踪'!$S$2:$S$501/(('持仓跟踪'!$A$2:$A$501="每日跟踪")*('持仓跟踪'!$B$2:$B$501=A109)),1),0)),0)*AL109)+IF(OR(AM109="",AN109=""),0,MAX(AM109-MAX(N109,IFERROR(AGGREGATE(14,6,'持仓跟踪'!$S$2:$S$501/(('持仓跟踪'!$A$2:$A$501="每日跟踪")*('持仓跟踪'!$B$2:$B$501=A109)),1),0)),0)*AN109))))</f>
        <v/>
      </c>
      <c r="AR109" s="31">
        <f>IF(A109="","",IF(OR(E109="",H109=""),"违规：第一批价格或股数缺失",IF(OR(AND(AK109="",AL109&lt;&gt;""),AND(AK109&lt;&gt;"",AL109="")),"违规：第二批价格与股数须成对填写",IF(OR(AND(AM109="",AN109&lt;&gt;""),AND(AM109&lt;&gt;"",AN109="")),"违规：第三批价格与股数须成对填写",IF(AND(OR(AM109&lt;&gt;"",AN109&lt;&gt;""),OR(AK109="",AL109="")),"违规：必须先完成第二批",IF(OR(H109&lt;=0,H109&lt;&gt;INT(H109),MOD(H109,100)&lt;&gt;0,AND(AL109&lt;&gt;"",OR(AL109&lt;=0,AL109&lt;&gt;INT(AL109),MOD(AL109,100)&lt;&gt;0)),AND(AN109&lt;&gt;"",OR(AN109&lt;=0,AN109&lt;&gt;INT(AN109),MOD(AN109,100)&lt;&gt;0))),"违规：股数须为100股整数倍",IF(AND(OR(AL109&lt;&gt;"",AN109&lt;&gt;""),OR(_LockStatus="已锁仓",_LockStatus="解锁信息不完整")),"违规：锁仓期间禁止加仓",IF(AQ109&gt;C109*D109,"违规：超过单笔风险上限",IF(SUM($AQ$2:$AQ$201)&gt;账户数据!$B$7,"违规：超过账户风险上限","通过")))))))))</f>
        <v/>
      </c>
    </row>
    <row r="110">
      <c r="A110" s="2" t="n"/>
      <c r="B110" s="2" t="n"/>
      <c r="C110" s="40" t="n"/>
      <c r="D110" s="6" t="n"/>
      <c r="E110" s="40" t="n"/>
      <c r="F110" s="8">
        <f>IF(OR(C110="",D110="",E110="",N110="",C110&lt;=0,D110&lt;=0,E110&lt;=N110),"",ROUNDDOWN((C110*D110)/(E110-N110)/100,0)*100)</f>
        <v/>
      </c>
      <c r="G110" s="8">
        <f>IF(A110="","",IF(H110&lt;&gt;"","已开仓",IF(账户数据!$B$23="已锁仓","禁止开仓：连续亏损达到上限",IF(账户数据!$B$23="解锁信息不完整","禁止开仓：请完整填写解锁信息",IF(OR(F110="",E110="",N110="",E110&lt;=N110,账户数据!$B$7=""),"",IF(OR(AG110="",AH110="",AI110=""),"禁止开仓：交易预期未填写完整",IF(COUNTIFS(持仓跟踪!$A$2:$A$501,"止损计划",持仓跟踪!$B$2:$B$501,A110,持仓跟踪!$AC$2:$AC$501,"计划有效")=0,"禁止开仓：请先填写止损计划",IF(账户数据!$B$9+F110*(E110-N110)&gt;=账户数据!$B$7,"禁止开仓：风险额度不足",IF(AJ110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0" s="2" t="n"/>
      <c r="I110" s="41" t="n"/>
      <c r="J110" s="40" t="n"/>
      <c r="K110" s="46">
        <f>IF(A110="","",IFERROR(LOOKUP(2,1/((持仓跟踪!$B$2:$B$501=A110)*(持仓跟踪!$X$2:$X$501="执行卖出")*(持仓跟踪!$Y$2:$Y$501&lt;&gt;"")),持仓跟踪!$Y$2:$Y$501),""))</f>
        <v/>
      </c>
      <c r="L110" s="33">
        <f>IF(A110="","",IFERROR(LOOKUP(2,1/((持仓跟踪!$B$2:$B$501=A110)*(持仓跟踪!$X$2:$X$501="执行卖出")*(持仓跟踪!$Z$2:$Z$501&lt;&gt;"")),持仓跟踪!$Z$2:$Z$501),""))</f>
        <v/>
      </c>
      <c r="M110" s="47">
        <f>IF(A110="","",IFERROR(LOOKUP(2,1/((持仓跟踪!$B$2:$B$501=A110)*(持仓跟踪!$X$2:$X$501="执行卖出")*(持仓跟踪!$H$2:$H$501&lt;&gt;"")),持仓跟踪!$H$2:$H$501),""))</f>
        <v/>
      </c>
      <c r="N110" s="40" t="n"/>
      <c r="O110" s="40" t="n"/>
      <c r="P110" s="46">
        <f>IF(A110="","",IFERROR(LOOKUP(2,1/((持仓跟踪!$B$2:$B$501=A110)*(持仓跟踪!$X$2:$X$501="执行卖出")*(持仓跟踪!$AA$2:$AA$501&lt;&gt;"")),持仓跟踪!$AA$2:$AA$501),""))</f>
        <v/>
      </c>
      <c r="Q110" s="2" t="n"/>
      <c r="R110" s="2" t="n"/>
      <c r="S110" s="2" t="n"/>
      <c r="T110" s="2" t="n"/>
      <c r="U110" s="7">
        <f>IF(OR(AO110="",J110="",AO110&lt;=0),"",(J110-AO110)/AO110)</f>
        <v/>
      </c>
      <c r="V110" s="7">
        <f>IF(OR(AO110="",N110="",AO110&lt;=0),"",(AO110-N110)/AO110)</f>
        <v/>
      </c>
      <c r="W110" s="13">
        <f>IF(OR(U110="",V110="",V110&lt;=0),"",U110/V110)</f>
        <v/>
      </c>
      <c r="X110" s="42">
        <f>IF(OR(K110="",L110="",AP110=""),"",K110*L110-(E110*H110+IF(AND(AK110&lt;&gt;"",AL110&lt;&gt;""),AK110*AL110,0)+IF(AND(AM110&lt;&gt;"",AN110&lt;&gt;""),AM110*AN110,0))-IF(O110="",0,O110)-IF(P110="",0,P110))</f>
        <v/>
      </c>
      <c r="Y110" s="7">
        <f>IF(OR(X110="",AP110=""),"",IF((E110*H110+IF(AND(AK110&lt;&gt;"",AL110&lt;&gt;""),AK110*AL110,0)+IF(AND(AM110&lt;&gt;"",AN110&lt;&gt;""),AM110*AN110,0))+IF(O110="",0,O110)&lt;=0,"",X110/((E110*H110+IF(AND(AK110&lt;&gt;"",AL110&lt;&gt;""),AK110*AL110,0)+IF(AND(AM110&lt;&gt;"",AN110&lt;&gt;""),AM110*AN110,0))+IF(O110="",0,O110))))</f>
        <v/>
      </c>
      <c r="Z110" s="7">
        <f>IF(OR(AE110="",多次统计数据!$B$8=""),"",AE110-多次统计数据!$B$8)</f>
        <v/>
      </c>
      <c r="AA110" s="14">
        <f>IF(OR(I110="",M110="",M110&lt;I110),"",M110-I110)</f>
        <v/>
      </c>
      <c r="AB110" s="7">
        <f>IF(OR(A110="",多次统计数据!$B$8="",多次统计数据!$B$6&lt;=0,多次统计数据!$B$6&gt;=1),"",1-POWER(1+多次统计数据!$B$8,-多次统计数据!$B$6/(1-多次统计数据!$B$6)))</f>
        <v/>
      </c>
      <c r="AC110" s="8">
        <f>IF(OR(AB110="",多次统计数据!$B$9=""),"",IF(多次统计数据!$B$9&lt;AB110,"低于上限","达到或超过上限"))</f>
        <v/>
      </c>
      <c r="AD110" s="2" t="n"/>
      <c r="AE110" s="7">
        <f>IF(OR(X110="",C110="",C110&lt;=0),"",X110/C110)</f>
        <v/>
      </c>
      <c r="AG110" s="28" t="n"/>
      <c r="AH110" s="28" t="n"/>
      <c r="AI110" s="28" t="n"/>
      <c r="AJ110" s="31">
        <f>IF(OR(AG110="",AH110=""),"",IF(OR(AND(AG110="短期博反弹",OR(AH110="1～3个交易日",AH110="4～10个交易日")),AND(AG110="突破冲新高",OR(AH110="4～10个交易日",AH110="11～20个交易日")),AND(AG110="趋势波段",OR(AH110="11～20个交易日",AH110="21～60个交易日",AH110="60个交易日以上"))),"匹配","周期与交易预期不匹配，请重新确认"))</f>
        <v/>
      </c>
      <c r="AK110" s="43" t="n"/>
      <c r="AL110" s="27" t="n"/>
      <c r="AM110" s="43" t="n"/>
      <c r="AN110" s="27" t="n"/>
      <c r="AO110" s="44">
        <f>IF(OR(A110="",H110="",H110&lt;=0),"",(E110*H110+IF(AND(AK110&lt;&gt;"",AL110&lt;&gt;""),AK110*AL110,0)+IF(AND(AM110&lt;&gt;"",AN110&lt;&gt;""),AM110*AN110,0))/AP110)</f>
        <v/>
      </c>
      <c r="AP110" s="26">
        <f>IF(OR(A110="",H110="",H110&lt;=0),"",H110+IF(AL110="",0,AL110)+IF(AN110="",0,AN110))</f>
        <v/>
      </c>
      <c r="AQ110" s="44">
        <f>IF(A110="","",IF(M110&lt;&gt;"",0,IF(OR(H110="",N110=""),"",MAX(E110-MAX(N110,IFERROR(AGGREGATE(14,6,'持仓跟踪'!$S$2:$S$501/(('持仓跟踪'!$A$2:$A$501="每日跟踪")*('持仓跟踪'!$B$2:$B$501=A110)),1),0)),0)*H110+IF(OR(AK110="",AL110=""),0,MAX(AK110-MAX(N110,IFERROR(AGGREGATE(14,6,'持仓跟踪'!$S$2:$S$501/(('持仓跟踪'!$A$2:$A$501="每日跟踪")*('持仓跟踪'!$B$2:$B$501=A110)),1),0)),0)*AL110)+IF(OR(AM110="",AN110=""),0,MAX(AM110-MAX(N110,IFERROR(AGGREGATE(14,6,'持仓跟踪'!$S$2:$S$501/(('持仓跟踪'!$A$2:$A$501="每日跟踪")*('持仓跟踪'!$B$2:$B$501=A110)),1),0)),0)*AN110))))</f>
        <v/>
      </c>
      <c r="AR110" s="31">
        <f>IF(A110="","",IF(OR(E110="",H110=""),"违规：第一批价格或股数缺失",IF(OR(AND(AK110="",AL110&lt;&gt;""),AND(AK110&lt;&gt;"",AL110="")),"违规：第二批价格与股数须成对填写",IF(OR(AND(AM110="",AN110&lt;&gt;""),AND(AM110&lt;&gt;"",AN110="")),"违规：第三批价格与股数须成对填写",IF(AND(OR(AM110&lt;&gt;"",AN110&lt;&gt;""),OR(AK110="",AL110="")),"违规：必须先完成第二批",IF(OR(H110&lt;=0,H110&lt;&gt;INT(H110),MOD(H110,100)&lt;&gt;0,AND(AL110&lt;&gt;"",OR(AL110&lt;=0,AL110&lt;&gt;INT(AL110),MOD(AL110,100)&lt;&gt;0)),AND(AN110&lt;&gt;"",OR(AN110&lt;=0,AN110&lt;&gt;INT(AN110),MOD(AN110,100)&lt;&gt;0))),"违规：股数须为100股整数倍",IF(AND(OR(AL110&lt;&gt;"",AN110&lt;&gt;""),OR(_LockStatus="已锁仓",_LockStatus="解锁信息不完整")),"违规：锁仓期间禁止加仓",IF(AQ110&gt;C110*D110,"违规：超过单笔风险上限",IF(SUM($AQ$2:$AQ$201)&gt;账户数据!$B$7,"违规：超过账户风险上限","通过")))))))))</f>
        <v/>
      </c>
    </row>
    <row r="111">
      <c r="A111" s="2" t="n"/>
      <c r="B111" s="2" t="n"/>
      <c r="C111" s="40" t="n"/>
      <c r="D111" s="6" t="n"/>
      <c r="E111" s="40" t="n"/>
      <c r="F111" s="8">
        <f>IF(OR(C111="",D111="",E111="",N111="",C111&lt;=0,D111&lt;=0,E111&lt;=N111),"",ROUNDDOWN((C111*D111)/(E111-N111)/100,0)*100)</f>
        <v/>
      </c>
      <c r="G111" s="8">
        <f>IF(A111="","",IF(H111&lt;&gt;"","已开仓",IF(账户数据!$B$23="已锁仓","禁止开仓：连续亏损达到上限",IF(账户数据!$B$23="解锁信息不完整","禁止开仓：请完整填写解锁信息",IF(OR(F111="",E111="",N111="",E111&lt;=N111,账户数据!$B$7=""),"",IF(OR(AG111="",AH111="",AI111=""),"禁止开仓：交易预期未填写完整",IF(COUNTIFS(持仓跟踪!$A$2:$A$501,"止损计划",持仓跟踪!$B$2:$B$501,A111,持仓跟踪!$AC$2:$AC$501,"计划有效")=0,"禁止开仓：请先填写止损计划",IF(账户数据!$B$9+F111*(E111-N111)&gt;=账户数据!$B$7,"禁止开仓：风险额度不足",IF(AJ111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1" s="2" t="n"/>
      <c r="I111" s="41" t="n"/>
      <c r="J111" s="40" t="n"/>
      <c r="K111" s="46">
        <f>IF(A111="","",IFERROR(LOOKUP(2,1/((持仓跟踪!$B$2:$B$501=A111)*(持仓跟踪!$X$2:$X$501="执行卖出")*(持仓跟踪!$Y$2:$Y$501&lt;&gt;"")),持仓跟踪!$Y$2:$Y$501),""))</f>
        <v/>
      </c>
      <c r="L111" s="33">
        <f>IF(A111="","",IFERROR(LOOKUP(2,1/((持仓跟踪!$B$2:$B$501=A111)*(持仓跟踪!$X$2:$X$501="执行卖出")*(持仓跟踪!$Z$2:$Z$501&lt;&gt;"")),持仓跟踪!$Z$2:$Z$501),""))</f>
        <v/>
      </c>
      <c r="M111" s="47">
        <f>IF(A111="","",IFERROR(LOOKUP(2,1/((持仓跟踪!$B$2:$B$501=A111)*(持仓跟踪!$X$2:$X$501="执行卖出")*(持仓跟踪!$H$2:$H$501&lt;&gt;"")),持仓跟踪!$H$2:$H$501),""))</f>
        <v/>
      </c>
      <c r="N111" s="40" t="n"/>
      <c r="O111" s="40" t="n"/>
      <c r="P111" s="46">
        <f>IF(A111="","",IFERROR(LOOKUP(2,1/((持仓跟踪!$B$2:$B$501=A111)*(持仓跟踪!$X$2:$X$501="执行卖出")*(持仓跟踪!$AA$2:$AA$501&lt;&gt;"")),持仓跟踪!$AA$2:$AA$501),""))</f>
        <v/>
      </c>
      <c r="Q111" s="2" t="n"/>
      <c r="R111" s="2" t="n"/>
      <c r="S111" s="2" t="n"/>
      <c r="T111" s="2" t="n"/>
      <c r="U111" s="7">
        <f>IF(OR(AO111="",J111="",AO111&lt;=0),"",(J111-AO111)/AO111)</f>
        <v/>
      </c>
      <c r="V111" s="7">
        <f>IF(OR(AO111="",N111="",AO111&lt;=0),"",(AO111-N111)/AO111)</f>
        <v/>
      </c>
      <c r="W111" s="13">
        <f>IF(OR(U111="",V111="",V111&lt;=0),"",U111/V111)</f>
        <v/>
      </c>
      <c r="X111" s="42">
        <f>IF(OR(K111="",L111="",AP111=""),"",K111*L111-(E111*H111+IF(AND(AK111&lt;&gt;"",AL111&lt;&gt;""),AK111*AL111,0)+IF(AND(AM111&lt;&gt;"",AN111&lt;&gt;""),AM111*AN111,0))-IF(O111="",0,O111)-IF(P111="",0,P111))</f>
        <v/>
      </c>
      <c r="Y111" s="7">
        <f>IF(OR(X111="",AP111=""),"",IF((E111*H111+IF(AND(AK111&lt;&gt;"",AL111&lt;&gt;""),AK111*AL111,0)+IF(AND(AM111&lt;&gt;"",AN111&lt;&gt;""),AM111*AN111,0))+IF(O111="",0,O111)&lt;=0,"",X111/((E111*H111+IF(AND(AK111&lt;&gt;"",AL111&lt;&gt;""),AK111*AL111,0)+IF(AND(AM111&lt;&gt;"",AN111&lt;&gt;""),AM111*AN111,0))+IF(O111="",0,O111))))</f>
        <v/>
      </c>
      <c r="Z111" s="7">
        <f>IF(OR(AE111="",多次统计数据!$B$8=""),"",AE111-多次统计数据!$B$8)</f>
        <v/>
      </c>
      <c r="AA111" s="14">
        <f>IF(OR(I111="",M111="",M111&lt;I111),"",M111-I111)</f>
        <v/>
      </c>
      <c r="AB111" s="7">
        <f>IF(OR(A111="",多次统计数据!$B$8="",多次统计数据!$B$6&lt;=0,多次统计数据!$B$6&gt;=1),"",1-POWER(1+多次统计数据!$B$8,-多次统计数据!$B$6/(1-多次统计数据!$B$6)))</f>
        <v/>
      </c>
      <c r="AC111" s="8">
        <f>IF(OR(AB111="",多次统计数据!$B$9=""),"",IF(多次统计数据!$B$9&lt;AB111,"低于上限","达到或超过上限"))</f>
        <v/>
      </c>
      <c r="AD111" s="2" t="n"/>
      <c r="AE111" s="7">
        <f>IF(OR(X111="",C111="",C111&lt;=0),"",X111/C111)</f>
        <v/>
      </c>
      <c r="AG111" s="28" t="n"/>
      <c r="AH111" s="28" t="n"/>
      <c r="AI111" s="28" t="n"/>
      <c r="AJ111" s="31">
        <f>IF(OR(AG111="",AH111=""),"",IF(OR(AND(AG111="短期博反弹",OR(AH111="1～3个交易日",AH111="4～10个交易日")),AND(AG111="突破冲新高",OR(AH111="4～10个交易日",AH111="11～20个交易日")),AND(AG111="趋势波段",OR(AH111="11～20个交易日",AH111="21～60个交易日",AH111="60个交易日以上"))),"匹配","周期与交易预期不匹配，请重新确认"))</f>
        <v/>
      </c>
      <c r="AK111" s="43" t="n"/>
      <c r="AL111" s="27" t="n"/>
      <c r="AM111" s="43" t="n"/>
      <c r="AN111" s="27" t="n"/>
      <c r="AO111" s="44">
        <f>IF(OR(A111="",H111="",H111&lt;=0),"",(E111*H111+IF(AND(AK111&lt;&gt;"",AL111&lt;&gt;""),AK111*AL111,0)+IF(AND(AM111&lt;&gt;"",AN111&lt;&gt;""),AM111*AN111,0))/AP111)</f>
        <v/>
      </c>
      <c r="AP111" s="26">
        <f>IF(OR(A111="",H111="",H111&lt;=0),"",H111+IF(AL111="",0,AL111)+IF(AN111="",0,AN111))</f>
        <v/>
      </c>
      <c r="AQ111" s="44">
        <f>IF(A111="","",IF(M111&lt;&gt;"",0,IF(OR(H111="",N111=""),"",MAX(E111-MAX(N111,IFERROR(AGGREGATE(14,6,'持仓跟踪'!$S$2:$S$501/(('持仓跟踪'!$A$2:$A$501="每日跟踪")*('持仓跟踪'!$B$2:$B$501=A111)),1),0)),0)*H111+IF(OR(AK111="",AL111=""),0,MAX(AK111-MAX(N111,IFERROR(AGGREGATE(14,6,'持仓跟踪'!$S$2:$S$501/(('持仓跟踪'!$A$2:$A$501="每日跟踪")*('持仓跟踪'!$B$2:$B$501=A111)),1),0)),0)*AL111)+IF(OR(AM111="",AN111=""),0,MAX(AM111-MAX(N111,IFERROR(AGGREGATE(14,6,'持仓跟踪'!$S$2:$S$501/(('持仓跟踪'!$A$2:$A$501="每日跟踪")*('持仓跟踪'!$B$2:$B$501=A111)),1),0)),0)*AN111))))</f>
        <v/>
      </c>
      <c r="AR111" s="31">
        <f>IF(A111="","",IF(OR(E111="",H111=""),"违规：第一批价格或股数缺失",IF(OR(AND(AK111="",AL111&lt;&gt;""),AND(AK111&lt;&gt;"",AL111="")),"违规：第二批价格与股数须成对填写",IF(OR(AND(AM111="",AN111&lt;&gt;""),AND(AM111&lt;&gt;"",AN111="")),"违规：第三批价格与股数须成对填写",IF(AND(OR(AM111&lt;&gt;"",AN111&lt;&gt;""),OR(AK111="",AL111="")),"违规：必须先完成第二批",IF(OR(H111&lt;=0,H111&lt;&gt;INT(H111),MOD(H111,100)&lt;&gt;0,AND(AL111&lt;&gt;"",OR(AL111&lt;=0,AL111&lt;&gt;INT(AL111),MOD(AL111,100)&lt;&gt;0)),AND(AN111&lt;&gt;"",OR(AN111&lt;=0,AN111&lt;&gt;INT(AN111),MOD(AN111,100)&lt;&gt;0))),"违规：股数须为100股整数倍",IF(AND(OR(AL111&lt;&gt;"",AN111&lt;&gt;""),OR(_LockStatus="已锁仓",_LockStatus="解锁信息不完整")),"违规：锁仓期间禁止加仓",IF(AQ111&gt;C111*D111,"违规：超过单笔风险上限",IF(SUM($AQ$2:$AQ$201)&gt;账户数据!$B$7,"违规：超过账户风险上限","通过")))))))))</f>
        <v/>
      </c>
    </row>
    <row r="112">
      <c r="A112" s="2" t="n"/>
      <c r="B112" s="2" t="n"/>
      <c r="C112" s="40" t="n"/>
      <c r="D112" s="6" t="n"/>
      <c r="E112" s="40" t="n"/>
      <c r="F112" s="8">
        <f>IF(OR(C112="",D112="",E112="",N112="",C112&lt;=0,D112&lt;=0,E112&lt;=N112),"",ROUNDDOWN((C112*D112)/(E112-N112)/100,0)*100)</f>
        <v/>
      </c>
      <c r="G112" s="8">
        <f>IF(A112="","",IF(H112&lt;&gt;"","已开仓",IF(账户数据!$B$23="已锁仓","禁止开仓：连续亏损达到上限",IF(账户数据!$B$23="解锁信息不完整","禁止开仓：请完整填写解锁信息",IF(OR(F112="",E112="",N112="",E112&lt;=N112,账户数据!$B$7=""),"",IF(OR(AG112="",AH112="",AI112=""),"禁止开仓：交易预期未填写完整",IF(COUNTIFS(持仓跟踪!$A$2:$A$501,"止损计划",持仓跟踪!$B$2:$B$501,A112,持仓跟踪!$AC$2:$AC$501,"计划有效")=0,"禁止开仓：请先填写止损计划",IF(账户数据!$B$9+F112*(E112-N112)&gt;=账户数据!$B$7,"禁止开仓：风险额度不足",IF(AJ112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2" s="2" t="n"/>
      <c r="I112" s="41" t="n"/>
      <c r="J112" s="40" t="n"/>
      <c r="K112" s="46">
        <f>IF(A112="","",IFERROR(LOOKUP(2,1/((持仓跟踪!$B$2:$B$501=A112)*(持仓跟踪!$X$2:$X$501="执行卖出")*(持仓跟踪!$Y$2:$Y$501&lt;&gt;"")),持仓跟踪!$Y$2:$Y$501),""))</f>
        <v/>
      </c>
      <c r="L112" s="33">
        <f>IF(A112="","",IFERROR(LOOKUP(2,1/((持仓跟踪!$B$2:$B$501=A112)*(持仓跟踪!$X$2:$X$501="执行卖出")*(持仓跟踪!$Z$2:$Z$501&lt;&gt;"")),持仓跟踪!$Z$2:$Z$501),""))</f>
        <v/>
      </c>
      <c r="M112" s="47">
        <f>IF(A112="","",IFERROR(LOOKUP(2,1/((持仓跟踪!$B$2:$B$501=A112)*(持仓跟踪!$X$2:$X$501="执行卖出")*(持仓跟踪!$H$2:$H$501&lt;&gt;"")),持仓跟踪!$H$2:$H$501),""))</f>
        <v/>
      </c>
      <c r="N112" s="40" t="n"/>
      <c r="O112" s="40" t="n"/>
      <c r="P112" s="46">
        <f>IF(A112="","",IFERROR(LOOKUP(2,1/((持仓跟踪!$B$2:$B$501=A112)*(持仓跟踪!$X$2:$X$501="执行卖出")*(持仓跟踪!$AA$2:$AA$501&lt;&gt;"")),持仓跟踪!$AA$2:$AA$501),""))</f>
        <v/>
      </c>
      <c r="Q112" s="2" t="n"/>
      <c r="R112" s="2" t="n"/>
      <c r="S112" s="2" t="n"/>
      <c r="T112" s="2" t="n"/>
      <c r="U112" s="7">
        <f>IF(OR(AO112="",J112="",AO112&lt;=0),"",(J112-AO112)/AO112)</f>
        <v/>
      </c>
      <c r="V112" s="7">
        <f>IF(OR(AO112="",N112="",AO112&lt;=0),"",(AO112-N112)/AO112)</f>
        <v/>
      </c>
      <c r="W112" s="13">
        <f>IF(OR(U112="",V112="",V112&lt;=0),"",U112/V112)</f>
        <v/>
      </c>
      <c r="X112" s="42">
        <f>IF(OR(K112="",L112="",AP112=""),"",K112*L112-(E112*H112+IF(AND(AK112&lt;&gt;"",AL112&lt;&gt;""),AK112*AL112,0)+IF(AND(AM112&lt;&gt;"",AN112&lt;&gt;""),AM112*AN112,0))-IF(O112="",0,O112)-IF(P112="",0,P112))</f>
        <v/>
      </c>
      <c r="Y112" s="7">
        <f>IF(OR(X112="",AP112=""),"",IF((E112*H112+IF(AND(AK112&lt;&gt;"",AL112&lt;&gt;""),AK112*AL112,0)+IF(AND(AM112&lt;&gt;"",AN112&lt;&gt;""),AM112*AN112,0))+IF(O112="",0,O112)&lt;=0,"",X112/((E112*H112+IF(AND(AK112&lt;&gt;"",AL112&lt;&gt;""),AK112*AL112,0)+IF(AND(AM112&lt;&gt;"",AN112&lt;&gt;""),AM112*AN112,0))+IF(O112="",0,O112))))</f>
        <v/>
      </c>
      <c r="Z112" s="7">
        <f>IF(OR(AE112="",多次统计数据!$B$8=""),"",AE112-多次统计数据!$B$8)</f>
        <v/>
      </c>
      <c r="AA112" s="14">
        <f>IF(OR(I112="",M112="",M112&lt;I112),"",M112-I112)</f>
        <v/>
      </c>
      <c r="AB112" s="7">
        <f>IF(OR(A112="",多次统计数据!$B$8="",多次统计数据!$B$6&lt;=0,多次统计数据!$B$6&gt;=1),"",1-POWER(1+多次统计数据!$B$8,-多次统计数据!$B$6/(1-多次统计数据!$B$6)))</f>
        <v/>
      </c>
      <c r="AC112" s="8">
        <f>IF(OR(AB112="",多次统计数据!$B$9=""),"",IF(多次统计数据!$B$9&lt;AB112,"低于上限","达到或超过上限"))</f>
        <v/>
      </c>
      <c r="AD112" s="2" t="n"/>
      <c r="AE112" s="7">
        <f>IF(OR(X112="",C112="",C112&lt;=0),"",X112/C112)</f>
        <v/>
      </c>
      <c r="AG112" s="28" t="n"/>
      <c r="AH112" s="28" t="n"/>
      <c r="AI112" s="28" t="n"/>
      <c r="AJ112" s="31">
        <f>IF(OR(AG112="",AH112=""),"",IF(OR(AND(AG112="短期博反弹",OR(AH112="1～3个交易日",AH112="4～10个交易日")),AND(AG112="突破冲新高",OR(AH112="4～10个交易日",AH112="11～20个交易日")),AND(AG112="趋势波段",OR(AH112="11～20个交易日",AH112="21～60个交易日",AH112="60个交易日以上"))),"匹配","周期与交易预期不匹配，请重新确认"))</f>
        <v/>
      </c>
      <c r="AK112" s="43" t="n"/>
      <c r="AL112" s="27" t="n"/>
      <c r="AM112" s="43" t="n"/>
      <c r="AN112" s="27" t="n"/>
      <c r="AO112" s="44">
        <f>IF(OR(A112="",H112="",H112&lt;=0),"",(E112*H112+IF(AND(AK112&lt;&gt;"",AL112&lt;&gt;""),AK112*AL112,0)+IF(AND(AM112&lt;&gt;"",AN112&lt;&gt;""),AM112*AN112,0))/AP112)</f>
        <v/>
      </c>
      <c r="AP112" s="26">
        <f>IF(OR(A112="",H112="",H112&lt;=0),"",H112+IF(AL112="",0,AL112)+IF(AN112="",0,AN112))</f>
        <v/>
      </c>
      <c r="AQ112" s="44">
        <f>IF(A112="","",IF(M112&lt;&gt;"",0,IF(OR(H112="",N112=""),"",MAX(E112-MAX(N112,IFERROR(AGGREGATE(14,6,'持仓跟踪'!$S$2:$S$501/(('持仓跟踪'!$A$2:$A$501="每日跟踪")*('持仓跟踪'!$B$2:$B$501=A112)),1),0)),0)*H112+IF(OR(AK112="",AL112=""),0,MAX(AK112-MAX(N112,IFERROR(AGGREGATE(14,6,'持仓跟踪'!$S$2:$S$501/(('持仓跟踪'!$A$2:$A$501="每日跟踪")*('持仓跟踪'!$B$2:$B$501=A112)),1),0)),0)*AL112)+IF(OR(AM112="",AN112=""),0,MAX(AM112-MAX(N112,IFERROR(AGGREGATE(14,6,'持仓跟踪'!$S$2:$S$501/(('持仓跟踪'!$A$2:$A$501="每日跟踪")*('持仓跟踪'!$B$2:$B$501=A112)),1),0)),0)*AN112))))</f>
        <v/>
      </c>
      <c r="AR112" s="31">
        <f>IF(A112="","",IF(OR(E112="",H112=""),"违规：第一批价格或股数缺失",IF(OR(AND(AK112="",AL112&lt;&gt;""),AND(AK112&lt;&gt;"",AL112="")),"违规：第二批价格与股数须成对填写",IF(OR(AND(AM112="",AN112&lt;&gt;""),AND(AM112&lt;&gt;"",AN112="")),"违规：第三批价格与股数须成对填写",IF(AND(OR(AM112&lt;&gt;"",AN112&lt;&gt;""),OR(AK112="",AL112="")),"违规：必须先完成第二批",IF(OR(H112&lt;=0,H112&lt;&gt;INT(H112),MOD(H112,100)&lt;&gt;0,AND(AL112&lt;&gt;"",OR(AL112&lt;=0,AL112&lt;&gt;INT(AL112),MOD(AL112,100)&lt;&gt;0)),AND(AN112&lt;&gt;"",OR(AN112&lt;=0,AN112&lt;&gt;INT(AN112),MOD(AN112,100)&lt;&gt;0))),"违规：股数须为100股整数倍",IF(AND(OR(AL112&lt;&gt;"",AN112&lt;&gt;""),OR(_LockStatus="已锁仓",_LockStatus="解锁信息不完整")),"违规：锁仓期间禁止加仓",IF(AQ112&gt;C112*D112,"违规：超过单笔风险上限",IF(SUM($AQ$2:$AQ$201)&gt;账户数据!$B$7,"违规：超过账户风险上限","通过")))))))))</f>
        <v/>
      </c>
    </row>
    <row r="113">
      <c r="A113" s="2" t="n"/>
      <c r="B113" s="2" t="n"/>
      <c r="C113" s="40" t="n"/>
      <c r="D113" s="6" t="n"/>
      <c r="E113" s="40" t="n"/>
      <c r="F113" s="8">
        <f>IF(OR(C113="",D113="",E113="",N113="",C113&lt;=0,D113&lt;=0,E113&lt;=N113),"",ROUNDDOWN((C113*D113)/(E113-N113)/100,0)*100)</f>
        <v/>
      </c>
      <c r="G113" s="8">
        <f>IF(A113="","",IF(H113&lt;&gt;"","已开仓",IF(账户数据!$B$23="已锁仓","禁止开仓：连续亏损达到上限",IF(账户数据!$B$23="解锁信息不完整","禁止开仓：请完整填写解锁信息",IF(OR(F113="",E113="",N113="",E113&lt;=N113,账户数据!$B$7=""),"",IF(OR(AG113="",AH113="",AI113=""),"禁止开仓：交易预期未填写完整",IF(COUNTIFS(持仓跟踪!$A$2:$A$501,"止损计划",持仓跟踪!$B$2:$B$501,A113,持仓跟踪!$AC$2:$AC$501,"计划有效")=0,"禁止开仓：请先填写止损计划",IF(账户数据!$B$9+F113*(E113-N113)&gt;=账户数据!$B$7,"禁止开仓：风险额度不足",IF(AJ113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3" s="2" t="n"/>
      <c r="I113" s="41" t="n"/>
      <c r="J113" s="40" t="n"/>
      <c r="K113" s="46">
        <f>IF(A113="","",IFERROR(LOOKUP(2,1/((持仓跟踪!$B$2:$B$501=A113)*(持仓跟踪!$X$2:$X$501="执行卖出")*(持仓跟踪!$Y$2:$Y$501&lt;&gt;"")),持仓跟踪!$Y$2:$Y$501),""))</f>
        <v/>
      </c>
      <c r="L113" s="33">
        <f>IF(A113="","",IFERROR(LOOKUP(2,1/((持仓跟踪!$B$2:$B$501=A113)*(持仓跟踪!$X$2:$X$501="执行卖出")*(持仓跟踪!$Z$2:$Z$501&lt;&gt;"")),持仓跟踪!$Z$2:$Z$501),""))</f>
        <v/>
      </c>
      <c r="M113" s="47">
        <f>IF(A113="","",IFERROR(LOOKUP(2,1/((持仓跟踪!$B$2:$B$501=A113)*(持仓跟踪!$X$2:$X$501="执行卖出")*(持仓跟踪!$H$2:$H$501&lt;&gt;"")),持仓跟踪!$H$2:$H$501),""))</f>
        <v/>
      </c>
      <c r="N113" s="40" t="n"/>
      <c r="O113" s="40" t="n"/>
      <c r="P113" s="46">
        <f>IF(A113="","",IFERROR(LOOKUP(2,1/((持仓跟踪!$B$2:$B$501=A113)*(持仓跟踪!$X$2:$X$501="执行卖出")*(持仓跟踪!$AA$2:$AA$501&lt;&gt;"")),持仓跟踪!$AA$2:$AA$501),""))</f>
        <v/>
      </c>
      <c r="Q113" s="2" t="n"/>
      <c r="R113" s="2" t="n"/>
      <c r="S113" s="2" t="n"/>
      <c r="T113" s="2" t="n"/>
      <c r="U113" s="7">
        <f>IF(OR(AO113="",J113="",AO113&lt;=0),"",(J113-AO113)/AO113)</f>
        <v/>
      </c>
      <c r="V113" s="7">
        <f>IF(OR(AO113="",N113="",AO113&lt;=0),"",(AO113-N113)/AO113)</f>
        <v/>
      </c>
      <c r="W113" s="13">
        <f>IF(OR(U113="",V113="",V113&lt;=0),"",U113/V113)</f>
        <v/>
      </c>
      <c r="X113" s="42">
        <f>IF(OR(K113="",L113="",AP113=""),"",K113*L113-(E113*H113+IF(AND(AK113&lt;&gt;"",AL113&lt;&gt;""),AK113*AL113,0)+IF(AND(AM113&lt;&gt;"",AN113&lt;&gt;""),AM113*AN113,0))-IF(O113="",0,O113)-IF(P113="",0,P113))</f>
        <v/>
      </c>
      <c r="Y113" s="7">
        <f>IF(OR(X113="",AP113=""),"",IF((E113*H113+IF(AND(AK113&lt;&gt;"",AL113&lt;&gt;""),AK113*AL113,0)+IF(AND(AM113&lt;&gt;"",AN113&lt;&gt;""),AM113*AN113,0))+IF(O113="",0,O113)&lt;=0,"",X113/((E113*H113+IF(AND(AK113&lt;&gt;"",AL113&lt;&gt;""),AK113*AL113,0)+IF(AND(AM113&lt;&gt;"",AN113&lt;&gt;""),AM113*AN113,0))+IF(O113="",0,O113))))</f>
        <v/>
      </c>
      <c r="Z113" s="7">
        <f>IF(OR(AE113="",多次统计数据!$B$8=""),"",AE113-多次统计数据!$B$8)</f>
        <v/>
      </c>
      <c r="AA113" s="14">
        <f>IF(OR(I113="",M113="",M113&lt;I113),"",M113-I113)</f>
        <v/>
      </c>
      <c r="AB113" s="7">
        <f>IF(OR(A113="",多次统计数据!$B$8="",多次统计数据!$B$6&lt;=0,多次统计数据!$B$6&gt;=1),"",1-POWER(1+多次统计数据!$B$8,-多次统计数据!$B$6/(1-多次统计数据!$B$6)))</f>
        <v/>
      </c>
      <c r="AC113" s="8">
        <f>IF(OR(AB113="",多次统计数据!$B$9=""),"",IF(多次统计数据!$B$9&lt;AB113,"低于上限","达到或超过上限"))</f>
        <v/>
      </c>
      <c r="AD113" s="2" t="n"/>
      <c r="AE113" s="7">
        <f>IF(OR(X113="",C113="",C113&lt;=0),"",X113/C113)</f>
        <v/>
      </c>
      <c r="AG113" s="28" t="n"/>
      <c r="AH113" s="28" t="n"/>
      <c r="AI113" s="28" t="n"/>
      <c r="AJ113" s="31">
        <f>IF(OR(AG113="",AH113=""),"",IF(OR(AND(AG113="短期博反弹",OR(AH113="1～3个交易日",AH113="4～10个交易日")),AND(AG113="突破冲新高",OR(AH113="4～10个交易日",AH113="11～20个交易日")),AND(AG113="趋势波段",OR(AH113="11～20个交易日",AH113="21～60个交易日",AH113="60个交易日以上"))),"匹配","周期与交易预期不匹配，请重新确认"))</f>
        <v/>
      </c>
      <c r="AK113" s="43" t="n"/>
      <c r="AL113" s="27" t="n"/>
      <c r="AM113" s="43" t="n"/>
      <c r="AN113" s="27" t="n"/>
      <c r="AO113" s="44">
        <f>IF(OR(A113="",H113="",H113&lt;=0),"",(E113*H113+IF(AND(AK113&lt;&gt;"",AL113&lt;&gt;""),AK113*AL113,0)+IF(AND(AM113&lt;&gt;"",AN113&lt;&gt;""),AM113*AN113,0))/AP113)</f>
        <v/>
      </c>
      <c r="AP113" s="26">
        <f>IF(OR(A113="",H113="",H113&lt;=0),"",H113+IF(AL113="",0,AL113)+IF(AN113="",0,AN113))</f>
        <v/>
      </c>
      <c r="AQ113" s="44">
        <f>IF(A113="","",IF(M113&lt;&gt;"",0,IF(OR(H113="",N113=""),"",MAX(E113-MAX(N113,IFERROR(AGGREGATE(14,6,'持仓跟踪'!$S$2:$S$501/(('持仓跟踪'!$A$2:$A$501="每日跟踪")*('持仓跟踪'!$B$2:$B$501=A113)),1),0)),0)*H113+IF(OR(AK113="",AL113=""),0,MAX(AK113-MAX(N113,IFERROR(AGGREGATE(14,6,'持仓跟踪'!$S$2:$S$501/(('持仓跟踪'!$A$2:$A$501="每日跟踪")*('持仓跟踪'!$B$2:$B$501=A113)),1),0)),0)*AL113)+IF(OR(AM113="",AN113=""),0,MAX(AM113-MAX(N113,IFERROR(AGGREGATE(14,6,'持仓跟踪'!$S$2:$S$501/(('持仓跟踪'!$A$2:$A$501="每日跟踪")*('持仓跟踪'!$B$2:$B$501=A113)),1),0)),0)*AN113))))</f>
        <v/>
      </c>
      <c r="AR113" s="31">
        <f>IF(A113="","",IF(OR(E113="",H113=""),"违规：第一批价格或股数缺失",IF(OR(AND(AK113="",AL113&lt;&gt;""),AND(AK113&lt;&gt;"",AL113="")),"违规：第二批价格与股数须成对填写",IF(OR(AND(AM113="",AN113&lt;&gt;""),AND(AM113&lt;&gt;"",AN113="")),"违规：第三批价格与股数须成对填写",IF(AND(OR(AM113&lt;&gt;"",AN113&lt;&gt;""),OR(AK113="",AL113="")),"违规：必须先完成第二批",IF(OR(H113&lt;=0,H113&lt;&gt;INT(H113),MOD(H113,100)&lt;&gt;0,AND(AL113&lt;&gt;"",OR(AL113&lt;=0,AL113&lt;&gt;INT(AL113),MOD(AL113,100)&lt;&gt;0)),AND(AN113&lt;&gt;"",OR(AN113&lt;=0,AN113&lt;&gt;INT(AN113),MOD(AN113,100)&lt;&gt;0))),"违规：股数须为100股整数倍",IF(AND(OR(AL113&lt;&gt;"",AN113&lt;&gt;""),OR(_LockStatus="已锁仓",_LockStatus="解锁信息不完整")),"违规：锁仓期间禁止加仓",IF(AQ113&gt;C113*D113,"违规：超过单笔风险上限",IF(SUM($AQ$2:$AQ$201)&gt;账户数据!$B$7,"违规：超过账户风险上限","通过")))))))))</f>
        <v/>
      </c>
    </row>
    <row r="114">
      <c r="A114" s="2" t="n"/>
      <c r="B114" s="2" t="n"/>
      <c r="C114" s="40" t="n"/>
      <c r="D114" s="6" t="n"/>
      <c r="E114" s="40" t="n"/>
      <c r="F114" s="8">
        <f>IF(OR(C114="",D114="",E114="",N114="",C114&lt;=0,D114&lt;=0,E114&lt;=N114),"",ROUNDDOWN((C114*D114)/(E114-N114)/100,0)*100)</f>
        <v/>
      </c>
      <c r="G114" s="8">
        <f>IF(A114="","",IF(H114&lt;&gt;"","已开仓",IF(账户数据!$B$23="已锁仓","禁止开仓：连续亏损达到上限",IF(账户数据!$B$23="解锁信息不完整","禁止开仓：请完整填写解锁信息",IF(OR(F114="",E114="",N114="",E114&lt;=N114,账户数据!$B$7=""),"",IF(OR(AG114="",AH114="",AI114=""),"禁止开仓：交易预期未填写完整",IF(COUNTIFS(持仓跟踪!$A$2:$A$501,"止损计划",持仓跟踪!$B$2:$B$501,A114,持仓跟踪!$AC$2:$AC$501,"计划有效")=0,"禁止开仓：请先填写止损计划",IF(账户数据!$B$9+F114*(E114-N114)&gt;=账户数据!$B$7,"禁止开仓：风险额度不足",IF(AJ114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4" s="2" t="n"/>
      <c r="I114" s="41" t="n"/>
      <c r="J114" s="40" t="n"/>
      <c r="K114" s="46">
        <f>IF(A114="","",IFERROR(LOOKUP(2,1/((持仓跟踪!$B$2:$B$501=A114)*(持仓跟踪!$X$2:$X$501="执行卖出")*(持仓跟踪!$Y$2:$Y$501&lt;&gt;"")),持仓跟踪!$Y$2:$Y$501),""))</f>
        <v/>
      </c>
      <c r="L114" s="33">
        <f>IF(A114="","",IFERROR(LOOKUP(2,1/((持仓跟踪!$B$2:$B$501=A114)*(持仓跟踪!$X$2:$X$501="执行卖出")*(持仓跟踪!$Z$2:$Z$501&lt;&gt;"")),持仓跟踪!$Z$2:$Z$501),""))</f>
        <v/>
      </c>
      <c r="M114" s="47">
        <f>IF(A114="","",IFERROR(LOOKUP(2,1/((持仓跟踪!$B$2:$B$501=A114)*(持仓跟踪!$X$2:$X$501="执行卖出")*(持仓跟踪!$H$2:$H$501&lt;&gt;"")),持仓跟踪!$H$2:$H$501),""))</f>
        <v/>
      </c>
      <c r="N114" s="40" t="n"/>
      <c r="O114" s="40" t="n"/>
      <c r="P114" s="46">
        <f>IF(A114="","",IFERROR(LOOKUP(2,1/((持仓跟踪!$B$2:$B$501=A114)*(持仓跟踪!$X$2:$X$501="执行卖出")*(持仓跟踪!$AA$2:$AA$501&lt;&gt;"")),持仓跟踪!$AA$2:$AA$501),""))</f>
        <v/>
      </c>
      <c r="Q114" s="2" t="n"/>
      <c r="R114" s="2" t="n"/>
      <c r="S114" s="2" t="n"/>
      <c r="T114" s="2" t="n"/>
      <c r="U114" s="7">
        <f>IF(OR(AO114="",J114="",AO114&lt;=0),"",(J114-AO114)/AO114)</f>
        <v/>
      </c>
      <c r="V114" s="7">
        <f>IF(OR(AO114="",N114="",AO114&lt;=0),"",(AO114-N114)/AO114)</f>
        <v/>
      </c>
      <c r="W114" s="13">
        <f>IF(OR(U114="",V114="",V114&lt;=0),"",U114/V114)</f>
        <v/>
      </c>
      <c r="X114" s="42">
        <f>IF(OR(K114="",L114="",AP114=""),"",K114*L114-(E114*H114+IF(AND(AK114&lt;&gt;"",AL114&lt;&gt;""),AK114*AL114,0)+IF(AND(AM114&lt;&gt;"",AN114&lt;&gt;""),AM114*AN114,0))-IF(O114="",0,O114)-IF(P114="",0,P114))</f>
        <v/>
      </c>
      <c r="Y114" s="7">
        <f>IF(OR(X114="",AP114=""),"",IF((E114*H114+IF(AND(AK114&lt;&gt;"",AL114&lt;&gt;""),AK114*AL114,0)+IF(AND(AM114&lt;&gt;"",AN114&lt;&gt;""),AM114*AN114,0))+IF(O114="",0,O114)&lt;=0,"",X114/((E114*H114+IF(AND(AK114&lt;&gt;"",AL114&lt;&gt;""),AK114*AL114,0)+IF(AND(AM114&lt;&gt;"",AN114&lt;&gt;""),AM114*AN114,0))+IF(O114="",0,O114))))</f>
        <v/>
      </c>
      <c r="Z114" s="7">
        <f>IF(OR(AE114="",多次统计数据!$B$8=""),"",AE114-多次统计数据!$B$8)</f>
        <v/>
      </c>
      <c r="AA114" s="14">
        <f>IF(OR(I114="",M114="",M114&lt;I114),"",M114-I114)</f>
        <v/>
      </c>
      <c r="AB114" s="7">
        <f>IF(OR(A114="",多次统计数据!$B$8="",多次统计数据!$B$6&lt;=0,多次统计数据!$B$6&gt;=1),"",1-POWER(1+多次统计数据!$B$8,-多次统计数据!$B$6/(1-多次统计数据!$B$6)))</f>
        <v/>
      </c>
      <c r="AC114" s="8">
        <f>IF(OR(AB114="",多次统计数据!$B$9=""),"",IF(多次统计数据!$B$9&lt;AB114,"低于上限","达到或超过上限"))</f>
        <v/>
      </c>
      <c r="AD114" s="2" t="n"/>
      <c r="AE114" s="7">
        <f>IF(OR(X114="",C114="",C114&lt;=0),"",X114/C114)</f>
        <v/>
      </c>
      <c r="AG114" s="28" t="n"/>
      <c r="AH114" s="28" t="n"/>
      <c r="AI114" s="28" t="n"/>
      <c r="AJ114" s="31">
        <f>IF(OR(AG114="",AH114=""),"",IF(OR(AND(AG114="短期博反弹",OR(AH114="1～3个交易日",AH114="4～10个交易日")),AND(AG114="突破冲新高",OR(AH114="4～10个交易日",AH114="11～20个交易日")),AND(AG114="趋势波段",OR(AH114="11～20个交易日",AH114="21～60个交易日",AH114="60个交易日以上"))),"匹配","周期与交易预期不匹配，请重新确认"))</f>
        <v/>
      </c>
      <c r="AK114" s="43" t="n"/>
      <c r="AL114" s="27" t="n"/>
      <c r="AM114" s="43" t="n"/>
      <c r="AN114" s="27" t="n"/>
      <c r="AO114" s="44">
        <f>IF(OR(A114="",H114="",H114&lt;=0),"",(E114*H114+IF(AND(AK114&lt;&gt;"",AL114&lt;&gt;""),AK114*AL114,0)+IF(AND(AM114&lt;&gt;"",AN114&lt;&gt;""),AM114*AN114,0))/AP114)</f>
        <v/>
      </c>
      <c r="AP114" s="26">
        <f>IF(OR(A114="",H114="",H114&lt;=0),"",H114+IF(AL114="",0,AL114)+IF(AN114="",0,AN114))</f>
        <v/>
      </c>
      <c r="AQ114" s="44">
        <f>IF(A114="","",IF(M114&lt;&gt;"",0,IF(OR(H114="",N114=""),"",MAX(E114-MAX(N114,IFERROR(AGGREGATE(14,6,'持仓跟踪'!$S$2:$S$501/(('持仓跟踪'!$A$2:$A$501="每日跟踪")*('持仓跟踪'!$B$2:$B$501=A114)),1),0)),0)*H114+IF(OR(AK114="",AL114=""),0,MAX(AK114-MAX(N114,IFERROR(AGGREGATE(14,6,'持仓跟踪'!$S$2:$S$501/(('持仓跟踪'!$A$2:$A$501="每日跟踪")*('持仓跟踪'!$B$2:$B$501=A114)),1),0)),0)*AL114)+IF(OR(AM114="",AN114=""),0,MAX(AM114-MAX(N114,IFERROR(AGGREGATE(14,6,'持仓跟踪'!$S$2:$S$501/(('持仓跟踪'!$A$2:$A$501="每日跟踪")*('持仓跟踪'!$B$2:$B$501=A114)),1),0)),0)*AN114))))</f>
        <v/>
      </c>
      <c r="AR114" s="31">
        <f>IF(A114="","",IF(OR(E114="",H114=""),"违规：第一批价格或股数缺失",IF(OR(AND(AK114="",AL114&lt;&gt;""),AND(AK114&lt;&gt;"",AL114="")),"违规：第二批价格与股数须成对填写",IF(OR(AND(AM114="",AN114&lt;&gt;""),AND(AM114&lt;&gt;"",AN114="")),"违规：第三批价格与股数须成对填写",IF(AND(OR(AM114&lt;&gt;"",AN114&lt;&gt;""),OR(AK114="",AL114="")),"违规：必须先完成第二批",IF(OR(H114&lt;=0,H114&lt;&gt;INT(H114),MOD(H114,100)&lt;&gt;0,AND(AL114&lt;&gt;"",OR(AL114&lt;=0,AL114&lt;&gt;INT(AL114),MOD(AL114,100)&lt;&gt;0)),AND(AN114&lt;&gt;"",OR(AN114&lt;=0,AN114&lt;&gt;INT(AN114),MOD(AN114,100)&lt;&gt;0))),"违规：股数须为100股整数倍",IF(AND(OR(AL114&lt;&gt;"",AN114&lt;&gt;""),OR(_LockStatus="已锁仓",_LockStatus="解锁信息不完整")),"违规：锁仓期间禁止加仓",IF(AQ114&gt;C114*D114,"违规：超过单笔风险上限",IF(SUM($AQ$2:$AQ$201)&gt;账户数据!$B$7,"违规：超过账户风险上限","通过")))))))))</f>
        <v/>
      </c>
    </row>
    <row r="115">
      <c r="A115" s="2" t="n"/>
      <c r="B115" s="2" t="n"/>
      <c r="C115" s="40" t="n"/>
      <c r="D115" s="6" t="n"/>
      <c r="E115" s="40" t="n"/>
      <c r="F115" s="8">
        <f>IF(OR(C115="",D115="",E115="",N115="",C115&lt;=0,D115&lt;=0,E115&lt;=N115),"",ROUNDDOWN((C115*D115)/(E115-N115)/100,0)*100)</f>
        <v/>
      </c>
      <c r="G115" s="8">
        <f>IF(A115="","",IF(H115&lt;&gt;"","已开仓",IF(账户数据!$B$23="已锁仓","禁止开仓：连续亏损达到上限",IF(账户数据!$B$23="解锁信息不完整","禁止开仓：请完整填写解锁信息",IF(OR(F115="",E115="",N115="",E115&lt;=N115,账户数据!$B$7=""),"",IF(OR(AG115="",AH115="",AI115=""),"禁止开仓：交易预期未填写完整",IF(COUNTIFS(持仓跟踪!$A$2:$A$501,"止损计划",持仓跟踪!$B$2:$B$501,A115,持仓跟踪!$AC$2:$AC$501,"计划有效")=0,"禁止开仓：请先填写止损计划",IF(账户数据!$B$9+F115*(E115-N115)&gt;=账户数据!$B$7,"禁止开仓：风险额度不足",IF(AJ115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5" s="2" t="n"/>
      <c r="I115" s="41" t="n"/>
      <c r="J115" s="40" t="n"/>
      <c r="K115" s="46">
        <f>IF(A115="","",IFERROR(LOOKUP(2,1/((持仓跟踪!$B$2:$B$501=A115)*(持仓跟踪!$X$2:$X$501="执行卖出")*(持仓跟踪!$Y$2:$Y$501&lt;&gt;"")),持仓跟踪!$Y$2:$Y$501),""))</f>
        <v/>
      </c>
      <c r="L115" s="33">
        <f>IF(A115="","",IFERROR(LOOKUP(2,1/((持仓跟踪!$B$2:$B$501=A115)*(持仓跟踪!$X$2:$X$501="执行卖出")*(持仓跟踪!$Z$2:$Z$501&lt;&gt;"")),持仓跟踪!$Z$2:$Z$501),""))</f>
        <v/>
      </c>
      <c r="M115" s="47">
        <f>IF(A115="","",IFERROR(LOOKUP(2,1/((持仓跟踪!$B$2:$B$501=A115)*(持仓跟踪!$X$2:$X$501="执行卖出")*(持仓跟踪!$H$2:$H$501&lt;&gt;"")),持仓跟踪!$H$2:$H$501),""))</f>
        <v/>
      </c>
      <c r="N115" s="40" t="n"/>
      <c r="O115" s="40" t="n"/>
      <c r="P115" s="46">
        <f>IF(A115="","",IFERROR(LOOKUP(2,1/((持仓跟踪!$B$2:$B$501=A115)*(持仓跟踪!$X$2:$X$501="执行卖出")*(持仓跟踪!$AA$2:$AA$501&lt;&gt;"")),持仓跟踪!$AA$2:$AA$501),""))</f>
        <v/>
      </c>
      <c r="Q115" s="2" t="n"/>
      <c r="R115" s="2" t="n"/>
      <c r="S115" s="2" t="n"/>
      <c r="T115" s="2" t="n"/>
      <c r="U115" s="7">
        <f>IF(OR(AO115="",J115="",AO115&lt;=0),"",(J115-AO115)/AO115)</f>
        <v/>
      </c>
      <c r="V115" s="7">
        <f>IF(OR(AO115="",N115="",AO115&lt;=0),"",(AO115-N115)/AO115)</f>
        <v/>
      </c>
      <c r="W115" s="13">
        <f>IF(OR(U115="",V115="",V115&lt;=0),"",U115/V115)</f>
        <v/>
      </c>
      <c r="X115" s="42">
        <f>IF(OR(K115="",L115="",AP115=""),"",K115*L115-(E115*H115+IF(AND(AK115&lt;&gt;"",AL115&lt;&gt;""),AK115*AL115,0)+IF(AND(AM115&lt;&gt;"",AN115&lt;&gt;""),AM115*AN115,0))-IF(O115="",0,O115)-IF(P115="",0,P115))</f>
        <v/>
      </c>
      <c r="Y115" s="7">
        <f>IF(OR(X115="",AP115=""),"",IF((E115*H115+IF(AND(AK115&lt;&gt;"",AL115&lt;&gt;""),AK115*AL115,0)+IF(AND(AM115&lt;&gt;"",AN115&lt;&gt;""),AM115*AN115,0))+IF(O115="",0,O115)&lt;=0,"",X115/((E115*H115+IF(AND(AK115&lt;&gt;"",AL115&lt;&gt;""),AK115*AL115,0)+IF(AND(AM115&lt;&gt;"",AN115&lt;&gt;""),AM115*AN115,0))+IF(O115="",0,O115))))</f>
        <v/>
      </c>
      <c r="Z115" s="7">
        <f>IF(OR(AE115="",多次统计数据!$B$8=""),"",AE115-多次统计数据!$B$8)</f>
        <v/>
      </c>
      <c r="AA115" s="14">
        <f>IF(OR(I115="",M115="",M115&lt;I115),"",M115-I115)</f>
        <v/>
      </c>
      <c r="AB115" s="7">
        <f>IF(OR(A115="",多次统计数据!$B$8="",多次统计数据!$B$6&lt;=0,多次统计数据!$B$6&gt;=1),"",1-POWER(1+多次统计数据!$B$8,-多次统计数据!$B$6/(1-多次统计数据!$B$6)))</f>
        <v/>
      </c>
      <c r="AC115" s="8">
        <f>IF(OR(AB115="",多次统计数据!$B$9=""),"",IF(多次统计数据!$B$9&lt;AB115,"低于上限","达到或超过上限"))</f>
        <v/>
      </c>
      <c r="AD115" s="2" t="n"/>
      <c r="AE115" s="7">
        <f>IF(OR(X115="",C115="",C115&lt;=0),"",X115/C115)</f>
        <v/>
      </c>
      <c r="AG115" s="28" t="n"/>
      <c r="AH115" s="28" t="n"/>
      <c r="AI115" s="28" t="n"/>
      <c r="AJ115" s="31">
        <f>IF(OR(AG115="",AH115=""),"",IF(OR(AND(AG115="短期博反弹",OR(AH115="1～3个交易日",AH115="4～10个交易日")),AND(AG115="突破冲新高",OR(AH115="4～10个交易日",AH115="11～20个交易日")),AND(AG115="趋势波段",OR(AH115="11～20个交易日",AH115="21～60个交易日",AH115="60个交易日以上"))),"匹配","周期与交易预期不匹配，请重新确认"))</f>
        <v/>
      </c>
      <c r="AK115" s="43" t="n"/>
      <c r="AL115" s="27" t="n"/>
      <c r="AM115" s="43" t="n"/>
      <c r="AN115" s="27" t="n"/>
      <c r="AO115" s="44">
        <f>IF(OR(A115="",H115="",H115&lt;=0),"",(E115*H115+IF(AND(AK115&lt;&gt;"",AL115&lt;&gt;""),AK115*AL115,0)+IF(AND(AM115&lt;&gt;"",AN115&lt;&gt;""),AM115*AN115,0))/AP115)</f>
        <v/>
      </c>
      <c r="AP115" s="26">
        <f>IF(OR(A115="",H115="",H115&lt;=0),"",H115+IF(AL115="",0,AL115)+IF(AN115="",0,AN115))</f>
        <v/>
      </c>
      <c r="AQ115" s="44">
        <f>IF(A115="","",IF(M115&lt;&gt;"",0,IF(OR(H115="",N115=""),"",MAX(E115-MAX(N115,IFERROR(AGGREGATE(14,6,'持仓跟踪'!$S$2:$S$501/(('持仓跟踪'!$A$2:$A$501="每日跟踪")*('持仓跟踪'!$B$2:$B$501=A115)),1),0)),0)*H115+IF(OR(AK115="",AL115=""),0,MAX(AK115-MAX(N115,IFERROR(AGGREGATE(14,6,'持仓跟踪'!$S$2:$S$501/(('持仓跟踪'!$A$2:$A$501="每日跟踪")*('持仓跟踪'!$B$2:$B$501=A115)),1),0)),0)*AL115)+IF(OR(AM115="",AN115=""),0,MAX(AM115-MAX(N115,IFERROR(AGGREGATE(14,6,'持仓跟踪'!$S$2:$S$501/(('持仓跟踪'!$A$2:$A$501="每日跟踪")*('持仓跟踪'!$B$2:$B$501=A115)),1),0)),0)*AN115))))</f>
        <v/>
      </c>
      <c r="AR115" s="31">
        <f>IF(A115="","",IF(OR(E115="",H115=""),"违规：第一批价格或股数缺失",IF(OR(AND(AK115="",AL115&lt;&gt;""),AND(AK115&lt;&gt;"",AL115="")),"违规：第二批价格与股数须成对填写",IF(OR(AND(AM115="",AN115&lt;&gt;""),AND(AM115&lt;&gt;"",AN115="")),"违规：第三批价格与股数须成对填写",IF(AND(OR(AM115&lt;&gt;"",AN115&lt;&gt;""),OR(AK115="",AL115="")),"违规：必须先完成第二批",IF(OR(H115&lt;=0,H115&lt;&gt;INT(H115),MOD(H115,100)&lt;&gt;0,AND(AL115&lt;&gt;"",OR(AL115&lt;=0,AL115&lt;&gt;INT(AL115),MOD(AL115,100)&lt;&gt;0)),AND(AN115&lt;&gt;"",OR(AN115&lt;=0,AN115&lt;&gt;INT(AN115),MOD(AN115,100)&lt;&gt;0))),"违规：股数须为100股整数倍",IF(AND(OR(AL115&lt;&gt;"",AN115&lt;&gt;""),OR(_LockStatus="已锁仓",_LockStatus="解锁信息不完整")),"违规：锁仓期间禁止加仓",IF(AQ115&gt;C115*D115,"违规：超过单笔风险上限",IF(SUM($AQ$2:$AQ$201)&gt;账户数据!$B$7,"违规：超过账户风险上限","通过")))))))))</f>
        <v/>
      </c>
    </row>
    <row r="116">
      <c r="A116" s="2" t="n"/>
      <c r="B116" s="2" t="n"/>
      <c r="C116" s="40" t="n"/>
      <c r="D116" s="6" t="n"/>
      <c r="E116" s="40" t="n"/>
      <c r="F116" s="8">
        <f>IF(OR(C116="",D116="",E116="",N116="",C116&lt;=0,D116&lt;=0,E116&lt;=N116),"",ROUNDDOWN((C116*D116)/(E116-N116)/100,0)*100)</f>
        <v/>
      </c>
      <c r="G116" s="8">
        <f>IF(A116="","",IF(H116&lt;&gt;"","已开仓",IF(账户数据!$B$23="已锁仓","禁止开仓：连续亏损达到上限",IF(账户数据!$B$23="解锁信息不完整","禁止开仓：请完整填写解锁信息",IF(OR(F116="",E116="",N116="",E116&lt;=N116,账户数据!$B$7=""),"",IF(OR(AG116="",AH116="",AI116=""),"禁止开仓：交易预期未填写完整",IF(COUNTIFS(持仓跟踪!$A$2:$A$501,"止损计划",持仓跟踪!$B$2:$B$501,A116,持仓跟踪!$AC$2:$AC$501,"计划有效")=0,"禁止开仓：请先填写止损计划",IF(账户数据!$B$9+F116*(E116-N116)&gt;=账户数据!$B$7,"禁止开仓：风险额度不足",IF(AJ116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6" s="2" t="n"/>
      <c r="I116" s="41" t="n"/>
      <c r="J116" s="40" t="n"/>
      <c r="K116" s="46">
        <f>IF(A116="","",IFERROR(LOOKUP(2,1/((持仓跟踪!$B$2:$B$501=A116)*(持仓跟踪!$X$2:$X$501="执行卖出")*(持仓跟踪!$Y$2:$Y$501&lt;&gt;"")),持仓跟踪!$Y$2:$Y$501),""))</f>
        <v/>
      </c>
      <c r="L116" s="33">
        <f>IF(A116="","",IFERROR(LOOKUP(2,1/((持仓跟踪!$B$2:$B$501=A116)*(持仓跟踪!$X$2:$X$501="执行卖出")*(持仓跟踪!$Z$2:$Z$501&lt;&gt;"")),持仓跟踪!$Z$2:$Z$501),""))</f>
        <v/>
      </c>
      <c r="M116" s="47">
        <f>IF(A116="","",IFERROR(LOOKUP(2,1/((持仓跟踪!$B$2:$B$501=A116)*(持仓跟踪!$X$2:$X$501="执行卖出")*(持仓跟踪!$H$2:$H$501&lt;&gt;"")),持仓跟踪!$H$2:$H$501),""))</f>
        <v/>
      </c>
      <c r="N116" s="40" t="n"/>
      <c r="O116" s="40" t="n"/>
      <c r="P116" s="46">
        <f>IF(A116="","",IFERROR(LOOKUP(2,1/((持仓跟踪!$B$2:$B$501=A116)*(持仓跟踪!$X$2:$X$501="执行卖出")*(持仓跟踪!$AA$2:$AA$501&lt;&gt;"")),持仓跟踪!$AA$2:$AA$501),""))</f>
        <v/>
      </c>
      <c r="Q116" s="2" t="n"/>
      <c r="R116" s="2" t="n"/>
      <c r="S116" s="2" t="n"/>
      <c r="T116" s="2" t="n"/>
      <c r="U116" s="7">
        <f>IF(OR(AO116="",J116="",AO116&lt;=0),"",(J116-AO116)/AO116)</f>
        <v/>
      </c>
      <c r="V116" s="7">
        <f>IF(OR(AO116="",N116="",AO116&lt;=0),"",(AO116-N116)/AO116)</f>
        <v/>
      </c>
      <c r="W116" s="13">
        <f>IF(OR(U116="",V116="",V116&lt;=0),"",U116/V116)</f>
        <v/>
      </c>
      <c r="X116" s="42">
        <f>IF(OR(K116="",L116="",AP116=""),"",K116*L116-(E116*H116+IF(AND(AK116&lt;&gt;"",AL116&lt;&gt;""),AK116*AL116,0)+IF(AND(AM116&lt;&gt;"",AN116&lt;&gt;""),AM116*AN116,0))-IF(O116="",0,O116)-IF(P116="",0,P116))</f>
        <v/>
      </c>
      <c r="Y116" s="7">
        <f>IF(OR(X116="",AP116=""),"",IF((E116*H116+IF(AND(AK116&lt;&gt;"",AL116&lt;&gt;""),AK116*AL116,0)+IF(AND(AM116&lt;&gt;"",AN116&lt;&gt;""),AM116*AN116,0))+IF(O116="",0,O116)&lt;=0,"",X116/((E116*H116+IF(AND(AK116&lt;&gt;"",AL116&lt;&gt;""),AK116*AL116,0)+IF(AND(AM116&lt;&gt;"",AN116&lt;&gt;""),AM116*AN116,0))+IF(O116="",0,O116))))</f>
        <v/>
      </c>
      <c r="Z116" s="7">
        <f>IF(OR(AE116="",多次统计数据!$B$8=""),"",AE116-多次统计数据!$B$8)</f>
        <v/>
      </c>
      <c r="AA116" s="14">
        <f>IF(OR(I116="",M116="",M116&lt;I116),"",M116-I116)</f>
        <v/>
      </c>
      <c r="AB116" s="7">
        <f>IF(OR(A116="",多次统计数据!$B$8="",多次统计数据!$B$6&lt;=0,多次统计数据!$B$6&gt;=1),"",1-POWER(1+多次统计数据!$B$8,-多次统计数据!$B$6/(1-多次统计数据!$B$6)))</f>
        <v/>
      </c>
      <c r="AC116" s="8">
        <f>IF(OR(AB116="",多次统计数据!$B$9=""),"",IF(多次统计数据!$B$9&lt;AB116,"低于上限","达到或超过上限"))</f>
        <v/>
      </c>
      <c r="AD116" s="2" t="n"/>
      <c r="AE116" s="7">
        <f>IF(OR(X116="",C116="",C116&lt;=0),"",X116/C116)</f>
        <v/>
      </c>
      <c r="AG116" s="28" t="n"/>
      <c r="AH116" s="28" t="n"/>
      <c r="AI116" s="28" t="n"/>
      <c r="AJ116" s="31">
        <f>IF(OR(AG116="",AH116=""),"",IF(OR(AND(AG116="短期博反弹",OR(AH116="1～3个交易日",AH116="4～10个交易日")),AND(AG116="突破冲新高",OR(AH116="4～10个交易日",AH116="11～20个交易日")),AND(AG116="趋势波段",OR(AH116="11～20个交易日",AH116="21～60个交易日",AH116="60个交易日以上"))),"匹配","周期与交易预期不匹配，请重新确认"))</f>
        <v/>
      </c>
      <c r="AK116" s="43" t="n"/>
      <c r="AL116" s="27" t="n"/>
      <c r="AM116" s="43" t="n"/>
      <c r="AN116" s="27" t="n"/>
      <c r="AO116" s="44">
        <f>IF(OR(A116="",H116="",H116&lt;=0),"",(E116*H116+IF(AND(AK116&lt;&gt;"",AL116&lt;&gt;""),AK116*AL116,0)+IF(AND(AM116&lt;&gt;"",AN116&lt;&gt;""),AM116*AN116,0))/AP116)</f>
        <v/>
      </c>
      <c r="AP116" s="26">
        <f>IF(OR(A116="",H116="",H116&lt;=0),"",H116+IF(AL116="",0,AL116)+IF(AN116="",0,AN116))</f>
        <v/>
      </c>
      <c r="AQ116" s="44">
        <f>IF(A116="","",IF(M116&lt;&gt;"",0,IF(OR(H116="",N116=""),"",MAX(E116-MAX(N116,IFERROR(AGGREGATE(14,6,'持仓跟踪'!$S$2:$S$501/(('持仓跟踪'!$A$2:$A$501="每日跟踪")*('持仓跟踪'!$B$2:$B$501=A116)),1),0)),0)*H116+IF(OR(AK116="",AL116=""),0,MAX(AK116-MAX(N116,IFERROR(AGGREGATE(14,6,'持仓跟踪'!$S$2:$S$501/(('持仓跟踪'!$A$2:$A$501="每日跟踪")*('持仓跟踪'!$B$2:$B$501=A116)),1),0)),0)*AL116)+IF(OR(AM116="",AN116=""),0,MAX(AM116-MAX(N116,IFERROR(AGGREGATE(14,6,'持仓跟踪'!$S$2:$S$501/(('持仓跟踪'!$A$2:$A$501="每日跟踪")*('持仓跟踪'!$B$2:$B$501=A116)),1),0)),0)*AN116))))</f>
        <v/>
      </c>
      <c r="AR116" s="31">
        <f>IF(A116="","",IF(OR(E116="",H116=""),"违规：第一批价格或股数缺失",IF(OR(AND(AK116="",AL116&lt;&gt;""),AND(AK116&lt;&gt;"",AL116="")),"违规：第二批价格与股数须成对填写",IF(OR(AND(AM116="",AN116&lt;&gt;""),AND(AM116&lt;&gt;"",AN116="")),"违规：第三批价格与股数须成对填写",IF(AND(OR(AM116&lt;&gt;"",AN116&lt;&gt;""),OR(AK116="",AL116="")),"违规：必须先完成第二批",IF(OR(H116&lt;=0,H116&lt;&gt;INT(H116),MOD(H116,100)&lt;&gt;0,AND(AL116&lt;&gt;"",OR(AL116&lt;=0,AL116&lt;&gt;INT(AL116),MOD(AL116,100)&lt;&gt;0)),AND(AN116&lt;&gt;"",OR(AN116&lt;=0,AN116&lt;&gt;INT(AN116),MOD(AN116,100)&lt;&gt;0))),"违规：股数须为100股整数倍",IF(AND(OR(AL116&lt;&gt;"",AN116&lt;&gt;""),OR(_LockStatus="已锁仓",_LockStatus="解锁信息不完整")),"违规：锁仓期间禁止加仓",IF(AQ116&gt;C116*D116,"违规：超过单笔风险上限",IF(SUM($AQ$2:$AQ$201)&gt;账户数据!$B$7,"违规：超过账户风险上限","通过")))))))))</f>
        <v/>
      </c>
    </row>
    <row r="117">
      <c r="A117" s="2" t="n"/>
      <c r="B117" s="2" t="n"/>
      <c r="C117" s="40" t="n"/>
      <c r="D117" s="6" t="n"/>
      <c r="E117" s="40" t="n"/>
      <c r="F117" s="8">
        <f>IF(OR(C117="",D117="",E117="",N117="",C117&lt;=0,D117&lt;=0,E117&lt;=N117),"",ROUNDDOWN((C117*D117)/(E117-N117)/100,0)*100)</f>
        <v/>
      </c>
      <c r="G117" s="8">
        <f>IF(A117="","",IF(H117&lt;&gt;"","已开仓",IF(账户数据!$B$23="已锁仓","禁止开仓：连续亏损达到上限",IF(账户数据!$B$23="解锁信息不完整","禁止开仓：请完整填写解锁信息",IF(OR(F117="",E117="",N117="",E117&lt;=N117,账户数据!$B$7=""),"",IF(OR(AG117="",AH117="",AI117=""),"禁止开仓：交易预期未填写完整",IF(COUNTIFS(持仓跟踪!$A$2:$A$501,"止损计划",持仓跟踪!$B$2:$B$501,A117,持仓跟踪!$AC$2:$AC$501,"计划有效")=0,"禁止开仓：请先填写止损计划",IF(账户数据!$B$9+F117*(E117-N117)&gt;=账户数据!$B$7,"禁止开仓：风险额度不足",IF(AJ117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7" s="2" t="n"/>
      <c r="I117" s="41" t="n"/>
      <c r="J117" s="40" t="n"/>
      <c r="K117" s="46">
        <f>IF(A117="","",IFERROR(LOOKUP(2,1/((持仓跟踪!$B$2:$B$501=A117)*(持仓跟踪!$X$2:$X$501="执行卖出")*(持仓跟踪!$Y$2:$Y$501&lt;&gt;"")),持仓跟踪!$Y$2:$Y$501),""))</f>
        <v/>
      </c>
      <c r="L117" s="33">
        <f>IF(A117="","",IFERROR(LOOKUP(2,1/((持仓跟踪!$B$2:$B$501=A117)*(持仓跟踪!$X$2:$X$501="执行卖出")*(持仓跟踪!$Z$2:$Z$501&lt;&gt;"")),持仓跟踪!$Z$2:$Z$501),""))</f>
        <v/>
      </c>
      <c r="M117" s="47">
        <f>IF(A117="","",IFERROR(LOOKUP(2,1/((持仓跟踪!$B$2:$B$501=A117)*(持仓跟踪!$X$2:$X$501="执行卖出")*(持仓跟踪!$H$2:$H$501&lt;&gt;"")),持仓跟踪!$H$2:$H$501),""))</f>
        <v/>
      </c>
      <c r="N117" s="40" t="n"/>
      <c r="O117" s="40" t="n"/>
      <c r="P117" s="46">
        <f>IF(A117="","",IFERROR(LOOKUP(2,1/((持仓跟踪!$B$2:$B$501=A117)*(持仓跟踪!$X$2:$X$501="执行卖出")*(持仓跟踪!$AA$2:$AA$501&lt;&gt;"")),持仓跟踪!$AA$2:$AA$501),""))</f>
        <v/>
      </c>
      <c r="Q117" s="2" t="n"/>
      <c r="R117" s="2" t="n"/>
      <c r="S117" s="2" t="n"/>
      <c r="T117" s="2" t="n"/>
      <c r="U117" s="7">
        <f>IF(OR(AO117="",J117="",AO117&lt;=0),"",(J117-AO117)/AO117)</f>
        <v/>
      </c>
      <c r="V117" s="7">
        <f>IF(OR(AO117="",N117="",AO117&lt;=0),"",(AO117-N117)/AO117)</f>
        <v/>
      </c>
      <c r="W117" s="13">
        <f>IF(OR(U117="",V117="",V117&lt;=0),"",U117/V117)</f>
        <v/>
      </c>
      <c r="X117" s="42">
        <f>IF(OR(K117="",L117="",AP117=""),"",K117*L117-(E117*H117+IF(AND(AK117&lt;&gt;"",AL117&lt;&gt;""),AK117*AL117,0)+IF(AND(AM117&lt;&gt;"",AN117&lt;&gt;""),AM117*AN117,0))-IF(O117="",0,O117)-IF(P117="",0,P117))</f>
        <v/>
      </c>
      <c r="Y117" s="7">
        <f>IF(OR(X117="",AP117=""),"",IF((E117*H117+IF(AND(AK117&lt;&gt;"",AL117&lt;&gt;""),AK117*AL117,0)+IF(AND(AM117&lt;&gt;"",AN117&lt;&gt;""),AM117*AN117,0))+IF(O117="",0,O117)&lt;=0,"",X117/((E117*H117+IF(AND(AK117&lt;&gt;"",AL117&lt;&gt;""),AK117*AL117,0)+IF(AND(AM117&lt;&gt;"",AN117&lt;&gt;""),AM117*AN117,0))+IF(O117="",0,O117))))</f>
        <v/>
      </c>
      <c r="Z117" s="7">
        <f>IF(OR(AE117="",多次统计数据!$B$8=""),"",AE117-多次统计数据!$B$8)</f>
        <v/>
      </c>
      <c r="AA117" s="14">
        <f>IF(OR(I117="",M117="",M117&lt;I117),"",M117-I117)</f>
        <v/>
      </c>
      <c r="AB117" s="7">
        <f>IF(OR(A117="",多次统计数据!$B$8="",多次统计数据!$B$6&lt;=0,多次统计数据!$B$6&gt;=1),"",1-POWER(1+多次统计数据!$B$8,-多次统计数据!$B$6/(1-多次统计数据!$B$6)))</f>
        <v/>
      </c>
      <c r="AC117" s="8">
        <f>IF(OR(AB117="",多次统计数据!$B$9=""),"",IF(多次统计数据!$B$9&lt;AB117,"低于上限","达到或超过上限"))</f>
        <v/>
      </c>
      <c r="AD117" s="2" t="n"/>
      <c r="AE117" s="7">
        <f>IF(OR(X117="",C117="",C117&lt;=0),"",X117/C117)</f>
        <v/>
      </c>
      <c r="AG117" s="28" t="n"/>
      <c r="AH117" s="28" t="n"/>
      <c r="AI117" s="28" t="n"/>
      <c r="AJ117" s="31">
        <f>IF(OR(AG117="",AH117=""),"",IF(OR(AND(AG117="短期博反弹",OR(AH117="1～3个交易日",AH117="4～10个交易日")),AND(AG117="突破冲新高",OR(AH117="4～10个交易日",AH117="11～20个交易日")),AND(AG117="趋势波段",OR(AH117="11～20个交易日",AH117="21～60个交易日",AH117="60个交易日以上"))),"匹配","周期与交易预期不匹配，请重新确认"))</f>
        <v/>
      </c>
      <c r="AK117" s="43" t="n"/>
      <c r="AL117" s="27" t="n"/>
      <c r="AM117" s="43" t="n"/>
      <c r="AN117" s="27" t="n"/>
      <c r="AO117" s="44">
        <f>IF(OR(A117="",H117="",H117&lt;=0),"",(E117*H117+IF(AND(AK117&lt;&gt;"",AL117&lt;&gt;""),AK117*AL117,0)+IF(AND(AM117&lt;&gt;"",AN117&lt;&gt;""),AM117*AN117,0))/AP117)</f>
        <v/>
      </c>
      <c r="AP117" s="26">
        <f>IF(OR(A117="",H117="",H117&lt;=0),"",H117+IF(AL117="",0,AL117)+IF(AN117="",0,AN117))</f>
        <v/>
      </c>
      <c r="AQ117" s="44">
        <f>IF(A117="","",IF(M117&lt;&gt;"",0,IF(OR(H117="",N117=""),"",MAX(E117-MAX(N117,IFERROR(AGGREGATE(14,6,'持仓跟踪'!$S$2:$S$501/(('持仓跟踪'!$A$2:$A$501="每日跟踪")*('持仓跟踪'!$B$2:$B$501=A117)),1),0)),0)*H117+IF(OR(AK117="",AL117=""),0,MAX(AK117-MAX(N117,IFERROR(AGGREGATE(14,6,'持仓跟踪'!$S$2:$S$501/(('持仓跟踪'!$A$2:$A$501="每日跟踪")*('持仓跟踪'!$B$2:$B$501=A117)),1),0)),0)*AL117)+IF(OR(AM117="",AN117=""),0,MAX(AM117-MAX(N117,IFERROR(AGGREGATE(14,6,'持仓跟踪'!$S$2:$S$501/(('持仓跟踪'!$A$2:$A$501="每日跟踪")*('持仓跟踪'!$B$2:$B$501=A117)),1),0)),0)*AN117))))</f>
        <v/>
      </c>
      <c r="AR117" s="31">
        <f>IF(A117="","",IF(OR(E117="",H117=""),"违规：第一批价格或股数缺失",IF(OR(AND(AK117="",AL117&lt;&gt;""),AND(AK117&lt;&gt;"",AL117="")),"违规：第二批价格与股数须成对填写",IF(OR(AND(AM117="",AN117&lt;&gt;""),AND(AM117&lt;&gt;"",AN117="")),"违规：第三批价格与股数须成对填写",IF(AND(OR(AM117&lt;&gt;"",AN117&lt;&gt;""),OR(AK117="",AL117="")),"违规：必须先完成第二批",IF(OR(H117&lt;=0,H117&lt;&gt;INT(H117),MOD(H117,100)&lt;&gt;0,AND(AL117&lt;&gt;"",OR(AL117&lt;=0,AL117&lt;&gt;INT(AL117),MOD(AL117,100)&lt;&gt;0)),AND(AN117&lt;&gt;"",OR(AN117&lt;=0,AN117&lt;&gt;INT(AN117),MOD(AN117,100)&lt;&gt;0))),"违规：股数须为100股整数倍",IF(AND(OR(AL117&lt;&gt;"",AN117&lt;&gt;""),OR(_LockStatus="已锁仓",_LockStatus="解锁信息不完整")),"违规：锁仓期间禁止加仓",IF(AQ117&gt;C117*D117,"违规：超过单笔风险上限",IF(SUM($AQ$2:$AQ$201)&gt;账户数据!$B$7,"违规：超过账户风险上限","通过")))))))))</f>
        <v/>
      </c>
    </row>
    <row r="118">
      <c r="A118" s="2" t="n"/>
      <c r="B118" s="2" t="n"/>
      <c r="C118" s="40" t="n"/>
      <c r="D118" s="6" t="n"/>
      <c r="E118" s="40" t="n"/>
      <c r="F118" s="8">
        <f>IF(OR(C118="",D118="",E118="",N118="",C118&lt;=0,D118&lt;=0,E118&lt;=N118),"",ROUNDDOWN((C118*D118)/(E118-N118)/100,0)*100)</f>
        <v/>
      </c>
      <c r="G118" s="8">
        <f>IF(A118="","",IF(H118&lt;&gt;"","已开仓",IF(账户数据!$B$23="已锁仓","禁止开仓：连续亏损达到上限",IF(账户数据!$B$23="解锁信息不完整","禁止开仓：请完整填写解锁信息",IF(OR(F118="",E118="",N118="",E118&lt;=N118,账户数据!$B$7=""),"",IF(OR(AG118="",AH118="",AI118=""),"禁止开仓：交易预期未填写完整",IF(COUNTIFS(持仓跟踪!$A$2:$A$501,"止损计划",持仓跟踪!$B$2:$B$501,A118,持仓跟踪!$AC$2:$AC$501,"计划有效")=0,"禁止开仓：请先填写止损计划",IF(账户数据!$B$9+F118*(E118-N118)&gt;=账户数据!$B$7,"禁止开仓：风险额度不足",IF(AJ118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8" s="2" t="n"/>
      <c r="I118" s="41" t="n"/>
      <c r="J118" s="40" t="n"/>
      <c r="K118" s="46">
        <f>IF(A118="","",IFERROR(LOOKUP(2,1/((持仓跟踪!$B$2:$B$501=A118)*(持仓跟踪!$X$2:$X$501="执行卖出")*(持仓跟踪!$Y$2:$Y$501&lt;&gt;"")),持仓跟踪!$Y$2:$Y$501),""))</f>
        <v/>
      </c>
      <c r="L118" s="33">
        <f>IF(A118="","",IFERROR(LOOKUP(2,1/((持仓跟踪!$B$2:$B$501=A118)*(持仓跟踪!$X$2:$X$501="执行卖出")*(持仓跟踪!$Z$2:$Z$501&lt;&gt;"")),持仓跟踪!$Z$2:$Z$501),""))</f>
        <v/>
      </c>
      <c r="M118" s="47">
        <f>IF(A118="","",IFERROR(LOOKUP(2,1/((持仓跟踪!$B$2:$B$501=A118)*(持仓跟踪!$X$2:$X$501="执行卖出")*(持仓跟踪!$H$2:$H$501&lt;&gt;"")),持仓跟踪!$H$2:$H$501),""))</f>
        <v/>
      </c>
      <c r="N118" s="40" t="n"/>
      <c r="O118" s="40" t="n"/>
      <c r="P118" s="46">
        <f>IF(A118="","",IFERROR(LOOKUP(2,1/((持仓跟踪!$B$2:$B$501=A118)*(持仓跟踪!$X$2:$X$501="执行卖出")*(持仓跟踪!$AA$2:$AA$501&lt;&gt;"")),持仓跟踪!$AA$2:$AA$501),""))</f>
        <v/>
      </c>
      <c r="Q118" s="2" t="n"/>
      <c r="R118" s="2" t="n"/>
      <c r="S118" s="2" t="n"/>
      <c r="T118" s="2" t="n"/>
      <c r="U118" s="7">
        <f>IF(OR(AO118="",J118="",AO118&lt;=0),"",(J118-AO118)/AO118)</f>
        <v/>
      </c>
      <c r="V118" s="7">
        <f>IF(OR(AO118="",N118="",AO118&lt;=0),"",(AO118-N118)/AO118)</f>
        <v/>
      </c>
      <c r="W118" s="13">
        <f>IF(OR(U118="",V118="",V118&lt;=0),"",U118/V118)</f>
        <v/>
      </c>
      <c r="X118" s="42">
        <f>IF(OR(K118="",L118="",AP118=""),"",K118*L118-(E118*H118+IF(AND(AK118&lt;&gt;"",AL118&lt;&gt;""),AK118*AL118,0)+IF(AND(AM118&lt;&gt;"",AN118&lt;&gt;""),AM118*AN118,0))-IF(O118="",0,O118)-IF(P118="",0,P118))</f>
        <v/>
      </c>
      <c r="Y118" s="7">
        <f>IF(OR(X118="",AP118=""),"",IF((E118*H118+IF(AND(AK118&lt;&gt;"",AL118&lt;&gt;""),AK118*AL118,0)+IF(AND(AM118&lt;&gt;"",AN118&lt;&gt;""),AM118*AN118,0))+IF(O118="",0,O118)&lt;=0,"",X118/((E118*H118+IF(AND(AK118&lt;&gt;"",AL118&lt;&gt;""),AK118*AL118,0)+IF(AND(AM118&lt;&gt;"",AN118&lt;&gt;""),AM118*AN118,0))+IF(O118="",0,O118))))</f>
        <v/>
      </c>
      <c r="Z118" s="7">
        <f>IF(OR(AE118="",多次统计数据!$B$8=""),"",AE118-多次统计数据!$B$8)</f>
        <v/>
      </c>
      <c r="AA118" s="14">
        <f>IF(OR(I118="",M118="",M118&lt;I118),"",M118-I118)</f>
        <v/>
      </c>
      <c r="AB118" s="7">
        <f>IF(OR(A118="",多次统计数据!$B$8="",多次统计数据!$B$6&lt;=0,多次统计数据!$B$6&gt;=1),"",1-POWER(1+多次统计数据!$B$8,-多次统计数据!$B$6/(1-多次统计数据!$B$6)))</f>
        <v/>
      </c>
      <c r="AC118" s="8">
        <f>IF(OR(AB118="",多次统计数据!$B$9=""),"",IF(多次统计数据!$B$9&lt;AB118,"低于上限","达到或超过上限"))</f>
        <v/>
      </c>
      <c r="AD118" s="2" t="n"/>
      <c r="AE118" s="7">
        <f>IF(OR(X118="",C118="",C118&lt;=0),"",X118/C118)</f>
        <v/>
      </c>
      <c r="AG118" s="28" t="n"/>
      <c r="AH118" s="28" t="n"/>
      <c r="AI118" s="28" t="n"/>
      <c r="AJ118" s="31">
        <f>IF(OR(AG118="",AH118=""),"",IF(OR(AND(AG118="短期博反弹",OR(AH118="1～3个交易日",AH118="4～10个交易日")),AND(AG118="突破冲新高",OR(AH118="4～10个交易日",AH118="11～20个交易日")),AND(AG118="趋势波段",OR(AH118="11～20个交易日",AH118="21～60个交易日",AH118="60个交易日以上"))),"匹配","周期与交易预期不匹配，请重新确认"))</f>
        <v/>
      </c>
      <c r="AK118" s="43" t="n"/>
      <c r="AL118" s="27" t="n"/>
      <c r="AM118" s="43" t="n"/>
      <c r="AN118" s="27" t="n"/>
      <c r="AO118" s="44">
        <f>IF(OR(A118="",H118="",H118&lt;=0),"",(E118*H118+IF(AND(AK118&lt;&gt;"",AL118&lt;&gt;""),AK118*AL118,0)+IF(AND(AM118&lt;&gt;"",AN118&lt;&gt;""),AM118*AN118,0))/AP118)</f>
        <v/>
      </c>
      <c r="AP118" s="26">
        <f>IF(OR(A118="",H118="",H118&lt;=0),"",H118+IF(AL118="",0,AL118)+IF(AN118="",0,AN118))</f>
        <v/>
      </c>
      <c r="AQ118" s="44">
        <f>IF(A118="","",IF(M118&lt;&gt;"",0,IF(OR(H118="",N118=""),"",MAX(E118-MAX(N118,IFERROR(AGGREGATE(14,6,'持仓跟踪'!$S$2:$S$501/(('持仓跟踪'!$A$2:$A$501="每日跟踪")*('持仓跟踪'!$B$2:$B$501=A118)),1),0)),0)*H118+IF(OR(AK118="",AL118=""),0,MAX(AK118-MAX(N118,IFERROR(AGGREGATE(14,6,'持仓跟踪'!$S$2:$S$501/(('持仓跟踪'!$A$2:$A$501="每日跟踪")*('持仓跟踪'!$B$2:$B$501=A118)),1),0)),0)*AL118)+IF(OR(AM118="",AN118=""),0,MAX(AM118-MAX(N118,IFERROR(AGGREGATE(14,6,'持仓跟踪'!$S$2:$S$501/(('持仓跟踪'!$A$2:$A$501="每日跟踪")*('持仓跟踪'!$B$2:$B$501=A118)),1),0)),0)*AN118))))</f>
        <v/>
      </c>
      <c r="AR118" s="31">
        <f>IF(A118="","",IF(OR(E118="",H118=""),"违规：第一批价格或股数缺失",IF(OR(AND(AK118="",AL118&lt;&gt;""),AND(AK118&lt;&gt;"",AL118="")),"违规：第二批价格与股数须成对填写",IF(OR(AND(AM118="",AN118&lt;&gt;""),AND(AM118&lt;&gt;"",AN118="")),"违规：第三批价格与股数须成对填写",IF(AND(OR(AM118&lt;&gt;"",AN118&lt;&gt;""),OR(AK118="",AL118="")),"违规：必须先完成第二批",IF(OR(H118&lt;=0,H118&lt;&gt;INT(H118),MOD(H118,100)&lt;&gt;0,AND(AL118&lt;&gt;"",OR(AL118&lt;=0,AL118&lt;&gt;INT(AL118),MOD(AL118,100)&lt;&gt;0)),AND(AN118&lt;&gt;"",OR(AN118&lt;=0,AN118&lt;&gt;INT(AN118),MOD(AN118,100)&lt;&gt;0))),"违规：股数须为100股整数倍",IF(AND(OR(AL118&lt;&gt;"",AN118&lt;&gt;""),OR(_LockStatus="已锁仓",_LockStatus="解锁信息不完整")),"违规：锁仓期间禁止加仓",IF(AQ118&gt;C118*D118,"违规：超过单笔风险上限",IF(SUM($AQ$2:$AQ$201)&gt;账户数据!$B$7,"违规：超过账户风险上限","通过")))))))))</f>
        <v/>
      </c>
    </row>
    <row r="119">
      <c r="A119" s="2" t="n"/>
      <c r="B119" s="2" t="n"/>
      <c r="C119" s="40" t="n"/>
      <c r="D119" s="6" t="n"/>
      <c r="E119" s="40" t="n"/>
      <c r="F119" s="8">
        <f>IF(OR(C119="",D119="",E119="",N119="",C119&lt;=0,D119&lt;=0,E119&lt;=N119),"",ROUNDDOWN((C119*D119)/(E119-N119)/100,0)*100)</f>
        <v/>
      </c>
      <c r="G119" s="8">
        <f>IF(A119="","",IF(H119&lt;&gt;"","已开仓",IF(账户数据!$B$23="已锁仓","禁止开仓：连续亏损达到上限",IF(账户数据!$B$23="解锁信息不完整","禁止开仓：请完整填写解锁信息",IF(OR(F119="",E119="",N119="",E119&lt;=N119,账户数据!$B$7=""),"",IF(OR(AG119="",AH119="",AI119=""),"禁止开仓：交易预期未填写完整",IF(COUNTIFS(持仓跟踪!$A$2:$A$501,"止损计划",持仓跟踪!$B$2:$B$501,A119,持仓跟踪!$AC$2:$AC$501,"计划有效")=0,"禁止开仓：请先填写止损计划",IF(账户数据!$B$9+F119*(E119-N119)&gt;=账户数据!$B$7,"禁止开仓：风险额度不足",IF(AJ119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19" s="2" t="n"/>
      <c r="I119" s="41" t="n"/>
      <c r="J119" s="40" t="n"/>
      <c r="K119" s="46">
        <f>IF(A119="","",IFERROR(LOOKUP(2,1/((持仓跟踪!$B$2:$B$501=A119)*(持仓跟踪!$X$2:$X$501="执行卖出")*(持仓跟踪!$Y$2:$Y$501&lt;&gt;"")),持仓跟踪!$Y$2:$Y$501),""))</f>
        <v/>
      </c>
      <c r="L119" s="33">
        <f>IF(A119="","",IFERROR(LOOKUP(2,1/((持仓跟踪!$B$2:$B$501=A119)*(持仓跟踪!$X$2:$X$501="执行卖出")*(持仓跟踪!$Z$2:$Z$501&lt;&gt;"")),持仓跟踪!$Z$2:$Z$501),""))</f>
        <v/>
      </c>
      <c r="M119" s="47">
        <f>IF(A119="","",IFERROR(LOOKUP(2,1/((持仓跟踪!$B$2:$B$501=A119)*(持仓跟踪!$X$2:$X$501="执行卖出")*(持仓跟踪!$H$2:$H$501&lt;&gt;"")),持仓跟踪!$H$2:$H$501),""))</f>
        <v/>
      </c>
      <c r="N119" s="40" t="n"/>
      <c r="O119" s="40" t="n"/>
      <c r="P119" s="46">
        <f>IF(A119="","",IFERROR(LOOKUP(2,1/((持仓跟踪!$B$2:$B$501=A119)*(持仓跟踪!$X$2:$X$501="执行卖出")*(持仓跟踪!$AA$2:$AA$501&lt;&gt;"")),持仓跟踪!$AA$2:$AA$501),""))</f>
        <v/>
      </c>
      <c r="Q119" s="2" t="n"/>
      <c r="R119" s="2" t="n"/>
      <c r="S119" s="2" t="n"/>
      <c r="T119" s="2" t="n"/>
      <c r="U119" s="7">
        <f>IF(OR(AO119="",J119="",AO119&lt;=0),"",(J119-AO119)/AO119)</f>
        <v/>
      </c>
      <c r="V119" s="7">
        <f>IF(OR(AO119="",N119="",AO119&lt;=0),"",(AO119-N119)/AO119)</f>
        <v/>
      </c>
      <c r="W119" s="13">
        <f>IF(OR(U119="",V119="",V119&lt;=0),"",U119/V119)</f>
        <v/>
      </c>
      <c r="X119" s="42">
        <f>IF(OR(K119="",L119="",AP119=""),"",K119*L119-(E119*H119+IF(AND(AK119&lt;&gt;"",AL119&lt;&gt;""),AK119*AL119,0)+IF(AND(AM119&lt;&gt;"",AN119&lt;&gt;""),AM119*AN119,0))-IF(O119="",0,O119)-IF(P119="",0,P119))</f>
        <v/>
      </c>
      <c r="Y119" s="7">
        <f>IF(OR(X119="",AP119=""),"",IF((E119*H119+IF(AND(AK119&lt;&gt;"",AL119&lt;&gt;""),AK119*AL119,0)+IF(AND(AM119&lt;&gt;"",AN119&lt;&gt;""),AM119*AN119,0))+IF(O119="",0,O119)&lt;=0,"",X119/((E119*H119+IF(AND(AK119&lt;&gt;"",AL119&lt;&gt;""),AK119*AL119,0)+IF(AND(AM119&lt;&gt;"",AN119&lt;&gt;""),AM119*AN119,0))+IF(O119="",0,O119))))</f>
        <v/>
      </c>
      <c r="Z119" s="7">
        <f>IF(OR(AE119="",多次统计数据!$B$8=""),"",AE119-多次统计数据!$B$8)</f>
        <v/>
      </c>
      <c r="AA119" s="14">
        <f>IF(OR(I119="",M119="",M119&lt;I119),"",M119-I119)</f>
        <v/>
      </c>
      <c r="AB119" s="7">
        <f>IF(OR(A119="",多次统计数据!$B$8="",多次统计数据!$B$6&lt;=0,多次统计数据!$B$6&gt;=1),"",1-POWER(1+多次统计数据!$B$8,-多次统计数据!$B$6/(1-多次统计数据!$B$6)))</f>
        <v/>
      </c>
      <c r="AC119" s="8">
        <f>IF(OR(AB119="",多次统计数据!$B$9=""),"",IF(多次统计数据!$B$9&lt;AB119,"低于上限","达到或超过上限"))</f>
        <v/>
      </c>
      <c r="AD119" s="2" t="n"/>
      <c r="AE119" s="7">
        <f>IF(OR(X119="",C119="",C119&lt;=0),"",X119/C119)</f>
        <v/>
      </c>
      <c r="AG119" s="28" t="n"/>
      <c r="AH119" s="28" t="n"/>
      <c r="AI119" s="28" t="n"/>
      <c r="AJ119" s="31">
        <f>IF(OR(AG119="",AH119=""),"",IF(OR(AND(AG119="短期博反弹",OR(AH119="1～3个交易日",AH119="4～10个交易日")),AND(AG119="突破冲新高",OR(AH119="4～10个交易日",AH119="11～20个交易日")),AND(AG119="趋势波段",OR(AH119="11～20个交易日",AH119="21～60个交易日",AH119="60个交易日以上"))),"匹配","周期与交易预期不匹配，请重新确认"))</f>
        <v/>
      </c>
      <c r="AK119" s="43" t="n"/>
      <c r="AL119" s="27" t="n"/>
      <c r="AM119" s="43" t="n"/>
      <c r="AN119" s="27" t="n"/>
      <c r="AO119" s="44">
        <f>IF(OR(A119="",H119="",H119&lt;=0),"",(E119*H119+IF(AND(AK119&lt;&gt;"",AL119&lt;&gt;""),AK119*AL119,0)+IF(AND(AM119&lt;&gt;"",AN119&lt;&gt;""),AM119*AN119,0))/AP119)</f>
        <v/>
      </c>
      <c r="AP119" s="26">
        <f>IF(OR(A119="",H119="",H119&lt;=0),"",H119+IF(AL119="",0,AL119)+IF(AN119="",0,AN119))</f>
        <v/>
      </c>
      <c r="AQ119" s="44">
        <f>IF(A119="","",IF(M119&lt;&gt;"",0,IF(OR(H119="",N119=""),"",MAX(E119-MAX(N119,IFERROR(AGGREGATE(14,6,'持仓跟踪'!$S$2:$S$501/(('持仓跟踪'!$A$2:$A$501="每日跟踪")*('持仓跟踪'!$B$2:$B$501=A119)),1),0)),0)*H119+IF(OR(AK119="",AL119=""),0,MAX(AK119-MAX(N119,IFERROR(AGGREGATE(14,6,'持仓跟踪'!$S$2:$S$501/(('持仓跟踪'!$A$2:$A$501="每日跟踪")*('持仓跟踪'!$B$2:$B$501=A119)),1),0)),0)*AL119)+IF(OR(AM119="",AN119=""),0,MAX(AM119-MAX(N119,IFERROR(AGGREGATE(14,6,'持仓跟踪'!$S$2:$S$501/(('持仓跟踪'!$A$2:$A$501="每日跟踪")*('持仓跟踪'!$B$2:$B$501=A119)),1),0)),0)*AN119))))</f>
        <v/>
      </c>
      <c r="AR119" s="31">
        <f>IF(A119="","",IF(OR(E119="",H119=""),"违规：第一批价格或股数缺失",IF(OR(AND(AK119="",AL119&lt;&gt;""),AND(AK119&lt;&gt;"",AL119="")),"违规：第二批价格与股数须成对填写",IF(OR(AND(AM119="",AN119&lt;&gt;""),AND(AM119&lt;&gt;"",AN119="")),"违规：第三批价格与股数须成对填写",IF(AND(OR(AM119&lt;&gt;"",AN119&lt;&gt;""),OR(AK119="",AL119="")),"违规：必须先完成第二批",IF(OR(H119&lt;=0,H119&lt;&gt;INT(H119),MOD(H119,100)&lt;&gt;0,AND(AL119&lt;&gt;"",OR(AL119&lt;=0,AL119&lt;&gt;INT(AL119),MOD(AL119,100)&lt;&gt;0)),AND(AN119&lt;&gt;"",OR(AN119&lt;=0,AN119&lt;&gt;INT(AN119),MOD(AN119,100)&lt;&gt;0))),"违规：股数须为100股整数倍",IF(AND(OR(AL119&lt;&gt;"",AN119&lt;&gt;""),OR(_LockStatus="已锁仓",_LockStatus="解锁信息不完整")),"违规：锁仓期间禁止加仓",IF(AQ119&gt;C119*D119,"违规：超过单笔风险上限",IF(SUM($AQ$2:$AQ$201)&gt;账户数据!$B$7,"违规：超过账户风险上限","通过")))))))))</f>
        <v/>
      </c>
    </row>
    <row r="120">
      <c r="A120" s="2" t="n"/>
      <c r="B120" s="2" t="n"/>
      <c r="C120" s="40" t="n"/>
      <c r="D120" s="6" t="n"/>
      <c r="E120" s="40" t="n"/>
      <c r="F120" s="8">
        <f>IF(OR(C120="",D120="",E120="",N120="",C120&lt;=0,D120&lt;=0,E120&lt;=N120),"",ROUNDDOWN((C120*D120)/(E120-N120)/100,0)*100)</f>
        <v/>
      </c>
      <c r="G120" s="8">
        <f>IF(A120="","",IF(H120&lt;&gt;"","已开仓",IF(账户数据!$B$23="已锁仓","禁止开仓：连续亏损达到上限",IF(账户数据!$B$23="解锁信息不完整","禁止开仓：请完整填写解锁信息",IF(OR(F120="",E120="",N120="",E120&lt;=N120,账户数据!$B$7=""),"",IF(OR(AG120="",AH120="",AI120=""),"禁止开仓：交易预期未填写完整",IF(COUNTIFS(持仓跟踪!$A$2:$A$501,"止损计划",持仓跟踪!$B$2:$B$501,A120,持仓跟踪!$AC$2:$AC$501,"计划有效")=0,"禁止开仓：请先填写止损计划",IF(账户数据!$B$9+F120*(E120-N120)&gt;=账户数据!$B$7,"禁止开仓：风险额度不足",IF(AJ120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0" s="2" t="n"/>
      <c r="I120" s="41" t="n"/>
      <c r="J120" s="40" t="n"/>
      <c r="K120" s="46">
        <f>IF(A120="","",IFERROR(LOOKUP(2,1/((持仓跟踪!$B$2:$B$501=A120)*(持仓跟踪!$X$2:$X$501="执行卖出")*(持仓跟踪!$Y$2:$Y$501&lt;&gt;"")),持仓跟踪!$Y$2:$Y$501),""))</f>
        <v/>
      </c>
      <c r="L120" s="33">
        <f>IF(A120="","",IFERROR(LOOKUP(2,1/((持仓跟踪!$B$2:$B$501=A120)*(持仓跟踪!$X$2:$X$501="执行卖出")*(持仓跟踪!$Z$2:$Z$501&lt;&gt;"")),持仓跟踪!$Z$2:$Z$501),""))</f>
        <v/>
      </c>
      <c r="M120" s="47">
        <f>IF(A120="","",IFERROR(LOOKUP(2,1/((持仓跟踪!$B$2:$B$501=A120)*(持仓跟踪!$X$2:$X$501="执行卖出")*(持仓跟踪!$H$2:$H$501&lt;&gt;"")),持仓跟踪!$H$2:$H$501),""))</f>
        <v/>
      </c>
      <c r="N120" s="40" t="n"/>
      <c r="O120" s="40" t="n"/>
      <c r="P120" s="46">
        <f>IF(A120="","",IFERROR(LOOKUP(2,1/((持仓跟踪!$B$2:$B$501=A120)*(持仓跟踪!$X$2:$X$501="执行卖出")*(持仓跟踪!$AA$2:$AA$501&lt;&gt;"")),持仓跟踪!$AA$2:$AA$501),""))</f>
        <v/>
      </c>
      <c r="Q120" s="2" t="n"/>
      <c r="R120" s="2" t="n"/>
      <c r="S120" s="2" t="n"/>
      <c r="T120" s="2" t="n"/>
      <c r="U120" s="7">
        <f>IF(OR(AO120="",J120="",AO120&lt;=0),"",(J120-AO120)/AO120)</f>
        <v/>
      </c>
      <c r="V120" s="7">
        <f>IF(OR(AO120="",N120="",AO120&lt;=0),"",(AO120-N120)/AO120)</f>
        <v/>
      </c>
      <c r="W120" s="13">
        <f>IF(OR(U120="",V120="",V120&lt;=0),"",U120/V120)</f>
        <v/>
      </c>
      <c r="X120" s="42">
        <f>IF(OR(K120="",L120="",AP120=""),"",K120*L120-(E120*H120+IF(AND(AK120&lt;&gt;"",AL120&lt;&gt;""),AK120*AL120,0)+IF(AND(AM120&lt;&gt;"",AN120&lt;&gt;""),AM120*AN120,0))-IF(O120="",0,O120)-IF(P120="",0,P120))</f>
        <v/>
      </c>
      <c r="Y120" s="7">
        <f>IF(OR(X120="",AP120=""),"",IF((E120*H120+IF(AND(AK120&lt;&gt;"",AL120&lt;&gt;""),AK120*AL120,0)+IF(AND(AM120&lt;&gt;"",AN120&lt;&gt;""),AM120*AN120,0))+IF(O120="",0,O120)&lt;=0,"",X120/((E120*H120+IF(AND(AK120&lt;&gt;"",AL120&lt;&gt;""),AK120*AL120,0)+IF(AND(AM120&lt;&gt;"",AN120&lt;&gt;""),AM120*AN120,0))+IF(O120="",0,O120))))</f>
        <v/>
      </c>
      <c r="Z120" s="7">
        <f>IF(OR(AE120="",多次统计数据!$B$8=""),"",AE120-多次统计数据!$B$8)</f>
        <v/>
      </c>
      <c r="AA120" s="14">
        <f>IF(OR(I120="",M120="",M120&lt;I120),"",M120-I120)</f>
        <v/>
      </c>
      <c r="AB120" s="7">
        <f>IF(OR(A120="",多次统计数据!$B$8="",多次统计数据!$B$6&lt;=0,多次统计数据!$B$6&gt;=1),"",1-POWER(1+多次统计数据!$B$8,-多次统计数据!$B$6/(1-多次统计数据!$B$6)))</f>
        <v/>
      </c>
      <c r="AC120" s="8">
        <f>IF(OR(AB120="",多次统计数据!$B$9=""),"",IF(多次统计数据!$B$9&lt;AB120,"低于上限","达到或超过上限"))</f>
        <v/>
      </c>
      <c r="AD120" s="2" t="n"/>
      <c r="AE120" s="7">
        <f>IF(OR(X120="",C120="",C120&lt;=0),"",X120/C120)</f>
        <v/>
      </c>
      <c r="AG120" s="28" t="n"/>
      <c r="AH120" s="28" t="n"/>
      <c r="AI120" s="28" t="n"/>
      <c r="AJ120" s="31">
        <f>IF(OR(AG120="",AH120=""),"",IF(OR(AND(AG120="短期博反弹",OR(AH120="1～3个交易日",AH120="4～10个交易日")),AND(AG120="突破冲新高",OR(AH120="4～10个交易日",AH120="11～20个交易日")),AND(AG120="趋势波段",OR(AH120="11～20个交易日",AH120="21～60个交易日",AH120="60个交易日以上"))),"匹配","周期与交易预期不匹配，请重新确认"))</f>
        <v/>
      </c>
      <c r="AK120" s="43" t="n"/>
      <c r="AL120" s="27" t="n"/>
      <c r="AM120" s="43" t="n"/>
      <c r="AN120" s="27" t="n"/>
      <c r="AO120" s="44">
        <f>IF(OR(A120="",H120="",H120&lt;=0),"",(E120*H120+IF(AND(AK120&lt;&gt;"",AL120&lt;&gt;""),AK120*AL120,0)+IF(AND(AM120&lt;&gt;"",AN120&lt;&gt;""),AM120*AN120,0))/AP120)</f>
        <v/>
      </c>
      <c r="AP120" s="26">
        <f>IF(OR(A120="",H120="",H120&lt;=0),"",H120+IF(AL120="",0,AL120)+IF(AN120="",0,AN120))</f>
        <v/>
      </c>
      <c r="AQ120" s="44">
        <f>IF(A120="","",IF(M120&lt;&gt;"",0,IF(OR(H120="",N120=""),"",MAX(E120-MAX(N120,IFERROR(AGGREGATE(14,6,'持仓跟踪'!$S$2:$S$501/(('持仓跟踪'!$A$2:$A$501="每日跟踪")*('持仓跟踪'!$B$2:$B$501=A120)),1),0)),0)*H120+IF(OR(AK120="",AL120=""),0,MAX(AK120-MAX(N120,IFERROR(AGGREGATE(14,6,'持仓跟踪'!$S$2:$S$501/(('持仓跟踪'!$A$2:$A$501="每日跟踪")*('持仓跟踪'!$B$2:$B$501=A120)),1),0)),0)*AL120)+IF(OR(AM120="",AN120=""),0,MAX(AM120-MAX(N120,IFERROR(AGGREGATE(14,6,'持仓跟踪'!$S$2:$S$501/(('持仓跟踪'!$A$2:$A$501="每日跟踪")*('持仓跟踪'!$B$2:$B$501=A120)),1),0)),0)*AN120))))</f>
        <v/>
      </c>
      <c r="AR120" s="31">
        <f>IF(A120="","",IF(OR(E120="",H120=""),"违规：第一批价格或股数缺失",IF(OR(AND(AK120="",AL120&lt;&gt;""),AND(AK120&lt;&gt;"",AL120="")),"违规：第二批价格与股数须成对填写",IF(OR(AND(AM120="",AN120&lt;&gt;""),AND(AM120&lt;&gt;"",AN120="")),"违规：第三批价格与股数须成对填写",IF(AND(OR(AM120&lt;&gt;"",AN120&lt;&gt;""),OR(AK120="",AL120="")),"违规：必须先完成第二批",IF(OR(H120&lt;=0,H120&lt;&gt;INT(H120),MOD(H120,100)&lt;&gt;0,AND(AL120&lt;&gt;"",OR(AL120&lt;=0,AL120&lt;&gt;INT(AL120),MOD(AL120,100)&lt;&gt;0)),AND(AN120&lt;&gt;"",OR(AN120&lt;=0,AN120&lt;&gt;INT(AN120),MOD(AN120,100)&lt;&gt;0))),"违规：股数须为100股整数倍",IF(AND(OR(AL120&lt;&gt;"",AN120&lt;&gt;""),OR(_LockStatus="已锁仓",_LockStatus="解锁信息不完整")),"违规：锁仓期间禁止加仓",IF(AQ120&gt;C120*D120,"违规：超过单笔风险上限",IF(SUM($AQ$2:$AQ$201)&gt;账户数据!$B$7,"违规：超过账户风险上限","通过")))))))))</f>
        <v/>
      </c>
    </row>
    <row r="121">
      <c r="A121" s="2" t="n"/>
      <c r="B121" s="2" t="n"/>
      <c r="C121" s="40" t="n"/>
      <c r="D121" s="6" t="n"/>
      <c r="E121" s="40" t="n"/>
      <c r="F121" s="8">
        <f>IF(OR(C121="",D121="",E121="",N121="",C121&lt;=0,D121&lt;=0,E121&lt;=N121),"",ROUNDDOWN((C121*D121)/(E121-N121)/100,0)*100)</f>
        <v/>
      </c>
      <c r="G121" s="8">
        <f>IF(A121="","",IF(H121&lt;&gt;"","已开仓",IF(账户数据!$B$23="已锁仓","禁止开仓：连续亏损达到上限",IF(账户数据!$B$23="解锁信息不完整","禁止开仓：请完整填写解锁信息",IF(OR(F121="",E121="",N121="",E121&lt;=N121,账户数据!$B$7=""),"",IF(OR(AG121="",AH121="",AI121=""),"禁止开仓：交易预期未填写完整",IF(COUNTIFS(持仓跟踪!$A$2:$A$501,"止损计划",持仓跟踪!$B$2:$B$501,A121,持仓跟踪!$AC$2:$AC$501,"计划有效")=0,"禁止开仓：请先填写止损计划",IF(账户数据!$B$9+F121*(E121-N121)&gt;=账户数据!$B$7,"禁止开仓：风险额度不足",IF(AJ121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1" s="2" t="n"/>
      <c r="I121" s="41" t="n"/>
      <c r="J121" s="40" t="n"/>
      <c r="K121" s="46">
        <f>IF(A121="","",IFERROR(LOOKUP(2,1/((持仓跟踪!$B$2:$B$501=A121)*(持仓跟踪!$X$2:$X$501="执行卖出")*(持仓跟踪!$Y$2:$Y$501&lt;&gt;"")),持仓跟踪!$Y$2:$Y$501),""))</f>
        <v/>
      </c>
      <c r="L121" s="33">
        <f>IF(A121="","",IFERROR(LOOKUP(2,1/((持仓跟踪!$B$2:$B$501=A121)*(持仓跟踪!$X$2:$X$501="执行卖出")*(持仓跟踪!$Z$2:$Z$501&lt;&gt;"")),持仓跟踪!$Z$2:$Z$501),""))</f>
        <v/>
      </c>
      <c r="M121" s="47">
        <f>IF(A121="","",IFERROR(LOOKUP(2,1/((持仓跟踪!$B$2:$B$501=A121)*(持仓跟踪!$X$2:$X$501="执行卖出")*(持仓跟踪!$H$2:$H$501&lt;&gt;"")),持仓跟踪!$H$2:$H$501),""))</f>
        <v/>
      </c>
      <c r="N121" s="40" t="n"/>
      <c r="O121" s="40" t="n"/>
      <c r="P121" s="46">
        <f>IF(A121="","",IFERROR(LOOKUP(2,1/((持仓跟踪!$B$2:$B$501=A121)*(持仓跟踪!$X$2:$X$501="执行卖出")*(持仓跟踪!$AA$2:$AA$501&lt;&gt;"")),持仓跟踪!$AA$2:$AA$501),""))</f>
        <v/>
      </c>
      <c r="Q121" s="2" t="n"/>
      <c r="R121" s="2" t="n"/>
      <c r="S121" s="2" t="n"/>
      <c r="T121" s="2" t="n"/>
      <c r="U121" s="7">
        <f>IF(OR(AO121="",J121="",AO121&lt;=0),"",(J121-AO121)/AO121)</f>
        <v/>
      </c>
      <c r="V121" s="7">
        <f>IF(OR(AO121="",N121="",AO121&lt;=0),"",(AO121-N121)/AO121)</f>
        <v/>
      </c>
      <c r="W121" s="13">
        <f>IF(OR(U121="",V121="",V121&lt;=0),"",U121/V121)</f>
        <v/>
      </c>
      <c r="X121" s="42">
        <f>IF(OR(K121="",L121="",AP121=""),"",K121*L121-(E121*H121+IF(AND(AK121&lt;&gt;"",AL121&lt;&gt;""),AK121*AL121,0)+IF(AND(AM121&lt;&gt;"",AN121&lt;&gt;""),AM121*AN121,0))-IF(O121="",0,O121)-IF(P121="",0,P121))</f>
        <v/>
      </c>
      <c r="Y121" s="7">
        <f>IF(OR(X121="",AP121=""),"",IF((E121*H121+IF(AND(AK121&lt;&gt;"",AL121&lt;&gt;""),AK121*AL121,0)+IF(AND(AM121&lt;&gt;"",AN121&lt;&gt;""),AM121*AN121,0))+IF(O121="",0,O121)&lt;=0,"",X121/((E121*H121+IF(AND(AK121&lt;&gt;"",AL121&lt;&gt;""),AK121*AL121,0)+IF(AND(AM121&lt;&gt;"",AN121&lt;&gt;""),AM121*AN121,0))+IF(O121="",0,O121))))</f>
        <v/>
      </c>
      <c r="Z121" s="7">
        <f>IF(OR(AE121="",多次统计数据!$B$8=""),"",AE121-多次统计数据!$B$8)</f>
        <v/>
      </c>
      <c r="AA121" s="14">
        <f>IF(OR(I121="",M121="",M121&lt;I121),"",M121-I121)</f>
        <v/>
      </c>
      <c r="AB121" s="7">
        <f>IF(OR(A121="",多次统计数据!$B$8="",多次统计数据!$B$6&lt;=0,多次统计数据!$B$6&gt;=1),"",1-POWER(1+多次统计数据!$B$8,-多次统计数据!$B$6/(1-多次统计数据!$B$6)))</f>
        <v/>
      </c>
      <c r="AC121" s="8">
        <f>IF(OR(AB121="",多次统计数据!$B$9=""),"",IF(多次统计数据!$B$9&lt;AB121,"低于上限","达到或超过上限"))</f>
        <v/>
      </c>
      <c r="AD121" s="2" t="n"/>
      <c r="AE121" s="7">
        <f>IF(OR(X121="",C121="",C121&lt;=0),"",X121/C121)</f>
        <v/>
      </c>
      <c r="AG121" s="28" t="n"/>
      <c r="AH121" s="28" t="n"/>
      <c r="AI121" s="28" t="n"/>
      <c r="AJ121" s="31">
        <f>IF(OR(AG121="",AH121=""),"",IF(OR(AND(AG121="短期博反弹",OR(AH121="1～3个交易日",AH121="4～10个交易日")),AND(AG121="突破冲新高",OR(AH121="4～10个交易日",AH121="11～20个交易日")),AND(AG121="趋势波段",OR(AH121="11～20个交易日",AH121="21～60个交易日",AH121="60个交易日以上"))),"匹配","周期与交易预期不匹配，请重新确认"))</f>
        <v/>
      </c>
      <c r="AK121" s="43" t="n"/>
      <c r="AL121" s="27" t="n"/>
      <c r="AM121" s="43" t="n"/>
      <c r="AN121" s="27" t="n"/>
      <c r="AO121" s="44">
        <f>IF(OR(A121="",H121="",H121&lt;=0),"",(E121*H121+IF(AND(AK121&lt;&gt;"",AL121&lt;&gt;""),AK121*AL121,0)+IF(AND(AM121&lt;&gt;"",AN121&lt;&gt;""),AM121*AN121,0))/AP121)</f>
        <v/>
      </c>
      <c r="AP121" s="26">
        <f>IF(OR(A121="",H121="",H121&lt;=0),"",H121+IF(AL121="",0,AL121)+IF(AN121="",0,AN121))</f>
        <v/>
      </c>
      <c r="AQ121" s="44">
        <f>IF(A121="","",IF(M121&lt;&gt;"",0,IF(OR(H121="",N121=""),"",MAX(E121-MAX(N121,IFERROR(AGGREGATE(14,6,'持仓跟踪'!$S$2:$S$501/(('持仓跟踪'!$A$2:$A$501="每日跟踪")*('持仓跟踪'!$B$2:$B$501=A121)),1),0)),0)*H121+IF(OR(AK121="",AL121=""),0,MAX(AK121-MAX(N121,IFERROR(AGGREGATE(14,6,'持仓跟踪'!$S$2:$S$501/(('持仓跟踪'!$A$2:$A$501="每日跟踪")*('持仓跟踪'!$B$2:$B$501=A121)),1),0)),0)*AL121)+IF(OR(AM121="",AN121=""),0,MAX(AM121-MAX(N121,IFERROR(AGGREGATE(14,6,'持仓跟踪'!$S$2:$S$501/(('持仓跟踪'!$A$2:$A$501="每日跟踪")*('持仓跟踪'!$B$2:$B$501=A121)),1),0)),0)*AN121))))</f>
        <v/>
      </c>
      <c r="AR121" s="31">
        <f>IF(A121="","",IF(OR(E121="",H121=""),"违规：第一批价格或股数缺失",IF(OR(AND(AK121="",AL121&lt;&gt;""),AND(AK121&lt;&gt;"",AL121="")),"违规：第二批价格与股数须成对填写",IF(OR(AND(AM121="",AN121&lt;&gt;""),AND(AM121&lt;&gt;"",AN121="")),"违规：第三批价格与股数须成对填写",IF(AND(OR(AM121&lt;&gt;"",AN121&lt;&gt;""),OR(AK121="",AL121="")),"违规：必须先完成第二批",IF(OR(H121&lt;=0,H121&lt;&gt;INT(H121),MOD(H121,100)&lt;&gt;0,AND(AL121&lt;&gt;"",OR(AL121&lt;=0,AL121&lt;&gt;INT(AL121),MOD(AL121,100)&lt;&gt;0)),AND(AN121&lt;&gt;"",OR(AN121&lt;=0,AN121&lt;&gt;INT(AN121),MOD(AN121,100)&lt;&gt;0))),"违规：股数须为100股整数倍",IF(AND(OR(AL121&lt;&gt;"",AN121&lt;&gt;""),OR(_LockStatus="已锁仓",_LockStatus="解锁信息不完整")),"违规：锁仓期间禁止加仓",IF(AQ121&gt;C121*D121,"违规：超过单笔风险上限",IF(SUM($AQ$2:$AQ$201)&gt;账户数据!$B$7,"违规：超过账户风险上限","通过")))))))))</f>
        <v/>
      </c>
    </row>
    <row r="122">
      <c r="A122" s="2" t="n"/>
      <c r="B122" s="2" t="n"/>
      <c r="C122" s="40" t="n"/>
      <c r="D122" s="6" t="n"/>
      <c r="E122" s="40" t="n"/>
      <c r="F122" s="8">
        <f>IF(OR(C122="",D122="",E122="",N122="",C122&lt;=0,D122&lt;=0,E122&lt;=N122),"",ROUNDDOWN((C122*D122)/(E122-N122)/100,0)*100)</f>
        <v/>
      </c>
      <c r="G122" s="8">
        <f>IF(A122="","",IF(H122&lt;&gt;"","已开仓",IF(账户数据!$B$23="已锁仓","禁止开仓：连续亏损达到上限",IF(账户数据!$B$23="解锁信息不完整","禁止开仓：请完整填写解锁信息",IF(OR(F122="",E122="",N122="",E122&lt;=N122,账户数据!$B$7=""),"",IF(OR(AG122="",AH122="",AI122=""),"禁止开仓：交易预期未填写完整",IF(COUNTIFS(持仓跟踪!$A$2:$A$501,"止损计划",持仓跟踪!$B$2:$B$501,A122,持仓跟踪!$AC$2:$AC$501,"计划有效")=0,"禁止开仓：请先填写止损计划",IF(账户数据!$B$9+F122*(E122-N122)&gt;=账户数据!$B$7,"禁止开仓：风险额度不足",IF(AJ122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2" s="2" t="n"/>
      <c r="I122" s="41" t="n"/>
      <c r="J122" s="40" t="n"/>
      <c r="K122" s="46">
        <f>IF(A122="","",IFERROR(LOOKUP(2,1/((持仓跟踪!$B$2:$B$501=A122)*(持仓跟踪!$X$2:$X$501="执行卖出")*(持仓跟踪!$Y$2:$Y$501&lt;&gt;"")),持仓跟踪!$Y$2:$Y$501),""))</f>
        <v/>
      </c>
      <c r="L122" s="33">
        <f>IF(A122="","",IFERROR(LOOKUP(2,1/((持仓跟踪!$B$2:$B$501=A122)*(持仓跟踪!$X$2:$X$501="执行卖出")*(持仓跟踪!$Z$2:$Z$501&lt;&gt;"")),持仓跟踪!$Z$2:$Z$501),""))</f>
        <v/>
      </c>
      <c r="M122" s="47">
        <f>IF(A122="","",IFERROR(LOOKUP(2,1/((持仓跟踪!$B$2:$B$501=A122)*(持仓跟踪!$X$2:$X$501="执行卖出")*(持仓跟踪!$H$2:$H$501&lt;&gt;"")),持仓跟踪!$H$2:$H$501),""))</f>
        <v/>
      </c>
      <c r="N122" s="40" t="n"/>
      <c r="O122" s="40" t="n"/>
      <c r="P122" s="46">
        <f>IF(A122="","",IFERROR(LOOKUP(2,1/((持仓跟踪!$B$2:$B$501=A122)*(持仓跟踪!$X$2:$X$501="执行卖出")*(持仓跟踪!$AA$2:$AA$501&lt;&gt;"")),持仓跟踪!$AA$2:$AA$501),""))</f>
        <v/>
      </c>
      <c r="Q122" s="2" t="n"/>
      <c r="R122" s="2" t="n"/>
      <c r="S122" s="2" t="n"/>
      <c r="T122" s="2" t="n"/>
      <c r="U122" s="7">
        <f>IF(OR(AO122="",J122="",AO122&lt;=0),"",(J122-AO122)/AO122)</f>
        <v/>
      </c>
      <c r="V122" s="7">
        <f>IF(OR(AO122="",N122="",AO122&lt;=0),"",(AO122-N122)/AO122)</f>
        <v/>
      </c>
      <c r="W122" s="13">
        <f>IF(OR(U122="",V122="",V122&lt;=0),"",U122/V122)</f>
        <v/>
      </c>
      <c r="X122" s="42">
        <f>IF(OR(K122="",L122="",AP122=""),"",K122*L122-(E122*H122+IF(AND(AK122&lt;&gt;"",AL122&lt;&gt;""),AK122*AL122,0)+IF(AND(AM122&lt;&gt;"",AN122&lt;&gt;""),AM122*AN122,0))-IF(O122="",0,O122)-IF(P122="",0,P122))</f>
        <v/>
      </c>
      <c r="Y122" s="7">
        <f>IF(OR(X122="",AP122=""),"",IF((E122*H122+IF(AND(AK122&lt;&gt;"",AL122&lt;&gt;""),AK122*AL122,0)+IF(AND(AM122&lt;&gt;"",AN122&lt;&gt;""),AM122*AN122,0))+IF(O122="",0,O122)&lt;=0,"",X122/((E122*H122+IF(AND(AK122&lt;&gt;"",AL122&lt;&gt;""),AK122*AL122,0)+IF(AND(AM122&lt;&gt;"",AN122&lt;&gt;""),AM122*AN122,0))+IF(O122="",0,O122))))</f>
        <v/>
      </c>
      <c r="Z122" s="7">
        <f>IF(OR(AE122="",多次统计数据!$B$8=""),"",AE122-多次统计数据!$B$8)</f>
        <v/>
      </c>
      <c r="AA122" s="14">
        <f>IF(OR(I122="",M122="",M122&lt;I122),"",M122-I122)</f>
        <v/>
      </c>
      <c r="AB122" s="7">
        <f>IF(OR(A122="",多次统计数据!$B$8="",多次统计数据!$B$6&lt;=0,多次统计数据!$B$6&gt;=1),"",1-POWER(1+多次统计数据!$B$8,-多次统计数据!$B$6/(1-多次统计数据!$B$6)))</f>
        <v/>
      </c>
      <c r="AC122" s="8">
        <f>IF(OR(AB122="",多次统计数据!$B$9=""),"",IF(多次统计数据!$B$9&lt;AB122,"低于上限","达到或超过上限"))</f>
        <v/>
      </c>
      <c r="AD122" s="2" t="n"/>
      <c r="AE122" s="7">
        <f>IF(OR(X122="",C122="",C122&lt;=0),"",X122/C122)</f>
        <v/>
      </c>
      <c r="AG122" s="28" t="n"/>
      <c r="AH122" s="28" t="n"/>
      <c r="AI122" s="28" t="n"/>
      <c r="AJ122" s="31">
        <f>IF(OR(AG122="",AH122=""),"",IF(OR(AND(AG122="短期博反弹",OR(AH122="1～3个交易日",AH122="4～10个交易日")),AND(AG122="突破冲新高",OR(AH122="4～10个交易日",AH122="11～20个交易日")),AND(AG122="趋势波段",OR(AH122="11～20个交易日",AH122="21～60个交易日",AH122="60个交易日以上"))),"匹配","周期与交易预期不匹配，请重新确认"))</f>
        <v/>
      </c>
      <c r="AK122" s="43" t="n"/>
      <c r="AL122" s="27" t="n"/>
      <c r="AM122" s="43" t="n"/>
      <c r="AN122" s="27" t="n"/>
      <c r="AO122" s="44">
        <f>IF(OR(A122="",H122="",H122&lt;=0),"",(E122*H122+IF(AND(AK122&lt;&gt;"",AL122&lt;&gt;""),AK122*AL122,0)+IF(AND(AM122&lt;&gt;"",AN122&lt;&gt;""),AM122*AN122,0))/AP122)</f>
        <v/>
      </c>
      <c r="AP122" s="26">
        <f>IF(OR(A122="",H122="",H122&lt;=0),"",H122+IF(AL122="",0,AL122)+IF(AN122="",0,AN122))</f>
        <v/>
      </c>
      <c r="AQ122" s="44">
        <f>IF(A122="","",IF(M122&lt;&gt;"",0,IF(OR(H122="",N122=""),"",MAX(E122-MAX(N122,IFERROR(AGGREGATE(14,6,'持仓跟踪'!$S$2:$S$501/(('持仓跟踪'!$A$2:$A$501="每日跟踪")*('持仓跟踪'!$B$2:$B$501=A122)),1),0)),0)*H122+IF(OR(AK122="",AL122=""),0,MAX(AK122-MAX(N122,IFERROR(AGGREGATE(14,6,'持仓跟踪'!$S$2:$S$501/(('持仓跟踪'!$A$2:$A$501="每日跟踪")*('持仓跟踪'!$B$2:$B$501=A122)),1),0)),0)*AL122)+IF(OR(AM122="",AN122=""),0,MAX(AM122-MAX(N122,IFERROR(AGGREGATE(14,6,'持仓跟踪'!$S$2:$S$501/(('持仓跟踪'!$A$2:$A$501="每日跟踪")*('持仓跟踪'!$B$2:$B$501=A122)),1),0)),0)*AN122))))</f>
        <v/>
      </c>
      <c r="AR122" s="31">
        <f>IF(A122="","",IF(OR(E122="",H122=""),"违规：第一批价格或股数缺失",IF(OR(AND(AK122="",AL122&lt;&gt;""),AND(AK122&lt;&gt;"",AL122="")),"违规：第二批价格与股数须成对填写",IF(OR(AND(AM122="",AN122&lt;&gt;""),AND(AM122&lt;&gt;"",AN122="")),"违规：第三批价格与股数须成对填写",IF(AND(OR(AM122&lt;&gt;"",AN122&lt;&gt;""),OR(AK122="",AL122="")),"违规：必须先完成第二批",IF(OR(H122&lt;=0,H122&lt;&gt;INT(H122),MOD(H122,100)&lt;&gt;0,AND(AL122&lt;&gt;"",OR(AL122&lt;=0,AL122&lt;&gt;INT(AL122),MOD(AL122,100)&lt;&gt;0)),AND(AN122&lt;&gt;"",OR(AN122&lt;=0,AN122&lt;&gt;INT(AN122),MOD(AN122,100)&lt;&gt;0))),"违规：股数须为100股整数倍",IF(AND(OR(AL122&lt;&gt;"",AN122&lt;&gt;""),OR(_LockStatus="已锁仓",_LockStatus="解锁信息不完整")),"违规：锁仓期间禁止加仓",IF(AQ122&gt;C122*D122,"违规：超过单笔风险上限",IF(SUM($AQ$2:$AQ$201)&gt;账户数据!$B$7,"违规：超过账户风险上限","通过")))))))))</f>
        <v/>
      </c>
    </row>
    <row r="123">
      <c r="A123" s="2" t="n"/>
      <c r="B123" s="2" t="n"/>
      <c r="C123" s="40" t="n"/>
      <c r="D123" s="6" t="n"/>
      <c r="E123" s="40" t="n"/>
      <c r="F123" s="8">
        <f>IF(OR(C123="",D123="",E123="",N123="",C123&lt;=0,D123&lt;=0,E123&lt;=N123),"",ROUNDDOWN((C123*D123)/(E123-N123)/100,0)*100)</f>
        <v/>
      </c>
      <c r="G123" s="8">
        <f>IF(A123="","",IF(H123&lt;&gt;"","已开仓",IF(账户数据!$B$23="已锁仓","禁止开仓：连续亏损达到上限",IF(账户数据!$B$23="解锁信息不完整","禁止开仓：请完整填写解锁信息",IF(OR(F123="",E123="",N123="",E123&lt;=N123,账户数据!$B$7=""),"",IF(OR(AG123="",AH123="",AI123=""),"禁止开仓：交易预期未填写完整",IF(COUNTIFS(持仓跟踪!$A$2:$A$501,"止损计划",持仓跟踪!$B$2:$B$501,A123,持仓跟踪!$AC$2:$AC$501,"计划有效")=0,"禁止开仓：请先填写止损计划",IF(账户数据!$B$9+F123*(E123-N123)&gt;=账户数据!$B$7,"禁止开仓：风险额度不足",IF(AJ123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3" s="2" t="n"/>
      <c r="I123" s="41" t="n"/>
      <c r="J123" s="40" t="n"/>
      <c r="K123" s="46">
        <f>IF(A123="","",IFERROR(LOOKUP(2,1/((持仓跟踪!$B$2:$B$501=A123)*(持仓跟踪!$X$2:$X$501="执行卖出")*(持仓跟踪!$Y$2:$Y$501&lt;&gt;"")),持仓跟踪!$Y$2:$Y$501),""))</f>
        <v/>
      </c>
      <c r="L123" s="33">
        <f>IF(A123="","",IFERROR(LOOKUP(2,1/((持仓跟踪!$B$2:$B$501=A123)*(持仓跟踪!$X$2:$X$501="执行卖出")*(持仓跟踪!$Z$2:$Z$501&lt;&gt;"")),持仓跟踪!$Z$2:$Z$501),""))</f>
        <v/>
      </c>
      <c r="M123" s="47">
        <f>IF(A123="","",IFERROR(LOOKUP(2,1/((持仓跟踪!$B$2:$B$501=A123)*(持仓跟踪!$X$2:$X$501="执行卖出")*(持仓跟踪!$H$2:$H$501&lt;&gt;"")),持仓跟踪!$H$2:$H$501),""))</f>
        <v/>
      </c>
      <c r="N123" s="40" t="n"/>
      <c r="O123" s="40" t="n"/>
      <c r="P123" s="46">
        <f>IF(A123="","",IFERROR(LOOKUP(2,1/((持仓跟踪!$B$2:$B$501=A123)*(持仓跟踪!$X$2:$X$501="执行卖出")*(持仓跟踪!$AA$2:$AA$501&lt;&gt;"")),持仓跟踪!$AA$2:$AA$501),""))</f>
        <v/>
      </c>
      <c r="Q123" s="2" t="n"/>
      <c r="R123" s="2" t="n"/>
      <c r="S123" s="2" t="n"/>
      <c r="T123" s="2" t="n"/>
      <c r="U123" s="7">
        <f>IF(OR(AO123="",J123="",AO123&lt;=0),"",(J123-AO123)/AO123)</f>
        <v/>
      </c>
      <c r="V123" s="7">
        <f>IF(OR(AO123="",N123="",AO123&lt;=0),"",(AO123-N123)/AO123)</f>
        <v/>
      </c>
      <c r="W123" s="13">
        <f>IF(OR(U123="",V123="",V123&lt;=0),"",U123/V123)</f>
        <v/>
      </c>
      <c r="X123" s="42">
        <f>IF(OR(K123="",L123="",AP123=""),"",K123*L123-(E123*H123+IF(AND(AK123&lt;&gt;"",AL123&lt;&gt;""),AK123*AL123,0)+IF(AND(AM123&lt;&gt;"",AN123&lt;&gt;""),AM123*AN123,0))-IF(O123="",0,O123)-IF(P123="",0,P123))</f>
        <v/>
      </c>
      <c r="Y123" s="7">
        <f>IF(OR(X123="",AP123=""),"",IF((E123*H123+IF(AND(AK123&lt;&gt;"",AL123&lt;&gt;""),AK123*AL123,0)+IF(AND(AM123&lt;&gt;"",AN123&lt;&gt;""),AM123*AN123,0))+IF(O123="",0,O123)&lt;=0,"",X123/((E123*H123+IF(AND(AK123&lt;&gt;"",AL123&lt;&gt;""),AK123*AL123,0)+IF(AND(AM123&lt;&gt;"",AN123&lt;&gt;""),AM123*AN123,0))+IF(O123="",0,O123))))</f>
        <v/>
      </c>
      <c r="Z123" s="7">
        <f>IF(OR(AE123="",多次统计数据!$B$8=""),"",AE123-多次统计数据!$B$8)</f>
        <v/>
      </c>
      <c r="AA123" s="14">
        <f>IF(OR(I123="",M123="",M123&lt;I123),"",M123-I123)</f>
        <v/>
      </c>
      <c r="AB123" s="7">
        <f>IF(OR(A123="",多次统计数据!$B$8="",多次统计数据!$B$6&lt;=0,多次统计数据!$B$6&gt;=1),"",1-POWER(1+多次统计数据!$B$8,-多次统计数据!$B$6/(1-多次统计数据!$B$6)))</f>
        <v/>
      </c>
      <c r="AC123" s="8">
        <f>IF(OR(AB123="",多次统计数据!$B$9=""),"",IF(多次统计数据!$B$9&lt;AB123,"低于上限","达到或超过上限"))</f>
        <v/>
      </c>
      <c r="AD123" s="2" t="n"/>
      <c r="AE123" s="7">
        <f>IF(OR(X123="",C123="",C123&lt;=0),"",X123/C123)</f>
        <v/>
      </c>
      <c r="AG123" s="28" t="n"/>
      <c r="AH123" s="28" t="n"/>
      <c r="AI123" s="28" t="n"/>
      <c r="AJ123" s="31">
        <f>IF(OR(AG123="",AH123=""),"",IF(OR(AND(AG123="短期博反弹",OR(AH123="1～3个交易日",AH123="4～10个交易日")),AND(AG123="突破冲新高",OR(AH123="4～10个交易日",AH123="11～20个交易日")),AND(AG123="趋势波段",OR(AH123="11～20个交易日",AH123="21～60个交易日",AH123="60个交易日以上"))),"匹配","周期与交易预期不匹配，请重新确认"))</f>
        <v/>
      </c>
      <c r="AK123" s="43" t="n"/>
      <c r="AL123" s="27" t="n"/>
      <c r="AM123" s="43" t="n"/>
      <c r="AN123" s="27" t="n"/>
      <c r="AO123" s="44">
        <f>IF(OR(A123="",H123="",H123&lt;=0),"",(E123*H123+IF(AND(AK123&lt;&gt;"",AL123&lt;&gt;""),AK123*AL123,0)+IF(AND(AM123&lt;&gt;"",AN123&lt;&gt;""),AM123*AN123,0))/AP123)</f>
        <v/>
      </c>
      <c r="AP123" s="26">
        <f>IF(OR(A123="",H123="",H123&lt;=0),"",H123+IF(AL123="",0,AL123)+IF(AN123="",0,AN123))</f>
        <v/>
      </c>
      <c r="AQ123" s="44">
        <f>IF(A123="","",IF(M123&lt;&gt;"",0,IF(OR(H123="",N123=""),"",MAX(E123-MAX(N123,IFERROR(AGGREGATE(14,6,'持仓跟踪'!$S$2:$S$501/(('持仓跟踪'!$A$2:$A$501="每日跟踪")*('持仓跟踪'!$B$2:$B$501=A123)),1),0)),0)*H123+IF(OR(AK123="",AL123=""),0,MAX(AK123-MAX(N123,IFERROR(AGGREGATE(14,6,'持仓跟踪'!$S$2:$S$501/(('持仓跟踪'!$A$2:$A$501="每日跟踪")*('持仓跟踪'!$B$2:$B$501=A123)),1),0)),0)*AL123)+IF(OR(AM123="",AN123=""),0,MAX(AM123-MAX(N123,IFERROR(AGGREGATE(14,6,'持仓跟踪'!$S$2:$S$501/(('持仓跟踪'!$A$2:$A$501="每日跟踪")*('持仓跟踪'!$B$2:$B$501=A123)),1),0)),0)*AN123))))</f>
        <v/>
      </c>
      <c r="AR123" s="31">
        <f>IF(A123="","",IF(OR(E123="",H123=""),"违规：第一批价格或股数缺失",IF(OR(AND(AK123="",AL123&lt;&gt;""),AND(AK123&lt;&gt;"",AL123="")),"违规：第二批价格与股数须成对填写",IF(OR(AND(AM123="",AN123&lt;&gt;""),AND(AM123&lt;&gt;"",AN123="")),"违规：第三批价格与股数须成对填写",IF(AND(OR(AM123&lt;&gt;"",AN123&lt;&gt;""),OR(AK123="",AL123="")),"违规：必须先完成第二批",IF(OR(H123&lt;=0,H123&lt;&gt;INT(H123),MOD(H123,100)&lt;&gt;0,AND(AL123&lt;&gt;"",OR(AL123&lt;=0,AL123&lt;&gt;INT(AL123),MOD(AL123,100)&lt;&gt;0)),AND(AN123&lt;&gt;"",OR(AN123&lt;=0,AN123&lt;&gt;INT(AN123),MOD(AN123,100)&lt;&gt;0))),"违规：股数须为100股整数倍",IF(AND(OR(AL123&lt;&gt;"",AN123&lt;&gt;""),OR(_LockStatus="已锁仓",_LockStatus="解锁信息不完整")),"违规：锁仓期间禁止加仓",IF(AQ123&gt;C123*D123,"违规：超过单笔风险上限",IF(SUM($AQ$2:$AQ$201)&gt;账户数据!$B$7,"违规：超过账户风险上限","通过")))))))))</f>
        <v/>
      </c>
    </row>
    <row r="124">
      <c r="A124" s="2" t="n"/>
      <c r="B124" s="2" t="n"/>
      <c r="C124" s="40" t="n"/>
      <c r="D124" s="6" t="n"/>
      <c r="E124" s="40" t="n"/>
      <c r="F124" s="8">
        <f>IF(OR(C124="",D124="",E124="",N124="",C124&lt;=0,D124&lt;=0,E124&lt;=N124),"",ROUNDDOWN((C124*D124)/(E124-N124)/100,0)*100)</f>
        <v/>
      </c>
      <c r="G124" s="8">
        <f>IF(A124="","",IF(H124&lt;&gt;"","已开仓",IF(账户数据!$B$23="已锁仓","禁止开仓：连续亏损达到上限",IF(账户数据!$B$23="解锁信息不完整","禁止开仓：请完整填写解锁信息",IF(OR(F124="",E124="",N124="",E124&lt;=N124,账户数据!$B$7=""),"",IF(OR(AG124="",AH124="",AI124=""),"禁止开仓：交易预期未填写完整",IF(COUNTIFS(持仓跟踪!$A$2:$A$501,"止损计划",持仓跟踪!$B$2:$B$501,A124,持仓跟踪!$AC$2:$AC$501,"计划有效")=0,"禁止开仓：请先填写止损计划",IF(账户数据!$B$9+F124*(E124-N124)&gt;=账户数据!$B$7,"禁止开仓：风险额度不足",IF(AJ124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4" s="2" t="n"/>
      <c r="I124" s="41" t="n"/>
      <c r="J124" s="40" t="n"/>
      <c r="K124" s="46">
        <f>IF(A124="","",IFERROR(LOOKUP(2,1/((持仓跟踪!$B$2:$B$501=A124)*(持仓跟踪!$X$2:$X$501="执行卖出")*(持仓跟踪!$Y$2:$Y$501&lt;&gt;"")),持仓跟踪!$Y$2:$Y$501),""))</f>
        <v/>
      </c>
      <c r="L124" s="33">
        <f>IF(A124="","",IFERROR(LOOKUP(2,1/((持仓跟踪!$B$2:$B$501=A124)*(持仓跟踪!$X$2:$X$501="执行卖出")*(持仓跟踪!$Z$2:$Z$501&lt;&gt;"")),持仓跟踪!$Z$2:$Z$501),""))</f>
        <v/>
      </c>
      <c r="M124" s="47">
        <f>IF(A124="","",IFERROR(LOOKUP(2,1/((持仓跟踪!$B$2:$B$501=A124)*(持仓跟踪!$X$2:$X$501="执行卖出")*(持仓跟踪!$H$2:$H$501&lt;&gt;"")),持仓跟踪!$H$2:$H$501),""))</f>
        <v/>
      </c>
      <c r="N124" s="40" t="n"/>
      <c r="O124" s="40" t="n"/>
      <c r="P124" s="46">
        <f>IF(A124="","",IFERROR(LOOKUP(2,1/((持仓跟踪!$B$2:$B$501=A124)*(持仓跟踪!$X$2:$X$501="执行卖出")*(持仓跟踪!$AA$2:$AA$501&lt;&gt;"")),持仓跟踪!$AA$2:$AA$501),""))</f>
        <v/>
      </c>
      <c r="Q124" s="2" t="n"/>
      <c r="R124" s="2" t="n"/>
      <c r="S124" s="2" t="n"/>
      <c r="T124" s="2" t="n"/>
      <c r="U124" s="7">
        <f>IF(OR(AO124="",J124="",AO124&lt;=0),"",(J124-AO124)/AO124)</f>
        <v/>
      </c>
      <c r="V124" s="7">
        <f>IF(OR(AO124="",N124="",AO124&lt;=0),"",(AO124-N124)/AO124)</f>
        <v/>
      </c>
      <c r="W124" s="13">
        <f>IF(OR(U124="",V124="",V124&lt;=0),"",U124/V124)</f>
        <v/>
      </c>
      <c r="X124" s="42">
        <f>IF(OR(K124="",L124="",AP124=""),"",K124*L124-(E124*H124+IF(AND(AK124&lt;&gt;"",AL124&lt;&gt;""),AK124*AL124,0)+IF(AND(AM124&lt;&gt;"",AN124&lt;&gt;""),AM124*AN124,0))-IF(O124="",0,O124)-IF(P124="",0,P124))</f>
        <v/>
      </c>
      <c r="Y124" s="7">
        <f>IF(OR(X124="",AP124=""),"",IF((E124*H124+IF(AND(AK124&lt;&gt;"",AL124&lt;&gt;""),AK124*AL124,0)+IF(AND(AM124&lt;&gt;"",AN124&lt;&gt;""),AM124*AN124,0))+IF(O124="",0,O124)&lt;=0,"",X124/((E124*H124+IF(AND(AK124&lt;&gt;"",AL124&lt;&gt;""),AK124*AL124,0)+IF(AND(AM124&lt;&gt;"",AN124&lt;&gt;""),AM124*AN124,0))+IF(O124="",0,O124))))</f>
        <v/>
      </c>
      <c r="Z124" s="7">
        <f>IF(OR(AE124="",多次统计数据!$B$8=""),"",AE124-多次统计数据!$B$8)</f>
        <v/>
      </c>
      <c r="AA124" s="14">
        <f>IF(OR(I124="",M124="",M124&lt;I124),"",M124-I124)</f>
        <v/>
      </c>
      <c r="AB124" s="7">
        <f>IF(OR(A124="",多次统计数据!$B$8="",多次统计数据!$B$6&lt;=0,多次统计数据!$B$6&gt;=1),"",1-POWER(1+多次统计数据!$B$8,-多次统计数据!$B$6/(1-多次统计数据!$B$6)))</f>
        <v/>
      </c>
      <c r="AC124" s="8">
        <f>IF(OR(AB124="",多次统计数据!$B$9=""),"",IF(多次统计数据!$B$9&lt;AB124,"低于上限","达到或超过上限"))</f>
        <v/>
      </c>
      <c r="AD124" s="2" t="n"/>
      <c r="AE124" s="7">
        <f>IF(OR(X124="",C124="",C124&lt;=0),"",X124/C124)</f>
        <v/>
      </c>
      <c r="AG124" s="28" t="n"/>
      <c r="AH124" s="28" t="n"/>
      <c r="AI124" s="28" t="n"/>
      <c r="AJ124" s="31">
        <f>IF(OR(AG124="",AH124=""),"",IF(OR(AND(AG124="短期博反弹",OR(AH124="1～3个交易日",AH124="4～10个交易日")),AND(AG124="突破冲新高",OR(AH124="4～10个交易日",AH124="11～20个交易日")),AND(AG124="趋势波段",OR(AH124="11～20个交易日",AH124="21～60个交易日",AH124="60个交易日以上"))),"匹配","周期与交易预期不匹配，请重新确认"))</f>
        <v/>
      </c>
      <c r="AK124" s="43" t="n"/>
      <c r="AL124" s="27" t="n"/>
      <c r="AM124" s="43" t="n"/>
      <c r="AN124" s="27" t="n"/>
      <c r="AO124" s="44">
        <f>IF(OR(A124="",H124="",H124&lt;=0),"",(E124*H124+IF(AND(AK124&lt;&gt;"",AL124&lt;&gt;""),AK124*AL124,0)+IF(AND(AM124&lt;&gt;"",AN124&lt;&gt;""),AM124*AN124,0))/AP124)</f>
        <v/>
      </c>
      <c r="AP124" s="26">
        <f>IF(OR(A124="",H124="",H124&lt;=0),"",H124+IF(AL124="",0,AL124)+IF(AN124="",0,AN124))</f>
        <v/>
      </c>
      <c r="AQ124" s="44">
        <f>IF(A124="","",IF(M124&lt;&gt;"",0,IF(OR(H124="",N124=""),"",MAX(E124-MAX(N124,IFERROR(AGGREGATE(14,6,'持仓跟踪'!$S$2:$S$501/(('持仓跟踪'!$A$2:$A$501="每日跟踪")*('持仓跟踪'!$B$2:$B$501=A124)),1),0)),0)*H124+IF(OR(AK124="",AL124=""),0,MAX(AK124-MAX(N124,IFERROR(AGGREGATE(14,6,'持仓跟踪'!$S$2:$S$501/(('持仓跟踪'!$A$2:$A$501="每日跟踪")*('持仓跟踪'!$B$2:$B$501=A124)),1),0)),0)*AL124)+IF(OR(AM124="",AN124=""),0,MAX(AM124-MAX(N124,IFERROR(AGGREGATE(14,6,'持仓跟踪'!$S$2:$S$501/(('持仓跟踪'!$A$2:$A$501="每日跟踪")*('持仓跟踪'!$B$2:$B$501=A124)),1),0)),0)*AN124))))</f>
        <v/>
      </c>
      <c r="AR124" s="31">
        <f>IF(A124="","",IF(OR(E124="",H124=""),"违规：第一批价格或股数缺失",IF(OR(AND(AK124="",AL124&lt;&gt;""),AND(AK124&lt;&gt;"",AL124="")),"违规：第二批价格与股数须成对填写",IF(OR(AND(AM124="",AN124&lt;&gt;""),AND(AM124&lt;&gt;"",AN124="")),"违规：第三批价格与股数须成对填写",IF(AND(OR(AM124&lt;&gt;"",AN124&lt;&gt;""),OR(AK124="",AL124="")),"违规：必须先完成第二批",IF(OR(H124&lt;=0,H124&lt;&gt;INT(H124),MOD(H124,100)&lt;&gt;0,AND(AL124&lt;&gt;"",OR(AL124&lt;=0,AL124&lt;&gt;INT(AL124),MOD(AL124,100)&lt;&gt;0)),AND(AN124&lt;&gt;"",OR(AN124&lt;=0,AN124&lt;&gt;INT(AN124),MOD(AN124,100)&lt;&gt;0))),"违规：股数须为100股整数倍",IF(AND(OR(AL124&lt;&gt;"",AN124&lt;&gt;""),OR(_LockStatus="已锁仓",_LockStatus="解锁信息不完整")),"违规：锁仓期间禁止加仓",IF(AQ124&gt;C124*D124,"违规：超过单笔风险上限",IF(SUM($AQ$2:$AQ$201)&gt;账户数据!$B$7,"违规：超过账户风险上限","通过")))))))))</f>
        <v/>
      </c>
    </row>
    <row r="125">
      <c r="A125" s="2" t="n"/>
      <c r="B125" s="2" t="n"/>
      <c r="C125" s="40" t="n"/>
      <c r="D125" s="6" t="n"/>
      <c r="E125" s="40" t="n"/>
      <c r="F125" s="8">
        <f>IF(OR(C125="",D125="",E125="",N125="",C125&lt;=0,D125&lt;=0,E125&lt;=N125),"",ROUNDDOWN((C125*D125)/(E125-N125)/100,0)*100)</f>
        <v/>
      </c>
      <c r="G125" s="8">
        <f>IF(A125="","",IF(H125&lt;&gt;"","已开仓",IF(账户数据!$B$23="已锁仓","禁止开仓：连续亏损达到上限",IF(账户数据!$B$23="解锁信息不完整","禁止开仓：请完整填写解锁信息",IF(OR(F125="",E125="",N125="",E125&lt;=N125,账户数据!$B$7=""),"",IF(OR(AG125="",AH125="",AI125=""),"禁止开仓：交易预期未填写完整",IF(COUNTIFS(持仓跟踪!$A$2:$A$501,"止损计划",持仓跟踪!$B$2:$B$501,A125,持仓跟踪!$AC$2:$AC$501,"计划有效")=0,"禁止开仓：请先填写止损计划",IF(账户数据!$B$9+F125*(E125-N125)&gt;=账户数据!$B$7,"禁止开仓：风险额度不足",IF(AJ125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5" s="2" t="n"/>
      <c r="I125" s="41" t="n"/>
      <c r="J125" s="40" t="n"/>
      <c r="K125" s="46">
        <f>IF(A125="","",IFERROR(LOOKUP(2,1/((持仓跟踪!$B$2:$B$501=A125)*(持仓跟踪!$X$2:$X$501="执行卖出")*(持仓跟踪!$Y$2:$Y$501&lt;&gt;"")),持仓跟踪!$Y$2:$Y$501),""))</f>
        <v/>
      </c>
      <c r="L125" s="33">
        <f>IF(A125="","",IFERROR(LOOKUP(2,1/((持仓跟踪!$B$2:$B$501=A125)*(持仓跟踪!$X$2:$X$501="执行卖出")*(持仓跟踪!$Z$2:$Z$501&lt;&gt;"")),持仓跟踪!$Z$2:$Z$501),""))</f>
        <v/>
      </c>
      <c r="M125" s="47">
        <f>IF(A125="","",IFERROR(LOOKUP(2,1/((持仓跟踪!$B$2:$B$501=A125)*(持仓跟踪!$X$2:$X$501="执行卖出")*(持仓跟踪!$H$2:$H$501&lt;&gt;"")),持仓跟踪!$H$2:$H$501),""))</f>
        <v/>
      </c>
      <c r="N125" s="40" t="n"/>
      <c r="O125" s="40" t="n"/>
      <c r="P125" s="46">
        <f>IF(A125="","",IFERROR(LOOKUP(2,1/((持仓跟踪!$B$2:$B$501=A125)*(持仓跟踪!$X$2:$X$501="执行卖出")*(持仓跟踪!$AA$2:$AA$501&lt;&gt;"")),持仓跟踪!$AA$2:$AA$501),""))</f>
        <v/>
      </c>
      <c r="Q125" s="2" t="n"/>
      <c r="R125" s="2" t="n"/>
      <c r="S125" s="2" t="n"/>
      <c r="T125" s="2" t="n"/>
      <c r="U125" s="7">
        <f>IF(OR(AO125="",J125="",AO125&lt;=0),"",(J125-AO125)/AO125)</f>
        <v/>
      </c>
      <c r="V125" s="7">
        <f>IF(OR(AO125="",N125="",AO125&lt;=0),"",(AO125-N125)/AO125)</f>
        <v/>
      </c>
      <c r="W125" s="13">
        <f>IF(OR(U125="",V125="",V125&lt;=0),"",U125/V125)</f>
        <v/>
      </c>
      <c r="X125" s="42">
        <f>IF(OR(K125="",L125="",AP125=""),"",K125*L125-(E125*H125+IF(AND(AK125&lt;&gt;"",AL125&lt;&gt;""),AK125*AL125,0)+IF(AND(AM125&lt;&gt;"",AN125&lt;&gt;""),AM125*AN125,0))-IF(O125="",0,O125)-IF(P125="",0,P125))</f>
        <v/>
      </c>
      <c r="Y125" s="7">
        <f>IF(OR(X125="",AP125=""),"",IF((E125*H125+IF(AND(AK125&lt;&gt;"",AL125&lt;&gt;""),AK125*AL125,0)+IF(AND(AM125&lt;&gt;"",AN125&lt;&gt;""),AM125*AN125,0))+IF(O125="",0,O125)&lt;=0,"",X125/((E125*H125+IF(AND(AK125&lt;&gt;"",AL125&lt;&gt;""),AK125*AL125,0)+IF(AND(AM125&lt;&gt;"",AN125&lt;&gt;""),AM125*AN125,0))+IF(O125="",0,O125))))</f>
        <v/>
      </c>
      <c r="Z125" s="7">
        <f>IF(OR(AE125="",多次统计数据!$B$8=""),"",AE125-多次统计数据!$B$8)</f>
        <v/>
      </c>
      <c r="AA125" s="14">
        <f>IF(OR(I125="",M125="",M125&lt;I125),"",M125-I125)</f>
        <v/>
      </c>
      <c r="AB125" s="7">
        <f>IF(OR(A125="",多次统计数据!$B$8="",多次统计数据!$B$6&lt;=0,多次统计数据!$B$6&gt;=1),"",1-POWER(1+多次统计数据!$B$8,-多次统计数据!$B$6/(1-多次统计数据!$B$6)))</f>
        <v/>
      </c>
      <c r="AC125" s="8">
        <f>IF(OR(AB125="",多次统计数据!$B$9=""),"",IF(多次统计数据!$B$9&lt;AB125,"低于上限","达到或超过上限"))</f>
        <v/>
      </c>
      <c r="AD125" s="2" t="n"/>
      <c r="AE125" s="7">
        <f>IF(OR(X125="",C125="",C125&lt;=0),"",X125/C125)</f>
        <v/>
      </c>
      <c r="AG125" s="28" t="n"/>
      <c r="AH125" s="28" t="n"/>
      <c r="AI125" s="28" t="n"/>
      <c r="AJ125" s="31">
        <f>IF(OR(AG125="",AH125=""),"",IF(OR(AND(AG125="短期博反弹",OR(AH125="1～3个交易日",AH125="4～10个交易日")),AND(AG125="突破冲新高",OR(AH125="4～10个交易日",AH125="11～20个交易日")),AND(AG125="趋势波段",OR(AH125="11～20个交易日",AH125="21～60个交易日",AH125="60个交易日以上"))),"匹配","周期与交易预期不匹配，请重新确认"))</f>
        <v/>
      </c>
      <c r="AK125" s="43" t="n"/>
      <c r="AL125" s="27" t="n"/>
      <c r="AM125" s="43" t="n"/>
      <c r="AN125" s="27" t="n"/>
      <c r="AO125" s="44">
        <f>IF(OR(A125="",H125="",H125&lt;=0),"",(E125*H125+IF(AND(AK125&lt;&gt;"",AL125&lt;&gt;""),AK125*AL125,0)+IF(AND(AM125&lt;&gt;"",AN125&lt;&gt;""),AM125*AN125,0))/AP125)</f>
        <v/>
      </c>
      <c r="AP125" s="26">
        <f>IF(OR(A125="",H125="",H125&lt;=0),"",H125+IF(AL125="",0,AL125)+IF(AN125="",0,AN125))</f>
        <v/>
      </c>
      <c r="AQ125" s="44">
        <f>IF(A125="","",IF(M125&lt;&gt;"",0,IF(OR(H125="",N125=""),"",MAX(E125-MAX(N125,IFERROR(AGGREGATE(14,6,'持仓跟踪'!$S$2:$S$501/(('持仓跟踪'!$A$2:$A$501="每日跟踪")*('持仓跟踪'!$B$2:$B$501=A125)),1),0)),0)*H125+IF(OR(AK125="",AL125=""),0,MAX(AK125-MAX(N125,IFERROR(AGGREGATE(14,6,'持仓跟踪'!$S$2:$S$501/(('持仓跟踪'!$A$2:$A$501="每日跟踪")*('持仓跟踪'!$B$2:$B$501=A125)),1),0)),0)*AL125)+IF(OR(AM125="",AN125=""),0,MAX(AM125-MAX(N125,IFERROR(AGGREGATE(14,6,'持仓跟踪'!$S$2:$S$501/(('持仓跟踪'!$A$2:$A$501="每日跟踪")*('持仓跟踪'!$B$2:$B$501=A125)),1),0)),0)*AN125))))</f>
        <v/>
      </c>
      <c r="AR125" s="31">
        <f>IF(A125="","",IF(OR(E125="",H125=""),"违规：第一批价格或股数缺失",IF(OR(AND(AK125="",AL125&lt;&gt;""),AND(AK125&lt;&gt;"",AL125="")),"违规：第二批价格与股数须成对填写",IF(OR(AND(AM125="",AN125&lt;&gt;""),AND(AM125&lt;&gt;"",AN125="")),"违规：第三批价格与股数须成对填写",IF(AND(OR(AM125&lt;&gt;"",AN125&lt;&gt;""),OR(AK125="",AL125="")),"违规：必须先完成第二批",IF(OR(H125&lt;=0,H125&lt;&gt;INT(H125),MOD(H125,100)&lt;&gt;0,AND(AL125&lt;&gt;"",OR(AL125&lt;=0,AL125&lt;&gt;INT(AL125),MOD(AL125,100)&lt;&gt;0)),AND(AN125&lt;&gt;"",OR(AN125&lt;=0,AN125&lt;&gt;INT(AN125),MOD(AN125,100)&lt;&gt;0))),"违规：股数须为100股整数倍",IF(AND(OR(AL125&lt;&gt;"",AN125&lt;&gt;""),OR(_LockStatus="已锁仓",_LockStatus="解锁信息不完整")),"违规：锁仓期间禁止加仓",IF(AQ125&gt;C125*D125,"违规：超过单笔风险上限",IF(SUM($AQ$2:$AQ$201)&gt;账户数据!$B$7,"违规：超过账户风险上限","通过")))))))))</f>
        <v/>
      </c>
    </row>
    <row r="126">
      <c r="A126" s="2" t="n"/>
      <c r="B126" s="2" t="n"/>
      <c r="C126" s="40" t="n"/>
      <c r="D126" s="6" t="n"/>
      <c r="E126" s="40" t="n"/>
      <c r="F126" s="8">
        <f>IF(OR(C126="",D126="",E126="",N126="",C126&lt;=0,D126&lt;=0,E126&lt;=N126),"",ROUNDDOWN((C126*D126)/(E126-N126)/100,0)*100)</f>
        <v/>
      </c>
      <c r="G126" s="8">
        <f>IF(A126="","",IF(H126&lt;&gt;"","已开仓",IF(账户数据!$B$23="已锁仓","禁止开仓：连续亏损达到上限",IF(账户数据!$B$23="解锁信息不完整","禁止开仓：请完整填写解锁信息",IF(OR(F126="",E126="",N126="",E126&lt;=N126,账户数据!$B$7=""),"",IF(OR(AG126="",AH126="",AI126=""),"禁止开仓：交易预期未填写完整",IF(COUNTIFS(持仓跟踪!$A$2:$A$501,"止损计划",持仓跟踪!$B$2:$B$501,A126,持仓跟踪!$AC$2:$AC$501,"计划有效")=0,"禁止开仓：请先填写止损计划",IF(账户数据!$B$9+F126*(E126-N126)&gt;=账户数据!$B$7,"禁止开仓：风险额度不足",IF(AJ126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6" s="2" t="n"/>
      <c r="I126" s="41" t="n"/>
      <c r="J126" s="40" t="n"/>
      <c r="K126" s="46">
        <f>IF(A126="","",IFERROR(LOOKUP(2,1/((持仓跟踪!$B$2:$B$501=A126)*(持仓跟踪!$X$2:$X$501="执行卖出")*(持仓跟踪!$Y$2:$Y$501&lt;&gt;"")),持仓跟踪!$Y$2:$Y$501),""))</f>
        <v/>
      </c>
      <c r="L126" s="33">
        <f>IF(A126="","",IFERROR(LOOKUP(2,1/((持仓跟踪!$B$2:$B$501=A126)*(持仓跟踪!$X$2:$X$501="执行卖出")*(持仓跟踪!$Z$2:$Z$501&lt;&gt;"")),持仓跟踪!$Z$2:$Z$501),""))</f>
        <v/>
      </c>
      <c r="M126" s="47">
        <f>IF(A126="","",IFERROR(LOOKUP(2,1/((持仓跟踪!$B$2:$B$501=A126)*(持仓跟踪!$X$2:$X$501="执行卖出")*(持仓跟踪!$H$2:$H$501&lt;&gt;"")),持仓跟踪!$H$2:$H$501),""))</f>
        <v/>
      </c>
      <c r="N126" s="40" t="n"/>
      <c r="O126" s="40" t="n"/>
      <c r="P126" s="46">
        <f>IF(A126="","",IFERROR(LOOKUP(2,1/((持仓跟踪!$B$2:$B$501=A126)*(持仓跟踪!$X$2:$X$501="执行卖出")*(持仓跟踪!$AA$2:$AA$501&lt;&gt;"")),持仓跟踪!$AA$2:$AA$501),""))</f>
        <v/>
      </c>
      <c r="Q126" s="2" t="n"/>
      <c r="R126" s="2" t="n"/>
      <c r="S126" s="2" t="n"/>
      <c r="T126" s="2" t="n"/>
      <c r="U126" s="7">
        <f>IF(OR(AO126="",J126="",AO126&lt;=0),"",(J126-AO126)/AO126)</f>
        <v/>
      </c>
      <c r="V126" s="7">
        <f>IF(OR(AO126="",N126="",AO126&lt;=0),"",(AO126-N126)/AO126)</f>
        <v/>
      </c>
      <c r="W126" s="13">
        <f>IF(OR(U126="",V126="",V126&lt;=0),"",U126/V126)</f>
        <v/>
      </c>
      <c r="X126" s="42">
        <f>IF(OR(K126="",L126="",AP126=""),"",K126*L126-(E126*H126+IF(AND(AK126&lt;&gt;"",AL126&lt;&gt;""),AK126*AL126,0)+IF(AND(AM126&lt;&gt;"",AN126&lt;&gt;""),AM126*AN126,0))-IF(O126="",0,O126)-IF(P126="",0,P126))</f>
        <v/>
      </c>
      <c r="Y126" s="7">
        <f>IF(OR(X126="",AP126=""),"",IF((E126*H126+IF(AND(AK126&lt;&gt;"",AL126&lt;&gt;""),AK126*AL126,0)+IF(AND(AM126&lt;&gt;"",AN126&lt;&gt;""),AM126*AN126,0))+IF(O126="",0,O126)&lt;=0,"",X126/((E126*H126+IF(AND(AK126&lt;&gt;"",AL126&lt;&gt;""),AK126*AL126,0)+IF(AND(AM126&lt;&gt;"",AN126&lt;&gt;""),AM126*AN126,0))+IF(O126="",0,O126))))</f>
        <v/>
      </c>
      <c r="Z126" s="7">
        <f>IF(OR(AE126="",多次统计数据!$B$8=""),"",AE126-多次统计数据!$B$8)</f>
        <v/>
      </c>
      <c r="AA126" s="14">
        <f>IF(OR(I126="",M126="",M126&lt;I126),"",M126-I126)</f>
        <v/>
      </c>
      <c r="AB126" s="7">
        <f>IF(OR(A126="",多次统计数据!$B$8="",多次统计数据!$B$6&lt;=0,多次统计数据!$B$6&gt;=1),"",1-POWER(1+多次统计数据!$B$8,-多次统计数据!$B$6/(1-多次统计数据!$B$6)))</f>
        <v/>
      </c>
      <c r="AC126" s="8">
        <f>IF(OR(AB126="",多次统计数据!$B$9=""),"",IF(多次统计数据!$B$9&lt;AB126,"低于上限","达到或超过上限"))</f>
        <v/>
      </c>
      <c r="AD126" s="2" t="n"/>
      <c r="AE126" s="7">
        <f>IF(OR(X126="",C126="",C126&lt;=0),"",X126/C126)</f>
        <v/>
      </c>
      <c r="AG126" s="28" t="n"/>
      <c r="AH126" s="28" t="n"/>
      <c r="AI126" s="28" t="n"/>
      <c r="AJ126" s="31">
        <f>IF(OR(AG126="",AH126=""),"",IF(OR(AND(AG126="短期博反弹",OR(AH126="1～3个交易日",AH126="4～10个交易日")),AND(AG126="突破冲新高",OR(AH126="4～10个交易日",AH126="11～20个交易日")),AND(AG126="趋势波段",OR(AH126="11～20个交易日",AH126="21～60个交易日",AH126="60个交易日以上"))),"匹配","周期与交易预期不匹配，请重新确认"))</f>
        <v/>
      </c>
      <c r="AK126" s="43" t="n"/>
      <c r="AL126" s="27" t="n"/>
      <c r="AM126" s="43" t="n"/>
      <c r="AN126" s="27" t="n"/>
      <c r="AO126" s="44">
        <f>IF(OR(A126="",H126="",H126&lt;=0),"",(E126*H126+IF(AND(AK126&lt;&gt;"",AL126&lt;&gt;""),AK126*AL126,0)+IF(AND(AM126&lt;&gt;"",AN126&lt;&gt;""),AM126*AN126,0))/AP126)</f>
        <v/>
      </c>
      <c r="AP126" s="26">
        <f>IF(OR(A126="",H126="",H126&lt;=0),"",H126+IF(AL126="",0,AL126)+IF(AN126="",0,AN126))</f>
        <v/>
      </c>
      <c r="AQ126" s="44">
        <f>IF(A126="","",IF(M126&lt;&gt;"",0,IF(OR(H126="",N126=""),"",MAX(E126-MAX(N126,IFERROR(AGGREGATE(14,6,'持仓跟踪'!$S$2:$S$501/(('持仓跟踪'!$A$2:$A$501="每日跟踪")*('持仓跟踪'!$B$2:$B$501=A126)),1),0)),0)*H126+IF(OR(AK126="",AL126=""),0,MAX(AK126-MAX(N126,IFERROR(AGGREGATE(14,6,'持仓跟踪'!$S$2:$S$501/(('持仓跟踪'!$A$2:$A$501="每日跟踪")*('持仓跟踪'!$B$2:$B$501=A126)),1),0)),0)*AL126)+IF(OR(AM126="",AN126=""),0,MAX(AM126-MAX(N126,IFERROR(AGGREGATE(14,6,'持仓跟踪'!$S$2:$S$501/(('持仓跟踪'!$A$2:$A$501="每日跟踪")*('持仓跟踪'!$B$2:$B$501=A126)),1),0)),0)*AN126))))</f>
        <v/>
      </c>
      <c r="AR126" s="31">
        <f>IF(A126="","",IF(OR(E126="",H126=""),"违规：第一批价格或股数缺失",IF(OR(AND(AK126="",AL126&lt;&gt;""),AND(AK126&lt;&gt;"",AL126="")),"违规：第二批价格与股数须成对填写",IF(OR(AND(AM126="",AN126&lt;&gt;""),AND(AM126&lt;&gt;"",AN126="")),"违规：第三批价格与股数须成对填写",IF(AND(OR(AM126&lt;&gt;"",AN126&lt;&gt;""),OR(AK126="",AL126="")),"违规：必须先完成第二批",IF(OR(H126&lt;=0,H126&lt;&gt;INT(H126),MOD(H126,100)&lt;&gt;0,AND(AL126&lt;&gt;"",OR(AL126&lt;=0,AL126&lt;&gt;INT(AL126),MOD(AL126,100)&lt;&gt;0)),AND(AN126&lt;&gt;"",OR(AN126&lt;=0,AN126&lt;&gt;INT(AN126),MOD(AN126,100)&lt;&gt;0))),"违规：股数须为100股整数倍",IF(AND(OR(AL126&lt;&gt;"",AN126&lt;&gt;""),OR(_LockStatus="已锁仓",_LockStatus="解锁信息不完整")),"违规：锁仓期间禁止加仓",IF(AQ126&gt;C126*D126,"违规：超过单笔风险上限",IF(SUM($AQ$2:$AQ$201)&gt;账户数据!$B$7,"违规：超过账户风险上限","通过")))))))))</f>
        <v/>
      </c>
    </row>
    <row r="127">
      <c r="A127" s="2" t="n"/>
      <c r="B127" s="2" t="n"/>
      <c r="C127" s="40" t="n"/>
      <c r="D127" s="6" t="n"/>
      <c r="E127" s="40" t="n"/>
      <c r="F127" s="8">
        <f>IF(OR(C127="",D127="",E127="",N127="",C127&lt;=0,D127&lt;=0,E127&lt;=N127),"",ROUNDDOWN((C127*D127)/(E127-N127)/100,0)*100)</f>
        <v/>
      </c>
      <c r="G127" s="8">
        <f>IF(A127="","",IF(H127&lt;&gt;"","已开仓",IF(账户数据!$B$23="已锁仓","禁止开仓：连续亏损达到上限",IF(账户数据!$B$23="解锁信息不完整","禁止开仓：请完整填写解锁信息",IF(OR(F127="",E127="",N127="",E127&lt;=N127,账户数据!$B$7=""),"",IF(OR(AG127="",AH127="",AI127=""),"禁止开仓：交易预期未填写完整",IF(COUNTIFS(持仓跟踪!$A$2:$A$501,"止损计划",持仓跟踪!$B$2:$B$501,A127,持仓跟踪!$AC$2:$AC$501,"计划有效")=0,"禁止开仓：请先填写止损计划",IF(账户数据!$B$9+F127*(E127-N127)&gt;=账户数据!$B$7,"禁止开仓：风险额度不足",IF(AJ127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7" s="2" t="n"/>
      <c r="I127" s="41" t="n"/>
      <c r="J127" s="40" t="n"/>
      <c r="K127" s="46">
        <f>IF(A127="","",IFERROR(LOOKUP(2,1/((持仓跟踪!$B$2:$B$501=A127)*(持仓跟踪!$X$2:$X$501="执行卖出")*(持仓跟踪!$Y$2:$Y$501&lt;&gt;"")),持仓跟踪!$Y$2:$Y$501),""))</f>
        <v/>
      </c>
      <c r="L127" s="33">
        <f>IF(A127="","",IFERROR(LOOKUP(2,1/((持仓跟踪!$B$2:$B$501=A127)*(持仓跟踪!$X$2:$X$501="执行卖出")*(持仓跟踪!$Z$2:$Z$501&lt;&gt;"")),持仓跟踪!$Z$2:$Z$501),""))</f>
        <v/>
      </c>
      <c r="M127" s="47">
        <f>IF(A127="","",IFERROR(LOOKUP(2,1/((持仓跟踪!$B$2:$B$501=A127)*(持仓跟踪!$X$2:$X$501="执行卖出")*(持仓跟踪!$H$2:$H$501&lt;&gt;"")),持仓跟踪!$H$2:$H$501),""))</f>
        <v/>
      </c>
      <c r="N127" s="40" t="n"/>
      <c r="O127" s="40" t="n"/>
      <c r="P127" s="46">
        <f>IF(A127="","",IFERROR(LOOKUP(2,1/((持仓跟踪!$B$2:$B$501=A127)*(持仓跟踪!$X$2:$X$501="执行卖出")*(持仓跟踪!$AA$2:$AA$501&lt;&gt;"")),持仓跟踪!$AA$2:$AA$501),""))</f>
        <v/>
      </c>
      <c r="Q127" s="2" t="n"/>
      <c r="R127" s="2" t="n"/>
      <c r="S127" s="2" t="n"/>
      <c r="T127" s="2" t="n"/>
      <c r="U127" s="7">
        <f>IF(OR(AO127="",J127="",AO127&lt;=0),"",(J127-AO127)/AO127)</f>
        <v/>
      </c>
      <c r="V127" s="7">
        <f>IF(OR(AO127="",N127="",AO127&lt;=0),"",(AO127-N127)/AO127)</f>
        <v/>
      </c>
      <c r="W127" s="13">
        <f>IF(OR(U127="",V127="",V127&lt;=0),"",U127/V127)</f>
        <v/>
      </c>
      <c r="X127" s="42">
        <f>IF(OR(K127="",L127="",AP127=""),"",K127*L127-(E127*H127+IF(AND(AK127&lt;&gt;"",AL127&lt;&gt;""),AK127*AL127,0)+IF(AND(AM127&lt;&gt;"",AN127&lt;&gt;""),AM127*AN127,0))-IF(O127="",0,O127)-IF(P127="",0,P127))</f>
        <v/>
      </c>
      <c r="Y127" s="7">
        <f>IF(OR(X127="",AP127=""),"",IF((E127*H127+IF(AND(AK127&lt;&gt;"",AL127&lt;&gt;""),AK127*AL127,0)+IF(AND(AM127&lt;&gt;"",AN127&lt;&gt;""),AM127*AN127,0))+IF(O127="",0,O127)&lt;=0,"",X127/((E127*H127+IF(AND(AK127&lt;&gt;"",AL127&lt;&gt;""),AK127*AL127,0)+IF(AND(AM127&lt;&gt;"",AN127&lt;&gt;""),AM127*AN127,0))+IF(O127="",0,O127))))</f>
        <v/>
      </c>
      <c r="Z127" s="7">
        <f>IF(OR(AE127="",多次统计数据!$B$8=""),"",AE127-多次统计数据!$B$8)</f>
        <v/>
      </c>
      <c r="AA127" s="14">
        <f>IF(OR(I127="",M127="",M127&lt;I127),"",M127-I127)</f>
        <v/>
      </c>
      <c r="AB127" s="7">
        <f>IF(OR(A127="",多次统计数据!$B$8="",多次统计数据!$B$6&lt;=0,多次统计数据!$B$6&gt;=1),"",1-POWER(1+多次统计数据!$B$8,-多次统计数据!$B$6/(1-多次统计数据!$B$6)))</f>
        <v/>
      </c>
      <c r="AC127" s="8">
        <f>IF(OR(AB127="",多次统计数据!$B$9=""),"",IF(多次统计数据!$B$9&lt;AB127,"低于上限","达到或超过上限"))</f>
        <v/>
      </c>
      <c r="AD127" s="2" t="n"/>
      <c r="AE127" s="7">
        <f>IF(OR(X127="",C127="",C127&lt;=0),"",X127/C127)</f>
        <v/>
      </c>
      <c r="AG127" s="28" t="n"/>
      <c r="AH127" s="28" t="n"/>
      <c r="AI127" s="28" t="n"/>
      <c r="AJ127" s="31">
        <f>IF(OR(AG127="",AH127=""),"",IF(OR(AND(AG127="短期博反弹",OR(AH127="1～3个交易日",AH127="4～10个交易日")),AND(AG127="突破冲新高",OR(AH127="4～10个交易日",AH127="11～20个交易日")),AND(AG127="趋势波段",OR(AH127="11～20个交易日",AH127="21～60个交易日",AH127="60个交易日以上"))),"匹配","周期与交易预期不匹配，请重新确认"))</f>
        <v/>
      </c>
      <c r="AK127" s="43" t="n"/>
      <c r="AL127" s="27" t="n"/>
      <c r="AM127" s="43" t="n"/>
      <c r="AN127" s="27" t="n"/>
      <c r="AO127" s="44">
        <f>IF(OR(A127="",H127="",H127&lt;=0),"",(E127*H127+IF(AND(AK127&lt;&gt;"",AL127&lt;&gt;""),AK127*AL127,0)+IF(AND(AM127&lt;&gt;"",AN127&lt;&gt;""),AM127*AN127,0))/AP127)</f>
        <v/>
      </c>
      <c r="AP127" s="26">
        <f>IF(OR(A127="",H127="",H127&lt;=0),"",H127+IF(AL127="",0,AL127)+IF(AN127="",0,AN127))</f>
        <v/>
      </c>
      <c r="AQ127" s="44">
        <f>IF(A127="","",IF(M127&lt;&gt;"",0,IF(OR(H127="",N127=""),"",MAX(E127-MAX(N127,IFERROR(AGGREGATE(14,6,'持仓跟踪'!$S$2:$S$501/(('持仓跟踪'!$A$2:$A$501="每日跟踪")*('持仓跟踪'!$B$2:$B$501=A127)),1),0)),0)*H127+IF(OR(AK127="",AL127=""),0,MAX(AK127-MAX(N127,IFERROR(AGGREGATE(14,6,'持仓跟踪'!$S$2:$S$501/(('持仓跟踪'!$A$2:$A$501="每日跟踪")*('持仓跟踪'!$B$2:$B$501=A127)),1),0)),0)*AL127)+IF(OR(AM127="",AN127=""),0,MAX(AM127-MAX(N127,IFERROR(AGGREGATE(14,6,'持仓跟踪'!$S$2:$S$501/(('持仓跟踪'!$A$2:$A$501="每日跟踪")*('持仓跟踪'!$B$2:$B$501=A127)),1),0)),0)*AN127))))</f>
        <v/>
      </c>
      <c r="AR127" s="31">
        <f>IF(A127="","",IF(OR(E127="",H127=""),"违规：第一批价格或股数缺失",IF(OR(AND(AK127="",AL127&lt;&gt;""),AND(AK127&lt;&gt;"",AL127="")),"违规：第二批价格与股数须成对填写",IF(OR(AND(AM127="",AN127&lt;&gt;""),AND(AM127&lt;&gt;"",AN127="")),"违规：第三批价格与股数须成对填写",IF(AND(OR(AM127&lt;&gt;"",AN127&lt;&gt;""),OR(AK127="",AL127="")),"违规：必须先完成第二批",IF(OR(H127&lt;=0,H127&lt;&gt;INT(H127),MOD(H127,100)&lt;&gt;0,AND(AL127&lt;&gt;"",OR(AL127&lt;=0,AL127&lt;&gt;INT(AL127),MOD(AL127,100)&lt;&gt;0)),AND(AN127&lt;&gt;"",OR(AN127&lt;=0,AN127&lt;&gt;INT(AN127),MOD(AN127,100)&lt;&gt;0))),"违规：股数须为100股整数倍",IF(AND(OR(AL127&lt;&gt;"",AN127&lt;&gt;""),OR(_LockStatus="已锁仓",_LockStatus="解锁信息不完整")),"违规：锁仓期间禁止加仓",IF(AQ127&gt;C127*D127,"违规：超过单笔风险上限",IF(SUM($AQ$2:$AQ$201)&gt;账户数据!$B$7,"违规：超过账户风险上限","通过")))))))))</f>
        <v/>
      </c>
    </row>
    <row r="128">
      <c r="A128" s="2" t="n"/>
      <c r="B128" s="2" t="n"/>
      <c r="C128" s="40" t="n"/>
      <c r="D128" s="6" t="n"/>
      <c r="E128" s="40" t="n"/>
      <c r="F128" s="8">
        <f>IF(OR(C128="",D128="",E128="",N128="",C128&lt;=0,D128&lt;=0,E128&lt;=N128),"",ROUNDDOWN((C128*D128)/(E128-N128)/100,0)*100)</f>
        <v/>
      </c>
      <c r="G128" s="8">
        <f>IF(A128="","",IF(H128&lt;&gt;"","已开仓",IF(账户数据!$B$23="已锁仓","禁止开仓：连续亏损达到上限",IF(账户数据!$B$23="解锁信息不完整","禁止开仓：请完整填写解锁信息",IF(OR(F128="",E128="",N128="",E128&lt;=N128,账户数据!$B$7=""),"",IF(OR(AG128="",AH128="",AI128=""),"禁止开仓：交易预期未填写完整",IF(COUNTIFS(持仓跟踪!$A$2:$A$501,"止损计划",持仓跟踪!$B$2:$B$501,A128,持仓跟踪!$AC$2:$AC$501,"计划有效")=0,"禁止开仓：请先填写止损计划",IF(账户数据!$B$9+F128*(E128-N128)&gt;=账户数据!$B$7,"禁止开仓：风险额度不足",IF(AJ128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8" s="2" t="n"/>
      <c r="I128" s="41" t="n"/>
      <c r="J128" s="40" t="n"/>
      <c r="K128" s="46">
        <f>IF(A128="","",IFERROR(LOOKUP(2,1/((持仓跟踪!$B$2:$B$501=A128)*(持仓跟踪!$X$2:$X$501="执行卖出")*(持仓跟踪!$Y$2:$Y$501&lt;&gt;"")),持仓跟踪!$Y$2:$Y$501),""))</f>
        <v/>
      </c>
      <c r="L128" s="33">
        <f>IF(A128="","",IFERROR(LOOKUP(2,1/((持仓跟踪!$B$2:$B$501=A128)*(持仓跟踪!$X$2:$X$501="执行卖出")*(持仓跟踪!$Z$2:$Z$501&lt;&gt;"")),持仓跟踪!$Z$2:$Z$501),""))</f>
        <v/>
      </c>
      <c r="M128" s="47">
        <f>IF(A128="","",IFERROR(LOOKUP(2,1/((持仓跟踪!$B$2:$B$501=A128)*(持仓跟踪!$X$2:$X$501="执行卖出")*(持仓跟踪!$H$2:$H$501&lt;&gt;"")),持仓跟踪!$H$2:$H$501),""))</f>
        <v/>
      </c>
      <c r="N128" s="40" t="n"/>
      <c r="O128" s="40" t="n"/>
      <c r="P128" s="46">
        <f>IF(A128="","",IFERROR(LOOKUP(2,1/((持仓跟踪!$B$2:$B$501=A128)*(持仓跟踪!$X$2:$X$501="执行卖出")*(持仓跟踪!$AA$2:$AA$501&lt;&gt;"")),持仓跟踪!$AA$2:$AA$501),""))</f>
        <v/>
      </c>
      <c r="Q128" s="2" t="n"/>
      <c r="R128" s="2" t="n"/>
      <c r="S128" s="2" t="n"/>
      <c r="T128" s="2" t="n"/>
      <c r="U128" s="7">
        <f>IF(OR(AO128="",J128="",AO128&lt;=0),"",(J128-AO128)/AO128)</f>
        <v/>
      </c>
      <c r="V128" s="7">
        <f>IF(OR(AO128="",N128="",AO128&lt;=0),"",(AO128-N128)/AO128)</f>
        <v/>
      </c>
      <c r="W128" s="13">
        <f>IF(OR(U128="",V128="",V128&lt;=0),"",U128/V128)</f>
        <v/>
      </c>
      <c r="X128" s="42">
        <f>IF(OR(K128="",L128="",AP128=""),"",K128*L128-(E128*H128+IF(AND(AK128&lt;&gt;"",AL128&lt;&gt;""),AK128*AL128,0)+IF(AND(AM128&lt;&gt;"",AN128&lt;&gt;""),AM128*AN128,0))-IF(O128="",0,O128)-IF(P128="",0,P128))</f>
        <v/>
      </c>
      <c r="Y128" s="7">
        <f>IF(OR(X128="",AP128=""),"",IF((E128*H128+IF(AND(AK128&lt;&gt;"",AL128&lt;&gt;""),AK128*AL128,0)+IF(AND(AM128&lt;&gt;"",AN128&lt;&gt;""),AM128*AN128,0))+IF(O128="",0,O128)&lt;=0,"",X128/((E128*H128+IF(AND(AK128&lt;&gt;"",AL128&lt;&gt;""),AK128*AL128,0)+IF(AND(AM128&lt;&gt;"",AN128&lt;&gt;""),AM128*AN128,0))+IF(O128="",0,O128))))</f>
        <v/>
      </c>
      <c r="Z128" s="7">
        <f>IF(OR(AE128="",多次统计数据!$B$8=""),"",AE128-多次统计数据!$B$8)</f>
        <v/>
      </c>
      <c r="AA128" s="14">
        <f>IF(OR(I128="",M128="",M128&lt;I128),"",M128-I128)</f>
        <v/>
      </c>
      <c r="AB128" s="7">
        <f>IF(OR(A128="",多次统计数据!$B$8="",多次统计数据!$B$6&lt;=0,多次统计数据!$B$6&gt;=1),"",1-POWER(1+多次统计数据!$B$8,-多次统计数据!$B$6/(1-多次统计数据!$B$6)))</f>
        <v/>
      </c>
      <c r="AC128" s="8">
        <f>IF(OR(AB128="",多次统计数据!$B$9=""),"",IF(多次统计数据!$B$9&lt;AB128,"低于上限","达到或超过上限"))</f>
        <v/>
      </c>
      <c r="AD128" s="2" t="n"/>
      <c r="AE128" s="7">
        <f>IF(OR(X128="",C128="",C128&lt;=0),"",X128/C128)</f>
        <v/>
      </c>
      <c r="AG128" s="28" t="n"/>
      <c r="AH128" s="28" t="n"/>
      <c r="AI128" s="28" t="n"/>
      <c r="AJ128" s="31">
        <f>IF(OR(AG128="",AH128=""),"",IF(OR(AND(AG128="短期博反弹",OR(AH128="1～3个交易日",AH128="4～10个交易日")),AND(AG128="突破冲新高",OR(AH128="4～10个交易日",AH128="11～20个交易日")),AND(AG128="趋势波段",OR(AH128="11～20个交易日",AH128="21～60个交易日",AH128="60个交易日以上"))),"匹配","周期与交易预期不匹配，请重新确认"))</f>
        <v/>
      </c>
      <c r="AK128" s="43" t="n"/>
      <c r="AL128" s="27" t="n"/>
      <c r="AM128" s="43" t="n"/>
      <c r="AN128" s="27" t="n"/>
      <c r="AO128" s="44">
        <f>IF(OR(A128="",H128="",H128&lt;=0),"",(E128*H128+IF(AND(AK128&lt;&gt;"",AL128&lt;&gt;""),AK128*AL128,0)+IF(AND(AM128&lt;&gt;"",AN128&lt;&gt;""),AM128*AN128,0))/AP128)</f>
        <v/>
      </c>
      <c r="AP128" s="26">
        <f>IF(OR(A128="",H128="",H128&lt;=0),"",H128+IF(AL128="",0,AL128)+IF(AN128="",0,AN128))</f>
        <v/>
      </c>
      <c r="AQ128" s="44">
        <f>IF(A128="","",IF(M128&lt;&gt;"",0,IF(OR(H128="",N128=""),"",MAX(E128-MAX(N128,IFERROR(AGGREGATE(14,6,'持仓跟踪'!$S$2:$S$501/(('持仓跟踪'!$A$2:$A$501="每日跟踪")*('持仓跟踪'!$B$2:$B$501=A128)),1),0)),0)*H128+IF(OR(AK128="",AL128=""),0,MAX(AK128-MAX(N128,IFERROR(AGGREGATE(14,6,'持仓跟踪'!$S$2:$S$501/(('持仓跟踪'!$A$2:$A$501="每日跟踪")*('持仓跟踪'!$B$2:$B$501=A128)),1),0)),0)*AL128)+IF(OR(AM128="",AN128=""),0,MAX(AM128-MAX(N128,IFERROR(AGGREGATE(14,6,'持仓跟踪'!$S$2:$S$501/(('持仓跟踪'!$A$2:$A$501="每日跟踪")*('持仓跟踪'!$B$2:$B$501=A128)),1),0)),0)*AN128))))</f>
        <v/>
      </c>
      <c r="AR128" s="31">
        <f>IF(A128="","",IF(OR(E128="",H128=""),"违规：第一批价格或股数缺失",IF(OR(AND(AK128="",AL128&lt;&gt;""),AND(AK128&lt;&gt;"",AL128="")),"违规：第二批价格与股数须成对填写",IF(OR(AND(AM128="",AN128&lt;&gt;""),AND(AM128&lt;&gt;"",AN128="")),"违规：第三批价格与股数须成对填写",IF(AND(OR(AM128&lt;&gt;"",AN128&lt;&gt;""),OR(AK128="",AL128="")),"违规：必须先完成第二批",IF(OR(H128&lt;=0,H128&lt;&gt;INT(H128),MOD(H128,100)&lt;&gt;0,AND(AL128&lt;&gt;"",OR(AL128&lt;=0,AL128&lt;&gt;INT(AL128),MOD(AL128,100)&lt;&gt;0)),AND(AN128&lt;&gt;"",OR(AN128&lt;=0,AN128&lt;&gt;INT(AN128),MOD(AN128,100)&lt;&gt;0))),"违规：股数须为100股整数倍",IF(AND(OR(AL128&lt;&gt;"",AN128&lt;&gt;""),OR(_LockStatus="已锁仓",_LockStatus="解锁信息不完整")),"违规：锁仓期间禁止加仓",IF(AQ128&gt;C128*D128,"违规：超过单笔风险上限",IF(SUM($AQ$2:$AQ$201)&gt;账户数据!$B$7,"违规：超过账户风险上限","通过")))))))))</f>
        <v/>
      </c>
    </row>
    <row r="129">
      <c r="A129" s="2" t="n"/>
      <c r="B129" s="2" t="n"/>
      <c r="C129" s="40" t="n"/>
      <c r="D129" s="6" t="n"/>
      <c r="E129" s="40" t="n"/>
      <c r="F129" s="8">
        <f>IF(OR(C129="",D129="",E129="",N129="",C129&lt;=0,D129&lt;=0,E129&lt;=N129),"",ROUNDDOWN((C129*D129)/(E129-N129)/100,0)*100)</f>
        <v/>
      </c>
      <c r="G129" s="8">
        <f>IF(A129="","",IF(H129&lt;&gt;"","已开仓",IF(账户数据!$B$23="已锁仓","禁止开仓：连续亏损达到上限",IF(账户数据!$B$23="解锁信息不完整","禁止开仓：请完整填写解锁信息",IF(OR(F129="",E129="",N129="",E129&lt;=N129,账户数据!$B$7=""),"",IF(OR(AG129="",AH129="",AI129=""),"禁止开仓：交易预期未填写完整",IF(COUNTIFS(持仓跟踪!$A$2:$A$501,"止损计划",持仓跟踪!$B$2:$B$501,A129,持仓跟踪!$AC$2:$AC$501,"计划有效")=0,"禁止开仓：请先填写止损计划",IF(账户数据!$B$9+F129*(E129-N129)&gt;=账户数据!$B$7,"禁止开仓：风险额度不足",IF(AJ129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29" s="2" t="n"/>
      <c r="I129" s="41" t="n"/>
      <c r="J129" s="40" t="n"/>
      <c r="K129" s="46">
        <f>IF(A129="","",IFERROR(LOOKUP(2,1/((持仓跟踪!$B$2:$B$501=A129)*(持仓跟踪!$X$2:$X$501="执行卖出")*(持仓跟踪!$Y$2:$Y$501&lt;&gt;"")),持仓跟踪!$Y$2:$Y$501),""))</f>
        <v/>
      </c>
      <c r="L129" s="33">
        <f>IF(A129="","",IFERROR(LOOKUP(2,1/((持仓跟踪!$B$2:$B$501=A129)*(持仓跟踪!$X$2:$X$501="执行卖出")*(持仓跟踪!$Z$2:$Z$501&lt;&gt;"")),持仓跟踪!$Z$2:$Z$501),""))</f>
        <v/>
      </c>
      <c r="M129" s="47">
        <f>IF(A129="","",IFERROR(LOOKUP(2,1/((持仓跟踪!$B$2:$B$501=A129)*(持仓跟踪!$X$2:$X$501="执行卖出")*(持仓跟踪!$H$2:$H$501&lt;&gt;"")),持仓跟踪!$H$2:$H$501),""))</f>
        <v/>
      </c>
      <c r="N129" s="40" t="n"/>
      <c r="O129" s="40" t="n"/>
      <c r="P129" s="46">
        <f>IF(A129="","",IFERROR(LOOKUP(2,1/((持仓跟踪!$B$2:$B$501=A129)*(持仓跟踪!$X$2:$X$501="执行卖出")*(持仓跟踪!$AA$2:$AA$501&lt;&gt;"")),持仓跟踪!$AA$2:$AA$501),""))</f>
        <v/>
      </c>
      <c r="Q129" s="2" t="n"/>
      <c r="R129" s="2" t="n"/>
      <c r="S129" s="2" t="n"/>
      <c r="T129" s="2" t="n"/>
      <c r="U129" s="7">
        <f>IF(OR(AO129="",J129="",AO129&lt;=0),"",(J129-AO129)/AO129)</f>
        <v/>
      </c>
      <c r="V129" s="7">
        <f>IF(OR(AO129="",N129="",AO129&lt;=0),"",(AO129-N129)/AO129)</f>
        <v/>
      </c>
      <c r="W129" s="13">
        <f>IF(OR(U129="",V129="",V129&lt;=0),"",U129/V129)</f>
        <v/>
      </c>
      <c r="X129" s="42">
        <f>IF(OR(K129="",L129="",AP129=""),"",K129*L129-(E129*H129+IF(AND(AK129&lt;&gt;"",AL129&lt;&gt;""),AK129*AL129,0)+IF(AND(AM129&lt;&gt;"",AN129&lt;&gt;""),AM129*AN129,0))-IF(O129="",0,O129)-IF(P129="",0,P129))</f>
        <v/>
      </c>
      <c r="Y129" s="7">
        <f>IF(OR(X129="",AP129=""),"",IF((E129*H129+IF(AND(AK129&lt;&gt;"",AL129&lt;&gt;""),AK129*AL129,0)+IF(AND(AM129&lt;&gt;"",AN129&lt;&gt;""),AM129*AN129,0))+IF(O129="",0,O129)&lt;=0,"",X129/((E129*H129+IF(AND(AK129&lt;&gt;"",AL129&lt;&gt;""),AK129*AL129,0)+IF(AND(AM129&lt;&gt;"",AN129&lt;&gt;""),AM129*AN129,0))+IF(O129="",0,O129))))</f>
        <v/>
      </c>
      <c r="Z129" s="7">
        <f>IF(OR(AE129="",多次统计数据!$B$8=""),"",AE129-多次统计数据!$B$8)</f>
        <v/>
      </c>
      <c r="AA129" s="14">
        <f>IF(OR(I129="",M129="",M129&lt;I129),"",M129-I129)</f>
        <v/>
      </c>
      <c r="AB129" s="7">
        <f>IF(OR(A129="",多次统计数据!$B$8="",多次统计数据!$B$6&lt;=0,多次统计数据!$B$6&gt;=1),"",1-POWER(1+多次统计数据!$B$8,-多次统计数据!$B$6/(1-多次统计数据!$B$6)))</f>
        <v/>
      </c>
      <c r="AC129" s="8">
        <f>IF(OR(AB129="",多次统计数据!$B$9=""),"",IF(多次统计数据!$B$9&lt;AB129,"低于上限","达到或超过上限"))</f>
        <v/>
      </c>
      <c r="AD129" s="2" t="n"/>
      <c r="AE129" s="7">
        <f>IF(OR(X129="",C129="",C129&lt;=0),"",X129/C129)</f>
        <v/>
      </c>
      <c r="AG129" s="28" t="n"/>
      <c r="AH129" s="28" t="n"/>
      <c r="AI129" s="28" t="n"/>
      <c r="AJ129" s="31">
        <f>IF(OR(AG129="",AH129=""),"",IF(OR(AND(AG129="短期博反弹",OR(AH129="1～3个交易日",AH129="4～10个交易日")),AND(AG129="突破冲新高",OR(AH129="4～10个交易日",AH129="11～20个交易日")),AND(AG129="趋势波段",OR(AH129="11～20个交易日",AH129="21～60个交易日",AH129="60个交易日以上"))),"匹配","周期与交易预期不匹配，请重新确认"))</f>
        <v/>
      </c>
      <c r="AK129" s="43" t="n"/>
      <c r="AL129" s="27" t="n"/>
      <c r="AM129" s="43" t="n"/>
      <c r="AN129" s="27" t="n"/>
      <c r="AO129" s="44">
        <f>IF(OR(A129="",H129="",H129&lt;=0),"",(E129*H129+IF(AND(AK129&lt;&gt;"",AL129&lt;&gt;""),AK129*AL129,0)+IF(AND(AM129&lt;&gt;"",AN129&lt;&gt;""),AM129*AN129,0))/AP129)</f>
        <v/>
      </c>
      <c r="AP129" s="26">
        <f>IF(OR(A129="",H129="",H129&lt;=0),"",H129+IF(AL129="",0,AL129)+IF(AN129="",0,AN129))</f>
        <v/>
      </c>
      <c r="AQ129" s="44">
        <f>IF(A129="","",IF(M129&lt;&gt;"",0,IF(OR(H129="",N129=""),"",MAX(E129-MAX(N129,IFERROR(AGGREGATE(14,6,'持仓跟踪'!$S$2:$S$501/(('持仓跟踪'!$A$2:$A$501="每日跟踪")*('持仓跟踪'!$B$2:$B$501=A129)),1),0)),0)*H129+IF(OR(AK129="",AL129=""),0,MAX(AK129-MAX(N129,IFERROR(AGGREGATE(14,6,'持仓跟踪'!$S$2:$S$501/(('持仓跟踪'!$A$2:$A$501="每日跟踪")*('持仓跟踪'!$B$2:$B$501=A129)),1),0)),0)*AL129)+IF(OR(AM129="",AN129=""),0,MAX(AM129-MAX(N129,IFERROR(AGGREGATE(14,6,'持仓跟踪'!$S$2:$S$501/(('持仓跟踪'!$A$2:$A$501="每日跟踪")*('持仓跟踪'!$B$2:$B$501=A129)),1),0)),0)*AN129))))</f>
        <v/>
      </c>
      <c r="AR129" s="31">
        <f>IF(A129="","",IF(OR(E129="",H129=""),"违规：第一批价格或股数缺失",IF(OR(AND(AK129="",AL129&lt;&gt;""),AND(AK129&lt;&gt;"",AL129="")),"违规：第二批价格与股数须成对填写",IF(OR(AND(AM129="",AN129&lt;&gt;""),AND(AM129&lt;&gt;"",AN129="")),"违规：第三批价格与股数须成对填写",IF(AND(OR(AM129&lt;&gt;"",AN129&lt;&gt;""),OR(AK129="",AL129="")),"违规：必须先完成第二批",IF(OR(H129&lt;=0,H129&lt;&gt;INT(H129),MOD(H129,100)&lt;&gt;0,AND(AL129&lt;&gt;"",OR(AL129&lt;=0,AL129&lt;&gt;INT(AL129),MOD(AL129,100)&lt;&gt;0)),AND(AN129&lt;&gt;"",OR(AN129&lt;=0,AN129&lt;&gt;INT(AN129),MOD(AN129,100)&lt;&gt;0))),"违规：股数须为100股整数倍",IF(AND(OR(AL129&lt;&gt;"",AN129&lt;&gt;""),OR(_LockStatus="已锁仓",_LockStatus="解锁信息不完整")),"违规：锁仓期间禁止加仓",IF(AQ129&gt;C129*D129,"违规：超过单笔风险上限",IF(SUM($AQ$2:$AQ$201)&gt;账户数据!$B$7,"违规：超过账户风险上限","通过")))))))))</f>
        <v/>
      </c>
    </row>
    <row r="130">
      <c r="A130" s="2" t="n"/>
      <c r="B130" s="2" t="n"/>
      <c r="C130" s="40" t="n"/>
      <c r="D130" s="6" t="n"/>
      <c r="E130" s="40" t="n"/>
      <c r="F130" s="8">
        <f>IF(OR(C130="",D130="",E130="",N130="",C130&lt;=0,D130&lt;=0,E130&lt;=N130),"",ROUNDDOWN((C130*D130)/(E130-N130)/100,0)*100)</f>
        <v/>
      </c>
      <c r="G130" s="8">
        <f>IF(A130="","",IF(H130&lt;&gt;"","已开仓",IF(账户数据!$B$23="已锁仓","禁止开仓：连续亏损达到上限",IF(账户数据!$B$23="解锁信息不完整","禁止开仓：请完整填写解锁信息",IF(OR(F130="",E130="",N130="",E130&lt;=N130,账户数据!$B$7=""),"",IF(OR(AG130="",AH130="",AI130=""),"禁止开仓：交易预期未填写完整",IF(COUNTIFS(持仓跟踪!$A$2:$A$501,"止损计划",持仓跟踪!$B$2:$B$501,A130,持仓跟踪!$AC$2:$AC$501,"计划有效")=0,"禁止开仓：请先填写止损计划",IF(账户数据!$B$9+F130*(E130-N130)&gt;=账户数据!$B$7,"禁止开仓：风险额度不足",IF(AJ130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0" s="2" t="n"/>
      <c r="I130" s="41" t="n"/>
      <c r="J130" s="40" t="n"/>
      <c r="K130" s="46">
        <f>IF(A130="","",IFERROR(LOOKUP(2,1/((持仓跟踪!$B$2:$B$501=A130)*(持仓跟踪!$X$2:$X$501="执行卖出")*(持仓跟踪!$Y$2:$Y$501&lt;&gt;"")),持仓跟踪!$Y$2:$Y$501),""))</f>
        <v/>
      </c>
      <c r="L130" s="33">
        <f>IF(A130="","",IFERROR(LOOKUP(2,1/((持仓跟踪!$B$2:$B$501=A130)*(持仓跟踪!$X$2:$X$501="执行卖出")*(持仓跟踪!$Z$2:$Z$501&lt;&gt;"")),持仓跟踪!$Z$2:$Z$501),""))</f>
        <v/>
      </c>
      <c r="M130" s="47">
        <f>IF(A130="","",IFERROR(LOOKUP(2,1/((持仓跟踪!$B$2:$B$501=A130)*(持仓跟踪!$X$2:$X$501="执行卖出")*(持仓跟踪!$H$2:$H$501&lt;&gt;"")),持仓跟踪!$H$2:$H$501),""))</f>
        <v/>
      </c>
      <c r="N130" s="40" t="n"/>
      <c r="O130" s="40" t="n"/>
      <c r="P130" s="46">
        <f>IF(A130="","",IFERROR(LOOKUP(2,1/((持仓跟踪!$B$2:$B$501=A130)*(持仓跟踪!$X$2:$X$501="执行卖出")*(持仓跟踪!$AA$2:$AA$501&lt;&gt;"")),持仓跟踪!$AA$2:$AA$501),""))</f>
        <v/>
      </c>
      <c r="Q130" s="2" t="n"/>
      <c r="R130" s="2" t="n"/>
      <c r="S130" s="2" t="n"/>
      <c r="T130" s="2" t="n"/>
      <c r="U130" s="7">
        <f>IF(OR(AO130="",J130="",AO130&lt;=0),"",(J130-AO130)/AO130)</f>
        <v/>
      </c>
      <c r="V130" s="7">
        <f>IF(OR(AO130="",N130="",AO130&lt;=0),"",(AO130-N130)/AO130)</f>
        <v/>
      </c>
      <c r="W130" s="13">
        <f>IF(OR(U130="",V130="",V130&lt;=0),"",U130/V130)</f>
        <v/>
      </c>
      <c r="X130" s="42">
        <f>IF(OR(K130="",L130="",AP130=""),"",K130*L130-(E130*H130+IF(AND(AK130&lt;&gt;"",AL130&lt;&gt;""),AK130*AL130,0)+IF(AND(AM130&lt;&gt;"",AN130&lt;&gt;""),AM130*AN130,0))-IF(O130="",0,O130)-IF(P130="",0,P130))</f>
        <v/>
      </c>
      <c r="Y130" s="7">
        <f>IF(OR(X130="",AP130=""),"",IF((E130*H130+IF(AND(AK130&lt;&gt;"",AL130&lt;&gt;""),AK130*AL130,0)+IF(AND(AM130&lt;&gt;"",AN130&lt;&gt;""),AM130*AN130,0))+IF(O130="",0,O130)&lt;=0,"",X130/((E130*H130+IF(AND(AK130&lt;&gt;"",AL130&lt;&gt;""),AK130*AL130,0)+IF(AND(AM130&lt;&gt;"",AN130&lt;&gt;""),AM130*AN130,0))+IF(O130="",0,O130))))</f>
        <v/>
      </c>
      <c r="Z130" s="7">
        <f>IF(OR(AE130="",多次统计数据!$B$8=""),"",AE130-多次统计数据!$B$8)</f>
        <v/>
      </c>
      <c r="AA130" s="14">
        <f>IF(OR(I130="",M130="",M130&lt;I130),"",M130-I130)</f>
        <v/>
      </c>
      <c r="AB130" s="7">
        <f>IF(OR(A130="",多次统计数据!$B$8="",多次统计数据!$B$6&lt;=0,多次统计数据!$B$6&gt;=1),"",1-POWER(1+多次统计数据!$B$8,-多次统计数据!$B$6/(1-多次统计数据!$B$6)))</f>
        <v/>
      </c>
      <c r="AC130" s="8">
        <f>IF(OR(AB130="",多次统计数据!$B$9=""),"",IF(多次统计数据!$B$9&lt;AB130,"低于上限","达到或超过上限"))</f>
        <v/>
      </c>
      <c r="AD130" s="2" t="n"/>
      <c r="AE130" s="7">
        <f>IF(OR(X130="",C130="",C130&lt;=0),"",X130/C130)</f>
        <v/>
      </c>
      <c r="AG130" s="28" t="n"/>
      <c r="AH130" s="28" t="n"/>
      <c r="AI130" s="28" t="n"/>
      <c r="AJ130" s="31">
        <f>IF(OR(AG130="",AH130=""),"",IF(OR(AND(AG130="短期博反弹",OR(AH130="1～3个交易日",AH130="4～10个交易日")),AND(AG130="突破冲新高",OR(AH130="4～10个交易日",AH130="11～20个交易日")),AND(AG130="趋势波段",OR(AH130="11～20个交易日",AH130="21～60个交易日",AH130="60个交易日以上"))),"匹配","周期与交易预期不匹配，请重新确认"))</f>
        <v/>
      </c>
      <c r="AK130" s="43" t="n"/>
      <c r="AL130" s="27" t="n"/>
      <c r="AM130" s="43" t="n"/>
      <c r="AN130" s="27" t="n"/>
      <c r="AO130" s="44">
        <f>IF(OR(A130="",H130="",H130&lt;=0),"",(E130*H130+IF(AND(AK130&lt;&gt;"",AL130&lt;&gt;""),AK130*AL130,0)+IF(AND(AM130&lt;&gt;"",AN130&lt;&gt;""),AM130*AN130,0))/AP130)</f>
        <v/>
      </c>
      <c r="AP130" s="26">
        <f>IF(OR(A130="",H130="",H130&lt;=0),"",H130+IF(AL130="",0,AL130)+IF(AN130="",0,AN130))</f>
        <v/>
      </c>
      <c r="AQ130" s="44">
        <f>IF(A130="","",IF(M130&lt;&gt;"",0,IF(OR(H130="",N130=""),"",MAX(E130-MAX(N130,IFERROR(AGGREGATE(14,6,'持仓跟踪'!$S$2:$S$501/(('持仓跟踪'!$A$2:$A$501="每日跟踪")*('持仓跟踪'!$B$2:$B$501=A130)),1),0)),0)*H130+IF(OR(AK130="",AL130=""),0,MAX(AK130-MAX(N130,IFERROR(AGGREGATE(14,6,'持仓跟踪'!$S$2:$S$501/(('持仓跟踪'!$A$2:$A$501="每日跟踪")*('持仓跟踪'!$B$2:$B$501=A130)),1),0)),0)*AL130)+IF(OR(AM130="",AN130=""),0,MAX(AM130-MAX(N130,IFERROR(AGGREGATE(14,6,'持仓跟踪'!$S$2:$S$501/(('持仓跟踪'!$A$2:$A$501="每日跟踪")*('持仓跟踪'!$B$2:$B$501=A130)),1),0)),0)*AN130))))</f>
        <v/>
      </c>
      <c r="AR130" s="31">
        <f>IF(A130="","",IF(OR(E130="",H130=""),"违规：第一批价格或股数缺失",IF(OR(AND(AK130="",AL130&lt;&gt;""),AND(AK130&lt;&gt;"",AL130="")),"违规：第二批价格与股数须成对填写",IF(OR(AND(AM130="",AN130&lt;&gt;""),AND(AM130&lt;&gt;"",AN130="")),"违规：第三批价格与股数须成对填写",IF(AND(OR(AM130&lt;&gt;"",AN130&lt;&gt;""),OR(AK130="",AL130="")),"违规：必须先完成第二批",IF(OR(H130&lt;=0,H130&lt;&gt;INT(H130),MOD(H130,100)&lt;&gt;0,AND(AL130&lt;&gt;"",OR(AL130&lt;=0,AL130&lt;&gt;INT(AL130),MOD(AL130,100)&lt;&gt;0)),AND(AN130&lt;&gt;"",OR(AN130&lt;=0,AN130&lt;&gt;INT(AN130),MOD(AN130,100)&lt;&gt;0))),"违规：股数须为100股整数倍",IF(AND(OR(AL130&lt;&gt;"",AN130&lt;&gt;""),OR(_LockStatus="已锁仓",_LockStatus="解锁信息不完整")),"违规：锁仓期间禁止加仓",IF(AQ130&gt;C130*D130,"违规：超过单笔风险上限",IF(SUM($AQ$2:$AQ$201)&gt;账户数据!$B$7,"违规：超过账户风险上限","通过")))))))))</f>
        <v/>
      </c>
    </row>
    <row r="131">
      <c r="A131" s="2" t="n"/>
      <c r="B131" s="2" t="n"/>
      <c r="C131" s="40" t="n"/>
      <c r="D131" s="6" t="n"/>
      <c r="E131" s="40" t="n"/>
      <c r="F131" s="8">
        <f>IF(OR(C131="",D131="",E131="",N131="",C131&lt;=0,D131&lt;=0,E131&lt;=N131),"",ROUNDDOWN((C131*D131)/(E131-N131)/100,0)*100)</f>
        <v/>
      </c>
      <c r="G131" s="8">
        <f>IF(A131="","",IF(H131&lt;&gt;"","已开仓",IF(账户数据!$B$23="已锁仓","禁止开仓：连续亏损达到上限",IF(账户数据!$B$23="解锁信息不完整","禁止开仓：请完整填写解锁信息",IF(OR(F131="",E131="",N131="",E131&lt;=N131,账户数据!$B$7=""),"",IF(OR(AG131="",AH131="",AI131=""),"禁止开仓：交易预期未填写完整",IF(COUNTIFS(持仓跟踪!$A$2:$A$501,"止损计划",持仓跟踪!$B$2:$B$501,A131,持仓跟踪!$AC$2:$AC$501,"计划有效")=0,"禁止开仓：请先填写止损计划",IF(账户数据!$B$9+F131*(E131-N131)&gt;=账户数据!$B$7,"禁止开仓：风险额度不足",IF(AJ131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1" s="2" t="n"/>
      <c r="I131" s="41" t="n"/>
      <c r="J131" s="40" t="n"/>
      <c r="K131" s="46">
        <f>IF(A131="","",IFERROR(LOOKUP(2,1/((持仓跟踪!$B$2:$B$501=A131)*(持仓跟踪!$X$2:$X$501="执行卖出")*(持仓跟踪!$Y$2:$Y$501&lt;&gt;"")),持仓跟踪!$Y$2:$Y$501),""))</f>
        <v/>
      </c>
      <c r="L131" s="33">
        <f>IF(A131="","",IFERROR(LOOKUP(2,1/((持仓跟踪!$B$2:$B$501=A131)*(持仓跟踪!$X$2:$X$501="执行卖出")*(持仓跟踪!$Z$2:$Z$501&lt;&gt;"")),持仓跟踪!$Z$2:$Z$501),""))</f>
        <v/>
      </c>
      <c r="M131" s="47">
        <f>IF(A131="","",IFERROR(LOOKUP(2,1/((持仓跟踪!$B$2:$B$501=A131)*(持仓跟踪!$X$2:$X$501="执行卖出")*(持仓跟踪!$H$2:$H$501&lt;&gt;"")),持仓跟踪!$H$2:$H$501),""))</f>
        <v/>
      </c>
      <c r="N131" s="40" t="n"/>
      <c r="O131" s="40" t="n"/>
      <c r="P131" s="46">
        <f>IF(A131="","",IFERROR(LOOKUP(2,1/((持仓跟踪!$B$2:$B$501=A131)*(持仓跟踪!$X$2:$X$501="执行卖出")*(持仓跟踪!$AA$2:$AA$501&lt;&gt;"")),持仓跟踪!$AA$2:$AA$501),""))</f>
        <v/>
      </c>
      <c r="Q131" s="2" t="n"/>
      <c r="R131" s="2" t="n"/>
      <c r="S131" s="2" t="n"/>
      <c r="T131" s="2" t="n"/>
      <c r="U131" s="7">
        <f>IF(OR(AO131="",J131="",AO131&lt;=0),"",(J131-AO131)/AO131)</f>
        <v/>
      </c>
      <c r="V131" s="7">
        <f>IF(OR(AO131="",N131="",AO131&lt;=0),"",(AO131-N131)/AO131)</f>
        <v/>
      </c>
      <c r="W131" s="13">
        <f>IF(OR(U131="",V131="",V131&lt;=0),"",U131/V131)</f>
        <v/>
      </c>
      <c r="X131" s="42">
        <f>IF(OR(K131="",L131="",AP131=""),"",K131*L131-(E131*H131+IF(AND(AK131&lt;&gt;"",AL131&lt;&gt;""),AK131*AL131,0)+IF(AND(AM131&lt;&gt;"",AN131&lt;&gt;""),AM131*AN131,0))-IF(O131="",0,O131)-IF(P131="",0,P131))</f>
        <v/>
      </c>
      <c r="Y131" s="7">
        <f>IF(OR(X131="",AP131=""),"",IF((E131*H131+IF(AND(AK131&lt;&gt;"",AL131&lt;&gt;""),AK131*AL131,0)+IF(AND(AM131&lt;&gt;"",AN131&lt;&gt;""),AM131*AN131,0))+IF(O131="",0,O131)&lt;=0,"",X131/((E131*H131+IF(AND(AK131&lt;&gt;"",AL131&lt;&gt;""),AK131*AL131,0)+IF(AND(AM131&lt;&gt;"",AN131&lt;&gt;""),AM131*AN131,0))+IF(O131="",0,O131))))</f>
        <v/>
      </c>
      <c r="Z131" s="7">
        <f>IF(OR(AE131="",多次统计数据!$B$8=""),"",AE131-多次统计数据!$B$8)</f>
        <v/>
      </c>
      <c r="AA131" s="14">
        <f>IF(OR(I131="",M131="",M131&lt;I131),"",M131-I131)</f>
        <v/>
      </c>
      <c r="AB131" s="7">
        <f>IF(OR(A131="",多次统计数据!$B$8="",多次统计数据!$B$6&lt;=0,多次统计数据!$B$6&gt;=1),"",1-POWER(1+多次统计数据!$B$8,-多次统计数据!$B$6/(1-多次统计数据!$B$6)))</f>
        <v/>
      </c>
      <c r="AC131" s="8">
        <f>IF(OR(AB131="",多次统计数据!$B$9=""),"",IF(多次统计数据!$B$9&lt;AB131,"低于上限","达到或超过上限"))</f>
        <v/>
      </c>
      <c r="AD131" s="2" t="n"/>
      <c r="AE131" s="7">
        <f>IF(OR(X131="",C131="",C131&lt;=0),"",X131/C131)</f>
        <v/>
      </c>
      <c r="AG131" s="28" t="n"/>
      <c r="AH131" s="28" t="n"/>
      <c r="AI131" s="28" t="n"/>
      <c r="AJ131" s="31">
        <f>IF(OR(AG131="",AH131=""),"",IF(OR(AND(AG131="短期博反弹",OR(AH131="1～3个交易日",AH131="4～10个交易日")),AND(AG131="突破冲新高",OR(AH131="4～10个交易日",AH131="11～20个交易日")),AND(AG131="趋势波段",OR(AH131="11～20个交易日",AH131="21～60个交易日",AH131="60个交易日以上"))),"匹配","周期与交易预期不匹配，请重新确认"))</f>
        <v/>
      </c>
      <c r="AK131" s="43" t="n"/>
      <c r="AL131" s="27" t="n"/>
      <c r="AM131" s="43" t="n"/>
      <c r="AN131" s="27" t="n"/>
      <c r="AO131" s="44">
        <f>IF(OR(A131="",H131="",H131&lt;=0),"",(E131*H131+IF(AND(AK131&lt;&gt;"",AL131&lt;&gt;""),AK131*AL131,0)+IF(AND(AM131&lt;&gt;"",AN131&lt;&gt;""),AM131*AN131,0))/AP131)</f>
        <v/>
      </c>
      <c r="AP131" s="26">
        <f>IF(OR(A131="",H131="",H131&lt;=0),"",H131+IF(AL131="",0,AL131)+IF(AN131="",0,AN131))</f>
        <v/>
      </c>
      <c r="AQ131" s="44">
        <f>IF(A131="","",IF(M131&lt;&gt;"",0,IF(OR(H131="",N131=""),"",MAX(E131-MAX(N131,IFERROR(AGGREGATE(14,6,'持仓跟踪'!$S$2:$S$501/(('持仓跟踪'!$A$2:$A$501="每日跟踪")*('持仓跟踪'!$B$2:$B$501=A131)),1),0)),0)*H131+IF(OR(AK131="",AL131=""),0,MAX(AK131-MAX(N131,IFERROR(AGGREGATE(14,6,'持仓跟踪'!$S$2:$S$501/(('持仓跟踪'!$A$2:$A$501="每日跟踪")*('持仓跟踪'!$B$2:$B$501=A131)),1),0)),0)*AL131)+IF(OR(AM131="",AN131=""),0,MAX(AM131-MAX(N131,IFERROR(AGGREGATE(14,6,'持仓跟踪'!$S$2:$S$501/(('持仓跟踪'!$A$2:$A$501="每日跟踪")*('持仓跟踪'!$B$2:$B$501=A131)),1),0)),0)*AN131))))</f>
        <v/>
      </c>
      <c r="AR131" s="31">
        <f>IF(A131="","",IF(OR(E131="",H131=""),"违规：第一批价格或股数缺失",IF(OR(AND(AK131="",AL131&lt;&gt;""),AND(AK131&lt;&gt;"",AL131="")),"违规：第二批价格与股数须成对填写",IF(OR(AND(AM131="",AN131&lt;&gt;""),AND(AM131&lt;&gt;"",AN131="")),"违规：第三批价格与股数须成对填写",IF(AND(OR(AM131&lt;&gt;"",AN131&lt;&gt;""),OR(AK131="",AL131="")),"违规：必须先完成第二批",IF(OR(H131&lt;=0,H131&lt;&gt;INT(H131),MOD(H131,100)&lt;&gt;0,AND(AL131&lt;&gt;"",OR(AL131&lt;=0,AL131&lt;&gt;INT(AL131),MOD(AL131,100)&lt;&gt;0)),AND(AN131&lt;&gt;"",OR(AN131&lt;=0,AN131&lt;&gt;INT(AN131),MOD(AN131,100)&lt;&gt;0))),"违规：股数须为100股整数倍",IF(AND(OR(AL131&lt;&gt;"",AN131&lt;&gt;""),OR(_LockStatus="已锁仓",_LockStatus="解锁信息不完整")),"违规：锁仓期间禁止加仓",IF(AQ131&gt;C131*D131,"违规：超过单笔风险上限",IF(SUM($AQ$2:$AQ$201)&gt;账户数据!$B$7,"违规：超过账户风险上限","通过")))))))))</f>
        <v/>
      </c>
    </row>
    <row r="132">
      <c r="A132" s="2" t="n"/>
      <c r="B132" s="2" t="n"/>
      <c r="C132" s="40" t="n"/>
      <c r="D132" s="6" t="n"/>
      <c r="E132" s="40" t="n"/>
      <c r="F132" s="8">
        <f>IF(OR(C132="",D132="",E132="",N132="",C132&lt;=0,D132&lt;=0,E132&lt;=N132),"",ROUNDDOWN((C132*D132)/(E132-N132)/100,0)*100)</f>
        <v/>
      </c>
      <c r="G132" s="8">
        <f>IF(A132="","",IF(H132&lt;&gt;"","已开仓",IF(账户数据!$B$23="已锁仓","禁止开仓：连续亏损达到上限",IF(账户数据!$B$23="解锁信息不完整","禁止开仓：请完整填写解锁信息",IF(OR(F132="",E132="",N132="",E132&lt;=N132,账户数据!$B$7=""),"",IF(OR(AG132="",AH132="",AI132=""),"禁止开仓：交易预期未填写完整",IF(COUNTIFS(持仓跟踪!$A$2:$A$501,"止损计划",持仓跟踪!$B$2:$B$501,A132,持仓跟踪!$AC$2:$AC$501,"计划有效")=0,"禁止开仓：请先填写止损计划",IF(账户数据!$B$9+F132*(E132-N132)&gt;=账户数据!$B$7,"禁止开仓：风险额度不足",IF(AJ132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2" s="2" t="n"/>
      <c r="I132" s="41" t="n"/>
      <c r="J132" s="40" t="n"/>
      <c r="K132" s="46">
        <f>IF(A132="","",IFERROR(LOOKUP(2,1/((持仓跟踪!$B$2:$B$501=A132)*(持仓跟踪!$X$2:$X$501="执行卖出")*(持仓跟踪!$Y$2:$Y$501&lt;&gt;"")),持仓跟踪!$Y$2:$Y$501),""))</f>
        <v/>
      </c>
      <c r="L132" s="33">
        <f>IF(A132="","",IFERROR(LOOKUP(2,1/((持仓跟踪!$B$2:$B$501=A132)*(持仓跟踪!$X$2:$X$501="执行卖出")*(持仓跟踪!$Z$2:$Z$501&lt;&gt;"")),持仓跟踪!$Z$2:$Z$501),""))</f>
        <v/>
      </c>
      <c r="M132" s="47">
        <f>IF(A132="","",IFERROR(LOOKUP(2,1/((持仓跟踪!$B$2:$B$501=A132)*(持仓跟踪!$X$2:$X$501="执行卖出")*(持仓跟踪!$H$2:$H$501&lt;&gt;"")),持仓跟踪!$H$2:$H$501),""))</f>
        <v/>
      </c>
      <c r="N132" s="40" t="n"/>
      <c r="O132" s="40" t="n"/>
      <c r="P132" s="46">
        <f>IF(A132="","",IFERROR(LOOKUP(2,1/((持仓跟踪!$B$2:$B$501=A132)*(持仓跟踪!$X$2:$X$501="执行卖出")*(持仓跟踪!$AA$2:$AA$501&lt;&gt;"")),持仓跟踪!$AA$2:$AA$501),""))</f>
        <v/>
      </c>
      <c r="Q132" s="2" t="n"/>
      <c r="R132" s="2" t="n"/>
      <c r="S132" s="2" t="n"/>
      <c r="T132" s="2" t="n"/>
      <c r="U132" s="7">
        <f>IF(OR(AO132="",J132="",AO132&lt;=0),"",(J132-AO132)/AO132)</f>
        <v/>
      </c>
      <c r="V132" s="7">
        <f>IF(OR(AO132="",N132="",AO132&lt;=0),"",(AO132-N132)/AO132)</f>
        <v/>
      </c>
      <c r="W132" s="13">
        <f>IF(OR(U132="",V132="",V132&lt;=0),"",U132/V132)</f>
        <v/>
      </c>
      <c r="X132" s="42">
        <f>IF(OR(K132="",L132="",AP132=""),"",K132*L132-(E132*H132+IF(AND(AK132&lt;&gt;"",AL132&lt;&gt;""),AK132*AL132,0)+IF(AND(AM132&lt;&gt;"",AN132&lt;&gt;""),AM132*AN132,0))-IF(O132="",0,O132)-IF(P132="",0,P132))</f>
        <v/>
      </c>
      <c r="Y132" s="7">
        <f>IF(OR(X132="",AP132=""),"",IF((E132*H132+IF(AND(AK132&lt;&gt;"",AL132&lt;&gt;""),AK132*AL132,0)+IF(AND(AM132&lt;&gt;"",AN132&lt;&gt;""),AM132*AN132,0))+IF(O132="",0,O132)&lt;=0,"",X132/((E132*H132+IF(AND(AK132&lt;&gt;"",AL132&lt;&gt;""),AK132*AL132,0)+IF(AND(AM132&lt;&gt;"",AN132&lt;&gt;""),AM132*AN132,0))+IF(O132="",0,O132))))</f>
        <v/>
      </c>
      <c r="Z132" s="7">
        <f>IF(OR(AE132="",多次统计数据!$B$8=""),"",AE132-多次统计数据!$B$8)</f>
        <v/>
      </c>
      <c r="AA132" s="14">
        <f>IF(OR(I132="",M132="",M132&lt;I132),"",M132-I132)</f>
        <v/>
      </c>
      <c r="AB132" s="7">
        <f>IF(OR(A132="",多次统计数据!$B$8="",多次统计数据!$B$6&lt;=0,多次统计数据!$B$6&gt;=1),"",1-POWER(1+多次统计数据!$B$8,-多次统计数据!$B$6/(1-多次统计数据!$B$6)))</f>
        <v/>
      </c>
      <c r="AC132" s="8">
        <f>IF(OR(AB132="",多次统计数据!$B$9=""),"",IF(多次统计数据!$B$9&lt;AB132,"低于上限","达到或超过上限"))</f>
        <v/>
      </c>
      <c r="AD132" s="2" t="n"/>
      <c r="AE132" s="7">
        <f>IF(OR(X132="",C132="",C132&lt;=0),"",X132/C132)</f>
        <v/>
      </c>
      <c r="AG132" s="28" t="n"/>
      <c r="AH132" s="28" t="n"/>
      <c r="AI132" s="28" t="n"/>
      <c r="AJ132" s="31">
        <f>IF(OR(AG132="",AH132=""),"",IF(OR(AND(AG132="短期博反弹",OR(AH132="1～3个交易日",AH132="4～10个交易日")),AND(AG132="突破冲新高",OR(AH132="4～10个交易日",AH132="11～20个交易日")),AND(AG132="趋势波段",OR(AH132="11～20个交易日",AH132="21～60个交易日",AH132="60个交易日以上"))),"匹配","周期与交易预期不匹配，请重新确认"))</f>
        <v/>
      </c>
      <c r="AK132" s="43" t="n"/>
      <c r="AL132" s="27" t="n"/>
      <c r="AM132" s="43" t="n"/>
      <c r="AN132" s="27" t="n"/>
      <c r="AO132" s="44">
        <f>IF(OR(A132="",H132="",H132&lt;=0),"",(E132*H132+IF(AND(AK132&lt;&gt;"",AL132&lt;&gt;""),AK132*AL132,0)+IF(AND(AM132&lt;&gt;"",AN132&lt;&gt;""),AM132*AN132,0))/AP132)</f>
        <v/>
      </c>
      <c r="AP132" s="26">
        <f>IF(OR(A132="",H132="",H132&lt;=0),"",H132+IF(AL132="",0,AL132)+IF(AN132="",0,AN132))</f>
        <v/>
      </c>
      <c r="AQ132" s="44">
        <f>IF(A132="","",IF(M132&lt;&gt;"",0,IF(OR(H132="",N132=""),"",MAX(E132-MAX(N132,IFERROR(AGGREGATE(14,6,'持仓跟踪'!$S$2:$S$501/(('持仓跟踪'!$A$2:$A$501="每日跟踪")*('持仓跟踪'!$B$2:$B$501=A132)),1),0)),0)*H132+IF(OR(AK132="",AL132=""),0,MAX(AK132-MAX(N132,IFERROR(AGGREGATE(14,6,'持仓跟踪'!$S$2:$S$501/(('持仓跟踪'!$A$2:$A$501="每日跟踪")*('持仓跟踪'!$B$2:$B$501=A132)),1),0)),0)*AL132)+IF(OR(AM132="",AN132=""),0,MAX(AM132-MAX(N132,IFERROR(AGGREGATE(14,6,'持仓跟踪'!$S$2:$S$501/(('持仓跟踪'!$A$2:$A$501="每日跟踪")*('持仓跟踪'!$B$2:$B$501=A132)),1),0)),0)*AN132))))</f>
        <v/>
      </c>
      <c r="AR132" s="31">
        <f>IF(A132="","",IF(OR(E132="",H132=""),"违规：第一批价格或股数缺失",IF(OR(AND(AK132="",AL132&lt;&gt;""),AND(AK132&lt;&gt;"",AL132="")),"违规：第二批价格与股数须成对填写",IF(OR(AND(AM132="",AN132&lt;&gt;""),AND(AM132&lt;&gt;"",AN132="")),"违规：第三批价格与股数须成对填写",IF(AND(OR(AM132&lt;&gt;"",AN132&lt;&gt;""),OR(AK132="",AL132="")),"违规：必须先完成第二批",IF(OR(H132&lt;=0,H132&lt;&gt;INT(H132),MOD(H132,100)&lt;&gt;0,AND(AL132&lt;&gt;"",OR(AL132&lt;=0,AL132&lt;&gt;INT(AL132),MOD(AL132,100)&lt;&gt;0)),AND(AN132&lt;&gt;"",OR(AN132&lt;=0,AN132&lt;&gt;INT(AN132),MOD(AN132,100)&lt;&gt;0))),"违规：股数须为100股整数倍",IF(AND(OR(AL132&lt;&gt;"",AN132&lt;&gt;""),OR(_LockStatus="已锁仓",_LockStatus="解锁信息不完整")),"违规：锁仓期间禁止加仓",IF(AQ132&gt;C132*D132,"违规：超过单笔风险上限",IF(SUM($AQ$2:$AQ$201)&gt;账户数据!$B$7,"违规：超过账户风险上限","通过")))))))))</f>
        <v/>
      </c>
    </row>
    <row r="133">
      <c r="A133" s="2" t="n"/>
      <c r="B133" s="2" t="n"/>
      <c r="C133" s="40" t="n"/>
      <c r="D133" s="6" t="n"/>
      <c r="E133" s="40" t="n"/>
      <c r="F133" s="8">
        <f>IF(OR(C133="",D133="",E133="",N133="",C133&lt;=0,D133&lt;=0,E133&lt;=N133),"",ROUNDDOWN((C133*D133)/(E133-N133)/100,0)*100)</f>
        <v/>
      </c>
      <c r="G133" s="8">
        <f>IF(A133="","",IF(H133&lt;&gt;"","已开仓",IF(账户数据!$B$23="已锁仓","禁止开仓：连续亏损达到上限",IF(账户数据!$B$23="解锁信息不完整","禁止开仓：请完整填写解锁信息",IF(OR(F133="",E133="",N133="",E133&lt;=N133,账户数据!$B$7=""),"",IF(OR(AG133="",AH133="",AI133=""),"禁止开仓：交易预期未填写完整",IF(COUNTIFS(持仓跟踪!$A$2:$A$501,"止损计划",持仓跟踪!$B$2:$B$501,A133,持仓跟踪!$AC$2:$AC$501,"计划有效")=0,"禁止开仓：请先填写止损计划",IF(账户数据!$B$9+F133*(E133-N133)&gt;=账户数据!$B$7,"禁止开仓：风险额度不足",IF(AJ133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3" s="2" t="n"/>
      <c r="I133" s="41" t="n"/>
      <c r="J133" s="40" t="n"/>
      <c r="K133" s="46">
        <f>IF(A133="","",IFERROR(LOOKUP(2,1/((持仓跟踪!$B$2:$B$501=A133)*(持仓跟踪!$X$2:$X$501="执行卖出")*(持仓跟踪!$Y$2:$Y$501&lt;&gt;"")),持仓跟踪!$Y$2:$Y$501),""))</f>
        <v/>
      </c>
      <c r="L133" s="33">
        <f>IF(A133="","",IFERROR(LOOKUP(2,1/((持仓跟踪!$B$2:$B$501=A133)*(持仓跟踪!$X$2:$X$501="执行卖出")*(持仓跟踪!$Z$2:$Z$501&lt;&gt;"")),持仓跟踪!$Z$2:$Z$501),""))</f>
        <v/>
      </c>
      <c r="M133" s="47">
        <f>IF(A133="","",IFERROR(LOOKUP(2,1/((持仓跟踪!$B$2:$B$501=A133)*(持仓跟踪!$X$2:$X$501="执行卖出")*(持仓跟踪!$H$2:$H$501&lt;&gt;"")),持仓跟踪!$H$2:$H$501),""))</f>
        <v/>
      </c>
      <c r="N133" s="40" t="n"/>
      <c r="O133" s="40" t="n"/>
      <c r="P133" s="46">
        <f>IF(A133="","",IFERROR(LOOKUP(2,1/((持仓跟踪!$B$2:$B$501=A133)*(持仓跟踪!$X$2:$X$501="执行卖出")*(持仓跟踪!$AA$2:$AA$501&lt;&gt;"")),持仓跟踪!$AA$2:$AA$501),""))</f>
        <v/>
      </c>
      <c r="Q133" s="2" t="n"/>
      <c r="R133" s="2" t="n"/>
      <c r="S133" s="2" t="n"/>
      <c r="T133" s="2" t="n"/>
      <c r="U133" s="7">
        <f>IF(OR(AO133="",J133="",AO133&lt;=0),"",(J133-AO133)/AO133)</f>
        <v/>
      </c>
      <c r="V133" s="7">
        <f>IF(OR(AO133="",N133="",AO133&lt;=0),"",(AO133-N133)/AO133)</f>
        <v/>
      </c>
      <c r="W133" s="13">
        <f>IF(OR(U133="",V133="",V133&lt;=0),"",U133/V133)</f>
        <v/>
      </c>
      <c r="X133" s="42">
        <f>IF(OR(K133="",L133="",AP133=""),"",K133*L133-(E133*H133+IF(AND(AK133&lt;&gt;"",AL133&lt;&gt;""),AK133*AL133,0)+IF(AND(AM133&lt;&gt;"",AN133&lt;&gt;""),AM133*AN133,0))-IF(O133="",0,O133)-IF(P133="",0,P133))</f>
        <v/>
      </c>
      <c r="Y133" s="7">
        <f>IF(OR(X133="",AP133=""),"",IF((E133*H133+IF(AND(AK133&lt;&gt;"",AL133&lt;&gt;""),AK133*AL133,0)+IF(AND(AM133&lt;&gt;"",AN133&lt;&gt;""),AM133*AN133,0))+IF(O133="",0,O133)&lt;=0,"",X133/((E133*H133+IF(AND(AK133&lt;&gt;"",AL133&lt;&gt;""),AK133*AL133,0)+IF(AND(AM133&lt;&gt;"",AN133&lt;&gt;""),AM133*AN133,0))+IF(O133="",0,O133))))</f>
        <v/>
      </c>
      <c r="Z133" s="7">
        <f>IF(OR(AE133="",多次统计数据!$B$8=""),"",AE133-多次统计数据!$B$8)</f>
        <v/>
      </c>
      <c r="AA133" s="14">
        <f>IF(OR(I133="",M133="",M133&lt;I133),"",M133-I133)</f>
        <v/>
      </c>
      <c r="AB133" s="7">
        <f>IF(OR(A133="",多次统计数据!$B$8="",多次统计数据!$B$6&lt;=0,多次统计数据!$B$6&gt;=1),"",1-POWER(1+多次统计数据!$B$8,-多次统计数据!$B$6/(1-多次统计数据!$B$6)))</f>
        <v/>
      </c>
      <c r="AC133" s="8">
        <f>IF(OR(AB133="",多次统计数据!$B$9=""),"",IF(多次统计数据!$B$9&lt;AB133,"低于上限","达到或超过上限"))</f>
        <v/>
      </c>
      <c r="AD133" s="2" t="n"/>
      <c r="AE133" s="7">
        <f>IF(OR(X133="",C133="",C133&lt;=0),"",X133/C133)</f>
        <v/>
      </c>
      <c r="AG133" s="28" t="n"/>
      <c r="AH133" s="28" t="n"/>
      <c r="AI133" s="28" t="n"/>
      <c r="AJ133" s="31">
        <f>IF(OR(AG133="",AH133=""),"",IF(OR(AND(AG133="短期博反弹",OR(AH133="1～3个交易日",AH133="4～10个交易日")),AND(AG133="突破冲新高",OR(AH133="4～10个交易日",AH133="11～20个交易日")),AND(AG133="趋势波段",OR(AH133="11～20个交易日",AH133="21～60个交易日",AH133="60个交易日以上"))),"匹配","周期与交易预期不匹配，请重新确认"))</f>
        <v/>
      </c>
      <c r="AK133" s="43" t="n"/>
      <c r="AL133" s="27" t="n"/>
      <c r="AM133" s="43" t="n"/>
      <c r="AN133" s="27" t="n"/>
      <c r="AO133" s="44">
        <f>IF(OR(A133="",H133="",H133&lt;=0),"",(E133*H133+IF(AND(AK133&lt;&gt;"",AL133&lt;&gt;""),AK133*AL133,0)+IF(AND(AM133&lt;&gt;"",AN133&lt;&gt;""),AM133*AN133,0))/AP133)</f>
        <v/>
      </c>
      <c r="AP133" s="26">
        <f>IF(OR(A133="",H133="",H133&lt;=0),"",H133+IF(AL133="",0,AL133)+IF(AN133="",0,AN133))</f>
        <v/>
      </c>
      <c r="AQ133" s="44">
        <f>IF(A133="","",IF(M133&lt;&gt;"",0,IF(OR(H133="",N133=""),"",MAX(E133-MAX(N133,IFERROR(AGGREGATE(14,6,'持仓跟踪'!$S$2:$S$501/(('持仓跟踪'!$A$2:$A$501="每日跟踪")*('持仓跟踪'!$B$2:$B$501=A133)),1),0)),0)*H133+IF(OR(AK133="",AL133=""),0,MAX(AK133-MAX(N133,IFERROR(AGGREGATE(14,6,'持仓跟踪'!$S$2:$S$501/(('持仓跟踪'!$A$2:$A$501="每日跟踪")*('持仓跟踪'!$B$2:$B$501=A133)),1),0)),0)*AL133)+IF(OR(AM133="",AN133=""),0,MAX(AM133-MAX(N133,IFERROR(AGGREGATE(14,6,'持仓跟踪'!$S$2:$S$501/(('持仓跟踪'!$A$2:$A$501="每日跟踪")*('持仓跟踪'!$B$2:$B$501=A133)),1),0)),0)*AN133))))</f>
        <v/>
      </c>
      <c r="AR133" s="31">
        <f>IF(A133="","",IF(OR(E133="",H133=""),"违规：第一批价格或股数缺失",IF(OR(AND(AK133="",AL133&lt;&gt;""),AND(AK133&lt;&gt;"",AL133="")),"违规：第二批价格与股数须成对填写",IF(OR(AND(AM133="",AN133&lt;&gt;""),AND(AM133&lt;&gt;"",AN133="")),"违规：第三批价格与股数须成对填写",IF(AND(OR(AM133&lt;&gt;"",AN133&lt;&gt;""),OR(AK133="",AL133="")),"违规：必须先完成第二批",IF(OR(H133&lt;=0,H133&lt;&gt;INT(H133),MOD(H133,100)&lt;&gt;0,AND(AL133&lt;&gt;"",OR(AL133&lt;=0,AL133&lt;&gt;INT(AL133),MOD(AL133,100)&lt;&gt;0)),AND(AN133&lt;&gt;"",OR(AN133&lt;=0,AN133&lt;&gt;INT(AN133),MOD(AN133,100)&lt;&gt;0))),"违规：股数须为100股整数倍",IF(AND(OR(AL133&lt;&gt;"",AN133&lt;&gt;""),OR(_LockStatus="已锁仓",_LockStatus="解锁信息不完整")),"违规：锁仓期间禁止加仓",IF(AQ133&gt;C133*D133,"违规：超过单笔风险上限",IF(SUM($AQ$2:$AQ$201)&gt;账户数据!$B$7,"违规：超过账户风险上限","通过")))))))))</f>
        <v/>
      </c>
    </row>
    <row r="134">
      <c r="A134" s="2" t="n"/>
      <c r="B134" s="2" t="n"/>
      <c r="C134" s="40" t="n"/>
      <c r="D134" s="6" t="n"/>
      <c r="E134" s="40" t="n"/>
      <c r="F134" s="8">
        <f>IF(OR(C134="",D134="",E134="",N134="",C134&lt;=0,D134&lt;=0,E134&lt;=N134),"",ROUNDDOWN((C134*D134)/(E134-N134)/100,0)*100)</f>
        <v/>
      </c>
      <c r="G134" s="8">
        <f>IF(A134="","",IF(H134&lt;&gt;"","已开仓",IF(账户数据!$B$23="已锁仓","禁止开仓：连续亏损达到上限",IF(账户数据!$B$23="解锁信息不完整","禁止开仓：请完整填写解锁信息",IF(OR(F134="",E134="",N134="",E134&lt;=N134,账户数据!$B$7=""),"",IF(OR(AG134="",AH134="",AI134=""),"禁止开仓：交易预期未填写完整",IF(COUNTIFS(持仓跟踪!$A$2:$A$501,"止损计划",持仓跟踪!$B$2:$B$501,A134,持仓跟踪!$AC$2:$AC$501,"计划有效")=0,"禁止开仓：请先填写止损计划",IF(账户数据!$B$9+F134*(E134-N134)&gt;=账户数据!$B$7,"禁止开仓：风险额度不足",IF(AJ134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4" s="2" t="n"/>
      <c r="I134" s="41" t="n"/>
      <c r="J134" s="40" t="n"/>
      <c r="K134" s="46">
        <f>IF(A134="","",IFERROR(LOOKUP(2,1/((持仓跟踪!$B$2:$B$501=A134)*(持仓跟踪!$X$2:$X$501="执行卖出")*(持仓跟踪!$Y$2:$Y$501&lt;&gt;"")),持仓跟踪!$Y$2:$Y$501),""))</f>
        <v/>
      </c>
      <c r="L134" s="33">
        <f>IF(A134="","",IFERROR(LOOKUP(2,1/((持仓跟踪!$B$2:$B$501=A134)*(持仓跟踪!$X$2:$X$501="执行卖出")*(持仓跟踪!$Z$2:$Z$501&lt;&gt;"")),持仓跟踪!$Z$2:$Z$501),""))</f>
        <v/>
      </c>
      <c r="M134" s="47">
        <f>IF(A134="","",IFERROR(LOOKUP(2,1/((持仓跟踪!$B$2:$B$501=A134)*(持仓跟踪!$X$2:$X$501="执行卖出")*(持仓跟踪!$H$2:$H$501&lt;&gt;"")),持仓跟踪!$H$2:$H$501),""))</f>
        <v/>
      </c>
      <c r="N134" s="40" t="n"/>
      <c r="O134" s="40" t="n"/>
      <c r="P134" s="46">
        <f>IF(A134="","",IFERROR(LOOKUP(2,1/((持仓跟踪!$B$2:$B$501=A134)*(持仓跟踪!$X$2:$X$501="执行卖出")*(持仓跟踪!$AA$2:$AA$501&lt;&gt;"")),持仓跟踪!$AA$2:$AA$501),""))</f>
        <v/>
      </c>
      <c r="Q134" s="2" t="n"/>
      <c r="R134" s="2" t="n"/>
      <c r="S134" s="2" t="n"/>
      <c r="T134" s="2" t="n"/>
      <c r="U134" s="7">
        <f>IF(OR(AO134="",J134="",AO134&lt;=0),"",(J134-AO134)/AO134)</f>
        <v/>
      </c>
      <c r="V134" s="7">
        <f>IF(OR(AO134="",N134="",AO134&lt;=0),"",(AO134-N134)/AO134)</f>
        <v/>
      </c>
      <c r="W134" s="13">
        <f>IF(OR(U134="",V134="",V134&lt;=0),"",U134/V134)</f>
        <v/>
      </c>
      <c r="X134" s="42">
        <f>IF(OR(K134="",L134="",AP134=""),"",K134*L134-(E134*H134+IF(AND(AK134&lt;&gt;"",AL134&lt;&gt;""),AK134*AL134,0)+IF(AND(AM134&lt;&gt;"",AN134&lt;&gt;""),AM134*AN134,0))-IF(O134="",0,O134)-IF(P134="",0,P134))</f>
        <v/>
      </c>
      <c r="Y134" s="7">
        <f>IF(OR(X134="",AP134=""),"",IF((E134*H134+IF(AND(AK134&lt;&gt;"",AL134&lt;&gt;""),AK134*AL134,0)+IF(AND(AM134&lt;&gt;"",AN134&lt;&gt;""),AM134*AN134,0))+IF(O134="",0,O134)&lt;=0,"",X134/((E134*H134+IF(AND(AK134&lt;&gt;"",AL134&lt;&gt;""),AK134*AL134,0)+IF(AND(AM134&lt;&gt;"",AN134&lt;&gt;""),AM134*AN134,0))+IF(O134="",0,O134))))</f>
        <v/>
      </c>
      <c r="Z134" s="7">
        <f>IF(OR(AE134="",多次统计数据!$B$8=""),"",AE134-多次统计数据!$B$8)</f>
        <v/>
      </c>
      <c r="AA134" s="14">
        <f>IF(OR(I134="",M134="",M134&lt;I134),"",M134-I134)</f>
        <v/>
      </c>
      <c r="AB134" s="7">
        <f>IF(OR(A134="",多次统计数据!$B$8="",多次统计数据!$B$6&lt;=0,多次统计数据!$B$6&gt;=1),"",1-POWER(1+多次统计数据!$B$8,-多次统计数据!$B$6/(1-多次统计数据!$B$6)))</f>
        <v/>
      </c>
      <c r="AC134" s="8">
        <f>IF(OR(AB134="",多次统计数据!$B$9=""),"",IF(多次统计数据!$B$9&lt;AB134,"低于上限","达到或超过上限"))</f>
        <v/>
      </c>
      <c r="AD134" s="2" t="n"/>
      <c r="AE134" s="7">
        <f>IF(OR(X134="",C134="",C134&lt;=0),"",X134/C134)</f>
        <v/>
      </c>
      <c r="AG134" s="28" t="n"/>
      <c r="AH134" s="28" t="n"/>
      <c r="AI134" s="28" t="n"/>
      <c r="AJ134" s="31">
        <f>IF(OR(AG134="",AH134=""),"",IF(OR(AND(AG134="短期博反弹",OR(AH134="1～3个交易日",AH134="4～10个交易日")),AND(AG134="突破冲新高",OR(AH134="4～10个交易日",AH134="11～20个交易日")),AND(AG134="趋势波段",OR(AH134="11～20个交易日",AH134="21～60个交易日",AH134="60个交易日以上"))),"匹配","周期与交易预期不匹配，请重新确认"))</f>
        <v/>
      </c>
      <c r="AK134" s="43" t="n"/>
      <c r="AL134" s="27" t="n"/>
      <c r="AM134" s="43" t="n"/>
      <c r="AN134" s="27" t="n"/>
      <c r="AO134" s="44">
        <f>IF(OR(A134="",H134="",H134&lt;=0),"",(E134*H134+IF(AND(AK134&lt;&gt;"",AL134&lt;&gt;""),AK134*AL134,0)+IF(AND(AM134&lt;&gt;"",AN134&lt;&gt;""),AM134*AN134,0))/AP134)</f>
        <v/>
      </c>
      <c r="AP134" s="26">
        <f>IF(OR(A134="",H134="",H134&lt;=0),"",H134+IF(AL134="",0,AL134)+IF(AN134="",0,AN134))</f>
        <v/>
      </c>
      <c r="AQ134" s="44">
        <f>IF(A134="","",IF(M134&lt;&gt;"",0,IF(OR(H134="",N134=""),"",MAX(E134-MAX(N134,IFERROR(AGGREGATE(14,6,'持仓跟踪'!$S$2:$S$501/(('持仓跟踪'!$A$2:$A$501="每日跟踪")*('持仓跟踪'!$B$2:$B$501=A134)),1),0)),0)*H134+IF(OR(AK134="",AL134=""),0,MAX(AK134-MAX(N134,IFERROR(AGGREGATE(14,6,'持仓跟踪'!$S$2:$S$501/(('持仓跟踪'!$A$2:$A$501="每日跟踪")*('持仓跟踪'!$B$2:$B$501=A134)),1),0)),0)*AL134)+IF(OR(AM134="",AN134=""),0,MAX(AM134-MAX(N134,IFERROR(AGGREGATE(14,6,'持仓跟踪'!$S$2:$S$501/(('持仓跟踪'!$A$2:$A$501="每日跟踪")*('持仓跟踪'!$B$2:$B$501=A134)),1),0)),0)*AN134))))</f>
        <v/>
      </c>
      <c r="AR134" s="31">
        <f>IF(A134="","",IF(OR(E134="",H134=""),"违规：第一批价格或股数缺失",IF(OR(AND(AK134="",AL134&lt;&gt;""),AND(AK134&lt;&gt;"",AL134="")),"违规：第二批价格与股数须成对填写",IF(OR(AND(AM134="",AN134&lt;&gt;""),AND(AM134&lt;&gt;"",AN134="")),"违规：第三批价格与股数须成对填写",IF(AND(OR(AM134&lt;&gt;"",AN134&lt;&gt;""),OR(AK134="",AL134="")),"违规：必须先完成第二批",IF(OR(H134&lt;=0,H134&lt;&gt;INT(H134),MOD(H134,100)&lt;&gt;0,AND(AL134&lt;&gt;"",OR(AL134&lt;=0,AL134&lt;&gt;INT(AL134),MOD(AL134,100)&lt;&gt;0)),AND(AN134&lt;&gt;"",OR(AN134&lt;=0,AN134&lt;&gt;INT(AN134),MOD(AN134,100)&lt;&gt;0))),"违规：股数须为100股整数倍",IF(AND(OR(AL134&lt;&gt;"",AN134&lt;&gt;""),OR(_LockStatus="已锁仓",_LockStatus="解锁信息不完整")),"违规：锁仓期间禁止加仓",IF(AQ134&gt;C134*D134,"违规：超过单笔风险上限",IF(SUM($AQ$2:$AQ$201)&gt;账户数据!$B$7,"违规：超过账户风险上限","通过")))))))))</f>
        <v/>
      </c>
    </row>
    <row r="135">
      <c r="A135" s="2" t="n"/>
      <c r="B135" s="2" t="n"/>
      <c r="C135" s="40" t="n"/>
      <c r="D135" s="6" t="n"/>
      <c r="E135" s="40" t="n"/>
      <c r="F135" s="8">
        <f>IF(OR(C135="",D135="",E135="",N135="",C135&lt;=0,D135&lt;=0,E135&lt;=N135),"",ROUNDDOWN((C135*D135)/(E135-N135)/100,0)*100)</f>
        <v/>
      </c>
      <c r="G135" s="8">
        <f>IF(A135="","",IF(H135&lt;&gt;"","已开仓",IF(账户数据!$B$23="已锁仓","禁止开仓：连续亏损达到上限",IF(账户数据!$B$23="解锁信息不完整","禁止开仓：请完整填写解锁信息",IF(OR(F135="",E135="",N135="",E135&lt;=N135,账户数据!$B$7=""),"",IF(OR(AG135="",AH135="",AI135=""),"禁止开仓：交易预期未填写完整",IF(COUNTIFS(持仓跟踪!$A$2:$A$501,"止损计划",持仓跟踪!$B$2:$B$501,A135,持仓跟踪!$AC$2:$AC$501,"计划有效")=0,"禁止开仓：请先填写止损计划",IF(账户数据!$B$9+F135*(E135-N135)&gt;=账户数据!$B$7,"禁止开仓：风险额度不足",IF(AJ135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5" s="2" t="n"/>
      <c r="I135" s="41" t="n"/>
      <c r="J135" s="40" t="n"/>
      <c r="K135" s="46">
        <f>IF(A135="","",IFERROR(LOOKUP(2,1/((持仓跟踪!$B$2:$B$501=A135)*(持仓跟踪!$X$2:$X$501="执行卖出")*(持仓跟踪!$Y$2:$Y$501&lt;&gt;"")),持仓跟踪!$Y$2:$Y$501),""))</f>
        <v/>
      </c>
      <c r="L135" s="33">
        <f>IF(A135="","",IFERROR(LOOKUP(2,1/((持仓跟踪!$B$2:$B$501=A135)*(持仓跟踪!$X$2:$X$501="执行卖出")*(持仓跟踪!$Z$2:$Z$501&lt;&gt;"")),持仓跟踪!$Z$2:$Z$501),""))</f>
        <v/>
      </c>
      <c r="M135" s="47">
        <f>IF(A135="","",IFERROR(LOOKUP(2,1/((持仓跟踪!$B$2:$B$501=A135)*(持仓跟踪!$X$2:$X$501="执行卖出")*(持仓跟踪!$H$2:$H$501&lt;&gt;"")),持仓跟踪!$H$2:$H$501),""))</f>
        <v/>
      </c>
      <c r="N135" s="40" t="n"/>
      <c r="O135" s="40" t="n"/>
      <c r="P135" s="46">
        <f>IF(A135="","",IFERROR(LOOKUP(2,1/((持仓跟踪!$B$2:$B$501=A135)*(持仓跟踪!$X$2:$X$501="执行卖出")*(持仓跟踪!$AA$2:$AA$501&lt;&gt;"")),持仓跟踪!$AA$2:$AA$501),""))</f>
        <v/>
      </c>
      <c r="Q135" s="2" t="n"/>
      <c r="R135" s="2" t="n"/>
      <c r="S135" s="2" t="n"/>
      <c r="T135" s="2" t="n"/>
      <c r="U135" s="7">
        <f>IF(OR(AO135="",J135="",AO135&lt;=0),"",(J135-AO135)/AO135)</f>
        <v/>
      </c>
      <c r="V135" s="7">
        <f>IF(OR(AO135="",N135="",AO135&lt;=0),"",(AO135-N135)/AO135)</f>
        <v/>
      </c>
      <c r="W135" s="13">
        <f>IF(OR(U135="",V135="",V135&lt;=0),"",U135/V135)</f>
        <v/>
      </c>
      <c r="X135" s="42">
        <f>IF(OR(K135="",L135="",AP135=""),"",K135*L135-(E135*H135+IF(AND(AK135&lt;&gt;"",AL135&lt;&gt;""),AK135*AL135,0)+IF(AND(AM135&lt;&gt;"",AN135&lt;&gt;""),AM135*AN135,0))-IF(O135="",0,O135)-IF(P135="",0,P135))</f>
        <v/>
      </c>
      <c r="Y135" s="7">
        <f>IF(OR(X135="",AP135=""),"",IF((E135*H135+IF(AND(AK135&lt;&gt;"",AL135&lt;&gt;""),AK135*AL135,0)+IF(AND(AM135&lt;&gt;"",AN135&lt;&gt;""),AM135*AN135,0))+IF(O135="",0,O135)&lt;=0,"",X135/((E135*H135+IF(AND(AK135&lt;&gt;"",AL135&lt;&gt;""),AK135*AL135,0)+IF(AND(AM135&lt;&gt;"",AN135&lt;&gt;""),AM135*AN135,0))+IF(O135="",0,O135))))</f>
        <v/>
      </c>
      <c r="Z135" s="7">
        <f>IF(OR(AE135="",多次统计数据!$B$8=""),"",AE135-多次统计数据!$B$8)</f>
        <v/>
      </c>
      <c r="AA135" s="14">
        <f>IF(OR(I135="",M135="",M135&lt;I135),"",M135-I135)</f>
        <v/>
      </c>
      <c r="AB135" s="7">
        <f>IF(OR(A135="",多次统计数据!$B$8="",多次统计数据!$B$6&lt;=0,多次统计数据!$B$6&gt;=1),"",1-POWER(1+多次统计数据!$B$8,-多次统计数据!$B$6/(1-多次统计数据!$B$6)))</f>
        <v/>
      </c>
      <c r="AC135" s="8">
        <f>IF(OR(AB135="",多次统计数据!$B$9=""),"",IF(多次统计数据!$B$9&lt;AB135,"低于上限","达到或超过上限"))</f>
        <v/>
      </c>
      <c r="AD135" s="2" t="n"/>
      <c r="AE135" s="7">
        <f>IF(OR(X135="",C135="",C135&lt;=0),"",X135/C135)</f>
        <v/>
      </c>
      <c r="AG135" s="28" t="n"/>
      <c r="AH135" s="28" t="n"/>
      <c r="AI135" s="28" t="n"/>
      <c r="AJ135" s="31">
        <f>IF(OR(AG135="",AH135=""),"",IF(OR(AND(AG135="短期博反弹",OR(AH135="1～3个交易日",AH135="4～10个交易日")),AND(AG135="突破冲新高",OR(AH135="4～10个交易日",AH135="11～20个交易日")),AND(AG135="趋势波段",OR(AH135="11～20个交易日",AH135="21～60个交易日",AH135="60个交易日以上"))),"匹配","周期与交易预期不匹配，请重新确认"))</f>
        <v/>
      </c>
      <c r="AK135" s="43" t="n"/>
      <c r="AL135" s="27" t="n"/>
      <c r="AM135" s="43" t="n"/>
      <c r="AN135" s="27" t="n"/>
      <c r="AO135" s="44">
        <f>IF(OR(A135="",H135="",H135&lt;=0),"",(E135*H135+IF(AND(AK135&lt;&gt;"",AL135&lt;&gt;""),AK135*AL135,0)+IF(AND(AM135&lt;&gt;"",AN135&lt;&gt;""),AM135*AN135,0))/AP135)</f>
        <v/>
      </c>
      <c r="AP135" s="26">
        <f>IF(OR(A135="",H135="",H135&lt;=0),"",H135+IF(AL135="",0,AL135)+IF(AN135="",0,AN135))</f>
        <v/>
      </c>
      <c r="AQ135" s="44">
        <f>IF(A135="","",IF(M135&lt;&gt;"",0,IF(OR(H135="",N135=""),"",MAX(E135-MAX(N135,IFERROR(AGGREGATE(14,6,'持仓跟踪'!$S$2:$S$501/(('持仓跟踪'!$A$2:$A$501="每日跟踪")*('持仓跟踪'!$B$2:$B$501=A135)),1),0)),0)*H135+IF(OR(AK135="",AL135=""),0,MAX(AK135-MAX(N135,IFERROR(AGGREGATE(14,6,'持仓跟踪'!$S$2:$S$501/(('持仓跟踪'!$A$2:$A$501="每日跟踪")*('持仓跟踪'!$B$2:$B$501=A135)),1),0)),0)*AL135)+IF(OR(AM135="",AN135=""),0,MAX(AM135-MAX(N135,IFERROR(AGGREGATE(14,6,'持仓跟踪'!$S$2:$S$501/(('持仓跟踪'!$A$2:$A$501="每日跟踪")*('持仓跟踪'!$B$2:$B$501=A135)),1),0)),0)*AN135))))</f>
        <v/>
      </c>
      <c r="AR135" s="31">
        <f>IF(A135="","",IF(OR(E135="",H135=""),"违规：第一批价格或股数缺失",IF(OR(AND(AK135="",AL135&lt;&gt;""),AND(AK135&lt;&gt;"",AL135="")),"违规：第二批价格与股数须成对填写",IF(OR(AND(AM135="",AN135&lt;&gt;""),AND(AM135&lt;&gt;"",AN135="")),"违规：第三批价格与股数须成对填写",IF(AND(OR(AM135&lt;&gt;"",AN135&lt;&gt;""),OR(AK135="",AL135="")),"违规：必须先完成第二批",IF(OR(H135&lt;=0,H135&lt;&gt;INT(H135),MOD(H135,100)&lt;&gt;0,AND(AL135&lt;&gt;"",OR(AL135&lt;=0,AL135&lt;&gt;INT(AL135),MOD(AL135,100)&lt;&gt;0)),AND(AN135&lt;&gt;"",OR(AN135&lt;=0,AN135&lt;&gt;INT(AN135),MOD(AN135,100)&lt;&gt;0))),"违规：股数须为100股整数倍",IF(AND(OR(AL135&lt;&gt;"",AN135&lt;&gt;""),OR(_LockStatus="已锁仓",_LockStatus="解锁信息不完整")),"违规：锁仓期间禁止加仓",IF(AQ135&gt;C135*D135,"违规：超过单笔风险上限",IF(SUM($AQ$2:$AQ$201)&gt;账户数据!$B$7,"违规：超过账户风险上限","通过")))))))))</f>
        <v/>
      </c>
    </row>
    <row r="136">
      <c r="A136" s="2" t="n"/>
      <c r="B136" s="2" t="n"/>
      <c r="C136" s="40" t="n"/>
      <c r="D136" s="6" t="n"/>
      <c r="E136" s="40" t="n"/>
      <c r="F136" s="8">
        <f>IF(OR(C136="",D136="",E136="",N136="",C136&lt;=0,D136&lt;=0,E136&lt;=N136),"",ROUNDDOWN((C136*D136)/(E136-N136)/100,0)*100)</f>
        <v/>
      </c>
      <c r="G136" s="8">
        <f>IF(A136="","",IF(H136&lt;&gt;"","已开仓",IF(账户数据!$B$23="已锁仓","禁止开仓：连续亏损达到上限",IF(账户数据!$B$23="解锁信息不完整","禁止开仓：请完整填写解锁信息",IF(OR(F136="",E136="",N136="",E136&lt;=N136,账户数据!$B$7=""),"",IF(OR(AG136="",AH136="",AI136=""),"禁止开仓：交易预期未填写完整",IF(COUNTIFS(持仓跟踪!$A$2:$A$501,"止损计划",持仓跟踪!$B$2:$B$501,A136,持仓跟踪!$AC$2:$AC$501,"计划有效")=0,"禁止开仓：请先填写止损计划",IF(账户数据!$B$9+F136*(E136-N136)&gt;=账户数据!$B$7,"禁止开仓：风险额度不足",IF(AJ136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6" s="2" t="n"/>
      <c r="I136" s="41" t="n"/>
      <c r="J136" s="40" t="n"/>
      <c r="K136" s="46">
        <f>IF(A136="","",IFERROR(LOOKUP(2,1/((持仓跟踪!$B$2:$B$501=A136)*(持仓跟踪!$X$2:$X$501="执行卖出")*(持仓跟踪!$Y$2:$Y$501&lt;&gt;"")),持仓跟踪!$Y$2:$Y$501),""))</f>
        <v/>
      </c>
      <c r="L136" s="33">
        <f>IF(A136="","",IFERROR(LOOKUP(2,1/((持仓跟踪!$B$2:$B$501=A136)*(持仓跟踪!$X$2:$X$501="执行卖出")*(持仓跟踪!$Z$2:$Z$501&lt;&gt;"")),持仓跟踪!$Z$2:$Z$501),""))</f>
        <v/>
      </c>
      <c r="M136" s="47">
        <f>IF(A136="","",IFERROR(LOOKUP(2,1/((持仓跟踪!$B$2:$B$501=A136)*(持仓跟踪!$X$2:$X$501="执行卖出")*(持仓跟踪!$H$2:$H$501&lt;&gt;"")),持仓跟踪!$H$2:$H$501),""))</f>
        <v/>
      </c>
      <c r="N136" s="40" t="n"/>
      <c r="O136" s="40" t="n"/>
      <c r="P136" s="46">
        <f>IF(A136="","",IFERROR(LOOKUP(2,1/((持仓跟踪!$B$2:$B$501=A136)*(持仓跟踪!$X$2:$X$501="执行卖出")*(持仓跟踪!$AA$2:$AA$501&lt;&gt;"")),持仓跟踪!$AA$2:$AA$501),""))</f>
        <v/>
      </c>
      <c r="Q136" s="2" t="n"/>
      <c r="R136" s="2" t="n"/>
      <c r="S136" s="2" t="n"/>
      <c r="T136" s="2" t="n"/>
      <c r="U136" s="7">
        <f>IF(OR(AO136="",J136="",AO136&lt;=0),"",(J136-AO136)/AO136)</f>
        <v/>
      </c>
      <c r="V136" s="7">
        <f>IF(OR(AO136="",N136="",AO136&lt;=0),"",(AO136-N136)/AO136)</f>
        <v/>
      </c>
      <c r="W136" s="13">
        <f>IF(OR(U136="",V136="",V136&lt;=0),"",U136/V136)</f>
        <v/>
      </c>
      <c r="X136" s="42">
        <f>IF(OR(K136="",L136="",AP136=""),"",K136*L136-(E136*H136+IF(AND(AK136&lt;&gt;"",AL136&lt;&gt;""),AK136*AL136,0)+IF(AND(AM136&lt;&gt;"",AN136&lt;&gt;""),AM136*AN136,0))-IF(O136="",0,O136)-IF(P136="",0,P136))</f>
        <v/>
      </c>
      <c r="Y136" s="7">
        <f>IF(OR(X136="",AP136=""),"",IF((E136*H136+IF(AND(AK136&lt;&gt;"",AL136&lt;&gt;""),AK136*AL136,0)+IF(AND(AM136&lt;&gt;"",AN136&lt;&gt;""),AM136*AN136,0))+IF(O136="",0,O136)&lt;=0,"",X136/((E136*H136+IF(AND(AK136&lt;&gt;"",AL136&lt;&gt;""),AK136*AL136,0)+IF(AND(AM136&lt;&gt;"",AN136&lt;&gt;""),AM136*AN136,0))+IF(O136="",0,O136))))</f>
        <v/>
      </c>
      <c r="Z136" s="7">
        <f>IF(OR(AE136="",多次统计数据!$B$8=""),"",AE136-多次统计数据!$B$8)</f>
        <v/>
      </c>
      <c r="AA136" s="14">
        <f>IF(OR(I136="",M136="",M136&lt;I136),"",M136-I136)</f>
        <v/>
      </c>
      <c r="AB136" s="7">
        <f>IF(OR(A136="",多次统计数据!$B$8="",多次统计数据!$B$6&lt;=0,多次统计数据!$B$6&gt;=1),"",1-POWER(1+多次统计数据!$B$8,-多次统计数据!$B$6/(1-多次统计数据!$B$6)))</f>
        <v/>
      </c>
      <c r="AC136" s="8">
        <f>IF(OR(AB136="",多次统计数据!$B$9=""),"",IF(多次统计数据!$B$9&lt;AB136,"低于上限","达到或超过上限"))</f>
        <v/>
      </c>
      <c r="AD136" s="2" t="n"/>
      <c r="AE136" s="7">
        <f>IF(OR(X136="",C136="",C136&lt;=0),"",X136/C136)</f>
        <v/>
      </c>
      <c r="AG136" s="28" t="n"/>
      <c r="AH136" s="28" t="n"/>
      <c r="AI136" s="28" t="n"/>
      <c r="AJ136" s="31">
        <f>IF(OR(AG136="",AH136=""),"",IF(OR(AND(AG136="短期博反弹",OR(AH136="1～3个交易日",AH136="4～10个交易日")),AND(AG136="突破冲新高",OR(AH136="4～10个交易日",AH136="11～20个交易日")),AND(AG136="趋势波段",OR(AH136="11～20个交易日",AH136="21～60个交易日",AH136="60个交易日以上"))),"匹配","周期与交易预期不匹配，请重新确认"))</f>
        <v/>
      </c>
      <c r="AK136" s="43" t="n"/>
      <c r="AL136" s="27" t="n"/>
      <c r="AM136" s="43" t="n"/>
      <c r="AN136" s="27" t="n"/>
      <c r="AO136" s="44">
        <f>IF(OR(A136="",H136="",H136&lt;=0),"",(E136*H136+IF(AND(AK136&lt;&gt;"",AL136&lt;&gt;""),AK136*AL136,0)+IF(AND(AM136&lt;&gt;"",AN136&lt;&gt;""),AM136*AN136,0))/AP136)</f>
        <v/>
      </c>
      <c r="AP136" s="26">
        <f>IF(OR(A136="",H136="",H136&lt;=0),"",H136+IF(AL136="",0,AL136)+IF(AN136="",0,AN136))</f>
        <v/>
      </c>
      <c r="AQ136" s="44">
        <f>IF(A136="","",IF(M136&lt;&gt;"",0,IF(OR(H136="",N136=""),"",MAX(E136-MAX(N136,IFERROR(AGGREGATE(14,6,'持仓跟踪'!$S$2:$S$501/(('持仓跟踪'!$A$2:$A$501="每日跟踪")*('持仓跟踪'!$B$2:$B$501=A136)),1),0)),0)*H136+IF(OR(AK136="",AL136=""),0,MAX(AK136-MAX(N136,IFERROR(AGGREGATE(14,6,'持仓跟踪'!$S$2:$S$501/(('持仓跟踪'!$A$2:$A$501="每日跟踪")*('持仓跟踪'!$B$2:$B$501=A136)),1),0)),0)*AL136)+IF(OR(AM136="",AN136=""),0,MAX(AM136-MAX(N136,IFERROR(AGGREGATE(14,6,'持仓跟踪'!$S$2:$S$501/(('持仓跟踪'!$A$2:$A$501="每日跟踪")*('持仓跟踪'!$B$2:$B$501=A136)),1),0)),0)*AN136))))</f>
        <v/>
      </c>
      <c r="AR136" s="31">
        <f>IF(A136="","",IF(OR(E136="",H136=""),"违规：第一批价格或股数缺失",IF(OR(AND(AK136="",AL136&lt;&gt;""),AND(AK136&lt;&gt;"",AL136="")),"违规：第二批价格与股数须成对填写",IF(OR(AND(AM136="",AN136&lt;&gt;""),AND(AM136&lt;&gt;"",AN136="")),"违规：第三批价格与股数须成对填写",IF(AND(OR(AM136&lt;&gt;"",AN136&lt;&gt;""),OR(AK136="",AL136="")),"违规：必须先完成第二批",IF(OR(H136&lt;=0,H136&lt;&gt;INT(H136),MOD(H136,100)&lt;&gt;0,AND(AL136&lt;&gt;"",OR(AL136&lt;=0,AL136&lt;&gt;INT(AL136),MOD(AL136,100)&lt;&gt;0)),AND(AN136&lt;&gt;"",OR(AN136&lt;=0,AN136&lt;&gt;INT(AN136),MOD(AN136,100)&lt;&gt;0))),"违规：股数须为100股整数倍",IF(AND(OR(AL136&lt;&gt;"",AN136&lt;&gt;""),OR(_LockStatus="已锁仓",_LockStatus="解锁信息不完整")),"违规：锁仓期间禁止加仓",IF(AQ136&gt;C136*D136,"违规：超过单笔风险上限",IF(SUM($AQ$2:$AQ$201)&gt;账户数据!$B$7,"违规：超过账户风险上限","通过")))))))))</f>
        <v/>
      </c>
    </row>
    <row r="137">
      <c r="A137" s="2" t="n"/>
      <c r="B137" s="2" t="n"/>
      <c r="C137" s="40" t="n"/>
      <c r="D137" s="6" t="n"/>
      <c r="E137" s="40" t="n"/>
      <c r="F137" s="8">
        <f>IF(OR(C137="",D137="",E137="",N137="",C137&lt;=0,D137&lt;=0,E137&lt;=N137),"",ROUNDDOWN((C137*D137)/(E137-N137)/100,0)*100)</f>
        <v/>
      </c>
      <c r="G137" s="8">
        <f>IF(A137="","",IF(H137&lt;&gt;"","已开仓",IF(账户数据!$B$23="已锁仓","禁止开仓：连续亏损达到上限",IF(账户数据!$B$23="解锁信息不完整","禁止开仓：请完整填写解锁信息",IF(OR(F137="",E137="",N137="",E137&lt;=N137,账户数据!$B$7=""),"",IF(OR(AG137="",AH137="",AI137=""),"禁止开仓：交易预期未填写完整",IF(COUNTIFS(持仓跟踪!$A$2:$A$501,"止损计划",持仓跟踪!$B$2:$B$501,A137,持仓跟踪!$AC$2:$AC$501,"计划有效")=0,"禁止开仓：请先填写止损计划",IF(账户数据!$B$9+F137*(E137-N137)&gt;=账户数据!$B$7,"禁止开仓：风险额度不足",IF(AJ137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7" s="2" t="n"/>
      <c r="I137" s="41" t="n"/>
      <c r="J137" s="40" t="n"/>
      <c r="K137" s="46">
        <f>IF(A137="","",IFERROR(LOOKUP(2,1/((持仓跟踪!$B$2:$B$501=A137)*(持仓跟踪!$X$2:$X$501="执行卖出")*(持仓跟踪!$Y$2:$Y$501&lt;&gt;"")),持仓跟踪!$Y$2:$Y$501),""))</f>
        <v/>
      </c>
      <c r="L137" s="33">
        <f>IF(A137="","",IFERROR(LOOKUP(2,1/((持仓跟踪!$B$2:$B$501=A137)*(持仓跟踪!$X$2:$X$501="执行卖出")*(持仓跟踪!$Z$2:$Z$501&lt;&gt;"")),持仓跟踪!$Z$2:$Z$501),""))</f>
        <v/>
      </c>
      <c r="M137" s="47">
        <f>IF(A137="","",IFERROR(LOOKUP(2,1/((持仓跟踪!$B$2:$B$501=A137)*(持仓跟踪!$X$2:$X$501="执行卖出")*(持仓跟踪!$H$2:$H$501&lt;&gt;"")),持仓跟踪!$H$2:$H$501),""))</f>
        <v/>
      </c>
      <c r="N137" s="40" t="n"/>
      <c r="O137" s="40" t="n"/>
      <c r="P137" s="46">
        <f>IF(A137="","",IFERROR(LOOKUP(2,1/((持仓跟踪!$B$2:$B$501=A137)*(持仓跟踪!$X$2:$X$501="执行卖出")*(持仓跟踪!$AA$2:$AA$501&lt;&gt;"")),持仓跟踪!$AA$2:$AA$501),""))</f>
        <v/>
      </c>
      <c r="Q137" s="2" t="n"/>
      <c r="R137" s="2" t="n"/>
      <c r="S137" s="2" t="n"/>
      <c r="T137" s="2" t="n"/>
      <c r="U137" s="7">
        <f>IF(OR(AO137="",J137="",AO137&lt;=0),"",(J137-AO137)/AO137)</f>
        <v/>
      </c>
      <c r="V137" s="7">
        <f>IF(OR(AO137="",N137="",AO137&lt;=0),"",(AO137-N137)/AO137)</f>
        <v/>
      </c>
      <c r="W137" s="13">
        <f>IF(OR(U137="",V137="",V137&lt;=0),"",U137/V137)</f>
        <v/>
      </c>
      <c r="X137" s="42">
        <f>IF(OR(K137="",L137="",AP137=""),"",K137*L137-(E137*H137+IF(AND(AK137&lt;&gt;"",AL137&lt;&gt;""),AK137*AL137,0)+IF(AND(AM137&lt;&gt;"",AN137&lt;&gt;""),AM137*AN137,0))-IF(O137="",0,O137)-IF(P137="",0,P137))</f>
        <v/>
      </c>
      <c r="Y137" s="7">
        <f>IF(OR(X137="",AP137=""),"",IF((E137*H137+IF(AND(AK137&lt;&gt;"",AL137&lt;&gt;""),AK137*AL137,0)+IF(AND(AM137&lt;&gt;"",AN137&lt;&gt;""),AM137*AN137,0))+IF(O137="",0,O137)&lt;=0,"",X137/((E137*H137+IF(AND(AK137&lt;&gt;"",AL137&lt;&gt;""),AK137*AL137,0)+IF(AND(AM137&lt;&gt;"",AN137&lt;&gt;""),AM137*AN137,0))+IF(O137="",0,O137))))</f>
        <v/>
      </c>
      <c r="Z137" s="7">
        <f>IF(OR(AE137="",多次统计数据!$B$8=""),"",AE137-多次统计数据!$B$8)</f>
        <v/>
      </c>
      <c r="AA137" s="14">
        <f>IF(OR(I137="",M137="",M137&lt;I137),"",M137-I137)</f>
        <v/>
      </c>
      <c r="AB137" s="7">
        <f>IF(OR(A137="",多次统计数据!$B$8="",多次统计数据!$B$6&lt;=0,多次统计数据!$B$6&gt;=1),"",1-POWER(1+多次统计数据!$B$8,-多次统计数据!$B$6/(1-多次统计数据!$B$6)))</f>
        <v/>
      </c>
      <c r="AC137" s="8">
        <f>IF(OR(AB137="",多次统计数据!$B$9=""),"",IF(多次统计数据!$B$9&lt;AB137,"低于上限","达到或超过上限"))</f>
        <v/>
      </c>
      <c r="AD137" s="2" t="n"/>
      <c r="AE137" s="7">
        <f>IF(OR(X137="",C137="",C137&lt;=0),"",X137/C137)</f>
        <v/>
      </c>
      <c r="AG137" s="28" t="n"/>
      <c r="AH137" s="28" t="n"/>
      <c r="AI137" s="28" t="n"/>
      <c r="AJ137" s="31">
        <f>IF(OR(AG137="",AH137=""),"",IF(OR(AND(AG137="短期博反弹",OR(AH137="1～3个交易日",AH137="4～10个交易日")),AND(AG137="突破冲新高",OR(AH137="4～10个交易日",AH137="11～20个交易日")),AND(AG137="趋势波段",OR(AH137="11～20个交易日",AH137="21～60个交易日",AH137="60个交易日以上"))),"匹配","周期与交易预期不匹配，请重新确认"))</f>
        <v/>
      </c>
      <c r="AK137" s="43" t="n"/>
      <c r="AL137" s="27" t="n"/>
      <c r="AM137" s="43" t="n"/>
      <c r="AN137" s="27" t="n"/>
      <c r="AO137" s="44">
        <f>IF(OR(A137="",H137="",H137&lt;=0),"",(E137*H137+IF(AND(AK137&lt;&gt;"",AL137&lt;&gt;""),AK137*AL137,0)+IF(AND(AM137&lt;&gt;"",AN137&lt;&gt;""),AM137*AN137,0))/AP137)</f>
        <v/>
      </c>
      <c r="AP137" s="26">
        <f>IF(OR(A137="",H137="",H137&lt;=0),"",H137+IF(AL137="",0,AL137)+IF(AN137="",0,AN137))</f>
        <v/>
      </c>
      <c r="AQ137" s="44">
        <f>IF(A137="","",IF(M137&lt;&gt;"",0,IF(OR(H137="",N137=""),"",MAX(E137-MAX(N137,IFERROR(AGGREGATE(14,6,'持仓跟踪'!$S$2:$S$501/(('持仓跟踪'!$A$2:$A$501="每日跟踪")*('持仓跟踪'!$B$2:$B$501=A137)),1),0)),0)*H137+IF(OR(AK137="",AL137=""),0,MAX(AK137-MAX(N137,IFERROR(AGGREGATE(14,6,'持仓跟踪'!$S$2:$S$501/(('持仓跟踪'!$A$2:$A$501="每日跟踪")*('持仓跟踪'!$B$2:$B$501=A137)),1),0)),0)*AL137)+IF(OR(AM137="",AN137=""),0,MAX(AM137-MAX(N137,IFERROR(AGGREGATE(14,6,'持仓跟踪'!$S$2:$S$501/(('持仓跟踪'!$A$2:$A$501="每日跟踪")*('持仓跟踪'!$B$2:$B$501=A137)),1),0)),0)*AN137))))</f>
        <v/>
      </c>
      <c r="AR137" s="31">
        <f>IF(A137="","",IF(OR(E137="",H137=""),"违规：第一批价格或股数缺失",IF(OR(AND(AK137="",AL137&lt;&gt;""),AND(AK137&lt;&gt;"",AL137="")),"违规：第二批价格与股数须成对填写",IF(OR(AND(AM137="",AN137&lt;&gt;""),AND(AM137&lt;&gt;"",AN137="")),"违规：第三批价格与股数须成对填写",IF(AND(OR(AM137&lt;&gt;"",AN137&lt;&gt;""),OR(AK137="",AL137="")),"违规：必须先完成第二批",IF(OR(H137&lt;=0,H137&lt;&gt;INT(H137),MOD(H137,100)&lt;&gt;0,AND(AL137&lt;&gt;"",OR(AL137&lt;=0,AL137&lt;&gt;INT(AL137),MOD(AL137,100)&lt;&gt;0)),AND(AN137&lt;&gt;"",OR(AN137&lt;=0,AN137&lt;&gt;INT(AN137),MOD(AN137,100)&lt;&gt;0))),"违规：股数须为100股整数倍",IF(AND(OR(AL137&lt;&gt;"",AN137&lt;&gt;""),OR(_LockStatus="已锁仓",_LockStatus="解锁信息不完整")),"违规：锁仓期间禁止加仓",IF(AQ137&gt;C137*D137,"违规：超过单笔风险上限",IF(SUM($AQ$2:$AQ$201)&gt;账户数据!$B$7,"违规：超过账户风险上限","通过")))))))))</f>
        <v/>
      </c>
    </row>
    <row r="138">
      <c r="A138" s="2" t="n"/>
      <c r="B138" s="2" t="n"/>
      <c r="C138" s="40" t="n"/>
      <c r="D138" s="6" t="n"/>
      <c r="E138" s="40" t="n"/>
      <c r="F138" s="8">
        <f>IF(OR(C138="",D138="",E138="",N138="",C138&lt;=0,D138&lt;=0,E138&lt;=N138),"",ROUNDDOWN((C138*D138)/(E138-N138)/100,0)*100)</f>
        <v/>
      </c>
      <c r="G138" s="8">
        <f>IF(A138="","",IF(H138&lt;&gt;"","已开仓",IF(账户数据!$B$23="已锁仓","禁止开仓：连续亏损达到上限",IF(账户数据!$B$23="解锁信息不完整","禁止开仓：请完整填写解锁信息",IF(OR(F138="",E138="",N138="",E138&lt;=N138,账户数据!$B$7=""),"",IF(OR(AG138="",AH138="",AI138=""),"禁止开仓：交易预期未填写完整",IF(COUNTIFS(持仓跟踪!$A$2:$A$501,"止损计划",持仓跟踪!$B$2:$B$501,A138,持仓跟踪!$AC$2:$AC$501,"计划有效")=0,"禁止开仓：请先填写止损计划",IF(账户数据!$B$9+F138*(E138-N138)&gt;=账户数据!$B$7,"禁止开仓：风险额度不足",IF(AJ138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8" s="2" t="n"/>
      <c r="I138" s="41" t="n"/>
      <c r="J138" s="40" t="n"/>
      <c r="K138" s="46">
        <f>IF(A138="","",IFERROR(LOOKUP(2,1/((持仓跟踪!$B$2:$B$501=A138)*(持仓跟踪!$X$2:$X$501="执行卖出")*(持仓跟踪!$Y$2:$Y$501&lt;&gt;"")),持仓跟踪!$Y$2:$Y$501),""))</f>
        <v/>
      </c>
      <c r="L138" s="33">
        <f>IF(A138="","",IFERROR(LOOKUP(2,1/((持仓跟踪!$B$2:$B$501=A138)*(持仓跟踪!$X$2:$X$501="执行卖出")*(持仓跟踪!$Z$2:$Z$501&lt;&gt;"")),持仓跟踪!$Z$2:$Z$501),""))</f>
        <v/>
      </c>
      <c r="M138" s="47">
        <f>IF(A138="","",IFERROR(LOOKUP(2,1/((持仓跟踪!$B$2:$B$501=A138)*(持仓跟踪!$X$2:$X$501="执行卖出")*(持仓跟踪!$H$2:$H$501&lt;&gt;"")),持仓跟踪!$H$2:$H$501),""))</f>
        <v/>
      </c>
      <c r="N138" s="40" t="n"/>
      <c r="O138" s="40" t="n"/>
      <c r="P138" s="46">
        <f>IF(A138="","",IFERROR(LOOKUP(2,1/((持仓跟踪!$B$2:$B$501=A138)*(持仓跟踪!$X$2:$X$501="执行卖出")*(持仓跟踪!$AA$2:$AA$501&lt;&gt;"")),持仓跟踪!$AA$2:$AA$501),""))</f>
        <v/>
      </c>
      <c r="Q138" s="2" t="n"/>
      <c r="R138" s="2" t="n"/>
      <c r="S138" s="2" t="n"/>
      <c r="T138" s="2" t="n"/>
      <c r="U138" s="7">
        <f>IF(OR(AO138="",J138="",AO138&lt;=0),"",(J138-AO138)/AO138)</f>
        <v/>
      </c>
      <c r="V138" s="7">
        <f>IF(OR(AO138="",N138="",AO138&lt;=0),"",(AO138-N138)/AO138)</f>
        <v/>
      </c>
      <c r="W138" s="13">
        <f>IF(OR(U138="",V138="",V138&lt;=0),"",U138/V138)</f>
        <v/>
      </c>
      <c r="X138" s="42">
        <f>IF(OR(K138="",L138="",AP138=""),"",K138*L138-(E138*H138+IF(AND(AK138&lt;&gt;"",AL138&lt;&gt;""),AK138*AL138,0)+IF(AND(AM138&lt;&gt;"",AN138&lt;&gt;""),AM138*AN138,0))-IF(O138="",0,O138)-IF(P138="",0,P138))</f>
        <v/>
      </c>
      <c r="Y138" s="7">
        <f>IF(OR(X138="",AP138=""),"",IF((E138*H138+IF(AND(AK138&lt;&gt;"",AL138&lt;&gt;""),AK138*AL138,0)+IF(AND(AM138&lt;&gt;"",AN138&lt;&gt;""),AM138*AN138,0))+IF(O138="",0,O138)&lt;=0,"",X138/((E138*H138+IF(AND(AK138&lt;&gt;"",AL138&lt;&gt;""),AK138*AL138,0)+IF(AND(AM138&lt;&gt;"",AN138&lt;&gt;""),AM138*AN138,0))+IF(O138="",0,O138))))</f>
        <v/>
      </c>
      <c r="Z138" s="7">
        <f>IF(OR(AE138="",多次统计数据!$B$8=""),"",AE138-多次统计数据!$B$8)</f>
        <v/>
      </c>
      <c r="AA138" s="14">
        <f>IF(OR(I138="",M138="",M138&lt;I138),"",M138-I138)</f>
        <v/>
      </c>
      <c r="AB138" s="7">
        <f>IF(OR(A138="",多次统计数据!$B$8="",多次统计数据!$B$6&lt;=0,多次统计数据!$B$6&gt;=1),"",1-POWER(1+多次统计数据!$B$8,-多次统计数据!$B$6/(1-多次统计数据!$B$6)))</f>
        <v/>
      </c>
      <c r="AC138" s="8">
        <f>IF(OR(AB138="",多次统计数据!$B$9=""),"",IF(多次统计数据!$B$9&lt;AB138,"低于上限","达到或超过上限"))</f>
        <v/>
      </c>
      <c r="AD138" s="2" t="n"/>
      <c r="AE138" s="7">
        <f>IF(OR(X138="",C138="",C138&lt;=0),"",X138/C138)</f>
        <v/>
      </c>
      <c r="AG138" s="28" t="n"/>
      <c r="AH138" s="28" t="n"/>
      <c r="AI138" s="28" t="n"/>
      <c r="AJ138" s="31">
        <f>IF(OR(AG138="",AH138=""),"",IF(OR(AND(AG138="短期博反弹",OR(AH138="1～3个交易日",AH138="4～10个交易日")),AND(AG138="突破冲新高",OR(AH138="4～10个交易日",AH138="11～20个交易日")),AND(AG138="趋势波段",OR(AH138="11～20个交易日",AH138="21～60个交易日",AH138="60个交易日以上"))),"匹配","周期与交易预期不匹配，请重新确认"))</f>
        <v/>
      </c>
      <c r="AK138" s="43" t="n"/>
      <c r="AL138" s="27" t="n"/>
      <c r="AM138" s="43" t="n"/>
      <c r="AN138" s="27" t="n"/>
      <c r="AO138" s="44">
        <f>IF(OR(A138="",H138="",H138&lt;=0),"",(E138*H138+IF(AND(AK138&lt;&gt;"",AL138&lt;&gt;""),AK138*AL138,0)+IF(AND(AM138&lt;&gt;"",AN138&lt;&gt;""),AM138*AN138,0))/AP138)</f>
        <v/>
      </c>
      <c r="AP138" s="26">
        <f>IF(OR(A138="",H138="",H138&lt;=0),"",H138+IF(AL138="",0,AL138)+IF(AN138="",0,AN138))</f>
        <v/>
      </c>
      <c r="AQ138" s="44">
        <f>IF(A138="","",IF(M138&lt;&gt;"",0,IF(OR(H138="",N138=""),"",MAX(E138-MAX(N138,IFERROR(AGGREGATE(14,6,'持仓跟踪'!$S$2:$S$501/(('持仓跟踪'!$A$2:$A$501="每日跟踪")*('持仓跟踪'!$B$2:$B$501=A138)),1),0)),0)*H138+IF(OR(AK138="",AL138=""),0,MAX(AK138-MAX(N138,IFERROR(AGGREGATE(14,6,'持仓跟踪'!$S$2:$S$501/(('持仓跟踪'!$A$2:$A$501="每日跟踪")*('持仓跟踪'!$B$2:$B$501=A138)),1),0)),0)*AL138)+IF(OR(AM138="",AN138=""),0,MAX(AM138-MAX(N138,IFERROR(AGGREGATE(14,6,'持仓跟踪'!$S$2:$S$501/(('持仓跟踪'!$A$2:$A$501="每日跟踪")*('持仓跟踪'!$B$2:$B$501=A138)),1),0)),0)*AN138))))</f>
        <v/>
      </c>
      <c r="AR138" s="31">
        <f>IF(A138="","",IF(OR(E138="",H138=""),"违规：第一批价格或股数缺失",IF(OR(AND(AK138="",AL138&lt;&gt;""),AND(AK138&lt;&gt;"",AL138="")),"违规：第二批价格与股数须成对填写",IF(OR(AND(AM138="",AN138&lt;&gt;""),AND(AM138&lt;&gt;"",AN138="")),"违规：第三批价格与股数须成对填写",IF(AND(OR(AM138&lt;&gt;"",AN138&lt;&gt;""),OR(AK138="",AL138="")),"违规：必须先完成第二批",IF(OR(H138&lt;=0,H138&lt;&gt;INT(H138),MOD(H138,100)&lt;&gt;0,AND(AL138&lt;&gt;"",OR(AL138&lt;=0,AL138&lt;&gt;INT(AL138),MOD(AL138,100)&lt;&gt;0)),AND(AN138&lt;&gt;"",OR(AN138&lt;=0,AN138&lt;&gt;INT(AN138),MOD(AN138,100)&lt;&gt;0))),"违规：股数须为100股整数倍",IF(AND(OR(AL138&lt;&gt;"",AN138&lt;&gt;""),OR(_LockStatus="已锁仓",_LockStatus="解锁信息不完整")),"违规：锁仓期间禁止加仓",IF(AQ138&gt;C138*D138,"违规：超过单笔风险上限",IF(SUM($AQ$2:$AQ$201)&gt;账户数据!$B$7,"违规：超过账户风险上限","通过")))))))))</f>
        <v/>
      </c>
    </row>
    <row r="139">
      <c r="A139" s="2" t="n"/>
      <c r="B139" s="2" t="n"/>
      <c r="C139" s="40" t="n"/>
      <c r="D139" s="6" t="n"/>
      <c r="E139" s="40" t="n"/>
      <c r="F139" s="8">
        <f>IF(OR(C139="",D139="",E139="",N139="",C139&lt;=0,D139&lt;=0,E139&lt;=N139),"",ROUNDDOWN((C139*D139)/(E139-N139)/100,0)*100)</f>
        <v/>
      </c>
      <c r="G139" s="8">
        <f>IF(A139="","",IF(H139&lt;&gt;"","已开仓",IF(账户数据!$B$23="已锁仓","禁止开仓：连续亏损达到上限",IF(账户数据!$B$23="解锁信息不完整","禁止开仓：请完整填写解锁信息",IF(OR(F139="",E139="",N139="",E139&lt;=N139,账户数据!$B$7=""),"",IF(OR(AG139="",AH139="",AI139=""),"禁止开仓：交易预期未填写完整",IF(COUNTIFS(持仓跟踪!$A$2:$A$501,"止损计划",持仓跟踪!$B$2:$B$501,A139,持仓跟踪!$AC$2:$AC$501,"计划有效")=0,"禁止开仓：请先填写止损计划",IF(账户数据!$B$9+F139*(E139-N139)&gt;=账户数据!$B$7,"禁止开仓：风险额度不足",IF(AJ139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39" s="2" t="n"/>
      <c r="I139" s="41" t="n"/>
      <c r="J139" s="40" t="n"/>
      <c r="K139" s="46">
        <f>IF(A139="","",IFERROR(LOOKUP(2,1/((持仓跟踪!$B$2:$B$501=A139)*(持仓跟踪!$X$2:$X$501="执行卖出")*(持仓跟踪!$Y$2:$Y$501&lt;&gt;"")),持仓跟踪!$Y$2:$Y$501),""))</f>
        <v/>
      </c>
      <c r="L139" s="33">
        <f>IF(A139="","",IFERROR(LOOKUP(2,1/((持仓跟踪!$B$2:$B$501=A139)*(持仓跟踪!$X$2:$X$501="执行卖出")*(持仓跟踪!$Z$2:$Z$501&lt;&gt;"")),持仓跟踪!$Z$2:$Z$501),""))</f>
        <v/>
      </c>
      <c r="M139" s="47">
        <f>IF(A139="","",IFERROR(LOOKUP(2,1/((持仓跟踪!$B$2:$B$501=A139)*(持仓跟踪!$X$2:$X$501="执行卖出")*(持仓跟踪!$H$2:$H$501&lt;&gt;"")),持仓跟踪!$H$2:$H$501),""))</f>
        <v/>
      </c>
      <c r="N139" s="40" t="n"/>
      <c r="O139" s="40" t="n"/>
      <c r="P139" s="46">
        <f>IF(A139="","",IFERROR(LOOKUP(2,1/((持仓跟踪!$B$2:$B$501=A139)*(持仓跟踪!$X$2:$X$501="执行卖出")*(持仓跟踪!$AA$2:$AA$501&lt;&gt;"")),持仓跟踪!$AA$2:$AA$501),""))</f>
        <v/>
      </c>
      <c r="Q139" s="2" t="n"/>
      <c r="R139" s="2" t="n"/>
      <c r="S139" s="2" t="n"/>
      <c r="T139" s="2" t="n"/>
      <c r="U139" s="7">
        <f>IF(OR(AO139="",J139="",AO139&lt;=0),"",(J139-AO139)/AO139)</f>
        <v/>
      </c>
      <c r="V139" s="7">
        <f>IF(OR(AO139="",N139="",AO139&lt;=0),"",(AO139-N139)/AO139)</f>
        <v/>
      </c>
      <c r="W139" s="13">
        <f>IF(OR(U139="",V139="",V139&lt;=0),"",U139/V139)</f>
        <v/>
      </c>
      <c r="X139" s="42">
        <f>IF(OR(K139="",L139="",AP139=""),"",K139*L139-(E139*H139+IF(AND(AK139&lt;&gt;"",AL139&lt;&gt;""),AK139*AL139,0)+IF(AND(AM139&lt;&gt;"",AN139&lt;&gt;""),AM139*AN139,0))-IF(O139="",0,O139)-IF(P139="",0,P139))</f>
        <v/>
      </c>
      <c r="Y139" s="7">
        <f>IF(OR(X139="",AP139=""),"",IF((E139*H139+IF(AND(AK139&lt;&gt;"",AL139&lt;&gt;""),AK139*AL139,0)+IF(AND(AM139&lt;&gt;"",AN139&lt;&gt;""),AM139*AN139,0))+IF(O139="",0,O139)&lt;=0,"",X139/((E139*H139+IF(AND(AK139&lt;&gt;"",AL139&lt;&gt;""),AK139*AL139,0)+IF(AND(AM139&lt;&gt;"",AN139&lt;&gt;""),AM139*AN139,0))+IF(O139="",0,O139))))</f>
        <v/>
      </c>
      <c r="Z139" s="7">
        <f>IF(OR(AE139="",多次统计数据!$B$8=""),"",AE139-多次统计数据!$B$8)</f>
        <v/>
      </c>
      <c r="AA139" s="14">
        <f>IF(OR(I139="",M139="",M139&lt;I139),"",M139-I139)</f>
        <v/>
      </c>
      <c r="AB139" s="7">
        <f>IF(OR(A139="",多次统计数据!$B$8="",多次统计数据!$B$6&lt;=0,多次统计数据!$B$6&gt;=1),"",1-POWER(1+多次统计数据!$B$8,-多次统计数据!$B$6/(1-多次统计数据!$B$6)))</f>
        <v/>
      </c>
      <c r="AC139" s="8">
        <f>IF(OR(AB139="",多次统计数据!$B$9=""),"",IF(多次统计数据!$B$9&lt;AB139,"低于上限","达到或超过上限"))</f>
        <v/>
      </c>
      <c r="AD139" s="2" t="n"/>
      <c r="AE139" s="7">
        <f>IF(OR(X139="",C139="",C139&lt;=0),"",X139/C139)</f>
        <v/>
      </c>
      <c r="AG139" s="28" t="n"/>
      <c r="AH139" s="28" t="n"/>
      <c r="AI139" s="28" t="n"/>
      <c r="AJ139" s="31">
        <f>IF(OR(AG139="",AH139=""),"",IF(OR(AND(AG139="短期博反弹",OR(AH139="1～3个交易日",AH139="4～10个交易日")),AND(AG139="突破冲新高",OR(AH139="4～10个交易日",AH139="11～20个交易日")),AND(AG139="趋势波段",OR(AH139="11～20个交易日",AH139="21～60个交易日",AH139="60个交易日以上"))),"匹配","周期与交易预期不匹配，请重新确认"))</f>
        <v/>
      </c>
      <c r="AK139" s="43" t="n"/>
      <c r="AL139" s="27" t="n"/>
      <c r="AM139" s="43" t="n"/>
      <c r="AN139" s="27" t="n"/>
      <c r="AO139" s="44">
        <f>IF(OR(A139="",H139="",H139&lt;=0),"",(E139*H139+IF(AND(AK139&lt;&gt;"",AL139&lt;&gt;""),AK139*AL139,0)+IF(AND(AM139&lt;&gt;"",AN139&lt;&gt;""),AM139*AN139,0))/AP139)</f>
        <v/>
      </c>
      <c r="AP139" s="26">
        <f>IF(OR(A139="",H139="",H139&lt;=0),"",H139+IF(AL139="",0,AL139)+IF(AN139="",0,AN139))</f>
        <v/>
      </c>
      <c r="AQ139" s="44">
        <f>IF(A139="","",IF(M139&lt;&gt;"",0,IF(OR(H139="",N139=""),"",MAX(E139-MAX(N139,IFERROR(AGGREGATE(14,6,'持仓跟踪'!$S$2:$S$501/(('持仓跟踪'!$A$2:$A$501="每日跟踪")*('持仓跟踪'!$B$2:$B$501=A139)),1),0)),0)*H139+IF(OR(AK139="",AL139=""),0,MAX(AK139-MAX(N139,IFERROR(AGGREGATE(14,6,'持仓跟踪'!$S$2:$S$501/(('持仓跟踪'!$A$2:$A$501="每日跟踪")*('持仓跟踪'!$B$2:$B$501=A139)),1),0)),0)*AL139)+IF(OR(AM139="",AN139=""),0,MAX(AM139-MAX(N139,IFERROR(AGGREGATE(14,6,'持仓跟踪'!$S$2:$S$501/(('持仓跟踪'!$A$2:$A$501="每日跟踪")*('持仓跟踪'!$B$2:$B$501=A139)),1),0)),0)*AN139))))</f>
        <v/>
      </c>
      <c r="AR139" s="31">
        <f>IF(A139="","",IF(OR(E139="",H139=""),"违规：第一批价格或股数缺失",IF(OR(AND(AK139="",AL139&lt;&gt;""),AND(AK139&lt;&gt;"",AL139="")),"违规：第二批价格与股数须成对填写",IF(OR(AND(AM139="",AN139&lt;&gt;""),AND(AM139&lt;&gt;"",AN139="")),"违规：第三批价格与股数须成对填写",IF(AND(OR(AM139&lt;&gt;"",AN139&lt;&gt;""),OR(AK139="",AL139="")),"违规：必须先完成第二批",IF(OR(H139&lt;=0,H139&lt;&gt;INT(H139),MOD(H139,100)&lt;&gt;0,AND(AL139&lt;&gt;"",OR(AL139&lt;=0,AL139&lt;&gt;INT(AL139),MOD(AL139,100)&lt;&gt;0)),AND(AN139&lt;&gt;"",OR(AN139&lt;=0,AN139&lt;&gt;INT(AN139),MOD(AN139,100)&lt;&gt;0))),"违规：股数须为100股整数倍",IF(AND(OR(AL139&lt;&gt;"",AN139&lt;&gt;""),OR(_LockStatus="已锁仓",_LockStatus="解锁信息不完整")),"违规：锁仓期间禁止加仓",IF(AQ139&gt;C139*D139,"违规：超过单笔风险上限",IF(SUM($AQ$2:$AQ$201)&gt;账户数据!$B$7,"违规：超过账户风险上限","通过")))))))))</f>
        <v/>
      </c>
    </row>
    <row r="140">
      <c r="A140" s="2" t="n"/>
      <c r="B140" s="2" t="n"/>
      <c r="C140" s="40" t="n"/>
      <c r="D140" s="6" t="n"/>
      <c r="E140" s="40" t="n"/>
      <c r="F140" s="8">
        <f>IF(OR(C140="",D140="",E140="",N140="",C140&lt;=0,D140&lt;=0,E140&lt;=N140),"",ROUNDDOWN((C140*D140)/(E140-N140)/100,0)*100)</f>
        <v/>
      </c>
      <c r="G140" s="8">
        <f>IF(A140="","",IF(H140&lt;&gt;"","已开仓",IF(账户数据!$B$23="已锁仓","禁止开仓：连续亏损达到上限",IF(账户数据!$B$23="解锁信息不完整","禁止开仓：请完整填写解锁信息",IF(OR(F140="",E140="",N140="",E140&lt;=N140,账户数据!$B$7=""),"",IF(OR(AG140="",AH140="",AI140=""),"禁止开仓：交易预期未填写完整",IF(COUNTIFS(持仓跟踪!$A$2:$A$501,"止损计划",持仓跟踪!$B$2:$B$501,A140,持仓跟踪!$AC$2:$AC$501,"计划有效")=0,"禁止开仓：请先填写止损计划",IF(账户数据!$B$9+F140*(E140-N140)&gt;=账户数据!$B$7,"禁止开仓：风险额度不足",IF(AJ140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0" s="2" t="n"/>
      <c r="I140" s="41" t="n"/>
      <c r="J140" s="40" t="n"/>
      <c r="K140" s="46">
        <f>IF(A140="","",IFERROR(LOOKUP(2,1/((持仓跟踪!$B$2:$B$501=A140)*(持仓跟踪!$X$2:$X$501="执行卖出")*(持仓跟踪!$Y$2:$Y$501&lt;&gt;"")),持仓跟踪!$Y$2:$Y$501),""))</f>
        <v/>
      </c>
      <c r="L140" s="33">
        <f>IF(A140="","",IFERROR(LOOKUP(2,1/((持仓跟踪!$B$2:$B$501=A140)*(持仓跟踪!$X$2:$X$501="执行卖出")*(持仓跟踪!$Z$2:$Z$501&lt;&gt;"")),持仓跟踪!$Z$2:$Z$501),""))</f>
        <v/>
      </c>
      <c r="M140" s="47">
        <f>IF(A140="","",IFERROR(LOOKUP(2,1/((持仓跟踪!$B$2:$B$501=A140)*(持仓跟踪!$X$2:$X$501="执行卖出")*(持仓跟踪!$H$2:$H$501&lt;&gt;"")),持仓跟踪!$H$2:$H$501),""))</f>
        <v/>
      </c>
      <c r="N140" s="40" t="n"/>
      <c r="O140" s="40" t="n"/>
      <c r="P140" s="46">
        <f>IF(A140="","",IFERROR(LOOKUP(2,1/((持仓跟踪!$B$2:$B$501=A140)*(持仓跟踪!$X$2:$X$501="执行卖出")*(持仓跟踪!$AA$2:$AA$501&lt;&gt;"")),持仓跟踪!$AA$2:$AA$501),""))</f>
        <v/>
      </c>
      <c r="Q140" s="2" t="n"/>
      <c r="R140" s="2" t="n"/>
      <c r="S140" s="2" t="n"/>
      <c r="T140" s="2" t="n"/>
      <c r="U140" s="7">
        <f>IF(OR(AO140="",J140="",AO140&lt;=0),"",(J140-AO140)/AO140)</f>
        <v/>
      </c>
      <c r="V140" s="7">
        <f>IF(OR(AO140="",N140="",AO140&lt;=0),"",(AO140-N140)/AO140)</f>
        <v/>
      </c>
      <c r="W140" s="13">
        <f>IF(OR(U140="",V140="",V140&lt;=0),"",U140/V140)</f>
        <v/>
      </c>
      <c r="X140" s="42">
        <f>IF(OR(K140="",L140="",AP140=""),"",K140*L140-(E140*H140+IF(AND(AK140&lt;&gt;"",AL140&lt;&gt;""),AK140*AL140,0)+IF(AND(AM140&lt;&gt;"",AN140&lt;&gt;""),AM140*AN140,0))-IF(O140="",0,O140)-IF(P140="",0,P140))</f>
        <v/>
      </c>
      <c r="Y140" s="7">
        <f>IF(OR(X140="",AP140=""),"",IF((E140*H140+IF(AND(AK140&lt;&gt;"",AL140&lt;&gt;""),AK140*AL140,0)+IF(AND(AM140&lt;&gt;"",AN140&lt;&gt;""),AM140*AN140,0))+IF(O140="",0,O140)&lt;=0,"",X140/((E140*H140+IF(AND(AK140&lt;&gt;"",AL140&lt;&gt;""),AK140*AL140,0)+IF(AND(AM140&lt;&gt;"",AN140&lt;&gt;""),AM140*AN140,0))+IF(O140="",0,O140))))</f>
        <v/>
      </c>
      <c r="Z140" s="7">
        <f>IF(OR(AE140="",多次统计数据!$B$8=""),"",AE140-多次统计数据!$B$8)</f>
        <v/>
      </c>
      <c r="AA140" s="14">
        <f>IF(OR(I140="",M140="",M140&lt;I140),"",M140-I140)</f>
        <v/>
      </c>
      <c r="AB140" s="7">
        <f>IF(OR(A140="",多次统计数据!$B$8="",多次统计数据!$B$6&lt;=0,多次统计数据!$B$6&gt;=1),"",1-POWER(1+多次统计数据!$B$8,-多次统计数据!$B$6/(1-多次统计数据!$B$6)))</f>
        <v/>
      </c>
      <c r="AC140" s="8">
        <f>IF(OR(AB140="",多次统计数据!$B$9=""),"",IF(多次统计数据!$B$9&lt;AB140,"低于上限","达到或超过上限"))</f>
        <v/>
      </c>
      <c r="AD140" s="2" t="n"/>
      <c r="AE140" s="7">
        <f>IF(OR(X140="",C140="",C140&lt;=0),"",X140/C140)</f>
        <v/>
      </c>
      <c r="AG140" s="28" t="n"/>
      <c r="AH140" s="28" t="n"/>
      <c r="AI140" s="28" t="n"/>
      <c r="AJ140" s="31">
        <f>IF(OR(AG140="",AH140=""),"",IF(OR(AND(AG140="短期博反弹",OR(AH140="1～3个交易日",AH140="4～10个交易日")),AND(AG140="突破冲新高",OR(AH140="4～10个交易日",AH140="11～20个交易日")),AND(AG140="趋势波段",OR(AH140="11～20个交易日",AH140="21～60个交易日",AH140="60个交易日以上"))),"匹配","周期与交易预期不匹配，请重新确认"))</f>
        <v/>
      </c>
      <c r="AK140" s="43" t="n"/>
      <c r="AL140" s="27" t="n"/>
      <c r="AM140" s="43" t="n"/>
      <c r="AN140" s="27" t="n"/>
      <c r="AO140" s="44">
        <f>IF(OR(A140="",H140="",H140&lt;=0),"",(E140*H140+IF(AND(AK140&lt;&gt;"",AL140&lt;&gt;""),AK140*AL140,0)+IF(AND(AM140&lt;&gt;"",AN140&lt;&gt;""),AM140*AN140,0))/AP140)</f>
        <v/>
      </c>
      <c r="AP140" s="26">
        <f>IF(OR(A140="",H140="",H140&lt;=0),"",H140+IF(AL140="",0,AL140)+IF(AN140="",0,AN140))</f>
        <v/>
      </c>
      <c r="AQ140" s="44">
        <f>IF(A140="","",IF(M140&lt;&gt;"",0,IF(OR(H140="",N140=""),"",MAX(E140-MAX(N140,IFERROR(AGGREGATE(14,6,'持仓跟踪'!$S$2:$S$501/(('持仓跟踪'!$A$2:$A$501="每日跟踪")*('持仓跟踪'!$B$2:$B$501=A140)),1),0)),0)*H140+IF(OR(AK140="",AL140=""),0,MAX(AK140-MAX(N140,IFERROR(AGGREGATE(14,6,'持仓跟踪'!$S$2:$S$501/(('持仓跟踪'!$A$2:$A$501="每日跟踪")*('持仓跟踪'!$B$2:$B$501=A140)),1),0)),0)*AL140)+IF(OR(AM140="",AN140=""),0,MAX(AM140-MAX(N140,IFERROR(AGGREGATE(14,6,'持仓跟踪'!$S$2:$S$501/(('持仓跟踪'!$A$2:$A$501="每日跟踪")*('持仓跟踪'!$B$2:$B$501=A140)),1),0)),0)*AN140))))</f>
        <v/>
      </c>
      <c r="AR140" s="31">
        <f>IF(A140="","",IF(OR(E140="",H140=""),"违规：第一批价格或股数缺失",IF(OR(AND(AK140="",AL140&lt;&gt;""),AND(AK140&lt;&gt;"",AL140="")),"违规：第二批价格与股数须成对填写",IF(OR(AND(AM140="",AN140&lt;&gt;""),AND(AM140&lt;&gt;"",AN140="")),"违规：第三批价格与股数须成对填写",IF(AND(OR(AM140&lt;&gt;"",AN140&lt;&gt;""),OR(AK140="",AL140="")),"违规：必须先完成第二批",IF(OR(H140&lt;=0,H140&lt;&gt;INT(H140),MOD(H140,100)&lt;&gt;0,AND(AL140&lt;&gt;"",OR(AL140&lt;=0,AL140&lt;&gt;INT(AL140),MOD(AL140,100)&lt;&gt;0)),AND(AN140&lt;&gt;"",OR(AN140&lt;=0,AN140&lt;&gt;INT(AN140),MOD(AN140,100)&lt;&gt;0))),"违规：股数须为100股整数倍",IF(AND(OR(AL140&lt;&gt;"",AN140&lt;&gt;""),OR(_LockStatus="已锁仓",_LockStatus="解锁信息不完整")),"违规：锁仓期间禁止加仓",IF(AQ140&gt;C140*D140,"违规：超过单笔风险上限",IF(SUM($AQ$2:$AQ$201)&gt;账户数据!$B$7,"违规：超过账户风险上限","通过")))))))))</f>
        <v/>
      </c>
    </row>
    <row r="141">
      <c r="A141" s="2" t="n"/>
      <c r="B141" s="2" t="n"/>
      <c r="C141" s="40" t="n"/>
      <c r="D141" s="6" t="n"/>
      <c r="E141" s="40" t="n"/>
      <c r="F141" s="8">
        <f>IF(OR(C141="",D141="",E141="",N141="",C141&lt;=0,D141&lt;=0,E141&lt;=N141),"",ROUNDDOWN((C141*D141)/(E141-N141)/100,0)*100)</f>
        <v/>
      </c>
      <c r="G141" s="8">
        <f>IF(A141="","",IF(H141&lt;&gt;"","已开仓",IF(账户数据!$B$23="已锁仓","禁止开仓：连续亏损达到上限",IF(账户数据!$B$23="解锁信息不完整","禁止开仓：请完整填写解锁信息",IF(OR(F141="",E141="",N141="",E141&lt;=N141,账户数据!$B$7=""),"",IF(OR(AG141="",AH141="",AI141=""),"禁止开仓：交易预期未填写完整",IF(COUNTIFS(持仓跟踪!$A$2:$A$501,"止损计划",持仓跟踪!$B$2:$B$501,A141,持仓跟踪!$AC$2:$AC$501,"计划有效")=0,"禁止开仓：请先填写止损计划",IF(账户数据!$B$9+F141*(E141-N141)&gt;=账户数据!$B$7,"禁止开仓：风险额度不足",IF(AJ141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1" s="2" t="n"/>
      <c r="I141" s="41" t="n"/>
      <c r="J141" s="40" t="n"/>
      <c r="K141" s="46">
        <f>IF(A141="","",IFERROR(LOOKUP(2,1/((持仓跟踪!$B$2:$B$501=A141)*(持仓跟踪!$X$2:$X$501="执行卖出")*(持仓跟踪!$Y$2:$Y$501&lt;&gt;"")),持仓跟踪!$Y$2:$Y$501),""))</f>
        <v/>
      </c>
      <c r="L141" s="33">
        <f>IF(A141="","",IFERROR(LOOKUP(2,1/((持仓跟踪!$B$2:$B$501=A141)*(持仓跟踪!$X$2:$X$501="执行卖出")*(持仓跟踪!$Z$2:$Z$501&lt;&gt;"")),持仓跟踪!$Z$2:$Z$501),""))</f>
        <v/>
      </c>
      <c r="M141" s="47">
        <f>IF(A141="","",IFERROR(LOOKUP(2,1/((持仓跟踪!$B$2:$B$501=A141)*(持仓跟踪!$X$2:$X$501="执行卖出")*(持仓跟踪!$H$2:$H$501&lt;&gt;"")),持仓跟踪!$H$2:$H$501),""))</f>
        <v/>
      </c>
      <c r="N141" s="40" t="n"/>
      <c r="O141" s="40" t="n"/>
      <c r="P141" s="46">
        <f>IF(A141="","",IFERROR(LOOKUP(2,1/((持仓跟踪!$B$2:$B$501=A141)*(持仓跟踪!$X$2:$X$501="执行卖出")*(持仓跟踪!$AA$2:$AA$501&lt;&gt;"")),持仓跟踪!$AA$2:$AA$501),""))</f>
        <v/>
      </c>
      <c r="Q141" s="2" t="n"/>
      <c r="R141" s="2" t="n"/>
      <c r="S141" s="2" t="n"/>
      <c r="T141" s="2" t="n"/>
      <c r="U141" s="7">
        <f>IF(OR(AO141="",J141="",AO141&lt;=0),"",(J141-AO141)/AO141)</f>
        <v/>
      </c>
      <c r="V141" s="7">
        <f>IF(OR(AO141="",N141="",AO141&lt;=0),"",(AO141-N141)/AO141)</f>
        <v/>
      </c>
      <c r="W141" s="13">
        <f>IF(OR(U141="",V141="",V141&lt;=0),"",U141/V141)</f>
        <v/>
      </c>
      <c r="X141" s="42">
        <f>IF(OR(K141="",L141="",AP141=""),"",K141*L141-(E141*H141+IF(AND(AK141&lt;&gt;"",AL141&lt;&gt;""),AK141*AL141,0)+IF(AND(AM141&lt;&gt;"",AN141&lt;&gt;""),AM141*AN141,0))-IF(O141="",0,O141)-IF(P141="",0,P141))</f>
        <v/>
      </c>
      <c r="Y141" s="7">
        <f>IF(OR(X141="",AP141=""),"",IF((E141*H141+IF(AND(AK141&lt;&gt;"",AL141&lt;&gt;""),AK141*AL141,0)+IF(AND(AM141&lt;&gt;"",AN141&lt;&gt;""),AM141*AN141,0))+IF(O141="",0,O141)&lt;=0,"",X141/((E141*H141+IF(AND(AK141&lt;&gt;"",AL141&lt;&gt;""),AK141*AL141,0)+IF(AND(AM141&lt;&gt;"",AN141&lt;&gt;""),AM141*AN141,0))+IF(O141="",0,O141))))</f>
        <v/>
      </c>
      <c r="Z141" s="7">
        <f>IF(OR(AE141="",多次统计数据!$B$8=""),"",AE141-多次统计数据!$B$8)</f>
        <v/>
      </c>
      <c r="AA141" s="14">
        <f>IF(OR(I141="",M141="",M141&lt;I141),"",M141-I141)</f>
        <v/>
      </c>
      <c r="AB141" s="7">
        <f>IF(OR(A141="",多次统计数据!$B$8="",多次统计数据!$B$6&lt;=0,多次统计数据!$B$6&gt;=1),"",1-POWER(1+多次统计数据!$B$8,-多次统计数据!$B$6/(1-多次统计数据!$B$6)))</f>
        <v/>
      </c>
      <c r="AC141" s="8">
        <f>IF(OR(AB141="",多次统计数据!$B$9=""),"",IF(多次统计数据!$B$9&lt;AB141,"低于上限","达到或超过上限"))</f>
        <v/>
      </c>
      <c r="AD141" s="2" t="n"/>
      <c r="AE141" s="7">
        <f>IF(OR(X141="",C141="",C141&lt;=0),"",X141/C141)</f>
        <v/>
      </c>
      <c r="AG141" s="28" t="n"/>
      <c r="AH141" s="28" t="n"/>
      <c r="AI141" s="28" t="n"/>
      <c r="AJ141" s="31">
        <f>IF(OR(AG141="",AH141=""),"",IF(OR(AND(AG141="短期博反弹",OR(AH141="1～3个交易日",AH141="4～10个交易日")),AND(AG141="突破冲新高",OR(AH141="4～10个交易日",AH141="11～20个交易日")),AND(AG141="趋势波段",OR(AH141="11～20个交易日",AH141="21～60个交易日",AH141="60个交易日以上"))),"匹配","周期与交易预期不匹配，请重新确认"))</f>
        <v/>
      </c>
      <c r="AK141" s="43" t="n"/>
      <c r="AL141" s="27" t="n"/>
      <c r="AM141" s="43" t="n"/>
      <c r="AN141" s="27" t="n"/>
      <c r="AO141" s="44">
        <f>IF(OR(A141="",H141="",H141&lt;=0),"",(E141*H141+IF(AND(AK141&lt;&gt;"",AL141&lt;&gt;""),AK141*AL141,0)+IF(AND(AM141&lt;&gt;"",AN141&lt;&gt;""),AM141*AN141,0))/AP141)</f>
        <v/>
      </c>
      <c r="AP141" s="26">
        <f>IF(OR(A141="",H141="",H141&lt;=0),"",H141+IF(AL141="",0,AL141)+IF(AN141="",0,AN141))</f>
        <v/>
      </c>
      <c r="AQ141" s="44">
        <f>IF(A141="","",IF(M141&lt;&gt;"",0,IF(OR(H141="",N141=""),"",MAX(E141-MAX(N141,IFERROR(AGGREGATE(14,6,'持仓跟踪'!$S$2:$S$501/(('持仓跟踪'!$A$2:$A$501="每日跟踪")*('持仓跟踪'!$B$2:$B$501=A141)),1),0)),0)*H141+IF(OR(AK141="",AL141=""),0,MAX(AK141-MAX(N141,IFERROR(AGGREGATE(14,6,'持仓跟踪'!$S$2:$S$501/(('持仓跟踪'!$A$2:$A$501="每日跟踪")*('持仓跟踪'!$B$2:$B$501=A141)),1),0)),0)*AL141)+IF(OR(AM141="",AN141=""),0,MAX(AM141-MAX(N141,IFERROR(AGGREGATE(14,6,'持仓跟踪'!$S$2:$S$501/(('持仓跟踪'!$A$2:$A$501="每日跟踪")*('持仓跟踪'!$B$2:$B$501=A141)),1),0)),0)*AN141))))</f>
        <v/>
      </c>
      <c r="AR141" s="31">
        <f>IF(A141="","",IF(OR(E141="",H141=""),"违规：第一批价格或股数缺失",IF(OR(AND(AK141="",AL141&lt;&gt;""),AND(AK141&lt;&gt;"",AL141="")),"违规：第二批价格与股数须成对填写",IF(OR(AND(AM141="",AN141&lt;&gt;""),AND(AM141&lt;&gt;"",AN141="")),"违规：第三批价格与股数须成对填写",IF(AND(OR(AM141&lt;&gt;"",AN141&lt;&gt;""),OR(AK141="",AL141="")),"违规：必须先完成第二批",IF(OR(H141&lt;=0,H141&lt;&gt;INT(H141),MOD(H141,100)&lt;&gt;0,AND(AL141&lt;&gt;"",OR(AL141&lt;=0,AL141&lt;&gt;INT(AL141),MOD(AL141,100)&lt;&gt;0)),AND(AN141&lt;&gt;"",OR(AN141&lt;=0,AN141&lt;&gt;INT(AN141),MOD(AN141,100)&lt;&gt;0))),"违规：股数须为100股整数倍",IF(AND(OR(AL141&lt;&gt;"",AN141&lt;&gt;""),OR(_LockStatus="已锁仓",_LockStatus="解锁信息不完整")),"违规：锁仓期间禁止加仓",IF(AQ141&gt;C141*D141,"违规：超过单笔风险上限",IF(SUM($AQ$2:$AQ$201)&gt;账户数据!$B$7,"违规：超过账户风险上限","通过")))))))))</f>
        <v/>
      </c>
    </row>
    <row r="142">
      <c r="A142" s="2" t="n"/>
      <c r="B142" s="2" t="n"/>
      <c r="C142" s="40" t="n"/>
      <c r="D142" s="6" t="n"/>
      <c r="E142" s="40" t="n"/>
      <c r="F142" s="8">
        <f>IF(OR(C142="",D142="",E142="",N142="",C142&lt;=0,D142&lt;=0,E142&lt;=N142),"",ROUNDDOWN((C142*D142)/(E142-N142)/100,0)*100)</f>
        <v/>
      </c>
      <c r="G142" s="8">
        <f>IF(A142="","",IF(H142&lt;&gt;"","已开仓",IF(账户数据!$B$23="已锁仓","禁止开仓：连续亏损达到上限",IF(账户数据!$B$23="解锁信息不完整","禁止开仓：请完整填写解锁信息",IF(OR(F142="",E142="",N142="",E142&lt;=N142,账户数据!$B$7=""),"",IF(OR(AG142="",AH142="",AI142=""),"禁止开仓：交易预期未填写完整",IF(COUNTIFS(持仓跟踪!$A$2:$A$501,"止损计划",持仓跟踪!$B$2:$B$501,A142,持仓跟踪!$AC$2:$AC$501,"计划有效")=0,"禁止开仓：请先填写止损计划",IF(账户数据!$B$9+F142*(E142-N142)&gt;=账户数据!$B$7,"禁止开仓：风险额度不足",IF(AJ142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2" s="2" t="n"/>
      <c r="I142" s="41" t="n"/>
      <c r="J142" s="40" t="n"/>
      <c r="K142" s="46">
        <f>IF(A142="","",IFERROR(LOOKUP(2,1/((持仓跟踪!$B$2:$B$501=A142)*(持仓跟踪!$X$2:$X$501="执行卖出")*(持仓跟踪!$Y$2:$Y$501&lt;&gt;"")),持仓跟踪!$Y$2:$Y$501),""))</f>
        <v/>
      </c>
      <c r="L142" s="33">
        <f>IF(A142="","",IFERROR(LOOKUP(2,1/((持仓跟踪!$B$2:$B$501=A142)*(持仓跟踪!$X$2:$X$501="执行卖出")*(持仓跟踪!$Z$2:$Z$501&lt;&gt;"")),持仓跟踪!$Z$2:$Z$501),""))</f>
        <v/>
      </c>
      <c r="M142" s="47">
        <f>IF(A142="","",IFERROR(LOOKUP(2,1/((持仓跟踪!$B$2:$B$501=A142)*(持仓跟踪!$X$2:$X$501="执行卖出")*(持仓跟踪!$H$2:$H$501&lt;&gt;"")),持仓跟踪!$H$2:$H$501),""))</f>
        <v/>
      </c>
      <c r="N142" s="40" t="n"/>
      <c r="O142" s="40" t="n"/>
      <c r="P142" s="46">
        <f>IF(A142="","",IFERROR(LOOKUP(2,1/((持仓跟踪!$B$2:$B$501=A142)*(持仓跟踪!$X$2:$X$501="执行卖出")*(持仓跟踪!$AA$2:$AA$501&lt;&gt;"")),持仓跟踪!$AA$2:$AA$501),""))</f>
        <v/>
      </c>
      <c r="Q142" s="2" t="n"/>
      <c r="R142" s="2" t="n"/>
      <c r="S142" s="2" t="n"/>
      <c r="T142" s="2" t="n"/>
      <c r="U142" s="7">
        <f>IF(OR(AO142="",J142="",AO142&lt;=0),"",(J142-AO142)/AO142)</f>
        <v/>
      </c>
      <c r="V142" s="7">
        <f>IF(OR(AO142="",N142="",AO142&lt;=0),"",(AO142-N142)/AO142)</f>
        <v/>
      </c>
      <c r="W142" s="13">
        <f>IF(OR(U142="",V142="",V142&lt;=0),"",U142/V142)</f>
        <v/>
      </c>
      <c r="X142" s="42">
        <f>IF(OR(K142="",L142="",AP142=""),"",K142*L142-(E142*H142+IF(AND(AK142&lt;&gt;"",AL142&lt;&gt;""),AK142*AL142,0)+IF(AND(AM142&lt;&gt;"",AN142&lt;&gt;""),AM142*AN142,0))-IF(O142="",0,O142)-IF(P142="",0,P142))</f>
        <v/>
      </c>
      <c r="Y142" s="7">
        <f>IF(OR(X142="",AP142=""),"",IF((E142*H142+IF(AND(AK142&lt;&gt;"",AL142&lt;&gt;""),AK142*AL142,0)+IF(AND(AM142&lt;&gt;"",AN142&lt;&gt;""),AM142*AN142,0))+IF(O142="",0,O142)&lt;=0,"",X142/((E142*H142+IF(AND(AK142&lt;&gt;"",AL142&lt;&gt;""),AK142*AL142,0)+IF(AND(AM142&lt;&gt;"",AN142&lt;&gt;""),AM142*AN142,0))+IF(O142="",0,O142))))</f>
        <v/>
      </c>
      <c r="Z142" s="7">
        <f>IF(OR(AE142="",多次统计数据!$B$8=""),"",AE142-多次统计数据!$B$8)</f>
        <v/>
      </c>
      <c r="AA142" s="14">
        <f>IF(OR(I142="",M142="",M142&lt;I142),"",M142-I142)</f>
        <v/>
      </c>
      <c r="AB142" s="7">
        <f>IF(OR(A142="",多次统计数据!$B$8="",多次统计数据!$B$6&lt;=0,多次统计数据!$B$6&gt;=1),"",1-POWER(1+多次统计数据!$B$8,-多次统计数据!$B$6/(1-多次统计数据!$B$6)))</f>
        <v/>
      </c>
      <c r="AC142" s="8">
        <f>IF(OR(AB142="",多次统计数据!$B$9=""),"",IF(多次统计数据!$B$9&lt;AB142,"低于上限","达到或超过上限"))</f>
        <v/>
      </c>
      <c r="AD142" s="2" t="n"/>
      <c r="AE142" s="7">
        <f>IF(OR(X142="",C142="",C142&lt;=0),"",X142/C142)</f>
        <v/>
      </c>
      <c r="AG142" s="28" t="n"/>
      <c r="AH142" s="28" t="n"/>
      <c r="AI142" s="28" t="n"/>
      <c r="AJ142" s="31">
        <f>IF(OR(AG142="",AH142=""),"",IF(OR(AND(AG142="短期博反弹",OR(AH142="1～3个交易日",AH142="4～10个交易日")),AND(AG142="突破冲新高",OR(AH142="4～10个交易日",AH142="11～20个交易日")),AND(AG142="趋势波段",OR(AH142="11～20个交易日",AH142="21～60个交易日",AH142="60个交易日以上"))),"匹配","周期与交易预期不匹配，请重新确认"))</f>
        <v/>
      </c>
      <c r="AK142" s="43" t="n"/>
      <c r="AL142" s="27" t="n"/>
      <c r="AM142" s="43" t="n"/>
      <c r="AN142" s="27" t="n"/>
      <c r="AO142" s="44">
        <f>IF(OR(A142="",H142="",H142&lt;=0),"",(E142*H142+IF(AND(AK142&lt;&gt;"",AL142&lt;&gt;""),AK142*AL142,0)+IF(AND(AM142&lt;&gt;"",AN142&lt;&gt;""),AM142*AN142,0))/AP142)</f>
        <v/>
      </c>
      <c r="AP142" s="26">
        <f>IF(OR(A142="",H142="",H142&lt;=0),"",H142+IF(AL142="",0,AL142)+IF(AN142="",0,AN142))</f>
        <v/>
      </c>
      <c r="AQ142" s="44">
        <f>IF(A142="","",IF(M142&lt;&gt;"",0,IF(OR(H142="",N142=""),"",MAX(E142-MAX(N142,IFERROR(AGGREGATE(14,6,'持仓跟踪'!$S$2:$S$501/(('持仓跟踪'!$A$2:$A$501="每日跟踪")*('持仓跟踪'!$B$2:$B$501=A142)),1),0)),0)*H142+IF(OR(AK142="",AL142=""),0,MAX(AK142-MAX(N142,IFERROR(AGGREGATE(14,6,'持仓跟踪'!$S$2:$S$501/(('持仓跟踪'!$A$2:$A$501="每日跟踪")*('持仓跟踪'!$B$2:$B$501=A142)),1),0)),0)*AL142)+IF(OR(AM142="",AN142=""),0,MAX(AM142-MAX(N142,IFERROR(AGGREGATE(14,6,'持仓跟踪'!$S$2:$S$501/(('持仓跟踪'!$A$2:$A$501="每日跟踪")*('持仓跟踪'!$B$2:$B$501=A142)),1),0)),0)*AN142))))</f>
        <v/>
      </c>
      <c r="AR142" s="31">
        <f>IF(A142="","",IF(OR(E142="",H142=""),"违规：第一批价格或股数缺失",IF(OR(AND(AK142="",AL142&lt;&gt;""),AND(AK142&lt;&gt;"",AL142="")),"违规：第二批价格与股数须成对填写",IF(OR(AND(AM142="",AN142&lt;&gt;""),AND(AM142&lt;&gt;"",AN142="")),"违规：第三批价格与股数须成对填写",IF(AND(OR(AM142&lt;&gt;"",AN142&lt;&gt;""),OR(AK142="",AL142="")),"违规：必须先完成第二批",IF(OR(H142&lt;=0,H142&lt;&gt;INT(H142),MOD(H142,100)&lt;&gt;0,AND(AL142&lt;&gt;"",OR(AL142&lt;=0,AL142&lt;&gt;INT(AL142),MOD(AL142,100)&lt;&gt;0)),AND(AN142&lt;&gt;"",OR(AN142&lt;=0,AN142&lt;&gt;INT(AN142),MOD(AN142,100)&lt;&gt;0))),"违规：股数须为100股整数倍",IF(AND(OR(AL142&lt;&gt;"",AN142&lt;&gt;""),OR(_LockStatus="已锁仓",_LockStatus="解锁信息不完整")),"违规：锁仓期间禁止加仓",IF(AQ142&gt;C142*D142,"违规：超过单笔风险上限",IF(SUM($AQ$2:$AQ$201)&gt;账户数据!$B$7,"违规：超过账户风险上限","通过")))))))))</f>
        <v/>
      </c>
    </row>
    <row r="143">
      <c r="A143" s="2" t="n"/>
      <c r="B143" s="2" t="n"/>
      <c r="C143" s="40" t="n"/>
      <c r="D143" s="6" t="n"/>
      <c r="E143" s="40" t="n"/>
      <c r="F143" s="8">
        <f>IF(OR(C143="",D143="",E143="",N143="",C143&lt;=0,D143&lt;=0,E143&lt;=N143),"",ROUNDDOWN((C143*D143)/(E143-N143)/100,0)*100)</f>
        <v/>
      </c>
      <c r="G143" s="8">
        <f>IF(A143="","",IF(H143&lt;&gt;"","已开仓",IF(账户数据!$B$23="已锁仓","禁止开仓：连续亏损达到上限",IF(账户数据!$B$23="解锁信息不完整","禁止开仓：请完整填写解锁信息",IF(OR(F143="",E143="",N143="",E143&lt;=N143,账户数据!$B$7=""),"",IF(OR(AG143="",AH143="",AI143=""),"禁止开仓：交易预期未填写完整",IF(COUNTIFS(持仓跟踪!$A$2:$A$501,"止损计划",持仓跟踪!$B$2:$B$501,A143,持仓跟踪!$AC$2:$AC$501,"计划有效")=0,"禁止开仓：请先填写止损计划",IF(账户数据!$B$9+F143*(E143-N143)&gt;=账户数据!$B$7,"禁止开仓：风险额度不足",IF(AJ143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3" s="2" t="n"/>
      <c r="I143" s="41" t="n"/>
      <c r="J143" s="40" t="n"/>
      <c r="K143" s="46">
        <f>IF(A143="","",IFERROR(LOOKUP(2,1/((持仓跟踪!$B$2:$B$501=A143)*(持仓跟踪!$X$2:$X$501="执行卖出")*(持仓跟踪!$Y$2:$Y$501&lt;&gt;"")),持仓跟踪!$Y$2:$Y$501),""))</f>
        <v/>
      </c>
      <c r="L143" s="33">
        <f>IF(A143="","",IFERROR(LOOKUP(2,1/((持仓跟踪!$B$2:$B$501=A143)*(持仓跟踪!$X$2:$X$501="执行卖出")*(持仓跟踪!$Z$2:$Z$501&lt;&gt;"")),持仓跟踪!$Z$2:$Z$501),""))</f>
        <v/>
      </c>
      <c r="M143" s="47">
        <f>IF(A143="","",IFERROR(LOOKUP(2,1/((持仓跟踪!$B$2:$B$501=A143)*(持仓跟踪!$X$2:$X$501="执行卖出")*(持仓跟踪!$H$2:$H$501&lt;&gt;"")),持仓跟踪!$H$2:$H$501),""))</f>
        <v/>
      </c>
      <c r="N143" s="40" t="n"/>
      <c r="O143" s="40" t="n"/>
      <c r="P143" s="46">
        <f>IF(A143="","",IFERROR(LOOKUP(2,1/((持仓跟踪!$B$2:$B$501=A143)*(持仓跟踪!$X$2:$X$501="执行卖出")*(持仓跟踪!$AA$2:$AA$501&lt;&gt;"")),持仓跟踪!$AA$2:$AA$501),""))</f>
        <v/>
      </c>
      <c r="Q143" s="2" t="n"/>
      <c r="R143" s="2" t="n"/>
      <c r="S143" s="2" t="n"/>
      <c r="T143" s="2" t="n"/>
      <c r="U143" s="7">
        <f>IF(OR(AO143="",J143="",AO143&lt;=0),"",(J143-AO143)/AO143)</f>
        <v/>
      </c>
      <c r="V143" s="7">
        <f>IF(OR(AO143="",N143="",AO143&lt;=0),"",(AO143-N143)/AO143)</f>
        <v/>
      </c>
      <c r="W143" s="13">
        <f>IF(OR(U143="",V143="",V143&lt;=0),"",U143/V143)</f>
        <v/>
      </c>
      <c r="X143" s="42">
        <f>IF(OR(K143="",L143="",AP143=""),"",K143*L143-(E143*H143+IF(AND(AK143&lt;&gt;"",AL143&lt;&gt;""),AK143*AL143,0)+IF(AND(AM143&lt;&gt;"",AN143&lt;&gt;""),AM143*AN143,0))-IF(O143="",0,O143)-IF(P143="",0,P143))</f>
        <v/>
      </c>
      <c r="Y143" s="7">
        <f>IF(OR(X143="",AP143=""),"",IF((E143*H143+IF(AND(AK143&lt;&gt;"",AL143&lt;&gt;""),AK143*AL143,0)+IF(AND(AM143&lt;&gt;"",AN143&lt;&gt;""),AM143*AN143,0))+IF(O143="",0,O143)&lt;=0,"",X143/((E143*H143+IF(AND(AK143&lt;&gt;"",AL143&lt;&gt;""),AK143*AL143,0)+IF(AND(AM143&lt;&gt;"",AN143&lt;&gt;""),AM143*AN143,0))+IF(O143="",0,O143))))</f>
        <v/>
      </c>
      <c r="Z143" s="7">
        <f>IF(OR(AE143="",多次统计数据!$B$8=""),"",AE143-多次统计数据!$B$8)</f>
        <v/>
      </c>
      <c r="AA143" s="14">
        <f>IF(OR(I143="",M143="",M143&lt;I143),"",M143-I143)</f>
        <v/>
      </c>
      <c r="AB143" s="7">
        <f>IF(OR(A143="",多次统计数据!$B$8="",多次统计数据!$B$6&lt;=0,多次统计数据!$B$6&gt;=1),"",1-POWER(1+多次统计数据!$B$8,-多次统计数据!$B$6/(1-多次统计数据!$B$6)))</f>
        <v/>
      </c>
      <c r="AC143" s="8">
        <f>IF(OR(AB143="",多次统计数据!$B$9=""),"",IF(多次统计数据!$B$9&lt;AB143,"低于上限","达到或超过上限"))</f>
        <v/>
      </c>
      <c r="AD143" s="2" t="n"/>
      <c r="AE143" s="7">
        <f>IF(OR(X143="",C143="",C143&lt;=0),"",X143/C143)</f>
        <v/>
      </c>
      <c r="AG143" s="28" t="n"/>
      <c r="AH143" s="28" t="n"/>
      <c r="AI143" s="28" t="n"/>
      <c r="AJ143" s="31">
        <f>IF(OR(AG143="",AH143=""),"",IF(OR(AND(AG143="短期博反弹",OR(AH143="1～3个交易日",AH143="4～10个交易日")),AND(AG143="突破冲新高",OR(AH143="4～10个交易日",AH143="11～20个交易日")),AND(AG143="趋势波段",OR(AH143="11～20个交易日",AH143="21～60个交易日",AH143="60个交易日以上"))),"匹配","周期与交易预期不匹配，请重新确认"))</f>
        <v/>
      </c>
      <c r="AK143" s="43" t="n"/>
      <c r="AL143" s="27" t="n"/>
      <c r="AM143" s="43" t="n"/>
      <c r="AN143" s="27" t="n"/>
      <c r="AO143" s="44">
        <f>IF(OR(A143="",H143="",H143&lt;=0),"",(E143*H143+IF(AND(AK143&lt;&gt;"",AL143&lt;&gt;""),AK143*AL143,0)+IF(AND(AM143&lt;&gt;"",AN143&lt;&gt;""),AM143*AN143,0))/AP143)</f>
        <v/>
      </c>
      <c r="AP143" s="26">
        <f>IF(OR(A143="",H143="",H143&lt;=0),"",H143+IF(AL143="",0,AL143)+IF(AN143="",0,AN143))</f>
        <v/>
      </c>
      <c r="AQ143" s="44">
        <f>IF(A143="","",IF(M143&lt;&gt;"",0,IF(OR(H143="",N143=""),"",MAX(E143-MAX(N143,IFERROR(AGGREGATE(14,6,'持仓跟踪'!$S$2:$S$501/(('持仓跟踪'!$A$2:$A$501="每日跟踪")*('持仓跟踪'!$B$2:$B$501=A143)),1),0)),0)*H143+IF(OR(AK143="",AL143=""),0,MAX(AK143-MAX(N143,IFERROR(AGGREGATE(14,6,'持仓跟踪'!$S$2:$S$501/(('持仓跟踪'!$A$2:$A$501="每日跟踪")*('持仓跟踪'!$B$2:$B$501=A143)),1),0)),0)*AL143)+IF(OR(AM143="",AN143=""),0,MAX(AM143-MAX(N143,IFERROR(AGGREGATE(14,6,'持仓跟踪'!$S$2:$S$501/(('持仓跟踪'!$A$2:$A$501="每日跟踪")*('持仓跟踪'!$B$2:$B$501=A143)),1),0)),0)*AN143))))</f>
        <v/>
      </c>
      <c r="AR143" s="31">
        <f>IF(A143="","",IF(OR(E143="",H143=""),"违规：第一批价格或股数缺失",IF(OR(AND(AK143="",AL143&lt;&gt;""),AND(AK143&lt;&gt;"",AL143="")),"违规：第二批价格与股数须成对填写",IF(OR(AND(AM143="",AN143&lt;&gt;""),AND(AM143&lt;&gt;"",AN143="")),"违规：第三批价格与股数须成对填写",IF(AND(OR(AM143&lt;&gt;"",AN143&lt;&gt;""),OR(AK143="",AL143="")),"违规：必须先完成第二批",IF(OR(H143&lt;=0,H143&lt;&gt;INT(H143),MOD(H143,100)&lt;&gt;0,AND(AL143&lt;&gt;"",OR(AL143&lt;=0,AL143&lt;&gt;INT(AL143),MOD(AL143,100)&lt;&gt;0)),AND(AN143&lt;&gt;"",OR(AN143&lt;=0,AN143&lt;&gt;INT(AN143),MOD(AN143,100)&lt;&gt;0))),"违规：股数须为100股整数倍",IF(AND(OR(AL143&lt;&gt;"",AN143&lt;&gt;""),OR(_LockStatus="已锁仓",_LockStatus="解锁信息不完整")),"违规：锁仓期间禁止加仓",IF(AQ143&gt;C143*D143,"违规：超过单笔风险上限",IF(SUM($AQ$2:$AQ$201)&gt;账户数据!$B$7,"违规：超过账户风险上限","通过")))))))))</f>
        <v/>
      </c>
    </row>
    <row r="144">
      <c r="A144" s="2" t="n"/>
      <c r="B144" s="2" t="n"/>
      <c r="C144" s="40" t="n"/>
      <c r="D144" s="6" t="n"/>
      <c r="E144" s="40" t="n"/>
      <c r="F144" s="8">
        <f>IF(OR(C144="",D144="",E144="",N144="",C144&lt;=0,D144&lt;=0,E144&lt;=N144),"",ROUNDDOWN((C144*D144)/(E144-N144)/100,0)*100)</f>
        <v/>
      </c>
      <c r="G144" s="8">
        <f>IF(A144="","",IF(H144&lt;&gt;"","已开仓",IF(账户数据!$B$23="已锁仓","禁止开仓：连续亏损达到上限",IF(账户数据!$B$23="解锁信息不完整","禁止开仓：请完整填写解锁信息",IF(OR(F144="",E144="",N144="",E144&lt;=N144,账户数据!$B$7=""),"",IF(OR(AG144="",AH144="",AI144=""),"禁止开仓：交易预期未填写完整",IF(COUNTIFS(持仓跟踪!$A$2:$A$501,"止损计划",持仓跟踪!$B$2:$B$501,A144,持仓跟踪!$AC$2:$AC$501,"计划有效")=0,"禁止开仓：请先填写止损计划",IF(账户数据!$B$9+F144*(E144-N144)&gt;=账户数据!$B$7,"禁止开仓：风险额度不足",IF(AJ144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4" s="2" t="n"/>
      <c r="I144" s="41" t="n"/>
      <c r="J144" s="40" t="n"/>
      <c r="K144" s="46">
        <f>IF(A144="","",IFERROR(LOOKUP(2,1/((持仓跟踪!$B$2:$B$501=A144)*(持仓跟踪!$X$2:$X$501="执行卖出")*(持仓跟踪!$Y$2:$Y$501&lt;&gt;"")),持仓跟踪!$Y$2:$Y$501),""))</f>
        <v/>
      </c>
      <c r="L144" s="33">
        <f>IF(A144="","",IFERROR(LOOKUP(2,1/((持仓跟踪!$B$2:$B$501=A144)*(持仓跟踪!$X$2:$X$501="执行卖出")*(持仓跟踪!$Z$2:$Z$501&lt;&gt;"")),持仓跟踪!$Z$2:$Z$501),""))</f>
        <v/>
      </c>
      <c r="M144" s="47">
        <f>IF(A144="","",IFERROR(LOOKUP(2,1/((持仓跟踪!$B$2:$B$501=A144)*(持仓跟踪!$X$2:$X$501="执行卖出")*(持仓跟踪!$H$2:$H$501&lt;&gt;"")),持仓跟踪!$H$2:$H$501),""))</f>
        <v/>
      </c>
      <c r="N144" s="40" t="n"/>
      <c r="O144" s="40" t="n"/>
      <c r="P144" s="46">
        <f>IF(A144="","",IFERROR(LOOKUP(2,1/((持仓跟踪!$B$2:$B$501=A144)*(持仓跟踪!$X$2:$X$501="执行卖出")*(持仓跟踪!$AA$2:$AA$501&lt;&gt;"")),持仓跟踪!$AA$2:$AA$501),""))</f>
        <v/>
      </c>
      <c r="Q144" s="2" t="n"/>
      <c r="R144" s="2" t="n"/>
      <c r="S144" s="2" t="n"/>
      <c r="T144" s="2" t="n"/>
      <c r="U144" s="7">
        <f>IF(OR(AO144="",J144="",AO144&lt;=0),"",(J144-AO144)/AO144)</f>
        <v/>
      </c>
      <c r="V144" s="7">
        <f>IF(OR(AO144="",N144="",AO144&lt;=0),"",(AO144-N144)/AO144)</f>
        <v/>
      </c>
      <c r="W144" s="13">
        <f>IF(OR(U144="",V144="",V144&lt;=0),"",U144/V144)</f>
        <v/>
      </c>
      <c r="X144" s="42">
        <f>IF(OR(K144="",L144="",AP144=""),"",K144*L144-(E144*H144+IF(AND(AK144&lt;&gt;"",AL144&lt;&gt;""),AK144*AL144,0)+IF(AND(AM144&lt;&gt;"",AN144&lt;&gt;""),AM144*AN144,0))-IF(O144="",0,O144)-IF(P144="",0,P144))</f>
        <v/>
      </c>
      <c r="Y144" s="7">
        <f>IF(OR(X144="",AP144=""),"",IF((E144*H144+IF(AND(AK144&lt;&gt;"",AL144&lt;&gt;""),AK144*AL144,0)+IF(AND(AM144&lt;&gt;"",AN144&lt;&gt;""),AM144*AN144,0))+IF(O144="",0,O144)&lt;=0,"",X144/((E144*H144+IF(AND(AK144&lt;&gt;"",AL144&lt;&gt;""),AK144*AL144,0)+IF(AND(AM144&lt;&gt;"",AN144&lt;&gt;""),AM144*AN144,0))+IF(O144="",0,O144))))</f>
        <v/>
      </c>
      <c r="Z144" s="7">
        <f>IF(OR(AE144="",多次统计数据!$B$8=""),"",AE144-多次统计数据!$B$8)</f>
        <v/>
      </c>
      <c r="AA144" s="14">
        <f>IF(OR(I144="",M144="",M144&lt;I144),"",M144-I144)</f>
        <v/>
      </c>
      <c r="AB144" s="7">
        <f>IF(OR(A144="",多次统计数据!$B$8="",多次统计数据!$B$6&lt;=0,多次统计数据!$B$6&gt;=1),"",1-POWER(1+多次统计数据!$B$8,-多次统计数据!$B$6/(1-多次统计数据!$B$6)))</f>
        <v/>
      </c>
      <c r="AC144" s="8">
        <f>IF(OR(AB144="",多次统计数据!$B$9=""),"",IF(多次统计数据!$B$9&lt;AB144,"低于上限","达到或超过上限"))</f>
        <v/>
      </c>
      <c r="AD144" s="2" t="n"/>
      <c r="AE144" s="7">
        <f>IF(OR(X144="",C144="",C144&lt;=0),"",X144/C144)</f>
        <v/>
      </c>
      <c r="AG144" s="28" t="n"/>
      <c r="AH144" s="28" t="n"/>
      <c r="AI144" s="28" t="n"/>
      <c r="AJ144" s="31">
        <f>IF(OR(AG144="",AH144=""),"",IF(OR(AND(AG144="短期博反弹",OR(AH144="1～3个交易日",AH144="4～10个交易日")),AND(AG144="突破冲新高",OR(AH144="4～10个交易日",AH144="11～20个交易日")),AND(AG144="趋势波段",OR(AH144="11～20个交易日",AH144="21～60个交易日",AH144="60个交易日以上"))),"匹配","周期与交易预期不匹配，请重新确认"))</f>
        <v/>
      </c>
      <c r="AK144" s="43" t="n"/>
      <c r="AL144" s="27" t="n"/>
      <c r="AM144" s="43" t="n"/>
      <c r="AN144" s="27" t="n"/>
      <c r="AO144" s="44">
        <f>IF(OR(A144="",H144="",H144&lt;=0),"",(E144*H144+IF(AND(AK144&lt;&gt;"",AL144&lt;&gt;""),AK144*AL144,0)+IF(AND(AM144&lt;&gt;"",AN144&lt;&gt;""),AM144*AN144,0))/AP144)</f>
        <v/>
      </c>
      <c r="AP144" s="26">
        <f>IF(OR(A144="",H144="",H144&lt;=0),"",H144+IF(AL144="",0,AL144)+IF(AN144="",0,AN144))</f>
        <v/>
      </c>
      <c r="AQ144" s="44">
        <f>IF(A144="","",IF(M144&lt;&gt;"",0,IF(OR(H144="",N144=""),"",MAX(E144-MAX(N144,IFERROR(AGGREGATE(14,6,'持仓跟踪'!$S$2:$S$501/(('持仓跟踪'!$A$2:$A$501="每日跟踪")*('持仓跟踪'!$B$2:$B$501=A144)),1),0)),0)*H144+IF(OR(AK144="",AL144=""),0,MAX(AK144-MAX(N144,IFERROR(AGGREGATE(14,6,'持仓跟踪'!$S$2:$S$501/(('持仓跟踪'!$A$2:$A$501="每日跟踪")*('持仓跟踪'!$B$2:$B$501=A144)),1),0)),0)*AL144)+IF(OR(AM144="",AN144=""),0,MAX(AM144-MAX(N144,IFERROR(AGGREGATE(14,6,'持仓跟踪'!$S$2:$S$501/(('持仓跟踪'!$A$2:$A$501="每日跟踪")*('持仓跟踪'!$B$2:$B$501=A144)),1),0)),0)*AN144))))</f>
        <v/>
      </c>
      <c r="AR144" s="31">
        <f>IF(A144="","",IF(OR(E144="",H144=""),"违规：第一批价格或股数缺失",IF(OR(AND(AK144="",AL144&lt;&gt;""),AND(AK144&lt;&gt;"",AL144="")),"违规：第二批价格与股数须成对填写",IF(OR(AND(AM144="",AN144&lt;&gt;""),AND(AM144&lt;&gt;"",AN144="")),"违规：第三批价格与股数须成对填写",IF(AND(OR(AM144&lt;&gt;"",AN144&lt;&gt;""),OR(AK144="",AL144="")),"违规：必须先完成第二批",IF(OR(H144&lt;=0,H144&lt;&gt;INT(H144),MOD(H144,100)&lt;&gt;0,AND(AL144&lt;&gt;"",OR(AL144&lt;=0,AL144&lt;&gt;INT(AL144),MOD(AL144,100)&lt;&gt;0)),AND(AN144&lt;&gt;"",OR(AN144&lt;=0,AN144&lt;&gt;INT(AN144),MOD(AN144,100)&lt;&gt;0))),"违规：股数须为100股整数倍",IF(AND(OR(AL144&lt;&gt;"",AN144&lt;&gt;""),OR(_LockStatus="已锁仓",_LockStatus="解锁信息不完整")),"违规：锁仓期间禁止加仓",IF(AQ144&gt;C144*D144,"违规：超过单笔风险上限",IF(SUM($AQ$2:$AQ$201)&gt;账户数据!$B$7,"违规：超过账户风险上限","通过")))))))))</f>
        <v/>
      </c>
    </row>
    <row r="145">
      <c r="A145" s="2" t="n"/>
      <c r="B145" s="2" t="n"/>
      <c r="C145" s="40" t="n"/>
      <c r="D145" s="6" t="n"/>
      <c r="E145" s="40" t="n"/>
      <c r="F145" s="8">
        <f>IF(OR(C145="",D145="",E145="",N145="",C145&lt;=0,D145&lt;=0,E145&lt;=N145),"",ROUNDDOWN((C145*D145)/(E145-N145)/100,0)*100)</f>
        <v/>
      </c>
      <c r="G145" s="8">
        <f>IF(A145="","",IF(H145&lt;&gt;"","已开仓",IF(账户数据!$B$23="已锁仓","禁止开仓：连续亏损达到上限",IF(账户数据!$B$23="解锁信息不完整","禁止开仓：请完整填写解锁信息",IF(OR(F145="",E145="",N145="",E145&lt;=N145,账户数据!$B$7=""),"",IF(OR(AG145="",AH145="",AI145=""),"禁止开仓：交易预期未填写完整",IF(COUNTIFS(持仓跟踪!$A$2:$A$501,"止损计划",持仓跟踪!$B$2:$B$501,A145,持仓跟踪!$AC$2:$AC$501,"计划有效")=0,"禁止开仓：请先填写止损计划",IF(账户数据!$B$9+F145*(E145-N145)&gt;=账户数据!$B$7,"禁止开仓：风险额度不足",IF(AJ145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5" s="2" t="n"/>
      <c r="I145" s="41" t="n"/>
      <c r="J145" s="40" t="n"/>
      <c r="K145" s="46">
        <f>IF(A145="","",IFERROR(LOOKUP(2,1/((持仓跟踪!$B$2:$B$501=A145)*(持仓跟踪!$X$2:$X$501="执行卖出")*(持仓跟踪!$Y$2:$Y$501&lt;&gt;"")),持仓跟踪!$Y$2:$Y$501),""))</f>
        <v/>
      </c>
      <c r="L145" s="33">
        <f>IF(A145="","",IFERROR(LOOKUP(2,1/((持仓跟踪!$B$2:$B$501=A145)*(持仓跟踪!$X$2:$X$501="执行卖出")*(持仓跟踪!$Z$2:$Z$501&lt;&gt;"")),持仓跟踪!$Z$2:$Z$501),""))</f>
        <v/>
      </c>
      <c r="M145" s="47">
        <f>IF(A145="","",IFERROR(LOOKUP(2,1/((持仓跟踪!$B$2:$B$501=A145)*(持仓跟踪!$X$2:$X$501="执行卖出")*(持仓跟踪!$H$2:$H$501&lt;&gt;"")),持仓跟踪!$H$2:$H$501),""))</f>
        <v/>
      </c>
      <c r="N145" s="40" t="n"/>
      <c r="O145" s="40" t="n"/>
      <c r="P145" s="46">
        <f>IF(A145="","",IFERROR(LOOKUP(2,1/((持仓跟踪!$B$2:$B$501=A145)*(持仓跟踪!$X$2:$X$501="执行卖出")*(持仓跟踪!$AA$2:$AA$501&lt;&gt;"")),持仓跟踪!$AA$2:$AA$501),""))</f>
        <v/>
      </c>
      <c r="Q145" s="2" t="n"/>
      <c r="R145" s="2" t="n"/>
      <c r="S145" s="2" t="n"/>
      <c r="T145" s="2" t="n"/>
      <c r="U145" s="7">
        <f>IF(OR(AO145="",J145="",AO145&lt;=0),"",(J145-AO145)/AO145)</f>
        <v/>
      </c>
      <c r="V145" s="7">
        <f>IF(OR(AO145="",N145="",AO145&lt;=0),"",(AO145-N145)/AO145)</f>
        <v/>
      </c>
      <c r="W145" s="13">
        <f>IF(OR(U145="",V145="",V145&lt;=0),"",U145/V145)</f>
        <v/>
      </c>
      <c r="X145" s="42">
        <f>IF(OR(K145="",L145="",AP145=""),"",K145*L145-(E145*H145+IF(AND(AK145&lt;&gt;"",AL145&lt;&gt;""),AK145*AL145,0)+IF(AND(AM145&lt;&gt;"",AN145&lt;&gt;""),AM145*AN145,0))-IF(O145="",0,O145)-IF(P145="",0,P145))</f>
        <v/>
      </c>
      <c r="Y145" s="7">
        <f>IF(OR(X145="",AP145=""),"",IF((E145*H145+IF(AND(AK145&lt;&gt;"",AL145&lt;&gt;""),AK145*AL145,0)+IF(AND(AM145&lt;&gt;"",AN145&lt;&gt;""),AM145*AN145,0))+IF(O145="",0,O145)&lt;=0,"",X145/((E145*H145+IF(AND(AK145&lt;&gt;"",AL145&lt;&gt;""),AK145*AL145,0)+IF(AND(AM145&lt;&gt;"",AN145&lt;&gt;""),AM145*AN145,0))+IF(O145="",0,O145))))</f>
        <v/>
      </c>
      <c r="Z145" s="7">
        <f>IF(OR(AE145="",多次统计数据!$B$8=""),"",AE145-多次统计数据!$B$8)</f>
        <v/>
      </c>
      <c r="AA145" s="14">
        <f>IF(OR(I145="",M145="",M145&lt;I145),"",M145-I145)</f>
        <v/>
      </c>
      <c r="AB145" s="7">
        <f>IF(OR(A145="",多次统计数据!$B$8="",多次统计数据!$B$6&lt;=0,多次统计数据!$B$6&gt;=1),"",1-POWER(1+多次统计数据!$B$8,-多次统计数据!$B$6/(1-多次统计数据!$B$6)))</f>
        <v/>
      </c>
      <c r="AC145" s="8">
        <f>IF(OR(AB145="",多次统计数据!$B$9=""),"",IF(多次统计数据!$B$9&lt;AB145,"低于上限","达到或超过上限"))</f>
        <v/>
      </c>
      <c r="AD145" s="2" t="n"/>
      <c r="AE145" s="7">
        <f>IF(OR(X145="",C145="",C145&lt;=0),"",X145/C145)</f>
        <v/>
      </c>
      <c r="AG145" s="28" t="n"/>
      <c r="AH145" s="28" t="n"/>
      <c r="AI145" s="28" t="n"/>
      <c r="AJ145" s="31">
        <f>IF(OR(AG145="",AH145=""),"",IF(OR(AND(AG145="短期博反弹",OR(AH145="1～3个交易日",AH145="4～10个交易日")),AND(AG145="突破冲新高",OR(AH145="4～10个交易日",AH145="11～20个交易日")),AND(AG145="趋势波段",OR(AH145="11～20个交易日",AH145="21～60个交易日",AH145="60个交易日以上"))),"匹配","周期与交易预期不匹配，请重新确认"))</f>
        <v/>
      </c>
      <c r="AK145" s="43" t="n"/>
      <c r="AL145" s="27" t="n"/>
      <c r="AM145" s="43" t="n"/>
      <c r="AN145" s="27" t="n"/>
      <c r="AO145" s="44">
        <f>IF(OR(A145="",H145="",H145&lt;=0),"",(E145*H145+IF(AND(AK145&lt;&gt;"",AL145&lt;&gt;""),AK145*AL145,0)+IF(AND(AM145&lt;&gt;"",AN145&lt;&gt;""),AM145*AN145,0))/AP145)</f>
        <v/>
      </c>
      <c r="AP145" s="26">
        <f>IF(OR(A145="",H145="",H145&lt;=0),"",H145+IF(AL145="",0,AL145)+IF(AN145="",0,AN145))</f>
        <v/>
      </c>
      <c r="AQ145" s="44">
        <f>IF(A145="","",IF(M145&lt;&gt;"",0,IF(OR(H145="",N145=""),"",MAX(E145-MAX(N145,IFERROR(AGGREGATE(14,6,'持仓跟踪'!$S$2:$S$501/(('持仓跟踪'!$A$2:$A$501="每日跟踪")*('持仓跟踪'!$B$2:$B$501=A145)),1),0)),0)*H145+IF(OR(AK145="",AL145=""),0,MAX(AK145-MAX(N145,IFERROR(AGGREGATE(14,6,'持仓跟踪'!$S$2:$S$501/(('持仓跟踪'!$A$2:$A$501="每日跟踪")*('持仓跟踪'!$B$2:$B$501=A145)),1),0)),0)*AL145)+IF(OR(AM145="",AN145=""),0,MAX(AM145-MAX(N145,IFERROR(AGGREGATE(14,6,'持仓跟踪'!$S$2:$S$501/(('持仓跟踪'!$A$2:$A$501="每日跟踪")*('持仓跟踪'!$B$2:$B$501=A145)),1),0)),0)*AN145))))</f>
        <v/>
      </c>
      <c r="AR145" s="31">
        <f>IF(A145="","",IF(OR(E145="",H145=""),"违规：第一批价格或股数缺失",IF(OR(AND(AK145="",AL145&lt;&gt;""),AND(AK145&lt;&gt;"",AL145="")),"违规：第二批价格与股数须成对填写",IF(OR(AND(AM145="",AN145&lt;&gt;""),AND(AM145&lt;&gt;"",AN145="")),"违规：第三批价格与股数须成对填写",IF(AND(OR(AM145&lt;&gt;"",AN145&lt;&gt;""),OR(AK145="",AL145="")),"违规：必须先完成第二批",IF(OR(H145&lt;=0,H145&lt;&gt;INT(H145),MOD(H145,100)&lt;&gt;0,AND(AL145&lt;&gt;"",OR(AL145&lt;=0,AL145&lt;&gt;INT(AL145),MOD(AL145,100)&lt;&gt;0)),AND(AN145&lt;&gt;"",OR(AN145&lt;=0,AN145&lt;&gt;INT(AN145),MOD(AN145,100)&lt;&gt;0))),"违规：股数须为100股整数倍",IF(AND(OR(AL145&lt;&gt;"",AN145&lt;&gt;""),OR(_LockStatus="已锁仓",_LockStatus="解锁信息不完整")),"违规：锁仓期间禁止加仓",IF(AQ145&gt;C145*D145,"违规：超过单笔风险上限",IF(SUM($AQ$2:$AQ$201)&gt;账户数据!$B$7,"违规：超过账户风险上限","通过")))))))))</f>
        <v/>
      </c>
    </row>
    <row r="146">
      <c r="A146" s="2" t="n"/>
      <c r="B146" s="2" t="n"/>
      <c r="C146" s="40" t="n"/>
      <c r="D146" s="6" t="n"/>
      <c r="E146" s="40" t="n"/>
      <c r="F146" s="8">
        <f>IF(OR(C146="",D146="",E146="",N146="",C146&lt;=0,D146&lt;=0,E146&lt;=N146),"",ROUNDDOWN((C146*D146)/(E146-N146)/100,0)*100)</f>
        <v/>
      </c>
      <c r="G146" s="8">
        <f>IF(A146="","",IF(H146&lt;&gt;"","已开仓",IF(账户数据!$B$23="已锁仓","禁止开仓：连续亏损达到上限",IF(账户数据!$B$23="解锁信息不完整","禁止开仓：请完整填写解锁信息",IF(OR(F146="",E146="",N146="",E146&lt;=N146,账户数据!$B$7=""),"",IF(OR(AG146="",AH146="",AI146=""),"禁止开仓：交易预期未填写完整",IF(COUNTIFS(持仓跟踪!$A$2:$A$501,"止损计划",持仓跟踪!$B$2:$B$501,A146,持仓跟踪!$AC$2:$AC$501,"计划有效")=0,"禁止开仓：请先填写止损计划",IF(账户数据!$B$9+F146*(E146-N146)&gt;=账户数据!$B$7,"禁止开仓：风险额度不足",IF(AJ146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6" s="2" t="n"/>
      <c r="I146" s="41" t="n"/>
      <c r="J146" s="40" t="n"/>
      <c r="K146" s="46">
        <f>IF(A146="","",IFERROR(LOOKUP(2,1/((持仓跟踪!$B$2:$B$501=A146)*(持仓跟踪!$X$2:$X$501="执行卖出")*(持仓跟踪!$Y$2:$Y$501&lt;&gt;"")),持仓跟踪!$Y$2:$Y$501),""))</f>
        <v/>
      </c>
      <c r="L146" s="33">
        <f>IF(A146="","",IFERROR(LOOKUP(2,1/((持仓跟踪!$B$2:$B$501=A146)*(持仓跟踪!$X$2:$X$501="执行卖出")*(持仓跟踪!$Z$2:$Z$501&lt;&gt;"")),持仓跟踪!$Z$2:$Z$501),""))</f>
        <v/>
      </c>
      <c r="M146" s="47">
        <f>IF(A146="","",IFERROR(LOOKUP(2,1/((持仓跟踪!$B$2:$B$501=A146)*(持仓跟踪!$X$2:$X$501="执行卖出")*(持仓跟踪!$H$2:$H$501&lt;&gt;"")),持仓跟踪!$H$2:$H$501),""))</f>
        <v/>
      </c>
      <c r="N146" s="40" t="n"/>
      <c r="O146" s="40" t="n"/>
      <c r="P146" s="46">
        <f>IF(A146="","",IFERROR(LOOKUP(2,1/((持仓跟踪!$B$2:$B$501=A146)*(持仓跟踪!$X$2:$X$501="执行卖出")*(持仓跟踪!$AA$2:$AA$501&lt;&gt;"")),持仓跟踪!$AA$2:$AA$501),""))</f>
        <v/>
      </c>
      <c r="Q146" s="2" t="n"/>
      <c r="R146" s="2" t="n"/>
      <c r="S146" s="2" t="n"/>
      <c r="T146" s="2" t="n"/>
      <c r="U146" s="7">
        <f>IF(OR(AO146="",J146="",AO146&lt;=0),"",(J146-AO146)/AO146)</f>
        <v/>
      </c>
      <c r="V146" s="7">
        <f>IF(OR(AO146="",N146="",AO146&lt;=0),"",(AO146-N146)/AO146)</f>
        <v/>
      </c>
      <c r="W146" s="13">
        <f>IF(OR(U146="",V146="",V146&lt;=0),"",U146/V146)</f>
        <v/>
      </c>
      <c r="X146" s="42">
        <f>IF(OR(K146="",L146="",AP146=""),"",K146*L146-(E146*H146+IF(AND(AK146&lt;&gt;"",AL146&lt;&gt;""),AK146*AL146,0)+IF(AND(AM146&lt;&gt;"",AN146&lt;&gt;""),AM146*AN146,0))-IF(O146="",0,O146)-IF(P146="",0,P146))</f>
        <v/>
      </c>
      <c r="Y146" s="7">
        <f>IF(OR(X146="",AP146=""),"",IF((E146*H146+IF(AND(AK146&lt;&gt;"",AL146&lt;&gt;""),AK146*AL146,0)+IF(AND(AM146&lt;&gt;"",AN146&lt;&gt;""),AM146*AN146,0))+IF(O146="",0,O146)&lt;=0,"",X146/((E146*H146+IF(AND(AK146&lt;&gt;"",AL146&lt;&gt;""),AK146*AL146,0)+IF(AND(AM146&lt;&gt;"",AN146&lt;&gt;""),AM146*AN146,0))+IF(O146="",0,O146))))</f>
        <v/>
      </c>
      <c r="Z146" s="7">
        <f>IF(OR(AE146="",多次统计数据!$B$8=""),"",AE146-多次统计数据!$B$8)</f>
        <v/>
      </c>
      <c r="AA146" s="14">
        <f>IF(OR(I146="",M146="",M146&lt;I146),"",M146-I146)</f>
        <v/>
      </c>
      <c r="AB146" s="7">
        <f>IF(OR(A146="",多次统计数据!$B$8="",多次统计数据!$B$6&lt;=0,多次统计数据!$B$6&gt;=1),"",1-POWER(1+多次统计数据!$B$8,-多次统计数据!$B$6/(1-多次统计数据!$B$6)))</f>
        <v/>
      </c>
      <c r="AC146" s="8">
        <f>IF(OR(AB146="",多次统计数据!$B$9=""),"",IF(多次统计数据!$B$9&lt;AB146,"低于上限","达到或超过上限"))</f>
        <v/>
      </c>
      <c r="AD146" s="2" t="n"/>
      <c r="AE146" s="7">
        <f>IF(OR(X146="",C146="",C146&lt;=0),"",X146/C146)</f>
        <v/>
      </c>
      <c r="AG146" s="28" t="n"/>
      <c r="AH146" s="28" t="n"/>
      <c r="AI146" s="28" t="n"/>
      <c r="AJ146" s="31">
        <f>IF(OR(AG146="",AH146=""),"",IF(OR(AND(AG146="短期博反弹",OR(AH146="1～3个交易日",AH146="4～10个交易日")),AND(AG146="突破冲新高",OR(AH146="4～10个交易日",AH146="11～20个交易日")),AND(AG146="趋势波段",OR(AH146="11～20个交易日",AH146="21～60个交易日",AH146="60个交易日以上"))),"匹配","周期与交易预期不匹配，请重新确认"))</f>
        <v/>
      </c>
      <c r="AK146" s="43" t="n"/>
      <c r="AL146" s="27" t="n"/>
      <c r="AM146" s="43" t="n"/>
      <c r="AN146" s="27" t="n"/>
      <c r="AO146" s="44">
        <f>IF(OR(A146="",H146="",H146&lt;=0),"",(E146*H146+IF(AND(AK146&lt;&gt;"",AL146&lt;&gt;""),AK146*AL146,0)+IF(AND(AM146&lt;&gt;"",AN146&lt;&gt;""),AM146*AN146,0))/AP146)</f>
        <v/>
      </c>
      <c r="AP146" s="26">
        <f>IF(OR(A146="",H146="",H146&lt;=0),"",H146+IF(AL146="",0,AL146)+IF(AN146="",0,AN146))</f>
        <v/>
      </c>
      <c r="AQ146" s="44">
        <f>IF(A146="","",IF(M146&lt;&gt;"",0,IF(OR(H146="",N146=""),"",MAX(E146-MAX(N146,IFERROR(AGGREGATE(14,6,'持仓跟踪'!$S$2:$S$501/(('持仓跟踪'!$A$2:$A$501="每日跟踪")*('持仓跟踪'!$B$2:$B$501=A146)),1),0)),0)*H146+IF(OR(AK146="",AL146=""),0,MAX(AK146-MAX(N146,IFERROR(AGGREGATE(14,6,'持仓跟踪'!$S$2:$S$501/(('持仓跟踪'!$A$2:$A$501="每日跟踪")*('持仓跟踪'!$B$2:$B$501=A146)),1),0)),0)*AL146)+IF(OR(AM146="",AN146=""),0,MAX(AM146-MAX(N146,IFERROR(AGGREGATE(14,6,'持仓跟踪'!$S$2:$S$501/(('持仓跟踪'!$A$2:$A$501="每日跟踪")*('持仓跟踪'!$B$2:$B$501=A146)),1),0)),0)*AN146))))</f>
        <v/>
      </c>
      <c r="AR146" s="31">
        <f>IF(A146="","",IF(OR(E146="",H146=""),"违规：第一批价格或股数缺失",IF(OR(AND(AK146="",AL146&lt;&gt;""),AND(AK146&lt;&gt;"",AL146="")),"违规：第二批价格与股数须成对填写",IF(OR(AND(AM146="",AN146&lt;&gt;""),AND(AM146&lt;&gt;"",AN146="")),"违规：第三批价格与股数须成对填写",IF(AND(OR(AM146&lt;&gt;"",AN146&lt;&gt;""),OR(AK146="",AL146="")),"违规：必须先完成第二批",IF(OR(H146&lt;=0,H146&lt;&gt;INT(H146),MOD(H146,100)&lt;&gt;0,AND(AL146&lt;&gt;"",OR(AL146&lt;=0,AL146&lt;&gt;INT(AL146),MOD(AL146,100)&lt;&gt;0)),AND(AN146&lt;&gt;"",OR(AN146&lt;=0,AN146&lt;&gt;INT(AN146),MOD(AN146,100)&lt;&gt;0))),"违规：股数须为100股整数倍",IF(AND(OR(AL146&lt;&gt;"",AN146&lt;&gt;""),OR(_LockStatus="已锁仓",_LockStatus="解锁信息不完整")),"违规：锁仓期间禁止加仓",IF(AQ146&gt;C146*D146,"违规：超过单笔风险上限",IF(SUM($AQ$2:$AQ$201)&gt;账户数据!$B$7,"违规：超过账户风险上限","通过")))))))))</f>
        <v/>
      </c>
    </row>
    <row r="147">
      <c r="A147" s="2" t="n"/>
      <c r="B147" s="2" t="n"/>
      <c r="C147" s="40" t="n"/>
      <c r="D147" s="6" t="n"/>
      <c r="E147" s="40" t="n"/>
      <c r="F147" s="8">
        <f>IF(OR(C147="",D147="",E147="",N147="",C147&lt;=0,D147&lt;=0,E147&lt;=N147),"",ROUNDDOWN((C147*D147)/(E147-N147)/100,0)*100)</f>
        <v/>
      </c>
      <c r="G147" s="8">
        <f>IF(A147="","",IF(H147&lt;&gt;"","已开仓",IF(账户数据!$B$23="已锁仓","禁止开仓：连续亏损达到上限",IF(账户数据!$B$23="解锁信息不完整","禁止开仓：请完整填写解锁信息",IF(OR(F147="",E147="",N147="",E147&lt;=N147,账户数据!$B$7=""),"",IF(OR(AG147="",AH147="",AI147=""),"禁止开仓：交易预期未填写完整",IF(COUNTIFS(持仓跟踪!$A$2:$A$501,"止损计划",持仓跟踪!$B$2:$B$501,A147,持仓跟踪!$AC$2:$AC$501,"计划有效")=0,"禁止开仓：请先填写止损计划",IF(账户数据!$B$9+F147*(E147-N147)&gt;=账户数据!$B$7,"禁止开仓：风险额度不足",IF(AJ147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7" s="2" t="n"/>
      <c r="I147" s="41" t="n"/>
      <c r="J147" s="40" t="n"/>
      <c r="K147" s="46">
        <f>IF(A147="","",IFERROR(LOOKUP(2,1/((持仓跟踪!$B$2:$B$501=A147)*(持仓跟踪!$X$2:$X$501="执行卖出")*(持仓跟踪!$Y$2:$Y$501&lt;&gt;"")),持仓跟踪!$Y$2:$Y$501),""))</f>
        <v/>
      </c>
      <c r="L147" s="33">
        <f>IF(A147="","",IFERROR(LOOKUP(2,1/((持仓跟踪!$B$2:$B$501=A147)*(持仓跟踪!$X$2:$X$501="执行卖出")*(持仓跟踪!$Z$2:$Z$501&lt;&gt;"")),持仓跟踪!$Z$2:$Z$501),""))</f>
        <v/>
      </c>
      <c r="M147" s="47">
        <f>IF(A147="","",IFERROR(LOOKUP(2,1/((持仓跟踪!$B$2:$B$501=A147)*(持仓跟踪!$X$2:$X$501="执行卖出")*(持仓跟踪!$H$2:$H$501&lt;&gt;"")),持仓跟踪!$H$2:$H$501),""))</f>
        <v/>
      </c>
      <c r="N147" s="40" t="n"/>
      <c r="O147" s="40" t="n"/>
      <c r="P147" s="46">
        <f>IF(A147="","",IFERROR(LOOKUP(2,1/((持仓跟踪!$B$2:$B$501=A147)*(持仓跟踪!$X$2:$X$501="执行卖出")*(持仓跟踪!$AA$2:$AA$501&lt;&gt;"")),持仓跟踪!$AA$2:$AA$501),""))</f>
        <v/>
      </c>
      <c r="Q147" s="2" t="n"/>
      <c r="R147" s="2" t="n"/>
      <c r="S147" s="2" t="n"/>
      <c r="T147" s="2" t="n"/>
      <c r="U147" s="7">
        <f>IF(OR(AO147="",J147="",AO147&lt;=0),"",(J147-AO147)/AO147)</f>
        <v/>
      </c>
      <c r="V147" s="7">
        <f>IF(OR(AO147="",N147="",AO147&lt;=0),"",(AO147-N147)/AO147)</f>
        <v/>
      </c>
      <c r="W147" s="13">
        <f>IF(OR(U147="",V147="",V147&lt;=0),"",U147/V147)</f>
        <v/>
      </c>
      <c r="X147" s="42">
        <f>IF(OR(K147="",L147="",AP147=""),"",K147*L147-(E147*H147+IF(AND(AK147&lt;&gt;"",AL147&lt;&gt;""),AK147*AL147,0)+IF(AND(AM147&lt;&gt;"",AN147&lt;&gt;""),AM147*AN147,0))-IF(O147="",0,O147)-IF(P147="",0,P147))</f>
        <v/>
      </c>
      <c r="Y147" s="7">
        <f>IF(OR(X147="",AP147=""),"",IF((E147*H147+IF(AND(AK147&lt;&gt;"",AL147&lt;&gt;""),AK147*AL147,0)+IF(AND(AM147&lt;&gt;"",AN147&lt;&gt;""),AM147*AN147,0))+IF(O147="",0,O147)&lt;=0,"",X147/((E147*H147+IF(AND(AK147&lt;&gt;"",AL147&lt;&gt;""),AK147*AL147,0)+IF(AND(AM147&lt;&gt;"",AN147&lt;&gt;""),AM147*AN147,0))+IF(O147="",0,O147))))</f>
        <v/>
      </c>
      <c r="Z147" s="7">
        <f>IF(OR(AE147="",多次统计数据!$B$8=""),"",AE147-多次统计数据!$B$8)</f>
        <v/>
      </c>
      <c r="AA147" s="14">
        <f>IF(OR(I147="",M147="",M147&lt;I147),"",M147-I147)</f>
        <v/>
      </c>
      <c r="AB147" s="7">
        <f>IF(OR(A147="",多次统计数据!$B$8="",多次统计数据!$B$6&lt;=0,多次统计数据!$B$6&gt;=1),"",1-POWER(1+多次统计数据!$B$8,-多次统计数据!$B$6/(1-多次统计数据!$B$6)))</f>
        <v/>
      </c>
      <c r="AC147" s="8">
        <f>IF(OR(AB147="",多次统计数据!$B$9=""),"",IF(多次统计数据!$B$9&lt;AB147,"低于上限","达到或超过上限"))</f>
        <v/>
      </c>
      <c r="AD147" s="2" t="n"/>
      <c r="AE147" s="7">
        <f>IF(OR(X147="",C147="",C147&lt;=0),"",X147/C147)</f>
        <v/>
      </c>
      <c r="AG147" s="28" t="n"/>
      <c r="AH147" s="28" t="n"/>
      <c r="AI147" s="28" t="n"/>
      <c r="AJ147" s="31">
        <f>IF(OR(AG147="",AH147=""),"",IF(OR(AND(AG147="短期博反弹",OR(AH147="1～3个交易日",AH147="4～10个交易日")),AND(AG147="突破冲新高",OR(AH147="4～10个交易日",AH147="11～20个交易日")),AND(AG147="趋势波段",OR(AH147="11～20个交易日",AH147="21～60个交易日",AH147="60个交易日以上"))),"匹配","周期与交易预期不匹配，请重新确认"))</f>
        <v/>
      </c>
      <c r="AK147" s="43" t="n"/>
      <c r="AL147" s="27" t="n"/>
      <c r="AM147" s="43" t="n"/>
      <c r="AN147" s="27" t="n"/>
      <c r="AO147" s="44">
        <f>IF(OR(A147="",H147="",H147&lt;=0),"",(E147*H147+IF(AND(AK147&lt;&gt;"",AL147&lt;&gt;""),AK147*AL147,0)+IF(AND(AM147&lt;&gt;"",AN147&lt;&gt;""),AM147*AN147,0))/AP147)</f>
        <v/>
      </c>
      <c r="AP147" s="26">
        <f>IF(OR(A147="",H147="",H147&lt;=0),"",H147+IF(AL147="",0,AL147)+IF(AN147="",0,AN147))</f>
        <v/>
      </c>
      <c r="AQ147" s="44">
        <f>IF(A147="","",IF(M147&lt;&gt;"",0,IF(OR(H147="",N147=""),"",MAX(E147-MAX(N147,IFERROR(AGGREGATE(14,6,'持仓跟踪'!$S$2:$S$501/(('持仓跟踪'!$A$2:$A$501="每日跟踪")*('持仓跟踪'!$B$2:$B$501=A147)),1),0)),0)*H147+IF(OR(AK147="",AL147=""),0,MAX(AK147-MAX(N147,IFERROR(AGGREGATE(14,6,'持仓跟踪'!$S$2:$S$501/(('持仓跟踪'!$A$2:$A$501="每日跟踪")*('持仓跟踪'!$B$2:$B$501=A147)),1),0)),0)*AL147)+IF(OR(AM147="",AN147=""),0,MAX(AM147-MAX(N147,IFERROR(AGGREGATE(14,6,'持仓跟踪'!$S$2:$S$501/(('持仓跟踪'!$A$2:$A$501="每日跟踪")*('持仓跟踪'!$B$2:$B$501=A147)),1),0)),0)*AN147))))</f>
        <v/>
      </c>
      <c r="AR147" s="31">
        <f>IF(A147="","",IF(OR(E147="",H147=""),"违规：第一批价格或股数缺失",IF(OR(AND(AK147="",AL147&lt;&gt;""),AND(AK147&lt;&gt;"",AL147="")),"违规：第二批价格与股数须成对填写",IF(OR(AND(AM147="",AN147&lt;&gt;""),AND(AM147&lt;&gt;"",AN147="")),"违规：第三批价格与股数须成对填写",IF(AND(OR(AM147&lt;&gt;"",AN147&lt;&gt;""),OR(AK147="",AL147="")),"违规：必须先完成第二批",IF(OR(H147&lt;=0,H147&lt;&gt;INT(H147),MOD(H147,100)&lt;&gt;0,AND(AL147&lt;&gt;"",OR(AL147&lt;=0,AL147&lt;&gt;INT(AL147),MOD(AL147,100)&lt;&gt;0)),AND(AN147&lt;&gt;"",OR(AN147&lt;=0,AN147&lt;&gt;INT(AN147),MOD(AN147,100)&lt;&gt;0))),"违规：股数须为100股整数倍",IF(AND(OR(AL147&lt;&gt;"",AN147&lt;&gt;""),OR(_LockStatus="已锁仓",_LockStatus="解锁信息不完整")),"违规：锁仓期间禁止加仓",IF(AQ147&gt;C147*D147,"违规：超过单笔风险上限",IF(SUM($AQ$2:$AQ$201)&gt;账户数据!$B$7,"违规：超过账户风险上限","通过")))))))))</f>
        <v/>
      </c>
    </row>
    <row r="148">
      <c r="A148" s="2" t="n"/>
      <c r="B148" s="2" t="n"/>
      <c r="C148" s="40" t="n"/>
      <c r="D148" s="6" t="n"/>
      <c r="E148" s="40" t="n"/>
      <c r="F148" s="8">
        <f>IF(OR(C148="",D148="",E148="",N148="",C148&lt;=0,D148&lt;=0,E148&lt;=N148),"",ROUNDDOWN((C148*D148)/(E148-N148)/100,0)*100)</f>
        <v/>
      </c>
      <c r="G148" s="8">
        <f>IF(A148="","",IF(H148&lt;&gt;"","已开仓",IF(账户数据!$B$23="已锁仓","禁止开仓：连续亏损达到上限",IF(账户数据!$B$23="解锁信息不完整","禁止开仓：请完整填写解锁信息",IF(OR(F148="",E148="",N148="",E148&lt;=N148,账户数据!$B$7=""),"",IF(OR(AG148="",AH148="",AI148=""),"禁止开仓：交易预期未填写完整",IF(COUNTIFS(持仓跟踪!$A$2:$A$501,"止损计划",持仓跟踪!$B$2:$B$501,A148,持仓跟踪!$AC$2:$AC$501,"计划有效")=0,"禁止开仓：请先填写止损计划",IF(账户数据!$B$9+F148*(E148-N148)&gt;=账户数据!$B$7,"禁止开仓：风险额度不足",IF(AJ148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8" s="2" t="n"/>
      <c r="I148" s="41" t="n"/>
      <c r="J148" s="40" t="n"/>
      <c r="K148" s="46">
        <f>IF(A148="","",IFERROR(LOOKUP(2,1/((持仓跟踪!$B$2:$B$501=A148)*(持仓跟踪!$X$2:$X$501="执行卖出")*(持仓跟踪!$Y$2:$Y$501&lt;&gt;"")),持仓跟踪!$Y$2:$Y$501),""))</f>
        <v/>
      </c>
      <c r="L148" s="33">
        <f>IF(A148="","",IFERROR(LOOKUP(2,1/((持仓跟踪!$B$2:$B$501=A148)*(持仓跟踪!$X$2:$X$501="执行卖出")*(持仓跟踪!$Z$2:$Z$501&lt;&gt;"")),持仓跟踪!$Z$2:$Z$501),""))</f>
        <v/>
      </c>
      <c r="M148" s="47">
        <f>IF(A148="","",IFERROR(LOOKUP(2,1/((持仓跟踪!$B$2:$B$501=A148)*(持仓跟踪!$X$2:$X$501="执行卖出")*(持仓跟踪!$H$2:$H$501&lt;&gt;"")),持仓跟踪!$H$2:$H$501),""))</f>
        <v/>
      </c>
      <c r="N148" s="40" t="n"/>
      <c r="O148" s="40" t="n"/>
      <c r="P148" s="46">
        <f>IF(A148="","",IFERROR(LOOKUP(2,1/((持仓跟踪!$B$2:$B$501=A148)*(持仓跟踪!$X$2:$X$501="执行卖出")*(持仓跟踪!$AA$2:$AA$501&lt;&gt;"")),持仓跟踪!$AA$2:$AA$501),""))</f>
        <v/>
      </c>
      <c r="Q148" s="2" t="n"/>
      <c r="R148" s="2" t="n"/>
      <c r="S148" s="2" t="n"/>
      <c r="T148" s="2" t="n"/>
      <c r="U148" s="7">
        <f>IF(OR(AO148="",J148="",AO148&lt;=0),"",(J148-AO148)/AO148)</f>
        <v/>
      </c>
      <c r="V148" s="7">
        <f>IF(OR(AO148="",N148="",AO148&lt;=0),"",(AO148-N148)/AO148)</f>
        <v/>
      </c>
      <c r="W148" s="13">
        <f>IF(OR(U148="",V148="",V148&lt;=0),"",U148/V148)</f>
        <v/>
      </c>
      <c r="X148" s="42">
        <f>IF(OR(K148="",L148="",AP148=""),"",K148*L148-(E148*H148+IF(AND(AK148&lt;&gt;"",AL148&lt;&gt;""),AK148*AL148,0)+IF(AND(AM148&lt;&gt;"",AN148&lt;&gt;""),AM148*AN148,0))-IF(O148="",0,O148)-IF(P148="",0,P148))</f>
        <v/>
      </c>
      <c r="Y148" s="7">
        <f>IF(OR(X148="",AP148=""),"",IF((E148*H148+IF(AND(AK148&lt;&gt;"",AL148&lt;&gt;""),AK148*AL148,0)+IF(AND(AM148&lt;&gt;"",AN148&lt;&gt;""),AM148*AN148,0))+IF(O148="",0,O148)&lt;=0,"",X148/((E148*H148+IF(AND(AK148&lt;&gt;"",AL148&lt;&gt;""),AK148*AL148,0)+IF(AND(AM148&lt;&gt;"",AN148&lt;&gt;""),AM148*AN148,0))+IF(O148="",0,O148))))</f>
        <v/>
      </c>
      <c r="Z148" s="7">
        <f>IF(OR(AE148="",多次统计数据!$B$8=""),"",AE148-多次统计数据!$B$8)</f>
        <v/>
      </c>
      <c r="AA148" s="14">
        <f>IF(OR(I148="",M148="",M148&lt;I148),"",M148-I148)</f>
        <v/>
      </c>
      <c r="AB148" s="7">
        <f>IF(OR(A148="",多次统计数据!$B$8="",多次统计数据!$B$6&lt;=0,多次统计数据!$B$6&gt;=1),"",1-POWER(1+多次统计数据!$B$8,-多次统计数据!$B$6/(1-多次统计数据!$B$6)))</f>
        <v/>
      </c>
      <c r="AC148" s="8">
        <f>IF(OR(AB148="",多次统计数据!$B$9=""),"",IF(多次统计数据!$B$9&lt;AB148,"低于上限","达到或超过上限"))</f>
        <v/>
      </c>
      <c r="AD148" s="2" t="n"/>
      <c r="AE148" s="7">
        <f>IF(OR(X148="",C148="",C148&lt;=0),"",X148/C148)</f>
        <v/>
      </c>
      <c r="AG148" s="28" t="n"/>
      <c r="AH148" s="28" t="n"/>
      <c r="AI148" s="28" t="n"/>
      <c r="AJ148" s="31">
        <f>IF(OR(AG148="",AH148=""),"",IF(OR(AND(AG148="短期博反弹",OR(AH148="1～3个交易日",AH148="4～10个交易日")),AND(AG148="突破冲新高",OR(AH148="4～10个交易日",AH148="11～20个交易日")),AND(AG148="趋势波段",OR(AH148="11～20个交易日",AH148="21～60个交易日",AH148="60个交易日以上"))),"匹配","周期与交易预期不匹配，请重新确认"))</f>
        <v/>
      </c>
      <c r="AK148" s="43" t="n"/>
      <c r="AL148" s="27" t="n"/>
      <c r="AM148" s="43" t="n"/>
      <c r="AN148" s="27" t="n"/>
      <c r="AO148" s="44">
        <f>IF(OR(A148="",H148="",H148&lt;=0),"",(E148*H148+IF(AND(AK148&lt;&gt;"",AL148&lt;&gt;""),AK148*AL148,0)+IF(AND(AM148&lt;&gt;"",AN148&lt;&gt;""),AM148*AN148,0))/AP148)</f>
        <v/>
      </c>
      <c r="AP148" s="26">
        <f>IF(OR(A148="",H148="",H148&lt;=0),"",H148+IF(AL148="",0,AL148)+IF(AN148="",0,AN148))</f>
        <v/>
      </c>
      <c r="AQ148" s="44">
        <f>IF(A148="","",IF(M148&lt;&gt;"",0,IF(OR(H148="",N148=""),"",MAX(E148-MAX(N148,IFERROR(AGGREGATE(14,6,'持仓跟踪'!$S$2:$S$501/(('持仓跟踪'!$A$2:$A$501="每日跟踪")*('持仓跟踪'!$B$2:$B$501=A148)),1),0)),0)*H148+IF(OR(AK148="",AL148=""),0,MAX(AK148-MAX(N148,IFERROR(AGGREGATE(14,6,'持仓跟踪'!$S$2:$S$501/(('持仓跟踪'!$A$2:$A$501="每日跟踪")*('持仓跟踪'!$B$2:$B$501=A148)),1),0)),0)*AL148)+IF(OR(AM148="",AN148=""),0,MAX(AM148-MAX(N148,IFERROR(AGGREGATE(14,6,'持仓跟踪'!$S$2:$S$501/(('持仓跟踪'!$A$2:$A$501="每日跟踪")*('持仓跟踪'!$B$2:$B$501=A148)),1),0)),0)*AN148))))</f>
        <v/>
      </c>
      <c r="AR148" s="31">
        <f>IF(A148="","",IF(OR(E148="",H148=""),"违规：第一批价格或股数缺失",IF(OR(AND(AK148="",AL148&lt;&gt;""),AND(AK148&lt;&gt;"",AL148="")),"违规：第二批价格与股数须成对填写",IF(OR(AND(AM148="",AN148&lt;&gt;""),AND(AM148&lt;&gt;"",AN148="")),"违规：第三批价格与股数须成对填写",IF(AND(OR(AM148&lt;&gt;"",AN148&lt;&gt;""),OR(AK148="",AL148="")),"违规：必须先完成第二批",IF(OR(H148&lt;=0,H148&lt;&gt;INT(H148),MOD(H148,100)&lt;&gt;0,AND(AL148&lt;&gt;"",OR(AL148&lt;=0,AL148&lt;&gt;INT(AL148),MOD(AL148,100)&lt;&gt;0)),AND(AN148&lt;&gt;"",OR(AN148&lt;=0,AN148&lt;&gt;INT(AN148),MOD(AN148,100)&lt;&gt;0))),"违规：股数须为100股整数倍",IF(AND(OR(AL148&lt;&gt;"",AN148&lt;&gt;""),OR(_LockStatus="已锁仓",_LockStatus="解锁信息不完整")),"违规：锁仓期间禁止加仓",IF(AQ148&gt;C148*D148,"违规：超过单笔风险上限",IF(SUM($AQ$2:$AQ$201)&gt;账户数据!$B$7,"违规：超过账户风险上限","通过")))))))))</f>
        <v/>
      </c>
    </row>
    <row r="149">
      <c r="A149" s="2" t="n"/>
      <c r="B149" s="2" t="n"/>
      <c r="C149" s="40" t="n"/>
      <c r="D149" s="6" t="n"/>
      <c r="E149" s="40" t="n"/>
      <c r="F149" s="8">
        <f>IF(OR(C149="",D149="",E149="",N149="",C149&lt;=0,D149&lt;=0,E149&lt;=N149),"",ROUNDDOWN((C149*D149)/(E149-N149)/100,0)*100)</f>
        <v/>
      </c>
      <c r="G149" s="8">
        <f>IF(A149="","",IF(H149&lt;&gt;"","已开仓",IF(账户数据!$B$23="已锁仓","禁止开仓：连续亏损达到上限",IF(账户数据!$B$23="解锁信息不完整","禁止开仓：请完整填写解锁信息",IF(OR(F149="",E149="",N149="",E149&lt;=N149,账户数据!$B$7=""),"",IF(OR(AG149="",AH149="",AI149=""),"禁止开仓：交易预期未填写完整",IF(COUNTIFS(持仓跟踪!$A$2:$A$501,"止损计划",持仓跟踪!$B$2:$B$501,A149,持仓跟踪!$AC$2:$AC$501,"计划有效")=0,"禁止开仓：请先填写止损计划",IF(账户数据!$B$9+F149*(E149-N149)&gt;=账户数据!$B$7,"禁止开仓：风险额度不足",IF(AJ149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49" s="2" t="n"/>
      <c r="I149" s="41" t="n"/>
      <c r="J149" s="40" t="n"/>
      <c r="K149" s="46">
        <f>IF(A149="","",IFERROR(LOOKUP(2,1/((持仓跟踪!$B$2:$B$501=A149)*(持仓跟踪!$X$2:$X$501="执行卖出")*(持仓跟踪!$Y$2:$Y$501&lt;&gt;"")),持仓跟踪!$Y$2:$Y$501),""))</f>
        <v/>
      </c>
      <c r="L149" s="33">
        <f>IF(A149="","",IFERROR(LOOKUP(2,1/((持仓跟踪!$B$2:$B$501=A149)*(持仓跟踪!$X$2:$X$501="执行卖出")*(持仓跟踪!$Z$2:$Z$501&lt;&gt;"")),持仓跟踪!$Z$2:$Z$501),""))</f>
        <v/>
      </c>
      <c r="M149" s="47">
        <f>IF(A149="","",IFERROR(LOOKUP(2,1/((持仓跟踪!$B$2:$B$501=A149)*(持仓跟踪!$X$2:$X$501="执行卖出")*(持仓跟踪!$H$2:$H$501&lt;&gt;"")),持仓跟踪!$H$2:$H$501),""))</f>
        <v/>
      </c>
      <c r="N149" s="40" t="n"/>
      <c r="O149" s="40" t="n"/>
      <c r="P149" s="46">
        <f>IF(A149="","",IFERROR(LOOKUP(2,1/((持仓跟踪!$B$2:$B$501=A149)*(持仓跟踪!$X$2:$X$501="执行卖出")*(持仓跟踪!$AA$2:$AA$501&lt;&gt;"")),持仓跟踪!$AA$2:$AA$501),""))</f>
        <v/>
      </c>
      <c r="Q149" s="2" t="n"/>
      <c r="R149" s="2" t="n"/>
      <c r="S149" s="2" t="n"/>
      <c r="T149" s="2" t="n"/>
      <c r="U149" s="7">
        <f>IF(OR(AO149="",J149="",AO149&lt;=0),"",(J149-AO149)/AO149)</f>
        <v/>
      </c>
      <c r="V149" s="7">
        <f>IF(OR(AO149="",N149="",AO149&lt;=0),"",(AO149-N149)/AO149)</f>
        <v/>
      </c>
      <c r="W149" s="13">
        <f>IF(OR(U149="",V149="",V149&lt;=0),"",U149/V149)</f>
        <v/>
      </c>
      <c r="X149" s="42">
        <f>IF(OR(K149="",L149="",AP149=""),"",K149*L149-(E149*H149+IF(AND(AK149&lt;&gt;"",AL149&lt;&gt;""),AK149*AL149,0)+IF(AND(AM149&lt;&gt;"",AN149&lt;&gt;""),AM149*AN149,0))-IF(O149="",0,O149)-IF(P149="",0,P149))</f>
        <v/>
      </c>
      <c r="Y149" s="7">
        <f>IF(OR(X149="",AP149=""),"",IF((E149*H149+IF(AND(AK149&lt;&gt;"",AL149&lt;&gt;""),AK149*AL149,0)+IF(AND(AM149&lt;&gt;"",AN149&lt;&gt;""),AM149*AN149,0))+IF(O149="",0,O149)&lt;=0,"",X149/((E149*H149+IF(AND(AK149&lt;&gt;"",AL149&lt;&gt;""),AK149*AL149,0)+IF(AND(AM149&lt;&gt;"",AN149&lt;&gt;""),AM149*AN149,0))+IF(O149="",0,O149))))</f>
        <v/>
      </c>
      <c r="Z149" s="7">
        <f>IF(OR(AE149="",多次统计数据!$B$8=""),"",AE149-多次统计数据!$B$8)</f>
        <v/>
      </c>
      <c r="AA149" s="14">
        <f>IF(OR(I149="",M149="",M149&lt;I149),"",M149-I149)</f>
        <v/>
      </c>
      <c r="AB149" s="7">
        <f>IF(OR(A149="",多次统计数据!$B$8="",多次统计数据!$B$6&lt;=0,多次统计数据!$B$6&gt;=1),"",1-POWER(1+多次统计数据!$B$8,-多次统计数据!$B$6/(1-多次统计数据!$B$6)))</f>
        <v/>
      </c>
      <c r="AC149" s="8">
        <f>IF(OR(AB149="",多次统计数据!$B$9=""),"",IF(多次统计数据!$B$9&lt;AB149,"低于上限","达到或超过上限"))</f>
        <v/>
      </c>
      <c r="AD149" s="2" t="n"/>
      <c r="AE149" s="7">
        <f>IF(OR(X149="",C149="",C149&lt;=0),"",X149/C149)</f>
        <v/>
      </c>
      <c r="AG149" s="28" t="n"/>
      <c r="AH149" s="28" t="n"/>
      <c r="AI149" s="28" t="n"/>
      <c r="AJ149" s="31">
        <f>IF(OR(AG149="",AH149=""),"",IF(OR(AND(AG149="短期博反弹",OR(AH149="1～3个交易日",AH149="4～10个交易日")),AND(AG149="突破冲新高",OR(AH149="4～10个交易日",AH149="11～20个交易日")),AND(AG149="趋势波段",OR(AH149="11～20个交易日",AH149="21～60个交易日",AH149="60个交易日以上"))),"匹配","周期与交易预期不匹配，请重新确认"))</f>
        <v/>
      </c>
      <c r="AK149" s="43" t="n"/>
      <c r="AL149" s="27" t="n"/>
      <c r="AM149" s="43" t="n"/>
      <c r="AN149" s="27" t="n"/>
      <c r="AO149" s="44">
        <f>IF(OR(A149="",H149="",H149&lt;=0),"",(E149*H149+IF(AND(AK149&lt;&gt;"",AL149&lt;&gt;""),AK149*AL149,0)+IF(AND(AM149&lt;&gt;"",AN149&lt;&gt;""),AM149*AN149,0))/AP149)</f>
        <v/>
      </c>
      <c r="AP149" s="26">
        <f>IF(OR(A149="",H149="",H149&lt;=0),"",H149+IF(AL149="",0,AL149)+IF(AN149="",0,AN149))</f>
        <v/>
      </c>
      <c r="AQ149" s="44">
        <f>IF(A149="","",IF(M149&lt;&gt;"",0,IF(OR(H149="",N149=""),"",MAX(E149-MAX(N149,IFERROR(AGGREGATE(14,6,'持仓跟踪'!$S$2:$S$501/(('持仓跟踪'!$A$2:$A$501="每日跟踪")*('持仓跟踪'!$B$2:$B$501=A149)),1),0)),0)*H149+IF(OR(AK149="",AL149=""),0,MAX(AK149-MAX(N149,IFERROR(AGGREGATE(14,6,'持仓跟踪'!$S$2:$S$501/(('持仓跟踪'!$A$2:$A$501="每日跟踪")*('持仓跟踪'!$B$2:$B$501=A149)),1),0)),0)*AL149)+IF(OR(AM149="",AN149=""),0,MAX(AM149-MAX(N149,IFERROR(AGGREGATE(14,6,'持仓跟踪'!$S$2:$S$501/(('持仓跟踪'!$A$2:$A$501="每日跟踪")*('持仓跟踪'!$B$2:$B$501=A149)),1),0)),0)*AN149))))</f>
        <v/>
      </c>
      <c r="AR149" s="31">
        <f>IF(A149="","",IF(OR(E149="",H149=""),"违规：第一批价格或股数缺失",IF(OR(AND(AK149="",AL149&lt;&gt;""),AND(AK149&lt;&gt;"",AL149="")),"违规：第二批价格与股数须成对填写",IF(OR(AND(AM149="",AN149&lt;&gt;""),AND(AM149&lt;&gt;"",AN149="")),"违规：第三批价格与股数须成对填写",IF(AND(OR(AM149&lt;&gt;"",AN149&lt;&gt;""),OR(AK149="",AL149="")),"违规：必须先完成第二批",IF(OR(H149&lt;=0,H149&lt;&gt;INT(H149),MOD(H149,100)&lt;&gt;0,AND(AL149&lt;&gt;"",OR(AL149&lt;=0,AL149&lt;&gt;INT(AL149),MOD(AL149,100)&lt;&gt;0)),AND(AN149&lt;&gt;"",OR(AN149&lt;=0,AN149&lt;&gt;INT(AN149),MOD(AN149,100)&lt;&gt;0))),"违规：股数须为100股整数倍",IF(AND(OR(AL149&lt;&gt;"",AN149&lt;&gt;""),OR(_LockStatus="已锁仓",_LockStatus="解锁信息不完整")),"违规：锁仓期间禁止加仓",IF(AQ149&gt;C149*D149,"违规：超过单笔风险上限",IF(SUM($AQ$2:$AQ$201)&gt;账户数据!$B$7,"违规：超过账户风险上限","通过")))))))))</f>
        <v/>
      </c>
    </row>
    <row r="150">
      <c r="A150" s="2" t="n"/>
      <c r="B150" s="2" t="n"/>
      <c r="C150" s="40" t="n"/>
      <c r="D150" s="6" t="n"/>
      <c r="E150" s="40" t="n"/>
      <c r="F150" s="8">
        <f>IF(OR(C150="",D150="",E150="",N150="",C150&lt;=0,D150&lt;=0,E150&lt;=N150),"",ROUNDDOWN((C150*D150)/(E150-N150)/100,0)*100)</f>
        <v/>
      </c>
      <c r="G150" s="8">
        <f>IF(A150="","",IF(H150&lt;&gt;"","已开仓",IF(账户数据!$B$23="已锁仓","禁止开仓：连续亏损达到上限",IF(账户数据!$B$23="解锁信息不完整","禁止开仓：请完整填写解锁信息",IF(OR(F150="",E150="",N150="",E150&lt;=N150,账户数据!$B$7=""),"",IF(OR(AG150="",AH150="",AI150=""),"禁止开仓：交易预期未填写完整",IF(COUNTIFS(持仓跟踪!$A$2:$A$501,"止损计划",持仓跟踪!$B$2:$B$501,A150,持仓跟踪!$AC$2:$AC$501,"计划有效")=0,"禁止开仓：请先填写止损计划",IF(账户数据!$B$9+F150*(E150-N150)&gt;=账户数据!$B$7,"禁止开仓：风险额度不足",IF(AJ150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0" s="2" t="n"/>
      <c r="I150" s="41" t="n"/>
      <c r="J150" s="40" t="n"/>
      <c r="K150" s="46">
        <f>IF(A150="","",IFERROR(LOOKUP(2,1/((持仓跟踪!$B$2:$B$501=A150)*(持仓跟踪!$X$2:$X$501="执行卖出")*(持仓跟踪!$Y$2:$Y$501&lt;&gt;"")),持仓跟踪!$Y$2:$Y$501),""))</f>
        <v/>
      </c>
      <c r="L150" s="33">
        <f>IF(A150="","",IFERROR(LOOKUP(2,1/((持仓跟踪!$B$2:$B$501=A150)*(持仓跟踪!$X$2:$X$501="执行卖出")*(持仓跟踪!$Z$2:$Z$501&lt;&gt;"")),持仓跟踪!$Z$2:$Z$501),""))</f>
        <v/>
      </c>
      <c r="M150" s="47">
        <f>IF(A150="","",IFERROR(LOOKUP(2,1/((持仓跟踪!$B$2:$B$501=A150)*(持仓跟踪!$X$2:$X$501="执行卖出")*(持仓跟踪!$H$2:$H$501&lt;&gt;"")),持仓跟踪!$H$2:$H$501),""))</f>
        <v/>
      </c>
      <c r="N150" s="40" t="n"/>
      <c r="O150" s="40" t="n"/>
      <c r="P150" s="46">
        <f>IF(A150="","",IFERROR(LOOKUP(2,1/((持仓跟踪!$B$2:$B$501=A150)*(持仓跟踪!$X$2:$X$501="执行卖出")*(持仓跟踪!$AA$2:$AA$501&lt;&gt;"")),持仓跟踪!$AA$2:$AA$501),""))</f>
        <v/>
      </c>
      <c r="Q150" s="2" t="n"/>
      <c r="R150" s="2" t="n"/>
      <c r="S150" s="2" t="n"/>
      <c r="T150" s="2" t="n"/>
      <c r="U150" s="7">
        <f>IF(OR(AO150="",J150="",AO150&lt;=0),"",(J150-AO150)/AO150)</f>
        <v/>
      </c>
      <c r="V150" s="7">
        <f>IF(OR(AO150="",N150="",AO150&lt;=0),"",(AO150-N150)/AO150)</f>
        <v/>
      </c>
      <c r="W150" s="13">
        <f>IF(OR(U150="",V150="",V150&lt;=0),"",U150/V150)</f>
        <v/>
      </c>
      <c r="X150" s="42">
        <f>IF(OR(K150="",L150="",AP150=""),"",K150*L150-(E150*H150+IF(AND(AK150&lt;&gt;"",AL150&lt;&gt;""),AK150*AL150,0)+IF(AND(AM150&lt;&gt;"",AN150&lt;&gt;""),AM150*AN150,0))-IF(O150="",0,O150)-IF(P150="",0,P150))</f>
        <v/>
      </c>
      <c r="Y150" s="7">
        <f>IF(OR(X150="",AP150=""),"",IF((E150*H150+IF(AND(AK150&lt;&gt;"",AL150&lt;&gt;""),AK150*AL150,0)+IF(AND(AM150&lt;&gt;"",AN150&lt;&gt;""),AM150*AN150,0))+IF(O150="",0,O150)&lt;=0,"",X150/((E150*H150+IF(AND(AK150&lt;&gt;"",AL150&lt;&gt;""),AK150*AL150,0)+IF(AND(AM150&lt;&gt;"",AN150&lt;&gt;""),AM150*AN150,0))+IF(O150="",0,O150))))</f>
        <v/>
      </c>
      <c r="Z150" s="7">
        <f>IF(OR(AE150="",多次统计数据!$B$8=""),"",AE150-多次统计数据!$B$8)</f>
        <v/>
      </c>
      <c r="AA150" s="14">
        <f>IF(OR(I150="",M150="",M150&lt;I150),"",M150-I150)</f>
        <v/>
      </c>
      <c r="AB150" s="7">
        <f>IF(OR(A150="",多次统计数据!$B$8="",多次统计数据!$B$6&lt;=0,多次统计数据!$B$6&gt;=1),"",1-POWER(1+多次统计数据!$B$8,-多次统计数据!$B$6/(1-多次统计数据!$B$6)))</f>
        <v/>
      </c>
      <c r="AC150" s="8">
        <f>IF(OR(AB150="",多次统计数据!$B$9=""),"",IF(多次统计数据!$B$9&lt;AB150,"低于上限","达到或超过上限"))</f>
        <v/>
      </c>
      <c r="AD150" s="2" t="n"/>
      <c r="AE150" s="7">
        <f>IF(OR(X150="",C150="",C150&lt;=0),"",X150/C150)</f>
        <v/>
      </c>
      <c r="AG150" s="28" t="n"/>
      <c r="AH150" s="28" t="n"/>
      <c r="AI150" s="28" t="n"/>
      <c r="AJ150" s="31">
        <f>IF(OR(AG150="",AH150=""),"",IF(OR(AND(AG150="短期博反弹",OR(AH150="1～3个交易日",AH150="4～10个交易日")),AND(AG150="突破冲新高",OR(AH150="4～10个交易日",AH150="11～20个交易日")),AND(AG150="趋势波段",OR(AH150="11～20个交易日",AH150="21～60个交易日",AH150="60个交易日以上"))),"匹配","周期与交易预期不匹配，请重新确认"))</f>
        <v/>
      </c>
      <c r="AK150" s="43" t="n"/>
      <c r="AL150" s="27" t="n"/>
      <c r="AM150" s="43" t="n"/>
      <c r="AN150" s="27" t="n"/>
      <c r="AO150" s="44">
        <f>IF(OR(A150="",H150="",H150&lt;=0),"",(E150*H150+IF(AND(AK150&lt;&gt;"",AL150&lt;&gt;""),AK150*AL150,0)+IF(AND(AM150&lt;&gt;"",AN150&lt;&gt;""),AM150*AN150,0))/AP150)</f>
        <v/>
      </c>
      <c r="AP150" s="26">
        <f>IF(OR(A150="",H150="",H150&lt;=0),"",H150+IF(AL150="",0,AL150)+IF(AN150="",0,AN150))</f>
        <v/>
      </c>
      <c r="AQ150" s="44">
        <f>IF(A150="","",IF(M150&lt;&gt;"",0,IF(OR(H150="",N150=""),"",MAX(E150-MAX(N150,IFERROR(AGGREGATE(14,6,'持仓跟踪'!$S$2:$S$501/(('持仓跟踪'!$A$2:$A$501="每日跟踪")*('持仓跟踪'!$B$2:$B$501=A150)),1),0)),0)*H150+IF(OR(AK150="",AL150=""),0,MAX(AK150-MAX(N150,IFERROR(AGGREGATE(14,6,'持仓跟踪'!$S$2:$S$501/(('持仓跟踪'!$A$2:$A$501="每日跟踪")*('持仓跟踪'!$B$2:$B$501=A150)),1),0)),0)*AL150)+IF(OR(AM150="",AN150=""),0,MAX(AM150-MAX(N150,IFERROR(AGGREGATE(14,6,'持仓跟踪'!$S$2:$S$501/(('持仓跟踪'!$A$2:$A$501="每日跟踪")*('持仓跟踪'!$B$2:$B$501=A150)),1),0)),0)*AN150))))</f>
        <v/>
      </c>
      <c r="AR150" s="31">
        <f>IF(A150="","",IF(OR(E150="",H150=""),"违规：第一批价格或股数缺失",IF(OR(AND(AK150="",AL150&lt;&gt;""),AND(AK150&lt;&gt;"",AL150="")),"违规：第二批价格与股数须成对填写",IF(OR(AND(AM150="",AN150&lt;&gt;""),AND(AM150&lt;&gt;"",AN150="")),"违规：第三批价格与股数须成对填写",IF(AND(OR(AM150&lt;&gt;"",AN150&lt;&gt;""),OR(AK150="",AL150="")),"违规：必须先完成第二批",IF(OR(H150&lt;=0,H150&lt;&gt;INT(H150),MOD(H150,100)&lt;&gt;0,AND(AL150&lt;&gt;"",OR(AL150&lt;=0,AL150&lt;&gt;INT(AL150),MOD(AL150,100)&lt;&gt;0)),AND(AN150&lt;&gt;"",OR(AN150&lt;=0,AN150&lt;&gt;INT(AN150),MOD(AN150,100)&lt;&gt;0))),"违规：股数须为100股整数倍",IF(AND(OR(AL150&lt;&gt;"",AN150&lt;&gt;""),OR(_LockStatus="已锁仓",_LockStatus="解锁信息不完整")),"违规：锁仓期间禁止加仓",IF(AQ150&gt;C150*D150,"违规：超过单笔风险上限",IF(SUM($AQ$2:$AQ$201)&gt;账户数据!$B$7,"违规：超过账户风险上限","通过")))))))))</f>
        <v/>
      </c>
    </row>
    <row r="151">
      <c r="A151" s="2" t="n"/>
      <c r="B151" s="2" t="n"/>
      <c r="C151" s="40" t="n"/>
      <c r="D151" s="6" t="n"/>
      <c r="E151" s="40" t="n"/>
      <c r="F151" s="8">
        <f>IF(OR(C151="",D151="",E151="",N151="",C151&lt;=0,D151&lt;=0,E151&lt;=N151),"",ROUNDDOWN((C151*D151)/(E151-N151)/100,0)*100)</f>
        <v/>
      </c>
      <c r="G151" s="8">
        <f>IF(A151="","",IF(H151&lt;&gt;"","已开仓",IF(账户数据!$B$23="已锁仓","禁止开仓：连续亏损达到上限",IF(账户数据!$B$23="解锁信息不完整","禁止开仓：请完整填写解锁信息",IF(OR(F151="",E151="",N151="",E151&lt;=N151,账户数据!$B$7=""),"",IF(OR(AG151="",AH151="",AI151=""),"禁止开仓：交易预期未填写完整",IF(COUNTIFS(持仓跟踪!$A$2:$A$501,"止损计划",持仓跟踪!$B$2:$B$501,A151,持仓跟踪!$AC$2:$AC$501,"计划有效")=0,"禁止开仓：请先填写止损计划",IF(账户数据!$B$9+F151*(E151-N151)&gt;=账户数据!$B$7,"禁止开仓：风险额度不足",IF(AJ151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1" s="2" t="n"/>
      <c r="I151" s="41" t="n"/>
      <c r="J151" s="40" t="n"/>
      <c r="K151" s="46">
        <f>IF(A151="","",IFERROR(LOOKUP(2,1/((持仓跟踪!$B$2:$B$501=A151)*(持仓跟踪!$X$2:$X$501="执行卖出")*(持仓跟踪!$Y$2:$Y$501&lt;&gt;"")),持仓跟踪!$Y$2:$Y$501),""))</f>
        <v/>
      </c>
      <c r="L151" s="33">
        <f>IF(A151="","",IFERROR(LOOKUP(2,1/((持仓跟踪!$B$2:$B$501=A151)*(持仓跟踪!$X$2:$X$501="执行卖出")*(持仓跟踪!$Z$2:$Z$501&lt;&gt;"")),持仓跟踪!$Z$2:$Z$501),""))</f>
        <v/>
      </c>
      <c r="M151" s="47">
        <f>IF(A151="","",IFERROR(LOOKUP(2,1/((持仓跟踪!$B$2:$B$501=A151)*(持仓跟踪!$X$2:$X$501="执行卖出")*(持仓跟踪!$H$2:$H$501&lt;&gt;"")),持仓跟踪!$H$2:$H$501),""))</f>
        <v/>
      </c>
      <c r="N151" s="40" t="n"/>
      <c r="O151" s="40" t="n"/>
      <c r="P151" s="46">
        <f>IF(A151="","",IFERROR(LOOKUP(2,1/((持仓跟踪!$B$2:$B$501=A151)*(持仓跟踪!$X$2:$X$501="执行卖出")*(持仓跟踪!$AA$2:$AA$501&lt;&gt;"")),持仓跟踪!$AA$2:$AA$501),""))</f>
        <v/>
      </c>
      <c r="Q151" s="2" t="n"/>
      <c r="R151" s="2" t="n"/>
      <c r="S151" s="2" t="n"/>
      <c r="T151" s="2" t="n"/>
      <c r="U151" s="7">
        <f>IF(OR(AO151="",J151="",AO151&lt;=0),"",(J151-AO151)/AO151)</f>
        <v/>
      </c>
      <c r="V151" s="7">
        <f>IF(OR(AO151="",N151="",AO151&lt;=0),"",(AO151-N151)/AO151)</f>
        <v/>
      </c>
      <c r="W151" s="13">
        <f>IF(OR(U151="",V151="",V151&lt;=0),"",U151/V151)</f>
        <v/>
      </c>
      <c r="X151" s="42">
        <f>IF(OR(K151="",L151="",AP151=""),"",K151*L151-(E151*H151+IF(AND(AK151&lt;&gt;"",AL151&lt;&gt;""),AK151*AL151,0)+IF(AND(AM151&lt;&gt;"",AN151&lt;&gt;""),AM151*AN151,0))-IF(O151="",0,O151)-IF(P151="",0,P151))</f>
        <v/>
      </c>
      <c r="Y151" s="7">
        <f>IF(OR(X151="",AP151=""),"",IF((E151*H151+IF(AND(AK151&lt;&gt;"",AL151&lt;&gt;""),AK151*AL151,0)+IF(AND(AM151&lt;&gt;"",AN151&lt;&gt;""),AM151*AN151,0))+IF(O151="",0,O151)&lt;=0,"",X151/((E151*H151+IF(AND(AK151&lt;&gt;"",AL151&lt;&gt;""),AK151*AL151,0)+IF(AND(AM151&lt;&gt;"",AN151&lt;&gt;""),AM151*AN151,0))+IF(O151="",0,O151))))</f>
        <v/>
      </c>
      <c r="Z151" s="7">
        <f>IF(OR(AE151="",多次统计数据!$B$8=""),"",AE151-多次统计数据!$B$8)</f>
        <v/>
      </c>
      <c r="AA151" s="14">
        <f>IF(OR(I151="",M151="",M151&lt;I151),"",M151-I151)</f>
        <v/>
      </c>
      <c r="AB151" s="7">
        <f>IF(OR(A151="",多次统计数据!$B$8="",多次统计数据!$B$6&lt;=0,多次统计数据!$B$6&gt;=1),"",1-POWER(1+多次统计数据!$B$8,-多次统计数据!$B$6/(1-多次统计数据!$B$6)))</f>
        <v/>
      </c>
      <c r="AC151" s="8">
        <f>IF(OR(AB151="",多次统计数据!$B$9=""),"",IF(多次统计数据!$B$9&lt;AB151,"低于上限","达到或超过上限"))</f>
        <v/>
      </c>
      <c r="AD151" s="2" t="n"/>
      <c r="AE151" s="7">
        <f>IF(OR(X151="",C151="",C151&lt;=0),"",X151/C151)</f>
        <v/>
      </c>
      <c r="AG151" s="28" t="n"/>
      <c r="AH151" s="28" t="n"/>
      <c r="AI151" s="28" t="n"/>
      <c r="AJ151" s="31">
        <f>IF(OR(AG151="",AH151=""),"",IF(OR(AND(AG151="短期博反弹",OR(AH151="1～3个交易日",AH151="4～10个交易日")),AND(AG151="突破冲新高",OR(AH151="4～10个交易日",AH151="11～20个交易日")),AND(AG151="趋势波段",OR(AH151="11～20个交易日",AH151="21～60个交易日",AH151="60个交易日以上"))),"匹配","周期与交易预期不匹配，请重新确认"))</f>
        <v/>
      </c>
      <c r="AK151" s="43" t="n"/>
      <c r="AL151" s="27" t="n"/>
      <c r="AM151" s="43" t="n"/>
      <c r="AN151" s="27" t="n"/>
      <c r="AO151" s="44">
        <f>IF(OR(A151="",H151="",H151&lt;=0),"",(E151*H151+IF(AND(AK151&lt;&gt;"",AL151&lt;&gt;""),AK151*AL151,0)+IF(AND(AM151&lt;&gt;"",AN151&lt;&gt;""),AM151*AN151,0))/AP151)</f>
        <v/>
      </c>
      <c r="AP151" s="26">
        <f>IF(OR(A151="",H151="",H151&lt;=0),"",H151+IF(AL151="",0,AL151)+IF(AN151="",0,AN151))</f>
        <v/>
      </c>
      <c r="AQ151" s="44">
        <f>IF(A151="","",IF(M151&lt;&gt;"",0,IF(OR(H151="",N151=""),"",MAX(E151-MAX(N151,IFERROR(AGGREGATE(14,6,'持仓跟踪'!$S$2:$S$501/(('持仓跟踪'!$A$2:$A$501="每日跟踪")*('持仓跟踪'!$B$2:$B$501=A151)),1),0)),0)*H151+IF(OR(AK151="",AL151=""),0,MAX(AK151-MAX(N151,IFERROR(AGGREGATE(14,6,'持仓跟踪'!$S$2:$S$501/(('持仓跟踪'!$A$2:$A$501="每日跟踪")*('持仓跟踪'!$B$2:$B$501=A151)),1),0)),0)*AL151)+IF(OR(AM151="",AN151=""),0,MAX(AM151-MAX(N151,IFERROR(AGGREGATE(14,6,'持仓跟踪'!$S$2:$S$501/(('持仓跟踪'!$A$2:$A$501="每日跟踪")*('持仓跟踪'!$B$2:$B$501=A151)),1),0)),0)*AN151))))</f>
        <v/>
      </c>
      <c r="AR151" s="31">
        <f>IF(A151="","",IF(OR(E151="",H151=""),"违规：第一批价格或股数缺失",IF(OR(AND(AK151="",AL151&lt;&gt;""),AND(AK151&lt;&gt;"",AL151="")),"违规：第二批价格与股数须成对填写",IF(OR(AND(AM151="",AN151&lt;&gt;""),AND(AM151&lt;&gt;"",AN151="")),"违规：第三批价格与股数须成对填写",IF(AND(OR(AM151&lt;&gt;"",AN151&lt;&gt;""),OR(AK151="",AL151="")),"违规：必须先完成第二批",IF(OR(H151&lt;=0,H151&lt;&gt;INT(H151),MOD(H151,100)&lt;&gt;0,AND(AL151&lt;&gt;"",OR(AL151&lt;=0,AL151&lt;&gt;INT(AL151),MOD(AL151,100)&lt;&gt;0)),AND(AN151&lt;&gt;"",OR(AN151&lt;=0,AN151&lt;&gt;INT(AN151),MOD(AN151,100)&lt;&gt;0))),"违规：股数须为100股整数倍",IF(AND(OR(AL151&lt;&gt;"",AN151&lt;&gt;""),OR(_LockStatus="已锁仓",_LockStatus="解锁信息不完整")),"违规：锁仓期间禁止加仓",IF(AQ151&gt;C151*D151,"违规：超过单笔风险上限",IF(SUM($AQ$2:$AQ$201)&gt;账户数据!$B$7,"违规：超过账户风险上限","通过")))))))))</f>
        <v/>
      </c>
    </row>
    <row r="152">
      <c r="A152" s="2" t="n"/>
      <c r="B152" s="2" t="n"/>
      <c r="C152" s="40" t="n"/>
      <c r="D152" s="6" t="n"/>
      <c r="E152" s="40" t="n"/>
      <c r="F152" s="8">
        <f>IF(OR(C152="",D152="",E152="",N152="",C152&lt;=0,D152&lt;=0,E152&lt;=N152),"",ROUNDDOWN((C152*D152)/(E152-N152)/100,0)*100)</f>
        <v/>
      </c>
      <c r="G152" s="8">
        <f>IF(A152="","",IF(H152&lt;&gt;"","已开仓",IF(账户数据!$B$23="已锁仓","禁止开仓：连续亏损达到上限",IF(账户数据!$B$23="解锁信息不完整","禁止开仓：请完整填写解锁信息",IF(OR(F152="",E152="",N152="",E152&lt;=N152,账户数据!$B$7=""),"",IF(OR(AG152="",AH152="",AI152=""),"禁止开仓：交易预期未填写完整",IF(COUNTIFS(持仓跟踪!$A$2:$A$501,"止损计划",持仓跟踪!$B$2:$B$501,A152,持仓跟踪!$AC$2:$AC$501,"计划有效")=0,"禁止开仓：请先填写止损计划",IF(账户数据!$B$9+F152*(E152-N152)&gt;=账户数据!$B$7,"禁止开仓：风险额度不足",IF(AJ152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2" s="2" t="n"/>
      <c r="I152" s="41" t="n"/>
      <c r="J152" s="40" t="n"/>
      <c r="K152" s="46">
        <f>IF(A152="","",IFERROR(LOOKUP(2,1/((持仓跟踪!$B$2:$B$501=A152)*(持仓跟踪!$X$2:$X$501="执行卖出")*(持仓跟踪!$Y$2:$Y$501&lt;&gt;"")),持仓跟踪!$Y$2:$Y$501),""))</f>
        <v/>
      </c>
      <c r="L152" s="33">
        <f>IF(A152="","",IFERROR(LOOKUP(2,1/((持仓跟踪!$B$2:$B$501=A152)*(持仓跟踪!$X$2:$X$501="执行卖出")*(持仓跟踪!$Z$2:$Z$501&lt;&gt;"")),持仓跟踪!$Z$2:$Z$501),""))</f>
        <v/>
      </c>
      <c r="M152" s="47">
        <f>IF(A152="","",IFERROR(LOOKUP(2,1/((持仓跟踪!$B$2:$B$501=A152)*(持仓跟踪!$X$2:$X$501="执行卖出")*(持仓跟踪!$H$2:$H$501&lt;&gt;"")),持仓跟踪!$H$2:$H$501),""))</f>
        <v/>
      </c>
      <c r="N152" s="40" t="n"/>
      <c r="O152" s="40" t="n"/>
      <c r="P152" s="46">
        <f>IF(A152="","",IFERROR(LOOKUP(2,1/((持仓跟踪!$B$2:$B$501=A152)*(持仓跟踪!$X$2:$X$501="执行卖出")*(持仓跟踪!$AA$2:$AA$501&lt;&gt;"")),持仓跟踪!$AA$2:$AA$501),""))</f>
        <v/>
      </c>
      <c r="Q152" s="2" t="n"/>
      <c r="R152" s="2" t="n"/>
      <c r="S152" s="2" t="n"/>
      <c r="T152" s="2" t="n"/>
      <c r="U152" s="7">
        <f>IF(OR(AO152="",J152="",AO152&lt;=0),"",(J152-AO152)/AO152)</f>
        <v/>
      </c>
      <c r="V152" s="7">
        <f>IF(OR(AO152="",N152="",AO152&lt;=0),"",(AO152-N152)/AO152)</f>
        <v/>
      </c>
      <c r="W152" s="13">
        <f>IF(OR(U152="",V152="",V152&lt;=0),"",U152/V152)</f>
        <v/>
      </c>
      <c r="X152" s="42">
        <f>IF(OR(K152="",L152="",AP152=""),"",K152*L152-(E152*H152+IF(AND(AK152&lt;&gt;"",AL152&lt;&gt;""),AK152*AL152,0)+IF(AND(AM152&lt;&gt;"",AN152&lt;&gt;""),AM152*AN152,0))-IF(O152="",0,O152)-IF(P152="",0,P152))</f>
        <v/>
      </c>
      <c r="Y152" s="7">
        <f>IF(OR(X152="",AP152=""),"",IF((E152*H152+IF(AND(AK152&lt;&gt;"",AL152&lt;&gt;""),AK152*AL152,0)+IF(AND(AM152&lt;&gt;"",AN152&lt;&gt;""),AM152*AN152,0))+IF(O152="",0,O152)&lt;=0,"",X152/((E152*H152+IF(AND(AK152&lt;&gt;"",AL152&lt;&gt;""),AK152*AL152,0)+IF(AND(AM152&lt;&gt;"",AN152&lt;&gt;""),AM152*AN152,0))+IF(O152="",0,O152))))</f>
        <v/>
      </c>
      <c r="Z152" s="7">
        <f>IF(OR(AE152="",多次统计数据!$B$8=""),"",AE152-多次统计数据!$B$8)</f>
        <v/>
      </c>
      <c r="AA152" s="14">
        <f>IF(OR(I152="",M152="",M152&lt;I152),"",M152-I152)</f>
        <v/>
      </c>
      <c r="AB152" s="7">
        <f>IF(OR(A152="",多次统计数据!$B$8="",多次统计数据!$B$6&lt;=0,多次统计数据!$B$6&gt;=1),"",1-POWER(1+多次统计数据!$B$8,-多次统计数据!$B$6/(1-多次统计数据!$B$6)))</f>
        <v/>
      </c>
      <c r="AC152" s="8">
        <f>IF(OR(AB152="",多次统计数据!$B$9=""),"",IF(多次统计数据!$B$9&lt;AB152,"低于上限","达到或超过上限"))</f>
        <v/>
      </c>
      <c r="AD152" s="2" t="n"/>
      <c r="AE152" s="7">
        <f>IF(OR(X152="",C152="",C152&lt;=0),"",X152/C152)</f>
        <v/>
      </c>
      <c r="AG152" s="28" t="n"/>
      <c r="AH152" s="28" t="n"/>
      <c r="AI152" s="28" t="n"/>
      <c r="AJ152" s="31">
        <f>IF(OR(AG152="",AH152=""),"",IF(OR(AND(AG152="短期博反弹",OR(AH152="1～3个交易日",AH152="4～10个交易日")),AND(AG152="突破冲新高",OR(AH152="4～10个交易日",AH152="11～20个交易日")),AND(AG152="趋势波段",OR(AH152="11～20个交易日",AH152="21～60个交易日",AH152="60个交易日以上"))),"匹配","周期与交易预期不匹配，请重新确认"))</f>
        <v/>
      </c>
      <c r="AK152" s="43" t="n"/>
      <c r="AL152" s="27" t="n"/>
      <c r="AM152" s="43" t="n"/>
      <c r="AN152" s="27" t="n"/>
      <c r="AO152" s="44">
        <f>IF(OR(A152="",H152="",H152&lt;=0),"",(E152*H152+IF(AND(AK152&lt;&gt;"",AL152&lt;&gt;""),AK152*AL152,0)+IF(AND(AM152&lt;&gt;"",AN152&lt;&gt;""),AM152*AN152,0))/AP152)</f>
        <v/>
      </c>
      <c r="AP152" s="26">
        <f>IF(OR(A152="",H152="",H152&lt;=0),"",H152+IF(AL152="",0,AL152)+IF(AN152="",0,AN152))</f>
        <v/>
      </c>
      <c r="AQ152" s="44">
        <f>IF(A152="","",IF(M152&lt;&gt;"",0,IF(OR(H152="",N152=""),"",MAX(E152-MAX(N152,IFERROR(AGGREGATE(14,6,'持仓跟踪'!$S$2:$S$501/(('持仓跟踪'!$A$2:$A$501="每日跟踪")*('持仓跟踪'!$B$2:$B$501=A152)),1),0)),0)*H152+IF(OR(AK152="",AL152=""),0,MAX(AK152-MAX(N152,IFERROR(AGGREGATE(14,6,'持仓跟踪'!$S$2:$S$501/(('持仓跟踪'!$A$2:$A$501="每日跟踪")*('持仓跟踪'!$B$2:$B$501=A152)),1),0)),0)*AL152)+IF(OR(AM152="",AN152=""),0,MAX(AM152-MAX(N152,IFERROR(AGGREGATE(14,6,'持仓跟踪'!$S$2:$S$501/(('持仓跟踪'!$A$2:$A$501="每日跟踪")*('持仓跟踪'!$B$2:$B$501=A152)),1),0)),0)*AN152))))</f>
        <v/>
      </c>
      <c r="AR152" s="31">
        <f>IF(A152="","",IF(OR(E152="",H152=""),"违规：第一批价格或股数缺失",IF(OR(AND(AK152="",AL152&lt;&gt;""),AND(AK152&lt;&gt;"",AL152="")),"违规：第二批价格与股数须成对填写",IF(OR(AND(AM152="",AN152&lt;&gt;""),AND(AM152&lt;&gt;"",AN152="")),"违规：第三批价格与股数须成对填写",IF(AND(OR(AM152&lt;&gt;"",AN152&lt;&gt;""),OR(AK152="",AL152="")),"违规：必须先完成第二批",IF(OR(H152&lt;=0,H152&lt;&gt;INT(H152),MOD(H152,100)&lt;&gt;0,AND(AL152&lt;&gt;"",OR(AL152&lt;=0,AL152&lt;&gt;INT(AL152),MOD(AL152,100)&lt;&gt;0)),AND(AN152&lt;&gt;"",OR(AN152&lt;=0,AN152&lt;&gt;INT(AN152),MOD(AN152,100)&lt;&gt;0))),"违规：股数须为100股整数倍",IF(AND(OR(AL152&lt;&gt;"",AN152&lt;&gt;""),OR(_LockStatus="已锁仓",_LockStatus="解锁信息不完整")),"违规：锁仓期间禁止加仓",IF(AQ152&gt;C152*D152,"违规：超过单笔风险上限",IF(SUM($AQ$2:$AQ$201)&gt;账户数据!$B$7,"违规：超过账户风险上限","通过")))))))))</f>
        <v/>
      </c>
    </row>
    <row r="153">
      <c r="A153" s="2" t="n"/>
      <c r="B153" s="2" t="n"/>
      <c r="C153" s="40" t="n"/>
      <c r="D153" s="6" t="n"/>
      <c r="E153" s="40" t="n"/>
      <c r="F153" s="8">
        <f>IF(OR(C153="",D153="",E153="",N153="",C153&lt;=0,D153&lt;=0,E153&lt;=N153),"",ROUNDDOWN((C153*D153)/(E153-N153)/100,0)*100)</f>
        <v/>
      </c>
      <c r="G153" s="8">
        <f>IF(A153="","",IF(H153&lt;&gt;"","已开仓",IF(账户数据!$B$23="已锁仓","禁止开仓：连续亏损达到上限",IF(账户数据!$B$23="解锁信息不完整","禁止开仓：请完整填写解锁信息",IF(OR(F153="",E153="",N153="",E153&lt;=N153,账户数据!$B$7=""),"",IF(OR(AG153="",AH153="",AI153=""),"禁止开仓：交易预期未填写完整",IF(COUNTIFS(持仓跟踪!$A$2:$A$501,"止损计划",持仓跟踪!$B$2:$B$501,A153,持仓跟踪!$AC$2:$AC$501,"计划有效")=0,"禁止开仓：请先填写止损计划",IF(账户数据!$B$9+F153*(E153-N153)&gt;=账户数据!$B$7,"禁止开仓：风险额度不足",IF(AJ153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3" s="2" t="n"/>
      <c r="I153" s="41" t="n"/>
      <c r="J153" s="40" t="n"/>
      <c r="K153" s="46">
        <f>IF(A153="","",IFERROR(LOOKUP(2,1/((持仓跟踪!$B$2:$B$501=A153)*(持仓跟踪!$X$2:$X$501="执行卖出")*(持仓跟踪!$Y$2:$Y$501&lt;&gt;"")),持仓跟踪!$Y$2:$Y$501),""))</f>
        <v/>
      </c>
      <c r="L153" s="33">
        <f>IF(A153="","",IFERROR(LOOKUP(2,1/((持仓跟踪!$B$2:$B$501=A153)*(持仓跟踪!$X$2:$X$501="执行卖出")*(持仓跟踪!$Z$2:$Z$501&lt;&gt;"")),持仓跟踪!$Z$2:$Z$501),""))</f>
        <v/>
      </c>
      <c r="M153" s="47">
        <f>IF(A153="","",IFERROR(LOOKUP(2,1/((持仓跟踪!$B$2:$B$501=A153)*(持仓跟踪!$X$2:$X$501="执行卖出")*(持仓跟踪!$H$2:$H$501&lt;&gt;"")),持仓跟踪!$H$2:$H$501),""))</f>
        <v/>
      </c>
      <c r="N153" s="40" t="n"/>
      <c r="O153" s="40" t="n"/>
      <c r="P153" s="46">
        <f>IF(A153="","",IFERROR(LOOKUP(2,1/((持仓跟踪!$B$2:$B$501=A153)*(持仓跟踪!$X$2:$X$501="执行卖出")*(持仓跟踪!$AA$2:$AA$501&lt;&gt;"")),持仓跟踪!$AA$2:$AA$501),""))</f>
        <v/>
      </c>
      <c r="Q153" s="2" t="n"/>
      <c r="R153" s="2" t="n"/>
      <c r="S153" s="2" t="n"/>
      <c r="T153" s="2" t="n"/>
      <c r="U153" s="7">
        <f>IF(OR(AO153="",J153="",AO153&lt;=0),"",(J153-AO153)/AO153)</f>
        <v/>
      </c>
      <c r="V153" s="7">
        <f>IF(OR(AO153="",N153="",AO153&lt;=0),"",(AO153-N153)/AO153)</f>
        <v/>
      </c>
      <c r="W153" s="13">
        <f>IF(OR(U153="",V153="",V153&lt;=0),"",U153/V153)</f>
        <v/>
      </c>
      <c r="X153" s="42">
        <f>IF(OR(K153="",L153="",AP153=""),"",K153*L153-(E153*H153+IF(AND(AK153&lt;&gt;"",AL153&lt;&gt;""),AK153*AL153,0)+IF(AND(AM153&lt;&gt;"",AN153&lt;&gt;""),AM153*AN153,0))-IF(O153="",0,O153)-IF(P153="",0,P153))</f>
        <v/>
      </c>
      <c r="Y153" s="7">
        <f>IF(OR(X153="",AP153=""),"",IF((E153*H153+IF(AND(AK153&lt;&gt;"",AL153&lt;&gt;""),AK153*AL153,0)+IF(AND(AM153&lt;&gt;"",AN153&lt;&gt;""),AM153*AN153,0))+IF(O153="",0,O153)&lt;=0,"",X153/((E153*H153+IF(AND(AK153&lt;&gt;"",AL153&lt;&gt;""),AK153*AL153,0)+IF(AND(AM153&lt;&gt;"",AN153&lt;&gt;""),AM153*AN153,0))+IF(O153="",0,O153))))</f>
        <v/>
      </c>
      <c r="Z153" s="7">
        <f>IF(OR(AE153="",多次统计数据!$B$8=""),"",AE153-多次统计数据!$B$8)</f>
        <v/>
      </c>
      <c r="AA153" s="14">
        <f>IF(OR(I153="",M153="",M153&lt;I153),"",M153-I153)</f>
        <v/>
      </c>
      <c r="AB153" s="7">
        <f>IF(OR(A153="",多次统计数据!$B$8="",多次统计数据!$B$6&lt;=0,多次统计数据!$B$6&gt;=1),"",1-POWER(1+多次统计数据!$B$8,-多次统计数据!$B$6/(1-多次统计数据!$B$6)))</f>
        <v/>
      </c>
      <c r="AC153" s="8">
        <f>IF(OR(AB153="",多次统计数据!$B$9=""),"",IF(多次统计数据!$B$9&lt;AB153,"低于上限","达到或超过上限"))</f>
        <v/>
      </c>
      <c r="AD153" s="2" t="n"/>
      <c r="AE153" s="7">
        <f>IF(OR(X153="",C153="",C153&lt;=0),"",X153/C153)</f>
        <v/>
      </c>
      <c r="AG153" s="28" t="n"/>
      <c r="AH153" s="28" t="n"/>
      <c r="AI153" s="28" t="n"/>
      <c r="AJ153" s="31">
        <f>IF(OR(AG153="",AH153=""),"",IF(OR(AND(AG153="短期博反弹",OR(AH153="1～3个交易日",AH153="4～10个交易日")),AND(AG153="突破冲新高",OR(AH153="4～10个交易日",AH153="11～20个交易日")),AND(AG153="趋势波段",OR(AH153="11～20个交易日",AH153="21～60个交易日",AH153="60个交易日以上"))),"匹配","周期与交易预期不匹配，请重新确认"))</f>
        <v/>
      </c>
      <c r="AK153" s="43" t="n"/>
      <c r="AL153" s="27" t="n"/>
      <c r="AM153" s="43" t="n"/>
      <c r="AN153" s="27" t="n"/>
      <c r="AO153" s="44">
        <f>IF(OR(A153="",H153="",H153&lt;=0),"",(E153*H153+IF(AND(AK153&lt;&gt;"",AL153&lt;&gt;""),AK153*AL153,0)+IF(AND(AM153&lt;&gt;"",AN153&lt;&gt;""),AM153*AN153,0))/AP153)</f>
        <v/>
      </c>
      <c r="AP153" s="26">
        <f>IF(OR(A153="",H153="",H153&lt;=0),"",H153+IF(AL153="",0,AL153)+IF(AN153="",0,AN153))</f>
        <v/>
      </c>
      <c r="AQ153" s="44">
        <f>IF(A153="","",IF(M153&lt;&gt;"",0,IF(OR(H153="",N153=""),"",MAX(E153-MAX(N153,IFERROR(AGGREGATE(14,6,'持仓跟踪'!$S$2:$S$501/(('持仓跟踪'!$A$2:$A$501="每日跟踪")*('持仓跟踪'!$B$2:$B$501=A153)),1),0)),0)*H153+IF(OR(AK153="",AL153=""),0,MAX(AK153-MAX(N153,IFERROR(AGGREGATE(14,6,'持仓跟踪'!$S$2:$S$501/(('持仓跟踪'!$A$2:$A$501="每日跟踪")*('持仓跟踪'!$B$2:$B$501=A153)),1),0)),0)*AL153)+IF(OR(AM153="",AN153=""),0,MAX(AM153-MAX(N153,IFERROR(AGGREGATE(14,6,'持仓跟踪'!$S$2:$S$501/(('持仓跟踪'!$A$2:$A$501="每日跟踪")*('持仓跟踪'!$B$2:$B$501=A153)),1),0)),0)*AN153))))</f>
        <v/>
      </c>
      <c r="AR153" s="31">
        <f>IF(A153="","",IF(OR(E153="",H153=""),"违规：第一批价格或股数缺失",IF(OR(AND(AK153="",AL153&lt;&gt;""),AND(AK153&lt;&gt;"",AL153="")),"违规：第二批价格与股数须成对填写",IF(OR(AND(AM153="",AN153&lt;&gt;""),AND(AM153&lt;&gt;"",AN153="")),"违规：第三批价格与股数须成对填写",IF(AND(OR(AM153&lt;&gt;"",AN153&lt;&gt;""),OR(AK153="",AL153="")),"违规：必须先完成第二批",IF(OR(H153&lt;=0,H153&lt;&gt;INT(H153),MOD(H153,100)&lt;&gt;0,AND(AL153&lt;&gt;"",OR(AL153&lt;=0,AL153&lt;&gt;INT(AL153),MOD(AL153,100)&lt;&gt;0)),AND(AN153&lt;&gt;"",OR(AN153&lt;=0,AN153&lt;&gt;INT(AN153),MOD(AN153,100)&lt;&gt;0))),"违规：股数须为100股整数倍",IF(AND(OR(AL153&lt;&gt;"",AN153&lt;&gt;""),OR(_LockStatus="已锁仓",_LockStatus="解锁信息不完整")),"违规：锁仓期间禁止加仓",IF(AQ153&gt;C153*D153,"违规：超过单笔风险上限",IF(SUM($AQ$2:$AQ$201)&gt;账户数据!$B$7,"违规：超过账户风险上限","通过")))))))))</f>
        <v/>
      </c>
    </row>
    <row r="154">
      <c r="A154" s="2" t="n"/>
      <c r="B154" s="2" t="n"/>
      <c r="C154" s="40" t="n"/>
      <c r="D154" s="6" t="n"/>
      <c r="E154" s="40" t="n"/>
      <c r="F154" s="8">
        <f>IF(OR(C154="",D154="",E154="",N154="",C154&lt;=0,D154&lt;=0,E154&lt;=N154),"",ROUNDDOWN((C154*D154)/(E154-N154)/100,0)*100)</f>
        <v/>
      </c>
      <c r="G154" s="8">
        <f>IF(A154="","",IF(H154&lt;&gt;"","已开仓",IF(账户数据!$B$23="已锁仓","禁止开仓：连续亏损达到上限",IF(账户数据!$B$23="解锁信息不完整","禁止开仓：请完整填写解锁信息",IF(OR(F154="",E154="",N154="",E154&lt;=N154,账户数据!$B$7=""),"",IF(OR(AG154="",AH154="",AI154=""),"禁止开仓：交易预期未填写完整",IF(COUNTIFS(持仓跟踪!$A$2:$A$501,"止损计划",持仓跟踪!$B$2:$B$501,A154,持仓跟踪!$AC$2:$AC$501,"计划有效")=0,"禁止开仓：请先填写止损计划",IF(账户数据!$B$9+F154*(E154-N154)&gt;=账户数据!$B$7,"禁止开仓：风险额度不足",IF(AJ154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4" s="2" t="n"/>
      <c r="I154" s="41" t="n"/>
      <c r="J154" s="40" t="n"/>
      <c r="K154" s="46">
        <f>IF(A154="","",IFERROR(LOOKUP(2,1/((持仓跟踪!$B$2:$B$501=A154)*(持仓跟踪!$X$2:$X$501="执行卖出")*(持仓跟踪!$Y$2:$Y$501&lt;&gt;"")),持仓跟踪!$Y$2:$Y$501),""))</f>
        <v/>
      </c>
      <c r="L154" s="33">
        <f>IF(A154="","",IFERROR(LOOKUP(2,1/((持仓跟踪!$B$2:$B$501=A154)*(持仓跟踪!$X$2:$X$501="执行卖出")*(持仓跟踪!$Z$2:$Z$501&lt;&gt;"")),持仓跟踪!$Z$2:$Z$501),""))</f>
        <v/>
      </c>
      <c r="M154" s="47">
        <f>IF(A154="","",IFERROR(LOOKUP(2,1/((持仓跟踪!$B$2:$B$501=A154)*(持仓跟踪!$X$2:$X$501="执行卖出")*(持仓跟踪!$H$2:$H$501&lt;&gt;"")),持仓跟踪!$H$2:$H$501),""))</f>
        <v/>
      </c>
      <c r="N154" s="40" t="n"/>
      <c r="O154" s="40" t="n"/>
      <c r="P154" s="46">
        <f>IF(A154="","",IFERROR(LOOKUP(2,1/((持仓跟踪!$B$2:$B$501=A154)*(持仓跟踪!$X$2:$X$501="执行卖出")*(持仓跟踪!$AA$2:$AA$501&lt;&gt;"")),持仓跟踪!$AA$2:$AA$501),""))</f>
        <v/>
      </c>
      <c r="Q154" s="2" t="n"/>
      <c r="R154" s="2" t="n"/>
      <c r="S154" s="2" t="n"/>
      <c r="T154" s="2" t="n"/>
      <c r="U154" s="7">
        <f>IF(OR(AO154="",J154="",AO154&lt;=0),"",(J154-AO154)/AO154)</f>
        <v/>
      </c>
      <c r="V154" s="7">
        <f>IF(OR(AO154="",N154="",AO154&lt;=0),"",(AO154-N154)/AO154)</f>
        <v/>
      </c>
      <c r="W154" s="13">
        <f>IF(OR(U154="",V154="",V154&lt;=0),"",U154/V154)</f>
        <v/>
      </c>
      <c r="X154" s="42">
        <f>IF(OR(K154="",L154="",AP154=""),"",K154*L154-(E154*H154+IF(AND(AK154&lt;&gt;"",AL154&lt;&gt;""),AK154*AL154,0)+IF(AND(AM154&lt;&gt;"",AN154&lt;&gt;""),AM154*AN154,0))-IF(O154="",0,O154)-IF(P154="",0,P154))</f>
        <v/>
      </c>
      <c r="Y154" s="7">
        <f>IF(OR(X154="",AP154=""),"",IF((E154*H154+IF(AND(AK154&lt;&gt;"",AL154&lt;&gt;""),AK154*AL154,0)+IF(AND(AM154&lt;&gt;"",AN154&lt;&gt;""),AM154*AN154,0))+IF(O154="",0,O154)&lt;=0,"",X154/((E154*H154+IF(AND(AK154&lt;&gt;"",AL154&lt;&gt;""),AK154*AL154,0)+IF(AND(AM154&lt;&gt;"",AN154&lt;&gt;""),AM154*AN154,0))+IF(O154="",0,O154))))</f>
        <v/>
      </c>
      <c r="Z154" s="7">
        <f>IF(OR(AE154="",多次统计数据!$B$8=""),"",AE154-多次统计数据!$B$8)</f>
        <v/>
      </c>
      <c r="AA154" s="14">
        <f>IF(OR(I154="",M154="",M154&lt;I154),"",M154-I154)</f>
        <v/>
      </c>
      <c r="AB154" s="7">
        <f>IF(OR(A154="",多次统计数据!$B$8="",多次统计数据!$B$6&lt;=0,多次统计数据!$B$6&gt;=1),"",1-POWER(1+多次统计数据!$B$8,-多次统计数据!$B$6/(1-多次统计数据!$B$6)))</f>
        <v/>
      </c>
      <c r="AC154" s="8">
        <f>IF(OR(AB154="",多次统计数据!$B$9=""),"",IF(多次统计数据!$B$9&lt;AB154,"低于上限","达到或超过上限"))</f>
        <v/>
      </c>
      <c r="AD154" s="2" t="n"/>
      <c r="AE154" s="7">
        <f>IF(OR(X154="",C154="",C154&lt;=0),"",X154/C154)</f>
        <v/>
      </c>
      <c r="AG154" s="28" t="n"/>
      <c r="AH154" s="28" t="n"/>
      <c r="AI154" s="28" t="n"/>
      <c r="AJ154" s="31">
        <f>IF(OR(AG154="",AH154=""),"",IF(OR(AND(AG154="短期博反弹",OR(AH154="1～3个交易日",AH154="4～10个交易日")),AND(AG154="突破冲新高",OR(AH154="4～10个交易日",AH154="11～20个交易日")),AND(AG154="趋势波段",OR(AH154="11～20个交易日",AH154="21～60个交易日",AH154="60个交易日以上"))),"匹配","周期与交易预期不匹配，请重新确认"))</f>
        <v/>
      </c>
      <c r="AK154" s="43" t="n"/>
      <c r="AL154" s="27" t="n"/>
      <c r="AM154" s="43" t="n"/>
      <c r="AN154" s="27" t="n"/>
      <c r="AO154" s="44">
        <f>IF(OR(A154="",H154="",H154&lt;=0),"",(E154*H154+IF(AND(AK154&lt;&gt;"",AL154&lt;&gt;""),AK154*AL154,0)+IF(AND(AM154&lt;&gt;"",AN154&lt;&gt;""),AM154*AN154,0))/AP154)</f>
        <v/>
      </c>
      <c r="AP154" s="26">
        <f>IF(OR(A154="",H154="",H154&lt;=0),"",H154+IF(AL154="",0,AL154)+IF(AN154="",0,AN154))</f>
        <v/>
      </c>
      <c r="AQ154" s="44">
        <f>IF(A154="","",IF(M154&lt;&gt;"",0,IF(OR(H154="",N154=""),"",MAX(E154-MAX(N154,IFERROR(AGGREGATE(14,6,'持仓跟踪'!$S$2:$S$501/(('持仓跟踪'!$A$2:$A$501="每日跟踪")*('持仓跟踪'!$B$2:$B$501=A154)),1),0)),0)*H154+IF(OR(AK154="",AL154=""),0,MAX(AK154-MAX(N154,IFERROR(AGGREGATE(14,6,'持仓跟踪'!$S$2:$S$501/(('持仓跟踪'!$A$2:$A$501="每日跟踪")*('持仓跟踪'!$B$2:$B$501=A154)),1),0)),0)*AL154)+IF(OR(AM154="",AN154=""),0,MAX(AM154-MAX(N154,IFERROR(AGGREGATE(14,6,'持仓跟踪'!$S$2:$S$501/(('持仓跟踪'!$A$2:$A$501="每日跟踪")*('持仓跟踪'!$B$2:$B$501=A154)),1),0)),0)*AN154))))</f>
        <v/>
      </c>
      <c r="AR154" s="31">
        <f>IF(A154="","",IF(OR(E154="",H154=""),"违规：第一批价格或股数缺失",IF(OR(AND(AK154="",AL154&lt;&gt;""),AND(AK154&lt;&gt;"",AL154="")),"违规：第二批价格与股数须成对填写",IF(OR(AND(AM154="",AN154&lt;&gt;""),AND(AM154&lt;&gt;"",AN154="")),"违规：第三批价格与股数须成对填写",IF(AND(OR(AM154&lt;&gt;"",AN154&lt;&gt;""),OR(AK154="",AL154="")),"违规：必须先完成第二批",IF(OR(H154&lt;=0,H154&lt;&gt;INT(H154),MOD(H154,100)&lt;&gt;0,AND(AL154&lt;&gt;"",OR(AL154&lt;=0,AL154&lt;&gt;INT(AL154),MOD(AL154,100)&lt;&gt;0)),AND(AN154&lt;&gt;"",OR(AN154&lt;=0,AN154&lt;&gt;INT(AN154),MOD(AN154,100)&lt;&gt;0))),"违规：股数须为100股整数倍",IF(AND(OR(AL154&lt;&gt;"",AN154&lt;&gt;""),OR(_LockStatus="已锁仓",_LockStatus="解锁信息不完整")),"违规：锁仓期间禁止加仓",IF(AQ154&gt;C154*D154,"违规：超过单笔风险上限",IF(SUM($AQ$2:$AQ$201)&gt;账户数据!$B$7,"违规：超过账户风险上限","通过")))))))))</f>
        <v/>
      </c>
    </row>
    <row r="155">
      <c r="A155" s="2" t="n"/>
      <c r="B155" s="2" t="n"/>
      <c r="C155" s="40" t="n"/>
      <c r="D155" s="6" t="n"/>
      <c r="E155" s="40" t="n"/>
      <c r="F155" s="8">
        <f>IF(OR(C155="",D155="",E155="",N155="",C155&lt;=0,D155&lt;=0,E155&lt;=N155),"",ROUNDDOWN((C155*D155)/(E155-N155)/100,0)*100)</f>
        <v/>
      </c>
      <c r="G155" s="8">
        <f>IF(A155="","",IF(H155&lt;&gt;"","已开仓",IF(账户数据!$B$23="已锁仓","禁止开仓：连续亏损达到上限",IF(账户数据!$B$23="解锁信息不完整","禁止开仓：请完整填写解锁信息",IF(OR(F155="",E155="",N155="",E155&lt;=N155,账户数据!$B$7=""),"",IF(OR(AG155="",AH155="",AI155=""),"禁止开仓：交易预期未填写完整",IF(COUNTIFS(持仓跟踪!$A$2:$A$501,"止损计划",持仓跟踪!$B$2:$B$501,A155,持仓跟踪!$AC$2:$AC$501,"计划有效")=0,"禁止开仓：请先填写止损计划",IF(账户数据!$B$9+F155*(E155-N155)&gt;=账户数据!$B$7,"禁止开仓：风险额度不足",IF(AJ155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5" s="2" t="n"/>
      <c r="I155" s="41" t="n"/>
      <c r="J155" s="40" t="n"/>
      <c r="K155" s="46">
        <f>IF(A155="","",IFERROR(LOOKUP(2,1/((持仓跟踪!$B$2:$B$501=A155)*(持仓跟踪!$X$2:$X$501="执行卖出")*(持仓跟踪!$Y$2:$Y$501&lt;&gt;"")),持仓跟踪!$Y$2:$Y$501),""))</f>
        <v/>
      </c>
      <c r="L155" s="33">
        <f>IF(A155="","",IFERROR(LOOKUP(2,1/((持仓跟踪!$B$2:$B$501=A155)*(持仓跟踪!$X$2:$X$501="执行卖出")*(持仓跟踪!$Z$2:$Z$501&lt;&gt;"")),持仓跟踪!$Z$2:$Z$501),""))</f>
        <v/>
      </c>
      <c r="M155" s="47">
        <f>IF(A155="","",IFERROR(LOOKUP(2,1/((持仓跟踪!$B$2:$B$501=A155)*(持仓跟踪!$X$2:$X$501="执行卖出")*(持仓跟踪!$H$2:$H$501&lt;&gt;"")),持仓跟踪!$H$2:$H$501),""))</f>
        <v/>
      </c>
      <c r="N155" s="40" t="n"/>
      <c r="O155" s="40" t="n"/>
      <c r="P155" s="46">
        <f>IF(A155="","",IFERROR(LOOKUP(2,1/((持仓跟踪!$B$2:$B$501=A155)*(持仓跟踪!$X$2:$X$501="执行卖出")*(持仓跟踪!$AA$2:$AA$501&lt;&gt;"")),持仓跟踪!$AA$2:$AA$501),""))</f>
        <v/>
      </c>
      <c r="Q155" s="2" t="n"/>
      <c r="R155" s="2" t="n"/>
      <c r="S155" s="2" t="n"/>
      <c r="T155" s="2" t="n"/>
      <c r="U155" s="7">
        <f>IF(OR(AO155="",J155="",AO155&lt;=0),"",(J155-AO155)/AO155)</f>
        <v/>
      </c>
      <c r="V155" s="7">
        <f>IF(OR(AO155="",N155="",AO155&lt;=0),"",(AO155-N155)/AO155)</f>
        <v/>
      </c>
      <c r="W155" s="13">
        <f>IF(OR(U155="",V155="",V155&lt;=0),"",U155/V155)</f>
        <v/>
      </c>
      <c r="X155" s="42">
        <f>IF(OR(K155="",L155="",AP155=""),"",K155*L155-(E155*H155+IF(AND(AK155&lt;&gt;"",AL155&lt;&gt;""),AK155*AL155,0)+IF(AND(AM155&lt;&gt;"",AN155&lt;&gt;""),AM155*AN155,0))-IF(O155="",0,O155)-IF(P155="",0,P155))</f>
        <v/>
      </c>
      <c r="Y155" s="7">
        <f>IF(OR(X155="",AP155=""),"",IF((E155*H155+IF(AND(AK155&lt;&gt;"",AL155&lt;&gt;""),AK155*AL155,0)+IF(AND(AM155&lt;&gt;"",AN155&lt;&gt;""),AM155*AN155,0))+IF(O155="",0,O155)&lt;=0,"",X155/((E155*H155+IF(AND(AK155&lt;&gt;"",AL155&lt;&gt;""),AK155*AL155,0)+IF(AND(AM155&lt;&gt;"",AN155&lt;&gt;""),AM155*AN155,0))+IF(O155="",0,O155))))</f>
        <v/>
      </c>
      <c r="Z155" s="7">
        <f>IF(OR(AE155="",多次统计数据!$B$8=""),"",AE155-多次统计数据!$B$8)</f>
        <v/>
      </c>
      <c r="AA155" s="14">
        <f>IF(OR(I155="",M155="",M155&lt;I155),"",M155-I155)</f>
        <v/>
      </c>
      <c r="AB155" s="7">
        <f>IF(OR(A155="",多次统计数据!$B$8="",多次统计数据!$B$6&lt;=0,多次统计数据!$B$6&gt;=1),"",1-POWER(1+多次统计数据!$B$8,-多次统计数据!$B$6/(1-多次统计数据!$B$6)))</f>
        <v/>
      </c>
      <c r="AC155" s="8">
        <f>IF(OR(AB155="",多次统计数据!$B$9=""),"",IF(多次统计数据!$B$9&lt;AB155,"低于上限","达到或超过上限"))</f>
        <v/>
      </c>
      <c r="AD155" s="2" t="n"/>
      <c r="AE155" s="7">
        <f>IF(OR(X155="",C155="",C155&lt;=0),"",X155/C155)</f>
        <v/>
      </c>
      <c r="AG155" s="28" t="n"/>
      <c r="AH155" s="28" t="n"/>
      <c r="AI155" s="28" t="n"/>
      <c r="AJ155" s="31">
        <f>IF(OR(AG155="",AH155=""),"",IF(OR(AND(AG155="短期博反弹",OR(AH155="1～3个交易日",AH155="4～10个交易日")),AND(AG155="突破冲新高",OR(AH155="4～10个交易日",AH155="11～20个交易日")),AND(AG155="趋势波段",OR(AH155="11～20个交易日",AH155="21～60个交易日",AH155="60个交易日以上"))),"匹配","周期与交易预期不匹配，请重新确认"))</f>
        <v/>
      </c>
      <c r="AK155" s="43" t="n"/>
      <c r="AL155" s="27" t="n"/>
      <c r="AM155" s="43" t="n"/>
      <c r="AN155" s="27" t="n"/>
      <c r="AO155" s="44">
        <f>IF(OR(A155="",H155="",H155&lt;=0),"",(E155*H155+IF(AND(AK155&lt;&gt;"",AL155&lt;&gt;""),AK155*AL155,0)+IF(AND(AM155&lt;&gt;"",AN155&lt;&gt;""),AM155*AN155,0))/AP155)</f>
        <v/>
      </c>
      <c r="AP155" s="26">
        <f>IF(OR(A155="",H155="",H155&lt;=0),"",H155+IF(AL155="",0,AL155)+IF(AN155="",0,AN155))</f>
        <v/>
      </c>
      <c r="AQ155" s="44">
        <f>IF(A155="","",IF(M155&lt;&gt;"",0,IF(OR(H155="",N155=""),"",MAX(E155-MAX(N155,IFERROR(AGGREGATE(14,6,'持仓跟踪'!$S$2:$S$501/(('持仓跟踪'!$A$2:$A$501="每日跟踪")*('持仓跟踪'!$B$2:$B$501=A155)),1),0)),0)*H155+IF(OR(AK155="",AL155=""),0,MAX(AK155-MAX(N155,IFERROR(AGGREGATE(14,6,'持仓跟踪'!$S$2:$S$501/(('持仓跟踪'!$A$2:$A$501="每日跟踪")*('持仓跟踪'!$B$2:$B$501=A155)),1),0)),0)*AL155)+IF(OR(AM155="",AN155=""),0,MAX(AM155-MAX(N155,IFERROR(AGGREGATE(14,6,'持仓跟踪'!$S$2:$S$501/(('持仓跟踪'!$A$2:$A$501="每日跟踪")*('持仓跟踪'!$B$2:$B$501=A155)),1),0)),0)*AN155))))</f>
        <v/>
      </c>
      <c r="AR155" s="31">
        <f>IF(A155="","",IF(OR(E155="",H155=""),"违规：第一批价格或股数缺失",IF(OR(AND(AK155="",AL155&lt;&gt;""),AND(AK155&lt;&gt;"",AL155="")),"违规：第二批价格与股数须成对填写",IF(OR(AND(AM155="",AN155&lt;&gt;""),AND(AM155&lt;&gt;"",AN155="")),"违规：第三批价格与股数须成对填写",IF(AND(OR(AM155&lt;&gt;"",AN155&lt;&gt;""),OR(AK155="",AL155="")),"违规：必须先完成第二批",IF(OR(H155&lt;=0,H155&lt;&gt;INT(H155),MOD(H155,100)&lt;&gt;0,AND(AL155&lt;&gt;"",OR(AL155&lt;=0,AL155&lt;&gt;INT(AL155),MOD(AL155,100)&lt;&gt;0)),AND(AN155&lt;&gt;"",OR(AN155&lt;=0,AN155&lt;&gt;INT(AN155),MOD(AN155,100)&lt;&gt;0))),"违规：股数须为100股整数倍",IF(AND(OR(AL155&lt;&gt;"",AN155&lt;&gt;""),OR(_LockStatus="已锁仓",_LockStatus="解锁信息不完整")),"违规：锁仓期间禁止加仓",IF(AQ155&gt;C155*D155,"违规：超过单笔风险上限",IF(SUM($AQ$2:$AQ$201)&gt;账户数据!$B$7,"违规：超过账户风险上限","通过")))))))))</f>
        <v/>
      </c>
    </row>
    <row r="156">
      <c r="A156" s="2" t="n"/>
      <c r="B156" s="2" t="n"/>
      <c r="C156" s="40" t="n"/>
      <c r="D156" s="6" t="n"/>
      <c r="E156" s="40" t="n"/>
      <c r="F156" s="8">
        <f>IF(OR(C156="",D156="",E156="",N156="",C156&lt;=0,D156&lt;=0,E156&lt;=N156),"",ROUNDDOWN((C156*D156)/(E156-N156)/100,0)*100)</f>
        <v/>
      </c>
      <c r="G156" s="8">
        <f>IF(A156="","",IF(H156&lt;&gt;"","已开仓",IF(账户数据!$B$23="已锁仓","禁止开仓：连续亏损达到上限",IF(账户数据!$B$23="解锁信息不完整","禁止开仓：请完整填写解锁信息",IF(OR(F156="",E156="",N156="",E156&lt;=N156,账户数据!$B$7=""),"",IF(OR(AG156="",AH156="",AI156=""),"禁止开仓：交易预期未填写完整",IF(COUNTIFS(持仓跟踪!$A$2:$A$501,"止损计划",持仓跟踪!$B$2:$B$501,A156,持仓跟踪!$AC$2:$AC$501,"计划有效")=0,"禁止开仓：请先填写止损计划",IF(账户数据!$B$9+F156*(E156-N156)&gt;=账户数据!$B$7,"禁止开仓：风险额度不足",IF(AJ156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6" s="2" t="n"/>
      <c r="I156" s="41" t="n"/>
      <c r="J156" s="40" t="n"/>
      <c r="K156" s="46">
        <f>IF(A156="","",IFERROR(LOOKUP(2,1/((持仓跟踪!$B$2:$B$501=A156)*(持仓跟踪!$X$2:$X$501="执行卖出")*(持仓跟踪!$Y$2:$Y$501&lt;&gt;"")),持仓跟踪!$Y$2:$Y$501),""))</f>
        <v/>
      </c>
      <c r="L156" s="33">
        <f>IF(A156="","",IFERROR(LOOKUP(2,1/((持仓跟踪!$B$2:$B$501=A156)*(持仓跟踪!$X$2:$X$501="执行卖出")*(持仓跟踪!$Z$2:$Z$501&lt;&gt;"")),持仓跟踪!$Z$2:$Z$501),""))</f>
        <v/>
      </c>
      <c r="M156" s="47">
        <f>IF(A156="","",IFERROR(LOOKUP(2,1/((持仓跟踪!$B$2:$B$501=A156)*(持仓跟踪!$X$2:$X$501="执行卖出")*(持仓跟踪!$H$2:$H$501&lt;&gt;"")),持仓跟踪!$H$2:$H$501),""))</f>
        <v/>
      </c>
      <c r="N156" s="40" t="n"/>
      <c r="O156" s="40" t="n"/>
      <c r="P156" s="46">
        <f>IF(A156="","",IFERROR(LOOKUP(2,1/((持仓跟踪!$B$2:$B$501=A156)*(持仓跟踪!$X$2:$X$501="执行卖出")*(持仓跟踪!$AA$2:$AA$501&lt;&gt;"")),持仓跟踪!$AA$2:$AA$501),""))</f>
        <v/>
      </c>
      <c r="Q156" s="2" t="n"/>
      <c r="R156" s="2" t="n"/>
      <c r="S156" s="2" t="n"/>
      <c r="T156" s="2" t="n"/>
      <c r="U156" s="7">
        <f>IF(OR(AO156="",J156="",AO156&lt;=0),"",(J156-AO156)/AO156)</f>
        <v/>
      </c>
      <c r="V156" s="7">
        <f>IF(OR(AO156="",N156="",AO156&lt;=0),"",(AO156-N156)/AO156)</f>
        <v/>
      </c>
      <c r="W156" s="13">
        <f>IF(OR(U156="",V156="",V156&lt;=0),"",U156/V156)</f>
        <v/>
      </c>
      <c r="X156" s="42">
        <f>IF(OR(K156="",L156="",AP156=""),"",K156*L156-(E156*H156+IF(AND(AK156&lt;&gt;"",AL156&lt;&gt;""),AK156*AL156,0)+IF(AND(AM156&lt;&gt;"",AN156&lt;&gt;""),AM156*AN156,0))-IF(O156="",0,O156)-IF(P156="",0,P156))</f>
        <v/>
      </c>
      <c r="Y156" s="7">
        <f>IF(OR(X156="",AP156=""),"",IF((E156*H156+IF(AND(AK156&lt;&gt;"",AL156&lt;&gt;""),AK156*AL156,0)+IF(AND(AM156&lt;&gt;"",AN156&lt;&gt;""),AM156*AN156,0))+IF(O156="",0,O156)&lt;=0,"",X156/((E156*H156+IF(AND(AK156&lt;&gt;"",AL156&lt;&gt;""),AK156*AL156,0)+IF(AND(AM156&lt;&gt;"",AN156&lt;&gt;""),AM156*AN156,0))+IF(O156="",0,O156))))</f>
        <v/>
      </c>
      <c r="Z156" s="7">
        <f>IF(OR(AE156="",多次统计数据!$B$8=""),"",AE156-多次统计数据!$B$8)</f>
        <v/>
      </c>
      <c r="AA156" s="14">
        <f>IF(OR(I156="",M156="",M156&lt;I156),"",M156-I156)</f>
        <v/>
      </c>
      <c r="AB156" s="7">
        <f>IF(OR(A156="",多次统计数据!$B$8="",多次统计数据!$B$6&lt;=0,多次统计数据!$B$6&gt;=1),"",1-POWER(1+多次统计数据!$B$8,-多次统计数据!$B$6/(1-多次统计数据!$B$6)))</f>
        <v/>
      </c>
      <c r="AC156" s="8">
        <f>IF(OR(AB156="",多次统计数据!$B$9=""),"",IF(多次统计数据!$B$9&lt;AB156,"低于上限","达到或超过上限"))</f>
        <v/>
      </c>
      <c r="AD156" s="2" t="n"/>
      <c r="AE156" s="7">
        <f>IF(OR(X156="",C156="",C156&lt;=0),"",X156/C156)</f>
        <v/>
      </c>
      <c r="AG156" s="28" t="n"/>
      <c r="AH156" s="28" t="n"/>
      <c r="AI156" s="28" t="n"/>
      <c r="AJ156" s="31">
        <f>IF(OR(AG156="",AH156=""),"",IF(OR(AND(AG156="短期博反弹",OR(AH156="1～3个交易日",AH156="4～10个交易日")),AND(AG156="突破冲新高",OR(AH156="4～10个交易日",AH156="11～20个交易日")),AND(AG156="趋势波段",OR(AH156="11～20个交易日",AH156="21～60个交易日",AH156="60个交易日以上"))),"匹配","周期与交易预期不匹配，请重新确认"))</f>
        <v/>
      </c>
      <c r="AK156" s="43" t="n"/>
      <c r="AL156" s="27" t="n"/>
      <c r="AM156" s="43" t="n"/>
      <c r="AN156" s="27" t="n"/>
      <c r="AO156" s="44">
        <f>IF(OR(A156="",H156="",H156&lt;=0),"",(E156*H156+IF(AND(AK156&lt;&gt;"",AL156&lt;&gt;""),AK156*AL156,0)+IF(AND(AM156&lt;&gt;"",AN156&lt;&gt;""),AM156*AN156,0))/AP156)</f>
        <v/>
      </c>
      <c r="AP156" s="26">
        <f>IF(OR(A156="",H156="",H156&lt;=0),"",H156+IF(AL156="",0,AL156)+IF(AN156="",0,AN156))</f>
        <v/>
      </c>
      <c r="AQ156" s="44">
        <f>IF(A156="","",IF(M156&lt;&gt;"",0,IF(OR(H156="",N156=""),"",MAX(E156-MAX(N156,IFERROR(AGGREGATE(14,6,'持仓跟踪'!$S$2:$S$501/(('持仓跟踪'!$A$2:$A$501="每日跟踪")*('持仓跟踪'!$B$2:$B$501=A156)),1),0)),0)*H156+IF(OR(AK156="",AL156=""),0,MAX(AK156-MAX(N156,IFERROR(AGGREGATE(14,6,'持仓跟踪'!$S$2:$S$501/(('持仓跟踪'!$A$2:$A$501="每日跟踪")*('持仓跟踪'!$B$2:$B$501=A156)),1),0)),0)*AL156)+IF(OR(AM156="",AN156=""),0,MAX(AM156-MAX(N156,IFERROR(AGGREGATE(14,6,'持仓跟踪'!$S$2:$S$501/(('持仓跟踪'!$A$2:$A$501="每日跟踪")*('持仓跟踪'!$B$2:$B$501=A156)),1),0)),0)*AN156))))</f>
        <v/>
      </c>
      <c r="AR156" s="31">
        <f>IF(A156="","",IF(OR(E156="",H156=""),"违规：第一批价格或股数缺失",IF(OR(AND(AK156="",AL156&lt;&gt;""),AND(AK156&lt;&gt;"",AL156="")),"违规：第二批价格与股数须成对填写",IF(OR(AND(AM156="",AN156&lt;&gt;""),AND(AM156&lt;&gt;"",AN156="")),"违规：第三批价格与股数须成对填写",IF(AND(OR(AM156&lt;&gt;"",AN156&lt;&gt;""),OR(AK156="",AL156="")),"违规：必须先完成第二批",IF(OR(H156&lt;=0,H156&lt;&gt;INT(H156),MOD(H156,100)&lt;&gt;0,AND(AL156&lt;&gt;"",OR(AL156&lt;=0,AL156&lt;&gt;INT(AL156),MOD(AL156,100)&lt;&gt;0)),AND(AN156&lt;&gt;"",OR(AN156&lt;=0,AN156&lt;&gt;INT(AN156),MOD(AN156,100)&lt;&gt;0))),"违规：股数须为100股整数倍",IF(AND(OR(AL156&lt;&gt;"",AN156&lt;&gt;""),OR(_LockStatus="已锁仓",_LockStatus="解锁信息不完整")),"违规：锁仓期间禁止加仓",IF(AQ156&gt;C156*D156,"违规：超过单笔风险上限",IF(SUM($AQ$2:$AQ$201)&gt;账户数据!$B$7,"违规：超过账户风险上限","通过")))))))))</f>
        <v/>
      </c>
    </row>
    <row r="157">
      <c r="A157" s="2" t="n"/>
      <c r="B157" s="2" t="n"/>
      <c r="C157" s="40" t="n"/>
      <c r="D157" s="6" t="n"/>
      <c r="E157" s="40" t="n"/>
      <c r="F157" s="8">
        <f>IF(OR(C157="",D157="",E157="",N157="",C157&lt;=0,D157&lt;=0,E157&lt;=N157),"",ROUNDDOWN((C157*D157)/(E157-N157)/100,0)*100)</f>
        <v/>
      </c>
      <c r="G157" s="8">
        <f>IF(A157="","",IF(H157&lt;&gt;"","已开仓",IF(账户数据!$B$23="已锁仓","禁止开仓：连续亏损达到上限",IF(账户数据!$B$23="解锁信息不完整","禁止开仓：请完整填写解锁信息",IF(OR(F157="",E157="",N157="",E157&lt;=N157,账户数据!$B$7=""),"",IF(OR(AG157="",AH157="",AI157=""),"禁止开仓：交易预期未填写完整",IF(COUNTIFS(持仓跟踪!$A$2:$A$501,"止损计划",持仓跟踪!$B$2:$B$501,A157,持仓跟踪!$AC$2:$AC$501,"计划有效")=0,"禁止开仓：请先填写止损计划",IF(账户数据!$B$9+F157*(E157-N157)&gt;=账户数据!$B$7,"禁止开仓：风险额度不足",IF(AJ157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7" s="2" t="n"/>
      <c r="I157" s="41" t="n"/>
      <c r="J157" s="40" t="n"/>
      <c r="K157" s="46">
        <f>IF(A157="","",IFERROR(LOOKUP(2,1/((持仓跟踪!$B$2:$B$501=A157)*(持仓跟踪!$X$2:$X$501="执行卖出")*(持仓跟踪!$Y$2:$Y$501&lt;&gt;"")),持仓跟踪!$Y$2:$Y$501),""))</f>
        <v/>
      </c>
      <c r="L157" s="33">
        <f>IF(A157="","",IFERROR(LOOKUP(2,1/((持仓跟踪!$B$2:$B$501=A157)*(持仓跟踪!$X$2:$X$501="执行卖出")*(持仓跟踪!$Z$2:$Z$501&lt;&gt;"")),持仓跟踪!$Z$2:$Z$501),""))</f>
        <v/>
      </c>
      <c r="M157" s="47">
        <f>IF(A157="","",IFERROR(LOOKUP(2,1/((持仓跟踪!$B$2:$B$501=A157)*(持仓跟踪!$X$2:$X$501="执行卖出")*(持仓跟踪!$H$2:$H$501&lt;&gt;"")),持仓跟踪!$H$2:$H$501),""))</f>
        <v/>
      </c>
      <c r="N157" s="40" t="n"/>
      <c r="O157" s="40" t="n"/>
      <c r="P157" s="46">
        <f>IF(A157="","",IFERROR(LOOKUP(2,1/((持仓跟踪!$B$2:$B$501=A157)*(持仓跟踪!$X$2:$X$501="执行卖出")*(持仓跟踪!$AA$2:$AA$501&lt;&gt;"")),持仓跟踪!$AA$2:$AA$501),""))</f>
        <v/>
      </c>
      <c r="Q157" s="2" t="n"/>
      <c r="R157" s="2" t="n"/>
      <c r="S157" s="2" t="n"/>
      <c r="T157" s="2" t="n"/>
      <c r="U157" s="7">
        <f>IF(OR(AO157="",J157="",AO157&lt;=0),"",(J157-AO157)/AO157)</f>
        <v/>
      </c>
      <c r="V157" s="7">
        <f>IF(OR(AO157="",N157="",AO157&lt;=0),"",(AO157-N157)/AO157)</f>
        <v/>
      </c>
      <c r="W157" s="13">
        <f>IF(OR(U157="",V157="",V157&lt;=0),"",U157/V157)</f>
        <v/>
      </c>
      <c r="X157" s="42">
        <f>IF(OR(K157="",L157="",AP157=""),"",K157*L157-(E157*H157+IF(AND(AK157&lt;&gt;"",AL157&lt;&gt;""),AK157*AL157,0)+IF(AND(AM157&lt;&gt;"",AN157&lt;&gt;""),AM157*AN157,0))-IF(O157="",0,O157)-IF(P157="",0,P157))</f>
        <v/>
      </c>
      <c r="Y157" s="7">
        <f>IF(OR(X157="",AP157=""),"",IF((E157*H157+IF(AND(AK157&lt;&gt;"",AL157&lt;&gt;""),AK157*AL157,0)+IF(AND(AM157&lt;&gt;"",AN157&lt;&gt;""),AM157*AN157,0))+IF(O157="",0,O157)&lt;=0,"",X157/((E157*H157+IF(AND(AK157&lt;&gt;"",AL157&lt;&gt;""),AK157*AL157,0)+IF(AND(AM157&lt;&gt;"",AN157&lt;&gt;""),AM157*AN157,0))+IF(O157="",0,O157))))</f>
        <v/>
      </c>
      <c r="Z157" s="7">
        <f>IF(OR(AE157="",多次统计数据!$B$8=""),"",AE157-多次统计数据!$B$8)</f>
        <v/>
      </c>
      <c r="AA157" s="14">
        <f>IF(OR(I157="",M157="",M157&lt;I157),"",M157-I157)</f>
        <v/>
      </c>
      <c r="AB157" s="7">
        <f>IF(OR(A157="",多次统计数据!$B$8="",多次统计数据!$B$6&lt;=0,多次统计数据!$B$6&gt;=1),"",1-POWER(1+多次统计数据!$B$8,-多次统计数据!$B$6/(1-多次统计数据!$B$6)))</f>
        <v/>
      </c>
      <c r="AC157" s="8">
        <f>IF(OR(AB157="",多次统计数据!$B$9=""),"",IF(多次统计数据!$B$9&lt;AB157,"低于上限","达到或超过上限"))</f>
        <v/>
      </c>
      <c r="AD157" s="2" t="n"/>
      <c r="AE157" s="7">
        <f>IF(OR(X157="",C157="",C157&lt;=0),"",X157/C157)</f>
        <v/>
      </c>
      <c r="AG157" s="28" t="n"/>
      <c r="AH157" s="28" t="n"/>
      <c r="AI157" s="28" t="n"/>
      <c r="AJ157" s="31">
        <f>IF(OR(AG157="",AH157=""),"",IF(OR(AND(AG157="短期博反弹",OR(AH157="1～3个交易日",AH157="4～10个交易日")),AND(AG157="突破冲新高",OR(AH157="4～10个交易日",AH157="11～20个交易日")),AND(AG157="趋势波段",OR(AH157="11～20个交易日",AH157="21～60个交易日",AH157="60个交易日以上"))),"匹配","周期与交易预期不匹配，请重新确认"))</f>
        <v/>
      </c>
      <c r="AK157" s="43" t="n"/>
      <c r="AL157" s="27" t="n"/>
      <c r="AM157" s="43" t="n"/>
      <c r="AN157" s="27" t="n"/>
      <c r="AO157" s="44">
        <f>IF(OR(A157="",H157="",H157&lt;=0),"",(E157*H157+IF(AND(AK157&lt;&gt;"",AL157&lt;&gt;""),AK157*AL157,0)+IF(AND(AM157&lt;&gt;"",AN157&lt;&gt;""),AM157*AN157,0))/AP157)</f>
        <v/>
      </c>
      <c r="AP157" s="26">
        <f>IF(OR(A157="",H157="",H157&lt;=0),"",H157+IF(AL157="",0,AL157)+IF(AN157="",0,AN157))</f>
        <v/>
      </c>
      <c r="AQ157" s="44">
        <f>IF(A157="","",IF(M157&lt;&gt;"",0,IF(OR(H157="",N157=""),"",MAX(E157-MAX(N157,IFERROR(AGGREGATE(14,6,'持仓跟踪'!$S$2:$S$501/(('持仓跟踪'!$A$2:$A$501="每日跟踪")*('持仓跟踪'!$B$2:$B$501=A157)),1),0)),0)*H157+IF(OR(AK157="",AL157=""),0,MAX(AK157-MAX(N157,IFERROR(AGGREGATE(14,6,'持仓跟踪'!$S$2:$S$501/(('持仓跟踪'!$A$2:$A$501="每日跟踪")*('持仓跟踪'!$B$2:$B$501=A157)),1),0)),0)*AL157)+IF(OR(AM157="",AN157=""),0,MAX(AM157-MAX(N157,IFERROR(AGGREGATE(14,6,'持仓跟踪'!$S$2:$S$501/(('持仓跟踪'!$A$2:$A$501="每日跟踪")*('持仓跟踪'!$B$2:$B$501=A157)),1),0)),0)*AN157))))</f>
        <v/>
      </c>
      <c r="AR157" s="31">
        <f>IF(A157="","",IF(OR(E157="",H157=""),"违规：第一批价格或股数缺失",IF(OR(AND(AK157="",AL157&lt;&gt;""),AND(AK157&lt;&gt;"",AL157="")),"违规：第二批价格与股数须成对填写",IF(OR(AND(AM157="",AN157&lt;&gt;""),AND(AM157&lt;&gt;"",AN157="")),"违规：第三批价格与股数须成对填写",IF(AND(OR(AM157&lt;&gt;"",AN157&lt;&gt;""),OR(AK157="",AL157="")),"违规：必须先完成第二批",IF(OR(H157&lt;=0,H157&lt;&gt;INT(H157),MOD(H157,100)&lt;&gt;0,AND(AL157&lt;&gt;"",OR(AL157&lt;=0,AL157&lt;&gt;INT(AL157),MOD(AL157,100)&lt;&gt;0)),AND(AN157&lt;&gt;"",OR(AN157&lt;=0,AN157&lt;&gt;INT(AN157),MOD(AN157,100)&lt;&gt;0))),"违规：股数须为100股整数倍",IF(AND(OR(AL157&lt;&gt;"",AN157&lt;&gt;""),OR(_LockStatus="已锁仓",_LockStatus="解锁信息不完整")),"违规：锁仓期间禁止加仓",IF(AQ157&gt;C157*D157,"违规：超过单笔风险上限",IF(SUM($AQ$2:$AQ$201)&gt;账户数据!$B$7,"违规：超过账户风险上限","通过")))))))))</f>
        <v/>
      </c>
    </row>
    <row r="158">
      <c r="A158" s="2" t="n"/>
      <c r="B158" s="2" t="n"/>
      <c r="C158" s="40" t="n"/>
      <c r="D158" s="6" t="n"/>
      <c r="E158" s="40" t="n"/>
      <c r="F158" s="8">
        <f>IF(OR(C158="",D158="",E158="",N158="",C158&lt;=0,D158&lt;=0,E158&lt;=N158),"",ROUNDDOWN((C158*D158)/(E158-N158)/100,0)*100)</f>
        <v/>
      </c>
      <c r="G158" s="8">
        <f>IF(A158="","",IF(H158&lt;&gt;"","已开仓",IF(账户数据!$B$23="已锁仓","禁止开仓：连续亏损达到上限",IF(账户数据!$B$23="解锁信息不完整","禁止开仓：请完整填写解锁信息",IF(OR(F158="",E158="",N158="",E158&lt;=N158,账户数据!$B$7=""),"",IF(OR(AG158="",AH158="",AI158=""),"禁止开仓：交易预期未填写完整",IF(COUNTIFS(持仓跟踪!$A$2:$A$501,"止损计划",持仓跟踪!$B$2:$B$501,A158,持仓跟踪!$AC$2:$AC$501,"计划有效")=0,"禁止开仓：请先填写止损计划",IF(账户数据!$B$9+F158*(E158-N158)&gt;=账户数据!$B$7,"禁止开仓：风险额度不足",IF(AJ158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8" s="2" t="n"/>
      <c r="I158" s="41" t="n"/>
      <c r="J158" s="40" t="n"/>
      <c r="K158" s="46">
        <f>IF(A158="","",IFERROR(LOOKUP(2,1/((持仓跟踪!$B$2:$B$501=A158)*(持仓跟踪!$X$2:$X$501="执行卖出")*(持仓跟踪!$Y$2:$Y$501&lt;&gt;"")),持仓跟踪!$Y$2:$Y$501),""))</f>
        <v/>
      </c>
      <c r="L158" s="33">
        <f>IF(A158="","",IFERROR(LOOKUP(2,1/((持仓跟踪!$B$2:$B$501=A158)*(持仓跟踪!$X$2:$X$501="执行卖出")*(持仓跟踪!$Z$2:$Z$501&lt;&gt;"")),持仓跟踪!$Z$2:$Z$501),""))</f>
        <v/>
      </c>
      <c r="M158" s="47">
        <f>IF(A158="","",IFERROR(LOOKUP(2,1/((持仓跟踪!$B$2:$B$501=A158)*(持仓跟踪!$X$2:$X$501="执行卖出")*(持仓跟踪!$H$2:$H$501&lt;&gt;"")),持仓跟踪!$H$2:$H$501),""))</f>
        <v/>
      </c>
      <c r="N158" s="40" t="n"/>
      <c r="O158" s="40" t="n"/>
      <c r="P158" s="46">
        <f>IF(A158="","",IFERROR(LOOKUP(2,1/((持仓跟踪!$B$2:$B$501=A158)*(持仓跟踪!$X$2:$X$501="执行卖出")*(持仓跟踪!$AA$2:$AA$501&lt;&gt;"")),持仓跟踪!$AA$2:$AA$501),""))</f>
        <v/>
      </c>
      <c r="Q158" s="2" t="n"/>
      <c r="R158" s="2" t="n"/>
      <c r="S158" s="2" t="n"/>
      <c r="T158" s="2" t="n"/>
      <c r="U158" s="7">
        <f>IF(OR(AO158="",J158="",AO158&lt;=0),"",(J158-AO158)/AO158)</f>
        <v/>
      </c>
      <c r="V158" s="7">
        <f>IF(OR(AO158="",N158="",AO158&lt;=0),"",(AO158-N158)/AO158)</f>
        <v/>
      </c>
      <c r="W158" s="13">
        <f>IF(OR(U158="",V158="",V158&lt;=0),"",U158/V158)</f>
        <v/>
      </c>
      <c r="X158" s="42">
        <f>IF(OR(K158="",L158="",AP158=""),"",K158*L158-(E158*H158+IF(AND(AK158&lt;&gt;"",AL158&lt;&gt;""),AK158*AL158,0)+IF(AND(AM158&lt;&gt;"",AN158&lt;&gt;""),AM158*AN158,0))-IF(O158="",0,O158)-IF(P158="",0,P158))</f>
        <v/>
      </c>
      <c r="Y158" s="7">
        <f>IF(OR(X158="",AP158=""),"",IF((E158*H158+IF(AND(AK158&lt;&gt;"",AL158&lt;&gt;""),AK158*AL158,0)+IF(AND(AM158&lt;&gt;"",AN158&lt;&gt;""),AM158*AN158,0))+IF(O158="",0,O158)&lt;=0,"",X158/((E158*H158+IF(AND(AK158&lt;&gt;"",AL158&lt;&gt;""),AK158*AL158,0)+IF(AND(AM158&lt;&gt;"",AN158&lt;&gt;""),AM158*AN158,0))+IF(O158="",0,O158))))</f>
        <v/>
      </c>
      <c r="Z158" s="7">
        <f>IF(OR(AE158="",多次统计数据!$B$8=""),"",AE158-多次统计数据!$B$8)</f>
        <v/>
      </c>
      <c r="AA158" s="14">
        <f>IF(OR(I158="",M158="",M158&lt;I158),"",M158-I158)</f>
        <v/>
      </c>
      <c r="AB158" s="7">
        <f>IF(OR(A158="",多次统计数据!$B$8="",多次统计数据!$B$6&lt;=0,多次统计数据!$B$6&gt;=1),"",1-POWER(1+多次统计数据!$B$8,-多次统计数据!$B$6/(1-多次统计数据!$B$6)))</f>
        <v/>
      </c>
      <c r="AC158" s="8">
        <f>IF(OR(AB158="",多次统计数据!$B$9=""),"",IF(多次统计数据!$B$9&lt;AB158,"低于上限","达到或超过上限"))</f>
        <v/>
      </c>
      <c r="AD158" s="2" t="n"/>
      <c r="AE158" s="7">
        <f>IF(OR(X158="",C158="",C158&lt;=0),"",X158/C158)</f>
        <v/>
      </c>
      <c r="AG158" s="28" t="n"/>
      <c r="AH158" s="28" t="n"/>
      <c r="AI158" s="28" t="n"/>
      <c r="AJ158" s="31">
        <f>IF(OR(AG158="",AH158=""),"",IF(OR(AND(AG158="短期博反弹",OR(AH158="1～3个交易日",AH158="4～10个交易日")),AND(AG158="突破冲新高",OR(AH158="4～10个交易日",AH158="11～20个交易日")),AND(AG158="趋势波段",OR(AH158="11～20个交易日",AH158="21～60个交易日",AH158="60个交易日以上"))),"匹配","周期与交易预期不匹配，请重新确认"))</f>
        <v/>
      </c>
      <c r="AK158" s="43" t="n"/>
      <c r="AL158" s="27" t="n"/>
      <c r="AM158" s="43" t="n"/>
      <c r="AN158" s="27" t="n"/>
      <c r="AO158" s="44">
        <f>IF(OR(A158="",H158="",H158&lt;=0),"",(E158*H158+IF(AND(AK158&lt;&gt;"",AL158&lt;&gt;""),AK158*AL158,0)+IF(AND(AM158&lt;&gt;"",AN158&lt;&gt;""),AM158*AN158,0))/AP158)</f>
        <v/>
      </c>
      <c r="AP158" s="26">
        <f>IF(OR(A158="",H158="",H158&lt;=0),"",H158+IF(AL158="",0,AL158)+IF(AN158="",0,AN158))</f>
        <v/>
      </c>
      <c r="AQ158" s="44">
        <f>IF(A158="","",IF(M158&lt;&gt;"",0,IF(OR(H158="",N158=""),"",MAX(E158-MAX(N158,IFERROR(AGGREGATE(14,6,'持仓跟踪'!$S$2:$S$501/(('持仓跟踪'!$A$2:$A$501="每日跟踪")*('持仓跟踪'!$B$2:$B$501=A158)),1),0)),0)*H158+IF(OR(AK158="",AL158=""),0,MAX(AK158-MAX(N158,IFERROR(AGGREGATE(14,6,'持仓跟踪'!$S$2:$S$501/(('持仓跟踪'!$A$2:$A$501="每日跟踪")*('持仓跟踪'!$B$2:$B$501=A158)),1),0)),0)*AL158)+IF(OR(AM158="",AN158=""),0,MAX(AM158-MAX(N158,IFERROR(AGGREGATE(14,6,'持仓跟踪'!$S$2:$S$501/(('持仓跟踪'!$A$2:$A$501="每日跟踪")*('持仓跟踪'!$B$2:$B$501=A158)),1),0)),0)*AN158))))</f>
        <v/>
      </c>
      <c r="AR158" s="31">
        <f>IF(A158="","",IF(OR(E158="",H158=""),"违规：第一批价格或股数缺失",IF(OR(AND(AK158="",AL158&lt;&gt;""),AND(AK158&lt;&gt;"",AL158="")),"违规：第二批价格与股数须成对填写",IF(OR(AND(AM158="",AN158&lt;&gt;""),AND(AM158&lt;&gt;"",AN158="")),"违规：第三批价格与股数须成对填写",IF(AND(OR(AM158&lt;&gt;"",AN158&lt;&gt;""),OR(AK158="",AL158="")),"违规：必须先完成第二批",IF(OR(H158&lt;=0,H158&lt;&gt;INT(H158),MOD(H158,100)&lt;&gt;0,AND(AL158&lt;&gt;"",OR(AL158&lt;=0,AL158&lt;&gt;INT(AL158),MOD(AL158,100)&lt;&gt;0)),AND(AN158&lt;&gt;"",OR(AN158&lt;=0,AN158&lt;&gt;INT(AN158),MOD(AN158,100)&lt;&gt;0))),"违规：股数须为100股整数倍",IF(AND(OR(AL158&lt;&gt;"",AN158&lt;&gt;""),OR(_LockStatus="已锁仓",_LockStatus="解锁信息不完整")),"违规：锁仓期间禁止加仓",IF(AQ158&gt;C158*D158,"违规：超过单笔风险上限",IF(SUM($AQ$2:$AQ$201)&gt;账户数据!$B$7,"违规：超过账户风险上限","通过")))))))))</f>
        <v/>
      </c>
    </row>
    <row r="159">
      <c r="A159" s="2" t="n"/>
      <c r="B159" s="2" t="n"/>
      <c r="C159" s="40" t="n"/>
      <c r="D159" s="6" t="n"/>
      <c r="E159" s="40" t="n"/>
      <c r="F159" s="8">
        <f>IF(OR(C159="",D159="",E159="",N159="",C159&lt;=0,D159&lt;=0,E159&lt;=N159),"",ROUNDDOWN((C159*D159)/(E159-N159)/100,0)*100)</f>
        <v/>
      </c>
      <c r="G159" s="8">
        <f>IF(A159="","",IF(H159&lt;&gt;"","已开仓",IF(账户数据!$B$23="已锁仓","禁止开仓：连续亏损达到上限",IF(账户数据!$B$23="解锁信息不完整","禁止开仓：请完整填写解锁信息",IF(OR(F159="",E159="",N159="",E159&lt;=N159,账户数据!$B$7=""),"",IF(OR(AG159="",AH159="",AI159=""),"禁止开仓：交易预期未填写完整",IF(COUNTIFS(持仓跟踪!$A$2:$A$501,"止损计划",持仓跟踪!$B$2:$B$501,A159,持仓跟踪!$AC$2:$AC$501,"计划有效")=0,"禁止开仓：请先填写止损计划",IF(账户数据!$B$9+F159*(E159-N159)&gt;=账户数据!$B$7,"禁止开仓：风险额度不足",IF(AJ159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59" s="2" t="n"/>
      <c r="I159" s="41" t="n"/>
      <c r="J159" s="40" t="n"/>
      <c r="K159" s="46">
        <f>IF(A159="","",IFERROR(LOOKUP(2,1/((持仓跟踪!$B$2:$B$501=A159)*(持仓跟踪!$X$2:$X$501="执行卖出")*(持仓跟踪!$Y$2:$Y$501&lt;&gt;"")),持仓跟踪!$Y$2:$Y$501),""))</f>
        <v/>
      </c>
      <c r="L159" s="33">
        <f>IF(A159="","",IFERROR(LOOKUP(2,1/((持仓跟踪!$B$2:$B$501=A159)*(持仓跟踪!$X$2:$X$501="执行卖出")*(持仓跟踪!$Z$2:$Z$501&lt;&gt;"")),持仓跟踪!$Z$2:$Z$501),""))</f>
        <v/>
      </c>
      <c r="M159" s="47">
        <f>IF(A159="","",IFERROR(LOOKUP(2,1/((持仓跟踪!$B$2:$B$501=A159)*(持仓跟踪!$X$2:$X$501="执行卖出")*(持仓跟踪!$H$2:$H$501&lt;&gt;"")),持仓跟踪!$H$2:$H$501),""))</f>
        <v/>
      </c>
      <c r="N159" s="40" t="n"/>
      <c r="O159" s="40" t="n"/>
      <c r="P159" s="46">
        <f>IF(A159="","",IFERROR(LOOKUP(2,1/((持仓跟踪!$B$2:$B$501=A159)*(持仓跟踪!$X$2:$X$501="执行卖出")*(持仓跟踪!$AA$2:$AA$501&lt;&gt;"")),持仓跟踪!$AA$2:$AA$501),""))</f>
        <v/>
      </c>
      <c r="Q159" s="2" t="n"/>
      <c r="R159" s="2" t="n"/>
      <c r="S159" s="2" t="n"/>
      <c r="T159" s="2" t="n"/>
      <c r="U159" s="7">
        <f>IF(OR(AO159="",J159="",AO159&lt;=0),"",(J159-AO159)/AO159)</f>
        <v/>
      </c>
      <c r="V159" s="7">
        <f>IF(OR(AO159="",N159="",AO159&lt;=0),"",(AO159-N159)/AO159)</f>
        <v/>
      </c>
      <c r="W159" s="13">
        <f>IF(OR(U159="",V159="",V159&lt;=0),"",U159/V159)</f>
        <v/>
      </c>
      <c r="X159" s="42">
        <f>IF(OR(K159="",L159="",AP159=""),"",K159*L159-(E159*H159+IF(AND(AK159&lt;&gt;"",AL159&lt;&gt;""),AK159*AL159,0)+IF(AND(AM159&lt;&gt;"",AN159&lt;&gt;""),AM159*AN159,0))-IF(O159="",0,O159)-IF(P159="",0,P159))</f>
        <v/>
      </c>
      <c r="Y159" s="7">
        <f>IF(OR(X159="",AP159=""),"",IF((E159*H159+IF(AND(AK159&lt;&gt;"",AL159&lt;&gt;""),AK159*AL159,0)+IF(AND(AM159&lt;&gt;"",AN159&lt;&gt;""),AM159*AN159,0))+IF(O159="",0,O159)&lt;=0,"",X159/((E159*H159+IF(AND(AK159&lt;&gt;"",AL159&lt;&gt;""),AK159*AL159,0)+IF(AND(AM159&lt;&gt;"",AN159&lt;&gt;""),AM159*AN159,0))+IF(O159="",0,O159))))</f>
        <v/>
      </c>
      <c r="Z159" s="7">
        <f>IF(OR(AE159="",多次统计数据!$B$8=""),"",AE159-多次统计数据!$B$8)</f>
        <v/>
      </c>
      <c r="AA159" s="14">
        <f>IF(OR(I159="",M159="",M159&lt;I159),"",M159-I159)</f>
        <v/>
      </c>
      <c r="AB159" s="7">
        <f>IF(OR(A159="",多次统计数据!$B$8="",多次统计数据!$B$6&lt;=0,多次统计数据!$B$6&gt;=1),"",1-POWER(1+多次统计数据!$B$8,-多次统计数据!$B$6/(1-多次统计数据!$B$6)))</f>
        <v/>
      </c>
      <c r="AC159" s="8">
        <f>IF(OR(AB159="",多次统计数据!$B$9=""),"",IF(多次统计数据!$B$9&lt;AB159,"低于上限","达到或超过上限"))</f>
        <v/>
      </c>
      <c r="AD159" s="2" t="n"/>
      <c r="AE159" s="7">
        <f>IF(OR(X159="",C159="",C159&lt;=0),"",X159/C159)</f>
        <v/>
      </c>
      <c r="AG159" s="28" t="n"/>
      <c r="AH159" s="28" t="n"/>
      <c r="AI159" s="28" t="n"/>
      <c r="AJ159" s="31">
        <f>IF(OR(AG159="",AH159=""),"",IF(OR(AND(AG159="短期博反弹",OR(AH159="1～3个交易日",AH159="4～10个交易日")),AND(AG159="突破冲新高",OR(AH159="4～10个交易日",AH159="11～20个交易日")),AND(AG159="趋势波段",OR(AH159="11～20个交易日",AH159="21～60个交易日",AH159="60个交易日以上"))),"匹配","周期与交易预期不匹配，请重新确认"))</f>
        <v/>
      </c>
      <c r="AK159" s="43" t="n"/>
      <c r="AL159" s="27" t="n"/>
      <c r="AM159" s="43" t="n"/>
      <c r="AN159" s="27" t="n"/>
      <c r="AO159" s="44">
        <f>IF(OR(A159="",H159="",H159&lt;=0),"",(E159*H159+IF(AND(AK159&lt;&gt;"",AL159&lt;&gt;""),AK159*AL159,0)+IF(AND(AM159&lt;&gt;"",AN159&lt;&gt;""),AM159*AN159,0))/AP159)</f>
        <v/>
      </c>
      <c r="AP159" s="26">
        <f>IF(OR(A159="",H159="",H159&lt;=0),"",H159+IF(AL159="",0,AL159)+IF(AN159="",0,AN159))</f>
        <v/>
      </c>
      <c r="AQ159" s="44">
        <f>IF(A159="","",IF(M159&lt;&gt;"",0,IF(OR(H159="",N159=""),"",MAX(E159-MAX(N159,IFERROR(AGGREGATE(14,6,'持仓跟踪'!$S$2:$S$501/(('持仓跟踪'!$A$2:$A$501="每日跟踪")*('持仓跟踪'!$B$2:$B$501=A159)),1),0)),0)*H159+IF(OR(AK159="",AL159=""),0,MAX(AK159-MAX(N159,IFERROR(AGGREGATE(14,6,'持仓跟踪'!$S$2:$S$501/(('持仓跟踪'!$A$2:$A$501="每日跟踪")*('持仓跟踪'!$B$2:$B$501=A159)),1),0)),0)*AL159)+IF(OR(AM159="",AN159=""),0,MAX(AM159-MAX(N159,IFERROR(AGGREGATE(14,6,'持仓跟踪'!$S$2:$S$501/(('持仓跟踪'!$A$2:$A$501="每日跟踪")*('持仓跟踪'!$B$2:$B$501=A159)),1),0)),0)*AN159))))</f>
        <v/>
      </c>
      <c r="AR159" s="31">
        <f>IF(A159="","",IF(OR(E159="",H159=""),"违规：第一批价格或股数缺失",IF(OR(AND(AK159="",AL159&lt;&gt;""),AND(AK159&lt;&gt;"",AL159="")),"违规：第二批价格与股数须成对填写",IF(OR(AND(AM159="",AN159&lt;&gt;""),AND(AM159&lt;&gt;"",AN159="")),"违规：第三批价格与股数须成对填写",IF(AND(OR(AM159&lt;&gt;"",AN159&lt;&gt;""),OR(AK159="",AL159="")),"违规：必须先完成第二批",IF(OR(H159&lt;=0,H159&lt;&gt;INT(H159),MOD(H159,100)&lt;&gt;0,AND(AL159&lt;&gt;"",OR(AL159&lt;=0,AL159&lt;&gt;INT(AL159),MOD(AL159,100)&lt;&gt;0)),AND(AN159&lt;&gt;"",OR(AN159&lt;=0,AN159&lt;&gt;INT(AN159),MOD(AN159,100)&lt;&gt;0))),"违规：股数须为100股整数倍",IF(AND(OR(AL159&lt;&gt;"",AN159&lt;&gt;""),OR(_LockStatus="已锁仓",_LockStatus="解锁信息不完整")),"违规：锁仓期间禁止加仓",IF(AQ159&gt;C159*D159,"违规：超过单笔风险上限",IF(SUM($AQ$2:$AQ$201)&gt;账户数据!$B$7,"违规：超过账户风险上限","通过")))))))))</f>
        <v/>
      </c>
    </row>
    <row r="160">
      <c r="A160" s="2" t="n"/>
      <c r="B160" s="2" t="n"/>
      <c r="C160" s="40" t="n"/>
      <c r="D160" s="6" t="n"/>
      <c r="E160" s="40" t="n"/>
      <c r="F160" s="8">
        <f>IF(OR(C160="",D160="",E160="",N160="",C160&lt;=0,D160&lt;=0,E160&lt;=N160),"",ROUNDDOWN((C160*D160)/(E160-N160)/100,0)*100)</f>
        <v/>
      </c>
      <c r="G160" s="8">
        <f>IF(A160="","",IF(H160&lt;&gt;"","已开仓",IF(账户数据!$B$23="已锁仓","禁止开仓：连续亏损达到上限",IF(账户数据!$B$23="解锁信息不完整","禁止开仓：请完整填写解锁信息",IF(OR(F160="",E160="",N160="",E160&lt;=N160,账户数据!$B$7=""),"",IF(OR(AG160="",AH160="",AI160=""),"禁止开仓：交易预期未填写完整",IF(COUNTIFS(持仓跟踪!$A$2:$A$501,"止损计划",持仓跟踪!$B$2:$B$501,A160,持仓跟踪!$AC$2:$AC$501,"计划有效")=0,"禁止开仓：请先填写止损计划",IF(账户数据!$B$9+F160*(E160-N160)&gt;=账户数据!$B$7,"禁止开仓：风险额度不足",IF(AJ160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0" s="2" t="n"/>
      <c r="I160" s="41" t="n"/>
      <c r="J160" s="40" t="n"/>
      <c r="K160" s="46">
        <f>IF(A160="","",IFERROR(LOOKUP(2,1/((持仓跟踪!$B$2:$B$501=A160)*(持仓跟踪!$X$2:$X$501="执行卖出")*(持仓跟踪!$Y$2:$Y$501&lt;&gt;"")),持仓跟踪!$Y$2:$Y$501),""))</f>
        <v/>
      </c>
      <c r="L160" s="33">
        <f>IF(A160="","",IFERROR(LOOKUP(2,1/((持仓跟踪!$B$2:$B$501=A160)*(持仓跟踪!$X$2:$X$501="执行卖出")*(持仓跟踪!$Z$2:$Z$501&lt;&gt;"")),持仓跟踪!$Z$2:$Z$501),""))</f>
        <v/>
      </c>
      <c r="M160" s="47">
        <f>IF(A160="","",IFERROR(LOOKUP(2,1/((持仓跟踪!$B$2:$B$501=A160)*(持仓跟踪!$X$2:$X$501="执行卖出")*(持仓跟踪!$H$2:$H$501&lt;&gt;"")),持仓跟踪!$H$2:$H$501),""))</f>
        <v/>
      </c>
      <c r="N160" s="40" t="n"/>
      <c r="O160" s="40" t="n"/>
      <c r="P160" s="46">
        <f>IF(A160="","",IFERROR(LOOKUP(2,1/((持仓跟踪!$B$2:$B$501=A160)*(持仓跟踪!$X$2:$X$501="执行卖出")*(持仓跟踪!$AA$2:$AA$501&lt;&gt;"")),持仓跟踪!$AA$2:$AA$501),""))</f>
        <v/>
      </c>
      <c r="Q160" s="2" t="n"/>
      <c r="R160" s="2" t="n"/>
      <c r="S160" s="2" t="n"/>
      <c r="T160" s="2" t="n"/>
      <c r="U160" s="7">
        <f>IF(OR(AO160="",J160="",AO160&lt;=0),"",(J160-AO160)/AO160)</f>
        <v/>
      </c>
      <c r="V160" s="7">
        <f>IF(OR(AO160="",N160="",AO160&lt;=0),"",(AO160-N160)/AO160)</f>
        <v/>
      </c>
      <c r="W160" s="13">
        <f>IF(OR(U160="",V160="",V160&lt;=0),"",U160/V160)</f>
        <v/>
      </c>
      <c r="X160" s="42">
        <f>IF(OR(K160="",L160="",AP160=""),"",K160*L160-(E160*H160+IF(AND(AK160&lt;&gt;"",AL160&lt;&gt;""),AK160*AL160,0)+IF(AND(AM160&lt;&gt;"",AN160&lt;&gt;""),AM160*AN160,0))-IF(O160="",0,O160)-IF(P160="",0,P160))</f>
        <v/>
      </c>
      <c r="Y160" s="7">
        <f>IF(OR(X160="",AP160=""),"",IF((E160*H160+IF(AND(AK160&lt;&gt;"",AL160&lt;&gt;""),AK160*AL160,0)+IF(AND(AM160&lt;&gt;"",AN160&lt;&gt;""),AM160*AN160,0))+IF(O160="",0,O160)&lt;=0,"",X160/((E160*H160+IF(AND(AK160&lt;&gt;"",AL160&lt;&gt;""),AK160*AL160,0)+IF(AND(AM160&lt;&gt;"",AN160&lt;&gt;""),AM160*AN160,0))+IF(O160="",0,O160))))</f>
        <v/>
      </c>
      <c r="Z160" s="7">
        <f>IF(OR(AE160="",多次统计数据!$B$8=""),"",AE160-多次统计数据!$B$8)</f>
        <v/>
      </c>
      <c r="AA160" s="14">
        <f>IF(OR(I160="",M160="",M160&lt;I160),"",M160-I160)</f>
        <v/>
      </c>
      <c r="AB160" s="7">
        <f>IF(OR(A160="",多次统计数据!$B$8="",多次统计数据!$B$6&lt;=0,多次统计数据!$B$6&gt;=1),"",1-POWER(1+多次统计数据!$B$8,-多次统计数据!$B$6/(1-多次统计数据!$B$6)))</f>
        <v/>
      </c>
      <c r="AC160" s="8">
        <f>IF(OR(AB160="",多次统计数据!$B$9=""),"",IF(多次统计数据!$B$9&lt;AB160,"低于上限","达到或超过上限"))</f>
        <v/>
      </c>
      <c r="AD160" s="2" t="n"/>
      <c r="AE160" s="7">
        <f>IF(OR(X160="",C160="",C160&lt;=0),"",X160/C160)</f>
        <v/>
      </c>
      <c r="AG160" s="28" t="n"/>
      <c r="AH160" s="28" t="n"/>
      <c r="AI160" s="28" t="n"/>
      <c r="AJ160" s="31">
        <f>IF(OR(AG160="",AH160=""),"",IF(OR(AND(AG160="短期博反弹",OR(AH160="1～3个交易日",AH160="4～10个交易日")),AND(AG160="突破冲新高",OR(AH160="4～10个交易日",AH160="11～20个交易日")),AND(AG160="趋势波段",OR(AH160="11～20个交易日",AH160="21～60个交易日",AH160="60个交易日以上"))),"匹配","周期与交易预期不匹配，请重新确认"))</f>
        <v/>
      </c>
      <c r="AK160" s="43" t="n"/>
      <c r="AL160" s="27" t="n"/>
      <c r="AM160" s="43" t="n"/>
      <c r="AN160" s="27" t="n"/>
      <c r="AO160" s="44">
        <f>IF(OR(A160="",H160="",H160&lt;=0),"",(E160*H160+IF(AND(AK160&lt;&gt;"",AL160&lt;&gt;""),AK160*AL160,0)+IF(AND(AM160&lt;&gt;"",AN160&lt;&gt;""),AM160*AN160,0))/AP160)</f>
        <v/>
      </c>
      <c r="AP160" s="26">
        <f>IF(OR(A160="",H160="",H160&lt;=0),"",H160+IF(AL160="",0,AL160)+IF(AN160="",0,AN160))</f>
        <v/>
      </c>
      <c r="AQ160" s="44">
        <f>IF(A160="","",IF(M160&lt;&gt;"",0,IF(OR(H160="",N160=""),"",MAX(E160-MAX(N160,IFERROR(AGGREGATE(14,6,'持仓跟踪'!$S$2:$S$501/(('持仓跟踪'!$A$2:$A$501="每日跟踪")*('持仓跟踪'!$B$2:$B$501=A160)),1),0)),0)*H160+IF(OR(AK160="",AL160=""),0,MAX(AK160-MAX(N160,IFERROR(AGGREGATE(14,6,'持仓跟踪'!$S$2:$S$501/(('持仓跟踪'!$A$2:$A$501="每日跟踪")*('持仓跟踪'!$B$2:$B$501=A160)),1),0)),0)*AL160)+IF(OR(AM160="",AN160=""),0,MAX(AM160-MAX(N160,IFERROR(AGGREGATE(14,6,'持仓跟踪'!$S$2:$S$501/(('持仓跟踪'!$A$2:$A$501="每日跟踪")*('持仓跟踪'!$B$2:$B$501=A160)),1),0)),0)*AN160))))</f>
        <v/>
      </c>
      <c r="AR160" s="31">
        <f>IF(A160="","",IF(OR(E160="",H160=""),"违规：第一批价格或股数缺失",IF(OR(AND(AK160="",AL160&lt;&gt;""),AND(AK160&lt;&gt;"",AL160="")),"违规：第二批价格与股数须成对填写",IF(OR(AND(AM160="",AN160&lt;&gt;""),AND(AM160&lt;&gt;"",AN160="")),"违规：第三批价格与股数须成对填写",IF(AND(OR(AM160&lt;&gt;"",AN160&lt;&gt;""),OR(AK160="",AL160="")),"违规：必须先完成第二批",IF(OR(H160&lt;=0,H160&lt;&gt;INT(H160),MOD(H160,100)&lt;&gt;0,AND(AL160&lt;&gt;"",OR(AL160&lt;=0,AL160&lt;&gt;INT(AL160),MOD(AL160,100)&lt;&gt;0)),AND(AN160&lt;&gt;"",OR(AN160&lt;=0,AN160&lt;&gt;INT(AN160),MOD(AN160,100)&lt;&gt;0))),"违规：股数须为100股整数倍",IF(AND(OR(AL160&lt;&gt;"",AN160&lt;&gt;""),OR(_LockStatus="已锁仓",_LockStatus="解锁信息不完整")),"违规：锁仓期间禁止加仓",IF(AQ160&gt;C160*D160,"违规：超过单笔风险上限",IF(SUM($AQ$2:$AQ$201)&gt;账户数据!$B$7,"违规：超过账户风险上限","通过")))))))))</f>
        <v/>
      </c>
    </row>
    <row r="161">
      <c r="A161" s="2" t="n"/>
      <c r="B161" s="2" t="n"/>
      <c r="C161" s="40" t="n"/>
      <c r="D161" s="6" t="n"/>
      <c r="E161" s="40" t="n"/>
      <c r="F161" s="8">
        <f>IF(OR(C161="",D161="",E161="",N161="",C161&lt;=0,D161&lt;=0,E161&lt;=N161),"",ROUNDDOWN((C161*D161)/(E161-N161)/100,0)*100)</f>
        <v/>
      </c>
      <c r="G161" s="8">
        <f>IF(A161="","",IF(H161&lt;&gt;"","已开仓",IF(账户数据!$B$23="已锁仓","禁止开仓：连续亏损达到上限",IF(账户数据!$B$23="解锁信息不完整","禁止开仓：请完整填写解锁信息",IF(OR(F161="",E161="",N161="",E161&lt;=N161,账户数据!$B$7=""),"",IF(OR(AG161="",AH161="",AI161=""),"禁止开仓：交易预期未填写完整",IF(COUNTIFS(持仓跟踪!$A$2:$A$501,"止损计划",持仓跟踪!$B$2:$B$501,A161,持仓跟踪!$AC$2:$AC$501,"计划有效")=0,"禁止开仓：请先填写止损计划",IF(账户数据!$B$9+F161*(E161-N161)&gt;=账户数据!$B$7,"禁止开仓：风险额度不足",IF(AJ161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1" s="2" t="n"/>
      <c r="I161" s="41" t="n"/>
      <c r="J161" s="40" t="n"/>
      <c r="K161" s="46">
        <f>IF(A161="","",IFERROR(LOOKUP(2,1/((持仓跟踪!$B$2:$B$501=A161)*(持仓跟踪!$X$2:$X$501="执行卖出")*(持仓跟踪!$Y$2:$Y$501&lt;&gt;"")),持仓跟踪!$Y$2:$Y$501),""))</f>
        <v/>
      </c>
      <c r="L161" s="33">
        <f>IF(A161="","",IFERROR(LOOKUP(2,1/((持仓跟踪!$B$2:$B$501=A161)*(持仓跟踪!$X$2:$X$501="执行卖出")*(持仓跟踪!$Z$2:$Z$501&lt;&gt;"")),持仓跟踪!$Z$2:$Z$501),""))</f>
        <v/>
      </c>
      <c r="M161" s="47">
        <f>IF(A161="","",IFERROR(LOOKUP(2,1/((持仓跟踪!$B$2:$B$501=A161)*(持仓跟踪!$X$2:$X$501="执行卖出")*(持仓跟踪!$H$2:$H$501&lt;&gt;"")),持仓跟踪!$H$2:$H$501),""))</f>
        <v/>
      </c>
      <c r="N161" s="40" t="n"/>
      <c r="O161" s="40" t="n"/>
      <c r="P161" s="46">
        <f>IF(A161="","",IFERROR(LOOKUP(2,1/((持仓跟踪!$B$2:$B$501=A161)*(持仓跟踪!$X$2:$X$501="执行卖出")*(持仓跟踪!$AA$2:$AA$501&lt;&gt;"")),持仓跟踪!$AA$2:$AA$501),""))</f>
        <v/>
      </c>
      <c r="Q161" s="2" t="n"/>
      <c r="R161" s="2" t="n"/>
      <c r="S161" s="2" t="n"/>
      <c r="T161" s="2" t="n"/>
      <c r="U161" s="7">
        <f>IF(OR(AO161="",J161="",AO161&lt;=0),"",(J161-AO161)/AO161)</f>
        <v/>
      </c>
      <c r="V161" s="7">
        <f>IF(OR(AO161="",N161="",AO161&lt;=0),"",(AO161-N161)/AO161)</f>
        <v/>
      </c>
      <c r="W161" s="13">
        <f>IF(OR(U161="",V161="",V161&lt;=0),"",U161/V161)</f>
        <v/>
      </c>
      <c r="X161" s="42">
        <f>IF(OR(K161="",L161="",AP161=""),"",K161*L161-(E161*H161+IF(AND(AK161&lt;&gt;"",AL161&lt;&gt;""),AK161*AL161,0)+IF(AND(AM161&lt;&gt;"",AN161&lt;&gt;""),AM161*AN161,0))-IF(O161="",0,O161)-IF(P161="",0,P161))</f>
        <v/>
      </c>
      <c r="Y161" s="7">
        <f>IF(OR(X161="",AP161=""),"",IF((E161*H161+IF(AND(AK161&lt;&gt;"",AL161&lt;&gt;""),AK161*AL161,0)+IF(AND(AM161&lt;&gt;"",AN161&lt;&gt;""),AM161*AN161,0))+IF(O161="",0,O161)&lt;=0,"",X161/((E161*H161+IF(AND(AK161&lt;&gt;"",AL161&lt;&gt;""),AK161*AL161,0)+IF(AND(AM161&lt;&gt;"",AN161&lt;&gt;""),AM161*AN161,0))+IF(O161="",0,O161))))</f>
        <v/>
      </c>
      <c r="Z161" s="7">
        <f>IF(OR(AE161="",多次统计数据!$B$8=""),"",AE161-多次统计数据!$B$8)</f>
        <v/>
      </c>
      <c r="AA161" s="14">
        <f>IF(OR(I161="",M161="",M161&lt;I161),"",M161-I161)</f>
        <v/>
      </c>
      <c r="AB161" s="7">
        <f>IF(OR(A161="",多次统计数据!$B$8="",多次统计数据!$B$6&lt;=0,多次统计数据!$B$6&gt;=1),"",1-POWER(1+多次统计数据!$B$8,-多次统计数据!$B$6/(1-多次统计数据!$B$6)))</f>
        <v/>
      </c>
      <c r="AC161" s="8">
        <f>IF(OR(AB161="",多次统计数据!$B$9=""),"",IF(多次统计数据!$B$9&lt;AB161,"低于上限","达到或超过上限"))</f>
        <v/>
      </c>
      <c r="AD161" s="2" t="n"/>
      <c r="AE161" s="7">
        <f>IF(OR(X161="",C161="",C161&lt;=0),"",X161/C161)</f>
        <v/>
      </c>
      <c r="AG161" s="28" t="n"/>
      <c r="AH161" s="28" t="n"/>
      <c r="AI161" s="28" t="n"/>
      <c r="AJ161" s="31">
        <f>IF(OR(AG161="",AH161=""),"",IF(OR(AND(AG161="短期博反弹",OR(AH161="1～3个交易日",AH161="4～10个交易日")),AND(AG161="突破冲新高",OR(AH161="4～10个交易日",AH161="11～20个交易日")),AND(AG161="趋势波段",OR(AH161="11～20个交易日",AH161="21～60个交易日",AH161="60个交易日以上"))),"匹配","周期与交易预期不匹配，请重新确认"))</f>
        <v/>
      </c>
      <c r="AK161" s="43" t="n"/>
      <c r="AL161" s="27" t="n"/>
      <c r="AM161" s="43" t="n"/>
      <c r="AN161" s="27" t="n"/>
      <c r="AO161" s="44">
        <f>IF(OR(A161="",H161="",H161&lt;=0),"",(E161*H161+IF(AND(AK161&lt;&gt;"",AL161&lt;&gt;""),AK161*AL161,0)+IF(AND(AM161&lt;&gt;"",AN161&lt;&gt;""),AM161*AN161,0))/AP161)</f>
        <v/>
      </c>
      <c r="AP161" s="26">
        <f>IF(OR(A161="",H161="",H161&lt;=0),"",H161+IF(AL161="",0,AL161)+IF(AN161="",0,AN161))</f>
        <v/>
      </c>
      <c r="AQ161" s="44">
        <f>IF(A161="","",IF(M161&lt;&gt;"",0,IF(OR(H161="",N161=""),"",MAX(E161-MAX(N161,IFERROR(AGGREGATE(14,6,'持仓跟踪'!$S$2:$S$501/(('持仓跟踪'!$A$2:$A$501="每日跟踪")*('持仓跟踪'!$B$2:$B$501=A161)),1),0)),0)*H161+IF(OR(AK161="",AL161=""),0,MAX(AK161-MAX(N161,IFERROR(AGGREGATE(14,6,'持仓跟踪'!$S$2:$S$501/(('持仓跟踪'!$A$2:$A$501="每日跟踪")*('持仓跟踪'!$B$2:$B$501=A161)),1),0)),0)*AL161)+IF(OR(AM161="",AN161=""),0,MAX(AM161-MAX(N161,IFERROR(AGGREGATE(14,6,'持仓跟踪'!$S$2:$S$501/(('持仓跟踪'!$A$2:$A$501="每日跟踪")*('持仓跟踪'!$B$2:$B$501=A161)),1),0)),0)*AN161))))</f>
        <v/>
      </c>
      <c r="AR161" s="31">
        <f>IF(A161="","",IF(OR(E161="",H161=""),"违规：第一批价格或股数缺失",IF(OR(AND(AK161="",AL161&lt;&gt;""),AND(AK161&lt;&gt;"",AL161="")),"违规：第二批价格与股数须成对填写",IF(OR(AND(AM161="",AN161&lt;&gt;""),AND(AM161&lt;&gt;"",AN161="")),"违规：第三批价格与股数须成对填写",IF(AND(OR(AM161&lt;&gt;"",AN161&lt;&gt;""),OR(AK161="",AL161="")),"违规：必须先完成第二批",IF(OR(H161&lt;=0,H161&lt;&gt;INT(H161),MOD(H161,100)&lt;&gt;0,AND(AL161&lt;&gt;"",OR(AL161&lt;=0,AL161&lt;&gt;INT(AL161),MOD(AL161,100)&lt;&gt;0)),AND(AN161&lt;&gt;"",OR(AN161&lt;=0,AN161&lt;&gt;INT(AN161),MOD(AN161,100)&lt;&gt;0))),"违规：股数须为100股整数倍",IF(AND(OR(AL161&lt;&gt;"",AN161&lt;&gt;""),OR(_LockStatus="已锁仓",_LockStatus="解锁信息不完整")),"违规：锁仓期间禁止加仓",IF(AQ161&gt;C161*D161,"违规：超过单笔风险上限",IF(SUM($AQ$2:$AQ$201)&gt;账户数据!$B$7,"违规：超过账户风险上限","通过")))))))))</f>
        <v/>
      </c>
    </row>
    <row r="162">
      <c r="A162" s="2" t="n"/>
      <c r="B162" s="2" t="n"/>
      <c r="C162" s="40" t="n"/>
      <c r="D162" s="6" t="n"/>
      <c r="E162" s="40" t="n"/>
      <c r="F162" s="8">
        <f>IF(OR(C162="",D162="",E162="",N162="",C162&lt;=0,D162&lt;=0,E162&lt;=N162),"",ROUNDDOWN((C162*D162)/(E162-N162)/100,0)*100)</f>
        <v/>
      </c>
      <c r="G162" s="8">
        <f>IF(A162="","",IF(H162&lt;&gt;"","已开仓",IF(账户数据!$B$23="已锁仓","禁止开仓：连续亏损达到上限",IF(账户数据!$B$23="解锁信息不完整","禁止开仓：请完整填写解锁信息",IF(OR(F162="",E162="",N162="",E162&lt;=N162,账户数据!$B$7=""),"",IF(OR(AG162="",AH162="",AI162=""),"禁止开仓：交易预期未填写完整",IF(COUNTIFS(持仓跟踪!$A$2:$A$501,"止损计划",持仓跟踪!$B$2:$B$501,A162,持仓跟踪!$AC$2:$AC$501,"计划有效")=0,"禁止开仓：请先填写止损计划",IF(账户数据!$B$9+F162*(E162-N162)&gt;=账户数据!$B$7,"禁止开仓：风险额度不足",IF(AJ162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2" s="2" t="n"/>
      <c r="I162" s="41" t="n"/>
      <c r="J162" s="40" t="n"/>
      <c r="K162" s="46">
        <f>IF(A162="","",IFERROR(LOOKUP(2,1/((持仓跟踪!$B$2:$B$501=A162)*(持仓跟踪!$X$2:$X$501="执行卖出")*(持仓跟踪!$Y$2:$Y$501&lt;&gt;"")),持仓跟踪!$Y$2:$Y$501),""))</f>
        <v/>
      </c>
      <c r="L162" s="33">
        <f>IF(A162="","",IFERROR(LOOKUP(2,1/((持仓跟踪!$B$2:$B$501=A162)*(持仓跟踪!$X$2:$X$501="执行卖出")*(持仓跟踪!$Z$2:$Z$501&lt;&gt;"")),持仓跟踪!$Z$2:$Z$501),""))</f>
        <v/>
      </c>
      <c r="M162" s="47">
        <f>IF(A162="","",IFERROR(LOOKUP(2,1/((持仓跟踪!$B$2:$B$501=A162)*(持仓跟踪!$X$2:$X$501="执行卖出")*(持仓跟踪!$H$2:$H$501&lt;&gt;"")),持仓跟踪!$H$2:$H$501),""))</f>
        <v/>
      </c>
      <c r="N162" s="40" t="n"/>
      <c r="O162" s="40" t="n"/>
      <c r="P162" s="46">
        <f>IF(A162="","",IFERROR(LOOKUP(2,1/((持仓跟踪!$B$2:$B$501=A162)*(持仓跟踪!$X$2:$X$501="执行卖出")*(持仓跟踪!$AA$2:$AA$501&lt;&gt;"")),持仓跟踪!$AA$2:$AA$501),""))</f>
        <v/>
      </c>
      <c r="Q162" s="2" t="n"/>
      <c r="R162" s="2" t="n"/>
      <c r="S162" s="2" t="n"/>
      <c r="T162" s="2" t="n"/>
      <c r="U162" s="7">
        <f>IF(OR(AO162="",J162="",AO162&lt;=0),"",(J162-AO162)/AO162)</f>
        <v/>
      </c>
      <c r="V162" s="7">
        <f>IF(OR(AO162="",N162="",AO162&lt;=0),"",(AO162-N162)/AO162)</f>
        <v/>
      </c>
      <c r="W162" s="13">
        <f>IF(OR(U162="",V162="",V162&lt;=0),"",U162/V162)</f>
        <v/>
      </c>
      <c r="X162" s="42">
        <f>IF(OR(K162="",L162="",AP162=""),"",K162*L162-(E162*H162+IF(AND(AK162&lt;&gt;"",AL162&lt;&gt;""),AK162*AL162,0)+IF(AND(AM162&lt;&gt;"",AN162&lt;&gt;""),AM162*AN162,0))-IF(O162="",0,O162)-IF(P162="",0,P162))</f>
        <v/>
      </c>
      <c r="Y162" s="7">
        <f>IF(OR(X162="",AP162=""),"",IF((E162*H162+IF(AND(AK162&lt;&gt;"",AL162&lt;&gt;""),AK162*AL162,0)+IF(AND(AM162&lt;&gt;"",AN162&lt;&gt;""),AM162*AN162,0))+IF(O162="",0,O162)&lt;=0,"",X162/((E162*H162+IF(AND(AK162&lt;&gt;"",AL162&lt;&gt;""),AK162*AL162,0)+IF(AND(AM162&lt;&gt;"",AN162&lt;&gt;""),AM162*AN162,0))+IF(O162="",0,O162))))</f>
        <v/>
      </c>
      <c r="Z162" s="7">
        <f>IF(OR(AE162="",多次统计数据!$B$8=""),"",AE162-多次统计数据!$B$8)</f>
        <v/>
      </c>
      <c r="AA162" s="14">
        <f>IF(OR(I162="",M162="",M162&lt;I162),"",M162-I162)</f>
        <v/>
      </c>
      <c r="AB162" s="7">
        <f>IF(OR(A162="",多次统计数据!$B$8="",多次统计数据!$B$6&lt;=0,多次统计数据!$B$6&gt;=1),"",1-POWER(1+多次统计数据!$B$8,-多次统计数据!$B$6/(1-多次统计数据!$B$6)))</f>
        <v/>
      </c>
      <c r="AC162" s="8">
        <f>IF(OR(AB162="",多次统计数据!$B$9=""),"",IF(多次统计数据!$B$9&lt;AB162,"低于上限","达到或超过上限"))</f>
        <v/>
      </c>
      <c r="AD162" s="2" t="n"/>
      <c r="AE162" s="7">
        <f>IF(OR(X162="",C162="",C162&lt;=0),"",X162/C162)</f>
        <v/>
      </c>
      <c r="AG162" s="28" t="n"/>
      <c r="AH162" s="28" t="n"/>
      <c r="AI162" s="28" t="n"/>
      <c r="AJ162" s="31">
        <f>IF(OR(AG162="",AH162=""),"",IF(OR(AND(AG162="短期博反弹",OR(AH162="1～3个交易日",AH162="4～10个交易日")),AND(AG162="突破冲新高",OR(AH162="4～10个交易日",AH162="11～20个交易日")),AND(AG162="趋势波段",OR(AH162="11～20个交易日",AH162="21～60个交易日",AH162="60个交易日以上"))),"匹配","周期与交易预期不匹配，请重新确认"))</f>
        <v/>
      </c>
      <c r="AK162" s="43" t="n"/>
      <c r="AL162" s="27" t="n"/>
      <c r="AM162" s="43" t="n"/>
      <c r="AN162" s="27" t="n"/>
      <c r="AO162" s="44">
        <f>IF(OR(A162="",H162="",H162&lt;=0),"",(E162*H162+IF(AND(AK162&lt;&gt;"",AL162&lt;&gt;""),AK162*AL162,0)+IF(AND(AM162&lt;&gt;"",AN162&lt;&gt;""),AM162*AN162,0))/AP162)</f>
        <v/>
      </c>
      <c r="AP162" s="26">
        <f>IF(OR(A162="",H162="",H162&lt;=0),"",H162+IF(AL162="",0,AL162)+IF(AN162="",0,AN162))</f>
        <v/>
      </c>
      <c r="AQ162" s="44">
        <f>IF(A162="","",IF(M162&lt;&gt;"",0,IF(OR(H162="",N162=""),"",MAX(E162-MAX(N162,IFERROR(AGGREGATE(14,6,'持仓跟踪'!$S$2:$S$501/(('持仓跟踪'!$A$2:$A$501="每日跟踪")*('持仓跟踪'!$B$2:$B$501=A162)),1),0)),0)*H162+IF(OR(AK162="",AL162=""),0,MAX(AK162-MAX(N162,IFERROR(AGGREGATE(14,6,'持仓跟踪'!$S$2:$S$501/(('持仓跟踪'!$A$2:$A$501="每日跟踪")*('持仓跟踪'!$B$2:$B$501=A162)),1),0)),0)*AL162)+IF(OR(AM162="",AN162=""),0,MAX(AM162-MAX(N162,IFERROR(AGGREGATE(14,6,'持仓跟踪'!$S$2:$S$501/(('持仓跟踪'!$A$2:$A$501="每日跟踪")*('持仓跟踪'!$B$2:$B$501=A162)),1),0)),0)*AN162))))</f>
        <v/>
      </c>
      <c r="AR162" s="31">
        <f>IF(A162="","",IF(OR(E162="",H162=""),"违规：第一批价格或股数缺失",IF(OR(AND(AK162="",AL162&lt;&gt;""),AND(AK162&lt;&gt;"",AL162="")),"违规：第二批价格与股数须成对填写",IF(OR(AND(AM162="",AN162&lt;&gt;""),AND(AM162&lt;&gt;"",AN162="")),"违规：第三批价格与股数须成对填写",IF(AND(OR(AM162&lt;&gt;"",AN162&lt;&gt;""),OR(AK162="",AL162="")),"违规：必须先完成第二批",IF(OR(H162&lt;=0,H162&lt;&gt;INT(H162),MOD(H162,100)&lt;&gt;0,AND(AL162&lt;&gt;"",OR(AL162&lt;=0,AL162&lt;&gt;INT(AL162),MOD(AL162,100)&lt;&gt;0)),AND(AN162&lt;&gt;"",OR(AN162&lt;=0,AN162&lt;&gt;INT(AN162),MOD(AN162,100)&lt;&gt;0))),"违规：股数须为100股整数倍",IF(AND(OR(AL162&lt;&gt;"",AN162&lt;&gt;""),OR(_LockStatus="已锁仓",_LockStatus="解锁信息不完整")),"违规：锁仓期间禁止加仓",IF(AQ162&gt;C162*D162,"违规：超过单笔风险上限",IF(SUM($AQ$2:$AQ$201)&gt;账户数据!$B$7,"违规：超过账户风险上限","通过")))))))))</f>
        <v/>
      </c>
    </row>
    <row r="163">
      <c r="A163" s="2" t="n"/>
      <c r="B163" s="2" t="n"/>
      <c r="C163" s="40" t="n"/>
      <c r="D163" s="6" t="n"/>
      <c r="E163" s="40" t="n"/>
      <c r="F163" s="8">
        <f>IF(OR(C163="",D163="",E163="",N163="",C163&lt;=0,D163&lt;=0,E163&lt;=N163),"",ROUNDDOWN((C163*D163)/(E163-N163)/100,0)*100)</f>
        <v/>
      </c>
      <c r="G163" s="8">
        <f>IF(A163="","",IF(H163&lt;&gt;"","已开仓",IF(账户数据!$B$23="已锁仓","禁止开仓：连续亏损达到上限",IF(账户数据!$B$23="解锁信息不完整","禁止开仓：请完整填写解锁信息",IF(OR(F163="",E163="",N163="",E163&lt;=N163,账户数据!$B$7=""),"",IF(OR(AG163="",AH163="",AI163=""),"禁止开仓：交易预期未填写完整",IF(COUNTIFS(持仓跟踪!$A$2:$A$501,"止损计划",持仓跟踪!$B$2:$B$501,A163,持仓跟踪!$AC$2:$AC$501,"计划有效")=0,"禁止开仓：请先填写止损计划",IF(账户数据!$B$9+F163*(E163-N163)&gt;=账户数据!$B$7,"禁止开仓：风险额度不足",IF(AJ163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3" s="2" t="n"/>
      <c r="I163" s="41" t="n"/>
      <c r="J163" s="40" t="n"/>
      <c r="K163" s="46">
        <f>IF(A163="","",IFERROR(LOOKUP(2,1/((持仓跟踪!$B$2:$B$501=A163)*(持仓跟踪!$X$2:$X$501="执行卖出")*(持仓跟踪!$Y$2:$Y$501&lt;&gt;"")),持仓跟踪!$Y$2:$Y$501),""))</f>
        <v/>
      </c>
      <c r="L163" s="33">
        <f>IF(A163="","",IFERROR(LOOKUP(2,1/((持仓跟踪!$B$2:$B$501=A163)*(持仓跟踪!$X$2:$X$501="执行卖出")*(持仓跟踪!$Z$2:$Z$501&lt;&gt;"")),持仓跟踪!$Z$2:$Z$501),""))</f>
        <v/>
      </c>
      <c r="M163" s="47">
        <f>IF(A163="","",IFERROR(LOOKUP(2,1/((持仓跟踪!$B$2:$B$501=A163)*(持仓跟踪!$X$2:$X$501="执行卖出")*(持仓跟踪!$H$2:$H$501&lt;&gt;"")),持仓跟踪!$H$2:$H$501),""))</f>
        <v/>
      </c>
      <c r="N163" s="40" t="n"/>
      <c r="O163" s="40" t="n"/>
      <c r="P163" s="46">
        <f>IF(A163="","",IFERROR(LOOKUP(2,1/((持仓跟踪!$B$2:$B$501=A163)*(持仓跟踪!$X$2:$X$501="执行卖出")*(持仓跟踪!$AA$2:$AA$501&lt;&gt;"")),持仓跟踪!$AA$2:$AA$501),""))</f>
        <v/>
      </c>
      <c r="Q163" s="2" t="n"/>
      <c r="R163" s="2" t="n"/>
      <c r="S163" s="2" t="n"/>
      <c r="T163" s="2" t="n"/>
      <c r="U163" s="7">
        <f>IF(OR(AO163="",J163="",AO163&lt;=0),"",(J163-AO163)/AO163)</f>
        <v/>
      </c>
      <c r="V163" s="7">
        <f>IF(OR(AO163="",N163="",AO163&lt;=0),"",(AO163-N163)/AO163)</f>
        <v/>
      </c>
      <c r="W163" s="13">
        <f>IF(OR(U163="",V163="",V163&lt;=0),"",U163/V163)</f>
        <v/>
      </c>
      <c r="X163" s="42">
        <f>IF(OR(K163="",L163="",AP163=""),"",K163*L163-(E163*H163+IF(AND(AK163&lt;&gt;"",AL163&lt;&gt;""),AK163*AL163,0)+IF(AND(AM163&lt;&gt;"",AN163&lt;&gt;""),AM163*AN163,0))-IF(O163="",0,O163)-IF(P163="",0,P163))</f>
        <v/>
      </c>
      <c r="Y163" s="7">
        <f>IF(OR(X163="",AP163=""),"",IF((E163*H163+IF(AND(AK163&lt;&gt;"",AL163&lt;&gt;""),AK163*AL163,0)+IF(AND(AM163&lt;&gt;"",AN163&lt;&gt;""),AM163*AN163,0))+IF(O163="",0,O163)&lt;=0,"",X163/((E163*H163+IF(AND(AK163&lt;&gt;"",AL163&lt;&gt;""),AK163*AL163,0)+IF(AND(AM163&lt;&gt;"",AN163&lt;&gt;""),AM163*AN163,0))+IF(O163="",0,O163))))</f>
        <v/>
      </c>
      <c r="Z163" s="7">
        <f>IF(OR(AE163="",多次统计数据!$B$8=""),"",AE163-多次统计数据!$B$8)</f>
        <v/>
      </c>
      <c r="AA163" s="14">
        <f>IF(OR(I163="",M163="",M163&lt;I163),"",M163-I163)</f>
        <v/>
      </c>
      <c r="AB163" s="7">
        <f>IF(OR(A163="",多次统计数据!$B$8="",多次统计数据!$B$6&lt;=0,多次统计数据!$B$6&gt;=1),"",1-POWER(1+多次统计数据!$B$8,-多次统计数据!$B$6/(1-多次统计数据!$B$6)))</f>
        <v/>
      </c>
      <c r="AC163" s="8">
        <f>IF(OR(AB163="",多次统计数据!$B$9=""),"",IF(多次统计数据!$B$9&lt;AB163,"低于上限","达到或超过上限"))</f>
        <v/>
      </c>
      <c r="AD163" s="2" t="n"/>
      <c r="AE163" s="7">
        <f>IF(OR(X163="",C163="",C163&lt;=0),"",X163/C163)</f>
        <v/>
      </c>
      <c r="AG163" s="28" t="n"/>
      <c r="AH163" s="28" t="n"/>
      <c r="AI163" s="28" t="n"/>
      <c r="AJ163" s="31">
        <f>IF(OR(AG163="",AH163=""),"",IF(OR(AND(AG163="短期博反弹",OR(AH163="1～3个交易日",AH163="4～10个交易日")),AND(AG163="突破冲新高",OR(AH163="4～10个交易日",AH163="11～20个交易日")),AND(AG163="趋势波段",OR(AH163="11～20个交易日",AH163="21～60个交易日",AH163="60个交易日以上"))),"匹配","周期与交易预期不匹配，请重新确认"))</f>
        <v/>
      </c>
      <c r="AK163" s="43" t="n"/>
      <c r="AL163" s="27" t="n"/>
      <c r="AM163" s="43" t="n"/>
      <c r="AN163" s="27" t="n"/>
      <c r="AO163" s="44">
        <f>IF(OR(A163="",H163="",H163&lt;=0),"",(E163*H163+IF(AND(AK163&lt;&gt;"",AL163&lt;&gt;""),AK163*AL163,0)+IF(AND(AM163&lt;&gt;"",AN163&lt;&gt;""),AM163*AN163,0))/AP163)</f>
        <v/>
      </c>
      <c r="AP163" s="26">
        <f>IF(OR(A163="",H163="",H163&lt;=0),"",H163+IF(AL163="",0,AL163)+IF(AN163="",0,AN163))</f>
        <v/>
      </c>
      <c r="AQ163" s="44">
        <f>IF(A163="","",IF(M163&lt;&gt;"",0,IF(OR(H163="",N163=""),"",MAX(E163-MAX(N163,IFERROR(AGGREGATE(14,6,'持仓跟踪'!$S$2:$S$501/(('持仓跟踪'!$A$2:$A$501="每日跟踪")*('持仓跟踪'!$B$2:$B$501=A163)),1),0)),0)*H163+IF(OR(AK163="",AL163=""),0,MAX(AK163-MAX(N163,IFERROR(AGGREGATE(14,6,'持仓跟踪'!$S$2:$S$501/(('持仓跟踪'!$A$2:$A$501="每日跟踪")*('持仓跟踪'!$B$2:$B$501=A163)),1),0)),0)*AL163)+IF(OR(AM163="",AN163=""),0,MAX(AM163-MAX(N163,IFERROR(AGGREGATE(14,6,'持仓跟踪'!$S$2:$S$501/(('持仓跟踪'!$A$2:$A$501="每日跟踪")*('持仓跟踪'!$B$2:$B$501=A163)),1),0)),0)*AN163))))</f>
        <v/>
      </c>
      <c r="AR163" s="31">
        <f>IF(A163="","",IF(OR(E163="",H163=""),"违规：第一批价格或股数缺失",IF(OR(AND(AK163="",AL163&lt;&gt;""),AND(AK163&lt;&gt;"",AL163="")),"违规：第二批价格与股数须成对填写",IF(OR(AND(AM163="",AN163&lt;&gt;""),AND(AM163&lt;&gt;"",AN163="")),"违规：第三批价格与股数须成对填写",IF(AND(OR(AM163&lt;&gt;"",AN163&lt;&gt;""),OR(AK163="",AL163="")),"违规：必须先完成第二批",IF(OR(H163&lt;=0,H163&lt;&gt;INT(H163),MOD(H163,100)&lt;&gt;0,AND(AL163&lt;&gt;"",OR(AL163&lt;=0,AL163&lt;&gt;INT(AL163),MOD(AL163,100)&lt;&gt;0)),AND(AN163&lt;&gt;"",OR(AN163&lt;=0,AN163&lt;&gt;INT(AN163),MOD(AN163,100)&lt;&gt;0))),"违规：股数须为100股整数倍",IF(AND(OR(AL163&lt;&gt;"",AN163&lt;&gt;""),OR(_LockStatus="已锁仓",_LockStatus="解锁信息不完整")),"违规：锁仓期间禁止加仓",IF(AQ163&gt;C163*D163,"违规：超过单笔风险上限",IF(SUM($AQ$2:$AQ$201)&gt;账户数据!$B$7,"违规：超过账户风险上限","通过")))))))))</f>
        <v/>
      </c>
    </row>
    <row r="164">
      <c r="A164" s="2" t="n"/>
      <c r="B164" s="2" t="n"/>
      <c r="C164" s="40" t="n"/>
      <c r="D164" s="6" t="n"/>
      <c r="E164" s="40" t="n"/>
      <c r="F164" s="8">
        <f>IF(OR(C164="",D164="",E164="",N164="",C164&lt;=0,D164&lt;=0,E164&lt;=N164),"",ROUNDDOWN((C164*D164)/(E164-N164)/100,0)*100)</f>
        <v/>
      </c>
      <c r="G164" s="8">
        <f>IF(A164="","",IF(H164&lt;&gt;"","已开仓",IF(账户数据!$B$23="已锁仓","禁止开仓：连续亏损达到上限",IF(账户数据!$B$23="解锁信息不完整","禁止开仓：请完整填写解锁信息",IF(OR(F164="",E164="",N164="",E164&lt;=N164,账户数据!$B$7=""),"",IF(OR(AG164="",AH164="",AI164=""),"禁止开仓：交易预期未填写完整",IF(COUNTIFS(持仓跟踪!$A$2:$A$501,"止损计划",持仓跟踪!$B$2:$B$501,A164,持仓跟踪!$AC$2:$AC$501,"计划有效")=0,"禁止开仓：请先填写止损计划",IF(账户数据!$B$9+F164*(E164-N164)&gt;=账户数据!$B$7,"禁止开仓：风险额度不足",IF(AJ164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4" s="2" t="n"/>
      <c r="I164" s="41" t="n"/>
      <c r="J164" s="40" t="n"/>
      <c r="K164" s="46">
        <f>IF(A164="","",IFERROR(LOOKUP(2,1/((持仓跟踪!$B$2:$B$501=A164)*(持仓跟踪!$X$2:$X$501="执行卖出")*(持仓跟踪!$Y$2:$Y$501&lt;&gt;"")),持仓跟踪!$Y$2:$Y$501),""))</f>
        <v/>
      </c>
      <c r="L164" s="33">
        <f>IF(A164="","",IFERROR(LOOKUP(2,1/((持仓跟踪!$B$2:$B$501=A164)*(持仓跟踪!$X$2:$X$501="执行卖出")*(持仓跟踪!$Z$2:$Z$501&lt;&gt;"")),持仓跟踪!$Z$2:$Z$501),""))</f>
        <v/>
      </c>
      <c r="M164" s="47">
        <f>IF(A164="","",IFERROR(LOOKUP(2,1/((持仓跟踪!$B$2:$B$501=A164)*(持仓跟踪!$X$2:$X$501="执行卖出")*(持仓跟踪!$H$2:$H$501&lt;&gt;"")),持仓跟踪!$H$2:$H$501),""))</f>
        <v/>
      </c>
      <c r="N164" s="40" t="n"/>
      <c r="O164" s="40" t="n"/>
      <c r="P164" s="46">
        <f>IF(A164="","",IFERROR(LOOKUP(2,1/((持仓跟踪!$B$2:$B$501=A164)*(持仓跟踪!$X$2:$X$501="执行卖出")*(持仓跟踪!$AA$2:$AA$501&lt;&gt;"")),持仓跟踪!$AA$2:$AA$501),""))</f>
        <v/>
      </c>
      <c r="Q164" s="2" t="n"/>
      <c r="R164" s="2" t="n"/>
      <c r="S164" s="2" t="n"/>
      <c r="T164" s="2" t="n"/>
      <c r="U164" s="7">
        <f>IF(OR(AO164="",J164="",AO164&lt;=0),"",(J164-AO164)/AO164)</f>
        <v/>
      </c>
      <c r="V164" s="7">
        <f>IF(OR(AO164="",N164="",AO164&lt;=0),"",(AO164-N164)/AO164)</f>
        <v/>
      </c>
      <c r="W164" s="13">
        <f>IF(OR(U164="",V164="",V164&lt;=0),"",U164/V164)</f>
        <v/>
      </c>
      <c r="X164" s="42">
        <f>IF(OR(K164="",L164="",AP164=""),"",K164*L164-(E164*H164+IF(AND(AK164&lt;&gt;"",AL164&lt;&gt;""),AK164*AL164,0)+IF(AND(AM164&lt;&gt;"",AN164&lt;&gt;""),AM164*AN164,0))-IF(O164="",0,O164)-IF(P164="",0,P164))</f>
        <v/>
      </c>
      <c r="Y164" s="7">
        <f>IF(OR(X164="",AP164=""),"",IF((E164*H164+IF(AND(AK164&lt;&gt;"",AL164&lt;&gt;""),AK164*AL164,0)+IF(AND(AM164&lt;&gt;"",AN164&lt;&gt;""),AM164*AN164,0))+IF(O164="",0,O164)&lt;=0,"",X164/((E164*H164+IF(AND(AK164&lt;&gt;"",AL164&lt;&gt;""),AK164*AL164,0)+IF(AND(AM164&lt;&gt;"",AN164&lt;&gt;""),AM164*AN164,0))+IF(O164="",0,O164))))</f>
        <v/>
      </c>
      <c r="Z164" s="7">
        <f>IF(OR(AE164="",多次统计数据!$B$8=""),"",AE164-多次统计数据!$B$8)</f>
        <v/>
      </c>
      <c r="AA164" s="14">
        <f>IF(OR(I164="",M164="",M164&lt;I164),"",M164-I164)</f>
        <v/>
      </c>
      <c r="AB164" s="7">
        <f>IF(OR(A164="",多次统计数据!$B$8="",多次统计数据!$B$6&lt;=0,多次统计数据!$B$6&gt;=1),"",1-POWER(1+多次统计数据!$B$8,-多次统计数据!$B$6/(1-多次统计数据!$B$6)))</f>
        <v/>
      </c>
      <c r="AC164" s="8">
        <f>IF(OR(AB164="",多次统计数据!$B$9=""),"",IF(多次统计数据!$B$9&lt;AB164,"低于上限","达到或超过上限"))</f>
        <v/>
      </c>
      <c r="AD164" s="2" t="n"/>
      <c r="AE164" s="7">
        <f>IF(OR(X164="",C164="",C164&lt;=0),"",X164/C164)</f>
        <v/>
      </c>
      <c r="AG164" s="28" t="n"/>
      <c r="AH164" s="28" t="n"/>
      <c r="AI164" s="28" t="n"/>
      <c r="AJ164" s="31">
        <f>IF(OR(AG164="",AH164=""),"",IF(OR(AND(AG164="短期博反弹",OR(AH164="1～3个交易日",AH164="4～10个交易日")),AND(AG164="突破冲新高",OR(AH164="4～10个交易日",AH164="11～20个交易日")),AND(AG164="趋势波段",OR(AH164="11～20个交易日",AH164="21～60个交易日",AH164="60个交易日以上"))),"匹配","周期与交易预期不匹配，请重新确认"))</f>
        <v/>
      </c>
      <c r="AK164" s="43" t="n"/>
      <c r="AL164" s="27" t="n"/>
      <c r="AM164" s="43" t="n"/>
      <c r="AN164" s="27" t="n"/>
      <c r="AO164" s="44">
        <f>IF(OR(A164="",H164="",H164&lt;=0),"",(E164*H164+IF(AND(AK164&lt;&gt;"",AL164&lt;&gt;""),AK164*AL164,0)+IF(AND(AM164&lt;&gt;"",AN164&lt;&gt;""),AM164*AN164,0))/AP164)</f>
        <v/>
      </c>
      <c r="AP164" s="26">
        <f>IF(OR(A164="",H164="",H164&lt;=0),"",H164+IF(AL164="",0,AL164)+IF(AN164="",0,AN164))</f>
        <v/>
      </c>
      <c r="AQ164" s="44">
        <f>IF(A164="","",IF(M164&lt;&gt;"",0,IF(OR(H164="",N164=""),"",MAX(E164-MAX(N164,IFERROR(AGGREGATE(14,6,'持仓跟踪'!$S$2:$S$501/(('持仓跟踪'!$A$2:$A$501="每日跟踪")*('持仓跟踪'!$B$2:$B$501=A164)),1),0)),0)*H164+IF(OR(AK164="",AL164=""),0,MAX(AK164-MAX(N164,IFERROR(AGGREGATE(14,6,'持仓跟踪'!$S$2:$S$501/(('持仓跟踪'!$A$2:$A$501="每日跟踪")*('持仓跟踪'!$B$2:$B$501=A164)),1),0)),0)*AL164)+IF(OR(AM164="",AN164=""),0,MAX(AM164-MAX(N164,IFERROR(AGGREGATE(14,6,'持仓跟踪'!$S$2:$S$501/(('持仓跟踪'!$A$2:$A$501="每日跟踪")*('持仓跟踪'!$B$2:$B$501=A164)),1),0)),0)*AN164))))</f>
        <v/>
      </c>
      <c r="AR164" s="31">
        <f>IF(A164="","",IF(OR(E164="",H164=""),"违规：第一批价格或股数缺失",IF(OR(AND(AK164="",AL164&lt;&gt;""),AND(AK164&lt;&gt;"",AL164="")),"违规：第二批价格与股数须成对填写",IF(OR(AND(AM164="",AN164&lt;&gt;""),AND(AM164&lt;&gt;"",AN164="")),"违规：第三批价格与股数须成对填写",IF(AND(OR(AM164&lt;&gt;"",AN164&lt;&gt;""),OR(AK164="",AL164="")),"违规：必须先完成第二批",IF(OR(H164&lt;=0,H164&lt;&gt;INT(H164),MOD(H164,100)&lt;&gt;0,AND(AL164&lt;&gt;"",OR(AL164&lt;=0,AL164&lt;&gt;INT(AL164),MOD(AL164,100)&lt;&gt;0)),AND(AN164&lt;&gt;"",OR(AN164&lt;=0,AN164&lt;&gt;INT(AN164),MOD(AN164,100)&lt;&gt;0))),"违规：股数须为100股整数倍",IF(AND(OR(AL164&lt;&gt;"",AN164&lt;&gt;""),OR(_LockStatus="已锁仓",_LockStatus="解锁信息不完整")),"违规：锁仓期间禁止加仓",IF(AQ164&gt;C164*D164,"违规：超过单笔风险上限",IF(SUM($AQ$2:$AQ$201)&gt;账户数据!$B$7,"违规：超过账户风险上限","通过")))))))))</f>
        <v/>
      </c>
    </row>
    <row r="165">
      <c r="A165" s="2" t="n"/>
      <c r="B165" s="2" t="n"/>
      <c r="C165" s="40" t="n"/>
      <c r="D165" s="6" t="n"/>
      <c r="E165" s="40" t="n"/>
      <c r="F165" s="8">
        <f>IF(OR(C165="",D165="",E165="",N165="",C165&lt;=0,D165&lt;=0,E165&lt;=N165),"",ROUNDDOWN((C165*D165)/(E165-N165)/100,0)*100)</f>
        <v/>
      </c>
      <c r="G165" s="8">
        <f>IF(A165="","",IF(H165&lt;&gt;"","已开仓",IF(账户数据!$B$23="已锁仓","禁止开仓：连续亏损达到上限",IF(账户数据!$B$23="解锁信息不完整","禁止开仓：请完整填写解锁信息",IF(OR(F165="",E165="",N165="",E165&lt;=N165,账户数据!$B$7=""),"",IF(OR(AG165="",AH165="",AI165=""),"禁止开仓：交易预期未填写完整",IF(COUNTIFS(持仓跟踪!$A$2:$A$501,"止损计划",持仓跟踪!$B$2:$B$501,A165,持仓跟踪!$AC$2:$AC$501,"计划有效")=0,"禁止开仓：请先填写止损计划",IF(账户数据!$B$9+F165*(E165-N165)&gt;=账户数据!$B$7,"禁止开仓：风险额度不足",IF(AJ165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5" s="2" t="n"/>
      <c r="I165" s="41" t="n"/>
      <c r="J165" s="40" t="n"/>
      <c r="K165" s="46">
        <f>IF(A165="","",IFERROR(LOOKUP(2,1/((持仓跟踪!$B$2:$B$501=A165)*(持仓跟踪!$X$2:$X$501="执行卖出")*(持仓跟踪!$Y$2:$Y$501&lt;&gt;"")),持仓跟踪!$Y$2:$Y$501),""))</f>
        <v/>
      </c>
      <c r="L165" s="33">
        <f>IF(A165="","",IFERROR(LOOKUP(2,1/((持仓跟踪!$B$2:$B$501=A165)*(持仓跟踪!$X$2:$X$501="执行卖出")*(持仓跟踪!$Z$2:$Z$501&lt;&gt;"")),持仓跟踪!$Z$2:$Z$501),""))</f>
        <v/>
      </c>
      <c r="M165" s="47">
        <f>IF(A165="","",IFERROR(LOOKUP(2,1/((持仓跟踪!$B$2:$B$501=A165)*(持仓跟踪!$X$2:$X$501="执行卖出")*(持仓跟踪!$H$2:$H$501&lt;&gt;"")),持仓跟踪!$H$2:$H$501),""))</f>
        <v/>
      </c>
      <c r="N165" s="40" t="n"/>
      <c r="O165" s="40" t="n"/>
      <c r="P165" s="46">
        <f>IF(A165="","",IFERROR(LOOKUP(2,1/((持仓跟踪!$B$2:$B$501=A165)*(持仓跟踪!$X$2:$X$501="执行卖出")*(持仓跟踪!$AA$2:$AA$501&lt;&gt;"")),持仓跟踪!$AA$2:$AA$501),""))</f>
        <v/>
      </c>
      <c r="Q165" s="2" t="n"/>
      <c r="R165" s="2" t="n"/>
      <c r="S165" s="2" t="n"/>
      <c r="T165" s="2" t="n"/>
      <c r="U165" s="7">
        <f>IF(OR(AO165="",J165="",AO165&lt;=0),"",(J165-AO165)/AO165)</f>
        <v/>
      </c>
      <c r="V165" s="7">
        <f>IF(OR(AO165="",N165="",AO165&lt;=0),"",(AO165-N165)/AO165)</f>
        <v/>
      </c>
      <c r="W165" s="13">
        <f>IF(OR(U165="",V165="",V165&lt;=0),"",U165/V165)</f>
        <v/>
      </c>
      <c r="X165" s="42">
        <f>IF(OR(K165="",L165="",AP165=""),"",K165*L165-(E165*H165+IF(AND(AK165&lt;&gt;"",AL165&lt;&gt;""),AK165*AL165,0)+IF(AND(AM165&lt;&gt;"",AN165&lt;&gt;""),AM165*AN165,0))-IF(O165="",0,O165)-IF(P165="",0,P165))</f>
        <v/>
      </c>
      <c r="Y165" s="7">
        <f>IF(OR(X165="",AP165=""),"",IF((E165*H165+IF(AND(AK165&lt;&gt;"",AL165&lt;&gt;""),AK165*AL165,0)+IF(AND(AM165&lt;&gt;"",AN165&lt;&gt;""),AM165*AN165,0))+IF(O165="",0,O165)&lt;=0,"",X165/((E165*H165+IF(AND(AK165&lt;&gt;"",AL165&lt;&gt;""),AK165*AL165,0)+IF(AND(AM165&lt;&gt;"",AN165&lt;&gt;""),AM165*AN165,0))+IF(O165="",0,O165))))</f>
        <v/>
      </c>
      <c r="Z165" s="7">
        <f>IF(OR(AE165="",多次统计数据!$B$8=""),"",AE165-多次统计数据!$B$8)</f>
        <v/>
      </c>
      <c r="AA165" s="14">
        <f>IF(OR(I165="",M165="",M165&lt;I165),"",M165-I165)</f>
        <v/>
      </c>
      <c r="AB165" s="7">
        <f>IF(OR(A165="",多次统计数据!$B$8="",多次统计数据!$B$6&lt;=0,多次统计数据!$B$6&gt;=1),"",1-POWER(1+多次统计数据!$B$8,-多次统计数据!$B$6/(1-多次统计数据!$B$6)))</f>
        <v/>
      </c>
      <c r="AC165" s="8">
        <f>IF(OR(AB165="",多次统计数据!$B$9=""),"",IF(多次统计数据!$B$9&lt;AB165,"低于上限","达到或超过上限"))</f>
        <v/>
      </c>
      <c r="AD165" s="2" t="n"/>
      <c r="AE165" s="7">
        <f>IF(OR(X165="",C165="",C165&lt;=0),"",X165/C165)</f>
        <v/>
      </c>
      <c r="AG165" s="28" t="n"/>
      <c r="AH165" s="28" t="n"/>
      <c r="AI165" s="28" t="n"/>
      <c r="AJ165" s="31">
        <f>IF(OR(AG165="",AH165=""),"",IF(OR(AND(AG165="短期博反弹",OR(AH165="1～3个交易日",AH165="4～10个交易日")),AND(AG165="突破冲新高",OR(AH165="4～10个交易日",AH165="11～20个交易日")),AND(AG165="趋势波段",OR(AH165="11～20个交易日",AH165="21～60个交易日",AH165="60个交易日以上"))),"匹配","周期与交易预期不匹配，请重新确认"))</f>
        <v/>
      </c>
      <c r="AK165" s="43" t="n"/>
      <c r="AL165" s="27" t="n"/>
      <c r="AM165" s="43" t="n"/>
      <c r="AN165" s="27" t="n"/>
      <c r="AO165" s="44">
        <f>IF(OR(A165="",H165="",H165&lt;=0),"",(E165*H165+IF(AND(AK165&lt;&gt;"",AL165&lt;&gt;""),AK165*AL165,0)+IF(AND(AM165&lt;&gt;"",AN165&lt;&gt;""),AM165*AN165,0))/AP165)</f>
        <v/>
      </c>
      <c r="AP165" s="26">
        <f>IF(OR(A165="",H165="",H165&lt;=0),"",H165+IF(AL165="",0,AL165)+IF(AN165="",0,AN165))</f>
        <v/>
      </c>
      <c r="AQ165" s="44">
        <f>IF(A165="","",IF(M165&lt;&gt;"",0,IF(OR(H165="",N165=""),"",MAX(E165-MAX(N165,IFERROR(AGGREGATE(14,6,'持仓跟踪'!$S$2:$S$501/(('持仓跟踪'!$A$2:$A$501="每日跟踪")*('持仓跟踪'!$B$2:$B$501=A165)),1),0)),0)*H165+IF(OR(AK165="",AL165=""),0,MAX(AK165-MAX(N165,IFERROR(AGGREGATE(14,6,'持仓跟踪'!$S$2:$S$501/(('持仓跟踪'!$A$2:$A$501="每日跟踪")*('持仓跟踪'!$B$2:$B$501=A165)),1),0)),0)*AL165)+IF(OR(AM165="",AN165=""),0,MAX(AM165-MAX(N165,IFERROR(AGGREGATE(14,6,'持仓跟踪'!$S$2:$S$501/(('持仓跟踪'!$A$2:$A$501="每日跟踪")*('持仓跟踪'!$B$2:$B$501=A165)),1),0)),0)*AN165))))</f>
        <v/>
      </c>
      <c r="AR165" s="31">
        <f>IF(A165="","",IF(OR(E165="",H165=""),"违规：第一批价格或股数缺失",IF(OR(AND(AK165="",AL165&lt;&gt;""),AND(AK165&lt;&gt;"",AL165="")),"违规：第二批价格与股数须成对填写",IF(OR(AND(AM165="",AN165&lt;&gt;""),AND(AM165&lt;&gt;"",AN165="")),"违规：第三批价格与股数须成对填写",IF(AND(OR(AM165&lt;&gt;"",AN165&lt;&gt;""),OR(AK165="",AL165="")),"违规：必须先完成第二批",IF(OR(H165&lt;=0,H165&lt;&gt;INT(H165),MOD(H165,100)&lt;&gt;0,AND(AL165&lt;&gt;"",OR(AL165&lt;=0,AL165&lt;&gt;INT(AL165),MOD(AL165,100)&lt;&gt;0)),AND(AN165&lt;&gt;"",OR(AN165&lt;=0,AN165&lt;&gt;INT(AN165),MOD(AN165,100)&lt;&gt;0))),"违规：股数须为100股整数倍",IF(AND(OR(AL165&lt;&gt;"",AN165&lt;&gt;""),OR(_LockStatus="已锁仓",_LockStatus="解锁信息不完整")),"违规：锁仓期间禁止加仓",IF(AQ165&gt;C165*D165,"违规：超过单笔风险上限",IF(SUM($AQ$2:$AQ$201)&gt;账户数据!$B$7,"违规：超过账户风险上限","通过")))))))))</f>
        <v/>
      </c>
    </row>
    <row r="166">
      <c r="A166" s="2" t="n"/>
      <c r="B166" s="2" t="n"/>
      <c r="C166" s="40" t="n"/>
      <c r="D166" s="6" t="n"/>
      <c r="E166" s="40" t="n"/>
      <c r="F166" s="8">
        <f>IF(OR(C166="",D166="",E166="",N166="",C166&lt;=0,D166&lt;=0,E166&lt;=N166),"",ROUNDDOWN((C166*D166)/(E166-N166)/100,0)*100)</f>
        <v/>
      </c>
      <c r="G166" s="8">
        <f>IF(A166="","",IF(H166&lt;&gt;"","已开仓",IF(账户数据!$B$23="已锁仓","禁止开仓：连续亏损达到上限",IF(账户数据!$B$23="解锁信息不完整","禁止开仓：请完整填写解锁信息",IF(OR(F166="",E166="",N166="",E166&lt;=N166,账户数据!$B$7=""),"",IF(OR(AG166="",AH166="",AI166=""),"禁止开仓：交易预期未填写完整",IF(COUNTIFS(持仓跟踪!$A$2:$A$501,"止损计划",持仓跟踪!$B$2:$B$501,A166,持仓跟踪!$AC$2:$AC$501,"计划有效")=0,"禁止开仓：请先填写止损计划",IF(账户数据!$B$9+F166*(E166-N166)&gt;=账户数据!$B$7,"禁止开仓：风险额度不足",IF(AJ166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6" s="2" t="n"/>
      <c r="I166" s="41" t="n"/>
      <c r="J166" s="40" t="n"/>
      <c r="K166" s="46">
        <f>IF(A166="","",IFERROR(LOOKUP(2,1/((持仓跟踪!$B$2:$B$501=A166)*(持仓跟踪!$X$2:$X$501="执行卖出")*(持仓跟踪!$Y$2:$Y$501&lt;&gt;"")),持仓跟踪!$Y$2:$Y$501),""))</f>
        <v/>
      </c>
      <c r="L166" s="33">
        <f>IF(A166="","",IFERROR(LOOKUP(2,1/((持仓跟踪!$B$2:$B$501=A166)*(持仓跟踪!$X$2:$X$501="执行卖出")*(持仓跟踪!$Z$2:$Z$501&lt;&gt;"")),持仓跟踪!$Z$2:$Z$501),""))</f>
        <v/>
      </c>
      <c r="M166" s="47">
        <f>IF(A166="","",IFERROR(LOOKUP(2,1/((持仓跟踪!$B$2:$B$501=A166)*(持仓跟踪!$X$2:$X$501="执行卖出")*(持仓跟踪!$H$2:$H$501&lt;&gt;"")),持仓跟踪!$H$2:$H$501),""))</f>
        <v/>
      </c>
      <c r="N166" s="40" t="n"/>
      <c r="O166" s="40" t="n"/>
      <c r="P166" s="46">
        <f>IF(A166="","",IFERROR(LOOKUP(2,1/((持仓跟踪!$B$2:$B$501=A166)*(持仓跟踪!$X$2:$X$501="执行卖出")*(持仓跟踪!$AA$2:$AA$501&lt;&gt;"")),持仓跟踪!$AA$2:$AA$501),""))</f>
        <v/>
      </c>
      <c r="Q166" s="2" t="n"/>
      <c r="R166" s="2" t="n"/>
      <c r="S166" s="2" t="n"/>
      <c r="T166" s="2" t="n"/>
      <c r="U166" s="7">
        <f>IF(OR(AO166="",J166="",AO166&lt;=0),"",(J166-AO166)/AO166)</f>
        <v/>
      </c>
      <c r="V166" s="7">
        <f>IF(OR(AO166="",N166="",AO166&lt;=0),"",(AO166-N166)/AO166)</f>
        <v/>
      </c>
      <c r="W166" s="13">
        <f>IF(OR(U166="",V166="",V166&lt;=0),"",U166/V166)</f>
        <v/>
      </c>
      <c r="X166" s="42">
        <f>IF(OR(K166="",L166="",AP166=""),"",K166*L166-(E166*H166+IF(AND(AK166&lt;&gt;"",AL166&lt;&gt;""),AK166*AL166,0)+IF(AND(AM166&lt;&gt;"",AN166&lt;&gt;""),AM166*AN166,0))-IF(O166="",0,O166)-IF(P166="",0,P166))</f>
        <v/>
      </c>
      <c r="Y166" s="7">
        <f>IF(OR(X166="",AP166=""),"",IF((E166*H166+IF(AND(AK166&lt;&gt;"",AL166&lt;&gt;""),AK166*AL166,0)+IF(AND(AM166&lt;&gt;"",AN166&lt;&gt;""),AM166*AN166,0))+IF(O166="",0,O166)&lt;=0,"",X166/((E166*H166+IF(AND(AK166&lt;&gt;"",AL166&lt;&gt;""),AK166*AL166,0)+IF(AND(AM166&lt;&gt;"",AN166&lt;&gt;""),AM166*AN166,0))+IF(O166="",0,O166))))</f>
        <v/>
      </c>
      <c r="Z166" s="7">
        <f>IF(OR(AE166="",多次统计数据!$B$8=""),"",AE166-多次统计数据!$B$8)</f>
        <v/>
      </c>
      <c r="AA166" s="14">
        <f>IF(OR(I166="",M166="",M166&lt;I166),"",M166-I166)</f>
        <v/>
      </c>
      <c r="AB166" s="7">
        <f>IF(OR(A166="",多次统计数据!$B$8="",多次统计数据!$B$6&lt;=0,多次统计数据!$B$6&gt;=1),"",1-POWER(1+多次统计数据!$B$8,-多次统计数据!$B$6/(1-多次统计数据!$B$6)))</f>
        <v/>
      </c>
      <c r="AC166" s="8">
        <f>IF(OR(AB166="",多次统计数据!$B$9=""),"",IF(多次统计数据!$B$9&lt;AB166,"低于上限","达到或超过上限"))</f>
        <v/>
      </c>
      <c r="AD166" s="2" t="n"/>
      <c r="AE166" s="7">
        <f>IF(OR(X166="",C166="",C166&lt;=0),"",X166/C166)</f>
        <v/>
      </c>
      <c r="AG166" s="28" t="n"/>
      <c r="AH166" s="28" t="n"/>
      <c r="AI166" s="28" t="n"/>
      <c r="AJ166" s="31">
        <f>IF(OR(AG166="",AH166=""),"",IF(OR(AND(AG166="短期博反弹",OR(AH166="1～3个交易日",AH166="4～10个交易日")),AND(AG166="突破冲新高",OR(AH166="4～10个交易日",AH166="11～20个交易日")),AND(AG166="趋势波段",OR(AH166="11～20个交易日",AH166="21～60个交易日",AH166="60个交易日以上"))),"匹配","周期与交易预期不匹配，请重新确认"))</f>
        <v/>
      </c>
      <c r="AK166" s="43" t="n"/>
      <c r="AL166" s="27" t="n"/>
      <c r="AM166" s="43" t="n"/>
      <c r="AN166" s="27" t="n"/>
      <c r="AO166" s="44">
        <f>IF(OR(A166="",H166="",H166&lt;=0),"",(E166*H166+IF(AND(AK166&lt;&gt;"",AL166&lt;&gt;""),AK166*AL166,0)+IF(AND(AM166&lt;&gt;"",AN166&lt;&gt;""),AM166*AN166,0))/AP166)</f>
        <v/>
      </c>
      <c r="AP166" s="26">
        <f>IF(OR(A166="",H166="",H166&lt;=0),"",H166+IF(AL166="",0,AL166)+IF(AN166="",0,AN166))</f>
        <v/>
      </c>
      <c r="AQ166" s="44">
        <f>IF(A166="","",IF(M166&lt;&gt;"",0,IF(OR(H166="",N166=""),"",MAX(E166-MAX(N166,IFERROR(AGGREGATE(14,6,'持仓跟踪'!$S$2:$S$501/(('持仓跟踪'!$A$2:$A$501="每日跟踪")*('持仓跟踪'!$B$2:$B$501=A166)),1),0)),0)*H166+IF(OR(AK166="",AL166=""),0,MAX(AK166-MAX(N166,IFERROR(AGGREGATE(14,6,'持仓跟踪'!$S$2:$S$501/(('持仓跟踪'!$A$2:$A$501="每日跟踪")*('持仓跟踪'!$B$2:$B$501=A166)),1),0)),0)*AL166)+IF(OR(AM166="",AN166=""),0,MAX(AM166-MAX(N166,IFERROR(AGGREGATE(14,6,'持仓跟踪'!$S$2:$S$501/(('持仓跟踪'!$A$2:$A$501="每日跟踪")*('持仓跟踪'!$B$2:$B$501=A166)),1),0)),0)*AN166))))</f>
        <v/>
      </c>
      <c r="AR166" s="31">
        <f>IF(A166="","",IF(OR(E166="",H166=""),"违规：第一批价格或股数缺失",IF(OR(AND(AK166="",AL166&lt;&gt;""),AND(AK166&lt;&gt;"",AL166="")),"违规：第二批价格与股数须成对填写",IF(OR(AND(AM166="",AN166&lt;&gt;""),AND(AM166&lt;&gt;"",AN166="")),"违规：第三批价格与股数须成对填写",IF(AND(OR(AM166&lt;&gt;"",AN166&lt;&gt;""),OR(AK166="",AL166="")),"违规：必须先完成第二批",IF(OR(H166&lt;=0,H166&lt;&gt;INT(H166),MOD(H166,100)&lt;&gt;0,AND(AL166&lt;&gt;"",OR(AL166&lt;=0,AL166&lt;&gt;INT(AL166),MOD(AL166,100)&lt;&gt;0)),AND(AN166&lt;&gt;"",OR(AN166&lt;=0,AN166&lt;&gt;INT(AN166),MOD(AN166,100)&lt;&gt;0))),"违规：股数须为100股整数倍",IF(AND(OR(AL166&lt;&gt;"",AN166&lt;&gt;""),OR(_LockStatus="已锁仓",_LockStatus="解锁信息不完整")),"违规：锁仓期间禁止加仓",IF(AQ166&gt;C166*D166,"违规：超过单笔风险上限",IF(SUM($AQ$2:$AQ$201)&gt;账户数据!$B$7,"违规：超过账户风险上限","通过")))))))))</f>
        <v/>
      </c>
    </row>
    <row r="167">
      <c r="A167" s="2" t="n"/>
      <c r="B167" s="2" t="n"/>
      <c r="C167" s="40" t="n"/>
      <c r="D167" s="6" t="n"/>
      <c r="E167" s="40" t="n"/>
      <c r="F167" s="8">
        <f>IF(OR(C167="",D167="",E167="",N167="",C167&lt;=0,D167&lt;=0,E167&lt;=N167),"",ROUNDDOWN((C167*D167)/(E167-N167)/100,0)*100)</f>
        <v/>
      </c>
      <c r="G167" s="8">
        <f>IF(A167="","",IF(H167&lt;&gt;"","已开仓",IF(账户数据!$B$23="已锁仓","禁止开仓：连续亏损达到上限",IF(账户数据!$B$23="解锁信息不完整","禁止开仓：请完整填写解锁信息",IF(OR(F167="",E167="",N167="",E167&lt;=N167,账户数据!$B$7=""),"",IF(OR(AG167="",AH167="",AI167=""),"禁止开仓：交易预期未填写完整",IF(COUNTIFS(持仓跟踪!$A$2:$A$501,"止损计划",持仓跟踪!$B$2:$B$501,A167,持仓跟踪!$AC$2:$AC$501,"计划有效")=0,"禁止开仓：请先填写止损计划",IF(账户数据!$B$9+F167*(E167-N167)&gt;=账户数据!$B$7,"禁止开仓：风险额度不足",IF(AJ167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7" s="2" t="n"/>
      <c r="I167" s="41" t="n"/>
      <c r="J167" s="40" t="n"/>
      <c r="K167" s="46">
        <f>IF(A167="","",IFERROR(LOOKUP(2,1/((持仓跟踪!$B$2:$B$501=A167)*(持仓跟踪!$X$2:$X$501="执行卖出")*(持仓跟踪!$Y$2:$Y$501&lt;&gt;"")),持仓跟踪!$Y$2:$Y$501),""))</f>
        <v/>
      </c>
      <c r="L167" s="33">
        <f>IF(A167="","",IFERROR(LOOKUP(2,1/((持仓跟踪!$B$2:$B$501=A167)*(持仓跟踪!$X$2:$X$501="执行卖出")*(持仓跟踪!$Z$2:$Z$501&lt;&gt;"")),持仓跟踪!$Z$2:$Z$501),""))</f>
        <v/>
      </c>
      <c r="M167" s="47">
        <f>IF(A167="","",IFERROR(LOOKUP(2,1/((持仓跟踪!$B$2:$B$501=A167)*(持仓跟踪!$X$2:$X$501="执行卖出")*(持仓跟踪!$H$2:$H$501&lt;&gt;"")),持仓跟踪!$H$2:$H$501),""))</f>
        <v/>
      </c>
      <c r="N167" s="40" t="n"/>
      <c r="O167" s="40" t="n"/>
      <c r="P167" s="46">
        <f>IF(A167="","",IFERROR(LOOKUP(2,1/((持仓跟踪!$B$2:$B$501=A167)*(持仓跟踪!$X$2:$X$501="执行卖出")*(持仓跟踪!$AA$2:$AA$501&lt;&gt;"")),持仓跟踪!$AA$2:$AA$501),""))</f>
        <v/>
      </c>
      <c r="Q167" s="2" t="n"/>
      <c r="R167" s="2" t="n"/>
      <c r="S167" s="2" t="n"/>
      <c r="T167" s="2" t="n"/>
      <c r="U167" s="7">
        <f>IF(OR(AO167="",J167="",AO167&lt;=0),"",(J167-AO167)/AO167)</f>
        <v/>
      </c>
      <c r="V167" s="7">
        <f>IF(OR(AO167="",N167="",AO167&lt;=0),"",(AO167-N167)/AO167)</f>
        <v/>
      </c>
      <c r="W167" s="13">
        <f>IF(OR(U167="",V167="",V167&lt;=0),"",U167/V167)</f>
        <v/>
      </c>
      <c r="X167" s="42">
        <f>IF(OR(K167="",L167="",AP167=""),"",K167*L167-(E167*H167+IF(AND(AK167&lt;&gt;"",AL167&lt;&gt;""),AK167*AL167,0)+IF(AND(AM167&lt;&gt;"",AN167&lt;&gt;""),AM167*AN167,0))-IF(O167="",0,O167)-IF(P167="",0,P167))</f>
        <v/>
      </c>
      <c r="Y167" s="7">
        <f>IF(OR(X167="",AP167=""),"",IF((E167*H167+IF(AND(AK167&lt;&gt;"",AL167&lt;&gt;""),AK167*AL167,0)+IF(AND(AM167&lt;&gt;"",AN167&lt;&gt;""),AM167*AN167,0))+IF(O167="",0,O167)&lt;=0,"",X167/((E167*H167+IF(AND(AK167&lt;&gt;"",AL167&lt;&gt;""),AK167*AL167,0)+IF(AND(AM167&lt;&gt;"",AN167&lt;&gt;""),AM167*AN167,0))+IF(O167="",0,O167))))</f>
        <v/>
      </c>
      <c r="Z167" s="7">
        <f>IF(OR(AE167="",多次统计数据!$B$8=""),"",AE167-多次统计数据!$B$8)</f>
        <v/>
      </c>
      <c r="AA167" s="14">
        <f>IF(OR(I167="",M167="",M167&lt;I167),"",M167-I167)</f>
        <v/>
      </c>
      <c r="AB167" s="7">
        <f>IF(OR(A167="",多次统计数据!$B$8="",多次统计数据!$B$6&lt;=0,多次统计数据!$B$6&gt;=1),"",1-POWER(1+多次统计数据!$B$8,-多次统计数据!$B$6/(1-多次统计数据!$B$6)))</f>
        <v/>
      </c>
      <c r="AC167" s="8">
        <f>IF(OR(AB167="",多次统计数据!$B$9=""),"",IF(多次统计数据!$B$9&lt;AB167,"低于上限","达到或超过上限"))</f>
        <v/>
      </c>
      <c r="AD167" s="2" t="n"/>
      <c r="AE167" s="7">
        <f>IF(OR(X167="",C167="",C167&lt;=0),"",X167/C167)</f>
        <v/>
      </c>
      <c r="AG167" s="28" t="n"/>
      <c r="AH167" s="28" t="n"/>
      <c r="AI167" s="28" t="n"/>
      <c r="AJ167" s="31">
        <f>IF(OR(AG167="",AH167=""),"",IF(OR(AND(AG167="短期博反弹",OR(AH167="1～3个交易日",AH167="4～10个交易日")),AND(AG167="突破冲新高",OR(AH167="4～10个交易日",AH167="11～20个交易日")),AND(AG167="趋势波段",OR(AH167="11～20个交易日",AH167="21～60个交易日",AH167="60个交易日以上"))),"匹配","周期与交易预期不匹配，请重新确认"))</f>
        <v/>
      </c>
      <c r="AK167" s="43" t="n"/>
      <c r="AL167" s="27" t="n"/>
      <c r="AM167" s="43" t="n"/>
      <c r="AN167" s="27" t="n"/>
      <c r="AO167" s="44">
        <f>IF(OR(A167="",H167="",H167&lt;=0),"",(E167*H167+IF(AND(AK167&lt;&gt;"",AL167&lt;&gt;""),AK167*AL167,0)+IF(AND(AM167&lt;&gt;"",AN167&lt;&gt;""),AM167*AN167,0))/AP167)</f>
        <v/>
      </c>
      <c r="AP167" s="26">
        <f>IF(OR(A167="",H167="",H167&lt;=0),"",H167+IF(AL167="",0,AL167)+IF(AN167="",0,AN167))</f>
        <v/>
      </c>
      <c r="AQ167" s="44">
        <f>IF(A167="","",IF(M167&lt;&gt;"",0,IF(OR(H167="",N167=""),"",MAX(E167-MAX(N167,IFERROR(AGGREGATE(14,6,'持仓跟踪'!$S$2:$S$501/(('持仓跟踪'!$A$2:$A$501="每日跟踪")*('持仓跟踪'!$B$2:$B$501=A167)),1),0)),0)*H167+IF(OR(AK167="",AL167=""),0,MAX(AK167-MAX(N167,IFERROR(AGGREGATE(14,6,'持仓跟踪'!$S$2:$S$501/(('持仓跟踪'!$A$2:$A$501="每日跟踪")*('持仓跟踪'!$B$2:$B$501=A167)),1),0)),0)*AL167)+IF(OR(AM167="",AN167=""),0,MAX(AM167-MAX(N167,IFERROR(AGGREGATE(14,6,'持仓跟踪'!$S$2:$S$501/(('持仓跟踪'!$A$2:$A$501="每日跟踪")*('持仓跟踪'!$B$2:$B$501=A167)),1),0)),0)*AN167))))</f>
        <v/>
      </c>
      <c r="AR167" s="31">
        <f>IF(A167="","",IF(OR(E167="",H167=""),"违规：第一批价格或股数缺失",IF(OR(AND(AK167="",AL167&lt;&gt;""),AND(AK167&lt;&gt;"",AL167="")),"违规：第二批价格与股数须成对填写",IF(OR(AND(AM167="",AN167&lt;&gt;""),AND(AM167&lt;&gt;"",AN167="")),"违规：第三批价格与股数须成对填写",IF(AND(OR(AM167&lt;&gt;"",AN167&lt;&gt;""),OR(AK167="",AL167="")),"违规：必须先完成第二批",IF(OR(H167&lt;=0,H167&lt;&gt;INT(H167),MOD(H167,100)&lt;&gt;0,AND(AL167&lt;&gt;"",OR(AL167&lt;=0,AL167&lt;&gt;INT(AL167),MOD(AL167,100)&lt;&gt;0)),AND(AN167&lt;&gt;"",OR(AN167&lt;=0,AN167&lt;&gt;INT(AN167),MOD(AN167,100)&lt;&gt;0))),"违规：股数须为100股整数倍",IF(AND(OR(AL167&lt;&gt;"",AN167&lt;&gt;""),OR(_LockStatus="已锁仓",_LockStatus="解锁信息不完整")),"违规：锁仓期间禁止加仓",IF(AQ167&gt;C167*D167,"违规：超过单笔风险上限",IF(SUM($AQ$2:$AQ$201)&gt;账户数据!$B$7,"违规：超过账户风险上限","通过")))))))))</f>
        <v/>
      </c>
    </row>
    <row r="168">
      <c r="A168" s="2" t="n"/>
      <c r="B168" s="2" t="n"/>
      <c r="C168" s="40" t="n"/>
      <c r="D168" s="6" t="n"/>
      <c r="E168" s="40" t="n"/>
      <c r="F168" s="8">
        <f>IF(OR(C168="",D168="",E168="",N168="",C168&lt;=0,D168&lt;=0,E168&lt;=N168),"",ROUNDDOWN((C168*D168)/(E168-N168)/100,0)*100)</f>
        <v/>
      </c>
      <c r="G168" s="8">
        <f>IF(A168="","",IF(H168&lt;&gt;"","已开仓",IF(账户数据!$B$23="已锁仓","禁止开仓：连续亏损达到上限",IF(账户数据!$B$23="解锁信息不完整","禁止开仓：请完整填写解锁信息",IF(OR(F168="",E168="",N168="",E168&lt;=N168,账户数据!$B$7=""),"",IF(OR(AG168="",AH168="",AI168=""),"禁止开仓：交易预期未填写完整",IF(COUNTIFS(持仓跟踪!$A$2:$A$501,"止损计划",持仓跟踪!$B$2:$B$501,A168,持仓跟踪!$AC$2:$AC$501,"计划有效")=0,"禁止开仓：请先填写止损计划",IF(账户数据!$B$9+F168*(E168-N168)&gt;=账户数据!$B$7,"禁止开仓：风险额度不足",IF(AJ168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8" s="2" t="n"/>
      <c r="I168" s="41" t="n"/>
      <c r="J168" s="40" t="n"/>
      <c r="K168" s="46">
        <f>IF(A168="","",IFERROR(LOOKUP(2,1/((持仓跟踪!$B$2:$B$501=A168)*(持仓跟踪!$X$2:$X$501="执行卖出")*(持仓跟踪!$Y$2:$Y$501&lt;&gt;"")),持仓跟踪!$Y$2:$Y$501),""))</f>
        <v/>
      </c>
      <c r="L168" s="33">
        <f>IF(A168="","",IFERROR(LOOKUP(2,1/((持仓跟踪!$B$2:$B$501=A168)*(持仓跟踪!$X$2:$X$501="执行卖出")*(持仓跟踪!$Z$2:$Z$501&lt;&gt;"")),持仓跟踪!$Z$2:$Z$501),""))</f>
        <v/>
      </c>
      <c r="M168" s="47">
        <f>IF(A168="","",IFERROR(LOOKUP(2,1/((持仓跟踪!$B$2:$B$501=A168)*(持仓跟踪!$X$2:$X$501="执行卖出")*(持仓跟踪!$H$2:$H$501&lt;&gt;"")),持仓跟踪!$H$2:$H$501),""))</f>
        <v/>
      </c>
      <c r="N168" s="40" t="n"/>
      <c r="O168" s="40" t="n"/>
      <c r="P168" s="46">
        <f>IF(A168="","",IFERROR(LOOKUP(2,1/((持仓跟踪!$B$2:$B$501=A168)*(持仓跟踪!$X$2:$X$501="执行卖出")*(持仓跟踪!$AA$2:$AA$501&lt;&gt;"")),持仓跟踪!$AA$2:$AA$501),""))</f>
        <v/>
      </c>
      <c r="Q168" s="2" t="n"/>
      <c r="R168" s="2" t="n"/>
      <c r="S168" s="2" t="n"/>
      <c r="T168" s="2" t="n"/>
      <c r="U168" s="7">
        <f>IF(OR(AO168="",J168="",AO168&lt;=0),"",(J168-AO168)/AO168)</f>
        <v/>
      </c>
      <c r="V168" s="7">
        <f>IF(OR(AO168="",N168="",AO168&lt;=0),"",(AO168-N168)/AO168)</f>
        <v/>
      </c>
      <c r="W168" s="13">
        <f>IF(OR(U168="",V168="",V168&lt;=0),"",U168/V168)</f>
        <v/>
      </c>
      <c r="X168" s="42">
        <f>IF(OR(K168="",L168="",AP168=""),"",K168*L168-(E168*H168+IF(AND(AK168&lt;&gt;"",AL168&lt;&gt;""),AK168*AL168,0)+IF(AND(AM168&lt;&gt;"",AN168&lt;&gt;""),AM168*AN168,0))-IF(O168="",0,O168)-IF(P168="",0,P168))</f>
        <v/>
      </c>
      <c r="Y168" s="7">
        <f>IF(OR(X168="",AP168=""),"",IF((E168*H168+IF(AND(AK168&lt;&gt;"",AL168&lt;&gt;""),AK168*AL168,0)+IF(AND(AM168&lt;&gt;"",AN168&lt;&gt;""),AM168*AN168,0))+IF(O168="",0,O168)&lt;=0,"",X168/((E168*H168+IF(AND(AK168&lt;&gt;"",AL168&lt;&gt;""),AK168*AL168,0)+IF(AND(AM168&lt;&gt;"",AN168&lt;&gt;""),AM168*AN168,0))+IF(O168="",0,O168))))</f>
        <v/>
      </c>
      <c r="Z168" s="7">
        <f>IF(OR(AE168="",多次统计数据!$B$8=""),"",AE168-多次统计数据!$B$8)</f>
        <v/>
      </c>
      <c r="AA168" s="14">
        <f>IF(OR(I168="",M168="",M168&lt;I168),"",M168-I168)</f>
        <v/>
      </c>
      <c r="AB168" s="7">
        <f>IF(OR(A168="",多次统计数据!$B$8="",多次统计数据!$B$6&lt;=0,多次统计数据!$B$6&gt;=1),"",1-POWER(1+多次统计数据!$B$8,-多次统计数据!$B$6/(1-多次统计数据!$B$6)))</f>
        <v/>
      </c>
      <c r="AC168" s="8">
        <f>IF(OR(AB168="",多次统计数据!$B$9=""),"",IF(多次统计数据!$B$9&lt;AB168,"低于上限","达到或超过上限"))</f>
        <v/>
      </c>
      <c r="AD168" s="2" t="n"/>
      <c r="AE168" s="7">
        <f>IF(OR(X168="",C168="",C168&lt;=0),"",X168/C168)</f>
        <v/>
      </c>
      <c r="AG168" s="28" t="n"/>
      <c r="AH168" s="28" t="n"/>
      <c r="AI168" s="28" t="n"/>
      <c r="AJ168" s="31">
        <f>IF(OR(AG168="",AH168=""),"",IF(OR(AND(AG168="短期博反弹",OR(AH168="1～3个交易日",AH168="4～10个交易日")),AND(AG168="突破冲新高",OR(AH168="4～10个交易日",AH168="11～20个交易日")),AND(AG168="趋势波段",OR(AH168="11～20个交易日",AH168="21～60个交易日",AH168="60个交易日以上"))),"匹配","周期与交易预期不匹配，请重新确认"))</f>
        <v/>
      </c>
      <c r="AK168" s="43" t="n"/>
      <c r="AL168" s="27" t="n"/>
      <c r="AM168" s="43" t="n"/>
      <c r="AN168" s="27" t="n"/>
      <c r="AO168" s="44">
        <f>IF(OR(A168="",H168="",H168&lt;=0),"",(E168*H168+IF(AND(AK168&lt;&gt;"",AL168&lt;&gt;""),AK168*AL168,0)+IF(AND(AM168&lt;&gt;"",AN168&lt;&gt;""),AM168*AN168,0))/AP168)</f>
        <v/>
      </c>
      <c r="AP168" s="26">
        <f>IF(OR(A168="",H168="",H168&lt;=0),"",H168+IF(AL168="",0,AL168)+IF(AN168="",0,AN168))</f>
        <v/>
      </c>
      <c r="AQ168" s="44">
        <f>IF(A168="","",IF(M168&lt;&gt;"",0,IF(OR(H168="",N168=""),"",MAX(E168-MAX(N168,IFERROR(AGGREGATE(14,6,'持仓跟踪'!$S$2:$S$501/(('持仓跟踪'!$A$2:$A$501="每日跟踪")*('持仓跟踪'!$B$2:$B$501=A168)),1),0)),0)*H168+IF(OR(AK168="",AL168=""),0,MAX(AK168-MAX(N168,IFERROR(AGGREGATE(14,6,'持仓跟踪'!$S$2:$S$501/(('持仓跟踪'!$A$2:$A$501="每日跟踪")*('持仓跟踪'!$B$2:$B$501=A168)),1),0)),0)*AL168)+IF(OR(AM168="",AN168=""),0,MAX(AM168-MAX(N168,IFERROR(AGGREGATE(14,6,'持仓跟踪'!$S$2:$S$501/(('持仓跟踪'!$A$2:$A$501="每日跟踪")*('持仓跟踪'!$B$2:$B$501=A168)),1),0)),0)*AN168))))</f>
        <v/>
      </c>
      <c r="AR168" s="31">
        <f>IF(A168="","",IF(OR(E168="",H168=""),"违规：第一批价格或股数缺失",IF(OR(AND(AK168="",AL168&lt;&gt;""),AND(AK168&lt;&gt;"",AL168="")),"违规：第二批价格与股数须成对填写",IF(OR(AND(AM168="",AN168&lt;&gt;""),AND(AM168&lt;&gt;"",AN168="")),"违规：第三批价格与股数须成对填写",IF(AND(OR(AM168&lt;&gt;"",AN168&lt;&gt;""),OR(AK168="",AL168="")),"违规：必须先完成第二批",IF(OR(H168&lt;=0,H168&lt;&gt;INT(H168),MOD(H168,100)&lt;&gt;0,AND(AL168&lt;&gt;"",OR(AL168&lt;=0,AL168&lt;&gt;INT(AL168),MOD(AL168,100)&lt;&gt;0)),AND(AN168&lt;&gt;"",OR(AN168&lt;=0,AN168&lt;&gt;INT(AN168),MOD(AN168,100)&lt;&gt;0))),"违规：股数须为100股整数倍",IF(AND(OR(AL168&lt;&gt;"",AN168&lt;&gt;""),OR(_LockStatus="已锁仓",_LockStatus="解锁信息不完整")),"违规：锁仓期间禁止加仓",IF(AQ168&gt;C168*D168,"违规：超过单笔风险上限",IF(SUM($AQ$2:$AQ$201)&gt;账户数据!$B$7,"违规：超过账户风险上限","通过")))))))))</f>
        <v/>
      </c>
    </row>
    <row r="169">
      <c r="A169" s="2" t="n"/>
      <c r="B169" s="2" t="n"/>
      <c r="C169" s="40" t="n"/>
      <c r="D169" s="6" t="n"/>
      <c r="E169" s="40" t="n"/>
      <c r="F169" s="8">
        <f>IF(OR(C169="",D169="",E169="",N169="",C169&lt;=0,D169&lt;=0,E169&lt;=N169),"",ROUNDDOWN((C169*D169)/(E169-N169)/100,0)*100)</f>
        <v/>
      </c>
      <c r="G169" s="8">
        <f>IF(A169="","",IF(H169&lt;&gt;"","已开仓",IF(账户数据!$B$23="已锁仓","禁止开仓：连续亏损达到上限",IF(账户数据!$B$23="解锁信息不完整","禁止开仓：请完整填写解锁信息",IF(OR(F169="",E169="",N169="",E169&lt;=N169,账户数据!$B$7=""),"",IF(OR(AG169="",AH169="",AI169=""),"禁止开仓：交易预期未填写完整",IF(COUNTIFS(持仓跟踪!$A$2:$A$501,"止损计划",持仓跟踪!$B$2:$B$501,A169,持仓跟踪!$AC$2:$AC$501,"计划有效")=0,"禁止开仓：请先填写止损计划",IF(账户数据!$B$9+F169*(E169-N169)&gt;=账户数据!$B$7,"禁止开仓：风险额度不足",IF(AJ169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69" s="2" t="n"/>
      <c r="I169" s="41" t="n"/>
      <c r="J169" s="40" t="n"/>
      <c r="K169" s="46">
        <f>IF(A169="","",IFERROR(LOOKUP(2,1/((持仓跟踪!$B$2:$B$501=A169)*(持仓跟踪!$X$2:$X$501="执行卖出")*(持仓跟踪!$Y$2:$Y$501&lt;&gt;"")),持仓跟踪!$Y$2:$Y$501),""))</f>
        <v/>
      </c>
      <c r="L169" s="33">
        <f>IF(A169="","",IFERROR(LOOKUP(2,1/((持仓跟踪!$B$2:$B$501=A169)*(持仓跟踪!$X$2:$X$501="执行卖出")*(持仓跟踪!$Z$2:$Z$501&lt;&gt;"")),持仓跟踪!$Z$2:$Z$501),""))</f>
        <v/>
      </c>
      <c r="M169" s="47">
        <f>IF(A169="","",IFERROR(LOOKUP(2,1/((持仓跟踪!$B$2:$B$501=A169)*(持仓跟踪!$X$2:$X$501="执行卖出")*(持仓跟踪!$H$2:$H$501&lt;&gt;"")),持仓跟踪!$H$2:$H$501),""))</f>
        <v/>
      </c>
      <c r="N169" s="40" t="n"/>
      <c r="O169" s="40" t="n"/>
      <c r="P169" s="46">
        <f>IF(A169="","",IFERROR(LOOKUP(2,1/((持仓跟踪!$B$2:$B$501=A169)*(持仓跟踪!$X$2:$X$501="执行卖出")*(持仓跟踪!$AA$2:$AA$501&lt;&gt;"")),持仓跟踪!$AA$2:$AA$501),""))</f>
        <v/>
      </c>
      <c r="Q169" s="2" t="n"/>
      <c r="R169" s="2" t="n"/>
      <c r="S169" s="2" t="n"/>
      <c r="T169" s="2" t="n"/>
      <c r="U169" s="7">
        <f>IF(OR(AO169="",J169="",AO169&lt;=0),"",(J169-AO169)/AO169)</f>
        <v/>
      </c>
      <c r="V169" s="7">
        <f>IF(OR(AO169="",N169="",AO169&lt;=0),"",(AO169-N169)/AO169)</f>
        <v/>
      </c>
      <c r="W169" s="13">
        <f>IF(OR(U169="",V169="",V169&lt;=0),"",U169/V169)</f>
        <v/>
      </c>
      <c r="X169" s="42">
        <f>IF(OR(K169="",L169="",AP169=""),"",K169*L169-(E169*H169+IF(AND(AK169&lt;&gt;"",AL169&lt;&gt;""),AK169*AL169,0)+IF(AND(AM169&lt;&gt;"",AN169&lt;&gt;""),AM169*AN169,0))-IF(O169="",0,O169)-IF(P169="",0,P169))</f>
        <v/>
      </c>
      <c r="Y169" s="7">
        <f>IF(OR(X169="",AP169=""),"",IF((E169*H169+IF(AND(AK169&lt;&gt;"",AL169&lt;&gt;""),AK169*AL169,0)+IF(AND(AM169&lt;&gt;"",AN169&lt;&gt;""),AM169*AN169,0))+IF(O169="",0,O169)&lt;=0,"",X169/((E169*H169+IF(AND(AK169&lt;&gt;"",AL169&lt;&gt;""),AK169*AL169,0)+IF(AND(AM169&lt;&gt;"",AN169&lt;&gt;""),AM169*AN169,0))+IF(O169="",0,O169))))</f>
        <v/>
      </c>
      <c r="Z169" s="7">
        <f>IF(OR(AE169="",多次统计数据!$B$8=""),"",AE169-多次统计数据!$B$8)</f>
        <v/>
      </c>
      <c r="AA169" s="14">
        <f>IF(OR(I169="",M169="",M169&lt;I169),"",M169-I169)</f>
        <v/>
      </c>
      <c r="AB169" s="7">
        <f>IF(OR(A169="",多次统计数据!$B$8="",多次统计数据!$B$6&lt;=0,多次统计数据!$B$6&gt;=1),"",1-POWER(1+多次统计数据!$B$8,-多次统计数据!$B$6/(1-多次统计数据!$B$6)))</f>
        <v/>
      </c>
      <c r="AC169" s="8">
        <f>IF(OR(AB169="",多次统计数据!$B$9=""),"",IF(多次统计数据!$B$9&lt;AB169,"低于上限","达到或超过上限"))</f>
        <v/>
      </c>
      <c r="AD169" s="2" t="n"/>
      <c r="AE169" s="7">
        <f>IF(OR(X169="",C169="",C169&lt;=0),"",X169/C169)</f>
        <v/>
      </c>
      <c r="AG169" s="28" t="n"/>
      <c r="AH169" s="28" t="n"/>
      <c r="AI169" s="28" t="n"/>
      <c r="AJ169" s="31">
        <f>IF(OR(AG169="",AH169=""),"",IF(OR(AND(AG169="短期博反弹",OR(AH169="1～3个交易日",AH169="4～10个交易日")),AND(AG169="突破冲新高",OR(AH169="4～10个交易日",AH169="11～20个交易日")),AND(AG169="趋势波段",OR(AH169="11～20个交易日",AH169="21～60个交易日",AH169="60个交易日以上"))),"匹配","周期与交易预期不匹配，请重新确认"))</f>
        <v/>
      </c>
      <c r="AK169" s="43" t="n"/>
      <c r="AL169" s="27" t="n"/>
      <c r="AM169" s="43" t="n"/>
      <c r="AN169" s="27" t="n"/>
      <c r="AO169" s="44">
        <f>IF(OR(A169="",H169="",H169&lt;=0),"",(E169*H169+IF(AND(AK169&lt;&gt;"",AL169&lt;&gt;""),AK169*AL169,0)+IF(AND(AM169&lt;&gt;"",AN169&lt;&gt;""),AM169*AN169,0))/AP169)</f>
        <v/>
      </c>
      <c r="AP169" s="26">
        <f>IF(OR(A169="",H169="",H169&lt;=0),"",H169+IF(AL169="",0,AL169)+IF(AN169="",0,AN169))</f>
        <v/>
      </c>
      <c r="AQ169" s="44">
        <f>IF(A169="","",IF(M169&lt;&gt;"",0,IF(OR(H169="",N169=""),"",MAX(E169-MAX(N169,IFERROR(AGGREGATE(14,6,'持仓跟踪'!$S$2:$S$501/(('持仓跟踪'!$A$2:$A$501="每日跟踪")*('持仓跟踪'!$B$2:$B$501=A169)),1),0)),0)*H169+IF(OR(AK169="",AL169=""),0,MAX(AK169-MAX(N169,IFERROR(AGGREGATE(14,6,'持仓跟踪'!$S$2:$S$501/(('持仓跟踪'!$A$2:$A$501="每日跟踪")*('持仓跟踪'!$B$2:$B$501=A169)),1),0)),0)*AL169)+IF(OR(AM169="",AN169=""),0,MAX(AM169-MAX(N169,IFERROR(AGGREGATE(14,6,'持仓跟踪'!$S$2:$S$501/(('持仓跟踪'!$A$2:$A$501="每日跟踪")*('持仓跟踪'!$B$2:$B$501=A169)),1),0)),0)*AN169))))</f>
        <v/>
      </c>
      <c r="AR169" s="31">
        <f>IF(A169="","",IF(OR(E169="",H169=""),"违规：第一批价格或股数缺失",IF(OR(AND(AK169="",AL169&lt;&gt;""),AND(AK169&lt;&gt;"",AL169="")),"违规：第二批价格与股数须成对填写",IF(OR(AND(AM169="",AN169&lt;&gt;""),AND(AM169&lt;&gt;"",AN169="")),"违规：第三批价格与股数须成对填写",IF(AND(OR(AM169&lt;&gt;"",AN169&lt;&gt;""),OR(AK169="",AL169="")),"违规：必须先完成第二批",IF(OR(H169&lt;=0,H169&lt;&gt;INT(H169),MOD(H169,100)&lt;&gt;0,AND(AL169&lt;&gt;"",OR(AL169&lt;=0,AL169&lt;&gt;INT(AL169),MOD(AL169,100)&lt;&gt;0)),AND(AN169&lt;&gt;"",OR(AN169&lt;=0,AN169&lt;&gt;INT(AN169),MOD(AN169,100)&lt;&gt;0))),"违规：股数须为100股整数倍",IF(AND(OR(AL169&lt;&gt;"",AN169&lt;&gt;""),OR(_LockStatus="已锁仓",_LockStatus="解锁信息不完整")),"违规：锁仓期间禁止加仓",IF(AQ169&gt;C169*D169,"违规：超过单笔风险上限",IF(SUM($AQ$2:$AQ$201)&gt;账户数据!$B$7,"违规：超过账户风险上限","通过")))))))))</f>
        <v/>
      </c>
    </row>
    <row r="170">
      <c r="A170" s="2" t="n"/>
      <c r="B170" s="2" t="n"/>
      <c r="C170" s="40" t="n"/>
      <c r="D170" s="6" t="n"/>
      <c r="E170" s="40" t="n"/>
      <c r="F170" s="8">
        <f>IF(OR(C170="",D170="",E170="",N170="",C170&lt;=0,D170&lt;=0,E170&lt;=N170),"",ROUNDDOWN((C170*D170)/(E170-N170)/100,0)*100)</f>
        <v/>
      </c>
      <c r="G170" s="8">
        <f>IF(A170="","",IF(H170&lt;&gt;"","已开仓",IF(账户数据!$B$23="已锁仓","禁止开仓：连续亏损达到上限",IF(账户数据!$B$23="解锁信息不完整","禁止开仓：请完整填写解锁信息",IF(OR(F170="",E170="",N170="",E170&lt;=N170,账户数据!$B$7=""),"",IF(OR(AG170="",AH170="",AI170=""),"禁止开仓：交易预期未填写完整",IF(COUNTIFS(持仓跟踪!$A$2:$A$501,"止损计划",持仓跟踪!$B$2:$B$501,A170,持仓跟踪!$AC$2:$AC$501,"计划有效")=0,"禁止开仓：请先填写止损计划",IF(账户数据!$B$9+F170*(E170-N170)&gt;=账户数据!$B$7,"禁止开仓：风险额度不足",IF(AJ170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0" s="2" t="n"/>
      <c r="I170" s="41" t="n"/>
      <c r="J170" s="40" t="n"/>
      <c r="K170" s="46">
        <f>IF(A170="","",IFERROR(LOOKUP(2,1/((持仓跟踪!$B$2:$B$501=A170)*(持仓跟踪!$X$2:$X$501="执行卖出")*(持仓跟踪!$Y$2:$Y$501&lt;&gt;"")),持仓跟踪!$Y$2:$Y$501),""))</f>
        <v/>
      </c>
      <c r="L170" s="33">
        <f>IF(A170="","",IFERROR(LOOKUP(2,1/((持仓跟踪!$B$2:$B$501=A170)*(持仓跟踪!$X$2:$X$501="执行卖出")*(持仓跟踪!$Z$2:$Z$501&lt;&gt;"")),持仓跟踪!$Z$2:$Z$501),""))</f>
        <v/>
      </c>
      <c r="M170" s="47">
        <f>IF(A170="","",IFERROR(LOOKUP(2,1/((持仓跟踪!$B$2:$B$501=A170)*(持仓跟踪!$X$2:$X$501="执行卖出")*(持仓跟踪!$H$2:$H$501&lt;&gt;"")),持仓跟踪!$H$2:$H$501),""))</f>
        <v/>
      </c>
      <c r="N170" s="40" t="n"/>
      <c r="O170" s="40" t="n"/>
      <c r="P170" s="46">
        <f>IF(A170="","",IFERROR(LOOKUP(2,1/((持仓跟踪!$B$2:$B$501=A170)*(持仓跟踪!$X$2:$X$501="执行卖出")*(持仓跟踪!$AA$2:$AA$501&lt;&gt;"")),持仓跟踪!$AA$2:$AA$501),""))</f>
        <v/>
      </c>
      <c r="Q170" s="2" t="n"/>
      <c r="R170" s="2" t="n"/>
      <c r="S170" s="2" t="n"/>
      <c r="T170" s="2" t="n"/>
      <c r="U170" s="7">
        <f>IF(OR(AO170="",J170="",AO170&lt;=0),"",(J170-AO170)/AO170)</f>
        <v/>
      </c>
      <c r="V170" s="7">
        <f>IF(OR(AO170="",N170="",AO170&lt;=0),"",(AO170-N170)/AO170)</f>
        <v/>
      </c>
      <c r="W170" s="13">
        <f>IF(OR(U170="",V170="",V170&lt;=0),"",U170/V170)</f>
        <v/>
      </c>
      <c r="X170" s="42">
        <f>IF(OR(K170="",L170="",AP170=""),"",K170*L170-(E170*H170+IF(AND(AK170&lt;&gt;"",AL170&lt;&gt;""),AK170*AL170,0)+IF(AND(AM170&lt;&gt;"",AN170&lt;&gt;""),AM170*AN170,0))-IF(O170="",0,O170)-IF(P170="",0,P170))</f>
        <v/>
      </c>
      <c r="Y170" s="7">
        <f>IF(OR(X170="",AP170=""),"",IF((E170*H170+IF(AND(AK170&lt;&gt;"",AL170&lt;&gt;""),AK170*AL170,0)+IF(AND(AM170&lt;&gt;"",AN170&lt;&gt;""),AM170*AN170,0))+IF(O170="",0,O170)&lt;=0,"",X170/((E170*H170+IF(AND(AK170&lt;&gt;"",AL170&lt;&gt;""),AK170*AL170,0)+IF(AND(AM170&lt;&gt;"",AN170&lt;&gt;""),AM170*AN170,0))+IF(O170="",0,O170))))</f>
        <v/>
      </c>
      <c r="Z170" s="7">
        <f>IF(OR(AE170="",多次统计数据!$B$8=""),"",AE170-多次统计数据!$B$8)</f>
        <v/>
      </c>
      <c r="AA170" s="14">
        <f>IF(OR(I170="",M170="",M170&lt;I170),"",M170-I170)</f>
        <v/>
      </c>
      <c r="AB170" s="7">
        <f>IF(OR(A170="",多次统计数据!$B$8="",多次统计数据!$B$6&lt;=0,多次统计数据!$B$6&gt;=1),"",1-POWER(1+多次统计数据!$B$8,-多次统计数据!$B$6/(1-多次统计数据!$B$6)))</f>
        <v/>
      </c>
      <c r="AC170" s="8">
        <f>IF(OR(AB170="",多次统计数据!$B$9=""),"",IF(多次统计数据!$B$9&lt;AB170,"低于上限","达到或超过上限"))</f>
        <v/>
      </c>
      <c r="AD170" s="2" t="n"/>
      <c r="AE170" s="7">
        <f>IF(OR(X170="",C170="",C170&lt;=0),"",X170/C170)</f>
        <v/>
      </c>
      <c r="AG170" s="28" t="n"/>
      <c r="AH170" s="28" t="n"/>
      <c r="AI170" s="28" t="n"/>
      <c r="AJ170" s="31">
        <f>IF(OR(AG170="",AH170=""),"",IF(OR(AND(AG170="短期博反弹",OR(AH170="1～3个交易日",AH170="4～10个交易日")),AND(AG170="突破冲新高",OR(AH170="4～10个交易日",AH170="11～20个交易日")),AND(AG170="趋势波段",OR(AH170="11～20个交易日",AH170="21～60个交易日",AH170="60个交易日以上"))),"匹配","周期与交易预期不匹配，请重新确认"))</f>
        <v/>
      </c>
      <c r="AK170" s="43" t="n"/>
      <c r="AL170" s="27" t="n"/>
      <c r="AM170" s="43" t="n"/>
      <c r="AN170" s="27" t="n"/>
      <c r="AO170" s="44">
        <f>IF(OR(A170="",H170="",H170&lt;=0),"",(E170*H170+IF(AND(AK170&lt;&gt;"",AL170&lt;&gt;""),AK170*AL170,0)+IF(AND(AM170&lt;&gt;"",AN170&lt;&gt;""),AM170*AN170,0))/AP170)</f>
        <v/>
      </c>
      <c r="AP170" s="26">
        <f>IF(OR(A170="",H170="",H170&lt;=0),"",H170+IF(AL170="",0,AL170)+IF(AN170="",0,AN170))</f>
        <v/>
      </c>
      <c r="AQ170" s="44">
        <f>IF(A170="","",IF(M170&lt;&gt;"",0,IF(OR(H170="",N170=""),"",MAX(E170-MAX(N170,IFERROR(AGGREGATE(14,6,'持仓跟踪'!$S$2:$S$501/(('持仓跟踪'!$A$2:$A$501="每日跟踪")*('持仓跟踪'!$B$2:$B$501=A170)),1),0)),0)*H170+IF(OR(AK170="",AL170=""),0,MAX(AK170-MAX(N170,IFERROR(AGGREGATE(14,6,'持仓跟踪'!$S$2:$S$501/(('持仓跟踪'!$A$2:$A$501="每日跟踪")*('持仓跟踪'!$B$2:$B$501=A170)),1),0)),0)*AL170)+IF(OR(AM170="",AN170=""),0,MAX(AM170-MAX(N170,IFERROR(AGGREGATE(14,6,'持仓跟踪'!$S$2:$S$501/(('持仓跟踪'!$A$2:$A$501="每日跟踪")*('持仓跟踪'!$B$2:$B$501=A170)),1),0)),0)*AN170))))</f>
        <v/>
      </c>
      <c r="AR170" s="31">
        <f>IF(A170="","",IF(OR(E170="",H170=""),"违规：第一批价格或股数缺失",IF(OR(AND(AK170="",AL170&lt;&gt;""),AND(AK170&lt;&gt;"",AL170="")),"违规：第二批价格与股数须成对填写",IF(OR(AND(AM170="",AN170&lt;&gt;""),AND(AM170&lt;&gt;"",AN170="")),"违规：第三批价格与股数须成对填写",IF(AND(OR(AM170&lt;&gt;"",AN170&lt;&gt;""),OR(AK170="",AL170="")),"违规：必须先完成第二批",IF(OR(H170&lt;=0,H170&lt;&gt;INT(H170),MOD(H170,100)&lt;&gt;0,AND(AL170&lt;&gt;"",OR(AL170&lt;=0,AL170&lt;&gt;INT(AL170),MOD(AL170,100)&lt;&gt;0)),AND(AN170&lt;&gt;"",OR(AN170&lt;=0,AN170&lt;&gt;INT(AN170),MOD(AN170,100)&lt;&gt;0))),"违规：股数须为100股整数倍",IF(AND(OR(AL170&lt;&gt;"",AN170&lt;&gt;""),OR(_LockStatus="已锁仓",_LockStatus="解锁信息不完整")),"违规：锁仓期间禁止加仓",IF(AQ170&gt;C170*D170,"违规：超过单笔风险上限",IF(SUM($AQ$2:$AQ$201)&gt;账户数据!$B$7,"违规：超过账户风险上限","通过")))))))))</f>
        <v/>
      </c>
    </row>
    <row r="171">
      <c r="A171" s="2" t="n"/>
      <c r="B171" s="2" t="n"/>
      <c r="C171" s="40" t="n"/>
      <c r="D171" s="6" t="n"/>
      <c r="E171" s="40" t="n"/>
      <c r="F171" s="8">
        <f>IF(OR(C171="",D171="",E171="",N171="",C171&lt;=0,D171&lt;=0,E171&lt;=N171),"",ROUNDDOWN((C171*D171)/(E171-N171)/100,0)*100)</f>
        <v/>
      </c>
      <c r="G171" s="8">
        <f>IF(A171="","",IF(H171&lt;&gt;"","已开仓",IF(账户数据!$B$23="已锁仓","禁止开仓：连续亏损达到上限",IF(账户数据!$B$23="解锁信息不完整","禁止开仓：请完整填写解锁信息",IF(OR(F171="",E171="",N171="",E171&lt;=N171,账户数据!$B$7=""),"",IF(OR(AG171="",AH171="",AI171=""),"禁止开仓：交易预期未填写完整",IF(COUNTIFS(持仓跟踪!$A$2:$A$501,"止损计划",持仓跟踪!$B$2:$B$501,A171,持仓跟踪!$AC$2:$AC$501,"计划有效")=0,"禁止开仓：请先填写止损计划",IF(账户数据!$B$9+F171*(E171-N171)&gt;=账户数据!$B$7,"禁止开仓：风险额度不足",IF(AJ171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1" s="2" t="n"/>
      <c r="I171" s="41" t="n"/>
      <c r="J171" s="40" t="n"/>
      <c r="K171" s="46">
        <f>IF(A171="","",IFERROR(LOOKUP(2,1/((持仓跟踪!$B$2:$B$501=A171)*(持仓跟踪!$X$2:$X$501="执行卖出")*(持仓跟踪!$Y$2:$Y$501&lt;&gt;"")),持仓跟踪!$Y$2:$Y$501),""))</f>
        <v/>
      </c>
      <c r="L171" s="33">
        <f>IF(A171="","",IFERROR(LOOKUP(2,1/((持仓跟踪!$B$2:$B$501=A171)*(持仓跟踪!$X$2:$X$501="执行卖出")*(持仓跟踪!$Z$2:$Z$501&lt;&gt;"")),持仓跟踪!$Z$2:$Z$501),""))</f>
        <v/>
      </c>
      <c r="M171" s="47">
        <f>IF(A171="","",IFERROR(LOOKUP(2,1/((持仓跟踪!$B$2:$B$501=A171)*(持仓跟踪!$X$2:$X$501="执行卖出")*(持仓跟踪!$H$2:$H$501&lt;&gt;"")),持仓跟踪!$H$2:$H$501),""))</f>
        <v/>
      </c>
      <c r="N171" s="40" t="n"/>
      <c r="O171" s="40" t="n"/>
      <c r="P171" s="46">
        <f>IF(A171="","",IFERROR(LOOKUP(2,1/((持仓跟踪!$B$2:$B$501=A171)*(持仓跟踪!$X$2:$X$501="执行卖出")*(持仓跟踪!$AA$2:$AA$501&lt;&gt;"")),持仓跟踪!$AA$2:$AA$501),""))</f>
        <v/>
      </c>
      <c r="Q171" s="2" t="n"/>
      <c r="R171" s="2" t="n"/>
      <c r="S171" s="2" t="n"/>
      <c r="T171" s="2" t="n"/>
      <c r="U171" s="7">
        <f>IF(OR(AO171="",J171="",AO171&lt;=0),"",(J171-AO171)/AO171)</f>
        <v/>
      </c>
      <c r="V171" s="7">
        <f>IF(OR(AO171="",N171="",AO171&lt;=0),"",(AO171-N171)/AO171)</f>
        <v/>
      </c>
      <c r="W171" s="13">
        <f>IF(OR(U171="",V171="",V171&lt;=0),"",U171/V171)</f>
        <v/>
      </c>
      <c r="X171" s="42">
        <f>IF(OR(K171="",L171="",AP171=""),"",K171*L171-(E171*H171+IF(AND(AK171&lt;&gt;"",AL171&lt;&gt;""),AK171*AL171,0)+IF(AND(AM171&lt;&gt;"",AN171&lt;&gt;""),AM171*AN171,0))-IF(O171="",0,O171)-IF(P171="",0,P171))</f>
        <v/>
      </c>
      <c r="Y171" s="7">
        <f>IF(OR(X171="",AP171=""),"",IF((E171*H171+IF(AND(AK171&lt;&gt;"",AL171&lt;&gt;""),AK171*AL171,0)+IF(AND(AM171&lt;&gt;"",AN171&lt;&gt;""),AM171*AN171,0))+IF(O171="",0,O171)&lt;=0,"",X171/((E171*H171+IF(AND(AK171&lt;&gt;"",AL171&lt;&gt;""),AK171*AL171,0)+IF(AND(AM171&lt;&gt;"",AN171&lt;&gt;""),AM171*AN171,0))+IF(O171="",0,O171))))</f>
        <v/>
      </c>
      <c r="Z171" s="7">
        <f>IF(OR(AE171="",多次统计数据!$B$8=""),"",AE171-多次统计数据!$B$8)</f>
        <v/>
      </c>
      <c r="AA171" s="14">
        <f>IF(OR(I171="",M171="",M171&lt;I171),"",M171-I171)</f>
        <v/>
      </c>
      <c r="AB171" s="7">
        <f>IF(OR(A171="",多次统计数据!$B$8="",多次统计数据!$B$6&lt;=0,多次统计数据!$B$6&gt;=1),"",1-POWER(1+多次统计数据!$B$8,-多次统计数据!$B$6/(1-多次统计数据!$B$6)))</f>
        <v/>
      </c>
      <c r="AC171" s="8">
        <f>IF(OR(AB171="",多次统计数据!$B$9=""),"",IF(多次统计数据!$B$9&lt;AB171,"低于上限","达到或超过上限"))</f>
        <v/>
      </c>
      <c r="AD171" s="2" t="n"/>
      <c r="AE171" s="7">
        <f>IF(OR(X171="",C171="",C171&lt;=0),"",X171/C171)</f>
        <v/>
      </c>
      <c r="AG171" s="28" t="n"/>
      <c r="AH171" s="28" t="n"/>
      <c r="AI171" s="28" t="n"/>
      <c r="AJ171" s="31">
        <f>IF(OR(AG171="",AH171=""),"",IF(OR(AND(AG171="短期博反弹",OR(AH171="1～3个交易日",AH171="4～10个交易日")),AND(AG171="突破冲新高",OR(AH171="4～10个交易日",AH171="11～20个交易日")),AND(AG171="趋势波段",OR(AH171="11～20个交易日",AH171="21～60个交易日",AH171="60个交易日以上"))),"匹配","周期与交易预期不匹配，请重新确认"))</f>
        <v/>
      </c>
      <c r="AK171" s="43" t="n"/>
      <c r="AL171" s="27" t="n"/>
      <c r="AM171" s="43" t="n"/>
      <c r="AN171" s="27" t="n"/>
      <c r="AO171" s="44">
        <f>IF(OR(A171="",H171="",H171&lt;=0),"",(E171*H171+IF(AND(AK171&lt;&gt;"",AL171&lt;&gt;""),AK171*AL171,0)+IF(AND(AM171&lt;&gt;"",AN171&lt;&gt;""),AM171*AN171,0))/AP171)</f>
        <v/>
      </c>
      <c r="AP171" s="26">
        <f>IF(OR(A171="",H171="",H171&lt;=0),"",H171+IF(AL171="",0,AL171)+IF(AN171="",0,AN171))</f>
        <v/>
      </c>
      <c r="AQ171" s="44">
        <f>IF(A171="","",IF(M171&lt;&gt;"",0,IF(OR(H171="",N171=""),"",MAX(E171-MAX(N171,IFERROR(AGGREGATE(14,6,'持仓跟踪'!$S$2:$S$501/(('持仓跟踪'!$A$2:$A$501="每日跟踪")*('持仓跟踪'!$B$2:$B$501=A171)),1),0)),0)*H171+IF(OR(AK171="",AL171=""),0,MAX(AK171-MAX(N171,IFERROR(AGGREGATE(14,6,'持仓跟踪'!$S$2:$S$501/(('持仓跟踪'!$A$2:$A$501="每日跟踪")*('持仓跟踪'!$B$2:$B$501=A171)),1),0)),0)*AL171)+IF(OR(AM171="",AN171=""),0,MAX(AM171-MAX(N171,IFERROR(AGGREGATE(14,6,'持仓跟踪'!$S$2:$S$501/(('持仓跟踪'!$A$2:$A$501="每日跟踪")*('持仓跟踪'!$B$2:$B$501=A171)),1),0)),0)*AN171))))</f>
        <v/>
      </c>
      <c r="AR171" s="31">
        <f>IF(A171="","",IF(OR(E171="",H171=""),"违规：第一批价格或股数缺失",IF(OR(AND(AK171="",AL171&lt;&gt;""),AND(AK171&lt;&gt;"",AL171="")),"违规：第二批价格与股数须成对填写",IF(OR(AND(AM171="",AN171&lt;&gt;""),AND(AM171&lt;&gt;"",AN171="")),"违规：第三批价格与股数须成对填写",IF(AND(OR(AM171&lt;&gt;"",AN171&lt;&gt;""),OR(AK171="",AL171="")),"违规：必须先完成第二批",IF(OR(H171&lt;=0,H171&lt;&gt;INT(H171),MOD(H171,100)&lt;&gt;0,AND(AL171&lt;&gt;"",OR(AL171&lt;=0,AL171&lt;&gt;INT(AL171),MOD(AL171,100)&lt;&gt;0)),AND(AN171&lt;&gt;"",OR(AN171&lt;=0,AN171&lt;&gt;INT(AN171),MOD(AN171,100)&lt;&gt;0))),"违规：股数须为100股整数倍",IF(AND(OR(AL171&lt;&gt;"",AN171&lt;&gt;""),OR(_LockStatus="已锁仓",_LockStatus="解锁信息不完整")),"违规：锁仓期间禁止加仓",IF(AQ171&gt;C171*D171,"违规：超过单笔风险上限",IF(SUM($AQ$2:$AQ$201)&gt;账户数据!$B$7,"违规：超过账户风险上限","通过")))))))))</f>
        <v/>
      </c>
    </row>
    <row r="172">
      <c r="A172" s="2" t="n"/>
      <c r="B172" s="2" t="n"/>
      <c r="C172" s="40" t="n"/>
      <c r="D172" s="6" t="n"/>
      <c r="E172" s="40" t="n"/>
      <c r="F172" s="8">
        <f>IF(OR(C172="",D172="",E172="",N172="",C172&lt;=0,D172&lt;=0,E172&lt;=N172),"",ROUNDDOWN((C172*D172)/(E172-N172)/100,0)*100)</f>
        <v/>
      </c>
      <c r="G172" s="8">
        <f>IF(A172="","",IF(H172&lt;&gt;"","已开仓",IF(账户数据!$B$23="已锁仓","禁止开仓：连续亏损达到上限",IF(账户数据!$B$23="解锁信息不完整","禁止开仓：请完整填写解锁信息",IF(OR(F172="",E172="",N172="",E172&lt;=N172,账户数据!$B$7=""),"",IF(OR(AG172="",AH172="",AI172=""),"禁止开仓：交易预期未填写完整",IF(COUNTIFS(持仓跟踪!$A$2:$A$501,"止损计划",持仓跟踪!$B$2:$B$501,A172,持仓跟踪!$AC$2:$AC$501,"计划有效")=0,"禁止开仓：请先填写止损计划",IF(账户数据!$B$9+F172*(E172-N172)&gt;=账户数据!$B$7,"禁止开仓：风险额度不足",IF(AJ172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2" s="2" t="n"/>
      <c r="I172" s="41" t="n"/>
      <c r="J172" s="40" t="n"/>
      <c r="K172" s="46">
        <f>IF(A172="","",IFERROR(LOOKUP(2,1/((持仓跟踪!$B$2:$B$501=A172)*(持仓跟踪!$X$2:$X$501="执行卖出")*(持仓跟踪!$Y$2:$Y$501&lt;&gt;"")),持仓跟踪!$Y$2:$Y$501),""))</f>
        <v/>
      </c>
      <c r="L172" s="33">
        <f>IF(A172="","",IFERROR(LOOKUP(2,1/((持仓跟踪!$B$2:$B$501=A172)*(持仓跟踪!$X$2:$X$501="执行卖出")*(持仓跟踪!$Z$2:$Z$501&lt;&gt;"")),持仓跟踪!$Z$2:$Z$501),""))</f>
        <v/>
      </c>
      <c r="M172" s="47">
        <f>IF(A172="","",IFERROR(LOOKUP(2,1/((持仓跟踪!$B$2:$B$501=A172)*(持仓跟踪!$X$2:$X$501="执行卖出")*(持仓跟踪!$H$2:$H$501&lt;&gt;"")),持仓跟踪!$H$2:$H$501),""))</f>
        <v/>
      </c>
      <c r="N172" s="40" t="n"/>
      <c r="O172" s="40" t="n"/>
      <c r="P172" s="46">
        <f>IF(A172="","",IFERROR(LOOKUP(2,1/((持仓跟踪!$B$2:$B$501=A172)*(持仓跟踪!$X$2:$X$501="执行卖出")*(持仓跟踪!$AA$2:$AA$501&lt;&gt;"")),持仓跟踪!$AA$2:$AA$501),""))</f>
        <v/>
      </c>
      <c r="Q172" s="2" t="n"/>
      <c r="R172" s="2" t="n"/>
      <c r="S172" s="2" t="n"/>
      <c r="T172" s="2" t="n"/>
      <c r="U172" s="7">
        <f>IF(OR(AO172="",J172="",AO172&lt;=0),"",(J172-AO172)/AO172)</f>
        <v/>
      </c>
      <c r="V172" s="7">
        <f>IF(OR(AO172="",N172="",AO172&lt;=0),"",(AO172-N172)/AO172)</f>
        <v/>
      </c>
      <c r="W172" s="13">
        <f>IF(OR(U172="",V172="",V172&lt;=0),"",U172/V172)</f>
        <v/>
      </c>
      <c r="X172" s="42">
        <f>IF(OR(K172="",L172="",AP172=""),"",K172*L172-(E172*H172+IF(AND(AK172&lt;&gt;"",AL172&lt;&gt;""),AK172*AL172,0)+IF(AND(AM172&lt;&gt;"",AN172&lt;&gt;""),AM172*AN172,0))-IF(O172="",0,O172)-IF(P172="",0,P172))</f>
        <v/>
      </c>
      <c r="Y172" s="7">
        <f>IF(OR(X172="",AP172=""),"",IF((E172*H172+IF(AND(AK172&lt;&gt;"",AL172&lt;&gt;""),AK172*AL172,0)+IF(AND(AM172&lt;&gt;"",AN172&lt;&gt;""),AM172*AN172,0))+IF(O172="",0,O172)&lt;=0,"",X172/((E172*H172+IF(AND(AK172&lt;&gt;"",AL172&lt;&gt;""),AK172*AL172,0)+IF(AND(AM172&lt;&gt;"",AN172&lt;&gt;""),AM172*AN172,0))+IF(O172="",0,O172))))</f>
        <v/>
      </c>
      <c r="Z172" s="7">
        <f>IF(OR(AE172="",多次统计数据!$B$8=""),"",AE172-多次统计数据!$B$8)</f>
        <v/>
      </c>
      <c r="AA172" s="14">
        <f>IF(OR(I172="",M172="",M172&lt;I172),"",M172-I172)</f>
        <v/>
      </c>
      <c r="AB172" s="7">
        <f>IF(OR(A172="",多次统计数据!$B$8="",多次统计数据!$B$6&lt;=0,多次统计数据!$B$6&gt;=1),"",1-POWER(1+多次统计数据!$B$8,-多次统计数据!$B$6/(1-多次统计数据!$B$6)))</f>
        <v/>
      </c>
      <c r="AC172" s="8">
        <f>IF(OR(AB172="",多次统计数据!$B$9=""),"",IF(多次统计数据!$B$9&lt;AB172,"低于上限","达到或超过上限"))</f>
        <v/>
      </c>
      <c r="AD172" s="2" t="n"/>
      <c r="AE172" s="7">
        <f>IF(OR(X172="",C172="",C172&lt;=0),"",X172/C172)</f>
        <v/>
      </c>
      <c r="AG172" s="28" t="n"/>
      <c r="AH172" s="28" t="n"/>
      <c r="AI172" s="28" t="n"/>
      <c r="AJ172" s="31">
        <f>IF(OR(AG172="",AH172=""),"",IF(OR(AND(AG172="短期博反弹",OR(AH172="1～3个交易日",AH172="4～10个交易日")),AND(AG172="突破冲新高",OR(AH172="4～10个交易日",AH172="11～20个交易日")),AND(AG172="趋势波段",OR(AH172="11～20个交易日",AH172="21～60个交易日",AH172="60个交易日以上"))),"匹配","周期与交易预期不匹配，请重新确认"))</f>
        <v/>
      </c>
      <c r="AK172" s="43" t="n"/>
      <c r="AL172" s="27" t="n"/>
      <c r="AM172" s="43" t="n"/>
      <c r="AN172" s="27" t="n"/>
      <c r="AO172" s="44">
        <f>IF(OR(A172="",H172="",H172&lt;=0),"",(E172*H172+IF(AND(AK172&lt;&gt;"",AL172&lt;&gt;""),AK172*AL172,0)+IF(AND(AM172&lt;&gt;"",AN172&lt;&gt;""),AM172*AN172,0))/AP172)</f>
        <v/>
      </c>
      <c r="AP172" s="26">
        <f>IF(OR(A172="",H172="",H172&lt;=0),"",H172+IF(AL172="",0,AL172)+IF(AN172="",0,AN172))</f>
        <v/>
      </c>
      <c r="AQ172" s="44">
        <f>IF(A172="","",IF(M172&lt;&gt;"",0,IF(OR(H172="",N172=""),"",MAX(E172-MAX(N172,IFERROR(AGGREGATE(14,6,'持仓跟踪'!$S$2:$S$501/(('持仓跟踪'!$A$2:$A$501="每日跟踪")*('持仓跟踪'!$B$2:$B$501=A172)),1),0)),0)*H172+IF(OR(AK172="",AL172=""),0,MAX(AK172-MAX(N172,IFERROR(AGGREGATE(14,6,'持仓跟踪'!$S$2:$S$501/(('持仓跟踪'!$A$2:$A$501="每日跟踪")*('持仓跟踪'!$B$2:$B$501=A172)),1),0)),0)*AL172)+IF(OR(AM172="",AN172=""),0,MAX(AM172-MAX(N172,IFERROR(AGGREGATE(14,6,'持仓跟踪'!$S$2:$S$501/(('持仓跟踪'!$A$2:$A$501="每日跟踪")*('持仓跟踪'!$B$2:$B$501=A172)),1),0)),0)*AN172))))</f>
        <v/>
      </c>
      <c r="AR172" s="31">
        <f>IF(A172="","",IF(OR(E172="",H172=""),"违规：第一批价格或股数缺失",IF(OR(AND(AK172="",AL172&lt;&gt;""),AND(AK172&lt;&gt;"",AL172="")),"违规：第二批价格与股数须成对填写",IF(OR(AND(AM172="",AN172&lt;&gt;""),AND(AM172&lt;&gt;"",AN172="")),"违规：第三批价格与股数须成对填写",IF(AND(OR(AM172&lt;&gt;"",AN172&lt;&gt;""),OR(AK172="",AL172="")),"违规：必须先完成第二批",IF(OR(H172&lt;=0,H172&lt;&gt;INT(H172),MOD(H172,100)&lt;&gt;0,AND(AL172&lt;&gt;"",OR(AL172&lt;=0,AL172&lt;&gt;INT(AL172),MOD(AL172,100)&lt;&gt;0)),AND(AN172&lt;&gt;"",OR(AN172&lt;=0,AN172&lt;&gt;INT(AN172),MOD(AN172,100)&lt;&gt;0))),"违规：股数须为100股整数倍",IF(AND(OR(AL172&lt;&gt;"",AN172&lt;&gt;""),OR(_LockStatus="已锁仓",_LockStatus="解锁信息不完整")),"违规：锁仓期间禁止加仓",IF(AQ172&gt;C172*D172,"违规：超过单笔风险上限",IF(SUM($AQ$2:$AQ$201)&gt;账户数据!$B$7,"违规：超过账户风险上限","通过")))))))))</f>
        <v/>
      </c>
    </row>
    <row r="173">
      <c r="A173" s="2" t="n"/>
      <c r="B173" s="2" t="n"/>
      <c r="C173" s="40" t="n"/>
      <c r="D173" s="6" t="n"/>
      <c r="E173" s="40" t="n"/>
      <c r="F173" s="8">
        <f>IF(OR(C173="",D173="",E173="",N173="",C173&lt;=0,D173&lt;=0,E173&lt;=N173),"",ROUNDDOWN((C173*D173)/(E173-N173)/100,0)*100)</f>
        <v/>
      </c>
      <c r="G173" s="8">
        <f>IF(A173="","",IF(H173&lt;&gt;"","已开仓",IF(账户数据!$B$23="已锁仓","禁止开仓：连续亏损达到上限",IF(账户数据!$B$23="解锁信息不完整","禁止开仓：请完整填写解锁信息",IF(OR(F173="",E173="",N173="",E173&lt;=N173,账户数据!$B$7=""),"",IF(OR(AG173="",AH173="",AI173=""),"禁止开仓：交易预期未填写完整",IF(COUNTIFS(持仓跟踪!$A$2:$A$501,"止损计划",持仓跟踪!$B$2:$B$501,A173,持仓跟踪!$AC$2:$AC$501,"计划有效")=0,"禁止开仓：请先填写止损计划",IF(账户数据!$B$9+F173*(E173-N173)&gt;=账户数据!$B$7,"禁止开仓：风险额度不足",IF(AJ173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3" s="2" t="n"/>
      <c r="I173" s="41" t="n"/>
      <c r="J173" s="40" t="n"/>
      <c r="K173" s="46">
        <f>IF(A173="","",IFERROR(LOOKUP(2,1/((持仓跟踪!$B$2:$B$501=A173)*(持仓跟踪!$X$2:$X$501="执行卖出")*(持仓跟踪!$Y$2:$Y$501&lt;&gt;"")),持仓跟踪!$Y$2:$Y$501),""))</f>
        <v/>
      </c>
      <c r="L173" s="33">
        <f>IF(A173="","",IFERROR(LOOKUP(2,1/((持仓跟踪!$B$2:$B$501=A173)*(持仓跟踪!$X$2:$X$501="执行卖出")*(持仓跟踪!$Z$2:$Z$501&lt;&gt;"")),持仓跟踪!$Z$2:$Z$501),""))</f>
        <v/>
      </c>
      <c r="M173" s="47">
        <f>IF(A173="","",IFERROR(LOOKUP(2,1/((持仓跟踪!$B$2:$B$501=A173)*(持仓跟踪!$X$2:$X$501="执行卖出")*(持仓跟踪!$H$2:$H$501&lt;&gt;"")),持仓跟踪!$H$2:$H$501),""))</f>
        <v/>
      </c>
      <c r="N173" s="40" t="n"/>
      <c r="O173" s="40" t="n"/>
      <c r="P173" s="46">
        <f>IF(A173="","",IFERROR(LOOKUP(2,1/((持仓跟踪!$B$2:$B$501=A173)*(持仓跟踪!$X$2:$X$501="执行卖出")*(持仓跟踪!$AA$2:$AA$501&lt;&gt;"")),持仓跟踪!$AA$2:$AA$501),""))</f>
        <v/>
      </c>
      <c r="Q173" s="2" t="n"/>
      <c r="R173" s="2" t="n"/>
      <c r="S173" s="2" t="n"/>
      <c r="T173" s="2" t="n"/>
      <c r="U173" s="7">
        <f>IF(OR(AO173="",J173="",AO173&lt;=0),"",(J173-AO173)/AO173)</f>
        <v/>
      </c>
      <c r="V173" s="7">
        <f>IF(OR(AO173="",N173="",AO173&lt;=0),"",(AO173-N173)/AO173)</f>
        <v/>
      </c>
      <c r="W173" s="13">
        <f>IF(OR(U173="",V173="",V173&lt;=0),"",U173/V173)</f>
        <v/>
      </c>
      <c r="X173" s="42">
        <f>IF(OR(K173="",L173="",AP173=""),"",K173*L173-(E173*H173+IF(AND(AK173&lt;&gt;"",AL173&lt;&gt;""),AK173*AL173,0)+IF(AND(AM173&lt;&gt;"",AN173&lt;&gt;""),AM173*AN173,0))-IF(O173="",0,O173)-IF(P173="",0,P173))</f>
        <v/>
      </c>
      <c r="Y173" s="7">
        <f>IF(OR(X173="",AP173=""),"",IF((E173*H173+IF(AND(AK173&lt;&gt;"",AL173&lt;&gt;""),AK173*AL173,0)+IF(AND(AM173&lt;&gt;"",AN173&lt;&gt;""),AM173*AN173,0))+IF(O173="",0,O173)&lt;=0,"",X173/((E173*H173+IF(AND(AK173&lt;&gt;"",AL173&lt;&gt;""),AK173*AL173,0)+IF(AND(AM173&lt;&gt;"",AN173&lt;&gt;""),AM173*AN173,0))+IF(O173="",0,O173))))</f>
        <v/>
      </c>
      <c r="Z173" s="7">
        <f>IF(OR(AE173="",多次统计数据!$B$8=""),"",AE173-多次统计数据!$B$8)</f>
        <v/>
      </c>
      <c r="AA173" s="14">
        <f>IF(OR(I173="",M173="",M173&lt;I173),"",M173-I173)</f>
        <v/>
      </c>
      <c r="AB173" s="7">
        <f>IF(OR(A173="",多次统计数据!$B$8="",多次统计数据!$B$6&lt;=0,多次统计数据!$B$6&gt;=1),"",1-POWER(1+多次统计数据!$B$8,-多次统计数据!$B$6/(1-多次统计数据!$B$6)))</f>
        <v/>
      </c>
      <c r="AC173" s="8">
        <f>IF(OR(AB173="",多次统计数据!$B$9=""),"",IF(多次统计数据!$B$9&lt;AB173,"低于上限","达到或超过上限"))</f>
        <v/>
      </c>
      <c r="AD173" s="2" t="n"/>
      <c r="AE173" s="7">
        <f>IF(OR(X173="",C173="",C173&lt;=0),"",X173/C173)</f>
        <v/>
      </c>
      <c r="AG173" s="28" t="n"/>
      <c r="AH173" s="28" t="n"/>
      <c r="AI173" s="28" t="n"/>
      <c r="AJ173" s="31">
        <f>IF(OR(AG173="",AH173=""),"",IF(OR(AND(AG173="短期博反弹",OR(AH173="1～3个交易日",AH173="4～10个交易日")),AND(AG173="突破冲新高",OR(AH173="4～10个交易日",AH173="11～20个交易日")),AND(AG173="趋势波段",OR(AH173="11～20个交易日",AH173="21～60个交易日",AH173="60个交易日以上"))),"匹配","周期与交易预期不匹配，请重新确认"))</f>
        <v/>
      </c>
      <c r="AK173" s="43" t="n"/>
      <c r="AL173" s="27" t="n"/>
      <c r="AM173" s="43" t="n"/>
      <c r="AN173" s="27" t="n"/>
      <c r="AO173" s="44">
        <f>IF(OR(A173="",H173="",H173&lt;=0),"",(E173*H173+IF(AND(AK173&lt;&gt;"",AL173&lt;&gt;""),AK173*AL173,0)+IF(AND(AM173&lt;&gt;"",AN173&lt;&gt;""),AM173*AN173,0))/AP173)</f>
        <v/>
      </c>
      <c r="AP173" s="26">
        <f>IF(OR(A173="",H173="",H173&lt;=0),"",H173+IF(AL173="",0,AL173)+IF(AN173="",0,AN173))</f>
        <v/>
      </c>
      <c r="AQ173" s="44">
        <f>IF(A173="","",IF(M173&lt;&gt;"",0,IF(OR(H173="",N173=""),"",MAX(E173-MAX(N173,IFERROR(AGGREGATE(14,6,'持仓跟踪'!$S$2:$S$501/(('持仓跟踪'!$A$2:$A$501="每日跟踪")*('持仓跟踪'!$B$2:$B$501=A173)),1),0)),0)*H173+IF(OR(AK173="",AL173=""),0,MAX(AK173-MAX(N173,IFERROR(AGGREGATE(14,6,'持仓跟踪'!$S$2:$S$501/(('持仓跟踪'!$A$2:$A$501="每日跟踪")*('持仓跟踪'!$B$2:$B$501=A173)),1),0)),0)*AL173)+IF(OR(AM173="",AN173=""),0,MAX(AM173-MAX(N173,IFERROR(AGGREGATE(14,6,'持仓跟踪'!$S$2:$S$501/(('持仓跟踪'!$A$2:$A$501="每日跟踪")*('持仓跟踪'!$B$2:$B$501=A173)),1),0)),0)*AN173))))</f>
        <v/>
      </c>
      <c r="AR173" s="31">
        <f>IF(A173="","",IF(OR(E173="",H173=""),"违规：第一批价格或股数缺失",IF(OR(AND(AK173="",AL173&lt;&gt;""),AND(AK173&lt;&gt;"",AL173="")),"违规：第二批价格与股数须成对填写",IF(OR(AND(AM173="",AN173&lt;&gt;""),AND(AM173&lt;&gt;"",AN173="")),"违规：第三批价格与股数须成对填写",IF(AND(OR(AM173&lt;&gt;"",AN173&lt;&gt;""),OR(AK173="",AL173="")),"违规：必须先完成第二批",IF(OR(H173&lt;=0,H173&lt;&gt;INT(H173),MOD(H173,100)&lt;&gt;0,AND(AL173&lt;&gt;"",OR(AL173&lt;=0,AL173&lt;&gt;INT(AL173),MOD(AL173,100)&lt;&gt;0)),AND(AN173&lt;&gt;"",OR(AN173&lt;=0,AN173&lt;&gt;INT(AN173),MOD(AN173,100)&lt;&gt;0))),"违规：股数须为100股整数倍",IF(AND(OR(AL173&lt;&gt;"",AN173&lt;&gt;""),OR(_LockStatus="已锁仓",_LockStatus="解锁信息不完整")),"违规：锁仓期间禁止加仓",IF(AQ173&gt;C173*D173,"违规：超过单笔风险上限",IF(SUM($AQ$2:$AQ$201)&gt;账户数据!$B$7,"违规：超过账户风险上限","通过")))))))))</f>
        <v/>
      </c>
    </row>
    <row r="174">
      <c r="A174" s="2" t="n"/>
      <c r="B174" s="2" t="n"/>
      <c r="C174" s="40" t="n"/>
      <c r="D174" s="6" t="n"/>
      <c r="E174" s="40" t="n"/>
      <c r="F174" s="8">
        <f>IF(OR(C174="",D174="",E174="",N174="",C174&lt;=0,D174&lt;=0,E174&lt;=N174),"",ROUNDDOWN((C174*D174)/(E174-N174)/100,0)*100)</f>
        <v/>
      </c>
      <c r="G174" s="8">
        <f>IF(A174="","",IF(H174&lt;&gt;"","已开仓",IF(账户数据!$B$23="已锁仓","禁止开仓：连续亏损达到上限",IF(账户数据!$B$23="解锁信息不完整","禁止开仓：请完整填写解锁信息",IF(OR(F174="",E174="",N174="",E174&lt;=N174,账户数据!$B$7=""),"",IF(OR(AG174="",AH174="",AI174=""),"禁止开仓：交易预期未填写完整",IF(COUNTIFS(持仓跟踪!$A$2:$A$501,"止损计划",持仓跟踪!$B$2:$B$501,A174,持仓跟踪!$AC$2:$AC$501,"计划有效")=0,"禁止开仓：请先填写止损计划",IF(账户数据!$B$9+F174*(E174-N174)&gt;=账户数据!$B$7,"禁止开仓：风险额度不足",IF(AJ174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4" s="2" t="n"/>
      <c r="I174" s="41" t="n"/>
      <c r="J174" s="40" t="n"/>
      <c r="K174" s="46">
        <f>IF(A174="","",IFERROR(LOOKUP(2,1/((持仓跟踪!$B$2:$B$501=A174)*(持仓跟踪!$X$2:$X$501="执行卖出")*(持仓跟踪!$Y$2:$Y$501&lt;&gt;"")),持仓跟踪!$Y$2:$Y$501),""))</f>
        <v/>
      </c>
      <c r="L174" s="33">
        <f>IF(A174="","",IFERROR(LOOKUP(2,1/((持仓跟踪!$B$2:$B$501=A174)*(持仓跟踪!$X$2:$X$501="执行卖出")*(持仓跟踪!$Z$2:$Z$501&lt;&gt;"")),持仓跟踪!$Z$2:$Z$501),""))</f>
        <v/>
      </c>
      <c r="M174" s="47">
        <f>IF(A174="","",IFERROR(LOOKUP(2,1/((持仓跟踪!$B$2:$B$501=A174)*(持仓跟踪!$X$2:$X$501="执行卖出")*(持仓跟踪!$H$2:$H$501&lt;&gt;"")),持仓跟踪!$H$2:$H$501),""))</f>
        <v/>
      </c>
      <c r="N174" s="40" t="n"/>
      <c r="O174" s="40" t="n"/>
      <c r="P174" s="46">
        <f>IF(A174="","",IFERROR(LOOKUP(2,1/((持仓跟踪!$B$2:$B$501=A174)*(持仓跟踪!$X$2:$X$501="执行卖出")*(持仓跟踪!$AA$2:$AA$501&lt;&gt;"")),持仓跟踪!$AA$2:$AA$501),""))</f>
        <v/>
      </c>
      <c r="Q174" s="2" t="n"/>
      <c r="R174" s="2" t="n"/>
      <c r="S174" s="2" t="n"/>
      <c r="T174" s="2" t="n"/>
      <c r="U174" s="7">
        <f>IF(OR(AO174="",J174="",AO174&lt;=0),"",(J174-AO174)/AO174)</f>
        <v/>
      </c>
      <c r="V174" s="7">
        <f>IF(OR(AO174="",N174="",AO174&lt;=0),"",(AO174-N174)/AO174)</f>
        <v/>
      </c>
      <c r="W174" s="13">
        <f>IF(OR(U174="",V174="",V174&lt;=0),"",U174/V174)</f>
        <v/>
      </c>
      <c r="X174" s="42">
        <f>IF(OR(K174="",L174="",AP174=""),"",K174*L174-(E174*H174+IF(AND(AK174&lt;&gt;"",AL174&lt;&gt;""),AK174*AL174,0)+IF(AND(AM174&lt;&gt;"",AN174&lt;&gt;""),AM174*AN174,0))-IF(O174="",0,O174)-IF(P174="",0,P174))</f>
        <v/>
      </c>
      <c r="Y174" s="7">
        <f>IF(OR(X174="",AP174=""),"",IF((E174*H174+IF(AND(AK174&lt;&gt;"",AL174&lt;&gt;""),AK174*AL174,0)+IF(AND(AM174&lt;&gt;"",AN174&lt;&gt;""),AM174*AN174,0))+IF(O174="",0,O174)&lt;=0,"",X174/((E174*H174+IF(AND(AK174&lt;&gt;"",AL174&lt;&gt;""),AK174*AL174,0)+IF(AND(AM174&lt;&gt;"",AN174&lt;&gt;""),AM174*AN174,0))+IF(O174="",0,O174))))</f>
        <v/>
      </c>
      <c r="Z174" s="7">
        <f>IF(OR(AE174="",多次统计数据!$B$8=""),"",AE174-多次统计数据!$B$8)</f>
        <v/>
      </c>
      <c r="AA174" s="14">
        <f>IF(OR(I174="",M174="",M174&lt;I174),"",M174-I174)</f>
        <v/>
      </c>
      <c r="AB174" s="7">
        <f>IF(OR(A174="",多次统计数据!$B$8="",多次统计数据!$B$6&lt;=0,多次统计数据!$B$6&gt;=1),"",1-POWER(1+多次统计数据!$B$8,-多次统计数据!$B$6/(1-多次统计数据!$B$6)))</f>
        <v/>
      </c>
      <c r="AC174" s="8">
        <f>IF(OR(AB174="",多次统计数据!$B$9=""),"",IF(多次统计数据!$B$9&lt;AB174,"低于上限","达到或超过上限"))</f>
        <v/>
      </c>
      <c r="AD174" s="2" t="n"/>
      <c r="AE174" s="7">
        <f>IF(OR(X174="",C174="",C174&lt;=0),"",X174/C174)</f>
        <v/>
      </c>
      <c r="AG174" s="28" t="n"/>
      <c r="AH174" s="28" t="n"/>
      <c r="AI174" s="28" t="n"/>
      <c r="AJ174" s="31">
        <f>IF(OR(AG174="",AH174=""),"",IF(OR(AND(AG174="短期博反弹",OR(AH174="1～3个交易日",AH174="4～10个交易日")),AND(AG174="突破冲新高",OR(AH174="4～10个交易日",AH174="11～20个交易日")),AND(AG174="趋势波段",OR(AH174="11～20个交易日",AH174="21～60个交易日",AH174="60个交易日以上"))),"匹配","周期与交易预期不匹配，请重新确认"))</f>
        <v/>
      </c>
      <c r="AK174" s="43" t="n"/>
      <c r="AL174" s="27" t="n"/>
      <c r="AM174" s="43" t="n"/>
      <c r="AN174" s="27" t="n"/>
      <c r="AO174" s="44">
        <f>IF(OR(A174="",H174="",H174&lt;=0),"",(E174*H174+IF(AND(AK174&lt;&gt;"",AL174&lt;&gt;""),AK174*AL174,0)+IF(AND(AM174&lt;&gt;"",AN174&lt;&gt;""),AM174*AN174,0))/AP174)</f>
        <v/>
      </c>
      <c r="AP174" s="26">
        <f>IF(OR(A174="",H174="",H174&lt;=0),"",H174+IF(AL174="",0,AL174)+IF(AN174="",0,AN174))</f>
        <v/>
      </c>
      <c r="AQ174" s="44">
        <f>IF(A174="","",IF(M174&lt;&gt;"",0,IF(OR(H174="",N174=""),"",MAX(E174-MAX(N174,IFERROR(AGGREGATE(14,6,'持仓跟踪'!$S$2:$S$501/(('持仓跟踪'!$A$2:$A$501="每日跟踪")*('持仓跟踪'!$B$2:$B$501=A174)),1),0)),0)*H174+IF(OR(AK174="",AL174=""),0,MAX(AK174-MAX(N174,IFERROR(AGGREGATE(14,6,'持仓跟踪'!$S$2:$S$501/(('持仓跟踪'!$A$2:$A$501="每日跟踪")*('持仓跟踪'!$B$2:$B$501=A174)),1),0)),0)*AL174)+IF(OR(AM174="",AN174=""),0,MAX(AM174-MAX(N174,IFERROR(AGGREGATE(14,6,'持仓跟踪'!$S$2:$S$501/(('持仓跟踪'!$A$2:$A$501="每日跟踪")*('持仓跟踪'!$B$2:$B$501=A174)),1),0)),0)*AN174))))</f>
        <v/>
      </c>
      <c r="AR174" s="31">
        <f>IF(A174="","",IF(OR(E174="",H174=""),"违规：第一批价格或股数缺失",IF(OR(AND(AK174="",AL174&lt;&gt;""),AND(AK174&lt;&gt;"",AL174="")),"违规：第二批价格与股数须成对填写",IF(OR(AND(AM174="",AN174&lt;&gt;""),AND(AM174&lt;&gt;"",AN174="")),"违规：第三批价格与股数须成对填写",IF(AND(OR(AM174&lt;&gt;"",AN174&lt;&gt;""),OR(AK174="",AL174="")),"违规：必须先完成第二批",IF(OR(H174&lt;=0,H174&lt;&gt;INT(H174),MOD(H174,100)&lt;&gt;0,AND(AL174&lt;&gt;"",OR(AL174&lt;=0,AL174&lt;&gt;INT(AL174),MOD(AL174,100)&lt;&gt;0)),AND(AN174&lt;&gt;"",OR(AN174&lt;=0,AN174&lt;&gt;INT(AN174),MOD(AN174,100)&lt;&gt;0))),"违规：股数须为100股整数倍",IF(AND(OR(AL174&lt;&gt;"",AN174&lt;&gt;""),OR(_LockStatus="已锁仓",_LockStatus="解锁信息不完整")),"违规：锁仓期间禁止加仓",IF(AQ174&gt;C174*D174,"违规：超过单笔风险上限",IF(SUM($AQ$2:$AQ$201)&gt;账户数据!$B$7,"违规：超过账户风险上限","通过")))))))))</f>
        <v/>
      </c>
    </row>
    <row r="175">
      <c r="A175" s="2" t="n"/>
      <c r="B175" s="2" t="n"/>
      <c r="C175" s="40" t="n"/>
      <c r="D175" s="6" t="n"/>
      <c r="E175" s="40" t="n"/>
      <c r="F175" s="8">
        <f>IF(OR(C175="",D175="",E175="",N175="",C175&lt;=0,D175&lt;=0,E175&lt;=N175),"",ROUNDDOWN((C175*D175)/(E175-N175)/100,0)*100)</f>
        <v/>
      </c>
      <c r="G175" s="8">
        <f>IF(A175="","",IF(H175&lt;&gt;"","已开仓",IF(账户数据!$B$23="已锁仓","禁止开仓：连续亏损达到上限",IF(账户数据!$B$23="解锁信息不完整","禁止开仓：请完整填写解锁信息",IF(OR(F175="",E175="",N175="",E175&lt;=N175,账户数据!$B$7=""),"",IF(OR(AG175="",AH175="",AI175=""),"禁止开仓：交易预期未填写完整",IF(COUNTIFS(持仓跟踪!$A$2:$A$501,"止损计划",持仓跟踪!$B$2:$B$501,A175,持仓跟踪!$AC$2:$AC$501,"计划有效")=0,"禁止开仓：请先填写止损计划",IF(账户数据!$B$9+F175*(E175-N175)&gt;=账户数据!$B$7,"禁止开仓：风险额度不足",IF(AJ175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5" s="2" t="n"/>
      <c r="I175" s="41" t="n"/>
      <c r="J175" s="40" t="n"/>
      <c r="K175" s="46">
        <f>IF(A175="","",IFERROR(LOOKUP(2,1/((持仓跟踪!$B$2:$B$501=A175)*(持仓跟踪!$X$2:$X$501="执行卖出")*(持仓跟踪!$Y$2:$Y$501&lt;&gt;"")),持仓跟踪!$Y$2:$Y$501),""))</f>
        <v/>
      </c>
      <c r="L175" s="33">
        <f>IF(A175="","",IFERROR(LOOKUP(2,1/((持仓跟踪!$B$2:$B$501=A175)*(持仓跟踪!$X$2:$X$501="执行卖出")*(持仓跟踪!$Z$2:$Z$501&lt;&gt;"")),持仓跟踪!$Z$2:$Z$501),""))</f>
        <v/>
      </c>
      <c r="M175" s="47">
        <f>IF(A175="","",IFERROR(LOOKUP(2,1/((持仓跟踪!$B$2:$B$501=A175)*(持仓跟踪!$X$2:$X$501="执行卖出")*(持仓跟踪!$H$2:$H$501&lt;&gt;"")),持仓跟踪!$H$2:$H$501),""))</f>
        <v/>
      </c>
      <c r="N175" s="40" t="n"/>
      <c r="O175" s="40" t="n"/>
      <c r="P175" s="46">
        <f>IF(A175="","",IFERROR(LOOKUP(2,1/((持仓跟踪!$B$2:$B$501=A175)*(持仓跟踪!$X$2:$X$501="执行卖出")*(持仓跟踪!$AA$2:$AA$501&lt;&gt;"")),持仓跟踪!$AA$2:$AA$501),""))</f>
        <v/>
      </c>
      <c r="Q175" s="2" t="n"/>
      <c r="R175" s="2" t="n"/>
      <c r="S175" s="2" t="n"/>
      <c r="T175" s="2" t="n"/>
      <c r="U175" s="7">
        <f>IF(OR(AO175="",J175="",AO175&lt;=0),"",(J175-AO175)/AO175)</f>
        <v/>
      </c>
      <c r="V175" s="7">
        <f>IF(OR(AO175="",N175="",AO175&lt;=0),"",(AO175-N175)/AO175)</f>
        <v/>
      </c>
      <c r="W175" s="13">
        <f>IF(OR(U175="",V175="",V175&lt;=0),"",U175/V175)</f>
        <v/>
      </c>
      <c r="X175" s="42">
        <f>IF(OR(K175="",L175="",AP175=""),"",K175*L175-(E175*H175+IF(AND(AK175&lt;&gt;"",AL175&lt;&gt;""),AK175*AL175,0)+IF(AND(AM175&lt;&gt;"",AN175&lt;&gt;""),AM175*AN175,0))-IF(O175="",0,O175)-IF(P175="",0,P175))</f>
        <v/>
      </c>
      <c r="Y175" s="7">
        <f>IF(OR(X175="",AP175=""),"",IF((E175*H175+IF(AND(AK175&lt;&gt;"",AL175&lt;&gt;""),AK175*AL175,0)+IF(AND(AM175&lt;&gt;"",AN175&lt;&gt;""),AM175*AN175,0))+IF(O175="",0,O175)&lt;=0,"",X175/((E175*H175+IF(AND(AK175&lt;&gt;"",AL175&lt;&gt;""),AK175*AL175,0)+IF(AND(AM175&lt;&gt;"",AN175&lt;&gt;""),AM175*AN175,0))+IF(O175="",0,O175))))</f>
        <v/>
      </c>
      <c r="Z175" s="7">
        <f>IF(OR(AE175="",多次统计数据!$B$8=""),"",AE175-多次统计数据!$B$8)</f>
        <v/>
      </c>
      <c r="AA175" s="14">
        <f>IF(OR(I175="",M175="",M175&lt;I175),"",M175-I175)</f>
        <v/>
      </c>
      <c r="AB175" s="7">
        <f>IF(OR(A175="",多次统计数据!$B$8="",多次统计数据!$B$6&lt;=0,多次统计数据!$B$6&gt;=1),"",1-POWER(1+多次统计数据!$B$8,-多次统计数据!$B$6/(1-多次统计数据!$B$6)))</f>
        <v/>
      </c>
      <c r="AC175" s="8">
        <f>IF(OR(AB175="",多次统计数据!$B$9=""),"",IF(多次统计数据!$B$9&lt;AB175,"低于上限","达到或超过上限"))</f>
        <v/>
      </c>
      <c r="AD175" s="2" t="n"/>
      <c r="AE175" s="7">
        <f>IF(OR(X175="",C175="",C175&lt;=0),"",X175/C175)</f>
        <v/>
      </c>
      <c r="AG175" s="28" t="n"/>
      <c r="AH175" s="28" t="n"/>
      <c r="AI175" s="28" t="n"/>
      <c r="AJ175" s="31">
        <f>IF(OR(AG175="",AH175=""),"",IF(OR(AND(AG175="短期博反弹",OR(AH175="1～3个交易日",AH175="4～10个交易日")),AND(AG175="突破冲新高",OR(AH175="4～10个交易日",AH175="11～20个交易日")),AND(AG175="趋势波段",OR(AH175="11～20个交易日",AH175="21～60个交易日",AH175="60个交易日以上"))),"匹配","周期与交易预期不匹配，请重新确认"))</f>
        <v/>
      </c>
      <c r="AK175" s="43" t="n"/>
      <c r="AL175" s="27" t="n"/>
      <c r="AM175" s="43" t="n"/>
      <c r="AN175" s="27" t="n"/>
      <c r="AO175" s="44">
        <f>IF(OR(A175="",H175="",H175&lt;=0),"",(E175*H175+IF(AND(AK175&lt;&gt;"",AL175&lt;&gt;""),AK175*AL175,0)+IF(AND(AM175&lt;&gt;"",AN175&lt;&gt;""),AM175*AN175,0))/AP175)</f>
        <v/>
      </c>
      <c r="AP175" s="26">
        <f>IF(OR(A175="",H175="",H175&lt;=0),"",H175+IF(AL175="",0,AL175)+IF(AN175="",0,AN175))</f>
        <v/>
      </c>
      <c r="AQ175" s="44">
        <f>IF(A175="","",IF(M175&lt;&gt;"",0,IF(OR(H175="",N175=""),"",MAX(E175-MAX(N175,IFERROR(AGGREGATE(14,6,'持仓跟踪'!$S$2:$S$501/(('持仓跟踪'!$A$2:$A$501="每日跟踪")*('持仓跟踪'!$B$2:$B$501=A175)),1),0)),0)*H175+IF(OR(AK175="",AL175=""),0,MAX(AK175-MAX(N175,IFERROR(AGGREGATE(14,6,'持仓跟踪'!$S$2:$S$501/(('持仓跟踪'!$A$2:$A$501="每日跟踪")*('持仓跟踪'!$B$2:$B$501=A175)),1),0)),0)*AL175)+IF(OR(AM175="",AN175=""),0,MAX(AM175-MAX(N175,IFERROR(AGGREGATE(14,6,'持仓跟踪'!$S$2:$S$501/(('持仓跟踪'!$A$2:$A$501="每日跟踪")*('持仓跟踪'!$B$2:$B$501=A175)),1),0)),0)*AN175))))</f>
        <v/>
      </c>
      <c r="AR175" s="31">
        <f>IF(A175="","",IF(OR(E175="",H175=""),"违规：第一批价格或股数缺失",IF(OR(AND(AK175="",AL175&lt;&gt;""),AND(AK175&lt;&gt;"",AL175="")),"违规：第二批价格与股数须成对填写",IF(OR(AND(AM175="",AN175&lt;&gt;""),AND(AM175&lt;&gt;"",AN175="")),"违规：第三批价格与股数须成对填写",IF(AND(OR(AM175&lt;&gt;"",AN175&lt;&gt;""),OR(AK175="",AL175="")),"违规：必须先完成第二批",IF(OR(H175&lt;=0,H175&lt;&gt;INT(H175),MOD(H175,100)&lt;&gt;0,AND(AL175&lt;&gt;"",OR(AL175&lt;=0,AL175&lt;&gt;INT(AL175),MOD(AL175,100)&lt;&gt;0)),AND(AN175&lt;&gt;"",OR(AN175&lt;=0,AN175&lt;&gt;INT(AN175),MOD(AN175,100)&lt;&gt;0))),"违规：股数须为100股整数倍",IF(AND(OR(AL175&lt;&gt;"",AN175&lt;&gt;""),OR(_LockStatus="已锁仓",_LockStatus="解锁信息不完整")),"违规：锁仓期间禁止加仓",IF(AQ175&gt;C175*D175,"违规：超过单笔风险上限",IF(SUM($AQ$2:$AQ$201)&gt;账户数据!$B$7,"违规：超过账户风险上限","通过")))))))))</f>
        <v/>
      </c>
    </row>
    <row r="176">
      <c r="A176" s="2" t="n"/>
      <c r="B176" s="2" t="n"/>
      <c r="C176" s="40" t="n"/>
      <c r="D176" s="6" t="n"/>
      <c r="E176" s="40" t="n"/>
      <c r="F176" s="8">
        <f>IF(OR(C176="",D176="",E176="",N176="",C176&lt;=0,D176&lt;=0,E176&lt;=N176),"",ROUNDDOWN((C176*D176)/(E176-N176)/100,0)*100)</f>
        <v/>
      </c>
      <c r="G176" s="8">
        <f>IF(A176="","",IF(H176&lt;&gt;"","已开仓",IF(账户数据!$B$23="已锁仓","禁止开仓：连续亏损达到上限",IF(账户数据!$B$23="解锁信息不完整","禁止开仓：请完整填写解锁信息",IF(OR(F176="",E176="",N176="",E176&lt;=N176,账户数据!$B$7=""),"",IF(OR(AG176="",AH176="",AI176=""),"禁止开仓：交易预期未填写完整",IF(COUNTIFS(持仓跟踪!$A$2:$A$501,"止损计划",持仓跟踪!$B$2:$B$501,A176,持仓跟踪!$AC$2:$AC$501,"计划有效")=0,"禁止开仓：请先填写止损计划",IF(账户数据!$B$9+F176*(E176-N176)&gt;=账户数据!$B$7,"禁止开仓：风险额度不足",IF(AJ176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6" s="2" t="n"/>
      <c r="I176" s="41" t="n"/>
      <c r="J176" s="40" t="n"/>
      <c r="K176" s="46">
        <f>IF(A176="","",IFERROR(LOOKUP(2,1/((持仓跟踪!$B$2:$B$501=A176)*(持仓跟踪!$X$2:$X$501="执行卖出")*(持仓跟踪!$Y$2:$Y$501&lt;&gt;"")),持仓跟踪!$Y$2:$Y$501),""))</f>
        <v/>
      </c>
      <c r="L176" s="33">
        <f>IF(A176="","",IFERROR(LOOKUP(2,1/((持仓跟踪!$B$2:$B$501=A176)*(持仓跟踪!$X$2:$X$501="执行卖出")*(持仓跟踪!$Z$2:$Z$501&lt;&gt;"")),持仓跟踪!$Z$2:$Z$501),""))</f>
        <v/>
      </c>
      <c r="M176" s="47">
        <f>IF(A176="","",IFERROR(LOOKUP(2,1/((持仓跟踪!$B$2:$B$501=A176)*(持仓跟踪!$X$2:$X$501="执行卖出")*(持仓跟踪!$H$2:$H$501&lt;&gt;"")),持仓跟踪!$H$2:$H$501),""))</f>
        <v/>
      </c>
      <c r="N176" s="40" t="n"/>
      <c r="O176" s="40" t="n"/>
      <c r="P176" s="46">
        <f>IF(A176="","",IFERROR(LOOKUP(2,1/((持仓跟踪!$B$2:$B$501=A176)*(持仓跟踪!$X$2:$X$501="执行卖出")*(持仓跟踪!$AA$2:$AA$501&lt;&gt;"")),持仓跟踪!$AA$2:$AA$501),""))</f>
        <v/>
      </c>
      <c r="Q176" s="2" t="n"/>
      <c r="R176" s="2" t="n"/>
      <c r="S176" s="2" t="n"/>
      <c r="T176" s="2" t="n"/>
      <c r="U176" s="7">
        <f>IF(OR(AO176="",J176="",AO176&lt;=0),"",(J176-AO176)/AO176)</f>
        <v/>
      </c>
      <c r="V176" s="7">
        <f>IF(OR(AO176="",N176="",AO176&lt;=0),"",(AO176-N176)/AO176)</f>
        <v/>
      </c>
      <c r="W176" s="13">
        <f>IF(OR(U176="",V176="",V176&lt;=0),"",U176/V176)</f>
        <v/>
      </c>
      <c r="X176" s="42">
        <f>IF(OR(K176="",L176="",AP176=""),"",K176*L176-(E176*H176+IF(AND(AK176&lt;&gt;"",AL176&lt;&gt;""),AK176*AL176,0)+IF(AND(AM176&lt;&gt;"",AN176&lt;&gt;""),AM176*AN176,0))-IF(O176="",0,O176)-IF(P176="",0,P176))</f>
        <v/>
      </c>
      <c r="Y176" s="7">
        <f>IF(OR(X176="",AP176=""),"",IF((E176*H176+IF(AND(AK176&lt;&gt;"",AL176&lt;&gt;""),AK176*AL176,0)+IF(AND(AM176&lt;&gt;"",AN176&lt;&gt;""),AM176*AN176,0))+IF(O176="",0,O176)&lt;=0,"",X176/((E176*H176+IF(AND(AK176&lt;&gt;"",AL176&lt;&gt;""),AK176*AL176,0)+IF(AND(AM176&lt;&gt;"",AN176&lt;&gt;""),AM176*AN176,0))+IF(O176="",0,O176))))</f>
        <v/>
      </c>
      <c r="Z176" s="7">
        <f>IF(OR(AE176="",多次统计数据!$B$8=""),"",AE176-多次统计数据!$B$8)</f>
        <v/>
      </c>
      <c r="AA176" s="14">
        <f>IF(OR(I176="",M176="",M176&lt;I176),"",M176-I176)</f>
        <v/>
      </c>
      <c r="AB176" s="7">
        <f>IF(OR(A176="",多次统计数据!$B$8="",多次统计数据!$B$6&lt;=0,多次统计数据!$B$6&gt;=1),"",1-POWER(1+多次统计数据!$B$8,-多次统计数据!$B$6/(1-多次统计数据!$B$6)))</f>
        <v/>
      </c>
      <c r="AC176" s="8">
        <f>IF(OR(AB176="",多次统计数据!$B$9=""),"",IF(多次统计数据!$B$9&lt;AB176,"低于上限","达到或超过上限"))</f>
        <v/>
      </c>
      <c r="AD176" s="2" t="n"/>
      <c r="AE176" s="7">
        <f>IF(OR(X176="",C176="",C176&lt;=0),"",X176/C176)</f>
        <v/>
      </c>
      <c r="AG176" s="28" t="n"/>
      <c r="AH176" s="28" t="n"/>
      <c r="AI176" s="28" t="n"/>
      <c r="AJ176" s="31">
        <f>IF(OR(AG176="",AH176=""),"",IF(OR(AND(AG176="短期博反弹",OR(AH176="1～3个交易日",AH176="4～10个交易日")),AND(AG176="突破冲新高",OR(AH176="4～10个交易日",AH176="11～20个交易日")),AND(AG176="趋势波段",OR(AH176="11～20个交易日",AH176="21～60个交易日",AH176="60个交易日以上"))),"匹配","周期与交易预期不匹配，请重新确认"))</f>
        <v/>
      </c>
      <c r="AK176" s="43" t="n"/>
      <c r="AL176" s="27" t="n"/>
      <c r="AM176" s="43" t="n"/>
      <c r="AN176" s="27" t="n"/>
      <c r="AO176" s="44">
        <f>IF(OR(A176="",H176="",H176&lt;=0),"",(E176*H176+IF(AND(AK176&lt;&gt;"",AL176&lt;&gt;""),AK176*AL176,0)+IF(AND(AM176&lt;&gt;"",AN176&lt;&gt;""),AM176*AN176,0))/AP176)</f>
        <v/>
      </c>
      <c r="AP176" s="26">
        <f>IF(OR(A176="",H176="",H176&lt;=0),"",H176+IF(AL176="",0,AL176)+IF(AN176="",0,AN176))</f>
        <v/>
      </c>
      <c r="AQ176" s="44">
        <f>IF(A176="","",IF(M176&lt;&gt;"",0,IF(OR(H176="",N176=""),"",MAX(E176-MAX(N176,IFERROR(AGGREGATE(14,6,'持仓跟踪'!$S$2:$S$501/(('持仓跟踪'!$A$2:$A$501="每日跟踪")*('持仓跟踪'!$B$2:$B$501=A176)),1),0)),0)*H176+IF(OR(AK176="",AL176=""),0,MAX(AK176-MAX(N176,IFERROR(AGGREGATE(14,6,'持仓跟踪'!$S$2:$S$501/(('持仓跟踪'!$A$2:$A$501="每日跟踪")*('持仓跟踪'!$B$2:$B$501=A176)),1),0)),0)*AL176)+IF(OR(AM176="",AN176=""),0,MAX(AM176-MAX(N176,IFERROR(AGGREGATE(14,6,'持仓跟踪'!$S$2:$S$501/(('持仓跟踪'!$A$2:$A$501="每日跟踪")*('持仓跟踪'!$B$2:$B$501=A176)),1),0)),0)*AN176))))</f>
        <v/>
      </c>
      <c r="AR176" s="31">
        <f>IF(A176="","",IF(OR(E176="",H176=""),"违规：第一批价格或股数缺失",IF(OR(AND(AK176="",AL176&lt;&gt;""),AND(AK176&lt;&gt;"",AL176="")),"违规：第二批价格与股数须成对填写",IF(OR(AND(AM176="",AN176&lt;&gt;""),AND(AM176&lt;&gt;"",AN176="")),"违规：第三批价格与股数须成对填写",IF(AND(OR(AM176&lt;&gt;"",AN176&lt;&gt;""),OR(AK176="",AL176="")),"违规：必须先完成第二批",IF(OR(H176&lt;=0,H176&lt;&gt;INT(H176),MOD(H176,100)&lt;&gt;0,AND(AL176&lt;&gt;"",OR(AL176&lt;=0,AL176&lt;&gt;INT(AL176),MOD(AL176,100)&lt;&gt;0)),AND(AN176&lt;&gt;"",OR(AN176&lt;=0,AN176&lt;&gt;INT(AN176),MOD(AN176,100)&lt;&gt;0))),"违规：股数须为100股整数倍",IF(AND(OR(AL176&lt;&gt;"",AN176&lt;&gt;""),OR(_LockStatus="已锁仓",_LockStatus="解锁信息不完整")),"违规：锁仓期间禁止加仓",IF(AQ176&gt;C176*D176,"违规：超过单笔风险上限",IF(SUM($AQ$2:$AQ$201)&gt;账户数据!$B$7,"违规：超过账户风险上限","通过")))))))))</f>
        <v/>
      </c>
    </row>
    <row r="177">
      <c r="A177" s="2" t="n"/>
      <c r="B177" s="2" t="n"/>
      <c r="C177" s="40" t="n"/>
      <c r="D177" s="6" t="n"/>
      <c r="E177" s="40" t="n"/>
      <c r="F177" s="8">
        <f>IF(OR(C177="",D177="",E177="",N177="",C177&lt;=0,D177&lt;=0,E177&lt;=N177),"",ROUNDDOWN((C177*D177)/(E177-N177)/100,0)*100)</f>
        <v/>
      </c>
      <c r="G177" s="8">
        <f>IF(A177="","",IF(H177&lt;&gt;"","已开仓",IF(账户数据!$B$23="已锁仓","禁止开仓：连续亏损达到上限",IF(账户数据!$B$23="解锁信息不完整","禁止开仓：请完整填写解锁信息",IF(OR(F177="",E177="",N177="",E177&lt;=N177,账户数据!$B$7=""),"",IF(OR(AG177="",AH177="",AI177=""),"禁止开仓：交易预期未填写完整",IF(COUNTIFS(持仓跟踪!$A$2:$A$501,"止损计划",持仓跟踪!$B$2:$B$501,A177,持仓跟踪!$AC$2:$AC$501,"计划有效")=0,"禁止开仓：请先填写止损计划",IF(账户数据!$B$9+F177*(E177-N177)&gt;=账户数据!$B$7,"禁止开仓：风险额度不足",IF(AJ177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7" s="2" t="n"/>
      <c r="I177" s="41" t="n"/>
      <c r="J177" s="40" t="n"/>
      <c r="K177" s="46">
        <f>IF(A177="","",IFERROR(LOOKUP(2,1/((持仓跟踪!$B$2:$B$501=A177)*(持仓跟踪!$X$2:$X$501="执行卖出")*(持仓跟踪!$Y$2:$Y$501&lt;&gt;"")),持仓跟踪!$Y$2:$Y$501),""))</f>
        <v/>
      </c>
      <c r="L177" s="33">
        <f>IF(A177="","",IFERROR(LOOKUP(2,1/((持仓跟踪!$B$2:$B$501=A177)*(持仓跟踪!$X$2:$X$501="执行卖出")*(持仓跟踪!$Z$2:$Z$501&lt;&gt;"")),持仓跟踪!$Z$2:$Z$501),""))</f>
        <v/>
      </c>
      <c r="M177" s="47">
        <f>IF(A177="","",IFERROR(LOOKUP(2,1/((持仓跟踪!$B$2:$B$501=A177)*(持仓跟踪!$X$2:$X$501="执行卖出")*(持仓跟踪!$H$2:$H$501&lt;&gt;"")),持仓跟踪!$H$2:$H$501),""))</f>
        <v/>
      </c>
      <c r="N177" s="40" t="n"/>
      <c r="O177" s="40" t="n"/>
      <c r="P177" s="46">
        <f>IF(A177="","",IFERROR(LOOKUP(2,1/((持仓跟踪!$B$2:$B$501=A177)*(持仓跟踪!$X$2:$X$501="执行卖出")*(持仓跟踪!$AA$2:$AA$501&lt;&gt;"")),持仓跟踪!$AA$2:$AA$501),""))</f>
        <v/>
      </c>
      <c r="Q177" s="2" t="n"/>
      <c r="R177" s="2" t="n"/>
      <c r="S177" s="2" t="n"/>
      <c r="T177" s="2" t="n"/>
      <c r="U177" s="7">
        <f>IF(OR(AO177="",J177="",AO177&lt;=0),"",(J177-AO177)/AO177)</f>
        <v/>
      </c>
      <c r="V177" s="7">
        <f>IF(OR(AO177="",N177="",AO177&lt;=0),"",(AO177-N177)/AO177)</f>
        <v/>
      </c>
      <c r="W177" s="13">
        <f>IF(OR(U177="",V177="",V177&lt;=0),"",U177/V177)</f>
        <v/>
      </c>
      <c r="X177" s="42">
        <f>IF(OR(K177="",L177="",AP177=""),"",K177*L177-(E177*H177+IF(AND(AK177&lt;&gt;"",AL177&lt;&gt;""),AK177*AL177,0)+IF(AND(AM177&lt;&gt;"",AN177&lt;&gt;""),AM177*AN177,0))-IF(O177="",0,O177)-IF(P177="",0,P177))</f>
        <v/>
      </c>
      <c r="Y177" s="7">
        <f>IF(OR(X177="",AP177=""),"",IF((E177*H177+IF(AND(AK177&lt;&gt;"",AL177&lt;&gt;""),AK177*AL177,0)+IF(AND(AM177&lt;&gt;"",AN177&lt;&gt;""),AM177*AN177,0))+IF(O177="",0,O177)&lt;=0,"",X177/((E177*H177+IF(AND(AK177&lt;&gt;"",AL177&lt;&gt;""),AK177*AL177,0)+IF(AND(AM177&lt;&gt;"",AN177&lt;&gt;""),AM177*AN177,0))+IF(O177="",0,O177))))</f>
        <v/>
      </c>
      <c r="Z177" s="7">
        <f>IF(OR(AE177="",多次统计数据!$B$8=""),"",AE177-多次统计数据!$B$8)</f>
        <v/>
      </c>
      <c r="AA177" s="14">
        <f>IF(OR(I177="",M177="",M177&lt;I177),"",M177-I177)</f>
        <v/>
      </c>
      <c r="AB177" s="7">
        <f>IF(OR(A177="",多次统计数据!$B$8="",多次统计数据!$B$6&lt;=0,多次统计数据!$B$6&gt;=1),"",1-POWER(1+多次统计数据!$B$8,-多次统计数据!$B$6/(1-多次统计数据!$B$6)))</f>
        <v/>
      </c>
      <c r="AC177" s="8">
        <f>IF(OR(AB177="",多次统计数据!$B$9=""),"",IF(多次统计数据!$B$9&lt;AB177,"低于上限","达到或超过上限"))</f>
        <v/>
      </c>
      <c r="AD177" s="2" t="n"/>
      <c r="AE177" s="7">
        <f>IF(OR(X177="",C177="",C177&lt;=0),"",X177/C177)</f>
        <v/>
      </c>
      <c r="AG177" s="28" t="n"/>
      <c r="AH177" s="28" t="n"/>
      <c r="AI177" s="28" t="n"/>
      <c r="AJ177" s="31">
        <f>IF(OR(AG177="",AH177=""),"",IF(OR(AND(AG177="短期博反弹",OR(AH177="1～3个交易日",AH177="4～10个交易日")),AND(AG177="突破冲新高",OR(AH177="4～10个交易日",AH177="11～20个交易日")),AND(AG177="趋势波段",OR(AH177="11～20个交易日",AH177="21～60个交易日",AH177="60个交易日以上"))),"匹配","周期与交易预期不匹配，请重新确认"))</f>
        <v/>
      </c>
      <c r="AK177" s="43" t="n"/>
      <c r="AL177" s="27" t="n"/>
      <c r="AM177" s="43" t="n"/>
      <c r="AN177" s="27" t="n"/>
      <c r="AO177" s="44">
        <f>IF(OR(A177="",H177="",H177&lt;=0),"",(E177*H177+IF(AND(AK177&lt;&gt;"",AL177&lt;&gt;""),AK177*AL177,0)+IF(AND(AM177&lt;&gt;"",AN177&lt;&gt;""),AM177*AN177,0))/AP177)</f>
        <v/>
      </c>
      <c r="AP177" s="26">
        <f>IF(OR(A177="",H177="",H177&lt;=0),"",H177+IF(AL177="",0,AL177)+IF(AN177="",0,AN177))</f>
        <v/>
      </c>
      <c r="AQ177" s="44">
        <f>IF(A177="","",IF(M177&lt;&gt;"",0,IF(OR(H177="",N177=""),"",MAX(E177-MAX(N177,IFERROR(AGGREGATE(14,6,'持仓跟踪'!$S$2:$S$501/(('持仓跟踪'!$A$2:$A$501="每日跟踪")*('持仓跟踪'!$B$2:$B$501=A177)),1),0)),0)*H177+IF(OR(AK177="",AL177=""),0,MAX(AK177-MAX(N177,IFERROR(AGGREGATE(14,6,'持仓跟踪'!$S$2:$S$501/(('持仓跟踪'!$A$2:$A$501="每日跟踪")*('持仓跟踪'!$B$2:$B$501=A177)),1),0)),0)*AL177)+IF(OR(AM177="",AN177=""),0,MAX(AM177-MAX(N177,IFERROR(AGGREGATE(14,6,'持仓跟踪'!$S$2:$S$501/(('持仓跟踪'!$A$2:$A$501="每日跟踪")*('持仓跟踪'!$B$2:$B$501=A177)),1),0)),0)*AN177))))</f>
        <v/>
      </c>
      <c r="AR177" s="31">
        <f>IF(A177="","",IF(OR(E177="",H177=""),"违规：第一批价格或股数缺失",IF(OR(AND(AK177="",AL177&lt;&gt;""),AND(AK177&lt;&gt;"",AL177="")),"违规：第二批价格与股数须成对填写",IF(OR(AND(AM177="",AN177&lt;&gt;""),AND(AM177&lt;&gt;"",AN177="")),"违规：第三批价格与股数须成对填写",IF(AND(OR(AM177&lt;&gt;"",AN177&lt;&gt;""),OR(AK177="",AL177="")),"违规：必须先完成第二批",IF(OR(H177&lt;=0,H177&lt;&gt;INT(H177),MOD(H177,100)&lt;&gt;0,AND(AL177&lt;&gt;"",OR(AL177&lt;=0,AL177&lt;&gt;INT(AL177),MOD(AL177,100)&lt;&gt;0)),AND(AN177&lt;&gt;"",OR(AN177&lt;=0,AN177&lt;&gt;INT(AN177),MOD(AN177,100)&lt;&gt;0))),"违规：股数须为100股整数倍",IF(AND(OR(AL177&lt;&gt;"",AN177&lt;&gt;""),OR(_LockStatus="已锁仓",_LockStatus="解锁信息不完整")),"违规：锁仓期间禁止加仓",IF(AQ177&gt;C177*D177,"违规：超过单笔风险上限",IF(SUM($AQ$2:$AQ$201)&gt;账户数据!$B$7,"违规：超过账户风险上限","通过")))))))))</f>
        <v/>
      </c>
    </row>
    <row r="178">
      <c r="A178" s="2" t="n"/>
      <c r="B178" s="2" t="n"/>
      <c r="C178" s="40" t="n"/>
      <c r="D178" s="6" t="n"/>
      <c r="E178" s="40" t="n"/>
      <c r="F178" s="8">
        <f>IF(OR(C178="",D178="",E178="",N178="",C178&lt;=0,D178&lt;=0,E178&lt;=N178),"",ROUNDDOWN((C178*D178)/(E178-N178)/100,0)*100)</f>
        <v/>
      </c>
      <c r="G178" s="8">
        <f>IF(A178="","",IF(H178&lt;&gt;"","已开仓",IF(账户数据!$B$23="已锁仓","禁止开仓：连续亏损达到上限",IF(账户数据!$B$23="解锁信息不完整","禁止开仓：请完整填写解锁信息",IF(OR(F178="",E178="",N178="",E178&lt;=N178,账户数据!$B$7=""),"",IF(OR(AG178="",AH178="",AI178=""),"禁止开仓：交易预期未填写完整",IF(COUNTIFS(持仓跟踪!$A$2:$A$501,"止损计划",持仓跟踪!$B$2:$B$501,A178,持仓跟踪!$AC$2:$AC$501,"计划有效")=0,"禁止开仓：请先填写止损计划",IF(账户数据!$B$9+F178*(E178-N178)&gt;=账户数据!$B$7,"禁止开仓：风险额度不足",IF(AJ178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8" s="2" t="n"/>
      <c r="I178" s="41" t="n"/>
      <c r="J178" s="40" t="n"/>
      <c r="K178" s="46">
        <f>IF(A178="","",IFERROR(LOOKUP(2,1/((持仓跟踪!$B$2:$B$501=A178)*(持仓跟踪!$X$2:$X$501="执行卖出")*(持仓跟踪!$Y$2:$Y$501&lt;&gt;"")),持仓跟踪!$Y$2:$Y$501),""))</f>
        <v/>
      </c>
      <c r="L178" s="33">
        <f>IF(A178="","",IFERROR(LOOKUP(2,1/((持仓跟踪!$B$2:$B$501=A178)*(持仓跟踪!$X$2:$X$501="执行卖出")*(持仓跟踪!$Z$2:$Z$501&lt;&gt;"")),持仓跟踪!$Z$2:$Z$501),""))</f>
        <v/>
      </c>
      <c r="M178" s="47">
        <f>IF(A178="","",IFERROR(LOOKUP(2,1/((持仓跟踪!$B$2:$B$501=A178)*(持仓跟踪!$X$2:$X$501="执行卖出")*(持仓跟踪!$H$2:$H$501&lt;&gt;"")),持仓跟踪!$H$2:$H$501),""))</f>
        <v/>
      </c>
      <c r="N178" s="40" t="n"/>
      <c r="O178" s="40" t="n"/>
      <c r="P178" s="46">
        <f>IF(A178="","",IFERROR(LOOKUP(2,1/((持仓跟踪!$B$2:$B$501=A178)*(持仓跟踪!$X$2:$X$501="执行卖出")*(持仓跟踪!$AA$2:$AA$501&lt;&gt;"")),持仓跟踪!$AA$2:$AA$501),""))</f>
        <v/>
      </c>
      <c r="Q178" s="2" t="n"/>
      <c r="R178" s="2" t="n"/>
      <c r="S178" s="2" t="n"/>
      <c r="T178" s="2" t="n"/>
      <c r="U178" s="7">
        <f>IF(OR(AO178="",J178="",AO178&lt;=0),"",(J178-AO178)/AO178)</f>
        <v/>
      </c>
      <c r="V178" s="7">
        <f>IF(OR(AO178="",N178="",AO178&lt;=0),"",(AO178-N178)/AO178)</f>
        <v/>
      </c>
      <c r="W178" s="13">
        <f>IF(OR(U178="",V178="",V178&lt;=0),"",U178/V178)</f>
        <v/>
      </c>
      <c r="X178" s="42">
        <f>IF(OR(K178="",L178="",AP178=""),"",K178*L178-(E178*H178+IF(AND(AK178&lt;&gt;"",AL178&lt;&gt;""),AK178*AL178,0)+IF(AND(AM178&lt;&gt;"",AN178&lt;&gt;""),AM178*AN178,0))-IF(O178="",0,O178)-IF(P178="",0,P178))</f>
        <v/>
      </c>
      <c r="Y178" s="7">
        <f>IF(OR(X178="",AP178=""),"",IF((E178*H178+IF(AND(AK178&lt;&gt;"",AL178&lt;&gt;""),AK178*AL178,0)+IF(AND(AM178&lt;&gt;"",AN178&lt;&gt;""),AM178*AN178,0))+IF(O178="",0,O178)&lt;=0,"",X178/((E178*H178+IF(AND(AK178&lt;&gt;"",AL178&lt;&gt;""),AK178*AL178,0)+IF(AND(AM178&lt;&gt;"",AN178&lt;&gt;""),AM178*AN178,0))+IF(O178="",0,O178))))</f>
        <v/>
      </c>
      <c r="Z178" s="7">
        <f>IF(OR(AE178="",多次统计数据!$B$8=""),"",AE178-多次统计数据!$B$8)</f>
        <v/>
      </c>
      <c r="AA178" s="14">
        <f>IF(OR(I178="",M178="",M178&lt;I178),"",M178-I178)</f>
        <v/>
      </c>
      <c r="AB178" s="7">
        <f>IF(OR(A178="",多次统计数据!$B$8="",多次统计数据!$B$6&lt;=0,多次统计数据!$B$6&gt;=1),"",1-POWER(1+多次统计数据!$B$8,-多次统计数据!$B$6/(1-多次统计数据!$B$6)))</f>
        <v/>
      </c>
      <c r="AC178" s="8">
        <f>IF(OR(AB178="",多次统计数据!$B$9=""),"",IF(多次统计数据!$B$9&lt;AB178,"低于上限","达到或超过上限"))</f>
        <v/>
      </c>
      <c r="AD178" s="2" t="n"/>
      <c r="AE178" s="7">
        <f>IF(OR(X178="",C178="",C178&lt;=0),"",X178/C178)</f>
        <v/>
      </c>
      <c r="AG178" s="28" t="n"/>
      <c r="AH178" s="28" t="n"/>
      <c r="AI178" s="28" t="n"/>
      <c r="AJ178" s="31">
        <f>IF(OR(AG178="",AH178=""),"",IF(OR(AND(AG178="短期博反弹",OR(AH178="1～3个交易日",AH178="4～10个交易日")),AND(AG178="突破冲新高",OR(AH178="4～10个交易日",AH178="11～20个交易日")),AND(AG178="趋势波段",OR(AH178="11～20个交易日",AH178="21～60个交易日",AH178="60个交易日以上"))),"匹配","周期与交易预期不匹配，请重新确认"))</f>
        <v/>
      </c>
      <c r="AK178" s="43" t="n"/>
      <c r="AL178" s="27" t="n"/>
      <c r="AM178" s="43" t="n"/>
      <c r="AN178" s="27" t="n"/>
      <c r="AO178" s="44">
        <f>IF(OR(A178="",H178="",H178&lt;=0),"",(E178*H178+IF(AND(AK178&lt;&gt;"",AL178&lt;&gt;""),AK178*AL178,0)+IF(AND(AM178&lt;&gt;"",AN178&lt;&gt;""),AM178*AN178,0))/AP178)</f>
        <v/>
      </c>
      <c r="AP178" s="26">
        <f>IF(OR(A178="",H178="",H178&lt;=0),"",H178+IF(AL178="",0,AL178)+IF(AN178="",0,AN178))</f>
        <v/>
      </c>
      <c r="AQ178" s="44">
        <f>IF(A178="","",IF(M178&lt;&gt;"",0,IF(OR(H178="",N178=""),"",MAX(E178-MAX(N178,IFERROR(AGGREGATE(14,6,'持仓跟踪'!$S$2:$S$501/(('持仓跟踪'!$A$2:$A$501="每日跟踪")*('持仓跟踪'!$B$2:$B$501=A178)),1),0)),0)*H178+IF(OR(AK178="",AL178=""),0,MAX(AK178-MAX(N178,IFERROR(AGGREGATE(14,6,'持仓跟踪'!$S$2:$S$501/(('持仓跟踪'!$A$2:$A$501="每日跟踪")*('持仓跟踪'!$B$2:$B$501=A178)),1),0)),0)*AL178)+IF(OR(AM178="",AN178=""),0,MAX(AM178-MAX(N178,IFERROR(AGGREGATE(14,6,'持仓跟踪'!$S$2:$S$501/(('持仓跟踪'!$A$2:$A$501="每日跟踪")*('持仓跟踪'!$B$2:$B$501=A178)),1),0)),0)*AN178))))</f>
        <v/>
      </c>
      <c r="AR178" s="31">
        <f>IF(A178="","",IF(OR(E178="",H178=""),"违规：第一批价格或股数缺失",IF(OR(AND(AK178="",AL178&lt;&gt;""),AND(AK178&lt;&gt;"",AL178="")),"违规：第二批价格与股数须成对填写",IF(OR(AND(AM178="",AN178&lt;&gt;""),AND(AM178&lt;&gt;"",AN178="")),"违规：第三批价格与股数须成对填写",IF(AND(OR(AM178&lt;&gt;"",AN178&lt;&gt;""),OR(AK178="",AL178="")),"违规：必须先完成第二批",IF(OR(H178&lt;=0,H178&lt;&gt;INT(H178),MOD(H178,100)&lt;&gt;0,AND(AL178&lt;&gt;"",OR(AL178&lt;=0,AL178&lt;&gt;INT(AL178),MOD(AL178,100)&lt;&gt;0)),AND(AN178&lt;&gt;"",OR(AN178&lt;=0,AN178&lt;&gt;INT(AN178),MOD(AN178,100)&lt;&gt;0))),"违规：股数须为100股整数倍",IF(AND(OR(AL178&lt;&gt;"",AN178&lt;&gt;""),OR(_LockStatus="已锁仓",_LockStatus="解锁信息不完整")),"违规：锁仓期间禁止加仓",IF(AQ178&gt;C178*D178,"违规：超过单笔风险上限",IF(SUM($AQ$2:$AQ$201)&gt;账户数据!$B$7,"违规：超过账户风险上限","通过")))))))))</f>
        <v/>
      </c>
    </row>
    <row r="179">
      <c r="A179" s="2" t="n"/>
      <c r="B179" s="2" t="n"/>
      <c r="C179" s="40" t="n"/>
      <c r="D179" s="6" t="n"/>
      <c r="E179" s="40" t="n"/>
      <c r="F179" s="8">
        <f>IF(OR(C179="",D179="",E179="",N179="",C179&lt;=0,D179&lt;=0,E179&lt;=N179),"",ROUNDDOWN((C179*D179)/(E179-N179)/100,0)*100)</f>
        <v/>
      </c>
      <c r="G179" s="8">
        <f>IF(A179="","",IF(H179&lt;&gt;"","已开仓",IF(账户数据!$B$23="已锁仓","禁止开仓：连续亏损达到上限",IF(账户数据!$B$23="解锁信息不完整","禁止开仓：请完整填写解锁信息",IF(OR(F179="",E179="",N179="",E179&lt;=N179,账户数据!$B$7=""),"",IF(OR(AG179="",AH179="",AI179=""),"禁止开仓：交易预期未填写完整",IF(COUNTIFS(持仓跟踪!$A$2:$A$501,"止损计划",持仓跟踪!$B$2:$B$501,A179,持仓跟踪!$AC$2:$AC$501,"计划有效")=0,"禁止开仓：请先填写止损计划",IF(账户数据!$B$9+F179*(E179-N179)&gt;=账户数据!$B$7,"禁止开仓：风险额度不足",IF(AJ179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79" s="2" t="n"/>
      <c r="I179" s="41" t="n"/>
      <c r="J179" s="40" t="n"/>
      <c r="K179" s="46">
        <f>IF(A179="","",IFERROR(LOOKUP(2,1/((持仓跟踪!$B$2:$B$501=A179)*(持仓跟踪!$X$2:$X$501="执行卖出")*(持仓跟踪!$Y$2:$Y$501&lt;&gt;"")),持仓跟踪!$Y$2:$Y$501),""))</f>
        <v/>
      </c>
      <c r="L179" s="33">
        <f>IF(A179="","",IFERROR(LOOKUP(2,1/((持仓跟踪!$B$2:$B$501=A179)*(持仓跟踪!$X$2:$X$501="执行卖出")*(持仓跟踪!$Z$2:$Z$501&lt;&gt;"")),持仓跟踪!$Z$2:$Z$501),""))</f>
        <v/>
      </c>
      <c r="M179" s="47">
        <f>IF(A179="","",IFERROR(LOOKUP(2,1/((持仓跟踪!$B$2:$B$501=A179)*(持仓跟踪!$X$2:$X$501="执行卖出")*(持仓跟踪!$H$2:$H$501&lt;&gt;"")),持仓跟踪!$H$2:$H$501),""))</f>
        <v/>
      </c>
      <c r="N179" s="40" t="n"/>
      <c r="O179" s="40" t="n"/>
      <c r="P179" s="46">
        <f>IF(A179="","",IFERROR(LOOKUP(2,1/((持仓跟踪!$B$2:$B$501=A179)*(持仓跟踪!$X$2:$X$501="执行卖出")*(持仓跟踪!$AA$2:$AA$501&lt;&gt;"")),持仓跟踪!$AA$2:$AA$501),""))</f>
        <v/>
      </c>
      <c r="Q179" s="2" t="n"/>
      <c r="R179" s="2" t="n"/>
      <c r="S179" s="2" t="n"/>
      <c r="T179" s="2" t="n"/>
      <c r="U179" s="7">
        <f>IF(OR(AO179="",J179="",AO179&lt;=0),"",(J179-AO179)/AO179)</f>
        <v/>
      </c>
      <c r="V179" s="7">
        <f>IF(OR(AO179="",N179="",AO179&lt;=0),"",(AO179-N179)/AO179)</f>
        <v/>
      </c>
      <c r="W179" s="13">
        <f>IF(OR(U179="",V179="",V179&lt;=0),"",U179/V179)</f>
        <v/>
      </c>
      <c r="X179" s="42">
        <f>IF(OR(K179="",L179="",AP179=""),"",K179*L179-(E179*H179+IF(AND(AK179&lt;&gt;"",AL179&lt;&gt;""),AK179*AL179,0)+IF(AND(AM179&lt;&gt;"",AN179&lt;&gt;""),AM179*AN179,0))-IF(O179="",0,O179)-IF(P179="",0,P179))</f>
        <v/>
      </c>
      <c r="Y179" s="7">
        <f>IF(OR(X179="",AP179=""),"",IF((E179*H179+IF(AND(AK179&lt;&gt;"",AL179&lt;&gt;""),AK179*AL179,0)+IF(AND(AM179&lt;&gt;"",AN179&lt;&gt;""),AM179*AN179,0))+IF(O179="",0,O179)&lt;=0,"",X179/((E179*H179+IF(AND(AK179&lt;&gt;"",AL179&lt;&gt;""),AK179*AL179,0)+IF(AND(AM179&lt;&gt;"",AN179&lt;&gt;""),AM179*AN179,0))+IF(O179="",0,O179))))</f>
        <v/>
      </c>
      <c r="Z179" s="7">
        <f>IF(OR(AE179="",多次统计数据!$B$8=""),"",AE179-多次统计数据!$B$8)</f>
        <v/>
      </c>
      <c r="AA179" s="14">
        <f>IF(OR(I179="",M179="",M179&lt;I179),"",M179-I179)</f>
        <v/>
      </c>
      <c r="AB179" s="7">
        <f>IF(OR(A179="",多次统计数据!$B$8="",多次统计数据!$B$6&lt;=0,多次统计数据!$B$6&gt;=1),"",1-POWER(1+多次统计数据!$B$8,-多次统计数据!$B$6/(1-多次统计数据!$B$6)))</f>
        <v/>
      </c>
      <c r="AC179" s="8">
        <f>IF(OR(AB179="",多次统计数据!$B$9=""),"",IF(多次统计数据!$B$9&lt;AB179,"低于上限","达到或超过上限"))</f>
        <v/>
      </c>
      <c r="AD179" s="2" t="n"/>
      <c r="AE179" s="7">
        <f>IF(OR(X179="",C179="",C179&lt;=0),"",X179/C179)</f>
        <v/>
      </c>
      <c r="AG179" s="28" t="n"/>
      <c r="AH179" s="28" t="n"/>
      <c r="AI179" s="28" t="n"/>
      <c r="AJ179" s="31">
        <f>IF(OR(AG179="",AH179=""),"",IF(OR(AND(AG179="短期博反弹",OR(AH179="1～3个交易日",AH179="4～10个交易日")),AND(AG179="突破冲新高",OR(AH179="4～10个交易日",AH179="11～20个交易日")),AND(AG179="趋势波段",OR(AH179="11～20个交易日",AH179="21～60个交易日",AH179="60个交易日以上"))),"匹配","周期与交易预期不匹配，请重新确认"))</f>
        <v/>
      </c>
      <c r="AK179" s="43" t="n"/>
      <c r="AL179" s="27" t="n"/>
      <c r="AM179" s="43" t="n"/>
      <c r="AN179" s="27" t="n"/>
      <c r="AO179" s="44">
        <f>IF(OR(A179="",H179="",H179&lt;=0),"",(E179*H179+IF(AND(AK179&lt;&gt;"",AL179&lt;&gt;""),AK179*AL179,0)+IF(AND(AM179&lt;&gt;"",AN179&lt;&gt;""),AM179*AN179,0))/AP179)</f>
        <v/>
      </c>
      <c r="AP179" s="26">
        <f>IF(OR(A179="",H179="",H179&lt;=0),"",H179+IF(AL179="",0,AL179)+IF(AN179="",0,AN179))</f>
        <v/>
      </c>
      <c r="AQ179" s="44">
        <f>IF(A179="","",IF(M179&lt;&gt;"",0,IF(OR(H179="",N179=""),"",MAX(E179-MAX(N179,IFERROR(AGGREGATE(14,6,'持仓跟踪'!$S$2:$S$501/(('持仓跟踪'!$A$2:$A$501="每日跟踪")*('持仓跟踪'!$B$2:$B$501=A179)),1),0)),0)*H179+IF(OR(AK179="",AL179=""),0,MAX(AK179-MAX(N179,IFERROR(AGGREGATE(14,6,'持仓跟踪'!$S$2:$S$501/(('持仓跟踪'!$A$2:$A$501="每日跟踪")*('持仓跟踪'!$B$2:$B$501=A179)),1),0)),0)*AL179)+IF(OR(AM179="",AN179=""),0,MAX(AM179-MAX(N179,IFERROR(AGGREGATE(14,6,'持仓跟踪'!$S$2:$S$501/(('持仓跟踪'!$A$2:$A$501="每日跟踪")*('持仓跟踪'!$B$2:$B$501=A179)),1),0)),0)*AN179))))</f>
        <v/>
      </c>
      <c r="AR179" s="31">
        <f>IF(A179="","",IF(OR(E179="",H179=""),"违规：第一批价格或股数缺失",IF(OR(AND(AK179="",AL179&lt;&gt;""),AND(AK179&lt;&gt;"",AL179="")),"违规：第二批价格与股数须成对填写",IF(OR(AND(AM179="",AN179&lt;&gt;""),AND(AM179&lt;&gt;"",AN179="")),"违规：第三批价格与股数须成对填写",IF(AND(OR(AM179&lt;&gt;"",AN179&lt;&gt;""),OR(AK179="",AL179="")),"违规：必须先完成第二批",IF(OR(H179&lt;=0,H179&lt;&gt;INT(H179),MOD(H179,100)&lt;&gt;0,AND(AL179&lt;&gt;"",OR(AL179&lt;=0,AL179&lt;&gt;INT(AL179),MOD(AL179,100)&lt;&gt;0)),AND(AN179&lt;&gt;"",OR(AN179&lt;=0,AN179&lt;&gt;INT(AN179),MOD(AN179,100)&lt;&gt;0))),"违规：股数须为100股整数倍",IF(AND(OR(AL179&lt;&gt;"",AN179&lt;&gt;""),OR(_LockStatus="已锁仓",_LockStatus="解锁信息不完整")),"违规：锁仓期间禁止加仓",IF(AQ179&gt;C179*D179,"违规：超过单笔风险上限",IF(SUM($AQ$2:$AQ$201)&gt;账户数据!$B$7,"违规：超过账户风险上限","通过")))))))))</f>
        <v/>
      </c>
    </row>
    <row r="180">
      <c r="A180" s="2" t="n"/>
      <c r="B180" s="2" t="n"/>
      <c r="C180" s="40" t="n"/>
      <c r="D180" s="6" t="n"/>
      <c r="E180" s="40" t="n"/>
      <c r="F180" s="8">
        <f>IF(OR(C180="",D180="",E180="",N180="",C180&lt;=0,D180&lt;=0,E180&lt;=N180),"",ROUNDDOWN((C180*D180)/(E180-N180)/100,0)*100)</f>
        <v/>
      </c>
      <c r="G180" s="8">
        <f>IF(A180="","",IF(H180&lt;&gt;"","已开仓",IF(账户数据!$B$23="已锁仓","禁止开仓：连续亏损达到上限",IF(账户数据!$B$23="解锁信息不完整","禁止开仓：请完整填写解锁信息",IF(OR(F180="",E180="",N180="",E180&lt;=N180,账户数据!$B$7=""),"",IF(OR(AG180="",AH180="",AI180=""),"禁止开仓：交易预期未填写完整",IF(COUNTIFS(持仓跟踪!$A$2:$A$501,"止损计划",持仓跟踪!$B$2:$B$501,A180,持仓跟踪!$AC$2:$AC$501,"计划有效")=0,"禁止开仓：请先填写止损计划",IF(账户数据!$B$9+F180*(E180-N180)&gt;=账户数据!$B$7,"禁止开仓：风险额度不足",IF(AJ180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0" s="2" t="n"/>
      <c r="I180" s="41" t="n"/>
      <c r="J180" s="40" t="n"/>
      <c r="K180" s="46">
        <f>IF(A180="","",IFERROR(LOOKUP(2,1/((持仓跟踪!$B$2:$B$501=A180)*(持仓跟踪!$X$2:$X$501="执行卖出")*(持仓跟踪!$Y$2:$Y$501&lt;&gt;"")),持仓跟踪!$Y$2:$Y$501),""))</f>
        <v/>
      </c>
      <c r="L180" s="33">
        <f>IF(A180="","",IFERROR(LOOKUP(2,1/((持仓跟踪!$B$2:$B$501=A180)*(持仓跟踪!$X$2:$X$501="执行卖出")*(持仓跟踪!$Z$2:$Z$501&lt;&gt;"")),持仓跟踪!$Z$2:$Z$501),""))</f>
        <v/>
      </c>
      <c r="M180" s="47">
        <f>IF(A180="","",IFERROR(LOOKUP(2,1/((持仓跟踪!$B$2:$B$501=A180)*(持仓跟踪!$X$2:$X$501="执行卖出")*(持仓跟踪!$H$2:$H$501&lt;&gt;"")),持仓跟踪!$H$2:$H$501),""))</f>
        <v/>
      </c>
      <c r="N180" s="40" t="n"/>
      <c r="O180" s="40" t="n"/>
      <c r="P180" s="46">
        <f>IF(A180="","",IFERROR(LOOKUP(2,1/((持仓跟踪!$B$2:$B$501=A180)*(持仓跟踪!$X$2:$X$501="执行卖出")*(持仓跟踪!$AA$2:$AA$501&lt;&gt;"")),持仓跟踪!$AA$2:$AA$501),""))</f>
        <v/>
      </c>
      <c r="Q180" s="2" t="n"/>
      <c r="R180" s="2" t="n"/>
      <c r="S180" s="2" t="n"/>
      <c r="T180" s="2" t="n"/>
      <c r="U180" s="7">
        <f>IF(OR(AO180="",J180="",AO180&lt;=0),"",(J180-AO180)/AO180)</f>
        <v/>
      </c>
      <c r="V180" s="7">
        <f>IF(OR(AO180="",N180="",AO180&lt;=0),"",(AO180-N180)/AO180)</f>
        <v/>
      </c>
      <c r="W180" s="13">
        <f>IF(OR(U180="",V180="",V180&lt;=0),"",U180/V180)</f>
        <v/>
      </c>
      <c r="X180" s="42">
        <f>IF(OR(K180="",L180="",AP180=""),"",K180*L180-(E180*H180+IF(AND(AK180&lt;&gt;"",AL180&lt;&gt;""),AK180*AL180,0)+IF(AND(AM180&lt;&gt;"",AN180&lt;&gt;""),AM180*AN180,0))-IF(O180="",0,O180)-IF(P180="",0,P180))</f>
        <v/>
      </c>
      <c r="Y180" s="7">
        <f>IF(OR(X180="",AP180=""),"",IF((E180*H180+IF(AND(AK180&lt;&gt;"",AL180&lt;&gt;""),AK180*AL180,0)+IF(AND(AM180&lt;&gt;"",AN180&lt;&gt;""),AM180*AN180,0))+IF(O180="",0,O180)&lt;=0,"",X180/((E180*H180+IF(AND(AK180&lt;&gt;"",AL180&lt;&gt;""),AK180*AL180,0)+IF(AND(AM180&lt;&gt;"",AN180&lt;&gt;""),AM180*AN180,0))+IF(O180="",0,O180))))</f>
        <v/>
      </c>
      <c r="Z180" s="7">
        <f>IF(OR(AE180="",多次统计数据!$B$8=""),"",AE180-多次统计数据!$B$8)</f>
        <v/>
      </c>
      <c r="AA180" s="14">
        <f>IF(OR(I180="",M180="",M180&lt;I180),"",M180-I180)</f>
        <v/>
      </c>
      <c r="AB180" s="7">
        <f>IF(OR(A180="",多次统计数据!$B$8="",多次统计数据!$B$6&lt;=0,多次统计数据!$B$6&gt;=1),"",1-POWER(1+多次统计数据!$B$8,-多次统计数据!$B$6/(1-多次统计数据!$B$6)))</f>
        <v/>
      </c>
      <c r="AC180" s="8">
        <f>IF(OR(AB180="",多次统计数据!$B$9=""),"",IF(多次统计数据!$B$9&lt;AB180,"低于上限","达到或超过上限"))</f>
        <v/>
      </c>
      <c r="AD180" s="2" t="n"/>
      <c r="AE180" s="7">
        <f>IF(OR(X180="",C180="",C180&lt;=0),"",X180/C180)</f>
        <v/>
      </c>
      <c r="AG180" s="28" t="n"/>
      <c r="AH180" s="28" t="n"/>
      <c r="AI180" s="28" t="n"/>
      <c r="AJ180" s="31">
        <f>IF(OR(AG180="",AH180=""),"",IF(OR(AND(AG180="短期博反弹",OR(AH180="1～3个交易日",AH180="4～10个交易日")),AND(AG180="突破冲新高",OR(AH180="4～10个交易日",AH180="11～20个交易日")),AND(AG180="趋势波段",OR(AH180="11～20个交易日",AH180="21～60个交易日",AH180="60个交易日以上"))),"匹配","周期与交易预期不匹配，请重新确认"))</f>
        <v/>
      </c>
      <c r="AK180" s="43" t="n"/>
      <c r="AL180" s="27" t="n"/>
      <c r="AM180" s="43" t="n"/>
      <c r="AN180" s="27" t="n"/>
      <c r="AO180" s="44">
        <f>IF(OR(A180="",H180="",H180&lt;=0),"",(E180*H180+IF(AND(AK180&lt;&gt;"",AL180&lt;&gt;""),AK180*AL180,0)+IF(AND(AM180&lt;&gt;"",AN180&lt;&gt;""),AM180*AN180,0))/AP180)</f>
        <v/>
      </c>
      <c r="AP180" s="26">
        <f>IF(OR(A180="",H180="",H180&lt;=0),"",H180+IF(AL180="",0,AL180)+IF(AN180="",0,AN180))</f>
        <v/>
      </c>
      <c r="AQ180" s="44">
        <f>IF(A180="","",IF(M180&lt;&gt;"",0,IF(OR(H180="",N180=""),"",MAX(E180-MAX(N180,IFERROR(AGGREGATE(14,6,'持仓跟踪'!$S$2:$S$501/(('持仓跟踪'!$A$2:$A$501="每日跟踪")*('持仓跟踪'!$B$2:$B$501=A180)),1),0)),0)*H180+IF(OR(AK180="",AL180=""),0,MAX(AK180-MAX(N180,IFERROR(AGGREGATE(14,6,'持仓跟踪'!$S$2:$S$501/(('持仓跟踪'!$A$2:$A$501="每日跟踪")*('持仓跟踪'!$B$2:$B$501=A180)),1),0)),0)*AL180)+IF(OR(AM180="",AN180=""),0,MAX(AM180-MAX(N180,IFERROR(AGGREGATE(14,6,'持仓跟踪'!$S$2:$S$501/(('持仓跟踪'!$A$2:$A$501="每日跟踪")*('持仓跟踪'!$B$2:$B$501=A180)),1),0)),0)*AN180))))</f>
        <v/>
      </c>
      <c r="AR180" s="31">
        <f>IF(A180="","",IF(OR(E180="",H180=""),"违规：第一批价格或股数缺失",IF(OR(AND(AK180="",AL180&lt;&gt;""),AND(AK180&lt;&gt;"",AL180="")),"违规：第二批价格与股数须成对填写",IF(OR(AND(AM180="",AN180&lt;&gt;""),AND(AM180&lt;&gt;"",AN180="")),"违规：第三批价格与股数须成对填写",IF(AND(OR(AM180&lt;&gt;"",AN180&lt;&gt;""),OR(AK180="",AL180="")),"违规：必须先完成第二批",IF(OR(H180&lt;=0,H180&lt;&gt;INT(H180),MOD(H180,100)&lt;&gt;0,AND(AL180&lt;&gt;"",OR(AL180&lt;=0,AL180&lt;&gt;INT(AL180),MOD(AL180,100)&lt;&gt;0)),AND(AN180&lt;&gt;"",OR(AN180&lt;=0,AN180&lt;&gt;INT(AN180),MOD(AN180,100)&lt;&gt;0))),"违规：股数须为100股整数倍",IF(AND(OR(AL180&lt;&gt;"",AN180&lt;&gt;""),OR(_LockStatus="已锁仓",_LockStatus="解锁信息不完整")),"违规：锁仓期间禁止加仓",IF(AQ180&gt;C180*D180,"违规：超过单笔风险上限",IF(SUM($AQ$2:$AQ$201)&gt;账户数据!$B$7,"违规：超过账户风险上限","通过")))))))))</f>
        <v/>
      </c>
    </row>
    <row r="181">
      <c r="A181" s="2" t="n"/>
      <c r="B181" s="2" t="n"/>
      <c r="C181" s="40" t="n"/>
      <c r="D181" s="6" t="n"/>
      <c r="E181" s="40" t="n"/>
      <c r="F181" s="8">
        <f>IF(OR(C181="",D181="",E181="",N181="",C181&lt;=0,D181&lt;=0,E181&lt;=N181),"",ROUNDDOWN((C181*D181)/(E181-N181)/100,0)*100)</f>
        <v/>
      </c>
      <c r="G181" s="8">
        <f>IF(A181="","",IF(H181&lt;&gt;"","已开仓",IF(账户数据!$B$23="已锁仓","禁止开仓：连续亏损达到上限",IF(账户数据!$B$23="解锁信息不完整","禁止开仓：请完整填写解锁信息",IF(OR(F181="",E181="",N181="",E181&lt;=N181,账户数据!$B$7=""),"",IF(OR(AG181="",AH181="",AI181=""),"禁止开仓：交易预期未填写完整",IF(COUNTIFS(持仓跟踪!$A$2:$A$501,"止损计划",持仓跟踪!$B$2:$B$501,A181,持仓跟踪!$AC$2:$AC$501,"计划有效")=0,"禁止开仓：请先填写止损计划",IF(账户数据!$B$9+F181*(E181-N181)&gt;=账户数据!$B$7,"禁止开仓：风险额度不足",IF(AJ181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1" s="2" t="n"/>
      <c r="I181" s="41" t="n"/>
      <c r="J181" s="40" t="n"/>
      <c r="K181" s="46">
        <f>IF(A181="","",IFERROR(LOOKUP(2,1/((持仓跟踪!$B$2:$B$501=A181)*(持仓跟踪!$X$2:$X$501="执行卖出")*(持仓跟踪!$Y$2:$Y$501&lt;&gt;"")),持仓跟踪!$Y$2:$Y$501),""))</f>
        <v/>
      </c>
      <c r="L181" s="33">
        <f>IF(A181="","",IFERROR(LOOKUP(2,1/((持仓跟踪!$B$2:$B$501=A181)*(持仓跟踪!$X$2:$X$501="执行卖出")*(持仓跟踪!$Z$2:$Z$501&lt;&gt;"")),持仓跟踪!$Z$2:$Z$501),""))</f>
        <v/>
      </c>
      <c r="M181" s="47">
        <f>IF(A181="","",IFERROR(LOOKUP(2,1/((持仓跟踪!$B$2:$B$501=A181)*(持仓跟踪!$X$2:$X$501="执行卖出")*(持仓跟踪!$H$2:$H$501&lt;&gt;"")),持仓跟踪!$H$2:$H$501),""))</f>
        <v/>
      </c>
      <c r="N181" s="40" t="n"/>
      <c r="O181" s="40" t="n"/>
      <c r="P181" s="46">
        <f>IF(A181="","",IFERROR(LOOKUP(2,1/((持仓跟踪!$B$2:$B$501=A181)*(持仓跟踪!$X$2:$X$501="执行卖出")*(持仓跟踪!$AA$2:$AA$501&lt;&gt;"")),持仓跟踪!$AA$2:$AA$501),""))</f>
        <v/>
      </c>
      <c r="Q181" s="2" t="n"/>
      <c r="R181" s="2" t="n"/>
      <c r="S181" s="2" t="n"/>
      <c r="T181" s="2" t="n"/>
      <c r="U181" s="7">
        <f>IF(OR(AO181="",J181="",AO181&lt;=0),"",(J181-AO181)/AO181)</f>
        <v/>
      </c>
      <c r="V181" s="7">
        <f>IF(OR(AO181="",N181="",AO181&lt;=0),"",(AO181-N181)/AO181)</f>
        <v/>
      </c>
      <c r="W181" s="13">
        <f>IF(OR(U181="",V181="",V181&lt;=0),"",U181/V181)</f>
        <v/>
      </c>
      <c r="X181" s="42">
        <f>IF(OR(K181="",L181="",AP181=""),"",K181*L181-(E181*H181+IF(AND(AK181&lt;&gt;"",AL181&lt;&gt;""),AK181*AL181,0)+IF(AND(AM181&lt;&gt;"",AN181&lt;&gt;""),AM181*AN181,0))-IF(O181="",0,O181)-IF(P181="",0,P181))</f>
        <v/>
      </c>
      <c r="Y181" s="7">
        <f>IF(OR(X181="",AP181=""),"",IF((E181*H181+IF(AND(AK181&lt;&gt;"",AL181&lt;&gt;""),AK181*AL181,0)+IF(AND(AM181&lt;&gt;"",AN181&lt;&gt;""),AM181*AN181,0))+IF(O181="",0,O181)&lt;=0,"",X181/((E181*H181+IF(AND(AK181&lt;&gt;"",AL181&lt;&gt;""),AK181*AL181,0)+IF(AND(AM181&lt;&gt;"",AN181&lt;&gt;""),AM181*AN181,0))+IF(O181="",0,O181))))</f>
        <v/>
      </c>
      <c r="Z181" s="7">
        <f>IF(OR(AE181="",多次统计数据!$B$8=""),"",AE181-多次统计数据!$B$8)</f>
        <v/>
      </c>
      <c r="AA181" s="14">
        <f>IF(OR(I181="",M181="",M181&lt;I181),"",M181-I181)</f>
        <v/>
      </c>
      <c r="AB181" s="7">
        <f>IF(OR(A181="",多次统计数据!$B$8="",多次统计数据!$B$6&lt;=0,多次统计数据!$B$6&gt;=1),"",1-POWER(1+多次统计数据!$B$8,-多次统计数据!$B$6/(1-多次统计数据!$B$6)))</f>
        <v/>
      </c>
      <c r="AC181" s="8">
        <f>IF(OR(AB181="",多次统计数据!$B$9=""),"",IF(多次统计数据!$B$9&lt;AB181,"低于上限","达到或超过上限"))</f>
        <v/>
      </c>
      <c r="AD181" s="2" t="n"/>
      <c r="AE181" s="7">
        <f>IF(OR(X181="",C181="",C181&lt;=0),"",X181/C181)</f>
        <v/>
      </c>
      <c r="AG181" s="28" t="n"/>
      <c r="AH181" s="28" t="n"/>
      <c r="AI181" s="28" t="n"/>
      <c r="AJ181" s="31">
        <f>IF(OR(AG181="",AH181=""),"",IF(OR(AND(AG181="短期博反弹",OR(AH181="1～3个交易日",AH181="4～10个交易日")),AND(AG181="突破冲新高",OR(AH181="4～10个交易日",AH181="11～20个交易日")),AND(AG181="趋势波段",OR(AH181="11～20个交易日",AH181="21～60个交易日",AH181="60个交易日以上"))),"匹配","周期与交易预期不匹配，请重新确认"))</f>
        <v/>
      </c>
      <c r="AK181" s="43" t="n"/>
      <c r="AL181" s="27" t="n"/>
      <c r="AM181" s="43" t="n"/>
      <c r="AN181" s="27" t="n"/>
      <c r="AO181" s="44">
        <f>IF(OR(A181="",H181="",H181&lt;=0),"",(E181*H181+IF(AND(AK181&lt;&gt;"",AL181&lt;&gt;""),AK181*AL181,0)+IF(AND(AM181&lt;&gt;"",AN181&lt;&gt;""),AM181*AN181,0))/AP181)</f>
        <v/>
      </c>
      <c r="AP181" s="26">
        <f>IF(OR(A181="",H181="",H181&lt;=0),"",H181+IF(AL181="",0,AL181)+IF(AN181="",0,AN181))</f>
        <v/>
      </c>
      <c r="AQ181" s="44">
        <f>IF(A181="","",IF(M181&lt;&gt;"",0,IF(OR(H181="",N181=""),"",MAX(E181-MAX(N181,IFERROR(AGGREGATE(14,6,'持仓跟踪'!$S$2:$S$501/(('持仓跟踪'!$A$2:$A$501="每日跟踪")*('持仓跟踪'!$B$2:$B$501=A181)),1),0)),0)*H181+IF(OR(AK181="",AL181=""),0,MAX(AK181-MAX(N181,IFERROR(AGGREGATE(14,6,'持仓跟踪'!$S$2:$S$501/(('持仓跟踪'!$A$2:$A$501="每日跟踪")*('持仓跟踪'!$B$2:$B$501=A181)),1),0)),0)*AL181)+IF(OR(AM181="",AN181=""),0,MAX(AM181-MAX(N181,IFERROR(AGGREGATE(14,6,'持仓跟踪'!$S$2:$S$501/(('持仓跟踪'!$A$2:$A$501="每日跟踪")*('持仓跟踪'!$B$2:$B$501=A181)),1),0)),0)*AN181))))</f>
        <v/>
      </c>
      <c r="AR181" s="31">
        <f>IF(A181="","",IF(OR(E181="",H181=""),"违规：第一批价格或股数缺失",IF(OR(AND(AK181="",AL181&lt;&gt;""),AND(AK181&lt;&gt;"",AL181="")),"违规：第二批价格与股数须成对填写",IF(OR(AND(AM181="",AN181&lt;&gt;""),AND(AM181&lt;&gt;"",AN181="")),"违规：第三批价格与股数须成对填写",IF(AND(OR(AM181&lt;&gt;"",AN181&lt;&gt;""),OR(AK181="",AL181="")),"违规：必须先完成第二批",IF(OR(H181&lt;=0,H181&lt;&gt;INT(H181),MOD(H181,100)&lt;&gt;0,AND(AL181&lt;&gt;"",OR(AL181&lt;=0,AL181&lt;&gt;INT(AL181),MOD(AL181,100)&lt;&gt;0)),AND(AN181&lt;&gt;"",OR(AN181&lt;=0,AN181&lt;&gt;INT(AN181),MOD(AN181,100)&lt;&gt;0))),"违规：股数须为100股整数倍",IF(AND(OR(AL181&lt;&gt;"",AN181&lt;&gt;""),OR(_LockStatus="已锁仓",_LockStatus="解锁信息不完整")),"违规：锁仓期间禁止加仓",IF(AQ181&gt;C181*D181,"违规：超过单笔风险上限",IF(SUM($AQ$2:$AQ$201)&gt;账户数据!$B$7,"违规：超过账户风险上限","通过")))))))))</f>
        <v/>
      </c>
    </row>
    <row r="182">
      <c r="A182" s="2" t="n"/>
      <c r="B182" s="2" t="n"/>
      <c r="C182" s="40" t="n"/>
      <c r="D182" s="6" t="n"/>
      <c r="E182" s="40" t="n"/>
      <c r="F182" s="8">
        <f>IF(OR(C182="",D182="",E182="",N182="",C182&lt;=0,D182&lt;=0,E182&lt;=N182),"",ROUNDDOWN((C182*D182)/(E182-N182)/100,0)*100)</f>
        <v/>
      </c>
      <c r="G182" s="8">
        <f>IF(A182="","",IF(H182&lt;&gt;"","已开仓",IF(账户数据!$B$23="已锁仓","禁止开仓：连续亏损达到上限",IF(账户数据!$B$23="解锁信息不完整","禁止开仓：请完整填写解锁信息",IF(OR(F182="",E182="",N182="",E182&lt;=N182,账户数据!$B$7=""),"",IF(OR(AG182="",AH182="",AI182=""),"禁止开仓：交易预期未填写完整",IF(COUNTIFS(持仓跟踪!$A$2:$A$501,"止损计划",持仓跟踪!$B$2:$B$501,A182,持仓跟踪!$AC$2:$AC$501,"计划有效")=0,"禁止开仓：请先填写止损计划",IF(账户数据!$B$9+F182*(E182-N182)&gt;=账户数据!$B$7,"禁止开仓：风险额度不足",IF(AJ182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2" s="2" t="n"/>
      <c r="I182" s="41" t="n"/>
      <c r="J182" s="40" t="n"/>
      <c r="K182" s="46">
        <f>IF(A182="","",IFERROR(LOOKUP(2,1/((持仓跟踪!$B$2:$B$501=A182)*(持仓跟踪!$X$2:$X$501="执行卖出")*(持仓跟踪!$Y$2:$Y$501&lt;&gt;"")),持仓跟踪!$Y$2:$Y$501),""))</f>
        <v/>
      </c>
      <c r="L182" s="33">
        <f>IF(A182="","",IFERROR(LOOKUP(2,1/((持仓跟踪!$B$2:$B$501=A182)*(持仓跟踪!$X$2:$X$501="执行卖出")*(持仓跟踪!$Z$2:$Z$501&lt;&gt;"")),持仓跟踪!$Z$2:$Z$501),""))</f>
        <v/>
      </c>
      <c r="M182" s="47">
        <f>IF(A182="","",IFERROR(LOOKUP(2,1/((持仓跟踪!$B$2:$B$501=A182)*(持仓跟踪!$X$2:$X$501="执行卖出")*(持仓跟踪!$H$2:$H$501&lt;&gt;"")),持仓跟踪!$H$2:$H$501),""))</f>
        <v/>
      </c>
      <c r="N182" s="40" t="n"/>
      <c r="O182" s="40" t="n"/>
      <c r="P182" s="46">
        <f>IF(A182="","",IFERROR(LOOKUP(2,1/((持仓跟踪!$B$2:$B$501=A182)*(持仓跟踪!$X$2:$X$501="执行卖出")*(持仓跟踪!$AA$2:$AA$501&lt;&gt;"")),持仓跟踪!$AA$2:$AA$501),""))</f>
        <v/>
      </c>
      <c r="Q182" s="2" t="n"/>
      <c r="R182" s="2" t="n"/>
      <c r="S182" s="2" t="n"/>
      <c r="T182" s="2" t="n"/>
      <c r="U182" s="7">
        <f>IF(OR(AO182="",J182="",AO182&lt;=0),"",(J182-AO182)/AO182)</f>
        <v/>
      </c>
      <c r="V182" s="7">
        <f>IF(OR(AO182="",N182="",AO182&lt;=0),"",(AO182-N182)/AO182)</f>
        <v/>
      </c>
      <c r="W182" s="13">
        <f>IF(OR(U182="",V182="",V182&lt;=0),"",U182/V182)</f>
        <v/>
      </c>
      <c r="X182" s="42">
        <f>IF(OR(K182="",L182="",AP182=""),"",K182*L182-(E182*H182+IF(AND(AK182&lt;&gt;"",AL182&lt;&gt;""),AK182*AL182,0)+IF(AND(AM182&lt;&gt;"",AN182&lt;&gt;""),AM182*AN182,0))-IF(O182="",0,O182)-IF(P182="",0,P182))</f>
        <v/>
      </c>
      <c r="Y182" s="7">
        <f>IF(OR(X182="",AP182=""),"",IF((E182*H182+IF(AND(AK182&lt;&gt;"",AL182&lt;&gt;""),AK182*AL182,0)+IF(AND(AM182&lt;&gt;"",AN182&lt;&gt;""),AM182*AN182,0))+IF(O182="",0,O182)&lt;=0,"",X182/((E182*H182+IF(AND(AK182&lt;&gt;"",AL182&lt;&gt;""),AK182*AL182,0)+IF(AND(AM182&lt;&gt;"",AN182&lt;&gt;""),AM182*AN182,0))+IF(O182="",0,O182))))</f>
        <v/>
      </c>
      <c r="Z182" s="7">
        <f>IF(OR(AE182="",多次统计数据!$B$8=""),"",AE182-多次统计数据!$B$8)</f>
        <v/>
      </c>
      <c r="AA182" s="14">
        <f>IF(OR(I182="",M182="",M182&lt;I182),"",M182-I182)</f>
        <v/>
      </c>
      <c r="AB182" s="7">
        <f>IF(OR(A182="",多次统计数据!$B$8="",多次统计数据!$B$6&lt;=0,多次统计数据!$B$6&gt;=1),"",1-POWER(1+多次统计数据!$B$8,-多次统计数据!$B$6/(1-多次统计数据!$B$6)))</f>
        <v/>
      </c>
      <c r="AC182" s="8">
        <f>IF(OR(AB182="",多次统计数据!$B$9=""),"",IF(多次统计数据!$B$9&lt;AB182,"低于上限","达到或超过上限"))</f>
        <v/>
      </c>
      <c r="AD182" s="2" t="n"/>
      <c r="AE182" s="7">
        <f>IF(OR(X182="",C182="",C182&lt;=0),"",X182/C182)</f>
        <v/>
      </c>
      <c r="AG182" s="28" t="n"/>
      <c r="AH182" s="28" t="n"/>
      <c r="AI182" s="28" t="n"/>
      <c r="AJ182" s="31">
        <f>IF(OR(AG182="",AH182=""),"",IF(OR(AND(AG182="短期博反弹",OR(AH182="1～3个交易日",AH182="4～10个交易日")),AND(AG182="突破冲新高",OR(AH182="4～10个交易日",AH182="11～20个交易日")),AND(AG182="趋势波段",OR(AH182="11～20个交易日",AH182="21～60个交易日",AH182="60个交易日以上"))),"匹配","周期与交易预期不匹配，请重新确认"))</f>
        <v/>
      </c>
      <c r="AK182" s="43" t="n"/>
      <c r="AL182" s="27" t="n"/>
      <c r="AM182" s="43" t="n"/>
      <c r="AN182" s="27" t="n"/>
      <c r="AO182" s="44">
        <f>IF(OR(A182="",H182="",H182&lt;=0),"",(E182*H182+IF(AND(AK182&lt;&gt;"",AL182&lt;&gt;""),AK182*AL182,0)+IF(AND(AM182&lt;&gt;"",AN182&lt;&gt;""),AM182*AN182,0))/AP182)</f>
        <v/>
      </c>
      <c r="AP182" s="26">
        <f>IF(OR(A182="",H182="",H182&lt;=0),"",H182+IF(AL182="",0,AL182)+IF(AN182="",0,AN182))</f>
        <v/>
      </c>
      <c r="AQ182" s="44">
        <f>IF(A182="","",IF(M182&lt;&gt;"",0,IF(OR(H182="",N182=""),"",MAX(E182-MAX(N182,IFERROR(AGGREGATE(14,6,'持仓跟踪'!$S$2:$S$501/(('持仓跟踪'!$A$2:$A$501="每日跟踪")*('持仓跟踪'!$B$2:$B$501=A182)),1),0)),0)*H182+IF(OR(AK182="",AL182=""),0,MAX(AK182-MAX(N182,IFERROR(AGGREGATE(14,6,'持仓跟踪'!$S$2:$S$501/(('持仓跟踪'!$A$2:$A$501="每日跟踪")*('持仓跟踪'!$B$2:$B$501=A182)),1),0)),0)*AL182)+IF(OR(AM182="",AN182=""),0,MAX(AM182-MAX(N182,IFERROR(AGGREGATE(14,6,'持仓跟踪'!$S$2:$S$501/(('持仓跟踪'!$A$2:$A$501="每日跟踪")*('持仓跟踪'!$B$2:$B$501=A182)),1),0)),0)*AN182))))</f>
        <v/>
      </c>
      <c r="AR182" s="31">
        <f>IF(A182="","",IF(OR(E182="",H182=""),"违规：第一批价格或股数缺失",IF(OR(AND(AK182="",AL182&lt;&gt;""),AND(AK182&lt;&gt;"",AL182="")),"违规：第二批价格与股数须成对填写",IF(OR(AND(AM182="",AN182&lt;&gt;""),AND(AM182&lt;&gt;"",AN182="")),"违规：第三批价格与股数须成对填写",IF(AND(OR(AM182&lt;&gt;"",AN182&lt;&gt;""),OR(AK182="",AL182="")),"违规：必须先完成第二批",IF(OR(H182&lt;=0,H182&lt;&gt;INT(H182),MOD(H182,100)&lt;&gt;0,AND(AL182&lt;&gt;"",OR(AL182&lt;=0,AL182&lt;&gt;INT(AL182),MOD(AL182,100)&lt;&gt;0)),AND(AN182&lt;&gt;"",OR(AN182&lt;=0,AN182&lt;&gt;INT(AN182),MOD(AN182,100)&lt;&gt;0))),"违规：股数须为100股整数倍",IF(AND(OR(AL182&lt;&gt;"",AN182&lt;&gt;""),OR(_LockStatus="已锁仓",_LockStatus="解锁信息不完整")),"违规：锁仓期间禁止加仓",IF(AQ182&gt;C182*D182,"违规：超过单笔风险上限",IF(SUM($AQ$2:$AQ$201)&gt;账户数据!$B$7,"违规：超过账户风险上限","通过")))))))))</f>
        <v/>
      </c>
    </row>
    <row r="183">
      <c r="A183" s="2" t="n"/>
      <c r="B183" s="2" t="n"/>
      <c r="C183" s="40" t="n"/>
      <c r="D183" s="6" t="n"/>
      <c r="E183" s="40" t="n"/>
      <c r="F183" s="8">
        <f>IF(OR(C183="",D183="",E183="",N183="",C183&lt;=0,D183&lt;=0,E183&lt;=N183),"",ROUNDDOWN((C183*D183)/(E183-N183)/100,0)*100)</f>
        <v/>
      </c>
      <c r="G183" s="8">
        <f>IF(A183="","",IF(H183&lt;&gt;"","已开仓",IF(账户数据!$B$23="已锁仓","禁止开仓：连续亏损达到上限",IF(账户数据!$B$23="解锁信息不完整","禁止开仓：请完整填写解锁信息",IF(OR(F183="",E183="",N183="",E183&lt;=N183,账户数据!$B$7=""),"",IF(OR(AG183="",AH183="",AI183=""),"禁止开仓：交易预期未填写完整",IF(COUNTIFS(持仓跟踪!$A$2:$A$501,"止损计划",持仓跟踪!$B$2:$B$501,A183,持仓跟踪!$AC$2:$AC$501,"计划有效")=0,"禁止开仓：请先填写止损计划",IF(账户数据!$B$9+F183*(E183-N183)&gt;=账户数据!$B$7,"禁止开仓：风险额度不足",IF(AJ183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3" s="2" t="n"/>
      <c r="I183" s="41" t="n"/>
      <c r="J183" s="40" t="n"/>
      <c r="K183" s="46">
        <f>IF(A183="","",IFERROR(LOOKUP(2,1/((持仓跟踪!$B$2:$B$501=A183)*(持仓跟踪!$X$2:$X$501="执行卖出")*(持仓跟踪!$Y$2:$Y$501&lt;&gt;"")),持仓跟踪!$Y$2:$Y$501),""))</f>
        <v/>
      </c>
      <c r="L183" s="33">
        <f>IF(A183="","",IFERROR(LOOKUP(2,1/((持仓跟踪!$B$2:$B$501=A183)*(持仓跟踪!$X$2:$X$501="执行卖出")*(持仓跟踪!$Z$2:$Z$501&lt;&gt;"")),持仓跟踪!$Z$2:$Z$501),""))</f>
        <v/>
      </c>
      <c r="M183" s="47">
        <f>IF(A183="","",IFERROR(LOOKUP(2,1/((持仓跟踪!$B$2:$B$501=A183)*(持仓跟踪!$X$2:$X$501="执行卖出")*(持仓跟踪!$H$2:$H$501&lt;&gt;"")),持仓跟踪!$H$2:$H$501),""))</f>
        <v/>
      </c>
      <c r="N183" s="40" t="n"/>
      <c r="O183" s="40" t="n"/>
      <c r="P183" s="46">
        <f>IF(A183="","",IFERROR(LOOKUP(2,1/((持仓跟踪!$B$2:$B$501=A183)*(持仓跟踪!$X$2:$X$501="执行卖出")*(持仓跟踪!$AA$2:$AA$501&lt;&gt;"")),持仓跟踪!$AA$2:$AA$501),""))</f>
        <v/>
      </c>
      <c r="Q183" s="2" t="n"/>
      <c r="R183" s="2" t="n"/>
      <c r="S183" s="2" t="n"/>
      <c r="T183" s="2" t="n"/>
      <c r="U183" s="7">
        <f>IF(OR(AO183="",J183="",AO183&lt;=0),"",(J183-AO183)/AO183)</f>
        <v/>
      </c>
      <c r="V183" s="7">
        <f>IF(OR(AO183="",N183="",AO183&lt;=0),"",(AO183-N183)/AO183)</f>
        <v/>
      </c>
      <c r="W183" s="13">
        <f>IF(OR(U183="",V183="",V183&lt;=0),"",U183/V183)</f>
        <v/>
      </c>
      <c r="X183" s="42">
        <f>IF(OR(K183="",L183="",AP183=""),"",K183*L183-(E183*H183+IF(AND(AK183&lt;&gt;"",AL183&lt;&gt;""),AK183*AL183,0)+IF(AND(AM183&lt;&gt;"",AN183&lt;&gt;""),AM183*AN183,0))-IF(O183="",0,O183)-IF(P183="",0,P183))</f>
        <v/>
      </c>
      <c r="Y183" s="7">
        <f>IF(OR(X183="",AP183=""),"",IF((E183*H183+IF(AND(AK183&lt;&gt;"",AL183&lt;&gt;""),AK183*AL183,0)+IF(AND(AM183&lt;&gt;"",AN183&lt;&gt;""),AM183*AN183,0))+IF(O183="",0,O183)&lt;=0,"",X183/((E183*H183+IF(AND(AK183&lt;&gt;"",AL183&lt;&gt;""),AK183*AL183,0)+IF(AND(AM183&lt;&gt;"",AN183&lt;&gt;""),AM183*AN183,0))+IF(O183="",0,O183))))</f>
        <v/>
      </c>
      <c r="Z183" s="7">
        <f>IF(OR(AE183="",多次统计数据!$B$8=""),"",AE183-多次统计数据!$B$8)</f>
        <v/>
      </c>
      <c r="AA183" s="14">
        <f>IF(OR(I183="",M183="",M183&lt;I183),"",M183-I183)</f>
        <v/>
      </c>
      <c r="AB183" s="7">
        <f>IF(OR(A183="",多次统计数据!$B$8="",多次统计数据!$B$6&lt;=0,多次统计数据!$B$6&gt;=1),"",1-POWER(1+多次统计数据!$B$8,-多次统计数据!$B$6/(1-多次统计数据!$B$6)))</f>
        <v/>
      </c>
      <c r="AC183" s="8">
        <f>IF(OR(AB183="",多次统计数据!$B$9=""),"",IF(多次统计数据!$B$9&lt;AB183,"低于上限","达到或超过上限"))</f>
        <v/>
      </c>
      <c r="AD183" s="2" t="n"/>
      <c r="AE183" s="7">
        <f>IF(OR(X183="",C183="",C183&lt;=0),"",X183/C183)</f>
        <v/>
      </c>
      <c r="AG183" s="28" t="n"/>
      <c r="AH183" s="28" t="n"/>
      <c r="AI183" s="28" t="n"/>
      <c r="AJ183" s="31">
        <f>IF(OR(AG183="",AH183=""),"",IF(OR(AND(AG183="短期博反弹",OR(AH183="1～3个交易日",AH183="4～10个交易日")),AND(AG183="突破冲新高",OR(AH183="4～10个交易日",AH183="11～20个交易日")),AND(AG183="趋势波段",OR(AH183="11～20个交易日",AH183="21～60个交易日",AH183="60个交易日以上"))),"匹配","周期与交易预期不匹配，请重新确认"))</f>
        <v/>
      </c>
      <c r="AK183" s="43" t="n"/>
      <c r="AL183" s="27" t="n"/>
      <c r="AM183" s="43" t="n"/>
      <c r="AN183" s="27" t="n"/>
      <c r="AO183" s="44">
        <f>IF(OR(A183="",H183="",H183&lt;=0),"",(E183*H183+IF(AND(AK183&lt;&gt;"",AL183&lt;&gt;""),AK183*AL183,0)+IF(AND(AM183&lt;&gt;"",AN183&lt;&gt;""),AM183*AN183,0))/AP183)</f>
        <v/>
      </c>
      <c r="AP183" s="26">
        <f>IF(OR(A183="",H183="",H183&lt;=0),"",H183+IF(AL183="",0,AL183)+IF(AN183="",0,AN183))</f>
        <v/>
      </c>
      <c r="AQ183" s="44">
        <f>IF(A183="","",IF(M183&lt;&gt;"",0,IF(OR(H183="",N183=""),"",MAX(E183-MAX(N183,IFERROR(AGGREGATE(14,6,'持仓跟踪'!$S$2:$S$501/(('持仓跟踪'!$A$2:$A$501="每日跟踪")*('持仓跟踪'!$B$2:$B$501=A183)),1),0)),0)*H183+IF(OR(AK183="",AL183=""),0,MAX(AK183-MAX(N183,IFERROR(AGGREGATE(14,6,'持仓跟踪'!$S$2:$S$501/(('持仓跟踪'!$A$2:$A$501="每日跟踪")*('持仓跟踪'!$B$2:$B$501=A183)),1),0)),0)*AL183)+IF(OR(AM183="",AN183=""),0,MAX(AM183-MAX(N183,IFERROR(AGGREGATE(14,6,'持仓跟踪'!$S$2:$S$501/(('持仓跟踪'!$A$2:$A$501="每日跟踪")*('持仓跟踪'!$B$2:$B$501=A183)),1),0)),0)*AN183))))</f>
        <v/>
      </c>
      <c r="AR183" s="31">
        <f>IF(A183="","",IF(OR(E183="",H183=""),"违规：第一批价格或股数缺失",IF(OR(AND(AK183="",AL183&lt;&gt;""),AND(AK183&lt;&gt;"",AL183="")),"违规：第二批价格与股数须成对填写",IF(OR(AND(AM183="",AN183&lt;&gt;""),AND(AM183&lt;&gt;"",AN183="")),"违规：第三批价格与股数须成对填写",IF(AND(OR(AM183&lt;&gt;"",AN183&lt;&gt;""),OR(AK183="",AL183="")),"违规：必须先完成第二批",IF(OR(H183&lt;=0,H183&lt;&gt;INT(H183),MOD(H183,100)&lt;&gt;0,AND(AL183&lt;&gt;"",OR(AL183&lt;=0,AL183&lt;&gt;INT(AL183),MOD(AL183,100)&lt;&gt;0)),AND(AN183&lt;&gt;"",OR(AN183&lt;=0,AN183&lt;&gt;INT(AN183),MOD(AN183,100)&lt;&gt;0))),"违规：股数须为100股整数倍",IF(AND(OR(AL183&lt;&gt;"",AN183&lt;&gt;""),OR(_LockStatus="已锁仓",_LockStatus="解锁信息不完整")),"违规：锁仓期间禁止加仓",IF(AQ183&gt;C183*D183,"违规：超过单笔风险上限",IF(SUM($AQ$2:$AQ$201)&gt;账户数据!$B$7,"违规：超过账户风险上限","通过")))))))))</f>
        <v/>
      </c>
    </row>
    <row r="184">
      <c r="A184" s="2" t="n"/>
      <c r="B184" s="2" t="n"/>
      <c r="C184" s="40" t="n"/>
      <c r="D184" s="6" t="n"/>
      <c r="E184" s="40" t="n"/>
      <c r="F184" s="8">
        <f>IF(OR(C184="",D184="",E184="",N184="",C184&lt;=0,D184&lt;=0,E184&lt;=N184),"",ROUNDDOWN((C184*D184)/(E184-N184)/100,0)*100)</f>
        <v/>
      </c>
      <c r="G184" s="8">
        <f>IF(A184="","",IF(H184&lt;&gt;"","已开仓",IF(账户数据!$B$23="已锁仓","禁止开仓：连续亏损达到上限",IF(账户数据!$B$23="解锁信息不完整","禁止开仓：请完整填写解锁信息",IF(OR(F184="",E184="",N184="",E184&lt;=N184,账户数据!$B$7=""),"",IF(OR(AG184="",AH184="",AI184=""),"禁止开仓：交易预期未填写完整",IF(COUNTIFS(持仓跟踪!$A$2:$A$501,"止损计划",持仓跟踪!$B$2:$B$501,A184,持仓跟踪!$AC$2:$AC$501,"计划有效")=0,"禁止开仓：请先填写止损计划",IF(账户数据!$B$9+F184*(E184-N184)&gt;=账户数据!$B$7,"禁止开仓：风险额度不足",IF(AJ184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4" s="2" t="n"/>
      <c r="I184" s="41" t="n"/>
      <c r="J184" s="40" t="n"/>
      <c r="K184" s="46">
        <f>IF(A184="","",IFERROR(LOOKUP(2,1/((持仓跟踪!$B$2:$B$501=A184)*(持仓跟踪!$X$2:$X$501="执行卖出")*(持仓跟踪!$Y$2:$Y$501&lt;&gt;"")),持仓跟踪!$Y$2:$Y$501),""))</f>
        <v/>
      </c>
      <c r="L184" s="33">
        <f>IF(A184="","",IFERROR(LOOKUP(2,1/((持仓跟踪!$B$2:$B$501=A184)*(持仓跟踪!$X$2:$X$501="执行卖出")*(持仓跟踪!$Z$2:$Z$501&lt;&gt;"")),持仓跟踪!$Z$2:$Z$501),""))</f>
        <v/>
      </c>
      <c r="M184" s="47">
        <f>IF(A184="","",IFERROR(LOOKUP(2,1/((持仓跟踪!$B$2:$B$501=A184)*(持仓跟踪!$X$2:$X$501="执行卖出")*(持仓跟踪!$H$2:$H$501&lt;&gt;"")),持仓跟踪!$H$2:$H$501),""))</f>
        <v/>
      </c>
      <c r="N184" s="40" t="n"/>
      <c r="O184" s="40" t="n"/>
      <c r="P184" s="46">
        <f>IF(A184="","",IFERROR(LOOKUP(2,1/((持仓跟踪!$B$2:$B$501=A184)*(持仓跟踪!$X$2:$X$501="执行卖出")*(持仓跟踪!$AA$2:$AA$501&lt;&gt;"")),持仓跟踪!$AA$2:$AA$501),""))</f>
        <v/>
      </c>
      <c r="Q184" s="2" t="n"/>
      <c r="R184" s="2" t="n"/>
      <c r="S184" s="2" t="n"/>
      <c r="T184" s="2" t="n"/>
      <c r="U184" s="7">
        <f>IF(OR(AO184="",J184="",AO184&lt;=0),"",(J184-AO184)/AO184)</f>
        <v/>
      </c>
      <c r="V184" s="7">
        <f>IF(OR(AO184="",N184="",AO184&lt;=0),"",(AO184-N184)/AO184)</f>
        <v/>
      </c>
      <c r="W184" s="13">
        <f>IF(OR(U184="",V184="",V184&lt;=0),"",U184/V184)</f>
        <v/>
      </c>
      <c r="X184" s="42">
        <f>IF(OR(K184="",L184="",AP184=""),"",K184*L184-(E184*H184+IF(AND(AK184&lt;&gt;"",AL184&lt;&gt;""),AK184*AL184,0)+IF(AND(AM184&lt;&gt;"",AN184&lt;&gt;""),AM184*AN184,0))-IF(O184="",0,O184)-IF(P184="",0,P184))</f>
        <v/>
      </c>
      <c r="Y184" s="7">
        <f>IF(OR(X184="",AP184=""),"",IF((E184*H184+IF(AND(AK184&lt;&gt;"",AL184&lt;&gt;""),AK184*AL184,0)+IF(AND(AM184&lt;&gt;"",AN184&lt;&gt;""),AM184*AN184,0))+IF(O184="",0,O184)&lt;=0,"",X184/((E184*H184+IF(AND(AK184&lt;&gt;"",AL184&lt;&gt;""),AK184*AL184,0)+IF(AND(AM184&lt;&gt;"",AN184&lt;&gt;""),AM184*AN184,0))+IF(O184="",0,O184))))</f>
        <v/>
      </c>
      <c r="Z184" s="7">
        <f>IF(OR(AE184="",多次统计数据!$B$8=""),"",AE184-多次统计数据!$B$8)</f>
        <v/>
      </c>
      <c r="AA184" s="14">
        <f>IF(OR(I184="",M184="",M184&lt;I184),"",M184-I184)</f>
        <v/>
      </c>
      <c r="AB184" s="7">
        <f>IF(OR(A184="",多次统计数据!$B$8="",多次统计数据!$B$6&lt;=0,多次统计数据!$B$6&gt;=1),"",1-POWER(1+多次统计数据!$B$8,-多次统计数据!$B$6/(1-多次统计数据!$B$6)))</f>
        <v/>
      </c>
      <c r="AC184" s="8">
        <f>IF(OR(AB184="",多次统计数据!$B$9=""),"",IF(多次统计数据!$B$9&lt;AB184,"低于上限","达到或超过上限"))</f>
        <v/>
      </c>
      <c r="AD184" s="2" t="n"/>
      <c r="AE184" s="7">
        <f>IF(OR(X184="",C184="",C184&lt;=0),"",X184/C184)</f>
        <v/>
      </c>
      <c r="AG184" s="28" t="n"/>
      <c r="AH184" s="28" t="n"/>
      <c r="AI184" s="28" t="n"/>
      <c r="AJ184" s="31">
        <f>IF(OR(AG184="",AH184=""),"",IF(OR(AND(AG184="短期博反弹",OR(AH184="1～3个交易日",AH184="4～10个交易日")),AND(AG184="突破冲新高",OR(AH184="4～10个交易日",AH184="11～20个交易日")),AND(AG184="趋势波段",OR(AH184="11～20个交易日",AH184="21～60个交易日",AH184="60个交易日以上"))),"匹配","周期与交易预期不匹配，请重新确认"))</f>
        <v/>
      </c>
      <c r="AK184" s="43" t="n"/>
      <c r="AL184" s="27" t="n"/>
      <c r="AM184" s="43" t="n"/>
      <c r="AN184" s="27" t="n"/>
      <c r="AO184" s="44">
        <f>IF(OR(A184="",H184="",H184&lt;=0),"",(E184*H184+IF(AND(AK184&lt;&gt;"",AL184&lt;&gt;""),AK184*AL184,0)+IF(AND(AM184&lt;&gt;"",AN184&lt;&gt;""),AM184*AN184,0))/AP184)</f>
        <v/>
      </c>
      <c r="AP184" s="26">
        <f>IF(OR(A184="",H184="",H184&lt;=0),"",H184+IF(AL184="",0,AL184)+IF(AN184="",0,AN184))</f>
        <v/>
      </c>
      <c r="AQ184" s="44">
        <f>IF(A184="","",IF(M184&lt;&gt;"",0,IF(OR(H184="",N184=""),"",MAX(E184-MAX(N184,IFERROR(AGGREGATE(14,6,'持仓跟踪'!$S$2:$S$501/(('持仓跟踪'!$A$2:$A$501="每日跟踪")*('持仓跟踪'!$B$2:$B$501=A184)),1),0)),0)*H184+IF(OR(AK184="",AL184=""),0,MAX(AK184-MAX(N184,IFERROR(AGGREGATE(14,6,'持仓跟踪'!$S$2:$S$501/(('持仓跟踪'!$A$2:$A$501="每日跟踪")*('持仓跟踪'!$B$2:$B$501=A184)),1),0)),0)*AL184)+IF(OR(AM184="",AN184=""),0,MAX(AM184-MAX(N184,IFERROR(AGGREGATE(14,6,'持仓跟踪'!$S$2:$S$501/(('持仓跟踪'!$A$2:$A$501="每日跟踪")*('持仓跟踪'!$B$2:$B$501=A184)),1),0)),0)*AN184))))</f>
        <v/>
      </c>
      <c r="AR184" s="31">
        <f>IF(A184="","",IF(OR(E184="",H184=""),"违规：第一批价格或股数缺失",IF(OR(AND(AK184="",AL184&lt;&gt;""),AND(AK184&lt;&gt;"",AL184="")),"违规：第二批价格与股数须成对填写",IF(OR(AND(AM184="",AN184&lt;&gt;""),AND(AM184&lt;&gt;"",AN184="")),"违规：第三批价格与股数须成对填写",IF(AND(OR(AM184&lt;&gt;"",AN184&lt;&gt;""),OR(AK184="",AL184="")),"违规：必须先完成第二批",IF(OR(H184&lt;=0,H184&lt;&gt;INT(H184),MOD(H184,100)&lt;&gt;0,AND(AL184&lt;&gt;"",OR(AL184&lt;=0,AL184&lt;&gt;INT(AL184),MOD(AL184,100)&lt;&gt;0)),AND(AN184&lt;&gt;"",OR(AN184&lt;=0,AN184&lt;&gt;INT(AN184),MOD(AN184,100)&lt;&gt;0))),"违规：股数须为100股整数倍",IF(AND(OR(AL184&lt;&gt;"",AN184&lt;&gt;""),OR(_LockStatus="已锁仓",_LockStatus="解锁信息不完整")),"违规：锁仓期间禁止加仓",IF(AQ184&gt;C184*D184,"违规：超过单笔风险上限",IF(SUM($AQ$2:$AQ$201)&gt;账户数据!$B$7,"违规：超过账户风险上限","通过")))))))))</f>
        <v/>
      </c>
    </row>
    <row r="185">
      <c r="A185" s="2" t="n"/>
      <c r="B185" s="2" t="n"/>
      <c r="C185" s="40" t="n"/>
      <c r="D185" s="6" t="n"/>
      <c r="E185" s="40" t="n"/>
      <c r="F185" s="8">
        <f>IF(OR(C185="",D185="",E185="",N185="",C185&lt;=0,D185&lt;=0,E185&lt;=N185),"",ROUNDDOWN((C185*D185)/(E185-N185)/100,0)*100)</f>
        <v/>
      </c>
      <c r="G185" s="8">
        <f>IF(A185="","",IF(H185&lt;&gt;"","已开仓",IF(账户数据!$B$23="已锁仓","禁止开仓：连续亏损达到上限",IF(账户数据!$B$23="解锁信息不完整","禁止开仓：请完整填写解锁信息",IF(OR(F185="",E185="",N185="",E185&lt;=N185,账户数据!$B$7=""),"",IF(OR(AG185="",AH185="",AI185=""),"禁止开仓：交易预期未填写完整",IF(COUNTIFS(持仓跟踪!$A$2:$A$501,"止损计划",持仓跟踪!$B$2:$B$501,A185,持仓跟踪!$AC$2:$AC$501,"计划有效")=0,"禁止开仓：请先填写止损计划",IF(账户数据!$B$9+F185*(E185-N185)&gt;=账户数据!$B$7,"禁止开仓：风险额度不足",IF(AJ185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5" s="2" t="n"/>
      <c r="I185" s="41" t="n"/>
      <c r="J185" s="40" t="n"/>
      <c r="K185" s="46">
        <f>IF(A185="","",IFERROR(LOOKUP(2,1/((持仓跟踪!$B$2:$B$501=A185)*(持仓跟踪!$X$2:$X$501="执行卖出")*(持仓跟踪!$Y$2:$Y$501&lt;&gt;"")),持仓跟踪!$Y$2:$Y$501),""))</f>
        <v/>
      </c>
      <c r="L185" s="33">
        <f>IF(A185="","",IFERROR(LOOKUP(2,1/((持仓跟踪!$B$2:$B$501=A185)*(持仓跟踪!$X$2:$X$501="执行卖出")*(持仓跟踪!$Z$2:$Z$501&lt;&gt;"")),持仓跟踪!$Z$2:$Z$501),""))</f>
        <v/>
      </c>
      <c r="M185" s="47">
        <f>IF(A185="","",IFERROR(LOOKUP(2,1/((持仓跟踪!$B$2:$B$501=A185)*(持仓跟踪!$X$2:$X$501="执行卖出")*(持仓跟踪!$H$2:$H$501&lt;&gt;"")),持仓跟踪!$H$2:$H$501),""))</f>
        <v/>
      </c>
      <c r="N185" s="40" t="n"/>
      <c r="O185" s="40" t="n"/>
      <c r="P185" s="46">
        <f>IF(A185="","",IFERROR(LOOKUP(2,1/((持仓跟踪!$B$2:$B$501=A185)*(持仓跟踪!$X$2:$X$501="执行卖出")*(持仓跟踪!$AA$2:$AA$501&lt;&gt;"")),持仓跟踪!$AA$2:$AA$501),""))</f>
        <v/>
      </c>
      <c r="Q185" s="2" t="n"/>
      <c r="R185" s="2" t="n"/>
      <c r="S185" s="2" t="n"/>
      <c r="T185" s="2" t="n"/>
      <c r="U185" s="7">
        <f>IF(OR(AO185="",J185="",AO185&lt;=0),"",(J185-AO185)/AO185)</f>
        <v/>
      </c>
      <c r="V185" s="7">
        <f>IF(OR(AO185="",N185="",AO185&lt;=0),"",(AO185-N185)/AO185)</f>
        <v/>
      </c>
      <c r="W185" s="13">
        <f>IF(OR(U185="",V185="",V185&lt;=0),"",U185/V185)</f>
        <v/>
      </c>
      <c r="X185" s="42">
        <f>IF(OR(K185="",L185="",AP185=""),"",K185*L185-(E185*H185+IF(AND(AK185&lt;&gt;"",AL185&lt;&gt;""),AK185*AL185,0)+IF(AND(AM185&lt;&gt;"",AN185&lt;&gt;""),AM185*AN185,0))-IF(O185="",0,O185)-IF(P185="",0,P185))</f>
        <v/>
      </c>
      <c r="Y185" s="7">
        <f>IF(OR(X185="",AP185=""),"",IF((E185*H185+IF(AND(AK185&lt;&gt;"",AL185&lt;&gt;""),AK185*AL185,0)+IF(AND(AM185&lt;&gt;"",AN185&lt;&gt;""),AM185*AN185,0))+IF(O185="",0,O185)&lt;=0,"",X185/((E185*H185+IF(AND(AK185&lt;&gt;"",AL185&lt;&gt;""),AK185*AL185,0)+IF(AND(AM185&lt;&gt;"",AN185&lt;&gt;""),AM185*AN185,0))+IF(O185="",0,O185))))</f>
        <v/>
      </c>
      <c r="Z185" s="7">
        <f>IF(OR(AE185="",多次统计数据!$B$8=""),"",AE185-多次统计数据!$B$8)</f>
        <v/>
      </c>
      <c r="AA185" s="14">
        <f>IF(OR(I185="",M185="",M185&lt;I185),"",M185-I185)</f>
        <v/>
      </c>
      <c r="AB185" s="7">
        <f>IF(OR(A185="",多次统计数据!$B$8="",多次统计数据!$B$6&lt;=0,多次统计数据!$B$6&gt;=1),"",1-POWER(1+多次统计数据!$B$8,-多次统计数据!$B$6/(1-多次统计数据!$B$6)))</f>
        <v/>
      </c>
      <c r="AC185" s="8">
        <f>IF(OR(AB185="",多次统计数据!$B$9=""),"",IF(多次统计数据!$B$9&lt;AB185,"低于上限","达到或超过上限"))</f>
        <v/>
      </c>
      <c r="AD185" s="2" t="n"/>
      <c r="AE185" s="7">
        <f>IF(OR(X185="",C185="",C185&lt;=0),"",X185/C185)</f>
        <v/>
      </c>
      <c r="AG185" s="28" t="n"/>
      <c r="AH185" s="28" t="n"/>
      <c r="AI185" s="28" t="n"/>
      <c r="AJ185" s="31">
        <f>IF(OR(AG185="",AH185=""),"",IF(OR(AND(AG185="短期博反弹",OR(AH185="1～3个交易日",AH185="4～10个交易日")),AND(AG185="突破冲新高",OR(AH185="4～10个交易日",AH185="11～20个交易日")),AND(AG185="趋势波段",OR(AH185="11～20个交易日",AH185="21～60个交易日",AH185="60个交易日以上"))),"匹配","周期与交易预期不匹配，请重新确认"))</f>
        <v/>
      </c>
      <c r="AK185" s="43" t="n"/>
      <c r="AL185" s="27" t="n"/>
      <c r="AM185" s="43" t="n"/>
      <c r="AN185" s="27" t="n"/>
      <c r="AO185" s="44">
        <f>IF(OR(A185="",H185="",H185&lt;=0),"",(E185*H185+IF(AND(AK185&lt;&gt;"",AL185&lt;&gt;""),AK185*AL185,0)+IF(AND(AM185&lt;&gt;"",AN185&lt;&gt;""),AM185*AN185,0))/AP185)</f>
        <v/>
      </c>
      <c r="AP185" s="26">
        <f>IF(OR(A185="",H185="",H185&lt;=0),"",H185+IF(AL185="",0,AL185)+IF(AN185="",0,AN185))</f>
        <v/>
      </c>
      <c r="AQ185" s="44">
        <f>IF(A185="","",IF(M185&lt;&gt;"",0,IF(OR(H185="",N185=""),"",MAX(E185-MAX(N185,IFERROR(AGGREGATE(14,6,'持仓跟踪'!$S$2:$S$501/(('持仓跟踪'!$A$2:$A$501="每日跟踪")*('持仓跟踪'!$B$2:$B$501=A185)),1),0)),0)*H185+IF(OR(AK185="",AL185=""),0,MAX(AK185-MAX(N185,IFERROR(AGGREGATE(14,6,'持仓跟踪'!$S$2:$S$501/(('持仓跟踪'!$A$2:$A$501="每日跟踪")*('持仓跟踪'!$B$2:$B$501=A185)),1),0)),0)*AL185)+IF(OR(AM185="",AN185=""),0,MAX(AM185-MAX(N185,IFERROR(AGGREGATE(14,6,'持仓跟踪'!$S$2:$S$501/(('持仓跟踪'!$A$2:$A$501="每日跟踪")*('持仓跟踪'!$B$2:$B$501=A185)),1),0)),0)*AN185))))</f>
        <v/>
      </c>
      <c r="AR185" s="31">
        <f>IF(A185="","",IF(OR(E185="",H185=""),"违规：第一批价格或股数缺失",IF(OR(AND(AK185="",AL185&lt;&gt;""),AND(AK185&lt;&gt;"",AL185="")),"违规：第二批价格与股数须成对填写",IF(OR(AND(AM185="",AN185&lt;&gt;""),AND(AM185&lt;&gt;"",AN185="")),"违规：第三批价格与股数须成对填写",IF(AND(OR(AM185&lt;&gt;"",AN185&lt;&gt;""),OR(AK185="",AL185="")),"违规：必须先完成第二批",IF(OR(H185&lt;=0,H185&lt;&gt;INT(H185),MOD(H185,100)&lt;&gt;0,AND(AL185&lt;&gt;"",OR(AL185&lt;=0,AL185&lt;&gt;INT(AL185),MOD(AL185,100)&lt;&gt;0)),AND(AN185&lt;&gt;"",OR(AN185&lt;=0,AN185&lt;&gt;INT(AN185),MOD(AN185,100)&lt;&gt;0))),"违规：股数须为100股整数倍",IF(AND(OR(AL185&lt;&gt;"",AN185&lt;&gt;""),OR(_LockStatus="已锁仓",_LockStatus="解锁信息不完整")),"违规：锁仓期间禁止加仓",IF(AQ185&gt;C185*D185,"违规：超过单笔风险上限",IF(SUM($AQ$2:$AQ$201)&gt;账户数据!$B$7,"违规：超过账户风险上限","通过")))))))))</f>
        <v/>
      </c>
    </row>
    <row r="186">
      <c r="A186" s="2" t="n"/>
      <c r="B186" s="2" t="n"/>
      <c r="C186" s="40" t="n"/>
      <c r="D186" s="6" t="n"/>
      <c r="E186" s="40" t="n"/>
      <c r="F186" s="8">
        <f>IF(OR(C186="",D186="",E186="",N186="",C186&lt;=0,D186&lt;=0,E186&lt;=N186),"",ROUNDDOWN((C186*D186)/(E186-N186)/100,0)*100)</f>
        <v/>
      </c>
      <c r="G186" s="8">
        <f>IF(A186="","",IF(H186&lt;&gt;"","已开仓",IF(账户数据!$B$23="已锁仓","禁止开仓：连续亏损达到上限",IF(账户数据!$B$23="解锁信息不完整","禁止开仓：请完整填写解锁信息",IF(OR(F186="",E186="",N186="",E186&lt;=N186,账户数据!$B$7=""),"",IF(OR(AG186="",AH186="",AI186=""),"禁止开仓：交易预期未填写完整",IF(COUNTIFS(持仓跟踪!$A$2:$A$501,"止损计划",持仓跟踪!$B$2:$B$501,A186,持仓跟踪!$AC$2:$AC$501,"计划有效")=0,"禁止开仓：请先填写止损计划",IF(账户数据!$B$9+F186*(E186-N186)&gt;=账户数据!$B$7,"禁止开仓：风险额度不足",IF(AJ186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6" s="2" t="n"/>
      <c r="I186" s="41" t="n"/>
      <c r="J186" s="40" t="n"/>
      <c r="K186" s="46">
        <f>IF(A186="","",IFERROR(LOOKUP(2,1/((持仓跟踪!$B$2:$B$501=A186)*(持仓跟踪!$X$2:$X$501="执行卖出")*(持仓跟踪!$Y$2:$Y$501&lt;&gt;"")),持仓跟踪!$Y$2:$Y$501),""))</f>
        <v/>
      </c>
      <c r="L186" s="33">
        <f>IF(A186="","",IFERROR(LOOKUP(2,1/((持仓跟踪!$B$2:$B$501=A186)*(持仓跟踪!$X$2:$X$501="执行卖出")*(持仓跟踪!$Z$2:$Z$501&lt;&gt;"")),持仓跟踪!$Z$2:$Z$501),""))</f>
        <v/>
      </c>
      <c r="M186" s="47">
        <f>IF(A186="","",IFERROR(LOOKUP(2,1/((持仓跟踪!$B$2:$B$501=A186)*(持仓跟踪!$X$2:$X$501="执行卖出")*(持仓跟踪!$H$2:$H$501&lt;&gt;"")),持仓跟踪!$H$2:$H$501),""))</f>
        <v/>
      </c>
      <c r="N186" s="40" t="n"/>
      <c r="O186" s="40" t="n"/>
      <c r="P186" s="46">
        <f>IF(A186="","",IFERROR(LOOKUP(2,1/((持仓跟踪!$B$2:$B$501=A186)*(持仓跟踪!$X$2:$X$501="执行卖出")*(持仓跟踪!$AA$2:$AA$501&lt;&gt;"")),持仓跟踪!$AA$2:$AA$501),""))</f>
        <v/>
      </c>
      <c r="Q186" s="2" t="n"/>
      <c r="R186" s="2" t="n"/>
      <c r="S186" s="2" t="n"/>
      <c r="T186" s="2" t="n"/>
      <c r="U186" s="7">
        <f>IF(OR(AO186="",J186="",AO186&lt;=0),"",(J186-AO186)/AO186)</f>
        <v/>
      </c>
      <c r="V186" s="7">
        <f>IF(OR(AO186="",N186="",AO186&lt;=0),"",(AO186-N186)/AO186)</f>
        <v/>
      </c>
      <c r="W186" s="13">
        <f>IF(OR(U186="",V186="",V186&lt;=0),"",U186/V186)</f>
        <v/>
      </c>
      <c r="X186" s="42">
        <f>IF(OR(K186="",L186="",AP186=""),"",K186*L186-(E186*H186+IF(AND(AK186&lt;&gt;"",AL186&lt;&gt;""),AK186*AL186,0)+IF(AND(AM186&lt;&gt;"",AN186&lt;&gt;""),AM186*AN186,0))-IF(O186="",0,O186)-IF(P186="",0,P186))</f>
        <v/>
      </c>
      <c r="Y186" s="7">
        <f>IF(OR(X186="",AP186=""),"",IF((E186*H186+IF(AND(AK186&lt;&gt;"",AL186&lt;&gt;""),AK186*AL186,0)+IF(AND(AM186&lt;&gt;"",AN186&lt;&gt;""),AM186*AN186,0))+IF(O186="",0,O186)&lt;=0,"",X186/((E186*H186+IF(AND(AK186&lt;&gt;"",AL186&lt;&gt;""),AK186*AL186,0)+IF(AND(AM186&lt;&gt;"",AN186&lt;&gt;""),AM186*AN186,0))+IF(O186="",0,O186))))</f>
        <v/>
      </c>
      <c r="Z186" s="7">
        <f>IF(OR(AE186="",多次统计数据!$B$8=""),"",AE186-多次统计数据!$B$8)</f>
        <v/>
      </c>
      <c r="AA186" s="14">
        <f>IF(OR(I186="",M186="",M186&lt;I186),"",M186-I186)</f>
        <v/>
      </c>
      <c r="AB186" s="7">
        <f>IF(OR(A186="",多次统计数据!$B$8="",多次统计数据!$B$6&lt;=0,多次统计数据!$B$6&gt;=1),"",1-POWER(1+多次统计数据!$B$8,-多次统计数据!$B$6/(1-多次统计数据!$B$6)))</f>
        <v/>
      </c>
      <c r="AC186" s="8">
        <f>IF(OR(AB186="",多次统计数据!$B$9=""),"",IF(多次统计数据!$B$9&lt;AB186,"低于上限","达到或超过上限"))</f>
        <v/>
      </c>
      <c r="AD186" s="2" t="n"/>
      <c r="AE186" s="7">
        <f>IF(OR(X186="",C186="",C186&lt;=0),"",X186/C186)</f>
        <v/>
      </c>
      <c r="AG186" s="28" t="n"/>
      <c r="AH186" s="28" t="n"/>
      <c r="AI186" s="28" t="n"/>
      <c r="AJ186" s="31">
        <f>IF(OR(AG186="",AH186=""),"",IF(OR(AND(AG186="短期博反弹",OR(AH186="1～3个交易日",AH186="4～10个交易日")),AND(AG186="突破冲新高",OR(AH186="4～10个交易日",AH186="11～20个交易日")),AND(AG186="趋势波段",OR(AH186="11～20个交易日",AH186="21～60个交易日",AH186="60个交易日以上"))),"匹配","周期与交易预期不匹配，请重新确认"))</f>
        <v/>
      </c>
      <c r="AK186" s="43" t="n"/>
      <c r="AL186" s="27" t="n"/>
      <c r="AM186" s="43" t="n"/>
      <c r="AN186" s="27" t="n"/>
      <c r="AO186" s="44">
        <f>IF(OR(A186="",H186="",H186&lt;=0),"",(E186*H186+IF(AND(AK186&lt;&gt;"",AL186&lt;&gt;""),AK186*AL186,0)+IF(AND(AM186&lt;&gt;"",AN186&lt;&gt;""),AM186*AN186,0))/AP186)</f>
        <v/>
      </c>
      <c r="AP186" s="26">
        <f>IF(OR(A186="",H186="",H186&lt;=0),"",H186+IF(AL186="",0,AL186)+IF(AN186="",0,AN186))</f>
        <v/>
      </c>
      <c r="AQ186" s="44">
        <f>IF(A186="","",IF(M186&lt;&gt;"",0,IF(OR(H186="",N186=""),"",MAX(E186-MAX(N186,IFERROR(AGGREGATE(14,6,'持仓跟踪'!$S$2:$S$501/(('持仓跟踪'!$A$2:$A$501="每日跟踪")*('持仓跟踪'!$B$2:$B$501=A186)),1),0)),0)*H186+IF(OR(AK186="",AL186=""),0,MAX(AK186-MAX(N186,IFERROR(AGGREGATE(14,6,'持仓跟踪'!$S$2:$S$501/(('持仓跟踪'!$A$2:$A$501="每日跟踪")*('持仓跟踪'!$B$2:$B$501=A186)),1),0)),0)*AL186)+IF(OR(AM186="",AN186=""),0,MAX(AM186-MAX(N186,IFERROR(AGGREGATE(14,6,'持仓跟踪'!$S$2:$S$501/(('持仓跟踪'!$A$2:$A$501="每日跟踪")*('持仓跟踪'!$B$2:$B$501=A186)),1),0)),0)*AN186))))</f>
        <v/>
      </c>
      <c r="AR186" s="31">
        <f>IF(A186="","",IF(OR(E186="",H186=""),"违规：第一批价格或股数缺失",IF(OR(AND(AK186="",AL186&lt;&gt;""),AND(AK186&lt;&gt;"",AL186="")),"违规：第二批价格与股数须成对填写",IF(OR(AND(AM186="",AN186&lt;&gt;""),AND(AM186&lt;&gt;"",AN186="")),"违规：第三批价格与股数须成对填写",IF(AND(OR(AM186&lt;&gt;"",AN186&lt;&gt;""),OR(AK186="",AL186="")),"违规：必须先完成第二批",IF(OR(H186&lt;=0,H186&lt;&gt;INT(H186),MOD(H186,100)&lt;&gt;0,AND(AL186&lt;&gt;"",OR(AL186&lt;=0,AL186&lt;&gt;INT(AL186),MOD(AL186,100)&lt;&gt;0)),AND(AN186&lt;&gt;"",OR(AN186&lt;=0,AN186&lt;&gt;INT(AN186),MOD(AN186,100)&lt;&gt;0))),"违规：股数须为100股整数倍",IF(AND(OR(AL186&lt;&gt;"",AN186&lt;&gt;""),OR(_LockStatus="已锁仓",_LockStatus="解锁信息不完整")),"违规：锁仓期间禁止加仓",IF(AQ186&gt;C186*D186,"违规：超过单笔风险上限",IF(SUM($AQ$2:$AQ$201)&gt;账户数据!$B$7,"违规：超过账户风险上限","通过")))))))))</f>
        <v/>
      </c>
    </row>
    <row r="187">
      <c r="A187" s="2" t="n"/>
      <c r="B187" s="2" t="n"/>
      <c r="C187" s="40" t="n"/>
      <c r="D187" s="6" t="n"/>
      <c r="E187" s="40" t="n"/>
      <c r="F187" s="8">
        <f>IF(OR(C187="",D187="",E187="",N187="",C187&lt;=0,D187&lt;=0,E187&lt;=N187),"",ROUNDDOWN((C187*D187)/(E187-N187)/100,0)*100)</f>
        <v/>
      </c>
      <c r="G187" s="8">
        <f>IF(A187="","",IF(H187&lt;&gt;"","已开仓",IF(账户数据!$B$23="已锁仓","禁止开仓：连续亏损达到上限",IF(账户数据!$B$23="解锁信息不完整","禁止开仓：请完整填写解锁信息",IF(OR(F187="",E187="",N187="",E187&lt;=N187,账户数据!$B$7=""),"",IF(OR(AG187="",AH187="",AI187=""),"禁止开仓：交易预期未填写完整",IF(COUNTIFS(持仓跟踪!$A$2:$A$501,"止损计划",持仓跟踪!$B$2:$B$501,A187,持仓跟踪!$AC$2:$AC$501,"计划有效")=0,"禁止开仓：请先填写止损计划",IF(账户数据!$B$9+F187*(E187-N187)&gt;=账户数据!$B$7,"禁止开仓：风险额度不足",IF(AJ187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7" s="2" t="n"/>
      <c r="I187" s="41" t="n"/>
      <c r="J187" s="40" t="n"/>
      <c r="K187" s="46">
        <f>IF(A187="","",IFERROR(LOOKUP(2,1/((持仓跟踪!$B$2:$B$501=A187)*(持仓跟踪!$X$2:$X$501="执行卖出")*(持仓跟踪!$Y$2:$Y$501&lt;&gt;"")),持仓跟踪!$Y$2:$Y$501),""))</f>
        <v/>
      </c>
      <c r="L187" s="33">
        <f>IF(A187="","",IFERROR(LOOKUP(2,1/((持仓跟踪!$B$2:$B$501=A187)*(持仓跟踪!$X$2:$X$501="执行卖出")*(持仓跟踪!$Z$2:$Z$501&lt;&gt;"")),持仓跟踪!$Z$2:$Z$501),""))</f>
        <v/>
      </c>
      <c r="M187" s="47">
        <f>IF(A187="","",IFERROR(LOOKUP(2,1/((持仓跟踪!$B$2:$B$501=A187)*(持仓跟踪!$X$2:$X$501="执行卖出")*(持仓跟踪!$H$2:$H$501&lt;&gt;"")),持仓跟踪!$H$2:$H$501),""))</f>
        <v/>
      </c>
      <c r="N187" s="40" t="n"/>
      <c r="O187" s="40" t="n"/>
      <c r="P187" s="46">
        <f>IF(A187="","",IFERROR(LOOKUP(2,1/((持仓跟踪!$B$2:$B$501=A187)*(持仓跟踪!$X$2:$X$501="执行卖出")*(持仓跟踪!$AA$2:$AA$501&lt;&gt;"")),持仓跟踪!$AA$2:$AA$501),""))</f>
        <v/>
      </c>
      <c r="Q187" s="2" t="n"/>
      <c r="R187" s="2" t="n"/>
      <c r="S187" s="2" t="n"/>
      <c r="T187" s="2" t="n"/>
      <c r="U187" s="7">
        <f>IF(OR(AO187="",J187="",AO187&lt;=0),"",(J187-AO187)/AO187)</f>
        <v/>
      </c>
      <c r="V187" s="7">
        <f>IF(OR(AO187="",N187="",AO187&lt;=0),"",(AO187-N187)/AO187)</f>
        <v/>
      </c>
      <c r="W187" s="13">
        <f>IF(OR(U187="",V187="",V187&lt;=0),"",U187/V187)</f>
        <v/>
      </c>
      <c r="X187" s="42">
        <f>IF(OR(K187="",L187="",AP187=""),"",K187*L187-(E187*H187+IF(AND(AK187&lt;&gt;"",AL187&lt;&gt;""),AK187*AL187,0)+IF(AND(AM187&lt;&gt;"",AN187&lt;&gt;""),AM187*AN187,0))-IF(O187="",0,O187)-IF(P187="",0,P187))</f>
        <v/>
      </c>
      <c r="Y187" s="7">
        <f>IF(OR(X187="",AP187=""),"",IF((E187*H187+IF(AND(AK187&lt;&gt;"",AL187&lt;&gt;""),AK187*AL187,0)+IF(AND(AM187&lt;&gt;"",AN187&lt;&gt;""),AM187*AN187,0))+IF(O187="",0,O187)&lt;=0,"",X187/((E187*H187+IF(AND(AK187&lt;&gt;"",AL187&lt;&gt;""),AK187*AL187,0)+IF(AND(AM187&lt;&gt;"",AN187&lt;&gt;""),AM187*AN187,0))+IF(O187="",0,O187))))</f>
        <v/>
      </c>
      <c r="Z187" s="7">
        <f>IF(OR(AE187="",多次统计数据!$B$8=""),"",AE187-多次统计数据!$B$8)</f>
        <v/>
      </c>
      <c r="AA187" s="14">
        <f>IF(OR(I187="",M187="",M187&lt;I187),"",M187-I187)</f>
        <v/>
      </c>
      <c r="AB187" s="7">
        <f>IF(OR(A187="",多次统计数据!$B$8="",多次统计数据!$B$6&lt;=0,多次统计数据!$B$6&gt;=1),"",1-POWER(1+多次统计数据!$B$8,-多次统计数据!$B$6/(1-多次统计数据!$B$6)))</f>
        <v/>
      </c>
      <c r="AC187" s="8">
        <f>IF(OR(AB187="",多次统计数据!$B$9=""),"",IF(多次统计数据!$B$9&lt;AB187,"低于上限","达到或超过上限"))</f>
        <v/>
      </c>
      <c r="AD187" s="2" t="n"/>
      <c r="AE187" s="7">
        <f>IF(OR(X187="",C187="",C187&lt;=0),"",X187/C187)</f>
        <v/>
      </c>
      <c r="AG187" s="28" t="n"/>
      <c r="AH187" s="28" t="n"/>
      <c r="AI187" s="28" t="n"/>
      <c r="AJ187" s="31">
        <f>IF(OR(AG187="",AH187=""),"",IF(OR(AND(AG187="短期博反弹",OR(AH187="1～3个交易日",AH187="4～10个交易日")),AND(AG187="突破冲新高",OR(AH187="4～10个交易日",AH187="11～20个交易日")),AND(AG187="趋势波段",OR(AH187="11～20个交易日",AH187="21～60个交易日",AH187="60个交易日以上"))),"匹配","周期与交易预期不匹配，请重新确认"))</f>
        <v/>
      </c>
      <c r="AK187" s="43" t="n"/>
      <c r="AL187" s="27" t="n"/>
      <c r="AM187" s="43" t="n"/>
      <c r="AN187" s="27" t="n"/>
      <c r="AO187" s="44">
        <f>IF(OR(A187="",H187="",H187&lt;=0),"",(E187*H187+IF(AND(AK187&lt;&gt;"",AL187&lt;&gt;""),AK187*AL187,0)+IF(AND(AM187&lt;&gt;"",AN187&lt;&gt;""),AM187*AN187,0))/AP187)</f>
        <v/>
      </c>
      <c r="AP187" s="26">
        <f>IF(OR(A187="",H187="",H187&lt;=0),"",H187+IF(AL187="",0,AL187)+IF(AN187="",0,AN187))</f>
        <v/>
      </c>
      <c r="AQ187" s="44">
        <f>IF(A187="","",IF(M187&lt;&gt;"",0,IF(OR(H187="",N187=""),"",MAX(E187-MAX(N187,IFERROR(AGGREGATE(14,6,'持仓跟踪'!$S$2:$S$501/(('持仓跟踪'!$A$2:$A$501="每日跟踪")*('持仓跟踪'!$B$2:$B$501=A187)),1),0)),0)*H187+IF(OR(AK187="",AL187=""),0,MAX(AK187-MAX(N187,IFERROR(AGGREGATE(14,6,'持仓跟踪'!$S$2:$S$501/(('持仓跟踪'!$A$2:$A$501="每日跟踪")*('持仓跟踪'!$B$2:$B$501=A187)),1),0)),0)*AL187)+IF(OR(AM187="",AN187=""),0,MAX(AM187-MAX(N187,IFERROR(AGGREGATE(14,6,'持仓跟踪'!$S$2:$S$501/(('持仓跟踪'!$A$2:$A$501="每日跟踪")*('持仓跟踪'!$B$2:$B$501=A187)),1),0)),0)*AN187))))</f>
        <v/>
      </c>
      <c r="AR187" s="31">
        <f>IF(A187="","",IF(OR(E187="",H187=""),"违规：第一批价格或股数缺失",IF(OR(AND(AK187="",AL187&lt;&gt;""),AND(AK187&lt;&gt;"",AL187="")),"违规：第二批价格与股数须成对填写",IF(OR(AND(AM187="",AN187&lt;&gt;""),AND(AM187&lt;&gt;"",AN187="")),"违规：第三批价格与股数须成对填写",IF(AND(OR(AM187&lt;&gt;"",AN187&lt;&gt;""),OR(AK187="",AL187="")),"违规：必须先完成第二批",IF(OR(H187&lt;=0,H187&lt;&gt;INT(H187),MOD(H187,100)&lt;&gt;0,AND(AL187&lt;&gt;"",OR(AL187&lt;=0,AL187&lt;&gt;INT(AL187),MOD(AL187,100)&lt;&gt;0)),AND(AN187&lt;&gt;"",OR(AN187&lt;=0,AN187&lt;&gt;INT(AN187),MOD(AN187,100)&lt;&gt;0))),"违规：股数须为100股整数倍",IF(AND(OR(AL187&lt;&gt;"",AN187&lt;&gt;""),OR(_LockStatus="已锁仓",_LockStatus="解锁信息不完整")),"违规：锁仓期间禁止加仓",IF(AQ187&gt;C187*D187,"违规：超过单笔风险上限",IF(SUM($AQ$2:$AQ$201)&gt;账户数据!$B$7,"违规：超过账户风险上限","通过")))))))))</f>
        <v/>
      </c>
    </row>
    <row r="188">
      <c r="A188" s="2" t="n"/>
      <c r="B188" s="2" t="n"/>
      <c r="C188" s="40" t="n"/>
      <c r="D188" s="6" t="n"/>
      <c r="E188" s="40" t="n"/>
      <c r="F188" s="8">
        <f>IF(OR(C188="",D188="",E188="",N188="",C188&lt;=0,D188&lt;=0,E188&lt;=N188),"",ROUNDDOWN((C188*D188)/(E188-N188)/100,0)*100)</f>
        <v/>
      </c>
      <c r="G188" s="8">
        <f>IF(A188="","",IF(H188&lt;&gt;"","已开仓",IF(账户数据!$B$23="已锁仓","禁止开仓：连续亏损达到上限",IF(账户数据!$B$23="解锁信息不完整","禁止开仓：请完整填写解锁信息",IF(OR(F188="",E188="",N188="",E188&lt;=N188,账户数据!$B$7=""),"",IF(OR(AG188="",AH188="",AI188=""),"禁止开仓：交易预期未填写完整",IF(COUNTIFS(持仓跟踪!$A$2:$A$501,"止损计划",持仓跟踪!$B$2:$B$501,A188,持仓跟踪!$AC$2:$AC$501,"计划有效")=0,"禁止开仓：请先填写止损计划",IF(账户数据!$B$9+F188*(E188-N188)&gt;=账户数据!$B$7,"禁止开仓：风险额度不足",IF(AJ188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8" s="2" t="n"/>
      <c r="I188" s="41" t="n"/>
      <c r="J188" s="40" t="n"/>
      <c r="K188" s="46">
        <f>IF(A188="","",IFERROR(LOOKUP(2,1/((持仓跟踪!$B$2:$B$501=A188)*(持仓跟踪!$X$2:$X$501="执行卖出")*(持仓跟踪!$Y$2:$Y$501&lt;&gt;"")),持仓跟踪!$Y$2:$Y$501),""))</f>
        <v/>
      </c>
      <c r="L188" s="33">
        <f>IF(A188="","",IFERROR(LOOKUP(2,1/((持仓跟踪!$B$2:$B$501=A188)*(持仓跟踪!$X$2:$X$501="执行卖出")*(持仓跟踪!$Z$2:$Z$501&lt;&gt;"")),持仓跟踪!$Z$2:$Z$501),""))</f>
        <v/>
      </c>
      <c r="M188" s="47">
        <f>IF(A188="","",IFERROR(LOOKUP(2,1/((持仓跟踪!$B$2:$B$501=A188)*(持仓跟踪!$X$2:$X$501="执行卖出")*(持仓跟踪!$H$2:$H$501&lt;&gt;"")),持仓跟踪!$H$2:$H$501),""))</f>
        <v/>
      </c>
      <c r="N188" s="40" t="n"/>
      <c r="O188" s="40" t="n"/>
      <c r="P188" s="46">
        <f>IF(A188="","",IFERROR(LOOKUP(2,1/((持仓跟踪!$B$2:$B$501=A188)*(持仓跟踪!$X$2:$X$501="执行卖出")*(持仓跟踪!$AA$2:$AA$501&lt;&gt;"")),持仓跟踪!$AA$2:$AA$501),""))</f>
        <v/>
      </c>
      <c r="Q188" s="2" t="n"/>
      <c r="R188" s="2" t="n"/>
      <c r="S188" s="2" t="n"/>
      <c r="T188" s="2" t="n"/>
      <c r="U188" s="7">
        <f>IF(OR(AO188="",J188="",AO188&lt;=0),"",(J188-AO188)/AO188)</f>
        <v/>
      </c>
      <c r="V188" s="7">
        <f>IF(OR(AO188="",N188="",AO188&lt;=0),"",(AO188-N188)/AO188)</f>
        <v/>
      </c>
      <c r="W188" s="13">
        <f>IF(OR(U188="",V188="",V188&lt;=0),"",U188/V188)</f>
        <v/>
      </c>
      <c r="X188" s="42">
        <f>IF(OR(K188="",L188="",AP188=""),"",K188*L188-(E188*H188+IF(AND(AK188&lt;&gt;"",AL188&lt;&gt;""),AK188*AL188,0)+IF(AND(AM188&lt;&gt;"",AN188&lt;&gt;""),AM188*AN188,0))-IF(O188="",0,O188)-IF(P188="",0,P188))</f>
        <v/>
      </c>
      <c r="Y188" s="7">
        <f>IF(OR(X188="",AP188=""),"",IF((E188*H188+IF(AND(AK188&lt;&gt;"",AL188&lt;&gt;""),AK188*AL188,0)+IF(AND(AM188&lt;&gt;"",AN188&lt;&gt;""),AM188*AN188,0))+IF(O188="",0,O188)&lt;=0,"",X188/((E188*H188+IF(AND(AK188&lt;&gt;"",AL188&lt;&gt;""),AK188*AL188,0)+IF(AND(AM188&lt;&gt;"",AN188&lt;&gt;""),AM188*AN188,0))+IF(O188="",0,O188))))</f>
        <v/>
      </c>
      <c r="Z188" s="7">
        <f>IF(OR(AE188="",多次统计数据!$B$8=""),"",AE188-多次统计数据!$B$8)</f>
        <v/>
      </c>
      <c r="AA188" s="14">
        <f>IF(OR(I188="",M188="",M188&lt;I188),"",M188-I188)</f>
        <v/>
      </c>
      <c r="AB188" s="7">
        <f>IF(OR(A188="",多次统计数据!$B$8="",多次统计数据!$B$6&lt;=0,多次统计数据!$B$6&gt;=1),"",1-POWER(1+多次统计数据!$B$8,-多次统计数据!$B$6/(1-多次统计数据!$B$6)))</f>
        <v/>
      </c>
      <c r="AC188" s="8">
        <f>IF(OR(AB188="",多次统计数据!$B$9=""),"",IF(多次统计数据!$B$9&lt;AB188,"低于上限","达到或超过上限"))</f>
        <v/>
      </c>
      <c r="AD188" s="2" t="n"/>
      <c r="AE188" s="7">
        <f>IF(OR(X188="",C188="",C188&lt;=0),"",X188/C188)</f>
        <v/>
      </c>
      <c r="AG188" s="28" t="n"/>
      <c r="AH188" s="28" t="n"/>
      <c r="AI188" s="28" t="n"/>
      <c r="AJ188" s="31">
        <f>IF(OR(AG188="",AH188=""),"",IF(OR(AND(AG188="短期博反弹",OR(AH188="1～3个交易日",AH188="4～10个交易日")),AND(AG188="突破冲新高",OR(AH188="4～10个交易日",AH188="11～20个交易日")),AND(AG188="趋势波段",OR(AH188="11～20个交易日",AH188="21～60个交易日",AH188="60个交易日以上"))),"匹配","周期与交易预期不匹配，请重新确认"))</f>
        <v/>
      </c>
      <c r="AK188" s="43" t="n"/>
      <c r="AL188" s="27" t="n"/>
      <c r="AM188" s="43" t="n"/>
      <c r="AN188" s="27" t="n"/>
      <c r="AO188" s="44">
        <f>IF(OR(A188="",H188="",H188&lt;=0),"",(E188*H188+IF(AND(AK188&lt;&gt;"",AL188&lt;&gt;""),AK188*AL188,0)+IF(AND(AM188&lt;&gt;"",AN188&lt;&gt;""),AM188*AN188,0))/AP188)</f>
        <v/>
      </c>
      <c r="AP188" s="26">
        <f>IF(OR(A188="",H188="",H188&lt;=0),"",H188+IF(AL188="",0,AL188)+IF(AN188="",0,AN188))</f>
        <v/>
      </c>
      <c r="AQ188" s="44">
        <f>IF(A188="","",IF(M188&lt;&gt;"",0,IF(OR(H188="",N188=""),"",MAX(E188-MAX(N188,IFERROR(AGGREGATE(14,6,'持仓跟踪'!$S$2:$S$501/(('持仓跟踪'!$A$2:$A$501="每日跟踪")*('持仓跟踪'!$B$2:$B$501=A188)),1),0)),0)*H188+IF(OR(AK188="",AL188=""),0,MAX(AK188-MAX(N188,IFERROR(AGGREGATE(14,6,'持仓跟踪'!$S$2:$S$501/(('持仓跟踪'!$A$2:$A$501="每日跟踪")*('持仓跟踪'!$B$2:$B$501=A188)),1),0)),0)*AL188)+IF(OR(AM188="",AN188=""),0,MAX(AM188-MAX(N188,IFERROR(AGGREGATE(14,6,'持仓跟踪'!$S$2:$S$501/(('持仓跟踪'!$A$2:$A$501="每日跟踪")*('持仓跟踪'!$B$2:$B$501=A188)),1),0)),0)*AN188))))</f>
        <v/>
      </c>
      <c r="AR188" s="31">
        <f>IF(A188="","",IF(OR(E188="",H188=""),"违规：第一批价格或股数缺失",IF(OR(AND(AK188="",AL188&lt;&gt;""),AND(AK188&lt;&gt;"",AL188="")),"违规：第二批价格与股数须成对填写",IF(OR(AND(AM188="",AN188&lt;&gt;""),AND(AM188&lt;&gt;"",AN188="")),"违规：第三批价格与股数须成对填写",IF(AND(OR(AM188&lt;&gt;"",AN188&lt;&gt;""),OR(AK188="",AL188="")),"违规：必须先完成第二批",IF(OR(H188&lt;=0,H188&lt;&gt;INT(H188),MOD(H188,100)&lt;&gt;0,AND(AL188&lt;&gt;"",OR(AL188&lt;=0,AL188&lt;&gt;INT(AL188),MOD(AL188,100)&lt;&gt;0)),AND(AN188&lt;&gt;"",OR(AN188&lt;=0,AN188&lt;&gt;INT(AN188),MOD(AN188,100)&lt;&gt;0))),"违规：股数须为100股整数倍",IF(AND(OR(AL188&lt;&gt;"",AN188&lt;&gt;""),OR(_LockStatus="已锁仓",_LockStatus="解锁信息不完整")),"违规：锁仓期间禁止加仓",IF(AQ188&gt;C188*D188,"违规：超过单笔风险上限",IF(SUM($AQ$2:$AQ$201)&gt;账户数据!$B$7,"违规：超过账户风险上限","通过")))))))))</f>
        <v/>
      </c>
    </row>
    <row r="189">
      <c r="A189" s="2" t="n"/>
      <c r="B189" s="2" t="n"/>
      <c r="C189" s="40" t="n"/>
      <c r="D189" s="6" t="n"/>
      <c r="E189" s="40" t="n"/>
      <c r="F189" s="8">
        <f>IF(OR(C189="",D189="",E189="",N189="",C189&lt;=0,D189&lt;=0,E189&lt;=N189),"",ROUNDDOWN((C189*D189)/(E189-N189)/100,0)*100)</f>
        <v/>
      </c>
      <c r="G189" s="8">
        <f>IF(A189="","",IF(H189&lt;&gt;"","已开仓",IF(账户数据!$B$23="已锁仓","禁止开仓：连续亏损达到上限",IF(账户数据!$B$23="解锁信息不完整","禁止开仓：请完整填写解锁信息",IF(OR(F189="",E189="",N189="",E189&lt;=N189,账户数据!$B$7=""),"",IF(OR(AG189="",AH189="",AI189=""),"禁止开仓：交易预期未填写完整",IF(COUNTIFS(持仓跟踪!$A$2:$A$501,"止损计划",持仓跟踪!$B$2:$B$501,A189,持仓跟踪!$AC$2:$AC$501,"计划有效")=0,"禁止开仓：请先填写止损计划",IF(账户数据!$B$9+F189*(E189-N189)&gt;=账户数据!$B$7,"禁止开仓：风险额度不足",IF(AJ189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89" s="2" t="n"/>
      <c r="I189" s="41" t="n"/>
      <c r="J189" s="40" t="n"/>
      <c r="K189" s="46">
        <f>IF(A189="","",IFERROR(LOOKUP(2,1/((持仓跟踪!$B$2:$B$501=A189)*(持仓跟踪!$X$2:$X$501="执行卖出")*(持仓跟踪!$Y$2:$Y$501&lt;&gt;"")),持仓跟踪!$Y$2:$Y$501),""))</f>
        <v/>
      </c>
      <c r="L189" s="33">
        <f>IF(A189="","",IFERROR(LOOKUP(2,1/((持仓跟踪!$B$2:$B$501=A189)*(持仓跟踪!$X$2:$X$501="执行卖出")*(持仓跟踪!$Z$2:$Z$501&lt;&gt;"")),持仓跟踪!$Z$2:$Z$501),""))</f>
        <v/>
      </c>
      <c r="M189" s="47">
        <f>IF(A189="","",IFERROR(LOOKUP(2,1/((持仓跟踪!$B$2:$B$501=A189)*(持仓跟踪!$X$2:$X$501="执行卖出")*(持仓跟踪!$H$2:$H$501&lt;&gt;"")),持仓跟踪!$H$2:$H$501),""))</f>
        <v/>
      </c>
      <c r="N189" s="40" t="n"/>
      <c r="O189" s="40" t="n"/>
      <c r="P189" s="46">
        <f>IF(A189="","",IFERROR(LOOKUP(2,1/((持仓跟踪!$B$2:$B$501=A189)*(持仓跟踪!$X$2:$X$501="执行卖出")*(持仓跟踪!$AA$2:$AA$501&lt;&gt;"")),持仓跟踪!$AA$2:$AA$501),""))</f>
        <v/>
      </c>
      <c r="Q189" s="2" t="n"/>
      <c r="R189" s="2" t="n"/>
      <c r="S189" s="2" t="n"/>
      <c r="T189" s="2" t="n"/>
      <c r="U189" s="7">
        <f>IF(OR(AO189="",J189="",AO189&lt;=0),"",(J189-AO189)/AO189)</f>
        <v/>
      </c>
      <c r="V189" s="7">
        <f>IF(OR(AO189="",N189="",AO189&lt;=0),"",(AO189-N189)/AO189)</f>
        <v/>
      </c>
      <c r="W189" s="13">
        <f>IF(OR(U189="",V189="",V189&lt;=0),"",U189/V189)</f>
        <v/>
      </c>
      <c r="X189" s="42">
        <f>IF(OR(K189="",L189="",AP189=""),"",K189*L189-(E189*H189+IF(AND(AK189&lt;&gt;"",AL189&lt;&gt;""),AK189*AL189,0)+IF(AND(AM189&lt;&gt;"",AN189&lt;&gt;""),AM189*AN189,0))-IF(O189="",0,O189)-IF(P189="",0,P189))</f>
        <v/>
      </c>
      <c r="Y189" s="7">
        <f>IF(OR(X189="",AP189=""),"",IF((E189*H189+IF(AND(AK189&lt;&gt;"",AL189&lt;&gt;""),AK189*AL189,0)+IF(AND(AM189&lt;&gt;"",AN189&lt;&gt;""),AM189*AN189,0))+IF(O189="",0,O189)&lt;=0,"",X189/((E189*H189+IF(AND(AK189&lt;&gt;"",AL189&lt;&gt;""),AK189*AL189,0)+IF(AND(AM189&lt;&gt;"",AN189&lt;&gt;""),AM189*AN189,0))+IF(O189="",0,O189))))</f>
        <v/>
      </c>
      <c r="Z189" s="7">
        <f>IF(OR(AE189="",多次统计数据!$B$8=""),"",AE189-多次统计数据!$B$8)</f>
        <v/>
      </c>
      <c r="AA189" s="14">
        <f>IF(OR(I189="",M189="",M189&lt;I189),"",M189-I189)</f>
        <v/>
      </c>
      <c r="AB189" s="7">
        <f>IF(OR(A189="",多次统计数据!$B$8="",多次统计数据!$B$6&lt;=0,多次统计数据!$B$6&gt;=1),"",1-POWER(1+多次统计数据!$B$8,-多次统计数据!$B$6/(1-多次统计数据!$B$6)))</f>
        <v/>
      </c>
      <c r="AC189" s="8">
        <f>IF(OR(AB189="",多次统计数据!$B$9=""),"",IF(多次统计数据!$B$9&lt;AB189,"低于上限","达到或超过上限"))</f>
        <v/>
      </c>
      <c r="AD189" s="2" t="n"/>
      <c r="AE189" s="7">
        <f>IF(OR(X189="",C189="",C189&lt;=0),"",X189/C189)</f>
        <v/>
      </c>
      <c r="AG189" s="28" t="n"/>
      <c r="AH189" s="28" t="n"/>
      <c r="AI189" s="28" t="n"/>
      <c r="AJ189" s="31">
        <f>IF(OR(AG189="",AH189=""),"",IF(OR(AND(AG189="短期博反弹",OR(AH189="1～3个交易日",AH189="4～10个交易日")),AND(AG189="突破冲新高",OR(AH189="4～10个交易日",AH189="11～20个交易日")),AND(AG189="趋势波段",OR(AH189="11～20个交易日",AH189="21～60个交易日",AH189="60个交易日以上"))),"匹配","周期与交易预期不匹配，请重新确认"))</f>
        <v/>
      </c>
      <c r="AK189" s="43" t="n"/>
      <c r="AL189" s="27" t="n"/>
      <c r="AM189" s="43" t="n"/>
      <c r="AN189" s="27" t="n"/>
      <c r="AO189" s="44">
        <f>IF(OR(A189="",H189="",H189&lt;=0),"",(E189*H189+IF(AND(AK189&lt;&gt;"",AL189&lt;&gt;""),AK189*AL189,0)+IF(AND(AM189&lt;&gt;"",AN189&lt;&gt;""),AM189*AN189,0))/AP189)</f>
        <v/>
      </c>
      <c r="AP189" s="26">
        <f>IF(OR(A189="",H189="",H189&lt;=0),"",H189+IF(AL189="",0,AL189)+IF(AN189="",0,AN189))</f>
        <v/>
      </c>
      <c r="AQ189" s="44">
        <f>IF(A189="","",IF(M189&lt;&gt;"",0,IF(OR(H189="",N189=""),"",MAX(E189-MAX(N189,IFERROR(AGGREGATE(14,6,'持仓跟踪'!$S$2:$S$501/(('持仓跟踪'!$A$2:$A$501="每日跟踪")*('持仓跟踪'!$B$2:$B$501=A189)),1),0)),0)*H189+IF(OR(AK189="",AL189=""),0,MAX(AK189-MAX(N189,IFERROR(AGGREGATE(14,6,'持仓跟踪'!$S$2:$S$501/(('持仓跟踪'!$A$2:$A$501="每日跟踪")*('持仓跟踪'!$B$2:$B$501=A189)),1),0)),0)*AL189)+IF(OR(AM189="",AN189=""),0,MAX(AM189-MAX(N189,IFERROR(AGGREGATE(14,6,'持仓跟踪'!$S$2:$S$501/(('持仓跟踪'!$A$2:$A$501="每日跟踪")*('持仓跟踪'!$B$2:$B$501=A189)),1),0)),0)*AN189))))</f>
        <v/>
      </c>
      <c r="AR189" s="31">
        <f>IF(A189="","",IF(OR(E189="",H189=""),"违规：第一批价格或股数缺失",IF(OR(AND(AK189="",AL189&lt;&gt;""),AND(AK189&lt;&gt;"",AL189="")),"违规：第二批价格与股数须成对填写",IF(OR(AND(AM189="",AN189&lt;&gt;""),AND(AM189&lt;&gt;"",AN189="")),"违规：第三批价格与股数须成对填写",IF(AND(OR(AM189&lt;&gt;"",AN189&lt;&gt;""),OR(AK189="",AL189="")),"违规：必须先完成第二批",IF(OR(H189&lt;=0,H189&lt;&gt;INT(H189),MOD(H189,100)&lt;&gt;0,AND(AL189&lt;&gt;"",OR(AL189&lt;=0,AL189&lt;&gt;INT(AL189),MOD(AL189,100)&lt;&gt;0)),AND(AN189&lt;&gt;"",OR(AN189&lt;=0,AN189&lt;&gt;INT(AN189),MOD(AN189,100)&lt;&gt;0))),"违规：股数须为100股整数倍",IF(AND(OR(AL189&lt;&gt;"",AN189&lt;&gt;""),OR(_LockStatus="已锁仓",_LockStatus="解锁信息不完整")),"违规：锁仓期间禁止加仓",IF(AQ189&gt;C189*D189,"违规：超过单笔风险上限",IF(SUM($AQ$2:$AQ$201)&gt;账户数据!$B$7,"违规：超过账户风险上限","通过")))))))))</f>
        <v/>
      </c>
    </row>
    <row r="190">
      <c r="A190" s="2" t="n"/>
      <c r="B190" s="2" t="n"/>
      <c r="C190" s="40" t="n"/>
      <c r="D190" s="6" t="n"/>
      <c r="E190" s="40" t="n"/>
      <c r="F190" s="8">
        <f>IF(OR(C190="",D190="",E190="",N190="",C190&lt;=0,D190&lt;=0,E190&lt;=N190),"",ROUNDDOWN((C190*D190)/(E190-N190)/100,0)*100)</f>
        <v/>
      </c>
      <c r="G190" s="8">
        <f>IF(A190="","",IF(H190&lt;&gt;"","已开仓",IF(账户数据!$B$23="已锁仓","禁止开仓：连续亏损达到上限",IF(账户数据!$B$23="解锁信息不完整","禁止开仓：请完整填写解锁信息",IF(OR(F190="",E190="",N190="",E190&lt;=N190,账户数据!$B$7=""),"",IF(OR(AG190="",AH190="",AI190=""),"禁止开仓：交易预期未填写完整",IF(COUNTIFS(持仓跟踪!$A$2:$A$501,"止损计划",持仓跟踪!$B$2:$B$501,A190,持仓跟踪!$AC$2:$AC$501,"计划有效")=0,"禁止开仓：请先填写止损计划",IF(账户数据!$B$9+F190*(E190-N190)&gt;=账户数据!$B$7,"禁止开仓：风险额度不足",IF(AJ190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0" s="2" t="n"/>
      <c r="I190" s="41" t="n"/>
      <c r="J190" s="40" t="n"/>
      <c r="K190" s="46">
        <f>IF(A190="","",IFERROR(LOOKUP(2,1/((持仓跟踪!$B$2:$B$501=A190)*(持仓跟踪!$X$2:$X$501="执行卖出")*(持仓跟踪!$Y$2:$Y$501&lt;&gt;"")),持仓跟踪!$Y$2:$Y$501),""))</f>
        <v/>
      </c>
      <c r="L190" s="33">
        <f>IF(A190="","",IFERROR(LOOKUP(2,1/((持仓跟踪!$B$2:$B$501=A190)*(持仓跟踪!$X$2:$X$501="执行卖出")*(持仓跟踪!$Z$2:$Z$501&lt;&gt;"")),持仓跟踪!$Z$2:$Z$501),""))</f>
        <v/>
      </c>
      <c r="M190" s="47">
        <f>IF(A190="","",IFERROR(LOOKUP(2,1/((持仓跟踪!$B$2:$B$501=A190)*(持仓跟踪!$X$2:$X$501="执行卖出")*(持仓跟踪!$H$2:$H$501&lt;&gt;"")),持仓跟踪!$H$2:$H$501),""))</f>
        <v/>
      </c>
      <c r="N190" s="40" t="n"/>
      <c r="O190" s="40" t="n"/>
      <c r="P190" s="46">
        <f>IF(A190="","",IFERROR(LOOKUP(2,1/((持仓跟踪!$B$2:$B$501=A190)*(持仓跟踪!$X$2:$X$501="执行卖出")*(持仓跟踪!$AA$2:$AA$501&lt;&gt;"")),持仓跟踪!$AA$2:$AA$501),""))</f>
        <v/>
      </c>
      <c r="Q190" s="2" t="n"/>
      <c r="R190" s="2" t="n"/>
      <c r="S190" s="2" t="n"/>
      <c r="T190" s="2" t="n"/>
      <c r="U190" s="7">
        <f>IF(OR(AO190="",J190="",AO190&lt;=0),"",(J190-AO190)/AO190)</f>
        <v/>
      </c>
      <c r="V190" s="7">
        <f>IF(OR(AO190="",N190="",AO190&lt;=0),"",(AO190-N190)/AO190)</f>
        <v/>
      </c>
      <c r="W190" s="13">
        <f>IF(OR(U190="",V190="",V190&lt;=0),"",U190/V190)</f>
        <v/>
      </c>
      <c r="X190" s="42">
        <f>IF(OR(K190="",L190="",AP190=""),"",K190*L190-(E190*H190+IF(AND(AK190&lt;&gt;"",AL190&lt;&gt;""),AK190*AL190,0)+IF(AND(AM190&lt;&gt;"",AN190&lt;&gt;""),AM190*AN190,0))-IF(O190="",0,O190)-IF(P190="",0,P190))</f>
        <v/>
      </c>
      <c r="Y190" s="7">
        <f>IF(OR(X190="",AP190=""),"",IF((E190*H190+IF(AND(AK190&lt;&gt;"",AL190&lt;&gt;""),AK190*AL190,0)+IF(AND(AM190&lt;&gt;"",AN190&lt;&gt;""),AM190*AN190,0))+IF(O190="",0,O190)&lt;=0,"",X190/((E190*H190+IF(AND(AK190&lt;&gt;"",AL190&lt;&gt;""),AK190*AL190,0)+IF(AND(AM190&lt;&gt;"",AN190&lt;&gt;""),AM190*AN190,0))+IF(O190="",0,O190))))</f>
        <v/>
      </c>
      <c r="Z190" s="7">
        <f>IF(OR(AE190="",多次统计数据!$B$8=""),"",AE190-多次统计数据!$B$8)</f>
        <v/>
      </c>
      <c r="AA190" s="14">
        <f>IF(OR(I190="",M190="",M190&lt;I190),"",M190-I190)</f>
        <v/>
      </c>
      <c r="AB190" s="7">
        <f>IF(OR(A190="",多次统计数据!$B$8="",多次统计数据!$B$6&lt;=0,多次统计数据!$B$6&gt;=1),"",1-POWER(1+多次统计数据!$B$8,-多次统计数据!$B$6/(1-多次统计数据!$B$6)))</f>
        <v/>
      </c>
      <c r="AC190" s="8">
        <f>IF(OR(AB190="",多次统计数据!$B$9=""),"",IF(多次统计数据!$B$9&lt;AB190,"低于上限","达到或超过上限"))</f>
        <v/>
      </c>
      <c r="AD190" s="2" t="n"/>
      <c r="AE190" s="7">
        <f>IF(OR(X190="",C190="",C190&lt;=0),"",X190/C190)</f>
        <v/>
      </c>
      <c r="AG190" s="28" t="n"/>
      <c r="AH190" s="28" t="n"/>
      <c r="AI190" s="28" t="n"/>
      <c r="AJ190" s="31">
        <f>IF(OR(AG190="",AH190=""),"",IF(OR(AND(AG190="短期博反弹",OR(AH190="1～3个交易日",AH190="4～10个交易日")),AND(AG190="突破冲新高",OR(AH190="4～10个交易日",AH190="11～20个交易日")),AND(AG190="趋势波段",OR(AH190="11～20个交易日",AH190="21～60个交易日",AH190="60个交易日以上"))),"匹配","周期与交易预期不匹配，请重新确认"))</f>
        <v/>
      </c>
      <c r="AK190" s="43" t="n"/>
      <c r="AL190" s="27" t="n"/>
      <c r="AM190" s="43" t="n"/>
      <c r="AN190" s="27" t="n"/>
      <c r="AO190" s="44">
        <f>IF(OR(A190="",H190="",H190&lt;=0),"",(E190*H190+IF(AND(AK190&lt;&gt;"",AL190&lt;&gt;""),AK190*AL190,0)+IF(AND(AM190&lt;&gt;"",AN190&lt;&gt;""),AM190*AN190,0))/AP190)</f>
        <v/>
      </c>
      <c r="AP190" s="26">
        <f>IF(OR(A190="",H190="",H190&lt;=0),"",H190+IF(AL190="",0,AL190)+IF(AN190="",0,AN190))</f>
        <v/>
      </c>
      <c r="AQ190" s="44">
        <f>IF(A190="","",IF(M190&lt;&gt;"",0,IF(OR(H190="",N190=""),"",MAX(E190-MAX(N190,IFERROR(AGGREGATE(14,6,'持仓跟踪'!$S$2:$S$501/(('持仓跟踪'!$A$2:$A$501="每日跟踪")*('持仓跟踪'!$B$2:$B$501=A190)),1),0)),0)*H190+IF(OR(AK190="",AL190=""),0,MAX(AK190-MAX(N190,IFERROR(AGGREGATE(14,6,'持仓跟踪'!$S$2:$S$501/(('持仓跟踪'!$A$2:$A$501="每日跟踪")*('持仓跟踪'!$B$2:$B$501=A190)),1),0)),0)*AL190)+IF(OR(AM190="",AN190=""),0,MAX(AM190-MAX(N190,IFERROR(AGGREGATE(14,6,'持仓跟踪'!$S$2:$S$501/(('持仓跟踪'!$A$2:$A$501="每日跟踪")*('持仓跟踪'!$B$2:$B$501=A190)),1),0)),0)*AN190))))</f>
        <v/>
      </c>
      <c r="AR190" s="31">
        <f>IF(A190="","",IF(OR(E190="",H190=""),"违规：第一批价格或股数缺失",IF(OR(AND(AK190="",AL190&lt;&gt;""),AND(AK190&lt;&gt;"",AL190="")),"违规：第二批价格与股数须成对填写",IF(OR(AND(AM190="",AN190&lt;&gt;""),AND(AM190&lt;&gt;"",AN190="")),"违规：第三批价格与股数须成对填写",IF(AND(OR(AM190&lt;&gt;"",AN190&lt;&gt;""),OR(AK190="",AL190="")),"违规：必须先完成第二批",IF(OR(H190&lt;=0,H190&lt;&gt;INT(H190),MOD(H190,100)&lt;&gt;0,AND(AL190&lt;&gt;"",OR(AL190&lt;=0,AL190&lt;&gt;INT(AL190),MOD(AL190,100)&lt;&gt;0)),AND(AN190&lt;&gt;"",OR(AN190&lt;=0,AN190&lt;&gt;INT(AN190),MOD(AN190,100)&lt;&gt;0))),"违规：股数须为100股整数倍",IF(AND(OR(AL190&lt;&gt;"",AN190&lt;&gt;""),OR(_LockStatus="已锁仓",_LockStatus="解锁信息不完整")),"违规：锁仓期间禁止加仓",IF(AQ190&gt;C190*D190,"违规：超过单笔风险上限",IF(SUM($AQ$2:$AQ$201)&gt;账户数据!$B$7,"违规：超过账户风险上限","通过")))))))))</f>
        <v/>
      </c>
    </row>
    <row r="191">
      <c r="A191" s="2" t="n"/>
      <c r="B191" s="2" t="n"/>
      <c r="C191" s="40" t="n"/>
      <c r="D191" s="6" t="n"/>
      <c r="E191" s="40" t="n"/>
      <c r="F191" s="8">
        <f>IF(OR(C191="",D191="",E191="",N191="",C191&lt;=0,D191&lt;=0,E191&lt;=N191),"",ROUNDDOWN((C191*D191)/(E191-N191)/100,0)*100)</f>
        <v/>
      </c>
      <c r="G191" s="8">
        <f>IF(A191="","",IF(H191&lt;&gt;"","已开仓",IF(账户数据!$B$23="已锁仓","禁止开仓：连续亏损达到上限",IF(账户数据!$B$23="解锁信息不完整","禁止开仓：请完整填写解锁信息",IF(OR(F191="",E191="",N191="",E191&lt;=N191,账户数据!$B$7=""),"",IF(OR(AG191="",AH191="",AI191=""),"禁止开仓：交易预期未填写完整",IF(COUNTIFS(持仓跟踪!$A$2:$A$501,"止损计划",持仓跟踪!$B$2:$B$501,A191,持仓跟踪!$AC$2:$AC$501,"计划有效")=0,"禁止开仓：请先填写止损计划",IF(账户数据!$B$9+F191*(E191-N191)&gt;=账户数据!$B$7,"禁止开仓：风险额度不足",IF(AJ191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1" s="2" t="n"/>
      <c r="I191" s="41" t="n"/>
      <c r="J191" s="40" t="n"/>
      <c r="K191" s="46">
        <f>IF(A191="","",IFERROR(LOOKUP(2,1/((持仓跟踪!$B$2:$B$501=A191)*(持仓跟踪!$X$2:$X$501="执行卖出")*(持仓跟踪!$Y$2:$Y$501&lt;&gt;"")),持仓跟踪!$Y$2:$Y$501),""))</f>
        <v/>
      </c>
      <c r="L191" s="33">
        <f>IF(A191="","",IFERROR(LOOKUP(2,1/((持仓跟踪!$B$2:$B$501=A191)*(持仓跟踪!$X$2:$X$501="执行卖出")*(持仓跟踪!$Z$2:$Z$501&lt;&gt;"")),持仓跟踪!$Z$2:$Z$501),""))</f>
        <v/>
      </c>
      <c r="M191" s="47">
        <f>IF(A191="","",IFERROR(LOOKUP(2,1/((持仓跟踪!$B$2:$B$501=A191)*(持仓跟踪!$X$2:$X$501="执行卖出")*(持仓跟踪!$H$2:$H$501&lt;&gt;"")),持仓跟踪!$H$2:$H$501),""))</f>
        <v/>
      </c>
      <c r="N191" s="40" t="n"/>
      <c r="O191" s="40" t="n"/>
      <c r="P191" s="46">
        <f>IF(A191="","",IFERROR(LOOKUP(2,1/((持仓跟踪!$B$2:$B$501=A191)*(持仓跟踪!$X$2:$X$501="执行卖出")*(持仓跟踪!$AA$2:$AA$501&lt;&gt;"")),持仓跟踪!$AA$2:$AA$501),""))</f>
        <v/>
      </c>
      <c r="Q191" s="2" t="n"/>
      <c r="R191" s="2" t="n"/>
      <c r="S191" s="2" t="n"/>
      <c r="T191" s="2" t="n"/>
      <c r="U191" s="7">
        <f>IF(OR(AO191="",J191="",AO191&lt;=0),"",(J191-AO191)/AO191)</f>
        <v/>
      </c>
      <c r="V191" s="7">
        <f>IF(OR(AO191="",N191="",AO191&lt;=0),"",(AO191-N191)/AO191)</f>
        <v/>
      </c>
      <c r="W191" s="13">
        <f>IF(OR(U191="",V191="",V191&lt;=0),"",U191/V191)</f>
        <v/>
      </c>
      <c r="X191" s="42">
        <f>IF(OR(K191="",L191="",AP191=""),"",K191*L191-(E191*H191+IF(AND(AK191&lt;&gt;"",AL191&lt;&gt;""),AK191*AL191,0)+IF(AND(AM191&lt;&gt;"",AN191&lt;&gt;""),AM191*AN191,0))-IF(O191="",0,O191)-IF(P191="",0,P191))</f>
        <v/>
      </c>
      <c r="Y191" s="7">
        <f>IF(OR(X191="",AP191=""),"",IF((E191*H191+IF(AND(AK191&lt;&gt;"",AL191&lt;&gt;""),AK191*AL191,0)+IF(AND(AM191&lt;&gt;"",AN191&lt;&gt;""),AM191*AN191,0))+IF(O191="",0,O191)&lt;=0,"",X191/((E191*H191+IF(AND(AK191&lt;&gt;"",AL191&lt;&gt;""),AK191*AL191,0)+IF(AND(AM191&lt;&gt;"",AN191&lt;&gt;""),AM191*AN191,0))+IF(O191="",0,O191))))</f>
        <v/>
      </c>
      <c r="Z191" s="7">
        <f>IF(OR(AE191="",多次统计数据!$B$8=""),"",AE191-多次统计数据!$B$8)</f>
        <v/>
      </c>
      <c r="AA191" s="14">
        <f>IF(OR(I191="",M191="",M191&lt;I191),"",M191-I191)</f>
        <v/>
      </c>
      <c r="AB191" s="7">
        <f>IF(OR(A191="",多次统计数据!$B$8="",多次统计数据!$B$6&lt;=0,多次统计数据!$B$6&gt;=1),"",1-POWER(1+多次统计数据!$B$8,-多次统计数据!$B$6/(1-多次统计数据!$B$6)))</f>
        <v/>
      </c>
      <c r="AC191" s="8">
        <f>IF(OR(AB191="",多次统计数据!$B$9=""),"",IF(多次统计数据!$B$9&lt;AB191,"低于上限","达到或超过上限"))</f>
        <v/>
      </c>
      <c r="AD191" s="2" t="n"/>
      <c r="AE191" s="7">
        <f>IF(OR(X191="",C191="",C191&lt;=0),"",X191/C191)</f>
        <v/>
      </c>
      <c r="AG191" s="28" t="n"/>
      <c r="AH191" s="28" t="n"/>
      <c r="AI191" s="28" t="n"/>
      <c r="AJ191" s="31">
        <f>IF(OR(AG191="",AH191=""),"",IF(OR(AND(AG191="短期博反弹",OR(AH191="1～3个交易日",AH191="4～10个交易日")),AND(AG191="突破冲新高",OR(AH191="4～10个交易日",AH191="11～20个交易日")),AND(AG191="趋势波段",OR(AH191="11～20个交易日",AH191="21～60个交易日",AH191="60个交易日以上"))),"匹配","周期与交易预期不匹配，请重新确认"))</f>
        <v/>
      </c>
      <c r="AK191" s="43" t="n"/>
      <c r="AL191" s="27" t="n"/>
      <c r="AM191" s="43" t="n"/>
      <c r="AN191" s="27" t="n"/>
      <c r="AO191" s="44">
        <f>IF(OR(A191="",H191="",H191&lt;=0),"",(E191*H191+IF(AND(AK191&lt;&gt;"",AL191&lt;&gt;""),AK191*AL191,0)+IF(AND(AM191&lt;&gt;"",AN191&lt;&gt;""),AM191*AN191,0))/AP191)</f>
        <v/>
      </c>
      <c r="AP191" s="26">
        <f>IF(OR(A191="",H191="",H191&lt;=0),"",H191+IF(AL191="",0,AL191)+IF(AN191="",0,AN191))</f>
        <v/>
      </c>
      <c r="AQ191" s="44">
        <f>IF(A191="","",IF(M191&lt;&gt;"",0,IF(OR(H191="",N191=""),"",MAX(E191-MAX(N191,IFERROR(AGGREGATE(14,6,'持仓跟踪'!$S$2:$S$501/(('持仓跟踪'!$A$2:$A$501="每日跟踪")*('持仓跟踪'!$B$2:$B$501=A191)),1),0)),0)*H191+IF(OR(AK191="",AL191=""),0,MAX(AK191-MAX(N191,IFERROR(AGGREGATE(14,6,'持仓跟踪'!$S$2:$S$501/(('持仓跟踪'!$A$2:$A$501="每日跟踪")*('持仓跟踪'!$B$2:$B$501=A191)),1),0)),0)*AL191)+IF(OR(AM191="",AN191=""),0,MAX(AM191-MAX(N191,IFERROR(AGGREGATE(14,6,'持仓跟踪'!$S$2:$S$501/(('持仓跟踪'!$A$2:$A$501="每日跟踪")*('持仓跟踪'!$B$2:$B$501=A191)),1),0)),0)*AN191))))</f>
        <v/>
      </c>
      <c r="AR191" s="31">
        <f>IF(A191="","",IF(OR(E191="",H191=""),"违规：第一批价格或股数缺失",IF(OR(AND(AK191="",AL191&lt;&gt;""),AND(AK191&lt;&gt;"",AL191="")),"违规：第二批价格与股数须成对填写",IF(OR(AND(AM191="",AN191&lt;&gt;""),AND(AM191&lt;&gt;"",AN191="")),"违规：第三批价格与股数须成对填写",IF(AND(OR(AM191&lt;&gt;"",AN191&lt;&gt;""),OR(AK191="",AL191="")),"违规：必须先完成第二批",IF(OR(H191&lt;=0,H191&lt;&gt;INT(H191),MOD(H191,100)&lt;&gt;0,AND(AL191&lt;&gt;"",OR(AL191&lt;=0,AL191&lt;&gt;INT(AL191),MOD(AL191,100)&lt;&gt;0)),AND(AN191&lt;&gt;"",OR(AN191&lt;=0,AN191&lt;&gt;INT(AN191),MOD(AN191,100)&lt;&gt;0))),"违规：股数须为100股整数倍",IF(AND(OR(AL191&lt;&gt;"",AN191&lt;&gt;""),OR(_LockStatus="已锁仓",_LockStatus="解锁信息不完整")),"违规：锁仓期间禁止加仓",IF(AQ191&gt;C191*D191,"违规：超过单笔风险上限",IF(SUM($AQ$2:$AQ$201)&gt;账户数据!$B$7,"违规：超过账户风险上限","通过")))))))))</f>
        <v/>
      </c>
    </row>
    <row r="192">
      <c r="A192" s="2" t="n"/>
      <c r="B192" s="2" t="n"/>
      <c r="C192" s="40" t="n"/>
      <c r="D192" s="6" t="n"/>
      <c r="E192" s="40" t="n"/>
      <c r="F192" s="8">
        <f>IF(OR(C192="",D192="",E192="",N192="",C192&lt;=0,D192&lt;=0,E192&lt;=N192),"",ROUNDDOWN((C192*D192)/(E192-N192)/100,0)*100)</f>
        <v/>
      </c>
      <c r="G192" s="8">
        <f>IF(A192="","",IF(H192&lt;&gt;"","已开仓",IF(账户数据!$B$23="已锁仓","禁止开仓：连续亏损达到上限",IF(账户数据!$B$23="解锁信息不完整","禁止开仓：请完整填写解锁信息",IF(OR(F192="",E192="",N192="",E192&lt;=N192,账户数据!$B$7=""),"",IF(OR(AG192="",AH192="",AI192=""),"禁止开仓：交易预期未填写完整",IF(COUNTIFS(持仓跟踪!$A$2:$A$501,"止损计划",持仓跟踪!$B$2:$B$501,A192,持仓跟踪!$AC$2:$AC$501,"计划有效")=0,"禁止开仓：请先填写止损计划",IF(账户数据!$B$9+F192*(E192-N192)&gt;=账户数据!$B$7,"禁止开仓：风险额度不足",IF(AJ192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2" s="2" t="n"/>
      <c r="I192" s="41" t="n"/>
      <c r="J192" s="40" t="n"/>
      <c r="K192" s="46">
        <f>IF(A192="","",IFERROR(LOOKUP(2,1/((持仓跟踪!$B$2:$B$501=A192)*(持仓跟踪!$X$2:$X$501="执行卖出")*(持仓跟踪!$Y$2:$Y$501&lt;&gt;"")),持仓跟踪!$Y$2:$Y$501),""))</f>
        <v/>
      </c>
      <c r="L192" s="33">
        <f>IF(A192="","",IFERROR(LOOKUP(2,1/((持仓跟踪!$B$2:$B$501=A192)*(持仓跟踪!$X$2:$X$501="执行卖出")*(持仓跟踪!$Z$2:$Z$501&lt;&gt;"")),持仓跟踪!$Z$2:$Z$501),""))</f>
        <v/>
      </c>
      <c r="M192" s="47">
        <f>IF(A192="","",IFERROR(LOOKUP(2,1/((持仓跟踪!$B$2:$B$501=A192)*(持仓跟踪!$X$2:$X$501="执行卖出")*(持仓跟踪!$H$2:$H$501&lt;&gt;"")),持仓跟踪!$H$2:$H$501),""))</f>
        <v/>
      </c>
      <c r="N192" s="40" t="n"/>
      <c r="O192" s="40" t="n"/>
      <c r="P192" s="46">
        <f>IF(A192="","",IFERROR(LOOKUP(2,1/((持仓跟踪!$B$2:$B$501=A192)*(持仓跟踪!$X$2:$X$501="执行卖出")*(持仓跟踪!$AA$2:$AA$501&lt;&gt;"")),持仓跟踪!$AA$2:$AA$501),""))</f>
        <v/>
      </c>
      <c r="Q192" s="2" t="n"/>
      <c r="R192" s="2" t="n"/>
      <c r="S192" s="2" t="n"/>
      <c r="T192" s="2" t="n"/>
      <c r="U192" s="7">
        <f>IF(OR(AO192="",J192="",AO192&lt;=0),"",(J192-AO192)/AO192)</f>
        <v/>
      </c>
      <c r="V192" s="7">
        <f>IF(OR(AO192="",N192="",AO192&lt;=0),"",(AO192-N192)/AO192)</f>
        <v/>
      </c>
      <c r="W192" s="13">
        <f>IF(OR(U192="",V192="",V192&lt;=0),"",U192/V192)</f>
        <v/>
      </c>
      <c r="X192" s="42">
        <f>IF(OR(K192="",L192="",AP192=""),"",K192*L192-(E192*H192+IF(AND(AK192&lt;&gt;"",AL192&lt;&gt;""),AK192*AL192,0)+IF(AND(AM192&lt;&gt;"",AN192&lt;&gt;""),AM192*AN192,0))-IF(O192="",0,O192)-IF(P192="",0,P192))</f>
        <v/>
      </c>
      <c r="Y192" s="7">
        <f>IF(OR(X192="",AP192=""),"",IF((E192*H192+IF(AND(AK192&lt;&gt;"",AL192&lt;&gt;""),AK192*AL192,0)+IF(AND(AM192&lt;&gt;"",AN192&lt;&gt;""),AM192*AN192,0))+IF(O192="",0,O192)&lt;=0,"",X192/((E192*H192+IF(AND(AK192&lt;&gt;"",AL192&lt;&gt;""),AK192*AL192,0)+IF(AND(AM192&lt;&gt;"",AN192&lt;&gt;""),AM192*AN192,0))+IF(O192="",0,O192))))</f>
        <v/>
      </c>
      <c r="Z192" s="7">
        <f>IF(OR(AE192="",多次统计数据!$B$8=""),"",AE192-多次统计数据!$B$8)</f>
        <v/>
      </c>
      <c r="AA192" s="14">
        <f>IF(OR(I192="",M192="",M192&lt;I192),"",M192-I192)</f>
        <v/>
      </c>
      <c r="AB192" s="7">
        <f>IF(OR(A192="",多次统计数据!$B$8="",多次统计数据!$B$6&lt;=0,多次统计数据!$B$6&gt;=1),"",1-POWER(1+多次统计数据!$B$8,-多次统计数据!$B$6/(1-多次统计数据!$B$6)))</f>
        <v/>
      </c>
      <c r="AC192" s="8">
        <f>IF(OR(AB192="",多次统计数据!$B$9=""),"",IF(多次统计数据!$B$9&lt;AB192,"低于上限","达到或超过上限"))</f>
        <v/>
      </c>
      <c r="AD192" s="2" t="n"/>
      <c r="AE192" s="7">
        <f>IF(OR(X192="",C192="",C192&lt;=0),"",X192/C192)</f>
        <v/>
      </c>
      <c r="AG192" s="28" t="n"/>
      <c r="AH192" s="28" t="n"/>
      <c r="AI192" s="28" t="n"/>
      <c r="AJ192" s="31">
        <f>IF(OR(AG192="",AH192=""),"",IF(OR(AND(AG192="短期博反弹",OR(AH192="1～3个交易日",AH192="4～10个交易日")),AND(AG192="突破冲新高",OR(AH192="4～10个交易日",AH192="11～20个交易日")),AND(AG192="趋势波段",OR(AH192="11～20个交易日",AH192="21～60个交易日",AH192="60个交易日以上"))),"匹配","周期与交易预期不匹配，请重新确认"))</f>
        <v/>
      </c>
      <c r="AK192" s="43" t="n"/>
      <c r="AL192" s="27" t="n"/>
      <c r="AM192" s="43" t="n"/>
      <c r="AN192" s="27" t="n"/>
      <c r="AO192" s="44">
        <f>IF(OR(A192="",H192="",H192&lt;=0),"",(E192*H192+IF(AND(AK192&lt;&gt;"",AL192&lt;&gt;""),AK192*AL192,0)+IF(AND(AM192&lt;&gt;"",AN192&lt;&gt;""),AM192*AN192,0))/AP192)</f>
        <v/>
      </c>
      <c r="AP192" s="26">
        <f>IF(OR(A192="",H192="",H192&lt;=0),"",H192+IF(AL192="",0,AL192)+IF(AN192="",0,AN192))</f>
        <v/>
      </c>
      <c r="AQ192" s="44">
        <f>IF(A192="","",IF(M192&lt;&gt;"",0,IF(OR(H192="",N192=""),"",MAX(E192-MAX(N192,IFERROR(AGGREGATE(14,6,'持仓跟踪'!$S$2:$S$501/(('持仓跟踪'!$A$2:$A$501="每日跟踪")*('持仓跟踪'!$B$2:$B$501=A192)),1),0)),0)*H192+IF(OR(AK192="",AL192=""),0,MAX(AK192-MAX(N192,IFERROR(AGGREGATE(14,6,'持仓跟踪'!$S$2:$S$501/(('持仓跟踪'!$A$2:$A$501="每日跟踪")*('持仓跟踪'!$B$2:$B$501=A192)),1),0)),0)*AL192)+IF(OR(AM192="",AN192=""),0,MAX(AM192-MAX(N192,IFERROR(AGGREGATE(14,6,'持仓跟踪'!$S$2:$S$501/(('持仓跟踪'!$A$2:$A$501="每日跟踪")*('持仓跟踪'!$B$2:$B$501=A192)),1),0)),0)*AN192))))</f>
        <v/>
      </c>
      <c r="AR192" s="31">
        <f>IF(A192="","",IF(OR(E192="",H192=""),"违规：第一批价格或股数缺失",IF(OR(AND(AK192="",AL192&lt;&gt;""),AND(AK192&lt;&gt;"",AL192="")),"违规：第二批价格与股数须成对填写",IF(OR(AND(AM192="",AN192&lt;&gt;""),AND(AM192&lt;&gt;"",AN192="")),"违规：第三批价格与股数须成对填写",IF(AND(OR(AM192&lt;&gt;"",AN192&lt;&gt;""),OR(AK192="",AL192="")),"违规：必须先完成第二批",IF(OR(H192&lt;=0,H192&lt;&gt;INT(H192),MOD(H192,100)&lt;&gt;0,AND(AL192&lt;&gt;"",OR(AL192&lt;=0,AL192&lt;&gt;INT(AL192),MOD(AL192,100)&lt;&gt;0)),AND(AN192&lt;&gt;"",OR(AN192&lt;=0,AN192&lt;&gt;INT(AN192),MOD(AN192,100)&lt;&gt;0))),"违规：股数须为100股整数倍",IF(AND(OR(AL192&lt;&gt;"",AN192&lt;&gt;""),OR(_LockStatus="已锁仓",_LockStatus="解锁信息不完整")),"违规：锁仓期间禁止加仓",IF(AQ192&gt;C192*D192,"违规：超过单笔风险上限",IF(SUM($AQ$2:$AQ$201)&gt;账户数据!$B$7,"违规：超过账户风险上限","通过")))))))))</f>
        <v/>
      </c>
    </row>
    <row r="193">
      <c r="A193" s="2" t="n"/>
      <c r="B193" s="2" t="n"/>
      <c r="C193" s="40" t="n"/>
      <c r="D193" s="6" t="n"/>
      <c r="E193" s="40" t="n"/>
      <c r="F193" s="8">
        <f>IF(OR(C193="",D193="",E193="",N193="",C193&lt;=0,D193&lt;=0,E193&lt;=N193),"",ROUNDDOWN((C193*D193)/(E193-N193)/100,0)*100)</f>
        <v/>
      </c>
      <c r="G193" s="8">
        <f>IF(A193="","",IF(H193&lt;&gt;"","已开仓",IF(账户数据!$B$23="已锁仓","禁止开仓：连续亏损达到上限",IF(账户数据!$B$23="解锁信息不完整","禁止开仓：请完整填写解锁信息",IF(OR(F193="",E193="",N193="",E193&lt;=N193,账户数据!$B$7=""),"",IF(OR(AG193="",AH193="",AI193=""),"禁止开仓：交易预期未填写完整",IF(COUNTIFS(持仓跟踪!$A$2:$A$501,"止损计划",持仓跟踪!$B$2:$B$501,A193,持仓跟踪!$AC$2:$AC$501,"计划有效")=0,"禁止开仓：请先填写止损计划",IF(账户数据!$B$9+F193*(E193-N193)&gt;=账户数据!$B$7,"禁止开仓：风险额度不足",IF(AJ193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3" s="2" t="n"/>
      <c r="I193" s="41" t="n"/>
      <c r="J193" s="40" t="n"/>
      <c r="K193" s="46">
        <f>IF(A193="","",IFERROR(LOOKUP(2,1/((持仓跟踪!$B$2:$B$501=A193)*(持仓跟踪!$X$2:$X$501="执行卖出")*(持仓跟踪!$Y$2:$Y$501&lt;&gt;"")),持仓跟踪!$Y$2:$Y$501),""))</f>
        <v/>
      </c>
      <c r="L193" s="33">
        <f>IF(A193="","",IFERROR(LOOKUP(2,1/((持仓跟踪!$B$2:$B$501=A193)*(持仓跟踪!$X$2:$X$501="执行卖出")*(持仓跟踪!$Z$2:$Z$501&lt;&gt;"")),持仓跟踪!$Z$2:$Z$501),""))</f>
        <v/>
      </c>
      <c r="M193" s="47">
        <f>IF(A193="","",IFERROR(LOOKUP(2,1/((持仓跟踪!$B$2:$B$501=A193)*(持仓跟踪!$X$2:$X$501="执行卖出")*(持仓跟踪!$H$2:$H$501&lt;&gt;"")),持仓跟踪!$H$2:$H$501),""))</f>
        <v/>
      </c>
      <c r="N193" s="40" t="n"/>
      <c r="O193" s="40" t="n"/>
      <c r="P193" s="46">
        <f>IF(A193="","",IFERROR(LOOKUP(2,1/((持仓跟踪!$B$2:$B$501=A193)*(持仓跟踪!$X$2:$X$501="执行卖出")*(持仓跟踪!$AA$2:$AA$501&lt;&gt;"")),持仓跟踪!$AA$2:$AA$501),""))</f>
        <v/>
      </c>
      <c r="Q193" s="2" t="n"/>
      <c r="R193" s="2" t="n"/>
      <c r="S193" s="2" t="n"/>
      <c r="T193" s="2" t="n"/>
      <c r="U193" s="7">
        <f>IF(OR(AO193="",J193="",AO193&lt;=0),"",(J193-AO193)/AO193)</f>
        <v/>
      </c>
      <c r="V193" s="7">
        <f>IF(OR(AO193="",N193="",AO193&lt;=0),"",(AO193-N193)/AO193)</f>
        <v/>
      </c>
      <c r="W193" s="13">
        <f>IF(OR(U193="",V193="",V193&lt;=0),"",U193/V193)</f>
        <v/>
      </c>
      <c r="X193" s="42">
        <f>IF(OR(K193="",L193="",AP193=""),"",K193*L193-(E193*H193+IF(AND(AK193&lt;&gt;"",AL193&lt;&gt;""),AK193*AL193,0)+IF(AND(AM193&lt;&gt;"",AN193&lt;&gt;""),AM193*AN193,0))-IF(O193="",0,O193)-IF(P193="",0,P193))</f>
        <v/>
      </c>
      <c r="Y193" s="7">
        <f>IF(OR(X193="",AP193=""),"",IF((E193*H193+IF(AND(AK193&lt;&gt;"",AL193&lt;&gt;""),AK193*AL193,0)+IF(AND(AM193&lt;&gt;"",AN193&lt;&gt;""),AM193*AN193,0))+IF(O193="",0,O193)&lt;=0,"",X193/((E193*H193+IF(AND(AK193&lt;&gt;"",AL193&lt;&gt;""),AK193*AL193,0)+IF(AND(AM193&lt;&gt;"",AN193&lt;&gt;""),AM193*AN193,0))+IF(O193="",0,O193))))</f>
        <v/>
      </c>
      <c r="Z193" s="7">
        <f>IF(OR(AE193="",多次统计数据!$B$8=""),"",AE193-多次统计数据!$B$8)</f>
        <v/>
      </c>
      <c r="AA193" s="14">
        <f>IF(OR(I193="",M193="",M193&lt;I193),"",M193-I193)</f>
        <v/>
      </c>
      <c r="AB193" s="7">
        <f>IF(OR(A193="",多次统计数据!$B$8="",多次统计数据!$B$6&lt;=0,多次统计数据!$B$6&gt;=1),"",1-POWER(1+多次统计数据!$B$8,-多次统计数据!$B$6/(1-多次统计数据!$B$6)))</f>
        <v/>
      </c>
      <c r="AC193" s="8">
        <f>IF(OR(AB193="",多次统计数据!$B$9=""),"",IF(多次统计数据!$B$9&lt;AB193,"低于上限","达到或超过上限"))</f>
        <v/>
      </c>
      <c r="AD193" s="2" t="n"/>
      <c r="AE193" s="7">
        <f>IF(OR(X193="",C193="",C193&lt;=0),"",X193/C193)</f>
        <v/>
      </c>
      <c r="AG193" s="28" t="n"/>
      <c r="AH193" s="28" t="n"/>
      <c r="AI193" s="28" t="n"/>
      <c r="AJ193" s="31">
        <f>IF(OR(AG193="",AH193=""),"",IF(OR(AND(AG193="短期博反弹",OR(AH193="1～3个交易日",AH193="4～10个交易日")),AND(AG193="突破冲新高",OR(AH193="4～10个交易日",AH193="11～20个交易日")),AND(AG193="趋势波段",OR(AH193="11～20个交易日",AH193="21～60个交易日",AH193="60个交易日以上"))),"匹配","周期与交易预期不匹配，请重新确认"))</f>
        <v/>
      </c>
      <c r="AK193" s="43" t="n"/>
      <c r="AL193" s="27" t="n"/>
      <c r="AM193" s="43" t="n"/>
      <c r="AN193" s="27" t="n"/>
      <c r="AO193" s="44">
        <f>IF(OR(A193="",H193="",H193&lt;=0),"",(E193*H193+IF(AND(AK193&lt;&gt;"",AL193&lt;&gt;""),AK193*AL193,0)+IF(AND(AM193&lt;&gt;"",AN193&lt;&gt;""),AM193*AN193,0))/AP193)</f>
        <v/>
      </c>
      <c r="AP193" s="26">
        <f>IF(OR(A193="",H193="",H193&lt;=0),"",H193+IF(AL193="",0,AL193)+IF(AN193="",0,AN193))</f>
        <v/>
      </c>
      <c r="AQ193" s="44">
        <f>IF(A193="","",IF(M193&lt;&gt;"",0,IF(OR(H193="",N193=""),"",MAX(E193-MAX(N193,IFERROR(AGGREGATE(14,6,'持仓跟踪'!$S$2:$S$501/(('持仓跟踪'!$A$2:$A$501="每日跟踪")*('持仓跟踪'!$B$2:$B$501=A193)),1),0)),0)*H193+IF(OR(AK193="",AL193=""),0,MAX(AK193-MAX(N193,IFERROR(AGGREGATE(14,6,'持仓跟踪'!$S$2:$S$501/(('持仓跟踪'!$A$2:$A$501="每日跟踪")*('持仓跟踪'!$B$2:$B$501=A193)),1),0)),0)*AL193)+IF(OR(AM193="",AN193=""),0,MAX(AM193-MAX(N193,IFERROR(AGGREGATE(14,6,'持仓跟踪'!$S$2:$S$501/(('持仓跟踪'!$A$2:$A$501="每日跟踪")*('持仓跟踪'!$B$2:$B$501=A193)),1),0)),0)*AN193))))</f>
        <v/>
      </c>
      <c r="AR193" s="31">
        <f>IF(A193="","",IF(OR(E193="",H193=""),"违规：第一批价格或股数缺失",IF(OR(AND(AK193="",AL193&lt;&gt;""),AND(AK193&lt;&gt;"",AL193="")),"违规：第二批价格与股数须成对填写",IF(OR(AND(AM193="",AN193&lt;&gt;""),AND(AM193&lt;&gt;"",AN193="")),"违规：第三批价格与股数须成对填写",IF(AND(OR(AM193&lt;&gt;"",AN193&lt;&gt;""),OR(AK193="",AL193="")),"违规：必须先完成第二批",IF(OR(H193&lt;=0,H193&lt;&gt;INT(H193),MOD(H193,100)&lt;&gt;0,AND(AL193&lt;&gt;"",OR(AL193&lt;=0,AL193&lt;&gt;INT(AL193),MOD(AL193,100)&lt;&gt;0)),AND(AN193&lt;&gt;"",OR(AN193&lt;=0,AN193&lt;&gt;INT(AN193),MOD(AN193,100)&lt;&gt;0))),"违规：股数须为100股整数倍",IF(AND(OR(AL193&lt;&gt;"",AN193&lt;&gt;""),OR(_LockStatus="已锁仓",_LockStatus="解锁信息不完整")),"违规：锁仓期间禁止加仓",IF(AQ193&gt;C193*D193,"违规：超过单笔风险上限",IF(SUM($AQ$2:$AQ$201)&gt;账户数据!$B$7,"违规：超过账户风险上限","通过")))))))))</f>
        <v/>
      </c>
    </row>
    <row r="194">
      <c r="A194" s="2" t="n"/>
      <c r="B194" s="2" t="n"/>
      <c r="C194" s="40" t="n"/>
      <c r="D194" s="6" t="n"/>
      <c r="E194" s="40" t="n"/>
      <c r="F194" s="8">
        <f>IF(OR(C194="",D194="",E194="",N194="",C194&lt;=0,D194&lt;=0,E194&lt;=N194),"",ROUNDDOWN((C194*D194)/(E194-N194)/100,0)*100)</f>
        <v/>
      </c>
      <c r="G194" s="8">
        <f>IF(A194="","",IF(H194&lt;&gt;"","已开仓",IF(账户数据!$B$23="已锁仓","禁止开仓：连续亏损达到上限",IF(账户数据!$B$23="解锁信息不完整","禁止开仓：请完整填写解锁信息",IF(OR(F194="",E194="",N194="",E194&lt;=N194,账户数据!$B$7=""),"",IF(OR(AG194="",AH194="",AI194=""),"禁止开仓：交易预期未填写完整",IF(COUNTIFS(持仓跟踪!$A$2:$A$501,"止损计划",持仓跟踪!$B$2:$B$501,A194,持仓跟踪!$AC$2:$AC$501,"计划有效")=0,"禁止开仓：请先填写止损计划",IF(账户数据!$B$9+F194*(E194-N194)&gt;=账户数据!$B$7,"禁止开仓：风险额度不足",IF(AJ194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4" s="2" t="n"/>
      <c r="I194" s="41" t="n"/>
      <c r="J194" s="40" t="n"/>
      <c r="K194" s="46">
        <f>IF(A194="","",IFERROR(LOOKUP(2,1/((持仓跟踪!$B$2:$B$501=A194)*(持仓跟踪!$X$2:$X$501="执行卖出")*(持仓跟踪!$Y$2:$Y$501&lt;&gt;"")),持仓跟踪!$Y$2:$Y$501),""))</f>
        <v/>
      </c>
      <c r="L194" s="33">
        <f>IF(A194="","",IFERROR(LOOKUP(2,1/((持仓跟踪!$B$2:$B$501=A194)*(持仓跟踪!$X$2:$X$501="执行卖出")*(持仓跟踪!$Z$2:$Z$501&lt;&gt;"")),持仓跟踪!$Z$2:$Z$501),""))</f>
        <v/>
      </c>
      <c r="M194" s="47">
        <f>IF(A194="","",IFERROR(LOOKUP(2,1/((持仓跟踪!$B$2:$B$501=A194)*(持仓跟踪!$X$2:$X$501="执行卖出")*(持仓跟踪!$H$2:$H$501&lt;&gt;"")),持仓跟踪!$H$2:$H$501),""))</f>
        <v/>
      </c>
      <c r="N194" s="40" t="n"/>
      <c r="O194" s="40" t="n"/>
      <c r="P194" s="46">
        <f>IF(A194="","",IFERROR(LOOKUP(2,1/((持仓跟踪!$B$2:$B$501=A194)*(持仓跟踪!$X$2:$X$501="执行卖出")*(持仓跟踪!$AA$2:$AA$501&lt;&gt;"")),持仓跟踪!$AA$2:$AA$501),""))</f>
        <v/>
      </c>
      <c r="Q194" s="2" t="n"/>
      <c r="R194" s="2" t="n"/>
      <c r="S194" s="2" t="n"/>
      <c r="T194" s="2" t="n"/>
      <c r="U194" s="7">
        <f>IF(OR(AO194="",J194="",AO194&lt;=0),"",(J194-AO194)/AO194)</f>
        <v/>
      </c>
      <c r="V194" s="7">
        <f>IF(OR(AO194="",N194="",AO194&lt;=0),"",(AO194-N194)/AO194)</f>
        <v/>
      </c>
      <c r="W194" s="13">
        <f>IF(OR(U194="",V194="",V194&lt;=0),"",U194/V194)</f>
        <v/>
      </c>
      <c r="X194" s="42">
        <f>IF(OR(K194="",L194="",AP194=""),"",K194*L194-(E194*H194+IF(AND(AK194&lt;&gt;"",AL194&lt;&gt;""),AK194*AL194,0)+IF(AND(AM194&lt;&gt;"",AN194&lt;&gt;""),AM194*AN194,0))-IF(O194="",0,O194)-IF(P194="",0,P194))</f>
        <v/>
      </c>
      <c r="Y194" s="7">
        <f>IF(OR(X194="",AP194=""),"",IF((E194*H194+IF(AND(AK194&lt;&gt;"",AL194&lt;&gt;""),AK194*AL194,0)+IF(AND(AM194&lt;&gt;"",AN194&lt;&gt;""),AM194*AN194,0))+IF(O194="",0,O194)&lt;=0,"",X194/((E194*H194+IF(AND(AK194&lt;&gt;"",AL194&lt;&gt;""),AK194*AL194,0)+IF(AND(AM194&lt;&gt;"",AN194&lt;&gt;""),AM194*AN194,0))+IF(O194="",0,O194))))</f>
        <v/>
      </c>
      <c r="Z194" s="7">
        <f>IF(OR(AE194="",多次统计数据!$B$8=""),"",AE194-多次统计数据!$B$8)</f>
        <v/>
      </c>
      <c r="AA194" s="14">
        <f>IF(OR(I194="",M194="",M194&lt;I194),"",M194-I194)</f>
        <v/>
      </c>
      <c r="AB194" s="7">
        <f>IF(OR(A194="",多次统计数据!$B$8="",多次统计数据!$B$6&lt;=0,多次统计数据!$B$6&gt;=1),"",1-POWER(1+多次统计数据!$B$8,-多次统计数据!$B$6/(1-多次统计数据!$B$6)))</f>
        <v/>
      </c>
      <c r="AC194" s="8">
        <f>IF(OR(AB194="",多次统计数据!$B$9=""),"",IF(多次统计数据!$B$9&lt;AB194,"低于上限","达到或超过上限"))</f>
        <v/>
      </c>
      <c r="AD194" s="2" t="n"/>
      <c r="AE194" s="7">
        <f>IF(OR(X194="",C194="",C194&lt;=0),"",X194/C194)</f>
        <v/>
      </c>
      <c r="AG194" s="28" t="n"/>
      <c r="AH194" s="28" t="n"/>
      <c r="AI194" s="28" t="n"/>
      <c r="AJ194" s="31">
        <f>IF(OR(AG194="",AH194=""),"",IF(OR(AND(AG194="短期博反弹",OR(AH194="1～3个交易日",AH194="4～10个交易日")),AND(AG194="突破冲新高",OR(AH194="4～10个交易日",AH194="11～20个交易日")),AND(AG194="趋势波段",OR(AH194="11～20个交易日",AH194="21～60个交易日",AH194="60个交易日以上"))),"匹配","周期与交易预期不匹配，请重新确认"))</f>
        <v/>
      </c>
      <c r="AK194" s="43" t="n"/>
      <c r="AL194" s="27" t="n"/>
      <c r="AM194" s="43" t="n"/>
      <c r="AN194" s="27" t="n"/>
      <c r="AO194" s="44">
        <f>IF(OR(A194="",H194="",H194&lt;=0),"",(E194*H194+IF(AND(AK194&lt;&gt;"",AL194&lt;&gt;""),AK194*AL194,0)+IF(AND(AM194&lt;&gt;"",AN194&lt;&gt;""),AM194*AN194,0))/AP194)</f>
        <v/>
      </c>
      <c r="AP194" s="26">
        <f>IF(OR(A194="",H194="",H194&lt;=0),"",H194+IF(AL194="",0,AL194)+IF(AN194="",0,AN194))</f>
        <v/>
      </c>
      <c r="AQ194" s="44">
        <f>IF(A194="","",IF(M194&lt;&gt;"",0,IF(OR(H194="",N194=""),"",MAX(E194-MAX(N194,IFERROR(AGGREGATE(14,6,'持仓跟踪'!$S$2:$S$501/(('持仓跟踪'!$A$2:$A$501="每日跟踪")*('持仓跟踪'!$B$2:$B$501=A194)),1),0)),0)*H194+IF(OR(AK194="",AL194=""),0,MAX(AK194-MAX(N194,IFERROR(AGGREGATE(14,6,'持仓跟踪'!$S$2:$S$501/(('持仓跟踪'!$A$2:$A$501="每日跟踪")*('持仓跟踪'!$B$2:$B$501=A194)),1),0)),0)*AL194)+IF(OR(AM194="",AN194=""),0,MAX(AM194-MAX(N194,IFERROR(AGGREGATE(14,6,'持仓跟踪'!$S$2:$S$501/(('持仓跟踪'!$A$2:$A$501="每日跟踪")*('持仓跟踪'!$B$2:$B$501=A194)),1),0)),0)*AN194))))</f>
        <v/>
      </c>
      <c r="AR194" s="31">
        <f>IF(A194="","",IF(OR(E194="",H194=""),"违规：第一批价格或股数缺失",IF(OR(AND(AK194="",AL194&lt;&gt;""),AND(AK194&lt;&gt;"",AL194="")),"违规：第二批价格与股数须成对填写",IF(OR(AND(AM194="",AN194&lt;&gt;""),AND(AM194&lt;&gt;"",AN194="")),"违规：第三批价格与股数须成对填写",IF(AND(OR(AM194&lt;&gt;"",AN194&lt;&gt;""),OR(AK194="",AL194="")),"违规：必须先完成第二批",IF(OR(H194&lt;=0,H194&lt;&gt;INT(H194),MOD(H194,100)&lt;&gt;0,AND(AL194&lt;&gt;"",OR(AL194&lt;=0,AL194&lt;&gt;INT(AL194),MOD(AL194,100)&lt;&gt;0)),AND(AN194&lt;&gt;"",OR(AN194&lt;=0,AN194&lt;&gt;INT(AN194),MOD(AN194,100)&lt;&gt;0))),"违规：股数须为100股整数倍",IF(AND(OR(AL194&lt;&gt;"",AN194&lt;&gt;""),OR(_LockStatus="已锁仓",_LockStatus="解锁信息不完整")),"违规：锁仓期间禁止加仓",IF(AQ194&gt;C194*D194,"违规：超过单笔风险上限",IF(SUM($AQ$2:$AQ$201)&gt;账户数据!$B$7,"违规：超过账户风险上限","通过")))))))))</f>
        <v/>
      </c>
    </row>
    <row r="195">
      <c r="A195" s="2" t="n"/>
      <c r="B195" s="2" t="n"/>
      <c r="C195" s="40" t="n"/>
      <c r="D195" s="6" t="n"/>
      <c r="E195" s="40" t="n"/>
      <c r="F195" s="8">
        <f>IF(OR(C195="",D195="",E195="",N195="",C195&lt;=0,D195&lt;=0,E195&lt;=N195),"",ROUNDDOWN((C195*D195)/(E195-N195)/100,0)*100)</f>
        <v/>
      </c>
      <c r="G195" s="8">
        <f>IF(A195="","",IF(H195&lt;&gt;"","已开仓",IF(账户数据!$B$23="已锁仓","禁止开仓：连续亏损达到上限",IF(账户数据!$B$23="解锁信息不完整","禁止开仓：请完整填写解锁信息",IF(OR(F195="",E195="",N195="",E195&lt;=N195,账户数据!$B$7=""),"",IF(OR(AG195="",AH195="",AI195=""),"禁止开仓：交易预期未填写完整",IF(COUNTIFS(持仓跟踪!$A$2:$A$501,"止损计划",持仓跟踪!$B$2:$B$501,A195,持仓跟踪!$AC$2:$AC$501,"计划有效")=0,"禁止开仓：请先填写止损计划",IF(账户数据!$B$9+F195*(E195-N195)&gt;=账户数据!$B$7,"禁止开仓：风险额度不足",IF(AJ195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5" s="2" t="n"/>
      <c r="I195" s="41" t="n"/>
      <c r="J195" s="40" t="n"/>
      <c r="K195" s="46">
        <f>IF(A195="","",IFERROR(LOOKUP(2,1/((持仓跟踪!$B$2:$B$501=A195)*(持仓跟踪!$X$2:$X$501="执行卖出")*(持仓跟踪!$Y$2:$Y$501&lt;&gt;"")),持仓跟踪!$Y$2:$Y$501),""))</f>
        <v/>
      </c>
      <c r="L195" s="33">
        <f>IF(A195="","",IFERROR(LOOKUP(2,1/((持仓跟踪!$B$2:$B$501=A195)*(持仓跟踪!$X$2:$X$501="执行卖出")*(持仓跟踪!$Z$2:$Z$501&lt;&gt;"")),持仓跟踪!$Z$2:$Z$501),""))</f>
        <v/>
      </c>
      <c r="M195" s="47">
        <f>IF(A195="","",IFERROR(LOOKUP(2,1/((持仓跟踪!$B$2:$B$501=A195)*(持仓跟踪!$X$2:$X$501="执行卖出")*(持仓跟踪!$H$2:$H$501&lt;&gt;"")),持仓跟踪!$H$2:$H$501),""))</f>
        <v/>
      </c>
      <c r="N195" s="40" t="n"/>
      <c r="O195" s="40" t="n"/>
      <c r="P195" s="46">
        <f>IF(A195="","",IFERROR(LOOKUP(2,1/((持仓跟踪!$B$2:$B$501=A195)*(持仓跟踪!$X$2:$X$501="执行卖出")*(持仓跟踪!$AA$2:$AA$501&lt;&gt;"")),持仓跟踪!$AA$2:$AA$501),""))</f>
        <v/>
      </c>
      <c r="Q195" s="2" t="n"/>
      <c r="R195" s="2" t="n"/>
      <c r="S195" s="2" t="n"/>
      <c r="T195" s="2" t="n"/>
      <c r="U195" s="7">
        <f>IF(OR(AO195="",J195="",AO195&lt;=0),"",(J195-AO195)/AO195)</f>
        <v/>
      </c>
      <c r="V195" s="7">
        <f>IF(OR(AO195="",N195="",AO195&lt;=0),"",(AO195-N195)/AO195)</f>
        <v/>
      </c>
      <c r="W195" s="13">
        <f>IF(OR(U195="",V195="",V195&lt;=0),"",U195/V195)</f>
        <v/>
      </c>
      <c r="X195" s="42">
        <f>IF(OR(K195="",L195="",AP195=""),"",K195*L195-(E195*H195+IF(AND(AK195&lt;&gt;"",AL195&lt;&gt;""),AK195*AL195,0)+IF(AND(AM195&lt;&gt;"",AN195&lt;&gt;""),AM195*AN195,0))-IF(O195="",0,O195)-IF(P195="",0,P195))</f>
        <v/>
      </c>
      <c r="Y195" s="7">
        <f>IF(OR(X195="",AP195=""),"",IF((E195*H195+IF(AND(AK195&lt;&gt;"",AL195&lt;&gt;""),AK195*AL195,0)+IF(AND(AM195&lt;&gt;"",AN195&lt;&gt;""),AM195*AN195,0))+IF(O195="",0,O195)&lt;=0,"",X195/((E195*H195+IF(AND(AK195&lt;&gt;"",AL195&lt;&gt;""),AK195*AL195,0)+IF(AND(AM195&lt;&gt;"",AN195&lt;&gt;""),AM195*AN195,0))+IF(O195="",0,O195))))</f>
        <v/>
      </c>
      <c r="Z195" s="7">
        <f>IF(OR(AE195="",多次统计数据!$B$8=""),"",AE195-多次统计数据!$B$8)</f>
        <v/>
      </c>
      <c r="AA195" s="14">
        <f>IF(OR(I195="",M195="",M195&lt;I195),"",M195-I195)</f>
        <v/>
      </c>
      <c r="AB195" s="7">
        <f>IF(OR(A195="",多次统计数据!$B$8="",多次统计数据!$B$6&lt;=0,多次统计数据!$B$6&gt;=1),"",1-POWER(1+多次统计数据!$B$8,-多次统计数据!$B$6/(1-多次统计数据!$B$6)))</f>
        <v/>
      </c>
      <c r="AC195" s="8">
        <f>IF(OR(AB195="",多次统计数据!$B$9=""),"",IF(多次统计数据!$B$9&lt;AB195,"低于上限","达到或超过上限"))</f>
        <v/>
      </c>
      <c r="AD195" s="2" t="n"/>
      <c r="AE195" s="7">
        <f>IF(OR(X195="",C195="",C195&lt;=0),"",X195/C195)</f>
        <v/>
      </c>
      <c r="AG195" s="28" t="n"/>
      <c r="AH195" s="28" t="n"/>
      <c r="AI195" s="28" t="n"/>
      <c r="AJ195" s="31">
        <f>IF(OR(AG195="",AH195=""),"",IF(OR(AND(AG195="短期博反弹",OR(AH195="1～3个交易日",AH195="4～10个交易日")),AND(AG195="突破冲新高",OR(AH195="4～10个交易日",AH195="11～20个交易日")),AND(AG195="趋势波段",OR(AH195="11～20个交易日",AH195="21～60个交易日",AH195="60个交易日以上"))),"匹配","周期与交易预期不匹配，请重新确认"))</f>
        <v/>
      </c>
      <c r="AK195" s="43" t="n"/>
      <c r="AL195" s="27" t="n"/>
      <c r="AM195" s="43" t="n"/>
      <c r="AN195" s="27" t="n"/>
      <c r="AO195" s="44">
        <f>IF(OR(A195="",H195="",H195&lt;=0),"",(E195*H195+IF(AND(AK195&lt;&gt;"",AL195&lt;&gt;""),AK195*AL195,0)+IF(AND(AM195&lt;&gt;"",AN195&lt;&gt;""),AM195*AN195,0))/AP195)</f>
        <v/>
      </c>
      <c r="AP195" s="26">
        <f>IF(OR(A195="",H195="",H195&lt;=0),"",H195+IF(AL195="",0,AL195)+IF(AN195="",0,AN195))</f>
        <v/>
      </c>
      <c r="AQ195" s="44">
        <f>IF(A195="","",IF(M195&lt;&gt;"",0,IF(OR(H195="",N195=""),"",MAX(E195-MAX(N195,IFERROR(AGGREGATE(14,6,'持仓跟踪'!$S$2:$S$501/(('持仓跟踪'!$A$2:$A$501="每日跟踪")*('持仓跟踪'!$B$2:$B$501=A195)),1),0)),0)*H195+IF(OR(AK195="",AL195=""),0,MAX(AK195-MAX(N195,IFERROR(AGGREGATE(14,6,'持仓跟踪'!$S$2:$S$501/(('持仓跟踪'!$A$2:$A$501="每日跟踪")*('持仓跟踪'!$B$2:$B$501=A195)),1),0)),0)*AL195)+IF(OR(AM195="",AN195=""),0,MAX(AM195-MAX(N195,IFERROR(AGGREGATE(14,6,'持仓跟踪'!$S$2:$S$501/(('持仓跟踪'!$A$2:$A$501="每日跟踪")*('持仓跟踪'!$B$2:$B$501=A195)),1),0)),0)*AN195))))</f>
        <v/>
      </c>
      <c r="AR195" s="31">
        <f>IF(A195="","",IF(OR(E195="",H195=""),"违规：第一批价格或股数缺失",IF(OR(AND(AK195="",AL195&lt;&gt;""),AND(AK195&lt;&gt;"",AL195="")),"违规：第二批价格与股数须成对填写",IF(OR(AND(AM195="",AN195&lt;&gt;""),AND(AM195&lt;&gt;"",AN195="")),"违规：第三批价格与股数须成对填写",IF(AND(OR(AM195&lt;&gt;"",AN195&lt;&gt;""),OR(AK195="",AL195="")),"违规：必须先完成第二批",IF(OR(H195&lt;=0,H195&lt;&gt;INT(H195),MOD(H195,100)&lt;&gt;0,AND(AL195&lt;&gt;"",OR(AL195&lt;=0,AL195&lt;&gt;INT(AL195),MOD(AL195,100)&lt;&gt;0)),AND(AN195&lt;&gt;"",OR(AN195&lt;=0,AN195&lt;&gt;INT(AN195),MOD(AN195,100)&lt;&gt;0))),"违规：股数须为100股整数倍",IF(AND(OR(AL195&lt;&gt;"",AN195&lt;&gt;""),OR(_LockStatus="已锁仓",_LockStatus="解锁信息不完整")),"违规：锁仓期间禁止加仓",IF(AQ195&gt;C195*D195,"违规：超过单笔风险上限",IF(SUM($AQ$2:$AQ$201)&gt;账户数据!$B$7,"违规：超过账户风险上限","通过")))))))))</f>
        <v/>
      </c>
    </row>
    <row r="196">
      <c r="A196" s="2" t="n"/>
      <c r="B196" s="2" t="n"/>
      <c r="C196" s="40" t="n"/>
      <c r="D196" s="6" t="n"/>
      <c r="E196" s="40" t="n"/>
      <c r="F196" s="8">
        <f>IF(OR(C196="",D196="",E196="",N196="",C196&lt;=0,D196&lt;=0,E196&lt;=N196),"",ROUNDDOWN((C196*D196)/(E196-N196)/100,0)*100)</f>
        <v/>
      </c>
      <c r="G196" s="8">
        <f>IF(A196="","",IF(H196&lt;&gt;"","已开仓",IF(账户数据!$B$23="已锁仓","禁止开仓：连续亏损达到上限",IF(账户数据!$B$23="解锁信息不完整","禁止开仓：请完整填写解锁信息",IF(OR(F196="",E196="",N196="",E196&lt;=N196,账户数据!$B$7=""),"",IF(OR(AG196="",AH196="",AI196=""),"禁止开仓：交易预期未填写完整",IF(COUNTIFS(持仓跟踪!$A$2:$A$501,"止损计划",持仓跟踪!$B$2:$B$501,A196,持仓跟踪!$AC$2:$AC$501,"计划有效")=0,"禁止开仓：请先填写止损计划",IF(账户数据!$B$9+F196*(E196-N196)&gt;=账户数据!$B$7,"禁止开仓：风险额度不足",IF(AJ196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6" s="2" t="n"/>
      <c r="I196" s="41" t="n"/>
      <c r="J196" s="40" t="n"/>
      <c r="K196" s="46">
        <f>IF(A196="","",IFERROR(LOOKUP(2,1/((持仓跟踪!$B$2:$B$501=A196)*(持仓跟踪!$X$2:$X$501="执行卖出")*(持仓跟踪!$Y$2:$Y$501&lt;&gt;"")),持仓跟踪!$Y$2:$Y$501),""))</f>
        <v/>
      </c>
      <c r="L196" s="33">
        <f>IF(A196="","",IFERROR(LOOKUP(2,1/((持仓跟踪!$B$2:$B$501=A196)*(持仓跟踪!$X$2:$X$501="执行卖出")*(持仓跟踪!$Z$2:$Z$501&lt;&gt;"")),持仓跟踪!$Z$2:$Z$501),""))</f>
        <v/>
      </c>
      <c r="M196" s="47">
        <f>IF(A196="","",IFERROR(LOOKUP(2,1/((持仓跟踪!$B$2:$B$501=A196)*(持仓跟踪!$X$2:$X$501="执行卖出")*(持仓跟踪!$H$2:$H$501&lt;&gt;"")),持仓跟踪!$H$2:$H$501),""))</f>
        <v/>
      </c>
      <c r="N196" s="40" t="n"/>
      <c r="O196" s="40" t="n"/>
      <c r="P196" s="46">
        <f>IF(A196="","",IFERROR(LOOKUP(2,1/((持仓跟踪!$B$2:$B$501=A196)*(持仓跟踪!$X$2:$X$501="执行卖出")*(持仓跟踪!$AA$2:$AA$501&lt;&gt;"")),持仓跟踪!$AA$2:$AA$501),""))</f>
        <v/>
      </c>
      <c r="Q196" s="2" t="n"/>
      <c r="R196" s="2" t="n"/>
      <c r="S196" s="2" t="n"/>
      <c r="T196" s="2" t="n"/>
      <c r="U196" s="7">
        <f>IF(OR(AO196="",J196="",AO196&lt;=0),"",(J196-AO196)/AO196)</f>
        <v/>
      </c>
      <c r="V196" s="7">
        <f>IF(OR(AO196="",N196="",AO196&lt;=0),"",(AO196-N196)/AO196)</f>
        <v/>
      </c>
      <c r="W196" s="13">
        <f>IF(OR(U196="",V196="",V196&lt;=0),"",U196/V196)</f>
        <v/>
      </c>
      <c r="X196" s="42">
        <f>IF(OR(K196="",L196="",AP196=""),"",K196*L196-(E196*H196+IF(AND(AK196&lt;&gt;"",AL196&lt;&gt;""),AK196*AL196,0)+IF(AND(AM196&lt;&gt;"",AN196&lt;&gt;""),AM196*AN196,0))-IF(O196="",0,O196)-IF(P196="",0,P196))</f>
        <v/>
      </c>
      <c r="Y196" s="7">
        <f>IF(OR(X196="",AP196=""),"",IF((E196*H196+IF(AND(AK196&lt;&gt;"",AL196&lt;&gt;""),AK196*AL196,0)+IF(AND(AM196&lt;&gt;"",AN196&lt;&gt;""),AM196*AN196,0))+IF(O196="",0,O196)&lt;=0,"",X196/((E196*H196+IF(AND(AK196&lt;&gt;"",AL196&lt;&gt;""),AK196*AL196,0)+IF(AND(AM196&lt;&gt;"",AN196&lt;&gt;""),AM196*AN196,0))+IF(O196="",0,O196))))</f>
        <v/>
      </c>
      <c r="Z196" s="7">
        <f>IF(OR(AE196="",多次统计数据!$B$8=""),"",AE196-多次统计数据!$B$8)</f>
        <v/>
      </c>
      <c r="AA196" s="14">
        <f>IF(OR(I196="",M196="",M196&lt;I196),"",M196-I196)</f>
        <v/>
      </c>
      <c r="AB196" s="7">
        <f>IF(OR(A196="",多次统计数据!$B$8="",多次统计数据!$B$6&lt;=0,多次统计数据!$B$6&gt;=1),"",1-POWER(1+多次统计数据!$B$8,-多次统计数据!$B$6/(1-多次统计数据!$B$6)))</f>
        <v/>
      </c>
      <c r="AC196" s="8">
        <f>IF(OR(AB196="",多次统计数据!$B$9=""),"",IF(多次统计数据!$B$9&lt;AB196,"低于上限","达到或超过上限"))</f>
        <v/>
      </c>
      <c r="AD196" s="2" t="n"/>
      <c r="AE196" s="7">
        <f>IF(OR(X196="",C196="",C196&lt;=0),"",X196/C196)</f>
        <v/>
      </c>
      <c r="AG196" s="28" t="n"/>
      <c r="AH196" s="28" t="n"/>
      <c r="AI196" s="28" t="n"/>
      <c r="AJ196" s="31">
        <f>IF(OR(AG196="",AH196=""),"",IF(OR(AND(AG196="短期博反弹",OR(AH196="1～3个交易日",AH196="4～10个交易日")),AND(AG196="突破冲新高",OR(AH196="4～10个交易日",AH196="11～20个交易日")),AND(AG196="趋势波段",OR(AH196="11～20个交易日",AH196="21～60个交易日",AH196="60个交易日以上"))),"匹配","周期与交易预期不匹配，请重新确认"))</f>
        <v/>
      </c>
      <c r="AK196" s="43" t="n"/>
      <c r="AL196" s="27" t="n"/>
      <c r="AM196" s="43" t="n"/>
      <c r="AN196" s="27" t="n"/>
      <c r="AO196" s="44">
        <f>IF(OR(A196="",H196="",H196&lt;=0),"",(E196*H196+IF(AND(AK196&lt;&gt;"",AL196&lt;&gt;""),AK196*AL196,0)+IF(AND(AM196&lt;&gt;"",AN196&lt;&gt;""),AM196*AN196,0))/AP196)</f>
        <v/>
      </c>
      <c r="AP196" s="26">
        <f>IF(OR(A196="",H196="",H196&lt;=0),"",H196+IF(AL196="",0,AL196)+IF(AN196="",0,AN196))</f>
        <v/>
      </c>
      <c r="AQ196" s="44">
        <f>IF(A196="","",IF(M196&lt;&gt;"",0,IF(OR(H196="",N196=""),"",MAX(E196-MAX(N196,IFERROR(AGGREGATE(14,6,'持仓跟踪'!$S$2:$S$501/(('持仓跟踪'!$A$2:$A$501="每日跟踪")*('持仓跟踪'!$B$2:$B$501=A196)),1),0)),0)*H196+IF(OR(AK196="",AL196=""),0,MAX(AK196-MAX(N196,IFERROR(AGGREGATE(14,6,'持仓跟踪'!$S$2:$S$501/(('持仓跟踪'!$A$2:$A$501="每日跟踪")*('持仓跟踪'!$B$2:$B$501=A196)),1),0)),0)*AL196)+IF(OR(AM196="",AN196=""),0,MAX(AM196-MAX(N196,IFERROR(AGGREGATE(14,6,'持仓跟踪'!$S$2:$S$501/(('持仓跟踪'!$A$2:$A$501="每日跟踪")*('持仓跟踪'!$B$2:$B$501=A196)),1),0)),0)*AN196))))</f>
        <v/>
      </c>
      <c r="AR196" s="31">
        <f>IF(A196="","",IF(OR(E196="",H196=""),"违规：第一批价格或股数缺失",IF(OR(AND(AK196="",AL196&lt;&gt;""),AND(AK196&lt;&gt;"",AL196="")),"违规：第二批价格与股数须成对填写",IF(OR(AND(AM196="",AN196&lt;&gt;""),AND(AM196&lt;&gt;"",AN196="")),"违规：第三批价格与股数须成对填写",IF(AND(OR(AM196&lt;&gt;"",AN196&lt;&gt;""),OR(AK196="",AL196="")),"违规：必须先完成第二批",IF(OR(H196&lt;=0,H196&lt;&gt;INT(H196),MOD(H196,100)&lt;&gt;0,AND(AL196&lt;&gt;"",OR(AL196&lt;=0,AL196&lt;&gt;INT(AL196),MOD(AL196,100)&lt;&gt;0)),AND(AN196&lt;&gt;"",OR(AN196&lt;=0,AN196&lt;&gt;INT(AN196),MOD(AN196,100)&lt;&gt;0))),"违规：股数须为100股整数倍",IF(AND(OR(AL196&lt;&gt;"",AN196&lt;&gt;""),OR(_LockStatus="已锁仓",_LockStatus="解锁信息不完整")),"违规：锁仓期间禁止加仓",IF(AQ196&gt;C196*D196,"违规：超过单笔风险上限",IF(SUM($AQ$2:$AQ$201)&gt;账户数据!$B$7,"违规：超过账户风险上限","通过")))))))))</f>
        <v/>
      </c>
    </row>
    <row r="197">
      <c r="A197" s="2" t="n"/>
      <c r="B197" s="2" t="n"/>
      <c r="C197" s="40" t="n"/>
      <c r="D197" s="6" t="n"/>
      <c r="E197" s="40" t="n"/>
      <c r="F197" s="8">
        <f>IF(OR(C197="",D197="",E197="",N197="",C197&lt;=0,D197&lt;=0,E197&lt;=N197),"",ROUNDDOWN((C197*D197)/(E197-N197)/100,0)*100)</f>
        <v/>
      </c>
      <c r="G197" s="8">
        <f>IF(A197="","",IF(H197&lt;&gt;"","已开仓",IF(账户数据!$B$23="已锁仓","禁止开仓：连续亏损达到上限",IF(账户数据!$B$23="解锁信息不完整","禁止开仓：请完整填写解锁信息",IF(OR(F197="",E197="",N197="",E197&lt;=N197,账户数据!$B$7=""),"",IF(OR(AG197="",AH197="",AI197=""),"禁止开仓：交易预期未填写完整",IF(COUNTIFS(持仓跟踪!$A$2:$A$501,"止损计划",持仓跟踪!$B$2:$B$501,A197,持仓跟踪!$AC$2:$AC$501,"计划有效")=0,"禁止开仓：请先填写止损计划",IF(账户数据!$B$9+F197*(E197-N197)&gt;=账户数据!$B$7,"禁止开仓：风险额度不足",IF(AJ197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7" s="2" t="n"/>
      <c r="I197" s="41" t="n"/>
      <c r="J197" s="40" t="n"/>
      <c r="K197" s="46">
        <f>IF(A197="","",IFERROR(LOOKUP(2,1/((持仓跟踪!$B$2:$B$501=A197)*(持仓跟踪!$X$2:$X$501="执行卖出")*(持仓跟踪!$Y$2:$Y$501&lt;&gt;"")),持仓跟踪!$Y$2:$Y$501),""))</f>
        <v/>
      </c>
      <c r="L197" s="33">
        <f>IF(A197="","",IFERROR(LOOKUP(2,1/((持仓跟踪!$B$2:$B$501=A197)*(持仓跟踪!$X$2:$X$501="执行卖出")*(持仓跟踪!$Z$2:$Z$501&lt;&gt;"")),持仓跟踪!$Z$2:$Z$501),""))</f>
        <v/>
      </c>
      <c r="M197" s="47">
        <f>IF(A197="","",IFERROR(LOOKUP(2,1/((持仓跟踪!$B$2:$B$501=A197)*(持仓跟踪!$X$2:$X$501="执行卖出")*(持仓跟踪!$H$2:$H$501&lt;&gt;"")),持仓跟踪!$H$2:$H$501),""))</f>
        <v/>
      </c>
      <c r="N197" s="40" t="n"/>
      <c r="O197" s="40" t="n"/>
      <c r="P197" s="46">
        <f>IF(A197="","",IFERROR(LOOKUP(2,1/((持仓跟踪!$B$2:$B$501=A197)*(持仓跟踪!$X$2:$X$501="执行卖出")*(持仓跟踪!$AA$2:$AA$501&lt;&gt;"")),持仓跟踪!$AA$2:$AA$501),""))</f>
        <v/>
      </c>
      <c r="Q197" s="2" t="n"/>
      <c r="R197" s="2" t="n"/>
      <c r="S197" s="2" t="n"/>
      <c r="T197" s="2" t="n"/>
      <c r="U197" s="7">
        <f>IF(OR(AO197="",J197="",AO197&lt;=0),"",(J197-AO197)/AO197)</f>
        <v/>
      </c>
      <c r="V197" s="7">
        <f>IF(OR(AO197="",N197="",AO197&lt;=0),"",(AO197-N197)/AO197)</f>
        <v/>
      </c>
      <c r="W197" s="13">
        <f>IF(OR(U197="",V197="",V197&lt;=0),"",U197/V197)</f>
        <v/>
      </c>
      <c r="X197" s="42">
        <f>IF(OR(K197="",L197="",AP197=""),"",K197*L197-(E197*H197+IF(AND(AK197&lt;&gt;"",AL197&lt;&gt;""),AK197*AL197,0)+IF(AND(AM197&lt;&gt;"",AN197&lt;&gt;""),AM197*AN197,0))-IF(O197="",0,O197)-IF(P197="",0,P197))</f>
        <v/>
      </c>
      <c r="Y197" s="7">
        <f>IF(OR(X197="",AP197=""),"",IF((E197*H197+IF(AND(AK197&lt;&gt;"",AL197&lt;&gt;""),AK197*AL197,0)+IF(AND(AM197&lt;&gt;"",AN197&lt;&gt;""),AM197*AN197,0))+IF(O197="",0,O197)&lt;=0,"",X197/((E197*H197+IF(AND(AK197&lt;&gt;"",AL197&lt;&gt;""),AK197*AL197,0)+IF(AND(AM197&lt;&gt;"",AN197&lt;&gt;""),AM197*AN197,0))+IF(O197="",0,O197))))</f>
        <v/>
      </c>
      <c r="Z197" s="7">
        <f>IF(OR(AE197="",多次统计数据!$B$8=""),"",AE197-多次统计数据!$B$8)</f>
        <v/>
      </c>
      <c r="AA197" s="14">
        <f>IF(OR(I197="",M197="",M197&lt;I197),"",M197-I197)</f>
        <v/>
      </c>
      <c r="AB197" s="7">
        <f>IF(OR(A197="",多次统计数据!$B$8="",多次统计数据!$B$6&lt;=0,多次统计数据!$B$6&gt;=1),"",1-POWER(1+多次统计数据!$B$8,-多次统计数据!$B$6/(1-多次统计数据!$B$6)))</f>
        <v/>
      </c>
      <c r="AC197" s="8">
        <f>IF(OR(AB197="",多次统计数据!$B$9=""),"",IF(多次统计数据!$B$9&lt;AB197,"低于上限","达到或超过上限"))</f>
        <v/>
      </c>
      <c r="AD197" s="2" t="n"/>
      <c r="AE197" s="7">
        <f>IF(OR(X197="",C197="",C197&lt;=0),"",X197/C197)</f>
        <v/>
      </c>
      <c r="AG197" s="28" t="n"/>
      <c r="AH197" s="28" t="n"/>
      <c r="AI197" s="28" t="n"/>
      <c r="AJ197" s="31">
        <f>IF(OR(AG197="",AH197=""),"",IF(OR(AND(AG197="短期博反弹",OR(AH197="1～3个交易日",AH197="4～10个交易日")),AND(AG197="突破冲新高",OR(AH197="4～10个交易日",AH197="11～20个交易日")),AND(AG197="趋势波段",OR(AH197="11～20个交易日",AH197="21～60个交易日",AH197="60个交易日以上"))),"匹配","周期与交易预期不匹配，请重新确认"))</f>
        <v/>
      </c>
      <c r="AK197" s="43" t="n"/>
      <c r="AL197" s="27" t="n"/>
      <c r="AM197" s="43" t="n"/>
      <c r="AN197" s="27" t="n"/>
      <c r="AO197" s="44">
        <f>IF(OR(A197="",H197="",H197&lt;=0),"",(E197*H197+IF(AND(AK197&lt;&gt;"",AL197&lt;&gt;""),AK197*AL197,0)+IF(AND(AM197&lt;&gt;"",AN197&lt;&gt;""),AM197*AN197,0))/AP197)</f>
        <v/>
      </c>
      <c r="AP197" s="26">
        <f>IF(OR(A197="",H197="",H197&lt;=0),"",H197+IF(AL197="",0,AL197)+IF(AN197="",0,AN197))</f>
        <v/>
      </c>
      <c r="AQ197" s="44">
        <f>IF(A197="","",IF(M197&lt;&gt;"",0,IF(OR(H197="",N197=""),"",MAX(E197-MAX(N197,IFERROR(AGGREGATE(14,6,'持仓跟踪'!$S$2:$S$501/(('持仓跟踪'!$A$2:$A$501="每日跟踪")*('持仓跟踪'!$B$2:$B$501=A197)),1),0)),0)*H197+IF(OR(AK197="",AL197=""),0,MAX(AK197-MAX(N197,IFERROR(AGGREGATE(14,6,'持仓跟踪'!$S$2:$S$501/(('持仓跟踪'!$A$2:$A$501="每日跟踪")*('持仓跟踪'!$B$2:$B$501=A197)),1),0)),0)*AL197)+IF(OR(AM197="",AN197=""),0,MAX(AM197-MAX(N197,IFERROR(AGGREGATE(14,6,'持仓跟踪'!$S$2:$S$501/(('持仓跟踪'!$A$2:$A$501="每日跟踪")*('持仓跟踪'!$B$2:$B$501=A197)),1),0)),0)*AN197))))</f>
        <v/>
      </c>
      <c r="AR197" s="31">
        <f>IF(A197="","",IF(OR(E197="",H197=""),"违规：第一批价格或股数缺失",IF(OR(AND(AK197="",AL197&lt;&gt;""),AND(AK197&lt;&gt;"",AL197="")),"违规：第二批价格与股数须成对填写",IF(OR(AND(AM197="",AN197&lt;&gt;""),AND(AM197&lt;&gt;"",AN197="")),"违规：第三批价格与股数须成对填写",IF(AND(OR(AM197&lt;&gt;"",AN197&lt;&gt;""),OR(AK197="",AL197="")),"违规：必须先完成第二批",IF(OR(H197&lt;=0,H197&lt;&gt;INT(H197),MOD(H197,100)&lt;&gt;0,AND(AL197&lt;&gt;"",OR(AL197&lt;=0,AL197&lt;&gt;INT(AL197),MOD(AL197,100)&lt;&gt;0)),AND(AN197&lt;&gt;"",OR(AN197&lt;=0,AN197&lt;&gt;INT(AN197),MOD(AN197,100)&lt;&gt;0))),"违规：股数须为100股整数倍",IF(AND(OR(AL197&lt;&gt;"",AN197&lt;&gt;""),OR(_LockStatus="已锁仓",_LockStatus="解锁信息不完整")),"违规：锁仓期间禁止加仓",IF(AQ197&gt;C197*D197,"违规：超过单笔风险上限",IF(SUM($AQ$2:$AQ$201)&gt;账户数据!$B$7,"违规：超过账户风险上限","通过")))))))))</f>
        <v/>
      </c>
    </row>
    <row r="198">
      <c r="A198" s="2" t="n"/>
      <c r="B198" s="2" t="n"/>
      <c r="C198" s="40" t="n"/>
      <c r="D198" s="6" t="n"/>
      <c r="E198" s="40" t="n"/>
      <c r="F198" s="8">
        <f>IF(OR(C198="",D198="",E198="",N198="",C198&lt;=0,D198&lt;=0,E198&lt;=N198),"",ROUNDDOWN((C198*D198)/(E198-N198)/100,0)*100)</f>
        <v/>
      </c>
      <c r="G198" s="8">
        <f>IF(A198="","",IF(H198&lt;&gt;"","已开仓",IF(账户数据!$B$23="已锁仓","禁止开仓：连续亏损达到上限",IF(账户数据!$B$23="解锁信息不完整","禁止开仓：请完整填写解锁信息",IF(OR(F198="",E198="",N198="",E198&lt;=N198,账户数据!$B$7=""),"",IF(OR(AG198="",AH198="",AI198=""),"禁止开仓：交易预期未填写完整",IF(COUNTIFS(持仓跟踪!$A$2:$A$501,"止损计划",持仓跟踪!$B$2:$B$501,A198,持仓跟踪!$AC$2:$AC$501,"计划有效")=0,"禁止开仓：请先填写止损计划",IF(账户数据!$B$9+F198*(E198-N198)&gt;=账户数据!$B$7,"禁止开仓：风险额度不足",IF(AJ198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8" s="2" t="n"/>
      <c r="I198" s="41" t="n"/>
      <c r="J198" s="40" t="n"/>
      <c r="K198" s="46">
        <f>IF(A198="","",IFERROR(LOOKUP(2,1/((持仓跟踪!$B$2:$B$501=A198)*(持仓跟踪!$X$2:$X$501="执行卖出")*(持仓跟踪!$Y$2:$Y$501&lt;&gt;"")),持仓跟踪!$Y$2:$Y$501),""))</f>
        <v/>
      </c>
      <c r="L198" s="33">
        <f>IF(A198="","",IFERROR(LOOKUP(2,1/((持仓跟踪!$B$2:$B$501=A198)*(持仓跟踪!$X$2:$X$501="执行卖出")*(持仓跟踪!$Z$2:$Z$501&lt;&gt;"")),持仓跟踪!$Z$2:$Z$501),""))</f>
        <v/>
      </c>
      <c r="M198" s="47">
        <f>IF(A198="","",IFERROR(LOOKUP(2,1/((持仓跟踪!$B$2:$B$501=A198)*(持仓跟踪!$X$2:$X$501="执行卖出")*(持仓跟踪!$H$2:$H$501&lt;&gt;"")),持仓跟踪!$H$2:$H$501),""))</f>
        <v/>
      </c>
      <c r="N198" s="40" t="n"/>
      <c r="O198" s="40" t="n"/>
      <c r="P198" s="46">
        <f>IF(A198="","",IFERROR(LOOKUP(2,1/((持仓跟踪!$B$2:$B$501=A198)*(持仓跟踪!$X$2:$X$501="执行卖出")*(持仓跟踪!$AA$2:$AA$501&lt;&gt;"")),持仓跟踪!$AA$2:$AA$501),""))</f>
        <v/>
      </c>
      <c r="Q198" s="2" t="n"/>
      <c r="R198" s="2" t="n"/>
      <c r="S198" s="2" t="n"/>
      <c r="T198" s="2" t="n"/>
      <c r="U198" s="7">
        <f>IF(OR(AO198="",J198="",AO198&lt;=0),"",(J198-AO198)/AO198)</f>
        <v/>
      </c>
      <c r="V198" s="7">
        <f>IF(OR(AO198="",N198="",AO198&lt;=0),"",(AO198-N198)/AO198)</f>
        <v/>
      </c>
      <c r="W198" s="13">
        <f>IF(OR(U198="",V198="",V198&lt;=0),"",U198/V198)</f>
        <v/>
      </c>
      <c r="X198" s="42">
        <f>IF(OR(K198="",L198="",AP198=""),"",K198*L198-(E198*H198+IF(AND(AK198&lt;&gt;"",AL198&lt;&gt;""),AK198*AL198,0)+IF(AND(AM198&lt;&gt;"",AN198&lt;&gt;""),AM198*AN198,0))-IF(O198="",0,O198)-IF(P198="",0,P198))</f>
        <v/>
      </c>
      <c r="Y198" s="7">
        <f>IF(OR(X198="",AP198=""),"",IF((E198*H198+IF(AND(AK198&lt;&gt;"",AL198&lt;&gt;""),AK198*AL198,0)+IF(AND(AM198&lt;&gt;"",AN198&lt;&gt;""),AM198*AN198,0))+IF(O198="",0,O198)&lt;=0,"",X198/((E198*H198+IF(AND(AK198&lt;&gt;"",AL198&lt;&gt;""),AK198*AL198,0)+IF(AND(AM198&lt;&gt;"",AN198&lt;&gt;""),AM198*AN198,0))+IF(O198="",0,O198))))</f>
        <v/>
      </c>
      <c r="Z198" s="7">
        <f>IF(OR(AE198="",多次统计数据!$B$8=""),"",AE198-多次统计数据!$B$8)</f>
        <v/>
      </c>
      <c r="AA198" s="14">
        <f>IF(OR(I198="",M198="",M198&lt;I198),"",M198-I198)</f>
        <v/>
      </c>
      <c r="AB198" s="7">
        <f>IF(OR(A198="",多次统计数据!$B$8="",多次统计数据!$B$6&lt;=0,多次统计数据!$B$6&gt;=1),"",1-POWER(1+多次统计数据!$B$8,-多次统计数据!$B$6/(1-多次统计数据!$B$6)))</f>
        <v/>
      </c>
      <c r="AC198" s="8">
        <f>IF(OR(AB198="",多次统计数据!$B$9=""),"",IF(多次统计数据!$B$9&lt;AB198,"低于上限","达到或超过上限"))</f>
        <v/>
      </c>
      <c r="AD198" s="2" t="n"/>
      <c r="AE198" s="7">
        <f>IF(OR(X198="",C198="",C198&lt;=0),"",X198/C198)</f>
        <v/>
      </c>
      <c r="AG198" s="28" t="n"/>
      <c r="AH198" s="28" t="n"/>
      <c r="AI198" s="28" t="n"/>
      <c r="AJ198" s="31">
        <f>IF(OR(AG198="",AH198=""),"",IF(OR(AND(AG198="短期博反弹",OR(AH198="1～3个交易日",AH198="4～10个交易日")),AND(AG198="突破冲新高",OR(AH198="4～10个交易日",AH198="11～20个交易日")),AND(AG198="趋势波段",OR(AH198="11～20个交易日",AH198="21～60个交易日",AH198="60个交易日以上"))),"匹配","周期与交易预期不匹配，请重新确认"))</f>
        <v/>
      </c>
      <c r="AK198" s="43" t="n"/>
      <c r="AL198" s="27" t="n"/>
      <c r="AM198" s="43" t="n"/>
      <c r="AN198" s="27" t="n"/>
      <c r="AO198" s="44">
        <f>IF(OR(A198="",H198="",H198&lt;=0),"",(E198*H198+IF(AND(AK198&lt;&gt;"",AL198&lt;&gt;""),AK198*AL198,0)+IF(AND(AM198&lt;&gt;"",AN198&lt;&gt;""),AM198*AN198,0))/AP198)</f>
        <v/>
      </c>
      <c r="AP198" s="26">
        <f>IF(OR(A198="",H198="",H198&lt;=0),"",H198+IF(AL198="",0,AL198)+IF(AN198="",0,AN198))</f>
        <v/>
      </c>
      <c r="AQ198" s="44">
        <f>IF(A198="","",IF(M198&lt;&gt;"",0,IF(OR(H198="",N198=""),"",MAX(E198-MAX(N198,IFERROR(AGGREGATE(14,6,'持仓跟踪'!$S$2:$S$501/(('持仓跟踪'!$A$2:$A$501="每日跟踪")*('持仓跟踪'!$B$2:$B$501=A198)),1),0)),0)*H198+IF(OR(AK198="",AL198=""),0,MAX(AK198-MAX(N198,IFERROR(AGGREGATE(14,6,'持仓跟踪'!$S$2:$S$501/(('持仓跟踪'!$A$2:$A$501="每日跟踪")*('持仓跟踪'!$B$2:$B$501=A198)),1),0)),0)*AL198)+IF(OR(AM198="",AN198=""),0,MAX(AM198-MAX(N198,IFERROR(AGGREGATE(14,6,'持仓跟踪'!$S$2:$S$501/(('持仓跟踪'!$A$2:$A$501="每日跟踪")*('持仓跟踪'!$B$2:$B$501=A198)),1),0)),0)*AN198))))</f>
        <v/>
      </c>
      <c r="AR198" s="31">
        <f>IF(A198="","",IF(OR(E198="",H198=""),"违规：第一批价格或股数缺失",IF(OR(AND(AK198="",AL198&lt;&gt;""),AND(AK198&lt;&gt;"",AL198="")),"违规：第二批价格与股数须成对填写",IF(OR(AND(AM198="",AN198&lt;&gt;""),AND(AM198&lt;&gt;"",AN198="")),"违规：第三批价格与股数须成对填写",IF(AND(OR(AM198&lt;&gt;"",AN198&lt;&gt;""),OR(AK198="",AL198="")),"违规：必须先完成第二批",IF(OR(H198&lt;=0,H198&lt;&gt;INT(H198),MOD(H198,100)&lt;&gt;0,AND(AL198&lt;&gt;"",OR(AL198&lt;=0,AL198&lt;&gt;INT(AL198),MOD(AL198,100)&lt;&gt;0)),AND(AN198&lt;&gt;"",OR(AN198&lt;=0,AN198&lt;&gt;INT(AN198),MOD(AN198,100)&lt;&gt;0))),"违规：股数须为100股整数倍",IF(AND(OR(AL198&lt;&gt;"",AN198&lt;&gt;""),OR(_LockStatus="已锁仓",_LockStatus="解锁信息不完整")),"违规：锁仓期间禁止加仓",IF(AQ198&gt;C198*D198,"违规：超过单笔风险上限",IF(SUM($AQ$2:$AQ$201)&gt;账户数据!$B$7,"违规：超过账户风险上限","通过")))))))))</f>
        <v/>
      </c>
    </row>
    <row r="199">
      <c r="A199" s="2" t="n"/>
      <c r="B199" s="2" t="n"/>
      <c r="C199" s="40" t="n"/>
      <c r="D199" s="6" t="n"/>
      <c r="E199" s="40" t="n"/>
      <c r="F199" s="8">
        <f>IF(OR(C199="",D199="",E199="",N199="",C199&lt;=0,D199&lt;=0,E199&lt;=N199),"",ROUNDDOWN((C199*D199)/(E199-N199)/100,0)*100)</f>
        <v/>
      </c>
      <c r="G199" s="8">
        <f>IF(A199="","",IF(H199&lt;&gt;"","已开仓",IF(账户数据!$B$23="已锁仓","禁止开仓：连续亏损达到上限",IF(账户数据!$B$23="解锁信息不完整","禁止开仓：请完整填写解锁信息",IF(OR(F199="",E199="",N199="",E199&lt;=N199,账户数据!$B$7=""),"",IF(OR(AG199="",AH199="",AI199=""),"禁止开仓：交易预期未填写完整",IF(COUNTIFS(持仓跟踪!$A$2:$A$501,"止损计划",持仓跟踪!$B$2:$B$501,A199,持仓跟踪!$AC$2:$AC$501,"计划有效")=0,"禁止开仓：请先填写止损计划",IF(账户数据!$B$9+F199*(E199-N199)&gt;=账户数据!$B$7,"禁止开仓：风险额度不足",IF(AJ199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199" s="2" t="n"/>
      <c r="I199" s="41" t="n"/>
      <c r="J199" s="40" t="n"/>
      <c r="K199" s="46">
        <f>IF(A199="","",IFERROR(LOOKUP(2,1/((持仓跟踪!$B$2:$B$501=A199)*(持仓跟踪!$X$2:$X$501="执行卖出")*(持仓跟踪!$Y$2:$Y$501&lt;&gt;"")),持仓跟踪!$Y$2:$Y$501),""))</f>
        <v/>
      </c>
      <c r="L199" s="33">
        <f>IF(A199="","",IFERROR(LOOKUP(2,1/((持仓跟踪!$B$2:$B$501=A199)*(持仓跟踪!$X$2:$X$501="执行卖出")*(持仓跟踪!$Z$2:$Z$501&lt;&gt;"")),持仓跟踪!$Z$2:$Z$501),""))</f>
        <v/>
      </c>
      <c r="M199" s="47">
        <f>IF(A199="","",IFERROR(LOOKUP(2,1/((持仓跟踪!$B$2:$B$501=A199)*(持仓跟踪!$X$2:$X$501="执行卖出")*(持仓跟踪!$H$2:$H$501&lt;&gt;"")),持仓跟踪!$H$2:$H$501),""))</f>
        <v/>
      </c>
      <c r="N199" s="40" t="n"/>
      <c r="O199" s="40" t="n"/>
      <c r="P199" s="46">
        <f>IF(A199="","",IFERROR(LOOKUP(2,1/((持仓跟踪!$B$2:$B$501=A199)*(持仓跟踪!$X$2:$X$501="执行卖出")*(持仓跟踪!$AA$2:$AA$501&lt;&gt;"")),持仓跟踪!$AA$2:$AA$501),""))</f>
        <v/>
      </c>
      <c r="Q199" s="2" t="n"/>
      <c r="R199" s="2" t="n"/>
      <c r="S199" s="2" t="n"/>
      <c r="T199" s="2" t="n"/>
      <c r="U199" s="7">
        <f>IF(OR(AO199="",J199="",AO199&lt;=0),"",(J199-AO199)/AO199)</f>
        <v/>
      </c>
      <c r="V199" s="7">
        <f>IF(OR(AO199="",N199="",AO199&lt;=0),"",(AO199-N199)/AO199)</f>
        <v/>
      </c>
      <c r="W199" s="13">
        <f>IF(OR(U199="",V199="",V199&lt;=0),"",U199/V199)</f>
        <v/>
      </c>
      <c r="X199" s="42">
        <f>IF(OR(K199="",L199="",AP199=""),"",K199*L199-(E199*H199+IF(AND(AK199&lt;&gt;"",AL199&lt;&gt;""),AK199*AL199,0)+IF(AND(AM199&lt;&gt;"",AN199&lt;&gt;""),AM199*AN199,0))-IF(O199="",0,O199)-IF(P199="",0,P199))</f>
        <v/>
      </c>
      <c r="Y199" s="7">
        <f>IF(OR(X199="",AP199=""),"",IF((E199*H199+IF(AND(AK199&lt;&gt;"",AL199&lt;&gt;""),AK199*AL199,0)+IF(AND(AM199&lt;&gt;"",AN199&lt;&gt;""),AM199*AN199,0))+IF(O199="",0,O199)&lt;=0,"",X199/((E199*H199+IF(AND(AK199&lt;&gt;"",AL199&lt;&gt;""),AK199*AL199,0)+IF(AND(AM199&lt;&gt;"",AN199&lt;&gt;""),AM199*AN199,0))+IF(O199="",0,O199))))</f>
        <v/>
      </c>
      <c r="Z199" s="7">
        <f>IF(OR(AE199="",多次统计数据!$B$8=""),"",AE199-多次统计数据!$B$8)</f>
        <v/>
      </c>
      <c r="AA199" s="14">
        <f>IF(OR(I199="",M199="",M199&lt;I199),"",M199-I199)</f>
        <v/>
      </c>
      <c r="AB199" s="7">
        <f>IF(OR(A199="",多次统计数据!$B$8="",多次统计数据!$B$6&lt;=0,多次统计数据!$B$6&gt;=1),"",1-POWER(1+多次统计数据!$B$8,-多次统计数据!$B$6/(1-多次统计数据!$B$6)))</f>
        <v/>
      </c>
      <c r="AC199" s="8">
        <f>IF(OR(AB199="",多次统计数据!$B$9=""),"",IF(多次统计数据!$B$9&lt;AB199,"低于上限","达到或超过上限"))</f>
        <v/>
      </c>
      <c r="AD199" s="2" t="n"/>
      <c r="AE199" s="7">
        <f>IF(OR(X199="",C199="",C199&lt;=0),"",X199/C199)</f>
        <v/>
      </c>
      <c r="AG199" s="28" t="n"/>
      <c r="AH199" s="28" t="n"/>
      <c r="AI199" s="28" t="n"/>
      <c r="AJ199" s="31">
        <f>IF(OR(AG199="",AH199=""),"",IF(OR(AND(AG199="短期博反弹",OR(AH199="1～3个交易日",AH199="4～10个交易日")),AND(AG199="突破冲新高",OR(AH199="4～10个交易日",AH199="11～20个交易日")),AND(AG199="趋势波段",OR(AH199="11～20个交易日",AH199="21～60个交易日",AH199="60个交易日以上"))),"匹配","周期与交易预期不匹配，请重新确认"))</f>
        <v/>
      </c>
      <c r="AK199" s="43" t="n"/>
      <c r="AL199" s="27" t="n"/>
      <c r="AM199" s="43" t="n"/>
      <c r="AN199" s="27" t="n"/>
      <c r="AO199" s="44">
        <f>IF(OR(A199="",H199="",H199&lt;=0),"",(E199*H199+IF(AND(AK199&lt;&gt;"",AL199&lt;&gt;""),AK199*AL199,0)+IF(AND(AM199&lt;&gt;"",AN199&lt;&gt;""),AM199*AN199,0))/AP199)</f>
        <v/>
      </c>
      <c r="AP199" s="26">
        <f>IF(OR(A199="",H199="",H199&lt;=0),"",H199+IF(AL199="",0,AL199)+IF(AN199="",0,AN199))</f>
        <v/>
      </c>
      <c r="AQ199" s="44">
        <f>IF(A199="","",IF(M199&lt;&gt;"",0,IF(OR(H199="",N199=""),"",MAX(E199-MAX(N199,IFERROR(AGGREGATE(14,6,'持仓跟踪'!$S$2:$S$501/(('持仓跟踪'!$A$2:$A$501="每日跟踪")*('持仓跟踪'!$B$2:$B$501=A199)),1),0)),0)*H199+IF(OR(AK199="",AL199=""),0,MAX(AK199-MAX(N199,IFERROR(AGGREGATE(14,6,'持仓跟踪'!$S$2:$S$501/(('持仓跟踪'!$A$2:$A$501="每日跟踪")*('持仓跟踪'!$B$2:$B$501=A199)),1),0)),0)*AL199)+IF(OR(AM199="",AN199=""),0,MAX(AM199-MAX(N199,IFERROR(AGGREGATE(14,6,'持仓跟踪'!$S$2:$S$501/(('持仓跟踪'!$A$2:$A$501="每日跟踪")*('持仓跟踪'!$B$2:$B$501=A199)),1),0)),0)*AN199))))</f>
        <v/>
      </c>
      <c r="AR199" s="31">
        <f>IF(A199="","",IF(OR(E199="",H199=""),"违规：第一批价格或股数缺失",IF(OR(AND(AK199="",AL199&lt;&gt;""),AND(AK199&lt;&gt;"",AL199="")),"违规：第二批价格与股数须成对填写",IF(OR(AND(AM199="",AN199&lt;&gt;""),AND(AM199&lt;&gt;"",AN199="")),"违规：第三批价格与股数须成对填写",IF(AND(OR(AM199&lt;&gt;"",AN199&lt;&gt;""),OR(AK199="",AL199="")),"违规：必须先完成第二批",IF(OR(H199&lt;=0,H199&lt;&gt;INT(H199),MOD(H199,100)&lt;&gt;0,AND(AL199&lt;&gt;"",OR(AL199&lt;=0,AL199&lt;&gt;INT(AL199),MOD(AL199,100)&lt;&gt;0)),AND(AN199&lt;&gt;"",OR(AN199&lt;=0,AN199&lt;&gt;INT(AN199),MOD(AN199,100)&lt;&gt;0))),"违规：股数须为100股整数倍",IF(AND(OR(AL199&lt;&gt;"",AN199&lt;&gt;""),OR(_LockStatus="已锁仓",_LockStatus="解锁信息不完整")),"违规：锁仓期间禁止加仓",IF(AQ199&gt;C199*D199,"违规：超过单笔风险上限",IF(SUM($AQ$2:$AQ$201)&gt;账户数据!$B$7,"违规：超过账户风险上限","通过")))))))))</f>
        <v/>
      </c>
    </row>
    <row r="200">
      <c r="A200" s="2" t="n"/>
      <c r="B200" s="2" t="n"/>
      <c r="C200" s="40" t="n"/>
      <c r="D200" s="6" t="n"/>
      <c r="E200" s="40" t="n"/>
      <c r="F200" s="8">
        <f>IF(OR(C200="",D200="",E200="",N200="",C200&lt;=0,D200&lt;=0,E200&lt;=N200),"",ROUNDDOWN((C200*D200)/(E200-N200)/100,0)*100)</f>
        <v/>
      </c>
      <c r="G200" s="8">
        <f>IF(A200="","",IF(H200&lt;&gt;"","已开仓",IF(账户数据!$B$23="已锁仓","禁止开仓：连续亏损达到上限",IF(账户数据!$B$23="解锁信息不完整","禁止开仓：请完整填写解锁信息",IF(OR(F200="",E200="",N200="",E200&lt;=N200,账户数据!$B$7=""),"",IF(OR(AG200="",AH200="",AI200=""),"禁止开仓：交易预期未填写完整",IF(COUNTIFS(持仓跟踪!$A$2:$A$501,"止损计划",持仓跟踪!$B$2:$B$501,A200,持仓跟踪!$AC$2:$AC$501,"计划有效")=0,"禁止开仓：请先填写止损计划",IF(账户数据!$B$9+F200*(E200-N200)&gt;=账户数据!$B$7,"禁止开仓：风险额度不足",IF(AJ200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0" s="2" t="n"/>
      <c r="I200" s="41" t="n"/>
      <c r="J200" s="40" t="n"/>
      <c r="K200" s="46">
        <f>IF(A200="","",IFERROR(LOOKUP(2,1/((持仓跟踪!$B$2:$B$501=A200)*(持仓跟踪!$X$2:$X$501="执行卖出")*(持仓跟踪!$Y$2:$Y$501&lt;&gt;"")),持仓跟踪!$Y$2:$Y$501),""))</f>
        <v/>
      </c>
      <c r="L200" s="33">
        <f>IF(A200="","",IFERROR(LOOKUP(2,1/((持仓跟踪!$B$2:$B$501=A200)*(持仓跟踪!$X$2:$X$501="执行卖出")*(持仓跟踪!$Z$2:$Z$501&lt;&gt;"")),持仓跟踪!$Z$2:$Z$501),""))</f>
        <v/>
      </c>
      <c r="M200" s="47">
        <f>IF(A200="","",IFERROR(LOOKUP(2,1/((持仓跟踪!$B$2:$B$501=A200)*(持仓跟踪!$X$2:$X$501="执行卖出")*(持仓跟踪!$H$2:$H$501&lt;&gt;"")),持仓跟踪!$H$2:$H$501),""))</f>
        <v/>
      </c>
      <c r="N200" s="40" t="n"/>
      <c r="O200" s="40" t="n"/>
      <c r="P200" s="46">
        <f>IF(A200="","",IFERROR(LOOKUP(2,1/((持仓跟踪!$B$2:$B$501=A200)*(持仓跟踪!$X$2:$X$501="执行卖出")*(持仓跟踪!$AA$2:$AA$501&lt;&gt;"")),持仓跟踪!$AA$2:$AA$501),""))</f>
        <v/>
      </c>
      <c r="Q200" s="2" t="n"/>
      <c r="R200" s="2" t="n"/>
      <c r="S200" s="2" t="n"/>
      <c r="T200" s="2" t="n"/>
      <c r="U200" s="7">
        <f>IF(OR(AO200="",J200="",AO200&lt;=0),"",(J200-AO200)/AO200)</f>
        <v/>
      </c>
      <c r="V200" s="7">
        <f>IF(OR(AO200="",N200="",AO200&lt;=0),"",(AO200-N200)/AO200)</f>
        <v/>
      </c>
      <c r="W200" s="13">
        <f>IF(OR(U200="",V200="",V200&lt;=0),"",U200/V200)</f>
        <v/>
      </c>
      <c r="X200" s="42">
        <f>IF(OR(K200="",L200="",AP200=""),"",K200*L200-(E200*H200+IF(AND(AK200&lt;&gt;"",AL200&lt;&gt;""),AK200*AL200,0)+IF(AND(AM200&lt;&gt;"",AN200&lt;&gt;""),AM200*AN200,0))-IF(O200="",0,O200)-IF(P200="",0,P200))</f>
        <v/>
      </c>
      <c r="Y200" s="7">
        <f>IF(OR(X200="",AP200=""),"",IF((E200*H200+IF(AND(AK200&lt;&gt;"",AL200&lt;&gt;""),AK200*AL200,0)+IF(AND(AM200&lt;&gt;"",AN200&lt;&gt;""),AM200*AN200,0))+IF(O200="",0,O200)&lt;=0,"",X200/((E200*H200+IF(AND(AK200&lt;&gt;"",AL200&lt;&gt;""),AK200*AL200,0)+IF(AND(AM200&lt;&gt;"",AN200&lt;&gt;""),AM200*AN200,0))+IF(O200="",0,O200))))</f>
        <v/>
      </c>
      <c r="Z200" s="7">
        <f>IF(OR(AE200="",多次统计数据!$B$8=""),"",AE200-多次统计数据!$B$8)</f>
        <v/>
      </c>
      <c r="AA200" s="14">
        <f>IF(OR(I200="",M200="",M200&lt;I200),"",M200-I200)</f>
        <v/>
      </c>
      <c r="AB200" s="7">
        <f>IF(OR(A200="",多次统计数据!$B$8="",多次统计数据!$B$6&lt;=0,多次统计数据!$B$6&gt;=1),"",1-POWER(1+多次统计数据!$B$8,-多次统计数据!$B$6/(1-多次统计数据!$B$6)))</f>
        <v/>
      </c>
      <c r="AC200" s="8">
        <f>IF(OR(AB200="",多次统计数据!$B$9=""),"",IF(多次统计数据!$B$9&lt;AB200,"低于上限","达到或超过上限"))</f>
        <v/>
      </c>
      <c r="AD200" s="2" t="n"/>
      <c r="AE200" s="7">
        <f>IF(OR(X200="",C200="",C200&lt;=0),"",X200/C200)</f>
        <v/>
      </c>
      <c r="AG200" s="28" t="n"/>
      <c r="AH200" s="28" t="n"/>
      <c r="AI200" s="28" t="n"/>
      <c r="AJ200" s="31">
        <f>IF(OR(AG200="",AH200=""),"",IF(OR(AND(AG200="短期博反弹",OR(AH200="1～3个交易日",AH200="4～10个交易日")),AND(AG200="突破冲新高",OR(AH200="4～10个交易日",AH200="11～20个交易日")),AND(AG200="趋势波段",OR(AH200="11～20个交易日",AH200="21～60个交易日",AH200="60个交易日以上"))),"匹配","周期与交易预期不匹配，请重新确认"))</f>
        <v/>
      </c>
      <c r="AK200" s="43" t="n"/>
      <c r="AL200" s="27" t="n"/>
      <c r="AM200" s="43" t="n"/>
      <c r="AN200" s="27" t="n"/>
      <c r="AO200" s="44">
        <f>IF(OR(A200="",H200="",H200&lt;=0),"",(E200*H200+IF(AND(AK200&lt;&gt;"",AL200&lt;&gt;""),AK200*AL200,0)+IF(AND(AM200&lt;&gt;"",AN200&lt;&gt;""),AM200*AN200,0))/AP200)</f>
        <v/>
      </c>
      <c r="AP200" s="26">
        <f>IF(OR(A200="",H200="",H200&lt;=0),"",H200+IF(AL200="",0,AL200)+IF(AN200="",0,AN200))</f>
        <v/>
      </c>
      <c r="AQ200" s="44">
        <f>IF(A200="","",IF(M200&lt;&gt;"",0,IF(OR(H200="",N200=""),"",MAX(E200-MAX(N200,IFERROR(AGGREGATE(14,6,'持仓跟踪'!$S$2:$S$501/(('持仓跟踪'!$A$2:$A$501="每日跟踪")*('持仓跟踪'!$B$2:$B$501=A200)),1),0)),0)*H200+IF(OR(AK200="",AL200=""),0,MAX(AK200-MAX(N200,IFERROR(AGGREGATE(14,6,'持仓跟踪'!$S$2:$S$501/(('持仓跟踪'!$A$2:$A$501="每日跟踪")*('持仓跟踪'!$B$2:$B$501=A200)),1),0)),0)*AL200)+IF(OR(AM200="",AN200=""),0,MAX(AM200-MAX(N200,IFERROR(AGGREGATE(14,6,'持仓跟踪'!$S$2:$S$501/(('持仓跟踪'!$A$2:$A$501="每日跟踪")*('持仓跟踪'!$B$2:$B$501=A200)),1),0)),0)*AN200))))</f>
        <v/>
      </c>
      <c r="AR200" s="31">
        <f>IF(A200="","",IF(OR(E200="",H200=""),"违规：第一批价格或股数缺失",IF(OR(AND(AK200="",AL200&lt;&gt;""),AND(AK200&lt;&gt;"",AL200="")),"违规：第二批价格与股数须成对填写",IF(OR(AND(AM200="",AN200&lt;&gt;""),AND(AM200&lt;&gt;"",AN200="")),"违规：第三批价格与股数须成对填写",IF(AND(OR(AM200&lt;&gt;"",AN200&lt;&gt;""),OR(AK200="",AL200="")),"违规：必须先完成第二批",IF(OR(H200&lt;=0,H200&lt;&gt;INT(H200),MOD(H200,100)&lt;&gt;0,AND(AL200&lt;&gt;"",OR(AL200&lt;=0,AL200&lt;&gt;INT(AL200),MOD(AL200,100)&lt;&gt;0)),AND(AN200&lt;&gt;"",OR(AN200&lt;=0,AN200&lt;&gt;INT(AN200),MOD(AN200,100)&lt;&gt;0))),"违规：股数须为100股整数倍",IF(AND(OR(AL200&lt;&gt;"",AN200&lt;&gt;""),OR(_LockStatus="已锁仓",_LockStatus="解锁信息不完整")),"违规：锁仓期间禁止加仓",IF(AQ200&gt;C200*D200,"违规：超过单笔风险上限",IF(SUM($AQ$2:$AQ$201)&gt;账户数据!$B$7,"违规：超过账户风险上限","通过")))))))))</f>
        <v/>
      </c>
    </row>
    <row r="201">
      <c r="A201" s="2" t="n"/>
      <c r="B201" s="2" t="n"/>
      <c r="C201" s="40" t="n"/>
      <c r="D201" s="6" t="n"/>
      <c r="E201" s="40" t="n"/>
      <c r="F201" s="8">
        <f>IF(OR(C201="",D201="",E201="",N201="",C201&lt;=0,D201&lt;=0,E201&lt;=N201),"",ROUNDDOWN((C201*D201)/(E201-N201)/100,0)*100)</f>
        <v/>
      </c>
      <c r="G201" s="8">
        <f>IF(A201="","",IF(H201&lt;&gt;"","已开仓",IF(账户数据!$B$23="已锁仓","禁止开仓：连续亏损达到上限",IF(账户数据!$B$23="解锁信息不完整","禁止开仓：请完整填写解锁信息",IF(OR(F201="",E201="",N201="",E201&lt;=N201,账户数据!$B$7=""),"",IF(OR(AG201="",AH201="",AI201=""),"禁止开仓：交易预期未填写完整",IF(COUNTIFS(持仓跟踪!$A$2:$A$501,"止损计划",持仓跟踪!$B$2:$B$501,A201,持仓跟踪!$AC$2:$AC$501,"计划有效")=0,"禁止开仓：请先填写止损计划",IF(账户数据!$B$9+F201*(E201-N201)&gt;=账户数据!$B$7,"禁止开仓：风险额度不足",IF(AJ201="周期与交易预期不匹配，请重新确认",IF(账户数据!$B$23="接近锁仓","允许开仓（接近锁仓；周期需复核）","允许开仓（周期需复核）"),IF(账户数据!$B$23="接近锁仓","允许开仓（接近锁仓）","允许开仓"))))))))))</f>
        <v/>
      </c>
      <c r="H201" s="2" t="n"/>
      <c r="I201" s="41" t="n"/>
      <c r="J201" s="40" t="n"/>
      <c r="K201" s="46">
        <f>IF(A201="","",IFERROR(LOOKUP(2,1/((持仓跟踪!$B$2:$B$501=A201)*(持仓跟踪!$X$2:$X$501="执行卖出")*(持仓跟踪!$Y$2:$Y$501&lt;&gt;"")),持仓跟踪!$Y$2:$Y$501),""))</f>
        <v/>
      </c>
      <c r="L201" s="33">
        <f>IF(A201="","",IFERROR(LOOKUP(2,1/((持仓跟踪!$B$2:$B$501=A201)*(持仓跟踪!$X$2:$X$501="执行卖出")*(持仓跟踪!$Z$2:$Z$501&lt;&gt;"")),持仓跟踪!$Z$2:$Z$501),""))</f>
        <v/>
      </c>
      <c r="M201" s="47">
        <f>IF(A201="","",IFERROR(LOOKUP(2,1/((持仓跟踪!$B$2:$B$501=A201)*(持仓跟踪!$X$2:$X$501="执行卖出")*(持仓跟踪!$H$2:$H$501&lt;&gt;"")),持仓跟踪!$H$2:$H$501),""))</f>
        <v/>
      </c>
      <c r="N201" s="40" t="n"/>
      <c r="O201" s="40" t="n"/>
      <c r="P201" s="46">
        <f>IF(A201="","",IFERROR(LOOKUP(2,1/((持仓跟踪!$B$2:$B$501=A201)*(持仓跟踪!$X$2:$X$501="执行卖出")*(持仓跟踪!$AA$2:$AA$501&lt;&gt;"")),持仓跟踪!$AA$2:$AA$501),""))</f>
        <v/>
      </c>
      <c r="Q201" s="2" t="n"/>
      <c r="R201" s="2" t="n"/>
      <c r="S201" s="2" t="n"/>
      <c r="T201" s="2" t="n"/>
      <c r="U201" s="7">
        <f>IF(OR(AO201="",J201="",AO201&lt;=0),"",(J201-AO201)/AO201)</f>
        <v/>
      </c>
      <c r="V201" s="7">
        <f>IF(OR(AO201="",N201="",AO201&lt;=0),"",(AO201-N201)/AO201)</f>
        <v/>
      </c>
      <c r="W201" s="13">
        <f>IF(OR(U201="",V201="",V201&lt;=0),"",U201/V201)</f>
        <v/>
      </c>
      <c r="X201" s="42">
        <f>IF(OR(K201="",L201="",AP201=""),"",K201*L201-(E201*H201+IF(AND(AK201&lt;&gt;"",AL201&lt;&gt;""),AK201*AL201,0)+IF(AND(AM201&lt;&gt;"",AN201&lt;&gt;""),AM201*AN201,0))-IF(O201="",0,O201)-IF(P201="",0,P201))</f>
        <v/>
      </c>
      <c r="Y201" s="7">
        <f>IF(OR(X201="",AP201=""),"",IF((E201*H201+IF(AND(AK201&lt;&gt;"",AL201&lt;&gt;""),AK201*AL201,0)+IF(AND(AM201&lt;&gt;"",AN201&lt;&gt;""),AM201*AN201,0))+IF(O201="",0,O201)&lt;=0,"",X201/((E201*H201+IF(AND(AK201&lt;&gt;"",AL201&lt;&gt;""),AK201*AL201,0)+IF(AND(AM201&lt;&gt;"",AN201&lt;&gt;""),AM201*AN201,0))+IF(O201="",0,O201))))</f>
        <v/>
      </c>
      <c r="Z201" s="7">
        <f>IF(OR(AE201="",多次统计数据!$B$8=""),"",AE201-多次统计数据!$B$8)</f>
        <v/>
      </c>
      <c r="AA201" s="14">
        <f>IF(OR(I201="",M201="",M201&lt;I201),"",M201-I201)</f>
        <v/>
      </c>
      <c r="AB201" s="7">
        <f>IF(OR(A201="",多次统计数据!$B$8="",多次统计数据!$B$6&lt;=0,多次统计数据!$B$6&gt;=1),"",1-POWER(1+多次统计数据!$B$8,-多次统计数据!$B$6/(1-多次统计数据!$B$6)))</f>
        <v/>
      </c>
      <c r="AC201" s="8">
        <f>IF(OR(AB201="",多次统计数据!$B$9=""),"",IF(多次统计数据!$B$9&lt;AB201,"低于上限","达到或超过上限"))</f>
        <v/>
      </c>
      <c r="AD201" s="2" t="n"/>
      <c r="AE201" s="7">
        <f>IF(OR(X201="",C201="",C201&lt;=0),"",X201/C201)</f>
        <v/>
      </c>
      <c r="AG201" s="28" t="n"/>
      <c r="AH201" s="28" t="n"/>
      <c r="AI201" s="28" t="n"/>
      <c r="AJ201" s="31">
        <f>IF(OR(AG201="",AH201=""),"",IF(OR(AND(AG201="短期博反弹",OR(AH201="1～3个交易日",AH201="4～10个交易日")),AND(AG201="突破冲新高",OR(AH201="4～10个交易日",AH201="11～20个交易日")),AND(AG201="趋势波段",OR(AH201="11～20个交易日",AH201="21～60个交易日",AH201="60个交易日以上"))),"匹配","周期与交易预期不匹配，请重新确认"))</f>
        <v/>
      </c>
      <c r="AK201" s="43" t="n"/>
      <c r="AL201" s="27" t="n"/>
      <c r="AM201" s="43" t="n"/>
      <c r="AN201" s="27" t="n"/>
      <c r="AO201" s="44">
        <f>IF(OR(A201="",H201="",H201&lt;=0),"",(E201*H201+IF(AND(AK201&lt;&gt;"",AL201&lt;&gt;""),AK201*AL201,0)+IF(AND(AM201&lt;&gt;"",AN201&lt;&gt;""),AM201*AN201,0))/AP201)</f>
        <v/>
      </c>
      <c r="AP201" s="26">
        <f>IF(OR(A201="",H201="",H201&lt;=0),"",H201+IF(AL201="",0,AL201)+IF(AN201="",0,AN201))</f>
        <v/>
      </c>
      <c r="AQ201" s="44">
        <f>IF(A201="","",IF(M201&lt;&gt;"",0,IF(OR(H201="",N201=""),"",MAX(E201-MAX(N201,IFERROR(AGGREGATE(14,6,'持仓跟踪'!$S$2:$S$501/(('持仓跟踪'!$A$2:$A$501="每日跟踪")*('持仓跟踪'!$B$2:$B$501=A201)),1),0)),0)*H201+IF(OR(AK201="",AL201=""),0,MAX(AK201-MAX(N201,IFERROR(AGGREGATE(14,6,'持仓跟踪'!$S$2:$S$501/(('持仓跟踪'!$A$2:$A$501="每日跟踪")*('持仓跟踪'!$B$2:$B$501=A201)),1),0)),0)*AL201)+IF(OR(AM201="",AN201=""),0,MAX(AM201-MAX(N201,IFERROR(AGGREGATE(14,6,'持仓跟踪'!$S$2:$S$501/(('持仓跟踪'!$A$2:$A$501="每日跟踪")*('持仓跟踪'!$B$2:$B$501=A201)),1),0)),0)*AN201))))</f>
        <v/>
      </c>
      <c r="AR201" s="31">
        <f>IF(A201="","",IF(OR(E201="",H201=""),"违规：第一批价格或股数缺失",IF(OR(AND(AK201="",AL201&lt;&gt;""),AND(AK201&lt;&gt;"",AL201="")),"违规：第二批价格与股数须成对填写",IF(OR(AND(AM201="",AN201&lt;&gt;""),AND(AM201&lt;&gt;"",AN201="")),"违规：第三批价格与股数须成对填写",IF(AND(OR(AM201&lt;&gt;"",AN201&lt;&gt;""),OR(AK201="",AL201="")),"违规：必须先完成第二批",IF(OR(H201&lt;=0,H201&lt;&gt;INT(H201),MOD(H201,100)&lt;&gt;0,AND(AL201&lt;&gt;"",OR(AL201&lt;=0,AL201&lt;&gt;INT(AL201),MOD(AL201,100)&lt;&gt;0)),AND(AN201&lt;&gt;"",OR(AN201&lt;=0,AN201&lt;&gt;INT(AN201),MOD(AN201,100)&lt;&gt;0))),"违规：股数须为100股整数倍",IF(AND(OR(AL201&lt;&gt;"",AN201&lt;&gt;""),OR(_LockStatus="已锁仓",_LockStatus="解锁信息不完整")),"违规：锁仓期间禁止加仓",IF(AQ201&gt;C201*D201,"违规：超过单笔风险上限",IF(SUM($AQ$2:$AQ$201)&gt;账户数据!$B$7,"违规：超过账户风险上限","通过")))))))))</f>
        <v/>
      </c>
    </row>
  </sheetData>
  <conditionalFormatting sqref="G2:G201">
    <cfRule type="expression" priority="10" dxfId="2">
      <formula>$G2="禁止开仓"</formula>
    </cfRule>
    <cfRule type="expression" priority="11" dxfId="0">
      <formula>$G2="允许开仓"</formula>
    </cfRule>
    <cfRule type="expression" priority="12" dxfId="2">
      <formula>LEFT($G2,4)="禁止开仓"</formula>
    </cfRule>
    <cfRule type="expression" priority="13" dxfId="1">
      <formula>$G2="允许开仓（接近锁仓）"</formula>
    </cfRule>
    <cfRule type="expression" priority="14" dxfId="0">
      <formula>$G2="允许开仓"</formula>
    </cfRule>
  </conditionalFormatting>
  <conditionalFormatting sqref="W2:W201">
    <cfRule type="cellIs" priority="3" operator="lessThan" dxfId="1">
      <formula>2</formula>
    </cfRule>
  </conditionalFormatting>
  <conditionalFormatting sqref="X2:X201">
    <cfRule type="cellIs" priority="1" operator="greaterThan" dxfId="0">
      <formula>0</formula>
    </cfRule>
    <cfRule type="cellIs" priority="2" operator="lessThan" dxfId="2">
      <formula>0</formula>
    </cfRule>
  </conditionalFormatting>
  <conditionalFormatting sqref="Y2:Y201">
    <cfRule type="cellIs" priority="6" operator="greaterThan" dxfId="0">
      <formula>0</formula>
    </cfRule>
    <cfRule type="cellIs" priority="7" operator="lessThan" dxfId="2">
      <formula>0</formula>
    </cfRule>
  </conditionalFormatting>
  <conditionalFormatting sqref="AC2:AC201">
    <cfRule type="expression" priority="4" dxfId="2">
      <formula>$AC2="达到或超过上限"</formula>
    </cfRule>
    <cfRule type="expression" priority="5" dxfId="0">
      <formula>$AC2="低于上限"</formula>
    </cfRule>
  </conditionalFormatting>
  <conditionalFormatting sqref="AE2:AE201">
    <cfRule type="cellIs" priority="8" operator="greaterThan" dxfId="0">
      <formula>0</formula>
    </cfRule>
    <cfRule type="cellIs" priority="9" operator="lessThan" dxfId="2">
      <formula>0</formula>
    </cfRule>
  </conditionalFormatting>
  <conditionalFormatting sqref="AJ2:AJ201">
    <cfRule type="expression" priority="15" dxfId="1">
      <formula>$AJ2="周期与交易预期不匹配，请重新确认"</formula>
    </cfRule>
    <cfRule type="expression" priority="16" dxfId="0">
      <formula>$AJ2="匹配"</formula>
    </cfRule>
  </conditionalFormatting>
  <conditionalFormatting sqref="AR2:AR201">
    <cfRule type="expression" priority="17" dxfId="2">
      <formula>LEFT($AR2,2)="违规"</formula>
    </cfRule>
    <cfRule type="expression" priority="18" dxfId="0">
      <formula>$AR2="通过"</formula>
    </cfRule>
  </conditionalFormatting>
  <dataValidations count="14">
    <dataValidation sqref="C2 C4:C201 E2:E201 J2:K201 N2:N201" showDropDown="0" showInputMessage="0" showErrorMessage="0" allowBlank="1" type="decimal" operator="greaterThan">
      <formula1>0</formula1>
    </dataValidation>
    <dataValidation sqref="D2:D201" showDropDown="0" showInputMessage="0" showErrorMessage="0" allowBlank="1" type="decimal">
      <formula1>0</formula1>
      <formula2>1</formula2>
    </dataValidation>
    <dataValidation sqref="I2:I201" showDropDown="0" showInputMessage="0" showErrorMessage="0" allowBlank="1" type="date">
      <formula1>DATE(2000,1,1)</formula1>
      <formula2>DATE(2100,12,31)</formula2>
    </dataValidation>
    <dataValidation sqref="L2:L201" showDropDown="0" showInputMessage="0" showErrorMessage="0" allowBlank="1" type="custom">
      <formula1>OR(L2="",L2=H2)</formula1>
    </dataValidation>
    <dataValidation sqref="M2:M201" showDropDown="0" showInputMessage="0" showErrorMessage="0" allowBlank="1" type="custom">
      <formula1>OR(M2="",AND(ISNUMBER(M2),M2&gt;=I2))</formula1>
    </dataValidation>
    <dataValidation sqref="AD2:AD201" showDropDown="0" showInputMessage="0" showErrorMessage="0" allowBlank="1" type="list">
      <formula1>"1-差,2-较差,3-一般,4-良好,5-优秀"</formula1>
    </dataValidation>
    <dataValidation sqref="O2:P201" showDropDown="0" showInputMessage="0" showErrorMessage="0" allowBlank="1" type="decimal" operator="greaterThanOrEqual">
      <formula1>0</formula1>
    </dataValidation>
    <dataValidation sqref="AG2:AG201" showDropDown="0" showInputMessage="0" showErrorMessage="1" allowBlank="1" errorTitle="交易预期无效" error="请从短期博反弹、突破冲新高、趋势波段中选择" type="list">
      <formula1>"短期博反弹,突破冲新高,趋势波段"</formula1>
    </dataValidation>
    <dataValidation sqref="AH2:AH201" showDropDown="0" showInputMessage="0" showErrorMessage="1" allowBlank="1" errorTitle="预期持有周期无效" error="请从预设的交易日范围中选择" type="list">
      <formula1>"1～3个交易日,4～10个交易日,11～20个交易日,21～60个交易日,60个交易日以上"</formula1>
    </dataValidation>
    <dataValidation sqref="H2:H201" showDropDown="0" showInputMessage="0" showErrorMessage="1" allowBlank="1" errorTitle="当前禁止开仓、计划不完整或风险超限" error="请完成解锁、止损计划和交易预期，确保股数为100股整数倍，且单笔及账户风险均未超过上限" type="custom">
      <formula1>OR(H2="",AND(_LockStatus&lt;&gt;"已锁仓",_LockStatus&lt;&gt;"解锁信息不完整",AG2&lt;&gt;"",AH2&lt;&gt;"",AI2&lt;&gt;"",COUNTIFS(_TrackType,"止损计划",_TrackTradeId,A2,_TrackRule,"计划有效")&gt;0,ISNUMBER(H2),H2&gt;0,H2=INT(H2),MOD(H2,100)=0,AQ2&lt;=C2*D2,SUM($AQ$2:$AQ$201)&lt;=_AccountRiskLimit))</formula1>
    </dataValidation>
    <dataValidation sqref="AK2:AK201" showDropDown="0" showInputMessage="0" showErrorMessage="1" allowBlank="1" errorTitle="第二批买入价无效" error="请填写大于0的价格；删除分仓时先删除股数" type="custom">
      <formula1>OR(AK2="",AND(ISNUMBER(AK2),AK2&gt;0))</formula1>
    </dataValidation>
    <dataValidation sqref="AL2:AL201" showDropDown="0" showInputMessage="0" showErrorMessage="1" allowBlank="1" errorTitle="第二批加仓被阻止" error="请先填写第二批价格并确认已解锁；股数必须为100股整数倍，且加仓后不能超过单笔或账户风险上限" type="custom">
      <formula1>OR(AL2="",AND(AK2&lt;&gt;"",ISNUMBER(AL2),AL2&gt;0,AL2=INT(AL2),MOD(AL2,100)=0,_LockStatus&lt;&gt;"已锁仓",_LockStatus&lt;&gt;"解锁信息不完整",AQ2&lt;=C2*D2,SUM($AQ$2:$AQ$201)&lt;=_AccountRiskLimit))</formula1>
    </dataValidation>
    <dataValidation sqref="AM2:AM201" showDropDown="0" showInputMessage="0" showErrorMessage="1" allowBlank="1" errorTitle="第三批买入价无效" error="请先完整填写第二批，再填写大于0的第三批价格" type="custom">
      <formula1>OR(AM2="",AND(ISNUMBER(AM2),AM2&gt;0,AND(AK2&lt;&gt;"",AL2&lt;&gt;"")))</formula1>
    </dataValidation>
    <dataValidation sqref="AN2:AN201" showDropDown="0" showInputMessage="0" showErrorMessage="1" allowBlank="1" errorTitle="第三批加仓被阻止" error="请先完整填写前两批并确认已解锁；股数必须为100股整数倍，且加仓后不能超过单笔或账户风险上限" type="custom">
      <formula1>OR(AN2="",AND(AK2&lt;&gt;"",AL2&lt;&gt;"",AM2&lt;&gt;"",ISNUMBER(AN2),AN2&gt;0,AN2=INT(AN2),MOD(AN2,100)=0,_LockStatus&lt;&gt;"已锁仓",_LockStatus&lt;&gt;"解锁信息不完整",AQ2&lt;=C2*D2,SUM($AQ$2:$AQ$201)&lt;=_AccountRiskLimit))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01"/>
  <sheetViews>
    <sheetView showGridLines="0" tabSelected="1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F7" sqref="F7"/>
    </sheetView>
  </sheetViews>
  <sheetFormatPr baseColWidth="8" defaultRowHeight="13.5"/>
  <cols>
    <col width="14" customWidth="1" min="1" max="3"/>
    <col width="15" customWidth="1" min="4" max="4"/>
    <col width="12" customWidth="1" min="5" max="5"/>
    <col width="16" customWidth="1" min="6" max="6"/>
    <col width="28" customWidth="1" min="7" max="7"/>
    <col width="13" customWidth="1" min="8" max="8"/>
    <col width="12" customWidth="1" min="9" max="9"/>
    <col width="14" customWidth="1" min="10" max="10"/>
    <col width="28" customWidth="1" min="11" max="11"/>
    <col width="16" customWidth="1" min="12" max="12"/>
    <col width="30" customWidth="1" min="13" max="13"/>
    <col width="13" customWidth="1" min="14" max="14"/>
    <col width="16" customWidth="1" min="15" max="15"/>
    <col width="18" customWidth="1" min="16" max="16"/>
    <col width="15" customWidth="1" min="17" max="17"/>
    <col width="16" customWidth="1" min="18" max="19"/>
    <col width="18" customWidth="1" min="20" max="22"/>
    <col width="24" customWidth="1" min="23" max="23"/>
    <col width="14" customWidth="1" min="24" max="25"/>
    <col width="16" customWidth="1" min="26" max="26"/>
    <col width="14" customWidth="1" min="27" max="27"/>
    <col width="26" customWidth="1" min="28" max="28"/>
    <col width="28" customWidth="1" min="29" max="29"/>
  </cols>
  <sheetData>
    <row r="1" ht="42" customHeight="1">
      <c r="A1" s="35" t="inlineStr">
        <is>
          <t>记录类型</t>
        </is>
      </c>
      <c r="B1" s="35" t="inlineStr">
        <is>
          <t>交易编号</t>
        </is>
      </c>
      <c r="C1" s="35" t="inlineStr">
        <is>
          <t>股票代码</t>
        </is>
      </c>
      <c r="D1" s="35" t="inlineStr">
        <is>
          <t>止损阶段序号</t>
        </is>
      </c>
      <c r="E1" s="35" t="inlineStr">
        <is>
          <t>激活价</t>
        </is>
      </c>
      <c r="F1" s="35" t="inlineStr">
        <is>
          <t>激活后止损价</t>
        </is>
      </c>
      <c r="G1" s="35" t="inlineStr">
        <is>
          <t>止损依据</t>
        </is>
      </c>
      <c r="H1" s="35" t="inlineStr">
        <is>
          <t>记录日期</t>
        </is>
      </c>
      <c r="I1" s="35" t="inlineStr">
        <is>
          <t>收盘价</t>
        </is>
      </c>
      <c r="J1" s="35" t="inlineStr">
        <is>
          <t>成交量</t>
        </is>
      </c>
      <c r="K1" s="35" t="inlineStr">
        <is>
          <t>量价分析</t>
        </is>
      </c>
      <c r="L1" s="35" t="inlineStr">
        <is>
          <t>当前阶段</t>
        </is>
      </c>
      <c r="M1" s="35" t="inlineStr">
        <is>
          <t>阶段判断理由</t>
        </is>
      </c>
      <c r="N1" s="35" t="inlineStr">
        <is>
          <t>初始止损</t>
        </is>
      </c>
      <c r="O1" s="35" t="inlineStr">
        <is>
          <t>历史最高收盘价</t>
        </is>
      </c>
      <c r="P1" s="35" t="inlineStr">
        <is>
          <t>已激活止损阶段</t>
        </is>
      </c>
      <c r="Q1" s="35" t="inlineStr">
        <is>
          <t>当前计划止损</t>
        </is>
      </c>
      <c r="R1" s="35" t="inlineStr">
        <is>
          <t>人工上调止损</t>
        </is>
      </c>
      <c r="S1" s="35" t="inlineStr">
        <is>
          <t>当前有效止损</t>
        </is>
      </c>
      <c r="T1" s="35" t="inlineStr">
        <is>
          <t>下一阶段激活价</t>
        </is>
      </c>
      <c r="U1" s="35" t="inlineStr">
        <is>
          <t>下一阶段止损价</t>
        </is>
      </c>
      <c r="V1" s="35" t="inlineStr">
        <is>
          <t>距离下一阶段涨幅</t>
        </is>
      </c>
      <c r="W1" s="35" t="inlineStr">
        <is>
          <t>止损判断</t>
        </is>
      </c>
      <c r="X1" s="35" t="inlineStr">
        <is>
          <t>卖出动作</t>
        </is>
      </c>
      <c r="Y1" s="35" t="inlineStr">
        <is>
          <t>实际卖出价</t>
        </is>
      </c>
      <c r="Z1" s="35" t="inlineStr">
        <is>
          <t>实际卖出股数</t>
        </is>
      </c>
      <c r="AA1" s="35" t="inlineStr">
        <is>
          <t>卖出费用</t>
        </is>
      </c>
      <c r="AB1" s="35" t="inlineStr">
        <is>
          <t>执行检查</t>
        </is>
      </c>
      <c r="AC1" s="35" t="inlineStr">
        <is>
          <t>规则检查</t>
        </is>
      </c>
    </row>
    <row r="2">
      <c r="A2" s="28" t="inlineStr">
        <is>
          <t>止损计划</t>
        </is>
      </c>
      <c r="B2" s="28" t="n">
        <v>102</v>
      </c>
      <c r="C2" s="31">
        <f>IF(B2="","",IFERROR(LOOKUP(2,1/(单次交易!$A$2:$A$201=B2),单次交易!$B$2:$B$201),""))</f>
        <v/>
      </c>
      <c r="D2" s="27" t="n">
        <v>1</v>
      </c>
      <c r="E2" s="48" t="n">
        <v>3.5</v>
      </c>
      <c r="F2" s="43" t="n">
        <v>3</v>
      </c>
      <c r="G2" s="38" t="inlineStr">
        <is>
          <t>突破无力，在3~4块之间震荡</t>
        </is>
      </c>
      <c r="H2" s="49" t="n"/>
      <c r="I2" s="43" t="n"/>
      <c r="J2" s="27" t="n"/>
      <c r="K2" s="28" t="n"/>
      <c r="L2" s="28" t="n"/>
      <c r="M2" s="28" t="n"/>
      <c r="N2" s="44">
        <f>IF(B2="","",IFERROR(LOOKUP(2,1/(单次交易!$A$2:$A$201=B2),单次交易!$N$2:$N$201),""))</f>
        <v/>
      </c>
      <c r="O2" s="44">
        <f>IF(A2&lt;&gt;"每日跟踪","",IF(OR(B2="",H2="",I2=""),"",IFERROR(AGGREGATE(14,6,$I$2:$I$501/(($A$2:$A$501="每日跟踪")*($B$2:$B$501=B2)*($H$2:$H$501&lt;=H2)),1),"")))</f>
        <v/>
      </c>
      <c r="P2" s="26">
        <f>IF(A2&lt;&gt;"每日跟踪","",IF(O2="","",IFERROR(AGGREGATE(14,6,$D$2:$D$501/(($A$2:$A$501="止损计划")*($B$2:$B$501=B2)*($E$2:$E$501&lt;=O2)),1),0)))</f>
        <v/>
      </c>
      <c r="Q2" s="44">
        <f>IF(A2&lt;&gt;"每日跟踪","",IF(N2="","",MAX(N2,IFERROR(AGGREGATE(14,6,$F$2:$F$501/(($A$2:$A$501="止损计划")*($B$2:$B$501=B2)*($E$2:$E$501&lt;=O2)),1),0))))</f>
        <v/>
      </c>
      <c r="R2" s="43" t="n"/>
      <c r="S2" s="44">
        <f>IF(A2&lt;&gt;"每日跟踪","",IF(Q2="","",MAX(Q2,IFERROR(AGGREGATE(14,6,$R$2:$R$501/(($A$2:$A$501="每日跟踪")*($B$2:$B$501=B2)*($H$2:$H$501&lt;=H2)),1),0))))</f>
        <v/>
      </c>
      <c r="T2" s="44">
        <f>IF(A2&lt;&gt;"每日跟踪","",IF(O2="","",IF(COUNTIFS($A$2:$A$501,"止损计划",$B$2:$B$501,B2,$E$2:$E$501,"&gt;"&amp;O2)=0,"",AGGREGATE(15,6,$E$2:$E$501/(($A$2:$A$501="止损计划")*($B$2:$B$501=B2)*($E$2:$E$501&gt;O2)),1))))</f>
        <v/>
      </c>
      <c r="U2" s="44">
        <f>IF(OR(A2&lt;&gt;"每日跟踪",T2=""),"",IFERROR(AGGREGATE(14,6,$F$2:$F$501/(($A$2:$A$501="止损计划")*($B$2:$B$501=B2)*($E$2:$E$501=T2)),1),""))</f>
        <v/>
      </c>
      <c r="V2" s="30">
        <f>IF(OR(A2&lt;&gt;"每日跟踪",T2="",I2="",I2&lt;=0),"",T2/I2-1)</f>
        <v/>
      </c>
      <c r="W2" s="31">
        <f>IF(A2&lt;&gt;"每日跟踪","",IF(OR(I2="",S2=""),"",IF(I2&lt;=S2,"触发止损：应全部卖出","继续观察")))</f>
        <v/>
      </c>
      <c r="X2" s="28" t="n"/>
      <c r="Y2" s="43" t="n"/>
      <c r="Z2" s="26">
        <f>IF(X2&lt;&gt;"执行卖出","",IFERROR(LOOKUP(2,1/(单次交易!$A$2:$A$201=B2),单次交易!$AP$2:$AP$201),""))</f>
        <v/>
      </c>
      <c r="AA2" s="43" t="n"/>
      <c r="AB2" s="31">
        <f>IF(A2&lt;&gt;"每日跟踪","",IF(OR(B2="",H2="",I2="",J2="",K2="",L2="",M2=""),"待补充每日记录",IF(W2="触发止损：应全部卖出",IF(X2&lt;&gt;"执行卖出","违规：触发止损但未执行",IF(Y2="","待补充实际卖出价","卖出记录完整")),IF(X2="","待选择卖出动作",IF(X2="执行卖出",IF(Y2="","待补充实际卖出价","卖出记录完整"),"正常")))))</f>
        <v/>
      </c>
      <c r="AC2" s="31">
        <f>IF(A2="","",IF(A2="止损计划",IF(OR(B2="",D2="",E2="",F2="",G2=""),"计划不完整",IF(OR(D2&lt;1,D2&lt;&gt;INT(D2)),"阶段序号无效",IF(COUNTIFS($A$2:$A$501,"止损计划",$B$2:$B$501,B2,$D$2:$D$501,D2)&gt;1,"阶段序号重复",IF(E2&lt;=IFERROR(LOOKUP(2,1/('单次交易'!$A$2:$A$201=B2),'单次交易'!$E$2:$E$201),0),"激活价须高于买入价",IF(F2&lt;N2,"止损价不得低于初始止损",IF(F2&gt;E2,"止损价不得高于激活价",IF(AND(COUNTIFS($A$2:$A$501,"止损计划",$B$2:$B$501,B2,$D$2:$D$501,"&lt;"&amp;D2)&gt;0,OR(E2&lt;=AGGREGATE(14,6,$E$2:$E$501/(($A$2:$A$501="止损计划")*($B$2:$B$501=B2)*($D$2:$D$501&lt;D2)),1),F2&lt;AGGREGATE(14,6,$F$2:$F$501/(($A$2:$A$501="止损计划")*($B$2:$B$501=B2)*($D$2:$D$501&lt;D2)),1))),"阶段价格必须逐级提高","计划有效"))))))),IF(A2="每日跟踪",IF(OR(B2="",H2="",I2="",J2=""),"每日数据不完整",IF(COUNTIFS($A$2:$A$501,"每日跟踪",$B$2:$B$501,B2,$H$2:$H$501,H2)&gt;1,"同一交易日期重复",IF(AND(R2&lt;&gt;"",R2&lt;S2),"人工止损无效：不能下调","跟踪有效"))),"记录类型无效")))</f>
        <v/>
      </c>
    </row>
    <row r="3">
      <c r="A3" s="28" t="n"/>
      <c r="B3" s="28" t="n"/>
      <c r="C3" s="31">
        <f>IF(B3="","",IFERROR(LOOKUP(2,1/(单次交易!$A$2:$A$201=B3),单次交易!$B$2:$B$201),""))</f>
        <v/>
      </c>
      <c r="D3" s="27" t="n"/>
      <c r="E3" s="43" t="n"/>
      <c r="F3" s="43" t="n"/>
      <c r="G3" s="28" t="n"/>
      <c r="H3" s="49" t="n"/>
      <c r="I3" s="43" t="n"/>
      <c r="J3" s="27" t="n"/>
      <c r="K3" s="28" t="n"/>
      <c r="L3" s="28" t="n"/>
      <c r="M3" s="28" t="n"/>
      <c r="N3" s="44">
        <f>IF(B3="","",IFERROR(LOOKUP(2,1/(单次交易!$A$2:$A$201=B3),单次交易!$N$2:$N$201),""))</f>
        <v/>
      </c>
      <c r="O3" s="44">
        <f>IF(A3&lt;&gt;"每日跟踪","",IF(OR(B3="",H3="",I3=""),"",IFERROR(AGGREGATE(14,6,$I$2:$I$501/(($A$2:$A$501="每日跟踪")*($B$2:$B$501=B3)*($H$2:$H$501&lt;=H3)),1),"")))</f>
        <v/>
      </c>
      <c r="P3" s="26">
        <f>IF(A3&lt;&gt;"每日跟踪","",IF(O3="","",IFERROR(AGGREGATE(14,6,$D$2:$D$501/(($A$2:$A$501="止损计划")*($B$2:$B$501=B3)*($E$2:$E$501&lt;=O3)),1),0)))</f>
        <v/>
      </c>
      <c r="Q3" s="44">
        <f>IF(A3&lt;&gt;"每日跟踪","",IF(N3="","",MAX(N3,IFERROR(AGGREGATE(14,6,$F$2:$F$501/(($A$2:$A$501="止损计划")*($B$2:$B$501=B3)*($E$2:$E$501&lt;=O3)),1),0))))</f>
        <v/>
      </c>
      <c r="R3" s="43" t="n"/>
      <c r="S3" s="44">
        <f>IF(A3&lt;&gt;"每日跟踪","",IF(Q3="","",MAX(Q3,IFERROR(AGGREGATE(14,6,$R$2:$R$501/(($A$2:$A$501="每日跟踪")*($B$2:$B$501=B3)*($H$2:$H$501&lt;=H3)),1),0))))</f>
        <v/>
      </c>
      <c r="T3" s="44">
        <f>IF(A3&lt;&gt;"每日跟踪","",IF(O3="","",IF(COUNTIFS($A$2:$A$501,"止损计划",$B$2:$B$501,B3,$E$2:$E$501,"&gt;"&amp;O3)=0,"",AGGREGATE(15,6,$E$2:$E$501/(($A$2:$A$501="止损计划")*($B$2:$B$501=B3)*($E$2:$E$501&gt;O3)),1))))</f>
        <v/>
      </c>
      <c r="U3" s="44">
        <f>IF(OR(A3&lt;&gt;"每日跟踪",T3=""),"",IFERROR(AGGREGATE(14,6,$F$2:$F$501/(($A$2:$A$501="止损计划")*($B$2:$B$501=B3)*($E$2:$E$501=T3)),1),""))</f>
        <v/>
      </c>
      <c r="V3" s="30">
        <f>IF(OR(A3&lt;&gt;"每日跟踪",T3="",I3="",I3&lt;=0),"",T3/I3-1)</f>
        <v/>
      </c>
      <c r="W3" s="31">
        <f>IF(A3&lt;&gt;"每日跟踪","",IF(OR(I3="",S3=""),"",IF(I3&lt;=S3,"触发止损：应全部卖出","继续观察")))</f>
        <v/>
      </c>
      <c r="X3" s="28" t="n"/>
      <c r="Y3" s="43" t="n"/>
      <c r="Z3" s="26">
        <f>IF(X3&lt;&gt;"执行卖出","",IFERROR(LOOKUP(2,1/(单次交易!$A$2:$A$201=B3),单次交易!$AP$2:$AP$201),""))</f>
        <v/>
      </c>
      <c r="AA3" s="43" t="n"/>
      <c r="AB3" s="31">
        <f>IF(A3&lt;&gt;"每日跟踪","",IF(OR(B3="",H3="",I3="",J3="",K3="",L3="",M3=""),"待补充每日记录",IF(W3="触发止损：应全部卖出",IF(X3&lt;&gt;"执行卖出","违规：触发止损但未执行",IF(Y3="","待补充实际卖出价","卖出记录完整")),IF(X3="","待选择卖出动作",IF(X3="执行卖出",IF(Y3="","待补充实际卖出价","卖出记录完整"),"正常")))))</f>
        <v/>
      </c>
      <c r="AC3" s="31">
        <f>IF(A3="","",IF(A3="止损计划",IF(OR(B3="",D3="",E3="",F3="",G3=""),"计划不完整",IF(OR(D3&lt;1,D3&lt;&gt;INT(D3)),"阶段序号无效",IF(COUNTIFS($A$2:$A$501,"止损计划",$B$2:$B$501,B3,$D$2:$D$501,D3)&gt;1,"阶段序号重复",IF(E3&lt;=IFERROR(LOOKUP(2,1/('单次交易'!$A$2:$A$201=B3),'单次交易'!$E$2:$E$201),0),"激活价须高于买入价",IF(F3&lt;N3,"止损价不得低于初始止损",IF(F3&gt;E3,"止损价不得高于激活价",IF(AND(COUNTIFS($A$2:$A$501,"止损计划",$B$2:$B$501,B3,$D$2:$D$501,"&lt;"&amp;D3)&gt;0,OR(E3&lt;=AGGREGATE(14,6,$E$2:$E$501/(($A$2:$A$501="止损计划")*($B$2:$B$501=B3)*($D$2:$D$501&lt;D3)),1),F3&lt;AGGREGATE(14,6,$F$2:$F$501/(($A$2:$A$501="止损计划")*($B$2:$B$501=B3)*($D$2:$D$501&lt;D3)),1))),"阶段价格必须逐级提高","计划有效"))))))),IF(A3="每日跟踪",IF(OR(B3="",H3="",I3="",J3=""),"每日数据不完整",IF(COUNTIFS($A$2:$A$501,"每日跟踪",$B$2:$B$501,B3,$H$2:$H$501,H3)&gt;1,"同一交易日期重复",IF(AND(R3&lt;&gt;"",R3&lt;S3),"人工止损无效：不能下调","跟踪有效"))),"记录类型无效")))</f>
        <v/>
      </c>
    </row>
    <row r="4">
      <c r="A4" s="28" t="n"/>
      <c r="B4" s="28" t="n"/>
      <c r="C4" s="31">
        <f>IF(B4="","",IFERROR(LOOKUP(2,1/(单次交易!$A$2:$A$201=B4),单次交易!$B$2:$B$201),""))</f>
        <v/>
      </c>
      <c r="D4" s="27" t="n"/>
      <c r="E4" s="43" t="n"/>
      <c r="F4" s="43" t="n"/>
      <c r="G4" s="28" t="n"/>
      <c r="H4" s="49" t="n"/>
      <c r="I4" s="43" t="n"/>
      <c r="J4" s="27" t="n"/>
      <c r="K4" s="28" t="n"/>
      <c r="L4" s="28" t="n"/>
      <c r="M4" s="28" t="n"/>
      <c r="N4" s="44">
        <f>IF(B4="","",IFERROR(LOOKUP(2,1/(单次交易!$A$2:$A$201=B4),单次交易!$N$2:$N$201),""))</f>
        <v/>
      </c>
      <c r="O4" s="44">
        <f>IF(A4&lt;&gt;"每日跟踪","",IF(OR(B4="",H4="",I4=""),"",IFERROR(AGGREGATE(14,6,$I$2:$I$501/(($A$2:$A$501="每日跟踪")*($B$2:$B$501=B4)*($H$2:$H$501&lt;=H4)),1),"")))</f>
        <v/>
      </c>
      <c r="P4" s="26">
        <f>IF(A4&lt;&gt;"每日跟踪","",IF(O4="","",IFERROR(AGGREGATE(14,6,$D$2:$D$501/(($A$2:$A$501="止损计划")*($B$2:$B$501=B4)*($E$2:$E$501&lt;=O4)),1),0)))</f>
        <v/>
      </c>
      <c r="Q4" s="44">
        <f>IF(A4&lt;&gt;"每日跟踪","",IF(N4="","",MAX(N4,IFERROR(AGGREGATE(14,6,$F$2:$F$501/(($A$2:$A$501="止损计划")*($B$2:$B$501=B4)*($E$2:$E$501&lt;=O4)),1),0))))</f>
        <v/>
      </c>
      <c r="R4" s="43" t="n"/>
      <c r="S4" s="44">
        <f>IF(A4&lt;&gt;"每日跟踪","",IF(Q4="","",MAX(Q4,IFERROR(AGGREGATE(14,6,$R$2:$R$501/(($A$2:$A$501="每日跟踪")*($B$2:$B$501=B4)*($H$2:$H$501&lt;=H4)),1),0))))</f>
        <v/>
      </c>
      <c r="T4" s="44">
        <f>IF(A4&lt;&gt;"每日跟踪","",IF(O4="","",IF(COUNTIFS($A$2:$A$501,"止损计划",$B$2:$B$501,B4,$E$2:$E$501,"&gt;"&amp;O4)=0,"",AGGREGATE(15,6,$E$2:$E$501/(($A$2:$A$501="止损计划")*($B$2:$B$501=B4)*($E$2:$E$501&gt;O4)),1))))</f>
        <v/>
      </c>
      <c r="U4" s="44">
        <f>IF(OR(A4&lt;&gt;"每日跟踪",T4=""),"",IFERROR(AGGREGATE(14,6,$F$2:$F$501/(($A$2:$A$501="止损计划")*($B$2:$B$501=B4)*($E$2:$E$501=T4)),1),""))</f>
        <v/>
      </c>
      <c r="V4" s="30">
        <f>IF(OR(A4&lt;&gt;"每日跟踪",T4="",I4="",I4&lt;=0),"",T4/I4-1)</f>
        <v/>
      </c>
      <c r="W4" s="31">
        <f>IF(A4&lt;&gt;"每日跟踪","",IF(OR(I4="",S4=""),"",IF(I4&lt;=S4,"触发止损：应全部卖出","继续观察")))</f>
        <v/>
      </c>
      <c r="X4" s="28" t="n"/>
      <c r="Y4" s="43" t="n"/>
      <c r="Z4" s="26">
        <f>IF(X4&lt;&gt;"执行卖出","",IFERROR(LOOKUP(2,1/(单次交易!$A$2:$A$201=B4),单次交易!$AP$2:$AP$201),""))</f>
        <v/>
      </c>
      <c r="AA4" s="43" t="n"/>
      <c r="AB4" s="31">
        <f>IF(A4&lt;&gt;"每日跟踪","",IF(OR(B4="",H4="",I4="",J4="",K4="",L4="",M4=""),"待补充每日记录",IF(W4="触发止损：应全部卖出",IF(X4&lt;&gt;"执行卖出","违规：触发止损但未执行",IF(Y4="","待补充实际卖出价","卖出记录完整")),IF(X4="","待选择卖出动作",IF(X4="执行卖出",IF(Y4="","待补充实际卖出价","卖出记录完整"),"正常")))))</f>
        <v/>
      </c>
      <c r="AC4" s="31">
        <f>IF(A4="","",IF(A4="止损计划",IF(OR(B4="",D4="",E4="",F4="",G4=""),"计划不完整",IF(OR(D4&lt;1,D4&lt;&gt;INT(D4)),"阶段序号无效",IF(COUNTIFS($A$2:$A$501,"止损计划",$B$2:$B$501,B4,$D$2:$D$501,D4)&gt;1,"阶段序号重复",IF(E4&lt;=IFERROR(LOOKUP(2,1/('单次交易'!$A$2:$A$201=B4),'单次交易'!$E$2:$E$201),0),"激活价须高于买入价",IF(F4&lt;N4,"止损价不得低于初始止损",IF(F4&gt;E4,"止损价不得高于激活价",IF(AND(COUNTIFS($A$2:$A$501,"止损计划",$B$2:$B$501,B4,$D$2:$D$501,"&lt;"&amp;D4)&gt;0,OR(E4&lt;=AGGREGATE(14,6,$E$2:$E$501/(($A$2:$A$501="止损计划")*($B$2:$B$501=B4)*($D$2:$D$501&lt;D4)),1),F4&lt;AGGREGATE(14,6,$F$2:$F$501/(($A$2:$A$501="止损计划")*($B$2:$B$501=B4)*($D$2:$D$501&lt;D4)),1))),"阶段价格必须逐级提高","计划有效"))))))),IF(A4="每日跟踪",IF(OR(B4="",H4="",I4="",J4=""),"每日数据不完整",IF(COUNTIFS($A$2:$A$501,"每日跟踪",$B$2:$B$501,B4,$H$2:$H$501,H4)&gt;1,"同一交易日期重复",IF(AND(R4&lt;&gt;"",R4&lt;S4),"人工止损无效：不能下调","跟踪有效"))),"记录类型无效")))</f>
        <v/>
      </c>
    </row>
    <row r="5">
      <c r="A5" s="28" t="n"/>
      <c r="B5" s="28" t="n"/>
      <c r="C5" s="31">
        <f>IF(B5="","",IFERROR(LOOKUP(2,1/(单次交易!$A$2:$A$201=B5),单次交易!$B$2:$B$201),""))</f>
        <v/>
      </c>
      <c r="D5" s="27" t="n"/>
      <c r="E5" s="43" t="n"/>
      <c r="F5" s="43" t="n"/>
      <c r="G5" s="28" t="n"/>
      <c r="H5" s="49" t="n"/>
      <c r="I5" s="43" t="n"/>
      <c r="J5" s="27" t="n"/>
      <c r="K5" s="28" t="n"/>
      <c r="L5" s="28" t="n"/>
      <c r="M5" s="28" t="n"/>
      <c r="N5" s="44">
        <f>IF(B5="","",IFERROR(LOOKUP(2,1/(单次交易!$A$2:$A$201=B5),单次交易!$N$2:$N$201),""))</f>
        <v/>
      </c>
      <c r="O5" s="44">
        <f>IF(A5&lt;&gt;"每日跟踪","",IF(OR(B5="",H5="",I5=""),"",IFERROR(AGGREGATE(14,6,$I$2:$I$501/(($A$2:$A$501="每日跟踪")*($B$2:$B$501=B5)*($H$2:$H$501&lt;=H5)),1),"")))</f>
        <v/>
      </c>
      <c r="P5" s="26">
        <f>IF(A5&lt;&gt;"每日跟踪","",IF(O5="","",IFERROR(AGGREGATE(14,6,$D$2:$D$501/(($A$2:$A$501="止损计划")*($B$2:$B$501=B5)*($E$2:$E$501&lt;=O5)),1),0)))</f>
        <v/>
      </c>
      <c r="Q5" s="44">
        <f>IF(A5&lt;&gt;"每日跟踪","",IF(N5="","",MAX(N5,IFERROR(AGGREGATE(14,6,$F$2:$F$501/(($A$2:$A$501="止损计划")*($B$2:$B$501=B5)*($E$2:$E$501&lt;=O5)),1),0))))</f>
        <v/>
      </c>
      <c r="R5" s="43" t="n"/>
      <c r="S5" s="44">
        <f>IF(A5&lt;&gt;"每日跟踪","",IF(Q5="","",MAX(Q5,IFERROR(AGGREGATE(14,6,$R$2:$R$501/(($A$2:$A$501="每日跟踪")*($B$2:$B$501=B5)*($H$2:$H$501&lt;=H5)),1),0))))</f>
        <v/>
      </c>
      <c r="T5" s="44">
        <f>IF(A5&lt;&gt;"每日跟踪","",IF(O5="","",IF(COUNTIFS($A$2:$A$501,"止损计划",$B$2:$B$501,B5,$E$2:$E$501,"&gt;"&amp;O5)=0,"",AGGREGATE(15,6,$E$2:$E$501/(($A$2:$A$501="止损计划")*($B$2:$B$501=B5)*($E$2:$E$501&gt;O5)),1))))</f>
        <v/>
      </c>
      <c r="U5" s="44">
        <f>IF(OR(A5&lt;&gt;"每日跟踪",T5=""),"",IFERROR(AGGREGATE(14,6,$F$2:$F$501/(($A$2:$A$501="止损计划")*($B$2:$B$501=B5)*($E$2:$E$501=T5)),1),""))</f>
        <v/>
      </c>
      <c r="V5" s="30">
        <f>IF(OR(A5&lt;&gt;"每日跟踪",T5="",I5="",I5&lt;=0),"",T5/I5-1)</f>
        <v/>
      </c>
      <c r="W5" s="31">
        <f>IF(A5&lt;&gt;"每日跟踪","",IF(OR(I5="",S5=""),"",IF(I5&lt;=S5,"触发止损：应全部卖出","继续观察")))</f>
        <v/>
      </c>
      <c r="X5" s="28" t="n"/>
      <c r="Y5" s="43" t="n"/>
      <c r="Z5" s="26">
        <f>IF(X5&lt;&gt;"执行卖出","",IFERROR(LOOKUP(2,1/(单次交易!$A$2:$A$201=B5),单次交易!$AP$2:$AP$201),""))</f>
        <v/>
      </c>
      <c r="AA5" s="43" t="n"/>
      <c r="AB5" s="31">
        <f>IF(A5&lt;&gt;"每日跟踪","",IF(OR(B5="",H5="",I5="",J5="",K5="",L5="",M5=""),"待补充每日记录",IF(W5="触发止损：应全部卖出",IF(X5&lt;&gt;"执行卖出","违规：触发止损但未执行",IF(Y5="","待补充实际卖出价","卖出记录完整")),IF(X5="","待选择卖出动作",IF(X5="执行卖出",IF(Y5="","待补充实际卖出价","卖出记录完整"),"正常")))))</f>
        <v/>
      </c>
      <c r="AC5" s="31">
        <f>IF(A5="","",IF(A5="止损计划",IF(OR(B5="",D5="",E5="",F5="",G5=""),"计划不完整",IF(OR(D5&lt;1,D5&lt;&gt;INT(D5)),"阶段序号无效",IF(COUNTIFS($A$2:$A$501,"止损计划",$B$2:$B$501,B5,$D$2:$D$501,D5)&gt;1,"阶段序号重复",IF(E5&lt;=IFERROR(LOOKUP(2,1/('单次交易'!$A$2:$A$201=B5),'单次交易'!$E$2:$E$201),0),"激活价须高于买入价",IF(F5&lt;N5,"止损价不得低于初始止损",IF(F5&gt;E5,"止损价不得高于激活价",IF(AND(COUNTIFS($A$2:$A$501,"止损计划",$B$2:$B$501,B5,$D$2:$D$501,"&lt;"&amp;D5)&gt;0,OR(E5&lt;=AGGREGATE(14,6,$E$2:$E$501/(($A$2:$A$501="止损计划")*($B$2:$B$501=B5)*($D$2:$D$501&lt;D5)),1),F5&lt;AGGREGATE(14,6,$F$2:$F$501/(($A$2:$A$501="止损计划")*($B$2:$B$501=B5)*($D$2:$D$501&lt;D5)),1))),"阶段价格必须逐级提高","计划有效"))))))),IF(A5="每日跟踪",IF(OR(B5="",H5="",I5="",J5=""),"每日数据不完整",IF(COUNTIFS($A$2:$A$501,"每日跟踪",$B$2:$B$501,B5,$H$2:$H$501,H5)&gt;1,"同一交易日期重复",IF(AND(R5&lt;&gt;"",R5&lt;S5),"人工止损无效：不能下调","跟踪有效"))),"记录类型无效")))</f>
        <v/>
      </c>
    </row>
    <row r="6">
      <c r="A6" s="28" t="n"/>
      <c r="B6" s="28" t="n"/>
      <c r="C6" s="31">
        <f>IF(B6="","",IFERROR(LOOKUP(2,1/(单次交易!$A$2:$A$201=B6),单次交易!$B$2:$B$201),""))</f>
        <v/>
      </c>
      <c r="D6" s="27" t="n"/>
      <c r="E6" s="43" t="n"/>
      <c r="F6" s="43" t="n"/>
      <c r="G6" s="28" t="n"/>
      <c r="H6" s="49" t="n"/>
      <c r="I6" s="43" t="n"/>
      <c r="J6" s="27" t="n"/>
      <c r="K6" s="28" t="n"/>
      <c r="L6" s="28" t="n"/>
      <c r="M6" s="28" t="n"/>
      <c r="N6" s="44">
        <f>IF(B6="","",IFERROR(LOOKUP(2,1/(单次交易!$A$2:$A$201=B6),单次交易!$N$2:$N$201),""))</f>
        <v/>
      </c>
      <c r="O6" s="44">
        <f>IF(A6&lt;&gt;"每日跟踪","",IF(OR(B6="",H6="",I6=""),"",IFERROR(AGGREGATE(14,6,$I$2:$I$501/(($A$2:$A$501="每日跟踪")*($B$2:$B$501=B6)*($H$2:$H$501&lt;=H6)),1),"")))</f>
        <v/>
      </c>
      <c r="P6" s="26">
        <f>IF(A6&lt;&gt;"每日跟踪","",IF(O6="","",IFERROR(AGGREGATE(14,6,$D$2:$D$501/(($A$2:$A$501="止损计划")*($B$2:$B$501=B6)*($E$2:$E$501&lt;=O6)),1),0)))</f>
        <v/>
      </c>
      <c r="Q6" s="44">
        <f>IF(A6&lt;&gt;"每日跟踪","",IF(N6="","",MAX(N6,IFERROR(AGGREGATE(14,6,$F$2:$F$501/(($A$2:$A$501="止损计划")*($B$2:$B$501=B6)*($E$2:$E$501&lt;=O6)),1),0))))</f>
        <v/>
      </c>
      <c r="R6" s="43" t="n"/>
      <c r="S6" s="44">
        <f>IF(A6&lt;&gt;"每日跟踪","",IF(Q6="","",MAX(Q6,IFERROR(AGGREGATE(14,6,$R$2:$R$501/(($A$2:$A$501="每日跟踪")*($B$2:$B$501=B6)*($H$2:$H$501&lt;=H6)),1),0))))</f>
        <v/>
      </c>
      <c r="T6" s="44">
        <f>IF(A6&lt;&gt;"每日跟踪","",IF(O6="","",IF(COUNTIFS($A$2:$A$501,"止损计划",$B$2:$B$501,B6,$E$2:$E$501,"&gt;"&amp;O6)=0,"",AGGREGATE(15,6,$E$2:$E$501/(($A$2:$A$501="止损计划")*($B$2:$B$501=B6)*($E$2:$E$501&gt;O6)),1))))</f>
        <v/>
      </c>
      <c r="U6" s="44">
        <f>IF(OR(A6&lt;&gt;"每日跟踪",T6=""),"",IFERROR(AGGREGATE(14,6,$F$2:$F$501/(($A$2:$A$501="止损计划")*($B$2:$B$501=B6)*($E$2:$E$501=T6)),1),""))</f>
        <v/>
      </c>
      <c r="V6" s="30">
        <f>IF(OR(A6&lt;&gt;"每日跟踪",T6="",I6="",I6&lt;=0),"",T6/I6-1)</f>
        <v/>
      </c>
      <c r="W6" s="31">
        <f>IF(A6&lt;&gt;"每日跟踪","",IF(OR(I6="",S6=""),"",IF(I6&lt;=S6,"触发止损：应全部卖出","继续观察")))</f>
        <v/>
      </c>
      <c r="X6" s="28" t="n"/>
      <c r="Y6" s="43" t="n"/>
      <c r="Z6" s="26">
        <f>IF(X6&lt;&gt;"执行卖出","",IFERROR(LOOKUP(2,1/(单次交易!$A$2:$A$201=B6),单次交易!$AP$2:$AP$201),""))</f>
        <v/>
      </c>
      <c r="AA6" s="43" t="n"/>
      <c r="AB6" s="31">
        <f>IF(A6&lt;&gt;"每日跟踪","",IF(OR(B6="",H6="",I6="",J6="",K6="",L6="",M6=""),"待补充每日记录",IF(W6="触发止损：应全部卖出",IF(X6&lt;&gt;"执行卖出","违规：触发止损但未执行",IF(Y6="","待补充实际卖出价","卖出记录完整")),IF(X6="","待选择卖出动作",IF(X6="执行卖出",IF(Y6="","待补充实际卖出价","卖出记录完整"),"正常")))))</f>
        <v/>
      </c>
      <c r="AC6" s="31">
        <f>IF(A6="","",IF(A6="止损计划",IF(OR(B6="",D6="",E6="",F6="",G6=""),"计划不完整",IF(OR(D6&lt;1,D6&lt;&gt;INT(D6)),"阶段序号无效",IF(COUNTIFS($A$2:$A$501,"止损计划",$B$2:$B$501,B6,$D$2:$D$501,D6)&gt;1,"阶段序号重复",IF(E6&lt;=IFERROR(LOOKUP(2,1/('单次交易'!$A$2:$A$201=B6),'单次交易'!$E$2:$E$201),0),"激活价须高于买入价",IF(F6&lt;N6,"止损价不得低于初始止损",IF(F6&gt;E6,"止损价不得高于激活价",IF(AND(COUNTIFS($A$2:$A$501,"止损计划",$B$2:$B$501,B6,$D$2:$D$501,"&lt;"&amp;D6)&gt;0,OR(E6&lt;=AGGREGATE(14,6,$E$2:$E$501/(($A$2:$A$501="止损计划")*($B$2:$B$501=B6)*($D$2:$D$501&lt;D6)),1),F6&lt;AGGREGATE(14,6,$F$2:$F$501/(($A$2:$A$501="止损计划")*($B$2:$B$501=B6)*($D$2:$D$501&lt;D6)),1))),"阶段价格必须逐级提高","计划有效"))))))),IF(A6="每日跟踪",IF(OR(B6="",H6="",I6="",J6=""),"每日数据不完整",IF(COUNTIFS($A$2:$A$501,"每日跟踪",$B$2:$B$501,B6,$H$2:$H$501,H6)&gt;1,"同一交易日期重复",IF(AND(R6&lt;&gt;"",R6&lt;S6),"人工止损无效：不能下调","跟踪有效"))),"记录类型无效")))</f>
        <v/>
      </c>
    </row>
    <row r="7">
      <c r="A7" s="28" t="n"/>
      <c r="B7" s="28" t="n"/>
      <c r="C7" s="31">
        <f>IF(B7="","",IFERROR(LOOKUP(2,1/(单次交易!$A$2:$A$201=B7),单次交易!$B$2:$B$201),""))</f>
        <v/>
      </c>
      <c r="D7" s="27" t="n"/>
      <c r="E7" s="43" t="n"/>
      <c r="F7" s="43" t="n"/>
      <c r="G7" s="28" t="n"/>
      <c r="H7" s="49" t="n"/>
      <c r="I7" s="43" t="n"/>
      <c r="J7" s="27" t="n"/>
      <c r="K7" s="28" t="n"/>
      <c r="L7" s="28" t="n"/>
      <c r="M7" s="28" t="n"/>
      <c r="N7" s="44">
        <f>IF(B7="","",IFERROR(LOOKUP(2,1/(单次交易!$A$2:$A$201=B7),单次交易!$N$2:$N$201),""))</f>
        <v/>
      </c>
      <c r="O7" s="44">
        <f>IF(A7&lt;&gt;"每日跟踪","",IF(OR(B7="",H7="",I7=""),"",IFERROR(AGGREGATE(14,6,$I$2:$I$501/(($A$2:$A$501="每日跟踪")*($B$2:$B$501=B7)*($H$2:$H$501&lt;=H7)),1),"")))</f>
        <v/>
      </c>
      <c r="P7" s="26">
        <f>IF(A7&lt;&gt;"每日跟踪","",IF(O7="","",IFERROR(AGGREGATE(14,6,$D$2:$D$501/(($A$2:$A$501="止损计划")*($B$2:$B$501=B7)*($E$2:$E$501&lt;=O7)),1),0)))</f>
        <v/>
      </c>
      <c r="Q7" s="44">
        <f>IF(A7&lt;&gt;"每日跟踪","",IF(N7="","",MAX(N7,IFERROR(AGGREGATE(14,6,$F$2:$F$501/(($A$2:$A$501="止损计划")*($B$2:$B$501=B7)*($E$2:$E$501&lt;=O7)),1),0))))</f>
        <v/>
      </c>
      <c r="R7" s="43" t="n"/>
      <c r="S7" s="44">
        <f>IF(A7&lt;&gt;"每日跟踪","",IF(Q7="","",MAX(Q7,IFERROR(AGGREGATE(14,6,$R$2:$R$501/(($A$2:$A$501="每日跟踪")*($B$2:$B$501=B7)*($H$2:$H$501&lt;=H7)),1),0))))</f>
        <v/>
      </c>
      <c r="T7" s="44">
        <f>IF(A7&lt;&gt;"每日跟踪","",IF(O7="","",IF(COUNTIFS($A$2:$A$501,"止损计划",$B$2:$B$501,B7,$E$2:$E$501,"&gt;"&amp;O7)=0,"",AGGREGATE(15,6,$E$2:$E$501/(($A$2:$A$501="止损计划")*($B$2:$B$501=B7)*($E$2:$E$501&gt;O7)),1))))</f>
        <v/>
      </c>
      <c r="U7" s="44">
        <f>IF(OR(A7&lt;&gt;"每日跟踪",T7=""),"",IFERROR(AGGREGATE(14,6,$F$2:$F$501/(($A$2:$A$501="止损计划")*($B$2:$B$501=B7)*($E$2:$E$501=T7)),1),""))</f>
        <v/>
      </c>
      <c r="V7" s="30">
        <f>IF(OR(A7&lt;&gt;"每日跟踪",T7="",I7="",I7&lt;=0),"",T7/I7-1)</f>
        <v/>
      </c>
      <c r="W7" s="31">
        <f>IF(A7&lt;&gt;"每日跟踪","",IF(OR(I7="",S7=""),"",IF(I7&lt;=S7,"触发止损：应全部卖出","继续观察")))</f>
        <v/>
      </c>
      <c r="X7" s="28" t="n"/>
      <c r="Y7" s="43" t="n"/>
      <c r="Z7" s="26">
        <f>IF(X7&lt;&gt;"执行卖出","",IFERROR(LOOKUP(2,1/(单次交易!$A$2:$A$201=B7),单次交易!$AP$2:$AP$201),""))</f>
        <v/>
      </c>
      <c r="AA7" s="43" t="n"/>
      <c r="AB7" s="31">
        <f>IF(A7&lt;&gt;"每日跟踪","",IF(OR(B7="",H7="",I7="",J7="",K7="",L7="",M7=""),"待补充每日记录",IF(W7="触发止损：应全部卖出",IF(X7&lt;&gt;"执行卖出","违规：触发止损但未执行",IF(Y7="","待补充实际卖出价","卖出记录完整")),IF(X7="","待选择卖出动作",IF(X7="执行卖出",IF(Y7="","待补充实际卖出价","卖出记录完整"),"正常")))))</f>
        <v/>
      </c>
      <c r="AC7" s="31">
        <f>IF(A7="","",IF(A7="止损计划",IF(OR(B7="",D7="",E7="",F7="",G7=""),"计划不完整",IF(OR(D7&lt;1,D7&lt;&gt;INT(D7)),"阶段序号无效",IF(COUNTIFS($A$2:$A$501,"止损计划",$B$2:$B$501,B7,$D$2:$D$501,D7)&gt;1,"阶段序号重复",IF(E7&lt;=IFERROR(LOOKUP(2,1/('单次交易'!$A$2:$A$201=B7),'单次交易'!$E$2:$E$201),0),"激活价须高于买入价",IF(F7&lt;N7,"止损价不得低于初始止损",IF(F7&gt;E7,"止损价不得高于激活价",IF(AND(COUNTIFS($A$2:$A$501,"止损计划",$B$2:$B$501,B7,$D$2:$D$501,"&lt;"&amp;D7)&gt;0,OR(E7&lt;=AGGREGATE(14,6,$E$2:$E$501/(($A$2:$A$501="止损计划")*($B$2:$B$501=B7)*($D$2:$D$501&lt;D7)),1),F7&lt;AGGREGATE(14,6,$F$2:$F$501/(($A$2:$A$501="止损计划")*($B$2:$B$501=B7)*($D$2:$D$501&lt;D7)),1))),"阶段价格必须逐级提高","计划有效"))))))),IF(A7="每日跟踪",IF(OR(B7="",H7="",I7="",J7=""),"每日数据不完整",IF(COUNTIFS($A$2:$A$501,"每日跟踪",$B$2:$B$501,B7,$H$2:$H$501,H7)&gt;1,"同一交易日期重复",IF(AND(R7&lt;&gt;"",R7&lt;S7),"人工止损无效：不能下调","跟踪有效"))),"记录类型无效")))</f>
        <v/>
      </c>
    </row>
    <row r="8">
      <c r="A8" s="28" t="n"/>
      <c r="B8" s="28" t="n"/>
      <c r="C8" s="31">
        <f>IF(B8="","",IFERROR(LOOKUP(2,1/(单次交易!$A$2:$A$201=B8),单次交易!$B$2:$B$201),""))</f>
        <v/>
      </c>
      <c r="D8" s="27" t="n"/>
      <c r="E8" s="43" t="n"/>
      <c r="F8" s="43" t="n"/>
      <c r="G8" s="28" t="n"/>
      <c r="H8" s="49" t="n"/>
      <c r="I8" s="43" t="n"/>
      <c r="J8" s="27" t="n"/>
      <c r="K8" s="28" t="n"/>
      <c r="L8" s="28" t="n"/>
      <c r="M8" s="28" t="n"/>
      <c r="N8" s="44">
        <f>IF(B8="","",IFERROR(LOOKUP(2,1/(单次交易!$A$2:$A$201=B8),单次交易!$N$2:$N$201),""))</f>
        <v/>
      </c>
      <c r="O8" s="44">
        <f>IF(A8&lt;&gt;"每日跟踪","",IF(OR(B8="",H8="",I8=""),"",IFERROR(AGGREGATE(14,6,$I$2:$I$501/(($A$2:$A$501="每日跟踪")*($B$2:$B$501=B8)*($H$2:$H$501&lt;=H8)),1),"")))</f>
        <v/>
      </c>
      <c r="P8" s="26">
        <f>IF(A8&lt;&gt;"每日跟踪","",IF(O8="","",IFERROR(AGGREGATE(14,6,$D$2:$D$501/(($A$2:$A$501="止损计划")*($B$2:$B$501=B8)*($E$2:$E$501&lt;=O8)),1),0)))</f>
        <v/>
      </c>
      <c r="Q8" s="44">
        <f>IF(A8&lt;&gt;"每日跟踪","",IF(N8="","",MAX(N8,IFERROR(AGGREGATE(14,6,$F$2:$F$501/(($A$2:$A$501="止损计划")*($B$2:$B$501=B8)*($E$2:$E$501&lt;=O8)),1),0))))</f>
        <v/>
      </c>
      <c r="R8" s="43" t="n"/>
      <c r="S8" s="44">
        <f>IF(A8&lt;&gt;"每日跟踪","",IF(Q8="","",MAX(Q8,IFERROR(AGGREGATE(14,6,$R$2:$R$501/(($A$2:$A$501="每日跟踪")*($B$2:$B$501=B8)*($H$2:$H$501&lt;=H8)),1),0))))</f>
        <v/>
      </c>
      <c r="T8" s="44">
        <f>IF(A8&lt;&gt;"每日跟踪","",IF(O8="","",IF(COUNTIFS($A$2:$A$501,"止损计划",$B$2:$B$501,B8,$E$2:$E$501,"&gt;"&amp;O8)=0,"",AGGREGATE(15,6,$E$2:$E$501/(($A$2:$A$501="止损计划")*($B$2:$B$501=B8)*($E$2:$E$501&gt;O8)),1))))</f>
        <v/>
      </c>
      <c r="U8" s="44">
        <f>IF(OR(A8&lt;&gt;"每日跟踪",T8=""),"",IFERROR(AGGREGATE(14,6,$F$2:$F$501/(($A$2:$A$501="止损计划")*($B$2:$B$501=B8)*($E$2:$E$501=T8)),1),""))</f>
        <v/>
      </c>
      <c r="V8" s="30">
        <f>IF(OR(A8&lt;&gt;"每日跟踪",T8="",I8="",I8&lt;=0),"",T8/I8-1)</f>
        <v/>
      </c>
      <c r="W8" s="31">
        <f>IF(A8&lt;&gt;"每日跟踪","",IF(OR(I8="",S8=""),"",IF(I8&lt;=S8,"触发止损：应全部卖出","继续观察")))</f>
        <v/>
      </c>
      <c r="X8" s="28" t="n"/>
      <c r="Y8" s="43" t="n"/>
      <c r="Z8" s="26">
        <f>IF(X8&lt;&gt;"执行卖出","",IFERROR(LOOKUP(2,1/(单次交易!$A$2:$A$201=B8),单次交易!$AP$2:$AP$201),""))</f>
        <v/>
      </c>
      <c r="AA8" s="43" t="n"/>
      <c r="AB8" s="31">
        <f>IF(A8&lt;&gt;"每日跟踪","",IF(OR(B8="",H8="",I8="",J8="",K8="",L8="",M8=""),"待补充每日记录",IF(W8="触发止损：应全部卖出",IF(X8&lt;&gt;"执行卖出","违规：触发止损但未执行",IF(Y8="","待补充实际卖出价","卖出记录完整")),IF(X8="","待选择卖出动作",IF(X8="执行卖出",IF(Y8="","待补充实际卖出价","卖出记录完整"),"正常")))))</f>
        <v/>
      </c>
      <c r="AC8" s="31">
        <f>IF(A8="","",IF(A8="止损计划",IF(OR(B8="",D8="",E8="",F8="",G8=""),"计划不完整",IF(OR(D8&lt;1,D8&lt;&gt;INT(D8)),"阶段序号无效",IF(COUNTIFS($A$2:$A$501,"止损计划",$B$2:$B$501,B8,$D$2:$D$501,D8)&gt;1,"阶段序号重复",IF(E8&lt;=IFERROR(LOOKUP(2,1/('单次交易'!$A$2:$A$201=B8),'单次交易'!$E$2:$E$201),0),"激活价须高于买入价",IF(F8&lt;N8,"止损价不得低于初始止损",IF(F8&gt;E8,"止损价不得高于激活价",IF(AND(COUNTIFS($A$2:$A$501,"止损计划",$B$2:$B$501,B8,$D$2:$D$501,"&lt;"&amp;D8)&gt;0,OR(E8&lt;=AGGREGATE(14,6,$E$2:$E$501/(($A$2:$A$501="止损计划")*($B$2:$B$501=B8)*($D$2:$D$501&lt;D8)),1),F8&lt;AGGREGATE(14,6,$F$2:$F$501/(($A$2:$A$501="止损计划")*($B$2:$B$501=B8)*($D$2:$D$501&lt;D8)),1))),"阶段价格必须逐级提高","计划有效"))))))),IF(A8="每日跟踪",IF(OR(B8="",H8="",I8="",J8=""),"每日数据不完整",IF(COUNTIFS($A$2:$A$501,"每日跟踪",$B$2:$B$501,B8,$H$2:$H$501,H8)&gt;1,"同一交易日期重复",IF(AND(R8&lt;&gt;"",R8&lt;S8),"人工止损无效：不能下调","跟踪有效"))),"记录类型无效")))</f>
        <v/>
      </c>
    </row>
    <row r="9">
      <c r="A9" s="28" t="n"/>
      <c r="B9" s="28" t="n"/>
      <c r="C9" s="31">
        <f>IF(B9="","",IFERROR(LOOKUP(2,1/(单次交易!$A$2:$A$201=B9),单次交易!$B$2:$B$201),""))</f>
        <v/>
      </c>
      <c r="D9" s="27" t="n"/>
      <c r="E9" s="43" t="n"/>
      <c r="F9" s="43" t="n"/>
      <c r="G9" s="28" t="n"/>
      <c r="H9" s="49" t="n"/>
      <c r="I9" s="43" t="n"/>
      <c r="J9" s="27" t="n"/>
      <c r="K9" s="28" t="n"/>
      <c r="L9" s="28" t="n"/>
      <c r="M9" s="28" t="n"/>
      <c r="N9" s="44">
        <f>IF(B9="","",IFERROR(LOOKUP(2,1/(单次交易!$A$2:$A$201=B9),单次交易!$N$2:$N$201),""))</f>
        <v/>
      </c>
      <c r="O9" s="44">
        <f>IF(A9&lt;&gt;"每日跟踪","",IF(OR(B9="",H9="",I9=""),"",IFERROR(AGGREGATE(14,6,$I$2:$I$501/(($A$2:$A$501="每日跟踪")*($B$2:$B$501=B9)*($H$2:$H$501&lt;=H9)),1),"")))</f>
        <v/>
      </c>
      <c r="P9" s="26">
        <f>IF(A9&lt;&gt;"每日跟踪","",IF(O9="","",IFERROR(AGGREGATE(14,6,$D$2:$D$501/(($A$2:$A$501="止损计划")*($B$2:$B$501=B9)*($E$2:$E$501&lt;=O9)),1),0)))</f>
        <v/>
      </c>
      <c r="Q9" s="44">
        <f>IF(A9&lt;&gt;"每日跟踪","",IF(N9="","",MAX(N9,IFERROR(AGGREGATE(14,6,$F$2:$F$501/(($A$2:$A$501="止损计划")*($B$2:$B$501=B9)*($E$2:$E$501&lt;=O9)),1),0))))</f>
        <v/>
      </c>
      <c r="R9" s="43" t="n"/>
      <c r="S9" s="44">
        <f>IF(A9&lt;&gt;"每日跟踪","",IF(Q9="","",MAX(Q9,IFERROR(AGGREGATE(14,6,$R$2:$R$501/(($A$2:$A$501="每日跟踪")*($B$2:$B$501=B9)*($H$2:$H$501&lt;=H9)),1),0))))</f>
        <v/>
      </c>
      <c r="T9" s="44">
        <f>IF(A9&lt;&gt;"每日跟踪","",IF(O9="","",IF(COUNTIFS($A$2:$A$501,"止损计划",$B$2:$B$501,B9,$E$2:$E$501,"&gt;"&amp;O9)=0,"",AGGREGATE(15,6,$E$2:$E$501/(($A$2:$A$501="止损计划")*($B$2:$B$501=B9)*($E$2:$E$501&gt;O9)),1))))</f>
        <v/>
      </c>
      <c r="U9" s="44">
        <f>IF(OR(A9&lt;&gt;"每日跟踪",T9=""),"",IFERROR(AGGREGATE(14,6,$F$2:$F$501/(($A$2:$A$501="止损计划")*($B$2:$B$501=B9)*($E$2:$E$501=T9)),1),""))</f>
        <v/>
      </c>
      <c r="V9" s="30">
        <f>IF(OR(A9&lt;&gt;"每日跟踪",T9="",I9="",I9&lt;=0),"",T9/I9-1)</f>
        <v/>
      </c>
      <c r="W9" s="31">
        <f>IF(A9&lt;&gt;"每日跟踪","",IF(OR(I9="",S9=""),"",IF(I9&lt;=S9,"触发止损：应全部卖出","继续观察")))</f>
        <v/>
      </c>
      <c r="X9" s="28" t="n"/>
      <c r="Y9" s="43" t="n"/>
      <c r="Z9" s="26">
        <f>IF(X9&lt;&gt;"执行卖出","",IFERROR(LOOKUP(2,1/(单次交易!$A$2:$A$201=B9),单次交易!$AP$2:$AP$201),""))</f>
        <v/>
      </c>
      <c r="AA9" s="43" t="n"/>
      <c r="AB9" s="31">
        <f>IF(A9&lt;&gt;"每日跟踪","",IF(OR(B9="",H9="",I9="",J9="",K9="",L9="",M9=""),"待补充每日记录",IF(W9="触发止损：应全部卖出",IF(X9&lt;&gt;"执行卖出","违规：触发止损但未执行",IF(Y9="","待补充实际卖出价","卖出记录完整")),IF(X9="","待选择卖出动作",IF(X9="执行卖出",IF(Y9="","待补充实际卖出价","卖出记录完整"),"正常")))))</f>
        <v/>
      </c>
      <c r="AC9" s="31">
        <f>IF(A9="","",IF(A9="止损计划",IF(OR(B9="",D9="",E9="",F9="",G9=""),"计划不完整",IF(OR(D9&lt;1,D9&lt;&gt;INT(D9)),"阶段序号无效",IF(COUNTIFS($A$2:$A$501,"止损计划",$B$2:$B$501,B9,$D$2:$D$501,D9)&gt;1,"阶段序号重复",IF(E9&lt;=IFERROR(LOOKUP(2,1/('单次交易'!$A$2:$A$201=B9),'单次交易'!$E$2:$E$201),0),"激活价须高于买入价",IF(F9&lt;N9,"止损价不得低于初始止损",IF(F9&gt;E9,"止损价不得高于激活价",IF(AND(COUNTIFS($A$2:$A$501,"止损计划",$B$2:$B$501,B9,$D$2:$D$501,"&lt;"&amp;D9)&gt;0,OR(E9&lt;=AGGREGATE(14,6,$E$2:$E$501/(($A$2:$A$501="止损计划")*($B$2:$B$501=B9)*($D$2:$D$501&lt;D9)),1),F9&lt;AGGREGATE(14,6,$F$2:$F$501/(($A$2:$A$501="止损计划")*($B$2:$B$501=B9)*($D$2:$D$501&lt;D9)),1))),"阶段价格必须逐级提高","计划有效"))))))),IF(A9="每日跟踪",IF(OR(B9="",H9="",I9="",J9=""),"每日数据不完整",IF(COUNTIFS($A$2:$A$501,"每日跟踪",$B$2:$B$501,B9,$H$2:$H$501,H9)&gt;1,"同一交易日期重复",IF(AND(R9&lt;&gt;"",R9&lt;S9),"人工止损无效：不能下调","跟踪有效"))),"记录类型无效")))</f>
        <v/>
      </c>
    </row>
    <row r="10">
      <c r="A10" s="28" t="n"/>
      <c r="B10" s="28" t="n"/>
      <c r="C10" s="31">
        <f>IF(B10="","",IFERROR(LOOKUP(2,1/(单次交易!$A$2:$A$201=B10),单次交易!$B$2:$B$201),""))</f>
        <v/>
      </c>
      <c r="D10" s="27" t="n"/>
      <c r="E10" s="43" t="n"/>
      <c r="F10" s="43" t="n"/>
      <c r="G10" s="28" t="n"/>
      <c r="H10" s="49" t="n"/>
      <c r="I10" s="43" t="n"/>
      <c r="J10" s="27" t="n"/>
      <c r="K10" s="28" t="n"/>
      <c r="L10" s="28" t="n"/>
      <c r="M10" s="28" t="n"/>
      <c r="N10" s="44">
        <f>IF(B10="","",IFERROR(LOOKUP(2,1/(单次交易!$A$2:$A$201=B10),单次交易!$N$2:$N$201),""))</f>
        <v/>
      </c>
      <c r="O10" s="44">
        <f>IF(A10&lt;&gt;"每日跟踪","",IF(OR(B10="",H10="",I10=""),"",IFERROR(AGGREGATE(14,6,$I$2:$I$501/(($A$2:$A$501="每日跟踪")*($B$2:$B$501=B10)*($H$2:$H$501&lt;=H10)),1),"")))</f>
        <v/>
      </c>
      <c r="P10" s="26">
        <f>IF(A10&lt;&gt;"每日跟踪","",IF(O10="","",IFERROR(AGGREGATE(14,6,$D$2:$D$501/(($A$2:$A$501="止损计划")*($B$2:$B$501=B10)*($E$2:$E$501&lt;=O10)),1),0)))</f>
        <v/>
      </c>
      <c r="Q10" s="44">
        <f>IF(A10&lt;&gt;"每日跟踪","",IF(N10="","",MAX(N10,IFERROR(AGGREGATE(14,6,$F$2:$F$501/(($A$2:$A$501="止损计划")*($B$2:$B$501=B10)*($E$2:$E$501&lt;=O10)),1),0))))</f>
        <v/>
      </c>
      <c r="R10" s="43" t="n"/>
      <c r="S10" s="44">
        <f>IF(A10&lt;&gt;"每日跟踪","",IF(Q10="","",MAX(Q10,IFERROR(AGGREGATE(14,6,$R$2:$R$501/(($A$2:$A$501="每日跟踪")*($B$2:$B$501=B10)*($H$2:$H$501&lt;=H10)),1),0))))</f>
        <v/>
      </c>
      <c r="T10" s="44">
        <f>IF(A10&lt;&gt;"每日跟踪","",IF(O10="","",IF(COUNTIFS($A$2:$A$501,"止损计划",$B$2:$B$501,B10,$E$2:$E$501,"&gt;"&amp;O10)=0,"",AGGREGATE(15,6,$E$2:$E$501/(($A$2:$A$501="止损计划")*($B$2:$B$501=B10)*($E$2:$E$501&gt;O10)),1))))</f>
        <v/>
      </c>
      <c r="U10" s="44">
        <f>IF(OR(A10&lt;&gt;"每日跟踪",T10=""),"",IFERROR(AGGREGATE(14,6,$F$2:$F$501/(($A$2:$A$501="止损计划")*($B$2:$B$501=B10)*($E$2:$E$501=T10)),1),""))</f>
        <v/>
      </c>
      <c r="V10" s="30">
        <f>IF(OR(A10&lt;&gt;"每日跟踪",T10="",I10="",I10&lt;=0),"",T10/I10-1)</f>
        <v/>
      </c>
      <c r="W10" s="31">
        <f>IF(A10&lt;&gt;"每日跟踪","",IF(OR(I10="",S10=""),"",IF(I10&lt;=S10,"触发止损：应全部卖出","继续观察")))</f>
        <v/>
      </c>
      <c r="X10" s="28" t="n"/>
      <c r="Y10" s="43" t="n"/>
      <c r="Z10" s="26">
        <f>IF(X10&lt;&gt;"执行卖出","",IFERROR(LOOKUP(2,1/(单次交易!$A$2:$A$201=B10),单次交易!$AP$2:$AP$201),""))</f>
        <v/>
      </c>
      <c r="AA10" s="43" t="n"/>
      <c r="AB10" s="31">
        <f>IF(A10&lt;&gt;"每日跟踪","",IF(OR(B10="",H10="",I10="",J10="",K10="",L10="",M10=""),"待补充每日记录",IF(W10="触发止损：应全部卖出",IF(X10&lt;&gt;"执行卖出","违规：触发止损但未执行",IF(Y10="","待补充实际卖出价","卖出记录完整")),IF(X10="","待选择卖出动作",IF(X10="执行卖出",IF(Y10="","待补充实际卖出价","卖出记录完整"),"正常")))))</f>
        <v/>
      </c>
      <c r="AC10" s="31">
        <f>IF(A10="","",IF(A10="止损计划",IF(OR(B10="",D10="",E10="",F10="",G10=""),"计划不完整",IF(OR(D10&lt;1,D10&lt;&gt;INT(D10)),"阶段序号无效",IF(COUNTIFS($A$2:$A$501,"止损计划",$B$2:$B$501,B10,$D$2:$D$501,D10)&gt;1,"阶段序号重复",IF(E10&lt;=IFERROR(LOOKUP(2,1/('单次交易'!$A$2:$A$201=B10),'单次交易'!$E$2:$E$201),0),"激活价须高于买入价",IF(F10&lt;N10,"止损价不得低于初始止损",IF(F10&gt;E10,"止损价不得高于激活价",IF(AND(COUNTIFS($A$2:$A$501,"止损计划",$B$2:$B$501,B10,$D$2:$D$501,"&lt;"&amp;D10)&gt;0,OR(E10&lt;=AGGREGATE(14,6,$E$2:$E$501/(($A$2:$A$501="止损计划")*($B$2:$B$501=B10)*($D$2:$D$501&lt;D10)),1),F10&lt;AGGREGATE(14,6,$F$2:$F$501/(($A$2:$A$501="止损计划")*($B$2:$B$501=B10)*($D$2:$D$501&lt;D10)),1))),"阶段价格必须逐级提高","计划有效"))))))),IF(A10="每日跟踪",IF(OR(B10="",H10="",I10="",J10=""),"每日数据不完整",IF(COUNTIFS($A$2:$A$501,"每日跟踪",$B$2:$B$501,B10,$H$2:$H$501,H10)&gt;1,"同一交易日期重复",IF(AND(R10&lt;&gt;"",R10&lt;S10),"人工止损无效：不能下调","跟踪有效"))),"记录类型无效")))</f>
        <v/>
      </c>
    </row>
    <row r="11">
      <c r="A11" s="28" t="n"/>
      <c r="B11" s="28" t="n"/>
      <c r="C11" s="31">
        <f>IF(B11="","",IFERROR(LOOKUP(2,1/(单次交易!$A$2:$A$201=B11),单次交易!$B$2:$B$201),""))</f>
        <v/>
      </c>
      <c r="D11" s="27" t="n"/>
      <c r="E11" s="43" t="n"/>
      <c r="F11" s="43" t="n"/>
      <c r="G11" s="28" t="n"/>
      <c r="H11" s="49" t="n"/>
      <c r="I11" s="43" t="n"/>
      <c r="J11" s="27" t="n"/>
      <c r="K11" s="28" t="n"/>
      <c r="L11" s="28" t="n"/>
      <c r="M11" s="28" t="n"/>
      <c r="N11" s="44">
        <f>IF(B11="","",IFERROR(LOOKUP(2,1/(单次交易!$A$2:$A$201=B11),单次交易!$N$2:$N$201),""))</f>
        <v/>
      </c>
      <c r="O11" s="44">
        <f>IF(A11&lt;&gt;"每日跟踪","",IF(OR(B11="",H11="",I11=""),"",IFERROR(AGGREGATE(14,6,$I$2:$I$501/(($A$2:$A$501="每日跟踪")*($B$2:$B$501=B11)*($H$2:$H$501&lt;=H11)),1),"")))</f>
        <v/>
      </c>
      <c r="P11" s="26">
        <f>IF(A11&lt;&gt;"每日跟踪","",IF(O11="","",IFERROR(AGGREGATE(14,6,$D$2:$D$501/(($A$2:$A$501="止损计划")*($B$2:$B$501=B11)*($E$2:$E$501&lt;=O11)),1),0)))</f>
        <v/>
      </c>
      <c r="Q11" s="44">
        <f>IF(A11&lt;&gt;"每日跟踪","",IF(N11="","",MAX(N11,IFERROR(AGGREGATE(14,6,$F$2:$F$501/(($A$2:$A$501="止损计划")*($B$2:$B$501=B11)*($E$2:$E$501&lt;=O11)),1),0))))</f>
        <v/>
      </c>
      <c r="R11" s="43" t="n"/>
      <c r="S11" s="44">
        <f>IF(A11&lt;&gt;"每日跟踪","",IF(Q11="","",MAX(Q11,IFERROR(AGGREGATE(14,6,$R$2:$R$501/(($A$2:$A$501="每日跟踪")*($B$2:$B$501=B11)*($H$2:$H$501&lt;=H11)),1),0))))</f>
        <v/>
      </c>
      <c r="T11" s="44">
        <f>IF(A11&lt;&gt;"每日跟踪","",IF(O11="","",IF(COUNTIFS($A$2:$A$501,"止损计划",$B$2:$B$501,B11,$E$2:$E$501,"&gt;"&amp;O11)=0,"",AGGREGATE(15,6,$E$2:$E$501/(($A$2:$A$501="止损计划")*($B$2:$B$501=B11)*($E$2:$E$501&gt;O11)),1))))</f>
        <v/>
      </c>
      <c r="U11" s="44">
        <f>IF(OR(A11&lt;&gt;"每日跟踪",T11=""),"",IFERROR(AGGREGATE(14,6,$F$2:$F$501/(($A$2:$A$501="止损计划")*($B$2:$B$501=B11)*($E$2:$E$501=T11)),1),""))</f>
        <v/>
      </c>
      <c r="V11" s="30">
        <f>IF(OR(A11&lt;&gt;"每日跟踪",T11="",I11="",I11&lt;=0),"",T11/I11-1)</f>
        <v/>
      </c>
      <c r="W11" s="31">
        <f>IF(A11&lt;&gt;"每日跟踪","",IF(OR(I11="",S11=""),"",IF(I11&lt;=S11,"触发止损：应全部卖出","继续观察")))</f>
        <v/>
      </c>
      <c r="X11" s="28" t="n"/>
      <c r="Y11" s="43" t="n"/>
      <c r="Z11" s="26">
        <f>IF(X11&lt;&gt;"执行卖出","",IFERROR(LOOKUP(2,1/(单次交易!$A$2:$A$201=B11),单次交易!$AP$2:$AP$201),""))</f>
        <v/>
      </c>
      <c r="AA11" s="43" t="n"/>
      <c r="AB11" s="31">
        <f>IF(A11&lt;&gt;"每日跟踪","",IF(OR(B11="",H11="",I11="",J11="",K11="",L11="",M11=""),"待补充每日记录",IF(W11="触发止损：应全部卖出",IF(X11&lt;&gt;"执行卖出","违规：触发止损但未执行",IF(Y11="","待补充实际卖出价","卖出记录完整")),IF(X11="","待选择卖出动作",IF(X11="执行卖出",IF(Y11="","待补充实际卖出价","卖出记录完整"),"正常")))))</f>
        <v/>
      </c>
      <c r="AC11" s="31">
        <f>IF(A11="","",IF(A11="止损计划",IF(OR(B11="",D11="",E11="",F11="",G11=""),"计划不完整",IF(OR(D11&lt;1,D11&lt;&gt;INT(D11)),"阶段序号无效",IF(COUNTIFS($A$2:$A$501,"止损计划",$B$2:$B$501,B11,$D$2:$D$501,D11)&gt;1,"阶段序号重复",IF(E11&lt;=IFERROR(LOOKUP(2,1/('单次交易'!$A$2:$A$201=B11),'单次交易'!$E$2:$E$201),0),"激活价须高于买入价",IF(F11&lt;N11,"止损价不得低于初始止损",IF(F11&gt;E11,"止损价不得高于激活价",IF(AND(COUNTIFS($A$2:$A$501,"止损计划",$B$2:$B$501,B11,$D$2:$D$501,"&lt;"&amp;D11)&gt;0,OR(E11&lt;=AGGREGATE(14,6,$E$2:$E$501/(($A$2:$A$501="止损计划")*($B$2:$B$501=B11)*($D$2:$D$501&lt;D11)),1),F11&lt;AGGREGATE(14,6,$F$2:$F$501/(($A$2:$A$501="止损计划")*($B$2:$B$501=B11)*($D$2:$D$501&lt;D11)),1))),"阶段价格必须逐级提高","计划有效"))))))),IF(A11="每日跟踪",IF(OR(B11="",H11="",I11="",J11=""),"每日数据不完整",IF(COUNTIFS($A$2:$A$501,"每日跟踪",$B$2:$B$501,B11,$H$2:$H$501,H11)&gt;1,"同一交易日期重复",IF(AND(R11&lt;&gt;"",R11&lt;S11),"人工止损无效：不能下调","跟踪有效"))),"记录类型无效")))</f>
        <v/>
      </c>
    </row>
    <row r="12">
      <c r="A12" s="28" t="n"/>
      <c r="B12" s="28" t="n"/>
      <c r="C12" s="31">
        <f>IF(B12="","",IFERROR(LOOKUP(2,1/(单次交易!$A$2:$A$201=B12),单次交易!$B$2:$B$201),""))</f>
        <v/>
      </c>
      <c r="D12" s="27" t="n"/>
      <c r="E12" s="43" t="n"/>
      <c r="F12" s="43" t="n"/>
      <c r="G12" s="28" t="n"/>
      <c r="H12" s="49" t="n"/>
      <c r="I12" s="43" t="n"/>
      <c r="J12" s="27" t="n"/>
      <c r="K12" s="28" t="n"/>
      <c r="L12" s="28" t="n"/>
      <c r="M12" s="28" t="n"/>
      <c r="N12" s="44">
        <f>IF(B12="","",IFERROR(LOOKUP(2,1/(单次交易!$A$2:$A$201=B12),单次交易!$N$2:$N$201),""))</f>
        <v/>
      </c>
      <c r="O12" s="44">
        <f>IF(A12&lt;&gt;"每日跟踪","",IF(OR(B12="",H12="",I12=""),"",IFERROR(AGGREGATE(14,6,$I$2:$I$501/(($A$2:$A$501="每日跟踪")*($B$2:$B$501=B12)*($H$2:$H$501&lt;=H12)),1),"")))</f>
        <v/>
      </c>
      <c r="P12" s="26">
        <f>IF(A12&lt;&gt;"每日跟踪","",IF(O12="","",IFERROR(AGGREGATE(14,6,$D$2:$D$501/(($A$2:$A$501="止损计划")*($B$2:$B$501=B12)*($E$2:$E$501&lt;=O12)),1),0)))</f>
        <v/>
      </c>
      <c r="Q12" s="44">
        <f>IF(A12&lt;&gt;"每日跟踪","",IF(N12="","",MAX(N12,IFERROR(AGGREGATE(14,6,$F$2:$F$501/(($A$2:$A$501="止损计划")*($B$2:$B$501=B12)*($E$2:$E$501&lt;=O12)),1),0))))</f>
        <v/>
      </c>
      <c r="R12" s="43" t="n"/>
      <c r="S12" s="44">
        <f>IF(A12&lt;&gt;"每日跟踪","",IF(Q12="","",MAX(Q12,IFERROR(AGGREGATE(14,6,$R$2:$R$501/(($A$2:$A$501="每日跟踪")*($B$2:$B$501=B12)*($H$2:$H$501&lt;=H12)),1),0))))</f>
        <v/>
      </c>
      <c r="T12" s="44">
        <f>IF(A12&lt;&gt;"每日跟踪","",IF(O12="","",IF(COUNTIFS($A$2:$A$501,"止损计划",$B$2:$B$501,B12,$E$2:$E$501,"&gt;"&amp;O12)=0,"",AGGREGATE(15,6,$E$2:$E$501/(($A$2:$A$501="止损计划")*($B$2:$B$501=B12)*($E$2:$E$501&gt;O12)),1))))</f>
        <v/>
      </c>
      <c r="U12" s="44">
        <f>IF(OR(A12&lt;&gt;"每日跟踪",T12=""),"",IFERROR(AGGREGATE(14,6,$F$2:$F$501/(($A$2:$A$501="止损计划")*($B$2:$B$501=B12)*($E$2:$E$501=T12)),1),""))</f>
        <v/>
      </c>
      <c r="V12" s="30">
        <f>IF(OR(A12&lt;&gt;"每日跟踪",T12="",I12="",I12&lt;=0),"",T12/I12-1)</f>
        <v/>
      </c>
      <c r="W12" s="31">
        <f>IF(A12&lt;&gt;"每日跟踪","",IF(OR(I12="",S12=""),"",IF(I12&lt;=S12,"触发止损：应全部卖出","继续观察")))</f>
        <v/>
      </c>
      <c r="X12" s="28" t="n"/>
      <c r="Y12" s="43" t="n"/>
      <c r="Z12" s="26">
        <f>IF(X12&lt;&gt;"执行卖出","",IFERROR(LOOKUP(2,1/(单次交易!$A$2:$A$201=B12),单次交易!$AP$2:$AP$201),""))</f>
        <v/>
      </c>
      <c r="AA12" s="43" t="n"/>
      <c r="AB12" s="31">
        <f>IF(A12&lt;&gt;"每日跟踪","",IF(OR(B12="",H12="",I12="",J12="",K12="",L12="",M12=""),"待补充每日记录",IF(W12="触发止损：应全部卖出",IF(X12&lt;&gt;"执行卖出","违规：触发止损但未执行",IF(Y12="","待补充实际卖出价","卖出记录完整")),IF(X12="","待选择卖出动作",IF(X12="执行卖出",IF(Y12="","待补充实际卖出价","卖出记录完整"),"正常")))))</f>
        <v/>
      </c>
      <c r="AC12" s="31">
        <f>IF(A12="","",IF(A12="止损计划",IF(OR(B12="",D12="",E12="",F12="",G12=""),"计划不完整",IF(OR(D12&lt;1,D12&lt;&gt;INT(D12)),"阶段序号无效",IF(COUNTIFS($A$2:$A$501,"止损计划",$B$2:$B$501,B12,$D$2:$D$501,D12)&gt;1,"阶段序号重复",IF(E12&lt;=IFERROR(LOOKUP(2,1/('单次交易'!$A$2:$A$201=B12),'单次交易'!$E$2:$E$201),0),"激活价须高于买入价",IF(F12&lt;N12,"止损价不得低于初始止损",IF(F12&gt;E12,"止损价不得高于激活价",IF(AND(COUNTIFS($A$2:$A$501,"止损计划",$B$2:$B$501,B12,$D$2:$D$501,"&lt;"&amp;D12)&gt;0,OR(E12&lt;=AGGREGATE(14,6,$E$2:$E$501/(($A$2:$A$501="止损计划")*($B$2:$B$501=B12)*($D$2:$D$501&lt;D12)),1),F12&lt;AGGREGATE(14,6,$F$2:$F$501/(($A$2:$A$501="止损计划")*($B$2:$B$501=B12)*($D$2:$D$501&lt;D12)),1))),"阶段价格必须逐级提高","计划有效"))))))),IF(A12="每日跟踪",IF(OR(B12="",H12="",I12="",J12=""),"每日数据不完整",IF(COUNTIFS($A$2:$A$501,"每日跟踪",$B$2:$B$501,B12,$H$2:$H$501,H12)&gt;1,"同一交易日期重复",IF(AND(R12&lt;&gt;"",R12&lt;S12),"人工止损无效：不能下调","跟踪有效"))),"记录类型无效")))</f>
        <v/>
      </c>
    </row>
    <row r="13">
      <c r="A13" s="28" t="n"/>
      <c r="B13" s="28" t="n"/>
      <c r="C13" s="31">
        <f>IF(B13="","",IFERROR(LOOKUP(2,1/(单次交易!$A$2:$A$201=B13),单次交易!$B$2:$B$201),""))</f>
        <v/>
      </c>
      <c r="D13" s="27" t="n"/>
      <c r="E13" s="43" t="n"/>
      <c r="F13" s="43" t="n"/>
      <c r="G13" s="28" t="n"/>
      <c r="H13" s="49" t="n"/>
      <c r="I13" s="43" t="n"/>
      <c r="J13" s="27" t="n"/>
      <c r="K13" s="28" t="n"/>
      <c r="L13" s="28" t="n"/>
      <c r="M13" s="28" t="n"/>
      <c r="N13" s="44">
        <f>IF(B13="","",IFERROR(LOOKUP(2,1/(单次交易!$A$2:$A$201=B13),单次交易!$N$2:$N$201),""))</f>
        <v/>
      </c>
      <c r="O13" s="44">
        <f>IF(A13&lt;&gt;"每日跟踪","",IF(OR(B13="",H13="",I13=""),"",IFERROR(AGGREGATE(14,6,$I$2:$I$501/(($A$2:$A$501="每日跟踪")*($B$2:$B$501=B13)*($H$2:$H$501&lt;=H13)),1),"")))</f>
        <v/>
      </c>
      <c r="P13" s="26">
        <f>IF(A13&lt;&gt;"每日跟踪","",IF(O13="","",IFERROR(AGGREGATE(14,6,$D$2:$D$501/(($A$2:$A$501="止损计划")*($B$2:$B$501=B13)*($E$2:$E$501&lt;=O13)),1),0)))</f>
        <v/>
      </c>
      <c r="Q13" s="44">
        <f>IF(A13&lt;&gt;"每日跟踪","",IF(N13="","",MAX(N13,IFERROR(AGGREGATE(14,6,$F$2:$F$501/(($A$2:$A$501="止损计划")*($B$2:$B$501=B13)*($E$2:$E$501&lt;=O13)),1),0))))</f>
        <v/>
      </c>
      <c r="R13" s="43" t="n"/>
      <c r="S13" s="44">
        <f>IF(A13&lt;&gt;"每日跟踪","",IF(Q13="","",MAX(Q13,IFERROR(AGGREGATE(14,6,$R$2:$R$501/(($A$2:$A$501="每日跟踪")*($B$2:$B$501=B13)*($H$2:$H$501&lt;=H13)),1),0))))</f>
        <v/>
      </c>
      <c r="T13" s="44">
        <f>IF(A13&lt;&gt;"每日跟踪","",IF(O13="","",IF(COUNTIFS($A$2:$A$501,"止损计划",$B$2:$B$501,B13,$E$2:$E$501,"&gt;"&amp;O13)=0,"",AGGREGATE(15,6,$E$2:$E$501/(($A$2:$A$501="止损计划")*($B$2:$B$501=B13)*($E$2:$E$501&gt;O13)),1))))</f>
        <v/>
      </c>
      <c r="U13" s="44">
        <f>IF(OR(A13&lt;&gt;"每日跟踪",T13=""),"",IFERROR(AGGREGATE(14,6,$F$2:$F$501/(($A$2:$A$501="止损计划")*($B$2:$B$501=B13)*($E$2:$E$501=T13)),1),""))</f>
        <v/>
      </c>
      <c r="V13" s="30">
        <f>IF(OR(A13&lt;&gt;"每日跟踪",T13="",I13="",I13&lt;=0),"",T13/I13-1)</f>
        <v/>
      </c>
      <c r="W13" s="31">
        <f>IF(A13&lt;&gt;"每日跟踪","",IF(OR(I13="",S13=""),"",IF(I13&lt;=S13,"触发止损：应全部卖出","继续观察")))</f>
        <v/>
      </c>
      <c r="X13" s="28" t="n"/>
      <c r="Y13" s="43" t="n"/>
      <c r="Z13" s="26">
        <f>IF(X13&lt;&gt;"执行卖出","",IFERROR(LOOKUP(2,1/(单次交易!$A$2:$A$201=B13),单次交易!$AP$2:$AP$201),""))</f>
        <v/>
      </c>
      <c r="AA13" s="43" t="n"/>
      <c r="AB13" s="31">
        <f>IF(A13&lt;&gt;"每日跟踪","",IF(OR(B13="",H13="",I13="",J13="",K13="",L13="",M13=""),"待补充每日记录",IF(W13="触发止损：应全部卖出",IF(X13&lt;&gt;"执行卖出","违规：触发止损但未执行",IF(Y13="","待补充实际卖出价","卖出记录完整")),IF(X13="","待选择卖出动作",IF(X13="执行卖出",IF(Y13="","待补充实际卖出价","卖出记录完整"),"正常")))))</f>
        <v/>
      </c>
      <c r="AC13" s="31">
        <f>IF(A13="","",IF(A13="止损计划",IF(OR(B13="",D13="",E13="",F13="",G13=""),"计划不完整",IF(OR(D13&lt;1,D13&lt;&gt;INT(D13)),"阶段序号无效",IF(COUNTIFS($A$2:$A$501,"止损计划",$B$2:$B$501,B13,$D$2:$D$501,D13)&gt;1,"阶段序号重复",IF(E13&lt;=IFERROR(LOOKUP(2,1/('单次交易'!$A$2:$A$201=B13),'单次交易'!$E$2:$E$201),0),"激活价须高于买入价",IF(F13&lt;N13,"止损价不得低于初始止损",IF(F13&gt;E13,"止损价不得高于激活价",IF(AND(COUNTIFS($A$2:$A$501,"止损计划",$B$2:$B$501,B13,$D$2:$D$501,"&lt;"&amp;D13)&gt;0,OR(E13&lt;=AGGREGATE(14,6,$E$2:$E$501/(($A$2:$A$501="止损计划")*($B$2:$B$501=B13)*($D$2:$D$501&lt;D13)),1),F13&lt;AGGREGATE(14,6,$F$2:$F$501/(($A$2:$A$501="止损计划")*($B$2:$B$501=B13)*($D$2:$D$501&lt;D13)),1))),"阶段价格必须逐级提高","计划有效"))))))),IF(A13="每日跟踪",IF(OR(B13="",H13="",I13="",J13=""),"每日数据不完整",IF(COUNTIFS($A$2:$A$501,"每日跟踪",$B$2:$B$501,B13,$H$2:$H$501,H13)&gt;1,"同一交易日期重复",IF(AND(R13&lt;&gt;"",R13&lt;S13),"人工止损无效：不能下调","跟踪有效"))),"记录类型无效")))</f>
        <v/>
      </c>
    </row>
    <row r="14">
      <c r="A14" s="28" t="n"/>
      <c r="B14" s="28" t="n"/>
      <c r="C14" s="31">
        <f>IF(B14="","",IFERROR(LOOKUP(2,1/(单次交易!$A$2:$A$201=B14),单次交易!$B$2:$B$201),""))</f>
        <v/>
      </c>
      <c r="D14" s="27" t="n"/>
      <c r="E14" s="43" t="n"/>
      <c r="F14" s="43" t="n"/>
      <c r="G14" s="28" t="n"/>
      <c r="H14" s="49" t="n"/>
      <c r="I14" s="43" t="n"/>
      <c r="J14" s="27" t="n"/>
      <c r="K14" s="28" t="n"/>
      <c r="L14" s="28" t="n"/>
      <c r="M14" s="28" t="n"/>
      <c r="N14" s="44">
        <f>IF(B14="","",IFERROR(LOOKUP(2,1/(单次交易!$A$2:$A$201=B14),单次交易!$N$2:$N$201),""))</f>
        <v/>
      </c>
      <c r="O14" s="44">
        <f>IF(A14&lt;&gt;"每日跟踪","",IF(OR(B14="",H14="",I14=""),"",IFERROR(AGGREGATE(14,6,$I$2:$I$501/(($A$2:$A$501="每日跟踪")*($B$2:$B$501=B14)*($H$2:$H$501&lt;=H14)),1),"")))</f>
        <v/>
      </c>
      <c r="P14" s="26">
        <f>IF(A14&lt;&gt;"每日跟踪","",IF(O14="","",IFERROR(AGGREGATE(14,6,$D$2:$D$501/(($A$2:$A$501="止损计划")*($B$2:$B$501=B14)*($E$2:$E$501&lt;=O14)),1),0)))</f>
        <v/>
      </c>
      <c r="Q14" s="44">
        <f>IF(A14&lt;&gt;"每日跟踪","",IF(N14="","",MAX(N14,IFERROR(AGGREGATE(14,6,$F$2:$F$501/(($A$2:$A$501="止损计划")*($B$2:$B$501=B14)*($E$2:$E$501&lt;=O14)),1),0))))</f>
        <v/>
      </c>
      <c r="R14" s="43" t="n"/>
      <c r="S14" s="44">
        <f>IF(A14&lt;&gt;"每日跟踪","",IF(Q14="","",MAX(Q14,IFERROR(AGGREGATE(14,6,$R$2:$R$501/(($A$2:$A$501="每日跟踪")*($B$2:$B$501=B14)*($H$2:$H$501&lt;=H14)),1),0))))</f>
        <v/>
      </c>
      <c r="T14" s="44">
        <f>IF(A14&lt;&gt;"每日跟踪","",IF(O14="","",IF(COUNTIFS($A$2:$A$501,"止损计划",$B$2:$B$501,B14,$E$2:$E$501,"&gt;"&amp;O14)=0,"",AGGREGATE(15,6,$E$2:$E$501/(($A$2:$A$501="止损计划")*($B$2:$B$501=B14)*($E$2:$E$501&gt;O14)),1))))</f>
        <v/>
      </c>
      <c r="U14" s="44">
        <f>IF(OR(A14&lt;&gt;"每日跟踪",T14=""),"",IFERROR(AGGREGATE(14,6,$F$2:$F$501/(($A$2:$A$501="止损计划")*($B$2:$B$501=B14)*($E$2:$E$501=T14)),1),""))</f>
        <v/>
      </c>
      <c r="V14" s="30">
        <f>IF(OR(A14&lt;&gt;"每日跟踪",T14="",I14="",I14&lt;=0),"",T14/I14-1)</f>
        <v/>
      </c>
      <c r="W14" s="31">
        <f>IF(A14&lt;&gt;"每日跟踪","",IF(OR(I14="",S14=""),"",IF(I14&lt;=S14,"触发止损：应全部卖出","继续观察")))</f>
        <v/>
      </c>
      <c r="X14" s="28" t="n"/>
      <c r="Y14" s="43" t="n"/>
      <c r="Z14" s="26">
        <f>IF(X14&lt;&gt;"执行卖出","",IFERROR(LOOKUP(2,1/(单次交易!$A$2:$A$201=B14),单次交易!$AP$2:$AP$201),""))</f>
        <v/>
      </c>
      <c r="AA14" s="43" t="n"/>
      <c r="AB14" s="31">
        <f>IF(A14&lt;&gt;"每日跟踪","",IF(OR(B14="",H14="",I14="",J14="",K14="",L14="",M14=""),"待补充每日记录",IF(W14="触发止损：应全部卖出",IF(X14&lt;&gt;"执行卖出","违规：触发止损但未执行",IF(Y14="","待补充实际卖出价","卖出记录完整")),IF(X14="","待选择卖出动作",IF(X14="执行卖出",IF(Y14="","待补充实际卖出价","卖出记录完整"),"正常")))))</f>
        <v/>
      </c>
      <c r="AC14" s="31">
        <f>IF(A14="","",IF(A14="止损计划",IF(OR(B14="",D14="",E14="",F14="",G14=""),"计划不完整",IF(OR(D14&lt;1,D14&lt;&gt;INT(D14)),"阶段序号无效",IF(COUNTIFS($A$2:$A$501,"止损计划",$B$2:$B$501,B14,$D$2:$D$501,D14)&gt;1,"阶段序号重复",IF(E14&lt;=IFERROR(LOOKUP(2,1/('单次交易'!$A$2:$A$201=B14),'单次交易'!$E$2:$E$201),0),"激活价须高于买入价",IF(F14&lt;N14,"止损价不得低于初始止损",IF(F14&gt;E14,"止损价不得高于激活价",IF(AND(COUNTIFS($A$2:$A$501,"止损计划",$B$2:$B$501,B14,$D$2:$D$501,"&lt;"&amp;D14)&gt;0,OR(E14&lt;=AGGREGATE(14,6,$E$2:$E$501/(($A$2:$A$501="止损计划")*($B$2:$B$501=B14)*($D$2:$D$501&lt;D14)),1),F14&lt;AGGREGATE(14,6,$F$2:$F$501/(($A$2:$A$501="止损计划")*($B$2:$B$501=B14)*($D$2:$D$501&lt;D14)),1))),"阶段价格必须逐级提高","计划有效"))))))),IF(A14="每日跟踪",IF(OR(B14="",H14="",I14="",J14=""),"每日数据不完整",IF(COUNTIFS($A$2:$A$501,"每日跟踪",$B$2:$B$501,B14,$H$2:$H$501,H14)&gt;1,"同一交易日期重复",IF(AND(R14&lt;&gt;"",R14&lt;S14),"人工止损无效：不能下调","跟踪有效"))),"记录类型无效")))</f>
        <v/>
      </c>
    </row>
    <row r="15">
      <c r="A15" s="28" t="n"/>
      <c r="B15" s="28" t="n"/>
      <c r="C15" s="31">
        <f>IF(B15="","",IFERROR(LOOKUP(2,1/(单次交易!$A$2:$A$201=B15),单次交易!$B$2:$B$201),""))</f>
        <v/>
      </c>
      <c r="D15" s="27" t="n"/>
      <c r="E15" s="43" t="n"/>
      <c r="F15" s="43" t="n"/>
      <c r="G15" s="28" t="n"/>
      <c r="H15" s="49" t="n"/>
      <c r="I15" s="43" t="n"/>
      <c r="J15" s="27" t="n"/>
      <c r="K15" s="28" t="n"/>
      <c r="L15" s="28" t="n"/>
      <c r="M15" s="28" t="n"/>
      <c r="N15" s="44">
        <f>IF(B15="","",IFERROR(LOOKUP(2,1/(单次交易!$A$2:$A$201=B15),单次交易!$N$2:$N$201),""))</f>
        <v/>
      </c>
      <c r="O15" s="44">
        <f>IF(A15&lt;&gt;"每日跟踪","",IF(OR(B15="",H15="",I15=""),"",IFERROR(AGGREGATE(14,6,$I$2:$I$501/(($A$2:$A$501="每日跟踪")*($B$2:$B$501=B15)*($H$2:$H$501&lt;=H15)),1),"")))</f>
        <v/>
      </c>
      <c r="P15" s="26">
        <f>IF(A15&lt;&gt;"每日跟踪","",IF(O15="","",IFERROR(AGGREGATE(14,6,$D$2:$D$501/(($A$2:$A$501="止损计划")*($B$2:$B$501=B15)*($E$2:$E$501&lt;=O15)),1),0)))</f>
        <v/>
      </c>
      <c r="Q15" s="44">
        <f>IF(A15&lt;&gt;"每日跟踪","",IF(N15="","",MAX(N15,IFERROR(AGGREGATE(14,6,$F$2:$F$501/(($A$2:$A$501="止损计划")*($B$2:$B$501=B15)*($E$2:$E$501&lt;=O15)),1),0))))</f>
        <v/>
      </c>
      <c r="R15" s="43" t="n"/>
      <c r="S15" s="44">
        <f>IF(A15&lt;&gt;"每日跟踪","",IF(Q15="","",MAX(Q15,IFERROR(AGGREGATE(14,6,$R$2:$R$501/(($A$2:$A$501="每日跟踪")*($B$2:$B$501=B15)*($H$2:$H$501&lt;=H15)),1),0))))</f>
        <v/>
      </c>
      <c r="T15" s="44">
        <f>IF(A15&lt;&gt;"每日跟踪","",IF(O15="","",IF(COUNTIFS($A$2:$A$501,"止损计划",$B$2:$B$501,B15,$E$2:$E$501,"&gt;"&amp;O15)=0,"",AGGREGATE(15,6,$E$2:$E$501/(($A$2:$A$501="止损计划")*($B$2:$B$501=B15)*($E$2:$E$501&gt;O15)),1))))</f>
        <v/>
      </c>
      <c r="U15" s="44">
        <f>IF(OR(A15&lt;&gt;"每日跟踪",T15=""),"",IFERROR(AGGREGATE(14,6,$F$2:$F$501/(($A$2:$A$501="止损计划")*($B$2:$B$501=B15)*($E$2:$E$501=T15)),1),""))</f>
        <v/>
      </c>
      <c r="V15" s="30">
        <f>IF(OR(A15&lt;&gt;"每日跟踪",T15="",I15="",I15&lt;=0),"",T15/I15-1)</f>
        <v/>
      </c>
      <c r="W15" s="31">
        <f>IF(A15&lt;&gt;"每日跟踪","",IF(OR(I15="",S15=""),"",IF(I15&lt;=S15,"触发止损：应全部卖出","继续观察")))</f>
        <v/>
      </c>
      <c r="X15" s="28" t="n"/>
      <c r="Y15" s="43" t="n"/>
      <c r="Z15" s="26">
        <f>IF(X15&lt;&gt;"执行卖出","",IFERROR(LOOKUP(2,1/(单次交易!$A$2:$A$201=B15),单次交易!$AP$2:$AP$201),""))</f>
        <v/>
      </c>
      <c r="AA15" s="43" t="n"/>
      <c r="AB15" s="31">
        <f>IF(A15&lt;&gt;"每日跟踪","",IF(OR(B15="",H15="",I15="",J15="",K15="",L15="",M15=""),"待补充每日记录",IF(W15="触发止损：应全部卖出",IF(X15&lt;&gt;"执行卖出","违规：触发止损但未执行",IF(Y15="","待补充实际卖出价","卖出记录完整")),IF(X15="","待选择卖出动作",IF(X15="执行卖出",IF(Y15="","待补充实际卖出价","卖出记录完整"),"正常")))))</f>
        <v/>
      </c>
      <c r="AC15" s="31">
        <f>IF(A15="","",IF(A15="止损计划",IF(OR(B15="",D15="",E15="",F15="",G15=""),"计划不完整",IF(OR(D15&lt;1,D15&lt;&gt;INT(D15)),"阶段序号无效",IF(COUNTIFS($A$2:$A$501,"止损计划",$B$2:$B$501,B15,$D$2:$D$501,D15)&gt;1,"阶段序号重复",IF(E15&lt;=IFERROR(LOOKUP(2,1/('单次交易'!$A$2:$A$201=B15),'单次交易'!$E$2:$E$201),0),"激活价须高于买入价",IF(F15&lt;N15,"止损价不得低于初始止损",IF(F15&gt;E15,"止损价不得高于激活价",IF(AND(COUNTIFS($A$2:$A$501,"止损计划",$B$2:$B$501,B15,$D$2:$D$501,"&lt;"&amp;D15)&gt;0,OR(E15&lt;=AGGREGATE(14,6,$E$2:$E$501/(($A$2:$A$501="止损计划")*($B$2:$B$501=B15)*($D$2:$D$501&lt;D15)),1),F15&lt;AGGREGATE(14,6,$F$2:$F$501/(($A$2:$A$501="止损计划")*($B$2:$B$501=B15)*($D$2:$D$501&lt;D15)),1))),"阶段价格必须逐级提高","计划有效"))))))),IF(A15="每日跟踪",IF(OR(B15="",H15="",I15="",J15=""),"每日数据不完整",IF(COUNTIFS($A$2:$A$501,"每日跟踪",$B$2:$B$501,B15,$H$2:$H$501,H15)&gt;1,"同一交易日期重复",IF(AND(R15&lt;&gt;"",R15&lt;S15),"人工止损无效：不能下调","跟踪有效"))),"记录类型无效")))</f>
        <v/>
      </c>
    </row>
    <row r="16">
      <c r="A16" s="28" t="n"/>
      <c r="B16" s="28" t="n"/>
      <c r="C16" s="31">
        <f>IF(B16="","",IFERROR(LOOKUP(2,1/(单次交易!$A$2:$A$201=B16),单次交易!$B$2:$B$201),""))</f>
        <v/>
      </c>
      <c r="D16" s="27" t="n"/>
      <c r="E16" s="43" t="n"/>
      <c r="F16" s="43" t="n"/>
      <c r="G16" s="28" t="n"/>
      <c r="H16" s="49" t="n"/>
      <c r="I16" s="43" t="n"/>
      <c r="J16" s="27" t="n"/>
      <c r="K16" s="28" t="n"/>
      <c r="L16" s="28" t="n"/>
      <c r="M16" s="28" t="n"/>
      <c r="N16" s="44">
        <f>IF(B16="","",IFERROR(LOOKUP(2,1/(单次交易!$A$2:$A$201=B16),单次交易!$N$2:$N$201),""))</f>
        <v/>
      </c>
      <c r="O16" s="44">
        <f>IF(A16&lt;&gt;"每日跟踪","",IF(OR(B16="",H16="",I16=""),"",IFERROR(AGGREGATE(14,6,$I$2:$I$501/(($A$2:$A$501="每日跟踪")*($B$2:$B$501=B16)*($H$2:$H$501&lt;=H16)),1),"")))</f>
        <v/>
      </c>
      <c r="P16" s="26">
        <f>IF(A16&lt;&gt;"每日跟踪","",IF(O16="","",IFERROR(AGGREGATE(14,6,$D$2:$D$501/(($A$2:$A$501="止损计划")*($B$2:$B$501=B16)*($E$2:$E$501&lt;=O16)),1),0)))</f>
        <v/>
      </c>
      <c r="Q16" s="44">
        <f>IF(A16&lt;&gt;"每日跟踪","",IF(N16="","",MAX(N16,IFERROR(AGGREGATE(14,6,$F$2:$F$501/(($A$2:$A$501="止损计划")*($B$2:$B$501=B16)*($E$2:$E$501&lt;=O16)),1),0))))</f>
        <v/>
      </c>
      <c r="R16" s="43" t="n"/>
      <c r="S16" s="44">
        <f>IF(A16&lt;&gt;"每日跟踪","",IF(Q16="","",MAX(Q16,IFERROR(AGGREGATE(14,6,$R$2:$R$501/(($A$2:$A$501="每日跟踪")*($B$2:$B$501=B16)*($H$2:$H$501&lt;=H16)),1),0))))</f>
        <v/>
      </c>
      <c r="T16" s="44">
        <f>IF(A16&lt;&gt;"每日跟踪","",IF(O16="","",IF(COUNTIFS($A$2:$A$501,"止损计划",$B$2:$B$501,B16,$E$2:$E$501,"&gt;"&amp;O16)=0,"",AGGREGATE(15,6,$E$2:$E$501/(($A$2:$A$501="止损计划")*($B$2:$B$501=B16)*($E$2:$E$501&gt;O16)),1))))</f>
        <v/>
      </c>
      <c r="U16" s="44">
        <f>IF(OR(A16&lt;&gt;"每日跟踪",T16=""),"",IFERROR(AGGREGATE(14,6,$F$2:$F$501/(($A$2:$A$501="止损计划")*($B$2:$B$501=B16)*($E$2:$E$501=T16)),1),""))</f>
        <v/>
      </c>
      <c r="V16" s="30">
        <f>IF(OR(A16&lt;&gt;"每日跟踪",T16="",I16="",I16&lt;=0),"",T16/I16-1)</f>
        <v/>
      </c>
      <c r="W16" s="31">
        <f>IF(A16&lt;&gt;"每日跟踪","",IF(OR(I16="",S16=""),"",IF(I16&lt;=S16,"触发止损：应全部卖出","继续观察")))</f>
        <v/>
      </c>
      <c r="X16" s="28" t="n"/>
      <c r="Y16" s="43" t="n"/>
      <c r="Z16" s="26">
        <f>IF(X16&lt;&gt;"执行卖出","",IFERROR(LOOKUP(2,1/(单次交易!$A$2:$A$201=B16),单次交易!$AP$2:$AP$201),""))</f>
        <v/>
      </c>
      <c r="AA16" s="43" t="n"/>
      <c r="AB16" s="31">
        <f>IF(A16&lt;&gt;"每日跟踪","",IF(OR(B16="",H16="",I16="",J16="",K16="",L16="",M16=""),"待补充每日记录",IF(W16="触发止损：应全部卖出",IF(X16&lt;&gt;"执行卖出","违规：触发止损但未执行",IF(Y16="","待补充实际卖出价","卖出记录完整")),IF(X16="","待选择卖出动作",IF(X16="执行卖出",IF(Y16="","待补充实际卖出价","卖出记录完整"),"正常")))))</f>
        <v/>
      </c>
      <c r="AC16" s="31">
        <f>IF(A16="","",IF(A16="止损计划",IF(OR(B16="",D16="",E16="",F16="",G16=""),"计划不完整",IF(OR(D16&lt;1,D16&lt;&gt;INT(D16)),"阶段序号无效",IF(COUNTIFS($A$2:$A$501,"止损计划",$B$2:$B$501,B16,$D$2:$D$501,D16)&gt;1,"阶段序号重复",IF(E16&lt;=IFERROR(LOOKUP(2,1/('单次交易'!$A$2:$A$201=B16),'单次交易'!$E$2:$E$201),0),"激活价须高于买入价",IF(F16&lt;N16,"止损价不得低于初始止损",IF(F16&gt;E16,"止损价不得高于激活价",IF(AND(COUNTIFS($A$2:$A$501,"止损计划",$B$2:$B$501,B16,$D$2:$D$501,"&lt;"&amp;D16)&gt;0,OR(E16&lt;=AGGREGATE(14,6,$E$2:$E$501/(($A$2:$A$501="止损计划")*($B$2:$B$501=B16)*($D$2:$D$501&lt;D16)),1),F16&lt;AGGREGATE(14,6,$F$2:$F$501/(($A$2:$A$501="止损计划")*($B$2:$B$501=B16)*($D$2:$D$501&lt;D16)),1))),"阶段价格必须逐级提高","计划有效"))))))),IF(A16="每日跟踪",IF(OR(B16="",H16="",I16="",J16=""),"每日数据不完整",IF(COUNTIFS($A$2:$A$501,"每日跟踪",$B$2:$B$501,B16,$H$2:$H$501,H16)&gt;1,"同一交易日期重复",IF(AND(R16&lt;&gt;"",R16&lt;S16),"人工止损无效：不能下调","跟踪有效"))),"记录类型无效")))</f>
        <v/>
      </c>
    </row>
    <row r="17">
      <c r="A17" s="28" t="n"/>
      <c r="B17" s="28" t="n"/>
      <c r="C17" s="31">
        <f>IF(B17="","",IFERROR(LOOKUP(2,1/(单次交易!$A$2:$A$201=B17),单次交易!$B$2:$B$201),""))</f>
        <v/>
      </c>
      <c r="D17" s="27" t="n"/>
      <c r="E17" s="43" t="n"/>
      <c r="F17" s="43" t="n"/>
      <c r="G17" s="28" t="n"/>
      <c r="H17" s="49" t="n"/>
      <c r="I17" s="43" t="n"/>
      <c r="J17" s="27" t="n"/>
      <c r="K17" s="28" t="n"/>
      <c r="L17" s="28" t="n"/>
      <c r="M17" s="28" t="n"/>
      <c r="N17" s="44">
        <f>IF(B17="","",IFERROR(LOOKUP(2,1/(单次交易!$A$2:$A$201=B17),单次交易!$N$2:$N$201),""))</f>
        <v/>
      </c>
      <c r="O17" s="44">
        <f>IF(A17&lt;&gt;"每日跟踪","",IF(OR(B17="",H17="",I17=""),"",IFERROR(AGGREGATE(14,6,$I$2:$I$501/(($A$2:$A$501="每日跟踪")*($B$2:$B$501=B17)*($H$2:$H$501&lt;=H17)),1),"")))</f>
        <v/>
      </c>
      <c r="P17" s="26">
        <f>IF(A17&lt;&gt;"每日跟踪","",IF(O17="","",IFERROR(AGGREGATE(14,6,$D$2:$D$501/(($A$2:$A$501="止损计划")*($B$2:$B$501=B17)*($E$2:$E$501&lt;=O17)),1),0)))</f>
        <v/>
      </c>
      <c r="Q17" s="44">
        <f>IF(A17&lt;&gt;"每日跟踪","",IF(N17="","",MAX(N17,IFERROR(AGGREGATE(14,6,$F$2:$F$501/(($A$2:$A$501="止损计划")*($B$2:$B$501=B17)*($E$2:$E$501&lt;=O17)),1),0))))</f>
        <v/>
      </c>
      <c r="R17" s="43" t="n"/>
      <c r="S17" s="44">
        <f>IF(A17&lt;&gt;"每日跟踪","",IF(Q17="","",MAX(Q17,IFERROR(AGGREGATE(14,6,$R$2:$R$501/(($A$2:$A$501="每日跟踪")*($B$2:$B$501=B17)*($H$2:$H$501&lt;=H17)),1),0))))</f>
        <v/>
      </c>
      <c r="T17" s="44">
        <f>IF(A17&lt;&gt;"每日跟踪","",IF(O17="","",IF(COUNTIFS($A$2:$A$501,"止损计划",$B$2:$B$501,B17,$E$2:$E$501,"&gt;"&amp;O17)=0,"",AGGREGATE(15,6,$E$2:$E$501/(($A$2:$A$501="止损计划")*($B$2:$B$501=B17)*($E$2:$E$501&gt;O17)),1))))</f>
        <v/>
      </c>
      <c r="U17" s="44">
        <f>IF(OR(A17&lt;&gt;"每日跟踪",T17=""),"",IFERROR(AGGREGATE(14,6,$F$2:$F$501/(($A$2:$A$501="止损计划")*($B$2:$B$501=B17)*($E$2:$E$501=T17)),1),""))</f>
        <v/>
      </c>
      <c r="V17" s="30">
        <f>IF(OR(A17&lt;&gt;"每日跟踪",T17="",I17="",I17&lt;=0),"",T17/I17-1)</f>
        <v/>
      </c>
      <c r="W17" s="31">
        <f>IF(A17&lt;&gt;"每日跟踪","",IF(OR(I17="",S17=""),"",IF(I17&lt;=S17,"触发止损：应全部卖出","继续观察")))</f>
        <v/>
      </c>
      <c r="X17" s="28" t="n"/>
      <c r="Y17" s="43" t="n"/>
      <c r="Z17" s="26">
        <f>IF(X17&lt;&gt;"执行卖出","",IFERROR(LOOKUP(2,1/(单次交易!$A$2:$A$201=B17),单次交易!$AP$2:$AP$201),""))</f>
        <v/>
      </c>
      <c r="AA17" s="43" t="n"/>
      <c r="AB17" s="31">
        <f>IF(A17&lt;&gt;"每日跟踪","",IF(OR(B17="",H17="",I17="",J17="",K17="",L17="",M17=""),"待补充每日记录",IF(W17="触发止损：应全部卖出",IF(X17&lt;&gt;"执行卖出","违规：触发止损但未执行",IF(Y17="","待补充实际卖出价","卖出记录完整")),IF(X17="","待选择卖出动作",IF(X17="执行卖出",IF(Y17="","待补充实际卖出价","卖出记录完整"),"正常")))))</f>
        <v/>
      </c>
      <c r="AC17" s="31">
        <f>IF(A17="","",IF(A17="止损计划",IF(OR(B17="",D17="",E17="",F17="",G17=""),"计划不完整",IF(OR(D17&lt;1,D17&lt;&gt;INT(D17)),"阶段序号无效",IF(COUNTIFS($A$2:$A$501,"止损计划",$B$2:$B$501,B17,$D$2:$D$501,D17)&gt;1,"阶段序号重复",IF(E17&lt;=IFERROR(LOOKUP(2,1/('单次交易'!$A$2:$A$201=B17),'单次交易'!$E$2:$E$201),0),"激活价须高于买入价",IF(F17&lt;N17,"止损价不得低于初始止损",IF(F17&gt;E17,"止损价不得高于激活价",IF(AND(COUNTIFS($A$2:$A$501,"止损计划",$B$2:$B$501,B17,$D$2:$D$501,"&lt;"&amp;D17)&gt;0,OR(E17&lt;=AGGREGATE(14,6,$E$2:$E$501/(($A$2:$A$501="止损计划")*($B$2:$B$501=B17)*($D$2:$D$501&lt;D17)),1),F17&lt;AGGREGATE(14,6,$F$2:$F$501/(($A$2:$A$501="止损计划")*($B$2:$B$501=B17)*($D$2:$D$501&lt;D17)),1))),"阶段价格必须逐级提高","计划有效"))))))),IF(A17="每日跟踪",IF(OR(B17="",H17="",I17="",J17=""),"每日数据不完整",IF(COUNTIFS($A$2:$A$501,"每日跟踪",$B$2:$B$501,B17,$H$2:$H$501,H17)&gt;1,"同一交易日期重复",IF(AND(R17&lt;&gt;"",R17&lt;S17),"人工止损无效：不能下调","跟踪有效"))),"记录类型无效")))</f>
        <v/>
      </c>
    </row>
    <row r="18">
      <c r="A18" s="28" t="n"/>
      <c r="B18" s="28" t="n"/>
      <c r="C18" s="31">
        <f>IF(B18="","",IFERROR(LOOKUP(2,1/(单次交易!$A$2:$A$201=B18),单次交易!$B$2:$B$201),""))</f>
        <v/>
      </c>
      <c r="D18" s="27" t="n"/>
      <c r="E18" s="43" t="n"/>
      <c r="F18" s="43" t="n"/>
      <c r="G18" s="28" t="n"/>
      <c r="H18" s="49" t="n"/>
      <c r="I18" s="43" t="n"/>
      <c r="J18" s="27" t="n"/>
      <c r="K18" s="28" t="n"/>
      <c r="L18" s="28" t="n"/>
      <c r="M18" s="28" t="n"/>
      <c r="N18" s="44">
        <f>IF(B18="","",IFERROR(LOOKUP(2,1/(单次交易!$A$2:$A$201=B18),单次交易!$N$2:$N$201),""))</f>
        <v/>
      </c>
      <c r="O18" s="44">
        <f>IF(A18&lt;&gt;"每日跟踪","",IF(OR(B18="",H18="",I18=""),"",IFERROR(AGGREGATE(14,6,$I$2:$I$501/(($A$2:$A$501="每日跟踪")*($B$2:$B$501=B18)*($H$2:$H$501&lt;=H18)),1),"")))</f>
        <v/>
      </c>
      <c r="P18" s="26">
        <f>IF(A18&lt;&gt;"每日跟踪","",IF(O18="","",IFERROR(AGGREGATE(14,6,$D$2:$D$501/(($A$2:$A$501="止损计划")*($B$2:$B$501=B18)*($E$2:$E$501&lt;=O18)),1),0)))</f>
        <v/>
      </c>
      <c r="Q18" s="44">
        <f>IF(A18&lt;&gt;"每日跟踪","",IF(N18="","",MAX(N18,IFERROR(AGGREGATE(14,6,$F$2:$F$501/(($A$2:$A$501="止损计划")*($B$2:$B$501=B18)*($E$2:$E$501&lt;=O18)),1),0))))</f>
        <v/>
      </c>
      <c r="R18" s="43" t="n"/>
      <c r="S18" s="44">
        <f>IF(A18&lt;&gt;"每日跟踪","",IF(Q18="","",MAX(Q18,IFERROR(AGGREGATE(14,6,$R$2:$R$501/(($A$2:$A$501="每日跟踪")*($B$2:$B$501=B18)*($H$2:$H$501&lt;=H18)),1),0))))</f>
        <v/>
      </c>
      <c r="T18" s="44">
        <f>IF(A18&lt;&gt;"每日跟踪","",IF(O18="","",IF(COUNTIFS($A$2:$A$501,"止损计划",$B$2:$B$501,B18,$E$2:$E$501,"&gt;"&amp;O18)=0,"",AGGREGATE(15,6,$E$2:$E$501/(($A$2:$A$501="止损计划")*($B$2:$B$501=B18)*($E$2:$E$501&gt;O18)),1))))</f>
        <v/>
      </c>
      <c r="U18" s="44">
        <f>IF(OR(A18&lt;&gt;"每日跟踪",T18=""),"",IFERROR(AGGREGATE(14,6,$F$2:$F$501/(($A$2:$A$501="止损计划")*($B$2:$B$501=B18)*($E$2:$E$501=T18)),1),""))</f>
        <v/>
      </c>
      <c r="V18" s="30">
        <f>IF(OR(A18&lt;&gt;"每日跟踪",T18="",I18="",I18&lt;=0),"",T18/I18-1)</f>
        <v/>
      </c>
      <c r="W18" s="31">
        <f>IF(A18&lt;&gt;"每日跟踪","",IF(OR(I18="",S18=""),"",IF(I18&lt;=S18,"触发止损：应全部卖出","继续观察")))</f>
        <v/>
      </c>
      <c r="X18" s="28" t="n"/>
      <c r="Y18" s="43" t="n"/>
      <c r="Z18" s="26">
        <f>IF(X18&lt;&gt;"执行卖出","",IFERROR(LOOKUP(2,1/(单次交易!$A$2:$A$201=B18),单次交易!$AP$2:$AP$201),""))</f>
        <v/>
      </c>
      <c r="AA18" s="43" t="n"/>
      <c r="AB18" s="31">
        <f>IF(A18&lt;&gt;"每日跟踪","",IF(OR(B18="",H18="",I18="",J18="",K18="",L18="",M18=""),"待补充每日记录",IF(W18="触发止损：应全部卖出",IF(X18&lt;&gt;"执行卖出","违规：触发止损但未执行",IF(Y18="","待补充实际卖出价","卖出记录完整")),IF(X18="","待选择卖出动作",IF(X18="执行卖出",IF(Y18="","待补充实际卖出价","卖出记录完整"),"正常")))))</f>
        <v/>
      </c>
      <c r="AC18" s="31">
        <f>IF(A18="","",IF(A18="止损计划",IF(OR(B18="",D18="",E18="",F18="",G18=""),"计划不完整",IF(OR(D18&lt;1,D18&lt;&gt;INT(D18)),"阶段序号无效",IF(COUNTIFS($A$2:$A$501,"止损计划",$B$2:$B$501,B18,$D$2:$D$501,D18)&gt;1,"阶段序号重复",IF(E18&lt;=IFERROR(LOOKUP(2,1/('单次交易'!$A$2:$A$201=B18),'单次交易'!$E$2:$E$201),0),"激活价须高于买入价",IF(F18&lt;N18,"止损价不得低于初始止损",IF(F18&gt;E18,"止损价不得高于激活价",IF(AND(COUNTIFS($A$2:$A$501,"止损计划",$B$2:$B$501,B18,$D$2:$D$501,"&lt;"&amp;D18)&gt;0,OR(E18&lt;=AGGREGATE(14,6,$E$2:$E$501/(($A$2:$A$501="止损计划")*($B$2:$B$501=B18)*($D$2:$D$501&lt;D18)),1),F18&lt;AGGREGATE(14,6,$F$2:$F$501/(($A$2:$A$501="止损计划")*($B$2:$B$501=B18)*($D$2:$D$501&lt;D18)),1))),"阶段价格必须逐级提高","计划有效"))))))),IF(A18="每日跟踪",IF(OR(B18="",H18="",I18="",J18=""),"每日数据不完整",IF(COUNTIFS($A$2:$A$501,"每日跟踪",$B$2:$B$501,B18,$H$2:$H$501,H18)&gt;1,"同一交易日期重复",IF(AND(R18&lt;&gt;"",R18&lt;S18),"人工止损无效：不能下调","跟踪有效"))),"记录类型无效")))</f>
        <v/>
      </c>
    </row>
    <row r="19">
      <c r="A19" s="28" t="n"/>
      <c r="B19" s="28" t="n"/>
      <c r="C19" s="31">
        <f>IF(B19="","",IFERROR(LOOKUP(2,1/(单次交易!$A$2:$A$201=B19),单次交易!$B$2:$B$201),""))</f>
        <v/>
      </c>
      <c r="D19" s="27" t="n"/>
      <c r="E19" s="43" t="n"/>
      <c r="F19" s="43" t="n"/>
      <c r="G19" s="28" t="n"/>
      <c r="H19" s="49" t="n"/>
      <c r="I19" s="43" t="n"/>
      <c r="J19" s="27" t="n"/>
      <c r="K19" s="28" t="n"/>
      <c r="L19" s="28" t="n"/>
      <c r="M19" s="28" t="n"/>
      <c r="N19" s="44">
        <f>IF(B19="","",IFERROR(LOOKUP(2,1/(单次交易!$A$2:$A$201=B19),单次交易!$N$2:$N$201),""))</f>
        <v/>
      </c>
      <c r="O19" s="44">
        <f>IF(A19&lt;&gt;"每日跟踪","",IF(OR(B19="",H19="",I19=""),"",IFERROR(AGGREGATE(14,6,$I$2:$I$501/(($A$2:$A$501="每日跟踪")*($B$2:$B$501=B19)*($H$2:$H$501&lt;=H19)),1),"")))</f>
        <v/>
      </c>
      <c r="P19" s="26">
        <f>IF(A19&lt;&gt;"每日跟踪","",IF(O19="","",IFERROR(AGGREGATE(14,6,$D$2:$D$501/(($A$2:$A$501="止损计划")*($B$2:$B$501=B19)*($E$2:$E$501&lt;=O19)),1),0)))</f>
        <v/>
      </c>
      <c r="Q19" s="44">
        <f>IF(A19&lt;&gt;"每日跟踪","",IF(N19="","",MAX(N19,IFERROR(AGGREGATE(14,6,$F$2:$F$501/(($A$2:$A$501="止损计划")*($B$2:$B$501=B19)*($E$2:$E$501&lt;=O19)),1),0))))</f>
        <v/>
      </c>
      <c r="R19" s="43" t="n"/>
      <c r="S19" s="44">
        <f>IF(A19&lt;&gt;"每日跟踪","",IF(Q19="","",MAX(Q19,IFERROR(AGGREGATE(14,6,$R$2:$R$501/(($A$2:$A$501="每日跟踪")*($B$2:$B$501=B19)*($H$2:$H$501&lt;=H19)),1),0))))</f>
        <v/>
      </c>
      <c r="T19" s="44">
        <f>IF(A19&lt;&gt;"每日跟踪","",IF(O19="","",IF(COUNTIFS($A$2:$A$501,"止损计划",$B$2:$B$501,B19,$E$2:$E$501,"&gt;"&amp;O19)=0,"",AGGREGATE(15,6,$E$2:$E$501/(($A$2:$A$501="止损计划")*($B$2:$B$501=B19)*($E$2:$E$501&gt;O19)),1))))</f>
        <v/>
      </c>
      <c r="U19" s="44">
        <f>IF(OR(A19&lt;&gt;"每日跟踪",T19=""),"",IFERROR(AGGREGATE(14,6,$F$2:$F$501/(($A$2:$A$501="止损计划")*($B$2:$B$501=B19)*($E$2:$E$501=T19)),1),""))</f>
        <v/>
      </c>
      <c r="V19" s="30">
        <f>IF(OR(A19&lt;&gt;"每日跟踪",T19="",I19="",I19&lt;=0),"",T19/I19-1)</f>
        <v/>
      </c>
      <c r="W19" s="31">
        <f>IF(A19&lt;&gt;"每日跟踪","",IF(OR(I19="",S19=""),"",IF(I19&lt;=S19,"触发止损：应全部卖出","继续观察")))</f>
        <v/>
      </c>
      <c r="X19" s="28" t="n"/>
      <c r="Y19" s="43" t="n"/>
      <c r="Z19" s="26">
        <f>IF(X19&lt;&gt;"执行卖出","",IFERROR(LOOKUP(2,1/(单次交易!$A$2:$A$201=B19),单次交易!$AP$2:$AP$201),""))</f>
        <v/>
      </c>
      <c r="AA19" s="43" t="n"/>
      <c r="AB19" s="31">
        <f>IF(A19&lt;&gt;"每日跟踪","",IF(OR(B19="",H19="",I19="",J19="",K19="",L19="",M19=""),"待补充每日记录",IF(W19="触发止损：应全部卖出",IF(X19&lt;&gt;"执行卖出","违规：触发止损但未执行",IF(Y19="","待补充实际卖出价","卖出记录完整")),IF(X19="","待选择卖出动作",IF(X19="执行卖出",IF(Y19="","待补充实际卖出价","卖出记录完整"),"正常")))))</f>
        <v/>
      </c>
      <c r="AC19" s="31">
        <f>IF(A19="","",IF(A19="止损计划",IF(OR(B19="",D19="",E19="",F19="",G19=""),"计划不完整",IF(OR(D19&lt;1,D19&lt;&gt;INT(D19)),"阶段序号无效",IF(COUNTIFS($A$2:$A$501,"止损计划",$B$2:$B$501,B19,$D$2:$D$501,D19)&gt;1,"阶段序号重复",IF(E19&lt;=IFERROR(LOOKUP(2,1/('单次交易'!$A$2:$A$201=B19),'单次交易'!$E$2:$E$201),0),"激活价须高于买入价",IF(F19&lt;N19,"止损价不得低于初始止损",IF(F19&gt;E19,"止损价不得高于激活价",IF(AND(COUNTIFS($A$2:$A$501,"止损计划",$B$2:$B$501,B19,$D$2:$D$501,"&lt;"&amp;D19)&gt;0,OR(E19&lt;=AGGREGATE(14,6,$E$2:$E$501/(($A$2:$A$501="止损计划")*($B$2:$B$501=B19)*($D$2:$D$501&lt;D19)),1),F19&lt;AGGREGATE(14,6,$F$2:$F$501/(($A$2:$A$501="止损计划")*($B$2:$B$501=B19)*($D$2:$D$501&lt;D19)),1))),"阶段价格必须逐级提高","计划有效"))))))),IF(A19="每日跟踪",IF(OR(B19="",H19="",I19="",J19=""),"每日数据不完整",IF(COUNTIFS($A$2:$A$501,"每日跟踪",$B$2:$B$501,B19,$H$2:$H$501,H19)&gt;1,"同一交易日期重复",IF(AND(R19&lt;&gt;"",R19&lt;S19),"人工止损无效：不能下调","跟踪有效"))),"记录类型无效")))</f>
        <v/>
      </c>
    </row>
    <row r="20">
      <c r="A20" s="28" t="n"/>
      <c r="B20" s="28" t="n"/>
      <c r="C20" s="31">
        <f>IF(B20="","",IFERROR(LOOKUP(2,1/(单次交易!$A$2:$A$201=B20),单次交易!$B$2:$B$201),""))</f>
        <v/>
      </c>
      <c r="D20" s="27" t="n"/>
      <c r="E20" s="43" t="n"/>
      <c r="F20" s="43" t="n"/>
      <c r="G20" s="28" t="n"/>
      <c r="H20" s="49" t="n"/>
      <c r="I20" s="43" t="n"/>
      <c r="J20" s="27" t="n"/>
      <c r="K20" s="28" t="n"/>
      <c r="L20" s="28" t="n"/>
      <c r="M20" s="28" t="n"/>
      <c r="N20" s="44">
        <f>IF(B20="","",IFERROR(LOOKUP(2,1/(单次交易!$A$2:$A$201=B20),单次交易!$N$2:$N$201),""))</f>
        <v/>
      </c>
      <c r="O20" s="44">
        <f>IF(A20&lt;&gt;"每日跟踪","",IF(OR(B20="",H20="",I20=""),"",IFERROR(AGGREGATE(14,6,$I$2:$I$501/(($A$2:$A$501="每日跟踪")*($B$2:$B$501=B20)*($H$2:$H$501&lt;=H20)),1),"")))</f>
        <v/>
      </c>
      <c r="P20" s="26">
        <f>IF(A20&lt;&gt;"每日跟踪","",IF(O20="","",IFERROR(AGGREGATE(14,6,$D$2:$D$501/(($A$2:$A$501="止损计划")*($B$2:$B$501=B20)*($E$2:$E$501&lt;=O20)),1),0)))</f>
        <v/>
      </c>
      <c r="Q20" s="44">
        <f>IF(A20&lt;&gt;"每日跟踪","",IF(N20="","",MAX(N20,IFERROR(AGGREGATE(14,6,$F$2:$F$501/(($A$2:$A$501="止损计划")*($B$2:$B$501=B20)*($E$2:$E$501&lt;=O20)),1),0))))</f>
        <v/>
      </c>
      <c r="R20" s="43" t="n"/>
      <c r="S20" s="44">
        <f>IF(A20&lt;&gt;"每日跟踪","",IF(Q20="","",MAX(Q20,IFERROR(AGGREGATE(14,6,$R$2:$R$501/(($A$2:$A$501="每日跟踪")*($B$2:$B$501=B20)*($H$2:$H$501&lt;=H20)),1),0))))</f>
        <v/>
      </c>
      <c r="T20" s="44">
        <f>IF(A20&lt;&gt;"每日跟踪","",IF(O20="","",IF(COUNTIFS($A$2:$A$501,"止损计划",$B$2:$B$501,B20,$E$2:$E$501,"&gt;"&amp;O20)=0,"",AGGREGATE(15,6,$E$2:$E$501/(($A$2:$A$501="止损计划")*($B$2:$B$501=B20)*($E$2:$E$501&gt;O20)),1))))</f>
        <v/>
      </c>
      <c r="U20" s="44">
        <f>IF(OR(A20&lt;&gt;"每日跟踪",T20=""),"",IFERROR(AGGREGATE(14,6,$F$2:$F$501/(($A$2:$A$501="止损计划")*($B$2:$B$501=B20)*($E$2:$E$501=T20)),1),""))</f>
        <v/>
      </c>
      <c r="V20" s="30">
        <f>IF(OR(A20&lt;&gt;"每日跟踪",T20="",I20="",I20&lt;=0),"",T20/I20-1)</f>
        <v/>
      </c>
      <c r="W20" s="31">
        <f>IF(A20&lt;&gt;"每日跟踪","",IF(OR(I20="",S20=""),"",IF(I20&lt;=S20,"触发止损：应全部卖出","继续观察")))</f>
        <v/>
      </c>
      <c r="X20" s="28" t="n"/>
      <c r="Y20" s="43" t="n"/>
      <c r="Z20" s="26">
        <f>IF(X20&lt;&gt;"执行卖出","",IFERROR(LOOKUP(2,1/(单次交易!$A$2:$A$201=B20),单次交易!$AP$2:$AP$201),""))</f>
        <v/>
      </c>
      <c r="AA20" s="43" t="n"/>
      <c r="AB20" s="31">
        <f>IF(A20&lt;&gt;"每日跟踪","",IF(OR(B20="",H20="",I20="",J20="",K20="",L20="",M20=""),"待补充每日记录",IF(W20="触发止损：应全部卖出",IF(X20&lt;&gt;"执行卖出","违规：触发止损但未执行",IF(Y20="","待补充实际卖出价","卖出记录完整")),IF(X20="","待选择卖出动作",IF(X20="执行卖出",IF(Y20="","待补充实际卖出价","卖出记录完整"),"正常")))))</f>
        <v/>
      </c>
      <c r="AC20" s="31">
        <f>IF(A20="","",IF(A20="止损计划",IF(OR(B20="",D20="",E20="",F20="",G20=""),"计划不完整",IF(OR(D20&lt;1,D20&lt;&gt;INT(D20)),"阶段序号无效",IF(COUNTIFS($A$2:$A$501,"止损计划",$B$2:$B$501,B20,$D$2:$D$501,D20)&gt;1,"阶段序号重复",IF(E20&lt;=IFERROR(LOOKUP(2,1/('单次交易'!$A$2:$A$201=B20),'单次交易'!$E$2:$E$201),0),"激活价须高于买入价",IF(F20&lt;N20,"止损价不得低于初始止损",IF(F20&gt;E20,"止损价不得高于激活价",IF(AND(COUNTIFS($A$2:$A$501,"止损计划",$B$2:$B$501,B20,$D$2:$D$501,"&lt;"&amp;D20)&gt;0,OR(E20&lt;=AGGREGATE(14,6,$E$2:$E$501/(($A$2:$A$501="止损计划")*($B$2:$B$501=B20)*($D$2:$D$501&lt;D20)),1),F20&lt;AGGREGATE(14,6,$F$2:$F$501/(($A$2:$A$501="止损计划")*($B$2:$B$501=B20)*($D$2:$D$501&lt;D20)),1))),"阶段价格必须逐级提高","计划有效"))))))),IF(A20="每日跟踪",IF(OR(B20="",H20="",I20="",J20=""),"每日数据不完整",IF(COUNTIFS($A$2:$A$501,"每日跟踪",$B$2:$B$501,B20,$H$2:$H$501,H20)&gt;1,"同一交易日期重复",IF(AND(R20&lt;&gt;"",R20&lt;S20),"人工止损无效：不能下调","跟踪有效"))),"记录类型无效")))</f>
        <v/>
      </c>
    </row>
    <row r="21">
      <c r="A21" s="28" t="n"/>
      <c r="B21" s="28" t="n"/>
      <c r="C21" s="31">
        <f>IF(B21="","",IFERROR(LOOKUP(2,1/(单次交易!$A$2:$A$201=B21),单次交易!$B$2:$B$201),""))</f>
        <v/>
      </c>
      <c r="D21" s="27" t="n"/>
      <c r="E21" s="43" t="n"/>
      <c r="F21" s="43" t="n"/>
      <c r="G21" s="28" t="n"/>
      <c r="H21" s="49" t="n"/>
      <c r="I21" s="43" t="n"/>
      <c r="J21" s="27" t="n"/>
      <c r="K21" s="28" t="n"/>
      <c r="L21" s="28" t="n"/>
      <c r="M21" s="28" t="n"/>
      <c r="N21" s="44">
        <f>IF(B21="","",IFERROR(LOOKUP(2,1/(单次交易!$A$2:$A$201=B21),单次交易!$N$2:$N$201),""))</f>
        <v/>
      </c>
      <c r="O21" s="44">
        <f>IF(A21&lt;&gt;"每日跟踪","",IF(OR(B21="",H21="",I21=""),"",IFERROR(AGGREGATE(14,6,$I$2:$I$501/(($A$2:$A$501="每日跟踪")*($B$2:$B$501=B21)*($H$2:$H$501&lt;=H21)),1),"")))</f>
        <v/>
      </c>
      <c r="P21" s="26">
        <f>IF(A21&lt;&gt;"每日跟踪","",IF(O21="","",IFERROR(AGGREGATE(14,6,$D$2:$D$501/(($A$2:$A$501="止损计划")*($B$2:$B$501=B21)*($E$2:$E$501&lt;=O21)),1),0)))</f>
        <v/>
      </c>
      <c r="Q21" s="44">
        <f>IF(A21&lt;&gt;"每日跟踪","",IF(N21="","",MAX(N21,IFERROR(AGGREGATE(14,6,$F$2:$F$501/(($A$2:$A$501="止损计划")*($B$2:$B$501=B21)*($E$2:$E$501&lt;=O21)),1),0))))</f>
        <v/>
      </c>
      <c r="R21" s="43" t="n"/>
      <c r="S21" s="44">
        <f>IF(A21&lt;&gt;"每日跟踪","",IF(Q21="","",MAX(Q21,IFERROR(AGGREGATE(14,6,$R$2:$R$501/(($A$2:$A$501="每日跟踪")*($B$2:$B$501=B21)*($H$2:$H$501&lt;=H21)),1),0))))</f>
        <v/>
      </c>
      <c r="T21" s="44">
        <f>IF(A21&lt;&gt;"每日跟踪","",IF(O21="","",IF(COUNTIFS($A$2:$A$501,"止损计划",$B$2:$B$501,B21,$E$2:$E$501,"&gt;"&amp;O21)=0,"",AGGREGATE(15,6,$E$2:$E$501/(($A$2:$A$501="止损计划")*($B$2:$B$501=B21)*($E$2:$E$501&gt;O21)),1))))</f>
        <v/>
      </c>
      <c r="U21" s="44">
        <f>IF(OR(A21&lt;&gt;"每日跟踪",T21=""),"",IFERROR(AGGREGATE(14,6,$F$2:$F$501/(($A$2:$A$501="止损计划")*($B$2:$B$501=B21)*($E$2:$E$501=T21)),1),""))</f>
        <v/>
      </c>
      <c r="V21" s="30">
        <f>IF(OR(A21&lt;&gt;"每日跟踪",T21="",I21="",I21&lt;=0),"",T21/I21-1)</f>
        <v/>
      </c>
      <c r="W21" s="31">
        <f>IF(A21&lt;&gt;"每日跟踪","",IF(OR(I21="",S21=""),"",IF(I21&lt;=S21,"触发止损：应全部卖出","继续观察")))</f>
        <v/>
      </c>
      <c r="X21" s="28" t="n"/>
      <c r="Y21" s="43" t="n"/>
      <c r="Z21" s="26">
        <f>IF(X21&lt;&gt;"执行卖出","",IFERROR(LOOKUP(2,1/(单次交易!$A$2:$A$201=B21),单次交易!$AP$2:$AP$201),""))</f>
        <v/>
      </c>
      <c r="AA21" s="43" t="n"/>
      <c r="AB21" s="31">
        <f>IF(A21&lt;&gt;"每日跟踪","",IF(OR(B21="",H21="",I21="",J21="",K21="",L21="",M21=""),"待补充每日记录",IF(W21="触发止损：应全部卖出",IF(X21&lt;&gt;"执行卖出","违规：触发止损但未执行",IF(Y21="","待补充实际卖出价","卖出记录完整")),IF(X21="","待选择卖出动作",IF(X21="执行卖出",IF(Y21="","待补充实际卖出价","卖出记录完整"),"正常")))))</f>
        <v/>
      </c>
      <c r="AC21" s="31">
        <f>IF(A21="","",IF(A21="止损计划",IF(OR(B21="",D21="",E21="",F21="",G21=""),"计划不完整",IF(OR(D21&lt;1,D21&lt;&gt;INT(D21)),"阶段序号无效",IF(COUNTIFS($A$2:$A$501,"止损计划",$B$2:$B$501,B21,$D$2:$D$501,D21)&gt;1,"阶段序号重复",IF(E21&lt;=IFERROR(LOOKUP(2,1/('单次交易'!$A$2:$A$201=B21),'单次交易'!$E$2:$E$201),0),"激活价须高于买入价",IF(F21&lt;N21,"止损价不得低于初始止损",IF(F21&gt;E21,"止损价不得高于激活价",IF(AND(COUNTIFS($A$2:$A$501,"止损计划",$B$2:$B$501,B21,$D$2:$D$501,"&lt;"&amp;D21)&gt;0,OR(E21&lt;=AGGREGATE(14,6,$E$2:$E$501/(($A$2:$A$501="止损计划")*($B$2:$B$501=B21)*($D$2:$D$501&lt;D21)),1),F21&lt;AGGREGATE(14,6,$F$2:$F$501/(($A$2:$A$501="止损计划")*($B$2:$B$501=B21)*($D$2:$D$501&lt;D21)),1))),"阶段价格必须逐级提高","计划有效"))))))),IF(A21="每日跟踪",IF(OR(B21="",H21="",I21="",J21=""),"每日数据不完整",IF(COUNTIFS($A$2:$A$501,"每日跟踪",$B$2:$B$501,B21,$H$2:$H$501,H21)&gt;1,"同一交易日期重复",IF(AND(R21&lt;&gt;"",R21&lt;S21),"人工止损无效：不能下调","跟踪有效"))),"记录类型无效")))</f>
        <v/>
      </c>
    </row>
    <row r="22">
      <c r="A22" s="28" t="n"/>
      <c r="B22" s="28" t="n"/>
      <c r="C22" s="31">
        <f>IF(B22="","",IFERROR(LOOKUP(2,1/(单次交易!$A$2:$A$201=B22),单次交易!$B$2:$B$201),""))</f>
        <v/>
      </c>
      <c r="D22" s="27" t="n"/>
      <c r="E22" s="43" t="n"/>
      <c r="F22" s="43" t="n"/>
      <c r="G22" s="28" t="n"/>
      <c r="H22" s="49" t="n"/>
      <c r="I22" s="43" t="n"/>
      <c r="J22" s="27" t="n"/>
      <c r="K22" s="28" t="n"/>
      <c r="L22" s="28" t="n"/>
      <c r="M22" s="28" t="n"/>
      <c r="N22" s="44">
        <f>IF(B22="","",IFERROR(LOOKUP(2,1/(单次交易!$A$2:$A$201=B22),单次交易!$N$2:$N$201),""))</f>
        <v/>
      </c>
      <c r="O22" s="44">
        <f>IF(A22&lt;&gt;"每日跟踪","",IF(OR(B22="",H22="",I22=""),"",IFERROR(AGGREGATE(14,6,$I$2:$I$501/(($A$2:$A$501="每日跟踪")*($B$2:$B$501=B22)*($H$2:$H$501&lt;=H22)),1),"")))</f>
        <v/>
      </c>
      <c r="P22" s="26">
        <f>IF(A22&lt;&gt;"每日跟踪","",IF(O22="","",IFERROR(AGGREGATE(14,6,$D$2:$D$501/(($A$2:$A$501="止损计划")*($B$2:$B$501=B22)*($E$2:$E$501&lt;=O22)),1),0)))</f>
        <v/>
      </c>
      <c r="Q22" s="44">
        <f>IF(A22&lt;&gt;"每日跟踪","",IF(N22="","",MAX(N22,IFERROR(AGGREGATE(14,6,$F$2:$F$501/(($A$2:$A$501="止损计划")*($B$2:$B$501=B22)*($E$2:$E$501&lt;=O22)),1),0))))</f>
        <v/>
      </c>
      <c r="R22" s="43" t="n"/>
      <c r="S22" s="44">
        <f>IF(A22&lt;&gt;"每日跟踪","",IF(Q22="","",MAX(Q22,IFERROR(AGGREGATE(14,6,$R$2:$R$501/(($A$2:$A$501="每日跟踪")*($B$2:$B$501=B22)*($H$2:$H$501&lt;=H22)),1),0))))</f>
        <v/>
      </c>
      <c r="T22" s="44">
        <f>IF(A22&lt;&gt;"每日跟踪","",IF(O22="","",IF(COUNTIFS($A$2:$A$501,"止损计划",$B$2:$B$501,B22,$E$2:$E$501,"&gt;"&amp;O22)=0,"",AGGREGATE(15,6,$E$2:$E$501/(($A$2:$A$501="止损计划")*($B$2:$B$501=B22)*($E$2:$E$501&gt;O22)),1))))</f>
        <v/>
      </c>
      <c r="U22" s="44">
        <f>IF(OR(A22&lt;&gt;"每日跟踪",T22=""),"",IFERROR(AGGREGATE(14,6,$F$2:$F$501/(($A$2:$A$501="止损计划")*($B$2:$B$501=B22)*($E$2:$E$501=T22)),1),""))</f>
        <v/>
      </c>
      <c r="V22" s="30">
        <f>IF(OR(A22&lt;&gt;"每日跟踪",T22="",I22="",I22&lt;=0),"",T22/I22-1)</f>
        <v/>
      </c>
      <c r="W22" s="31">
        <f>IF(A22&lt;&gt;"每日跟踪","",IF(OR(I22="",S22=""),"",IF(I22&lt;=S22,"触发止损：应全部卖出","继续观察")))</f>
        <v/>
      </c>
      <c r="X22" s="28" t="n"/>
      <c r="Y22" s="43" t="n"/>
      <c r="Z22" s="26">
        <f>IF(X22&lt;&gt;"执行卖出","",IFERROR(LOOKUP(2,1/(单次交易!$A$2:$A$201=B22),单次交易!$AP$2:$AP$201),""))</f>
        <v/>
      </c>
      <c r="AA22" s="43" t="n"/>
      <c r="AB22" s="31">
        <f>IF(A22&lt;&gt;"每日跟踪","",IF(OR(B22="",H22="",I22="",J22="",K22="",L22="",M22=""),"待补充每日记录",IF(W22="触发止损：应全部卖出",IF(X22&lt;&gt;"执行卖出","违规：触发止损但未执行",IF(Y22="","待补充实际卖出价","卖出记录完整")),IF(X22="","待选择卖出动作",IF(X22="执行卖出",IF(Y22="","待补充实际卖出价","卖出记录完整"),"正常")))))</f>
        <v/>
      </c>
      <c r="AC22" s="31">
        <f>IF(A22="","",IF(A22="止损计划",IF(OR(B22="",D22="",E22="",F22="",G22=""),"计划不完整",IF(OR(D22&lt;1,D22&lt;&gt;INT(D22)),"阶段序号无效",IF(COUNTIFS($A$2:$A$501,"止损计划",$B$2:$B$501,B22,$D$2:$D$501,D22)&gt;1,"阶段序号重复",IF(E22&lt;=IFERROR(LOOKUP(2,1/('单次交易'!$A$2:$A$201=B22),'单次交易'!$E$2:$E$201),0),"激活价须高于买入价",IF(F22&lt;N22,"止损价不得低于初始止损",IF(F22&gt;E22,"止损价不得高于激活价",IF(AND(COUNTIFS($A$2:$A$501,"止损计划",$B$2:$B$501,B22,$D$2:$D$501,"&lt;"&amp;D22)&gt;0,OR(E22&lt;=AGGREGATE(14,6,$E$2:$E$501/(($A$2:$A$501="止损计划")*($B$2:$B$501=B22)*($D$2:$D$501&lt;D22)),1),F22&lt;AGGREGATE(14,6,$F$2:$F$501/(($A$2:$A$501="止损计划")*($B$2:$B$501=B22)*($D$2:$D$501&lt;D22)),1))),"阶段价格必须逐级提高","计划有效"))))))),IF(A22="每日跟踪",IF(OR(B22="",H22="",I22="",J22=""),"每日数据不完整",IF(COUNTIFS($A$2:$A$501,"每日跟踪",$B$2:$B$501,B22,$H$2:$H$501,H22)&gt;1,"同一交易日期重复",IF(AND(R22&lt;&gt;"",R22&lt;S22),"人工止损无效：不能下调","跟踪有效"))),"记录类型无效")))</f>
        <v/>
      </c>
    </row>
    <row r="23">
      <c r="A23" s="28" t="n"/>
      <c r="B23" s="28" t="n"/>
      <c r="C23" s="31">
        <f>IF(B23="","",IFERROR(LOOKUP(2,1/(单次交易!$A$2:$A$201=B23),单次交易!$B$2:$B$201),""))</f>
        <v/>
      </c>
      <c r="D23" s="27" t="n"/>
      <c r="E23" s="43" t="n"/>
      <c r="F23" s="43" t="n"/>
      <c r="G23" s="28" t="n"/>
      <c r="H23" s="49" t="n"/>
      <c r="I23" s="43" t="n"/>
      <c r="J23" s="27" t="n"/>
      <c r="K23" s="28" t="n"/>
      <c r="L23" s="28" t="n"/>
      <c r="M23" s="28" t="n"/>
      <c r="N23" s="44">
        <f>IF(B23="","",IFERROR(LOOKUP(2,1/(单次交易!$A$2:$A$201=B23),单次交易!$N$2:$N$201),""))</f>
        <v/>
      </c>
      <c r="O23" s="44">
        <f>IF(A23&lt;&gt;"每日跟踪","",IF(OR(B23="",H23="",I23=""),"",IFERROR(AGGREGATE(14,6,$I$2:$I$501/(($A$2:$A$501="每日跟踪")*($B$2:$B$501=B23)*($H$2:$H$501&lt;=H23)),1),"")))</f>
        <v/>
      </c>
      <c r="P23" s="26">
        <f>IF(A23&lt;&gt;"每日跟踪","",IF(O23="","",IFERROR(AGGREGATE(14,6,$D$2:$D$501/(($A$2:$A$501="止损计划")*($B$2:$B$501=B23)*($E$2:$E$501&lt;=O23)),1),0)))</f>
        <v/>
      </c>
      <c r="Q23" s="44">
        <f>IF(A23&lt;&gt;"每日跟踪","",IF(N23="","",MAX(N23,IFERROR(AGGREGATE(14,6,$F$2:$F$501/(($A$2:$A$501="止损计划")*($B$2:$B$501=B23)*($E$2:$E$501&lt;=O23)),1),0))))</f>
        <v/>
      </c>
      <c r="R23" s="43" t="n"/>
      <c r="S23" s="44">
        <f>IF(A23&lt;&gt;"每日跟踪","",IF(Q23="","",MAX(Q23,IFERROR(AGGREGATE(14,6,$R$2:$R$501/(($A$2:$A$501="每日跟踪")*($B$2:$B$501=B23)*($H$2:$H$501&lt;=H23)),1),0))))</f>
        <v/>
      </c>
      <c r="T23" s="44">
        <f>IF(A23&lt;&gt;"每日跟踪","",IF(O23="","",IF(COUNTIFS($A$2:$A$501,"止损计划",$B$2:$B$501,B23,$E$2:$E$501,"&gt;"&amp;O23)=0,"",AGGREGATE(15,6,$E$2:$E$501/(($A$2:$A$501="止损计划")*($B$2:$B$501=B23)*($E$2:$E$501&gt;O23)),1))))</f>
        <v/>
      </c>
      <c r="U23" s="44">
        <f>IF(OR(A23&lt;&gt;"每日跟踪",T23=""),"",IFERROR(AGGREGATE(14,6,$F$2:$F$501/(($A$2:$A$501="止损计划")*($B$2:$B$501=B23)*($E$2:$E$501=T23)),1),""))</f>
        <v/>
      </c>
      <c r="V23" s="30">
        <f>IF(OR(A23&lt;&gt;"每日跟踪",T23="",I23="",I23&lt;=0),"",T23/I23-1)</f>
        <v/>
      </c>
      <c r="W23" s="31">
        <f>IF(A23&lt;&gt;"每日跟踪","",IF(OR(I23="",S23=""),"",IF(I23&lt;=S23,"触发止损：应全部卖出","继续观察")))</f>
        <v/>
      </c>
      <c r="X23" s="28" t="n"/>
      <c r="Y23" s="43" t="n"/>
      <c r="Z23" s="26">
        <f>IF(X23&lt;&gt;"执行卖出","",IFERROR(LOOKUP(2,1/(单次交易!$A$2:$A$201=B23),单次交易!$AP$2:$AP$201),""))</f>
        <v/>
      </c>
      <c r="AA23" s="43" t="n"/>
      <c r="AB23" s="31">
        <f>IF(A23&lt;&gt;"每日跟踪","",IF(OR(B23="",H23="",I23="",J23="",K23="",L23="",M23=""),"待补充每日记录",IF(W23="触发止损：应全部卖出",IF(X23&lt;&gt;"执行卖出","违规：触发止损但未执行",IF(Y23="","待补充实际卖出价","卖出记录完整")),IF(X23="","待选择卖出动作",IF(X23="执行卖出",IF(Y23="","待补充实际卖出价","卖出记录完整"),"正常")))))</f>
        <v/>
      </c>
      <c r="AC23" s="31">
        <f>IF(A23="","",IF(A23="止损计划",IF(OR(B23="",D23="",E23="",F23="",G23=""),"计划不完整",IF(OR(D23&lt;1,D23&lt;&gt;INT(D23)),"阶段序号无效",IF(COUNTIFS($A$2:$A$501,"止损计划",$B$2:$B$501,B23,$D$2:$D$501,D23)&gt;1,"阶段序号重复",IF(E23&lt;=IFERROR(LOOKUP(2,1/('单次交易'!$A$2:$A$201=B23),'单次交易'!$E$2:$E$201),0),"激活价须高于买入价",IF(F23&lt;N23,"止损价不得低于初始止损",IF(F23&gt;E23,"止损价不得高于激活价",IF(AND(COUNTIFS($A$2:$A$501,"止损计划",$B$2:$B$501,B23,$D$2:$D$501,"&lt;"&amp;D23)&gt;0,OR(E23&lt;=AGGREGATE(14,6,$E$2:$E$501/(($A$2:$A$501="止损计划")*($B$2:$B$501=B23)*($D$2:$D$501&lt;D23)),1),F23&lt;AGGREGATE(14,6,$F$2:$F$501/(($A$2:$A$501="止损计划")*($B$2:$B$501=B23)*($D$2:$D$501&lt;D23)),1))),"阶段价格必须逐级提高","计划有效"))))))),IF(A23="每日跟踪",IF(OR(B23="",H23="",I23="",J23=""),"每日数据不完整",IF(COUNTIFS($A$2:$A$501,"每日跟踪",$B$2:$B$501,B23,$H$2:$H$501,H23)&gt;1,"同一交易日期重复",IF(AND(R23&lt;&gt;"",R23&lt;S23),"人工止损无效：不能下调","跟踪有效"))),"记录类型无效")))</f>
        <v/>
      </c>
    </row>
    <row r="24">
      <c r="A24" s="28" t="n"/>
      <c r="B24" s="28" t="n"/>
      <c r="C24" s="31">
        <f>IF(B24="","",IFERROR(LOOKUP(2,1/(单次交易!$A$2:$A$201=B24),单次交易!$B$2:$B$201),""))</f>
        <v/>
      </c>
      <c r="D24" s="27" t="n"/>
      <c r="E24" s="43" t="n"/>
      <c r="F24" s="43" t="n"/>
      <c r="G24" s="28" t="n"/>
      <c r="H24" s="49" t="n"/>
      <c r="I24" s="43" t="n"/>
      <c r="J24" s="27" t="n"/>
      <c r="K24" s="28" t="n"/>
      <c r="L24" s="28" t="n"/>
      <c r="M24" s="28" t="n"/>
      <c r="N24" s="44">
        <f>IF(B24="","",IFERROR(LOOKUP(2,1/(单次交易!$A$2:$A$201=B24),单次交易!$N$2:$N$201),""))</f>
        <v/>
      </c>
      <c r="O24" s="44">
        <f>IF(A24&lt;&gt;"每日跟踪","",IF(OR(B24="",H24="",I24=""),"",IFERROR(AGGREGATE(14,6,$I$2:$I$501/(($A$2:$A$501="每日跟踪")*($B$2:$B$501=B24)*($H$2:$H$501&lt;=H24)),1),"")))</f>
        <v/>
      </c>
      <c r="P24" s="26">
        <f>IF(A24&lt;&gt;"每日跟踪","",IF(O24="","",IFERROR(AGGREGATE(14,6,$D$2:$D$501/(($A$2:$A$501="止损计划")*($B$2:$B$501=B24)*($E$2:$E$501&lt;=O24)),1),0)))</f>
        <v/>
      </c>
      <c r="Q24" s="44">
        <f>IF(A24&lt;&gt;"每日跟踪","",IF(N24="","",MAX(N24,IFERROR(AGGREGATE(14,6,$F$2:$F$501/(($A$2:$A$501="止损计划")*($B$2:$B$501=B24)*($E$2:$E$501&lt;=O24)),1),0))))</f>
        <v/>
      </c>
      <c r="R24" s="43" t="n"/>
      <c r="S24" s="44">
        <f>IF(A24&lt;&gt;"每日跟踪","",IF(Q24="","",MAX(Q24,IFERROR(AGGREGATE(14,6,$R$2:$R$501/(($A$2:$A$501="每日跟踪")*($B$2:$B$501=B24)*($H$2:$H$501&lt;=H24)),1),0))))</f>
        <v/>
      </c>
      <c r="T24" s="44">
        <f>IF(A24&lt;&gt;"每日跟踪","",IF(O24="","",IF(COUNTIFS($A$2:$A$501,"止损计划",$B$2:$B$501,B24,$E$2:$E$501,"&gt;"&amp;O24)=0,"",AGGREGATE(15,6,$E$2:$E$501/(($A$2:$A$501="止损计划")*($B$2:$B$501=B24)*($E$2:$E$501&gt;O24)),1))))</f>
        <v/>
      </c>
      <c r="U24" s="44">
        <f>IF(OR(A24&lt;&gt;"每日跟踪",T24=""),"",IFERROR(AGGREGATE(14,6,$F$2:$F$501/(($A$2:$A$501="止损计划")*($B$2:$B$501=B24)*($E$2:$E$501=T24)),1),""))</f>
        <v/>
      </c>
      <c r="V24" s="30">
        <f>IF(OR(A24&lt;&gt;"每日跟踪",T24="",I24="",I24&lt;=0),"",T24/I24-1)</f>
        <v/>
      </c>
      <c r="W24" s="31">
        <f>IF(A24&lt;&gt;"每日跟踪","",IF(OR(I24="",S24=""),"",IF(I24&lt;=S24,"触发止损：应全部卖出","继续观察")))</f>
        <v/>
      </c>
      <c r="X24" s="28" t="n"/>
      <c r="Y24" s="43" t="n"/>
      <c r="Z24" s="26">
        <f>IF(X24&lt;&gt;"执行卖出","",IFERROR(LOOKUP(2,1/(单次交易!$A$2:$A$201=B24),单次交易!$AP$2:$AP$201),""))</f>
        <v/>
      </c>
      <c r="AA24" s="43" t="n"/>
      <c r="AB24" s="31">
        <f>IF(A24&lt;&gt;"每日跟踪","",IF(OR(B24="",H24="",I24="",J24="",K24="",L24="",M24=""),"待补充每日记录",IF(W24="触发止损：应全部卖出",IF(X24&lt;&gt;"执行卖出","违规：触发止损但未执行",IF(Y24="","待补充实际卖出价","卖出记录完整")),IF(X24="","待选择卖出动作",IF(X24="执行卖出",IF(Y24="","待补充实际卖出价","卖出记录完整"),"正常")))))</f>
        <v/>
      </c>
      <c r="AC24" s="31">
        <f>IF(A24="","",IF(A24="止损计划",IF(OR(B24="",D24="",E24="",F24="",G24=""),"计划不完整",IF(OR(D24&lt;1,D24&lt;&gt;INT(D24)),"阶段序号无效",IF(COUNTIFS($A$2:$A$501,"止损计划",$B$2:$B$501,B24,$D$2:$D$501,D24)&gt;1,"阶段序号重复",IF(E24&lt;=IFERROR(LOOKUP(2,1/('单次交易'!$A$2:$A$201=B24),'单次交易'!$E$2:$E$201),0),"激活价须高于买入价",IF(F24&lt;N24,"止损价不得低于初始止损",IF(F24&gt;E24,"止损价不得高于激活价",IF(AND(COUNTIFS($A$2:$A$501,"止损计划",$B$2:$B$501,B24,$D$2:$D$501,"&lt;"&amp;D24)&gt;0,OR(E24&lt;=AGGREGATE(14,6,$E$2:$E$501/(($A$2:$A$501="止损计划")*($B$2:$B$501=B24)*($D$2:$D$501&lt;D24)),1),F24&lt;AGGREGATE(14,6,$F$2:$F$501/(($A$2:$A$501="止损计划")*($B$2:$B$501=B24)*($D$2:$D$501&lt;D24)),1))),"阶段价格必须逐级提高","计划有效"))))))),IF(A24="每日跟踪",IF(OR(B24="",H24="",I24="",J24=""),"每日数据不完整",IF(COUNTIFS($A$2:$A$501,"每日跟踪",$B$2:$B$501,B24,$H$2:$H$501,H24)&gt;1,"同一交易日期重复",IF(AND(R24&lt;&gt;"",R24&lt;S24),"人工止损无效：不能下调","跟踪有效"))),"记录类型无效")))</f>
        <v/>
      </c>
    </row>
    <row r="25">
      <c r="A25" s="28" t="n"/>
      <c r="B25" s="28" t="n"/>
      <c r="C25" s="31">
        <f>IF(B25="","",IFERROR(LOOKUP(2,1/(单次交易!$A$2:$A$201=B25),单次交易!$B$2:$B$201),""))</f>
        <v/>
      </c>
      <c r="D25" s="27" t="n"/>
      <c r="E25" s="43" t="n"/>
      <c r="F25" s="43" t="n"/>
      <c r="G25" s="28" t="n"/>
      <c r="H25" s="49" t="n"/>
      <c r="I25" s="43" t="n"/>
      <c r="J25" s="27" t="n"/>
      <c r="K25" s="28" t="n"/>
      <c r="L25" s="28" t="n"/>
      <c r="M25" s="28" t="n"/>
      <c r="N25" s="44">
        <f>IF(B25="","",IFERROR(LOOKUP(2,1/(单次交易!$A$2:$A$201=B25),单次交易!$N$2:$N$201),""))</f>
        <v/>
      </c>
      <c r="O25" s="44">
        <f>IF(A25&lt;&gt;"每日跟踪","",IF(OR(B25="",H25="",I25=""),"",IFERROR(AGGREGATE(14,6,$I$2:$I$501/(($A$2:$A$501="每日跟踪")*($B$2:$B$501=B25)*($H$2:$H$501&lt;=H25)),1),"")))</f>
        <v/>
      </c>
      <c r="P25" s="26">
        <f>IF(A25&lt;&gt;"每日跟踪","",IF(O25="","",IFERROR(AGGREGATE(14,6,$D$2:$D$501/(($A$2:$A$501="止损计划")*($B$2:$B$501=B25)*($E$2:$E$501&lt;=O25)),1),0)))</f>
        <v/>
      </c>
      <c r="Q25" s="44">
        <f>IF(A25&lt;&gt;"每日跟踪","",IF(N25="","",MAX(N25,IFERROR(AGGREGATE(14,6,$F$2:$F$501/(($A$2:$A$501="止损计划")*($B$2:$B$501=B25)*($E$2:$E$501&lt;=O25)),1),0))))</f>
        <v/>
      </c>
      <c r="R25" s="43" t="n"/>
      <c r="S25" s="44">
        <f>IF(A25&lt;&gt;"每日跟踪","",IF(Q25="","",MAX(Q25,IFERROR(AGGREGATE(14,6,$R$2:$R$501/(($A$2:$A$501="每日跟踪")*($B$2:$B$501=B25)*($H$2:$H$501&lt;=H25)),1),0))))</f>
        <v/>
      </c>
      <c r="T25" s="44">
        <f>IF(A25&lt;&gt;"每日跟踪","",IF(O25="","",IF(COUNTIFS($A$2:$A$501,"止损计划",$B$2:$B$501,B25,$E$2:$E$501,"&gt;"&amp;O25)=0,"",AGGREGATE(15,6,$E$2:$E$501/(($A$2:$A$501="止损计划")*($B$2:$B$501=B25)*($E$2:$E$501&gt;O25)),1))))</f>
        <v/>
      </c>
      <c r="U25" s="44">
        <f>IF(OR(A25&lt;&gt;"每日跟踪",T25=""),"",IFERROR(AGGREGATE(14,6,$F$2:$F$501/(($A$2:$A$501="止损计划")*($B$2:$B$501=B25)*($E$2:$E$501=T25)),1),""))</f>
        <v/>
      </c>
      <c r="V25" s="30">
        <f>IF(OR(A25&lt;&gt;"每日跟踪",T25="",I25="",I25&lt;=0),"",T25/I25-1)</f>
        <v/>
      </c>
      <c r="W25" s="31">
        <f>IF(A25&lt;&gt;"每日跟踪","",IF(OR(I25="",S25=""),"",IF(I25&lt;=S25,"触发止损：应全部卖出","继续观察")))</f>
        <v/>
      </c>
      <c r="X25" s="28" t="n"/>
      <c r="Y25" s="43" t="n"/>
      <c r="Z25" s="26">
        <f>IF(X25&lt;&gt;"执行卖出","",IFERROR(LOOKUP(2,1/(单次交易!$A$2:$A$201=B25),单次交易!$AP$2:$AP$201),""))</f>
        <v/>
      </c>
      <c r="AA25" s="43" t="n"/>
      <c r="AB25" s="31">
        <f>IF(A25&lt;&gt;"每日跟踪","",IF(OR(B25="",H25="",I25="",J25="",K25="",L25="",M25=""),"待补充每日记录",IF(W25="触发止损：应全部卖出",IF(X25&lt;&gt;"执行卖出","违规：触发止损但未执行",IF(Y25="","待补充实际卖出价","卖出记录完整")),IF(X25="","待选择卖出动作",IF(X25="执行卖出",IF(Y25="","待补充实际卖出价","卖出记录完整"),"正常")))))</f>
        <v/>
      </c>
      <c r="AC25" s="31">
        <f>IF(A25="","",IF(A25="止损计划",IF(OR(B25="",D25="",E25="",F25="",G25=""),"计划不完整",IF(OR(D25&lt;1,D25&lt;&gt;INT(D25)),"阶段序号无效",IF(COUNTIFS($A$2:$A$501,"止损计划",$B$2:$B$501,B25,$D$2:$D$501,D25)&gt;1,"阶段序号重复",IF(E25&lt;=IFERROR(LOOKUP(2,1/('单次交易'!$A$2:$A$201=B25),'单次交易'!$E$2:$E$201),0),"激活价须高于买入价",IF(F25&lt;N25,"止损价不得低于初始止损",IF(F25&gt;E25,"止损价不得高于激活价",IF(AND(COUNTIFS($A$2:$A$501,"止损计划",$B$2:$B$501,B25,$D$2:$D$501,"&lt;"&amp;D25)&gt;0,OR(E25&lt;=AGGREGATE(14,6,$E$2:$E$501/(($A$2:$A$501="止损计划")*($B$2:$B$501=B25)*($D$2:$D$501&lt;D25)),1),F25&lt;AGGREGATE(14,6,$F$2:$F$501/(($A$2:$A$501="止损计划")*($B$2:$B$501=B25)*($D$2:$D$501&lt;D25)),1))),"阶段价格必须逐级提高","计划有效"))))))),IF(A25="每日跟踪",IF(OR(B25="",H25="",I25="",J25=""),"每日数据不完整",IF(COUNTIFS($A$2:$A$501,"每日跟踪",$B$2:$B$501,B25,$H$2:$H$501,H25)&gt;1,"同一交易日期重复",IF(AND(R25&lt;&gt;"",R25&lt;S25),"人工止损无效：不能下调","跟踪有效"))),"记录类型无效")))</f>
        <v/>
      </c>
    </row>
    <row r="26">
      <c r="A26" s="28" t="n"/>
      <c r="B26" s="28" t="n"/>
      <c r="C26" s="31">
        <f>IF(B26="","",IFERROR(LOOKUP(2,1/(单次交易!$A$2:$A$201=B26),单次交易!$B$2:$B$201),""))</f>
        <v/>
      </c>
      <c r="D26" s="27" t="n"/>
      <c r="E26" s="43" t="n"/>
      <c r="F26" s="43" t="n"/>
      <c r="G26" s="28" t="n"/>
      <c r="H26" s="49" t="n"/>
      <c r="I26" s="43" t="n"/>
      <c r="J26" s="27" t="n"/>
      <c r="K26" s="28" t="n"/>
      <c r="L26" s="28" t="n"/>
      <c r="M26" s="28" t="n"/>
      <c r="N26" s="44">
        <f>IF(B26="","",IFERROR(LOOKUP(2,1/(单次交易!$A$2:$A$201=B26),单次交易!$N$2:$N$201),""))</f>
        <v/>
      </c>
      <c r="O26" s="44">
        <f>IF(A26&lt;&gt;"每日跟踪","",IF(OR(B26="",H26="",I26=""),"",IFERROR(AGGREGATE(14,6,$I$2:$I$501/(($A$2:$A$501="每日跟踪")*($B$2:$B$501=B26)*($H$2:$H$501&lt;=H26)),1),"")))</f>
        <v/>
      </c>
      <c r="P26" s="26">
        <f>IF(A26&lt;&gt;"每日跟踪","",IF(O26="","",IFERROR(AGGREGATE(14,6,$D$2:$D$501/(($A$2:$A$501="止损计划")*($B$2:$B$501=B26)*($E$2:$E$501&lt;=O26)),1),0)))</f>
        <v/>
      </c>
      <c r="Q26" s="44">
        <f>IF(A26&lt;&gt;"每日跟踪","",IF(N26="","",MAX(N26,IFERROR(AGGREGATE(14,6,$F$2:$F$501/(($A$2:$A$501="止损计划")*($B$2:$B$501=B26)*($E$2:$E$501&lt;=O26)),1),0))))</f>
        <v/>
      </c>
      <c r="R26" s="43" t="n"/>
      <c r="S26" s="44">
        <f>IF(A26&lt;&gt;"每日跟踪","",IF(Q26="","",MAX(Q26,IFERROR(AGGREGATE(14,6,$R$2:$R$501/(($A$2:$A$501="每日跟踪")*($B$2:$B$501=B26)*($H$2:$H$501&lt;=H26)),1),0))))</f>
        <v/>
      </c>
      <c r="T26" s="44">
        <f>IF(A26&lt;&gt;"每日跟踪","",IF(O26="","",IF(COUNTIFS($A$2:$A$501,"止损计划",$B$2:$B$501,B26,$E$2:$E$501,"&gt;"&amp;O26)=0,"",AGGREGATE(15,6,$E$2:$E$501/(($A$2:$A$501="止损计划")*($B$2:$B$501=B26)*($E$2:$E$501&gt;O26)),1))))</f>
        <v/>
      </c>
      <c r="U26" s="44">
        <f>IF(OR(A26&lt;&gt;"每日跟踪",T26=""),"",IFERROR(AGGREGATE(14,6,$F$2:$F$501/(($A$2:$A$501="止损计划")*($B$2:$B$501=B26)*($E$2:$E$501=T26)),1),""))</f>
        <v/>
      </c>
      <c r="V26" s="30">
        <f>IF(OR(A26&lt;&gt;"每日跟踪",T26="",I26="",I26&lt;=0),"",T26/I26-1)</f>
        <v/>
      </c>
      <c r="W26" s="31">
        <f>IF(A26&lt;&gt;"每日跟踪","",IF(OR(I26="",S26=""),"",IF(I26&lt;=S26,"触发止损：应全部卖出","继续观察")))</f>
        <v/>
      </c>
      <c r="X26" s="28" t="n"/>
      <c r="Y26" s="43" t="n"/>
      <c r="Z26" s="26">
        <f>IF(X26&lt;&gt;"执行卖出","",IFERROR(LOOKUP(2,1/(单次交易!$A$2:$A$201=B26),单次交易!$AP$2:$AP$201),""))</f>
        <v/>
      </c>
      <c r="AA26" s="43" t="n"/>
      <c r="AB26" s="31">
        <f>IF(A26&lt;&gt;"每日跟踪","",IF(OR(B26="",H26="",I26="",J26="",K26="",L26="",M26=""),"待补充每日记录",IF(W26="触发止损：应全部卖出",IF(X26&lt;&gt;"执行卖出","违规：触发止损但未执行",IF(Y26="","待补充实际卖出价","卖出记录完整")),IF(X26="","待选择卖出动作",IF(X26="执行卖出",IF(Y26="","待补充实际卖出价","卖出记录完整"),"正常")))))</f>
        <v/>
      </c>
      <c r="AC26" s="31">
        <f>IF(A26="","",IF(A26="止损计划",IF(OR(B26="",D26="",E26="",F26="",G26=""),"计划不完整",IF(OR(D26&lt;1,D26&lt;&gt;INT(D26)),"阶段序号无效",IF(COUNTIFS($A$2:$A$501,"止损计划",$B$2:$B$501,B26,$D$2:$D$501,D26)&gt;1,"阶段序号重复",IF(E26&lt;=IFERROR(LOOKUP(2,1/('单次交易'!$A$2:$A$201=B26),'单次交易'!$E$2:$E$201),0),"激活价须高于买入价",IF(F26&lt;N26,"止损价不得低于初始止损",IF(F26&gt;E26,"止损价不得高于激活价",IF(AND(COUNTIFS($A$2:$A$501,"止损计划",$B$2:$B$501,B26,$D$2:$D$501,"&lt;"&amp;D26)&gt;0,OR(E26&lt;=AGGREGATE(14,6,$E$2:$E$501/(($A$2:$A$501="止损计划")*($B$2:$B$501=B26)*($D$2:$D$501&lt;D26)),1),F26&lt;AGGREGATE(14,6,$F$2:$F$501/(($A$2:$A$501="止损计划")*($B$2:$B$501=B26)*($D$2:$D$501&lt;D26)),1))),"阶段价格必须逐级提高","计划有效"))))))),IF(A26="每日跟踪",IF(OR(B26="",H26="",I26="",J26=""),"每日数据不完整",IF(COUNTIFS($A$2:$A$501,"每日跟踪",$B$2:$B$501,B26,$H$2:$H$501,H26)&gt;1,"同一交易日期重复",IF(AND(R26&lt;&gt;"",R26&lt;S26),"人工止损无效：不能下调","跟踪有效"))),"记录类型无效")))</f>
        <v/>
      </c>
    </row>
    <row r="27">
      <c r="A27" s="28" t="n"/>
      <c r="B27" s="28" t="n"/>
      <c r="C27" s="31">
        <f>IF(B27="","",IFERROR(LOOKUP(2,1/(单次交易!$A$2:$A$201=B27),单次交易!$B$2:$B$201),""))</f>
        <v/>
      </c>
      <c r="D27" s="27" t="n"/>
      <c r="E27" s="43" t="n"/>
      <c r="F27" s="43" t="n"/>
      <c r="G27" s="28" t="n"/>
      <c r="H27" s="49" t="n"/>
      <c r="I27" s="43" t="n"/>
      <c r="J27" s="27" t="n"/>
      <c r="K27" s="28" t="n"/>
      <c r="L27" s="28" t="n"/>
      <c r="M27" s="28" t="n"/>
      <c r="N27" s="44">
        <f>IF(B27="","",IFERROR(LOOKUP(2,1/(单次交易!$A$2:$A$201=B27),单次交易!$N$2:$N$201),""))</f>
        <v/>
      </c>
      <c r="O27" s="44">
        <f>IF(A27&lt;&gt;"每日跟踪","",IF(OR(B27="",H27="",I27=""),"",IFERROR(AGGREGATE(14,6,$I$2:$I$501/(($A$2:$A$501="每日跟踪")*($B$2:$B$501=B27)*($H$2:$H$501&lt;=H27)),1),"")))</f>
        <v/>
      </c>
      <c r="P27" s="26">
        <f>IF(A27&lt;&gt;"每日跟踪","",IF(O27="","",IFERROR(AGGREGATE(14,6,$D$2:$D$501/(($A$2:$A$501="止损计划")*($B$2:$B$501=B27)*($E$2:$E$501&lt;=O27)),1),0)))</f>
        <v/>
      </c>
      <c r="Q27" s="44">
        <f>IF(A27&lt;&gt;"每日跟踪","",IF(N27="","",MAX(N27,IFERROR(AGGREGATE(14,6,$F$2:$F$501/(($A$2:$A$501="止损计划")*($B$2:$B$501=B27)*($E$2:$E$501&lt;=O27)),1),0))))</f>
        <v/>
      </c>
      <c r="R27" s="43" t="n"/>
      <c r="S27" s="44">
        <f>IF(A27&lt;&gt;"每日跟踪","",IF(Q27="","",MAX(Q27,IFERROR(AGGREGATE(14,6,$R$2:$R$501/(($A$2:$A$501="每日跟踪")*($B$2:$B$501=B27)*($H$2:$H$501&lt;=H27)),1),0))))</f>
        <v/>
      </c>
      <c r="T27" s="44">
        <f>IF(A27&lt;&gt;"每日跟踪","",IF(O27="","",IF(COUNTIFS($A$2:$A$501,"止损计划",$B$2:$B$501,B27,$E$2:$E$501,"&gt;"&amp;O27)=0,"",AGGREGATE(15,6,$E$2:$E$501/(($A$2:$A$501="止损计划")*($B$2:$B$501=B27)*($E$2:$E$501&gt;O27)),1))))</f>
        <v/>
      </c>
      <c r="U27" s="44">
        <f>IF(OR(A27&lt;&gt;"每日跟踪",T27=""),"",IFERROR(AGGREGATE(14,6,$F$2:$F$501/(($A$2:$A$501="止损计划")*($B$2:$B$501=B27)*($E$2:$E$501=T27)),1),""))</f>
        <v/>
      </c>
      <c r="V27" s="30">
        <f>IF(OR(A27&lt;&gt;"每日跟踪",T27="",I27="",I27&lt;=0),"",T27/I27-1)</f>
        <v/>
      </c>
      <c r="W27" s="31">
        <f>IF(A27&lt;&gt;"每日跟踪","",IF(OR(I27="",S27=""),"",IF(I27&lt;=S27,"触发止损：应全部卖出","继续观察")))</f>
        <v/>
      </c>
      <c r="X27" s="28" t="n"/>
      <c r="Y27" s="43" t="n"/>
      <c r="Z27" s="26">
        <f>IF(X27&lt;&gt;"执行卖出","",IFERROR(LOOKUP(2,1/(单次交易!$A$2:$A$201=B27),单次交易!$AP$2:$AP$201),""))</f>
        <v/>
      </c>
      <c r="AA27" s="43" t="n"/>
      <c r="AB27" s="31">
        <f>IF(A27&lt;&gt;"每日跟踪","",IF(OR(B27="",H27="",I27="",J27="",K27="",L27="",M27=""),"待补充每日记录",IF(W27="触发止损：应全部卖出",IF(X27&lt;&gt;"执行卖出","违规：触发止损但未执行",IF(Y27="","待补充实际卖出价","卖出记录完整")),IF(X27="","待选择卖出动作",IF(X27="执行卖出",IF(Y27="","待补充实际卖出价","卖出记录完整"),"正常")))))</f>
        <v/>
      </c>
      <c r="AC27" s="31">
        <f>IF(A27="","",IF(A27="止损计划",IF(OR(B27="",D27="",E27="",F27="",G27=""),"计划不完整",IF(OR(D27&lt;1,D27&lt;&gt;INT(D27)),"阶段序号无效",IF(COUNTIFS($A$2:$A$501,"止损计划",$B$2:$B$501,B27,$D$2:$D$501,D27)&gt;1,"阶段序号重复",IF(E27&lt;=IFERROR(LOOKUP(2,1/('单次交易'!$A$2:$A$201=B27),'单次交易'!$E$2:$E$201),0),"激活价须高于买入价",IF(F27&lt;N27,"止损价不得低于初始止损",IF(F27&gt;E27,"止损价不得高于激活价",IF(AND(COUNTIFS($A$2:$A$501,"止损计划",$B$2:$B$501,B27,$D$2:$D$501,"&lt;"&amp;D27)&gt;0,OR(E27&lt;=AGGREGATE(14,6,$E$2:$E$501/(($A$2:$A$501="止损计划")*($B$2:$B$501=B27)*($D$2:$D$501&lt;D27)),1),F27&lt;AGGREGATE(14,6,$F$2:$F$501/(($A$2:$A$501="止损计划")*($B$2:$B$501=B27)*($D$2:$D$501&lt;D27)),1))),"阶段价格必须逐级提高","计划有效"))))))),IF(A27="每日跟踪",IF(OR(B27="",H27="",I27="",J27=""),"每日数据不完整",IF(COUNTIFS($A$2:$A$501,"每日跟踪",$B$2:$B$501,B27,$H$2:$H$501,H27)&gt;1,"同一交易日期重复",IF(AND(R27&lt;&gt;"",R27&lt;S27),"人工止损无效：不能下调","跟踪有效"))),"记录类型无效")))</f>
        <v/>
      </c>
    </row>
    <row r="28">
      <c r="A28" s="28" t="n"/>
      <c r="B28" s="28" t="n"/>
      <c r="C28" s="31">
        <f>IF(B28="","",IFERROR(LOOKUP(2,1/(单次交易!$A$2:$A$201=B28),单次交易!$B$2:$B$201),""))</f>
        <v/>
      </c>
      <c r="D28" s="27" t="n"/>
      <c r="E28" s="43" t="n"/>
      <c r="F28" s="43" t="n"/>
      <c r="G28" s="28" t="n"/>
      <c r="H28" s="49" t="n"/>
      <c r="I28" s="43" t="n"/>
      <c r="J28" s="27" t="n"/>
      <c r="K28" s="28" t="n"/>
      <c r="L28" s="28" t="n"/>
      <c r="M28" s="28" t="n"/>
      <c r="N28" s="44">
        <f>IF(B28="","",IFERROR(LOOKUP(2,1/(单次交易!$A$2:$A$201=B28),单次交易!$N$2:$N$201),""))</f>
        <v/>
      </c>
      <c r="O28" s="44">
        <f>IF(A28&lt;&gt;"每日跟踪","",IF(OR(B28="",H28="",I28=""),"",IFERROR(AGGREGATE(14,6,$I$2:$I$501/(($A$2:$A$501="每日跟踪")*($B$2:$B$501=B28)*($H$2:$H$501&lt;=H28)),1),"")))</f>
        <v/>
      </c>
      <c r="P28" s="26">
        <f>IF(A28&lt;&gt;"每日跟踪","",IF(O28="","",IFERROR(AGGREGATE(14,6,$D$2:$D$501/(($A$2:$A$501="止损计划")*($B$2:$B$501=B28)*($E$2:$E$501&lt;=O28)),1),0)))</f>
        <v/>
      </c>
      <c r="Q28" s="44">
        <f>IF(A28&lt;&gt;"每日跟踪","",IF(N28="","",MAX(N28,IFERROR(AGGREGATE(14,6,$F$2:$F$501/(($A$2:$A$501="止损计划")*($B$2:$B$501=B28)*($E$2:$E$501&lt;=O28)),1),0))))</f>
        <v/>
      </c>
      <c r="R28" s="43" t="n"/>
      <c r="S28" s="44">
        <f>IF(A28&lt;&gt;"每日跟踪","",IF(Q28="","",MAX(Q28,IFERROR(AGGREGATE(14,6,$R$2:$R$501/(($A$2:$A$501="每日跟踪")*($B$2:$B$501=B28)*($H$2:$H$501&lt;=H28)),1),0))))</f>
        <v/>
      </c>
      <c r="T28" s="44">
        <f>IF(A28&lt;&gt;"每日跟踪","",IF(O28="","",IF(COUNTIFS($A$2:$A$501,"止损计划",$B$2:$B$501,B28,$E$2:$E$501,"&gt;"&amp;O28)=0,"",AGGREGATE(15,6,$E$2:$E$501/(($A$2:$A$501="止损计划")*($B$2:$B$501=B28)*($E$2:$E$501&gt;O28)),1))))</f>
        <v/>
      </c>
      <c r="U28" s="44">
        <f>IF(OR(A28&lt;&gt;"每日跟踪",T28=""),"",IFERROR(AGGREGATE(14,6,$F$2:$F$501/(($A$2:$A$501="止损计划")*($B$2:$B$501=B28)*($E$2:$E$501=T28)),1),""))</f>
        <v/>
      </c>
      <c r="V28" s="30">
        <f>IF(OR(A28&lt;&gt;"每日跟踪",T28="",I28="",I28&lt;=0),"",T28/I28-1)</f>
        <v/>
      </c>
      <c r="W28" s="31">
        <f>IF(A28&lt;&gt;"每日跟踪","",IF(OR(I28="",S28=""),"",IF(I28&lt;=S28,"触发止损：应全部卖出","继续观察")))</f>
        <v/>
      </c>
      <c r="X28" s="28" t="n"/>
      <c r="Y28" s="43" t="n"/>
      <c r="Z28" s="26">
        <f>IF(X28&lt;&gt;"执行卖出","",IFERROR(LOOKUP(2,1/(单次交易!$A$2:$A$201=B28),单次交易!$AP$2:$AP$201),""))</f>
        <v/>
      </c>
      <c r="AA28" s="43" t="n"/>
      <c r="AB28" s="31">
        <f>IF(A28&lt;&gt;"每日跟踪","",IF(OR(B28="",H28="",I28="",J28="",K28="",L28="",M28=""),"待补充每日记录",IF(W28="触发止损：应全部卖出",IF(X28&lt;&gt;"执行卖出","违规：触发止损但未执行",IF(Y28="","待补充实际卖出价","卖出记录完整")),IF(X28="","待选择卖出动作",IF(X28="执行卖出",IF(Y28="","待补充实际卖出价","卖出记录完整"),"正常")))))</f>
        <v/>
      </c>
      <c r="AC28" s="31">
        <f>IF(A28="","",IF(A28="止损计划",IF(OR(B28="",D28="",E28="",F28="",G28=""),"计划不完整",IF(OR(D28&lt;1,D28&lt;&gt;INT(D28)),"阶段序号无效",IF(COUNTIFS($A$2:$A$501,"止损计划",$B$2:$B$501,B28,$D$2:$D$501,D28)&gt;1,"阶段序号重复",IF(E28&lt;=IFERROR(LOOKUP(2,1/('单次交易'!$A$2:$A$201=B28),'单次交易'!$E$2:$E$201),0),"激活价须高于买入价",IF(F28&lt;N28,"止损价不得低于初始止损",IF(F28&gt;E28,"止损价不得高于激活价",IF(AND(COUNTIFS($A$2:$A$501,"止损计划",$B$2:$B$501,B28,$D$2:$D$501,"&lt;"&amp;D28)&gt;0,OR(E28&lt;=AGGREGATE(14,6,$E$2:$E$501/(($A$2:$A$501="止损计划")*($B$2:$B$501=B28)*($D$2:$D$501&lt;D28)),1),F28&lt;AGGREGATE(14,6,$F$2:$F$501/(($A$2:$A$501="止损计划")*($B$2:$B$501=B28)*($D$2:$D$501&lt;D28)),1))),"阶段价格必须逐级提高","计划有效"))))))),IF(A28="每日跟踪",IF(OR(B28="",H28="",I28="",J28=""),"每日数据不完整",IF(COUNTIFS($A$2:$A$501,"每日跟踪",$B$2:$B$501,B28,$H$2:$H$501,H28)&gt;1,"同一交易日期重复",IF(AND(R28&lt;&gt;"",R28&lt;S28),"人工止损无效：不能下调","跟踪有效"))),"记录类型无效")))</f>
        <v/>
      </c>
    </row>
    <row r="29">
      <c r="A29" s="28" t="n"/>
      <c r="B29" s="28" t="n"/>
      <c r="C29" s="31">
        <f>IF(B29="","",IFERROR(LOOKUP(2,1/(单次交易!$A$2:$A$201=B29),单次交易!$B$2:$B$201),""))</f>
        <v/>
      </c>
      <c r="D29" s="27" t="n"/>
      <c r="E29" s="43" t="n"/>
      <c r="F29" s="43" t="n"/>
      <c r="G29" s="28" t="n"/>
      <c r="H29" s="49" t="n"/>
      <c r="I29" s="43" t="n"/>
      <c r="J29" s="27" t="n"/>
      <c r="K29" s="28" t="n"/>
      <c r="L29" s="28" t="n"/>
      <c r="M29" s="28" t="n"/>
      <c r="N29" s="44">
        <f>IF(B29="","",IFERROR(LOOKUP(2,1/(单次交易!$A$2:$A$201=B29),单次交易!$N$2:$N$201),""))</f>
        <v/>
      </c>
      <c r="O29" s="44">
        <f>IF(A29&lt;&gt;"每日跟踪","",IF(OR(B29="",H29="",I29=""),"",IFERROR(AGGREGATE(14,6,$I$2:$I$501/(($A$2:$A$501="每日跟踪")*($B$2:$B$501=B29)*($H$2:$H$501&lt;=H29)),1),"")))</f>
        <v/>
      </c>
      <c r="P29" s="26">
        <f>IF(A29&lt;&gt;"每日跟踪","",IF(O29="","",IFERROR(AGGREGATE(14,6,$D$2:$D$501/(($A$2:$A$501="止损计划")*($B$2:$B$501=B29)*($E$2:$E$501&lt;=O29)),1),0)))</f>
        <v/>
      </c>
      <c r="Q29" s="44">
        <f>IF(A29&lt;&gt;"每日跟踪","",IF(N29="","",MAX(N29,IFERROR(AGGREGATE(14,6,$F$2:$F$501/(($A$2:$A$501="止损计划")*($B$2:$B$501=B29)*($E$2:$E$501&lt;=O29)),1),0))))</f>
        <v/>
      </c>
      <c r="R29" s="43" t="n"/>
      <c r="S29" s="44">
        <f>IF(A29&lt;&gt;"每日跟踪","",IF(Q29="","",MAX(Q29,IFERROR(AGGREGATE(14,6,$R$2:$R$501/(($A$2:$A$501="每日跟踪")*($B$2:$B$501=B29)*($H$2:$H$501&lt;=H29)),1),0))))</f>
        <v/>
      </c>
      <c r="T29" s="44">
        <f>IF(A29&lt;&gt;"每日跟踪","",IF(O29="","",IF(COUNTIFS($A$2:$A$501,"止损计划",$B$2:$B$501,B29,$E$2:$E$501,"&gt;"&amp;O29)=0,"",AGGREGATE(15,6,$E$2:$E$501/(($A$2:$A$501="止损计划")*($B$2:$B$501=B29)*($E$2:$E$501&gt;O29)),1))))</f>
        <v/>
      </c>
      <c r="U29" s="44">
        <f>IF(OR(A29&lt;&gt;"每日跟踪",T29=""),"",IFERROR(AGGREGATE(14,6,$F$2:$F$501/(($A$2:$A$501="止损计划")*($B$2:$B$501=B29)*($E$2:$E$501=T29)),1),""))</f>
        <v/>
      </c>
      <c r="V29" s="30">
        <f>IF(OR(A29&lt;&gt;"每日跟踪",T29="",I29="",I29&lt;=0),"",T29/I29-1)</f>
        <v/>
      </c>
      <c r="W29" s="31">
        <f>IF(A29&lt;&gt;"每日跟踪","",IF(OR(I29="",S29=""),"",IF(I29&lt;=S29,"触发止损：应全部卖出","继续观察")))</f>
        <v/>
      </c>
      <c r="X29" s="28" t="n"/>
      <c r="Y29" s="43" t="n"/>
      <c r="Z29" s="26">
        <f>IF(X29&lt;&gt;"执行卖出","",IFERROR(LOOKUP(2,1/(单次交易!$A$2:$A$201=B29),单次交易!$AP$2:$AP$201),""))</f>
        <v/>
      </c>
      <c r="AA29" s="43" t="n"/>
      <c r="AB29" s="31">
        <f>IF(A29&lt;&gt;"每日跟踪","",IF(OR(B29="",H29="",I29="",J29="",K29="",L29="",M29=""),"待补充每日记录",IF(W29="触发止损：应全部卖出",IF(X29&lt;&gt;"执行卖出","违规：触发止损但未执行",IF(Y29="","待补充实际卖出价","卖出记录完整")),IF(X29="","待选择卖出动作",IF(X29="执行卖出",IF(Y29="","待补充实际卖出价","卖出记录完整"),"正常")))))</f>
        <v/>
      </c>
      <c r="AC29" s="31">
        <f>IF(A29="","",IF(A29="止损计划",IF(OR(B29="",D29="",E29="",F29="",G29=""),"计划不完整",IF(OR(D29&lt;1,D29&lt;&gt;INT(D29)),"阶段序号无效",IF(COUNTIFS($A$2:$A$501,"止损计划",$B$2:$B$501,B29,$D$2:$D$501,D29)&gt;1,"阶段序号重复",IF(E29&lt;=IFERROR(LOOKUP(2,1/('单次交易'!$A$2:$A$201=B29),'单次交易'!$E$2:$E$201),0),"激活价须高于买入价",IF(F29&lt;N29,"止损价不得低于初始止损",IF(F29&gt;E29,"止损价不得高于激活价",IF(AND(COUNTIFS($A$2:$A$501,"止损计划",$B$2:$B$501,B29,$D$2:$D$501,"&lt;"&amp;D29)&gt;0,OR(E29&lt;=AGGREGATE(14,6,$E$2:$E$501/(($A$2:$A$501="止损计划")*($B$2:$B$501=B29)*($D$2:$D$501&lt;D29)),1),F29&lt;AGGREGATE(14,6,$F$2:$F$501/(($A$2:$A$501="止损计划")*($B$2:$B$501=B29)*($D$2:$D$501&lt;D29)),1))),"阶段价格必须逐级提高","计划有效"))))))),IF(A29="每日跟踪",IF(OR(B29="",H29="",I29="",J29=""),"每日数据不完整",IF(COUNTIFS($A$2:$A$501,"每日跟踪",$B$2:$B$501,B29,$H$2:$H$501,H29)&gt;1,"同一交易日期重复",IF(AND(R29&lt;&gt;"",R29&lt;S29),"人工止损无效：不能下调","跟踪有效"))),"记录类型无效")))</f>
        <v/>
      </c>
    </row>
    <row r="30">
      <c r="A30" s="28" t="n"/>
      <c r="B30" s="28" t="n"/>
      <c r="C30" s="31">
        <f>IF(B30="","",IFERROR(LOOKUP(2,1/(单次交易!$A$2:$A$201=B30),单次交易!$B$2:$B$201),""))</f>
        <v/>
      </c>
      <c r="D30" s="27" t="n"/>
      <c r="E30" s="43" t="n"/>
      <c r="F30" s="43" t="n"/>
      <c r="G30" s="28" t="n"/>
      <c r="H30" s="49" t="n"/>
      <c r="I30" s="43" t="n"/>
      <c r="J30" s="27" t="n"/>
      <c r="K30" s="28" t="n"/>
      <c r="L30" s="28" t="n"/>
      <c r="M30" s="28" t="n"/>
      <c r="N30" s="44">
        <f>IF(B30="","",IFERROR(LOOKUP(2,1/(单次交易!$A$2:$A$201=B30),单次交易!$N$2:$N$201),""))</f>
        <v/>
      </c>
      <c r="O30" s="44">
        <f>IF(A30&lt;&gt;"每日跟踪","",IF(OR(B30="",H30="",I30=""),"",IFERROR(AGGREGATE(14,6,$I$2:$I$501/(($A$2:$A$501="每日跟踪")*($B$2:$B$501=B30)*($H$2:$H$501&lt;=H30)),1),"")))</f>
        <v/>
      </c>
      <c r="P30" s="26">
        <f>IF(A30&lt;&gt;"每日跟踪","",IF(O30="","",IFERROR(AGGREGATE(14,6,$D$2:$D$501/(($A$2:$A$501="止损计划")*($B$2:$B$501=B30)*($E$2:$E$501&lt;=O30)),1),0)))</f>
        <v/>
      </c>
      <c r="Q30" s="44">
        <f>IF(A30&lt;&gt;"每日跟踪","",IF(N30="","",MAX(N30,IFERROR(AGGREGATE(14,6,$F$2:$F$501/(($A$2:$A$501="止损计划")*($B$2:$B$501=B30)*($E$2:$E$501&lt;=O30)),1),0))))</f>
        <v/>
      </c>
      <c r="R30" s="43" t="n"/>
      <c r="S30" s="44">
        <f>IF(A30&lt;&gt;"每日跟踪","",IF(Q30="","",MAX(Q30,IFERROR(AGGREGATE(14,6,$R$2:$R$501/(($A$2:$A$501="每日跟踪")*($B$2:$B$501=B30)*($H$2:$H$501&lt;=H30)),1),0))))</f>
        <v/>
      </c>
      <c r="T30" s="44">
        <f>IF(A30&lt;&gt;"每日跟踪","",IF(O30="","",IF(COUNTIFS($A$2:$A$501,"止损计划",$B$2:$B$501,B30,$E$2:$E$501,"&gt;"&amp;O30)=0,"",AGGREGATE(15,6,$E$2:$E$501/(($A$2:$A$501="止损计划")*($B$2:$B$501=B30)*($E$2:$E$501&gt;O30)),1))))</f>
        <v/>
      </c>
      <c r="U30" s="44">
        <f>IF(OR(A30&lt;&gt;"每日跟踪",T30=""),"",IFERROR(AGGREGATE(14,6,$F$2:$F$501/(($A$2:$A$501="止损计划")*($B$2:$B$501=B30)*($E$2:$E$501=T30)),1),""))</f>
        <v/>
      </c>
      <c r="V30" s="30">
        <f>IF(OR(A30&lt;&gt;"每日跟踪",T30="",I30="",I30&lt;=0),"",T30/I30-1)</f>
        <v/>
      </c>
      <c r="W30" s="31">
        <f>IF(A30&lt;&gt;"每日跟踪","",IF(OR(I30="",S30=""),"",IF(I30&lt;=S30,"触发止损：应全部卖出","继续观察")))</f>
        <v/>
      </c>
      <c r="X30" s="28" t="n"/>
      <c r="Y30" s="43" t="n"/>
      <c r="Z30" s="26">
        <f>IF(X30&lt;&gt;"执行卖出","",IFERROR(LOOKUP(2,1/(单次交易!$A$2:$A$201=B30),单次交易!$AP$2:$AP$201),""))</f>
        <v/>
      </c>
      <c r="AA30" s="43" t="n"/>
      <c r="AB30" s="31">
        <f>IF(A30&lt;&gt;"每日跟踪","",IF(OR(B30="",H30="",I30="",J30="",K30="",L30="",M30=""),"待补充每日记录",IF(W30="触发止损：应全部卖出",IF(X30&lt;&gt;"执行卖出","违规：触发止损但未执行",IF(Y30="","待补充实际卖出价","卖出记录完整")),IF(X30="","待选择卖出动作",IF(X30="执行卖出",IF(Y30="","待补充实际卖出价","卖出记录完整"),"正常")))))</f>
        <v/>
      </c>
      <c r="AC30" s="31">
        <f>IF(A30="","",IF(A30="止损计划",IF(OR(B30="",D30="",E30="",F30="",G30=""),"计划不完整",IF(OR(D30&lt;1,D30&lt;&gt;INT(D30)),"阶段序号无效",IF(COUNTIFS($A$2:$A$501,"止损计划",$B$2:$B$501,B30,$D$2:$D$501,D30)&gt;1,"阶段序号重复",IF(E30&lt;=IFERROR(LOOKUP(2,1/('单次交易'!$A$2:$A$201=B30),'单次交易'!$E$2:$E$201),0),"激活价须高于买入价",IF(F30&lt;N30,"止损价不得低于初始止损",IF(F30&gt;E30,"止损价不得高于激活价",IF(AND(COUNTIFS($A$2:$A$501,"止损计划",$B$2:$B$501,B30,$D$2:$D$501,"&lt;"&amp;D30)&gt;0,OR(E30&lt;=AGGREGATE(14,6,$E$2:$E$501/(($A$2:$A$501="止损计划")*($B$2:$B$501=B30)*($D$2:$D$501&lt;D30)),1),F30&lt;AGGREGATE(14,6,$F$2:$F$501/(($A$2:$A$501="止损计划")*($B$2:$B$501=B30)*($D$2:$D$501&lt;D30)),1))),"阶段价格必须逐级提高","计划有效"))))))),IF(A30="每日跟踪",IF(OR(B30="",H30="",I30="",J30=""),"每日数据不完整",IF(COUNTIFS($A$2:$A$501,"每日跟踪",$B$2:$B$501,B30,$H$2:$H$501,H30)&gt;1,"同一交易日期重复",IF(AND(R30&lt;&gt;"",R30&lt;S30),"人工止损无效：不能下调","跟踪有效"))),"记录类型无效")))</f>
        <v/>
      </c>
    </row>
    <row r="31">
      <c r="A31" s="28" t="n"/>
      <c r="B31" s="28" t="n"/>
      <c r="C31" s="31">
        <f>IF(B31="","",IFERROR(LOOKUP(2,1/(单次交易!$A$2:$A$201=B31),单次交易!$B$2:$B$201),""))</f>
        <v/>
      </c>
      <c r="D31" s="27" t="n"/>
      <c r="E31" s="43" t="n"/>
      <c r="F31" s="43" t="n"/>
      <c r="G31" s="28" t="n"/>
      <c r="H31" s="49" t="n"/>
      <c r="I31" s="43" t="n"/>
      <c r="J31" s="27" t="n"/>
      <c r="K31" s="28" t="n"/>
      <c r="L31" s="28" t="n"/>
      <c r="M31" s="28" t="n"/>
      <c r="N31" s="44">
        <f>IF(B31="","",IFERROR(LOOKUP(2,1/(单次交易!$A$2:$A$201=B31),单次交易!$N$2:$N$201),""))</f>
        <v/>
      </c>
      <c r="O31" s="44">
        <f>IF(A31&lt;&gt;"每日跟踪","",IF(OR(B31="",H31="",I31=""),"",IFERROR(AGGREGATE(14,6,$I$2:$I$501/(($A$2:$A$501="每日跟踪")*($B$2:$B$501=B31)*($H$2:$H$501&lt;=H31)),1),"")))</f>
        <v/>
      </c>
      <c r="P31" s="26">
        <f>IF(A31&lt;&gt;"每日跟踪","",IF(O31="","",IFERROR(AGGREGATE(14,6,$D$2:$D$501/(($A$2:$A$501="止损计划")*($B$2:$B$501=B31)*($E$2:$E$501&lt;=O31)),1),0)))</f>
        <v/>
      </c>
      <c r="Q31" s="44">
        <f>IF(A31&lt;&gt;"每日跟踪","",IF(N31="","",MAX(N31,IFERROR(AGGREGATE(14,6,$F$2:$F$501/(($A$2:$A$501="止损计划")*($B$2:$B$501=B31)*($E$2:$E$501&lt;=O31)),1),0))))</f>
        <v/>
      </c>
      <c r="R31" s="43" t="n"/>
      <c r="S31" s="44">
        <f>IF(A31&lt;&gt;"每日跟踪","",IF(Q31="","",MAX(Q31,IFERROR(AGGREGATE(14,6,$R$2:$R$501/(($A$2:$A$501="每日跟踪")*($B$2:$B$501=B31)*($H$2:$H$501&lt;=H31)),1),0))))</f>
        <v/>
      </c>
      <c r="T31" s="44">
        <f>IF(A31&lt;&gt;"每日跟踪","",IF(O31="","",IF(COUNTIFS($A$2:$A$501,"止损计划",$B$2:$B$501,B31,$E$2:$E$501,"&gt;"&amp;O31)=0,"",AGGREGATE(15,6,$E$2:$E$501/(($A$2:$A$501="止损计划")*($B$2:$B$501=B31)*($E$2:$E$501&gt;O31)),1))))</f>
        <v/>
      </c>
      <c r="U31" s="44">
        <f>IF(OR(A31&lt;&gt;"每日跟踪",T31=""),"",IFERROR(AGGREGATE(14,6,$F$2:$F$501/(($A$2:$A$501="止损计划")*($B$2:$B$501=B31)*($E$2:$E$501=T31)),1),""))</f>
        <v/>
      </c>
      <c r="V31" s="30">
        <f>IF(OR(A31&lt;&gt;"每日跟踪",T31="",I31="",I31&lt;=0),"",T31/I31-1)</f>
        <v/>
      </c>
      <c r="W31" s="31">
        <f>IF(A31&lt;&gt;"每日跟踪","",IF(OR(I31="",S31=""),"",IF(I31&lt;=S31,"触发止损：应全部卖出","继续观察")))</f>
        <v/>
      </c>
      <c r="X31" s="28" t="n"/>
      <c r="Y31" s="43" t="n"/>
      <c r="Z31" s="26">
        <f>IF(X31&lt;&gt;"执行卖出","",IFERROR(LOOKUP(2,1/(单次交易!$A$2:$A$201=B31),单次交易!$AP$2:$AP$201),""))</f>
        <v/>
      </c>
      <c r="AA31" s="43" t="n"/>
      <c r="AB31" s="31">
        <f>IF(A31&lt;&gt;"每日跟踪","",IF(OR(B31="",H31="",I31="",J31="",K31="",L31="",M31=""),"待补充每日记录",IF(W31="触发止损：应全部卖出",IF(X31&lt;&gt;"执行卖出","违规：触发止损但未执行",IF(Y31="","待补充实际卖出价","卖出记录完整")),IF(X31="","待选择卖出动作",IF(X31="执行卖出",IF(Y31="","待补充实际卖出价","卖出记录完整"),"正常")))))</f>
        <v/>
      </c>
      <c r="AC31" s="31">
        <f>IF(A31="","",IF(A31="止损计划",IF(OR(B31="",D31="",E31="",F31="",G31=""),"计划不完整",IF(OR(D31&lt;1,D31&lt;&gt;INT(D31)),"阶段序号无效",IF(COUNTIFS($A$2:$A$501,"止损计划",$B$2:$B$501,B31,$D$2:$D$501,D31)&gt;1,"阶段序号重复",IF(E31&lt;=IFERROR(LOOKUP(2,1/('单次交易'!$A$2:$A$201=B31),'单次交易'!$E$2:$E$201),0),"激活价须高于买入价",IF(F31&lt;N31,"止损价不得低于初始止损",IF(F31&gt;E31,"止损价不得高于激活价",IF(AND(COUNTIFS($A$2:$A$501,"止损计划",$B$2:$B$501,B31,$D$2:$D$501,"&lt;"&amp;D31)&gt;0,OR(E31&lt;=AGGREGATE(14,6,$E$2:$E$501/(($A$2:$A$501="止损计划")*($B$2:$B$501=B31)*($D$2:$D$501&lt;D31)),1),F31&lt;AGGREGATE(14,6,$F$2:$F$501/(($A$2:$A$501="止损计划")*($B$2:$B$501=B31)*($D$2:$D$501&lt;D31)),1))),"阶段价格必须逐级提高","计划有效"))))))),IF(A31="每日跟踪",IF(OR(B31="",H31="",I31="",J31=""),"每日数据不完整",IF(COUNTIFS($A$2:$A$501,"每日跟踪",$B$2:$B$501,B31,$H$2:$H$501,H31)&gt;1,"同一交易日期重复",IF(AND(R31&lt;&gt;"",R31&lt;S31),"人工止损无效：不能下调","跟踪有效"))),"记录类型无效")))</f>
        <v/>
      </c>
    </row>
    <row r="32">
      <c r="A32" s="28" t="n"/>
      <c r="B32" s="28" t="n"/>
      <c r="C32" s="31">
        <f>IF(B32="","",IFERROR(LOOKUP(2,1/(单次交易!$A$2:$A$201=B32),单次交易!$B$2:$B$201),""))</f>
        <v/>
      </c>
      <c r="D32" s="27" t="n"/>
      <c r="E32" s="43" t="n"/>
      <c r="F32" s="43" t="n"/>
      <c r="G32" s="28" t="n"/>
      <c r="H32" s="49" t="n"/>
      <c r="I32" s="43" t="n"/>
      <c r="J32" s="27" t="n"/>
      <c r="K32" s="28" t="n"/>
      <c r="L32" s="28" t="n"/>
      <c r="M32" s="28" t="n"/>
      <c r="N32" s="44">
        <f>IF(B32="","",IFERROR(LOOKUP(2,1/(单次交易!$A$2:$A$201=B32),单次交易!$N$2:$N$201),""))</f>
        <v/>
      </c>
      <c r="O32" s="44">
        <f>IF(A32&lt;&gt;"每日跟踪","",IF(OR(B32="",H32="",I32=""),"",IFERROR(AGGREGATE(14,6,$I$2:$I$501/(($A$2:$A$501="每日跟踪")*($B$2:$B$501=B32)*($H$2:$H$501&lt;=H32)),1),"")))</f>
        <v/>
      </c>
      <c r="P32" s="26">
        <f>IF(A32&lt;&gt;"每日跟踪","",IF(O32="","",IFERROR(AGGREGATE(14,6,$D$2:$D$501/(($A$2:$A$501="止损计划")*($B$2:$B$501=B32)*($E$2:$E$501&lt;=O32)),1),0)))</f>
        <v/>
      </c>
      <c r="Q32" s="44">
        <f>IF(A32&lt;&gt;"每日跟踪","",IF(N32="","",MAX(N32,IFERROR(AGGREGATE(14,6,$F$2:$F$501/(($A$2:$A$501="止损计划")*($B$2:$B$501=B32)*($E$2:$E$501&lt;=O32)),1),0))))</f>
        <v/>
      </c>
      <c r="R32" s="43" t="n"/>
      <c r="S32" s="44">
        <f>IF(A32&lt;&gt;"每日跟踪","",IF(Q32="","",MAX(Q32,IFERROR(AGGREGATE(14,6,$R$2:$R$501/(($A$2:$A$501="每日跟踪")*($B$2:$B$501=B32)*($H$2:$H$501&lt;=H32)),1),0))))</f>
        <v/>
      </c>
      <c r="T32" s="44">
        <f>IF(A32&lt;&gt;"每日跟踪","",IF(O32="","",IF(COUNTIFS($A$2:$A$501,"止损计划",$B$2:$B$501,B32,$E$2:$E$501,"&gt;"&amp;O32)=0,"",AGGREGATE(15,6,$E$2:$E$501/(($A$2:$A$501="止损计划")*($B$2:$B$501=B32)*($E$2:$E$501&gt;O32)),1))))</f>
        <v/>
      </c>
      <c r="U32" s="44">
        <f>IF(OR(A32&lt;&gt;"每日跟踪",T32=""),"",IFERROR(AGGREGATE(14,6,$F$2:$F$501/(($A$2:$A$501="止损计划")*($B$2:$B$501=B32)*($E$2:$E$501=T32)),1),""))</f>
        <v/>
      </c>
      <c r="V32" s="30">
        <f>IF(OR(A32&lt;&gt;"每日跟踪",T32="",I32="",I32&lt;=0),"",T32/I32-1)</f>
        <v/>
      </c>
      <c r="W32" s="31">
        <f>IF(A32&lt;&gt;"每日跟踪","",IF(OR(I32="",S32=""),"",IF(I32&lt;=S32,"触发止损：应全部卖出","继续观察")))</f>
        <v/>
      </c>
      <c r="X32" s="28" t="n"/>
      <c r="Y32" s="43" t="n"/>
      <c r="Z32" s="26">
        <f>IF(X32&lt;&gt;"执行卖出","",IFERROR(LOOKUP(2,1/(单次交易!$A$2:$A$201=B32),单次交易!$AP$2:$AP$201),""))</f>
        <v/>
      </c>
      <c r="AA32" s="43" t="n"/>
      <c r="AB32" s="31">
        <f>IF(A32&lt;&gt;"每日跟踪","",IF(OR(B32="",H32="",I32="",J32="",K32="",L32="",M32=""),"待补充每日记录",IF(W32="触发止损：应全部卖出",IF(X32&lt;&gt;"执行卖出","违规：触发止损但未执行",IF(Y32="","待补充实际卖出价","卖出记录完整")),IF(X32="","待选择卖出动作",IF(X32="执行卖出",IF(Y32="","待补充实际卖出价","卖出记录完整"),"正常")))))</f>
        <v/>
      </c>
      <c r="AC32" s="31">
        <f>IF(A32="","",IF(A32="止损计划",IF(OR(B32="",D32="",E32="",F32="",G32=""),"计划不完整",IF(OR(D32&lt;1,D32&lt;&gt;INT(D32)),"阶段序号无效",IF(COUNTIFS($A$2:$A$501,"止损计划",$B$2:$B$501,B32,$D$2:$D$501,D32)&gt;1,"阶段序号重复",IF(E32&lt;=IFERROR(LOOKUP(2,1/('单次交易'!$A$2:$A$201=B32),'单次交易'!$E$2:$E$201),0),"激活价须高于买入价",IF(F32&lt;N32,"止损价不得低于初始止损",IF(F32&gt;E32,"止损价不得高于激活价",IF(AND(COUNTIFS($A$2:$A$501,"止损计划",$B$2:$B$501,B32,$D$2:$D$501,"&lt;"&amp;D32)&gt;0,OR(E32&lt;=AGGREGATE(14,6,$E$2:$E$501/(($A$2:$A$501="止损计划")*($B$2:$B$501=B32)*($D$2:$D$501&lt;D32)),1),F32&lt;AGGREGATE(14,6,$F$2:$F$501/(($A$2:$A$501="止损计划")*($B$2:$B$501=B32)*($D$2:$D$501&lt;D32)),1))),"阶段价格必须逐级提高","计划有效"))))))),IF(A32="每日跟踪",IF(OR(B32="",H32="",I32="",J32=""),"每日数据不完整",IF(COUNTIFS($A$2:$A$501,"每日跟踪",$B$2:$B$501,B32,$H$2:$H$501,H32)&gt;1,"同一交易日期重复",IF(AND(R32&lt;&gt;"",R32&lt;S32),"人工止损无效：不能下调","跟踪有效"))),"记录类型无效")))</f>
        <v/>
      </c>
    </row>
    <row r="33">
      <c r="A33" s="28" t="n"/>
      <c r="B33" s="28" t="n"/>
      <c r="C33" s="31">
        <f>IF(B33="","",IFERROR(LOOKUP(2,1/(单次交易!$A$2:$A$201=B33),单次交易!$B$2:$B$201),""))</f>
        <v/>
      </c>
      <c r="D33" s="27" t="n"/>
      <c r="E33" s="43" t="n"/>
      <c r="F33" s="43" t="n"/>
      <c r="G33" s="28" t="n"/>
      <c r="H33" s="49" t="n"/>
      <c r="I33" s="43" t="n"/>
      <c r="J33" s="27" t="n"/>
      <c r="K33" s="28" t="n"/>
      <c r="L33" s="28" t="n"/>
      <c r="M33" s="28" t="n"/>
      <c r="N33" s="44">
        <f>IF(B33="","",IFERROR(LOOKUP(2,1/(单次交易!$A$2:$A$201=B33),单次交易!$N$2:$N$201),""))</f>
        <v/>
      </c>
      <c r="O33" s="44">
        <f>IF(A33&lt;&gt;"每日跟踪","",IF(OR(B33="",H33="",I33=""),"",IFERROR(AGGREGATE(14,6,$I$2:$I$501/(($A$2:$A$501="每日跟踪")*($B$2:$B$501=B33)*($H$2:$H$501&lt;=H33)),1),"")))</f>
        <v/>
      </c>
      <c r="P33" s="26">
        <f>IF(A33&lt;&gt;"每日跟踪","",IF(O33="","",IFERROR(AGGREGATE(14,6,$D$2:$D$501/(($A$2:$A$501="止损计划")*($B$2:$B$501=B33)*($E$2:$E$501&lt;=O33)),1),0)))</f>
        <v/>
      </c>
      <c r="Q33" s="44">
        <f>IF(A33&lt;&gt;"每日跟踪","",IF(N33="","",MAX(N33,IFERROR(AGGREGATE(14,6,$F$2:$F$501/(($A$2:$A$501="止损计划")*($B$2:$B$501=B33)*($E$2:$E$501&lt;=O33)),1),0))))</f>
        <v/>
      </c>
      <c r="R33" s="43" t="n"/>
      <c r="S33" s="44">
        <f>IF(A33&lt;&gt;"每日跟踪","",IF(Q33="","",MAX(Q33,IFERROR(AGGREGATE(14,6,$R$2:$R$501/(($A$2:$A$501="每日跟踪")*($B$2:$B$501=B33)*($H$2:$H$501&lt;=H33)),1),0))))</f>
        <v/>
      </c>
      <c r="T33" s="44">
        <f>IF(A33&lt;&gt;"每日跟踪","",IF(O33="","",IF(COUNTIFS($A$2:$A$501,"止损计划",$B$2:$B$501,B33,$E$2:$E$501,"&gt;"&amp;O33)=0,"",AGGREGATE(15,6,$E$2:$E$501/(($A$2:$A$501="止损计划")*($B$2:$B$501=B33)*($E$2:$E$501&gt;O33)),1))))</f>
        <v/>
      </c>
      <c r="U33" s="44">
        <f>IF(OR(A33&lt;&gt;"每日跟踪",T33=""),"",IFERROR(AGGREGATE(14,6,$F$2:$F$501/(($A$2:$A$501="止损计划")*($B$2:$B$501=B33)*($E$2:$E$501=T33)),1),""))</f>
        <v/>
      </c>
      <c r="V33" s="30">
        <f>IF(OR(A33&lt;&gt;"每日跟踪",T33="",I33="",I33&lt;=0),"",T33/I33-1)</f>
        <v/>
      </c>
      <c r="W33" s="31">
        <f>IF(A33&lt;&gt;"每日跟踪","",IF(OR(I33="",S33=""),"",IF(I33&lt;=S33,"触发止损：应全部卖出","继续观察")))</f>
        <v/>
      </c>
      <c r="X33" s="28" t="n"/>
      <c r="Y33" s="43" t="n"/>
      <c r="Z33" s="26">
        <f>IF(X33&lt;&gt;"执行卖出","",IFERROR(LOOKUP(2,1/(单次交易!$A$2:$A$201=B33),单次交易!$AP$2:$AP$201),""))</f>
        <v/>
      </c>
      <c r="AA33" s="43" t="n"/>
      <c r="AB33" s="31">
        <f>IF(A33&lt;&gt;"每日跟踪","",IF(OR(B33="",H33="",I33="",J33="",K33="",L33="",M33=""),"待补充每日记录",IF(W33="触发止损：应全部卖出",IF(X33&lt;&gt;"执行卖出","违规：触发止损但未执行",IF(Y33="","待补充实际卖出价","卖出记录完整")),IF(X33="","待选择卖出动作",IF(X33="执行卖出",IF(Y33="","待补充实际卖出价","卖出记录完整"),"正常")))))</f>
        <v/>
      </c>
      <c r="AC33" s="31">
        <f>IF(A33="","",IF(A33="止损计划",IF(OR(B33="",D33="",E33="",F33="",G33=""),"计划不完整",IF(OR(D33&lt;1,D33&lt;&gt;INT(D33)),"阶段序号无效",IF(COUNTIFS($A$2:$A$501,"止损计划",$B$2:$B$501,B33,$D$2:$D$501,D33)&gt;1,"阶段序号重复",IF(E33&lt;=IFERROR(LOOKUP(2,1/('单次交易'!$A$2:$A$201=B33),'单次交易'!$E$2:$E$201),0),"激活价须高于买入价",IF(F33&lt;N33,"止损价不得低于初始止损",IF(F33&gt;E33,"止损价不得高于激活价",IF(AND(COUNTIFS($A$2:$A$501,"止损计划",$B$2:$B$501,B33,$D$2:$D$501,"&lt;"&amp;D33)&gt;0,OR(E33&lt;=AGGREGATE(14,6,$E$2:$E$501/(($A$2:$A$501="止损计划")*($B$2:$B$501=B33)*($D$2:$D$501&lt;D33)),1),F33&lt;AGGREGATE(14,6,$F$2:$F$501/(($A$2:$A$501="止损计划")*($B$2:$B$501=B33)*($D$2:$D$501&lt;D33)),1))),"阶段价格必须逐级提高","计划有效"))))))),IF(A33="每日跟踪",IF(OR(B33="",H33="",I33="",J33=""),"每日数据不完整",IF(COUNTIFS($A$2:$A$501,"每日跟踪",$B$2:$B$501,B33,$H$2:$H$501,H33)&gt;1,"同一交易日期重复",IF(AND(R33&lt;&gt;"",R33&lt;S33),"人工止损无效：不能下调","跟踪有效"))),"记录类型无效")))</f>
        <v/>
      </c>
    </row>
    <row r="34">
      <c r="A34" s="28" t="n"/>
      <c r="B34" s="28" t="n"/>
      <c r="C34" s="31">
        <f>IF(B34="","",IFERROR(LOOKUP(2,1/(单次交易!$A$2:$A$201=B34),单次交易!$B$2:$B$201),""))</f>
        <v/>
      </c>
      <c r="D34" s="27" t="n"/>
      <c r="E34" s="43" t="n"/>
      <c r="F34" s="43" t="n"/>
      <c r="G34" s="28" t="n"/>
      <c r="H34" s="49" t="n"/>
      <c r="I34" s="43" t="n"/>
      <c r="J34" s="27" t="n"/>
      <c r="K34" s="28" t="n"/>
      <c r="L34" s="28" t="n"/>
      <c r="M34" s="28" t="n"/>
      <c r="N34" s="44">
        <f>IF(B34="","",IFERROR(LOOKUP(2,1/(单次交易!$A$2:$A$201=B34),单次交易!$N$2:$N$201),""))</f>
        <v/>
      </c>
      <c r="O34" s="44">
        <f>IF(A34&lt;&gt;"每日跟踪","",IF(OR(B34="",H34="",I34=""),"",IFERROR(AGGREGATE(14,6,$I$2:$I$501/(($A$2:$A$501="每日跟踪")*($B$2:$B$501=B34)*($H$2:$H$501&lt;=H34)),1),"")))</f>
        <v/>
      </c>
      <c r="P34" s="26">
        <f>IF(A34&lt;&gt;"每日跟踪","",IF(O34="","",IFERROR(AGGREGATE(14,6,$D$2:$D$501/(($A$2:$A$501="止损计划")*($B$2:$B$501=B34)*($E$2:$E$501&lt;=O34)),1),0)))</f>
        <v/>
      </c>
      <c r="Q34" s="44">
        <f>IF(A34&lt;&gt;"每日跟踪","",IF(N34="","",MAX(N34,IFERROR(AGGREGATE(14,6,$F$2:$F$501/(($A$2:$A$501="止损计划")*($B$2:$B$501=B34)*($E$2:$E$501&lt;=O34)),1),0))))</f>
        <v/>
      </c>
      <c r="R34" s="43" t="n"/>
      <c r="S34" s="44">
        <f>IF(A34&lt;&gt;"每日跟踪","",IF(Q34="","",MAX(Q34,IFERROR(AGGREGATE(14,6,$R$2:$R$501/(($A$2:$A$501="每日跟踪")*($B$2:$B$501=B34)*($H$2:$H$501&lt;=H34)),1),0))))</f>
        <v/>
      </c>
      <c r="T34" s="44">
        <f>IF(A34&lt;&gt;"每日跟踪","",IF(O34="","",IF(COUNTIFS($A$2:$A$501,"止损计划",$B$2:$B$501,B34,$E$2:$E$501,"&gt;"&amp;O34)=0,"",AGGREGATE(15,6,$E$2:$E$501/(($A$2:$A$501="止损计划")*($B$2:$B$501=B34)*($E$2:$E$501&gt;O34)),1))))</f>
        <v/>
      </c>
      <c r="U34" s="44">
        <f>IF(OR(A34&lt;&gt;"每日跟踪",T34=""),"",IFERROR(AGGREGATE(14,6,$F$2:$F$501/(($A$2:$A$501="止损计划")*($B$2:$B$501=B34)*($E$2:$E$501=T34)),1),""))</f>
        <v/>
      </c>
      <c r="V34" s="30">
        <f>IF(OR(A34&lt;&gt;"每日跟踪",T34="",I34="",I34&lt;=0),"",T34/I34-1)</f>
        <v/>
      </c>
      <c r="W34" s="31">
        <f>IF(A34&lt;&gt;"每日跟踪","",IF(OR(I34="",S34=""),"",IF(I34&lt;=S34,"触发止损：应全部卖出","继续观察")))</f>
        <v/>
      </c>
      <c r="X34" s="28" t="n"/>
      <c r="Y34" s="43" t="n"/>
      <c r="Z34" s="26">
        <f>IF(X34&lt;&gt;"执行卖出","",IFERROR(LOOKUP(2,1/(单次交易!$A$2:$A$201=B34),单次交易!$AP$2:$AP$201),""))</f>
        <v/>
      </c>
      <c r="AA34" s="43" t="n"/>
      <c r="AB34" s="31">
        <f>IF(A34&lt;&gt;"每日跟踪","",IF(OR(B34="",H34="",I34="",J34="",K34="",L34="",M34=""),"待补充每日记录",IF(W34="触发止损：应全部卖出",IF(X34&lt;&gt;"执行卖出","违规：触发止损但未执行",IF(Y34="","待补充实际卖出价","卖出记录完整")),IF(X34="","待选择卖出动作",IF(X34="执行卖出",IF(Y34="","待补充实际卖出价","卖出记录完整"),"正常")))))</f>
        <v/>
      </c>
      <c r="AC34" s="31">
        <f>IF(A34="","",IF(A34="止损计划",IF(OR(B34="",D34="",E34="",F34="",G34=""),"计划不完整",IF(OR(D34&lt;1,D34&lt;&gt;INT(D34)),"阶段序号无效",IF(COUNTIFS($A$2:$A$501,"止损计划",$B$2:$B$501,B34,$D$2:$D$501,D34)&gt;1,"阶段序号重复",IF(E34&lt;=IFERROR(LOOKUP(2,1/('单次交易'!$A$2:$A$201=B34),'单次交易'!$E$2:$E$201),0),"激活价须高于买入价",IF(F34&lt;N34,"止损价不得低于初始止损",IF(F34&gt;E34,"止损价不得高于激活价",IF(AND(COUNTIFS($A$2:$A$501,"止损计划",$B$2:$B$501,B34,$D$2:$D$501,"&lt;"&amp;D34)&gt;0,OR(E34&lt;=AGGREGATE(14,6,$E$2:$E$501/(($A$2:$A$501="止损计划")*($B$2:$B$501=B34)*($D$2:$D$501&lt;D34)),1),F34&lt;AGGREGATE(14,6,$F$2:$F$501/(($A$2:$A$501="止损计划")*($B$2:$B$501=B34)*($D$2:$D$501&lt;D34)),1))),"阶段价格必须逐级提高","计划有效"))))))),IF(A34="每日跟踪",IF(OR(B34="",H34="",I34="",J34=""),"每日数据不完整",IF(COUNTIFS($A$2:$A$501,"每日跟踪",$B$2:$B$501,B34,$H$2:$H$501,H34)&gt;1,"同一交易日期重复",IF(AND(R34&lt;&gt;"",R34&lt;S34),"人工止损无效：不能下调","跟踪有效"))),"记录类型无效")))</f>
        <v/>
      </c>
    </row>
    <row r="35">
      <c r="A35" s="28" t="n"/>
      <c r="B35" s="28" t="n"/>
      <c r="C35" s="31">
        <f>IF(B35="","",IFERROR(LOOKUP(2,1/(单次交易!$A$2:$A$201=B35),单次交易!$B$2:$B$201),""))</f>
        <v/>
      </c>
      <c r="D35" s="27" t="n"/>
      <c r="E35" s="43" t="n"/>
      <c r="F35" s="43" t="n"/>
      <c r="G35" s="28" t="n"/>
      <c r="H35" s="49" t="n"/>
      <c r="I35" s="43" t="n"/>
      <c r="J35" s="27" t="n"/>
      <c r="K35" s="28" t="n"/>
      <c r="L35" s="28" t="n"/>
      <c r="M35" s="28" t="n"/>
      <c r="N35" s="44">
        <f>IF(B35="","",IFERROR(LOOKUP(2,1/(单次交易!$A$2:$A$201=B35),单次交易!$N$2:$N$201),""))</f>
        <v/>
      </c>
      <c r="O35" s="44">
        <f>IF(A35&lt;&gt;"每日跟踪","",IF(OR(B35="",H35="",I35=""),"",IFERROR(AGGREGATE(14,6,$I$2:$I$501/(($A$2:$A$501="每日跟踪")*($B$2:$B$501=B35)*($H$2:$H$501&lt;=H35)),1),"")))</f>
        <v/>
      </c>
      <c r="P35" s="26">
        <f>IF(A35&lt;&gt;"每日跟踪","",IF(O35="","",IFERROR(AGGREGATE(14,6,$D$2:$D$501/(($A$2:$A$501="止损计划")*($B$2:$B$501=B35)*($E$2:$E$501&lt;=O35)),1),0)))</f>
        <v/>
      </c>
      <c r="Q35" s="44">
        <f>IF(A35&lt;&gt;"每日跟踪","",IF(N35="","",MAX(N35,IFERROR(AGGREGATE(14,6,$F$2:$F$501/(($A$2:$A$501="止损计划")*($B$2:$B$501=B35)*($E$2:$E$501&lt;=O35)),1),0))))</f>
        <v/>
      </c>
      <c r="R35" s="43" t="n"/>
      <c r="S35" s="44">
        <f>IF(A35&lt;&gt;"每日跟踪","",IF(Q35="","",MAX(Q35,IFERROR(AGGREGATE(14,6,$R$2:$R$501/(($A$2:$A$501="每日跟踪")*($B$2:$B$501=B35)*($H$2:$H$501&lt;=H35)),1),0))))</f>
        <v/>
      </c>
      <c r="T35" s="44">
        <f>IF(A35&lt;&gt;"每日跟踪","",IF(O35="","",IF(COUNTIFS($A$2:$A$501,"止损计划",$B$2:$B$501,B35,$E$2:$E$501,"&gt;"&amp;O35)=0,"",AGGREGATE(15,6,$E$2:$E$501/(($A$2:$A$501="止损计划")*($B$2:$B$501=B35)*($E$2:$E$501&gt;O35)),1))))</f>
        <v/>
      </c>
      <c r="U35" s="44">
        <f>IF(OR(A35&lt;&gt;"每日跟踪",T35=""),"",IFERROR(AGGREGATE(14,6,$F$2:$F$501/(($A$2:$A$501="止损计划")*($B$2:$B$501=B35)*($E$2:$E$501=T35)),1),""))</f>
        <v/>
      </c>
      <c r="V35" s="30">
        <f>IF(OR(A35&lt;&gt;"每日跟踪",T35="",I35="",I35&lt;=0),"",T35/I35-1)</f>
        <v/>
      </c>
      <c r="W35" s="31">
        <f>IF(A35&lt;&gt;"每日跟踪","",IF(OR(I35="",S35=""),"",IF(I35&lt;=S35,"触发止损：应全部卖出","继续观察")))</f>
        <v/>
      </c>
      <c r="X35" s="28" t="n"/>
      <c r="Y35" s="43" t="n"/>
      <c r="Z35" s="26">
        <f>IF(X35&lt;&gt;"执行卖出","",IFERROR(LOOKUP(2,1/(单次交易!$A$2:$A$201=B35),单次交易!$AP$2:$AP$201),""))</f>
        <v/>
      </c>
      <c r="AA35" s="43" t="n"/>
      <c r="AB35" s="31">
        <f>IF(A35&lt;&gt;"每日跟踪","",IF(OR(B35="",H35="",I35="",J35="",K35="",L35="",M35=""),"待补充每日记录",IF(W35="触发止损：应全部卖出",IF(X35&lt;&gt;"执行卖出","违规：触发止损但未执行",IF(Y35="","待补充实际卖出价","卖出记录完整")),IF(X35="","待选择卖出动作",IF(X35="执行卖出",IF(Y35="","待补充实际卖出价","卖出记录完整"),"正常")))))</f>
        <v/>
      </c>
      <c r="AC35" s="31">
        <f>IF(A35="","",IF(A35="止损计划",IF(OR(B35="",D35="",E35="",F35="",G35=""),"计划不完整",IF(OR(D35&lt;1,D35&lt;&gt;INT(D35)),"阶段序号无效",IF(COUNTIFS($A$2:$A$501,"止损计划",$B$2:$B$501,B35,$D$2:$D$501,D35)&gt;1,"阶段序号重复",IF(E35&lt;=IFERROR(LOOKUP(2,1/('单次交易'!$A$2:$A$201=B35),'单次交易'!$E$2:$E$201),0),"激活价须高于买入价",IF(F35&lt;N35,"止损价不得低于初始止损",IF(F35&gt;E35,"止损价不得高于激活价",IF(AND(COUNTIFS($A$2:$A$501,"止损计划",$B$2:$B$501,B35,$D$2:$D$501,"&lt;"&amp;D35)&gt;0,OR(E35&lt;=AGGREGATE(14,6,$E$2:$E$501/(($A$2:$A$501="止损计划")*($B$2:$B$501=B35)*($D$2:$D$501&lt;D35)),1),F35&lt;AGGREGATE(14,6,$F$2:$F$501/(($A$2:$A$501="止损计划")*($B$2:$B$501=B35)*($D$2:$D$501&lt;D35)),1))),"阶段价格必须逐级提高","计划有效"))))))),IF(A35="每日跟踪",IF(OR(B35="",H35="",I35="",J35=""),"每日数据不完整",IF(COUNTIFS($A$2:$A$501,"每日跟踪",$B$2:$B$501,B35,$H$2:$H$501,H35)&gt;1,"同一交易日期重复",IF(AND(R35&lt;&gt;"",R35&lt;S35),"人工止损无效：不能下调","跟踪有效"))),"记录类型无效")))</f>
        <v/>
      </c>
    </row>
    <row r="36">
      <c r="A36" s="28" t="n"/>
      <c r="B36" s="28" t="n"/>
      <c r="C36" s="31">
        <f>IF(B36="","",IFERROR(LOOKUP(2,1/(单次交易!$A$2:$A$201=B36),单次交易!$B$2:$B$201),""))</f>
        <v/>
      </c>
      <c r="D36" s="27" t="n"/>
      <c r="E36" s="43" t="n"/>
      <c r="F36" s="43" t="n"/>
      <c r="G36" s="28" t="n"/>
      <c r="H36" s="49" t="n"/>
      <c r="I36" s="43" t="n"/>
      <c r="J36" s="27" t="n"/>
      <c r="K36" s="28" t="n"/>
      <c r="L36" s="28" t="n"/>
      <c r="M36" s="28" t="n"/>
      <c r="N36" s="44">
        <f>IF(B36="","",IFERROR(LOOKUP(2,1/(单次交易!$A$2:$A$201=B36),单次交易!$N$2:$N$201),""))</f>
        <v/>
      </c>
      <c r="O36" s="44">
        <f>IF(A36&lt;&gt;"每日跟踪","",IF(OR(B36="",H36="",I36=""),"",IFERROR(AGGREGATE(14,6,$I$2:$I$501/(($A$2:$A$501="每日跟踪")*($B$2:$B$501=B36)*($H$2:$H$501&lt;=H36)),1),"")))</f>
        <v/>
      </c>
      <c r="P36" s="26">
        <f>IF(A36&lt;&gt;"每日跟踪","",IF(O36="","",IFERROR(AGGREGATE(14,6,$D$2:$D$501/(($A$2:$A$501="止损计划")*($B$2:$B$501=B36)*($E$2:$E$501&lt;=O36)),1),0)))</f>
        <v/>
      </c>
      <c r="Q36" s="44">
        <f>IF(A36&lt;&gt;"每日跟踪","",IF(N36="","",MAX(N36,IFERROR(AGGREGATE(14,6,$F$2:$F$501/(($A$2:$A$501="止损计划")*($B$2:$B$501=B36)*($E$2:$E$501&lt;=O36)),1),0))))</f>
        <v/>
      </c>
      <c r="R36" s="43" t="n"/>
      <c r="S36" s="44">
        <f>IF(A36&lt;&gt;"每日跟踪","",IF(Q36="","",MAX(Q36,IFERROR(AGGREGATE(14,6,$R$2:$R$501/(($A$2:$A$501="每日跟踪")*($B$2:$B$501=B36)*($H$2:$H$501&lt;=H36)),1),0))))</f>
        <v/>
      </c>
      <c r="T36" s="44">
        <f>IF(A36&lt;&gt;"每日跟踪","",IF(O36="","",IF(COUNTIFS($A$2:$A$501,"止损计划",$B$2:$B$501,B36,$E$2:$E$501,"&gt;"&amp;O36)=0,"",AGGREGATE(15,6,$E$2:$E$501/(($A$2:$A$501="止损计划")*($B$2:$B$501=B36)*($E$2:$E$501&gt;O36)),1))))</f>
        <v/>
      </c>
      <c r="U36" s="44">
        <f>IF(OR(A36&lt;&gt;"每日跟踪",T36=""),"",IFERROR(AGGREGATE(14,6,$F$2:$F$501/(($A$2:$A$501="止损计划")*($B$2:$B$501=B36)*($E$2:$E$501=T36)),1),""))</f>
        <v/>
      </c>
      <c r="V36" s="30">
        <f>IF(OR(A36&lt;&gt;"每日跟踪",T36="",I36="",I36&lt;=0),"",T36/I36-1)</f>
        <v/>
      </c>
      <c r="W36" s="31">
        <f>IF(A36&lt;&gt;"每日跟踪","",IF(OR(I36="",S36=""),"",IF(I36&lt;=S36,"触发止损：应全部卖出","继续观察")))</f>
        <v/>
      </c>
      <c r="X36" s="28" t="n"/>
      <c r="Y36" s="43" t="n"/>
      <c r="Z36" s="26">
        <f>IF(X36&lt;&gt;"执行卖出","",IFERROR(LOOKUP(2,1/(单次交易!$A$2:$A$201=B36),单次交易!$AP$2:$AP$201),""))</f>
        <v/>
      </c>
      <c r="AA36" s="43" t="n"/>
      <c r="AB36" s="31">
        <f>IF(A36&lt;&gt;"每日跟踪","",IF(OR(B36="",H36="",I36="",J36="",K36="",L36="",M36=""),"待补充每日记录",IF(W36="触发止损：应全部卖出",IF(X36&lt;&gt;"执行卖出","违规：触发止损但未执行",IF(Y36="","待补充实际卖出价","卖出记录完整")),IF(X36="","待选择卖出动作",IF(X36="执行卖出",IF(Y36="","待补充实际卖出价","卖出记录完整"),"正常")))))</f>
        <v/>
      </c>
      <c r="AC36" s="31">
        <f>IF(A36="","",IF(A36="止损计划",IF(OR(B36="",D36="",E36="",F36="",G36=""),"计划不完整",IF(OR(D36&lt;1,D36&lt;&gt;INT(D36)),"阶段序号无效",IF(COUNTIFS($A$2:$A$501,"止损计划",$B$2:$B$501,B36,$D$2:$D$501,D36)&gt;1,"阶段序号重复",IF(E36&lt;=IFERROR(LOOKUP(2,1/('单次交易'!$A$2:$A$201=B36),'单次交易'!$E$2:$E$201),0),"激活价须高于买入价",IF(F36&lt;N36,"止损价不得低于初始止损",IF(F36&gt;E36,"止损价不得高于激活价",IF(AND(COUNTIFS($A$2:$A$501,"止损计划",$B$2:$B$501,B36,$D$2:$D$501,"&lt;"&amp;D36)&gt;0,OR(E36&lt;=AGGREGATE(14,6,$E$2:$E$501/(($A$2:$A$501="止损计划")*($B$2:$B$501=B36)*($D$2:$D$501&lt;D36)),1),F36&lt;AGGREGATE(14,6,$F$2:$F$501/(($A$2:$A$501="止损计划")*($B$2:$B$501=B36)*($D$2:$D$501&lt;D36)),1))),"阶段价格必须逐级提高","计划有效"))))))),IF(A36="每日跟踪",IF(OR(B36="",H36="",I36="",J36=""),"每日数据不完整",IF(COUNTIFS($A$2:$A$501,"每日跟踪",$B$2:$B$501,B36,$H$2:$H$501,H36)&gt;1,"同一交易日期重复",IF(AND(R36&lt;&gt;"",R36&lt;S36),"人工止损无效：不能下调","跟踪有效"))),"记录类型无效")))</f>
        <v/>
      </c>
    </row>
    <row r="37">
      <c r="A37" s="28" t="n"/>
      <c r="B37" s="28" t="n"/>
      <c r="C37" s="31">
        <f>IF(B37="","",IFERROR(LOOKUP(2,1/(单次交易!$A$2:$A$201=B37),单次交易!$B$2:$B$201),""))</f>
        <v/>
      </c>
      <c r="D37" s="27" t="n"/>
      <c r="E37" s="43" t="n"/>
      <c r="F37" s="43" t="n"/>
      <c r="G37" s="28" t="n"/>
      <c r="H37" s="49" t="n"/>
      <c r="I37" s="43" t="n"/>
      <c r="J37" s="27" t="n"/>
      <c r="K37" s="28" t="n"/>
      <c r="L37" s="28" t="n"/>
      <c r="M37" s="28" t="n"/>
      <c r="N37" s="44">
        <f>IF(B37="","",IFERROR(LOOKUP(2,1/(单次交易!$A$2:$A$201=B37),单次交易!$N$2:$N$201),""))</f>
        <v/>
      </c>
      <c r="O37" s="44">
        <f>IF(A37&lt;&gt;"每日跟踪","",IF(OR(B37="",H37="",I37=""),"",IFERROR(AGGREGATE(14,6,$I$2:$I$501/(($A$2:$A$501="每日跟踪")*($B$2:$B$501=B37)*($H$2:$H$501&lt;=H37)),1),"")))</f>
        <v/>
      </c>
      <c r="P37" s="26">
        <f>IF(A37&lt;&gt;"每日跟踪","",IF(O37="","",IFERROR(AGGREGATE(14,6,$D$2:$D$501/(($A$2:$A$501="止损计划")*($B$2:$B$501=B37)*($E$2:$E$501&lt;=O37)),1),0)))</f>
        <v/>
      </c>
      <c r="Q37" s="44">
        <f>IF(A37&lt;&gt;"每日跟踪","",IF(N37="","",MAX(N37,IFERROR(AGGREGATE(14,6,$F$2:$F$501/(($A$2:$A$501="止损计划")*($B$2:$B$501=B37)*($E$2:$E$501&lt;=O37)),1),0))))</f>
        <v/>
      </c>
      <c r="R37" s="43" t="n"/>
      <c r="S37" s="44">
        <f>IF(A37&lt;&gt;"每日跟踪","",IF(Q37="","",MAX(Q37,IFERROR(AGGREGATE(14,6,$R$2:$R$501/(($A$2:$A$501="每日跟踪")*($B$2:$B$501=B37)*($H$2:$H$501&lt;=H37)),1),0))))</f>
        <v/>
      </c>
      <c r="T37" s="44">
        <f>IF(A37&lt;&gt;"每日跟踪","",IF(O37="","",IF(COUNTIFS($A$2:$A$501,"止损计划",$B$2:$B$501,B37,$E$2:$E$501,"&gt;"&amp;O37)=0,"",AGGREGATE(15,6,$E$2:$E$501/(($A$2:$A$501="止损计划")*($B$2:$B$501=B37)*($E$2:$E$501&gt;O37)),1))))</f>
        <v/>
      </c>
      <c r="U37" s="44">
        <f>IF(OR(A37&lt;&gt;"每日跟踪",T37=""),"",IFERROR(AGGREGATE(14,6,$F$2:$F$501/(($A$2:$A$501="止损计划")*($B$2:$B$501=B37)*($E$2:$E$501=T37)),1),""))</f>
        <v/>
      </c>
      <c r="V37" s="30">
        <f>IF(OR(A37&lt;&gt;"每日跟踪",T37="",I37="",I37&lt;=0),"",T37/I37-1)</f>
        <v/>
      </c>
      <c r="W37" s="31">
        <f>IF(A37&lt;&gt;"每日跟踪","",IF(OR(I37="",S37=""),"",IF(I37&lt;=S37,"触发止损：应全部卖出","继续观察")))</f>
        <v/>
      </c>
      <c r="X37" s="28" t="n"/>
      <c r="Y37" s="43" t="n"/>
      <c r="Z37" s="26">
        <f>IF(X37&lt;&gt;"执行卖出","",IFERROR(LOOKUP(2,1/(单次交易!$A$2:$A$201=B37),单次交易!$AP$2:$AP$201),""))</f>
        <v/>
      </c>
      <c r="AA37" s="43" t="n"/>
      <c r="AB37" s="31">
        <f>IF(A37&lt;&gt;"每日跟踪","",IF(OR(B37="",H37="",I37="",J37="",K37="",L37="",M37=""),"待补充每日记录",IF(W37="触发止损：应全部卖出",IF(X37&lt;&gt;"执行卖出","违规：触发止损但未执行",IF(Y37="","待补充实际卖出价","卖出记录完整")),IF(X37="","待选择卖出动作",IF(X37="执行卖出",IF(Y37="","待补充实际卖出价","卖出记录完整"),"正常")))))</f>
        <v/>
      </c>
      <c r="AC37" s="31">
        <f>IF(A37="","",IF(A37="止损计划",IF(OR(B37="",D37="",E37="",F37="",G37=""),"计划不完整",IF(OR(D37&lt;1,D37&lt;&gt;INT(D37)),"阶段序号无效",IF(COUNTIFS($A$2:$A$501,"止损计划",$B$2:$B$501,B37,$D$2:$D$501,D37)&gt;1,"阶段序号重复",IF(E37&lt;=IFERROR(LOOKUP(2,1/('单次交易'!$A$2:$A$201=B37),'单次交易'!$E$2:$E$201),0),"激活价须高于买入价",IF(F37&lt;N37,"止损价不得低于初始止损",IF(F37&gt;E37,"止损价不得高于激活价",IF(AND(COUNTIFS($A$2:$A$501,"止损计划",$B$2:$B$501,B37,$D$2:$D$501,"&lt;"&amp;D37)&gt;0,OR(E37&lt;=AGGREGATE(14,6,$E$2:$E$501/(($A$2:$A$501="止损计划")*($B$2:$B$501=B37)*($D$2:$D$501&lt;D37)),1),F37&lt;AGGREGATE(14,6,$F$2:$F$501/(($A$2:$A$501="止损计划")*($B$2:$B$501=B37)*($D$2:$D$501&lt;D37)),1))),"阶段价格必须逐级提高","计划有效"))))))),IF(A37="每日跟踪",IF(OR(B37="",H37="",I37="",J37=""),"每日数据不完整",IF(COUNTIFS($A$2:$A$501,"每日跟踪",$B$2:$B$501,B37,$H$2:$H$501,H37)&gt;1,"同一交易日期重复",IF(AND(R37&lt;&gt;"",R37&lt;S37),"人工止损无效：不能下调","跟踪有效"))),"记录类型无效")))</f>
        <v/>
      </c>
    </row>
    <row r="38">
      <c r="A38" s="28" t="n"/>
      <c r="B38" s="28" t="n"/>
      <c r="C38" s="31">
        <f>IF(B38="","",IFERROR(LOOKUP(2,1/(单次交易!$A$2:$A$201=B38),单次交易!$B$2:$B$201),""))</f>
        <v/>
      </c>
      <c r="D38" s="27" t="n"/>
      <c r="E38" s="43" t="n"/>
      <c r="F38" s="43" t="n"/>
      <c r="G38" s="28" t="n"/>
      <c r="H38" s="49" t="n"/>
      <c r="I38" s="43" t="n"/>
      <c r="J38" s="27" t="n"/>
      <c r="K38" s="28" t="n"/>
      <c r="L38" s="28" t="n"/>
      <c r="M38" s="28" t="n"/>
      <c r="N38" s="44">
        <f>IF(B38="","",IFERROR(LOOKUP(2,1/(单次交易!$A$2:$A$201=B38),单次交易!$N$2:$N$201),""))</f>
        <v/>
      </c>
      <c r="O38" s="44">
        <f>IF(A38&lt;&gt;"每日跟踪","",IF(OR(B38="",H38="",I38=""),"",IFERROR(AGGREGATE(14,6,$I$2:$I$501/(($A$2:$A$501="每日跟踪")*($B$2:$B$501=B38)*($H$2:$H$501&lt;=H38)),1),"")))</f>
        <v/>
      </c>
      <c r="P38" s="26">
        <f>IF(A38&lt;&gt;"每日跟踪","",IF(O38="","",IFERROR(AGGREGATE(14,6,$D$2:$D$501/(($A$2:$A$501="止损计划")*($B$2:$B$501=B38)*($E$2:$E$501&lt;=O38)),1),0)))</f>
        <v/>
      </c>
      <c r="Q38" s="44">
        <f>IF(A38&lt;&gt;"每日跟踪","",IF(N38="","",MAX(N38,IFERROR(AGGREGATE(14,6,$F$2:$F$501/(($A$2:$A$501="止损计划")*($B$2:$B$501=B38)*($E$2:$E$501&lt;=O38)),1),0))))</f>
        <v/>
      </c>
      <c r="R38" s="43" t="n"/>
      <c r="S38" s="44">
        <f>IF(A38&lt;&gt;"每日跟踪","",IF(Q38="","",MAX(Q38,IFERROR(AGGREGATE(14,6,$R$2:$R$501/(($A$2:$A$501="每日跟踪")*($B$2:$B$501=B38)*($H$2:$H$501&lt;=H38)),1),0))))</f>
        <v/>
      </c>
      <c r="T38" s="44">
        <f>IF(A38&lt;&gt;"每日跟踪","",IF(O38="","",IF(COUNTIFS($A$2:$A$501,"止损计划",$B$2:$B$501,B38,$E$2:$E$501,"&gt;"&amp;O38)=0,"",AGGREGATE(15,6,$E$2:$E$501/(($A$2:$A$501="止损计划")*($B$2:$B$501=B38)*($E$2:$E$501&gt;O38)),1))))</f>
        <v/>
      </c>
      <c r="U38" s="44">
        <f>IF(OR(A38&lt;&gt;"每日跟踪",T38=""),"",IFERROR(AGGREGATE(14,6,$F$2:$F$501/(($A$2:$A$501="止损计划")*($B$2:$B$501=B38)*($E$2:$E$501=T38)),1),""))</f>
        <v/>
      </c>
      <c r="V38" s="30">
        <f>IF(OR(A38&lt;&gt;"每日跟踪",T38="",I38="",I38&lt;=0),"",T38/I38-1)</f>
        <v/>
      </c>
      <c r="W38" s="31">
        <f>IF(A38&lt;&gt;"每日跟踪","",IF(OR(I38="",S38=""),"",IF(I38&lt;=S38,"触发止损：应全部卖出","继续观察")))</f>
        <v/>
      </c>
      <c r="X38" s="28" t="n"/>
      <c r="Y38" s="43" t="n"/>
      <c r="Z38" s="26">
        <f>IF(X38&lt;&gt;"执行卖出","",IFERROR(LOOKUP(2,1/(单次交易!$A$2:$A$201=B38),单次交易!$AP$2:$AP$201),""))</f>
        <v/>
      </c>
      <c r="AA38" s="43" t="n"/>
      <c r="AB38" s="31">
        <f>IF(A38&lt;&gt;"每日跟踪","",IF(OR(B38="",H38="",I38="",J38="",K38="",L38="",M38=""),"待补充每日记录",IF(W38="触发止损：应全部卖出",IF(X38&lt;&gt;"执行卖出","违规：触发止损但未执行",IF(Y38="","待补充实际卖出价","卖出记录完整")),IF(X38="","待选择卖出动作",IF(X38="执行卖出",IF(Y38="","待补充实际卖出价","卖出记录完整"),"正常")))))</f>
        <v/>
      </c>
      <c r="AC38" s="31">
        <f>IF(A38="","",IF(A38="止损计划",IF(OR(B38="",D38="",E38="",F38="",G38=""),"计划不完整",IF(OR(D38&lt;1,D38&lt;&gt;INT(D38)),"阶段序号无效",IF(COUNTIFS($A$2:$A$501,"止损计划",$B$2:$B$501,B38,$D$2:$D$501,D38)&gt;1,"阶段序号重复",IF(E38&lt;=IFERROR(LOOKUP(2,1/('单次交易'!$A$2:$A$201=B38),'单次交易'!$E$2:$E$201),0),"激活价须高于买入价",IF(F38&lt;N38,"止损价不得低于初始止损",IF(F38&gt;E38,"止损价不得高于激活价",IF(AND(COUNTIFS($A$2:$A$501,"止损计划",$B$2:$B$501,B38,$D$2:$D$501,"&lt;"&amp;D38)&gt;0,OR(E38&lt;=AGGREGATE(14,6,$E$2:$E$501/(($A$2:$A$501="止损计划")*($B$2:$B$501=B38)*($D$2:$D$501&lt;D38)),1),F38&lt;AGGREGATE(14,6,$F$2:$F$501/(($A$2:$A$501="止损计划")*($B$2:$B$501=B38)*($D$2:$D$501&lt;D38)),1))),"阶段价格必须逐级提高","计划有效"))))))),IF(A38="每日跟踪",IF(OR(B38="",H38="",I38="",J38=""),"每日数据不完整",IF(COUNTIFS($A$2:$A$501,"每日跟踪",$B$2:$B$501,B38,$H$2:$H$501,H38)&gt;1,"同一交易日期重复",IF(AND(R38&lt;&gt;"",R38&lt;S38),"人工止损无效：不能下调","跟踪有效"))),"记录类型无效")))</f>
        <v/>
      </c>
    </row>
    <row r="39">
      <c r="A39" s="28" t="n"/>
      <c r="B39" s="28" t="n"/>
      <c r="C39" s="31">
        <f>IF(B39="","",IFERROR(LOOKUP(2,1/(单次交易!$A$2:$A$201=B39),单次交易!$B$2:$B$201),""))</f>
        <v/>
      </c>
      <c r="D39" s="27" t="n"/>
      <c r="E39" s="43" t="n"/>
      <c r="F39" s="43" t="n"/>
      <c r="G39" s="28" t="n"/>
      <c r="H39" s="49" t="n"/>
      <c r="I39" s="43" t="n"/>
      <c r="J39" s="27" t="n"/>
      <c r="K39" s="28" t="n"/>
      <c r="L39" s="28" t="n"/>
      <c r="M39" s="28" t="n"/>
      <c r="N39" s="44">
        <f>IF(B39="","",IFERROR(LOOKUP(2,1/(单次交易!$A$2:$A$201=B39),单次交易!$N$2:$N$201),""))</f>
        <v/>
      </c>
      <c r="O39" s="44">
        <f>IF(A39&lt;&gt;"每日跟踪","",IF(OR(B39="",H39="",I39=""),"",IFERROR(AGGREGATE(14,6,$I$2:$I$501/(($A$2:$A$501="每日跟踪")*($B$2:$B$501=B39)*($H$2:$H$501&lt;=H39)),1),"")))</f>
        <v/>
      </c>
      <c r="P39" s="26">
        <f>IF(A39&lt;&gt;"每日跟踪","",IF(O39="","",IFERROR(AGGREGATE(14,6,$D$2:$D$501/(($A$2:$A$501="止损计划")*($B$2:$B$501=B39)*($E$2:$E$501&lt;=O39)),1),0)))</f>
        <v/>
      </c>
      <c r="Q39" s="44">
        <f>IF(A39&lt;&gt;"每日跟踪","",IF(N39="","",MAX(N39,IFERROR(AGGREGATE(14,6,$F$2:$F$501/(($A$2:$A$501="止损计划")*($B$2:$B$501=B39)*($E$2:$E$501&lt;=O39)),1),0))))</f>
        <v/>
      </c>
      <c r="R39" s="43" t="n"/>
      <c r="S39" s="44">
        <f>IF(A39&lt;&gt;"每日跟踪","",IF(Q39="","",MAX(Q39,IFERROR(AGGREGATE(14,6,$R$2:$R$501/(($A$2:$A$501="每日跟踪")*($B$2:$B$501=B39)*($H$2:$H$501&lt;=H39)),1),0))))</f>
        <v/>
      </c>
      <c r="T39" s="44">
        <f>IF(A39&lt;&gt;"每日跟踪","",IF(O39="","",IF(COUNTIFS($A$2:$A$501,"止损计划",$B$2:$B$501,B39,$E$2:$E$501,"&gt;"&amp;O39)=0,"",AGGREGATE(15,6,$E$2:$E$501/(($A$2:$A$501="止损计划")*($B$2:$B$501=B39)*($E$2:$E$501&gt;O39)),1))))</f>
        <v/>
      </c>
      <c r="U39" s="44">
        <f>IF(OR(A39&lt;&gt;"每日跟踪",T39=""),"",IFERROR(AGGREGATE(14,6,$F$2:$F$501/(($A$2:$A$501="止损计划")*($B$2:$B$501=B39)*($E$2:$E$501=T39)),1),""))</f>
        <v/>
      </c>
      <c r="V39" s="30">
        <f>IF(OR(A39&lt;&gt;"每日跟踪",T39="",I39="",I39&lt;=0),"",T39/I39-1)</f>
        <v/>
      </c>
      <c r="W39" s="31">
        <f>IF(A39&lt;&gt;"每日跟踪","",IF(OR(I39="",S39=""),"",IF(I39&lt;=S39,"触发止损：应全部卖出","继续观察")))</f>
        <v/>
      </c>
      <c r="X39" s="28" t="n"/>
      <c r="Y39" s="43" t="n"/>
      <c r="Z39" s="26">
        <f>IF(X39&lt;&gt;"执行卖出","",IFERROR(LOOKUP(2,1/(单次交易!$A$2:$A$201=B39),单次交易!$AP$2:$AP$201),""))</f>
        <v/>
      </c>
      <c r="AA39" s="43" t="n"/>
      <c r="AB39" s="31">
        <f>IF(A39&lt;&gt;"每日跟踪","",IF(OR(B39="",H39="",I39="",J39="",K39="",L39="",M39=""),"待补充每日记录",IF(W39="触发止损：应全部卖出",IF(X39&lt;&gt;"执行卖出","违规：触发止损但未执行",IF(Y39="","待补充实际卖出价","卖出记录完整")),IF(X39="","待选择卖出动作",IF(X39="执行卖出",IF(Y39="","待补充实际卖出价","卖出记录完整"),"正常")))))</f>
        <v/>
      </c>
      <c r="AC39" s="31">
        <f>IF(A39="","",IF(A39="止损计划",IF(OR(B39="",D39="",E39="",F39="",G39=""),"计划不完整",IF(OR(D39&lt;1,D39&lt;&gt;INT(D39)),"阶段序号无效",IF(COUNTIFS($A$2:$A$501,"止损计划",$B$2:$B$501,B39,$D$2:$D$501,D39)&gt;1,"阶段序号重复",IF(E39&lt;=IFERROR(LOOKUP(2,1/('单次交易'!$A$2:$A$201=B39),'单次交易'!$E$2:$E$201),0),"激活价须高于买入价",IF(F39&lt;N39,"止损价不得低于初始止损",IF(F39&gt;E39,"止损价不得高于激活价",IF(AND(COUNTIFS($A$2:$A$501,"止损计划",$B$2:$B$501,B39,$D$2:$D$501,"&lt;"&amp;D39)&gt;0,OR(E39&lt;=AGGREGATE(14,6,$E$2:$E$501/(($A$2:$A$501="止损计划")*($B$2:$B$501=B39)*($D$2:$D$501&lt;D39)),1),F39&lt;AGGREGATE(14,6,$F$2:$F$501/(($A$2:$A$501="止损计划")*($B$2:$B$501=B39)*($D$2:$D$501&lt;D39)),1))),"阶段价格必须逐级提高","计划有效"))))))),IF(A39="每日跟踪",IF(OR(B39="",H39="",I39="",J39=""),"每日数据不完整",IF(COUNTIFS($A$2:$A$501,"每日跟踪",$B$2:$B$501,B39,$H$2:$H$501,H39)&gt;1,"同一交易日期重复",IF(AND(R39&lt;&gt;"",R39&lt;S39),"人工止损无效：不能下调","跟踪有效"))),"记录类型无效")))</f>
        <v/>
      </c>
    </row>
    <row r="40">
      <c r="A40" s="28" t="n"/>
      <c r="B40" s="28" t="n"/>
      <c r="C40" s="31">
        <f>IF(B40="","",IFERROR(LOOKUP(2,1/(单次交易!$A$2:$A$201=B40),单次交易!$B$2:$B$201),""))</f>
        <v/>
      </c>
      <c r="D40" s="27" t="n"/>
      <c r="E40" s="43" t="n"/>
      <c r="F40" s="43" t="n"/>
      <c r="G40" s="28" t="n"/>
      <c r="H40" s="49" t="n"/>
      <c r="I40" s="43" t="n"/>
      <c r="J40" s="27" t="n"/>
      <c r="K40" s="28" t="n"/>
      <c r="L40" s="28" t="n"/>
      <c r="M40" s="28" t="n"/>
      <c r="N40" s="44">
        <f>IF(B40="","",IFERROR(LOOKUP(2,1/(单次交易!$A$2:$A$201=B40),单次交易!$N$2:$N$201),""))</f>
        <v/>
      </c>
      <c r="O40" s="44">
        <f>IF(A40&lt;&gt;"每日跟踪","",IF(OR(B40="",H40="",I40=""),"",IFERROR(AGGREGATE(14,6,$I$2:$I$501/(($A$2:$A$501="每日跟踪")*($B$2:$B$501=B40)*($H$2:$H$501&lt;=H40)),1),"")))</f>
        <v/>
      </c>
      <c r="P40" s="26">
        <f>IF(A40&lt;&gt;"每日跟踪","",IF(O40="","",IFERROR(AGGREGATE(14,6,$D$2:$D$501/(($A$2:$A$501="止损计划")*($B$2:$B$501=B40)*($E$2:$E$501&lt;=O40)),1),0)))</f>
        <v/>
      </c>
      <c r="Q40" s="44">
        <f>IF(A40&lt;&gt;"每日跟踪","",IF(N40="","",MAX(N40,IFERROR(AGGREGATE(14,6,$F$2:$F$501/(($A$2:$A$501="止损计划")*($B$2:$B$501=B40)*($E$2:$E$501&lt;=O40)),1),0))))</f>
        <v/>
      </c>
      <c r="R40" s="43" t="n"/>
      <c r="S40" s="44">
        <f>IF(A40&lt;&gt;"每日跟踪","",IF(Q40="","",MAX(Q40,IFERROR(AGGREGATE(14,6,$R$2:$R$501/(($A$2:$A$501="每日跟踪")*($B$2:$B$501=B40)*($H$2:$H$501&lt;=H40)),1),0))))</f>
        <v/>
      </c>
      <c r="T40" s="44">
        <f>IF(A40&lt;&gt;"每日跟踪","",IF(O40="","",IF(COUNTIFS($A$2:$A$501,"止损计划",$B$2:$B$501,B40,$E$2:$E$501,"&gt;"&amp;O40)=0,"",AGGREGATE(15,6,$E$2:$E$501/(($A$2:$A$501="止损计划")*($B$2:$B$501=B40)*($E$2:$E$501&gt;O40)),1))))</f>
        <v/>
      </c>
      <c r="U40" s="44">
        <f>IF(OR(A40&lt;&gt;"每日跟踪",T40=""),"",IFERROR(AGGREGATE(14,6,$F$2:$F$501/(($A$2:$A$501="止损计划")*($B$2:$B$501=B40)*($E$2:$E$501=T40)),1),""))</f>
        <v/>
      </c>
      <c r="V40" s="30">
        <f>IF(OR(A40&lt;&gt;"每日跟踪",T40="",I40="",I40&lt;=0),"",T40/I40-1)</f>
        <v/>
      </c>
      <c r="W40" s="31">
        <f>IF(A40&lt;&gt;"每日跟踪","",IF(OR(I40="",S40=""),"",IF(I40&lt;=S40,"触发止损：应全部卖出","继续观察")))</f>
        <v/>
      </c>
      <c r="X40" s="28" t="n"/>
      <c r="Y40" s="43" t="n"/>
      <c r="Z40" s="26">
        <f>IF(X40&lt;&gt;"执行卖出","",IFERROR(LOOKUP(2,1/(单次交易!$A$2:$A$201=B40),单次交易!$AP$2:$AP$201),""))</f>
        <v/>
      </c>
      <c r="AA40" s="43" t="n"/>
      <c r="AB40" s="31">
        <f>IF(A40&lt;&gt;"每日跟踪","",IF(OR(B40="",H40="",I40="",J40="",K40="",L40="",M40=""),"待补充每日记录",IF(W40="触发止损：应全部卖出",IF(X40&lt;&gt;"执行卖出","违规：触发止损但未执行",IF(Y40="","待补充实际卖出价","卖出记录完整")),IF(X40="","待选择卖出动作",IF(X40="执行卖出",IF(Y40="","待补充实际卖出价","卖出记录完整"),"正常")))))</f>
        <v/>
      </c>
      <c r="AC40" s="31">
        <f>IF(A40="","",IF(A40="止损计划",IF(OR(B40="",D40="",E40="",F40="",G40=""),"计划不完整",IF(OR(D40&lt;1,D40&lt;&gt;INT(D40)),"阶段序号无效",IF(COUNTIFS($A$2:$A$501,"止损计划",$B$2:$B$501,B40,$D$2:$D$501,D40)&gt;1,"阶段序号重复",IF(E40&lt;=IFERROR(LOOKUP(2,1/('单次交易'!$A$2:$A$201=B40),'单次交易'!$E$2:$E$201),0),"激活价须高于买入价",IF(F40&lt;N40,"止损价不得低于初始止损",IF(F40&gt;E40,"止损价不得高于激活价",IF(AND(COUNTIFS($A$2:$A$501,"止损计划",$B$2:$B$501,B40,$D$2:$D$501,"&lt;"&amp;D40)&gt;0,OR(E40&lt;=AGGREGATE(14,6,$E$2:$E$501/(($A$2:$A$501="止损计划")*($B$2:$B$501=B40)*($D$2:$D$501&lt;D40)),1),F40&lt;AGGREGATE(14,6,$F$2:$F$501/(($A$2:$A$501="止损计划")*($B$2:$B$501=B40)*($D$2:$D$501&lt;D40)),1))),"阶段价格必须逐级提高","计划有效"))))))),IF(A40="每日跟踪",IF(OR(B40="",H40="",I40="",J40=""),"每日数据不完整",IF(COUNTIFS($A$2:$A$501,"每日跟踪",$B$2:$B$501,B40,$H$2:$H$501,H40)&gt;1,"同一交易日期重复",IF(AND(R40&lt;&gt;"",R40&lt;S40),"人工止损无效：不能下调","跟踪有效"))),"记录类型无效")))</f>
        <v/>
      </c>
    </row>
    <row r="41">
      <c r="A41" s="28" t="n"/>
      <c r="B41" s="28" t="n"/>
      <c r="C41" s="31">
        <f>IF(B41="","",IFERROR(LOOKUP(2,1/(单次交易!$A$2:$A$201=B41),单次交易!$B$2:$B$201),""))</f>
        <v/>
      </c>
      <c r="D41" s="27" t="n"/>
      <c r="E41" s="43" t="n"/>
      <c r="F41" s="43" t="n"/>
      <c r="G41" s="28" t="n"/>
      <c r="H41" s="49" t="n"/>
      <c r="I41" s="43" t="n"/>
      <c r="J41" s="27" t="n"/>
      <c r="K41" s="28" t="n"/>
      <c r="L41" s="28" t="n"/>
      <c r="M41" s="28" t="n"/>
      <c r="N41" s="44">
        <f>IF(B41="","",IFERROR(LOOKUP(2,1/(单次交易!$A$2:$A$201=B41),单次交易!$N$2:$N$201),""))</f>
        <v/>
      </c>
      <c r="O41" s="44">
        <f>IF(A41&lt;&gt;"每日跟踪","",IF(OR(B41="",H41="",I41=""),"",IFERROR(AGGREGATE(14,6,$I$2:$I$501/(($A$2:$A$501="每日跟踪")*($B$2:$B$501=B41)*($H$2:$H$501&lt;=H41)),1),"")))</f>
        <v/>
      </c>
      <c r="P41" s="26">
        <f>IF(A41&lt;&gt;"每日跟踪","",IF(O41="","",IFERROR(AGGREGATE(14,6,$D$2:$D$501/(($A$2:$A$501="止损计划")*($B$2:$B$501=B41)*($E$2:$E$501&lt;=O41)),1),0)))</f>
        <v/>
      </c>
      <c r="Q41" s="44">
        <f>IF(A41&lt;&gt;"每日跟踪","",IF(N41="","",MAX(N41,IFERROR(AGGREGATE(14,6,$F$2:$F$501/(($A$2:$A$501="止损计划")*($B$2:$B$501=B41)*($E$2:$E$501&lt;=O41)),1),0))))</f>
        <v/>
      </c>
      <c r="R41" s="43" t="n"/>
      <c r="S41" s="44">
        <f>IF(A41&lt;&gt;"每日跟踪","",IF(Q41="","",MAX(Q41,IFERROR(AGGREGATE(14,6,$R$2:$R$501/(($A$2:$A$501="每日跟踪")*($B$2:$B$501=B41)*($H$2:$H$501&lt;=H41)),1),0))))</f>
        <v/>
      </c>
      <c r="T41" s="44">
        <f>IF(A41&lt;&gt;"每日跟踪","",IF(O41="","",IF(COUNTIFS($A$2:$A$501,"止损计划",$B$2:$B$501,B41,$E$2:$E$501,"&gt;"&amp;O41)=0,"",AGGREGATE(15,6,$E$2:$E$501/(($A$2:$A$501="止损计划")*($B$2:$B$501=B41)*($E$2:$E$501&gt;O41)),1))))</f>
        <v/>
      </c>
      <c r="U41" s="44">
        <f>IF(OR(A41&lt;&gt;"每日跟踪",T41=""),"",IFERROR(AGGREGATE(14,6,$F$2:$F$501/(($A$2:$A$501="止损计划")*($B$2:$B$501=B41)*($E$2:$E$501=T41)),1),""))</f>
        <v/>
      </c>
      <c r="V41" s="30">
        <f>IF(OR(A41&lt;&gt;"每日跟踪",T41="",I41="",I41&lt;=0),"",T41/I41-1)</f>
        <v/>
      </c>
      <c r="W41" s="31">
        <f>IF(A41&lt;&gt;"每日跟踪","",IF(OR(I41="",S41=""),"",IF(I41&lt;=S41,"触发止损：应全部卖出","继续观察")))</f>
        <v/>
      </c>
      <c r="X41" s="28" t="n"/>
      <c r="Y41" s="43" t="n"/>
      <c r="Z41" s="26">
        <f>IF(X41&lt;&gt;"执行卖出","",IFERROR(LOOKUP(2,1/(单次交易!$A$2:$A$201=B41),单次交易!$AP$2:$AP$201),""))</f>
        <v/>
      </c>
      <c r="AA41" s="43" t="n"/>
      <c r="AB41" s="31">
        <f>IF(A41&lt;&gt;"每日跟踪","",IF(OR(B41="",H41="",I41="",J41="",K41="",L41="",M41=""),"待补充每日记录",IF(W41="触发止损：应全部卖出",IF(X41&lt;&gt;"执行卖出","违规：触发止损但未执行",IF(Y41="","待补充实际卖出价","卖出记录完整")),IF(X41="","待选择卖出动作",IF(X41="执行卖出",IF(Y41="","待补充实际卖出价","卖出记录完整"),"正常")))))</f>
        <v/>
      </c>
      <c r="AC41" s="31">
        <f>IF(A41="","",IF(A41="止损计划",IF(OR(B41="",D41="",E41="",F41="",G41=""),"计划不完整",IF(OR(D41&lt;1,D41&lt;&gt;INT(D41)),"阶段序号无效",IF(COUNTIFS($A$2:$A$501,"止损计划",$B$2:$B$501,B41,$D$2:$D$501,D41)&gt;1,"阶段序号重复",IF(E41&lt;=IFERROR(LOOKUP(2,1/('单次交易'!$A$2:$A$201=B41),'单次交易'!$E$2:$E$201),0),"激活价须高于买入价",IF(F41&lt;N41,"止损价不得低于初始止损",IF(F41&gt;E41,"止损价不得高于激活价",IF(AND(COUNTIFS($A$2:$A$501,"止损计划",$B$2:$B$501,B41,$D$2:$D$501,"&lt;"&amp;D41)&gt;0,OR(E41&lt;=AGGREGATE(14,6,$E$2:$E$501/(($A$2:$A$501="止损计划")*($B$2:$B$501=B41)*($D$2:$D$501&lt;D41)),1),F41&lt;AGGREGATE(14,6,$F$2:$F$501/(($A$2:$A$501="止损计划")*($B$2:$B$501=B41)*($D$2:$D$501&lt;D41)),1))),"阶段价格必须逐级提高","计划有效"))))))),IF(A41="每日跟踪",IF(OR(B41="",H41="",I41="",J41=""),"每日数据不完整",IF(COUNTIFS($A$2:$A$501,"每日跟踪",$B$2:$B$501,B41,$H$2:$H$501,H41)&gt;1,"同一交易日期重复",IF(AND(R41&lt;&gt;"",R41&lt;S41),"人工止损无效：不能下调","跟踪有效"))),"记录类型无效")))</f>
        <v/>
      </c>
    </row>
    <row r="42">
      <c r="A42" s="28" t="n"/>
      <c r="B42" s="28" t="n"/>
      <c r="C42" s="31">
        <f>IF(B42="","",IFERROR(LOOKUP(2,1/(单次交易!$A$2:$A$201=B42),单次交易!$B$2:$B$201),""))</f>
        <v/>
      </c>
      <c r="D42" s="27" t="n"/>
      <c r="E42" s="43" t="n"/>
      <c r="F42" s="43" t="n"/>
      <c r="G42" s="28" t="n"/>
      <c r="H42" s="49" t="n"/>
      <c r="I42" s="43" t="n"/>
      <c r="J42" s="27" t="n"/>
      <c r="K42" s="28" t="n"/>
      <c r="L42" s="28" t="n"/>
      <c r="M42" s="28" t="n"/>
      <c r="N42" s="44">
        <f>IF(B42="","",IFERROR(LOOKUP(2,1/(单次交易!$A$2:$A$201=B42),单次交易!$N$2:$N$201),""))</f>
        <v/>
      </c>
      <c r="O42" s="44">
        <f>IF(A42&lt;&gt;"每日跟踪","",IF(OR(B42="",H42="",I42=""),"",IFERROR(AGGREGATE(14,6,$I$2:$I$501/(($A$2:$A$501="每日跟踪")*($B$2:$B$501=B42)*($H$2:$H$501&lt;=H42)),1),"")))</f>
        <v/>
      </c>
      <c r="P42" s="26">
        <f>IF(A42&lt;&gt;"每日跟踪","",IF(O42="","",IFERROR(AGGREGATE(14,6,$D$2:$D$501/(($A$2:$A$501="止损计划")*($B$2:$B$501=B42)*($E$2:$E$501&lt;=O42)),1),0)))</f>
        <v/>
      </c>
      <c r="Q42" s="44">
        <f>IF(A42&lt;&gt;"每日跟踪","",IF(N42="","",MAX(N42,IFERROR(AGGREGATE(14,6,$F$2:$F$501/(($A$2:$A$501="止损计划")*($B$2:$B$501=B42)*($E$2:$E$501&lt;=O42)),1),0))))</f>
        <v/>
      </c>
      <c r="R42" s="43" t="n"/>
      <c r="S42" s="44">
        <f>IF(A42&lt;&gt;"每日跟踪","",IF(Q42="","",MAX(Q42,IFERROR(AGGREGATE(14,6,$R$2:$R$501/(($A$2:$A$501="每日跟踪")*($B$2:$B$501=B42)*($H$2:$H$501&lt;=H42)),1),0))))</f>
        <v/>
      </c>
      <c r="T42" s="44">
        <f>IF(A42&lt;&gt;"每日跟踪","",IF(O42="","",IF(COUNTIFS($A$2:$A$501,"止损计划",$B$2:$B$501,B42,$E$2:$E$501,"&gt;"&amp;O42)=0,"",AGGREGATE(15,6,$E$2:$E$501/(($A$2:$A$501="止损计划")*($B$2:$B$501=B42)*($E$2:$E$501&gt;O42)),1))))</f>
        <v/>
      </c>
      <c r="U42" s="44">
        <f>IF(OR(A42&lt;&gt;"每日跟踪",T42=""),"",IFERROR(AGGREGATE(14,6,$F$2:$F$501/(($A$2:$A$501="止损计划")*($B$2:$B$501=B42)*($E$2:$E$501=T42)),1),""))</f>
        <v/>
      </c>
      <c r="V42" s="30">
        <f>IF(OR(A42&lt;&gt;"每日跟踪",T42="",I42="",I42&lt;=0),"",T42/I42-1)</f>
        <v/>
      </c>
      <c r="W42" s="31">
        <f>IF(A42&lt;&gt;"每日跟踪","",IF(OR(I42="",S42=""),"",IF(I42&lt;=S42,"触发止损：应全部卖出","继续观察")))</f>
        <v/>
      </c>
      <c r="X42" s="28" t="n"/>
      <c r="Y42" s="43" t="n"/>
      <c r="Z42" s="26">
        <f>IF(X42&lt;&gt;"执行卖出","",IFERROR(LOOKUP(2,1/(单次交易!$A$2:$A$201=B42),单次交易!$AP$2:$AP$201),""))</f>
        <v/>
      </c>
      <c r="AA42" s="43" t="n"/>
      <c r="AB42" s="31">
        <f>IF(A42&lt;&gt;"每日跟踪","",IF(OR(B42="",H42="",I42="",J42="",K42="",L42="",M42=""),"待补充每日记录",IF(W42="触发止损：应全部卖出",IF(X42&lt;&gt;"执行卖出","违规：触发止损但未执行",IF(Y42="","待补充实际卖出价","卖出记录完整")),IF(X42="","待选择卖出动作",IF(X42="执行卖出",IF(Y42="","待补充实际卖出价","卖出记录完整"),"正常")))))</f>
        <v/>
      </c>
      <c r="AC42" s="31">
        <f>IF(A42="","",IF(A42="止损计划",IF(OR(B42="",D42="",E42="",F42="",G42=""),"计划不完整",IF(OR(D42&lt;1,D42&lt;&gt;INT(D42)),"阶段序号无效",IF(COUNTIFS($A$2:$A$501,"止损计划",$B$2:$B$501,B42,$D$2:$D$501,D42)&gt;1,"阶段序号重复",IF(E42&lt;=IFERROR(LOOKUP(2,1/('单次交易'!$A$2:$A$201=B42),'单次交易'!$E$2:$E$201),0),"激活价须高于买入价",IF(F42&lt;N42,"止损价不得低于初始止损",IF(F42&gt;E42,"止损价不得高于激活价",IF(AND(COUNTIFS($A$2:$A$501,"止损计划",$B$2:$B$501,B42,$D$2:$D$501,"&lt;"&amp;D42)&gt;0,OR(E42&lt;=AGGREGATE(14,6,$E$2:$E$501/(($A$2:$A$501="止损计划")*($B$2:$B$501=B42)*($D$2:$D$501&lt;D42)),1),F42&lt;AGGREGATE(14,6,$F$2:$F$501/(($A$2:$A$501="止损计划")*($B$2:$B$501=B42)*($D$2:$D$501&lt;D42)),1))),"阶段价格必须逐级提高","计划有效"))))))),IF(A42="每日跟踪",IF(OR(B42="",H42="",I42="",J42=""),"每日数据不完整",IF(COUNTIFS($A$2:$A$501,"每日跟踪",$B$2:$B$501,B42,$H$2:$H$501,H42)&gt;1,"同一交易日期重复",IF(AND(R42&lt;&gt;"",R42&lt;S42),"人工止损无效：不能下调","跟踪有效"))),"记录类型无效")))</f>
        <v/>
      </c>
    </row>
    <row r="43">
      <c r="A43" s="28" t="n"/>
      <c r="B43" s="28" t="n"/>
      <c r="C43" s="31">
        <f>IF(B43="","",IFERROR(LOOKUP(2,1/(单次交易!$A$2:$A$201=B43),单次交易!$B$2:$B$201),""))</f>
        <v/>
      </c>
      <c r="D43" s="27" t="n"/>
      <c r="E43" s="43" t="n"/>
      <c r="F43" s="43" t="n"/>
      <c r="G43" s="28" t="n"/>
      <c r="H43" s="49" t="n"/>
      <c r="I43" s="43" t="n"/>
      <c r="J43" s="27" t="n"/>
      <c r="K43" s="28" t="n"/>
      <c r="L43" s="28" t="n"/>
      <c r="M43" s="28" t="n"/>
      <c r="N43" s="44">
        <f>IF(B43="","",IFERROR(LOOKUP(2,1/(单次交易!$A$2:$A$201=B43),单次交易!$N$2:$N$201),""))</f>
        <v/>
      </c>
      <c r="O43" s="44">
        <f>IF(A43&lt;&gt;"每日跟踪","",IF(OR(B43="",H43="",I43=""),"",IFERROR(AGGREGATE(14,6,$I$2:$I$501/(($A$2:$A$501="每日跟踪")*($B$2:$B$501=B43)*($H$2:$H$501&lt;=H43)),1),"")))</f>
        <v/>
      </c>
      <c r="P43" s="26">
        <f>IF(A43&lt;&gt;"每日跟踪","",IF(O43="","",IFERROR(AGGREGATE(14,6,$D$2:$D$501/(($A$2:$A$501="止损计划")*($B$2:$B$501=B43)*($E$2:$E$501&lt;=O43)),1),0)))</f>
        <v/>
      </c>
      <c r="Q43" s="44">
        <f>IF(A43&lt;&gt;"每日跟踪","",IF(N43="","",MAX(N43,IFERROR(AGGREGATE(14,6,$F$2:$F$501/(($A$2:$A$501="止损计划")*($B$2:$B$501=B43)*($E$2:$E$501&lt;=O43)),1),0))))</f>
        <v/>
      </c>
      <c r="R43" s="43" t="n"/>
      <c r="S43" s="44">
        <f>IF(A43&lt;&gt;"每日跟踪","",IF(Q43="","",MAX(Q43,IFERROR(AGGREGATE(14,6,$R$2:$R$501/(($A$2:$A$501="每日跟踪")*($B$2:$B$501=B43)*($H$2:$H$501&lt;=H43)),1),0))))</f>
        <v/>
      </c>
      <c r="T43" s="44">
        <f>IF(A43&lt;&gt;"每日跟踪","",IF(O43="","",IF(COUNTIFS($A$2:$A$501,"止损计划",$B$2:$B$501,B43,$E$2:$E$501,"&gt;"&amp;O43)=0,"",AGGREGATE(15,6,$E$2:$E$501/(($A$2:$A$501="止损计划")*($B$2:$B$501=B43)*($E$2:$E$501&gt;O43)),1))))</f>
        <v/>
      </c>
      <c r="U43" s="44">
        <f>IF(OR(A43&lt;&gt;"每日跟踪",T43=""),"",IFERROR(AGGREGATE(14,6,$F$2:$F$501/(($A$2:$A$501="止损计划")*($B$2:$B$501=B43)*($E$2:$E$501=T43)),1),""))</f>
        <v/>
      </c>
      <c r="V43" s="30">
        <f>IF(OR(A43&lt;&gt;"每日跟踪",T43="",I43="",I43&lt;=0),"",T43/I43-1)</f>
        <v/>
      </c>
      <c r="W43" s="31">
        <f>IF(A43&lt;&gt;"每日跟踪","",IF(OR(I43="",S43=""),"",IF(I43&lt;=S43,"触发止损：应全部卖出","继续观察")))</f>
        <v/>
      </c>
      <c r="X43" s="28" t="n"/>
      <c r="Y43" s="43" t="n"/>
      <c r="Z43" s="26">
        <f>IF(X43&lt;&gt;"执行卖出","",IFERROR(LOOKUP(2,1/(单次交易!$A$2:$A$201=B43),单次交易!$AP$2:$AP$201),""))</f>
        <v/>
      </c>
      <c r="AA43" s="43" t="n"/>
      <c r="AB43" s="31">
        <f>IF(A43&lt;&gt;"每日跟踪","",IF(OR(B43="",H43="",I43="",J43="",K43="",L43="",M43=""),"待补充每日记录",IF(W43="触发止损：应全部卖出",IF(X43&lt;&gt;"执行卖出","违规：触发止损但未执行",IF(Y43="","待补充实际卖出价","卖出记录完整")),IF(X43="","待选择卖出动作",IF(X43="执行卖出",IF(Y43="","待补充实际卖出价","卖出记录完整"),"正常")))))</f>
        <v/>
      </c>
      <c r="AC43" s="31">
        <f>IF(A43="","",IF(A43="止损计划",IF(OR(B43="",D43="",E43="",F43="",G43=""),"计划不完整",IF(OR(D43&lt;1,D43&lt;&gt;INT(D43)),"阶段序号无效",IF(COUNTIFS($A$2:$A$501,"止损计划",$B$2:$B$501,B43,$D$2:$D$501,D43)&gt;1,"阶段序号重复",IF(E43&lt;=IFERROR(LOOKUP(2,1/('单次交易'!$A$2:$A$201=B43),'单次交易'!$E$2:$E$201),0),"激活价须高于买入价",IF(F43&lt;N43,"止损价不得低于初始止损",IF(F43&gt;E43,"止损价不得高于激活价",IF(AND(COUNTIFS($A$2:$A$501,"止损计划",$B$2:$B$501,B43,$D$2:$D$501,"&lt;"&amp;D43)&gt;0,OR(E43&lt;=AGGREGATE(14,6,$E$2:$E$501/(($A$2:$A$501="止损计划")*($B$2:$B$501=B43)*($D$2:$D$501&lt;D43)),1),F43&lt;AGGREGATE(14,6,$F$2:$F$501/(($A$2:$A$501="止损计划")*($B$2:$B$501=B43)*($D$2:$D$501&lt;D43)),1))),"阶段价格必须逐级提高","计划有效"))))))),IF(A43="每日跟踪",IF(OR(B43="",H43="",I43="",J43=""),"每日数据不完整",IF(COUNTIFS($A$2:$A$501,"每日跟踪",$B$2:$B$501,B43,$H$2:$H$501,H43)&gt;1,"同一交易日期重复",IF(AND(R43&lt;&gt;"",R43&lt;S43),"人工止损无效：不能下调","跟踪有效"))),"记录类型无效")))</f>
        <v/>
      </c>
    </row>
    <row r="44">
      <c r="A44" s="28" t="n"/>
      <c r="B44" s="28" t="n"/>
      <c r="C44" s="31">
        <f>IF(B44="","",IFERROR(LOOKUP(2,1/(单次交易!$A$2:$A$201=B44),单次交易!$B$2:$B$201),""))</f>
        <v/>
      </c>
      <c r="D44" s="27" t="n"/>
      <c r="E44" s="43" t="n"/>
      <c r="F44" s="43" t="n"/>
      <c r="G44" s="28" t="n"/>
      <c r="H44" s="49" t="n"/>
      <c r="I44" s="43" t="n"/>
      <c r="J44" s="27" t="n"/>
      <c r="K44" s="28" t="n"/>
      <c r="L44" s="28" t="n"/>
      <c r="M44" s="28" t="n"/>
      <c r="N44" s="44">
        <f>IF(B44="","",IFERROR(LOOKUP(2,1/(单次交易!$A$2:$A$201=B44),单次交易!$N$2:$N$201),""))</f>
        <v/>
      </c>
      <c r="O44" s="44">
        <f>IF(A44&lt;&gt;"每日跟踪","",IF(OR(B44="",H44="",I44=""),"",IFERROR(AGGREGATE(14,6,$I$2:$I$501/(($A$2:$A$501="每日跟踪")*($B$2:$B$501=B44)*($H$2:$H$501&lt;=H44)),1),"")))</f>
        <v/>
      </c>
      <c r="P44" s="26">
        <f>IF(A44&lt;&gt;"每日跟踪","",IF(O44="","",IFERROR(AGGREGATE(14,6,$D$2:$D$501/(($A$2:$A$501="止损计划")*($B$2:$B$501=B44)*($E$2:$E$501&lt;=O44)),1),0)))</f>
        <v/>
      </c>
      <c r="Q44" s="44">
        <f>IF(A44&lt;&gt;"每日跟踪","",IF(N44="","",MAX(N44,IFERROR(AGGREGATE(14,6,$F$2:$F$501/(($A$2:$A$501="止损计划")*($B$2:$B$501=B44)*($E$2:$E$501&lt;=O44)),1),0))))</f>
        <v/>
      </c>
      <c r="R44" s="43" t="n"/>
      <c r="S44" s="44">
        <f>IF(A44&lt;&gt;"每日跟踪","",IF(Q44="","",MAX(Q44,IFERROR(AGGREGATE(14,6,$R$2:$R$501/(($A$2:$A$501="每日跟踪")*($B$2:$B$501=B44)*($H$2:$H$501&lt;=H44)),1),0))))</f>
        <v/>
      </c>
      <c r="T44" s="44">
        <f>IF(A44&lt;&gt;"每日跟踪","",IF(O44="","",IF(COUNTIFS($A$2:$A$501,"止损计划",$B$2:$B$501,B44,$E$2:$E$501,"&gt;"&amp;O44)=0,"",AGGREGATE(15,6,$E$2:$E$501/(($A$2:$A$501="止损计划")*($B$2:$B$501=B44)*($E$2:$E$501&gt;O44)),1))))</f>
        <v/>
      </c>
      <c r="U44" s="44">
        <f>IF(OR(A44&lt;&gt;"每日跟踪",T44=""),"",IFERROR(AGGREGATE(14,6,$F$2:$F$501/(($A$2:$A$501="止损计划")*($B$2:$B$501=B44)*($E$2:$E$501=T44)),1),""))</f>
        <v/>
      </c>
      <c r="V44" s="30">
        <f>IF(OR(A44&lt;&gt;"每日跟踪",T44="",I44="",I44&lt;=0),"",T44/I44-1)</f>
        <v/>
      </c>
      <c r="W44" s="31">
        <f>IF(A44&lt;&gt;"每日跟踪","",IF(OR(I44="",S44=""),"",IF(I44&lt;=S44,"触发止损：应全部卖出","继续观察")))</f>
        <v/>
      </c>
      <c r="X44" s="28" t="n"/>
      <c r="Y44" s="43" t="n"/>
      <c r="Z44" s="26">
        <f>IF(X44&lt;&gt;"执行卖出","",IFERROR(LOOKUP(2,1/(单次交易!$A$2:$A$201=B44),单次交易!$AP$2:$AP$201),""))</f>
        <v/>
      </c>
      <c r="AA44" s="43" t="n"/>
      <c r="AB44" s="31">
        <f>IF(A44&lt;&gt;"每日跟踪","",IF(OR(B44="",H44="",I44="",J44="",K44="",L44="",M44=""),"待补充每日记录",IF(W44="触发止损：应全部卖出",IF(X44&lt;&gt;"执行卖出","违规：触发止损但未执行",IF(Y44="","待补充实际卖出价","卖出记录完整")),IF(X44="","待选择卖出动作",IF(X44="执行卖出",IF(Y44="","待补充实际卖出价","卖出记录完整"),"正常")))))</f>
        <v/>
      </c>
      <c r="AC44" s="31">
        <f>IF(A44="","",IF(A44="止损计划",IF(OR(B44="",D44="",E44="",F44="",G44=""),"计划不完整",IF(OR(D44&lt;1,D44&lt;&gt;INT(D44)),"阶段序号无效",IF(COUNTIFS($A$2:$A$501,"止损计划",$B$2:$B$501,B44,$D$2:$D$501,D44)&gt;1,"阶段序号重复",IF(E44&lt;=IFERROR(LOOKUP(2,1/('单次交易'!$A$2:$A$201=B44),'单次交易'!$E$2:$E$201),0),"激活价须高于买入价",IF(F44&lt;N44,"止损价不得低于初始止损",IF(F44&gt;E44,"止损价不得高于激活价",IF(AND(COUNTIFS($A$2:$A$501,"止损计划",$B$2:$B$501,B44,$D$2:$D$501,"&lt;"&amp;D44)&gt;0,OR(E44&lt;=AGGREGATE(14,6,$E$2:$E$501/(($A$2:$A$501="止损计划")*($B$2:$B$501=B44)*($D$2:$D$501&lt;D44)),1),F44&lt;AGGREGATE(14,6,$F$2:$F$501/(($A$2:$A$501="止损计划")*($B$2:$B$501=B44)*($D$2:$D$501&lt;D44)),1))),"阶段价格必须逐级提高","计划有效"))))))),IF(A44="每日跟踪",IF(OR(B44="",H44="",I44="",J44=""),"每日数据不完整",IF(COUNTIFS($A$2:$A$501,"每日跟踪",$B$2:$B$501,B44,$H$2:$H$501,H44)&gt;1,"同一交易日期重复",IF(AND(R44&lt;&gt;"",R44&lt;S44),"人工止损无效：不能下调","跟踪有效"))),"记录类型无效")))</f>
        <v/>
      </c>
    </row>
    <row r="45">
      <c r="A45" s="28" t="n"/>
      <c r="B45" s="28" t="n"/>
      <c r="C45" s="31">
        <f>IF(B45="","",IFERROR(LOOKUP(2,1/(单次交易!$A$2:$A$201=B45),单次交易!$B$2:$B$201),""))</f>
        <v/>
      </c>
      <c r="D45" s="27" t="n"/>
      <c r="E45" s="43" t="n"/>
      <c r="F45" s="43" t="n"/>
      <c r="G45" s="28" t="n"/>
      <c r="H45" s="49" t="n"/>
      <c r="I45" s="43" t="n"/>
      <c r="J45" s="27" t="n"/>
      <c r="K45" s="28" t="n"/>
      <c r="L45" s="28" t="n"/>
      <c r="M45" s="28" t="n"/>
      <c r="N45" s="44">
        <f>IF(B45="","",IFERROR(LOOKUP(2,1/(单次交易!$A$2:$A$201=B45),单次交易!$N$2:$N$201),""))</f>
        <v/>
      </c>
      <c r="O45" s="44">
        <f>IF(A45&lt;&gt;"每日跟踪","",IF(OR(B45="",H45="",I45=""),"",IFERROR(AGGREGATE(14,6,$I$2:$I$501/(($A$2:$A$501="每日跟踪")*($B$2:$B$501=B45)*($H$2:$H$501&lt;=H45)),1),"")))</f>
        <v/>
      </c>
      <c r="P45" s="26">
        <f>IF(A45&lt;&gt;"每日跟踪","",IF(O45="","",IFERROR(AGGREGATE(14,6,$D$2:$D$501/(($A$2:$A$501="止损计划")*($B$2:$B$501=B45)*($E$2:$E$501&lt;=O45)),1),0)))</f>
        <v/>
      </c>
      <c r="Q45" s="44">
        <f>IF(A45&lt;&gt;"每日跟踪","",IF(N45="","",MAX(N45,IFERROR(AGGREGATE(14,6,$F$2:$F$501/(($A$2:$A$501="止损计划")*($B$2:$B$501=B45)*($E$2:$E$501&lt;=O45)),1),0))))</f>
        <v/>
      </c>
      <c r="R45" s="43" t="n"/>
      <c r="S45" s="44">
        <f>IF(A45&lt;&gt;"每日跟踪","",IF(Q45="","",MAX(Q45,IFERROR(AGGREGATE(14,6,$R$2:$R$501/(($A$2:$A$501="每日跟踪")*($B$2:$B$501=B45)*($H$2:$H$501&lt;=H45)),1),0))))</f>
        <v/>
      </c>
      <c r="T45" s="44">
        <f>IF(A45&lt;&gt;"每日跟踪","",IF(O45="","",IF(COUNTIFS($A$2:$A$501,"止损计划",$B$2:$B$501,B45,$E$2:$E$501,"&gt;"&amp;O45)=0,"",AGGREGATE(15,6,$E$2:$E$501/(($A$2:$A$501="止损计划")*($B$2:$B$501=B45)*($E$2:$E$501&gt;O45)),1))))</f>
        <v/>
      </c>
      <c r="U45" s="44">
        <f>IF(OR(A45&lt;&gt;"每日跟踪",T45=""),"",IFERROR(AGGREGATE(14,6,$F$2:$F$501/(($A$2:$A$501="止损计划")*($B$2:$B$501=B45)*($E$2:$E$501=T45)),1),""))</f>
        <v/>
      </c>
      <c r="V45" s="30">
        <f>IF(OR(A45&lt;&gt;"每日跟踪",T45="",I45="",I45&lt;=0),"",T45/I45-1)</f>
        <v/>
      </c>
      <c r="W45" s="31">
        <f>IF(A45&lt;&gt;"每日跟踪","",IF(OR(I45="",S45=""),"",IF(I45&lt;=S45,"触发止损：应全部卖出","继续观察")))</f>
        <v/>
      </c>
      <c r="X45" s="28" t="n"/>
      <c r="Y45" s="43" t="n"/>
      <c r="Z45" s="26">
        <f>IF(X45&lt;&gt;"执行卖出","",IFERROR(LOOKUP(2,1/(单次交易!$A$2:$A$201=B45),单次交易!$AP$2:$AP$201),""))</f>
        <v/>
      </c>
      <c r="AA45" s="43" t="n"/>
      <c r="AB45" s="31">
        <f>IF(A45&lt;&gt;"每日跟踪","",IF(OR(B45="",H45="",I45="",J45="",K45="",L45="",M45=""),"待补充每日记录",IF(W45="触发止损：应全部卖出",IF(X45&lt;&gt;"执行卖出","违规：触发止损但未执行",IF(Y45="","待补充实际卖出价","卖出记录完整")),IF(X45="","待选择卖出动作",IF(X45="执行卖出",IF(Y45="","待补充实际卖出价","卖出记录完整"),"正常")))))</f>
        <v/>
      </c>
      <c r="AC45" s="31">
        <f>IF(A45="","",IF(A45="止损计划",IF(OR(B45="",D45="",E45="",F45="",G45=""),"计划不完整",IF(OR(D45&lt;1,D45&lt;&gt;INT(D45)),"阶段序号无效",IF(COUNTIFS($A$2:$A$501,"止损计划",$B$2:$B$501,B45,$D$2:$D$501,D45)&gt;1,"阶段序号重复",IF(E45&lt;=IFERROR(LOOKUP(2,1/('单次交易'!$A$2:$A$201=B45),'单次交易'!$E$2:$E$201),0),"激活价须高于买入价",IF(F45&lt;N45,"止损价不得低于初始止损",IF(F45&gt;E45,"止损价不得高于激活价",IF(AND(COUNTIFS($A$2:$A$501,"止损计划",$B$2:$B$501,B45,$D$2:$D$501,"&lt;"&amp;D45)&gt;0,OR(E45&lt;=AGGREGATE(14,6,$E$2:$E$501/(($A$2:$A$501="止损计划")*($B$2:$B$501=B45)*($D$2:$D$501&lt;D45)),1),F45&lt;AGGREGATE(14,6,$F$2:$F$501/(($A$2:$A$501="止损计划")*($B$2:$B$501=B45)*($D$2:$D$501&lt;D45)),1))),"阶段价格必须逐级提高","计划有效"))))))),IF(A45="每日跟踪",IF(OR(B45="",H45="",I45="",J45=""),"每日数据不完整",IF(COUNTIFS($A$2:$A$501,"每日跟踪",$B$2:$B$501,B45,$H$2:$H$501,H45)&gt;1,"同一交易日期重复",IF(AND(R45&lt;&gt;"",R45&lt;S45),"人工止损无效：不能下调","跟踪有效"))),"记录类型无效")))</f>
        <v/>
      </c>
    </row>
    <row r="46">
      <c r="A46" s="28" t="n"/>
      <c r="B46" s="28" t="n"/>
      <c r="C46" s="31">
        <f>IF(B46="","",IFERROR(LOOKUP(2,1/(单次交易!$A$2:$A$201=B46),单次交易!$B$2:$B$201),""))</f>
        <v/>
      </c>
      <c r="D46" s="27" t="n"/>
      <c r="E46" s="43" t="n"/>
      <c r="F46" s="43" t="n"/>
      <c r="G46" s="28" t="n"/>
      <c r="H46" s="49" t="n"/>
      <c r="I46" s="43" t="n"/>
      <c r="J46" s="27" t="n"/>
      <c r="K46" s="28" t="n"/>
      <c r="L46" s="28" t="n"/>
      <c r="M46" s="28" t="n"/>
      <c r="N46" s="44">
        <f>IF(B46="","",IFERROR(LOOKUP(2,1/(单次交易!$A$2:$A$201=B46),单次交易!$N$2:$N$201),""))</f>
        <v/>
      </c>
      <c r="O46" s="44">
        <f>IF(A46&lt;&gt;"每日跟踪","",IF(OR(B46="",H46="",I46=""),"",IFERROR(AGGREGATE(14,6,$I$2:$I$501/(($A$2:$A$501="每日跟踪")*($B$2:$B$501=B46)*($H$2:$H$501&lt;=H46)),1),"")))</f>
        <v/>
      </c>
      <c r="P46" s="26">
        <f>IF(A46&lt;&gt;"每日跟踪","",IF(O46="","",IFERROR(AGGREGATE(14,6,$D$2:$D$501/(($A$2:$A$501="止损计划")*($B$2:$B$501=B46)*($E$2:$E$501&lt;=O46)),1),0)))</f>
        <v/>
      </c>
      <c r="Q46" s="44">
        <f>IF(A46&lt;&gt;"每日跟踪","",IF(N46="","",MAX(N46,IFERROR(AGGREGATE(14,6,$F$2:$F$501/(($A$2:$A$501="止损计划")*($B$2:$B$501=B46)*($E$2:$E$501&lt;=O46)),1),0))))</f>
        <v/>
      </c>
      <c r="R46" s="43" t="n"/>
      <c r="S46" s="44">
        <f>IF(A46&lt;&gt;"每日跟踪","",IF(Q46="","",MAX(Q46,IFERROR(AGGREGATE(14,6,$R$2:$R$501/(($A$2:$A$501="每日跟踪")*($B$2:$B$501=B46)*($H$2:$H$501&lt;=H46)),1),0))))</f>
        <v/>
      </c>
      <c r="T46" s="44">
        <f>IF(A46&lt;&gt;"每日跟踪","",IF(O46="","",IF(COUNTIFS($A$2:$A$501,"止损计划",$B$2:$B$501,B46,$E$2:$E$501,"&gt;"&amp;O46)=0,"",AGGREGATE(15,6,$E$2:$E$501/(($A$2:$A$501="止损计划")*($B$2:$B$501=B46)*($E$2:$E$501&gt;O46)),1))))</f>
        <v/>
      </c>
      <c r="U46" s="44">
        <f>IF(OR(A46&lt;&gt;"每日跟踪",T46=""),"",IFERROR(AGGREGATE(14,6,$F$2:$F$501/(($A$2:$A$501="止损计划")*($B$2:$B$501=B46)*($E$2:$E$501=T46)),1),""))</f>
        <v/>
      </c>
      <c r="V46" s="30">
        <f>IF(OR(A46&lt;&gt;"每日跟踪",T46="",I46="",I46&lt;=0),"",T46/I46-1)</f>
        <v/>
      </c>
      <c r="W46" s="31">
        <f>IF(A46&lt;&gt;"每日跟踪","",IF(OR(I46="",S46=""),"",IF(I46&lt;=S46,"触发止损：应全部卖出","继续观察")))</f>
        <v/>
      </c>
      <c r="X46" s="28" t="n"/>
      <c r="Y46" s="43" t="n"/>
      <c r="Z46" s="26">
        <f>IF(X46&lt;&gt;"执行卖出","",IFERROR(LOOKUP(2,1/(单次交易!$A$2:$A$201=B46),单次交易!$AP$2:$AP$201),""))</f>
        <v/>
      </c>
      <c r="AA46" s="43" t="n"/>
      <c r="AB46" s="31">
        <f>IF(A46&lt;&gt;"每日跟踪","",IF(OR(B46="",H46="",I46="",J46="",K46="",L46="",M46=""),"待补充每日记录",IF(W46="触发止损：应全部卖出",IF(X46&lt;&gt;"执行卖出","违规：触发止损但未执行",IF(Y46="","待补充实际卖出价","卖出记录完整")),IF(X46="","待选择卖出动作",IF(X46="执行卖出",IF(Y46="","待补充实际卖出价","卖出记录完整"),"正常")))))</f>
        <v/>
      </c>
      <c r="AC46" s="31">
        <f>IF(A46="","",IF(A46="止损计划",IF(OR(B46="",D46="",E46="",F46="",G46=""),"计划不完整",IF(OR(D46&lt;1,D46&lt;&gt;INT(D46)),"阶段序号无效",IF(COUNTIFS($A$2:$A$501,"止损计划",$B$2:$B$501,B46,$D$2:$D$501,D46)&gt;1,"阶段序号重复",IF(E46&lt;=IFERROR(LOOKUP(2,1/('单次交易'!$A$2:$A$201=B46),'单次交易'!$E$2:$E$201),0),"激活价须高于买入价",IF(F46&lt;N46,"止损价不得低于初始止损",IF(F46&gt;E46,"止损价不得高于激活价",IF(AND(COUNTIFS($A$2:$A$501,"止损计划",$B$2:$B$501,B46,$D$2:$D$501,"&lt;"&amp;D46)&gt;0,OR(E46&lt;=AGGREGATE(14,6,$E$2:$E$501/(($A$2:$A$501="止损计划")*($B$2:$B$501=B46)*($D$2:$D$501&lt;D46)),1),F46&lt;AGGREGATE(14,6,$F$2:$F$501/(($A$2:$A$501="止损计划")*($B$2:$B$501=B46)*($D$2:$D$501&lt;D46)),1))),"阶段价格必须逐级提高","计划有效"))))))),IF(A46="每日跟踪",IF(OR(B46="",H46="",I46="",J46=""),"每日数据不完整",IF(COUNTIFS($A$2:$A$501,"每日跟踪",$B$2:$B$501,B46,$H$2:$H$501,H46)&gt;1,"同一交易日期重复",IF(AND(R46&lt;&gt;"",R46&lt;S46),"人工止损无效：不能下调","跟踪有效"))),"记录类型无效")))</f>
        <v/>
      </c>
    </row>
    <row r="47">
      <c r="A47" s="28" t="n"/>
      <c r="B47" s="28" t="n"/>
      <c r="C47" s="31">
        <f>IF(B47="","",IFERROR(LOOKUP(2,1/(单次交易!$A$2:$A$201=B47),单次交易!$B$2:$B$201),""))</f>
        <v/>
      </c>
      <c r="D47" s="27" t="n"/>
      <c r="E47" s="43" t="n"/>
      <c r="F47" s="43" t="n"/>
      <c r="G47" s="28" t="n"/>
      <c r="H47" s="49" t="n"/>
      <c r="I47" s="43" t="n"/>
      <c r="J47" s="27" t="n"/>
      <c r="K47" s="28" t="n"/>
      <c r="L47" s="28" t="n"/>
      <c r="M47" s="28" t="n"/>
      <c r="N47" s="44">
        <f>IF(B47="","",IFERROR(LOOKUP(2,1/(单次交易!$A$2:$A$201=B47),单次交易!$N$2:$N$201),""))</f>
        <v/>
      </c>
      <c r="O47" s="44">
        <f>IF(A47&lt;&gt;"每日跟踪","",IF(OR(B47="",H47="",I47=""),"",IFERROR(AGGREGATE(14,6,$I$2:$I$501/(($A$2:$A$501="每日跟踪")*($B$2:$B$501=B47)*($H$2:$H$501&lt;=H47)),1),"")))</f>
        <v/>
      </c>
      <c r="P47" s="26">
        <f>IF(A47&lt;&gt;"每日跟踪","",IF(O47="","",IFERROR(AGGREGATE(14,6,$D$2:$D$501/(($A$2:$A$501="止损计划")*($B$2:$B$501=B47)*($E$2:$E$501&lt;=O47)),1),0)))</f>
        <v/>
      </c>
      <c r="Q47" s="44">
        <f>IF(A47&lt;&gt;"每日跟踪","",IF(N47="","",MAX(N47,IFERROR(AGGREGATE(14,6,$F$2:$F$501/(($A$2:$A$501="止损计划")*($B$2:$B$501=B47)*($E$2:$E$501&lt;=O47)),1),0))))</f>
        <v/>
      </c>
      <c r="R47" s="43" t="n"/>
      <c r="S47" s="44">
        <f>IF(A47&lt;&gt;"每日跟踪","",IF(Q47="","",MAX(Q47,IFERROR(AGGREGATE(14,6,$R$2:$R$501/(($A$2:$A$501="每日跟踪")*($B$2:$B$501=B47)*($H$2:$H$501&lt;=H47)),1),0))))</f>
        <v/>
      </c>
      <c r="T47" s="44">
        <f>IF(A47&lt;&gt;"每日跟踪","",IF(O47="","",IF(COUNTIFS($A$2:$A$501,"止损计划",$B$2:$B$501,B47,$E$2:$E$501,"&gt;"&amp;O47)=0,"",AGGREGATE(15,6,$E$2:$E$501/(($A$2:$A$501="止损计划")*($B$2:$B$501=B47)*($E$2:$E$501&gt;O47)),1))))</f>
        <v/>
      </c>
      <c r="U47" s="44">
        <f>IF(OR(A47&lt;&gt;"每日跟踪",T47=""),"",IFERROR(AGGREGATE(14,6,$F$2:$F$501/(($A$2:$A$501="止损计划")*($B$2:$B$501=B47)*($E$2:$E$501=T47)),1),""))</f>
        <v/>
      </c>
      <c r="V47" s="30">
        <f>IF(OR(A47&lt;&gt;"每日跟踪",T47="",I47="",I47&lt;=0),"",T47/I47-1)</f>
        <v/>
      </c>
      <c r="W47" s="31">
        <f>IF(A47&lt;&gt;"每日跟踪","",IF(OR(I47="",S47=""),"",IF(I47&lt;=S47,"触发止损：应全部卖出","继续观察")))</f>
        <v/>
      </c>
      <c r="X47" s="28" t="n"/>
      <c r="Y47" s="43" t="n"/>
      <c r="Z47" s="26">
        <f>IF(X47&lt;&gt;"执行卖出","",IFERROR(LOOKUP(2,1/(单次交易!$A$2:$A$201=B47),单次交易!$AP$2:$AP$201),""))</f>
        <v/>
      </c>
      <c r="AA47" s="43" t="n"/>
      <c r="AB47" s="31">
        <f>IF(A47&lt;&gt;"每日跟踪","",IF(OR(B47="",H47="",I47="",J47="",K47="",L47="",M47=""),"待补充每日记录",IF(W47="触发止损：应全部卖出",IF(X47&lt;&gt;"执行卖出","违规：触发止损但未执行",IF(Y47="","待补充实际卖出价","卖出记录完整")),IF(X47="","待选择卖出动作",IF(X47="执行卖出",IF(Y47="","待补充实际卖出价","卖出记录完整"),"正常")))))</f>
        <v/>
      </c>
      <c r="AC47" s="31">
        <f>IF(A47="","",IF(A47="止损计划",IF(OR(B47="",D47="",E47="",F47="",G47=""),"计划不完整",IF(OR(D47&lt;1,D47&lt;&gt;INT(D47)),"阶段序号无效",IF(COUNTIFS($A$2:$A$501,"止损计划",$B$2:$B$501,B47,$D$2:$D$501,D47)&gt;1,"阶段序号重复",IF(E47&lt;=IFERROR(LOOKUP(2,1/('单次交易'!$A$2:$A$201=B47),'单次交易'!$E$2:$E$201),0),"激活价须高于买入价",IF(F47&lt;N47,"止损价不得低于初始止损",IF(F47&gt;E47,"止损价不得高于激活价",IF(AND(COUNTIFS($A$2:$A$501,"止损计划",$B$2:$B$501,B47,$D$2:$D$501,"&lt;"&amp;D47)&gt;0,OR(E47&lt;=AGGREGATE(14,6,$E$2:$E$501/(($A$2:$A$501="止损计划")*($B$2:$B$501=B47)*($D$2:$D$501&lt;D47)),1),F47&lt;AGGREGATE(14,6,$F$2:$F$501/(($A$2:$A$501="止损计划")*($B$2:$B$501=B47)*($D$2:$D$501&lt;D47)),1))),"阶段价格必须逐级提高","计划有效"))))))),IF(A47="每日跟踪",IF(OR(B47="",H47="",I47="",J47=""),"每日数据不完整",IF(COUNTIFS($A$2:$A$501,"每日跟踪",$B$2:$B$501,B47,$H$2:$H$501,H47)&gt;1,"同一交易日期重复",IF(AND(R47&lt;&gt;"",R47&lt;S47),"人工止损无效：不能下调","跟踪有效"))),"记录类型无效")))</f>
        <v/>
      </c>
    </row>
    <row r="48">
      <c r="A48" s="28" t="n"/>
      <c r="B48" s="28" t="n"/>
      <c r="C48" s="31">
        <f>IF(B48="","",IFERROR(LOOKUP(2,1/(单次交易!$A$2:$A$201=B48),单次交易!$B$2:$B$201),""))</f>
        <v/>
      </c>
      <c r="D48" s="27" t="n"/>
      <c r="E48" s="43" t="n"/>
      <c r="F48" s="43" t="n"/>
      <c r="G48" s="28" t="n"/>
      <c r="H48" s="49" t="n"/>
      <c r="I48" s="43" t="n"/>
      <c r="J48" s="27" t="n"/>
      <c r="K48" s="28" t="n"/>
      <c r="L48" s="28" t="n"/>
      <c r="M48" s="28" t="n"/>
      <c r="N48" s="44">
        <f>IF(B48="","",IFERROR(LOOKUP(2,1/(单次交易!$A$2:$A$201=B48),单次交易!$N$2:$N$201),""))</f>
        <v/>
      </c>
      <c r="O48" s="44">
        <f>IF(A48&lt;&gt;"每日跟踪","",IF(OR(B48="",H48="",I48=""),"",IFERROR(AGGREGATE(14,6,$I$2:$I$501/(($A$2:$A$501="每日跟踪")*($B$2:$B$501=B48)*($H$2:$H$501&lt;=H48)),1),"")))</f>
        <v/>
      </c>
      <c r="P48" s="26">
        <f>IF(A48&lt;&gt;"每日跟踪","",IF(O48="","",IFERROR(AGGREGATE(14,6,$D$2:$D$501/(($A$2:$A$501="止损计划")*($B$2:$B$501=B48)*($E$2:$E$501&lt;=O48)),1),0)))</f>
        <v/>
      </c>
      <c r="Q48" s="44">
        <f>IF(A48&lt;&gt;"每日跟踪","",IF(N48="","",MAX(N48,IFERROR(AGGREGATE(14,6,$F$2:$F$501/(($A$2:$A$501="止损计划")*($B$2:$B$501=B48)*($E$2:$E$501&lt;=O48)),1),0))))</f>
        <v/>
      </c>
      <c r="R48" s="43" t="n"/>
      <c r="S48" s="44">
        <f>IF(A48&lt;&gt;"每日跟踪","",IF(Q48="","",MAX(Q48,IFERROR(AGGREGATE(14,6,$R$2:$R$501/(($A$2:$A$501="每日跟踪")*($B$2:$B$501=B48)*($H$2:$H$501&lt;=H48)),1),0))))</f>
        <v/>
      </c>
      <c r="T48" s="44">
        <f>IF(A48&lt;&gt;"每日跟踪","",IF(O48="","",IF(COUNTIFS($A$2:$A$501,"止损计划",$B$2:$B$501,B48,$E$2:$E$501,"&gt;"&amp;O48)=0,"",AGGREGATE(15,6,$E$2:$E$501/(($A$2:$A$501="止损计划")*($B$2:$B$501=B48)*($E$2:$E$501&gt;O48)),1))))</f>
        <v/>
      </c>
      <c r="U48" s="44">
        <f>IF(OR(A48&lt;&gt;"每日跟踪",T48=""),"",IFERROR(AGGREGATE(14,6,$F$2:$F$501/(($A$2:$A$501="止损计划")*($B$2:$B$501=B48)*($E$2:$E$501=T48)),1),""))</f>
        <v/>
      </c>
      <c r="V48" s="30">
        <f>IF(OR(A48&lt;&gt;"每日跟踪",T48="",I48="",I48&lt;=0),"",T48/I48-1)</f>
        <v/>
      </c>
      <c r="W48" s="31">
        <f>IF(A48&lt;&gt;"每日跟踪","",IF(OR(I48="",S48=""),"",IF(I48&lt;=S48,"触发止损：应全部卖出","继续观察")))</f>
        <v/>
      </c>
      <c r="X48" s="28" t="n"/>
      <c r="Y48" s="43" t="n"/>
      <c r="Z48" s="26">
        <f>IF(X48&lt;&gt;"执行卖出","",IFERROR(LOOKUP(2,1/(单次交易!$A$2:$A$201=B48),单次交易!$AP$2:$AP$201),""))</f>
        <v/>
      </c>
      <c r="AA48" s="43" t="n"/>
      <c r="AB48" s="31">
        <f>IF(A48&lt;&gt;"每日跟踪","",IF(OR(B48="",H48="",I48="",J48="",K48="",L48="",M48=""),"待补充每日记录",IF(W48="触发止损：应全部卖出",IF(X48&lt;&gt;"执行卖出","违规：触发止损但未执行",IF(Y48="","待补充实际卖出价","卖出记录完整")),IF(X48="","待选择卖出动作",IF(X48="执行卖出",IF(Y48="","待补充实际卖出价","卖出记录完整"),"正常")))))</f>
        <v/>
      </c>
      <c r="AC48" s="31">
        <f>IF(A48="","",IF(A48="止损计划",IF(OR(B48="",D48="",E48="",F48="",G48=""),"计划不完整",IF(OR(D48&lt;1,D48&lt;&gt;INT(D48)),"阶段序号无效",IF(COUNTIFS($A$2:$A$501,"止损计划",$B$2:$B$501,B48,$D$2:$D$501,D48)&gt;1,"阶段序号重复",IF(E48&lt;=IFERROR(LOOKUP(2,1/('单次交易'!$A$2:$A$201=B48),'单次交易'!$E$2:$E$201),0),"激活价须高于买入价",IF(F48&lt;N48,"止损价不得低于初始止损",IF(F48&gt;E48,"止损价不得高于激活价",IF(AND(COUNTIFS($A$2:$A$501,"止损计划",$B$2:$B$501,B48,$D$2:$D$501,"&lt;"&amp;D48)&gt;0,OR(E48&lt;=AGGREGATE(14,6,$E$2:$E$501/(($A$2:$A$501="止损计划")*($B$2:$B$501=B48)*($D$2:$D$501&lt;D48)),1),F48&lt;AGGREGATE(14,6,$F$2:$F$501/(($A$2:$A$501="止损计划")*($B$2:$B$501=B48)*($D$2:$D$501&lt;D48)),1))),"阶段价格必须逐级提高","计划有效"))))))),IF(A48="每日跟踪",IF(OR(B48="",H48="",I48="",J48=""),"每日数据不完整",IF(COUNTIFS($A$2:$A$501,"每日跟踪",$B$2:$B$501,B48,$H$2:$H$501,H48)&gt;1,"同一交易日期重复",IF(AND(R48&lt;&gt;"",R48&lt;S48),"人工止损无效：不能下调","跟踪有效"))),"记录类型无效")))</f>
        <v/>
      </c>
    </row>
    <row r="49">
      <c r="A49" s="28" t="n"/>
      <c r="B49" s="28" t="n"/>
      <c r="C49" s="31">
        <f>IF(B49="","",IFERROR(LOOKUP(2,1/(单次交易!$A$2:$A$201=B49),单次交易!$B$2:$B$201),""))</f>
        <v/>
      </c>
      <c r="D49" s="27" t="n"/>
      <c r="E49" s="43" t="n"/>
      <c r="F49" s="43" t="n"/>
      <c r="G49" s="28" t="n"/>
      <c r="H49" s="49" t="n"/>
      <c r="I49" s="43" t="n"/>
      <c r="J49" s="27" t="n"/>
      <c r="K49" s="28" t="n"/>
      <c r="L49" s="28" t="n"/>
      <c r="M49" s="28" t="n"/>
      <c r="N49" s="44">
        <f>IF(B49="","",IFERROR(LOOKUP(2,1/(单次交易!$A$2:$A$201=B49),单次交易!$N$2:$N$201),""))</f>
        <v/>
      </c>
      <c r="O49" s="44">
        <f>IF(A49&lt;&gt;"每日跟踪","",IF(OR(B49="",H49="",I49=""),"",IFERROR(AGGREGATE(14,6,$I$2:$I$501/(($A$2:$A$501="每日跟踪")*($B$2:$B$501=B49)*($H$2:$H$501&lt;=H49)),1),"")))</f>
        <v/>
      </c>
      <c r="P49" s="26">
        <f>IF(A49&lt;&gt;"每日跟踪","",IF(O49="","",IFERROR(AGGREGATE(14,6,$D$2:$D$501/(($A$2:$A$501="止损计划")*($B$2:$B$501=B49)*($E$2:$E$501&lt;=O49)),1),0)))</f>
        <v/>
      </c>
      <c r="Q49" s="44">
        <f>IF(A49&lt;&gt;"每日跟踪","",IF(N49="","",MAX(N49,IFERROR(AGGREGATE(14,6,$F$2:$F$501/(($A$2:$A$501="止损计划")*($B$2:$B$501=B49)*($E$2:$E$501&lt;=O49)),1),0))))</f>
        <v/>
      </c>
      <c r="R49" s="43" t="n"/>
      <c r="S49" s="44">
        <f>IF(A49&lt;&gt;"每日跟踪","",IF(Q49="","",MAX(Q49,IFERROR(AGGREGATE(14,6,$R$2:$R$501/(($A$2:$A$501="每日跟踪")*($B$2:$B$501=B49)*($H$2:$H$501&lt;=H49)),1),0))))</f>
        <v/>
      </c>
      <c r="T49" s="44">
        <f>IF(A49&lt;&gt;"每日跟踪","",IF(O49="","",IF(COUNTIFS($A$2:$A$501,"止损计划",$B$2:$B$501,B49,$E$2:$E$501,"&gt;"&amp;O49)=0,"",AGGREGATE(15,6,$E$2:$E$501/(($A$2:$A$501="止损计划")*($B$2:$B$501=B49)*($E$2:$E$501&gt;O49)),1))))</f>
        <v/>
      </c>
      <c r="U49" s="44">
        <f>IF(OR(A49&lt;&gt;"每日跟踪",T49=""),"",IFERROR(AGGREGATE(14,6,$F$2:$F$501/(($A$2:$A$501="止损计划")*($B$2:$B$501=B49)*($E$2:$E$501=T49)),1),""))</f>
        <v/>
      </c>
      <c r="V49" s="30">
        <f>IF(OR(A49&lt;&gt;"每日跟踪",T49="",I49="",I49&lt;=0),"",T49/I49-1)</f>
        <v/>
      </c>
      <c r="W49" s="31">
        <f>IF(A49&lt;&gt;"每日跟踪","",IF(OR(I49="",S49=""),"",IF(I49&lt;=S49,"触发止损：应全部卖出","继续观察")))</f>
        <v/>
      </c>
      <c r="X49" s="28" t="n"/>
      <c r="Y49" s="43" t="n"/>
      <c r="Z49" s="26">
        <f>IF(X49&lt;&gt;"执行卖出","",IFERROR(LOOKUP(2,1/(单次交易!$A$2:$A$201=B49),单次交易!$AP$2:$AP$201),""))</f>
        <v/>
      </c>
      <c r="AA49" s="43" t="n"/>
      <c r="AB49" s="31">
        <f>IF(A49&lt;&gt;"每日跟踪","",IF(OR(B49="",H49="",I49="",J49="",K49="",L49="",M49=""),"待补充每日记录",IF(W49="触发止损：应全部卖出",IF(X49&lt;&gt;"执行卖出","违规：触发止损但未执行",IF(Y49="","待补充实际卖出价","卖出记录完整")),IF(X49="","待选择卖出动作",IF(X49="执行卖出",IF(Y49="","待补充实际卖出价","卖出记录完整"),"正常")))))</f>
        <v/>
      </c>
      <c r="AC49" s="31">
        <f>IF(A49="","",IF(A49="止损计划",IF(OR(B49="",D49="",E49="",F49="",G49=""),"计划不完整",IF(OR(D49&lt;1,D49&lt;&gt;INT(D49)),"阶段序号无效",IF(COUNTIFS($A$2:$A$501,"止损计划",$B$2:$B$501,B49,$D$2:$D$501,D49)&gt;1,"阶段序号重复",IF(E49&lt;=IFERROR(LOOKUP(2,1/('单次交易'!$A$2:$A$201=B49),'单次交易'!$E$2:$E$201),0),"激活价须高于买入价",IF(F49&lt;N49,"止损价不得低于初始止损",IF(F49&gt;E49,"止损价不得高于激活价",IF(AND(COUNTIFS($A$2:$A$501,"止损计划",$B$2:$B$501,B49,$D$2:$D$501,"&lt;"&amp;D49)&gt;0,OR(E49&lt;=AGGREGATE(14,6,$E$2:$E$501/(($A$2:$A$501="止损计划")*($B$2:$B$501=B49)*($D$2:$D$501&lt;D49)),1),F49&lt;AGGREGATE(14,6,$F$2:$F$501/(($A$2:$A$501="止损计划")*($B$2:$B$501=B49)*($D$2:$D$501&lt;D49)),1))),"阶段价格必须逐级提高","计划有效"))))))),IF(A49="每日跟踪",IF(OR(B49="",H49="",I49="",J49=""),"每日数据不完整",IF(COUNTIFS($A$2:$A$501,"每日跟踪",$B$2:$B$501,B49,$H$2:$H$501,H49)&gt;1,"同一交易日期重复",IF(AND(R49&lt;&gt;"",R49&lt;S49),"人工止损无效：不能下调","跟踪有效"))),"记录类型无效")))</f>
        <v/>
      </c>
    </row>
    <row r="50">
      <c r="A50" s="28" t="n"/>
      <c r="B50" s="28" t="n"/>
      <c r="C50" s="31">
        <f>IF(B50="","",IFERROR(LOOKUP(2,1/(单次交易!$A$2:$A$201=B50),单次交易!$B$2:$B$201),""))</f>
        <v/>
      </c>
      <c r="D50" s="27" t="n"/>
      <c r="E50" s="43" t="n"/>
      <c r="F50" s="43" t="n"/>
      <c r="G50" s="28" t="n"/>
      <c r="H50" s="49" t="n"/>
      <c r="I50" s="43" t="n"/>
      <c r="J50" s="27" t="n"/>
      <c r="K50" s="28" t="n"/>
      <c r="L50" s="28" t="n"/>
      <c r="M50" s="28" t="n"/>
      <c r="N50" s="44">
        <f>IF(B50="","",IFERROR(LOOKUP(2,1/(单次交易!$A$2:$A$201=B50),单次交易!$N$2:$N$201),""))</f>
        <v/>
      </c>
      <c r="O50" s="44">
        <f>IF(A50&lt;&gt;"每日跟踪","",IF(OR(B50="",H50="",I50=""),"",IFERROR(AGGREGATE(14,6,$I$2:$I$501/(($A$2:$A$501="每日跟踪")*($B$2:$B$501=B50)*($H$2:$H$501&lt;=H50)),1),"")))</f>
        <v/>
      </c>
      <c r="P50" s="26">
        <f>IF(A50&lt;&gt;"每日跟踪","",IF(O50="","",IFERROR(AGGREGATE(14,6,$D$2:$D$501/(($A$2:$A$501="止损计划")*($B$2:$B$501=B50)*($E$2:$E$501&lt;=O50)),1),0)))</f>
        <v/>
      </c>
      <c r="Q50" s="44">
        <f>IF(A50&lt;&gt;"每日跟踪","",IF(N50="","",MAX(N50,IFERROR(AGGREGATE(14,6,$F$2:$F$501/(($A$2:$A$501="止损计划")*($B$2:$B$501=B50)*($E$2:$E$501&lt;=O50)),1),0))))</f>
        <v/>
      </c>
      <c r="R50" s="43" t="n"/>
      <c r="S50" s="44">
        <f>IF(A50&lt;&gt;"每日跟踪","",IF(Q50="","",MAX(Q50,IFERROR(AGGREGATE(14,6,$R$2:$R$501/(($A$2:$A$501="每日跟踪")*($B$2:$B$501=B50)*($H$2:$H$501&lt;=H50)),1),0))))</f>
        <v/>
      </c>
      <c r="T50" s="44">
        <f>IF(A50&lt;&gt;"每日跟踪","",IF(O50="","",IF(COUNTIFS($A$2:$A$501,"止损计划",$B$2:$B$501,B50,$E$2:$E$501,"&gt;"&amp;O50)=0,"",AGGREGATE(15,6,$E$2:$E$501/(($A$2:$A$501="止损计划")*($B$2:$B$501=B50)*($E$2:$E$501&gt;O50)),1))))</f>
        <v/>
      </c>
      <c r="U50" s="44">
        <f>IF(OR(A50&lt;&gt;"每日跟踪",T50=""),"",IFERROR(AGGREGATE(14,6,$F$2:$F$501/(($A$2:$A$501="止损计划")*($B$2:$B$501=B50)*($E$2:$E$501=T50)),1),""))</f>
        <v/>
      </c>
      <c r="V50" s="30">
        <f>IF(OR(A50&lt;&gt;"每日跟踪",T50="",I50="",I50&lt;=0),"",T50/I50-1)</f>
        <v/>
      </c>
      <c r="W50" s="31">
        <f>IF(A50&lt;&gt;"每日跟踪","",IF(OR(I50="",S50=""),"",IF(I50&lt;=S50,"触发止损：应全部卖出","继续观察")))</f>
        <v/>
      </c>
      <c r="X50" s="28" t="n"/>
      <c r="Y50" s="43" t="n"/>
      <c r="Z50" s="26">
        <f>IF(X50&lt;&gt;"执行卖出","",IFERROR(LOOKUP(2,1/(单次交易!$A$2:$A$201=B50),单次交易!$AP$2:$AP$201),""))</f>
        <v/>
      </c>
      <c r="AA50" s="43" t="n"/>
      <c r="AB50" s="31">
        <f>IF(A50&lt;&gt;"每日跟踪","",IF(OR(B50="",H50="",I50="",J50="",K50="",L50="",M50=""),"待补充每日记录",IF(W50="触发止损：应全部卖出",IF(X50&lt;&gt;"执行卖出","违规：触发止损但未执行",IF(Y50="","待补充实际卖出价","卖出记录完整")),IF(X50="","待选择卖出动作",IF(X50="执行卖出",IF(Y50="","待补充实际卖出价","卖出记录完整"),"正常")))))</f>
        <v/>
      </c>
      <c r="AC50" s="31">
        <f>IF(A50="","",IF(A50="止损计划",IF(OR(B50="",D50="",E50="",F50="",G50=""),"计划不完整",IF(OR(D50&lt;1,D50&lt;&gt;INT(D50)),"阶段序号无效",IF(COUNTIFS($A$2:$A$501,"止损计划",$B$2:$B$501,B50,$D$2:$D$501,D50)&gt;1,"阶段序号重复",IF(E50&lt;=IFERROR(LOOKUP(2,1/('单次交易'!$A$2:$A$201=B50),'单次交易'!$E$2:$E$201),0),"激活价须高于买入价",IF(F50&lt;N50,"止损价不得低于初始止损",IF(F50&gt;E50,"止损价不得高于激活价",IF(AND(COUNTIFS($A$2:$A$501,"止损计划",$B$2:$B$501,B50,$D$2:$D$501,"&lt;"&amp;D50)&gt;0,OR(E50&lt;=AGGREGATE(14,6,$E$2:$E$501/(($A$2:$A$501="止损计划")*($B$2:$B$501=B50)*($D$2:$D$501&lt;D50)),1),F50&lt;AGGREGATE(14,6,$F$2:$F$501/(($A$2:$A$501="止损计划")*($B$2:$B$501=B50)*($D$2:$D$501&lt;D50)),1))),"阶段价格必须逐级提高","计划有效"))))))),IF(A50="每日跟踪",IF(OR(B50="",H50="",I50="",J50=""),"每日数据不完整",IF(COUNTIFS($A$2:$A$501,"每日跟踪",$B$2:$B$501,B50,$H$2:$H$501,H50)&gt;1,"同一交易日期重复",IF(AND(R50&lt;&gt;"",R50&lt;S50),"人工止损无效：不能下调","跟踪有效"))),"记录类型无效")))</f>
        <v/>
      </c>
    </row>
    <row r="51">
      <c r="A51" s="28" t="n"/>
      <c r="B51" s="28" t="n"/>
      <c r="C51" s="31">
        <f>IF(B51="","",IFERROR(LOOKUP(2,1/(单次交易!$A$2:$A$201=B51),单次交易!$B$2:$B$201),""))</f>
        <v/>
      </c>
      <c r="D51" s="27" t="n"/>
      <c r="E51" s="43" t="n"/>
      <c r="F51" s="43" t="n"/>
      <c r="G51" s="28" t="n"/>
      <c r="H51" s="49" t="n"/>
      <c r="I51" s="43" t="n"/>
      <c r="J51" s="27" t="n"/>
      <c r="K51" s="28" t="n"/>
      <c r="L51" s="28" t="n"/>
      <c r="M51" s="28" t="n"/>
      <c r="N51" s="44">
        <f>IF(B51="","",IFERROR(LOOKUP(2,1/(单次交易!$A$2:$A$201=B51),单次交易!$N$2:$N$201),""))</f>
        <v/>
      </c>
      <c r="O51" s="44">
        <f>IF(A51&lt;&gt;"每日跟踪","",IF(OR(B51="",H51="",I51=""),"",IFERROR(AGGREGATE(14,6,$I$2:$I$501/(($A$2:$A$501="每日跟踪")*($B$2:$B$501=B51)*($H$2:$H$501&lt;=H51)),1),"")))</f>
        <v/>
      </c>
      <c r="P51" s="26">
        <f>IF(A51&lt;&gt;"每日跟踪","",IF(O51="","",IFERROR(AGGREGATE(14,6,$D$2:$D$501/(($A$2:$A$501="止损计划")*($B$2:$B$501=B51)*($E$2:$E$501&lt;=O51)),1),0)))</f>
        <v/>
      </c>
      <c r="Q51" s="44">
        <f>IF(A51&lt;&gt;"每日跟踪","",IF(N51="","",MAX(N51,IFERROR(AGGREGATE(14,6,$F$2:$F$501/(($A$2:$A$501="止损计划")*($B$2:$B$501=B51)*($E$2:$E$501&lt;=O51)),1),0))))</f>
        <v/>
      </c>
      <c r="R51" s="43" t="n"/>
      <c r="S51" s="44">
        <f>IF(A51&lt;&gt;"每日跟踪","",IF(Q51="","",MAX(Q51,IFERROR(AGGREGATE(14,6,$R$2:$R$501/(($A$2:$A$501="每日跟踪")*($B$2:$B$501=B51)*($H$2:$H$501&lt;=H51)),1),0))))</f>
        <v/>
      </c>
      <c r="T51" s="44">
        <f>IF(A51&lt;&gt;"每日跟踪","",IF(O51="","",IF(COUNTIFS($A$2:$A$501,"止损计划",$B$2:$B$501,B51,$E$2:$E$501,"&gt;"&amp;O51)=0,"",AGGREGATE(15,6,$E$2:$E$501/(($A$2:$A$501="止损计划")*($B$2:$B$501=B51)*($E$2:$E$501&gt;O51)),1))))</f>
        <v/>
      </c>
      <c r="U51" s="44">
        <f>IF(OR(A51&lt;&gt;"每日跟踪",T51=""),"",IFERROR(AGGREGATE(14,6,$F$2:$F$501/(($A$2:$A$501="止损计划")*($B$2:$B$501=B51)*($E$2:$E$501=T51)),1),""))</f>
        <v/>
      </c>
      <c r="V51" s="30">
        <f>IF(OR(A51&lt;&gt;"每日跟踪",T51="",I51="",I51&lt;=0),"",T51/I51-1)</f>
        <v/>
      </c>
      <c r="W51" s="31">
        <f>IF(A51&lt;&gt;"每日跟踪","",IF(OR(I51="",S51=""),"",IF(I51&lt;=S51,"触发止损：应全部卖出","继续观察")))</f>
        <v/>
      </c>
      <c r="X51" s="28" t="n"/>
      <c r="Y51" s="43" t="n"/>
      <c r="Z51" s="26">
        <f>IF(X51&lt;&gt;"执行卖出","",IFERROR(LOOKUP(2,1/(单次交易!$A$2:$A$201=B51),单次交易!$AP$2:$AP$201),""))</f>
        <v/>
      </c>
      <c r="AA51" s="43" t="n"/>
      <c r="AB51" s="31">
        <f>IF(A51&lt;&gt;"每日跟踪","",IF(OR(B51="",H51="",I51="",J51="",K51="",L51="",M51=""),"待补充每日记录",IF(W51="触发止损：应全部卖出",IF(X51&lt;&gt;"执行卖出","违规：触发止损但未执行",IF(Y51="","待补充实际卖出价","卖出记录完整")),IF(X51="","待选择卖出动作",IF(X51="执行卖出",IF(Y51="","待补充实际卖出价","卖出记录完整"),"正常")))))</f>
        <v/>
      </c>
      <c r="AC51" s="31">
        <f>IF(A51="","",IF(A51="止损计划",IF(OR(B51="",D51="",E51="",F51="",G51=""),"计划不完整",IF(OR(D51&lt;1,D51&lt;&gt;INT(D51)),"阶段序号无效",IF(COUNTIFS($A$2:$A$501,"止损计划",$B$2:$B$501,B51,$D$2:$D$501,D51)&gt;1,"阶段序号重复",IF(E51&lt;=IFERROR(LOOKUP(2,1/('单次交易'!$A$2:$A$201=B51),'单次交易'!$E$2:$E$201),0),"激活价须高于买入价",IF(F51&lt;N51,"止损价不得低于初始止损",IF(F51&gt;E51,"止损价不得高于激活价",IF(AND(COUNTIFS($A$2:$A$501,"止损计划",$B$2:$B$501,B51,$D$2:$D$501,"&lt;"&amp;D51)&gt;0,OR(E51&lt;=AGGREGATE(14,6,$E$2:$E$501/(($A$2:$A$501="止损计划")*($B$2:$B$501=B51)*($D$2:$D$501&lt;D51)),1),F51&lt;AGGREGATE(14,6,$F$2:$F$501/(($A$2:$A$501="止损计划")*($B$2:$B$501=B51)*($D$2:$D$501&lt;D51)),1))),"阶段价格必须逐级提高","计划有效"))))))),IF(A51="每日跟踪",IF(OR(B51="",H51="",I51="",J51=""),"每日数据不完整",IF(COUNTIFS($A$2:$A$501,"每日跟踪",$B$2:$B$501,B51,$H$2:$H$501,H51)&gt;1,"同一交易日期重复",IF(AND(R51&lt;&gt;"",R51&lt;S51),"人工止损无效：不能下调","跟踪有效"))),"记录类型无效")))</f>
        <v/>
      </c>
    </row>
    <row r="52">
      <c r="A52" s="28" t="n"/>
      <c r="B52" s="28" t="n"/>
      <c r="C52" s="31">
        <f>IF(B52="","",IFERROR(LOOKUP(2,1/(单次交易!$A$2:$A$201=B52),单次交易!$B$2:$B$201),""))</f>
        <v/>
      </c>
      <c r="D52" s="27" t="n"/>
      <c r="E52" s="43" t="n"/>
      <c r="F52" s="43" t="n"/>
      <c r="G52" s="28" t="n"/>
      <c r="H52" s="49" t="n"/>
      <c r="I52" s="43" t="n"/>
      <c r="J52" s="27" t="n"/>
      <c r="K52" s="28" t="n"/>
      <c r="L52" s="28" t="n"/>
      <c r="M52" s="28" t="n"/>
      <c r="N52" s="44">
        <f>IF(B52="","",IFERROR(LOOKUP(2,1/(单次交易!$A$2:$A$201=B52),单次交易!$N$2:$N$201),""))</f>
        <v/>
      </c>
      <c r="O52" s="44">
        <f>IF(A52&lt;&gt;"每日跟踪","",IF(OR(B52="",H52="",I52=""),"",IFERROR(AGGREGATE(14,6,$I$2:$I$501/(($A$2:$A$501="每日跟踪")*($B$2:$B$501=B52)*($H$2:$H$501&lt;=H52)),1),"")))</f>
        <v/>
      </c>
      <c r="P52" s="26">
        <f>IF(A52&lt;&gt;"每日跟踪","",IF(O52="","",IFERROR(AGGREGATE(14,6,$D$2:$D$501/(($A$2:$A$501="止损计划")*($B$2:$B$501=B52)*($E$2:$E$501&lt;=O52)),1),0)))</f>
        <v/>
      </c>
      <c r="Q52" s="44">
        <f>IF(A52&lt;&gt;"每日跟踪","",IF(N52="","",MAX(N52,IFERROR(AGGREGATE(14,6,$F$2:$F$501/(($A$2:$A$501="止损计划")*($B$2:$B$501=B52)*($E$2:$E$501&lt;=O52)),1),0))))</f>
        <v/>
      </c>
      <c r="R52" s="43" t="n"/>
      <c r="S52" s="44">
        <f>IF(A52&lt;&gt;"每日跟踪","",IF(Q52="","",MAX(Q52,IFERROR(AGGREGATE(14,6,$R$2:$R$501/(($A$2:$A$501="每日跟踪")*($B$2:$B$501=B52)*($H$2:$H$501&lt;=H52)),1),0))))</f>
        <v/>
      </c>
      <c r="T52" s="44">
        <f>IF(A52&lt;&gt;"每日跟踪","",IF(O52="","",IF(COUNTIFS($A$2:$A$501,"止损计划",$B$2:$B$501,B52,$E$2:$E$501,"&gt;"&amp;O52)=0,"",AGGREGATE(15,6,$E$2:$E$501/(($A$2:$A$501="止损计划")*($B$2:$B$501=B52)*($E$2:$E$501&gt;O52)),1))))</f>
        <v/>
      </c>
      <c r="U52" s="44">
        <f>IF(OR(A52&lt;&gt;"每日跟踪",T52=""),"",IFERROR(AGGREGATE(14,6,$F$2:$F$501/(($A$2:$A$501="止损计划")*($B$2:$B$501=B52)*($E$2:$E$501=T52)),1),""))</f>
        <v/>
      </c>
      <c r="V52" s="30">
        <f>IF(OR(A52&lt;&gt;"每日跟踪",T52="",I52="",I52&lt;=0),"",T52/I52-1)</f>
        <v/>
      </c>
      <c r="W52" s="31">
        <f>IF(A52&lt;&gt;"每日跟踪","",IF(OR(I52="",S52=""),"",IF(I52&lt;=S52,"触发止损：应全部卖出","继续观察")))</f>
        <v/>
      </c>
      <c r="X52" s="28" t="n"/>
      <c r="Y52" s="43" t="n"/>
      <c r="Z52" s="26">
        <f>IF(X52&lt;&gt;"执行卖出","",IFERROR(LOOKUP(2,1/(单次交易!$A$2:$A$201=B52),单次交易!$AP$2:$AP$201),""))</f>
        <v/>
      </c>
      <c r="AA52" s="43" t="n"/>
      <c r="AB52" s="31">
        <f>IF(A52&lt;&gt;"每日跟踪","",IF(OR(B52="",H52="",I52="",J52="",K52="",L52="",M52=""),"待补充每日记录",IF(W52="触发止损：应全部卖出",IF(X52&lt;&gt;"执行卖出","违规：触发止损但未执行",IF(Y52="","待补充实际卖出价","卖出记录完整")),IF(X52="","待选择卖出动作",IF(X52="执行卖出",IF(Y52="","待补充实际卖出价","卖出记录完整"),"正常")))))</f>
        <v/>
      </c>
      <c r="AC52" s="31">
        <f>IF(A52="","",IF(A52="止损计划",IF(OR(B52="",D52="",E52="",F52="",G52=""),"计划不完整",IF(OR(D52&lt;1,D52&lt;&gt;INT(D52)),"阶段序号无效",IF(COUNTIFS($A$2:$A$501,"止损计划",$B$2:$B$501,B52,$D$2:$D$501,D52)&gt;1,"阶段序号重复",IF(E52&lt;=IFERROR(LOOKUP(2,1/('单次交易'!$A$2:$A$201=B52),'单次交易'!$E$2:$E$201),0),"激活价须高于买入价",IF(F52&lt;N52,"止损价不得低于初始止损",IF(F52&gt;E52,"止损价不得高于激活价",IF(AND(COUNTIFS($A$2:$A$501,"止损计划",$B$2:$B$501,B52,$D$2:$D$501,"&lt;"&amp;D52)&gt;0,OR(E52&lt;=AGGREGATE(14,6,$E$2:$E$501/(($A$2:$A$501="止损计划")*($B$2:$B$501=B52)*($D$2:$D$501&lt;D52)),1),F52&lt;AGGREGATE(14,6,$F$2:$F$501/(($A$2:$A$501="止损计划")*($B$2:$B$501=B52)*($D$2:$D$501&lt;D52)),1))),"阶段价格必须逐级提高","计划有效"))))))),IF(A52="每日跟踪",IF(OR(B52="",H52="",I52="",J52=""),"每日数据不完整",IF(COUNTIFS($A$2:$A$501,"每日跟踪",$B$2:$B$501,B52,$H$2:$H$501,H52)&gt;1,"同一交易日期重复",IF(AND(R52&lt;&gt;"",R52&lt;S52),"人工止损无效：不能下调","跟踪有效"))),"记录类型无效")))</f>
        <v/>
      </c>
    </row>
    <row r="53">
      <c r="A53" s="28" t="n"/>
      <c r="B53" s="28" t="n"/>
      <c r="C53" s="31">
        <f>IF(B53="","",IFERROR(LOOKUP(2,1/(单次交易!$A$2:$A$201=B53),单次交易!$B$2:$B$201),""))</f>
        <v/>
      </c>
      <c r="D53" s="27" t="n"/>
      <c r="E53" s="43" t="n"/>
      <c r="F53" s="43" t="n"/>
      <c r="G53" s="28" t="n"/>
      <c r="H53" s="49" t="n"/>
      <c r="I53" s="43" t="n"/>
      <c r="J53" s="27" t="n"/>
      <c r="K53" s="28" t="n"/>
      <c r="L53" s="28" t="n"/>
      <c r="M53" s="28" t="n"/>
      <c r="N53" s="44">
        <f>IF(B53="","",IFERROR(LOOKUP(2,1/(单次交易!$A$2:$A$201=B53),单次交易!$N$2:$N$201),""))</f>
        <v/>
      </c>
      <c r="O53" s="44">
        <f>IF(A53&lt;&gt;"每日跟踪","",IF(OR(B53="",H53="",I53=""),"",IFERROR(AGGREGATE(14,6,$I$2:$I$501/(($A$2:$A$501="每日跟踪")*($B$2:$B$501=B53)*($H$2:$H$501&lt;=H53)),1),"")))</f>
        <v/>
      </c>
      <c r="P53" s="26">
        <f>IF(A53&lt;&gt;"每日跟踪","",IF(O53="","",IFERROR(AGGREGATE(14,6,$D$2:$D$501/(($A$2:$A$501="止损计划")*($B$2:$B$501=B53)*($E$2:$E$501&lt;=O53)),1),0)))</f>
        <v/>
      </c>
      <c r="Q53" s="44">
        <f>IF(A53&lt;&gt;"每日跟踪","",IF(N53="","",MAX(N53,IFERROR(AGGREGATE(14,6,$F$2:$F$501/(($A$2:$A$501="止损计划")*($B$2:$B$501=B53)*($E$2:$E$501&lt;=O53)),1),0))))</f>
        <v/>
      </c>
      <c r="R53" s="43" t="n"/>
      <c r="S53" s="44">
        <f>IF(A53&lt;&gt;"每日跟踪","",IF(Q53="","",MAX(Q53,IFERROR(AGGREGATE(14,6,$R$2:$R$501/(($A$2:$A$501="每日跟踪")*($B$2:$B$501=B53)*($H$2:$H$501&lt;=H53)),1),0))))</f>
        <v/>
      </c>
      <c r="T53" s="44">
        <f>IF(A53&lt;&gt;"每日跟踪","",IF(O53="","",IF(COUNTIFS($A$2:$A$501,"止损计划",$B$2:$B$501,B53,$E$2:$E$501,"&gt;"&amp;O53)=0,"",AGGREGATE(15,6,$E$2:$E$501/(($A$2:$A$501="止损计划")*($B$2:$B$501=B53)*($E$2:$E$501&gt;O53)),1))))</f>
        <v/>
      </c>
      <c r="U53" s="44">
        <f>IF(OR(A53&lt;&gt;"每日跟踪",T53=""),"",IFERROR(AGGREGATE(14,6,$F$2:$F$501/(($A$2:$A$501="止损计划")*($B$2:$B$501=B53)*($E$2:$E$501=T53)),1),""))</f>
        <v/>
      </c>
      <c r="V53" s="30">
        <f>IF(OR(A53&lt;&gt;"每日跟踪",T53="",I53="",I53&lt;=0),"",T53/I53-1)</f>
        <v/>
      </c>
      <c r="W53" s="31">
        <f>IF(A53&lt;&gt;"每日跟踪","",IF(OR(I53="",S53=""),"",IF(I53&lt;=S53,"触发止损：应全部卖出","继续观察")))</f>
        <v/>
      </c>
      <c r="X53" s="28" t="n"/>
      <c r="Y53" s="43" t="n"/>
      <c r="Z53" s="26">
        <f>IF(X53&lt;&gt;"执行卖出","",IFERROR(LOOKUP(2,1/(单次交易!$A$2:$A$201=B53),单次交易!$AP$2:$AP$201),""))</f>
        <v/>
      </c>
      <c r="AA53" s="43" t="n"/>
      <c r="AB53" s="31">
        <f>IF(A53&lt;&gt;"每日跟踪","",IF(OR(B53="",H53="",I53="",J53="",K53="",L53="",M53=""),"待补充每日记录",IF(W53="触发止损：应全部卖出",IF(X53&lt;&gt;"执行卖出","违规：触发止损但未执行",IF(Y53="","待补充实际卖出价","卖出记录完整")),IF(X53="","待选择卖出动作",IF(X53="执行卖出",IF(Y53="","待补充实际卖出价","卖出记录完整"),"正常")))))</f>
        <v/>
      </c>
      <c r="AC53" s="31">
        <f>IF(A53="","",IF(A53="止损计划",IF(OR(B53="",D53="",E53="",F53="",G53=""),"计划不完整",IF(OR(D53&lt;1,D53&lt;&gt;INT(D53)),"阶段序号无效",IF(COUNTIFS($A$2:$A$501,"止损计划",$B$2:$B$501,B53,$D$2:$D$501,D53)&gt;1,"阶段序号重复",IF(E53&lt;=IFERROR(LOOKUP(2,1/('单次交易'!$A$2:$A$201=B53),'单次交易'!$E$2:$E$201),0),"激活价须高于买入价",IF(F53&lt;N53,"止损价不得低于初始止损",IF(F53&gt;E53,"止损价不得高于激活价",IF(AND(COUNTIFS($A$2:$A$501,"止损计划",$B$2:$B$501,B53,$D$2:$D$501,"&lt;"&amp;D53)&gt;0,OR(E53&lt;=AGGREGATE(14,6,$E$2:$E$501/(($A$2:$A$501="止损计划")*($B$2:$B$501=B53)*($D$2:$D$501&lt;D53)),1),F53&lt;AGGREGATE(14,6,$F$2:$F$501/(($A$2:$A$501="止损计划")*($B$2:$B$501=B53)*($D$2:$D$501&lt;D53)),1))),"阶段价格必须逐级提高","计划有效"))))))),IF(A53="每日跟踪",IF(OR(B53="",H53="",I53="",J53=""),"每日数据不完整",IF(COUNTIFS($A$2:$A$501,"每日跟踪",$B$2:$B$501,B53,$H$2:$H$501,H53)&gt;1,"同一交易日期重复",IF(AND(R53&lt;&gt;"",R53&lt;S53),"人工止损无效：不能下调","跟踪有效"))),"记录类型无效")))</f>
        <v/>
      </c>
    </row>
    <row r="54">
      <c r="A54" s="28" t="n"/>
      <c r="B54" s="28" t="n"/>
      <c r="C54" s="31">
        <f>IF(B54="","",IFERROR(LOOKUP(2,1/(单次交易!$A$2:$A$201=B54),单次交易!$B$2:$B$201),""))</f>
        <v/>
      </c>
      <c r="D54" s="27" t="n"/>
      <c r="E54" s="43" t="n"/>
      <c r="F54" s="43" t="n"/>
      <c r="G54" s="28" t="n"/>
      <c r="H54" s="49" t="n"/>
      <c r="I54" s="43" t="n"/>
      <c r="J54" s="27" t="n"/>
      <c r="K54" s="28" t="n"/>
      <c r="L54" s="28" t="n"/>
      <c r="M54" s="28" t="n"/>
      <c r="N54" s="44">
        <f>IF(B54="","",IFERROR(LOOKUP(2,1/(单次交易!$A$2:$A$201=B54),单次交易!$N$2:$N$201),""))</f>
        <v/>
      </c>
      <c r="O54" s="44">
        <f>IF(A54&lt;&gt;"每日跟踪","",IF(OR(B54="",H54="",I54=""),"",IFERROR(AGGREGATE(14,6,$I$2:$I$501/(($A$2:$A$501="每日跟踪")*($B$2:$B$501=B54)*($H$2:$H$501&lt;=H54)),1),"")))</f>
        <v/>
      </c>
      <c r="P54" s="26">
        <f>IF(A54&lt;&gt;"每日跟踪","",IF(O54="","",IFERROR(AGGREGATE(14,6,$D$2:$D$501/(($A$2:$A$501="止损计划")*($B$2:$B$501=B54)*($E$2:$E$501&lt;=O54)),1),0)))</f>
        <v/>
      </c>
      <c r="Q54" s="44">
        <f>IF(A54&lt;&gt;"每日跟踪","",IF(N54="","",MAX(N54,IFERROR(AGGREGATE(14,6,$F$2:$F$501/(($A$2:$A$501="止损计划")*($B$2:$B$501=B54)*($E$2:$E$501&lt;=O54)),1),0))))</f>
        <v/>
      </c>
      <c r="R54" s="43" t="n"/>
      <c r="S54" s="44">
        <f>IF(A54&lt;&gt;"每日跟踪","",IF(Q54="","",MAX(Q54,IFERROR(AGGREGATE(14,6,$R$2:$R$501/(($A$2:$A$501="每日跟踪")*($B$2:$B$501=B54)*($H$2:$H$501&lt;=H54)),1),0))))</f>
        <v/>
      </c>
      <c r="T54" s="44">
        <f>IF(A54&lt;&gt;"每日跟踪","",IF(O54="","",IF(COUNTIFS($A$2:$A$501,"止损计划",$B$2:$B$501,B54,$E$2:$E$501,"&gt;"&amp;O54)=0,"",AGGREGATE(15,6,$E$2:$E$501/(($A$2:$A$501="止损计划")*($B$2:$B$501=B54)*($E$2:$E$501&gt;O54)),1))))</f>
        <v/>
      </c>
      <c r="U54" s="44">
        <f>IF(OR(A54&lt;&gt;"每日跟踪",T54=""),"",IFERROR(AGGREGATE(14,6,$F$2:$F$501/(($A$2:$A$501="止损计划")*($B$2:$B$501=B54)*($E$2:$E$501=T54)),1),""))</f>
        <v/>
      </c>
      <c r="V54" s="30">
        <f>IF(OR(A54&lt;&gt;"每日跟踪",T54="",I54="",I54&lt;=0),"",T54/I54-1)</f>
        <v/>
      </c>
      <c r="W54" s="31">
        <f>IF(A54&lt;&gt;"每日跟踪","",IF(OR(I54="",S54=""),"",IF(I54&lt;=S54,"触发止损：应全部卖出","继续观察")))</f>
        <v/>
      </c>
      <c r="X54" s="28" t="n"/>
      <c r="Y54" s="43" t="n"/>
      <c r="Z54" s="26">
        <f>IF(X54&lt;&gt;"执行卖出","",IFERROR(LOOKUP(2,1/(单次交易!$A$2:$A$201=B54),单次交易!$AP$2:$AP$201),""))</f>
        <v/>
      </c>
      <c r="AA54" s="43" t="n"/>
      <c r="AB54" s="31">
        <f>IF(A54&lt;&gt;"每日跟踪","",IF(OR(B54="",H54="",I54="",J54="",K54="",L54="",M54=""),"待补充每日记录",IF(W54="触发止损：应全部卖出",IF(X54&lt;&gt;"执行卖出","违规：触发止损但未执行",IF(Y54="","待补充实际卖出价","卖出记录完整")),IF(X54="","待选择卖出动作",IF(X54="执行卖出",IF(Y54="","待补充实际卖出价","卖出记录完整"),"正常")))))</f>
        <v/>
      </c>
      <c r="AC54" s="31">
        <f>IF(A54="","",IF(A54="止损计划",IF(OR(B54="",D54="",E54="",F54="",G54=""),"计划不完整",IF(OR(D54&lt;1,D54&lt;&gt;INT(D54)),"阶段序号无效",IF(COUNTIFS($A$2:$A$501,"止损计划",$B$2:$B$501,B54,$D$2:$D$501,D54)&gt;1,"阶段序号重复",IF(E54&lt;=IFERROR(LOOKUP(2,1/('单次交易'!$A$2:$A$201=B54),'单次交易'!$E$2:$E$201),0),"激活价须高于买入价",IF(F54&lt;N54,"止损价不得低于初始止损",IF(F54&gt;E54,"止损价不得高于激活价",IF(AND(COUNTIFS($A$2:$A$501,"止损计划",$B$2:$B$501,B54,$D$2:$D$501,"&lt;"&amp;D54)&gt;0,OR(E54&lt;=AGGREGATE(14,6,$E$2:$E$501/(($A$2:$A$501="止损计划")*($B$2:$B$501=B54)*($D$2:$D$501&lt;D54)),1),F54&lt;AGGREGATE(14,6,$F$2:$F$501/(($A$2:$A$501="止损计划")*($B$2:$B$501=B54)*($D$2:$D$501&lt;D54)),1))),"阶段价格必须逐级提高","计划有效"))))))),IF(A54="每日跟踪",IF(OR(B54="",H54="",I54="",J54=""),"每日数据不完整",IF(COUNTIFS($A$2:$A$501,"每日跟踪",$B$2:$B$501,B54,$H$2:$H$501,H54)&gt;1,"同一交易日期重复",IF(AND(R54&lt;&gt;"",R54&lt;S54),"人工止损无效：不能下调","跟踪有效"))),"记录类型无效")))</f>
        <v/>
      </c>
    </row>
    <row r="55">
      <c r="A55" s="28" t="n"/>
      <c r="B55" s="28" t="n"/>
      <c r="C55" s="31">
        <f>IF(B55="","",IFERROR(LOOKUP(2,1/(单次交易!$A$2:$A$201=B55),单次交易!$B$2:$B$201),""))</f>
        <v/>
      </c>
      <c r="D55" s="27" t="n"/>
      <c r="E55" s="43" t="n"/>
      <c r="F55" s="43" t="n"/>
      <c r="G55" s="28" t="n"/>
      <c r="H55" s="49" t="n"/>
      <c r="I55" s="43" t="n"/>
      <c r="J55" s="27" t="n"/>
      <c r="K55" s="28" t="n"/>
      <c r="L55" s="28" t="n"/>
      <c r="M55" s="28" t="n"/>
      <c r="N55" s="44">
        <f>IF(B55="","",IFERROR(LOOKUP(2,1/(单次交易!$A$2:$A$201=B55),单次交易!$N$2:$N$201),""))</f>
        <v/>
      </c>
      <c r="O55" s="44">
        <f>IF(A55&lt;&gt;"每日跟踪","",IF(OR(B55="",H55="",I55=""),"",IFERROR(AGGREGATE(14,6,$I$2:$I$501/(($A$2:$A$501="每日跟踪")*($B$2:$B$501=B55)*($H$2:$H$501&lt;=H55)),1),"")))</f>
        <v/>
      </c>
      <c r="P55" s="26">
        <f>IF(A55&lt;&gt;"每日跟踪","",IF(O55="","",IFERROR(AGGREGATE(14,6,$D$2:$D$501/(($A$2:$A$501="止损计划")*($B$2:$B$501=B55)*($E$2:$E$501&lt;=O55)),1),0)))</f>
        <v/>
      </c>
      <c r="Q55" s="44">
        <f>IF(A55&lt;&gt;"每日跟踪","",IF(N55="","",MAX(N55,IFERROR(AGGREGATE(14,6,$F$2:$F$501/(($A$2:$A$501="止损计划")*($B$2:$B$501=B55)*($E$2:$E$501&lt;=O55)),1),0))))</f>
        <v/>
      </c>
      <c r="R55" s="43" t="n"/>
      <c r="S55" s="44">
        <f>IF(A55&lt;&gt;"每日跟踪","",IF(Q55="","",MAX(Q55,IFERROR(AGGREGATE(14,6,$R$2:$R$501/(($A$2:$A$501="每日跟踪")*($B$2:$B$501=B55)*($H$2:$H$501&lt;=H55)),1),0))))</f>
        <v/>
      </c>
      <c r="T55" s="44">
        <f>IF(A55&lt;&gt;"每日跟踪","",IF(O55="","",IF(COUNTIFS($A$2:$A$501,"止损计划",$B$2:$B$501,B55,$E$2:$E$501,"&gt;"&amp;O55)=0,"",AGGREGATE(15,6,$E$2:$E$501/(($A$2:$A$501="止损计划")*($B$2:$B$501=B55)*($E$2:$E$501&gt;O55)),1))))</f>
        <v/>
      </c>
      <c r="U55" s="44">
        <f>IF(OR(A55&lt;&gt;"每日跟踪",T55=""),"",IFERROR(AGGREGATE(14,6,$F$2:$F$501/(($A$2:$A$501="止损计划")*($B$2:$B$501=B55)*($E$2:$E$501=T55)),1),""))</f>
        <v/>
      </c>
      <c r="V55" s="30">
        <f>IF(OR(A55&lt;&gt;"每日跟踪",T55="",I55="",I55&lt;=0),"",T55/I55-1)</f>
        <v/>
      </c>
      <c r="W55" s="31">
        <f>IF(A55&lt;&gt;"每日跟踪","",IF(OR(I55="",S55=""),"",IF(I55&lt;=S55,"触发止损：应全部卖出","继续观察")))</f>
        <v/>
      </c>
      <c r="X55" s="28" t="n"/>
      <c r="Y55" s="43" t="n"/>
      <c r="Z55" s="26">
        <f>IF(X55&lt;&gt;"执行卖出","",IFERROR(LOOKUP(2,1/(单次交易!$A$2:$A$201=B55),单次交易!$AP$2:$AP$201),""))</f>
        <v/>
      </c>
      <c r="AA55" s="43" t="n"/>
      <c r="AB55" s="31">
        <f>IF(A55&lt;&gt;"每日跟踪","",IF(OR(B55="",H55="",I55="",J55="",K55="",L55="",M55=""),"待补充每日记录",IF(W55="触发止损：应全部卖出",IF(X55&lt;&gt;"执行卖出","违规：触发止损但未执行",IF(Y55="","待补充实际卖出价","卖出记录完整")),IF(X55="","待选择卖出动作",IF(X55="执行卖出",IF(Y55="","待补充实际卖出价","卖出记录完整"),"正常")))))</f>
        <v/>
      </c>
      <c r="AC55" s="31">
        <f>IF(A55="","",IF(A55="止损计划",IF(OR(B55="",D55="",E55="",F55="",G55=""),"计划不完整",IF(OR(D55&lt;1,D55&lt;&gt;INT(D55)),"阶段序号无效",IF(COUNTIFS($A$2:$A$501,"止损计划",$B$2:$B$501,B55,$D$2:$D$501,D55)&gt;1,"阶段序号重复",IF(E55&lt;=IFERROR(LOOKUP(2,1/('单次交易'!$A$2:$A$201=B55),'单次交易'!$E$2:$E$201),0),"激活价须高于买入价",IF(F55&lt;N55,"止损价不得低于初始止损",IF(F55&gt;E55,"止损价不得高于激活价",IF(AND(COUNTIFS($A$2:$A$501,"止损计划",$B$2:$B$501,B55,$D$2:$D$501,"&lt;"&amp;D55)&gt;0,OR(E55&lt;=AGGREGATE(14,6,$E$2:$E$501/(($A$2:$A$501="止损计划")*($B$2:$B$501=B55)*($D$2:$D$501&lt;D55)),1),F55&lt;AGGREGATE(14,6,$F$2:$F$501/(($A$2:$A$501="止损计划")*($B$2:$B$501=B55)*($D$2:$D$501&lt;D55)),1))),"阶段价格必须逐级提高","计划有效"))))))),IF(A55="每日跟踪",IF(OR(B55="",H55="",I55="",J55=""),"每日数据不完整",IF(COUNTIFS($A$2:$A$501,"每日跟踪",$B$2:$B$501,B55,$H$2:$H$501,H55)&gt;1,"同一交易日期重复",IF(AND(R55&lt;&gt;"",R55&lt;S55),"人工止损无效：不能下调","跟踪有效"))),"记录类型无效")))</f>
        <v/>
      </c>
    </row>
    <row r="56">
      <c r="A56" s="28" t="n"/>
      <c r="B56" s="28" t="n"/>
      <c r="C56" s="31">
        <f>IF(B56="","",IFERROR(LOOKUP(2,1/(单次交易!$A$2:$A$201=B56),单次交易!$B$2:$B$201),""))</f>
        <v/>
      </c>
      <c r="D56" s="27" t="n"/>
      <c r="E56" s="43" t="n"/>
      <c r="F56" s="43" t="n"/>
      <c r="G56" s="28" t="n"/>
      <c r="H56" s="49" t="n"/>
      <c r="I56" s="43" t="n"/>
      <c r="J56" s="27" t="n"/>
      <c r="K56" s="28" t="n"/>
      <c r="L56" s="28" t="n"/>
      <c r="M56" s="28" t="n"/>
      <c r="N56" s="44">
        <f>IF(B56="","",IFERROR(LOOKUP(2,1/(单次交易!$A$2:$A$201=B56),单次交易!$N$2:$N$201),""))</f>
        <v/>
      </c>
      <c r="O56" s="44">
        <f>IF(A56&lt;&gt;"每日跟踪","",IF(OR(B56="",H56="",I56=""),"",IFERROR(AGGREGATE(14,6,$I$2:$I$501/(($A$2:$A$501="每日跟踪")*($B$2:$B$501=B56)*($H$2:$H$501&lt;=H56)),1),"")))</f>
        <v/>
      </c>
      <c r="P56" s="26">
        <f>IF(A56&lt;&gt;"每日跟踪","",IF(O56="","",IFERROR(AGGREGATE(14,6,$D$2:$D$501/(($A$2:$A$501="止损计划")*($B$2:$B$501=B56)*($E$2:$E$501&lt;=O56)),1),0)))</f>
        <v/>
      </c>
      <c r="Q56" s="44">
        <f>IF(A56&lt;&gt;"每日跟踪","",IF(N56="","",MAX(N56,IFERROR(AGGREGATE(14,6,$F$2:$F$501/(($A$2:$A$501="止损计划")*($B$2:$B$501=B56)*($E$2:$E$501&lt;=O56)),1),0))))</f>
        <v/>
      </c>
      <c r="R56" s="43" t="n"/>
      <c r="S56" s="44">
        <f>IF(A56&lt;&gt;"每日跟踪","",IF(Q56="","",MAX(Q56,IFERROR(AGGREGATE(14,6,$R$2:$R$501/(($A$2:$A$501="每日跟踪")*($B$2:$B$501=B56)*($H$2:$H$501&lt;=H56)),1),0))))</f>
        <v/>
      </c>
      <c r="T56" s="44">
        <f>IF(A56&lt;&gt;"每日跟踪","",IF(O56="","",IF(COUNTIFS($A$2:$A$501,"止损计划",$B$2:$B$501,B56,$E$2:$E$501,"&gt;"&amp;O56)=0,"",AGGREGATE(15,6,$E$2:$E$501/(($A$2:$A$501="止损计划")*($B$2:$B$501=B56)*($E$2:$E$501&gt;O56)),1))))</f>
        <v/>
      </c>
      <c r="U56" s="44">
        <f>IF(OR(A56&lt;&gt;"每日跟踪",T56=""),"",IFERROR(AGGREGATE(14,6,$F$2:$F$501/(($A$2:$A$501="止损计划")*($B$2:$B$501=B56)*($E$2:$E$501=T56)),1),""))</f>
        <v/>
      </c>
      <c r="V56" s="30">
        <f>IF(OR(A56&lt;&gt;"每日跟踪",T56="",I56="",I56&lt;=0),"",T56/I56-1)</f>
        <v/>
      </c>
      <c r="W56" s="31">
        <f>IF(A56&lt;&gt;"每日跟踪","",IF(OR(I56="",S56=""),"",IF(I56&lt;=S56,"触发止损：应全部卖出","继续观察")))</f>
        <v/>
      </c>
      <c r="X56" s="28" t="n"/>
      <c r="Y56" s="43" t="n"/>
      <c r="Z56" s="26">
        <f>IF(X56&lt;&gt;"执行卖出","",IFERROR(LOOKUP(2,1/(单次交易!$A$2:$A$201=B56),单次交易!$AP$2:$AP$201),""))</f>
        <v/>
      </c>
      <c r="AA56" s="43" t="n"/>
      <c r="AB56" s="31">
        <f>IF(A56&lt;&gt;"每日跟踪","",IF(OR(B56="",H56="",I56="",J56="",K56="",L56="",M56=""),"待补充每日记录",IF(W56="触发止损：应全部卖出",IF(X56&lt;&gt;"执行卖出","违规：触发止损但未执行",IF(Y56="","待补充实际卖出价","卖出记录完整")),IF(X56="","待选择卖出动作",IF(X56="执行卖出",IF(Y56="","待补充实际卖出价","卖出记录完整"),"正常")))))</f>
        <v/>
      </c>
      <c r="AC56" s="31">
        <f>IF(A56="","",IF(A56="止损计划",IF(OR(B56="",D56="",E56="",F56="",G56=""),"计划不完整",IF(OR(D56&lt;1,D56&lt;&gt;INT(D56)),"阶段序号无效",IF(COUNTIFS($A$2:$A$501,"止损计划",$B$2:$B$501,B56,$D$2:$D$501,D56)&gt;1,"阶段序号重复",IF(E56&lt;=IFERROR(LOOKUP(2,1/('单次交易'!$A$2:$A$201=B56),'单次交易'!$E$2:$E$201),0),"激活价须高于买入价",IF(F56&lt;N56,"止损价不得低于初始止损",IF(F56&gt;E56,"止损价不得高于激活价",IF(AND(COUNTIFS($A$2:$A$501,"止损计划",$B$2:$B$501,B56,$D$2:$D$501,"&lt;"&amp;D56)&gt;0,OR(E56&lt;=AGGREGATE(14,6,$E$2:$E$501/(($A$2:$A$501="止损计划")*($B$2:$B$501=B56)*($D$2:$D$501&lt;D56)),1),F56&lt;AGGREGATE(14,6,$F$2:$F$501/(($A$2:$A$501="止损计划")*($B$2:$B$501=B56)*($D$2:$D$501&lt;D56)),1))),"阶段价格必须逐级提高","计划有效"))))))),IF(A56="每日跟踪",IF(OR(B56="",H56="",I56="",J56=""),"每日数据不完整",IF(COUNTIFS($A$2:$A$501,"每日跟踪",$B$2:$B$501,B56,$H$2:$H$501,H56)&gt;1,"同一交易日期重复",IF(AND(R56&lt;&gt;"",R56&lt;S56),"人工止损无效：不能下调","跟踪有效"))),"记录类型无效")))</f>
        <v/>
      </c>
    </row>
    <row r="57">
      <c r="A57" s="28" t="n"/>
      <c r="B57" s="28" t="n"/>
      <c r="C57" s="31">
        <f>IF(B57="","",IFERROR(LOOKUP(2,1/(单次交易!$A$2:$A$201=B57),单次交易!$B$2:$B$201),""))</f>
        <v/>
      </c>
      <c r="D57" s="27" t="n"/>
      <c r="E57" s="43" t="n"/>
      <c r="F57" s="43" t="n"/>
      <c r="G57" s="28" t="n"/>
      <c r="H57" s="49" t="n"/>
      <c r="I57" s="43" t="n"/>
      <c r="J57" s="27" t="n"/>
      <c r="K57" s="28" t="n"/>
      <c r="L57" s="28" t="n"/>
      <c r="M57" s="28" t="n"/>
      <c r="N57" s="44">
        <f>IF(B57="","",IFERROR(LOOKUP(2,1/(单次交易!$A$2:$A$201=B57),单次交易!$N$2:$N$201),""))</f>
        <v/>
      </c>
      <c r="O57" s="44">
        <f>IF(A57&lt;&gt;"每日跟踪","",IF(OR(B57="",H57="",I57=""),"",IFERROR(AGGREGATE(14,6,$I$2:$I$501/(($A$2:$A$501="每日跟踪")*($B$2:$B$501=B57)*($H$2:$H$501&lt;=H57)),1),"")))</f>
        <v/>
      </c>
      <c r="P57" s="26">
        <f>IF(A57&lt;&gt;"每日跟踪","",IF(O57="","",IFERROR(AGGREGATE(14,6,$D$2:$D$501/(($A$2:$A$501="止损计划")*($B$2:$B$501=B57)*($E$2:$E$501&lt;=O57)),1),0)))</f>
        <v/>
      </c>
      <c r="Q57" s="44">
        <f>IF(A57&lt;&gt;"每日跟踪","",IF(N57="","",MAX(N57,IFERROR(AGGREGATE(14,6,$F$2:$F$501/(($A$2:$A$501="止损计划")*($B$2:$B$501=B57)*($E$2:$E$501&lt;=O57)),1),0))))</f>
        <v/>
      </c>
      <c r="R57" s="43" t="n"/>
      <c r="S57" s="44">
        <f>IF(A57&lt;&gt;"每日跟踪","",IF(Q57="","",MAX(Q57,IFERROR(AGGREGATE(14,6,$R$2:$R$501/(($A$2:$A$501="每日跟踪")*($B$2:$B$501=B57)*($H$2:$H$501&lt;=H57)),1),0))))</f>
        <v/>
      </c>
      <c r="T57" s="44">
        <f>IF(A57&lt;&gt;"每日跟踪","",IF(O57="","",IF(COUNTIFS($A$2:$A$501,"止损计划",$B$2:$B$501,B57,$E$2:$E$501,"&gt;"&amp;O57)=0,"",AGGREGATE(15,6,$E$2:$E$501/(($A$2:$A$501="止损计划")*($B$2:$B$501=B57)*($E$2:$E$501&gt;O57)),1))))</f>
        <v/>
      </c>
      <c r="U57" s="44">
        <f>IF(OR(A57&lt;&gt;"每日跟踪",T57=""),"",IFERROR(AGGREGATE(14,6,$F$2:$F$501/(($A$2:$A$501="止损计划")*($B$2:$B$501=B57)*($E$2:$E$501=T57)),1),""))</f>
        <v/>
      </c>
      <c r="V57" s="30">
        <f>IF(OR(A57&lt;&gt;"每日跟踪",T57="",I57="",I57&lt;=0),"",T57/I57-1)</f>
        <v/>
      </c>
      <c r="W57" s="31">
        <f>IF(A57&lt;&gt;"每日跟踪","",IF(OR(I57="",S57=""),"",IF(I57&lt;=S57,"触发止损：应全部卖出","继续观察")))</f>
        <v/>
      </c>
      <c r="X57" s="28" t="n"/>
      <c r="Y57" s="43" t="n"/>
      <c r="Z57" s="26">
        <f>IF(X57&lt;&gt;"执行卖出","",IFERROR(LOOKUP(2,1/(单次交易!$A$2:$A$201=B57),单次交易!$AP$2:$AP$201),""))</f>
        <v/>
      </c>
      <c r="AA57" s="43" t="n"/>
      <c r="AB57" s="31">
        <f>IF(A57&lt;&gt;"每日跟踪","",IF(OR(B57="",H57="",I57="",J57="",K57="",L57="",M57=""),"待补充每日记录",IF(W57="触发止损：应全部卖出",IF(X57&lt;&gt;"执行卖出","违规：触发止损但未执行",IF(Y57="","待补充实际卖出价","卖出记录完整")),IF(X57="","待选择卖出动作",IF(X57="执行卖出",IF(Y57="","待补充实际卖出价","卖出记录完整"),"正常")))))</f>
        <v/>
      </c>
      <c r="AC57" s="31">
        <f>IF(A57="","",IF(A57="止损计划",IF(OR(B57="",D57="",E57="",F57="",G57=""),"计划不完整",IF(OR(D57&lt;1,D57&lt;&gt;INT(D57)),"阶段序号无效",IF(COUNTIFS($A$2:$A$501,"止损计划",$B$2:$B$501,B57,$D$2:$D$501,D57)&gt;1,"阶段序号重复",IF(E57&lt;=IFERROR(LOOKUP(2,1/('单次交易'!$A$2:$A$201=B57),'单次交易'!$E$2:$E$201),0),"激活价须高于买入价",IF(F57&lt;N57,"止损价不得低于初始止损",IF(F57&gt;E57,"止损价不得高于激活价",IF(AND(COUNTIFS($A$2:$A$501,"止损计划",$B$2:$B$501,B57,$D$2:$D$501,"&lt;"&amp;D57)&gt;0,OR(E57&lt;=AGGREGATE(14,6,$E$2:$E$501/(($A$2:$A$501="止损计划")*($B$2:$B$501=B57)*($D$2:$D$501&lt;D57)),1),F57&lt;AGGREGATE(14,6,$F$2:$F$501/(($A$2:$A$501="止损计划")*($B$2:$B$501=B57)*($D$2:$D$501&lt;D57)),1))),"阶段价格必须逐级提高","计划有效"))))))),IF(A57="每日跟踪",IF(OR(B57="",H57="",I57="",J57=""),"每日数据不完整",IF(COUNTIFS($A$2:$A$501,"每日跟踪",$B$2:$B$501,B57,$H$2:$H$501,H57)&gt;1,"同一交易日期重复",IF(AND(R57&lt;&gt;"",R57&lt;S57),"人工止损无效：不能下调","跟踪有效"))),"记录类型无效")))</f>
        <v/>
      </c>
    </row>
    <row r="58">
      <c r="A58" s="28" t="n"/>
      <c r="B58" s="28" t="n"/>
      <c r="C58" s="31">
        <f>IF(B58="","",IFERROR(LOOKUP(2,1/(单次交易!$A$2:$A$201=B58),单次交易!$B$2:$B$201),""))</f>
        <v/>
      </c>
      <c r="D58" s="27" t="n"/>
      <c r="E58" s="43" t="n"/>
      <c r="F58" s="43" t="n"/>
      <c r="G58" s="28" t="n"/>
      <c r="H58" s="49" t="n"/>
      <c r="I58" s="43" t="n"/>
      <c r="J58" s="27" t="n"/>
      <c r="K58" s="28" t="n"/>
      <c r="L58" s="28" t="n"/>
      <c r="M58" s="28" t="n"/>
      <c r="N58" s="44">
        <f>IF(B58="","",IFERROR(LOOKUP(2,1/(单次交易!$A$2:$A$201=B58),单次交易!$N$2:$N$201),""))</f>
        <v/>
      </c>
      <c r="O58" s="44">
        <f>IF(A58&lt;&gt;"每日跟踪","",IF(OR(B58="",H58="",I58=""),"",IFERROR(AGGREGATE(14,6,$I$2:$I$501/(($A$2:$A$501="每日跟踪")*($B$2:$B$501=B58)*($H$2:$H$501&lt;=H58)),1),"")))</f>
        <v/>
      </c>
      <c r="P58" s="26">
        <f>IF(A58&lt;&gt;"每日跟踪","",IF(O58="","",IFERROR(AGGREGATE(14,6,$D$2:$D$501/(($A$2:$A$501="止损计划")*($B$2:$B$501=B58)*($E$2:$E$501&lt;=O58)),1),0)))</f>
        <v/>
      </c>
      <c r="Q58" s="44">
        <f>IF(A58&lt;&gt;"每日跟踪","",IF(N58="","",MAX(N58,IFERROR(AGGREGATE(14,6,$F$2:$F$501/(($A$2:$A$501="止损计划")*($B$2:$B$501=B58)*($E$2:$E$501&lt;=O58)),1),0))))</f>
        <v/>
      </c>
      <c r="R58" s="43" t="n"/>
      <c r="S58" s="44">
        <f>IF(A58&lt;&gt;"每日跟踪","",IF(Q58="","",MAX(Q58,IFERROR(AGGREGATE(14,6,$R$2:$R$501/(($A$2:$A$501="每日跟踪")*($B$2:$B$501=B58)*($H$2:$H$501&lt;=H58)),1),0))))</f>
        <v/>
      </c>
      <c r="T58" s="44">
        <f>IF(A58&lt;&gt;"每日跟踪","",IF(O58="","",IF(COUNTIFS($A$2:$A$501,"止损计划",$B$2:$B$501,B58,$E$2:$E$501,"&gt;"&amp;O58)=0,"",AGGREGATE(15,6,$E$2:$E$501/(($A$2:$A$501="止损计划")*($B$2:$B$501=B58)*($E$2:$E$501&gt;O58)),1))))</f>
        <v/>
      </c>
      <c r="U58" s="44">
        <f>IF(OR(A58&lt;&gt;"每日跟踪",T58=""),"",IFERROR(AGGREGATE(14,6,$F$2:$F$501/(($A$2:$A$501="止损计划")*($B$2:$B$501=B58)*($E$2:$E$501=T58)),1),""))</f>
        <v/>
      </c>
      <c r="V58" s="30">
        <f>IF(OR(A58&lt;&gt;"每日跟踪",T58="",I58="",I58&lt;=0),"",T58/I58-1)</f>
        <v/>
      </c>
      <c r="W58" s="31">
        <f>IF(A58&lt;&gt;"每日跟踪","",IF(OR(I58="",S58=""),"",IF(I58&lt;=S58,"触发止损：应全部卖出","继续观察")))</f>
        <v/>
      </c>
      <c r="X58" s="28" t="n"/>
      <c r="Y58" s="43" t="n"/>
      <c r="Z58" s="26">
        <f>IF(X58&lt;&gt;"执行卖出","",IFERROR(LOOKUP(2,1/(单次交易!$A$2:$A$201=B58),单次交易!$AP$2:$AP$201),""))</f>
        <v/>
      </c>
      <c r="AA58" s="43" t="n"/>
      <c r="AB58" s="31">
        <f>IF(A58&lt;&gt;"每日跟踪","",IF(OR(B58="",H58="",I58="",J58="",K58="",L58="",M58=""),"待补充每日记录",IF(W58="触发止损：应全部卖出",IF(X58&lt;&gt;"执行卖出","违规：触发止损但未执行",IF(Y58="","待补充实际卖出价","卖出记录完整")),IF(X58="","待选择卖出动作",IF(X58="执行卖出",IF(Y58="","待补充实际卖出价","卖出记录完整"),"正常")))))</f>
        <v/>
      </c>
      <c r="AC58" s="31">
        <f>IF(A58="","",IF(A58="止损计划",IF(OR(B58="",D58="",E58="",F58="",G58=""),"计划不完整",IF(OR(D58&lt;1,D58&lt;&gt;INT(D58)),"阶段序号无效",IF(COUNTIFS($A$2:$A$501,"止损计划",$B$2:$B$501,B58,$D$2:$D$501,D58)&gt;1,"阶段序号重复",IF(E58&lt;=IFERROR(LOOKUP(2,1/('单次交易'!$A$2:$A$201=B58),'单次交易'!$E$2:$E$201),0),"激活价须高于买入价",IF(F58&lt;N58,"止损价不得低于初始止损",IF(F58&gt;E58,"止损价不得高于激活价",IF(AND(COUNTIFS($A$2:$A$501,"止损计划",$B$2:$B$501,B58,$D$2:$D$501,"&lt;"&amp;D58)&gt;0,OR(E58&lt;=AGGREGATE(14,6,$E$2:$E$501/(($A$2:$A$501="止损计划")*($B$2:$B$501=B58)*($D$2:$D$501&lt;D58)),1),F58&lt;AGGREGATE(14,6,$F$2:$F$501/(($A$2:$A$501="止损计划")*($B$2:$B$501=B58)*($D$2:$D$501&lt;D58)),1))),"阶段价格必须逐级提高","计划有效"))))))),IF(A58="每日跟踪",IF(OR(B58="",H58="",I58="",J58=""),"每日数据不完整",IF(COUNTIFS($A$2:$A$501,"每日跟踪",$B$2:$B$501,B58,$H$2:$H$501,H58)&gt;1,"同一交易日期重复",IF(AND(R58&lt;&gt;"",R58&lt;S58),"人工止损无效：不能下调","跟踪有效"))),"记录类型无效")))</f>
        <v/>
      </c>
    </row>
    <row r="59">
      <c r="A59" s="28" t="n"/>
      <c r="B59" s="28" t="n"/>
      <c r="C59" s="31">
        <f>IF(B59="","",IFERROR(LOOKUP(2,1/(单次交易!$A$2:$A$201=B59),单次交易!$B$2:$B$201),""))</f>
        <v/>
      </c>
      <c r="D59" s="27" t="n"/>
      <c r="E59" s="43" t="n"/>
      <c r="F59" s="43" t="n"/>
      <c r="G59" s="28" t="n"/>
      <c r="H59" s="49" t="n"/>
      <c r="I59" s="43" t="n"/>
      <c r="J59" s="27" t="n"/>
      <c r="K59" s="28" t="n"/>
      <c r="L59" s="28" t="n"/>
      <c r="M59" s="28" t="n"/>
      <c r="N59" s="44">
        <f>IF(B59="","",IFERROR(LOOKUP(2,1/(单次交易!$A$2:$A$201=B59),单次交易!$N$2:$N$201),""))</f>
        <v/>
      </c>
      <c r="O59" s="44">
        <f>IF(A59&lt;&gt;"每日跟踪","",IF(OR(B59="",H59="",I59=""),"",IFERROR(AGGREGATE(14,6,$I$2:$I$501/(($A$2:$A$501="每日跟踪")*($B$2:$B$501=B59)*($H$2:$H$501&lt;=H59)),1),"")))</f>
        <v/>
      </c>
      <c r="P59" s="26">
        <f>IF(A59&lt;&gt;"每日跟踪","",IF(O59="","",IFERROR(AGGREGATE(14,6,$D$2:$D$501/(($A$2:$A$501="止损计划")*($B$2:$B$501=B59)*($E$2:$E$501&lt;=O59)),1),0)))</f>
        <v/>
      </c>
      <c r="Q59" s="44">
        <f>IF(A59&lt;&gt;"每日跟踪","",IF(N59="","",MAX(N59,IFERROR(AGGREGATE(14,6,$F$2:$F$501/(($A$2:$A$501="止损计划")*($B$2:$B$501=B59)*($E$2:$E$501&lt;=O59)),1),0))))</f>
        <v/>
      </c>
      <c r="R59" s="43" t="n"/>
      <c r="S59" s="44">
        <f>IF(A59&lt;&gt;"每日跟踪","",IF(Q59="","",MAX(Q59,IFERROR(AGGREGATE(14,6,$R$2:$R$501/(($A$2:$A$501="每日跟踪")*($B$2:$B$501=B59)*($H$2:$H$501&lt;=H59)),1),0))))</f>
        <v/>
      </c>
      <c r="T59" s="44">
        <f>IF(A59&lt;&gt;"每日跟踪","",IF(O59="","",IF(COUNTIFS($A$2:$A$501,"止损计划",$B$2:$B$501,B59,$E$2:$E$501,"&gt;"&amp;O59)=0,"",AGGREGATE(15,6,$E$2:$E$501/(($A$2:$A$501="止损计划")*($B$2:$B$501=B59)*($E$2:$E$501&gt;O59)),1))))</f>
        <v/>
      </c>
      <c r="U59" s="44">
        <f>IF(OR(A59&lt;&gt;"每日跟踪",T59=""),"",IFERROR(AGGREGATE(14,6,$F$2:$F$501/(($A$2:$A$501="止损计划")*($B$2:$B$501=B59)*($E$2:$E$501=T59)),1),""))</f>
        <v/>
      </c>
      <c r="V59" s="30">
        <f>IF(OR(A59&lt;&gt;"每日跟踪",T59="",I59="",I59&lt;=0),"",T59/I59-1)</f>
        <v/>
      </c>
      <c r="W59" s="31">
        <f>IF(A59&lt;&gt;"每日跟踪","",IF(OR(I59="",S59=""),"",IF(I59&lt;=S59,"触发止损：应全部卖出","继续观察")))</f>
        <v/>
      </c>
      <c r="X59" s="28" t="n"/>
      <c r="Y59" s="43" t="n"/>
      <c r="Z59" s="26">
        <f>IF(X59&lt;&gt;"执行卖出","",IFERROR(LOOKUP(2,1/(单次交易!$A$2:$A$201=B59),单次交易!$AP$2:$AP$201),""))</f>
        <v/>
      </c>
      <c r="AA59" s="43" t="n"/>
      <c r="AB59" s="31">
        <f>IF(A59&lt;&gt;"每日跟踪","",IF(OR(B59="",H59="",I59="",J59="",K59="",L59="",M59=""),"待补充每日记录",IF(W59="触发止损：应全部卖出",IF(X59&lt;&gt;"执行卖出","违规：触发止损但未执行",IF(Y59="","待补充实际卖出价","卖出记录完整")),IF(X59="","待选择卖出动作",IF(X59="执行卖出",IF(Y59="","待补充实际卖出价","卖出记录完整"),"正常")))))</f>
        <v/>
      </c>
      <c r="AC59" s="31">
        <f>IF(A59="","",IF(A59="止损计划",IF(OR(B59="",D59="",E59="",F59="",G59=""),"计划不完整",IF(OR(D59&lt;1,D59&lt;&gt;INT(D59)),"阶段序号无效",IF(COUNTIFS($A$2:$A$501,"止损计划",$B$2:$B$501,B59,$D$2:$D$501,D59)&gt;1,"阶段序号重复",IF(E59&lt;=IFERROR(LOOKUP(2,1/('单次交易'!$A$2:$A$201=B59),'单次交易'!$E$2:$E$201),0),"激活价须高于买入价",IF(F59&lt;N59,"止损价不得低于初始止损",IF(F59&gt;E59,"止损价不得高于激活价",IF(AND(COUNTIFS($A$2:$A$501,"止损计划",$B$2:$B$501,B59,$D$2:$D$501,"&lt;"&amp;D59)&gt;0,OR(E59&lt;=AGGREGATE(14,6,$E$2:$E$501/(($A$2:$A$501="止损计划")*($B$2:$B$501=B59)*($D$2:$D$501&lt;D59)),1),F59&lt;AGGREGATE(14,6,$F$2:$F$501/(($A$2:$A$501="止损计划")*($B$2:$B$501=B59)*($D$2:$D$501&lt;D59)),1))),"阶段价格必须逐级提高","计划有效"))))))),IF(A59="每日跟踪",IF(OR(B59="",H59="",I59="",J59=""),"每日数据不完整",IF(COUNTIFS($A$2:$A$501,"每日跟踪",$B$2:$B$501,B59,$H$2:$H$501,H59)&gt;1,"同一交易日期重复",IF(AND(R59&lt;&gt;"",R59&lt;S59),"人工止损无效：不能下调","跟踪有效"))),"记录类型无效")))</f>
        <v/>
      </c>
    </row>
    <row r="60">
      <c r="A60" s="28" t="n"/>
      <c r="B60" s="28" t="n"/>
      <c r="C60" s="31">
        <f>IF(B60="","",IFERROR(LOOKUP(2,1/(单次交易!$A$2:$A$201=B60),单次交易!$B$2:$B$201),""))</f>
        <v/>
      </c>
      <c r="D60" s="27" t="n"/>
      <c r="E60" s="43" t="n"/>
      <c r="F60" s="43" t="n"/>
      <c r="G60" s="28" t="n"/>
      <c r="H60" s="49" t="n"/>
      <c r="I60" s="43" t="n"/>
      <c r="J60" s="27" t="n"/>
      <c r="K60" s="28" t="n"/>
      <c r="L60" s="28" t="n"/>
      <c r="M60" s="28" t="n"/>
      <c r="N60" s="44">
        <f>IF(B60="","",IFERROR(LOOKUP(2,1/(单次交易!$A$2:$A$201=B60),单次交易!$N$2:$N$201),""))</f>
        <v/>
      </c>
      <c r="O60" s="44">
        <f>IF(A60&lt;&gt;"每日跟踪","",IF(OR(B60="",H60="",I60=""),"",IFERROR(AGGREGATE(14,6,$I$2:$I$501/(($A$2:$A$501="每日跟踪")*($B$2:$B$501=B60)*($H$2:$H$501&lt;=H60)),1),"")))</f>
        <v/>
      </c>
      <c r="P60" s="26">
        <f>IF(A60&lt;&gt;"每日跟踪","",IF(O60="","",IFERROR(AGGREGATE(14,6,$D$2:$D$501/(($A$2:$A$501="止损计划")*($B$2:$B$501=B60)*($E$2:$E$501&lt;=O60)),1),0)))</f>
        <v/>
      </c>
      <c r="Q60" s="44">
        <f>IF(A60&lt;&gt;"每日跟踪","",IF(N60="","",MAX(N60,IFERROR(AGGREGATE(14,6,$F$2:$F$501/(($A$2:$A$501="止损计划")*($B$2:$B$501=B60)*($E$2:$E$501&lt;=O60)),1),0))))</f>
        <v/>
      </c>
      <c r="R60" s="43" t="n"/>
      <c r="S60" s="44">
        <f>IF(A60&lt;&gt;"每日跟踪","",IF(Q60="","",MAX(Q60,IFERROR(AGGREGATE(14,6,$R$2:$R$501/(($A$2:$A$501="每日跟踪")*($B$2:$B$501=B60)*($H$2:$H$501&lt;=H60)),1),0))))</f>
        <v/>
      </c>
      <c r="T60" s="44">
        <f>IF(A60&lt;&gt;"每日跟踪","",IF(O60="","",IF(COUNTIFS($A$2:$A$501,"止损计划",$B$2:$B$501,B60,$E$2:$E$501,"&gt;"&amp;O60)=0,"",AGGREGATE(15,6,$E$2:$E$501/(($A$2:$A$501="止损计划")*($B$2:$B$501=B60)*($E$2:$E$501&gt;O60)),1))))</f>
        <v/>
      </c>
      <c r="U60" s="44">
        <f>IF(OR(A60&lt;&gt;"每日跟踪",T60=""),"",IFERROR(AGGREGATE(14,6,$F$2:$F$501/(($A$2:$A$501="止损计划")*($B$2:$B$501=B60)*($E$2:$E$501=T60)),1),""))</f>
        <v/>
      </c>
      <c r="V60" s="30">
        <f>IF(OR(A60&lt;&gt;"每日跟踪",T60="",I60="",I60&lt;=0),"",T60/I60-1)</f>
        <v/>
      </c>
      <c r="W60" s="31">
        <f>IF(A60&lt;&gt;"每日跟踪","",IF(OR(I60="",S60=""),"",IF(I60&lt;=S60,"触发止损：应全部卖出","继续观察")))</f>
        <v/>
      </c>
      <c r="X60" s="28" t="n"/>
      <c r="Y60" s="43" t="n"/>
      <c r="Z60" s="26">
        <f>IF(X60&lt;&gt;"执行卖出","",IFERROR(LOOKUP(2,1/(单次交易!$A$2:$A$201=B60),单次交易!$AP$2:$AP$201),""))</f>
        <v/>
      </c>
      <c r="AA60" s="43" t="n"/>
      <c r="AB60" s="31">
        <f>IF(A60&lt;&gt;"每日跟踪","",IF(OR(B60="",H60="",I60="",J60="",K60="",L60="",M60=""),"待补充每日记录",IF(W60="触发止损：应全部卖出",IF(X60&lt;&gt;"执行卖出","违规：触发止损但未执行",IF(Y60="","待补充实际卖出价","卖出记录完整")),IF(X60="","待选择卖出动作",IF(X60="执行卖出",IF(Y60="","待补充实际卖出价","卖出记录完整"),"正常")))))</f>
        <v/>
      </c>
      <c r="AC60" s="31">
        <f>IF(A60="","",IF(A60="止损计划",IF(OR(B60="",D60="",E60="",F60="",G60=""),"计划不完整",IF(OR(D60&lt;1,D60&lt;&gt;INT(D60)),"阶段序号无效",IF(COUNTIFS($A$2:$A$501,"止损计划",$B$2:$B$501,B60,$D$2:$D$501,D60)&gt;1,"阶段序号重复",IF(E60&lt;=IFERROR(LOOKUP(2,1/('单次交易'!$A$2:$A$201=B60),'单次交易'!$E$2:$E$201),0),"激活价须高于买入价",IF(F60&lt;N60,"止损价不得低于初始止损",IF(F60&gt;E60,"止损价不得高于激活价",IF(AND(COUNTIFS($A$2:$A$501,"止损计划",$B$2:$B$501,B60,$D$2:$D$501,"&lt;"&amp;D60)&gt;0,OR(E60&lt;=AGGREGATE(14,6,$E$2:$E$501/(($A$2:$A$501="止损计划")*($B$2:$B$501=B60)*($D$2:$D$501&lt;D60)),1),F60&lt;AGGREGATE(14,6,$F$2:$F$501/(($A$2:$A$501="止损计划")*($B$2:$B$501=B60)*($D$2:$D$501&lt;D60)),1))),"阶段价格必须逐级提高","计划有效"))))))),IF(A60="每日跟踪",IF(OR(B60="",H60="",I60="",J60=""),"每日数据不完整",IF(COUNTIFS($A$2:$A$501,"每日跟踪",$B$2:$B$501,B60,$H$2:$H$501,H60)&gt;1,"同一交易日期重复",IF(AND(R60&lt;&gt;"",R60&lt;S60),"人工止损无效：不能下调","跟踪有效"))),"记录类型无效")))</f>
        <v/>
      </c>
    </row>
    <row r="61">
      <c r="A61" s="28" t="n"/>
      <c r="B61" s="28" t="n"/>
      <c r="C61" s="31">
        <f>IF(B61="","",IFERROR(LOOKUP(2,1/(单次交易!$A$2:$A$201=B61),单次交易!$B$2:$B$201),""))</f>
        <v/>
      </c>
      <c r="D61" s="27" t="n"/>
      <c r="E61" s="43" t="n"/>
      <c r="F61" s="43" t="n"/>
      <c r="G61" s="28" t="n"/>
      <c r="H61" s="49" t="n"/>
      <c r="I61" s="43" t="n"/>
      <c r="J61" s="27" t="n"/>
      <c r="K61" s="28" t="n"/>
      <c r="L61" s="28" t="n"/>
      <c r="M61" s="28" t="n"/>
      <c r="N61" s="44">
        <f>IF(B61="","",IFERROR(LOOKUP(2,1/(单次交易!$A$2:$A$201=B61),单次交易!$N$2:$N$201),""))</f>
        <v/>
      </c>
      <c r="O61" s="44">
        <f>IF(A61&lt;&gt;"每日跟踪","",IF(OR(B61="",H61="",I61=""),"",IFERROR(AGGREGATE(14,6,$I$2:$I$501/(($A$2:$A$501="每日跟踪")*($B$2:$B$501=B61)*($H$2:$H$501&lt;=H61)),1),"")))</f>
        <v/>
      </c>
      <c r="P61" s="26">
        <f>IF(A61&lt;&gt;"每日跟踪","",IF(O61="","",IFERROR(AGGREGATE(14,6,$D$2:$D$501/(($A$2:$A$501="止损计划")*($B$2:$B$501=B61)*($E$2:$E$501&lt;=O61)),1),0)))</f>
        <v/>
      </c>
      <c r="Q61" s="44">
        <f>IF(A61&lt;&gt;"每日跟踪","",IF(N61="","",MAX(N61,IFERROR(AGGREGATE(14,6,$F$2:$F$501/(($A$2:$A$501="止损计划")*($B$2:$B$501=B61)*($E$2:$E$501&lt;=O61)),1),0))))</f>
        <v/>
      </c>
      <c r="R61" s="43" t="n"/>
      <c r="S61" s="44">
        <f>IF(A61&lt;&gt;"每日跟踪","",IF(Q61="","",MAX(Q61,IFERROR(AGGREGATE(14,6,$R$2:$R$501/(($A$2:$A$501="每日跟踪")*($B$2:$B$501=B61)*($H$2:$H$501&lt;=H61)),1),0))))</f>
        <v/>
      </c>
      <c r="T61" s="44">
        <f>IF(A61&lt;&gt;"每日跟踪","",IF(O61="","",IF(COUNTIFS($A$2:$A$501,"止损计划",$B$2:$B$501,B61,$E$2:$E$501,"&gt;"&amp;O61)=0,"",AGGREGATE(15,6,$E$2:$E$501/(($A$2:$A$501="止损计划")*($B$2:$B$501=B61)*($E$2:$E$501&gt;O61)),1))))</f>
        <v/>
      </c>
      <c r="U61" s="44">
        <f>IF(OR(A61&lt;&gt;"每日跟踪",T61=""),"",IFERROR(AGGREGATE(14,6,$F$2:$F$501/(($A$2:$A$501="止损计划")*($B$2:$B$501=B61)*($E$2:$E$501=T61)),1),""))</f>
        <v/>
      </c>
      <c r="V61" s="30">
        <f>IF(OR(A61&lt;&gt;"每日跟踪",T61="",I61="",I61&lt;=0),"",T61/I61-1)</f>
        <v/>
      </c>
      <c r="W61" s="31">
        <f>IF(A61&lt;&gt;"每日跟踪","",IF(OR(I61="",S61=""),"",IF(I61&lt;=S61,"触发止损：应全部卖出","继续观察")))</f>
        <v/>
      </c>
      <c r="X61" s="28" t="n"/>
      <c r="Y61" s="43" t="n"/>
      <c r="Z61" s="26">
        <f>IF(X61&lt;&gt;"执行卖出","",IFERROR(LOOKUP(2,1/(单次交易!$A$2:$A$201=B61),单次交易!$AP$2:$AP$201),""))</f>
        <v/>
      </c>
      <c r="AA61" s="43" t="n"/>
      <c r="AB61" s="31">
        <f>IF(A61&lt;&gt;"每日跟踪","",IF(OR(B61="",H61="",I61="",J61="",K61="",L61="",M61=""),"待补充每日记录",IF(W61="触发止损：应全部卖出",IF(X61&lt;&gt;"执行卖出","违规：触发止损但未执行",IF(Y61="","待补充实际卖出价","卖出记录完整")),IF(X61="","待选择卖出动作",IF(X61="执行卖出",IF(Y61="","待补充实际卖出价","卖出记录完整"),"正常")))))</f>
        <v/>
      </c>
      <c r="AC61" s="31">
        <f>IF(A61="","",IF(A61="止损计划",IF(OR(B61="",D61="",E61="",F61="",G61=""),"计划不完整",IF(OR(D61&lt;1,D61&lt;&gt;INT(D61)),"阶段序号无效",IF(COUNTIFS($A$2:$A$501,"止损计划",$B$2:$B$501,B61,$D$2:$D$501,D61)&gt;1,"阶段序号重复",IF(E61&lt;=IFERROR(LOOKUP(2,1/('单次交易'!$A$2:$A$201=B61),'单次交易'!$E$2:$E$201),0),"激活价须高于买入价",IF(F61&lt;N61,"止损价不得低于初始止损",IF(F61&gt;E61,"止损价不得高于激活价",IF(AND(COUNTIFS($A$2:$A$501,"止损计划",$B$2:$B$501,B61,$D$2:$D$501,"&lt;"&amp;D61)&gt;0,OR(E61&lt;=AGGREGATE(14,6,$E$2:$E$501/(($A$2:$A$501="止损计划")*($B$2:$B$501=B61)*($D$2:$D$501&lt;D61)),1),F61&lt;AGGREGATE(14,6,$F$2:$F$501/(($A$2:$A$501="止损计划")*($B$2:$B$501=B61)*($D$2:$D$501&lt;D61)),1))),"阶段价格必须逐级提高","计划有效"))))))),IF(A61="每日跟踪",IF(OR(B61="",H61="",I61="",J61=""),"每日数据不完整",IF(COUNTIFS($A$2:$A$501,"每日跟踪",$B$2:$B$501,B61,$H$2:$H$501,H61)&gt;1,"同一交易日期重复",IF(AND(R61&lt;&gt;"",R61&lt;S61),"人工止损无效：不能下调","跟踪有效"))),"记录类型无效")))</f>
        <v/>
      </c>
    </row>
    <row r="62">
      <c r="A62" s="28" t="n"/>
      <c r="B62" s="28" t="n"/>
      <c r="C62" s="31">
        <f>IF(B62="","",IFERROR(LOOKUP(2,1/(单次交易!$A$2:$A$201=B62),单次交易!$B$2:$B$201),""))</f>
        <v/>
      </c>
      <c r="D62" s="27" t="n"/>
      <c r="E62" s="43" t="n"/>
      <c r="F62" s="43" t="n"/>
      <c r="G62" s="28" t="n"/>
      <c r="H62" s="49" t="n"/>
      <c r="I62" s="43" t="n"/>
      <c r="J62" s="27" t="n"/>
      <c r="K62" s="28" t="n"/>
      <c r="L62" s="28" t="n"/>
      <c r="M62" s="28" t="n"/>
      <c r="N62" s="44">
        <f>IF(B62="","",IFERROR(LOOKUP(2,1/(单次交易!$A$2:$A$201=B62),单次交易!$N$2:$N$201),""))</f>
        <v/>
      </c>
      <c r="O62" s="44">
        <f>IF(A62&lt;&gt;"每日跟踪","",IF(OR(B62="",H62="",I62=""),"",IFERROR(AGGREGATE(14,6,$I$2:$I$501/(($A$2:$A$501="每日跟踪")*($B$2:$B$501=B62)*($H$2:$H$501&lt;=H62)),1),"")))</f>
        <v/>
      </c>
      <c r="P62" s="26">
        <f>IF(A62&lt;&gt;"每日跟踪","",IF(O62="","",IFERROR(AGGREGATE(14,6,$D$2:$D$501/(($A$2:$A$501="止损计划")*($B$2:$B$501=B62)*($E$2:$E$501&lt;=O62)),1),0)))</f>
        <v/>
      </c>
      <c r="Q62" s="44">
        <f>IF(A62&lt;&gt;"每日跟踪","",IF(N62="","",MAX(N62,IFERROR(AGGREGATE(14,6,$F$2:$F$501/(($A$2:$A$501="止损计划")*($B$2:$B$501=B62)*($E$2:$E$501&lt;=O62)),1),0))))</f>
        <v/>
      </c>
      <c r="R62" s="43" t="n"/>
      <c r="S62" s="44">
        <f>IF(A62&lt;&gt;"每日跟踪","",IF(Q62="","",MAX(Q62,IFERROR(AGGREGATE(14,6,$R$2:$R$501/(($A$2:$A$501="每日跟踪")*($B$2:$B$501=B62)*($H$2:$H$501&lt;=H62)),1),0))))</f>
        <v/>
      </c>
      <c r="T62" s="44">
        <f>IF(A62&lt;&gt;"每日跟踪","",IF(O62="","",IF(COUNTIFS($A$2:$A$501,"止损计划",$B$2:$B$501,B62,$E$2:$E$501,"&gt;"&amp;O62)=0,"",AGGREGATE(15,6,$E$2:$E$501/(($A$2:$A$501="止损计划")*($B$2:$B$501=B62)*($E$2:$E$501&gt;O62)),1))))</f>
        <v/>
      </c>
      <c r="U62" s="44">
        <f>IF(OR(A62&lt;&gt;"每日跟踪",T62=""),"",IFERROR(AGGREGATE(14,6,$F$2:$F$501/(($A$2:$A$501="止损计划")*($B$2:$B$501=B62)*($E$2:$E$501=T62)),1),""))</f>
        <v/>
      </c>
      <c r="V62" s="30">
        <f>IF(OR(A62&lt;&gt;"每日跟踪",T62="",I62="",I62&lt;=0),"",T62/I62-1)</f>
        <v/>
      </c>
      <c r="W62" s="31">
        <f>IF(A62&lt;&gt;"每日跟踪","",IF(OR(I62="",S62=""),"",IF(I62&lt;=S62,"触发止损：应全部卖出","继续观察")))</f>
        <v/>
      </c>
      <c r="X62" s="28" t="n"/>
      <c r="Y62" s="43" t="n"/>
      <c r="Z62" s="26">
        <f>IF(X62&lt;&gt;"执行卖出","",IFERROR(LOOKUP(2,1/(单次交易!$A$2:$A$201=B62),单次交易!$AP$2:$AP$201),""))</f>
        <v/>
      </c>
      <c r="AA62" s="43" t="n"/>
      <c r="AB62" s="31">
        <f>IF(A62&lt;&gt;"每日跟踪","",IF(OR(B62="",H62="",I62="",J62="",K62="",L62="",M62=""),"待补充每日记录",IF(W62="触发止损：应全部卖出",IF(X62&lt;&gt;"执行卖出","违规：触发止损但未执行",IF(Y62="","待补充实际卖出价","卖出记录完整")),IF(X62="","待选择卖出动作",IF(X62="执行卖出",IF(Y62="","待补充实际卖出价","卖出记录完整"),"正常")))))</f>
        <v/>
      </c>
      <c r="AC62" s="31">
        <f>IF(A62="","",IF(A62="止损计划",IF(OR(B62="",D62="",E62="",F62="",G62=""),"计划不完整",IF(OR(D62&lt;1,D62&lt;&gt;INT(D62)),"阶段序号无效",IF(COUNTIFS($A$2:$A$501,"止损计划",$B$2:$B$501,B62,$D$2:$D$501,D62)&gt;1,"阶段序号重复",IF(E62&lt;=IFERROR(LOOKUP(2,1/('单次交易'!$A$2:$A$201=B62),'单次交易'!$E$2:$E$201),0),"激活价须高于买入价",IF(F62&lt;N62,"止损价不得低于初始止损",IF(F62&gt;E62,"止损价不得高于激活价",IF(AND(COUNTIFS($A$2:$A$501,"止损计划",$B$2:$B$501,B62,$D$2:$D$501,"&lt;"&amp;D62)&gt;0,OR(E62&lt;=AGGREGATE(14,6,$E$2:$E$501/(($A$2:$A$501="止损计划")*($B$2:$B$501=B62)*($D$2:$D$501&lt;D62)),1),F62&lt;AGGREGATE(14,6,$F$2:$F$501/(($A$2:$A$501="止损计划")*($B$2:$B$501=B62)*($D$2:$D$501&lt;D62)),1))),"阶段价格必须逐级提高","计划有效"))))))),IF(A62="每日跟踪",IF(OR(B62="",H62="",I62="",J62=""),"每日数据不完整",IF(COUNTIFS($A$2:$A$501,"每日跟踪",$B$2:$B$501,B62,$H$2:$H$501,H62)&gt;1,"同一交易日期重复",IF(AND(R62&lt;&gt;"",R62&lt;S62),"人工止损无效：不能下调","跟踪有效"))),"记录类型无效")))</f>
        <v/>
      </c>
    </row>
    <row r="63">
      <c r="A63" s="28" t="n"/>
      <c r="B63" s="28" t="n"/>
      <c r="C63" s="31">
        <f>IF(B63="","",IFERROR(LOOKUP(2,1/(单次交易!$A$2:$A$201=B63),单次交易!$B$2:$B$201),""))</f>
        <v/>
      </c>
      <c r="D63" s="27" t="n"/>
      <c r="E63" s="43" t="n"/>
      <c r="F63" s="43" t="n"/>
      <c r="G63" s="28" t="n"/>
      <c r="H63" s="49" t="n"/>
      <c r="I63" s="43" t="n"/>
      <c r="J63" s="27" t="n"/>
      <c r="K63" s="28" t="n"/>
      <c r="L63" s="28" t="n"/>
      <c r="M63" s="28" t="n"/>
      <c r="N63" s="44">
        <f>IF(B63="","",IFERROR(LOOKUP(2,1/(单次交易!$A$2:$A$201=B63),单次交易!$N$2:$N$201),""))</f>
        <v/>
      </c>
      <c r="O63" s="44">
        <f>IF(A63&lt;&gt;"每日跟踪","",IF(OR(B63="",H63="",I63=""),"",IFERROR(AGGREGATE(14,6,$I$2:$I$501/(($A$2:$A$501="每日跟踪")*($B$2:$B$501=B63)*($H$2:$H$501&lt;=H63)),1),"")))</f>
        <v/>
      </c>
      <c r="P63" s="26">
        <f>IF(A63&lt;&gt;"每日跟踪","",IF(O63="","",IFERROR(AGGREGATE(14,6,$D$2:$D$501/(($A$2:$A$501="止损计划")*($B$2:$B$501=B63)*($E$2:$E$501&lt;=O63)),1),0)))</f>
        <v/>
      </c>
      <c r="Q63" s="44">
        <f>IF(A63&lt;&gt;"每日跟踪","",IF(N63="","",MAX(N63,IFERROR(AGGREGATE(14,6,$F$2:$F$501/(($A$2:$A$501="止损计划")*($B$2:$B$501=B63)*($E$2:$E$501&lt;=O63)),1),0))))</f>
        <v/>
      </c>
      <c r="R63" s="43" t="n"/>
      <c r="S63" s="44">
        <f>IF(A63&lt;&gt;"每日跟踪","",IF(Q63="","",MAX(Q63,IFERROR(AGGREGATE(14,6,$R$2:$R$501/(($A$2:$A$501="每日跟踪")*($B$2:$B$501=B63)*($H$2:$H$501&lt;=H63)),1),0))))</f>
        <v/>
      </c>
      <c r="T63" s="44">
        <f>IF(A63&lt;&gt;"每日跟踪","",IF(O63="","",IF(COUNTIFS($A$2:$A$501,"止损计划",$B$2:$B$501,B63,$E$2:$E$501,"&gt;"&amp;O63)=0,"",AGGREGATE(15,6,$E$2:$E$501/(($A$2:$A$501="止损计划")*($B$2:$B$501=B63)*($E$2:$E$501&gt;O63)),1))))</f>
        <v/>
      </c>
      <c r="U63" s="44">
        <f>IF(OR(A63&lt;&gt;"每日跟踪",T63=""),"",IFERROR(AGGREGATE(14,6,$F$2:$F$501/(($A$2:$A$501="止损计划")*($B$2:$B$501=B63)*($E$2:$E$501=T63)),1),""))</f>
        <v/>
      </c>
      <c r="V63" s="30">
        <f>IF(OR(A63&lt;&gt;"每日跟踪",T63="",I63="",I63&lt;=0),"",T63/I63-1)</f>
        <v/>
      </c>
      <c r="W63" s="31">
        <f>IF(A63&lt;&gt;"每日跟踪","",IF(OR(I63="",S63=""),"",IF(I63&lt;=S63,"触发止损：应全部卖出","继续观察")))</f>
        <v/>
      </c>
      <c r="X63" s="28" t="n"/>
      <c r="Y63" s="43" t="n"/>
      <c r="Z63" s="26">
        <f>IF(X63&lt;&gt;"执行卖出","",IFERROR(LOOKUP(2,1/(单次交易!$A$2:$A$201=B63),单次交易!$AP$2:$AP$201),""))</f>
        <v/>
      </c>
      <c r="AA63" s="43" t="n"/>
      <c r="AB63" s="31">
        <f>IF(A63&lt;&gt;"每日跟踪","",IF(OR(B63="",H63="",I63="",J63="",K63="",L63="",M63=""),"待补充每日记录",IF(W63="触发止损：应全部卖出",IF(X63&lt;&gt;"执行卖出","违规：触发止损但未执行",IF(Y63="","待补充实际卖出价","卖出记录完整")),IF(X63="","待选择卖出动作",IF(X63="执行卖出",IF(Y63="","待补充实际卖出价","卖出记录完整"),"正常")))))</f>
        <v/>
      </c>
      <c r="AC63" s="31">
        <f>IF(A63="","",IF(A63="止损计划",IF(OR(B63="",D63="",E63="",F63="",G63=""),"计划不完整",IF(OR(D63&lt;1,D63&lt;&gt;INT(D63)),"阶段序号无效",IF(COUNTIFS($A$2:$A$501,"止损计划",$B$2:$B$501,B63,$D$2:$D$501,D63)&gt;1,"阶段序号重复",IF(E63&lt;=IFERROR(LOOKUP(2,1/('单次交易'!$A$2:$A$201=B63),'单次交易'!$E$2:$E$201),0),"激活价须高于买入价",IF(F63&lt;N63,"止损价不得低于初始止损",IF(F63&gt;E63,"止损价不得高于激活价",IF(AND(COUNTIFS($A$2:$A$501,"止损计划",$B$2:$B$501,B63,$D$2:$D$501,"&lt;"&amp;D63)&gt;0,OR(E63&lt;=AGGREGATE(14,6,$E$2:$E$501/(($A$2:$A$501="止损计划")*($B$2:$B$501=B63)*($D$2:$D$501&lt;D63)),1),F63&lt;AGGREGATE(14,6,$F$2:$F$501/(($A$2:$A$501="止损计划")*($B$2:$B$501=B63)*($D$2:$D$501&lt;D63)),1))),"阶段价格必须逐级提高","计划有效"))))))),IF(A63="每日跟踪",IF(OR(B63="",H63="",I63="",J63=""),"每日数据不完整",IF(COUNTIFS($A$2:$A$501,"每日跟踪",$B$2:$B$501,B63,$H$2:$H$501,H63)&gt;1,"同一交易日期重复",IF(AND(R63&lt;&gt;"",R63&lt;S63),"人工止损无效：不能下调","跟踪有效"))),"记录类型无效")))</f>
        <v/>
      </c>
    </row>
    <row r="64">
      <c r="A64" s="28" t="n"/>
      <c r="B64" s="28" t="n"/>
      <c r="C64" s="31">
        <f>IF(B64="","",IFERROR(LOOKUP(2,1/(单次交易!$A$2:$A$201=B64),单次交易!$B$2:$B$201),""))</f>
        <v/>
      </c>
      <c r="D64" s="27" t="n"/>
      <c r="E64" s="43" t="n"/>
      <c r="F64" s="43" t="n"/>
      <c r="G64" s="28" t="n"/>
      <c r="H64" s="49" t="n"/>
      <c r="I64" s="43" t="n"/>
      <c r="J64" s="27" t="n"/>
      <c r="K64" s="28" t="n"/>
      <c r="L64" s="28" t="n"/>
      <c r="M64" s="28" t="n"/>
      <c r="N64" s="44">
        <f>IF(B64="","",IFERROR(LOOKUP(2,1/(单次交易!$A$2:$A$201=B64),单次交易!$N$2:$N$201),""))</f>
        <v/>
      </c>
      <c r="O64" s="44">
        <f>IF(A64&lt;&gt;"每日跟踪","",IF(OR(B64="",H64="",I64=""),"",IFERROR(AGGREGATE(14,6,$I$2:$I$501/(($A$2:$A$501="每日跟踪")*($B$2:$B$501=B64)*($H$2:$H$501&lt;=H64)),1),"")))</f>
        <v/>
      </c>
      <c r="P64" s="26">
        <f>IF(A64&lt;&gt;"每日跟踪","",IF(O64="","",IFERROR(AGGREGATE(14,6,$D$2:$D$501/(($A$2:$A$501="止损计划")*($B$2:$B$501=B64)*($E$2:$E$501&lt;=O64)),1),0)))</f>
        <v/>
      </c>
      <c r="Q64" s="44">
        <f>IF(A64&lt;&gt;"每日跟踪","",IF(N64="","",MAX(N64,IFERROR(AGGREGATE(14,6,$F$2:$F$501/(($A$2:$A$501="止损计划")*($B$2:$B$501=B64)*($E$2:$E$501&lt;=O64)),1),0))))</f>
        <v/>
      </c>
      <c r="R64" s="43" t="n"/>
      <c r="S64" s="44">
        <f>IF(A64&lt;&gt;"每日跟踪","",IF(Q64="","",MAX(Q64,IFERROR(AGGREGATE(14,6,$R$2:$R$501/(($A$2:$A$501="每日跟踪")*($B$2:$B$501=B64)*($H$2:$H$501&lt;=H64)),1),0))))</f>
        <v/>
      </c>
      <c r="T64" s="44">
        <f>IF(A64&lt;&gt;"每日跟踪","",IF(O64="","",IF(COUNTIFS($A$2:$A$501,"止损计划",$B$2:$B$501,B64,$E$2:$E$501,"&gt;"&amp;O64)=0,"",AGGREGATE(15,6,$E$2:$E$501/(($A$2:$A$501="止损计划")*($B$2:$B$501=B64)*($E$2:$E$501&gt;O64)),1))))</f>
        <v/>
      </c>
      <c r="U64" s="44">
        <f>IF(OR(A64&lt;&gt;"每日跟踪",T64=""),"",IFERROR(AGGREGATE(14,6,$F$2:$F$501/(($A$2:$A$501="止损计划")*($B$2:$B$501=B64)*($E$2:$E$501=T64)),1),""))</f>
        <v/>
      </c>
      <c r="V64" s="30">
        <f>IF(OR(A64&lt;&gt;"每日跟踪",T64="",I64="",I64&lt;=0),"",T64/I64-1)</f>
        <v/>
      </c>
      <c r="W64" s="31">
        <f>IF(A64&lt;&gt;"每日跟踪","",IF(OR(I64="",S64=""),"",IF(I64&lt;=S64,"触发止损：应全部卖出","继续观察")))</f>
        <v/>
      </c>
      <c r="X64" s="28" t="n"/>
      <c r="Y64" s="43" t="n"/>
      <c r="Z64" s="26">
        <f>IF(X64&lt;&gt;"执行卖出","",IFERROR(LOOKUP(2,1/(单次交易!$A$2:$A$201=B64),单次交易!$AP$2:$AP$201),""))</f>
        <v/>
      </c>
      <c r="AA64" s="43" t="n"/>
      <c r="AB64" s="31">
        <f>IF(A64&lt;&gt;"每日跟踪","",IF(OR(B64="",H64="",I64="",J64="",K64="",L64="",M64=""),"待补充每日记录",IF(W64="触发止损：应全部卖出",IF(X64&lt;&gt;"执行卖出","违规：触发止损但未执行",IF(Y64="","待补充实际卖出价","卖出记录完整")),IF(X64="","待选择卖出动作",IF(X64="执行卖出",IF(Y64="","待补充实际卖出价","卖出记录完整"),"正常")))))</f>
        <v/>
      </c>
      <c r="AC64" s="31">
        <f>IF(A64="","",IF(A64="止损计划",IF(OR(B64="",D64="",E64="",F64="",G64=""),"计划不完整",IF(OR(D64&lt;1,D64&lt;&gt;INT(D64)),"阶段序号无效",IF(COUNTIFS($A$2:$A$501,"止损计划",$B$2:$B$501,B64,$D$2:$D$501,D64)&gt;1,"阶段序号重复",IF(E64&lt;=IFERROR(LOOKUP(2,1/('单次交易'!$A$2:$A$201=B64),'单次交易'!$E$2:$E$201),0),"激活价须高于买入价",IF(F64&lt;N64,"止损价不得低于初始止损",IF(F64&gt;E64,"止损价不得高于激活价",IF(AND(COUNTIFS($A$2:$A$501,"止损计划",$B$2:$B$501,B64,$D$2:$D$501,"&lt;"&amp;D64)&gt;0,OR(E64&lt;=AGGREGATE(14,6,$E$2:$E$501/(($A$2:$A$501="止损计划")*($B$2:$B$501=B64)*($D$2:$D$501&lt;D64)),1),F64&lt;AGGREGATE(14,6,$F$2:$F$501/(($A$2:$A$501="止损计划")*($B$2:$B$501=B64)*($D$2:$D$501&lt;D64)),1))),"阶段价格必须逐级提高","计划有效"))))))),IF(A64="每日跟踪",IF(OR(B64="",H64="",I64="",J64=""),"每日数据不完整",IF(COUNTIFS($A$2:$A$501,"每日跟踪",$B$2:$B$501,B64,$H$2:$H$501,H64)&gt;1,"同一交易日期重复",IF(AND(R64&lt;&gt;"",R64&lt;S64),"人工止损无效：不能下调","跟踪有效"))),"记录类型无效")))</f>
        <v/>
      </c>
    </row>
    <row r="65">
      <c r="A65" s="28" t="n"/>
      <c r="B65" s="28" t="n"/>
      <c r="C65" s="31">
        <f>IF(B65="","",IFERROR(LOOKUP(2,1/(单次交易!$A$2:$A$201=B65),单次交易!$B$2:$B$201),""))</f>
        <v/>
      </c>
      <c r="D65" s="27" t="n"/>
      <c r="E65" s="43" t="n"/>
      <c r="F65" s="43" t="n"/>
      <c r="G65" s="28" t="n"/>
      <c r="H65" s="49" t="n"/>
      <c r="I65" s="43" t="n"/>
      <c r="J65" s="27" t="n"/>
      <c r="K65" s="28" t="n"/>
      <c r="L65" s="28" t="n"/>
      <c r="M65" s="28" t="n"/>
      <c r="N65" s="44">
        <f>IF(B65="","",IFERROR(LOOKUP(2,1/(单次交易!$A$2:$A$201=B65),单次交易!$N$2:$N$201),""))</f>
        <v/>
      </c>
      <c r="O65" s="44">
        <f>IF(A65&lt;&gt;"每日跟踪","",IF(OR(B65="",H65="",I65=""),"",IFERROR(AGGREGATE(14,6,$I$2:$I$501/(($A$2:$A$501="每日跟踪")*($B$2:$B$501=B65)*($H$2:$H$501&lt;=H65)),1),"")))</f>
        <v/>
      </c>
      <c r="P65" s="26">
        <f>IF(A65&lt;&gt;"每日跟踪","",IF(O65="","",IFERROR(AGGREGATE(14,6,$D$2:$D$501/(($A$2:$A$501="止损计划")*($B$2:$B$501=B65)*($E$2:$E$501&lt;=O65)),1),0)))</f>
        <v/>
      </c>
      <c r="Q65" s="44">
        <f>IF(A65&lt;&gt;"每日跟踪","",IF(N65="","",MAX(N65,IFERROR(AGGREGATE(14,6,$F$2:$F$501/(($A$2:$A$501="止损计划")*($B$2:$B$501=B65)*($E$2:$E$501&lt;=O65)),1),0))))</f>
        <v/>
      </c>
      <c r="R65" s="43" t="n"/>
      <c r="S65" s="44">
        <f>IF(A65&lt;&gt;"每日跟踪","",IF(Q65="","",MAX(Q65,IFERROR(AGGREGATE(14,6,$R$2:$R$501/(($A$2:$A$501="每日跟踪")*($B$2:$B$501=B65)*($H$2:$H$501&lt;=H65)),1),0))))</f>
        <v/>
      </c>
      <c r="T65" s="44">
        <f>IF(A65&lt;&gt;"每日跟踪","",IF(O65="","",IF(COUNTIFS($A$2:$A$501,"止损计划",$B$2:$B$501,B65,$E$2:$E$501,"&gt;"&amp;O65)=0,"",AGGREGATE(15,6,$E$2:$E$501/(($A$2:$A$501="止损计划")*($B$2:$B$501=B65)*($E$2:$E$501&gt;O65)),1))))</f>
        <v/>
      </c>
      <c r="U65" s="44">
        <f>IF(OR(A65&lt;&gt;"每日跟踪",T65=""),"",IFERROR(AGGREGATE(14,6,$F$2:$F$501/(($A$2:$A$501="止损计划")*($B$2:$B$501=B65)*($E$2:$E$501=T65)),1),""))</f>
        <v/>
      </c>
      <c r="V65" s="30">
        <f>IF(OR(A65&lt;&gt;"每日跟踪",T65="",I65="",I65&lt;=0),"",T65/I65-1)</f>
        <v/>
      </c>
      <c r="W65" s="31">
        <f>IF(A65&lt;&gt;"每日跟踪","",IF(OR(I65="",S65=""),"",IF(I65&lt;=S65,"触发止损：应全部卖出","继续观察")))</f>
        <v/>
      </c>
      <c r="X65" s="28" t="n"/>
      <c r="Y65" s="43" t="n"/>
      <c r="Z65" s="26">
        <f>IF(X65&lt;&gt;"执行卖出","",IFERROR(LOOKUP(2,1/(单次交易!$A$2:$A$201=B65),单次交易!$AP$2:$AP$201),""))</f>
        <v/>
      </c>
      <c r="AA65" s="43" t="n"/>
      <c r="AB65" s="31">
        <f>IF(A65&lt;&gt;"每日跟踪","",IF(OR(B65="",H65="",I65="",J65="",K65="",L65="",M65=""),"待补充每日记录",IF(W65="触发止损：应全部卖出",IF(X65&lt;&gt;"执行卖出","违规：触发止损但未执行",IF(Y65="","待补充实际卖出价","卖出记录完整")),IF(X65="","待选择卖出动作",IF(X65="执行卖出",IF(Y65="","待补充实际卖出价","卖出记录完整"),"正常")))))</f>
        <v/>
      </c>
      <c r="AC65" s="31">
        <f>IF(A65="","",IF(A65="止损计划",IF(OR(B65="",D65="",E65="",F65="",G65=""),"计划不完整",IF(OR(D65&lt;1,D65&lt;&gt;INT(D65)),"阶段序号无效",IF(COUNTIFS($A$2:$A$501,"止损计划",$B$2:$B$501,B65,$D$2:$D$501,D65)&gt;1,"阶段序号重复",IF(E65&lt;=IFERROR(LOOKUP(2,1/('单次交易'!$A$2:$A$201=B65),'单次交易'!$E$2:$E$201),0),"激活价须高于买入价",IF(F65&lt;N65,"止损价不得低于初始止损",IF(F65&gt;E65,"止损价不得高于激活价",IF(AND(COUNTIFS($A$2:$A$501,"止损计划",$B$2:$B$501,B65,$D$2:$D$501,"&lt;"&amp;D65)&gt;0,OR(E65&lt;=AGGREGATE(14,6,$E$2:$E$501/(($A$2:$A$501="止损计划")*($B$2:$B$501=B65)*($D$2:$D$501&lt;D65)),1),F65&lt;AGGREGATE(14,6,$F$2:$F$501/(($A$2:$A$501="止损计划")*($B$2:$B$501=B65)*($D$2:$D$501&lt;D65)),1))),"阶段价格必须逐级提高","计划有效"))))))),IF(A65="每日跟踪",IF(OR(B65="",H65="",I65="",J65=""),"每日数据不完整",IF(COUNTIFS($A$2:$A$501,"每日跟踪",$B$2:$B$501,B65,$H$2:$H$501,H65)&gt;1,"同一交易日期重复",IF(AND(R65&lt;&gt;"",R65&lt;S65),"人工止损无效：不能下调","跟踪有效"))),"记录类型无效")))</f>
        <v/>
      </c>
    </row>
    <row r="66">
      <c r="A66" s="28" t="n"/>
      <c r="B66" s="28" t="n"/>
      <c r="C66" s="31">
        <f>IF(B66="","",IFERROR(LOOKUP(2,1/(单次交易!$A$2:$A$201=B66),单次交易!$B$2:$B$201),""))</f>
        <v/>
      </c>
      <c r="D66" s="27" t="n"/>
      <c r="E66" s="43" t="n"/>
      <c r="F66" s="43" t="n"/>
      <c r="G66" s="28" t="n"/>
      <c r="H66" s="49" t="n"/>
      <c r="I66" s="43" t="n"/>
      <c r="J66" s="27" t="n"/>
      <c r="K66" s="28" t="n"/>
      <c r="L66" s="28" t="n"/>
      <c r="M66" s="28" t="n"/>
      <c r="N66" s="44">
        <f>IF(B66="","",IFERROR(LOOKUP(2,1/(单次交易!$A$2:$A$201=B66),单次交易!$N$2:$N$201),""))</f>
        <v/>
      </c>
      <c r="O66" s="44">
        <f>IF(A66&lt;&gt;"每日跟踪","",IF(OR(B66="",H66="",I66=""),"",IFERROR(AGGREGATE(14,6,$I$2:$I$501/(($A$2:$A$501="每日跟踪")*($B$2:$B$501=B66)*($H$2:$H$501&lt;=H66)),1),"")))</f>
        <v/>
      </c>
      <c r="P66" s="26">
        <f>IF(A66&lt;&gt;"每日跟踪","",IF(O66="","",IFERROR(AGGREGATE(14,6,$D$2:$D$501/(($A$2:$A$501="止损计划")*($B$2:$B$501=B66)*($E$2:$E$501&lt;=O66)),1),0)))</f>
        <v/>
      </c>
      <c r="Q66" s="44">
        <f>IF(A66&lt;&gt;"每日跟踪","",IF(N66="","",MAX(N66,IFERROR(AGGREGATE(14,6,$F$2:$F$501/(($A$2:$A$501="止损计划")*($B$2:$B$501=B66)*($E$2:$E$501&lt;=O66)),1),0))))</f>
        <v/>
      </c>
      <c r="R66" s="43" t="n"/>
      <c r="S66" s="44">
        <f>IF(A66&lt;&gt;"每日跟踪","",IF(Q66="","",MAX(Q66,IFERROR(AGGREGATE(14,6,$R$2:$R$501/(($A$2:$A$501="每日跟踪")*($B$2:$B$501=B66)*($H$2:$H$501&lt;=H66)),1),0))))</f>
        <v/>
      </c>
      <c r="T66" s="44">
        <f>IF(A66&lt;&gt;"每日跟踪","",IF(O66="","",IF(COUNTIFS($A$2:$A$501,"止损计划",$B$2:$B$501,B66,$E$2:$E$501,"&gt;"&amp;O66)=0,"",AGGREGATE(15,6,$E$2:$E$501/(($A$2:$A$501="止损计划")*($B$2:$B$501=B66)*($E$2:$E$501&gt;O66)),1))))</f>
        <v/>
      </c>
      <c r="U66" s="44">
        <f>IF(OR(A66&lt;&gt;"每日跟踪",T66=""),"",IFERROR(AGGREGATE(14,6,$F$2:$F$501/(($A$2:$A$501="止损计划")*($B$2:$B$501=B66)*($E$2:$E$501=T66)),1),""))</f>
        <v/>
      </c>
      <c r="V66" s="30">
        <f>IF(OR(A66&lt;&gt;"每日跟踪",T66="",I66="",I66&lt;=0),"",T66/I66-1)</f>
        <v/>
      </c>
      <c r="W66" s="31">
        <f>IF(A66&lt;&gt;"每日跟踪","",IF(OR(I66="",S66=""),"",IF(I66&lt;=S66,"触发止损：应全部卖出","继续观察")))</f>
        <v/>
      </c>
      <c r="X66" s="28" t="n"/>
      <c r="Y66" s="43" t="n"/>
      <c r="Z66" s="26">
        <f>IF(X66&lt;&gt;"执行卖出","",IFERROR(LOOKUP(2,1/(单次交易!$A$2:$A$201=B66),单次交易!$AP$2:$AP$201),""))</f>
        <v/>
      </c>
      <c r="AA66" s="43" t="n"/>
      <c r="AB66" s="31">
        <f>IF(A66&lt;&gt;"每日跟踪","",IF(OR(B66="",H66="",I66="",J66="",K66="",L66="",M66=""),"待补充每日记录",IF(W66="触发止损：应全部卖出",IF(X66&lt;&gt;"执行卖出","违规：触发止损但未执行",IF(Y66="","待补充实际卖出价","卖出记录完整")),IF(X66="","待选择卖出动作",IF(X66="执行卖出",IF(Y66="","待补充实际卖出价","卖出记录完整"),"正常")))))</f>
        <v/>
      </c>
      <c r="AC66" s="31">
        <f>IF(A66="","",IF(A66="止损计划",IF(OR(B66="",D66="",E66="",F66="",G66=""),"计划不完整",IF(OR(D66&lt;1,D66&lt;&gt;INT(D66)),"阶段序号无效",IF(COUNTIFS($A$2:$A$501,"止损计划",$B$2:$B$501,B66,$D$2:$D$501,D66)&gt;1,"阶段序号重复",IF(E66&lt;=IFERROR(LOOKUP(2,1/('单次交易'!$A$2:$A$201=B66),'单次交易'!$E$2:$E$201),0),"激活价须高于买入价",IF(F66&lt;N66,"止损价不得低于初始止损",IF(F66&gt;E66,"止损价不得高于激活价",IF(AND(COUNTIFS($A$2:$A$501,"止损计划",$B$2:$B$501,B66,$D$2:$D$501,"&lt;"&amp;D66)&gt;0,OR(E66&lt;=AGGREGATE(14,6,$E$2:$E$501/(($A$2:$A$501="止损计划")*($B$2:$B$501=B66)*($D$2:$D$501&lt;D66)),1),F66&lt;AGGREGATE(14,6,$F$2:$F$501/(($A$2:$A$501="止损计划")*($B$2:$B$501=B66)*($D$2:$D$501&lt;D66)),1))),"阶段价格必须逐级提高","计划有效"))))))),IF(A66="每日跟踪",IF(OR(B66="",H66="",I66="",J66=""),"每日数据不完整",IF(COUNTIFS($A$2:$A$501,"每日跟踪",$B$2:$B$501,B66,$H$2:$H$501,H66)&gt;1,"同一交易日期重复",IF(AND(R66&lt;&gt;"",R66&lt;S66),"人工止损无效：不能下调","跟踪有效"))),"记录类型无效")))</f>
        <v/>
      </c>
    </row>
    <row r="67">
      <c r="A67" s="28" t="n"/>
      <c r="B67" s="28" t="n"/>
      <c r="C67" s="31">
        <f>IF(B67="","",IFERROR(LOOKUP(2,1/(单次交易!$A$2:$A$201=B67),单次交易!$B$2:$B$201),""))</f>
        <v/>
      </c>
      <c r="D67" s="27" t="n"/>
      <c r="E67" s="43" t="n"/>
      <c r="F67" s="43" t="n"/>
      <c r="G67" s="28" t="n"/>
      <c r="H67" s="49" t="n"/>
      <c r="I67" s="43" t="n"/>
      <c r="J67" s="27" t="n"/>
      <c r="K67" s="28" t="n"/>
      <c r="L67" s="28" t="n"/>
      <c r="M67" s="28" t="n"/>
      <c r="N67" s="44">
        <f>IF(B67="","",IFERROR(LOOKUP(2,1/(单次交易!$A$2:$A$201=B67),单次交易!$N$2:$N$201),""))</f>
        <v/>
      </c>
      <c r="O67" s="44">
        <f>IF(A67&lt;&gt;"每日跟踪","",IF(OR(B67="",H67="",I67=""),"",IFERROR(AGGREGATE(14,6,$I$2:$I$501/(($A$2:$A$501="每日跟踪")*($B$2:$B$501=B67)*($H$2:$H$501&lt;=H67)),1),"")))</f>
        <v/>
      </c>
      <c r="P67" s="26">
        <f>IF(A67&lt;&gt;"每日跟踪","",IF(O67="","",IFERROR(AGGREGATE(14,6,$D$2:$D$501/(($A$2:$A$501="止损计划")*($B$2:$B$501=B67)*($E$2:$E$501&lt;=O67)),1),0)))</f>
        <v/>
      </c>
      <c r="Q67" s="44">
        <f>IF(A67&lt;&gt;"每日跟踪","",IF(N67="","",MAX(N67,IFERROR(AGGREGATE(14,6,$F$2:$F$501/(($A$2:$A$501="止损计划")*($B$2:$B$501=B67)*($E$2:$E$501&lt;=O67)),1),0))))</f>
        <v/>
      </c>
      <c r="R67" s="43" t="n"/>
      <c r="S67" s="44">
        <f>IF(A67&lt;&gt;"每日跟踪","",IF(Q67="","",MAX(Q67,IFERROR(AGGREGATE(14,6,$R$2:$R$501/(($A$2:$A$501="每日跟踪")*($B$2:$B$501=B67)*($H$2:$H$501&lt;=H67)),1),0))))</f>
        <v/>
      </c>
      <c r="T67" s="44">
        <f>IF(A67&lt;&gt;"每日跟踪","",IF(O67="","",IF(COUNTIFS($A$2:$A$501,"止损计划",$B$2:$B$501,B67,$E$2:$E$501,"&gt;"&amp;O67)=0,"",AGGREGATE(15,6,$E$2:$E$501/(($A$2:$A$501="止损计划")*($B$2:$B$501=B67)*($E$2:$E$501&gt;O67)),1))))</f>
        <v/>
      </c>
      <c r="U67" s="44">
        <f>IF(OR(A67&lt;&gt;"每日跟踪",T67=""),"",IFERROR(AGGREGATE(14,6,$F$2:$F$501/(($A$2:$A$501="止损计划")*($B$2:$B$501=B67)*($E$2:$E$501=T67)),1),""))</f>
        <v/>
      </c>
      <c r="V67" s="30">
        <f>IF(OR(A67&lt;&gt;"每日跟踪",T67="",I67="",I67&lt;=0),"",T67/I67-1)</f>
        <v/>
      </c>
      <c r="W67" s="31">
        <f>IF(A67&lt;&gt;"每日跟踪","",IF(OR(I67="",S67=""),"",IF(I67&lt;=S67,"触发止损：应全部卖出","继续观察")))</f>
        <v/>
      </c>
      <c r="X67" s="28" t="n"/>
      <c r="Y67" s="43" t="n"/>
      <c r="Z67" s="26">
        <f>IF(X67&lt;&gt;"执行卖出","",IFERROR(LOOKUP(2,1/(单次交易!$A$2:$A$201=B67),单次交易!$AP$2:$AP$201),""))</f>
        <v/>
      </c>
      <c r="AA67" s="43" t="n"/>
      <c r="AB67" s="31">
        <f>IF(A67&lt;&gt;"每日跟踪","",IF(OR(B67="",H67="",I67="",J67="",K67="",L67="",M67=""),"待补充每日记录",IF(W67="触发止损：应全部卖出",IF(X67&lt;&gt;"执行卖出","违规：触发止损但未执行",IF(Y67="","待补充实际卖出价","卖出记录完整")),IF(X67="","待选择卖出动作",IF(X67="执行卖出",IF(Y67="","待补充实际卖出价","卖出记录完整"),"正常")))))</f>
        <v/>
      </c>
      <c r="AC67" s="31">
        <f>IF(A67="","",IF(A67="止损计划",IF(OR(B67="",D67="",E67="",F67="",G67=""),"计划不完整",IF(OR(D67&lt;1,D67&lt;&gt;INT(D67)),"阶段序号无效",IF(COUNTIFS($A$2:$A$501,"止损计划",$B$2:$B$501,B67,$D$2:$D$501,D67)&gt;1,"阶段序号重复",IF(E67&lt;=IFERROR(LOOKUP(2,1/('单次交易'!$A$2:$A$201=B67),'单次交易'!$E$2:$E$201),0),"激活价须高于买入价",IF(F67&lt;N67,"止损价不得低于初始止损",IF(F67&gt;E67,"止损价不得高于激活价",IF(AND(COUNTIFS($A$2:$A$501,"止损计划",$B$2:$B$501,B67,$D$2:$D$501,"&lt;"&amp;D67)&gt;0,OR(E67&lt;=AGGREGATE(14,6,$E$2:$E$501/(($A$2:$A$501="止损计划")*($B$2:$B$501=B67)*($D$2:$D$501&lt;D67)),1),F67&lt;AGGREGATE(14,6,$F$2:$F$501/(($A$2:$A$501="止损计划")*($B$2:$B$501=B67)*($D$2:$D$501&lt;D67)),1))),"阶段价格必须逐级提高","计划有效"))))))),IF(A67="每日跟踪",IF(OR(B67="",H67="",I67="",J67=""),"每日数据不完整",IF(COUNTIFS($A$2:$A$501,"每日跟踪",$B$2:$B$501,B67,$H$2:$H$501,H67)&gt;1,"同一交易日期重复",IF(AND(R67&lt;&gt;"",R67&lt;S67),"人工止损无效：不能下调","跟踪有效"))),"记录类型无效")))</f>
        <v/>
      </c>
    </row>
    <row r="68">
      <c r="A68" s="28" t="n"/>
      <c r="B68" s="28" t="n"/>
      <c r="C68" s="31">
        <f>IF(B68="","",IFERROR(LOOKUP(2,1/(单次交易!$A$2:$A$201=B68),单次交易!$B$2:$B$201),""))</f>
        <v/>
      </c>
      <c r="D68" s="27" t="n"/>
      <c r="E68" s="43" t="n"/>
      <c r="F68" s="43" t="n"/>
      <c r="G68" s="28" t="n"/>
      <c r="H68" s="49" t="n"/>
      <c r="I68" s="43" t="n"/>
      <c r="J68" s="27" t="n"/>
      <c r="K68" s="28" t="n"/>
      <c r="L68" s="28" t="n"/>
      <c r="M68" s="28" t="n"/>
      <c r="N68" s="44">
        <f>IF(B68="","",IFERROR(LOOKUP(2,1/(单次交易!$A$2:$A$201=B68),单次交易!$N$2:$N$201),""))</f>
        <v/>
      </c>
      <c r="O68" s="44">
        <f>IF(A68&lt;&gt;"每日跟踪","",IF(OR(B68="",H68="",I68=""),"",IFERROR(AGGREGATE(14,6,$I$2:$I$501/(($A$2:$A$501="每日跟踪")*($B$2:$B$501=B68)*($H$2:$H$501&lt;=H68)),1),"")))</f>
        <v/>
      </c>
      <c r="P68" s="26">
        <f>IF(A68&lt;&gt;"每日跟踪","",IF(O68="","",IFERROR(AGGREGATE(14,6,$D$2:$D$501/(($A$2:$A$501="止损计划")*($B$2:$B$501=B68)*($E$2:$E$501&lt;=O68)),1),0)))</f>
        <v/>
      </c>
      <c r="Q68" s="44">
        <f>IF(A68&lt;&gt;"每日跟踪","",IF(N68="","",MAX(N68,IFERROR(AGGREGATE(14,6,$F$2:$F$501/(($A$2:$A$501="止损计划")*($B$2:$B$501=B68)*($E$2:$E$501&lt;=O68)),1),0))))</f>
        <v/>
      </c>
      <c r="R68" s="43" t="n"/>
      <c r="S68" s="44">
        <f>IF(A68&lt;&gt;"每日跟踪","",IF(Q68="","",MAX(Q68,IFERROR(AGGREGATE(14,6,$R$2:$R$501/(($A$2:$A$501="每日跟踪")*($B$2:$B$501=B68)*($H$2:$H$501&lt;=H68)),1),0))))</f>
        <v/>
      </c>
      <c r="T68" s="44">
        <f>IF(A68&lt;&gt;"每日跟踪","",IF(O68="","",IF(COUNTIFS($A$2:$A$501,"止损计划",$B$2:$B$501,B68,$E$2:$E$501,"&gt;"&amp;O68)=0,"",AGGREGATE(15,6,$E$2:$E$501/(($A$2:$A$501="止损计划")*($B$2:$B$501=B68)*($E$2:$E$501&gt;O68)),1))))</f>
        <v/>
      </c>
      <c r="U68" s="44">
        <f>IF(OR(A68&lt;&gt;"每日跟踪",T68=""),"",IFERROR(AGGREGATE(14,6,$F$2:$F$501/(($A$2:$A$501="止损计划")*($B$2:$B$501=B68)*($E$2:$E$501=T68)),1),""))</f>
        <v/>
      </c>
      <c r="V68" s="30">
        <f>IF(OR(A68&lt;&gt;"每日跟踪",T68="",I68="",I68&lt;=0),"",T68/I68-1)</f>
        <v/>
      </c>
      <c r="W68" s="31">
        <f>IF(A68&lt;&gt;"每日跟踪","",IF(OR(I68="",S68=""),"",IF(I68&lt;=S68,"触发止损：应全部卖出","继续观察")))</f>
        <v/>
      </c>
      <c r="X68" s="28" t="n"/>
      <c r="Y68" s="43" t="n"/>
      <c r="Z68" s="26">
        <f>IF(X68&lt;&gt;"执行卖出","",IFERROR(LOOKUP(2,1/(单次交易!$A$2:$A$201=B68),单次交易!$AP$2:$AP$201),""))</f>
        <v/>
      </c>
      <c r="AA68" s="43" t="n"/>
      <c r="AB68" s="31">
        <f>IF(A68&lt;&gt;"每日跟踪","",IF(OR(B68="",H68="",I68="",J68="",K68="",L68="",M68=""),"待补充每日记录",IF(W68="触发止损：应全部卖出",IF(X68&lt;&gt;"执行卖出","违规：触发止损但未执行",IF(Y68="","待补充实际卖出价","卖出记录完整")),IF(X68="","待选择卖出动作",IF(X68="执行卖出",IF(Y68="","待补充实际卖出价","卖出记录完整"),"正常")))))</f>
        <v/>
      </c>
      <c r="AC68" s="31">
        <f>IF(A68="","",IF(A68="止损计划",IF(OR(B68="",D68="",E68="",F68="",G68=""),"计划不完整",IF(OR(D68&lt;1,D68&lt;&gt;INT(D68)),"阶段序号无效",IF(COUNTIFS($A$2:$A$501,"止损计划",$B$2:$B$501,B68,$D$2:$D$501,D68)&gt;1,"阶段序号重复",IF(E68&lt;=IFERROR(LOOKUP(2,1/('单次交易'!$A$2:$A$201=B68),'单次交易'!$E$2:$E$201),0),"激活价须高于买入价",IF(F68&lt;N68,"止损价不得低于初始止损",IF(F68&gt;E68,"止损价不得高于激活价",IF(AND(COUNTIFS($A$2:$A$501,"止损计划",$B$2:$B$501,B68,$D$2:$D$501,"&lt;"&amp;D68)&gt;0,OR(E68&lt;=AGGREGATE(14,6,$E$2:$E$501/(($A$2:$A$501="止损计划")*($B$2:$B$501=B68)*($D$2:$D$501&lt;D68)),1),F68&lt;AGGREGATE(14,6,$F$2:$F$501/(($A$2:$A$501="止损计划")*($B$2:$B$501=B68)*($D$2:$D$501&lt;D68)),1))),"阶段价格必须逐级提高","计划有效"))))))),IF(A68="每日跟踪",IF(OR(B68="",H68="",I68="",J68=""),"每日数据不完整",IF(COUNTIFS($A$2:$A$501,"每日跟踪",$B$2:$B$501,B68,$H$2:$H$501,H68)&gt;1,"同一交易日期重复",IF(AND(R68&lt;&gt;"",R68&lt;S68),"人工止损无效：不能下调","跟踪有效"))),"记录类型无效")))</f>
        <v/>
      </c>
    </row>
    <row r="69">
      <c r="A69" s="28" t="n"/>
      <c r="B69" s="28" t="n"/>
      <c r="C69" s="31">
        <f>IF(B69="","",IFERROR(LOOKUP(2,1/(单次交易!$A$2:$A$201=B69),单次交易!$B$2:$B$201),""))</f>
        <v/>
      </c>
      <c r="D69" s="27" t="n"/>
      <c r="E69" s="43" t="n"/>
      <c r="F69" s="43" t="n"/>
      <c r="G69" s="28" t="n"/>
      <c r="H69" s="49" t="n"/>
      <c r="I69" s="43" t="n"/>
      <c r="J69" s="27" t="n"/>
      <c r="K69" s="28" t="n"/>
      <c r="L69" s="28" t="n"/>
      <c r="M69" s="28" t="n"/>
      <c r="N69" s="44">
        <f>IF(B69="","",IFERROR(LOOKUP(2,1/(单次交易!$A$2:$A$201=B69),单次交易!$N$2:$N$201),""))</f>
        <v/>
      </c>
      <c r="O69" s="44">
        <f>IF(A69&lt;&gt;"每日跟踪","",IF(OR(B69="",H69="",I69=""),"",IFERROR(AGGREGATE(14,6,$I$2:$I$501/(($A$2:$A$501="每日跟踪")*($B$2:$B$501=B69)*($H$2:$H$501&lt;=H69)),1),"")))</f>
        <v/>
      </c>
      <c r="P69" s="26">
        <f>IF(A69&lt;&gt;"每日跟踪","",IF(O69="","",IFERROR(AGGREGATE(14,6,$D$2:$D$501/(($A$2:$A$501="止损计划")*($B$2:$B$501=B69)*($E$2:$E$501&lt;=O69)),1),0)))</f>
        <v/>
      </c>
      <c r="Q69" s="44">
        <f>IF(A69&lt;&gt;"每日跟踪","",IF(N69="","",MAX(N69,IFERROR(AGGREGATE(14,6,$F$2:$F$501/(($A$2:$A$501="止损计划")*($B$2:$B$501=B69)*($E$2:$E$501&lt;=O69)),1),0))))</f>
        <v/>
      </c>
      <c r="R69" s="43" t="n"/>
      <c r="S69" s="44">
        <f>IF(A69&lt;&gt;"每日跟踪","",IF(Q69="","",MAX(Q69,IFERROR(AGGREGATE(14,6,$R$2:$R$501/(($A$2:$A$501="每日跟踪")*($B$2:$B$501=B69)*($H$2:$H$501&lt;=H69)),1),0))))</f>
        <v/>
      </c>
      <c r="T69" s="44">
        <f>IF(A69&lt;&gt;"每日跟踪","",IF(O69="","",IF(COUNTIFS($A$2:$A$501,"止损计划",$B$2:$B$501,B69,$E$2:$E$501,"&gt;"&amp;O69)=0,"",AGGREGATE(15,6,$E$2:$E$501/(($A$2:$A$501="止损计划")*($B$2:$B$501=B69)*($E$2:$E$501&gt;O69)),1))))</f>
        <v/>
      </c>
      <c r="U69" s="44">
        <f>IF(OR(A69&lt;&gt;"每日跟踪",T69=""),"",IFERROR(AGGREGATE(14,6,$F$2:$F$501/(($A$2:$A$501="止损计划")*($B$2:$B$501=B69)*($E$2:$E$501=T69)),1),""))</f>
        <v/>
      </c>
      <c r="V69" s="30">
        <f>IF(OR(A69&lt;&gt;"每日跟踪",T69="",I69="",I69&lt;=0),"",T69/I69-1)</f>
        <v/>
      </c>
      <c r="W69" s="31">
        <f>IF(A69&lt;&gt;"每日跟踪","",IF(OR(I69="",S69=""),"",IF(I69&lt;=S69,"触发止损：应全部卖出","继续观察")))</f>
        <v/>
      </c>
      <c r="X69" s="28" t="n"/>
      <c r="Y69" s="43" t="n"/>
      <c r="Z69" s="26">
        <f>IF(X69&lt;&gt;"执行卖出","",IFERROR(LOOKUP(2,1/(单次交易!$A$2:$A$201=B69),单次交易!$AP$2:$AP$201),""))</f>
        <v/>
      </c>
      <c r="AA69" s="43" t="n"/>
      <c r="AB69" s="31">
        <f>IF(A69&lt;&gt;"每日跟踪","",IF(OR(B69="",H69="",I69="",J69="",K69="",L69="",M69=""),"待补充每日记录",IF(W69="触发止损：应全部卖出",IF(X69&lt;&gt;"执行卖出","违规：触发止损但未执行",IF(Y69="","待补充实际卖出价","卖出记录完整")),IF(X69="","待选择卖出动作",IF(X69="执行卖出",IF(Y69="","待补充实际卖出价","卖出记录完整"),"正常")))))</f>
        <v/>
      </c>
      <c r="AC69" s="31">
        <f>IF(A69="","",IF(A69="止损计划",IF(OR(B69="",D69="",E69="",F69="",G69=""),"计划不完整",IF(OR(D69&lt;1,D69&lt;&gt;INT(D69)),"阶段序号无效",IF(COUNTIFS($A$2:$A$501,"止损计划",$B$2:$B$501,B69,$D$2:$D$501,D69)&gt;1,"阶段序号重复",IF(E69&lt;=IFERROR(LOOKUP(2,1/('单次交易'!$A$2:$A$201=B69),'单次交易'!$E$2:$E$201),0),"激活价须高于买入价",IF(F69&lt;N69,"止损价不得低于初始止损",IF(F69&gt;E69,"止损价不得高于激活价",IF(AND(COUNTIFS($A$2:$A$501,"止损计划",$B$2:$B$501,B69,$D$2:$D$501,"&lt;"&amp;D69)&gt;0,OR(E69&lt;=AGGREGATE(14,6,$E$2:$E$501/(($A$2:$A$501="止损计划")*($B$2:$B$501=B69)*($D$2:$D$501&lt;D69)),1),F69&lt;AGGREGATE(14,6,$F$2:$F$501/(($A$2:$A$501="止损计划")*($B$2:$B$501=B69)*($D$2:$D$501&lt;D69)),1))),"阶段价格必须逐级提高","计划有效"))))))),IF(A69="每日跟踪",IF(OR(B69="",H69="",I69="",J69=""),"每日数据不完整",IF(COUNTIFS($A$2:$A$501,"每日跟踪",$B$2:$B$501,B69,$H$2:$H$501,H69)&gt;1,"同一交易日期重复",IF(AND(R69&lt;&gt;"",R69&lt;S69),"人工止损无效：不能下调","跟踪有效"))),"记录类型无效")))</f>
        <v/>
      </c>
    </row>
    <row r="70">
      <c r="A70" s="28" t="n"/>
      <c r="B70" s="28" t="n"/>
      <c r="C70" s="31">
        <f>IF(B70="","",IFERROR(LOOKUP(2,1/(单次交易!$A$2:$A$201=B70),单次交易!$B$2:$B$201),""))</f>
        <v/>
      </c>
      <c r="D70" s="27" t="n"/>
      <c r="E70" s="43" t="n"/>
      <c r="F70" s="43" t="n"/>
      <c r="G70" s="28" t="n"/>
      <c r="H70" s="49" t="n"/>
      <c r="I70" s="43" t="n"/>
      <c r="J70" s="27" t="n"/>
      <c r="K70" s="28" t="n"/>
      <c r="L70" s="28" t="n"/>
      <c r="M70" s="28" t="n"/>
      <c r="N70" s="44">
        <f>IF(B70="","",IFERROR(LOOKUP(2,1/(单次交易!$A$2:$A$201=B70),单次交易!$N$2:$N$201),""))</f>
        <v/>
      </c>
      <c r="O70" s="44">
        <f>IF(A70&lt;&gt;"每日跟踪","",IF(OR(B70="",H70="",I70=""),"",IFERROR(AGGREGATE(14,6,$I$2:$I$501/(($A$2:$A$501="每日跟踪")*($B$2:$B$501=B70)*($H$2:$H$501&lt;=H70)),1),"")))</f>
        <v/>
      </c>
      <c r="P70" s="26">
        <f>IF(A70&lt;&gt;"每日跟踪","",IF(O70="","",IFERROR(AGGREGATE(14,6,$D$2:$D$501/(($A$2:$A$501="止损计划")*($B$2:$B$501=B70)*($E$2:$E$501&lt;=O70)),1),0)))</f>
        <v/>
      </c>
      <c r="Q70" s="44">
        <f>IF(A70&lt;&gt;"每日跟踪","",IF(N70="","",MAX(N70,IFERROR(AGGREGATE(14,6,$F$2:$F$501/(($A$2:$A$501="止损计划")*($B$2:$B$501=B70)*($E$2:$E$501&lt;=O70)),1),0))))</f>
        <v/>
      </c>
      <c r="R70" s="43" t="n"/>
      <c r="S70" s="44">
        <f>IF(A70&lt;&gt;"每日跟踪","",IF(Q70="","",MAX(Q70,IFERROR(AGGREGATE(14,6,$R$2:$R$501/(($A$2:$A$501="每日跟踪")*($B$2:$B$501=B70)*($H$2:$H$501&lt;=H70)),1),0))))</f>
        <v/>
      </c>
      <c r="T70" s="44">
        <f>IF(A70&lt;&gt;"每日跟踪","",IF(O70="","",IF(COUNTIFS($A$2:$A$501,"止损计划",$B$2:$B$501,B70,$E$2:$E$501,"&gt;"&amp;O70)=0,"",AGGREGATE(15,6,$E$2:$E$501/(($A$2:$A$501="止损计划")*($B$2:$B$501=B70)*($E$2:$E$501&gt;O70)),1))))</f>
        <v/>
      </c>
      <c r="U70" s="44">
        <f>IF(OR(A70&lt;&gt;"每日跟踪",T70=""),"",IFERROR(AGGREGATE(14,6,$F$2:$F$501/(($A$2:$A$501="止损计划")*($B$2:$B$501=B70)*($E$2:$E$501=T70)),1),""))</f>
        <v/>
      </c>
      <c r="V70" s="30">
        <f>IF(OR(A70&lt;&gt;"每日跟踪",T70="",I70="",I70&lt;=0),"",T70/I70-1)</f>
        <v/>
      </c>
      <c r="W70" s="31">
        <f>IF(A70&lt;&gt;"每日跟踪","",IF(OR(I70="",S70=""),"",IF(I70&lt;=S70,"触发止损：应全部卖出","继续观察")))</f>
        <v/>
      </c>
      <c r="X70" s="28" t="n"/>
      <c r="Y70" s="43" t="n"/>
      <c r="Z70" s="26">
        <f>IF(X70&lt;&gt;"执行卖出","",IFERROR(LOOKUP(2,1/(单次交易!$A$2:$A$201=B70),单次交易!$AP$2:$AP$201),""))</f>
        <v/>
      </c>
      <c r="AA70" s="43" t="n"/>
      <c r="AB70" s="31">
        <f>IF(A70&lt;&gt;"每日跟踪","",IF(OR(B70="",H70="",I70="",J70="",K70="",L70="",M70=""),"待补充每日记录",IF(W70="触发止损：应全部卖出",IF(X70&lt;&gt;"执行卖出","违规：触发止损但未执行",IF(Y70="","待补充实际卖出价","卖出记录完整")),IF(X70="","待选择卖出动作",IF(X70="执行卖出",IF(Y70="","待补充实际卖出价","卖出记录完整"),"正常")))))</f>
        <v/>
      </c>
      <c r="AC70" s="31">
        <f>IF(A70="","",IF(A70="止损计划",IF(OR(B70="",D70="",E70="",F70="",G70=""),"计划不完整",IF(OR(D70&lt;1,D70&lt;&gt;INT(D70)),"阶段序号无效",IF(COUNTIFS($A$2:$A$501,"止损计划",$B$2:$B$501,B70,$D$2:$D$501,D70)&gt;1,"阶段序号重复",IF(E70&lt;=IFERROR(LOOKUP(2,1/('单次交易'!$A$2:$A$201=B70),'单次交易'!$E$2:$E$201),0),"激活价须高于买入价",IF(F70&lt;N70,"止损价不得低于初始止损",IF(F70&gt;E70,"止损价不得高于激活价",IF(AND(COUNTIFS($A$2:$A$501,"止损计划",$B$2:$B$501,B70,$D$2:$D$501,"&lt;"&amp;D70)&gt;0,OR(E70&lt;=AGGREGATE(14,6,$E$2:$E$501/(($A$2:$A$501="止损计划")*($B$2:$B$501=B70)*($D$2:$D$501&lt;D70)),1),F70&lt;AGGREGATE(14,6,$F$2:$F$501/(($A$2:$A$501="止损计划")*($B$2:$B$501=B70)*($D$2:$D$501&lt;D70)),1))),"阶段价格必须逐级提高","计划有效"))))))),IF(A70="每日跟踪",IF(OR(B70="",H70="",I70="",J70=""),"每日数据不完整",IF(COUNTIFS($A$2:$A$501,"每日跟踪",$B$2:$B$501,B70,$H$2:$H$501,H70)&gt;1,"同一交易日期重复",IF(AND(R70&lt;&gt;"",R70&lt;S70),"人工止损无效：不能下调","跟踪有效"))),"记录类型无效")))</f>
        <v/>
      </c>
    </row>
    <row r="71">
      <c r="A71" s="28" t="n"/>
      <c r="B71" s="28" t="n"/>
      <c r="C71" s="31">
        <f>IF(B71="","",IFERROR(LOOKUP(2,1/(单次交易!$A$2:$A$201=B71),单次交易!$B$2:$B$201),""))</f>
        <v/>
      </c>
      <c r="D71" s="27" t="n"/>
      <c r="E71" s="43" t="n"/>
      <c r="F71" s="43" t="n"/>
      <c r="G71" s="28" t="n"/>
      <c r="H71" s="49" t="n"/>
      <c r="I71" s="43" t="n"/>
      <c r="J71" s="27" t="n"/>
      <c r="K71" s="28" t="n"/>
      <c r="L71" s="28" t="n"/>
      <c r="M71" s="28" t="n"/>
      <c r="N71" s="44">
        <f>IF(B71="","",IFERROR(LOOKUP(2,1/(单次交易!$A$2:$A$201=B71),单次交易!$N$2:$N$201),""))</f>
        <v/>
      </c>
      <c r="O71" s="44">
        <f>IF(A71&lt;&gt;"每日跟踪","",IF(OR(B71="",H71="",I71=""),"",IFERROR(AGGREGATE(14,6,$I$2:$I$501/(($A$2:$A$501="每日跟踪")*($B$2:$B$501=B71)*($H$2:$H$501&lt;=H71)),1),"")))</f>
        <v/>
      </c>
      <c r="P71" s="26">
        <f>IF(A71&lt;&gt;"每日跟踪","",IF(O71="","",IFERROR(AGGREGATE(14,6,$D$2:$D$501/(($A$2:$A$501="止损计划")*($B$2:$B$501=B71)*($E$2:$E$501&lt;=O71)),1),0)))</f>
        <v/>
      </c>
      <c r="Q71" s="44">
        <f>IF(A71&lt;&gt;"每日跟踪","",IF(N71="","",MAX(N71,IFERROR(AGGREGATE(14,6,$F$2:$F$501/(($A$2:$A$501="止损计划")*($B$2:$B$501=B71)*($E$2:$E$501&lt;=O71)),1),0))))</f>
        <v/>
      </c>
      <c r="R71" s="43" t="n"/>
      <c r="S71" s="44">
        <f>IF(A71&lt;&gt;"每日跟踪","",IF(Q71="","",MAX(Q71,IFERROR(AGGREGATE(14,6,$R$2:$R$501/(($A$2:$A$501="每日跟踪")*($B$2:$B$501=B71)*($H$2:$H$501&lt;=H71)),1),0))))</f>
        <v/>
      </c>
      <c r="T71" s="44">
        <f>IF(A71&lt;&gt;"每日跟踪","",IF(O71="","",IF(COUNTIFS($A$2:$A$501,"止损计划",$B$2:$B$501,B71,$E$2:$E$501,"&gt;"&amp;O71)=0,"",AGGREGATE(15,6,$E$2:$E$501/(($A$2:$A$501="止损计划")*($B$2:$B$501=B71)*($E$2:$E$501&gt;O71)),1))))</f>
        <v/>
      </c>
      <c r="U71" s="44">
        <f>IF(OR(A71&lt;&gt;"每日跟踪",T71=""),"",IFERROR(AGGREGATE(14,6,$F$2:$F$501/(($A$2:$A$501="止损计划")*($B$2:$B$501=B71)*($E$2:$E$501=T71)),1),""))</f>
        <v/>
      </c>
      <c r="V71" s="30">
        <f>IF(OR(A71&lt;&gt;"每日跟踪",T71="",I71="",I71&lt;=0),"",T71/I71-1)</f>
        <v/>
      </c>
      <c r="W71" s="31">
        <f>IF(A71&lt;&gt;"每日跟踪","",IF(OR(I71="",S71=""),"",IF(I71&lt;=S71,"触发止损：应全部卖出","继续观察")))</f>
        <v/>
      </c>
      <c r="X71" s="28" t="n"/>
      <c r="Y71" s="43" t="n"/>
      <c r="Z71" s="26">
        <f>IF(X71&lt;&gt;"执行卖出","",IFERROR(LOOKUP(2,1/(单次交易!$A$2:$A$201=B71),单次交易!$AP$2:$AP$201),""))</f>
        <v/>
      </c>
      <c r="AA71" s="43" t="n"/>
      <c r="AB71" s="31">
        <f>IF(A71&lt;&gt;"每日跟踪","",IF(OR(B71="",H71="",I71="",J71="",K71="",L71="",M71=""),"待补充每日记录",IF(W71="触发止损：应全部卖出",IF(X71&lt;&gt;"执行卖出","违规：触发止损但未执行",IF(Y71="","待补充实际卖出价","卖出记录完整")),IF(X71="","待选择卖出动作",IF(X71="执行卖出",IF(Y71="","待补充实际卖出价","卖出记录完整"),"正常")))))</f>
        <v/>
      </c>
      <c r="AC71" s="31">
        <f>IF(A71="","",IF(A71="止损计划",IF(OR(B71="",D71="",E71="",F71="",G71=""),"计划不完整",IF(OR(D71&lt;1,D71&lt;&gt;INT(D71)),"阶段序号无效",IF(COUNTIFS($A$2:$A$501,"止损计划",$B$2:$B$501,B71,$D$2:$D$501,D71)&gt;1,"阶段序号重复",IF(E71&lt;=IFERROR(LOOKUP(2,1/('单次交易'!$A$2:$A$201=B71),'单次交易'!$E$2:$E$201),0),"激活价须高于买入价",IF(F71&lt;N71,"止损价不得低于初始止损",IF(F71&gt;E71,"止损价不得高于激活价",IF(AND(COUNTIFS($A$2:$A$501,"止损计划",$B$2:$B$501,B71,$D$2:$D$501,"&lt;"&amp;D71)&gt;0,OR(E71&lt;=AGGREGATE(14,6,$E$2:$E$501/(($A$2:$A$501="止损计划")*($B$2:$B$501=B71)*($D$2:$D$501&lt;D71)),1),F71&lt;AGGREGATE(14,6,$F$2:$F$501/(($A$2:$A$501="止损计划")*($B$2:$B$501=B71)*($D$2:$D$501&lt;D71)),1))),"阶段价格必须逐级提高","计划有效"))))))),IF(A71="每日跟踪",IF(OR(B71="",H71="",I71="",J71=""),"每日数据不完整",IF(COUNTIFS($A$2:$A$501,"每日跟踪",$B$2:$B$501,B71,$H$2:$H$501,H71)&gt;1,"同一交易日期重复",IF(AND(R71&lt;&gt;"",R71&lt;S71),"人工止损无效：不能下调","跟踪有效"))),"记录类型无效")))</f>
        <v/>
      </c>
    </row>
    <row r="72">
      <c r="A72" s="28" t="n"/>
      <c r="B72" s="28" t="n"/>
      <c r="C72" s="31">
        <f>IF(B72="","",IFERROR(LOOKUP(2,1/(单次交易!$A$2:$A$201=B72),单次交易!$B$2:$B$201),""))</f>
        <v/>
      </c>
      <c r="D72" s="27" t="n"/>
      <c r="E72" s="43" t="n"/>
      <c r="F72" s="43" t="n"/>
      <c r="G72" s="28" t="n"/>
      <c r="H72" s="49" t="n"/>
      <c r="I72" s="43" t="n"/>
      <c r="J72" s="27" t="n"/>
      <c r="K72" s="28" t="n"/>
      <c r="L72" s="28" t="n"/>
      <c r="M72" s="28" t="n"/>
      <c r="N72" s="44">
        <f>IF(B72="","",IFERROR(LOOKUP(2,1/(单次交易!$A$2:$A$201=B72),单次交易!$N$2:$N$201),""))</f>
        <v/>
      </c>
      <c r="O72" s="44">
        <f>IF(A72&lt;&gt;"每日跟踪","",IF(OR(B72="",H72="",I72=""),"",IFERROR(AGGREGATE(14,6,$I$2:$I$501/(($A$2:$A$501="每日跟踪")*($B$2:$B$501=B72)*($H$2:$H$501&lt;=H72)),1),"")))</f>
        <v/>
      </c>
      <c r="P72" s="26">
        <f>IF(A72&lt;&gt;"每日跟踪","",IF(O72="","",IFERROR(AGGREGATE(14,6,$D$2:$D$501/(($A$2:$A$501="止损计划")*($B$2:$B$501=B72)*($E$2:$E$501&lt;=O72)),1),0)))</f>
        <v/>
      </c>
      <c r="Q72" s="44">
        <f>IF(A72&lt;&gt;"每日跟踪","",IF(N72="","",MAX(N72,IFERROR(AGGREGATE(14,6,$F$2:$F$501/(($A$2:$A$501="止损计划")*($B$2:$B$501=B72)*($E$2:$E$501&lt;=O72)),1),0))))</f>
        <v/>
      </c>
      <c r="R72" s="43" t="n"/>
      <c r="S72" s="44">
        <f>IF(A72&lt;&gt;"每日跟踪","",IF(Q72="","",MAX(Q72,IFERROR(AGGREGATE(14,6,$R$2:$R$501/(($A$2:$A$501="每日跟踪")*($B$2:$B$501=B72)*($H$2:$H$501&lt;=H72)),1),0))))</f>
        <v/>
      </c>
      <c r="T72" s="44">
        <f>IF(A72&lt;&gt;"每日跟踪","",IF(O72="","",IF(COUNTIFS($A$2:$A$501,"止损计划",$B$2:$B$501,B72,$E$2:$E$501,"&gt;"&amp;O72)=0,"",AGGREGATE(15,6,$E$2:$E$501/(($A$2:$A$501="止损计划")*($B$2:$B$501=B72)*($E$2:$E$501&gt;O72)),1))))</f>
        <v/>
      </c>
      <c r="U72" s="44">
        <f>IF(OR(A72&lt;&gt;"每日跟踪",T72=""),"",IFERROR(AGGREGATE(14,6,$F$2:$F$501/(($A$2:$A$501="止损计划")*($B$2:$B$501=B72)*($E$2:$E$501=T72)),1),""))</f>
        <v/>
      </c>
      <c r="V72" s="30">
        <f>IF(OR(A72&lt;&gt;"每日跟踪",T72="",I72="",I72&lt;=0),"",T72/I72-1)</f>
        <v/>
      </c>
      <c r="W72" s="31">
        <f>IF(A72&lt;&gt;"每日跟踪","",IF(OR(I72="",S72=""),"",IF(I72&lt;=S72,"触发止损：应全部卖出","继续观察")))</f>
        <v/>
      </c>
      <c r="X72" s="28" t="n"/>
      <c r="Y72" s="43" t="n"/>
      <c r="Z72" s="26">
        <f>IF(X72&lt;&gt;"执行卖出","",IFERROR(LOOKUP(2,1/(单次交易!$A$2:$A$201=B72),单次交易!$AP$2:$AP$201),""))</f>
        <v/>
      </c>
      <c r="AA72" s="43" t="n"/>
      <c r="AB72" s="31">
        <f>IF(A72&lt;&gt;"每日跟踪","",IF(OR(B72="",H72="",I72="",J72="",K72="",L72="",M72=""),"待补充每日记录",IF(W72="触发止损：应全部卖出",IF(X72&lt;&gt;"执行卖出","违规：触发止损但未执行",IF(Y72="","待补充实际卖出价","卖出记录完整")),IF(X72="","待选择卖出动作",IF(X72="执行卖出",IF(Y72="","待补充实际卖出价","卖出记录完整"),"正常")))))</f>
        <v/>
      </c>
      <c r="AC72" s="31">
        <f>IF(A72="","",IF(A72="止损计划",IF(OR(B72="",D72="",E72="",F72="",G72=""),"计划不完整",IF(OR(D72&lt;1,D72&lt;&gt;INT(D72)),"阶段序号无效",IF(COUNTIFS($A$2:$A$501,"止损计划",$B$2:$B$501,B72,$D$2:$D$501,D72)&gt;1,"阶段序号重复",IF(E72&lt;=IFERROR(LOOKUP(2,1/('单次交易'!$A$2:$A$201=B72),'单次交易'!$E$2:$E$201),0),"激活价须高于买入价",IF(F72&lt;N72,"止损价不得低于初始止损",IF(F72&gt;E72,"止损价不得高于激活价",IF(AND(COUNTIFS($A$2:$A$501,"止损计划",$B$2:$B$501,B72,$D$2:$D$501,"&lt;"&amp;D72)&gt;0,OR(E72&lt;=AGGREGATE(14,6,$E$2:$E$501/(($A$2:$A$501="止损计划")*($B$2:$B$501=B72)*($D$2:$D$501&lt;D72)),1),F72&lt;AGGREGATE(14,6,$F$2:$F$501/(($A$2:$A$501="止损计划")*($B$2:$B$501=B72)*($D$2:$D$501&lt;D72)),1))),"阶段价格必须逐级提高","计划有效"))))))),IF(A72="每日跟踪",IF(OR(B72="",H72="",I72="",J72=""),"每日数据不完整",IF(COUNTIFS($A$2:$A$501,"每日跟踪",$B$2:$B$501,B72,$H$2:$H$501,H72)&gt;1,"同一交易日期重复",IF(AND(R72&lt;&gt;"",R72&lt;S72),"人工止损无效：不能下调","跟踪有效"))),"记录类型无效")))</f>
        <v/>
      </c>
    </row>
    <row r="73">
      <c r="A73" s="28" t="n"/>
      <c r="B73" s="28" t="n"/>
      <c r="C73" s="31">
        <f>IF(B73="","",IFERROR(LOOKUP(2,1/(单次交易!$A$2:$A$201=B73),单次交易!$B$2:$B$201),""))</f>
        <v/>
      </c>
      <c r="D73" s="27" t="n"/>
      <c r="E73" s="43" t="n"/>
      <c r="F73" s="43" t="n"/>
      <c r="G73" s="28" t="n"/>
      <c r="H73" s="49" t="n"/>
      <c r="I73" s="43" t="n"/>
      <c r="J73" s="27" t="n"/>
      <c r="K73" s="28" t="n"/>
      <c r="L73" s="28" t="n"/>
      <c r="M73" s="28" t="n"/>
      <c r="N73" s="44">
        <f>IF(B73="","",IFERROR(LOOKUP(2,1/(单次交易!$A$2:$A$201=B73),单次交易!$N$2:$N$201),""))</f>
        <v/>
      </c>
      <c r="O73" s="44">
        <f>IF(A73&lt;&gt;"每日跟踪","",IF(OR(B73="",H73="",I73=""),"",IFERROR(AGGREGATE(14,6,$I$2:$I$501/(($A$2:$A$501="每日跟踪")*($B$2:$B$501=B73)*($H$2:$H$501&lt;=H73)),1),"")))</f>
        <v/>
      </c>
      <c r="P73" s="26">
        <f>IF(A73&lt;&gt;"每日跟踪","",IF(O73="","",IFERROR(AGGREGATE(14,6,$D$2:$D$501/(($A$2:$A$501="止损计划")*($B$2:$B$501=B73)*($E$2:$E$501&lt;=O73)),1),0)))</f>
        <v/>
      </c>
      <c r="Q73" s="44">
        <f>IF(A73&lt;&gt;"每日跟踪","",IF(N73="","",MAX(N73,IFERROR(AGGREGATE(14,6,$F$2:$F$501/(($A$2:$A$501="止损计划")*($B$2:$B$501=B73)*($E$2:$E$501&lt;=O73)),1),0))))</f>
        <v/>
      </c>
      <c r="R73" s="43" t="n"/>
      <c r="S73" s="44">
        <f>IF(A73&lt;&gt;"每日跟踪","",IF(Q73="","",MAX(Q73,IFERROR(AGGREGATE(14,6,$R$2:$R$501/(($A$2:$A$501="每日跟踪")*($B$2:$B$501=B73)*($H$2:$H$501&lt;=H73)),1),0))))</f>
        <v/>
      </c>
      <c r="T73" s="44">
        <f>IF(A73&lt;&gt;"每日跟踪","",IF(O73="","",IF(COUNTIFS($A$2:$A$501,"止损计划",$B$2:$B$501,B73,$E$2:$E$501,"&gt;"&amp;O73)=0,"",AGGREGATE(15,6,$E$2:$E$501/(($A$2:$A$501="止损计划")*($B$2:$B$501=B73)*($E$2:$E$501&gt;O73)),1))))</f>
        <v/>
      </c>
      <c r="U73" s="44">
        <f>IF(OR(A73&lt;&gt;"每日跟踪",T73=""),"",IFERROR(AGGREGATE(14,6,$F$2:$F$501/(($A$2:$A$501="止损计划")*($B$2:$B$501=B73)*($E$2:$E$501=T73)),1),""))</f>
        <v/>
      </c>
      <c r="V73" s="30">
        <f>IF(OR(A73&lt;&gt;"每日跟踪",T73="",I73="",I73&lt;=0),"",T73/I73-1)</f>
        <v/>
      </c>
      <c r="W73" s="31">
        <f>IF(A73&lt;&gt;"每日跟踪","",IF(OR(I73="",S73=""),"",IF(I73&lt;=S73,"触发止损：应全部卖出","继续观察")))</f>
        <v/>
      </c>
      <c r="X73" s="28" t="n"/>
      <c r="Y73" s="43" t="n"/>
      <c r="Z73" s="26">
        <f>IF(X73&lt;&gt;"执行卖出","",IFERROR(LOOKUP(2,1/(单次交易!$A$2:$A$201=B73),单次交易!$AP$2:$AP$201),""))</f>
        <v/>
      </c>
      <c r="AA73" s="43" t="n"/>
      <c r="AB73" s="31">
        <f>IF(A73&lt;&gt;"每日跟踪","",IF(OR(B73="",H73="",I73="",J73="",K73="",L73="",M73=""),"待补充每日记录",IF(W73="触发止损：应全部卖出",IF(X73&lt;&gt;"执行卖出","违规：触发止损但未执行",IF(Y73="","待补充实际卖出价","卖出记录完整")),IF(X73="","待选择卖出动作",IF(X73="执行卖出",IF(Y73="","待补充实际卖出价","卖出记录完整"),"正常")))))</f>
        <v/>
      </c>
      <c r="AC73" s="31">
        <f>IF(A73="","",IF(A73="止损计划",IF(OR(B73="",D73="",E73="",F73="",G73=""),"计划不完整",IF(OR(D73&lt;1,D73&lt;&gt;INT(D73)),"阶段序号无效",IF(COUNTIFS($A$2:$A$501,"止损计划",$B$2:$B$501,B73,$D$2:$D$501,D73)&gt;1,"阶段序号重复",IF(E73&lt;=IFERROR(LOOKUP(2,1/('单次交易'!$A$2:$A$201=B73),'单次交易'!$E$2:$E$201),0),"激活价须高于买入价",IF(F73&lt;N73,"止损价不得低于初始止损",IF(F73&gt;E73,"止损价不得高于激活价",IF(AND(COUNTIFS($A$2:$A$501,"止损计划",$B$2:$B$501,B73,$D$2:$D$501,"&lt;"&amp;D73)&gt;0,OR(E73&lt;=AGGREGATE(14,6,$E$2:$E$501/(($A$2:$A$501="止损计划")*($B$2:$B$501=B73)*($D$2:$D$501&lt;D73)),1),F73&lt;AGGREGATE(14,6,$F$2:$F$501/(($A$2:$A$501="止损计划")*($B$2:$B$501=B73)*($D$2:$D$501&lt;D73)),1))),"阶段价格必须逐级提高","计划有效"))))))),IF(A73="每日跟踪",IF(OR(B73="",H73="",I73="",J73=""),"每日数据不完整",IF(COUNTIFS($A$2:$A$501,"每日跟踪",$B$2:$B$501,B73,$H$2:$H$501,H73)&gt;1,"同一交易日期重复",IF(AND(R73&lt;&gt;"",R73&lt;S73),"人工止损无效：不能下调","跟踪有效"))),"记录类型无效")))</f>
        <v/>
      </c>
    </row>
    <row r="74">
      <c r="A74" s="28" t="n"/>
      <c r="B74" s="28" t="n"/>
      <c r="C74" s="31">
        <f>IF(B74="","",IFERROR(LOOKUP(2,1/(单次交易!$A$2:$A$201=B74),单次交易!$B$2:$B$201),""))</f>
        <v/>
      </c>
      <c r="D74" s="27" t="n"/>
      <c r="E74" s="43" t="n"/>
      <c r="F74" s="43" t="n"/>
      <c r="G74" s="28" t="n"/>
      <c r="H74" s="49" t="n"/>
      <c r="I74" s="43" t="n"/>
      <c r="J74" s="27" t="n"/>
      <c r="K74" s="28" t="n"/>
      <c r="L74" s="28" t="n"/>
      <c r="M74" s="28" t="n"/>
      <c r="N74" s="44">
        <f>IF(B74="","",IFERROR(LOOKUP(2,1/(单次交易!$A$2:$A$201=B74),单次交易!$N$2:$N$201),""))</f>
        <v/>
      </c>
      <c r="O74" s="44">
        <f>IF(A74&lt;&gt;"每日跟踪","",IF(OR(B74="",H74="",I74=""),"",IFERROR(AGGREGATE(14,6,$I$2:$I$501/(($A$2:$A$501="每日跟踪")*($B$2:$B$501=B74)*($H$2:$H$501&lt;=H74)),1),"")))</f>
        <v/>
      </c>
      <c r="P74" s="26">
        <f>IF(A74&lt;&gt;"每日跟踪","",IF(O74="","",IFERROR(AGGREGATE(14,6,$D$2:$D$501/(($A$2:$A$501="止损计划")*($B$2:$B$501=B74)*($E$2:$E$501&lt;=O74)),1),0)))</f>
        <v/>
      </c>
      <c r="Q74" s="44">
        <f>IF(A74&lt;&gt;"每日跟踪","",IF(N74="","",MAX(N74,IFERROR(AGGREGATE(14,6,$F$2:$F$501/(($A$2:$A$501="止损计划")*($B$2:$B$501=B74)*($E$2:$E$501&lt;=O74)),1),0))))</f>
        <v/>
      </c>
      <c r="R74" s="43" t="n"/>
      <c r="S74" s="44">
        <f>IF(A74&lt;&gt;"每日跟踪","",IF(Q74="","",MAX(Q74,IFERROR(AGGREGATE(14,6,$R$2:$R$501/(($A$2:$A$501="每日跟踪")*($B$2:$B$501=B74)*($H$2:$H$501&lt;=H74)),1),0))))</f>
        <v/>
      </c>
      <c r="T74" s="44">
        <f>IF(A74&lt;&gt;"每日跟踪","",IF(O74="","",IF(COUNTIFS($A$2:$A$501,"止损计划",$B$2:$B$501,B74,$E$2:$E$501,"&gt;"&amp;O74)=0,"",AGGREGATE(15,6,$E$2:$E$501/(($A$2:$A$501="止损计划")*($B$2:$B$501=B74)*($E$2:$E$501&gt;O74)),1))))</f>
        <v/>
      </c>
      <c r="U74" s="44">
        <f>IF(OR(A74&lt;&gt;"每日跟踪",T74=""),"",IFERROR(AGGREGATE(14,6,$F$2:$F$501/(($A$2:$A$501="止损计划")*($B$2:$B$501=B74)*($E$2:$E$501=T74)),1),""))</f>
        <v/>
      </c>
      <c r="V74" s="30">
        <f>IF(OR(A74&lt;&gt;"每日跟踪",T74="",I74="",I74&lt;=0),"",T74/I74-1)</f>
        <v/>
      </c>
      <c r="W74" s="31">
        <f>IF(A74&lt;&gt;"每日跟踪","",IF(OR(I74="",S74=""),"",IF(I74&lt;=S74,"触发止损：应全部卖出","继续观察")))</f>
        <v/>
      </c>
      <c r="X74" s="28" t="n"/>
      <c r="Y74" s="43" t="n"/>
      <c r="Z74" s="26">
        <f>IF(X74&lt;&gt;"执行卖出","",IFERROR(LOOKUP(2,1/(单次交易!$A$2:$A$201=B74),单次交易!$AP$2:$AP$201),""))</f>
        <v/>
      </c>
      <c r="AA74" s="43" t="n"/>
      <c r="AB74" s="31">
        <f>IF(A74&lt;&gt;"每日跟踪","",IF(OR(B74="",H74="",I74="",J74="",K74="",L74="",M74=""),"待补充每日记录",IF(W74="触发止损：应全部卖出",IF(X74&lt;&gt;"执行卖出","违规：触发止损但未执行",IF(Y74="","待补充实际卖出价","卖出记录完整")),IF(X74="","待选择卖出动作",IF(X74="执行卖出",IF(Y74="","待补充实际卖出价","卖出记录完整"),"正常")))))</f>
        <v/>
      </c>
      <c r="AC74" s="31">
        <f>IF(A74="","",IF(A74="止损计划",IF(OR(B74="",D74="",E74="",F74="",G74=""),"计划不完整",IF(OR(D74&lt;1,D74&lt;&gt;INT(D74)),"阶段序号无效",IF(COUNTIFS($A$2:$A$501,"止损计划",$B$2:$B$501,B74,$D$2:$D$501,D74)&gt;1,"阶段序号重复",IF(E74&lt;=IFERROR(LOOKUP(2,1/('单次交易'!$A$2:$A$201=B74),'单次交易'!$E$2:$E$201),0),"激活价须高于买入价",IF(F74&lt;N74,"止损价不得低于初始止损",IF(F74&gt;E74,"止损价不得高于激活价",IF(AND(COUNTIFS($A$2:$A$501,"止损计划",$B$2:$B$501,B74,$D$2:$D$501,"&lt;"&amp;D74)&gt;0,OR(E74&lt;=AGGREGATE(14,6,$E$2:$E$501/(($A$2:$A$501="止损计划")*($B$2:$B$501=B74)*($D$2:$D$501&lt;D74)),1),F74&lt;AGGREGATE(14,6,$F$2:$F$501/(($A$2:$A$501="止损计划")*($B$2:$B$501=B74)*($D$2:$D$501&lt;D74)),1))),"阶段价格必须逐级提高","计划有效"))))))),IF(A74="每日跟踪",IF(OR(B74="",H74="",I74="",J74=""),"每日数据不完整",IF(COUNTIFS($A$2:$A$501,"每日跟踪",$B$2:$B$501,B74,$H$2:$H$501,H74)&gt;1,"同一交易日期重复",IF(AND(R74&lt;&gt;"",R74&lt;S74),"人工止损无效：不能下调","跟踪有效"))),"记录类型无效")))</f>
        <v/>
      </c>
    </row>
    <row r="75">
      <c r="A75" s="28" t="n"/>
      <c r="B75" s="28" t="n"/>
      <c r="C75" s="31">
        <f>IF(B75="","",IFERROR(LOOKUP(2,1/(单次交易!$A$2:$A$201=B75),单次交易!$B$2:$B$201),""))</f>
        <v/>
      </c>
      <c r="D75" s="27" t="n"/>
      <c r="E75" s="43" t="n"/>
      <c r="F75" s="43" t="n"/>
      <c r="G75" s="28" t="n"/>
      <c r="H75" s="49" t="n"/>
      <c r="I75" s="43" t="n"/>
      <c r="J75" s="27" t="n"/>
      <c r="K75" s="28" t="n"/>
      <c r="L75" s="28" t="n"/>
      <c r="M75" s="28" t="n"/>
      <c r="N75" s="44">
        <f>IF(B75="","",IFERROR(LOOKUP(2,1/(单次交易!$A$2:$A$201=B75),单次交易!$N$2:$N$201),""))</f>
        <v/>
      </c>
      <c r="O75" s="44">
        <f>IF(A75&lt;&gt;"每日跟踪","",IF(OR(B75="",H75="",I75=""),"",IFERROR(AGGREGATE(14,6,$I$2:$I$501/(($A$2:$A$501="每日跟踪")*($B$2:$B$501=B75)*($H$2:$H$501&lt;=H75)),1),"")))</f>
        <v/>
      </c>
      <c r="P75" s="26">
        <f>IF(A75&lt;&gt;"每日跟踪","",IF(O75="","",IFERROR(AGGREGATE(14,6,$D$2:$D$501/(($A$2:$A$501="止损计划")*($B$2:$B$501=B75)*($E$2:$E$501&lt;=O75)),1),0)))</f>
        <v/>
      </c>
      <c r="Q75" s="44">
        <f>IF(A75&lt;&gt;"每日跟踪","",IF(N75="","",MAX(N75,IFERROR(AGGREGATE(14,6,$F$2:$F$501/(($A$2:$A$501="止损计划")*($B$2:$B$501=B75)*($E$2:$E$501&lt;=O75)),1),0))))</f>
        <v/>
      </c>
      <c r="R75" s="43" t="n"/>
      <c r="S75" s="44">
        <f>IF(A75&lt;&gt;"每日跟踪","",IF(Q75="","",MAX(Q75,IFERROR(AGGREGATE(14,6,$R$2:$R$501/(($A$2:$A$501="每日跟踪")*($B$2:$B$501=B75)*($H$2:$H$501&lt;=H75)),1),0))))</f>
        <v/>
      </c>
      <c r="T75" s="44">
        <f>IF(A75&lt;&gt;"每日跟踪","",IF(O75="","",IF(COUNTIFS($A$2:$A$501,"止损计划",$B$2:$B$501,B75,$E$2:$E$501,"&gt;"&amp;O75)=0,"",AGGREGATE(15,6,$E$2:$E$501/(($A$2:$A$501="止损计划")*($B$2:$B$501=B75)*($E$2:$E$501&gt;O75)),1))))</f>
        <v/>
      </c>
      <c r="U75" s="44">
        <f>IF(OR(A75&lt;&gt;"每日跟踪",T75=""),"",IFERROR(AGGREGATE(14,6,$F$2:$F$501/(($A$2:$A$501="止损计划")*($B$2:$B$501=B75)*($E$2:$E$501=T75)),1),""))</f>
        <v/>
      </c>
      <c r="V75" s="30">
        <f>IF(OR(A75&lt;&gt;"每日跟踪",T75="",I75="",I75&lt;=0),"",T75/I75-1)</f>
        <v/>
      </c>
      <c r="W75" s="31">
        <f>IF(A75&lt;&gt;"每日跟踪","",IF(OR(I75="",S75=""),"",IF(I75&lt;=S75,"触发止损：应全部卖出","继续观察")))</f>
        <v/>
      </c>
      <c r="X75" s="28" t="n"/>
      <c r="Y75" s="43" t="n"/>
      <c r="Z75" s="26">
        <f>IF(X75&lt;&gt;"执行卖出","",IFERROR(LOOKUP(2,1/(单次交易!$A$2:$A$201=B75),单次交易!$AP$2:$AP$201),""))</f>
        <v/>
      </c>
      <c r="AA75" s="43" t="n"/>
      <c r="AB75" s="31">
        <f>IF(A75&lt;&gt;"每日跟踪","",IF(OR(B75="",H75="",I75="",J75="",K75="",L75="",M75=""),"待补充每日记录",IF(W75="触发止损：应全部卖出",IF(X75&lt;&gt;"执行卖出","违规：触发止损但未执行",IF(Y75="","待补充实际卖出价","卖出记录完整")),IF(X75="","待选择卖出动作",IF(X75="执行卖出",IF(Y75="","待补充实际卖出价","卖出记录完整"),"正常")))))</f>
        <v/>
      </c>
      <c r="AC75" s="31">
        <f>IF(A75="","",IF(A75="止损计划",IF(OR(B75="",D75="",E75="",F75="",G75=""),"计划不完整",IF(OR(D75&lt;1,D75&lt;&gt;INT(D75)),"阶段序号无效",IF(COUNTIFS($A$2:$A$501,"止损计划",$B$2:$B$501,B75,$D$2:$D$501,D75)&gt;1,"阶段序号重复",IF(E75&lt;=IFERROR(LOOKUP(2,1/('单次交易'!$A$2:$A$201=B75),'单次交易'!$E$2:$E$201),0),"激活价须高于买入价",IF(F75&lt;N75,"止损价不得低于初始止损",IF(F75&gt;E75,"止损价不得高于激活价",IF(AND(COUNTIFS($A$2:$A$501,"止损计划",$B$2:$B$501,B75,$D$2:$D$501,"&lt;"&amp;D75)&gt;0,OR(E75&lt;=AGGREGATE(14,6,$E$2:$E$501/(($A$2:$A$501="止损计划")*($B$2:$B$501=B75)*($D$2:$D$501&lt;D75)),1),F75&lt;AGGREGATE(14,6,$F$2:$F$501/(($A$2:$A$501="止损计划")*($B$2:$B$501=B75)*($D$2:$D$501&lt;D75)),1))),"阶段价格必须逐级提高","计划有效"))))))),IF(A75="每日跟踪",IF(OR(B75="",H75="",I75="",J75=""),"每日数据不完整",IF(COUNTIFS($A$2:$A$501,"每日跟踪",$B$2:$B$501,B75,$H$2:$H$501,H75)&gt;1,"同一交易日期重复",IF(AND(R75&lt;&gt;"",R75&lt;S75),"人工止损无效：不能下调","跟踪有效"))),"记录类型无效")))</f>
        <v/>
      </c>
    </row>
    <row r="76">
      <c r="A76" s="28" t="n"/>
      <c r="B76" s="28" t="n"/>
      <c r="C76" s="31">
        <f>IF(B76="","",IFERROR(LOOKUP(2,1/(单次交易!$A$2:$A$201=B76),单次交易!$B$2:$B$201),""))</f>
        <v/>
      </c>
      <c r="D76" s="27" t="n"/>
      <c r="E76" s="43" t="n"/>
      <c r="F76" s="43" t="n"/>
      <c r="G76" s="28" t="n"/>
      <c r="H76" s="49" t="n"/>
      <c r="I76" s="43" t="n"/>
      <c r="J76" s="27" t="n"/>
      <c r="K76" s="28" t="n"/>
      <c r="L76" s="28" t="n"/>
      <c r="M76" s="28" t="n"/>
      <c r="N76" s="44">
        <f>IF(B76="","",IFERROR(LOOKUP(2,1/(单次交易!$A$2:$A$201=B76),单次交易!$N$2:$N$201),""))</f>
        <v/>
      </c>
      <c r="O76" s="44">
        <f>IF(A76&lt;&gt;"每日跟踪","",IF(OR(B76="",H76="",I76=""),"",IFERROR(AGGREGATE(14,6,$I$2:$I$501/(($A$2:$A$501="每日跟踪")*($B$2:$B$501=B76)*($H$2:$H$501&lt;=H76)),1),"")))</f>
        <v/>
      </c>
      <c r="P76" s="26">
        <f>IF(A76&lt;&gt;"每日跟踪","",IF(O76="","",IFERROR(AGGREGATE(14,6,$D$2:$D$501/(($A$2:$A$501="止损计划")*($B$2:$B$501=B76)*($E$2:$E$501&lt;=O76)),1),0)))</f>
        <v/>
      </c>
      <c r="Q76" s="44">
        <f>IF(A76&lt;&gt;"每日跟踪","",IF(N76="","",MAX(N76,IFERROR(AGGREGATE(14,6,$F$2:$F$501/(($A$2:$A$501="止损计划")*($B$2:$B$501=B76)*($E$2:$E$501&lt;=O76)),1),0))))</f>
        <v/>
      </c>
      <c r="R76" s="43" t="n"/>
      <c r="S76" s="44">
        <f>IF(A76&lt;&gt;"每日跟踪","",IF(Q76="","",MAX(Q76,IFERROR(AGGREGATE(14,6,$R$2:$R$501/(($A$2:$A$501="每日跟踪")*($B$2:$B$501=B76)*($H$2:$H$501&lt;=H76)),1),0))))</f>
        <v/>
      </c>
      <c r="T76" s="44">
        <f>IF(A76&lt;&gt;"每日跟踪","",IF(O76="","",IF(COUNTIFS($A$2:$A$501,"止损计划",$B$2:$B$501,B76,$E$2:$E$501,"&gt;"&amp;O76)=0,"",AGGREGATE(15,6,$E$2:$E$501/(($A$2:$A$501="止损计划")*($B$2:$B$501=B76)*($E$2:$E$501&gt;O76)),1))))</f>
        <v/>
      </c>
      <c r="U76" s="44">
        <f>IF(OR(A76&lt;&gt;"每日跟踪",T76=""),"",IFERROR(AGGREGATE(14,6,$F$2:$F$501/(($A$2:$A$501="止损计划")*($B$2:$B$501=B76)*($E$2:$E$501=T76)),1),""))</f>
        <v/>
      </c>
      <c r="V76" s="30">
        <f>IF(OR(A76&lt;&gt;"每日跟踪",T76="",I76="",I76&lt;=0),"",T76/I76-1)</f>
        <v/>
      </c>
      <c r="W76" s="31">
        <f>IF(A76&lt;&gt;"每日跟踪","",IF(OR(I76="",S76=""),"",IF(I76&lt;=S76,"触发止损：应全部卖出","继续观察")))</f>
        <v/>
      </c>
      <c r="X76" s="28" t="n"/>
      <c r="Y76" s="43" t="n"/>
      <c r="Z76" s="26">
        <f>IF(X76&lt;&gt;"执行卖出","",IFERROR(LOOKUP(2,1/(单次交易!$A$2:$A$201=B76),单次交易!$AP$2:$AP$201),""))</f>
        <v/>
      </c>
      <c r="AA76" s="43" t="n"/>
      <c r="AB76" s="31">
        <f>IF(A76&lt;&gt;"每日跟踪","",IF(OR(B76="",H76="",I76="",J76="",K76="",L76="",M76=""),"待补充每日记录",IF(W76="触发止损：应全部卖出",IF(X76&lt;&gt;"执行卖出","违规：触发止损但未执行",IF(Y76="","待补充实际卖出价","卖出记录完整")),IF(X76="","待选择卖出动作",IF(X76="执行卖出",IF(Y76="","待补充实际卖出价","卖出记录完整"),"正常")))))</f>
        <v/>
      </c>
      <c r="AC76" s="31">
        <f>IF(A76="","",IF(A76="止损计划",IF(OR(B76="",D76="",E76="",F76="",G76=""),"计划不完整",IF(OR(D76&lt;1,D76&lt;&gt;INT(D76)),"阶段序号无效",IF(COUNTIFS($A$2:$A$501,"止损计划",$B$2:$B$501,B76,$D$2:$D$501,D76)&gt;1,"阶段序号重复",IF(E76&lt;=IFERROR(LOOKUP(2,1/('单次交易'!$A$2:$A$201=B76),'单次交易'!$E$2:$E$201),0),"激活价须高于买入价",IF(F76&lt;N76,"止损价不得低于初始止损",IF(F76&gt;E76,"止损价不得高于激活价",IF(AND(COUNTIFS($A$2:$A$501,"止损计划",$B$2:$B$501,B76,$D$2:$D$501,"&lt;"&amp;D76)&gt;0,OR(E76&lt;=AGGREGATE(14,6,$E$2:$E$501/(($A$2:$A$501="止损计划")*($B$2:$B$501=B76)*($D$2:$D$501&lt;D76)),1),F76&lt;AGGREGATE(14,6,$F$2:$F$501/(($A$2:$A$501="止损计划")*($B$2:$B$501=B76)*($D$2:$D$501&lt;D76)),1))),"阶段价格必须逐级提高","计划有效"))))))),IF(A76="每日跟踪",IF(OR(B76="",H76="",I76="",J76=""),"每日数据不完整",IF(COUNTIFS($A$2:$A$501,"每日跟踪",$B$2:$B$501,B76,$H$2:$H$501,H76)&gt;1,"同一交易日期重复",IF(AND(R76&lt;&gt;"",R76&lt;S76),"人工止损无效：不能下调","跟踪有效"))),"记录类型无效")))</f>
        <v/>
      </c>
    </row>
    <row r="77">
      <c r="A77" s="28" t="n"/>
      <c r="B77" s="28" t="n"/>
      <c r="C77" s="31">
        <f>IF(B77="","",IFERROR(LOOKUP(2,1/(单次交易!$A$2:$A$201=B77),单次交易!$B$2:$B$201),""))</f>
        <v/>
      </c>
      <c r="D77" s="27" t="n"/>
      <c r="E77" s="43" t="n"/>
      <c r="F77" s="43" t="n"/>
      <c r="G77" s="28" t="n"/>
      <c r="H77" s="49" t="n"/>
      <c r="I77" s="43" t="n"/>
      <c r="J77" s="27" t="n"/>
      <c r="K77" s="28" t="n"/>
      <c r="L77" s="28" t="n"/>
      <c r="M77" s="28" t="n"/>
      <c r="N77" s="44">
        <f>IF(B77="","",IFERROR(LOOKUP(2,1/(单次交易!$A$2:$A$201=B77),单次交易!$N$2:$N$201),""))</f>
        <v/>
      </c>
      <c r="O77" s="44">
        <f>IF(A77&lt;&gt;"每日跟踪","",IF(OR(B77="",H77="",I77=""),"",IFERROR(AGGREGATE(14,6,$I$2:$I$501/(($A$2:$A$501="每日跟踪")*($B$2:$B$501=B77)*($H$2:$H$501&lt;=H77)),1),"")))</f>
        <v/>
      </c>
      <c r="P77" s="26">
        <f>IF(A77&lt;&gt;"每日跟踪","",IF(O77="","",IFERROR(AGGREGATE(14,6,$D$2:$D$501/(($A$2:$A$501="止损计划")*($B$2:$B$501=B77)*($E$2:$E$501&lt;=O77)),1),0)))</f>
        <v/>
      </c>
      <c r="Q77" s="44">
        <f>IF(A77&lt;&gt;"每日跟踪","",IF(N77="","",MAX(N77,IFERROR(AGGREGATE(14,6,$F$2:$F$501/(($A$2:$A$501="止损计划")*($B$2:$B$501=B77)*($E$2:$E$501&lt;=O77)),1),0))))</f>
        <v/>
      </c>
      <c r="R77" s="43" t="n"/>
      <c r="S77" s="44">
        <f>IF(A77&lt;&gt;"每日跟踪","",IF(Q77="","",MAX(Q77,IFERROR(AGGREGATE(14,6,$R$2:$R$501/(($A$2:$A$501="每日跟踪")*($B$2:$B$501=B77)*($H$2:$H$501&lt;=H77)),1),0))))</f>
        <v/>
      </c>
      <c r="T77" s="44">
        <f>IF(A77&lt;&gt;"每日跟踪","",IF(O77="","",IF(COUNTIFS($A$2:$A$501,"止损计划",$B$2:$B$501,B77,$E$2:$E$501,"&gt;"&amp;O77)=0,"",AGGREGATE(15,6,$E$2:$E$501/(($A$2:$A$501="止损计划")*($B$2:$B$501=B77)*($E$2:$E$501&gt;O77)),1))))</f>
        <v/>
      </c>
      <c r="U77" s="44">
        <f>IF(OR(A77&lt;&gt;"每日跟踪",T77=""),"",IFERROR(AGGREGATE(14,6,$F$2:$F$501/(($A$2:$A$501="止损计划")*($B$2:$B$501=B77)*($E$2:$E$501=T77)),1),""))</f>
        <v/>
      </c>
      <c r="V77" s="30">
        <f>IF(OR(A77&lt;&gt;"每日跟踪",T77="",I77="",I77&lt;=0),"",T77/I77-1)</f>
        <v/>
      </c>
      <c r="W77" s="31">
        <f>IF(A77&lt;&gt;"每日跟踪","",IF(OR(I77="",S77=""),"",IF(I77&lt;=S77,"触发止损：应全部卖出","继续观察")))</f>
        <v/>
      </c>
      <c r="X77" s="28" t="n"/>
      <c r="Y77" s="43" t="n"/>
      <c r="Z77" s="26">
        <f>IF(X77&lt;&gt;"执行卖出","",IFERROR(LOOKUP(2,1/(单次交易!$A$2:$A$201=B77),单次交易!$AP$2:$AP$201),""))</f>
        <v/>
      </c>
      <c r="AA77" s="43" t="n"/>
      <c r="AB77" s="31">
        <f>IF(A77&lt;&gt;"每日跟踪","",IF(OR(B77="",H77="",I77="",J77="",K77="",L77="",M77=""),"待补充每日记录",IF(W77="触发止损：应全部卖出",IF(X77&lt;&gt;"执行卖出","违规：触发止损但未执行",IF(Y77="","待补充实际卖出价","卖出记录完整")),IF(X77="","待选择卖出动作",IF(X77="执行卖出",IF(Y77="","待补充实际卖出价","卖出记录完整"),"正常")))))</f>
        <v/>
      </c>
      <c r="AC77" s="31">
        <f>IF(A77="","",IF(A77="止损计划",IF(OR(B77="",D77="",E77="",F77="",G77=""),"计划不完整",IF(OR(D77&lt;1,D77&lt;&gt;INT(D77)),"阶段序号无效",IF(COUNTIFS($A$2:$A$501,"止损计划",$B$2:$B$501,B77,$D$2:$D$501,D77)&gt;1,"阶段序号重复",IF(E77&lt;=IFERROR(LOOKUP(2,1/('单次交易'!$A$2:$A$201=B77),'单次交易'!$E$2:$E$201),0),"激活价须高于买入价",IF(F77&lt;N77,"止损价不得低于初始止损",IF(F77&gt;E77,"止损价不得高于激活价",IF(AND(COUNTIFS($A$2:$A$501,"止损计划",$B$2:$B$501,B77,$D$2:$D$501,"&lt;"&amp;D77)&gt;0,OR(E77&lt;=AGGREGATE(14,6,$E$2:$E$501/(($A$2:$A$501="止损计划")*($B$2:$B$501=B77)*($D$2:$D$501&lt;D77)),1),F77&lt;AGGREGATE(14,6,$F$2:$F$501/(($A$2:$A$501="止损计划")*($B$2:$B$501=B77)*($D$2:$D$501&lt;D77)),1))),"阶段价格必须逐级提高","计划有效"))))))),IF(A77="每日跟踪",IF(OR(B77="",H77="",I77="",J77=""),"每日数据不完整",IF(COUNTIFS($A$2:$A$501,"每日跟踪",$B$2:$B$501,B77,$H$2:$H$501,H77)&gt;1,"同一交易日期重复",IF(AND(R77&lt;&gt;"",R77&lt;S77),"人工止损无效：不能下调","跟踪有效"))),"记录类型无效")))</f>
        <v/>
      </c>
    </row>
    <row r="78">
      <c r="A78" s="28" t="n"/>
      <c r="B78" s="28" t="n"/>
      <c r="C78" s="31">
        <f>IF(B78="","",IFERROR(LOOKUP(2,1/(单次交易!$A$2:$A$201=B78),单次交易!$B$2:$B$201),""))</f>
        <v/>
      </c>
      <c r="D78" s="27" t="n"/>
      <c r="E78" s="43" t="n"/>
      <c r="F78" s="43" t="n"/>
      <c r="G78" s="28" t="n"/>
      <c r="H78" s="49" t="n"/>
      <c r="I78" s="43" t="n"/>
      <c r="J78" s="27" t="n"/>
      <c r="K78" s="28" t="n"/>
      <c r="L78" s="28" t="n"/>
      <c r="M78" s="28" t="n"/>
      <c r="N78" s="44">
        <f>IF(B78="","",IFERROR(LOOKUP(2,1/(单次交易!$A$2:$A$201=B78),单次交易!$N$2:$N$201),""))</f>
        <v/>
      </c>
      <c r="O78" s="44">
        <f>IF(A78&lt;&gt;"每日跟踪","",IF(OR(B78="",H78="",I78=""),"",IFERROR(AGGREGATE(14,6,$I$2:$I$501/(($A$2:$A$501="每日跟踪")*($B$2:$B$501=B78)*($H$2:$H$501&lt;=H78)),1),"")))</f>
        <v/>
      </c>
      <c r="P78" s="26">
        <f>IF(A78&lt;&gt;"每日跟踪","",IF(O78="","",IFERROR(AGGREGATE(14,6,$D$2:$D$501/(($A$2:$A$501="止损计划")*($B$2:$B$501=B78)*($E$2:$E$501&lt;=O78)),1),0)))</f>
        <v/>
      </c>
      <c r="Q78" s="44">
        <f>IF(A78&lt;&gt;"每日跟踪","",IF(N78="","",MAX(N78,IFERROR(AGGREGATE(14,6,$F$2:$F$501/(($A$2:$A$501="止损计划")*($B$2:$B$501=B78)*($E$2:$E$501&lt;=O78)),1),0))))</f>
        <v/>
      </c>
      <c r="R78" s="43" t="n"/>
      <c r="S78" s="44">
        <f>IF(A78&lt;&gt;"每日跟踪","",IF(Q78="","",MAX(Q78,IFERROR(AGGREGATE(14,6,$R$2:$R$501/(($A$2:$A$501="每日跟踪")*($B$2:$B$501=B78)*($H$2:$H$501&lt;=H78)),1),0))))</f>
        <v/>
      </c>
      <c r="T78" s="44">
        <f>IF(A78&lt;&gt;"每日跟踪","",IF(O78="","",IF(COUNTIFS($A$2:$A$501,"止损计划",$B$2:$B$501,B78,$E$2:$E$501,"&gt;"&amp;O78)=0,"",AGGREGATE(15,6,$E$2:$E$501/(($A$2:$A$501="止损计划")*($B$2:$B$501=B78)*($E$2:$E$501&gt;O78)),1))))</f>
        <v/>
      </c>
      <c r="U78" s="44">
        <f>IF(OR(A78&lt;&gt;"每日跟踪",T78=""),"",IFERROR(AGGREGATE(14,6,$F$2:$F$501/(($A$2:$A$501="止损计划")*($B$2:$B$501=B78)*($E$2:$E$501=T78)),1),""))</f>
        <v/>
      </c>
      <c r="V78" s="30">
        <f>IF(OR(A78&lt;&gt;"每日跟踪",T78="",I78="",I78&lt;=0),"",T78/I78-1)</f>
        <v/>
      </c>
      <c r="W78" s="31">
        <f>IF(A78&lt;&gt;"每日跟踪","",IF(OR(I78="",S78=""),"",IF(I78&lt;=S78,"触发止损：应全部卖出","继续观察")))</f>
        <v/>
      </c>
      <c r="X78" s="28" t="n"/>
      <c r="Y78" s="43" t="n"/>
      <c r="Z78" s="26">
        <f>IF(X78&lt;&gt;"执行卖出","",IFERROR(LOOKUP(2,1/(单次交易!$A$2:$A$201=B78),单次交易!$AP$2:$AP$201),""))</f>
        <v/>
      </c>
      <c r="AA78" s="43" t="n"/>
      <c r="AB78" s="31">
        <f>IF(A78&lt;&gt;"每日跟踪","",IF(OR(B78="",H78="",I78="",J78="",K78="",L78="",M78=""),"待补充每日记录",IF(W78="触发止损：应全部卖出",IF(X78&lt;&gt;"执行卖出","违规：触发止损但未执行",IF(Y78="","待补充实际卖出价","卖出记录完整")),IF(X78="","待选择卖出动作",IF(X78="执行卖出",IF(Y78="","待补充实际卖出价","卖出记录完整"),"正常")))))</f>
        <v/>
      </c>
      <c r="AC78" s="31">
        <f>IF(A78="","",IF(A78="止损计划",IF(OR(B78="",D78="",E78="",F78="",G78=""),"计划不完整",IF(OR(D78&lt;1,D78&lt;&gt;INT(D78)),"阶段序号无效",IF(COUNTIFS($A$2:$A$501,"止损计划",$B$2:$B$501,B78,$D$2:$D$501,D78)&gt;1,"阶段序号重复",IF(E78&lt;=IFERROR(LOOKUP(2,1/('单次交易'!$A$2:$A$201=B78),'单次交易'!$E$2:$E$201),0),"激活价须高于买入价",IF(F78&lt;N78,"止损价不得低于初始止损",IF(F78&gt;E78,"止损价不得高于激活价",IF(AND(COUNTIFS($A$2:$A$501,"止损计划",$B$2:$B$501,B78,$D$2:$D$501,"&lt;"&amp;D78)&gt;0,OR(E78&lt;=AGGREGATE(14,6,$E$2:$E$501/(($A$2:$A$501="止损计划")*($B$2:$B$501=B78)*($D$2:$D$501&lt;D78)),1),F78&lt;AGGREGATE(14,6,$F$2:$F$501/(($A$2:$A$501="止损计划")*($B$2:$B$501=B78)*($D$2:$D$501&lt;D78)),1))),"阶段价格必须逐级提高","计划有效"))))))),IF(A78="每日跟踪",IF(OR(B78="",H78="",I78="",J78=""),"每日数据不完整",IF(COUNTIFS($A$2:$A$501,"每日跟踪",$B$2:$B$501,B78,$H$2:$H$501,H78)&gt;1,"同一交易日期重复",IF(AND(R78&lt;&gt;"",R78&lt;S78),"人工止损无效：不能下调","跟踪有效"))),"记录类型无效")))</f>
        <v/>
      </c>
    </row>
    <row r="79">
      <c r="A79" s="28" t="n"/>
      <c r="B79" s="28" t="n"/>
      <c r="C79" s="31">
        <f>IF(B79="","",IFERROR(LOOKUP(2,1/(单次交易!$A$2:$A$201=B79),单次交易!$B$2:$B$201),""))</f>
        <v/>
      </c>
      <c r="D79" s="27" t="n"/>
      <c r="E79" s="43" t="n"/>
      <c r="F79" s="43" t="n"/>
      <c r="G79" s="28" t="n"/>
      <c r="H79" s="49" t="n"/>
      <c r="I79" s="43" t="n"/>
      <c r="J79" s="27" t="n"/>
      <c r="K79" s="28" t="n"/>
      <c r="L79" s="28" t="n"/>
      <c r="M79" s="28" t="n"/>
      <c r="N79" s="44">
        <f>IF(B79="","",IFERROR(LOOKUP(2,1/(单次交易!$A$2:$A$201=B79),单次交易!$N$2:$N$201),""))</f>
        <v/>
      </c>
      <c r="O79" s="44">
        <f>IF(A79&lt;&gt;"每日跟踪","",IF(OR(B79="",H79="",I79=""),"",IFERROR(AGGREGATE(14,6,$I$2:$I$501/(($A$2:$A$501="每日跟踪")*($B$2:$B$501=B79)*($H$2:$H$501&lt;=H79)),1),"")))</f>
        <v/>
      </c>
      <c r="P79" s="26">
        <f>IF(A79&lt;&gt;"每日跟踪","",IF(O79="","",IFERROR(AGGREGATE(14,6,$D$2:$D$501/(($A$2:$A$501="止损计划")*($B$2:$B$501=B79)*($E$2:$E$501&lt;=O79)),1),0)))</f>
        <v/>
      </c>
      <c r="Q79" s="44">
        <f>IF(A79&lt;&gt;"每日跟踪","",IF(N79="","",MAX(N79,IFERROR(AGGREGATE(14,6,$F$2:$F$501/(($A$2:$A$501="止损计划")*($B$2:$B$501=B79)*($E$2:$E$501&lt;=O79)),1),0))))</f>
        <v/>
      </c>
      <c r="R79" s="43" t="n"/>
      <c r="S79" s="44">
        <f>IF(A79&lt;&gt;"每日跟踪","",IF(Q79="","",MAX(Q79,IFERROR(AGGREGATE(14,6,$R$2:$R$501/(($A$2:$A$501="每日跟踪")*($B$2:$B$501=B79)*($H$2:$H$501&lt;=H79)),1),0))))</f>
        <v/>
      </c>
      <c r="T79" s="44">
        <f>IF(A79&lt;&gt;"每日跟踪","",IF(O79="","",IF(COUNTIFS($A$2:$A$501,"止损计划",$B$2:$B$501,B79,$E$2:$E$501,"&gt;"&amp;O79)=0,"",AGGREGATE(15,6,$E$2:$E$501/(($A$2:$A$501="止损计划")*($B$2:$B$501=B79)*($E$2:$E$501&gt;O79)),1))))</f>
        <v/>
      </c>
      <c r="U79" s="44">
        <f>IF(OR(A79&lt;&gt;"每日跟踪",T79=""),"",IFERROR(AGGREGATE(14,6,$F$2:$F$501/(($A$2:$A$501="止损计划")*($B$2:$B$501=B79)*($E$2:$E$501=T79)),1),""))</f>
        <v/>
      </c>
      <c r="V79" s="30">
        <f>IF(OR(A79&lt;&gt;"每日跟踪",T79="",I79="",I79&lt;=0),"",T79/I79-1)</f>
        <v/>
      </c>
      <c r="W79" s="31">
        <f>IF(A79&lt;&gt;"每日跟踪","",IF(OR(I79="",S79=""),"",IF(I79&lt;=S79,"触发止损：应全部卖出","继续观察")))</f>
        <v/>
      </c>
      <c r="X79" s="28" t="n"/>
      <c r="Y79" s="43" t="n"/>
      <c r="Z79" s="26">
        <f>IF(X79&lt;&gt;"执行卖出","",IFERROR(LOOKUP(2,1/(单次交易!$A$2:$A$201=B79),单次交易!$AP$2:$AP$201),""))</f>
        <v/>
      </c>
      <c r="AA79" s="43" t="n"/>
      <c r="AB79" s="31">
        <f>IF(A79&lt;&gt;"每日跟踪","",IF(OR(B79="",H79="",I79="",J79="",K79="",L79="",M79=""),"待补充每日记录",IF(W79="触发止损：应全部卖出",IF(X79&lt;&gt;"执行卖出","违规：触发止损但未执行",IF(Y79="","待补充实际卖出价","卖出记录完整")),IF(X79="","待选择卖出动作",IF(X79="执行卖出",IF(Y79="","待补充实际卖出价","卖出记录完整"),"正常")))))</f>
        <v/>
      </c>
      <c r="AC79" s="31">
        <f>IF(A79="","",IF(A79="止损计划",IF(OR(B79="",D79="",E79="",F79="",G79=""),"计划不完整",IF(OR(D79&lt;1,D79&lt;&gt;INT(D79)),"阶段序号无效",IF(COUNTIFS($A$2:$A$501,"止损计划",$B$2:$B$501,B79,$D$2:$D$501,D79)&gt;1,"阶段序号重复",IF(E79&lt;=IFERROR(LOOKUP(2,1/('单次交易'!$A$2:$A$201=B79),'单次交易'!$E$2:$E$201),0),"激活价须高于买入价",IF(F79&lt;N79,"止损价不得低于初始止损",IF(F79&gt;E79,"止损价不得高于激活价",IF(AND(COUNTIFS($A$2:$A$501,"止损计划",$B$2:$B$501,B79,$D$2:$D$501,"&lt;"&amp;D79)&gt;0,OR(E79&lt;=AGGREGATE(14,6,$E$2:$E$501/(($A$2:$A$501="止损计划")*($B$2:$B$501=B79)*($D$2:$D$501&lt;D79)),1),F79&lt;AGGREGATE(14,6,$F$2:$F$501/(($A$2:$A$501="止损计划")*($B$2:$B$501=B79)*($D$2:$D$501&lt;D79)),1))),"阶段价格必须逐级提高","计划有效"))))))),IF(A79="每日跟踪",IF(OR(B79="",H79="",I79="",J79=""),"每日数据不完整",IF(COUNTIFS($A$2:$A$501,"每日跟踪",$B$2:$B$501,B79,$H$2:$H$501,H79)&gt;1,"同一交易日期重复",IF(AND(R79&lt;&gt;"",R79&lt;S79),"人工止损无效：不能下调","跟踪有效"))),"记录类型无效")))</f>
        <v/>
      </c>
    </row>
    <row r="80">
      <c r="A80" s="28" t="n"/>
      <c r="B80" s="28" t="n"/>
      <c r="C80" s="31">
        <f>IF(B80="","",IFERROR(LOOKUP(2,1/(单次交易!$A$2:$A$201=B80),单次交易!$B$2:$B$201),""))</f>
        <v/>
      </c>
      <c r="D80" s="27" t="n"/>
      <c r="E80" s="43" t="n"/>
      <c r="F80" s="43" t="n"/>
      <c r="G80" s="28" t="n"/>
      <c r="H80" s="49" t="n"/>
      <c r="I80" s="43" t="n"/>
      <c r="J80" s="27" t="n"/>
      <c r="K80" s="28" t="n"/>
      <c r="L80" s="28" t="n"/>
      <c r="M80" s="28" t="n"/>
      <c r="N80" s="44">
        <f>IF(B80="","",IFERROR(LOOKUP(2,1/(单次交易!$A$2:$A$201=B80),单次交易!$N$2:$N$201),""))</f>
        <v/>
      </c>
      <c r="O80" s="44">
        <f>IF(A80&lt;&gt;"每日跟踪","",IF(OR(B80="",H80="",I80=""),"",IFERROR(AGGREGATE(14,6,$I$2:$I$501/(($A$2:$A$501="每日跟踪")*($B$2:$B$501=B80)*($H$2:$H$501&lt;=H80)),1),"")))</f>
        <v/>
      </c>
      <c r="P80" s="26">
        <f>IF(A80&lt;&gt;"每日跟踪","",IF(O80="","",IFERROR(AGGREGATE(14,6,$D$2:$D$501/(($A$2:$A$501="止损计划")*($B$2:$B$501=B80)*($E$2:$E$501&lt;=O80)),1),0)))</f>
        <v/>
      </c>
      <c r="Q80" s="44">
        <f>IF(A80&lt;&gt;"每日跟踪","",IF(N80="","",MAX(N80,IFERROR(AGGREGATE(14,6,$F$2:$F$501/(($A$2:$A$501="止损计划")*($B$2:$B$501=B80)*($E$2:$E$501&lt;=O80)),1),0))))</f>
        <v/>
      </c>
      <c r="R80" s="43" t="n"/>
      <c r="S80" s="44">
        <f>IF(A80&lt;&gt;"每日跟踪","",IF(Q80="","",MAX(Q80,IFERROR(AGGREGATE(14,6,$R$2:$R$501/(($A$2:$A$501="每日跟踪")*($B$2:$B$501=B80)*($H$2:$H$501&lt;=H80)),1),0))))</f>
        <v/>
      </c>
      <c r="T80" s="44">
        <f>IF(A80&lt;&gt;"每日跟踪","",IF(O80="","",IF(COUNTIFS($A$2:$A$501,"止损计划",$B$2:$B$501,B80,$E$2:$E$501,"&gt;"&amp;O80)=0,"",AGGREGATE(15,6,$E$2:$E$501/(($A$2:$A$501="止损计划")*($B$2:$B$501=B80)*($E$2:$E$501&gt;O80)),1))))</f>
        <v/>
      </c>
      <c r="U80" s="44">
        <f>IF(OR(A80&lt;&gt;"每日跟踪",T80=""),"",IFERROR(AGGREGATE(14,6,$F$2:$F$501/(($A$2:$A$501="止损计划")*($B$2:$B$501=B80)*($E$2:$E$501=T80)),1),""))</f>
        <v/>
      </c>
      <c r="V80" s="30">
        <f>IF(OR(A80&lt;&gt;"每日跟踪",T80="",I80="",I80&lt;=0),"",T80/I80-1)</f>
        <v/>
      </c>
      <c r="W80" s="31">
        <f>IF(A80&lt;&gt;"每日跟踪","",IF(OR(I80="",S80=""),"",IF(I80&lt;=S80,"触发止损：应全部卖出","继续观察")))</f>
        <v/>
      </c>
      <c r="X80" s="28" t="n"/>
      <c r="Y80" s="43" t="n"/>
      <c r="Z80" s="26">
        <f>IF(X80&lt;&gt;"执行卖出","",IFERROR(LOOKUP(2,1/(单次交易!$A$2:$A$201=B80),单次交易!$AP$2:$AP$201),""))</f>
        <v/>
      </c>
      <c r="AA80" s="43" t="n"/>
      <c r="AB80" s="31">
        <f>IF(A80&lt;&gt;"每日跟踪","",IF(OR(B80="",H80="",I80="",J80="",K80="",L80="",M80=""),"待补充每日记录",IF(W80="触发止损：应全部卖出",IF(X80&lt;&gt;"执行卖出","违规：触发止损但未执行",IF(Y80="","待补充实际卖出价","卖出记录完整")),IF(X80="","待选择卖出动作",IF(X80="执行卖出",IF(Y80="","待补充实际卖出价","卖出记录完整"),"正常")))))</f>
        <v/>
      </c>
      <c r="AC80" s="31">
        <f>IF(A80="","",IF(A80="止损计划",IF(OR(B80="",D80="",E80="",F80="",G80=""),"计划不完整",IF(OR(D80&lt;1,D80&lt;&gt;INT(D80)),"阶段序号无效",IF(COUNTIFS($A$2:$A$501,"止损计划",$B$2:$B$501,B80,$D$2:$D$501,D80)&gt;1,"阶段序号重复",IF(E80&lt;=IFERROR(LOOKUP(2,1/('单次交易'!$A$2:$A$201=B80),'单次交易'!$E$2:$E$201),0),"激活价须高于买入价",IF(F80&lt;N80,"止损价不得低于初始止损",IF(F80&gt;E80,"止损价不得高于激活价",IF(AND(COUNTIFS($A$2:$A$501,"止损计划",$B$2:$B$501,B80,$D$2:$D$501,"&lt;"&amp;D80)&gt;0,OR(E80&lt;=AGGREGATE(14,6,$E$2:$E$501/(($A$2:$A$501="止损计划")*($B$2:$B$501=B80)*($D$2:$D$501&lt;D80)),1),F80&lt;AGGREGATE(14,6,$F$2:$F$501/(($A$2:$A$501="止损计划")*($B$2:$B$501=B80)*($D$2:$D$501&lt;D80)),1))),"阶段价格必须逐级提高","计划有效"))))))),IF(A80="每日跟踪",IF(OR(B80="",H80="",I80="",J80=""),"每日数据不完整",IF(COUNTIFS($A$2:$A$501,"每日跟踪",$B$2:$B$501,B80,$H$2:$H$501,H80)&gt;1,"同一交易日期重复",IF(AND(R80&lt;&gt;"",R80&lt;S80),"人工止损无效：不能下调","跟踪有效"))),"记录类型无效")))</f>
        <v/>
      </c>
    </row>
    <row r="81">
      <c r="A81" s="28" t="n"/>
      <c r="B81" s="28" t="n"/>
      <c r="C81" s="31">
        <f>IF(B81="","",IFERROR(LOOKUP(2,1/(单次交易!$A$2:$A$201=B81),单次交易!$B$2:$B$201),""))</f>
        <v/>
      </c>
      <c r="D81" s="27" t="n"/>
      <c r="E81" s="43" t="n"/>
      <c r="F81" s="43" t="n"/>
      <c r="G81" s="28" t="n"/>
      <c r="H81" s="49" t="n"/>
      <c r="I81" s="43" t="n"/>
      <c r="J81" s="27" t="n"/>
      <c r="K81" s="28" t="n"/>
      <c r="L81" s="28" t="n"/>
      <c r="M81" s="28" t="n"/>
      <c r="N81" s="44">
        <f>IF(B81="","",IFERROR(LOOKUP(2,1/(单次交易!$A$2:$A$201=B81),单次交易!$N$2:$N$201),""))</f>
        <v/>
      </c>
      <c r="O81" s="44">
        <f>IF(A81&lt;&gt;"每日跟踪","",IF(OR(B81="",H81="",I81=""),"",IFERROR(AGGREGATE(14,6,$I$2:$I$501/(($A$2:$A$501="每日跟踪")*($B$2:$B$501=B81)*($H$2:$H$501&lt;=H81)),1),"")))</f>
        <v/>
      </c>
      <c r="P81" s="26">
        <f>IF(A81&lt;&gt;"每日跟踪","",IF(O81="","",IFERROR(AGGREGATE(14,6,$D$2:$D$501/(($A$2:$A$501="止损计划")*($B$2:$B$501=B81)*($E$2:$E$501&lt;=O81)),1),0)))</f>
        <v/>
      </c>
      <c r="Q81" s="44">
        <f>IF(A81&lt;&gt;"每日跟踪","",IF(N81="","",MAX(N81,IFERROR(AGGREGATE(14,6,$F$2:$F$501/(($A$2:$A$501="止损计划")*($B$2:$B$501=B81)*($E$2:$E$501&lt;=O81)),1),0))))</f>
        <v/>
      </c>
      <c r="R81" s="43" t="n"/>
      <c r="S81" s="44">
        <f>IF(A81&lt;&gt;"每日跟踪","",IF(Q81="","",MAX(Q81,IFERROR(AGGREGATE(14,6,$R$2:$R$501/(($A$2:$A$501="每日跟踪")*($B$2:$B$501=B81)*($H$2:$H$501&lt;=H81)),1),0))))</f>
        <v/>
      </c>
      <c r="T81" s="44">
        <f>IF(A81&lt;&gt;"每日跟踪","",IF(O81="","",IF(COUNTIFS($A$2:$A$501,"止损计划",$B$2:$B$501,B81,$E$2:$E$501,"&gt;"&amp;O81)=0,"",AGGREGATE(15,6,$E$2:$E$501/(($A$2:$A$501="止损计划")*($B$2:$B$501=B81)*($E$2:$E$501&gt;O81)),1))))</f>
        <v/>
      </c>
      <c r="U81" s="44">
        <f>IF(OR(A81&lt;&gt;"每日跟踪",T81=""),"",IFERROR(AGGREGATE(14,6,$F$2:$F$501/(($A$2:$A$501="止损计划")*($B$2:$B$501=B81)*($E$2:$E$501=T81)),1),""))</f>
        <v/>
      </c>
      <c r="V81" s="30">
        <f>IF(OR(A81&lt;&gt;"每日跟踪",T81="",I81="",I81&lt;=0),"",T81/I81-1)</f>
        <v/>
      </c>
      <c r="W81" s="31">
        <f>IF(A81&lt;&gt;"每日跟踪","",IF(OR(I81="",S81=""),"",IF(I81&lt;=S81,"触发止损：应全部卖出","继续观察")))</f>
        <v/>
      </c>
      <c r="X81" s="28" t="n"/>
      <c r="Y81" s="43" t="n"/>
      <c r="Z81" s="26">
        <f>IF(X81&lt;&gt;"执行卖出","",IFERROR(LOOKUP(2,1/(单次交易!$A$2:$A$201=B81),单次交易!$AP$2:$AP$201),""))</f>
        <v/>
      </c>
      <c r="AA81" s="43" t="n"/>
      <c r="AB81" s="31">
        <f>IF(A81&lt;&gt;"每日跟踪","",IF(OR(B81="",H81="",I81="",J81="",K81="",L81="",M81=""),"待补充每日记录",IF(W81="触发止损：应全部卖出",IF(X81&lt;&gt;"执行卖出","违规：触发止损但未执行",IF(Y81="","待补充实际卖出价","卖出记录完整")),IF(X81="","待选择卖出动作",IF(X81="执行卖出",IF(Y81="","待补充实际卖出价","卖出记录完整"),"正常")))))</f>
        <v/>
      </c>
      <c r="AC81" s="31">
        <f>IF(A81="","",IF(A81="止损计划",IF(OR(B81="",D81="",E81="",F81="",G81=""),"计划不完整",IF(OR(D81&lt;1,D81&lt;&gt;INT(D81)),"阶段序号无效",IF(COUNTIFS($A$2:$A$501,"止损计划",$B$2:$B$501,B81,$D$2:$D$501,D81)&gt;1,"阶段序号重复",IF(E81&lt;=IFERROR(LOOKUP(2,1/('单次交易'!$A$2:$A$201=B81),'单次交易'!$E$2:$E$201),0),"激活价须高于买入价",IF(F81&lt;N81,"止损价不得低于初始止损",IF(F81&gt;E81,"止损价不得高于激活价",IF(AND(COUNTIFS($A$2:$A$501,"止损计划",$B$2:$B$501,B81,$D$2:$D$501,"&lt;"&amp;D81)&gt;0,OR(E81&lt;=AGGREGATE(14,6,$E$2:$E$501/(($A$2:$A$501="止损计划")*($B$2:$B$501=B81)*($D$2:$D$501&lt;D81)),1),F81&lt;AGGREGATE(14,6,$F$2:$F$501/(($A$2:$A$501="止损计划")*($B$2:$B$501=B81)*($D$2:$D$501&lt;D81)),1))),"阶段价格必须逐级提高","计划有效"))))))),IF(A81="每日跟踪",IF(OR(B81="",H81="",I81="",J81=""),"每日数据不完整",IF(COUNTIFS($A$2:$A$501,"每日跟踪",$B$2:$B$501,B81,$H$2:$H$501,H81)&gt;1,"同一交易日期重复",IF(AND(R81&lt;&gt;"",R81&lt;S81),"人工止损无效：不能下调","跟踪有效"))),"记录类型无效")))</f>
        <v/>
      </c>
    </row>
    <row r="82">
      <c r="A82" s="28" t="n"/>
      <c r="B82" s="28" t="n"/>
      <c r="C82" s="31">
        <f>IF(B82="","",IFERROR(LOOKUP(2,1/(单次交易!$A$2:$A$201=B82),单次交易!$B$2:$B$201),""))</f>
        <v/>
      </c>
      <c r="D82" s="27" t="n"/>
      <c r="E82" s="43" t="n"/>
      <c r="F82" s="43" t="n"/>
      <c r="G82" s="28" t="n"/>
      <c r="H82" s="49" t="n"/>
      <c r="I82" s="43" t="n"/>
      <c r="J82" s="27" t="n"/>
      <c r="K82" s="28" t="n"/>
      <c r="L82" s="28" t="n"/>
      <c r="M82" s="28" t="n"/>
      <c r="N82" s="44">
        <f>IF(B82="","",IFERROR(LOOKUP(2,1/(单次交易!$A$2:$A$201=B82),单次交易!$N$2:$N$201),""))</f>
        <v/>
      </c>
      <c r="O82" s="44">
        <f>IF(A82&lt;&gt;"每日跟踪","",IF(OR(B82="",H82="",I82=""),"",IFERROR(AGGREGATE(14,6,$I$2:$I$501/(($A$2:$A$501="每日跟踪")*($B$2:$B$501=B82)*($H$2:$H$501&lt;=H82)),1),"")))</f>
        <v/>
      </c>
      <c r="P82" s="26">
        <f>IF(A82&lt;&gt;"每日跟踪","",IF(O82="","",IFERROR(AGGREGATE(14,6,$D$2:$D$501/(($A$2:$A$501="止损计划")*($B$2:$B$501=B82)*($E$2:$E$501&lt;=O82)),1),0)))</f>
        <v/>
      </c>
      <c r="Q82" s="44">
        <f>IF(A82&lt;&gt;"每日跟踪","",IF(N82="","",MAX(N82,IFERROR(AGGREGATE(14,6,$F$2:$F$501/(($A$2:$A$501="止损计划")*($B$2:$B$501=B82)*($E$2:$E$501&lt;=O82)),1),0))))</f>
        <v/>
      </c>
      <c r="R82" s="43" t="n"/>
      <c r="S82" s="44">
        <f>IF(A82&lt;&gt;"每日跟踪","",IF(Q82="","",MAX(Q82,IFERROR(AGGREGATE(14,6,$R$2:$R$501/(($A$2:$A$501="每日跟踪")*($B$2:$B$501=B82)*($H$2:$H$501&lt;=H82)),1),0))))</f>
        <v/>
      </c>
      <c r="T82" s="44">
        <f>IF(A82&lt;&gt;"每日跟踪","",IF(O82="","",IF(COUNTIFS($A$2:$A$501,"止损计划",$B$2:$B$501,B82,$E$2:$E$501,"&gt;"&amp;O82)=0,"",AGGREGATE(15,6,$E$2:$E$501/(($A$2:$A$501="止损计划")*($B$2:$B$501=B82)*($E$2:$E$501&gt;O82)),1))))</f>
        <v/>
      </c>
      <c r="U82" s="44">
        <f>IF(OR(A82&lt;&gt;"每日跟踪",T82=""),"",IFERROR(AGGREGATE(14,6,$F$2:$F$501/(($A$2:$A$501="止损计划")*($B$2:$B$501=B82)*($E$2:$E$501=T82)),1),""))</f>
        <v/>
      </c>
      <c r="V82" s="30">
        <f>IF(OR(A82&lt;&gt;"每日跟踪",T82="",I82="",I82&lt;=0),"",T82/I82-1)</f>
        <v/>
      </c>
      <c r="W82" s="31">
        <f>IF(A82&lt;&gt;"每日跟踪","",IF(OR(I82="",S82=""),"",IF(I82&lt;=S82,"触发止损：应全部卖出","继续观察")))</f>
        <v/>
      </c>
      <c r="X82" s="28" t="n"/>
      <c r="Y82" s="43" t="n"/>
      <c r="Z82" s="26">
        <f>IF(X82&lt;&gt;"执行卖出","",IFERROR(LOOKUP(2,1/(单次交易!$A$2:$A$201=B82),单次交易!$AP$2:$AP$201),""))</f>
        <v/>
      </c>
      <c r="AA82" s="43" t="n"/>
      <c r="AB82" s="31">
        <f>IF(A82&lt;&gt;"每日跟踪","",IF(OR(B82="",H82="",I82="",J82="",K82="",L82="",M82=""),"待补充每日记录",IF(W82="触发止损：应全部卖出",IF(X82&lt;&gt;"执行卖出","违规：触发止损但未执行",IF(Y82="","待补充实际卖出价","卖出记录完整")),IF(X82="","待选择卖出动作",IF(X82="执行卖出",IF(Y82="","待补充实际卖出价","卖出记录完整"),"正常")))))</f>
        <v/>
      </c>
      <c r="AC82" s="31">
        <f>IF(A82="","",IF(A82="止损计划",IF(OR(B82="",D82="",E82="",F82="",G82=""),"计划不完整",IF(OR(D82&lt;1,D82&lt;&gt;INT(D82)),"阶段序号无效",IF(COUNTIFS($A$2:$A$501,"止损计划",$B$2:$B$501,B82,$D$2:$D$501,D82)&gt;1,"阶段序号重复",IF(E82&lt;=IFERROR(LOOKUP(2,1/('单次交易'!$A$2:$A$201=B82),'单次交易'!$E$2:$E$201),0),"激活价须高于买入价",IF(F82&lt;N82,"止损价不得低于初始止损",IF(F82&gt;E82,"止损价不得高于激活价",IF(AND(COUNTIFS($A$2:$A$501,"止损计划",$B$2:$B$501,B82,$D$2:$D$501,"&lt;"&amp;D82)&gt;0,OR(E82&lt;=AGGREGATE(14,6,$E$2:$E$501/(($A$2:$A$501="止损计划")*($B$2:$B$501=B82)*($D$2:$D$501&lt;D82)),1),F82&lt;AGGREGATE(14,6,$F$2:$F$501/(($A$2:$A$501="止损计划")*($B$2:$B$501=B82)*($D$2:$D$501&lt;D82)),1))),"阶段价格必须逐级提高","计划有效"))))))),IF(A82="每日跟踪",IF(OR(B82="",H82="",I82="",J82=""),"每日数据不完整",IF(COUNTIFS($A$2:$A$501,"每日跟踪",$B$2:$B$501,B82,$H$2:$H$501,H82)&gt;1,"同一交易日期重复",IF(AND(R82&lt;&gt;"",R82&lt;S82),"人工止损无效：不能下调","跟踪有效"))),"记录类型无效")))</f>
        <v/>
      </c>
    </row>
    <row r="83">
      <c r="A83" s="28" t="n"/>
      <c r="B83" s="28" t="n"/>
      <c r="C83" s="31">
        <f>IF(B83="","",IFERROR(LOOKUP(2,1/(单次交易!$A$2:$A$201=B83),单次交易!$B$2:$B$201),""))</f>
        <v/>
      </c>
      <c r="D83" s="27" t="n"/>
      <c r="E83" s="43" t="n"/>
      <c r="F83" s="43" t="n"/>
      <c r="G83" s="28" t="n"/>
      <c r="H83" s="49" t="n"/>
      <c r="I83" s="43" t="n"/>
      <c r="J83" s="27" t="n"/>
      <c r="K83" s="28" t="n"/>
      <c r="L83" s="28" t="n"/>
      <c r="M83" s="28" t="n"/>
      <c r="N83" s="44">
        <f>IF(B83="","",IFERROR(LOOKUP(2,1/(单次交易!$A$2:$A$201=B83),单次交易!$N$2:$N$201),""))</f>
        <v/>
      </c>
      <c r="O83" s="44">
        <f>IF(A83&lt;&gt;"每日跟踪","",IF(OR(B83="",H83="",I83=""),"",IFERROR(AGGREGATE(14,6,$I$2:$I$501/(($A$2:$A$501="每日跟踪")*($B$2:$B$501=B83)*($H$2:$H$501&lt;=H83)),1),"")))</f>
        <v/>
      </c>
      <c r="P83" s="26">
        <f>IF(A83&lt;&gt;"每日跟踪","",IF(O83="","",IFERROR(AGGREGATE(14,6,$D$2:$D$501/(($A$2:$A$501="止损计划")*($B$2:$B$501=B83)*($E$2:$E$501&lt;=O83)),1),0)))</f>
        <v/>
      </c>
      <c r="Q83" s="44">
        <f>IF(A83&lt;&gt;"每日跟踪","",IF(N83="","",MAX(N83,IFERROR(AGGREGATE(14,6,$F$2:$F$501/(($A$2:$A$501="止损计划")*($B$2:$B$501=B83)*($E$2:$E$501&lt;=O83)),1),0))))</f>
        <v/>
      </c>
      <c r="R83" s="43" t="n"/>
      <c r="S83" s="44">
        <f>IF(A83&lt;&gt;"每日跟踪","",IF(Q83="","",MAX(Q83,IFERROR(AGGREGATE(14,6,$R$2:$R$501/(($A$2:$A$501="每日跟踪")*($B$2:$B$501=B83)*($H$2:$H$501&lt;=H83)),1),0))))</f>
        <v/>
      </c>
      <c r="T83" s="44">
        <f>IF(A83&lt;&gt;"每日跟踪","",IF(O83="","",IF(COUNTIFS($A$2:$A$501,"止损计划",$B$2:$B$501,B83,$E$2:$E$501,"&gt;"&amp;O83)=0,"",AGGREGATE(15,6,$E$2:$E$501/(($A$2:$A$501="止损计划")*($B$2:$B$501=B83)*($E$2:$E$501&gt;O83)),1))))</f>
        <v/>
      </c>
      <c r="U83" s="44">
        <f>IF(OR(A83&lt;&gt;"每日跟踪",T83=""),"",IFERROR(AGGREGATE(14,6,$F$2:$F$501/(($A$2:$A$501="止损计划")*($B$2:$B$501=B83)*($E$2:$E$501=T83)),1),""))</f>
        <v/>
      </c>
      <c r="V83" s="30">
        <f>IF(OR(A83&lt;&gt;"每日跟踪",T83="",I83="",I83&lt;=0),"",T83/I83-1)</f>
        <v/>
      </c>
      <c r="W83" s="31">
        <f>IF(A83&lt;&gt;"每日跟踪","",IF(OR(I83="",S83=""),"",IF(I83&lt;=S83,"触发止损：应全部卖出","继续观察")))</f>
        <v/>
      </c>
      <c r="X83" s="28" t="n"/>
      <c r="Y83" s="43" t="n"/>
      <c r="Z83" s="26">
        <f>IF(X83&lt;&gt;"执行卖出","",IFERROR(LOOKUP(2,1/(单次交易!$A$2:$A$201=B83),单次交易!$AP$2:$AP$201),""))</f>
        <v/>
      </c>
      <c r="AA83" s="43" t="n"/>
      <c r="AB83" s="31">
        <f>IF(A83&lt;&gt;"每日跟踪","",IF(OR(B83="",H83="",I83="",J83="",K83="",L83="",M83=""),"待补充每日记录",IF(W83="触发止损：应全部卖出",IF(X83&lt;&gt;"执行卖出","违规：触发止损但未执行",IF(Y83="","待补充实际卖出价","卖出记录完整")),IF(X83="","待选择卖出动作",IF(X83="执行卖出",IF(Y83="","待补充实际卖出价","卖出记录完整"),"正常")))))</f>
        <v/>
      </c>
      <c r="AC83" s="31">
        <f>IF(A83="","",IF(A83="止损计划",IF(OR(B83="",D83="",E83="",F83="",G83=""),"计划不完整",IF(OR(D83&lt;1,D83&lt;&gt;INT(D83)),"阶段序号无效",IF(COUNTIFS($A$2:$A$501,"止损计划",$B$2:$B$501,B83,$D$2:$D$501,D83)&gt;1,"阶段序号重复",IF(E83&lt;=IFERROR(LOOKUP(2,1/('单次交易'!$A$2:$A$201=B83),'单次交易'!$E$2:$E$201),0),"激活价须高于买入价",IF(F83&lt;N83,"止损价不得低于初始止损",IF(F83&gt;E83,"止损价不得高于激活价",IF(AND(COUNTIFS($A$2:$A$501,"止损计划",$B$2:$B$501,B83,$D$2:$D$501,"&lt;"&amp;D83)&gt;0,OR(E83&lt;=AGGREGATE(14,6,$E$2:$E$501/(($A$2:$A$501="止损计划")*($B$2:$B$501=B83)*($D$2:$D$501&lt;D83)),1),F83&lt;AGGREGATE(14,6,$F$2:$F$501/(($A$2:$A$501="止损计划")*($B$2:$B$501=B83)*($D$2:$D$501&lt;D83)),1))),"阶段价格必须逐级提高","计划有效"))))))),IF(A83="每日跟踪",IF(OR(B83="",H83="",I83="",J83=""),"每日数据不完整",IF(COUNTIFS($A$2:$A$501,"每日跟踪",$B$2:$B$501,B83,$H$2:$H$501,H83)&gt;1,"同一交易日期重复",IF(AND(R83&lt;&gt;"",R83&lt;S83),"人工止损无效：不能下调","跟踪有效"))),"记录类型无效")))</f>
        <v/>
      </c>
    </row>
    <row r="84">
      <c r="A84" s="28" t="n"/>
      <c r="B84" s="28" t="n"/>
      <c r="C84" s="31">
        <f>IF(B84="","",IFERROR(LOOKUP(2,1/(单次交易!$A$2:$A$201=B84),单次交易!$B$2:$B$201),""))</f>
        <v/>
      </c>
      <c r="D84" s="27" t="n"/>
      <c r="E84" s="43" t="n"/>
      <c r="F84" s="43" t="n"/>
      <c r="G84" s="28" t="n"/>
      <c r="H84" s="49" t="n"/>
      <c r="I84" s="43" t="n"/>
      <c r="J84" s="27" t="n"/>
      <c r="K84" s="28" t="n"/>
      <c r="L84" s="28" t="n"/>
      <c r="M84" s="28" t="n"/>
      <c r="N84" s="44">
        <f>IF(B84="","",IFERROR(LOOKUP(2,1/(单次交易!$A$2:$A$201=B84),单次交易!$N$2:$N$201),""))</f>
        <v/>
      </c>
      <c r="O84" s="44">
        <f>IF(A84&lt;&gt;"每日跟踪","",IF(OR(B84="",H84="",I84=""),"",IFERROR(AGGREGATE(14,6,$I$2:$I$501/(($A$2:$A$501="每日跟踪")*($B$2:$B$501=B84)*($H$2:$H$501&lt;=H84)),1),"")))</f>
        <v/>
      </c>
      <c r="P84" s="26">
        <f>IF(A84&lt;&gt;"每日跟踪","",IF(O84="","",IFERROR(AGGREGATE(14,6,$D$2:$D$501/(($A$2:$A$501="止损计划")*($B$2:$B$501=B84)*($E$2:$E$501&lt;=O84)),1),0)))</f>
        <v/>
      </c>
      <c r="Q84" s="44">
        <f>IF(A84&lt;&gt;"每日跟踪","",IF(N84="","",MAX(N84,IFERROR(AGGREGATE(14,6,$F$2:$F$501/(($A$2:$A$501="止损计划")*($B$2:$B$501=B84)*($E$2:$E$501&lt;=O84)),1),0))))</f>
        <v/>
      </c>
      <c r="R84" s="43" t="n"/>
      <c r="S84" s="44">
        <f>IF(A84&lt;&gt;"每日跟踪","",IF(Q84="","",MAX(Q84,IFERROR(AGGREGATE(14,6,$R$2:$R$501/(($A$2:$A$501="每日跟踪")*($B$2:$B$501=B84)*($H$2:$H$501&lt;=H84)),1),0))))</f>
        <v/>
      </c>
      <c r="T84" s="44">
        <f>IF(A84&lt;&gt;"每日跟踪","",IF(O84="","",IF(COUNTIFS($A$2:$A$501,"止损计划",$B$2:$B$501,B84,$E$2:$E$501,"&gt;"&amp;O84)=0,"",AGGREGATE(15,6,$E$2:$E$501/(($A$2:$A$501="止损计划")*($B$2:$B$501=B84)*($E$2:$E$501&gt;O84)),1))))</f>
        <v/>
      </c>
      <c r="U84" s="44">
        <f>IF(OR(A84&lt;&gt;"每日跟踪",T84=""),"",IFERROR(AGGREGATE(14,6,$F$2:$F$501/(($A$2:$A$501="止损计划")*($B$2:$B$501=B84)*($E$2:$E$501=T84)),1),""))</f>
        <v/>
      </c>
      <c r="V84" s="30">
        <f>IF(OR(A84&lt;&gt;"每日跟踪",T84="",I84="",I84&lt;=0),"",T84/I84-1)</f>
        <v/>
      </c>
      <c r="W84" s="31">
        <f>IF(A84&lt;&gt;"每日跟踪","",IF(OR(I84="",S84=""),"",IF(I84&lt;=S84,"触发止损：应全部卖出","继续观察")))</f>
        <v/>
      </c>
      <c r="X84" s="28" t="n"/>
      <c r="Y84" s="43" t="n"/>
      <c r="Z84" s="26">
        <f>IF(X84&lt;&gt;"执行卖出","",IFERROR(LOOKUP(2,1/(单次交易!$A$2:$A$201=B84),单次交易!$AP$2:$AP$201),""))</f>
        <v/>
      </c>
      <c r="AA84" s="43" t="n"/>
      <c r="AB84" s="31">
        <f>IF(A84&lt;&gt;"每日跟踪","",IF(OR(B84="",H84="",I84="",J84="",K84="",L84="",M84=""),"待补充每日记录",IF(W84="触发止损：应全部卖出",IF(X84&lt;&gt;"执行卖出","违规：触发止损但未执行",IF(Y84="","待补充实际卖出价","卖出记录完整")),IF(X84="","待选择卖出动作",IF(X84="执行卖出",IF(Y84="","待补充实际卖出价","卖出记录完整"),"正常")))))</f>
        <v/>
      </c>
      <c r="AC84" s="31">
        <f>IF(A84="","",IF(A84="止损计划",IF(OR(B84="",D84="",E84="",F84="",G84=""),"计划不完整",IF(OR(D84&lt;1,D84&lt;&gt;INT(D84)),"阶段序号无效",IF(COUNTIFS($A$2:$A$501,"止损计划",$B$2:$B$501,B84,$D$2:$D$501,D84)&gt;1,"阶段序号重复",IF(E84&lt;=IFERROR(LOOKUP(2,1/('单次交易'!$A$2:$A$201=B84),'单次交易'!$E$2:$E$201),0),"激活价须高于买入价",IF(F84&lt;N84,"止损价不得低于初始止损",IF(F84&gt;E84,"止损价不得高于激活价",IF(AND(COUNTIFS($A$2:$A$501,"止损计划",$B$2:$B$501,B84,$D$2:$D$501,"&lt;"&amp;D84)&gt;0,OR(E84&lt;=AGGREGATE(14,6,$E$2:$E$501/(($A$2:$A$501="止损计划")*($B$2:$B$501=B84)*($D$2:$D$501&lt;D84)),1),F84&lt;AGGREGATE(14,6,$F$2:$F$501/(($A$2:$A$501="止损计划")*($B$2:$B$501=B84)*($D$2:$D$501&lt;D84)),1))),"阶段价格必须逐级提高","计划有效"))))))),IF(A84="每日跟踪",IF(OR(B84="",H84="",I84="",J84=""),"每日数据不完整",IF(COUNTIFS($A$2:$A$501,"每日跟踪",$B$2:$B$501,B84,$H$2:$H$501,H84)&gt;1,"同一交易日期重复",IF(AND(R84&lt;&gt;"",R84&lt;S84),"人工止损无效：不能下调","跟踪有效"))),"记录类型无效")))</f>
        <v/>
      </c>
    </row>
    <row r="85">
      <c r="A85" s="28" t="n"/>
      <c r="B85" s="28" t="n"/>
      <c r="C85" s="31">
        <f>IF(B85="","",IFERROR(LOOKUP(2,1/(单次交易!$A$2:$A$201=B85),单次交易!$B$2:$B$201),""))</f>
        <v/>
      </c>
      <c r="D85" s="27" t="n"/>
      <c r="E85" s="43" t="n"/>
      <c r="F85" s="43" t="n"/>
      <c r="G85" s="28" t="n"/>
      <c r="H85" s="49" t="n"/>
      <c r="I85" s="43" t="n"/>
      <c r="J85" s="27" t="n"/>
      <c r="K85" s="28" t="n"/>
      <c r="L85" s="28" t="n"/>
      <c r="M85" s="28" t="n"/>
      <c r="N85" s="44">
        <f>IF(B85="","",IFERROR(LOOKUP(2,1/(单次交易!$A$2:$A$201=B85),单次交易!$N$2:$N$201),""))</f>
        <v/>
      </c>
      <c r="O85" s="44">
        <f>IF(A85&lt;&gt;"每日跟踪","",IF(OR(B85="",H85="",I85=""),"",IFERROR(AGGREGATE(14,6,$I$2:$I$501/(($A$2:$A$501="每日跟踪")*($B$2:$B$501=B85)*($H$2:$H$501&lt;=H85)),1),"")))</f>
        <v/>
      </c>
      <c r="P85" s="26">
        <f>IF(A85&lt;&gt;"每日跟踪","",IF(O85="","",IFERROR(AGGREGATE(14,6,$D$2:$D$501/(($A$2:$A$501="止损计划")*($B$2:$B$501=B85)*($E$2:$E$501&lt;=O85)),1),0)))</f>
        <v/>
      </c>
      <c r="Q85" s="44">
        <f>IF(A85&lt;&gt;"每日跟踪","",IF(N85="","",MAX(N85,IFERROR(AGGREGATE(14,6,$F$2:$F$501/(($A$2:$A$501="止损计划")*($B$2:$B$501=B85)*($E$2:$E$501&lt;=O85)),1),0))))</f>
        <v/>
      </c>
      <c r="R85" s="43" t="n"/>
      <c r="S85" s="44">
        <f>IF(A85&lt;&gt;"每日跟踪","",IF(Q85="","",MAX(Q85,IFERROR(AGGREGATE(14,6,$R$2:$R$501/(($A$2:$A$501="每日跟踪")*($B$2:$B$501=B85)*($H$2:$H$501&lt;=H85)),1),0))))</f>
        <v/>
      </c>
      <c r="T85" s="44">
        <f>IF(A85&lt;&gt;"每日跟踪","",IF(O85="","",IF(COUNTIFS($A$2:$A$501,"止损计划",$B$2:$B$501,B85,$E$2:$E$501,"&gt;"&amp;O85)=0,"",AGGREGATE(15,6,$E$2:$E$501/(($A$2:$A$501="止损计划")*($B$2:$B$501=B85)*($E$2:$E$501&gt;O85)),1))))</f>
        <v/>
      </c>
      <c r="U85" s="44">
        <f>IF(OR(A85&lt;&gt;"每日跟踪",T85=""),"",IFERROR(AGGREGATE(14,6,$F$2:$F$501/(($A$2:$A$501="止损计划")*($B$2:$B$501=B85)*($E$2:$E$501=T85)),1),""))</f>
        <v/>
      </c>
      <c r="V85" s="30">
        <f>IF(OR(A85&lt;&gt;"每日跟踪",T85="",I85="",I85&lt;=0),"",T85/I85-1)</f>
        <v/>
      </c>
      <c r="W85" s="31">
        <f>IF(A85&lt;&gt;"每日跟踪","",IF(OR(I85="",S85=""),"",IF(I85&lt;=S85,"触发止损：应全部卖出","继续观察")))</f>
        <v/>
      </c>
      <c r="X85" s="28" t="n"/>
      <c r="Y85" s="43" t="n"/>
      <c r="Z85" s="26">
        <f>IF(X85&lt;&gt;"执行卖出","",IFERROR(LOOKUP(2,1/(单次交易!$A$2:$A$201=B85),单次交易!$AP$2:$AP$201),""))</f>
        <v/>
      </c>
      <c r="AA85" s="43" t="n"/>
      <c r="AB85" s="31">
        <f>IF(A85&lt;&gt;"每日跟踪","",IF(OR(B85="",H85="",I85="",J85="",K85="",L85="",M85=""),"待补充每日记录",IF(W85="触发止损：应全部卖出",IF(X85&lt;&gt;"执行卖出","违规：触发止损但未执行",IF(Y85="","待补充实际卖出价","卖出记录完整")),IF(X85="","待选择卖出动作",IF(X85="执行卖出",IF(Y85="","待补充实际卖出价","卖出记录完整"),"正常")))))</f>
        <v/>
      </c>
      <c r="AC85" s="31">
        <f>IF(A85="","",IF(A85="止损计划",IF(OR(B85="",D85="",E85="",F85="",G85=""),"计划不完整",IF(OR(D85&lt;1,D85&lt;&gt;INT(D85)),"阶段序号无效",IF(COUNTIFS($A$2:$A$501,"止损计划",$B$2:$B$501,B85,$D$2:$D$501,D85)&gt;1,"阶段序号重复",IF(E85&lt;=IFERROR(LOOKUP(2,1/('单次交易'!$A$2:$A$201=B85),'单次交易'!$E$2:$E$201),0),"激活价须高于买入价",IF(F85&lt;N85,"止损价不得低于初始止损",IF(F85&gt;E85,"止损价不得高于激活价",IF(AND(COUNTIFS($A$2:$A$501,"止损计划",$B$2:$B$501,B85,$D$2:$D$501,"&lt;"&amp;D85)&gt;0,OR(E85&lt;=AGGREGATE(14,6,$E$2:$E$501/(($A$2:$A$501="止损计划")*($B$2:$B$501=B85)*($D$2:$D$501&lt;D85)),1),F85&lt;AGGREGATE(14,6,$F$2:$F$501/(($A$2:$A$501="止损计划")*($B$2:$B$501=B85)*($D$2:$D$501&lt;D85)),1))),"阶段价格必须逐级提高","计划有效"))))))),IF(A85="每日跟踪",IF(OR(B85="",H85="",I85="",J85=""),"每日数据不完整",IF(COUNTIFS($A$2:$A$501,"每日跟踪",$B$2:$B$501,B85,$H$2:$H$501,H85)&gt;1,"同一交易日期重复",IF(AND(R85&lt;&gt;"",R85&lt;S85),"人工止损无效：不能下调","跟踪有效"))),"记录类型无效")))</f>
        <v/>
      </c>
    </row>
    <row r="86">
      <c r="A86" s="28" t="n"/>
      <c r="B86" s="28" t="n"/>
      <c r="C86" s="31">
        <f>IF(B86="","",IFERROR(LOOKUP(2,1/(单次交易!$A$2:$A$201=B86),单次交易!$B$2:$B$201),""))</f>
        <v/>
      </c>
      <c r="D86" s="27" t="n"/>
      <c r="E86" s="43" t="n"/>
      <c r="F86" s="43" t="n"/>
      <c r="G86" s="28" t="n"/>
      <c r="H86" s="49" t="n"/>
      <c r="I86" s="43" t="n"/>
      <c r="J86" s="27" t="n"/>
      <c r="K86" s="28" t="n"/>
      <c r="L86" s="28" t="n"/>
      <c r="M86" s="28" t="n"/>
      <c r="N86" s="44">
        <f>IF(B86="","",IFERROR(LOOKUP(2,1/(单次交易!$A$2:$A$201=B86),单次交易!$N$2:$N$201),""))</f>
        <v/>
      </c>
      <c r="O86" s="44">
        <f>IF(A86&lt;&gt;"每日跟踪","",IF(OR(B86="",H86="",I86=""),"",IFERROR(AGGREGATE(14,6,$I$2:$I$501/(($A$2:$A$501="每日跟踪")*($B$2:$B$501=B86)*($H$2:$H$501&lt;=H86)),1),"")))</f>
        <v/>
      </c>
      <c r="P86" s="26">
        <f>IF(A86&lt;&gt;"每日跟踪","",IF(O86="","",IFERROR(AGGREGATE(14,6,$D$2:$D$501/(($A$2:$A$501="止损计划")*($B$2:$B$501=B86)*($E$2:$E$501&lt;=O86)),1),0)))</f>
        <v/>
      </c>
      <c r="Q86" s="44">
        <f>IF(A86&lt;&gt;"每日跟踪","",IF(N86="","",MAX(N86,IFERROR(AGGREGATE(14,6,$F$2:$F$501/(($A$2:$A$501="止损计划")*($B$2:$B$501=B86)*($E$2:$E$501&lt;=O86)),1),0))))</f>
        <v/>
      </c>
      <c r="R86" s="43" t="n"/>
      <c r="S86" s="44">
        <f>IF(A86&lt;&gt;"每日跟踪","",IF(Q86="","",MAX(Q86,IFERROR(AGGREGATE(14,6,$R$2:$R$501/(($A$2:$A$501="每日跟踪")*($B$2:$B$501=B86)*($H$2:$H$501&lt;=H86)),1),0))))</f>
        <v/>
      </c>
      <c r="T86" s="44">
        <f>IF(A86&lt;&gt;"每日跟踪","",IF(O86="","",IF(COUNTIFS($A$2:$A$501,"止损计划",$B$2:$B$501,B86,$E$2:$E$501,"&gt;"&amp;O86)=0,"",AGGREGATE(15,6,$E$2:$E$501/(($A$2:$A$501="止损计划")*($B$2:$B$501=B86)*($E$2:$E$501&gt;O86)),1))))</f>
        <v/>
      </c>
      <c r="U86" s="44">
        <f>IF(OR(A86&lt;&gt;"每日跟踪",T86=""),"",IFERROR(AGGREGATE(14,6,$F$2:$F$501/(($A$2:$A$501="止损计划")*($B$2:$B$501=B86)*($E$2:$E$501=T86)),1),""))</f>
        <v/>
      </c>
      <c r="V86" s="30">
        <f>IF(OR(A86&lt;&gt;"每日跟踪",T86="",I86="",I86&lt;=0),"",T86/I86-1)</f>
        <v/>
      </c>
      <c r="W86" s="31">
        <f>IF(A86&lt;&gt;"每日跟踪","",IF(OR(I86="",S86=""),"",IF(I86&lt;=S86,"触发止损：应全部卖出","继续观察")))</f>
        <v/>
      </c>
      <c r="X86" s="28" t="n"/>
      <c r="Y86" s="43" t="n"/>
      <c r="Z86" s="26">
        <f>IF(X86&lt;&gt;"执行卖出","",IFERROR(LOOKUP(2,1/(单次交易!$A$2:$A$201=B86),单次交易!$AP$2:$AP$201),""))</f>
        <v/>
      </c>
      <c r="AA86" s="43" t="n"/>
      <c r="AB86" s="31">
        <f>IF(A86&lt;&gt;"每日跟踪","",IF(OR(B86="",H86="",I86="",J86="",K86="",L86="",M86=""),"待补充每日记录",IF(W86="触发止损：应全部卖出",IF(X86&lt;&gt;"执行卖出","违规：触发止损但未执行",IF(Y86="","待补充实际卖出价","卖出记录完整")),IF(X86="","待选择卖出动作",IF(X86="执行卖出",IF(Y86="","待补充实际卖出价","卖出记录完整"),"正常")))))</f>
        <v/>
      </c>
      <c r="AC86" s="31">
        <f>IF(A86="","",IF(A86="止损计划",IF(OR(B86="",D86="",E86="",F86="",G86=""),"计划不完整",IF(OR(D86&lt;1,D86&lt;&gt;INT(D86)),"阶段序号无效",IF(COUNTIFS($A$2:$A$501,"止损计划",$B$2:$B$501,B86,$D$2:$D$501,D86)&gt;1,"阶段序号重复",IF(E86&lt;=IFERROR(LOOKUP(2,1/('单次交易'!$A$2:$A$201=B86),'单次交易'!$E$2:$E$201),0),"激活价须高于买入价",IF(F86&lt;N86,"止损价不得低于初始止损",IF(F86&gt;E86,"止损价不得高于激活价",IF(AND(COUNTIFS($A$2:$A$501,"止损计划",$B$2:$B$501,B86,$D$2:$D$501,"&lt;"&amp;D86)&gt;0,OR(E86&lt;=AGGREGATE(14,6,$E$2:$E$501/(($A$2:$A$501="止损计划")*($B$2:$B$501=B86)*($D$2:$D$501&lt;D86)),1),F86&lt;AGGREGATE(14,6,$F$2:$F$501/(($A$2:$A$501="止损计划")*($B$2:$B$501=B86)*($D$2:$D$501&lt;D86)),1))),"阶段价格必须逐级提高","计划有效"))))))),IF(A86="每日跟踪",IF(OR(B86="",H86="",I86="",J86=""),"每日数据不完整",IF(COUNTIFS($A$2:$A$501,"每日跟踪",$B$2:$B$501,B86,$H$2:$H$501,H86)&gt;1,"同一交易日期重复",IF(AND(R86&lt;&gt;"",R86&lt;S86),"人工止损无效：不能下调","跟踪有效"))),"记录类型无效")))</f>
        <v/>
      </c>
    </row>
    <row r="87">
      <c r="A87" s="28" t="n"/>
      <c r="B87" s="28" t="n"/>
      <c r="C87" s="31">
        <f>IF(B87="","",IFERROR(LOOKUP(2,1/(单次交易!$A$2:$A$201=B87),单次交易!$B$2:$B$201),""))</f>
        <v/>
      </c>
      <c r="D87" s="27" t="n"/>
      <c r="E87" s="43" t="n"/>
      <c r="F87" s="43" t="n"/>
      <c r="G87" s="28" t="n"/>
      <c r="H87" s="49" t="n"/>
      <c r="I87" s="43" t="n"/>
      <c r="J87" s="27" t="n"/>
      <c r="K87" s="28" t="n"/>
      <c r="L87" s="28" t="n"/>
      <c r="M87" s="28" t="n"/>
      <c r="N87" s="44">
        <f>IF(B87="","",IFERROR(LOOKUP(2,1/(单次交易!$A$2:$A$201=B87),单次交易!$N$2:$N$201),""))</f>
        <v/>
      </c>
      <c r="O87" s="44">
        <f>IF(A87&lt;&gt;"每日跟踪","",IF(OR(B87="",H87="",I87=""),"",IFERROR(AGGREGATE(14,6,$I$2:$I$501/(($A$2:$A$501="每日跟踪")*($B$2:$B$501=B87)*($H$2:$H$501&lt;=H87)),1),"")))</f>
        <v/>
      </c>
      <c r="P87" s="26">
        <f>IF(A87&lt;&gt;"每日跟踪","",IF(O87="","",IFERROR(AGGREGATE(14,6,$D$2:$D$501/(($A$2:$A$501="止损计划")*($B$2:$B$501=B87)*($E$2:$E$501&lt;=O87)),1),0)))</f>
        <v/>
      </c>
      <c r="Q87" s="44">
        <f>IF(A87&lt;&gt;"每日跟踪","",IF(N87="","",MAX(N87,IFERROR(AGGREGATE(14,6,$F$2:$F$501/(($A$2:$A$501="止损计划")*($B$2:$B$501=B87)*($E$2:$E$501&lt;=O87)),1),0))))</f>
        <v/>
      </c>
      <c r="R87" s="43" t="n"/>
      <c r="S87" s="44">
        <f>IF(A87&lt;&gt;"每日跟踪","",IF(Q87="","",MAX(Q87,IFERROR(AGGREGATE(14,6,$R$2:$R$501/(($A$2:$A$501="每日跟踪")*($B$2:$B$501=B87)*($H$2:$H$501&lt;=H87)),1),0))))</f>
        <v/>
      </c>
      <c r="T87" s="44">
        <f>IF(A87&lt;&gt;"每日跟踪","",IF(O87="","",IF(COUNTIFS($A$2:$A$501,"止损计划",$B$2:$B$501,B87,$E$2:$E$501,"&gt;"&amp;O87)=0,"",AGGREGATE(15,6,$E$2:$E$501/(($A$2:$A$501="止损计划")*($B$2:$B$501=B87)*($E$2:$E$501&gt;O87)),1))))</f>
        <v/>
      </c>
      <c r="U87" s="44">
        <f>IF(OR(A87&lt;&gt;"每日跟踪",T87=""),"",IFERROR(AGGREGATE(14,6,$F$2:$F$501/(($A$2:$A$501="止损计划")*($B$2:$B$501=B87)*($E$2:$E$501=T87)),1),""))</f>
        <v/>
      </c>
      <c r="V87" s="30">
        <f>IF(OR(A87&lt;&gt;"每日跟踪",T87="",I87="",I87&lt;=0),"",T87/I87-1)</f>
        <v/>
      </c>
      <c r="W87" s="31">
        <f>IF(A87&lt;&gt;"每日跟踪","",IF(OR(I87="",S87=""),"",IF(I87&lt;=S87,"触发止损：应全部卖出","继续观察")))</f>
        <v/>
      </c>
      <c r="X87" s="28" t="n"/>
      <c r="Y87" s="43" t="n"/>
      <c r="Z87" s="26">
        <f>IF(X87&lt;&gt;"执行卖出","",IFERROR(LOOKUP(2,1/(单次交易!$A$2:$A$201=B87),单次交易!$AP$2:$AP$201),""))</f>
        <v/>
      </c>
      <c r="AA87" s="43" t="n"/>
      <c r="AB87" s="31">
        <f>IF(A87&lt;&gt;"每日跟踪","",IF(OR(B87="",H87="",I87="",J87="",K87="",L87="",M87=""),"待补充每日记录",IF(W87="触发止损：应全部卖出",IF(X87&lt;&gt;"执行卖出","违规：触发止损但未执行",IF(Y87="","待补充实际卖出价","卖出记录完整")),IF(X87="","待选择卖出动作",IF(X87="执行卖出",IF(Y87="","待补充实际卖出价","卖出记录完整"),"正常")))))</f>
        <v/>
      </c>
      <c r="AC87" s="31">
        <f>IF(A87="","",IF(A87="止损计划",IF(OR(B87="",D87="",E87="",F87="",G87=""),"计划不完整",IF(OR(D87&lt;1,D87&lt;&gt;INT(D87)),"阶段序号无效",IF(COUNTIFS($A$2:$A$501,"止损计划",$B$2:$B$501,B87,$D$2:$D$501,D87)&gt;1,"阶段序号重复",IF(E87&lt;=IFERROR(LOOKUP(2,1/('单次交易'!$A$2:$A$201=B87),'单次交易'!$E$2:$E$201),0),"激活价须高于买入价",IF(F87&lt;N87,"止损价不得低于初始止损",IF(F87&gt;E87,"止损价不得高于激活价",IF(AND(COUNTIFS($A$2:$A$501,"止损计划",$B$2:$B$501,B87,$D$2:$D$501,"&lt;"&amp;D87)&gt;0,OR(E87&lt;=AGGREGATE(14,6,$E$2:$E$501/(($A$2:$A$501="止损计划")*($B$2:$B$501=B87)*($D$2:$D$501&lt;D87)),1),F87&lt;AGGREGATE(14,6,$F$2:$F$501/(($A$2:$A$501="止损计划")*($B$2:$B$501=B87)*($D$2:$D$501&lt;D87)),1))),"阶段价格必须逐级提高","计划有效"))))))),IF(A87="每日跟踪",IF(OR(B87="",H87="",I87="",J87=""),"每日数据不完整",IF(COUNTIFS($A$2:$A$501,"每日跟踪",$B$2:$B$501,B87,$H$2:$H$501,H87)&gt;1,"同一交易日期重复",IF(AND(R87&lt;&gt;"",R87&lt;S87),"人工止损无效：不能下调","跟踪有效"))),"记录类型无效")))</f>
        <v/>
      </c>
    </row>
    <row r="88">
      <c r="A88" s="28" t="n"/>
      <c r="B88" s="28" t="n"/>
      <c r="C88" s="31">
        <f>IF(B88="","",IFERROR(LOOKUP(2,1/(单次交易!$A$2:$A$201=B88),单次交易!$B$2:$B$201),""))</f>
        <v/>
      </c>
      <c r="D88" s="27" t="n"/>
      <c r="E88" s="43" t="n"/>
      <c r="F88" s="43" t="n"/>
      <c r="G88" s="28" t="n"/>
      <c r="H88" s="49" t="n"/>
      <c r="I88" s="43" t="n"/>
      <c r="J88" s="27" t="n"/>
      <c r="K88" s="28" t="n"/>
      <c r="L88" s="28" t="n"/>
      <c r="M88" s="28" t="n"/>
      <c r="N88" s="44">
        <f>IF(B88="","",IFERROR(LOOKUP(2,1/(单次交易!$A$2:$A$201=B88),单次交易!$N$2:$N$201),""))</f>
        <v/>
      </c>
      <c r="O88" s="44">
        <f>IF(A88&lt;&gt;"每日跟踪","",IF(OR(B88="",H88="",I88=""),"",IFERROR(AGGREGATE(14,6,$I$2:$I$501/(($A$2:$A$501="每日跟踪")*($B$2:$B$501=B88)*($H$2:$H$501&lt;=H88)),1),"")))</f>
        <v/>
      </c>
      <c r="P88" s="26">
        <f>IF(A88&lt;&gt;"每日跟踪","",IF(O88="","",IFERROR(AGGREGATE(14,6,$D$2:$D$501/(($A$2:$A$501="止损计划")*($B$2:$B$501=B88)*($E$2:$E$501&lt;=O88)),1),0)))</f>
        <v/>
      </c>
      <c r="Q88" s="44">
        <f>IF(A88&lt;&gt;"每日跟踪","",IF(N88="","",MAX(N88,IFERROR(AGGREGATE(14,6,$F$2:$F$501/(($A$2:$A$501="止损计划")*($B$2:$B$501=B88)*($E$2:$E$501&lt;=O88)),1),0))))</f>
        <v/>
      </c>
      <c r="R88" s="43" t="n"/>
      <c r="S88" s="44">
        <f>IF(A88&lt;&gt;"每日跟踪","",IF(Q88="","",MAX(Q88,IFERROR(AGGREGATE(14,6,$R$2:$R$501/(($A$2:$A$501="每日跟踪")*($B$2:$B$501=B88)*($H$2:$H$501&lt;=H88)),1),0))))</f>
        <v/>
      </c>
      <c r="T88" s="44">
        <f>IF(A88&lt;&gt;"每日跟踪","",IF(O88="","",IF(COUNTIFS($A$2:$A$501,"止损计划",$B$2:$B$501,B88,$E$2:$E$501,"&gt;"&amp;O88)=0,"",AGGREGATE(15,6,$E$2:$E$501/(($A$2:$A$501="止损计划")*($B$2:$B$501=B88)*($E$2:$E$501&gt;O88)),1))))</f>
        <v/>
      </c>
      <c r="U88" s="44">
        <f>IF(OR(A88&lt;&gt;"每日跟踪",T88=""),"",IFERROR(AGGREGATE(14,6,$F$2:$F$501/(($A$2:$A$501="止损计划")*($B$2:$B$501=B88)*($E$2:$E$501=T88)),1),""))</f>
        <v/>
      </c>
      <c r="V88" s="30">
        <f>IF(OR(A88&lt;&gt;"每日跟踪",T88="",I88="",I88&lt;=0),"",T88/I88-1)</f>
        <v/>
      </c>
      <c r="W88" s="31">
        <f>IF(A88&lt;&gt;"每日跟踪","",IF(OR(I88="",S88=""),"",IF(I88&lt;=S88,"触发止损：应全部卖出","继续观察")))</f>
        <v/>
      </c>
      <c r="X88" s="28" t="n"/>
      <c r="Y88" s="43" t="n"/>
      <c r="Z88" s="26">
        <f>IF(X88&lt;&gt;"执行卖出","",IFERROR(LOOKUP(2,1/(单次交易!$A$2:$A$201=B88),单次交易!$AP$2:$AP$201),""))</f>
        <v/>
      </c>
      <c r="AA88" s="43" t="n"/>
      <c r="AB88" s="31">
        <f>IF(A88&lt;&gt;"每日跟踪","",IF(OR(B88="",H88="",I88="",J88="",K88="",L88="",M88=""),"待补充每日记录",IF(W88="触发止损：应全部卖出",IF(X88&lt;&gt;"执行卖出","违规：触发止损但未执行",IF(Y88="","待补充实际卖出价","卖出记录完整")),IF(X88="","待选择卖出动作",IF(X88="执行卖出",IF(Y88="","待补充实际卖出价","卖出记录完整"),"正常")))))</f>
        <v/>
      </c>
      <c r="AC88" s="31">
        <f>IF(A88="","",IF(A88="止损计划",IF(OR(B88="",D88="",E88="",F88="",G88=""),"计划不完整",IF(OR(D88&lt;1,D88&lt;&gt;INT(D88)),"阶段序号无效",IF(COUNTIFS($A$2:$A$501,"止损计划",$B$2:$B$501,B88,$D$2:$D$501,D88)&gt;1,"阶段序号重复",IF(E88&lt;=IFERROR(LOOKUP(2,1/('单次交易'!$A$2:$A$201=B88),'单次交易'!$E$2:$E$201),0),"激活价须高于买入价",IF(F88&lt;N88,"止损价不得低于初始止损",IF(F88&gt;E88,"止损价不得高于激活价",IF(AND(COUNTIFS($A$2:$A$501,"止损计划",$B$2:$B$501,B88,$D$2:$D$501,"&lt;"&amp;D88)&gt;0,OR(E88&lt;=AGGREGATE(14,6,$E$2:$E$501/(($A$2:$A$501="止损计划")*($B$2:$B$501=B88)*($D$2:$D$501&lt;D88)),1),F88&lt;AGGREGATE(14,6,$F$2:$F$501/(($A$2:$A$501="止损计划")*($B$2:$B$501=B88)*($D$2:$D$501&lt;D88)),1))),"阶段价格必须逐级提高","计划有效"))))))),IF(A88="每日跟踪",IF(OR(B88="",H88="",I88="",J88=""),"每日数据不完整",IF(COUNTIFS($A$2:$A$501,"每日跟踪",$B$2:$B$501,B88,$H$2:$H$501,H88)&gt;1,"同一交易日期重复",IF(AND(R88&lt;&gt;"",R88&lt;S88),"人工止损无效：不能下调","跟踪有效"))),"记录类型无效")))</f>
        <v/>
      </c>
    </row>
    <row r="89">
      <c r="A89" s="28" t="n"/>
      <c r="B89" s="28" t="n"/>
      <c r="C89" s="31">
        <f>IF(B89="","",IFERROR(LOOKUP(2,1/(单次交易!$A$2:$A$201=B89),单次交易!$B$2:$B$201),""))</f>
        <v/>
      </c>
      <c r="D89" s="27" t="n"/>
      <c r="E89" s="43" t="n"/>
      <c r="F89" s="43" t="n"/>
      <c r="G89" s="28" t="n"/>
      <c r="H89" s="49" t="n"/>
      <c r="I89" s="43" t="n"/>
      <c r="J89" s="27" t="n"/>
      <c r="K89" s="28" t="n"/>
      <c r="L89" s="28" t="n"/>
      <c r="M89" s="28" t="n"/>
      <c r="N89" s="44">
        <f>IF(B89="","",IFERROR(LOOKUP(2,1/(单次交易!$A$2:$A$201=B89),单次交易!$N$2:$N$201),""))</f>
        <v/>
      </c>
      <c r="O89" s="44">
        <f>IF(A89&lt;&gt;"每日跟踪","",IF(OR(B89="",H89="",I89=""),"",IFERROR(AGGREGATE(14,6,$I$2:$I$501/(($A$2:$A$501="每日跟踪")*($B$2:$B$501=B89)*($H$2:$H$501&lt;=H89)),1),"")))</f>
        <v/>
      </c>
      <c r="P89" s="26">
        <f>IF(A89&lt;&gt;"每日跟踪","",IF(O89="","",IFERROR(AGGREGATE(14,6,$D$2:$D$501/(($A$2:$A$501="止损计划")*($B$2:$B$501=B89)*($E$2:$E$501&lt;=O89)),1),0)))</f>
        <v/>
      </c>
      <c r="Q89" s="44">
        <f>IF(A89&lt;&gt;"每日跟踪","",IF(N89="","",MAX(N89,IFERROR(AGGREGATE(14,6,$F$2:$F$501/(($A$2:$A$501="止损计划")*($B$2:$B$501=B89)*($E$2:$E$501&lt;=O89)),1),0))))</f>
        <v/>
      </c>
      <c r="R89" s="43" t="n"/>
      <c r="S89" s="44">
        <f>IF(A89&lt;&gt;"每日跟踪","",IF(Q89="","",MAX(Q89,IFERROR(AGGREGATE(14,6,$R$2:$R$501/(($A$2:$A$501="每日跟踪")*($B$2:$B$501=B89)*($H$2:$H$501&lt;=H89)),1),0))))</f>
        <v/>
      </c>
      <c r="T89" s="44">
        <f>IF(A89&lt;&gt;"每日跟踪","",IF(O89="","",IF(COUNTIFS($A$2:$A$501,"止损计划",$B$2:$B$501,B89,$E$2:$E$501,"&gt;"&amp;O89)=0,"",AGGREGATE(15,6,$E$2:$E$501/(($A$2:$A$501="止损计划")*($B$2:$B$501=B89)*($E$2:$E$501&gt;O89)),1))))</f>
        <v/>
      </c>
      <c r="U89" s="44">
        <f>IF(OR(A89&lt;&gt;"每日跟踪",T89=""),"",IFERROR(AGGREGATE(14,6,$F$2:$F$501/(($A$2:$A$501="止损计划")*($B$2:$B$501=B89)*($E$2:$E$501=T89)),1),""))</f>
        <v/>
      </c>
      <c r="V89" s="30">
        <f>IF(OR(A89&lt;&gt;"每日跟踪",T89="",I89="",I89&lt;=0),"",T89/I89-1)</f>
        <v/>
      </c>
      <c r="W89" s="31">
        <f>IF(A89&lt;&gt;"每日跟踪","",IF(OR(I89="",S89=""),"",IF(I89&lt;=S89,"触发止损：应全部卖出","继续观察")))</f>
        <v/>
      </c>
      <c r="X89" s="28" t="n"/>
      <c r="Y89" s="43" t="n"/>
      <c r="Z89" s="26">
        <f>IF(X89&lt;&gt;"执行卖出","",IFERROR(LOOKUP(2,1/(单次交易!$A$2:$A$201=B89),单次交易!$AP$2:$AP$201),""))</f>
        <v/>
      </c>
      <c r="AA89" s="43" t="n"/>
      <c r="AB89" s="31">
        <f>IF(A89&lt;&gt;"每日跟踪","",IF(OR(B89="",H89="",I89="",J89="",K89="",L89="",M89=""),"待补充每日记录",IF(W89="触发止损：应全部卖出",IF(X89&lt;&gt;"执行卖出","违规：触发止损但未执行",IF(Y89="","待补充实际卖出价","卖出记录完整")),IF(X89="","待选择卖出动作",IF(X89="执行卖出",IF(Y89="","待补充实际卖出价","卖出记录完整"),"正常")))))</f>
        <v/>
      </c>
      <c r="AC89" s="31">
        <f>IF(A89="","",IF(A89="止损计划",IF(OR(B89="",D89="",E89="",F89="",G89=""),"计划不完整",IF(OR(D89&lt;1,D89&lt;&gt;INT(D89)),"阶段序号无效",IF(COUNTIFS($A$2:$A$501,"止损计划",$B$2:$B$501,B89,$D$2:$D$501,D89)&gt;1,"阶段序号重复",IF(E89&lt;=IFERROR(LOOKUP(2,1/('单次交易'!$A$2:$A$201=B89),'单次交易'!$E$2:$E$201),0),"激活价须高于买入价",IF(F89&lt;N89,"止损价不得低于初始止损",IF(F89&gt;E89,"止损价不得高于激活价",IF(AND(COUNTIFS($A$2:$A$501,"止损计划",$B$2:$B$501,B89,$D$2:$D$501,"&lt;"&amp;D89)&gt;0,OR(E89&lt;=AGGREGATE(14,6,$E$2:$E$501/(($A$2:$A$501="止损计划")*($B$2:$B$501=B89)*($D$2:$D$501&lt;D89)),1),F89&lt;AGGREGATE(14,6,$F$2:$F$501/(($A$2:$A$501="止损计划")*($B$2:$B$501=B89)*($D$2:$D$501&lt;D89)),1))),"阶段价格必须逐级提高","计划有效"))))))),IF(A89="每日跟踪",IF(OR(B89="",H89="",I89="",J89=""),"每日数据不完整",IF(COUNTIFS($A$2:$A$501,"每日跟踪",$B$2:$B$501,B89,$H$2:$H$501,H89)&gt;1,"同一交易日期重复",IF(AND(R89&lt;&gt;"",R89&lt;S89),"人工止损无效：不能下调","跟踪有效"))),"记录类型无效")))</f>
        <v/>
      </c>
    </row>
    <row r="90">
      <c r="A90" s="28" t="n"/>
      <c r="B90" s="28" t="n"/>
      <c r="C90" s="31">
        <f>IF(B90="","",IFERROR(LOOKUP(2,1/(单次交易!$A$2:$A$201=B90),单次交易!$B$2:$B$201),""))</f>
        <v/>
      </c>
      <c r="D90" s="27" t="n"/>
      <c r="E90" s="43" t="n"/>
      <c r="F90" s="43" t="n"/>
      <c r="G90" s="28" t="n"/>
      <c r="H90" s="49" t="n"/>
      <c r="I90" s="43" t="n"/>
      <c r="J90" s="27" t="n"/>
      <c r="K90" s="28" t="n"/>
      <c r="L90" s="28" t="n"/>
      <c r="M90" s="28" t="n"/>
      <c r="N90" s="44">
        <f>IF(B90="","",IFERROR(LOOKUP(2,1/(单次交易!$A$2:$A$201=B90),单次交易!$N$2:$N$201),""))</f>
        <v/>
      </c>
      <c r="O90" s="44">
        <f>IF(A90&lt;&gt;"每日跟踪","",IF(OR(B90="",H90="",I90=""),"",IFERROR(AGGREGATE(14,6,$I$2:$I$501/(($A$2:$A$501="每日跟踪")*($B$2:$B$501=B90)*($H$2:$H$501&lt;=H90)),1),"")))</f>
        <v/>
      </c>
      <c r="P90" s="26">
        <f>IF(A90&lt;&gt;"每日跟踪","",IF(O90="","",IFERROR(AGGREGATE(14,6,$D$2:$D$501/(($A$2:$A$501="止损计划")*($B$2:$B$501=B90)*($E$2:$E$501&lt;=O90)),1),0)))</f>
        <v/>
      </c>
      <c r="Q90" s="44">
        <f>IF(A90&lt;&gt;"每日跟踪","",IF(N90="","",MAX(N90,IFERROR(AGGREGATE(14,6,$F$2:$F$501/(($A$2:$A$501="止损计划")*($B$2:$B$501=B90)*($E$2:$E$501&lt;=O90)),1),0))))</f>
        <v/>
      </c>
      <c r="R90" s="43" t="n"/>
      <c r="S90" s="44">
        <f>IF(A90&lt;&gt;"每日跟踪","",IF(Q90="","",MAX(Q90,IFERROR(AGGREGATE(14,6,$R$2:$R$501/(($A$2:$A$501="每日跟踪")*($B$2:$B$501=B90)*($H$2:$H$501&lt;=H90)),1),0))))</f>
        <v/>
      </c>
      <c r="T90" s="44">
        <f>IF(A90&lt;&gt;"每日跟踪","",IF(O90="","",IF(COUNTIFS($A$2:$A$501,"止损计划",$B$2:$B$501,B90,$E$2:$E$501,"&gt;"&amp;O90)=0,"",AGGREGATE(15,6,$E$2:$E$501/(($A$2:$A$501="止损计划")*($B$2:$B$501=B90)*($E$2:$E$501&gt;O90)),1))))</f>
        <v/>
      </c>
      <c r="U90" s="44">
        <f>IF(OR(A90&lt;&gt;"每日跟踪",T90=""),"",IFERROR(AGGREGATE(14,6,$F$2:$F$501/(($A$2:$A$501="止损计划")*($B$2:$B$501=B90)*($E$2:$E$501=T90)),1),""))</f>
        <v/>
      </c>
      <c r="V90" s="30">
        <f>IF(OR(A90&lt;&gt;"每日跟踪",T90="",I90="",I90&lt;=0),"",T90/I90-1)</f>
        <v/>
      </c>
      <c r="W90" s="31">
        <f>IF(A90&lt;&gt;"每日跟踪","",IF(OR(I90="",S90=""),"",IF(I90&lt;=S90,"触发止损：应全部卖出","继续观察")))</f>
        <v/>
      </c>
      <c r="X90" s="28" t="n"/>
      <c r="Y90" s="43" t="n"/>
      <c r="Z90" s="26">
        <f>IF(X90&lt;&gt;"执行卖出","",IFERROR(LOOKUP(2,1/(单次交易!$A$2:$A$201=B90),单次交易!$AP$2:$AP$201),""))</f>
        <v/>
      </c>
      <c r="AA90" s="43" t="n"/>
      <c r="AB90" s="31">
        <f>IF(A90&lt;&gt;"每日跟踪","",IF(OR(B90="",H90="",I90="",J90="",K90="",L90="",M90=""),"待补充每日记录",IF(W90="触发止损：应全部卖出",IF(X90&lt;&gt;"执行卖出","违规：触发止损但未执行",IF(Y90="","待补充实际卖出价","卖出记录完整")),IF(X90="","待选择卖出动作",IF(X90="执行卖出",IF(Y90="","待补充实际卖出价","卖出记录完整"),"正常")))))</f>
        <v/>
      </c>
      <c r="AC90" s="31">
        <f>IF(A90="","",IF(A90="止损计划",IF(OR(B90="",D90="",E90="",F90="",G90=""),"计划不完整",IF(OR(D90&lt;1,D90&lt;&gt;INT(D90)),"阶段序号无效",IF(COUNTIFS($A$2:$A$501,"止损计划",$B$2:$B$501,B90,$D$2:$D$501,D90)&gt;1,"阶段序号重复",IF(E90&lt;=IFERROR(LOOKUP(2,1/('单次交易'!$A$2:$A$201=B90),'单次交易'!$E$2:$E$201),0),"激活价须高于买入价",IF(F90&lt;N90,"止损价不得低于初始止损",IF(F90&gt;E90,"止损价不得高于激活价",IF(AND(COUNTIFS($A$2:$A$501,"止损计划",$B$2:$B$501,B90,$D$2:$D$501,"&lt;"&amp;D90)&gt;0,OR(E90&lt;=AGGREGATE(14,6,$E$2:$E$501/(($A$2:$A$501="止损计划")*($B$2:$B$501=B90)*($D$2:$D$501&lt;D90)),1),F90&lt;AGGREGATE(14,6,$F$2:$F$501/(($A$2:$A$501="止损计划")*($B$2:$B$501=B90)*($D$2:$D$501&lt;D90)),1))),"阶段价格必须逐级提高","计划有效"))))))),IF(A90="每日跟踪",IF(OR(B90="",H90="",I90="",J90=""),"每日数据不完整",IF(COUNTIFS($A$2:$A$501,"每日跟踪",$B$2:$B$501,B90,$H$2:$H$501,H90)&gt;1,"同一交易日期重复",IF(AND(R90&lt;&gt;"",R90&lt;S90),"人工止损无效：不能下调","跟踪有效"))),"记录类型无效")))</f>
        <v/>
      </c>
    </row>
    <row r="91">
      <c r="A91" s="28" t="n"/>
      <c r="B91" s="28" t="n"/>
      <c r="C91" s="31">
        <f>IF(B91="","",IFERROR(LOOKUP(2,1/(单次交易!$A$2:$A$201=B91),单次交易!$B$2:$B$201),""))</f>
        <v/>
      </c>
      <c r="D91" s="27" t="n"/>
      <c r="E91" s="43" t="n"/>
      <c r="F91" s="43" t="n"/>
      <c r="G91" s="28" t="n"/>
      <c r="H91" s="49" t="n"/>
      <c r="I91" s="43" t="n"/>
      <c r="J91" s="27" t="n"/>
      <c r="K91" s="28" t="n"/>
      <c r="L91" s="28" t="n"/>
      <c r="M91" s="28" t="n"/>
      <c r="N91" s="44">
        <f>IF(B91="","",IFERROR(LOOKUP(2,1/(单次交易!$A$2:$A$201=B91),单次交易!$N$2:$N$201),""))</f>
        <v/>
      </c>
      <c r="O91" s="44">
        <f>IF(A91&lt;&gt;"每日跟踪","",IF(OR(B91="",H91="",I91=""),"",IFERROR(AGGREGATE(14,6,$I$2:$I$501/(($A$2:$A$501="每日跟踪")*($B$2:$B$501=B91)*($H$2:$H$501&lt;=H91)),1),"")))</f>
        <v/>
      </c>
      <c r="P91" s="26">
        <f>IF(A91&lt;&gt;"每日跟踪","",IF(O91="","",IFERROR(AGGREGATE(14,6,$D$2:$D$501/(($A$2:$A$501="止损计划")*($B$2:$B$501=B91)*($E$2:$E$501&lt;=O91)),1),0)))</f>
        <v/>
      </c>
      <c r="Q91" s="44">
        <f>IF(A91&lt;&gt;"每日跟踪","",IF(N91="","",MAX(N91,IFERROR(AGGREGATE(14,6,$F$2:$F$501/(($A$2:$A$501="止损计划")*($B$2:$B$501=B91)*($E$2:$E$501&lt;=O91)),1),0))))</f>
        <v/>
      </c>
      <c r="R91" s="43" t="n"/>
      <c r="S91" s="44">
        <f>IF(A91&lt;&gt;"每日跟踪","",IF(Q91="","",MAX(Q91,IFERROR(AGGREGATE(14,6,$R$2:$R$501/(($A$2:$A$501="每日跟踪")*($B$2:$B$501=B91)*($H$2:$H$501&lt;=H91)),1),0))))</f>
        <v/>
      </c>
      <c r="T91" s="44">
        <f>IF(A91&lt;&gt;"每日跟踪","",IF(O91="","",IF(COUNTIFS($A$2:$A$501,"止损计划",$B$2:$B$501,B91,$E$2:$E$501,"&gt;"&amp;O91)=0,"",AGGREGATE(15,6,$E$2:$E$501/(($A$2:$A$501="止损计划")*($B$2:$B$501=B91)*($E$2:$E$501&gt;O91)),1))))</f>
        <v/>
      </c>
      <c r="U91" s="44">
        <f>IF(OR(A91&lt;&gt;"每日跟踪",T91=""),"",IFERROR(AGGREGATE(14,6,$F$2:$F$501/(($A$2:$A$501="止损计划")*($B$2:$B$501=B91)*($E$2:$E$501=T91)),1),""))</f>
        <v/>
      </c>
      <c r="V91" s="30">
        <f>IF(OR(A91&lt;&gt;"每日跟踪",T91="",I91="",I91&lt;=0),"",T91/I91-1)</f>
        <v/>
      </c>
      <c r="W91" s="31">
        <f>IF(A91&lt;&gt;"每日跟踪","",IF(OR(I91="",S91=""),"",IF(I91&lt;=S91,"触发止损：应全部卖出","继续观察")))</f>
        <v/>
      </c>
      <c r="X91" s="28" t="n"/>
      <c r="Y91" s="43" t="n"/>
      <c r="Z91" s="26">
        <f>IF(X91&lt;&gt;"执行卖出","",IFERROR(LOOKUP(2,1/(单次交易!$A$2:$A$201=B91),单次交易!$AP$2:$AP$201),""))</f>
        <v/>
      </c>
      <c r="AA91" s="43" t="n"/>
      <c r="AB91" s="31">
        <f>IF(A91&lt;&gt;"每日跟踪","",IF(OR(B91="",H91="",I91="",J91="",K91="",L91="",M91=""),"待补充每日记录",IF(W91="触发止损：应全部卖出",IF(X91&lt;&gt;"执行卖出","违规：触发止损但未执行",IF(Y91="","待补充实际卖出价","卖出记录完整")),IF(X91="","待选择卖出动作",IF(X91="执行卖出",IF(Y91="","待补充实际卖出价","卖出记录完整"),"正常")))))</f>
        <v/>
      </c>
      <c r="AC91" s="31">
        <f>IF(A91="","",IF(A91="止损计划",IF(OR(B91="",D91="",E91="",F91="",G91=""),"计划不完整",IF(OR(D91&lt;1,D91&lt;&gt;INT(D91)),"阶段序号无效",IF(COUNTIFS($A$2:$A$501,"止损计划",$B$2:$B$501,B91,$D$2:$D$501,D91)&gt;1,"阶段序号重复",IF(E91&lt;=IFERROR(LOOKUP(2,1/('单次交易'!$A$2:$A$201=B91),'单次交易'!$E$2:$E$201),0),"激活价须高于买入价",IF(F91&lt;N91,"止损价不得低于初始止损",IF(F91&gt;E91,"止损价不得高于激活价",IF(AND(COUNTIFS($A$2:$A$501,"止损计划",$B$2:$B$501,B91,$D$2:$D$501,"&lt;"&amp;D91)&gt;0,OR(E91&lt;=AGGREGATE(14,6,$E$2:$E$501/(($A$2:$A$501="止损计划")*($B$2:$B$501=B91)*($D$2:$D$501&lt;D91)),1),F91&lt;AGGREGATE(14,6,$F$2:$F$501/(($A$2:$A$501="止损计划")*($B$2:$B$501=B91)*($D$2:$D$501&lt;D91)),1))),"阶段价格必须逐级提高","计划有效"))))))),IF(A91="每日跟踪",IF(OR(B91="",H91="",I91="",J91=""),"每日数据不完整",IF(COUNTIFS($A$2:$A$501,"每日跟踪",$B$2:$B$501,B91,$H$2:$H$501,H91)&gt;1,"同一交易日期重复",IF(AND(R91&lt;&gt;"",R91&lt;S91),"人工止损无效：不能下调","跟踪有效"))),"记录类型无效")))</f>
        <v/>
      </c>
    </row>
    <row r="92">
      <c r="A92" s="28" t="n"/>
      <c r="B92" s="28" t="n"/>
      <c r="C92" s="31">
        <f>IF(B92="","",IFERROR(LOOKUP(2,1/(单次交易!$A$2:$A$201=B92),单次交易!$B$2:$B$201),""))</f>
        <v/>
      </c>
      <c r="D92" s="27" t="n"/>
      <c r="E92" s="43" t="n"/>
      <c r="F92" s="43" t="n"/>
      <c r="G92" s="28" t="n"/>
      <c r="H92" s="49" t="n"/>
      <c r="I92" s="43" t="n"/>
      <c r="J92" s="27" t="n"/>
      <c r="K92" s="28" t="n"/>
      <c r="L92" s="28" t="n"/>
      <c r="M92" s="28" t="n"/>
      <c r="N92" s="44">
        <f>IF(B92="","",IFERROR(LOOKUP(2,1/(单次交易!$A$2:$A$201=B92),单次交易!$N$2:$N$201),""))</f>
        <v/>
      </c>
      <c r="O92" s="44">
        <f>IF(A92&lt;&gt;"每日跟踪","",IF(OR(B92="",H92="",I92=""),"",IFERROR(AGGREGATE(14,6,$I$2:$I$501/(($A$2:$A$501="每日跟踪")*($B$2:$B$501=B92)*($H$2:$H$501&lt;=H92)),1),"")))</f>
        <v/>
      </c>
      <c r="P92" s="26">
        <f>IF(A92&lt;&gt;"每日跟踪","",IF(O92="","",IFERROR(AGGREGATE(14,6,$D$2:$D$501/(($A$2:$A$501="止损计划")*($B$2:$B$501=B92)*($E$2:$E$501&lt;=O92)),1),0)))</f>
        <v/>
      </c>
      <c r="Q92" s="44">
        <f>IF(A92&lt;&gt;"每日跟踪","",IF(N92="","",MAX(N92,IFERROR(AGGREGATE(14,6,$F$2:$F$501/(($A$2:$A$501="止损计划")*($B$2:$B$501=B92)*($E$2:$E$501&lt;=O92)),1),0))))</f>
        <v/>
      </c>
      <c r="R92" s="43" t="n"/>
      <c r="S92" s="44">
        <f>IF(A92&lt;&gt;"每日跟踪","",IF(Q92="","",MAX(Q92,IFERROR(AGGREGATE(14,6,$R$2:$R$501/(($A$2:$A$501="每日跟踪")*($B$2:$B$501=B92)*($H$2:$H$501&lt;=H92)),1),0))))</f>
        <v/>
      </c>
      <c r="T92" s="44">
        <f>IF(A92&lt;&gt;"每日跟踪","",IF(O92="","",IF(COUNTIFS($A$2:$A$501,"止损计划",$B$2:$B$501,B92,$E$2:$E$501,"&gt;"&amp;O92)=0,"",AGGREGATE(15,6,$E$2:$E$501/(($A$2:$A$501="止损计划")*($B$2:$B$501=B92)*($E$2:$E$501&gt;O92)),1))))</f>
        <v/>
      </c>
      <c r="U92" s="44">
        <f>IF(OR(A92&lt;&gt;"每日跟踪",T92=""),"",IFERROR(AGGREGATE(14,6,$F$2:$F$501/(($A$2:$A$501="止损计划")*($B$2:$B$501=B92)*($E$2:$E$501=T92)),1),""))</f>
        <v/>
      </c>
      <c r="V92" s="30">
        <f>IF(OR(A92&lt;&gt;"每日跟踪",T92="",I92="",I92&lt;=0),"",T92/I92-1)</f>
        <v/>
      </c>
      <c r="W92" s="31">
        <f>IF(A92&lt;&gt;"每日跟踪","",IF(OR(I92="",S92=""),"",IF(I92&lt;=S92,"触发止损：应全部卖出","继续观察")))</f>
        <v/>
      </c>
      <c r="X92" s="28" t="n"/>
      <c r="Y92" s="43" t="n"/>
      <c r="Z92" s="26">
        <f>IF(X92&lt;&gt;"执行卖出","",IFERROR(LOOKUP(2,1/(单次交易!$A$2:$A$201=B92),单次交易!$AP$2:$AP$201),""))</f>
        <v/>
      </c>
      <c r="AA92" s="43" t="n"/>
      <c r="AB92" s="31">
        <f>IF(A92&lt;&gt;"每日跟踪","",IF(OR(B92="",H92="",I92="",J92="",K92="",L92="",M92=""),"待补充每日记录",IF(W92="触发止损：应全部卖出",IF(X92&lt;&gt;"执行卖出","违规：触发止损但未执行",IF(Y92="","待补充实际卖出价","卖出记录完整")),IF(X92="","待选择卖出动作",IF(X92="执行卖出",IF(Y92="","待补充实际卖出价","卖出记录完整"),"正常")))))</f>
        <v/>
      </c>
      <c r="AC92" s="31">
        <f>IF(A92="","",IF(A92="止损计划",IF(OR(B92="",D92="",E92="",F92="",G92=""),"计划不完整",IF(OR(D92&lt;1,D92&lt;&gt;INT(D92)),"阶段序号无效",IF(COUNTIFS($A$2:$A$501,"止损计划",$B$2:$B$501,B92,$D$2:$D$501,D92)&gt;1,"阶段序号重复",IF(E92&lt;=IFERROR(LOOKUP(2,1/('单次交易'!$A$2:$A$201=B92),'单次交易'!$E$2:$E$201),0),"激活价须高于买入价",IF(F92&lt;N92,"止损价不得低于初始止损",IF(F92&gt;E92,"止损价不得高于激活价",IF(AND(COUNTIFS($A$2:$A$501,"止损计划",$B$2:$B$501,B92,$D$2:$D$501,"&lt;"&amp;D92)&gt;0,OR(E92&lt;=AGGREGATE(14,6,$E$2:$E$501/(($A$2:$A$501="止损计划")*($B$2:$B$501=B92)*($D$2:$D$501&lt;D92)),1),F92&lt;AGGREGATE(14,6,$F$2:$F$501/(($A$2:$A$501="止损计划")*($B$2:$B$501=B92)*($D$2:$D$501&lt;D92)),1))),"阶段价格必须逐级提高","计划有效"))))))),IF(A92="每日跟踪",IF(OR(B92="",H92="",I92="",J92=""),"每日数据不完整",IF(COUNTIFS($A$2:$A$501,"每日跟踪",$B$2:$B$501,B92,$H$2:$H$501,H92)&gt;1,"同一交易日期重复",IF(AND(R92&lt;&gt;"",R92&lt;S92),"人工止损无效：不能下调","跟踪有效"))),"记录类型无效")))</f>
        <v/>
      </c>
    </row>
    <row r="93">
      <c r="A93" s="28" t="n"/>
      <c r="B93" s="28" t="n"/>
      <c r="C93" s="31">
        <f>IF(B93="","",IFERROR(LOOKUP(2,1/(单次交易!$A$2:$A$201=B93),单次交易!$B$2:$B$201),""))</f>
        <v/>
      </c>
      <c r="D93" s="27" t="n"/>
      <c r="E93" s="43" t="n"/>
      <c r="F93" s="43" t="n"/>
      <c r="G93" s="28" t="n"/>
      <c r="H93" s="49" t="n"/>
      <c r="I93" s="43" t="n"/>
      <c r="J93" s="27" t="n"/>
      <c r="K93" s="28" t="n"/>
      <c r="L93" s="28" t="n"/>
      <c r="M93" s="28" t="n"/>
      <c r="N93" s="44">
        <f>IF(B93="","",IFERROR(LOOKUP(2,1/(单次交易!$A$2:$A$201=B93),单次交易!$N$2:$N$201),""))</f>
        <v/>
      </c>
      <c r="O93" s="44">
        <f>IF(A93&lt;&gt;"每日跟踪","",IF(OR(B93="",H93="",I93=""),"",IFERROR(AGGREGATE(14,6,$I$2:$I$501/(($A$2:$A$501="每日跟踪")*($B$2:$B$501=B93)*($H$2:$H$501&lt;=H93)),1),"")))</f>
        <v/>
      </c>
      <c r="P93" s="26">
        <f>IF(A93&lt;&gt;"每日跟踪","",IF(O93="","",IFERROR(AGGREGATE(14,6,$D$2:$D$501/(($A$2:$A$501="止损计划")*($B$2:$B$501=B93)*($E$2:$E$501&lt;=O93)),1),0)))</f>
        <v/>
      </c>
      <c r="Q93" s="44">
        <f>IF(A93&lt;&gt;"每日跟踪","",IF(N93="","",MAX(N93,IFERROR(AGGREGATE(14,6,$F$2:$F$501/(($A$2:$A$501="止损计划")*($B$2:$B$501=B93)*($E$2:$E$501&lt;=O93)),1),0))))</f>
        <v/>
      </c>
      <c r="R93" s="43" t="n"/>
      <c r="S93" s="44">
        <f>IF(A93&lt;&gt;"每日跟踪","",IF(Q93="","",MAX(Q93,IFERROR(AGGREGATE(14,6,$R$2:$R$501/(($A$2:$A$501="每日跟踪")*($B$2:$B$501=B93)*($H$2:$H$501&lt;=H93)),1),0))))</f>
        <v/>
      </c>
      <c r="T93" s="44">
        <f>IF(A93&lt;&gt;"每日跟踪","",IF(O93="","",IF(COUNTIFS($A$2:$A$501,"止损计划",$B$2:$B$501,B93,$E$2:$E$501,"&gt;"&amp;O93)=0,"",AGGREGATE(15,6,$E$2:$E$501/(($A$2:$A$501="止损计划")*($B$2:$B$501=B93)*($E$2:$E$501&gt;O93)),1))))</f>
        <v/>
      </c>
      <c r="U93" s="44">
        <f>IF(OR(A93&lt;&gt;"每日跟踪",T93=""),"",IFERROR(AGGREGATE(14,6,$F$2:$F$501/(($A$2:$A$501="止损计划")*($B$2:$B$501=B93)*($E$2:$E$501=T93)),1),""))</f>
        <v/>
      </c>
      <c r="V93" s="30">
        <f>IF(OR(A93&lt;&gt;"每日跟踪",T93="",I93="",I93&lt;=0),"",T93/I93-1)</f>
        <v/>
      </c>
      <c r="W93" s="31">
        <f>IF(A93&lt;&gt;"每日跟踪","",IF(OR(I93="",S93=""),"",IF(I93&lt;=S93,"触发止损：应全部卖出","继续观察")))</f>
        <v/>
      </c>
      <c r="X93" s="28" t="n"/>
      <c r="Y93" s="43" t="n"/>
      <c r="Z93" s="26">
        <f>IF(X93&lt;&gt;"执行卖出","",IFERROR(LOOKUP(2,1/(单次交易!$A$2:$A$201=B93),单次交易!$AP$2:$AP$201),""))</f>
        <v/>
      </c>
      <c r="AA93" s="43" t="n"/>
      <c r="AB93" s="31">
        <f>IF(A93&lt;&gt;"每日跟踪","",IF(OR(B93="",H93="",I93="",J93="",K93="",L93="",M93=""),"待补充每日记录",IF(W93="触发止损：应全部卖出",IF(X93&lt;&gt;"执行卖出","违规：触发止损但未执行",IF(Y93="","待补充实际卖出价","卖出记录完整")),IF(X93="","待选择卖出动作",IF(X93="执行卖出",IF(Y93="","待补充实际卖出价","卖出记录完整"),"正常")))))</f>
        <v/>
      </c>
      <c r="AC93" s="31">
        <f>IF(A93="","",IF(A93="止损计划",IF(OR(B93="",D93="",E93="",F93="",G93=""),"计划不完整",IF(OR(D93&lt;1,D93&lt;&gt;INT(D93)),"阶段序号无效",IF(COUNTIFS($A$2:$A$501,"止损计划",$B$2:$B$501,B93,$D$2:$D$501,D93)&gt;1,"阶段序号重复",IF(E93&lt;=IFERROR(LOOKUP(2,1/('单次交易'!$A$2:$A$201=B93),'单次交易'!$E$2:$E$201),0),"激活价须高于买入价",IF(F93&lt;N93,"止损价不得低于初始止损",IF(F93&gt;E93,"止损价不得高于激活价",IF(AND(COUNTIFS($A$2:$A$501,"止损计划",$B$2:$B$501,B93,$D$2:$D$501,"&lt;"&amp;D93)&gt;0,OR(E93&lt;=AGGREGATE(14,6,$E$2:$E$501/(($A$2:$A$501="止损计划")*($B$2:$B$501=B93)*($D$2:$D$501&lt;D93)),1),F93&lt;AGGREGATE(14,6,$F$2:$F$501/(($A$2:$A$501="止损计划")*($B$2:$B$501=B93)*($D$2:$D$501&lt;D93)),1))),"阶段价格必须逐级提高","计划有效"))))))),IF(A93="每日跟踪",IF(OR(B93="",H93="",I93="",J93=""),"每日数据不完整",IF(COUNTIFS($A$2:$A$501,"每日跟踪",$B$2:$B$501,B93,$H$2:$H$501,H93)&gt;1,"同一交易日期重复",IF(AND(R93&lt;&gt;"",R93&lt;S93),"人工止损无效：不能下调","跟踪有效"))),"记录类型无效")))</f>
        <v/>
      </c>
    </row>
    <row r="94">
      <c r="A94" s="28" t="n"/>
      <c r="B94" s="28" t="n"/>
      <c r="C94" s="31">
        <f>IF(B94="","",IFERROR(LOOKUP(2,1/(单次交易!$A$2:$A$201=B94),单次交易!$B$2:$B$201),""))</f>
        <v/>
      </c>
      <c r="D94" s="27" t="n"/>
      <c r="E94" s="43" t="n"/>
      <c r="F94" s="43" t="n"/>
      <c r="G94" s="28" t="n"/>
      <c r="H94" s="49" t="n"/>
      <c r="I94" s="43" t="n"/>
      <c r="J94" s="27" t="n"/>
      <c r="K94" s="28" t="n"/>
      <c r="L94" s="28" t="n"/>
      <c r="M94" s="28" t="n"/>
      <c r="N94" s="44">
        <f>IF(B94="","",IFERROR(LOOKUP(2,1/(单次交易!$A$2:$A$201=B94),单次交易!$N$2:$N$201),""))</f>
        <v/>
      </c>
      <c r="O94" s="44">
        <f>IF(A94&lt;&gt;"每日跟踪","",IF(OR(B94="",H94="",I94=""),"",IFERROR(AGGREGATE(14,6,$I$2:$I$501/(($A$2:$A$501="每日跟踪")*($B$2:$B$501=B94)*($H$2:$H$501&lt;=H94)),1),"")))</f>
        <v/>
      </c>
      <c r="P94" s="26">
        <f>IF(A94&lt;&gt;"每日跟踪","",IF(O94="","",IFERROR(AGGREGATE(14,6,$D$2:$D$501/(($A$2:$A$501="止损计划")*($B$2:$B$501=B94)*($E$2:$E$501&lt;=O94)),1),0)))</f>
        <v/>
      </c>
      <c r="Q94" s="44">
        <f>IF(A94&lt;&gt;"每日跟踪","",IF(N94="","",MAX(N94,IFERROR(AGGREGATE(14,6,$F$2:$F$501/(($A$2:$A$501="止损计划")*($B$2:$B$501=B94)*($E$2:$E$501&lt;=O94)),1),0))))</f>
        <v/>
      </c>
      <c r="R94" s="43" t="n"/>
      <c r="S94" s="44">
        <f>IF(A94&lt;&gt;"每日跟踪","",IF(Q94="","",MAX(Q94,IFERROR(AGGREGATE(14,6,$R$2:$R$501/(($A$2:$A$501="每日跟踪")*($B$2:$B$501=B94)*($H$2:$H$501&lt;=H94)),1),0))))</f>
        <v/>
      </c>
      <c r="T94" s="44">
        <f>IF(A94&lt;&gt;"每日跟踪","",IF(O94="","",IF(COUNTIFS($A$2:$A$501,"止损计划",$B$2:$B$501,B94,$E$2:$E$501,"&gt;"&amp;O94)=0,"",AGGREGATE(15,6,$E$2:$E$501/(($A$2:$A$501="止损计划")*($B$2:$B$501=B94)*($E$2:$E$501&gt;O94)),1))))</f>
        <v/>
      </c>
      <c r="U94" s="44">
        <f>IF(OR(A94&lt;&gt;"每日跟踪",T94=""),"",IFERROR(AGGREGATE(14,6,$F$2:$F$501/(($A$2:$A$501="止损计划")*($B$2:$B$501=B94)*($E$2:$E$501=T94)),1),""))</f>
        <v/>
      </c>
      <c r="V94" s="30">
        <f>IF(OR(A94&lt;&gt;"每日跟踪",T94="",I94="",I94&lt;=0),"",T94/I94-1)</f>
        <v/>
      </c>
      <c r="W94" s="31">
        <f>IF(A94&lt;&gt;"每日跟踪","",IF(OR(I94="",S94=""),"",IF(I94&lt;=S94,"触发止损：应全部卖出","继续观察")))</f>
        <v/>
      </c>
      <c r="X94" s="28" t="n"/>
      <c r="Y94" s="43" t="n"/>
      <c r="Z94" s="26">
        <f>IF(X94&lt;&gt;"执行卖出","",IFERROR(LOOKUP(2,1/(单次交易!$A$2:$A$201=B94),单次交易!$AP$2:$AP$201),""))</f>
        <v/>
      </c>
      <c r="AA94" s="43" t="n"/>
      <c r="AB94" s="31">
        <f>IF(A94&lt;&gt;"每日跟踪","",IF(OR(B94="",H94="",I94="",J94="",K94="",L94="",M94=""),"待补充每日记录",IF(W94="触发止损：应全部卖出",IF(X94&lt;&gt;"执行卖出","违规：触发止损但未执行",IF(Y94="","待补充实际卖出价","卖出记录完整")),IF(X94="","待选择卖出动作",IF(X94="执行卖出",IF(Y94="","待补充实际卖出价","卖出记录完整"),"正常")))))</f>
        <v/>
      </c>
      <c r="AC94" s="31">
        <f>IF(A94="","",IF(A94="止损计划",IF(OR(B94="",D94="",E94="",F94="",G94=""),"计划不完整",IF(OR(D94&lt;1,D94&lt;&gt;INT(D94)),"阶段序号无效",IF(COUNTIFS($A$2:$A$501,"止损计划",$B$2:$B$501,B94,$D$2:$D$501,D94)&gt;1,"阶段序号重复",IF(E94&lt;=IFERROR(LOOKUP(2,1/('单次交易'!$A$2:$A$201=B94),'单次交易'!$E$2:$E$201),0),"激活价须高于买入价",IF(F94&lt;N94,"止损价不得低于初始止损",IF(F94&gt;E94,"止损价不得高于激活价",IF(AND(COUNTIFS($A$2:$A$501,"止损计划",$B$2:$B$501,B94,$D$2:$D$501,"&lt;"&amp;D94)&gt;0,OR(E94&lt;=AGGREGATE(14,6,$E$2:$E$501/(($A$2:$A$501="止损计划")*($B$2:$B$501=B94)*($D$2:$D$501&lt;D94)),1),F94&lt;AGGREGATE(14,6,$F$2:$F$501/(($A$2:$A$501="止损计划")*($B$2:$B$501=B94)*($D$2:$D$501&lt;D94)),1))),"阶段价格必须逐级提高","计划有效"))))))),IF(A94="每日跟踪",IF(OR(B94="",H94="",I94="",J94=""),"每日数据不完整",IF(COUNTIFS($A$2:$A$501,"每日跟踪",$B$2:$B$501,B94,$H$2:$H$501,H94)&gt;1,"同一交易日期重复",IF(AND(R94&lt;&gt;"",R94&lt;S94),"人工止损无效：不能下调","跟踪有效"))),"记录类型无效")))</f>
        <v/>
      </c>
    </row>
    <row r="95">
      <c r="A95" s="28" t="n"/>
      <c r="B95" s="28" t="n"/>
      <c r="C95" s="31">
        <f>IF(B95="","",IFERROR(LOOKUP(2,1/(单次交易!$A$2:$A$201=B95),单次交易!$B$2:$B$201),""))</f>
        <v/>
      </c>
      <c r="D95" s="27" t="n"/>
      <c r="E95" s="43" t="n"/>
      <c r="F95" s="43" t="n"/>
      <c r="G95" s="28" t="n"/>
      <c r="H95" s="49" t="n"/>
      <c r="I95" s="43" t="n"/>
      <c r="J95" s="27" t="n"/>
      <c r="K95" s="28" t="n"/>
      <c r="L95" s="28" t="n"/>
      <c r="M95" s="28" t="n"/>
      <c r="N95" s="44">
        <f>IF(B95="","",IFERROR(LOOKUP(2,1/(单次交易!$A$2:$A$201=B95),单次交易!$N$2:$N$201),""))</f>
        <v/>
      </c>
      <c r="O95" s="44">
        <f>IF(A95&lt;&gt;"每日跟踪","",IF(OR(B95="",H95="",I95=""),"",IFERROR(AGGREGATE(14,6,$I$2:$I$501/(($A$2:$A$501="每日跟踪")*($B$2:$B$501=B95)*($H$2:$H$501&lt;=H95)),1),"")))</f>
        <v/>
      </c>
      <c r="P95" s="26">
        <f>IF(A95&lt;&gt;"每日跟踪","",IF(O95="","",IFERROR(AGGREGATE(14,6,$D$2:$D$501/(($A$2:$A$501="止损计划")*($B$2:$B$501=B95)*($E$2:$E$501&lt;=O95)),1),0)))</f>
        <v/>
      </c>
      <c r="Q95" s="44">
        <f>IF(A95&lt;&gt;"每日跟踪","",IF(N95="","",MAX(N95,IFERROR(AGGREGATE(14,6,$F$2:$F$501/(($A$2:$A$501="止损计划")*($B$2:$B$501=B95)*($E$2:$E$501&lt;=O95)),1),0))))</f>
        <v/>
      </c>
      <c r="R95" s="43" t="n"/>
      <c r="S95" s="44">
        <f>IF(A95&lt;&gt;"每日跟踪","",IF(Q95="","",MAX(Q95,IFERROR(AGGREGATE(14,6,$R$2:$R$501/(($A$2:$A$501="每日跟踪")*($B$2:$B$501=B95)*($H$2:$H$501&lt;=H95)),1),0))))</f>
        <v/>
      </c>
      <c r="T95" s="44">
        <f>IF(A95&lt;&gt;"每日跟踪","",IF(O95="","",IF(COUNTIFS($A$2:$A$501,"止损计划",$B$2:$B$501,B95,$E$2:$E$501,"&gt;"&amp;O95)=0,"",AGGREGATE(15,6,$E$2:$E$501/(($A$2:$A$501="止损计划")*($B$2:$B$501=B95)*($E$2:$E$501&gt;O95)),1))))</f>
        <v/>
      </c>
      <c r="U95" s="44">
        <f>IF(OR(A95&lt;&gt;"每日跟踪",T95=""),"",IFERROR(AGGREGATE(14,6,$F$2:$F$501/(($A$2:$A$501="止损计划")*($B$2:$B$501=B95)*($E$2:$E$501=T95)),1),""))</f>
        <v/>
      </c>
      <c r="V95" s="30">
        <f>IF(OR(A95&lt;&gt;"每日跟踪",T95="",I95="",I95&lt;=0),"",T95/I95-1)</f>
        <v/>
      </c>
      <c r="W95" s="31">
        <f>IF(A95&lt;&gt;"每日跟踪","",IF(OR(I95="",S95=""),"",IF(I95&lt;=S95,"触发止损：应全部卖出","继续观察")))</f>
        <v/>
      </c>
      <c r="X95" s="28" t="n"/>
      <c r="Y95" s="43" t="n"/>
      <c r="Z95" s="26">
        <f>IF(X95&lt;&gt;"执行卖出","",IFERROR(LOOKUP(2,1/(单次交易!$A$2:$A$201=B95),单次交易!$AP$2:$AP$201),""))</f>
        <v/>
      </c>
      <c r="AA95" s="43" t="n"/>
      <c r="AB95" s="31">
        <f>IF(A95&lt;&gt;"每日跟踪","",IF(OR(B95="",H95="",I95="",J95="",K95="",L95="",M95=""),"待补充每日记录",IF(W95="触发止损：应全部卖出",IF(X95&lt;&gt;"执行卖出","违规：触发止损但未执行",IF(Y95="","待补充实际卖出价","卖出记录完整")),IF(X95="","待选择卖出动作",IF(X95="执行卖出",IF(Y95="","待补充实际卖出价","卖出记录完整"),"正常")))))</f>
        <v/>
      </c>
      <c r="AC95" s="31">
        <f>IF(A95="","",IF(A95="止损计划",IF(OR(B95="",D95="",E95="",F95="",G95=""),"计划不完整",IF(OR(D95&lt;1,D95&lt;&gt;INT(D95)),"阶段序号无效",IF(COUNTIFS($A$2:$A$501,"止损计划",$B$2:$B$501,B95,$D$2:$D$501,D95)&gt;1,"阶段序号重复",IF(E95&lt;=IFERROR(LOOKUP(2,1/('单次交易'!$A$2:$A$201=B95),'单次交易'!$E$2:$E$201),0),"激活价须高于买入价",IF(F95&lt;N95,"止损价不得低于初始止损",IF(F95&gt;E95,"止损价不得高于激活价",IF(AND(COUNTIFS($A$2:$A$501,"止损计划",$B$2:$B$501,B95,$D$2:$D$501,"&lt;"&amp;D95)&gt;0,OR(E95&lt;=AGGREGATE(14,6,$E$2:$E$501/(($A$2:$A$501="止损计划")*($B$2:$B$501=B95)*($D$2:$D$501&lt;D95)),1),F95&lt;AGGREGATE(14,6,$F$2:$F$501/(($A$2:$A$501="止损计划")*($B$2:$B$501=B95)*($D$2:$D$501&lt;D95)),1))),"阶段价格必须逐级提高","计划有效"))))))),IF(A95="每日跟踪",IF(OR(B95="",H95="",I95="",J95=""),"每日数据不完整",IF(COUNTIFS($A$2:$A$501,"每日跟踪",$B$2:$B$501,B95,$H$2:$H$501,H95)&gt;1,"同一交易日期重复",IF(AND(R95&lt;&gt;"",R95&lt;S95),"人工止损无效：不能下调","跟踪有效"))),"记录类型无效")))</f>
        <v/>
      </c>
    </row>
    <row r="96">
      <c r="A96" s="28" t="n"/>
      <c r="B96" s="28" t="n"/>
      <c r="C96" s="31">
        <f>IF(B96="","",IFERROR(LOOKUP(2,1/(单次交易!$A$2:$A$201=B96),单次交易!$B$2:$B$201),""))</f>
        <v/>
      </c>
      <c r="D96" s="27" t="n"/>
      <c r="E96" s="43" t="n"/>
      <c r="F96" s="43" t="n"/>
      <c r="G96" s="28" t="n"/>
      <c r="H96" s="49" t="n"/>
      <c r="I96" s="43" t="n"/>
      <c r="J96" s="27" t="n"/>
      <c r="K96" s="28" t="n"/>
      <c r="L96" s="28" t="n"/>
      <c r="M96" s="28" t="n"/>
      <c r="N96" s="44">
        <f>IF(B96="","",IFERROR(LOOKUP(2,1/(单次交易!$A$2:$A$201=B96),单次交易!$N$2:$N$201),""))</f>
        <v/>
      </c>
      <c r="O96" s="44">
        <f>IF(A96&lt;&gt;"每日跟踪","",IF(OR(B96="",H96="",I96=""),"",IFERROR(AGGREGATE(14,6,$I$2:$I$501/(($A$2:$A$501="每日跟踪")*($B$2:$B$501=B96)*($H$2:$H$501&lt;=H96)),1),"")))</f>
        <v/>
      </c>
      <c r="P96" s="26">
        <f>IF(A96&lt;&gt;"每日跟踪","",IF(O96="","",IFERROR(AGGREGATE(14,6,$D$2:$D$501/(($A$2:$A$501="止损计划")*($B$2:$B$501=B96)*($E$2:$E$501&lt;=O96)),1),0)))</f>
        <v/>
      </c>
      <c r="Q96" s="44">
        <f>IF(A96&lt;&gt;"每日跟踪","",IF(N96="","",MAX(N96,IFERROR(AGGREGATE(14,6,$F$2:$F$501/(($A$2:$A$501="止损计划")*($B$2:$B$501=B96)*($E$2:$E$501&lt;=O96)),1),0))))</f>
        <v/>
      </c>
      <c r="R96" s="43" t="n"/>
      <c r="S96" s="44">
        <f>IF(A96&lt;&gt;"每日跟踪","",IF(Q96="","",MAX(Q96,IFERROR(AGGREGATE(14,6,$R$2:$R$501/(($A$2:$A$501="每日跟踪")*($B$2:$B$501=B96)*($H$2:$H$501&lt;=H96)),1),0))))</f>
        <v/>
      </c>
      <c r="T96" s="44">
        <f>IF(A96&lt;&gt;"每日跟踪","",IF(O96="","",IF(COUNTIFS($A$2:$A$501,"止损计划",$B$2:$B$501,B96,$E$2:$E$501,"&gt;"&amp;O96)=0,"",AGGREGATE(15,6,$E$2:$E$501/(($A$2:$A$501="止损计划")*($B$2:$B$501=B96)*($E$2:$E$501&gt;O96)),1))))</f>
        <v/>
      </c>
      <c r="U96" s="44">
        <f>IF(OR(A96&lt;&gt;"每日跟踪",T96=""),"",IFERROR(AGGREGATE(14,6,$F$2:$F$501/(($A$2:$A$501="止损计划")*($B$2:$B$501=B96)*($E$2:$E$501=T96)),1),""))</f>
        <v/>
      </c>
      <c r="V96" s="30">
        <f>IF(OR(A96&lt;&gt;"每日跟踪",T96="",I96="",I96&lt;=0),"",T96/I96-1)</f>
        <v/>
      </c>
      <c r="W96" s="31">
        <f>IF(A96&lt;&gt;"每日跟踪","",IF(OR(I96="",S96=""),"",IF(I96&lt;=S96,"触发止损：应全部卖出","继续观察")))</f>
        <v/>
      </c>
      <c r="X96" s="28" t="n"/>
      <c r="Y96" s="43" t="n"/>
      <c r="Z96" s="26">
        <f>IF(X96&lt;&gt;"执行卖出","",IFERROR(LOOKUP(2,1/(单次交易!$A$2:$A$201=B96),单次交易!$AP$2:$AP$201),""))</f>
        <v/>
      </c>
      <c r="AA96" s="43" t="n"/>
      <c r="AB96" s="31">
        <f>IF(A96&lt;&gt;"每日跟踪","",IF(OR(B96="",H96="",I96="",J96="",K96="",L96="",M96=""),"待补充每日记录",IF(W96="触发止损：应全部卖出",IF(X96&lt;&gt;"执行卖出","违规：触发止损但未执行",IF(Y96="","待补充实际卖出价","卖出记录完整")),IF(X96="","待选择卖出动作",IF(X96="执行卖出",IF(Y96="","待补充实际卖出价","卖出记录完整"),"正常")))))</f>
        <v/>
      </c>
      <c r="AC96" s="31">
        <f>IF(A96="","",IF(A96="止损计划",IF(OR(B96="",D96="",E96="",F96="",G96=""),"计划不完整",IF(OR(D96&lt;1,D96&lt;&gt;INT(D96)),"阶段序号无效",IF(COUNTIFS($A$2:$A$501,"止损计划",$B$2:$B$501,B96,$D$2:$D$501,D96)&gt;1,"阶段序号重复",IF(E96&lt;=IFERROR(LOOKUP(2,1/('单次交易'!$A$2:$A$201=B96),'单次交易'!$E$2:$E$201),0),"激活价须高于买入价",IF(F96&lt;N96,"止损价不得低于初始止损",IF(F96&gt;E96,"止损价不得高于激活价",IF(AND(COUNTIFS($A$2:$A$501,"止损计划",$B$2:$B$501,B96,$D$2:$D$501,"&lt;"&amp;D96)&gt;0,OR(E96&lt;=AGGREGATE(14,6,$E$2:$E$501/(($A$2:$A$501="止损计划")*($B$2:$B$501=B96)*($D$2:$D$501&lt;D96)),1),F96&lt;AGGREGATE(14,6,$F$2:$F$501/(($A$2:$A$501="止损计划")*($B$2:$B$501=B96)*($D$2:$D$501&lt;D96)),1))),"阶段价格必须逐级提高","计划有效"))))))),IF(A96="每日跟踪",IF(OR(B96="",H96="",I96="",J96=""),"每日数据不完整",IF(COUNTIFS($A$2:$A$501,"每日跟踪",$B$2:$B$501,B96,$H$2:$H$501,H96)&gt;1,"同一交易日期重复",IF(AND(R96&lt;&gt;"",R96&lt;S96),"人工止损无效：不能下调","跟踪有效"))),"记录类型无效")))</f>
        <v/>
      </c>
    </row>
    <row r="97">
      <c r="A97" s="28" t="n"/>
      <c r="B97" s="28" t="n"/>
      <c r="C97" s="31">
        <f>IF(B97="","",IFERROR(LOOKUP(2,1/(单次交易!$A$2:$A$201=B97),单次交易!$B$2:$B$201),""))</f>
        <v/>
      </c>
      <c r="D97" s="27" t="n"/>
      <c r="E97" s="43" t="n"/>
      <c r="F97" s="43" t="n"/>
      <c r="G97" s="28" t="n"/>
      <c r="H97" s="49" t="n"/>
      <c r="I97" s="43" t="n"/>
      <c r="J97" s="27" t="n"/>
      <c r="K97" s="28" t="n"/>
      <c r="L97" s="28" t="n"/>
      <c r="M97" s="28" t="n"/>
      <c r="N97" s="44">
        <f>IF(B97="","",IFERROR(LOOKUP(2,1/(单次交易!$A$2:$A$201=B97),单次交易!$N$2:$N$201),""))</f>
        <v/>
      </c>
      <c r="O97" s="44">
        <f>IF(A97&lt;&gt;"每日跟踪","",IF(OR(B97="",H97="",I97=""),"",IFERROR(AGGREGATE(14,6,$I$2:$I$501/(($A$2:$A$501="每日跟踪")*($B$2:$B$501=B97)*($H$2:$H$501&lt;=H97)),1),"")))</f>
        <v/>
      </c>
      <c r="P97" s="26">
        <f>IF(A97&lt;&gt;"每日跟踪","",IF(O97="","",IFERROR(AGGREGATE(14,6,$D$2:$D$501/(($A$2:$A$501="止损计划")*($B$2:$B$501=B97)*($E$2:$E$501&lt;=O97)),1),0)))</f>
        <v/>
      </c>
      <c r="Q97" s="44">
        <f>IF(A97&lt;&gt;"每日跟踪","",IF(N97="","",MAX(N97,IFERROR(AGGREGATE(14,6,$F$2:$F$501/(($A$2:$A$501="止损计划")*($B$2:$B$501=B97)*($E$2:$E$501&lt;=O97)),1),0))))</f>
        <v/>
      </c>
      <c r="R97" s="43" t="n"/>
      <c r="S97" s="44">
        <f>IF(A97&lt;&gt;"每日跟踪","",IF(Q97="","",MAX(Q97,IFERROR(AGGREGATE(14,6,$R$2:$R$501/(($A$2:$A$501="每日跟踪")*($B$2:$B$501=B97)*($H$2:$H$501&lt;=H97)),1),0))))</f>
        <v/>
      </c>
      <c r="T97" s="44">
        <f>IF(A97&lt;&gt;"每日跟踪","",IF(O97="","",IF(COUNTIFS($A$2:$A$501,"止损计划",$B$2:$B$501,B97,$E$2:$E$501,"&gt;"&amp;O97)=0,"",AGGREGATE(15,6,$E$2:$E$501/(($A$2:$A$501="止损计划")*($B$2:$B$501=B97)*($E$2:$E$501&gt;O97)),1))))</f>
        <v/>
      </c>
      <c r="U97" s="44">
        <f>IF(OR(A97&lt;&gt;"每日跟踪",T97=""),"",IFERROR(AGGREGATE(14,6,$F$2:$F$501/(($A$2:$A$501="止损计划")*($B$2:$B$501=B97)*($E$2:$E$501=T97)),1),""))</f>
        <v/>
      </c>
      <c r="V97" s="30">
        <f>IF(OR(A97&lt;&gt;"每日跟踪",T97="",I97="",I97&lt;=0),"",T97/I97-1)</f>
        <v/>
      </c>
      <c r="W97" s="31">
        <f>IF(A97&lt;&gt;"每日跟踪","",IF(OR(I97="",S97=""),"",IF(I97&lt;=S97,"触发止损：应全部卖出","继续观察")))</f>
        <v/>
      </c>
      <c r="X97" s="28" t="n"/>
      <c r="Y97" s="43" t="n"/>
      <c r="Z97" s="26">
        <f>IF(X97&lt;&gt;"执行卖出","",IFERROR(LOOKUP(2,1/(单次交易!$A$2:$A$201=B97),单次交易!$AP$2:$AP$201),""))</f>
        <v/>
      </c>
      <c r="AA97" s="43" t="n"/>
      <c r="AB97" s="31">
        <f>IF(A97&lt;&gt;"每日跟踪","",IF(OR(B97="",H97="",I97="",J97="",K97="",L97="",M97=""),"待补充每日记录",IF(W97="触发止损：应全部卖出",IF(X97&lt;&gt;"执行卖出","违规：触发止损但未执行",IF(Y97="","待补充实际卖出价","卖出记录完整")),IF(X97="","待选择卖出动作",IF(X97="执行卖出",IF(Y97="","待补充实际卖出价","卖出记录完整"),"正常")))))</f>
        <v/>
      </c>
      <c r="AC97" s="31">
        <f>IF(A97="","",IF(A97="止损计划",IF(OR(B97="",D97="",E97="",F97="",G97=""),"计划不完整",IF(OR(D97&lt;1,D97&lt;&gt;INT(D97)),"阶段序号无效",IF(COUNTIFS($A$2:$A$501,"止损计划",$B$2:$B$501,B97,$D$2:$D$501,D97)&gt;1,"阶段序号重复",IF(E97&lt;=IFERROR(LOOKUP(2,1/('单次交易'!$A$2:$A$201=B97),'单次交易'!$E$2:$E$201),0),"激活价须高于买入价",IF(F97&lt;N97,"止损价不得低于初始止损",IF(F97&gt;E97,"止损价不得高于激活价",IF(AND(COUNTIFS($A$2:$A$501,"止损计划",$B$2:$B$501,B97,$D$2:$D$501,"&lt;"&amp;D97)&gt;0,OR(E97&lt;=AGGREGATE(14,6,$E$2:$E$501/(($A$2:$A$501="止损计划")*($B$2:$B$501=B97)*($D$2:$D$501&lt;D97)),1),F97&lt;AGGREGATE(14,6,$F$2:$F$501/(($A$2:$A$501="止损计划")*($B$2:$B$501=B97)*($D$2:$D$501&lt;D97)),1))),"阶段价格必须逐级提高","计划有效"))))))),IF(A97="每日跟踪",IF(OR(B97="",H97="",I97="",J97=""),"每日数据不完整",IF(COUNTIFS($A$2:$A$501,"每日跟踪",$B$2:$B$501,B97,$H$2:$H$501,H97)&gt;1,"同一交易日期重复",IF(AND(R97&lt;&gt;"",R97&lt;S97),"人工止损无效：不能下调","跟踪有效"))),"记录类型无效")))</f>
        <v/>
      </c>
    </row>
    <row r="98">
      <c r="A98" s="28" t="n"/>
      <c r="B98" s="28" t="n"/>
      <c r="C98" s="31">
        <f>IF(B98="","",IFERROR(LOOKUP(2,1/(单次交易!$A$2:$A$201=B98),单次交易!$B$2:$B$201),""))</f>
        <v/>
      </c>
      <c r="D98" s="27" t="n"/>
      <c r="E98" s="43" t="n"/>
      <c r="F98" s="43" t="n"/>
      <c r="G98" s="28" t="n"/>
      <c r="H98" s="49" t="n"/>
      <c r="I98" s="43" t="n"/>
      <c r="J98" s="27" t="n"/>
      <c r="K98" s="28" t="n"/>
      <c r="L98" s="28" t="n"/>
      <c r="M98" s="28" t="n"/>
      <c r="N98" s="44">
        <f>IF(B98="","",IFERROR(LOOKUP(2,1/(单次交易!$A$2:$A$201=B98),单次交易!$N$2:$N$201),""))</f>
        <v/>
      </c>
      <c r="O98" s="44">
        <f>IF(A98&lt;&gt;"每日跟踪","",IF(OR(B98="",H98="",I98=""),"",IFERROR(AGGREGATE(14,6,$I$2:$I$501/(($A$2:$A$501="每日跟踪")*($B$2:$B$501=B98)*($H$2:$H$501&lt;=H98)),1),"")))</f>
        <v/>
      </c>
      <c r="P98" s="26">
        <f>IF(A98&lt;&gt;"每日跟踪","",IF(O98="","",IFERROR(AGGREGATE(14,6,$D$2:$D$501/(($A$2:$A$501="止损计划")*($B$2:$B$501=B98)*($E$2:$E$501&lt;=O98)),1),0)))</f>
        <v/>
      </c>
      <c r="Q98" s="44">
        <f>IF(A98&lt;&gt;"每日跟踪","",IF(N98="","",MAX(N98,IFERROR(AGGREGATE(14,6,$F$2:$F$501/(($A$2:$A$501="止损计划")*($B$2:$B$501=B98)*($E$2:$E$501&lt;=O98)),1),0))))</f>
        <v/>
      </c>
      <c r="R98" s="43" t="n"/>
      <c r="S98" s="44">
        <f>IF(A98&lt;&gt;"每日跟踪","",IF(Q98="","",MAX(Q98,IFERROR(AGGREGATE(14,6,$R$2:$R$501/(($A$2:$A$501="每日跟踪")*($B$2:$B$501=B98)*($H$2:$H$501&lt;=H98)),1),0))))</f>
        <v/>
      </c>
      <c r="T98" s="44">
        <f>IF(A98&lt;&gt;"每日跟踪","",IF(O98="","",IF(COUNTIFS($A$2:$A$501,"止损计划",$B$2:$B$501,B98,$E$2:$E$501,"&gt;"&amp;O98)=0,"",AGGREGATE(15,6,$E$2:$E$501/(($A$2:$A$501="止损计划")*($B$2:$B$501=B98)*($E$2:$E$501&gt;O98)),1))))</f>
        <v/>
      </c>
      <c r="U98" s="44">
        <f>IF(OR(A98&lt;&gt;"每日跟踪",T98=""),"",IFERROR(AGGREGATE(14,6,$F$2:$F$501/(($A$2:$A$501="止损计划")*($B$2:$B$501=B98)*($E$2:$E$501=T98)),1),""))</f>
        <v/>
      </c>
      <c r="V98" s="30">
        <f>IF(OR(A98&lt;&gt;"每日跟踪",T98="",I98="",I98&lt;=0),"",T98/I98-1)</f>
        <v/>
      </c>
      <c r="W98" s="31">
        <f>IF(A98&lt;&gt;"每日跟踪","",IF(OR(I98="",S98=""),"",IF(I98&lt;=S98,"触发止损：应全部卖出","继续观察")))</f>
        <v/>
      </c>
      <c r="X98" s="28" t="n"/>
      <c r="Y98" s="43" t="n"/>
      <c r="Z98" s="26">
        <f>IF(X98&lt;&gt;"执行卖出","",IFERROR(LOOKUP(2,1/(单次交易!$A$2:$A$201=B98),单次交易!$AP$2:$AP$201),""))</f>
        <v/>
      </c>
      <c r="AA98" s="43" t="n"/>
      <c r="AB98" s="31">
        <f>IF(A98&lt;&gt;"每日跟踪","",IF(OR(B98="",H98="",I98="",J98="",K98="",L98="",M98=""),"待补充每日记录",IF(W98="触发止损：应全部卖出",IF(X98&lt;&gt;"执行卖出","违规：触发止损但未执行",IF(Y98="","待补充实际卖出价","卖出记录完整")),IF(X98="","待选择卖出动作",IF(X98="执行卖出",IF(Y98="","待补充实际卖出价","卖出记录完整"),"正常")))))</f>
        <v/>
      </c>
      <c r="AC98" s="31">
        <f>IF(A98="","",IF(A98="止损计划",IF(OR(B98="",D98="",E98="",F98="",G98=""),"计划不完整",IF(OR(D98&lt;1,D98&lt;&gt;INT(D98)),"阶段序号无效",IF(COUNTIFS($A$2:$A$501,"止损计划",$B$2:$B$501,B98,$D$2:$D$501,D98)&gt;1,"阶段序号重复",IF(E98&lt;=IFERROR(LOOKUP(2,1/('单次交易'!$A$2:$A$201=B98),'单次交易'!$E$2:$E$201),0),"激活价须高于买入价",IF(F98&lt;N98,"止损价不得低于初始止损",IF(F98&gt;E98,"止损价不得高于激活价",IF(AND(COUNTIFS($A$2:$A$501,"止损计划",$B$2:$B$501,B98,$D$2:$D$501,"&lt;"&amp;D98)&gt;0,OR(E98&lt;=AGGREGATE(14,6,$E$2:$E$501/(($A$2:$A$501="止损计划")*($B$2:$B$501=B98)*($D$2:$D$501&lt;D98)),1),F98&lt;AGGREGATE(14,6,$F$2:$F$501/(($A$2:$A$501="止损计划")*($B$2:$B$501=B98)*($D$2:$D$501&lt;D98)),1))),"阶段价格必须逐级提高","计划有效"))))))),IF(A98="每日跟踪",IF(OR(B98="",H98="",I98="",J98=""),"每日数据不完整",IF(COUNTIFS($A$2:$A$501,"每日跟踪",$B$2:$B$501,B98,$H$2:$H$501,H98)&gt;1,"同一交易日期重复",IF(AND(R98&lt;&gt;"",R98&lt;S98),"人工止损无效：不能下调","跟踪有效"))),"记录类型无效")))</f>
        <v/>
      </c>
    </row>
    <row r="99">
      <c r="A99" s="28" t="n"/>
      <c r="B99" s="28" t="n"/>
      <c r="C99" s="31">
        <f>IF(B99="","",IFERROR(LOOKUP(2,1/(单次交易!$A$2:$A$201=B99),单次交易!$B$2:$B$201),""))</f>
        <v/>
      </c>
      <c r="D99" s="27" t="n"/>
      <c r="E99" s="43" t="n"/>
      <c r="F99" s="43" t="n"/>
      <c r="G99" s="28" t="n"/>
      <c r="H99" s="49" t="n"/>
      <c r="I99" s="43" t="n"/>
      <c r="J99" s="27" t="n"/>
      <c r="K99" s="28" t="n"/>
      <c r="L99" s="28" t="n"/>
      <c r="M99" s="28" t="n"/>
      <c r="N99" s="44">
        <f>IF(B99="","",IFERROR(LOOKUP(2,1/(单次交易!$A$2:$A$201=B99),单次交易!$N$2:$N$201),""))</f>
        <v/>
      </c>
      <c r="O99" s="44">
        <f>IF(A99&lt;&gt;"每日跟踪","",IF(OR(B99="",H99="",I99=""),"",IFERROR(AGGREGATE(14,6,$I$2:$I$501/(($A$2:$A$501="每日跟踪")*($B$2:$B$501=B99)*($H$2:$H$501&lt;=H99)),1),"")))</f>
        <v/>
      </c>
      <c r="P99" s="26">
        <f>IF(A99&lt;&gt;"每日跟踪","",IF(O99="","",IFERROR(AGGREGATE(14,6,$D$2:$D$501/(($A$2:$A$501="止损计划")*($B$2:$B$501=B99)*($E$2:$E$501&lt;=O99)),1),0)))</f>
        <v/>
      </c>
      <c r="Q99" s="44">
        <f>IF(A99&lt;&gt;"每日跟踪","",IF(N99="","",MAX(N99,IFERROR(AGGREGATE(14,6,$F$2:$F$501/(($A$2:$A$501="止损计划")*($B$2:$B$501=B99)*($E$2:$E$501&lt;=O99)),1),0))))</f>
        <v/>
      </c>
      <c r="R99" s="43" t="n"/>
      <c r="S99" s="44">
        <f>IF(A99&lt;&gt;"每日跟踪","",IF(Q99="","",MAX(Q99,IFERROR(AGGREGATE(14,6,$R$2:$R$501/(($A$2:$A$501="每日跟踪")*($B$2:$B$501=B99)*($H$2:$H$501&lt;=H99)),1),0))))</f>
        <v/>
      </c>
      <c r="T99" s="44">
        <f>IF(A99&lt;&gt;"每日跟踪","",IF(O99="","",IF(COUNTIFS($A$2:$A$501,"止损计划",$B$2:$B$501,B99,$E$2:$E$501,"&gt;"&amp;O99)=0,"",AGGREGATE(15,6,$E$2:$E$501/(($A$2:$A$501="止损计划")*($B$2:$B$501=B99)*($E$2:$E$501&gt;O99)),1))))</f>
        <v/>
      </c>
      <c r="U99" s="44">
        <f>IF(OR(A99&lt;&gt;"每日跟踪",T99=""),"",IFERROR(AGGREGATE(14,6,$F$2:$F$501/(($A$2:$A$501="止损计划")*($B$2:$B$501=B99)*($E$2:$E$501=T99)),1),""))</f>
        <v/>
      </c>
      <c r="V99" s="30">
        <f>IF(OR(A99&lt;&gt;"每日跟踪",T99="",I99="",I99&lt;=0),"",T99/I99-1)</f>
        <v/>
      </c>
      <c r="W99" s="31">
        <f>IF(A99&lt;&gt;"每日跟踪","",IF(OR(I99="",S99=""),"",IF(I99&lt;=S99,"触发止损：应全部卖出","继续观察")))</f>
        <v/>
      </c>
      <c r="X99" s="28" t="n"/>
      <c r="Y99" s="43" t="n"/>
      <c r="Z99" s="26">
        <f>IF(X99&lt;&gt;"执行卖出","",IFERROR(LOOKUP(2,1/(单次交易!$A$2:$A$201=B99),单次交易!$AP$2:$AP$201),""))</f>
        <v/>
      </c>
      <c r="AA99" s="43" t="n"/>
      <c r="AB99" s="31">
        <f>IF(A99&lt;&gt;"每日跟踪","",IF(OR(B99="",H99="",I99="",J99="",K99="",L99="",M99=""),"待补充每日记录",IF(W99="触发止损：应全部卖出",IF(X99&lt;&gt;"执行卖出","违规：触发止损但未执行",IF(Y99="","待补充实际卖出价","卖出记录完整")),IF(X99="","待选择卖出动作",IF(X99="执行卖出",IF(Y99="","待补充实际卖出价","卖出记录完整"),"正常")))))</f>
        <v/>
      </c>
      <c r="AC99" s="31">
        <f>IF(A99="","",IF(A99="止损计划",IF(OR(B99="",D99="",E99="",F99="",G99=""),"计划不完整",IF(OR(D99&lt;1,D99&lt;&gt;INT(D99)),"阶段序号无效",IF(COUNTIFS($A$2:$A$501,"止损计划",$B$2:$B$501,B99,$D$2:$D$501,D99)&gt;1,"阶段序号重复",IF(E99&lt;=IFERROR(LOOKUP(2,1/('单次交易'!$A$2:$A$201=B99),'单次交易'!$E$2:$E$201),0),"激活价须高于买入价",IF(F99&lt;N99,"止损价不得低于初始止损",IF(F99&gt;E99,"止损价不得高于激活价",IF(AND(COUNTIFS($A$2:$A$501,"止损计划",$B$2:$B$501,B99,$D$2:$D$501,"&lt;"&amp;D99)&gt;0,OR(E99&lt;=AGGREGATE(14,6,$E$2:$E$501/(($A$2:$A$501="止损计划")*($B$2:$B$501=B99)*($D$2:$D$501&lt;D99)),1),F99&lt;AGGREGATE(14,6,$F$2:$F$501/(($A$2:$A$501="止损计划")*($B$2:$B$501=B99)*($D$2:$D$501&lt;D99)),1))),"阶段价格必须逐级提高","计划有效"))))))),IF(A99="每日跟踪",IF(OR(B99="",H99="",I99="",J99=""),"每日数据不完整",IF(COUNTIFS($A$2:$A$501,"每日跟踪",$B$2:$B$501,B99,$H$2:$H$501,H99)&gt;1,"同一交易日期重复",IF(AND(R99&lt;&gt;"",R99&lt;S99),"人工止损无效：不能下调","跟踪有效"))),"记录类型无效")))</f>
        <v/>
      </c>
    </row>
    <row r="100">
      <c r="A100" s="28" t="n"/>
      <c r="B100" s="28" t="n"/>
      <c r="C100" s="31">
        <f>IF(B100="","",IFERROR(LOOKUP(2,1/(单次交易!$A$2:$A$201=B100),单次交易!$B$2:$B$201),""))</f>
        <v/>
      </c>
      <c r="D100" s="27" t="n"/>
      <c r="E100" s="43" t="n"/>
      <c r="F100" s="43" t="n"/>
      <c r="G100" s="28" t="n"/>
      <c r="H100" s="49" t="n"/>
      <c r="I100" s="43" t="n"/>
      <c r="J100" s="27" t="n"/>
      <c r="K100" s="28" t="n"/>
      <c r="L100" s="28" t="n"/>
      <c r="M100" s="28" t="n"/>
      <c r="N100" s="44">
        <f>IF(B100="","",IFERROR(LOOKUP(2,1/(单次交易!$A$2:$A$201=B100),单次交易!$N$2:$N$201),""))</f>
        <v/>
      </c>
      <c r="O100" s="44">
        <f>IF(A100&lt;&gt;"每日跟踪","",IF(OR(B100="",H100="",I100=""),"",IFERROR(AGGREGATE(14,6,$I$2:$I$501/(($A$2:$A$501="每日跟踪")*($B$2:$B$501=B100)*($H$2:$H$501&lt;=H100)),1),"")))</f>
        <v/>
      </c>
      <c r="P100" s="26">
        <f>IF(A100&lt;&gt;"每日跟踪","",IF(O100="","",IFERROR(AGGREGATE(14,6,$D$2:$D$501/(($A$2:$A$501="止损计划")*($B$2:$B$501=B100)*($E$2:$E$501&lt;=O100)),1),0)))</f>
        <v/>
      </c>
      <c r="Q100" s="44">
        <f>IF(A100&lt;&gt;"每日跟踪","",IF(N100="","",MAX(N100,IFERROR(AGGREGATE(14,6,$F$2:$F$501/(($A$2:$A$501="止损计划")*($B$2:$B$501=B100)*($E$2:$E$501&lt;=O100)),1),0))))</f>
        <v/>
      </c>
      <c r="R100" s="43" t="n"/>
      <c r="S100" s="44">
        <f>IF(A100&lt;&gt;"每日跟踪","",IF(Q100="","",MAX(Q100,IFERROR(AGGREGATE(14,6,$R$2:$R$501/(($A$2:$A$501="每日跟踪")*($B$2:$B$501=B100)*($H$2:$H$501&lt;=H100)),1),0))))</f>
        <v/>
      </c>
      <c r="T100" s="44">
        <f>IF(A100&lt;&gt;"每日跟踪","",IF(O100="","",IF(COUNTIFS($A$2:$A$501,"止损计划",$B$2:$B$501,B100,$E$2:$E$501,"&gt;"&amp;O100)=0,"",AGGREGATE(15,6,$E$2:$E$501/(($A$2:$A$501="止损计划")*($B$2:$B$501=B100)*($E$2:$E$501&gt;O100)),1))))</f>
        <v/>
      </c>
      <c r="U100" s="44">
        <f>IF(OR(A100&lt;&gt;"每日跟踪",T100=""),"",IFERROR(AGGREGATE(14,6,$F$2:$F$501/(($A$2:$A$501="止损计划")*($B$2:$B$501=B100)*($E$2:$E$501=T100)),1),""))</f>
        <v/>
      </c>
      <c r="V100" s="30">
        <f>IF(OR(A100&lt;&gt;"每日跟踪",T100="",I100="",I100&lt;=0),"",T100/I100-1)</f>
        <v/>
      </c>
      <c r="W100" s="31">
        <f>IF(A100&lt;&gt;"每日跟踪","",IF(OR(I100="",S100=""),"",IF(I100&lt;=S100,"触发止损：应全部卖出","继续观察")))</f>
        <v/>
      </c>
      <c r="X100" s="28" t="n"/>
      <c r="Y100" s="43" t="n"/>
      <c r="Z100" s="26">
        <f>IF(X100&lt;&gt;"执行卖出","",IFERROR(LOOKUP(2,1/(单次交易!$A$2:$A$201=B100),单次交易!$AP$2:$AP$201),""))</f>
        <v/>
      </c>
      <c r="AA100" s="43" t="n"/>
      <c r="AB100" s="31">
        <f>IF(A100&lt;&gt;"每日跟踪","",IF(OR(B100="",H100="",I100="",J100="",K100="",L100="",M100=""),"待补充每日记录",IF(W100="触发止损：应全部卖出",IF(X100&lt;&gt;"执行卖出","违规：触发止损但未执行",IF(Y100="","待补充实际卖出价","卖出记录完整")),IF(X100="","待选择卖出动作",IF(X100="执行卖出",IF(Y100="","待补充实际卖出价","卖出记录完整"),"正常")))))</f>
        <v/>
      </c>
      <c r="AC100" s="31">
        <f>IF(A100="","",IF(A100="止损计划",IF(OR(B100="",D100="",E100="",F100="",G100=""),"计划不完整",IF(OR(D100&lt;1,D100&lt;&gt;INT(D100)),"阶段序号无效",IF(COUNTIFS($A$2:$A$501,"止损计划",$B$2:$B$501,B100,$D$2:$D$501,D100)&gt;1,"阶段序号重复",IF(E100&lt;=IFERROR(LOOKUP(2,1/('单次交易'!$A$2:$A$201=B100),'单次交易'!$E$2:$E$201),0),"激活价须高于买入价",IF(F100&lt;N100,"止损价不得低于初始止损",IF(F100&gt;E100,"止损价不得高于激活价",IF(AND(COUNTIFS($A$2:$A$501,"止损计划",$B$2:$B$501,B100,$D$2:$D$501,"&lt;"&amp;D100)&gt;0,OR(E100&lt;=AGGREGATE(14,6,$E$2:$E$501/(($A$2:$A$501="止损计划")*($B$2:$B$501=B100)*($D$2:$D$501&lt;D100)),1),F100&lt;AGGREGATE(14,6,$F$2:$F$501/(($A$2:$A$501="止损计划")*($B$2:$B$501=B100)*($D$2:$D$501&lt;D100)),1))),"阶段价格必须逐级提高","计划有效"))))))),IF(A100="每日跟踪",IF(OR(B100="",H100="",I100="",J100=""),"每日数据不完整",IF(COUNTIFS($A$2:$A$501,"每日跟踪",$B$2:$B$501,B100,$H$2:$H$501,H100)&gt;1,"同一交易日期重复",IF(AND(R100&lt;&gt;"",R100&lt;S100),"人工止损无效：不能下调","跟踪有效"))),"记录类型无效")))</f>
        <v/>
      </c>
    </row>
    <row r="101">
      <c r="A101" s="28" t="n"/>
      <c r="B101" s="28" t="n"/>
      <c r="C101" s="31">
        <f>IF(B101="","",IFERROR(LOOKUP(2,1/(单次交易!$A$2:$A$201=B101),单次交易!$B$2:$B$201),""))</f>
        <v/>
      </c>
      <c r="D101" s="27" t="n"/>
      <c r="E101" s="43" t="n"/>
      <c r="F101" s="43" t="n"/>
      <c r="G101" s="28" t="n"/>
      <c r="H101" s="49" t="n"/>
      <c r="I101" s="43" t="n"/>
      <c r="J101" s="27" t="n"/>
      <c r="K101" s="28" t="n"/>
      <c r="L101" s="28" t="n"/>
      <c r="M101" s="28" t="n"/>
      <c r="N101" s="44">
        <f>IF(B101="","",IFERROR(LOOKUP(2,1/(单次交易!$A$2:$A$201=B101),单次交易!$N$2:$N$201),""))</f>
        <v/>
      </c>
      <c r="O101" s="44">
        <f>IF(A101&lt;&gt;"每日跟踪","",IF(OR(B101="",H101="",I101=""),"",IFERROR(AGGREGATE(14,6,$I$2:$I$501/(($A$2:$A$501="每日跟踪")*($B$2:$B$501=B101)*($H$2:$H$501&lt;=H101)),1),"")))</f>
        <v/>
      </c>
      <c r="P101" s="26">
        <f>IF(A101&lt;&gt;"每日跟踪","",IF(O101="","",IFERROR(AGGREGATE(14,6,$D$2:$D$501/(($A$2:$A$501="止损计划")*($B$2:$B$501=B101)*($E$2:$E$501&lt;=O101)),1),0)))</f>
        <v/>
      </c>
      <c r="Q101" s="44">
        <f>IF(A101&lt;&gt;"每日跟踪","",IF(N101="","",MAX(N101,IFERROR(AGGREGATE(14,6,$F$2:$F$501/(($A$2:$A$501="止损计划")*($B$2:$B$501=B101)*($E$2:$E$501&lt;=O101)),1),0))))</f>
        <v/>
      </c>
      <c r="R101" s="43" t="n"/>
      <c r="S101" s="44">
        <f>IF(A101&lt;&gt;"每日跟踪","",IF(Q101="","",MAX(Q101,IFERROR(AGGREGATE(14,6,$R$2:$R$501/(($A$2:$A$501="每日跟踪")*($B$2:$B$501=B101)*($H$2:$H$501&lt;=H101)),1),0))))</f>
        <v/>
      </c>
      <c r="T101" s="44">
        <f>IF(A101&lt;&gt;"每日跟踪","",IF(O101="","",IF(COUNTIFS($A$2:$A$501,"止损计划",$B$2:$B$501,B101,$E$2:$E$501,"&gt;"&amp;O101)=0,"",AGGREGATE(15,6,$E$2:$E$501/(($A$2:$A$501="止损计划")*($B$2:$B$501=B101)*($E$2:$E$501&gt;O101)),1))))</f>
        <v/>
      </c>
      <c r="U101" s="44">
        <f>IF(OR(A101&lt;&gt;"每日跟踪",T101=""),"",IFERROR(AGGREGATE(14,6,$F$2:$F$501/(($A$2:$A$501="止损计划")*($B$2:$B$501=B101)*($E$2:$E$501=T101)),1),""))</f>
        <v/>
      </c>
      <c r="V101" s="30">
        <f>IF(OR(A101&lt;&gt;"每日跟踪",T101="",I101="",I101&lt;=0),"",T101/I101-1)</f>
        <v/>
      </c>
      <c r="W101" s="31">
        <f>IF(A101&lt;&gt;"每日跟踪","",IF(OR(I101="",S101=""),"",IF(I101&lt;=S101,"触发止损：应全部卖出","继续观察")))</f>
        <v/>
      </c>
      <c r="X101" s="28" t="n"/>
      <c r="Y101" s="43" t="n"/>
      <c r="Z101" s="26">
        <f>IF(X101&lt;&gt;"执行卖出","",IFERROR(LOOKUP(2,1/(单次交易!$A$2:$A$201=B101),单次交易!$AP$2:$AP$201),""))</f>
        <v/>
      </c>
      <c r="AA101" s="43" t="n"/>
      <c r="AB101" s="31">
        <f>IF(A101&lt;&gt;"每日跟踪","",IF(OR(B101="",H101="",I101="",J101="",K101="",L101="",M101=""),"待补充每日记录",IF(W101="触发止损：应全部卖出",IF(X101&lt;&gt;"执行卖出","违规：触发止损但未执行",IF(Y101="","待补充实际卖出价","卖出记录完整")),IF(X101="","待选择卖出动作",IF(X101="执行卖出",IF(Y101="","待补充实际卖出价","卖出记录完整"),"正常")))))</f>
        <v/>
      </c>
      <c r="AC101" s="31">
        <f>IF(A101="","",IF(A101="止损计划",IF(OR(B101="",D101="",E101="",F101="",G101=""),"计划不完整",IF(OR(D101&lt;1,D101&lt;&gt;INT(D101)),"阶段序号无效",IF(COUNTIFS($A$2:$A$501,"止损计划",$B$2:$B$501,B101,$D$2:$D$501,D101)&gt;1,"阶段序号重复",IF(E101&lt;=IFERROR(LOOKUP(2,1/('单次交易'!$A$2:$A$201=B101),'单次交易'!$E$2:$E$201),0),"激活价须高于买入价",IF(F101&lt;N101,"止损价不得低于初始止损",IF(F101&gt;E101,"止损价不得高于激活价",IF(AND(COUNTIFS($A$2:$A$501,"止损计划",$B$2:$B$501,B101,$D$2:$D$501,"&lt;"&amp;D101)&gt;0,OR(E101&lt;=AGGREGATE(14,6,$E$2:$E$501/(($A$2:$A$501="止损计划")*($B$2:$B$501=B101)*($D$2:$D$501&lt;D101)),1),F101&lt;AGGREGATE(14,6,$F$2:$F$501/(($A$2:$A$501="止损计划")*($B$2:$B$501=B101)*($D$2:$D$501&lt;D101)),1))),"阶段价格必须逐级提高","计划有效"))))))),IF(A101="每日跟踪",IF(OR(B101="",H101="",I101="",J101=""),"每日数据不完整",IF(COUNTIFS($A$2:$A$501,"每日跟踪",$B$2:$B$501,B101,$H$2:$H$501,H101)&gt;1,"同一交易日期重复",IF(AND(R101&lt;&gt;"",R101&lt;S101),"人工止损无效：不能下调","跟踪有效"))),"记录类型无效")))</f>
        <v/>
      </c>
    </row>
    <row r="102">
      <c r="A102" s="28" t="n"/>
      <c r="B102" s="28" t="n"/>
      <c r="C102" s="31">
        <f>IF(B102="","",IFERROR(LOOKUP(2,1/(单次交易!$A$2:$A$201=B102),单次交易!$B$2:$B$201),""))</f>
        <v/>
      </c>
      <c r="D102" s="27" t="n"/>
      <c r="E102" s="43" t="n"/>
      <c r="F102" s="43" t="n"/>
      <c r="G102" s="28" t="n"/>
      <c r="H102" s="49" t="n"/>
      <c r="I102" s="43" t="n"/>
      <c r="J102" s="27" t="n"/>
      <c r="K102" s="28" t="n"/>
      <c r="L102" s="28" t="n"/>
      <c r="M102" s="28" t="n"/>
      <c r="N102" s="44">
        <f>IF(B102="","",IFERROR(LOOKUP(2,1/(单次交易!$A$2:$A$201=B102),单次交易!$N$2:$N$201),""))</f>
        <v/>
      </c>
      <c r="O102" s="44">
        <f>IF(A102&lt;&gt;"每日跟踪","",IF(OR(B102="",H102="",I102=""),"",IFERROR(AGGREGATE(14,6,$I$2:$I$501/(($A$2:$A$501="每日跟踪")*($B$2:$B$501=B102)*($H$2:$H$501&lt;=H102)),1),"")))</f>
        <v/>
      </c>
      <c r="P102" s="26">
        <f>IF(A102&lt;&gt;"每日跟踪","",IF(O102="","",IFERROR(AGGREGATE(14,6,$D$2:$D$501/(($A$2:$A$501="止损计划")*($B$2:$B$501=B102)*($E$2:$E$501&lt;=O102)),1),0)))</f>
        <v/>
      </c>
      <c r="Q102" s="44">
        <f>IF(A102&lt;&gt;"每日跟踪","",IF(N102="","",MAX(N102,IFERROR(AGGREGATE(14,6,$F$2:$F$501/(($A$2:$A$501="止损计划")*($B$2:$B$501=B102)*($E$2:$E$501&lt;=O102)),1),0))))</f>
        <v/>
      </c>
      <c r="R102" s="43" t="n"/>
      <c r="S102" s="44">
        <f>IF(A102&lt;&gt;"每日跟踪","",IF(Q102="","",MAX(Q102,IFERROR(AGGREGATE(14,6,$R$2:$R$501/(($A$2:$A$501="每日跟踪")*($B$2:$B$501=B102)*($H$2:$H$501&lt;=H102)),1),0))))</f>
        <v/>
      </c>
      <c r="T102" s="44">
        <f>IF(A102&lt;&gt;"每日跟踪","",IF(O102="","",IF(COUNTIFS($A$2:$A$501,"止损计划",$B$2:$B$501,B102,$E$2:$E$501,"&gt;"&amp;O102)=0,"",AGGREGATE(15,6,$E$2:$E$501/(($A$2:$A$501="止损计划")*($B$2:$B$501=B102)*($E$2:$E$501&gt;O102)),1))))</f>
        <v/>
      </c>
      <c r="U102" s="44">
        <f>IF(OR(A102&lt;&gt;"每日跟踪",T102=""),"",IFERROR(AGGREGATE(14,6,$F$2:$F$501/(($A$2:$A$501="止损计划")*($B$2:$B$501=B102)*($E$2:$E$501=T102)),1),""))</f>
        <v/>
      </c>
      <c r="V102" s="30">
        <f>IF(OR(A102&lt;&gt;"每日跟踪",T102="",I102="",I102&lt;=0),"",T102/I102-1)</f>
        <v/>
      </c>
      <c r="W102" s="31">
        <f>IF(A102&lt;&gt;"每日跟踪","",IF(OR(I102="",S102=""),"",IF(I102&lt;=S102,"触发止损：应全部卖出","继续观察")))</f>
        <v/>
      </c>
      <c r="X102" s="28" t="n"/>
      <c r="Y102" s="43" t="n"/>
      <c r="Z102" s="26">
        <f>IF(X102&lt;&gt;"执行卖出","",IFERROR(LOOKUP(2,1/(单次交易!$A$2:$A$201=B102),单次交易!$AP$2:$AP$201),""))</f>
        <v/>
      </c>
      <c r="AA102" s="43" t="n"/>
      <c r="AB102" s="31">
        <f>IF(A102&lt;&gt;"每日跟踪","",IF(OR(B102="",H102="",I102="",J102="",K102="",L102="",M102=""),"待补充每日记录",IF(W102="触发止损：应全部卖出",IF(X102&lt;&gt;"执行卖出","违规：触发止损但未执行",IF(Y102="","待补充实际卖出价","卖出记录完整")),IF(X102="","待选择卖出动作",IF(X102="执行卖出",IF(Y102="","待补充实际卖出价","卖出记录完整"),"正常")))))</f>
        <v/>
      </c>
      <c r="AC102" s="31">
        <f>IF(A102="","",IF(A102="止损计划",IF(OR(B102="",D102="",E102="",F102="",G102=""),"计划不完整",IF(OR(D102&lt;1,D102&lt;&gt;INT(D102)),"阶段序号无效",IF(COUNTIFS($A$2:$A$501,"止损计划",$B$2:$B$501,B102,$D$2:$D$501,D102)&gt;1,"阶段序号重复",IF(E102&lt;=IFERROR(LOOKUP(2,1/('单次交易'!$A$2:$A$201=B102),'单次交易'!$E$2:$E$201),0),"激活价须高于买入价",IF(F102&lt;N102,"止损价不得低于初始止损",IF(F102&gt;E102,"止损价不得高于激活价",IF(AND(COUNTIFS($A$2:$A$501,"止损计划",$B$2:$B$501,B102,$D$2:$D$501,"&lt;"&amp;D102)&gt;0,OR(E102&lt;=AGGREGATE(14,6,$E$2:$E$501/(($A$2:$A$501="止损计划")*($B$2:$B$501=B102)*($D$2:$D$501&lt;D102)),1),F102&lt;AGGREGATE(14,6,$F$2:$F$501/(($A$2:$A$501="止损计划")*($B$2:$B$501=B102)*($D$2:$D$501&lt;D102)),1))),"阶段价格必须逐级提高","计划有效"))))))),IF(A102="每日跟踪",IF(OR(B102="",H102="",I102="",J102=""),"每日数据不完整",IF(COUNTIFS($A$2:$A$501,"每日跟踪",$B$2:$B$501,B102,$H$2:$H$501,H102)&gt;1,"同一交易日期重复",IF(AND(R102&lt;&gt;"",R102&lt;S102),"人工止损无效：不能下调","跟踪有效"))),"记录类型无效")))</f>
        <v/>
      </c>
    </row>
    <row r="103">
      <c r="A103" s="28" t="n"/>
      <c r="B103" s="28" t="n"/>
      <c r="C103" s="31">
        <f>IF(B103="","",IFERROR(LOOKUP(2,1/(单次交易!$A$2:$A$201=B103),单次交易!$B$2:$B$201),""))</f>
        <v/>
      </c>
      <c r="D103" s="27" t="n"/>
      <c r="E103" s="43" t="n"/>
      <c r="F103" s="43" t="n"/>
      <c r="G103" s="28" t="n"/>
      <c r="H103" s="49" t="n"/>
      <c r="I103" s="43" t="n"/>
      <c r="J103" s="27" t="n"/>
      <c r="K103" s="28" t="n"/>
      <c r="L103" s="28" t="n"/>
      <c r="M103" s="28" t="n"/>
      <c r="N103" s="44">
        <f>IF(B103="","",IFERROR(LOOKUP(2,1/(单次交易!$A$2:$A$201=B103),单次交易!$N$2:$N$201),""))</f>
        <v/>
      </c>
      <c r="O103" s="44">
        <f>IF(A103&lt;&gt;"每日跟踪","",IF(OR(B103="",H103="",I103=""),"",IFERROR(AGGREGATE(14,6,$I$2:$I$501/(($A$2:$A$501="每日跟踪")*($B$2:$B$501=B103)*($H$2:$H$501&lt;=H103)),1),"")))</f>
        <v/>
      </c>
      <c r="P103" s="26">
        <f>IF(A103&lt;&gt;"每日跟踪","",IF(O103="","",IFERROR(AGGREGATE(14,6,$D$2:$D$501/(($A$2:$A$501="止损计划")*($B$2:$B$501=B103)*($E$2:$E$501&lt;=O103)),1),0)))</f>
        <v/>
      </c>
      <c r="Q103" s="44">
        <f>IF(A103&lt;&gt;"每日跟踪","",IF(N103="","",MAX(N103,IFERROR(AGGREGATE(14,6,$F$2:$F$501/(($A$2:$A$501="止损计划")*($B$2:$B$501=B103)*($E$2:$E$501&lt;=O103)),1),0))))</f>
        <v/>
      </c>
      <c r="R103" s="43" t="n"/>
      <c r="S103" s="44">
        <f>IF(A103&lt;&gt;"每日跟踪","",IF(Q103="","",MAX(Q103,IFERROR(AGGREGATE(14,6,$R$2:$R$501/(($A$2:$A$501="每日跟踪")*($B$2:$B$501=B103)*($H$2:$H$501&lt;=H103)),1),0))))</f>
        <v/>
      </c>
      <c r="T103" s="44">
        <f>IF(A103&lt;&gt;"每日跟踪","",IF(O103="","",IF(COUNTIFS($A$2:$A$501,"止损计划",$B$2:$B$501,B103,$E$2:$E$501,"&gt;"&amp;O103)=0,"",AGGREGATE(15,6,$E$2:$E$501/(($A$2:$A$501="止损计划")*($B$2:$B$501=B103)*($E$2:$E$501&gt;O103)),1))))</f>
        <v/>
      </c>
      <c r="U103" s="44">
        <f>IF(OR(A103&lt;&gt;"每日跟踪",T103=""),"",IFERROR(AGGREGATE(14,6,$F$2:$F$501/(($A$2:$A$501="止损计划")*($B$2:$B$501=B103)*($E$2:$E$501=T103)),1),""))</f>
        <v/>
      </c>
      <c r="V103" s="30">
        <f>IF(OR(A103&lt;&gt;"每日跟踪",T103="",I103="",I103&lt;=0),"",T103/I103-1)</f>
        <v/>
      </c>
      <c r="W103" s="31">
        <f>IF(A103&lt;&gt;"每日跟踪","",IF(OR(I103="",S103=""),"",IF(I103&lt;=S103,"触发止损：应全部卖出","继续观察")))</f>
        <v/>
      </c>
      <c r="X103" s="28" t="n"/>
      <c r="Y103" s="43" t="n"/>
      <c r="Z103" s="26">
        <f>IF(X103&lt;&gt;"执行卖出","",IFERROR(LOOKUP(2,1/(单次交易!$A$2:$A$201=B103),单次交易!$AP$2:$AP$201),""))</f>
        <v/>
      </c>
      <c r="AA103" s="43" t="n"/>
      <c r="AB103" s="31">
        <f>IF(A103&lt;&gt;"每日跟踪","",IF(OR(B103="",H103="",I103="",J103="",K103="",L103="",M103=""),"待补充每日记录",IF(W103="触发止损：应全部卖出",IF(X103&lt;&gt;"执行卖出","违规：触发止损但未执行",IF(Y103="","待补充实际卖出价","卖出记录完整")),IF(X103="","待选择卖出动作",IF(X103="执行卖出",IF(Y103="","待补充实际卖出价","卖出记录完整"),"正常")))))</f>
        <v/>
      </c>
      <c r="AC103" s="31">
        <f>IF(A103="","",IF(A103="止损计划",IF(OR(B103="",D103="",E103="",F103="",G103=""),"计划不完整",IF(OR(D103&lt;1,D103&lt;&gt;INT(D103)),"阶段序号无效",IF(COUNTIFS($A$2:$A$501,"止损计划",$B$2:$B$501,B103,$D$2:$D$501,D103)&gt;1,"阶段序号重复",IF(E103&lt;=IFERROR(LOOKUP(2,1/('单次交易'!$A$2:$A$201=B103),'单次交易'!$E$2:$E$201),0),"激活价须高于买入价",IF(F103&lt;N103,"止损价不得低于初始止损",IF(F103&gt;E103,"止损价不得高于激活价",IF(AND(COUNTIFS($A$2:$A$501,"止损计划",$B$2:$B$501,B103,$D$2:$D$501,"&lt;"&amp;D103)&gt;0,OR(E103&lt;=AGGREGATE(14,6,$E$2:$E$501/(($A$2:$A$501="止损计划")*($B$2:$B$501=B103)*($D$2:$D$501&lt;D103)),1),F103&lt;AGGREGATE(14,6,$F$2:$F$501/(($A$2:$A$501="止损计划")*($B$2:$B$501=B103)*($D$2:$D$501&lt;D103)),1))),"阶段价格必须逐级提高","计划有效"))))))),IF(A103="每日跟踪",IF(OR(B103="",H103="",I103="",J103=""),"每日数据不完整",IF(COUNTIFS($A$2:$A$501,"每日跟踪",$B$2:$B$501,B103,$H$2:$H$501,H103)&gt;1,"同一交易日期重复",IF(AND(R103&lt;&gt;"",R103&lt;S103),"人工止损无效：不能下调","跟踪有效"))),"记录类型无效")))</f>
        <v/>
      </c>
    </row>
    <row r="104">
      <c r="A104" s="28" t="n"/>
      <c r="B104" s="28" t="n"/>
      <c r="C104" s="31">
        <f>IF(B104="","",IFERROR(LOOKUP(2,1/(单次交易!$A$2:$A$201=B104),单次交易!$B$2:$B$201),""))</f>
        <v/>
      </c>
      <c r="D104" s="27" t="n"/>
      <c r="E104" s="43" t="n"/>
      <c r="F104" s="43" t="n"/>
      <c r="G104" s="28" t="n"/>
      <c r="H104" s="49" t="n"/>
      <c r="I104" s="43" t="n"/>
      <c r="J104" s="27" t="n"/>
      <c r="K104" s="28" t="n"/>
      <c r="L104" s="28" t="n"/>
      <c r="M104" s="28" t="n"/>
      <c r="N104" s="44">
        <f>IF(B104="","",IFERROR(LOOKUP(2,1/(单次交易!$A$2:$A$201=B104),单次交易!$N$2:$N$201),""))</f>
        <v/>
      </c>
      <c r="O104" s="44">
        <f>IF(A104&lt;&gt;"每日跟踪","",IF(OR(B104="",H104="",I104=""),"",IFERROR(AGGREGATE(14,6,$I$2:$I$501/(($A$2:$A$501="每日跟踪")*($B$2:$B$501=B104)*($H$2:$H$501&lt;=H104)),1),"")))</f>
        <v/>
      </c>
      <c r="P104" s="26">
        <f>IF(A104&lt;&gt;"每日跟踪","",IF(O104="","",IFERROR(AGGREGATE(14,6,$D$2:$D$501/(($A$2:$A$501="止损计划")*($B$2:$B$501=B104)*($E$2:$E$501&lt;=O104)),1),0)))</f>
        <v/>
      </c>
      <c r="Q104" s="44">
        <f>IF(A104&lt;&gt;"每日跟踪","",IF(N104="","",MAX(N104,IFERROR(AGGREGATE(14,6,$F$2:$F$501/(($A$2:$A$501="止损计划")*($B$2:$B$501=B104)*($E$2:$E$501&lt;=O104)),1),0))))</f>
        <v/>
      </c>
      <c r="R104" s="43" t="n"/>
      <c r="S104" s="44">
        <f>IF(A104&lt;&gt;"每日跟踪","",IF(Q104="","",MAX(Q104,IFERROR(AGGREGATE(14,6,$R$2:$R$501/(($A$2:$A$501="每日跟踪")*($B$2:$B$501=B104)*($H$2:$H$501&lt;=H104)),1),0))))</f>
        <v/>
      </c>
      <c r="T104" s="44">
        <f>IF(A104&lt;&gt;"每日跟踪","",IF(O104="","",IF(COUNTIFS($A$2:$A$501,"止损计划",$B$2:$B$501,B104,$E$2:$E$501,"&gt;"&amp;O104)=0,"",AGGREGATE(15,6,$E$2:$E$501/(($A$2:$A$501="止损计划")*($B$2:$B$501=B104)*($E$2:$E$501&gt;O104)),1))))</f>
        <v/>
      </c>
      <c r="U104" s="44">
        <f>IF(OR(A104&lt;&gt;"每日跟踪",T104=""),"",IFERROR(AGGREGATE(14,6,$F$2:$F$501/(($A$2:$A$501="止损计划")*($B$2:$B$501=B104)*($E$2:$E$501=T104)),1),""))</f>
        <v/>
      </c>
      <c r="V104" s="30">
        <f>IF(OR(A104&lt;&gt;"每日跟踪",T104="",I104="",I104&lt;=0),"",T104/I104-1)</f>
        <v/>
      </c>
      <c r="W104" s="31">
        <f>IF(A104&lt;&gt;"每日跟踪","",IF(OR(I104="",S104=""),"",IF(I104&lt;=S104,"触发止损：应全部卖出","继续观察")))</f>
        <v/>
      </c>
      <c r="X104" s="28" t="n"/>
      <c r="Y104" s="43" t="n"/>
      <c r="Z104" s="26">
        <f>IF(X104&lt;&gt;"执行卖出","",IFERROR(LOOKUP(2,1/(单次交易!$A$2:$A$201=B104),单次交易!$AP$2:$AP$201),""))</f>
        <v/>
      </c>
      <c r="AA104" s="43" t="n"/>
      <c r="AB104" s="31">
        <f>IF(A104&lt;&gt;"每日跟踪","",IF(OR(B104="",H104="",I104="",J104="",K104="",L104="",M104=""),"待补充每日记录",IF(W104="触发止损：应全部卖出",IF(X104&lt;&gt;"执行卖出","违规：触发止损但未执行",IF(Y104="","待补充实际卖出价","卖出记录完整")),IF(X104="","待选择卖出动作",IF(X104="执行卖出",IF(Y104="","待补充实际卖出价","卖出记录完整"),"正常")))))</f>
        <v/>
      </c>
      <c r="AC104" s="31">
        <f>IF(A104="","",IF(A104="止损计划",IF(OR(B104="",D104="",E104="",F104="",G104=""),"计划不完整",IF(OR(D104&lt;1,D104&lt;&gt;INT(D104)),"阶段序号无效",IF(COUNTIFS($A$2:$A$501,"止损计划",$B$2:$B$501,B104,$D$2:$D$501,D104)&gt;1,"阶段序号重复",IF(E104&lt;=IFERROR(LOOKUP(2,1/('单次交易'!$A$2:$A$201=B104),'单次交易'!$E$2:$E$201),0),"激活价须高于买入价",IF(F104&lt;N104,"止损价不得低于初始止损",IF(F104&gt;E104,"止损价不得高于激活价",IF(AND(COUNTIFS($A$2:$A$501,"止损计划",$B$2:$B$501,B104,$D$2:$D$501,"&lt;"&amp;D104)&gt;0,OR(E104&lt;=AGGREGATE(14,6,$E$2:$E$501/(($A$2:$A$501="止损计划")*($B$2:$B$501=B104)*($D$2:$D$501&lt;D104)),1),F104&lt;AGGREGATE(14,6,$F$2:$F$501/(($A$2:$A$501="止损计划")*($B$2:$B$501=B104)*($D$2:$D$501&lt;D104)),1))),"阶段价格必须逐级提高","计划有效"))))))),IF(A104="每日跟踪",IF(OR(B104="",H104="",I104="",J104=""),"每日数据不完整",IF(COUNTIFS($A$2:$A$501,"每日跟踪",$B$2:$B$501,B104,$H$2:$H$501,H104)&gt;1,"同一交易日期重复",IF(AND(R104&lt;&gt;"",R104&lt;S104),"人工止损无效：不能下调","跟踪有效"))),"记录类型无效")))</f>
        <v/>
      </c>
    </row>
    <row r="105">
      <c r="A105" s="28" t="n"/>
      <c r="B105" s="28" t="n"/>
      <c r="C105" s="31">
        <f>IF(B105="","",IFERROR(LOOKUP(2,1/(单次交易!$A$2:$A$201=B105),单次交易!$B$2:$B$201),""))</f>
        <v/>
      </c>
      <c r="D105" s="27" t="n"/>
      <c r="E105" s="43" t="n"/>
      <c r="F105" s="43" t="n"/>
      <c r="G105" s="28" t="n"/>
      <c r="H105" s="49" t="n"/>
      <c r="I105" s="43" t="n"/>
      <c r="J105" s="27" t="n"/>
      <c r="K105" s="28" t="n"/>
      <c r="L105" s="28" t="n"/>
      <c r="M105" s="28" t="n"/>
      <c r="N105" s="44">
        <f>IF(B105="","",IFERROR(LOOKUP(2,1/(单次交易!$A$2:$A$201=B105),单次交易!$N$2:$N$201),""))</f>
        <v/>
      </c>
      <c r="O105" s="44">
        <f>IF(A105&lt;&gt;"每日跟踪","",IF(OR(B105="",H105="",I105=""),"",IFERROR(AGGREGATE(14,6,$I$2:$I$501/(($A$2:$A$501="每日跟踪")*($B$2:$B$501=B105)*($H$2:$H$501&lt;=H105)),1),"")))</f>
        <v/>
      </c>
      <c r="P105" s="26">
        <f>IF(A105&lt;&gt;"每日跟踪","",IF(O105="","",IFERROR(AGGREGATE(14,6,$D$2:$D$501/(($A$2:$A$501="止损计划")*($B$2:$B$501=B105)*($E$2:$E$501&lt;=O105)),1),0)))</f>
        <v/>
      </c>
      <c r="Q105" s="44">
        <f>IF(A105&lt;&gt;"每日跟踪","",IF(N105="","",MAX(N105,IFERROR(AGGREGATE(14,6,$F$2:$F$501/(($A$2:$A$501="止损计划")*($B$2:$B$501=B105)*($E$2:$E$501&lt;=O105)),1),0))))</f>
        <v/>
      </c>
      <c r="R105" s="43" t="n"/>
      <c r="S105" s="44">
        <f>IF(A105&lt;&gt;"每日跟踪","",IF(Q105="","",MAX(Q105,IFERROR(AGGREGATE(14,6,$R$2:$R$501/(($A$2:$A$501="每日跟踪")*($B$2:$B$501=B105)*($H$2:$H$501&lt;=H105)),1),0))))</f>
        <v/>
      </c>
      <c r="T105" s="44">
        <f>IF(A105&lt;&gt;"每日跟踪","",IF(O105="","",IF(COUNTIFS($A$2:$A$501,"止损计划",$B$2:$B$501,B105,$E$2:$E$501,"&gt;"&amp;O105)=0,"",AGGREGATE(15,6,$E$2:$E$501/(($A$2:$A$501="止损计划")*($B$2:$B$501=B105)*($E$2:$E$501&gt;O105)),1))))</f>
        <v/>
      </c>
      <c r="U105" s="44">
        <f>IF(OR(A105&lt;&gt;"每日跟踪",T105=""),"",IFERROR(AGGREGATE(14,6,$F$2:$F$501/(($A$2:$A$501="止损计划")*($B$2:$B$501=B105)*($E$2:$E$501=T105)),1),""))</f>
        <v/>
      </c>
      <c r="V105" s="30">
        <f>IF(OR(A105&lt;&gt;"每日跟踪",T105="",I105="",I105&lt;=0),"",T105/I105-1)</f>
        <v/>
      </c>
      <c r="W105" s="31">
        <f>IF(A105&lt;&gt;"每日跟踪","",IF(OR(I105="",S105=""),"",IF(I105&lt;=S105,"触发止损：应全部卖出","继续观察")))</f>
        <v/>
      </c>
      <c r="X105" s="28" t="n"/>
      <c r="Y105" s="43" t="n"/>
      <c r="Z105" s="26">
        <f>IF(X105&lt;&gt;"执行卖出","",IFERROR(LOOKUP(2,1/(单次交易!$A$2:$A$201=B105),单次交易!$AP$2:$AP$201),""))</f>
        <v/>
      </c>
      <c r="AA105" s="43" t="n"/>
      <c r="AB105" s="31">
        <f>IF(A105&lt;&gt;"每日跟踪","",IF(OR(B105="",H105="",I105="",J105="",K105="",L105="",M105=""),"待补充每日记录",IF(W105="触发止损：应全部卖出",IF(X105&lt;&gt;"执行卖出","违规：触发止损但未执行",IF(Y105="","待补充实际卖出价","卖出记录完整")),IF(X105="","待选择卖出动作",IF(X105="执行卖出",IF(Y105="","待补充实际卖出价","卖出记录完整"),"正常")))))</f>
        <v/>
      </c>
      <c r="AC105" s="31">
        <f>IF(A105="","",IF(A105="止损计划",IF(OR(B105="",D105="",E105="",F105="",G105=""),"计划不完整",IF(OR(D105&lt;1,D105&lt;&gt;INT(D105)),"阶段序号无效",IF(COUNTIFS($A$2:$A$501,"止损计划",$B$2:$B$501,B105,$D$2:$D$501,D105)&gt;1,"阶段序号重复",IF(E105&lt;=IFERROR(LOOKUP(2,1/('单次交易'!$A$2:$A$201=B105),'单次交易'!$E$2:$E$201),0),"激活价须高于买入价",IF(F105&lt;N105,"止损价不得低于初始止损",IF(F105&gt;E105,"止损价不得高于激活价",IF(AND(COUNTIFS($A$2:$A$501,"止损计划",$B$2:$B$501,B105,$D$2:$D$501,"&lt;"&amp;D105)&gt;0,OR(E105&lt;=AGGREGATE(14,6,$E$2:$E$501/(($A$2:$A$501="止损计划")*($B$2:$B$501=B105)*($D$2:$D$501&lt;D105)),1),F105&lt;AGGREGATE(14,6,$F$2:$F$501/(($A$2:$A$501="止损计划")*($B$2:$B$501=B105)*($D$2:$D$501&lt;D105)),1))),"阶段价格必须逐级提高","计划有效"))))))),IF(A105="每日跟踪",IF(OR(B105="",H105="",I105="",J105=""),"每日数据不完整",IF(COUNTIFS($A$2:$A$501,"每日跟踪",$B$2:$B$501,B105,$H$2:$H$501,H105)&gt;1,"同一交易日期重复",IF(AND(R105&lt;&gt;"",R105&lt;S105),"人工止损无效：不能下调","跟踪有效"))),"记录类型无效")))</f>
        <v/>
      </c>
    </row>
    <row r="106">
      <c r="A106" s="28" t="n"/>
      <c r="B106" s="28" t="n"/>
      <c r="C106" s="31">
        <f>IF(B106="","",IFERROR(LOOKUP(2,1/(单次交易!$A$2:$A$201=B106),单次交易!$B$2:$B$201),""))</f>
        <v/>
      </c>
      <c r="D106" s="27" t="n"/>
      <c r="E106" s="43" t="n"/>
      <c r="F106" s="43" t="n"/>
      <c r="G106" s="28" t="n"/>
      <c r="H106" s="49" t="n"/>
      <c r="I106" s="43" t="n"/>
      <c r="J106" s="27" t="n"/>
      <c r="K106" s="28" t="n"/>
      <c r="L106" s="28" t="n"/>
      <c r="M106" s="28" t="n"/>
      <c r="N106" s="44">
        <f>IF(B106="","",IFERROR(LOOKUP(2,1/(单次交易!$A$2:$A$201=B106),单次交易!$N$2:$N$201),""))</f>
        <v/>
      </c>
      <c r="O106" s="44">
        <f>IF(A106&lt;&gt;"每日跟踪","",IF(OR(B106="",H106="",I106=""),"",IFERROR(AGGREGATE(14,6,$I$2:$I$501/(($A$2:$A$501="每日跟踪")*($B$2:$B$501=B106)*($H$2:$H$501&lt;=H106)),1),"")))</f>
        <v/>
      </c>
      <c r="P106" s="26">
        <f>IF(A106&lt;&gt;"每日跟踪","",IF(O106="","",IFERROR(AGGREGATE(14,6,$D$2:$D$501/(($A$2:$A$501="止损计划")*($B$2:$B$501=B106)*($E$2:$E$501&lt;=O106)),1),0)))</f>
        <v/>
      </c>
      <c r="Q106" s="44">
        <f>IF(A106&lt;&gt;"每日跟踪","",IF(N106="","",MAX(N106,IFERROR(AGGREGATE(14,6,$F$2:$F$501/(($A$2:$A$501="止损计划")*($B$2:$B$501=B106)*($E$2:$E$501&lt;=O106)),1),0))))</f>
        <v/>
      </c>
      <c r="R106" s="43" t="n"/>
      <c r="S106" s="44">
        <f>IF(A106&lt;&gt;"每日跟踪","",IF(Q106="","",MAX(Q106,IFERROR(AGGREGATE(14,6,$R$2:$R$501/(($A$2:$A$501="每日跟踪")*($B$2:$B$501=B106)*($H$2:$H$501&lt;=H106)),1),0))))</f>
        <v/>
      </c>
      <c r="T106" s="44">
        <f>IF(A106&lt;&gt;"每日跟踪","",IF(O106="","",IF(COUNTIFS($A$2:$A$501,"止损计划",$B$2:$B$501,B106,$E$2:$E$501,"&gt;"&amp;O106)=0,"",AGGREGATE(15,6,$E$2:$E$501/(($A$2:$A$501="止损计划")*($B$2:$B$501=B106)*($E$2:$E$501&gt;O106)),1))))</f>
        <v/>
      </c>
      <c r="U106" s="44">
        <f>IF(OR(A106&lt;&gt;"每日跟踪",T106=""),"",IFERROR(AGGREGATE(14,6,$F$2:$F$501/(($A$2:$A$501="止损计划")*($B$2:$B$501=B106)*($E$2:$E$501=T106)),1),""))</f>
        <v/>
      </c>
      <c r="V106" s="30">
        <f>IF(OR(A106&lt;&gt;"每日跟踪",T106="",I106="",I106&lt;=0),"",T106/I106-1)</f>
        <v/>
      </c>
      <c r="W106" s="31">
        <f>IF(A106&lt;&gt;"每日跟踪","",IF(OR(I106="",S106=""),"",IF(I106&lt;=S106,"触发止损：应全部卖出","继续观察")))</f>
        <v/>
      </c>
      <c r="X106" s="28" t="n"/>
      <c r="Y106" s="43" t="n"/>
      <c r="Z106" s="26">
        <f>IF(X106&lt;&gt;"执行卖出","",IFERROR(LOOKUP(2,1/(单次交易!$A$2:$A$201=B106),单次交易!$AP$2:$AP$201),""))</f>
        <v/>
      </c>
      <c r="AA106" s="43" t="n"/>
      <c r="AB106" s="31">
        <f>IF(A106&lt;&gt;"每日跟踪","",IF(OR(B106="",H106="",I106="",J106="",K106="",L106="",M106=""),"待补充每日记录",IF(W106="触发止损：应全部卖出",IF(X106&lt;&gt;"执行卖出","违规：触发止损但未执行",IF(Y106="","待补充实际卖出价","卖出记录完整")),IF(X106="","待选择卖出动作",IF(X106="执行卖出",IF(Y106="","待补充实际卖出价","卖出记录完整"),"正常")))))</f>
        <v/>
      </c>
      <c r="AC106" s="31">
        <f>IF(A106="","",IF(A106="止损计划",IF(OR(B106="",D106="",E106="",F106="",G106=""),"计划不完整",IF(OR(D106&lt;1,D106&lt;&gt;INT(D106)),"阶段序号无效",IF(COUNTIFS($A$2:$A$501,"止损计划",$B$2:$B$501,B106,$D$2:$D$501,D106)&gt;1,"阶段序号重复",IF(E106&lt;=IFERROR(LOOKUP(2,1/('单次交易'!$A$2:$A$201=B106),'单次交易'!$E$2:$E$201),0),"激活价须高于买入价",IF(F106&lt;N106,"止损价不得低于初始止损",IF(F106&gt;E106,"止损价不得高于激活价",IF(AND(COUNTIFS($A$2:$A$501,"止损计划",$B$2:$B$501,B106,$D$2:$D$501,"&lt;"&amp;D106)&gt;0,OR(E106&lt;=AGGREGATE(14,6,$E$2:$E$501/(($A$2:$A$501="止损计划")*($B$2:$B$501=B106)*($D$2:$D$501&lt;D106)),1),F106&lt;AGGREGATE(14,6,$F$2:$F$501/(($A$2:$A$501="止损计划")*($B$2:$B$501=B106)*($D$2:$D$501&lt;D106)),1))),"阶段价格必须逐级提高","计划有效"))))))),IF(A106="每日跟踪",IF(OR(B106="",H106="",I106="",J106=""),"每日数据不完整",IF(COUNTIFS($A$2:$A$501,"每日跟踪",$B$2:$B$501,B106,$H$2:$H$501,H106)&gt;1,"同一交易日期重复",IF(AND(R106&lt;&gt;"",R106&lt;S106),"人工止损无效：不能下调","跟踪有效"))),"记录类型无效")))</f>
        <v/>
      </c>
    </row>
    <row r="107">
      <c r="A107" s="28" t="n"/>
      <c r="B107" s="28" t="n"/>
      <c r="C107" s="31">
        <f>IF(B107="","",IFERROR(LOOKUP(2,1/(单次交易!$A$2:$A$201=B107),单次交易!$B$2:$B$201),""))</f>
        <v/>
      </c>
      <c r="D107" s="27" t="n"/>
      <c r="E107" s="43" t="n"/>
      <c r="F107" s="43" t="n"/>
      <c r="G107" s="28" t="n"/>
      <c r="H107" s="49" t="n"/>
      <c r="I107" s="43" t="n"/>
      <c r="J107" s="27" t="n"/>
      <c r="K107" s="28" t="n"/>
      <c r="L107" s="28" t="n"/>
      <c r="M107" s="28" t="n"/>
      <c r="N107" s="44">
        <f>IF(B107="","",IFERROR(LOOKUP(2,1/(单次交易!$A$2:$A$201=B107),单次交易!$N$2:$N$201),""))</f>
        <v/>
      </c>
      <c r="O107" s="44">
        <f>IF(A107&lt;&gt;"每日跟踪","",IF(OR(B107="",H107="",I107=""),"",IFERROR(AGGREGATE(14,6,$I$2:$I$501/(($A$2:$A$501="每日跟踪")*($B$2:$B$501=B107)*($H$2:$H$501&lt;=H107)),1),"")))</f>
        <v/>
      </c>
      <c r="P107" s="26">
        <f>IF(A107&lt;&gt;"每日跟踪","",IF(O107="","",IFERROR(AGGREGATE(14,6,$D$2:$D$501/(($A$2:$A$501="止损计划")*($B$2:$B$501=B107)*($E$2:$E$501&lt;=O107)),1),0)))</f>
        <v/>
      </c>
      <c r="Q107" s="44">
        <f>IF(A107&lt;&gt;"每日跟踪","",IF(N107="","",MAX(N107,IFERROR(AGGREGATE(14,6,$F$2:$F$501/(($A$2:$A$501="止损计划")*($B$2:$B$501=B107)*($E$2:$E$501&lt;=O107)),1),0))))</f>
        <v/>
      </c>
      <c r="R107" s="43" t="n"/>
      <c r="S107" s="44">
        <f>IF(A107&lt;&gt;"每日跟踪","",IF(Q107="","",MAX(Q107,IFERROR(AGGREGATE(14,6,$R$2:$R$501/(($A$2:$A$501="每日跟踪")*($B$2:$B$501=B107)*($H$2:$H$501&lt;=H107)),1),0))))</f>
        <v/>
      </c>
      <c r="T107" s="44">
        <f>IF(A107&lt;&gt;"每日跟踪","",IF(O107="","",IF(COUNTIFS($A$2:$A$501,"止损计划",$B$2:$B$501,B107,$E$2:$E$501,"&gt;"&amp;O107)=0,"",AGGREGATE(15,6,$E$2:$E$501/(($A$2:$A$501="止损计划")*($B$2:$B$501=B107)*($E$2:$E$501&gt;O107)),1))))</f>
        <v/>
      </c>
      <c r="U107" s="44">
        <f>IF(OR(A107&lt;&gt;"每日跟踪",T107=""),"",IFERROR(AGGREGATE(14,6,$F$2:$F$501/(($A$2:$A$501="止损计划")*($B$2:$B$501=B107)*($E$2:$E$501=T107)),1),""))</f>
        <v/>
      </c>
      <c r="V107" s="30">
        <f>IF(OR(A107&lt;&gt;"每日跟踪",T107="",I107="",I107&lt;=0),"",T107/I107-1)</f>
        <v/>
      </c>
      <c r="W107" s="31">
        <f>IF(A107&lt;&gt;"每日跟踪","",IF(OR(I107="",S107=""),"",IF(I107&lt;=S107,"触发止损：应全部卖出","继续观察")))</f>
        <v/>
      </c>
      <c r="X107" s="28" t="n"/>
      <c r="Y107" s="43" t="n"/>
      <c r="Z107" s="26">
        <f>IF(X107&lt;&gt;"执行卖出","",IFERROR(LOOKUP(2,1/(单次交易!$A$2:$A$201=B107),单次交易!$AP$2:$AP$201),""))</f>
        <v/>
      </c>
      <c r="AA107" s="43" t="n"/>
      <c r="AB107" s="31">
        <f>IF(A107&lt;&gt;"每日跟踪","",IF(OR(B107="",H107="",I107="",J107="",K107="",L107="",M107=""),"待补充每日记录",IF(W107="触发止损：应全部卖出",IF(X107&lt;&gt;"执行卖出","违规：触发止损但未执行",IF(Y107="","待补充实际卖出价","卖出记录完整")),IF(X107="","待选择卖出动作",IF(X107="执行卖出",IF(Y107="","待补充实际卖出价","卖出记录完整"),"正常")))))</f>
        <v/>
      </c>
      <c r="AC107" s="31">
        <f>IF(A107="","",IF(A107="止损计划",IF(OR(B107="",D107="",E107="",F107="",G107=""),"计划不完整",IF(OR(D107&lt;1,D107&lt;&gt;INT(D107)),"阶段序号无效",IF(COUNTIFS($A$2:$A$501,"止损计划",$B$2:$B$501,B107,$D$2:$D$501,D107)&gt;1,"阶段序号重复",IF(E107&lt;=IFERROR(LOOKUP(2,1/('单次交易'!$A$2:$A$201=B107),'单次交易'!$E$2:$E$201),0),"激活价须高于买入价",IF(F107&lt;N107,"止损价不得低于初始止损",IF(F107&gt;E107,"止损价不得高于激活价",IF(AND(COUNTIFS($A$2:$A$501,"止损计划",$B$2:$B$501,B107,$D$2:$D$501,"&lt;"&amp;D107)&gt;0,OR(E107&lt;=AGGREGATE(14,6,$E$2:$E$501/(($A$2:$A$501="止损计划")*($B$2:$B$501=B107)*($D$2:$D$501&lt;D107)),1),F107&lt;AGGREGATE(14,6,$F$2:$F$501/(($A$2:$A$501="止损计划")*($B$2:$B$501=B107)*($D$2:$D$501&lt;D107)),1))),"阶段价格必须逐级提高","计划有效"))))))),IF(A107="每日跟踪",IF(OR(B107="",H107="",I107="",J107=""),"每日数据不完整",IF(COUNTIFS($A$2:$A$501,"每日跟踪",$B$2:$B$501,B107,$H$2:$H$501,H107)&gt;1,"同一交易日期重复",IF(AND(R107&lt;&gt;"",R107&lt;S107),"人工止损无效：不能下调","跟踪有效"))),"记录类型无效")))</f>
        <v/>
      </c>
    </row>
    <row r="108">
      <c r="A108" s="28" t="n"/>
      <c r="B108" s="28" t="n"/>
      <c r="C108" s="31">
        <f>IF(B108="","",IFERROR(LOOKUP(2,1/(单次交易!$A$2:$A$201=B108),单次交易!$B$2:$B$201),""))</f>
        <v/>
      </c>
      <c r="D108" s="27" t="n"/>
      <c r="E108" s="43" t="n"/>
      <c r="F108" s="43" t="n"/>
      <c r="G108" s="28" t="n"/>
      <c r="H108" s="49" t="n"/>
      <c r="I108" s="43" t="n"/>
      <c r="J108" s="27" t="n"/>
      <c r="K108" s="28" t="n"/>
      <c r="L108" s="28" t="n"/>
      <c r="M108" s="28" t="n"/>
      <c r="N108" s="44">
        <f>IF(B108="","",IFERROR(LOOKUP(2,1/(单次交易!$A$2:$A$201=B108),单次交易!$N$2:$N$201),""))</f>
        <v/>
      </c>
      <c r="O108" s="44">
        <f>IF(A108&lt;&gt;"每日跟踪","",IF(OR(B108="",H108="",I108=""),"",IFERROR(AGGREGATE(14,6,$I$2:$I$501/(($A$2:$A$501="每日跟踪")*($B$2:$B$501=B108)*($H$2:$H$501&lt;=H108)),1),"")))</f>
        <v/>
      </c>
      <c r="P108" s="26">
        <f>IF(A108&lt;&gt;"每日跟踪","",IF(O108="","",IFERROR(AGGREGATE(14,6,$D$2:$D$501/(($A$2:$A$501="止损计划")*($B$2:$B$501=B108)*($E$2:$E$501&lt;=O108)),1),0)))</f>
        <v/>
      </c>
      <c r="Q108" s="44">
        <f>IF(A108&lt;&gt;"每日跟踪","",IF(N108="","",MAX(N108,IFERROR(AGGREGATE(14,6,$F$2:$F$501/(($A$2:$A$501="止损计划")*($B$2:$B$501=B108)*($E$2:$E$501&lt;=O108)),1),0))))</f>
        <v/>
      </c>
      <c r="R108" s="43" t="n"/>
      <c r="S108" s="44">
        <f>IF(A108&lt;&gt;"每日跟踪","",IF(Q108="","",MAX(Q108,IFERROR(AGGREGATE(14,6,$R$2:$R$501/(($A$2:$A$501="每日跟踪")*($B$2:$B$501=B108)*($H$2:$H$501&lt;=H108)),1),0))))</f>
        <v/>
      </c>
      <c r="T108" s="44">
        <f>IF(A108&lt;&gt;"每日跟踪","",IF(O108="","",IF(COUNTIFS($A$2:$A$501,"止损计划",$B$2:$B$501,B108,$E$2:$E$501,"&gt;"&amp;O108)=0,"",AGGREGATE(15,6,$E$2:$E$501/(($A$2:$A$501="止损计划")*($B$2:$B$501=B108)*($E$2:$E$501&gt;O108)),1))))</f>
        <v/>
      </c>
      <c r="U108" s="44">
        <f>IF(OR(A108&lt;&gt;"每日跟踪",T108=""),"",IFERROR(AGGREGATE(14,6,$F$2:$F$501/(($A$2:$A$501="止损计划")*($B$2:$B$501=B108)*($E$2:$E$501=T108)),1),""))</f>
        <v/>
      </c>
      <c r="V108" s="30">
        <f>IF(OR(A108&lt;&gt;"每日跟踪",T108="",I108="",I108&lt;=0),"",T108/I108-1)</f>
        <v/>
      </c>
      <c r="W108" s="31">
        <f>IF(A108&lt;&gt;"每日跟踪","",IF(OR(I108="",S108=""),"",IF(I108&lt;=S108,"触发止损：应全部卖出","继续观察")))</f>
        <v/>
      </c>
      <c r="X108" s="28" t="n"/>
      <c r="Y108" s="43" t="n"/>
      <c r="Z108" s="26">
        <f>IF(X108&lt;&gt;"执行卖出","",IFERROR(LOOKUP(2,1/(单次交易!$A$2:$A$201=B108),单次交易!$AP$2:$AP$201),""))</f>
        <v/>
      </c>
      <c r="AA108" s="43" t="n"/>
      <c r="AB108" s="31">
        <f>IF(A108&lt;&gt;"每日跟踪","",IF(OR(B108="",H108="",I108="",J108="",K108="",L108="",M108=""),"待补充每日记录",IF(W108="触发止损：应全部卖出",IF(X108&lt;&gt;"执行卖出","违规：触发止损但未执行",IF(Y108="","待补充实际卖出价","卖出记录完整")),IF(X108="","待选择卖出动作",IF(X108="执行卖出",IF(Y108="","待补充实际卖出价","卖出记录完整"),"正常")))))</f>
        <v/>
      </c>
      <c r="AC108" s="31">
        <f>IF(A108="","",IF(A108="止损计划",IF(OR(B108="",D108="",E108="",F108="",G108=""),"计划不完整",IF(OR(D108&lt;1,D108&lt;&gt;INT(D108)),"阶段序号无效",IF(COUNTIFS($A$2:$A$501,"止损计划",$B$2:$B$501,B108,$D$2:$D$501,D108)&gt;1,"阶段序号重复",IF(E108&lt;=IFERROR(LOOKUP(2,1/('单次交易'!$A$2:$A$201=B108),'单次交易'!$E$2:$E$201),0),"激活价须高于买入价",IF(F108&lt;N108,"止损价不得低于初始止损",IF(F108&gt;E108,"止损价不得高于激活价",IF(AND(COUNTIFS($A$2:$A$501,"止损计划",$B$2:$B$501,B108,$D$2:$D$501,"&lt;"&amp;D108)&gt;0,OR(E108&lt;=AGGREGATE(14,6,$E$2:$E$501/(($A$2:$A$501="止损计划")*($B$2:$B$501=B108)*($D$2:$D$501&lt;D108)),1),F108&lt;AGGREGATE(14,6,$F$2:$F$501/(($A$2:$A$501="止损计划")*($B$2:$B$501=B108)*($D$2:$D$501&lt;D108)),1))),"阶段价格必须逐级提高","计划有效"))))))),IF(A108="每日跟踪",IF(OR(B108="",H108="",I108="",J108=""),"每日数据不完整",IF(COUNTIFS($A$2:$A$501,"每日跟踪",$B$2:$B$501,B108,$H$2:$H$501,H108)&gt;1,"同一交易日期重复",IF(AND(R108&lt;&gt;"",R108&lt;S108),"人工止损无效：不能下调","跟踪有效"))),"记录类型无效")))</f>
        <v/>
      </c>
    </row>
    <row r="109">
      <c r="A109" s="28" t="n"/>
      <c r="B109" s="28" t="n"/>
      <c r="C109" s="31">
        <f>IF(B109="","",IFERROR(LOOKUP(2,1/(单次交易!$A$2:$A$201=B109),单次交易!$B$2:$B$201),""))</f>
        <v/>
      </c>
      <c r="D109" s="27" t="n"/>
      <c r="E109" s="43" t="n"/>
      <c r="F109" s="43" t="n"/>
      <c r="G109" s="28" t="n"/>
      <c r="H109" s="49" t="n"/>
      <c r="I109" s="43" t="n"/>
      <c r="J109" s="27" t="n"/>
      <c r="K109" s="28" t="n"/>
      <c r="L109" s="28" t="n"/>
      <c r="M109" s="28" t="n"/>
      <c r="N109" s="44">
        <f>IF(B109="","",IFERROR(LOOKUP(2,1/(单次交易!$A$2:$A$201=B109),单次交易!$N$2:$N$201),""))</f>
        <v/>
      </c>
      <c r="O109" s="44">
        <f>IF(A109&lt;&gt;"每日跟踪","",IF(OR(B109="",H109="",I109=""),"",IFERROR(AGGREGATE(14,6,$I$2:$I$501/(($A$2:$A$501="每日跟踪")*($B$2:$B$501=B109)*($H$2:$H$501&lt;=H109)),1),"")))</f>
        <v/>
      </c>
      <c r="P109" s="26">
        <f>IF(A109&lt;&gt;"每日跟踪","",IF(O109="","",IFERROR(AGGREGATE(14,6,$D$2:$D$501/(($A$2:$A$501="止损计划")*($B$2:$B$501=B109)*($E$2:$E$501&lt;=O109)),1),0)))</f>
        <v/>
      </c>
      <c r="Q109" s="44">
        <f>IF(A109&lt;&gt;"每日跟踪","",IF(N109="","",MAX(N109,IFERROR(AGGREGATE(14,6,$F$2:$F$501/(($A$2:$A$501="止损计划")*($B$2:$B$501=B109)*($E$2:$E$501&lt;=O109)),1),0))))</f>
        <v/>
      </c>
      <c r="R109" s="43" t="n"/>
      <c r="S109" s="44">
        <f>IF(A109&lt;&gt;"每日跟踪","",IF(Q109="","",MAX(Q109,IFERROR(AGGREGATE(14,6,$R$2:$R$501/(($A$2:$A$501="每日跟踪")*($B$2:$B$501=B109)*($H$2:$H$501&lt;=H109)),1),0))))</f>
        <v/>
      </c>
      <c r="T109" s="44">
        <f>IF(A109&lt;&gt;"每日跟踪","",IF(O109="","",IF(COUNTIFS($A$2:$A$501,"止损计划",$B$2:$B$501,B109,$E$2:$E$501,"&gt;"&amp;O109)=0,"",AGGREGATE(15,6,$E$2:$E$501/(($A$2:$A$501="止损计划")*($B$2:$B$501=B109)*($E$2:$E$501&gt;O109)),1))))</f>
        <v/>
      </c>
      <c r="U109" s="44">
        <f>IF(OR(A109&lt;&gt;"每日跟踪",T109=""),"",IFERROR(AGGREGATE(14,6,$F$2:$F$501/(($A$2:$A$501="止损计划")*($B$2:$B$501=B109)*($E$2:$E$501=T109)),1),""))</f>
        <v/>
      </c>
      <c r="V109" s="30">
        <f>IF(OR(A109&lt;&gt;"每日跟踪",T109="",I109="",I109&lt;=0),"",T109/I109-1)</f>
        <v/>
      </c>
      <c r="W109" s="31">
        <f>IF(A109&lt;&gt;"每日跟踪","",IF(OR(I109="",S109=""),"",IF(I109&lt;=S109,"触发止损：应全部卖出","继续观察")))</f>
        <v/>
      </c>
      <c r="X109" s="28" t="n"/>
      <c r="Y109" s="43" t="n"/>
      <c r="Z109" s="26">
        <f>IF(X109&lt;&gt;"执行卖出","",IFERROR(LOOKUP(2,1/(单次交易!$A$2:$A$201=B109),单次交易!$AP$2:$AP$201),""))</f>
        <v/>
      </c>
      <c r="AA109" s="43" t="n"/>
      <c r="AB109" s="31">
        <f>IF(A109&lt;&gt;"每日跟踪","",IF(OR(B109="",H109="",I109="",J109="",K109="",L109="",M109=""),"待补充每日记录",IF(W109="触发止损：应全部卖出",IF(X109&lt;&gt;"执行卖出","违规：触发止损但未执行",IF(Y109="","待补充实际卖出价","卖出记录完整")),IF(X109="","待选择卖出动作",IF(X109="执行卖出",IF(Y109="","待补充实际卖出价","卖出记录完整"),"正常")))))</f>
        <v/>
      </c>
      <c r="AC109" s="31">
        <f>IF(A109="","",IF(A109="止损计划",IF(OR(B109="",D109="",E109="",F109="",G109=""),"计划不完整",IF(OR(D109&lt;1,D109&lt;&gt;INT(D109)),"阶段序号无效",IF(COUNTIFS($A$2:$A$501,"止损计划",$B$2:$B$501,B109,$D$2:$D$501,D109)&gt;1,"阶段序号重复",IF(E109&lt;=IFERROR(LOOKUP(2,1/('单次交易'!$A$2:$A$201=B109),'单次交易'!$E$2:$E$201),0),"激活价须高于买入价",IF(F109&lt;N109,"止损价不得低于初始止损",IF(F109&gt;E109,"止损价不得高于激活价",IF(AND(COUNTIFS($A$2:$A$501,"止损计划",$B$2:$B$501,B109,$D$2:$D$501,"&lt;"&amp;D109)&gt;0,OR(E109&lt;=AGGREGATE(14,6,$E$2:$E$501/(($A$2:$A$501="止损计划")*($B$2:$B$501=B109)*($D$2:$D$501&lt;D109)),1),F109&lt;AGGREGATE(14,6,$F$2:$F$501/(($A$2:$A$501="止损计划")*($B$2:$B$501=B109)*($D$2:$D$501&lt;D109)),1))),"阶段价格必须逐级提高","计划有效"))))))),IF(A109="每日跟踪",IF(OR(B109="",H109="",I109="",J109=""),"每日数据不完整",IF(COUNTIFS($A$2:$A$501,"每日跟踪",$B$2:$B$501,B109,$H$2:$H$501,H109)&gt;1,"同一交易日期重复",IF(AND(R109&lt;&gt;"",R109&lt;S109),"人工止损无效：不能下调","跟踪有效"))),"记录类型无效")))</f>
        <v/>
      </c>
    </row>
    <row r="110">
      <c r="A110" s="28" t="n"/>
      <c r="B110" s="28" t="n"/>
      <c r="C110" s="31">
        <f>IF(B110="","",IFERROR(LOOKUP(2,1/(单次交易!$A$2:$A$201=B110),单次交易!$B$2:$B$201),""))</f>
        <v/>
      </c>
      <c r="D110" s="27" t="n"/>
      <c r="E110" s="43" t="n"/>
      <c r="F110" s="43" t="n"/>
      <c r="G110" s="28" t="n"/>
      <c r="H110" s="49" t="n"/>
      <c r="I110" s="43" t="n"/>
      <c r="J110" s="27" t="n"/>
      <c r="K110" s="28" t="n"/>
      <c r="L110" s="28" t="n"/>
      <c r="M110" s="28" t="n"/>
      <c r="N110" s="44">
        <f>IF(B110="","",IFERROR(LOOKUP(2,1/(单次交易!$A$2:$A$201=B110),单次交易!$N$2:$N$201),""))</f>
        <v/>
      </c>
      <c r="O110" s="44">
        <f>IF(A110&lt;&gt;"每日跟踪","",IF(OR(B110="",H110="",I110=""),"",IFERROR(AGGREGATE(14,6,$I$2:$I$501/(($A$2:$A$501="每日跟踪")*($B$2:$B$501=B110)*($H$2:$H$501&lt;=H110)),1),"")))</f>
        <v/>
      </c>
      <c r="P110" s="26">
        <f>IF(A110&lt;&gt;"每日跟踪","",IF(O110="","",IFERROR(AGGREGATE(14,6,$D$2:$D$501/(($A$2:$A$501="止损计划")*($B$2:$B$501=B110)*($E$2:$E$501&lt;=O110)),1),0)))</f>
        <v/>
      </c>
      <c r="Q110" s="44">
        <f>IF(A110&lt;&gt;"每日跟踪","",IF(N110="","",MAX(N110,IFERROR(AGGREGATE(14,6,$F$2:$F$501/(($A$2:$A$501="止损计划")*($B$2:$B$501=B110)*($E$2:$E$501&lt;=O110)),1),0))))</f>
        <v/>
      </c>
      <c r="R110" s="43" t="n"/>
      <c r="S110" s="44">
        <f>IF(A110&lt;&gt;"每日跟踪","",IF(Q110="","",MAX(Q110,IFERROR(AGGREGATE(14,6,$R$2:$R$501/(($A$2:$A$501="每日跟踪")*($B$2:$B$501=B110)*($H$2:$H$501&lt;=H110)),1),0))))</f>
        <v/>
      </c>
      <c r="T110" s="44">
        <f>IF(A110&lt;&gt;"每日跟踪","",IF(O110="","",IF(COUNTIFS($A$2:$A$501,"止损计划",$B$2:$B$501,B110,$E$2:$E$501,"&gt;"&amp;O110)=0,"",AGGREGATE(15,6,$E$2:$E$501/(($A$2:$A$501="止损计划")*($B$2:$B$501=B110)*($E$2:$E$501&gt;O110)),1))))</f>
        <v/>
      </c>
      <c r="U110" s="44">
        <f>IF(OR(A110&lt;&gt;"每日跟踪",T110=""),"",IFERROR(AGGREGATE(14,6,$F$2:$F$501/(($A$2:$A$501="止损计划")*($B$2:$B$501=B110)*($E$2:$E$501=T110)),1),""))</f>
        <v/>
      </c>
      <c r="V110" s="30">
        <f>IF(OR(A110&lt;&gt;"每日跟踪",T110="",I110="",I110&lt;=0),"",T110/I110-1)</f>
        <v/>
      </c>
      <c r="W110" s="31">
        <f>IF(A110&lt;&gt;"每日跟踪","",IF(OR(I110="",S110=""),"",IF(I110&lt;=S110,"触发止损：应全部卖出","继续观察")))</f>
        <v/>
      </c>
      <c r="X110" s="28" t="n"/>
      <c r="Y110" s="43" t="n"/>
      <c r="Z110" s="26">
        <f>IF(X110&lt;&gt;"执行卖出","",IFERROR(LOOKUP(2,1/(单次交易!$A$2:$A$201=B110),单次交易!$AP$2:$AP$201),""))</f>
        <v/>
      </c>
      <c r="AA110" s="43" t="n"/>
      <c r="AB110" s="31">
        <f>IF(A110&lt;&gt;"每日跟踪","",IF(OR(B110="",H110="",I110="",J110="",K110="",L110="",M110=""),"待补充每日记录",IF(W110="触发止损：应全部卖出",IF(X110&lt;&gt;"执行卖出","违规：触发止损但未执行",IF(Y110="","待补充实际卖出价","卖出记录完整")),IF(X110="","待选择卖出动作",IF(X110="执行卖出",IF(Y110="","待补充实际卖出价","卖出记录完整"),"正常")))))</f>
        <v/>
      </c>
      <c r="AC110" s="31">
        <f>IF(A110="","",IF(A110="止损计划",IF(OR(B110="",D110="",E110="",F110="",G110=""),"计划不完整",IF(OR(D110&lt;1,D110&lt;&gt;INT(D110)),"阶段序号无效",IF(COUNTIFS($A$2:$A$501,"止损计划",$B$2:$B$501,B110,$D$2:$D$501,D110)&gt;1,"阶段序号重复",IF(E110&lt;=IFERROR(LOOKUP(2,1/('单次交易'!$A$2:$A$201=B110),'单次交易'!$E$2:$E$201),0),"激活价须高于买入价",IF(F110&lt;N110,"止损价不得低于初始止损",IF(F110&gt;E110,"止损价不得高于激活价",IF(AND(COUNTIFS($A$2:$A$501,"止损计划",$B$2:$B$501,B110,$D$2:$D$501,"&lt;"&amp;D110)&gt;0,OR(E110&lt;=AGGREGATE(14,6,$E$2:$E$501/(($A$2:$A$501="止损计划")*($B$2:$B$501=B110)*($D$2:$D$501&lt;D110)),1),F110&lt;AGGREGATE(14,6,$F$2:$F$501/(($A$2:$A$501="止损计划")*($B$2:$B$501=B110)*($D$2:$D$501&lt;D110)),1))),"阶段价格必须逐级提高","计划有效"))))))),IF(A110="每日跟踪",IF(OR(B110="",H110="",I110="",J110=""),"每日数据不完整",IF(COUNTIFS($A$2:$A$501,"每日跟踪",$B$2:$B$501,B110,$H$2:$H$501,H110)&gt;1,"同一交易日期重复",IF(AND(R110&lt;&gt;"",R110&lt;S110),"人工止损无效：不能下调","跟踪有效"))),"记录类型无效")))</f>
        <v/>
      </c>
    </row>
    <row r="111">
      <c r="A111" s="28" t="n"/>
      <c r="B111" s="28" t="n"/>
      <c r="C111" s="31">
        <f>IF(B111="","",IFERROR(LOOKUP(2,1/(单次交易!$A$2:$A$201=B111),单次交易!$B$2:$B$201),""))</f>
        <v/>
      </c>
      <c r="D111" s="27" t="n"/>
      <c r="E111" s="43" t="n"/>
      <c r="F111" s="43" t="n"/>
      <c r="G111" s="28" t="n"/>
      <c r="H111" s="49" t="n"/>
      <c r="I111" s="43" t="n"/>
      <c r="J111" s="27" t="n"/>
      <c r="K111" s="28" t="n"/>
      <c r="L111" s="28" t="n"/>
      <c r="M111" s="28" t="n"/>
      <c r="N111" s="44">
        <f>IF(B111="","",IFERROR(LOOKUP(2,1/(单次交易!$A$2:$A$201=B111),单次交易!$N$2:$N$201),""))</f>
        <v/>
      </c>
      <c r="O111" s="44">
        <f>IF(A111&lt;&gt;"每日跟踪","",IF(OR(B111="",H111="",I111=""),"",IFERROR(AGGREGATE(14,6,$I$2:$I$501/(($A$2:$A$501="每日跟踪")*($B$2:$B$501=B111)*($H$2:$H$501&lt;=H111)),1),"")))</f>
        <v/>
      </c>
      <c r="P111" s="26">
        <f>IF(A111&lt;&gt;"每日跟踪","",IF(O111="","",IFERROR(AGGREGATE(14,6,$D$2:$D$501/(($A$2:$A$501="止损计划")*($B$2:$B$501=B111)*($E$2:$E$501&lt;=O111)),1),0)))</f>
        <v/>
      </c>
      <c r="Q111" s="44">
        <f>IF(A111&lt;&gt;"每日跟踪","",IF(N111="","",MAX(N111,IFERROR(AGGREGATE(14,6,$F$2:$F$501/(($A$2:$A$501="止损计划")*($B$2:$B$501=B111)*($E$2:$E$501&lt;=O111)),1),0))))</f>
        <v/>
      </c>
      <c r="R111" s="43" t="n"/>
      <c r="S111" s="44">
        <f>IF(A111&lt;&gt;"每日跟踪","",IF(Q111="","",MAX(Q111,IFERROR(AGGREGATE(14,6,$R$2:$R$501/(($A$2:$A$501="每日跟踪")*($B$2:$B$501=B111)*($H$2:$H$501&lt;=H111)),1),0))))</f>
        <v/>
      </c>
      <c r="T111" s="44">
        <f>IF(A111&lt;&gt;"每日跟踪","",IF(O111="","",IF(COUNTIFS($A$2:$A$501,"止损计划",$B$2:$B$501,B111,$E$2:$E$501,"&gt;"&amp;O111)=0,"",AGGREGATE(15,6,$E$2:$E$501/(($A$2:$A$501="止损计划")*($B$2:$B$501=B111)*($E$2:$E$501&gt;O111)),1))))</f>
        <v/>
      </c>
      <c r="U111" s="44">
        <f>IF(OR(A111&lt;&gt;"每日跟踪",T111=""),"",IFERROR(AGGREGATE(14,6,$F$2:$F$501/(($A$2:$A$501="止损计划")*($B$2:$B$501=B111)*($E$2:$E$501=T111)),1),""))</f>
        <v/>
      </c>
      <c r="V111" s="30">
        <f>IF(OR(A111&lt;&gt;"每日跟踪",T111="",I111="",I111&lt;=0),"",T111/I111-1)</f>
        <v/>
      </c>
      <c r="W111" s="31">
        <f>IF(A111&lt;&gt;"每日跟踪","",IF(OR(I111="",S111=""),"",IF(I111&lt;=S111,"触发止损：应全部卖出","继续观察")))</f>
        <v/>
      </c>
      <c r="X111" s="28" t="n"/>
      <c r="Y111" s="43" t="n"/>
      <c r="Z111" s="26">
        <f>IF(X111&lt;&gt;"执行卖出","",IFERROR(LOOKUP(2,1/(单次交易!$A$2:$A$201=B111),单次交易!$AP$2:$AP$201),""))</f>
        <v/>
      </c>
      <c r="AA111" s="43" t="n"/>
      <c r="AB111" s="31">
        <f>IF(A111&lt;&gt;"每日跟踪","",IF(OR(B111="",H111="",I111="",J111="",K111="",L111="",M111=""),"待补充每日记录",IF(W111="触发止损：应全部卖出",IF(X111&lt;&gt;"执行卖出","违规：触发止损但未执行",IF(Y111="","待补充实际卖出价","卖出记录完整")),IF(X111="","待选择卖出动作",IF(X111="执行卖出",IF(Y111="","待补充实际卖出价","卖出记录完整"),"正常")))))</f>
        <v/>
      </c>
      <c r="AC111" s="31">
        <f>IF(A111="","",IF(A111="止损计划",IF(OR(B111="",D111="",E111="",F111="",G111=""),"计划不完整",IF(OR(D111&lt;1,D111&lt;&gt;INT(D111)),"阶段序号无效",IF(COUNTIFS($A$2:$A$501,"止损计划",$B$2:$B$501,B111,$D$2:$D$501,D111)&gt;1,"阶段序号重复",IF(E111&lt;=IFERROR(LOOKUP(2,1/('单次交易'!$A$2:$A$201=B111),'单次交易'!$E$2:$E$201),0),"激活价须高于买入价",IF(F111&lt;N111,"止损价不得低于初始止损",IF(F111&gt;E111,"止损价不得高于激活价",IF(AND(COUNTIFS($A$2:$A$501,"止损计划",$B$2:$B$501,B111,$D$2:$D$501,"&lt;"&amp;D111)&gt;0,OR(E111&lt;=AGGREGATE(14,6,$E$2:$E$501/(($A$2:$A$501="止损计划")*($B$2:$B$501=B111)*($D$2:$D$501&lt;D111)),1),F111&lt;AGGREGATE(14,6,$F$2:$F$501/(($A$2:$A$501="止损计划")*($B$2:$B$501=B111)*($D$2:$D$501&lt;D111)),1))),"阶段价格必须逐级提高","计划有效"))))))),IF(A111="每日跟踪",IF(OR(B111="",H111="",I111="",J111=""),"每日数据不完整",IF(COUNTIFS($A$2:$A$501,"每日跟踪",$B$2:$B$501,B111,$H$2:$H$501,H111)&gt;1,"同一交易日期重复",IF(AND(R111&lt;&gt;"",R111&lt;S111),"人工止损无效：不能下调","跟踪有效"))),"记录类型无效")))</f>
        <v/>
      </c>
    </row>
    <row r="112">
      <c r="A112" s="28" t="n"/>
      <c r="B112" s="28" t="n"/>
      <c r="C112" s="31">
        <f>IF(B112="","",IFERROR(LOOKUP(2,1/(单次交易!$A$2:$A$201=B112),单次交易!$B$2:$B$201),""))</f>
        <v/>
      </c>
      <c r="D112" s="27" t="n"/>
      <c r="E112" s="43" t="n"/>
      <c r="F112" s="43" t="n"/>
      <c r="G112" s="28" t="n"/>
      <c r="H112" s="49" t="n"/>
      <c r="I112" s="43" t="n"/>
      <c r="J112" s="27" t="n"/>
      <c r="K112" s="28" t="n"/>
      <c r="L112" s="28" t="n"/>
      <c r="M112" s="28" t="n"/>
      <c r="N112" s="44">
        <f>IF(B112="","",IFERROR(LOOKUP(2,1/(单次交易!$A$2:$A$201=B112),单次交易!$N$2:$N$201),""))</f>
        <v/>
      </c>
      <c r="O112" s="44">
        <f>IF(A112&lt;&gt;"每日跟踪","",IF(OR(B112="",H112="",I112=""),"",IFERROR(AGGREGATE(14,6,$I$2:$I$501/(($A$2:$A$501="每日跟踪")*($B$2:$B$501=B112)*($H$2:$H$501&lt;=H112)),1),"")))</f>
        <v/>
      </c>
      <c r="P112" s="26">
        <f>IF(A112&lt;&gt;"每日跟踪","",IF(O112="","",IFERROR(AGGREGATE(14,6,$D$2:$D$501/(($A$2:$A$501="止损计划")*($B$2:$B$501=B112)*($E$2:$E$501&lt;=O112)),1),0)))</f>
        <v/>
      </c>
      <c r="Q112" s="44">
        <f>IF(A112&lt;&gt;"每日跟踪","",IF(N112="","",MAX(N112,IFERROR(AGGREGATE(14,6,$F$2:$F$501/(($A$2:$A$501="止损计划")*($B$2:$B$501=B112)*($E$2:$E$501&lt;=O112)),1),0))))</f>
        <v/>
      </c>
      <c r="R112" s="43" t="n"/>
      <c r="S112" s="44">
        <f>IF(A112&lt;&gt;"每日跟踪","",IF(Q112="","",MAX(Q112,IFERROR(AGGREGATE(14,6,$R$2:$R$501/(($A$2:$A$501="每日跟踪")*($B$2:$B$501=B112)*($H$2:$H$501&lt;=H112)),1),0))))</f>
        <v/>
      </c>
      <c r="T112" s="44">
        <f>IF(A112&lt;&gt;"每日跟踪","",IF(O112="","",IF(COUNTIFS($A$2:$A$501,"止损计划",$B$2:$B$501,B112,$E$2:$E$501,"&gt;"&amp;O112)=0,"",AGGREGATE(15,6,$E$2:$E$501/(($A$2:$A$501="止损计划")*($B$2:$B$501=B112)*($E$2:$E$501&gt;O112)),1))))</f>
        <v/>
      </c>
      <c r="U112" s="44">
        <f>IF(OR(A112&lt;&gt;"每日跟踪",T112=""),"",IFERROR(AGGREGATE(14,6,$F$2:$F$501/(($A$2:$A$501="止损计划")*($B$2:$B$501=B112)*($E$2:$E$501=T112)),1),""))</f>
        <v/>
      </c>
      <c r="V112" s="30">
        <f>IF(OR(A112&lt;&gt;"每日跟踪",T112="",I112="",I112&lt;=0),"",T112/I112-1)</f>
        <v/>
      </c>
      <c r="W112" s="31">
        <f>IF(A112&lt;&gt;"每日跟踪","",IF(OR(I112="",S112=""),"",IF(I112&lt;=S112,"触发止损：应全部卖出","继续观察")))</f>
        <v/>
      </c>
      <c r="X112" s="28" t="n"/>
      <c r="Y112" s="43" t="n"/>
      <c r="Z112" s="26">
        <f>IF(X112&lt;&gt;"执行卖出","",IFERROR(LOOKUP(2,1/(单次交易!$A$2:$A$201=B112),单次交易!$AP$2:$AP$201),""))</f>
        <v/>
      </c>
      <c r="AA112" s="43" t="n"/>
      <c r="AB112" s="31">
        <f>IF(A112&lt;&gt;"每日跟踪","",IF(OR(B112="",H112="",I112="",J112="",K112="",L112="",M112=""),"待补充每日记录",IF(W112="触发止损：应全部卖出",IF(X112&lt;&gt;"执行卖出","违规：触发止损但未执行",IF(Y112="","待补充实际卖出价","卖出记录完整")),IF(X112="","待选择卖出动作",IF(X112="执行卖出",IF(Y112="","待补充实际卖出价","卖出记录完整"),"正常")))))</f>
        <v/>
      </c>
      <c r="AC112" s="31">
        <f>IF(A112="","",IF(A112="止损计划",IF(OR(B112="",D112="",E112="",F112="",G112=""),"计划不完整",IF(OR(D112&lt;1,D112&lt;&gt;INT(D112)),"阶段序号无效",IF(COUNTIFS($A$2:$A$501,"止损计划",$B$2:$B$501,B112,$D$2:$D$501,D112)&gt;1,"阶段序号重复",IF(E112&lt;=IFERROR(LOOKUP(2,1/('单次交易'!$A$2:$A$201=B112),'单次交易'!$E$2:$E$201),0),"激活价须高于买入价",IF(F112&lt;N112,"止损价不得低于初始止损",IF(F112&gt;E112,"止损价不得高于激活价",IF(AND(COUNTIFS($A$2:$A$501,"止损计划",$B$2:$B$501,B112,$D$2:$D$501,"&lt;"&amp;D112)&gt;0,OR(E112&lt;=AGGREGATE(14,6,$E$2:$E$501/(($A$2:$A$501="止损计划")*($B$2:$B$501=B112)*($D$2:$D$501&lt;D112)),1),F112&lt;AGGREGATE(14,6,$F$2:$F$501/(($A$2:$A$501="止损计划")*($B$2:$B$501=B112)*($D$2:$D$501&lt;D112)),1))),"阶段价格必须逐级提高","计划有效"))))))),IF(A112="每日跟踪",IF(OR(B112="",H112="",I112="",J112=""),"每日数据不完整",IF(COUNTIFS($A$2:$A$501,"每日跟踪",$B$2:$B$501,B112,$H$2:$H$501,H112)&gt;1,"同一交易日期重复",IF(AND(R112&lt;&gt;"",R112&lt;S112),"人工止损无效：不能下调","跟踪有效"))),"记录类型无效")))</f>
        <v/>
      </c>
    </row>
    <row r="113">
      <c r="A113" s="28" t="n"/>
      <c r="B113" s="28" t="n"/>
      <c r="C113" s="31">
        <f>IF(B113="","",IFERROR(LOOKUP(2,1/(单次交易!$A$2:$A$201=B113),单次交易!$B$2:$B$201),""))</f>
        <v/>
      </c>
      <c r="D113" s="27" t="n"/>
      <c r="E113" s="43" t="n"/>
      <c r="F113" s="43" t="n"/>
      <c r="G113" s="28" t="n"/>
      <c r="H113" s="49" t="n"/>
      <c r="I113" s="43" t="n"/>
      <c r="J113" s="27" t="n"/>
      <c r="K113" s="28" t="n"/>
      <c r="L113" s="28" t="n"/>
      <c r="M113" s="28" t="n"/>
      <c r="N113" s="44">
        <f>IF(B113="","",IFERROR(LOOKUP(2,1/(单次交易!$A$2:$A$201=B113),单次交易!$N$2:$N$201),""))</f>
        <v/>
      </c>
      <c r="O113" s="44">
        <f>IF(A113&lt;&gt;"每日跟踪","",IF(OR(B113="",H113="",I113=""),"",IFERROR(AGGREGATE(14,6,$I$2:$I$501/(($A$2:$A$501="每日跟踪")*($B$2:$B$501=B113)*($H$2:$H$501&lt;=H113)),1),"")))</f>
        <v/>
      </c>
      <c r="P113" s="26">
        <f>IF(A113&lt;&gt;"每日跟踪","",IF(O113="","",IFERROR(AGGREGATE(14,6,$D$2:$D$501/(($A$2:$A$501="止损计划")*($B$2:$B$501=B113)*($E$2:$E$501&lt;=O113)),1),0)))</f>
        <v/>
      </c>
      <c r="Q113" s="44">
        <f>IF(A113&lt;&gt;"每日跟踪","",IF(N113="","",MAX(N113,IFERROR(AGGREGATE(14,6,$F$2:$F$501/(($A$2:$A$501="止损计划")*($B$2:$B$501=B113)*($E$2:$E$501&lt;=O113)),1),0))))</f>
        <v/>
      </c>
      <c r="R113" s="43" t="n"/>
      <c r="S113" s="44">
        <f>IF(A113&lt;&gt;"每日跟踪","",IF(Q113="","",MAX(Q113,IFERROR(AGGREGATE(14,6,$R$2:$R$501/(($A$2:$A$501="每日跟踪")*($B$2:$B$501=B113)*($H$2:$H$501&lt;=H113)),1),0))))</f>
        <v/>
      </c>
      <c r="T113" s="44">
        <f>IF(A113&lt;&gt;"每日跟踪","",IF(O113="","",IF(COUNTIFS($A$2:$A$501,"止损计划",$B$2:$B$501,B113,$E$2:$E$501,"&gt;"&amp;O113)=0,"",AGGREGATE(15,6,$E$2:$E$501/(($A$2:$A$501="止损计划")*($B$2:$B$501=B113)*($E$2:$E$501&gt;O113)),1))))</f>
        <v/>
      </c>
      <c r="U113" s="44">
        <f>IF(OR(A113&lt;&gt;"每日跟踪",T113=""),"",IFERROR(AGGREGATE(14,6,$F$2:$F$501/(($A$2:$A$501="止损计划")*($B$2:$B$501=B113)*($E$2:$E$501=T113)),1),""))</f>
        <v/>
      </c>
      <c r="V113" s="30">
        <f>IF(OR(A113&lt;&gt;"每日跟踪",T113="",I113="",I113&lt;=0),"",T113/I113-1)</f>
        <v/>
      </c>
      <c r="W113" s="31">
        <f>IF(A113&lt;&gt;"每日跟踪","",IF(OR(I113="",S113=""),"",IF(I113&lt;=S113,"触发止损：应全部卖出","继续观察")))</f>
        <v/>
      </c>
      <c r="X113" s="28" t="n"/>
      <c r="Y113" s="43" t="n"/>
      <c r="Z113" s="26">
        <f>IF(X113&lt;&gt;"执行卖出","",IFERROR(LOOKUP(2,1/(单次交易!$A$2:$A$201=B113),单次交易!$AP$2:$AP$201),""))</f>
        <v/>
      </c>
      <c r="AA113" s="43" t="n"/>
      <c r="AB113" s="31">
        <f>IF(A113&lt;&gt;"每日跟踪","",IF(OR(B113="",H113="",I113="",J113="",K113="",L113="",M113=""),"待补充每日记录",IF(W113="触发止损：应全部卖出",IF(X113&lt;&gt;"执行卖出","违规：触发止损但未执行",IF(Y113="","待补充实际卖出价","卖出记录完整")),IF(X113="","待选择卖出动作",IF(X113="执行卖出",IF(Y113="","待补充实际卖出价","卖出记录完整"),"正常")))))</f>
        <v/>
      </c>
      <c r="AC113" s="31">
        <f>IF(A113="","",IF(A113="止损计划",IF(OR(B113="",D113="",E113="",F113="",G113=""),"计划不完整",IF(OR(D113&lt;1,D113&lt;&gt;INT(D113)),"阶段序号无效",IF(COUNTIFS($A$2:$A$501,"止损计划",$B$2:$B$501,B113,$D$2:$D$501,D113)&gt;1,"阶段序号重复",IF(E113&lt;=IFERROR(LOOKUP(2,1/('单次交易'!$A$2:$A$201=B113),'单次交易'!$E$2:$E$201),0),"激活价须高于买入价",IF(F113&lt;N113,"止损价不得低于初始止损",IF(F113&gt;E113,"止损价不得高于激活价",IF(AND(COUNTIFS($A$2:$A$501,"止损计划",$B$2:$B$501,B113,$D$2:$D$501,"&lt;"&amp;D113)&gt;0,OR(E113&lt;=AGGREGATE(14,6,$E$2:$E$501/(($A$2:$A$501="止损计划")*($B$2:$B$501=B113)*($D$2:$D$501&lt;D113)),1),F113&lt;AGGREGATE(14,6,$F$2:$F$501/(($A$2:$A$501="止损计划")*($B$2:$B$501=B113)*($D$2:$D$501&lt;D113)),1))),"阶段价格必须逐级提高","计划有效"))))))),IF(A113="每日跟踪",IF(OR(B113="",H113="",I113="",J113=""),"每日数据不完整",IF(COUNTIFS($A$2:$A$501,"每日跟踪",$B$2:$B$501,B113,$H$2:$H$501,H113)&gt;1,"同一交易日期重复",IF(AND(R113&lt;&gt;"",R113&lt;S113),"人工止损无效：不能下调","跟踪有效"))),"记录类型无效")))</f>
        <v/>
      </c>
    </row>
    <row r="114">
      <c r="A114" s="28" t="n"/>
      <c r="B114" s="28" t="n"/>
      <c r="C114" s="31">
        <f>IF(B114="","",IFERROR(LOOKUP(2,1/(单次交易!$A$2:$A$201=B114),单次交易!$B$2:$B$201),""))</f>
        <v/>
      </c>
      <c r="D114" s="27" t="n"/>
      <c r="E114" s="43" t="n"/>
      <c r="F114" s="43" t="n"/>
      <c r="G114" s="28" t="n"/>
      <c r="H114" s="49" t="n"/>
      <c r="I114" s="43" t="n"/>
      <c r="J114" s="27" t="n"/>
      <c r="K114" s="28" t="n"/>
      <c r="L114" s="28" t="n"/>
      <c r="M114" s="28" t="n"/>
      <c r="N114" s="44">
        <f>IF(B114="","",IFERROR(LOOKUP(2,1/(单次交易!$A$2:$A$201=B114),单次交易!$N$2:$N$201),""))</f>
        <v/>
      </c>
      <c r="O114" s="44">
        <f>IF(A114&lt;&gt;"每日跟踪","",IF(OR(B114="",H114="",I114=""),"",IFERROR(AGGREGATE(14,6,$I$2:$I$501/(($A$2:$A$501="每日跟踪")*($B$2:$B$501=B114)*($H$2:$H$501&lt;=H114)),1),"")))</f>
        <v/>
      </c>
      <c r="P114" s="26">
        <f>IF(A114&lt;&gt;"每日跟踪","",IF(O114="","",IFERROR(AGGREGATE(14,6,$D$2:$D$501/(($A$2:$A$501="止损计划")*($B$2:$B$501=B114)*($E$2:$E$501&lt;=O114)),1),0)))</f>
        <v/>
      </c>
      <c r="Q114" s="44">
        <f>IF(A114&lt;&gt;"每日跟踪","",IF(N114="","",MAX(N114,IFERROR(AGGREGATE(14,6,$F$2:$F$501/(($A$2:$A$501="止损计划")*($B$2:$B$501=B114)*($E$2:$E$501&lt;=O114)),1),0))))</f>
        <v/>
      </c>
      <c r="R114" s="43" t="n"/>
      <c r="S114" s="44">
        <f>IF(A114&lt;&gt;"每日跟踪","",IF(Q114="","",MAX(Q114,IFERROR(AGGREGATE(14,6,$R$2:$R$501/(($A$2:$A$501="每日跟踪")*($B$2:$B$501=B114)*($H$2:$H$501&lt;=H114)),1),0))))</f>
        <v/>
      </c>
      <c r="T114" s="44">
        <f>IF(A114&lt;&gt;"每日跟踪","",IF(O114="","",IF(COUNTIFS($A$2:$A$501,"止损计划",$B$2:$B$501,B114,$E$2:$E$501,"&gt;"&amp;O114)=0,"",AGGREGATE(15,6,$E$2:$E$501/(($A$2:$A$501="止损计划")*($B$2:$B$501=B114)*($E$2:$E$501&gt;O114)),1))))</f>
        <v/>
      </c>
      <c r="U114" s="44">
        <f>IF(OR(A114&lt;&gt;"每日跟踪",T114=""),"",IFERROR(AGGREGATE(14,6,$F$2:$F$501/(($A$2:$A$501="止损计划")*($B$2:$B$501=B114)*($E$2:$E$501=T114)),1),""))</f>
        <v/>
      </c>
      <c r="V114" s="30">
        <f>IF(OR(A114&lt;&gt;"每日跟踪",T114="",I114="",I114&lt;=0),"",T114/I114-1)</f>
        <v/>
      </c>
      <c r="W114" s="31">
        <f>IF(A114&lt;&gt;"每日跟踪","",IF(OR(I114="",S114=""),"",IF(I114&lt;=S114,"触发止损：应全部卖出","继续观察")))</f>
        <v/>
      </c>
      <c r="X114" s="28" t="n"/>
      <c r="Y114" s="43" t="n"/>
      <c r="Z114" s="26">
        <f>IF(X114&lt;&gt;"执行卖出","",IFERROR(LOOKUP(2,1/(单次交易!$A$2:$A$201=B114),单次交易!$AP$2:$AP$201),""))</f>
        <v/>
      </c>
      <c r="AA114" s="43" t="n"/>
      <c r="AB114" s="31">
        <f>IF(A114&lt;&gt;"每日跟踪","",IF(OR(B114="",H114="",I114="",J114="",K114="",L114="",M114=""),"待补充每日记录",IF(W114="触发止损：应全部卖出",IF(X114&lt;&gt;"执行卖出","违规：触发止损但未执行",IF(Y114="","待补充实际卖出价","卖出记录完整")),IF(X114="","待选择卖出动作",IF(X114="执行卖出",IF(Y114="","待补充实际卖出价","卖出记录完整"),"正常")))))</f>
        <v/>
      </c>
      <c r="AC114" s="31">
        <f>IF(A114="","",IF(A114="止损计划",IF(OR(B114="",D114="",E114="",F114="",G114=""),"计划不完整",IF(OR(D114&lt;1,D114&lt;&gt;INT(D114)),"阶段序号无效",IF(COUNTIFS($A$2:$A$501,"止损计划",$B$2:$B$501,B114,$D$2:$D$501,D114)&gt;1,"阶段序号重复",IF(E114&lt;=IFERROR(LOOKUP(2,1/('单次交易'!$A$2:$A$201=B114),'单次交易'!$E$2:$E$201),0),"激活价须高于买入价",IF(F114&lt;N114,"止损价不得低于初始止损",IF(F114&gt;E114,"止损价不得高于激活价",IF(AND(COUNTIFS($A$2:$A$501,"止损计划",$B$2:$B$501,B114,$D$2:$D$501,"&lt;"&amp;D114)&gt;0,OR(E114&lt;=AGGREGATE(14,6,$E$2:$E$501/(($A$2:$A$501="止损计划")*($B$2:$B$501=B114)*($D$2:$D$501&lt;D114)),1),F114&lt;AGGREGATE(14,6,$F$2:$F$501/(($A$2:$A$501="止损计划")*($B$2:$B$501=B114)*($D$2:$D$501&lt;D114)),1))),"阶段价格必须逐级提高","计划有效"))))))),IF(A114="每日跟踪",IF(OR(B114="",H114="",I114="",J114=""),"每日数据不完整",IF(COUNTIFS($A$2:$A$501,"每日跟踪",$B$2:$B$501,B114,$H$2:$H$501,H114)&gt;1,"同一交易日期重复",IF(AND(R114&lt;&gt;"",R114&lt;S114),"人工止损无效：不能下调","跟踪有效"))),"记录类型无效")))</f>
        <v/>
      </c>
    </row>
    <row r="115">
      <c r="A115" s="28" t="n"/>
      <c r="B115" s="28" t="n"/>
      <c r="C115" s="31">
        <f>IF(B115="","",IFERROR(LOOKUP(2,1/(单次交易!$A$2:$A$201=B115),单次交易!$B$2:$B$201),""))</f>
        <v/>
      </c>
      <c r="D115" s="27" t="n"/>
      <c r="E115" s="43" t="n"/>
      <c r="F115" s="43" t="n"/>
      <c r="G115" s="28" t="n"/>
      <c r="H115" s="49" t="n"/>
      <c r="I115" s="43" t="n"/>
      <c r="J115" s="27" t="n"/>
      <c r="K115" s="28" t="n"/>
      <c r="L115" s="28" t="n"/>
      <c r="M115" s="28" t="n"/>
      <c r="N115" s="44">
        <f>IF(B115="","",IFERROR(LOOKUP(2,1/(单次交易!$A$2:$A$201=B115),单次交易!$N$2:$N$201),""))</f>
        <v/>
      </c>
      <c r="O115" s="44">
        <f>IF(A115&lt;&gt;"每日跟踪","",IF(OR(B115="",H115="",I115=""),"",IFERROR(AGGREGATE(14,6,$I$2:$I$501/(($A$2:$A$501="每日跟踪")*($B$2:$B$501=B115)*($H$2:$H$501&lt;=H115)),1),"")))</f>
        <v/>
      </c>
      <c r="P115" s="26">
        <f>IF(A115&lt;&gt;"每日跟踪","",IF(O115="","",IFERROR(AGGREGATE(14,6,$D$2:$D$501/(($A$2:$A$501="止损计划")*($B$2:$B$501=B115)*($E$2:$E$501&lt;=O115)),1),0)))</f>
        <v/>
      </c>
      <c r="Q115" s="44">
        <f>IF(A115&lt;&gt;"每日跟踪","",IF(N115="","",MAX(N115,IFERROR(AGGREGATE(14,6,$F$2:$F$501/(($A$2:$A$501="止损计划")*($B$2:$B$501=B115)*($E$2:$E$501&lt;=O115)),1),0))))</f>
        <v/>
      </c>
      <c r="R115" s="43" t="n"/>
      <c r="S115" s="44">
        <f>IF(A115&lt;&gt;"每日跟踪","",IF(Q115="","",MAX(Q115,IFERROR(AGGREGATE(14,6,$R$2:$R$501/(($A$2:$A$501="每日跟踪")*($B$2:$B$501=B115)*($H$2:$H$501&lt;=H115)),1),0))))</f>
        <v/>
      </c>
      <c r="T115" s="44">
        <f>IF(A115&lt;&gt;"每日跟踪","",IF(O115="","",IF(COUNTIFS($A$2:$A$501,"止损计划",$B$2:$B$501,B115,$E$2:$E$501,"&gt;"&amp;O115)=0,"",AGGREGATE(15,6,$E$2:$E$501/(($A$2:$A$501="止损计划")*($B$2:$B$501=B115)*($E$2:$E$501&gt;O115)),1))))</f>
        <v/>
      </c>
      <c r="U115" s="44">
        <f>IF(OR(A115&lt;&gt;"每日跟踪",T115=""),"",IFERROR(AGGREGATE(14,6,$F$2:$F$501/(($A$2:$A$501="止损计划")*($B$2:$B$501=B115)*($E$2:$E$501=T115)),1),""))</f>
        <v/>
      </c>
      <c r="V115" s="30">
        <f>IF(OR(A115&lt;&gt;"每日跟踪",T115="",I115="",I115&lt;=0),"",T115/I115-1)</f>
        <v/>
      </c>
      <c r="W115" s="31">
        <f>IF(A115&lt;&gt;"每日跟踪","",IF(OR(I115="",S115=""),"",IF(I115&lt;=S115,"触发止损：应全部卖出","继续观察")))</f>
        <v/>
      </c>
      <c r="X115" s="28" t="n"/>
      <c r="Y115" s="43" t="n"/>
      <c r="Z115" s="26">
        <f>IF(X115&lt;&gt;"执行卖出","",IFERROR(LOOKUP(2,1/(单次交易!$A$2:$A$201=B115),单次交易!$AP$2:$AP$201),""))</f>
        <v/>
      </c>
      <c r="AA115" s="43" t="n"/>
      <c r="AB115" s="31">
        <f>IF(A115&lt;&gt;"每日跟踪","",IF(OR(B115="",H115="",I115="",J115="",K115="",L115="",M115=""),"待补充每日记录",IF(W115="触发止损：应全部卖出",IF(X115&lt;&gt;"执行卖出","违规：触发止损但未执行",IF(Y115="","待补充实际卖出价","卖出记录完整")),IF(X115="","待选择卖出动作",IF(X115="执行卖出",IF(Y115="","待补充实际卖出价","卖出记录完整"),"正常")))))</f>
        <v/>
      </c>
      <c r="AC115" s="31">
        <f>IF(A115="","",IF(A115="止损计划",IF(OR(B115="",D115="",E115="",F115="",G115=""),"计划不完整",IF(OR(D115&lt;1,D115&lt;&gt;INT(D115)),"阶段序号无效",IF(COUNTIFS($A$2:$A$501,"止损计划",$B$2:$B$501,B115,$D$2:$D$501,D115)&gt;1,"阶段序号重复",IF(E115&lt;=IFERROR(LOOKUP(2,1/('单次交易'!$A$2:$A$201=B115),'单次交易'!$E$2:$E$201),0),"激活价须高于买入价",IF(F115&lt;N115,"止损价不得低于初始止损",IF(F115&gt;E115,"止损价不得高于激活价",IF(AND(COUNTIFS($A$2:$A$501,"止损计划",$B$2:$B$501,B115,$D$2:$D$501,"&lt;"&amp;D115)&gt;0,OR(E115&lt;=AGGREGATE(14,6,$E$2:$E$501/(($A$2:$A$501="止损计划")*($B$2:$B$501=B115)*($D$2:$D$501&lt;D115)),1),F115&lt;AGGREGATE(14,6,$F$2:$F$501/(($A$2:$A$501="止损计划")*($B$2:$B$501=B115)*($D$2:$D$501&lt;D115)),1))),"阶段价格必须逐级提高","计划有效"))))))),IF(A115="每日跟踪",IF(OR(B115="",H115="",I115="",J115=""),"每日数据不完整",IF(COUNTIFS($A$2:$A$501,"每日跟踪",$B$2:$B$501,B115,$H$2:$H$501,H115)&gt;1,"同一交易日期重复",IF(AND(R115&lt;&gt;"",R115&lt;S115),"人工止损无效：不能下调","跟踪有效"))),"记录类型无效")))</f>
        <v/>
      </c>
    </row>
    <row r="116">
      <c r="A116" s="28" t="n"/>
      <c r="B116" s="28" t="n"/>
      <c r="C116" s="31">
        <f>IF(B116="","",IFERROR(LOOKUP(2,1/(单次交易!$A$2:$A$201=B116),单次交易!$B$2:$B$201),""))</f>
        <v/>
      </c>
      <c r="D116" s="27" t="n"/>
      <c r="E116" s="43" t="n"/>
      <c r="F116" s="43" t="n"/>
      <c r="G116" s="28" t="n"/>
      <c r="H116" s="49" t="n"/>
      <c r="I116" s="43" t="n"/>
      <c r="J116" s="27" t="n"/>
      <c r="K116" s="28" t="n"/>
      <c r="L116" s="28" t="n"/>
      <c r="M116" s="28" t="n"/>
      <c r="N116" s="44">
        <f>IF(B116="","",IFERROR(LOOKUP(2,1/(单次交易!$A$2:$A$201=B116),单次交易!$N$2:$N$201),""))</f>
        <v/>
      </c>
      <c r="O116" s="44">
        <f>IF(A116&lt;&gt;"每日跟踪","",IF(OR(B116="",H116="",I116=""),"",IFERROR(AGGREGATE(14,6,$I$2:$I$501/(($A$2:$A$501="每日跟踪")*($B$2:$B$501=B116)*($H$2:$H$501&lt;=H116)),1),"")))</f>
        <v/>
      </c>
      <c r="P116" s="26">
        <f>IF(A116&lt;&gt;"每日跟踪","",IF(O116="","",IFERROR(AGGREGATE(14,6,$D$2:$D$501/(($A$2:$A$501="止损计划")*($B$2:$B$501=B116)*($E$2:$E$501&lt;=O116)),1),0)))</f>
        <v/>
      </c>
      <c r="Q116" s="44">
        <f>IF(A116&lt;&gt;"每日跟踪","",IF(N116="","",MAX(N116,IFERROR(AGGREGATE(14,6,$F$2:$F$501/(($A$2:$A$501="止损计划")*($B$2:$B$501=B116)*($E$2:$E$501&lt;=O116)),1),0))))</f>
        <v/>
      </c>
      <c r="R116" s="43" t="n"/>
      <c r="S116" s="44">
        <f>IF(A116&lt;&gt;"每日跟踪","",IF(Q116="","",MAX(Q116,IFERROR(AGGREGATE(14,6,$R$2:$R$501/(($A$2:$A$501="每日跟踪")*($B$2:$B$501=B116)*($H$2:$H$501&lt;=H116)),1),0))))</f>
        <v/>
      </c>
      <c r="T116" s="44">
        <f>IF(A116&lt;&gt;"每日跟踪","",IF(O116="","",IF(COUNTIFS($A$2:$A$501,"止损计划",$B$2:$B$501,B116,$E$2:$E$501,"&gt;"&amp;O116)=0,"",AGGREGATE(15,6,$E$2:$E$501/(($A$2:$A$501="止损计划")*($B$2:$B$501=B116)*($E$2:$E$501&gt;O116)),1))))</f>
        <v/>
      </c>
      <c r="U116" s="44">
        <f>IF(OR(A116&lt;&gt;"每日跟踪",T116=""),"",IFERROR(AGGREGATE(14,6,$F$2:$F$501/(($A$2:$A$501="止损计划")*($B$2:$B$501=B116)*($E$2:$E$501=T116)),1),""))</f>
        <v/>
      </c>
      <c r="V116" s="30">
        <f>IF(OR(A116&lt;&gt;"每日跟踪",T116="",I116="",I116&lt;=0),"",T116/I116-1)</f>
        <v/>
      </c>
      <c r="W116" s="31">
        <f>IF(A116&lt;&gt;"每日跟踪","",IF(OR(I116="",S116=""),"",IF(I116&lt;=S116,"触发止损：应全部卖出","继续观察")))</f>
        <v/>
      </c>
      <c r="X116" s="28" t="n"/>
      <c r="Y116" s="43" t="n"/>
      <c r="Z116" s="26">
        <f>IF(X116&lt;&gt;"执行卖出","",IFERROR(LOOKUP(2,1/(单次交易!$A$2:$A$201=B116),单次交易!$AP$2:$AP$201),""))</f>
        <v/>
      </c>
      <c r="AA116" s="43" t="n"/>
      <c r="AB116" s="31">
        <f>IF(A116&lt;&gt;"每日跟踪","",IF(OR(B116="",H116="",I116="",J116="",K116="",L116="",M116=""),"待补充每日记录",IF(W116="触发止损：应全部卖出",IF(X116&lt;&gt;"执行卖出","违规：触发止损但未执行",IF(Y116="","待补充实际卖出价","卖出记录完整")),IF(X116="","待选择卖出动作",IF(X116="执行卖出",IF(Y116="","待补充实际卖出价","卖出记录完整"),"正常")))))</f>
        <v/>
      </c>
      <c r="AC116" s="31">
        <f>IF(A116="","",IF(A116="止损计划",IF(OR(B116="",D116="",E116="",F116="",G116=""),"计划不完整",IF(OR(D116&lt;1,D116&lt;&gt;INT(D116)),"阶段序号无效",IF(COUNTIFS($A$2:$A$501,"止损计划",$B$2:$B$501,B116,$D$2:$D$501,D116)&gt;1,"阶段序号重复",IF(E116&lt;=IFERROR(LOOKUP(2,1/('单次交易'!$A$2:$A$201=B116),'单次交易'!$E$2:$E$201),0),"激活价须高于买入价",IF(F116&lt;N116,"止损价不得低于初始止损",IF(F116&gt;E116,"止损价不得高于激活价",IF(AND(COUNTIFS($A$2:$A$501,"止损计划",$B$2:$B$501,B116,$D$2:$D$501,"&lt;"&amp;D116)&gt;0,OR(E116&lt;=AGGREGATE(14,6,$E$2:$E$501/(($A$2:$A$501="止损计划")*($B$2:$B$501=B116)*($D$2:$D$501&lt;D116)),1),F116&lt;AGGREGATE(14,6,$F$2:$F$501/(($A$2:$A$501="止损计划")*($B$2:$B$501=B116)*($D$2:$D$501&lt;D116)),1))),"阶段价格必须逐级提高","计划有效"))))))),IF(A116="每日跟踪",IF(OR(B116="",H116="",I116="",J116=""),"每日数据不完整",IF(COUNTIFS($A$2:$A$501,"每日跟踪",$B$2:$B$501,B116,$H$2:$H$501,H116)&gt;1,"同一交易日期重复",IF(AND(R116&lt;&gt;"",R116&lt;S116),"人工止损无效：不能下调","跟踪有效"))),"记录类型无效")))</f>
        <v/>
      </c>
    </row>
    <row r="117">
      <c r="A117" s="28" t="n"/>
      <c r="B117" s="28" t="n"/>
      <c r="C117" s="31">
        <f>IF(B117="","",IFERROR(LOOKUP(2,1/(单次交易!$A$2:$A$201=B117),单次交易!$B$2:$B$201),""))</f>
        <v/>
      </c>
      <c r="D117" s="27" t="n"/>
      <c r="E117" s="43" t="n"/>
      <c r="F117" s="43" t="n"/>
      <c r="G117" s="28" t="n"/>
      <c r="H117" s="49" t="n"/>
      <c r="I117" s="43" t="n"/>
      <c r="J117" s="27" t="n"/>
      <c r="K117" s="28" t="n"/>
      <c r="L117" s="28" t="n"/>
      <c r="M117" s="28" t="n"/>
      <c r="N117" s="44">
        <f>IF(B117="","",IFERROR(LOOKUP(2,1/(单次交易!$A$2:$A$201=B117),单次交易!$N$2:$N$201),""))</f>
        <v/>
      </c>
      <c r="O117" s="44">
        <f>IF(A117&lt;&gt;"每日跟踪","",IF(OR(B117="",H117="",I117=""),"",IFERROR(AGGREGATE(14,6,$I$2:$I$501/(($A$2:$A$501="每日跟踪")*($B$2:$B$501=B117)*($H$2:$H$501&lt;=H117)),1),"")))</f>
        <v/>
      </c>
      <c r="P117" s="26">
        <f>IF(A117&lt;&gt;"每日跟踪","",IF(O117="","",IFERROR(AGGREGATE(14,6,$D$2:$D$501/(($A$2:$A$501="止损计划")*($B$2:$B$501=B117)*($E$2:$E$501&lt;=O117)),1),0)))</f>
        <v/>
      </c>
      <c r="Q117" s="44">
        <f>IF(A117&lt;&gt;"每日跟踪","",IF(N117="","",MAX(N117,IFERROR(AGGREGATE(14,6,$F$2:$F$501/(($A$2:$A$501="止损计划")*($B$2:$B$501=B117)*($E$2:$E$501&lt;=O117)),1),0))))</f>
        <v/>
      </c>
      <c r="R117" s="43" t="n"/>
      <c r="S117" s="44">
        <f>IF(A117&lt;&gt;"每日跟踪","",IF(Q117="","",MAX(Q117,IFERROR(AGGREGATE(14,6,$R$2:$R$501/(($A$2:$A$501="每日跟踪")*($B$2:$B$501=B117)*($H$2:$H$501&lt;=H117)),1),0))))</f>
        <v/>
      </c>
      <c r="T117" s="44">
        <f>IF(A117&lt;&gt;"每日跟踪","",IF(O117="","",IF(COUNTIFS($A$2:$A$501,"止损计划",$B$2:$B$501,B117,$E$2:$E$501,"&gt;"&amp;O117)=0,"",AGGREGATE(15,6,$E$2:$E$501/(($A$2:$A$501="止损计划")*($B$2:$B$501=B117)*($E$2:$E$501&gt;O117)),1))))</f>
        <v/>
      </c>
      <c r="U117" s="44">
        <f>IF(OR(A117&lt;&gt;"每日跟踪",T117=""),"",IFERROR(AGGREGATE(14,6,$F$2:$F$501/(($A$2:$A$501="止损计划")*($B$2:$B$501=B117)*($E$2:$E$501=T117)),1),""))</f>
        <v/>
      </c>
      <c r="V117" s="30">
        <f>IF(OR(A117&lt;&gt;"每日跟踪",T117="",I117="",I117&lt;=0),"",T117/I117-1)</f>
        <v/>
      </c>
      <c r="W117" s="31">
        <f>IF(A117&lt;&gt;"每日跟踪","",IF(OR(I117="",S117=""),"",IF(I117&lt;=S117,"触发止损：应全部卖出","继续观察")))</f>
        <v/>
      </c>
      <c r="X117" s="28" t="n"/>
      <c r="Y117" s="43" t="n"/>
      <c r="Z117" s="26">
        <f>IF(X117&lt;&gt;"执行卖出","",IFERROR(LOOKUP(2,1/(单次交易!$A$2:$A$201=B117),单次交易!$AP$2:$AP$201),""))</f>
        <v/>
      </c>
      <c r="AA117" s="43" t="n"/>
      <c r="AB117" s="31">
        <f>IF(A117&lt;&gt;"每日跟踪","",IF(OR(B117="",H117="",I117="",J117="",K117="",L117="",M117=""),"待补充每日记录",IF(W117="触发止损：应全部卖出",IF(X117&lt;&gt;"执行卖出","违规：触发止损但未执行",IF(Y117="","待补充实际卖出价","卖出记录完整")),IF(X117="","待选择卖出动作",IF(X117="执行卖出",IF(Y117="","待补充实际卖出价","卖出记录完整"),"正常")))))</f>
        <v/>
      </c>
      <c r="AC117" s="31">
        <f>IF(A117="","",IF(A117="止损计划",IF(OR(B117="",D117="",E117="",F117="",G117=""),"计划不完整",IF(OR(D117&lt;1,D117&lt;&gt;INT(D117)),"阶段序号无效",IF(COUNTIFS($A$2:$A$501,"止损计划",$B$2:$B$501,B117,$D$2:$D$501,D117)&gt;1,"阶段序号重复",IF(E117&lt;=IFERROR(LOOKUP(2,1/('单次交易'!$A$2:$A$201=B117),'单次交易'!$E$2:$E$201),0),"激活价须高于买入价",IF(F117&lt;N117,"止损价不得低于初始止损",IF(F117&gt;E117,"止损价不得高于激活价",IF(AND(COUNTIFS($A$2:$A$501,"止损计划",$B$2:$B$501,B117,$D$2:$D$501,"&lt;"&amp;D117)&gt;0,OR(E117&lt;=AGGREGATE(14,6,$E$2:$E$501/(($A$2:$A$501="止损计划")*($B$2:$B$501=B117)*($D$2:$D$501&lt;D117)),1),F117&lt;AGGREGATE(14,6,$F$2:$F$501/(($A$2:$A$501="止损计划")*($B$2:$B$501=B117)*($D$2:$D$501&lt;D117)),1))),"阶段价格必须逐级提高","计划有效"))))))),IF(A117="每日跟踪",IF(OR(B117="",H117="",I117="",J117=""),"每日数据不完整",IF(COUNTIFS($A$2:$A$501,"每日跟踪",$B$2:$B$501,B117,$H$2:$H$501,H117)&gt;1,"同一交易日期重复",IF(AND(R117&lt;&gt;"",R117&lt;S117),"人工止损无效：不能下调","跟踪有效"))),"记录类型无效")))</f>
        <v/>
      </c>
    </row>
    <row r="118">
      <c r="A118" s="28" t="n"/>
      <c r="B118" s="28" t="n"/>
      <c r="C118" s="31">
        <f>IF(B118="","",IFERROR(LOOKUP(2,1/(单次交易!$A$2:$A$201=B118),单次交易!$B$2:$B$201),""))</f>
        <v/>
      </c>
      <c r="D118" s="27" t="n"/>
      <c r="E118" s="43" t="n"/>
      <c r="F118" s="43" t="n"/>
      <c r="G118" s="28" t="n"/>
      <c r="H118" s="49" t="n"/>
      <c r="I118" s="43" t="n"/>
      <c r="J118" s="27" t="n"/>
      <c r="K118" s="28" t="n"/>
      <c r="L118" s="28" t="n"/>
      <c r="M118" s="28" t="n"/>
      <c r="N118" s="44">
        <f>IF(B118="","",IFERROR(LOOKUP(2,1/(单次交易!$A$2:$A$201=B118),单次交易!$N$2:$N$201),""))</f>
        <v/>
      </c>
      <c r="O118" s="44">
        <f>IF(A118&lt;&gt;"每日跟踪","",IF(OR(B118="",H118="",I118=""),"",IFERROR(AGGREGATE(14,6,$I$2:$I$501/(($A$2:$A$501="每日跟踪")*($B$2:$B$501=B118)*($H$2:$H$501&lt;=H118)),1),"")))</f>
        <v/>
      </c>
      <c r="P118" s="26">
        <f>IF(A118&lt;&gt;"每日跟踪","",IF(O118="","",IFERROR(AGGREGATE(14,6,$D$2:$D$501/(($A$2:$A$501="止损计划")*($B$2:$B$501=B118)*($E$2:$E$501&lt;=O118)),1),0)))</f>
        <v/>
      </c>
      <c r="Q118" s="44">
        <f>IF(A118&lt;&gt;"每日跟踪","",IF(N118="","",MAX(N118,IFERROR(AGGREGATE(14,6,$F$2:$F$501/(($A$2:$A$501="止损计划")*($B$2:$B$501=B118)*($E$2:$E$501&lt;=O118)),1),0))))</f>
        <v/>
      </c>
      <c r="R118" s="43" t="n"/>
      <c r="S118" s="44">
        <f>IF(A118&lt;&gt;"每日跟踪","",IF(Q118="","",MAX(Q118,IFERROR(AGGREGATE(14,6,$R$2:$R$501/(($A$2:$A$501="每日跟踪")*($B$2:$B$501=B118)*($H$2:$H$501&lt;=H118)),1),0))))</f>
        <v/>
      </c>
      <c r="T118" s="44">
        <f>IF(A118&lt;&gt;"每日跟踪","",IF(O118="","",IF(COUNTIFS($A$2:$A$501,"止损计划",$B$2:$B$501,B118,$E$2:$E$501,"&gt;"&amp;O118)=0,"",AGGREGATE(15,6,$E$2:$E$501/(($A$2:$A$501="止损计划")*($B$2:$B$501=B118)*($E$2:$E$501&gt;O118)),1))))</f>
        <v/>
      </c>
      <c r="U118" s="44">
        <f>IF(OR(A118&lt;&gt;"每日跟踪",T118=""),"",IFERROR(AGGREGATE(14,6,$F$2:$F$501/(($A$2:$A$501="止损计划")*($B$2:$B$501=B118)*($E$2:$E$501=T118)),1),""))</f>
        <v/>
      </c>
      <c r="V118" s="30">
        <f>IF(OR(A118&lt;&gt;"每日跟踪",T118="",I118="",I118&lt;=0),"",T118/I118-1)</f>
        <v/>
      </c>
      <c r="W118" s="31">
        <f>IF(A118&lt;&gt;"每日跟踪","",IF(OR(I118="",S118=""),"",IF(I118&lt;=S118,"触发止损：应全部卖出","继续观察")))</f>
        <v/>
      </c>
      <c r="X118" s="28" t="n"/>
      <c r="Y118" s="43" t="n"/>
      <c r="Z118" s="26">
        <f>IF(X118&lt;&gt;"执行卖出","",IFERROR(LOOKUP(2,1/(单次交易!$A$2:$A$201=B118),单次交易!$AP$2:$AP$201),""))</f>
        <v/>
      </c>
      <c r="AA118" s="43" t="n"/>
      <c r="AB118" s="31">
        <f>IF(A118&lt;&gt;"每日跟踪","",IF(OR(B118="",H118="",I118="",J118="",K118="",L118="",M118=""),"待补充每日记录",IF(W118="触发止损：应全部卖出",IF(X118&lt;&gt;"执行卖出","违规：触发止损但未执行",IF(Y118="","待补充实际卖出价","卖出记录完整")),IF(X118="","待选择卖出动作",IF(X118="执行卖出",IF(Y118="","待补充实际卖出价","卖出记录完整"),"正常")))))</f>
        <v/>
      </c>
      <c r="AC118" s="31">
        <f>IF(A118="","",IF(A118="止损计划",IF(OR(B118="",D118="",E118="",F118="",G118=""),"计划不完整",IF(OR(D118&lt;1,D118&lt;&gt;INT(D118)),"阶段序号无效",IF(COUNTIFS($A$2:$A$501,"止损计划",$B$2:$B$501,B118,$D$2:$D$501,D118)&gt;1,"阶段序号重复",IF(E118&lt;=IFERROR(LOOKUP(2,1/('单次交易'!$A$2:$A$201=B118),'单次交易'!$E$2:$E$201),0),"激活价须高于买入价",IF(F118&lt;N118,"止损价不得低于初始止损",IF(F118&gt;E118,"止损价不得高于激活价",IF(AND(COUNTIFS($A$2:$A$501,"止损计划",$B$2:$B$501,B118,$D$2:$D$501,"&lt;"&amp;D118)&gt;0,OR(E118&lt;=AGGREGATE(14,6,$E$2:$E$501/(($A$2:$A$501="止损计划")*($B$2:$B$501=B118)*($D$2:$D$501&lt;D118)),1),F118&lt;AGGREGATE(14,6,$F$2:$F$501/(($A$2:$A$501="止损计划")*($B$2:$B$501=B118)*($D$2:$D$501&lt;D118)),1))),"阶段价格必须逐级提高","计划有效"))))))),IF(A118="每日跟踪",IF(OR(B118="",H118="",I118="",J118=""),"每日数据不完整",IF(COUNTIFS($A$2:$A$501,"每日跟踪",$B$2:$B$501,B118,$H$2:$H$501,H118)&gt;1,"同一交易日期重复",IF(AND(R118&lt;&gt;"",R118&lt;S118),"人工止损无效：不能下调","跟踪有效"))),"记录类型无效")))</f>
        <v/>
      </c>
    </row>
    <row r="119">
      <c r="A119" s="28" t="n"/>
      <c r="B119" s="28" t="n"/>
      <c r="C119" s="31">
        <f>IF(B119="","",IFERROR(LOOKUP(2,1/(单次交易!$A$2:$A$201=B119),单次交易!$B$2:$B$201),""))</f>
        <v/>
      </c>
      <c r="D119" s="27" t="n"/>
      <c r="E119" s="43" t="n"/>
      <c r="F119" s="43" t="n"/>
      <c r="G119" s="28" t="n"/>
      <c r="H119" s="49" t="n"/>
      <c r="I119" s="43" t="n"/>
      <c r="J119" s="27" t="n"/>
      <c r="K119" s="28" t="n"/>
      <c r="L119" s="28" t="n"/>
      <c r="M119" s="28" t="n"/>
      <c r="N119" s="44">
        <f>IF(B119="","",IFERROR(LOOKUP(2,1/(单次交易!$A$2:$A$201=B119),单次交易!$N$2:$N$201),""))</f>
        <v/>
      </c>
      <c r="O119" s="44">
        <f>IF(A119&lt;&gt;"每日跟踪","",IF(OR(B119="",H119="",I119=""),"",IFERROR(AGGREGATE(14,6,$I$2:$I$501/(($A$2:$A$501="每日跟踪")*($B$2:$B$501=B119)*($H$2:$H$501&lt;=H119)),1),"")))</f>
        <v/>
      </c>
      <c r="P119" s="26">
        <f>IF(A119&lt;&gt;"每日跟踪","",IF(O119="","",IFERROR(AGGREGATE(14,6,$D$2:$D$501/(($A$2:$A$501="止损计划")*($B$2:$B$501=B119)*($E$2:$E$501&lt;=O119)),1),0)))</f>
        <v/>
      </c>
      <c r="Q119" s="44">
        <f>IF(A119&lt;&gt;"每日跟踪","",IF(N119="","",MAX(N119,IFERROR(AGGREGATE(14,6,$F$2:$F$501/(($A$2:$A$501="止损计划")*($B$2:$B$501=B119)*($E$2:$E$501&lt;=O119)),1),0))))</f>
        <v/>
      </c>
      <c r="R119" s="43" t="n"/>
      <c r="S119" s="44">
        <f>IF(A119&lt;&gt;"每日跟踪","",IF(Q119="","",MAX(Q119,IFERROR(AGGREGATE(14,6,$R$2:$R$501/(($A$2:$A$501="每日跟踪")*($B$2:$B$501=B119)*($H$2:$H$501&lt;=H119)),1),0))))</f>
        <v/>
      </c>
      <c r="T119" s="44">
        <f>IF(A119&lt;&gt;"每日跟踪","",IF(O119="","",IF(COUNTIFS($A$2:$A$501,"止损计划",$B$2:$B$501,B119,$E$2:$E$501,"&gt;"&amp;O119)=0,"",AGGREGATE(15,6,$E$2:$E$501/(($A$2:$A$501="止损计划")*($B$2:$B$501=B119)*($E$2:$E$501&gt;O119)),1))))</f>
        <v/>
      </c>
      <c r="U119" s="44">
        <f>IF(OR(A119&lt;&gt;"每日跟踪",T119=""),"",IFERROR(AGGREGATE(14,6,$F$2:$F$501/(($A$2:$A$501="止损计划")*($B$2:$B$501=B119)*($E$2:$E$501=T119)),1),""))</f>
        <v/>
      </c>
      <c r="V119" s="30">
        <f>IF(OR(A119&lt;&gt;"每日跟踪",T119="",I119="",I119&lt;=0),"",T119/I119-1)</f>
        <v/>
      </c>
      <c r="W119" s="31">
        <f>IF(A119&lt;&gt;"每日跟踪","",IF(OR(I119="",S119=""),"",IF(I119&lt;=S119,"触发止损：应全部卖出","继续观察")))</f>
        <v/>
      </c>
      <c r="X119" s="28" t="n"/>
      <c r="Y119" s="43" t="n"/>
      <c r="Z119" s="26">
        <f>IF(X119&lt;&gt;"执行卖出","",IFERROR(LOOKUP(2,1/(单次交易!$A$2:$A$201=B119),单次交易!$AP$2:$AP$201),""))</f>
        <v/>
      </c>
      <c r="AA119" s="43" t="n"/>
      <c r="AB119" s="31">
        <f>IF(A119&lt;&gt;"每日跟踪","",IF(OR(B119="",H119="",I119="",J119="",K119="",L119="",M119=""),"待补充每日记录",IF(W119="触发止损：应全部卖出",IF(X119&lt;&gt;"执行卖出","违规：触发止损但未执行",IF(Y119="","待补充实际卖出价","卖出记录完整")),IF(X119="","待选择卖出动作",IF(X119="执行卖出",IF(Y119="","待补充实际卖出价","卖出记录完整"),"正常")))))</f>
        <v/>
      </c>
      <c r="AC119" s="31">
        <f>IF(A119="","",IF(A119="止损计划",IF(OR(B119="",D119="",E119="",F119="",G119=""),"计划不完整",IF(OR(D119&lt;1,D119&lt;&gt;INT(D119)),"阶段序号无效",IF(COUNTIFS($A$2:$A$501,"止损计划",$B$2:$B$501,B119,$D$2:$D$501,D119)&gt;1,"阶段序号重复",IF(E119&lt;=IFERROR(LOOKUP(2,1/('单次交易'!$A$2:$A$201=B119),'单次交易'!$E$2:$E$201),0),"激活价须高于买入价",IF(F119&lt;N119,"止损价不得低于初始止损",IF(F119&gt;E119,"止损价不得高于激活价",IF(AND(COUNTIFS($A$2:$A$501,"止损计划",$B$2:$B$501,B119,$D$2:$D$501,"&lt;"&amp;D119)&gt;0,OR(E119&lt;=AGGREGATE(14,6,$E$2:$E$501/(($A$2:$A$501="止损计划")*($B$2:$B$501=B119)*($D$2:$D$501&lt;D119)),1),F119&lt;AGGREGATE(14,6,$F$2:$F$501/(($A$2:$A$501="止损计划")*($B$2:$B$501=B119)*($D$2:$D$501&lt;D119)),1))),"阶段价格必须逐级提高","计划有效"))))))),IF(A119="每日跟踪",IF(OR(B119="",H119="",I119="",J119=""),"每日数据不完整",IF(COUNTIFS($A$2:$A$501,"每日跟踪",$B$2:$B$501,B119,$H$2:$H$501,H119)&gt;1,"同一交易日期重复",IF(AND(R119&lt;&gt;"",R119&lt;S119),"人工止损无效：不能下调","跟踪有效"))),"记录类型无效")))</f>
        <v/>
      </c>
    </row>
    <row r="120">
      <c r="A120" s="28" t="n"/>
      <c r="B120" s="28" t="n"/>
      <c r="C120" s="31">
        <f>IF(B120="","",IFERROR(LOOKUP(2,1/(单次交易!$A$2:$A$201=B120),单次交易!$B$2:$B$201),""))</f>
        <v/>
      </c>
      <c r="D120" s="27" t="n"/>
      <c r="E120" s="43" t="n"/>
      <c r="F120" s="43" t="n"/>
      <c r="G120" s="28" t="n"/>
      <c r="H120" s="49" t="n"/>
      <c r="I120" s="43" t="n"/>
      <c r="J120" s="27" t="n"/>
      <c r="K120" s="28" t="n"/>
      <c r="L120" s="28" t="n"/>
      <c r="M120" s="28" t="n"/>
      <c r="N120" s="44">
        <f>IF(B120="","",IFERROR(LOOKUP(2,1/(单次交易!$A$2:$A$201=B120),单次交易!$N$2:$N$201),""))</f>
        <v/>
      </c>
      <c r="O120" s="44">
        <f>IF(A120&lt;&gt;"每日跟踪","",IF(OR(B120="",H120="",I120=""),"",IFERROR(AGGREGATE(14,6,$I$2:$I$501/(($A$2:$A$501="每日跟踪")*($B$2:$B$501=B120)*($H$2:$H$501&lt;=H120)),1),"")))</f>
        <v/>
      </c>
      <c r="P120" s="26">
        <f>IF(A120&lt;&gt;"每日跟踪","",IF(O120="","",IFERROR(AGGREGATE(14,6,$D$2:$D$501/(($A$2:$A$501="止损计划")*($B$2:$B$501=B120)*($E$2:$E$501&lt;=O120)),1),0)))</f>
        <v/>
      </c>
      <c r="Q120" s="44">
        <f>IF(A120&lt;&gt;"每日跟踪","",IF(N120="","",MAX(N120,IFERROR(AGGREGATE(14,6,$F$2:$F$501/(($A$2:$A$501="止损计划")*($B$2:$B$501=B120)*($E$2:$E$501&lt;=O120)),1),0))))</f>
        <v/>
      </c>
      <c r="R120" s="43" t="n"/>
      <c r="S120" s="44">
        <f>IF(A120&lt;&gt;"每日跟踪","",IF(Q120="","",MAX(Q120,IFERROR(AGGREGATE(14,6,$R$2:$R$501/(($A$2:$A$501="每日跟踪")*($B$2:$B$501=B120)*($H$2:$H$501&lt;=H120)),1),0))))</f>
        <v/>
      </c>
      <c r="T120" s="44">
        <f>IF(A120&lt;&gt;"每日跟踪","",IF(O120="","",IF(COUNTIFS($A$2:$A$501,"止损计划",$B$2:$B$501,B120,$E$2:$E$501,"&gt;"&amp;O120)=0,"",AGGREGATE(15,6,$E$2:$E$501/(($A$2:$A$501="止损计划")*($B$2:$B$501=B120)*($E$2:$E$501&gt;O120)),1))))</f>
        <v/>
      </c>
      <c r="U120" s="44">
        <f>IF(OR(A120&lt;&gt;"每日跟踪",T120=""),"",IFERROR(AGGREGATE(14,6,$F$2:$F$501/(($A$2:$A$501="止损计划")*($B$2:$B$501=B120)*($E$2:$E$501=T120)),1),""))</f>
        <v/>
      </c>
      <c r="V120" s="30">
        <f>IF(OR(A120&lt;&gt;"每日跟踪",T120="",I120="",I120&lt;=0),"",T120/I120-1)</f>
        <v/>
      </c>
      <c r="W120" s="31">
        <f>IF(A120&lt;&gt;"每日跟踪","",IF(OR(I120="",S120=""),"",IF(I120&lt;=S120,"触发止损：应全部卖出","继续观察")))</f>
        <v/>
      </c>
      <c r="X120" s="28" t="n"/>
      <c r="Y120" s="43" t="n"/>
      <c r="Z120" s="26">
        <f>IF(X120&lt;&gt;"执行卖出","",IFERROR(LOOKUP(2,1/(单次交易!$A$2:$A$201=B120),单次交易!$AP$2:$AP$201),""))</f>
        <v/>
      </c>
      <c r="AA120" s="43" t="n"/>
      <c r="AB120" s="31">
        <f>IF(A120&lt;&gt;"每日跟踪","",IF(OR(B120="",H120="",I120="",J120="",K120="",L120="",M120=""),"待补充每日记录",IF(W120="触发止损：应全部卖出",IF(X120&lt;&gt;"执行卖出","违规：触发止损但未执行",IF(Y120="","待补充实际卖出价","卖出记录完整")),IF(X120="","待选择卖出动作",IF(X120="执行卖出",IF(Y120="","待补充实际卖出价","卖出记录完整"),"正常")))))</f>
        <v/>
      </c>
      <c r="AC120" s="31">
        <f>IF(A120="","",IF(A120="止损计划",IF(OR(B120="",D120="",E120="",F120="",G120=""),"计划不完整",IF(OR(D120&lt;1,D120&lt;&gt;INT(D120)),"阶段序号无效",IF(COUNTIFS($A$2:$A$501,"止损计划",$B$2:$B$501,B120,$D$2:$D$501,D120)&gt;1,"阶段序号重复",IF(E120&lt;=IFERROR(LOOKUP(2,1/('单次交易'!$A$2:$A$201=B120),'单次交易'!$E$2:$E$201),0),"激活价须高于买入价",IF(F120&lt;N120,"止损价不得低于初始止损",IF(F120&gt;E120,"止损价不得高于激活价",IF(AND(COUNTIFS($A$2:$A$501,"止损计划",$B$2:$B$501,B120,$D$2:$D$501,"&lt;"&amp;D120)&gt;0,OR(E120&lt;=AGGREGATE(14,6,$E$2:$E$501/(($A$2:$A$501="止损计划")*($B$2:$B$501=B120)*($D$2:$D$501&lt;D120)),1),F120&lt;AGGREGATE(14,6,$F$2:$F$501/(($A$2:$A$501="止损计划")*($B$2:$B$501=B120)*($D$2:$D$501&lt;D120)),1))),"阶段价格必须逐级提高","计划有效"))))))),IF(A120="每日跟踪",IF(OR(B120="",H120="",I120="",J120=""),"每日数据不完整",IF(COUNTIFS($A$2:$A$501,"每日跟踪",$B$2:$B$501,B120,$H$2:$H$501,H120)&gt;1,"同一交易日期重复",IF(AND(R120&lt;&gt;"",R120&lt;S120),"人工止损无效：不能下调","跟踪有效"))),"记录类型无效")))</f>
        <v/>
      </c>
    </row>
    <row r="121">
      <c r="A121" s="28" t="n"/>
      <c r="B121" s="28" t="n"/>
      <c r="C121" s="31">
        <f>IF(B121="","",IFERROR(LOOKUP(2,1/(单次交易!$A$2:$A$201=B121),单次交易!$B$2:$B$201),""))</f>
        <v/>
      </c>
      <c r="D121" s="27" t="n"/>
      <c r="E121" s="43" t="n"/>
      <c r="F121" s="43" t="n"/>
      <c r="G121" s="28" t="n"/>
      <c r="H121" s="49" t="n"/>
      <c r="I121" s="43" t="n"/>
      <c r="J121" s="27" t="n"/>
      <c r="K121" s="28" t="n"/>
      <c r="L121" s="28" t="n"/>
      <c r="M121" s="28" t="n"/>
      <c r="N121" s="44">
        <f>IF(B121="","",IFERROR(LOOKUP(2,1/(单次交易!$A$2:$A$201=B121),单次交易!$N$2:$N$201),""))</f>
        <v/>
      </c>
      <c r="O121" s="44">
        <f>IF(A121&lt;&gt;"每日跟踪","",IF(OR(B121="",H121="",I121=""),"",IFERROR(AGGREGATE(14,6,$I$2:$I$501/(($A$2:$A$501="每日跟踪")*($B$2:$B$501=B121)*($H$2:$H$501&lt;=H121)),1),"")))</f>
        <v/>
      </c>
      <c r="P121" s="26">
        <f>IF(A121&lt;&gt;"每日跟踪","",IF(O121="","",IFERROR(AGGREGATE(14,6,$D$2:$D$501/(($A$2:$A$501="止损计划")*($B$2:$B$501=B121)*($E$2:$E$501&lt;=O121)),1),0)))</f>
        <v/>
      </c>
      <c r="Q121" s="44">
        <f>IF(A121&lt;&gt;"每日跟踪","",IF(N121="","",MAX(N121,IFERROR(AGGREGATE(14,6,$F$2:$F$501/(($A$2:$A$501="止损计划")*($B$2:$B$501=B121)*($E$2:$E$501&lt;=O121)),1),0))))</f>
        <v/>
      </c>
      <c r="R121" s="43" t="n"/>
      <c r="S121" s="44">
        <f>IF(A121&lt;&gt;"每日跟踪","",IF(Q121="","",MAX(Q121,IFERROR(AGGREGATE(14,6,$R$2:$R$501/(($A$2:$A$501="每日跟踪")*($B$2:$B$501=B121)*($H$2:$H$501&lt;=H121)),1),0))))</f>
        <v/>
      </c>
      <c r="T121" s="44">
        <f>IF(A121&lt;&gt;"每日跟踪","",IF(O121="","",IF(COUNTIFS($A$2:$A$501,"止损计划",$B$2:$B$501,B121,$E$2:$E$501,"&gt;"&amp;O121)=0,"",AGGREGATE(15,6,$E$2:$E$501/(($A$2:$A$501="止损计划")*($B$2:$B$501=B121)*($E$2:$E$501&gt;O121)),1))))</f>
        <v/>
      </c>
      <c r="U121" s="44">
        <f>IF(OR(A121&lt;&gt;"每日跟踪",T121=""),"",IFERROR(AGGREGATE(14,6,$F$2:$F$501/(($A$2:$A$501="止损计划")*($B$2:$B$501=B121)*($E$2:$E$501=T121)),1),""))</f>
        <v/>
      </c>
      <c r="V121" s="30">
        <f>IF(OR(A121&lt;&gt;"每日跟踪",T121="",I121="",I121&lt;=0),"",T121/I121-1)</f>
        <v/>
      </c>
      <c r="W121" s="31">
        <f>IF(A121&lt;&gt;"每日跟踪","",IF(OR(I121="",S121=""),"",IF(I121&lt;=S121,"触发止损：应全部卖出","继续观察")))</f>
        <v/>
      </c>
      <c r="X121" s="28" t="n"/>
      <c r="Y121" s="43" t="n"/>
      <c r="Z121" s="26">
        <f>IF(X121&lt;&gt;"执行卖出","",IFERROR(LOOKUP(2,1/(单次交易!$A$2:$A$201=B121),单次交易!$AP$2:$AP$201),""))</f>
        <v/>
      </c>
      <c r="AA121" s="43" t="n"/>
      <c r="AB121" s="31">
        <f>IF(A121&lt;&gt;"每日跟踪","",IF(OR(B121="",H121="",I121="",J121="",K121="",L121="",M121=""),"待补充每日记录",IF(W121="触发止损：应全部卖出",IF(X121&lt;&gt;"执行卖出","违规：触发止损但未执行",IF(Y121="","待补充实际卖出价","卖出记录完整")),IF(X121="","待选择卖出动作",IF(X121="执行卖出",IF(Y121="","待补充实际卖出价","卖出记录完整"),"正常")))))</f>
        <v/>
      </c>
      <c r="AC121" s="31">
        <f>IF(A121="","",IF(A121="止损计划",IF(OR(B121="",D121="",E121="",F121="",G121=""),"计划不完整",IF(OR(D121&lt;1,D121&lt;&gt;INT(D121)),"阶段序号无效",IF(COUNTIFS($A$2:$A$501,"止损计划",$B$2:$B$501,B121,$D$2:$D$501,D121)&gt;1,"阶段序号重复",IF(E121&lt;=IFERROR(LOOKUP(2,1/('单次交易'!$A$2:$A$201=B121),'单次交易'!$E$2:$E$201),0),"激活价须高于买入价",IF(F121&lt;N121,"止损价不得低于初始止损",IF(F121&gt;E121,"止损价不得高于激活价",IF(AND(COUNTIFS($A$2:$A$501,"止损计划",$B$2:$B$501,B121,$D$2:$D$501,"&lt;"&amp;D121)&gt;0,OR(E121&lt;=AGGREGATE(14,6,$E$2:$E$501/(($A$2:$A$501="止损计划")*($B$2:$B$501=B121)*($D$2:$D$501&lt;D121)),1),F121&lt;AGGREGATE(14,6,$F$2:$F$501/(($A$2:$A$501="止损计划")*($B$2:$B$501=B121)*($D$2:$D$501&lt;D121)),1))),"阶段价格必须逐级提高","计划有效"))))))),IF(A121="每日跟踪",IF(OR(B121="",H121="",I121="",J121=""),"每日数据不完整",IF(COUNTIFS($A$2:$A$501,"每日跟踪",$B$2:$B$501,B121,$H$2:$H$501,H121)&gt;1,"同一交易日期重复",IF(AND(R121&lt;&gt;"",R121&lt;S121),"人工止损无效：不能下调","跟踪有效"))),"记录类型无效")))</f>
        <v/>
      </c>
    </row>
    <row r="122">
      <c r="A122" s="28" t="n"/>
      <c r="B122" s="28" t="n"/>
      <c r="C122" s="31">
        <f>IF(B122="","",IFERROR(LOOKUP(2,1/(单次交易!$A$2:$A$201=B122),单次交易!$B$2:$B$201),""))</f>
        <v/>
      </c>
      <c r="D122" s="27" t="n"/>
      <c r="E122" s="43" t="n"/>
      <c r="F122" s="43" t="n"/>
      <c r="G122" s="28" t="n"/>
      <c r="H122" s="49" t="n"/>
      <c r="I122" s="43" t="n"/>
      <c r="J122" s="27" t="n"/>
      <c r="K122" s="28" t="n"/>
      <c r="L122" s="28" t="n"/>
      <c r="M122" s="28" t="n"/>
      <c r="N122" s="44">
        <f>IF(B122="","",IFERROR(LOOKUP(2,1/(单次交易!$A$2:$A$201=B122),单次交易!$N$2:$N$201),""))</f>
        <v/>
      </c>
      <c r="O122" s="44">
        <f>IF(A122&lt;&gt;"每日跟踪","",IF(OR(B122="",H122="",I122=""),"",IFERROR(AGGREGATE(14,6,$I$2:$I$501/(($A$2:$A$501="每日跟踪")*($B$2:$B$501=B122)*($H$2:$H$501&lt;=H122)),1),"")))</f>
        <v/>
      </c>
      <c r="P122" s="26">
        <f>IF(A122&lt;&gt;"每日跟踪","",IF(O122="","",IFERROR(AGGREGATE(14,6,$D$2:$D$501/(($A$2:$A$501="止损计划")*($B$2:$B$501=B122)*($E$2:$E$501&lt;=O122)),1),0)))</f>
        <v/>
      </c>
      <c r="Q122" s="44">
        <f>IF(A122&lt;&gt;"每日跟踪","",IF(N122="","",MAX(N122,IFERROR(AGGREGATE(14,6,$F$2:$F$501/(($A$2:$A$501="止损计划")*($B$2:$B$501=B122)*($E$2:$E$501&lt;=O122)),1),0))))</f>
        <v/>
      </c>
      <c r="R122" s="43" t="n"/>
      <c r="S122" s="44">
        <f>IF(A122&lt;&gt;"每日跟踪","",IF(Q122="","",MAX(Q122,IFERROR(AGGREGATE(14,6,$R$2:$R$501/(($A$2:$A$501="每日跟踪")*($B$2:$B$501=B122)*($H$2:$H$501&lt;=H122)),1),0))))</f>
        <v/>
      </c>
      <c r="T122" s="44">
        <f>IF(A122&lt;&gt;"每日跟踪","",IF(O122="","",IF(COUNTIFS($A$2:$A$501,"止损计划",$B$2:$B$501,B122,$E$2:$E$501,"&gt;"&amp;O122)=0,"",AGGREGATE(15,6,$E$2:$E$501/(($A$2:$A$501="止损计划")*($B$2:$B$501=B122)*($E$2:$E$501&gt;O122)),1))))</f>
        <v/>
      </c>
      <c r="U122" s="44">
        <f>IF(OR(A122&lt;&gt;"每日跟踪",T122=""),"",IFERROR(AGGREGATE(14,6,$F$2:$F$501/(($A$2:$A$501="止损计划")*($B$2:$B$501=B122)*($E$2:$E$501=T122)),1),""))</f>
        <v/>
      </c>
      <c r="V122" s="30">
        <f>IF(OR(A122&lt;&gt;"每日跟踪",T122="",I122="",I122&lt;=0),"",T122/I122-1)</f>
        <v/>
      </c>
      <c r="W122" s="31">
        <f>IF(A122&lt;&gt;"每日跟踪","",IF(OR(I122="",S122=""),"",IF(I122&lt;=S122,"触发止损：应全部卖出","继续观察")))</f>
        <v/>
      </c>
      <c r="X122" s="28" t="n"/>
      <c r="Y122" s="43" t="n"/>
      <c r="Z122" s="26">
        <f>IF(X122&lt;&gt;"执行卖出","",IFERROR(LOOKUP(2,1/(单次交易!$A$2:$A$201=B122),单次交易!$AP$2:$AP$201),""))</f>
        <v/>
      </c>
      <c r="AA122" s="43" t="n"/>
      <c r="AB122" s="31">
        <f>IF(A122&lt;&gt;"每日跟踪","",IF(OR(B122="",H122="",I122="",J122="",K122="",L122="",M122=""),"待补充每日记录",IF(W122="触发止损：应全部卖出",IF(X122&lt;&gt;"执行卖出","违规：触发止损但未执行",IF(Y122="","待补充实际卖出价","卖出记录完整")),IF(X122="","待选择卖出动作",IF(X122="执行卖出",IF(Y122="","待补充实际卖出价","卖出记录完整"),"正常")))))</f>
        <v/>
      </c>
      <c r="AC122" s="31">
        <f>IF(A122="","",IF(A122="止损计划",IF(OR(B122="",D122="",E122="",F122="",G122=""),"计划不完整",IF(OR(D122&lt;1,D122&lt;&gt;INT(D122)),"阶段序号无效",IF(COUNTIFS($A$2:$A$501,"止损计划",$B$2:$B$501,B122,$D$2:$D$501,D122)&gt;1,"阶段序号重复",IF(E122&lt;=IFERROR(LOOKUP(2,1/('单次交易'!$A$2:$A$201=B122),'单次交易'!$E$2:$E$201),0),"激活价须高于买入价",IF(F122&lt;N122,"止损价不得低于初始止损",IF(F122&gt;E122,"止损价不得高于激活价",IF(AND(COUNTIFS($A$2:$A$501,"止损计划",$B$2:$B$501,B122,$D$2:$D$501,"&lt;"&amp;D122)&gt;0,OR(E122&lt;=AGGREGATE(14,6,$E$2:$E$501/(($A$2:$A$501="止损计划")*($B$2:$B$501=B122)*($D$2:$D$501&lt;D122)),1),F122&lt;AGGREGATE(14,6,$F$2:$F$501/(($A$2:$A$501="止损计划")*($B$2:$B$501=B122)*($D$2:$D$501&lt;D122)),1))),"阶段价格必须逐级提高","计划有效"))))))),IF(A122="每日跟踪",IF(OR(B122="",H122="",I122="",J122=""),"每日数据不完整",IF(COUNTIFS($A$2:$A$501,"每日跟踪",$B$2:$B$501,B122,$H$2:$H$501,H122)&gt;1,"同一交易日期重复",IF(AND(R122&lt;&gt;"",R122&lt;S122),"人工止损无效：不能下调","跟踪有效"))),"记录类型无效")))</f>
        <v/>
      </c>
    </row>
    <row r="123">
      <c r="A123" s="28" t="n"/>
      <c r="B123" s="28" t="n"/>
      <c r="C123" s="31">
        <f>IF(B123="","",IFERROR(LOOKUP(2,1/(单次交易!$A$2:$A$201=B123),单次交易!$B$2:$B$201),""))</f>
        <v/>
      </c>
      <c r="D123" s="27" t="n"/>
      <c r="E123" s="43" t="n"/>
      <c r="F123" s="43" t="n"/>
      <c r="G123" s="28" t="n"/>
      <c r="H123" s="49" t="n"/>
      <c r="I123" s="43" t="n"/>
      <c r="J123" s="27" t="n"/>
      <c r="K123" s="28" t="n"/>
      <c r="L123" s="28" t="n"/>
      <c r="M123" s="28" t="n"/>
      <c r="N123" s="44">
        <f>IF(B123="","",IFERROR(LOOKUP(2,1/(单次交易!$A$2:$A$201=B123),单次交易!$N$2:$N$201),""))</f>
        <v/>
      </c>
      <c r="O123" s="44">
        <f>IF(A123&lt;&gt;"每日跟踪","",IF(OR(B123="",H123="",I123=""),"",IFERROR(AGGREGATE(14,6,$I$2:$I$501/(($A$2:$A$501="每日跟踪")*($B$2:$B$501=B123)*($H$2:$H$501&lt;=H123)),1),"")))</f>
        <v/>
      </c>
      <c r="P123" s="26">
        <f>IF(A123&lt;&gt;"每日跟踪","",IF(O123="","",IFERROR(AGGREGATE(14,6,$D$2:$D$501/(($A$2:$A$501="止损计划")*($B$2:$B$501=B123)*($E$2:$E$501&lt;=O123)),1),0)))</f>
        <v/>
      </c>
      <c r="Q123" s="44">
        <f>IF(A123&lt;&gt;"每日跟踪","",IF(N123="","",MAX(N123,IFERROR(AGGREGATE(14,6,$F$2:$F$501/(($A$2:$A$501="止损计划")*($B$2:$B$501=B123)*($E$2:$E$501&lt;=O123)),1),0))))</f>
        <v/>
      </c>
      <c r="R123" s="43" t="n"/>
      <c r="S123" s="44">
        <f>IF(A123&lt;&gt;"每日跟踪","",IF(Q123="","",MAX(Q123,IFERROR(AGGREGATE(14,6,$R$2:$R$501/(($A$2:$A$501="每日跟踪")*($B$2:$B$501=B123)*($H$2:$H$501&lt;=H123)),1),0))))</f>
        <v/>
      </c>
      <c r="T123" s="44">
        <f>IF(A123&lt;&gt;"每日跟踪","",IF(O123="","",IF(COUNTIFS($A$2:$A$501,"止损计划",$B$2:$B$501,B123,$E$2:$E$501,"&gt;"&amp;O123)=0,"",AGGREGATE(15,6,$E$2:$E$501/(($A$2:$A$501="止损计划")*($B$2:$B$501=B123)*($E$2:$E$501&gt;O123)),1))))</f>
        <v/>
      </c>
      <c r="U123" s="44">
        <f>IF(OR(A123&lt;&gt;"每日跟踪",T123=""),"",IFERROR(AGGREGATE(14,6,$F$2:$F$501/(($A$2:$A$501="止损计划")*($B$2:$B$501=B123)*($E$2:$E$501=T123)),1),""))</f>
        <v/>
      </c>
      <c r="V123" s="30">
        <f>IF(OR(A123&lt;&gt;"每日跟踪",T123="",I123="",I123&lt;=0),"",T123/I123-1)</f>
        <v/>
      </c>
      <c r="W123" s="31">
        <f>IF(A123&lt;&gt;"每日跟踪","",IF(OR(I123="",S123=""),"",IF(I123&lt;=S123,"触发止损：应全部卖出","继续观察")))</f>
        <v/>
      </c>
      <c r="X123" s="28" t="n"/>
      <c r="Y123" s="43" t="n"/>
      <c r="Z123" s="26">
        <f>IF(X123&lt;&gt;"执行卖出","",IFERROR(LOOKUP(2,1/(单次交易!$A$2:$A$201=B123),单次交易!$AP$2:$AP$201),""))</f>
        <v/>
      </c>
      <c r="AA123" s="43" t="n"/>
      <c r="AB123" s="31">
        <f>IF(A123&lt;&gt;"每日跟踪","",IF(OR(B123="",H123="",I123="",J123="",K123="",L123="",M123=""),"待补充每日记录",IF(W123="触发止损：应全部卖出",IF(X123&lt;&gt;"执行卖出","违规：触发止损但未执行",IF(Y123="","待补充实际卖出价","卖出记录完整")),IF(X123="","待选择卖出动作",IF(X123="执行卖出",IF(Y123="","待补充实际卖出价","卖出记录完整"),"正常")))))</f>
        <v/>
      </c>
      <c r="AC123" s="31">
        <f>IF(A123="","",IF(A123="止损计划",IF(OR(B123="",D123="",E123="",F123="",G123=""),"计划不完整",IF(OR(D123&lt;1,D123&lt;&gt;INT(D123)),"阶段序号无效",IF(COUNTIFS($A$2:$A$501,"止损计划",$B$2:$B$501,B123,$D$2:$D$501,D123)&gt;1,"阶段序号重复",IF(E123&lt;=IFERROR(LOOKUP(2,1/('单次交易'!$A$2:$A$201=B123),'单次交易'!$E$2:$E$201),0),"激活价须高于买入价",IF(F123&lt;N123,"止损价不得低于初始止损",IF(F123&gt;E123,"止损价不得高于激活价",IF(AND(COUNTIFS($A$2:$A$501,"止损计划",$B$2:$B$501,B123,$D$2:$D$501,"&lt;"&amp;D123)&gt;0,OR(E123&lt;=AGGREGATE(14,6,$E$2:$E$501/(($A$2:$A$501="止损计划")*($B$2:$B$501=B123)*($D$2:$D$501&lt;D123)),1),F123&lt;AGGREGATE(14,6,$F$2:$F$501/(($A$2:$A$501="止损计划")*($B$2:$B$501=B123)*($D$2:$D$501&lt;D123)),1))),"阶段价格必须逐级提高","计划有效"))))))),IF(A123="每日跟踪",IF(OR(B123="",H123="",I123="",J123=""),"每日数据不完整",IF(COUNTIFS($A$2:$A$501,"每日跟踪",$B$2:$B$501,B123,$H$2:$H$501,H123)&gt;1,"同一交易日期重复",IF(AND(R123&lt;&gt;"",R123&lt;S123),"人工止损无效：不能下调","跟踪有效"))),"记录类型无效")))</f>
        <v/>
      </c>
    </row>
    <row r="124">
      <c r="A124" s="28" t="n"/>
      <c r="B124" s="28" t="n"/>
      <c r="C124" s="31">
        <f>IF(B124="","",IFERROR(LOOKUP(2,1/(单次交易!$A$2:$A$201=B124),单次交易!$B$2:$B$201),""))</f>
        <v/>
      </c>
      <c r="D124" s="27" t="n"/>
      <c r="E124" s="43" t="n"/>
      <c r="F124" s="43" t="n"/>
      <c r="G124" s="28" t="n"/>
      <c r="H124" s="49" t="n"/>
      <c r="I124" s="43" t="n"/>
      <c r="J124" s="27" t="n"/>
      <c r="K124" s="28" t="n"/>
      <c r="L124" s="28" t="n"/>
      <c r="M124" s="28" t="n"/>
      <c r="N124" s="44">
        <f>IF(B124="","",IFERROR(LOOKUP(2,1/(单次交易!$A$2:$A$201=B124),单次交易!$N$2:$N$201),""))</f>
        <v/>
      </c>
      <c r="O124" s="44">
        <f>IF(A124&lt;&gt;"每日跟踪","",IF(OR(B124="",H124="",I124=""),"",IFERROR(AGGREGATE(14,6,$I$2:$I$501/(($A$2:$A$501="每日跟踪")*($B$2:$B$501=B124)*($H$2:$H$501&lt;=H124)),1),"")))</f>
        <v/>
      </c>
      <c r="P124" s="26">
        <f>IF(A124&lt;&gt;"每日跟踪","",IF(O124="","",IFERROR(AGGREGATE(14,6,$D$2:$D$501/(($A$2:$A$501="止损计划")*($B$2:$B$501=B124)*($E$2:$E$501&lt;=O124)),1),0)))</f>
        <v/>
      </c>
      <c r="Q124" s="44">
        <f>IF(A124&lt;&gt;"每日跟踪","",IF(N124="","",MAX(N124,IFERROR(AGGREGATE(14,6,$F$2:$F$501/(($A$2:$A$501="止损计划")*($B$2:$B$501=B124)*($E$2:$E$501&lt;=O124)),1),0))))</f>
        <v/>
      </c>
      <c r="R124" s="43" t="n"/>
      <c r="S124" s="44">
        <f>IF(A124&lt;&gt;"每日跟踪","",IF(Q124="","",MAX(Q124,IFERROR(AGGREGATE(14,6,$R$2:$R$501/(($A$2:$A$501="每日跟踪")*($B$2:$B$501=B124)*($H$2:$H$501&lt;=H124)),1),0))))</f>
        <v/>
      </c>
      <c r="T124" s="44">
        <f>IF(A124&lt;&gt;"每日跟踪","",IF(O124="","",IF(COUNTIFS($A$2:$A$501,"止损计划",$B$2:$B$501,B124,$E$2:$E$501,"&gt;"&amp;O124)=0,"",AGGREGATE(15,6,$E$2:$E$501/(($A$2:$A$501="止损计划")*($B$2:$B$501=B124)*($E$2:$E$501&gt;O124)),1))))</f>
        <v/>
      </c>
      <c r="U124" s="44">
        <f>IF(OR(A124&lt;&gt;"每日跟踪",T124=""),"",IFERROR(AGGREGATE(14,6,$F$2:$F$501/(($A$2:$A$501="止损计划")*($B$2:$B$501=B124)*($E$2:$E$501=T124)),1),""))</f>
        <v/>
      </c>
      <c r="V124" s="30">
        <f>IF(OR(A124&lt;&gt;"每日跟踪",T124="",I124="",I124&lt;=0),"",T124/I124-1)</f>
        <v/>
      </c>
      <c r="W124" s="31">
        <f>IF(A124&lt;&gt;"每日跟踪","",IF(OR(I124="",S124=""),"",IF(I124&lt;=S124,"触发止损：应全部卖出","继续观察")))</f>
        <v/>
      </c>
      <c r="X124" s="28" t="n"/>
      <c r="Y124" s="43" t="n"/>
      <c r="Z124" s="26">
        <f>IF(X124&lt;&gt;"执行卖出","",IFERROR(LOOKUP(2,1/(单次交易!$A$2:$A$201=B124),单次交易!$AP$2:$AP$201),""))</f>
        <v/>
      </c>
      <c r="AA124" s="43" t="n"/>
      <c r="AB124" s="31">
        <f>IF(A124&lt;&gt;"每日跟踪","",IF(OR(B124="",H124="",I124="",J124="",K124="",L124="",M124=""),"待补充每日记录",IF(W124="触发止损：应全部卖出",IF(X124&lt;&gt;"执行卖出","违规：触发止损但未执行",IF(Y124="","待补充实际卖出价","卖出记录完整")),IF(X124="","待选择卖出动作",IF(X124="执行卖出",IF(Y124="","待补充实际卖出价","卖出记录完整"),"正常")))))</f>
        <v/>
      </c>
      <c r="AC124" s="31">
        <f>IF(A124="","",IF(A124="止损计划",IF(OR(B124="",D124="",E124="",F124="",G124=""),"计划不完整",IF(OR(D124&lt;1,D124&lt;&gt;INT(D124)),"阶段序号无效",IF(COUNTIFS($A$2:$A$501,"止损计划",$B$2:$B$501,B124,$D$2:$D$501,D124)&gt;1,"阶段序号重复",IF(E124&lt;=IFERROR(LOOKUP(2,1/('单次交易'!$A$2:$A$201=B124),'单次交易'!$E$2:$E$201),0),"激活价须高于买入价",IF(F124&lt;N124,"止损价不得低于初始止损",IF(F124&gt;E124,"止损价不得高于激活价",IF(AND(COUNTIFS($A$2:$A$501,"止损计划",$B$2:$B$501,B124,$D$2:$D$501,"&lt;"&amp;D124)&gt;0,OR(E124&lt;=AGGREGATE(14,6,$E$2:$E$501/(($A$2:$A$501="止损计划")*($B$2:$B$501=B124)*($D$2:$D$501&lt;D124)),1),F124&lt;AGGREGATE(14,6,$F$2:$F$501/(($A$2:$A$501="止损计划")*($B$2:$B$501=B124)*($D$2:$D$501&lt;D124)),1))),"阶段价格必须逐级提高","计划有效"))))))),IF(A124="每日跟踪",IF(OR(B124="",H124="",I124="",J124=""),"每日数据不完整",IF(COUNTIFS($A$2:$A$501,"每日跟踪",$B$2:$B$501,B124,$H$2:$H$501,H124)&gt;1,"同一交易日期重复",IF(AND(R124&lt;&gt;"",R124&lt;S124),"人工止损无效：不能下调","跟踪有效"))),"记录类型无效")))</f>
        <v/>
      </c>
    </row>
    <row r="125">
      <c r="A125" s="28" t="n"/>
      <c r="B125" s="28" t="n"/>
      <c r="C125" s="31">
        <f>IF(B125="","",IFERROR(LOOKUP(2,1/(单次交易!$A$2:$A$201=B125),单次交易!$B$2:$B$201),""))</f>
        <v/>
      </c>
      <c r="D125" s="27" t="n"/>
      <c r="E125" s="43" t="n"/>
      <c r="F125" s="43" t="n"/>
      <c r="G125" s="28" t="n"/>
      <c r="H125" s="49" t="n"/>
      <c r="I125" s="43" t="n"/>
      <c r="J125" s="27" t="n"/>
      <c r="K125" s="28" t="n"/>
      <c r="L125" s="28" t="n"/>
      <c r="M125" s="28" t="n"/>
      <c r="N125" s="44">
        <f>IF(B125="","",IFERROR(LOOKUP(2,1/(单次交易!$A$2:$A$201=B125),单次交易!$N$2:$N$201),""))</f>
        <v/>
      </c>
      <c r="O125" s="44">
        <f>IF(A125&lt;&gt;"每日跟踪","",IF(OR(B125="",H125="",I125=""),"",IFERROR(AGGREGATE(14,6,$I$2:$I$501/(($A$2:$A$501="每日跟踪")*($B$2:$B$501=B125)*($H$2:$H$501&lt;=H125)),1),"")))</f>
        <v/>
      </c>
      <c r="P125" s="26">
        <f>IF(A125&lt;&gt;"每日跟踪","",IF(O125="","",IFERROR(AGGREGATE(14,6,$D$2:$D$501/(($A$2:$A$501="止损计划")*($B$2:$B$501=B125)*($E$2:$E$501&lt;=O125)),1),0)))</f>
        <v/>
      </c>
      <c r="Q125" s="44">
        <f>IF(A125&lt;&gt;"每日跟踪","",IF(N125="","",MAX(N125,IFERROR(AGGREGATE(14,6,$F$2:$F$501/(($A$2:$A$501="止损计划")*($B$2:$B$501=B125)*($E$2:$E$501&lt;=O125)),1),0))))</f>
        <v/>
      </c>
      <c r="R125" s="43" t="n"/>
      <c r="S125" s="44">
        <f>IF(A125&lt;&gt;"每日跟踪","",IF(Q125="","",MAX(Q125,IFERROR(AGGREGATE(14,6,$R$2:$R$501/(($A$2:$A$501="每日跟踪")*($B$2:$B$501=B125)*($H$2:$H$501&lt;=H125)),1),0))))</f>
        <v/>
      </c>
      <c r="T125" s="44">
        <f>IF(A125&lt;&gt;"每日跟踪","",IF(O125="","",IF(COUNTIFS($A$2:$A$501,"止损计划",$B$2:$B$501,B125,$E$2:$E$501,"&gt;"&amp;O125)=0,"",AGGREGATE(15,6,$E$2:$E$501/(($A$2:$A$501="止损计划")*($B$2:$B$501=B125)*($E$2:$E$501&gt;O125)),1))))</f>
        <v/>
      </c>
      <c r="U125" s="44">
        <f>IF(OR(A125&lt;&gt;"每日跟踪",T125=""),"",IFERROR(AGGREGATE(14,6,$F$2:$F$501/(($A$2:$A$501="止损计划")*($B$2:$B$501=B125)*($E$2:$E$501=T125)),1),""))</f>
        <v/>
      </c>
      <c r="V125" s="30">
        <f>IF(OR(A125&lt;&gt;"每日跟踪",T125="",I125="",I125&lt;=0),"",T125/I125-1)</f>
        <v/>
      </c>
      <c r="W125" s="31">
        <f>IF(A125&lt;&gt;"每日跟踪","",IF(OR(I125="",S125=""),"",IF(I125&lt;=S125,"触发止损：应全部卖出","继续观察")))</f>
        <v/>
      </c>
      <c r="X125" s="28" t="n"/>
      <c r="Y125" s="43" t="n"/>
      <c r="Z125" s="26">
        <f>IF(X125&lt;&gt;"执行卖出","",IFERROR(LOOKUP(2,1/(单次交易!$A$2:$A$201=B125),单次交易!$AP$2:$AP$201),""))</f>
        <v/>
      </c>
      <c r="AA125" s="43" t="n"/>
      <c r="AB125" s="31">
        <f>IF(A125&lt;&gt;"每日跟踪","",IF(OR(B125="",H125="",I125="",J125="",K125="",L125="",M125=""),"待补充每日记录",IF(W125="触发止损：应全部卖出",IF(X125&lt;&gt;"执行卖出","违规：触发止损但未执行",IF(Y125="","待补充实际卖出价","卖出记录完整")),IF(X125="","待选择卖出动作",IF(X125="执行卖出",IF(Y125="","待补充实际卖出价","卖出记录完整"),"正常")))))</f>
        <v/>
      </c>
      <c r="AC125" s="31">
        <f>IF(A125="","",IF(A125="止损计划",IF(OR(B125="",D125="",E125="",F125="",G125=""),"计划不完整",IF(OR(D125&lt;1,D125&lt;&gt;INT(D125)),"阶段序号无效",IF(COUNTIFS($A$2:$A$501,"止损计划",$B$2:$B$501,B125,$D$2:$D$501,D125)&gt;1,"阶段序号重复",IF(E125&lt;=IFERROR(LOOKUP(2,1/('单次交易'!$A$2:$A$201=B125),'单次交易'!$E$2:$E$201),0),"激活价须高于买入价",IF(F125&lt;N125,"止损价不得低于初始止损",IF(F125&gt;E125,"止损价不得高于激活价",IF(AND(COUNTIFS($A$2:$A$501,"止损计划",$B$2:$B$501,B125,$D$2:$D$501,"&lt;"&amp;D125)&gt;0,OR(E125&lt;=AGGREGATE(14,6,$E$2:$E$501/(($A$2:$A$501="止损计划")*($B$2:$B$501=B125)*($D$2:$D$501&lt;D125)),1),F125&lt;AGGREGATE(14,6,$F$2:$F$501/(($A$2:$A$501="止损计划")*($B$2:$B$501=B125)*($D$2:$D$501&lt;D125)),1))),"阶段价格必须逐级提高","计划有效"))))))),IF(A125="每日跟踪",IF(OR(B125="",H125="",I125="",J125=""),"每日数据不完整",IF(COUNTIFS($A$2:$A$501,"每日跟踪",$B$2:$B$501,B125,$H$2:$H$501,H125)&gt;1,"同一交易日期重复",IF(AND(R125&lt;&gt;"",R125&lt;S125),"人工止损无效：不能下调","跟踪有效"))),"记录类型无效")))</f>
        <v/>
      </c>
    </row>
    <row r="126">
      <c r="A126" s="28" t="n"/>
      <c r="B126" s="28" t="n"/>
      <c r="C126" s="31">
        <f>IF(B126="","",IFERROR(LOOKUP(2,1/(单次交易!$A$2:$A$201=B126),单次交易!$B$2:$B$201),""))</f>
        <v/>
      </c>
      <c r="D126" s="27" t="n"/>
      <c r="E126" s="43" t="n"/>
      <c r="F126" s="43" t="n"/>
      <c r="G126" s="28" t="n"/>
      <c r="H126" s="49" t="n"/>
      <c r="I126" s="43" t="n"/>
      <c r="J126" s="27" t="n"/>
      <c r="K126" s="28" t="n"/>
      <c r="L126" s="28" t="n"/>
      <c r="M126" s="28" t="n"/>
      <c r="N126" s="44">
        <f>IF(B126="","",IFERROR(LOOKUP(2,1/(单次交易!$A$2:$A$201=B126),单次交易!$N$2:$N$201),""))</f>
        <v/>
      </c>
      <c r="O126" s="44">
        <f>IF(A126&lt;&gt;"每日跟踪","",IF(OR(B126="",H126="",I126=""),"",IFERROR(AGGREGATE(14,6,$I$2:$I$501/(($A$2:$A$501="每日跟踪")*($B$2:$B$501=B126)*($H$2:$H$501&lt;=H126)),1),"")))</f>
        <v/>
      </c>
      <c r="P126" s="26">
        <f>IF(A126&lt;&gt;"每日跟踪","",IF(O126="","",IFERROR(AGGREGATE(14,6,$D$2:$D$501/(($A$2:$A$501="止损计划")*($B$2:$B$501=B126)*($E$2:$E$501&lt;=O126)),1),0)))</f>
        <v/>
      </c>
      <c r="Q126" s="44">
        <f>IF(A126&lt;&gt;"每日跟踪","",IF(N126="","",MAX(N126,IFERROR(AGGREGATE(14,6,$F$2:$F$501/(($A$2:$A$501="止损计划")*($B$2:$B$501=B126)*($E$2:$E$501&lt;=O126)),1),0))))</f>
        <v/>
      </c>
      <c r="R126" s="43" t="n"/>
      <c r="S126" s="44">
        <f>IF(A126&lt;&gt;"每日跟踪","",IF(Q126="","",MAX(Q126,IFERROR(AGGREGATE(14,6,$R$2:$R$501/(($A$2:$A$501="每日跟踪")*($B$2:$B$501=B126)*($H$2:$H$501&lt;=H126)),1),0))))</f>
        <v/>
      </c>
      <c r="T126" s="44">
        <f>IF(A126&lt;&gt;"每日跟踪","",IF(O126="","",IF(COUNTIFS($A$2:$A$501,"止损计划",$B$2:$B$501,B126,$E$2:$E$501,"&gt;"&amp;O126)=0,"",AGGREGATE(15,6,$E$2:$E$501/(($A$2:$A$501="止损计划")*($B$2:$B$501=B126)*($E$2:$E$501&gt;O126)),1))))</f>
        <v/>
      </c>
      <c r="U126" s="44">
        <f>IF(OR(A126&lt;&gt;"每日跟踪",T126=""),"",IFERROR(AGGREGATE(14,6,$F$2:$F$501/(($A$2:$A$501="止损计划")*($B$2:$B$501=B126)*($E$2:$E$501=T126)),1),""))</f>
        <v/>
      </c>
      <c r="V126" s="30">
        <f>IF(OR(A126&lt;&gt;"每日跟踪",T126="",I126="",I126&lt;=0),"",T126/I126-1)</f>
        <v/>
      </c>
      <c r="W126" s="31">
        <f>IF(A126&lt;&gt;"每日跟踪","",IF(OR(I126="",S126=""),"",IF(I126&lt;=S126,"触发止损：应全部卖出","继续观察")))</f>
        <v/>
      </c>
      <c r="X126" s="28" t="n"/>
      <c r="Y126" s="43" t="n"/>
      <c r="Z126" s="26">
        <f>IF(X126&lt;&gt;"执行卖出","",IFERROR(LOOKUP(2,1/(单次交易!$A$2:$A$201=B126),单次交易!$AP$2:$AP$201),""))</f>
        <v/>
      </c>
      <c r="AA126" s="43" t="n"/>
      <c r="AB126" s="31">
        <f>IF(A126&lt;&gt;"每日跟踪","",IF(OR(B126="",H126="",I126="",J126="",K126="",L126="",M126=""),"待补充每日记录",IF(W126="触发止损：应全部卖出",IF(X126&lt;&gt;"执行卖出","违规：触发止损但未执行",IF(Y126="","待补充实际卖出价","卖出记录完整")),IF(X126="","待选择卖出动作",IF(X126="执行卖出",IF(Y126="","待补充实际卖出价","卖出记录完整"),"正常")))))</f>
        <v/>
      </c>
      <c r="AC126" s="31">
        <f>IF(A126="","",IF(A126="止损计划",IF(OR(B126="",D126="",E126="",F126="",G126=""),"计划不完整",IF(OR(D126&lt;1,D126&lt;&gt;INT(D126)),"阶段序号无效",IF(COUNTIFS($A$2:$A$501,"止损计划",$B$2:$B$501,B126,$D$2:$D$501,D126)&gt;1,"阶段序号重复",IF(E126&lt;=IFERROR(LOOKUP(2,1/('单次交易'!$A$2:$A$201=B126),'单次交易'!$E$2:$E$201),0),"激活价须高于买入价",IF(F126&lt;N126,"止损价不得低于初始止损",IF(F126&gt;E126,"止损价不得高于激活价",IF(AND(COUNTIFS($A$2:$A$501,"止损计划",$B$2:$B$501,B126,$D$2:$D$501,"&lt;"&amp;D126)&gt;0,OR(E126&lt;=AGGREGATE(14,6,$E$2:$E$501/(($A$2:$A$501="止损计划")*($B$2:$B$501=B126)*($D$2:$D$501&lt;D126)),1),F126&lt;AGGREGATE(14,6,$F$2:$F$501/(($A$2:$A$501="止损计划")*($B$2:$B$501=B126)*($D$2:$D$501&lt;D126)),1))),"阶段价格必须逐级提高","计划有效"))))))),IF(A126="每日跟踪",IF(OR(B126="",H126="",I126="",J126=""),"每日数据不完整",IF(COUNTIFS($A$2:$A$501,"每日跟踪",$B$2:$B$501,B126,$H$2:$H$501,H126)&gt;1,"同一交易日期重复",IF(AND(R126&lt;&gt;"",R126&lt;S126),"人工止损无效：不能下调","跟踪有效"))),"记录类型无效")))</f>
        <v/>
      </c>
    </row>
    <row r="127">
      <c r="A127" s="28" t="n"/>
      <c r="B127" s="28" t="n"/>
      <c r="C127" s="31">
        <f>IF(B127="","",IFERROR(LOOKUP(2,1/(单次交易!$A$2:$A$201=B127),单次交易!$B$2:$B$201),""))</f>
        <v/>
      </c>
      <c r="D127" s="27" t="n"/>
      <c r="E127" s="43" t="n"/>
      <c r="F127" s="43" t="n"/>
      <c r="G127" s="28" t="n"/>
      <c r="H127" s="49" t="n"/>
      <c r="I127" s="43" t="n"/>
      <c r="J127" s="27" t="n"/>
      <c r="K127" s="28" t="n"/>
      <c r="L127" s="28" t="n"/>
      <c r="M127" s="28" t="n"/>
      <c r="N127" s="44">
        <f>IF(B127="","",IFERROR(LOOKUP(2,1/(单次交易!$A$2:$A$201=B127),单次交易!$N$2:$N$201),""))</f>
        <v/>
      </c>
      <c r="O127" s="44">
        <f>IF(A127&lt;&gt;"每日跟踪","",IF(OR(B127="",H127="",I127=""),"",IFERROR(AGGREGATE(14,6,$I$2:$I$501/(($A$2:$A$501="每日跟踪")*($B$2:$B$501=B127)*($H$2:$H$501&lt;=H127)),1),"")))</f>
        <v/>
      </c>
      <c r="P127" s="26">
        <f>IF(A127&lt;&gt;"每日跟踪","",IF(O127="","",IFERROR(AGGREGATE(14,6,$D$2:$D$501/(($A$2:$A$501="止损计划")*($B$2:$B$501=B127)*($E$2:$E$501&lt;=O127)),1),0)))</f>
        <v/>
      </c>
      <c r="Q127" s="44">
        <f>IF(A127&lt;&gt;"每日跟踪","",IF(N127="","",MAX(N127,IFERROR(AGGREGATE(14,6,$F$2:$F$501/(($A$2:$A$501="止损计划")*($B$2:$B$501=B127)*($E$2:$E$501&lt;=O127)),1),0))))</f>
        <v/>
      </c>
      <c r="R127" s="43" t="n"/>
      <c r="S127" s="44">
        <f>IF(A127&lt;&gt;"每日跟踪","",IF(Q127="","",MAX(Q127,IFERROR(AGGREGATE(14,6,$R$2:$R$501/(($A$2:$A$501="每日跟踪")*($B$2:$B$501=B127)*($H$2:$H$501&lt;=H127)),1),0))))</f>
        <v/>
      </c>
      <c r="T127" s="44">
        <f>IF(A127&lt;&gt;"每日跟踪","",IF(O127="","",IF(COUNTIFS($A$2:$A$501,"止损计划",$B$2:$B$501,B127,$E$2:$E$501,"&gt;"&amp;O127)=0,"",AGGREGATE(15,6,$E$2:$E$501/(($A$2:$A$501="止损计划")*($B$2:$B$501=B127)*($E$2:$E$501&gt;O127)),1))))</f>
        <v/>
      </c>
      <c r="U127" s="44">
        <f>IF(OR(A127&lt;&gt;"每日跟踪",T127=""),"",IFERROR(AGGREGATE(14,6,$F$2:$F$501/(($A$2:$A$501="止损计划")*($B$2:$B$501=B127)*($E$2:$E$501=T127)),1),""))</f>
        <v/>
      </c>
      <c r="V127" s="30">
        <f>IF(OR(A127&lt;&gt;"每日跟踪",T127="",I127="",I127&lt;=0),"",T127/I127-1)</f>
        <v/>
      </c>
      <c r="W127" s="31">
        <f>IF(A127&lt;&gt;"每日跟踪","",IF(OR(I127="",S127=""),"",IF(I127&lt;=S127,"触发止损：应全部卖出","继续观察")))</f>
        <v/>
      </c>
      <c r="X127" s="28" t="n"/>
      <c r="Y127" s="43" t="n"/>
      <c r="Z127" s="26">
        <f>IF(X127&lt;&gt;"执行卖出","",IFERROR(LOOKUP(2,1/(单次交易!$A$2:$A$201=B127),单次交易!$AP$2:$AP$201),""))</f>
        <v/>
      </c>
      <c r="AA127" s="43" t="n"/>
      <c r="AB127" s="31">
        <f>IF(A127&lt;&gt;"每日跟踪","",IF(OR(B127="",H127="",I127="",J127="",K127="",L127="",M127=""),"待补充每日记录",IF(W127="触发止损：应全部卖出",IF(X127&lt;&gt;"执行卖出","违规：触发止损但未执行",IF(Y127="","待补充实际卖出价","卖出记录完整")),IF(X127="","待选择卖出动作",IF(X127="执行卖出",IF(Y127="","待补充实际卖出价","卖出记录完整"),"正常")))))</f>
        <v/>
      </c>
      <c r="AC127" s="31">
        <f>IF(A127="","",IF(A127="止损计划",IF(OR(B127="",D127="",E127="",F127="",G127=""),"计划不完整",IF(OR(D127&lt;1,D127&lt;&gt;INT(D127)),"阶段序号无效",IF(COUNTIFS($A$2:$A$501,"止损计划",$B$2:$B$501,B127,$D$2:$D$501,D127)&gt;1,"阶段序号重复",IF(E127&lt;=IFERROR(LOOKUP(2,1/('单次交易'!$A$2:$A$201=B127),'单次交易'!$E$2:$E$201),0),"激活价须高于买入价",IF(F127&lt;N127,"止损价不得低于初始止损",IF(F127&gt;E127,"止损价不得高于激活价",IF(AND(COUNTIFS($A$2:$A$501,"止损计划",$B$2:$B$501,B127,$D$2:$D$501,"&lt;"&amp;D127)&gt;0,OR(E127&lt;=AGGREGATE(14,6,$E$2:$E$501/(($A$2:$A$501="止损计划")*($B$2:$B$501=B127)*($D$2:$D$501&lt;D127)),1),F127&lt;AGGREGATE(14,6,$F$2:$F$501/(($A$2:$A$501="止损计划")*($B$2:$B$501=B127)*($D$2:$D$501&lt;D127)),1))),"阶段价格必须逐级提高","计划有效"))))))),IF(A127="每日跟踪",IF(OR(B127="",H127="",I127="",J127=""),"每日数据不完整",IF(COUNTIFS($A$2:$A$501,"每日跟踪",$B$2:$B$501,B127,$H$2:$H$501,H127)&gt;1,"同一交易日期重复",IF(AND(R127&lt;&gt;"",R127&lt;S127),"人工止损无效：不能下调","跟踪有效"))),"记录类型无效")))</f>
        <v/>
      </c>
    </row>
    <row r="128">
      <c r="A128" s="28" t="n"/>
      <c r="B128" s="28" t="n"/>
      <c r="C128" s="31">
        <f>IF(B128="","",IFERROR(LOOKUP(2,1/(单次交易!$A$2:$A$201=B128),单次交易!$B$2:$B$201),""))</f>
        <v/>
      </c>
      <c r="D128" s="27" t="n"/>
      <c r="E128" s="43" t="n"/>
      <c r="F128" s="43" t="n"/>
      <c r="G128" s="28" t="n"/>
      <c r="H128" s="49" t="n"/>
      <c r="I128" s="43" t="n"/>
      <c r="J128" s="27" t="n"/>
      <c r="K128" s="28" t="n"/>
      <c r="L128" s="28" t="n"/>
      <c r="M128" s="28" t="n"/>
      <c r="N128" s="44">
        <f>IF(B128="","",IFERROR(LOOKUP(2,1/(单次交易!$A$2:$A$201=B128),单次交易!$N$2:$N$201),""))</f>
        <v/>
      </c>
      <c r="O128" s="44">
        <f>IF(A128&lt;&gt;"每日跟踪","",IF(OR(B128="",H128="",I128=""),"",IFERROR(AGGREGATE(14,6,$I$2:$I$501/(($A$2:$A$501="每日跟踪")*($B$2:$B$501=B128)*($H$2:$H$501&lt;=H128)),1),"")))</f>
        <v/>
      </c>
      <c r="P128" s="26">
        <f>IF(A128&lt;&gt;"每日跟踪","",IF(O128="","",IFERROR(AGGREGATE(14,6,$D$2:$D$501/(($A$2:$A$501="止损计划")*($B$2:$B$501=B128)*($E$2:$E$501&lt;=O128)),1),0)))</f>
        <v/>
      </c>
      <c r="Q128" s="44">
        <f>IF(A128&lt;&gt;"每日跟踪","",IF(N128="","",MAX(N128,IFERROR(AGGREGATE(14,6,$F$2:$F$501/(($A$2:$A$501="止损计划")*($B$2:$B$501=B128)*($E$2:$E$501&lt;=O128)),1),0))))</f>
        <v/>
      </c>
      <c r="R128" s="43" t="n"/>
      <c r="S128" s="44">
        <f>IF(A128&lt;&gt;"每日跟踪","",IF(Q128="","",MAX(Q128,IFERROR(AGGREGATE(14,6,$R$2:$R$501/(($A$2:$A$501="每日跟踪")*($B$2:$B$501=B128)*($H$2:$H$501&lt;=H128)),1),0))))</f>
        <v/>
      </c>
      <c r="T128" s="44">
        <f>IF(A128&lt;&gt;"每日跟踪","",IF(O128="","",IF(COUNTIFS($A$2:$A$501,"止损计划",$B$2:$B$501,B128,$E$2:$E$501,"&gt;"&amp;O128)=0,"",AGGREGATE(15,6,$E$2:$E$501/(($A$2:$A$501="止损计划")*($B$2:$B$501=B128)*($E$2:$E$501&gt;O128)),1))))</f>
        <v/>
      </c>
      <c r="U128" s="44">
        <f>IF(OR(A128&lt;&gt;"每日跟踪",T128=""),"",IFERROR(AGGREGATE(14,6,$F$2:$F$501/(($A$2:$A$501="止损计划")*($B$2:$B$501=B128)*($E$2:$E$501=T128)),1),""))</f>
        <v/>
      </c>
      <c r="V128" s="30">
        <f>IF(OR(A128&lt;&gt;"每日跟踪",T128="",I128="",I128&lt;=0),"",T128/I128-1)</f>
        <v/>
      </c>
      <c r="W128" s="31">
        <f>IF(A128&lt;&gt;"每日跟踪","",IF(OR(I128="",S128=""),"",IF(I128&lt;=S128,"触发止损：应全部卖出","继续观察")))</f>
        <v/>
      </c>
      <c r="X128" s="28" t="n"/>
      <c r="Y128" s="43" t="n"/>
      <c r="Z128" s="26">
        <f>IF(X128&lt;&gt;"执行卖出","",IFERROR(LOOKUP(2,1/(单次交易!$A$2:$A$201=B128),单次交易!$AP$2:$AP$201),""))</f>
        <v/>
      </c>
      <c r="AA128" s="43" t="n"/>
      <c r="AB128" s="31">
        <f>IF(A128&lt;&gt;"每日跟踪","",IF(OR(B128="",H128="",I128="",J128="",K128="",L128="",M128=""),"待补充每日记录",IF(W128="触发止损：应全部卖出",IF(X128&lt;&gt;"执行卖出","违规：触发止损但未执行",IF(Y128="","待补充实际卖出价","卖出记录完整")),IF(X128="","待选择卖出动作",IF(X128="执行卖出",IF(Y128="","待补充实际卖出价","卖出记录完整"),"正常")))))</f>
        <v/>
      </c>
      <c r="AC128" s="31">
        <f>IF(A128="","",IF(A128="止损计划",IF(OR(B128="",D128="",E128="",F128="",G128=""),"计划不完整",IF(OR(D128&lt;1,D128&lt;&gt;INT(D128)),"阶段序号无效",IF(COUNTIFS($A$2:$A$501,"止损计划",$B$2:$B$501,B128,$D$2:$D$501,D128)&gt;1,"阶段序号重复",IF(E128&lt;=IFERROR(LOOKUP(2,1/('单次交易'!$A$2:$A$201=B128),'单次交易'!$E$2:$E$201),0),"激活价须高于买入价",IF(F128&lt;N128,"止损价不得低于初始止损",IF(F128&gt;E128,"止损价不得高于激活价",IF(AND(COUNTIFS($A$2:$A$501,"止损计划",$B$2:$B$501,B128,$D$2:$D$501,"&lt;"&amp;D128)&gt;0,OR(E128&lt;=AGGREGATE(14,6,$E$2:$E$501/(($A$2:$A$501="止损计划")*($B$2:$B$501=B128)*($D$2:$D$501&lt;D128)),1),F128&lt;AGGREGATE(14,6,$F$2:$F$501/(($A$2:$A$501="止损计划")*($B$2:$B$501=B128)*($D$2:$D$501&lt;D128)),1))),"阶段价格必须逐级提高","计划有效"))))))),IF(A128="每日跟踪",IF(OR(B128="",H128="",I128="",J128=""),"每日数据不完整",IF(COUNTIFS($A$2:$A$501,"每日跟踪",$B$2:$B$501,B128,$H$2:$H$501,H128)&gt;1,"同一交易日期重复",IF(AND(R128&lt;&gt;"",R128&lt;S128),"人工止损无效：不能下调","跟踪有效"))),"记录类型无效")))</f>
        <v/>
      </c>
    </row>
    <row r="129">
      <c r="A129" s="28" t="n"/>
      <c r="B129" s="28" t="n"/>
      <c r="C129" s="31">
        <f>IF(B129="","",IFERROR(LOOKUP(2,1/(单次交易!$A$2:$A$201=B129),单次交易!$B$2:$B$201),""))</f>
        <v/>
      </c>
      <c r="D129" s="27" t="n"/>
      <c r="E129" s="43" t="n"/>
      <c r="F129" s="43" t="n"/>
      <c r="G129" s="28" t="n"/>
      <c r="H129" s="49" t="n"/>
      <c r="I129" s="43" t="n"/>
      <c r="J129" s="27" t="n"/>
      <c r="K129" s="28" t="n"/>
      <c r="L129" s="28" t="n"/>
      <c r="M129" s="28" t="n"/>
      <c r="N129" s="44">
        <f>IF(B129="","",IFERROR(LOOKUP(2,1/(单次交易!$A$2:$A$201=B129),单次交易!$N$2:$N$201),""))</f>
        <v/>
      </c>
      <c r="O129" s="44">
        <f>IF(A129&lt;&gt;"每日跟踪","",IF(OR(B129="",H129="",I129=""),"",IFERROR(AGGREGATE(14,6,$I$2:$I$501/(($A$2:$A$501="每日跟踪")*($B$2:$B$501=B129)*($H$2:$H$501&lt;=H129)),1),"")))</f>
        <v/>
      </c>
      <c r="P129" s="26">
        <f>IF(A129&lt;&gt;"每日跟踪","",IF(O129="","",IFERROR(AGGREGATE(14,6,$D$2:$D$501/(($A$2:$A$501="止损计划")*($B$2:$B$501=B129)*($E$2:$E$501&lt;=O129)),1),0)))</f>
        <v/>
      </c>
      <c r="Q129" s="44">
        <f>IF(A129&lt;&gt;"每日跟踪","",IF(N129="","",MAX(N129,IFERROR(AGGREGATE(14,6,$F$2:$F$501/(($A$2:$A$501="止损计划")*($B$2:$B$501=B129)*($E$2:$E$501&lt;=O129)),1),0))))</f>
        <v/>
      </c>
      <c r="R129" s="43" t="n"/>
      <c r="S129" s="44">
        <f>IF(A129&lt;&gt;"每日跟踪","",IF(Q129="","",MAX(Q129,IFERROR(AGGREGATE(14,6,$R$2:$R$501/(($A$2:$A$501="每日跟踪")*($B$2:$B$501=B129)*($H$2:$H$501&lt;=H129)),1),0))))</f>
        <v/>
      </c>
      <c r="T129" s="44">
        <f>IF(A129&lt;&gt;"每日跟踪","",IF(O129="","",IF(COUNTIFS($A$2:$A$501,"止损计划",$B$2:$B$501,B129,$E$2:$E$501,"&gt;"&amp;O129)=0,"",AGGREGATE(15,6,$E$2:$E$501/(($A$2:$A$501="止损计划")*($B$2:$B$501=B129)*($E$2:$E$501&gt;O129)),1))))</f>
        <v/>
      </c>
      <c r="U129" s="44">
        <f>IF(OR(A129&lt;&gt;"每日跟踪",T129=""),"",IFERROR(AGGREGATE(14,6,$F$2:$F$501/(($A$2:$A$501="止损计划")*($B$2:$B$501=B129)*($E$2:$E$501=T129)),1),""))</f>
        <v/>
      </c>
      <c r="V129" s="30">
        <f>IF(OR(A129&lt;&gt;"每日跟踪",T129="",I129="",I129&lt;=0),"",T129/I129-1)</f>
        <v/>
      </c>
      <c r="W129" s="31">
        <f>IF(A129&lt;&gt;"每日跟踪","",IF(OR(I129="",S129=""),"",IF(I129&lt;=S129,"触发止损：应全部卖出","继续观察")))</f>
        <v/>
      </c>
      <c r="X129" s="28" t="n"/>
      <c r="Y129" s="43" t="n"/>
      <c r="Z129" s="26">
        <f>IF(X129&lt;&gt;"执行卖出","",IFERROR(LOOKUP(2,1/(单次交易!$A$2:$A$201=B129),单次交易!$AP$2:$AP$201),""))</f>
        <v/>
      </c>
      <c r="AA129" s="43" t="n"/>
      <c r="AB129" s="31">
        <f>IF(A129&lt;&gt;"每日跟踪","",IF(OR(B129="",H129="",I129="",J129="",K129="",L129="",M129=""),"待补充每日记录",IF(W129="触发止损：应全部卖出",IF(X129&lt;&gt;"执行卖出","违规：触发止损但未执行",IF(Y129="","待补充实际卖出价","卖出记录完整")),IF(X129="","待选择卖出动作",IF(X129="执行卖出",IF(Y129="","待补充实际卖出价","卖出记录完整"),"正常")))))</f>
        <v/>
      </c>
      <c r="AC129" s="31">
        <f>IF(A129="","",IF(A129="止损计划",IF(OR(B129="",D129="",E129="",F129="",G129=""),"计划不完整",IF(OR(D129&lt;1,D129&lt;&gt;INT(D129)),"阶段序号无效",IF(COUNTIFS($A$2:$A$501,"止损计划",$B$2:$B$501,B129,$D$2:$D$501,D129)&gt;1,"阶段序号重复",IF(E129&lt;=IFERROR(LOOKUP(2,1/('单次交易'!$A$2:$A$201=B129),'单次交易'!$E$2:$E$201),0),"激活价须高于买入价",IF(F129&lt;N129,"止损价不得低于初始止损",IF(F129&gt;E129,"止损价不得高于激活价",IF(AND(COUNTIFS($A$2:$A$501,"止损计划",$B$2:$B$501,B129,$D$2:$D$501,"&lt;"&amp;D129)&gt;0,OR(E129&lt;=AGGREGATE(14,6,$E$2:$E$501/(($A$2:$A$501="止损计划")*($B$2:$B$501=B129)*($D$2:$D$501&lt;D129)),1),F129&lt;AGGREGATE(14,6,$F$2:$F$501/(($A$2:$A$501="止损计划")*($B$2:$B$501=B129)*($D$2:$D$501&lt;D129)),1))),"阶段价格必须逐级提高","计划有效"))))))),IF(A129="每日跟踪",IF(OR(B129="",H129="",I129="",J129=""),"每日数据不完整",IF(COUNTIFS($A$2:$A$501,"每日跟踪",$B$2:$B$501,B129,$H$2:$H$501,H129)&gt;1,"同一交易日期重复",IF(AND(R129&lt;&gt;"",R129&lt;S129),"人工止损无效：不能下调","跟踪有效"))),"记录类型无效")))</f>
        <v/>
      </c>
    </row>
    <row r="130">
      <c r="A130" s="28" t="n"/>
      <c r="B130" s="28" t="n"/>
      <c r="C130" s="31">
        <f>IF(B130="","",IFERROR(LOOKUP(2,1/(单次交易!$A$2:$A$201=B130),单次交易!$B$2:$B$201),""))</f>
        <v/>
      </c>
      <c r="D130" s="27" t="n"/>
      <c r="E130" s="43" t="n"/>
      <c r="F130" s="43" t="n"/>
      <c r="G130" s="28" t="n"/>
      <c r="H130" s="49" t="n"/>
      <c r="I130" s="43" t="n"/>
      <c r="J130" s="27" t="n"/>
      <c r="K130" s="28" t="n"/>
      <c r="L130" s="28" t="n"/>
      <c r="M130" s="28" t="n"/>
      <c r="N130" s="44">
        <f>IF(B130="","",IFERROR(LOOKUP(2,1/(单次交易!$A$2:$A$201=B130),单次交易!$N$2:$N$201),""))</f>
        <v/>
      </c>
      <c r="O130" s="44">
        <f>IF(A130&lt;&gt;"每日跟踪","",IF(OR(B130="",H130="",I130=""),"",IFERROR(AGGREGATE(14,6,$I$2:$I$501/(($A$2:$A$501="每日跟踪")*($B$2:$B$501=B130)*($H$2:$H$501&lt;=H130)),1),"")))</f>
        <v/>
      </c>
      <c r="P130" s="26">
        <f>IF(A130&lt;&gt;"每日跟踪","",IF(O130="","",IFERROR(AGGREGATE(14,6,$D$2:$D$501/(($A$2:$A$501="止损计划")*($B$2:$B$501=B130)*($E$2:$E$501&lt;=O130)),1),0)))</f>
        <v/>
      </c>
      <c r="Q130" s="44">
        <f>IF(A130&lt;&gt;"每日跟踪","",IF(N130="","",MAX(N130,IFERROR(AGGREGATE(14,6,$F$2:$F$501/(($A$2:$A$501="止损计划")*($B$2:$B$501=B130)*($E$2:$E$501&lt;=O130)),1),0))))</f>
        <v/>
      </c>
      <c r="R130" s="43" t="n"/>
      <c r="S130" s="44">
        <f>IF(A130&lt;&gt;"每日跟踪","",IF(Q130="","",MAX(Q130,IFERROR(AGGREGATE(14,6,$R$2:$R$501/(($A$2:$A$501="每日跟踪")*($B$2:$B$501=B130)*($H$2:$H$501&lt;=H130)),1),0))))</f>
        <v/>
      </c>
      <c r="T130" s="44">
        <f>IF(A130&lt;&gt;"每日跟踪","",IF(O130="","",IF(COUNTIFS($A$2:$A$501,"止损计划",$B$2:$B$501,B130,$E$2:$E$501,"&gt;"&amp;O130)=0,"",AGGREGATE(15,6,$E$2:$E$501/(($A$2:$A$501="止损计划")*($B$2:$B$501=B130)*($E$2:$E$501&gt;O130)),1))))</f>
        <v/>
      </c>
      <c r="U130" s="44">
        <f>IF(OR(A130&lt;&gt;"每日跟踪",T130=""),"",IFERROR(AGGREGATE(14,6,$F$2:$F$501/(($A$2:$A$501="止损计划")*($B$2:$B$501=B130)*($E$2:$E$501=T130)),1),""))</f>
        <v/>
      </c>
      <c r="V130" s="30">
        <f>IF(OR(A130&lt;&gt;"每日跟踪",T130="",I130="",I130&lt;=0),"",T130/I130-1)</f>
        <v/>
      </c>
      <c r="W130" s="31">
        <f>IF(A130&lt;&gt;"每日跟踪","",IF(OR(I130="",S130=""),"",IF(I130&lt;=S130,"触发止损：应全部卖出","继续观察")))</f>
        <v/>
      </c>
      <c r="X130" s="28" t="n"/>
      <c r="Y130" s="43" t="n"/>
      <c r="Z130" s="26">
        <f>IF(X130&lt;&gt;"执行卖出","",IFERROR(LOOKUP(2,1/(单次交易!$A$2:$A$201=B130),单次交易!$AP$2:$AP$201),""))</f>
        <v/>
      </c>
      <c r="AA130" s="43" t="n"/>
      <c r="AB130" s="31">
        <f>IF(A130&lt;&gt;"每日跟踪","",IF(OR(B130="",H130="",I130="",J130="",K130="",L130="",M130=""),"待补充每日记录",IF(W130="触发止损：应全部卖出",IF(X130&lt;&gt;"执行卖出","违规：触发止损但未执行",IF(Y130="","待补充实际卖出价","卖出记录完整")),IF(X130="","待选择卖出动作",IF(X130="执行卖出",IF(Y130="","待补充实际卖出价","卖出记录完整"),"正常")))))</f>
        <v/>
      </c>
      <c r="AC130" s="31">
        <f>IF(A130="","",IF(A130="止损计划",IF(OR(B130="",D130="",E130="",F130="",G130=""),"计划不完整",IF(OR(D130&lt;1,D130&lt;&gt;INT(D130)),"阶段序号无效",IF(COUNTIFS($A$2:$A$501,"止损计划",$B$2:$B$501,B130,$D$2:$D$501,D130)&gt;1,"阶段序号重复",IF(E130&lt;=IFERROR(LOOKUP(2,1/('单次交易'!$A$2:$A$201=B130),'单次交易'!$E$2:$E$201),0),"激活价须高于买入价",IF(F130&lt;N130,"止损价不得低于初始止损",IF(F130&gt;E130,"止损价不得高于激活价",IF(AND(COUNTIFS($A$2:$A$501,"止损计划",$B$2:$B$501,B130,$D$2:$D$501,"&lt;"&amp;D130)&gt;0,OR(E130&lt;=AGGREGATE(14,6,$E$2:$E$501/(($A$2:$A$501="止损计划")*($B$2:$B$501=B130)*($D$2:$D$501&lt;D130)),1),F130&lt;AGGREGATE(14,6,$F$2:$F$501/(($A$2:$A$501="止损计划")*($B$2:$B$501=B130)*($D$2:$D$501&lt;D130)),1))),"阶段价格必须逐级提高","计划有效"))))))),IF(A130="每日跟踪",IF(OR(B130="",H130="",I130="",J130=""),"每日数据不完整",IF(COUNTIFS($A$2:$A$501,"每日跟踪",$B$2:$B$501,B130,$H$2:$H$501,H130)&gt;1,"同一交易日期重复",IF(AND(R130&lt;&gt;"",R130&lt;S130),"人工止损无效：不能下调","跟踪有效"))),"记录类型无效")))</f>
        <v/>
      </c>
    </row>
    <row r="131">
      <c r="A131" s="28" t="n"/>
      <c r="B131" s="28" t="n"/>
      <c r="C131" s="31">
        <f>IF(B131="","",IFERROR(LOOKUP(2,1/(单次交易!$A$2:$A$201=B131),单次交易!$B$2:$B$201),""))</f>
        <v/>
      </c>
      <c r="D131" s="27" t="n"/>
      <c r="E131" s="43" t="n"/>
      <c r="F131" s="43" t="n"/>
      <c r="G131" s="28" t="n"/>
      <c r="H131" s="49" t="n"/>
      <c r="I131" s="43" t="n"/>
      <c r="J131" s="27" t="n"/>
      <c r="K131" s="28" t="n"/>
      <c r="L131" s="28" t="n"/>
      <c r="M131" s="28" t="n"/>
      <c r="N131" s="44">
        <f>IF(B131="","",IFERROR(LOOKUP(2,1/(单次交易!$A$2:$A$201=B131),单次交易!$N$2:$N$201),""))</f>
        <v/>
      </c>
      <c r="O131" s="44">
        <f>IF(A131&lt;&gt;"每日跟踪","",IF(OR(B131="",H131="",I131=""),"",IFERROR(AGGREGATE(14,6,$I$2:$I$501/(($A$2:$A$501="每日跟踪")*($B$2:$B$501=B131)*($H$2:$H$501&lt;=H131)),1),"")))</f>
        <v/>
      </c>
      <c r="P131" s="26">
        <f>IF(A131&lt;&gt;"每日跟踪","",IF(O131="","",IFERROR(AGGREGATE(14,6,$D$2:$D$501/(($A$2:$A$501="止损计划")*($B$2:$B$501=B131)*($E$2:$E$501&lt;=O131)),1),0)))</f>
        <v/>
      </c>
      <c r="Q131" s="44">
        <f>IF(A131&lt;&gt;"每日跟踪","",IF(N131="","",MAX(N131,IFERROR(AGGREGATE(14,6,$F$2:$F$501/(($A$2:$A$501="止损计划")*($B$2:$B$501=B131)*($E$2:$E$501&lt;=O131)),1),0))))</f>
        <v/>
      </c>
      <c r="R131" s="43" t="n"/>
      <c r="S131" s="44">
        <f>IF(A131&lt;&gt;"每日跟踪","",IF(Q131="","",MAX(Q131,IFERROR(AGGREGATE(14,6,$R$2:$R$501/(($A$2:$A$501="每日跟踪")*($B$2:$B$501=B131)*($H$2:$H$501&lt;=H131)),1),0))))</f>
        <v/>
      </c>
      <c r="T131" s="44">
        <f>IF(A131&lt;&gt;"每日跟踪","",IF(O131="","",IF(COUNTIFS($A$2:$A$501,"止损计划",$B$2:$B$501,B131,$E$2:$E$501,"&gt;"&amp;O131)=0,"",AGGREGATE(15,6,$E$2:$E$501/(($A$2:$A$501="止损计划")*($B$2:$B$501=B131)*($E$2:$E$501&gt;O131)),1))))</f>
        <v/>
      </c>
      <c r="U131" s="44">
        <f>IF(OR(A131&lt;&gt;"每日跟踪",T131=""),"",IFERROR(AGGREGATE(14,6,$F$2:$F$501/(($A$2:$A$501="止损计划")*($B$2:$B$501=B131)*($E$2:$E$501=T131)),1),""))</f>
        <v/>
      </c>
      <c r="V131" s="30">
        <f>IF(OR(A131&lt;&gt;"每日跟踪",T131="",I131="",I131&lt;=0),"",T131/I131-1)</f>
        <v/>
      </c>
      <c r="W131" s="31">
        <f>IF(A131&lt;&gt;"每日跟踪","",IF(OR(I131="",S131=""),"",IF(I131&lt;=S131,"触发止损：应全部卖出","继续观察")))</f>
        <v/>
      </c>
      <c r="X131" s="28" t="n"/>
      <c r="Y131" s="43" t="n"/>
      <c r="Z131" s="26">
        <f>IF(X131&lt;&gt;"执行卖出","",IFERROR(LOOKUP(2,1/(单次交易!$A$2:$A$201=B131),单次交易!$AP$2:$AP$201),""))</f>
        <v/>
      </c>
      <c r="AA131" s="43" t="n"/>
      <c r="AB131" s="31">
        <f>IF(A131&lt;&gt;"每日跟踪","",IF(OR(B131="",H131="",I131="",J131="",K131="",L131="",M131=""),"待补充每日记录",IF(W131="触发止损：应全部卖出",IF(X131&lt;&gt;"执行卖出","违规：触发止损但未执行",IF(Y131="","待补充实际卖出价","卖出记录完整")),IF(X131="","待选择卖出动作",IF(X131="执行卖出",IF(Y131="","待补充实际卖出价","卖出记录完整"),"正常")))))</f>
        <v/>
      </c>
      <c r="AC131" s="31">
        <f>IF(A131="","",IF(A131="止损计划",IF(OR(B131="",D131="",E131="",F131="",G131=""),"计划不完整",IF(OR(D131&lt;1,D131&lt;&gt;INT(D131)),"阶段序号无效",IF(COUNTIFS($A$2:$A$501,"止损计划",$B$2:$B$501,B131,$D$2:$D$501,D131)&gt;1,"阶段序号重复",IF(E131&lt;=IFERROR(LOOKUP(2,1/('单次交易'!$A$2:$A$201=B131),'单次交易'!$E$2:$E$201),0),"激活价须高于买入价",IF(F131&lt;N131,"止损价不得低于初始止损",IF(F131&gt;E131,"止损价不得高于激活价",IF(AND(COUNTIFS($A$2:$A$501,"止损计划",$B$2:$B$501,B131,$D$2:$D$501,"&lt;"&amp;D131)&gt;0,OR(E131&lt;=AGGREGATE(14,6,$E$2:$E$501/(($A$2:$A$501="止损计划")*($B$2:$B$501=B131)*($D$2:$D$501&lt;D131)),1),F131&lt;AGGREGATE(14,6,$F$2:$F$501/(($A$2:$A$501="止损计划")*($B$2:$B$501=B131)*($D$2:$D$501&lt;D131)),1))),"阶段价格必须逐级提高","计划有效"))))))),IF(A131="每日跟踪",IF(OR(B131="",H131="",I131="",J131=""),"每日数据不完整",IF(COUNTIFS($A$2:$A$501,"每日跟踪",$B$2:$B$501,B131,$H$2:$H$501,H131)&gt;1,"同一交易日期重复",IF(AND(R131&lt;&gt;"",R131&lt;S131),"人工止损无效：不能下调","跟踪有效"))),"记录类型无效")))</f>
        <v/>
      </c>
    </row>
    <row r="132">
      <c r="A132" s="28" t="n"/>
      <c r="B132" s="28" t="n"/>
      <c r="C132" s="31">
        <f>IF(B132="","",IFERROR(LOOKUP(2,1/(单次交易!$A$2:$A$201=B132),单次交易!$B$2:$B$201),""))</f>
        <v/>
      </c>
      <c r="D132" s="27" t="n"/>
      <c r="E132" s="43" t="n"/>
      <c r="F132" s="43" t="n"/>
      <c r="G132" s="28" t="n"/>
      <c r="H132" s="49" t="n"/>
      <c r="I132" s="43" t="n"/>
      <c r="J132" s="27" t="n"/>
      <c r="K132" s="28" t="n"/>
      <c r="L132" s="28" t="n"/>
      <c r="M132" s="28" t="n"/>
      <c r="N132" s="44">
        <f>IF(B132="","",IFERROR(LOOKUP(2,1/(单次交易!$A$2:$A$201=B132),单次交易!$N$2:$N$201),""))</f>
        <v/>
      </c>
      <c r="O132" s="44">
        <f>IF(A132&lt;&gt;"每日跟踪","",IF(OR(B132="",H132="",I132=""),"",IFERROR(AGGREGATE(14,6,$I$2:$I$501/(($A$2:$A$501="每日跟踪")*($B$2:$B$501=B132)*($H$2:$H$501&lt;=H132)),1),"")))</f>
        <v/>
      </c>
      <c r="P132" s="26">
        <f>IF(A132&lt;&gt;"每日跟踪","",IF(O132="","",IFERROR(AGGREGATE(14,6,$D$2:$D$501/(($A$2:$A$501="止损计划")*($B$2:$B$501=B132)*($E$2:$E$501&lt;=O132)),1),0)))</f>
        <v/>
      </c>
      <c r="Q132" s="44">
        <f>IF(A132&lt;&gt;"每日跟踪","",IF(N132="","",MAX(N132,IFERROR(AGGREGATE(14,6,$F$2:$F$501/(($A$2:$A$501="止损计划")*($B$2:$B$501=B132)*($E$2:$E$501&lt;=O132)),1),0))))</f>
        <v/>
      </c>
      <c r="R132" s="43" t="n"/>
      <c r="S132" s="44">
        <f>IF(A132&lt;&gt;"每日跟踪","",IF(Q132="","",MAX(Q132,IFERROR(AGGREGATE(14,6,$R$2:$R$501/(($A$2:$A$501="每日跟踪")*($B$2:$B$501=B132)*($H$2:$H$501&lt;=H132)),1),0))))</f>
        <v/>
      </c>
      <c r="T132" s="44">
        <f>IF(A132&lt;&gt;"每日跟踪","",IF(O132="","",IF(COUNTIFS($A$2:$A$501,"止损计划",$B$2:$B$501,B132,$E$2:$E$501,"&gt;"&amp;O132)=0,"",AGGREGATE(15,6,$E$2:$E$501/(($A$2:$A$501="止损计划")*($B$2:$B$501=B132)*($E$2:$E$501&gt;O132)),1))))</f>
        <v/>
      </c>
      <c r="U132" s="44">
        <f>IF(OR(A132&lt;&gt;"每日跟踪",T132=""),"",IFERROR(AGGREGATE(14,6,$F$2:$F$501/(($A$2:$A$501="止损计划")*($B$2:$B$501=B132)*($E$2:$E$501=T132)),1),""))</f>
        <v/>
      </c>
      <c r="V132" s="30">
        <f>IF(OR(A132&lt;&gt;"每日跟踪",T132="",I132="",I132&lt;=0),"",T132/I132-1)</f>
        <v/>
      </c>
      <c r="W132" s="31">
        <f>IF(A132&lt;&gt;"每日跟踪","",IF(OR(I132="",S132=""),"",IF(I132&lt;=S132,"触发止损：应全部卖出","继续观察")))</f>
        <v/>
      </c>
      <c r="X132" s="28" t="n"/>
      <c r="Y132" s="43" t="n"/>
      <c r="Z132" s="26">
        <f>IF(X132&lt;&gt;"执行卖出","",IFERROR(LOOKUP(2,1/(单次交易!$A$2:$A$201=B132),单次交易!$AP$2:$AP$201),""))</f>
        <v/>
      </c>
      <c r="AA132" s="43" t="n"/>
      <c r="AB132" s="31">
        <f>IF(A132&lt;&gt;"每日跟踪","",IF(OR(B132="",H132="",I132="",J132="",K132="",L132="",M132=""),"待补充每日记录",IF(W132="触发止损：应全部卖出",IF(X132&lt;&gt;"执行卖出","违规：触发止损但未执行",IF(Y132="","待补充实际卖出价","卖出记录完整")),IF(X132="","待选择卖出动作",IF(X132="执行卖出",IF(Y132="","待补充实际卖出价","卖出记录完整"),"正常")))))</f>
        <v/>
      </c>
      <c r="AC132" s="31">
        <f>IF(A132="","",IF(A132="止损计划",IF(OR(B132="",D132="",E132="",F132="",G132=""),"计划不完整",IF(OR(D132&lt;1,D132&lt;&gt;INT(D132)),"阶段序号无效",IF(COUNTIFS($A$2:$A$501,"止损计划",$B$2:$B$501,B132,$D$2:$D$501,D132)&gt;1,"阶段序号重复",IF(E132&lt;=IFERROR(LOOKUP(2,1/('单次交易'!$A$2:$A$201=B132),'单次交易'!$E$2:$E$201),0),"激活价须高于买入价",IF(F132&lt;N132,"止损价不得低于初始止损",IF(F132&gt;E132,"止损价不得高于激活价",IF(AND(COUNTIFS($A$2:$A$501,"止损计划",$B$2:$B$501,B132,$D$2:$D$501,"&lt;"&amp;D132)&gt;0,OR(E132&lt;=AGGREGATE(14,6,$E$2:$E$501/(($A$2:$A$501="止损计划")*($B$2:$B$501=B132)*($D$2:$D$501&lt;D132)),1),F132&lt;AGGREGATE(14,6,$F$2:$F$501/(($A$2:$A$501="止损计划")*($B$2:$B$501=B132)*($D$2:$D$501&lt;D132)),1))),"阶段价格必须逐级提高","计划有效"))))))),IF(A132="每日跟踪",IF(OR(B132="",H132="",I132="",J132=""),"每日数据不完整",IF(COUNTIFS($A$2:$A$501,"每日跟踪",$B$2:$B$501,B132,$H$2:$H$501,H132)&gt;1,"同一交易日期重复",IF(AND(R132&lt;&gt;"",R132&lt;S132),"人工止损无效：不能下调","跟踪有效"))),"记录类型无效")))</f>
        <v/>
      </c>
    </row>
    <row r="133">
      <c r="A133" s="28" t="n"/>
      <c r="B133" s="28" t="n"/>
      <c r="C133" s="31">
        <f>IF(B133="","",IFERROR(LOOKUP(2,1/(单次交易!$A$2:$A$201=B133),单次交易!$B$2:$B$201),""))</f>
        <v/>
      </c>
      <c r="D133" s="27" t="n"/>
      <c r="E133" s="43" t="n"/>
      <c r="F133" s="43" t="n"/>
      <c r="G133" s="28" t="n"/>
      <c r="H133" s="49" t="n"/>
      <c r="I133" s="43" t="n"/>
      <c r="J133" s="27" t="n"/>
      <c r="K133" s="28" t="n"/>
      <c r="L133" s="28" t="n"/>
      <c r="M133" s="28" t="n"/>
      <c r="N133" s="44">
        <f>IF(B133="","",IFERROR(LOOKUP(2,1/(单次交易!$A$2:$A$201=B133),单次交易!$N$2:$N$201),""))</f>
        <v/>
      </c>
      <c r="O133" s="44">
        <f>IF(A133&lt;&gt;"每日跟踪","",IF(OR(B133="",H133="",I133=""),"",IFERROR(AGGREGATE(14,6,$I$2:$I$501/(($A$2:$A$501="每日跟踪")*($B$2:$B$501=B133)*($H$2:$H$501&lt;=H133)),1),"")))</f>
        <v/>
      </c>
      <c r="P133" s="26">
        <f>IF(A133&lt;&gt;"每日跟踪","",IF(O133="","",IFERROR(AGGREGATE(14,6,$D$2:$D$501/(($A$2:$A$501="止损计划")*($B$2:$B$501=B133)*($E$2:$E$501&lt;=O133)),1),0)))</f>
        <v/>
      </c>
      <c r="Q133" s="44">
        <f>IF(A133&lt;&gt;"每日跟踪","",IF(N133="","",MAX(N133,IFERROR(AGGREGATE(14,6,$F$2:$F$501/(($A$2:$A$501="止损计划")*($B$2:$B$501=B133)*($E$2:$E$501&lt;=O133)),1),0))))</f>
        <v/>
      </c>
      <c r="R133" s="43" t="n"/>
      <c r="S133" s="44">
        <f>IF(A133&lt;&gt;"每日跟踪","",IF(Q133="","",MAX(Q133,IFERROR(AGGREGATE(14,6,$R$2:$R$501/(($A$2:$A$501="每日跟踪")*($B$2:$B$501=B133)*($H$2:$H$501&lt;=H133)),1),0))))</f>
        <v/>
      </c>
      <c r="T133" s="44">
        <f>IF(A133&lt;&gt;"每日跟踪","",IF(O133="","",IF(COUNTIFS($A$2:$A$501,"止损计划",$B$2:$B$501,B133,$E$2:$E$501,"&gt;"&amp;O133)=0,"",AGGREGATE(15,6,$E$2:$E$501/(($A$2:$A$501="止损计划")*($B$2:$B$501=B133)*($E$2:$E$501&gt;O133)),1))))</f>
        <v/>
      </c>
      <c r="U133" s="44">
        <f>IF(OR(A133&lt;&gt;"每日跟踪",T133=""),"",IFERROR(AGGREGATE(14,6,$F$2:$F$501/(($A$2:$A$501="止损计划")*($B$2:$B$501=B133)*($E$2:$E$501=T133)),1),""))</f>
        <v/>
      </c>
      <c r="V133" s="30">
        <f>IF(OR(A133&lt;&gt;"每日跟踪",T133="",I133="",I133&lt;=0),"",T133/I133-1)</f>
        <v/>
      </c>
      <c r="W133" s="31">
        <f>IF(A133&lt;&gt;"每日跟踪","",IF(OR(I133="",S133=""),"",IF(I133&lt;=S133,"触发止损：应全部卖出","继续观察")))</f>
        <v/>
      </c>
      <c r="X133" s="28" t="n"/>
      <c r="Y133" s="43" t="n"/>
      <c r="Z133" s="26">
        <f>IF(X133&lt;&gt;"执行卖出","",IFERROR(LOOKUP(2,1/(单次交易!$A$2:$A$201=B133),单次交易!$AP$2:$AP$201),""))</f>
        <v/>
      </c>
      <c r="AA133" s="43" t="n"/>
      <c r="AB133" s="31">
        <f>IF(A133&lt;&gt;"每日跟踪","",IF(OR(B133="",H133="",I133="",J133="",K133="",L133="",M133=""),"待补充每日记录",IF(W133="触发止损：应全部卖出",IF(X133&lt;&gt;"执行卖出","违规：触发止损但未执行",IF(Y133="","待补充实际卖出价","卖出记录完整")),IF(X133="","待选择卖出动作",IF(X133="执行卖出",IF(Y133="","待补充实际卖出价","卖出记录完整"),"正常")))))</f>
        <v/>
      </c>
      <c r="AC133" s="31">
        <f>IF(A133="","",IF(A133="止损计划",IF(OR(B133="",D133="",E133="",F133="",G133=""),"计划不完整",IF(OR(D133&lt;1,D133&lt;&gt;INT(D133)),"阶段序号无效",IF(COUNTIFS($A$2:$A$501,"止损计划",$B$2:$B$501,B133,$D$2:$D$501,D133)&gt;1,"阶段序号重复",IF(E133&lt;=IFERROR(LOOKUP(2,1/('单次交易'!$A$2:$A$201=B133),'单次交易'!$E$2:$E$201),0),"激活价须高于买入价",IF(F133&lt;N133,"止损价不得低于初始止损",IF(F133&gt;E133,"止损价不得高于激活价",IF(AND(COUNTIFS($A$2:$A$501,"止损计划",$B$2:$B$501,B133,$D$2:$D$501,"&lt;"&amp;D133)&gt;0,OR(E133&lt;=AGGREGATE(14,6,$E$2:$E$501/(($A$2:$A$501="止损计划")*($B$2:$B$501=B133)*($D$2:$D$501&lt;D133)),1),F133&lt;AGGREGATE(14,6,$F$2:$F$501/(($A$2:$A$501="止损计划")*($B$2:$B$501=B133)*($D$2:$D$501&lt;D133)),1))),"阶段价格必须逐级提高","计划有效"))))))),IF(A133="每日跟踪",IF(OR(B133="",H133="",I133="",J133=""),"每日数据不完整",IF(COUNTIFS($A$2:$A$501,"每日跟踪",$B$2:$B$501,B133,$H$2:$H$501,H133)&gt;1,"同一交易日期重复",IF(AND(R133&lt;&gt;"",R133&lt;S133),"人工止损无效：不能下调","跟踪有效"))),"记录类型无效")))</f>
        <v/>
      </c>
    </row>
    <row r="134">
      <c r="A134" s="28" t="n"/>
      <c r="B134" s="28" t="n"/>
      <c r="C134" s="31">
        <f>IF(B134="","",IFERROR(LOOKUP(2,1/(单次交易!$A$2:$A$201=B134),单次交易!$B$2:$B$201),""))</f>
        <v/>
      </c>
      <c r="D134" s="27" t="n"/>
      <c r="E134" s="43" t="n"/>
      <c r="F134" s="43" t="n"/>
      <c r="G134" s="28" t="n"/>
      <c r="H134" s="49" t="n"/>
      <c r="I134" s="43" t="n"/>
      <c r="J134" s="27" t="n"/>
      <c r="K134" s="28" t="n"/>
      <c r="L134" s="28" t="n"/>
      <c r="M134" s="28" t="n"/>
      <c r="N134" s="44">
        <f>IF(B134="","",IFERROR(LOOKUP(2,1/(单次交易!$A$2:$A$201=B134),单次交易!$N$2:$N$201),""))</f>
        <v/>
      </c>
      <c r="O134" s="44">
        <f>IF(A134&lt;&gt;"每日跟踪","",IF(OR(B134="",H134="",I134=""),"",IFERROR(AGGREGATE(14,6,$I$2:$I$501/(($A$2:$A$501="每日跟踪")*($B$2:$B$501=B134)*($H$2:$H$501&lt;=H134)),1),"")))</f>
        <v/>
      </c>
      <c r="P134" s="26">
        <f>IF(A134&lt;&gt;"每日跟踪","",IF(O134="","",IFERROR(AGGREGATE(14,6,$D$2:$D$501/(($A$2:$A$501="止损计划")*($B$2:$B$501=B134)*($E$2:$E$501&lt;=O134)),1),0)))</f>
        <v/>
      </c>
      <c r="Q134" s="44">
        <f>IF(A134&lt;&gt;"每日跟踪","",IF(N134="","",MAX(N134,IFERROR(AGGREGATE(14,6,$F$2:$F$501/(($A$2:$A$501="止损计划")*($B$2:$B$501=B134)*($E$2:$E$501&lt;=O134)),1),0))))</f>
        <v/>
      </c>
      <c r="R134" s="43" t="n"/>
      <c r="S134" s="44">
        <f>IF(A134&lt;&gt;"每日跟踪","",IF(Q134="","",MAX(Q134,IFERROR(AGGREGATE(14,6,$R$2:$R$501/(($A$2:$A$501="每日跟踪")*($B$2:$B$501=B134)*($H$2:$H$501&lt;=H134)),1),0))))</f>
        <v/>
      </c>
      <c r="T134" s="44">
        <f>IF(A134&lt;&gt;"每日跟踪","",IF(O134="","",IF(COUNTIFS($A$2:$A$501,"止损计划",$B$2:$B$501,B134,$E$2:$E$501,"&gt;"&amp;O134)=0,"",AGGREGATE(15,6,$E$2:$E$501/(($A$2:$A$501="止损计划")*($B$2:$B$501=B134)*($E$2:$E$501&gt;O134)),1))))</f>
        <v/>
      </c>
      <c r="U134" s="44">
        <f>IF(OR(A134&lt;&gt;"每日跟踪",T134=""),"",IFERROR(AGGREGATE(14,6,$F$2:$F$501/(($A$2:$A$501="止损计划")*($B$2:$B$501=B134)*($E$2:$E$501=T134)),1),""))</f>
        <v/>
      </c>
      <c r="V134" s="30">
        <f>IF(OR(A134&lt;&gt;"每日跟踪",T134="",I134="",I134&lt;=0),"",T134/I134-1)</f>
        <v/>
      </c>
      <c r="W134" s="31">
        <f>IF(A134&lt;&gt;"每日跟踪","",IF(OR(I134="",S134=""),"",IF(I134&lt;=S134,"触发止损：应全部卖出","继续观察")))</f>
        <v/>
      </c>
      <c r="X134" s="28" t="n"/>
      <c r="Y134" s="43" t="n"/>
      <c r="Z134" s="26">
        <f>IF(X134&lt;&gt;"执行卖出","",IFERROR(LOOKUP(2,1/(单次交易!$A$2:$A$201=B134),单次交易!$AP$2:$AP$201),""))</f>
        <v/>
      </c>
      <c r="AA134" s="43" t="n"/>
      <c r="AB134" s="31">
        <f>IF(A134&lt;&gt;"每日跟踪","",IF(OR(B134="",H134="",I134="",J134="",K134="",L134="",M134=""),"待补充每日记录",IF(W134="触发止损：应全部卖出",IF(X134&lt;&gt;"执行卖出","违规：触发止损但未执行",IF(Y134="","待补充实际卖出价","卖出记录完整")),IF(X134="","待选择卖出动作",IF(X134="执行卖出",IF(Y134="","待补充实际卖出价","卖出记录完整"),"正常")))))</f>
        <v/>
      </c>
      <c r="AC134" s="31">
        <f>IF(A134="","",IF(A134="止损计划",IF(OR(B134="",D134="",E134="",F134="",G134=""),"计划不完整",IF(OR(D134&lt;1,D134&lt;&gt;INT(D134)),"阶段序号无效",IF(COUNTIFS($A$2:$A$501,"止损计划",$B$2:$B$501,B134,$D$2:$D$501,D134)&gt;1,"阶段序号重复",IF(E134&lt;=IFERROR(LOOKUP(2,1/('单次交易'!$A$2:$A$201=B134),'单次交易'!$E$2:$E$201),0),"激活价须高于买入价",IF(F134&lt;N134,"止损价不得低于初始止损",IF(F134&gt;E134,"止损价不得高于激活价",IF(AND(COUNTIFS($A$2:$A$501,"止损计划",$B$2:$B$501,B134,$D$2:$D$501,"&lt;"&amp;D134)&gt;0,OR(E134&lt;=AGGREGATE(14,6,$E$2:$E$501/(($A$2:$A$501="止损计划")*($B$2:$B$501=B134)*($D$2:$D$501&lt;D134)),1),F134&lt;AGGREGATE(14,6,$F$2:$F$501/(($A$2:$A$501="止损计划")*($B$2:$B$501=B134)*($D$2:$D$501&lt;D134)),1))),"阶段价格必须逐级提高","计划有效"))))))),IF(A134="每日跟踪",IF(OR(B134="",H134="",I134="",J134=""),"每日数据不完整",IF(COUNTIFS($A$2:$A$501,"每日跟踪",$B$2:$B$501,B134,$H$2:$H$501,H134)&gt;1,"同一交易日期重复",IF(AND(R134&lt;&gt;"",R134&lt;S134),"人工止损无效：不能下调","跟踪有效"))),"记录类型无效")))</f>
        <v/>
      </c>
    </row>
    <row r="135">
      <c r="A135" s="28" t="n"/>
      <c r="B135" s="28" t="n"/>
      <c r="C135" s="31">
        <f>IF(B135="","",IFERROR(LOOKUP(2,1/(单次交易!$A$2:$A$201=B135),单次交易!$B$2:$B$201),""))</f>
        <v/>
      </c>
      <c r="D135" s="27" t="n"/>
      <c r="E135" s="43" t="n"/>
      <c r="F135" s="43" t="n"/>
      <c r="G135" s="28" t="n"/>
      <c r="H135" s="49" t="n"/>
      <c r="I135" s="43" t="n"/>
      <c r="J135" s="27" t="n"/>
      <c r="K135" s="28" t="n"/>
      <c r="L135" s="28" t="n"/>
      <c r="M135" s="28" t="n"/>
      <c r="N135" s="44">
        <f>IF(B135="","",IFERROR(LOOKUP(2,1/(单次交易!$A$2:$A$201=B135),单次交易!$N$2:$N$201),""))</f>
        <v/>
      </c>
      <c r="O135" s="44">
        <f>IF(A135&lt;&gt;"每日跟踪","",IF(OR(B135="",H135="",I135=""),"",IFERROR(AGGREGATE(14,6,$I$2:$I$501/(($A$2:$A$501="每日跟踪")*($B$2:$B$501=B135)*($H$2:$H$501&lt;=H135)),1),"")))</f>
        <v/>
      </c>
      <c r="P135" s="26">
        <f>IF(A135&lt;&gt;"每日跟踪","",IF(O135="","",IFERROR(AGGREGATE(14,6,$D$2:$D$501/(($A$2:$A$501="止损计划")*($B$2:$B$501=B135)*($E$2:$E$501&lt;=O135)),1),0)))</f>
        <v/>
      </c>
      <c r="Q135" s="44">
        <f>IF(A135&lt;&gt;"每日跟踪","",IF(N135="","",MAX(N135,IFERROR(AGGREGATE(14,6,$F$2:$F$501/(($A$2:$A$501="止损计划")*($B$2:$B$501=B135)*($E$2:$E$501&lt;=O135)),1),0))))</f>
        <v/>
      </c>
      <c r="R135" s="43" t="n"/>
      <c r="S135" s="44">
        <f>IF(A135&lt;&gt;"每日跟踪","",IF(Q135="","",MAX(Q135,IFERROR(AGGREGATE(14,6,$R$2:$R$501/(($A$2:$A$501="每日跟踪")*($B$2:$B$501=B135)*($H$2:$H$501&lt;=H135)),1),0))))</f>
        <v/>
      </c>
      <c r="T135" s="44">
        <f>IF(A135&lt;&gt;"每日跟踪","",IF(O135="","",IF(COUNTIFS($A$2:$A$501,"止损计划",$B$2:$B$501,B135,$E$2:$E$501,"&gt;"&amp;O135)=0,"",AGGREGATE(15,6,$E$2:$E$501/(($A$2:$A$501="止损计划")*($B$2:$B$501=B135)*($E$2:$E$501&gt;O135)),1))))</f>
        <v/>
      </c>
      <c r="U135" s="44">
        <f>IF(OR(A135&lt;&gt;"每日跟踪",T135=""),"",IFERROR(AGGREGATE(14,6,$F$2:$F$501/(($A$2:$A$501="止损计划")*($B$2:$B$501=B135)*($E$2:$E$501=T135)),1),""))</f>
        <v/>
      </c>
      <c r="V135" s="30">
        <f>IF(OR(A135&lt;&gt;"每日跟踪",T135="",I135="",I135&lt;=0),"",T135/I135-1)</f>
        <v/>
      </c>
      <c r="W135" s="31">
        <f>IF(A135&lt;&gt;"每日跟踪","",IF(OR(I135="",S135=""),"",IF(I135&lt;=S135,"触发止损：应全部卖出","继续观察")))</f>
        <v/>
      </c>
      <c r="X135" s="28" t="n"/>
      <c r="Y135" s="43" t="n"/>
      <c r="Z135" s="26">
        <f>IF(X135&lt;&gt;"执行卖出","",IFERROR(LOOKUP(2,1/(单次交易!$A$2:$A$201=B135),单次交易!$AP$2:$AP$201),""))</f>
        <v/>
      </c>
      <c r="AA135" s="43" t="n"/>
      <c r="AB135" s="31">
        <f>IF(A135&lt;&gt;"每日跟踪","",IF(OR(B135="",H135="",I135="",J135="",K135="",L135="",M135=""),"待补充每日记录",IF(W135="触发止损：应全部卖出",IF(X135&lt;&gt;"执行卖出","违规：触发止损但未执行",IF(Y135="","待补充实际卖出价","卖出记录完整")),IF(X135="","待选择卖出动作",IF(X135="执行卖出",IF(Y135="","待补充实际卖出价","卖出记录完整"),"正常")))))</f>
        <v/>
      </c>
      <c r="AC135" s="31">
        <f>IF(A135="","",IF(A135="止损计划",IF(OR(B135="",D135="",E135="",F135="",G135=""),"计划不完整",IF(OR(D135&lt;1,D135&lt;&gt;INT(D135)),"阶段序号无效",IF(COUNTIFS($A$2:$A$501,"止损计划",$B$2:$B$501,B135,$D$2:$D$501,D135)&gt;1,"阶段序号重复",IF(E135&lt;=IFERROR(LOOKUP(2,1/('单次交易'!$A$2:$A$201=B135),'单次交易'!$E$2:$E$201),0),"激活价须高于买入价",IF(F135&lt;N135,"止损价不得低于初始止损",IF(F135&gt;E135,"止损价不得高于激活价",IF(AND(COUNTIFS($A$2:$A$501,"止损计划",$B$2:$B$501,B135,$D$2:$D$501,"&lt;"&amp;D135)&gt;0,OR(E135&lt;=AGGREGATE(14,6,$E$2:$E$501/(($A$2:$A$501="止损计划")*($B$2:$B$501=B135)*($D$2:$D$501&lt;D135)),1),F135&lt;AGGREGATE(14,6,$F$2:$F$501/(($A$2:$A$501="止损计划")*($B$2:$B$501=B135)*($D$2:$D$501&lt;D135)),1))),"阶段价格必须逐级提高","计划有效"))))))),IF(A135="每日跟踪",IF(OR(B135="",H135="",I135="",J135=""),"每日数据不完整",IF(COUNTIFS($A$2:$A$501,"每日跟踪",$B$2:$B$501,B135,$H$2:$H$501,H135)&gt;1,"同一交易日期重复",IF(AND(R135&lt;&gt;"",R135&lt;S135),"人工止损无效：不能下调","跟踪有效"))),"记录类型无效")))</f>
        <v/>
      </c>
    </row>
    <row r="136">
      <c r="A136" s="28" t="n"/>
      <c r="B136" s="28" t="n"/>
      <c r="C136" s="31">
        <f>IF(B136="","",IFERROR(LOOKUP(2,1/(单次交易!$A$2:$A$201=B136),单次交易!$B$2:$B$201),""))</f>
        <v/>
      </c>
      <c r="D136" s="27" t="n"/>
      <c r="E136" s="43" t="n"/>
      <c r="F136" s="43" t="n"/>
      <c r="G136" s="28" t="n"/>
      <c r="H136" s="49" t="n"/>
      <c r="I136" s="43" t="n"/>
      <c r="J136" s="27" t="n"/>
      <c r="K136" s="28" t="n"/>
      <c r="L136" s="28" t="n"/>
      <c r="M136" s="28" t="n"/>
      <c r="N136" s="44">
        <f>IF(B136="","",IFERROR(LOOKUP(2,1/(单次交易!$A$2:$A$201=B136),单次交易!$N$2:$N$201),""))</f>
        <v/>
      </c>
      <c r="O136" s="44">
        <f>IF(A136&lt;&gt;"每日跟踪","",IF(OR(B136="",H136="",I136=""),"",IFERROR(AGGREGATE(14,6,$I$2:$I$501/(($A$2:$A$501="每日跟踪")*($B$2:$B$501=B136)*($H$2:$H$501&lt;=H136)),1),"")))</f>
        <v/>
      </c>
      <c r="P136" s="26">
        <f>IF(A136&lt;&gt;"每日跟踪","",IF(O136="","",IFERROR(AGGREGATE(14,6,$D$2:$D$501/(($A$2:$A$501="止损计划")*($B$2:$B$501=B136)*($E$2:$E$501&lt;=O136)),1),0)))</f>
        <v/>
      </c>
      <c r="Q136" s="44">
        <f>IF(A136&lt;&gt;"每日跟踪","",IF(N136="","",MAX(N136,IFERROR(AGGREGATE(14,6,$F$2:$F$501/(($A$2:$A$501="止损计划")*($B$2:$B$501=B136)*($E$2:$E$501&lt;=O136)),1),0))))</f>
        <v/>
      </c>
      <c r="R136" s="43" t="n"/>
      <c r="S136" s="44">
        <f>IF(A136&lt;&gt;"每日跟踪","",IF(Q136="","",MAX(Q136,IFERROR(AGGREGATE(14,6,$R$2:$R$501/(($A$2:$A$501="每日跟踪")*($B$2:$B$501=B136)*($H$2:$H$501&lt;=H136)),1),0))))</f>
        <v/>
      </c>
      <c r="T136" s="44">
        <f>IF(A136&lt;&gt;"每日跟踪","",IF(O136="","",IF(COUNTIFS($A$2:$A$501,"止损计划",$B$2:$B$501,B136,$E$2:$E$501,"&gt;"&amp;O136)=0,"",AGGREGATE(15,6,$E$2:$E$501/(($A$2:$A$501="止损计划")*($B$2:$B$501=B136)*($E$2:$E$501&gt;O136)),1))))</f>
        <v/>
      </c>
      <c r="U136" s="44">
        <f>IF(OR(A136&lt;&gt;"每日跟踪",T136=""),"",IFERROR(AGGREGATE(14,6,$F$2:$F$501/(($A$2:$A$501="止损计划")*($B$2:$B$501=B136)*($E$2:$E$501=T136)),1),""))</f>
        <v/>
      </c>
      <c r="V136" s="30">
        <f>IF(OR(A136&lt;&gt;"每日跟踪",T136="",I136="",I136&lt;=0),"",T136/I136-1)</f>
        <v/>
      </c>
      <c r="W136" s="31">
        <f>IF(A136&lt;&gt;"每日跟踪","",IF(OR(I136="",S136=""),"",IF(I136&lt;=S136,"触发止损：应全部卖出","继续观察")))</f>
        <v/>
      </c>
      <c r="X136" s="28" t="n"/>
      <c r="Y136" s="43" t="n"/>
      <c r="Z136" s="26">
        <f>IF(X136&lt;&gt;"执行卖出","",IFERROR(LOOKUP(2,1/(单次交易!$A$2:$A$201=B136),单次交易!$AP$2:$AP$201),""))</f>
        <v/>
      </c>
      <c r="AA136" s="43" t="n"/>
      <c r="AB136" s="31">
        <f>IF(A136&lt;&gt;"每日跟踪","",IF(OR(B136="",H136="",I136="",J136="",K136="",L136="",M136=""),"待补充每日记录",IF(W136="触发止损：应全部卖出",IF(X136&lt;&gt;"执行卖出","违规：触发止损但未执行",IF(Y136="","待补充实际卖出价","卖出记录完整")),IF(X136="","待选择卖出动作",IF(X136="执行卖出",IF(Y136="","待补充实际卖出价","卖出记录完整"),"正常")))))</f>
        <v/>
      </c>
      <c r="AC136" s="31">
        <f>IF(A136="","",IF(A136="止损计划",IF(OR(B136="",D136="",E136="",F136="",G136=""),"计划不完整",IF(OR(D136&lt;1,D136&lt;&gt;INT(D136)),"阶段序号无效",IF(COUNTIFS($A$2:$A$501,"止损计划",$B$2:$B$501,B136,$D$2:$D$501,D136)&gt;1,"阶段序号重复",IF(E136&lt;=IFERROR(LOOKUP(2,1/('单次交易'!$A$2:$A$201=B136),'单次交易'!$E$2:$E$201),0),"激活价须高于买入价",IF(F136&lt;N136,"止损价不得低于初始止损",IF(F136&gt;E136,"止损价不得高于激活价",IF(AND(COUNTIFS($A$2:$A$501,"止损计划",$B$2:$B$501,B136,$D$2:$D$501,"&lt;"&amp;D136)&gt;0,OR(E136&lt;=AGGREGATE(14,6,$E$2:$E$501/(($A$2:$A$501="止损计划")*($B$2:$B$501=B136)*($D$2:$D$501&lt;D136)),1),F136&lt;AGGREGATE(14,6,$F$2:$F$501/(($A$2:$A$501="止损计划")*($B$2:$B$501=B136)*($D$2:$D$501&lt;D136)),1))),"阶段价格必须逐级提高","计划有效"))))))),IF(A136="每日跟踪",IF(OR(B136="",H136="",I136="",J136=""),"每日数据不完整",IF(COUNTIFS($A$2:$A$501,"每日跟踪",$B$2:$B$501,B136,$H$2:$H$501,H136)&gt;1,"同一交易日期重复",IF(AND(R136&lt;&gt;"",R136&lt;S136),"人工止损无效：不能下调","跟踪有效"))),"记录类型无效")))</f>
        <v/>
      </c>
    </row>
    <row r="137">
      <c r="A137" s="28" t="n"/>
      <c r="B137" s="28" t="n"/>
      <c r="C137" s="31">
        <f>IF(B137="","",IFERROR(LOOKUP(2,1/(单次交易!$A$2:$A$201=B137),单次交易!$B$2:$B$201),""))</f>
        <v/>
      </c>
      <c r="D137" s="27" t="n"/>
      <c r="E137" s="43" t="n"/>
      <c r="F137" s="43" t="n"/>
      <c r="G137" s="28" t="n"/>
      <c r="H137" s="49" t="n"/>
      <c r="I137" s="43" t="n"/>
      <c r="J137" s="27" t="n"/>
      <c r="K137" s="28" t="n"/>
      <c r="L137" s="28" t="n"/>
      <c r="M137" s="28" t="n"/>
      <c r="N137" s="44">
        <f>IF(B137="","",IFERROR(LOOKUP(2,1/(单次交易!$A$2:$A$201=B137),单次交易!$N$2:$N$201),""))</f>
        <v/>
      </c>
      <c r="O137" s="44">
        <f>IF(A137&lt;&gt;"每日跟踪","",IF(OR(B137="",H137="",I137=""),"",IFERROR(AGGREGATE(14,6,$I$2:$I$501/(($A$2:$A$501="每日跟踪")*($B$2:$B$501=B137)*($H$2:$H$501&lt;=H137)),1),"")))</f>
        <v/>
      </c>
      <c r="P137" s="26">
        <f>IF(A137&lt;&gt;"每日跟踪","",IF(O137="","",IFERROR(AGGREGATE(14,6,$D$2:$D$501/(($A$2:$A$501="止损计划")*($B$2:$B$501=B137)*($E$2:$E$501&lt;=O137)),1),0)))</f>
        <v/>
      </c>
      <c r="Q137" s="44">
        <f>IF(A137&lt;&gt;"每日跟踪","",IF(N137="","",MAX(N137,IFERROR(AGGREGATE(14,6,$F$2:$F$501/(($A$2:$A$501="止损计划")*($B$2:$B$501=B137)*($E$2:$E$501&lt;=O137)),1),0))))</f>
        <v/>
      </c>
      <c r="R137" s="43" t="n"/>
      <c r="S137" s="44">
        <f>IF(A137&lt;&gt;"每日跟踪","",IF(Q137="","",MAX(Q137,IFERROR(AGGREGATE(14,6,$R$2:$R$501/(($A$2:$A$501="每日跟踪")*($B$2:$B$501=B137)*($H$2:$H$501&lt;=H137)),1),0))))</f>
        <v/>
      </c>
      <c r="T137" s="44">
        <f>IF(A137&lt;&gt;"每日跟踪","",IF(O137="","",IF(COUNTIFS($A$2:$A$501,"止损计划",$B$2:$B$501,B137,$E$2:$E$501,"&gt;"&amp;O137)=0,"",AGGREGATE(15,6,$E$2:$E$501/(($A$2:$A$501="止损计划")*($B$2:$B$501=B137)*($E$2:$E$501&gt;O137)),1))))</f>
        <v/>
      </c>
      <c r="U137" s="44">
        <f>IF(OR(A137&lt;&gt;"每日跟踪",T137=""),"",IFERROR(AGGREGATE(14,6,$F$2:$F$501/(($A$2:$A$501="止损计划")*($B$2:$B$501=B137)*($E$2:$E$501=T137)),1),""))</f>
        <v/>
      </c>
      <c r="V137" s="30">
        <f>IF(OR(A137&lt;&gt;"每日跟踪",T137="",I137="",I137&lt;=0),"",T137/I137-1)</f>
        <v/>
      </c>
      <c r="W137" s="31">
        <f>IF(A137&lt;&gt;"每日跟踪","",IF(OR(I137="",S137=""),"",IF(I137&lt;=S137,"触发止损：应全部卖出","继续观察")))</f>
        <v/>
      </c>
      <c r="X137" s="28" t="n"/>
      <c r="Y137" s="43" t="n"/>
      <c r="Z137" s="26">
        <f>IF(X137&lt;&gt;"执行卖出","",IFERROR(LOOKUP(2,1/(单次交易!$A$2:$A$201=B137),单次交易!$AP$2:$AP$201),""))</f>
        <v/>
      </c>
      <c r="AA137" s="43" t="n"/>
      <c r="AB137" s="31">
        <f>IF(A137&lt;&gt;"每日跟踪","",IF(OR(B137="",H137="",I137="",J137="",K137="",L137="",M137=""),"待补充每日记录",IF(W137="触发止损：应全部卖出",IF(X137&lt;&gt;"执行卖出","违规：触发止损但未执行",IF(Y137="","待补充实际卖出价","卖出记录完整")),IF(X137="","待选择卖出动作",IF(X137="执行卖出",IF(Y137="","待补充实际卖出价","卖出记录完整"),"正常")))))</f>
        <v/>
      </c>
      <c r="AC137" s="31">
        <f>IF(A137="","",IF(A137="止损计划",IF(OR(B137="",D137="",E137="",F137="",G137=""),"计划不完整",IF(OR(D137&lt;1,D137&lt;&gt;INT(D137)),"阶段序号无效",IF(COUNTIFS($A$2:$A$501,"止损计划",$B$2:$B$501,B137,$D$2:$D$501,D137)&gt;1,"阶段序号重复",IF(E137&lt;=IFERROR(LOOKUP(2,1/('单次交易'!$A$2:$A$201=B137),'单次交易'!$E$2:$E$201),0),"激活价须高于买入价",IF(F137&lt;N137,"止损价不得低于初始止损",IF(F137&gt;E137,"止损价不得高于激活价",IF(AND(COUNTIFS($A$2:$A$501,"止损计划",$B$2:$B$501,B137,$D$2:$D$501,"&lt;"&amp;D137)&gt;0,OR(E137&lt;=AGGREGATE(14,6,$E$2:$E$501/(($A$2:$A$501="止损计划")*($B$2:$B$501=B137)*($D$2:$D$501&lt;D137)),1),F137&lt;AGGREGATE(14,6,$F$2:$F$501/(($A$2:$A$501="止损计划")*($B$2:$B$501=B137)*($D$2:$D$501&lt;D137)),1))),"阶段价格必须逐级提高","计划有效"))))))),IF(A137="每日跟踪",IF(OR(B137="",H137="",I137="",J137=""),"每日数据不完整",IF(COUNTIFS($A$2:$A$501,"每日跟踪",$B$2:$B$501,B137,$H$2:$H$501,H137)&gt;1,"同一交易日期重复",IF(AND(R137&lt;&gt;"",R137&lt;S137),"人工止损无效：不能下调","跟踪有效"))),"记录类型无效")))</f>
        <v/>
      </c>
    </row>
    <row r="138">
      <c r="A138" s="28" t="n"/>
      <c r="B138" s="28" t="n"/>
      <c r="C138" s="31">
        <f>IF(B138="","",IFERROR(LOOKUP(2,1/(单次交易!$A$2:$A$201=B138),单次交易!$B$2:$B$201),""))</f>
        <v/>
      </c>
      <c r="D138" s="27" t="n"/>
      <c r="E138" s="43" t="n"/>
      <c r="F138" s="43" t="n"/>
      <c r="G138" s="28" t="n"/>
      <c r="H138" s="49" t="n"/>
      <c r="I138" s="43" t="n"/>
      <c r="J138" s="27" t="n"/>
      <c r="K138" s="28" t="n"/>
      <c r="L138" s="28" t="n"/>
      <c r="M138" s="28" t="n"/>
      <c r="N138" s="44">
        <f>IF(B138="","",IFERROR(LOOKUP(2,1/(单次交易!$A$2:$A$201=B138),单次交易!$N$2:$N$201),""))</f>
        <v/>
      </c>
      <c r="O138" s="44">
        <f>IF(A138&lt;&gt;"每日跟踪","",IF(OR(B138="",H138="",I138=""),"",IFERROR(AGGREGATE(14,6,$I$2:$I$501/(($A$2:$A$501="每日跟踪")*($B$2:$B$501=B138)*($H$2:$H$501&lt;=H138)),1),"")))</f>
        <v/>
      </c>
      <c r="P138" s="26">
        <f>IF(A138&lt;&gt;"每日跟踪","",IF(O138="","",IFERROR(AGGREGATE(14,6,$D$2:$D$501/(($A$2:$A$501="止损计划")*($B$2:$B$501=B138)*($E$2:$E$501&lt;=O138)),1),0)))</f>
        <v/>
      </c>
      <c r="Q138" s="44">
        <f>IF(A138&lt;&gt;"每日跟踪","",IF(N138="","",MAX(N138,IFERROR(AGGREGATE(14,6,$F$2:$F$501/(($A$2:$A$501="止损计划")*($B$2:$B$501=B138)*($E$2:$E$501&lt;=O138)),1),0))))</f>
        <v/>
      </c>
      <c r="R138" s="43" t="n"/>
      <c r="S138" s="44">
        <f>IF(A138&lt;&gt;"每日跟踪","",IF(Q138="","",MAX(Q138,IFERROR(AGGREGATE(14,6,$R$2:$R$501/(($A$2:$A$501="每日跟踪")*($B$2:$B$501=B138)*($H$2:$H$501&lt;=H138)),1),0))))</f>
        <v/>
      </c>
      <c r="T138" s="44">
        <f>IF(A138&lt;&gt;"每日跟踪","",IF(O138="","",IF(COUNTIFS($A$2:$A$501,"止损计划",$B$2:$B$501,B138,$E$2:$E$501,"&gt;"&amp;O138)=0,"",AGGREGATE(15,6,$E$2:$E$501/(($A$2:$A$501="止损计划")*($B$2:$B$501=B138)*($E$2:$E$501&gt;O138)),1))))</f>
        <v/>
      </c>
      <c r="U138" s="44">
        <f>IF(OR(A138&lt;&gt;"每日跟踪",T138=""),"",IFERROR(AGGREGATE(14,6,$F$2:$F$501/(($A$2:$A$501="止损计划")*($B$2:$B$501=B138)*($E$2:$E$501=T138)),1),""))</f>
        <v/>
      </c>
      <c r="V138" s="30">
        <f>IF(OR(A138&lt;&gt;"每日跟踪",T138="",I138="",I138&lt;=0),"",T138/I138-1)</f>
        <v/>
      </c>
      <c r="W138" s="31">
        <f>IF(A138&lt;&gt;"每日跟踪","",IF(OR(I138="",S138=""),"",IF(I138&lt;=S138,"触发止损：应全部卖出","继续观察")))</f>
        <v/>
      </c>
      <c r="X138" s="28" t="n"/>
      <c r="Y138" s="43" t="n"/>
      <c r="Z138" s="26">
        <f>IF(X138&lt;&gt;"执行卖出","",IFERROR(LOOKUP(2,1/(单次交易!$A$2:$A$201=B138),单次交易!$AP$2:$AP$201),""))</f>
        <v/>
      </c>
      <c r="AA138" s="43" t="n"/>
      <c r="AB138" s="31">
        <f>IF(A138&lt;&gt;"每日跟踪","",IF(OR(B138="",H138="",I138="",J138="",K138="",L138="",M138=""),"待补充每日记录",IF(W138="触发止损：应全部卖出",IF(X138&lt;&gt;"执行卖出","违规：触发止损但未执行",IF(Y138="","待补充实际卖出价","卖出记录完整")),IF(X138="","待选择卖出动作",IF(X138="执行卖出",IF(Y138="","待补充实际卖出价","卖出记录完整"),"正常")))))</f>
        <v/>
      </c>
      <c r="AC138" s="31">
        <f>IF(A138="","",IF(A138="止损计划",IF(OR(B138="",D138="",E138="",F138="",G138=""),"计划不完整",IF(OR(D138&lt;1,D138&lt;&gt;INT(D138)),"阶段序号无效",IF(COUNTIFS($A$2:$A$501,"止损计划",$B$2:$B$501,B138,$D$2:$D$501,D138)&gt;1,"阶段序号重复",IF(E138&lt;=IFERROR(LOOKUP(2,1/('单次交易'!$A$2:$A$201=B138),'单次交易'!$E$2:$E$201),0),"激活价须高于买入价",IF(F138&lt;N138,"止损价不得低于初始止损",IF(F138&gt;E138,"止损价不得高于激活价",IF(AND(COUNTIFS($A$2:$A$501,"止损计划",$B$2:$B$501,B138,$D$2:$D$501,"&lt;"&amp;D138)&gt;0,OR(E138&lt;=AGGREGATE(14,6,$E$2:$E$501/(($A$2:$A$501="止损计划")*($B$2:$B$501=B138)*($D$2:$D$501&lt;D138)),1),F138&lt;AGGREGATE(14,6,$F$2:$F$501/(($A$2:$A$501="止损计划")*($B$2:$B$501=B138)*($D$2:$D$501&lt;D138)),1))),"阶段价格必须逐级提高","计划有效"))))))),IF(A138="每日跟踪",IF(OR(B138="",H138="",I138="",J138=""),"每日数据不完整",IF(COUNTIFS($A$2:$A$501,"每日跟踪",$B$2:$B$501,B138,$H$2:$H$501,H138)&gt;1,"同一交易日期重复",IF(AND(R138&lt;&gt;"",R138&lt;S138),"人工止损无效：不能下调","跟踪有效"))),"记录类型无效")))</f>
        <v/>
      </c>
    </row>
    <row r="139">
      <c r="A139" s="28" t="n"/>
      <c r="B139" s="28" t="n"/>
      <c r="C139" s="31">
        <f>IF(B139="","",IFERROR(LOOKUP(2,1/(单次交易!$A$2:$A$201=B139),单次交易!$B$2:$B$201),""))</f>
        <v/>
      </c>
      <c r="D139" s="27" t="n"/>
      <c r="E139" s="43" t="n"/>
      <c r="F139" s="43" t="n"/>
      <c r="G139" s="28" t="n"/>
      <c r="H139" s="49" t="n"/>
      <c r="I139" s="43" t="n"/>
      <c r="J139" s="27" t="n"/>
      <c r="K139" s="28" t="n"/>
      <c r="L139" s="28" t="n"/>
      <c r="M139" s="28" t="n"/>
      <c r="N139" s="44">
        <f>IF(B139="","",IFERROR(LOOKUP(2,1/(单次交易!$A$2:$A$201=B139),单次交易!$N$2:$N$201),""))</f>
        <v/>
      </c>
      <c r="O139" s="44">
        <f>IF(A139&lt;&gt;"每日跟踪","",IF(OR(B139="",H139="",I139=""),"",IFERROR(AGGREGATE(14,6,$I$2:$I$501/(($A$2:$A$501="每日跟踪")*($B$2:$B$501=B139)*($H$2:$H$501&lt;=H139)),1),"")))</f>
        <v/>
      </c>
      <c r="P139" s="26">
        <f>IF(A139&lt;&gt;"每日跟踪","",IF(O139="","",IFERROR(AGGREGATE(14,6,$D$2:$D$501/(($A$2:$A$501="止损计划")*($B$2:$B$501=B139)*($E$2:$E$501&lt;=O139)),1),0)))</f>
        <v/>
      </c>
      <c r="Q139" s="44">
        <f>IF(A139&lt;&gt;"每日跟踪","",IF(N139="","",MAX(N139,IFERROR(AGGREGATE(14,6,$F$2:$F$501/(($A$2:$A$501="止损计划")*($B$2:$B$501=B139)*($E$2:$E$501&lt;=O139)),1),0))))</f>
        <v/>
      </c>
      <c r="R139" s="43" t="n"/>
      <c r="S139" s="44">
        <f>IF(A139&lt;&gt;"每日跟踪","",IF(Q139="","",MAX(Q139,IFERROR(AGGREGATE(14,6,$R$2:$R$501/(($A$2:$A$501="每日跟踪")*($B$2:$B$501=B139)*($H$2:$H$501&lt;=H139)),1),0))))</f>
        <v/>
      </c>
      <c r="T139" s="44">
        <f>IF(A139&lt;&gt;"每日跟踪","",IF(O139="","",IF(COUNTIFS($A$2:$A$501,"止损计划",$B$2:$B$501,B139,$E$2:$E$501,"&gt;"&amp;O139)=0,"",AGGREGATE(15,6,$E$2:$E$501/(($A$2:$A$501="止损计划")*($B$2:$B$501=B139)*($E$2:$E$501&gt;O139)),1))))</f>
        <v/>
      </c>
      <c r="U139" s="44">
        <f>IF(OR(A139&lt;&gt;"每日跟踪",T139=""),"",IFERROR(AGGREGATE(14,6,$F$2:$F$501/(($A$2:$A$501="止损计划")*($B$2:$B$501=B139)*($E$2:$E$501=T139)),1),""))</f>
        <v/>
      </c>
      <c r="V139" s="30">
        <f>IF(OR(A139&lt;&gt;"每日跟踪",T139="",I139="",I139&lt;=0),"",T139/I139-1)</f>
        <v/>
      </c>
      <c r="W139" s="31">
        <f>IF(A139&lt;&gt;"每日跟踪","",IF(OR(I139="",S139=""),"",IF(I139&lt;=S139,"触发止损：应全部卖出","继续观察")))</f>
        <v/>
      </c>
      <c r="X139" s="28" t="n"/>
      <c r="Y139" s="43" t="n"/>
      <c r="Z139" s="26">
        <f>IF(X139&lt;&gt;"执行卖出","",IFERROR(LOOKUP(2,1/(单次交易!$A$2:$A$201=B139),单次交易!$AP$2:$AP$201),""))</f>
        <v/>
      </c>
      <c r="AA139" s="43" t="n"/>
      <c r="AB139" s="31">
        <f>IF(A139&lt;&gt;"每日跟踪","",IF(OR(B139="",H139="",I139="",J139="",K139="",L139="",M139=""),"待补充每日记录",IF(W139="触发止损：应全部卖出",IF(X139&lt;&gt;"执行卖出","违规：触发止损但未执行",IF(Y139="","待补充实际卖出价","卖出记录完整")),IF(X139="","待选择卖出动作",IF(X139="执行卖出",IF(Y139="","待补充实际卖出价","卖出记录完整"),"正常")))))</f>
        <v/>
      </c>
      <c r="AC139" s="31">
        <f>IF(A139="","",IF(A139="止损计划",IF(OR(B139="",D139="",E139="",F139="",G139=""),"计划不完整",IF(OR(D139&lt;1,D139&lt;&gt;INT(D139)),"阶段序号无效",IF(COUNTIFS($A$2:$A$501,"止损计划",$B$2:$B$501,B139,$D$2:$D$501,D139)&gt;1,"阶段序号重复",IF(E139&lt;=IFERROR(LOOKUP(2,1/('单次交易'!$A$2:$A$201=B139),'单次交易'!$E$2:$E$201),0),"激活价须高于买入价",IF(F139&lt;N139,"止损价不得低于初始止损",IF(F139&gt;E139,"止损价不得高于激活价",IF(AND(COUNTIFS($A$2:$A$501,"止损计划",$B$2:$B$501,B139,$D$2:$D$501,"&lt;"&amp;D139)&gt;0,OR(E139&lt;=AGGREGATE(14,6,$E$2:$E$501/(($A$2:$A$501="止损计划")*($B$2:$B$501=B139)*($D$2:$D$501&lt;D139)),1),F139&lt;AGGREGATE(14,6,$F$2:$F$501/(($A$2:$A$501="止损计划")*($B$2:$B$501=B139)*($D$2:$D$501&lt;D139)),1))),"阶段价格必须逐级提高","计划有效"))))))),IF(A139="每日跟踪",IF(OR(B139="",H139="",I139="",J139=""),"每日数据不完整",IF(COUNTIFS($A$2:$A$501,"每日跟踪",$B$2:$B$501,B139,$H$2:$H$501,H139)&gt;1,"同一交易日期重复",IF(AND(R139&lt;&gt;"",R139&lt;S139),"人工止损无效：不能下调","跟踪有效"))),"记录类型无效")))</f>
        <v/>
      </c>
    </row>
    <row r="140">
      <c r="A140" s="28" t="n"/>
      <c r="B140" s="28" t="n"/>
      <c r="C140" s="31">
        <f>IF(B140="","",IFERROR(LOOKUP(2,1/(单次交易!$A$2:$A$201=B140),单次交易!$B$2:$B$201),""))</f>
        <v/>
      </c>
      <c r="D140" s="27" t="n"/>
      <c r="E140" s="43" t="n"/>
      <c r="F140" s="43" t="n"/>
      <c r="G140" s="28" t="n"/>
      <c r="H140" s="49" t="n"/>
      <c r="I140" s="43" t="n"/>
      <c r="J140" s="27" t="n"/>
      <c r="K140" s="28" t="n"/>
      <c r="L140" s="28" t="n"/>
      <c r="M140" s="28" t="n"/>
      <c r="N140" s="44">
        <f>IF(B140="","",IFERROR(LOOKUP(2,1/(单次交易!$A$2:$A$201=B140),单次交易!$N$2:$N$201),""))</f>
        <v/>
      </c>
      <c r="O140" s="44">
        <f>IF(A140&lt;&gt;"每日跟踪","",IF(OR(B140="",H140="",I140=""),"",IFERROR(AGGREGATE(14,6,$I$2:$I$501/(($A$2:$A$501="每日跟踪")*($B$2:$B$501=B140)*($H$2:$H$501&lt;=H140)),1),"")))</f>
        <v/>
      </c>
      <c r="P140" s="26">
        <f>IF(A140&lt;&gt;"每日跟踪","",IF(O140="","",IFERROR(AGGREGATE(14,6,$D$2:$D$501/(($A$2:$A$501="止损计划")*($B$2:$B$501=B140)*($E$2:$E$501&lt;=O140)),1),0)))</f>
        <v/>
      </c>
      <c r="Q140" s="44">
        <f>IF(A140&lt;&gt;"每日跟踪","",IF(N140="","",MAX(N140,IFERROR(AGGREGATE(14,6,$F$2:$F$501/(($A$2:$A$501="止损计划")*($B$2:$B$501=B140)*($E$2:$E$501&lt;=O140)),1),0))))</f>
        <v/>
      </c>
      <c r="R140" s="43" t="n"/>
      <c r="S140" s="44">
        <f>IF(A140&lt;&gt;"每日跟踪","",IF(Q140="","",MAX(Q140,IFERROR(AGGREGATE(14,6,$R$2:$R$501/(($A$2:$A$501="每日跟踪")*($B$2:$B$501=B140)*($H$2:$H$501&lt;=H140)),1),0))))</f>
        <v/>
      </c>
      <c r="T140" s="44">
        <f>IF(A140&lt;&gt;"每日跟踪","",IF(O140="","",IF(COUNTIFS($A$2:$A$501,"止损计划",$B$2:$B$501,B140,$E$2:$E$501,"&gt;"&amp;O140)=0,"",AGGREGATE(15,6,$E$2:$E$501/(($A$2:$A$501="止损计划")*($B$2:$B$501=B140)*($E$2:$E$501&gt;O140)),1))))</f>
        <v/>
      </c>
      <c r="U140" s="44">
        <f>IF(OR(A140&lt;&gt;"每日跟踪",T140=""),"",IFERROR(AGGREGATE(14,6,$F$2:$F$501/(($A$2:$A$501="止损计划")*($B$2:$B$501=B140)*($E$2:$E$501=T140)),1),""))</f>
        <v/>
      </c>
      <c r="V140" s="30">
        <f>IF(OR(A140&lt;&gt;"每日跟踪",T140="",I140="",I140&lt;=0),"",T140/I140-1)</f>
        <v/>
      </c>
      <c r="W140" s="31">
        <f>IF(A140&lt;&gt;"每日跟踪","",IF(OR(I140="",S140=""),"",IF(I140&lt;=S140,"触发止损：应全部卖出","继续观察")))</f>
        <v/>
      </c>
      <c r="X140" s="28" t="n"/>
      <c r="Y140" s="43" t="n"/>
      <c r="Z140" s="26">
        <f>IF(X140&lt;&gt;"执行卖出","",IFERROR(LOOKUP(2,1/(单次交易!$A$2:$A$201=B140),单次交易!$AP$2:$AP$201),""))</f>
        <v/>
      </c>
      <c r="AA140" s="43" t="n"/>
      <c r="AB140" s="31">
        <f>IF(A140&lt;&gt;"每日跟踪","",IF(OR(B140="",H140="",I140="",J140="",K140="",L140="",M140=""),"待补充每日记录",IF(W140="触发止损：应全部卖出",IF(X140&lt;&gt;"执行卖出","违规：触发止损但未执行",IF(Y140="","待补充实际卖出价","卖出记录完整")),IF(X140="","待选择卖出动作",IF(X140="执行卖出",IF(Y140="","待补充实际卖出价","卖出记录完整"),"正常")))))</f>
        <v/>
      </c>
      <c r="AC140" s="31">
        <f>IF(A140="","",IF(A140="止损计划",IF(OR(B140="",D140="",E140="",F140="",G140=""),"计划不完整",IF(OR(D140&lt;1,D140&lt;&gt;INT(D140)),"阶段序号无效",IF(COUNTIFS($A$2:$A$501,"止损计划",$B$2:$B$501,B140,$D$2:$D$501,D140)&gt;1,"阶段序号重复",IF(E140&lt;=IFERROR(LOOKUP(2,1/('单次交易'!$A$2:$A$201=B140),'单次交易'!$E$2:$E$201),0),"激活价须高于买入价",IF(F140&lt;N140,"止损价不得低于初始止损",IF(F140&gt;E140,"止损价不得高于激活价",IF(AND(COUNTIFS($A$2:$A$501,"止损计划",$B$2:$B$501,B140,$D$2:$D$501,"&lt;"&amp;D140)&gt;0,OR(E140&lt;=AGGREGATE(14,6,$E$2:$E$501/(($A$2:$A$501="止损计划")*($B$2:$B$501=B140)*($D$2:$D$501&lt;D140)),1),F140&lt;AGGREGATE(14,6,$F$2:$F$501/(($A$2:$A$501="止损计划")*($B$2:$B$501=B140)*($D$2:$D$501&lt;D140)),1))),"阶段价格必须逐级提高","计划有效"))))))),IF(A140="每日跟踪",IF(OR(B140="",H140="",I140="",J140=""),"每日数据不完整",IF(COUNTIFS($A$2:$A$501,"每日跟踪",$B$2:$B$501,B140,$H$2:$H$501,H140)&gt;1,"同一交易日期重复",IF(AND(R140&lt;&gt;"",R140&lt;S140),"人工止损无效：不能下调","跟踪有效"))),"记录类型无效")))</f>
        <v/>
      </c>
    </row>
    <row r="141">
      <c r="A141" s="28" t="n"/>
      <c r="B141" s="28" t="n"/>
      <c r="C141" s="31">
        <f>IF(B141="","",IFERROR(LOOKUP(2,1/(单次交易!$A$2:$A$201=B141),单次交易!$B$2:$B$201),""))</f>
        <v/>
      </c>
      <c r="D141" s="27" t="n"/>
      <c r="E141" s="43" t="n"/>
      <c r="F141" s="43" t="n"/>
      <c r="G141" s="28" t="n"/>
      <c r="H141" s="49" t="n"/>
      <c r="I141" s="43" t="n"/>
      <c r="J141" s="27" t="n"/>
      <c r="K141" s="28" t="n"/>
      <c r="L141" s="28" t="n"/>
      <c r="M141" s="28" t="n"/>
      <c r="N141" s="44">
        <f>IF(B141="","",IFERROR(LOOKUP(2,1/(单次交易!$A$2:$A$201=B141),单次交易!$N$2:$N$201),""))</f>
        <v/>
      </c>
      <c r="O141" s="44">
        <f>IF(A141&lt;&gt;"每日跟踪","",IF(OR(B141="",H141="",I141=""),"",IFERROR(AGGREGATE(14,6,$I$2:$I$501/(($A$2:$A$501="每日跟踪")*($B$2:$B$501=B141)*($H$2:$H$501&lt;=H141)),1),"")))</f>
        <v/>
      </c>
      <c r="P141" s="26">
        <f>IF(A141&lt;&gt;"每日跟踪","",IF(O141="","",IFERROR(AGGREGATE(14,6,$D$2:$D$501/(($A$2:$A$501="止损计划")*($B$2:$B$501=B141)*($E$2:$E$501&lt;=O141)),1),0)))</f>
        <v/>
      </c>
      <c r="Q141" s="44">
        <f>IF(A141&lt;&gt;"每日跟踪","",IF(N141="","",MAX(N141,IFERROR(AGGREGATE(14,6,$F$2:$F$501/(($A$2:$A$501="止损计划")*($B$2:$B$501=B141)*($E$2:$E$501&lt;=O141)),1),0))))</f>
        <v/>
      </c>
      <c r="R141" s="43" t="n"/>
      <c r="S141" s="44">
        <f>IF(A141&lt;&gt;"每日跟踪","",IF(Q141="","",MAX(Q141,IFERROR(AGGREGATE(14,6,$R$2:$R$501/(($A$2:$A$501="每日跟踪")*($B$2:$B$501=B141)*($H$2:$H$501&lt;=H141)),1),0))))</f>
        <v/>
      </c>
      <c r="T141" s="44">
        <f>IF(A141&lt;&gt;"每日跟踪","",IF(O141="","",IF(COUNTIFS($A$2:$A$501,"止损计划",$B$2:$B$501,B141,$E$2:$E$501,"&gt;"&amp;O141)=0,"",AGGREGATE(15,6,$E$2:$E$501/(($A$2:$A$501="止损计划")*($B$2:$B$501=B141)*($E$2:$E$501&gt;O141)),1))))</f>
        <v/>
      </c>
      <c r="U141" s="44">
        <f>IF(OR(A141&lt;&gt;"每日跟踪",T141=""),"",IFERROR(AGGREGATE(14,6,$F$2:$F$501/(($A$2:$A$501="止损计划")*($B$2:$B$501=B141)*($E$2:$E$501=T141)),1),""))</f>
        <v/>
      </c>
      <c r="V141" s="30">
        <f>IF(OR(A141&lt;&gt;"每日跟踪",T141="",I141="",I141&lt;=0),"",T141/I141-1)</f>
        <v/>
      </c>
      <c r="W141" s="31">
        <f>IF(A141&lt;&gt;"每日跟踪","",IF(OR(I141="",S141=""),"",IF(I141&lt;=S141,"触发止损：应全部卖出","继续观察")))</f>
        <v/>
      </c>
      <c r="X141" s="28" t="n"/>
      <c r="Y141" s="43" t="n"/>
      <c r="Z141" s="26">
        <f>IF(X141&lt;&gt;"执行卖出","",IFERROR(LOOKUP(2,1/(单次交易!$A$2:$A$201=B141),单次交易!$AP$2:$AP$201),""))</f>
        <v/>
      </c>
      <c r="AA141" s="43" t="n"/>
      <c r="AB141" s="31">
        <f>IF(A141&lt;&gt;"每日跟踪","",IF(OR(B141="",H141="",I141="",J141="",K141="",L141="",M141=""),"待补充每日记录",IF(W141="触发止损：应全部卖出",IF(X141&lt;&gt;"执行卖出","违规：触发止损但未执行",IF(Y141="","待补充实际卖出价","卖出记录完整")),IF(X141="","待选择卖出动作",IF(X141="执行卖出",IF(Y141="","待补充实际卖出价","卖出记录完整"),"正常")))))</f>
        <v/>
      </c>
      <c r="AC141" s="31">
        <f>IF(A141="","",IF(A141="止损计划",IF(OR(B141="",D141="",E141="",F141="",G141=""),"计划不完整",IF(OR(D141&lt;1,D141&lt;&gt;INT(D141)),"阶段序号无效",IF(COUNTIFS($A$2:$A$501,"止损计划",$B$2:$B$501,B141,$D$2:$D$501,D141)&gt;1,"阶段序号重复",IF(E141&lt;=IFERROR(LOOKUP(2,1/('单次交易'!$A$2:$A$201=B141),'单次交易'!$E$2:$E$201),0),"激活价须高于买入价",IF(F141&lt;N141,"止损价不得低于初始止损",IF(F141&gt;E141,"止损价不得高于激活价",IF(AND(COUNTIFS($A$2:$A$501,"止损计划",$B$2:$B$501,B141,$D$2:$D$501,"&lt;"&amp;D141)&gt;0,OR(E141&lt;=AGGREGATE(14,6,$E$2:$E$501/(($A$2:$A$501="止损计划")*($B$2:$B$501=B141)*($D$2:$D$501&lt;D141)),1),F141&lt;AGGREGATE(14,6,$F$2:$F$501/(($A$2:$A$501="止损计划")*($B$2:$B$501=B141)*($D$2:$D$501&lt;D141)),1))),"阶段价格必须逐级提高","计划有效"))))))),IF(A141="每日跟踪",IF(OR(B141="",H141="",I141="",J141=""),"每日数据不完整",IF(COUNTIFS($A$2:$A$501,"每日跟踪",$B$2:$B$501,B141,$H$2:$H$501,H141)&gt;1,"同一交易日期重复",IF(AND(R141&lt;&gt;"",R141&lt;S141),"人工止损无效：不能下调","跟踪有效"))),"记录类型无效")))</f>
        <v/>
      </c>
    </row>
    <row r="142">
      <c r="A142" s="28" t="n"/>
      <c r="B142" s="28" t="n"/>
      <c r="C142" s="31">
        <f>IF(B142="","",IFERROR(LOOKUP(2,1/(单次交易!$A$2:$A$201=B142),单次交易!$B$2:$B$201),""))</f>
        <v/>
      </c>
      <c r="D142" s="27" t="n"/>
      <c r="E142" s="43" t="n"/>
      <c r="F142" s="43" t="n"/>
      <c r="G142" s="28" t="n"/>
      <c r="H142" s="49" t="n"/>
      <c r="I142" s="43" t="n"/>
      <c r="J142" s="27" t="n"/>
      <c r="K142" s="28" t="n"/>
      <c r="L142" s="28" t="n"/>
      <c r="M142" s="28" t="n"/>
      <c r="N142" s="44">
        <f>IF(B142="","",IFERROR(LOOKUP(2,1/(单次交易!$A$2:$A$201=B142),单次交易!$N$2:$N$201),""))</f>
        <v/>
      </c>
      <c r="O142" s="44">
        <f>IF(A142&lt;&gt;"每日跟踪","",IF(OR(B142="",H142="",I142=""),"",IFERROR(AGGREGATE(14,6,$I$2:$I$501/(($A$2:$A$501="每日跟踪")*($B$2:$B$501=B142)*($H$2:$H$501&lt;=H142)),1),"")))</f>
        <v/>
      </c>
      <c r="P142" s="26">
        <f>IF(A142&lt;&gt;"每日跟踪","",IF(O142="","",IFERROR(AGGREGATE(14,6,$D$2:$D$501/(($A$2:$A$501="止损计划")*($B$2:$B$501=B142)*($E$2:$E$501&lt;=O142)),1),0)))</f>
        <v/>
      </c>
      <c r="Q142" s="44">
        <f>IF(A142&lt;&gt;"每日跟踪","",IF(N142="","",MAX(N142,IFERROR(AGGREGATE(14,6,$F$2:$F$501/(($A$2:$A$501="止损计划")*($B$2:$B$501=B142)*($E$2:$E$501&lt;=O142)),1),0))))</f>
        <v/>
      </c>
      <c r="R142" s="43" t="n"/>
      <c r="S142" s="44">
        <f>IF(A142&lt;&gt;"每日跟踪","",IF(Q142="","",MAX(Q142,IFERROR(AGGREGATE(14,6,$R$2:$R$501/(($A$2:$A$501="每日跟踪")*($B$2:$B$501=B142)*($H$2:$H$501&lt;=H142)),1),0))))</f>
        <v/>
      </c>
      <c r="T142" s="44">
        <f>IF(A142&lt;&gt;"每日跟踪","",IF(O142="","",IF(COUNTIFS($A$2:$A$501,"止损计划",$B$2:$B$501,B142,$E$2:$E$501,"&gt;"&amp;O142)=0,"",AGGREGATE(15,6,$E$2:$E$501/(($A$2:$A$501="止损计划")*($B$2:$B$501=B142)*($E$2:$E$501&gt;O142)),1))))</f>
        <v/>
      </c>
      <c r="U142" s="44">
        <f>IF(OR(A142&lt;&gt;"每日跟踪",T142=""),"",IFERROR(AGGREGATE(14,6,$F$2:$F$501/(($A$2:$A$501="止损计划")*($B$2:$B$501=B142)*($E$2:$E$501=T142)),1),""))</f>
        <v/>
      </c>
      <c r="V142" s="30">
        <f>IF(OR(A142&lt;&gt;"每日跟踪",T142="",I142="",I142&lt;=0),"",T142/I142-1)</f>
        <v/>
      </c>
      <c r="W142" s="31">
        <f>IF(A142&lt;&gt;"每日跟踪","",IF(OR(I142="",S142=""),"",IF(I142&lt;=S142,"触发止损：应全部卖出","继续观察")))</f>
        <v/>
      </c>
      <c r="X142" s="28" t="n"/>
      <c r="Y142" s="43" t="n"/>
      <c r="Z142" s="26">
        <f>IF(X142&lt;&gt;"执行卖出","",IFERROR(LOOKUP(2,1/(单次交易!$A$2:$A$201=B142),单次交易!$AP$2:$AP$201),""))</f>
        <v/>
      </c>
      <c r="AA142" s="43" t="n"/>
      <c r="AB142" s="31">
        <f>IF(A142&lt;&gt;"每日跟踪","",IF(OR(B142="",H142="",I142="",J142="",K142="",L142="",M142=""),"待补充每日记录",IF(W142="触发止损：应全部卖出",IF(X142&lt;&gt;"执行卖出","违规：触发止损但未执行",IF(Y142="","待补充实际卖出价","卖出记录完整")),IF(X142="","待选择卖出动作",IF(X142="执行卖出",IF(Y142="","待补充实际卖出价","卖出记录完整"),"正常")))))</f>
        <v/>
      </c>
      <c r="AC142" s="31">
        <f>IF(A142="","",IF(A142="止损计划",IF(OR(B142="",D142="",E142="",F142="",G142=""),"计划不完整",IF(OR(D142&lt;1,D142&lt;&gt;INT(D142)),"阶段序号无效",IF(COUNTIFS($A$2:$A$501,"止损计划",$B$2:$B$501,B142,$D$2:$D$501,D142)&gt;1,"阶段序号重复",IF(E142&lt;=IFERROR(LOOKUP(2,1/('单次交易'!$A$2:$A$201=B142),'单次交易'!$E$2:$E$201),0),"激活价须高于买入价",IF(F142&lt;N142,"止损价不得低于初始止损",IF(F142&gt;E142,"止损价不得高于激活价",IF(AND(COUNTIFS($A$2:$A$501,"止损计划",$B$2:$B$501,B142,$D$2:$D$501,"&lt;"&amp;D142)&gt;0,OR(E142&lt;=AGGREGATE(14,6,$E$2:$E$501/(($A$2:$A$501="止损计划")*($B$2:$B$501=B142)*($D$2:$D$501&lt;D142)),1),F142&lt;AGGREGATE(14,6,$F$2:$F$501/(($A$2:$A$501="止损计划")*($B$2:$B$501=B142)*($D$2:$D$501&lt;D142)),1))),"阶段价格必须逐级提高","计划有效"))))))),IF(A142="每日跟踪",IF(OR(B142="",H142="",I142="",J142=""),"每日数据不完整",IF(COUNTIFS($A$2:$A$501,"每日跟踪",$B$2:$B$501,B142,$H$2:$H$501,H142)&gt;1,"同一交易日期重复",IF(AND(R142&lt;&gt;"",R142&lt;S142),"人工止损无效：不能下调","跟踪有效"))),"记录类型无效")))</f>
        <v/>
      </c>
    </row>
    <row r="143">
      <c r="A143" s="28" t="n"/>
      <c r="B143" s="28" t="n"/>
      <c r="C143" s="31">
        <f>IF(B143="","",IFERROR(LOOKUP(2,1/(单次交易!$A$2:$A$201=B143),单次交易!$B$2:$B$201),""))</f>
        <v/>
      </c>
      <c r="D143" s="27" t="n"/>
      <c r="E143" s="43" t="n"/>
      <c r="F143" s="43" t="n"/>
      <c r="G143" s="28" t="n"/>
      <c r="H143" s="49" t="n"/>
      <c r="I143" s="43" t="n"/>
      <c r="J143" s="27" t="n"/>
      <c r="K143" s="28" t="n"/>
      <c r="L143" s="28" t="n"/>
      <c r="M143" s="28" t="n"/>
      <c r="N143" s="44">
        <f>IF(B143="","",IFERROR(LOOKUP(2,1/(单次交易!$A$2:$A$201=B143),单次交易!$N$2:$N$201),""))</f>
        <v/>
      </c>
      <c r="O143" s="44">
        <f>IF(A143&lt;&gt;"每日跟踪","",IF(OR(B143="",H143="",I143=""),"",IFERROR(AGGREGATE(14,6,$I$2:$I$501/(($A$2:$A$501="每日跟踪")*($B$2:$B$501=B143)*($H$2:$H$501&lt;=H143)),1),"")))</f>
        <v/>
      </c>
      <c r="P143" s="26">
        <f>IF(A143&lt;&gt;"每日跟踪","",IF(O143="","",IFERROR(AGGREGATE(14,6,$D$2:$D$501/(($A$2:$A$501="止损计划")*($B$2:$B$501=B143)*($E$2:$E$501&lt;=O143)),1),0)))</f>
        <v/>
      </c>
      <c r="Q143" s="44">
        <f>IF(A143&lt;&gt;"每日跟踪","",IF(N143="","",MAX(N143,IFERROR(AGGREGATE(14,6,$F$2:$F$501/(($A$2:$A$501="止损计划")*($B$2:$B$501=B143)*($E$2:$E$501&lt;=O143)),1),0))))</f>
        <v/>
      </c>
      <c r="R143" s="43" t="n"/>
      <c r="S143" s="44">
        <f>IF(A143&lt;&gt;"每日跟踪","",IF(Q143="","",MAX(Q143,IFERROR(AGGREGATE(14,6,$R$2:$R$501/(($A$2:$A$501="每日跟踪")*($B$2:$B$501=B143)*($H$2:$H$501&lt;=H143)),1),0))))</f>
        <v/>
      </c>
      <c r="T143" s="44">
        <f>IF(A143&lt;&gt;"每日跟踪","",IF(O143="","",IF(COUNTIFS($A$2:$A$501,"止损计划",$B$2:$B$501,B143,$E$2:$E$501,"&gt;"&amp;O143)=0,"",AGGREGATE(15,6,$E$2:$E$501/(($A$2:$A$501="止损计划")*($B$2:$B$501=B143)*($E$2:$E$501&gt;O143)),1))))</f>
        <v/>
      </c>
      <c r="U143" s="44">
        <f>IF(OR(A143&lt;&gt;"每日跟踪",T143=""),"",IFERROR(AGGREGATE(14,6,$F$2:$F$501/(($A$2:$A$501="止损计划")*($B$2:$B$501=B143)*($E$2:$E$501=T143)),1),""))</f>
        <v/>
      </c>
      <c r="V143" s="30">
        <f>IF(OR(A143&lt;&gt;"每日跟踪",T143="",I143="",I143&lt;=0),"",T143/I143-1)</f>
        <v/>
      </c>
      <c r="W143" s="31">
        <f>IF(A143&lt;&gt;"每日跟踪","",IF(OR(I143="",S143=""),"",IF(I143&lt;=S143,"触发止损：应全部卖出","继续观察")))</f>
        <v/>
      </c>
      <c r="X143" s="28" t="n"/>
      <c r="Y143" s="43" t="n"/>
      <c r="Z143" s="26">
        <f>IF(X143&lt;&gt;"执行卖出","",IFERROR(LOOKUP(2,1/(单次交易!$A$2:$A$201=B143),单次交易!$AP$2:$AP$201),""))</f>
        <v/>
      </c>
      <c r="AA143" s="43" t="n"/>
      <c r="AB143" s="31">
        <f>IF(A143&lt;&gt;"每日跟踪","",IF(OR(B143="",H143="",I143="",J143="",K143="",L143="",M143=""),"待补充每日记录",IF(W143="触发止损：应全部卖出",IF(X143&lt;&gt;"执行卖出","违规：触发止损但未执行",IF(Y143="","待补充实际卖出价","卖出记录完整")),IF(X143="","待选择卖出动作",IF(X143="执行卖出",IF(Y143="","待补充实际卖出价","卖出记录完整"),"正常")))))</f>
        <v/>
      </c>
      <c r="AC143" s="31">
        <f>IF(A143="","",IF(A143="止损计划",IF(OR(B143="",D143="",E143="",F143="",G143=""),"计划不完整",IF(OR(D143&lt;1,D143&lt;&gt;INT(D143)),"阶段序号无效",IF(COUNTIFS($A$2:$A$501,"止损计划",$B$2:$B$501,B143,$D$2:$D$501,D143)&gt;1,"阶段序号重复",IF(E143&lt;=IFERROR(LOOKUP(2,1/('单次交易'!$A$2:$A$201=B143),'单次交易'!$E$2:$E$201),0),"激活价须高于买入价",IF(F143&lt;N143,"止损价不得低于初始止损",IF(F143&gt;E143,"止损价不得高于激活价",IF(AND(COUNTIFS($A$2:$A$501,"止损计划",$B$2:$B$501,B143,$D$2:$D$501,"&lt;"&amp;D143)&gt;0,OR(E143&lt;=AGGREGATE(14,6,$E$2:$E$501/(($A$2:$A$501="止损计划")*($B$2:$B$501=B143)*($D$2:$D$501&lt;D143)),1),F143&lt;AGGREGATE(14,6,$F$2:$F$501/(($A$2:$A$501="止损计划")*($B$2:$B$501=B143)*($D$2:$D$501&lt;D143)),1))),"阶段价格必须逐级提高","计划有效"))))))),IF(A143="每日跟踪",IF(OR(B143="",H143="",I143="",J143=""),"每日数据不完整",IF(COUNTIFS($A$2:$A$501,"每日跟踪",$B$2:$B$501,B143,$H$2:$H$501,H143)&gt;1,"同一交易日期重复",IF(AND(R143&lt;&gt;"",R143&lt;S143),"人工止损无效：不能下调","跟踪有效"))),"记录类型无效")))</f>
        <v/>
      </c>
    </row>
    <row r="144">
      <c r="A144" s="28" t="n"/>
      <c r="B144" s="28" t="n"/>
      <c r="C144" s="31">
        <f>IF(B144="","",IFERROR(LOOKUP(2,1/(单次交易!$A$2:$A$201=B144),单次交易!$B$2:$B$201),""))</f>
        <v/>
      </c>
      <c r="D144" s="27" t="n"/>
      <c r="E144" s="43" t="n"/>
      <c r="F144" s="43" t="n"/>
      <c r="G144" s="28" t="n"/>
      <c r="H144" s="49" t="n"/>
      <c r="I144" s="43" t="n"/>
      <c r="J144" s="27" t="n"/>
      <c r="K144" s="28" t="n"/>
      <c r="L144" s="28" t="n"/>
      <c r="M144" s="28" t="n"/>
      <c r="N144" s="44">
        <f>IF(B144="","",IFERROR(LOOKUP(2,1/(单次交易!$A$2:$A$201=B144),单次交易!$N$2:$N$201),""))</f>
        <v/>
      </c>
      <c r="O144" s="44">
        <f>IF(A144&lt;&gt;"每日跟踪","",IF(OR(B144="",H144="",I144=""),"",IFERROR(AGGREGATE(14,6,$I$2:$I$501/(($A$2:$A$501="每日跟踪")*($B$2:$B$501=B144)*($H$2:$H$501&lt;=H144)),1),"")))</f>
        <v/>
      </c>
      <c r="P144" s="26">
        <f>IF(A144&lt;&gt;"每日跟踪","",IF(O144="","",IFERROR(AGGREGATE(14,6,$D$2:$D$501/(($A$2:$A$501="止损计划")*($B$2:$B$501=B144)*($E$2:$E$501&lt;=O144)),1),0)))</f>
        <v/>
      </c>
      <c r="Q144" s="44">
        <f>IF(A144&lt;&gt;"每日跟踪","",IF(N144="","",MAX(N144,IFERROR(AGGREGATE(14,6,$F$2:$F$501/(($A$2:$A$501="止损计划")*($B$2:$B$501=B144)*($E$2:$E$501&lt;=O144)),1),0))))</f>
        <v/>
      </c>
      <c r="R144" s="43" t="n"/>
      <c r="S144" s="44">
        <f>IF(A144&lt;&gt;"每日跟踪","",IF(Q144="","",MAX(Q144,IFERROR(AGGREGATE(14,6,$R$2:$R$501/(($A$2:$A$501="每日跟踪")*($B$2:$B$501=B144)*($H$2:$H$501&lt;=H144)),1),0))))</f>
        <v/>
      </c>
      <c r="T144" s="44">
        <f>IF(A144&lt;&gt;"每日跟踪","",IF(O144="","",IF(COUNTIFS($A$2:$A$501,"止损计划",$B$2:$B$501,B144,$E$2:$E$501,"&gt;"&amp;O144)=0,"",AGGREGATE(15,6,$E$2:$E$501/(($A$2:$A$501="止损计划")*($B$2:$B$501=B144)*($E$2:$E$501&gt;O144)),1))))</f>
        <v/>
      </c>
      <c r="U144" s="44">
        <f>IF(OR(A144&lt;&gt;"每日跟踪",T144=""),"",IFERROR(AGGREGATE(14,6,$F$2:$F$501/(($A$2:$A$501="止损计划")*($B$2:$B$501=B144)*($E$2:$E$501=T144)),1),""))</f>
        <v/>
      </c>
      <c r="V144" s="30">
        <f>IF(OR(A144&lt;&gt;"每日跟踪",T144="",I144="",I144&lt;=0),"",T144/I144-1)</f>
        <v/>
      </c>
      <c r="W144" s="31">
        <f>IF(A144&lt;&gt;"每日跟踪","",IF(OR(I144="",S144=""),"",IF(I144&lt;=S144,"触发止损：应全部卖出","继续观察")))</f>
        <v/>
      </c>
      <c r="X144" s="28" t="n"/>
      <c r="Y144" s="43" t="n"/>
      <c r="Z144" s="26">
        <f>IF(X144&lt;&gt;"执行卖出","",IFERROR(LOOKUP(2,1/(单次交易!$A$2:$A$201=B144),单次交易!$AP$2:$AP$201),""))</f>
        <v/>
      </c>
      <c r="AA144" s="43" t="n"/>
      <c r="AB144" s="31">
        <f>IF(A144&lt;&gt;"每日跟踪","",IF(OR(B144="",H144="",I144="",J144="",K144="",L144="",M144=""),"待补充每日记录",IF(W144="触发止损：应全部卖出",IF(X144&lt;&gt;"执行卖出","违规：触发止损但未执行",IF(Y144="","待补充实际卖出价","卖出记录完整")),IF(X144="","待选择卖出动作",IF(X144="执行卖出",IF(Y144="","待补充实际卖出价","卖出记录完整"),"正常")))))</f>
        <v/>
      </c>
      <c r="AC144" s="31">
        <f>IF(A144="","",IF(A144="止损计划",IF(OR(B144="",D144="",E144="",F144="",G144=""),"计划不完整",IF(OR(D144&lt;1,D144&lt;&gt;INT(D144)),"阶段序号无效",IF(COUNTIFS($A$2:$A$501,"止损计划",$B$2:$B$501,B144,$D$2:$D$501,D144)&gt;1,"阶段序号重复",IF(E144&lt;=IFERROR(LOOKUP(2,1/('单次交易'!$A$2:$A$201=B144),'单次交易'!$E$2:$E$201),0),"激活价须高于买入价",IF(F144&lt;N144,"止损价不得低于初始止损",IF(F144&gt;E144,"止损价不得高于激活价",IF(AND(COUNTIFS($A$2:$A$501,"止损计划",$B$2:$B$501,B144,$D$2:$D$501,"&lt;"&amp;D144)&gt;0,OR(E144&lt;=AGGREGATE(14,6,$E$2:$E$501/(($A$2:$A$501="止损计划")*($B$2:$B$501=B144)*($D$2:$D$501&lt;D144)),1),F144&lt;AGGREGATE(14,6,$F$2:$F$501/(($A$2:$A$501="止损计划")*($B$2:$B$501=B144)*($D$2:$D$501&lt;D144)),1))),"阶段价格必须逐级提高","计划有效"))))))),IF(A144="每日跟踪",IF(OR(B144="",H144="",I144="",J144=""),"每日数据不完整",IF(COUNTIFS($A$2:$A$501,"每日跟踪",$B$2:$B$501,B144,$H$2:$H$501,H144)&gt;1,"同一交易日期重复",IF(AND(R144&lt;&gt;"",R144&lt;S144),"人工止损无效：不能下调","跟踪有效"))),"记录类型无效")))</f>
        <v/>
      </c>
    </row>
    <row r="145">
      <c r="A145" s="28" t="n"/>
      <c r="B145" s="28" t="n"/>
      <c r="C145" s="31">
        <f>IF(B145="","",IFERROR(LOOKUP(2,1/(单次交易!$A$2:$A$201=B145),单次交易!$B$2:$B$201),""))</f>
        <v/>
      </c>
      <c r="D145" s="27" t="n"/>
      <c r="E145" s="43" t="n"/>
      <c r="F145" s="43" t="n"/>
      <c r="G145" s="28" t="n"/>
      <c r="H145" s="49" t="n"/>
      <c r="I145" s="43" t="n"/>
      <c r="J145" s="27" t="n"/>
      <c r="K145" s="28" t="n"/>
      <c r="L145" s="28" t="n"/>
      <c r="M145" s="28" t="n"/>
      <c r="N145" s="44">
        <f>IF(B145="","",IFERROR(LOOKUP(2,1/(单次交易!$A$2:$A$201=B145),单次交易!$N$2:$N$201),""))</f>
        <v/>
      </c>
      <c r="O145" s="44">
        <f>IF(A145&lt;&gt;"每日跟踪","",IF(OR(B145="",H145="",I145=""),"",IFERROR(AGGREGATE(14,6,$I$2:$I$501/(($A$2:$A$501="每日跟踪")*($B$2:$B$501=B145)*($H$2:$H$501&lt;=H145)),1),"")))</f>
        <v/>
      </c>
      <c r="P145" s="26">
        <f>IF(A145&lt;&gt;"每日跟踪","",IF(O145="","",IFERROR(AGGREGATE(14,6,$D$2:$D$501/(($A$2:$A$501="止损计划")*($B$2:$B$501=B145)*($E$2:$E$501&lt;=O145)),1),0)))</f>
        <v/>
      </c>
      <c r="Q145" s="44">
        <f>IF(A145&lt;&gt;"每日跟踪","",IF(N145="","",MAX(N145,IFERROR(AGGREGATE(14,6,$F$2:$F$501/(($A$2:$A$501="止损计划")*($B$2:$B$501=B145)*($E$2:$E$501&lt;=O145)),1),0))))</f>
        <v/>
      </c>
      <c r="R145" s="43" t="n"/>
      <c r="S145" s="44">
        <f>IF(A145&lt;&gt;"每日跟踪","",IF(Q145="","",MAX(Q145,IFERROR(AGGREGATE(14,6,$R$2:$R$501/(($A$2:$A$501="每日跟踪")*($B$2:$B$501=B145)*($H$2:$H$501&lt;=H145)),1),0))))</f>
        <v/>
      </c>
      <c r="T145" s="44">
        <f>IF(A145&lt;&gt;"每日跟踪","",IF(O145="","",IF(COUNTIFS($A$2:$A$501,"止损计划",$B$2:$B$501,B145,$E$2:$E$501,"&gt;"&amp;O145)=0,"",AGGREGATE(15,6,$E$2:$E$501/(($A$2:$A$501="止损计划")*($B$2:$B$501=B145)*($E$2:$E$501&gt;O145)),1))))</f>
        <v/>
      </c>
      <c r="U145" s="44">
        <f>IF(OR(A145&lt;&gt;"每日跟踪",T145=""),"",IFERROR(AGGREGATE(14,6,$F$2:$F$501/(($A$2:$A$501="止损计划")*($B$2:$B$501=B145)*($E$2:$E$501=T145)),1),""))</f>
        <v/>
      </c>
      <c r="V145" s="30">
        <f>IF(OR(A145&lt;&gt;"每日跟踪",T145="",I145="",I145&lt;=0),"",T145/I145-1)</f>
        <v/>
      </c>
      <c r="W145" s="31">
        <f>IF(A145&lt;&gt;"每日跟踪","",IF(OR(I145="",S145=""),"",IF(I145&lt;=S145,"触发止损：应全部卖出","继续观察")))</f>
        <v/>
      </c>
      <c r="X145" s="28" t="n"/>
      <c r="Y145" s="43" t="n"/>
      <c r="Z145" s="26">
        <f>IF(X145&lt;&gt;"执行卖出","",IFERROR(LOOKUP(2,1/(单次交易!$A$2:$A$201=B145),单次交易!$AP$2:$AP$201),""))</f>
        <v/>
      </c>
      <c r="AA145" s="43" t="n"/>
      <c r="AB145" s="31">
        <f>IF(A145&lt;&gt;"每日跟踪","",IF(OR(B145="",H145="",I145="",J145="",K145="",L145="",M145=""),"待补充每日记录",IF(W145="触发止损：应全部卖出",IF(X145&lt;&gt;"执行卖出","违规：触发止损但未执行",IF(Y145="","待补充实际卖出价","卖出记录完整")),IF(X145="","待选择卖出动作",IF(X145="执行卖出",IF(Y145="","待补充实际卖出价","卖出记录完整"),"正常")))))</f>
        <v/>
      </c>
      <c r="AC145" s="31">
        <f>IF(A145="","",IF(A145="止损计划",IF(OR(B145="",D145="",E145="",F145="",G145=""),"计划不完整",IF(OR(D145&lt;1,D145&lt;&gt;INT(D145)),"阶段序号无效",IF(COUNTIFS($A$2:$A$501,"止损计划",$B$2:$B$501,B145,$D$2:$D$501,D145)&gt;1,"阶段序号重复",IF(E145&lt;=IFERROR(LOOKUP(2,1/('单次交易'!$A$2:$A$201=B145),'单次交易'!$E$2:$E$201),0),"激活价须高于买入价",IF(F145&lt;N145,"止损价不得低于初始止损",IF(F145&gt;E145,"止损价不得高于激活价",IF(AND(COUNTIFS($A$2:$A$501,"止损计划",$B$2:$B$501,B145,$D$2:$D$501,"&lt;"&amp;D145)&gt;0,OR(E145&lt;=AGGREGATE(14,6,$E$2:$E$501/(($A$2:$A$501="止损计划")*($B$2:$B$501=B145)*($D$2:$D$501&lt;D145)),1),F145&lt;AGGREGATE(14,6,$F$2:$F$501/(($A$2:$A$501="止损计划")*($B$2:$B$501=B145)*($D$2:$D$501&lt;D145)),1))),"阶段价格必须逐级提高","计划有效"))))))),IF(A145="每日跟踪",IF(OR(B145="",H145="",I145="",J145=""),"每日数据不完整",IF(COUNTIFS($A$2:$A$501,"每日跟踪",$B$2:$B$501,B145,$H$2:$H$501,H145)&gt;1,"同一交易日期重复",IF(AND(R145&lt;&gt;"",R145&lt;S145),"人工止损无效：不能下调","跟踪有效"))),"记录类型无效")))</f>
        <v/>
      </c>
    </row>
    <row r="146">
      <c r="A146" s="28" t="n"/>
      <c r="B146" s="28" t="n"/>
      <c r="C146" s="31">
        <f>IF(B146="","",IFERROR(LOOKUP(2,1/(单次交易!$A$2:$A$201=B146),单次交易!$B$2:$B$201),""))</f>
        <v/>
      </c>
      <c r="D146" s="27" t="n"/>
      <c r="E146" s="43" t="n"/>
      <c r="F146" s="43" t="n"/>
      <c r="G146" s="28" t="n"/>
      <c r="H146" s="49" t="n"/>
      <c r="I146" s="43" t="n"/>
      <c r="J146" s="27" t="n"/>
      <c r="K146" s="28" t="n"/>
      <c r="L146" s="28" t="n"/>
      <c r="M146" s="28" t="n"/>
      <c r="N146" s="44">
        <f>IF(B146="","",IFERROR(LOOKUP(2,1/(单次交易!$A$2:$A$201=B146),单次交易!$N$2:$N$201),""))</f>
        <v/>
      </c>
      <c r="O146" s="44">
        <f>IF(A146&lt;&gt;"每日跟踪","",IF(OR(B146="",H146="",I146=""),"",IFERROR(AGGREGATE(14,6,$I$2:$I$501/(($A$2:$A$501="每日跟踪")*($B$2:$B$501=B146)*($H$2:$H$501&lt;=H146)),1),"")))</f>
        <v/>
      </c>
      <c r="P146" s="26">
        <f>IF(A146&lt;&gt;"每日跟踪","",IF(O146="","",IFERROR(AGGREGATE(14,6,$D$2:$D$501/(($A$2:$A$501="止损计划")*($B$2:$B$501=B146)*($E$2:$E$501&lt;=O146)),1),0)))</f>
        <v/>
      </c>
      <c r="Q146" s="44">
        <f>IF(A146&lt;&gt;"每日跟踪","",IF(N146="","",MAX(N146,IFERROR(AGGREGATE(14,6,$F$2:$F$501/(($A$2:$A$501="止损计划")*($B$2:$B$501=B146)*($E$2:$E$501&lt;=O146)),1),0))))</f>
        <v/>
      </c>
      <c r="R146" s="43" t="n"/>
      <c r="S146" s="44">
        <f>IF(A146&lt;&gt;"每日跟踪","",IF(Q146="","",MAX(Q146,IFERROR(AGGREGATE(14,6,$R$2:$R$501/(($A$2:$A$501="每日跟踪")*($B$2:$B$501=B146)*($H$2:$H$501&lt;=H146)),1),0))))</f>
        <v/>
      </c>
      <c r="T146" s="44">
        <f>IF(A146&lt;&gt;"每日跟踪","",IF(O146="","",IF(COUNTIFS($A$2:$A$501,"止损计划",$B$2:$B$501,B146,$E$2:$E$501,"&gt;"&amp;O146)=0,"",AGGREGATE(15,6,$E$2:$E$501/(($A$2:$A$501="止损计划")*($B$2:$B$501=B146)*($E$2:$E$501&gt;O146)),1))))</f>
        <v/>
      </c>
      <c r="U146" s="44">
        <f>IF(OR(A146&lt;&gt;"每日跟踪",T146=""),"",IFERROR(AGGREGATE(14,6,$F$2:$F$501/(($A$2:$A$501="止损计划")*($B$2:$B$501=B146)*($E$2:$E$501=T146)),1),""))</f>
        <v/>
      </c>
      <c r="V146" s="30">
        <f>IF(OR(A146&lt;&gt;"每日跟踪",T146="",I146="",I146&lt;=0),"",T146/I146-1)</f>
        <v/>
      </c>
      <c r="W146" s="31">
        <f>IF(A146&lt;&gt;"每日跟踪","",IF(OR(I146="",S146=""),"",IF(I146&lt;=S146,"触发止损：应全部卖出","继续观察")))</f>
        <v/>
      </c>
      <c r="X146" s="28" t="n"/>
      <c r="Y146" s="43" t="n"/>
      <c r="Z146" s="26">
        <f>IF(X146&lt;&gt;"执行卖出","",IFERROR(LOOKUP(2,1/(单次交易!$A$2:$A$201=B146),单次交易!$AP$2:$AP$201),""))</f>
        <v/>
      </c>
      <c r="AA146" s="43" t="n"/>
      <c r="AB146" s="31">
        <f>IF(A146&lt;&gt;"每日跟踪","",IF(OR(B146="",H146="",I146="",J146="",K146="",L146="",M146=""),"待补充每日记录",IF(W146="触发止损：应全部卖出",IF(X146&lt;&gt;"执行卖出","违规：触发止损但未执行",IF(Y146="","待补充实际卖出价","卖出记录完整")),IF(X146="","待选择卖出动作",IF(X146="执行卖出",IF(Y146="","待补充实际卖出价","卖出记录完整"),"正常")))))</f>
        <v/>
      </c>
      <c r="AC146" s="31">
        <f>IF(A146="","",IF(A146="止损计划",IF(OR(B146="",D146="",E146="",F146="",G146=""),"计划不完整",IF(OR(D146&lt;1,D146&lt;&gt;INT(D146)),"阶段序号无效",IF(COUNTIFS($A$2:$A$501,"止损计划",$B$2:$B$501,B146,$D$2:$D$501,D146)&gt;1,"阶段序号重复",IF(E146&lt;=IFERROR(LOOKUP(2,1/('单次交易'!$A$2:$A$201=B146),'单次交易'!$E$2:$E$201),0),"激活价须高于买入价",IF(F146&lt;N146,"止损价不得低于初始止损",IF(F146&gt;E146,"止损价不得高于激活价",IF(AND(COUNTIFS($A$2:$A$501,"止损计划",$B$2:$B$501,B146,$D$2:$D$501,"&lt;"&amp;D146)&gt;0,OR(E146&lt;=AGGREGATE(14,6,$E$2:$E$501/(($A$2:$A$501="止损计划")*($B$2:$B$501=B146)*($D$2:$D$501&lt;D146)),1),F146&lt;AGGREGATE(14,6,$F$2:$F$501/(($A$2:$A$501="止损计划")*($B$2:$B$501=B146)*($D$2:$D$501&lt;D146)),1))),"阶段价格必须逐级提高","计划有效"))))))),IF(A146="每日跟踪",IF(OR(B146="",H146="",I146="",J146=""),"每日数据不完整",IF(COUNTIFS($A$2:$A$501,"每日跟踪",$B$2:$B$501,B146,$H$2:$H$501,H146)&gt;1,"同一交易日期重复",IF(AND(R146&lt;&gt;"",R146&lt;S146),"人工止损无效：不能下调","跟踪有效"))),"记录类型无效")))</f>
        <v/>
      </c>
    </row>
    <row r="147">
      <c r="A147" s="28" t="n"/>
      <c r="B147" s="28" t="n"/>
      <c r="C147" s="31">
        <f>IF(B147="","",IFERROR(LOOKUP(2,1/(单次交易!$A$2:$A$201=B147),单次交易!$B$2:$B$201),""))</f>
        <v/>
      </c>
      <c r="D147" s="27" t="n"/>
      <c r="E147" s="43" t="n"/>
      <c r="F147" s="43" t="n"/>
      <c r="G147" s="28" t="n"/>
      <c r="H147" s="49" t="n"/>
      <c r="I147" s="43" t="n"/>
      <c r="J147" s="27" t="n"/>
      <c r="K147" s="28" t="n"/>
      <c r="L147" s="28" t="n"/>
      <c r="M147" s="28" t="n"/>
      <c r="N147" s="44">
        <f>IF(B147="","",IFERROR(LOOKUP(2,1/(单次交易!$A$2:$A$201=B147),单次交易!$N$2:$N$201),""))</f>
        <v/>
      </c>
      <c r="O147" s="44">
        <f>IF(A147&lt;&gt;"每日跟踪","",IF(OR(B147="",H147="",I147=""),"",IFERROR(AGGREGATE(14,6,$I$2:$I$501/(($A$2:$A$501="每日跟踪")*($B$2:$B$501=B147)*($H$2:$H$501&lt;=H147)),1),"")))</f>
        <v/>
      </c>
      <c r="P147" s="26">
        <f>IF(A147&lt;&gt;"每日跟踪","",IF(O147="","",IFERROR(AGGREGATE(14,6,$D$2:$D$501/(($A$2:$A$501="止损计划")*($B$2:$B$501=B147)*($E$2:$E$501&lt;=O147)),1),0)))</f>
        <v/>
      </c>
      <c r="Q147" s="44">
        <f>IF(A147&lt;&gt;"每日跟踪","",IF(N147="","",MAX(N147,IFERROR(AGGREGATE(14,6,$F$2:$F$501/(($A$2:$A$501="止损计划")*($B$2:$B$501=B147)*($E$2:$E$501&lt;=O147)),1),0))))</f>
        <v/>
      </c>
      <c r="R147" s="43" t="n"/>
      <c r="S147" s="44">
        <f>IF(A147&lt;&gt;"每日跟踪","",IF(Q147="","",MAX(Q147,IFERROR(AGGREGATE(14,6,$R$2:$R$501/(($A$2:$A$501="每日跟踪")*($B$2:$B$501=B147)*($H$2:$H$501&lt;=H147)),1),0))))</f>
        <v/>
      </c>
      <c r="T147" s="44">
        <f>IF(A147&lt;&gt;"每日跟踪","",IF(O147="","",IF(COUNTIFS($A$2:$A$501,"止损计划",$B$2:$B$501,B147,$E$2:$E$501,"&gt;"&amp;O147)=0,"",AGGREGATE(15,6,$E$2:$E$501/(($A$2:$A$501="止损计划")*($B$2:$B$501=B147)*($E$2:$E$501&gt;O147)),1))))</f>
        <v/>
      </c>
      <c r="U147" s="44">
        <f>IF(OR(A147&lt;&gt;"每日跟踪",T147=""),"",IFERROR(AGGREGATE(14,6,$F$2:$F$501/(($A$2:$A$501="止损计划")*($B$2:$B$501=B147)*($E$2:$E$501=T147)),1),""))</f>
        <v/>
      </c>
      <c r="V147" s="30">
        <f>IF(OR(A147&lt;&gt;"每日跟踪",T147="",I147="",I147&lt;=0),"",T147/I147-1)</f>
        <v/>
      </c>
      <c r="W147" s="31">
        <f>IF(A147&lt;&gt;"每日跟踪","",IF(OR(I147="",S147=""),"",IF(I147&lt;=S147,"触发止损：应全部卖出","继续观察")))</f>
        <v/>
      </c>
      <c r="X147" s="28" t="n"/>
      <c r="Y147" s="43" t="n"/>
      <c r="Z147" s="26">
        <f>IF(X147&lt;&gt;"执行卖出","",IFERROR(LOOKUP(2,1/(单次交易!$A$2:$A$201=B147),单次交易!$AP$2:$AP$201),""))</f>
        <v/>
      </c>
      <c r="AA147" s="43" t="n"/>
      <c r="AB147" s="31">
        <f>IF(A147&lt;&gt;"每日跟踪","",IF(OR(B147="",H147="",I147="",J147="",K147="",L147="",M147=""),"待补充每日记录",IF(W147="触发止损：应全部卖出",IF(X147&lt;&gt;"执行卖出","违规：触发止损但未执行",IF(Y147="","待补充实际卖出价","卖出记录完整")),IF(X147="","待选择卖出动作",IF(X147="执行卖出",IF(Y147="","待补充实际卖出价","卖出记录完整"),"正常")))))</f>
        <v/>
      </c>
      <c r="AC147" s="31">
        <f>IF(A147="","",IF(A147="止损计划",IF(OR(B147="",D147="",E147="",F147="",G147=""),"计划不完整",IF(OR(D147&lt;1,D147&lt;&gt;INT(D147)),"阶段序号无效",IF(COUNTIFS($A$2:$A$501,"止损计划",$B$2:$B$501,B147,$D$2:$D$501,D147)&gt;1,"阶段序号重复",IF(E147&lt;=IFERROR(LOOKUP(2,1/('单次交易'!$A$2:$A$201=B147),'单次交易'!$E$2:$E$201),0),"激活价须高于买入价",IF(F147&lt;N147,"止损价不得低于初始止损",IF(F147&gt;E147,"止损价不得高于激活价",IF(AND(COUNTIFS($A$2:$A$501,"止损计划",$B$2:$B$501,B147,$D$2:$D$501,"&lt;"&amp;D147)&gt;0,OR(E147&lt;=AGGREGATE(14,6,$E$2:$E$501/(($A$2:$A$501="止损计划")*($B$2:$B$501=B147)*($D$2:$D$501&lt;D147)),1),F147&lt;AGGREGATE(14,6,$F$2:$F$501/(($A$2:$A$501="止损计划")*($B$2:$B$501=B147)*($D$2:$D$501&lt;D147)),1))),"阶段价格必须逐级提高","计划有效"))))))),IF(A147="每日跟踪",IF(OR(B147="",H147="",I147="",J147=""),"每日数据不完整",IF(COUNTIFS($A$2:$A$501,"每日跟踪",$B$2:$B$501,B147,$H$2:$H$501,H147)&gt;1,"同一交易日期重复",IF(AND(R147&lt;&gt;"",R147&lt;S147),"人工止损无效：不能下调","跟踪有效"))),"记录类型无效")))</f>
        <v/>
      </c>
    </row>
    <row r="148">
      <c r="A148" s="28" t="n"/>
      <c r="B148" s="28" t="n"/>
      <c r="C148" s="31">
        <f>IF(B148="","",IFERROR(LOOKUP(2,1/(单次交易!$A$2:$A$201=B148),单次交易!$B$2:$B$201),""))</f>
        <v/>
      </c>
      <c r="D148" s="27" t="n"/>
      <c r="E148" s="43" t="n"/>
      <c r="F148" s="43" t="n"/>
      <c r="G148" s="28" t="n"/>
      <c r="H148" s="49" t="n"/>
      <c r="I148" s="43" t="n"/>
      <c r="J148" s="27" t="n"/>
      <c r="K148" s="28" t="n"/>
      <c r="L148" s="28" t="n"/>
      <c r="M148" s="28" t="n"/>
      <c r="N148" s="44">
        <f>IF(B148="","",IFERROR(LOOKUP(2,1/(单次交易!$A$2:$A$201=B148),单次交易!$N$2:$N$201),""))</f>
        <v/>
      </c>
      <c r="O148" s="44">
        <f>IF(A148&lt;&gt;"每日跟踪","",IF(OR(B148="",H148="",I148=""),"",IFERROR(AGGREGATE(14,6,$I$2:$I$501/(($A$2:$A$501="每日跟踪")*($B$2:$B$501=B148)*($H$2:$H$501&lt;=H148)),1),"")))</f>
        <v/>
      </c>
      <c r="P148" s="26">
        <f>IF(A148&lt;&gt;"每日跟踪","",IF(O148="","",IFERROR(AGGREGATE(14,6,$D$2:$D$501/(($A$2:$A$501="止损计划")*($B$2:$B$501=B148)*($E$2:$E$501&lt;=O148)),1),0)))</f>
        <v/>
      </c>
      <c r="Q148" s="44">
        <f>IF(A148&lt;&gt;"每日跟踪","",IF(N148="","",MAX(N148,IFERROR(AGGREGATE(14,6,$F$2:$F$501/(($A$2:$A$501="止损计划")*($B$2:$B$501=B148)*($E$2:$E$501&lt;=O148)),1),0))))</f>
        <v/>
      </c>
      <c r="R148" s="43" t="n"/>
      <c r="S148" s="44">
        <f>IF(A148&lt;&gt;"每日跟踪","",IF(Q148="","",MAX(Q148,IFERROR(AGGREGATE(14,6,$R$2:$R$501/(($A$2:$A$501="每日跟踪")*($B$2:$B$501=B148)*($H$2:$H$501&lt;=H148)),1),0))))</f>
        <v/>
      </c>
      <c r="T148" s="44">
        <f>IF(A148&lt;&gt;"每日跟踪","",IF(O148="","",IF(COUNTIFS($A$2:$A$501,"止损计划",$B$2:$B$501,B148,$E$2:$E$501,"&gt;"&amp;O148)=0,"",AGGREGATE(15,6,$E$2:$E$501/(($A$2:$A$501="止损计划")*($B$2:$B$501=B148)*($E$2:$E$501&gt;O148)),1))))</f>
        <v/>
      </c>
      <c r="U148" s="44">
        <f>IF(OR(A148&lt;&gt;"每日跟踪",T148=""),"",IFERROR(AGGREGATE(14,6,$F$2:$F$501/(($A$2:$A$501="止损计划")*($B$2:$B$501=B148)*($E$2:$E$501=T148)),1),""))</f>
        <v/>
      </c>
      <c r="V148" s="30">
        <f>IF(OR(A148&lt;&gt;"每日跟踪",T148="",I148="",I148&lt;=0),"",T148/I148-1)</f>
        <v/>
      </c>
      <c r="W148" s="31">
        <f>IF(A148&lt;&gt;"每日跟踪","",IF(OR(I148="",S148=""),"",IF(I148&lt;=S148,"触发止损：应全部卖出","继续观察")))</f>
        <v/>
      </c>
      <c r="X148" s="28" t="n"/>
      <c r="Y148" s="43" t="n"/>
      <c r="Z148" s="26">
        <f>IF(X148&lt;&gt;"执行卖出","",IFERROR(LOOKUP(2,1/(单次交易!$A$2:$A$201=B148),单次交易!$AP$2:$AP$201),""))</f>
        <v/>
      </c>
      <c r="AA148" s="43" t="n"/>
      <c r="AB148" s="31">
        <f>IF(A148&lt;&gt;"每日跟踪","",IF(OR(B148="",H148="",I148="",J148="",K148="",L148="",M148=""),"待补充每日记录",IF(W148="触发止损：应全部卖出",IF(X148&lt;&gt;"执行卖出","违规：触发止损但未执行",IF(Y148="","待补充实际卖出价","卖出记录完整")),IF(X148="","待选择卖出动作",IF(X148="执行卖出",IF(Y148="","待补充实际卖出价","卖出记录完整"),"正常")))))</f>
        <v/>
      </c>
      <c r="AC148" s="31">
        <f>IF(A148="","",IF(A148="止损计划",IF(OR(B148="",D148="",E148="",F148="",G148=""),"计划不完整",IF(OR(D148&lt;1,D148&lt;&gt;INT(D148)),"阶段序号无效",IF(COUNTIFS($A$2:$A$501,"止损计划",$B$2:$B$501,B148,$D$2:$D$501,D148)&gt;1,"阶段序号重复",IF(E148&lt;=IFERROR(LOOKUP(2,1/('单次交易'!$A$2:$A$201=B148),'单次交易'!$E$2:$E$201),0),"激活价须高于买入价",IF(F148&lt;N148,"止损价不得低于初始止损",IF(F148&gt;E148,"止损价不得高于激活价",IF(AND(COUNTIFS($A$2:$A$501,"止损计划",$B$2:$B$501,B148,$D$2:$D$501,"&lt;"&amp;D148)&gt;0,OR(E148&lt;=AGGREGATE(14,6,$E$2:$E$501/(($A$2:$A$501="止损计划")*($B$2:$B$501=B148)*($D$2:$D$501&lt;D148)),1),F148&lt;AGGREGATE(14,6,$F$2:$F$501/(($A$2:$A$501="止损计划")*($B$2:$B$501=B148)*($D$2:$D$501&lt;D148)),1))),"阶段价格必须逐级提高","计划有效"))))))),IF(A148="每日跟踪",IF(OR(B148="",H148="",I148="",J148=""),"每日数据不完整",IF(COUNTIFS($A$2:$A$501,"每日跟踪",$B$2:$B$501,B148,$H$2:$H$501,H148)&gt;1,"同一交易日期重复",IF(AND(R148&lt;&gt;"",R148&lt;S148),"人工止损无效：不能下调","跟踪有效"))),"记录类型无效")))</f>
        <v/>
      </c>
    </row>
    <row r="149">
      <c r="A149" s="28" t="n"/>
      <c r="B149" s="28" t="n"/>
      <c r="C149" s="31">
        <f>IF(B149="","",IFERROR(LOOKUP(2,1/(单次交易!$A$2:$A$201=B149),单次交易!$B$2:$B$201),""))</f>
        <v/>
      </c>
      <c r="D149" s="27" t="n"/>
      <c r="E149" s="43" t="n"/>
      <c r="F149" s="43" t="n"/>
      <c r="G149" s="28" t="n"/>
      <c r="H149" s="49" t="n"/>
      <c r="I149" s="43" t="n"/>
      <c r="J149" s="27" t="n"/>
      <c r="K149" s="28" t="n"/>
      <c r="L149" s="28" t="n"/>
      <c r="M149" s="28" t="n"/>
      <c r="N149" s="44">
        <f>IF(B149="","",IFERROR(LOOKUP(2,1/(单次交易!$A$2:$A$201=B149),单次交易!$N$2:$N$201),""))</f>
        <v/>
      </c>
      <c r="O149" s="44">
        <f>IF(A149&lt;&gt;"每日跟踪","",IF(OR(B149="",H149="",I149=""),"",IFERROR(AGGREGATE(14,6,$I$2:$I$501/(($A$2:$A$501="每日跟踪")*($B$2:$B$501=B149)*($H$2:$H$501&lt;=H149)),1),"")))</f>
        <v/>
      </c>
      <c r="P149" s="26">
        <f>IF(A149&lt;&gt;"每日跟踪","",IF(O149="","",IFERROR(AGGREGATE(14,6,$D$2:$D$501/(($A$2:$A$501="止损计划")*($B$2:$B$501=B149)*($E$2:$E$501&lt;=O149)),1),0)))</f>
        <v/>
      </c>
      <c r="Q149" s="44">
        <f>IF(A149&lt;&gt;"每日跟踪","",IF(N149="","",MAX(N149,IFERROR(AGGREGATE(14,6,$F$2:$F$501/(($A$2:$A$501="止损计划")*($B$2:$B$501=B149)*($E$2:$E$501&lt;=O149)),1),0))))</f>
        <v/>
      </c>
      <c r="R149" s="43" t="n"/>
      <c r="S149" s="44">
        <f>IF(A149&lt;&gt;"每日跟踪","",IF(Q149="","",MAX(Q149,IFERROR(AGGREGATE(14,6,$R$2:$R$501/(($A$2:$A$501="每日跟踪")*($B$2:$B$501=B149)*($H$2:$H$501&lt;=H149)),1),0))))</f>
        <v/>
      </c>
      <c r="T149" s="44">
        <f>IF(A149&lt;&gt;"每日跟踪","",IF(O149="","",IF(COUNTIFS($A$2:$A$501,"止损计划",$B$2:$B$501,B149,$E$2:$E$501,"&gt;"&amp;O149)=0,"",AGGREGATE(15,6,$E$2:$E$501/(($A$2:$A$501="止损计划")*($B$2:$B$501=B149)*($E$2:$E$501&gt;O149)),1))))</f>
        <v/>
      </c>
      <c r="U149" s="44">
        <f>IF(OR(A149&lt;&gt;"每日跟踪",T149=""),"",IFERROR(AGGREGATE(14,6,$F$2:$F$501/(($A$2:$A$501="止损计划")*($B$2:$B$501=B149)*($E$2:$E$501=T149)),1),""))</f>
        <v/>
      </c>
      <c r="V149" s="30">
        <f>IF(OR(A149&lt;&gt;"每日跟踪",T149="",I149="",I149&lt;=0),"",T149/I149-1)</f>
        <v/>
      </c>
      <c r="W149" s="31">
        <f>IF(A149&lt;&gt;"每日跟踪","",IF(OR(I149="",S149=""),"",IF(I149&lt;=S149,"触发止损：应全部卖出","继续观察")))</f>
        <v/>
      </c>
      <c r="X149" s="28" t="n"/>
      <c r="Y149" s="43" t="n"/>
      <c r="Z149" s="26">
        <f>IF(X149&lt;&gt;"执行卖出","",IFERROR(LOOKUP(2,1/(单次交易!$A$2:$A$201=B149),单次交易!$AP$2:$AP$201),""))</f>
        <v/>
      </c>
      <c r="AA149" s="43" t="n"/>
      <c r="AB149" s="31">
        <f>IF(A149&lt;&gt;"每日跟踪","",IF(OR(B149="",H149="",I149="",J149="",K149="",L149="",M149=""),"待补充每日记录",IF(W149="触发止损：应全部卖出",IF(X149&lt;&gt;"执行卖出","违规：触发止损但未执行",IF(Y149="","待补充实际卖出价","卖出记录完整")),IF(X149="","待选择卖出动作",IF(X149="执行卖出",IF(Y149="","待补充实际卖出价","卖出记录完整"),"正常")))))</f>
        <v/>
      </c>
      <c r="AC149" s="31">
        <f>IF(A149="","",IF(A149="止损计划",IF(OR(B149="",D149="",E149="",F149="",G149=""),"计划不完整",IF(OR(D149&lt;1,D149&lt;&gt;INT(D149)),"阶段序号无效",IF(COUNTIFS($A$2:$A$501,"止损计划",$B$2:$B$501,B149,$D$2:$D$501,D149)&gt;1,"阶段序号重复",IF(E149&lt;=IFERROR(LOOKUP(2,1/('单次交易'!$A$2:$A$201=B149),'单次交易'!$E$2:$E$201),0),"激活价须高于买入价",IF(F149&lt;N149,"止损价不得低于初始止损",IF(F149&gt;E149,"止损价不得高于激活价",IF(AND(COUNTIFS($A$2:$A$501,"止损计划",$B$2:$B$501,B149,$D$2:$D$501,"&lt;"&amp;D149)&gt;0,OR(E149&lt;=AGGREGATE(14,6,$E$2:$E$501/(($A$2:$A$501="止损计划")*($B$2:$B$501=B149)*($D$2:$D$501&lt;D149)),1),F149&lt;AGGREGATE(14,6,$F$2:$F$501/(($A$2:$A$501="止损计划")*($B$2:$B$501=B149)*($D$2:$D$501&lt;D149)),1))),"阶段价格必须逐级提高","计划有效"))))))),IF(A149="每日跟踪",IF(OR(B149="",H149="",I149="",J149=""),"每日数据不完整",IF(COUNTIFS($A$2:$A$501,"每日跟踪",$B$2:$B$501,B149,$H$2:$H$501,H149)&gt;1,"同一交易日期重复",IF(AND(R149&lt;&gt;"",R149&lt;S149),"人工止损无效：不能下调","跟踪有效"))),"记录类型无效")))</f>
        <v/>
      </c>
    </row>
    <row r="150">
      <c r="A150" s="28" t="n"/>
      <c r="B150" s="28" t="n"/>
      <c r="C150" s="31">
        <f>IF(B150="","",IFERROR(LOOKUP(2,1/(单次交易!$A$2:$A$201=B150),单次交易!$B$2:$B$201),""))</f>
        <v/>
      </c>
      <c r="D150" s="27" t="n"/>
      <c r="E150" s="43" t="n"/>
      <c r="F150" s="43" t="n"/>
      <c r="G150" s="28" t="n"/>
      <c r="H150" s="49" t="n"/>
      <c r="I150" s="43" t="n"/>
      <c r="J150" s="27" t="n"/>
      <c r="K150" s="28" t="n"/>
      <c r="L150" s="28" t="n"/>
      <c r="M150" s="28" t="n"/>
      <c r="N150" s="44">
        <f>IF(B150="","",IFERROR(LOOKUP(2,1/(单次交易!$A$2:$A$201=B150),单次交易!$N$2:$N$201),""))</f>
        <v/>
      </c>
      <c r="O150" s="44">
        <f>IF(A150&lt;&gt;"每日跟踪","",IF(OR(B150="",H150="",I150=""),"",IFERROR(AGGREGATE(14,6,$I$2:$I$501/(($A$2:$A$501="每日跟踪")*($B$2:$B$501=B150)*($H$2:$H$501&lt;=H150)),1),"")))</f>
        <v/>
      </c>
      <c r="P150" s="26">
        <f>IF(A150&lt;&gt;"每日跟踪","",IF(O150="","",IFERROR(AGGREGATE(14,6,$D$2:$D$501/(($A$2:$A$501="止损计划")*($B$2:$B$501=B150)*($E$2:$E$501&lt;=O150)),1),0)))</f>
        <v/>
      </c>
      <c r="Q150" s="44">
        <f>IF(A150&lt;&gt;"每日跟踪","",IF(N150="","",MAX(N150,IFERROR(AGGREGATE(14,6,$F$2:$F$501/(($A$2:$A$501="止损计划")*($B$2:$B$501=B150)*($E$2:$E$501&lt;=O150)),1),0))))</f>
        <v/>
      </c>
      <c r="R150" s="43" t="n"/>
      <c r="S150" s="44">
        <f>IF(A150&lt;&gt;"每日跟踪","",IF(Q150="","",MAX(Q150,IFERROR(AGGREGATE(14,6,$R$2:$R$501/(($A$2:$A$501="每日跟踪")*($B$2:$B$501=B150)*($H$2:$H$501&lt;=H150)),1),0))))</f>
        <v/>
      </c>
      <c r="T150" s="44">
        <f>IF(A150&lt;&gt;"每日跟踪","",IF(O150="","",IF(COUNTIFS($A$2:$A$501,"止损计划",$B$2:$B$501,B150,$E$2:$E$501,"&gt;"&amp;O150)=0,"",AGGREGATE(15,6,$E$2:$E$501/(($A$2:$A$501="止损计划")*($B$2:$B$501=B150)*($E$2:$E$501&gt;O150)),1))))</f>
        <v/>
      </c>
      <c r="U150" s="44">
        <f>IF(OR(A150&lt;&gt;"每日跟踪",T150=""),"",IFERROR(AGGREGATE(14,6,$F$2:$F$501/(($A$2:$A$501="止损计划")*($B$2:$B$501=B150)*($E$2:$E$501=T150)),1),""))</f>
        <v/>
      </c>
      <c r="V150" s="30">
        <f>IF(OR(A150&lt;&gt;"每日跟踪",T150="",I150="",I150&lt;=0),"",T150/I150-1)</f>
        <v/>
      </c>
      <c r="W150" s="31">
        <f>IF(A150&lt;&gt;"每日跟踪","",IF(OR(I150="",S150=""),"",IF(I150&lt;=S150,"触发止损：应全部卖出","继续观察")))</f>
        <v/>
      </c>
      <c r="X150" s="28" t="n"/>
      <c r="Y150" s="43" t="n"/>
      <c r="Z150" s="26">
        <f>IF(X150&lt;&gt;"执行卖出","",IFERROR(LOOKUP(2,1/(单次交易!$A$2:$A$201=B150),单次交易!$AP$2:$AP$201),""))</f>
        <v/>
      </c>
      <c r="AA150" s="43" t="n"/>
      <c r="AB150" s="31">
        <f>IF(A150&lt;&gt;"每日跟踪","",IF(OR(B150="",H150="",I150="",J150="",K150="",L150="",M150=""),"待补充每日记录",IF(W150="触发止损：应全部卖出",IF(X150&lt;&gt;"执行卖出","违规：触发止损但未执行",IF(Y150="","待补充实际卖出价","卖出记录完整")),IF(X150="","待选择卖出动作",IF(X150="执行卖出",IF(Y150="","待补充实际卖出价","卖出记录完整"),"正常")))))</f>
        <v/>
      </c>
      <c r="AC150" s="31">
        <f>IF(A150="","",IF(A150="止损计划",IF(OR(B150="",D150="",E150="",F150="",G150=""),"计划不完整",IF(OR(D150&lt;1,D150&lt;&gt;INT(D150)),"阶段序号无效",IF(COUNTIFS($A$2:$A$501,"止损计划",$B$2:$B$501,B150,$D$2:$D$501,D150)&gt;1,"阶段序号重复",IF(E150&lt;=IFERROR(LOOKUP(2,1/('单次交易'!$A$2:$A$201=B150),'单次交易'!$E$2:$E$201),0),"激活价须高于买入价",IF(F150&lt;N150,"止损价不得低于初始止损",IF(F150&gt;E150,"止损价不得高于激活价",IF(AND(COUNTIFS($A$2:$A$501,"止损计划",$B$2:$B$501,B150,$D$2:$D$501,"&lt;"&amp;D150)&gt;0,OR(E150&lt;=AGGREGATE(14,6,$E$2:$E$501/(($A$2:$A$501="止损计划")*($B$2:$B$501=B150)*($D$2:$D$501&lt;D150)),1),F150&lt;AGGREGATE(14,6,$F$2:$F$501/(($A$2:$A$501="止损计划")*($B$2:$B$501=B150)*($D$2:$D$501&lt;D150)),1))),"阶段价格必须逐级提高","计划有效"))))))),IF(A150="每日跟踪",IF(OR(B150="",H150="",I150="",J150=""),"每日数据不完整",IF(COUNTIFS($A$2:$A$501,"每日跟踪",$B$2:$B$501,B150,$H$2:$H$501,H150)&gt;1,"同一交易日期重复",IF(AND(R150&lt;&gt;"",R150&lt;S150),"人工止损无效：不能下调","跟踪有效"))),"记录类型无效")))</f>
        <v/>
      </c>
    </row>
    <row r="151">
      <c r="A151" s="28" t="n"/>
      <c r="B151" s="28" t="n"/>
      <c r="C151" s="31">
        <f>IF(B151="","",IFERROR(LOOKUP(2,1/(单次交易!$A$2:$A$201=B151),单次交易!$B$2:$B$201),""))</f>
        <v/>
      </c>
      <c r="D151" s="27" t="n"/>
      <c r="E151" s="43" t="n"/>
      <c r="F151" s="43" t="n"/>
      <c r="G151" s="28" t="n"/>
      <c r="H151" s="49" t="n"/>
      <c r="I151" s="43" t="n"/>
      <c r="J151" s="27" t="n"/>
      <c r="K151" s="28" t="n"/>
      <c r="L151" s="28" t="n"/>
      <c r="M151" s="28" t="n"/>
      <c r="N151" s="44">
        <f>IF(B151="","",IFERROR(LOOKUP(2,1/(单次交易!$A$2:$A$201=B151),单次交易!$N$2:$N$201),""))</f>
        <v/>
      </c>
      <c r="O151" s="44">
        <f>IF(A151&lt;&gt;"每日跟踪","",IF(OR(B151="",H151="",I151=""),"",IFERROR(AGGREGATE(14,6,$I$2:$I$501/(($A$2:$A$501="每日跟踪")*($B$2:$B$501=B151)*($H$2:$H$501&lt;=H151)),1),"")))</f>
        <v/>
      </c>
      <c r="P151" s="26">
        <f>IF(A151&lt;&gt;"每日跟踪","",IF(O151="","",IFERROR(AGGREGATE(14,6,$D$2:$D$501/(($A$2:$A$501="止损计划")*($B$2:$B$501=B151)*($E$2:$E$501&lt;=O151)),1),0)))</f>
        <v/>
      </c>
      <c r="Q151" s="44">
        <f>IF(A151&lt;&gt;"每日跟踪","",IF(N151="","",MAX(N151,IFERROR(AGGREGATE(14,6,$F$2:$F$501/(($A$2:$A$501="止损计划")*($B$2:$B$501=B151)*($E$2:$E$501&lt;=O151)),1),0))))</f>
        <v/>
      </c>
      <c r="R151" s="43" t="n"/>
      <c r="S151" s="44">
        <f>IF(A151&lt;&gt;"每日跟踪","",IF(Q151="","",MAX(Q151,IFERROR(AGGREGATE(14,6,$R$2:$R$501/(($A$2:$A$501="每日跟踪")*($B$2:$B$501=B151)*($H$2:$H$501&lt;=H151)),1),0))))</f>
        <v/>
      </c>
      <c r="T151" s="44">
        <f>IF(A151&lt;&gt;"每日跟踪","",IF(O151="","",IF(COUNTIFS($A$2:$A$501,"止损计划",$B$2:$B$501,B151,$E$2:$E$501,"&gt;"&amp;O151)=0,"",AGGREGATE(15,6,$E$2:$E$501/(($A$2:$A$501="止损计划")*($B$2:$B$501=B151)*($E$2:$E$501&gt;O151)),1))))</f>
        <v/>
      </c>
      <c r="U151" s="44">
        <f>IF(OR(A151&lt;&gt;"每日跟踪",T151=""),"",IFERROR(AGGREGATE(14,6,$F$2:$F$501/(($A$2:$A$501="止损计划")*($B$2:$B$501=B151)*($E$2:$E$501=T151)),1),""))</f>
        <v/>
      </c>
      <c r="V151" s="30">
        <f>IF(OR(A151&lt;&gt;"每日跟踪",T151="",I151="",I151&lt;=0),"",T151/I151-1)</f>
        <v/>
      </c>
      <c r="W151" s="31">
        <f>IF(A151&lt;&gt;"每日跟踪","",IF(OR(I151="",S151=""),"",IF(I151&lt;=S151,"触发止损：应全部卖出","继续观察")))</f>
        <v/>
      </c>
      <c r="X151" s="28" t="n"/>
      <c r="Y151" s="43" t="n"/>
      <c r="Z151" s="26">
        <f>IF(X151&lt;&gt;"执行卖出","",IFERROR(LOOKUP(2,1/(单次交易!$A$2:$A$201=B151),单次交易!$AP$2:$AP$201),""))</f>
        <v/>
      </c>
      <c r="AA151" s="43" t="n"/>
      <c r="AB151" s="31">
        <f>IF(A151&lt;&gt;"每日跟踪","",IF(OR(B151="",H151="",I151="",J151="",K151="",L151="",M151=""),"待补充每日记录",IF(W151="触发止损：应全部卖出",IF(X151&lt;&gt;"执行卖出","违规：触发止损但未执行",IF(Y151="","待补充实际卖出价","卖出记录完整")),IF(X151="","待选择卖出动作",IF(X151="执行卖出",IF(Y151="","待补充实际卖出价","卖出记录完整"),"正常")))))</f>
        <v/>
      </c>
      <c r="AC151" s="31">
        <f>IF(A151="","",IF(A151="止损计划",IF(OR(B151="",D151="",E151="",F151="",G151=""),"计划不完整",IF(OR(D151&lt;1,D151&lt;&gt;INT(D151)),"阶段序号无效",IF(COUNTIFS($A$2:$A$501,"止损计划",$B$2:$B$501,B151,$D$2:$D$501,D151)&gt;1,"阶段序号重复",IF(E151&lt;=IFERROR(LOOKUP(2,1/('单次交易'!$A$2:$A$201=B151),'单次交易'!$E$2:$E$201),0),"激活价须高于买入价",IF(F151&lt;N151,"止损价不得低于初始止损",IF(F151&gt;E151,"止损价不得高于激活价",IF(AND(COUNTIFS($A$2:$A$501,"止损计划",$B$2:$B$501,B151,$D$2:$D$501,"&lt;"&amp;D151)&gt;0,OR(E151&lt;=AGGREGATE(14,6,$E$2:$E$501/(($A$2:$A$501="止损计划")*($B$2:$B$501=B151)*($D$2:$D$501&lt;D151)),1),F151&lt;AGGREGATE(14,6,$F$2:$F$501/(($A$2:$A$501="止损计划")*($B$2:$B$501=B151)*($D$2:$D$501&lt;D151)),1))),"阶段价格必须逐级提高","计划有效"))))))),IF(A151="每日跟踪",IF(OR(B151="",H151="",I151="",J151=""),"每日数据不完整",IF(COUNTIFS($A$2:$A$501,"每日跟踪",$B$2:$B$501,B151,$H$2:$H$501,H151)&gt;1,"同一交易日期重复",IF(AND(R151&lt;&gt;"",R151&lt;S151),"人工止损无效：不能下调","跟踪有效"))),"记录类型无效")))</f>
        <v/>
      </c>
    </row>
    <row r="152">
      <c r="A152" s="28" t="n"/>
      <c r="B152" s="28" t="n"/>
      <c r="C152" s="31">
        <f>IF(B152="","",IFERROR(LOOKUP(2,1/(单次交易!$A$2:$A$201=B152),单次交易!$B$2:$B$201),""))</f>
        <v/>
      </c>
      <c r="D152" s="27" t="n"/>
      <c r="E152" s="43" t="n"/>
      <c r="F152" s="43" t="n"/>
      <c r="G152" s="28" t="n"/>
      <c r="H152" s="49" t="n"/>
      <c r="I152" s="43" t="n"/>
      <c r="J152" s="27" t="n"/>
      <c r="K152" s="28" t="n"/>
      <c r="L152" s="28" t="n"/>
      <c r="M152" s="28" t="n"/>
      <c r="N152" s="44">
        <f>IF(B152="","",IFERROR(LOOKUP(2,1/(单次交易!$A$2:$A$201=B152),单次交易!$N$2:$N$201),""))</f>
        <v/>
      </c>
      <c r="O152" s="44">
        <f>IF(A152&lt;&gt;"每日跟踪","",IF(OR(B152="",H152="",I152=""),"",IFERROR(AGGREGATE(14,6,$I$2:$I$501/(($A$2:$A$501="每日跟踪")*($B$2:$B$501=B152)*($H$2:$H$501&lt;=H152)),1),"")))</f>
        <v/>
      </c>
      <c r="P152" s="26">
        <f>IF(A152&lt;&gt;"每日跟踪","",IF(O152="","",IFERROR(AGGREGATE(14,6,$D$2:$D$501/(($A$2:$A$501="止损计划")*($B$2:$B$501=B152)*($E$2:$E$501&lt;=O152)),1),0)))</f>
        <v/>
      </c>
      <c r="Q152" s="44">
        <f>IF(A152&lt;&gt;"每日跟踪","",IF(N152="","",MAX(N152,IFERROR(AGGREGATE(14,6,$F$2:$F$501/(($A$2:$A$501="止损计划")*($B$2:$B$501=B152)*($E$2:$E$501&lt;=O152)),1),0))))</f>
        <v/>
      </c>
      <c r="R152" s="43" t="n"/>
      <c r="S152" s="44">
        <f>IF(A152&lt;&gt;"每日跟踪","",IF(Q152="","",MAX(Q152,IFERROR(AGGREGATE(14,6,$R$2:$R$501/(($A$2:$A$501="每日跟踪")*($B$2:$B$501=B152)*($H$2:$H$501&lt;=H152)),1),0))))</f>
        <v/>
      </c>
      <c r="T152" s="44">
        <f>IF(A152&lt;&gt;"每日跟踪","",IF(O152="","",IF(COUNTIFS($A$2:$A$501,"止损计划",$B$2:$B$501,B152,$E$2:$E$501,"&gt;"&amp;O152)=0,"",AGGREGATE(15,6,$E$2:$E$501/(($A$2:$A$501="止损计划")*($B$2:$B$501=B152)*($E$2:$E$501&gt;O152)),1))))</f>
        <v/>
      </c>
      <c r="U152" s="44">
        <f>IF(OR(A152&lt;&gt;"每日跟踪",T152=""),"",IFERROR(AGGREGATE(14,6,$F$2:$F$501/(($A$2:$A$501="止损计划")*($B$2:$B$501=B152)*($E$2:$E$501=T152)),1),""))</f>
        <v/>
      </c>
      <c r="V152" s="30">
        <f>IF(OR(A152&lt;&gt;"每日跟踪",T152="",I152="",I152&lt;=0),"",T152/I152-1)</f>
        <v/>
      </c>
      <c r="W152" s="31">
        <f>IF(A152&lt;&gt;"每日跟踪","",IF(OR(I152="",S152=""),"",IF(I152&lt;=S152,"触发止损：应全部卖出","继续观察")))</f>
        <v/>
      </c>
      <c r="X152" s="28" t="n"/>
      <c r="Y152" s="43" t="n"/>
      <c r="Z152" s="26">
        <f>IF(X152&lt;&gt;"执行卖出","",IFERROR(LOOKUP(2,1/(单次交易!$A$2:$A$201=B152),单次交易!$AP$2:$AP$201),""))</f>
        <v/>
      </c>
      <c r="AA152" s="43" t="n"/>
      <c r="AB152" s="31">
        <f>IF(A152&lt;&gt;"每日跟踪","",IF(OR(B152="",H152="",I152="",J152="",K152="",L152="",M152=""),"待补充每日记录",IF(W152="触发止损：应全部卖出",IF(X152&lt;&gt;"执行卖出","违规：触发止损但未执行",IF(Y152="","待补充实际卖出价","卖出记录完整")),IF(X152="","待选择卖出动作",IF(X152="执行卖出",IF(Y152="","待补充实际卖出价","卖出记录完整"),"正常")))))</f>
        <v/>
      </c>
      <c r="AC152" s="31">
        <f>IF(A152="","",IF(A152="止损计划",IF(OR(B152="",D152="",E152="",F152="",G152=""),"计划不完整",IF(OR(D152&lt;1,D152&lt;&gt;INT(D152)),"阶段序号无效",IF(COUNTIFS($A$2:$A$501,"止损计划",$B$2:$B$501,B152,$D$2:$D$501,D152)&gt;1,"阶段序号重复",IF(E152&lt;=IFERROR(LOOKUP(2,1/('单次交易'!$A$2:$A$201=B152),'单次交易'!$E$2:$E$201),0),"激活价须高于买入价",IF(F152&lt;N152,"止损价不得低于初始止损",IF(F152&gt;E152,"止损价不得高于激活价",IF(AND(COUNTIFS($A$2:$A$501,"止损计划",$B$2:$B$501,B152,$D$2:$D$501,"&lt;"&amp;D152)&gt;0,OR(E152&lt;=AGGREGATE(14,6,$E$2:$E$501/(($A$2:$A$501="止损计划")*($B$2:$B$501=B152)*($D$2:$D$501&lt;D152)),1),F152&lt;AGGREGATE(14,6,$F$2:$F$501/(($A$2:$A$501="止损计划")*($B$2:$B$501=B152)*($D$2:$D$501&lt;D152)),1))),"阶段价格必须逐级提高","计划有效"))))))),IF(A152="每日跟踪",IF(OR(B152="",H152="",I152="",J152=""),"每日数据不完整",IF(COUNTIFS($A$2:$A$501,"每日跟踪",$B$2:$B$501,B152,$H$2:$H$501,H152)&gt;1,"同一交易日期重复",IF(AND(R152&lt;&gt;"",R152&lt;S152),"人工止损无效：不能下调","跟踪有效"))),"记录类型无效")))</f>
        <v/>
      </c>
    </row>
    <row r="153">
      <c r="A153" s="28" t="n"/>
      <c r="B153" s="28" t="n"/>
      <c r="C153" s="31">
        <f>IF(B153="","",IFERROR(LOOKUP(2,1/(单次交易!$A$2:$A$201=B153),单次交易!$B$2:$B$201),""))</f>
        <v/>
      </c>
      <c r="D153" s="27" t="n"/>
      <c r="E153" s="43" t="n"/>
      <c r="F153" s="43" t="n"/>
      <c r="G153" s="28" t="n"/>
      <c r="H153" s="49" t="n"/>
      <c r="I153" s="43" t="n"/>
      <c r="J153" s="27" t="n"/>
      <c r="K153" s="28" t="n"/>
      <c r="L153" s="28" t="n"/>
      <c r="M153" s="28" t="n"/>
      <c r="N153" s="44">
        <f>IF(B153="","",IFERROR(LOOKUP(2,1/(单次交易!$A$2:$A$201=B153),单次交易!$N$2:$N$201),""))</f>
        <v/>
      </c>
      <c r="O153" s="44">
        <f>IF(A153&lt;&gt;"每日跟踪","",IF(OR(B153="",H153="",I153=""),"",IFERROR(AGGREGATE(14,6,$I$2:$I$501/(($A$2:$A$501="每日跟踪")*($B$2:$B$501=B153)*($H$2:$H$501&lt;=H153)),1),"")))</f>
        <v/>
      </c>
      <c r="P153" s="26">
        <f>IF(A153&lt;&gt;"每日跟踪","",IF(O153="","",IFERROR(AGGREGATE(14,6,$D$2:$D$501/(($A$2:$A$501="止损计划")*($B$2:$B$501=B153)*($E$2:$E$501&lt;=O153)),1),0)))</f>
        <v/>
      </c>
      <c r="Q153" s="44">
        <f>IF(A153&lt;&gt;"每日跟踪","",IF(N153="","",MAX(N153,IFERROR(AGGREGATE(14,6,$F$2:$F$501/(($A$2:$A$501="止损计划")*($B$2:$B$501=B153)*($E$2:$E$501&lt;=O153)),1),0))))</f>
        <v/>
      </c>
      <c r="R153" s="43" t="n"/>
      <c r="S153" s="44">
        <f>IF(A153&lt;&gt;"每日跟踪","",IF(Q153="","",MAX(Q153,IFERROR(AGGREGATE(14,6,$R$2:$R$501/(($A$2:$A$501="每日跟踪")*($B$2:$B$501=B153)*($H$2:$H$501&lt;=H153)),1),0))))</f>
        <v/>
      </c>
      <c r="T153" s="44">
        <f>IF(A153&lt;&gt;"每日跟踪","",IF(O153="","",IF(COUNTIFS($A$2:$A$501,"止损计划",$B$2:$B$501,B153,$E$2:$E$501,"&gt;"&amp;O153)=0,"",AGGREGATE(15,6,$E$2:$E$501/(($A$2:$A$501="止损计划")*($B$2:$B$501=B153)*($E$2:$E$501&gt;O153)),1))))</f>
        <v/>
      </c>
      <c r="U153" s="44">
        <f>IF(OR(A153&lt;&gt;"每日跟踪",T153=""),"",IFERROR(AGGREGATE(14,6,$F$2:$F$501/(($A$2:$A$501="止损计划")*($B$2:$B$501=B153)*($E$2:$E$501=T153)),1),""))</f>
        <v/>
      </c>
      <c r="V153" s="30">
        <f>IF(OR(A153&lt;&gt;"每日跟踪",T153="",I153="",I153&lt;=0),"",T153/I153-1)</f>
        <v/>
      </c>
      <c r="W153" s="31">
        <f>IF(A153&lt;&gt;"每日跟踪","",IF(OR(I153="",S153=""),"",IF(I153&lt;=S153,"触发止损：应全部卖出","继续观察")))</f>
        <v/>
      </c>
      <c r="X153" s="28" t="n"/>
      <c r="Y153" s="43" t="n"/>
      <c r="Z153" s="26">
        <f>IF(X153&lt;&gt;"执行卖出","",IFERROR(LOOKUP(2,1/(单次交易!$A$2:$A$201=B153),单次交易!$AP$2:$AP$201),""))</f>
        <v/>
      </c>
      <c r="AA153" s="43" t="n"/>
      <c r="AB153" s="31">
        <f>IF(A153&lt;&gt;"每日跟踪","",IF(OR(B153="",H153="",I153="",J153="",K153="",L153="",M153=""),"待补充每日记录",IF(W153="触发止损：应全部卖出",IF(X153&lt;&gt;"执行卖出","违规：触发止损但未执行",IF(Y153="","待补充实际卖出价","卖出记录完整")),IF(X153="","待选择卖出动作",IF(X153="执行卖出",IF(Y153="","待补充实际卖出价","卖出记录完整"),"正常")))))</f>
        <v/>
      </c>
      <c r="AC153" s="31">
        <f>IF(A153="","",IF(A153="止损计划",IF(OR(B153="",D153="",E153="",F153="",G153=""),"计划不完整",IF(OR(D153&lt;1,D153&lt;&gt;INT(D153)),"阶段序号无效",IF(COUNTIFS($A$2:$A$501,"止损计划",$B$2:$B$501,B153,$D$2:$D$501,D153)&gt;1,"阶段序号重复",IF(E153&lt;=IFERROR(LOOKUP(2,1/('单次交易'!$A$2:$A$201=B153),'单次交易'!$E$2:$E$201),0),"激活价须高于买入价",IF(F153&lt;N153,"止损价不得低于初始止损",IF(F153&gt;E153,"止损价不得高于激活价",IF(AND(COUNTIFS($A$2:$A$501,"止损计划",$B$2:$B$501,B153,$D$2:$D$501,"&lt;"&amp;D153)&gt;0,OR(E153&lt;=AGGREGATE(14,6,$E$2:$E$501/(($A$2:$A$501="止损计划")*($B$2:$B$501=B153)*($D$2:$D$501&lt;D153)),1),F153&lt;AGGREGATE(14,6,$F$2:$F$501/(($A$2:$A$501="止损计划")*($B$2:$B$501=B153)*($D$2:$D$501&lt;D153)),1))),"阶段价格必须逐级提高","计划有效"))))))),IF(A153="每日跟踪",IF(OR(B153="",H153="",I153="",J153=""),"每日数据不完整",IF(COUNTIFS($A$2:$A$501,"每日跟踪",$B$2:$B$501,B153,$H$2:$H$501,H153)&gt;1,"同一交易日期重复",IF(AND(R153&lt;&gt;"",R153&lt;S153),"人工止损无效：不能下调","跟踪有效"))),"记录类型无效")))</f>
        <v/>
      </c>
    </row>
    <row r="154">
      <c r="A154" s="28" t="n"/>
      <c r="B154" s="28" t="n"/>
      <c r="C154" s="31">
        <f>IF(B154="","",IFERROR(LOOKUP(2,1/(单次交易!$A$2:$A$201=B154),单次交易!$B$2:$B$201),""))</f>
        <v/>
      </c>
      <c r="D154" s="27" t="n"/>
      <c r="E154" s="43" t="n"/>
      <c r="F154" s="43" t="n"/>
      <c r="G154" s="28" t="n"/>
      <c r="H154" s="49" t="n"/>
      <c r="I154" s="43" t="n"/>
      <c r="J154" s="27" t="n"/>
      <c r="K154" s="28" t="n"/>
      <c r="L154" s="28" t="n"/>
      <c r="M154" s="28" t="n"/>
      <c r="N154" s="44">
        <f>IF(B154="","",IFERROR(LOOKUP(2,1/(单次交易!$A$2:$A$201=B154),单次交易!$N$2:$N$201),""))</f>
        <v/>
      </c>
      <c r="O154" s="44">
        <f>IF(A154&lt;&gt;"每日跟踪","",IF(OR(B154="",H154="",I154=""),"",IFERROR(AGGREGATE(14,6,$I$2:$I$501/(($A$2:$A$501="每日跟踪")*($B$2:$B$501=B154)*($H$2:$H$501&lt;=H154)),1),"")))</f>
        <v/>
      </c>
      <c r="P154" s="26">
        <f>IF(A154&lt;&gt;"每日跟踪","",IF(O154="","",IFERROR(AGGREGATE(14,6,$D$2:$D$501/(($A$2:$A$501="止损计划")*($B$2:$B$501=B154)*($E$2:$E$501&lt;=O154)),1),0)))</f>
        <v/>
      </c>
      <c r="Q154" s="44">
        <f>IF(A154&lt;&gt;"每日跟踪","",IF(N154="","",MAX(N154,IFERROR(AGGREGATE(14,6,$F$2:$F$501/(($A$2:$A$501="止损计划")*($B$2:$B$501=B154)*($E$2:$E$501&lt;=O154)),1),0))))</f>
        <v/>
      </c>
      <c r="R154" s="43" t="n"/>
      <c r="S154" s="44">
        <f>IF(A154&lt;&gt;"每日跟踪","",IF(Q154="","",MAX(Q154,IFERROR(AGGREGATE(14,6,$R$2:$R$501/(($A$2:$A$501="每日跟踪")*($B$2:$B$501=B154)*($H$2:$H$501&lt;=H154)),1),0))))</f>
        <v/>
      </c>
      <c r="T154" s="44">
        <f>IF(A154&lt;&gt;"每日跟踪","",IF(O154="","",IF(COUNTIFS($A$2:$A$501,"止损计划",$B$2:$B$501,B154,$E$2:$E$501,"&gt;"&amp;O154)=0,"",AGGREGATE(15,6,$E$2:$E$501/(($A$2:$A$501="止损计划")*($B$2:$B$501=B154)*($E$2:$E$501&gt;O154)),1))))</f>
        <v/>
      </c>
      <c r="U154" s="44">
        <f>IF(OR(A154&lt;&gt;"每日跟踪",T154=""),"",IFERROR(AGGREGATE(14,6,$F$2:$F$501/(($A$2:$A$501="止损计划")*($B$2:$B$501=B154)*($E$2:$E$501=T154)),1),""))</f>
        <v/>
      </c>
      <c r="V154" s="30">
        <f>IF(OR(A154&lt;&gt;"每日跟踪",T154="",I154="",I154&lt;=0),"",T154/I154-1)</f>
        <v/>
      </c>
      <c r="W154" s="31">
        <f>IF(A154&lt;&gt;"每日跟踪","",IF(OR(I154="",S154=""),"",IF(I154&lt;=S154,"触发止损：应全部卖出","继续观察")))</f>
        <v/>
      </c>
      <c r="X154" s="28" t="n"/>
      <c r="Y154" s="43" t="n"/>
      <c r="Z154" s="26">
        <f>IF(X154&lt;&gt;"执行卖出","",IFERROR(LOOKUP(2,1/(单次交易!$A$2:$A$201=B154),单次交易!$AP$2:$AP$201),""))</f>
        <v/>
      </c>
      <c r="AA154" s="43" t="n"/>
      <c r="AB154" s="31">
        <f>IF(A154&lt;&gt;"每日跟踪","",IF(OR(B154="",H154="",I154="",J154="",K154="",L154="",M154=""),"待补充每日记录",IF(W154="触发止损：应全部卖出",IF(X154&lt;&gt;"执行卖出","违规：触发止损但未执行",IF(Y154="","待补充实际卖出价","卖出记录完整")),IF(X154="","待选择卖出动作",IF(X154="执行卖出",IF(Y154="","待补充实际卖出价","卖出记录完整"),"正常")))))</f>
        <v/>
      </c>
      <c r="AC154" s="31">
        <f>IF(A154="","",IF(A154="止损计划",IF(OR(B154="",D154="",E154="",F154="",G154=""),"计划不完整",IF(OR(D154&lt;1,D154&lt;&gt;INT(D154)),"阶段序号无效",IF(COUNTIFS($A$2:$A$501,"止损计划",$B$2:$B$501,B154,$D$2:$D$501,D154)&gt;1,"阶段序号重复",IF(E154&lt;=IFERROR(LOOKUP(2,1/('单次交易'!$A$2:$A$201=B154),'单次交易'!$E$2:$E$201),0),"激活价须高于买入价",IF(F154&lt;N154,"止损价不得低于初始止损",IF(F154&gt;E154,"止损价不得高于激活价",IF(AND(COUNTIFS($A$2:$A$501,"止损计划",$B$2:$B$501,B154,$D$2:$D$501,"&lt;"&amp;D154)&gt;0,OR(E154&lt;=AGGREGATE(14,6,$E$2:$E$501/(($A$2:$A$501="止损计划")*($B$2:$B$501=B154)*($D$2:$D$501&lt;D154)),1),F154&lt;AGGREGATE(14,6,$F$2:$F$501/(($A$2:$A$501="止损计划")*($B$2:$B$501=B154)*($D$2:$D$501&lt;D154)),1))),"阶段价格必须逐级提高","计划有效"))))))),IF(A154="每日跟踪",IF(OR(B154="",H154="",I154="",J154=""),"每日数据不完整",IF(COUNTIFS($A$2:$A$501,"每日跟踪",$B$2:$B$501,B154,$H$2:$H$501,H154)&gt;1,"同一交易日期重复",IF(AND(R154&lt;&gt;"",R154&lt;S154),"人工止损无效：不能下调","跟踪有效"))),"记录类型无效")))</f>
        <v/>
      </c>
    </row>
    <row r="155">
      <c r="A155" s="28" t="n"/>
      <c r="B155" s="28" t="n"/>
      <c r="C155" s="31">
        <f>IF(B155="","",IFERROR(LOOKUP(2,1/(单次交易!$A$2:$A$201=B155),单次交易!$B$2:$B$201),""))</f>
        <v/>
      </c>
      <c r="D155" s="27" t="n"/>
      <c r="E155" s="43" t="n"/>
      <c r="F155" s="43" t="n"/>
      <c r="G155" s="28" t="n"/>
      <c r="H155" s="49" t="n"/>
      <c r="I155" s="43" t="n"/>
      <c r="J155" s="27" t="n"/>
      <c r="K155" s="28" t="n"/>
      <c r="L155" s="28" t="n"/>
      <c r="M155" s="28" t="n"/>
      <c r="N155" s="44">
        <f>IF(B155="","",IFERROR(LOOKUP(2,1/(单次交易!$A$2:$A$201=B155),单次交易!$N$2:$N$201),""))</f>
        <v/>
      </c>
      <c r="O155" s="44">
        <f>IF(A155&lt;&gt;"每日跟踪","",IF(OR(B155="",H155="",I155=""),"",IFERROR(AGGREGATE(14,6,$I$2:$I$501/(($A$2:$A$501="每日跟踪")*($B$2:$B$501=B155)*($H$2:$H$501&lt;=H155)),1),"")))</f>
        <v/>
      </c>
      <c r="P155" s="26">
        <f>IF(A155&lt;&gt;"每日跟踪","",IF(O155="","",IFERROR(AGGREGATE(14,6,$D$2:$D$501/(($A$2:$A$501="止损计划")*($B$2:$B$501=B155)*($E$2:$E$501&lt;=O155)),1),0)))</f>
        <v/>
      </c>
      <c r="Q155" s="44">
        <f>IF(A155&lt;&gt;"每日跟踪","",IF(N155="","",MAX(N155,IFERROR(AGGREGATE(14,6,$F$2:$F$501/(($A$2:$A$501="止损计划")*($B$2:$B$501=B155)*($E$2:$E$501&lt;=O155)),1),0))))</f>
        <v/>
      </c>
      <c r="R155" s="43" t="n"/>
      <c r="S155" s="44">
        <f>IF(A155&lt;&gt;"每日跟踪","",IF(Q155="","",MAX(Q155,IFERROR(AGGREGATE(14,6,$R$2:$R$501/(($A$2:$A$501="每日跟踪")*($B$2:$B$501=B155)*($H$2:$H$501&lt;=H155)),1),0))))</f>
        <v/>
      </c>
      <c r="T155" s="44">
        <f>IF(A155&lt;&gt;"每日跟踪","",IF(O155="","",IF(COUNTIFS($A$2:$A$501,"止损计划",$B$2:$B$501,B155,$E$2:$E$501,"&gt;"&amp;O155)=0,"",AGGREGATE(15,6,$E$2:$E$501/(($A$2:$A$501="止损计划")*($B$2:$B$501=B155)*($E$2:$E$501&gt;O155)),1))))</f>
        <v/>
      </c>
      <c r="U155" s="44">
        <f>IF(OR(A155&lt;&gt;"每日跟踪",T155=""),"",IFERROR(AGGREGATE(14,6,$F$2:$F$501/(($A$2:$A$501="止损计划")*($B$2:$B$501=B155)*($E$2:$E$501=T155)),1),""))</f>
        <v/>
      </c>
      <c r="V155" s="30">
        <f>IF(OR(A155&lt;&gt;"每日跟踪",T155="",I155="",I155&lt;=0),"",T155/I155-1)</f>
        <v/>
      </c>
      <c r="W155" s="31">
        <f>IF(A155&lt;&gt;"每日跟踪","",IF(OR(I155="",S155=""),"",IF(I155&lt;=S155,"触发止损：应全部卖出","继续观察")))</f>
        <v/>
      </c>
      <c r="X155" s="28" t="n"/>
      <c r="Y155" s="43" t="n"/>
      <c r="Z155" s="26">
        <f>IF(X155&lt;&gt;"执行卖出","",IFERROR(LOOKUP(2,1/(单次交易!$A$2:$A$201=B155),单次交易!$AP$2:$AP$201),""))</f>
        <v/>
      </c>
      <c r="AA155" s="43" t="n"/>
      <c r="AB155" s="31">
        <f>IF(A155&lt;&gt;"每日跟踪","",IF(OR(B155="",H155="",I155="",J155="",K155="",L155="",M155=""),"待补充每日记录",IF(W155="触发止损：应全部卖出",IF(X155&lt;&gt;"执行卖出","违规：触发止损但未执行",IF(Y155="","待补充实际卖出价","卖出记录完整")),IF(X155="","待选择卖出动作",IF(X155="执行卖出",IF(Y155="","待补充实际卖出价","卖出记录完整"),"正常")))))</f>
        <v/>
      </c>
      <c r="AC155" s="31">
        <f>IF(A155="","",IF(A155="止损计划",IF(OR(B155="",D155="",E155="",F155="",G155=""),"计划不完整",IF(OR(D155&lt;1,D155&lt;&gt;INT(D155)),"阶段序号无效",IF(COUNTIFS($A$2:$A$501,"止损计划",$B$2:$B$501,B155,$D$2:$D$501,D155)&gt;1,"阶段序号重复",IF(E155&lt;=IFERROR(LOOKUP(2,1/('单次交易'!$A$2:$A$201=B155),'单次交易'!$E$2:$E$201),0),"激活价须高于买入价",IF(F155&lt;N155,"止损价不得低于初始止损",IF(F155&gt;E155,"止损价不得高于激活价",IF(AND(COUNTIFS($A$2:$A$501,"止损计划",$B$2:$B$501,B155,$D$2:$D$501,"&lt;"&amp;D155)&gt;0,OR(E155&lt;=AGGREGATE(14,6,$E$2:$E$501/(($A$2:$A$501="止损计划")*($B$2:$B$501=B155)*($D$2:$D$501&lt;D155)),1),F155&lt;AGGREGATE(14,6,$F$2:$F$501/(($A$2:$A$501="止损计划")*($B$2:$B$501=B155)*($D$2:$D$501&lt;D155)),1))),"阶段价格必须逐级提高","计划有效"))))))),IF(A155="每日跟踪",IF(OR(B155="",H155="",I155="",J155=""),"每日数据不完整",IF(COUNTIFS($A$2:$A$501,"每日跟踪",$B$2:$B$501,B155,$H$2:$H$501,H155)&gt;1,"同一交易日期重复",IF(AND(R155&lt;&gt;"",R155&lt;S155),"人工止损无效：不能下调","跟踪有效"))),"记录类型无效")))</f>
        <v/>
      </c>
    </row>
    <row r="156">
      <c r="A156" s="28" t="n"/>
      <c r="B156" s="28" t="n"/>
      <c r="C156" s="31">
        <f>IF(B156="","",IFERROR(LOOKUP(2,1/(单次交易!$A$2:$A$201=B156),单次交易!$B$2:$B$201),""))</f>
        <v/>
      </c>
      <c r="D156" s="27" t="n"/>
      <c r="E156" s="43" t="n"/>
      <c r="F156" s="43" t="n"/>
      <c r="G156" s="28" t="n"/>
      <c r="H156" s="49" t="n"/>
      <c r="I156" s="43" t="n"/>
      <c r="J156" s="27" t="n"/>
      <c r="K156" s="28" t="n"/>
      <c r="L156" s="28" t="n"/>
      <c r="M156" s="28" t="n"/>
      <c r="N156" s="44">
        <f>IF(B156="","",IFERROR(LOOKUP(2,1/(单次交易!$A$2:$A$201=B156),单次交易!$N$2:$N$201),""))</f>
        <v/>
      </c>
      <c r="O156" s="44">
        <f>IF(A156&lt;&gt;"每日跟踪","",IF(OR(B156="",H156="",I156=""),"",IFERROR(AGGREGATE(14,6,$I$2:$I$501/(($A$2:$A$501="每日跟踪")*($B$2:$B$501=B156)*($H$2:$H$501&lt;=H156)),1),"")))</f>
        <v/>
      </c>
      <c r="P156" s="26">
        <f>IF(A156&lt;&gt;"每日跟踪","",IF(O156="","",IFERROR(AGGREGATE(14,6,$D$2:$D$501/(($A$2:$A$501="止损计划")*($B$2:$B$501=B156)*($E$2:$E$501&lt;=O156)),1),0)))</f>
        <v/>
      </c>
      <c r="Q156" s="44">
        <f>IF(A156&lt;&gt;"每日跟踪","",IF(N156="","",MAX(N156,IFERROR(AGGREGATE(14,6,$F$2:$F$501/(($A$2:$A$501="止损计划")*($B$2:$B$501=B156)*($E$2:$E$501&lt;=O156)),1),0))))</f>
        <v/>
      </c>
      <c r="R156" s="43" t="n"/>
      <c r="S156" s="44">
        <f>IF(A156&lt;&gt;"每日跟踪","",IF(Q156="","",MAX(Q156,IFERROR(AGGREGATE(14,6,$R$2:$R$501/(($A$2:$A$501="每日跟踪")*($B$2:$B$501=B156)*($H$2:$H$501&lt;=H156)),1),0))))</f>
        <v/>
      </c>
      <c r="T156" s="44">
        <f>IF(A156&lt;&gt;"每日跟踪","",IF(O156="","",IF(COUNTIFS($A$2:$A$501,"止损计划",$B$2:$B$501,B156,$E$2:$E$501,"&gt;"&amp;O156)=0,"",AGGREGATE(15,6,$E$2:$E$501/(($A$2:$A$501="止损计划")*($B$2:$B$501=B156)*($E$2:$E$501&gt;O156)),1))))</f>
        <v/>
      </c>
      <c r="U156" s="44">
        <f>IF(OR(A156&lt;&gt;"每日跟踪",T156=""),"",IFERROR(AGGREGATE(14,6,$F$2:$F$501/(($A$2:$A$501="止损计划")*($B$2:$B$501=B156)*($E$2:$E$501=T156)),1),""))</f>
        <v/>
      </c>
      <c r="V156" s="30">
        <f>IF(OR(A156&lt;&gt;"每日跟踪",T156="",I156="",I156&lt;=0),"",T156/I156-1)</f>
        <v/>
      </c>
      <c r="W156" s="31">
        <f>IF(A156&lt;&gt;"每日跟踪","",IF(OR(I156="",S156=""),"",IF(I156&lt;=S156,"触发止损：应全部卖出","继续观察")))</f>
        <v/>
      </c>
      <c r="X156" s="28" t="n"/>
      <c r="Y156" s="43" t="n"/>
      <c r="Z156" s="26">
        <f>IF(X156&lt;&gt;"执行卖出","",IFERROR(LOOKUP(2,1/(单次交易!$A$2:$A$201=B156),单次交易!$AP$2:$AP$201),""))</f>
        <v/>
      </c>
      <c r="AA156" s="43" t="n"/>
      <c r="AB156" s="31">
        <f>IF(A156&lt;&gt;"每日跟踪","",IF(OR(B156="",H156="",I156="",J156="",K156="",L156="",M156=""),"待补充每日记录",IF(W156="触发止损：应全部卖出",IF(X156&lt;&gt;"执行卖出","违规：触发止损但未执行",IF(Y156="","待补充实际卖出价","卖出记录完整")),IF(X156="","待选择卖出动作",IF(X156="执行卖出",IF(Y156="","待补充实际卖出价","卖出记录完整"),"正常")))))</f>
        <v/>
      </c>
      <c r="AC156" s="31">
        <f>IF(A156="","",IF(A156="止损计划",IF(OR(B156="",D156="",E156="",F156="",G156=""),"计划不完整",IF(OR(D156&lt;1,D156&lt;&gt;INT(D156)),"阶段序号无效",IF(COUNTIFS($A$2:$A$501,"止损计划",$B$2:$B$501,B156,$D$2:$D$501,D156)&gt;1,"阶段序号重复",IF(E156&lt;=IFERROR(LOOKUP(2,1/('单次交易'!$A$2:$A$201=B156),'单次交易'!$E$2:$E$201),0),"激活价须高于买入价",IF(F156&lt;N156,"止损价不得低于初始止损",IF(F156&gt;E156,"止损价不得高于激活价",IF(AND(COUNTIFS($A$2:$A$501,"止损计划",$B$2:$B$501,B156,$D$2:$D$501,"&lt;"&amp;D156)&gt;0,OR(E156&lt;=AGGREGATE(14,6,$E$2:$E$501/(($A$2:$A$501="止损计划")*($B$2:$B$501=B156)*($D$2:$D$501&lt;D156)),1),F156&lt;AGGREGATE(14,6,$F$2:$F$501/(($A$2:$A$501="止损计划")*($B$2:$B$501=B156)*($D$2:$D$501&lt;D156)),1))),"阶段价格必须逐级提高","计划有效"))))))),IF(A156="每日跟踪",IF(OR(B156="",H156="",I156="",J156=""),"每日数据不完整",IF(COUNTIFS($A$2:$A$501,"每日跟踪",$B$2:$B$501,B156,$H$2:$H$501,H156)&gt;1,"同一交易日期重复",IF(AND(R156&lt;&gt;"",R156&lt;S156),"人工止损无效：不能下调","跟踪有效"))),"记录类型无效")))</f>
        <v/>
      </c>
    </row>
    <row r="157">
      <c r="A157" s="28" t="n"/>
      <c r="B157" s="28" t="n"/>
      <c r="C157" s="31">
        <f>IF(B157="","",IFERROR(LOOKUP(2,1/(单次交易!$A$2:$A$201=B157),单次交易!$B$2:$B$201),""))</f>
        <v/>
      </c>
      <c r="D157" s="27" t="n"/>
      <c r="E157" s="43" t="n"/>
      <c r="F157" s="43" t="n"/>
      <c r="G157" s="28" t="n"/>
      <c r="H157" s="49" t="n"/>
      <c r="I157" s="43" t="n"/>
      <c r="J157" s="27" t="n"/>
      <c r="K157" s="28" t="n"/>
      <c r="L157" s="28" t="n"/>
      <c r="M157" s="28" t="n"/>
      <c r="N157" s="44">
        <f>IF(B157="","",IFERROR(LOOKUP(2,1/(单次交易!$A$2:$A$201=B157),单次交易!$N$2:$N$201),""))</f>
        <v/>
      </c>
      <c r="O157" s="44">
        <f>IF(A157&lt;&gt;"每日跟踪","",IF(OR(B157="",H157="",I157=""),"",IFERROR(AGGREGATE(14,6,$I$2:$I$501/(($A$2:$A$501="每日跟踪")*($B$2:$B$501=B157)*($H$2:$H$501&lt;=H157)),1),"")))</f>
        <v/>
      </c>
      <c r="P157" s="26">
        <f>IF(A157&lt;&gt;"每日跟踪","",IF(O157="","",IFERROR(AGGREGATE(14,6,$D$2:$D$501/(($A$2:$A$501="止损计划")*($B$2:$B$501=B157)*($E$2:$E$501&lt;=O157)),1),0)))</f>
        <v/>
      </c>
      <c r="Q157" s="44">
        <f>IF(A157&lt;&gt;"每日跟踪","",IF(N157="","",MAX(N157,IFERROR(AGGREGATE(14,6,$F$2:$F$501/(($A$2:$A$501="止损计划")*($B$2:$B$501=B157)*($E$2:$E$501&lt;=O157)),1),0))))</f>
        <v/>
      </c>
      <c r="R157" s="43" t="n"/>
      <c r="S157" s="44">
        <f>IF(A157&lt;&gt;"每日跟踪","",IF(Q157="","",MAX(Q157,IFERROR(AGGREGATE(14,6,$R$2:$R$501/(($A$2:$A$501="每日跟踪")*($B$2:$B$501=B157)*($H$2:$H$501&lt;=H157)),1),0))))</f>
        <v/>
      </c>
      <c r="T157" s="44">
        <f>IF(A157&lt;&gt;"每日跟踪","",IF(O157="","",IF(COUNTIFS($A$2:$A$501,"止损计划",$B$2:$B$501,B157,$E$2:$E$501,"&gt;"&amp;O157)=0,"",AGGREGATE(15,6,$E$2:$E$501/(($A$2:$A$501="止损计划")*($B$2:$B$501=B157)*($E$2:$E$501&gt;O157)),1))))</f>
        <v/>
      </c>
      <c r="U157" s="44">
        <f>IF(OR(A157&lt;&gt;"每日跟踪",T157=""),"",IFERROR(AGGREGATE(14,6,$F$2:$F$501/(($A$2:$A$501="止损计划")*($B$2:$B$501=B157)*($E$2:$E$501=T157)),1),""))</f>
        <v/>
      </c>
      <c r="V157" s="30">
        <f>IF(OR(A157&lt;&gt;"每日跟踪",T157="",I157="",I157&lt;=0),"",T157/I157-1)</f>
        <v/>
      </c>
      <c r="W157" s="31">
        <f>IF(A157&lt;&gt;"每日跟踪","",IF(OR(I157="",S157=""),"",IF(I157&lt;=S157,"触发止损：应全部卖出","继续观察")))</f>
        <v/>
      </c>
      <c r="X157" s="28" t="n"/>
      <c r="Y157" s="43" t="n"/>
      <c r="Z157" s="26">
        <f>IF(X157&lt;&gt;"执行卖出","",IFERROR(LOOKUP(2,1/(单次交易!$A$2:$A$201=B157),单次交易!$AP$2:$AP$201),""))</f>
        <v/>
      </c>
      <c r="AA157" s="43" t="n"/>
      <c r="AB157" s="31">
        <f>IF(A157&lt;&gt;"每日跟踪","",IF(OR(B157="",H157="",I157="",J157="",K157="",L157="",M157=""),"待补充每日记录",IF(W157="触发止损：应全部卖出",IF(X157&lt;&gt;"执行卖出","违规：触发止损但未执行",IF(Y157="","待补充实际卖出价","卖出记录完整")),IF(X157="","待选择卖出动作",IF(X157="执行卖出",IF(Y157="","待补充实际卖出价","卖出记录完整"),"正常")))))</f>
        <v/>
      </c>
      <c r="AC157" s="31">
        <f>IF(A157="","",IF(A157="止损计划",IF(OR(B157="",D157="",E157="",F157="",G157=""),"计划不完整",IF(OR(D157&lt;1,D157&lt;&gt;INT(D157)),"阶段序号无效",IF(COUNTIFS($A$2:$A$501,"止损计划",$B$2:$B$501,B157,$D$2:$D$501,D157)&gt;1,"阶段序号重复",IF(E157&lt;=IFERROR(LOOKUP(2,1/('单次交易'!$A$2:$A$201=B157),'单次交易'!$E$2:$E$201),0),"激活价须高于买入价",IF(F157&lt;N157,"止损价不得低于初始止损",IF(F157&gt;E157,"止损价不得高于激活价",IF(AND(COUNTIFS($A$2:$A$501,"止损计划",$B$2:$B$501,B157,$D$2:$D$501,"&lt;"&amp;D157)&gt;0,OR(E157&lt;=AGGREGATE(14,6,$E$2:$E$501/(($A$2:$A$501="止损计划")*($B$2:$B$501=B157)*($D$2:$D$501&lt;D157)),1),F157&lt;AGGREGATE(14,6,$F$2:$F$501/(($A$2:$A$501="止损计划")*($B$2:$B$501=B157)*($D$2:$D$501&lt;D157)),1))),"阶段价格必须逐级提高","计划有效"))))))),IF(A157="每日跟踪",IF(OR(B157="",H157="",I157="",J157=""),"每日数据不完整",IF(COUNTIFS($A$2:$A$501,"每日跟踪",$B$2:$B$501,B157,$H$2:$H$501,H157)&gt;1,"同一交易日期重复",IF(AND(R157&lt;&gt;"",R157&lt;S157),"人工止损无效：不能下调","跟踪有效"))),"记录类型无效")))</f>
        <v/>
      </c>
    </row>
    <row r="158">
      <c r="A158" s="28" t="n"/>
      <c r="B158" s="28" t="n"/>
      <c r="C158" s="31">
        <f>IF(B158="","",IFERROR(LOOKUP(2,1/(单次交易!$A$2:$A$201=B158),单次交易!$B$2:$B$201),""))</f>
        <v/>
      </c>
      <c r="D158" s="27" t="n"/>
      <c r="E158" s="43" t="n"/>
      <c r="F158" s="43" t="n"/>
      <c r="G158" s="28" t="n"/>
      <c r="H158" s="49" t="n"/>
      <c r="I158" s="43" t="n"/>
      <c r="J158" s="27" t="n"/>
      <c r="K158" s="28" t="n"/>
      <c r="L158" s="28" t="n"/>
      <c r="M158" s="28" t="n"/>
      <c r="N158" s="44">
        <f>IF(B158="","",IFERROR(LOOKUP(2,1/(单次交易!$A$2:$A$201=B158),单次交易!$N$2:$N$201),""))</f>
        <v/>
      </c>
      <c r="O158" s="44">
        <f>IF(A158&lt;&gt;"每日跟踪","",IF(OR(B158="",H158="",I158=""),"",IFERROR(AGGREGATE(14,6,$I$2:$I$501/(($A$2:$A$501="每日跟踪")*($B$2:$B$501=B158)*($H$2:$H$501&lt;=H158)),1),"")))</f>
        <v/>
      </c>
      <c r="P158" s="26">
        <f>IF(A158&lt;&gt;"每日跟踪","",IF(O158="","",IFERROR(AGGREGATE(14,6,$D$2:$D$501/(($A$2:$A$501="止损计划")*($B$2:$B$501=B158)*($E$2:$E$501&lt;=O158)),1),0)))</f>
        <v/>
      </c>
      <c r="Q158" s="44">
        <f>IF(A158&lt;&gt;"每日跟踪","",IF(N158="","",MAX(N158,IFERROR(AGGREGATE(14,6,$F$2:$F$501/(($A$2:$A$501="止损计划")*($B$2:$B$501=B158)*($E$2:$E$501&lt;=O158)),1),0))))</f>
        <v/>
      </c>
      <c r="R158" s="43" t="n"/>
      <c r="S158" s="44">
        <f>IF(A158&lt;&gt;"每日跟踪","",IF(Q158="","",MAX(Q158,IFERROR(AGGREGATE(14,6,$R$2:$R$501/(($A$2:$A$501="每日跟踪")*($B$2:$B$501=B158)*($H$2:$H$501&lt;=H158)),1),0))))</f>
        <v/>
      </c>
      <c r="T158" s="44">
        <f>IF(A158&lt;&gt;"每日跟踪","",IF(O158="","",IF(COUNTIFS($A$2:$A$501,"止损计划",$B$2:$B$501,B158,$E$2:$E$501,"&gt;"&amp;O158)=0,"",AGGREGATE(15,6,$E$2:$E$501/(($A$2:$A$501="止损计划")*($B$2:$B$501=B158)*($E$2:$E$501&gt;O158)),1))))</f>
        <v/>
      </c>
      <c r="U158" s="44">
        <f>IF(OR(A158&lt;&gt;"每日跟踪",T158=""),"",IFERROR(AGGREGATE(14,6,$F$2:$F$501/(($A$2:$A$501="止损计划")*($B$2:$B$501=B158)*($E$2:$E$501=T158)),1),""))</f>
        <v/>
      </c>
      <c r="V158" s="30">
        <f>IF(OR(A158&lt;&gt;"每日跟踪",T158="",I158="",I158&lt;=0),"",T158/I158-1)</f>
        <v/>
      </c>
      <c r="W158" s="31">
        <f>IF(A158&lt;&gt;"每日跟踪","",IF(OR(I158="",S158=""),"",IF(I158&lt;=S158,"触发止损：应全部卖出","继续观察")))</f>
        <v/>
      </c>
      <c r="X158" s="28" t="n"/>
      <c r="Y158" s="43" t="n"/>
      <c r="Z158" s="26">
        <f>IF(X158&lt;&gt;"执行卖出","",IFERROR(LOOKUP(2,1/(单次交易!$A$2:$A$201=B158),单次交易!$AP$2:$AP$201),""))</f>
        <v/>
      </c>
      <c r="AA158" s="43" t="n"/>
      <c r="AB158" s="31">
        <f>IF(A158&lt;&gt;"每日跟踪","",IF(OR(B158="",H158="",I158="",J158="",K158="",L158="",M158=""),"待补充每日记录",IF(W158="触发止损：应全部卖出",IF(X158&lt;&gt;"执行卖出","违规：触发止损但未执行",IF(Y158="","待补充实际卖出价","卖出记录完整")),IF(X158="","待选择卖出动作",IF(X158="执行卖出",IF(Y158="","待补充实际卖出价","卖出记录完整"),"正常")))))</f>
        <v/>
      </c>
      <c r="AC158" s="31">
        <f>IF(A158="","",IF(A158="止损计划",IF(OR(B158="",D158="",E158="",F158="",G158=""),"计划不完整",IF(OR(D158&lt;1,D158&lt;&gt;INT(D158)),"阶段序号无效",IF(COUNTIFS($A$2:$A$501,"止损计划",$B$2:$B$501,B158,$D$2:$D$501,D158)&gt;1,"阶段序号重复",IF(E158&lt;=IFERROR(LOOKUP(2,1/('单次交易'!$A$2:$A$201=B158),'单次交易'!$E$2:$E$201),0),"激活价须高于买入价",IF(F158&lt;N158,"止损价不得低于初始止损",IF(F158&gt;E158,"止损价不得高于激活价",IF(AND(COUNTIFS($A$2:$A$501,"止损计划",$B$2:$B$501,B158,$D$2:$D$501,"&lt;"&amp;D158)&gt;0,OR(E158&lt;=AGGREGATE(14,6,$E$2:$E$501/(($A$2:$A$501="止损计划")*($B$2:$B$501=B158)*($D$2:$D$501&lt;D158)),1),F158&lt;AGGREGATE(14,6,$F$2:$F$501/(($A$2:$A$501="止损计划")*($B$2:$B$501=B158)*($D$2:$D$501&lt;D158)),1))),"阶段价格必须逐级提高","计划有效"))))))),IF(A158="每日跟踪",IF(OR(B158="",H158="",I158="",J158=""),"每日数据不完整",IF(COUNTIFS($A$2:$A$501,"每日跟踪",$B$2:$B$501,B158,$H$2:$H$501,H158)&gt;1,"同一交易日期重复",IF(AND(R158&lt;&gt;"",R158&lt;S158),"人工止损无效：不能下调","跟踪有效"))),"记录类型无效")))</f>
        <v/>
      </c>
    </row>
    <row r="159">
      <c r="A159" s="28" t="n"/>
      <c r="B159" s="28" t="n"/>
      <c r="C159" s="31">
        <f>IF(B159="","",IFERROR(LOOKUP(2,1/(单次交易!$A$2:$A$201=B159),单次交易!$B$2:$B$201),""))</f>
        <v/>
      </c>
      <c r="D159" s="27" t="n"/>
      <c r="E159" s="43" t="n"/>
      <c r="F159" s="43" t="n"/>
      <c r="G159" s="28" t="n"/>
      <c r="H159" s="49" t="n"/>
      <c r="I159" s="43" t="n"/>
      <c r="J159" s="27" t="n"/>
      <c r="K159" s="28" t="n"/>
      <c r="L159" s="28" t="n"/>
      <c r="M159" s="28" t="n"/>
      <c r="N159" s="44">
        <f>IF(B159="","",IFERROR(LOOKUP(2,1/(单次交易!$A$2:$A$201=B159),单次交易!$N$2:$N$201),""))</f>
        <v/>
      </c>
      <c r="O159" s="44">
        <f>IF(A159&lt;&gt;"每日跟踪","",IF(OR(B159="",H159="",I159=""),"",IFERROR(AGGREGATE(14,6,$I$2:$I$501/(($A$2:$A$501="每日跟踪")*($B$2:$B$501=B159)*($H$2:$H$501&lt;=H159)),1),"")))</f>
        <v/>
      </c>
      <c r="P159" s="26">
        <f>IF(A159&lt;&gt;"每日跟踪","",IF(O159="","",IFERROR(AGGREGATE(14,6,$D$2:$D$501/(($A$2:$A$501="止损计划")*($B$2:$B$501=B159)*($E$2:$E$501&lt;=O159)),1),0)))</f>
        <v/>
      </c>
      <c r="Q159" s="44">
        <f>IF(A159&lt;&gt;"每日跟踪","",IF(N159="","",MAX(N159,IFERROR(AGGREGATE(14,6,$F$2:$F$501/(($A$2:$A$501="止损计划")*($B$2:$B$501=B159)*($E$2:$E$501&lt;=O159)),1),0))))</f>
        <v/>
      </c>
      <c r="R159" s="43" t="n"/>
      <c r="S159" s="44">
        <f>IF(A159&lt;&gt;"每日跟踪","",IF(Q159="","",MAX(Q159,IFERROR(AGGREGATE(14,6,$R$2:$R$501/(($A$2:$A$501="每日跟踪")*($B$2:$B$501=B159)*($H$2:$H$501&lt;=H159)),1),0))))</f>
        <v/>
      </c>
      <c r="T159" s="44">
        <f>IF(A159&lt;&gt;"每日跟踪","",IF(O159="","",IF(COUNTIFS($A$2:$A$501,"止损计划",$B$2:$B$501,B159,$E$2:$E$501,"&gt;"&amp;O159)=0,"",AGGREGATE(15,6,$E$2:$E$501/(($A$2:$A$501="止损计划")*($B$2:$B$501=B159)*($E$2:$E$501&gt;O159)),1))))</f>
        <v/>
      </c>
      <c r="U159" s="44">
        <f>IF(OR(A159&lt;&gt;"每日跟踪",T159=""),"",IFERROR(AGGREGATE(14,6,$F$2:$F$501/(($A$2:$A$501="止损计划")*($B$2:$B$501=B159)*($E$2:$E$501=T159)),1),""))</f>
        <v/>
      </c>
      <c r="V159" s="30">
        <f>IF(OR(A159&lt;&gt;"每日跟踪",T159="",I159="",I159&lt;=0),"",T159/I159-1)</f>
        <v/>
      </c>
      <c r="W159" s="31">
        <f>IF(A159&lt;&gt;"每日跟踪","",IF(OR(I159="",S159=""),"",IF(I159&lt;=S159,"触发止损：应全部卖出","继续观察")))</f>
        <v/>
      </c>
      <c r="X159" s="28" t="n"/>
      <c r="Y159" s="43" t="n"/>
      <c r="Z159" s="26">
        <f>IF(X159&lt;&gt;"执行卖出","",IFERROR(LOOKUP(2,1/(单次交易!$A$2:$A$201=B159),单次交易!$AP$2:$AP$201),""))</f>
        <v/>
      </c>
      <c r="AA159" s="43" t="n"/>
      <c r="AB159" s="31">
        <f>IF(A159&lt;&gt;"每日跟踪","",IF(OR(B159="",H159="",I159="",J159="",K159="",L159="",M159=""),"待补充每日记录",IF(W159="触发止损：应全部卖出",IF(X159&lt;&gt;"执行卖出","违规：触发止损但未执行",IF(Y159="","待补充实际卖出价","卖出记录完整")),IF(X159="","待选择卖出动作",IF(X159="执行卖出",IF(Y159="","待补充实际卖出价","卖出记录完整"),"正常")))))</f>
        <v/>
      </c>
      <c r="AC159" s="31">
        <f>IF(A159="","",IF(A159="止损计划",IF(OR(B159="",D159="",E159="",F159="",G159=""),"计划不完整",IF(OR(D159&lt;1,D159&lt;&gt;INT(D159)),"阶段序号无效",IF(COUNTIFS($A$2:$A$501,"止损计划",$B$2:$B$501,B159,$D$2:$D$501,D159)&gt;1,"阶段序号重复",IF(E159&lt;=IFERROR(LOOKUP(2,1/('单次交易'!$A$2:$A$201=B159),'单次交易'!$E$2:$E$201),0),"激活价须高于买入价",IF(F159&lt;N159,"止损价不得低于初始止损",IF(F159&gt;E159,"止损价不得高于激活价",IF(AND(COUNTIFS($A$2:$A$501,"止损计划",$B$2:$B$501,B159,$D$2:$D$501,"&lt;"&amp;D159)&gt;0,OR(E159&lt;=AGGREGATE(14,6,$E$2:$E$501/(($A$2:$A$501="止损计划")*($B$2:$B$501=B159)*($D$2:$D$501&lt;D159)),1),F159&lt;AGGREGATE(14,6,$F$2:$F$501/(($A$2:$A$501="止损计划")*($B$2:$B$501=B159)*($D$2:$D$501&lt;D159)),1))),"阶段价格必须逐级提高","计划有效"))))))),IF(A159="每日跟踪",IF(OR(B159="",H159="",I159="",J159=""),"每日数据不完整",IF(COUNTIFS($A$2:$A$501,"每日跟踪",$B$2:$B$501,B159,$H$2:$H$501,H159)&gt;1,"同一交易日期重复",IF(AND(R159&lt;&gt;"",R159&lt;S159),"人工止损无效：不能下调","跟踪有效"))),"记录类型无效")))</f>
        <v/>
      </c>
    </row>
    <row r="160">
      <c r="A160" s="28" t="n"/>
      <c r="B160" s="28" t="n"/>
      <c r="C160" s="31">
        <f>IF(B160="","",IFERROR(LOOKUP(2,1/(单次交易!$A$2:$A$201=B160),单次交易!$B$2:$B$201),""))</f>
        <v/>
      </c>
      <c r="D160" s="27" t="n"/>
      <c r="E160" s="43" t="n"/>
      <c r="F160" s="43" t="n"/>
      <c r="G160" s="28" t="n"/>
      <c r="H160" s="49" t="n"/>
      <c r="I160" s="43" t="n"/>
      <c r="J160" s="27" t="n"/>
      <c r="K160" s="28" t="n"/>
      <c r="L160" s="28" t="n"/>
      <c r="M160" s="28" t="n"/>
      <c r="N160" s="44">
        <f>IF(B160="","",IFERROR(LOOKUP(2,1/(单次交易!$A$2:$A$201=B160),单次交易!$N$2:$N$201),""))</f>
        <v/>
      </c>
      <c r="O160" s="44">
        <f>IF(A160&lt;&gt;"每日跟踪","",IF(OR(B160="",H160="",I160=""),"",IFERROR(AGGREGATE(14,6,$I$2:$I$501/(($A$2:$A$501="每日跟踪")*($B$2:$B$501=B160)*($H$2:$H$501&lt;=H160)),1),"")))</f>
        <v/>
      </c>
      <c r="P160" s="26">
        <f>IF(A160&lt;&gt;"每日跟踪","",IF(O160="","",IFERROR(AGGREGATE(14,6,$D$2:$D$501/(($A$2:$A$501="止损计划")*($B$2:$B$501=B160)*($E$2:$E$501&lt;=O160)),1),0)))</f>
        <v/>
      </c>
      <c r="Q160" s="44">
        <f>IF(A160&lt;&gt;"每日跟踪","",IF(N160="","",MAX(N160,IFERROR(AGGREGATE(14,6,$F$2:$F$501/(($A$2:$A$501="止损计划")*($B$2:$B$501=B160)*($E$2:$E$501&lt;=O160)),1),0))))</f>
        <v/>
      </c>
      <c r="R160" s="43" t="n"/>
      <c r="S160" s="44">
        <f>IF(A160&lt;&gt;"每日跟踪","",IF(Q160="","",MAX(Q160,IFERROR(AGGREGATE(14,6,$R$2:$R$501/(($A$2:$A$501="每日跟踪")*($B$2:$B$501=B160)*($H$2:$H$501&lt;=H160)),1),0))))</f>
        <v/>
      </c>
      <c r="T160" s="44">
        <f>IF(A160&lt;&gt;"每日跟踪","",IF(O160="","",IF(COUNTIFS($A$2:$A$501,"止损计划",$B$2:$B$501,B160,$E$2:$E$501,"&gt;"&amp;O160)=0,"",AGGREGATE(15,6,$E$2:$E$501/(($A$2:$A$501="止损计划")*($B$2:$B$501=B160)*($E$2:$E$501&gt;O160)),1))))</f>
        <v/>
      </c>
      <c r="U160" s="44">
        <f>IF(OR(A160&lt;&gt;"每日跟踪",T160=""),"",IFERROR(AGGREGATE(14,6,$F$2:$F$501/(($A$2:$A$501="止损计划")*($B$2:$B$501=B160)*($E$2:$E$501=T160)),1),""))</f>
        <v/>
      </c>
      <c r="V160" s="30">
        <f>IF(OR(A160&lt;&gt;"每日跟踪",T160="",I160="",I160&lt;=0),"",T160/I160-1)</f>
        <v/>
      </c>
      <c r="W160" s="31">
        <f>IF(A160&lt;&gt;"每日跟踪","",IF(OR(I160="",S160=""),"",IF(I160&lt;=S160,"触发止损：应全部卖出","继续观察")))</f>
        <v/>
      </c>
      <c r="X160" s="28" t="n"/>
      <c r="Y160" s="43" t="n"/>
      <c r="Z160" s="26">
        <f>IF(X160&lt;&gt;"执行卖出","",IFERROR(LOOKUP(2,1/(单次交易!$A$2:$A$201=B160),单次交易!$AP$2:$AP$201),""))</f>
        <v/>
      </c>
      <c r="AA160" s="43" t="n"/>
      <c r="AB160" s="31">
        <f>IF(A160&lt;&gt;"每日跟踪","",IF(OR(B160="",H160="",I160="",J160="",K160="",L160="",M160=""),"待补充每日记录",IF(W160="触发止损：应全部卖出",IF(X160&lt;&gt;"执行卖出","违规：触发止损但未执行",IF(Y160="","待补充实际卖出价","卖出记录完整")),IF(X160="","待选择卖出动作",IF(X160="执行卖出",IF(Y160="","待补充实际卖出价","卖出记录完整"),"正常")))))</f>
        <v/>
      </c>
      <c r="AC160" s="31">
        <f>IF(A160="","",IF(A160="止损计划",IF(OR(B160="",D160="",E160="",F160="",G160=""),"计划不完整",IF(OR(D160&lt;1,D160&lt;&gt;INT(D160)),"阶段序号无效",IF(COUNTIFS($A$2:$A$501,"止损计划",$B$2:$B$501,B160,$D$2:$D$501,D160)&gt;1,"阶段序号重复",IF(E160&lt;=IFERROR(LOOKUP(2,1/('单次交易'!$A$2:$A$201=B160),'单次交易'!$E$2:$E$201),0),"激活价须高于买入价",IF(F160&lt;N160,"止损价不得低于初始止损",IF(F160&gt;E160,"止损价不得高于激活价",IF(AND(COUNTIFS($A$2:$A$501,"止损计划",$B$2:$B$501,B160,$D$2:$D$501,"&lt;"&amp;D160)&gt;0,OR(E160&lt;=AGGREGATE(14,6,$E$2:$E$501/(($A$2:$A$501="止损计划")*($B$2:$B$501=B160)*($D$2:$D$501&lt;D160)),1),F160&lt;AGGREGATE(14,6,$F$2:$F$501/(($A$2:$A$501="止损计划")*($B$2:$B$501=B160)*($D$2:$D$501&lt;D160)),1))),"阶段价格必须逐级提高","计划有效"))))))),IF(A160="每日跟踪",IF(OR(B160="",H160="",I160="",J160=""),"每日数据不完整",IF(COUNTIFS($A$2:$A$501,"每日跟踪",$B$2:$B$501,B160,$H$2:$H$501,H160)&gt;1,"同一交易日期重复",IF(AND(R160&lt;&gt;"",R160&lt;S160),"人工止损无效：不能下调","跟踪有效"))),"记录类型无效")))</f>
        <v/>
      </c>
    </row>
    <row r="161">
      <c r="A161" s="28" t="n"/>
      <c r="B161" s="28" t="n"/>
      <c r="C161" s="31">
        <f>IF(B161="","",IFERROR(LOOKUP(2,1/(单次交易!$A$2:$A$201=B161),单次交易!$B$2:$B$201),""))</f>
        <v/>
      </c>
      <c r="D161" s="27" t="n"/>
      <c r="E161" s="43" t="n"/>
      <c r="F161" s="43" t="n"/>
      <c r="G161" s="28" t="n"/>
      <c r="H161" s="49" t="n"/>
      <c r="I161" s="43" t="n"/>
      <c r="J161" s="27" t="n"/>
      <c r="K161" s="28" t="n"/>
      <c r="L161" s="28" t="n"/>
      <c r="M161" s="28" t="n"/>
      <c r="N161" s="44">
        <f>IF(B161="","",IFERROR(LOOKUP(2,1/(单次交易!$A$2:$A$201=B161),单次交易!$N$2:$N$201),""))</f>
        <v/>
      </c>
      <c r="O161" s="44">
        <f>IF(A161&lt;&gt;"每日跟踪","",IF(OR(B161="",H161="",I161=""),"",IFERROR(AGGREGATE(14,6,$I$2:$I$501/(($A$2:$A$501="每日跟踪")*($B$2:$B$501=B161)*($H$2:$H$501&lt;=H161)),1),"")))</f>
        <v/>
      </c>
      <c r="P161" s="26">
        <f>IF(A161&lt;&gt;"每日跟踪","",IF(O161="","",IFERROR(AGGREGATE(14,6,$D$2:$D$501/(($A$2:$A$501="止损计划")*($B$2:$B$501=B161)*($E$2:$E$501&lt;=O161)),1),0)))</f>
        <v/>
      </c>
      <c r="Q161" s="44">
        <f>IF(A161&lt;&gt;"每日跟踪","",IF(N161="","",MAX(N161,IFERROR(AGGREGATE(14,6,$F$2:$F$501/(($A$2:$A$501="止损计划")*($B$2:$B$501=B161)*($E$2:$E$501&lt;=O161)),1),0))))</f>
        <v/>
      </c>
      <c r="R161" s="43" t="n"/>
      <c r="S161" s="44">
        <f>IF(A161&lt;&gt;"每日跟踪","",IF(Q161="","",MAX(Q161,IFERROR(AGGREGATE(14,6,$R$2:$R$501/(($A$2:$A$501="每日跟踪")*($B$2:$B$501=B161)*($H$2:$H$501&lt;=H161)),1),0))))</f>
        <v/>
      </c>
      <c r="T161" s="44">
        <f>IF(A161&lt;&gt;"每日跟踪","",IF(O161="","",IF(COUNTIFS($A$2:$A$501,"止损计划",$B$2:$B$501,B161,$E$2:$E$501,"&gt;"&amp;O161)=0,"",AGGREGATE(15,6,$E$2:$E$501/(($A$2:$A$501="止损计划")*($B$2:$B$501=B161)*($E$2:$E$501&gt;O161)),1))))</f>
        <v/>
      </c>
      <c r="U161" s="44">
        <f>IF(OR(A161&lt;&gt;"每日跟踪",T161=""),"",IFERROR(AGGREGATE(14,6,$F$2:$F$501/(($A$2:$A$501="止损计划")*($B$2:$B$501=B161)*($E$2:$E$501=T161)),1),""))</f>
        <v/>
      </c>
      <c r="V161" s="30">
        <f>IF(OR(A161&lt;&gt;"每日跟踪",T161="",I161="",I161&lt;=0),"",T161/I161-1)</f>
        <v/>
      </c>
      <c r="W161" s="31">
        <f>IF(A161&lt;&gt;"每日跟踪","",IF(OR(I161="",S161=""),"",IF(I161&lt;=S161,"触发止损：应全部卖出","继续观察")))</f>
        <v/>
      </c>
      <c r="X161" s="28" t="n"/>
      <c r="Y161" s="43" t="n"/>
      <c r="Z161" s="26">
        <f>IF(X161&lt;&gt;"执行卖出","",IFERROR(LOOKUP(2,1/(单次交易!$A$2:$A$201=B161),单次交易!$AP$2:$AP$201),""))</f>
        <v/>
      </c>
      <c r="AA161" s="43" t="n"/>
      <c r="AB161" s="31">
        <f>IF(A161&lt;&gt;"每日跟踪","",IF(OR(B161="",H161="",I161="",J161="",K161="",L161="",M161=""),"待补充每日记录",IF(W161="触发止损：应全部卖出",IF(X161&lt;&gt;"执行卖出","违规：触发止损但未执行",IF(Y161="","待补充实际卖出价","卖出记录完整")),IF(X161="","待选择卖出动作",IF(X161="执行卖出",IF(Y161="","待补充实际卖出价","卖出记录完整"),"正常")))))</f>
        <v/>
      </c>
      <c r="AC161" s="31">
        <f>IF(A161="","",IF(A161="止损计划",IF(OR(B161="",D161="",E161="",F161="",G161=""),"计划不完整",IF(OR(D161&lt;1,D161&lt;&gt;INT(D161)),"阶段序号无效",IF(COUNTIFS($A$2:$A$501,"止损计划",$B$2:$B$501,B161,$D$2:$D$501,D161)&gt;1,"阶段序号重复",IF(E161&lt;=IFERROR(LOOKUP(2,1/('单次交易'!$A$2:$A$201=B161),'单次交易'!$E$2:$E$201),0),"激活价须高于买入价",IF(F161&lt;N161,"止损价不得低于初始止损",IF(F161&gt;E161,"止损价不得高于激活价",IF(AND(COUNTIFS($A$2:$A$501,"止损计划",$B$2:$B$501,B161,$D$2:$D$501,"&lt;"&amp;D161)&gt;0,OR(E161&lt;=AGGREGATE(14,6,$E$2:$E$501/(($A$2:$A$501="止损计划")*($B$2:$B$501=B161)*($D$2:$D$501&lt;D161)),1),F161&lt;AGGREGATE(14,6,$F$2:$F$501/(($A$2:$A$501="止损计划")*($B$2:$B$501=B161)*($D$2:$D$501&lt;D161)),1))),"阶段价格必须逐级提高","计划有效"))))))),IF(A161="每日跟踪",IF(OR(B161="",H161="",I161="",J161=""),"每日数据不完整",IF(COUNTIFS($A$2:$A$501,"每日跟踪",$B$2:$B$501,B161,$H$2:$H$501,H161)&gt;1,"同一交易日期重复",IF(AND(R161&lt;&gt;"",R161&lt;S161),"人工止损无效：不能下调","跟踪有效"))),"记录类型无效")))</f>
        <v/>
      </c>
    </row>
    <row r="162">
      <c r="A162" s="28" t="n"/>
      <c r="B162" s="28" t="n"/>
      <c r="C162" s="31">
        <f>IF(B162="","",IFERROR(LOOKUP(2,1/(单次交易!$A$2:$A$201=B162),单次交易!$B$2:$B$201),""))</f>
        <v/>
      </c>
      <c r="D162" s="27" t="n"/>
      <c r="E162" s="43" t="n"/>
      <c r="F162" s="43" t="n"/>
      <c r="G162" s="28" t="n"/>
      <c r="H162" s="49" t="n"/>
      <c r="I162" s="43" t="n"/>
      <c r="J162" s="27" t="n"/>
      <c r="K162" s="28" t="n"/>
      <c r="L162" s="28" t="n"/>
      <c r="M162" s="28" t="n"/>
      <c r="N162" s="44">
        <f>IF(B162="","",IFERROR(LOOKUP(2,1/(单次交易!$A$2:$A$201=B162),单次交易!$N$2:$N$201),""))</f>
        <v/>
      </c>
      <c r="O162" s="44">
        <f>IF(A162&lt;&gt;"每日跟踪","",IF(OR(B162="",H162="",I162=""),"",IFERROR(AGGREGATE(14,6,$I$2:$I$501/(($A$2:$A$501="每日跟踪")*($B$2:$B$501=B162)*($H$2:$H$501&lt;=H162)),1),"")))</f>
        <v/>
      </c>
      <c r="P162" s="26">
        <f>IF(A162&lt;&gt;"每日跟踪","",IF(O162="","",IFERROR(AGGREGATE(14,6,$D$2:$D$501/(($A$2:$A$501="止损计划")*($B$2:$B$501=B162)*($E$2:$E$501&lt;=O162)),1),0)))</f>
        <v/>
      </c>
      <c r="Q162" s="44">
        <f>IF(A162&lt;&gt;"每日跟踪","",IF(N162="","",MAX(N162,IFERROR(AGGREGATE(14,6,$F$2:$F$501/(($A$2:$A$501="止损计划")*($B$2:$B$501=B162)*($E$2:$E$501&lt;=O162)),1),0))))</f>
        <v/>
      </c>
      <c r="R162" s="43" t="n"/>
      <c r="S162" s="44">
        <f>IF(A162&lt;&gt;"每日跟踪","",IF(Q162="","",MAX(Q162,IFERROR(AGGREGATE(14,6,$R$2:$R$501/(($A$2:$A$501="每日跟踪")*($B$2:$B$501=B162)*($H$2:$H$501&lt;=H162)),1),0))))</f>
        <v/>
      </c>
      <c r="T162" s="44">
        <f>IF(A162&lt;&gt;"每日跟踪","",IF(O162="","",IF(COUNTIFS($A$2:$A$501,"止损计划",$B$2:$B$501,B162,$E$2:$E$501,"&gt;"&amp;O162)=0,"",AGGREGATE(15,6,$E$2:$E$501/(($A$2:$A$501="止损计划")*($B$2:$B$501=B162)*($E$2:$E$501&gt;O162)),1))))</f>
        <v/>
      </c>
      <c r="U162" s="44">
        <f>IF(OR(A162&lt;&gt;"每日跟踪",T162=""),"",IFERROR(AGGREGATE(14,6,$F$2:$F$501/(($A$2:$A$501="止损计划")*($B$2:$B$501=B162)*($E$2:$E$501=T162)),1),""))</f>
        <v/>
      </c>
      <c r="V162" s="30">
        <f>IF(OR(A162&lt;&gt;"每日跟踪",T162="",I162="",I162&lt;=0),"",T162/I162-1)</f>
        <v/>
      </c>
      <c r="W162" s="31">
        <f>IF(A162&lt;&gt;"每日跟踪","",IF(OR(I162="",S162=""),"",IF(I162&lt;=S162,"触发止损：应全部卖出","继续观察")))</f>
        <v/>
      </c>
      <c r="X162" s="28" t="n"/>
      <c r="Y162" s="43" t="n"/>
      <c r="Z162" s="26">
        <f>IF(X162&lt;&gt;"执行卖出","",IFERROR(LOOKUP(2,1/(单次交易!$A$2:$A$201=B162),单次交易!$AP$2:$AP$201),""))</f>
        <v/>
      </c>
      <c r="AA162" s="43" t="n"/>
      <c r="AB162" s="31">
        <f>IF(A162&lt;&gt;"每日跟踪","",IF(OR(B162="",H162="",I162="",J162="",K162="",L162="",M162=""),"待补充每日记录",IF(W162="触发止损：应全部卖出",IF(X162&lt;&gt;"执行卖出","违规：触发止损但未执行",IF(Y162="","待补充实际卖出价","卖出记录完整")),IF(X162="","待选择卖出动作",IF(X162="执行卖出",IF(Y162="","待补充实际卖出价","卖出记录完整"),"正常")))))</f>
        <v/>
      </c>
      <c r="AC162" s="31">
        <f>IF(A162="","",IF(A162="止损计划",IF(OR(B162="",D162="",E162="",F162="",G162=""),"计划不完整",IF(OR(D162&lt;1,D162&lt;&gt;INT(D162)),"阶段序号无效",IF(COUNTIFS($A$2:$A$501,"止损计划",$B$2:$B$501,B162,$D$2:$D$501,D162)&gt;1,"阶段序号重复",IF(E162&lt;=IFERROR(LOOKUP(2,1/('单次交易'!$A$2:$A$201=B162),'单次交易'!$E$2:$E$201),0),"激活价须高于买入价",IF(F162&lt;N162,"止损价不得低于初始止损",IF(F162&gt;E162,"止损价不得高于激活价",IF(AND(COUNTIFS($A$2:$A$501,"止损计划",$B$2:$B$501,B162,$D$2:$D$501,"&lt;"&amp;D162)&gt;0,OR(E162&lt;=AGGREGATE(14,6,$E$2:$E$501/(($A$2:$A$501="止损计划")*($B$2:$B$501=B162)*($D$2:$D$501&lt;D162)),1),F162&lt;AGGREGATE(14,6,$F$2:$F$501/(($A$2:$A$501="止损计划")*($B$2:$B$501=B162)*($D$2:$D$501&lt;D162)),1))),"阶段价格必须逐级提高","计划有效"))))))),IF(A162="每日跟踪",IF(OR(B162="",H162="",I162="",J162=""),"每日数据不完整",IF(COUNTIFS($A$2:$A$501,"每日跟踪",$B$2:$B$501,B162,$H$2:$H$501,H162)&gt;1,"同一交易日期重复",IF(AND(R162&lt;&gt;"",R162&lt;S162),"人工止损无效：不能下调","跟踪有效"))),"记录类型无效")))</f>
        <v/>
      </c>
    </row>
    <row r="163">
      <c r="A163" s="28" t="n"/>
      <c r="B163" s="28" t="n"/>
      <c r="C163" s="31">
        <f>IF(B163="","",IFERROR(LOOKUP(2,1/(单次交易!$A$2:$A$201=B163),单次交易!$B$2:$B$201),""))</f>
        <v/>
      </c>
      <c r="D163" s="27" t="n"/>
      <c r="E163" s="43" t="n"/>
      <c r="F163" s="43" t="n"/>
      <c r="G163" s="28" t="n"/>
      <c r="H163" s="49" t="n"/>
      <c r="I163" s="43" t="n"/>
      <c r="J163" s="27" t="n"/>
      <c r="K163" s="28" t="n"/>
      <c r="L163" s="28" t="n"/>
      <c r="M163" s="28" t="n"/>
      <c r="N163" s="44">
        <f>IF(B163="","",IFERROR(LOOKUP(2,1/(单次交易!$A$2:$A$201=B163),单次交易!$N$2:$N$201),""))</f>
        <v/>
      </c>
      <c r="O163" s="44">
        <f>IF(A163&lt;&gt;"每日跟踪","",IF(OR(B163="",H163="",I163=""),"",IFERROR(AGGREGATE(14,6,$I$2:$I$501/(($A$2:$A$501="每日跟踪")*($B$2:$B$501=B163)*($H$2:$H$501&lt;=H163)),1),"")))</f>
        <v/>
      </c>
      <c r="P163" s="26">
        <f>IF(A163&lt;&gt;"每日跟踪","",IF(O163="","",IFERROR(AGGREGATE(14,6,$D$2:$D$501/(($A$2:$A$501="止损计划")*($B$2:$B$501=B163)*($E$2:$E$501&lt;=O163)),1),0)))</f>
        <v/>
      </c>
      <c r="Q163" s="44">
        <f>IF(A163&lt;&gt;"每日跟踪","",IF(N163="","",MAX(N163,IFERROR(AGGREGATE(14,6,$F$2:$F$501/(($A$2:$A$501="止损计划")*($B$2:$B$501=B163)*($E$2:$E$501&lt;=O163)),1),0))))</f>
        <v/>
      </c>
      <c r="R163" s="43" t="n"/>
      <c r="S163" s="44">
        <f>IF(A163&lt;&gt;"每日跟踪","",IF(Q163="","",MAX(Q163,IFERROR(AGGREGATE(14,6,$R$2:$R$501/(($A$2:$A$501="每日跟踪")*($B$2:$B$501=B163)*($H$2:$H$501&lt;=H163)),1),0))))</f>
        <v/>
      </c>
      <c r="T163" s="44">
        <f>IF(A163&lt;&gt;"每日跟踪","",IF(O163="","",IF(COUNTIFS($A$2:$A$501,"止损计划",$B$2:$B$501,B163,$E$2:$E$501,"&gt;"&amp;O163)=0,"",AGGREGATE(15,6,$E$2:$E$501/(($A$2:$A$501="止损计划")*($B$2:$B$501=B163)*($E$2:$E$501&gt;O163)),1))))</f>
        <v/>
      </c>
      <c r="U163" s="44">
        <f>IF(OR(A163&lt;&gt;"每日跟踪",T163=""),"",IFERROR(AGGREGATE(14,6,$F$2:$F$501/(($A$2:$A$501="止损计划")*($B$2:$B$501=B163)*($E$2:$E$501=T163)),1),""))</f>
        <v/>
      </c>
      <c r="V163" s="30">
        <f>IF(OR(A163&lt;&gt;"每日跟踪",T163="",I163="",I163&lt;=0),"",T163/I163-1)</f>
        <v/>
      </c>
      <c r="W163" s="31">
        <f>IF(A163&lt;&gt;"每日跟踪","",IF(OR(I163="",S163=""),"",IF(I163&lt;=S163,"触发止损：应全部卖出","继续观察")))</f>
        <v/>
      </c>
      <c r="X163" s="28" t="n"/>
      <c r="Y163" s="43" t="n"/>
      <c r="Z163" s="26">
        <f>IF(X163&lt;&gt;"执行卖出","",IFERROR(LOOKUP(2,1/(单次交易!$A$2:$A$201=B163),单次交易!$AP$2:$AP$201),""))</f>
        <v/>
      </c>
      <c r="AA163" s="43" t="n"/>
      <c r="AB163" s="31">
        <f>IF(A163&lt;&gt;"每日跟踪","",IF(OR(B163="",H163="",I163="",J163="",K163="",L163="",M163=""),"待补充每日记录",IF(W163="触发止损：应全部卖出",IF(X163&lt;&gt;"执行卖出","违规：触发止损但未执行",IF(Y163="","待补充实际卖出价","卖出记录完整")),IF(X163="","待选择卖出动作",IF(X163="执行卖出",IF(Y163="","待补充实际卖出价","卖出记录完整"),"正常")))))</f>
        <v/>
      </c>
      <c r="AC163" s="31">
        <f>IF(A163="","",IF(A163="止损计划",IF(OR(B163="",D163="",E163="",F163="",G163=""),"计划不完整",IF(OR(D163&lt;1,D163&lt;&gt;INT(D163)),"阶段序号无效",IF(COUNTIFS($A$2:$A$501,"止损计划",$B$2:$B$501,B163,$D$2:$D$501,D163)&gt;1,"阶段序号重复",IF(E163&lt;=IFERROR(LOOKUP(2,1/('单次交易'!$A$2:$A$201=B163),'单次交易'!$E$2:$E$201),0),"激活价须高于买入价",IF(F163&lt;N163,"止损价不得低于初始止损",IF(F163&gt;E163,"止损价不得高于激活价",IF(AND(COUNTIFS($A$2:$A$501,"止损计划",$B$2:$B$501,B163,$D$2:$D$501,"&lt;"&amp;D163)&gt;0,OR(E163&lt;=AGGREGATE(14,6,$E$2:$E$501/(($A$2:$A$501="止损计划")*($B$2:$B$501=B163)*($D$2:$D$501&lt;D163)),1),F163&lt;AGGREGATE(14,6,$F$2:$F$501/(($A$2:$A$501="止损计划")*($B$2:$B$501=B163)*($D$2:$D$501&lt;D163)),1))),"阶段价格必须逐级提高","计划有效"))))))),IF(A163="每日跟踪",IF(OR(B163="",H163="",I163="",J163=""),"每日数据不完整",IF(COUNTIFS($A$2:$A$501,"每日跟踪",$B$2:$B$501,B163,$H$2:$H$501,H163)&gt;1,"同一交易日期重复",IF(AND(R163&lt;&gt;"",R163&lt;S163),"人工止损无效：不能下调","跟踪有效"))),"记录类型无效")))</f>
        <v/>
      </c>
    </row>
    <row r="164">
      <c r="A164" s="28" t="n"/>
      <c r="B164" s="28" t="n"/>
      <c r="C164" s="31">
        <f>IF(B164="","",IFERROR(LOOKUP(2,1/(单次交易!$A$2:$A$201=B164),单次交易!$B$2:$B$201),""))</f>
        <v/>
      </c>
      <c r="D164" s="27" t="n"/>
      <c r="E164" s="43" t="n"/>
      <c r="F164" s="43" t="n"/>
      <c r="G164" s="28" t="n"/>
      <c r="H164" s="49" t="n"/>
      <c r="I164" s="43" t="n"/>
      <c r="J164" s="27" t="n"/>
      <c r="K164" s="28" t="n"/>
      <c r="L164" s="28" t="n"/>
      <c r="M164" s="28" t="n"/>
      <c r="N164" s="44">
        <f>IF(B164="","",IFERROR(LOOKUP(2,1/(单次交易!$A$2:$A$201=B164),单次交易!$N$2:$N$201),""))</f>
        <v/>
      </c>
      <c r="O164" s="44">
        <f>IF(A164&lt;&gt;"每日跟踪","",IF(OR(B164="",H164="",I164=""),"",IFERROR(AGGREGATE(14,6,$I$2:$I$501/(($A$2:$A$501="每日跟踪")*($B$2:$B$501=B164)*($H$2:$H$501&lt;=H164)),1),"")))</f>
        <v/>
      </c>
      <c r="P164" s="26">
        <f>IF(A164&lt;&gt;"每日跟踪","",IF(O164="","",IFERROR(AGGREGATE(14,6,$D$2:$D$501/(($A$2:$A$501="止损计划")*($B$2:$B$501=B164)*($E$2:$E$501&lt;=O164)),1),0)))</f>
        <v/>
      </c>
      <c r="Q164" s="44">
        <f>IF(A164&lt;&gt;"每日跟踪","",IF(N164="","",MAX(N164,IFERROR(AGGREGATE(14,6,$F$2:$F$501/(($A$2:$A$501="止损计划")*($B$2:$B$501=B164)*($E$2:$E$501&lt;=O164)),1),0))))</f>
        <v/>
      </c>
      <c r="R164" s="43" t="n"/>
      <c r="S164" s="44">
        <f>IF(A164&lt;&gt;"每日跟踪","",IF(Q164="","",MAX(Q164,IFERROR(AGGREGATE(14,6,$R$2:$R$501/(($A$2:$A$501="每日跟踪")*($B$2:$B$501=B164)*($H$2:$H$501&lt;=H164)),1),0))))</f>
        <v/>
      </c>
      <c r="T164" s="44">
        <f>IF(A164&lt;&gt;"每日跟踪","",IF(O164="","",IF(COUNTIFS($A$2:$A$501,"止损计划",$B$2:$B$501,B164,$E$2:$E$501,"&gt;"&amp;O164)=0,"",AGGREGATE(15,6,$E$2:$E$501/(($A$2:$A$501="止损计划")*($B$2:$B$501=B164)*($E$2:$E$501&gt;O164)),1))))</f>
        <v/>
      </c>
      <c r="U164" s="44">
        <f>IF(OR(A164&lt;&gt;"每日跟踪",T164=""),"",IFERROR(AGGREGATE(14,6,$F$2:$F$501/(($A$2:$A$501="止损计划")*($B$2:$B$501=B164)*($E$2:$E$501=T164)),1),""))</f>
        <v/>
      </c>
      <c r="V164" s="30">
        <f>IF(OR(A164&lt;&gt;"每日跟踪",T164="",I164="",I164&lt;=0),"",T164/I164-1)</f>
        <v/>
      </c>
      <c r="W164" s="31">
        <f>IF(A164&lt;&gt;"每日跟踪","",IF(OR(I164="",S164=""),"",IF(I164&lt;=S164,"触发止损：应全部卖出","继续观察")))</f>
        <v/>
      </c>
      <c r="X164" s="28" t="n"/>
      <c r="Y164" s="43" t="n"/>
      <c r="Z164" s="26">
        <f>IF(X164&lt;&gt;"执行卖出","",IFERROR(LOOKUP(2,1/(单次交易!$A$2:$A$201=B164),单次交易!$AP$2:$AP$201),""))</f>
        <v/>
      </c>
      <c r="AA164" s="43" t="n"/>
      <c r="AB164" s="31">
        <f>IF(A164&lt;&gt;"每日跟踪","",IF(OR(B164="",H164="",I164="",J164="",K164="",L164="",M164=""),"待补充每日记录",IF(W164="触发止损：应全部卖出",IF(X164&lt;&gt;"执行卖出","违规：触发止损但未执行",IF(Y164="","待补充实际卖出价","卖出记录完整")),IF(X164="","待选择卖出动作",IF(X164="执行卖出",IF(Y164="","待补充实际卖出价","卖出记录完整"),"正常")))))</f>
        <v/>
      </c>
      <c r="AC164" s="31">
        <f>IF(A164="","",IF(A164="止损计划",IF(OR(B164="",D164="",E164="",F164="",G164=""),"计划不完整",IF(OR(D164&lt;1,D164&lt;&gt;INT(D164)),"阶段序号无效",IF(COUNTIFS($A$2:$A$501,"止损计划",$B$2:$B$501,B164,$D$2:$D$501,D164)&gt;1,"阶段序号重复",IF(E164&lt;=IFERROR(LOOKUP(2,1/('单次交易'!$A$2:$A$201=B164),'单次交易'!$E$2:$E$201),0),"激活价须高于买入价",IF(F164&lt;N164,"止损价不得低于初始止损",IF(F164&gt;E164,"止损价不得高于激活价",IF(AND(COUNTIFS($A$2:$A$501,"止损计划",$B$2:$B$501,B164,$D$2:$D$501,"&lt;"&amp;D164)&gt;0,OR(E164&lt;=AGGREGATE(14,6,$E$2:$E$501/(($A$2:$A$501="止损计划")*($B$2:$B$501=B164)*($D$2:$D$501&lt;D164)),1),F164&lt;AGGREGATE(14,6,$F$2:$F$501/(($A$2:$A$501="止损计划")*($B$2:$B$501=B164)*($D$2:$D$501&lt;D164)),1))),"阶段价格必须逐级提高","计划有效"))))))),IF(A164="每日跟踪",IF(OR(B164="",H164="",I164="",J164=""),"每日数据不完整",IF(COUNTIFS($A$2:$A$501,"每日跟踪",$B$2:$B$501,B164,$H$2:$H$501,H164)&gt;1,"同一交易日期重复",IF(AND(R164&lt;&gt;"",R164&lt;S164),"人工止损无效：不能下调","跟踪有效"))),"记录类型无效")))</f>
        <v/>
      </c>
    </row>
    <row r="165">
      <c r="A165" s="28" t="n"/>
      <c r="B165" s="28" t="n"/>
      <c r="C165" s="31">
        <f>IF(B165="","",IFERROR(LOOKUP(2,1/(单次交易!$A$2:$A$201=B165),单次交易!$B$2:$B$201),""))</f>
        <v/>
      </c>
      <c r="D165" s="27" t="n"/>
      <c r="E165" s="43" t="n"/>
      <c r="F165" s="43" t="n"/>
      <c r="G165" s="28" t="n"/>
      <c r="H165" s="49" t="n"/>
      <c r="I165" s="43" t="n"/>
      <c r="J165" s="27" t="n"/>
      <c r="K165" s="28" t="n"/>
      <c r="L165" s="28" t="n"/>
      <c r="M165" s="28" t="n"/>
      <c r="N165" s="44">
        <f>IF(B165="","",IFERROR(LOOKUP(2,1/(单次交易!$A$2:$A$201=B165),单次交易!$N$2:$N$201),""))</f>
        <v/>
      </c>
      <c r="O165" s="44">
        <f>IF(A165&lt;&gt;"每日跟踪","",IF(OR(B165="",H165="",I165=""),"",IFERROR(AGGREGATE(14,6,$I$2:$I$501/(($A$2:$A$501="每日跟踪")*($B$2:$B$501=B165)*($H$2:$H$501&lt;=H165)),1),"")))</f>
        <v/>
      </c>
      <c r="P165" s="26">
        <f>IF(A165&lt;&gt;"每日跟踪","",IF(O165="","",IFERROR(AGGREGATE(14,6,$D$2:$D$501/(($A$2:$A$501="止损计划")*($B$2:$B$501=B165)*($E$2:$E$501&lt;=O165)),1),0)))</f>
        <v/>
      </c>
      <c r="Q165" s="44">
        <f>IF(A165&lt;&gt;"每日跟踪","",IF(N165="","",MAX(N165,IFERROR(AGGREGATE(14,6,$F$2:$F$501/(($A$2:$A$501="止损计划")*($B$2:$B$501=B165)*($E$2:$E$501&lt;=O165)),1),0))))</f>
        <v/>
      </c>
      <c r="R165" s="43" t="n"/>
      <c r="S165" s="44">
        <f>IF(A165&lt;&gt;"每日跟踪","",IF(Q165="","",MAX(Q165,IFERROR(AGGREGATE(14,6,$R$2:$R$501/(($A$2:$A$501="每日跟踪")*($B$2:$B$501=B165)*($H$2:$H$501&lt;=H165)),1),0))))</f>
        <v/>
      </c>
      <c r="T165" s="44">
        <f>IF(A165&lt;&gt;"每日跟踪","",IF(O165="","",IF(COUNTIFS($A$2:$A$501,"止损计划",$B$2:$B$501,B165,$E$2:$E$501,"&gt;"&amp;O165)=0,"",AGGREGATE(15,6,$E$2:$E$501/(($A$2:$A$501="止损计划")*($B$2:$B$501=B165)*($E$2:$E$501&gt;O165)),1))))</f>
        <v/>
      </c>
      <c r="U165" s="44">
        <f>IF(OR(A165&lt;&gt;"每日跟踪",T165=""),"",IFERROR(AGGREGATE(14,6,$F$2:$F$501/(($A$2:$A$501="止损计划")*($B$2:$B$501=B165)*($E$2:$E$501=T165)),1),""))</f>
        <v/>
      </c>
      <c r="V165" s="30">
        <f>IF(OR(A165&lt;&gt;"每日跟踪",T165="",I165="",I165&lt;=0),"",T165/I165-1)</f>
        <v/>
      </c>
      <c r="W165" s="31">
        <f>IF(A165&lt;&gt;"每日跟踪","",IF(OR(I165="",S165=""),"",IF(I165&lt;=S165,"触发止损：应全部卖出","继续观察")))</f>
        <v/>
      </c>
      <c r="X165" s="28" t="n"/>
      <c r="Y165" s="43" t="n"/>
      <c r="Z165" s="26">
        <f>IF(X165&lt;&gt;"执行卖出","",IFERROR(LOOKUP(2,1/(单次交易!$A$2:$A$201=B165),单次交易!$AP$2:$AP$201),""))</f>
        <v/>
      </c>
      <c r="AA165" s="43" t="n"/>
      <c r="AB165" s="31">
        <f>IF(A165&lt;&gt;"每日跟踪","",IF(OR(B165="",H165="",I165="",J165="",K165="",L165="",M165=""),"待补充每日记录",IF(W165="触发止损：应全部卖出",IF(X165&lt;&gt;"执行卖出","违规：触发止损但未执行",IF(Y165="","待补充实际卖出价","卖出记录完整")),IF(X165="","待选择卖出动作",IF(X165="执行卖出",IF(Y165="","待补充实际卖出价","卖出记录完整"),"正常")))))</f>
        <v/>
      </c>
      <c r="AC165" s="31">
        <f>IF(A165="","",IF(A165="止损计划",IF(OR(B165="",D165="",E165="",F165="",G165=""),"计划不完整",IF(OR(D165&lt;1,D165&lt;&gt;INT(D165)),"阶段序号无效",IF(COUNTIFS($A$2:$A$501,"止损计划",$B$2:$B$501,B165,$D$2:$D$501,D165)&gt;1,"阶段序号重复",IF(E165&lt;=IFERROR(LOOKUP(2,1/('单次交易'!$A$2:$A$201=B165),'单次交易'!$E$2:$E$201),0),"激活价须高于买入价",IF(F165&lt;N165,"止损价不得低于初始止损",IF(F165&gt;E165,"止损价不得高于激活价",IF(AND(COUNTIFS($A$2:$A$501,"止损计划",$B$2:$B$501,B165,$D$2:$D$501,"&lt;"&amp;D165)&gt;0,OR(E165&lt;=AGGREGATE(14,6,$E$2:$E$501/(($A$2:$A$501="止损计划")*($B$2:$B$501=B165)*($D$2:$D$501&lt;D165)),1),F165&lt;AGGREGATE(14,6,$F$2:$F$501/(($A$2:$A$501="止损计划")*($B$2:$B$501=B165)*($D$2:$D$501&lt;D165)),1))),"阶段价格必须逐级提高","计划有效"))))))),IF(A165="每日跟踪",IF(OR(B165="",H165="",I165="",J165=""),"每日数据不完整",IF(COUNTIFS($A$2:$A$501,"每日跟踪",$B$2:$B$501,B165,$H$2:$H$501,H165)&gt;1,"同一交易日期重复",IF(AND(R165&lt;&gt;"",R165&lt;S165),"人工止损无效：不能下调","跟踪有效"))),"记录类型无效")))</f>
        <v/>
      </c>
    </row>
    <row r="166">
      <c r="A166" s="28" t="n"/>
      <c r="B166" s="28" t="n"/>
      <c r="C166" s="31">
        <f>IF(B166="","",IFERROR(LOOKUP(2,1/(单次交易!$A$2:$A$201=B166),单次交易!$B$2:$B$201),""))</f>
        <v/>
      </c>
      <c r="D166" s="27" t="n"/>
      <c r="E166" s="43" t="n"/>
      <c r="F166" s="43" t="n"/>
      <c r="G166" s="28" t="n"/>
      <c r="H166" s="49" t="n"/>
      <c r="I166" s="43" t="n"/>
      <c r="J166" s="27" t="n"/>
      <c r="K166" s="28" t="n"/>
      <c r="L166" s="28" t="n"/>
      <c r="M166" s="28" t="n"/>
      <c r="N166" s="44">
        <f>IF(B166="","",IFERROR(LOOKUP(2,1/(单次交易!$A$2:$A$201=B166),单次交易!$N$2:$N$201),""))</f>
        <v/>
      </c>
      <c r="O166" s="44">
        <f>IF(A166&lt;&gt;"每日跟踪","",IF(OR(B166="",H166="",I166=""),"",IFERROR(AGGREGATE(14,6,$I$2:$I$501/(($A$2:$A$501="每日跟踪")*($B$2:$B$501=B166)*($H$2:$H$501&lt;=H166)),1),"")))</f>
        <v/>
      </c>
      <c r="P166" s="26">
        <f>IF(A166&lt;&gt;"每日跟踪","",IF(O166="","",IFERROR(AGGREGATE(14,6,$D$2:$D$501/(($A$2:$A$501="止损计划")*($B$2:$B$501=B166)*($E$2:$E$501&lt;=O166)),1),0)))</f>
        <v/>
      </c>
      <c r="Q166" s="44">
        <f>IF(A166&lt;&gt;"每日跟踪","",IF(N166="","",MAX(N166,IFERROR(AGGREGATE(14,6,$F$2:$F$501/(($A$2:$A$501="止损计划")*($B$2:$B$501=B166)*($E$2:$E$501&lt;=O166)),1),0))))</f>
        <v/>
      </c>
      <c r="R166" s="43" t="n"/>
      <c r="S166" s="44">
        <f>IF(A166&lt;&gt;"每日跟踪","",IF(Q166="","",MAX(Q166,IFERROR(AGGREGATE(14,6,$R$2:$R$501/(($A$2:$A$501="每日跟踪")*($B$2:$B$501=B166)*($H$2:$H$501&lt;=H166)),1),0))))</f>
        <v/>
      </c>
      <c r="T166" s="44">
        <f>IF(A166&lt;&gt;"每日跟踪","",IF(O166="","",IF(COUNTIFS($A$2:$A$501,"止损计划",$B$2:$B$501,B166,$E$2:$E$501,"&gt;"&amp;O166)=0,"",AGGREGATE(15,6,$E$2:$E$501/(($A$2:$A$501="止损计划")*($B$2:$B$501=B166)*($E$2:$E$501&gt;O166)),1))))</f>
        <v/>
      </c>
      <c r="U166" s="44">
        <f>IF(OR(A166&lt;&gt;"每日跟踪",T166=""),"",IFERROR(AGGREGATE(14,6,$F$2:$F$501/(($A$2:$A$501="止损计划")*($B$2:$B$501=B166)*($E$2:$E$501=T166)),1),""))</f>
        <v/>
      </c>
      <c r="V166" s="30">
        <f>IF(OR(A166&lt;&gt;"每日跟踪",T166="",I166="",I166&lt;=0),"",T166/I166-1)</f>
        <v/>
      </c>
      <c r="W166" s="31">
        <f>IF(A166&lt;&gt;"每日跟踪","",IF(OR(I166="",S166=""),"",IF(I166&lt;=S166,"触发止损：应全部卖出","继续观察")))</f>
        <v/>
      </c>
      <c r="X166" s="28" t="n"/>
      <c r="Y166" s="43" t="n"/>
      <c r="Z166" s="26">
        <f>IF(X166&lt;&gt;"执行卖出","",IFERROR(LOOKUP(2,1/(单次交易!$A$2:$A$201=B166),单次交易!$AP$2:$AP$201),""))</f>
        <v/>
      </c>
      <c r="AA166" s="43" t="n"/>
      <c r="AB166" s="31">
        <f>IF(A166&lt;&gt;"每日跟踪","",IF(OR(B166="",H166="",I166="",J166="",K166="",L166="",M166=""),"待补充每日记录",IF(W166="触发止损：应全部卖出",IF(X166&lt;&gt;"执行卖出","违规：触发止损但未执行",IF(Y166="","待补充实际卖出价","卖出记录完整")),IF(X166="","待选择卖出动作",IF(X166="执行卖出",IF(Y166="","待补充实际卖出价","卖出记录完整"),"正常")))))</f>
        <v/>
      </c>
      <c r="AC166" s="31">
        <f>IF(A166="","",IF(A166="止损计划",IF(OR(B166="",D166="",E166="",F166="",G166=""),"计划不完整",IF(OR(D166&lt;1,D166&lt;&gt;INT(D166)),"阶段序号无效",IF(COUNTIFS($A$2:$A$501,"止损计划",$B$2:$B$501,B166,$D$2:$D$501,D166)&gt;1,"阶段序号重复",IF(E166&lt;=IFERROR(LOOKUP(2,1/('单次交易'!$A$2:$A$201=B166),'单次交易'!$E$2:$E$201),0),"激活价须高于买入价",IF(F166&lt;N166,"止损价不得低于初始止损",IF(F166&gt;E166,"止损价不得高于激活价",IF(AND(COUNTIFS($A$2:$A$501,"止损计划",$B$2:$B$501,B166,$D$2:$D$501,"&lt;"&amp;D166)&gt;0,OR(E166&lt;=AGGREGATE(14,6,$E$2:$E$501/(($A$2:$A$501="止损计划")*($B$2:$B$501=B166)*($D$2:$D$501&lt;D166)),1),F166&lt;AGGREGATE(14,6,$F$2:$F$501/(($A$2:$A$501="止损计划")*($B$2:$B$501=B166)*($D$2:$D$501&lt;D166)),1))),"阶段价格必须逐级提高","计划有效"))))))),IF(A166="每日跟踪",IF(OR(B166="",H166="",I166="",J166=""),"每日数据不完整",IF(COUNTIFS($A$2:$A$501,"每日跟踪",$B$2:$B$501,B166,$H$2:$H$501,H166)&gt;1,"同一交易日期重复",IF(AND(R166&lt;&gt;"",R166&lt;S166),"人工止损无效：不能下调","跟踪有效"))),"记录类型无效")))</f>
        <v/>
      </c>
    </row>
    <row r="167">
      <c r="A167" s="28" t="n"/>
      <c r="B167" s="28" t="n"/>
      <c r="C167" s="31">
        <f>IF(B167="","",IFERROR(LOOKUP(2,1/(单次交易!$A$2:$A$201=B167),单次交易!$B$2:$B$201),""))</f>
        <v/>
      </c>
      <c r="D167" s="27" t="n"/>
      <c r="E167" s="43" t="n"/>
      <c r="F167" s="43" t="n"/>
      <c r="G167" s="28" t="n"/>
      <c r="H167" s="49" t="n"/>
      <c r="I167" s="43" t="n"/>
      <c r="J167" s="27" t="n"/>
      <c r="K167" s="28" t="n"/>
      <c r="L167" s="28" t="n"/>
      <c r="M167" s="28" t="n"/>
      <c r="N167" s="44">
        <f>IF(B167="","",IFERROR(LOOKUP(2,1/(单次交易!$A$2:$A$201=B167),单次交易!$N$2:$N$201),""))</f>
        <v/>
      </c>
      <c r="O167" s="44">
        <f>IF(A167&lt;&gt;"每日跟踪","",IF(OR(B167="",H167="",I167=""),"",IFERROR(AGGREGATE(14,6,$I$2:$I$501/(($A$2:$A$501="每日跟踪")*($B$2:$B$501=B167)*($H$2:$H$501&lt;=H167)),1),"")))</f>
        <v/>
      </c>
      <c r="P167" s="26">
        <f>IF(A167&lt;&gt;"每日跟踪","",IF(O167="","",IFERROR(AGGREGATE(14,6,$D$2:$D$501/(($A$2:$A$501="止损计划")*($B$2:$B$501=B167)*($E$2:$E$501&lt;=O167)),1),0)))</f>
        <v/>
      </c>
      <c r="Q167" s="44">
        <f>IF(A167&lt;&gt;"每日跟踪","",IF(N167="","",MAX(N167,IFERROR(AGGREGATE(14,6,$F$2:$F$501/(($A$2:$A$501="止损计划")*($B$2:$B$501=B167)*($E$2:$E$501&lt;=O167)),1),0))))</f>
        <v/>
      </c>
      <c r="R167" s="43" t="n"/>
      <c r="S167" s="44">
        <f>IF(A167&lt;&gt;"每日跟踪","",IF(Q167="","",MAX(Q167,IFERROR(AGGREGATE(14,6,$R$2:$R$501/(($A$2:$A$501="每日跟踪")*($B$2:$B$501=B167)*($H$2:$H$501&lt;=H167)),1),0))))</f>
        <v/>
      </c>
      <c r="T167" s="44">
        <f>IF(A167&lt;&gt;"每日跟踪","",IF(O167="","",IF(COUNTIFS($A$2:$A$501,"止损计划",$B$2:$B$501,B167,$E$2:$E$501,"&gt;"&amp;O167)=0,"",AGGREGATE(15,6,$E$2:$E$501/(($A$2:$A$501="止损计划")*($B$2:$B$501=B167)*($E$2:$E$501&gt;O167)),1))))</f>
        <v/>
      </c>
      <c r="U167" s="44">
        <f>IF(OR(A167&lt;&gt;"每日跟踪",T167=""),"",IFERROR(AGGREGATE(14,6,$F$2:$F$501/(($A$2:$A$501="止损计划")*($B$2:$B$501=B167)*($E$2:$E$501=T167)),1),""))</f>
        <v/>
      </c>
      <c r="V167" s="30">
        <f>IF(OR(A167&lt;&gt;"每日跟踪",T167="",I167="",I167&lt;=0),"",T167/I167-1)</f>
        <v/>
      </c>
      <c r="W167" s="31">
        <f>IF(A167&lt;&gt;"每日跟踪","",IF(OR(I167="",S167=""),"",IF(I167&lt;=S167,"触发止损：应全部卖出","继续观察")))</f>
        <v/>
      </c>
      <c r="X167" s="28" t="n"/>
      <c r="Y167" s="43" t="n"/>
      <c r="Z167" s="26">
        <f>IF(X167&lt;&gt;"执行卖出","",IFERROR(LOOKUP(2,1/(单次交易!$A$2:$A$201=B167),单次交易!$AP$2:$AP$201),""))</f>
        <v/>
      </c>
      <c r="AA167" s="43" t="n"/>
      <c r="AB167" s="31">
        <f>IF(A167&lt;&gt;"每日跟踪","",IF(OR(B167="",H167="",I167="",J167="",K167="",L167="",M167=""),"待补充每日记录",IF(W167="触发止损：应全部卖出",IF(X167&lt;&gt;"执行卖出","违规：触发止损但未执行",IF(Y167="","待补充实际卖出价","卖出记录完整")),IF(X167="","待选择卖出动作",IF(X167="执行卖出",IF(Y167="","待补充实际卖出价","卖出记录完整"),"正常")))))</f>
        <v/>
      </c>
      <c r="AC167" s="31">
        <f>IF(A167="","",IF(A167="止损计划",IF(OR(B167="",D167="",E167="",F167="",G167=""),"计划不完整",IF(OR(D167&lt;1,D167&lt;&gt;INT(D167)),"阶段序号无效",IF(COUNTIFS($A$2:$A$501,"止损计划",$B$2:$B$501,B167,$D$2:$D$501,D167)&gt;1,"阶段序号重复",IF(E167&lt;=IFERROR(LOOKUP(2,1/('单次交易'!$A$2:$A$201=B167),'单次交易'!$E$2:$E$201),0),"激活价须高于买入价",IF(F167&lt;N167,"止损价不得低于初始止损",IF(F167&gt;E167,"止损价不得高于激活价",IF(AND(COUNTIFS($A$2:$A$501,"止损计划",$B$2:$B$501,B167,$D$2:$D$501,"&lt;"&amp;D167)&gt;0,OR(E167&lt;=AGGREGATE(14,6,$E$2:$E$501/(($A$2:$A$501="止损计划")*($B$2:$B$501=B167)*($D$2:$D$501&lt;D167)),1),F167&lt;AGGREGATE(14,6,$F$2:$F$501/(($A$2:$A$501="止损计划")*($B$2:$B$501=B167)*($D$2:$D$501&lt;D167)),1))),"阶段价格必须逐级提高","计划有效"))))))),IF(A167="每日跟踪",IF(OR(B167="",H167="",I167="",J167=""),"每日数据不完整",IF(COUNTIFS($A$2:$A$501,"每日跟踪",$B$2:$B$501,B167,$H$2:$H$501,H167)&gt;1,"同一交易日期重复",IF(AND(R167&lt;&gt;"",R167&lt;S167),"人工止损无效：不能下调","跟踪有效"))),"记录类型无效")))</f>
        <v/>
      </c>
    </row>
    <row r="168">
      <c r="A168" s="28" t="n"/>
      <c r="B168" s="28" t="n"/>
      <c r="C168" s="31">
        <f>IF(B168="","",IFERROR(LOOKUP(2,1/(单次交易!$A$2:$A$201=B168),单次交易!$B$2:$B$201),""))</f>
        <v/>
      </c>
      <c r="D168" s="27" t="n"/>
      <c r="E168" s="43" t="n"/>
      <c r="F168" s="43" t="n"/>
      <c r="G168" s="28" t="n"/>
      <c r="H168" s="49" t="n"/>
      <c r="I168" s="43" t="n"/>
      <c r="J168" s="27" t="n"/>
      <c r="K168" s="28" t="n"/>
      <c r="L168" s="28" t="n"/>
      <c r="M168" s="28" t="n"/>
      <c r="N168" s="44">
        <f>IF(B168="","",IFERROR(LOOKUP(2,1/(单次交易!$A$2:$A$201=B168),单次交易!$N$2:$N$201),""))</f>
        <v/>
      </c>
      <c r="O168" s="44">
        <f>IF(A168&lt;&gt;"每日跟踪","",IF(OR(B168="",H168="",I168=""),"",IFERROR(AGGREGATE(14,6,$I$2:$I$501/(($A$2:$A$501="每日跟踪")*($B$2:$B$501=B168)*($H$2:$H$501&lt;=H168)),1),"")))</f>
        <v/>
      </c>
      <c r="P168" s="26">
        <f>IF(A168&lt;&gt;"每日跟踪","",IF(O168="","",IFERROR(AGGREGATE(14,6,$D$2:$D$501/(($A$2:$A$501="止损计划")*($B$2:$B$501=B168)*($E$2:$E$501&lt;=O168)),1),0)))</f>
        <v/>
      </c>
      <c r="Q168" s="44">
        <f>IF(A168&lt;&gt;"每日跟踪","",IF(N168="","",MAX(N168,IFERROR(AGGREGATE(14,6,$F$2:$F$501/(($A$2:$A$501="止损计划")*($B$2:$B$501=B168)*($E$2:$E$501&lt;=O168)),1),0))))</f>
        <v/>
      </c>
      <c r="R168" s="43" t="n"/>
      <c r="S168" s="44">
        <f>IF(A168&lt;&gt;"每日跟踪","",IF(Q168="","",MAX(Q168,IFERROR(AGGREGATE(14,6,$R$2:$R$501/(($A$2:$A$501="每日跟踪")*($B$2:$B$501=B168)*($H$2:$H$501&lt;=H168)),1),0))))</f>
        <v/>
      </c>
      <c r="T168" s="44">
        <f>IF(A168&lt;&gt;"每日跟踪","",IF(O168="","",IF(COUNTIFS($A$2:$A$501,"止损计划",$B$2:$B$501,B168,$E$2:$E$501,"&gt;"&amp;O168)=0,"",AGGREGATE(15,6,$E$2:$E$501/(($A$2:$A$501="止损计划")*($B$2:$B$501=B168)*($E$2:$E$501&gt;O168)),1))))</f>
        <v/>
      </c>
      <c r="U168" s="44">
        <f>IF(OR(A168&lt;&gt;"每日跟踪",T168=""),"",IFERROR(AGGREGATE(14,6,$F$2:$F$501/(($A$2:$A$501="止损计划")*($B$2:$B$501=B168)*($E$2:$E$501=T168)),1),""))</f>
        <v/>
      </c>
      <c r="V168" s="30">
        <f>IF(OR(A168&lt;&gt;"每日跟踪",T168="",I168="",I168&lt;=0),"",T168/I168-1)</f>
        <v/>
      </c>
      <c r="W168" s="31">
        <f>IF(A168&lt;&gt;"每日跟踪","",IF(OR(I168="",S168=""),"",IF(I168&lt;=S168,"触发止损：应全部卖出","继续观察")))</f>
        <v/>
      </c>
      <c r="X168" s="28" t="n"/>
      <c r="Y168" s="43" t="n"/>
      <c r="Z168" s="26">
        <f>IF(X168&lt;&gt;"执行卖出","",IFERROR(LOOKUP(2,1/(单次交易!$A$2:$A$201=B168),单次交易!$AP$2:$AP$201),""))</f>
        <v/>
      </c>
      <c r="AA168" s="43" t="n"/>
      <c r="AB168" s="31">
        <f>IF(A168&lt;&gt;"每日跟踪","",IF(OR(B168="",H168="",I168="",J168="",K168="",L168="",M168=""),"待补充每日记录",IF(W168="触发止损：应全部卖出",IF(X168&lt;&gt;"执行卖出","违规：触发止损但未执行",IF(Y168="","待补充实际卖出价","卖出记录完整")),IF(X168="","待选择卖出动作",IF(X168="执行卖出",IF(Y168="","待补充实际卖出价","卖出记录完整"),"正常")))))</f>
        <v/>
      </c>
      <c r="AC168" s="31">
        <f>IF(A168="","",IF(A168="止损计划",IF(OR(B168="",D168="",E168="",F168="",G168=""),"计划不完整",IF(OR(D168&lt;1,D168&lt;&gt;INT(D168)),"阶段序号无效",IF(COUNTIFS($A$2:$A$501,"止损计划",$B$2:$B$501,B168,$D$2:$D$501,D168)&gt;1,"阶段序号重复",IF(E168&lt;=IFERROR(LOOKUP(2,1/('单次交易'!$A$2:$A$201=B168),'单次交易'!$E$2:$E$201),0),"激活价须高于买入价",IF(F168&lt;N168,"止损价不得低于初始止损",IF(F168&gt;E168,"止损价不得高于激活价",IF(AND(COUNTIFS($A$2:$A$501,"止损计划",$B$2:$B$501,B168,$D$2:$D$501,"&lt;"&amp;D168)&gt;0,OR(E168&lt;=AGGREGATE(14,6,$E$2:$E$501/(($A$2:$A$501="止损计划")*($B$2:$B$501=B168)*($D$2:$D$501&lt;D168)),1),F168&lt;AGGREGATE(14,6,$F$2:$F$501/(($A$2:$A$501="止损计划")*($B$2:$B$501=B168)*($D$2:$D$501&lt;D168)),1))),"阶段价格必须逐级提高","计划有效"))))))),IF(A168="每日跟踪",IF(OR(B168="",H168="",I168="",J168=""),"每日数据不完整",IF(COUNTIFS($A$2:$A$501,"每日跟踪",$B$2:$B$501,B168,$H$2:$H$501,H168)&gt;1,"同一交易日期重复",IF(AND(R168&lt;&gt;"",R168&lt;S168),"人工止损无效：不能下调","跟踪有效"))),"记录类型无效")))</f>
        <v/>
      </c>
    </row>
    <row r="169">
      <c r="A169" s="28" t="n"/>
      <c r="B169" s="28" t="n"/>
      <c r="C169" s="31">
        <f>IF(B169="","",IFERROR(LOOKUP(2,1/(单次交易!$A$2:$A$201=B169),单次交易!$B$2:$B$201),""))</f>
        <v/>
      </c>
      <c r="D169" s="27" t="n"/>
      <c r="E169" s="43" t="n"/>
      <c r="F169" s="43" t="n"/>
      <c r="G169" s="28" t="n"/>
      <c r="H169" s="49" t="n"/>
      <c r="I169" s="43" t="n"/>
      <c r="J169" s="27" t="n"/>
      <c r="K169" s="28" t="n"/>
      <c r="L169" s="28" t="n"/>
      <c r="M169" s="28" t="n"/>
      <c r="N169" s="44">
        <f>IF(B169="","",IFERROR(LOOKUP(2,1/(单次交易!$A$2:$A$201=B169),单次交易!$N$2:$N$201),""))</f>
        <v/>
      </c>
      <c r="O169" s="44">
        <f>IF(A169&lt;&gt;"每日跟踪","",IF(OR(B169="",H169="",I169=""),"",IFERROR(AGGREGATE(14,6,$I$2:$I$501/(($A$2:$A$501="每日跟踪")*($B$2:$B$501=B169)*($H$2:$H$501&lt;=H169)),1),"")))</f>
        <v/>
      </c>
      <c r="P169" s="26">
        <f>IF(A169&lt;&gt;"每日跟踪","",IF(O169="","",IFERROR(AGGREGATE(14,6,$D$2:$D$501/(($A$2:$A$501="止损计划")*($B$2:$B$501=B169)*($E$2:$E$501&lt;=O169)),1),0)))</f>
        <v/>
      </c>
      <c r="Q169" s="44">
        <f>IF(A169&lt;&gt;"每日跟踪","",IF(N169="","",MAX(N169,IFERROR(AGGREGATE(14,6,$F$2:$F$501/(($A$2:$A$501="止损计划")*($B$2:$B$501=B169)*($E$2:$E$501&lt;=O169)),1),0))))</f>
        <v/>
      </c>
      <c r="R169" s="43" t="n"/>
      <c r="S169" s="44">
        <f>IF(A169&lt;&gt;"每日跟踪","",IF(Q169="","",MAX(Q169,IFERROR(AGGREGATE(14,6,$R$2:$R$501/(($A$2:$A$501="每日跟踪")*($B$2:$B$501=B169)*($H$2:$H$501&lt;=H169)),1),0))))</f>
        <v/>
      </c>
      <c r="T169" s="44">
        <f>IF(A169&lt;&gt;"每日跟踪","",IF(O169="","",IF(COUNTIFS($A$2:$A$501,"止损计划",$B$2:$B$501,B169,$E$2:$E$501,"&gt;"&amp;O169)=0,"",AGGREGATE(15,6,$E$2:$E$501/(($A$2:$A$501="止损计划")*($B$2:$B$501=B169)*($E$2:$E$501&gt;O169)),1))))</f>
        <v/>
      </c>
      <c r="U169" s="44">
        <f>IF(OR(A169&lt;&gt;"每日跟踪",T169=""),"",IFERROR(AGGREGATE(14,6,$F$2:$F$501/(($A$2:$A$501="止损计划")*($B$2:$B$501=B169)*($E$2:$E$501=T169)),1),""))</f>
        <v/>
      </c>
      <c r="V169" s="30">
        <f>IF(OR(A169&lt;&gt;"每日跟踪",T169="",I169="",I169&lt;=0),"",T169/I169-1)</f>
        <v/>
      </c>
      <c r="W169" s="31">
        <f>IF(A169&lt;&gt;"每日跟踪","",IF(OR(I169="",S169=""),"",IF(I169&lt;=S169,"触发止损：应全部卖出","继续观察")))</f>
        <v/>
      </c>
      <c r="X169" s="28" t="n"/>
      <c r="Y169" s="43" t="n"/>
      <c r="Z169" s="26">
        <f>IF(X169&lt;&gt;"执行卖出","",IFERROR(LOOKUP(2,1/(单次交易!$A$2:$A$201=B169),单次交易!$AP$2:$AP$201),""))</f>
        <v/>
      </c>
      <c r="AA169" s="43" t="n"/>
      <c r="AB169" s="31">
        <f>IF(A169&lt;&gt;"每日跟踪","",IF(OR(B169="",H169="",I169="",J169="",K169="",L169="",M169=""),"待补充每日记录",IF(W169="触发止损：应全部卖出",IF(X169&lt;&gt;"执行卖出","违规：触发止损但未执行",IF(Y169="","待补充实际卖出价","卖出记录完整")),IF(X169="","待选择卖出动作",IF(X169="执行卖出",IF(Y169="","待补充实际卖出价","卖出记录完整"),"正常")))))</f>
        <v/>
      </c>
      <c r="AC169" s="31">
        <f>IF(A169="","",IF(A169="止损计划",IF(OR(B169="",D169="",E169="",F169="",G169=""),"计划不完整",IF(OR(D169&lt;1,D169&lt;&gt;INT(D169)),"阶段序号无效",IF(COUNTIFS($A$2:$A$501,"止损计划",$B$2:$B$501,B169,$D$2:$D$501,D169)&gt;1,"阶段序号重复",IF(E169&lt;=IFERROR(LOOKUP(2,1/('单次交易'!$A$2:$A$201=B169),'单次交易'!$E$2:$E$201),0),"激活价须高于买入价",IF(F169&lt;N169,"止损价不得低于初始止损",IF(F169&gt;E169,"止损价不得高于激活价",IF(AND(COUNTIFS($A$2:$A$501,"止损计划",$B$2:$B$501,B169,$D$2:$D$501,"&lt;"&amp;D169)&gt;0,OR(E169&lt;=AGGREGATE(14,6,$E$2:$E$501/(($A$2:$A$501="止损计划")*($B$2:$B$501=B169)*($D$2:$D$501&lt;D169)),1),F169&lt;AGGREGATE(14,6,$F$2:$F$501/(($A$2:$A$501="止损计划")*($B$2:$B$501=B169)*($D$2:$D$501&lt;D169)),1))),"阶段价格必须逐级提高","计划有效"))))))),IF(A169="每日跟踪",IF(OR(B169="",H169="",I169="",J169=""),"每日数据不完整",IF(COUNTIFS($A$2:$A$501,"每日跟踪",$B$2:$B$501,B169,$H$2:$H$501,H169)&gt;1,"同一交易日期重复",IF(AND(R169&lt;&gt;"",R169&lt;S169),"人工止损无效：不能下调","跟踪有效"))),"记录类型无效")))</f>
        <v/>
      </c>
    </row>
    <row r="170">
      <c r="A170" s="28" t="n"/>
      <c r="B170" s="28" t="n"/>
      <c r="C170" s="31">
        <f>IF(B170="","",IFERROR(LOOKUP(2,1/(单次交易!$A$2:$A$201=B170),单次交易!$B$2:$B$201),""))</f>
        <v/>
      </c>
      <c r="D170" s="27" t="n"/>
      <c r="E170" s="43" t="n"/>
      <c r="F170" s="43" t="n"/>
      <c r="G170" s="28" t="n"/>
      <c r="H170" s="49" t="n"/>
      <c r="I170" s="43" t="n"/>
      <c r="J170" s="27" t="n"/>
      <c r="K170" s="28" t="n"/>
      <c r="L170" s="28" t="n"/>
      <c r="M170" s="28" t="n"/>
      <c r="N170" s="44">
        <f>IF(B170="","",IFERROR(LOOKUP(2,1/(单次交易!$A$2:$A$201=B170),单次交易!$N$2:$N$201),""))</f>
        <v/>
      </c>
      <c r="O170" s="44">
        <f>IF(A170&lt;&gt;"每日跟踪","",IF(OR(B170="",H170="",I170=""),"",IFERROR(AGGREGATE(14,6,$I$2:$I$501/(($A$2:$A$501="每日跟踪")*($B$2:$B$501=B170)*($H$2:$H$501&lt;=H170)),1),"")))</f>
        <v/>
      </c>
      <c r="P170" s="26">
        <f>IF(A170&lt;&gt;"每日跟踪","",IF(O170="","",IFERROR(AGGREGATE(14,6,$D$2:$D$501/(($A$2:$A$501="止损计划")*($B$2:$B$501=B170)*($E$2:$E$501&lt;=O170)),1),0)))</f>
        <v/>
      </c>
      <c r="Q170" s="44">
        <f>IF(A170&lt;&gt;"每日跟踪","",IF(N170="","",MAX(N170,IFERROR(AGGREGATE(14,6,$F$2:$F$501/(($A$2:$A$501="止损计划")*($B$2:$B$501=B170)*($E$2:$E$501&lt;=O170)),1),0))))</f>
        <v/>
      </c>
      <c r="R170" s="43" t="n"/>
      <c r="S170" s="44">
        <f>IF(A170&lt;&gt;"每日跟踪","",IF(Q170="","",MAX(Q170,IFERROR(AGGREGATE(14,6,$R$2:$R$501/(($A$2:$A$501="每日跟踪")*($B$2:$B$501=B170)*($H$2:$H$501&lt;=H170)),1),0))))</f>
        <v/>
      </c>
      <c r="T170" s="44">
        <f>IF(A170&lt;&gt;"每日跟踪","",IF(O170="","",IF(COUNTIFS($A$2:$A$501,"止损计划",$B$2:$B$501,B170,$E$2:$E$501,"&gt;"&amp;O170)=0,"",AGGREGATE(15,6,$E$2:$E$501/(($A$2:$A$501="止损计划")*($B$2:$B$501=B170)*($E$2:$E$501&gt;O170)),1))))</f>
        <v/>
      </c>
      <c r="U170" s="44">
        <f>IF(OR(A170&lt;&gt;"每日跟踪",T170=""),"",IFERROR(AGGREGATE(14,6,$F$2:$F$501/(($A$2:$A$501="止损计划")*($B$2:$B$501=B170)*($E$2:$E$501=T170)),1),""))</f>
        <v/>
      </c>
      <c r="V170" s="30">
        <f>IF(OR(A170&lt;&gt;"每日跟踪",T170="",I170="",I170&lt;=0),"",T170/I170-1)</f>
        <v/>
      </c>
      <c r="W170" s="31">
        <f>IF(A170&lt;&gt;"每日跟踪","",IF(OR(I170="",S170=""),"",IF(I170&lt;=S170,"触发止损：应全部卖出","继续观察")))</f>
        <v/>
      </c>
      <c r="X170" s="28" t="n"/>
      <c r="Y170" s="43" t="n"/>
      <c r="Z170" s="26">
        <f>IF(X170&lt;&gt;"执行卖出","",IFERROR(LOOKUP(2,1/(单次交易!$A$2:$A$201=B170),单次交易!$AP$2:$AP$201),""))</f>
        <v/>
      </c>
      <c r="AA170" s="43" t="n"/>
      <c r="AB170" s="31">
        <f>IF(A170&lt;&gt;"每日跟踪","",IF(OR(B170="",H170="",I170="",J170="",K170="",L170="",M170=""),"待补充每日记录",IF(W170="触发止损：应全部卖出",IF(X170&lt;&gt;"执行卖出","违规：触发止损但未执行",IF(Y170="","待补充实际卖出价","卖出记录完整")),IF(X170="","待选择卖出动作",IF(X170="执行卖出",IF(Y170="","待补充实际卖出价","卖出记录完整"),"正常")))))</f>
        <v/>
      </c>
      <c r="AC170" s="31">
        <f>IF(A170="","",IF(A170="止损计划",IF(OR(B170="",D170="",E170="",F170="",G170=""),"计划不完整",IF(OR(D170&lt;1,D170&lt;&gt;INT(D170)),"阶段序号无效",IF(COUNTIFS($A$2:$A$501,"止损计划",$B$2:$B$501,B170,$D$2:$D$501,D170)&gt;1,"阶段序号重复",IF(E170&lt;=IFERROR(LOOKUP(2,1/('单次交易'!$A$2:$A$201=B170),'单次交易'!$E$2:$E$201),0),"激活价须高于买入价",IF(F170&lt;N170,"止损价不得低于初始止损",IF(F170&gt;E170,"止损价不得高于激活价",IF(AND(COUNTIFS($A$2:$A$501,"止损计划",$B$2:$B$501,B170,$D$2:$D$501,"&lt;"&amp;D170)&gt;0,OR(E170&lt;=AGGREGATE(14,6,$E$2:$E$501/(($A$2:$A$501="止损计划")*($B$2:$B$501=B170)*($D$2:$D$501&lt;D170)),1),F170&lt;AGGREGATE(14,6,$F$2:$F$501/(($A$2:$A$501="止损计划")*($B$2:$B$501=B170)*($D$2:$D$501&lt;D170)),1))),"阶段价格必须逐级提高","计划有效"))))))),IF(A170="每日跟踪",IF(OR(B170="",H170="",I170="",J170=""),"每日数据不完整",IF(COUNTIFS($A$2:$A$501,"每日跟踪",$B$2:$B$501,B170,$H$2:$H$501,H170)&gt;1,"同一交易日期重复",IF(AND(R170&lt;&gt;"",R170&lt;S170),"人工止损无效：不能下调","跟踪有效"))),"记录类型无效")))</f>
        <v/>
      </c>
    </row>
    <row r="171">
      <c r="A171" s="28" t="n"/>
      <c r="B171" s="28" t="n"/>
      <c r="C171" s="31">
        <f>IF(B171="","",IFERROR(LOOKUP(2,1/(单次交易!$A$2:$A$201=B171),单次交易!$B$2:$B$201),""))</f>
        <v/>
      </c>
      <c r="D171" s="27" t="n"/>
      <c r="E171" s="43" t="n"/>
      <c r="F171" s="43" t="n"/>
      <c r="G171" s="28" t="n"/>
      <c r="H171" s="49" t="n"/>
      <c r="I171" s="43" t="n"/>
      <c r="J171" s="27" t="n"/>
      <c r="K171" s="28" t="n"/>
      <c r="L171" s="28" t="n"/>
      <c r="M171" s="28" t="n"/>
      <c r="N171" s="44">
        <f>IF(B171="","",IFERROR(LOOKUP(2,1/(单次交易!$A$2:$A$201=B171),单次交易!$N$2:$N$201),""))</f>
        <v/>
      </c>
      <c r="O171" s="44">
        <f>IF(A171&lt;&gt;"每日跟踪","",IF(OR(B171="",H171="",I171=""),"",IFERROR(AGGREGATE(14,6,$I$2:$I$501/(($A$2:$A$501="每日跟踪")*($B$2:$B$501=B171)*($H$2:$H$501&lt;=H171)),1),"")))</f>
        <v/>
      </c>
      <c r="P171" s="26">
        <f>IF(A171&lt;&gt;"每日跟踪","",IF(O171="","",IFERROR(AGGREGATE(14,6,$D$2:$D$501/(($A$2:$A$501="止损计划")*($B$2:$B$501=B171)*($E$2:$E$501&lt;=O171)),1),0)))</f>
        <v/>
      </c>
      <c r="Q171" s="44">
        <f>IF(A171&lt;&gt;"每日跟踪","",IF(N171="","",MAX(N171,IFERROR(AGGREGATE(14,6,$F$2:$F$501/(($A$2:$A$501="止损计划")*($B$2:$B$501=B171)*($E$2:$E$501&lt;=O171)),1),0))))</f>
        <v/>
      </c>
      <c r="R171" s="43" t="n"/>
      <c r="S171" s="44">
        <f>IF(A171&lt;&gt;"每日跟踪","",IF(Q171="","",MAX(Q171,IFERROR(AGGREGATE(14,6,$R$2:$R$501/(($A$2:$A$501="每日跟踪")*($B$2:$B$501=B171)*($H$2:$H$501&lt;=H171)),1),0))))</f>
        <v/>
      </c>
      <c r="T171" s="44">
        <f>IF(A171&lt;&gt;"每日跟踪","",IF(O171="","",IF(COUNTIFS($A$2:$A$501,"止损计划",$B$2:$B$501,B171,$E$2:$E$501,"&gt;"&amp;O171)=0,"",AGGREGATE(15,6,$E$2:$E$501/(($A$2:$A$501="止损计划")*($B$2:$B$501=B171)*($E$2:$E$501&gt;O171)),1))))</f>
        <v/>
      </c>
      <c r="U171" s="44">
        <f>IF(OR(A171&lt;&gt;"每日跟踪",T171=""),"",IFERROR(AGGREGATE(14,6,$F$2:$F$501/(($A$2:$A$501="止损计划")*($B$2:$B$501=B171)*($E$2:$E$501=T171)),1),""))</f>
        <v/>
      </c>
      <c r="V171" s="30">
        <f>IF(OR(A171&lt;&gt;"每日跟踪",T171="",I171="",I171&lt;=0),"",T171/I171-1)</f>
        <v/>
      </c>
      <c r="W171" s="31">
        <f>IF(A171&lt;&gt;"每日跟踪","",IF(OR(I171="",S171=""),"",IF(I171&lt;=S171,"触发止损：应全部卖出","继续观察")))</f>
        <v/>
      </c>
      <c r="X171" s="28" t="n"/>
      <c r="Y171" s="43" t="n"/>
      <c r="Z171" s="26">
        <f>IF(X171&lt;&gt;"执行卖出","",IFERROR(LOOKUP(2,1/(单次交易!$A$2:$A$201=B171),单次交易!$AP$2:$AP$201),""))</f>
        <v/>
      </c>
      <c r="AA171" s="43" t="n"/>
      <c r="AB171" s="31">
        <f>IF(A171&lt;&gt;"每日跟踪","",IF(OR(B171="",H171="",I171="",J171="",K171="",L171="",M171=""),"待补充每日记录",IF(W171="触发止损：应全部卖出",IF(X171&lt;&gt;"执行卖出","违规：触发止损但未执行",IF(Y171="","待补充实际卖出价","卖出记录完整")),IF(X171="","待选择卖出动作",IF(X171="执行卖出",IF(Y171="","待补充实际卖出价","卖出记录完整"),"正常")))))</f>
        <v/>
      </c>
      <c r="AC171" s="31">
        <f>IF(A171="","",IF(A171="止损计划",IF(OR(B171="",D171="",E171="",F171="",G171=""),"计划不完整",IF(OR(D171&lt;1,D171&lt;&gt;INT(D171)),"阶段序号无效",IF(COUNTIFS($A$2:$A$501,"止损计划",$B$2:$B$501,B171,$D$2:$D$501,D171)&gt;1,"阶段序号重复",IF(E171&lt;=IFERROR(LOOKUP(2,1/('单次交易'!$A$2:$A$201=B171),'单次交易'!$E$2:$E$201),0),"激活价须高于买入价",IF(F171&lt;N171,"止损价不得低于初始止损",IF(F171&gt;E171,"止损价不得高于激活价",IF(AND(COUNTIFS($A$2:$A$501,"止损计划",$B$2:$B$501,B171,$D$2:$D$501,"&lt;"&amp;D171)&gt;0,OR(E171&lt;=AGGREGATE(14,6,$E$2:$E$501/(($A$2:$A$501="止损计划")*($B$2:$B$501=B171)*($D$2:$D$501&lt;D171)),1),F171&lt;AGGREGATE(14,6,$F$2:$F$501/(($A$2:$A$501="止损计划")*($B$2:$B$501=B171)*($D$2:$D$501&lt;D171)),1))),"阶段价格必须逐级提高","计划有效"))))))),IF(A171="每日跟踪",IF(OR(B171="",H171="",I171="",J171=""),"每日数据不完整",IF(COUNTIFS($A$2:$A$501,"每日跟踪",$B$2:$B$501,B171,$H$2:$H$501,H171)&gt;1,"同一交易日期重复",IF(AND(R171&lt;&gt;"",R171&lt;S171),"人工止损无效：不能下调","跟踪有效"))),"记录类型无效")))</f>
        <v/>
      </c>
    </row>
    <row r="172">
      <c r="A172" s="28" t="n"/>
      <c r="B172" s="28" t="n"/>
      <c r="C172" s="31">
        <f>IF(B172="","",IFERROR(LOOKUP(2,1/(单次交易!$A$2:$A$201=B172),单次交易!$B$2:$B$201),""))</f>
        <v/>
      </c>
      <c r="D172" s="27" t="n"/>
      <c r="E172" s="43" t="n"/>
      <c r="F172" s="43" t="n"/>
      <c r="G172" s="28" t="n"/>
      <c r="H172" s="49" t="n"/>
      <c r="I172" s="43" t="n"/>
      <c r="J172" s="27" t="n"/>
      <c r="K172" s="28" t="n"/>
      <c r="L172" s="28" t="n"/>
      <c r="M172" s="28" t="n"/>
      <c r="N172" s="44">
        <f>IF(B172="","",IFERROR(LOOKUP(2,1/(单次交易!$A$2:$A$201=B172),单次交易!$N$2:$N$201),""))</f>
        <v/>
      </c>
      <c r="O172" s="44">
        <f>IF(A172&lt;&gt;"每日跟踪","",IF(OR(B172="",H172="",I172=""),"",IFERROR(AGGREGATE(14,6,$I$2:$I$501/(($A$2:$A$501="每日跟踪")*($B$2:$B$501=B172)*($H$2:$H$501&lt;=H172)),1),"")))</f>
        <v/>
      </c>
      <c r="P172" s="26">
        <f>IF(A172&lt;&gt;"每日跟踪","",IF(O172="","",IFERROR(AGGREGATE(14,6,$D$2:$D$501/(($A$2:$A$501="止损计划")*($B$2:$B$501=B172)*($E$2:$E$501&lt;=O172)),1),0)))</f>
        <v/>
      </c>
      <c r="Q172" s="44">
        <f>IF(A172&lt;&gt;"每日跟踪","",IF(N172="","",MAX(N172,IFERROR(AGGREGATE(14,6,$F$2:$F$501/(($A$2:$A$501="止损计划")*($B$2:$B$501=B172)*($E$2:$E$501&lt;=O172)),1),0))))</f>
        <v/>
      </c>
      <c r="R172" s="43" t="n"/>
      <c r="S172" s="44">
        <f>IF(A172&lt;&gt;"每日跟踪","",IF(Q172="","",MAX(Q172,IFERROR(AGGREGATE(14,6,$R$2:$R$501/(($A$2:$A$501="每日跟踪")*($B$2:$B$501=B172)*($H$2:$H$501&lt;=H172)),1),0))))</f>
        <v/>
      </c>
      <c r="T172" s="44">
        <f>IF(A172&lt;&gt;"每日跟踪","",IF(O172="","",IF(COUNTIFS($A$2:$A$501,"止损计划",$B$2:$B$501,B172,$E$2:$E$501,"&gt;"&amp;O172)=0,"",AGGREGATE(15,6,$E$2:$E$501/(($A$2:$A$501="止损计划")*($B$2:$B$501=B172)*($E$2:$E$501&gt;O172)),1))))</f>
        <v/>
      </c>
      <c r="U172" s="44">
        <f>IF(OR(A172&lt;&gt;"每日跟踪",T172=""),"",IFERROR(AGGREGATE(14,6,$F$2:$F$501/(($A$2:$A$501="止损计划")*($B$2:$B$501=B172)*($E$2:$E$501=T172)),1),""))</f>
        <v/>
      </c>
      <c r="V172" s="30">
        <f>IF(OR(A172&lt;&gt;"每日跟踪",T172="",I172="",I172&lt;=0),"",T172/I172-1)</f>
        <v/>
      </c>
      <c r="W172" s="31">
        <f>IF(A172&lt;&gt;"每日跟踪","",IF(OR(I172="",S172=""),"",IF(I172&lt;=S172,"触发止损：应全部卖出","继续观察")))</f>
        <v/>
      </c>
      <c r="X172" s="28" t="n"/>
      <c r="Y172" s="43" t="n"/>
      <c r="Z172" s="26">
        <f>IF(X172&lt;&gt;"执行卖出","",IFERROR(LOOKUP(2,1/(单次交易!$A$2:$A$201=B172),单次交易!$AP$2:$AP$201),""))</f>
        <v/>
      </c>
      <c r="AA172" s="43" t="n"/>
      <c r="AB172" s="31">
        <f>IF(A172&lt;&gt;"每日跟踪","",IF(OR(B172="",H172="",I172="",J172="",K172="",L172="",M172=""),"待补充每日记录",IF(W172="触发止损：应全部卖出",IF(X172&lt;&gt;"执行卖出","违规：触发止损但未执行",IF(Y172="","待补充实际卖出价","卖出记录完整")),IF(X172="","待选择卖出动作",IF(X172="执行卖出",IF(Y172="","待补充实际卖出价","卖出记录完整"),"正常")))))</f>
        <v/>
      </c>
      <c r="AC172" s="31">
        <f>IF(A172="","",IF(A172="止损计划",IF(OR(B172="",D172="",E172="",F172="",G172=""),"计划不完整",IF(OR(D172&lt;1,D172&lt;&gt;INT(D172)),"阶段序号无效",IF(COUNTIFS($A$2:$A$501,"止损计划",$B$2:$B$501,B172,$D$2:$D$501,D172)&gt;1,"阶段序号重复",IF(E172&lt;=IFERROR(LOOKUP(2,1/('单次交易'!$A$2:$A$201=B172),'单次交易'!$E$2:$E$201),0),"激活价须高于买入价",IF(F172&lt;N172,"止损价不得低于初始止损",IF(F172&gt;E172,"止损价不得高于激活价",IF(AND(COUNTIFS($A$2:$A$501,"止损计划",$B$2:$B$501,B172,$D$2:$D$501,"&lt;"&amp;D172)&gt;0,OR(E172&lt;=AGGREGATE(14,6,$E$2:$E$501/(($A$2:$A$501="止损计划")*($B$2:$B$501=B172)*($D$2:$D$501&lt;D172)),1),F172&lt;AGGREGATE(14,6,$F$2:$F$501/(($A$2:$A$501="止损计划")*($B$2:$B$501=B172)*($D$2:$D$501&lt;D172)),1))),"阶段价格必须逐级提高","计划有效"))))))),IF(A172="每日跟踪",IF(OR(B172="",H172="",I172="",J172=""),"每日数据不完整",IF(COUNTIFS($A$2:$A$501,"每日跟踪",$B$2:$B$501,B172,$H$2:$H$501,H172)&gt;1,"同一交易日期重复",IF(AND(R172&lt;&gt;"",R172&lt;S172),"人工止损无效：不能下调","跟踪有效"))),"记录类型无效")))</f>
        <v/>
      </c>
    </row>
    <row r="173">
      <c r="A173" s="28" t="n"/>
      <c r="B173" s="28" t="n"/>
      <c r="C173" s="31">
        <f>IF(B173="","",IFERROR(LOOKUP(2,1/(单次交易!$A$2:$A$201=B173),单次交易!$B$2:$B$201),""))</f>
        <v/>
      </c>
      <c r="D173" s="27" t="n"/>
      <c r="E173" s="43" t="n"/>
      <c r="F173" s="43" t="n"/>
      <c r="G173" s="28" t="n"/>
      <c r="H173" s="49" t="n"/>
      <c r="I173" s="43" t="n"/>
      <c r="J173" s="27" t="n"/>
      <c r="K173" s="28" t="n"/>
      <c r="L173" s="28" t="n"/>
      <c r="M173" s="28" t="n"/>
      <c r="N173" s="44">
        <f>IF(B173="","",IFERROR(LOOKUP(2,1/(单次交易!$A$2:$A$201=B173),单次交易!$N$2:$N$201),""))</f>
        <v/>
      </c>
      <c r="O173" s="44">
        <f>IF(A173&lt;&gt;"每日跟踪","",IF(OR(B173="",H173="",I173=""),"",IFERROR(AGGREGATE(14,6,$I$2:$I$501/(($A$2:$A$501="每日跟踪")*($B$2:$B$501=B173)*($H$2:$H$501&lt;=H173)),1),"")))</f>
        <v/>
      </c>
      <c r="P173" s="26">
        <f>IF(A173&lt;&gt;"每日跟踪","",IF(O173="","",IFERROR(AGGREGATE(14,6,$D$2:$D$501/(($A$2:$A$501="止损计划")*($B$2:$B$501=B173)*($E$2:$E$501&lt;=O173)),1),0)))</f>
        <v/>
      </c>
      <c r="Q173" s="44">
        <f>IF(A173&lt;&gt;"每日跟踪","",IF(N173="","",MAX(N173,IFERROR(AGGREGATE(14,6,$F$2:$F$501/(($A$2:$A$501="止损计划")*($B$2:$B$501=B173)*($E$2:$E$501&lt;=O173)),1),0))))</f>
        <v/>
      </c>
      <c r="R173" s="43" t="n"/>
      <c r="S173" s="44">
        <f>IF(A173&lt;&gt;"每日跟踪","",IF(Q173="","",MAX(Q173,IFERROR(AGGREGATE(14,6,$R$2:$R$501/(($A$2:$A$501="每日跟踪")*($B$2:$B$501=B173)*($H$2:$H$501&lt;=H173)),1),0))))</f>
        <v/>
      </c>
      <c r="T173" s="44">
        <f>IF(A173&lt;&gt;"每日跟踪","",IF(O173="","",IF(COUNTIFS($A$2:$A$501,"止损计划",$B$2:$B$501,B173,$E$2:$E$501,"&gt;"&amp;O173)=0,"",AGGREGATE(15,6,$E$2:$E$501/(($A$2:$A$501="止损计划")*($B$2:$B$501=B173)*($E$2:$E$501&gt;O173)),1))))</f>
        <v/>
      </c>
      <c r="U173" s="44">
        <f>IF(OR(A173&lt;&gt;"每日跟踪",T173=""),"",IFERROR(AGGREGATE(14,6,$F$2:$F$501/(($A$2:$A$501="止损计划")*($B$2:$B$501=B173)*($E$2:$E$501=T173)),1),""))</f>
        <v/>
      </c>
      <c r="V173" s="30">
        <f>IF(OR(A173&lt;&gt;"每日跟踪",T173="",I173="",I173&lt;=0),"",T173/I173-1)</f>
        <v/>
      </c>
      <c r="W173" s="31">
        <f>IF(A173&lt;&gt;"每日跟踪","",IF(OR(I173="",S173=""),"",IF(I173&lt;=S173,"触发止损：应全部卖出","继续观察")))</f>
        <v/>
      </c>
      <c r="X173" s="28" t="n"/>
      <c r="Y173" s="43" t="n"/>
      <c r="Z173" s="26">
        <f>IF(X173&lt;&gt;"执行卖出","",IFERROR(LOOKUP(2,1/(单次交易!$A$2:$A$201=B173),单次交易!$AP$2:$AP$201),""))</f>
        <v/>
      </c>
      <c r="AA173" s="43" t="n"/>
      <c r="AB173" s="31">
        <f>IF(A173&lt;&gt;"每日跟踪","",IF(OR(B173="",H173="",I173="",J173="",K173="",L173="",M173=""),"待补充每日记录",IF(W173="触发止损：应全部卖出",IF(X173&lt;&gt;"执行卖出","违规：触发止损但未执行",IF(Y173="","待补充实际卖出价","卖出记录完整")),IF(X173="","待选择卖出动作",IF(X173="执行卖出",IF(Y173="","待补充实际卖出价","卖出记录完整"),"正常")))))</f>
        <v/>
      </c>
      <c r="AC173" s="31">
        <f>IF(A173="","",IF(A173="止损计划",IF(OR(B173="",D173="",E173="",F173="",G173=""),"计划不完整",IF(OR(D173&lt;1,D173&lt;&gt;INT(D173)),"阶段序号无效",IF(COUNTIFS($A$2:$A$501,"止损计划",$B$2:$B$501,B173,$D$2:$D$501,D173)&gt;1,"阶段序号重复",IF(E173&lt;=IFERROR(LOOKUP(2,1/('单次交易'!$A$2:$A$201=B173),'单次交易'!$E$2:$E$201),0),"激活价须高于买入价",IF(F173&lt;N173,"止损价不得低于初始止损",IF(F173&gt;E173,"止损价不得高于激活价",IF(AND(COUNTIFS($A$2:$A$501,"止损计划",$B$2:$B$501,B173,$D$2:$D$501,"&lt;"&amp;D173)&gt;0,OR(E173&lt;=AGGREGATE(14,6,$E$2:$E$501/(($A$2:$A$501="止损计划")*($B$2:$B$501=B173)*($D$2:$D$501&lt;D173)),1),F173&lt;AGGREGATE(14,6,$F$2:$F$501/(($A$2:$A$501="止损计划")*($B$2:$B$501=B173)*($D$2:$D$501&lt;D173)),1))),"阶段价格必须逐级提高","计划有效"))))))),IF(A173="每日跟踪",IF(OR(B173="",H173="",I173="",J173=""),"每日数据不完整",IF(COUNTIFS($A$2:$A$501,"每日跟踪",$B$2:$B$501,B173,$H$2:$H$501,H173)&gt;1,"同一交易日期重复",IF(AND(R173&lt;&gt;"",R173&lt;S173),"人工止损无效：不能下调","跟踪有效"))),"记录类型无效")))</f>
        <v/>
      </c>
    </row>
    <row r="174">
      <c r="A174" s="28" t="n"/>
      <c r="B174" s="28" t="n"/>
      <c r="C174" s="31">
        <f>IF(B174="","",IFERROR(LOOKUP(2,1/(单次交易!$A$2:$A$201=B174),单次交易!$B$2:$B$201),""))</f>
        <v/>
      </c>
      <c r="D174" s="27" t="n"/>
      <c r="E174" s="43" t="n"/>
      <c r="F174" s="43" t="n"/>
      <c r="G174" s="28" t="n"/>
      <c r="H174" s="49" t="n"/>
      <c r="I174" s="43" t="n"/>
      <c r="J174" s="27" t="n"/>
      <c r="K174" s="28" t="n"/>
      <c r="L174" s="28" t="n"/>
      <c r="M174" s="28" t="n"/>
      <c r="N174" s="44">
        <f>IF(B174="","",IFERROR(LOOKUP(2,1/(单次交易!$A$2:$A$201=B174),单次交易!$N$2:$N$201),""))</f>
        <v/>
      </c>
      <c r="O174" s="44">
        <f>IF(A174&lt;&gt;"每日跟踪","",IF(OR(B174="",H174="",I174=""),"",IFERROR(AGGREGATE(14,6,$I$2:$I$501/(($A$2:$A$501="每日跟踪")*($B$2:$B$501=B174)*($H$2:$H$501&lt;=H174)),1),"")))</f>
        <v/>
      </c>
      <c r="P174" s="26">
        <f>IF(A174&lt;&gt;"每日跟踪","",IF(O174="","",IFERROR(AGGREGATE(14,6,$D$2:$D$501/(($A$2:$A$501="止损计划")*($B$2:$B$501=B174)*($E$2:$E$501&lt;=O174)),1),0)))</f>
        <v/>
      </c>
      <c r="Q174" s="44">
        <f>IF(A174&lt;&gt;"每日跟踪","",IF(N174="","",MAX(N174,IFERROR(AGGREGATE(14,6,$F$2:$F$501/(($A$2:$A$501="止损计划")*($B$2:$B$501=B174)*($E$2:$E$501&lt;=O174)),1),0))))</f>
        <v/>
      </c>
      <c r="R174" s="43" t="n"/>
      <c r="S174" s="44">
        <f>IF(A174&lt;&gt;"每日跟踪","",IF(Q174="","",MAX(Q174,IFERROR(AGGREGATE(14,6,$R$2:$R$501/(($A$2:$A$501="每日跟踪")*($B$2:$B$501=B174)*($H$2:$H$501&lt;=H174)),1),0))))</f>
        <v/>
      </c>
      <c r="T174" s="44">
        <f>IF(A174&lt;&gt;"每日跟踪","",IF(O174="","",IF(COUNTIFS($A$2:$A$501,"止损计划",$B$2:$B$501,B174,$E$2:$E$501,"&gt;"&amp;O174)=0,"",AGGREGATE(15,6,$E$2:$E$501/(($A$2:$A$501="止损计划")*($B$2:$B$501=B174)*($E$2:$E$501&gt;O174)),1))))</f>
        <v/>
      </c>
      <c r="U174" s="44">
        <f>IF(OR(A174&lt;&gt;"每日跟踪",T174=""),"",IFERROR(AGGREGATE(14,6,$F$2:$F$501/(($A$2:$A$501="止损计划")*($B$2:$B$501=B174)*($E$2:$E$501=T174)),1),""))</f>
        <v/>
      </c>
      <c r="V174" s="30">
        <f>IF(OR(A174&lt;&gt;"每日跟踪",T174="",I174="",I174&lt;=0),"",T174/I174-1)</f>
        <v/>
      </c>
      <c r="W174" s="31">
        <f>IF(A174&lt;&gt;"每日跟踪","",IF(OR(I174="",S174=""),"",IF(I174&lt;=S174,"触发止损：应全部卖出","继续观察")))</f>
        <v/>
      </c>
      <c r="X174" s="28" t="n"/>
      <c r="Y174" s="43" t="n"/>
      <c r="Z174" s="26">
        <f>IF(X174&lt;&gt;"执行卖出","",IFERROR(LOOKUP(2,1/(单次交易!$A$2:$A$201=B174),单次交易!$AP$2:$AP$201),""))</f>
        <v/>
      </c>
      <c r="AA174" s="43" t="n"/>
      <c r="AB174" s="31">
        <f>IF(A174&lt;&gt;"每日跟踪","",IF(OR(B174="",H174="",I174="",J174="",K174="",L174="",M174=""),"待补充每日记录",IF(W174="触发止损：应全部卖出",IF(X174&lt;&gt;"执行卖出","违规：触发止损但未执行",IF(Y174="","待补充实际卖出价","卖出记录完整")),IF(X174="","待选择卖出动作",IF(X174="执行卖出",IF(Y174="","待补充实际卖出价","卖出记录完整"),"正常")))))</f>
        <v/>
      </c>
      <c r="AC174" s="31">
        <f>IF(A174="","",IF(A174="止损计划",IF(OR(B174="",D174="",E174="",F174="",G174=""),"计划不完整",IF(OR(D174&lt;1,D174&lt;&gt;INT(D174)),"阶段序号无效",IF(COUNTIFS($A$2:$A$501,"止损计划",$B$2:$B$501,B174,$D$2:$D$501,D174)&gt;1,"阶段序号重复",IF(E174&lt;=IFERROR(LOOKUP(2,1/('单次交易'!$A$2:$A$201=B174),'单次交易'!$E$2:$E$201),0),"激活价须高于买入价",IF(F174&lt;N174,"止损价不得低于初始止损",IF(F174&gt;E174,"止损价不得高于激活价",IF(AND(COUNTIFS($A$2:$A$501,"止损计划",$B$2:$B$501,B174,$D$2:$D$501,"&lt;"&amp;D174)&gt;0,OR(E174&lt;=AGGREGATE(14,6,$E$2:$E$501/(($A$2:$A$501="止损计划")*($B$2:$B$501=B174)*($D$2:$D$501&lt;D174)),1),F174&lt;AGGREGATE(14,6,$F$2:$F$501/(($A$2:$A$501="止损计划")*($B$2:$B$501=B174)*($D$2:$D$501&lt;D174)),1))),"阶段价格必须逐级提高","计划有效"))))))),IF(A174="每日跟踪",IF(OR(B174="",H174="",I174="",J174=""),"每日数据不完整",IF(COUNTIFS($A$2:$A$501,"每日跟踪",$B$2:$B$501,B174,$H$2:$H$501,H174)&gt;1,"同一交易日期重复",IF(AND(R174&lt;&gt;"",R174&lt;S174),"人工止损无效：不能下调","跟踪有效"))),"记录类型无效")))</f>
        <v/>
      </c>
    </row>
    <row r="175">
      <c r="A175" s="28" t="n"/>
      <c r="B175" s="28" t="n"/>
      <c r="C175" s="31">
        <f>IF(B175="","",IFERROR(LOOKUP(2,1/(单次交易!$A$2:$A$201=B175),单次交易!$B$2:$B$201),""))</f>
        <v/>
      </c>
      <c r="D175" s="27" t="n"/>
      <c r="E175" s="43" t="n"/>
      <c r="F175" s="43" t="n"/>
      <c r="G175" s="28" t="n"/>
      <c r="H175" s="49" t="n"/>
      <c r="I175" s="43" t="n"/>
      <c r="J175" s="27" t="n"/>
      <c r="K175" s="28" t="n"/>
      <c r="L175" s="28" t="n"/>
      <c r="M175" s="28" t="n"/>
      <c r="N175" s="44">
        <f>IF(B175="","",IFERROR(LOOKUP(2,1/(单次交易!$A$2:$A$201=B175),单次交易!$N$2:$N$201),""))</f>
        <v/>
      </c>
      <c r="O175" s="44">
        <f>IF(A175&lt;&gt;"每日跟踪","",IF(OR(B175="",H175="",I175=""),"",IFERROR(AGGREGATE(14,6,$I$2:$I$501/(($A$2:$A$501="每日跟踪")*($B$2:$B$501=B175)*($H$2:$H$501&lt;=H175)),1),"")))</f>
        <v/>
      </c>
      <c r="P175" s="26">
        <f>IF(A175&lt;&gt;"每日跟踪","",IF(O175="","",IFERROR(AGGREGATE(14,6,$D$2:$D$501/(($A$2:$A$501="止损计划")*($B$2:$B$501=B175)*($E$2:$E$501&lt;=O175)),1),0)))</f>
        <v/>
      </c>
      <c r="Q175" s="44">
        <f>IF(A175&lt;&gt;"每日跟踪","",IF(N175="","",MAX(N175,IFERROR(AGGREGATE(14,6,$F$2:$F$501/(($A$2:$A$501="止损计划")*($B$2:$B$501=B175)*($E$2:$E$501&lt;=O175)),1),0))))</f>
        <v/>
      </c>
      <c r="R175" s="43" t="n"/>
      <c r="S175" s="44">
        <f>IF(A175&lt;&gt;"每日跟踪","",IF(Q175="","",MAX(Q175,IFERROR(AGGREGATE(14,6,$R$2:$R$501/(($A$2:$A$501="每日跟踪")*($B$2:$B$501=B175)*($H$2:$H$501&lt;=H175)),1),0))))</f>
        <v/>
      </c>
      <c r="T175" s="44">
        <f>IF(A175&lt;&gt;"每日跟踪","",IF(O175="","",IF(COUNTIFS($A$2:$A$501,"止损计划",$B$2:$B$501,B175,$E$2:$E$501,"&gt;"&amp;O175)=0,"",AGGREGATE(15,6,$E$2:$E$501/(($A$2:$A$501="止损计划")*($B$2:$B$501=B175)*($E$2:$E$501&gt;O175)),1))))</f>
        <v/>
      </c>
      <c r="U175" s="44">
        <f>IF(OR(A175&lt;&gt;"每日跟踪",T175=""),"",IFERROR(AGGREGATE(14,6,$F$2:$F$501/(($A$2:$A$501="止损计划")*($B$2:$B$501=B175)*($E$2:$E$501=T175)),1),""))</f>
        <v/>
      </c>
      <c r="V175" s="30">
        <f>IF(OR(A175&lt;&gt;"每日跟踪",T175="",I175="",I175&lt;=0),"",T175/I175-1)</f>
        <v/>
      </c>
      <c r="W175" s="31">
        <f>IF(A175&lt;&gt;"每日跟踪","",IF(OR(I175="",S175=""),"",IF(I175&lt;=S175,"触发止损：应全部卖出","继续观察")))</f>
        <v/>
      </c>
      <c r="X175" s="28" t="n"/>
      <c r="Y175" s="43" t="n"/>
      <c r="Z175" s="26">
        <f>IF(X175&lt;&gt;"执行卖出","",IFERROR(LOOKUP(2,1/(单次交易!$A$2:$A$201=B175),单次交易!$AP$2:$AP$201),""))</f>
        <v/>
      </c>
      <c r="AA175" s="43" t="n"/>
      <c r="AB175" s="31">
        <f>IF(A175&lt;&gt;"每日跟踪","",IF(OR(B175="",H175="",I175="",J175="",K175="",L175="",M175=""),"待补充每日记录",IF(W175="触发止损：应全部卖出",IF(X175&lt;&gt;"执行卖出","违规：触发止损但未执行",IF(Y175="","待补充实际卖出价","卖出记录完整")),IF(X175="","待选择卖出动作",IF(X175="执行卖出",IF(Y175="","待补充实际卖出价","卖出记录完整"),"正常")))))</f>
        <v/>
      </c>
      <c r="AC175" s="31">
        <f>IF(A175="","",IF(A175="止损计划",IF(OR(B175="",D175="",E175="",F175="",G175=""),"计划不完整",IF(OR(D175&lt;1,D175&lt;&gt;INT(D175)),"阶段序号无效",IF(COUNTIFS($A$2:$A$501,"止损计划",$B$2:$B$501,B175,$D$2:$D$501,D175)&gt;1,"阶段序号重复",IF(E175&lt;=IFERROR(LOOKUP(2,1/('单次交易'!$A$2:$A$201=B175),'单次交易'!$E$2:$E$201),0),"激活价须高于买入价",IF(F175&lt;N175,"止损价不得低于初始止损",IF(F175&gt;E175,"止损价不得高于激活价",IF(AND(COUNTIFS($A$2:$A$501,"止损计划",$B$2:$B$501,B175,$D$2:$D$501,"&lt;"&amp;D175)&gt;0,OR(E175&lt;=AGGREGATE(14,6,$E$2:$E$501/(($A$2:$A$501="止损计划")*($B$2:$B$501=B175)*($D$2:$D$501&lt;D175)),1),F175&lt;AGGREGATE(14,6,$F$2:$F$501/(($A$2:$A$501="止损计划")*($B$2:$B$501=B175)*($D$2:$D$501&lt;D175)),1))),"阶段价格必须逐级提高","计划有效"))))))),IF(A175="每日跟踪",IF(OR(B175="",H175="",I175="",J175=""),"每日数据不完整",IF(COUNTIFS($A$2:$A$501,"每日跟踪",$B$2:$B$501,B175,$H$2:$H$501,H175)&gt;1,"同一交易日期重复",IF(AND(R175&lt;&gt;"",R175&lt;S175),"人工止损无效：不能下调","跟踪有效"))),"记录类型无效")))</f>
        <v/>
      </c>
    </row>
    <row r="176">
      <c r="A176" s="28" t="n"/>
      <c r="B176" s="28" t="n"/>
      <c r="C176" s="31">
        <f>IF(B176="","",IFERROR(LOOKUP(2,1/(单次交易!$A$2:$A$201=B176),单次交易!$B$2:$B$201),""))</f>
        <v/>
      </c>
      <c r="D176" s="27" t="n"/>
      <c r="E176" s="43" t="n"/>
      <c r="F176" s="43" t="n"/>
      <c r="G176" s="28" t="n"/>
      <c r="H176" s="49" t="n"/>
      <c r="I176" s="43" t="n"/>
      <c r="J176" s="27" t="n"/>
      <c r="K176" s="28" t="n"/>
      <c r="L176" s="28" t="n"/>
      <c r="M176" s="28" t="n"/>
      <c r="N176" s="44">
        <f>IF(B176="","",IFERROR(LOOKUP(2,1/(单次交易!$A$2:$A$201=B176),单次交易!$N$2:$N$201),""))</f>
        <v/>
      </c>
      <c r="O176" s="44">
        <f>IF(A176&lt;&gt;"每日跟踪","",IF(OR(B176="",H176="",I176=""),"",IFERROR(AGGREGATE(14,6,$I$2:$I$501/(($A$2:$A$501="每日跟踪")*($B$2:$B$501=B176)*($H$2:$H$501&lt;=H176)),1),"")))</f>
        <v/>
      </c>
      <c r="P176" s="26">
        <f>IF(A176&lt;&gt;"每日跟踪","",IF(O176="","",IFERROR(AGGREGATE(14,6,$D$2:$D$501/(($A$2:$A$501="止损计划")*($B$2:$B$501=B176)*($E$2:$E$501&lt;=O176)),1),0)))</f>
        <v/>
      </c>
      <c r="Q176" s="44">
        <f>IF(A176&lt;&gt;"每日跟踪","",IF(N176="","",MAX(N176,IFERROR(AGGREGATE(14,6,$F$2:$F$501/(($A$2:$A$501="止损计划")*($B$2:$B$501=B176)*($E$2:$E$501&lt;=O176)),1),0))))</f>
        <v/>
      </c>
      <c r="R176" s="43" t="n"/>
      <c r="S176" s="44">
        <f>IF(A176&lt;&gt;"每日跟踪","",IF(Q176="","",MAX(Q176,IFERROR(AGGREGATE(14,6,$R$2:$R$501/(($A$2:$A$501="每日跟踪")*($B$2:$B$501=B176)*($H$2:$H$501&lt;=H176)),1),0))))</f>
        <v/>
      </c>
      <c r="T176" s="44">
        <f>IF(A176&lt;&gt;"每日跟踪","",IF(O176="","",IF(COUNTIFS($A$2:$A$501,"止损计划",$B$2:$B$501,B176,$E$2:$E$501,"&gt;"&amp;O176)=0,"",AGGREGATE(15,6,$E$2:$E$501/(($A$2:$A$501="止损计划")*($B$2:$B$501=B176)*($E$2:$E$501&gt;O176)),1))))</f>
        <v/>
      </c>
      <c r="U176" s="44">
        <f>IF(OR(A176&lt;&gt;"每日跟踪",T176=""),"",IFERROR(AGGREGATE(14,6,$F$2:$F$501/(($A$2:$A$501="止损计划")*($B$2:$B$501=B176)*($E$2:$E$501=T176)),1),""))</f>
        <v/>
      </c>
      <c r="V176" s="30">
        <f>IF(OR(A176&lt;&gt;"每日跟踪",T176="",I176="",I176&lt;=0),"",T176/I176-1)</f>
        <v/>
      </c>
      <c r="W176" s="31">
        <f>IF(A176&lt;&gt;"每日跟踪","",IF(OR(I176="",S176=""),"",IF(I176&lt;=S176,"触发止损：应全部卖出","继续观察")))</f>
        <v/>
      </c>
      <c r="X176" s="28" t="n"/>
      <c r="Y176" s="43" t="n"/>
      <c r="Z176" s="26">
        <f>IF(X176&lt;&gt;"执行卖出","",IFERROR(LOOKUP(2,1/(单次交易!$A$2:$A$201=B176),单次交易!$AP$2:$AP$201),""))</f>
        <v/>
      </c>
      <c r="AA176" s="43" t="n"/>
      <c r="AB176" s="31">
        <f>IF(A176&lt;&gt;"每日跟踪","",IF(OR(B176="",H176="",I176="",J176="",K176="",L176="",M176=""),"待补充每日记录",IF(W176="触发止损：应全部卖出",IF(X176&lt;&gt;"执行卖出","违规：触发止损但未执行",IF(Y176="","待补充实际卖出价","卖出记录完整")),IF(X176="","待选择卖出动作",IF(X176="执行卖出",IF(Y176="","待补充实际卖出价","卖出记录完整"),"正常")))))</f>
        <v/>
      </c>
      <c r="AC176" s="31">
        <f>IF(A176="","",IF(A176="止损计划",IF(OR(B176="",D176="",E176="",F176="",G176=""),"计划不完整",IF(OR(D176&lt;1,D176&lt;&gt;INT(D176)),"阶段序号无效",IF(COUNTIFS($A$2:$A$501,"止损计划",$B$2:$B$501,B176,$D$2:$D$501,D176)&gt;1,"阶段序号重复",IF(E176&lt;=IFERROR(LOOKUP(2,1/('单次交易'!$A$2:$A$201=B176),'单次交易'!$E$2:$E$201),0),"激活价须高于买入价",IF(F176&lt;N176,"止损价不得低于初始止损",IF(F176&gt;E176,"止损价不得高于激活价",IF(AND(COUNTIFS($A$2:$A$501,"止损计划",$B$2:$B$501,B176,$D$2:$D$501,"&lt;"&amp;D176)&gt;0,OR(E176&lt;=AGGREGATE(14,6,$E$2:$E$501/(($A$2:$A$501="止损计划")*($B$2:$B$501=B176)*($D$2:$D$501&lt;D176)),1),F176&lt;AGGREGATE(14,6,$F$2:$F$501/(($A$2:$A$501="止损计划")*($B$2:$B$501=B176)*($D$2:$D$501&lt;D176)),1))),"阶段价格必须逐级提高","计划有效"))))))),IF(A176="每日跟踪",IF(OR(B176="",H176="",I176="",J176=""),"每日数据不完整",IF(COUNTIFS($A$2:$A$501,"每日跟踪",$B$2:$B$501,B176,$H$2:$H$501,H176)&gt;1,"同一交易日期重复",IF(AND(R176&lt;&gt;"",R176&lt;S176),"人工止损无效：不能下调","跟踪有效"))),"记录类型无效")))</f>
        <v/>
      </c>
    </row>
    <row r="177">
      <c r="A177" s="28" t="n"/>
      <c r="B177" s="28" t="n"/>
      <c r="C177" s="31">
        <f>IF(B177="","",IFERROR(LOOKUP(2,1/(单次交易!$A$2:$A$201=B177),单次交易!$B$2:$B$201),""))</f>
        <v/>
      </c>
      <c r="D177" s="27" t="n"/>
      <c r="E177" s="43" t="n"/>
      <c r="F177" s="43" t="n"/>
      <c r="G177" s="28" t="n"/>
      <c r="H177" s="49" t="n"/>
      <c r="I177" s="43" t="n"/>
      <c r="J177" s="27" t="n"/>
      <c r="K177" s="28" t="n"/>
      <c r="L177" s="28" t="n"/>
      <c r="M177" s="28" t="n"/>
      <c r="N177" s="44">
        <f>IF(B177="","",IFERROR(LOOKUP(2,1/(单次交易!$A$2:$A$201=B177),单次交易!$N$2:$N$201),""))</f>
        <v/>
      </c>
      <c r="O177" s="44">
        <f>IF(A177&lt;&gt;"每日跟踪","",IF(OR(B177="",H177="",I177=""),"",IFERROR(AGGREGATE(14,6,$I$2:$I$501/(($A$2:$A$501="每日跟踪")*($B$2:$B$501=B177)*($H$2:$H$501&lt;=H177)),1),"")))</f>
        <v/>
      </c>
      <c r="P177" s="26">
        <f>IF(A177&lt;&gt;"每日跟踪","",IF(O177="","",IFERROR(AGGREGATE(14,6,$D$2:$D$501/(($A$2:$A$501="止损计划")*($B$2:$B$501=B177)*($E$2:$E$501&lt;=O177)),1),0)))</f>
        <v/>
      </c>
      <c r="Q177" s="44">
        <f>IF(A177&lt;&gt;"每日跟踪","",IF(N177="","",MAX(N177,IFERROR(AGGREGATE(14,6,$F$2:$F$501/(($A$2:$A$501="止损计划")*($B$2:$B$501=B177)*($E$2:$E$501&lt;=O177)),1),0))))</f>
        <v/>
      </c>
      <c r="R177" s="43" t="n"/>
      <c r="S177" s="44">
        <f>IF(A177&lt;&gt;"每日跟踪","",IF(Q177="","",MAX(Q177,IFERROR(AGGREGATE(14,6,$R$2:$R$501/(($A$2:$A$501="每日跟踪")*($B$2:$B$501=B177)*($H$2:$H$501&lt;=H177)),1),0))))</f>
        <v/>
      </c>
      <c r="T177" s="44">
        <f>IF(A177&lt;&gt;"每日跟踪","",IF(O177="","",IF(COUNTIFS($A$2:$A$501,"止损计划",$B$2:$B$501,B177,$E$2:$E$501,"&gt;"&amp;O177)=0,"",AGGREGATE(15,6,$E$2:$E$501/(($A$2:$A$501="止损计划")*($B$2:$B$501=B177)*($E$2:$E$501&gt;O177)),1))))</f>
        <v/>
      </c>
      <c r="U177" s="44">
        <f>IF(OR(A177&lt;&gt;"每日跟踪",T177=""),"",IFERROR(AGGREGATE(14,6,$F$2:$F$501/(($A$2:$A$501="止损计划")*($B$2:$B$501=B177)*($E$2:$E$501=T177)),1),""))</f>
        <v/>
      </c>
      <c r="V177" s="30">
        <f>IF(OR(A177&lt;&gt;"每日跟踪",T177="",I177="",I177&lt;=0),"",T177/I177-1)</f>
        <v/>
      </c>
      <c r="W177" s="31">
        <f>IF(A177&lt;&gt;"每日跟踪","",IF(OR(I177="",S177=""),"",IF(I177&lt;=S177,"触发止损：应全部卖出","继续观察")))</f>
        <v/>
      </c>
      <c r="X177" s="28" t="n"/>
      <c r="Y177" s="43" t="n"/>
      <c r="Z177" s="26">
        <f>IF(X177&lt;&gt;"执行卖出","",IFERROR(LOOKUP(2,1/(单次交易!$A$2:$A$201=B177),单次交易!$AP$2:$AP$201),""))</f>
        <v/>
      </c>
      <c r="AA177" s="43" t="n"/>
      <c r="AB177" s="31">
        <f>IF(A177&lt;&gt;"每日跟踪","",IF(OR(B177="",H177="",I177="",J177="",K177="",L177="",M177=""),"待补充每日记录",IF(W177="触发止损：应全部卖出",IF(X177&lt;&gt;"执行卖出","违规：触发止损但未执行",IF(Y177="","待补充实际卖出价","卖出记录完整")),IF(X177="","待选择卖出动作",IF(X177="执行卖出",IF(Y177="","待补充实际卖出价","卖出记录完整"),"正常")))))</f>
        <v/>
      </c>
      <c r="AC177" s="31">
        <f>IF(A177="","",IF(A177="止损计划",IF(OR(B177="",D177="",E177="",F177="",G177=""),"计划不完整",IF(OR(D177&lt;1,D177&lt;&gt;INT(D177)),"阶段序号无效",IF(COUNTIFS($A$2:$A$501,"止损计划",$B$2:$B$501,B177,$D$2:$D$501,D177)&gt;1,"阶段序号重复",IF(E177&lt;=IFERROR(LOOKUP(2,1/('单次交易'!$A$2:$A$201=B177),'单次交易'!$E$2:$E$201),0),"激活价须高于买入价",IF(F177&lt;N177,"止损价不得低于初始止损",IF(F177&gt;E177,"止损价不得高于激活价",IF(AND(COUNTIFS($A$2:$A$501,"止损计划",$B$2:$B$501,B177,$D$2:$D$501,"&lt;"&amp;D177)&gt;0,OR(E177&lt;=AGGREGATE(14,6,$E$2:$E$501/(($A$2:$A$501="止损计划")*($B$2:$B$501=B177)*($D$2:$D$501&lt;D177)),1),F177&lt;AGGREGATE(14,6,$F$2:$F$501/(($A$2:$A$501="止损计划")*($B$2:$B$501=B177)*($D$2:$D$501&lt;D177)),1))),"阶段价格必须逐级提高","计划有效"))))))),IF(A177="每日跟踪",IF(OR(B177="",H177="",I177="",J177=""),"每日数据不完整",IF(COUNTIFS($A$2:$A$501,"每日跟踪",$B$2:$B$501,B177,$H$2:$H$501,H177)&gt;1,"同一交易日期重复",IF(AND(R177&lt;&gt;"",R177&lt;S177),"人工止损无效：不能下调","跟踪有效"))),"记录类型无效")))</f>
        <v/>
      </c>
    </row>
    <row r="178">
      <c r="A178" s="28" t="n"/>
      <c r="B178" s="28" t="n"/>
      <c r="C178" s="31">
        <f>IF(B178="","",IFERROR(LOOKUP(2,1/(单次交易!$A$2:$A$201=B178),单次交易!$B$2:$B$201),""))</f>
        <v/>
      </c>
      <c r="D178" s="27" t="n"/>
      <c r="E178" s="43" t="n"/>
      <c r="F178" s="43" t="n"/>
      <c r="G178" s="28" t="n"/>
      <c r="H178" s="49" t="n"/>
      <c r="I178" s="43" t="n"/>
      <c r="J178" s="27" t="n"/>
      <c r="K178" s="28" t="n"/>
      <c r="L178" s="28" t="n"/>
      <c r="M178" s="28" t="n"/>
      <c r="N178" s="44">
        <f>IF(B178="","",IFERROR(LOOKUP(2,1/(单次交易!$A$2:$A$201=B178),单次交易!$N$2:$N$201),""))</f>
        <v/>
      </c>
      <c r="O178" s="44">
        <f>IF(A178&lt;&gt;"每日跟踪","",IF(OR(B178="",H178="",I178=""),"",IFERROR(AGGREGATE(14,6,$I$2:$I$501/(($A$2:$A$501="每日跟踪")*($B$2:$B$501=B178)*($H$2:$H$501&lt;=H178)),1),"")))</f>
        <v/>
      </c>
      <c r="P178" s="26">
        <f>IF(A178&lt;&gt;"每日跟踪","",IF(O178="","",IFERROR(AGGREGATE(14,6,$D$2:$D$501/(($A$2:$A$501="止损计划")*($B$2:$B$501=B178)*($E$2:$E$501&lt;=O178)),1),0)))</f>
        <v/>
      </c>
      <c r="Q178" s="44">
        <f>IF(A178&lt;&gt;"每日跟踪","",IF(N178="","",MAX(N178,IFERROR(AGGREGATE(14,6,$F$2:$F$501/(($A$2:$A$501="止损计划")*($B$2:$B$501=B178)*($E$2:$E$501&lt;=O178)),1),0))))</f>
        <v/>
      </c>
      <c r="R178" s="43" t="n"/>
      <c r="S178" s="44">
        <f>IF(A178&lt;&gt;"每日跟踪","",IF(Q178="","",MAX(Q178,IFERROR(AGGREGATE(14,6,$R$2:$R$501/(($A$2:$A$501="每日跟踪")*($B$2:$B$501=B178)*($H$2:$H$501&lt;=H178)),1),0))))</f>
        <v/>
      </c>
      <c r="T178" s="44">
        <f>IF(A178&lt;&gt;"每日跟踪","",IF(O178="","",IF(COUNTIFS($A$2:$A$501,"止损计划",$B$2:$B$501,B178,$E$2:$E$501,"&gt;"&amp;O178)=0,"",AGGREGATE(15,6,$E$2:$E$501/(($A$2:$A$501="止损计划")*($B$2:$B$501=B178)*($E$2:$E$501&gt;O178)),1))))</f>
        <v/>
      </c>
      <c r="U178" s="44">
        <f>IF(OR(A178&lt;&gt;"每日跟踪",T178=""),"",IFERROR(AGGREGATE(14,6,$F$2:$F$501/(($A$2:$A$501="止损计划")*($B$2:$B$501=B178)*($E$2:$E$501=T178)),1),""))</f>
        <v/>
      </c>
      <c r="V178" s="30">
        <f>IF(OR(A178&lt;&gt;"每日跟踪",T178="",I178="",I178&lt;=0),"",T178/I178-1)</f>
        <v/>
      </c>
      <c r="W178" s="31">
        <f>IF(A178&lt;&gt;"每日跟踪","",IF(OR(I178="",S178=""),"",IF(I178&lt;=S178,"触发止损：应全部卖出","继续观察")))</f>
        <v/>
      </c>
      <c r="X178" s="28" t="n"/>
      <c r="Y178" s="43" t="n"/>
      <c r="Z178" s="26">
        <f>IF(X178&lt;&gt;"执行卖出","",IFERROR(LOOKUP(2,1/(单次交易!$A$2:$A$201=B178),单次交易!$AP$2:$AP$201),""))</f>
        <v/>
      </c>
      <c r="AA178" s="43" t="n"/>
      <c r="AB178" s="31">
        <f>IF(A178&lt;&gt;"每日跟踪","",IF(OR(B178="",H178="",I178="",J178="",K178="",L178="",M178=""),"待补充每日记录",IF(W178="触发止损：应全部卖出",IF(X178&lt;&gt;"执行卖出","违规：触发止损但未执行",IF(Y178="","待补充实际卖出价","卖出记录完整")),IF(X178="","待选择卖出动作",IF(X178="执行卖出",IF(Y178="","待补充实际卖出价","卖出记录完整"),"正常")))))</f>
        <v/>
      </c>
      <c r="AC178" s="31">
        <f>IF(A178="","",IF(A178="止损计划",IF(OR(B178="",D178="",E178="",F178="",G178=""),"计划不完整",IF(OR(D178&lt;1,D178&lt;&gt;INT(D178)),"阶段序号无效",IF(COUNTIFS($A$2:$A$501,"止损计划",$B$2:$B$501,B178,$D$2:$D$501,D178)&gt;1,"阶段序号重复",IF(E178&lt;=IFERROR(LOOKUP(2,1/('单次交易'!$A$2:$A$201=B178),'单次交易'!$E$2:$E$201),0),"激活价须高于买入价",IF(F178&lt;N178,"止损价不得低于初始止损",IF(F178&gt;E178,"止损价不得高于激活价",IF(AND(COUNTIFS($A$2:$A$501,"止损计划",$B$2:$B$501,B178,$D$2:$D$501,"&lt;"&amp;D178)&gt;0,OR(E178&lt;=AGGREGATE(14,6,$E$2:$E$501/(($A$2:$A$501="止损计划")*($B$2:$B$501=B178)*($D$2:$D$501&lt;D178)),1),F178&lt;AGGREGATE(14,6,$F$2:$F$501/(($A$2:$A$501="止损计划")*($B$2:$B$501=B178)*($D$2:$D$501&lt;D178)),1))),"阶段价格必须逐级提高","计划有效"))))))),IF(A178="每日跟踪",IF(OR(B178="",H178="",I178="",J178=""),"每日数据不完整",IF(COUNTIFS($A$2:$A$501,"每日跟踪",$B$2:$B$501,B178,$H$2:$H$501,H178)&gt;1,"同一交易日期重复",IF(AND(R178&lt;&gt;"",R178&lt;S178),"人工止损无效：不能下调","跟踪有效"))),"记录类型无效")))</f>
        <v/>
      </c>
    </row>
    <row r="179">
      <c r="A179" s="28" t="n"/>
      <c r="B179" s="28" t="n"/>
      <c r="C179" s="31">
        <f>IF(B179="","",IFERROR(LOOKUP(2,1/(单次交易!$A$2:$A$201=B179),单次交易!$B$2:$B$201),""))</f>
        <v/>
      </c>
      <c r="D179" s="27" t="n"/>
      <c r="E179" s="43" t="n"/>
      <c r="F179" s="43" t="n"/>
      <c r="G179" s="28" t="n"/>
      <c r="H179" s="49" t="n"/>
      <c r="I179" s="43" t="n"/>
      <c r="J179" s="27" t="n"/>
      <c r="K179" s="28" t="n"/>
      <c r="L179" s="28" t="n"/>
      <c r="M179" s="28" t="n"/>
      <c r="N179" s="44">
        <f>IF(B179="","",IFERROR(LOOKUP(2,1/(单次交易!$A$2:$A$201=B179),单次交易!$N$2:$N$201),""))</f>
        <v/>
      </c>
      <c r="O179" s="44">
        <f>IF(A179&lt;&gt;"每日跟踪","",IF(OR(B179="",H179="",I179=""),"",IFERROR(AGGREGATE(14,6,$I$2:$I$501/(($A$2:$A$501="每日跟踪")*($B$2:$B$501=B179)*($H$2:$H$501&lt;=H179)),1),"")))</f>
        <v/>
      </c>
      <c r="P179" s="26">
        <f>IF(A179&lt;&gt;"每日跟踪","",IF(O179="","",IFERROR(AGGREGATE(14,6,$D$2:$D$501/(($A$2:$A$501="止损计划")*($B$2:$B$501=B179)*($E$2:$E$501&lt;=O179)),1),0)))</f>
        <v/>
      </c>
      <c r="Q179" s="44">
        <f>IF(A179&lt;&gt;"每日跟踪","",IF(N179="","",MAX(N179,IFERROR(AGGREGATE(14,6,$F$2:$F$501/(($A$2:$A$501="止损计划")*($B$2:$B$501=B179)*($E$2:$E$501&lt;=O179)),1),0))))</f>
        <v/>
      </c>
      <c r="R179" s="43" t="n"/>
      <c r="S179" s="44">
        <f>IF(A179&lt;&gt;"每日跟踪","",IF(Q179="","",MAX(Q179,IFERROR(AGGREGATE(14,6,$R$2:$R$501/(($A$2:$A$501="每日跟踪")*($B$2:$B$501=B179)*($H$2:$H$501&lt;=H179)),1),0))))</f>
        <v/>
      </c>
      <c r="T179" s="44">
        <f>IF(A179&lt;&gt;"每日跟踪","",IF(O179="","",IF(COUNTIFS($A$2:$A$501,"止损计划",$B$2:$B$501,B179,$E$2:$E$501,"&gt;"&amp;O179)=0,"",AGGREGATE(15,6,$E$2:$E$501/(($A$2:$A$501="止损计划")*($B$2:$B$501=B179)*($E$2:$E$501&gt;O179)),1))))</f>
        <v/>
      </c>
      <c r="U179" s="44">
        <f>IF(OR(A179&lt;&gt;"每日跟踪",T179=""),"",IFERROR(AGGREGATE(14,6,$F$2:$F$501/(($A$2:$A$501="止损计划")*($B$2:$B$501=B179)*($E$2:$E$501=T179)),1),""))</f>
        <v/>
      </c>
      <c r="V179" s="30">
        <f>IF(OR(A179&lt;&gt;"每日跟踪",T179="",I179="",I179&lt;=0),"",T179/I179-1)</f>
        <v/>
      </c>
      <c r="W179" s="31">
        <f>IF(A179&lt;&gt;"每日跟踪","",IF(OR(I179="",S179=""),"",IF(I179&lt;=S179,"触发止损：应全部卖出","继续观察")))</f>
        <v/>
      </c>
      <c r="X179" s="28" t="n"/>
      <c r="Y179" s="43" t="n"/>
      <c r="Z179" s="26">
        <f>IF(X179&lt;&gt;"执行卖出","",IFERROR(LOOKUP(2,1/(单次交易!$A$2:$A$201=B179),单次交易!$AP$2:$AP$201),""))</f>
        <v/>
      </c>
      <c r="AA179" s="43" t="n"/>
      <c r="AB179" s="31">
        <f>IF(A179&lt;&gt;"每日跟踪","",IF(OR(B179="",H179="",I179="",J179="",K179="",L179="",M179=""),"待补充每日记录",IF(W179="触发止损：应全部卖出",IF(X179&lt;&gt;"执行卖出","违规：触发止损但未执行",IF(Y179="","待补充实际卖出价","卖出记录完整")),IF(X179="","待选择卖出动作",IF(X179="执行卖出",IF(Y179="","待补充实际卖出价","卖出记录完整"),"正常")))))</f>
        <v/>
      </c>
      <c r="AC179" s="31">
        <f>IF(A179="","",IF(A179="止损计划",IF(OR(B179="",D179="",E179="",F179="",G179=""),"计划不完整",IF(OR(D179&lt;1,D179&lt;&gt;INT(D179)),"阶段序号无效",IF(COUNTIFS($A$2:$A$501,"止损计划",$B$2:$B$501,B179,$D$2:$D$501,D179)&gt;1,"阶段序号重复",IF(E179&lt;=IFERROR(LOOKUP(2,1/('单次交易'!$A$2:$A$201=B179),'单次交易'!$E$2:$E$201),0),"激活价须高于买入价",IF(F179&lt;N179,"止损价不得低于初始止损",IF(F179&gt;E179,"止损价不得高于激活价",IF(AND(COUNTIFS($A$2:$A$501,"止损计划",$B$2:$B$501,B179,$D$2:$D$501,"&lt;"&amp;D179)&gt;0,OR(E179&lt;=AGGREGATE(14,6,$E$2:$E$501/(($A$2:$A$501="止损计划")*($B$2:$B$501=B179)*($D$2:$D$501&lt;D179)),1),F179&lt;AGGREGATE(14,6,$F$2:$F$501/(($A$2:$A$501="止损计划")*($B$2:$B$501=B179)*($D$2:$D$501&lt;D179)),1))),"阶段价格必须逐级提高","计划有效"))))))),IF(A179="每日跟踪",IF(OR(B179="",H179="",I179="",J179=""),"每日数据不完整",IF(COUNTIFS($A$2:$A$501,"每日跟踪",$B$2:$B$501,B179,$H$2:$H$501,H179)&gt;1,"同一交易日期重复",IF(AND(R179&lt;&gt;"",R179&lt;S179),"人工止损无效：不能下调","跟踪有效"))),"记录类型无效")))</f>
        <v/>
      </c>
    </row>
    <row r="180">
      <c r="A180" s="28" t="n"/>
      <c r="B180" s="28" t="n"/>
      <c r="C180" s="31">
        <f>IF(B180="","",IFERROR(LOOKUP(2,1/(单次交易!$A$2:$A$201=B180),单次交易!$B$2:$B$201),""))</f>
        <v/>
      </c>
      <c r="D180" s="27" t="n"/>
      <c r="E180" s="43" t="n"/>
      <c r="F180" s="43" t="n"/>
      <c r="G180" s="28" t="n"/>
      <c r="H180" s="49" t="n"/>
      <c r="I180" s="43" t="n"/>
      <c r="J180" s="27" t="n"/>
      <c r="K180" s="28" t="n"/>
      <c r="L180" s="28" t="n"/>
      <c r="M180" s="28" t="n"/>
      <c r="N180" s="44">
        <f>IF(B180="","",IFERROR(LOOKUP(2,1/(单次交易!$A$2:$A$201=B180),单次交易!$N$2:$N$201),""))</f>
        <v/>
      </c>
      <c r="O180" s="44">
        <f>IF(A180&lt;&gt;"每日跟踪","",IF(OR(B180="",H180="",I180=""),"",IFERROR(AGGREGATE(14,6,$I$2:$I$501/(($A$2:$A$501="每日跟踪")*($B$2:$B$501=B180)*($H$2:$H$501&lt;=H180)),1),"")))</f>
        <v/>
      </c>
      <c r="P180" s="26">
        <f>IF(A180&lt;&gt;"每日跟踪","",IF(O180="","",IFERROR(AGGREGATE(14,6,$D$2:$D$501/(($A$2:$A$501="止损计划")*($B$2:$B$501=B180)*($E$2:$E$501&lt;=O180)),1),0)))</f>
        <v/>
      </c>
      <c r="Q180" s="44">
        <f>IF(A180&lt;&gt;"每日跟踪","",IF(N180="","",MAX(N180,IFERROR(AGGREGATE(14,6,$F$2:$F$501/(($A$2:$A$501="止损计划")*($B$2:$B$501=B180)*($E$2:$E$501&lt;=O180)),1),0))))</f>
        <v/>
      </c>
      <c r="R180" s="43" t="n"/>
      <c r="S180" s="44">
        <f>IF(A180&lt;&gt;"每日跟踪","",IF(Q180="","",MAX(Q180,IFERROR(AGGREGATE(14,6,$R$2:$R$501/(($A$2:$A$501="每日跟踪")*($B$2:$B$501=B180)*($H$2:$H$501&lt;=H180)),1),0))))</f>
        <v/>
      </c>
      <c r="T180" s="44">
        <f>IF(A180&lt;&gt;"每日跟踪","",IF(O180="","",IF(COUNTIFS($A$2:$A$501,"止损计划",$B$2:$B$501,B180,$E$2:$E$501,"&gt;"&amp;O180)=0,"",AGGREGATE(15,6,$E$2:$E$501/(($A$2:$A$501="止损计划")*($B$2:$B$501=B180)*($E$2:$E$501&gt;O180)),1))))</f>
        <v/>
      </c>
      <c r="U180" s="44">
        <f>IF(OR(A180&lt;&gt;"每日跟踪",T180=""),"",IFERROR(AGGREGATE(14,6,$F$2:$F$501/(($A$2:$A$501="止损计划")*($B$2:$B$501=B180)*($E$2:$E$501=T180)),1),""))</f>
        <v/>
      </c>
      <c r="V180" s="30">
        <f>IF(OR(A180&lt;&gt;"每日跟踪",T180="",I180="",I180&lt;=0),"",T180/I180-1)</f>
        <v/>
      </c>
      <c r="W180" s="31">
        <f>IF(A180&lt;&gt;"每日跟踪","",IF(OR(I180="",S180=""),"",IF(I180&lt;=S180,"触发止损：应全部卖出","继续观察")))</f>
        <v/>
      </c>
      <c r="X180" s="28" t="n"/>
      <c r="Y180" s="43" t="n"/>
      <c r="Z180" s="26">
        <f>IF(X180&lt;&gt;"执行卖出","",IFERROR(LOOKUP(2,1/(单次交易!$A$2:$A$201=B180),单次交易!$AP$2:$AP$201),""))</f>
        <v/>
      </c>
      <c r="AA180" s="43" t="n"/>
      <c r="AB180" s="31">
        <f>IF(A180&lt;&gt;"每日跟踪","",IF(OR(B180="",H180="",I180="",J180="",K180="",L180="",M180=""),"待补充每日记录",IF(W180="触发止损：应全部卖出",IF(X180&lt;&gt;"执行卖出","违规：触发止损但未执行",IF(Y180="","待补充实际卖出价","卖出记录完整")),IF(X180="","待选择卖出动作",IF(X180="执行卖出",IF(Y180="","待补充实际卖出价","卖出记录完整"),"正常")))))</f>
        <v/>
      </c>
      <c r="AC180" s="31">
        <f>IF(A180="","",IF(A180="止损计划",IF(OR(B180="",D180="",E180="",F180="",G180=""),"计划不完整",IF(OR(D180&lt;1,D180&lt;&gt;INT(D180)),"阶段序号无效",IF(COUNTIFS($A$2:$A$501,"止损计划",$B$2:$B$501,B180,$D$2:$D$501,D180)&gt;1,"阶段序号重复",IF(E180&lt;=IFERROR(LOOKUP(2,1/('单次交易'!$A$2:$A$201=B180),'单次交易'!$E$2:$E$201),0),"激活价须高于买入价",IF(F180&lt;N180,"止损价不得低于初始止损",IF(F180&gt;E180,"止损价不得高于激活价",IF(AND(COUNTIFS($A$2:$A$501,"止损计划",$B$2:$B$501,B180,$D$2:$D$501,"&lt;"&amp;D180)&gt;0,OR(E180&lt;=AGGREGATE(14,6,$E$2:$E$501/(($A$2:$A$501="止损计划")*($B$2:$B$501=B180)*($D$2:$D$501&lt;D180)),1),F180&lt;AGGREGATE(14,6,$F$2:$F$501/(($A$2:$A$501="止损计划")*($B$2:$B$501=B180)*($D$2:$D$501&lt;D180)),1))),"阶段价格必须逐级提高","计划有效"))))))),IF(A180="每日跟踪",IF(OR(B180="",H180="",I180="",J180=""),"每日数据不完整",IF(COUNTIFS($A$2:$A$501,"每日跟踪",$B$2:$B$501,B180,$H$2:$H$501,H180)&gt;1,"同一交易日期重复",IF(AND(R180&lt;&gt;"",R180&lt;S180),"人工止损无效：不能下调","跟踪有效"))),"记录类型无效")))</f>
        <v/>
      </c>
    </row>
    <row r="181">
      <c r="A181" s="28" t="n"/>
      <c r="B181" s="28" t="n"/>
      <c r="C181" s="31">
        <f>IF(B181="","",IFERROR(LOOKUP(2,1/(单次交易!$A$2:$A$201=B181),单次交易!$B$2:$B$201),""))</f>
        <v/>
      </c>
      <c r="D181" s="27" t="n"/>
      <c r="E181" s="43" t="n"/>
      <c r="F181" s="43" t="n"/>
      <c r="G181" s="28" t="n"/>
      <c r="H181" s="49" t="n"/>
      <c r="I181" s="43" t="n"/>
      <c r="J181" s="27" t="n"/>
      <c r="K181" s="28" t="n"/>
      <c r="L181" s="28" t="n"/>
      <c r="M181" s="28" t="n"/>
      <c r="N181" s="44">
        <f>IF(B181="","",IFERROR(LOOKUP(2,1/(单次交易!$A$2:$A$201=B181),单次交易!$N$2:$N$201),""))</f>
        <v/>
      </c>
      <c r="O181" s="44">
        <f>IF(A181&lt;&gt;"每日跟踪","",IF(OR(B181="",H181="",I181=""),"",IFERROR(AGGREGATE(14,6,$I$2:$I$501/(($A$2:$A$501="每日跟踪")*($B$2:$B$501=B181)*($H$2:$H$501&lt;=H181)),1),"")))</f>
        <v/>
      </c>
      <c r="P181" s="26">
        <f>IF(A181&lt;&gt;"每日跟踪","",IF(O181="","",IFERROR(AGGREGATE(14,6,$D$2:$D$501/(($A$2:$A$501="止损计划")*($B$2:$B$501=B181)*($E$2:$E$501&lt;=O181)),1),0)))</f>
        <v/>
      </c>
      <c r="Q181" s="44">
        <f>IF(A181&lt;&gt;"每日跟踪","",IF(N181="","",MAX(N181,IFERROR(AGGREGATE(14,6,$F$2:$F$501/(($A$2:$A$501="止损计划")*($B$2:$B$501=B181)*($E$2:$E$501&lt;=O181)),1),0))))</f>
        <v/>
      </c>
      <c r="R181" s="43" t="n"/>
      <c r="S181" s="44">
        <f>IF(A181&lt;&gt;"每日跟踪","",IF(Q181="","",MAX(Q181,IFERROR(AGGREGATE(14,6,$R$2:$R$501/(($A$2:$A$501="每日跟踪")*($B$2:$B$501=B181)*($H$2:$H$501&lt;=H181)),1),0))))</f>
        <v/>
      </c>
      <c r="T181" s="44">
        <f>IF(A181&lt;&gt;"每日跟踪","",IF(O181="","",IF(COUNTIFS($A$2:$A$501,"止损计划",$B$2:$B$501,B181,$E$2:$E$501,"&gt;"&amp;O181)=0,"",AGGREGATE(15,6,$E$2:$E$501/(($A$2:$A$501="止损计划")*($B$2:$B$501=B181)*($E$2:$E$501&gt;O181)),1))))</f>
        <v/>
      </c>
      <c r="U181" s="44">
        <f>IF(OR(A181&lt;&gt;"每日跟踪",T181=""),"",IFERROR(AGGREGATE(14,6,$F$2:$F$501/(($A$2:$A$501="止损计划")*($B$2:$B$501=B181)*($E$2:$E$501=T181)),1),""))</f>
        <v/>
      </c>
      <c r="V181" s="30">
        <f>IF(OR(A181&lt;&gt;"每日跟踪",T181="",I181="",I181&lt;=0),"",T181/I181-1)</f>
        <v/>
      </c>
      <c r="W181" s="31">
        <f>IF(A181&lt;&gt;"每日跟踪","",IF(OR(I181="",S181=""),"",IF(I181&lt;=S181,"触发止损：应全部卖出","继续观察")))</f>
        <v/>
      </c>
      <c r="X181" s="28" t="n"/>
      <c r="Y181" s="43" t="n"/>
      <c r="Z181" s="26">
        <f>IF(X181&lt;&gt;"执行卖出","",IFERROR(LOOKUP(2,1/(单次交易!$A$2:$A$201=B181),单次交易!$AP$2:$AP$201),""))</f>
        <v/>
      </c>
      <c r="AA181" s="43" t="n"/>
      <c r="AB181" s="31">
        <f>IF(A181&lt;&gt;"每日跟踪","",IF(OR(B181="",H181="",I181="",J181="",K181="",L181="",M181=""),"待补充每日记录",IF(W181="触发止损：应全部卖出",IF(X181&lt;&gt;"执行卖出","违规：触发止损但未执行",IF(Y181="","待补充实际卖出价","卖出记录完整")),IF(X181="","待选择卖出动作",IF(X181="执行卖出",IF(Y181="","待补充实际卖出价","卖出记录完整"),"正常")))))</f>
        <v/>
      </c>
      <c r="AC181" s="31">
        <f>IF(A181="","",IF(A181="止损计划",IF(OR(B181="",D181="",E181="",F181="",G181=""),"计划不完整",IF(OR(D181&lt;1,D181&lt;&gt;INT(D181)),"阶段序号无效",IF(COUNTIFS($A$2:$A$501,"止损计划",$B$2:$B$501,B181,$D$2:$D$501,D181)&gt;1,"阶段序号重复",IF(E181&lt;=IFERROR(LOOKUP(2,1/('单次交易'!$A$2:$A$201=B181),'单次交易'!$E$2:$E$201),0),"激活价须高于买入价",IF(F181&lt;N181,"止损价不得低于初始止损",IF(F181&gt;E181,"止损价不得高于激活价",IF(AND(COUNTIFS($A$2:$A$501,"止损计划",$B$2:$B$501,B181,$D$2:$D$501,"&lt;"&amp;D181)&gt;0,OR(E181&lt;=AGGREGATE(14,6,$E$2:$E$501/(($A$2:$A$501="止损计划")*($B$2:$B$501=B181)*($D$2:$D$501&lt;D181)),1),F181&lt;AGGREGATE(14,6,$F$2:$F$501/(($A$2:$A$501="止损计划")*($B$2:$B$501=B181)*($D$2:$D$501&lt;D181)),1))),"阶段价格必须逐级提高","计划有效"))))))),IF(A181="每日跟踪",IF(OR(B181="",H181="",I181="",J181=""),"每日数据不完整",IF(COUNTIFS($A$2:$A$501,"每日跟踪",$B$2:$B$501,B181,$H$2:$H$501,H181)&gt;1,"同一交易日期重复",IF(AND(R181&lt;&gt;"",R181&lt;S181),"人工止损无效：不能下调","跟踪有效"))),"记录类型无效")))</f>
        <v/>
      </c>
    </row>
    <row r="182">
      <c r="A182" s="28" t="n"/>
      <c r="B182" s="28" t="n"/>
      <c r="C182" s="31">
        <f>IF(B182="","",IFERROR(LOOKUP(2,1/(单次交易!$A$2:$A$201=B182),单次交易!$B$2:$B$201),""))</f>
        <v/>
      </c>
      <c r="D182" s="27" t="n"/>
      <c r="E182" s="43" t="n"/>
      <c r="F182" s="43" t="n"/>
      <c r="G182" s="28" t="n"/>
      <c r="H182" s="49" t="n"/>
      <c r="I182" s="43" t="n"/>
      <c r="J182" s="27" t="n"/>
      <c r="K182" s="28" t="n"/>
      <c r="L182" s="28" t="n"/>
      <c r="M182" s="28" t="n"/>
      <c r="N182" s="44">
        <f>IF(B182="","",IFERROR(LOOKUP(2,1/(单次交易!$A$2:$A$201=B182),单次交易!$N$2:$N$201),""))</f>
        <v/>
      </c>
      <c r="O182" s="44">
        <f>IF(A182&lt;&gt;"每日跟踪","",IF(OR(B182="",H182="",I182=""),"",IFERROR(AGGREGATE(14,6,$I$2:$I$501/(($A$2:$A$501="每日跟踪")*($B$2:$B$501=B182)*($H$2:$H$501&lt;=H182)),1),"")))</f>
        <v/>
      </c>
      <c r="P182" s="26">
        <f>IF(A182&lt;&gt;"每日跟踪","",IF(O182="","",IFERROR(AGGREGATE(14,6,$D$2:$D$501/(($A$2:$A$501="止损计划")*($B$2:$B$501=B182)*($E$2:$E$501&lt;=O182)),1),0)))</f>
        <v/>
      </c>
      <c r="Q182" s="44">
        <f>IF(A182&lt;&gt;"每日跟踪","",IF(N182="","",MAX(N182,IFERROR(AGGREGATE(14,6,$F$2:$F$501/(($A$2:$A$501="止损计划")*($B$2:$B$501=B182)*($E$2:$E$501&lt;=O182)),1),0))))</f>
        <v/>
      </c>
      <c r="R182" s="43" t="n"/>
      <c r="S182" s="44">
        <f>IF(A182&lt;&gt;"每日跟踪","",IF(Q182="","",MAX(Q182,IFERROR(AGGREGATE(14,6,$R$2:$R$501/(($A$2:$A$501="每日跟踪")*($B$2:$B$501=B182)*($H$2:$H$501&lt;=H182)),1),0))))</f>
        <v/>
      </c>
      <c r="T182" s="44">
        <f>IF(A182&lt;&gt;"每日跟踪","",IF(O182="","",IF(COUNTIFS($A$2:$A$501,"止损计划",$B$2:$B$501,B182,$E$2:$E$501,"&gt;"&amp;O182)=0,"",AGGREGATE(15,6,$E$2:$E$501/(($A$2:$A$501="止损计划")*($B$2:$B$501=B182)*($E$2:$E$501&gt;O182)),1))))</f>
        <v/>
      </c>
      <c r="U182" s="44">
        <f>IF(OR(A182&lt;&gt;"每日跟踪",T182=""),"",IFERROR(AGGREGATE(14,6,$F$2:$F$501/(($A$2:$A$501="止损计划")*($B$2:$B$501=B182)*($E$2:$E$501=T182)),1),""))</f>
        <v/>
      </c>
      <c r="V182" s="30">
        <f>IF(OR(A182&lt;&gt;"每日跟踪",T182="",I182="",I182&lt;=0),"",T182/I182-1)</f>
        <v/>
      </c>
      <c r="W182" s="31">
        <f>IF(A182&lt;&gt;"每日跟踪","",IF(OR(I182="",S182=""),"",IF(I182&lt;=S182,"触发止损：应全部卖出","继续观察")))</f>
        <v/>
      </c>
      <c r="X182" s="28" t="n"/>
      <c r="Y182" s="43" t="n"/>
      <c r="Z182" s="26">
        <f>IF(X182&lt;&gt;"执行卖出","",IFERROR(LOOKUP(2,1/(单次交易!$A$2:$A$201=B182),单次交易!$AP$2:$AP$201),""))</f>
        <v/>
      </c>
      <c r="AA182" s="43" t="n"/>
      <c r="AB182" s="31">
        <f>IF(A182&lt;&gt;"每日跟踪","",IF(OR(B182="",H182="",I182="",J182="",K182="",L182="",M182=""),"待补充每日记录",IF(W182="触发止损：应全部卖出",IF(X182&lt;&gt;"执行卖出","违规：触发止损但未执行",IF(Y182="","待补充实际卖出价","卖出记录完整")),IF(X182="","待选择卖出动作",IF(X182="执行卖出",IF(Y182="","待补充实际卖出价","卖出记录完整"),"正常")))))</f>
        <v/>
      </c>
      <c r="AC182" s="31">
        <f>IF(A182="","",IF(A182="止损计划",IF(OR(B182="",D182="",E182="",F182="",G182=""),"计划不完整",IF(OR(D182&lt;1,D182&lt;&gt;INT(D182)),"阶段序号无效",IF(COUNTIFS($A$2:$A$501,"止损计划",$B$2:$B$501,B182,$D$2:$D$501,D182)&gt;1,"阶段序号重复",IF(E182&lt;=IFERROR(LOOKUP(2,1/('单次交易'!$A$2:$A$201=B182),'单次交易'!$E$2:$E$201),0),"激活价须高于买入价",IF(F182&lt;N182,"止损价不得低于初始止损",IF(F182&gt;E182,"止损价不得高于激活价",IF(AND(COUNTIFS($A$2:$A$501,"止损计划",$B$2:$B$501,B182,$D$2:$D$501,"&lt;"&amp;D182)&gt;0,OR(E182&lt;=AGGREGATE(14,6,$E$2:$E$501/(($A$2:$A$501="止损计划")*($B$2:$B$501=B182)*($D$2:$D$501&lt;D182)),1),F182&lt;AGGREGATE(14,6,$F$2:$F$501/(($A$2:$A$501="止损计划")*($B$2:$B$501=B182)*($D$2:$D$501&lt;D182)),1))),"阶段价格必须逐级提高","计划有效"))))))),IF(A182="每日跟踪",IF(OR(B182="",H182="",I182="",J182=""),"每日数据不完整",IF(COUNTIFS($A$2:$A$501,"每日跟踪",$B$2:$B$501,B182,$H$2:$H$501,H182)&gt;1,"同一交易日期重复",IF(AND(R182&lt;&gt;"",R182&lt;S182),"人工止损无效：不能下调","跟踪有效"))),"记录类型无效")))</f>
        <v/>
      </c>
    </row>
    <row r="183">
      <c r="A183" s="28" t="n"/>
      <c r="B183" s="28" t="n"/>
      <c r="C183" s="31">
        <f>IF(B183="","",IFERROR(LOOKUP(2,1/(单次交易!$A$2:$A$201=B183),单次交易!$B$2:$B$201),""))</f>
        <v/>
      </c>
      <c r="D183" s="27" t="n"/>
      <c r="E183" s="43" t="n"/>
      <c r="F183" s="43" t="n"/>
      <c r="G183" s="28" t="n"/>
      <c r="H183" s="49" t="n"/>
      <c r="I183" s="43" t="n"/>
      <c r="J183" s="27" t="n"/>
      <c r="K183" s="28" t="n"/>
      <c r="L183" s="28" t="n"/>
      <c r="M183" s="28" t="n"/>
      <c r="N183" s="44">
        <f>IF(B183="","",IFERROR(LOOKUP(2,1/(单次交易!$A$2:$A$201=B183),单次交易!$N$2:$N$201),""))</f>
        <v/>
      </c>
      <c r="O183" s="44">
        <f>IF(A183&lt;&gt;"每日跟踪","",IF(OR(B183="",H183="",I183=""),"",IFERROR(AGGREGATE(14,6,$I$2:$I$501/(($A$2:$A$501="每日跟踪")*($B$2:$B$501=B183)*($H$2:$H$501&lt;=H183)),1),"")))</f>
        <v/>
      </c>
      <c r="P183" s="26">
        <f>IF(A183&lt;&gt;"每日跟踪","",IF(O183="","",IFERROR(AGGREGATE(14,6,$D$2:$D$501/(($A$2:$A$501="止损计划")*($B$2:$B$501=B183)*($E$2:$E$501&lt;=O183)),1),0)))</f>
        <v/>
      </c>
      <c r="Q183" s="44">
        <f>IF(A183&lt;&gt;"每日跟踪","",IF(N183="","",MAX(N183,IFERROR(AGGREGATE(14,6,$F$2:$F$501/(($A$2:$A$501="止损计划")*($B$2:$B$501=B183)*($E$2:$E$501&lt;=O183)),1),0))))</f>
        <v/>
      </c>
      <c r="R183" s="43" t="n"/>
      <c r="S183" s="44">
        <f>IF(A183&lt;&gt;"每日跟踪","",IF(Q183="","",MAX(Q183,IFERROR(AGGREGATE(14,6,$R$2:$R$501/(($A$2:$A$501="每日跟踪")*($B$2:$B$501=B183)*($H$2:$H$501&lt;=H183)),1),0))))</f>
        <v/>
      </c>
      <c r="T183" s="44">
        <f>IF(A183&lt;&gt;"每日跟踪","",IF(O183="","",IF(COUNTIFS($A$2:$A$501,"止损计划",$B$2:$B$501,B183,$E$2:$E$501,"&gt;"&amp;O183)=0,"",AGGREGATE(15,6,$E$2:$E$501/(($A$2:$A$501="止损计划")*($B$2:$B$501=B183)*($E$2:$E$501&gt;O183)),1))))</f>
        <v/>
      </c>
      <c r="U183" s="44">
        <f>IF(OR(A183&lt;&gt;"每日跟踪",T183=""),"",IFERROR(AGGREGATE(14,6,$F$2:$F$501/(($A$2:$A$501="止损计划")*($B$2:$B$501=B183)*($E$2:$E$501=T183)),1),""))</f>
        <v/>
      </c>
      <c r="V183" s="30">
        <f>IF(OR(A183&lt;&gt;"每日跟踪",T183="",I183="",I183&lt;=0),"",T183/I183-1)</f>
        <v/>
      </c>
      <c r="W183" s="31">
        <f>IF(A183&lt;&gt;"每日跟踪","",IF(OR(I183="",S183=""),"",IF(I183&lt;=S183,"触发止损：应全部卖出","继续观察")))</f>
        <v/>
      </c>
      <c r="X183" s="28" t="n"/>
      <c r="Y183" s="43" t="n"/>
      <c r="Z183" s="26">
        <f>IF(X183&lt;&gt;"执行卖出","",IFERROR(LOOKUP(2,1/(单次交易!$A$2:$A$201=B183),单次交易!$AP$2:$AP$201),""))</f>
        <v/>
      </c>
      <c r="AA183" s="43" t="n"/>
      <c r="AB183" s="31">
        <f>IF(A183&lt;&gt;"每日跟踪","",IF(OR(B183="",H183="",I183="",J183="",K183="",L183="",M183=""),"待补充每日记录",IF(W183="触发止损：应全部卖出",IF(X183&lt;&gt;"执行卖出","违规：触发止损但未执行",IF(Y183="","待补充实际卖出价","卖出记录完整")),IF(X183="","待选择卖出动作",IF(X183="执行卖出",IF(Y183="","待补充实际卖出价","卖出记录完整"),"正常")))))</f>
        <v/>
      </c>
      <c r="AC183" s="31">
        <f>IF(A183="","",IF(A183="止损计划",IF(OR(B183="",D183="",E183="",F183="",G183=""),"计划不完整",IF(OR(D183&lt;1,D183&lt;&gt;INT(D183)),"阶段序号无效",IF(COUNTIFS($A$2:$A$501,"止损计划",$B$2:$B$501,B183,$D$2:$D$501,D183)&gt;1,"阶段序号重复",IF(E183&lt;=IFERROR(LOOKUP(2,1/('单次交易'!$A$2:$A$201=B183),'单次交易'!$E$2:$E$201),0),"激活价须高于买入价",IF(F183&lt;N183,"止损价不得低于初始止损",IF(F183&gt;E183,"止损价不得高于激活价",IF(AND(COUNTIFS($A$2:$A$501,"止损计划",$B$2:$B$501,B183,$D$2:$D$501,"&lt;"&amp;D183)&gt;0,OR(E183&lt;=AGGREGATE(14,6,$E$2:$E$501/(($A$2:$A$501="止损计划")*($B$2:$B$501=B183)*($D$2:$D$501&lt;D183)),1),F183&lt;AGGREGATE(14,6,$F$2:$F$501/(($A$2:$A$501="止损计划")*($B$2:$B$501=B183)*($D$2:$D$501&lt;D183)),1))),"阶段价格必须逐级提高","计划有效"))))))),IF(A183="每日跟踪",IF(OR(B183="",H183="",I183="",J183=""),"每日数据不完整",IF(COUNTIFS($A$2:$A$501,"每日跟踪",$B$2:$B$501,B183,$H$2:$H$501,H183)&gt;1,"同一交易日期重复",IF(AND(R183&lt;&gt;"",R183&lt;S183),"人工止损无效：不能下调","跟踪有效"))),"记录类型无效")))</f>
        <v/>
      </c>
    </row>
    <row r="184">
      <c r="A184" s="28" t="n"/>
      <c r="B184" s="28" t="n"/>
      <c r="C184" s="31">
        <f>IF(B184="","",IFERROR(LOOKUP(2,1/(单次交易!$A$2:$A$201=B184),单次交易!$B$2:$B$201),""))</f>
        <v/>
      </c>
      <c r="D184" s="27" t="n"/>
      <c r="E184" s="43" t="n"/>
      <c r="F184" s="43" t="n"/>
      <c r="G184" s="28" t="n"/>
      <c r="H184" s="49" t="n"/>
      <c r="I184" s="43" t="n"/>
      <c r="J184" s="27" t="n"/>
      <c r="K184" s="28" t="n"/>
      <c r="L184" s="28" t="n"/>
      <c r="M184" s="28" t="n"/>
      <c r="N184" s="44">
        <f>IF(B184="","",IFERROR(LOOKUP(2,1/(单次交易!$A$2:$A$201=B184),单次交易!$N$2:$N$201),""))</f>
        <v/>
      </c>
      <c r="O184" s="44">
        <f>IF(A184&lt;&gt;"每日跟踪","",IF(OR(B184="",H184="",I184=""),"",IFERROR(AGGREGATE(14,6,$I$2:$I$501/(($A$2:$A$501="每日跟踪")*($B$2:$B$501=B184)*($H$2:$H$501&lt;=H184)),1),"")))</f>
        <v/>
      </c>
      <c r="P184" s="26">
        <f>IF(A184&lt;&gt;"每日跟踪","",IF(O184="","",IFERROR(AGGREGATE(14,6,$D$2:$D$501/(($A$2:$A$501="止损计划")*($B$2:$B$501=B184)*($E$2:$E$501&lt;=O184)),1),0)))</f>
        <v/>
      </c>
      <c r="Q184" s="44">
        <f>IF(A184&lt;&gt;"每日跟踪","",IF(N184="","",MAX(N184,IFERROR(AGGREGATE(14,6,$F$2:$F$501/(($A$2:$A$501="止损计划")*($B$2:$B$501=B184)*($E$2:$E$501&lt;=O184)),1),0))))</f>
        <v/>
      </c>
      <c r="R184" s="43" t="n"/>
      <c r="S184" s="44">
        <f>IF(A184&lt;&gt;"每日跟踪","",IF(Q184="","",MAX(Q184,IFERROR(AGGREGATE(14,6,$R$2:$R$501/(($A$2:$A$501="每日跟踪")*($B$2:$B$501=B184)*($H$2:$H$501&lt;=H184)),1),0))))</f>
        <v/>
      </c>
      <c r="T184" s="44">
        <f>IF(A184&lt;&gt;"每日跟踪","",IF(O184="","",IF(COUNTIFS($A$2:$A$501,"止损计划",$B$2:$B$501,B184,$E$2:$E$501,"&gt;"&amp;O184)=0,"",AGGREGATE(15,6,$E$2:$E$501/(($A$2:$A$501="止损计划")*($B$2:$B$501=B184)*($E$2:$E$501&gt;O184)),1))))</f>
        <v/>
      </c>
      <c r="U184" s="44">
        <f>IF(OR(A184&lt;&gt;"每日跟踪",T184=""),"",IFERROR(AGGREGATE(14,6,$F$2:$F$501/(($A$2:$A$501="止损计划")*($B$2:$B$501=B184)*($E$2:$E$501=T184)),1),""))</f>
        <v/>
      </c>
      <c r="V184" s="30">
        <f>IF(OR(A184&lt;&gt;"每日跟踪",T184="",I184="",I184&lt;=0),"",T184/I184-1)</f>
        <v/>
      </c>
      <c r="W184" s="31">
        <f>IF(A184&lt;&gt;"每日跟踪","",IF(OR(I184="",S184=""),"",IF(I184&lt;=S184,"触发止损：应全部卖出","继续观察")))</f>
        <v/>
      </c>
      <c r="X184" s="28" t="n"/>
      <c r="Y184" s="43" t="n"/>
      <c r="Z184" s="26">
        <f>IF(X184&lt;&gt;"执行卖出","",IFERROR(LOOKUP(2,1/(单次交易!$A$2:$A$201=B184),单次交易!$AP$2:$AP$201),""))</f>
        <v/>
      </c>
      <c r="AA184" s="43" t="n"/>
      <c r="AB184" s="31">
        <f>IF(A184&lt;&gt;"每日跟踪","",IF(OR(B184="",H184="",I184="",J184="",K184="",L184="",M184=""),"待补充每日记录",IF(W184="触发止损：应全部卖出",IF(X184&lt;&gt;"执行卖出","违规：触发止损但未执行",IF(Y184="","待补充实际卖出价","卖出记录完整")),IF(X184="","待选择卖出动作",IF(X184="执行卖出",IF(Y184="","待补充实际卖出价","卖出记录完整"),"正常")))))</f>
        <v/>
      </c>
      <c r="AC184" s="31">
        <f>IF(A184="","",IF(A184="止损计划",IF(OR(B184="",D184="",E184="",F184="",G184=""),"计划不完整",IF(OR(D184&lt;1,D184&lt;&gt;INT(D184)),"阶段序号无效",IF(COUNTIFS($A$2:$A$501,"止损计划",$B$2:$B$501,B184,$D$2:$D$501,D184)&gt;1,"阶段序号重复",IF(E184&lt;=IFERROR(LOOKUP(2,1/('单次交易'!$A$2:$A$201=B184),'单次交易'!$E$2:$E$201),0),"激活价须高于买入价",IF(F184&lt;N184,"止损价不得低于初始止损",IF(F184&gt;E184,"止损价不得高于激活价",IF(AND(COUNTIFS($A$2:$A$501,"止损计划",$B$2:$B$501,B184,$D$2:$D$501,"&lt;"&amp;D184)&gt;0,OR(E184&lt;=AGGREGATE(14,6,$E$2:$E$501/(($A$2:$A$501="止损计划")*($B$2:$B$501=B184)*($D$2:$D$501&lt;D184)),1),F184&lt;AGGREGATE(14,6,$F$2:$F$501/(($A$2:$A$501="止损计划")*($B$2:$B$501=B184)*($D$2:$D$501&lt;D184)),1))),"阶段价格必须逐级提高","计划有效"))))))),IF(A184="每日跟踪",IF(OR(B184="",H184="",I184="",J184=""),"每日数据不完整",IF(COUNTIFS($A$2:$A$501,"每日跟踪",$B$2:$B$501,B184,$H$2:$H$501,H184)&gt;1,"同一交易日期重复",IF(AND(R184&lt;&gt;"",R184&lt;S184),"人工止损无效：不能下调","跟踪有效"))),"记录类型无效")))</f>
        <v/>
      </c>
    </row>
    <row r="185">
      <c r="A185" s="28" t="n"/>
      <c r="B185" s="28" t="n"/>
      <c r="C185" s="31">
        <f>IF(B185="","",IFERROR(LOOKUP(2,1/(单次交易!$A$2:$A$201=B185),单次交易!$B$2:$B$201),""))</f>
        <v/>
      </c>
      <c r="D185" s="27" t="n"/>
      <c r="E185" s="43" t="n"/>
      <c r="F185" s="43" t="n"/>
      <c r="G185" s="28" t="n"/>
      <c r="H185" s="49" t="n"/>
      <c r="I185" s="43" t="n"/>
      <c r="J185" s="27" t="n"/>
      <c r="K185" s="28" t="n"/>
      <c r="L185" s="28" t="n"/>
      <c r="M185" s="28" t="n"/>
      <c r="N185" s="44">
        <f>IF(B185="","",IFERROR(LOOKUP(2,1/(单次交易!$A$2:$A$201=B185),单次交易!$N$2:$N$201),""))</f>
        <v/>
      </c>
      <c r="O185" s="44">
        <f>IF(A185&lt;&gt;"每日跟踪","",IF(OR(B185="",H185="",I185=""),"",IFERROR(AGGREGATE(14,6,$I$2:$I$501/(($A$2:$A$501="每日跟踪")*($B$2:$B$501=B185)*($H$2:$H$501&lt;=H185)),1),"")))</f>
        <v/>
      </c>
      <c r="P185" s="26">
        <f>IF(A185&lt;&gt;"每日跟踪","",IF(O185="","",IFERROR(AGGREGATE(14,6,$D$2:$D$501/(($A$2:$A$501="止损计划")*($B$2:$B$501=B185)*($E$2:$E$501&lt;=O185)),1),0)))</f>
        <v/>
      </c>
      <c r="Q185" s="44">
        <f>IF(A185&lt;&gt;"每日跟踪","",IF(N185="","",MAX(N185,IFERROR(AGGREGATE(14,6,$F$2:$F$501/(($A$2:$A$501="止损计划")*($B$2:$B$501=B185)*($E$2:$E$501&lt;=O185)),1),0))))</f>
        <v/>
      </c>
      <c r="R185" s="43" t="n"/>
      <c r="S185" s="44">
        <f>IF(A185&lt;&gt;"每日跟踪","",IF(Q185="","",MAX(Q185,IFERROR(AGGREGATE(14,6,$R$2:$R$501/(($A$2:$A$501="每日跟踪")*($B$2:$B$501=B185)*($H$2:$H$501&lt;=H185)),1),0))))</f>
        <v/>
      </c>
      <c r="T185" s="44">
        <f>IF(A185&lt;&gt;"每日跟踪","",IF(O185="","",IF(COUNTIFS($A$2:$A$501,"止损计划",$B$2:$B$501,B185,$E$2:$E$501,"&gt;"&amp;O185)=0,"",AGGREGATE(15,6,$E$2:$E$501/(($A$2:$A$501="止损计划")*($B$2:$B$501=B185)*($E$2:$E$501&gt;O185)),1))))</f>
        <v/>
      </c>
      <c r="U185" s="44">
        <f>IF(OR(A185&lt;&gt;"每日跟踪",T185=""),"",IFERROR(AGGREGATE(14,6,$F$2:$F$501/(($A$2:$A$501="止损计划")*($B$2:$B$501=B185)*($E$2:$E$501=T185)),1),""))</f>
        <v/>
      </c>
      <c r="V185" s="30">
        <f>IF(OR(A185&lt;&gt;"每日跟踪",T185="",I185="",I185&lt;=0),"",T185/I185-1)</f>
        <v/>
      </c>
      <c r="W185" s="31">
        <f>IF(A185&lt;&gt;"每日跟踪","",IF(OR(I185="",S185=""),"",IF(I185&lt;=S185,"触发止损：应全部卖出","继续观察")))</f>
        <v/>
      </c>
      <c r="X185" s="28" t="n"/>
      <c r="Y185" s="43" t="n"/>
      <c r="Z185" s="26">
        <f>IF(X185&lt;&gt;"执行卖出","",IFERROR(LOOKUP(2,1/(单次交易!$A$2:$A$201=B185),单次交易!$AP$2:$AP$201),""))</f>
        <v/>
      </c>
      <c r="AA185" s="43" t="n"/>
      <c r="AB185" s="31">
        <f>IF(A185&lt;&gt;"每日跟踪","",IF(OR(B185="",H185="",I185="",J185="",K185="",L185="",M185=""),"待补充每日记录",IF(W185="触发止损：应全部卖出",IF(X185&lt;&gt;"执行卖出","违规：触发止损但未执行",IF(Y185="","待补充实际卖出价","卖出记录完整")),IF(X185="","待选择卖出动作",IF(X185="执行卖出",IF(Y185="","待补充实际卖出价","卖出记录完整"),"正常")))))</f>
        <v/>
      </c>
      <c r="AC185" s="31">
        <f>IF(A185="","",IF(A185="止损计划",IF(OR(B185="",D185="",E185="",F185="",G185=""),"计划不完整",IF(OR(D185&lt;1,D185&lt;&gt;INT(D185)),"阶段序号无效",IF(COUNTIFS($A$2:$A$501,"止损计划",$B$2:$B$501,B185,$D$2:$D$501,D185)&gt;1,"阶段序号重复",IF(E185&lt;=IFERROR(LOOKUP(2,1/('单次交易'!$A$2:$A$201=B185),'单次交易'!$E$2:$E$201),0),"激活价须高于买入价",IF(F185&lt;N185,"止损价不得低于初始止损",IF(F185&gt;E185,"止损价不得高于激活价",IF(AND(COUNTIFS($A$2:$A$501,"止损计划",$B$2:$B$501,B185,$D$2:$D$501,"&lt;"&amp;D185)&gt;0,OR(E185&lt;=AGGREGATE(14,6,$E$2:$E$501/(($A$2:$A$501="止损计划")*($B$2:$B$501=B185)*($D$2:$D$501&lt;D185)),1),F185&lt;AGGREGATE(14,6,$F$2:$F$501/(($A$2:$A$501="止损计划")*($B$2:$B$501=B185)*($D$2:$D$501&lt;D185)),1))),"阶段价格必须逐级提高","计划有效"))))))),IF(A185="每日跟踪",IF(OR(B185="",H185="",I185="",J185=""),"每日数据不完整",IF(COUNTIFS($A$2:$A$501,"每日跟踪",$B$2:$B$501,B185,$H$2:$H$501,H185)&gt;1,"同一交易日期重复",IF(AND(R185&lt;&gt;"",R185&lt;S185),"人工止损无效：不能下调","跟踪有效"))),"记录类型无效")))</f>
        <v/>
      </c>
    </row>
    <row r="186">
      <c r="A186" s="28" t="n"/>
      <c r="B186" s="28" t="n"/>
      <c r="C186" s="31">
        <f>IF(B186="","",IFERROR(LOOKUP(2,1/(单次交易!$A$2:$A$201=B186),单次交易!$B$2:$B$201),""))</f>
        <v/>
      </c>
      <c r="D186" s="27" t="n"/>
      <c r="E186" s="43" t="n"/>
      <c r="F186" s="43" t="n"/>
      <c r="G186" s="28" t="n"/>
      <c r="H186" s="49" t="n"/>
      <c r="I186" s="43" t="n"/>
      <c r="J186" s="27" t="n"/>
      <c r="K186" s="28" t="n"/>
      <c r="L186" s="28" t="n"/>
      <c r="M186" s="28" t="n"/>
      <c r="N186" s="44">
        <f>IF(B186="","",IFERROR(LOOKUP(2,1/(单次交易!$A$2:$A$201=B186),单次交易!$N$2:$N$201),""))</f>
        <v/>
      </c>
      <c r="O186" s="44">
        <f>IF(A186&lt;&gt;"每日跟踪","",IF(OR(B186="",H186="",I186=""),"",IFERROR(AGGREGATE(14,6,$I$2:$I$501/(($A$2:$A$501="每日跟踪")*($B$2:$B$501=B186)*($H$2:$H$501&lt;=H186)),1),"")))</f>
        <v/>
      </c>
      <c r="P186" s="26">
        <f>IF(A186&lt;&gt;"每日跟踪","",IF(O186="","",IFERROR(AGGREGATE(14,6,$D$2:$D$501/(($A$2:$A$501="止损计划")*($B$2:$B$501=B186)*($E$2:$E$501&lt;=O186)),1),0)))</f>
        <v/>
      </c>
      <c r="Q186" s="44">
        <f>IF(A186&lt;&gt;"每日跟踪","",IF(N186="","",MAX(N186,IFERROR(AGGREGATE(14,6,$F$2:$F$501/(($A$2:$A$501="止损计划")*($B$2:$B$501=B186)*($E$2:$E$501&lt;=O186)),1),0))))</f>
        <v/>
      </c>
      <c r="R186" s="43" t="n"/>
      <c r="S186" s="44">
        <f>IF(A186&lt;&gt;"每日跟踪","",IF(Q186="","",MAX(Q186,IFERROR(AGGREGATE(14,6,$R$2:$R$501/(($A$2:$A$501="每日跟踪")*($B$2:$B$501=B186)*($H$2:$H$501&lt;=H186)),1),0))))</f>
        <v/>
      </c>
      <c r="T186" s="44">
        <f>IF(A186&lt;&gt;"每日跟踪","",IF(O186="","",IF(COUNTIFS($A$2:$A$501,"止损计划",$B$2:$B$501,B186,$E$2:$E$501,"&gt;"&amp;O186)=0,"",AGGREGATE(15,6,$E$2:$E$501/(($A$2:$A$501="止损计划")*($B$2:$B$501=B186)*($E$2:$E$501&gt;O186)),1))))</f>
        <v/>
      </c>
      <c r="U186" s="44">
        <f>IF(OR(A186&lt;&gt;"每日跟踪",T186=""),"",IFERROR(AGGREGATE(14,6,$F$2:$F$501/(($A$2:$A$501="止损计划")*($B$2:$B$501=B186)*($E$2:$E$501=T186)),1),""))</f>
        <v/>
      </c>
      <c r="V186" s="30">
        <f>IF(OR(A186&lt;&gt;"每日跟踪",T186="",I186="",I186&lt;=0),"",T186/I186-1)</f>
        <v/>
      </c>
      <c r="W186" s="31">
        <f>IF(A186&lt;&gt;"每日跟踪","",IF(OR(I186="",S186=""),"",IF(I186&lt;=S186,"触发止损：应全部卖出","继续观察")))</f>
        <v/>
      </c>
      <c r="X186" s="28" t="n"/>
      <c r="Y186" s="43" t="n"/>
      <c r="Z186" s="26">
        <f>IF(X186&lt;&gt;"执行卖出","",IFERROR(LOOKUP(2,1/(单次交易!$A$2:$A$201=B186),单次交易!$AP$2:$AP$201),""))</f>
        <v/>
      </c>
      <c r="AA186" s="43" t="n"/>
      <c r="AB186" s="31">
        <f>IF(A186&lt;&gt;"每日跟踪","",IF(OR(B186="",H186="",I186="",J186="",K186="",L186="",M186=""),"待补充每日记录",IF(W186="触发止损：应全部卖出",IF(X186&lt;&gt;"执行卖出","违规：触发止损但未执行",IF(Y186="","待补充实际卖出价","卖出记录完整")),IF(X186="","待选择卖出动作",IF(X186="执行卖出",IF(Y186="","待补充实际卖出价","卖出记录完整"),"正常")))))</f>
        <v/>
      </c>
      <c r="AC186" s="31">
        <f>IF(A186="","",IF(A186="止损计划",IF(OR(B186="",D186="",E186="",F186="",G186=""),"计划不完整",IF(OR(D186&lt;1,D186&lt;&gt;INT(D186)),"阶段序号无效",IF(COUNTIFS($A$2:$A$501,"止损计划",$B$2:$B$501,B186,$D$2:$D$501,D186)&gt;1,"阶段序号重复",IF(E186&lt;=IFERROR(LOOKUP(2,1/('单次交易'!$A$2:$A$201=B186),'单次交易'!$E$2:$E$201),0),"激活价须高于买入价",IF(F186&lt;N186,"止损价不得低于初始止损",IF(F186&gt;E186,"止损价不得高于激活价",IF(AND(COUNTIFS($A$2:$A$501,"止损计划",$B$2:$B$501,B186,$D$2:$D$501,"&lt;"&amp;D186)&gt;0,OR(E186&lt;=AGGREGATE(14,6,$E$2:$E$501/(($A$2:$A$501="止损计划")*($B$2:$B$501=B186)*($D$2:$D$501&lt;D186)),1),F186&lt;AGGREGATE(14,6,$F$2:$F$501/(($A$2:$A$501="止损计划")*($B$2:$B$501=B186)*($D$2:$D$501&lt;D186)),1))),"阶段价格必须逐级提高","计划有效"))))))),IF(A186="每日跟踪",IF(OR(B186="",H186="",I186="",J186=""),"每日数据不完整",IF(COUNTIFS($A$2:$A$501,"每日跟踪",$B$2:$B$501,B186,$H$2:$H$501,H186)&gt;1,"同一交易日期重复",IF(AND(R186&lt;&gt;"",R186&lt;S186),"人工止损无效：不能下调","跟踪有效"))),"记录类型无效")))</f>
        <v/>
      </c>
    </row>
    <row r="187">
      <c r="A187" s="28" t="n"/>
      <c r="B187" s="28" t="n"/>
      <c r="C187" s="31">
        <f>IF(B187="","",IFERROR(LOOKUP(2,1/(单次交易!$A$2:$A$201=B187),单次交易!$B$2:$B$201),""))</f>
        <v/>
      </c>
      <c r="D187" s="27" t="n"/>
      <c r="E187" s="43" t="n"/>
      <c r="F187" s="43" t="n"/>
      <c r="G187" s="28" t="n"/>
      <c r="H187" s="49" t="n"/>
      <c r="I187" s="43" t="n"/>
      <c r="J187" s="27" t="n"/>
      <c r="K187" s="28" t="n"/>
      <c r="L187" s="28" t="n"/>
      <c r="M187" s="28" t="n"/>
      <c r="N187" s="44">
        <f>IF(B187="","",IFERROR(LOOKUP(2,1/(单次交易!$A$2:$A$201=B187),单次交易!$N$2:$N$201),""))</f>
        <v/>
      </c>
      <c r="O187" s="44">
        <f>IF(A187&lt;&gt;"每日跟踪","",IF(OR(B187="",H187="",I187=""),"",IFERROR(AGGREGATE(14,6,$I$2:$I$501/(($A$2:$A$501="每日跟踪")*($B$2:$B$501=B187)*($H$2:$H$501&lt;=H187)),1),"")))</f>
        <v/>
      </c>
      <c r="P187" s="26">
        <f>IF(A187&lt;&gt;"每日跟踪","",IF(O187="","",IFERROR(AGGREGATE(14,6,$D$2:$D$501/(($A$2:$A$501="止损计划")*($B$2:$B$501=B187)*($E$2:$E$501&lt;=O187)),1),0)))</f>
        <v/>
      </c>
      <c r="Q187" s="44">
        <f>IF(A187&lt;&gt;"每日跟踪","",IF(N187="","",MAX(N187,IFERROR(AGGREGATE(14,6,$F$2:$F$501/(($A$2:$A$501="止损计划")*($B$2:$B$501=B187)*($E$2:$E$501&lt;=O187)),1),0))))</f>
        <v/>
      </c>
      <c r="R187" s="43" t="n"/>
      <c r="S187" s="44">
        <f>IF(A187&lt;&gt;"每日跟踪","",IF(Q187="","",MAX(Q187,IFERROR(AGGREGATE(14,6,$R$2:$R$501/(($A$2:$A$501="每日跟踪")*($B$2:$B$501=B187)*($H$2:$H$501&lt;=H187)),1),0))))</f>
        <v/>
      </c>
      <c r="T187" s="44">
        <f>IF(A187&lt;&gt;"每日跟踪","",IF(O187="","",IF(COUNTIFS($A$2:$A$501,"止损计划",$B$2:$B$501,B187,$E$2:$E$501,"&gt;"&amp;O187)=0,"",AGGREGATE(15,6,$E$2:$E$501/(($A$2:$A$501="止损计划")*($B$2:$B$501=B187)*($E$2:$E$501&gt;O187)),1))))</f>
        <v/>
      </c>
      <c r="U187" s="44">
        <f>IF(OR(A187&lt;&gt;"每日跟踪",T187=""),"",IFERROR(AGGREGATE(14,6,$F$2:$F$501/(($A$2:$A$501="止损计划")*($B$2:$B$501=B187)*($E$2:$E$501=T187)),1),""))</f>
        <v/>
      </c>
      <c r="V187" s="30">
        <f>IF(OR(A187&lt;&gt;"每日跟踪",T187="",I187="",I187&lt;=0),"",T187/I187-1)</f>
        <v/>
      </c>
      <c r="W187" s="31">
        <f>IF(A187&lt;&gt;"每日跟踪","",IF(OR(I187="",S187=""),"",IF(I187&lt;=S187,"触发止损：应全部卖出","继续观察")))</f>
        <v/>
      </c>
      <c r="X187" s="28" t="n"/>
      <c r="Y187" s="43" t="n"/>
      <c r="Z187" s="26">
        <f>IF(X187&lt;&gt;"执行卖出","",IFERROR(LOOKUP(2,1/(单次交易!$A$2:$A$201=B187),单次交易!$AP$2:$AP$201),""))</f>
        <v/>
      </c>
      <c r="AA187" s="43" t="n"/>
      <c r="AB187" s="31">
        <f>IF(A187&lt;&gt;"每日跟踪","",IF(OR(B187="",H187="",I187="",J187="",K187="",L187="",M187=""),"待补充每日记录",IF(W187="触发止损：应全部卖出",IF(X187&lt;&gt;"执行卖出","违规：触发止损但未执行",IF(Y187="","待补充实际卖出价","卖出记录完整")),IF(X187="","待选择卖出动作",IF(X187="执行卖出",IF(Y187="","待补充实际卖出价","卖出记录完整"),"正常")))))</f>
        <v/>
      </c>
      <c r="AC187" s="31">
        <f>IF(A187="","",IF(A187="止损计划",IF(OR(B187="",D187="",E187="",F187="",G187=""),"计划不完整",IF(OR(D187&lt;1,D187&lt;&gt;INT(D187)),"阶段序号无效",IF(COUNTIFS($A$2:$A$501,"止损计划",$B$2:$B$501,B187,$D$2:$D$501,D187)&gt;1,"阶段序号重复",IF(E187&lt;=IFERROR(LOOKUP(2,1/('单次交易'!$A$2:$A$201=B187),'单次交易'!$E$2:$E$201),0),"激活价须高于买入价",IF(F187&lt;N187,"止损价不得低于初始止损",IF(F187&gt;E187,"止损价不得高于激活价",IF(AND(COUNTIFS($A$2:$A$501,"止损计划",$B$2:$B$501,B187,$D$2:$D$501,"&lt;"&amp;D187)&gt;0,OR(E187&lt;=AGGREGATE(14,6,$E$2:$E$501/(($A$2:$A$501="止损计划")*($B$2:$B$501=B187)*($D$2:$D$501&lt;D187)),1),F187&lt;AGGREGATE(14,6,$F$2:$F$501/(($A$2:$A$501="止损计划")*($B$2:$B$501=B187)*($D$2:$D$501&lt;D187)),1))),"阶段价格必须逐级提高","计划有效"))))))),IF(A187="每日跟踪",IF(OR(B187="",H187="",I187="",J187=""),"每日数据不完整",IF(COUNTIFS($A$2:$A$501,"每日跟踪",$B$2:$B$501,B187,$H$2:$H$501,H187)&gt;1,"同一交易日期重复",IF(AND(R187&lt;&gt;"",R187&lt;S187),"人工止损无效：不能下调","跟踪有效"))),"记录类型无效")))</f>
        <v/>
      </c>
    </row>
    <row r="188">
      <c r="A188" s="28" t="n"/>
      <c r="B188" s="28" t="n"/>
      <c r="C188" s="31">
        <f>IF(B188="","",IFERROR(LOOKUP(2,1/(单次交易!$A$2:$A$201=B188),单次交易!$B$2:$B$201),""))</f>
        <v/>
      </c>
      <c r="D188" s="27" t="n"/>
      <c r="E188" s="43" t="n"/>
      <c r="F188" s="43" t="n"/>
      <c r="G188" s="28" t="n"/>
      <c r="H188" s="49" t="n"/>
      <c r="I188" s="43" t="n"/>
      <c r="J188" s="27" t="n"/>
      <c r="K188" s="28" t="n"/>
      <c r="L188" s="28" t="n"/>
      <c r="M188" s="28" t="n"/>
      <c r="N188" s="44">
        <f>IF(B188="","",IFERROR(LOOKUP(2,1/(单次交易!$A$2:$A$201=B188),单次交易!$N$2:$N$201),""))</f>
        <v/>
      </c>
      <c r="O188" s="44">
        <f>IF(A188&lt;&gt;"每日跟踪","",IF(OR(B188="",H188="",I188=""),"",IFERROR(AGGREGATE(14,6,$I$2:$I$501/(($A$2:$A$501="每日跟踪")*($B$2:$B$501=B188)*($H$2:$H$501&lt;=H188)),1),"")))</f>
        <v/>
      </c>
      <c r="P188" s="26">
        <f>IF(A188&lt;&gt;"每日跟踪","",IF(O188="","",IFERROR(AGGREGATE(14,6,$D$2:$D$501/(($A$2:$A$501="止损计划")*($B$2:$B$501=B188)*($E$2:$E$501&lt;=O188)),1),0)))</f>
        <v/>
      </c>
      <c r="Q188" s="44">
        <f>IF(A188&lt;&gt;"每日跟踪","",IF(N188="","",MAX(N188,IFERROR(AGGREGATE(14,6,$F$2:$F$501/(($A$2:$A$501="止损计划")*($B$2:$B$501=B188)*($E$2:$E$501&lt;=O188)),1),0))))</f>
        <v/>
      </c>
      <c r="R188" s="43" t="n"/>
      <c r="S188" s="44">
        <f>IF(A188&lt;&gt;"每日跟踪","",IF(Q188="","",MAX(Q188,IFERROR(AGGREGATE(14,6,$R$2:$R$501/(($A$2:$A$501="每日跟踪")*($B$2:$B$501=B188)*($H$2:$H$501&lt;=H188)),1),0))))</f>
        <v/>
      </c>
      <c r="T188" s="44">
        <f>IF(A188&lt;&gt;"每日跟踪","",IF(O188="","",IF(COUNTIFS($A$2:$A$501,"止损计划",$B$2:$B$501,B188,$E$2:$E$501,"&gt;"&amp;O188)=0,"",AGGREGATE(15,6,$E$2:$E$501/(($A$2:$A$501="止损计划")*($B$2:$B$501=B188)*($E$2:$E$501&gt;O188)),1))))</f>
        <v/>
      </c>
      <c r="U188" s="44">
        <f>IF(OR(A188&lt;&gt;"每日跟踪",T188=""),"",IFERROR(AGGREGATE(14,6,$F$2:$F$501/(($A$2:$A$501="止损计划")*($B$2:$B$501=B188)*($E$2:$E$501=T188)),1),""))</f>
        <v/>
      </c>
      <c r="V188" s="30">
        <f>IF(OR(A188&lt;&gt;"每日跟踪",T188="",I188="",I188&lt;=0),"",T188/I188-1)</f>
        <v/>
      </c>
      <c r="W188" s="31">
        <f>IF(A188&lt;&gt;"每日跟踪","",IF(OR(I188="",S188=""),"",IF(I188&lt;=S188,"触发止损：应全部卖出","继续观察")))</f>
        <v/>
      </c>
      <c r="X188" s="28" t="n"/>
      <c r="Y188" s="43" t="n"/>
      <c r="Z188" s="26">
        <f>IF(X188&lt;&gt;"执行卖出","",IFERROR(LOOKUP(2,1/(单次交易!$A$2:$A$201=B188),单次交易!$AP$2:$AP$201),""))</f>
        <v/>
      </c>
      <c r="AA188" s="43" t="n"/>
      <c r="AB188" s="31">
        <f>IF(A188&lt;&gt;"每日跟踪","",IF(OR(B188="",H188="",I188="",J188="",K188="",L188="",M188=""),"待补充每日记录",IF(W188="触发止损：应全部卖出",IF(X188&lt;&gt;"执行卖出","违规：触发止损但未执行",IF(Y188="","待补充实际卖出价","卖出记录完整")),IF(X188="","待选择卖出动作",IF(X188="执行卖出",IF(Y188="","待补充实际卖出价","卖出记录完整"),"正常")))))</f>
        <v/>
      </c>
      <c r="AC188" s="31">
        <f>IF(A188="","",IF(A188="止损计划",IF(OR(B188="",D188="",E188="",F188="",G188=""),"计划不完整",IF(OR(D188&lt;1,D188&lt;&gt;INT(D188)),"阶段序号无效",IF(COUNTIFS($A$2:$A$501,"止损计划",$B$2:$B$501,B188,$D$2:$D$501,D188)&gt;1,"阶段序号重复",IF(E188&lt;=IFERROR(LOOKUP(2,1/('单次交易'!$A$2:$A$201=B188),'单次交易'!$E$2:$E$201),0),"激活价须高于买入价",IF(F188&lt;N188,"止损价不得低于初始止损",IF(F188&gt;E188,"止损价不得高于激活价",IF(AND(COUNTIFS($A$2:$A$501,"止损计划",$B$2:$B$501,B188,$D$2:$D$501,"&lt;"&amp;D188)&gt;0,OR(E188&lt;=AGGREGATE(14,6,$E$2:$E$501/(($A$2:$A$501="止损计划")*($B$2:$B$501=B188)*($D$2:$D$501&lt;D188)),1),F188&lt;AGGREGATE(14,6,$F$2:$F$501/(($A$2:$A$501="止损计划")*($B$2:$B$501=B188)*($D$2:$D$501&lt;D188)),1))),"阶段价格必须逐级提高","计划有效"))))))),IF(A188="每日跟踪",IF(OR(B188="",H188="",I188="",J188=""),"每日数据不完整",IF(COUNTIFS($A$2:$A$501,"每日跟踪",$B$2:$B$501,B188,$H$2:$H$501,H188)&gt;1,"同一交易日期重复",IF(AND(R188&lt;&gt;"",R188&lt;S188),"人工止损无效：不能下调","跟踪有效"))),"记录类型无效")))</f>
        <v/>
      </c>
    </row>
    <row r="189">
      <c r="A189" s="28" t="n"/>
      <c r="B189" s="28" t="n"/>
      <c r="C189" s="31">
        <f>IF(B189="","",IFERROR(LOOKUP(2,1/(单次交易!$A$2:$A$201=B189),单次交易!$B$2:$B$201),""))</f>
        <v/>
      </c>
      <c r="D189" s="27" t="n"/>
      <c r="E189" s="43" t="n"/>
      <c r="F189" s="43" t="n"/>
      <c r="G189" s="28" t="n"/>
      <c r="H189" s="49" t="n"/>
      <c r="I189" s="43" t="n"/>
      <c r="J189" s="27" t="n"/>
      <c r="K189" s="28" t="n"/>
      <c r="L189" s="28" t="n"/>
      <c r="M189" s="28" t="n"/>
      <c r="N189" s="44">
        <f>IF(B189="","",IFERROR(LOOKUP(2,1/(单次交易!$A$2:$A$201=B189),单次交易!$N$2:$N$201),""))</f>
        <v/>
      </c>
      <c r="O189" s="44">
        <f>IF(A189&lt;&gt;"每日跟踪","",IF(OR(B189="",H189="",I189=""),"",IFERROR(AGGREGATE(14,6,$I$2:$I$501/(($A$2:$A$501="每日跟踪")*($B$2:$B$501=B189)*($H$2:$H$501&lt;=H189)),1),"")))</f>
        <v/>
      </c>
      <c r="P189" s="26">
        <f>IF(A189&lt;&gt;"每日跟踪","",IF(O189="","",IFERROR(AGGREGATE(14,6,$D$2:$D$501/(($A$2:$A$501="止损计划")*($B$2:$B$501=B189)*($E$2:$E$501&lt;=O189)),1),0)))</f>
        <v/>
      </c>
      <c r="Q189" s="44">
        <f>IF(A189&lt;&gt;"每日跟踪","",IF(N189="","",MAX(N189,IFERROR(AGGREGATE(14,6,$F$2:$F$501/(($A$2:$A$501="止损计划")*($B$2:$B$501=B189)*($E$2:$E$501&lt;=O189)),1),0))))</f>
        <v/>
      </c>
      <c r="R189" s="43" t="n"/>
      <c r="S189" s="44">
        <f>IF(A189&lt;&gt;"每日跟踪","",IF(Q189="","",MAX(Q189,IFERROR(AGGREGATE(14,6,$R$2:$R$501/(($A$2:$A$501="每日跟踪")*($B$2:$B$501=B189)*($H$2:$H$501&lt;=H189)),1),0))))</f>
        <v/>
      </c>
      <c r="T189" s="44">
        <f>IF(A189&lt;&gt;"每日跟踪","",IF(O189="","",IF(COUNTIFS($A$2:$A$501,"止损计划",$B$2:$B$501,B189,$E$2:$E$501,"&gt;"&amp;O189)=0,"",AGGREGATE(15,6,$E$2:$E$501/(($A$2:$A$501="止损计划")*($B$2:$B$501=B189)*($E$2:$E$501&gt;O189)),1))))</f>
        <v/>
      </c>
      <c r="U189" s="44">
        <f>IF(OR(A189&lt;&gt;"每日跟踪",T189=""),"",IFERROR(AGGREGATE(14,6,$F$2:$F$501/(($A$2:$A$501="止损计划")*($B$2:$B$501=B189)*($E$2:$E$501=T189)),1),""))</f>
        <v/>
      </c>
      <c r="V189" s="30">
        <f>IF(OR(A189&lt;&gt;"每日跟踪",T189="",I189="",I189&lt;=0),"",T189/I189-1)</f>
        <v/>
      </c>
      <c r="W189" s="31">
        <f>IF(A189&lt;&gt;"每日跟踪","",IF(OR(I189="",S189=""),"",IF(I189&lt;=S189,"触发止损：应全部卖出","继续观察")))</f>
        <v/>
      </c>
      <c r="X189" s="28" t="n"/>
      <c r="Y189" s="43" t="n"/>
      <c r="Z189" s="26">
        <f>IF(X189&lt;&gt;"执行卖出","",IFERROR(LOOKUP(2,1/(单次交易!$A$2:$A$201=B189),单次交易!$AP$2:$AP$201),""))</f>
        <v/>
      </c>
      <c r="AA189" s="43" t="n"/>
      <c r="AB189" s="31">
        <f>IF(A189&lt;&gt;"每日跟踪","",IF(OR(B189="",H189="",I189="",J189="",K189="",L189="",M189=""),"待补充每日记录",IF(W189="触发止损：应全部卖出",IF(X189&lt;&gt;"执行卖出","违规：触发止损但未执行",IF(Y189="","待补充实际卖出价","卖出记录完整")),IF(X189="","待选择卖出动作",IF(X189="执行卖出",IF(Y189="","待补充实际卖出价","卖出记录完整"),"正常")))))</f>
        <v/>
      </c>
      <c r="AC189" s="31">
        <f>IF(A189="","",IF(A189="止损计划",IF(OR(B189="",D189="",E189="",F189="",G189=""),"计划不完整",IF(OR(D189&lt;1,D189&lt;&gt;INT(D189)),"阶段序号无效",IF(COUNTIFS($A$2:$A$501,"止损计划",$B$2:$B$501,B189,$D$2:$D$501,D189)&gt;1,"阶段序号重复",IF(E189&lt;=IFERROR(LOOKUP(2,1/('单次交易'!$A$2:$A$201=B189),'单次交易'!$E$2:$E$201),0),"激活价须高于买入价",IF(F189&lt;N189,"止损价不得低于初始止损",IF(F189&gt;E189,"止损价不得高于激活价",IF(AND(COUNTIFS($A$2:$A$501,"止损计划",$B$2:$B$501,B189,$D$2:$D$501,"&lt;"&amp;D189)&gt;0,OR(E189&lt;=AGGREGATE(14,6,$E$2:$E$501/(($A$2:$A$501="止损计划")*($B$2:$B$501=B189)*($D$2:$D$501&lt;D189)),1),F189&lt;AGGREGATE(14,6,$F$2:$F$501/(($A$2:$A$501="止损计划")*($B$2:$B$501=B189)*($D$2:$D$501&lt;D189)),1))),"阶段价格必须逐级提高","计划有效"))))))),IF(A189="每日跟踪",IF(OR(B189="",H189="",I189="",J189=""),"每日数据不完整",IF(COUNTIFS($A$2:$A$501,"每日跟踪",$B$2:$B$501,B189,$H$2:$H$501,H189)&gt;1,"同一交易日期重复",IF(AND(R189&lt;&gt;"",R189&lt;S189),"人工止损无效：不能下调","跟踪有效"))),"记录类型无效")))</f>
        <v/>
      </c>
    </row>
    <row r="190">
      <c r="A190" s="28" t="n"/>
      <c r="B190" s="28" t="n"/>
      <c r="C190" s="31">
        <f>IF(B190="","",IFERROR(LOOKUP(2,1/(单次交易!$A$2:$A$201=B190),单次交易!$B$2:$B$201),""))</f>
        <v/>
      </c>
      <c r="D190" s="27" t="n"/>
      <c r="E190" s="43" t="n"/>
      <c r="F190" s="43" t="n"/>
      <c r="G190" s="28" t="n"/>
      <c r="H190" s="49" t="n"/>
      <c r="I190" s="43" t="n"/>
      <c r="J190" s="27" t="n"/>
      <c r="K190" s="28" t="n"/>
      <c r="L190" s="28" t="n"/>
      <c r="M190" s="28" t="n"/>
      <c r="N190" s="44">
        <f>IF(B190="","",IFERROR(LOOKUP(2,1/(单次交易!$A$2:$A$201=B190),单次交易!$N$2:$N$201),""))</f>
        <v/>
      </c>
      <c r="O190" s="44">
        <f>IF(A190&lt;&gt;"每日跟踪","",IF(OR(B190="",H190="",I190=""),"",IFERROR(AGGREGATE(14,6,$I$2:$I$501/(($A$2:$A$501="每日跟踪")*($B$2:$B$501=B190)*($H$2:$H$501&lt;=H190)),1),"")))</f>
        <v/>
      </c>
      <c r="P190" s="26">
        <f>IF(A190&lt;&gt;"每日跟踪","",IF(O190="","",IFERROR(AGGREGATE(14,6,$D$2:$D$501/(($A$2:$A$501="止损计划")*($B$2:$B$501=B190)*($E$2:$E$501&lt;=O190)),1),0)))</f>
        <v/>
      </c>
      <c r="Q190" s="44">
        <f>IF(A190&lt;&gt;"每日跟踪","",IF(N190="","",MAX(N190,IFERROR(AGGREGATE(14,6,$F$2:$F$501/(($A$2:$A$501="止损计划")*($B$2:$B$501=B190)*($E$2:$E$501&lt;=O190)),1),0))))</f>
        <v/>
      </c>
      <c r="R190" s="43" t="n"/>
      <c r="S190" s="44">
        <f>IF(A190&lt;&gt;"每日跟踪","",IF(Q190="","",MAX(Q190,IFERROR(AGGREGATE(14,6,$R$2:$R$501/(($A$2:$A$501="每日跟踪")*($B$2:$B$501=B190)*($H$2:$H$501&lt;=H190)),1),0))))</f>
        <v/>
      </c>
      <c r="T190" s="44">
        <f>IF(A190&lt;&gt;"每日跟踪","",IF(O190="","",IF(COUNTIFS($A$2:$A$501,"止损计划",$B$2:$B$501,B190,$E$2:$E$501,"&gt;"&amp;O190)=0,"",AGGREGATE(15,6,$E$2:$E$501/(($A$2:$A$501="止损计划")*($B$2:$B$501=B190)*($E$2:$E$501&gt;O190)),1))))</f>
        <v/>
      </c>
      <c r="U190" s="44">
        <f>IF(OR(A190&lt;&gt;"每日跟踪",T190=""),"",IFERROR(AGGREGATE(14,6,$F$2:$F$501/(($A$2:$A$501="止损计划")*($B$2:$B$501=B190)*($E$2:$E$501=T190)),1),""))</f>
        <v/>
      </c>
      <c r="V190" s="30">
        <f>IF(OR(A190&lt;&gt;"每日跟踪",T190="",I190="",I190&lt;=0),"",T190/I190-1)</f>
        <v/>
      </c>
      <c r="W190" s="31">
        <f>IF(A190&lt;&gt;"每日跟踪","",IF(OR(I190="",S190=""),"",IF(I190&lt;=S190,"触发止损：应全部卖出","继续观察")))</f>
        <v/>
      </c>
      <c r="X190" s="28" t="n"/>
      <c r="Y190" s="43" t="n"/>
      <c r="Z190" s="26">
        <f>IF(X190&lt;&gt;"执行卖出","",IFERROR(LOOKUP(2,1/(单次交易!$A$2:$A$201=B190),单次交易!$AP$2:$AP$201),""))</f>
        <v/>
      </c>
      <c r="AA190" s="43" t="n"/>
      <c r="AB190" s="31">
        <f>IF(A190&lt;&gt;"每日跟踪","",IF(OR(B190="",H190="",I190="",J190="",K190="",L190="",M190=""),"待补充每日记录",IF(W190="触发止损：应全部卖出",IF(X190&lt;&gt;"执行卖出","违规：触发止损但未执行",IF(Y190="","待补充实际卖出价","卖出记录完整")),IF(X190="","待选择卖出动作",IF(X190="执行卖出",IF(Y190="","待补充实际卖出价","卖出记录完整"),"正常")))))</f>
        <v/>
      </c>
      <c r="AC190" s="31">
        <f>IF(A190="","",IF(A190="止损计划",IF(OR(B190="",D190="",E190="",F190="",G190=""),"计划不完整",IF(OR(D190&lt;1,D190&lt;&gt;INT(D190)),"阶段序号无效",IF(COUNTIFS($A$2:$A$501,"止损计划",$B$2:$B$501,B190,$D$2:$D$501,D190)&gt;1,"阶段序号重复",IF(E190&lt;=IFERROR(LOOKUP(2,1/('单次交易'!$A$2:$A$201=B190),'单次交易'!$E$2:$E$201),0),"激活价须高于买入价",IF(F190&lt;N190,"止损价不得低于初始止损",IF(F190&gt;E190,"止损价不得高于激活价",IF(AND(COUNTIFS($A$2:$A$501,"止损计划",$B$2:$B$501,B190,$D$2:$D$501,"&lt;"&amp;D190)&gt;0,OR(E190&lt;=AGGREGATE(14,6,$E$2:$E$501/(($A$2:$A$501="止损计划")*($B$2:$B$501=B190)*($D$2:$D$501&lt;D190)),1),F190&lt;AGGREGATE(14,6,$F$2:$F$501/(($A$2:$A$501="止损计划")*($B$2:$B$501=B190)*($D$2:$D$501&lt;D190)),1))),"阶段价格必须逐级提高","计划有效"))))))),IF(A190="每日跟踪",IF(OR(B190="",H190="",I190="",J190=""),"每日数据不完整",IF(COUNTIFS($A$2:$A$501,"每日跟踪",$B$2:$B$501,B190,$H$2:$H$501,H190)&gt;1,"同一交易日期重复",IF(AND(R190&lt;&gt;"",R190&lt;S190),"人工止损无效：不能下调","跟踪有效"))),"记录类型无效")))</f>
        <v/>
      </c>
    </row>
    <row r="191">
      <c r="A191" s="28" t="n"/>
      <c r="B191" s="28" t="n"/>
      <c r="C191" s="31">
        <f>IF(B191="","",IFERROR(LOOKUP(2,1/(单次交易!$A$2:$A$201=B191),单次交易!$B$2:$B$201),""))</f>
        <v/>
      </c>
      <c r="D191" s="27" t="n"/>
      <c r="E191" s="43" t="n"/>
      <c r="F191" s="43" t="n"/>
      <c r="G191" s="28" t="n"/>
      <c r="H191" s="49" t="n"/>
      <c r="I191" s="43" t="n"/>
      <c r="J191" s="27" t="n"/>
      <c r="K191" s="28" t="n"/>
      <c r="L191" s="28" t="n"/>
      <c r="M191" s="28" t="n"/>
      <c r="N191" s="44">
        <f>IF(B191="","",IFERROR(LOOKUP(2,1/(单次交易!$A$2:$A$201=B191),单次交易!$N$2:$N$201),""))</f>
        <v/>
      </c>
      <c r="O191" s="44">
        <f>IF(A191&lt;&gt;"每日跟踪","",IF(OR(B191="",H191="",I191=""),"",IFERROR(AGGREGATE(14,6,$I$2:$I$501/(($A$2:$A$501="每日跟踪")*($B$2:$B$501=B191)*($H$2:$H$501&lt;=H191)),1),"")))</f>
        <v/>
      </c>
      <c r="P191" s="26">
        <f>IF(A191&lt;&gt;"每日跟踪","",IF(O191="","",IFERROR(AGGREGATE(14,6,$D$2:$D$501/(($A$2:$A$501="止损计划")*($B$2:$B$501=B191)*($E$2:$E$501&lt;=O191)),1),0)))</f>
        <v/>
      </c>
      <c r="Q191" s="44">
        <f>IF(A191&lt;&gt;"每日跟踪","",IF(N191="","",MAX(N191,IFERROR(AGGREGATE(14,6,$F$2:$F$501/(($A$2:$A$501="止损计划")*($B$2:$B$501=B191)*($E$2:$E$501&lt;=O191)),1),0))))</f>
        <v/>
      </c>
      <c r="R191" s="43" t="n"/>
      <c r="S191" s="44">
        <f>IF(A191&lt;&gt;"每日跟踪","",IF(Q191="","",MAX(Q191,IFERROR(AGGREGATE(14,6,$R$2:$R$501/(($A$2:$A$501="每日跟踪")*($B$2:$B$501=B191)*($H$2:$H$501&lt;=H191)),1),0))))</f>
        <v/>
      </c>
      <c r="T191" s="44">
        <f>IF(A191&lt;&gt;"每日跟踪","",IF(O191="","",IF(COUNTIFS($A$2:$A$501,"止损计划",$B$2:$B$501,B191,$E$2:$E$501,"&gt;"&amp;O191)=0,"",AGGREGATE(15,6,$E$2:$E$501/(($A$2:$A$501="止损计划")*($B$2:$B$501=B191)*($E$2:$E$501&gt;O191)),1))))</f>
        <v/>
      </c>
      <c r="U191" s="44">
        <f>IF(OR(A191&lt;&gt;"每日跟踪",T191=""),"",IFERROR(AGGREGATE(14,6,$F$2:$F$501/(($A$2:$A$501="止损计划")*($B$2:$B$501=B191)*($E$2:$E$501=T191)),1),""))</f>
        <v/>
      </c>
      <c r="V191" s="30">
        <f>IF(OR(A191&lt;&gt;"每日跟踪",T191="",I191="",I191&lt;=0),"",T191/I191-1)</f>
        <v/>
      </c>
      <c r="W191" s="31">
        <f>IF(A191&lt;&gt;"每日跟踪","",IF(OR(I191="",S191=""),"",IF(I191&lt;=S191,"触发止损：应全部卖出","继续观察")))</f>
        <v/>
      </c>
      <c r="X191" s="28" t="n"/>
      <c r="Y191" s="43" t="n"/>
      <c r="Z191" s="26">
        <f>IF(X191&lt;&gt;"执行卖出","",IFERROR(LOOKUP(2,1/(单次交易!$A$2:$A$201=B191),单次交易!$AP$2:$AP$201),""))</f>
        <v/>
      </c>
      <c r="AA191" s="43" t="n"/>
      <c r="AB191" s="31">
        <f>IF(A191&lt;&gt;"每日跟踪","",IF(OR(B191="",H191="",I191="",J191="",K191="",L191="",M191=""),"待补充每日记录",IF(W191="触发止损：应全部卖出",IF(X191&lt;&gt;"执行卖出","违规：触发止损但未执行",IF(Y191="","待补充实际卖出价","卖出记录完整")),IF(X191="","待选择卖出动作",IF(X191="执行卖出",IF(Y191="","待补充实际卖出价","卖出记录完整"),"正常")))))</f>
        <v/>
      </c>
      <c r="AC191" s="31">
        <f>IF(A191="","",IF(A191="止损计划",IF(OR(B191="",D191="",E191="",F191="",G191=""),"计划不完整",IF(OR(D191&lt;1,D191&lt;&gt;INT(D191)),"阶段序号无效",IF(COUNTIFS($A$2:$A$501,"止损计划",$B$2:$B$501,B191,$D$2:$D$501,D191)&gt;1,"阶段序号重复",IF(E191&lt;=IFERROR(LOOKUP(2,1/('单次交易'!$A$2:$A$201=B191),'单次交易'!$E$2:$E$201),0),"激活价须高于买入价",IF(F191&lt;N191,"止损价不得低于初始止损",IF(F191&gt;E191,"止损价不得高于激活价",IF(AND(COUNTIFS($A$2:$A$501,"止损计划",$B$2:$B$501,B191,$D$2:$D$501,"&lt;"&amp;D191)&gt;0,OR(E191&lt;=AGGREGATE(14,6,$E$2:$E$501/(($A$2:$A$501="止损计划")*($B$2:$B$501=B191)*($D$2:$D$501&lt;D191)),1),F191&lt;AGGREGATE(14,6,$F$2:$F$501/(($A$2:$A$501="止损计划")*($B$2:$B$501=B191)*($D$2:$D$501&lt;D191)),1))),"阶段价格必须逐级提高","计划有效"))))))),IF(A191="每日跟踪",IF(OR(B191="",H191="",I191="",J191=""),"每日数据不完整",IF(COUNTIFS($A$2:$A$501,"每日跟踪",$B$2:$B$501,B191,$H$2:$H$501,H191)&gt;1,"同一交易日期重复",IF(AND(R191&lt;&gt;"",R191&lt;S191),"人工止损无效：不能下调","跟踪有效"))),"记录类型无效")))</f>
        <v/>
      </c>
    </row>
    <row r="192">
      <c r="A192" s="28" t="n"/>
      <c r="B192" s="28" t="n"/>
      <c r="C192" s="31">
        <f>IF(B192="","",IFERROR(LOOKUP(2,1/(单次交易!$A$2:$A$201=B192),单次交易!$B$2:$B$201),""))</f>
        <v/>
      </c>
      <c r="D192" s="27" t="n"/>
      <c r="E192" s="43" t="n"/>
      <c r="F192" s="43" t="n"/>
      <c r="G192" s="28" t="n"/>
      <c r="H192" s="49" t="n"/>
      <c r="I192" s="43" t="n"/>
      <c r="J192" s="27" t="n"/>
      <c r="K192" s="28" t="n"/>
      <c r="L192" s="28" t="n"/>
      <c r="M192" s="28" t="n"/>
      <c r="N192" s="44">
        <f>IF(B192="","",IFERROR(LOOKUP(2,1/(单次交易!$A$2:$A$201=B192),单次交易!$N$2:$N$201),""))</f>
        <v/>
      </c>
      <c r="O192" s="44">
        <f>IF(A192&lt;&gt;"每日跟踪","",IF(OR(B192="",H192="",I192=""),"",IFERROR(AGGREGATE(14,6,$I$2:$I$501/(($A$2:$A$501="每日跟踪")*($B$2:$B$501=B192)*($H$2:$H$501&lt;=H192)),1),"")))</f>
        <v/>
      </c>
      <c r="P192" s="26">
        <f>IF(A192&lt;&gt;"每日跟踪","",IF(O192="","",IFERROR(AGGREGATE(14,6,$D$2:$D$501/(($A$2:$A$501="止损计划")*($B$2:$B$501=B192)*($E$2:$E$501&lt;=O192)),1),0)))</f>
        <v/>
      </c>
      <c r="Q192" s="44">
        <f>IF(A192&lt;&gt;"每日跟踪","",IF(N192="","",MAX(N192,IFERROR(AGGREGATE(14,6,$F$2:$F$501/(($A$2:$A$501="止损计划")*($B$2:$B$501=B192)*($E$2:$E$501&lt;=O192)),1),0))))</f>
        <v/>
      </c>
      <c r="R192" s="43" t="n"/>
      <c r="S192" s="44">
        <f>IF(A192&lt;&gt;"每日跟踪","",IF(Q192="","",MAX(Q192,IFERROR(AGGREGATE(14,6,$R$2:$R$501/(($A$2:$A$501="每日跟踪")*($B$2:$B$501=B192)*($H$2:$H$501&lt;=H192)),1),0))))</f>
        <v/>
      </c>
      <c r="T192" s="44">
        <f>IF(A192&lt;&gt;"每日跟踪","",IF(O192="","",IF(COUNTIFS($A$2:$A$501,"止损计划",$B$2:$B$501,B192,$E$2:$E$501,"&gt;"&amp;O192)=0,"",AGGREGATE(15,6,$E$2:$E$501/(($A$2:$A$501="止损计划")*($B$2:$B$501=B192)*($E$2:$E$501&gt;O192)),1))))</f>
        <v/>
      </c>
      <c r="U192" s="44">
        <f>IF(OR(A192&lt;&gt;"每日跟踪",T192=""),"",IFERROR(AGGREGATE(14,6,$F$2:$F$501/(($A$2:$A$501="止损计划")*($B$2:$B$501=B192)*($E$2:$E$501=T192)),1),""))</f>
        <v/>
      </c>
      <c r="V192" s="30">
        <f>IF(OR(A192&lt;&gt;"每日跟踪",T192="",I192="",I192&lt;=0),"",T192/I192-1)</f>
        <v/>
      </c>
      <c r="W192" s="31">
        <f>IF(A192&lt;&gt;"每日跟踪","",IF(OR(I192="",S192=""),"",IF(I192&lt;=S192,"触发止损：应全部卖出","继续观察")))</f>
        <v/>
      </c>
      <c r="X192" s="28" t="n"/>
      <c r="Y192" s="43" t="n"/>
      <c r="Z192" s="26">
        <f>IF(X192&lt;&gt;"执行卖出","",IFERROR(LOOKUP(2,1/(单次交易!$A$2:$A$201=B192),单次交易!$AP$2:$AP$201),""))</f>
        <v/>
      </c>
      <c r="AA192" s="43" t="n"/>
      <c r="AB192" s="31">
        <f>IF(A192&lt;&gt;"每日跟踪","",IF(OR(B192="",H192="",I192="",J192="",K192="",L192="",M192=""),"待补充每日记录",IF(W192="触发止损：应全部卖出",IF(X192&lt;&gt;"执行卖出","违规：触发止损但未执行",IF(Y192="","待补充实际卖出价","卖出记录完整")),IF(X192="","待选择卖出动作",IF(X192="执行卖出",IF(Y192="","待补充实际卖出价","卖出记录完整"),"正常")))))</f>
        <v/>
      </c>
      <c r="AC192" s="31">
        <f>IF(A192="","",IF(A192="止损计划",IF(OR(B192="",D192="",E192="",F192="",G192=""),"计划不完整",IF(OR(D192&lt;1,D192&lt;&gt;INT(D192)),"阶段序号无效",IF(COUNTIFS($A$2:$A$501,"止损计划",$B$2:$B$501,B192,$D$2:$D$501,D192)&gt;1,"阶段序号重复",IF(E192&lt;=IFERROR(LOOKUP(2,1/('单次交易'!$A$2:$A$201=B192),'单次交易'!$E$2:$E$201),0),"激活价须高于买入价",IF(F192&lt;N192,"止损价不得低于初始止损",IF(F192&gt;E192,"止损价不得高于激活价",IF(AND(COUNTIFS($A$2:$A$501,"止损计划",$B$2:$B$501,B192,$D$2:$D$501,"&lt;"&amp;D192)&gt;0,OR(E192&lt;=AGGREGATE(14,6,$E$2:$E$501/(($A$2:$A$501="止损计划")*($B$2:$B$501=B192)*($D$2:$D$501&lt;D192)),1),F192&lt;AGGREGATE(14,6,$F$2:$F$501/(($A$2:$A$501="止损计划")*($B$2:$B$501=B192)*($D$2:$D$501&lt;D192)),1))),"阶段价格必须逐级提高","计划有效"))))))),IF(A192="每日跟踪",IF(OR(B192="",H192="",I192="",J192=""),"每日数据不完整",IF(COUNTIFS($A$2:$A$501,"每日跟踪",$B$2:$B$501,B192,$H$2:$H$501,H192)&gt;1,"同一交易日期重复",IF(AND(R192&lt;&gt;"",R192&lt;S192),"人工止损无效：不能下调","跟踪有效"))),"记录类型无效")))</f>
        <v/>
      </c>
    </row>
    <row r="193">
      <c r="A193" s="28" t="n"/>
      <c r="B193" s="28" t="n"/>
      <c r="C193" s="31">
        <f>IF(B193="","",IFERROR(LOOKUP(2,1/(单次交易!$A$2:$A$201=B193),单次交易!$B$2:$B$201),""))</f>
        <v/>
      </c>
      <c r="D193" s="27" t="n"/>
      <c r="E193" s="43" t="n"/>
      <c r="F193" s="43" t="n"/>
      <c r="G193" s="28" t="n"/>
      <c r="H193" s="49" t="n"/>
      <c r="I193" s="43" t="n"/>
      <c r="J193" s="27" t="n"/>
      <c r="K193" s="28" t="n"/>
      <c r="L193" s="28" t="n"/>
      <c r="M193" s="28" t="n"/>
      <c r="N193" s="44">
        <f>IF(B193="","",IFERROR(LOOKUP(2,1/(单次交易!$A$2:$A$201=B193),单次交易!$N$2:$N$201),""))</f>
        <v/>
      </c>
      <c r="O193" s="44">
        <f>IF(A193&lt;&gt;"每日跟踪","",IF(OR(B193="",H193="",I193=""),"",IFERROR(AGGREGATE(14,6,$I$2:$I$501/(($A$2:$A$501="每日跟踪")*($B$2:$B$501=B193)*($H$2:$H$501&lt;=H193)),1),"")))</f>
        <v/>
      </c>
      <c r="P193" s="26">
        <f>IF(A193&lt;&gt;"每日跟踪","",IF(O193="","",IFERROR(AGGREGATE(14,6,$D$2:$D$501/(($A$2:$A$501="止损计划")*($B$2:$B$501=B193)*($E$2:$E$501&lt;=O193)),1),0)))</f>
        <v/>
      </c>
      <c r="Q193" s="44">
        <f>IF(A193&lt;&gt;"每日跟踪","",IF(N193="","",MAX(N193,IFERROR(AGGREGATE(14,6,$F$2:$F$501/(($A$2:$A$501="止损计划")*($B$2:$B$501=B193)*($E$2:$E$501&lt;=O193)),1),0))))</f>
        <v/>
      </c>
      <c r="R193" s="43" t="n"/>
      <c r="S193" s="44">
        <f>IF(A193&lt;&gt;"每日跟踪","",IF(Q193="","",MAX(Q193,IFERROR(AGGREGATE(14,6,$R$2:$R$501/(($A$2:$A$501="每日跟踪")*($B$2:$B$501=B193)*($H$2:$H$501&lt;=H193)),1),0))))</f>
        <v/>
      </c>
      <c r="T193" s="44">
        <f>IF(A193&lt;&gt;"每日跟踪","",IF(O193="","",IF(COUNTIFS($A$2:$A$501,"止损计划",$B$2:$B$501,B193,$E$2:$E$501,"&gt;"&amp;O193)=0,"",AGGREGATE(15,6,$E$2:$E$501/(($A$2:$A$501="止损计划")*($B$2:$B$501=B193)*($E$2:$E$501&gt;O193)),1))))</f>
        <v/>
      </c>
      <c r="U193" s="44">
        <f>IF(OR(A193&lt;&gt;"每日跟踪",T193=""),"",IFERROR(AGGREGATE(14,6,$F$2:$F$501/(($A$2:$A$501="止损计划")*($B$2:$B$501=B193)*($E$2:$E$501=T193)),1),""))</f>
        <v/>
      </c>
      <c r="V193" s="30">
        <f>IF(OR(A193&lt;&gt;"每日跟踪",T193="",I193="",I193&lt;=0),"",T193/I193-1)</f>
        <v/>
      </c>
      <c r="W193" s="31">
        <f>IF(A193&lt;&gt;"每日跟踪","",IF(OR(I193="",S193=""),"",IF(I193&lt;=S193,"触发止损：应全部卖出","继续观察")))</f>
        <v/>
      </c>
      <c r="X193" s="28" t="n"/>
      <c r="Y193" s="43" t="n"/>
      <c r="Z193" s="26">
        <f>IF(X193&lt;&gt;"执行卖出","",IFERROR(LOOKUP(2,1/(单次交易!$A$2:$A$201=B193),单次交易!$AP$2:$AP$201),""))</f>
        <v/>
      </c>
      <c r="AA193" s="43" t="n"/>
      <c r="AB193" s="31">
        <f>IF(A193&lt;&gt;"每日跟踪","",IF(OR(B193="",H193="",I193="",J193="",K193="",L193="",M193=""),"待补充每日记录",IF(W193="触发止损：应全部卖出",IF(X193&lt;&gt;"执行卖出","违规：触发止损但未执行",IF(Y193="","待补充实际卖出价","卖出记录完整")),IF(X193="","待选择卖出动作",IF(X193="执行卖出",IF(Y193="","待补充实际卖出价","卖出记录完整"),"正常")))))</f>
        <v/>
      </c>
      <c r="AC193" s="31">
        <f>IF(A193="","",IF(A193="止损计划",IF(OR(B193="",D193="",E193="",F193="",G193=""),"计划不完整",IF(OR(D193&lt;1,D193&lt;&gt;INT(D193)),"阶段序号无效",IF(COUNTIFS($A$2:$A$501,"止损计划",$B$2:$B$501,B193,$D$2:$D$501,D193)&gt;1,"阶段序号重复",IF(E193&lt;=IFERROR(LOOKUP(2,1/('单次交易'!$A$2:$A$201=B193),'单次交易'!$E$2:$E$201),0),"激活价须高于买入价",IF(F193&lt;N193,"止损价不得低于初始止损",IF(F193&gt;E193,"止损价不得高于激活价",IF(AND(COUNTIFS($A$2:$A$501,"止损计划",$B$2:$B$501,B193,$D$2:$D$501,"&lt;"&amp;D193)&gt;0,OR(E193&lt;=AGGREGATE(14,6,$E$2:$E$501/(($A$2:$A$501="止损计划")*($B$2:$B$501=B193)*($D$2:$D$501&lt;D193)),1),F193&lt;AGGREGATE(14,6,$F$2:$F$501/(($A$2:$A$501="止损计划")*($B$2:$B$501=B193)*($D$2:$D$501&lt;D193)),1))),"阶段价格必须逐级提高","计划有效"))))))),IF(A193="每日跟踪",IF(OR(B193="",H193="",I193="",J193=""),"每日数据不完整",IF(COUNTIFS($A$2:$A$501,"每日跟踪",$B$2:$B$501,B193,$H$2:$H$501,H193)&gt;1,"同一交易日期重复",IF(AND(R193&lt;&gt;"",R193&lt;S193),"人工止损无效：不能下调","跟踪有效"))),"记录类型无效")))</f>
        <v/>
      </c>
    </row>
    <row r="194">
      <c r="A194" s="28" t="n"/>
      <c r="B194" s="28" t="n"/>
      <c r="C194" s="31">
        <f>IF(B194="","",IFERROR(LOOKUP(2,1/(单次交易!$A$2:$A$201=B194),单次交易!$B$2:$B$201),""))</f>
        <v/>
      </c>
      <c r="D194" s="27" t="n"/>
      <c r="E194" s="43" t="n"/>
      <c r="F194" s="43" t="n"/>
      <c r="G194" s="28" t="n"/>
      <c r="H194" s="49" t="n"/>
      <c r="I194" s="43" t="n"/>
      <c r="J194" s="27" t="n"/>
      <c r="K194" s="28" t="n"/>
      <c r="L194" s="28" t="n"/>
      <c r="M194" s="28" t="n"/>
      <c r="N194" s="44">
        <f>IF(B194="","",IFERROR(LOOKUP(2,1/(单次交易!$A$2:$A$201=B194),单次交易!$N$2:$N$201),""))</f>
        <v/>
      </c>
      <c r="O194" s="44">
        <f>IF(A194&lt;&gt;"每日跟踪","",IF(OR(B194="",H194="",I194=""),"",IFERROR(AGGREGATE(14,6,$I$2:$I$501/(($A$2:$A$501="每日跟踪")*($B$2:$B$501=B194)*($H$2:$H$501&lt;=H194)),1),"")))</f>
        <v/>
      </c>
      <c r="P194" s="26">
        <f>IF(A194&lt;&gt;"每日跟踪","",IF(O194="","",IFERROR(AGGREGATE(14,6,$D$2:$D$501/(($A$2:$A$501="止损计划")*($B$2:$B$501=B194)*($E$2:$E$501&lt;=O194)),1),0)))</f>
        <v/>
      </c>
      <c r="Q194" s="44">
        <f>IF(A194&lt;&gt;"每日跟踪","",IF(N194="","",MAX(N194,IFERROR(AGGREGATE(14,6,$F$2:$F$501/(($A$2:$A$501="止损计划")*($B$2:$B$501=B194)*($E$2:$E$501&lt;=O194)),1),0))))</f>
        <v/>
      </c>
      <c r="R194" s="43" t="n"/>
      <c r="S194" s="44">
        <f>IF(A194&lt;&gt;"每日跟踪","",IF(Q194="","",MAX(Q194,IFERROR(AGGREGATE(14,6,$R$2:$R$501/(($A$2:$A$501="每日跟踪")*($B$2:$B$501=B194)*($H$2:$H$501&lt;=H194)),1),0))))</f>
        <v/>
      </c>
      <c r="T194" s="44">
        <f>IF(A194&lt;&gt;"每日跟踪","",IF(O194="","",IF(COUNTIFS($A$2:$A$501,"止损计划",$B$2:$B$501,B194,$E$2:$E$501,"&gt;"&amp;O194)=0,"",AGGREGATE(15,6,$E$2:$E$501/(($A$2:$A$501="止损计划")*($B$2:$B$501=B194)*($E$2:$E$501&gt;O194)),1))))</f>
        <v/>
      </c>
      <c r="U194" s="44">
        <f>IF(OR(A194&lt;&gt;"每日跟踪",T194=""),"",IFERROR(AGGREGATE(14,6,$F$2:$F$501/(($A$2:$A$501="止损计划")*($B$2:$B$501=B194)*($E$2:$E$501=T194)),1),""))</f>
        <v/>
      </c>
      <c r="V194" s="30">
        <f>IF(OR(A194&lt;&gt;"每日跟踪",T194="",I194="",I194&lt;=0),"",T194/I194-1)</f>
        <v/>
      </c>
      <c r="W194" s="31">
        <f>IF(A194&lt;&gt;"每日跟踪","",IF(OR(I194="",S194=""),"",IF(I194&lt;=S194,"触发止损：应全部卖出","继续观察")))</f>
        <v/>
      </c>
      <c r="X194" s="28" t="n"/>
      <c r="Y194" s="43" t="n"/>
      <c r="Z194" s="26">
        <f>IF(X194&lt;&gt;"执行卖出","",IFERROR(LOOKUP(2,1/(单次交易!$A$2:$A$201=B194),单次交易!$AP$2:$AP$201),""))</f>
        <v/>
      </c>
      <c r="AA194" s="43" t="n"/>
      <c r="AB194" s="31">
        <f>IF(A194&lt;&gt;"每日跟踪","",IF(OR(B194="",H194="",I194="",J194="",K194="",L194="",M194=""),"待补充每日记录",IF(W194="触发止损：应全部卖出",IF(X194&lt;&gt;"执行卖出","违规：触发止损但未执行",IF(Y194="","待补充实际卖出价","卖出记录完整")),IF(X194="","待选择卖出动作",IF(X194="执行卖出",IF(Y194="","待补充实际卖出价","卖出记录完整"),"正常")))))</f>
        <v/>
      </c>
      <c r="AC194" s="31">
        <f>IF(A194="","",IF(A194="止损计划",IF(OR(B194="",D194="",E194="",F194="",G194=""),"计划不完整",IF(OR(D194&lt;1,D194&lt;&gt;INT(D194)),"阶段序号无效",IF(COUNTIFS($A$2:$A$501,"止损计划",$B$2:$B$501,B194,$D$2:$D$501,D194)&gt;1,"阶段序号重复",IF(E194&lt;=IFERROR(LOOKUP(2,1/('单次交易'!$A$2:$A$201=B194),'单次交易'!$E$2:$E$201),0),"激活价须高于买入价",IF(F194&lt;N194,"止损价不得低于初始止损",IF(F194&gt;E194,"止损价不得高于激活价",IF(AND(COUNTIFS($A$2:$A$501,"止损计划",$B$2:$B$501,B194,$D$2:$D$501,"&lt;"&amp;D194)&gt;0,OR(E194&lt;=AGGREGATE(14,6,$E$2:$E$501/(($A$2:$A$501="止损计划")*($B$2:$B$501=B194)*($D$2:$D$501&lt;D194)),1),F194&lt;AGGREGATE(14,6,$F$2:$F$501/(($A$2:$A$501="止损计划")*($B$2:$B$501=B194)*($D$2:$D$501&lt;D194)),1))),"阶段价格必须逐级提高","计划有效"))))))),IF(A194="每日跟踪",IF(OR(B194="",H194="",I194="",J194=""),"每日数据不完整",IF(COUNTIFS($A$2:$A$501,"每日跟踪",$B$2:$B$501,B194,$H$2:$H$501,H194)&gt;1,"同一交易日期重复",IF(AND(R194&lt;&gt;"",R194&lt;S194),"人工止损无效：不能下调","跟踪有效"))),"记录类型无效")))</f>
        <v/>
      </c>
    </row>
    <row r="195">
      <c r="A195" s="28" t="n"/>
      <c r="B195" s="28" t="n"/>
      <c r="C195" s="31">
        <f>IF(B195="","",IFERROR(LOOKUP(2,1/(单次交易!$A$2:$A$201=B195),单次交易!$B$2:$B$201),""))</f>
        <v/>
      </c>
      <c r="D195" s="27" t="n"/>
      <c r="E195" s="43" t="n"/>
      <c r="F195" s="43" t="n"/>
      <c r="G195" s="28" t="n"/>
      <c r="H195" s="49" t="n"/>
      <c r="I195" s="43" t="n"/>
      <c r="J195" s="27" t="n"/>
      <c r="K195" s="28" t="n"/>
      <c r="L195" s="28" t="n"/>
      <c r="M195" s="28" t="n"/>
      <c r="N195" s="44">
        <f>IF(B195="","",IFERROR(LOOKUP(2,1/(单次交易!$A$2:$A$201=B195),单次交易!$N$2:$N$201),""))</f>
        <v/>
      </c>
      <c r="O195" s="44">
        <f>IF(A195&lt;&gt;"每日跟踪","",IF(OR(B195="",H195="",I195=""),"",IFERROR(AGGREGATE(14,6,$I$2:$I$501/(($A$2:$A$501="每日跟踪")*($B$2:$B$501=B195)*($H$2:$H$501&lt;=H195)),1),"")))</f>
        <v/>
      </c>
      <c r="P195" s="26">
        <f>IF(A195&lt;&gt;"每日跟踪","",IF(O195="","",IFERROR(AGGREGATE(14,6,$D$2:$D$501/(($A$2:$A$501="止损计划")*($B$2:$B$501=B195)*($E$2:$E$501&lt;=O195)),1),0)))</f>
        <v/>
      </c>
      <c r="Q195" s="44">
        <f>IF(A195&lt;&gt;"每日跟踪","",IF(N195="","",MAX(N195,IFERROR(AGGREGATE(14,6,$F$2:$F$501/(($A$2:$A$501="止损计划")*($B$2:$B$501=B195)*($E$2:$E$501&lt;=O195)),1),0))))</f>
        <v/>
      </c>
      <c r="R195" s="43" t="n"/>
      <c r="S195" s="44">
        <f>IF(A195&lt;&gt;"每日跟踪","",IF(Q195="","",MAX(Q195,IFERROR(AGGREGATE(14,6,$R$2:$R$501/(($A$2:$A$501="每日跟踪")*($B$2:$B$501=B195)*($H$2:$H$501&lt;=H195)),1),0))))</f>
        <v/>
      </c>
      <c r="T195" s="44">
        <f>IF(A195&lt;&gt;"每日跟踪","",IF(O195="","",IF(COUNTIFS($A$2:$A$501,"止损计划",$B$2:$B$501,B195,$E$2:$E$501,"&gt;"&amp;O195)=0,"",AGGREGATE(15,6,$E$2:$E$501/(($A$2:$A$501="止损计划")*($B$2:$B$501=B195)*($E$2:$E$501&gt;O195)),1))))</f>
        <v/>
      </c>
      <c r="U195" s="44">
        <f>IF(OR(A195&lt;&gt;"每日跟踪",T195=""),"",IFERROR(AGGREGATE(14,6,$F$2:$F$501/(($A$2:$A$501="止损计划")*($B$2:$B$501=B195)*($E$2:$E$501=T195)),1),""))</f>
        <v/>
      </c>
      <c r="V195" s="30">
        <f>IF(OR(A195&lt;&gt;"每日跟踪",T195="",I195="",I195&lt;=0),"",T195/I195-1)</f>
        <v/>
      </c>
      <c r="W195" s="31">
        <f>IF(A195&lt;&gt;"每日跟踪","",IF(OR(I195="",S195=""),"",IF(I195&lt;=S195,"触发止损：应全部卖出","继续观察")))</f>
        <v/>
      </c>
      <c r="X195" s="28" t="n"/>
      <c r="Y195" s="43" t="n"/>
      <c r="Z195" s="26">
        <f>IF(X195&lt;&gt;"执行卖出","",IFERROR(LOOKUP(2,1/(单次交易!$A$2:$A$201=B195),单次交易!$AP$2:$AP$201),""))</f>
        <v/>
      </c>
      <c r="AA195" s="43" t="n"/>
      <c r="AB195" s="31">
        <f>IF(A195&lt;&gt;"每日跟踪","",IF(OR(B195="",H195="",I195="",J195="",K195="",L195="",M195=""),"待补充每日记录",IF(W195="触发止损：应全部卖出",IF(X195&lt;&gt;"执行卖出","违规：触发止损但未执行",IF(Y195="","待补充实际卖出价","卖出记录完整")),IF(X195="","待选择卖出动作",IF(X195="执行卖出",IF(Y195="","待补充实际卖出价","卖出记录完整"),"正常")))))</f>
        <v/>
      </c>
      <c r="AC195" s="31">
        <f>IF(A195="","",IF(A195="止损计划",IF(OR(B195="",D195="",E195="",F195="",G195=""),"计划不完整",IF(OR(D195&lt;1,D195&lt;&gt;INT(D195)),"阶段序号无效",IF(COUNTIFS($A$2:$A$501,"止损计划",$B$2:$B$501,B195,$D$2:$D$501,D195)&gt;1,"阶段序号重复",IF(E195&lt;=IFERROR(LOOKUP(2,1/('单次交易'!$A$2:$A$201=B195),'单次交易'!$E$2:$E$201),0),"激活价须高于买入价",IF(F195&lt;N195,"止损价不得低于初始止损",IF(F195&gt;E195,"止损价不得高于激活价",IF(AND(COUNTIFS($A$2:$A$501,"止损计划",$B$2:$B$501,B195,$D$2:$D$501,"&lt;"&amp;D195)&gt;0,OR(E195&lt;=AGGREGATE(14,6,$E$2:$E$501/(($A$2:$A$501="止损计划")*($B$2:$B$501=B195)*($D$2:$D$501&lt;D195)),1),F195&lt;AGGREGATE(14,6,$F$2:$F$501/(($A$2:$A$501="止损计划")*($B$2:$B$501=B195)*($D$2:$D$501&lt;D195)),1))),"阶段价格必须逐级提高","计划有效"))))))),IF(A195="每日跟踪",IF(OR(B195="",H195="",I195="",J195=""),"每日数据不完整",IF(COUNTIFS($A$2:$A$501,"每日跟踪",$B$2:$B$501,B195,$H$2:$H$501,H195)&gt;1,"同一交易日期重复",IF(AND(R195&lt;&gt;"",R195&lt;S195),"人工止损无效：不能下调","跟踪有效"))),"记录类型无效")))</f>
        <v/>
      </c>
    </row>
    <row r="196">
      <c r="A196" s="28" t="n"/>
      <c r="B196" s="28" t="n"/>
      <c r="C196" s="31">
        <f>IF(B196="","",IFERROR(LOOKUP(2,1/(单次交易!$A$2:$A$201=B196),单次交易!$B$2:$B$201),""))</f>
        <v/>
      </c>
      <c r="D196" s="27" t="n"/>
      <c r="E196" s="43" t="n"/>
      <c r="F196" s="43" t="n"/>
      <c r="G196" s="28" t="n"/>
      <c r="H196" s="49" t="n"/>
      <c r="I196" s="43" t="n"/>
      <c r="J196" s="27" t="n"/>
      <c r="K196" s="28" t="n"/>
      <c r="L196" s="28" t="n"/>
      <c r="M196" s="28" t="n"/>
      <c r="N196" s="44">
        <f>IF(B196="","",IFERROR(LOOKUP(2,1/(单次交易!$A$2:$A$201=B196),单次交易!$N$2:$N$201),""))</f>
        <v/>
      </c>
      <c r="O196" s="44">
        <f>IF(A196&lt;&gt;"每日跟踪","",IF(OR(B196="",H196="",I196=""),"",IFERROR(AGGREGATE(14,6,$I$2:$I$501/(($A$2:$A$501="每日跟踪")*($B$2:$B$501=B196)*($H$2:$H$501&lt;=H196)),1),"")))</f>
        <v/>
      </c>
      <c r="P196" s="26">
        <f>IF(A196&lt;&gt;"每日跟踪","",IF(O196="","",IFERROR(AGGREGATE(14,6,$D$2:$D$501/(($A$2:$A$501="止损计划")*($B$2:$B$501=B196)*($E$2:$E$501&lt;=O196)),1),0)))</f>
        <v/>
      </c>
      <c r="Q196" s="44">
        <f>IF(A196&lt;&gt;"每日跟踪","",IF(N196="","",MAX(N196,IFERROR(AGGREGATE(14,6,$F$2:$F$501/(($A$2:$A$501="止损计划")*($B$2:$B$501=B196)*($E$2:$E$501&lt;=O196)),1),0))))</f>
        <v/>
      </c>
      <c r="R196" s="43" t="n"/>
      <c r="S196" s="44">
        <f>IF(A196&lt;&gt;"每日跟踪","",IF(Q196="","",MAX(Q196,IFERROR(AGGREGATE(14,6,$R$2:$R$501/(($A$2:$A$501="每日跟踪")*($B$2:$B$501=B196)*($H$2:$H$501&lt;=H196)),1),0))))</f>
        <v/>
      </c>
      <c r="T196" s="44">
        <f>IF(A196&lt;&gt;"每日跟踪","",IF(O196="","",IF(COUNTIFS($A$2:$A$501,"止损计划",$B$2:$B$501,B196,$E$2:$E$501,"&gt;"&amp;O196)=0,"",AGGREGATE(15,6,$E$2:$E$501/(($A$2:$A$501="止损计划")*($B$2:$B$501=B196)*($E$2:$E$501&gt;O196)),1))))</f>
        <v/>
      </c>
      <c r="U196" s="44">
        <f>IF(OR(A196&lt;&gt;"每日跟踪",T196=""),"",IFERROR(AGGREGATE(14,6,$F$2:$F$501/(($A$2:$A$501="止损计划")*($B$2:$B$501=B196)*($E$2:$E$501=T196)),1),""))</f>
        <v/>
      </c>
      <c r="V196" s="30">
        <f>IF(OR(A196&lt;&gt;"每日跟踪",T196="",I196="",I196&lt;=0),"",T196/I196-1)</f>
        <v/>
      </c>
      <c r="W196" s="31">
        <f>IF(A196&lt;&gt;"每日跟踪","",IF(OR(I196="",S196=""),"",IF(I196&lt;=S196,"触发止损：应全部卖出","继续观察")))</f>
        <v/>
      </c>
      <c r="X196" s="28" t="n"/>
      <c r="Y196" s="43" t="n"/>
      <c r="Z196" s="26">
        <f>IF(X196&lt;&gt;"执行卖出","",IFERROR(LOOKUP(2,1/(单次交易!$A$2:$A$201=B196),单次交易!$AP$2:$AP$201),""))</f>
        <v/>
      </c>
      <c r="AA196" s="43" t="n"/>
      <c r="AB196" s="31">
        <f>IF(A196&lt;&gt;"每日跟踪","",IF(OR(B196="",H196="",I196="",J196="",K196="",L196="",M196=""),"待补充每日记录",IF(W196="触发止损：应全部卖出",IF(X196&lt;&gt;"执行卖出","违规：触发止损但未执行",IF(Y196="","待补充实际卖出价","卖出记录完整")),IF(X196="","待选择卖出动作",IF(X196="执行卖出",IF(Y196="","待补充实际卖出价","卖出记录完整"),"正常")))))</f>
        <v/>
      </c>
      <c r="AC196" s="31">
        <f>IF(A196="","",IF(A196="止损计划",IF(OR(B196="",D196="",E196="",F196="",G196=""),"计划不完整",IF(OR(D196&lt;1,D196&lt;&gt;INT(D196)),"阶段序号无效",IF(COUNTIFS($A$2:$A$501,"止损计划",$B$2:$B$501,B196,$D$2:$D$501,D196)&gt;1,"阶段序号重复",IF(E196&lt;=IFERROR(LOOKUP(2,1/('单次交易'!$A$2:$A$201=B196),'单次交易'!$E$2:$E$201),0),"激活价须高于买入价",IF(F196&lt;N196,"止损价不得低于初始止损",IF(F196&gt;E196,"止损价不得高于激活价",IF(AND(COUNTIFS($A$2:$A$501,"止损计划",$B$2:$B$501,B196,$D$2:$D$501,"&lt;"&amp;D196)&gt;0,OR(E196&lt;=AGGREGATE(14,6,$E$2:$E$501/(($A$2:$A$501="止损计划")*($B$2:$B$501=B196)*($D$2:$D$501&lt;D196)),1),F196&lt;AGGREGATE(14,6,$F$2:$F$501/(($A$2:$A$501="止损计划")*($B$2:$B$501=B196)*($D$2:$D$501&lt;D196)),1))),"阶段价格必须逐级提高","计划有效"))))))),IF(A196="每日跟踪",IF(OR(B196="",H196="",I196="",J196=""),"每日数据不完整",IF(COUNTIFS($A$2:$A$501,"每日跟踪",$B$2:$B$501,B196,$H$2:$H$501,H196)&gt;1,"同一交易日期重复",IF(AND(R196&lt;&gt;"",R196&lt;S196),"人工止损无效：不能下调","跟踪有效"))),"记录类型无效")))</f>
        <v/>
      </c>
    </row>
    <row r="197">
      <c r="A197" s="28" t="n"/>
      <c r="B197" s="28" t="n"/>
      <c r="C197" s="31">
        <f>IF(B197="","",IFERROR(LOOKUP(2,1/(单次交易!$A$2:$A$201=B197),单次交易!$B$2:$B$201),""))</f>
        <v/>
      </c>
      <c r="D197" s="27" t="n"/>
      <c r="E197" s="43" t="n"/>
      <c r="F197" s="43" t="n"/>
      <c r="G197" s="28" t="n"/>
      <c r="H197" s="49" t="n"/>
      <c r="I197" s="43" t="n"/>
      <c r="J197" s="27" t="n"/>
      <c r="K197" s="28" t="n"/>
      <c r="L197" s="28" t="n"/>
      <c r="M197" s="28" t="n"/>
      <c r="N197" s="44">
        <f>IF(B197="","",IFERROR(LOOKUP(2,1/(单次交易!$A$2:$A$201=B197),单次交易!$N$2:$N$201),""))</f>
        <v/>
      </c>
      <c r="O197" s="44">
        <f>IF(A197&lt;&gt;"每日跟踪","",IF(OR(B197="",H197="",I197=""),"",IFERROR(AGGREGATE(14,6,$I$2:$I$501/(($A$2:$A$501="每日跟踪")*($B$2:$B$501=B197)*($H$2:$H$501&lt;=H197)),1),"")))</f>
        <v/>
      </c>
      <c r="P197" s="26">
        <f>IF(A197&lt;&gt;"每日跟踪","",IF(O197="","",IFERROR(AGGREGATE(14,6,$D$2:$D$501/(($A$2:$A$501="止损计划")*($B$2:$B$501=B197)*($E$2:$E$501&lt;=O197)),1),0)))</f>
        <v/>
      </c>
      <c r="Q197" s="44">
        <f>IF(A197&lt;&gt;"每日跟踪","",IF(N197="","",MAX(N197,IFERROR(AGGREGATE(14,6,$F$2:$F$501/(($A$2:$A$501="止损计划")*($B$2:$B$501=B197)*($E$2:$E$501&lt;=O197)),1),0))))</f>
        <v/>
      </c>
      <c r="R197" s="43" t="n"/>
      <c r="S197" s="44">
        <f>IF(A197&lt;&gt;"每日跟踪","",IF(Q197="","",MAX(Q197,IFERROR(AGGREGATE(14,6,$R$2:$R$501/(($A$2:$A$501="每日跟踪")*($B$2:$B$501=B197)*($H$2:$H$501&lt;=H197)),1),0))))</f>
        <v/>
      </c>
      <c r="T197" s="44">
        <f>IF(A197&lt;&gt;"每日跟踪","",IF(O197="","",IF(COUNTIFS($A$2:$A$501,"止损计划",$B$2:$B$501,B197,$E$2:$E$501,"&gt;"&amp;O197)=0,"",AGGREGATE(15,6,$E$2:$E$501/(($A$2:$A$501="止损计划")*($B$2:$B$501=B197)*($E$2:$E$501&gt;O197)),1))))</f>
        <v/>
      </c>
      <c r="U197" s="44">
        <f>IF(OR(A197&lt;&gt;"每日跟踪",T197=""),"",IFERROR(AGGREGATE(14,6,$F$2:$F$501/(($A$2:$A$501="止损计划")*($B$2:$B$501=B197)*($E$2:$E$501=T197)),1),""))</f>
        <v/>
      </c>
      <c r="V197" s="30">
        <f>IF(OR(A197&lt;&gt;"每日跟踪",T197="",I197="",I197&lt;=0),"",T197/I197-1)</f>
        <v/>
      </c>
      <c r="W197" s="31">
        <f>IF(A197&lt;&gt;"每日跟踪","",IF(OR(I197="",S197=""),"",IF(I197&lt;=S197,"触发止损：应全部卖出","继续观察")))</f>
        <v/>
      </c>
      <c r="X197" s="28" t="n"/>
      <c r="Y197" s="43" t="n"/>
      <c r="Z197" s="26">
        <f>IF(X197&lt;&gt;"执行卖出","",IFERROR(LOOKUP(2,1/(单次交易!$A$2:$A$201=B197),单次交易!$AP$2:$AP$201),""))</f>
        <v/>
      </c>
      <c r="AA197" s="43" t="n"/>
      <c r="AB197" s="31">
        <f>IF(A197&lt;&gt;"每日跟踪","",IF(OR(B197="",H197="",I197="",J197="",K197="",L197="",M197=""),"待补充每日记录",IF(W197="触发止损：应全部卖出",IF(X197&lt;&gt;"执行卖出","违规：触发止损但未执行",IF(Y197="","待补充实际卖出价","卖出记录完整")),IF(X197="","待选择卖出动作",IF(X197="执行卖出",IF(Y197="","待补充实际卖出价","卖出记录完整"),"正常")))))</f>
        <v/>
      </c>
      <c r="AC197" s="31">
        <f>IF(A197="","",IF(A197="止损计划",IF(OR(B197="",D197="",E197="",F197="",G197=""),"计划不完整",IF(OR(D197&lt;1,D197&lt;&gt;INT(D197)),"阶段序号无效",IF(COUNTIFS($A$2:$A$501,"止损计划",$B$2:$B$501,B197,$D$2:$D$501,D197)&gt;1,"阶段序号重复",IF(E197&lt;=IFERROR(LOOKUP(2,1/('单次交易'!$A$2:$A$201=B197),'单次交易'!$E$2:$E$201),0),"激活价须高于买入价",IF(F197&lt;N197,"止损价不得低于初始止损",IF(F197&gt;E197,"止损价不得高于激活价",IF(AND(COUNTIFS($A$2:$A$501,"止损计划",$B$2:$B$501,B197,$D$2:$D$501,"&lt;"&amp;D197)&gt;0,OR(E197&lt;=AGGREGATE(14,6,$E$2:$E$501/(($A$2:$A$501="止损计划")*($B$2:$B$501=B197)*($D$2:$D$501&lt;D197)),1),F197&lt;AGGREGATE(14,6,$F$2:$F$501/(($A$2:$A$501="止损计划")*($B$2:$B$501=B197)*($D$2:$D$501&lt;D197)),1))),"阶段价格必须逐级提高","计划有效"))))))),IF(A197="每日跟踪",IF(OR(B197="",H197="",I197="",J197=""),"每日数据不完整",IF(COUNTIFS($A$2:$A$501,"每日跟踪",$B$2:$B$501,B197,$H$2:$H$501,H197)&gt;1,"同一交易日期重复",IF(AND(R197&lt;&gt;"",R197&lt;S197),"人工止损无效：不能下调","跟踪有效"))),"记录类型无效")))</f>
        <v/>
      </c>
    </row>
    <row r="198">
      <c r="A198" s="28" t="n"/>
      <c r="B198" s="28" t="n"/>
      <c r="C198" s="31">
        <f>IF(B198="","",IFERROR(LOOKUP(2,1/(单次交易!$A$2:$A$201=B198),单次交易!$B$2:$B$201),""))</f>
        <v/>
      </c>
      <c r="D198" s="27" t="n"/>
      <c r="E198" s="43" t="n"/>
      <c r="F198" s="43" t="n"/>
      <c r="G198" s="28" t="n"/>
      <c r="H198" s="49" t="n"/>
      <c r="I198" s="43" t="n"/>
      <c r="J198" s="27" t="n"/>
      <c r="K198" s="28" t="n"/>
      <c r="L198" s="28" t="n"/>
      <c r="M198" s="28" t="n"/>
      <c r="N198" s="44">
        <f>IF(B198="","",IFERROR(LOOKUP(2,1/(单次交易!$A$2:$A$201=B198),单次交易!$N$2:$N$201),""))</f>
        <v/>
      </c>
      <c r="O198" s="44">
        <f>IF(A198&lt;&gt;"每日跟踪","",IF(OR(B198="",H198="",I198=""),"",IFERROR(AGGREGATE(14,6,$I$2:$I$501/(($A$2:$A$501="每日跟踪")*($B$2:$B$501=B198)*($H$2:$H$501&lt;=H198)),1),"")))</f>
        <v/>
      </c>
      <c r="P198" s="26">
        <f>IF(A198&lt;&gt;"每日跟踪","",IF(O198="","",IFERROR(AGGREGATE(14,6,$D$2:$D$501/(($A$2:$A$501="止损计划")*($B$2:$B$501=B198)*($E$2:$E$501&lt;=O198)),1),0)))</f>
        <v/>
      </c>
      <c r="Q198" s="44">
        <f>IF(A198&lt;&gt;"每日跟踪","",IF(N198="","",MAX(N198,IFERROR(AGGREGATE(14,6,$F$2:$F$501/(($A$2:$A$501="止损计划")*($B$2:$B$501=B198)*($E$2:$E$501&lt;=O198)),1),0))))</f>
        <v/>
      </c>
      <c r="R198" s="43" t="n"/>
      <c r="S198" s="44">
        <f>IF(A198&lt;&gt;"每日跟踪","",IF(Q198="","",MAX(Q198,IFERROR(AGGREGATE(14,6,$R$2:$R$501/(($A$2:$A$501="每日跟踪")*($B$2:$B$501=B198)*($H$2:$H$501&lt;=H198)),1),0))))</f>
        <v/>
      </c>
      <c r="T198" s="44">
        <f>IF(A198&lt;&gt;"每日跟踪","",IF(O198="","",IF(COUNTIFS($A$2:$A$501,"止损计划",$B$2:$B$501,B198,$E$2:$E$501,"&gt;"&amp;O198)=0,"",AGGREGATE(15,6,$E$2:$E$501/(($A$2:$A$501="止损计划")*($B$2:$B$501=B198)*($E$2:$E$501&gt;O198)),1))))</f>
        <v/>
      </c>
      <c r="U198" s="44">
        <f>IF(OR(A198&lt;&gt;"每日跟踪",T198=""),"",IFERROR(AGGREGATE(14,6,$F$2:$F$501/(($A$2:$A$501="止损计划")*($B$2:$B$501=B198)*($E$2:$E$501=T198)),1),""))</f>
        <v/>
      </c>
      <c r="V198" s="30">
        <f>IF(OR(A198&lt;&gt;"每日跟踪",T198="",I198="",I198&lt;=0),"",T198/I198-1)</f>
        <v/>
      </c>
      <c r="W198" s="31">
        <f>IF(A198&lt;&gt;"每日跟踪","",IF(OR(I198="",S198=""),"",IF(I198&lt;=S198,"触发止损：应全部卖出","继续观察")))</f>
        <v/>
      </c>
      <c r="X198" s="28" t="n"/>
      <c r="Y198" s="43" t="n"/>
      <c r="Z198" s="26">
        <f>IF(X198&lt;&gt;"执行卖出","",IFERROR(LOOKUP(2,1/(单次交易!$A$2:$A$201=B198),单次交易!$AP$2:$AP$201),""))</f>
        <v/>
      </c>
      <c r="AA198" s="43" t="n"/>
      <c r="AB198" s="31">
        <f>IF(A198&lt;&gt;"每日跟踪","",IF(OR(B198="",H198="",I198="",J198="",K198="",L198="",M198=""),"待补充每日记录",IF(W198="触发止损：应全部卖出",IF(X198&lt;&gt;"执行卖出","违规：触发止损但未执行",IF(Y198="","待补充实际卖出价","卖出记录完整")),IF(X198="","待选择卖出动作",IF(X198="执行卖出",IF(Y198="","待补充实际卖出价","卖出记录完整"),"正常")))))</f>
        <v/>
      </c>
      <c r="AC198" s="31">
        <f>IF(A198="","",IF(A198="止损计划",IF(OR(B198="",D198="",E198="",F198="",G198=""),"计划不完整",IF(OR(D198&lt;1,D198&lt;&gt;INT(D198)),"阶段序号无效",IF(COUNTIFS($A$2:$A$501,"止损计划",$B$2:$B$501,B198,$D$2:$D$501,D198)&gt;1,"阶段序号重复",IF(E198&lt;=IFERROR(LOOKUP(2,1/('单次交易'!$A$2:$A$201=B198),'单次交易'!$E$2:$E$201),0),"激活价须高于买入价",IF(F198&lt;N198,"止损价不得低于初始止损",IF(F198&gt;E198,"止损价不得高于激活价",IF(AND(COUNTIFS($A$2:$A$501,"止损计划",$B$2:$B$501,B198,$D$2:$D$501,"&lt;"&amp;D198)&gt;0,OR(E198&lt;=AGGREGATE(14,6,$E$2:$E$501/(($A$2:$A$501="止损计划")*($B$2:$B$501=B198)*($D$2:$D$501&lt;D198)),1),F198&lt;AGGREGATE(14,6,$F$2:$F$501/(($A$2:$A$501="止损计划")*($B$2:$B$501=B198)*($D$2:$D$501&lt;D198)),1))),"阶段价格必须逐级提高","计划有效"))))))),IF(A198="每日跟踪",IF(OR(B198="",H198="",I198="",J198=""),"每日数据不完整",IF(COUNTIFS($A$2:$A$501,"每日跟踪",$B$2:$B$501,B198,$H$2:$H$501,H198)&gt;1,"同一交易日期重复",IF(AND(R198&lt;&gt;"",R198&lt;S198),"人工止损无效：不能下调","跟踪有效"))),"记录类型无效")))</f>
        <v/>
      </c>
    </row>
    <row r="199">
      <c r="A199" s="28" t="n"/>
      <c r="B199" s="28" t="n"/>
      <c r="C199" s="31">
        <f>IF(B199="","",IFERROR(LOOKUP(2,1/(单次交易!$A$2:$A$201=B199),单次交易!$B$2:$B$201),""))</f>
        <v/>
      </c>
      <c r="D199" s="27" t="n"/>
      <c r="E199" s="43" t="n"/>
      <c r="F199" s="43" t="n"/>
      <c r="G199" s="28" t="n"/>
      <c r="H199" s="49" t="n"/>
      <c r="I199" s="43" t="n"/>
      <c r="J199" s="27" t="n"/>
      <c r="K199" s="28" t="n"/>
      <c r="L199" s="28" t="n"/>
      <c r="M199" s="28" t="n"/>
      <c r="N199" s="44">
        <f>IF(B199="","",IFERROR(LOOKUP(2,1/(单次交易!$A$2:$A$201=B199),单次交易!$N$2:$N$201),""))</f>
        <v/>
      </c>
      <c r="O199" s="44">
        <f>IF(A199&lt;&gt;"每日跟踪","",IF(OR(B199="",H199="",I199=""),"",IFERROR(AGGREGATE(14,6,$I$2:$I$501/(($A$2:$A$501="每日跟踪")*($B$2:$B$501=B199)*($H$2:$H$501&lt;=H199)),1),"")))</f>
        <v/>
      </c>
      <c r="P199" s="26">
        <f>IF(A199&lt;&gt;"每日跟踪","",IF(O199="","",IFERROR(AGGREGATE(14,6,$D$2:$D$501/(($A$2:$A$501="止损计划")*($B$2:$B$501=B199)*($E$2:$E$501&lt;=O199)),1),0)))</f>
        <v/>
      </c>
      <c r="Q199" s="44">
        <f>IF(A199&lt;&gt;"每日跟踪","",IF(N199="","",MAX(N199,IFERROR(AGGREGATE(14,6,$F$2:$F$501/(($A$2:$A$501="止损计划")*($B$2:$B$501=B199)*($E$2:$E$501&lt;=O199)),1),0))))</f>
        <v/>
      </c>
      <c r="R199" s="43" t="n"/>
      <c r="S199" s="44">
        <f>IF(A199&lt;&gt;"每日跟踪","",IF(Q199="","",MAX(Q199,IFERROR(AGGREGATE(14,6,$R$2:$R$501/(($A$2:$A$501="每日跟踪")*($B$2:$B$501=B199)*($H$2:$H$501&lt;=H199)),1),0))))</f>
        <v/>
      </c>
      <c r="T199" s="44">
        <f>IF(A199&lt;&gt;"每日跟踪","",IF(O199="","",IF(COUNTIFS($A$2:$A$501,"止损计划",$B$2:$B$501,B199,$E$2:$E$501,"&gt;"&amp;O199)=0,"",AGGREGATE(15,6,$E$2:$E$501/(($A$2:$A$501="止损计划")*($B$2:$B$501=B199)*($E$2:$E$501&gt;O199)),1))))</f>
        <v/>
      </c>
      <c r="U199" s="44">
        <f>IF(OR(A199&lt;&gt;"每日跟踪",T199=""),"",IFERROR(AGGREGATE(14,6,$F$2:$F$501/(($A$2:$A$501="止损计划")*($B$2:$B$501=B199)*($E$2:$E$501=T199)),1),""))</f>
        <v/>
      </c>
      <c r="V199" s="30">
        <f>IF(OR(A199&lt;&gt;"每日跟踪",T199="",I199="",I199&lt;=0),"",T199/I199-1)</f>
        <v/>
      </c>
      <c r="W199" s="31">
        <f>IF(A199&lt;&gt;"每日跟踪","",IF(OR(I199="",S199=""),"",IF(I199&lt;=S199,"触发止损：应全部卖出","继续观察")))</f>
        <v/>
      </c>
      <c r="X199" s="28" t="n"/>
      <c r="Y199" s="43" t="n"/>
      <c r="Z199" s="26">
        <f>IF(X199&lt;&gt;"执行卖出","",IFERROR(LOOKUP(2,1/(单次交易!$A$2:$A$201=B199),单次交易!$AP$2:$AP$201),""))</f>
        <v/>
      </c>
      <c r="AA199" s="43" t="n"/>
      <c r="AB199" s="31">
        <f>IF(A199&lt;&gt;"每日跟踪","",IF(OR(B199="",H199="",I199="",J199="",K199="",L199="",M199=""),"待补充每日记录",IF(W199="触发止损：应全部卖出",IF(X199&lt;&gt;"执行卖出","违规：触发止损但未执行",IF(Y199="","待补充实际卖出价","卖出记录完整")),IF(X199="","待选择卖出动作",IF(X199="执行卖出",IF(Y199="","待补充实际卖出价","卖出记录完整"),"正常")))))</f>
        <v/>
      </c>
      <c r="AC199" s="31">
        <f>IF(A199="","",IF(A199="止损计划",IF(OR(B199="",D199="",E199="",F199="",G199=""),"计划不完整",IF(OR(D199&lt;1,D199&lt;&gt;INT(D199)),"阶段序号无效",IF(COUNTIFS($A$2:$A$501,"止损计划",$B$2:$B$501,B199,$D$2:$D$501,D199)&gt;1,"阶段序号重复",IF(E199&lt;=IFERROR(LOOKUP(2,1/('单次交易'!$A$2:$A$201=B199),'单次交易'!$E$2:$E$201),0),"激活价须高于买入价",IF(F199&lt;N199,"止损价不得低于初始止损",IF(F199&gt;E199,"止损价不得高于激活价",IF(AND(COUNTIFS($A$2:$A$501,"止损计划",$B$2:$B$501,B199,$D$2:$D$501,"&lt;"&amp;D199)&gt;0,OR(E199&lt;=AGGREGATE(14,6,$E$2:$E$501/(($A$2:$A$501="止损计划")*($B$2:$B$501=B199)*($D$2:$D$501&lt;D199)),1),F199&lt;AGGREGATE(14,6,$F$2:$F$501/(($A$2:$A$501="止损计划")*($B$2:$B$501=B199)*($D$2:$D$501&lt;D199)),1))),"阶段价格必须逐级提高","计划有效"))))))),IF(A199="每日跟踪",IF(OR(B199="",H199="",I199="",J199=""),"每日数据不完整",IF(COUNTIFS($A$2:$A$501,"每日跟踪",$B$2:$B$501,B199,$H$2:$H$501,H199)&gt;1,"同一交易日期重复",IF(AND(R199&lt;&gt;"",R199&lt;S199),"人工止损无效：不能下调","跟踪有效"))),"记录类型无效")))</f>
        <v/>
      </c>
    </row>
    <row r="200">
      <c r="A200" s="28" t="n"/>
      <c r="B200" s="28" t="n"/>
      <c r="C200" s="31">
        <f>IF(B200="","",IFERROR(LOOKUP(2,1/(单次交易!$A$2:$A$201=B200),单次交易!$B$2:$B$201),""))</f>
        <v/>
      </c>
      <c r="D200" s="27" t="n"/>
      <c r="E200" s="43" t="n"/>
      <c r="F200" s="43" t="n"/>
      <c r="G200" s="28" t="n"/>
      <c r="H200" s="49" t="n"/>
      <c r="I200" s="43" t="n"/>
      <c r="J200" s="27" t="n"/>
      <c r="K200" s="28" t="n"/>
      <c r="L200" s="28" t="n"/>
      <c r="M200" s="28" t="n"/>
      <c r="N200" s="44">
        <f>IF(B200="","",IFERROR(LOOKUP(2,1/(单次交易!$A$2:$A$201=B200),单次交易!$N$2:$N$201),""))</f>
        <v/>
      </c>
      <c r="O200" s="44">
        <f>IF(A200&lt;&gt;"每日跟踪","",IF(OR(B200="",H200="",I200=""),"",IFERROR(AGGREGATE(14,6,$I$2:$I$501/(($A$2:$A$501="每日跟踪")*($B$2:$B$501=B200)*($H$2:$H$501&lt;=H200)),1),"")))</f>
        <v/>
      </c>
      <c r="P200" s="26">
        <f>IF(A200&lt;&gt;"每日跟踪","",IF(O200="","",IFERROR(AGGREGATE(14,6,$D$2:$D$501/(($A$2:$A$501="止损计划")*($B$2:$B$501=B200)*($E$2:$E$501&lt;=O200)),1),0)))</f>
        <v/>
      </c>
      <c r="Q200" s="44">
        <f>IF(A200&lt;&gt;"每日跟踪","",IF(N200="","",MAX(N200,IFERROR(AGGREGATE(14,6,$F$2:$F$501/(($A$2:$A$501="止损计划")*($B$2:$B$501=B200)*($E$2:$E$501&lt;=O200)),1),0))))</f>
        <v/>
      </c>
      <c r="R200" s="43" t="n"/>
      <c r="S200" s="44">
        <f>IF(A200&lt;&gt;"每日跟踪","",IF(Q200="","",MAX(Q200,IFERROR(AGGREGATE(14,6,$R$2:$R$501/(($A$2:$A$501="每日跟踪")*($B$2:$B$501=B200)*($H$2:$H$501&lt;=H200)),1),0))))</f>
        <v/>
      </c>
      <c r="T200" s="44">
        <f>IF(A200&lt;&gt;"每日跟踪","",IF(O200="","",IF(COUNTIFS($A$2:$A$501,"止损计划",$B$2:$B$501,B200,$E$2:$E$501,"&gt;"&amp;O200)=0,"",AGGREGATE(15,6,$E$2:$E$501/(($A$2:$A$501="止损计划")*($B$2:$B$501=B200)*($E$2:$E$501&gt;O200)),1))))</f>
        <v/>
      </c>
      <c r="U200" s="44">
        <f>IF(OR(A200&lt;&gt;"每日跟踪",T200=""),"",IFERROR(AGGREGATE(14,6,$F$2:$F$501/(($A$2:$A$501="止损计划")*($B$2:$B$501=B200)*($E$2:$E$501=T200)),1),""))</f>
        <v/>
      </c>
      <c r="V200" s="30">
        <f>IF(OR(A200&lt;&gt;"每日跟踪",T200="",I200="",I200&lt;=0),"",T200/I200-1)</f>
        <v/>
      </c>
      <c r="W200" s="31">
        <f>IF(A200&lt;&gt;"每日跟踪","",IF(OR(I200="",S200=""),"",IF(I200&lt;=S200,"触发止损：应全部卖出","继续观察")))</f>
        <v/>
      </c>
      <c r="X200" s="28" t="n"/>
      <c r="Y200" s="43" t="n"/>
      <c r="Z200" s="26">
        <f>IF(X200&lt;&gt;"执行卖出","",IFERROR(LOOKUP(2,1/(单次交易!$A$2:$A$201=B200),单次交易!$AP$2:$AP$201),""))</f>
        <v/>
      </c>
      <c r="AA200" s="43" t="n"/>
      <c r="AB200" s="31">
        <f>IF(A200&lt;&gt;"每日跟踪","",IF(OR(B200="",H200="",I200="",J200="",K200="",L200="",M200=""),"待补充每日记录",IF(W200="触发止损：应全部卖出",IF(X200&lt;&gt;"执行卖出","违规：触发止损但未执行",IF(Y200="","待补充实际卖出价","卖出记录完整")),IF(X200="","待选择卖出动作",IF(X200="执行卖出",IF(Y200="","待补充实际卖出价","卖出记录完整"),"正常")))))</f>
        <v/>
      </c>
      <c r="AC200" s="31">
        <f>IF(A200="","",IF(A200="止损计划",IF(OR(B200="",D200="",E200="",F200="",G200=""),"计划不完整",IF(OR(D200&lt;1,D200&lt;&gt;INT(D200)),"阶段序号无效",IF(COUNTIFS($A$2:$A$501,"止损计划",$B$2:$B$501,B200,$D$2:$D$501,D200)&gt;1,"阶段序号重复",IF(E200&lt;=IFERROR(LOOKUP(2,1/('单次交易'!$A$2:$A$201=B200),'单次交易'!$E$2:$E$201),0),"激活价须高于买入价",IF(F200&lt;N200,"止损价不得低于初始止损",IF(F200&gt;E200,"止损价不得高于激活价",IF(AND(COUNTIFS($A$2:$A$501,"止损计划",$B$2:$B$501,B200,$D$2:$D$501,"&lt;"&amp;D200)&gt;0,OR(E200&lt;=AGGREGATE(14,6,$E$2:$E$501/(($A$2:$A$501="止损计划")*($B$2:$B$501=B200)*($D$2:$D$501&lt;D200)),1),F200&lt;AGGREGATE(14,6,$F$2:$F$501/(($A$2:$A$501="止损计划")*($B$2:$B$501=B200)*($D$2:$D$501&lt;D200)),1))),"阶段价格必须逐级提高","计划有效"))))))),IF(A200="每日跟踪",IF(OR(B200="",H200="",I200="",J200=""),"每日数据不完整",IF(COUNTIFS($A$2:$A$501,"每日跟踪",$B$2:$B$501,B200,$H$2:$H$501,H200)&gt;1,"同一交易日期重复",IF(AND(R200&lt;&gt;"",R200&lt;S200),"人工止损无效：不能下调","跟踪有效"))),"记录类型无效")))</f>
        <v/>
      </c>
    </row>
    <row r="201">
      <c r="A201" s="28" t="n"/>
      <c r="B201" s="28" t="n"/>
      <c r="C201" s="31">
        <f>IF(B201="","",IFERROR(LOOKUP(2,1/(单次交易!$A$2:$A$201=B201),单次交易!$B$2:$B$201),""))</f>
        <v/>
      </c>
      <c r="D201" s="27" t="n"/>
      <c r="E201" s="43" t="n"/>
      <c r="F201" s="43" t="n"/>
      <c r="G201" s="28" t="n"/>
      <c r="H201" s="49" t="n"/>
      <c r="I201" s="43" t="n"/>
      <c r="J201" s="27" t="n"/>
      <c r="K201" s="28" t="n"/>
      <c r="L201" s="28" t="n"/>
      <c r="M201" s="28" t="n"/>
      <c r="N201" s="44">
        <f>IF(B201="","",IFERROR(LOOKUP(2,1/(单次交易!$A$2:$A$201=B201),单次交易!$N$2:$N$201),""))</f>
        <v/>
      </c>
      <c r="O201" s="44">
        <f>IF(A201&lt;&gt;"每日跟踪","",IF(OR(B201="",H201="",I201=""),"",IFERROR(AGGREGATE(14,6,$I$2:$I$501/(($A$2:$A$501="每日跟踪")*($B$2:$B$501=B201)*($H$2:$H$501&lt;=H201)),1),"")))</f>
        <v/>
      </c>
      <c r="P201" s="26">
        <f>IF(A201&lt;&gt;"每日跟踪","",IF(O201="","",IFERROR(AGGREGATE(14,6,$D$2:$D$501/(($A$2:$A$501="止损计划")*($B$2:$B$501=B201)*($E$2:$E$501&lt;=O201)),1),0)))</f>
        <v/>
      </c>
      <c r="Q201" s="44">
        <f>IF(A201&lt;&gt;"每日跟踪","",IF(N201="","",MAX(N201,IFERROR(AGGREGATE(14,6,$F$2:$F$501/(($A$2:$A$501="止损计划")*($B$2:$B$501=B201)*($E$2:$E$501&lt;=O201)),1),0))))</f>
        <v/>
      </c>
      <c r="R201" s="43" t="n"/>
      <c r="S201" s="44">
        <f>IF(A201&lt;&gt;"每日跟踪","",IF(Q201="","",MAX(Q201,IFERROR(AGGREGATE(14,6,$R$2:$R$501/(($A$2:$A$501="每日跟踪")*($B$2:$B$501=B201)*($H$2:$H$501&lt;=H201)),1),0))))</f>
        <v/>
      </c>
      <c r="T201" s="44">
        <f>IF(A201&lt;&gt;"每日跟踪","",IF(O201="","",IF(COUNTIFS($A$2:$A$501,"止损计划",$B$2:$B$501,B201,$E$2:$E$501,"&gt;"&amp;O201)=0,"",AGGREGATE(15,6,$E$2:$E$501/(($A$2:$A$501="止损计划")*($B$2:$B$501=B201)*($E$2:$E$501&gt;O201)),1))))</f>
        <v/>
      </c>
      <c r="U201" s="44">
        <f>IF(OR(A201&lt;&gt;"每日跟踪",T201=""),"",IFERROR(AGGREGATE(14,6,$F$2:$F$501/(($A$2:$A$501="止损计划")*($B$2:$B$501=B201)*($E$2:$E$501=T201)),1),""))</f>
        <v/>
      </c>
      <c r="V201" s="30">
        <f>IF(OR(A201&lt;&gt;"每日跟踪",T201="",I201="",I201&lt;=0),"",T201/I201-1)</f>
        <v/>
      </c>
      <c r="W201" s="31">
        <f>IF(A201&lt;&gt;"每日跟踪","",IF(OR(I201="",S201=""),"",IF(I201&lt;=S201,"触发止损：应全部卖出","继续观察")))</f>
        <v/>
      </c>
      <c r="X201" s="28" t="n"/>
      <c r="Y201" s="43" t="n"/>
      <c r="Z201" s="26">
        <f>IF(X201&lt;&gt;"执行卖出","",IFERROR(LOOKUP(2,1/(单次交易!$A$2:$A$201=B201),单次交易!$AP$2:$AP$201),""))</f>
        <v/>
      </c>
      <c r="AA201" s="43" t="n"/>
      <c r="AB201" s="31">
        <f>IF(A201&lt;&gt;"每日跟踪","",IF(OR(B201="",H201="",I201="",J201="",K201="",L201="",M201=""),"待补充每日记录",IF(W201="触发止损：应全部卖出",IF(X201&lt;&gt;"执行卖出","违规：触发止损但未执行",IF(Y201="","待补充实际卖出价","卖出记录完整")),IF(X201="","待选择卖出动作",IF(X201="执行卖出",IF(Y201="","待补充实际卖出价","卖出记录完整"),"正常")))))</f>
        <v/>
      </c>
      <c r="AC201" s="31">
        <f>IF(A201="","",IF(A201="止损计划",IF(OR(B201="",D201="",E201="",F201="",G201=""),"计划不完整",IF(OR(D201&lt;1,D201&lt;&gt;INT(D201)),"阶段序号无效",IF(COUNTIFS($A$2:$A$501,"止损计划",$B$2:$B$501,B201,$D$2:$D$501,D201)&gt;1,"阶段序号重复",IF(E201&lt;=IFERROR(LOOKUP(2,1/('单次交易'!$A$2:$A$201=B201),'单次交易'!$E$2:$E$201),0),"激活价须高于买入价",IF(F201&lt;N201,"止损价不得低于初始止损",IF(F201&gt;E201,"止损价不得高于激活价",IF(AND(COUNTIFS($A$2:$A$501,"止损计划",$B$2:$B$501,B201,$D$2:$D$501,"&lt;"&amp;D201)&gt;0,OR(E201&lt;=AGGREGATE(14,6,$E$2:$E$501/(($A$2:$A$501="止损计划")*($B$2:$B$501=B201)*($D$2:$D$501&lt;D201)),1),F201&lt;AGGREGATE(14,6,$F$2:$F$501/(($A$2:$A$501="止损计划")*($B$2:$B$501=B201)*($D$2:$D$501&lt;D201)),1))),"阶段价格必须逐级提高","计划有效"))))))),IF(A201="每日跟踪",IF(OR(B201="",H201="",I201="",J201=""),"每日数据不完整",IF(COUNTIFS($A$2:$A$501,"每日跟踪",$B$2:$B$501,B201,$H$2:$H$501,H201)&gt;1,"同一交易日期重复",IF(AND(R201&lt;&gt;"",R201&lt;S201),"人工止损无效：不能下调","跟踪有效"))),"记录类型无效")))</f>
        <v/>
      </c>
    </row>
    <row r="202">
      <c r="A202" s="28" t="n"/>
      <c r="B202" s="28" t="n"/>
      <c r="C202" s="31">
        <f>IF(B202="","",IFERROR(LOOKUP(2,1/(单次交易!$A$2:$A$201=B202),单次交易!$B$2:$B$201),""))</f>
        <v/>
      </c>
      <c r="D202" s="27" t="n"/>
      <c r="E202" s="43" t="n"/>
      <c r="F202" s="43" t="n"/>
      <c r="G202" s="28" t="n"/>
      <c r="H202" s="49" t="n"/>
      <c r="I202" s="43" t="n"/>
      <c r="J202" s="27" t="n"/>
      <c r="K202" s="28" t="n"/>
      <c r="L202" s="28" t="n"/>
      <c r="M202" s="28" t="n"/>
      <c r="N202" s="44">
        <f>IF(B202="","",IFERROR(LOOKUP(2,1/(单次交易!$A$2:$A$201=B202),单次交易!$N$2:$N$201),""))</f>
        <v/>
      </c>
      <c r="O202" s="44">
        <f>IF(A202&lt;&gt;"每日跟踪","",IF(OR(B202="",H202="",I202=""),"",IFERROR(AGGREGATE(14,6,$I$2:$I$501/(($A$2:$A$501="每日跟踪")*($B$2:$B$501=B202)*($H$2:$H$501&lt;=H202)),1),"")))</f>
        <v/>
      </c>
      <c r="P202" s="26">
        <f>IF(A202&lt;&gt;"每日跟踪","",IF(O202="","",IFERROR(AGGREGATE(14,6,$D$2:$D$501/(($A$2:$A$501="止损计划")*($B$2:$B$501=B202)*($E$2:$E$501&lt;=O202)),1),0)))</f>
        <v/>
      </c>
      <c r="Q202" s="44">
        <f>IF(A202&lt;&gt;"每日跟踪","",IF(N202="","",MAX(N202,IFERROR(AGGREGATE(14,6,$F$2:$F$501/(($A$2:$A$501="止损计划")*($B$2:$B$501=B202)*($E$2:$E$501&lt;=O202)),1),0))))</f>
        <v/>
      </c>
      <c r="R202" s="43" t="n"/>
      <c r="S202" s="44">
        <f>IF(A202&lt;&gt;"每日跟踪","",IF(Q202="","",MAX(Q202,IFERROR(AGGREGATE(14,6,$R$2:$R$501/(($A$2:$A$501="每日跟踪")*($B$2:$B$501=B202)*($H$2:$H$501&lt;=H202)),1),0))))</f>
        <v/>
      </c>
      <c r="T202" s="44">
        <f>IF(A202&lt;&gt;"每日跟踪","",IF(O202="","",IF(COUNTIFS($A$2:$A$501,"止损计划",$B$2:$B$501,B202,$E$2:$E$501,"&gt;"&amp;O202)=0,"",AGGREGATE(15,6,$E$2:$E$501/(($A$2:$A$501="止损计划")*($B$2:$B$501=B202)*($E$2:$E$501&gt;O202)),1))))</f>
        <v/>
      </c>
      <c r="U202" s="44">
        <f>IF(OR(A202&lt;&gt;"每日跟踪",T202=""),"",IFERROR(AGGREGATE(14,6,$F$2:$F$501/(($A$2:$A$501="止损计划")*($B$2:$B$501=B202)*($E$2:$E$501=T202)),1),""))</f>
        <v/>
      </c>
      <c r="V202" s="30">
        <f>IF(OR(A202&lt;&gt;"每日跟踪",T202="",I202="",I202&lt;=0),"",T202/I202-1)</f>
        <v/>
      </c>
      <c r="W202" s="31">
        <f>IF(A202&lt;&gt;"每日跟踪","",IF(OR(I202="",S202=""),"",IF(I202&lt;=S202,"触发止损：应全部卖出","继续观察")))</f>
        <v/>
      </c>
      <c r="X202" s="28" t="n"/>
      <c r="Y202" s="43" t="n"/>
      <c r="Z202" s="26">
        <f>IF(X202&lt;&gt;"执行卖出","",IFERROR(LOOKUP(2,1/(单次交易!$A$2:$A$201=B202),单次交易!$AP$2:$AP$201),""))</f>
        <v/>
      </c>
      <c r="AA202" s="43" t="n"/>
      <c r="AB202" s="31">
        <f>IF(A202&lt;&gt;"每日跟踪","",IF(OR(B202="",H202="",I202="",J202="",K202="",L202="",M202=""),"待补充每日记录",IF(W202="触发止损：应全部卖出",IF(X202&lt;&gt;"执行卖出","违规：触发止损但未执行",IF(Y202="","待补充实际卖出价","卖出记录完整")),IF(X202="","待选择卖出动作",IF(X202="执行卖出",IF(Y202="","待补充实际卖出价","卖出记录完整"),"正常")))))</f>
        <v/>
      </c>
      <c r="AC202" s="31">
        <f>IF(A202="","",IF(A202="止损计划",IF(OR(B202="",D202="",E202="",F202="",G202=""),"计划不完整",IF(OR(D202&lt;1,D202&lt;&gt;INT(D202)),"阶段序号无效",IF(COUNTIFS($A$2:$A$501,"止损计划",$B$2:$B$501,B202,$D$2:$D$501,D202)&gt;1,"阶段序号重复",IF(E202&lt;=IFERROR(LOOKUP(2,1/('单次交易'!$A$2:$A$201=B202),'单次交易'!$E$2:$E$201),0),"激活价须高于买入价",IF(F202&lt;N202,"止损价不得低于初始止损",IF(F202&gt;E202,"止损价不得高于激活价",IF(AND(COUNTIFS($A$2:$A$501,"止损计划",$B$2:$B$501,B202,$D$2:$D$501,"&lt;"&amp;D202)&gt;0,OR(E202&lt;=AGGREGATE(14,6,$E$2:$E$501/(($A$2:$A$501="止损计划")*($B$2:$B$501=B202)*($D$2:$D$501&lt;D202)),1),F202&lt;AGGREGATE(14,6,$F$2:$F$501/(($A$2:$A$501="止损计划")*($B$2:$B$501=B202)*($D$2:$D$501&lt;D202)),1))),"阶段价格必须逐级提高","计划有效"))))))),IF(A202="每日跟踪",IF(OR(B202="",H202="",I202="",J202=""),"每日数据不完整",IF(COUNTIFS($A$2:$A$501,"每日跟踪",$B$2:$B$501,B202,$H$2:$H$501,H202)&gt;1,"同一交易日期重复",IF(AND(R202&lt;&gt;"",R202&lt;S202),"人工止损无效：不能下调","跟踪有效"))),"记录类型无效")))</f>
        <v/>
      </c>
    </row>
    <row r="203">
      <c r="A203" s="28" t="n"/>
      <c r="B203" s="28" t="n"/>
      <c r="C203" s="31">
        <f>IF(B203="","",IFERROR(LOOKUP(2,1/(单次交易!$A$2:$A$201=B203),单次交易!$B$2:$B$201),""))</f>
        <v/>
      </c>
      <c r="D203" s="27" t="n"/>
      <c r="E203" s="43" t="n"/>
      <c r="F203" s="43" t="n"/>
      <c r="G203" s="28" t="n"/>
      <c r="H203" s="49" t="n"/>
      <c r="I203" s="43" t="n"/>
      <c r="J203" s="27" t="n"/>
      <c r="K203" s="28" t="n"/>
      <c r="L203" s="28" t="n"/>
      <c r="M203" s="28" t="n"/>
      <c r="N203" s="44">
        <f>IF(B203="","",IFERROR(LOOKUP(2,1/(单次交易!$A$2:$A$201=B203),单次交易!$N$2:$N$201),""))</f>
        <v/>
      </c>
      <c r="O203" s="44">
        <f>IF(A203&lt;&gt;"每日跟踪","",IF(OR(B203="",H203="",I203=""),"",IFERROR(AGGREGATE(14,6,$I$2:$I$501/(($A$2:$A$501="每日跟踪")*($B$2:$B$501=B203)*($H$2:$H$501&lt;=H203)),1),"")))</f>
        <v/>
      </c>
      <c r="P203" s="26">
        <f>IF(A203&lt;&gt;"每日跟踪","",IF(O203="","",IFERROR(AGGREGATE(14,6,$D$2:$D$501/(($A$2:$A$501="止损计划")*($B$2:$B$501=B203)*($E$2:$E$501&lt;=O203)),1),0)))</f>
        <v/>
      </c>
      <c r="Q203" s="44">
        <f>IF(A203&lt;&gt;"每日跟踪","",IF(N203="","",MAX(N203,IFERROR(AGGREGATE(14,6,$F$2:$F$501/(($A$2:$A$501="止损计划")*($B$2:$B$501=B203)*($E$2:$E$501&lt;=O203)),1),0))))</f>
        <v/>
      </c>
      <c r="R203" s="43" t="n"/>
      <c r="S203" s="44">
        <f>IF(A203&lt;&gt;"每日跟踪","",IF(Q203="","",MAX(Q203,IFERROR(AGGREGATE(14,6,$R$2:$R$501/(($A$2:$A$501="每日跟踪")*($B$2:$B$501=B203)*($H$2:$H$501&lt;=H203)),1),0))))</f>
        <v/>
      </c>
      <c r="T203" s="44">
        <f>IF(A203&lt;&gt;"每日跟踪","",IF(O203="","",IF(COUNTIFS($A$2:$A$501,"止损计划",$B$2:$B$501,B203,$E$2:$E$501,"&gt;"&amp;O203)=0,"",AGGREGATE(15,6,$E$2:$E$501/(($A$2:$A$501="止损计划")*($B$2:$B$501=B203)*($E$2:$E$501&gt;O203)),1))))</f>
        <v/>
      </c>
      <c r="U203" s="44">
        <f>IF(OR(A203&lt;&gt;"每日跟踪",T203=""),"",IFERROR(AGGREGATE(14,6,$F$2:$F$501/(($A$2:$A$501="止损计划")*($B$2:$B$501=B203)*($E$2:$E$501=T203)),1),""))</f>
        <v/>
      </c>
      <c r="V203" s="30">
        <f>IF(OR(A203&lt;&gt;"每日跟踪",T203="",I203="",I203&lt;=0),"",T203/I203-1)</f>
        <v/>
      </c>
      <c r="W203" s="31">
        <f>IF(A203&lt;&gt;"每日跟踪","",IF(OR(I203="",S203=""),"",IF(I203&lt;=S203,"触发止损：应全部卖出","继续观察")))</f>
        <v/>
      </c>
      <c r="X203" s="28" t="n"/>
      <c r="Y203" s="43" t="n"/>
      <c r="Z203" s="26">
        <f>IF(X203&lt;&gt;"执行卖出","",IFERROR(LOOKUP(2,1/(单次交易!$A$2:$A$201=B203),单次交易!$AP$2:$AP$201),""))</f>
        <v/>
      </c>
      <c r="AA203" s="43" t="n"/>
      <c r="AB203" s="31">
        <f>IF(A203&lt;&gt;"每日跟踪","",IF(OR(B203="",H203="",I203="",J203="",K203="",L203="",M203=""),"待补充每日记录",IF(W203="触发止损：应全部卖出",IF(X203&lt;&gt;"执行卖出","违规：触发止损但未执行",IF(Y203="","待补充实际卖出价","卖出记录完整")),IF(X203="","待选择卖出动作",IF(X203="执行卖出",IF(Y203="","待补充实际卖出价","卖出记录完整"),"正常")))))</f>
        <v/>
      </c>
      <c r="AC203" s="31">
        <f>IF(A203="","",IF(A203="止损计划",IF(OR(B203="",D203="",E203="",F203="",G203=""),"计划不完整",IF(OR(D203&lt;1,D203&lt;&gt;INT(D203)),"阶段序号无效",IF(COUNTIFS($A$2:$A$501,"止损计划",$B$2:$B$501,B203,$D$2:$D$501,D203)&gt;1,"阶段序号重复",IF(E203&lt;=IFERROR(LOOKUP(2,1/('单次交易'!$A$2:$A$201=B203),'单次交易'!$E$2:$E$201),0),"激活价须高于买入价",IF(F203&lt;N203,"止损价不得低于初始止损",IF(F203&gt;E203,"止损价不得高于激活价",IF(AND(COUNTIFS($A$2:$A$501,"止损计划",$B$2:$B$501,B203,$D$2:$D$501,"&lt;"&amp;D203)&gt;0,OR(E203&lt;=AGGREGATE(14,6,$E$2:$E$501/(($A$2:$A$501="止损计划")*($B$2:$B$501=B203)*($D$2:$D$501&lt;D203)),1),F203&lt;AGGREGATE(14,6,$F$2:$F$501/(($A$2:$A$501="止损计划")*($B$2:$B$501=B203)*($D$2:$D$501&lt;D203)),1))),"阶段价格必须逐级提高","计划有效"))))))),IF(A203="每日跟踪",IF(OR(B203="",H203="",I203="",J203=""),"每日数据不完整",IF(COUNTIFS($A$2:$A$501,"每日跟踪",$B$2:$B$501,B203,$H$2:$H$501,H203)&gt;1,"同一交易日期重复",IF(AND(R203&lt;&gt;"",R203&lt;S203),"人工止损无效：不能下调","跟踪有效"))),"记录类型无效")))</f>
        <v/>
      </c>
    </row>
    <row r="204">
      <c r="A204" s="28" t="n"/>
      <c r="B204" s="28" t="n"/>
      <c r="C204" s="31">
        <f>IF(B204="","",IFERROR(LOOKUP(2,1/(单次交易!$A$2:$A$201=B204),单次交易!$B$2:$B$201),""))</f>
        <v/>
      </c>
      <c r="D204" s="27" t="n"/>
      <c r="E204" s="43" t="n"/>
      <c r="F204" s="43" t="n"/>
      <c r="G204" s="28" t="n"/>
      <c r="H204" s="49" t="n"/>
      <c r="I204" s="43" t="n"/>
      <c r="J204" s="27" t="n"/>
      <c r="K204" s="28" t="n"/>
      <c r="L204" s="28" t="n"/>
      <c r="M204" s="28" t="n"/>
      <c r="N204" s="44">
        <f>IF(B204="","",IFERROR(LOOKUP(2,1/(单次交易!$A$2:$A$201=B204),单次交易!$N$2:$N$201),""))</f>
        <v/>
      </c>
      <c r="O204" s="44">
        <f>IF(A204&lt;&gt;"每日跟踪","",IF(OR(B204="",H204="",I204=""),"",IFERROR(AGGREGATE(14,6,$I$2:$I$501/(($A$2:$A$501="每日跟踪")*($B$2:$B$501=B204)*($H$2:$H$501&lt;=H204)),1),"")))</f>
        <v/>
      </c>
      <c r="P204" s="26">
        <f>IF(A204&lt;&gt;"每日跟踪","",IF(O204="","",IFERROR(AGGREGATE(14,6,$D$2:$D$501/(($A$2:$A$501="止损计划")*($B$2:$B$501=B204)*($E$2:$E$501&lt;=O204)),1),0)))</f>
        <v/>
      </c>
      <c r="Q204" s="44">
        <f>IF(A204&lt;&gt;"每日跟踪","",IF(N204="","",MAX(N204,IFERROR(AGGREGATE(14,6,$F$2:$F$501/(($A$2:$A$501="止损计划")*($B$2:$B$501=B204)*($E$2:$E$501&lt;=O204)),1),0))))</f>
        <v/>
      </c>
      <c r="R204" s="43" t="n"/>
      <c r="S204" s="44">
        <f>IF(A204&lt;&gt;"每日跟踪","",IF(Q204="","",MAX(Q204,IFERROR(AGGREGATE(14,6,$R$2:$R$501/(($A$2:$A$501="每日跟踪")*($B$2:$B$501=B204)*($H$2:$H$501&lt;=H204)),1),0))))</f>
        <v/>
      </c>
      <c r="T204" s="44">
        <f>IF(A204&lt;&gt;"每日跟踪","",IF(O204="","",IF(COUNTIFS($A$2:$A$501,"止损计划",$B$2:$B$501,B204,$E$2:$E$501,"&gt;"&amp;O204)=0,"",AGGREGATE(15,6,$E$2:$E$501/(($A$2:$A$501="止损计划")*($B$2:$B$501=B204)*($E$2:$E$501&gt;O204)),1))))</f>
        <v/>
      </c>
      <c r="U204" s="44">
        <f>IF(OR(A204&lt;&gt;"每日跟踪",T204=""),"",IFERROR(AGGREGATE(14,6,$F$2:$F$501/(($A$2:$A$501="止损计划")*($B$2:$B$501=B204)*($E$2:$E$501=T204)),1),""))</f>
        <v/>
      </c>
      <c r="V204" s="30">
        <f>IF(OR(A204&lt;&gt;"每日跟踪",T204="",I204="",I204&lt;=0),"",T204/I204-1)</f>
        <v/>
      </c>
      <c r="W204" s="31">
        <f>IF(A204&lt;&gt;"每日跟踪","",IF(OR(I204="",S204=""),"",IF(I204&lt;=S204,"触发止损：应全部卖出","继续观察")))</f>
        <v/>
      </c>
      <c r="X204" s="28" t="n"/>
      <c r="Y204" s="43" t="n"/>
      <c r="Z204" s="26">
        <f>IF(X204&lt;&gt;"执行卖出","",IFERROR(LOOKUP(2,1/(单次交易!$A$2:$A$201=B204),单次交易!$AP$2:$AP$201),""))</f>
        <v/>
      </c>
      <c r="AA204" s="43" t="n"/>
      <c r="AB204" s="31">
        <f>IF(A204&lt;&gt;"每日跟踪","",IF(OR(B204="",H204="",I204="",J204="",K204="",L204="",M204=""),"待补充每日记录",IF(W204="触发止损：应全部卖出",IF(X204&lt;&gt;"执行卖出","违规：触发止损但未执行",IF(Y204="","待补充实际卖出价","卖出记录完整")),IF(X204="","待选择卖出动作",IF(X204="执行卖出",IF(Y204="","待补充实际卖出价","卖出记录完整"),"正常")))))</f>
        <v/>
      </c>
      <c r="AC204" s="31">
        <f>IF(A204="","",IF(A204="止损计划",IF(OR(B204="",D204="",E204="",F204="",G204=""),"计划不完整",IF(OR(D204&lt;1,D204&lt;&gt;INT(D204)),"阶段序号无效",IF(COUNTIFS($A$2:$A$501,"止损计划",$B$2:$B$501,B204,$D$2:$D$501,D204)&gt;1,"阶段序号重复",IF(E204&lt;=IFERROR(LOOKUP(2,1/('单次交易'!$A$2:$A$201=B204),'单次交易'!$E$2:$E$201),0),"激活价须高于买入价",IF(F204&lt;N204,"止损价不得低于初始止损",IF(F204&gt;E204,"止损价不得高于激活价",IF(AND(COUNTIFS($A$2:$A$501,"止损计划",$B$2:$B$501,B204,$D$2:$D$501,"&lt;"&amp;D204)&gt;0,OR(E204&lt;=AGGREGATE(14,6,$E$2:$E$501/(($A$2:$A$501="止损计划")*($B$2:$B$501=B204)*($D$2:$D$501&lt;D204)),1),F204&lt;AGGREGATE(14,6,$F$2:$F$501/(($A$2:$A$501="止损计划")*($B$2:$B$501=B204)*($D$2:$D$501&lt;D204)),1))),"阶段价格必须逐级提高","计划有效"))))))),IF(A204="每日跟踪",IF(OR(B204="",H204="",I204="",J204=""),"每日数据不完整",IF(COUNTIFS($A$2:$A$501,"每日跟踪",$B$2:$B$501,B204,$H$2:$H$501,H204)&gt;1,"同一交易日期重复",IF(AND(R204&lt;&gt;"",R204&lt;S204),"人工止损无效：不能下调","跟踪有效"))),"记录类型无效")))</f>
        <v/>
      </c>
    </row>
    <row r="205">
      <c r="A205" s="28" t="n"/>
      <c r="B205" s="28" t="n"/>
      <c r="C205" s="31">
        <f>IF(B205="","",IFERROR(LOOKUP(2,1/(单次交易!$A$2:$A$201=B205),单次交易!$B$2:$B$201),""))</f>
        <v/>
      </c>
      <c r="D205" s="27" t="n"/>
      <c r="E205" s="43" t="n"/>
      <c r="F205" s="43" t="n"/>
      <c r="G205" s="28" t="n"/>
      <c r="H205" s="49" t="n"/>
      <c r="I205" s="43" t="n"/>
      <c r="J205" s="27" t="n"/>
      <c r="K205" s="28" t="n"/>
      <c r="L205" s="28" t="n"/>
      <c r="M205" s="28" t="n"/>
      <c r="N205" s="44">
        <f>IF(B205="","",IFERROR(LOOKUP(2,1/(单次交易!$A$2:$A$201=B205),单次交易!$N$2:$N$201),""))</f>
        <v/>
      </c>
      <c r="O205" s="44">
        <f>IF(A205&lt;&gt;"每日跟踪","",IF(OR(B205="",H205="",I205=""),"",IFERROR(AGGREGATE(14,6,$I$2:$I$501/(($A$2:$A$501="每日跟踪")*($B$2:$B$501=B205)*($H$2:$H$501&lt;=H205)),1),"")))</f>
        <v/>
      </c>
      <c r="P205" s="26">
        <f>IF(A205&lt;&gt;"每日跟踪","",IF(O205="","",IFERROR(AGGREGATE(14,6,$D$2:$D$501/(($A$2:$A$501="止损计划")*($B$2:$B$501=B205)*($E$2:$E$501&lt;=O205)),1),0)))</f>
        <v/>
      </c>
      <c r="Q205" s="44">
        <f>IF(A205&lt;&gt;"每日跟踪","",IF(N205="","",MAX(N205,IFERROR(AGGREGATE(14,6,$F$2:$F$501/(($A$2:$A$501="止损计划")*($B$2:$B$501=B205)*($E$2:$E$501&lt;=O205)),1),0))))</f>
        <v/>
      </c>
      <c r="R205" s="43" t="n"/>
      <c r="S205" s="44">
        <f>IF(A205&lt;&gt;"每日跟踪","",IF(Q205="","",MAX(Q205,IFERROR(AGGREGATE(14,6,$R$2:$R$501/(($A$2:$A$501="每日跟踪")*($B$2:$B$501=B205)*($H$2:$H$501&lt;=H205)),1),0))))</f>
        <v/>
      </c>
      <c r="T205" s="44">
        <f>IF(A205&lt;&gt;"每日跟踪","",IF(O205="","",IF(COUNTIFS($A$2:$A$501,"止损计划",$B$2:$B$501,B205,$E$2:$E$501,"&gt;"&amp;O205)=0,"",AGGREGATE(15,6,$E$2:$E$501/(($A$2:$A$501="止损计划")*($B$2:$B$501=B205)*($E$2:$E$501&gt;O205)),1))))</f>
        <v/>
      </c>
      <c r="U205" s="44">
        <f>IF(OR(A205&lt;&gt;"每日跟踪",T205=""),"",IFERROR(AGGREGATE(14,6,$F$2:$F$501/(($A$2:$A$501="止损计划")*($B$2:$B$501=B205)*($E$2:$E$501=T205)),1),""))</f>
        <v/>
      </c>
      <c r="V205" s="30">
        <f>IF(OR(A205&lt;&gt;"每日跟踪",T205="",I205="",I205&lt;=0),"",T205/I205-1)</f>
        <v/>
      </c>
      <c r="W205" s="31">
        <f>IF(A205&lt;&gt;"每日跟踪","",IF(OR(I205="",S205=""),"",IF(I205&lt;=S205,"触发止损：应全部卖出","继续观察")))</f>
        <v/>
      </c>
      <c r="X205" s="28" t="n"/>
      <c r="Y205" s="43" t="n"/>
      <c r="Z205" s="26">
        <f>IF(X205&lt;&gt;"执行卖出","",IFERROR(LOOKUP(2,1/(单次交易!$A$2:$A$201=B205),单次交易!$AP$2:$AP$201),""))</f>
        <v/>
      </c>
      <c r="AA205" s="43" t="n"/>
      <c r="AB205" s="31">
        <f>IF(A205&lt;&gt;"每日跟踪","",IF(OR(B205="",H205="",I205="",J205="",K205="",L205="",M205=""),"待补充每日记录",IF(W205="触发止损：应全部卖出",IF(X205&lt;&gt;"执行卖出","违规：触发止损但未执行",IF(Y205="","待补充实际卖出价","卖出记录完整")),IF(X205="","待选择卖出动作",IF(X205="执行卖出",IF(Y205="","待补充实际卖出价","卖出记录完整"),"正常")))))</f>
        <v/>
      </c>
      <c r="AC205" s="31">
        <f>IF(A205="","",IF(A205="止损计划",IF(OR(B205="",D205="",E205="",F205="",G205=""),"计划不完整",IF(OR(D205&lt;1,D205&lt;&gt;INT(D205)),"阶段序号无效",IF(COUNTIFS($A$2:$A$501,"止损计划",$B$2:$B$501,B205,$D$2:$D$501,D205)&gt;1,"阶段序号重复",IF(E205&lt;=IFERROR(LOOKUP(2,1/('单次交易'!$A$2:$A$201=B205),'单次交易'!$E$2:$E$201),0),"激活价须高于买入价",IF(F205&lt;N205,"止损价不得低于初始止损",IF(F205&gt;E205,"止损价不得高于激活价",IF(AND(COUNTIFS($A$2:$A$501,"止损计划",$B$2:$B$501,B205,$D$2:$D$501,"&lt;"&amp;D205)&gt;0,OR(E205&lt;=AGGREGATE(14,6,$E$2:$E$501/(($A$2:$A$501="止损计划")*($B$2:$B$501=B205)*($D$2:$D$501&lt;D205)),1),F205&lt;AGGREGATE(14,6,$F$2:$F$501/(($A$2:$A$501="止损计划")*($B$2:$B$501=B205)*($D$2:$D$501&lt;D205)),1))),"阶段价格必须逐级提高","计划有效"))))))),IF(A205="每日跟踪",IF(OR(B205="",H205="",I205="",J205=""),"每日数据不完整",IF(COUNTIFS($A$2:$A$501,"每日跟踪",$B$2:$B$501,B205,$H$2:$H$501,H205)&gt;1,"同一交易日期重复",IF(AND(R205&lt;&gt;"",R205&lt;S205),"人工止损无效：不能下调","跟踪有效"))),"记录类型无效")))</f>
        <v/>
      </c>
    </row>
    <row r="206">
      <c r="A206" s="28" t="n"/>
      <c r="B206" s="28" t="n"/>
      <c r="C206" s="31">
        <f>IF(B206="","",IFERROR(LOOKUP(2,1/(单次交易!$A$2:$A$201=B206),单次交易!$B$2:$B$201),""))</f>
        <v/>
      </c>
      <c r="D206" s="27" t="n"/>
      <c r="E206" s="43" t="n"/>
      <c r="F206" s="43" t="n"/>
      <c r="G206" s="28" t="n"/>
      <c r="H206" s="49" t="n"/>
      <c r="I206" s="43" t="n"/>
      <c r="J206" s="27" t="n"/>
      <c r="K206" s="28" t="n"/>
      <c r="L206" s="28" t="n"/>
      <c r="M206" s="28" t="n"/>
      <c r="N206" s="44">
        <f>IF(B206="","",IFERROR(LOOKUP(2,1/(单次交易!$A$2:$A$201=B206),单次交易!$N$2:$N$201),""))</f>
        <v/>
      </c>
      <c r="O206" s="44">
        <f>IF(A206&lt;&gt;"每日跟踪","",IF(OR(B206="",H206="",I206=""),"",IFERROR(AGGREGATE(14,6,$I$2:$I$501/(($A$2:$A$501="每日跟踪")*($B$2:$B$501=B206)*($H$2:$H$501&lt;=H206)),1),"")))</f>
        <v/>
      </c>
      <c r="P206" s="26">
        <f>IF(A206&lt;&gt;"每日跟踪","",IF(O206="","",IFERROR(AGGREGATE(14,6,$D$2:$D$501/(($A$2:$A$501="止损计划")*($B$2:$B$501=B206)*($E$2:$E$501&lt;=O206)),1),0)))</f>
        <v/>
      </c>
      <c r="Q206" s="44">
        <f>IF(A206&lt;&gt;"每日跟踪","",IF(N206="","",MAX(N206,IFERROR(AGGREGATE(14,6,$F$2:$F$501/(($A$2:$A$501="止损计划")*($B$2:$B$501=B206)*($E$2:$E$501&lt;=O206)),1),0))))</f>
        <v/>
      </c>
      <c r="R206" s="43" t="n"/>
      <c r="S206" s="44">
        <f>IF(A206&lt;&gt;"每日跟踪","",IF(Q206="","",MAX(Q206,IFERROR(AGGREGATE(14,6,$R$2:$R$501/(($A$2:$A$501="每日跟踪")*($B$2:$B$501=B206)*($H$2:$H$501&lt;=H206)),1),0))))</f>
        <v/>
      </c>
      <c r="T206" s="44">
        <f>IF(A206&lt;&gt;"每日跟踪","",IF(O206="","",IF(COUNTIFS($A$2:$A$501,"止损计划",$B$2:$B$501,B206,$E$2:$E$501,"&gt;"&amp;O206)=0,"",AGGREGATE(15,6,$E$2:$E$501/(($A$2:$A$501="止损计划")*($B$2:$B$501=B206)*($E$2:$E$501&gt;O206)),1))))</f>
        <v/>
      </c>
      <c r="U206" s="44">
        <f>IF(OR(A206&lt;&gt;"每日跟踪",T206=""),"",IFERROR(AGGREGATE(14,6,$F$2:$F$501/(($A$2:$A$501="止损计划")*($B$2:$B$501=B206)*($E$2:$E$501=T206)),1),""))</f>
        <v/>
      </c>
      <c r="V206" s="30">
        <f>IF(OR(A206&lt;&gt;"每日跟踪",T206="",I206="",I206&lt;=0),"",T206/I206-1)</f>
        <v/>
      </c>
      <c r="W206" s="31">
        <f>IF(A206&lt;&gt;"每日跟踪","",IF(OR(I206="",S206=""),"",IF(I206&lt;=S206,"触发止损：应全部卖出","继续观察")))</f>
        <v/>
      </c>
      <c r="X206" s="28" t="n"/>
      <c r="Y206" s="43" t="n"/>
      <c r="Z206" s="26">
        <f>IF(X206&lt;&gt;"执行卖出","",IFERROR(LOOKUP(2,1/(单次交易!$A$2:$A$201=B206),单次交易!$AP$2:$AP$201),""))</f>
        <v/>
      </c>
      <c r="AA206" s="43" t="n"/>
      <c r="AB206" s="31">
        <f>IF(A206&lt;&gt;"每日跟踪","",IF(OR(B206="",H206="",I206="",J206="",K206="",L206="",M206=""),"待补充每日记录",IF(W206="触发止损：应全部卖出",IF(X206&lt;&gt;"执行卖出","违规：触发止损但未执行",IF(Y206="","待补充实际卖出价","卖出记录完整")),IF(X206="","待选择卖出动作",IF(X206="执行卖出",IF(Y206="","待补充实际卖出价","卖出记录完整"),"正常")))))</f>
        <v/>
      </c>
      <c r="AC206" s="31">
        <f>IF(A206="","",IF(A206="止损计划",IF(OR(B206="",D206="",E206="",F206="",G206=""),"计划不完整",IF(OR(D206&lt;1,D206&lt;&gt;INT(D206)),"阶段序号无效",IF(COUNTIFS($A$2:$A$501,"止损计划",$B$2:$B$501,B206,$D$2:$D$501,D206)&gt;1,"阶段序号重复",IF(E206&lt;=IFERROR(LOOKUP(2,1/('单次交易'!$A$2:$A$201=B206),'单次交易'!$E$2:$E$201),0),"激活价须高于买入价",IF(F206&lt;N206,"止损价不得低于初始止损",IF(F206&gt;E206,"止损价不得高于激活价",IF(AND(COUNTIFS($A$2:$A$501,"止损计划",$B$2:$B$501,B206,$D$2:$D$501,"&lt;"&amp;D206)&gt;0,OR(E206&lt;=AGGREGATE(14,6,$E$2:$E$501/(($A$2:$A$501="止损计划")*($B$2:$B$501=B206)*($D$2:$D$501&lt;D206)),1),F206&lt;AGGREGATE(14,6,$F$2:$F$501/(($A$2:$A$501="止损计划")*($B$2:$B$501=B206)*($D$2:$D$501&lt;D206)),1))),"阶段价格必须逐级提高","计划有效"))))))),IF(A206="每日跟踪",IF(OR(B206="",H206="",I206="",J206=""),"每日数据不完整",IF(COUNTIFS($A$2:$A$501,"每日跟踪",$B$2:$B$501,B206,$H$2:$H$501,H206)&gt;1,"同一交易日期重复",IF(AND(R206&lt;&gt;"",R206&lt;S206),"人工止损无效：不能下调","跟踪有效"))),"记录类型无效")))</f>
        <v/>
      </c>
    </row>
    <row r="207">
      <c r="A207" s="28" t="n"/>
      <c r="B207" s="28" t="n"/>
      <c r="C207" s="31">
        <f>IF(B207="","",IFERROR(LOOKUP(2,1/(单次交易!$A$2:$A$201=B207),单次交易!$B$2:$B$201),""))</f>
        <v/>
      </c>
      <c r="D207" s="27" t="n"/>
      <c r="E207" s="43" t="n"/>
      <c r="F207" s="43" t="n"/>
      <c r="G207" s="28" t="n"/>
      <c r="H207" s="49" t="n"/>
      <c r="I207" s="43" t="n"/>
      <c r="J207" s="27" t="n"/>
      <c r="K207" s="28" t="n"/>
      <c r="L207" s="28" t="n"/>
      <c r="M207" s="28" t="n"/>
      <c r="N207" s="44">
        <f>IF(B207="","",IFERROR(LOOKUP(2,1/(单次交易!$A$2:$A$201=B207),单次交易!$N$2:$N$201),""))</f>
        <v/>
      </c>
      <c r="O207" s="44">
        <f>IF(A207&lt;&gt;"每日跟踪","",IF(OR(B207="",H207="",I207=""),"",IFERROR(AGGREGATE(14,6,$I$2:$I$501/(($A$2:$A$501="每日跟踪")*($B$2:$B$501=B207)*($H$2:$H$501&lt;=H207)),1),"")))</f>
        <v/>
      </c>
      <c r="P207" s="26">
        <f>IF(A207&lt;&gt;"每日跟踪","",IF(O207="","",IFERROR(AGGREGATE(14,6,$D$2:$D$501/(($A$2:$A$501="止损计划")*($B$2:$B$501=B207)*($E$2:$E$501&lt;=O207)),1),0)))</f>
        <v/>
      </c>
      <c r="Q207" s="44">
        <f>IF(A207&lt;&gt;"每日跟踪","",IF(N207="","",MAX(N207,IFERROR(AGGREGATE(14,6,$F$2:$F$501/(($A$2:$A$501="止损计划")*($B$2:$B$501=B207)*($E$2:$E$501&lt;=O207)),1),0))))</f>
        <v/>
      </c>
      <c r="R207" s="43" t="n"/>
      <c r="S207" s="44">
        <f>IF(A207&lt;&gt;"每日跟踪","",IF(Q207="","",MAX(Q207,IFERROR(AGGREGATE(14,6,$R$2:$R$501/(($A$2:$A$501="每日跟踪")*($B$2:$B$501=B207)*($H$2:$H$501&lt;=H207)),1),0))))</f>
        <v/>
      </c>
      <c r="T207" s="44">
        <f>IF(A207&lt;&gt;"每日跟踪","",IF(O207="","",IF(COUNTIFS($A$2:$A$501,"止损计划",$B$2:$B$501,B207,$E$2:$E$501,"&gt;"&amp;O207)=0,"",AGGREGATE(15,6,$E$2:$E$501/(($A$2:$A$501="止损计划")*($B$2:$B$501=B207)*($E$2:$E$501&gt;O207)),1))))</f>
        <v/>
      </c>
      <c r="U207" s="44">
        <f>IF(OR(A207&lt;&gt;"每日跟踪",T207=""),"",IFERROR(AGGREGATE(14,6,$F$2:$F$501/(($A$2:$A$501="止损计划")*($B$2:$B$501=B207)*($E$2:$E$501=T207)),1),""))</f>
        <v/>
      </c>
      <c r="V207" s="30">
        <f>IF(OR(A207&lt;&gt;"每日跟踪",T207="",I207="",I207&lt;=0),"",T207/I207-1)</f>
        <v/>
      </c>
      <c r="W207" s="31">
        <f>IF(A207&lt;&gt;"每日跟踪","",IF(OR(I207="",S207=""),"",IF(I207&lt;=S207,"触发止损：应全部卖出","继续观察")))</f>
        <v/>
      </c>
      <c r="X207" s="28" t="n"/>
      <c r="Y207" s="43" t="n"/>
      <c r="Z207" s="26">
        <f>IF(X207&lt;&gt;"执行卖出","",IFERROR(LOOKUP(2,1/(单次交易!$A$2:$A$201=B207),单次交易!$AP$2:$AP$201),""))</f>
        <v/>
      </c>
      <c r="AA207" s="43" t="n"/>
      <c r="AB207" s="31">
        <f>IF(A207&lt;&gt;"每日跟踪","",IF(OR(B207="",H207="",I207="",J207="",K207="",L207="",M207=""),"待补充每日记录",IF(W207="触发止损：应全部卖出",IF(X207&lt;&gt;"执行卖出","违规：触发止损但未执行",IF(Y207="","待补充实际卖出价","卖出记录完整")),IF(X207="","待选择卖出动作",IF(X207="执行卖出",IF(Y207="","待补充实际卖出价","卖出记录完整"),"正常")))))</f>
        <v/>
      </c>
      <c r="AC207" s="31">
        <f>IF(A207="","",IF(A207="止损计划",IF(OR(B207="",D207="",E207="",F207="",G207=""),"计划不完整",IF(OR(D207&lt;1,D207&lt;&gt;INT(D207)),"阶段序号无效",IF(COUNTIFS($A$2:$A$501,"止损计划",$B$2:$B$501,B207,$D$2:$D$501,D207)&gt;1,"阶段序号重复",IF(E207&lt;=IFERROR(LOOKUP(2,1/('单次交易'!$A$2:$A$201=B207),'单次交易'!$E$2:$E$201),0),"激活价须高于买入价",IF(F207&lt;N207,"止损价不得低于初始止损",IF(F207&gt;E207,"止损价不得高于激活价",IF(AND(COUNTIFS($A$2:$A$501,"止损计划",$B$2:$B$501,B207,$D$2:$D$501,"&lt;"&amp;D207)&gt;0,OR(E207&lt;=AGGREGATE(14,6,$E$2:$E$501/(($A$2:$A$501="止损计划")*($B$2:$B$501=B207)*($D$2:$D$501&lt;D207)),1),F207&lt;AGGREGATE(14,6,$F$2:$F$501/(($A$2:$A$501="止损计划")*($B$2:$B$501=B207)*($D$2:$D$501&lt;D207)),1))),"阶段价格必须逐级提高","计划有效"))))))),IF(A207="每日跟踪",IF(OR(B207="",H207="",I207="",J207=""),"每日数据不完整",IF(COUNTIFS($A$2:$A$501,"每日跟踪",$B$2:$B$501,B207,$H$2:$H$501,H207)&gt;1,"同一交易日期重复",IF(AND(R207&lt;&gt;"",R207&lt;S207),"人工止损无效：不能下调","跟踪有效"))),"记录类型无效")))</f>
        <v/>
      </c>
    </row>
    <row r="208">
      <c r="A208" s="28" t="n"/>
      <c r="B208" s="28" t="n"/>
      <c r="C208" s="31">
        <f>IF(B208="","",IFERROR(LOOKUP(2,1/(单次交易!$A$2:$A$201=B208),单次交易!$B$2:$B$201),""))</f>
        <v/>
      </c>
      <c r="D208" s="27" t="n"/>
      <c r="E208" s="43" t="n"/>
      <c r="F208" s="43" t="n"/>
      <c r="G208" s="28" t="n"/>
      <c r="H208" s="49" t="n"/>
      <c r="I208" s="43" t="n"/>
      <c r="J208" s="27" t="n"/>
      <c r="K208" s="28" t="n"/>
      <c r="L208" s="28" t="n"/>
      <c r="M208" s="28" t="n"/>
      <c r="N208" s="44">
        <f>IF(B208="","",IFERROR(LOOKUP(2,1/(单次交易!$A$2:$A$201=B208),单次交易!$N$2:$N$201),""))</f>
        <v/>
      </c>
      <c r="O208" s="44">
        <f>IF(A208&lt;&gt;"每日跟踪","",IF(OR(B208="",H208="",I208=""),"",IFERROR(AGGREGATE(14,6,$I$2:$I$501/(($A$2:$A$501="每日跟踪")*($B$2:$B$501=B208)*($H$2:$H$501&lt;=H208)),1),"")))</f>
        <v/>
      </c>
      <c r="P208" s="26">
        <f>IF(A208&lt;&gt;"每日跟踪","",IF(O208="","",IFERROR(AGGREGATE(14,6,$D$2:$D$501/(($A$2:$A$501="止损计划")*($B$2:$B$501=B208)*($E$2:$E$501&lt;=O208)),1),0)))</f>
        <v/>
      </c>
      <c r="Q208" s="44">
        <f>IF(A208&lt;&gt;"每日跟踪","",IF(N208="","",MAX(N208,IFERROR(AGGREGATE(14,6,$F$2:$F$501/(($A$2:$A$501="止损计划")*($B$2:$B$501=B208)*($E$2:$E$501&lt;=O208)),1),0))))</f>
        <v/>
      </c>
      <c r="R208" s="43" t="n"/>
      <c r="S208" s="44">
        <f>IF(A208&lt;&gt;"每日跟踪","",IF(Q208="","",MAX(Q208,IFERROR(AGGREGATE(14,6,$R$2:$R$501/(($A$2:$A$501="每日跟踪")*($B$2:$B$501=B208)*($H$2:$H$501&lt;=H208)),1),0))))</f>
        <v/>
      </c>
      <c r="T208" s="44">
        <f>IF(A208&lt;&gt;"每日跟踪","",IF(O208="","",IF(COUNTIFS($A$2:$A$501,"止损计划",$B$2:$B$501,B208,$E$2:$E$501,"&gt;"&amp;O208)=0,"",AGGREGATE(15,6,$E$2:$E$501/(($A$2:$A$501="止损计划")*($B$2:$B$501=B208)*($E$2:$E$501&gt;O208)),1))))</f>
        <v/>
      </c>
      <c r="U208" s="44">
        <f>IF(OR(A208&lt;&gt;"每日跟踪",T208=""),"",IFERROR(AGGREGATE(14,6,$F$2:$F$501/(($A$2:$A$501="止损计划")*($B$2:$B$501=B208)*($E$2:$E$501=T208)),1),""))</f>
        <v/>
      </c>
      <c r="V208" s="30">
        <f>IF(OR(A208&lt;&gt;"每日跟踪",T208="",I208="",I208&lt;=0),"",T208/I208-1)</f>
        <v/>
      </c>
      <c r="W208" s="31">
        <f>IF(A208&lt;&gt;"每日跟踪","",IF(OR(I208="",S208=""),"",IF(I208&lt;=S208,"触发止损：应全部卖出","继续观察")))</f>
        <v/>
      </c>
      <c r="X208" s="28" t="n"/>
      <c r="Y208" s="43" t="n"/>
      <c r="Z208" s="26">
        <f>IF(X208&lt;&gt;"执行卖出","",IFERROR(LOOKUP(2,1/(单次交易!$A$2:$A$201=B208),单次交易!$AP$2:$AP$201),""))</f>
        <v/>
      </c>
      <c r="AA208" s="43" t="n"/>
      <c r="AB208" s="31">
        <f>IF(A208&lt;&gt;"每日跟踪","",IF(OR(B208="",H208="",I208="",J208="",K208="",L208="",M208=""),"待补充每日记录",IF(W208="触发止损：应全部卖出",IF(X208&lt;&gt;"执行卖出","违规：触发止损但未执行",IF(Y208="","待补充实际卖出价","卖出记录完整")),IF(X208="","待选择卖出动作",IF(X208="执行卖出",IF(Y208="","待补充实际卖出价","卖出记录完整"),"正常")))))</f>
        <v/>
      </c>
      <c r="AC208" s="31">
        <f>IF(A208="","",IF(A208="止损计划",IF(OR(B208="",D208="",E208="",F208="",G208=""),"计划不完整",IF(OR(D208&lt;1,D208&lt;&gt;INT(D208)),"阶段序号无效",IF(COUNTIFS($A$2:$A$501,"止损计划",$B$2:$B$501,B208,$D$2:$D$501,D208)&gt;1,"阶段序号重复",IF(E208&lt;=IFERROR(LOOKUP(2,1/('单次交易'!$A$2:$A$201=B208),'单次交易'!$E$2:$E$201),0),"激活价须高于买入价",IF(F208&lt;N208,"止损价不得低于初始止损",IF(F208&gt;E208,"止损价不得高于激活价",IF(AND(COUNTIFS($A$2:$A$501,"止损计划",$B$2:$B$501,B208,$D$2:$D$501,"&lt;"&amp;D208)&gt;0,OR(E208&lt;=AGGREGATE(14,6,$E$2:$E$501/(($A$2:$A$501="止损计划")*($B$2:$B$501=B208)*($D$2:$D$501&lt;D208)),1),F208&lt;AGGREGATE(14,6,$F$2:$F$501/(($A$2:$A$501="止损计划")*($B$2:$B$501=B208)*($D$2:$D$501&lt;D208)),1))),"阶段价格必须逐级提高","计划有效"))))))),IF(A208="每日跟踪",IF(OR(B208="",H208="",I208="",J208=""),"每日数据不完整",IF(COUNTIFS($A$2:$A$501,"每日跟踪",$B$2:$B$501,B208,$H$2:$H$501,H208)&gt;1,"同一交易日期重复",IF(AND(R208&lt;&gt;"",R208&lt;S208),"人工止损无效：不能下调","跟踪有效"))),"记录类型无效")))</f>
        <v/>
      </c>
    </row>
    <row r="209">
      <c r="A209" s="28" t="n"/>
      <c r="B209" s="28" t="n"/>
      <c r="C209" s="31">
        <f>IF(B209="","",IFERROR(LOOKUP(2,1/(单次交易!$A$2:$A$201=B209),单次交易!$B$2:$B$201),""))</f>
        <v/>
      </c>
      <c r="D209" s="27" t="n"/>
      <c r="E209" s="43" t="n"/>
      <c r="F209" s="43" t="n"/>
      <c r="G209" s="28" t="n"/>
      <c r="H209" s="49" t="n"/>
      <c r="I209" s="43" t="n"/>
      <c r="J209" s="27" t="n"/>
      <c r="K209" s="28" t="n"/>
      <c r="L209" s="28" t="n"/>
      <c r="M209" s="28" t="n"/>
      <c r="N209" s="44">
        <f>IF(B209="","",IFERROR(LOOKUP(2,1/(单次交易!$A$2:$A$201=B209),单次交易!$N$2:$N$201),""))</f>
        <v/>
      </c>
      <c r="O209" s="44">
        <f>IF(A209&lt;&gt;"每日跟踪","",IF(OR(B209="",H209="",I209=""),"",IFERROR(AGGREGATE(14,6,$I$2:$I$501/(($A$2:$A$501="每日跟踪")*($B$2:$B$501=B209)*($H$2:$H$501&lt;=H209)),1),"")))</f>
        <v/>
      </c>
      <c r="P209" s="26">
        <f>IF(A209&lt;&gt;"每日跟踪","",IF(O209="","",IFERROR(AGGREGATE(14,6,$D$2:$D$501/(($A$2:$A$501="止损计划")*($B$2:$B$501=B209)*($E$2:$E$501&lt;=O209)),1),0)))</f>
        <v/>
      </c>
      <c r="Q209" s="44">
        <f>IF(A209&lt;&gt;"每日跟踪","",IF(N209="","",MAX(N209,IFERROR(AGGREGATE(14,6,$F$2:$F$501/(($A$2:$A$501="止损计划")*($B$2:$B$501=B209)*($E$2:$E$501&lt;=O209)),1),0))))</f>
        <v/>
      </c>
      <c r="R209" s="43" t="n"/>
      <c r="S209" s="44">
        <f>IF(A209&lt;&gt;"每日跟踪","",IF(Q209="","",MAX(Q209,IFERROR(AGGREGATE(14,6,$R$2:$R$501/(($A$2:$A$501="每日跟踪")*($B$2:$B$501=B209)*($H$2:$H$501&lt;=H209)),1),0))))</f>
        <v/>
      </c>
      <c r="T209" s="44">
        <f>IF(A209&lt;&gt;"每日跟踪","",IF(O209="","",IF(COUNTIFS($A$2:$A$501,"止损计划",$B$2:$B$501,B209,$E$2:$E$501,"&gt;"&amp;O209)=0,"",AGGREGATE(15,6,$E$2:$E$501/(($A$2:$A$501="止损计划")*($B$2:$B$501=B209)*($E$2:$E$501&gt;O209)),1))))</f>
        <v/>
      </c>
      <c r="U209" s="44">
        <f>IF(OR(A209&lt;&gt;"每日跟踪",T209=""),"",IFERROR(AGGREGATE(14,6,$F$2:$F$501/(($A$2:$A$501="止损计划")*($B$2:$B$501=B209)*($E$2:$E$501=T209)),1),""))</f>
        <v/>
      </c>
      <c r="V209" s="30">
        <f>IF(OR(A209&lt;&gt;"每日跟踪",T209="",I209="",I209&lt;=0),"",T209/I209-1)</f>
        <v/>
      </c>
      <c r="W209" s="31">
        <f>IF(A209&lt;&gt;"每日跟踪","",IF(OR(I209="",S209=""),"",IF(I209&lt;=S209,"触发止损：应全部卖出","继续观察")))</f>
        <v/>
      </c>
      <c r="X209" s="28" t="n"/>
      <c r="Y209" s="43" t="n"/>
      <c r="Z209" s="26">
        <f>IF(X209&lt;&gt;"执行卖出","",IFERROR(LOOKUP(2,1/(单次交易!$A$2:$A$201=B209),单次交易!$AP$2:$AP$201),""))</f>
        <v/>
      </c>
      <c r="AA209" s="43" t="n"/>
      <c r="AB209" s="31">
        <f>IF(A209&lt;&gt;"每日跟踪","",IF(OR(B209="",H209="",I209="",J209="",K209="",L209="",M209=""),"待补充每日记录",IF(W209="触发止损：应全部卖出",IF(X209&lt;&gt;"执行卖出","违规：触发止损但未执行",IF(Y209="","待补充实际卖出价","卖出记录完整")),IF(X209="","待选择卖出动作",IF(X209="执行卖出",IF(Y209="","待补充实际卖出价","卖出记录完整"),"正常")))))</f>
        <v/>
      </c>
      <c r="AC209" s="31">
        <f>IF(A209="","",IF(A209="止损计划",IF(OR(B209="",D209="",E209="",F209="",G209=""),"计划不完整",IF(OR(D209&lt;1,D209&lt;&gt;INT(D209)),"阶段序号无效",IF(COUNTIFS($A$2:$A$501,"止损计划",$B$2:$B$501,B209,$D$2:$D$501,D209)&gt;1,"阶段序号重复",IF(E209&lt;=IFERROR(LOOKUP(2,1/('单次交易'!$A$2:$A$201=B209),'单次交易'!$E$2:$E$201),0),"激活价须高于买入价",IF(F209&lt;N209,"止损价不得低于初始止损",IF(F209&gt;E209,"止损价不得高于激活价",IF(AND(COUNTIFS($A$2:$A$501,"止损计划",$B$2:$B$501,B209,$D$2:$D$501,"&lt;"&amp;D209)&gt;0,OR(E209&lt;=AGGREGATE(14,6,$E$2:$E$501/(($A$2:$A$501="止损计划")*($B$2:$B$501=B209)*($D$2:$D$501&lt;D209)),1),F209&lt;AGGREGATE(14,6,$F$2:$F$501/(($A$2:$A$501="止损计划")*($B$2:$B$501=B209)*($D$2:$D$501&lt;D209)),1))),"阶段价格必须逐级提高","计划有效"))))))),IF(A209="每日跟踪",IF(OR(B209="",H209="",I209="",J209=""),"每日数据不完整",IF(COUNTIFS($A$2:$A$501,"每日跟踪",$B$2:$B$501,B209,$H$2:$H$501,H209)&gt;1,"同一交易日期重复",IF(AND(R209&lt;&gt;"",R209&lt;S209),"人工止损无效：不能下调","跟踪有效"))),"记录类型无效")))</f>
        <v/>
      </c>
    </row>
    <row r="210">
      <c r="A210" s="28" t="n"/>
      <c r="B210" s="28" t="n"/>
      <c r="C210" s="31">
        <f>IF(B210="","",IFERROR(LOOKUP(2,1/(单次交易!$A$2:$A$201=B210),单次交易!$B$2:$B$201),""))</f>
        <v/>
      </c>
      <c r="D210" s="27" t="n"/>
      <c r="E210" s="43" t="n"/>
      <c r="F210" s="43" t="n"/>
      <c r="G210" s="28" t="n"/>
      <c r="H210" s="49" t="n"/>
      <c r="I210" s="43" t="n"/>
      <c r="J210" s="27" t="n"/>
      <c r="K210" s="28" t="n"/>
      <c r="L210" s="28" t="n"/>
      <c r="M210" s="28" t="n"/>
      <c r="N210" s="44">
        <f>IF(B210="","",IFERROR(LOOKUP(2,1/(单次交易!$A$2:$A$201=B210),单次交易!$N$2:$N$201),""))</f>
        <v/>
      </c>
      <c r="O210" s="44">
        <f>IF(A210&lt;&gt;"每日跟踪","",IF(OR(B210="",H210="",I210=""),"",IFERROR(AGGREGATE(14,6,$I$2:$I$501/(($A$2:$A$501="每日跟踪")*($B$2:$B$501=B210)*($H$2:$H$501&lt;=H210)),1),"")))</f>
        <v/>
      </c>
      <c r="P210" s="26">
        <f>IF(A210&lt;&gt;"每日跟踪","",IF(O210="","",IFERROR(AGGREGATE(14,6,$D$2:$D$501/(($A$2:$A$501="止损计划")*($B$2:$B$501=B210)*($E$2:$E$501&lt;=O210)),1),0)))</f>
        <v/>
      </c>
      <c r="Q210" s="44">
        <f>IF(A210&lt;&gt;"每日跟踪","",IF(N210="","",MAX(N210,IFERROR(AGGREGATE(14,6,$F$2:$F$501/(($A$2:$A$501="止损计划")*($B$2:$B$501=B210)*($E$2:$E$501&lt;=O210)),1),0))))</f>
        <v/>
      </c>
      <c r="R210" s="43" t="n"/>
      <c r="S210" s="44">
        <f>IF(A210&lt;&gt;"每日跟踪","",IF(Q210="","",MAX(Q210,IFERROR(AGGREGATE(14,6,$R$2:$R$501/(($A$2:$A$501="每日跟踪")*($B$2:$B$501=B210)*($H$2:$H$501&lt;=H210)),1),0))))</f>
        <v/>
      </c>
      <c r="T210" s="44">
        <f>IF(A210&lt;&gt;"每日跟踪","",IF(O210="","",IF(COUNTIFS($A$2:$A$501,"止损计划",$B$2:$B$501,B210,$E$2:$E$501,"&gt;"&amp;O210)=0,"",AGGREGATE(15,6,$E$2:$E$501/(($A$2:$A$501="止损计划")*($B$2:$B$501=B210)*($E$2:$E$501&gt;O210)),1))))</f>
        <v/>
      </c>
      <c r="U210" s="44">
        <f>IF(OR(A210&lt;&gt;"每日跟踪",T210=""),"",IFERROR(AGGREGATE(14,6,$F$2:$F$501/(($A$2:$A$501="止损计划")*($B$2:$B$501=B210)*($E$2:$E$501=T210)),1),""))</f>
        <v/>
      </c>
      <c r="V210" s="30">
        <f>IF(OR(A210&lt;&gt;"每日跟踪",T210="",I210="",I210&lt;=0),"",T210/I210-1)</f>
        <v/>
      </c>
      <c r="W210" s="31">
        <f>IF(A210&lt;&gt;"每日跟踪","",IF(OR(I210="",S210=""),"",IF(I210&lt;=S210,"触发止损：应全部卖出","继续观察")))</f>
        <v/>
      </c>
      <c r="X210" s="28" t="n"/>
      <c r="Y210" s="43" t="n"/>
      <c r="Z210" s="26">
        <f>IF(X210&lt;&gt;"执行卖出","",IFERROR(LOOKUP(2,1/(单次交易!$A$2:$A$201=B210),单次交易!$AP$2:$AP$201),""))</f>
        <v/>
      </c>
      <c r="AA210" s="43" t="n"/>
      <c r="AB210" s="31">
        <f>IF(A210&lt;&gt;"每日跟踪","",IF(OR(B210="",H210="",I210="",J210="",K210="",L210="",M210=""),"待补充每日记录",IF(W210="触发止损：应全部卖出",IF(X210&lt;&gt;"执行卖出","违规：触发止损但未执行",IF(Y210="","待补充实际卖出价","卖出记录完整")),IF(X210="","待选择卖出动作",IF(X210="执行卖出",IF(Y210="","待补充实际卖出价","卖出记录完整"),"正常")))))</f>
        <v/>
      </c>
      <c r="AC210" s="31">
        <f>IF(A210="","",IF(A210="止损计划",IF(OR(B210="",D210="",E210="",F210="",G210=""),"计划不完整",IF(OR(D210&lt;1,D210&lt;&gt;INT(D210)),"阶段序号无效",IF(COUNTIFS($A$2:$A$501,"止损计划",$B$2:$B$501,B210,$D$2:$D$501,D210)&gt;1,"阶段序号重复",IF(E210&lt;=IFERROR(LOOKUP(2,1/('单次交易'!$A$2:$A$201=B210),'单次交易'!$E$2:$E$201),0),"激活价须高于买入价",IF(F210&lt;N210,"止损价不得低于初始止损",IF(F210&gt;E210,"止损价不得高于激活价",IF(AND(COUNTIFS($A$2:$A$501,"止损计划",$B$2:$B$501,B210,$D$2:$D$501,"&lt;"&amp;D210)&gt;0,OR(E210&lt;=AGGREGATE(14,6,$E$2:$E$501/(($A$2:$A$501="止损计划")*($B$2:$B$501=B210)*($D$2:$D$501&lt;D210)),1),F210&lt;AGGREGATE(14,6,$F$2:$F$501/(($A$2:$A$501="止损计划")*($B$2:$B$501=B210)*($D$2:$D$501&lt;D210)),1))),"阶段价格必须逐级提高","计划有效"))))))),IF(A210="每日跟踪",IF(OR(B210="",H210="",I210="",J210=""),"每日数据不完整",IF(COUNTIFS($A$2:$A$501,"每日跟踪",$B$2:$B$501,B210,$H$2:$H$501,H210)&gt;1,"同一交易日期重复",IF(AND(R210&lt;&gt;"",R210&lt;S210),"人工止损无效：不能下调","跟踪有效"))),"记录类型无效")))</f>
        <v/>
      </c>
    </row>
    <row r="211">
      <c r="A211" s="28" t="n"/>
      <c r="B211" s="28" t="n"/>
      <c r="C211" s="31">
        <f>IF(B211="","",IFERROR(LOOKUP(2,1/(单次交易!$A$2:$A$201=B211),单次交易!$B$2:$B$201),""))</f>
        <v/>
      </c>
      <c r="D211" s="27" t="n"/>
      <c r="E211" s="43" t="n"/>
      <c r="F211" s="43" t="n"/>
      <c r="G211" s="28" t="n"/>
      <c r="H211" s="49" t="n"/>
      <c r="I211" s="43" t="n"/>
      <c r="J211" s="27" t="n"/>
      <c r="K211" s="28" t="n"/>
      <c r="L211" s="28" t="n"/>
      <c r="M211" s="28" t="n"/>
      <c r="N211" s="44">
        <f>IF(B211="","",IFERROR(LOOKUP(2,1/(单次交易!$A$2:$A$201=B211),单次交易!$N$2:$N$201),""))</f>
        <v/>
      </c>
      <c r="O211" s="44">
        <f>IF(A211&lt;&gt;"每日跟踪","",IF(OR(B211="",H211="",I211=""),"",IFERROR(AGGREGATE(14,6,$I$2:$I$501/(($A$2:$A$501="每日跟踪")*($B$2:$B$501=B211)*($H$2:$H$501&lt;=H211)),1),"")))</f>
        <v/>
      </c>
      <c r="P211" s="26">
        <f>IF(A211&lt;&gt;"每日跟踪","",IF(O211="","",IFERROR(AGGREGATE(14,6,$D$2:$D$501/(($A$2:$A$501="止损计划")*($B$2:$B$501=B211)*($E$2:$E$501&lt;=O211)),1),0)))</f>
        <v/>
      </c>
      <c r="Q211" s="44">
        <f>IF(A211&lt;&gt;"每日跟踪","",IF(N211="","",MAX(N211,IFERROR(AGGREGATE(14,6,$F$2:$F$501/(($A$2:$A$501="止损计划")*($B$2:$B$501=B211)*($E$2:$E$501&lt;=O211)),1),0))))</f>
        <v/>
      </c>
      <c r="R211" s="43" t="n"/>
      <c r="S211" s="44">
        <f>IF(A211&lt;&gt;"每日跟踪","",IF(Q211="","",MAX(Q211,IFERROR(AGGREGATE(14,6,$R$2:$R$501/(($A$2:$A$501="每日跟踪")*($B$2:$B$501=B211)*($H$2:$H$501&lt;=H211)),1),0))))</f>
        <v/>
      </c>
      <c r="T211" s="44">
        <f>IF(A211&lt;&gt;"每日跟踪","",IF(O211="","",IF(COUNTIFS($A$2:$A$501,"止损计划",$B$2:$B$501,B211,$E$2:$E$501,"&gt;"&amp;O211)=0,"",AGGREGATE(15,6,$E$2:$E$501/(($A$2:$A$501="止损计划")*($B$2:$B$501=B211)*($E$2:$E$501&gt;O211)),1))))</f>
        <v/>
      </c>
      <c r="U211" s="44">
        <f>IF(OR(A211&lt;&gt;"每日跟踪",T211=""),"",IFERROR(AGGREGATE(14,6,$F$2:$F$501/(($A$2:$A$501="止损计划")*($B$2:$B$501=B211)*($E$2:$E$501=T211)),1),""))</f>
        <v/>
      </c>
      <c r="V211" s="30">
        <f>IF(OR(A211&lt;&gt;"每日跟踪",T211="",I211="",I211&lt;=0),"",T211/I211-1)</f>
        <v/>
      </c>
      <c r="W211" s="31">
        <f>IF(A211&lt;&gt;"每日跟踪","",IF(OR(I211="",S211=""),"",IF(I211&lt;=S211,"触发止损：应全部卖出","继续观察")))</f>
        <v/>
      </c>
      <c r="X211" s="28" t="n"/>
      <c r="Y211" s="43" t="n"/>
      <c r="Z211" s="26">
        <f>IF(X211&lt;&gt;"执行卖出","",IFERROR(LOOKUP(2,1/(单次交易!$A$2:$A$201=B211),单次交易!$AP$2:$AP$201),""))</f>
        <v/>
      </c>
      <c r="AA211" s="43" t="n"/>
      <c r="AB211" s="31">
        <f>IF(A211&lt;&gt;"每日跟踪","",IF(OR(B211="",H211="",I211="",J211="",K211="",L211="",M211=""),"待补充每日记录",IF(W211="触发止损：应全部卖出",IF(X211&lt;&gt;"执行卖出","违规：触发止损但未执行",IF(Y211="","待补充实际卖出价","卖出记录完整")),IF(X211="","待选择卖出动作",IF(X211="执行卖出",IF(Y211="","待补充实际卖出价","卖出记录完整"),"正常")))))</f>
        <v/>
      </c>
      <c r="AC211" s="31">
        <f>IF(A211="","",IF(A211="止损计划",IF(OR(B211="",D211="",E211="",F211="",G211=""),"计划不完整",IF(OR(D211&lt;1,D211&lt;&gt;INT(D211)),"阶段序号无效",IF(COUNTIFS($A$2:$A$501,"止损计划",$B$2:$B$501,B211,$D$2:$D$501,D211)&gt;1,"阶段序号重复",IF(E211&lt;=IFERROR(LOOKUP(2,1/('单次交易'!$A$2:$A$201=B211),'单次交易'!$E$2:$E$201),0),"激活价须高于买入价",IF(F211&lt;N211,"止损价不得低于初始止损",IF(F211&gt;E211,"止损价不得高于激活价",IF(AND(COUNTIFS($A$2:$A$501,"止损计划",$B$2:$B$501,B211,$D$2:$D$501,"&lt;"&amp;D211)&gt;0,OR(E211&lt;=AGGREGATE(14,6,$E$2:$E$501/(($A$2:$A$501="止损计划")*($B$2:$B$501=B211)*($D$2:$D$501&lt;D211)),1),F211&lt;AGGREGATE(14,6,$F$2:$F$501/(($A$2:$A$501="止损计划")*($B$2:$B$501=B211)*($D$2:$D$501&lt;D211)),1))),"阶段价格必须逐级提高","计划有效"))))))),IF(A211="每日跟踪",IF(OR(B211="",H211="",I211="",J211=""),"每日数据不完整",IF(COUNTIFS($A$2:$A$501,"每日跟踪",$B$2:$B$501,B211,$H$2:$H$501,H211)&gt;1,"同一交易日期重复",IF(AND(R211&lt;&gt;"",R211&lt;S211),"人工止损无效：不能下调","跟踪有效"))),"记录类型无效")))</f>
        <v/>
      </c>
    </row>
    <row r="212">
      <c r="A212" s="28" t="n"/>
      <c r="B212" s="28" t="n"/>
      <c r="C212" s="31">
        <f>IF(B212="","",IFERROR(LOOKUP(2,1/(单次交易!$A$2:$A$201=B212),单次交易!$B$2:$B$201),""))</f>
        <v/>
      </c>
      <c r="D212" s="27" t="n"/>
      <c r="E212" s="43" t="n"/>
      <c r="F212" s="43" t="n"/>
      <c r="G212" s="28" t="n"/>
      <c r="H212" s="49" t="n"/>
      <c r="I212" s="43" t="n"/>
      <c r="J212" s="27" t="n"/>
      <c r="K212" s="28" t="n"/>
      <c r="L212" s="28" t="n"/>
      <c r="M212" s="28" t="n"/>
      <c r="N212" s="44">
        <f>IF(B212="","",IFERROR(LOOKUP(2,1/(单次交易!$A$2:$A$201=B212),单次交易!$N$2:$N$201),""))</f>
        <v/>
      </c>
      <c r="O212" s="44">
        <f>IF(A212&lt;&gt;"每日跟踪","",IF(OR(B212="",H212="",I212=""),"",IFERROR(AGGREGATE(14,6,$I$2:$I$501/(($A$2:$A$501="每日跟踪")*($B$2:$B$501=B212)*($H$2:$H$501&lt;=H212)),1),"")))</f>
        <v/>
      </c>
      <c r="P212" s="26">
        <f>IF(A212&lt;&gt;"每日跟踪","",IF(O212="","",IFERROR(AGGREGATE(14,6,$D$2:$D$501/(($A$2:$A$501="止损计划")*($B$2:$B$501=B212)*($E$2:$E$501&lt;=O212)),1),0)))</f>
        <v/>
      </c>
      <c r="Q212" s="44">
        <f>IF(A212&lt;&gt;"每日跟踪","",IF(N212="","",MAX(N212,IFERROR(AGGREGATE(14,6,$F$2:$F$501/(($A$2:$A$501="止损计划")*($B$2:$B$501=B212)*($E$2:$E$501&lt;=O212)),1),0))))</f>
        <v/>
      </c>
      <c r="R212" s="43" t="n"/>
      <c r="S212" s="44">
        <f>IF(A212&lt;&gt;"每日跟踪","",IF(Q212="","",MAX(Q212,IFERROR(AGGREGATE(14,6,$R$2:$R$501/(($A$2:$A$501="每日跟踪")*($B$2:$B$501=B212)*($H$2:$H$501&lt;=H212)),1),0))))</f>
        <v/>
      </c>
      <c r="T212" s="44">
        <f>IF(A212&lt;&gt;"每日跟踪","",IF(O212="","",IF(COUNTIFS($A$2:$A$501,"止损计划",$B$2:$B$501,B212,$E$2:$E$501,"&gt;"&amp;O212)=0,"",AGGREGATE(15,6,$E$2:$E$501/(($A$2:$A$501="止损计划")*($B$2:$B$501=B212)*($E$2:$E$501&gt;O212)),1))))</f>
        <v/>
      </c>
      <c r="U212" s="44">
        <f>IF(OR(A212&lt;&gt;"每日跟踪",T212=""),"",IFERROR(AGGREGATE(14,6,$F$2:$F$501/(($A$2:$A$501="止损计划")*($B$2:$B$501=B212)*($E$2:$E$501=T212)),1),""))</f>
        <v/>
      </c>
      <c r="V212" s="30">
        <f>IF(OR(A212&lt;&gt;"每日跟踪",T212="",I212="",I212&lt;=0),"",T212/I212-1)</f>
        <v/>
      </c>
      <c r="W212" s="31">
        <f>IF(A212&lt;&gt;"每日跟踪","",IF(OR(I212="",S212=""),"",IF(I212&lt;=S212,"触发止损：应全部卖出","继续观察")))</f>
        <v/>
      </c>
      <c r="X212" s="28" t="n"/>
      <c r="Y212" s="43" t="n"/>
      <c r="Z212" s="26">
        <f>IF(X212&lt;&gt;"执行卖出","",IFERROR(LOOKUP(2,1/(单次交易!$A$2:$A$201=B212),单次交易!$AP$2:$AP$201),""))</f>
        <v/>
      </c>
      <c r="AA212" s="43" t="n"/>
      <c r="AB212" s="31">
        <f>IF(A212&lt;&gt;"每日跟踪","",IF(OR(B212="",H212="",I212="",J212="",K212="",L212="",M212=""),"待补充每日记录",IF(W212="触发止损：应全部卖出",IF(X212&lt;&gt;"执行卖出","违规：触发止损但未执行",IF(Y212="","待补充实际卖出价","卖出记录完整")),IF(X212="","待选择卖出动作",IF(X212="执行卖出",IF(Y212="","待补充实际卖出价","卖出记录完整"),"正常")))))</f>
        <v/>
      </c>
      <c r="AC212" s="31">
        <f>IF(A212="","",IF(A212="止损计划",IF(OR(B212="",D212="",E212="",F212="",G212=""),"计划不完整",IF(OR(D212&lt;1,D212&lt;&gt;INT(D212)),"阶段序号无效",IF(COUNTIFS($A$2:$A$501,"止损计划",$B$2:$B$501,B212,$D$2:$D$501,D212)&gt;1,"阶段序号重复",IF(E212&lt;=IFERROR(LOOKUP(2,1/('单次交易'!$A$2:$A$201=B212),'单次交易'!$E$2:$E$201),0),"激活价须高于买入价",IF(F212&lt;N212,"止损价不得低于初始止损",IF(F212&gt;E212,"止损价不得高于激活价",IF(AND(COUNTIFS($A$2:$A$501,"止损计划",$B$2:$B$501,B212,$D$2:$D$501,"&lt;"&amp;D212)&gt;0,OR(E212&lt;=AGGREGATE(14,6,$E$2:$E$501/(($A$2:$A$501="止损计划")*($B$2:$B$501=B212)*($D$2:$D$501&lt;D212)),1),F212&lt;AGGREGATE(14,6,$F$2:$F$501/(($A$2:$A$501="止损计划")*($B$2:$B$501=B212)*($D$2:$D$501&lt;D212)),1))),"阶段价格必须逐级提高","计划有效"))))))),IF(A212="每日跟踪",IF(OR(B212="",H212="",I212="",J212=""),"每日数据不完整",IF(COUNTIFS($A$2:$A$501,"每日跟踪",$B$2:$B$501,B212,$H$2:$H$501,H212)&gt;1,"同一交易日期重复",IF(AND(R212&lt;&gt;"",R212&lt;S212),"人工止损无效：不能下调","跟踪有效"))),"记录类型无效")))</f>
        <v/>
      </c>
    </row>
    <row r="213">
      <c r="A213" s="28" t="n"/>
      <c r="B213" s="28" t="n"/>
      <c r="C213" s="31">
        <f>IF(B213="","",IFERROR(LOOKUP(2,1/(单次交易!$A$2:$A$201=B213),单次交易!$B$2:$B$201),""))</f>
        <v/>
      </c>
      <c r="D213" s="27" t="n"/>
      <c r="E213" s="43" t="n"/>
      <c r="F213" s="43" t="n"/>
      <c r="G213" s="28" t="n"/>
      <c r="H213" s="49" t="n"/>
      <c r="I213" s="43" t="n"/>
      <c r="J213" s="27" t="n"/>
      <c r="K213" s="28" t="n"/>
      <c r="L213" s="28" t="n"/>
      <c r="M213" s="28" t="n"/>
      <c r="N213" s="44">
        <f>IF(B213="","",IFERROR(LOOKUP(2,1/(单次交易!$A$2:$A$201=B213),单次交易!$N$2:$N$201),""))</f>
        <v/>
      </c>
      <c r="O213" s="44">
        <f>IF(A213&lt;&gt;"每日跟踪","",IF(OR(B213="",H213="",I213=""),"",IFERROR(AGGREGATE(14,6,$I$2:$I$501/(($A$2:$A$501="每日跟踪")*($B$2:$B$501=B213)*($H$2:$H$501&lt;=H213)),1),"")))</f>
        <v/>
      </c>
      <c r="P213" s="26">
        <f>IF(A213&lt;&gt;"每日跟踪","",IF(O213="","",IFERROR(AGGREGATE(14,6,$D$2:$D$501/(($A$2:$A$501="止损计划")*($B$2:$B$501=B213)*($E$2:$E$501&lt;=O213)),1),0)))</f>
        <v/>
      </c>
      <c r="Q213" s="44">
        <f>IF(A213&lt;&gt;"每日跟踪","",IF(N213="","",MAX(N213,IFERROR(AGGREGATE(14,6,$F$2:$F$501/(($A$2:$A$501="止损计划")*($B$2:$B$501=B213)*($E$2:$E$501&lt;=O213)),1),0))))</f>
        <v/>
      </c>
      <c r="R213" s="43" t="n"/>
      <c r="S213" s="44">
        <f>IF(A213&lt;&gt;"每日跟踪","",IF(Q213="","",MAX(Q213,IFERROR(AGGREGATE(14,6,$R$2:$R$501/(($A$2:$A$501="每日跟踪")*($B$2:$B$501=B213)*($H$2:$H$501&lt;=H213)),1),0))))</f>
        <v/>
      </c>
      <c r="T213" s="44">
        <f>IF(A213&lt;&gt;"每日跟踪","",IF(O213="","",IF(COUNTIFS($A$2:$A$501,"止损计划",$B$2:$B$501,B213,$E$2:$E$501,"&gt;"&amp;O213)=0,"",AGGREGATE(15,6,$E$2:$E$501/(($A$2:$A$501="止损计划")*($B$2:$B$501=B213)*($E$2:$E$501&gt;O213)),1))))</f>
        <v/>
      </c>
      <c r="U213" s="44">
        <f>IF(OR(A213&lt;&gt;"每日跟踪",T213=""),"",IFERROR(AGGREGATE(14,6,$F$2:$F$501/(($A$2:$A$501="止损计划")*($B$2:$B$501=B213)*($E$2:$E$501=T213)),1),""))</f>
        <v/>
      </c>
      <c r="V213" s="30">
        <f>IF(OR(A213&lt;&gt;"每日跟踪",T213="",I213="",I213&lt;=0),"",T213/I213-1)</f>
        <v/>
      </c>
      <c r="W213" s="31">
        <f>IF(A213&lt;&gt;"每日跟踪","",IF(OR(I213="",S213=""),"",IF(I213&lt;=S213,"触发止损：应全部卖出","继续观察")))</f>
        <v/>
      </c>
      <c r="X213" s="28" t="n"/>
      <c r="Y213" s="43" t="n"/>
      <c r="Z213" s="26">
        <f>IF(X213&lt;&gt;"执行卖出","",IFERROR(LOOKUP(2,1/(单次交易!$A$2:$A$201=B213),单次交易!$AP$2:$AP$201),""))</f>
        <v/>
      </c>
      <c r="AA213" s="43" t="n"/>
      <c r="AB213" s="31">
        <f>IF(A213&lt;&gt;"每日跟踪","",IF(OR(B213="",H213="",I213="",J213="",K213="",L213="",M213=""),"待补充每日记录",IF(W213="触发止损：应全部卖出",IF(X213&lt;&gt;"执行卖出","违规：触发止损但未执行",IF(Y213="","待补充实际卖出价","卖出记录完整")),IF(X213="","待选择卖出动作",IF(X213="执行卖出",IF(Y213="","待补充实际卖出价","卖出记录完整"),"正常")))))</f>
        <v/>
      </c>
      <c r="AC213" s="31">
        <f>IF(A213="","",IF(A213="止损计划",IF(OR(B213="",D213="",E213="",F213="",G213=""),"计划不完整",IF(OR(D213&lt;1,D213&lt;&gt;INT(D213)),"阶段序号无效",IF(COUNTIFS($A$2:$A$501,"止损计划",$B$2:$B$501,B213,$D$2:$D$501,D213)&gt;1,"阶段序号重复",IF(E213&lt;=IFERROR(LOOKUP(2,1/('单次交易'!$A$2:$A$201=B213),'单次交易'!$E$2:$E$201),0),"激活价须高于买入价",IF(F213&lt;N213,"止损价不得低于初始止损",IF(F213&gt;E213,"止损价不得高于激活价",IF(AND(COUNTIFS($A$2:$A$501,"止损计划",$B$2:$B$501,B213,$D$2:$D$501,"&lt;"&amp;D213)&gt;0,OR(E213&lt;=AGGREGATE(14,6,$E$2:$E$501/(($A$2:$A$501="止损计划")*($B$2:$B$501=B213)*($D$2:$D$501&lt;D213)),1),F213&lt;AGGREGATE(14,6,$F$2:$F$501/(($A$2:$A$501="止损计划")*($B$2:$B$501=B213)*($D$2:$D$501&lt;D213)),1))),"阶段价格必须逐级提高","计划有效"))))))),IF(A213="每日跟踪",IF(OR(B213="",H213="",I213="",J213=""),"每日数据不完整",IF(COUNTIFS($A$2:$A$501,"每日跟踪",$B$2:$B$501,B213,$H$2:$H$501,H213)&gt;1,"同一交易日期重复",IF(AND(R213&lt;&gt;"",R213&lt;S213),"人工止损无效：不能下调","跟踪有效"))),"记录类型无效")))</f>
        <v/>
      </c>
    </row>
    <row r="214">
      <c r="A214" s="28" t="n"/>
      <c r="B214" s="28" t="n"/>
      <c r="C214" s="31">
        <f>IF(B214="","",IFERROR(LOOKUP(2,1/(单次交易!$A$2:$A$201=B214),单次交易!$B$2:$B$201),""))</f>
        <v/>
      </c>
      <c r="D214" s="27" t="n"/>
      <c r="E214" s="43" t="n"/>
      <c r="F214" s="43" t="n"/>
      <c r="G214" s="28" t="n"/>
      <c r="H214" s="49" t="n"/>
      <c r="I214" s="43" t="n"/>
      <c r="J214" s="27" t="n"/>
      <c r="K214" s="28" t="n"/>
      <c r="L214" s="28" t="n"/>
      <c r="M214" s="28" t="n"/>
      <c r="N214" s="44">
        <f>IF(B214="","",IFERROR(LOOKUP(2,1/(单次交易!$A$2:$A$201=B214),单次交易!$N$2:$N$201),""))</f>
        <v/>
      </c>
      <c r="O214" s="44">
        <f>IF(A214&lt;&gt;"每日跟踪","",IF(OR(B214="",H214="",I214=""),"",IFERROR(AGGREGATE(14,6,$I$2:$I$501/(($A$2:$A$501="每日跟踪")*($B$2:$B$501=B214)*($H$2:$H$501&lt;=H214)),1),"")))</f>
        <v/>
      </c>
      <c r="P214" s="26">
        <f>IF(A214&lt;&gt;"每日跟踪","",IF(O214="","",IFERROR(AGGREGATE(14,6,$D$2:$D$501/(($A$2:$A$501="止损计划")*($B$2:$B$501=B214)*($E$2:$E$501&lt;=O214)),1),0)))</f>
        <v/>
      </c>
      <c r="Q214" s="44">
        <f>IF(A214&lt;&gt;"每日跟踪","",IF(N214="","",MAX(N214,IFERROR(AGGREGATE(14,6,$F$2:$F$501/(($A$2:$A$501="止损计划")*($B$2:$B$501=B214)*($E$2:$E$501&lt;=O214)),1),0))))</f>
        <v/>
      </c>
      <c r="R214" s="43" t="n"/>
      <c r="S214" s="44">
        <f>IF(A214&lt;&gt;"每日跟踪","",IF(Q214="","",MAX(Q214,IFERROR(AGGREGATE(14,6,$R$2:$R$501/(($A$2:$A$501="每日跟踪")*($B$2:$B$501=B214)*($H$2:$H$501&lt;=H214)),1),0))))</f>
        <v/>
      </c>
      <c r="T214" s="44">
        <f>IF(A214&lt;&gt;"每日跟踪","",IF(O214="","",IF(COUNTIFS($A$2:$A$501,"止损计划",$B$2:$B$501,B214,$E$2:$E$501,"&gt;"&amp;O214)=0,"",AGGREGATE(15,6,$E$2:$E$501/(($A$2:$A$501="止损计划")*($B$2:$B$501=B214)*($E$2:$E$501&gt;O214)),1))))</f>
        <v/>
      </c>
      <c r="U214" s="44">
        <f>IF(OR(A214&lt;&gt;"每日跟踪",T214=""),"",IFERROR(AGGREGATE(14,6,$F$2:$F$501/(($A$2:$A$501="止损计划")*($B$2:$B$501=B214)*($E$2:$E$501=T214)),1),""))</f>
        <v/>
      </c>
      <c r="V214" s="30">
        <f>IF(OR(A214&lt;&gt;"每日跟踪",T214="",I214="",I214&lt;=0),"",T214/I214-1)</f>
        <v/>
      </c>
      <c r="W214" s="31">
        <f>IF(A214&lt;&gt;"每日跟踪","",IF(OR(I214="",S214=""),"",IF(I214&lt;=S214,"触发止损：应全部卖出","继续观察")))</f>
        <v/>
      </c>
      <c r="X214" s="28" t="n"/>
      <c r="Y214" s="43" t="n"/>
      <c r="Z214" s="26">
        <f>IF(X214&lt;&gt;"执行卖出","",IFERROR(LOOKUP(2,1/(单次交易!$A$2:$A$201=B214),单次交易!$AP$2:$AP$201),""))</f>
        <v/>
      </c>
      <c r="AA214" s="43" t="n"/>
      <c r="AB214" s="31">
        <f>IF(A214&lt;&gt;"每日跟踪","",IF(OR(B214="",H214="",I214="",J214="",K214="",L214="",M214=""),"待补充每日记录",IF(W214="触发止损：应全部卖出",IF(X214&lt;&gt;"执行卖出","违规：触发止损但未执行",IF(Y214="","待补充实际卖出价","卖出记录完整")),IF(X214="","待选择卖出动作",IF(X214="执行卖出",IF(Y214="","待补充实际卖出价","卖出记录完整"),"正常")))))</f>
        <v/>
      </c>
      <c r="AC214" s="31">
        <f>IF(A214="","",IF(A214="止损计划",IF(OR(B214="",D214="",E214="",F214="",G214=""),"计划不完整",IF(OR(D214&lt;1,D214&lt;&gt;INT(D214)),"阶段序号无效",IF(COUNTIFS($A$2:$A$501,"止损计划",$B$2:$B$501,B214,$D$2:$D$501,D214)&gt;1,"阶段序号重复",IF(E214&lt;=IFERROR(LOOKUP(2,1/('单次交易'!$A$2:$A$201=B214),'单次交易'!$E$2:$E$201),0),"激活价须高于买入价",IF(F214&lt;N214,"止损价不得低于初始止损",IF(F214&gt;E214,"止损价不得高于激活价",IF(AND(COUNTIFS($A$2:$A$501,"止损计划",$B$2:$B$501,B214,$D$2:$D$501,"&lt;"&amp;D214)&gt;0,OR(E214&lt;=AGGREGATE(14,6,$E$2:$E$501/(($A$2:$A$501="止损计划")*($B$2:$B$501=B214)*($D$2:$D$501&lt;D214)),1),F214&lt;AGGREGATE(14,6,$F$2:$F$501/(($A$2:$A$501="止损计划")*($B$2:$B$501=B214)*($D$2:$D$501&lt;D214)),1))),"阶段价格必须逐级提高","计划有效"))))))),IF(A214="每日跟踪",IF(OR(B214="",H214="",I214="",J214=""),"每日数据不完整",IF(COUNTIFS($A$2:$A$501,"每日跟踪",$B$2:$B$501,B214,$H$2:$H$501,H214)&gt;1,"同一交易日期重复",IF(AND(R214&lt;&gt;"",R214&lt;S214),"人工止损无效：不能下调","跟踪有效"))),"记录类型无效")))</f>
        <v/>
      </c>
    </row>
    <row r="215">
      <c r="A215" s="28" t="n"/>
      <c r="B215" s="28" t="n"/>
      <c r="C215" s="31">
        <f>IF(B215="","",IFERROR(LOOKUP(2,1/(单次交易!$A$2:$A$201=B215),单次交易!$B$2:$B$201),""))</f>
        <v/>
      </c>
      <c r="D215" s="27" t="n"/>
      <c r="E215" s="43" t="n"/>
      <c r="F215" s="43" t="n"/>
      <c r="G215" s="28" t="n"/>
      <c r="H215" s="49" t="n"/>
      <c r="I215" s="43" t="n"/>
      <c r="J215" s="27" t="n"/>
      <c r="K215" s="28" t="n"/>
      <c r="L215" s="28" t="n"/>
      <c r="M215" s="28" t="n"/>
      <c r="N215" s="44">
        <f>IF(B215="","",IFERROR(LOOKUP(2,1/(单次交易!$A$2:$A$201=B215),单次交易!$N$2:$N$201),""))</f>
        <v/>
      </c>
      <c r="O215" s="44">
        <f>IF(A215&lt;&gt;"每日跟踪","",IF(OR(B215="",H215="",I215=""),"",IFERROR(AGGREGATE(14,6,$I$2:$I$501/(($A$2:$A$501="每日跟踪")*($B$2:$B$501=B215)*($H$2:$H$501&lt;=H215)),1),"")))</f>
        <v/>
      </c>
      <c r="P215" s="26">
        <f>IF(A215&lt;&gt;"每日跟踪","",IF(O215="","",IFERROR(AGGREGATE(14,6,$D$2:$D$501/(($A$2:$A$501="止损计划")*($B$2:$B$501=B215)*($E$2:$E$501&lt;=O215)),1),0)))</f>
        <v/>
      </c>
      <c r="Q215" s="44">
        <f>IF(A215&lt;&gt;"每日跟踪","",IF(N215="","",MAX(N215,IFERROR(AGGREGATE(14,6,$F$2:$F$501/(($A$2:$A$501="止损计划")*($B$2:$B$501=B215)*($E$2:$E$501&lt;=O215)),1),0))))</f>
        <v/>
      </c>
      <c r="R215" s="43" t="n"/>
      <c r="S215" s="44">
        <f>IF(A215&lt;&gt;"每日跟踪","",IF(Q215="","",MAX(Q215,IFERROR(AGGREGATE(14,6,$R$2:$R$501/(($A$2:$A$501="每日跟踪")*($B$2:$B$501=B215)*($H$2:$H$501&lt;=H215)),1),0))))</f>
        <v/>
      </c>
      <c r="T215" s="44">
        <f>IF(A215&lt;&gt;"每日跟踪","",IF(O215="","",IF(COUNTIFS($A$2:$A$501,"止损计划",$B$2:$B$501,B215,$E$2:$E$501,"&gt;"&amp;O215)=0,"",AGGREGATE(15,6,$E$2:$E$501/(($A$2:$A$501="止损计划")*($B$2:$B$501=B215)*($E$2:$E$501&gt;O215)),1))))</f>
        <v/>
      </c>
      <c r="U215" s="44">
        <f>IF(OR(A215&lt;&gt;"每日跟踪",T215=""),"",IFERROR(AGGREGATE(14,6,$F$2:$F$501/(($A$2:$A$501="止损计划")*($B$2:$B$501=B215)*($E$2:$E$501=T215)),1),""))</f>
        <v/>
      </c>
      <c r="V215" s="30">
        <f>IF(OR(A215&lt;&gt;"每日跟踪",T215="",I215="",I215&lt;=0),"",T215/I215-1)</f>
        <v/>
      </c>
      <c r="W215" s="31">
        <f>IF(A215&lt;&gt;"每日跟踪","",IF(OR(I215="",S215=""),"",IF(I215&lt;=S215,"触发止损：应全部卖出","继续观察")))</f>
        <v/>
      </c>
      <c r="X215" s="28" t="n"/>
      <c r="Y215" s="43" t="n"/>
      <c r="Z215" s="26">
        <f>IF(X215&lt;&gt;"执行卖出","",IFERROR(LOOKUP(2,1/(单次交易!$A$2:$A$201=B215),单次交易!$AP$2:$AP$201),""))</f>
        <v/>
      </c>
      <c r="AA215" s="43" t="n"/>
      <c r="AB215" s="31">
        <f>IF(A215&lt;&gt;"每日跟踪","",IF(OR(B215="",H215="",I215="",J215="",K215="",L215="",M215=""),"待补充每日记录",IF(W215="触发止损：应全部卖出",IF(X215&lt;&gt;"执行卖出","违规：触发止损但未执行",IF(Y215="","待补充实际卖出价","卖出记录完整")),IF(X215="","待选择卖出动作",IF(X215="执行卖出",IF(Y215="","待补充实际卖出价","卖出记录完整"),"正常")))))</f>
        <v/>
      </c>
      <c r="AC215" s="31">
        <f>IF(A215="","",IF(A215="止损计划",IF(OR(B215="",D215="",E215="",F215="",G215=""),"计划不完整",IF(OR(D215&lt;1,D215&lt;&gt;INT(D215)),"阶段序号无效",IF(COUNTIFS($A$2:$A$501,"止损计划",$B$2:$B$501,B215,$D$2:$D$501,D215)&gt;1,"阶段序号重复",IF(E215&lt;=IFERROR(LOOKUP(2,1/('单次交易'!$A$2:$A$201=B215),'单次交易'!$E$2:$E$201),0),"激活价须高于买入价",IF(F215&lt;N215,"止损价不得低于初始止损",IF(F215&gt;E215,"止损价不得高于激活价",IF(AND(COUNTIFS($A$2:$A$501,"止损计划",$B$2:$B$501,B215,$D$2:$D$501,"&lt;"&amp;D215)&gt;0,OR(E215&lt;=AGGREGATE(14,6,$E$2:$E$501/(($A$2:$A$501="止损计划")*($B$2:$B$501=B215)*($D$2:$D$501&lt;D215)),1),F215&lt;AGGREGATE(14,6,$F$2:$F$501/(($A$2:$A$501="止损计划")*($B$2:$B$501=B215)*($D$2:$D$501&lt;D215)),1))),"阶段价格必须逐级提高","计划有效"))))))),IF(A215="每日跟踪",IF(OR(B215="",H215="",I215="",J215=""),"每日数据不完整",IF(COUNTIFS($A$2:$A$501,"每日跟踪",$B$2:$B$501,B215,$H$2:$H$501,H215)&gt;1,"同一交易日期重复",IF(AND(R215&lt;&gt;"",R215&lt;S215),"人工止损无效：不能下调","跟踪有效"))),"记录类型无效")))</f>
        <v/>
      </c>
    </row>
    <row r="216">
      <c r="A216" s="28" t="n"/>
      <c r="B216" s="28" t="n"/>
      <c r="C216" s="31">
        <f>IF(B216="","",IFERROR(LOOKUP(2,1/(单次交易!$A$2:$A$201=B216),单次交易!$B$2:$B$201),""))</f>
        <v/>
      </c>
      <c r="D216" s="27" t="n"/>
      <c r="E216" s="43" t="n"/>
      <c r="F216" s="43" t="n"/>
      <c r="G216" s="28" t="n"/>
      <c r="H216" s="49" t="n"/>
      <c r="I216" s="43" t="n"/>
      <c r="J216" s="27" t="n"/>
      <c r="K216" s="28" t="n"/>
      <c r="L216" s="28" t="n"/>
      <c r="M216" s="28" t="n"/>
      <c r="N216" s="44">
        <f>IF(B216="","",IFERROR(LOOKUP(2,1/(单次交易!$A$2:$A$201=B216),单次交易!$N$2:$N$201),""))</f>
        <v/>
      </c>
      <c r="O216" s="44">
        <f>IF(A216&lt;&gt;"每日跟踪","",IF(OR(B216="",H216="",I216=""),"",IFERROR(AGGREGATE(14,6,$I$2:$I$501/(($A$2:$A$501="每日跟踪")*($B$2:$B$501=B216)*($H$2:$H$501&lt;=H216)),1),"")))</f>
        <v/>
      </c>
      <c r="P216" s="26">
        <f>IF(A216&lt;&gt;"每日跟踪","",IF(O216="","",IFERROR(AGGREGATE(14,6,$D$2:$D$501/(($A$2:$A$501="止损计划")*($B$2:$B$501=B216)*($E$2:$E$501&lt;=O216)),1),0)))</f>
        <v/>
      </c>
      <c r="Q216" s="44">
        <f>IF(A216&lt;&gt;"每日跟踪","",IF(N216="","",MAX(N216,IFERROR(AGGREGATE(14,6,$F$2:$F$501/(($A$2:$A$501="止损计划")*($B$2:$B$501=B216)*($E$2:$E$501&lt;=O216)),1),0))))</f>
        <v/>
      </c>
      <c r="R216" s="43" t="n"/>
      <c r="S216" s="44">
        <f>IF(A216&lt;&gt;"每日跟踪","",IF(Q216="","",MAX(Q216,IFERROR(AGGREGATE(14,6,$R$2:$R$501/(($A$2:$A$501="每日跟踪")*($B$2:$B$501=B216)*($H$2:$H$501&lt;=H216)),1),0))))</f>
        <v/>
      </c>
      <c r="T216" s="44">
        <f>IF(A216&lt;&gt;"每日跟踪","",IF(O216="","",IF(COUNTIFS($A$2:$A$501,"止损计划",$B$2:$B$501,B216,$E$2:$E$501,"&gt;"&amp;O216)=0,"",AGGREGATE(15,6,$E$2:$E$501/(($A$2:$A$501="止损计划")*($B$2:$B$501=B216)*($E$2:$E$501&gt;O216)),1))))</f>
        <v/>
      </c>
      <c r="U216" s="44">
        <f>IF(OR(A216&lt;&gt;"每日跟踪",T216=""),"",IFERROR(AGGREGATE(14,6,$F$2:$F$501/(($A$2:$A$501="止损计划")*($B$2:$B$501=B216)*($E$2:$E$501=T216)),1),""))</f>
        <v/>
      </c>
      <c r="V216" s="30">
        <f>IF(OR(A216&lt;&gt;"每日跟踪",T216="",I216="",I216&lt;=0),"",T216/I216-1)</f>
        <v/>
      </c>
      <c r="W216" s="31">
        <f>IF(A216&lt;&gt;"每日跟踪","",IF(OR(I216="",S216=""),"",IF(I216&lt;=S216,"触发止损：应全部卖出","继续观察")))</f>
        <v/>
      </c>
      <c r="X216" s="28" t="n"/>
      <c r="Y216" s="43" t="n"/>
      <c r="Z216" s="26">
        <f>IF(X216&lt;&gt;"执行卖出","",IFERROR(LOOKUP(2,1/(单次交易!$A$2:$A$201=B216),单次交易!$AP$2:$AP$201),""))</f>
        <v/>
      </c>
      <c r="AA216" s="43" t="n"/>
      <c r="AB216" s="31">
        <f>IF(A216&lt;&gt;"每日跟踪","",IF(OR(B216="",H216="",I216="",J216="",K216="",L216="",M216=""),"待补充每日记录",IF(W216="触发止损：应全部卖出",IF(X216&lt;&gt;"执行卖出","违规：触发止损但未执行",IF(Y216="","待补充实际卖出价","卖出记录完整")),IF(X216="","待选择卖出动作",IF(X216="执行卖出",IF(Y216="","待补充实际卖出价","卖出记录完整"),"正常")))))</f>
        <v/>
      </c>
      <c r="AC216" s="31">
        <f>IF(A216="","",IF(A216="止损计划",IF(OR(B216="",D216="",E216="",F216="",G216=""),"计划不完整",IF(OR(D216&lt;1,D216&lt;&gt;INT(D216)),"阶段序号无效",IF(COUNTIFS($A$2:$A$501,"止损计划",$B$2:$B$501,B216,$D$2:$D$501,D216)&gt;1,"阶段序号重复",IF(E216&lt;=IFERROR(LOOKUP(2,1/('单次交易'!$A$2:$A$201=B216),'单次交易'!$E$2:$E$201),0),"激活价须高于买入价",IF(F216&lt;N216,"止损价不得低于初始止损",IF(F216&gt;E216,"止损价不得高于激活价",IF(AND(COUNTIFS($A$2:$A$501,"止损计划",$B$2:$B$501,B216,$D$2:$D$501,"&lt;"&amp;D216)&gt;0,OR(E216&lt;=AGGREGATE(14,6,$E$2:$E$501/(($A$2:$A$501="止损计划")*($B$2:$B$501=B216)*($D$2:$D$501&lt;D216)),1),F216&lt;AGGREGATE(14,6,$F$2:$F$501/(($A$2:$A$501="止损计划")*($B$2:$B$501=B216)*($D$2:$D$501&lt;D216)),1))),"阶段价格必须逐级提高","计划有效"))))))),IF(A216="每日跟踪",IF(OR(B216="",H216="",I216="",J216=""),"每日数据不完整",IF(COUNTIFS($A$2:$A$501,"每日跟踪",$B$2:$B$501,B216,$H$2:$H$501,H216)&gt;1,"同一交易日期重复",IF(AND(R216&lt;&gt;"",R216&lt;S216),"人工止损无效：不能下调","跟踪有效"))),"记录类型无效")))</f>
        <v/>
      </c>
    </row>
    <row r="217">
      <c r="A217" s="28" t="n"/>
      <c r="B217" s="28" t="n"/>
      <c r="C217" s="31">
        <f>IF(B217="","",IFERROR(LOOKUP(2,1/(单次交易!$A$2:$A$201=B217),单次交易!$B$2:$B$201),""))</f>
        <v/>
      </c>
      <c r="D217" s="27" t="n"/>
      <c r="E217" s="43" t="n"/>
      <c r="F217" s="43" t="n"/>
      <c r="G217" s="28" t="n"/>
      <c r="H217" s="49" t="n"/>
      <c r="I217" s="43" t="n"/>
      <c r="J217" s="27" t="n"/>
      <c r="K217" s="28" t="n"/>
      <c r="L217" s="28" t="n"/>
      <c r="M217" s="28" t="n"/>
      <c r="N217" s="44">
        <f>IF(B217="","",IFERROR(LOOKUP(2,1/(单次交易!$A$2:$A$201=B217),单次交易!$N$2:$N$201),""))</f>
        <v/>
      </c>
      <c r="O217" s="44">
        <f>IF(A217&lt;&gt;"每日跟踪","",IF(OR(B217="",H217="",I217=""),"",IFERROR(AGGREGATE(14,6,$I$2:$I$501/(($A$2:$A$501="每日跟踪")*($B$2:$B$501=B217)*($H$2:$H$501&lt;=H217)),1),"")))</f>
        <v/>
      </c>
      <c r="P217" s="26">
        <f>IF(A217&lt;&gt;"每日跟踪","",IF(O217="","",IFERROR(AGGREGATE(14,6,$D$2:$D$501/(($A$2:$A$501="止损计划")*($B$2:$B$501=B217)*($E$2:$E$501&lt;=O217)),1),0)))</f>
        <v/>
      </c>
      <c r="Q217" s="44">
        <f>IF(A217&lt;&gt;"每日跟踪","",IF(N217="","",MAX(N217,IFERROR(AGGREGATE(14,6,$F$2:$F$501/(($A$2:$A$501="止损计划")*($B$2:$B$501=B217)*($E$2:$E$501&lt;=O217)),1),0))))</f>
        <v/>
      </c>
      <c r="R217" s="43" t="n"/>
      <c r="S217" s="44">
        <f>IF(A217&lt;&gt;"每日跟踪","",IF(Q217="","",MAX(Q217,IFERROR(AGGREGATE(14,6,$R$2:$R$501/(($A$2:$A$501="每日跟踪")*($B$2:$B$501=B217)*($H$2:$H$501&lt;=H217)),1),0))))</f>
        <v/>
      </c>
      <c r="T217" s="44">
        <f>IF(A217&lt;&gt;"每日跟踪","",IF(O217="","",IF(COUNTIFS($A$2:$A$501,"止损计划",$B$2:$B$501,B217,$E$2:$E$501,"&gt;"&amp;O217)=0,"",AGGREGATE(15,6,$E$2:$E$501/(($A$2:$A$501="止损计划")*($B$2:$B$501=B217)*($E$2:$E$501&gt;O217)),1))))</f>
        <v/>
      </c>
      <c r="U217" s="44">
        <f>IF(OR(A217&lt;&gt;"每日跟踪",T217=""),"",IFERROR(AGGREGATE(14,6,$F$2:$F$501/(($A$2:$A$501="止损计划")*($B$2:$B$501=B217)*($E$2:$E$501=T217)),1),""))</f>
        <v/>
      </c>
      <c r="V217" s="30">
        <f>IF(OR(A217&lt;&gt;"每日跟踪",T217="",I217="",I217&lt;=0),"",T217/I217-1)</f>
        <v/>
      </c>
      <c r="W217" s="31">
        <f>IF(A217&lt;&gt;"每日跟踪","",IF(OR(I217="",S217=""),"",IF(I217&lt;=S217,"触发止损：应全部卖出","继续观察")))</f>
        <v/>
      </c>
      <c r="X217" s="28" t="n"/>
      <c r="Y217" s="43" t="n"/>
      <c r="Z217" s="26">
        <f>IF(X217&lt;&gt;"执行卖出","",IFERROR(LOOKUP(2,1/(单次交易!$A$2:$A$201=B217),单次交易!$AP$2:$AP$201),""))</f>
        <v/>
      </c>
      <c r="AA217" s="43" t="n"/>
      <c r="AB217" s="31">
        <f>IF(A217&lt;&gt;"每日跟踪","",IF(OR(B217="",H217="",I217="",J217="",K217="",L217="",M217=""),"待补充每日记录",IF(W217="触发止损：应全部卖出",IF(X217&lt;&gt;"执行卖出","违规：触发止损但未执行",IF(Y217="","待补充实际卖出价","卖出记录完整")),IF(X217="","待选择卖出动作",IF(X217="执行卖出",IF(Y217="","待补充实际卖出价","卖出记录完整"),"正常")))))</f>
        <v/>
      </c>
      <c r="AC217" s="31">
        <f>IF(A217="","",IF(A217="止损计划",IF(OR(B217="",D217="",E217="",F217="",G217=""),"计划不完整",IF(OR(D217&lt;1,D217&lt;&gt;INT(D217)),"阶段序号无效",IF(COUNTIFS($A$2:$A$501,"止损计划",$B$2:$B$501,B217,$D$2:$D$501,D217)&gt;1,"阶段序号重复",IF(E217&lt;=IFERROR(LOOKUP(2,1/('单次交易'!$A$2:$A$201=B217),'单次交易'!$E$2:$E$201),0),"激活价须高于买入价",IF(F217&lt;N217,"止损价不得低于初始止损",IF(F217&gt;E217,"止损价不得高于激活价",IF(AND(COUNTIFS($A$2:$A$501,"止损计划",$B$2:$B$501,B217,$D$2:$D$501,"&lt;"&amp;D217)&gt;0,OR(E217&lt;=AGGREGATE(14,6,$E$2:$E$501/(($A$2:$A$501="止损计划")*($B$2:$B$501=B217)*($D$2:$D$501&lt;D217)),1),F217&lt;AGGREGATE(14,6,$F$2:$F$501/(($A$2:$A$501="止损计划")*($B$2:$B$501=B217)*($D$2:$D$501&lt;D217)),1))),"阶段价格必须逐级提高","计划有效"))))))),IF(A217="每日跟踪",IF(OR(B217="",H217="",I217="",J217=""),"每日数据不完整",IF(COUNTIFS($A$2:$A$501,"每日跟踪",$B$2:$B$501,B217,$H$2:$H$501,H217)&gt;1,"同一交易日期重复",IF(AND(R217&lt;&gt;"",R217&lt;S217),"人工止损无效：不能下调","跟踪有效"))),"记录类型无效")))</f>
        <v/>
      </c>
    </row>
    <row r="218">
      <c r="A218" s="28" t="n"/>
      <c r="B218" s="28" t="n"/>
      <c r="C218" s="31">
        <f>IF(B218="","",IFERROR(LOOKUP(2,1/(单次交易!$A$2:$A$201=B218),单次交易!$B$2:$B$201),""))</f>
        <v/>
      </c>
      <c r="D218" s="27" t="n"/>
      <c r="E218" s="43" t="n"/>
      <c r="F218" s="43" t="n"/>
      <c r="G218" s="28" t="n"/>
      <c r="H218" s="49" t="n"/>
      <c r="I218" s="43" t="n"/>
      <c r="J218" s="27" t="n"/>
      <c r="K218" s="28" t="n"/>
      <c r="L218" s="28" t="n"/>
      <c r="M218" s="28" t="n"/>
      <c r="N218" s="44">
        <f>IF(B218="","",IFERROR(LOOKUP(2,1/(单次交易!$A$2:$A$201=B218),单次交易!$N$2:$N$201),""))</f>
        <v/>
      </c>
      <c r="O218" s="44">
        <f>IF(A218&lt;&gt;"每日跟踪","",IF(OR(B218="",H218="",I218=""),"",IFERROR(AGGREGATE(14,6,$I$2:$I$501/(($A$2:$A$501="每日跟踪")*($B$2:$B$501=B218)*($H$2:$H$501&lt;=H218)),1),"")))</f>
        <v/>
      </c>
      <c r="P218" s="26">
        <f>IF(A218&lt;&gt;"每日跟踪","",IF(O218="","",IFERROR(AGGREGATE(14,6,$D$2:$D$501/(($A$2:$A$501="止损计划")*($B$2:$B$501=B218)*($E$2:$E$501&lt;=O218)),1),0)))</f>
        <v/>
      </c>
      <c r="Q218" s="44">
        <f>IF(A218&lt;&gt;"每日跟踪","",IF(N218="","",MAX(N218,IFERROR(AGGREGATE(14,6,$F$2:$F$501/(($A$2:$A$501="止损计划")*($B$2:$B$501=B218)*($E$2:$E$501&lt;=O218)),1),0))))</f>
        <v/>
      </c>
      <c r="R218" s="43" t="n"/>
      <c r="S218" s="44">
        <f>IF(A218&lt;&gt;"每日跟踪","",IF(Q218="","",MAX(Q218,IFERROR(AGGREGATE(14,6,$R$2:$R$501/(($A$2:$A$501="每日跟踪")*($B$2:$B$501=B218)*($H$2:$H$501&lt;=H218)),1),0))))</f>
        <v/>
      </c>
      <c r="T218" s="44">
        <f>IF(A218&lt;&gt;"每日跟踪","",IF(O218="","",IF(COUNTIFS($A$2:$A$501,"止损计划",$B$2:$B$501,B218,$E$2:$E$501,"&gt;"&amp;O218)=0,"",AGGREGATE(15,6,$E$2:$E$501/(($A$2:$A$501="止损计划")*($B$2:$B$501=B218)*($E$2:$E$501&gt;O218)),1))))</f>
        <v/>
      </c>
      <c r="U218" s="44">
        <f>IF(OR(A218&lt;&gt;"每日跟踪",T218=""),"",IFERROR(AGGREGATE(14,6,$F$2:$F$501/(($A$2:$A$501="止损计划")*($B$2:$B$501=B218)*($E$2:$E$501=T218)),1),""))</f>
        <v/>
      </c>
      <c r="V218" s="30">
        <f>IF(OR(A218&lt;&gt;"每日跟踪",T218="",I218="",I218&lt;=0),"",T218/I218-1)</f>
        <v/>
      </c>
      <c r="W218" s="31">
        <f>IF(A218&lt;&gt;"每日跟踪","",IF(OR(I218="",S218=""),"",IF(I218&lt;=S218,"触发止损：应全部卖出","继续观察")))</f>
        <v/>
      </c>
      <c r="X218" s="28" t="n"/>
      <c r="Y218" s="43" t="n"/>
      <c r="Z218" s="26">
        <f>IF(X218&lt;&gt;"执行卖出","",IFERROR(LOOKUP(2,1/(单次交易!$A$2:$A$201=B218),单次交易!$AP$2:$AP$201),""))</f>
        <v/>
      </c>
      <c r="AA218" s="43" t="n"/>
      <c r="AB218" s="31">
        <f>IF(A218&lt;&gt;"每日跟踪","",IF(OR(B218="",H218="",I218="",J218="",K218="",L218="",M218=""),"待补充每日记录",IF(W218="触发止损：应全部卖出",IF(X218&lt;&gt;"执行卖出","违规：触发止损但未执行",IF(Y218="","待补充实际卖出价","卖出记录完整")),IF(X218="","待选择卖出动作",IF(X218="执行卖出",IF(Y218="","待补充实际卖出价","卖出记录完整"),"正常")))))</f>
        <v/>
      </c>
      <c r="AC218" s="31">
        <f>IF(A218="","",IF(A218="止损计划",IF(OR(B218="",D218="",E218="",F218="",G218=""),"计划不完整",IF(OR(D218&lt;1,D218&lt;&gt;INT(D218)),"阶段序号无效",IF(COUNTIFS($A$2:$A$501,"止损计划",$B$2:$B$501,B218,$D$2:$D$501,D218)&gt;1,"阶段序号重复",IF(E218&lt;=IFERROR(LOOKUP(2,1/('单次交易'!$A$2:$A$201=B218),'单次交易'!$E$2:$E$201),0),"激活价须高于买入价",IF(F218&lt;N218,"止损价不得低于初始止损",IF(F218&gt;E218,"止损价不得高于激活价",IF(AND(COUNTIFS($A$2:$A$501,"止损计划",$B$2:$B$501,B218,$D$2:$D$501,"&lt;"&amp;D218)&gt;0,OR(E218&lt;=AGGREGATE(14,6,$E$2:$E$501/(($A$2:$A$501="止损计划")*($B$2:$B$501=B218)*($D$2:$D$501&lt;D218)),1),F218&lt;AGGREGATE(14,6,$F$2:$F$501/(($A$2:$A$501="止损计划")*($B$2:$B$501=B218)*($D$2:$D$501&lt;D218)),1))),"阶段价格必须逐级提高","计划有效"))))))),IF(A218="每日跟踪",IF(OR(B218="",H218="",I218="",J218=""),"每日数据不完整",IF(COUNTIFS($A$2:$A$501,"每日跟踪",$B$2:$B$501,B218,$H$2:$H$501,H218)&gt;1,"同一交易日期重复",IF(AND(R218&lt;&gt;"",R218&lt;S218),"人工止损无效：不能下调","跟踪有效"))),"记录类型无效")))</f>
        <v/>
      </c>
    </row>
    <row r="219">
      <c r="A219" s="28" t="n"/>
      <c r="B219" s="28" t="n"/>
      <c r="C219" s="31">
        <f>IF(B219="","",IFERROR(LOOKUP(2,1/(单次交易!$A$2:$A$201=B219),单次交易!$B$2:$B$201),""))</f>
        <v/>
      </c>
      <c r="D219" s="27" t="n"/>
      <c r="E219" s="43" t="n"/>
      <c r="F219" s="43" t="n"/>
      <c r="G219" s="28" t="n"/>
      <c r="H219" s="49" t="n"/>
      <c r="I219" s="43" t="n"/>
      <c r="J219" s="27" t="n"/>
      <c r="K219" s="28" t="n"/>
      <c r="L219" s="28" t="n"/>
      <c r="M219" s="28" t="n"/>
      <c r="N219" s="44">
        <f>IF(B219="","",IFERROR(LOOKUP(2,1/(单次交易!$A$2:$A$201=B219),单次交易!$N$2:$N$201),""))</f>
        <v/>
      </c>
      <c r="O219" s="44">
        <f>IF(A219&lt;&gt;"每日跟踪","",IF(OR(B219="",H219="",I219=""),"",IFERROR(AGGREGATE(14,6,$I$2:$I$501/(($A$2:$A$501="每日跟踪")*($B$2:$B$501=B219)*($H$2:$H$501&lt;=H219)),1),"")))</f>
        <v/>
      </c>
      <c r="P219" s="26">
        <f>IF(A219&lt;&gt;"每日跟踪","",IF(O219="","",IFERROR(AGGREGATE(14,6,$D$2:$D$501/(($A$2:$A$501="止损计划")*($B$2:$B$501=B219)*($E$2:$E$501&lt;=O219)),1),0)))</f>
        <v/>
      </c>
      <c r="Q219" s="44">
        <f>IF(A219&lt;&gt;"每日跟踪","",IF(N219="","",MAX(N219,IFERROR(AGGREGATE(14,6,$F$2:$F$501/(($A$2:$A$501="止损计划")*($B$2:$B$501=B219)*($E$2:$E$501&lt;=O219)),1),0))))</f>
        <v/>
      </c>
      <c r="R219" s="43" t="n"/>
      <c r="S219" s="44">
        <f>IF(A219&lt;&gt;"每日跟踪","",IF(Q219="","",MAX(Q219,IFERROR(AGGREGATE(14,6,$R$2:$R$501/(($A$2:$A$501="每日跟踪")*($B$2:$B$501=B219)*($H$2:$H$501&lt;=H219)),1),0))))</f>
        <v/>
      </c>
      <c r="T219" s="44">
        <f>IF(A219&lt;&gt;"每日跟踪","",IF(O219="","",IF(COUNTIFS($A$2:$A$501,"止损计划",$B$2:$B$501,B219,$E$2:$E$501,"&gt;"&amp;O219)=0,"",AGGREGATE(15,6,$E$2:$E$501/(($A$2:$A$501="止损计划")*($B$2:$B$501=B219)*($E$2:$E$501&gt;O219)),1))))</f>
        <v/>
      </c>
      <c r="U219" s="44">
        <f>IF(OR(A219&lt;&gt;"每日跟踪",T219=""),"",IFERROR(AGGREGATE(14,6,$F$2:$F$501/(($A$2:$A$501="止损计划")*($B$2:$B$501=B219)*($E$2:$E$501=T219)),1),""))</f>
        <v/>
      </c>
      <c r="V219" s="30">
        <f>IF(OR(A219&lt;&gt;"每日跟踪",T219="",I219="",I219&lt;=0),"",T219/I219-1)</f>
        <v/>
      </c>
      <c r="W219" s="31">
        <f>IF(A219&lt;&gt;"每日跟踪","",IF(OR(I219="",S219=""),"",IF(I219&lt;=S219,"触发止损：应全部卖出","继续观察")))</f>
        <v/>
      </c>
      <c r="X219" s="28" t="n"/>
      <c r="Y219" s="43" t="n"/>
      <c r="Z219" s="26">
        <f>IF(X219&lt;&gt;"执行卖出","",IFERROR(LOOKUP(2,1/(单次交易!$A$2:$A$201=B219),单次交易!$AP$2:$AP$201),""))</f>
        <v/>
      </c>
      <c r="AA219" s="43" t="n"/>
      <c r="AB219" s="31">
        <f>IF(A219&lt;&gt;"每日跟踪","",IF(OR(B219="",H219="",I219="",J219="",K219="",L219="",M219=""),"待补充每日记录",IF(W219="触发止损：应全部卖出",IF(X219&lt;&gt;"执行卖出","违规：触发止损但未执行",IF(Y219="","待补充实际卖出价","卖出记录完整")),IF(X219="","待选择卖出动作",IF(X219="执行卖出",IF(Y219="","待补充实际卖出价","卖出记录完整"),"正常")))))</f>
        <v/>
      </c>
      <c r="AC219" s="31">
        <f>IF(A219="","",IF(A219="止损计划",IF(OR(B219="",D219="",E219="",F219="",G219=""),"计划不完整",IF(OR(D219&lt;1,D219&lt;&gt;INT(D219)),"阶段序号无效",IF(COUNTIFS($A$2:$A$501,"止损计划",$B$2:$B$501,B219,$D$2:$D$501,D219)&gt;1,"阶段序号重复",IF(E219&lt;=IFERROR(LOOKUP(2,1/('单次交易'!$A$2:$A$201=B219),'单次交易'!$E$2:$E$201),0),"激活价须高于买入价",IF(F219&lt;N219,"止损价不得低于初始止损",IF(F219&gt;E219,"止损价不得高于激活价",IF(AND(COUNTIFS($A$2:$A$501,"止损计划",$B$2:$B$501,B219,$D$2:$D$501,"&lt;"&amp;D219)&gt;0,OR(E219&lt;=AGGREGATE(14,6,$E$2:$E$501/(($A$2:$A$501="止损计划")*($B$2:$B$501=B219)*($D$2:$D$501&lt;D219)),1),F219&lt;AGGREGATE(14,6,$F$2:$F$501/(($A$2:$A$501="止损计划")*($B$2:$B$501=B219)*($D$2:$D$501&lt;D219)),1))),"阶段价格必须逐级提高","计划有效"))))))),IF(A219="每日跟踪",IF(OR(B219="",H219="",I219="",J219=""),"每日数据不完整",IF(COUNTIFS($A$2:$A$501,"每日跟踪",$B$2:$B$501,B219,$H$2:$H$501,H219)&gt;1,"同一交易日期重复",IF(AND(R219&lt;&gt;"",R219&lt;S219),"人工止损无效：不能下调","跟踪有效"))),"记录类型无效")))</f>
        <v/>
      </c>
    </row>
    <row r="220">
      <c r="A220" s="28" t="n"/>
      <c r="B220" s="28" t="n"/>
      <c r="C220" s="31">
        <f>IF(B220="","",IFERROR(LOOKUP(2,1/(单次交易!$A$2:$A$201=B220),单次交易!$B$2:$B$201),""))</f>
        <v/>
      </c>
      <c r="D220" s="27" t="n"/>
      <c r="E220" s="43" t="n"/>
      <c r="F220" s="43" t="n"/>
      <c r="G220" s="28" t="n"/>
      <c r="H220" s="49" t="n"/>
      <c r="I220" s="43" t="n"/>
      <c r="J220" s="27" t="n"/>
      <c r="K220" s="28" t="n"/>
      <c r="L220" s="28" t="n"/>
      <c r="M220" s="28" t="n"/>
      <c r="N220" s="44">
        <f>IF(B220="","",IFERROR(LOOKUP(2,1/(单次交易!$A$2:$A$201=B220),单次交易!$N$2:$N$201),""))</f>
        <v/>
      </c>
      <c r="O220" s="44">
        <f>IF(A220&lt;&gt;"每日跟踪","",IF(OR(B220="",H220="",I220=""),"",IFERROR(AGGREGATE(14,6,$I$2:$I$501/(($A$2:$A$501="每日跟踪")*($B$2:$B$501=B220)*($H$2:$H$501&lt;=H220)),1),"")))</f>
        <v/>
      </c>
      <c r="P220" s="26">
        <f>IF(A220&lt;&gt;"每日跟踪","",IF(O220="","",IFERROR(AGGREGATE(14,6,$D$2:$D$501/(($A$2:$A$501="止损计划")*($B$2:$B$501=B220)*($E$2:$E$501&lt;=O220)),1),0)))</f>
        <v/>
      </c>
      <c r="Q220" s="44">
        <f>IF(A220&lt;&gt;"每日跟踪","",IF(N220="","",MAX(N220,IFERROR(AGGREGATE(14,6,$F$2:$F$501/(($A$2:$A$501="止损计划")*($B$2:$B$501=B220)*($E$2:$E$501&lt;=O220)),1),0))))</f>
        <v/>
      </c>
      <c r="R220" s="43" t="n"/>
      <c r="S220" s="44">
        <f>IF(A220&lt;&gt;"每日跟踪","",IF(Q220="","",MAX(Q220,IFERROR(AGGREGATE(14,6,$R$2:$R$501/(($A$2:$A$501="每日跟踪")*($B$2:$B$501=B220)*($H$2:$H$501&lt;=H220)),1),0))))</f>
        <v/>
      </c>
      <c r="T220" s="44">
        <f>IF(A220&lt;&gt;"每日跟踪","",IF(O220="","",IF(COUNTIFS($A$2:$A$501,"止损计划",$B$2:$B$501,B220,$E$2:$E$501,"&gt;"&amp;O220)=0,"",AGGREGATE(15,6,$E$2:$E$501/(($A$2:$A$501="止损计划")*($B$2:$B$501=B220)*($E$2:$E$501&gt;O220)),1))))</f>
        <v/>
      </c>
      <c r="U220" s="44">
        <f>IF(OR(A220&lt;&gt;"每日跟踪",T220=""),"",IFERROR(AGGREGATE(14,6,$F$2:$F$501/(($A$2:$A$501="止损计划")*($B$2:$B$501=B220)*($E$2:$E$501=T220)),1),""))</f>
        <v/>
      </c>
      <c r="V220" s="30">
        <f>IF(OR(A220&lt;&gt;"每日跟踪",T220="",I220="",I220&lt;=0),"",T220/I220-1)</f>
        <v/>
      </c>
      <c r="W220" s="31">
        <f>IF(A220&lt;&gt;"每日跟踪","",IF(OR(I220="",S220=""),"",IF(I220&lt;=S220,"触发止损：应全部卖出","继续观察")))</f>
        <v/>
      </c>
      <c r="X220" s="28" t="n"/>
      <c r="Y220" s="43" t="n"/>
      <c r="Z220" s="26">
        <f>IF(X220&lt;&gt;"执行卖出","",IFERROR(LOOKUP(2,1/(单次交易!$A$2:$A$201=B220),单次交易!$AP$2:$AP$201),""))</f>
        <v/>
      </c>
      <c r="AA220" s="43" t="n"/>
      <c r="AB220" s="31">
        <f>IF(A220&lt;&gt;"每日跟踪","",IF(OR(B220="",H220="",I220="",J220="",K220="",L220="",M220=""),"待补充每日记录",IF(W220="触发止损：应全部卖出",IF(X220&lt;&gt;"执行卖出","违规：触发止损但未执行",IF(Y220="","待补充实际卖出价","卖出记录完整")),IF(X220="","待选择卖出动作",IF(X220="执行卖出",IF(Y220="","待补充实际卖出价","卖出记录完整"),"正常")))))</f>
        <v/>
      </c>
      <c r="AC220" s="31">
        <f>IF(A220="","",IF(A220="止损计划",IF(OR(B220="",D220="",E220="",F220="",G220=""),"计划不完整",IF(OR(D220&lt;1,D220&lt;&gt;INT(D220)),"阶段序号无效",IF(COUNTIFS($A$2:$A$501,"止损计划",$B$2:$B$501,B220,$D$2:$D$501,D220)&gt;1,"阶段序号重复",IF(E220&lt;=IFERROR(LOOKUP(2,1/('单次交易'!$A$2:$A$201=B220),'单次交易'!$E$2:$E$201),0),"激活价须高于买入价",IF(F220&lt;N220,"止损价不得低于初始止损",IF(F220&gt;E220,"止损价不得高于激活价",IF(AND(COUNTIFS($A$2:$A$501,"止损计划",$B$2:$B$501,B220,$D$2:$D$501,"&lt;"&amp;D220)&gt;0,OR(E220&lt;=AGGREGATE(14,6,$E$2:$E$501/(($A$2:$A$501="止损计划")*($B$2:$B$501=B220)*($D$2:$D$501&lt;D220)),1),F220&lt;AGGREGATE(14,6,$F$2:$F$501/(($A$2:$A$501="止损计划")*($B$2:$B$501=B220)*($D$2:$D$501&lt;D220)),1))),"阶段价格必须逐级提高","计划有效"))))))),IF(A220="每日跟踪",IF(OR(B220="",H220="",I220="",J220=""),"每日数据不完整",IF(COUNTIFS($A$2:$A$501,"每日跟踪",$B$2:$B$501,B220,$H$2:$H$501,H220)&gt;1,"同一交易日期重复",IF(AND(R220&lt;&gt;"",R220&lt;S220),"人工止损无效：不能下调","跟踪有效"))),"记录类型无效")))</f>
        <v/>
      </c>
    </row>
    <row r="221">
      <c r="A221" s="28" t="n"/>
      <c r="B221" s="28" t="n"/>
      <c r="C221" s="31">
        <f>IF(B221="","",IFERROR(LOOKUP(2,1/(单次交易!$A$2:$A$201=B221),单次交易!$B$2:$B$201),""))</f>
        <v/>
      </c>
      <c r="D221" s="27" t="n"/>
      <c r="E221" s="43" t="n"/>
      <c r="F221" s="43" t="n"/>
      <c r="G221" s="28" t="n"/>
      <c r="H221" s="49" t="n"/>
      <c r="I221" s="43" t="n"/>
      <c r="J221" s="27" t="n"/>
      <c r="K221" s="28" t="n"/>
      <c r="L221" s="28" t="n"/>
      <c r="M221" s="28" t="n"/>
      <c r="N221" s="44">
        <f>IF(B221="","",IFERROR(LOOKUP(2,1/(单次交易!$A$2:$A$201=B221),单次交易!$N$2:$N$201),""))</f>
        <v/>
      </c>
      <c r="O221" s="44">
        <f>IF(A221&lt;&gt;"每日跟踪","",IF(OR(B221="",H221="",I221=""),"",IFERROR(AGGREGATE(14,6,$I$2:$I$501/(($A$2:$A$501="每日跟踪")*($B$2:$B$501=B221)*($H$2:$H$501&lt;=H221)),1),"")))</f>
        <v/>
      </c>
      <c r="P221" s="26">
        <f>IF(A221&lt;&gt;"每日跟踪","",IF(O221="","",IFERROR(AGGREGATE(14,6,$D$2:$D$501/(($A$2:$A$501="止损计划")*($B$2:$B$501=B221)*($E$2:$E$501&lt;=O221)),1),0)))</f>
        <v/>
      </c>
      <c r="Q221" s="44">
        <f>IF(A221&lt;&gt;"每日跟踪","",IF(N221="","",MAX(N221,IFERROR(AGGREGATE(14,6,$F$2:$F$501/(($A$2:$A$501="止损计划")*($B$2:$B$501=B221)*($E$2:$E$501&lt;=O221)),1),0))))</f>
        <v/>
      </c>
      <c r="R221" s="43" t="n"/>
      <c r="S221" s="44">
        <f>IF(A221&lt;&gt;"每日跟踪","",IF(Q221="","",MAX(Q221,IFERROR(AGGREGATE(14,6,$R$2:$R$501/(($A$2:$A$501="每日跟踪")*($B$2:$B$501=B221)*($H$2:$H$501&lt;=H221)),1),0))))</f>
        <v/>
      </c>
      <c r="T221" s="44">
        <f>IF(A221&lt;&gt;"每日跟踪","",IF(O221="","",IF(COUNTIFS($A$2:$A$501,"止损计划",$B$2:$B$501,B221,$E$2:$E$501,"&gt;"&amp;O221)=0,"",AGGREGATE(15,6,$E$2:$E$501/(($A$2:$A$501="止损计划")*($B$2:$B$501=B221)*($E$2:$E$501&gt;O221)),1))))</f>
        <v/>
      </c>
      <c r="U221" s="44">
        <f>IF(OR(A221&lt;&gt;"每日跟踪",T221=""),"",IFERROR(AGGREGATE(14,6,$F$2:$F$501/(($A$2:$A$501="止损计划")*($B$2:$B$501=B221)*($E$2:$E$501=T221)),1),""))</f>
        <v/>
      </c>
      <c r="V221" s="30">
        <f>IF(OR(A221&lt;&gt;"每日跟踪",T221="",I221="",I221&lt;=0),"",T221/I221-1)</f>
        <v/>
      </c>
      <c r="W221" s="31">
        <f>IF(A221&lt;&gt;"每日跟踪","",IF(OR(I221="",S221=""),"",IF(I221&lt;=S221,"触发止损：应全部卖出","继续观察")))</f>
        <v/>
      </c>
      <c r="X221" s="28" t="n"/>
      <c r="Y221" s="43" t="n"/>
      <c r="Z221" s="26">
        <f>IF(X221&lt;&gt;"执行卖出","",IFERROR(LOOKUP(2,1/(单次交易!$A$2:$A$201=B221),单次交易!$AP$2:$AP$201),""))</f>
        <v/>
      </c>
      <c r="AA221" s="43" t="n"/>
      <c r="AB221" s="31">
        <f>IF(A221&lt;&gt;"每日跟踪","",IF(OR(B221="",H221="",I221="",J221="",K221="",L221="",M221=""),"待补充每日记录",IF(W221="触发止损：应全部卖出",IF(X221&lt;&gt;"执行卖出","违规：触发止损但未执行",IF(Y221="","待补充实际卖出价","卖出记录完整")),IF(X221="","待选择卖出动作",IF(X221="执行卖出",IF(Y221="","待补充实际卖出价","卖出记录完整"),"正常")))))</f>
        <v/>
      </c>
      <c r="AC221" s="31">
        <f>IF(A221="","",IF(A221="止损计划",IF(OR(B221="",D221="",E221="",F221="",G221=""),"计划不完整",IF(OR(D221&lt;1,D221&lt;&gt;INT(D221)),"阶段序号无效",IF(COUNTIFS($A$2:$A$501,"止损计划",$B$2:$B$501,B221,$D$2:$D$501,D221)&gt;1,"阶段序号重复",IF(E221&lt;=IFERROR(LOOKUP(2,1/('单次交易'!$A$2:$A$201=B221),'单次交易'!$E$2:$E$201),0),"激活价须高于买入价",IF(F221&lt;N221,"止损价不得低于初始止损",IF(F221&gt;E221,"止损价不得高于激活价",IF(AND(COUNTIFS($A$2:$A$501,"止损计划",$B$2:$B$501,B221,$D$2:$D$501,"&lt;"&amp;D221)&gt;0,OR(E221&lt;=AGGREGATE(14,6,$E$2:$E$501/(($A$2:$A$501="止损计划")*($B$2:$B$501=B221)*($D$2:$D$501&lt;D221)),1),F221&lt;AGGREGATE(14,6,$F$2:$F$501/(($A$2:$A$501="止损计划")*($B$2:$B$501=B221)*($D$2:$D$501&lt;D221)),1))),"阶段价格必须逐级提高","计划有效"))))))),IF(A221="每日跟踪",IF(OR(B221="",H221="",I221="",J221=""),"每日数据不完整",IF(COUNTIFS($A$2:$A$501,"每日跟踪",$B$2:$B$501,B221,$H$2:$H$501,H221)&gt;1,"同一交易日期重复",IF(AND(R221&lt;&gt;"",R221&lt;S221),"人工止损无效：不能下调","跟踪有效"))),"记录类型无效")))</f>
        <v/>
      </c>
    </row>
    <row r="222">
      <c r="A222" s="28" t="n"/>
      <c r="B222" s="28" t="n"/>
      <c r="C222" s="31">
        <f>IF(B222="","",IFERROR(LOOKUP(2,1/(单次交易!$A$2:$A$201=B222),单次交易!$B$2:$B$201),""))</f>
        <v/>
      </c>
      <c r="D222" s="27" t="n"/>
      <c r="E222" s="43" t="n"/>
      <c r="F222" s="43" t="n"/>
      <c r="G222" s="28" t="n"/>
      <c r="H222" s="49" t="n"/>
      <c r="I222" s="43" t="n"/>
      <c r="J222" s="27" t="n"/>
      <c r="K222" s="28" t="n"/>
      <c r="L222" s="28" t="n"/>
      <c r="M222" s="28" t="n"/>
      <c r="N222" s="44">
        <f>IF(B222="","",IFERROR(LOOKUP(2,1/(单次交易!$A$2:$A$201=B222),单次交易!$N$2:$N$201),""))</f>
        <v/>
      </c>
      <c r="O222" s="44">
        <f>IF(A222&lt;&gt;"每日跟踪","",IF(OR(B222="",H222="",I222=""),"",IFERROR(AGGREGATE(14,6,$I$2:$I$501/(($A$2:$A$501="每日跟踪")*($B$2:$B$501=B222)*($H$2:$H$501&lt;=H222)),1),"")))</f>
        <v/>
      </c>
      <c r="P222" s="26">
        <f>IF(A222&lt;&gt;"每日跟踪","",IF(O222="","",IFERROR(AGGREGATE(14,6,$D$2:$D$501/(($A$2:$A$501="止损计划")*($B$2:$B$501=B222)*($E$2:$E$501&lt;=O222)),1),0)))</f>
        <v/>
      </c>
      <c r="Q222" s="44">
        <f>IF(A222&lt;&gt;"每日跟踪","",IF(N222="","",MAX(N222,IFERROR(AGGREGATE(14,6,$F$2:$F$501/(($A$2:$A$501="止损计划")*($B$2:$B$501=B222)*($E$2:$E$501&lt;=O222)),1),0))))</f>
        <v/>
      </c>
      <c r="R222" s="43" t="n"/>
      <c r="S222" s="44">
        <f>IF(A222&lt;&gt;"每日跟踪","",IF(Q222="","",MAX(Q222,IFERROR(AGGREGATE(14,6,$R$2:$R$501/(($A$2:$A$501="每日跟踪")*($B$2:$B$501=B222)*($H$2:$H$501&lt;=H222)),1),0))))</f>
        <v/>
      </c>
      <c r="T222" s="44">
        <f>IF(A222&lt;&gt;"每日跟踪","",IF(O222="","",IF(COUNTIFS($A$2:$A$501,"止损计划",$B$2:$B$501,B222,$E$2:$E$501,"&gt;"&amp;O222)=0,"",AGGREGATE(15,6,$E$2:$E$501/(($A$2:$A$501="止损计划")*($B$2:$B$501=B222)*($E$2:$E$501&gt;O222)),1))))</f>
        <v/>
      </c>
      <c r="U222" s="44">
        <f>IF(OR(A222&lt;&gt;"每日跟踪",T222=""),"",IFERROR(AGGREGATE(14,6,$F$2:$F$501/(($A$2:$A$501="止损计划")*($B$2:$B$501=B222)*($E$2:$E$501=T222)),1),""))</f>
        <v/>
      </c>
      <c r="V222" s="30">
        <f>IF(OR(A222&lt;&gt;"每日跟踪",T222="",I222="",I222&lt;=0),"",T222/I222-1)</f>
        <v/>
      </c>
      <c r="W222" s="31">
        <f>IF(A222&lt;&gt;"每日跟踪","",IF(OR(I222="",S222=""),"",IF(I222&lt;=S222,"触发止损：应全部卖出","继续观察")))</f>
        <v/>
      </c>
      <c r="X222" s="28" t="n"/>
      <c r="Y222" s="43" t="n"/>
      <c r="Z222" s="26">
        <f>IF(X222&lt;&gt;"执行卖出","",IFERROR(LOOKUP(2,1/(单次交易!$A$2:$A$201=B222),单次交易!$AP$2:$AP$201),""))</f>
        <v/>
      </c>
      <c r="AA222" s="43" t="n"/>
      <c r="AB222" s="31">
        <f>IF(A222&lt;&gt;"每日跟踪","",IF(OR(B222="",H222="",I222="",J222="",K222="",L222="",M222=""),"待补充每日记录",IF(W222="触发止损：应全部卖出",IF(X222&lt;&gt;"执行卖出","违规：触发止损但未执行",IF(Y222="","待补充实际卖出价","卖出记录完整")),IF(X222="","待选择卖出动作",IF(X222="执行卖出",IF(Y222="","待补充实际卖出价","卖出记录完整"),"正常")))))</f>
        <v/>
      </c>
      <c r="AC222" s="31">
        <f>IF(A222="","",IF(A222="止损计划",IF(OR(B222="",D222="",E222="",F222="",G222=""),"计划不完整",IF(OR(D222&lt;1,D222&lt;&gt;INT(D222)),"阶段序号无效",IF(COUNTIFS($A$2:$A$501,"止损计划",$B$2:$B$501,B222,$D$2:$D$501,D222)&gt;1,"阶段序号重复",IF(E222&lt;=IFERROR(LOOKUP(2,1/('单次交易'!$A$2:$A$201=B222),'单次交易'!$E$2:$E$201),0),"激活价须高于买入价",IF(F222&lt;N222,"止损价不得低于初始止损",IF(F222&gt;E222,"止损价不得高于激活价",IF(AND(COUNTIFS($A$2:$A$501,"止损计划",$B$2:$B$501,B222,$D$2:$D$501,"&lt;"&amp;D222)&gt;0,OR(E222&lt;=AGGREGATE(14,6,$E$2:$E$501/(($A$2:$A$501="止损计划")*($B$2:$B$501=B222)*($D$2:$D$501&lt;D222)),1),F222&lt;AGGREGATE(14,6,$F$2:$F$501/(($A$2:$A$501="止损计划")*($B$2:$B$501=B222)*($D$2:$D$501&lt;D222)),1))),"阶段价格必须逐级提高","计划有效"))))))),IF(A222="每日跟踪",IF(OR(B222="",H222="",I222="",J222=""),"每日数据不完整",IF(COUNTIFS($A$2:$A$501,"每日跟踪",$B$2:$B$501,B222,$H$2:$H$501,H222)&gt;1,"同一交易日期重复",IF(AND(R222&lt;&gt;"",R222&lt;S222),"人工止损无效：不能下调","跟踪有效"))),"记录类型无效")))</f>
        <v/>
      </c>
    </row>
    <row r="223">
      <c r="A223" s="28" t="n"/>
      <c r="B223" s="28" t="n"/>
      <c r="C223" s="31">
        <f>IF(B223="","",IFERROR(LOOKUP(2,1/(单次交易!$A$2:$A$201=B223),单次交易!$B$2:$B$201),""))</f>
        <v/>
      </c>
      <c r="D223" s="27" t="n"/>
      <c r="E223" s="43" t="n"/>
      <c r="F223" s="43" t="n"/>
      <c r="G223" s="28" t="n"/>
      <c r="H223" s="49" t="n"/>
      <c r="I223" s="43" t="n"/>
      <c r="J223" s="27" t="n"/>
      <c r="K223" s="28" t="n"/>
      <c r="L223" s="28" t="n"/>
      <c r="M223" s="28" t="n"/>
      <c r="N223" s="44">
        <f>IF(B223="","",IFERROR(LOOKUP(2,1/(单次交易!$A$2:$A$201=B223),单次交易!$N$2:$N$201),""))</f>
        <v/>
      </c>
      <c r="O223" s="44">
        <f>IF(A223&lt;&gt;"每日跟踪","",IF(OR(B223="",H223="",I223=""),"",IFERROR(AGGREGATE(14,6,$I$2:$I$501/(($A$2:$A$501="每日跟踪")*($B$2:$B$501=B223)*($H$2:$H$501&lt;=H223)),1),"")))</f>
        <v/>
      </c>
      <c r="P223" s="26">
        <f>IF(A223&lt;&gt;"每日跟踪","",IF(O223="","",IFERROR(AGGREGATE(14,6,$D$2:$D$501/(($A$2:$A$501="止损计划")*($B$2:$B$501=B223)*($E$2:$E$501&lt;=O223)),1),0)))</f>
        <v/>
      </c>
      <c r="Q223" s="44">
        <f>IF(A223&lt;&gt;"每日跟踪","",IF(N223="","",MAX(N223,IFERROR(AGGREGATE(14,6,$F$2:$F$501/(($A$2:$A$501="止损计划")*($B$2:$B$501=B223)*($E$2:$E$501&lt;=O223)),1),0))))</f>
        <v/>
      </c>
      <c r="R223" s="43" t="n"/>
      <c r="S223" s="44">
        <f>IF(A223&lt;&gt;"每日跟踪","",IF(Q223="","",MAX(Q223,IFERROR(AGGREGATE(14,6,$R$2:$R$501/(($A$2:$A$501="每日跟踪")*($B$2:$B$501=B223)*($H$2:$H$501&lt;=H223)),1),0))))</f>
        <v/>
      </c>
      <c r="T223" s="44">
        <f>IF(A223&lt;&gt;"每日跟踪","",IF(O223="","",IF(COUNTIFS($A$2:$A$501,"止损计划",$B$2:$B$501,B223,$E$2:$E$501,"&gt;"&amp;O223)=0,"",AGGREGATE(15,6,$E$2:$E$501/(($A$2:$A$501="止损计划")*($B$2:$B$501=B223)*($E$2:$E$501&gt;O223)),1))))</f>
        <v/>
      </c>
      <c r="U223" s="44">
        <f>IF(OR(A223&lt;&gt;"每日跟踪",T223=""),"",IFERROR(AGGREGATE(14,6,$F$2:$F$501/(($A$2:$A$501="止损计划")*($B$2:$B$501=B223)*($E$2:$E$501=T223)),1),""))</f>
        <v/>
      </c>
      <c r="V223" s="30">
        <f>IF(OR(A223&lt;&gt;"每日跟踪",T223="",I223="",I223&lt;=0),"",T223/I223-1)</f>
        <v/>
      </c>
      <c r="W223" s="31">
        <f>IF(A223&lt;&gt;"每日跟踪","",IF(OR(I223="",S223=""),"",IF(I223&lt;=S223,"触发止损：应全部卖出","继续观察")))</f>
        <v/>
      </c>
      <c r="X223" s="28" t="n"/>
      <c r="Y223" s="43" t="n"/>
      <c r="Z223" s="26">
        <f>IF(X223&lt;&gt;"执行卖出","",IFERROR(LOOKUP(2,1/(单次交易!$A$2:$A$201=B223),单次交易!$AP$2:$AP$201),""))</f>
        <v/>
      </c>
      <c r="AA223" s="43" t="n"/>
      <c r="AB223" s="31">
        <f>IF(A223&lt;&gt;"每日跟踪","",IF(OR(B223="",H223="",I223="",J223="",K223="",L223="",M223=""),"待补充每日记录",IF(W223="触发止损：应全部卖出",IF(X223&lt;&gt;"执行卖出","违规：触发止损但未执行",IF(Y223="","待补充实际卖出价","卖出记录完整")),IF(X223="","待选择卖出动作",IF(X223="执行卖出",IF(Y223="","待补充实际卖出价","卖出记录完整"),"正常")))))</f>
        <v/>
      </c>
      <c r="AC223" s="31">
        <f>IF(A223="","",IF(A223="止损计划",IF(OR(B223="",D223="",E223="",F223="",G223=""),"计划不完整",IF(OR(D223&lt;1,D223&lt;&gt;INT(D223)),"阶段序号无效",IF(COUNTIFS($A$2:$A$501,"止损计划",$B$2:$B$501,B223,$D$2:$D$501,D223)&gt;1,"阶段序号重复",IF(E223&lt;=IFERROR(LOOKUP(2,1/('单次交易'!$A$2:$A$201=B223),'单次交易'!$E$2:$E$201),0),"激活价须高于买入价",IF(F223&lt;N223,"止损价不得低于初始止损",IF(F223&gt;E223,"止损价不得高于激活价",IF(AND(COUNTIFS($A$2:$A$501,"止损计划",$B$2:$B$501,B223,$D$2:$D$501,"&lt;"&amp;D223)&gt;0,OR(E223&lt;=AGGREGATE(14,6,$E$2:$E$501/(($A$2:$A$501="止损计划")*($B$2:$B$501=B223)*($D$2:$D$501&lt;D223)),1),F223&lt;AGGREGATE(14,6,$F$2:$F$501/(($A$2:$A$501="止损计划")*($B$2:$B$501=B223)*($D$2:$D$501&lt;D223)),1))),"阶段价格必须逐级提高","计划有效"))))))),IF(A223="每日跟踪",IF(OR(B223="",H223="",I223="",J223=""),"每日数据不完整",IF(COUNTIFS($A$2:$A$501,"每日跟踪",$B$2:$B$501,B223,$H$2:$H$501,H223)&gt;1,"同一交易日期重复",IF(AND(R223&lt;&gt;"",R223&lt;S223),"人工止损无效：不能下调","跟踪有效"))),"记录类型无效")))</f>
        <v/>
      </c>
    </row>
    <row r="224">
      <c r="A224" s="28" t="n"/>
      <c r="B224" s="28" t="n"/>
      <c r="C224" s="31">
        <f>IF(B224="","",IFERROR(LOOKUP(2,1/(单次交易!$A$2:$A$201=B224),单次交易!$B$2:$B$201),""))</f>
        <v/>
      </c>
      <c r="D224" s="27" t="n"/>
      <c r="E224" s="43" t="n"/>
      <c r="F224" s="43" t="n"/>
      <c r="G224" s="28" t="n"/>
      <c r="H224" s="49" t="n"/>
      <c r="I224" s="43" t="n"/>
      <c r="J224" s="27" t="n"/>
      <c r="K224" s="28" t="n"/>
      <c r="L224" s="28" t="n"/>
      <c r="M224" s="28" t="n"/>
      <c r="N224" s="44">
        <f>IF(B224="","",IFERROR(LOOKUP(2,1/(单次交易!$A$2:$A$201=B224),单次交易!$N$2:$N$201),""))</f>
        <v/>
      </c>
      <c r="O224" s="44">
        <f>IF(A224&lt;&gt;"每日跟踪","",IF(OR(B224="",H224="",I224=""),"",IFERROR(AGGREGATE(14,6,$I$2:$I$501/(($A$2:$A$501="每日跟踪")*($B$2:$B$501=B224)*($H$2:$H$501&lt;=H224)),1),"")))</f>
        <v/>
      </c>
      <c r="P224" s="26">
        <f>IF(A224&lt;&gt;"每日跟踪","",IF(O224="","",IFERROR(AGGREGATE(14,6,$D$2:$D$501/(($A$2:$A$501="止损计划")*($B$2:$B$501=B224)*($E$2:$E$501&lt;=O224)),1),0)))</f>
        <v/>
      </c>
      <c r="Q224" s="44">
        <f>IF(A224&lt;&gt;"每日跟踪","",IF(N224="","",MAX(N224,IFERROR(AGGREGATE(14,6,$F$2:$F$501/(($A$2:$A$501="止损计划")*($B$2:$B$501=B224)*($E$2:$E$501&lt;=O224)),1),0))))</f>
        <v/>
      </c>
      <c r="R224" s="43" t="n"/>
      <c r="S224" s="44">
        <f>IF(A224&lt;&gt;"每日跟踪","",IF(Q224="","",MAX(Q224,IFERROR(AGGREGATE(14,6,$R$2:$R$501/(($A$2:$A$501="每日跟踪")*($B$2:$B$501=B224)*($H$2:$H$501&lt;=H224)),1),0))))</f>
        <v/>
      </c>
      <c r="T224" s="44">
        <f>IF(A224&lt;&gt;"每日跟踪","",IF(O224="","",IF(COUNTIFS($A$2:$A$501,"止损计划",$B$2:$B$501,B224,$E$2:$E$501,"&gt;"&amp;O224)=0,"",AGGREGATE(15,6,$E$2:$E$501/(($A$2:$A$501="止损计划")*($B$2:$B$501=B224)*($E$2:$E$501&gt;O224)),1))))</f>
        <v/>
      </c>
      <c r="U224" s="44">
        <f>IF(OR(A224&lt;&gt;"每日跟踪",T224=""),"",IFERROR(AGGREGATE(14,6,$F$2:$F$501/(($A$2:$A$501="止损计划")*($B$2:$B$501=B224)*($E$2:$E$501=T224)),1),""))</f>
        <v/>
      </c>
      <c r="V224" s="30">
        <f>IF(OR(A224&lt;&gt;"每日跟踪",T224="",I224="",I224&lt;=0),"",T224/I224-1)</f>
        <v/>
      </c>
      <c r="W224" s="31">
        <f>IF(A224&lt;&gt;"每日跟踪","",IF(OR(I224="",S224=""),"",IF(I224&lt;=S224,"触发止损：应全部卖出","继续观察")))</f>
        <v/>
      </c>
      <c r="X224" s="28" t="n"/>
      <c r="Y224" s="43" t="n"/>
      <c r="Z224" s="26">
        <f>IF(X224&lt;&gt;"执行卖出","",IFERROR(LOOKUP(2,1/(单次交易!$A$2:$A$201=B224),单次交易!$AP$2:$AP$201),""))</f>
        <v/>
      </c>
      <c r="AA224" s="43" t="n"/>
      <c r="AB224" s="31">
        <f>IF(A224&lt;&gt;"每日跟踪","",IF(OR(B224="",H224="",I224="",J224="",K224="",L224="",M224=""),"待补充每日记录",IF(W224="触发止损：应全部卖出",IF(X224&lt;&gt;"执行卖出","违规：触发止损但未执行",IF(Y224="","待补充实际卖出价","卖出记录完整")),IF(X224="","待选择卖出动作",IF(X224="执行卖出",IF(Y224="","待补充实际卖出价","卖出记录完整"),"正常")))))</f>
        <v/>
      </c>
      <c r="AC224" s="31">
        <f>IF(A224="","",IF(A224="止损计划",IF(OR(B224="",D224="",E224="",F224="",G224=""),"计划不完整",IF(OR(D224&lt;1,D224&lt;&gt;INT(D224)),"阶段序号无效",IF(COUNTIFS($A$2:$A$501,"止损计划",$B$2:$B$501,B224,$D$2:$D$501,D224)&gt;1,"阶段序号重复",IF(E224&lt;=IFERROR(LOOKUP(2,1/('单次交易'!$A$2:$A$201=B224),'单次交易'!$E$2:$E$201),0),"激活价须高于买入价",IF(F224&lt;N224,"止损价不得低于初始止损",IF(F224&gt;E224,"止损价不得高于激活价",IF(AND(COUNTIFS($A$2:$A$501,"止损计划",$B$2:$B$501,B224,$D$2:$D$501,"&lt;"&amp;D224)&gt;0,OR(E224&lt;=AGGREGATE(14,6,$E$2:$E$501/(($A$2:$A$501="止损计划")*($B$2:$B$501=B224)*($D$2:$D$501&lt;D224)),1),F224&lt;AGGREGATE(14,6,$F$2:$F$501/(($A$2:$A$501="止损计划")*($B$2:$B$501=B224)*($D$2:$D$501&lt;D224)),1))),"阶段价格必须逐级提高","计划有效"))))))),IF(A224="每日跟踪",IF(OR(B224="",H224="",I224="",J224=""),"每日数据不完整",IF(COUNTIFS($A$2:$A$501,"每日跟踪",$B$2:$B$501,B224,$H$2:$H$501,H224)&gt;1,"同一交易日期重复",IF(AND(R224&lt;&gt;"",R224&lt;S224),"人工止损无效：不能下调","跟踪有效"))),"记录类型无效")))</f>
        <v/>
      </c>
    </row>
    <row r="225">
      <c r="A225" s="28" t="n"/>
      <c r="B225" s="28" t="n"/>
      <c r="C225" s="31">
        <f>IF(B225="","",IFERROR(LOOKUP(2,1/(单次交易!$A$2:$A$201=B225),单次交易!$B$2:$B$201),""))</f>
        <v/>
      </c>
      <c r="D225" s="27" t="n"/>
      <c r="E225" s="43" t="n"/>
      <c r="F225" s="43" t="n"/>
      <c r="G225" s="28" t="n"/>
      <c r="H225" s="49" t="n"/>
      <c r="I225" s="43" t="n"/>
      <c r="J225" s="27" t="n"/>
      <c r="K225" s="28" t="n"/>
      <c r="L225" s="28" t="n"/>
      <c r="M225" s="28" t="n"/>
      <c r="N225" s="44">
        <f>IF(B225="","",IFERROR(LOOKUP(2,1/(单次交易!$A$2:$A$201=B225),单次交易!$N$2:$N$201),""))</f>
        <v/>
      </c>
      <c r="O225" s="44">
        <f>IF(A225&lt;&gt;"每日跟踪","",IF(OR(B225="",H225="",I225=""),"",IFERROR(AGGREGATE(14,6,$I$2:$I$501/(($A$2:$A$501="每日跟踪")*($B$2:$B$501=B225)*($H$2:$H$501&lt;=H225)),1),"")))</f>
        <v/>
      </c>
      <c r="P225" s="26">
        <f>IF(A225&lt;&gt;"每日跟踪","",IF(O225="","",IFERROR(AGGREGATE(14,6,$D$2:$D$501/(($A$2:$A$501="止损计划")*($B$2:$B$501=B225)*($E$2:$E$501&lt;=O225)),1),0)))</f>
        <v/>
      </c>
      <c r="Q225" s="44">
        <f>IF(A225&lt;&gt;"每日跟踪","",IF(N225="","",MAX(N225,IFERROR(AGGREGATE(14,6,$F$2:$F$501/(($A$2:$A$501="止损计划")*($B$2:$B$501=B225)*($E$2:$E$501&lt;=O225)),1),0))))</f>
        <v/>
      </c>
      <c r="R225" s="43" t="n"/>
      <c r="S225" s="44">
        <f>IF(A225&lt;&gt;"每日跟踪","",IF(Q225="","",MAX(Q225,IFERROR(AGGREGATE(14,6,$R$2:$R$501/(($A$2:$A$501="每日跟踪")*($B$2:$B$501=B225)*($H$2:$H$501&lt;=H225)),1),0))))</f>
        <v/>
      </c>
      <c r="T225" s="44">
        <f>IF(A225&lt;&gt;"每日跟踪","",IF(O225="","",IF(COUNTIFS($A$2:$A$501,"止损计划",$B$2:$B$501,B225,$E$2:$E$501,"&gt;"&amp;O225)=0,"",AGGREGATE(15,6,$E$2:$E$501/(($A$2:$A$501="止损计划")*($B$2:$B$501=B225)*($E$2:$E$501&gt;O225)),1))))</f>
        <v/>
      </c>
      <c r="U225" s="44">
        <f>IF(OR(A225&lt;&gt;"每日跟踪",T225=""),"",IFERROR(AGGREGATE(14,6,$F$2:$F$501/(($A$2:$A$501="止损计划")*($B$2:$B$501=B225)*($E$2:$E$501=T225)),1),""))</f>
        <v/>
      </c>
      <c r="V225" s="30">
        <f>IF(OR(A225&lt;&gt;"每日跟踪",T225="",I225="",I225&lt;=0),"",T225/I225-1)</f>
        <v/>
      </c>
      <c r="W225" s="31">
        <f>IF(A225&lt;&gt;"每日跟踪","",IF(OR(I225="",S225=""),"",IF(I225&lt;=S225,"触发止损：应全部卖出","继续观察")))</f>
        <v/>
      </c>
      <c r="X225" s="28" t="n"/>
      <c r="Y225" s="43" t="n"/>
      <c r="Z225" s="26">
        <f>IF(X225&lt;&gt;"执行卖出","",IFERROR(LOOKUP(2,1/(单次交易!$A$2:$A$201=B225),单次交易!$AP$2:$AP$201),""))</f>
        <v/>
      </c>
      <c r="AA225" s="43" t="n"/>
      <c r="AB225" s="31">
        <f>IF(A225&lt;&gt;"每日跟踪","",IF(OR(B225="",H225="",I225="",J225="",K225="",L225="",M225=""),"待补充每日记录",IF(W225="触发止损：应全部卖出",IF(X225&lt;&gt;"执行卖出","违规：触发止损但未执行",IF(Y225="","待补充实际卖出价","卖出记录完整")),IF(X225="","待选择卖出动作",IF(X225="执行卖出",IF(Y225="","待补充实际卖出价","卖出记录完整"),"正常")))))</f>
        <v/>
      </c>
      <c r="AC225" s="31">
        <f>IF(A225="","",IF(A225="止损计划",IF(OR(B225="",D225="",E225="",F225="",G225=""),"计划不完整",IF(OR(D225&lt;1,D225&lt;&gt;INT(D225)),"阶段序号无效",IF(COUNTIFS($A$2:$A$501,"止损计划",$B$2:$B$501,B225,$D$2:$D$501,D225)&gt;1,"阶段序号重复",IF(E225&lt;=IFERROR(LOOKUP(2,1/('单次交易'!$A$2:$A$201=B225),'单次交易'!$E$2:$E$201),0),"激活价须高于买入价",IF(F225&lt;N225,"止损价不得低于初始止损",IF(F225&gt;E225,"止损价不得高于激活价",IF(AND(COUNTIFS($A$2:$A$501,"止损计划",$B$2:$B$501,B225,$D$2:$D$501,"&lt;"&amp;D225)&gt;0,OR(E225&lt;=AGGREGATE(14,6,$E$2:$E$501/(($A$2:$A$501="止损计划")*($B$2:$B$501=B225)*($D$2:$D$501&lt;D225)),1),F225&lt;AGGREGATE(14,6,$F$2:$F$501/(($A$2:$A$501="止损计划")*($B$2:$B$501=B225)*($D$2:$D$501&lt;D225)),1))),"阶段价格必须逐级提高","计划有效"))))))),IF(A225="每日跟踪",IF(OR(B225="",H225="",I225="",J225=""),"每日数据不完整",IF(COUNTIFS($A$2:$A$501,"每日跟踪",$B$2:$B$501,B225,$H$2:$H$501,H225)&gt;1,"同一交易日期重复",IF(AND(R225&lt;&gt;"",R225&lt;S225),"人工止损无效：不能下调","跟踪有效"))),"记录类型无效")))</f>
        <v/>
      </c>
    </row>
    <row r="226">
      <c r="A226" s="28" t="n"/>
      <c r="B226" s="28" t="n"/>
      <c r="C226" s="31">
        <f>IF(B226="","",IFERROR(LOOKUP(2,1/(单次交易!$A$2:$A$201=B226),单次交易!$B$2:$B$201),""))</f>
        <v/>
      </c>
      <c r="D226" s="27" t="n"/>
      <c r="E226" s="43" t="n"/>
      <c r="F226" s="43" t="n"/>
      <c r="G226" s="28" t="n"/>
      <c r="H226" s="49" t="n"/>
      <c r="I226" s="43" t="n"/>
      <c r="J226" s="27" t="n"/>
      <c r="K226" s="28" t="n"/>
      <c r="L226" s="28" t="n"/>
      <c r="M226" s="28" t="n"/>
      <c r="N226" s="44">
        <f>IF(B226="","",IFERROR(LOOKUP(2,1/(单次交易!$A$2:$A$201=B226),单次交易!$N$2:$N$201),""))</f>
        <v/>
      </c>
      <c r="O226" s="44">
        <f>IF(A226&lt;&gt;"每日跟踪","",IF(OR(B226="",H226="",I226=""),"",IFERROR(AGGREGATE(14,6,$I$2:$I$501/(($A$2:$A$501="每日跟踪")*($B$2:$B$501=B226)*($H$2:$H$501&lt;=H226)),1),"")))</f>
        <v/>
      </c>
      <c r="P226" s="26">
        <f>IF(A226&lt;&gt;"每日跟踪","",IF(O226="","",IFERROR(AGGREGATE(14,6,$D$2:$D$501/(($A$2:$A$501="止损计划")*($B$2:$B$501=B226)*($E$2:$E$501&lt;=O226)),1),0)))</f>
        <v/>
      </c>
      <c r="Q226" s="44">
        <f>IF(A226&lt;&gt;"每日跟踪","",IF(N226="","",MAX(N226,IFERROR(AGGREGATE(14,6,$F$2:$F$501/(($A$2:$A$501="止损计划")*($B$2:$B$501=B226)*($E$2:$E$501&lt;=O226)),1),0))))</f>
        <v/>
      </c>
      <c r="R226" s="43" t="n"/>
      <c r="S226" s="44">
        <f>IF(A226&lt;&gt;"每日跟踪","",IF(Q226="","",MAX(Q226,IFERROR(AGGREGATE(14,6,$R$2:$R$501/(($A$2:$A$501="每日跟踪")*($B$2:$B$501=B226)*($H$2:$H$501&lt;=H226)),1),0))))</f>
        <v/>
      </c>
      <c r="T226" s="44">
        <f>IF(A226&lt;&gt;"每日跟踪","",IF(O226="","",IF(COUNTIFS($A$2:$A$501,"止损计划",$B$2:$B$501,B226,$E$2:$E$501,"&gt;"&amp;O226)=0,"",AGGREGATE(15,6,$E$2:$E$501/(($A$2:$A$501="止损计划")*($B$2:$B$501=B226)*($E$2:$E$501&gt;O226)),1))))</f>
        <v/>
      </c>
      <c r="U226" s="44">
        <f>IF(OR(A226&lt;&gt;"每日跟踪",T226=""),"",IFERROR(AGGREGATE(14,6,$F$2:$F$501/(($A$2:$A$501="止损计划")*($B$2:$B$501=B226)*($E$2:$E$501=T226)),1),""))</f>
        <v/>
      </c>
      <c r="V226" s="30">
        <f>IF(OR(A226&lt;&gt;"每日跟踪",T226="",I226="",I226&lt;=0),"",T226/I226-1)</f>
        <v/>
      </c>
      <c r="W226" s="31">
        <f>IF(A226&lt;&gt;"每日跟踪","",IF(OR(I226="",S226=""),"",IF(I226&lt;=S226,"触发止损：应全部卖出","继续观察")))</f>
        <v/>
      </c>
      <c r="X226" s="28" t="n"/>
      <c r="Y226" s="43" t="n"/>
      <c r="Z226" s="26">
        <f>IF(X226&lt;&gt;"执行卖出","",IFERROR(LOOKUP(2,1/(单次交易!$A$2:$A$201=B226),单次交易!$AP$2:$AP$201),""))</f>
        <v/>
      </c>
      <c r="AA226" s="43" t="n"/>
      <c r="AB226" s="31">
        <f>IF(A226&lt;&gt;"每日跟踪","",IF(OR(B226="",H226="",I226="",J226="",K226="",L226="",M226=""),"待补充每日记录",IF(W226="触发止损：应全部卖出",IF(X226&lt;&gt;"执行卖出","违规：触发止损但未执行",IF(Y226="","待补充实际卖出价","卖出记录完整")),IF(X226="","待选择卖出动作",IF(X226="执行卖出",IF(Y226="","待补充实际卖出价","卖出记录完整"),"正常")))))</f>
        <v/>
      </c>
      <c r="AC226" s="31">
        <f>IF(A226="","",IF(A226="止损计划",IF(OR(B226="",D226="",E226="",F226="",G226=""),"计划不完整",IF(OR(D226&lt;1,D226&lt;&gt;INT(D226)),"阶段序号无效",IF(COUNTIFS($A$2:$A$501,"止损计划",$B$2:$B$501,B226,$D$2:$D$501,D226)&gt;1,"阶段序号重复",IF(E226&lt;=IFERROR(LOOKUP(2,1/('单次交易'!$A$2:$A$201=B226),'单次交易'!$E$2:$E$201),0),"激活价须高于买入价",IF(F226&lt;N226,"止损价不得低于初始止损",IF(F226&gt;E226,"止损价不得高于激活价",IF(AND(COUNTIFS($A$2:$A$501,"止损计划",$B$2:$B$501,B226,$D$2:$D$501,"&lt;"&amp;D226)&gt;0,OR(E226&lt;=AGGREGATE(14,6,$E$2:$E$501/(($A$2:$A$501="止损计划")*($B$2:$B$501=B226)*($D$2:$D$501&lt;D226)),1),F226&lt;AGGREGATE(14,6,$F$2:$F$501/(($A$2:$A$501="止损计划")*($B$2:$B$501=B226)*($D$2:$D$501&lt;D226)),1))),"阶段价格必须逐级提高","计划有效"))))))),IF(A226="每日跟踪",IF(OR(B226="",H226="",I226="",J226=""),"每日数据不完整",IF(COUNTIFS($A$2:$A$501,"每日跟踪",$B$2:$B$501,B226,$H$2:$H$501,H226)&gt;1,"同一交易日期重复",IF(AND(R226&lt;&gt;"",R226&lt;S226),"人工止损无效：不能下调","跟踪有效"))),"记录类型无效")))</f>
        <v/>
      </c>
    </row>
    <row r="227">
      <c r="A227" s="28" t="n"/>
      <c r="B227" s="28" t="n"/>
      <c r="C227" s="31">
        <f>IF(B227="","",IFERROR(LOOKUP(2,1/(单次交易!$A$2:$A$201=B227),单次交易!$B$2:$B$201),""))</f>
        <v/>
      </c>
      <c r="D227" s="27" t="n"/>
      <c r="E227" s="43" t="n"/>
      <c r="F227" s="43" t="n"/>
      <c r="G227" s="28" t="n"/>
      <c r="H227" s="49" t="n"/>
      <c r="I227" s="43" t="n"/>
      <c r="J227" s="27" t="n"/>
      <c r="K227" s="28" t="n"/>
      <c r="L227" s="28" t="n"/>
      <c r="M227" s="28" t="n"/>
      <c r="N227" s="44">
        <f>IF(B227="","",IFERROR(LOOKUP(2,1/(单次交易!$A$2:$A$201=B227),单次交易!$N$2:$N$201),""))</f>
        <v/>
      </c>
      <c r="O227" s="44">
        <f>IF(A227&lt;&gt;"每日跟踪","",IF(OR(B227="",H227="",I227=""),"",IFERROR(AGGREGATE(14,6,$I$2:$I$501/(($A$2:$A$501="每日跟踪")*($B$2:$B$501=B227)*($H$2:$H$501&lt;=H227)),1),"")))</f>
        <v/>
      </c>
      <c r="P227" s="26">
        <f>IF(A227&lt;&gt;"每日跟踪","",IF(O227="","",IFERROR(AGGREGATE(14,6,$D$2:$D$501/(($A$2:$A$501="止损计划")*($B$2:$B$501=B227)*($E$2:$E$501&lt;=O227)),1),0)))</f>
        <v/>
      </c>
      <c r="Q227" s="44">
        <f>IF(A227&lt;&gt;"每日跟踪","",IF(N227="","",MAX(N227,IFERROR(AGGREGATE(14,6,$F$2:$F$501/(($A$2:$A$501="止损计划")*($B$2:$B$501=B227)*($E$2:$E$501&lt;=O227)),1),0))))</f>
        <v/>
      </c>
      <c r="R227" s="43" t="n"/>
      <c r="S227" s="44">
        <f>IF(A227&lt;&gt;"每日跟踪","",IF(Q227="","",MAX(Q227,IFERROR(AGGREGATE(14,6,$R$2:$R$501/(($A$2:$A$501="每日跟踪")*($B$2:$B$501=B227)*($H$2:$H$501&lt;=H227)),1),0))))</f>
        <v/>
      </c>
      <c r="T227" s="44">
        <f>IF(A227&lt;&gt;"每日跟踪","",IF(O227="","",IF(COUNTIFS($A$2:$A$501,"止损计划",$B$2:$B$501,B227,$E$2:$E$501,"&gt;"&amp;O227)=0,"",AGGREGATE(15,6,$E$2:$E$501/(($A$2:$A$501="止损计划")*($B$2:$B$501=B227)*($E$2:$E$501&gt;O227)),1))))</f>
        <v/>
      </c>
      <c r="U227" s="44">
        <f>IF(OR(A227&lt;&gt;"每日跟踪",T227=""),"",IFERROR(AGGREGATE(14,6,$F$2:$F$501/(($A$2:$A$501="止损计划")*($B$2:$B$501=B227)*($E$2:$E$501=T227)),1),""))</f>
        <v/>
      </c>
      <c r="V227" s="30">
        <f>IF(OR(A227&lt;&gt;"每日跟踪",T227="",I227="",I227&lt;=0),"",T227/I227-1)</f>
        <v/>
      </c>
      <c r="W227" s="31">
        <f>IF(A227&lt;&gt;"每日跟踪","",IF(OR(I227="",S227=""),"",IF(I227&lt;=S227,"触发止损：应全部卖出","继续观察")))</f>
        <v/>
      </c>
      <c r="X227" s="28" t="n"/>
      <c r="Y227" s="43" t="n"/>
      <c r="Z227" s="26">
        <f>IF(X227&lt;&gt;"执行卖出","",IFERROR(LOOKUP(2,1/(单次交易!$A$2:$A$201=B227),单次交易!$AP$2:$AP$201),""))</f>
        <v/>
      </c>
      <c r="AA227" s="43" t="n"/>
      <c r="AB227" s="31">
        <f>IF(A227&lt;&gt;"每日跟踪","",IF(OR(B227="",H227="",I227="",J227="",K227="",L227="",M227=""),"待补充每日记录",IF(W227="触发止损：应全部卖出",IF(X227&lt;&gt;"执行卖出","违规：触发止损但未执行",IF(Y227="","待补充实际卖出价","卖出记录完整")),IF(X227="","待选择卖出动作",IF(X227="执行卖出",IF(Y227="","待补充实际卖出价","卖出记录完整"),"正常")))))</f>
        <v/>
      </c>
      <c r="AC227" s="31">
        <f>IF(A227="","",IF(A227="止损计划",IF(OR(B227="",D227="",E227="",F227="",G227=""),"计划不完整",IF(OR(D227&lt;1,D227&lt;&gt;INT(D227)),"阶段序号无效",IF(COUNTIFS($A$2:$A$501,"止损计划",$B$2:$B$501,B227,$D$2:$D$501,D227)&gt;1,"阶段序号重复",IF(E227&lt;=IFERROR(LOOKUP(2,1/('单次交易'!$A$2:$A$201=B227),'单次交易'!$E$2:$E$201),0),"激活价须高于买入价",IF(F227&lt;N227,"止损价不得低于初始止损",IF(F227&gt;E227,"止损价不得高于激活价",IF(AND(COUNTIFS($A$2:$A$501,"止损计划",$B$2:$B$501,B227,$D$2:$D$501,"&lt;"&amp;D227)&gt;0,OR(E227&lt;=AGGREGATE(14,6,$E$2:$E$501/(($A$2:$A$501="止损计划")*($B$2:$B$501=B227)*($D$2:$D$501&lt;D227)),1),F227&lt;AGGREGATE(14,6,$F$2:$F$501/(($A$2:$A$501="止损计划")*($B$2:$B$501=B227)*($D$2:$D$501&lt;D227)),1))),"阶段价格必须逐级提高","计划有效"))))))),IF(A227="每日跟踪",IF(OR(B227="",H227="",I227="",J227=""),"每日数据不完整",IF(COUNTIFS($A$2:$A$501,"每日跟踪",$B$2:$B$501,B227,$H$2:$H$501,H227)&gt;1,"同一交易日期重复",IF(AND(R227&lt;&gt;"",R227&lt;S227),"人工止损无效：不能下调","跟踪有效"))),"记录类型无效")))</f>
        <v/>
      </c>
    </row>
    <row r="228">
      <c r="A228" s="28" t="n"/>
      <c r="B228" s="28" t="n"/>
      <c r="C228" s="31">
        <f>IF(B228="","",IFERROR(LOOKUP(2,1/(单次交易!$A$2:$A$201=B228),单次交易!$B$2:$B$201),""))</f>
        <v/>
      </c>
      <c r="D228" s="27" t="n"/>
      <c r="E228" s="43" t="n"/>
      <c r="F228" s="43" t="n"/>
      <c r="G228" s="28" t="n"/>
      <c r="H228" s="49" t="n"/>
      <c r="I228" s="43" t="n"/>
      <c r="J228" s="27" t="n"/>
      <c r="K228" s="28" t="n"/>
      <c r="L228" s="28" t="n"/>
      <c r="M228" s="28" t="n"/>
      <c r="N228" s="44">
        <f>IF(B228="","",IFERROR(LOOKUP(2,1/(单次交易!$A$2:$A$201=B228),单次交易!$N$2:$N$201),""))</f>
        <v/>
      </c>
      <c r="O228" s="44">
        <f>IF(A228&lt;&gt;"每日跟踪","",IF(OR(B228="",H228="",I228=""),"",IFERROR(AGGREGATE(14,6,$I$2:$I$501/(($A$2:$A$501="每日跟踪")*($B$2:$B$501=B228)*($H$2:$H$501&lt;=H228)),1),"")))</f>
        <v/>
      </c>
      <c r="P228" s="26">
        <f>IF(A228&lt;&gt;"每日跟踪","",IF(O228="","",IFERROR(AGGREGATE(14,6,$D$2:$D$501/(($A$2:$A$501="止损计划")*($B$2:$B$501=B228)*($E$2:$E$501&lt;=O228)),1),0)))</f>
        <v/>
      </c>
      <c r="Q228" s="44">
        <f>IF(A228&lt;&gt;"每日跟踪","",IF(N228="","",MAX(N228,IFERROR(AGGREGATE(14,6,$F$2:$F$501/(($A$2:$A$501="止损计划")*($B$2:$B$501=B228)*($E$2:$E$501&lt;=O228)),1),0))))</f>
        <v/>
      </c>
      <c r="R228" s="43" t="n"/>
      <c r="S228" s="44">
        <f>IF(A228&lt;&gt;"每日跟踪","",IF(Q228="","",MAX(Q228,IFERROR(AGGREGATE(14,6,$R$2:$R$501/(($A$2:$A$501="每日跟踪")*($B$2:$B$501=B228)*($H$2:$H$501&lt;=H228)),1),0))))</f>
        <v/>
      </c>
      <c r="T228" s="44">
        <f>IF(A228&lt;&gt;"每日跟踪","",IF(O228="","",IF(COUNTIFS($A$2:$A$501,"止损计划",$B$2:$B$501,B228,$E$2:$E$501,"&gt;"&amp;O228)=0,"",AGGREGATE(15,6,$E$2:$E$501/(($A$2:$A$501="止损计划")*($B$2:$B$501=B228)*($E$2:$E$501&gt;O228)),1))))</f>
        <v/>
      </c>
      <c r="U228" s="44">
        <f>IF(OR(A228&lt;&gt;"每日跟踪",T228=""),"",IFERROR(AGGREGATE(14,6,$F$2:$F$501/(($A$2:$A$501="止损计划")*($B$2:$B$501=B228)*($E$2:$E$501=T228)),1),""))</f>
        <v/>
      </c>
      <c r="V228" s="30">
        <f>IF(OR(A228&lt;&gt;"每日跟踪",T228="",I228="",I228&lt;=0),"",T228/I228-1)</f>
        <v/>
      </c>
      <c r="W228" s="31">
        <f>IF(A228&lt;&gt;"每日跟踪","",IF(OR(I228="",S228=""),"",IF(I228&lt;=S228,"触发止损：应全部卖出","继续观察")))</f>
        <v/>
      </c>
      <c r="X228" s="28" t="n"/>
      <c r="Y228" s="43" t="n"/>
      <c r="Z228" s="26">
        <f>IF(X228&lt;&gt;"执行卖出","",IFERROR(LOOKUP(2,1/(单次交易!$A$2:$A$201=B228),单次交易!$AP$2:$AP$201),""))</f>
        <v/>
      </c>
      <c r="AA228" s="43" t="n"/>
      <c r="AB228" s="31">
        <f>IF(A228&lt;&gt;"每日跟踪","",IF(OR(B228="",H228="",I228="",J228="",K228="",L228="",M228=""),"待补充每日记录",IF(W228="触发止损：应全部卖出",IF(X228&lt;&gt;"执行卖出","违规：触发止损但未执行",IF(Y228="","待补充实际卖出价","卖出记录完整")),IF(X228="","待选择卖出动作",IF(X228="执行卖出",IF(Y228="","待补充实际卖出价","卖出记录完整"),"正常")))))</f>
        <v/>
      </c>
      <c r="AC228" s="31">
        <f>IF(A228="","",IF(A228="止损计划",IF(OR(B228="",D228="",E228="",F228="",G228=""),"计划不完整",IF(OR(D228&lt;1,D228&lt;&gt;INT(D228)),"阶段序号无效",IF(COUNTIFS($A$2:$A$501,"止损计划",$B$2:$B$501,B228,$D$2:$D$501,D228)&gt;1,"阶段序号重复",IF(E228&lt;=IFERROR(LOOKUP(2,1/('单次交易'!$A$2:$A$201=B228),'单次交易'!$E$2:$E$201),0),"激活价须高于买入价",IF(F228&lt;N228,"止损价不得低于初始止损",IF(F228&gt;E228,"止损价不得高于激活价",IF(AND(COUNTIFS($A$2:$A$501,"止损计划",$B$2:$B$501,B228,$D$2:$D$501,"&lt;"&amp;D228)&gt;0,OR(E228&lt;=AGGREGATE(14,6,$E$2:$E$501/(($A$2:$A$501="止损计划")*($B$2:$B$501=B228)*($D$2:$D$501&lt;D228)),1),F228&lt;AGGREGATE(14,6,$F$2:$F$501/(($A$2:$A$501="止损计划")*($B$2:$B$501=B228)*($D$2:$D$501&lt;D228)),1))),"阶段价格必须逐级提高","计划有效"))))))),IF(A228="每日跟踪",IF(OR(B228="",H228="",I228="",J228=""),"每日数据不完整",IF(COUNTIFS($A$2:$A$501,"每日跟踪",$B$2:$B$501,B228,$H$2:$H$501,H228)&gt;1,"同一交易日期重复",IF(AND(R228&lt;&gt;"",R228&lt;S228),"人工止损无效：不能下调","跟踪有效"))),"记录类型无效")))</f>
        <v/>
      </c>
    </row>
    <row r="229">
      <c r="A229" s="28" t="n"/>
      <c r="B229" s="28" t="n"/>
      <c r="C229" s="31">
        <f>IF(B229="","",IFERROR(LOOKUP(2,1/(单次交易!$A$2:$A$201=B229),单次交易!$B$2:$B$201),""))</f>
        <v/>
      </c>
      <c r="D229" s="27" t="n"/>
      <c r="E229" s="43" t="n"/>
      <c r="F229" s="43" t="n"/>
      <c r="G229" s="28" t="n"/>
      <c r="H229" s="49" t="n"/>
      <c r="I229" s="43" t="n"/>
      <c r="J229" s="27" t="n"/>
      <c r="K229" s="28" t="n"/>
      <c r="L229" s="28" t="n"/>
      <c r="M229" s="28" t="n"/>
      <c r="N229" s="44">
        <f>IF(B229="","",IFERROR(LOOKUP(2,1/(单次交易!$A$2:$A$201=B229),单次交易!$N$2:$N$201),""))</f>
        <v/>
      </c>
      <c r="O229" s="44">
        <f>IF(A229&lt;&gt;"每日跟踪","",IF(OR(B229="",H229="",I229=""),"",IFERROR(AGGREGATE(14,6,$I$2:$I$501/(($A$2:$A$501="每日跟踪")*($B$2:$B$501=B229)*($H$2:$H$501&lt;=H229)),1),"")))</f>
        <v/>
      </c>
      <c r="P229" s="26">
        <f>IF(A229&lt;&gt;"每日跟踪","",IF(O229="","",IFERROR(AGGREGATE(14,6,$D$2:$D$501/(($A$2:$A$501="止损计划")*($B$2:$B$501=B229)*($E$2:$E$501&lt;=O229)),1),0)))</f>
        <v/>
      </c>
      <c r="Q229" s="44">
        <f>IF(A229&lt;&gt;"每日跟踪","",IF(N229="","",MAX(N229,IFERROR(AGGREGATE(14,6,$F$2:$F$501/(($A$2:$A$501="止损计划")*($B$2:$B$501=B229)*($E$2:$E$501&lt;=O229)),1),0))))</f>
        <v/>
      </c>
      <c r="R229" s="43" t="n"/>
      <c r="S229" s="44">
        <f>IF(A229&lt;&gt;"每日跟踪","",IF(Q229="","",MAX(Q229,IFERROR(AGGREGATE(14,6,$R$2:$R$501/(($A$2:$A$501="每日跟踪")*($B$2:$B$501=B229)*($H$2:$H$501&lt;=H229)),1),0))))</f>
        <v/>
      </c>
      <c r="T229" s="44">
        <f>IF(A229&lt;&gt;"每日跟踪","",IF(O229="","",IF(COUNTIFS($A$2:$A$501,"止损计划",$B$2:$B$501,B229,$E$2:$E$501,"&gt;"&amp;O229)=0,"",AGGREGATE(15,6,$E$2:$E$501/(($A$2:$A$501="止损计划")*($B$2:$B$501=B229)*($E$2:$E$501&gt;O229)),1))))</f>
        <v/>
      </c>
      <c r="U229" s="44">
        <f>IF(OR(A229&lt;&gt;"每日跟踪",T229=""),"",IFERROR(AGGREGATE(14,6,$F$2:$F$501/(($A$2:$A$501="止损计划")*($B$2:$B$501=B229)*($E$2:$E$501=T229)),1),""))</f>
        <v/>
      </c>
      <c r="V229" s="30">
        <f>IF(OR(A229&lt;&gt;"每日跟踪",T229="",I229="",I229&lt;=0),"",T229/I229-1)</f>
        <v/>
      </c>
      <c r="W229" s="31">
        <f>IF(A229&lt;&gt;"每日跟踪","",IF(OR(I229="",S229=""),"",IF(I229&lt;=S229,"触发止损：应全部卖出","继续观察")))</f>
        <v/>
      </c>
      <c r="X229" s="28" t="n"/>
      <c r="Y229" s="43" t="n"/>
      <c r="Z229" s="26">
        <f>IF(X229&lt;&gt;"执行卖出","",IFERROR(LOOKUP(2,1/(单次交易!$A$2:$A$201=B229),单次交易!$AP$2:$AP$201),""))</f>
        <v/>
      </c>
      <c r="AA229" s="43" t="n"/>
      <c r="AB229" s="31">
        <f>IF(A229&lt;&gt;"每日跟踪","",IF(OR(B229="",H229="",I229="",J229="",K229="",L229="",M229=""),"待补充每日记录",IF(W229="触发止损：应全部卖出",IF(X229&lt;&gt;"执行卖出","违规：触发止损但未执行",IF(Y229="","待补充实际卖出价","卖出记录完整")),IF(X229="","待选择卖出动作",IF(X229="执行卖出",IF(Y229="","待补充实际卖出价","卖出记录完整"),"正常")))))</f>
        <v/>
      </c>
      <c r="AC229" s="31">
        <f>IF(A229="","",IF(A229="止损计划",IF(OR(B229="",D229="",E229="",F229="",G229=""),"计划不完整",IF(OR(D229&lt;1,D229&lt;&gt;INT(D229)),"阶段序号无效",IF(COUNTIFS($A$2:$A$501,"止损计划",$B$2:$B$501,B229,$D$2:$D$501,D229)&gt;1,"阶段序号重复",IF(E229&lt;=IFERROR(LOOKUP(2,1/('单次交易'!$A$2:$A$201=B229),'单次交易'!$E$2:$E$201),0),"激活价须高于买入价",IF(F229&lt;N229,"止损价不得低于初始止损",IF(F229&gt;E229,"止损价不得高于激活价",IF(AND(COUNTIFS($A$2:$A$501,"止损计划",$B$2:$B$501,B229,$D$2:$D$501,"&lt;"&amp;D229)&gt;0,OR(E229&lt;=AGGREGATE(14,6,$E$2:$E$501/(($A$2:$A$501="止损计划")*($B$2:$B$501=B229)*($D$2:$D$501&lt;D229)),1),F229&lt;AGGREGATE(14,6,$F$2:$F$501/(($A$2:$A$501="止损计划")*($B$2:$B$501=B229)*($D$2:$D$501&lt;D229)),1))),"阶段价格必须逐级提高","计划有效"))))))),IF(A229="每日跟踪",IF(OR(B229="",H229="",I229="",J229=""),"每日数据不完整",IF(COUNTIFS($A$2:$A$501,"每日跟踪",$B$2:$B$501,B229,$H$2:$H$501,H229)&gt;1,"同一交易日期重复",IF(AND(R229&lt;&gt;"",R229&lt;S229),"人工止损无效：不能下调","跟踪有效"))),"记录类型无效")))</f>
        <v/>
      </c>
    </row>
    <row r="230">
      <c r="A230" s="28" t="n"/>
      <c r="B230" s="28" t="n"/>
      <c r="C230" s="31">
        <f>IF(B230="","",IFERROR(LOOKUP(2,1/(单次交易!$A$2:$A$201=B230),单次交易!$B$2:$B$201),""))</f>
        <v/>
      </c>
      <c r="D230" s="27" t="n"/>
      <c r="E230" s="43" t="n"/>
      <c r="F230" s="43" t="n"/>
      <c r="G230" s="28" t="n"/>
      <c r="H230" s="49" t="n"/>
      <c r="I230" s="43" t="n"/>
      <c r="J230" s="27" t="n"/>
      <c r="K230" s="28" t="n"/>
      <c r="L230" s="28" t="n"/>
      <c r="M230" s="28" t="n"/>
      <c r="N230" s="44">
        <f>IF(B230="","",IFERROR(LOOKUP(2,1/(单次交易!$A$2:$A$201=B230),单次交易!$N$2:$N$201),""))</f>
        <v/>
      </c>
      <c r="O230" s="44">
        <f>IF(A230&lt;&gt;"每日跟踪","",IF(OR(B230="",H230="",I230=""),"",IFERROR(AGGREGATE(14,6,$I$2:$I$501/(($A$2:$A$501="每日跟踪")*($B$2:$B$501=B230)*($H$2:$H$501&lt;=H230)),1),"")))</f>
        <v/>
      </c>
      <c r="P230" s="26">
        <f>IF(A230&lt;&gt;"每日跟踪","",IF(O230="","",IFERROR(AGGREGATE(14,6,$D$2:$D$501/(($A$2:$A$501="止损计划")*($B$2:$B$501=B230)*($E$2:$E$501&lt;=O230)),1),0)))</f>
        <v/>
      </c>
      <c r="Q230" s="44">
        <f>IF(A230&lt;&gt;"每日跟踪","",IF(N230="","",MAX(N230,IFERROR(AGGREGATE(14,6,$F$2:$F$501/(($A$2:$A$501="止损计划")*($B$2:$B$501=B230)*($E$2:$E$501&lt;=O230)),1),0))))</f>
        <v/>
      </c>
      <c r="R230" s="43" t="n"/>
      <c r="S230" s="44">
        <f>IF(A230&lt;&gt;"每日跟踪","",IF(Q230="","",MAX(Q230,IFERROR(AGGREGATE(14,6,$R$2:$R$501/(($A$2:$A$501="每日跟踪")*($B$2:$B$501=B230)*($H$2:$H$501&lt;=H230)),1),0))))</f>
        <v/>
      </c>
      <c r="T230" s="44">
        <f>IF(A230&lt;&gt;"每日跟踪","",IF(O230="","",IF(COUNTIFS($A$2:$A$501,"止损计划",$B$2:$B$501,B230,$E$2:$E$501,"&gt;"&amp;O230)=0,"",AGGREGATE(15,6,$E$2:$E$501/(($A$2:$A$501="止损计划")*($B$2:$B$501=B230)*($E$2:$E$501&gt;O230)),1))))</f>
        <v/>
      </c>
      <c r="U230" s="44">
        <f>IF(OR(A230&lt;&gt;"每日跟踪",T230=""),"",IFERROR(AGGREGATE(14,6,$F$2:$F$501/(($A$2:$A$501="止损计划")*($B$2:$B$501=B230)*($E$2:$E$501=T230)),1),""))</f>
        <v/>
      </c>
      <c r="V230" s="30">
        <f>IF(OR(A230&lt;&gt;"每日跟踪",T230="",I230="",I230&lt;=0),"",T230/I230-1)</f>
        <v/>
      </c>
      <c r="W230" s="31">
        <f>IF(A230&lt;&gt;"每日跟踪","",IF(OR(I230="",S230=""),"",IF(I230&lt;=S230,"触发止损：应全部卖出","继续观察")))</f>
        <v/>
      </c>
      <c r="X230" s="28" t="n"/>
      <c r="Y230" s="43" t="n"/>
      <c r="Z230" s="26">
        <f>IF(X230&lt;&gt;"执行卖出","",IFERROR(LOOKUP(2,1/(单次交易!$A$2:$A$201=B230),单次交易!$AP$2:$AP$201),""))</f>
        <v/>
      </c>
      <c r="AA230" s="43" t="n"/>
      <c r="AB230" s="31">
        <f>IF(A230&lt;&gt;"每日跟踪","",IF(OR(B230="",H230="",I230="",J230="",K230="",L230="",M230=""),"待补充每日记录",IF(W230="触发止损：应全部卖出",IF(X230&lt;&gt;"执行卖出","违规：触发止损但未执行",IF(Y230="","待补充实际卖出价","卖出记录完整")),IF(X230="","待选择卖出动作",IF(X230="执行卖出",IF(Y230="","待补充实际卖出价","卖出记录完整"),"正常")))))</f>
        <v/>
      </c>
      <c r="AC230" s="31">
        <f>IF(A230="","",IF(A230="止损计划",IF(OR(B230="",D230="",E230="",F230="",G230=""),"计划不完整",IF(OR(D230&lt;1,D230&lt;&gt;INT(D230)),"阶段序号无效",IF(COUNTIFS($A$2:$A$501,"止损计划",$B$2:$B$501,B230,$D$2:$D$501,D230)&gt;1,"阶段序号重复",IF(E230&lt;=IFERROR(LOOKUP(2,1/('单次交易'!$A$2:$A$201=B230),'单次交易'!$E$2:$E$201),0),"激活价须高于买入价",IF(F230&lt;N230,"止损价不得低于初始止损",IF(F230&gt;E230,"止损价不得高于激活价",IF(AND(COUNTIFS($A$2:$A$501,"止损计划",$B$2:$B$501,B230,$D$2:$D$501,"&lt;"&amp;D230)&gt;0,OR(E230&lt;=AGGREGATE(14,6,$E$2:$E$501/(($A$2:$A$501="止损计划")*($B$2:$B$501=B230)*($D$2:$D$501&lt;D230)),1),F230&lt;AGGREGATE(14,6,$F$2:$F$501/(($A$2:$A$501="止损计划")*($B$2:$B$501=B230)*($D$2:$D$501&lt;D230)),1))),"阶段价格必须逐级提高","计划有效"))))))),IF(A230="每日跟踪",IF(OR(B230="",H230="",I230="",J230=""),"每日数据不完整",IF(COUNTIFS($A$2:$A$501,"每日跟踪",$B$2:$B$501,B230,$H$2:$H$501,H230)&gt;1,"同一交易日期重复",IF(AND(R230&lt;&gt;"",R230&lt;S230),"人工止损无效：不能下调","跟踪有效"))),"记录类型无效")))</f>
        <v/>
      </c>
    </row>
    <row r="231">
      <c r="A231" s="28" t="n"/>
      <c r="B231" s="28" t="n"/>
      <c r="C231" s="31">
        <f>IF(B231="","",IFERROR(LOOKUP(2,1/(单次交易!$A$2:$A$201=B231),单次交易!$B$2:$B$201),""))</f>
        <v/>
      </c>
      <c r="D231" s="27" t="n"/>
      <c r="E231" s="43" t="n"/>
      <c r="F231" s="43" t="n"/>
      <c r="G231" s="28" t="n"/>
      <c r="H231" s="49" t="n"/>
      <c r="I231" s="43" t="n"/>
      <c r="J231" s="27" t="n"/>
      <c r="K231" s="28" t="n"/>
      <c r="L231" s="28" t="n"/>
      <c r="M231" s="28" t="n"/>
      <c r="N231" s="44">
        <f>IF(B231="","",IFERROR(LOOKUP(2,1/(单次交易!$A$2:$A$201=B231),单次交易!$N$2:$N$201),""))</f>
        <v/>
      </c>
      <c r="O231" s="44">
        <f>IF(A231&lt;&gt;"每日跟踪","",IF(OR(B231="",H231="",I231=""),"",IFERROR(AGGREGATE(14,6,$I$2:$I$501/(($A$2:$A$501="每日跟踪")*($B$2:$B$501=B231)*($H$2:$H$501&lt;=H231)),1),"")))</f>
        <v/>
      </c>
      <c r="P231" s="26">
        <f>IF(A231&lt;&gt;"每日跟踪","",IF(O231="","",IFERROR(AGGREGATE(14,6,$D$2:$D$501/(($A$2:$A$501="止损计划")*($B$2:$B$501=B231)*($E$2:$E$501&lt;=O231)),1),0)))</f>
        <v/>
      </c>
      <c r="Q231" s="44">
        <f>IF(A231&lt;&gt;"每日跟踪","",IF(N231="","",MAX(N231,IFERROR(AGGREGATE(14,6,$F$2:$F$501/(($A$2:$A$501="止损计划")*($B$2:$B$501=B231)*($E$2:$E$501&lt;=O231)),1),0))))</f>
        <v/>
      </c>
      <c r="R231" s="43" t="n"/>
      <c r="S231" s="44">
        <f>IF(A231&lt;&gt;"每日跟踪","",IF(Q231="","",MAX(Q231,IFERROR(AGGREGATE(14,6,$R$2:$R$501/(($A$2:$A$501="每日跟踪")*($B$2:$B$501=B231)*($H$2:$H$501&lt;=H231)),1),0))))</f>
        <v/>
      </c>
      <c r="T231" s="44">
        <f>IF(A231&lt;&gt;"每日跟踪","",IF(O231="","",IF(COUNTIFS($A$2:$A$501,"止损计划",$B$2:$B$501,B231,$E$2:$E$501,"&gt;"&amp;O231)=0,"",AGGREGATE(15,6,$E$2:$E$501/(($A$2:$A$501="止损计划")*($B$2:$B$501=B231)*($E$2:$E$501&gt;O231)),1))))</f>
        <v/>
      </c>
      <c r="U231" s="44">
        <f>IF(OR(A231&lt;&gt;"每日跟踪",T231=""),"",IFERROR(AGGREGATE(14,6,$F$2:$F$501/(($A$2:$A$501="止损计划")*($B$2:$B$501=B231)*($E$2:$E$501=T231)),1),""))</f>
        <v/>
      </c>
      <c r="V231" s="30">
        <f>IF(OR(A231&lt;&gt;"每日跟踪",T231="",I231="",I231&lt;=0),"",T231/I231-1)</f>
        <v/>
      </c>
      <c r="W231" s="31">
        <f>IF(A231&lt;&gt;"每日跟踪","",IF(OR(I231="",S231=""),"",IF(I231&lt;=S231,"触发止损：应全部卖出","继续观察")))</f>
        <v/>
      </c>
      <c r="X231" s="28" t="n"/>
      <c r="Y231" s="43" t="n"/>
      <c r="Z231" s="26">
        <f>IF(X231&lt;&gt;"执行卖出","",IFERROR(LOOKUP(2,1/(单次交易!$A$2:$A$201=B231),单次交易!$AP$2:$AP$201),""))</f>
        <v/>
      </c>
      <c r="AA231" s="43" t="n"/>
      <c r="AB231" s="31">
        <f>IF(A231&lt;&gt;"每日跟踪","",IF(OR(B231="",H231="",I231="",J231="",K231="",L231="",M231=""),"待补充每日记录",IF(W231="触发止损：应全部卖出",IF(X231&lt;&gt;"执行卖出","违规：触发止损但未执行",IF(Y231="","待补充实际卖出价","卖出记录完整")),IF(X231="","待选择卖出动作",IF(X231="执行卖出",IF(Y231="","待补充实际卖出价","卖出记录完整"),"正常")))))</f>
        <v/>
      </c>
      <c r="AC231" s="31">
        <f>IF(A231="","",IF(A231="止损计划",IF(OR(B231="",D231="",E231="",F231="",G231=""),"计划不完整",IF(OR(D231&lt;1,D231&lt;&gt;INT(D231)),"阶段序号无效",IF(COUNTIFS($A$2:$A$501,"止损计划",$B$2:$B$501,B231,$D$2:$D$501,D231)&gt;1,"阶段序号重复",IF(E231&lt;=IFERROR(LOOKUP(2,1/('单次交易'!$A$2:$A$201=B231),'单次交易'!$E$2:$E$201),0),"激活价须高于买入价",IF(F231&lt;N231,"止损价不得低于初始止损",IF(F231&gt;E231,"止损价不得高于激活价",IF(AND(COUNTIFS($A$2:$A$501,"止损计划",$B$2:$B$501,B231,$D$2:$D$501,"&lt;"&amp;D231)&gt;0,OR(E231&lt;=AGGREGATE(14,6,$E$2:$E$501/(($A$2:$A$501="止损计划")*($B$2:$B$501=B231)*($D$2:$D$501&lt;D231)),1),F231&lt;AGGREGATE(14,6,$F$2:$F$501/(($A$2:$A$501="止损计划")*($B$2:$B$501=B231)*($D$2:$D$501&lt;D231)),1))),"阶段价格必须逐级提高","计划有效"))))))),IF(A231="每日跟踪",IF(OR(B231="",H231="",I231="",J231=""),"每日数据不完整",IF(COUNTIFS($A$2:$A$501,"每日跟踪",$B$2:$B$501,B231,$H$2:$H$501,H231)&gt;1,"同一交易日期重复",IF(AND(R231&lt;&gt;"",R231&lt;S231),"人工止损无效：不能下调","跟踪有效"))),"记录类型无效")))</f>
        <v/>
      </c>
    </row>
    <row r="232">
      <c r="A232" s="28" t="n"/>
      <c r="B232" s="28" t="n"/>
      <c r="C232" s="31">
        <f>IF(B232="","",IFERROR(LOOKUP(2,1/(单次交易!$A$2:$A$201=B232),单次交易!$B$2:$B$201),""))</f>
        <v/>
      </c>
      <c r="D232" s="27" t="n"/>
      <c r="E232" s="43" t="n"/>
      <c r="F232" s="43" t="n"/>
      <c r="G232" s="28" t="n"/>
      <c r="H232" s="49" t="n"/>
      <c r="I232" s="43" t="n"/>
      <c r="J232" s="27" t="n"/>
      <c r="K232" s="28" t="n"/>
      <c r="L232" s="28" t="n"/>
      <c r="M232" s="28" t="n"/>
      <c r="N232" s="44">
        <f>IF(B232="","",IFERROR(LOOKUP(2,1/(单次交易!$A$2:$A$201=B232),单次交易!$N$2:$N$201),""))</f>
        <v/>
      </c>
      <c r="O232" s="44">
        <f>IF(A232&lt;&gt;"每日跟踪","",IF(OR(B232="",H232="",I232=""),"",IFERROR(AGGREGATE(14,6,$I$2:$I$501/(($A$2:$A$501="每日跟踪")*($B$2:$B$501=B232)*($H$2:$H$501&lt;=H232)),1),"")))</f>
        <v/>
      </c>
      <c r="P232" s="26">
        <f>IF(A232&lt;&gt;"每日跟踪","",IF(O232="","",IFERROR(AGGREGATE(14,6,$D$2:$D$501/(($A$2:$A$501="止损计划")*($B$2:$B$501=B232)*($E$2:$E$501&lt;=O232)),1),0)))</f>
        <v/>
      </c>
      <c r="Q232" s="44">
        <f>IF(A232&lt;&gt;"每日跟踪","",IF(N232="","",MAX(N232,IFERROR(AGGREGATE(14,6,$F$2:$F$501/(($A$2:$A$501="止损计划")*($B$2:$B$501=B232)*($E$2:$E$501&lt;=O232)),1),0))))</f>
        <v/>
      </c>
      <c r="R232" s="43" t="n"/>
      <c r="S232" s="44">
        <f>IF(A232&lt;&gt;"每日跟踪","",IF(Q232="","",MAX(Q232,IFERROR(AGGREGATE(14,6,$R$2:$R$501/(($A$2:$A$501="每日跟踪")*($B$2:$B$501=B232)*($H$2:$H$501&lt;=H232)),1),0))))</f>
        <v/>
      </c>
      <c r="T232" s="44">
        <f>IF(A232&lt;&gt;"每日跟踪","",IF(O232="","",IF(COUNTIFS($A$2:$A$501,"止损计划",$B$2:$B$501,B232,$E$2:$E$501,"&gt;"&amp;O232)=0,"",AGGREGATE(15,6,$E$2:$E$501/(($A$2:$A$501="止损计划")*($B$2:$B$501=B232)*($E$2:$E$501&gt;O232)),1))))</f>
        <v/>
      </c>
      <c r="U232" s="44">
        <f>IF(OR(A232&lt;&gt;"每日跟踪",T232=""),"",IFERROR(AGGREGATE(14,6,$F$2:$F$501/(($A$2:$A$501="止损计划")*($B$2:$B$501=B232)*($E$2:$E$501=T232)),1),""))</f>
        <v/>
      </c>
      <c r="V232" s="30">
        <f>IF(OR(A232&lt;&gt;"每日跟踪",T232="",I232="",I232&lt;=0),"",T232/I232-1)</f>
        <v/>
      </c>
      <c r="W232" s="31">
        <f>IF(A232&lt;&gt;"每日跟踪","",IF(OR(I232="",S232=""),"",IF(I232&lt;=S232,"触发止损：应全部卖出","继续观察")))</f>
        <v/>
      </c>
      <c r="X232" s="28" t="n"/>
      <c r="Y232" s="43" t="n"/>
      <c r="Z232" s="26">
        <f>IF(X232&lt;&gt;"执行卖出","",IFERROR(LOOKUP(2,1/(单次交易!$A$2:$A$201=B232),单次交易!$AP$2:$AP$201),""))</f>
        <v/>
      </c>
      <c r="AA232" s="43" t="n"/>
      <c r="AB232" s="31">
        <f>IF(A232&lt;&gt;"每日跟踪","",IF(OR(B232="",H232="",I232="",J232="",K232="",L232="",M232=""),"待补充每日记录",IF(W232="触发止损：应全部卖出",IF(X232&lt;&gt;"执行卖出","违规：触发止损但未执行",IF(Y232="","待补充实际卖出价","卖出记录完整")),IF(X232="","待选择卖出动作",IF(X232="执行卖出",IF(Y232="","待补充实际卖出价","卖出记录完整"),"正常")))))</f>
        <v/>
      </c>
      <c r="AC232" s="31">
        <f>IF(A232="","",IF(A232="止损计划",IF(OR(B232="",D232="",E232="",F232="",G232=""),"计划不完整",IF(OR(D232&lt;1,D232&lt;&gt;INT(D232)),"阶段序号无效",IF(COUNTIFS($A$2:$A$501,"止损计划",$B$2:$B$501,B232,$D$2:$D$501,D232)&gt;1,"阶段序号重复",IF(E232&lt;=IFERROR(LOOKUP(2,1/('单次交易'!$A$2:$A$201=B232),'单次交易'!$E$2:$E$201),0),"激活价须高于买入价",IF(F232&lt;N232,"止损价不得低于初始止损",IF(F232&gt;E232,"止损价不得高于激活价",IF(AND(COUNTIFS($A$2:$A$501,"止损计划",$B$2:$B$501,B232,$D$2:$D$501,"&lt;"&amp;D232)&gt;0,OR(E232&lt;=AGGREGATE(14,6,$E$2:$E$501/(($A$2:$A$501="止损计划")*($B$2:$B$501=B232)*($D$2:$D$501&lt;D232)),1),F232&lt;AGGREGATE(14,6,$F$2:$F$501/(($A$2:$A$501="止损计划")*($B$2:$B$501=B232)*($D$2:$D$501&lt;D232)),1))),"阶段价格必须逐级提高","计划有效"))))))),IF(A232="每日跟踪",IF(OR(B232="",H232="",I232="",J232=""),"每日数据不完整",IF(COUNTIFS($A$2:$A$501,"每日跟踪",$B$2:$B$501,B232,$H$2:$H$501,H232)&gt;1,"同一交易日期重复",IF(AND(R232&lt;&gt;"",R232&lt;S232),"人工止损无效：不能下调","跟踪有效"))),"记录类型无效")))</f>
        <v/>
      </c>
    </row>
    <row r="233">
      <c r="A233" s="28" t="n"/>
      <c r="B233" s="28" t="n"/>
      <c r="C233" s="31">
        <f>IF(B233="","",IFERROR(LOOKUP(2,1/(单次交易!$A$2:$A$201=B233),单次交易!$B$2:$B$201),""))</f>
        <v/>
      </c>
      <c r="D233" s="27" t="n"/>
      <c r="E233" s="43" t="n"/>
      <c r="F233" s="43" t="n"/>
      <c r="G233" s="28" t="n"/>
      <c r="H233" s="49" t="n"/>
      <c r="I233" s="43" t="n"/>
      <c r="J233" s="27" t="n"/>
      <c r="K233" s="28" t="n"/>
      <c r="L233" s="28" t="n"/>
      <c r="M233" s="28" t="n"/>
      <c r="N233" s="44">
        <f>IF(B233="","",IFERROR(LOOKUP(2,1/(单次交易!$A$2:$A$201=B233),单次交易!$N$2:$N$201),""))</f>
        <v/>
      </c>
      <c r="O233" s="44">
        <f>IF(A233&lt;&gt;"每日跟踪","",IF(OR(B233="",H233="",I233=""),"",IFERROR(AGGREGATE(14,6,$I$2:$I$501/(($A$2:$A$501="每日跟踪")*($B$2:$B$501=B233)*($H$2:$H$501&lt;=H233)),1),"")))</f>
        <v/>
      </c>
      <c r="P233" s="26">
        <f>IF(A233&lt;&gt;"每日跟踪","",IF(O233="","",IFERROR(AGGREGATE(14,6,$D$2:$D$501/(($A$2:$A$501="止损计划")*($B$2:$B$501=B233)*($E$2:$E$501&lt;=O233)),1),0)))</f>
        <v/>
      </c>
      <c r="Q233" s="44">
        <f>IF(A233&lt;&gt;"每日跟踪","",IF(N233="","",MAX(N233,IFERROR(AGGREGATE(14,6,$F$2:$F$501/(($A$2:$A$501="止损计划")*($B$2:$B$501=B233)*($E$2:$E$501&lt;=O233)),1),0))))</f>
        <v/>
      </c>
      <c r="R233" s="43" t="n"/>
      <c r="S233" s="44">
        <f>IF(A233&lt;&gt;"每日跟踪","",IF(Q233="","",MAX(Q233,IFERROR(AGGREGATE(14,6,$R$2:$R$501/(($A$2:$A$501="每日跟踪")*($B$2:$B$501=B233)*($H$2:$H$501&lt;=H233)),1),0))))</f>
        <v/>
      </c>
      <c r="T233" s="44">
        <f>IF(A233&lt;&gt;"每日跟踪","",IF(O233="","",IF(COUNTIFS($A$2:$A$501,"止损计划",$B$2:$B$501,B233,$E$2:$E$501,"&gt;"&amp;O233)=0,"",AGGREGATE(15,6,$E$2:$E$501/(($A$2:$A$501="止损计划")*($B$2:$B$501=B233)*($E$2:$E$501&gt;O233)),1))))</f>
        <v/>
      </c>
      <c r="U233" s="44">
        <f>IF(OR(A233&lt;&gt;"每日跟踪",T233=""),"",IFERROR(AGGREGATE(14,6,$F$2:$F$501/(($A$2:$A$501="止损计划")*($B$2:$B$501=B233)*($E$2:$E$501=T233)),1),""))</f>
        <v/>
      </c>
      <c r="V233" s="30">
        <f>IF(OR(A233&lt;&gt;"每日跟踪",T233="",I233="",I233&lt;=0),"",T233/I233-1)</f>
        <v/>
      </c>
      <c r="W233" s="31">
        <f>IF(A233&lt;&gt;"每日跟踪","",IF(OR(I233="",S233=""),"",IF(I233&lt;=S233,"触发止损：应全部卖出","继续观察")))</f>
        <v/>
      </c>
      <c r="X233" s="28" t="n"/>
      <c r="Y233" s="43" t="n"/>
      <c r="Z233" s="26">
        <f>IF(X233&lt;&gt;"执行卖出","",IFERROR(LOOKUP(2,1/(单次交易!$A$2:$A$201=B233),单次交易!$AP$2:$AP$201),""))</f>
        <v/>
      </c>
      <c r="AA233" s="43" t="n"/>
      <c r="AB233" s="31">
        <f>IF(A233&lt;&gt;"每日跟踪","",IF(OR(B233="",H233="",I233="",J233="",K233="",L233="",M233=""),"待补充每日记录",IF(W233="触发止损：应全部卖出",IF(X233&lt;&gt;"执行卖出","违规：触发止损但未执行",IF(Y233="","待补充实际卖出价","卖出记录完整")),IF(X233="","待选择卖出动作",IF(X233="执行卖出",IF(Y233="","待补充实际卖出价","卖出记录完整"),"正常")))))</f>
        <v/>
      </c>
      <c r="AC233" s="31">
        <f>IF(A233="","",IF(A233="止损计划",IF(OR(B233="",D233="",E233="",F233="",G233=""),"计划不完整",IF(OR(D233&lt;1,D233&lt;&gt;INT(D233)),"阶段序号无效",IF(COUNTIFS($A$2:$A$501,"止损计划",$B$2:$B$501,B233,$D$2:$D$501,D233)&gt;1,"阶段序号重复",IF(E233&lt;=IFERROR(LOOKUP(2,1/('单次交易'!$A$2:$A$201=B233),'单次交易'!$E$2:$E$201),0),"激活价须高于买入价",IF(F233&lt;N233,"止损价不得低于初始止损",IF(F233&gt;E233,"止损价不得高于激活价",IF(AND(COUNTIFS($A$2:$A$501,"止损计划",$B$2:$B$501,B233,$D$2:$D$501,"&lt;"&amp;D233)&gt;0,OR(E233&lt;=AGGREGATE(14,6,$E$2:$E$501/(($A$2:$A$501="止损计划")*($B$2:$B$501=B233)*($D$2:$D$501&lt;D233)),1),F233&lt;AGGREGATE(14,6,$F$2:$F$501/(($A$2:$A$501="止损计划")*($B$2:$B$501=B233)*($D$2:$D$501&lt;D233)),1))),"阶段价格必须逐级提高","计划有效"))))))),IF(A233="每日跟踪",IF(OR(B233="",H233="",I233="",J233=""),"每日数据不完整",IF(COUNTIFS($A$2:$A$501,"每日跟踪",$B$2:$B$501,B233,$H$2:$H$501,H233)&gt;1,"同一交易日期重复",IF(AND(R233&lt;&gt;"",R233&lt;S233),"人工止损无效：不能下调","跟踪有效"))),"记录类型无效")))</f>
        <v/>
      </c>
    </row>
    <row r="234">
      <c r="A234" s="28" t="n"/>
      <c r="B234" s="28" t="n"/>
      <c r="C234" s="31">
        <f>IF(B234="","",IFERROR(LOOKUP(2,1/(单次交易!$A$2:$A$201=B234),单次交易!$B$2:$B$201),""))</f>
        <v/>
      </c>
      <c r="D234" s="27" t="n"/>
      <c r="E234" s="43" t="n"/>
      <c r="F234" s="43" t="n"/>
      <c r="G234" s="28" t="n"/>
      <c r="H234" s="49" t="n"/>
      <c r="I234" s="43" t="n"/>
      <c r="J234" s="27" t="n"/>
      <c r="K234" s="28" t="n"/>
      <c r="L234" s="28" t="n"/>
      <c r="M234" s="28" t="n"/>
      <c r="N234" s="44">
        <f>IF(B234="","",IFERROR(LOOKUP(2,1/(单次交易!$A$2:$A$201=B234),单次交易!$N$2:$N$201),""))</f>
        <v/>
      </c>
      <c r="O234" s="44">
        <f>IF(A234&lt;&gt;"每日跟踪","",IF(OR(B234="",H234="",I234=""),"",IFERROR(AGGREGATE(14,6,$I$2:$I$501/(($A$2:$A$501="每日跟踪")*($B$2:$B$501=B234)*($H$2:$H$501&lt;=H234)),1),"")))</f>
        <v/>
      </c>
      <c r="P234" s="26">
        <f>IF(A234&lt;&gt;"每日跟踪","",IF(O234="","",IFERROR(AGGREGATE(14,6,$D$2:$D$501/(($A$2:$A$501="止损计划")*($B$2:$B$501=B234)*($E$2:$E$501&lt;=O234)),1),0)))</f>
        <v/>
      </c>
      <c r="Q234" s="44">
        <f>IF(A234&lt;&gt;"每日跟踪","",IF(N234="","",MAX(N234,IFERROR(AGGREGATE(14,6,$F$2:$F$501/(($A$2:$A$501="止损计划")*($B$2:$B$501=B234)*($E$2:$E$501&lt;=O234)),1),0))))</f>
        <v/>
      </c>
      <c r="R234" s="43" t="n"/>
      <c r="S234" s="44">
        <f>IF(A234&lt;&gt;"每日跟踪","",IF(Q234="","",MAX(Q234,IFERROR(AGGREGATE(14,6,$R$2:$R$501/(($A$2:$A$501="每日跟踪")*($B$2:$B$501=B234)*($H$2:$H$501&lt;=H234)),1),0))))</f>
        <v/>
      </c>
      <c r="T234" s="44">
        <f>IF(A234&lt;&gt;"每日跟踪","",IF(O234="","",IF(COUNTIFS($A$2:$A$501,"止损计划",$B$2:$B$501,B234,$E$2:$E$501,"&gt;"&amp;O234)=0,"",AGGREGATE(15,6,$E$2:$E$501/(($A$2:$A$501="止损计划")*($B$2:$B$501=B234)*($E$2:$E$501&gt;O234)),1))))</f>
        <v/>
      </c>
      <c r="U234" s="44">
        <f>IF(OR(A234&lt;&gt;"每日跟踪",T234=""),"",IFERROR(AGGREGATE(14,6,$F$2:$F$501/(($A$2:$A$501="止损计划")*($B$2:$B$501=B234)*($E$2:$E$501=T234)),1),""))</f>
        <v/>
      </c>
      <c r="V234" s="30">
        <f>IF(OR(A234&lt;&gt;"每日跟踪",T234="",I234="",I234&lt;=0),"",T234/I234-1)</f>
        <v/>
      </c>
      <c r="W234" s="31">
        <f>IF(A234&lt;&gt;"每日跟踪","",IF(OR(I234="",S234=""),"",IF(I234&lt;=S234,"触发止损：应全部卖出","继续观察")))</f>
        <v/>
      </c>
      <c r="X234" s="28" t="n"/>
      <c r="Y234" s="43" t="n"/>
      <c r="Z234" s="26">
        <f>IF(X234&lt;&gt;"执行卖出","",IFERROR(LOOKUP(2,1/(单次交易!$A$2:$A$201=B234),单次交易!$AP$2:$AP$201),""))</f>
        <v/>
      </c>
      <c r="AA234" s="43" t="n"/>
      <c r="AB234" s="31">
        <f>IF(A234&lt;&gt;"每日跟踪","",IF(OR(B234="",H234="",I234="",J234="",K234="",L234="",M234=""),"待补充每日记录",IF(W234="触发止损：应全部卖出",IF(X234&lt;&gt;"执行卖出","违规：触发止损但未执行",IF(Y234="","待补充实际卖出价","卖出记录完整")),IF(X234="","待选择卖出动作",IF(X234="执行卖出",IF(Y234="","待补充实际卖出价","卖出记录完整"),"正常")))))</f>
        <v/>
      </c>
      <c r="AC234" s="31">
        <f>IF(A234="","",IF(A234="止损计划",IF(OR(B234="",D234="",E234="",F234="",G234=""),"计划不完整",IF(OR(D234&lt;1,D234&lt;&gt;INT(D234)),"阶段序号无效",IF(COUNTIFS($A$2:$A$501,"止损计划",$B$2:$B$501,B234,$D$2:$D$501,D234)&gt;1,"阶段序号重复",IF(E234&lt;=IFERROR(LOOKUP(2,1/('单次交易'!$A$2:$A$201=B234),'单次交易'!$E$2:$E$201),0),"激活价须高于买入价",IF(F234&lt;N234,"止损价不得低于初始止损",IF(F234&gt;E234,"止损价不得高于激活价",IF(AND(COUNTIFS($A$2:$A$501,"止损计划",$B$2:$B$501,B234,$D$2:$D$501,"&lt;"&amp;D234)&gt;0,OR(E234&lt;=AGGREGATE(14,6,$E$2:$E$501/(($A$2:$A$501="止损计划")*($B$2:$B$501=B234)*($D$2:$D$501&lt;D234)),1),F234&lt;AGGREGATE(14,6,$F$2:$F$501/(($A$2:$A$501="止损计划")*($B$2:$B$501=B234)*($D$2:$D$501&lt;D234)),1))),"阶段价格必须逐级提高","计划有效"))))))),IF(A234="每日跟踪",IF(OR(B234="",H234="",I234="",J234=""),"每日数据不完整",IF(COUNTIFS($A$2:$A$501,"每日跟踪",$B$2:$B$501,B234,$H$2:$H$501,H234)&gt;1,"同一交易日期重复",IF(AND(R234&lt;&gt;"",R234&lt;S234),"人工止损无效：不能下调","跟踪有效"))),"记录类型无效")))</f>
        <v/>
      </c>
    </row>
    <row r="235">
      <c r="A235" s="28" t="n"/>
      <c r="B235" s="28" t="n"/>
      <c r="C235" s="31">
        <f>IF(B235="","",IFERROR(LOOKUP(2,1/(单次交易!$A$2:$A$201=B235),单次交易!$B$2:$B$201),""))</f>
        <v/>
      </c>
      <c r="D235" s="27" t="n"/>
      <c r="E235" s="43" t="n"/>
      <c r="F235" s="43" t="n"/>
      <c r="G235" s="28" t="n"/>
      <c r="H235" s="49" t="n"/>
      <c r="I235" s="43" t="n"/>
      <c r="J235" s="27" t="n"/>
      <c r="K235" s="28" t="n"/>
      <c r="L235" s="28" t="n"/>
      <c r="M235" s="28" t="n"/>
      <c r="N235" s="44">
        <f>IF(B235="","",IFERROR(LOOKUP(2,1/(单次交易!$A$2:$A$201=B235),单次交易!$N$2:$N$201),""))</f>
        <v/>
      </c>
      <c r="O235" s="44">
        <f>IF(A235&lt;&gt;"每日跟踪","",IF(OR(B235="",H235="",I235=""),"",IFERROR(AGGREGATE(14,6,$I$2:$I$501/(($A$2:$A$501="每日跟踪")*($B$2:$B$501=B235)*($H$2:$H$501&lt;=H235)),1),"")))</f>
        <v/>
      </c>
      <c r="P235" s="26">
        <f>IF(A235&lt;&gt;"每日跟踪","",IF(O235="","",IFERROR(AGGREGATE(14,6,$D$2:$D$501/(($A$2:$A$501="止损计划")*($B$2:$B$501=B235)*($E$2:$E$501&lt;=O235)),1),0)))</f>
        <v/>
      </c>
      <c r="Q235" s="44">
        <f>IF(A235&lt;&gt;"每日跟踪","",IF(N235="","",MAX(N235,IFERROR(AGGREGATE(14,6,$F$2:$F$501/(($A$2:$A$501="止损计划")*($B$2:$B$501=B235)*($E$2:$E$501&lt;=O235)),1),0))))</f>
        <v/>
      </c>
      <c r="R235" s="43" t="n"/>
      <c r="S235" s="44">
        <f>IF(A235&lt;&gt;"每日跟踪","",IF(Q235="","",MAX(Q235,IFERROR(AGGREGATE(14,6,$R$2:$R$501/(($A$2:$A$501="每日跟踪")*($B$2:$B$501=B235)*($H$2:$H$501&lt;=H235)),1),0))))</f>
        <v/>
      </c>
      <c r="T235" s="44">
        <f>IF(A235&lt;&gt;"每日跟踪","",IF(O235="","",IF(COUNTIFS($A$2:$A$501,"止损计划",$B$2:$B$501,B235,$E$2:$E$501,"&gt;"&amp;O235)=0,"",AGGREGATE(15,6,$E$2:$E$501/(($A$2:$A$501="止损计划")*($B$2:$B$501=B235)*($E$2:$E$501&gt;O235)),1))))</f>
        <v/>
      </c>
      <c r="U235" s="44">
        <f>IF(OR(A235&lt;&gt;"每日跟踪",T235=""),"",IFERROR(AGGREGATE(14,6,$F$2:$F$501/(($A$2:$A$501="止损计划")*($B$2:$B$501=B235)*($E$2:$E$501=T235)),1),""))</f>
        <v/>
      </c>
      <c r="V235" s="30">
        <f>IF(OR(A235&lt;&gt;"每日跟踪",T235="",I235="",I235&lt;=0),"",T235/I235-1)</f>
        <v/>
      </c>
      <c r="W235" s="31">
        <f>IF(A235&lt;&gt;"每日跟踪","",IF(OR(I235="",S235=""),"",IF(I235&lt;=S235,"触发止损：应全部卖出","继续观察")))</f>
        <v/>
      </c>
      <c r="X235" s="28" t="n"/>
      <c r="Y235" s="43" t="n"/>
      <c r="Z235" s="26">
        <f>IF(X235&lt;&gt;"执行卖出","",IFERROR(LOOKUP(2,1/(单次交易!$A$2:$A$201=B235),单次交易!$AP$2:$AP$201),""))</f>
        <v/>
      </c>
      <c r="AA235" s="43" t="n"/>
      <c r="AB235" s="31">
        <f>IF(A235&lt;&gt;"每日跟踪","",IF(OR(B235="",H235="",I235="",J235="",K235="",L235="",M235=""),"待补充每日记录",IF(W235="触发止损：应全部卖出",IF(X235&lt;&gt;"执行卖出","违规：触发止损但未执行",IF(Y235="","待补充实际卖出价","卖出记录完整")),IF(X235="","待选择卖出动作",IF(X235="执行卖出",IF(Y235="","待补充实际卖出价","卖出记录完整"),"正常")))))</f>
        <v/>
      </c>
      <c r="AC235" s="31">
        <f>IF(A235="","",IF(A235="止损计划",IF(OR(B235="",D235="",E235="",F235="",G235=""),"计划不完整",IF(OR(D235&lt;1,D235&lt;&gt;INT(D235)),"阶段序号无效",IF(COUNTIFS($A$2:$A$501,"止损计划",$B$2:$B$501,B235,$D$2:$D$501,D235)&gt;1,"阶段序号重复",IF(E235&lt;=IFERROR(LOOKUP(2,1/('单次交易'!$A$2:$A$201=B235),'单次交易'!$E$2:$E$201),0),"激活价须高于买入价",IF(F235&lt;N235,"止损价不得低于初始止损",IF(F235&gt;E235,"止损价不得高于激活价",IF(AND(COUNTIFS($A$2:$A$501,"止损计划",$B$2:$B$501,B235,$D$2:$D$501,"&lt;"&amp;D235)&gt;0,OR(E235&lt;=AGGREGATE(14,6,$E$2:$E$501/(($A$2:$A$501="止损计划")*($B$2:$B$501=B235)*($D$2:$D$501&lt;D235)),1),F235&lt;AGGREGATE(14,6,$F$2:$F$501/(($A$2:$A$501="止损计划")*($B$2:$B$501=B235)*($D$2:$D$501&lt;D235)),1))),"阶段价格必须逐级提高","计划有效"))))))),IF(A235="每日跟踪",IF(OR(B235="",H235="",I235="",J235=""),"每日数据不完整",IF(COUNTIFS($A$2:$A$501,"每日跟踪",$B$2:$B$501,B235,$H$2:$H$501,H235)&gt;1,"同一交易日期重复",IF(AND(R235&lt;&gt;"",R235&lt;S235),"人工止损无效：不能下调","跟踪有效"))),"记录类型无效")))</f>
        <v/>
      </c>
    </row>
    <row r="236">
      <c r="A236" s="28" t="n"/>
      <c r="B236" s="28" t="n"/>
      <c r="C236" s="31">
        <f>IF(B236="","",IFERROR(LOOKUP(2,1/(单次交易!$A$2:$A$201=B236),单次交易!$B$2:$B$201),""))</f>
        <v/>
      </c>
      <c r="D236" s="27" t="n"/>
      <c r="E236" s="43" t="n"/>
      <c r="F236" s="43" t="n"/>
      <c r="G236" s="28" t="n"/>
      <c r="H236" s="49" t="n"/>
      <c r="I236" s="43" t="n"/>
      <c r="J236" s="27" t="n"/>
      <c r="K236" s="28" t="n"/>
      <c r="L236" s="28" t="n"/>
      <c r="M236" s="28" t="n"/>
      <c r="N236" s="44">
        <f>IF(B236="","",IFERROR(LOOKUP(2,1/(单次交易!$A$2:$A$201=B236),单次交易!$N$2:$N$201),""))</f>
        <v/>
      </c>
      <c r="O236" s="44">
        <f>IF(A236&lt;&gt;"每日跟踪","",IF(OR(B236="",H236="",I236=""),"",IFERROR(AGGREGATE(14,6,$I$2:$I$501/(($A$2:$A$501="每日跟踪")*($B$2:$B$501=B236)*($H$2:$H$501&lt;=H236)),1),"")))</f>
        <v/>
      </c>
      <c r="P236" s="26">
        <f>IF(A236&lt;&gt;"每日跟踪","",IF(O236="","",IFERROR(AGGREGATE(14,6,$D$2:$D$501/(($A$2:$A$501="止损计划")*($B$2:$B$501=B236)*($E$2:$E$501&lt;=O236)),1),0)))</f>
        <v/>
      </c>
      <c r="Q236" s="44">
        <f>IF(A236&lt;&gt;"每日跟踪","",IF(N236="","",MAX(N236,IFERROR(AGGREGATE(14,6,$F$2:$F$501/(($A$2:$A$501="止损计划")*($B$2:$B$501=B236)*($E$2:$E$501&lt;=O236)),1),0))))</f>
        <v/>
      </c>
      <c r="R236" s="43" t="n"/>
      <c r="S236" s="44">
        <f>IF(A236&lt;&gt;"每日跟踪","",IF(Q236="","",MAX(Q236,IFERROR(AGGREGATE(14,6,$R$2:$R$501/(($A$2:$A$501="每日跟踪")*($B$2:$B$501=B236)*($H$2:$H$501&lt;=H236)),1),0))))</f>
        <v/>
      </c>
      <c r="T236" s="44">
        <f>IF(A236&lt;&gt;"每日跟踪","",IF(O236="","",IF(COUNTIFS($A$2:$A$501,"止损计划",$B$2:$B$501,B236,$E$2:$E$501,"&gt;"&amp;O236)=0,"",AGGREGATE(15,6,$E$2:$E$501/(($A$2:$A$501="止损计划")*($B$2:$B$501=B236)*($E$2:$E$501&gt;O236)),1))))</f>
        <v/>
      </c>
      <c r="U236" s="44">
        <f>IF(OR(A236&lt;&gt;"每日跟踪",T236=""),"",IFERROR(AGGREGATE(14,6,$F$2:$F$501/(($A$2:$A$501="止损计划")*($B$2:$B$501=B236)*($E$2:$E$501=T236)),1),""))</f>
        <v/>
      </c>
      <c r="V236" s="30">
        <f>IF(OR(A236&lt;&gt;"每日跟踪",T236="",I236="",I236&lt;=0),"",T236/I236-1)</f>
        <v/>
      </c>
      <c r="W236" s="31">
        <f>IF(A236&lt;&gt;"每日跟踪","",IF(OR(I236="",S236=""),"",IF(I236&lt;=S236,"触发止损：应全部卖出","继续观察")))</f>
        <v/>
      </c>
      <c r="X236" s="28" t="n"/>
      <c r="Y236" s="43" t="n"/>
      <c r="Z236" s="26">
        <f>IF(X236&lt;&gt;"执行卖出","",IFERROR(LOOKUP(2,1/(单次交易!$A$2:$A$201=B236),单次交易!$AP$2:$AP$201),""))</f>
        <v/>
      </c>
      <c r="AA236" s="43" t="n"/>
      <c r="AB236" s="31">
        <f>IF(A236&lt;&gt;"每日跟踪","",IF(OR(B236="",H236="",I236="",J236="",K236="",L236="",M236=""),"待补充每日记录",IF(W236="触发止损：应全部卖出",IF(X236&lt;&gt;"执行卖出","违规：触发止损但未执行",IF(Y236="","待补充实际卖出价","卖出记录完整")),IF(X236="","待选择卖出动作",IF(X236="执行卖出",IF(Y236="","待补充实际卖出价","卖出记录完整"),"正常")))))</f>
        <v/>
      </c>
      <c r="AC236" s="31">
        <f>IF(A236="","",IF(A236="止损计划",IF(OR(B236="",D236="",E236="",F236="",G236=""),"计划不完整",IF(OR(D236&lt;1,D236&lt;&gt;INT(D236)),"阶段序号无效",IF(COUNTIFS($A$2:$A$501,"止损计划",$B$2:$B$501,B236,$D$2:$D$501,D236)&gt;1,"阶段序号重复",IF(E236&lt;=IFERROR(LOOKUP(2,1/('单次交易'!$A$2:$A$201=B236),'单次交易'!$E$2:$E$201),0),"激活价须高于买入价",IF(F236&lt;N236,"止损价不得低于初始止损",IF(F236&gt;E236,"止损价不得高于激活价",IF(AND(COUNTIFS($A$2:$A$501,"止损计划",$B$2:$B$501,B236,$D$2:$D$501,"&lt;"&amp;D236)&gt;0,OR(E236&lt;=AGGREGATE(14,6,$E$2:$E$501/(($A$2:$A$501="止损计划")*($B$2:$B$501=B236)*($D$2:$D$501&lt;D236)),1),F236&lt;AGGREGATE(14,6,$F$2:$F$501/(($A$2:$A$501="止损计划")*($B$2:$B$501=B236)*($D$2:$D$501&lt;D236)),1))),"阶段价格必须逐级提高","计划有效"))))))),IF(A236="每日跟踪",IF(OR(B236="",H236="",I236="",J236=""),"每日数据不完整",IF(COUNTIFS($A$2:$A$501,"每日跟踪",$B$2:$B$501,B236,$H$2:$H$501,H236)&gt;1,"同一交易日期重复",IF(AND(R236&lt;&gt;"",R236&lt;S236),"人工止损无效：不能下调","跟踪有效"))),"记录类型无效")))</f>
        <v/>
      </c>
    </row>
    <row r="237">
      <c r="A237" s="28" t="n"/>
      <c r="B237" s="28" t="n"/>
      <c r="C237" s="31">
        <f>IF(B237="","",IFERROR(LOOKUP(2,1/(单次交易!$A$2:$A$201=B237),单次交易!$B$2:$B$201),""))</f>
        <v/>
      </c>
      <c r="D237" s="27" t="n"/>
      <c r="E237" s="43" t="n"/>
      <c r="F237" s="43" t="n"/>
      <c r="G237" s="28" t="n"/>
      <c r="H237" s="49" t="n"/>
      <c r="I237" s="43" t="n"/>
      <c r="J237" s="27" t="n"/>
      <c r="K237" s="28" t="n"/>
      <c r="L237" s="28" t="n"/>
      <c r="M237" s="28" t="n"/>
      <c r="N237" s="44">
        <f>IF(B237="","",IFERROR(LOOKUP(2,1/(单次交易!$A$2:$A$201=B237),单次交易!$N$2:$N$201),""))</f>
        <v/>
      </c>
      <c r="O237" s="44">
        <f>IF(A237&lt;&gt;"每日跟踪","",IF(OR(B237="",H237="",I237=""),"",IFERROR(AGGREGATE(14,6,$I$2:$I$501/(($A$2:$A$501="每日跟踪")*($B$2:$B$501=B237)*($H$2:$H$501&lt;=H237)),1),"")))</f>
        <v/>
      </c>
      <c r="P237" s="26">
        <f>IF(A237&lt;&gt;"每日跟踪","",IF(O237="","",IFERROR(AGGREGATE(14,6,$D$2:$D$501/(($A$2:$A$501="止损计划")*($B$2:$B$501=B237)*($E$2:$E$501&lt;=O237)),1),0)))</f>
        <v/>
      </c>
      <c r="Q237" s="44">
        <f>IF(A237&lt;&gt;"每日跟踪","",IF(N237="","",MAX(N237,IFERROR(AGGREGATE(14,6,$F$2:$F$501/(($A$2:$A$501="止损计划")*($B$2:$B$501=B237)*($E$2:$E$501&lt;=O237)),1),0))))</f>
        <v/>
      </c>
      <c r="R237" s="43" t="n"/>
      <c r="S237" s="44">
        <f>IF(A237&lt;&gt;"每日跟踪","",IF(Q237="","",MAX(Q237,IFERROR(AGGREGATE(14,6,$R$2:$R$501/(($A$2:$A$501="每日跟踪")*($B$2:$B$501=B237)*($H$2:$H$501&lt;=H237)),1),0))))</f>
        <v/>
      </c>
      <c r="T237" s="44">
        <f>IF(A237&lt;&gt;"每日跟踪","",IF(O237="","",IF(COUNTIFS($A$2:$A$501,"止损计划",$B$2:$B$501,B237,$E$2:$E$501,"&gt;"&amp;O237)=0,"",AGGREGATE(15,6,$E$2:$E$501/(($A$2:$A$501="止损计划")*($B$2:$B$501=B237)*($E$2:$E$501&gt;O237)),1))))</f>
        <v/>
      </c>
      <c r="U237" s="44">
        <f>IF(OR(A237&lt;&gt;"每日跟踪",T237=""),"",IFERROR(AGGREGATE(14,6,$F$2:$F$501/(($A$2:$A$501="止损计划")*($B$2:$B$501=B237)*($E$2:$E$501=T237)),1),""))</f>
        <v/>
      </c>
      <c r="V237" s="30">
        <f>IF(OR(A237&lt;&gt;"每日跟踪",T237="",I237="",I237&lt;=0),"",T237/I237-1)</f>
        <v/>
      </c>
      <c r="W237" s="31">
        <f>IF(A237&lt;&gt;"每日跟踪","",IF(OR(I237="",S237=""),"",IF(I237&lt;=S237,"触发止损：应全部卖出","继续观察")))</f>
        <v/>
      </c>
      <c r="X237" s="28" t="n"/>
      <c r="Y237" s="43" t="n"/>
      <c r="Z237" s="26">
        <f>IF(X237&lt;&gt;"执行卖出","",IFERROR(LOOKUP(2,1/(单次交易!$A$2:$A$201=B237),单次交易!$AP$2:$AP$201),""))</f>
        <v/>
      </c>
      <c r="AA237" s="43" t="n"/>
      <c r="AB237" s="31">
        <f>IF(A237&lt;&gt;"每日跟踪","",IF(OR(B237="",H237="",I237="",J237="",K237="",L237="",M237=""),"待补充每日记录",IF(W237="触发止损：应全部卖出",IF(X237&lt;&gt;"执行卖出","违规：触发止损但未执行",IF(Y237="","待补充实际卖出价","卖出记录完整")),IF(X237="","待选择卖出动作",IF(X237="执行卖出",IF(Y237="","待补充实际卖出价","卖出记录完整"),"正常")))))</f>
        <v/>
      </c>
      <c r="AC237" s="31">
        <f>IF(A237="","",IF(A237="止损计划",IF(OR(B237="",D237="",E237="",F237="",G237=""),"计划不完整",IF(OR(D237&lt;1,D237&lt;&gt;INT(D237)),"阶段序号无效",IF(COUNTIFS($A$2:$A$501,"止损计划",$B$2:$B$501,B237,$D$2:$D$501,D237)&gt;1,"阶段序号重复",IF(E237&lt;=IFERROR(LOOKUP(2,1/('单次交易'!$A$2:$A$201=B237),'单次交易'!$E$2:$E$201),0),"激活价须高于买入价",IF(F237&lt;N237,"止损价不得低于初始止损",IF(F237&gt;E237,"止损价不得高于激活价",IF(AND(COUNTIFS($A$2:$A$501,"止损计划",$B$2:$B$501,B237,$D$2:$D$501,"&lt;"&amp;D237)&gt;0,OR(E237&lt;=AGGREGATE(14,6,$E$2:$E$501/(($A$2:$A$501="止损计划")*($B$2:$B$501=B237)*($D$2:$D$501&lt;D237)),1),F237&lt;AGGREGATE(14,6,$F$2:$F$501/(($A$2:$A$501="止损计划")*($B$2:$B$501=B237)*($D$2:$D$501&lt;D237)),1))),"阶段价格必须逐级提高","计划有效"))))))),IF(A237="每日跟踪",IF(OR(B237="",H237="",I237="",J237=""),"每日数据不完整",IF(COUNTIFS($A$2:$A$501,"每日跟踪",$B$2:$B$501,B237,$H$2:$H$501,H237)&gt;1,"同一交易日期重复",IF(AND(R237&lt;&gt;"",R237&lt;S237),"人工止损无效：不能下调","跟踪有效"))),"记录类型无效")))</f>
        <v/>
      </c>
    </row>
    <row r="238">
      <c r="A238" s="28" t="n"/>
      <c r="B238" s="28" t="n"/>
      <c r="C238" s="31">
        <f>IF(B238="","",IFERROR(LOOKUP(2,1/(单次交易!$A$2:$A$201=B238),单次交易!$B$2:$B$201),""))</f>
        <v/>
      </c>
      <c r="D238" s="27" t="n"/>
      <c r="E238" s="43" t="n"/>
      <c r="F238" s="43" t="n"/>
      <c r="G238" s="28" t="n"/>
      <c r="H238" s="49" t="n"/>
      <c r="I238" s="43" t="n"/>
      <c r="J238" s="27" t="n"/>
      <c r="K238" s="28" t="n"/>
      <c r="L238" s="28" t="n"/>
      <c r="M238" s="28" t="n"/>
      <c r="N238" s="44">
        <f>IF(B238="","",IFERROR(LOOKUP(2,1/(单次交易!$A$2:$A$201=B238),单次交易!$N$2:$N$201),""))</f>
        <v/>
      </c>
      <c r="O238" s="44">
        <f>IF(A238&lt;&gt;"每日跟踪","",IF(OR(B238="",H238="",I238=""),"",IFERROR(AGGREGATE(14,6,$I$2:$I$501/(($A$2:$A$501="每日跟踪")*($B$2:$B$501=B238)*($H$2:$H$501&lt;=H238)),1),"")))</f>
        <v/>
      </c>
      <c r="P238" s="26">
        <f>IF(A238&lt;&gt;"每日跟踪","",IF(O238="","",IFERROR(AGGREGATE(14,6,$D$2:$D$501/(($A$2:$A$501="止损计划")*($B$2:$B$501=B238)*($E$2:$E$501&lt;=O238)),1),0)))</f>
        <v/>
      </c>
      <c r="Q238" s="44">
        <f>IF(A238&lt;&gt;"每日跟踪","",IF(N238="","",MAX(N238,IFERROR(AGGREGATE(14,6,$F$2:$F$501/(($A$2:$A$501="止损计划")*($B$2:$B$501=B238)*($E$2:$E$501&lt;=O238)),1),0))))</f>
        <v/>
      </c>
      <c r="R238" s="43" t="n"/>
      <c r="S238" s="44">
        <f>IF(A238&lt;&gt;"每日跟踪","",IF(Q238="","",MAX(Q238,IFERROR(AGGREGATE(14,6,$R$2:$R$501/(($A$2:$A$501="每日跟踪")*($B$2:$B$501=B238)*($H$2:$H$501&lt;=H238)),1),0))))</f>
        <v/>
      </c>
      <c r="T238" s="44">
        <f>IF(A238&lt;&gt;"每日跟踪","",IF(O238="","",IF(COUNTIFS($A$2:$A$501,"止损计划",$B$2:$B$501,B238,$E$2:$E$501,"&gt;"&amp;O238)=0,"",AGGREGATE(15,6,$E$2:$E$501/(($A$2:$A$501="止损计划")*($B$2:$B$501=B238)*($E$2:$E$501&gt;O238)),1))))</f>
        <v/>
      </c>
      <c r="U238" s="44">
        <f>IF(OR(A238&lt;&gt;"每日跟踪",T238=""),"",IFERROR(AGGREGATE(14,6,$F$2:$F$501/(($A$2:$A$501="止损计划")*($B$2:$B$501=B238)*($E$2:$E$501=T238)),1),""))</f>
        <v/>
      </c>
      <c r="V238" s="30">
        <f>IF(OR(A238&lt;&gt;"每日跟踪",T238="",I238="",I238&lt;=0),"",T238/I238-1)</f>
        <v/>
      </c>
      <c r="W238" s="31">
        <f>IF(A238&lt;&gt;"每日跟踪","",IF(OR(I238="",S238=""),"",IF(I238&lt;=S238,"触发止损：应全部卖出","继续观察")))</f>
        <v/>
      </c>
      <c r="X238" s="28" t="n"/>
      <c r="Y238" s="43" t="n"/>
      <c r="Z238" s="26">
        <f>IF(X238&lt;&gt;"执行卖出","",IFERROR(LOOKUP(2,1/(单次交易!$A$2:$A$201=B238),单次交易!$AP$2:$AP$201),""))</f>
        <v/>
      </c>
      <c r="AA238" s="43" t="n"/>
      <c r="AB238" s="31">
        <f>IF(A238&lt;&gt;"每日跟踪","",IF(OR(B238="",H238="",I238="",J238="",K238="",L238="",M238=""),"待补充每日记录",IF(W238="触发止损：应全部卖出",IF(X238&lt;&gt;"执行卖出","违规：触发止损但未执行",IF(Y238="","待补充实际卖出价","卖出记录完整")),IF(X238="","待选择卖出动作",IF(X238="执行卖出",IF(Y238="","待补充实际卖出价","卖出记录完整"),"正常")))))</f>
        <v/>
      </c>
      <c r="AC238" s="31">
        <f>IF(A238="","",IF(A238="止损计划",IF(OR(B238="",D238="",E238="",F238="",G238=""),"计划不完整",IF(OR(D238&lt;1,D238&lt;&gt;INT(D238)),"阶段序号无效",IF(COUNTIFS($A$2:$A$501,"止损计划",$B$2:$B$501,B238,$D$2:$D$501,D238)&gt;1,"阶段序号重复",IF(E238&lt;=IFERROR(LOOKUP(2,1/('单次交易'!$A$2:$A$201=B238),'单次交易'!$E$2:$E$201),0),"激活价须高于买入价",IF(F238&lt;N238,"止损价不得低于初始止损",IF(F238&gt;E238,"止损价不得高于激活价",IF(AND(COUNTIFS($A$2:$A$501,"止损计划",$B$2:$B$501,B238,$D$2:$D$501,"&lt;"&amp;D238)&gt;0,OR(E238&lt;=AGGREGATE(14,6,$E$2:$E$501/(($A$2:$A$501="止损计划")*($B$2:$B$501=B238)*($D$2:$D$501&lt;D238)),1),F238&lt;AGGREGATE(14,6,$F$2:$F$501/(($A$2:$A$501="止损计划")*($B$2:$B$501=B238)*($D$2:$D$501&lt;D238)),1))),"阶段价格必须逐级提高","计划有效"))))))),IF(A238="每日跟踪",IF(OR(B238="",H238="",I238="",J238=""),"每日数据不完整",IF(COUNTIFS($A$2:$A$501,"每日跟踪",$B$2:$B$501,B238,$H$2:$H$501,H238)&gt;1,"同一交易日期重复",IF(AND(R238&lt;&gt;"",R238&lt;S238),"人工止损无效：不能下调","跟踪有效"))),"记录类型无效")))</f>
        <v/>
      </c>
    </row>
    <row r="239">
      <c r="A239" s="28" t="n"/>
      <c r="B239" s="28" t="n"/>
      <c r="C239" s="31">
        <f>IF(B239="","",IFERROR(LOOKUP(2,1/(单次交易!$A$2:$A$201=B239),单次交易!$B$2:$B$201),""))</f>
        <v/>
      </c>
      <c r="D239" s="27" t="n"/>
      <c r="E239" s="43" t="n"/>
      <c r="F239" s="43" t="n"/>
      <c r="G239" s="28" t="n"/>
      <c r="H239" s="49" t="n"/>
      <c r="I239" s="43" t="n"/>
      <c r="J239" s="27" t="n"/>
      <c r="K239" s="28" t="n"/>
      <c r="L239" s="28" t="n"/>
      <c r="M239" s="28" t="n"/>
      <c r="N239" s="44">
        <f>IF(B239="","",IFERROR(LOOKUP(2,1/(单次交易!$A$2:$A$201=B239),单次交易!$N$2:$N$201),""))</f>
        <v/>
      </c>
      <c r="O239" s="44">
        <f>IF(A239&lt;&gt;"每日跟踪","",IF(OR(B239="",H239="",I239=""),"",IFERROR(AGGREGATE(14,6,$I$2:$I$501/(($A$2:$A$501="每日跟踪")*($B$2:$B$501=B239)*($H$2:$H$501&lt;=H239)),1),"")))</f>
        <v/>
      </c>
      <c r="P239" s="26">
        <f>IF(A239&lt;&gt;"每日跟踪","",IF(O239="","",IFERROR(AGGREGATE(14,6,$D$2:$D$501/(($A$2:$A$501="止损计划")*($B$2:$B$501=B239)*($E$2:$E$501&lt;=O239)),1),0)))</f>
        <v/>
      </c>
      <c r="Q239" s="44">
        <f>IF(A239&lt;&gt;"每日跟踪","",IF(N239="","",MAX(N239,IFERROR(AGGREGATE(14,6,$F$2:$F$501/(($A$2:$A$501="止损计划")*($B$2:$B$501=B239)*($E$2:$E$501&lt;=O239)),1),0))))</f>
        <v/>
      </c>
      <c r="R239" s="43" t="n"/>
      <c r="S239" s="44">
        <f>IF(A239&lt;&gt;"每日跟踪","",IF(Q239="","",MAX(Q239,IFERROR(AGGREGATE(14,6,$R$2:$R$501/(($A$2:$A$501="每日跟踪")*($B$2:$B$501=B239)*($H$2:$H$501&lt;=H239)),1),0))))</f>
        <v/>
      </c>
      <c r="T239" s="44">
        <f>IF(A239&lt;&gt;"每日跟踪","",IF(O239="","",IF(COUNTIFS($A$2:$A$501,"止损计划",$B$2:$B$501,B239,$E$2:$E$501,"&gt;"&amp;O239)=0,"",AGGREGATE(15,6,$E$2:$E$501/(($A$2:$A$501="止损计划")*($B$2:$B$501=B239)*($E$2:$E$501&gt;O239)),1))))</f>
        <v/>
      </c>
      <c r="U239" s="44">
        <f>IF(OR(A239&lt;&gt;"每日跟踪",T239=""),"",IFERROR(AGGREGATE(14,6,$F$2:$F$501/(($A$2:$A$501="止损计划")*($B$2:$B$501=B239)*($E$2:$E$501=T239)),1),""))</f>
        <v/>
      </c>
      <c r="V239" s="30">
        <f>IF(OR(A239&lt;&gt;"每日跟踪",T239="",I239="",I239&lt;=0),"",T239/I239-1)</f>
        <v/>
      </c>
      <c r="W239" s="31">
        <f>IF(A239&lt;&gt;"每日跟踪","",IF(OR(I239="",S239=""),"",IF(I239&lt;=S239,"触发止损：应全部卖出","继续观察")))</f>
        <v/>
      </c>
      <c r="X239" s="28" t="n"/>
      <c r="Y239" s="43" t="n"/>
      <c r="Z239" s="26">
        <f>IF(X239&lt;&gt;"执行卖出","",IFERROR(LOOKUP(2,1/(单次交易!$A$2:$A$201=B239),单次交易!$AP$2:$AP$201),""))</f>
        <v/>
      </c>
      <c r="AA239" s="43" t="n"/>
      <c r="AB239" s="31">
        <f>IF(A239&lt;&gt;"每日跟踪","",IF(OR(B239="",H239="",I239="",J239="",K239="",L239="",M239=""),"待补充每日记录",IF(W239="触发止损：应全部卖出",IF(X239&lt;&gt;"执行卖出","违规：触发止损但未执行",IF(Y239="","待补充实际卖出价","卖出记录完整")),IF(X239="","待选择卖出动作",IF(X239="执行卖出",IF(Y239="","待补充实际卖出价","卖出记录完整"),"正常")))))</f>
        <v/>
      </c>
      <c r="AC239" s="31">
        <f>IF(A239="","",IF(A239="止损计划",IF(OR(B239="",D239="",E239="",F239="",G239=""),"计划不完整",IF(OR(D239&lt;1,D239&lt;&gt;INT(D239)),"阶段序号无效",IF(COUNTIFS($A$2:$A$501,"止损计划",$B$2:$B$501,B239,$D$2:$D$501,D239)&gt;1,"阶段序号重复",IF(E239&lt;=IFERROR(LOOKUP(2,1/('单次交易'!$A$2:$A$201=B239),'单次交易'!$E$2:$E$201),0),"激活价须高于买入价",IF(F239&lt;N239,"止损价不得低于初始止损",IF(F239&gt;E239,"止损价不得高于激活价",IF(AND(COUNTIFS($A$2:$A$501,"止损计划",$B$2:$B$501,B239,$D$2:$D$501,"&lt;"&amp;D239)&gt;0,OR(E239&lt;=AGGREGATE(14,6,$E$2:$E$501/(($A$2:$A$501="止损计划")*($B$2:$B$501=B239)*($D$2:$D$501&lt;D239)),1),F239&lt;AGGREGATE(14,6,$F$2:$F$501/(($A$2:$A$501="止损计划")*($B$2:$B$501=B239)*($D$2:$D$501&lt;D239)),1))),"阶段价格必须逐级提高","计划有效"))))))),IF(A239="每日跟踪",IF(OR(B239="",H239="",I239="",J239=""),"每日数据不完整",IF(COUNTIFS($A$2:$A$501,"每日跟踪",$B$2:$B$501,B239,$H$2:$H$501,H239)&gt;1,"同一交易日期重复",IF(AND(R239&lt;&gt;"",R239&lt;S239),"人工止损无效：不能下调","跟踪有效"))),"记录类型无效")))</f>
        <v/>
      </c>
    </row>
    <row r="240">
      <c r="A240" s="28" t="n"/>
      <c r="B240" s="28" t="n"/>
      <c r="C240" s="31">
        <f>IF(B240="","",IFERROR(LOOKUP(2,1/(单次交易!$A$2:$A$201=B240),单次交易!$B$2:$B$201),""))</f>
        <v/>
      </c>
      <c r="D240" s="27" t="n"/>
      <c r="E240" s="43" t="n"/>
      <c r="F240" s="43" t="n"/>
      <c r="G240" s="28" t="n"/>
      <c r="H240" s="49" t="n"/>
      <c r="I240" s="43" t="n"/>
      <c r="J240" s="27" t="n"/>
      <c r="K240" s="28" t="n"/>
      <c r="L240" s="28" t="n"/>
      <c r="M240" s="28" t="n"/>
      <c r="N240" s="44">
        <f>IF(B240="","",IFERROR(LOOKUP(2,1/(单次交易!$A$2:$A$201=B240),单次交易!$N$2:$N$201),""))</f>
        <v/>
      </c>
      <c r="O240" s="44">
        <f>IF(A240&lt;&gt;"每日跟踪","",IF(OR(B240="",H240="",I240=""),"",IFERROR(AGGREGATE(14,6,$I$2:$I$501/(($A$2:$A$501="每日跟踪")*($B$2:$B$501=B240)*($H$2:$H$501&lt;=H240)),1),"")))</f>
        <v/>
      </c>
      <c r="P240" s="26">
        <f>IF(A240&lt;&gt;"每日跟踪","",IF(O240="","",IFERROR(AGGREGATE(14,6,$D$2:$D$501/(($A$2:$A$501="止损计划")*($B$2:$B$501=B240)*($E$2:$E$501&lt;=O240)),1),0)))</f>
        <v/>
      </c>
      <c r="Q240" s="44">
        <f>IF(A240&lt;&gt;"每日跟踪","",IF(N240="","",MAX(N240,IFERROR(AGGREGATE(14,6,$F$2:$F$501/(($A$2:$A$501="止损计划")*($B$2:$B$501=B240)*($E$2:$E$501&lt;=O240)),1),0))))</f>
        <v/>
      </c>
      <c r="R240" s="43" t="n"/>
      <c r="S240" s="44">
        <f>IF(A240&lt;&gt;"每日跟踪","",IF(Q240="","",MAX(Q240,IFERROR(AGGREGATE(14,6,$R$2:$R$501/(($A$2:$A$501="每日跟踪")*($B$2:$B$501=B240)*($H$2:$H$501&lt;=H240)),1),0))))</f>
        <v/>
      </c>
      <c r="T240" s="44">
        <f>IF(A240&lt;&gt;"每日跟踪","",IF(O240="","",IF(COUNTIFS($A$2:$A$501,"止损计划",$B$2:$B$501,B240,$E$2:$E$501,"&gt;"&amp;O240)=0,"",AGGREGATE(15,6,$E$2:$E$501/(($A$2:$A$501="止损计划")*($B$2:$B$501=B240)*($E$2:$E$501&gt;O240)),1))))</f>
        <v/>
      </c>
      <c r="U240" s="44">
        <f>IF(OR(A240&lt;&gt;"每日跟踪",T240=""),"",IFERROR(AGGREGATE(14,6,$F$2:$F$501/(($A$2:$A$501="止损计划")*($B$2:$B$501=B240)*($E$2:$E$501=T240)),1),""))</f>
        <v/>
      </c>
      <c r="V240" s="30">
        <f>IF(OR(A240&lt;&gt;"每日跟踪",T240="",I240="",I240&lt;=0),"",T240/I240-1)</f>
        <v/>
      </c>
      <c r="W240" s="31">
        <f>IF(A240&lt;&gt;"每日跟踪","",IF(OR(I240="",S240=""),"",IF(I240&lt;=S240,"触发止损：应全部卖出","继续观察")))</f>
        <v/>
      </c>
      <c r="X240" s="28" t="n"/>
      <c r="Y240" s="43" t="n"/>
      <c r="Z240" s="26">
        <f>IF(X240&lt;&gt;"执行卖出","",IFERROR(LOOKUP(2,1/(单次交易!$A$2:$A$201=B240),单次交易!$AP$2:$AP$201),""))</f>
        <v/>
      </c>
      <c r="AA240" s="43" t="n"/>
      <c r="AB240" s="31">
        <f>IF(A240&lt;&gt;"每日跟踪","",IF(OR(B240="",H240="",I240="",J240="",K240="",L240="",M240=""),"待补充每日记录",IF(W240="触发止损：应全部卖出",IF(X240&lt;&gt;"执行卖出","违规：触发止损但未执行",IF(Y240="","待补充实际卖出价","卖出记录完整")),IF(X240="","待选择卖出动作",IF(X240="执行卖出",IF(Y240="","待补充实际卖出价","卖出记录完整"),"正常")))))</f>
        <v/>
      </c>
      <c r="AC240" s="31">
        <f>IF(A240="","",IF(A240="止损计划",IF(OR(B240="",D240="",E240="",F240="",G240=""),"计划不完整",IF(OR(D240&lt;1,D240&lt;&gt;INT(D240)),"阶段序号无效",IF(COUNTIFS($A$2:$A$501,"止损计划",$B$2:$B$501,B240,$D$2:$D$501,D240)&gt;1,"阶段序号重复",IF(E240&lt;=IFERROR(LOOKUP(2,1/('单次交易'!$A$2:$A$201=B240),'单次交易'!$E$2:$E$201),0),"激活价须高于买入价",IF(F240&lt;N240,"止损价不得低于初始止损",IF(F240&gt;E240,"止损价不得高于激活价",IF(AND(COUNTIFS($A$2:$A$501,"止损计划",$B$2:$B$501,B240,$D$2:$D$501,"&lt;"&amp;D240)&gt;0,OR(E240&lt;=AGGREGATE(14,6,$E$2:$E$501/(($A$2:$A$501="止损计划")*($B$2:$B$501=B240)*($D$2:$D$501&lt;D240)),1),F240&lt;AGGREGATE(14,6,$F$2:$F$501/(($A$2:$A$501="止损计划")*($B$2:$B$501=B240)*($D$2:$D$501&lt;D240)),1))),"阶段价格必须逐级提高","计划有效"))))))),IF(A240="每日跟踪",IF(OR(B240="",H240="",I240="",J240=""),"每日数据不完整",IF(COUNTIFS($A$2:$A$501,"每日跟踪",$B$2:$B$501,B240,$H$2:$H$501,H240)&gt;1,"同一交易日期重复",IF(AND(R240&lt;&gt;"",R240&lt;S240),"人工止损无效：不能下调","跟踪有效"))),"记录类型无效")))</f>
        <v/>
      </c>
    </row>
    <row r="241">
      <c r="A241" s="28" t="n"/>
      <c r="B241" s="28" t="n"/>
      <c r="C241" s="31">
        <f>IF(B241="","",IFERROR(LOOKUP(2,1/(单次交易!$A$2:$A$201=B241),单次交易!$B$2:$B$201),""))</f>
        <v/>
      </c>
      <c r="D241" s="27" t="n"/>
      <c r="E241" s="43" t="n"/>
      <c r="F241" s="43" t="n"/>
      <c r="G241" s="28" t="n"/>
      <c r="H241" s="49" t="n"/>
      <c r="I241" s="43" t="n"/>
      <c r="J241" s="27" t="n"/>
      <c r="K241" s="28" t="n"/>
      <c r="L241" s="28" t="n"/>
      <c r="M241" s="28" t="n"/>
      <c r="N241" s="44">
        <f>IF(B241="","",IFERROR(LOOKUP(2,1/(单次交易!$A$2:$A$201=B241),单次交易!$N$2:$N$201),""))</f>
        <v/>
      </c>
      <c r="O241" s="44">
        <f>IF(A241&lt;&gt;"每日跟踪","",IF(OR(B241="",H241="",I241=""),"",IFERROR(AGGREGATE(14,6,$I$2:$I$501/(($A$2:$A$501="每日跟踪")*($B$2:$B$501=B241)*($H$2:$H$501&lt;=H241)),1),"")))</f>
        <v/>
      </c>
      <c r="P241" s="26">
        <f>IF(A241&lt;&gt;"每日跟踪","",IF(O241="","",IFERROR(AGGREGATE(14,6,$D$2:$D$501/(($A$2:$A$501="止损计划")*($B$2:$B$501=B241)*($E$2:$E$501&lt;=O241)),1),0)))</f>
        <v/>
      </c>
      <c r="Q241" s="44">
        <f>IF(A241&lt;&gt;"每日跟踪","",IF(N241="","",MAX(N241,IFERROR(AGGREGATE(14,6,$F$2:$F$501/(($A$2:$A$501="止损计划")*($B$2:$B$501=B241)*($E$2:$E$501&lt;=O241)),1),0))))</f>
        <v/>
      </c>
      <c r="R241" s="43" t="n"/>
      <c r="S241" s="44">
        <f>IF(A241&lt;&gt;"每日跟踪","",IF(Q241="","",MAX(Q241,IFERROR(AGGREGATE(14,6,$R$2:$R$501/(($A$2:$A$501="每日跟踪")*($B$2:$B$501=B241)*($H$2:$H$501&lt;=H241)),1),0))))</f>
        <v/>
      </c>
      <c r="T241" s="44">
        <f>IF(A241&lt;&gt;"每日跟踪","",IF(O241="","",IF(COUNTIFS($A$2:$A$501,"止损计划",$B$2:$B$501,B241,$E$2:$E$501,"&gt;"&amp;O241)=0,"",AGGREGATE(15,6,$E$2:$E$501/(($A$2:$A$501="止损计划")*($B$2:$B$501=B241)*($E$2:$E$501&gt;O241)),1))))</f>
        <v/>
      </c>
      <c r="U241" s="44">
        <f>IF(OR(A241&lt;&gt;"每日跟踪",T241=""),"",IFERROR(AGGREGATE(14,6,$F$2:$F$501/(($A$2:$A$501="止损计划")*($B$2:$B$501=B241)*($E$2:$E$501=T241)),1),""))</f>
        <v/>
      </c>
      <c r="V241" s="30">
        <f>IF(OR(A241&lt;&gt;"每日跟踪",T241="",I241="",I241&lt;=0),"",T241/I241-1)</f>
        <v/>
      </c>
      <c r="W241" s="31">
        <f>IF(A241&lt;&gt;"每日跟踪","",IF(OR(I241="",S241=""),"",IF(I241&lt;=S241,"触发止损：应全部卖出","继续观察")))</f>
        <v/>
      </c>
      <c r="X241" s="28" t="n"/>
      <c r="Y241" s="43" t="n"/>
      <c r="Z241" s="26">
        <f>IF(X241&lt;&gt;"执行卖出","",IFERROR(LOOKUP(2,1/(单次交易!$A$2:$A$201=B241),单次交易!$AP$2:$AP$201),""))</f>
        <v/>
      </c>
      <c r="AA241" s="43" t="n"/>
      <c r="AB241" s="31">
        <f>IF(A241&lt;&gt;"每日跟踪","",IF(OR(B241="",H241="",I241="",J241="",K241="",L241="",M241=""),"待补充每日记录",IF(W241="触发止损：应全部卖出",IF(X241&lt;&gt;"执行卖出","违规：触发止损但未执行",IF(Y241="","待补充实际卖出价","卖出记录完整")),IF(X241="","待选择卖出动作",IF(X241="执行卖出",IF(Y241="","待补充实际卖出价","卖出记录完整"),"正常")))))</f>
        <v/>
      </c>
      <c r="AC241" s="31">
        <f>IF(A241="","",IF(A241="止损计划",IF(OR(B241="",D241="",E241="",F241="",G241=""),"计划不完整",IF(OR(D241&lt;1,D241&lt;&gt;INT(D241)),"阶段序号无效",IF(COUNTIFS($A$2:$A$501,"止损计划",$B$2:$B$501,B241,$D$2:$D$501,D241)&gt;1,"阶段序号重复",IF(E241&lt;=IFERROR(LOOKUP(2,1/('单次交易'!$A$2:$A$201=B241),'单次交易'!$E$2:$E$201),0),"激活价须高于买入价",IF(F241&lt;N241,"止损价不得低于初始止损",IF(F241&gt;E241,"止损价不得高于激活价",IF(AND(COUNTIFS($A$2:$A$501,"止损计划",$B$2:$B$501,B241,$D$2:$D$501,"&lt;"&amp;D241)&gt;0,OR(E241&lt;=AGGREGATE(14,6,$E$2:$E$501/(($A$2:$A$501="止损计划")*($B$2:$B$501=B241)*($D$2:$D$501&lt;D241)),1),F241&lt;AGGREGATE(14,6,$F$2:$F$501/(($A$2:$A$501="止损计划")*($B$2:$B$501=B241)*($D$2:$D$501&lt;D241)),1))),"阶段价格必须逐级提高","计划有效"))))))),IF(A241="每日跟踪",IF(OR(B241="",H241="",I241="",J241=""),"每日数据不完整",IF(COUNTIFS($A$2:$A$501,"每日跟踪",$B$2:$B$501,B241,$H$2:$H$501,H241)&gt;1,"同一交易日期重复",IF(AND(R241&lt;&gt;"",R241&lt;S241),"人工止损无效：不能下调","跟踪有效"))),"记录类型无效")))</f>
        <v/>
      </c>
    </row>
    <row r="242">
      <c r="A242" s="28" t="n"/>
      <c r="B242" s="28" t="n"/>
      <c r="C242" s="31">
        <f>IF(B242="","",IFERROR(LOOKUP(2,1/(单次交易!$A$2:$A$201=B242),单次交易!$B$2:$B$201),""))</f>
        <v/>
      </c>
      <c r="D242" s="27" t="n"/>
      <c r="E242" s="43" t="n"/>
      <c r="F242" s="43" t="n"/>
      <c r="G242" s="28" t="n"/>
      <c r="H242" s="49" t="n"/>
      <c r="I242" s="43" t="n"/>
      <c r="J242" s="27" t="n"/>
      <c r="K242" s="28" t="n"/>
      <c r="L242" s="28" t="n"/>
      <c r="M242" s="28" t="n"/>
      <c r="N242" s="44">
        <f>IF(B242="","",IFERROR(LOOKUP(2,1/(单次交易!$A$2:$A$201=B242),单次交易!$N$2:$N$201),""))</f>
        <v/>
      </c>
      <c r="O242" s="44">
        <f>IF(A242&lt;&gt;"每日跟踪","",IF(OR(B242="",H242="",I242=""),"",IFERROR(AGGREGATE(14,6,$I$2:$I$501/(($A$2:$A$501="每日跟踪")*($B$2:$B$501=B242)*($H$2:$H$501&lt;=H242)),1),"")))</f>
        <v/>
      </c>
      <c r="P242" s="26">
        <f>IF(A242&lt;&gt;"每日跟踪","",IF(O242="","",IFERROR(AGGREGATE(14,6,$D$2:$D$501/(($A$2:$A$501="止损计划")*($B$2:$B$501=B242)*($E$2:$E$501&lt;=O242)),1),0)))</f>
        <v/>
      </c>
      <c r="Q242" s="44">
        <f>IF(A242&lt;&gt;"每日跟踪","",IF(N242="","",MAX(N242,IFERROR(AGGREGATE(14,6,$F$2:$F$501/(($A$2:$A$501="止损计划")*($B$2:$B$501=B242)*($E$2:$E$501&lt;=O242)),1),0))))</f>
        <v/>
      </c>
      <c r="R242" s="43" t="n"/>
      <c r="S242" s="44">
        <f>IF(A242&lt;&gt;"每日跟踪","",IF(Q242="","",MAX(Q242,IFERROR(AGGREGATE(14,6,$R$2:$R$501/(($A$2:$A$501="每日跟踪")*($B$2:$B$501=B242)*($H$2:$H$501&lt;=H242)),1),0))))</f>
        <v/>
      </c>
      <c r="T242" s="44">
        <f>IF(A242&lt;&gt;"每日跟踪","",IF(O242="","",IF(COUNTIFS($A$2:$A$501,"止损计划",$B$2:$B$501,B242,$E$2:$E$501,"&gt;"&amp;O242)=0,"",AGGREGATE(15,6,$E$2:$E$501/(($A$2:$A$501="止损计划")*($B$2:$B$501=B242)*($E$2:$E$501&gt;O242)),1))))</f>
        <v/>
      </c>
      <c r="U242" s="44">
        <f>IF(OR(A242&lt;&gt;"每日跟踪",T242=""),"",IFERROR(AGGREGATE(14,6,$F$2:$F$501/(($A$2:$A$501="止损计划")*($B$2:$B$501=B242)*($E$2:$E$501=T242)),1),""))</f>
        <v/>
      </c>
      <c r="V242" s="30">
        <f>IF(OR(A242&lt;&gt;"每日跟踪",T242="",I242="",I242&lt;=0),"",T242/I242-1)</f>
        <v/>
      </c>
      <c r="W242" s="31">
        <f>IF(A242&lt;&gt;"每日跟踪","",IF(OR(I242="",S242=""),"",IF(I242&lt;=S242,"触发止损：应全部卖出","继续观察")))</f>
        <v/>
      </c>
      <c r="X242" s="28" t="n"/>
      <c r="Y242" s="43" t="n"/>
      <c r="Z242" s="26">
        <f>IF(X242&lt;&gt;"执行卖出","",IFERROR(LOOKUP(2,1/(单次交易!$A$2:$A$201=B242),单次交易!$AP$2:$AP$201),""))</f>
        <v/>
      </c>
      <c r="AA242" s="43" t="n"/>
      <c r="AB242" s="31">
        <f>IF(A242&lt;&gt;"每日跟踪","",IF(OR(B242="",H242="",I242="",J242="",K242="",L242="",M242=""),"待补充每日记录",IF(W242="触发止损：应全部卖出",IF(X242&lt;&gt;"执行卖出","违规：触发止损但未执行",IF(Y242="","待补充实际卖出价","卖出记录完整")),IF(X242="","待选择卖出动作",IF(X242="执行卖出",IF(Y242="","待补充实际卖出价","卖出记录完整"),"正常")))))</f>
        <v/>
      </c>
      <c r="AC242" s="31">
        <f>IF(A242="","",IF(A242="止损计划",IF(OR(B242="",D242="",E242="",F242="",G242=""),"计划不完整",IF(OR(D242&lt;1,D242&lt;&gt;INT(D242)),"阶段序号无效",IF(COUNTIFS($A$2:$A$501,"止损计划",$B$2:$B$501,B242,$D$2:$D$501,D242)&gt;1,"阶段序号重复",IF(E242&lt;=IFERROR(LOOKUP(2,1/('单次交易'!$A$2:$A$201=B242),'单次交易'!$E$2:$E$201),0),"激活价须高于买入价",IF(F242&lt;N242,"止损价不得低于初始止损",IF(F242&gt;E242,"止损价不得高于激活价",IF(AND(COUNTIFS($A$2:$A$501,"止损计划",$B$2:$B$501,B242,$D$2:$D$501,"&lt;"&amp;D242)&gt;0,OR(E242&lt;=AGGREGATE(14,6,$E$2:$E$501/(($A$2:$A$501="止损计划")*($B$2:$B$501=B242)*($D$2:$D$501&lt;D242)),1),F242&lt;AGGREGATE(14,6,$F$2:$F$501/(($A$2:$A$501="止损计划")*($B$2:$B$501=B242)*($D$2:$D$501&lt;D242)),1))),"阶段价格必须逐级提高","计划有效"))))))),IF(A242="每日跟踪",IF(OR(B242="",H242="",I242="",J242=""),"每日数据不完整",IF(COUNTIFS($A$2:$A$501,"每日跟踪",$B$2:$B$501,B242,$H$2:$H$501,H242)&gt;1,"同一交易日期重复",IF(AND(R242&lt;&gt;"",R242&lt;S242),"人工止损无效：不能下调","跟踪有效"))),"记录类型无效")))</f>
        <v/>
      </c>
    </row>
    <row r="243">
      <c r="A243" s="28" t="n"/>
      <c r="B243" s="28" t="n"/>
      <c r="C243" s="31">
        <f>IF(B243="","",IFERROR(LOOKUP(2,1/(单次交易!$A$2:$A$201=B243),单次交易!$B$2:$B$201),""))</f>
        <v/>
      </c>
      <c r="D243" s="27" t="n"/>
      <c r="E243" s="43" t="n"/>
      <c r="F243" s="43" t="n"/>
      <c r="G243" s="28" t="n"/>
      <c r="H243" s="49" t="n"/>
      <c r="I243" s="43" t="n"/>
      <c r="J243" s="27" t="n"/>
      <c r="K243" s="28" t="n"/>
      <c r="L243" s="28" t="n"/>
      <c r="M243" s="28" t="n"/>
      <c r="N243" s="44">
        <f>IF(B243="","",IFERROR(LOOKUP(2,1/(单次交易!$A$2:$A$201=B243),单次交易!$N$2:$N$201),""))</f>
        <v/>
      </c>
      <c r="O243" s="44">
        <f>IF(A243&lt;&gt;"每日跟踪","",IF(OR(B243="",H243="",I243=""),"",IFERROR(AGGREGATE(14,6,$I$2:$I$501/(($A$2:$A$501="每日跟踪")*($B$2:$B$501=B243)*($H$2:$H$501&lt;=H243)),1),"")))</f>
        <v/>
      </c>
      <c r="P243" s="26">
        <f>IF(A243&lt;&gt;"每日跟踪","",IF(O243="","",IFERROR(AGGREGATE(14,6,$D$2:$D$501/(($A$2:$A$501="止损计划")*($B$2:$B$501=B243)*($E$2:$E$501&lt;=O243)),1),0)))</f>
        <v/>
      </c>
      <c r="Q243" s="44">
        <f>IF(A243&lt;&gt;"每日跟踪","",IF(N243="","",MAX(N243,IFERROR(AGGREGATE(14,6,$F$2:$F$501/(($A$2:$A$501="止损计划")*($B$2:$B$501=B243)*($E$2:$E$501&lt;=O243)),1),0))))</f>
        <v/>
      </c>
      <c r="R243" s="43" t="n"/>
      <c r="S243" s="44">
        <f>IF(A243&lt;&gt;"每日跟踪","",IF(Q243="","",MAX(Q243,IFERROR(AGGREGATE(14,6,$R$2:$R$501/(($A$2:$A$501="每日跟踪")*($B$2:$B$501=B243)*($H$2:$H$501&lt;=H243)),1),0))))</f>
        <v/>
      </c>
      <c r="T243" s="44">
        <f>IF(A243&lt;&gt;"每日跟踪","",IF(O243="","",IF(COUNTIFS($A$2:$A$501,"止损计划",$B$2:$B$501,B243,$E$2:$E$501,"&gt;"&amp;O243)=0,"",AGGREGATE(15,6,$E$2:$E$501/(($A$2:$A$501="止损计划")*($B$2:$B$501=B243)*($E$2:$E$501&gt;O243)),1))))</f>
        <v/>
      </c>
      <c r="U243" s="44">
        <f>IF(OR(A243&lt;&gt;"每日跟踪",T243=""),"",IFERROR(AGGREGATE(14,6,$F$2:$F$501/(($A$2:$A$501="止损计划")*($B$2:$B$501=B243)*($E$2:$E$501=T243)),1),""))</f>
        <v/>
      </c>
      <c r="V243" s="30">
        <f>IF(OR(A243&lt;&gt;"每日跟踪",T243="",I243="",I243&lt;=0),"",T243/I243-1)</f>
        <v/>
      </c>
      <c r="W243" s="31">
        <f>IF(A243&lt;&gt;"每日跟踪","",IF(OR(I243="",S243=""),"",IF(I243&lt;=S243,"触发止损：应全部卖出","继续观察")))</f>
        <v/>
      </c>
      <c r="X243" s="28" t="n"/>
      <c r="Y243" s="43" t="n"/>
      <c r="Z243" s="26">
        <f>IF(X243&lt;&gt;"执行卖出","",IFERROR(LOOKUP(2,1/(单次交易!$A$2:$A$201=B243),单次交易!$AP$2:$AP$201),""))</f>
        <v/>
      </c>
      <c r="AA243" s="43" t="n"/>
      <c r="AB243" s="31">
        <f>IF(A243&lt;&gt;"每日跟踪","",IF(OR(B243="",H243="",I243="",J243="",K243="",L243="",M243=""),"待补充每日记录",IF(W243="触发止损：应全部卖出",IF(X243&lt;&gt;"执行卖出","违规：触发止损但未执行",IF(Y243="","待补充实际卖出价","卖出记录完整")),IF(X243="","待选择卖出动作",IF(X243="执行卖出",IF(Y243="","待补充实际卖出价","卖出记录完整"),"正常")))))</f>
        <v/>
      </c>
      <c r="AC243" s="31">
        <f>IF(A243="","",IF(A243="止损计划",IF(OR(B243="",D243="",E243="",F243="",G243=""),"计划不完整",IF(OR(D243&lt;1,D243&lt;&gt;INT(D243)),"阶段序号无效",IF(COUNTIFS($A$2:$A$501,"止损计划",$B$2:$B$501,B243,$D$2:$D$501,D243)&gt;1,"阶段序号重复",IF(E243&lt;=IFERROR(LOOKUP(2,1/('单次交易'!$A$2:$A$201=B243),'单次交易'!$E$2:$E$201),0),"激活价须高于买入价",IF(F243&lt;N243,"止损价不得低于初始止损",IF(F243&gt;E243,"止损价不得高于激活价",IF(AND(COUNTIFS($A$2:$A$501,"止损计划",$B$2:$B$501,B243,$D$2:$D$501,"&lt;"&amp;D243)&gt;0,OR(E243&lt;=AGGREGATE(14,6,$E$2:$E$501/(($A$2:$A$501="止损计划")*($B$2:$B$501=B243)*($D$2:$D$501&lt;D243)),1),F243&lt;AGGREGATE(14,6,$F$2:$F$501/(($A$2:$A$501="止损计划")*($B$2:$B$501=B243)*($D$2:$D$501&lt;D243)),1))),"阶段价格必须逐级提高","计划有效"))))))),IF(A243="每日跟踪",IF(OR(B243="",H243="",I243="",J243=""),"每日数据不完整",IF(COUNTIFS($A$2:$A$501,"每日跟踪",$B$2:$B$501,B243,$H$2:$H$501,H243)&gt;1,"同一交易日期重复",IF(AND(R243&lt;&gt;"",R243&lt;S243),"人工止损无效：不能下调","跟踪有效"))),"记录类型无效")))</f>
        <v/>
      </c>
    </row>
    <row r="244">
      <c r="A244" s="28" t="n"/>
      <c r="B244" s="28" t="n"/>
      <c r="C244" s="31">
        <f>IF(B244="","",IFERROR(LOOKUP(2,1/(单次交易!$A$2:$A$201=B244),单次交易!$B$2:$B$201),""))</f>
        <v/>
      </c>
      <c r="D244" s="27" t="n"/>
      <c r="E244" s="43" t="n"/>
      <c r="F244" s="43" t="n"/>
      <c r="G244" s="28" t="n"/>
      <c r="H244" s="49" t="n"/>
      <c r="I244" s="43" t="n"/>
      <c r="J244" s="27" t="n"/>
      <c r="K244" s="28" t="n"/>
      <c r="L244" s="28" t="n"/>
      <c r="M244" s="28" t="n"/>
      <c r="N244" s="44">
        <f>IF(B244="","",IFERROR(LOOKUP(2,1/(单次交易!$A$2:$A$201=B244),单次交易!$N$2:$N$201),""))</f>
        <v/>
      </c>
      <c r="O244" s="44">
        <f>IF(A244&lt;&gt;"每日跟踪","",IF(OR(B244="",H244="",I244=""),"",IFERROR(AGGREGATE(14,6,$I$2:$I$501/(($A$2:$A$501="每日跟踪")*($B$2:$B$501=B244)*($H$2:$H$501&lt;=H244)),1),"")))</f>
        <v/>
      </c>
      <c r="P244" s="26">
        <f>IF(A244&lt;&gt;"每日跟踪","",IF(O244="","",IFERROR(AGGREGATE(14,6,$D$2:$D$501/(($A$2:$A$501="止损计划")*($B$2:$B$501=B244)*($E$2:$E$501&lt;=O244)),1),0)))</f>
        <v/>
      </c>
      <c r="Q244" s="44">
        <f>IF(A244&lt;&gt;"每日跟踪","",IF(N244="","",MAX(N244,IFERROR(AGGREGATE(14,6,$F$2:$F$501/(($A$2:$A$501="止损计划")*($B$2:$B$501=B244)*($E$2:$E$501&lt;=O244)),1),0))))</f>
        <v/>
      </c>
      <c r="R244" s="43" t="n"/>
      <c r="S244" s="44">
        <f>IF(A244&lt;&gt;"每日跟踪","",IF(Q244="","",MAX(Q244,IFERROR(AGGREGATE(14,6,$R$2:$R$501/(($A$2:$A$501="每日跟踪")*($B$2:$B$501=B244)*($H$2:$H$501&lt;=H244)),1),0))))</f>
        <v/>
      </c>
      <c r="T244" s="44">
        <f>IF(A244&lt;&gt;"每日跟踪","",IF(O244="","",IF(COUNTIFS($A$2:$A$501,"止损计划",$B$2:$B$501,B244,$E$2:$E$501,"&gt;"&amp;O244)=0,"",AGGREGATE(15,6,$E$2:$E$501/(($A$2:$A$501="止损计划")*($B$2:$B$501=B244)*($E$2:$E$501&gt;O244)),1))))</f>
        <v/>
      </c>
      <c r="U244" s="44">
        <f>IF(OR(A244&lt;&gt;"每日跟踪",T244=""),"",IFERROR(AGGREGATE(14,6,$F$2:$F$501/(($A$2:$A$501="止损计划")*($B$2:$B$501=B244)*($E$2:$E$501=T244)),1),""))</f>
        <v/>
      </c>
      <c r="V244" s="30">
        <f>IF(OR(A244&lt;&gt;"每日跟踪",T244="",I244="",I244&lt;=0),"",T244/I244-1)</f>
        <v/>
      </c>
      <c r="W244" s="31">
        <f>IF(A244&lt;&gt;"每日跟踪","",IF(OR(I244="",S244=""),"",IF(I244&lt;=S244,"触发止损：应全部卖出","继续观察")))</f>
        <v/>
      </c>
      <c r="X244" s="28" t="n"/>
      <c r="Y244" s="43" t="n"/>
      <c r="Z244" s="26">
        <f>IF(X244&lt;&gt;"执行卖出","",IFERROR(LOOKUP(2,1/(单次交易!$A$2:$A$201=B244),单次交易!$AP$2:$AP$201),""))</f>
        <v/>
      </c>
      <c r="AA244" s="43" t="n"/>
      <c r="AB244" s="31">
        <f>IF(A244&lt;&gt;"每日跟踪","",IF(OR(B244="",H244="",I244="",J244="",K244="",L244="",M244=""),"待补充每日记录",IF(W244="触发止损：应全部卖出",IF(X244&lt;&gt;"执行卖出","违规：触发止损但未执行",IF(Y244="","待补充实际卖出价","卖出记录完整")),IF(X244="","待选择卖出动作",IF(X244="执行卖出",IF(Y244="","待补充实际卖出价","卖出记录完整"),"正常")))))</f>
        <v/>
      </c>
      <c r="AC244" s="31">
        <f>IF(A244="","",IF(A244="止损计划",IF(OR(B244="",D244="",E244="",F244="",G244=""),"计划不完整",IF(OR(D244&lt;1,D244&lt;&gt;INT(D244)),"阶段序号无效",IF(COUNTIFS($A$2:$A$501,"止损计划",$B$2:$B$501,B244,$D$2:$D$501,D244)&gt;1,"阶段序号重复",IF(E244&lt;=IFERROR(LOOKUP(2,1/('单次交易'!$A$2:$A$201=B244),'单次交易'!$E$2:$E$201),0),"激活价须高于买入价",IF(F244&lt;N244,"止损价不得低于初始止损",IF(F244&gt;E244,"止损价不得高于激活价",IF(AND(COUNTIFS($A$2:$A$501,"止损计划",$B$2:$B$501,B244,$D$2:$D$501,"&lt;"&amp;D244)&gt;0,OR(E244&lt;=AGGREGATE(14,6,$E$2:$E$501/(($A$2:$A$501="止损计划")*($B$2:$B$501=B244)*($D$2:$D$501&lt;D244)),1),F244&lt;AGGREGATE(14,6,$F$2:$F$501/(($A$2:$A$501="止损计划")*($B$2:$B$501=B244)*($D$2:$D$501&lt;D244)),1))),"阶段价格必须逐级提高","计划有效"))))))),IF(A244="每日跟踪",IF(OR(B244="",H244="",I244="",J244=""),"每日数据不完整",IF(COUNTIFS($A$2:$A$501,"每日跟踪",$B$2:$B$501,B244,$H$2:$H$501,H244)&gt;1,"同一交易日期重复",IF(AND(R244&lt;&gt;"",R244&lt;S244),"人工止损无效：不能下调","跟踪有效"))),"记录类型无效")))</f>
        <v/>
      </c>
    </row>
    <row r="245">
      <c r="A245" s="28" t="n"/>
      <c r="B245" s="28" t="n"/>
      <c r="C245" s="31">
        <f>IF(B245="","",IFERROR(LOOKUP(2,1/(单次交易!$A$2:$A$201=B245),单次交易!$B$2:$B$201),""))</f>
        <v/>
      </c>
      <c r="D245" s="27" t="n"/>
      <c r="E245" s="43" t="n"/>
      <c r="F245" s="43" t="n"/>
      <c r="G245" s="28" t="n"/>
      <c r="H245" s="49" t="n"/>
      <c r="I245" s="43" t="n"/>
      <c r="J245" s="27" t="n"/>
      <c r="K245" s="28" t="n"/>
      <c r="L245" s="28" t="n"/>
      <c r="M245" s="28" t="n"/>
      <c r="N245" s="44">
        <f>IF(B245="","",IFERROR(LOOKUP(2,1/(单次交易!$A$2:$A$201=B245),单次交易!$N$2:$N$201),""))</f>
        <v/>
      </c>
      <c r="O245" s="44">
        <f>IF(A245&lt;&gt;"每日跟踪","",IF(OR(B245="",H245="",I245=""),"",IFERROR(AGGREGATE(14,6,$I$2:$I$501/(($A$2:$A$501="每日跟踪")*($B$2:$B$501=B245)*($H$2:$H$501&lt;=H245)),1),"")))</f>
        <v/>
      </c>
      <c r="P245" s="26">
        <f>IF(A245&lt;&gt;"每日跟踪","",IF(O245="","",IFERROR(AGGREGATE(14,6,$D$2:$D$501/(($A$2:$A$501="止损计划")*($B$2:$B$501=B245)*($E$2:$E$501&lt;=O245)),1),0)))</f>
        <v/>
      </c>
      <c r="Q245" s="44">
        <f>IF(A245&lt;&gt;"每日跟踪","",IF(N245="","",MAX(N245,IFERROR(AGGREGATE(14,6,$F$2:$F$501/(($A$2:$A$501="止损计划")*($B$2:$B$501=B245)*($E$2:$E$501&lt;=O245)),1),0))))</f>
        <v/>
      </c>
      <c r="R245" s="43" t="n"/>
      <c r="S245" s="44">
        <f>IF(A245&lt;&gt;"每日跟踪","",IF(Q245="","",MAX(Q245,IFERROR(AGGREGATE(14,6,$R$2:$R$501/(($A$2:$A$501="每日跟踪")*($B$2:$B$501=B245)*($H$2:$H$501&lt;=H245)),1),0))))</f>
        <v/>
      </c>
      <c r="T245" s="44">
        <f>IF(A245&lt;&gt;"每日跟踪","",IF(O245="","",IF(COUNTIFS($A$2:$A$501,"止损计划",$B$2:$B$501,B245,$E$2:$E$501,"&gt;"&amp;O245)=0,"",AGGREGATE(15,6,$E$2:$E$501/(($A$2:$A$501="止损计划")*($B$2:$B$501=B245)*($E$2:$E$501&gt;O245)),1))))</f>
        <v/>
      </c>
      <c r="U245" s="44">
        <f>IF(OR(A245&lt;&gt;"每日跟踪",T245=""),"",IFERROR(AGGREGATE(14,6,$F$2:$F$501/(($A$2:$A$501="止损计划")*($B$2:$B$501=B245)*($E$2:$E$501=T245)),1),""))</f>
        <v/>
      </c>
      <c r="V245" s="30">
        <f>IF(OR(A245&lt;&gt;"每日跟踪",T245="",I245="",I245&lt;=0),"",T245/I245-1)</f>
        <v/>
      </c>
      <c r="W245" s="31">
        <f>IF(A245&lt;&gt;"每日跟踪","",IF(OR(I245="",S245=""),"",IF(I245&lt;=S245,"触发止损：应全部卖出","继续观察")))</f>
        <v/>
      </c>
      <c r="X245" s="28" t="n"/>
      <c r="Y245" s="43" t="n"/>
      <c r="Z245" s="26">
        <f>IF(X245&lt;&gt;"执行卖出","",IFERROR(LOOKUP(2,1/(单次交易!$A$2:$A$201=B245),单次交易!$AP$2:$AP$201),""))</f>
        <v/>
      </c>
      <c r="AA245" s="43" t="n"/>
      <c r="AB245" s="31">
        <f>IF(A245&lt;&gt;"每日跟踪","",IF(OR(B245="",H245="",I245="",J245="",K245="",L245="",M245=""),"待补充每日记录",IF(W245="触发止损：应全部卖出",IF(X245&lt;&gt;"执行卖出","违规：触发止损但未执行",IF(Y245="","待补充实际卖出价","卖出记录完整")),IF(X245="","待选择卖出动作",IF(X245="执行卖出",IF(Y245="","待补充实际卖出价","卖出记录完整"),"正常")))))</f>
        <v/>
      </c>
      <c r="AC245" s="31">
        <f>IF(A245="","",IF(A245="止损计划",IF(OR(B245="",D245="",E245="",F245="",G245=""),"计划不完整",IF(OR(D245&lt;1,D245&lt;&gt;INT(D245)),"阶段序号无效",IF(COUNTIFS($A$2:$A$501,"止损计划",$B$2:$B$501,B245,$D$2:$D$501,D245)&gt;1,"阶段序号重复",IF(E245&lt;=IFERROR(LOOKUP(2,1/('单次交易'!$A$2:$A$201=B245),'单次交易'!$E$2:$E$201),0),"激活价须高于买入价",IF(F245&lt;N245,"止损价不得低于初始止损",IF(F245&gt;E245,"止损价不得高于激活价",IF(AND(COUNTIFS($A$2:$A$501,"止损计划",$B$2:$B$501,B245,$D$2:$D$501,"&lt;"&amp;D245)&gt;0,OR(E245&lt;=AGGREGATE(14,6,$E$2:$E$501/(($A$2:$A$501="止损计划")*($B$2:$B$501=B245)*($D$2:$D$501&lt;D245)),1),F245&lt;AGGREGATE(14,6,$F$2:$F$501/(($A$2:$A$501="止损计划")*($B$2:$B$501=B245)*($D$2:$D$501&lt;D245)),1))),"阶段价格必须逐级提高","计划有效"))))))),IF(A245="每日跟踪",IF(OR(B245="",H245="",I245="",J245=""),"每日数据不完整",IF(COUNTIFS($A$2:$A$501,"每日跟踪",$B$2:$B$501,B245,$H$2:$H$501,H245)&gt;1,"同一交易日期重复",IF(AND(R245&lt;&gt;"",R245&lt;S245),"人工止损无效：不能下调","跟踪有效"))),"记录类型无效")))</f>
        <v/>
      </c>
    </row>
    <row r="246">
      <c r="A246" s="28" t="n"/>
      <c r="B246" s="28" t="n"/>
      <c r="C246" s="31">
        <f>IF(B246="","",IFERROR(LOOKUP(2,1/(单次交易!$A$2:$A$201=B246),单次交易!$B$2:$B$201),""))</f>
        <v/>
      </c>
      <c r="D246" s="27" t="n"/>
      <c r="E246" s="43" t="n"/>
      <c r="F246" s="43" t="n"/>
      <c r="G246" s="28" t="n"/>
      <c r="H246" s="49" t="n"/>
      <c r="I246" s="43" t="n"/>
      <c r="J246" s="27" t="n"/>
      <c r="K246" s="28" t="n"/>
      <c r="L246" s="28" t="n"/>
      <c r="M246" s="28" t="n"/>
      <c r="N246" s="44">
        <f>IF(B246="","",IFERROR(LOOKUP(2,1/(单次交易!$A$2:$A$201=B246),单次交易!$N$2:$N$201),""))</f>
        <v/>
      </c>
      <c r="O246" s="44">
        <f>IF(A246&lt;&gt;"每日跟踪","",IF(OR(B246="",H246="",I246=""),"",IFERROR(AGGREGATE(14,6,$I$2:$I$501/(($A$2:$A$501="每日跟踪")*($B$2:$B$501=B246)*($H$2:$H$501&lt;=H246)),1),"")))</f>
        <v/>
      </c>
      <c r="P246" s="26">
        <f>IF(A246&lt;&gt;"每日跟踪","",IF(O246="","",IFERROR(AGGREGATE(14,6,$D$2:$D$501/(($A$2:$A$501="止损计划")*($B$2:$B$501=B246)*($E$2:$E$501&lt;=O246)),1),0)))</f>
        <v/>
      </c>
      <c r="Q246" s="44">
        <f>IF(A246&lt;&gt;"每日跟踪","",IF(N246="","",MAX(N246,IFERROR(AGGREGATE(14,6,$F$2:$F$501/(($A$2:$A$501="止损计划")*($B$2:$B$501=B246)*($E$2:$E$501&lt;=O246)),1),0))))</f>
        <v/>
      </c>
      <c r="R246" s="43" t="n"/>
      <c r="S246" s="44">
        <f>IF(A246&lt;&gt;"每日跟踪","",IF(Q246="","",MAX(Q246,IFERROR(AGGREGATE(14,6,$R$2:$R$501/(($A$2:$A$501="每日跟踪")*($B$2:$B$501=B246)*($H$2:$H$501&lt;=H246)),1),0))))</f>
        <v/>
      </c>
      <c r="T246" s="44">
        <f>IF(A246&lt;&gt;"每日跟踪","",IF(O246="","",IF(COUNTIFS($A$2:$A$501,"止损计划",$B$2:$B$501,B246,$E$2:$E$501,"&gt;"&amp;O246)=0,"",AGGREGATE(15,6,$E$2:$E$501/(($A$2:$A$501="止损计划")*($B$2:$B$501=B246)*($E$2:$E$501&gt;O246)),1))))</f>
        <v/>
      </c>
      <c r="U246" s="44">
        <f>IF(OR(A246&lt;&gt;"每日跟踪",T246=""),"",IFERROR(AGGREGATE(14,6,$F$2:$F$501/(($A$2:$A$501="止损计划")*($B$2:$B$501=B246)*($E$2:$E$501=T246)),1),""))</f>
        <v/>
      </c>
      <c r="V246" s="30">
        <f>IF(OR(A246&lt;&gt;"每日跟踪",T246="",I246="",I246&lt;=0),"",T246/I246-1)</f>
        <v/>
      </c>
      <c r="W246" s="31">
        <f>IF(A246&lt;&gt;"每日跟踪","",IF(OR(I246="",S246=""),"",IF(I246&lt;=S246,"触发止损：应全部卖出","继续观察")))</f>
        <v/>
      </c>
      <c r="X246" s="28" t="n"/>
      <c r="Y246" s="43" t="n"/>
      <c r="Z246" s="26">
        <f>IF(X246&lt;&gt;"执行卖出","",IFERROR(LOOKUP(2,1/(单次交易!$A$2:$A$201=B246),单次交易!$AP$2:$AP$201),""))</f>
        <v/>
      </c>
      <c r="AA246" s="43" t="n"/>
      <c r="AB246" s="31">
        <f>IF(A246&lt;&gt;"每日跟踪","",IF(OR(B246="",H246="",I246="",J246="",K246="",L246="",M246=""),"待补充每日记录",IF(W246="触发止损：应全部卖出",IF(X246&lt;&gt;"执行卖出","违规：触发止损但未执行",IF(Y246="","待补充实际卖出价","卖出记录完整")),IF(X246="","待选择卖出动作",IF(X246="执行卖出",IF(Y246="","待补充实际卖出价","卖出记录完整"),"正常")))))</f>
        <v/>
      </c>
      <c r="AC246" s="31">
        <f>IF(A246="","",IF(A246="止损计划",IF(OR(B246="",D246="",E246="",F246="",G246=""),"计划不完整",IF(OR(D246&lt;1,D246&lt;&gt;INT(D246)),"阶段序号无效",IF(COUNTIFS($A$2:$A$501,"止损计划",$B$2:$B$501,B246,$D$2:$D$501,D246)&gt;1,"阶段序号重复",IF(E246&lt;=IFERROR(LOOKUP(2,1/('单次交易'!$A$2:$A$201=B246),'单次交易'!$E$2:$E$201),0),"激活价须高于买入价",IF(F246&lt;N246,"止损价不得低于初始止损",IF(F246&gt;E246,"止损价不得高于激活价",IF(AND(COUNTIFS($A$2:$A$501,"止损计划",$B$2:$B$501,B246,$D$2:$D$501,"&lt;"&amp;D246)&gt;0,OR(E246&lt;=AGGREGATE(14,6,$E$2:$E$501/(($A$2:$A$501="止损计划")*($B$2:$B$501=B246)*($D$2:$D$501&lt;D246)),1),F246&lt;AGGREGATE(14,6,$F$2:$F$501/(($A$2:$A$501="止损计划")*($B$2:$B$501=B246)*($D$2:$D$501&lt;D246)),1))),"阶段价格必须逐级提高","计划有效"))))))),IF(A246="每日跟踪",IF(OR(B246="",H246="",I246="",J246=""),"每日数据不完整",IF(COUNTIFS($A$2:$A$501,"每日跟踪",$B$2:$B$501,B246,$H$2:$H$501,H246)&gt;1,"同一交易日期重复",IF(AND(R246&lt;&gt;"",R246&lt;S246),"人工止损无效：不能下调","跟踪有效"))),"记录类型无效")))</f>
        <v/>
      </c>
    </row>
    <row r="247">
      <c r="A247" s="28" t="n"/>
      <c r="B247" s="28" t="n"/>
      <c r="C247" s="31">
        <f>IF(B247="","",IFERROR(LOOKUP(2,1/(单次交易!$A$2:$A$201=B247),单次交易!$B$2:$B$201),""))</f>
        <v/>
      </c>
      <c r="D247" s="27" t="n"/>
      <c r="E247" s="43" t="n"/>
      <c r="F247" s="43" t="n"/>
      <c r="G247" s="28" t="n"/>
      <c r="H247" s="49" t="n"/>
      <c r="I247" s="43" t="n"/>
      <c r="J247" s="27" t="n"/>
      <c r="K247" s="28" t="n"/>
      <c r="L247" s="28" t="n"/>
      <c r="M247" s="28" t="n"/>
      <c r="N247" s="44">
        <f>IF(B247="","",IFERROR(LOOKUP(2,1/(单次交易!$A$2:$A$201=B247),单次交易!$N$2:$N$201),""))</f>
        <v/>
      </c>
      <c r="O247" s="44">
        <f>IF(A247&lt;&gt;"每日跟踪","",IF(OR(B247="",H247="",I247=""),"",IFERROR(AGGREGATE(14,6,$I$2:$I$501/(($A$2:$A$501="每日跟踪")*($B$2:$B$501=B247)*($H$2:$H$501&lt;=H247)),1),"")))</f>
        <v/>
      </c>
      <c r="P247" s="26">
        <f>IF(A247&lt;&gt;"每日跟踪","",IF(O247="","",IFERROR(AGGREGATE(14,6,$D$2:$D$501/(($A$2:$A$501="止损计划")*($B$2:$B$501=B247)*($E$2:$E$501&lt;=O247)),1),0)))</f>
        <v/>
      </c>
      <c r="Q247" s="44">
        <f>IF(A247&lt;&gt;"每日跟踪","",IF(N247="","",MAX(N247,IFERROR(AGGREGATE(14,6,$F$2:$F$501/(($A$2:$A$501="止损计划")*($B$2:$B$501=B247)*($E$2:$E$501&lt;=O247)),1),0))))</f>
        <v/>
      </c>
      <c r="R247" s="43" t="n"/>
      <c r="S247" s="44">
        <f>IF(A247&lt;&gt;"每日跟踪","",IF(Q247="","",MAX(Q247,IFERROR(AGGREGATE(14,6,$R$2:$R$501/(($A$2:$A$501="每日跟踪")*($B$2:$B$501=B247)*($H$2:$H$501&lt;=H247)),1),0))))</f>
        <v/>
      </c>
      <c r="T247" s="44">
        <f>IF(A247&lt;&gt;"每日跟踪","",IF(O247="","",IF(COUNTIFS($A$2:$A$501,"止损计划",$B$2:$B$501,B247,$E$2:$E$501,"&gt;"&amp;O247)=0,"",AGGREGATE(15,6,$E$2:$E$501/(($A$2:$A$501="止损计划")*($B$2:$B$501=B247)*($E$2:$E$501&gt;O247)),1))))</f>
        <v/>
      </c>
      <c r="U247" s="44">
        <f>IF(OR(A247&lt;&gt;"每日跟踪",T247=""),"",IFERROR(AGGREGATE(14,6,$F$2:$F$501/(($A$2:$A$501="止损计划")*($B$2:$B$501=B247)*($E$2:$E$501=T247)),1),""))</f>
        <v/>
      </c>
      <c r="V247" s="30">
        <f>IF(OR(A247&lt;&gt;"每日跟踪",T247="",I247="",I247&lt;=0),"",T247/I247-1)</f>
        <v/>
      </c>
      <c r="W247" s="31">
        <f>IF(A247&lt;&gt;"每日跟踪","",IF(OR(I247="",S247=""),"",IF(I247&lt;=S247,"触发止损：应全部卖出","继续观察")))</f>
        <v/>
      </c>
      <c r="X247" s="28" t="n"/>
      <c r="Y247" s="43" t="n"/>
      <c r="Z247" s="26">
        <f>IF(X247&lt;&gt;"执行卖出","",IFERROR(LOOKUP(2,1/(单次交易!$A$2:$A$201=B247),单次交易!$AP$2:$AP$201),""))</f>
        <v/>
      </c>
      <c r="AA247" s="43" t="n"/>
      <c r="AB247" s="31">
        <f>IF(A247&lt;&gt;"每日跟踪","",IF(OR(B247="",H247="",I247="",J247="",K247="",L247="",M247=""),"待补充每日记录",IF(W247="触发止损：应全部卖出",IF(X247&lt;&gt;"执行卖出","违规：触发止损但未执行",IF(Y247="","待补充实际卖出价","卖出记录完整")),IF(X247="","待选择卖出动作",IF(X247="执行卖出",IF(Y247="","待补充实际卖出价","卖出记录完整"),"正常")))))</f>
        <v/>
      </c>
      <c r="AC247" s="31">
        <f>IF(A247="","",IF(A247="止损计划",IF(OR(B247="",D247="",E247="",F247="",G247=""),"计划不完整",IF(OR(D247&lt;1,D247&lt;&gt;INT(D247)),"阶段序号无效",IF(COUNTIFS($A$2:$A$501,"止损计划",$B$2:$B$501,B247,$D$2:$D$501,D247)&gt;1,"阶段序号重复",IF(E247&lt;=IFERROR(LOOKUP(2,1/('单次交易'!$A$2:$A$201=B247),'单次交易'!$E$2:$E$201),0),"激活价须高于买入价",IF(F247&lt;N247,"止损价不得低于初始止损",IF(F247&gt;E247,"止损价不得高于激活价",IF(AND(COUNTIFS($A$2:$A$501,"止损计划",$B$2:$B$501,B247,$D$2:$D$501,"&lt;"&amp;D247)&gt;0,OR(E247&lt;=AGGREGATE(14,6,$E$2:$E$501/(($A$2:$A$501="止损计划")*($B$2:$B$501=B247)*($D$2:$D$501&lt;D247)),1),F247&lt;AGGREGATE(14,6,$F$2:$F$501/(($A$2:$A$501="止损计划")*($B$2:$B$501=B247)*($D$2:$D$501&lt;D247)),1))),"阶段价格必须逐级提高","计划有效"))))))),IF(A247="每日跟踪",IF(OR(B247="",H247="",I247="",J247=""),"每日数据不完整",IF(COUNTIFS($A$2:$A$501,"每日跟踪",$B$2:$B$501,B247,$H$2:$H$501,H247)&gt;1,"同一交易日期重复",IF(AND(R247&lt;&gt;"",R247&lt;S247),"人工止损无效：不能下调","跟踪有效"))),"记录类型无效")))</f>
        <v/>
      </c>
    </row>
    <row r="248">
      <c r="A248" s="28" t="n"/>
      <c r="B248" s="28" t="n"/>
      <c r="C248" s="31">
        <f>IF(B248="","",IFERROR(LOOKUP(2,1/(单次交易!$A$2:$A$201=B248),单次交易!$B$2:$B$201),""))</f>
        <v/>
      </c>
      <c r="D248" s="27" t="n"/>
      <c r="E248" s="43" t="n"/>
      <c r="F248" s="43" t="n"/>
      <c r="G248" s="28" t="n"/>
      <c r="H248" s="49" t="n"/>
      <c r="I248" s="43" t="n"/>
      <c r="J248" s="27" t="n"/>
      <c r="K248" s="28" t="n"/>
      <c r="L248" s="28" t="n"/>
      <c r="M248" s="28" t="n"/>
      <c r="N248" s="44">
        <f>IF(B248="","",IFERROR(LOOKUP(2,1/(单次交易!$A$2:$A$201=B248),单次交易!$N$2:$N$201),""))</f>
        <v/>
      </c>
      <c r="O248" s="44">
        <f>IF(A248&lt;&gt;"每日跟踪","",IF(OR(B248="",H248="",I248=""),"",IFERROR(AGGREGATE(14,6,$I$2:$I$501/(($A$2:$A$501="每日跟踪")*($B$2:$B$501=B248)*($H$2:$H$501&lt;=H248)),1),"")))</f>
        <v/>
      </c>
      <c r="P248" s="26">
        <f>IF(A248&lt;&gt;"每日跟踪","",IF(O248="","",IFERROR(AGGREGATE(14,6,$D$2:$D$501/(($A$2:$A$501="止损计划")*($B$2:$B$501=B248)*($E$2:$E$501&lt;=O248)),1),0)))</f>
        <v/>
      </c>
      <c r="Q248" s="44">
        <f>IF(A248&lt;&gt;"每日跟踪","",IF(N248="","",MAX(N248,IFERROR(AGGREGATE(14,6,$F$2:$F$501/(($A$2:$A$501="止损计划")*($B$2:$B$501=B248)*($E$2:$E$501&lt;=O248)),1),0))))</f>
        <v/>
      </c>
      <c r="R248" s="43" t="n"/>
      <c r="S248" s="44">
        <f>IF(A248&lt;&gt;"每日跟踪","",IF(Q248="","",MAX(Q248,IFERROR(AGGREGATE(14,6,$R$2:$R$501/(($A$2:$A$501="每日跟踪")*($B$2:$B$501=B248)*($H$2:$H$501&lt;=H248)),1),0))))</f>
        <v/>
      </c>
      <c r="T248" s="44">
        <f>IF(A248&lt;&gt;"每日跟踪","",IF(O248="","",IF(COUNTIFS($A$2:$A$501,"止损计划",$B$2:$B$501,B248,$E$2:$E$501,"&gt;"&amp;O248)=0,"",AGGREGATE(15,6,$E$2:$E$501/(($A$2:$A$501="止损计划")*($B$2:$B$501=B248)*($E$2:$E$501&gt;O248)),1))))</f>
        <v/>
      </c>
      <c r="U248" s="44">
        <f>IF(OR(A248&lt;&gt;"每日跟踪",T248=""),"",IFERROR(AGGREGATE(14,6,$F$2:$F$501/(($A$2:$A$501="止损计划")*($B$2:$B$501=B248)*($E$2:$E$501=T248)),1),""))</f>
        <v/>
      </c>
      <c r="V248" s="30">
        <f>IF(OR(A248&lt;&gt;"每日跟踪",T248="",I248="",I248&lt;=0),"",T248/I248-1)</f>
        <v/>
      </c>
      <c r="W248" s="31">
        <f>IF(A248&lt;&gt;"每日跟踪","",IF(OR(I248="",S248=""),"",IF(I248&lt;=S248,"触发止损：应全部卖出","继续观察")))</f>
        <v/>
      </c>
      <c r="X248" s="28" t="n"/>
      <c r="Y248" s="43" t="n"/>
      <c r="Z248" s="26">
        <f>IF(X248&lt;&gt;"执行卖出","",IFERROR(LOOKUP(2,1/(单次交易!$A$2:$A$201=B248),单次交易!$AP$2:$AP$201),""))</f>
        <v/>
      </c>
      <c r="AA248" s="43" t="n"/>
      <c r="AB248" s="31">
        <f>IF(A248&lt;&gt;"每日跟踪","",IF(OR(B248="",H248="",I248="",J248="",K248="",L248="",M248=""),"待补充每日记录",IF(W248="触发止损：应全部卖出",IF(X248&lt;&gt;"执行卖出","违规：触发止损但未执行",IF(Y248="","待补充实际卖出价","卖出记录完整")),IF(X248="","待选择卖出动作",IF(X248="执行卖出",IF(Y248="","待补充实际卖出价","卖出记录完整"),"正常")))))</f>
        <v/>
      </c>
      <c r="AC248" s="31">
        <f>IF(A248="","",IF(A248="止损计划",IF(OR(B248="",D248="",E248="",F248="",G248=""),"计划不完整",IF(OR(D248&lt;1,D248&lt;&gt;INT(D248)),"阶段序号无效",IF(COUNTIFS($A$2:$A$501,"止损计划",$B$2:$B$501,B248,$D$2:$D$501,D248)&gt;1,"阶段序号重复",IF(E248&lt;=IFERROR(LOOKUP(2,1/('单次交易'!$A$2:$A$201=B248),'单次交易'!$E$2:$E$201),0),"激活价须高于买入价",IF(F248&lt;N248,"止损价不得低于初始止损",IF(F248&gt;E248,"止损价不得高于激活价",IF(AND(COUNTIFS($A$2:$A$501,"止损计划",$B$2:$B$501,B248,$D$2:$D$501,"&lt;"&amp;D248)&gt;0,OR(E248&lt;=AGGREGATE(14,6,$E$2:$E$501/(($A$2:$A$501="止损计划")*($B$2:$B$501=B248)*($D$2:$D$501&lt;D248)),1),F248&lt;AGGREGATE(14,6,$F$2:$F$501/(($A$2:$A$501="止损计划")*($B$2:$B$501=B248)*($D$2:$D$501&lt;D248)),1))),"阶段价格必须逐级提高","计划有效"))))))),IF(A248="每日跟踪",IF(OR(B248="",H248="",I248="",J248=""),"每日数据不完整",IF(COUNTIFS($A$2:$A$501,"每日跟踪",$B$2:$B$501,B248,$H$2:$H$501,H248)&gt;1,"同一交易日期重复",IF(AND(R248&lt;&gt;"",R248&lt;S248),"人工止损无效：不能下调","跟踪有效"))),"记录类型无效")))</f>
        <v/>
      </c>
    </row>
    <row r="249">
      <c r="A249" s="28" t="n"/>
      <c r="B249" s="28" t="n"/>
      <c r="C249" s="31">
        <f>IF(B249="","",IFERROR(LOOKUP(2,1/(单次交易!$A$2:$A$201=B249),单次交易!$B$2:$B$201),""))</f>
        <v/>
      </c>
      <c r="D249" s="27" t="n"/>
      <c r="E249" s="43" t="n"/>
      <c r="F249" s="43" t="n"/>
      <c r="G249" s="28" t="n"/>
      <c r="H249" s="49" t="n"/>
      <c r="I249" s="43" t="n"/>
      <c r="J249" s="27" t="n"/>
      <c r="K249" s="28" t="n"/>
      <c r="L249" s="28" t="n"/>
      <c r="M249" s="28" t="n"/>
      <c r="N249" s="44">
        <f>IF(B249="","",IFERROR(LOOKUP(2,1/(单次交易!$A$2:$A$201=B249),单次交易!$N$2:$N$201),""))</f>
        <v/>
      </c>
      <c r="O249" s="44">
        <f>IF(A249&lt;&gt;"每日跟踪","",IF(OR(B249="",H249="",I249=""),"",IFERROR(AGGREGATE(14,6,$I$2:$I$501/(($A$2:$A$501="每日跟踪")*($B$2:$B$501=B249)*($H$2:$H$501&lt;=H249)),1),"")))</f>
        <v/>
      </c>
      <c r="P249" s="26">
        <f>IF(A249&lt;&gt;"每日跟踪","",IF(O249="","",IFERROR(AGGREGATE(14,6,$D$2:$D$501/(($A$2:$A$501="止损计划")*($B$2:$B$501=B249)*($E$2:$E$501&lt;=O249)),1),0)))</f>
        <v/>
      </c>
      <c r="Q249" s="44">
        <f>IF(A249&lt;&gt;"每日跟踪","",IF(N249="","",MAX(N249,IFERROR(AGGREGATE(14,6,$F$2:$F$501/(($A$2:$A$501="止损计划")*($B$2:$B$501=B249)*($E$2:$E$501&lt;=O249)),1),0))))</f>
        <v/>
      </c>
      <c r="R249" s="43" t="n"/>
      <c r="S249" s="44">
        <f>IF(A249&lt;&gt;"每日跟踪","",IF(Q249="","",MAX(Q249,IFERROR(AGGREGATE(14,6,$R$2:$R$501/(($A$2:$A$501="每日跟踪")*($B$2:$B$501=B249)*($H$2:$H$501&lt;=H249)),1),0))))</f>
        <v/>
      </c>
      <c r="T249" s="44">
        <f>IF(A249&lt;&gt;"每日跟踪","",IF(O249="","",IF(COUNTIFS($A$2:$A$501,"止损计划",$B$2:$B$501,B249,$E$2:$E$501,"&gt;"&amp;O249)=0,"",AGGREGATE(15,6,$E$2:$E$501/(($A$2:$A$501="止损计划")*($B$2:$B$501=B249)*($E$2:$E$501&gt;O249)),1))))</f>
        <v/>
      </c>
      <c r="U249" s="44">
        <f>IF(OR(A249&lt;&gt;"每日跟踪",T249=""),"",IFERROR(AGGREGATE(14,6,$F$2:$F$501/(($A$2:$A$501="止损计划")*($B$2:$B$501=B249)*($E$2:$E$501=T249)),1),""))</f>
        <v/>
      </c>
      <c r="V249" s="30">
        <f>IF(OR(A249&lt;&gt;"每日跟踪",T249="",I249="",I249&lt;=0),"",T249/I249-1)</f>
        <v/>
      </c>
      <c r="W249" s="31">
        <f>IF(A249&lt;&gt;"每日跟踪","",IF(OR(I249="",S249=""),"",IF(I249&lt;=S249,"触发止损：应全部卖出","继续观察")))</f>
        <v/>
      </c>
      <c r="X249" s="28" t="n"/>
      <c r="Y249" s="43" t="n"/>
      <c r="Z249" s="26">
        <f>IF(X249&lt;&gt;"执行卖出","",IFERROR(LOOKUP(2,1/(单次交易!$A$2:$A$201=B249),单次交易!$AP$2:$AP$201),""))</f>
        <v/>
      </c>
      <c r="AA249" s="43" t="n"/>
      <c r="AB249" s="31">
        <f>IF(A249&lt;&gt;"每日跟踪","",IF(OR(B249="",H249="",I249="",J249="",K249="",L249="",M249=""),"待补充每日记录",IF(W249="触发止损：应全部卖出",IF(X249&lt;&gt;"执行卖出","违规：触发止损但未执行",IF(Y249="","待补充实际卖出价","卖出记录完整")),IF(X249="","待选择卖出动作",IF(X249="执行卖出",IF(Y249="","待补充实际卖出价","卖出记录完整"),"正常")))))</f>
        <v/>
      </c>
      <c r="AC249" s="31">
        <f>IF(A249="","",IF(A249="止损计划",IF(OR(B249="",D249="",E249="",F249="",G249=""),"计划不完整",IF(OR(D249&lt;1,D249&lt;&gt;INT(D249)),"阶段序号无效",IF(COUNTIFS($A$2:$A$501,"止损计划",$B$2:$B$501,B249,$D$2:$D$501,D249)&gt;1,"阶段序号重复",IF(E249&lt;=IFERROR(LOOKUP(2,1/('单次交易'!$A$2:$A$201=B249),'单次交易'!$E$2:$E$201),0),"激活价须高于买入价",IF(F249&lt;N249,"止损价不得低于初始止损",IF(F249&gt;E249,"止损价不得高于激活价",IF(AND(COUNTIFS($A$2:$A$501,"止损计划",$B$2:$B$501,B249,$D$2:$D$501,"&lt;"&amp;D249)&gt;0,OR(E249&lt;=AGGREGATE(14,6,$E$2:$E$501/(($A$2:$A$501="止损计划")*($B$2:$B$501=B249)*($D$2:$D$501&lt;D249)),1),F249&lt;AGGREGATE(14,6,$F$2:$F$501/(($A$2:$A$501="止损计划")*($B$2:$B$501=B249)*($D$2:$D$501&lt;D249)),1))),"阶段价格必须逐级提高","计划有效"))))))),IF(A249="每日跟踪",IF(OR(B249="",H249="",I249="",J249=""),"每日数据不完整",IF(COUNTIFS($A$2:$A$501,"每日跟踪",$B$2:$B$501,B249,$H$2:$H$501,H249)&gt;1,"同一交易日期重复",IF(AND(R249&lt;&gt;"",R249&lt;S249),"人工止损无效：不能下调","跟踪有效"))),"记录类型无效")))</f>
        <v/>
      </c>
    </row>
    <row r="250">
      <c r="A250" s="28" t="n"/>
      <c r="B250" s="28" t="n"/>
      <c r="C250" s="31">
        <f>IF(B250="","",IFERROR(LOOKUP(2,1/(单次交易!$A$2:$A$201=B250),单次交易!$B$2:$B$201),""))</f>
        <v/>
      </c>
      <c r="D250" s="27" t="n"/>
      <c r="E250" s="43" t="n"/>
      <c r="F250" s="43" t="n"/>
      <c r="G250" s="28" t="n"/>
      <c r="H250" s="49" t="n"/>
      <c r="I250" s="43" t="n"/>
      <c r="J250" s="27" t="n"/>
      <c r="K250" s="28" t="n"/>
      <c r="L250" s="28" t="n"/>
      <c r="M250" s="28" t="n"/>
      <c r="N250" s="44">
        <f>IF(B250="","",IFERROR(LOOKUP(2,1/(单次交易!$A$2:$A$201=B250),单次交易!$N$2:$N$201),""))</f>
        <v/>
      </c>
      <c r="O250" s="44">
        <f>IF(A250&lt;&gt;"每日跟踪","",IF(OR(B250="",H250="",I250=""),"",IFERROR(AGGREGATE(14,6,$I$2:$I$501/(($A$2:$A$501="每日跟踪")*($B$2:$B$501=B250)*($H$2:$H$501&lt;=H250)),1),"")))</f>
        <v/>
      </c>
      <c r="P250" s="26">
        <f>IF(A250&lt;&gt;"每日跟踪","",IF(O250="","",IFERROR(AGGREGATE(14,6,$D$2:$D$501/(($A$2:$A$501="止损计划")*($B$2:$B$501=B250)*($E$2:$E$501&lt;=O250)),1),0)))</f>
        <v/>
      </c>
      <c r="Q250" s="44">
        <f>IF(A250&lt;&gt;"每日跟踪","",IF(N250="","",MAX(N250,IFERROR(AGGREGATE(14,6,$F$2:$F$501/(($A$2:$A$501="止损计划")*($B$2:$B$501=B250)*($E$2:$E$501&lt;=O250)),1),0))))</f>
        <v/>
      </c>
      <c r="R250" s="43" t="n"/>
      <c r="S250" s="44">
        <f>IF(A250&lt;&gt;"每日跟踪","",IF(Q250="","",MAX(Q250,IFERROR(AGGREGATE(14,6,$R$2:$R$501/(($A$2:$A$501="每日跟踪")*($B$2:$B$501=B250)*($H$2:$H$501&lt;=H250)),1),0))))</f>
        <v/>
      </c>
      <c r="T250" s="44">
        <f>IF(A250&lt;&gt;"每日跟踪","",IF(O250="","",IF(COUNTIFS($A$2:$A$501,"止损计划",$B$2:$B$501,B250,$E$2:$E$501,"&gt;"&amp;O250)=0,"",AGGREGATE(15,6,$E$2:$E$501/(($A$2:$A$501="止损计划")*($B$2:$B$501=B250)*($E$2:$E$501&gt;O250)),1))))</f>
        <v/>
      </c>
      <c r="U250" s="44">
        <f>IF(OR(A250&lt;&gt;"每日跟踪",T250=""),"",IFERROR(AGGREGATE(14,6,$F$2:$F$501/(($A$2:$A$501="止损计划")*($B$2:$B$501=B250)*($E$2:$E$501=T250)),1),""))</f>
        <v/>
      </c>
      <c r="V250" s="30">
        <f>IF(OR(A250&lt;&gt;"每日跟踪",T250="",I250="",I250&lt;=0),"",T250/I250-1)</f>
        <v/>
      </c>
      <c r="W250" s="31">
        <f>IF(A250&lt;&gt;"每日跟踪","",IF(OR(I250="",S250=""),"",IF(I250&lt;=S250,"触发止损：应全部卖出","继续观察")))</f>
        <v/>
      </c>
      <c r="X250" s="28" t="n"/>
      <c r="Y250" s="43" t="n"/>
      <c r="Z250" s="26">
        <f>IF(X250&lt;&gt;"执行卖出","",IFERROR(LOOKUP(2,1/(单次交易!$A$2:$A$201=B250),单次交易!$AP$2:$AP$201),""))</f>
        <v/>
      </c>
      <c r="AA250" s="43" t="n"/>
      <c r="AB250" s="31">
        <f>IF(A250&lt;&gt;"每日跟踪","",IF(OR(B250="",H250="",I250="",J250="",K250="",L250="",M250=""),"待补充每日记录",IF(W250="触发止损：应全部卖出",IF(X250&lt;&gt;"执行卖出","违规：触发止损但未执行",IF(Y250="","待补充实际卖出价","卖出记录完整")),IF(X250="","待选择卖出动作",IF(X250="执行卖出",IF(Y250="","待补充实际卖出价","卖出记录完整"),"正常")))))</f>
        <v/>
      </c>
      <c r="AC250" s="31">
        <f>IF(A250="","",IF(A250="止损计划",IF(OR(B250="",D250="",E250="",F250="",G250=""),"计划不完整",IF(OR(D250&lt;1,D250&lt;&gt;INT(D250)),"阶段序号无效",IF(COUNTIFS($A$2:$A$501,"止损计划",$B$2:$B$501,B250,$D$2:$D$501,D250)&gt;1,"阶段序号重复",IF(E250&lt;=IFERROR(LOOKUP(2,1/('单次交易'!$A$2:$A$201=B250),'单次交易'!$E$2:$E$201),0),"激活价须高于买入价",IF(F250&lt;N250,"止损价不得低于初始止损",IF(F250&gt;E250,"止损价不得高于激活价",IF(AND(COUNTIFS($A$2:$A$501,"止损计划",$B$2:$B$501,B250,$D$2:$D$501,"&lt;"&amp;D250)&gt;0,OR(E250&lt;=AGGREGATE(14,6,$E$2:$E$501/(($A$2:$A$501="止损计划")*($B$2:$B$501=B250)*($D$2:$D$501&lt;D250)),1),F250&lt;AGGREGATE(14,6,$F$2:$F$501/(($A$2:$A$501="止损计划")*($B$2:$B$501=B250)*($D$2:$D$501&lt;D250)),1))),"阶段价格必须逐级提高","计划有效"))))))),IF(A250="每日跟踪",IF(OR(B250="",H250="",I250="",J250=""),"每日数据不完整",IF(COUNTIFS($A$2:$A$501,"每日跟踪",$B$2:$B$501,B250,$H$2:$H$501,H250)&gt;1,"同一交易日期重复",IF(AND(R250&lt;&gt;"",R250&lt;S250),"人工止损无效：不能下调","跟踪有效"))),"记录类型无效")))</f>
        <v/>
      </c>
    </row>
    <row r="251">
      <c r="A251" s="28" t="n"/>
      <c r="B251" s="28" t="n"/>
      <c r="C251" s="31">
        <f>IF(B251="","",IFERROR(LOOKUP(2,1/(单次交易!$A$2:$A$201=B251),单次交易!$B$2:$B$201),""))</f>
        <v/>
      </c>
      <c r="D251" s="27" t="n"/>
      <c r="E251" s="43" t="n"/>
      <c r="F251" s="43" t="n"/>
      <c r="G251" s="28" t="n"/>
      <c r="H251" s="49" t="n"/>
      <c r="I251" s="43" t="n"/>
      <c r="J251" s="27" t="n"/>
      <c r="K251" s="28" t="n"/>
      <c r="L251" s="28" t="n"/>
      <c r="M251" s="28" t="n"/>
      <c r="N251" s="44">
        <f>IF(B251="","",IFERROR(LOOKUP(2,1/(单次交易!$A$2:$A$201=B251),单次交易!$N$2:$N$201),""))</f>
        <v/>
      </c>
      <c r="O251" s="44">
        <f>IF(A251&lt;&gt;"每日跟踪","",IF(OR(B251="",H251="",I251=""),"",IFERROR(AGGREGATE(14,6,$I$2:$I$501/(($A$2:$A$501="每日跟踪")*($B$2:$B$501=B251)*($H$2:$H$501&lt;=H251)),1),"")))</f>
        <v/>
      </c>
      <c r="P251" s="26">
        <f>IF(A251&lt;&gt;"每日跟踪","",IF(O251="","",IFERROR(AGGREGATE(14,6,$D$2:$D$501/(($A$2:$A$501="止损计划")*($B$2:$B$501=B251)*($E$2:$E$501&lt;=O251)),1),0)))</f>
        <v/>
      </c>
      <c r="Q251" s="44">
        <f>IF(A251&lt;&gt;"每日跟踪","",IF(N251="","",MAX(N251,IFERROR(AGGREGATE(14,6,$F$2:$F$501/(($A$2:$A$501="止损计划")*($B$2:$B$501=B251)*($E$2:$E$501&lt;=O251)),1),0))))</f>
        <v/>
      </c>
      <c r="R251" s="43" t="n"/>
      <c r="S251" s="44">
        <f>IF(A251&lt;&gt;"每日跟踪","",IF(Q251="","",MAX(Q251,IFERROR(AGGREGATE(14,6,$R$2:$R$501/(($A$2:$A$501="每日跟踪")*($B$2:$B$501=B251)*($H$2:$H$501&lt;=H251)),1),0))))</f>
        <v/>
      </c>
      <c r="T251" s="44">
        <f>IF(A251&lt;&gt;"每日跟踪","",IF(O251="","",IF(COUNTIFS($A$2:$A$501,"止损计划",$B$2:$B$501,B251,$E$2:$E$501,"&gt;"&amp;O251)=0,"",AGGREGATE(15,6,$E$2:$E$501/(($A$2:$A$501="止损计划")*($B$2:$B$501=B251)*($E$2:$E$501&gt;O251)),1))))</f>
        <v/>
      </c>
      <c r="U251" s="44">
        <f>IF(OR(A251&lt;&gt;"每日跟踪",T251=""),"",IFERROR(AGGREGATE(14,6,$F$2:$F$501/(($A$2:$A$501="止损计划")*($B$2:$B$501=B251)*($E$2:$E$501=T251)),1),""))</f>
        <v/>
      </c>
      <c r="V251" s="30">
        <f>IF(OR(A251&lt;&gt;"每日跟踪",T251="",I251="",I251&lt;=0),"",T251/I251-1)</f>
        <v/>
      </c>
      <c r="W251" s="31">
        <f>IF(A251&lt;&gt;"每日跟踪","",IF(OR(I251="",S251=""),"",IF(I251&lt;=S251,"触发止损：应全部卖出","继续观察")))</f>
        <v/>
      </c>
      <c r="X251" s="28" t="n"/>
      <c r="Y251" s="43" t="n"/>
      <c r="Z251" s="26">
        <f>IF(X251&lt;&gt;"执行卖出","",IFERROR(LOOKUP(2,1/(单次交易!$A$2:$A$201=B251),单次交易!$AP$2:$AP$201),""))</f>
        <v/>
      </c>
      <c r="AA251" s="43" t="n"/>
      <c r="AB251" s="31">
        <f>IF(A251&lt;&gt;"每日跟踪","",IF(OR(B251="",H251="",I251="",J251="",K251="",L251="",M251=""),"待补充每日记录",IF(W251="触发止损：应全部卖出",IF(X251&lt;&gt;"执行卖出","违规：触发止损但未执行",IF(Y251="","待补充实际卖出价","卖出记录完整")),IF(X251="","待选择卖出动作",IF(X251="执行卖出",IF(Y251="","待补充实际卖出价","卖出记录完整"),"正常")))))</f>
        <v/>
      </c>
      <c r="AC251" s="31">
        <f>IF(A251="","",IF(A251="止损计划",IF(OR(B251="",D251="",E251="",F251="",G251=""),"计划不完整",IF(OR(D251&lt;1,D251&lt;&gt;INT(D251)),"阶段序号无效",IF(COUNTIFS($A$2:$A$501,"止损计划",$B$2:$B$501,B251,$D$2:$D$501,D251)&gt;1,"阶段序号重复",IF(E251&lt;=IFERROR(LOOKUP(2,1/('单次交易'!$A$2:$A$201=B251),'单次交易'!$E$2:$E$201),0),"激活价须高于买入价",IF(F251&lt;N251,"止损价不得低于初始止损",IF(F251&gt;E251,"止损价不得高于激活价",IF(AND(COUNTIFS($A$2:$A$501,"止损计划",$B$2:$B$501,B251,$D$2:$D$501,"&lt;"&amp;D251)&gt;0,OR(E251&lt;=AGGREGATE(14,6,$E$2:$E$501/(($A$2:$A$501="止损计划")*($B$2:$B$501=B251)*($D$2:$D$501&lt;D251)),1),F251&lt;AGGREGATE(14,6,$F$2:$F$501/(($A$2:$A$501="止损计划")*($B$2:$B$501=B251)*($D$2:$D$501&lt;D251)),1))),"阶段价格必须逐级提高","计划有效"))))))),IF(A251="每日跟踪",IF(OR(B251="",H251="",I251="",J251=""),"每日数据不完整",IF(COUNTIFS($A$2:$A$501,"每日跟踪",$B$2:$B$501,B251,$H$2:$H$501,H251)&gt;1,"同一交易日期重复",IF(AND(R251&lt;&gt;"",R251&lt;S251),"人工止损无效：不能下调","跟踪有效"))),"记录类型无效")))</f>
        <v/>
      </c>
    </row>
    <row r="252">
      <c r="A252" s="28" t="n"/>
      <c r="B252" s="28" t="n"/>
      <c r="C252" s="31">
        <f>IF(B252="","",IFERROR(LOOKUP(2,1/(单次交易!$A$2:$A$201=B252),单次交易!$B$2:$B$201),""))</f>
        <v/>
      </c>
      <c r="D252" s="27" t="n"/>
      <c r="E252" s="43" t="n"/>
      <c r="F252" s="43" t="n"/>
      <c r="G252" s="28" t="n"/>
      <c r="H252" s="49" t="n"/>
      <c r="I252" s="43" t="n"/>
      <c r="J252" s="27" t="n"/>
      <c r="K252" s="28" t="n"/>
      <c r="L252" s="28" t="n"/>
      <c r="M252" s="28" t="n"/>
      <c r="N252" s="44">
        <f>IF(B252="","",IFERROR(LOOKUP(2,1/(单次交易!$A$2:$A$201=B252),单次交易!$N$2:$N$201),""))</f>
        <v/>
      </c>
      <c r="O252" s="44">
        <f>IF(A252&lt;&gt;"每日跟踪","",IF(OR(B252="",H252="",I252=""),"",IFERROR(AGGREGATE(14,6,$I$2:$I$501/(($A$2:$A$501="每日跟踪")*($B$2:$B$501=B252)*($H$2:$H$501&lt;=H252)),1),"")))</f>
        <v/>
      </c>
      <c r="P252" s="26">
        <f>IF(A252&lt;&gt;"每日跟踪","",IF(O252="","",IFERROR(AGGREGATE(14,6,$D$2:$D$501/(($A$2:$A$501="止损计划")*($B$2:$B$501=B252)*($E$2:$E$501&lt;=O252)),1),0)))</f>
        <v/>
      </c>
      <c r="Q252" s="44">
        <f>IF(A252&lt;&gt;"每日跟踪","",IF(N252="","",MAX(N252,IFERROR(AGGREGATE(14,6,$F$2:$F$501/(($A$2:$A$501="止损计划")*($B$2:$B$501=B252)*($E$2:$E$501&lt;=O252)),1),0))))</f>
        <v/>
      </c>
      <c r="R252" s="43" t="n"/>
      <c r="S252" s="44">
        <f>IF(A252&lt;&gt;"每日跟踪","",IF(Q252="","",MAX(Q252,IFERROR(AGGREGATE(14,6,$R$2:$R$501/(($A$2:$A$501="每日跟踪")*($B$2:$B$501=B252)*($H$2:$H$501&lt;=H252)),1),0))))</f>
        <v/>
      </c>
      <c r="T252" s="44">
        <f>IF(A252&lt;&gt;"每日跟踪","",IF(O252="","",IF(COUNTIFS($A$2:$A$501,"止损计划",$B$2:$B$501,B252,$E$2:$E$501,"&gt;"&amp;O252)=0,"",AGGREGATE(15,6,$E$2:$E$501/(($A$2:$A$501="止损计划")*($B$2:$B$501=B252)*($E$2:$E$501&gt;O252)),1))))</f>
        <v/>
      </c>
      <c r="U252" s="44">
        <f>IF(OR(A252&lt;&gt;"每日跟踪",T252=""),"",IFERROR(AGGREGATE(14,6,$F$2:$F$501/(($A$2:$A$501="止损计划")*($B$2:$B$501=B252)*($E$2:$E$501=T252)),1),""))</f>
        <v/>
      </c>
      <c r="V252" s="30">
        <f>IF(OR(A252&lt;&gt;"每日跟踪",T252="",I252="",I252&lt;=0),"",T252/I252-1)</f>
        <v/>
      </c>
      <c r="W252" s="31">
        <f>IF(A252&lt;&gt;"每日跟踪","",IF(OR(I252="",S252=""),"",IF(I252&lt;=S252,"触发止损：应全部卖出","继续观察")))</f>
        <v/>
      </c>
      <c r="X252" s="28" t="n"/>
      <c r="Y252" s="43" t="n"/>
      <c r="Z252" s="26">
        <f>IF(X252&lt;&gt;"执行卖出","",IFERROR(LOOKUP(2,1/(单次交易!$A$2:$A$201=B252),单次交易!$AP$2:$AP$201),""))</f>
        <v/>
      </c>
      <c r="AA252" s="43" t="n"/>
      <c r="AB252" s="31">
        <f>IF(A252&lt;&gt;"每日跟踪","",IF(OR(B252="",H252="",I252="",J252="",K252="",L252="",M252=""),"待补充每日记录",IF(W252="触发止损：应全部卖出",IF(X252&lt;&gt;"执行卖出","违规：触发止损但未执行",IF(Y252="","待补充实际卖出价","卖出记录完整")),IF(X252="","待选择卖出动作",IF(X252="执行卖出",IF(Y252="","待补充实际卖出价","卖出记录完整"),"正常")))))</f>
        <v/>
      </c>
      <c r="AC252" s="31">
        <f>IF(A252="","",IF(A252="止损计划",IF(OR(B252="",D252="",E252="",F252="",G252=""),"计划不完整",IF(OR(D252&lt;1,D252&lt;&gt;INT(D252)),"阶段序号无效",IF(COUNTIFS($A$2:$A$501,"止损计划",$B$2:$B$501,B252,$D$2:$D$501,D252)&gt;1,"阶段序号重复",IF(E252&lt;=IFERROR(LOOKUP(2,1/('单次交易'!$A$2:$A$201=B252),'单次交易'!$E$2:$E$201),0),"激活价须高于买入价",IF(F252&lt;N252,"止损价不得低于初始止损",IF(F252&gt;E252,"止损价不得高于激活价",IF(AND(COUNTIFS($A$2:$A$501,"止损计划",$B$2:$B$501,B252,$D$2:$D$501,"&lt;"&amp;D252)&gt;0,OR(E252&lt;=AGGREGATE(14,6,$E$2:$E$501/(($A$2:$A$501="止损计划")*($B$2:$B$501=B252)*($D$2:$D$501&lt;D252)),1),F252&lt;AGGREGATE(14,6,$F$2:$F$501/(($A$2:$A$501="止损计划")*($B$2:$B$501=B252)*($D$2:$D$501&lt;D252)),1))),"阶段价格必须逐级提高","计划有效"))))))),IF(A252="每日跟踪",IF(OR(B252="",H252="",I252="",J252=""),"每日数据不完整",IF(COUNTIFS($A$2:$A$501,"每日跟踪",$B$2:$B$501,B252,$H$2:$H$501,H252)&gt;1,"同一交易日期重复",IF(AND(R252&lt;&gt;"",R252&lt;S252),"人工止损无效：不能下调","跟踪有效"))),"记录类型无效")))</f>
        <v/>
      </c>
    </row>
    <row r="253">
      <c r="A253" s="28" t="n"/>
      <c r="B253" s="28" t="n"/>
      <c r="C253" s="31">
        <f>IF(B253="","",IFERROR(LOOKUP(2,1/(单次交易!$A$2:$A$201=B253),单次交易!$B$2:$B$201),""))</f>
        <v/>
      </c>
      <c r="D253" s="27" t="n"/>
      <c r="E253" s="43" t="n"/>
      <c r="F253" s="43" t="n"/>
      <c r="G253" s="28" t="n"/>
      <c r="H253" s="49" t="n"/>
      <c r="I253" s="43" t="n"/>
      <c r="J253" s="27" t="n"/>
      <c r="K253" s="28" t="n"/>
      <c r="L253" s="28" t="n"/>
      <c r="M253" s="28" t="n"/>
      <c r="N253" s="44">
        <f>IF(B253="","",IFERROR(LOOKUP(2,1/(单次交易!$A$2:$A$201=B253),单次交易!$N$2:$N$201),""))</f>
        <v/>
      </c>
      <c r="O253" s="44">
        <f>IF(A253&lt;&gt;"每日跟踪","",IF(OR(B253="",H253="",I253=""),"",IFERROR(AGGREGATE(14,6,$I$2:$I$501/(($A$2:$A$501="每日跟踪")*($B$2:$B$501=B253)*($H$2:$H$501&lt;=H253)),1),"")))</f>
        <v/>
      </c>
      <c r="P253" s="26">
        <f>IF(A253&lt;&gt;"每日跟踪","",IF(O253="","",IFERROR(AGGREGATE(14,6,$D$2:$D$501/(($A$2:$A$501="止损计划")*($B$2:$B$501=B253)*($E$2:$E$501&lt;=O253)),1),0)))</f>
        <v/>
      </c>
      <c r="Q253" s="44">
        <f>IF(A253&lt;&gt;"每日跟踪","",IF(N253="","",MAX(N253,IFERROR(AGGREGATE(14,6,$F$2:$F$501/(($A$2:$A$501="止损计划")*($B$2:$B$501=B253)*($E$2:$E$501&lt;=O253)),1),0))))</f>
        <v/>
      </c>
      <c r="R253" s="43" t="n"/>
      <c r="S253" s="44">
        <f>IF(A253&lt;&gt;"每日跟踪","",IF(Q253="","",MAX(Q253,IFERROR(AGGREGATE(14,6,$R$2:$R$501/(($A$2:$A$501="每日跟踪")*($B$2:$B$501=B253)*($H$2:$H$501&lt;=H253)),1),0))))</f>
        <v/>
      </c>
      <c r="T253" s="44">
        <f>IF(A253&lt;&gt;"每日跟踪","",IF(O253="","",IF(COUNTIFS($A$2:$A$501,"止损计划",$B$2:$B$501,B253,$E$2:$E$501,"&gt;"&amp;O253)=0,"",AGGREGATE(15,6,$E$2:$E$501/(($A$2:$A$501="止损计划")*($B$2:$B$501=B253)*($E$2:$E$501&gt;O253)),1))))</f>
        <v/>
      </c>
      <c r="U253" s="44">
        <f>IF(OR(A253&lt;&gt;"每日跟踪",T253=""),"",IFERROR(AGGREGATE(14,6,$F$2:$F$501/(($A$2:$A$501="止损计划")*($B$2:$B$501=B253)*($E$2:$E$501=T253)),1),""))</f>
        <v/>
      </c>
      <c r="V253" s="30">
        <f>IF(OR(A253&lt;&gt;"每日跟踪",T253="",I253="",I253&lt;=0),"",T253/I253-1)</f>
        <v/>
      </c>
      <c r="W253" s="31">
        <f>IF(A253&lt;&gt;"每日跟踪","",IF(OR(I253="",S253=""),"",IF(I253&lt;=S253,"触发止损：应全部卖出","继续观察")))</f>
        <v/>
      </c>
      <c r="X253" s="28" t="n"/>
      <c r="Y253" s="43" t="n"/>
      <c r="Z253" s="26">
        <f>IF(X253&lt;&gt;"执行卖出","",IFERROR(LOOKUP(2,1/(单次交易!$A$2:$A$201=B253),单次交易!$AP$2:$AP$201),""))</f>
        <v/>
      </c>
      <c r="AA253" s="43" t="n"/>
      <c r="AB253" s="31">
        <f>IF(A253&lt;&gt;"每日跟踪","",IF(OR(B253="",H253="",I253="",J253="",K253="",L253="",M253=""),"待补充每日记录",IF(W253="触发止损：应全部卖出",IF(X253&lt;&gt;"执行卖出","违规：触发止损但未执行",IF(Y253="","待补充实际卖出价","卖出记录完整")),IF(X253="","待选择卖出动作",IF(X253="执行卖出",IF(Y253="","待补充实际卖出价","卖出记录完整"),"正常")))))</f>
        <v/>
      </c>
      <c r="AC253" s="31">
        <f>IF(A253="","",IF(A253="止损计划",IF(OR(B253="",D253="",E253="",F253="",G253=""),"计划不完整",IF(OR(D253&lt;1,D253&lt;&gt;INT(D253)),"阶段序号无效",IF(COUNTIFS($A$2:$A$501,"止损计划",$B$2:$B$501,B253,$D$2:$D$501,D253)&gt;1,"阶段序号重复",IF(E253&lt;=IFERROR(LOOKUP(2,1/('单次交易'!$A$2:$A$201=B253),'单次交易'!$E$2:$E$201),0),"激活价须高于买入价",IF(F253&lt;N253,"止损价不得低于初始止损",IF(F253&gt;E253,"止损价不得高于激活价",IF(AND(COUNTIFS($A$2:$A$501,"止损计划",$B$2:$B$501,B253,$D$2:$D$501,"&lt;"&amp;D253)&gt;0,OR(E253&lt;=AGGREGATE(14,6,$E$2:$E$501/(($A$2:$A$501="止损计划")*($B$2:$B$501=B253)*($D$2:$D$501&lt;D253)),1),F253&lt;AGGREGATE(14,6,$F$2:$F$501/(($A$2:$A$501="止损计划")*($B$2:$B$501=B253)*($D$2:$D$501&lt;D253)),1))),"阶段价格必须逐级提高","计划有效"))))))),IF(A253="每日跟踪",IF(OR(B253="",H253="",I253="",J253=""),"每日数据不完整",IF(COUNTIFS($A$2:$A$501,"每日跟踪",$B$2:$B$501,B253,$H$2:$H$501,H253)&gt;1,"同一交易日期重复",IF(AND(R253&lt;&gt;"",R253&lt;S253),"人工止损无效：不能下调","跟踪有效"))),"记录类型无效")))</f>
        <v/>
      </c>
    </row>
    <row r="254">
      <c r="A254" s="28" t="n"/>
      <c r="B254" s="28" t="n"/>
      <c r="C254" s="31">
        <f>IF(B254="","",IFERROR(LOOKUP(2,1/(单次交易!$A$2:$A$201=B254),单次交易!$B$2:$B$201),""))</f>
        <v/>
      </c>
      <c r="D254" s="27" t="n"/>
      <c r="E254" s="43" t="n"/>
      <c r="F254" s="43" t="n"/>
      <c r="G254" s="28" t="n"/>
      <c r="H254" s="49" t="n"/>
      <c r="I254" s="43" t="n"/>
      <c r="J254" s="27" t="n"/>
      <c r="K254" s="28" t="n"/>
      <c r="L254" s="28" t="n"/>
      <c r="M254" s="28" t="n"/>
      <c r="N254" s="44">
        <f>IF(B254="","",IFERROR(LOOKUP(2,1/(单次交易!$A$2:$A$201=B254),单次交易!$N$2:$N$201),""))</f>
        <v/>
      </c>
      <c r="O254" s="44">
        <f>IF(A254&lt;&gt;"每日跟踪","",IF(OR(B254="",H254="",I254=""),"",IFERROR(AGGREGATE(14,6,$I$2:$I$501/(($A$2:$A$501="每日跟踪")*($B$2:$B$501=B254)*($H$2:$H$501&lt;=H254)),1),"")))</f>
        <v/>
      </c>
      <c r="P254" s="26">
        <f>IF(A254&lt;&gt;"每日跟踪","",IF(O254="","",IFERROR(AGGREGATE(14,6,$D$2:$D$501/(($A$2:$A$501="止损计划")*($B$2:$B$501=B254)*($E$2:$E$501&lt;=O254)),1),0)))</f>
        <v/>
      </c>
      <c r="Q254" s="44">
        <f>IF(A254&lt;&gt;"每日跟踪","",IF(N254="","",MAX(N254,IFERROR(AGGREGATE(14,6,$F$2:$F$501/(($A$2:$A$501="止损计划")*($B$2:$B$501=B254)*($E$2:$E$501&lt;=O254)),1),0))))</f>
        <v/>
      </c>
      <c r="R254" s="43" t="n"/>
      <c r="S254" s="44">
        <f>IF(A254&lt;&gt;"每日跟踪","",IF(Q254="","",MAX(Q254,IFERROR(AGGREGATE(14,6,$R$2:$R$501/(($A$2:$A$501="每日跟踪")*($B$2:$B$501=B254)*($H$2:$H$501&lt;=H254)),1),0))))</f>
        <v/>
      </c>
      <c r="T254" s="44">
        <f>IF(A254&lt;&gt;"每日跟踪","",IF(O254="","",IF(COUNTIFS($A$2:$A$501,"止损计划",$B$2:$B$501,B254,$E$2:$E$501,"&gt;"&amp;O254)=0,"",AGGREGATE(15,6,$E$2:$E$501/(($A$2:$A$501="止损计划")*($B$2:$B$501=B254)*($E$2:$E$501&gt;O254)),1))))</f>
        <v/>
      </c>
      <c r="U254" s="44">
        <f>IF(OR(A254&lt;&gt;"每日跟踪",T254=""),"",IFERROR(AGGREGATE(14,6,$F$2:$F$501/(($A$2:$A$501="止损计划")*($B$2:$B$501=B254)*($E$2:$E$501=T254)),1),""))</f>
        <v/>
      </c>
      <c r="V254" s="30">
        <f>IF(OR(A254&lt;&gt;"每日跟踪",T254="",I254="",I254&lt;=0),"",T254/I254-1)</f>
        <v/>
      </c>
      <c r="W254" s="31">
        <f>IF(A254&lt;&gt;"每日跟踪","",IF(OR(I254="",S254=""),"",IF(I254&lt;=S254,"触发止损：应全部卖出","继续观察")))</f>
        <v/>
      </c>
      <c r="X254" s="28" t="n"/>
      <c r="Y254" s="43" t="n"/>
      <c r="Z254" s="26">
        <f>IF(X254&lt;&gt;"执行卖出","",IFERROR(LOOKUP(2,1/(单次交易!$A$2:$A$201=B254),单次交易!$AP$2:$AP$201),""))</f>
        <v/>
      </c>
      <c r="AA254" s="43" t="n"/>
      <c r="AB254" s="31">
        <f>IF(A254&lt;&gt;"每日跟踪","",IF(OR(B254="",H254="",I254="",J254="",K254="",L254="",M254=""),"待补充每日记录",IF(W254="触发止损：应全部卖出",IF(X254&lt;&gt;"执行卖出","违规：触发止损但未执行",IF(Y254="","待补充实际卖出价","卖出记录完整")),IF(X254="","待选择卖出动作",IF(X254="执行卖出",IF(Y254="","待补充实际卖出价","卖出记录完整"),"正常")))))</f>
        <v/>
      </c>
      <c r="AC254" s="31">
        <f>IF(A254="","",IF(A254="止损计划",IF(OR(B254="",D254="",E254="",F254="",G254=""),"计划不完整",IF(OR(D254&lt;1,D254&lt;&gt;INT(D254)),"阶段序号无效",IF(COUNTIFS($A$2:$A$501,"止损计划",$B$2:$B$501,B254,$D$2:$D$501,D254)&gt;1,"阶段序号重复",IF(E254&lt;=IFERROR(LOOKUP(2,1/('单次交易'!$A$2:$A$201=B254),'单次交易'!$E$2:$E$201),0),"激活价须高于买入价",IF(F254&lt;N254,"止损价不得低于初始止损",IF(F254&gt;E254,"止损价不得高于激活价",IF(AND(COUNTIFS($A$2:$A$501,"止损计划",$B$2:$B$501,B254,$D$2:$D$501,"&lt;"&amp;D254)&gt;0,OR(E254&lt;=AGGREGATE(14,6,$E$2:$E$501/(($A$2:$A$501="止损计划")*($B$2:$B$501=B254)*($D$2:$D$501&lt;D254)),1),F254&lt;AGGREGATE(14,6,$F$2:$F$501/(($A$2:$A$501="止损计划")*($B$2:$B$501=B254)*($D$2:$D$501&lt;D254)),1))),"阶段价格必须逐级提高","计划有效"))))))),IF(A254="每日跟踪",IF(OR(B254="",H254="",I254="",J254=""),"每日数据不完整",IF(COUNTIFS($A$2:$A$501,"每日跟踪",$B$2:$B$501,B254,$H$2:$H$501,H254)&gt;1,"同一交易日期重复",IF(AND(R254&lt;&gt;"",R254&lt;S254),"人工止损无效：不能下调","跟踪有效"))),"记录类型无效")))</f>
        <v/>
      </c>
    </row>
    <row r="255">
      <c r="A255" s="28" t="n"/>
      <c r="B255" s="28" t="n"/>
      <c r="C255" s="31">
        <f>IF(B255="","",IFERROR(LOOKUP(2,1/(单次交易!$A$2:$A$201=B255),单次交易!$B$2:$B$201),""))</f>
        <v/>
      </c>
      <c r="D255" s="27" t="n"/>
      <c r="E255" s="43" t="n"/>
      <c r="F255" s="43" t="n"/>
      <c r="G255" s="28" t="n"/>
      <c r="H255" s="49" t="n"/>
      <c r="I255" s="43" t="n"/>
      <c r="J255" s="27" t="n"/>
      <c r="K255" s="28" t="n"/>
      <c r="L255" s="28" t="n"/>
      <c r="M255" s="28" t="n"/>
      <c r="N255" s="44">
        <f>IF(B255="","",IFERROR(LOOKUP(2,1/(单次交易!$A$2:$A$201=B255),单次交易!$N$2:$N$201),""))</f>
        <v/>
      </c>
      <c r="O255" s="44">
        <f>IF(A255&lt;&gt;"每日跟踪","",IF(OR(B255="",H255="",I255=""),"",IFERROR(AGGREGATE(14,6,$I$2:$I$501/(($A$2:$A$501="每日跟踪")*($B$2:$B$501=B255)*($H$2:$H$501&lt;=H255)),1),"")))</f>
        <v/>
      </c>
      <c r="P255" s="26">
        <f>IF(A255&lt;&gt;"每日跟踪","",IF(O255="","",IFERROR(AGGREGATE(14,6,$D$2:$D$501/(($A$2:$A$501="止损计划")*($B$2:$B$501=B255)*($E$2:$E$501&lt;=O255)),1),0)))</f>
        <v/>
      </c>
      <c r="Q255" s="44">
        <f>IF(A255&lt;&gt;"每日跟踪","",IF(N255="","",MAX(N255,IFERROR(AGGREGATE(14,6,$F$2:$F$501/(($A$2:$A$501="止损计划")*($B$2:$B$501=B255)*($E$2:$E$501&lt;=O255)),1),0))))</f>
        <v/>
      </c>
      <c r="R255" s="43" t="n"/>
      <c r="S255" s="44">
        <f>IF(A255&lt;&gt;"每日跟踪","",IF(Q255="","",MAX(Q255,IFERROR(AGGREGATE(14,6,$R$2:$R$501/(($A$2:$A$501="每日跟踪")*($B$2:$B$501=B255)*($H$2:$H$501&lt;=H255)),1),0))))</f>
        <v/>
      </c>
      <c r="T255" s="44">
        <f>IF(A255&lt;&gt;"每日跟踪","",IF(O255="","",IF(COUNTIFS($A$2:$A$501,"止损计划",$B$2:$B$501,B255,$E$2:$E$501,"&gt;"&amp;O255)=0,"",AGGREGATE(15,6,$E$2:$E$501/(($A$2:$A$501="止损计划")*($B$2:$B$501=B255)*($E$2:$E$501&gt;O255)),1))))</f>
        <v/>
      </c>
      <c r="U255" s="44">
        <f>IF(OR(A255&lt;&gt;"每日跟踪",T255=""),"",IFERROR(AGGREGATE(14,6,$F$2:$F$501/(($A$2:$A$501="止损计划")*($B$2:$B$501=B255)*($E$2:$E$501=T255)),1),""))</f>
        <v/>
      </c>
      <c r="V255" s="30">
        <f>IF(OR(A255&lt;&gt;"每日跟踪",T255="",I255="",I255&lt;=0),"",T255/I255-1)</f>
        <v/>
      </c>
      <c r="W255" s="31">
        <f>IF(A255&lt;&gt;"每日跟踪","",IF(OR(I255="",S255=""),"",IF(I255&lt;=S255,"触发止损：应全部卖出","继续观察")))</f>
        <v/>
      </c>
      <c r="X255" s="28" t="n"/>
      <c r="Y255" s="43" t="n"/>
      <c r="Z255" s="26">
        <f>IF(X255&lt;&gt;"执行卖出","",IFERROR(LOOKUP(2,1/(单次交易!$A$2:$A$201=B255),单次交易!$AP$2:$AP$201),""))</f>
        <v/>
      </c>
      <c r="AA255" s="43" t="n"/>
      <c r="AB255" s="31">
        <f>IF(A255&lt;&gt;"每日跟踪","",IF(OR(B255="",H255="",I255="",J255="",K255="",L255="",M255=""),"待补充每日记录",IF(W255="触发止损：应全部卖出",IF(X255&lt;&gt;"执行卖出","违规：触发止损但未执行",IF(Y255="","待补充实际卖出价","卖出记录完整")),IF(X255="","待选择卖出动作",IF(X255="执行卖出",IF(Y255="","待补充实际卖出价","卖出记录完整"),"正常")))))</f>
        <v/>
      </c>
      <c r="AC255" s="31">
        <f>IF(A255="","",IF(A255="止损计划",IF(OR(B255="",D255="",E255="",F255="",G255=""),"计划不完整",IF(OR(D255&lt;1,D255&lt;&gt;INT(D255)),"阶段序号无效",IF(COUNTIFS($A$2:$A$501,"止损计划",$B$2:$B$501,B255,$D$2:$D$501,D255)&gt;1,"阶段序号重复",IF(E255&lt;=IFERROR(LOOKUP(2,1/('单次交易'!$A$2:$A$201=B255),'单次交易'!$E$2:$E$201),0),"激活价须高于买入价",IF(F255&lt;N255,"止损价不得低于初始止损",IF(F255&gt;E255,"止损价不得高于激活价",IF(AND(COUNTIFS($A$2:$A$501,"止损计划",$B$2:$B$501,B255,$D$2:$D$501,"&lt;"&amp;D255)&gt;0,OR(E255&lt;=AGGREGATE(14,6,$E$2:$E$501/(($A$2:$A$501="止损计划")*($B$2:$B$501=B255)*($D$2:$D$501&lt;D255)),1),F255&lt;AGGREGATE(14,6,$F$2:$F$501/(($A$2:$A$501="止损计划")*($B$2:$B$501=B255)*($D$2:$D$501&lt;D255)),1))),"阶段价格必须逐级提高","计划有效"))))))),IF(A255="每日跟踪",IF(OR(B255="",H255="",I255="",J255=""),"每日数据不完整",IF(COUNTIFS($A$2:$A$501,"每日跟踪",$B$2:$B$501,B255,$H$2:$H$501,H255)&gt;1,"同一交易日期重复",IF(AND(R255&lt;&gt;"",R255&lt;S255),"人工止损无效：不能下调","跟踪有效"))),"记录类型无效")))</f>
        <v/>
      </c>
    </row>
    <row r="256">
      <c r="A256" s="28" t="n"/>
      <c r="B256" s="28" t="n"/>
      <c r="C256" s="31">
        <f>IF(B256="","",IFERROR(LOOKUP(2,1/(单次交易!$A$2:$A$201=B256),单次交易!$B$2:$B$201),""))</f>
        <v/>
      </c>
      <c r="D256" s="27" t="n"/>
      <c r="E256" s="43" t="n"/>
      <c r="F256" s="43" t="n"/>
      <c r="G256" s="28" t="n"/>
      <c r="H256" s="49" t="n"/>
      <c r="I256" s="43" t="n"/>
      <c r="J256" s="27" t="n"/>
      <c r="K256" s="28" t="n"/>
      <c r="L256" s="28" t="n"/>
      <c r="M256" s="28" t="n"/>
      <c r="N256" s="44">
        <f>IF(B256="","",IFERROR(LOOKUP(2,1/(单次交易!$A$2:$A$201=B256),单次交易!$N$2:$N$201),""))</f>
        <v/>
      </c>
      <c r="O256" s="44">
        <f>IF(A256&lt;&gt;"每日跟踪","",IF(OR(B256="",H256="",I256=""),"",IFERROR(AGGREGATE(14,6,$I$2:$I$501/(($A$2:$A$501="每日跟踪")*($B$2:$B$501=B256)*($H$2:$H$501&lt;=H256)),1),"")))</f>
        <v/>
      </c>
      <c r="P256" s="26">
        <f>IF(A256&lt;&gt;"每日跟踪","",IF(O256="","",IFERROR(AGGREGATE(14,6,$D$2:$D$501/(($A$2:$A$501="止损计划")*($B$2:$B$501=B256)*($E$2:$E$501&lt;=O256)),1),0)))</f>
        <v/>
      </c>
      <c r="Q256" s="44">
        <f>IF(A256&lt;&gt;"每日跟踪","",IF(N256="","",MAX(N256,IFERROR(AGGREGATE(14,6,$F$2:$F$501/(($A$2:$A$501="止损计划")*($B$2:$B$501=B256)*($E$2:$E$501&lt;=O256)),1),0))))</f>
        <v/>
      </c>
      <c r="R256" s="43" t="n"/>
      <c r="S256" s="44">
        <f>IF(A256&lt;&gt;"每日跟踪","",IF(Q256="","",MAX(Q256,IFERROR(AGGREGATE(14,6,$R$2:$R$501/(($A$2:$A$501="每日跟踪")*($B$2:$B$501=B256)*($H$2:$H$501&lt;=H256)),1),0))))</f>
        <v/>
      </c>
      <c r="T256" s="44">
        <f>IF(A256&lt;&gt;"每日跟踪","",IF(O256="","",IF(COUNTIFS($A$2:$A$501,"止损计划",$B$2:$B$501,B256,$E$2:$E$501,"&gt;"&amp;O256)=0,"",AGGREGATE(15,6,$E$2:$E$501/(($A$2:$A$501="止损计划")*($B$2:$B$501=B256)*($E$2:$E$501&gt;O256)),1))))</f>
        <v/>
      </c>
      <c r="U256" s="44">
        <f>IF(OR(A256&lt;&gt;"每日跟踪",T256=""),"",IFERROR(AGGREGATE(14,6,$F$2:$F$501/(($A$2:$A$501="止损计划")*($B$2:$B$501=B256)*($E$2:$E$501=T256)),1),""))</f>
        <v/>
      </c>
      <c r="V256" s="30">
        <f>IF(OR(A256&lt;&gt;"每日跟踪",T256="",I256="",I256&lt;=0),"",T256/I256-1)</f>
        <v/>
      </c>
      <c r="W256" s="31">
        <f>IF(A256&lt;&gt;"每日跟踪","",IF(OR(I256="",S256=""),"",IF(I256&lt;=S256,"触发止损：应全部卖出","继续观察")))</f>
        <v/>
      </c>
      <c r="X256" s="28" t="n"/>
      <c r="Y256" s="43" t="n"/>
      <c r="Z256" s="26">
        <f>IF(X256&lt;&gt;"执行卖出","",IFERROR(LOOKUP(2,1/(单次交易!$A$2:$A$201=B256),单次交易!$AP$2:$AP$201),""))</f>
        <v/>
      </c>
      <c r="AA256" s="43" t="n"/>
      <c r="AB256" s="31">
        <f>IF(A256&lt;&gt;"每日跟踪","",IF(OR(B256="",H256="",I256="",J256="",K256="",L256="",M256=""),"待补充每日记录",IF(W256="触发止损：应全部卖出",IF(X256&lt;&gt;"执行卖出","违规：触发止损但未执行",IF(Y256="","待补充实际卖出价","卖出记录完整")),IF(X256="","待选择卖出动作",IF(X256="执行卖出",IF(Y256="","待补充实际卖出价","卖出记录完整"),"正常")))))</f>
        <v/>
      </c>
      <c r="AC256" s="31">
        <f>IF(A256="","",IF(A256="止损计划",IF(OR(B256="",D256="",E256="",F256="",G256=""),"计划不完整",IF(OR(D256&lt;1,D256&lt;&gt;INT(D256)),"阶段序号无效",IF(COUNTIFS($A$2:$A$501,"止损计划",$B$2:$B$501,B256,$D$2:$D$501,D256)&gt;1,"阶段序号重复",IF(E256&lt;=IFERROR(LOOKUP(2,1/('单次交易'!$A$2:$A$201=B256),'单次交易'!$E$2:$E$201),0),"激活价须高于买入价",IF(F256&lt;N256,"止损价不得低于初始止损",IF(F256&gt;E256,"止损价不得高于激活价",IF(AND(COUNTIFS($A$2:$A$501,"止损计划",$B$2:$B$501,B256,$D$2:$D$501,"&lt;"&amp;D256)&gt;0,OR(E256&lt;=AGGREGATE(14,6,$E$2:$E$501/(($A$2:$A$501="止损计划")*($B$2:$B$501=B256)*($D$2:$D$501&lt;D256)),1),F256&lt;AGGREGATE(14,6,$F$2:$F$501/(($A$2:$A$501="止损计划")*($B$2:$B$501=B256)*($D$2:$D$501&lt;D256)),1))),"阶段价格必须逐级提高","计划有效"))))))),IF(A256="每日跟踪",IF(OR(B256="",H256="",I256="",J256=""),"每日数据不完整",IF(COUNTIFS($A$2:$A$501,"每日跟踪",$B$2:$B$501,B256,$H$2:$H$501,H256)&gt;1,"同一交易日期重复",IF(AND(R256&lt;&gt;"",R256&lt;S256),"人工止损无效：不能下调","跟踪有效"))),"记录类型无效")))</f>
        <v/>
      </c>
    </row>
    <row r="257">
      <c r="A257" s="28" t="n"/>
      <c r="B257" s="28" t="n"/>
      <c r="C257" s="31">
        <f>IF(B257="","",IFERROR(LOOKUP(2,1/(单次交易!$A$2:$A$201=B257),单次交易!$B$2:$B$201),""))</f>
        <v/>
      </c>
      <c r="D257" s="27" t="n"/>
      <c r="E257" s="43" t="n"/>
      <c r="F257" s="43" t="n"/>
      <c r="G257" s="28" t="n"/>
      <c r="H257" s="49" t="n"/>
      <c r="I257" s="43" t="n"/>
      <c r="J257" s="27" t="n"/>
      <c r="K257" s="28" t="n"/>
      <c r="L257" s="28" t="n"/>
      <c r="M257" s="28" t="n"/>
      <c r="N257" s="44">
        <f>IF(B257="","",IFERROR(LOOKUP(2,1/(单次交易!$A$2:$A$201=B257),单次交易!$N$2:$N$201),""))</f>
        <v/>
      </c>
      <c r="O257" s="44">
        <f>IF(A257&lt;&gt;"每日跟踪","",IF(OR(B257="",H257="",I257=""),"",IFERROR(AGGREGATE(14,6,$I$2:$I$501/(($A$2:$A$501="每日跟踪")*($B$2:$B$501=B257)*($H$2:$H$501&lt;=H257)),1),"")))</f>
        <v/>
      </c>
      <c r="P257" s="26">
        <f>IF(A257&lt;&gt;"每日跟踪","",IF(O257="","",IFERROR(AGGREGATE(14,6,$D$2:$D$501/(($A$2:$A$501="止损计划")*($B$2:$B$501=B257)*($E$2:$E$501&lt;=O257)),1),0)))</f>
        <v/>
      </c>
      <c r="Q257" s="44">
        <f>IF(A257&lt;&gt;"每日跟踪","",IF(N257="","",MAX(N257,IFERROR(AGGREGATE(14,6,$F$2:$F$501/(($A$2:$A$501="止损计划")*($B$2:$B$501=B257)*($E$2:$E$501&lt;=O257)),1),0))))</f>
        <v/>
      </c>
      <c r="R257" s="43" t="n"/>
      <c r="S257" s="44">
        <f>IF(A257&lt;&gt;"每日跟踪","",IF(Q257="","",MAX(Q257,IFERROR(AGGREGATE(14,6,$R$2:$R$501/(($A$2:$A$501="每日跟踪")*($B$2:$B$501=B257)*($H$2:$H$501&lt;=H257)),1),0))))</f>
        <v/>
      </c>
      <c r="T257" s="44">
        <f>IF(A257&lt;&gt;"每日跟踪","",IF(O257="","",IF(COUNTIFS($A$2:$A$501,"止损计划",$B$2:$B$501,B257,$E$2:$E$501,"&gt;"&amp;O257)=0,"",AGGREGATE(15,6,$E$2:$E$501/(($A$2:$A$501="止损计划")*($B$2:$B$501=B257)*($E$2:$E$501&gt;O257)),1))))</f>
        <v/>
      </c>
      <c r="U257" s="44">
        <f>IF(OR(A257&lt;&gt;"每日跟踪",T257=""),"",IFERROR(AGGREGATE(14,6,$F$2:$F$501/(($A$2:$A$501="止损计划")*($B$2:$B$501=B257)*($E$2:$E$501=T257)),1),""))</f>
        <v/>
      </c>
      <c r="V257" s="30">
        <f>IF(OR(A257&lt;&gt;"每日跟踪",T257="",I257="",I257&lt;=0),"",T257/I257-1)</f>
        <v/>
      </c>
      <c r="W257" s="31">
        <f>IF(A257&lt;&gt;"每日跟踪","",IF(OR(I257="",S257=""),"",IF(I257&lt;=S257,"触发止损：应全部卖出","继续观察")))</f>
        <v/>
      </c>
      <c r="X257" s="28" t="n"/>
      <c r="Y257" s="43" t="n"/>
      <c r="Z257" s="26">
        <f>IF(X257&lt;&gt;"执行卖出","",IFERROR(LOOKUP(2,1/(单次交易!$A$2:$A$201=B257),单次交易!$AP$2:$AP$201),""))</f>
        <v/>
      </c>
      <c r="AA257" s="43" t="n"/>
      <c r="AB257" s="31">
        <f>IF(A257&lt;&gt;"每日跟踪","",IF(OR(B257="",H257="",I257="",J257="",K257="",L257="",M257=""),"待补充每日记录",IF(W257="触发止损：应全部卖出",IF(X257&lt;&gt;"执行卖出","违规：触发止损但未执行",IF(Y257="","待补充实际卖出价","卖出记录完整")),IF(X257="","待选择卖出动作",IF(X257="执行卖出",IF(Y257="","待补充实际卖出价","卖出记录完整"),"正常")))))</f>
        <v/>
      </c>
      <c r="AC257" s="31">
        <f>IF(A257="","",IF(A257="止损计划",IF(OR(B257="",D257="",E257="",F257="",G257=""),"计划不完整",IF(OR(D257&lt;1,D257&lt;&gt;INT(D257)),"阶段序号无效",IF(COUNTIFS($A$2:$A$501,"止损计划",$B$2:$B$501,B257,$D$2:$D$501,D257)&gt;1,"阶段序号重复",IF(E257&lt;=IFERROR(LOOKUP(2,1/('单次交易'!$A$2:$A$201=B257),'单次交易'!$E$2:$E$201),0),"激活价须高于买入价",IF(F257&lt;N257,"止损价不得低于初始止损",IF(F257&gt;E257,"止损价不得高于激活价",IF(AND(COUNTIFS($A$2:$A$501,"止损计划",$B$2:$B$501,B257,$D$2:$D$501,"&lt;"&amp;D257)&gt;0,OR(E257&lt;=AGGREGATE(14,6,$E$2:$E$501/(($A$2:$A$501="止损计划")*($B$2:$B$501=B257)*($D$2:$D$501&lt;D257)),1),F257&lt;AGGREGATE(14,6,$F$2:$F$501/(($A$2:$A$501="止损计划")*($B$2:$B$501=B257)*($D$2:$D$501&lt;D257)),1))),"阶段价格必须逐级提高","计划有效"))))))),IF(A257="每日跟踪",IF(OR(B257="",H257="",I257="",J257=""),"每日数据不完整",IF(COUNTIFS($A$2:$A$501,"每日跟踪",$B$2:$B$501,B257,$H$2:$H$501,H257)&gt;1,"同一交易日期重复",IF(AND(R257&lt;&gt;"",R257&lt;S257),"人工止损无效：不能下调","跟踪有效"))),"记录类型无效")))</f>
        <v/>
      </c>
    </row>
    <row r="258">
      <c r="A258" s="28" t="n"/>
      <c r="B258" s="28" t="n"/>
      <c r="C258" s="31">
        <f>IF(B258="","",IFERROR(LOOKUP(2,1/(单次交易!$A$2:$A$201=B258),单次交易!$B$2:$B$201),""))</f>
        <v/>
      </c>
      <c r="D258" s="27" t="n"/>
      <c r="E258" s="43" t="n"/>
      <c r="F258" s="43" t="n"/>
      <c r="G258" s="28" t="n"/>
      <c r="H258" s="49" t="n"/>
      <c r="I258" s="43" t="n"/>
      <c r="J258" s="27" t="n"/>
      <c r="K258" s="28" t="n"/>
      <c r="L258" s="28" t="n"/>
      <c r="M258" s="28" t="n"/>
      <c r="N258" s="44">
        <f>IF(B258="","",IFERROR(LOOKUP(2,1/(单次交易!$A$2:$A$201=B258),单次交易!$N$2:$N$201),""))</f>
        <v/>
      </c>
      <c r="O258" s="44">
        <f>IF(A258&lt;&gt;"每日跟踪","",IF(OR(B258="",H258="",I258=""),"",IFERROR(AGGREGATE(14,6,$I$2:$I$501/(($A$2:$A$501="每日跟踪")*($B$2:$B$501=B258)*($H$2:$H$501&lt;=H258)),1),"")))</f>
        <v/>
      </c>
      <c r="P258" s="26">
        <f>IF(A258&lt;&gt;"每日跟踪","",IF(O258="","",IFERROR(AGGREGATE(14,6,$D$2:$D$501/(($A$2:$A$501="止损计划")*($B$2:$B$501=B258)*($E$2:$E$501&lt;=O258)),1),0)))</f>
        <v/>
      </c>
      <c r="Q258" s="44">
        <f>IF(A258&lt;&gt;"每日跟踪","",IF(N258="","",MAX(N258,IFERROR(AGGREGATE(14,6,$F$2:$F$501/(($A$2:$A$501="止损计划")*($B$2:$B$501=B258)*($E$2:$E$501&lt;=O258)),1),0))))</f>
        <v/>
      </c>
      <c r="R258" s="43" t="n"/>
      <c r="S258" s="44">
        <f>IF(A258&lt;&gt;"每日跟踪","",IF(Q258="","",MAX(Q258,IFERROR(AGGREGATE(14,6,$R$2:$R$501/(($A$2:$A$501="每日跟踪")*($B$2:$B$501=B258)*($H$2:$H$501&lt;=H258)),1),0))))</f>
        <v/>
      </c>
      <c r="T258" s="44">
        <f>IF(A258&lt;&gt;"每日跟踪","",IF(O258="","",IF(COUNTIFS($A$2:$A$501,"止损计划",$B$2:$B$501,B258,$E$2:$E$501,"&gt;"&amp;O258)=0,"",AGGREGATE(15,6,$E$2:$E$501/(($A$2:$A$501="止损计划")*($B$2:$B$501=B258)*($E$2:$E$501&gt;O258)),1))))</f>
        <v/>
      </c>
      <c r="U258" s="44">
        <f>IF(OR(A258&lt;&gt;"每日跟踪",T258=""),"",IFERROR(AGGREGATE(14,6,$F$2:$F$501/(($A$2:$A$501="止损计划")*($B$2:$B$501=B258)*($E$2:$E$501=T258)),1),""))</f>
        <v/>
      </c>
      <c r="V258" s="30">
        <f>IF(OR(A258&lt;&gt;"每日跟踪",T258="",I258="",I258&lt;=0),"",T258/I258-1)</f>
        <v/>
      </c>
      <c r="W258" s="31">
        <f>IF(A258&lt;&gt;"每日跟踪","",IF(OR(I258="",S258=""),"",IF(I258&lt;=S258,"触发止损：应全部卖出","继续观察")))</f>
        <v/>
      </c>
      <c r="X258" s="28" t="n"/>
      <c r="Y258" s="43" t="n"/>
      <c r="Z258" s="26">
        <f>IF(X258&lt;&gt;"执行卖出","",IFERROR(LOOKUP(2,1/(单次交易!$A$2:$A$201=B258),单次交易!$AP$2:$AP$201),""))</f>
        <v/>
      </c>
      <c r="AA258" s="43" t="n"/>
      <c r="AB258" s="31">
        <f>IF(A258&lt;&gt;"每日跟踪","",IF(OR(B258="",H258="",I258="",J258="",K258="",L258="",M258=""),"待补充每日记录",IF(W258="触发止损：应全部卖出",IF(X258&lt;&gt;"执行卖出","违规：触发止损但未执行",IF(Y258="","待补充实际卖出价","卖出记录完整")),IF(X258="","待选择卖出动作",IF(X258="执行卖出",IF(Y258="","待补充实际卖出价","卖出记录完整"),"正常")))))</f>
        <v/>
      </c>
      <c r="AC258" s="31">
        <f>IF(A258="","",IF(A258="止损计划",IF(OR(B258="",D258="",E258="",F258="",G258=""),"计划不完整",IF(OR(D258&lt;1,D258&lt;&gt;INT(D258)),"阶段序号无效",IF(COUNTIFS($A$2:$A$501,"止损计划",$B$2:$B$501,B258,$D$2:$D$501,D258)&gt;1,"阶段序号重复",IF(E258&lt;=IFERROR(LOOKUP(2,1/('单次交易'!$A$2:$A$201=B258),'单次交易'!$E$2:$E$201),0),"激活价须高于买入价",IF(F258&lt;N258,"止损价不得低于初始止损",IF(F258&gt;E258,"止损价不得高于激活价",IF(AND(COUNTIFS($A$2:$A$501,"止损计划",$B$2:$B$501,B258,$D$2:$D$501,"&lt;"&amp;D258)&gt;0,OR(E258&lt;=AGGREGATE(14,6,$E$2:$E$501/(($A$2:$A$501="止损计划")*($B$2:$B$501=B258)*($D$2:$D$501&lt;D258)),1),F258&lt;AGGREGATE(14,6,$F$2:$F$501/(($A$2:$A$501="止损计划")*($B$2:$B$501=B258)*($D$2:$D$501&lt;D258)),1))),"阶段价格必须逐级提高","计划有效"))))))),IF(A258="每日跟踪",IF(OR(B258="",H258="",I258="",J258=""),"每日数据不完整",IF(COUNTIFS($A$2:$A$501,"每日跟踪",$B$2:$B$501,B258,$H$2:$H$501,H258)&gt;1,"同一交易日期重复",IF(AND(R258&lt;&gt;"",R258&lt;S258),"人工止损无效：不能下调","跟踪有效"))),"记录类型无效")))</f>
        <v/>
      </c>
    </row>
    <row r="259">
      <c r="A259" s="28" t="n"/>
      <c r="B259" s="28" t="n"/>
      <c r="C259" s="31">
        <f>IF(B259="","",IFERROR(LOOKUP(2,1/(单次交易!$A$2:$A$201=B259),单次交易!$B$2:$B$201),""))</f>
        <v/>
      </c>
      <c r="D259" s="27" t="n"/>
      <c r="E259" s="43" t="n"/>
      <c r="F259" s="43" t="n"/>
      <c r="G259" s="28" t="n"/>
      <c r="H259" s="49" t="n"/>
      <c r="I259" s="43" t="n"/>
      <c r="J259" s="27" t="n"/>
      <c r="K259" s="28" t="n"/>
      <c r="L259" s="28" t="n"/>
      <c r="M259" s="28" t="n"/>
      <c r="N259" s="44">
        <f>IF(B259="","",IFERROR(LOOKUP(2,1/(单次交易!$A$2:$A$201=B259),单次交易!$N$2:$N$201),""))</f>
        <v/>
      </c>
      <c r="O259" s="44">
        <f>IF(A259&lt;&gt;"每日跟踪","",IF(OR(B259="",H259="",I259=""),"",IFERROR(AGGREGATE(14,6,$I$2:$I$501/(($A$2:$A$501="每日跟踪")*($B$2:$B$501=B259)*($H$2:$H$501&lt;=H259)),1),"")))</f>
        <v/>
      </c>
      <c r="P259" s="26">
        <f>IF(A259&lt;&gt;"每日跟踪","",IF(O259="","",IFERROR(AGGREGATE(14,6,$D$2:$D$501/(($A$2:$A$501="止损计划")*($B$2:$B$501=B259)*($E$2:$E$501&lt;=O259)),1),0)))</f>
        <v/>
      </c>
      <c r="Q259" s="44">
        <f>IF(A259&lt;&gt;"每日跟踪","",IF(N259="","",MAX(N259,IFERROR(AGGREGATE(14,6,$F$2:$F$501/(($A$2:$A$501="止损计划")*($B$2:$B$501=B259)*($E$2:$E$501&lt;=O259)),1),0))))</f>
        <v/>
      </c>
      <c r="R259" s="43" t="n"/>
      <c r="S259" s="44">
        <f>IF(A259&lt;&gt;"每日跟踪","",IF(Q259="","",MAX(Q259,IFERROR(AGGREGATE(14,6,$R$2:$R$501/(($A$2:$A$501="每日跟踪")*($B$2:$B$501=B259)*($H$2:$H$501&lt;=H259)),1),0))))</f>
        <v/>
      </c>
      <c r="T259" s="44">
        <f>IF(A259&lt;&gt;"每日跟踪","",IF(O259="","",IF(COUNTIFS($A$2:$A$501,"止损计划",$B$2:$B$501,B259,$E$2:$E$501,"&gt;"&amp;O259)=0,"",AGGREGATE(15,6,$E$2:$E$501/(($A$2:$A$501="止损计划")*($B$2:$B$501=B259)*($E$2:$E$501&gt;O259)),1))))</f>
        <v/>
      </c>
      <c r="U259" s="44">
        <f>IF(OR(A259&lt;&gt;"每日跟踪",T259=""),"",IFERROR(AGGREGATE(14,6,$F$2:$F$501/(($A$2:$A$501="止损计划")*($B$2:$B$501=B259)*($E$2:$E$501=T259)),1),""))</f>
        <v/>
      </c>
      <c r="V259" s="30">
        <f>IF(OR(A259&lt;&gt;"每日跟踪",T259="",I259="",I259&lt;=0),"",T259/I259-1)</f>
        <v/>
      </c>
      <c r="W259" s="31">
        <f>IF(A259&lt;&gt;"每日跟踪","",IF(OR(I259="",S259=""),"",IF(I259&lt;=S259,"触发止损：应全部卖出","继续观察")))</f>
        <v/>
      </c>
      <c r="X259" s="28" t="n"/>
      <c r="Y259" s="43" t="n"/>
      <c r="Z259" s="26">
        <f>IF(X259&lt;&gt;"执行卖出","",IFERROR(LOOKUP(2,1/(单次交易!$A$2:$A$201=B259),单次交易!$AP$2:$AP$201),""))</f>
        <v/>
      </c>
      <c r="AA259" s="43" t="n"/>
      <c r="AB259" s="31">
        <f>IF(A259&lt;&gt;"每日跟踪","",IF(OR(B259="",H259="",I259="",J259="",K259="",L259="",M259=""),"待补充每日记录",IF(W259="触发止损：应全部卖出",IF(X259&lt;&gt;"执行卖出","违规：触发止损但未执行",IF(Y259="","待补充实际卖出价","卖出记录完整")),IF(X259="","待选择卖出动作",IF(X259="执行卖出",IF(Y259="","待补充实际卖出价","卖出记录完整"),"正常")))))</f>
        <v/>
      </c>
      <c r="AC259" s="31">
        <f>IF(A259="","",IF(A259="止损计划",IF(OR(B259="",D259="",E259="",F259="",G259=""),"计划不完整",IF(OR(D259&lt;1,D259&lt;&gt;INT(D259)),"阶段序号无效",IF(COUNTIFS($A$2:$A$501,"止损计划",$B$2:$B$501,B259,$D$2:$D$501,D259)&gt;1,"阶段序号重复",IF(E259&lt;=IFERROR(LOOKUP(2,1/('单次交易'!$A$2:$A$201=B259),'单次交易'!$E$2:$E$201),0),"激活价须高于买入价",IF(F259&lt;N259,"止损价不得低于初始止损",IF(F259&gt;E259,"止损价不得高于激活价",IF(AND(COUNTIFS($A$2:$A$501,"止损计划",$B$2:$B$501,B259,$D$2:$D$501,"&lt;"&amp;D259)&gt;0,OR(E259&lt;=AGGREGATE(14,6,$E$2:$E$501/(($A$2:$A$501="止损计划")*($B$2:$B$501=B259)*($D$2:$D$501&lt;D259)),1),F259&lt;AGGREGATE(14,6,$F$2:$F$501/(($A$2:$A$501="止损计划")*($B$2:$B$501=B259)*($D$2:$D$501&lt;D259)),1))),"阶段价格必须逐级提高","计划有效"))))))),IF(A259="每日跟踪",IF(OR(B259="",H259="",I259="",J259=""),"每日数据不完整",IF(COUNTIFS($A$2:$A$501,"每日跟踪",$B$2:$B$501,B259,$H$2:$H$501,H259)&gt;1,"同一交易日期重复",IF(AND(R259&lt;&gt;"",R259&lt;S259),"人工止损无效：不能下调","跟踪有效"))),"记录类型无效")))</f>
        <v/>
      </c>
    </row>
    <row r="260">
      <c r="A260" s="28" t="n"/>
      <c r="B260" s="28" t="n"/>
      <c r="C260" s="31">
        <f>IF(B260="","",IFERROR(LOOKUP(2,1/(单次交易!$A$2:$A$201=B260),单次交易!$B$2:$B$201),""))</f>
        <v/>
      </c>
      <c r="D260" s="27" t="n"/>
      <c r="E260" s="43" t="n"/>
      <c r="F260" s="43" t="n"/>
      <c r="G260" s="28" t="n"/>
      <c r="H260" s="49" t="n"/>
      <c r="I260" s="43" t="n"/>
      <c r="J260" s="27" t="n"/>
      <c r="K260" s="28" t="n"/>
      <c r="L260" s="28" t="n"/>
      <c r="M260" s="28" t="n"/>
      <c r="N260" s="44">
        <f>IF(B260="","",IFERROR(LOOKUP(2,1/(单次交易!$A$2:$A$201=B260),单次交易!$N$2:$N$201),""))</f>
        <v/>
      </c>
      <c r="O260" s="44">
        <f>IF(A260&lt;&gt;"每日跟踪","",IF(OR(B260="",H260="",I260=""),"",IFERROR(AGGREGATE(14,6,$I$2:$I$501/(($A$2:$A$501="每日跟踪")*($B$2:$B$501=B260)*($H$2:$H$501&lt;=H260)),1),"")))</f>
        <v/>
      </c>
      <c r="P260" s="26">
        <f>IF(A260&lt;&gt;"每日跟踪","",IF(O260="","",IFERROR(AGGREGATE(14,6,$D$2:$D$501/(($A$2:$A$501="止损计划")*($B$2:$B$501=B260)*($E$2:$E$501&lt;=O260)),1),0)))</f>
        <v/>
      </c>
      <c r="Q260" s="44">
        <f>IF(A260&lt;&gt;"每日跟踪","",IF(N260="","",MAX(N260,IFERROR(AGGREGATE(14,6,$F$2:$F$501/(($A$2:$A$501="止损计划")*($B$2:$B$501=B260)*($E$2:$E$501&lt;=O260)),1),0))))</f>
        <v/>
      </c>
      <c r="R260" s="43" t="n"/>
      <c r="S260" s="44">
        <f>IF(A260&lt;&gt;"每日跟踪","",IF(Q260="","",MAX(Q260,IFERROR(AGGREGATE(14,6,$R$2:$R$501/(($A$2:$A$501="每日跟踪")*($B$2:$B$501=B260)*($H$2:$H$501&lt;=H260)),1),0))))</f>
        <v/>
      </c>
      <c r="T260" s="44">
        <f>IF(A260&lt;&gt;"每日跟踪","",IF(O260="","",IF(COUNTIFS($A$2:$A$501,"止损计划",$B$2:$B$501,B260,$E$2:$E$501,"&gt;"&amp;O260)=0,"",AGGREGATE(15,6,$E$2:$E$501/(($A$2:$A$501="止损计划")*($B$2:$B$501=B260)*($E$2:$E$501&gt;O260)),1))))</f>
        <v/>
      </c>
      <c r="U260" s="44">
        <f>IF(OR(A260&lt;&gt;"每日跟踪",T260=""),"",IFERROR(AGGREGATE(14,6,$F$2:$F$501/(($A$2:$A$501="止损计划")*($B$2:$B$501=B260)*($E$2:$E$501=T260)),1),""))</f>
        <v/>
      </c>
      <c r="V260" s="30">
        <f>IF(OR(A260&lt;&gt;"每日跟踪",T260="",I260="",I260&lt;=0),"",T260/I260-1)</f>
        <v/>
      </c>
      <c r="W260" s="31">
        <f>IF(A260&lt;&gt;"每日跟踪","",IF(OR(I260="",S260=""),"",IF(I260&lt;=S260,"触发止损：应全部卖出","继续观察")))</f>
        <v/>
      </c>
      <c r="X260" s="28" t="n"/>
      <c r="Y260" s="43" t="n"/>
      <c r="Z260" s="26">
        <f>IF(X260&lt;&gt;"执行卖出","",IFERROR(LOOKUP(2,1/(单次交易!$A$2:$A$201=B260),单次交易!$AP$2:$AP$201),""))</f>
        <v/>
      </c>
      <c r="AA260" s="43" t="n"/>
      <c r="AB260" s="31">
        <f>IF(A260&lt;&gt;"每日跟踪","",IF(OR(B260="",H260="",I260="",J260="",K260="",L260="",M260=""),"待补充每日记录",IF(W260="触发止损：应全部卖出",IF(X260&lt;&gt;"执行卖出","违规：触发止损但未执行",IF(Y260="","待补充实际卖出价","卖出记录完整")),IF(X260="","待选择卖出动作",IF(X260="执行卖出",IF(Y260="","待补充实际卖出价","卖出记录完整"),"正常")))))</f>
        <v/>
      </c>
      <c r="AC260" s="31">
        <f>IF(A260="","",IF(A260="止损计划",IF(OR(B260="",D260="",E260="",F260="",G260=""),"计划不完整",IF(OR(D260&lt;1,D260&lt;&gt;INT(D260)),"阶段序号无效",IF(COUNTIFS($A$2:$A$501,"止损计划",$B$2:$B$501,B260,$D$2:$D$501,D260)&gt;1,"阶段序号重复",IF(E260&lt;=IFERROR(LOOKUP(2,1/('单次交易'!$A$2:$A$201=B260),'单次交易'!$E$2:$E$201),0),"激活价须高于买入价",IF(F260&lt;N260,"止损价不得低于初始止损",IF(F260&gt;E260,"止损价不得高于激活价",IF(AND(COUNTIFS($A$2:$A$501,"止损计划",$B$2:$B$501,B260,$D$2:$D$501,"&lt;"&amp;D260)&gt;0,OR(E260&lt;=AGGREGATE(14,6,$E$2:$E$501/(($A$2:$A$501="止损计划")*($B$2:$B$501=B260)*($D$2:$D$501&lt;D260)),1),F260&lt;AGGREGATE(14,6,$F$2:$F$501/(($A$2:$A$501="止损计划")*($B$2:$B$501=B260)*($D$2:$D$501&lt;D260)),1))),"阶段价格必须逐级提高","计划有效"))))))),IF(A260="每日跟踪",IF(OR(B260="",H260="",I260="",J260=""),"每日数据不完整",IF(COUNTIFS($A$2:$A$501,"每日跟踪",$B$2:$B$501,B260,$H$2:$H$501,H260)&gt;1,"同一交易日期重复",IF(AND(R260&lt;&gt;"",R260&lt;S260),"人工止损无效：不能下调","跟踪有效"))),"记录类型无效")))</f>
        <v/>
      </c>
    </row>
    <row r="261">
      <c r="A261" s="28" t="n"/>
      <c r="B261" s="28" t="n"/>
      <c r="C261" s="31">
        <f>IF(B261="","",IFERROR(LOOKUP(2,1/(单次交易!$A$2:$A$201=B261),单次交易!$B$2:$B$201),""))</f>
        <v/>
      </c>
      <c r="D261" s="27" t="n"/>
      <c r="E261" s="43" t="n"/>
      <c r="F261" s="43" t="n"/>
      <c r="G261" s="28" t="n"/>
      <c r="H261" s="49" t="n"/>
      <c r="I261" s="43" t="n"/>
      <c r="J261" s="27" t="n"/>
      <c r="K261" s="28" t="n"/>
      <c r="L261" s="28" t="n"/>
      <c r="M261" s="28" t="n"/>
      <c r="N261" s="44">
        <f>IF(B261="","",IFERROR(LOOKUP(2,1/(单次交易!$A$2:$A$201=B261),单次交易!$N$2:$N$201),""))</f>
        <v/>
      </c>
      <c r="O261" s="44">
        <f>IF(A261&lt;&gt;"每日跟踪","",IF(OR(B261="",H261="",I261=""),"",IFERROR(AGGREGATE(14,6,$I$2:$I$501/(($A$2:$A$501="每日跟踪")*($B$2:$B$501=B261)*($H$2:$H$501&lt;=H261)),1),"")))</f>
        <v/>
      </c>
      <c r="P261" s="26">
        <f>IF(A261&lt;&gt;"每日跟踪","",IF(O261="","",IFERROR(AGGREGATE(14,6,$D$2:$D$501/(($A$2:$A$501="止损计划")*($B$2:$B$501=B261)*($E$2:$E$501&lt;=O261)),1),0)))</f>
        <v/>
      </c>
      <c r="Q261" s="44">
        <f>IF(A261&lt;&gt;"每日跟踪","",IF(N261="","",MAX(N261,IFERROR(AGGREGATE(14,6,$F$2:$F$501/(($A$2:$A$501="止损计划")*($B$2:$B$501=B261)*($E$2:$E$501&lt;=O261)),1),0))))</f>
        <v/>
      </c>
      <c r="R261" s="43" t="n"/>
      <c r="S261" s="44">
        <f>IF(A261&lt;&gt;"每日跟踪","",IF(Q261="","",MAX(Q261,IFERROR(AGGREGATE(14,6,$R$2:$R$501/(($A$2:$A$501="每日跟踪")*($B$2:$B$501=B261)*($H$2:$H$501&lt;=H261)),1),0))))</f>
        <v/>
      </c>
      <c r="T261" s="44">
        <f>IF(A261&lt;&gt;"每日跟踪","",IF(O261="","",IF(COUNTIFS($A$2:$A$501,"止损计划",$B$2:$B$501,B261,$E$2:$E$501,"&gt;"&amp;O261)=0,"",AGGREGATE(15,6,$E$2:$E$501/(($A$2:$A$501="止损计划")*($B$2:$B$501=B261)*($E$2:$E$501&gt;O261)),1))))</f>
        <v/>
      </c>
      <c r="U261" s="44">
        <f>IF(OR(A261&lt;&gt;"每日跟踪",T261=""),"",IFERROR(AGGREGATE(14,6,$F$2:$F$501/(($A$2:$A$501="止损计划")*($B$2:$B$501=B261)*($E$2:$E$501=T261)),1),""))</f>
        <v/>
      </c>
      <c r="V261" s="30">
        <f>IF(OR(A261&lt;&gt;"每日跟踪",T261="",I261="",I261&lt;=0),"",T261/I261-1)</f>
        <v/>
      </c>
      <c r="W261" s="31">
        <f>IF(A261&lt;&gt;"每日跟踪","",IF(OR(I261="",S261=""),"",IF(I261&lt;=S261,"触发止损：应全部卖出","继续观察")))</f>
        <v/>
      </c>
      <c r="X261" s="28" t="n"/>
      <c r="Y261" s="43" t="n"/>
      <c r="Z261" s="26">
        <f>IF(X261&lt;&gt;"执行卖出","",IFERROR(LOOKUP(2,1/(单次交易!$A$2:$A$201=B261),单次交易!$AP$2:$AP$201),""))</f>
        <v/>
      </c>
      <c r="AA261" s="43" t="n"/>
      <c r="AB261" s="31">
        <f>IF(A261&lt;&gt;"每日跟踪","",IF(OR(B261="",H261="",I261="",J261="",K261="",L261="",M261=""),"待补充每日记录",IF(W261="触发止损：应全部卖出",IF(X261&lt;&gt;"执行卖出","违规：触发止损但未执行",IF(Y261="","待补充实际卖出价","卖出记录完整")),IF(X261="","待选择卖出动作",IF(X261="执行卖出",IF(Y261="","待补充实际卖出价","卖出记录完整"),"正常")))))</f>
        <v/>
      </c>
      <c r="AC261" s="31">
        <f>IF(A261="","",IF(A261="止损计划",IF(OR(B261="",D261="",E261="",F261="",G261=""),"计划不完整",IF(OR(D261&lt;1,D261&lt;&gt;INT(D261)),"阶段序号无效",IF(COUNTIFS($A$2:$A$501,"止损计划",$B$2:$B$501,B261,$D$2:$D$501,D261)&gt;1,"阶段序号重复",IF(E261&lt;=IFERROR(LOOKUP(2,1/('单次交易'!$A$2:$A$201=B261),'单次交易'!$E$2:$E$201),0),"激活价须高于买入价",IF(F261&lt;N261,"止损价不得低于初始止损",IF(F261&gt;E261,"止损价不得高于激活价",IF(AND(COUNTIFS($A$2:$A$501,"止损计划",$B$2:$B$501,B261,$D$2:$D$501,"&lt;"&amp;D261)&gt;0,OR(E261&lt;=AGGREGATE(14,6,$E$2:$E$501/(($A$2:$A$501="止损计划")*($B$2:$B$501=B261)*($D$2:$D$501&lt;D261)),1),F261&lt;AGGREGATE(14,6,$F$2:$F$501/(($A$2:$A$501="止损计划")*($B$2:$B$501=B261)*($D$2:$D$501&lt;D261)),1))),"阶段价格必须逐级提高","计划有效"))))))),IF(A261="每日跟踪",IF(OR(B261="",H261="",I261="",J261=""),"每日数据不完整",IF(COUNTIFS($A$2:$A$501,"每日跟踪",$B$2:$B$501,B261,$H$2:$H$501,H261)&gt;1,"同一交易日期重复",IF(AND(R261&lt;&gt;"",R261&lt;S261),"人工止损无效：不能下调","跟踪有效"))),"记录类型无效")))</f>
        <v/>
      </c>
    </row>
    <row r="262">
      <c r="A262" s="28" t="n"/>
      <c r="B262" s="28" t="n"/>
      <c r="C262" s="31">
        <f>IF(B262="","",IFERROR(LOOKUP(2,1/(单次交易!$A$2:$A$201=B262),单次交易!$B$2:$B$201),""))</f>
        <v/>
      </c>
      <c r="D262" s="27" t="n"/>
      <c r="E262" s="43" t="n"/>
      <c r="F262" s="43" t="n"/>
      <c r="G262" s="28" t="n"/>
      <c r="H262" s="49" t="n"/>
      <c r="I262" s="43" t="n"/>
      <c r="J262" s="27" t="n"/>
      <c r="K262" s="28" t="n"/>
      <c r="L262" s="28" t="n"/>
      <c r="M262" s="28" t="n"/>
      <c r="N262" s="44">
        <f>IF(B262="","",IFERROR(LOOKUP(2,1/(单次交易!$A$2:$A$201=B262),单次交易!$N$2:$N$201),""))</f>
        <v/>
      </c>
      <c r="O262" s="44">
        <f>IF(A262&lt;&gt;"每日跟踪","",IF(OR(B262="",H262="",I262=""),"",IFERROR(AGGREGATE(14,6,$I$2:$I$501/(($A$2:$A$501="每日跟踪")*($B$2:$B$501=B262)*($H$2:$H$501&lt;=H262)),1),"")))</f>
        <v/>
      </c>
      <c r="P262" s="26">
        <f>IF(A262&lt;&gt;"每日跟踪","",IF(O262="","",IFERROR(AGGREGATE(14,6,$D$2:$D$501/(($A$2:$A$501="止损计划")*($B$2:$B$501=B262)*($E$2:$E$501&lt;=O262)),1),0)))</f>
        <v/>
      </c>
      <c r="Q262" s="44">
        <f>IF(A262&lt;&gt;"每日跟踪","",IF(N262="","",MAX(N262,IFERROR(AGGREGATE(14,6,$F$2:$F$501/(($A$2:$A$501="止损计划")*($B$2:$B$501=B262)*($E$2:$E$501&lt;=O262)),1),0))))</f>
        <v/>
      </c>
      <c r="R262" s="43" t="n"/>
      <c r="S262" s="44">
        <f>IF(A262&lt;&gt;"每日跟踪","",IF(Q262="","",MAX(Q262,IFERROR(AGGREGATE(14,6,$R$2:$R$501/(($A$2:$A$501="每日跟踪")*($B$2:$B$501=B262)*($H$2:$H$501&lt;=H262)),1),0))))</f>
        <v/>
      </c>
      <c r="T262" s="44">
        <f>IF(A262&lt;&gt;"每日跟踪","",IF(O262="","",IF(COUNTIFS($A$2:$A$501,"止损计划",$B$2:$B$501,B262,$E$2:$E$501,"&gt;"&amp;O262)=0,"",AGGREGATE(15,6,$E$2:$E$501/(($A$2:$A$501="止损计划")*($B$2:$B$501=B262)*($E$2:$E$501&gt;O262)),1))))</f>
        <v/>
      </c>
      <c r="U262" s="44">
        <f>IF(OR(A262&lt;&gt;"每日跟踪",T262=""),"",IFERROR(AGGREGATE(14,6,$F$2:$F$501/(($A$2:$A$501="止损计划")*($B$2:$B$501=B262)*($E$2:$E$501=T262)),1),""))</f>
        <v/>
      </c>
      <c r="V262" s="30">
        <f>IF(OR(A262&lt;&gt;"每日跟踪",T262="",I262="",I262&lt;=0),"",T262/I262-1)</f>
        <v/>
      </c>
      <c r="W262" s="31">
        <f>IF(A262&lt;&gt;"每日跟踪","",IF(OR(I262="",S262=""),"",IF(I262&lt;=S262,"触发止损：应全部卖出","继续观察")))</f>
        <v/>
      </c>
      <c r="X262" s="28" t="n"/>
      <c r="Y262" s="43" t="n"/>
      <c r="Z262" s="26">
        <f>IF(X262&lt;&gt;"执行卖出","",IFERROR(LOOKUP(2,1/(单次交易!$A$2:$A$201=B262),单次交易!$AP$2:$AP$201),""))</f>
        <v/>
      </c>
      <c r="AA262" s="43" t="n"/>
      <c r="AB262" s="31">
        <f>IF(A262&lt;&gt;"每日跟踪","",IF(OR(B262="",H262="",I262="",J262="",K262="",L262="",M262=""),"待补充每日记录",IF(W262="触发止损：应全部卖出",IF(X262&lt;&gt;"执行卖出","违规：触发止损但未执行",IF(Y262="","待补充实际卖出价","卖出记录完整")),IF(X262="","待选择卖出动作",IF(X262="执行卖出",IF(Y262="","待补充实际卖出价","卖出记录完整"),"正常")))))</f>
        <v/>
      </c>
      <c r="AC262" s="31">
        <f>IF(A262="","",IF(A262="止损计划",IF(OR(B262="",D262="",E262="",F262="",G262=""),"计划不完整",IF(OR(D262&lt;1,D262&lt;&gt;INT(D262)),"阶段序号无效",IF(COUNTIFS($A$2:$A$501,"止损计划",$B$2:$B$501,B262,$D$2:$D$501,D262)&gt;1,"阶段序号重复",IF(E262&lt;=IFERROR(LOOKUP(2,1/('单次交易'!$A$2:$A$201=B262),'单次交易'!$E$2:$E$201),0),"激活价须高于买入价",IF(F262&lt;N262,"止损价不得低于初始止损",IF(F262&gt;E262,"止损价不得高于激活价",IF(AND(COUNTIFS($A$2:$A$501,"止损计划",$B$2:$B$501,B262,$D$2:$D$501,"&lt;"&amp;D262)&gt;0,OR(E262&lt;=AGGREGATE(14,6,$E$2:$E$501/(($A$2:$A$501="止损计划")*($B$2:$B$501=B262)*($D$2:$D$501&lt;D262)),1),F262&lt;AGGREGATE(14,6,$F$2:$F$501/(($A$2:$A$501="止损计划")*($B$2:$B$501=B262)*($D$2:$D$501&lt;D262)),1))),"阶段价格必须逐级提高","计划有效"))))))),IF(A262="每日跟踪",IF(OR(B262="",H262="",I262="",J262=""),"每日数据不完整",IF(COUNTIFS($A$2:$A$501,"每日跟踪",$B$2:$B$501,B262,$H$2:$H$501,H262)&gt;1,"同一交易日期重复",IF(AND(R262&lt;&gt;"",R262&lt;S262),"人工止损无效：不能下调","跟踪有效"))),"记录类型无效")))</f>
        <v/>
      </c>
    </row>
    <row r="263">
      <c r="A263" s="28" t="n"/>
      <c r="B263" s="28" t="n"/>
      <c r="C263" s="31">
        <f>IF(B263="","",IFERROR(LOOKUP(2,1/(单次交易!$A$2:$A$201=B263),单次交易!$B$2:$B$201),""))</f>
        <v/>
      </c>
      <c r="D263" s="27" t="n"/>
      <c r="E263" s="43" t="n"/>
      <c r="F263" s="43" t="n"/>
      <c r="G263" s="28" t="n"/>
      <c r="H263" s="49" t="n"/>
      <c r="I263" s="43" t="n"/>
      <c r="J263" s="27" t="n"/>
      <c r="K263" s="28" t="n"/>
      <c r="L263" s="28" t="n"/>
      <c r="M263" s="28" t="n"/>
      <c r="N263" s="44">
        <f>IF(B263="","",IFERROR(LOOKUP(2,1/(单次交易!$A$2:$A$201=B263),单次交易!$N$2:$N$201),""))</f>
        <v/>
      </c>
      <c r="O263" s="44">
        <f>IF(A263&lt;&gt;"每日跟踪","",IF(OR(B263="",H263="",I263=""),"",IFERROR(AGGREGATE(14,6,$I$2:$I$501/(($A$2:$A$501="每日跟踪")*($B$2:$B$501=B263)*($H$2:$H$501&lt;=H263)),1),"")))</f>
        <v/>
      </c>
      <c r="P263" s="26">
        <f>IF(A263&lt;&gt;"每日跟踪","",IF(O263="","",IFERROR(AGGREGATE(14,6,$D$2:$D$501/(($A$2:$A$501="止损计划")*($B$2:$B$501=B263)*($E$2:$E$501&lt;=O263)),1),0)))</f>
        <v/>
      </c>
      <c r="Q263" s="44">
        <f>IF(A263&lt;&gt;"每日跟踪","",IF(N263="","",MAX(N263,IFERROR(AGGREGATE(14,6,$F$2:$F$501/(($A$2:$A$501="止损计划")*($B$2:$B$501=B263)*($E$2:$E$501&lt;=O263)),1),0))))</f>
        <v/>
      </c>
      <c r="R263" s="43" t="n"/>
      <c r="S263" s="44">
        <f>IF(A263&lt;&gt;"每日跟踪","",IF(Q263="","",MAX(Q263,IFERROR(AGGREGATE(14,6,$R$2:$R$501/(($A$2:$A$501="每日跟踪")*($B$2:$B$501=B263)*($H$2:$H$501&lt;=H263)),1),0))))</f>
        <v/>
      </c>
      <c r="T263" s="44">
        <f>IF(A263&lt;&gt;"每日跟踪","",IF(O263="","",IF(COUNTIFS($A$2:$A$501,"止损计划",$B$2:$B$501,B263,$E$2:$E$501,"&gt;"&amp;O263)=0,"",AGGREGATE(15,6,$E$2:$E$501/(($A$2:$A$501="止损计划")*($B$2:$B$501=B263)*($E$2:$E$501&gt;O263)),1))))</f>
        <v/>
      </c>
      <c r="U263" s="44">
        <f>IF(OR(A263&lt;&gt;"每日跟踪",T263=""),"",IFERROR(AGGREGATE(14,6,$F$2:$F$501/(($A$2:$A$501="止损计划")*($B$2:$B$501=B263)*($E$2:$E$501=T263)),1),""))</f>
        <v/>
      </c>
      <c r="V263" s="30">
        <f>IF(OR(A263&lt;&gt;"每日跟踪",T263="",I263="",I263&lt;=0),"",T263/I263-1)</f>
        <v/>
      </c>
      <c r="W263" s="31">
        <f>IF(A263&lt;&gt;"每日跟踪","",IF(OR(I263="",S263=""),"",IF(I263&lt;=S263,"触发止损：应全部卖出","继续观察")))</f>
        <v/>
      </c>
      <c r="X263" s="28" t="n"/>
      <c r="Y263" s="43" t="n"/>
      <c r="Z263" s="26">
        <f>IF(X263&lt;&gt;"执行卖出","",IFERROR(LOOKUP(2,1/(单次交易!$A$2:$A$201=B263),单次交易!$AP$2:$AP$201),""))</f>
        <v/>
      </c>
      <c r="AA263" s="43" t="n"/>
      <c r="AB263" s="31">
        <f>IF(A263&lt;&gt;"每日跟踪","",IF(OR(B263="",H263="",I263="",J263="",K263="",L263="",M263=""),"待补充每日记录",IF(W263="触发止损：应全部卖出",IF(X263&lt;&gt;"执行卖出","违规：触发止损但未执行",IF(Y263="","待补充实际卖出价","卖出记录完整")),IF(X263="","待选择卖出动作",IF(X263="执行卖出",IF(Y263="","待补充实际卖出价","卖出记录完整"),"正常")))))</f>
        <v/>
      </c>
      <c r="AC263" s="31">
        <f>IF(A263="","",IF(A263="止损计划",IF(OR(B263="",D263="",E263="",F263="",G263=""),"计划不完整",IF(OR(D263&lt;1,D263&lt;&gt;INT(D263)),"阶段序号无效",IF(COUNTIFS($A$2:$A$501,"止损计划",$B$2:$B$501,B263,$D$2:$D$501,D263)&gt;1,"阶段序号重复",IF(E263&lt;=IFERROR(LOOKUP(2,1/('单次交易'!$A$2:$A$201=B263),'单次交易'!$E$2:$E$201),0),"激活价须高于买入价",IF(F263&lt;N263,"止损价不得低于初始止损",IF(F263&gt;E263,"止损价不得高于激活价",IF(AND(COUNTIFS($A$2:$A$501,"止损计划",$B$2:$B$501,B263,$D$2:$D$501,"&lt;"&amp;D263)&gt;0,OR(E263&lt;=AGGREGATE(14,6,$E$2:$E$501/(($A$2:$A$501="止损计划")*($B$2:$B$501=B263)*($D$2:$D$501&lt;D263)),1),F263&lt;AGGREGATE(14,6,$F$2:$F$501/(($A$2:$A$501="止损计划")*($B$2:$B$501=B263)*($D$2:$D$501&lt;D263)),1))),"阶段价格必须逐级提高","计划有效"))))))),IF(A263="每日跟踪",IF(OR(B263="",H263="",I263="",J263=""),"每日数据不完整",IF(COUNTIFS($A$2:$A$501,"每日跟踪",$B$2:$B$501,B263,$H$2:$H$501,H263)&gt;1,"同一交易日期重复",IF(AND(R263&lt;&gt;"",R263&lt;S263),"人工止损无效：不能下调","跟踪有效"))),"记录类型无效")))</f>
        <v/>
      </c>
    </row>
    <row r="264">
      <c r="A264" s="28" t="n"/>
      <c r="B264" s="28" t="n"/>
      <c r="C264" s="31">
        <f>IF(B264="","",IFERROR(LOOKUP(2,1/(单次交易!$A$2:$A$201=B264),单次交易!$B$2:$B$201),""))</f>
        <v/>
      </c>
      <c r="D264" s="27" t="n"/>
      <c r="E264" s="43" t="n"/>
      <c r="F264" s="43" t="n"/>
      <c r="G264" s="28" t="n"/>
      <c r="H264" s="49" t="n"/>
      <c r="I264" s="43" t="n"/>
      <c r="J264" s="27" t="n"/>
      <c r="K264" s="28" t="n"/>
      <c r="L264" s="28" t="n"/>
      <c r="M264" s="28" t="n"/>
      <c r="N264" s="44">
        <f>IF(B264="","",IFERROR(LOOKUP(2,1/(单次交易!$A$2:$A$201=B264),单次交易!$N$2:$N$201),""))</f>
        <v/>
      </c>
      <c r="O264" s="44">
        <f>IF(A264&lt;&gt;"每日跟踪","",IF(OR(B264="",H264="",I264=""),"",IFERROR(AGGREGATE(14,6,$I$2:$I$501/(($A$2:$A$501="每日跟踪")*($B$2:$B$501=B264)*($H$2:$H$501&lt;=H264)),1),"")))</f>
        <v/>
      </c>
      <c r="P264" s="26">
        <f>IF(A264&lt;&gt;"每日跟踪","",IF(O264="","",IFERROR(AGGREGATE(14,6,$D$2:$D$501/(($A$2:$A$501="止损计划")*($B$2:$B$501=B264)*($E$2:$E$501&lt;=O264)),1),0)))</f>
        <v/>
      </c>
      <c r="Q264" s="44">
        <f>IF(A264&lt;&gt;"每日跟踪","",IF(N264="","",MAX(N264,IFERROR(AGGREGATE(14,6,$F$2:$F$501/(($A$2:$A$501="止损计划")*($B$2:$B$501=B264)*($E$2:$E$501&lt;=O264)),1),0))))</f>
        <v/>
      </c>
      <c r="R264" s="43" t="n"/>
      <c r="S264" s="44">
        <f>IF(A264&lt;&gt;"每日跟踪","",IF(Q264="","",MAX(Q264,IFERROR(AGGREGATE(14,6,$R$2:$R$501/(($A$2:$A$501="每日跟踪")*($B$2:$B$501=B264)*($H$2:$H$501&lt;=H264)),1),0))))</f>
        <v/>
      </c>
      <c r="T264" s="44">
        <f>IF(A264&lt;&gt;"每日跟踪","",IF(O264="","",IF(COUNTIFS($A$2:$A$501,"止损计划",$B$2:$B$501,B264,$E$2:$E$501,"&gt;"&amp;O264)=0,"",AGGREGATE(15,6,$E$2:$E$501/(($A$2:$A$501="止损计划")*($B$2:$B$501=B264)*($E$2:$E$501&gt;O264)),1))))</f>
        <v/>
      </c>
      <c r="U264" s="44">
        <f>IF(OR(A264&lt;&gt;"每日跟踪",T264=""),"",IFERROR(AGGREGATE(14,6,$F$2:$F$501/(($A$2:$A$501="止损计划")*($B$2:$B$501=B264)*($E$2:$E$501=T264)),1),""))</f>
        <v/>
      </c>
      <c r="V264" s="30">
        <f>IF(OR(A264&lt;&gt;"每日跟踪",T264="",I264="",I264&lt;=0),"",T264/I264-1)</f>
        <v/>
      </c>
      <c r="W264" s="31">
        <f>IF(A264&lt;&gt;"每日跟踪","",IF(OR(I264="",S264=""),"",IF(I264&lt;=S264,"触发止损：应全部卖出","继续观察")))</f>
        <v/>
      </c>
      <c r="X264" s="28" t="n"/>
      <c r="Y264" s="43" t="n"/>
      <c r="Z264" s="26">
        <f>IF(X264&lt;&gt;"执行卖出","",IFERROR(LOOKUP(2,1/(单次交易!$A$2:$A$201=B264),单次交易!$AP$2:$AP$201),""))</f>
        <v/>
      </c>
      <c r="AA264" s="43" t="n"/>
      <c r="AB264" s="31">
        <f>IF(A264&lt;&gt;"每日跟踪","",IF(OR(B264="",H264="",I264="",J264="",K264="",L264="",M264=""),"待补充每日记录",IF(W264="触发止损：应全部卖出",IF(X264&lt;&gt;"执行卖出","违规：触发止损但未执行",IF(Y264="","待补充实际卖出价","卖出记录完整")),IF(X264="","待选择卖出动作",IF(X264="执行卖出",IF(Y264="","待补充实际卖出价","卖出记录完整"),"正常")))))</f>
        <v/>
      </c>
      <c r="AC264" s="31">
        <f>IF(A264="","",IF(A264="止损计划",IF(OR(B264="",D264="",E264="",F264="",G264=""),"计划不完整",IF(OR(D264&lt;1,D264&lt;&gt;INT(D264)),"阶段序号无效",IF(COUNTIFS($A$2:$A$501,"止损计划",$B$2:$B$501,B264,$D$2:$D$501,D264)&gt;1,"阶段序号重复",IF(E264&lt;=IFERROR(LOOKUP(2,1/('单次交易'!$A$2:$A$201=B264),'单次交易'!$E$2:$E$201),0),"激活价须高于买入价",IF(F264&lt;N264,"止损价不得低于初始止损",IF(F264&gt;E264,"止损价不得高于激活价",IF(AND(COUNTIFS($A$2:$A$501,"止损计划",$B$2:$B$501,B264,$D$2:$D$501,"&lt;"&amp;D264)&gt;0,OR(E264&lt;=AGGREGATE(14,6,$E$2:$E$501/(($A$2:$A$501="止损计划")*($B$2:$B$501=B264)*($D$2:$D$501&lt;D264)),1),F264&lt;AGGREGATE(14,6,$F$2:$F$501/(($A$2:$A$501="止损计划")*($B$2:$B$501=B264)*($D$2:$D$501&lt;D264)),1))),"阶段价格必须逐级提高","计划有效"))))))),IF(A264="每日跟踪",IF(OR(B264="",H264="",I264="",J264=""),"每日数据不完整",IF(COUNTIFS($A$2:$A$501,"每日跟踪",$B$2:$B$501,B264,$H$2:$H$501,H264)&gt;1,"同一交易日期重复",IF(AND(R264&lt;&gt;"",R264&lt;S264),"人工止损无效：不能下调","跟踪有效"))),"记录类型无效")))</f>
        <v/>
      </c>
    </row>
    <row r="265">
      <c r="A265" s="28" t="n"/>
      <c r="B265" s="28" t="n"/>
      <c r="C265" s="31">
        <f>IF(B265="","",IFERROR(LOOKUP(2,1/(单次交易!$A$2:$A$201=B265),单次交易!$B$2:$B$201),""))</f>
        <v/>
      </c>
      <c r="D265" s="27" t="n"/>
      <c r="E265" s="43" t="n"/>
      <c r="F265" s="43" t="n"/>
      <c r="G265" s="28" t="n"/>
      <c r="H265" s="49" t="n"/>
      <c r="I265" s="43" t="n"/>
      <c r="J265" s="27" t="n"/>
      <c r="K265" s="28" t="n"/>
      <c r="L265" s="28" t="n"/>
      <c r="M265" s="28" t="n"/>
      <c r="N265" s="44">
        <f>IF(B265="","",IFERROR(LOOKUP(2,1/(单次交易!$A$2:$A$201=B265),单次交易!$N$2:$N$201),""))</f>
        <v/>
      </c>
      <c r="O265" s="44">
        <f>IF(A265&lt;&gt;"每日跟踪","",IF(OR(B265="",H265="",I265=""),"",IFERROR(AGGREGATE(14,6,$I$2:$I$501/(($A$2:$A$501="每日跟踪")*($B$2:$B$501=B265)*($H$2:$H$501&lt;=H265)),1),"")))</f>
        <v/>
      </c>
      <c r="P265" s="26">
        <f>IF(A265&lt;&gt;"每日跟踪","",IF(O265="","",IFERROR(AGGREGATE(14,6,$D$2:$D$501/(($A$2:$A$501="止损计划")*($B$2:$B$501=B265)*($E$2:$E$501&lt;=O265)),1),0)))</f>
        <v/>
      </c>
      <c r="Q265" s="44">
        <f>IF(A265&lt;&gt;"每日跟踪","",IF(N265="","",MAX(N265,IFERROR(AGGREGATE(14,6,$F$2:$F$501/(($A$2:$A$501="止损计划")*($B$2:$B$501=B265)*($E$2:$E$501&lt;=O265)),1),0))))</f>
        <v/>
      </c>
      <c r="R265" s="43" t="n"/>
      <c r="S265" s="44">
        <f>IF(A265&lt;&gt;"每日跟踪","",IF(Q265="","",MAX(Q265,IFERROR(AGGREGATE(14,6,$R$2:$R$501/(($A$2:$A$501="每日跟踪")*($B$2:$B$501=B265)*($H$2:$H$501&lt;=H265)),1),0))))</f>
        <v/>
      </c>
      <c r="T265" s="44">
        <f>IF(A265&lt;&gt;"每日跟踪","",IF(O265="","",IF(COUNTIFS($A$2:$A$501,"止损计划",$B$2:$B$501,B265,$E$2:$E$501,"&gt;"&amp;O265)=0,"",AGGREGATE(15,6,$E$2:$E$501/(($A$2:$A$501="止损计划")*($B$2:$B$501=B265)*($E$2:$E$501&gt;O265)),1))))</f>
        <v/>
      </c>
      <c r="U265" s="44">
        <f>IF(OR(A265&lt;&gt;"每日跟踪",T265=""),"",IFERROR(AGGREGATE(14,6,$F$2:$F$501/(($A$2:$A$501="止损计划")*($B$2:$B$501=B265)*($E$2:$E$501=T265)),1),""))</f>
        <v/>
      </c>
      <c r="V265" s="30">
        <f>IF(OR(A265&lt;&gt;"每日跟踪",T265="",I265="",I265&lt;=0),"",T265/I265-1)</f>
        <v/>
      </c>
      <c r="W265" s="31">
        <f>IF(A265&lt;&gt;"每日跟踪","",IF(OR(I265="",S265=""),"",IF(I265&lt;=S265,"触发止损：应全部卖出","继续观察")))</f>
        <v/>
      </c>
      <c r="X265" s="28" t="n"/>
      <c r="Y265" s="43" t="n"/>
      <c r="Z265" s="26">
        <f>IF(X265&lt;&gt;"执行卖出","",IFERROR(LOOKUP(2,1/(单次交易!$A$2:$A$201=B265),单次交易!$AP$2:$AP$201),""))</f>
        <v/>
      </c>
      <c r="AA265" s="43" t="n"/>
      <c r="AB265" s="31">
        <f>IF(A265&lt;&gt;"每日跟踪","",IF(OR(B265="",H265="",I265="",J265="",K265="",L265="",M265=""),"待补充每日记录",IF(W265="触发止损：应全部卖出",IF(X265&lt;&gt;"执行卖出","违规：触发止损但未执行",IF(Y265="","待补充实际卖出价","卖出记录完整")),IF(X265="","待选择卖出动作",IF(X265="执行卖出",IF(Y265="","待补充实际卖出价","卖出记录完整"),"正常")))))</f>
        <v/>
      </c>
      <c r="AC265" s="31">
        <f>IF(A265="","",IF(A265="止损计划",IF(OR(B265="",D265="",E265="",F265="",G265=""),"计划不完整",IF(OR(D265&lt;1,D265&lt;&gt;INT(D265)),"阶段序号无效",IF(COUNTIFS($A$2:$A$501,"止损计划",$B$2:$B$501,B265,$D$2:$D$501,D265)&gt;1,"阶段序号重复",IF(E265&lt;=IFERROR(LOOKUP(2,1/('单次交易'!$A$2:$A$201=B265),'单次交易'!$E$2:$E$201),0),"激活价须高于买入价",IF(F265&lt;N265,"止损价不得低于初始止损",IF(F265&gt;E265,"止损价不得高于激活价",IF(AND(COUNTIFS($A$2:$A$501,"止损计划",$B$2:$B$501,B265,$D$2:$D$501,"&lt;"&amp;D265)&gt;0,OR(E265&lt;=AGGREGATE(14,6,$E$2:$E$501/(($A$2:$A$501="止损计划")*($B$2:$B$501=B265)*($D$2:$D$501&lt;D265)),1),F265&lt;AGGREGATE(14,6,$F$2:$F$501/(($A$2:$A$501="止损计划")*($B$2:$B$501=B265)*($D$2:$D$501&lt;D265)),1))),"阶段价格必须逐级提高","计划有效"))))))),IF(A265="每日跟踪",IF(OR(B265="",H265="",I265="",J265=""),"每日数据不完整",IF(COUNTIFS($A$2:$A$501,"每日跟踪",$B$2:$B$501,B265,$H$2:$H$501,H265)&gt;1,"同一交易日期重复",IF(AND(R265&lt;&gt;"",R265&lt;S265),"人工止损无效：不能下调","跟踪有效"))),"记录类型无效")))</f>
        <v/>
      </c>
    </row>
    <row r="266">
      <c r="A266" s="28" t="n"/>
      <c r="B266" s="28" t="n"/>
      <c r="C266" s="31">
        <f>IF(B266="","",IFERROR(LOOKUP(2,1/(单次交易!$A$2:$A$201=B266),单次交易!$B$2:$B$201),""))</f>
        <v/>
      </c>
      <c r="D266" s="27" t="n"/>
      <c r="E266" s="43" t="n"/>
      <c r="F266" s="43" t="n"/>
      <c r="G266" s="28" t="n"/>
      <c r="H266" s="49" t="n"/>
      <c r="I266" s="43" t="n"/>
      <c r="J266" s="27" t="n"/>
      <c r="K266" s="28" t="n"/>
      <c r="L266" s="28" t="n"/>
      <c r="M266" s="28" t="n"/>
      <c r="N266" s="44">
        <f>IF(B266="","",IFERROR(LOOKUP(2,1/(单次交易!$A$2:$A$201=B266),单次交易!$N$2:$N$201),""))</f>
        <v/>
      </c>
      <c r="O266" s="44">
        <f>IF(A266&lt;&gt;"每日跟踪","",IF(OR(B266="",H266="",I266=""),"",IFERROR(AGGREGATE(14,6,$I$2:$I$501/(($A$2:$A$501="每日跟踪")*($B$2:$B$501=B266)*($H$2:$H$501&lt;=H266)),1),"")))</f>
        <v/>
      </c>
      <c r="P266" s="26">
        <f>IF(A266&lt;&gt;"每日跟踪","",IF(O266="","",IFERROR(AGGREGATE(14,6,$D$2:$D$501/(($A$2:$A$501="止损计划")*($B$2:$B$501=B266)*($E$2:$E$501&lt;=O266)),1),0)))</f>
        <v/>
      </c>
      <c r="Q266" s="44">
        <f>IF(A266&lt;&gt;"每日跟踪","",IF(N266="","",MAX(N266,IFERROR(AGGREGATE(14,6,$F$2:$F$501/(($A$2:$A$501="止损计划")*($B$2:$B$501=B266)*($E$2:$E$501&lt;=O266)),1),0))))</f>
        <v/>
      </c>
      <c r="R266" s="43" t="n"/>
      <c r="S266" s="44">
        <f>IF(A266&lt;&gt;"每日跟踪","",IF(Q266="","",MAX(Q266,IFERROR(AGGREGATE(14,6,$R$2:$R$501/(($A$2:$A$501="每日跟踪")*($B$2:$B$501=B266)*($H$2:$H$501&lt;=H266)),1),0))))</f>
        <v/>
      </c>
      <c r="T266" s="44">
        <f>IF(A266&lt;&gt;"每日跟踪","",IF(O266="","",IF(COUNTIFS($A$2:$A$501,"止损计划",$B$2:$B$501,B266,$E$2:$E$501,"&gt;"&amp;O266)=0,"",AGGREGATE(15,6,$E$2:$E$501/(($A$2:$A$501="止损计划")*($B$2:$B$501=B266)*($E$2:$E$501&gt;O266)),1))))</f>
        <v/>
      </c>
      <c r="U266" s="44">
        <f>IF(OR(A266&lt;&gt;"每日跟踪",T266=""),"",IFERROR(AGGREGATE(14,6,$F$2:$F$501/(($A$2:$A$501="止损计划")*($B$2:$B$501=B266)*($E$2:$E$501=T266)),1),""))</f>
        <v/>
      </c>
      <c r="V266" s="30">
        <f>IF(OR(A266&lt;&gt;"每日跟踪",T266="",I266="",I266&lt;=0),"",T266/I266-1)</f>
        <v/>
      </c>
      <c r="W266" s="31">
        <f>IF(A266&lt;&gt;"每日跟踪","",IF(OR(I266="",S266=""),"",IF(I266&lt;=S266,"触发止损：应全部卖出","继续观察")))</f>
        <v/>
      </c>
      <c r="X266" s="28" t="n"/>
      <c r="Y266" s="43" t="n"/>
      <c r="Z266" s="26">
        <f>IF(X266&lt;&gt;"执行卖出","",IFERROR(LOOKUP(2,1/(单次交易!$A$2:$A$201=B266),单次交易!$AP$2:$AP$201),""))</f>
        <v/>
      </c>
      <c r="AA266" s="43" t="n"/>
      <c r="AB266" s="31">
        <f>IF(A266&lt;&gt;"每日跟踪","",IF(OR(B266="",H266="",I266="",J266="",K266="",L266="",M266=""),"待补充每日记录",IF(W266="触发止损：应全部卖出",IF(X266&lt;&gt;"执行卖出","违规：触发止损但未执行",IF(Y266="","待补充实际卖出价","卖出记录完整")),IF(X266="","待选择卖出动作",IF(X266="执行卖出",IF(Y266="","待补充实际卖出价","卖出记录完整"),"正常")))))</f>
        <v/>
      </c>
      <c r="AC266" s="31">
        <f>IF(A266="","",IF(A266="止损计划",IF(OR(B266="",D266="",E266="",F266="",G266=""),"计划不完整",IF(OR(D266&lt;1,D266&lt;&gt;INT(D266)),"阶段序号无效",IF(COUNTIFS($A$2:$A$501,"止损计划",$B$2:$B$501,B266,$D$2:$D$501,D266)&gt;1,"阶段序号重复",IF(E266&lt;=IFERROR(LOOKUP(2,1/('单次交易'!$A$2:$A$201=B266),'单次交易'!$E$2:$E$201),0),"激活价须高于买入价",IF(F266&lt;N266,"止损价不得低于初始止损",IF(F266&gt;E266,"止损价不得高于激活价",IF(AND(COUNTIFS($A$2:$A$501,"止损计划",$B$2:$B$501,B266,$D$2:$D$501,"&lt;"&amp;D266)&gt;0,OR(E266&lt;=AGGREGATE(14,6,$E$2:$E$501/(($A$2:$A$501="止损计划")*($B$2:$B$501=B266)*($D$2:$D$501&lt;D266)),1),F266&lt;AGGREGATE(14,6,$F$2:$F$501/(($A$2:$A$501="止损计划")*($B$2:$B$501=B266)*($D$2:$D$501&lt;D266)),1))),"阶段价格必须逐级提高","计划有效"))))))),IF(A266="每日跟踪",IF(OR(B266="",H266="",I266="",J266=""),"每日数据不完整",IF(COUNTIFS($A$2:$A$501,"每日跟踪",$B$2:$B$501,B266,$H$2:$H$501,H266)&gt;1,"同一交易日期重复",IF(AND(R266&lt;&gt;"",R266&lt;S266),"人工止损无效：不能下调","跟踪有效"))),"记录类型无效")))</f>
        <v/>
      </c>
    </row>
    <row r="267">
      <c r="A267" s="28" t="n"/>
      <c r="B267" s="28" t="n"/>
      <c r="C267" s="31">
        <f>IF(B267="","",IFERROR(LOOKUP(2,1/(单次交易!$A$2:$A$201=B267),单次交易!$B$2:$B$201),""))</f>
        <v/>
      </c>
      <c r="D267" s="27" t="n"/>
      <c r="E267" s="43" t="n"/>
      <c r="F267" s="43" t="n"/>
      <c r="G267" s="28" t="n"/>
      <c r="H267" s="49" t="n"/>
      <c r="I267" s="43" t="n"/>
      <c r="J267" s="27" t="n"/>
      <c r="K267" s="28" t="n"/>
      <c r="L267" s="28" t="n"/>
      <c r="M267" s="28" t="n"/>
      <c r="N267" s="44">
        <f>IF(B267="","",IFERROR(LOOKUP(2,1/(单次交易!$A$2:$A$201=B267),单次交易!$N$2:$N$201),""))</f>
        <v/>
      </c>
      <c r="O267" s="44">
        <f>IF(A267&lt;&gt;"每日跟踪","",IF(OR(B267="",H267="",I267=""),"",IFERROR(AGGREGATE(14,6,$I$2:$I$501/(($A$2:$A$501="每日跟踪")*($B$2:$B$501=B267)*($H$2:$H$501&lt;=H267)),1),"")))</f>
        <v/>
      </c>
      <c r="P267" s="26">
        <f>IF(A267&lt;&gt;"每日跟踪","",IF(O267="","",IFERROR(AGGREGATE(14,6,$D$2:$D$501/(($A$2:$A$501="止损计划")*($B$2:$B$501=B267)*($E$2:$E$501&lt;=O267)),1),0)))</f>
        <v/>
      </c>
      <c r="Q267" s="44">
        <f>IF(A267&lt;&gt;"每日跟踪","",IF(N267="","",MAX(N267,IFERROR(AGGREGATE(14,6,$F$2:$F$501/(($A$2:$A$501="止损计划")*($B$2:$B$501=B267)*($E$2:$E$501&lt;=O267)),1),0))))</f>
        <v/>
      </c>
      <c r="R267" s="43" t="n"/>
      <c r="S267" s="44">
        <f>IF(A267&lt;&gt;"每日跟踪","",IF(Q267="","",MAX(Q267,IFERROR(AGGREGATE(14,6,$R$2:$R$501/(($A$2:$A$501="每日跟踪")*($B$2:$B$501=B267)*($H$2:$H$501&lt;=H267)),1),0))))</f>
        <v/>
      </c>
      <c r="T267" s="44">
        <f>IF(A267&lt;&gt;"每日跟踪","",IF(O267="","",IF(COUNTIFS($A$2:$A$501,"止损计划",$B$2:$B$501,B267,$E$2:$E$501,"&gt;"&amp;O267)=0,"",AGGREGATE(15,6,$E$2:$E$501/(($A$2:$A$501="止损计划")*($B$2:$B$501=B267)*($E$2:$E$501&gt;O267)),1))))</f>
        <v/>
      </c>
      <c r="U267" s="44">
        <f>IF(OR(A267&lt;&gt;"每日跟踪",T267=""),"",IFERROR(AGGREGATE(14,6,$F$2:$F$501/(($A$2:$A$501="止损计划")*($B$2:$B$501=B267)*($E$2:$E$501=T267)),1),""))</f>
        <v/>
      </c>
      <c r="V267" s="30">
        <f>IF(OR(A267&lt;&gt;"每日跟踪",T267="",I267="",I267&lt;=0),"",T267/I267-1)</f>
        <v/>
      </c>
      <c r="W267" s="31">
        <f>IF(A267&lt;&gt;"每日跟踪","",IF(OR(I267="",S267=""),"",IF(I267&lt;=S267,"触发止损：应全部卖出","继续观察")))</f>
        <v/>
      </c>
      <c r="X267" s="28" t="n"/>
      <c r="Y267" s="43" t="n"/>
      <c r="Z267" s="26">
        <f>IF(X267&lt;&gt;"执行卖出","",IFERROR(LOOKUP(2,1/(单次交易!$A$2:$A$201=B267),单次交易!$AP$2:$AP$201),""))</f>
        <v/>
      </c>
      <c r="AA267" s="43" t="n"/>
      <c r="AB267" s="31">
        <f>IF(A267&lt;&gt;"每日跟踪","",IF(OR(B267="",H267="",I267="",J267="",K267="",L267="",M267=""),"待补充每日记录",IF(W267="触发止损：应全部卖出",IF(X267&lt;&gt;"执行卖出","违规：触发止损但未执行",IF(Y267="","待补充实际卖出价","卖出记录完整")),IF(X267="","待选择卖出动作",IF(X267="执行卖出",IF(Y267="","待补充实际卖出价","卖出记录完整"),"正常")))))</f>
        <v/>
      </c>
      <c r="AC267" s="31">
        <f>IF(A267="","",IF(A267="止损计划",IF(OR(B267="",D267="",E267="",F267="",G267=""),"计划不完整",IF(OR(D267&lt;1,D267&lt;&gt;INT(D267)),"阶段序号无效",IF(COUNTIFS($A$2:$A$501,"止损计划",$B$2:$B$501,B267,$D$2:$D$501,D267)&gt;1,"阶段序号重复",IF(E267&lt;=IFERROR(LOOKUP(2,1/('单次交易'!$A$2:$A$201=B267),'单次交易'!$E$2:$E$201),0),"激活价须高于买入价",IF(F267&lt;N267,"止损价不得低于初始止损",IF(F267&gt;E267,"止损价不得高于激活价",IF(AND(COUNTIFS($A$2:$A$501,"止损计划",$B$2:$B$501,B267,$D$2:$D$501,"&lt;"&amp;D267)&gt;0,OR(E267&lt;=AGGREGATE(14,6,$E$2:$E$501/(($A$2:$A$501="止损计划")*($B$2:$B$501=B267)*($D$2:$D$501&lt;D267)),1),F267&lt;AGGREGATE(14,6,$F$2:$F$501/(($A$2:$A$501="止损计划")*($B$2:$B$501=B267)*($D$2:$D$501&lt;D267)),1))),"阶段价格必须逐级提高","计划有效"))))))),IF(A267="每日跟踪",IF(OR(B267="",H267="",I267="",J267=""),"每日数据不完整",IF(COUNTIFS($A$2:$A$501,"每日跟踪",$B$2:$B$501,B267,$H$2:$H$501,H267)&gt;1,"同一交易日期重复",IF(AND(R267&lt;&gt;"",R267&lt;S267),"人工止损无效：不能下调","跟踪有效"))),"记录类型无效")))</f>
        <v/>
      </c>
    </row>
    <row r="268">
      <c r="A268" s="28" t="n"/>
      <c r="B268" s="28" t="n"/>
      <c r="C268" s="31">
        <f>IF(B268="","",IFERROR(LOOKUP(2,1/(单次交易!$A$2:$A$201=B268),单次交易!$B$2:$B$201),""))</f>
        <v/>
      </c>
      <c r="D268" s="27" t="n"/>
      <c r="E268" s="43" t="n"/>
      <c r="F268" s="43" t="n"/>
      <c r="G268" s="28" t="n"/>
      <c r="H268" s="49" t="n"/>
      <c r="I268" s="43" t="n"/>
      <c r="J268" s="27" t="n"/>
      <c r="K268" s="28" t="n"/>
      <c r="L268" s="28" t="n"/>
      <c r="M268" s="28" t="n"/>
      <c r="N268" s="44">
        <f>IF(B268="","",IFERROR(LOOKUP(2,1/(单次交易!$A$2:$A$201=B268),单次交易!$N$2:$N$201),""))</f>
        <v/>
      </c>
      <c r="O268" s="44">
        <f>IF(A268&lt;&gt;"每日跟踪","",IF(OR(B268="",H268="",I268=""),"",IFERROR(AGGREGATE(14,6,$I$2:$I$501/(($A$2:$A$501="每日跟踪")*($B$2:$B$501=B268)*($H$2:$H$501&lt;=H268)),1),"")))</f>
        <v/>
      </c>
      <c r="P268" s="26">
        <f>IF(A268&lt;&gt;"每日跟踪","",IF(O268="","",IFERROR(AGGREGATE(14,6,$D$2:$D$501/(($A$2:$A$501="止损计划")*($B$2:$B$501=B268)*($E$2:$E$501&lt;=O268)),1),0)))</f>
        <v/>
      </c>
      <c r="Q268" s="44">
        <f>IF(A268&lt;&gt;"每日跟踪","",IF(N268="","",MAX(N268,IFERROR(AGGREGATE(14,6,$F$2:$F$501/(($A$2:$A$501="止损计划")*($B$2:$B$501=B268)*($E$2:$E$501&lt;=O268)),1),0))))</f>
        <v/>
      </c>
      <c r="R268" s="43" t="n"/>
      <c r="S268" s="44">
        <f>IF(A268&lt;&gt;"每日跟踪","",IF(Q268="","",MAX(Q268,IFERROR(AGGREGATE(14,6,$R$2:$R$501/(($A$2:$A$501="每日跟踪")*($B$2:$B$501=B268)*($H$2:$H$501&lt;=H268)),1),0))))</f>
        <v/>
      </c>
      <c r="T268" s="44">
        <f>IF(A268&lt;&gt;"每日跟踪","",IF(O268="","",IF(COUNTIFS($A$2:$A$501,"止损计划",$B$2:$B$501,B268,$E$2:$E$501,"&gt;"&amp;O268)=0,"",AGGREGATE(15,6,$E$2:$E$501/(($A$2:$A$501="止损计划")*($B$2:$B$501=B268)*($E$2:$E$501&gt;O268)),1))))</f>
        <v/>
      </c>
      <c r="U268" s="44">
        <f>IF(OR(A268&lt;&gt;"每日跟踪",T268=""),"",IFERROR(AGGREGATE(14,6,$F$2:$F$501/(($A$2:$A$501="止损计划")*($B$2:$B$501=B268)*($E$2:$E$501=T268)),1),""))</f>
        <v/>
      </c>
      <c r="V268" s="30">
        <f>IF(OR(A268&lt;&gt;"每日跟踪",T268="",I268="",I268&lt;=0),"",T268/I268-1)</f>
        <v/>
      </c>
      <c r="W268" s="31">
        <f>IF(A268&lt;&gt;"每日跟踪","",IF(OR(I268="",S268=""),"",IF(I268&lt;=S268,"触发止损：应全部卖出","继续观察")))</f>
        <v/>
      </c>
      <c r="X268" s="28" t="n"/>
      <c r="Y268" s="43" t="n"/>
      <c r="Z268" s="26">
        <f>IF(X268&lt;&gt;"执行卖出","",IFERROR(LOOKUP(2,1/(单次交易!$A$2:$A$201=B268),单次交易!$AP$2:$AP$201),""))</f>
        <v/>
      </c>
      <c r="AA268" s="43" t="n"/>
      <c r="AB268" s="31">
        <f>IF(A268&lt;&gt;"每日跟踪","",IF(OR(B268="",H268="",I268="",J268="",K268="",L268="",M268=""),"待补充每日记录",IF(W268="触发止损：应全部卖出",IF(X268&lt;&gt;"执行卖出","违规：触发止损但未执行",IF(Y268="","待补充实际卖出价","卖出记录完整")),IF(X268="","待选择卖出动作",IF(X268="执行卖出",IF(Y268="","待补充实际卖出价","卖出记录完整"),"正常")))))</f>
        <v/>
      </c>
      <c r="AC268" s="31">
        <f>IF(A268="","",IF(A268="止损计划",IF(OR(B268="",D268="",E268="",F268="",G268=""),"计划不完整",IF(OR(D268&lt;1,D268&lt;&gt;INT(D268)),"阶段序号无效",IF(COUNTIFS($A$2:$A$501,"止损计划",$B$2:$B$501,B268,$D$2:$D$501,D268)&gt;1,"阶段序号重复",IF(E268&lt;=IFERROR(LOOKUP(2,1/('单次交易'!$A$2:$A$201=B268),'单次交易'!$E$2:$E$201),0),"激活价须高于买入价",IF(F268&lt;N268,"止损价不得低于初始止损",IF(F268&gt;E268,"止损价不得高于激活价",IF(AND(COUNTIFS($A$2:$A$501,"止损计划",$B$2:$B$501,B268,$D$2:$D$501,"&lt;"&amp;D268)&gt;0,OR(E268&lt;=AGGREGATE(14,6,$E$2:$E$501/(($A$2:$A$501="止损计划")*($B$2:$B$501=B268)*($D$2:$D$501&lt;D268)),1),F268&lt;AGGREGATE(14,6,$F$2:$F$501/(($A$2:$A$501="止损计划")*($B$2:$B$501=B268)*($D$2:$D$501&lt;D268)),1))),"阶段价格必须逐级提高","计划有效"))))))),IF(A268="每日跟踪",IF(OR(B268="",H268="",I268="",J268=""),"每日数据不完整",IF(COUNTIFS($A$2:$A$501,"每日跟踪",$B$2:$B$501,B268,$H$2:$H$501,H268)&gt;1,"同一交易日期重复",IF(AND(R268&lt;&gt;"",R268&lt;S268),"人工止损无效：不能下调","跟踪有效"))),"记录类型无效")))</f>
        <v/>
      </c>
    </row>
    <row r="269">
      <c r="A269" s="28" t="n"/>
      <c r="B269" s="28" t="n"/>
      <c r="C269" s="31">
        <f>IF(B269="","",IFERROR(LOOKUP(2,1/(单次交易!$A$2:$A$201=B269),单次交易!$B$2:$B$201),""))</f>
        <v/>
      </c>
      <c r="D269" s="27" t="n"/>
      <c r="E269" s="43" t="n"/>
      <c r="F269" s="43" t="n"/>
      <c r="G269" s="28" t="n"/>
      <c r="H269" s="49" t="n"/>
      <c r="I269" s="43" t="n"/>
      <c r="J269" s="27" t="n"/>
      <c r="K269" s="28" t="n"/>
      <c r="L269" s="28" t="n"/>
      <c r="M269" s="28" t="n"/>
      <c r="N269" s="44">
        <f>IF(B269="","",IFERROR(LOOKUP(2,1/(单次交易!$A$2:$A$201=B269),单次交易!$N$2:$N$201),""))</f>
        <v/>
      </c>
      <c r="O269" s="44">
        <f>IF(A269&lt;&gt;"每日跟踪","",IF(OR(B269="",H269="",I269=""),"",IFERROR(AGGREGATE(14,6,$I$2:$I$501/(($A$2:$A$501="每日跟踪")*($B$2:$B$501=B269)*($H$2:$H$501&lt;=H269)),1),"")))</f>
        <v/>
      </c>
      <c r="P269" s="26">
        <f>IF(A269&lt;&gt;"每日跟踪","",IF(O269="","",IFERROR(AGGREGATE(14,6,$D$2:$D$501/(($A$2:$A$501="止损计划")*($B$2:$B$501=B269)*($E$2:$E$501&lt;=O269)),1),0)))</f>
        <v/>
      </c>
      <c r="Q269" s="44">
        <f>IF(A269&lt;&gt;"每日跟踪","",IF(N269="","",MAX(N269,IFERROR(AGGREGATE(14,6,$F$2:$F$501/(($A$2:$A$501="止损计划")*($B$2:$B$501=B269)*($E$2:$E$501&lt;=O269)),1),0))))</f>
        <v/>
      </c>
      <c r="R269" s="43" t="n"/>
      <c r="S269" s="44">
        <f>IF(A269&lt;&gt;"每日跟踪","",IF(Q269="","",MAX(Q269,IFERROR(AGGREGATE(14,6,$R$2:$R$501/(($A$2:$A$501="每日跟踪")*($B$2:$B$501=B269)*($H$2:$H$501&lt;=H269)),1),0))))</f>
        <v/>
      </c>
      <c r="T269" s="44">
        <f>IF(A269&lt;&gt;"每日跟踪","",IF(O269="","",IF(COUNTIFS($A$2:$A$501,"止损计划",$B$2:$B$501,B269,$E$2:$E$501,"&gt;"&amp;O269)=0,"",AGGREGATE(15,6,$E$2:$E$501/(($A$2:$A$501="止损计划")*($B$2:$B$501=B269)*($E$2:$E$501&gt;O269)),1))))</f>
        <v/>
      </c>
      <c r="U269" s="44">
        <f>IF(OR(A269&lt;&gt;"每日跟踪",T269=""),"",IFERROR(AGGREGATE(14,6,$F$2:$F$501/(($A$2:$A$501="止损计划")*($B$2:$B$501=B269)*($E$2:$E$501=T269)),1),""))</f>
        <v/>
      </c>
      <c r="V269" s="30">
        <f>IF(OR(A269&lt;&gt;"每日跟踪",T269="",I269="",I269&lt;=0),"",T269/I269-1)</f>
        <v/>
      </c>
      <c r="W269" s="31">
        <f>IF(A269&lt;&gt;"每日跟踪","",IF(OR(I269="",S269=""),"",IF(I269&lt;=S269,"触发止损：应全部卖出","继续观察")))</f>
        <v/>
      </c>
      <c r="X269" s="28" t="n"/>
      <c r="Y269" s="43" t="n"/>
      <c r="Z269" s="26">
        <f>IF(X269&lt;&gt;"执行卖出","",IFERROR(LOOKUP(2,1/(单次交易!$A$2:$A$201=B269),单次交易!$AP$2:$AP$201),""))</f>
        <v/>
      </c>
      <c r="AA269" s="43" t="n"/>
      <c r="AB269" s="31">
        <f>IF(A269&lt;&gt;"每日跟踪","",IF(OR(B269="",H269="",I269="",J269="",K269="",L269="",M269=""),"待补充每日记录",IF(W269="触发止损：应全部卖出",IF(X269&lt;&gt;"执行卖出","违规：触发止损但未执行",IF(Y269="","待补充实际卖出价","卖出记录完整")),IF(X269="","待选择卖出动作",IF(X269="执行卖出",IF(Y269="","待补充实际卖出价","卖出记录完整"),"正常")))))</f>
        <v/>
      </c>
      <c r="AC269" s="31">
        <f>IF(A269="","",IF(A269="止损计划",IF(OR(B269="",D269="",E269="",F269="",G269=""),"计划不完整",IF(OR(D269&lt;1,D269&lt;&gt;INT(D269)),"阶段序号无效",IF(COUNTIFS($A$2:$A$501,"止损计划",$B$2:$B$501,B269,$D$2:$D$501,D269)&gt;1,"阶段序号重复",IF(E269&lt;=IFERROR(LOOKUP(2,1/('单次交易'!$A$2:$A$201=B269),'单次交易'!$E$2:$E$201),0),"激活价须高于买入价",IF(F269&lt;N269,"止损价不得低于初始止损",IF(F269&gt;E269,"止损价不得高于激活价",IF(AND(COUNTIFS($A$2:$A$501,"止损计划",$B$2:$B$501,B269,$D$2:$D$501,"&lt;"&amp;D269)&gt;0,OR(E269&lt;=AGGREGATE(14,6,$E$2:$E$501/(($A$2:$A$501="止损计划")*($B$2:$B$501=B269)*($D$2:$D$501&lt;D269)),1),F269&lt;AGGREGATE(14,6,$F$2:$F$501/(($A$2:$A$501="止损计划")*($B$2:$B$501=B269)*($D$2:$D$501&lt;D269)),1))),"阶段价格必须逐级提高","计划有效"))))))),IF(A269="每日跟踪",IF(OR(B269="",H269="",I269="",J269=""),"每日数据不完整",IF(COUNTIFS($A$2:$A$501,"每日跟踪",$B$2:$B$501,B269,$H$2:$H$501,H269)&gt;1,"同一交易日期重复",IF(AND(R269&lt;&gt;"",R269&lt;S269),"人工止损无效：不能下调","跟踪有效"))),"记录类型无效")))</f>
        <v/>
      </c>
    </row>
    <row r="270">
      <c r="A270" s="28" t="n"/>
      <c r="B270" s="28" t="n"/>
      <c r="C270" s="31">
        <f>IF(B270="","",IFERROR(LOOKUP(2,1/(单次交易!$A$2:$A$201=B270),单次交易!$B$2:$B$201),""))</f>
        <v/>
      </c>
      <c r="D270" s="27" t="n"/>
      <c r="E270" s="43" t="n"/>
      <c r="F270" s="43" t="n"/>
      <c r="G270" s="28" t="n"/>
      <c r="H270" s="49" t="n"/>
      <c r="I270" s="43" t="n"/>
      <c r="J270" s="27" t="n"/>
      <c r="K270" s="28" t="n"/>
      <c r="L270" s="28" t="n"/>
      <c r="M270" s="28" t="n"/>
      <c r="N270" s="44">
        <f>IF(B270="","",IFERROR(LOOKUP(2,1/(单次交易!$A$2:$A$201=B270),单次交易!$N$2:$N$201),""))</f>
        <v/>
      </c>
      <c r="O270" s="44">
        <f>IF(A270&lt;&gt;"每日跟踪","",IF(OR(B270="",H270="",I270=""),"",IFERROR(AGGREGATE(14,6,$I$2:$I$501/(($A$2:$A$501="每日跟踪")*($B$2:$B$501=B270)*($H$2:$H$501&lt;=H270)),1),"")))</f>
        <v/>
      </c>
      <c r="P270" s="26">
        <f>IF(A270&lt;&gt;"每日跟踪","",IF(O270="","",IFERROR(AGGREGATE(14,6,$D$2:$D$501/(($A$2:$A$501="止损计划")*($B$2:$B$501=B270)*($E$2:$E$501&lt;=O270)),1),0)))</f>
        <v/>
      </c>
      <c r="Q270" s="44">
        <f>IF(A270&lt;&gt;"每日跟踪","",IF(N270="","",MAX(N270,IFERROR(AGGREGATE(14,6,$F$2:$F$501/(($A$2:$A$501="止损计划")*($B$2:$B$501=B270)*($E$2:$E$501&lt;=O270)),1),0))))</f>
        <v/>
      </c>
      <c r="R270" s="43" t="n"/>
      <c r="S270" s="44">
        <f>IF(A270&lt;&gt;"每日跟踪","",IF(Q270="","",MAX(Q270,IFERROR(AGGREGATE(14,6,$R$2:$R$501/(($A$2:$A$501="每日跟踪")*($B$2:$B$501=B270)*($H$2:$H$501&lt;=H270)),1),0))))</f>
        <v/>
      </c>
      <c r="T270" s="44">
        <f>IF(A270&lt;&gt;"每日跟踪","",IF(O270="","",IF(COUNTIFS($A$2:$A$501,"止损计划",$B$2:$B$501,B270,$E$2:$E$501,"&gt;"&amp;O270)=0,"",AGGREGATE(15,6,$E$2:$E$501/(($A$2:$A$501="止损计划")*($B$2:$B$501=B270)*($E$2:$E$501&gt;O270)),1))))</f>
        <v/>
      </c>
      <c r="U270" s="44">
        <f>IF(OR(A270&lt;&gt;"每日跟踪",T270=""),"",IFERROR(AGGREGATE(14,6,$F$2:$F$501/(($A$2:$A$501="止损计划")*($B$2:$B$501=B270)*($E$2:$E$501=T270)),1),""))</f>
        <v/>
      </c>
      <c r="V270" s="30">
        <f>IF(OR(A270&lt;&gt;"每日跟踪",T270="",I270="",I270&lt;=0),"",T270/I270-1)</f>
        <v/>
      </c>
      <c r="W270" s="31">
        <f>IF(A270&lt;&gt;"每日跟踪","",IF(OR(I270="",S270=""),"",IF(I270&lt;=S270,"触发止损：应全部卖出","继续观察")))</f>
        <v/>
      </c>
      <c r="X270" s="28" t="n"/>
      <c r="Y270" s="43" t="n"/>
      <c r="Z270" s="26">
        <f>IF(X270&lt;&gt;"执行卖出","",IFERROR(LOOKUP(2,1/(单次交易!$A$2:$A$201=B270),单次交易!$AP$2:$AP$201),""))</f>
        <v/>
      </c>
      <c r="AA270" s="43" t="n"/>
      <c r="AB270" s="31">
        <f>IF(A270&lt;&gt;"每日跟踪","",IF(OR(B270="",H270="",I270="",J270="",K270="",L270="",M270=""),"待补充每日记录",IF(W270="触发止损：应全部卖出",IF(X270&lt;&gt;"执行卖出","违规：触发止损但未执行",IF(Y270="","待补充实际卖出价","卖出记录完整")),IF(X270="","待选择卖出动作",IF(X270="执行卖出",IF(Y270="","待补充实际卖出价","卖出记录完整"),"正常")))))</f>
        <v/>
      </c>
      <c r="AC270" s="31">
        <f>IF(A270="","",IF(A270="止损计划",IF(OR(B270="",D270="",E270="",F270="",G270=""),"计划不完整",IF(OR(D270&lt;1,D270&lt;&gt;INT(D270)),"阶段序号无效",IF(COUNTIFS($A$2:$A$501,"止损计划",$B$2:$B$501,B270,$D$2:$D$501,D270)&gt;1,"阶段序号重复",IF(E270&lt;=IFERROR(LOOKUP(2,1/('单次交易'!$A$2:$A$201=B270),'单次交易'!$E$2:$E$201),0),"激活价须高于买入价",IF(F270&lt;N270,"止损价不得低于初始止损",IF(F270&gt;E270,"止损价不得高于激活价",IF(AND(COUNTIFS($A$2:$A$501,"止损计划",$B$2:$B$501,B270,$D$2:$D$501,"&lt;"&amp;D270)&gt;0,OR(E270&lt;=AGGREGATE(14,6,$E$2:$E$501/(($A$2:$A$501="止损计划")*($B$2:$B$501=B270)*($D$2:$D$501&lt;D270)),1),F270&lt;AGGREGATE(14,6,$F$2:$F$501/(($A$2:$A$501="止损计划")*($B$2:$B$501=B270)*($D$2:$D$501&lt;D270)),1))),"阶段价格必须逐级提高","计划有效"))))))),IF(A270="每日跟踪",IF(OR(B270="",H270="",I270="",J270=""),"每日数据不完整",IF(COUNTIFS($A$2:$A$501,"每日跟踪",$B$2:$B$501,B270,$H$2:$H$501,H270)&gt;1,"同一交易日期重复",IF(AND(R270&lt;&gt;"",R270&lt;S270),"人工止损无效：不能下调","跟踪有效"))),"记录类型无效")))</f>
        <v/>
      </c>
    </row>
    <row r="271">
      <c r="A271" s="28" t="n"/>
      <c r="B271" s="28" t="n"/>
      <c r="C271" s="31">
        <f>IF(B271="","",IFERROR(LOOKUP(2,1/(单次交易!$A$2:$A$201=B271),单次交易!$B$2:$B$201),""))</f>
        <v/>
      </c>
      <c r="D271" s="27" t="n"/>
      <c r="E271" s="43" t="n"/>
      <c r="F271" s="43" t="n"/>
      <c r="G271" s="28" t="n"/>
      <c r="H271" s="49" t="n"/>
      <c r="I271" s="43" t="n"/>
      <c r="J271" s="27" t="n"/>
      <c r="K271" s="28" t="n"/>
      <c r="L271" s="28" t="n"/>
      <c r="M271" s="28" t="n"/>
      <c r="N271" s="44">
        <f>IF(B271="","",IFERROR(LOOKUP(2,1/(单次交易!$A$2:$A$201=B271),单次交易!$N$2:$N$201),""))</f>
        <v/>
      </c>
      <c r="O271" s="44">
        <f>IF(A271&lt;&gt;"每日跟踪","",IF(OR(B271="",H271="",I271=""),"",IFERROR(AGGREGATE(14,6,$I$2:$I$501/(($A$2:$A$501="每日跟踪")*($B$2:$B$501=B271)*($H$2:$H$501&lt;=H271)),1),"")))</f>
        <v/>
      </c>
      <c r="P271" s="26">
        <f>IF(A271&lt;&gt;"每日跟踪","",IF(O271="","",IFERROR(AGGREGATE(14,6,$D$2:$D$501/(($A$2:$A$501="止损计划")*($B$2:$B$501=B271)*($E$2:$E$501&lt;=O271)),1),0)))</f>
        <v/>
      </c>
      <c r="Q271" s="44">
        <f>IF(A271&lt;&gt;"每日跟踪","",IF(N271="","",MAX(N271,IFERROR(AGGREGATE(14,6,$F$2:$F$501/(($A$2:$A$501="止损计划")*($B$2:$B$501=B271)*($E$2:$E$501&lt;=O271)),1),0))))</f>
        <v/>
      </c>
      <c r="R271" s="43" t="n"/>
      <c r="S271" s="44">
        <f>IF(A271&lt;&gt;"每日跟踪","",IF(Q271="","",MAX(Q271,IFERROR(AGGREGATE(14,6,$R$2:$R$501/(($A$2:$A$501="每日跟踪")*($B$2:$B$501=B271)*($H$2:$H$501&lt;=H271)),1),0))))</f>
        <v/>
      </c>
      <c r="T271" s="44">
        <f>IF(A271&lt;&gt;"每日跟踪","",IF(O271="","",IF(COUNTIFS($A$2:$A$501,"止损计划",$B$2:$B$501,B271,$E$2:$E$501,"&gt;"&amp;O271)=0,"",AGGREGATE(15,6,$E$2:$E$501/(($A$2:$A$501="止损计划")*($B$2:$B$501=B271)*($E$2:$E$501&gt;O271)),1))))</f>
        <v/>
      </c>
      <c r="U271" s="44">
        <f>IF(OR(A271&lt;&gt;"每日跟踪",T271=""),"",IFERROR(AGGREGATE(14,6,$F$2:$F$501/(($A$2:$A$501="止损计划")*($B$2:$B$501=B271)*($E$2:$E$501=T271)),1),""))</f>
        <v/>
      </c>
      <c r="V271" s="30">
        <f>IF(OR(A271&lt;&gt;"每日跟踪",T271="",I271="",I271&lt;=0),"",T271/I271-1)</f>
        <v/>
      </c>
      <c r="W271" s="31">
        <f>IF(A271&lt;&gt;"每日跟踪","",IF(OR(I271="",S271=""),"",IF(I271&lt;=S271,"触发止损：应全部卖出","继续观察")))</f>
        <v/>
      </c>
      <c r="X271" s="28" t="n"/>
      <c r="Y271" s="43" t="n"/>
      <c r="Z271" s="26">
        <f>IF(X271&lt;&gt;"执行卖出","",IFERROR(LOOKUP(2,1/(单次交易!$A$2:$A$201=B271),单次交易!$AP$2:$AP$201),""))</f>
        <v/>
      </c>
      <c r="AA271" s="43" t="n"/>
      <c r="AB271" s="31">
        <f>IF(A271&lt;&gt;"每日跟踪","",IF(OR(B271="",H271="",I271="",J271="",K271="",L271="",M271=""),"待补充每日记录",IF(W271="触发止损：应全部卖出",IF(X271&lt;&gt;"执行卖出","违规：触发止损但未执行",IF(Y271="","待补充实际卖出价","卖出记录完整")),IF(X271="","待选择卖出动作",IF(X271="执行卖出",IF(Y271="","待补充实际卖出价","卖出记录完整"),"正常")))))</f>
        <v/>
      </c>
      <c r="AC271" s="31">
        <f>IF(A271="","",IF(A271="止损计划",IF(OR(B271="",D271="",E271="",F271="",G271=""),"计划不完整",IF(OR(D271&lt;1,D271&lt;&gt;INT(D271)),"阶段序号无效",IF(COUNTIFS($A$2:$A$501,"止损计划",$B$2:$B$501,B271,$D$2:$D$501,D271)&gt;1,"阶段序号重复",IF(E271&lt;=IFERROR(LOOKUP(2,1/('单次交易'!$A$2:$A$201=B271),'单次交易'!$E$2:$E$201),0),"激活价须高于买入价",IF(F271&lt;N271,"止损价不得低于初始止损",IF(F271&gt;E271,"止损价不得高于激活价",IF(AND(COUNTIFS($A$2:$A$501,"止损计划",$B$2:$B$501,B271,$D$2:$D$501,"&lt;"&amp;D271)&gt;0,OR(E271&lt;=AGGREGATE(14,6,$E$2:$E$501/(($A$2:$A$501="止损计划")*($B$2:$B$501=B271)*($D$2:$D$501&lt;D271)),1),F271&lt;AGGREGATE(14,6,$F$2:$F$501/(($A$2:$A$501="止损计划")*($B$2:$B$501=B271)*($D$2:$D$501&lt;D271)),1))),"阶段价格必须逐级提高","计划有效"))))))),IF(A271="每日跟踪",IF(OR(B271="",H271="",I271="",J271=""),"每日数据不完整",IF(COUNTIFS($A$2:$A$501,"每日跟踪",$B$2:$B$501,B271,$H$2:$H$501,H271)&gt;1,"同一交易日期重复",IF(AND(R271&lt;&gt;"",R271&lt;S271),"人工止损无效：不能下调","跟踪有效"))),"记录类型无效")))</f>
        <v/>
      </c>
    </row>
    <row r="272">
      <c r="A272" s="28" t="n"/>
      <c r="B272" s="28" t="n"/>
      <c r="C272" s="31">
        <f>IF(B272="","",IFERROR(LOOKUP(2,1/(单次交易!$A$2:$A$201=B272),单次交易!$B$2:$B$201),""))</f>
        <v/>
      </c>
      <c r="D272" s="27" t="n"/>
      <c r="E272" s="43" t="n"/>
      <c r="F272" s="43" t="n"/>
      <c r="G272" s="28" t="n"/>
      <c r="H272" s="49" t="n"/>
      <c r="I272" s="43" t="n"/>
      <c r="J272" s="27" t="n"/>
      <c r="K272" s="28" t="n"/>
      <c r="L272" s="28" t="n"/>
      <c r="M272" s="28" t="n"/>
      <c r="N272" s="44">
        <f>IF(B272="","",IFERROR(LOOKUP(2,1/(单次交易!$A$2:$A$201=B272),单次交易!$N$2:$N$201),""))</f>
        <v/>
      </c>
      <c r="O272" s="44">
        <f>IF(A272&lt;&gt;"每日跟踪","",IF(OR(B272="",H272="",I272=""),"",IFERROR(AGGREGATE(14,6,$I$2:$I$501/(($A$2:$A$501="每日跟踪")*($B$2:$B$501=B272)*($H$2:$H$501&lt;=H272)),1),"")))</f>
        <v/>
      </c>
      <c r="P272" s="26">
        <f>IF(A272&lt;&gt;"每日跟踪","",IF(O272="","",IFERROR(AGGREGATE(14,6,$D$2:$D$501/(($A$2:$A$501="止损计划")*($B$2:$B$501=B272)*($E$2:$E$501&lt;=O272)),1),0)))</f>
        <v/>
      </c>
      <c r="Q272" s="44">
        <f>IF(A272&lt;&gt;"每日跟踪","",IF(N272="","",MAX(N272,IFERROR(AGGREGATE(14,6,$F$2:$F$501/(($A$2:$A$501="止损计划")*($B$2:$B$501=B272)*($E$2:$E$501&lt;=O272)),1),0))))</f>
        <v/>
      </c>
      <c r="R272" s="43" t="n"/>
      <c r="S272" s="44">
        <f>IF(A272&lt;&gt;"每日跟踪","",IF(Q272="","",MAX(Q272,IFERROR(AGGREGATE(14,6,$R$2:$R$501/(($A$2:$A$501="每日跟踪")*($B$2:$B$501=B272)*($H$2:$H$501&lt;=H272)),1),0))))</f>
        <v/>
      </c>
      <c r="T272" s="44">
        <f>IF(A272&lt;&gt;"每日跟踪","",IF(O272="","",IF(COUNTIFS($A$2:$A$501,"止损计划",$B$2:$B$501,B272,$E$2:$E$501,"&gt;"&amp;O272)=0,"",AGGREGATE(15,6,$E$2:$E$501/(($A$2:$A$501="止损计划")*($B$2:$B$501=B272)*($E$2:$E$501&gt;O272)),1))))</f>
        <v/>
      </c>
      <c r="U272" s="44">
        <f>IF(OR(A272&lt;&gt;"每日跟踪",T272=""),"",IFERROR(AGGREGATE(14,6,$F$2:$F$501/(($A$2:$A$501="止损计划")*($B$2:$B$501=B272)*($E$2:$E$501=T272)),1),""))</f>
        <v/>
      </c>
      <c r="V272" s="30">
        <f>IF(OR(A272&lt;&gt;"每日跟踪",T272="",I272="",I272&lt;=0),"",T272/I272-1)</f>
        <v/>
      </c>
      <c r="W272" s="31">
        <f>IF(A272&lt;&gt;"每日跟踪","",IF(OR(I272="",S272=""),"",IF(I272&lt;=S272,"触发止损：应全部卖出","继续观察")))</f>
        <v/>
      </c>
      <c r="X272" s="28" t="n"/>
      <c r="Y272" s="43" t="n"/>
      <c r="Z272" s="26">
        <f>IF(X272&lt;&gt;"执行卖出","",IFERROR(LOOKUP(2,1/(单次交易!$A$2:$A$201=B272),单次交易!$AP$2:$AP$201),""))</f>
        <v/>
      </c>
      <c r="AA272" s="43" t="n"/>
      <c r="AB272" s="31">
        <f>IF(A272&lt;&gt;"每日跟踪","",IF(OR(B272="",H272="",I272="",J272="",K272="",L272="",M272=""),"待补充每日记录",IF(W272="触发止损：应全部卖出",IF(X272&lt;&gt;"执行卖出","违规：触发止损但未执行",IF(Y272="","待补充实际卖出价","卖出记录完整")),IF(X272="","待选择卖出动作",IF(X272="执行卖出",IF(Y272="","待补充实际卖出价","卖出记录完整"),"正常")))))</f>
        <v/>
      </c>
      <c r="AC272" s="31">
        <f>IF(A272="","",IF(A272="止损计划",IF(OR(B272="",D272="",E272="",F272="",G272=""),"计划不完整",IF(OR(D272&lt;1,D272&lt;&gt;INT(D272)),"阶段序号无效",IF(COUNTIFS($A$2:$A$501,"止损计划",$B$2:$B$501,B272,$D$2:$D$501,D272)&gt;1,"阶段序号重复",IF(E272&lt;=IFERROR(LOOKUP(2,1/('单次交易'!$A$2:$A$201=B272),'单次交易'!$E$2:$E$201),0),"激活价须高于买入价",IF(F272&lt;N272,"止损价不得低于初始止损",IF(F272&gt;E272,"止损价不得高于激活价",IF(AND(COUNTIFS($A$2:$A$501,"止损计划",$B$2:$B$501,B272,$D$2:$D$501,"&lt;"&amp;D272)&gt;0,OR(E272&lt;=AGGREGATE(14,6,$E$2:$E$501/(($A$2:$A$501="止损计划")*($B$2:$B$501=B272)*($D$2:$D$501&lt;D272)),1),F272&lt;AGGREGATE(14,6,$F$2:$F$501/(($A$2:$A$501="止损计划")*($B$2:$B$501=B272)*($D$2:$D$501&lt;D272)),1))),"阶段价格必须逐级提高","计划有效"))))))),IF(A272="每日跟踪",IF(OR(B272="",H272="",I272="",J272=""),"每日数据不完整",IF(COUNTIFS($A$2:$A$501,"每日跟踪",$B$2:$B$501,B272,$H$2:$H$501,H272)&gt;1,"同一交易日期重复",IF(AND(R272&lt;&gt;"",R272&lt;S272),"人工止损无效：不能下调","跟踪有效"))),"记录类型无效")))</f>
        <v/>
      </c>
    </row>
    <row r="273">
      <c r="A273" s="28" t="n"/>
      <c r="B273" s="28" t="n"/>
      <c r="C273" s="31">
        <f>IF(B273="","",IFERROR(LOOKUP(2,1/(单次交易!$A$2:$A$201=B273),单次交易!$B$2:$B$201),""))</f>
        <v/>
      </c>
      <c r="D273" s="27" t="n"/>
      <c r="E273" s="43" t="n"/>
      <c r="F273" s="43" t="n"/>
      <c r="G273" s="28" t="n"/>
      <c r="H273" s="49" t="n"/>
      <c r="I273" s="43" t="n"/>
      <c r="J273" s="27" t="n"/>
      <c r="K273" s="28" t="n"/>
      <c r="L273" s="28" t="n"/>
      <c r="M273" s="28" t="n"/>
      <c r="N273" s="44">
        <f>IF(B273="","",IFERROR(LOOKUP(2,1/(单次交易!$A$2:$A$201=B273),单次交易!$N$2:$N$201),""))</f>
        <v/>
      </c>
      <c r="O273" s="44">
        <f>IF(A273&lt;&gt;"每日跟踪","",IF(OR(B273="",H273="",I273=""),"",IFERROR(AGGREGATE(14,6,$I$2:$I$501/(($A$2:$A$501="每日跟踪")*($B$2:$B$501=B273)*($H$2:$H$501&lt;=H273)),1),"")))</f>
        <v/>
      </c>
      <c r="P273" s="26">
        <f>IF(A273&lt;&gt;"每日跟踪","",IF(O273="","",IFERROR(AGGREGATE(14,6,$D$2:$D$501/(($A$2:$A$501="止损计划")*($B$2:$B$501=B273)*($E$2:$E$501&lt;=O273)),1),0)))</f>
        <v/>
      </c>
      <c r="Q273" s="44">
        <f>IF(A273&lt;&gt;"每日跟踪","",IF(N273="","",MAX(N273,IFERROR(AGGREGATE(14,6,$F$2:$F$501/(($A$2:$A$501="止损计划")*($B$2:$B$501=B273)*($E$2:$E$501&lt;=O273)),1),0))))</f>
        <v/>
      </c>
      <c r="R273" s="43" t="n"/>
      <c r="S273" s="44">
        <f>IF(A273&lt;&gt;"每日跟踪","",IF(Q273="","",MAX(Q273,IFERROR(AGGREGATE(14,6,$R$2:$R$501/(($A$2:$A$501="每日跟踪")*($B$2:$B$501=B273)*($H$2:$H$501&lt;=H273)),1),0))))</f>
        <v/>
      </c>
      <c r="T273" s="44">
        <f>IF(A273&lt;&gt;"每日跟踪","",IF(O273="","",IF(COUNTIFS($A$2:$A$501,"止损计划",$B$2:$B$501,B273,$E$2:$E$501,"&gt;"&amp;O273)=0,"",AGGREGATE(15,6,$E$2:$E$501/(($A$2:$A$501="止损计划")*($B$2:$B$501=B273)*($E$2:$E$501&gt;O273)),1))))</f>
        <v/>
      </c>
      <c r="U273" s="44">
        <f>IF(OR(A273&lt;&gt;"每日跟踪",T273=""),"",IFERROR(AGGREGATE(14,6,$F$2:$F$501/(($A$2:$A$501="止损计划")*($B$2:$B$501=B273)*($E$2:$E$501=T273)),1),""))</f>
        <v/>
      </c>
      <c r="V273" s="30">
        <f>IF(OR(A273&lt;&gt;"每日跟踪",T273="",I273="",I273&lt;=0),"",T273/I273-1)</f>
        <v/>
      </c>
      <c r="W273" s="31">
        <f>IF(A273&lt;&gt;"每日跟踪","",IF(OR(I273="",S273=""),"",IF(I273&lt;=S273,"触发止损：应全部卖出","继续观察")))</f>
        <v/>
      </c>
      <c r="X273" s="28" t="n"/>
      <c r="Y273" s="43" t="n"/>
      <c r="Z273" s="26">
        <f>IF(X273&lt;&gt;"执行卖出","",IFERROR(LOOKUP(2,1/(单次交易!$A$2:$A$201=B273),单次交易!$AP$2:$AP$201),""))</f>
        <v/>
      </c>
      <c r="AA273" s="43" t="n"/>
      <c r="AB273" s="31">
        <f>IF(A273&lt;&gt;"每日跟踪","",IF(OR(B273="",H273="",I273="",J273="",K273="",L273="",M273=""),"待补充每日记录",IF(W273="触发止损：应全部卖出",IF(X273&lt;&gt;"执行卖出","违规：触发止损但未执行",IF(Y273="","待补充实际卖出价","卖出记录完整")),IF(X273="","待选择卖出动作",IF(X273="执行卖出",IF(Y273="","待补充实际卖出价","卖出记录完整"),"正常")))))</f>
        <v/>
      </c>
      <c r="AC273" s="31">
        <f>IF(A273="","",IF(A273="止损计划",IF(OR(B273="",D273="",E273="",F273="",G273=""),"计划不完整",IF(OR(D273&lt;1,D273&lt;&gt;INT(D273)),"阶段序号无效",IF(COUNTIFS($A$2:$A$501,"止损计划",$B$2:$B$501,B273,$D$2:$D$501,D273)&gt;1,"阶段序号重复",IF(E273&lt;=IFERROR(LOOKUP(2,1/('单次交易'!$A$2:$A$201=B273),'单次交易'!$E$2:$E$201),0),"激活价须高于买入价",IF(F273&lt;N273,"止损价不得低于初始止损",IF(F273&gt;E273,"止损价不得高于激活价",IF(AND(COUNTIFS($A$2:$A$501,"止损计划",$B$2:$B$501,B273,$D$2:$D$501,"&lt;"&amp;D273)&gt;0,OR(E273&lt;=AGGREGATE(14,6,$E$2:$E$501/(($A$2:$A$501="止损计划")*($B$2:$B$501=B273)*($D$2:$D$501&lt;D273)),1),F273&lt;AGGREGATE(14,6,$F$2:$F$501/(($A$2:$A$501="止损计划")*($B$2:$B$501=B273)*($D$2:$D$501&lt;D273)),1))),"阶段价格必须逐级提高","计划有效"))))))),IF(A273="每日跟踪",IF(OR(B273="",H273="",I273="",J273=""),"每日数据不完整",IF(COUNTIFS($A$2:$A$501,"每日跟踪",$B$2:$B$501,B273,$H$2:$H$501,H273)&gt;1,"同一交易日期重复",IF(AND(R273&lt;&gt;"",R273&lt;S273),"人工止损无效：不能下调","跟踪有效"))),"记录类型无效")))</f>
        <v/>
      </c>
    </row>
    <row r="274">
      <c r="A274" s="28" t="n"/>
      <c r="B274" s="28" t="n"/>
      <c r="C274" s="31">
        <f>IF(B274="","",IFERROR(LOOKUP(2,1/(单次交易!$A$2:$A$201=B274),单次交易!$B$2:$B$201),""))</f>
        <v/>
      </c>
      <c r="D274" s="27" t="n"/>
      <c r="E274" s="43" t="n"/>
      <c r="F274" s="43" t="n"/>
      <c r="G274" s="28" t="n"/>
      <c r="H274" s="49" t="n"/>
      <c r="I274" s="43" t="n"/>
      <c r="J274" s="27" t="n"/>
      <c r="K274" s="28" t="n"/>
      <c r="L274" s="28" t="n"/>
      <c r="M274" s="28" t="n"/>
      <c r="N274" s="44">
        <f>IF(B274="","",IFERROR(LOOKUP(2,1/(单次交易!$A$2:$A$201=B274),单次交易!$N$2:$N$201),""))</f>
        <v/>
      </c>
      <c r="O274" s="44">
        <f>IF(A274&lt;&gt;"每日跟踪","",IF(OR(B274="",H274="",I274=""),"",IFERROR(AGGREGATE(14,6,$I$2:$I$501/(($A$2:$A$501="每日跟踪")*($B$2:$B$501=B274)*($H$2:$H$501&lt;=H274)),1),"")))</f>
        <v/>
      </c>
      <c r="P274" s="26">
        <f>IF(A274&lt;&gt;"每日跟踪","",IF(O274="","",IFERROR(AGGREGATE(14,6,$D$2:$D$501/(($A$2:$A$501="止损计划")*($B$2:$B$501=B274)*($E$2:$E$501&lt;=O274)),1),0)))</f>
        <v/>
      </c>
      <c r="Q274" s="44">
        <f>IF(A274&lt;&gt;"每日跟踪","",IF(N274="","",MAX(N274,IFERROR(AGGREGATE(14,6,$F$2:$F$501/(($A$2:$A$501="止损计划")*($B$2:$B$501=B274)*($E$2:$E$501&lt;=O274)),1),0))))</f>
        <v/>
      </c>
      <c r="R274" s="43" t="n"/>
      <c r="S274" s="44">
        <f>IF(A274&lt;&gt;"每日跟踪","",IF(Q274="","",MAX(Q274,IFERROR(AGGREGATE(14,6,$R$2:$R$501/(($A$2:$A$501="每日跟踪")*($B$2:$B$501=B274)*($H$2:$H$501&lt;=H274)),1),0))))</f>
        <v/>
      </c>
      <c r="T274" s="44">
        <f>IF(A274&lt;&gt;"每日跟踪","",IF(O274="","",IF(COUNTIFS($A$2:$A$501,"止损计划",$B$2:$B$501,B274,$E$2:$E$501,"&gt;"&amp;O274)=0,"",AGGREGATE(15,6,$E$2:$E$501/(($A$2:$A$501="止损计划")*($B$2:$B$501=B274)*($E$2:$E$501&gt;O274)),1))))</f>
        <v/>
      </c>
      <c r="U274" s="44">
        <f>IF(OR(A274&lt;&gt;"每日跟踪",T274=""),"",IFERROR(AGGREGATE(14,6,$F$2:$F$501/(($A$2:$A$501="止损计划")*($B$2:$B$501=B274)*($E$2:$E$501=T274)),1),""))</f>
        <v/>
      </c>
      <c r="V274" s="30">
        <f>IF(OR(A274&lt;&gt;"每日跟踪",T274="",I274="",I274&lt;=0),"",T274/I274-1)</f>
        <v/>
      </c>
      <c r="W274" s="31">
        <f>IF(A274&lt;&gt;"每日跟踪","",IF(OR(I274="",S274=""),"",IF(I274&lt;=S274,"触发止损：应全部卖出","继续观察")))</f>
        <v/>
      </c>
      <c r="X274" s="28" t="n"/>
      <c r="Y274" s="43" t="n"/>
      <c r="Z274" s="26">
        <f>IF(X274&lt;&gt;"执行卖出","",IFERROR(LOOKUP(2,1/(单次交易!$A$2:$A$201=B274),单次交易!$AP$2:$AP$201),""))</f>
        <v/>
      </c>
      <c r="AA274" s="43" t="n"/>
      <c r="AB274" s="31">
        <f>IF(A274&lt;&gt;"每日跟踪","",IF(OR(B274="",H274="",I274="",J274="",K274="",L274="",M274=""),"待补充每日记录",IF(W274="触发止损：应全部卖出",IF(X274&lt;&gt;"执行卖出","违规：触发止损但未执行",IF(Y274="","待补充实际卖出价","卖出记录完整")),IF(X274="","待选择卖出动作",IF(X274="执行卖出",IF(Y274="","待补充实际卖出价","卖出记录完整"),"正常")))))</f>
        <v/>
      </c>
      <c r="AC274" s="31">
        <f>IF(A274="","",IF(A274="止损计划",IF(OR(B274="",D274="",E274="",F274="",G274=""),"计划不完整",IF(OR(D274&lt;1,D274&lt;&gt;INT(D274)),"阶段序号无效",IF(COUNTIFS($A$2:$A$501,"止损计划",$B$2:$B$501,B274,$D$2:$D$501,D274)&gt;1,"阶段序号重复",IF(E274&lt;=IFERROR(LOOKUP(2,1/('单次交易'!$A$2:$A$201=B274),'单次交易'!$E$2:$E$201),0),"激活价须高于买入价",IF(F274&lt;N274,"止损价不得低于初始止损",IF(F274&gt;E274,"止损价不得高于激活价",IF(AND(COUNTIFS($A$2:$A$501,"止损计划",$B$2:$B$501,B274,$D$2:$D$501,"&lt;"&amp;D274)&gt;0,OR(E274&lt;=AGGREGATE(14,6,$E$2:$E$501/(($A$2:$A$501="止损计划")*($B$2:$B$501=B274)*($D$2:$D$501&lt;D274)),1),F274&lt;AGGREGATE(14,6,$F$2:$F$501/(($A$2:$A$501="止损计划")*($B$2:$B$501=B274)*($D$2:$D$501&lt;D274)),1))),"阶段价格必须逐级提高","计划有效"))))))),IF(A274="每日跟踪",IF(OR(B274="",H274="",I274="",J274=""),"每日数据不完整",IF(COUNTIFS($A$2:$A$501,"每日跟踪",$B$2:$B$501,B274,$H$2:$H$501,H274)&gt;1,"同一交易日期重复",IF(AND(R274&lt;&gt;"",R274&lt;S274),"人工止损无效：不能下调","跟踪有效"))),"记录类型无效")))</f>
        <v/>
      </c>
    </row>
    <row r="275">
      <c r="A275" s="28" t="n"/>
      <c r="B275" s="28" t="n"/>
      <c r="C275" s="31">
        <f>IF(B275="","",IFERROR(LOOKUP(2,1/(单次交易!$A$2:$A$201=B275),单次交易!$B$2:$B$201),""))</f>
        <v/>
      </c>
      <c r="D275" s="27" t="n"/>
      <c r="E275" s="43" t="n"/>
      <c r="F275" s="43" t="n"/>
      <c r="G275" s="28" t="n"/>
      <c r="H275" s="49" t="n"/>
      <c r="I275" s="43" t="n"/>
      <c r="J275" s="27" t="n"/>
      <c r="K275" s="28" t="n"/>
      <c r="L275" s="28" t="n"/>
      <c r="M275" s="28" t="n"/>
      <c r="N275" s="44">
        <f>IF(B275="","",IFERROR(LOOKUP(2,1/(单次交易!$A$2:$A$201=B275),单次交易!$N$2:$N$201),""))</f>
        <v/>
      </c>
      <c r="O275" s="44">
        <f>IF(A275&lt;&gt;"每日跟踪","",IF(OR(B275="",H275="",I275=""),"",IFERROR(AGGREGATE(14,6,$I$2:$I$501/(($A$2:$A$501="每日跟踪")*($B$2:$B$501=B275)*($H$2:$H$501&lt;=H275)),1),"")))</f>
        <v/>
      </c>
      <c r="P275" s="26">
        <f>IF(A275&lt;&gt;"每日跟踪","",IF(O275="","",IFERROR(AGGREGATE(14,6,$D$2:$D$501/(($A$2:$A$501="止损计划")*($B$2:$B$501=B275)*($E$2:$E$501&lt;=O275)),1),0)))</f>
        <v/>
      </c>
      <c r="Q275" s="44">
        <f>IF(A275&lt;&gt;"每日跟踪","",IF(N275="","",MAX(N275,IFERROR(AGGREGATE(14,6,$F$2:$F$501/(($A$2:$A$501="止损计划")*($B$2:$B$501=B275)*($E$2:$E$501&lt;=O275)),1),0))))</f>
        <v/>
      </c>
      <c r="R275" s="43" t="n"/>
      <c r="S275" s="44">
        <f>IF(A275&lt;&gt;"每日跟踪","",IF(Q275="","",MAX(Q275,IFERROR(AGGREGATE(14,6,$R$2:$R$501/(($A$2:$A$501="每日跟踪")*($B$2:$B$501=B275)*($H$2:$H$501&lt;=H275)),1),0))))</f>
        <v/>
      </c>
      <c r="T275" s="44">
        <f>IF(A275&lt;&gt;"每日跟踪","",IF(O275="","",IF(COUNTIFS($A$2:$A$501,"止损计划",$B$2:$B$501,B275,$E$2:$E$501,"&gt;"&amp;O275)=0,"",AGGREGATE(15,6,$E$2:$E$501/(($A$2:$A$501="止损计划")*($B$2:$B$501=B275)*($E$2:$E$501&gt;O275)),1))))</f>
        <v/>
      </c>
      <c r="U275" s="44">
        <f>IF(OR(A275&lt;&gt;"每日跟踪",T275=""),"",IFERROR(AGGREGATE(14,6,$F$2:$F$501/(($A$2:$A$501="止损计划")*($B$2:$B$501=B275)*($E$2:$E$501=T275)),1),""))</f>
        <v/>
      </c>
      <c r="V275" s="30">
        <f>IF(OR(A275&lt;&gt;"每日跟踪",T275="",I275="",I275&lt;=0),"",T275/I275-1)</f>
        <v/>
      </c>
      <c r="W275" s="31">
        <f>IF(A275&lt;&gt;"每日跟踪","",IF(OR(I275="",S275=""),"",IF(I275&lt;=S275,"触发止损：应全部卖出","继续观察")))</f>
        <v/>
      </c>
      <c r="X275" s="28" t="n"/>
      <c r="Y275" s="43" t="n"/>
      <c r="Z275" s="26">
        <f>IF(X275&lt;&gt;"执行卖出","",IFERROR(LOOKUP(2,1/(单次交易!$A$2:$A$201=B275),单次交易!$AP$2:$AP$201),""))</f>
        <v/>
      </c>
      <c r="AA275" s="43" t="n"/>
      <c r="AB275" s="31">
        <f>IF(A275&lt;&gt;"每日跟踪","",IF(OR(B275="",H275="",I275="",J275="",K275="",L275="",M275=""),"待补充每日记录",IF(W275="触发止损：应全部卖出",IF(X275&lt;&gt;"执行卖出","违规：触发止损但未执行",IF(Y275="","待补充实际卖出价","卖出记录完整")),IF(X275="","待选择卖出动作",IF(X275="执行卖出",IF(Y275="","待补充实际卖出价","卖出记录完整"),"正常")))))</f>
        <v/>
      </c>
      <c r="AC275" s="31">
        <f>IF(A275="","",IF(A275="止损计划",IF(OR(B275="",D275="",E275="",F275="",G275=""),"计划不完整",IF(OR(D275&lt;1,D275&lt;&gt;INT(D275)),"阶段序号无效",IF(COUNTIFS($A$2:$A$501,"止损计划",$B$2:$B$501,B275,$D$2:$D$501,D275)&gt;1,"阶段序号重复",IF(E275&lt;=IFERROR(LOOKUP(2,1/('单次交易'!$A$2:$A$201=B275),'单次交易'!$E$2:$E$201),0),"激活价须高于买入价",IF(F275&lt;N275,"止损价不得低于初始止损",IF(F275&gt;E275,"止损价不得高于激活价",IF(AND(COUNTIFS($A$2:$A$501,"止损计划",$B$2:$B$501,B275,$D$2:$D$501,"&lt;"&amp;D275)&gt;0,OR(E275&lt;=AGGREGATE(14,6,$E$2:$E$501/(($A$2:$A$501="止损计划")*($B$2:$B$501=B275)*($D$2:$D$501&lt;D275)),1),F275&lt;AGGREGATE(14,6,$F$2:$F$501/(($A$2:$A$501="止损计划")*($B$2:$B$501=B275)*($D$2:$D$501&lt;D275)),1))),"阶段价格必须逐级提高","计划有效"))))))),IF(A275="每日跟踪",IF(OR(B275="",H275="",I275="",J275=""),"每日数据不完整",IF(COUNTIFS($A$2:$A$501,"每日跟踪",$B$2:$B$501,B275,$H$2:$H$501,H275)&gt;1,"同一交易日期重复",IF(AND(R275&lt;&gt;"",R275&lt;S275),"人工止损无效：不能下调","跟踪有效"))),"记录类型无效")))</f>
        <v/>
      </c>
    </row>
    <row r="276">
      <c r="A276" s="28" t="n"/>
      <c r="B276" s="28" t="n"/>
      <c r="C276" s="31">
        <f>IF(B276="","",IFERROR(LOOKUP(2,1/(单次交易!$A$2:$A$201=B276),单次交易!$B$2:$B$201),""))</f>
        <v/>
      </c>
      <c r="D276" s="27" t="n"/>
      <c r="E276" s="43" t="n"/>
      <c r="F276" s="43" t="n"/>
      <c r="G276" s="28" t="n"/>
      <c r="H276" s="49" t="n"/>
      <c r="I276" s="43" t="n"/>
      <c r="J276" s="27" t="n"/>
      <c r="K276" s="28" t="n"/>
      <c r="L276" s="28" t="n"/>
      <c r="M276" s="28" t="n"/>
      <c r="N276" s="44">
        <f>IF(B276="","",IFERROR(LOOKUP(2,1/(单次交易!$A$2:$A$201=B276),单次交易!$N$2:$N$201),""))</f>
        <v/>
      </c>
      <c r="O276" s="44">
        <f>IF(A276&lt;&gt;"每日跟踪","",IF(OR(B276="",H276="",I276=""),"",IFERROR(AGGREGATE(14,6,$I$2:$I$501/(($A$2:$A$501="每日跟踪")*($B$2:$B$501=B276)*($H$2:$H$501&lt;=H276)),1),"")))</f>
        <v/>
      </c>
      <c r="P276" s="26">
        <f>IF(A276&lt;&gt;"每日跟踪","",IF(O276="","",IFERROR(AGGREGATE(14,6,$D$2:$D$501/(($A$2:$A$501="止损计划")*($B$2:$B$501=B276)*($E$2:$E$501&lt;=O276)),1),0)))</f>
        <v/>
      </c>
      <c r="Q276" s="44">
        <f>IF(A276&lt;&gt;"每日跟踪","",IF(N276="","",MAX(N276,IFERROR(AGGREGATE(14,6,$F$2:$F$501/(($A$2:$A$501="止损计划")*($B$2:$B$501=B276)*($E$2:$E$501&lt;=O276)),1),0))))</f>
        <v/>
      </c>
      <c r="R276" s="43" t="n"/>
      <c r="S276" s="44">
        <f>IF(A276&lt;&gt;"每日跟踪","",IF(Q276="","",MAX(Q276,IFERROR(AGGREGATE(14,6,$R$2:$R$501/(($A$2:$A$501="每日跟踪")*($B$2:$B$501=B276)*($H$2:$H$501&lt;=H276)),1),0))))</f>
        <v/>
      </c>
      <c r="T276" s="44">
        <f>IF(A276&lt;&gt;"每日跟踪","",IF(O276="","",IF(COUNTIFS($A$2:$A$501,"止损计划",$B$2:$B$501,B276,$E$2:$E$501,"&gt;"&amp;O276)=0,"",AGGREGATE(15,6,$E$2:$E$501/(($A$2:$A$501="止损计划")*($B$2:$B$501=B276)*($E$2:$E$501&gt;O276)),1))))</f>
        <v/>
      </c>
      <c r="U276" s="44">
        <f>IF(OR(A276&lt;&gt;"每日跟踪",T276=""),"",IFERROR(AGGREGATE(14,6,$F$2:$F$501/(($A$2:$A$501="止损计划")*($B$2:$B$501=B276)*($E$2:$E$501=T276)),1),""))</f>
        <v/>
      </c>
      <c r="V276" s="30">
        <f>IF(OR(A276&lt;&gt;"每日跟踪",T276="",I276="",I276&lt;=0),"",T276/I276-1)</f>
        <v/>
      </c>
      <c r="W276" s="31">
        <f>IF(A276&lt;&gt;"每日跟踪","",IF(OR(I276="",S276=""),"",IF(I276&lt;=S276,"触发止损：应全部卖出","继续观察")))</f>
        <v/>
      </c>
      <c r="X276" s="28" t="n"/>
      <c r="Y276" s="43" t="n"/>
      <c r="Z276" s="26">
        <f>IF(X276&lt;&gt;"执行卖出","",IFERROR(LOOKUP(2,1/(单次交易!$A$2:$A$201=B276),单次交易!$AP$2:$AP$201),""))</f>
        <v/>
      </c>
      <c r="AA276" s="43" t="n"/>
      <c r="AB276" s="31">
        <f>IF(A276&lt;&gt;"每日跟踪","",IF(OR(B276="",H276="",I276="",J276="",K276="",L276="",M276=""),"待补充每日记录",IF(W276="触发止损：应全部卖出",IF(X276&lt;&gt;"执行卖出","违规：触发止损但未执行",IF(Y276="","待补充实际卖出价","卖出记录完整")),IF(X276="","待选择卖出动作",IF(X276="执行卖出",IF(Y276="","待补充实际卖出价","卖出记录完整"),"正常")))))</f>
        <v/>
      </c>
      <c r="AC276" s="31">
        <f>IF(A276="","",IF(A276="止损计划",IF(OR(B276="",D276="",E276="",F276="",G276=""),"计划不完整",IF(OR(D276&lt;1,D276&lt;&gt;INT(D276)),"阶段序号无效",IF(COUNTIFS($A$2:$A$501,"止损计划",$B$2:$B$501,B276,$D$2:$D$501,D276)&gt;1,"阶段序号重复",IF(E276&lt;=IFERROR(LOOKUP(2,1/('单次交易'!$A$2:$A$201=B276),'单次交易'!$E$2:$E$201),0),"激活价须高于买入价",IF(F276&lt;N276,"止损价不得低于初始止损",IF(F276&gt;E276,"止损价不得高于激活价",IF(AND(COUNTIFS($A$2:$A$501,"止损计划",$B$2:$B$501,B276,$D$2:$D$501,"&lt;"&amp;D276)&gt;0,OR(E276&lt;=AGGREGATE(14,6,$E$2:$E$501/(($A$2:$A$501="止损计划")*($B$2:$B$501=B276)*($D$2:$D$501&lt;D276)),1),F276&lt;AGGREGATE(14,6,$F$2:$F$501/(($A$2:$A$501="止损计划")*($B$2:$B$501=B276)*($D$2:$D$501&lt;D276)),1))),"阶段价格必须逐级提高","计划有效"))))))),IF(A276="每日跟踪",IF(OR(B276="",H276="",I276="",J276=""),"每日数据不完整",IF(COUNTIFS($A$2:$A$501,"每日跟踪",$B$2:$B$501,B276,$H$2:$H$501,H276)&gt;1,"同一交易日期重复",IF(AND(R276&lt;&gt;"",R276&lt;S276),"人工止损无效：不能下调","跟踪有效"))),"记录类型无效")))</f>
        <v/>
      </c>
    </row>
    <row r="277">
      <c r="A277" s="28" t="n"/>
      <c r="B277" s="28" t="n"/>
      <c r="C277" s="31">
        <f>IF(B277="","",IFERROR(LOOKUP(2,1/(单次交易!$A$2:$A$201=B277),单次交易!$B$2:$B$201),""))</f>
        <v/>
      </c>
      <c r="D277" s="27" t="n"/>
      <c r="E277" s="43" t="n"/>
      <c r="F277" s="43" t="n"/>
      <c r="G277" s="28" t="n"/>
      <c r="H277" s="49" t="n"/>
      <c r="I277" s="43" t="n"/>
      <c r="J277" s="27" t="n"/>
      <c r="K277" s="28" t="n"/>
      <c r="L277" s="28" t="n"/>
      <c r="M277" s="28" t="n"/>
      <c r="N277" s="44">
        <f>IF(B277="","",IFERROR(LOOKUP(2,1/(单次交易!$A$2:$A$201=B277),单次交易!$N$2:$N$201),""))</f>
        <v/>
      </c>
      <c r="O277" s="44">
        <f>IF(A277&lt;&gt;"每日跟踪","",IF(OR(B277="",H277="",I277=""),"",IFERROR(AGGREGATE(14,6,$I$2:$I$501/(($A$2:$A$501="每日跟踪")*($B$2:$B$501=B277)*($H$2:$H$501&lt;=H277)),1),"")))</f>
        <v/>
      </c>
      <c r="P277" s="26">
        <f>IF(A277&lt;&gt;"每日跟踪","",IF(O277="","",IFERROR(AGGREGATE(14,6,$D$2:$D$501/(($A$2:$A$501="止损计划")*($B$2:$B$501=B277)*($E$2:$E$501&lt;=O277)),1),0)))</f>
        <v/>
      </c>
      <c r="Q277" s="44">
        <f>IF(A277&lt;&gt;"每日跟踪","",IF(N277="","",MAX(N277,IFERROR(AGGREGATE(14,6,$F$2:$F$501/(($A$2:$A$501="止损计划")*($B$2:$B$501=B277)*($E$2:$E$501&lt;=O277)),1),0))))</f>
        <v/>
      </c>
      <c r="R277" s="43" t="n"/>
      <c r="S277" s="44">
        <f>IF(A277&lt;&gt;"每日跟踪","",IF(Q277="","",MAX(Q277,IFERROR(AGGREGATE(14,6,$R$2:$R$501/(($A$2:$A$501="每日跟踪")*($B$2:$B$501=B277)*($H$2:$H$501&lt;=H277)),1),0))))</f>
        <v/>
      </c>
      <c r="T277" s="44">
        <f>IF(A277&lt;&gt;"每日跟踪","",IF(O277="","",IF(COUNTIFS($A$2:$A$501,"止损计划",$B$2:$B$501,B277,$E$2:$E$501,"&gt;"&amp;O277)=0,"",AGGREGATE(15,6,$E$2:$E$501/(($A$2:$A$501="止损计划")*($B$2:$B$501=B277)*($E$2:$E$501&gt;O277)),1))))</f>
        <v/>
      </c>
      <c r="U277" s="44">
        <f>IF(OR(A277&lt;&gt;"每日跟踪",T277=""),"",IFERROR(AGGREGATE(14,6,$F$2:$F$501/(($A$2:$A$501="止损计划")*($B$2:$B$501=B277)*($E$2:$E$501=T277)),1),""))</f>
        <v/>
      </c>
      <c r="V277" s="30">
        <f>IF(OR(A277&lt;&gt;"每日跟踪",T277="",I277="",I277&lt;=0),"",T277/I277-1)</f>
        <v/>
      </c>
      <c r="W277" s="31">
        <f>IF(A277&lt;&gt;"每日跟踪","",IF(OR(I277="",S277=""),"",IF(I277&lt;=S277,"触发止损：应全部卖出","继续观察")))</f>
        <v/>
      </c>
      <c r="X277" s="28" t="n"/>
      <c r="Y277" s="43" t="n"/>
      <c r="Z277" s="26">
        <f>IF(X277&lt;&gt;"执行卖出","",IFERROR(LOOKUP(2,1/(单次交易!$A$2:$A$201=B277),单次交易!$AP$2:$AP$201),""))</f>
        <v/>
      </c>
      <c r="AA277" s="43" t="n"/>
      <c r="AB277" s="31">
        <f>IF(A277&lt;&gt;"每日跟踪","",IF(OR(B277="",H277="",I277="",J277="",K277="",L277="",M277=""),"待补充每日记录",IF(W277="触发止损：应全部卖出",IF(X277&lt;&gt;"执行卖出","违规：触发止损但未执行",IF(Y277="","待补充实际卖出价","卖出记录完整")),IF(X277="","待选择卖出动作",IF(X277="执行卖出",IF(Y277="","待补充实际卖出价","卖出记录完整"),"正常")))))</f>
        <v/>
      </c>
      <c r="AC277" s="31">
        <f>IF(A277="","",IF(A277="止损计划",IF(OR(B277="",D277="",E277="",F277="",G277=""),"计划不完整",IF(OR(D277&lt;1,D277&lt;&gt;INT(D277)),"阶段序号无效",IF(COUNTIFS($A$2:$A$501,"止损计划",$B$2:$B$501,B277,$D$2:$D$501,D277)&gt;1,"阶段序号重复",IF(E277&lt;=IFERROR(LOOKUP(2,1/('单次交易'!$A$2:$A$201=B277),'单次交易'!$E$2:$E$201),0),"激活价须高于买入价",IF(F277&lt;N277,"止损价不得低于初始止损",IF(F277&gt;E277,"止损价不得高于激活价",IF(AND(COUNTIFS($A$2:$A$501,"止损计划",$B$2:$B$501,B277,$D$2:$D$501,"&lt;"&amp;D277)&gt;0,OR(E277&lt;=AGGREGATE(14,6,$E$2:$E$501/(($A$2:$A$501="止损计划")*($B$2:$B$501=B277)*($D$2:$D$501&lt;D277)),1),F277&lt;AGGREGATE(14,6,$F$2:$F$501/(($A$2:$A$501="止损计划")*($B$2:$B$501=B277)*($D$2:$D$501&lt;D277)),1))),"阶段价格必须逐级提高","计划有效"))))))),IF(A277="每日跟踪",IF(OR(B277="",H277="",I277="",J277=""),"每日数据不完整",IF(COUNTIFS($A$2:$A$501,"每日跟踪",$B$2:$B$501,B277,$H$2:$H$501,H277)&gt;1,"同一交易日期重复",IF(AND(R277&lt;&gt;"",R277&lt;S277),"人工止损无效：不能下调","跟踪有效"))),"记录类型无效")))</f>
        <v/>
      </c>
    </row>
    <row r="278">
      <c r="A278" s="28" t="n"/>
      <c r="B278" s="28" t="n"/>
      <c r="C278" s="31">
        <f>IF(B278="","",IFERROR(LOOKUP(2,1/(单次交易!$A$2:$A$201=B278),单次交易!$B$2:$B$201),""))</f>
        <v/>
      </c>
      <c r="D278" s="27" t="n"/>
      <c r="E278" s="43" t="n"/>
      <c r="F278" s="43" t="n"/>
      <c r="G278" s="28" t="n"/>
      <c r="H278" s="49" t="n"/>
      <c r="I278" s="43" t="n"/>
      <c r="J278" s="27" t="n"/>
      <c r="K278" s="28" t="n"/>
      <c r="L278" s="28" t="n"/>
      <c r="M278" s="28" t="n"/>
      <c r="N278" s="44">
        <f>IF(B278="","",IFERROR(LOOKUP(2,1/(单次交易!$A$2:$A$201=B278),单次交易!$N$2:$N$201),""))</f>
        <v/>
      </c>
      <c r="O278" s="44">
        <f>IF(A278&lt;&gt;"每日跟踪","",IF(OR(B278="",H278="",I278=""),"",IFERROR(AGGREGATE(14,6,$I$2:$I$501/(($A$2:$A$501="每日跟踪")*($B$2:$B$501=B278)*($H$2:$H$501&lt;=H278)),1),"")))</f>
        <v/>
      </c>
      <c r="P278" s="26">
        <f>IF(A278&lt;&gt;"每日跟踪","",IF(O278="","",IFERROR(AGGREGATE(14,6,$D$2:$D$501/(($A$2:$A$501="止损计划")*($B$2:$B$501=B278)*($E$2:$E$501&lt;=O278)),1),0)))</f>
        <v/>
      </c>
      <c r="Q278" s="44">
        <f>IF(A278&lt;&gt;"每日跟踪","",IF(N278="","",MAX(N278,IFERROR(AGGREGATE(14,6,$F$2:$F$501/(($A$2:$A$501="止损计划")*($B$2:$B$501=B278)*($E$2:$E$501&lt;=O278)),1),0))))</f>
        <v/>
      </c>
      <c r="R278" s="43" t="n"/>
      <c r="S278" s="44">
        <f>IF(A278&lt;&gt;"每日跟踪","",IF(Q278="","",MAX(Q278,IFERROR(AGGREGATE(14,6,$R$2:$R$501/(($A$2:$A$501="每日跟踪")*($B$2:$B$501=B278)*($H$2:$H$501&lt;=H278)),1),0))))</f>
        <v/>
      </c>
      <c r="T278" s="44">
        <f>IF(A278&lt;&gt;"每日跟踪","",IF(O278="","",IF(COUNTIFS($A$2:$A$501,"止损计划",$B$2:$B$501,B278,$E$2:$E$501,"&gt;"&amp;O278)=0,"",AGGREGATE(15,6,$E$2:$E$501/(($A$2:$A$501="止损计划")*($B$2:$B$501=B278)*($E$2:$E$501&gt;O278)),1))))</f>
        <v/>
      </c>
      <c r="U278" s="44">
        <f>IF(OR(A278&lt;&gt;"每日跟踪",T278=""),"",IFERROR(AGGREGATE(14,6,$F$2:$F$501/(($A$2:$A$501="止损计划")*($B$2:$B$501=B278)*($E$2:$E$501=T278)),1),""))</f>
        <v/>
      </c>
      <c r="V278" s="30">
        <f>IF(OR(A278&lt;&gt;"每日跟踪",T278="",I278="",I278&lt;=0),"",T278/I278-1)</f>
        <v/>
      </c>
      <c r="W278" s="31">
        <f>IF(A278&lt;&gt;"每日跟踪","",IF(OR(I278="",S278=""),"",IF(I278&lt;=S278,"触发止损：应全部卖出","继续观察")))</f>
        <v/>
      </c>
      <c r="X278" s="28" t="n"/>
      <c r="Y278" s="43" t="n"/>
      <c r="Z278" s="26">
        <f>IF(X278&lt;&gt;"执行卖出","",IFERROR(LOOKUP(2,1/(单次交易!$A$2:$A$201=B278),单次交易!$AP$2:$AP$201),""))</f>
        <v/>
      </c>
      <c r="AA278" s="43" t="n"/>
      <c r="AB278" s="31">
        <f>IF(A278&lt;&gt;"每日跟踪","",IF(OR(B278="",H278="",I278="",J278="",K278="",L278="",M278=""),"待补充每日记录",IF(W278="触发止损：应全部卖出",IF(X278&lt;&gt;"执行卖出","违规：触发止损但未执行",IF(Y278="","待补充实际卖出价","卖出记录完整")),IF(X278="","待选择卖出动作",IF(X278="执行卖出",IF(Y278="","待补充实际卖出价","卖出记录完整"),"正常")))))</f>
        <v/>
      </c>
      <c r="AC278" s="31">
        <f>IF(A278="","",IF(A278="止损计划",IF(OR(B278="",D278="",E278="",F278="",G278=""),"计划不完整",IF(OR(D278&lt;1,D278&lt;&gt;INT(D278)),"阶段序号无效",IF(COUNTIFS($A$2:$A$501,"止损计划",$B$2:$B$501,B278,$D$2:$D$501,D278)&gt;1,"阶段序号重复",IF(E278&lt;=IFERROR(LOOKUP(2,1/('单次交易'!$A$2:$A$201=B278),'单次交易'!$E$2:$E$201),0),"激活价须高于买入价",IF(F278&lt;N278,"止损价不得低于初始止损",IF(F278&gt;E278,"止损价不得高于激活价",IF(AND(COUNTIFS($A$2:$A$501,"止损计划",$B$2:$B$501,B278,$D$2:$D$501,"&lt;"&amp;D278)&gt;0,OR(E278&lt;=AGGREGATE(14,6,$E$2:$E$501/(($A$2:$A$501="止损计划")*($B$2:$B$501=B278)*($D$2:$D$501&lt;D278)),1),F278&lt;AGGREGATE(14,6,$F$2:$F$501/(($A$2:$A$501="止损计划")*($B$2:$B$501=B278)*($D$2:$D$501&lt;D278)),1))),"阶段价格必须逐级提高","计划有效"))))))),IF(A278="每日跟踪",IF(OR(B278="",H278="",I278="",J278=""),"每日数据不完整",IF(COUNTIFS($A$2:$A$501,"每日跟踪",$B$2:$B$501,B278,$H$2:$H$501,H278)&gt;1,"同一交易日期重复",IF(AND(R278&lt;&gt;"",R278&lt;S278),"人工止损无效：不能下调","跟踪有效"))),"记录类型无效")))</f>
        <v/>
      </c>
    </row>
    <row r="279">
      <c r="A279" s="28" t="n"/>
      <c r="B279" s="28" t="n"/>
      <c r="C279" s="31">
        <f>IF(B279="","",IFERROR(LOOKUP(2,1/(单次交易!$A$2:$A$201=B279),单次交易!$B$2:$B$201),""))</f>
        <v/>
      </c>
      <c r="D279" s="27" t="n"/>
      <c r="E279" s="43" t="n"/>
      <c r="F279" s="43" t="n"/>
      <c r="G279" s="28" t="n"/>
      <c r="H279" s="49" t="n"/>
      <c r="I279" s="43" t="n"/>
      <c r="J279" s="27" t="n"/>
      <c r="K279" s="28" t="n"/>
      <c r="L279" s="28" t="n"/>
      <c r="M279" s="28" t="n"/>
      <c r="N279" s="44">
        <f>IF(B279="","",IFERROR(LOOKUP(2,1/(单次交易!$A$2:$A$201=B279),单次交易!$N$2:$N$201),""))</f>
        <v/>
      </c>
      <c r="O279" s="44">
        <f>IF(A279&lt;&gt;"每日跟踪","",IF(OR(B279="",H279="",I279=""),"",IFERROR(AGGREGATE(14,6,$I$2:$I$501/(($A$2:$A$501="每日跟踪")*($B$2:$B$501=B279)*($H$2:$H$501&lt;=H279)),1),"")))</f>
        <v/>
      </c>
      <c r="P279" s="26">
        <f>IF(A279&lt;&gt;"每日跟踪","",IF(O279="","",IFERROR(AGGREGATE(14,6,$D$2:$D$501/(($A$2:$A$501="止损计划")*($B$2:$B$501=B279)*($E$2:$E$501&lt;=O279)),1),0)))</f>
        <v/>
      </c>
      <c r="Q279" s="44">
        <f>IF(A279&lt;&gt;"每日跟踪","",IF(N279="","",MAX(N279,IFERROR(AGGREGATE(14,6,$F$2:$F$501/(($A$2:$A$501="止损计划")*($B$2:$B$501=B279)*($E$2:$E$501&lt;=O279)),1),0))))</f>
        <v/>
      </c>
      <c r="R279" s="43" t="n"/>
      <c r="S279" s="44">
        <f>IF(A279&lt;&gt;"每日跟踪","",IF(Q279="","",MAX(Q279,IFERROR(AGGREGATE(14,6,$R$2:$R$501/(($A$2:$A$501="每日跟踪")*($B$2:$B$501=B279)*($H$2:$H$501&lt;=H279)),1),0))))</f>
        <v/>
      </c>
      <c r="T279" s="44">
        <f>IF(A279&lt;&gt;"每日跟踪","",IF(O279="","",IF(COUNTIFS($A$2:$A$501,"止损计划",$B$2:$B$501,B279,$E$2:$E$501,"&gt;"&amp;O279)=0,"",AGGREGATE(15,6,$E$2:$E$501/(($A$2:$A$501="止损计划")*($B$2:$B$501=B279)*($E$2:$E$501&gt;O279)),1))))</f>
        <v/>
      </c>
      <c r="U279" s="44">
        <f>IF(OR(A279&lt;&gt;"每日跟踪",T279=""),"",IFERROR(AGGREGATE(14,6,$F$2:$F$501/(($A$2:$A$501="止损计划")*($B$2:$B$501=B279)*($E$2:$E$501=T279)),1),""))</f>
        <v/>
      </c>
      <c r="V279" s="30">
        <f>IF(OR(A279&lt;&gt;"每日跟踪",T279="",I279="",I279&lt;=0),"",T279/I279-1)</f>
        <v/>
      </c>
      <c r="W279" s="31">
        <f>IF(A279&lt;&gt;"每日跟踪","",IF(OR(I279="",S279=""),"",IF(I279&lt;=S279,"触发止损：应全部卖出","继续观察")))</f>
        <v/>
      </c>
      <c r="X279" s="28" t="n"/>
      <c r="Y279" s="43" t="n"/>
      <c r="Z279" s="26">
        <f>IF(X279&lt;&gt;"执行卖出","",IFERROR(LOOKUP(2,1/(单次交易!$A$2:$A$201=B279),单次交易!$AP$2:$AP$201),""))</f>
        <v/>
      </c>
      <c r="AA279" s="43" t="n"/>
      <c r="AB279" s="31">
        <f>IF(A279&lt;&gt;"每日跟踪","",IF(OR(B279="",H279="",I279="",J279="",K279="",L279="",M279=""),"待补充每日记录",IF(W279="触发止损：应全部卖出",IF(X279&lt;&gt;"执行卖出","违规：触发止损但未执行",IF(Y279="","待补充实际卖出价","卖出记录完整")),IF(X279="","待选择卖出动作",IF(X279="执行卖出",IF(Y279="","待补充实际卖出价","卖出记录完整"),"正常")))))</f>
        <v/>
      </c>
      <c r="AC279" s="31">
        <f>IF(A279="","",IF(A279="止损计划",IF(OR(B279="",D279="",E279="",F279="",G279=""),"计划不完整",IF(OR(D279&lt;1,D279&lt;&gt;INT(D279)),"阶段序号无效",IF(COUNTIFS($A$2:$A$501,"止损计划",$B$2:$B$501,B279,$D$2:$D$501,D279)&gt;1,"阶段序号重复",IF(E279&lt;=IFERROR(LOOKUP(2,1/('单次交易'!$A$2:$A$201=B279),'单次交易'!$E$2:$E$201),0),"激活价须高于买入价",IF(F279&lt;N279,"止损价不得低于初始止损",IF(F279&gt;E279,"止损价不得高于激活价",IF(AND(COUNTIFS($A$2:$A$501,"止损计划",$B$2:$B$501,B279,$D$2:$D$501,"&lt;"&amp;D279)&gt;0,OR(E279&lt;=AGGREGATE(14,6,$E$2:$E$501/(($A$2:$A$501="止损计划")*($B$2:$B$501=B279)*($D$2:$D$501&lt;D279)),1),F279&lt;AGGREGATE(14,6,$F$2:$F$501/(($A$2:$A$501="止损计划")*($B$2:$B$501=B279)*($D$2:$D$501&lt;D279)),1))),"阶段价格必须逐级提高","计划有效"))))))),IF(A279="每日跟踪",IF(OR(B279="",H279="",I279="",J279=""),"每日数据不完整",IF(COUNTIFS($A$2:$A$501,"每日跟踪",$B$2:$B$501,B279,$H$2:$H$501,H279)&gt;1,"同一交易日期重复",IF(AND(R279&lt;&gt;"",R279&lt;S279),"人工止损无效：不能下调","跟踪有效"))),"记录类型无效")))</f>
        <v/>
      </c>
    </row>
    <row r="280">
      <c r="A280" s="28" t="n"/>
      <c r="B280" s="28" t="n"/>
      <c r="C280" s="31">
        <f>IF(B280="","",IFERROR(LOOKUP(2,1/(单次交易!$A$2:$A$201=B280),单次交易!$B$2:$B$201),""))</f>
        <v/>
      </c>
      <c r="D280" s="27" t="n"/>
      <c r="E280" s="43" t="n"/>
      <c r="F280" s="43" t="n"/>
      <c r="G280" s="28" t="n"/>
      <c r="H280" s="49" t="n"/>
      <c r="I280" s="43" t="n"/>
      <c r="J280" s="27" t="n"/>
      <c r="K280" s="28" t="n"/>
      <c r="L280" s="28" t="n"/>
      <c r="M280" s="28" t="n"/>
      <c r="N280" s="44">
        <f>IF(B280="","",IFERROR(LOOKUP(2,1/(单次交易!$A$2:$A$201=B280),单次交易!$N$2:$N$201),""))</f>
        <v/>
      </c>
      <c r="O280" s="44">
        <f>IF(A280&lt;&gt;"每日跟踪","",IF(OR(B280="",H280="",I280=""),"",IFERROR(AGGREGATE(14,6,$I$2:$I$501/(($A$2:$A$501="每日跟踪")*($B$2:$B$501=B280)*($H$2:$H$501&lt;=H280)),1),"")))</f>
        <v/>
      </c>
      <c r="P280" s="26">
        <f>IF(A280&lt;&gt;"每日跟踪","",IF(O280="","",IFERROR(AGGREGATE(14,6,$D$2:$D$501/(($A$2:$A$501="止损计划")*($B$2:$B$501=B280)*($E$2:$E$501&lt;=O280)),1),0)))</f>
        <v/>
      </c>
      <c r="Q280" s="44">
        <f>IF(A280&lt;&gt;"每日跟踪","",IF(N280="","",MAX(N280,IFERROR(AGGREGATE(14,6,$F$2:$F$501/(($A$2:$A$501="止损计划")*($B$2:$B$501=B280)*($E$2:$E$501&lt;=O280)),1),0))))</f>
        <v/>
      </c>
      <c r="R280" s="43" t="n"/>
      <c r="S280" s="44">
        <f>IF(A280&lt;&gt;"每日跟踪","",IF(Q280="","",MAX(Q280,IFERROR(AGGREGATE(14,6,$R$2:$R$501/(($A$2:$A$501="每日跟踪")*($B$2:$B$501=B280)*($H$2:$H$501&lt;=H280)),1),0))))</f>
        <v/>
      </c>
      <c r="T280" s="44">
        <f>IF(A280&lt;&gt;"每日跟踪","",IF(O280="","",IF(COUNTIFS($A$2:$A$501,"止损计划",$B$2:$B$501,B280,$E$2:$E$501,"&gt;"&amp;O280)=0,"",AGGREGATE(15,6,$E$2:$E$501/(($A$2:$A$501="止损计划")*($B$2:$B$501=B280)*($E$2:$E$501&gt;O280)),1))))</f>
        <v/>
      </c>
      <c r="U280" s="44">
        <f>IF(OR(A280&lt;&gt;"每日跟踪",T280=""),"",IFERROR(AGGREGATE(14,6,$F$2:$F$501/(($A$2:$A$501="止损计划")*($B$2:$B$501=B280)*($E$2:$E$501=T280)),1),""))</f>
        <v/>
      </c>
      <c r="V280" s="30">
        <f>IF(OR(A280&lt;&gt;"每日跟踪",T280="",I280="",I280&lt;=0),"",T280/I280-1)</f>
        <v/>
      </c>
      <c r="W280" s="31">
        <f>IF(A280&lt;&gt;"每日跟踪","",IF(OR(I280="",S280=""),"",IF(I280&lt;=S280,"触发止损：应全部卖出","继续观察")))</f>
        <v/>
      </c>
      <c r="X280" s="28" t="n"/>
      <c r="Y280" s="43" t="n"/>
      <c r="Z280" s="26">
        <f>IF(X280&lt;&gt;"执行卖出","",IFERROR(LOOKUP(2,1/(单次交易!$A$2:$A$201=B280),单次交易!$AP$2:$AP$201),""))</f>
        <v/>
      </c>
      <c r="AA280" s="43" t="n"/>
      <c r="AB280" s="31">
        <f>IF(A280&lt;&gt;"每日跟踪","",IF(OR(B280="",H280="",I280="",J280="",K280="",L280="",M280=""),"待补充每日记录",IF(W280="触发止损：应全部卖出",IF(X280&lt;&gt;"执行卖出","违规：触发止损但未执行",IF(Y280="","待补充实际卖出价","卖出记录完整")),IF(X280="","待选择卖出动作",IF(X280="执行卖出",IF(Y280="","待补充实际卖出价","卖出记录完整"),"正常")))))</f>
        <v/>
      </c>
      <c r="AC280" s="31">
        <f>IF(A280="","",IF(A280="止损计划",IF(OR(B280="",D280="",E280="",F280="",G280=""),"计划不完整",IF(OR(D280&lt;1,D280&lt;&gt;INT(D280)),"阶段序号无效",IF(COUNTIFS($A$2:$A$501,"止损计划",$B$2:$B$501,B280,$D$2:$D$501,D280)&gt;1,"阶段序号重复",IF(E280&lt;=IFERROR(LOOKUP(2,1/('单次交易'!$A$2:$A$201=B280),'单次交易'!$E$2:$E$201),0),"激活价须高于买入价",IF(F280&lt;N280,"止损价不得低于初始止损",IF(F280&gt;E280,"止损价不得高于激活价",IF(AND(COUNTIFS($A$2:$A$501,"止损计划",$B$2:$B$501,B280,$D$2:$D$501,"&lt;"&amp;D280)&gt;0,OR(E280&lt;=AGGREGATE(14,6,$E$2:$E$501/(($A$2:$A$501="止损计划")*($B$2:$B$501=B280)*($D$2:$D$501&lt;D280)),1),F280&lt;AGGREGATE(14,6,$F$2:$F$501/(($A$2:$A$501="止损计划")*($B$2:$B$501=B280)*($D$2:$D$501&lt;D280)),1))),"阶段价格必须逐级提高","计划有效"))))))),IF(A280="每日跟踪",IF(OR(B280="",H280="",I280="",J280=""),"每日数据不完整",IF(COUNTIFS($A$2:$A$501,"每日跟踪",$B$2:$B$501,B280,$H$2:$H$501,H280)&gt;1,"同一交易日期重复",IF(AND(R280&lt;&gt;"",R280&lt;S280),"人工止损无效：不能下调","跟踪有效"))),"记录类型无效")))</f>
        <v/>
      </c>
    </row>
    <row r="281">
      <c r="A281" s="28" t="n"/>
      <c r="B281" s="28" t="n"/>
      <c r="C281" s="31">
        <f>IF(B281="","",IFERROR(LOOKUP(2,1/(单次交易!$A$2:$A$201=B281),单次交易!$B$2:$B$201),""))</f>
        <v/>
      </c>
      <c r="D281" s="27" t="n"/>
      <c r="E281" s="43" t="n"/>
      <c r="F281" s="43" t="n"/>
      <c r="G281" s="28" t="n"/>
      <c r="H281" s="49" t="n"/>
      <c r="I281" s="43" t="n"/>
      <c r="J281" s="27" t="n"/>
      <c r="K281" s="28" t="n"/>
      <c r="L281" s="28" t="n"/>
      <c r="M281" s="28" t="n"/>
      <c r="N281" s="44">
        <f>IF(B281="","",IFERROR(LOOKUP(2,1/(单次交易!$A$2:$A$201=B281),单次交易!$N$2:$N$201),""))</f>
        <v/>
      </c>
      <c r="O281" s="44">
        <f>IF(A281&lt;&gt;"每日跟踪","",IF(OR(B281="",H281="",I281=""),"",IFERROR(AGGREGATE(14,6,$I$2:$I$501/(($A$2:$A$501="每日跟踪")*($B$2:$B$501=B281)*($H$2:$H$501&lt;=H281)),1),"")))</f>
        <v/>
      </c>
      <c r="P281" s="26">
        <f>IF(A281&lt;&gt;"每日跟踪","",IF(O281="","",IFERROR(AGGREGATE(14,6,$D$2:$D$501/(($A$2:$A$501="止损计划")*($B$2:$B$501=B281)*($E$2:$E$501&lt;=O281)),1),0)))</f>
        <v/>
      </c>
      <c r="Q281" s="44">
        <f>IF(A281&lt;&gt;"每日跟踪","",IF(N281="","",MAX(N281,IFERROR(AGGREGATE(14,6,$F$2:$F$501/(($A$2:$A$501="止损计划")*($B$2:$B$501=B281)*($E$2:$E$501&lt;=O281)),1),0))))</f>
        <v/>
      </c>
      <c r="R281" s="43" t="n"/>
      <c r="S281" s="44">
        <f>IF(A281&lt;&gt;"每日跟踪","",IF(Q281="","",MAX(Q281,IFERROR(AGGREGATE(14,6,$R$2:$R$501/(($A$2:$A$501="每日跟踪")*($B$2:$B$501=B281)*($H$2:$H$501&lt;=H281)),1),0))))</f>
        <v/>
      </c>
      <c r="T281" s="44">
        <f>IF(A281&lt;&gt;"每日跟踪","",IF(O281="","",IF(COUNTIFS($A$2:$A$501,"止损计划",$B$2:$B$501,B281,$E$2:$E$501,"&gt;"&amp;O281)=0,"",AGGREGATE(15,6,$E$2:$E$501/(($A$2:$A$501="止损计划")*($B$2:$B$501=B281)*($E$2:$E$501&gt;O281)),1))))</f>
        <v/>
      </c>
      <c r="U281" s="44">
        <f>IF(OR(A281&lt;&gt;"每日跟踪",T281=""),"",IFERROR(AGGREGATE(14,6,$F$2:$F$501/(($A$2:$A$501="止损计划")*($B$2:$B$501=B281)*($E$2:$E$501=T281)),1),""))</f>
        <v/>
      </c>
      <c r="V281" s="30">
        <f>IF(OR(A281&lt;&gt;"每日跟踪",T281="",I281="",I281&lt;=0),"",T281/I281-1)</f>
        <v/>
      </c>
      <c r="W281" s="31">
        <f>IF(A281&lt;&gt;"每日跟踪","",IF(OR(I281="",S281=""),"",IF(I281&lt;=S281,"触发止损：应全部卖出","继续观察")))</f>
        <v/>
      </c>
      <c r="X281" s="28" t="n"/>
      <c r="Y281" s="43" t="n"/>
      <c r="Z281" s="26">
        <f>IF(X281&lt;&gt;"执行卖出","",IFERROR(LOOKUP(2,1/(单次交易!$A$2:$A$201=B281),单次交易!$AP$2:$AP$201),""))</f>
        <v/>
      </c>
      <c r="AA281" s="43" t="n"/>
      <c r="AB281" s="31">
        <f>IF(A281&lt;&gt;"每日跟踪","",IF(OR(B281="",H281="",I281="",J281="",K281="",L281="",M281=""),"待补充每日记录",IF(W281="触发止损：应全部卖出",IF(X281&lt;&gt;"执行卖出","违规：触发止损但未执行",IF(Y281="","待补充实际卖出价","卖出记录完整")),IF(X281="","待选择卖出动作",IF(X281="执行卖出",IF(Y281="","待补充实际卖出价","卖出记录完整"),"正常")))))</f>
        <v/>
      </c>
      <c r="AC281" s="31">
        <f>IF(A281="","",IF(A281="止损计划",IF(OR(B281="",D281="",E281="",F281="",G281=""),"计划不完整",IF(OR(D281&lt;1,D281&lt;&gt;INT(D281)),"阶段序号无效",IF(COUNTIFS($A$2:$A$501,"止损计划",$B$2:$B$501,B281,$D$2:$D$501,D281)&gt;1,"阶段序号重复",IF(E281&lt;=IFERROR(LOOKUP(2,1/('单次交易'!$A$2:$A$201=B281),'单次交易'!$E$2:$E$201),0),"激活价须高于买入价",IF(F281&lt;N281,"止损价不得低于初始止损",IF(F281&gt;E281,"止损价不得高于激活价",IF(AND(COUNTIFS($A$2:$A$501,"止损计划",$B$2:$B$501,B281,$D$2:$D$501,"&lt;"&amp;D281)&gt;0,OR(E281&lt;=AGGREGATE(14,6,$E$2:$E$501/(($A$2:$A$501="止损计划")*($B$2:$B$501=B281)*($D$2:$D$501&lt;D281)),1),F281&lt;AGGREGATE(14,6,$F$2:$F$501/(($A$2:$A$501="止损计划")*($B$2:$B$501=B281)*($D$2:$D$501&lt;D281)),1))),"阶段价格必须逐级提高","计划有效"))))))),IF(A281="每日跟踪",IF(OR(B281="",H281="",I281="",J281=""),"每日数据不完整",IF(COUNTIFS($A$2:$A$501,"每日跟踪",$B$2:$B$501,B281,$H$2:$H$501,H281)&gt;1,"同一交易日期重复",IF(AND(R281&lt;&gt;"",R281&lt;S281),"人工止损无效：不能下调","跟踪有效"))),"记录类型无效")))</f>
        <v/>
      </c>
    </row>
    <row r="282">
      <c r="A282" s="28" t="n"/>
      <c r="B282" s="28" t="n"/>
      <c r="C282" s="31">
        <f>IF(B282="","",IFERROR(LOOKUP(2,1/(单次交易!$A$2:$A$201=B282),单次交易!$B$2:$B$201),""))</f>
        <v/>
      </c>
      <c r="D282" s="27" t="n"/>
      <c r="E282" s="43" t="n"/>
      <c r="F282" s="43" t="n"/>
      <c r="G282" s="28" t="n"/>
      <c r="H282" s="49" t="n"/>
      <c r="I282" s="43" t="n"/>
      <c r="J282" s="27" t="n"/>
      <c r="K282" s="28" t="n"/>
      <c r="L282" s="28" t="n"/>
      <c r="M282" s="28" t="n"/>
      <c r="N282" s="44">
        <f>IF(B282="","",IFERROR(LOOKUP(2,1/(单次交易!$A$2:$A$201=B282),单次交易!$N$2:$N$201),""))</f>
        <v/>
      </c>
      <c r="O282" s="44">
        <f>IF(A282&lt;&gt;"每日跟踪","",IF(OR(B282="",H282="",I282=""),"",IFERROR(AGGREGATE(14,6,$I$2:$I$501/(($A$2:$A$501="每日跟踪")*($B$2:$B$501=B282)*($H$2:$H$501&lt;=H282)),1),"")))</f>
        <v/>
      </c>
      <c r="P282" s="26">
        <f>IF(A282&lt;&gt;"每日跟踪","",IF(O282="","",IFERROR(AGGREGATE(14,6,$D$2:$D$501/(($A$2:$A$501="止损计划")*($B$2:$B$501=B282)*($E$2:$E$501&lt;=O282)),1),0)))</f>
        <v/>
      </c>
      <c r="Q282" s="44">
        <f>IF(A282&lt;&gt;"每日跟踪","",IF(N282="","",MAX(N282,IFERROR(AGGREGATE(14,6,$F$2:$F$501/(($A$2:$A$501="止损计划")*($B$2:$B$501=B282)*($E$2:$E$501&lt;=O282)),1),0))))</f>
        <v/>
      </c>
      <c r="R282" s="43" t="n"/>
      <c r="S282" s="44">
        <f>IF(A282&lt;&gt;"每日跟踪","",IF(Q282="","",MAX(Q282,IFERROR(AGGREGATE(14,6,$R$2:$R$501/(($A$2:$A$501="每日跟踪")*($B$2:$B$501=B282)*($H$2:$H$501&lt;=H282)),1),0))))</f>
        <v/>
      </c>
      <c r="T282" s="44">
        <f>IF(A282&lt;&gt;"每日跟踪","",IF(O282="","",IF(COUNTIFS($A$2:$A$501,"止损计划",$B$2:$B$501,B282,$E$2:$E$501,"&gt;"&amp;O282)=0,"",AGGREGATE(15,6,$E$2:$E$501/(($A$2:$A$501="止损计划")*($B$2:$B$501=B282)*($E$2:$E$501&gt;O282)),1))))</f>
        <v/>
      </c>
      <c r="U282" s="44">
        <f>IF(OR(A282&lt;&gt;"每日跟踪",T282=""),"",IFERROR(AGGREGATE(14,6,$F$2:$F$501/(($A$2:$A$501="止损计划")*($B$2:$B$501=B282)*($E$2:$E$501=T282)),1),""))</f>
        <v/>
      </c>
      <c r="V282" s="30">
        <f>IF(OR(A282&lt;&gt;"每日跟踪",T282="",I282="",I282&lt;=0),"",T282/I282-1)</f>
        <v/>
      </c>
      <c r="W282" s="31">
        <f>IF(A282&lt;&gt;"每日跟踪","",IF(OR(I282="",S282=""),"",IF(I282&lt;=S282,"触发止损：应全部卖出","继续观察")))</f>
        <v/>
      </c>
      <c r="X282" s="28" t="n"/>
      <c r="Y282" s="43" t="n"/>
      <c r="Z282" s="26">
        <f>IF(X282&lt;&gt;"执行卖出","",IFERROR(LOOKUP(2,1/(单次交易!$A$2:$A$201=B282),单次交易!$AP$2:$AP$201),""))</f>
        <v/>
      </c>
      <c r="AA282" s="43" t="n"/>
      <c r="AB282" s="31">
        <f>IF(A282&lt;&gt;"每日跟踪","",IF(OR(B282="",H282="",I282="",J282="",K282="",L282="",M282=""),"待补充每日记录",IF(W282="触发止损：应全部卖出",IF(X282&lt;&gt;"执行卖出","违规：触发止损但未执行",IF(Y282="","待补充实际卖出价","卖出记录完整")),IF(X282="","待选择卖出动作",IF(X282="执行卖出",IF(Y282="","待补充实际卖出价","卖出记录完整"),"正常")))))</f>
        <v/>
      </c>
      <c r="AC282" s="31">
        <f>IF(A282="","",IF(A282="止损计划",IF(OR(B282="",D282="",E282="",F282="",G282=""),"计划不完整",IF(OR(D282&lt;1,D282&lt;&gt;INT(D282)),"阶段序号无效",IF(COUNTIFS($A$2:$A$501,"止损计划",$B$2:$B$501,B282,$D$2:$D$501,D282)&gt;1,"阶段序号重复",IF(E282&lt;=IFERROR(LOOKUP(2,1/('单次交易'!$A$2:$A$201=B282),'单次交易'!$E$2:$E$201),0),"激活价须高于买入价",IF(F282&lt;N282,"止损价不得低于初始止损",IF(F282&gt;E282,"止损价不得高于激活价",IF(AND(COUNTIFS($A$2:$A$501,"止损计划",$B$2:$B$501,B282,$D$2:$D$501,"&lt;"&amp;D282)&gt;0,OR(E282&lt;=AGGREGATE(14,6,$E$2:$E$501/(($A$2:$A$501="止损计划")*($B$2:$B$501=B282)*($D$2:$D$501&lt;D282)),1),F282&lt;AGGREGATE(14,6,$F$2:$F$501/(($A$2:$A$501="止损计划")*($B$2:$B$501=B282)*($D$2:$D$501&lt;D282)),1))),"阶段价格必须逐级提高","计划有效"))))))),IF(A282="每日跟踪",IF(OR(B282="",H282="",I282="",J282=""),"每日数据不完整",IF(COUNTIFS($A$2:$A$501,"每日跟踪",$B$2:$B$501,B282,$H$2:$H$501,H282)&gt;1,"同一交易日期重复",IF(AND(R282&lt;&gt;"",R282&lt;S282),"人工止损无效：不能下调","跟踪有效"))),"记录类型无效")))</f>
        <v/>
      </c>
    </row>
    <row r="283">
      <c r="A283" s="28" t="n"/>
      <c r="B283" s="28" t="n"/>
      <c r="C283" s="31">
        <f>IF(B283="","",IFERROR(LOOKUP(2,1/(单次交易!$A$2:$A$201=B283),单次交易!$B$2:$B$201),""))</f>
        <v/>
      </c>
      <c r="D283" s="27" t="n"/>
      <c r="E283" s="43" t="n"/>
      <c r="F283" s="43" t="n"/>
      <c r="G283" s="28" t="n"/>
      <c r="H283" s="49" t="n"/>
      <c r="I283" s="43" t="n"/>
      <c r="J283" s="27" t="n"/>
      <c r="K283" s="28" t="n"/>
      <c r="L283" s="28" t="n"/>
      <c r="M283" s="28" t="n"/>
      <c r="N283" s="44">
        <f>IF(B283="","",IFERROR(LOOKUP(2,1/(单次交易!$A$2:$A$201=B283),单次交易!$N$2:$N$201),""))</f>
        <v/>
      </c>
      <c r="O283" s="44">
        <f>IF(A283&lt;&gt;"每日跟踪","",IF(OR(B283="",H283="",I283=""),"",IFERROR(AGGREGATE(14,6,$I$2:$I$501/(($A$2:$A$501="每日跟踪")*($B$2:$B$501=B283)*($H$2:$H$501&lt;=H283)),1),"")))</f>
        <v/>
      </c>
      <c r="P283" s="26">
        <f>IF(A283&lt;&gt;"每日跟踪","",IF(O283="","",IFERROR(AGGREGATE(14,6,$D$2:$D$501/(($A$2:$A$501="止损计划")*($B$2:$B$501=B283)*($E$2:$E$501&lt;=O283)),1),0)))</f>
        <v/>
      </c>
      <c r="Q283" s="44">
        <f>IF(A283&lt;&gt;"每日跟踪","",IF(N283="","",MAX(N283,IFERROR(AGGREGATE(14,6,$F$2:$F$501/(($A$2:$A$501="止损计划")*($B$2:$B$501=B283)*($E$2:$E$501&lt;=O283)),1),0))))</f>
        <v/>
      </c>
      <c r="R283" s="43" t="n"/>
      <c r="S283" s="44">
        <f>IF(A283&lt;&gt;"每日跟踪","",IF(Q283="","",MAX(Q283,IFERROR(AGGREGATE(14,6,$R$2:$R$501/(($A$2:$A$501="每日跟踪")*($B$2:$B$501=B283)*($H$2:$H$501&lt;=H283)),1),0))))</f>
        <v/>
      </c>
      <c r="T283" s="44">
        <f>IF(A283&lt;&gt;"每日跟踪","",IF(O283="","",IF(COUNTIFS($A$2:$A$501,"止损计划",$B$2:$B$501,B283,$E$2:$E$501,"&gt;"&amp;O283)=0,"",AGGREGATE(15,6,$E$2:$E$501/(($A$2:$A$501="止损计划")*($B$2:$B$501=B283)*($E$2:$E$501&gt;O283)),1))))</f>
        <v/>
      </c>
      <c r="U283" s="44">
        <f>IF(OR(A283&lt;&gt;"每日跟踪",T283=""),"",IFERROR(AGGREGATE(14,6,$F$2:$F$501/(($A$2:$A$501="止损计划")*($B$2:$B$501=B283)*($E$2:$E$501=T283)),1),""))</f>
        <v/>
      </c>
      <c r="V283" s="30">
        <f>IF(OR(A283&lt;&gt;"每日跟踪",T283="",I283="",I283&lt;=0),"",T283/I283-1)</f>
        <v/>
      </c>
      <c r="W283" s="31">
        <f>IF(A283&lt;&gt;"每日跟踪","",IF(OR(I283="",S283=""),"",IF(I283&lt;=S283,"触发止损：应全部卖出","继续观察")))</f>
        <v/>
      </c>
      <c r="X283" s="28" t="n"/>
      <c r="Y283" s="43" t="n"/>
      <c r="Z283" s="26">
        <f>IF(X283&lt;&gt;"执行卖出","",IFERROR(LOOKUP(2,1/(单次交易!$A$2:$A$201=B283),单次交易!$AP$2:$AP$201),""))</f>
        <v/>
      </c>
      <c r="AA283" s="43" t="n"/>
      <c r="AB283" s="31">
        <f>IF(A283&lt;&gt;"每日跟踪","",IF(OR(B283="",H283="",I283="",J283="",K283="",L283="",M283=""),"待补充每日记录",IF(W283="触发止损：应全部卖出",IF(X283&lt;&gt;"执行卖出","违规：触发止损但未执行",IF(Y283="","待补充实际卖出价","卖出记录完整")),IF(X283="","待选择卖出动作",IF(X283="执行卖出",IF(Y283="","待补充实际卖出价","卖出记录完整"),"正常")))))</f>
        <v/>
      </c>
      <c r="AC283" s="31">
        <f>IF(A283="","",IF(A283="止损计划",IF(OR(B283="",D283="",E283="",F283="",G283=""),"计划不完整",IF(OR(D283&lt;1,D283&lt;&gt;INT(D283)),"阶段序号无效",IF(COUNTIFS($A$2:$A$501,"止损计划",$B$2:$B$501,B283,$D$2:$D$501,D283)&gt;1,"阶段序号重复",IF(E283&lt;=IFERROR(LOOKUP(2,1/('单次交易'!$A$2:$A$201=B283),'单次交易'!$E$2:$E$201),0),"激活价须高于买入价",IF(F283&lt;N283,"止损价不得低于初始止损",IF(F283&gt;E283,"止损价不得高于激活价",IF(AND(COUNTIFS($A$2:$A$501,"止损计划",$B$2:$B$501,B283,$D$2:$D$501,"&lt;"&amp;D283)&gt;0,OR(E283&lt;=AGGREGATE(14,6,$E$2:$E$501/(($A$2:$A$501="止损计划")*($B$2:$B$501=B283)*($D$2:$D$501&lt;D283)),1),F283&lt;AGGREGATE(14,6,$F$2:$F$501/(($A$2:$A$501="止损计划")*($B$2:$B$501=B283)*($D$2:$D$501&lt;D283)),1))),"阶段价格必须逐级提高","计划有效"))))))),IF(A283="每日跟踪",IF(OR(B283="",H283="",I283="",J283=""),"每日数据不完整",IF(COUNTIFS($A$2:$A$501,"每日跟踪",$B$2:$B$501,B283,$H$2:$H$501,H283)&gt;1,"同一交易日期重复",IF(AND(R283&lt;&gt;"",R283&lt;S283),"人工止损无效：不能下调","跟踪有效"))),"记录类型无效")))</f>
        <v/>
      </c>
    </row>
    <row r="284">
      <c r="A284" s="28" t="n"/>
      <c r="B284" s="28" t="n"/>
      <c r="C284" s="31">
        <f>IF(B284="","",IFERROR(LOOKUP(2,1/(单次交易!$A$2:$A$201=B284),单次交易!$B$2:$B$201),""))</f>
        <v/>
      </c>
      <c r="D284" s="27" t="n"/>
      <c r="E284" s="43" t="n"/>
      <c r="F284" s="43" t="n"/>
      <c r="G284" s="28" t="n"/>
      <c r="H284" s="49" t="n"/>
      <c r="I284" s="43" t="n"/>
      <c r="J284" s="27" t="n"/>
      <c r="K284" s="28" t="n"/>
      <c r="L284" s="28" t="n"/>
      <c r="M284" s="28" t="n"/>
      <c r="N284" s="44">
        <f>IF(B284="","",IFERROR(LOOKUP(2,1/(单次交易!$A$2:$A$201=B284),单次交易!$N$2:$N$201),""))</f>
        <v/>
      </c>
      <c r="O284" s="44">
        <f>IF(A284&lt;&gt;"每日跟踪","",IF(OR(B284="",H284="",I284=""),"",IFERROR(AGGREGATE(14,6,$I$2:$I$501/(($A$2:$A$501="每日跟踪")*($B$2:$B$501=B284)*($H$2:$H$501&lt;=H284)),1),"")))</f>
        <v/>
      </c>
      <c r="P284" s="26">
        <f>IF(A284&lt;&gt;"每日跟踪","",IF(O284="","",IFERROR(AGGREGATE(14,6,$D$2:$D$501/(($A$2:$A$501="止损计划")*($B$2:$B$501=B284)*($E$2:$E$501&lt;=O284)),1),0)))</f>
        <v/>
      </c>
      <c r="Q284" s="44">
        <f>IF(A284&lt;&gt;"每日跟踪","",IF(N284="","",MAX(N284,IFERROR(AGGREGATE(14,6,$F$2:$F$501/(($A$2:$A$501="止损计划")*($B$2:$B$501=B284)*($E$2:$E$501&lt;=O284)),1),0))))</f>
        <v/>
      </c>
      <c r="R284" s="43" t="n"/>
      <c r="S284" s="44">
        <f>IF(A284&lt;&gt;"每日跟踪","",IF(Q284="","",MAX(Q284,IFERROR(AGGREGATE(14,6,$R$2:$R$501/(($A$2:$A$501="每日跟踪")*($B$2:$B$501=B284)*($H$2:$H$501&lt;=H284)),1),0))))</f>
        <v/>
      </c>
      <c r="T284" s="44">
        <f>IF(A284&lt;&gt;"每日跟踪","",IF(O284="","",IF(COUNTIFS($A$2:$A$501,"止损计划",$B$2:$B$501,B284,$E$2:$E$501,"&gt;"&amp;O284)=0,"",AGGREGATE(15,6,$E$2:$E$501/(($A$2:$A$501="止损计划")*($B$2:$B$501=B284)*($E$2:$E$501&gt;O284)),1))))</f>
        <v/>
      </c>
      <c r="U284" s="44">
        <f>IF(OR(A284&lt;&gt;"每日跟踪",T284=""),"",IFERROR(AGGREGATE(14,6,$F$2:$F$501/(($A$2:$A$501="止损计划")*($B$2:$B$501=B284)*($E$2:$E$501=T284)),1),""))</f>
        <v/>
      </c>
      <c r="V284" s="30">
        <f>IF(OR(A284&lt;&gt;"每日跟踪",T284="",I284="",I284&lt;=0),"",T284/I284-1)</f>
        <v/>
      </c>
      <c r="W284" s="31">
        <f>IF(A284&lt;&gt;"每日跟踪","",IF(OR(I284="",S284=""),"",IF(I284&lt;=S284,"触发止损：应全部卖出","继续观察")))</f>
        <v/>
      </c>
      <c r="X284" s="28" t="n"/>
      <c r="Y284" s="43" t="n"/>
      <c r="Z284" s="26">
        <f>IF(X284&lt;&gt;"执行卖出","",IFERROR(LOOKUP(2,1/(单次交易!$A$2:$A$201=B284),单次交易!$AP$2:$AP$201),""))</f>
        <v/>
      </c>
      <c r="AA284" s="43" t="n"/>
      <c r="AB284" s="31">
        <f>IF(A284&lt;&gt;"每日跟踪","",IF(OR(B284="",H284="",I284="",J284="",K284="",L284="",M284=""),"待补充每日记录",IF(W284="触发止损：应全部卖出",IF(X284&lt;&gt;"执行卖出","违规：触发止损但未执行",IF(Y284="","待补充实际卖出价","卖出记录完整")),IF(X284="","待选择卖出动作",IF(X284="执行卖出",IF(Y284="","待补充实际卖出价","卖出记录完整"),"正常")))))</f>
        <v/>
      </c>
      <c r="AC284" s="31">
        <f>IF(A284="","",IF(A284="止损计划",IF(OR(B284="",D284="",E284="",F284="",G284=""),"计划不完整",IF(OR(D284&lt;1,D284&lt;&gt;INT(D284)),"阶段序号无效",IF(COUNTIFS($A$2:$A$501,"止损计划",$B$2:$B$501,B284,$D$2:$D$501,D284)&gt;1,"阶段序号重复",IF(E284&lt;=IFERROR(LOOKUP(2,1/('单次交易'!$A$2:$A$201=B284),'单次交易'!$E$2:$E$201),0),"激活价须高于买入价",IF(F284&lt;N284,"止损价不得低于初始止损",IF(F284&gt;E284,"止损价不得高于激活价",IF(AND(COUNTIFS($A$2:$A$501,"止损计划",$B$2:$B$501,B284,$D$2:$D$501,"&lt;"&amp;D284)&gt;0,OR(E284&lt;=AGGREGATE(14,6,$E$2:$E$501/(($A$2:$A$501="止损计划")*($B$2:$B$501=B284)*($D$2:$D$501&lt;D284)),1),F284&lt;AGGREGATE(14,6,$F$2:$F$501/(($A$2:$A$501="止损计划")*($B$2:$B$501=B284)*($D$2:$D$501&lt;D284)),1))),"阶段价格必须逐级提高","计划有效"))))))),IF(A284="每日跟踪",IF(OR(B284="",H284="",I284="",J284=""),"每日数据不完整",IF(COUNTIFS($A$2:$A$501,"每日跟踪",$B$2:$B$501,B284,$H$2:$H$501,H284)&gt;1,"同一交易日期重复",IF(AND(R284&lt;&gt;"",R284&lt;S284),"人工止损无效：不能下调","跟踪有效"))),"记录类型无效")))</f>
        <v/>
      </c>
    </row>
    <row r="285">
      <c r="A285" s="28" t="n"/>
      <c r="B285" s="28" t="n"/>
      <c r="C285" s="31">
        <f>IF(B285="","",IFERROR(LOOKUP(2,1/(单次交易!$A$2:$A$201=B285),单次交易!$B$2:$B$201),""))</f>
        <v/>
      </c>
      <c r="D285" s="27" t="n"/>
      <c r="E285" s="43" t="n"/>
      <c r="F285" s="43" t="n"/>
      <c r="G285" s="28" t="n"/>
      <c r="H285" s="49" t="n"/>
      <c r="I285" s="43" t="n"/>
      <c r="J285" s="27" t="n"/>
      <c r="K285" s="28" t="n"/>
      <c r="L285" s="28" t="n"/>
      <c r="M285" s="28" t="n"/>
      <c r="N285" s="44">
        <f>IF(B285="","",IFERROR(LOOKUP(2,1/(单次交易!$A$2:$A$201=B285),单次交易!$N$2:$N$201),""))</f>
        <v/>
      </c>
      <c r="O285" s="44">
        <f>IF(A285&lt;&gt;"每日跟踪","",IF(OR(B285="",H285="",I285=""),"",IFERROR(AGGREGATE(14,6,$I$2:$I$501/(($A$2:$A$501="每日跟踪")*($B$2:$B$501=B285)*($H$2:$H$501&lt;=H285)),1),"")))</f>
        <v/>
      </c>
      <c r="P285" s="26">
        <f>IF(A285&lt;&gt;"每日跟踪","",IF(O285="","",IFERROR(AGGREGATE(14,6,$D$2:$D$501/(($A$2:$A$501="止损计划")*($B$2:$B$501=B285)*($E$2:$E$501&lt;=O285)),1),0)))</f>
        <v/>
      </c>
      <c r="Q285" s="44">
        <f>IF(A285&lt;&gt;"每日跟踪","",IF(N285="","",MAX(N285,IFERROR(AGGREGATE(14,6,$F$2:$F$501/(($A$2:$A$501="止损计划")*($B$2:$B$501=B285)*($E$2:$E$501&lt;=O285)),1),0))))</f>
        <v/>
      </c>
      <c r="R285" s="43" t="n"/>
      <c r="S285" s="44">
        <f>IF(A285&lt;&gt;"每日跟踪","",IF(Q285="","",MAX(Q285,IFERROR(AGGREGATE(14,6,$R$2:$R$501/(($A$2:$A$501="每日跟踪")*($B$2:$B$501=B285)*($H$2:$H$501&lt;=H285)),1),0))))</f>
        <v/>
      </c>
      <c r="T285" s="44">
        <f>IF(A285&lt;&gt;"每日跟踪","",IF(O285="","",IF(COUNTIFS($A$2:$A$501,"止损计划",$B$2:$B$501,B285,$E$2:$E$501,"&gt;"&amp;O285)=0,"",AGGREGATE(15,6,$E$2:$E$501/(($A$2:$A$501="止损计划")*($B$2:$B$501=B285)*($E$2:$E$501&gt;O285)),1))))</f>
        <v/>
      </c>
      <c r="U285" s="44">
        <f>IF(OR(A285&lt;&gt;"每日跟踪",T285=""),"",IFERROR(AGGREGATE(14,6,$F$2:$F$501/(($A$2:$A$501="止损计划")*($B$2:$B$501=B285)*($E$2:$E$501=T285)),1),""))</f>
        <v/>
      </c>
      <c r="V285" s="30">
        <f>IF(OR(A285&lt;&gt;"每日跟踪",T285="",I285="",I285&lt;=0),"",T285/I285-1)</f>
        <v/>
      </c>
      <c r="W285" s="31">
        <f>IF(A285&lt;&gt;"每日跟踪","",IF(OR(I285="",S285=""),"",IF(I285&lt;=S285,"触发止损：应全部卖出","继续观察")))</f>
        <v/>
      </c>
      <c r="X285" s="28" t="n"/>
      <c r="Y285" s="43" t="n"/>
      <c r="Z285" s="26">
        <f>IF(X285&lt;&gt;"执行卖出","",IFERROR(LOOKUP(2,1/(单次交易!$A$2:$A$201=B285),单次交易!$AP$2:$AP$201),""))</f>
        <v/>
      </c>
      <c r="AA285" s="43" t="n"/>
      <c r="AB285" s="31">
        <f>IF(A285&lt;&gt;"每日跟踪","",IF(OR(B285="",H285="",I285="",J285="",K285="",L285="",M285=""),"待补充每日记录",IF(W285="触发止损：应全部卖出",IF(X285&lt;&gt;"执行卖出","违规：触发止损但未执行",IF(Y285="","待补充实际卖出价","卖出记录完整")),IF(X285="","待选择卖出动作",IF(X285="执行卖出",IF(Y285="","待补充实际卖出价","卖出记录完整"),"正常")))))</f>
        <v/>
      </c>
      <c r="AC285" s="31">
        <f>IF(A285="","",IF(A285="止损计划",IF(OR(B285="",D285="",E285="",F285="",G285=""),"计划不完整",IF(OR(D285&lt;1,D285&lt;&gt;INT(D285)),"阶段序号无效",IF(COUNTIFS($A$2:$A$501,"止损计划",$B$2:$B$501,B285,$D$2:$D$501,D285)&gt;1,"阶段序号重复",IF(E285&lt;=IFERROR(LOOKUP(2,1/('单次交易'!$A$2:$A$201=B285),'单次交易'!$E$2:$E$201),0),"激活价须高于买入价",IF(F285&lt;N285,"止损价不得低于初始止损",IF(F285&gt;E285,"止损价不得高于激活价",IF(AND(COUNTIFS($A$2:$A$501,"止损计划",$B$2:$B$501,B285,$D$2:$D$501,"&lt;"&amp;D285)&gt;0,OR(E285&lt;=AGGREGATE(14,6,$E$2:$E$501/(($A$2:$A$501="止损计划")*($B$2:$B$501=B285)*($D$2:$D$501&lt;D285)),1),F285&lt;AGGREGATE(14,6,$F$2:$F$501/(($A$2:$A$501="止损计划")*($B$2:$B$501=B285)*($D$2:$D$501&lt;D285)),1))),"阶段价格必须逐级提高","计划有效"))))))),IF(A285="每日跟踪",IF(OR(B285="",H285="",I285="",J285=""),"每日数据不完整",IF(COUNTIFS($A$2:$A$501,"每日跟踪",$B$2:$B$501,B285,$H$2:$H$501,H285)&gt;1,"同一交易日期重复",IF(AND(R285&lt;&gt;"",R285&lt;S285),"人工止损无效：不能下调","跟踪有效"))),"记录类型无效")))</f>
        <v/>
      </c>
    </row>
    <row r="286">
      <c r="A286" s="28" t="n"/>
      <c r="B286" s="28" t="n"/>
      <c r="C286" s="31">
        <f>IF(B286="","",IFERROR(LOOKUP(2,1/(单次交易!$A$2:$A$201=B286),单次交易!$B$2:$B$201),""))</f>
        <v/>
      </c>
      <c r="D286" s="27" t="n"/>
      <c r="E286" s="43" t="n"/>
      <c r="F286" s="43" t="n"/>
      <c r="G286" s="28" t="n"/>
      <c r="H286" s="49" t="n"/>
      <c r="I286" s="43" t="n"/>
      <c r="J286" s="27" t="n"/>
      <c r="K286" s="28" t="n"/>
      <c r="L286" s="28" t="n"/>
      <c r="M286" s="28" t="n"/>
      <c r="N286" s="44">
        <f>IF(B286="","",IFERROR(LOOKUP(2,1/(单次交易!$A$2:$A$201=B286),单次交易!$N$2:$N$201),""))</f>
        <v/>
      </c>
      <c r="O286" s="44">
        <f>IF(A286&lt;&gt;"每日跟踪","",IF(OR(B286="",H286="",I286=""),"",IFERROR(AGGREGATE(14,6,$I$2:$I$501/(($A$2:$A$501="每日跟踪")*($B$2:$B$501=B286)*($H$2:$H$501&lt;=H286)),1),"")))</f>
        <v/>
      </c>
      <c r="P286" s="26">
        <f>IF(A286&lt;&gt;"每日跟踪","",IF(O286="","",IFERROR(AGGREGATE(14,6,$D$2:$D$501/(($A$2:$A$501="止损计划")*($B$2:$B$501=B286)*($E$2:$E$501&lt;=O286)),1),0)))</f>
        <v/>
      </c>
      <c r="Q286" s="44">
        <f>IF(A286&lt;&gt;"每日跟踪","",IF(N286="","",MAX(N286,IFERROR(AGGREGATE(14,6,$F$2:$F$501/(($A$2:$A$501="止损计划")*($B$2:$B$501=B286)*($E$2:$E$501&lt;=O286)),1),0))))</f>
        <v/>
      </c>
      <c r="R286" s="43" t="n"/>
      <c r="S286" s="44">
        <f>IF(A286&lt;&gt;"每日跟踪","",IF(Q286="","",MAX(Q286,IFERROR(AGGREGATE(14,6,$R$2:$R$501/(($A$2:$A$501="每日跟踪")*($B$2:$B$501=B286)*($H$2:$H$501&lt;=H286)),1),0))))</f>
        <v/>
      </c>
      <c r="T286" s="44">
        <f>IF(A286&lt;&gt;"每日跟踪","",IF(O286="","",IF(COUNTIFS($A$2:$A$501,"止损计划",$B$2:$B$501,B286,$E$2:$E$501,"&gt;"&amp;O286)=0,"",AGGREGATE(15,6,$E$2:$E$501/(($A$2:$A$501="止损计划")*($B$2:$B$501=B286)*($E$2:$E$501&gt;O286)),1))))</f>
        <v/>
      </c>
      <c r="U286" s="44">
        <f>IF(OR(A286&lt;&gt;"每日跟踪",T286=""),"",IFERROR(AGGREGATE(14,6,$F$2:$F$501/(($A$2:$A$501="止损计划")*($B$2:$B$501=B286)*($E$2:$E$501=T286)),1),""))</f>
        <v/>
      </c>
      <c r="V286" s="30">
        <f>IF(OR(A286&lt;&gt;"每日跟踪",T286="",I286="",I286&lt;=0),"",T286/I286-1)</f>
        <v/>
      </c>
      <c r="W286" s="31">
        <f>IF(A286&lt;&gt;"每日跟踪","",IF(OR(I286="",S286=""),"",IF(I286&lt;=S286,"触发止损：应全部卖出","继续观察")))</f>
        <v/>
      </c>
      <c r="X286" s="28" t="n"/>
      <c r="Y286" s="43" t="n"/>
      <c r="Z286" s="26">
        <f>IF(X286&lt;&gt;"执行卖出","",IFERROR(LOOKUP(2,1/(单次交易!$A$2:$A$201=B286),单次交易!$AP$2:$AP$201),""))</f>
        <v/>
      </c>
      <c r="AA286" s="43" t="n"/>
      <c r="AB286" s="31">
        <f>IF(A286&lt;&gt;"每日跟踪","",IF(OR(B286="",H286="",I286="",J286="",K286="",L286="",M286=""),"待补充每日记录",IF(W286="触发止损：应全部卖出",IF(X286&lt;&gt;"执行卖出","违规：触发止损但未执行",IF(Y286="","待补充实际卖出价","卖出记录完整")),IF(X286="","待选择卖出动作",IF(X286="执行卖出",IF(Y286="","待补充实际卖出价","卖出记录完整"),"正常")))))</f>
        <v/>
      </c>
      <c r="AC286" s="31">
        <f>IF(A286="","",IF(A286="止损计划",IF(OR(B286="",D286="",E286="",F286="",G286=""),"计划不完整",IF(OR(D286&lt;1,D286&lt;&gt;INT(D286)),"阶段序号无效",IF(COUNTIFS($A$2:$A$501,"止损计划",$B$2:$B$501,B286,$D$2:$D$501,D286)&gt;1,"阶段序号重复",IF(E286&lt;=IFERROR(LOOKUP(2,1/('单次交易'!$A$2:$A$201=B286),'单次交易'!$E$2:$E$201),0),"激活价须高于买入价",IF(F286&lt;N286,"止损价不得低于初始止损",IF(F286&gt;E286,"止损价不得高于激活价",IF(AND(COUNTIFS($A$2:$A$501,"止损计划",$B$2:$B$501,B286,$D$2:$D$501,"&lt;"&amp;D286)&gt;0,OR(E286&lt;=AGGREGATE(14,6,$E$2:$E$501/(($A$2:$A$501="止损计划")*($B$2:$B$501=B286)*($D$2:$D$501&lt;D286)),1),F286&lt;AGGREGATE(14,6,$F$2:$F$501/(($A$2:$A$501="止损计划")*($B$2:$B$501=B286)*($D$2:$D$501&lt;D286)),1))),"阶段价格必须逐级提高","计划有效"))))))),IF(A286="每日跟踪",IF(OR(B286="",H286="",I286="",J286=""),"每日数据不完整",IF(COUNTIFS($A$2:$A$501,"每日跟踪",$B$2:$B$501,B286,$H$2:$H$501,H286)&gt;1,"同一交易日期重复",IF(AND(R286&lt;&gt;"",R286&lt;S286),"人工止损无效：不能下调","跟踪有效"))),"记录类型无效")))</f>
        <v/>
      </c>
    </row>
    <row r="287">
      <c r="A287" s="28" t="n"/>
      <c r="B287" s="28" t="n"/>
      <c r="C287" s="31">
        <f>IF(B287="","",IFERROR(LOOKUP(2,1/(单次交易!$A$2:$A$201=B287),单次交易!$B$2:$B$201),""))</f>
        <v/>
      </c>
      <c r="D287" s="27" t="n"/>
      <c r="E287" s="43" t="n"/>
      <c r="F287" s="43" t="n"/>
      <c r="G287" s="28" t="n"/>
      <c r="H287" s="49" t="n"/>
      <c r="I287" s="43" t="n"/>
      <c r="J287" s="27" t="n"/>
      <c r="K287" s="28" t="n"/>
      <c r="L287" s="28" t="n"/>
      <c r="M287" s="28" t="n"/>
      <c r="N287" s="44">
        <f>IF(B287="","",IFERROR(LOOKUP(2,1/(单次交易!$A$2:$A$201=B287),单次交易!$N$2:$N$201),""))</f>
        <v/>
      </c>
      <c r="O287" s="44">
        <f>IF(A287&lt;&gt;"每日跟踪","",IF(OR(B287="",H287="",I287=""),"",IFERROR(AGGREGATE(14,6,$I$2:$I$501/(($A$2:$A$501="每日跟踪")*($B$2:$B$501=B287)*($H$2:$H$501&lt;=H287)),1),"")))</f>
        <v/>
      </c>
      <c r="P287" s="26">
        <f>IF(A287&lt;&gt;"每日跟踪","",IF(O287="","",IFERROR(AGGREGATE(14,6,$D$2:$D$501/(($A$2:$A$501="止损计划")*($B$2:$B$501=B287)*($E$2:$E$501&lt;=O287)),1),0)))</f>
        <v/>
      </c>
      <c r="Q287" s="44">
        <f>IF(A287&lt;&gt;"每日跟踪","",IF(N287="","",MAX(N287,IFERROR(AGGREGATE(14,6,$F$2:$F$501/(($A$2:$A$501="止损计划")*($B$2:$B$501=B287)*($E$2:$E$501&lt;=O287)),1),0))))</f>
        <v/>
      </c>
      <c r="R287" s="43" t="n"/>
      <c r="S287" s="44">
        <f>IF(A287&lt;&gt;"每日跟踪","",IF(Q287="","",MAX(Q287,IFERROR(AGGREGATE(14,6,$R$2:$R$501/(($A$2:$A$501="每日跟踪")*($B$2:$B$501=B287)*($H$2:$H$501&lt;=H287)),1),0))))</f>
        <v/>
      </c>
      <c r="T287" s="44">
        <f>IF(A287&lt;&gt;"每日跟踪","",IF(O287="","",IF(COUNTIFS($A$2:$A$501,"止损计划",$B$2:$B$501,B287,$E$2:$E$501,"&gt;"&amp;O287)=0,"",AGGREGATE(15,6,$E$2:$E$501/(($A$2:$A$501="止损计划")*($B$2:$B$501=B287)*($E$2:$E$501&gt;O287)),1))))</f>
        <v/>
      </c>
      <c r="U287" s="44">
        <f>IF(OR(A287&lt;&gt;"每日跟踪",T287=""),"",IFERROR(AGGREGATE(14,6,$F$2:$F$501/(($A$2:$A$501="止损计划")*($B$2:$B$501=B287)*($E$2:$E$501=T287)),1),""))</f>
        <v/>
      </c>
      <c r="V287" s="30">
        <f>IF(OR(A287&lt;&gt;"每日跟踪",T287="",I287="",I287&lt;=0),"",T287/I287-1)</f>
        <v/>
      </c>
      <c r="W287" s="31">
        <f>IF(A287&lt;&gt;"每日跟踪","",IF(OR(I287="",S287=""),"",IF(I287&lt;=S287,"触发止损：应全部卖出","继续观察")))</f>
        <v/>
      </c>
      <c r="X287" s="28" t="n"/>
      <c r="Y287" s="43" t="n"/>
      <c r="Z287" s="26">
        <f>IF(X287&lt;&gt;"执行卖出","",IFERROR(LOOKUP(2,1/(单次交易!$A$2:$A$201=B287),单次交易!$AP$2:$AP$201),""))</f>
        <v/>
      </c>
      <c r="AA287" s="43" t="n"/>
      <c r="AB287" s="31">
        <f>IF(A287&lt;&gt;"每日跟踪","",IF(OR(B287="",H287="",I287="",J287="",K287="",L287="",M287=""),"待补充每日记录",IF(W287="触发止损：应全部卖出",IF(X287&lt;&gt;"执行卖出","违规：触发止损但未执行",IF(Y287="","待补充实际卖出价","卖出记录完整")),IF(X287="","待选择卖出动作",IF(X287="执行卖出",IF(Y287="","待补充实际卖出价","卖出记录完整"),"正常")))))</f>
        <v/>
      </c>
      <c r="AC287" s="31">
        <f>IF(A287="","",IF(A287="止损计划",IF(OR(B287="",D287="",E287="",F287="",G287=""),"计划不完整",IF(OR(D287&lt;1,D287&lt;&gt;INT(D287)),"阶段序号无效",IF(COUNTIFS($A$2:$A$501,"止损计划",$B$2:$B$501,B287,$D$2:$D$501,D287)&gt;1,"阶段序号重复",IF(E287&lt;=IFERROR(LOOKUP(2,1/('单次交易'!$A$2:$A$201=B287),'单次交易'!$E$2:$E$201),0),"激活价须高于买入价",IF(F287&lt;N287,"止损价不得低于初始止损",IF(F287&gt;E287,"止损价不得高于激活价",IF(AND(COUNTIFS($A$2:$A$501,"止损计划",$B$2:$B$501,B287,$D$2:$D$501,"&lt;"&amp;D287)&gt;0,OR(E287&lt;=AGGREGATE(14,6,$E$2:$E$501/(($A$2:$A$501="止损计划")*($B$2:$B$501=B287)*($D$2:$D$501&lt;D287)),1),F287&lt;AGGREGATE(14,6,$F$2:$F$501/(($A$2:$A$501="止损计划")*($B$2:$B$501=B287)*($D$2:$D$501&lt;D287)),1))),"阶段价格必须逐级提高","计划有效"))))))),IF(A287="每日跟踪",IF(OR(B287="",H287="",I287="",J287=""),"每日数据不完整",IF(COUNTIFS($A$2:$A$501,"每日跟踪",$B$2:$B$501,B287,$H$2:$H$501,H287)&gt;1,"同一交易日期重复",IF(AND(R287&lt;&gt;"",R287&lt;S287),"人工止损无效：不能下调","跟踪有效"))),"记录类型无效")))</f>
        <v/>
      </c>
    </row>
    <row r="288">
      <c r="A288" s="28" t="n"/>
      <c r="B288" s="28" t="n"/>
      <c r="C288" s="31">
        <f>IF(B288="","",IFERROR(LOOKUP(2,1/(单次交易!$A$2:$A$201=B288),单次交易!$B$2:$B$201),""))</f>
        <v/>
      </c>
      <c r="D288" s="27" t="n"/>
      <c r="E288" s="43" t="n"/>
      <c r="F288" s="43" t="n"/>
      <c r="G288" s="28" t="n"/>
      <c r="H288" s="49" t="n"/>
      <c r="I288" s="43" t="n"/>
      <c r="J288" s="27" t="n"/>
      <c r="K288" s="28" t="n"/>
      <c r="L288" s="28" t="n"/>
      <c r="M288" s="28" t="n"/>
      <c r="N288" s="44">
        <f>IF(B288="","",IFERROR(LOOKUP(2,1/(单次交易!$A$2:$A$201=B288),单次交易!$N$2:$N$201),""))</f>
        <v/>
      </c>
      <c r="O288" s="44">
        <f>IF(A288&lt;&gt;"每日跟踪","",IF(OR(B288="",H288="",I288=""),"",IFERROR(AGGREGATE(14,6,$I$2:$I$501/(($A$2:$A$501="每日跟踪")*($B$2:$B$501=B288)*($H$2:$H$501&lt;=H288)),1),"")))</f>
        <v/>
      </c>
      <c r="P288" s="26">
        <f>IF(A288&lt;&gt;"每日跟踪","",IF(O288="","",IFERROR(AGGREGATE(14,6,$D$2:$D$501/(($A$2:$A$501="止损计划")*($B$2:$B$501=B288)*($E$2:$E$501&lt;=O288)),1),0)))</f>
        <v/>
      </c>
      <c r="Q288" s="44">
        <f>IF(A288&lt;&gt;"每日跟踪","",IF(N288="","",MAX(N288,IFERROR(AGGREGATE(14,6,$F$2:$F$501/(($A$2:$A$501="止损计划")*($B$2:$B$501=B288)*($E$2:$E$501&lt;=O288)),1),0))))</f>
        <v/>
      </c>
      <c r="R288" s="43" t="n"/>
      <c r="S288" s="44">
        <f>IF(A288&lt;&gt;"每日跟踪","",IF(Q288="","",MAX(Q288,IFERROR(AGGREGATE(14,6,$R$2:$R$501/(($A$2:$A$501="每日跟踪")*($B$2:$B$501=B288)*($H$2:$H$501&lt;=H288)),1),0))))</f>
        <v/>
      </c>
      <c r="T288" s="44">
        <f>IF(A288&lt;&gt;"每日跟踪","",IF(O288="","",IF(COUNTIFS($A$2:$A$501,"止损计划",$B$2:$B$501,B288,$E$2:$E$501,"&gt;"&amp;O288)=0,"",AGGREGATE(15,6,$E$2:$E$501/(($A$2:$A$501="止损计划")*($B$2:$B$501=B288)*($E$2:$E$501&gt;O288)),1))))</f>
        <v/>
      </c>
      <c r="U288" s="44">
        <f>IF(OR(A288&lt;&gt;"每日跟踪",T288=""),"",IFERROR(AGGREGATE(14,6,$F$2:$F$501/(($A$2:$A$501="止损计划")*($B$2:$B$501=B288)*($E$2:$E$501=T288)),1),""))</f>
        <v/>
      </c>
      <c r="V288" s="30">
        <f>IF(OR(A288&lt;&gt;"每日跟踪",T288="",I288="",I288&lt;=0),"",T288/I288-1)</f>
        <v/>
      </c>
      <c r="W288" s="31">
        <f>IF(A288&lt;&gt;"每日跟踪","",IF(OR(I288="",S288=""),"",IF(I288&lt;=S288,"触发止损：应全部卖出","继续观察")))</f>
        <v/>
      </c>
      <c r="X288" s="28" t="n"/>
      <c r="Y288" s="43" t="n"/>
      <c r="Z288" s="26">
        <f>IF(X288&lt;&gt;"执行卖出","",IFERROR(LOOKUP(2,1/(单次交易!$A$2:$A$201=B288),单次交易!$AP$2:$AP$201),""))</f>
        <v/>
      </c>
      <c r="AA288" s="43" t="n"/>
      <c r="AB288" s="31">
        <f>IF(A288&lt;&gt;"每日跟踪","",IF(OR(B288="",H288="",I288="",J288="",K288="",L288="",M288=""),"待补充每日记录",IF(W288="触发止损：应全部卖出",IF(X288&lt;&gt;"执行卖出","违规：触发止损但未执行",IF(Y288="","待补充实际卖出价","卖出记录完整")),IF(X288="","待选择卖出动作",IF(X288="执行卖出",IF(Y288="","待补充实际卖出价","卖出记录完整"),"正常")))))</f>
        <v/>
      </c>
      <c r="AC288" s="31">
        <f>IF(A288="","",IF(A288="止损计划",IF(OR(B288="",D288="",E288="",F288="",G288=""),"计划不完整",IF(OR(D288&lt;1,D288&lt;&gt;INT(D288)),"阶段序号无效",IF(COUNTIFS($A$2:$A$501,"止损计划",$B$2:$B$501,B288,$D$2:$D$501,D288)&gt;1,"阶段序号重复",IF(E288&lt;=IFERROR(LOOKUP(2,1/('单次交易'!$A$2:$A$201=B288),'单次交易'!$E$2:$E$201),0),"激活价须高于买入价",IF(F288&lt;N288,"止损价不得低于初始止损",IF(F288&gt;E288,"止损价不得高于激活价",IF(AND(COUNTIFS($A$2:$A$501,"止损计划",$B$2:$B$501,B288,$D$2:$D$501,"&lt;"&amp;D288)&gt;0,OR(E288&lt;=AGGREGATE(14,6,$E$2:$E$501/(($A$2:$A$501="止损计划")*($B$2:$B$501=B288)*($D$2:$D$501&lt;D288)),1),F288&lt;AGGREGATE(14,6,$F$2:$F$501/(($A$2:$A$501="止损计划")*($B$2:$B$501=B288)*($D$2:$D$501&lt;D288)),1))),"阶段价格必须逐级提高","计划有效"))))))),IF(A288="每日跟踪",IF(OR(B288="",H288="",I288="",J288=""),"每日数据不完整",IF(COUNTIFS($A$2:$A$501,"每日跟踪",$B$2:$B$501,B288,$H$2:$H$501,H288)&gt;1,"同一交易日期重复",IF(AND(R288&lt;&gt;"",R288&lt;S288),"人工止损无效：不能下调","跟踪有效"))),"记录类型无效")))</f>
        <v/>
      </c>
    </row>
    <row r="289">
      <c r="A289" s="28" t="n"/>
      <c r="B289" s="28" t="n"/>
      <c r="C289" s="31">
        <f>IF(B289="","",IFERROR(LOOKUP(2,1/(单次交易!$A$2:$A$201=B289),单次交易!$B$2:$B$201),""))</f>
        <v/>
      </c>
      <c r="D289" s="27" t="n"/>
      <c r="E289" s="43" t="n"/>
      <c r="F289" s="43" t="n"/>
      <c r="G289" s="28" t="n"/>
      <c r="H289" s="49" t="n"/>
      <c r="I289" s="43" t="n"/>
      <c r="J289" s="27" t="n"/>
      <c r="K289" s="28" t="n"/>
      <c r="L289" s="28" t="n"/>
      <c r="M289" s="28" t="n"/>
      <c r="N289" s="44">
        <f>IF(B289="","",IFERROR(LOOKUP(2,1/(单次交易!$A$2:$A$201=B289),单次交易!$N$2:$N$201),""))</f>
        <v/>
      </c>
      <c r="O289" s="44">
        <f>IF(A289&lt;&gt;"每日跟踪","",IF(OR(B289="",H289="",I289=""),"",IFERROR(AGGREGATE(14,6,$I$2:$I$501/(($A$2:$A$501="每日跟踪")*($B$2:$B$501=B289)*($H$2:$H$501&lt;=H289)),1),"")))</f>
        <v/>
      </c>
      <c r="P289" s="26">
        <f>IF(A289&lt;&gt;"每日跟踪","",IF(O289="","",IFERROR(AGGREGATE(14,6,$D$2:$D$501/(($A$2:$A$501="止损计划")*($B$2:$B$501=B289)*($E$2:$E$501&lt;=O289)),1),0)))</f>
        <v/>
      </c>
      <c r="Q289" s="44">
        <f>IF(A289&lt;&gt;"每日跟踪","",IF(N289="","",MAX(N289,IFERROR(AGGREGATE(14,6,$F$2:$F$501/(($A$2:$A$501="止损计划")*($B$2:$B$501=B289)*($E$2:$E$501&lt;=O289)),1),0))))</f>
        <v/>
      </c>
      <c r="R289" s="43" t="n"/>
      <c r="S289" s="44">
        <f>IF(A289&lt;&gt;"每日跟踪","",IF(Q289="","",MAX(Q289,IFERROR(AGGREGATE(14,6,$R$2:$R$501/(($A$2:$A$501="每日跟踪")*($B$2:$B$501=B289)*($H$2:$H$501&lt;=H289)),1),0))))</f>
        <v/>
      </c>
      <c r="T289" s="44">
        <f>IF(A289&lt;&gt;"每日跟踪","",IF(O289="","",IF(COUNTIFS($A$2:$A$501,"止损计划",$B$2:$B$501,B289,$E$2:$E$501,"&gt;"&amp;O289)=0,"",AGGREGATE(15,6,$E$2:$E$501/(($A$2:$A$501="止损计划")*($B$2:$B$501=B289)*($E$2:$E$501&gt;O289)),1))))</f>
        <v/>
      </c>
      <c r="U289" s="44">
        <f>IF(OR(A289&lt;&gt;"每日跟踪",T289=""),"",IFERROR(AGGREGATE(14,6,$F$2:$F$501/(($A$2:$A$501="止损计划")*($B$2:$B$501=B289)*($E$2:$E$501=T289)),1),""))</f>
        <v/>
      </c>
      <c r="V289" s="30">
        <f>IF(OR(A289&lt;&gt;"每日跟踪",T289="",I289="",I289&lt;=0),"",T289/I289-1)</f>
        <v/>
      </c>
      <c r="W289" s="31">
        <f>IF(A289&lt;&gt;"每日跟踪","",IF(OR(I289="",S289=""),"",IF(I289&lt;=S289,"触发止损：应全部卖出","继续观察")))</f>
        <v/>
      </c>
      <c r="X289" s="28" t="n"/>
      <c r="Y289" s="43" t="n"/>
      <c r="Z289" s="26">
        <f>IF(X289&lt;&gt;"执行卖出","",IFERROR(LOOKUP(2,1/(单次交易!$A$2:$A$201=B289),单次交易!$AP$2:$AP$201),""))</f>
        <v/>
      </c>
      <c r="AA289" s="43" t="n"/>
      <c r="AB289" s="31">
        <f>IF(A289&lt;&gt;"每日跟踪","",IF(OR(B289="",H289="",I289="",J289="",K289="",L289="",M289=""),"待补充每日记录",IF(W289="触发止损：应全部卖出",IF(X289&lt;&gt;"执行卖出","违规：触发止损但未执行",IF(Y289="","待补充实际卖出价","卖出记录完整")),IF(X289="","待选择卖出动作",IF(X289="执行卖出",IF(Y289="","待补充实际卖出价","卖出记录完整"),"正常")))))</f>
        <v/>
      </c>
      <c r="AC289" s="31">
        <f>IF(A289="","",IF(A289="止损计划",IF(OR(B289="",D289="",E289="",F289="",G289=""),"计划不完整",IF(OR(D289&lt;1,D289&lt;&gt;INT(D289)),"阶段序号无效",IF(COUNTIFS($A$2:$A$501,"止损计划",$B$2:$B$501,B289,$D$2:$D$501,D289)&gt;1,"阶段序号重复",IF(E289&lt;=IFERROR(LOOKUP(2,1/('单次交易'!$A$2:$A$201=B289),'单次交易'!$E$2:$E$201),0),"激活价须高于买入价",IF(F289&lt;N289,"止损价不得低于初始止损",IF(F289&gt;E289,"止损价不得高于激活价",IF(AND(COUNTIFS($A$2:$A$501,"止损计划",$B$2:$B$501,B289,$D$2:$D$501,"&lt;"&amp;D289)&gt;0,OR(E289&lt;=AGGREGATE(14,6,$E$2:$E$501/(($A$2:$A$501="止损计划")*($B$2:$B$501=B289)*($D$2:$D$501&lt;D289)),1),F289&lt;AGGREGATE(14,6,$F$2:$F$501/(($A$2:$A$501="止损计划")*($B$2:$B$501=B289)*($D$2:$D$501&lt;D289)),1))),"阶段价格必须逐级提高","计划有效"))))))),IF(A289="每日跟踪",IF(OR(B289="",H289="",I289="",J289=""),"每日数据不完整",IF(COUNTIFS($A$2:$A$501,"每日跟踪",$B$2:$B$501,B289,$H$2:$H$501,H289)&gt;1,"同一交易日期重复",IF(AND(R289&lt;&gt;"",R289&lt;S289),"人工止损无效：不能下调","跟踪有效"))),"记录类型无效")))</f>
        <v/>
      </c>
    </row>
    <row r="290">
      <c r="A290" s="28" t="n"/>
      <c r="B290" s="28" t="n"/>
      <c r="C290" s="31">
        <f>IF(B290="","",IFERROR(LOOKUP(2,1/(单次交易!$A$2:$A$201=B290),单次交易!$B$2:$B$201),""))</f>
        <v/>
      </c>
      <c r="D290" s="27" t="n"/>
      <c r="E290" s="43" t="n"/>
      <c r="F290" s="43" t="n"/>
      <c r="G290" s="28" t="n"/>
      <c r="H290" s="49" t="n"/>
      <c r="I290" s="43" t="n"/>
      <c r="J290" s="27" t="n"/>
      <c r="K290" s="28" t="n"/>
      <c r="L290" s="28" t="n"/>
      <c r="M290" s="28" t="n"/>
      <c r="N290" s="44">
        <f>IF(B290="","",IFERROR(LOOKUP(2,1/(单次交易!$A$2:$A$201=B290),单次交易!$N$2:$N$201),""))</f>
        <v/>
      </c>
      <c r="O290" s="44">
        <f>IF(A290&lt;&gt;"每日跟踪","",IF(OR(B290="",H290="",I290=""),"",IFERROR(AGGREGATE(14,6,$I$2:$I$501/(($A$2:$A$501="每日跟踪")*($B$2:$B$501=B290)*($H$2:$H$501&lt;=H290)),1),"")))</f>
        <v/>
      </c>
      <c r="P290" s="26">
        <f>IF(A290&lt;&gt;"每日跟踪","",IF(O290="","",IFERROR(AGGREGATE(14,6,$D$2:$D$501/(($A$2:$A$501="止损计划")*($B$2:$B$501=B290)*($E$2:$E$501&lt;=O290)),1),0)))</f>
        <v/>
      </c>
      <c r="Q290" s="44">
        <f>IF(A290&lt;&gt;"每日跟踪","",IF(N290="","",MAX(N290,IFERROR(AGGREGATE(14,6,$F$2:$F$501/(($A$2:$A$501="止损计划")*($B$2:$B$501=B290)*($E$2:$E$501&lt;=O290)),1),0))))</f>
        <v/>
      </c>
      <c r="R290" s="43" t="n"/>
      <c r="S290" s="44">
        <f>IF(A290&lt;&gt;"每日跟踪","",IF(Q290="","",MAX(Q290,IFERROR(AGGREGATE(14,6,$R$2:$R$501/(($A$2:$A$501="每日跟踪")*($B$2:$B$501=B290)*($H$2:$H$501&lt;=H290)),1),0))))</f>
        <v/>
      </c>
      <c r="T290" s="44">
        <f>IF(A290&lt;&gt;"每日跟踪","",IF(O290="","",IF(COUNTIFS($A$2:$A$501,"止损计划",$B$2:$B$501,B290,$E$2:$E$501,"&gt;"&amp;O290)=0,"",AGGREGATE(15,6,$E$2:$E$501/(($A$2:$A$501="止损计划")*($B$2:$B$501=B290)*($E$2:$E$501&gt;O290)),1))))</f>
        <v/>
      </c>
      <c r="U290" s="44">
        <f>IF(OR(A290&lt;&gt;"每日跟踪",T290=""),"",IFERROR(AGGREGATE(14,6,$F$2:$F$501/(($A$2:$A$501="止损计划")*($B$2:$B$501=B290)*($E$2:$E$501=T290)),1),""))</f>
        <v/>
      </c>
      <c r="V290" s="30">
        <f>IF(OR(A290&lt;&gt;"每日跟踪",T290="",I290="",I290&lt;=0),"",T290/I290-1)</f>
        <v/>
      </c>
      <c r="W290" s="31">
        <f>IF(A290&lt;&gt;"每日跟踪","",IF(OR(I290="",S290=""),"",IF(I290&lt;=S290,"触发止损：应全部卖出","继续观察")))</f>
        <v/>
      </c>
      <c r="X290" s="28" t="n"/>
      <c r="Y290" s="43" t="n"/>
      <c r="Z290" s="26">
        <f>IF(X290&lt;&gt;"执行卖出","",IFERROR(LOOKUP(2,1/(单次交易!$A$2:$A$201=B290),单次交易!$AP$2:$AP$201),""))</f>
        <v/>
      </c>
      <c r="AA290" s="43" t="n"/>
      <c r="AB290" s="31">
        <f>IF(A290&lt;&gt;"每日跟踪","",IF(OR(B290="",H290="",I290="",J290="",K290="",L290="",M290=""),"待补充每日记录",IF(W290="触发止损：应全部卖出",IF(X290&lt;&gt;"执行卖出","违规：触发止损但未执行",IF(Y290="","待补充实际卖出价","卖出记录完整")),IF(X290="","待选择卖出动作",IF(X290="执行卖出",IF(Y290="","待补充实际卖出价","卖出记录完整"),"正常")))))</f>
        <v/>
      </c>
      <c r="AC290" s="31">
        <f>IF(A290="","",IF(A290="止损计划",IF(OR(B290="",D290="",E290="",F290="",G290=""),"计划不完整",IF(OR(D290&lt;1,D290&lt;&gt;INT(D290)),"阶段序号无效",IF(COUNTIFS($A$2:$A$501,"止损计划",$B$2:$B$501,B290,$D$2:$D$501,D290)&gt;1,"阶段序号重复",IF(E290&lt;=IFERROR(LOOKUP(2,1/('单次交易'!$A$2:$A$201=B290),'单次交易'!$E$2:$E$201),0),"激活价须高于买入价",IF(F290&lt;N290,"止损价不得低于初始止损",IF(F290&gt;E290,"止损价不得高于激活价",IF(AND(COUNTIFS($A$2:$A$501,"止损计划",$B$2:$B$501,B290,$D$2:$D$501,"&lt;"&amp;D290)&gt;0,OR(E290&lt;=AGGREGATE(14,6,$E$2:$E$501/(($A$2:$A$501="止损计划")*($B$2:$B$501=B290)*($D$2:$D$501&lt;D290)),1),F290&lt;AGGREGATE(14,6,$F$2:$F$501/(($A$2:$A$501="止损计划")*($B$2:$B$501=B290)*($D$2:$D$501&lt;D290)),1))),"阶段价格必须逐级提高","计划有效"))))))),IF(A290="每日跟踪",IF(OR(B290="",H290="",I290="",J290=""),"每日数据不完整",IF(COUNTIFS($A$2:$A$501,"每日跟踪",$B$2:$B$501,B290,$H$2:$H$501,H290)&gt;1,"同一交易日期重复",IF(AND(R290&lt;&gt;"",R290&lt;S290),"人工止损无效：不能下调","跟踪有效"))),"记录类型无效")))</f>
        <v/>
      </c>
    </row>
    <row r="291">
      <c r="A291" s="28" t="n"/>
      <c r="B291" s="28" t="n"/>
      <c r="C291" s="31">
        <f>IF(B291="","",IFERROR(LOOKUP(2,1/(单次交易!$A$2:$A$201=B291),单次交易!$B$2:$B$201),""))</f>
        <v/>
      </c>
      <c r="D291" s="27" t="n"/>
      <c r="E291" s="43" t="n"/>
      <c r="F291" s="43" t="n"/>
      <c r="G291" s="28" t="n"/>
      <c r="H291" s="49" t="n"/>
      <c r="I291" s="43" t="n"/>
      <c r="J291" s="27" t="n"/>
      <c r="K291" s="28" t="n"/>
      <c r="L291" s="28" t="n"/>
      <c r="M291" s="28" t="n"/>
      <c r="N291" s="44">
        <f>IF(B291="","",IFERROR(LOOKUP(2,1/(单次交易!$A$2:$A$201=B291),单次交易!$N$2:$N$201),""))</f>
        <v/>
      </c>
      <c r="O291" s="44">
        <f>IF(A291&lt;&gt;"每日跟踪","",IF(OR(B291="",H291="",I291=""),"",IFERROR(AGGREGATE(14,6,$I$2:$I$501/(($A$2:$A$501="每日跟踪")*($B$2:$B$501=B291)*($H$2:$H$501&lt;=H291)),1),"")))</f>
        <v/>
      </c>
      <c r="P291" s="26">
        <f>IF(A291&lt;&gt;"每日跟踪","",IF(O291="","",IFERROR(AGGREGATE(14,6,$D$2:$D$501/(($A$2:$A$501="止损计划")*($B$2:$B$501=B291)*($E$2:$E$501&lt;=O291)),1),0)))</f>
        <v/>
      </c>
      <c r="Q291" s="44">
        <f>IF(A291&lt;&gt;"每日跟踪","",IF(N291="","",MAX(N291,IFERROR(AGGREGATE(14,6,$F$2:$F$501/(($A$2:$A$501="止损计划")*($B$2:$B$501=B291)*($E$2:$E$501&lt;=O291)),1),0))))</f>
        <v/>
      </c>
      <c r="R291" s="43" t="n"/>
      <c r="S291" s="44">
        <f>IF(A291&lt;&gt;"每日跟踪","",IF(Q291="","",MAX(Q291,IFERROR(AGGREGATE(14,6,$R$2:$R$501/(($A$2:$A$501="每日跟踪")*($B$2:$B$501=B291)*($H$2:$H$501&lt;=H291)),1),0))))</f>
        <v/>
      </c>
      <c r="T291" s="44">
        <f>IF(A291&lt;&gt;"每日跟踪","",IF(O291="","",IF(COUNTIFS($A$2:$A$501,"止损计划",$B$2:$B$501,B291,$E$2:$E$501,"&gt;"&amp;O291)=0,"",AGGREGATE(15,6,$E$2:$E$501/(($A$2:$A$501="止损计划")*($B$2:$B$501=B291)*($E$2:$E$501&gt;O291)),1))))</f>
        <v/>
      </c>
      <c r="U291" s="44">
        <f>IF(OR(A291&lt;&gt;"每日跟踪",T291=""),"",IFERROR(AGGREGATE(14,6,$F$2:$F$501/(($A$2:$A$501="止损计划")*($B$2:$B$501=B291)*($E$2:$E$501=T291)),1),""))</f>
        <v/>
      </c>
      <c r="V291" s="30">
        <f>IF(OR(A291&lt;&gt;"每日跟踪",T291="",I291="",I291&lt;=0),"",T291/I291-1)</f>
        <v/>
      </c>
      <c r="W291" s="31">
        <f>IF(A291&lt;&gt;"每日跟踪","",IF(OR(I291="",S291=""),"",IF(I291&lt;=S291,"触发止损：应全部卖出","继续观察")))</f>
        <v/>
      </c>
      <c r="X291" s="28" t="n"/>
      <c r="Y291" s="43" t="n"/>
      <c r="Z291" s="26">
        <f>IF(X291&lt;&gt;"执行卖出","",IFERROR(LOOKUP(2,1/(单次交易!$A$2:$A$201=B291),单次交易!$AP$2:$AP$201),""))</f>
        <v/>
      </c>
      <c r="AA291" s="43" t="n"/>
      <c r="AB291" s="31">
        <f>IF(A291&lt;&gt;"每日跟踪","",IF(OR(B291="",H291="",I291="",J291="",K291="",L291="",M291=""),"待补充每日记录",IF(W291="触发止损：应全部卖出",IF(X291&lt;&gt;"执行卖出","违规：触发止损但未执行",IF(Y291="","待补充实际卖出价","卖出记录完整")),IF(X291="","待选择卖出动作",IF(X291="执行卖出",IF(Y291="","待补充实际卖出价","卖出记录完整"),"正常")))))</f>
        <v/>
      </c>
      <c r="AC291" s="31">
        <f>IF(A291="","",IF(A291="止损计划",IF(OR(B291="",D291="",E291="",F291="",G291=""),"计划不完整",IF(OR(D291&lt;1,D291&lt;&gt;INT(D291)),"阶段序号无效",IF(COUNTIFS($A$2:$A$501,"止损计划",$B$2:$B$501,B291,$D$2:$D$501,D291)&gt;1,"阶段序号重复",IF(E291&lt;=IFERROR(LOOKUP(2,1/('单次交易'!$A$2:$A$201=B291),'单次交易'!$E$2:$E$201),0),"激活价须高于买入价",IF(F291&lt;N291,"止损价不得低于初始止损",IF(F291&gt;E291,"止损价不得高于激活价",IF(AND(COUNTIFS($A$2:$A$501,"止损计划",$B$2:$B$501,B291,$D$2:$D$501,"&lt;"&amp;D291)&gt;0,OR(E291&lt;=AGGREGATE(14,6,$E$2:$E$501/(($A$2:$A$501="止损计划")*($B$2:$B$501=B291)*($D$2:$D$501&lt;D291)),1),F291&lt;AGGREGATE(14,6,$F$2:$F$501/(($A$2:$A$501="止损计划")*($B$2:$B$501=B291)*($D$2:$D$501&lt;D291)),1))),"阶段价格必须逐级提高","计划有效"))))))),IF(A291="每日跟踪",IF(OR(B291="",H291="",I291="",J291=""),"每日数据不完整",IF(COUNTIFS($A$2:$A$501,"每日跟踪",$B$2:$B$501,B291,$H$2:$H$501,H291)&gt;1,"同一交易日期重复",IF(AND(R291&lt;&gt;"",R291&lt;S291),"人工止损无效：不能下调","跟踪有效"))),"记录类型无效")))</f>
        <v/>
      </c>
    </row>
    <row r="292">
      <c r="A292" s="28" t="n"/>
      <c r="B292" s="28" t="n"/>
      <c r="C292" s="31">
        <f>IF(B292="","",IFERROR(LOOKUP(2,1/(单次交易!$A$2:$A$201=B292),单次交易!$B$2:$B$201),""))</f>
        <v/>
      </c>
      <c r="D292" s="27" t="n"/>
      <c r="E292" s="43" t="n"/>
      <c r="F292" s="43" t="n"/>
      <c r="G292" s="28" t="n"/>
      <c r="H292" s="49" t="n"/>
      <c r="I292" s="43" t="n"/>
      <c r="J292" s="27" t="n"/>
      <c r="K292" s="28" t="n"/>
      <c r="L292" s="28" t="n"/>
      <c r="M292" s="28" t="n"/>
      <c r="N292" s="44">
        <f>IF(B292="","",IFERROR(LOOKUP(2,1/(单次交易!$A$2:$A$201=B292),单次交易!$N$2:$N$201),""))</f>
        <v/>
      </c>
      <c r="O292" s="44">
        <f>IF(A292&lt;&gt;"每日跟踪","",IF(OR(B292="",H292="",I292=""),"",IFERROR(AGGREGATE(14,6,$I$2:$I$501/(($A$2:$A$501="每日跟踪")*($B$2:$B$501=B292)*($H$2:$H$501&lt;=H292)),1),"")))</f>
        <v/>
      </c>
      <c r="P292" s="26">
        <f>IF(A292&lt;&gt;"每日跟踪","",IF(O292="","",IFERROR(AGGREGATE(14,6,$D$2:$D$501/(($A$2:$A$501="止损计划")*($B$2:$B$501=B292)*($E$2:$E$501&lt;=O292)),1),0)))</f>
        <v/>
      </c>
      <c r="Q292" s="44">
        <f>IF(A292&lt;&gt;"每日跟踪","",IF(N292="","",MAX(N292,IFERROR(AGGREGATE(14,6,$F$2:$F$501/(($A$2:$A$501="止损计划")*($B$2:$B$501=B292)*($E$2:$E$501&lt;=O292)),1),0))))</f>
        <v/>
      </c>
      <c r="R292" s="43" t="n"/>
      <c r="S292" s="44">
        <f>IF(A292&lt;&gt;"每日跟踪","",IF(Q292="","",MAX(Q292,IFERROR(AGGREGATE(14,6,$R$2:$R$501/(($A$2:$A$501="每日跟踪")*($B$2:$B$501=B292)*($H$2:$H$501&lt;=H292)),1),0))))</f>
        <v/>
      </c>
      <c r="T292" s="44">
        <f>IF(A292&lt;&gt;"每日跟踪","",IF(O292="","",IF(COUNTIFS($A$2:$A$501,"止损计划",$B$2:$B$501,B292,$E$2:$E$501,"&gt;"&amp;O292)=0,"",AGGREGATE(15,6,$E$2:$E$501/(($A$2:$A$501="止损计划")*($B$2:$B$501=B292)*($E$2:$E$501&gt;O292)),1))))</f>
        <v/>
      </c>
      <c r="U292" s="44">
        <f>IF(OR(A292&lt;&gt;"每日跟踪",T292=""),"",IFERROR(AGGREGATE(14,6,$F$2:$F$501/(($A$2:$A$501="止损计划")*($B$2:$B$501=B292)*($E$2:$E$501=T292)),1),""))</f>
        <v/>
      </c>
      <c r="V292" s="30">
        <f>IF(OR(A292&lt;&gt;"每日跟踪",T292="",I292="",I292&lt;=0),"",T292/I292-1)</f>
        <v/>
      </c>
      <c r="W292" s="31">
        <f>IF(A292&lt;&gt;"每日跟踪","",IF(OR(I292="",S292=""),"",IF(I292&lt;=S292,"触发止损：应全部卖出","继续观察")))</f>
        <v/>
      </c>
      <c r="X292" s="28" t="n"/>
      <c r="Y292" s="43" t="n"/>
      <c r="Z292" s="26">
        <f>IF(X292&lt;&gt;"执行卖出","",IFERROR(LOOKUP(2,1/(单次交易!$A$2:$A$201=B292),单次交易!$AP$2:$AP$201),""))</f>
        <v/>
      </c>
      <c r="AA292" s="43" t="n"/>
      <c r="AB292" s="31">
        <f>IF(A292&lt;&gt;"每日跟踪","",IF(OR(B292="",H292="",I292="",J292="",K292="",L292="",M292=""),"待补充每日记录",IF(W292="触发止损：应全部卖出",IF(X292&lt;&gt;"执行卖出","违规：触发止损但未执行",IF(Y292="","待补充实际卖出价","卖出记录完整")),IF(X292="","待选择卖出动作",IF(X292="执行卖出",IF(Y292="","待补充实际卖出价","卖出记录完整"),"正常")))))</f>
        <v/>
      </c>
      <c r="AC292" s="31">
        <f>IF(A292="","",IF(A292="止损计划",IF(OR(B292="",D292="",E292="",F292="",G292=""),"计划不完整",IF(OR(D292&lt;1,D292&lt;&gt;INT(D292)),"阶段序号无效",IF(COUNTIFS($A$2:$A$501,"止损计划",$B$2:$B$501,B292,$D$2:$D$501,D292)&gt;1,"阶段序号重复",IF(E292&lt;=IFERROR(LOOKUP(2,1/('单次交易'!$A$2:$A$201=B292),'单次交易'!$E$2:$E$201),0),"激活价须高于买入价",IF(F292&lt;N292,"止损价不得低于初始止损",IF(F292&gt;E292,"止损价不得高于激活价",IF(AND(COUNTIFS($A$2:$A$501,"止损计划",$B$2:$B$501,B292,$D$2:$D$501,"&lt;"&amp;D292)&gt;0,OR(E292&lt;=AGGREGATE(14,6,$E$2:$E$501/(($A$2:$A$501="止损计划")*($B$2:$B$501=B292)*($D$2:$D$501&lt;D292)),1),F292&lt;AGGREGATE(14,6,$F$2:$F$501/(($A$2:$A$501="止损计划")*($B$2:$B$501=B292)*($D$2:$D$501&lt;D292)),1))),"阶段价格必须逐级提高","计划有效"))))))),IF(A292="每日跟踪",IF(OR(B292="",H292="",I292="",J292=""),"每日数据不完整",IF(COUNTIFS($A$2:$A$501,"每日跟踪",$B$2:$B$501,B292,$H$2:$H$501,H292)&gt;1,"同一交易日期重复",IF(AND(R292&lt;&gt;"",R292&lt;S292),"人工止损无效：不能下调","跟踪有效"))),"记录类型无效")))</f>
        <v/>
      </c>
    </row>
    <row r="293">
      <c r="A293" s="28" t="n"/>
      <c r="B293" s="28" t="n"/>
      <c r="C293" s="31">
        <f>IF(B293="","",IFERROR(LOOKUP(2,1/(单次交易!$A$2:$A$201=B293),单次交易!$B$2:$B$201),""))</f>
        <v/>
      </c>
      <c r="D293" s="27" t="n"/>
      <c r="E293" s="43" t="n"/>
      <c r="F293" s="43" t="n"/>
      <c r="G293" s="28" t="n"/>
      <c r="H293" s="49" t="n"/>
      <c r="I293" s="43" t="n"/>
      <c r="J293" s="27" t="n"/>
      <c r="K293" s="28" t="n"/>
      <c r="L293" s="28" t="n"/>
      <c r="M293" s="28" t="n"/>
      <c r="N293" s="44">
        <f>IF(B293="","",IFERROR(LOOKUP(2,1/(单次交易!$A$2:$A$201=B293),单次交易!$N$2:$N$201),""))</f>
        <v/>
      </c>
      <c r="O293" s="44">
        <f>IF(A293&lt;&gt;"每日跟踪","",IF(OR(B293="",H293="",I293=""),"",IFERROR(AGGREGATE(14,6,$I$2:$I$501/(($A$2:$A$501="每日跟踪")*($B$2:$B$501=B293)*($H$2:$H$501&lt;=H293)),1),"")))</f>
        <v/>
      </c>
      <c r="P293" s="26">
        <f>IF(A293&lt;&gt;"每日跟踪","",IF(O293="","",IFERROR(AGGREGATE(14,6,$D$2:$D$501/(($A$2:$A$501="止损计划")*($B$2:$B$501=B293)*($E$2:$E$501&lt;=O293)),1),0)))</f>
        <v/>
      </c>
      <c r="Q293" s="44">
        <f>IF(A293&lt;&gt;"每日跟踪","",IF(N293="","",MAX(N293,IFERROR(AGGREGATE(14,6,$F$2:$F$501/(($A$2:$A$501="止损计划")*($B$2:$B$501=B293)*($E$2:$E$501&lt;=O293)),1),0))))</f>
        <v/>
      </c>
      <c r="R293" s="43" t="n"/>
      <c r="S293" s="44">
        <f>IF(A293&lt;&gt;"每日跟踪","",IF(Q293="","",MAX(Q293,IFERROR(AGGREGATE(14,6,$R$2:$R$501/(($A$2:$A$501="每日跟踪")*($B$2:$B$501=B293)*($H$2:$H$501&lt;=H293)),1),0))))</f>
        <v/>
      </c>
      <c r="T293" s="44">
        <f>IF(A293&lt;&gt;"每日跟踪","",IF(O293="","",IF(COUNTIFS($A$2:$A$501,"止损计划",$B$2:$B$501,B293,$E$2:$E$501,"&gt;"&amp;O293)=0,"",AGGREGATE(15,6,$E$2:$E$501/(($A$2:$A$501="止损计划")*($B$2:$B$501=B293)*($E$2:$E$501&gt;O293)),1))))</f>
        <v/>
      </c>
      <c r="U293" s="44">
        <f>IF(OR(A293&lt;&gt;"每日跟踪",T293=""),"",IFERROR(AGGREGATE(14,6,$F$2:$F$501/(($A$2:$A$501="止损计划")*($B$2:$B$501=B293)*($E$2:$E$501=T293)),1),""))</f>
        <v/>
      </c>
      <c r="V293" s="30">
        <f>IF(OR(A293&lt;&gt;"每日跟踪",T293="",I293="",I293&lt;=0),"",T293/I293-1)</f>
        <v/>
      </c>
      <c r="W293" s="31">
        <f>IF(A293&lt;&gt;"每日跟踪","",IF(OR(I293="",S293=""),"",IF(I293&lt;=S293,"触发止损：应全部卖出","继续观察")))</f>
        <v/>
      </c>
      <c r="X293" s="28" t="n"/>
      <c r="Y293" s="43" t="n"/>
      <c r="Z293" s="26">
        <f>IF(X293&lt;&gt;"执行卖出","",IFERROR(LOOKUP(2,1/(单次交易!$A$2:$A$201=B293),单次交易!$AP$2:$AP$201),""))</f>
        <v/>
      </c>
      <c r="AA293" s="43" t="n"/>
      <c r="AB293" s="31">
        <f>IF(A293&lt;&gt;"每日跟踪","",IF(OR(B293="",H293="",I293="",J293="",K293="",L293="",M293=""),"待补充每日记录",IF(W293="触发止损：应全部卖出",IF(X293&lt;&gt;"执行卖出","违规：触发止损但未执行",IF(Y293="","待补充实际卖出价","卖出记录完整")),IF(X293="","待选择卖出动作",IF(X293="执行卖出",IF(Y293="","待补充实际卖出价","卖出记录完整"),"正常")))))</f>
        <v/>
      </c>
      <c r="AC293" s="31">
        <f>IF(A293="","",IF(A293="止损计划",IF(OR(B293="",D293="",E293="",F293="",G293=""),"计划不完整",IF(OR(D293&lt;1,D293&lt;&gt;INT(D293)),"阶段序号无效",IF(COUNTIFS($A$2:$A$501,"止损计划",$B$2:$B$501,B293,$D$2:$D$501,D293)&gt;1,"阶段序号重复",IF(E293&lt;=IFERROR(LOOKUP(2,1/('单次交易'!$A$2:$A$201=B293),'单次交易'!$E$2:$E$201),0),"激活价须高于买入价",IF(F293&lt;N293,"止损价不得低于初始止损",IF(F293&gt;E293,"止损价不得高于激活价",IF(AND(COUNTIFS($A$2:$A$501,"止损计划",$B$2:$B$501,B293,$D$2:$D$501,"&lt;"&amp;D293)&gt;0,OR(E293&lt;=AGGREGATE(14,6,$E$2:$E$501/(($A$2:$A$501="止损计划")*($B$2:$B$501=B293)*($D$2:$D$501&lt;D293)),1),F293&lt;AGGREGATE(14,6,$F$2:$F$501/(($A$2:$A$501="止损计划")*($B$2:$B$501=B293)*($D$2:$D$501&lt;D293)),1))),"阶段价格必须逐级提高","计划有效"))))))),IF(A293="每日跟踪",IF(OR(B293="",H293="",I293="",J293=""),"每日数据不完整",IF(COUNTIFS($A$2:$A$501,"每日跟踪",$B$2:$B$501,B293,$H$2:$H$501,H293)&gt;1,"同一交易日期重复",IF(AND(R293&lt;&gt;"",R293&lt;S293),"人工止损无效：不能下调","跟踪有效"))),"记录类型无效")))</f>
        <v/>
      </c>
    </row>
    <row r="294">
      <c r="A294" s="28" t="n"/>
      <c r="B294" s="28" t="n"/>
      <c r="C294" s="31">
        <f>IF(B294="","",IFERROR(LOOKUP(2,1/(单次交易!$A$2:$A$201=B294),单次交易!$B$2:$B$201),""))</f>
        <v/>
      </c>
      <c r="D294" s="27" t="n"/>
      <c r="E294" s="43" t="n"/>
      <c r="F294" s="43" t="n"/>
      <c r="G294" s="28" t="n"/>
      <c r="H294" s="49" t="n"/>
      <c r="I294" s="43" t="n"/>
      <c r="J294" s="27" t="n"/>
      <c r="K294" s="28" t="n"/>
      <c r="L294" s="28" t="n"/>
      <c r="M294" s="28" t="n"/>
      <c r="N294" s="44">
        <f>IF(B294="","",IFERROR(LOOKUP(2,1/(单次交易!$A$2:$A$201=B294),单次交易!$N$2:$N$201),""))</f>
        <v/>
      </c>
      <c r="O294" s="44">
        <f>IF(A294&lt;&gt;"每日跟踪","",IF(OR(B294="",H294="",I294=""),"",IFERROR(AGGREGATE(14,6,$I$2:$I$501/(($A$2:$A$501="每日跟踪")*($B$2:$B$501=B294)*($H$2:$H$501&lt;=H294)),1),"")))</f>
        <v/>
      </c>
      <c r="P294" s="26">
        <f>IF(A294&lt;&gt;"每日跟踪","",IF(O294="","",IFERROR(AGGREGATE(14,6,$D$2:$D$501/(($A$2:$A$501="止损计划")*($B$2:$B$501=B294)*($E$2:$E$501&lt;=O294)),1),0)))</f>
        <v/>
      </c>
      <c r="Q294" s="44">
        <f>IF(A294&lt;&gt;"每日跟踪","",IF(N294="","",MAX(N294,IFERROR(AGGREGATE(14,6,$F$2:$F$501/(($A$2:$A$501="止损计划")*($B$2:$B$501=B294)*($E$2:$E$501&lt;=O294)),1),0))))</f>
        <v/>
      </c>
      <c r="R294" s="43" t="n"/>
      <c r="S294" s="44">
        <f>IF(A294&lt;&gt;"每日跟踪","",IF(Q294="","",MAX(Q294,IFERROR(AGGREGATE(14,6,$R$2:$R$501/(($A$2:$A$501="每日跟踪")*($B$2:$B$501=B294)*($H$2:$H$501&lt;=H294)),1),0))))</f>
        <v/>
      </c>
      <c r="T294" s="44">
        <f>IF(A294&lt;&gt;"每日跟踪","",IF(O294="","",IF(COUNTIFS($A$2:$A$501,"止损计划",$B$2:$B$501,B294,$E$2:$E$501,"&gt;"&amp;O294)=0,"",AGGREGATE(15,6,$E$2:$E$501/(($A$2:$A$501="止损计划")*($B$2:$B$501=B294)*($E$2:$E$501&gt;O294)),1))))</f>
        <v/>
      </c>
      <c r="U294" s="44">
        <f>IF(OR(A294&lt;&gt;"每日跟踪",T294=""),"",IFERROR(AGGREGATE(14,6,$F$2:$F$501/(($A$2:$A$501="止损计划")*($B$2:$B$501=B294)*($E$2:$E$501=T294)),1),""))</f>
        <v/>
      </c>
      <c r="V294" s="30">
        <f>IF(OR(A294&lt;&gt;"每日跟踪",T294="",I294="",I294&lt;=0),"",T294/I294-1)</f>
        <v/>
      </c>
      <c r="W294" s="31">
        <f>IF(A294&lt;&gt;"每日跟踪","",IF(OR(I294="",S294=""),"",IF(I294&lt;=S294,"触发止损：应全部卖出","继续观察")))</f>
        <v/>
      </c>
      <c r="X294" s="28" t="n"/>
      <c r="Y294" s="43" t="n"/>
      <c r="Z294" s="26">
        <f>IF(X294&lt;&gt;"执行卖出","",IFERROR(LOOKUP(2,1/(单次交易!$A$2:$A$201=B294),单次交易!$AP$2:$AP$201),""))</f>
        <v/>
      </c>
      <c r="AA294" s="43" t="n"/>
      <c r="AB294" s="31">
        <f>IF(A294&lt;&gt;"每日跟踪","",IF(OR(B294="",H294="",I294="",J294="",K294="",L294="",M294=""),"待补充每日记录",IF(W294="触发止损：应全部卖出",IF(X294&lt;&gt;"执行卖出","违规：触发止损但未执行",IF(Y294="","待补充实际卖出价","卖出记录完整")),IF(X294="","待选择卖出动作",IF(X294="执行卖出",IF(Y294="","待补充实际卖出价","卖出记录完整"),"正常")))))</f>
        <v/>
      </c>
      <c r="AC294" s="31">
        <f>IF(A294="","",IF(A294="止损计划",IF(OR(B294="",D294="",E294="",F294="",G294=""),"计划不完整",IF(OR(D294&lt;1,D294&lt;&gt;INT(D294)),"阶段序号无效",IF(COUNTIFS($A$2:$A$501,"止损计划",$B$2:$B$501,B294,$D$2:$D$501,D294)&gt;1,"阶段序号重复",IF(E294&lt;=IFERROR(LOOKUP(2,1/('单次交易'!$A$2:$A$201=B294),'单次交易'!$E$2:$E$201),0),"激活价须高于买入价",IF(F294&lt;N294,"止损价不得低于初始止损",IF(F294&gt;E294,"止损价不得高于激活价",IF(AND(COUNTIFS($A$2:$A$501,"止损计划",$B$2:$B$501,B294,$D$2:$D$501,"&lt;"&amp;D294)&gt;0,OR(E294&lt;=AGGREGATE(14,6,$E$2:$E$501/(($A$2:$A$501="止损计划")*($B$2:$B$501=B294)*($D$2:$D$501&lt;D294)),1),F294&lt;AGGREGATE(14,6,$F$2:$F$501/(($A$2:$A$501="止损计划")*($B$2:$B$501=B294)*($D$2:$D$501&lt;D294)),1))),"阶段价格必须逐级提高","计划有效"))))))),IF(A294="每日跟踪",IF(OR(B294="",H294="",I294="",J294=""),"每日数据不完整",IF(COUNTIFS($A$2:$A$501,"每日跟踪",$B$2:$B$501,B294,$H$2:$H$501,H294)&gt;1,"同一交易日期重复",IF(AND(R294&lt;&gt;"",R294&lt;S294),"人工止损无效：不能下调","跟踪有效"))),"记录类型无效")))</f>
        <v/>
      </c>
    </row>
    <row r="295">
      <c r="A295" s="28" t="n"/>
      <c r="B295" s="28" t="n"/>
      <c r="C295" s="31">
        <f>IF(B295="","",IFERROR(LOOKUP(2,1/(单次交易!$A$2:$A$201=B295),单次交易!$B$2:$B$201),""))</f>
        <v/>
      </c>
      <c r="D295" s="27" t="n"/>
      <c r="E295" s="43" t="n"/>
      <c r="F295" s="43" t="n"/>
      <c r="G295" s="28" t="n"/>
      <c r="H295" s="49" t="n"/>
      <c r="I295" s="43" t="n"/>
      <c r="J295" s="27" t="n"/>
      <c r="K295" s="28" t="n"/>
      <c r="L295" s="28" t="n"/>
      <c r="M295" s="28" t="n"/>
      <c r="N295" s="44">
        <f>IF(B295="","",IFERROR(LOOKUP(2,1/(单次交易!$A$2:$A$201=B295),单次交易!$N$2:$N$201),""))</f>
        <v/>
      </c>
      <c r="O295" s="44">
        <f>IF(A295&lt;&gt;"每日跟踪","",IF(OR(B295="",H295="",I295=""),"",IFERROR(AGGREGATE(14,6,$I$2:$I$501/(($A$2:$A$501="每日跟踪")*($B$2:$B$501=B295)*($H$2:$H$501&lt;=H295)),1),"")))</f>
        <v/>
      </c>
      <c r="P295" s="26">
        <f>IF(A295&lt;&gt;"每日跟踪","",IF(O295="","",IFERROR(AGGREGATE(14,6,$D$2:$D$501/(($A$2:$A$501="止损计划")*($B$2:$B$501=B295)*($E$2:$E$501&lt;=O295)),1),0)))</f>
        <v/>
      </c>
      <c r="Q295" s="44">
        <f>IF(A295&lt;&gt;"每日跟踪","",IF(N295="","",MAX(N295,IFERROR(AGGREGATE(14,6,$F$2:$F$501/(($A$2:$A$501="止损计划")*($B$2:$B$501=B295)*($E$2:$E$501&lt;=O295)),1),0))))</f>
        <v/>
      </c>
      <c r="R295" s="43" t="n"/>
      <c r="S295" s="44">
        <f>IF(A295&lt;&gt;"每日跟踪","",IF(Q295="","",MAX(Q295,IFERROR(AGGREGATE(14,6,$R$2:$R$501/(($A$2:$A$501="每日跟踪")*($B$2:$B$501=B295)*($H$2:$H$501&lt;=H295)),1),0))))</f>
        <v/>
      </c>
      <c r="T295" s="44">
        <f>IF(A295&lt;&gt;"每日跟踪","",IF(O295="","",IF(COUNTIFS($A$2:$A$501,"止损计划",$B$2:$B$501,B295,$E$2:$E$501,"&gt;"&amp;O295)=0,"",AGGREGATE(15,6,$E$2:$E$501/(($A$2:$A$501="止损计划")*($B$2:$B$501=B295)*($E$2:$E$501&gt;O295)),1))))</f>
        <v/>
      </c>
      <c r="U295" s="44">
        <f>IF(OR(A295&lt;&gt;"每日跟踪",T295=""),"",IFERROR(AGGREGATE(14,6,$F$2:$F$501/(($A$2:$A$501="止损计划")*($B$2:$B$501=B295)*($E$2:$E$501=T295)),1),""))</f>
        <v/>
      </c>
      <c r="V295" s="30">
        <f>IF(OR(A295&lt;&gt;"每日跟踪",T295="",I295="",I295&lt;=0),"",T295/I295-1)</f>
        <v/>
      </c>
      <c r="W295" s="31">
        <f>IF(A295&lt;&gt;"每日跟踪","",IF(OR(I295="",S295=""),"",IF(I295&lt;=S295,"触发止损：应全部卖出","继续观察")))</f>
        <v/>
      </c>
      <c r="X295" s="28" t="n"/>
      <c r="Y295" s="43" t="n"/>
      <c r="Z295" s="26">
        <f>IF(X295&lt;&gt;"执行卖出","",IFERROR(LOOKUP(2,1/(单次交易!$A$2:$A$201=B295),单次交易!$AP$2:$AP$201),""))</f>
        <v/>
      </c>
      <c r="AA295" s="43" t="n"/>
      <c r="AB295" s="31">
        <f>IF(A295&lt;&gt;"每日跟踪","",IF(OR(B295="",H295="",I295="",J295="",K295="",L295="",M295=""),"待补充每日记录",IF(W295="触发止损：应全部卖出",IF(X295&lt;&gt;"执行卖出","违规：触发止损但未执行",IF(Y295="","待补充实际卖出价","卖出记录完整")),IF(X295="","待选择卖出动作",IF(X295="执行卖出",IF(Y295="","待补充实际卖出价","卖出记录完整"),"正常")))))</f>
        <v/>
      </c>
      <c r="AC295" s="31">
        <f>IF(A295="","",IF(A295="止损计划",IF(OR(B295="",D295="",E295="",F295="",G295=""),"计划不完整",IF(OR(D295&lt;1,D295&lt;&gt;INT(D295)),"阶段序号无效",IF(COUNTIFS($A$2:$A$501,"止损计划",$B$2:$B$501,B295,$D$2:$D$501,D295)&gt;1,"阶段序号重复",IF(E295&lt;=IFERROR(LOOKUP(2,1/('单次交易'!$A$2:$A$201=B295),'单次交易'!$E$2:$E$201),0),"激活价须高于买入价",IF(F295&lt;N295,"止损价不得低于初始止损",IF(F295&gt;E295,"止损价不得高于激活价",IF(AND(COUNTIFS($A$2:$A$501,"止损计划",$B$2:$B$501,B295,$D$2:$D$501,"&lt;"&amp;D295)&gt;0,OR(E295&lt;=AGGREGATE(14,6,$E$2:$E$501/(($A$2:$A$501="止损计划")*($B$2:$B$501=B295)*($D$2:$D$501&lt;D295)),1),F295&lt;AGGREGATE(14,6,$F$2:$F$501/(($A$2:$A$501="止损计划")*($B$2:$B$501=B295)*($D$2:$D$501&lt;D295)),1))),"阶段价格必须逐级提高","计划有效"))))))),IF(A295="每日跟踪",IF(OR(B295="",H295="",I295="",J295=""),"每日数据不完整",IF(COUNTIFS($A$2:$A$501,"每日跟踪",$B$2:$B$501,B295,$H$2:$H$501,H295)&gt;1,"同一交易日期重复",IF(AND(R295&lt;&gt;"",R295&lt;S295),"人工止损无效：不能下调","跟踪有效"))),"记录类型无效")))</f>
        <v/>
      </c>
    </row>
    <row r="296">
      <c r="A296" s="28" t="n"/>
      <c r="B296" s="28" t="n"/>
      <c r="C296" s="31">
        <f>IF(B296="","",IFERROR(LOOKUP(2,1/(单次交易!$A$2:$A$201=B296),单次交易!$B$2:$B$201),""))</f>
        <v/>
      </c>
      <c r="D296" s="27" t="n"/>
      <c r="E296" s="43" t="n"/>
      <c r="F296" s="43" t="n"/>
      <c r="G296" s="28" t="n"/>
      <c r="H296" s="49" t="n"/>
      <c r="I296" s="43" t="n"/>
      <c r="J296" s="27" t="n"/>
      <c r="K296" s="28" t="n"/>
      <c r="L296" s="28" t="n"/>
      <c r="M296" s="28" t="n"/>
      <c r="N296" s="44">
        <f>IF(B296="","",IFERROR(LOOKUP(2,1/(单次交易!$A$2:$A$201=B296),单次交易!$N$2:$N$201),""))</f>
        <v/>
      </c>
      <c r="O296" s="44">
        <f>IF(A296&lt;&gt;"每日跟踪","",IF(OR(B296="",H296="",I296=""),"",IFERROR(AGGREGATE(14,6,$I$2:$I$501/(($A$2:$A$501="每日跟踪")*($B$2:$B$501=B296)*($H$2:$H$501&lt;=H296)),1),"")))</f>
        <v/>
      </c>
      <c r="P296" s="26">
        <f>IF(A296&lt;&gt;"每日跟踪","",IF(O296="","",IFERROR(AGGREGATE(14,6,$D$2:$D$501/(($A$2:$A$501="止损计划")*($B$2:$B$501=B296)*($E$2:$E$501&lt;=O296)),1),0)))</f>
        <v/>
      </c>
      <c r="Q296" s="44">
        <f>IF(A296&lt;&gt;"每日跟踪","",IF(N296="","",MAX(N296,IFERROR(AGGREGATE(14,6,$F$2:$F$501/(($A$2:$A$501="止损计划")*($B$2:$B$501=B296)*($E$2:$E$501&lt;=O296)),1),0))))</f>
        <v/>
      </c>
      <c r="R296" s="43" t="n"/>
      <c r="S296" s="44">
        <f>IF(A296&lt;&gt;"每日跟踪","",IF(Q296="","",MAX(Q296,IFERROR(AGGREGATE(14,6,$R$2:$R$501/(($A$2:$A$501="每日跟踪")*($B$2:$B$501=B296)*($H$2:$H$501&lt;=H296)),1),0))))</f>
        <v/>
      </c>
      <c r="T296" s="44">
        <f>IF(A296&lt;&gt;"每日跟踪","",IF(O296="","",IF(COUNTIFS($A$2:$A$501,"止损计划",$B$2:$B$501,B296,$E$2:$E$501,"&gt;"&amp;O296)=0,"",AGGREGATE(15,6,$E$2:$E$501/(($A$2:$A$501="止损计划")*($B$2:$B$501=B296)*($E$2:$E$501&gt;O296)),1))))</f>
        <v/>
      </c>
      <c r="U296" s="44">
        <f>IF(OR(A296&lt;&gt;"每日跟踪",T296=""),"",IFERROR(AGGREGATE(14,6,$F$2:$F$501/(($A$2:$A$501="止损计划")*($B$2:$B$501=B296)*($E$2:$E$501=T296)),1),""))</f>
        <v/>
      </c>
      <c r="V296" s="30">
        <f>IF(OR(A296&lt;&gt;"每日跟踪",T296="",I296="",I296&lt;=0),"",T296/I296-1)</f>
        <v/>
      </c>
      <c r="W296" s="31">
        <f>IF(A296&lt;&gt;"每日跟踪","",IF(OR(I296="",S296=""),"",IF(I296&lt;=S296,"触发止损：应全部卖出","继续观察")))</f>
        <v/>
      </c>
      <c r="X296" s="28" t="n"/>
      <c r="Y296" s="43" t="n"/>
      <c r="Z296" s="26">
        <f>IF(X296&lt;&gt;"执行卖出","",IFERROR(LOOKUP(2,1/(单次交易!$A$2:$A$201=B296),单次交易!$AP$2:$AP$201),""))</f>
        <v/>
      </c>
      <c r="AA296" s="43" t="n"/>
      <c r="AB296" s="31">
        <f>IF(A296&lt;&gt;"每日跟踪","",IF(OR(B296="",H296="",I296="",J296="",K296="",L296="",M296=""),"待补充每日记录",IF(W296="触发止损：应全部卖出",IF(X296&lt;&gt;"执行卖出","违规：触发止损但未执行",IF(Y296="","待补充实际卖出价","卖出记录完整")),IF(X296="","待选择卖出动作",IF(X296="执行卖出",IF(Y296="","待补充实际卖出价","卖出记录完整"),"正常")))))</f>
        <v/>
      </c>
      <c r="AC296" s="31">
        <f>IF(A296="","",IF(A296="止损计划",IF(OR(B296="",D296="",E296="",F296="",G296=""),"计划不完整",IF(OR(D296&lt;1,D296&lt;&gt;INT(D296)),"阶段序号无效",IF(COUNTIFS($A$2:$A$501,"止损计划",$B$2:$B$501,B296,$D$2:$D$501,D296)&gt;1,"阶段序号重复",IF(E296&lt;=IFERROR(LOOKUP(2,1/('单次交易'!$A$2:$A$201=B296),'单次交易'!$E$2:$E$201),0),"激活价须高于买入价",IF(F296&lt;N296,"止损价不得低于初始止损",IF(F296&gt;E296,"止损价不得高于激活价",IF(AND(COUNTIFS($A$2:$A$501,"止损计划",$B$2:$B$501,B296,$D$2:$D$501,"&lt;"&amp;D296)&gt;0,OR(E296&lt;=AGGREGATE(14,6,$E$2:$E$501/(($A$2:$A$501="止损计划")*($B$2:$B$501=B296)*($D$2:$D$501&lt;D296)),1),F296&lt;AGGREGATE(14,6,$F$2:$F$501/(($A$2:$A$501="止损计划")*($B$2:$B$501=B296)*($D$2:$D$501&lt;D296)),1))),"阶段价格必须逐级提高","计划有效"))))))),IF(A296="每日跟踪",IF(OR(B296="",H296="",I296="",J296=""),"每日数据不完整",IF(COUNTIFS($A$2:$A$501,"每日跟踪",$B$2:$B$501,B296,$H$2:$H$501,H296)&gt;1,"同一交易日期重复",IF(AND(R296&lt;&gt;"",R296&lt;S296),"人工止损无效：不能下调","跟踪有效"))),"记录类型无效")))</f>
        <v/>
      </c>
    </row>
    <row r="297">
      <c r="A297" s="28" t="n"/>
      <c r="B297" s="28" t="n"/>
      <c r="C297" s="31">
        <f>IF(B297="","",IFERROR(LOOKUP(2,1/(单次交易!$A$2:$A$201=B297),单次交易!$B$2:$B$201),""))</f>
        <v/>
      </c>
      <c r="D297" s="27" t="n"/>
      <c r="E297" s="43" t="n"/>
      <c r="F297" s="43" t="n"/>
      <c r="G297" s="28" t="n"/>
      <c r="H297" s="49" t="n"/>
      <c r="I297" s="43" t="n"/>
      <c r="J297" s="27" t="n"/>
      <c r="K297" s="28" t="n"/>
      <c r="L297" s="28" t="n"/>
      <c r="M297" s="28" t="n"/>
      <c r="N297" s="44">
        <f>IF(B297="","",IFERROR(LOOKUP(2,1/(单次交易!$A$2:$A$201=B297),单次交易!$N$2:$N$201),""))</f>
        <v/>
      </c>
      <c r="O297" s="44">
        <f>IF(A297&lt;&gt;"每日跟踪","",IF(OR(B297="",H297="",I297=""),"",IFERROR(AGGREGATE(14,6,$I$2:$I$501/(($A$2:$A$501="每日跟踪")*($B$2:$B$501=B297)*($H$2:$H$501&lt;=H297)),1),"")))</f>
        <v/>
      </c>
      <c r="P297" s="26">
        <f>IF(A297&lt;&gt;"每日跟踪","",IF(O297="","",IFERROR(AGGREGATE(14,6,$D$2:$D$501/(($A$2:$A$501="止损计划")*($B$2:$B$501=B297)*($E$2:$E$501&lt;=O297)),1),0)))</f>
        <v/>
      </c>
      <c r="Q297" s="44">
        <f>IF(A297&lt;&gt;"每日跟踪","",IF(N297="","",MAX(N297,IFERROR(AGGREGATE(14,6,$F$2:$F$501/(($A$2:$A$501="止损计划")*($B$2:$B$501=B297)*($E$2:$E$501&lt;=O297)),1),0))))</f>
        <v/>
      </c>
      <c r="R297" s="43" t="n"/>
      <c r="S297" s="44">
        <f>IF(A297&lt;&gt;"每日跟踪","",IF(Q297="","",MAX(Q297,IFERROR(AGGREGATE(14,6,$R$2:$R$501/(($A$2:$A$501="每日跟踪")*($B$2:$B$501=B297)*($H$2:$H$501&lt;=H297)),1),0))))</f>
        <v/>
      </c>
      <c r="T297" s="44">
        <f>IF(A297&lt;&gt;"每日跟踪","",IF(O297="","",IF(COUNTIFS($A$2:$A$501,"止损计划",$B$2:$B$501,B297,$E$2:$E$501,"&gt;"&amp;O297)=0,"",AGGREGATE(15,6,$E$2:$E$501/(($A$2:$A$501="止损计划")*($B$2:$B$501=B297)*($E$2:$E$501&gt;O297)),1))))</f>
        <v/>
      </c>
      <c r="U297" s="44">
        <f>IF(OR(A297&lt;&gt;"每日跟踪",T297=""),"",IFERROR(AGGREGATE(14,6,$F$2:$F$501/(($A$2:$A$501="止损计划")*($B$2:$B$501=B297)*($E$2:$E$501=T297)),1),""))</f>
        <v/>
      </c>
      <c r="V297" s="30">
        <f>IF(OR(A297&lt;&gt;"每日跟踪",T297="",I297="",I297&lt;=0),"",T297/I297-1)</f>
        <v/>
      </c>
      <c r="W297" s="31">
        <f>IF(A297&lt;&gt;"每日跟踪","",IF(OR(I297="",S297=""),"",IF(I297&lt;=S297,"触发止损：应全部卖出","继续观察")))</f>
        <v/>
      </c>
      <c r="X297" s="28" t="n"/>
      <c r="Y297" s="43" t="n"/>
      <c r="Z297" s="26">
        <f>IF(X297&lt;&gt;"执行卖出","",IFERROR(LOOKUP(2,1/(单次交易!$A$2:$A$201=B297),单次交易!$AP$2:$AP$201),""))</f>
        <v/>
      </c>
      <c r="AA297" s="43" t="n"/>
      <c r="AB297" s="31">
        <f>IF(A297&lt;&gt;"每日跟踪","",IF(OR(B297="",H297="",I297="",J297="",K297="",L297="",M297=""),"待补充每日记录",IF(W297="触发止损：应全部卖出",IF(X297&lt;&gt;"执行卖出","违规：触发止损但未执行",IF(Y297="","待补充实际卖出价","卖出记录完整")),IF(X297="","待选择卖出动作",IF(X297="执行卖出",IF(Y297="","待补充实际卖出价","卖出记录完整"),"正常")))))</f>
        <v/>
      </c>
      <c r="AC297" s="31">
        <f>IF(A297="","",IF(A297="止损计划",IF(OR(B297="",D297="",E297="",F297="",G297=""),"计划不完整",IF(OR(D297&lt;1,D297&lt;&gt;INT(D297)),"阶段序号无效",IF(COUNTIFS($A$2:$A$501,"止损计划",$B$2:$B$501,B297,$D$2:$D$501,D297)&gt;1,"阶段序号重复",IF(E297&lt;=IFERROR(LOOKUP(2,1/('单次交易'!$A$2:$A$201=B297),'单次交易'!$E$2:$E$201),0),"激活价须高于买入价",IF(F297&lt;N297,"止损价不得低于初始止损",IF(F297&gt;E297,"止损价不得高于激活价",IF(AND(COUNTIFS($A$2:$A$501,"止损计划",$B$2:$B$501,B297,$D$2:$D$501,"&lt;"&amp;D297)&gt;0,OR(E297&lt;=AGGREGATE(14,6,$E$2:$E$501/(($A$2:$A$501="止损计划")*($B$2:$B$501=B297)*($D$2:$D$501&lt;D297)),1),F297&lt;AGGREGATE(14,6,$F$2:$F$501/(($A$2:$A$501="止损计划")*($B$2:$B$501=B297)*($D$2:$D$501&lt;D297)),1))),"阶段价格必须逐级提高","计划有效"))))))),IF(A297="每日跟踪",IF(OR(B297="",H297="",I297="",J297=""),"每日数据不完整",IF(COUNTIFS($A$2:$A$501,"每日跟踪",$B$2:$B$501,B297,$H$2:$H$501,H297)&gt;1,"同一交易日期重复",IF(AND(R297&lt;&gt;"",R297&lt;S297),"人工止损无效：不能下调","跟踪有效"))),"记录类型无效")))</f>
        <v/>
      </c>
    </row>
    <row r="298">
      <c r="A298" s="28" t="n"/>
      <c r="B298" s="28" t="n"/>
      <c r="C298" s="31">
        <f>IF(B298="","",IFERROR(LOOKUP(2,1/(单次交易!$A$2:$A$201=B298),单次交易!$B$2:$B$201),""))</f>
        <v/>
      </c>
      <c r="D298" s="27" t="n"/>
      <c r="E298" s="43" t="n"/>
      <c r="F298" s="43" t="n"/>
      <c r="G298" s="28" t="n"/>
      <c r="H298" s="49" t="n"/>
      <c r="I298" s="43" t="n"/>
      <c r="J298" s="27" t="n"/>
      <c r="K298" s="28" t="n"/>
      <c r="L298" s="28" t="n"/>
      <c r="M298" s="28" t="n"/>
      <c r="N298" s="44">
        <f>IF(B298="","",IFERROR(LOOKUP(2,1/(单次交易!$A$2:$A$201=B298),单次交易!$N$2:$N$201),""))</f>
        <v/>
      </c>
      <c r="O298" s="44">
        <f>IF(A298&lt;&gt;"每日跟踪","",IF(OR(B298="",H298="",I298=""),"",IFERROR(AGGREGATE(14,6,$I$2:$I$501/(($A$2:$A$501="每日跟踪")*($B$2:$B$501=B298)*($H$2:$H$501&lt;=H298)),1),"")))</f>
        <v/>
      </c>
      <c r="P298" s="26">
        <f>IF(A298&lt;&gt;"每日跟踪","",IF(O298="","",IFERROR(AGGREGATE(14,6,$D$2:$D$501/(($A$2:$A$501="止损计划")*($B$2:$B$501=B298)*($E$2:$E$501&lt;=O298)),1),0)))</f>
        <v/>
      </c>
      <c r="Q298" s="44">
        <f>IF(A298&lt;&gt;"每日跟踪","",IF(N298="","",MAX(N298,IFERROR(AGGREGATE(14,6,$F$2:$F$501/(($A$2:$A$501="止损计划")*($B$2:$B$501=B298)*($E$2:$E$501&lt;=O298)),1),0))))</f>
        <v/>
      </c>
      <c r="R298" s="43" t="n"/>
      <c r="S298" s="44">
        <f>IF(A298&lt;&gt;"每日跟踪","",IF(Q298="","",MAX(Q298,IFERROR(AGGREGATE(14,6,$R$2:$R$501/(($A$2:$A$501="每日跟踪")*($B$2:$B$501=B298)*($H$2:$H$501&lt;=H298)),1),0))))</f>
        <v/>
      </c>
      <c r="T298" s="44">
        <f>IF(A298&lt;&gt;"每日跟踪","",IF(O298="","",IF(COUNTIFS($A$2:$A$501,"止损计划",$B$2:$B$501,B298,$E$2:$E$501,"&gt;"&amp;O298)=0,"",AGGREGATE(15,6,$E$2:$E$501/(($A$2:$A$501="止损计划")*($B$2:$B$501=B298)*($E$2:$E$501&gt;O298)),1))))</f>
        <v/>
      </c>
      <c r="U298" s="44">
        <f>IF(OR(A298&lt;&gt;"每日跟踪",T298=""),"",IFERROR(AGGREGATE(14,6,$F$2:$F$501/(($A$2:$A$501="止损计划")*($B$2:$B$501=B298)*($E$2:$E$501=T298)),1),""))</f>
        <v/>
      </c>
      <c r="V298" s="30">
        <f>IF(OR(A298&lt;&gt;"每日跟踪",T298="",I298="",I298&lt;=0),"",T298/I298-1)</f>
        <v/>
      </c>
      <c r="W298" s="31">
        <f>IF(A298&lt;&gt;"每日跟踪","",IF(OR(I298="",S298=""),"",IF(I298&lt;=S298,"触发止损：应全部卖出","继续观察")))</f>
        <v/>
      </c>
      <c r="X298" s="28" t="n"/>
      <c r="Y298" s="43" t="n"/>
      <c r="Z298" s="26">
        <f>IF(X298&lt;&gt;"执行卖出","",IFERROR(LOOKUP(2,1/(单次交易!$A$2:$A$201=B298),单次交易!$AP$2:$AP$201),""))</f>
        <v/>
      </c>
      <c r="AA298" s="43" t="n"/>
      <c r="AB298" s="31">
        <f>IF(A298&lt;&gt;"每日跟踪","",IF(OR(B298="",H298="",I298="",J298="",K298="",L298="",M298=""),"待补充每日记录",IF(W298="触发止损：应全部卖出",IF(X298&lt;&gt;"执行卖出","违规：触发止损但未执行",IF(Y298="","待补充实际卖出价","卖出记录完整")),IF(X298="","待选择卖出动作",IF(X298="执行卖出",IF(Y298="","待补充实际卖出价","卖出记录完整"),"正常")))))</f>
        <v/>
      </c>
      <c r="AC298" s="31">
        <f>IF(A298="","",IF(A298="止损计划",IF(OR(B298="",D298="",E298="",F298="",G298=""),"计划不完整",IF(OR(D298&lt;1,D298&lt;&gt;INT(D298)),"阶段序号无效",IF(COUNTIFS($A$2:$A$501,"止损计划",$B$2:$B$501,B298,$D$2:$D$501,D298)&gt;1,"阶段序号重复",IF(E298&lt;=IFERROR(LOOKUP(2,1/('单次交易'!$A$2:$A$201=B298),'单次交易'!$E$2:$E$201),0),"激活价须高于买入价",IF(F298&lt;N298,"止损价不得低于初始止损",IF(F298&gt;E298,"止损价不得高于激活价",IF(AND(COUNTIFS($A$2:$A$501,"止损计划",$B$2:$B$501,B298,$D$2:$D$501,"&lt;"&amp;D298)&gt;0,OR(E298&lt;=AGGREGATE(14,6,$E$2:$E$501/(($A$2:$A$501="止损计划")*($B$2:$B$501=B298)*($D$2:$D$501&lt;D298)),1),F298&lt;AGGREGATE(14,6,$F$2:$F$501/(($A$2:$A$501="止损计划")*($B$2:$B$501=B298)*($D$2:$D$501&lt;D298)),1))),"阶段价格必须逐级提高","计划有效"))))))),IF(A298="每日跟踪",IF(OR(B298="",H298="",I298="",J298=""),"每日数据不完整",IF(COUNTIFS($A$2:$A$501,"每日跟踪",$B$2:$B$501,B298,$H$2:$H$501,H298)&gt;1,"同一交易日期重复",IF(AND(R298&lt;&gt;"",R298&lt;S298),"人工止损无效：不能下调","跟踪有效"))),"记录类型无效")))</f>
        <v/>
      </c>
    </row>
    <row r="299">
      <c r="A299" s="28" t="n"/>
      <c r="B299" s="28" t="n"/>
      <c r="C299" s="31">
        <f>IF(B299="","",IFERROR(LOOKUP(2,1/(单次交易!$A$2:$A$201=B299),单次交易!$B$2:$B$201),""))</f>
        <v/>
      </c>
      <c r="D299" s="27" t="n"/>
      <c r="E299" s="43" t="n"/>
      <c r="F299" s="43" t="n"/>
      <c r="G299" s="28" t="n"/>
      <c r="H299" s="49" t="n"/>
      <c r="I299" s="43" t="n"/>
      <c r="J299" s="27" t="n"/>
      <c r="K299" s="28" t="n"/>
      <c r="L299" s="28" t="n"/>
      <c r="M299" s="28" t="n"/>
      <c r="N299" s="44">
        <f>IF(B299="","",IFERROR(LOOKUP(2,1/(单次交易!$A$2:$A$201=B299),单次交易!$N$2:$N$201),""))</f>
        <v/>
      </c>
      <c r="O299" s="44">
        <f>IF(A299&lt;&gt;"每日跟踪","",IF(OR(B299="",H299="",I299=""),"",IFERROR(AGGREGATE(14,6,$I$2:$I$501/(($A$2:$A$501="每日跟踪")*($B$2:$B$501=B299)*($H$2:$H$501&lt;=H299)),1),"")))</f>
        <v/>
      </c>
      <c r="P299" s="26">
        <f>IF(A299&lt;&gt;"每日跟踪","",IF(O299="","",IFERROR(AGGREGATE(14,6,$D$2:$D$501/(($A$2:$A$501="止损计划")*($B$2:$B$501=B299)*($E$2:$E$501&lt;=O299)),1),0)))</f>
        <v/>
      </c>
      <c r="Q299" s="44">
        <f>IF(A299&lt;&gt;"每日跟踪","",IF(N299="","",MAX(N299,IFERROR(AGGREGATE(14,6,$F$2:$F$501/(($A$2:$A$501="止损计划")*($B$2:$B$501=B299)*($E$2:$E$501&lt;=O299)),1),0))))</f>
        <v/>
      </c>
      <c r="R299" s="43" t="n"/>
      <c r="S299" s="44">
        <f>IF(A299&lt;&gt;"每日跟踪","",IF(Q299="","",MAX(Q299,IFERROR(AGGREGATE(14,6,$R$2:$R$501/(($A$2:$A$501="每日跟踪")*($B$2:$B$501=B299)*($H$2:$H$501&lt;=H299)),1),0))))</f>
        <v/>
      </c>
      <c r="T299" s="44">
        <f>IF(A299&lt;&gt;"每日跟踪","",IF(O299="","",IF(COUNTIFS($A$2:$A$501,"止损计划",$B$2:$B$501,B299,$E$2:$E$501,"&gt;"&amp;O299)=0,"",AGGREGATE(15,6,$E$2:$E$501/(($A$2:$A$501="止损计划")*($B$2:$B$501=B299)*($E$2:$E$501&gt;O299)),1))))</f>
        <v/>
      </c>
      <c r="U299" s="44">
        <f>IF(OR(A299&lt;&gt;"每日跟踪",T299=""),"",IFERROR(AGGREGATE(14,6,$F$2:$F$501/(($A$2:$A$501="止损计划")*($B$2:$B$501=B299)*($E$2:$E$501=T299)),1),""))</f>
        <v/>
      </c>
      <c r="V299" s="30">
        <f>IF(OR(A299&lt;&gt;"每日跟踪",T299="",I299="",I299&lt;=0),"",T299/I299-1)</f>
        <v/>
      </c>
      <c r="W299" s="31">
        <f>IF(A299&lt;&gt;"每日跟踪","",IF(OR(I299="",S299=""),"",IF(I299&lt;=S299,"触发止损：应全部卖出","继续观察")))</f>
        <v/>
      </c>
      <c r="X299" s="28" t="n"/>
      <c r="Y299" s="43" t="n"/>
      <c r="Z299" s="26">
        <f>IF(X299&lt;&gt;"执行卖出","",IFERROR(LOOKUP(2,1/(单次交易!$A$2:$A$201=B299),单次交易!$AP$2:$AP$201),""))</f>
        <v/>
      </c>
      <c r="AA299" s="43" t="n"/>
      <c r="AB299" s="31">
        <f>IF(A299&lt;&gt;"每日跟踪","",IF(OR(B299="",H299="",I299="",J299="",K299="",L299="",M299=""),"待补充每日记录",IF(W299="触发止损：应全部卖出",IF(X299&lt;&gt;"执行卖出","违规：触发止损但未执行",IF(Y299="","待补充实际卖出价","卖出记录完整")),IF(X299="","待选择卖出动作",IF(X299="执行卖出",IF(Y299="","待补充实际卖出价","卖出记录完整"),"正常")))))</f>
        <v/>
      </c>
      <c r="AC299" s="31">
        <f>IF(A299="","",IF(A299="止损计划",IF(OR(B299="",D299="",E299="",F299="",G299=""),"计划不完整",IF(OR(D299&lt;1,D299&lt;&gt;INT(D299)),"阶段序号无效",IF(COUNTIFS($A$2:$A$501,"止损计划",$B$2:$B$501,B299,$D$2:$D$501,D299)&gt;1,"阶段序号重复",IF(E299&lt;=IFERROR(LOOKUP(2,1/('单次交易'!$A$2:$A$201=B299),'单次交易'!$E$2:$E$201),0),"激活价须高于买入价",IF(F299&lt;N299,"止损价不得低于初始止损",IF(F299&gt;E299,"止损价不得高于激活价",IF(AND(COUNTIFS($A$2:$A$501,"止损计划",$B$2:$B$501,B299,$D$2:$D$501,"&lt;"&amp;D299)&gt;0,OR(E299&lt;=AGGREGATE(14,6,$E$2:$E$501/(($A$2:$A$501="止损计划")*($B$2:$B$501=B299)*($D$2:$D$501&lt;D299)),1),F299&lt;AGGREGATE(14,6,$F$2:$F$501/(($A$2:$A$501="止损计划")*($B$2:$B$501=B299)*($D$2:$D$501&lt;D299)),1))),"阶段价格必须逐级提高","计划有效"))))))),IF(A299="每日跟踪",IF(OR(B299="",H299="",I299="",J299=""),"每日数据不完整",IF(COUNTIFS($A$2:$A$501,"每日跟踪",$B$2:$B$501,B299,$H$2:$H$501,H299)&gt;1,"同一交易日期重复",IF(AND(R299&lt;&gt;"",R299&lt;S299),"人工止损无效：不能下调","跟踪有效"))),"记录类型无效")))</f>
        <v/>
      </c>
    </row>
    <row r="300">
      <c r="A300" s="28" t="n"/>
      <c r="B300" s="28" t="n"/>
      <c r="C300" s="31">
        <f>IF(B300="","",IFERROR(LOOKUP(2,1/(单次交易!$A$2:$A$201=B300),单次交易!$B$2:$B$201),""))</f>
        <v/>
      </c>
      <c r="D300" s="27" t="n"/>
      <c r="E300" s="43" t="n"/>
      <c r="F300" s="43" t="n"/>
      <c r="G300" s="28" t="n"/>
      <c r="H300" s="49" t="n"/>
      <c r="I300" s="43" t="n"/>
      <c r="J300" s="27" t="n"/>
      <c r="K300" s="28" t="n"/>
      <c r="L300" s="28" t="n"/>
      <c r="M300" s="28" t="n"/>
      <c r="N300" s="44">
        <f>IF(B300="","",IFERROR(LOOKUP(2,1/(单次交易!$A$2:$A$201=B300),单次交易!$N$2:$N$201),""))</f>
        <v/>
      </c>
      <c r="O300" s="44">
        <f>IF(A300&lt;&gt;"每日跟踪","",IF(OR(B300="",H300="",I300=""),"",IFERROR(AGGREGATE(14,6,$I$2:$I$501/(($A$2:$A$501="每日跟踪")*($B$2:$B$501=B300)*($H$2:$H$501&lt;=H300)),1),"")))</f>
        <v/>
      </c>
      <c r="P300" s="26">
        <f>IF(A300&lt;&gt;"每日跟踪","",IF(O300="","",IFERROR(AGGREGATE(14,6,$D$2:$D$501/(($A$2:$A$501="止损计划")*($B$2:$B$501=B300)*($E$2:$E$501&lt;=O300)),1),0)))</f>
        <v/>
      </c>
      <c r="Q300" s="44">
        <f>IF(A300&lt;&gt;"每日跟踪","",IF(N300="","",MAX(N300,IFERROR(AGGREGATE(14,6,$F$2:$F$501/(($A$2:$A$501="止损计划")*($B$2:$B$501=B300)*($E$2:$E$501&lt;=O300)),1),0))))</f>
        <v/>
      </c>
      <c r="R300" s="43" t="n"/>
      <c r="S300" s="44">
        <f>IF(A300&lt;&gt;"每日跟踪","",IF(Q300="","",MAX(Q300,IFERROR(AGGREGATE(14,6,$R$2:$R$501/(($A$2:$A$501="每日跟踪")*($B$2:$B$501=B300)*($H$2:$H$501&lt;=H300)),1),0))))</f>
        <v/>
      </c>
      <c r="T300" s="44">
        <f>IF(A300&lt;&gt;"每日跟踪","",IF(O300="","",IF(COUNTIFS($A$2:$A$501,"止损计划",$B$2:$B$501,B300,$E$2:$E$501,"&gt;"&amp;O300)=0,"",AGGREGATE(15,6,$E$2:$E$501/(($A$2:$A$501="止损计划")*($B$2:$B$501=B300)*($E$2:$E$501&gt;O300)),1))))</f>
        <v/>
      </c>
      <c r="U300" s="44">
        <f>IF(OR(A300&lt;&gt;"每日跟踪",T300=""),"",IFERROR(AGGREGATE(14,6,$F$2:$F$501/(($A$2:$A$501="止损计划")*($B$2:$B$501=B300)*($E$2:$E$501=T300)),1),""))</f>
        <v/>
      </c>
      <c r="V300" s="30">
        <f>IF(OR(A300&lt;&gt;"每日跟踪",T300="",I300="",I300&lt;=0),"",T300/I300-1)</f>
        <v/>
      </c>
      <c r="W300" s="31">
        <f>IF(A300&lt;&gt;"每日跟踪","",IF(OR(I300="",S300=""),"",IF(I300&lt;=S300,"触发止损：应全部卖出","继续观察")))</f>
        <v/>
      </c>
      <c r="X300" s="28" t="n"/>
      <c r="Y300" s="43" t="n"/>
      <c r="Z300" s="26">
        <f>IF(X300&lt;&gt;"执行卖出","",IFERROR(LOOKUP(2,1/(单次交易!$A$2:$A$201=B300),单次交易!$AP$2:$AP$201),""))</f>
        <v/>
      </c>
      <c r="AA300" s="43" t="n"/>
      <c r="AB300" s="31">
        <f>IF(A300&lt;&gt;"每日跟踪","",IF(OR(B300="",H300="",I300="",J300="",K300="",L300="",M300=""),"待补充每日记录",IF(W300="触发止损：应全部卖出",IF(X300&lt;&gt;"执行卖出","违规：触发止损但未执行",IF(Y300="","待补充实际卖出价","卖出记录完整")),IF(X300="","待选择卖出动作",IF(X300="执行卖出",IF(Y300="","待补充实际卖出价","卖出记录完整"),"正常")))))</f>
        <v/>
      </c>
      <c r="AC300" s="31">
        <f>IF(A300="","",IF(A300="止损计划",IF(OR(B300="",D300="",E300="",F300="",G300=""),"计划不完整",IF(OR(D300&lt;1,D300&lt;&gt;INT(D300)),"阶段序号无效",IF(COUNTIFS($A$2:$A$501,"止损计划",$B$2:$B$501,B300,$D$2:$D$501,D300)&gt;1,"阶段序号重复",IF(E300&lt;=IFERROR(LOOKUP(2,1/('单次交易'!$A$2:$A$201=B300),'单次交易'!$E$2:$E$201),0),"激活价须高于买入价",IF(F300&lt;N300,"止损价不得低于初始止损",IF(F300&gt;E300,"止损价不得高于激活价",IF(AND(COUNTIFS($A$2:$A$501,"止损计划",$B$2:$B$501,B300,$D$2:$D$501,"&lt;"&amp;D300)&gt;0,OR(E300&lt;=AGGREGATE(14,6,$E$2:$E$501/(($A$2:$A$501="止损计划")*($B$2:$B$501=B300)*($D$2:$D$501&lt;D300)),1),F300&lt;AGGREGATE(14,6,$F$2:$F$501/(($A$2:$A$501="止损计划")*($B$2:$B$501=B300)*($D$2:$D$501&lt;D300)),1))),"阶段价格必须逐级提高","计划有效"))))))),IF(A300="每日跟踪",IF(OR(B300="",H300="",I300="",J300=""),"每日数据不完整",IF(COUNTIFS($A$2:$A$501,"每日跟踪",$B$2:$B$501,B300,$H$2:$H$501,H300)&gt;1,"同一交易日期重复",IF(AND(R300&lt;&gt;"",R300&lt;S300),"人工止损无效：不能下调","跟踪有效"))),"记录类型无效")))</f>
        <v/>
      </c>
    </row>
    <row r="301">
      <c r="A301" s="28" t="n"/>
      <c r="B301" s="28" t="n"/>
      <c r="C301" s="31">
        <f>IF(B301="","",IFERROR(LOOKUP(2,1/(单次交易!$A$2:$A$201=B301),单次交易!$B$2:$B$201),""))</f>
        <v/>
      </c>
      <c r="D301" s="27" t="n"/>
      <c r="E301" s="43" t="n"/>
      <c r="F301" s="43" t="n"/>
      <c r="G301" s="28" t="n"/>
      <c r="H301" s="49" t="n"/>
      <c r="I301" s="43" t="n"/>
      <c r="J301" s="27" t="n"/>
      <c r="K301" s="28" t="n"/>
      <c r="L301" s="28" t="n"/>
      <c r="M301" s="28" t="n"/>
      <c r="N301" s="44">
        <f>IF(B301="","",IFERROR(LOOKUP(2,1/(单次交易!$A$2:$A$201=B301),单次交易!$N$2:$N$201),""))</f>
        <v/>
      </c>
      <c r="O301" s="44">
        <f>IF(A301&lt;&gt;"每日跟踪","",IF(OR(B301="",H301="",I301=""),"",IFERROR(AGGREGATE(14,6,$I$2:$I$501/(($A$2:$A$501="每日跟踪")*($B$2:$B$501=B301)*($H$2:$H$501&lt;=H301)),1),"")))</f>
        <v/>
      </c>
      <c r="P301" s="26">
        <f>IF(A301&lt;&gt;"每日跟踪","",IF(O301="","",IFERROR(AGGREGATE(14,6,$D$2:$D$501/(($A$2:$A$501="止损计划")*($B$2:$B$501=B301)*($E$2:$E$501&lt;=O301)),1),0)))</f>
        <v/>
      </c>
      <c r="Q301" s="44">
        <f>IF(A301&lt;&gt;"每日跟踪","",IF(N301="","",MAX(N301,IFERROR(AGGREGATE(14,6,$F$2:$F$501/(($A$2:$A$501="止损计划")*($B$2:$B$501=B301)*($E$2:$E$501&lt;=O301)),1),0))))</f>
        <v/>
      </c>
      <c r="R301" s="43" t="n"/>
      <c r="S301" s="44">
        <f>IF(A301&lt;&gt;"每日跟踪","",IF(Q301="","",MAX(Q301,IFERROR(AGGREGATE(14,6,$R$2:$R$501/(($A$2:$A$501="每日跟踪")*($B$2:$B$501=B301)*($H$2:$H$501&lt;=H301)),1),0))))</f>
        <v/>
      </c>
      <c r="T301" s="44">
        <f>IF(A301&lt;&gt;"每日跟踪","",IF(O301="","",IF(COUNTIFS($A$2:$A$501,"止损计划",$B$2:$B$501,B301,$E$2:$E$501,"&gt;"&amp;O301)=0,"",AGGREGATE(15,6,$E$2:$E$501/(($A$2:$A$501="止损计划")*($B$2:$B$501=B301)*($E$2:$E$501&gt;O301)),1))))</f>
        <v/>
      </c>
      <c r="U301" s="44">
        <f>IF(OR(A301&lt;&gt;"每日跟踪",T301=""),"",IFERROR(AGGREGATE(14,6,$F$2:$F$501/(($A$2:$A$501="止损计划")*($B$2:$B$501=B301)*($E$2:$E$501=T301)),1),""))</f>
        <v/>
      </c>
      <c r="V301" s="30">
        <f>IF(OR(A301&lt;&gt;"每日跟踪",T301="",I301="",I301&lt;=0),"",T301/I301-1)</f>
        <v/>
      </c>
      <c r="W301" s="31">
        <f>IF(A301&lt;&gt;"每日跟踪","",IF(OR(I301="",S301=""),"",IF(I301&lt;=S301,"触发止损：应全部卖出","继续观察")))</f>
        <v/>
      </c>
      <c r="X301" s="28" t="n"/>
      <c r="Y301" s="43" t="n"/>
      <c r="Z301" s="26">
        <f>IF(X301&lt;&gt;"执行卖出","",IFERROR(LOOKUP(2,1/(单次交易!$A$2:$A$201=B301),单次交易!$AP$2:$AP$201),""))</f>
        <v/>
      </c>
      <c r="AA301" s="43" t="n"/>
      <c r="AB301" s="31">
        <f>IF(A301&lt;&gt;"每日跟踪","",IF(OR(B301="",H301="",I301="",J301="",K301="",L301="",M301=""),"待补充每日记录",IF(W301="触发止损：应全部卖出",IF(X301&lt;&gt;"执行卖出","违规：触发止损但未执行",IF(Y301="","待补充实际卖出价","卖出记录完整")),IF(X301="","待选择卖出动作",IF(X301="执行卖出",IF(Y301="","待补充实际卖出价","卖出记录完整"),"正常")))))</f>
        <v/>
      </c>
      <c r="AC301" s="31">
        <f>IF(A301="","",IF(A301="止损计划",IF(OR(B301="",D301="",E301="",F301="",G301=""),"计划不完整",IF(OR(D301&lt;1,D301&lt;&gt;INT(D301)),"阶段序号无效",IF(COUNTIFS($A$2:$A$501,"止损计划",$B$2:$B$501,B301,$D$2:$D$501,D301)&gt;1,"阶段序号重复",IF(E301&lt;=IFERROR(LOOKUP(2,1/('单次交易'!$A$2:$A$201=B301),'单次交易'!$E$2:$E$201),0),"激活价须高于买入价",IF(F301&lt;N301,"止损价不得低于初始止损",IF(F301&gt;E301,"止损价不得高于激活价",IF(AND(COUNTIFS($A$2:$A$501,"止损计划",$B$2:$B$501,B301,$D$2:$D$501,"&lt;"&amp;D301)&gt;0,OR(E301&lt;=AGGREGATE(14,6,$E$2:$E$501/(($A$2:$A$501="止损计划")*($B$2:$B$501=B301)*($D$2:$D$501&lt;D301)),1),F301&lt;AGGREGATE(14,6,$F$2:$F$501/(($A$2:$A$501="止损计划")*($B$2:$B$501=B301)*($D$2:$D$501&lt;D301)),1))),"阶段价格必须逐级提高","计划有效"))))))),IF(A301="每日跟踪",IF(OR(B301="",H301="",I301="",J301=""),"每日数据不完整",IF(COUNTIFS($A$2:$A$501,"每日跟踪",$B$2:$B$501,B301,$H$2:$H$501,H301)&gt;1,"同一交易日期重复",IF(AND(R301&lt;&gt;"",R301&lt;S301),"人工止损无效：不能下调","跟踪有效"))),"记录类型无效")))</f>
        <v/>
      </c>
    </row>
    <row r="302">
      <c r="A302" s="28" t="n"/>
      <c r="B302" s="28" t="n"/>
      <c r="C302" s="31">
        <f>IF(B302="","",IFERROR(LOOKUP(2,1/(单次交易!$A$2:$A$201=B302),单次交易!$B$2:$B$201),""))</f>
        <v/>
      </c>
      <c r="D302" s="27" t="n"/>
      <c r="E302" s="43" t="n"/>
      <c r="F302" s="43" t="n"/>
      <c r="G302" s="28" t="n"/>
      <c r="H302" s="49" t="n"/>
      <c r="I302" s="43" t="n"/>
      <c r="J302" s="27" t="n"/>
      <c r="K302" s="28" t="n"/>
      <c r="L302" s="28" t="n"/>
      <c r="M302" s="28" t="n"/>
      <c r="N302" s="44">
        <f>IF(B302="","",IFERROR(LOOKUP(2,1/(单次交易!$A$2:$A$201=B302),单次交易!$N$2:$N$201),""))</f>
        <v/>
      </c>
      <c r="O302" s="44">
        <f>IF(A302&lt;&gt;"每日跟踪","",IF(OR(B302="",H302="",I302=""),"",IFERROR(AGGREGATE(14,6,$I$2:$I$501/(($A$2:$A$501="每日跟踪")*($B$2:$B$501=B302)*($H$2:$H$501&lt;=H302)),1),"")))</f>
        <v/>
      </c>
      <c r="P302" s="26">
        <f>IF(A302&lt;&gt;"每日跟踪","",IF(O302="","",IFERROR(AGGREGATE(14,6,$D$2:$D$501/(($A$2:$A$501="止损计划")*($B$2:$B$501=B302)*($E$2:$E$501&lt;=O302)),1),0)))</f>
        <v/>
      </c>
      <c r="Q302" s="44">
        <f>IF(A302&lt;&gt;"每日跟踪","",IF(N302="","",MAX(N302,IFERROR(AGGREGATE(14,6,$F$2:$F$501/(($A$2:$A$501="止损计划")*($B$2:$B$501=B302)*($E$2:$E$501&lt;=O302)),1),0))))</f>
        <v/>
      </c>
      <c r="R302" s="43" t="n"/>
      <c r="S302" s="44">
        <f>IF(A302&lt;&gt;"每日跟踪","",IF(Q302="","",MAX(Q302,IFERROR(AGGREGATE(14,6,$R$2:$R$501/(($A$2:$A$501="每日跟踪")*($B$2:$B$501=B302)*($H$2:$H$501&lt;=H302)),1),0))))</f>
        <v/>
      </c>
      <c r="T302" s="44">
        <f>IF(A302&lt;&gt;"每日跟踪","",IF(O302="","",IF(COUNTIFS($A$2:$A$501,"止损计划",$B$2:$B$501,B302,$E$2:$E$501,"&gt;"&amp;O302)=0,"",AGGREGATE(15,6,$E$2:$E$501/(($A$2:$A$501="止损计划")*($B$2:$B$501=B302)*($E$2:$E$501&gt;O302)),1))))</f>
        <v/>
      </c>
      <c r="U302" s="44">
        <f>IF(OR(A302&lt;&gt;"每日跟踪",T302=""),"",IFERROR(AGGREGATE(14,6,$F$2:$F$501/(($A$2:$A$501="止损计划")*($B$2:$B$501=B302)*($E$2:$E$501=T302)),1),""))</f>
        <v/>
      </c>
      <c r="V302" s="30">
        <f>IF(OR(A302&lt;&gt;"每日跟踪",T302="",I302="",I302&lt;=0),"",T302/I302-1)</f>
        <v/>
      </c>
      <c r="W302" s="31">
        <f>IF(A302&lt;&gt;"每日跟踪","",IF(OR(I302="",S302=""),"",IF(I302&lt;=S302,"触发止损：应全部卖出","继续观察")))</f>
        <v/>
      </c>
      <c r="X302" s="28" t="n"/>
      <c r="Y302" s="43" t="n"/>
      <c r="Z302" s="26">
        <f>IF(X302&lt;&gt;"执行卖出","",IFERROR(LOOKUP(2,1/(单次交易!$A$2:$A$201=B302),单次交易!$AP$2:$AP$201),""))</f>
        <v/>
      </c>
      <c r="AA302" s="43" t="n"/>
      <c r="AB302" s="31">
        <f>IF(A302&lt;&gt;"每日跟踪","",IF(OR(B302="",H302="",I302="",J302="",K302="",L302="",M302=""),"待补充每日记录",IF(W302="触发止损：应全部卖出",IF(X302&lt;&gt;"执行卖出","违规：触发止损但未执行",IF(Y302="","待补充实际卖出价","卖出记录完整")),IF(X302="","待选择卖出动作",IF(X302="执行卖出",IF(Y302="","待补充实际卖出价","卖出记录完整"),"正常")))))</f>
        <v/>
      </c>
      <c r="AC302" s="31">
        <f>IF(A302="","",IF(A302="止损计划",IF(OR(B302="",D302="",E302="",F302="",G302=""),"计划不完整",IF(OR(D302&lt;1,D302&lt;&gt;INT(D302)),"阶段序号无效",IF(COUNTIFS($A$2:$A$501,"止损计划",$B$2:$B$501,B302,$D$2:$D$501,D302)&gt;1,"阶段序号重复",IF(E302&lt;=IFERROR(LOOKUP(2,1/('单次交易'!$A$2:$A$201=B302),'单次交易'!$E$2:$E$201),0),"激活价须高于买入价",IF(F302&lt;N302,"止损价不得低于初始止损",IF(F302&gt;E302,"止损价不得高于激活价",IF(AND(COUNTIFS($A$2:$A$501,"止损计划",$B$2:$B$501,B302,$D$2:$D$501,"&lt;"&amp;D302)&gt;0,OR(E302&lt;=AGGREGATE(14,6,$E$2:$E$501/(($A$2:$A$501="止损计划")*($B$2:$B$501=B302)*($D$2:$D$501&lt;D302)),1),F302&lt;AGGREGATE(14,6,$F$2:$F$501/(($A$2:$A$501="止损计划")*($B$2:$B$501=B302)*($D$2:$D$501&lt;D302)),1))),"阶段价格必须逐级提高","计划有效"))))))),IF(A302="每日跟踪",IF(OR(B302="",H302="",I302="",J302=""),"每日数据不完整",IF(COUNTIFS($A$2:$A$501,"每日跟踪",$B$2:$B$501,B302,$H$2:$H$501,H302)&gt;1,"同一交易日期重复",IF(AND(R302&lt;&gt;"",R302&lt;S302),"人工止损无效：不能下调","跟踪有效"))),"记录类型无效")))</f>
        <v/>
      </c>
    </row>
    <row r="303">
      <c r="A303" s="28" t="n"/>
      <c r="B303" s="28" t="n"/>
      <c r="C303" s="31">
        <f>IF(B303="","",IFERROR(LOOKUP(2,1/(单次交易!$A$2:$A$201=B303),单次交易!$B$2:$B$201),""))</f>
        <v/>
      </c>
      <c r="D303" s="27" t="n"/>
      <c r="E303" s="43" t="n"/>
      <c r="F303" s="43" t="n"/>
      <c r="G303" s="28" t="n"/>
      <c r="H303" s="49" t="n"/>
      <c r="I303" s="43" t="n"/>
      <c r="J303" s="27" t="n"/>
      <c r="K303" s="28" t="n"/>
      <c r="L303" s="28" t="n"/>
      <c r="M303" s="28" t="n"/>
      <c r="N303" s="44">
        <f>IF(B303="","",IFERROR(LOOKUP(2,1/(单次交易!$A$2:$A$201=B303),单次交易!$N$2:$N$201),""))</f>
        <v/>
      </c>
      <c r="O303" s="44">
        <f>IF(A303&lt;&gt;"每日跟踪","",IF(OR(B303="",H303="",I303=""),"",IFERROR(AGGREGATE(14,6,$I$2:$I$501/(($A$2:$A$501="每日跟踪")*($B$2:$B$501=B303)*($H$2:$H$501&lt;=H303)),1),"")))</f>
        <v/>
      </c>
      <c r="P303" s="26">
        <f>IF(A303&lt;&gt;"每日跟踪","",IF(O303="","",IFERROR(AGGREGATE(14,6,$D$2:$D$501/(($A$2:$A$501="止损计划")*($B$2:$B$501=B303)*($E$2:$E$501&lt;=O303)),1),0)))</f>
        <v/>
      </c>
      <c r="Q303" s="44">
        <f>IF(A303&lt;&gt;"每日跟踪","",IF(N303="","",MAX(N303,IFERROR(AGGREGATE(14,6,$F$2:$F$501/(($A$2:$A$501="止损计划")*($B$2:$B$501=B303)*($E$2:$E$501&lt;=O303)),1),0))))</f>
        <v/>
      </c>
      <c r="R303" s="43" t="n"/>
      <c r="S303" s="44">
        <f>IF(A303&lt;&gt;"每日跟踪","",IF(Q303="","",MAX(Q303,IFERROR(AGGREGATE(14,6,$R$2:$R$501/(($A$2:$A$501="每日跟踪")*($B$2:$B$501=B303)*($H$2:$H$501&lt;=H303)),1),0))))</f>
        <v/>
      </c>
      <c r="T303" s="44">
        <f>IF(A303&lt;&gt;"每日跟踪","",IF(O303="","",IF(COUNTIFS($A$2:$A$501,"止损计划",$B$2:$B$501,B303,$E$2:$E$501,"&gt;"&amp;O303)=0,"",AGGREGATE(15,6,$E$2:$E$501/(($A$2:$A$501="止损计划")*($B$2:$B$501=B303)*($E$2:$E$501&gt;O303)),1))))</f>
        <v/>
      </c>
      <c r="U303" s="44">
        <f>IF(OR(A303&lt;&gt;"每日跟踪",T303=""),"",IFERROR(AGGREGATE(14,6,$F$2:$F$501/(($A$2:$A$501="止损计划")*($B$2:$B$501=B303)*($E$2:$E$501=T303)),1),""))</f>
        <v/>
      </c>
      <c r="V303" s="30">
        <f>IF(OR(A303&lt;&gt;"每日跟踪",T303="",I303="",I303&lt;=0),"",T303/I303-1)</f>
        <v/>
      </c>
      <c r="W303" s="31">
        <f>IF(A303&lt;&gt;"每日跟踪","",IF(OR(I303="",S303=""),"",IF(I303&lt;=S303,"触发止损：应全部卖出","继续观察")))</f>
        <v/>
      </c>
      <c r="X303" s="28" t="n"/>
      <c r="Y303" s="43" t="n"/>
      <c r="Z303" s="26">
        <f>IF(X303&lt;&gt;"执行卖出","",IFERROR(LOOKUP(2,1/(单次交易!$A$2:$A$201=B303),单次交易!$AP$2:$AP$201),""))</f>
        <v/>
      </c>
      <c r="AA303" s="43" t="n"/>
      <c r="AB303" s="31">
        <f>IF(A303&lt;&gt;"每日跟踪","",IF(OR(B303="",H303="",I303="",J303="",K303="",L303="",M303=""),"待补充每日记录",IF(W303="触发止损：应全部卖出",IF(X303&lt;&gt;"执行卖出","违规：触发止损但未执行",IF(Y303="","待补充实际卖出价","卖出记录完整")),IF(X303="","待选择卖出动作",IF(X303="执行卖出",IF(Y303="","待补充实际卖出价","卖出记录完整"),"正常")))))</f>
        <v/>
      </c>
      <c r="AC303" s="31">
        <f>IF(A303="","",IF(A303="止损计划",IF(OR(B303="",D303="",E303="",F303="",G303=""),"计划不完整",IF(OR(D303&lt;1,D303&lt;&gt;INT(D303)),"阶段序号无效",IF(COUNTIFS($A$2:$A$501,"止损计划",$B$2:$B$501,B303,$D$2:$D$501,D303)&gt;1,"阶段序号重复",IF(E303&lt;=IFERROR(LOOKUP(2,1/('单次交易'!$A$2:$A$201=B303),'单次交易'!$E$2:$E$201),0),"激活价须高于买入价",IF(F303&lt;N303,"止损价不得低于初始止损",IF(F303&gt;E303,"止损价不得高于激活价",IF(AND(COUNTIFS($A$2:$A$501,"止损计划",$B$2:$B$501,B303,$D$2:$D$501,"&lt;"&amp;D303)&gt;0,OR(E303&lt;=AGGREGATE(14,6,$E$2:$E$501/(($A$2:$A$501="止损计划")*($B$2:$B$501=B303)*($D$2:$D$501&lt;D303)),1),F303&lt;AGGREGATE(14,6,$F$2:$F$501/(($A$2:$A$501="止损计划")*($B$2:$B$501=B303)*($D$2:$D$501&lt;D303)),1))),"阶段价格必须逐级提高","计划有效"))))))),IF(A303="每日跟踪",IF(OR(B303="",H303="",I303="",J303=""),"每日数据不完整",IF(COUNTIFS($A$2:$A$501,"每日跟踪",$B$2:$B$501,B303,$H$2:$H$501,H303)&gt;1,"同一交易日期重复",IF(AND(R303&lt;&gt;"",R303&lt;S303),"人工止损无效：不能下调","跟踪有效"))),"记录类型无效")))</f>
        <v/>
      </c>
    </row>
    <row r="304">
      <c r="A304" s="28" t="n"/>
      <c r="B304" s="28" t="n"/>
      <c r="C304" s="31">
        <f>IF(B304="","",IFERROR(LOOKUP(2,1/(单次交易!$A$2:$A$201=B304),单次交易!$B$2:$B$201),""))</f>
        <v/>
      </c>
      <c r="D304" s="27" t="n"/>
      <c r="E304" s="43" t="n"/>
      <c r="F304" s="43" t="n"/>
      <c r="G304" s="28" t="n"/>
      <c r="H304" s="49" t="n"/>
      <c r="I304" s="43" t="n"/>
      <c r="J304" s="27" t="n"/>
      <c r="K304" s="28" t="n"/>
      <c r="L304" s="28" t="n"/>
      <c r="M304" s="28" t="n"/>
      <c r="N304" s="44">
        <f>IF(B304="","",IFERROR(LOOKUP(2,1/(单次交易!$A$2:$A$201=B304),单次交易!$N$2:$N$201),""))</f>
        <v/>
      </c>
      <c r="O304" s="44">
        <f>IF(A304&lt;&gt;"每日跟踪","",IF(OR(B304="",H304="",I304=""),"",IFERROR(AGGREGATE(14,6,$I$2:$I$501/(($A$2:$A$501="每日跟踪")*($B$2:$B$501=B304)*($H$2:$H$501&lt;=H304)),1),"")))</f>
        <v/>
      </c>
      <c r="P304" s="26">
        <f>IF(A304&lt;&gt;"每日跟踪","",IF(O304="","",IFERROR(AGGREGATE(14,6,$D$2:$D$501/(($A$2:$A$501="止损计划")*($B$2:$B$501=B304)*($E$2:$E$501&lt;=O304)),1),0)))</f>
        <v/>
      </c>
      <c r="Q304" s="44">
        <f>IF(A304&lt;&gt;"每日跟踪","",IF(N304="","",MAX(N304,IFERROR(AGGREGATE(14,6,$F$2:$F$501/(($A$2:$A$501="止损计划")*($B$2:$B$501=B304)*($E$2:$E$501&lt;=O304)),1),0))))</f>
        <v/>
      </c>
      <c r="R304" s="43" t="n"/>
      <c r="S304" s="44">
        <f>IF(A304&lt;&gt;"每日跟踪","",IF(Q304="","",MAX(Q304,IFERROR(AGGREGATE(14,6,$R$2:$R$501/(($A$2:$A$501="每日跟踪")*($B$2:$B$501=B304)*($H$2:$H$501&lt;=H304)),1),0))))</f>
        <v/>
      </c>
      <c r="T304" s="44">
        <f>IF(A304&lt;&gt;"每日跟踪","",IF(O304="","",IF(COUNTIFS($A$2:$A$501,"止损计划",$B$2:$B$501,B304,$E$2:$E$501,"&gt;"&amp;O304)=0,"",AGGREGATE(15,6,$E$2:$E$501/(($A$2:$A$501="止损计划")*($B$2:$B$501=B304)*($E$2:$E$501&gt;O304)),1))))</f>
        <v/>
      </c>
      <c r="U304" s="44">
        <f>IF(OR(A304&lt;&gt;"每日跟踪",T304=""),"",IFERROR(AGGREGATE(14,6,$F$2:$F$501/(($A$2:$A$501="止损计划")*($B$2:$B$501=B304)*($E$2:$E$501=T304)),1),""))</f>
        <v/>
      </c>
      <c r="V304" s="30">
        <f>IF(OR(A304&lt;&gt;"每日跟踪",T304="",I304="",I304&lt;=0),"",T304/I304-1)</f>
        <v/>
      </c>
      <c r="W304" s="31">
        <f>IF(A304&lt;&gt;"每日跟踪","",IF(OR(I304="",S304=""),"",IF(I304&lt;=S304,"触发止损：应全部卖出","继续观察")))</f>
        <v/>
      </c>
      <c r="X304" s="28" t="n"/>
      <c r="Y304" s="43" t="n"/>
      <c r="Z304" s="26">
        <f>IF(X304&lt;&gt;"执行卖出","",IFERROR(LOOKUP(2,1/(单次交易!$A$2:$A$201=B304),单次交易!$AP$2:$AP$201),""))</f>
        <v/>
      </c>
      <c r="AA304" s="43" t="n"/>
      <c r="AB304" s="31">
        <f>IF(A304&lt;&gt;"每日跟踪","",IF(OR(B304="",H304="",I304="",J304="",K304="",L304="",M304=""),"待补充每日记录",IF(W304="触发止损：应全部卖出",IF(X304&lt;&gt;"执行卖出","违规：触发止损但未执行",IF(Y304="","待补充实际卖出价","卖出记录完整")),IF(X304="","待选择卖出动作",IF(X304="执行卖出",IF(Y304="","待补充实际卖出价","卖出记录完整"),"正常")))))</f>
        <v/>
      </c>
      <c r="AC304" s="31">
        <f>IF(A304="","",IF(A304="止损计划",IF(OR(B304="",D304="",E304="",F304="",G304=""),"计划不完整",IF(OR(D304&lt;1,D304&lt;&gt;INT(D304)),"阶段序号无效",IF(COUNTIFS($A$2:$A$501,"止损计划",$B$2:$B$501,B304,$D$2:$D$501,D304)&gt;1,"阶段序号重复",IF(E304&lt;=IFERROR(LOOKUP(2,1/('单次交易'!$A$2:$A$201=B304),'单次交易'!$E$2:$E$201),0),"激活价须高于买入价",IF(F304&lt;N304,"止损价不得低于初始止损",IF(F304&gt;E304,"止损价不得高于激活价",IF(AND(COUNTIFS($A$2:$A$501,"止损计划",$B$2:$B$501,B304,$D$2:$D$501,"&lt;"&amp;D304)&gt;0,OR(E304&lt;=AGGREGATE(14,6,$E$2:$E$501/(($A$2:$A$501="止损计划")*($B$2:$B$501=B304)*($D$2:$D$501&lt;D304)),1),F304&lt;AGGREGATE(14,6,$F$2:$F$501/(($A$2:$A$501="止损计划")*($B$2:$B$501=B304)*($D$2:$D$501&lt;D304)),1))),"阶段价格必须逐级提高","计划有效"))))))),IF(A304="每日跟踪",IF(OR(B304="",H304="",I304="",J304=""),"每日数据不完整",IF(COUNTIFS($A$2:$A$501,"每日跟踪",$B$2:$B$501,B304,$H$2:$H$501,H304)&gt;1,"同一交易日期重复",IF(AND(R304&lt;&gt;"",R304&lt;S304),"人工止损无效：不能下调","跟踪有效"))),"记录类型无效")))</f>
        <v/>
      </c>
    </row>
    <row r="305">
      <c r="A305" s="28" t="n"/>
      <c r="B305" s="28" t="n"/>
      <c r="C305" s="31">
        <f>IF(B305="","",IFERROR(LOOKUP(2,1/(单次交易!$A$2:$A$201=B305),单次交易!$B$2:$B$201),""))</f>
        <v/>
      </c>
      <c r="D305" s="27" t="n"/>
      <c r="E305" s="43" t="n"/>
      <c r="F305" s="43" t="n"/>
      <c r="G305" s="28" t="n"/>
      <c r="H305" s="49" t="n"/>
      <c r="I305" s="43" t="n"/>
      <c r="J305" s="27" t="n"/>
      <c r="K305" s="28" t="n"/>
      <c r="L305" s="28" t="n"/>
      <c r="M305" s="28" t="n"/>
      <c r="N305" s="44">
        <f>IF(B305="","",IFERROR(LOOKUP(2,1/(单次交易!$A$2:$A$201=B305),单次交易!$N$2:$N$201),""))</f>
        <v/>
      </c>
      <c r="O305" s="44">
        <f>IF(A305&lt;&gt;"每日跟踪","",IF(OR(B305="",H305="",I305=""),"",IFERROR(AGGREGATE(14,6,$I$2:$I$501/(($A$2:$A$501="每日跟踪")*($B$2:$B$501=B305)*($H$2:$H$501&lt;=H305)),1),"")))</f>
        <v/>
      </c>
      <c r="P305" s="26">
        <f>IF(A305&lt;&gt;"每日跟踪","",IF(O305="","",IFERROR(AGGREGATE(14,6,$D$2:$D$501/(($A$2:$A$501="止损计划")*($B$2:$B$501=B305)*($E$2:$E$501&lt;=O305)),1),0)))</f>
        <v/>
      </c>
      <c r="Q305" s="44">
        <f>IF(A305&lt;&gt;"每日跟踪","",IF(N305="","",MAX(N305,IFERROR(AGGREGATE(14,6,$F$2:$F$501/(($A$2:$A$501="止损计划")*($B$2:$B$501=B305)*($E$2:$E$501&lt;=O305)),1),0))))</f>
        <v/>
      </c>
      <c r="R305" s="43" t="n"/>
      <c r="S305" s="44">
        <f>IF(A305&lt;&gt;"每日跟踪","",IF(Q305="","",MAX(Q305,IFERROR(AGGREGATE(14,6,$R$2:$R$501/(($A$2:$A$501="每日跟踪")*($B$2:$B$501=B305)*($H$2:$H$501&lt;=H305)),1),0))))</f>
        <v/>
      </c>
      <c r="T305" s="44">
        <f>IF(A305&lt;&gt;"每日跟踪","",IF(O305="","",IF(COUNTIFS($A$2:$A$501,"止损计划",$B$2:$B$501,B305,$E$2:$E$501,"&gt;"&amp;O305)=0,"",AGGREGATE(15,6,$E$2:$E$501/(($A$2:$A$501="止损计划")*($B$2:$B$501=B305)*($E$2:$E$501&gt;O305)),1))))</f>
        <v/>
      </c>
      <c r="U305" s="44">
        <f>IF(OR(A305&lt;&gt;"每日跟踪",T305=""),"",IFERROR(AGGREGATE(14,6,$F$2:$F$501/(($A$2:$A$501="止损计划")*($B$2:$B$501=B305)*($E$2:$E$501=T305)),1),""))</f>
        <v/>
      </c>
      <c r="V305" s="30">
        <f>IF(OR(A305&lt;&gt;"每日跟踪",T305="",I305="",I305&lt;=0),"",T305/I305-1)</f>
        <v/>
      </c>
      <c r="W305" s="31">
        <f>IF(A305&lt;&gt;"每日跟踪","",IF(OR(I305="",S305=""),"",IF(I305&lt;=S305,"触发止损：应全部卖出","继续观察")))</f>
        <v/>
      </c>
      <c r="X305" s="28" t="n"/>
      <c r="Y305" s="43" t="n"/>
      <c r="Z305" s="26">
        <f>IF(X305&lt;&gt;"执行卖出","",IFERROR(LOOKUP(2,1/(单次交易!$A$2:$A$201=B305),单次交易!$AP$2:$AP$201),""))</f>
        <v/>
      </c>
      <c r="AA305" s="43" t="n"/>
      <c r="AB305" s="31">
        <f>IF(A305&lt;&gt;"每日跟踪","",IF(OR(B305="",H305="",I305="",J305="",K305="",L305="",M305=""),"待补充每日记录",IF(W305="触发止损：应全部卖出",IF(X305&lt;&gt;"执行卖出","违规：触发止损但未执行",IF(Y305="","待补充实际卖出价","卖出记录完整")),IF(X305="","待选择卖出动作",IF(X305="执行卖出",IF(Y305="","待补充实际卖出价","卖出记录完整"),"正常")))))</f>
        <v/>
      </c>
      <c r="AC305" s="31">
        <f>IF(A305="","",IF(A305="止损计划",IF(OR(B305="",D305="",E305="",F305="",G305=""),"计划不完整",IF(OR(D305&lt;1,D305&lt;&gt;INT(D305)),"阶段序号无效",IF(COUNTIFS($A$2:$A$501,"止损计划",$B$2:$B$501,B305,$D$2:$D$501,D305)&gt;1,"阶段序号重复",IF(E305&lt;=IFERROR(LOOKUP(2,1/('单次交易'!$A$2:$A$201=B305),'单次交易'!$E$2:$E$201),0),"激活价须高于买入价",IF(F305&lt;N305,"止损价不得低于初始止损",IF(F305&gt;E305,"止损价不得高于激活价",IF(AND(COUNTIFS($A$2:$A$501,"止损计划",$B$2:$B$501,B305,$D$2:$D$501,"&lt;"&amp;D305)&gt;0,OR(E305&lt;=AGGREGATE(14,6,$E$2:$E$501/(($A$2:$A$501="止损计划")*($B$2:$B$501=B305)*($D$2:$D$501&lt;D305)),1),F305&lt;AGGREGATE(14,6,$F$2:$F$501/(($A$2:$A$501="止损计划")*($B$2:$B$501=B305)*($D$2:$D$501&lt;D305)),1))),"阶段价格必须逐级提高","计划有效"))))))),IF(A305="每日跟踪",IF(OR(B305="",H305="",I305="",J305=""),"每日数据不完整",IF(COUNTIFS($A$2:$A$501,"每日跟踪",$B$2:$B$501,B305,$H$2:$H$501,H305)&gt;1,"同一交易日期重复",IF(AND(R305&lt;&gt;"",R305&lt;S305),"人工止损无效：不能下调","跟踪有效"))),"记录类型无效")))</f>
        <v/>
      </c>
    </row>
    <row r="306">
      <c r="A306" s="28" t="n"/>
      <c r="B306" s="28" t="n"/>
      <c r="C306" s="31">
        <f>IF(B306="","",IFERROR(LOOKUP(2,1/(单次交易!$A$2:$A$201=B306),单次交易!$B$2:$B$201),""))</f>
        <v/>
      </c>
      <c r="D306" s="27" t="n"/>
      <c r="E306" s="43" t="n"/>
      <c r="F306" s="43" t="n"/>
      <c r="G306" s="28" t="n"/>
      <c r="H306" s="49" t="n"/>
      <c r="I306" s="43" t="n"/>
      <c r="J306" s="27" t="n"/>
      <c r="K306" s="28" t="n"/>
      <c r="L306" s="28" t="n"/>
      <c r="M306" s="28" t="n"/>
      <c r="N306" s="44">
        <f>IF(B306="","",IFERROR(LOOKUP(2,1/(单次交易!$A$2:$A$201=B306),单次交易!$N$2:$N$201),""))</f>
        <v/>
      </c>
      <c r="O306" s="44">
        <f>IF(A306&lt;&gt;"每日跟踪","",IF(OR(B306="",H306="",I306=""),"",IFERROR(AGGREGATE(14,6,$I$2:$I$501/(($A$2:$A$501="每日跟踪")*($B$2:$B$501=B306)*($H$2:$H$501&lt;=H306)),1),"")))</f>
        <v/>
      </c>
      <c r="P306" s="26">
        <f>IF(A306&lt;&gt;"每日跟踪","",IF(O306="","",IFERROR(AGGREGATE(14,6,$D$2:$D$501/(($A$2:$A$501="止损计划")*($B$2:$B$501=B306)*($E$2:$E$501&lt;=O306)),1),0)))</f>
        <v/>
      </c>
      <c r="Q306" s="44">
        <f>IF(A306&lt;&gt;"每日跟踪","",IF(N306="","",MAX(N306,IFERROR(AGGREGATE(14,6,$F$2:$F$501/(($A$2:$A$501="止损计划")*($B$2:$B$501=B306)*($E$2:$E$501&lt;=O306)),1),0))))</f>
        <v/>
      </c>
      <c r="R306" s="43" t="n"/>
      <c r="S306" s="44">
        <f>IF(A306&lt;&gt;"每日跟踪","",IF(Q306="","",MAX(Q306,IFERROR(AGGREGATE(14,6,$R$2:$R$501/(($A$2:$A$501="每日跟踪")*($B$2:$B$501=B306)*($H$2:$H$501&lt;=H306)),1),0))))</f>
        <v/>
      </c>
      <c r="T306" s="44">
        <f>IF(A306&lt;&gt;"每日跟踪","",IF(O306="","",IF(COUNTIFS($A$2:$A$501,"止损计划",$B$2:$B$501,B306,$E$2:$E$501,"&gt;"&amp;O306)=0,"",AGGREGATE(15,6,$E$2:$E$501/(($A$2:$A$501="止损计划")*($B$2:$B$501=B306)*($E$2:$E$501&gt;O306)),1))))</f>
        <v/>
      </c>
      <c r="U306" s="44">
        <f>IF(OR(A306&lt;&gt;"每日跟踪",T306=""),"",IFERROR(AGGREGATE(14,6,$F$2:$F$501/(($A$2:$A$501="止损计划")*($B$2:$B$501=B306)*($E$2:$E$501=T306)),1),""))</f>
        <v/>
      </c>
      <c r="V306" s="30">
        <f>IF(OR(A306&lt;&gt;"每日跟踪",T306="",I306="",I306&lt;=0),"",T306/I306-1)</f>
        <v/>
      </c>
      <c r="W306" s="31">
        <f>IF(A306&lt;&gt;"每日跟踪","",IF(OR(I306="",S306=""),"",IF(I306&lt;=S306,"触发止损：应全部卖出","继续观察")))</f>
        <v/>
      </c>
      <c r="X306" s="28" t="n"/>
      <c r="Y306" s="43" t="n"/>
      <c r="Z306" s="26">
        <f>IF(X306&lt;&gt;"执行卖出","",IFERROR(LOOKUP(2,1/(单次交易!$A$2:$A$201=B306),单次交易!$AP$2:$AP$201),""))</f>
        <v/>
      </c>
      <c r="AA306" s="43" t="n"/>
      <c r="AB306" s="31">
        <f>IF(A306&lt;&gt;"每日跟踪","",IF(OR(B306="",H306="",I306="",J306="",K306="",L306="",M306=""),"待补充每日记录",IF(W306="触发止损：应全部卖出",IF(X306&lt;&gt;"执行卖出","违规：触发止损但未执行",IF(Y306="","待补充实际卖出价","卖出记录完整")),IF(X306="","待选择卖出动作",IF(X306="执行卖出",IF(Y306="","待补充实际卖出价","卖出记录完整"),"正常")))))</f>
        <v/>
      </c>
      <c r="AC306" s="31">
        <f>IF(A306="","",IF(A306="止损计划",IF(OR(B306="",D306="",E306="",F306="",G306=""),"计划不完整",IF(OR(D306&lt;1,D306&lt;&gt;INT(D306)),"阶段序号无效",IF(COUNTIFS($A$2:$A$501,"止损计划",$B$2:$B$501,B306,$D$2:$D$501,D306)&gt;1,"阶段序号重复",IF(E306&lt;=IFERROR(LOOKUP(2,1/('单次交易'!$A$2:$A$201=B306),'单次交易'!$E$2:$E$201),0),"激活价须高于买入价",IF(F306&lt;N306,"止损价不得低于初始止损",IF(F306&gt;E306,"止损价不得高于激活价",IF(AND(COUNTIFS($A$2:$A$501,"止损计划",$B$2:$B$501,B306,$D$2:$D$501,"&lt;"&amp;D306)&gt;0,OR(E306&lt;=AGGREGATE(14,6,$E$2:$E$501/(($A$2:$A$501="止损计划")*($B$2:$B$501=B306)*($D$2:$D$501&lt;D306)),1),F306&lt;AGGREGATE(14,6,$F$2:$F$501/(($A$2:$A$501="止损计划")*($B$2:$B$501=B306)*($D$2:$D$501&lt;D306)),1))),"阶段价格必须逐级提高","计划有效"))))))),IF(A306="每日跟踪",IF(OR(B306="",H306="",I306="",J306=""),"每日数据不完整",IF(COUNTIFS($A$2:$A$501,"每日跟踪",$B$2:$B$501,B306,$H$2:$H$501,H306)&gt;1,"同一交易日期重复",IF(AND(R306&lt;&gt;"",R306&lt;S306),"人工止损无效：不能下调","跟踪有效"))),"记录类型无效")))</f>
        <v/>
      </c>
    </row>
    <row r="307">
      <c r="A307" s="28" t="n"/>
      <c r="B307" s="28" t="n"/>
      <c r="C307" s="31">
        <f>IF(B307="","",IFERROR(LOOKUP(2,1/(单次交易!$A$2:$A$201=B307),单次交易!$B$2:$B$201),""))</f>
        <v/>
      </c>
      <c r="D307" s="27" t="n"/>
      <c r="E307" s="43" t="n"/>
      <c r="F307" s="43" t="n"/>
      <c r="G307" s="28" t="n"/>
      <c r="H307" s="49" t="n"/>
      <c r="I307" s="43" t="n"/>
      <c r="J307" s="27" t="n"/>
      <c r="K307" s="28" t="n"/>
      <c r="L307" s="28" t="n"/>
      <c r="M307" s="28" t="n"/>
      <c r="N307" s="44">
        <f>IF(B307="","",IFERROR(LOOKUP(2,1/(单次交易!$A$2:$A$201=B307),单次交易!$N$2:$N$201),""))</f>
        <v/>
      </c>
      <c r="O307" s="44">
        <f>IF(A307&lt;&gt;"每日跟踪","",IF(OR(B307="",H307="",I307=""),"",IFERROR(AGGREGATE(14,6,$I$2:$I$501/(($A$2:$A$501="每日跟踪")*($B$2:$B$501=B307)*($H$2:$H$501&lt;=H307)),1),"")))</f>
        <v/>
      </c>
      <c r="P307" s="26">
        <f>IF(A307&lt;&gt;"每日跟踪","",IF(O307="","",IFERROR(AGGREGATE(14,6,$D$2:$D$501/(($A$2:$A$501="止损计划")*($B$2:$B$501=B307)*($E$2:$E$501&lt;=O307)),1),0)))</f>
        <v/>
      </c>
      <c r="Q307" s="44">
        <f>IF(A307&lt;&gt;"每日跟踪","",IF(N307="","",MAX(N307,IFERROR(AGGREGATE(14,6,$F$2:$F$501/(($A$2:$A$501="止损计划")*($B$2:$B$501=B307)*($E$2:$E$501&lt;=O307)),1),0))))</f>
        <v/>
      </c>
      <c r="R307" s="43" t="n"/>
      <c r="S307" s="44">
        <f>IF(A307&lt;&gt;"每日跟踪","",IF(Q307="","",MAX(Q307,IFERROR(AGGREGATE(14,6,$R$2:$R$501/(($A$2:$A$501="每日跟踪")*($B$2:$B$501=B307)*($H$2:$H$501&lt;=H307)),1),0))))</f>
        <v/>
      </c>
      <c r="T307" s="44">
        <f>IF(A307&lt;&gt;"每日跟踪","",IF(O307="","",IF(COUNTIFS($A$2:$A$501,"止损计划",$B$2:$B$501,B307,$E$2:$E$501,"&gt;"&amp;O307)=0,"",AGGREGATE(15,6,$E$2:$E$501/(($A$2:$A$501="止损计划")*($B$2:$B$501=B307)*($E$2:$E$501&gt;O307)),1))))</f>
        <v/>
      </c>
      <c r="U307" s="44">
        <f>IF(OR(A307&lt;&gt;"每日跟踪",T307=""),"",IFERROR(AGGREGATE(14,6,$F$2:$F$501/(($A$2:$A$501="止损计划")*($B$2:$B$501=B307)*($E$2:$E$501=T307)),1),""))</f>
        <v/>
      </c>
      <c r="V307" s="30">
        <f>IF(OR(A307&lt;&gt;"每日跟踪",T307="",I307="",I307&lt;=0),"",T307/I307-1)</f>
        <v/>
      </c>
      <c r="W307" s="31">
        <f>IF(A307&lt;&gt;"每日跟踪","",IF(OR(I307="",S307=""),"",IF(I307&lt;=S307,"触发止损：应全部卖出","继续观察")))</f>
        <v/>
      </c>
      <c r="X307" s="28" t="n"/>
      <c r="Y307" s="43" t="n"/>
      <c r="Z307" s="26">
        <f>IF(X307&lt;&gt;"执行卖出","",IFERROR(LOOKUP(2,1/(单次交易!$A$2:$A$201=B307),单次交易!$AP$2:$AP$201),""))</f>
        <v/>
      </c>
      <c r="AA307" s="43" t="n"/>
      <c r="AB307" s="31">
        <f>IF(A307&lt;&gt;"每日跟踪","",IF(OR(B307="",H307="",I307="",J307="",K307="",L307="",M307=""),"待补充每日记录",IF(W307="触发止损：应全部卖出",IF(X307&lt;&gt;"执行卖出","违规：触发止损但未执行",IF(Y307="","待补充实际卖出价","卖出记录完整")),IF(X307="","待选择卖出动作",IF(X307="执行卖出",IF(Y307="","待补充实际卖出价","卖出记录完整"),"正常")))))</f>
        <v/>
      </c>
      <c r="AC307" s="31">
        <f>IF(A307="","",IF(A307="止损计划",IF(OR(B307="",D307="",E307="",F307="",G307=""),"计划不完整",IF(OR(D307&lt;1,D307&lt;&gt;INT(D307)),"阶段序号无效",IF(COUNTIFS($A$2:$A$501,"止损计划",$B$2:$B$501,B307,$D$2:$D$501,D307)&gt;1,"阶段序号重复",IF(E307&lt;=IFERROR(LOOKUP(2,1/('单次交易'!$A$2:$A$201=B307),'单次交易'!$E$2:$E$201),0),"激活价须高于买入价",IF(F307&lt;N307,"止损价不得低于初始止损",IF(F307&gt;E307,"止损价不得高于激活价",IF(AND(COUNTIFS($A$2:$A$501,"止损计划",$B$2:$B$501,B307,$D$2:$D$501,"&lt;"&amp;D307)&gt;0,OR(E307&lt;=AGGREGATE(14,6,$E$2:$E$501/(($A$2:$A$501="止损计划")*($B$2:$B$501=B307)*($D$2:$D$501&lt;D307)),1),F307&lt;AGGREGATE(14,6,$F$2:$F$501/(($A$2:$A$501="止损计划")*($B$2:$B$501=B307)*($D$2:$D$501&lt;D307)),1))),"阶段价格必须逐级提高","计划有效"))))))),IF(A307="每日跟踪",IF(OR(B307="",H307="",I307="",J307=""),"每日数据不完整",IF(COUNTIFS($A$2:$A$501,"每日跟踪",$B$2:$B$501,B307,$H$2:$H$501,H307)&gt;1,"同一交易日期重复",IF(AND(R307&lt;&gt;"",R307&lt;S307),"人工止损无效：不能下调","跟踪有效"))),"记录类型无效")))</f>
        <v/>
      </c>
    </row>
    <row r="308">
      <c r="A308" s="28" t="n"/>
      <c r="B308" s="28" t="n"/>
      <c r="C308" s="31">
        <f>IF(B308="","",IFERROR(LOOKUP(2,1/(单次交易!$A$2:$A$201=B308),单次交易!$B$2:$B$201),""))</f>
        <v/>
      </c>
      <c r="D308" s="27" t="n"/>
      <c r="E308" s="43" t="n"/>
      <c r="F308" s="43" t="n"/>
      <c r="G308" s="28" t="n"/>
      <c r="H308" s="49" t="n"/>
      <c r="I308" s="43" t="n"/>
      <c r="J308" s="27" t="n"/>
      <c r="K308" s="28" t="n"/>
      <c r="L308" s="28" t="n"/>
      <c r="M308" s="28" t="n"/>
      <c r="N308" s="44">
        <f>IF(B308="","",IFERROR(LOOKUP(2,1/(单次交易!$A$2:$A$201=B308),单次交易!$N$2:$N$201),""))</f>
        <v/>
      </c>
      <c r="O308" s="44">
        <f>IF(A308&lt;&gt;"每日跟踪","",IF(OR(B308="",H308="",I308=""),"",IFERROR(AGGREGATE(14,6,$I$2:$I$501/(($A$2:$A$501="每日跟踪")*($B$2:$B$501=B308)*($H$2:$H$501&lt;=H308)),1),"")))</f>
        <v/>
      </c>
      <c r="P308" s="26">
        <f>IF(A308&lt;&gt;"每日跟踪","",IF(O308="","",IFERROR(AGGREGATE(14,6,$D$2:$D$501/(($A$2:$A$501="止损计划")*($B$2:$B$501=B308)*($E$2:$E$501&lt;=O308)),1),0)))</f>
        <v/>
      </c>
      <c r="Q308" s="44">
        <f>IF(A308&lt;&gt;"每日跟踪","",IF(N308="","",MAX(N308,IFERROR(AGGREGATE(14,6,$F$2:$F$501/(($A$2:$A$501="止损计划")*($B$2:$B$501=B308)*($E$2:$E$501&lt;=O308)),1),0))))</f>
        <v/>
      </c>
      <c r="R308" s="43" t="n"/>
      <c r="S308" s="44">
        <f>IF(A308&lt;&gt;"每日跟踪","",IF(Q308="","",MAX(Q308,IFERROR(AGGREGATE(14,6,$R$2:$R$501/(($A$2:$A$501="每日跟踪")*($B$2:$B$501=B308)*($H$2:$H$501&lt;=H308)),1),0))))</f>
        <v/>
      </c>
      <c r="T308" s="44">
        <f>IF(A308&lt;&gt;"每日跟踪","",IF(O308="","",IF(COUNTIFS($A$2:$A$501,"止损计划",$B$2:$B$501,B308,$E$2:$E$501,"&gt;"&amp;O308)=0,"",AGGREGATE(15,6,$E$2:$E$501/(($A$2:$A$501="止损计划")*($B$2:$B$501=B308)*($E$2:$E$501&gt;O308)),1))))</f>
        <v/>
      </c>
      <c r="U308" s="44">
        <f>IF(OR(A308&lt;&gt;"每日跟踪",T308=""),"",IFERROR(AGGREGATE(14,6,$F$2:$F$501/(($A$2:$A$501="止损计划")*($B$2:$B$501=B308)*($E$2:$E$501=T308)),1),""))</f>
        <v/>
      </c>
      <c r="V308" s="30">
        <f>IF(OR(A308&lt;&gt;"每日跟踪",T308="",I308="",I308&lt;=0),"",T308/I308-1)</f>
        <v/>
      </c>
      <c r="W308" s="31">
        <f>IF(A308&lt;&gt;"每日跟踪","",IF(OR(I308="",S308=""),"",IF(I308&lt;=S308,"触发止损：应全部卖出","继续观察")))</f>
        <v/>
      </c>
      <c r="X308" s="28" t="n"/>
      <c r="Y308" s="43" t="n"/>
      <c r="Z308" s="26">
        <f>IF(X308&lt;&gt;"执行卖出","",IFERROR(LOOKUP(2,1/(单次交易!$A$2:$A$201=B308),单次交易!$AP$2:$AP$201),""))</f>
        <v/>
      </c>
      <c r="AA308" s="43" t="n"/>
      <c r="AB308" s="31">
        <f>IF(A308&lt;&gt;"每日跟踪","",IF(OR(B308="",H308="",I308="",J308="",K308="",L308="",M308=""),"待补充每日记录",IF(W308="触发止损：应全部卖出",IF(X308&lt;&gt;"执行卖出","违规：触发止损但未执行",IF(Y308="","待补充实际卖出价","卖出记录完整")),IF(X308="","待选择卖出动作",IF(X308="执行卖出",IF(Y308="","待补充实际卖出价","卖出记录完整"),"正常")))))</f>
        <v/>
      </c>
      <c r="AC308" s="31">
        <f>IF(A308="","",IF(A308="止损计划",IF(OR(B308="",D308="",E308="",F308="",G308=""),"计划不完整",IF(OR(D308&lt;1,D308&lt;&gt;INT(D308)),"阶段序号无效",IF(COUNTIFS($A$2:$A$501,"止损计划",$B$2:$B$501,B308,$D$2:$D$501,D308)&gt;1,"阶段序号重复",IF(E308&lt;=IFERROR(LOOKUP(2,1/('单次交易'!$A$2:$A$201=B308),'单次交易'!$E$2:$E$201),0),"激活价须高于买入价",IF(F308&lt;N308,"止损价不得低于初始止损",IF(F308&gt;E308,"止损价不得高于激活价",IF(AND(COUNTIFS($A$2:$A$501,"止损计划",$B$2:$B$501,B308,$D$2:$D$501,"&lt;"&amp;D308)&gt;0,OR(E308&lt;=AGGREGATE(14,6,$E$2:$E$501/(($A$2:$A$501="止损计划")*($B$2:$B$501=B308)*($D$2:$D$501&lt;D308)),1),F308&lt;AGGREGATE(14,6,$F$2:$F$501/(($A$2:$A$501="止损计划")*($B$2:$B$501=B308)*($D$2:$D$501&lt;D308)),1))),"阶段价格必须逐级提高","计划有效"))))))),IF(A308="每日跟踪",IF(OR(B308="",H308="",I308="",J308=""),"每日数据不完整",IF(COUNTIFS($A$2:$A$501,"每日跟踪",$B$2:$B$501,B308,$H$2:$H$501,H308)&gt;1,"同一交易日期重复",IF(AND(R308&lt;&gt;"",R308&lt;S308),"人工止损无效：不能下调","跟踪有效"))),"记录类型无效")))</f>
        <v/>
      </c>
    </row>
    <row r="309">
      <c r="A309" s="28" t="n"/>
      <c r="B309" s="28" t="n"/>
      <c r="C309" s="31">
        <f>IF(B309="","",IFERROR(LOOKUP(2,1/(单次交易!$A$2:$A$201=B309),单次交易!$B$2:$B$201),""))</f>
        <v/>
      </c>
      <c r="D309" s="27" t="n"/>
      <c r="E309" s="43" t="n"/>
      <c r="F309" s="43" t="n"/>
      <c r="G309" s="28" t="n"/>
      <c r="H309" s="49" t="n"/>
      <c r="I309" s="43" t="n"/>
      <c r="J309" s="27" t="n"/>
      <c r="K309" s="28" t="n"/>
      <c r="L309" s="28" t="n"/>
      <c r="M309" s="28" t="n"/>
      <c r="N309" s="44">
        <f>IF(B309="","",IFERROR(LOOKUP(2,1/(单次交易!$A$2:$A$201=B309),单次交易!$N$2:$N$201),""))</f>
        <v/>
      </c>
      <c r="O309" s="44">
        <f>IF(A309&lt;&gt;"每日跟踪","",IF(OR(B309="",H309="",I309=""),"",IFERROR(AGGREGATE(14,6,$I$2:$I$501/(($A$2:$A$501="每日跟踪")*($B$2:$B$501=B309)*($H$2:$H$501&lt;=H309)),1),"")))</f>
        <v/>
      </c>
      <c r="P309" s="26">
        <f>IF(A309&lt;&gt;"每日跟踪","",IF(O309="","",IFERROR(AGGREGATE(14,6,$D$2:$D$501/(($A$2:$A$501="止损计划")*($B$2:$B$501=B309)*($E$2:$E$501&lt;=O309)),1),0)))</f>
        <v/>
      </c>
      <c r="Q309" s="44">
        <f>IF(A309&lt;&gt;"每日跟踪","",IF(N309="","",MAX(N309,IFERROR(AGGREGATE(14,6,$F$2:$F$501/(($A$2:$A$501="止损计划")*($B$2:$B$501=B309)*($E$2:$E$501&lt;=O309)),1),0))))</f>
        <v/>
      </c>
      <c r="R309" s="43" t="n"/>
      <c r="S309" s="44">
        <f>IF(A309&lt;&gt;"每日跟踪","",IF(Q309="","",MAX(Q309,IFERROR(AGGREGATE(14,6,$R$2:$R$501/(($A$2:$A$501="每日跟踪")*($B$2:$B$501=B309)*($H$2:$H$501&lt;=H309)),1),0))))</f>
        <v/>
      </c>
      <c r="T309" s="44">
        <f>IF(A309&lt;&gt;"每日跟踪","",IF(O309="","",IF(COUNTIFS($A$2:$A$501,"止损计划",$B$2:$B$501,B309,$E$2:$E$501,"&gt;"&amp;O309)=0,"",AGGREGATE(15,6,$E$2:$E$501/(($A$2:$A$501="止损计划")*($B$2:$B$501=B309)*($E$2:$E$501&gt;O309)),1))))</f>
        <v/>
      </c>
      <c r="U309" s="44">
        <f>IF(OR(A309&lt;&gt;"每日跟踪",T309=""),"",IFERROR(AGGREGATE(14,6,$F$2:$F$501/(($A$2:$A$501="止损计划")*($B$2:$B$501=B309)*($E$2:$E$501=T309)),1),""))</f>
        <v/>
      </c>
      <c r="V309" s="30">
        <f>IF(OR(A309&lt;&gt;"每日跟踪",T309="",I309="",I309&lt;=0),"",T309/I309-1)</f>
        <v/>
      </c>
      <c r="W309" s="31">
        <f>IF(A309&lt;&gt;"每日跟踪","",IF(OR(I309="",S309=""),"",IF(I309&lt;=S309,"触发止损：应全部卖出","继续观察")))</f>
        <v/>
      </c>
      <c r="X309" s="28" t="n"/>
      <c r="Y309" s="43" t="n"/>
      <c r="Z309" s="26">
        <f>IF(X309&lt;&gt;"执行卖出","",IFERROR(LOOKUP(2,1/(单次交易!$A$2:$A$201=B309),单次交易!$AP$2:$AP$201),""))</f>
        <v/>
      </c>
      <c r="AA309" s="43" t="n"/>
      <c r="AB309" s="31">
        <f>IF(A309&lt;&gt;"每日跟踪","",IF(OR(B309="",H309="",I309="",J309="",K309="",L309="",M309=""),"待补充每日记录",IF(W309="触发止损：应全部卖出",IF(X309&lt;&gt;"执行卖出","违规：触发止损但未执行",IF(Y309="","待补充实际卖出价","卖出记录完整")),IF(X309="","待选择卖出动作",IF(X309="执行卖出",IF(Y309="","待补充实际卖出价","卖出记录完整"),"正常")))))</f>
        <v/>
      </c>
      <c r="AC309" s="31">
        <f>IF(A309="","",IF(A309="止损计划",IF(OR(B309="",D309="",E309="",F309="",G309=""),"计划不完整",IF(OR(D309&lt;1,D309&lt;&gt;INT(D309)),"阶段序号无效",IF(COUNTIFS($A$2:$A$501,"止损计划",$B$2:$B$501,B309,$D$2:$D$501,D309)&gt;1,"阶段序号重复",IF(E309&lt;=IFERROR(LOOKUP(2,1/('单次交易'!$A$2:$A$201=B309),'单次交易'!$E$2:$E$201),0),"激活价须高于买入价",IF(F309&lt;N309,"止损价不得低于初始止损",IF(F309&gt;E309,"止损价不得高于激活价",IF(AND(COUNTIFS($A$2:$A$501,"止损计划",$B$2:$B$501,B309,$D$2:$D$501,"&lt;"&amp;D309)&gt;0,OR(E309&lt;=AGGREGATE(14,6,$E$2:$E$501/(($A$2:$A$501="止损计划")*($B$2:$B$501=B309)*($D$2:$D$501&lt;D309)),1),F309&lt;AGGREGATE(14,6,$F$2:$F$501/(($A$2:$A$501="止损计划")*($B$2:$B$501=B309)*($D$2:$D$501&lt;D309)),1))),"阶段价格必须逐级提高","计划有效"))))))),IF(A309="每日跟踪",IF(OR(B309="",H309="",I309="",J309=""),"每日数据不完整",IF(COUNTIFS($A$2:$A$501,"每日跟踪",$B$2:$B$501,B309,$H$2:$H$501,H309)&gt;1,"同一交易日期重复",IF(AND(R309&lt;&gt;"",R309&lt;S309),"人工止损无效：不能下调","跟踪有效"))),"记录类型无效")))</f>
        <v/>
      </c>
    </row>
    <row r="310">
      <c r="A310" s="28" t="n"/>
      <c r="B310" s="28" t="n"/>
      <c r="C310" s="31">
        <f>IF(B310="","",IFERROR(LOOKUP(2,1/(单次交易!$A$2:$A$201=B310),单次交易!$B$2:$B$201),""))</f>
        <v/>
      </c>
      <c r="D310" s="27" t="n"/>
      <c r="E310" s="43" t="n"/>
      <c r="F310" s="43" t="n"/>
      <c r="G310" s="28" t="n"/>
      <c r="H310" s="49" t="n"/>
      <c r="I310" s="43" t="n"/>
      <c r="J310" s="27" t="n"/>
      <c r="K310" s="28" t="n"/>
      <c r="L310" s="28" t="n"/>
      <c r="M310" s="28" t="n"/>
      <c r="N310" s="44">
        <f>IF(B310="","",IFERROR(LOOKUP(2,1/(单次交易!$A$2:$A$201=B310),单次交易!$N$2:$N$201),""))</f>
        <v/>
      </c>
      <c r="O310" s="44">
        <f>IF(A310&lt;&gt;"每日跟踪","",IF(OR(B310="",H310="",I310=""),"",IFERROR(AGGREGATE(14,6,$I$2:$I$501/(($A$2:$A$501="每日跟踪")*($B$2:$B$501=B310)*($H$2:$H$501&lt;=H310)),1),"")))</f>
        <v/>
      </c>
      <c r="P310" s="26">
        <f>IF(A310&lt;&gt;"每日跟踪","",IF(O310="","",IFERROR(AGGREGATE(14,6,$D$2:$D$501/(($A$2:$A$501="止损计划")*($B$2:$B$501=B310)*($E$2:$E$501&lt;=O310)),1),0)))</f>
        <v/>
      </c>
      <c r="Q310" s="44">
        <f>IF(A310&lt;&gt;"每日跟踪","",IF(N310="","",MAX(N310,IFERROR(AGGREGATE(14,6,$F$2:$F$501/(($A$2:$A$501="止损计划")*($B$2:$B$501=B310)*($E$2:$E$501&lt;=O310)),1),0))))</f>
        <v/>
      </c>
      <c r="R310" s="43" t="n"/>
      <c r="S310" s="44">
        <f>IF(A310&lt;&gt;"每日跟踪","",IF(Q310="","",MAX(Q310,IFERROR(AGGREGATE(14,6,$R$2:$R$501/(($A$2:$A$501="每日跟踪")*($B$2:$B$501=B310)*($H$2:$H$501&lt;=H310)),1),0))))</f>
        <v/>
      </c>
      <c r="T310" s="44">
        <f>IF(A310&lt;&gt;"每日跟踪","",IF(O310="","",IF(COUNTIFS($A$2:$A$501,"止损计划",$B$2:$B$501,B310,$E$2:$E$501,"&gt;"&amp;O310)=0,"",AGGREGATE(15,6,$E$2:$E$501/(($A$2:$A$501="止损计划")*($B$2:$B$501=B310)*($E$2:$E$501&gt;O310)),1))))</f>
        <v/>
      </c>
      <c r="U310" s="44">
        <f>IF(OR(A310&lt;&gt;"每日跟踪",T310=""),"",IFERROR(AGGREGATE(14,6,$F$2:$F$501/(($A$2:$A$501="止损计划")*($B$2:$B$501=B310)*($E$2:$E$501=T310)),1),""))</f>
        <v/>
      </c>
      <c r="V310" s="30">
        <f>IF(OR(A310&lt;&gt;"每日跟踪",T310="",I310="",I310&lt;=0),"",T310/I310-1)</f>
        <v/>
      </c>
      <c r="W310" s="31">
        <f>IF(A310&lt;&gt;"每日跟踪","",IF(OR(I310="",S310=""),"",IF(I310&lt;=S310,"触发止损：应全部卖出","继续观察")))</f>
        <v/>
      </c>
      <c r="X310" s="28" t="n"/>
      <c r="Y310" s="43" t="n"/>
      <c r="Z310" s="26">
        <f>IF(X310&lt;&gt;"执行卖出","",IFERROR(LOOKUP(2,1/(单次交易!$A$2:$A$201=B310),单次交易!$AP$2:$AP$201),""))</f>
        <v/>
      </c>
      <c r="AA310" s="43" t="n"/>
      <c r="AB310" s="31">
        <f>IF(A310&lt;&gt;"每日跟踪","",IF(OR(B310="",H310="",I310="",J310="",K310="",L310="",M310=""),"待补充每日记录",IF(W310="触发止损：应全部卖出",IF(X310&lt;&gt;"执行卖出","违规：触发止损但未执行",IF(Y310="","待补充实际卖出价","卖出记录完整")),IF(X310="","待选择卖出动作",IF(X310="执行卖出",IF(Y310="","待补充实际卖出价","卖出记录完整"),"正常")))))</f>
        <v/>
      </c>
      <c r="AC310" s="31">
        <f>IF(A310="","",IF(A310="止损计划",IF(OR(B310="",D310="",E310="",F310="",G310=""),"计划不完整",IF(OR(D310&lt;1,D310&lt;&gt;INT(D310)),"阶段序号无效",IF(COUNTIFS($A$2:$A$501,"止损计划",$B$2:$B$501,B310,$D$2:$D$501,D310)&gt;1,"阶段序号重复",IF(E310&lt;=IFERROR(LOOKUP(2,1/('单次交易'!$A$2:$A$201=B310),'单次交易'!$E$2:$E$201),0),"激活价须高于买入价",IF(F310&lt;N310,"止损价不得低于初始止损",IF(F310&gt;E310,"止损价不得高于激活价",IF(AND(COUNTIFS($A$2:$A$501,"止损计划",$B$2:$B$501,B310,$D$2:$D$501,"&lt;"&amp;D310)&gt;0,OR(E310&lt;=AGGREGATE(14,6,$E$2:$E$501/(($A$2:$A$501="止损计划")*($B$2:$B$501=B310)*($D$2:$D$501&lt;D310)),1),F310&lt;AGGREGATE(14,6,$F$2:$F$501/(($A$2:$A$501="止损计划")*($B$2:$B$501=B310)*($D$2:$D$501&lt;D310)),1))),"阶段价格必须逐级提高","计划有效"))))))),IF(A310="每日跟踪",IF(OR(B310="",H310="",I310="",J310=""),"每日数据不完整",IF(COUNTIFS($A$2:$A$501,"每日跟踪",$B$2:$B$501,B310,$H$2:$H$501,H310)&gt;1,"同一交易日期重复",IF(AND(R310&lt;&gt;"",R310&lt;S310),"人工止损无效：不能下调","跟踪有效"))),"记录类型无效")))</f>
        <v/>
      </c>
    </row>
    <row r="311">
      <c r="A311" s="28" t="n"/>
      <c r="B311" s="28" t="n"/>
      <c r="C311" s="31">
        <f>IF(B311="","",IFERROR(LOOKUP(2,1/(单次交易!$A$2:$A$201=B311),单次交易!$B$2:$B$201),""))</f>
        <v/>
      </c>
      <c r="D311" s="27" t="n"/>
      <c r="E311" s="43" t="n"/>
      <c r="F311" s="43" t="n"/>
      <c r="G311" s="28" t="n"/>
      <c r="H311" s="49" t="n"/>
      <c r="I311" s="43" t="n"/>
      <c r="J311" s="27" t="n"/>
      <c r="K311" s="28" t="n"/>
      <c r="L311" s="28" t="n"/>
      <c r="M311" s="28" t="n"/>
      <c r="N311" s="44">
        <f>IF(B311="","",IFERROR(LOOKUP(2,1/(单次交易!$A$2:$A$201=B311),单次交易!$N$2:$N$201),""))</f>
        <v/>
      </c>
      <c r="O311" s="44">
        <f>IF(A311&lt;&gt;"每日跟踪","",IF(OR(B311="",H311="",I311=""),"",IFERROR(AGGREGATE(14,6,$I$2:$I$501/(($A$2:$A$501="每日跟踪")*($B$2:$B$501=B311)*($H$2:$H$501&lt;=H311)),1),"")))</f>
        <v/>
      </c>
      <c r="P311" s="26">
        <f>IF(A311&lt;&gt;"每日跟踪","",IF(O311="","",IFERROR(AGGREGATE(14,6,$D$2:$D$501/(($A$2:$A$501="止损计划")*($B$2:$B$501=B311)*($E$2:$E$501&lt;=O311)),1),0)))</f>
        <v/>
      </c>
      <c r="Q311" s="44">
        <f>IF(A311&lt;&gt;"每日跟踪","",IF(N311="","",MAX(N311,IFERROR(AGGREGATE(14,6,$F$2:$F$501/(($A$2:$A$501="止损计划")*($B$2:$B$501=B311)*($E$2:$E$501&lt;=O311)),1),0))))</f>
        <v/>
      </c>
      <c r="R311" s="43" t="n"/>
      <c r="S311" s="44">
        <f>IF(A311&lt;&gt;"每日跟踪","",IF(Q311="","",MAX(Q311,IFERROR(AGGREGATE(14,6,$R$2:$R$501/(($A$2:$A$501="每日跟踪")*($B$2:$B$501=B311)*($H$2:$H$501&lt;=H311)),1),0))))</f>
        <v/>
      </c>
      <c r="T311" s="44">
        <f>IF(A311&lt;&gt;"每日跟踪","",IF(O311="","",IF(COUNTIFS($A$2:$A$501,"止损计划",$B$2:$B$501,B311,$E$2:$E$501,"&gt;"&amp;O311)=0,"",AGGREGATE(15,6,$E$2:$E$501/(($A$2:$A$501="止损计划")*($B$2:$B$501=B311)*($E$2:$E$501&gt;O311)),1))))</f>
        <v/>
      </c>
      <c r="U311" s="44">
        <f>IF(OR(A311&lt;&gt;"每日跟踪",T311=""),"",IFERROR(AGGREGATE(14,6,$F$2:$F$501/(($A$2:$A$501="止损计划")*($B$2:$B$501=B311)*($E$2:$E$501=T311)),1),""))</f>
        <v/>
      </c>
      <c r="V311" s="30">
        <f>IF(OR(A311&lt;&gt;"每日跟踪",T311="",I311="",I311&lt;=0),"",T311/I311-1)</f>
        <v/>
      </c>
      <c r="W311" s="31">
        <f>IF(A311&lt;&gt;"每日跟踪","",IF(OR(I311="",S311=""),"",IF(I311&lt;=S311,"触发止损：应全部卖出","继续观察")))</f>
        <v/>
      </c>
      <c r="X311" s="28" t="n"/>
      <c r="Y311" s="43" t="n"/>
      <c r="Z311" s="26">
        <f>IF(X311&lt;&gt;"执行卖出","",IFERROR(LOOKUP(2,1/(单次交易!$A$2:$A$201=B311),单次交易!$AP$2:$AP$201),""))</f>
        <v/>
      </c>
      <c r="AA311" s="43" t="n"/>
      <c r="AB311" s="31">
        <f>IF(A311&lt;&gt;"每日跟踪","",IF(OR(B311="",H311="",I311="",J311="",K311="",L311="",M311=""),"待补充每日记录",IF(W311="触发止损：应全部卖出",IF(X311&lt;&gt;"执行卖出","违规：触发止损但未执行",IF(Y311="","待补充实际卖出价","卖出记录完整")),IF(X311="","待选择卖出动作",IF(X311="执行卖出",IF(Y311="","待补充实际卖出价","卖出记录完整"),"正常")))))</f>
        <v/>
      </c>
      <c r="AC311" s="31">
        <f>IF(A311="","",IF(A311="止损计划",IF(OR(B311="",D311="",E311="",F311="",G311=""),"计划不完整",IF(OR(D311&lt;1,D311&lt;&gt;INT(D311)),"阶段序号无效",IF(COUNTIFS($A$2:$A$501,"止损计划",$B$2:$B$501,B311,$D$2:$D$501,D311)&gt;1,"阶段序号重复",IF(E311&lt;=IFERROR(LOOKUP(2,1/('单次交易'!$A$2:$A$201=B311),'单次交易'!$E$2:$E$201),0),"激活价须高于买入价",IF(F311&lt;N311,"止损价不得低于初始止损",IF(F311&gt;E311,"止损价不得高于激活价",IF(AND(COUNTIFS($A$2:$A$501,"止损计划",$B$2:$B$501,B311,$D$2:$D$501,"&lt;"&amp;D311)&gt;0,OR(E311&lt;=AGGREGATE(14,6,$E$2:$E$501/(($A$2:$A$501="止损计划")*($B$2:$B$501=B311)*($D$2:$D$501&lt;D311)),1),F311&lt;AGGREGATE(14,6,$F$2:$F$501/(($A$2:$A$501="止损计划")*($B$2:$B$501=B311)*($D$2:$D$501&lt;D311)),1))),"阶段价格必须逐级提高","计划有效"))))))),IF(A311="每日跟踪",IF(OR(B311="",H311="",I311="",J311=""),"每日数据不完整",IF(COUNTIFS($A$2:$A$501,"每日跟踪",$B$2:$B$501,B311,$H$2:$H$501,H311)&gt;1,"同一交易日期重复",IF(AND(R311&lt;&gt;"",R311&lt;S311),"人工止损无效：不能下调","跟踪有效"))),"记录类型无效")))</f>
        <v/>
      </c>
    </row>
    <row r="312">
      <c r="A312" s="28" t="n"/>
      <c r="B312" s="28" t="n"/>
      <c r="C312" s="31">
        <f>IF(B312="","",IFERROR(LOOKUP(2,1/(单次交易!$A$2:$A$201=B312),单次交易!$B$2:$B$201),""))</f>
        <v/>
      </c>
      <c r="D312" s="27" t="n"/>
      <c r="E312" s="43" t="n"/>
      <c r="F312" s="43" t="n"/>
      <c r="G312" s="28" t="n"/>
      <c r="H312" s="49" t="n"/>
      <c r="I312" s="43" t="n"/>
      <c r="J312" s="27" t="n"/>
      <c r="K312" s="28" t="n"/>
      <c r="L312" s="28" t="n"/>
      <c r="M312" s="28" t="n"/>
      <c r="N312" s="44">
        <f>IF(B312="","",IFERROR(LOOKUP(2,1/(单次交易!$A$2:$A$201=B312),单次交易!$N$2:$N$201),""))</f>
        <v/>
      </c>
      <c r="O312" s="44">
        <f>IF(A312&lt;&gt;"每日跟踪","",IF(OR(B312="",H312="",I312=""),"",IFERROR(AGGREGATE(14,6,$I$2:$I$501/(($A$2:$A$501="每日跟踪")*($B$2:$B$501=B312)*($H$2:$H$501&lt;=H312)),1),"")))</f>
        <v/>
      </c>
      <c r="P312" s="26">
        <f>IF(A312&lt;&gt;"每日跟踪","",IF(O312="","",IFERROR(AGGREGATE(14,6,$D$2:$D$501/(($A$2:$A$501="止损计划")*($B$2:$B$501=B312)*($E$2:$E$501&lt;=O312)),1),0)))</f>
        <v/>
      </c>
      <c r="Q312" s="44">
        <f>IF(A312&lt;&gt;"每日跟踪","",IF(N312="","",MAX(N312,IFERROR(AGGREGATE(14,6,$F$2:$F$501/(($A$2:$A$501="止损计划")*($B$2:$B$501=B312)*($E$2:$E$501&lt;=O312)),1),0))))</f>
        <v/>
      </c>
      <c r="R312" s="43" t="n"/>
      <c r="S312" s="44">
        <f>IF(A312&lt;&gt;"每日跟踪","",IF(Q312="","",MAX(Q312,IFERROR(AGGREGATE(14,6,$R$2:$R$501/(($A$2:$A$501="每日跟踪")*($B$2:$B$501=B312)*($H$2:$H$501&lt;=H312)),1),0))))</f>
        <v/>
      </c>
      <c r="T312" s="44">
        <f>IF(A312&lt;&gt;"每日跟踪","",IF(O312="","",IF(COUNTIFS($A$2:$A$501,"止损计划",$B$2:$B$501,B312,$E$2:$E$501,"&gt;"&amp;O312)=0,"",AGGREGATE(15,6,$E$2:$E$501/(($A$2:$A$501="止损计划")*($B$2:$B$501=B312)*($E$2:$E$501&gt;O312)),1))))</f>
        <v/>
      </c>
      <c r="U312" s="44">
        <f>IF(OR(A312&lt;&gt;"每日跟踪",T312=""),"",IFERROR(AGGREGATE(14,6,$F$2:$F$501/(($A$2:$A$501="止损计划")*($B$2:$B$501=B312)*($E$2:$E$501=T312)),1),""))</f>
        <v/>
      </c>
      <c r="V312" s="30">
        <f>IF(OR(A312&lt;&gt;"每日跟踪",T312="",I312="",I312&lt;=0),"",T312/I312-1)</f>
        <v/>
      </c>
      <c r="W312" s="31">
        <f>IF(A312&lt;&gt;"每日跟踪","",IF(OR(I312="",S312=""),"",IF(I312&lt;=S312,"触发止损：应全部卖出","继续观察")))</f>
        <v/>
      </c>
      <c r="X312" s="28" t="n"/>
      <c r="Y312" s="43" t="n"/>
      <c r="Z312" s="26">
        <f>IF(X312&lt;&gt;"执行卖出","",IFERROR(LOOKUP(2,1/(单次交易!$A$2:$A$201=B312),单次交易!$AP$2:$AP$201),""))</f>
        <v/>
      </c>
      <c r="AA312" s="43" t="n"/>
      <c r="AB312" s="31">
        <f>IF(A312&lt;&gt;"每日跟踪","",IF(OR(B312="",H312="",I312="",J312="",K312="",L312="",M312=""),"待补充每日记录",IF(W312="触发止损：应全部卖出",IF(X312&lt;&gt;"执行卖出","违规：触发止损但未执行",IF(Y312="","待补充实际卖出价","卖出记录完整")),IF(X312="","待选择卖出动作",IF(X312="执行卖出",IF(Y312="","待补充实际卖出价","卖出记录完整"),"正常")))))</f>
        <v/>
      </c>
      <c r="AC312" s="31">
        <f>IF(A312="","",IF(A312="止损计划",IF(OR(B312="",D312="",E312="",F312="",G312=""),"计划不完整",IF(OR(D312&lt;1,D312&lt;&gt;INT(D312)),"阶段序号无效",IF(COUNTIFS($A$2:$A$501,"止损计划",$B$2:$B$501,B312,$D$2:$D$501,D312)&gt;1,"阶段序号重复",IF(E312&lt;=IFERROR(LOOKUP(2,1/('单次交易'!$A$2:$A$201=B312),'单次交易'!$E$2:$E$201),0),"激活价须高于买入价",IF(F312&lt;N312,"止损价不得低于初始止损",IF(F312&gt;E312,"止损价不得高于激活价",IF(AND(COUNTIFS($A$2:$A$501,"止损计划",$B$2:$B$501,B312,$D$2:$D$501,"&lt;"&amp;D312)&gt;0,OR(E312&lt;=AGGREGATE(14,6,$E$2:$E$501/(($A$2:$A$501="止损计划")*($B$2:$B$501=B312)*($D$2:$D$501&lt;D312)),1),F312&lt;AGGREGATE(14,6,$F$2:$F$501/(($A$2:$A$501="止损计划")*($B$2:$B$501=B312)*($D$2:$D$501&lt;D312)),1))),"阶段价格必须逐级提高","计划有效"))))))),IF(A312="每日跟踪",IF(OR(B312="",H312="",I312="",J312=""),"每日数据不完整",IF(COUNTIFS($A$2:$A$501,"每日跟踪",$B$2:$B$501,B312,$H$2:$H$501,H312)&gt;1,"同一交易日期重复",IF(AND(R312&lt;&gt;"",R312&lt;S312),"人工止损无效：不能下调","跟踪有效"))),"记录类型无效")))</f>
        <v/>
      </c>
    </row>
    <row r="313">
      <c r="A313" s="28" t="n"/>
      <c r="B313" s="28" t="n"/>
      <c r="C313" s="31">
        <f>IF(B313="","",IFERROR(LOOKUP(2,1/(单次交易!$A$2:$A$201=B313),单次交易!$B$2:$B$201),""))</f>
        <v/>
      </c>
      <c r="D313" s="27" t="n"/>
      <c r="E313" s="43" t="n"/>
      <c r="F313" s="43" t="n"/>
      <c r="G313" s="28" t="n"/>
      <c r="H313" s="49" t="n"/>
      <c r="I313" s="43" t="n"/>
      <c r="J313" s="27" t="n"/>
      <c r="K313" s="28" t="n"/>
      <c r="L313" s="28" t="n"/>
      <c r="M313" s="28" t="n"/>
      <c r="N313" s="44">
        <f>IF(B313="","",IFERROR(LOOKUP(2,1/(单次交易!$A$2:$A$201=B313),单次交易!$N$2:$N$201),""))</f>
        <v/>
      </c>
      <c r="O313" s="44">
        <f>IF(A313&lt;&gt;"每日跟踪","",IF(OR(B313="",H313="",I313=""),"",IFERROR(AGGREGATE(14,6,$I$2:$I$501/(($A$2:$A$501="每日跟踪")*($B$2:$B$501=B313)*($H$2:$H$501&lt;=H313)),1),"")))</f>
        <v/>
      </c>
      <c r="P313" s="26">
        <f>IF(A313&lt;&gt;"每日跟踪","",IF(O313="","",IFERROR(AGGREGATE(14,6,$D$2:$D$501/(($A$2:$A$501="止损计划")*($B$2:$B$501=B313)*($E$2:$E$501&lt;=O313)),1),0)))</f>
        <v/>
      </c>
      <c r="Q313" s="44">
        <f>IF(A313&lt;&gt;"每日跟踪","",IF(N313="","",MAX(N313,IFERROR(AGGREGATE(14,6,$F$2:$F$501/(($A$2:$A$501="止损计划")*($B$2:$B$501=B313)*($E$2:$E$501&lt;=O313)),1),0))))</f>
        <v/>
      </c>
      <c r="R313" s="43" t="n"/>
      <c r="S313" s="44">
        <f>IF(A313&lt;&gt;"每日跟踪","",IF(Q313="","",MAX(Q313,IFERROR(AGGREGATE(14,6,$R$2:$R$501/(($A$2:$A$501="每日跟踪")*($B$2:$B$501=B313)*($H$2:$H$501&lt;=H313)),1),0))))</f>
        <v/>
      </c>
      <c r="T313" s="44">
        <f>IF(A313&lt;&gt;"每日跟踪","",IF(O313="","",IF(COUNTIFS($A$2:$A$501,"止损计划",$B$2:$B$501,B313,$E$2:$E$501,"&gt;"&amp;O313)=0,"",AGGREGATE(15,6,$E$2:$E$501/(($A$2:$A$501="止损计划")*($B$2:$B$501=B313)*($E$2:$E$501&gt;O313)),1))))</f>
        <v/>
      </c>
      <c r="U313" s="44">
        <f>IF(OR(A313&lt;&gt;"每日跟踪",T313=""),"",IFERROR(AGGREGATE(14,6,$F$2:$F$501/(($A$2:$A$501="止损计划")*($B$2:$B$501=B313)*($E$2:$E$501=T313)),1),""))</f>
        <v/>
      </c>
      <c r="V313" s="30">
        <f>IF(OR(A313&lt;&gt;"每日跟踪",T313="",I313="",I313&lt;=0),"",T313/I313-1)</f>
        <v/>
      </c>
      <c r="W313" s="31">
        <f>IF(A313&lt;&gt;"每日跟踪","",IF(OR(I313="",S313=""),"",IF(I313&lt;=S313,"触发止损：应全部卖出","继续观察")))</f>
        <v/>
      </c>
      <c r="X313" s="28" t="n"/>
      <c r="Y313" s="43" t="n"/>
      <c r="Z313" s="26">
        <f>IF(X313&lt;&gt;"执行卖出","",IFERROR(LOOKUP(2,1/(单次交易!$A$2:$A$201=B313),单次交易!$AP$2:$AP$201),""))</f>
        <v/>
      </c>
      <c r="AA313" s="43" t="n"/>
      <c r="AB313" s="31">
        <f>IF(A313&lt;&gt;"每日跟踪","",IF(OR(B313="",H313="",I313="",J313="",K313="",L313="",M313=""),"待补充每日记录",IF(W313="触发止损：应全部卖出",IF(X313&lt;&gt;"执行卖出","违规：触发止损但未执行",IF(Y313="","待补充实际卖出价","卖出记录完整")),IF(X313="","待选择卖出动作",IF(X313="执行卖出",IF(Y313="","待补充实际卖出价","卖出记录完整"),"正常")))))</f>
        <v/>
      </c>
      <c r="AC313" s="31">
        <f>IF(A313="","",IF(A313="止损计划",IF(OR(B313="",D313="",E313="",F313="",G313=""),"计划不完整",IF(OR(D313&lt;1,D313&lt;&gt;INT(D313)),"阶段序号无效",IF(COUNTIFS($A$2:$A$501,"止损计划",$B$2:$B$501,B313,$D$2:$D$501,D313)&gt;1,"阶段序号重复",IF(E313&lt;=IFERROR(LOOKUP(2,1/('单次交易'!$A$2:$A$201=B313),'单次交易'!$E$2:$E$201),0),"激活价须高于买入价",IF(F313&lt;N313,"止损价不得低于初始止损",IF(F313&gt;E313,"止损价不得高于激活价",IF(AND(COUNTIFS($A$2:$A$501,"止损计划",$B$2:$B$501,B313,$D$2:$D$501,"&lt;"&amp;D313)&gt;0,OR(E313&lt;=AGGREGATE(14,6,$E$2:$E$501/(($A$2:$A$501="止损计划")*($B$2:$B$501=B313)*($D$2:$D$501&lt;D313)),1),F313&lt;AGGREGATE(14,6,$F$2:$F$501/(($A$2:$A$501="止损计划")*($B$2:$B$501=B313)*($D$2:$D$501&lt;D313)),1))),"阶段价格必须逐级提高","计划有效"))))))),IF(A313="每日跟踪",IF(OR(B313="",H313="",I313="",J313=""),"每日数据不完整",IF(COUNTIFS($A$2:$A$501,"每日跟踪",$B$2:$B$501,B313,$H$2:$H$501,H313)&gt;1,"同一交易日期重复",IF(AND(R313&lt;&gt;"",R313&lt;S313),"人工止损无效：不能下调","跟踪有效"))),"记录类型无效")))</f>
        <v/>
      </c>
    </row>
    <row r="314">
      <c r="A314" s="28" t="n"/>
      <c r="B314" s="28" t="n"/>
      <c r="C314" s="31">
        <f>IF(B314="","",IFERROR(LOOKUP(2,1/(单次交易!$A$2:$A$201=B314),单次交易!$B$2:$B$201),""))</f>
        <v/>
      </c>
      <c r="D314" s="27" t="n"/>
      <c r="E314" s="43" t="n"/>
      <c r="F314" s="43" t="n"/>
      <c r="G314" s="28" t="n"/>
      <c r="H314" s="49" t="n"/>
      <c r="I314" s="43" t="n"/>
      <c r="J314" s="27" t="n"/>
      <c r="K314" s="28" t="n"/>
      <c r="L314" s="28" t="n"/>
      <c r="M314" s="28" t="n"/>
      <c r="N314" s="44">
        <f>IF(B314="","",IFERROR(LOOKUP(2,1/(单次交易!$A$2:$A$201=B314),单次交易!$N$2:$N$201),""))</f>
        <v/>
      </c>
      <c r="O314" s="44">
        <f>IF(A314&lt;&gt;"每日跟踪","",IF(OR(B314="",H314="",I314=""),"",IFERROR(AGGREGATE(14,6,$I$2:$I$501/(($A$2:$A$501="每日跟踪")*($B$2:$B$501=B314)*($H$2:$H$501&lt;=H314)),1),"")))</f>
        <v/>
      </c>
      <c r="P314" s="26">
        <f>IF(A314&lt;&gt;"每日跟踪","",IF(O314="","",IFERROR(AGGREGATE(14,6,$D$2:$D$501/(($A$2:$A$501="止损计划")*($B$2:$B$501=B314)*($E$2:$E$501&lt;=O314)),1),0)))</f>
        <v/>
      </c>
      <c r="Q314" s="44">
        <f>IF(A314&lt;&gt;"每日跟踪","",IF(N314="","",MAX(N314,IFERROR(AGGREGATE(14,6,$F$2:$F$501/(($A$2:$A$501="止损计划")*($B$2:$B$501=B314)*($E$2:$E$501&lt;=O314)),1),0))))</f>
        <v/>
      </c>
      <c r="R314" s="43" t="n"/>
      <c r="S314" s="44">
        <f>IF(A314&lt;&gt;"每日跟踪","",IF(Q314="","",MAX(Q314,IFERROR(AGGREGATE(14,6,$R$2:$R$501/(($A$2:$A$501="每日跟踪")*($B$2:$B$501=B314)*($H$2:$H$501&lt;=H314)),1),0))))</f>
        <v/>
      </c>
      <c r="T314" s="44">
        <f>IF(A314&lt;&gt;"每日跟踪","",IF(O314="","",IF(COUNTIFS($A$2:$A$501,"止损计划",$B$2:$B$501,B314,$E$2:$E$501,"&gt;"&amp;O314)=0,"",AGGREGATE(15,6,$E$2:$E$501/(($A$2:$A$501="止损计划")*($B$2:$B$501=B314)*($E$2:$E$501&gt;O314)),1))))</f>
        <v/>
      </c>
      <c r="U314" s="44">
        <f>IF(OR(A314&lt;&gt;"每日跟踪",T314=""),"",IFERROR(AGGREGATE(14,6,$F$2:$F$501/(($A$2:$A$501="止损计划")*($B$2:$B$501=B314)*($E$2:$E$501=T314)),1),""))</f>
        <v/>
      </c>
      <c r="V314" s="30">
        <f>IF(OR(A314&lt;&gt;"每日跟踪",T314="",I314="",I314&lt;=0),"",T314/I314-1)</f>
        <v/>
      </c>
      <c r="W314" s="31">
        <f>IF(A314&lt;&gt;"每日跟踪","",IF(OR(I314="",S314=""),"",IF(I314&lt;=S314,"触发止损：应全部卖出","继续观察")))</f>
        <v/>
      </c>
      <c r="X314" s="28" t="n"/>
      <c r="Y314" s="43" t="n"/>
      <c r="Z314" s="26">
        <f>IF(X314&lt;&gt;"执行卖出","",IFERROR(LOOKUP(2,1/(单次交易!$A$2:$A$201=B314),单次交易!$AP$2:$AP$201),""))</f>
        <v/>
      </c>
      <c r="AA314" s="43" t="n"/>
      <c r="AB314" s="31">
        <f>IF(A314&lt;&gt;"每日跟踪","",IF(OR(B314="",H314="",I314="",J314="",K314="",L314="",M314=""),"待补充每日记录",IF(W314="触发止损：应全部卖出",IF(X314&lt;&gt;"执行卖出","违规：触发止损但未执行",IF(Y314="","待补充实际卖出价","卖出记录完整")),IF(X314="","待选择卖出动作",IF(X314="执行卖出",IF(Y314="","待补充实际卖出价","卖出记录完整"),"正常")))))</f>
        <v/>
      </c>
      <c r="AC314" s="31">
        <f>IF(A314="","",IF(A314="止损计划",IF(OR(B314="",D314="",E314="",F314="",G314=""),"计划不完整",IF(OR(D314&lt;1,D314&lt;&gt;INT(D314)),"阶段序号无效",IF(COUNTIFS($A$2:$A$501,"止损计划",$B$2:$B$501,B314,$D$2:$D$501,D314)&gt;1,"阶段序号重复",IF(E314&lt;=IFERROR(LOOKUP(2,1/('单次交易'!$A$2:$A$201=B314),'单次交易'!$E$2:$E$201),0),"激活价须高于买入价",IF(F314&lt;N314,"止损价不得低于初始止损",IF(F314&gt;E314,"止损价不得高于激活价",IF(AND(COUNTIFS($A$2:$A$501,"止损计划",$B$2:$B$501,B314,$D$2:$D$501,"&lt;"&amp;D314)&gt;0,OR(E314&lt;=AGGREGATE(14,6,$E$2:$E$501/(($A$2:$A$501="止损计划")*($B$2:$B$501=B314)*($D$2:$D$501&lt;D314)),1),F314&lt;AGGREGATE(14,6,$F$2:$F$501/(($A$2:$A$501="止损计划")*($B$2:$B$501=B314)*($D$2:$D$501&lt;D314)),1))),"阶段价格必须逐级提高","计划有效"))))))),IF(A314="每日跟踪",IF(OR(B314="",H314="",I314="",J314=""),"每日数据不完整",IF(COUNTIFS($A$2:$A$501,"每日跟踪",$B$2:$B$501,B314,$H$2:$H$501,H314)&gt;1,"同一交易日期重复",IF(AND(R314&lt;&gt;"",R314&lt;S314),"人工止损无效：不能下调","跟踪有效"))),"记录类型无效")))</f>
        <v/>
      </c>
    </row>
    <row r="315">
      <c r="A315" s="28" t="n"/>
      <c r="B315" s="28" t="n"/>
      <c r="C315" s="31">
        <f>IF(B315="","",IFERROR(LOOKUP(2,1/(单次交易!$A$2:$A$201=B315),单次交易!$B$2:$B$201),""))</f>
        <v/>
      </c>
      <c r="D315" s="27" t="n"/>
      <c r="E315" s="43" t="n"/>
      <c r="F315" s="43" t="n"/>
      <c r="G315" s="28" t="n"/>
      <c r="H315" s="49" t="n"/>
      <c r="I315" s="43" t="n"/>
      <c r="J315" s="27" t="n"/>
      <c r="K315" s="28" t="n"/>
      <c r="L315" s="28" t="n"/>
      <c r="M315" s="28" t="n"/>
      <c r="N315" s="44">
        <f>IF(B315="","",IFERROR(LOOKUP(2,1/(单次交易!$A$2:$A$201=B315),单次交易!$N$2:$N$201),""))</f>
        <v/>
      </c>
      <c r="O315" s="44">
        <f>IF(A315&lt;&gt;"每日跟踪","",IF(OR(B315="",H315="",I315=""),"",IFERROR(AGGREGATE(14,6,$I$2:$I$501/(($A$2:$A$501="每日跟踪")*($B$2:$B$501=B315)*($H$2:$H$501&lt;=H315)),1),"")))</f>
        <v/>
      </c>
      <c r="P315" s="26">
        <f>IF(A315&lt;&gt;"每日跟踪","",IF(O315="","",IFERROR(AGGREGATE(14,6,$D$2:$D$501/(($A$2:$A$501="止损计划")*($B$2:$B$501=B315)*($E$2:$E$501&lt;=O315)),1),0)))</f>
        <v/>
      </c>
      <c r="Q315" s="44">
        <f>IF(A315&lt;&gt;"每日跟踪","",IF(N315="","",MAX(N315,IFERROR(AGGREGATE(14,6,$F$2:$F$501/(($A$2:$A$501="止损计划")*($B$2:$B$501=B315)*($E$2:$E$501&lt;=O315)),1),0))))</f>
        <v/>
      </c>
      <c r="R315" s="43" t="n"/>
      <c r="S315" s="44">
        <f>IF(A315&lt;&gt;"每日跟踪","",IF(Q315="","",MAX(Q315,IFERROR(AGGREGATE(14,6,$R$2:$R$501/(($A$2:$A$501="每日跟踪")*($B$2:$B$501=B315)*($H$2:$H$501&lt;=H315)),1),0))))</f>
        <v/>
      </c>
      <c r="T315" s="44">
        <f>IF(A315&lt;&gt;"每日跟踪","",IF(O315="","",IF(COUNTIFS($A$2:$A$501,"止损计划",$B$2:$B$501,B315,$E$2:$E$501,"&gt;"&amp;O315)=0,"",AGGREGATE(15,6,$E$2:$E$501/(($A$2:$A$501="止损计划")*($B$2:$B$501=B315)*($E$2:$E$501&gt;O315)),1))))</f>
        <v/>
      </c>
      <c r="U315" s="44">
        <f>IF(OR(A315&lt;&gt;"每日跟踪",T315=""),"",IFERROR(AGGREGATE(14,6,$F$2:$F$501/(($A$2:$A$501="止损计划")*($B$2:$B$501=B315)*($E$2:$E$501=T315)),1),""))</f>
        <v/>
      </c>
      <c r="V315" s="30">
        <f>IF(OR(A315&lt;&gt;"每日跟踪",T315="",I315="",I315&lt;=0),"",T315/I315-1)</f>
        <v/>
      </c>
      <c r="W315" s="31">
        <f>IF(A315&lt;&gt;"每日跟踪","",IF(OR(I315="",S315=""),"",IF(I315&lt;=S315,"触发止损：应全部卖出","继续观察")))</f>
        <v/>
      </c>
      <c r="X315" s="28" t="n"/>
      <c r="Y315" s="43" t="n"/>
      <c r="Z315" s="26">
        <f>IF(X315&lt;&gt;"执行卖出","",IFERROR(LOOKUP(2,1/(单次交易!$A$2:$A$201=B315),单次交易!$AP$2:$AP$201),""))</f>
        <v/>
      </c>
      <c r="AA315" s="43" t="n"/>
      <c r="AB315" s="31">
        <f>IF(A315&lt;&gt;"每日跟踪","",IF(OR(B315="",H315="",I315="",J315="",K315="",L315="",M315=""),"待补充每日记录",IF(W315="触发止损：应全部卖出",IF(X315&lt;&gt;"执行卖出","违规：触发止损但未执行",IF(Y315="","待补充实际卖出价","卖出记录完整")),IF(X315="","待选择卖出动作",IF(X315="执行卖出",IF(Y315="","待补充实际卖出价","卖出记录完整"),"正常")))))</f>
        <v/>
      </c>
      <c r="AC315" s="31">
        <f>IF(A315="","",IF(A315="止损计划",IF(OR(B315="",D315="",E315="",F315="",G315=""),"计划不完整",IF(OR(D315&lt;1,D315&lt;&gt;INT(D315)),"阶段序号无效",IF(COUNTIFS($A$2:$A$501,"止损计划",$B$2:$B$501,B315,$D$2:$D$501,D315)&gt;1,"阶段序号重复",IF(E315&lt;=IFERROR(LOOKUP(2,1/('单次交易'!$A$2:$A$201=B315),'单次交易'!$E$2:$E$201),0),"激活价须高于买入价",IF(F315&lt;N315,"止损价不得低于初始止损",IF(F315&gt;E315,"止损价不得高于激活价",IF(AND(COUNTIFS($A$2:$A$501,"止损计划",$B$2:$B$501,B315,$D$2:$D$501,"&lt;"&amp;D315)&gt;0,OR(E315&lt;=AGGREGATE(14,6,$E$2:$E$501/(($A$2:$A$501="止损计划")*($B$2:$B$501=B315)*($D$2:$D$501&lt;D315)),1),F315&lt;AGGREGATE(14,6,$F$2:$F$501/(($A$2:$A$501="止损计划")*($B$2:$B$501=B315)*($D$2:$D$501&lt;D315)),1))),"阶段价格必须逐级提高","计划有效"))))))),IF(A315="每日跟踪",IF(OR(B315="",H315="",I315="",J315=""),"每日数据不完整",IF(COUNTIFS($A$2:$A$501,"每日跟踪",$B$2:$B$501,B315,$H$2:$H$501,H315)&gt;1,"同一交易日期重复",IF(AND(R315&lt;&gt;"",R315&lt;S315),"人工止损无效：不能下调","跟踪有效"))),"记录类型无效")))</f>
        <v/>
      </c>
    </row>
    <row r="316">
      <c r="A316" s="28" t="n"/>
      <c r="B316" s="28" t="n"/>
      <c r="C316" s="31">
        <f>IF(B316="","",IFERROR(LOOKUP(2,1/(单次交易!$A$2:$A$201=B316),单次交易!$B$2:$B$201),""))</f>
        <v/>
      </c>
      <c r="D316" s="27" t="n"/>
      <c r="E316" s="43" t="n"/>
      <c r="F316" s="43" t="n"/>
      <c r="G316" s="28" t="n"/>
      <c r="H316" s="49" t="n"/>
      <c r="I316" s="43" t="n"/>
      <c r="J316" s="27" t="n"/>
      <c r="K316" s="28" t="n"/>
      <c r="L316" s="28" t="n"/>
      <c r="M316" s="28" t="n"/>
      <c r="N316" s="44">
        <f>IF(B316="","",IFERROR(LOOKUP(2,1/(单次交易!$A$2:$A$201=B316),单次交易!$N$2:$N$201),""))</f>
        <v/>
      </c>
      <c r="O316" s="44">
        <f>IF(A316&lt;&gt;"每日跟踪","",IF(OR(B316="",H316="",I316=""),"",IFERROR(AGGREGATE(14,6,$I$2:$I$501/(($A$2:$A$501="每日跟踪")*($B$2:$B$501=B316)*($H$2:$H$501&lt;=H316)),1),"")))</f>
        <v/>
      </c>
      <c r="P316" s="26">
        <f>IF(A316&lt;&gt;"每日跟踪","",IF(O316="","",IFERROR(AGGREGATE(14,6,$D$2:$D$501/(($A$2:$A$501="止损计划")*($B$2:$B$501=B316)*($E$2:$E$501&lt;=O316)),1),0)))</f>
        <v/>
      </c>
      <c r="Q316" s="44">
        <f>IF(A316&lt;&gt;"每日跟踪","",IF(N316="","",MAX(N316,IFERROR(AGGREGATE(14,6,$F$2:$F$501/(($A$2:$A$501="止损计划")*($B$2:$B$501=B316)*($E$2:$E$501&lt;=O316)),1),0))))</f>
        <v/>
      </c>
      <c r="R316" s="43" t="n"/>
      <c r="S316" s="44">
        <f>IF(A316&lt;&gt;"每日跟踪","",IF(Q316="","",MAX(Q316,IFERROR(AGGREGATE(14,6,$R$2:$R$501/(($A$2:$A$501="每日跟踪")*($B$2:$B$501=B316)*($H$2:$H$501&lt;=H316)),1),0))))</f>
        <v/>
      </c>
      <c r="T316" s="44">
        <f>IF(A316&lt;&gt;"每日跟踪","",IF(O316="","",IF(COUNTIFS($A$2:$A$501,"止损计划",$B$2:$B$501,B316,$E$2:$E$501,"&gt;"&amp;O316)=0,"",AGGREGATE(15,6,$E$2:$E$501/(($A$2:$A$501="止损计划")*($B$2:$B$501=B316)*($E$2:$E$501&gt;O316)),1))))</f>
        <v/>
      </c>
      <c r="U316" s="44">
        <f>IF(OR(A316&lt;&gt;"每日跟踪",T316=""),"",IFERROR(AGGREGATE(14,6,$F$2:$F$501/(($A$2:$A$501="止损计划")*($B$2:$B$501=B316)*($E$2:$E$501=T316)),1),""))</f>
        <v/>
      </c>
      <c r="V316" s="30">
        <f>IF(OR(A316&lt;&gt;"每日跟踪",T316="",I316="",I316&lt;=0),"",T316/I316-1)</f>
        <v/>
      </c>
      <c r="W316" s="31">
        <f>IF(A316&lt;&gt;"每日跟踪","",IF(OR(I316="",S316=""),"",IF(I316&lt;=S316,"触发止损：应全部卖出","继续观察")))</f>
        <v/>
      </c>
      <c r="X316" s="28" t="n"/>
      <c r="Y316" s="43" t="n"/>
      <c r="Z316" s="26">
        <f>IF(X316&lt;&gt;"执行卖出","",IFERROR(LOOKUP(2,1/(单次交易!$A$2:$A$201=B316),单次交易!$AP$2:$AP$201),""))</f>
        <v/>
      </c>
      <c r="AA316" s="43" t="n"/>
      <c r="AB316" s="31">
        <f>IF(A316&lt;&gt;"每日跟踪","",IF(OR(B316="",H316="",I316="",J316="",K316="",L316="",M316=""),"待补充每日记录",IF(W316="触发止损：应全部卖出",IF(X316&lt;&gt;"执行卖出","违规：触发止损但未执行",IF(Y316="","待补充实际卖出价","卖出记录完整")),IF(X316="","待选择卖出动作",IF(X316="执行卖出",IF(Y316="","待补充实际卖出价","卖出记录完整"),"正常")))))</f>
        <v/>
      </c>
      <c r="AC316" s="31">
        <f>IF(A316="","",IF(A316="止损计划",IF(OR(B316="",D316="",E316="",F316="",G316=""),"计划不完整",IF(OR(D316&lt;1,D316&lt;&gt;INT(D316)),"阶段序号无效",IF(COUNTIFS($A$2:$A$501,"止损计划",$B$2:$B$501,B316,$D$2:$D$501,D316)&gt;1,"阶段序号重复",IF(E316&lt;=IFERROR(LOOKUP(2,1/('单次交易'!$A$2:$A$201=B316),'单次交易'!$E$2:$E$201),0),"激活价须高于买入价",IF(F316&lt;N316,"止损价不得低于初始止损",IF(F316&gt;E316,"止损价不得高于激活价",IF(AND(COUNTIFS($A$2:$A$501,"止损计划",$B$2:$B$501,B316,$D$2:$D$501,"&lt;"&amp;D316)&gt;0,OR(E316&lt;=AGGREGATE(14,6,$E$2:$E$501/(($A$2:$A$501="止损计划")*($B$2:$B$501=B316)*($D$2:$D$501&lt;D316)),1),F316&lt;AGGREGATE(14,6,$F$2:$F$501/(($A$2:$A$501="止损计划")*($B$2:$B$501=B316)*($D$2:$D$501&lt;D316)),1))),"阶段价格必须逐级提高","计划有效"))))))),IF(A316="每日跟踪",IF(OR(B316="",H316="",I316="",J316=""),"每日数据不完整",IF(COUNTIFS($A$2:$A$501,"每日跟踪",$B$2:$B$501,B316,$H$2:$H$501,H316)&gt;1,"同一交易日期重复",IF(AND(R316&lt;&gt;"",R316&lt;S316),"人工止损无效：不能下调","跟踪有效"))),"记录类型无效")))</f>
        <v/>
      </c>
    </row>
    <row r="317">
      <c r="A317" s="28" t="n"/>
      <c r="B317" s="28" t="n"/>
      <c r="C317" s="31">
        <f>IF(B317="","",IFERROR(LOOKUP(2,1/(单次交易!$A$2:$A$201=B317),单次交易!$B$2:$B$201),""))</f>
        <v/>
      </c>
      <c r="D317" s="27" t="n"/>
      <c r="E317" s="43" t="n"/>
      <c r="F317" s="43" t="n"/>
      <c r="G317" s="28" t="n"/>
      <c r="H317" s="49" t="n"/>
      <c r="I317" s="43" t="n"/>
      <c r="J317" s="27" t="n"/>
      <c r="K317" s="28" t="n"/>
      <c r="L317" s="28" t="n"/>
      <c r="M317" s="28" t="n"/>
      <c r="N317" s="44">
        <f>IF(B317="","",IFERROR(LOOKUP(2,1/(单次交易!$A$2:$A$201=B317),单次交易!$N$2:$N$201),""))</f>
        <v/>
      </c>
      <c r="O317" s="44">
        <f>IF(A317&lt;&gt;"每日跟踪","",IF(OR(B317="",H317="",I317=""),"",IFERROR(AGGREGATE(14,6,$I$2:$I$501/(($A$2:$A$501="每日跟踪")*($B$2:$B$501=B317)*($H$2:$H$501&lt;=H317)),1),"")))</f>
        <v/>
      </c>
      <c r="P317" s="26">
        <f>IF(A317&lt;&gt;"每日跟踪","",IF(O317="","",IFERROR(AGGREGATE(14,6,$D$2:$D$501/(($A$2:$A$501="止损计划")*($B$2:$B$501=B317)*($E$2:$E$501&lt;=O317)),1),0)))</f>
        <v/>
      </c>
      <c r="Q317" s="44">
        <f>IF(A317&lt;&gt;"每日跟踪","",IF(N317="","",MAX(N317,IFERROR(AGGREGATE(14,6,$F$2:$F$501/(($A$2:$A$501="止损计划")*($B$2:$B$501=B317)*($E$2:$E$501&lt;=O317)),1),0))))</f>
        <v/>
      </c>
      <c r="R317" s="43" t="n"/>
      <c r="S317" s="44">
        <f>IF(A317&lt;&gt;"每日跟踪","",IF(Q317="","",MAX(Q317,IFERROR(AGGREGATE(14,6,$R$2:$R$501/(($A$2:$A$501="每日跟踪")*($B$2:$B$501=B317)*($H$2:$H$501&lt;=H317)),1),0))))</f>
        <v/>
      </c>
      <c r="T317" s="44">
        <f>IF(A317&lt;&gt;"每日跟踪","",IF(O317="","",IF(COUNTIFS($A$2:$A$501,"止损计划",$B$2:$B$501,B317,$E$2:$E$501,"&gt;"&amp;O317)=0,"",AGGREGATE(15,6,$E$2:$E$501/(($A$2:$A$501="止损计划")*($B$2:$B$501=B317)*($E$2:$E$501&gt;O317)),1))))</f>
        <v/>
      </c>
      <c r="U317" s="44">
        <f>IF(OR(A317&lt;&gt;"每日跟踪",T317=""),"",IFERROR(AGGREGATE(14,6,$F$2:$F$501/(($A$2:$A$501="止损计划")*($B$2:$B$501=B317)*($E$2:$E$501=T317)),1),""))</f>
        <v/>
      </c>
      <c r="V317" s="30">
        <f>IF(OR(A317&lt;&gt;"每日跟踪",T317="",I317="",I317&lt;=0),"",T317/I317-1)</f>
        <v/>
      </c>
      <c r="W317" s="31">
        <f>IF(A317&lt;&gt;"每日跟踪","",IF(OR(I317="",S317=""),"",IF(I317&lt;=S317,"触发止损：应全部卖出","继续观察")))</f>
        <v/>
      </c>
      <c r="X317" s="28" t="n"/>
      <c r="Y317" s="43" t="n"/>
      <c r="Z317" s="26">
        <f>IF(X317&lt;&gt;"执行卖出","",IFERROR(LOOKUP(2,1/(单次交易!$A$2:$A$201=B317),单次交易!$AP$2:$AP$201),""))</f>
        <v/>
      </c>
      <c r="AA317" s="43" t="n"/>
      <c r="AB317" s="31">
        <f>IF(A317&lt;&gt;"每日跟踪","",IF(OR(B317="",H317="",I317="",J317="",K317="",L317="",M317=""),"待补充每日记录",IF(W317="触发止损：应全部卖出",IF(X317&lt;&gt;"执行卖出","违规：触发止损但未执行",IF(Y317="","待补充实际卖出价","卖出记录完整")),IF(X317="","待选择卖出动作",IF(X317="执行卖出",IF(Y317="","待补充实际卖出价","卖出记录完整"),"正常")))))</f>
        <v/>
      </c>
      <c r="AC317" s="31">
        <f>IF(A317="","",IF(A317="止损计划",IF(OR(B317="",D317="",E317="",F317="",G317=""),"计划不完整",IF(OR(D317&lt;1,D317&lt;&gt;INT(D317)),"阶段序号无效",IF(COUNTIFS($A$2:$A$501,"止损计划",$B$2:$B$501,B317,$D$2:$D$501,D317)&gt;1,"阶段序号重复",IF(E317&lt;=IFERROR(LOOKUP(2,1/('单次交易'!$A$2:$A$201=B317),'单次交易'!$E$2:$E$201),0),"激活价须高于买入价",IF(F317&lt;N317,"止损价不得低于初始止损",IF(F317&gt;E317,"止损价不得高于激活价",IF(AND(COUNTIFS($A$2:$A$501,"止损计划",$B$2:$B$501,B317,$D$2:$D$501,"&lt;"&amp;D317)&gt;0,OR(E317&lt;=AGGREGATE(14,6,$E$2:$E$501/(($A$2:$A$501="止损计划")*($B$2:$B$501=B317)*($D$2:$D$501&lt;D317)),1),F317&lt;AGGREGATE(14,6,$F$2:$F$501/(($A$2:$A$501="止损计划")*($B$2:$B$501=B317)*($D$2:$D$501&lt;D317)),1))),"阶段价格必须逐级提高","计划有效"))))))),IF(A317="每日跟踪",IF(OR(B317="",H317="",I317="",J317=""),"每日数据不完整",IF(COUNTIFS($A$2:$A$501,"每日跟踪",$B$2:$B$501,B317,$H$2:$H$501,H317)&gt;1,"同一交易日期重复",IF(AND(R317&lt;&gt;"",R317&lt;S317),"人工止损无效：不能下调","跟踪有效"))),"记录类型无效")))</f>
        <v/>
      </c>
    </row>
    <row r="318">
      <c r="A318" s="28" t="n"/>
      <c r="B318" s="28" t="n"/>
      <c r="C318" s="31">
        <f>IF(B318="","",IFERROR(LOOKUP(2,1/(单次交易!$A$2:$A$201=B318),单次交易!$B$2:$B$201),""))</f>
        <v/>
      </c>
      <c r="D318" s="27" t="n"/>
      <c r="E318" s="43" t="n"/>
      <c r="F318" s="43" t="n"/>
      <c r="G318" s="28" t="n"/>
      <c r="H318" s="49" t="n"/>
      <c r="I318" s="43" t="n"/>
      <c r="J318" s="27" t="n"/>
      <c r="K318" s="28" t="n"/>
      <c r="L318" s="28" t="n"/>
      <c r="M318" s="28" t="n"/>
      <c r="N318" s="44">
        <f>IF(B318="","",IFERROR(LOOKUP(2,1/(单次交易!$A$2:$A$201=B318),单次交易!$N$2:$N$201),""))</f>
        <v/>
      </c>
      <c r="O318" s="44">
        <f>IF(A318&lt;&gt;"每日跟踪","",IF(OR(B318="",H318="",I318=""),"",IFERROR(AGGREGATE(14,6,$I$2:$I$501/(($A$2:$A$501="每日跟踪")*($B$2:$B$501=B318)*($H$2:$H$501&lt;=H318)),1),"")))</f>
        <v/>
      </c>
      <c r="P318" s="26">
        <f>IF(A318&lt;&gt;"每日跟踪","",IF(O318="","",IFERROR(AGGREGATE(14,6,$D$2:$D$501/(($A$2:$A$501="止损计划")*($B$2:$B$501=B318)*($E$2:$E$501&lt;=O318)),1),0)))</f>
        <v/>
      </c>
      <c r="Q318" s="44">
        <f>IF(A318&lt;&gt;"每日跟踪","",IF(N318="","",MAX(N318,IFERROR(AGGREGATE(14,6,$F$2:$F$501/(($A$2:$A$501="止损计划")*($B$2:$B$501=B318)*($E$2:$E$501&lt;=O318)),1),0))))</f>
        <v/>
      </c>
      <c r="R318" s="43" t="n"/>
      <c r="S318" s="44">
        <f>IF(A318&lt;&gt;"每日跟踪","",IF(Q318="","",MAX(Q318,IFERROR(AGGREGATE(14,6,$R$2:$R$501/(($A$2:$A$501="每日跟踪")*($B$2:$B$501=B318)*($H$2:$H$501&lt;=H318)),1),0))))</f>
        <v/>
      </c>
      <c r="T318" s="44">
        <f>IF(A318&lt;&gt;"每日跟踪","",IF(O318="","",IF(COUNTIFS($A$2:$A$501,"止损计划",$B$2:$B$501,B318,$E$2:$E$501,"&gt;"&amp;O318)=0,"",AGGREGATE(15,6,$E$2:$E$501/(($A$2:$A$501="止损计划")*($B$2:$B$501=B318)*($E$2:$E$501&gt;O318)),1))))</f>
        <v/>
      </c>
      <c r="U318" s="44">
        <f>IF(OR(A318&lt;&gt;"每日跟踪",T318=""),"",IFERROR(AGGREGATE(14,6,$F$2:$F$501/(($A$2:$A$501="止损计划")*($B$2:$B$501=B318)*($E$2:$E$501=T318)),1),""))</f>
        <v/>
      </c>
      <c r="V318" s="30">
        <f>IF(OR(A318&lt;&gt;"每日跟踪",T318="",I318="",I318&lt;=0),"",T318/I318-1)</f>
        <v/>
      </c>
      <c r="W318" s="31">
        <f>IF(A318&lt;&gt;"每日跟踪","",IF(OR(I318="",S318=""),"",IF(I318&lt;=S318,"触发止损：应全部卖出","继续观察")))</f>
        <v/>
      </c>
      <c r="X318" s="28" t="n"/>
      <c r="Y318" s="43" t="n"/>
      <c r="Z318" s="26">
        <f>IF(X318&lt;&gt;"执行卖出","",IFERROR(LOOKUP(2,1/(单次交易!$A$2:$A$201=B318),单次交易!$AP$2:$AP$201),""))</f>
        <v/>
      </c>
      <c r="AA318" s="43" t="n"/>
      <c r="AB318" s="31">
        <f>IF(A318&lt;&gt;"每日跟踪","",IF(OR(B318="",H318="",I318="",J318="",K318="",L318="",M318=""),"待补充每日记录",IF(W318="触发止损：应全部卖出",IF(X318&lt;&gt;"执行卖出","违规：触发止损但未执行",IF(Y318="","待补充实际卖出价","卖出记录完整")),IF(X318="","待选择卖出动作",IF(X318="执行卖出",IF(Y318="","待补充实际卖出价","卖出记录完整"),"正常")))))</f>
        <v/>
      </c>
      <c r="AC318" s="31">
        <f>IF(A318="","",IF(A318="止损计划",IF(OR(B318="",D318="",E318="",F318="",G318=""),"计划不完整",IF(OR(D318&lt;1,D318&lt;&gt;INT(D318)),"阶段序号无效",IF(COUNTIFS($A$2:$A$501,"止损计划",$B$2:$B$501,B318,$D$2:$D$501,D318)&gt;1,"阶段序号重复",IF(E318&lt;=IFERROR(LOOKUP(2,1/('单次交易'!$A$2:$A$201=B318),'单次交易'!$E$2:$E$201),0),"激活价须高于买入价",IF(F318&lt;N318,"止损价不得低于初始止损",IF(F318&gt;E318,"止损价不得高于激活价",IF(AND(COUNTIFS($A$2:$A$501,"止损计划",$B$2:$B$501,B318,$D$2:$D$501,"&lt;"&amp;D318)&gt;0,OR(E318&lt;=AGGREGATE(14,6,$E$2:$E$501/(($A$2:$A$501="止损计划")*($B$2:$B$501=B318)*($D$2:$D$501&lt;D318)),1),F318&lt;AGGREGATE(14,6,$F$2:$F$501/(($A$2:$A$501="止损计划")*($B$2:$B$501=B318)*($D$2:$D$501&lt;D318)),1))),"阶段价格必须逐级提高","计划有效"))))))),IF(A318="每日跟踪",IF(OR(B318="",H318="",I318="",J318=""),"每日数据不完整",IF(COUNTIFS($A$2:$A$501,"每日跟踪",$B$2:$B$501,B318,$H$2:$H$501,H318)&gt;1,"同一交易日期重复",IF(AND(R318&lt;&gt;"",R318&lt;S318),"人工止损无效：不能下调","跟踪有效"))),"记录类型无效")))</f>
        <v/>
      </c>
    </row>
    <row r="319">
      <c r="A319" s="28" t="n"/>
      <c r="B319" s="28" t="n"/>
      <c r="C319" s="31">
        <f>IF(B319="","",IFERROR(LOOKUP(2,1/(单次交易!$A$2:$A$201=B319),单次交易!$B$2:$B$201),""))</f>
        <v/>
      </c>
      <c r="D319" s="27" t="n"/>
      <c r="E319" s="43" t="n"/>
      <c r="F319" s="43" t="n"/>
      <c r="G319" s="28" t="n"/>
      <c r="H319" s="49" t="n"/>
      <c r="I319" s="43" t="n"/>
      <c r="J319" s="27" t="n"/>
      <c r="K319" s="28" t="n"/>
      <c r="L319" s="28" t="n"/>
      <c r="M319" s="28" t="n"/>
      <c r="N319" s="44">
        <f>IF(B319="","",IFERROR(LOOKUP(2,1/(单次交易!$A$2:$A$201=B319),单次交易!$N$2:$N$201),""))</f>
        <v/>
      </c>
      <c r="O319" s="44">
        <f>IF(A319&lt;&gt;"每日跟踪","",IF(OR(B319="",H319="",I319=""),"",IFERROR(AGGREGATE(14,6,$I$2:$I$501/(($A$2:$A$501="每日跟踪")*($B$2:$B$501=B319)*($H$2:$H$501&lt;=H319)),1),"")))</f>
        <v/>
      </c>
      <c r="P319" s="26">
        <f>IF(A319&lt;&gt;"每日跟踪","",IF(O319="","",IFERROR(AGGREGATE(14,6,$D$2:$D$501/(($A$2:$A$501="止损计划")*($B$2:$B$501=B319)*($E$2:$E$501&lt;=O319)),1),0)))</f>
        <v/>
      </c>
      <c r="Q319" s="44">
        <f>IF(A319&lt;&gt;"每日跟踪","",IF(N319="","",MAX(N319,IFERROR(AGGREGATE(14,6,$F$2:$F$501/(($A$2:$A$501="止损计划")*($B$2:$B$501=B319)*($E$2:$E$501&lt;=O319)),1),0))))</f>
        <v/>
      </c>
      <c r="R319" s="43" t="n"/>
      <c r="S319" s="44">
        <f>IF(A319&lt;&gt;"每日跟踪","",IF(Q319="","",MAX(Q319,IFERROR(AGGREGATE(14,6,$R$2:$R$501/(($A$2:$A$501="每日跟踪")*($B$2:$B$501=B319)*($H$2:$H$501&lt;=H319)),1),0))))</f>
        <v/>
      </c>
      <c r="T319" s="44">
        <f>IF(A319&lt;&gt;"每日跟踪","",IF(O319="","",IF(COUNTIFS($A$2:$A$501,"止损计划",$B$2:$B$501,B319,$E$2:$E$501,"&gt;"&amp;O319)=0,"",AGGREGATE(15,6,$E$2:$E$501/(($A$2:$A$501="止损计划")*($B$2:$B$501=B319)*($E$2:$E$501&gt;O319)),1))))</f>
        <v/>
      </c>
      <c r="U319" s="44">
        <f>IF(OR(A319&lt;&gt;"每日跟踪",T319=""),"",IFERROR(AGGREGATE(14,6,$F$2:$F$501/(($A$2:$A$501="止损计划")*($B$2:$B$501=B319)*($E$2:$E$501=T319)),1),""))</f>
        <v/>
      </c>
      <c r="V319" s="30">
        <f>IF(OR(A319&lt;&gt;"每日跟踪",T319="",I319="",I319&lt;=0),"",T319/I319-1)</f>
        <v/>
      </c>
      <c r="W319" s="31">
        <f>IF(A319&lt;&gt;"每日跟踪","",IF(OR(I319="",S319=""),"",IF(I319&lt;=S319,"触发止损：应全部卖出","继续观察")))</f>
        <v/>
      </c>
      <c r="X319" s="28" t="n"/>
      <c r="Y319" s="43" t="n"/>
      <c r="Z319" s="26">
        <f>IF(X319&lt;&gt;"执行卖出","",IFERROR(LOOKUP(2,1/(单次交易!$A$2:$A$201=B319),单次交易!$AP$2:$AP$201),""))</f>
        <v/>
      </c>
      <c r="AA319" s="43" t="n"/>
      <c r="AB319" s="31">
        <f>IF(A319&lt;&gt;"每日跟踪","",IF(OR(B319="",H319="",I319="",J319="",K319="",L319="",M319=""),"待补充每日记录",IF(W319="触发止损：应全部卖出",IF(X319&lt;&gt;"执行卖出","违规：触发止损但未执行",IF(Y319="","待补充实际卖出价","卖出记录完整")),IF(X319="","待选择卖出动作",IF(X319="执行卖出",IF(Y319="","待补充实际卖出价","卖出记录完整"),"正常")))))</f>
        <v/>
      </c>
      <c r="AC319" s="31">
        <f>IF(A319="","",IF(A319="止损计划",IF(OR(B319="",D319="",E319="",F319="",G319=""),"计划不完整",IF(OR(D319&lt;1,D319&lt;&gt;INT(D319)),"阶段序号无效",IF(COUNTIFS($A$2:$A$501,"止损计划",$B$2:$B$501,B319,$D$2:$D$501,D319)&gt;1,"阶段序号重复",IF(E319&lt;=IFERROR(LOOKUP(2,1/('单次交易'!$A$2:$A$201=B319),'单次交易'!$E$2:$E$201),0),"激活价须高于买入价",IF(F319&lt;N319,"止损价不得低于初始止损",IF(F319&gt;E319,"止损价不得高于激活价",IF(AND(COUNTIFS($A$2:$A$501,"止损计划",$B$2:$B$501,B319,$D$2:$D$501,"&lt;"&amp;D319)&gt;0,OR(E319&lt;=AGGREGATE(14,6,$E$2:$E$501/(($A$2:$A$501="止损计划")*($B$2:$B$501=B319)*($D$2:$D$501&lt;D319)),1),F319&lt;AGGREGATE(14,6,$F$2:$F$501/(($A$2:$A$501="止损计划")*($B$2:$B$501=B319)*($D$2:$D$501&lt;D319)),1))),"阶段价格必须逐级提高","计划有效"))))))),IF(A319="每日跟踪",IF(OR(B319="",H319="",I319="",J319=""),"每日数据不完整",IF(COUNTIFS($A$2:$A$501,"每日跟踪",$B$2:$B$501,B319,$H$2:$H$501,H319)&gt;1,"同一交易日期重复",IF(AND(R319&lt;&gt;"",R319&lt;S319),"人工止损无效：不能下调","跟踪有效"))),"记录类型无效")))</f>
        <v/>
      </c>
    </row>
    <row r="320">
      <c r="A320" s="28" t="n"/>
      <c r="B320" s="28" t="n"/>
      <c r="C320" s="31">
        <f>IF(B320="","",IFERROR(LOOKUP(2,1/(单次交易!$A$2:$A$201=B320),单次交易!$B$2:$B$201),""))</f>
        <v/>
      </c>
      <c r="D320" s="27" t="n"/>
      <c r="E320" s="43" t="n"/>
      <c r="F320" s="43" t="n"/>
      <c r="G320" s="28" t="n"/>
      <c r="H320" s="49" t="n"/>
      <c r="I320" s="43" t="n"/>
      <c r="J320" s="27" t="n"/>
      <c r="K320" s="28" t="n"/>
      <c r="L320" s="28" t="n"/>
      <c r="M320" s="28" t="n"/>
      <c r="N320" s="44">
        <f>IF(B320="","",IFERROR(LOOKUP(2,1/(单次交易!$A$2:$A$201=B320),单次交易!$N$2:$N$201),""))</f>
        <v/>
      </c>
      <c r="O320" s="44">
        <f>IF(A320&lt;&gt;"每日跟踪","",IF(OR(B320="",H320="",I320=""),"",IFERROR(AGGREGATE(14,6,$I$2:$I$501/(($A$2:$A$501="每日跟踪")*($B$2:$B$501=B320)*($H$2:$H$501&lt;=H320)),1),"")))</f>
        <v/>
      </c>
      <c r="P320" s="26">
        <f>IF(A320&lt;&gt;"每日跟踪","",IF(O320="","",IFERROR(AGGREGATE(14,6,$D$2:$D$501/(($A$2:$A$501="止损计划")*($B$2:$B$501=B320)*($E$2:$E$501&lt;=O320)),1),0)))</f>
        <v/>
      </c>
      <c r="Q320" s="44">
        <f>IF(A320&lt;&gt;"每日跟踪","",IF(N320="","",MAX(N320,IFERROR(AGGREGATE(14,6,$F$2:$F$501/(($A$2:$A$501="止损计划")*($B$2:$B$501=B320)*($E$2:$E$501&lt;=O320)),1),0))))</f>
        <v/>
      </c>
      <c r="R320" s="43" t="n"/>
      <c r="S320" s="44">
        <f>IF(A320&lt;&gt;"每日跟踪","",IF(Q320="","",MAX(Q320,IFERROR(AGGREGATE(14,6,$R$2:$R$501/(($A$2:$A$501="每日跟踪")*($B$2:$B$501=B320)*($H$2:$H$501&lt;=H320)),1),0))))</f>
        <v/>
      </c>
      <c r="T320" s="44">
        <f>IF(A320&lt;&gt;"每日跟踪","",IF(O320="","",IF(COUNTIFS($A$2:$A$501,"止损计划",$B$2:$B$501,B320,$E$2:$E$501,"&gt;"&amp;O320)=0,"",AGGREGATE(15,6,$E$2:$E$501/(($A$2:$A$501="止损计划")*($B$2:$B$501=B320)*($E$2:$E$501&gt;O320)),1))))</f>
        <v/>
      </c>
      <c r="U320" s="44">
        <f>IF(OR(A320&lt;&gt;"每日跟踪",T320=""),"",IFERROR(AGGREGATE(14,6,$F$2:$F$501/(($A$2:$A$501="止损计划")*($B$2:$B$501=B320)*($E$2:$E$501=T320)),1),""))</f>
        <v/>
      </c>
      <c r="V320" s="30">
        <f>IF(OR(A320&lt;&gt;"每日跟踪",T320="",I320="",I320&lt;=0),"",T320/I320-1)</f>
        <v/>
      </c>
      <c r="W320" s="31">
        <f>IF(A320&lt;&gt;"每日跟踪","",IF(OR(I320="",S320=""),"",IF(I320&lt;=S320,"触发止损：应全部卖出","继续观察")))</f>
        <v/>
      </c>
      <c r="X320" s="28" t="n"/>
      <c r="Y320" s="43" t="n"/>
      <c r="Z320" s="26">
        <f>IF(X320&lt;&gt;"执行卖出","",IFERROR(LOOKUP(2,1/(单次交易!$A$2:$A$201=B320),单次交易!$AP$2:$AP$201),""))</f>
        <v/>
      </c>
      <c r="AA320" s="43" t="n"/>
      <c r="AB320" s="31">
        <f>IF(A320&lt;&gt;"每日跟踪","",IF(OR(B320="",H320="",I320="",J320="",K320="",L320="",M320=""),"待补充每日记录",IF(W320="触发止损：应全部卖出",IF(X320&lt;&gt;"执行卖出","违规：触发止损但未执行",IF(Y320="","待补充实际卖出价","卖出记录完整")),IF(X320="","待选择卖出动作",IF(X320="执行卖出",IF(Y320="","待补充实际卖出价","卖出记录完整"),"正常")))))</f>
        <v/>
      </c>
      <c r="AC320" s="31">
        <f>IF(A320="","",IF(A320="止损计划",IF(OR(B320="",D320="",E320="",F320="",G320=""),"计划不完整",IF(OR(D320&lt;1,D320&lt;&gt;INT(D320)),"阶段序号无效",IF(COUNTIFS($A$2:$A$501,"止损计划",$B$2:$B$501,B320,$D$2:$D$501,D320)&gt;1,"阶段序号重复",IF(E320&lt;=IFERROR(LOOKUP(2,1/('单次交易'!$A$2:$A$201=B320),'单次交易'!$E$2:$E$201),0),"激活价须高于买入价",IF(F320&lt;N320,"止损价不得低于初始止损",IF(F320&gt;E320,"止损价不得高于激活价",IF(AND(COUNTIFS($A$2:$A$501,"止损计划",$B$2:$B$501,B320,$D$2:$D$501,"&lt;"&amp;D320)&gt;0,OR(E320&lt;=AGGREGATE(14,6,$E$2:$E$501/(($A$2:$A$501="止损计划")*($B$2:$B$501=B320)*($D$2:$D$501&lt;D320)),1),F320&lt;AGGREGATE(14,6,$F$2:$F$501/(($A$2:$A$501="止损计划")*($B$2:$B$501=B320)*($D$2:$D$501&lt;D320)),1))),"阶段价格必须逐级提高","计划有效"))))))),IF(A320="每日跟踪",IF(OR(B320="",H320="",I320="",J320=""),"每日数据不完整",IF(COUNTIFS($A$2:$A$501,"每日跟踪",$B$2:$B$501,B320,$H$2:$H$501,H320)&gt;1,"同一交易日期重复",IF(AND(R320&lt;&gt;"",R320&lt;S320),"人工止损无效：不能下调","跟踪有效"))),"记录类型无效")))</f>
        <v/>
      </c>
    </row>
    <row r="321">
      <c r="A321" s="28" t="n"/>
      <c r="B321" s="28" t="n"/>
      <c r="C321" s="31">
        <f>IF(B321="","",IFERROR(LOOKUP(2,1/(单次交易!$A$2:$A$201=B321),单次交易!$B$2:$B$201),""))</f>
        <v/>
      </c>
      <c r="D321" s="27" t="n"/>
      <c r="E321" s="43" t="n"/>
      <c r="F321" s="43" t="n"/>
      <c r="G321" s="28" t="n"/>
      <c r="H321" s="49" t="n"/>
      <c r="I321" s="43" t="n"/>
      <c r="J321" s="27" t="n"/>
      <c r="K321" s="28" t="n"/>
      <c r="L321" s="28" t="n"/>
      <c r="M321" s="28" t="n"/>
      <c r="N321" s="44">
        <f>IF(B321="","",IFERROR(LOOKUP(2,1/(单次交易!$A$2:$A$201=B321),单次交易!$N$2:$N$201),""))</f>
        <v/>
      </c>
      <c r="O321" s="44">
        <f>IF(A321&lt;&gt;"每日跟踪","",IF(OR(B321="",H321="",I321=""),"",IFERROR(AGGREGATE(14,6,$I$2:$I$501/(($A$2:$A$501="每日跟踪")*($B$2:$B$501=B321)*($H$2:$H$501&lt;=H321)),1),"")))</f>
        <v/>
      </c>
      <c r="P321" s="26">
        <f>IF(A321&lt;&gt;"每日跟踪","",IF(O321="","",IFERROR(AGGREGATE(14,6,$D$2:$D$501/(($A$2:$A$501="止损计划")*($B$2:$B$501=B321)*($E$2:$E$501&lt;=O321)),1),0)))</f>
        <v/>
      </c>
      <c r="Q321" s="44">
        <f>IF(A321&lt;&gt;"每日跟踪","",IF(N321="","",MAX(N321,IFERROR(AGGREGATE(14,6,$F$2:$F$501/(($A$2:$A$501="止损计划")*($B$2:$B$501=B321)*($E$2:$E$501&lt;=O321)),1),0))))</f>
        <v/>
      </c>
      <c r="R321" s="43" t="n"/>
      <c r="S321" s="44">
        <f>IF(A321&lt;&gt;"每日跟踪","",IF(Q321="","",MAX(Q321,IFERROR(AGGREGATE(14,6,$R$2:$R$501/(($A$2:$A$501="每日跟踪")*($B$2:$B$501=B321)*($H$2:$H$501&lt;=H321)),1),0))))</f>
        <v/>
      </c>
      <c r="T321" s="44">
        <f>IF(A321&lt;&gt;"每日跟踪","",IF(O321="","",IF(COUNTIFS($A$2:$A$501,"止损计划",$B$2:$B$501,B321,$E$2:$E$501,"&gt;"&amp;O321)=0,"",AGGREGATE(15,6,$E$2:$E$501/(($A$2:$A$501="止损计划")*($B$2:$B$501=B321)*($E$2:$E$501&gt;O321)),1))))</f>
        <v/>
      </c>
      <c r="U321" s="44">
        <f>IF(OR(A321&lt;&gt;"每日跟踪",T321=""),"",IFERROR(AGGREGATE(14,6,$F$2:$F$501/(($A$2:$A$501="止损计划")*($B$2:$B$501=B321)*($E$2:$E$501=T321)),1),""))</f>
        <v/>
      </c>
      <c r="V321" s="30">
        <f>IF(OR(A321&lt;&gt;"每日跟踪",T321="",I321="",I321&lt;=0),"",T321/I321-1)</f>
        <v/>
      </c>
      <c r="W321" s="31">
        <f>IF(A321&lt;&gt;"每日跟踪","",IF(OR(I321="",S321=""),"",IF(I321&lt;=S321,"触发止损：应全部卖出","继续观察")))</f>
        <v/>
      </c>
      <c r="X321" s="28" t="n"/>
      <c r="Y321" s="43" t="n"/>
      <c r="Z321" s="26">
        <f>IF(X321&lt;&gt;"执行卖出","",IFERROR(LOOKUP(2,1/(单次交易!$A$2:$A$201=B321),单次交易!$AP$2:$AP$201),""))</f>
        <v/>
      </c>
      <c r="AA321" s="43" t="n"/>
      <c r="AB321" s="31">
        <f>IF(A321&lt;&gt;"每日跟踪","",IF(OR(B321="",H321="",I321="",J321="",K321="",L321="",M321=""),"待补充每日记录",IF(W321="触发止损：应全部卖出",IF(X321&lt;&gt;"执行卖出","违规：触发止损但未执行",IF(Y321="","待补充实际卖出价","卖出记录完整")),IF(X321="","待选择卖出动作",IF(X321="执行卖出",IF(Y321="","待补充实际卖出价","卖出记录完整"),"正常")))))</f>
        <v/>
      </c>
      <c r="AC321" s="31">
        <f>IF(A321="","",IF(A321="止损计划",IF(OR(B321="",D321="",E321="",F321="",G321=""),"计划不完整",IF(OR(D321&lt;1,D321&lt;&gt;INT(D321)),"阶段序号无效",IF(COUNTIFS($A$2:$A$501,"止损计划",$B$2:$B$501,B321,$D$2:$D$501,D321)&gt;1,"阶段序号重复",IF(E321&lt;=IFERROR(LOOKUP(2,1/('单次交易'!$A$2:$A$201=B321),'单次交易'!$E$2:$E$201),0),"激活价须高于买入价",IF(F321&lt;N321,"止损价不得低于初始止损",IF(F321&gt;E321,"止损价不得高于激活价",IF(AND(COUNTIFS($A$2:$A$501,"止损计划",$B$2:$B$501,B321,$D$2:$D$501,"&lt;"&amp;D321)&gt;0,OR(E321&lt;=AGGREGATE(14,6,$E$2:$E$501/(($A$2:$A$501="止损计划")*($B$2:$B$501=B321)*($D$2:$D$501&lt;D321)),1),F321&lt;AGGREGATE(14,6,$F$2:$F$501/(($A$2:$A$501="止损计划")*($B$2:$B$501=B321)*($D$2:$D$501&lt;D321)),1))),"阶段价格必须逐级提高","计划有效"))))))),IF(A321="每日跟踪",IF(OR(B321="",H321="",I321="",J321=""),"每日数据不完整",IF(COUNTIFS($A$2:$A$501,"每日跟踪",$B$2:$B$501,B321,$H$2:$H$501,H321)&gt;1,"同一交易日期重复",IF(AND(R321&lt;&gt;"",R321&lt;S321),"人工止损无效：不能下调","跟踪有效"))),"记录类型无效")))</f>
        <v/>
      </c>
    </row>
    <row r="322">
      <c r="A322" s="28" t="n"/>
      <c r="B322" s="28" t="n"/>
      <c r="C322" s="31">
        <f>IF(B322="","",IFERROR(LOOKUP(2,1/(单次交易!$A$2:$A$201=B322),单次交易!$B$2:$B$201),""))</f>
        <v/>
      </c>
      <c r="D322" s="27" t="n"/>
      <c r="E322" s="43" t="n"/>
      <c r="F322" s="43" t="n"/>
      <c r="G322" s="28" t="n"/>
      <c r="H322" s="49" t="n"/>
      <c r="I322" s="43" t="n"/>
      <c r="J322" s="27" t="n"/>
      <c r="K322" s="28" t="n"/>
      <c r="L322" s="28" t="n"/>
      <c r="M322" s="28" t="n"/>
      <c r="N322" s="44">
        <f>IF(B322="","",IFERROR(LOOKUP(2,1/(单次交易!$A$2:$A$201=B322),单次交易!$N$2:$N$201),""))</f>
        <v/>
      </c>
      <c r="O322" s="44">
        <f>IF(A322&lt;&gt;"每日跟踪","",IF(OR(B322="",H322="",I322=""),"",IFERROR(AGGREGATE(14,6,$I$2:$I$501/(($A$2:$A$501="每日跟踪")*($B$2:$B$501=B322)*($H$2:$H$501&lt;=H322)),1),"")))</f>
        <v/>
      </c>
      <c r="P322" s="26">
        <f>IF(A322&lt;&gt;"每日跟踪","",IF(O322="","",IFERROR(AGGREGATE(14,6,$D$2:$D$501/(($A$2:$A$501="止损计划")*($B$2:$B$501=B322)*($E$2:$E$501&lt;=O322)),1),0)))</f>
        <v/>
      </c>
      <c r="Q322" s="44">
        <f>IF(A322&lt;&gt;"每日跟踪","",IF(N322="","",MAX(N322,IFERROR(AGGREGATE(14,6,$F$2:$F$501/(($A$2:$A$501="止损计划")*($B$2:$B$501=B322)*($E$2:$E$501&lt;=O322)),1),0))))</f>
        <v/>
      </c>
      <c r="R322" s="43" t="n"/>
      <c r="S322" s="44">
        <f>IF(A322&lt;&gt;"每日跟踪","",IF(Q322="","",MAX(Q322,IFERROR(AGGREGATE(14,6,$R$2:$R$501/(($A$2:$A$501="每日跟踪")*($B$2:$B$501=B322)*($H$2:$H$501&lt;=H322)),1),0))))</f>
        <v/>
      </c>
      <c r="T322" s="44">
        <f>IF(A322&lt;&gt;"每日跟踪","",IF(O322="","",IF(COUNTIFS($A$2:$A$501,"止损计划",$B$2:$B$501,B322,$E$2:$E$501,"&gt;"&amp;O322)=0,"",AGGREGATE(15,6,$E$2:$E$501/(($A$2:$A$501="止损计划")*($B$2:$B$501=B322)*($E$2:$E$501&gt;O322)),1))))</f>
        <v/>
      </c>
      <c r="U322" s="44">
        <f>IF(OR(A322&lt;&gt;"每日跟踪",T322=""),"",IFERROR(AGGREGATE(14,6,$F$2:$F$501/(($A$2:$A$501="止损计划")*($B$2:$B$501=B322)*($E$2:$E$501=T322)),1),""))</f>
        <v/>
      </c>
      <c r="V322" s="30">
        <f>IF(OR(A322&lt;&gt;"每日跟踪",T322="",I322="",I322&lt;=0),"",T322/I322-1)</f>
        <v/>
      </c>
      <c r="W322" s="31">
        <f>IF(A322&lt;&gt;"每日跟踪","",IF(OR(I322="",S322=""),"",IF(I322&lt;=S322,"触发止损：应全部卖出","继续观察")))</f>
        <v/>
      </c>
      <c r="X322" s="28" t="n"/>
      <c r="Y322" s="43" t="n"/>
      <c r="Z322" s="26">
        <f>IF(X322&lt;&gt;"执行卖出","",IFERROR(LOOKUP(2,1/(单次交易!$A$2:$A$201=B322),单次交易!$AP$2:$AP$201),""))</f>
        <v/>
      </c>
      <c r="AA322" s="43" t="n"/>
      <c r="AB322" s="31">
        <f>IF(A322&lt;&gt;"每日跟踪","",IF(OR(B322="",H322="",I322="",J322="",K322="",L322="",M322=""),"待补充每日记录",IF(W322="触发止损：应全部卖出",IF(X322&lt;&gt;"执行卖出","违规：触发止损但未执行",IF(Y322="","待补充实际卖出价","卖出记录完整")),IF(X322="","待选择卖出动作",IF(X322="执行卖出",IF(Y322="","待补充实际卖出价","卖出记录完整"),"正常")))))</f>
        <v/>
      </c>
      <c r="AC322" s="31">
        <f>IF(A322="","",IF(A322="止损计划",IF(OR(B322="",D322="",E322="",F322="",G322=""),"计划不完整",IF(OR(D322&lt;1,D322&lt;&gt;INT(D322)),"阶段序号无效",IF(COUNTIFS($A$2:$A$501,"止损计划",$B$2:$B$501,B322,$D$2:$D$501,D322)&gt;1,"阶段序号重复",IF(E322&lt;=IFERROR(LOOKUP(2,1/('单次交易'!$A$2:$A$201=B322),'单次交易'!$E$2:$E$201),0),"激活价须高于买入价",IF(F322&lt;N322,"止损价不得低于初始止损",IF(F322&gt;E322,"止损价不得高于激活价",IF(AND(COUNTIFS($A$2:$A$501,"止损计划",$B$2:$B$501,B322,$D$2:$D$501,"&lt;"&amp;D322)&gt;0,OR(E322&lt;=AGGREGATE(14,6,$E$2:$E$501/(($A$2:$A$501="止损计划")*($B$2:$B$501=B322)*($D$2:$D$501&lt;D322)),1),F322&lt;AGGREGATE(14,6,$F$2:$F$501/(($A$2:$A$501="止损计划")*($B$2:$B$501=B322)*($D$2:$D$501&lt;D322)),1))),"阶段价格必须逐级提高","计划有效"))))))),IF(A322="每日跟踪",IF(OR(B322="",H322="",I322="",J322=""),"每日数据不完整",IF(COUNTIFS($A$2:$A$501,"每日跟踪",$B$2:$B$501,B322,$H$2:$H$501,H322)&gt;1,"同一交易日期重复",IF(AND(R322&lt;&gt;"",R322&lt;S322),"人工止损无效：不能下调","跟踪有效"))),"记录类型无效")))</f>
        <v/>
      </c>
    </row>
    <row r="323">
      <c r="A323" s="28" t="n"/>
      <c r="B323" s="28" t="n"/>
      <c r="C323" s="31">
        <f>IF(B323="","",IFERROR(LOOKUP(2,1/(单次交易!$A$2:$A$201=B323),单次交易!$B$2:$B$201),""))</f>
        <v/>
      </c>
      <c r="D323" s="27" t="n"/>
      <c r="E323" s="43" t="n"/>
      <c r="F323" s="43" t="n"/>
      <c r="G323" s="28" t="n"/>
      <c r="H323" s="49" t="n"/>
      <c r="I323" s="43" t="n"/>
      <c r="J323" s="27" t="n"/>
      <c r="K323" s="28" t="n"/>
      <c r="L323" s="28" t="n"/>
      <c r="M323" s="28" t="n"/>
      <c r="N323" s="44">
        <f>IF(B323="","",IFERROR(LOOKUP(2,1/(单次交易!$A$2:$A$201=B323),单次交易!$N$2:$N$201),""))</f>
        <v/>
      </c>
      <c r="O323" s="44">
        <f>IF(A323&lt;&gt;"每日跟踪","",IF(OR(B323="",H323="",I323=""),"",IFERROR(AGGREGATE(14,6,$I$2:$I$501/(($A$2:$A$501="每日跟踪")*($B$2:$B$501=B323)*($H$2:$H$501&lt;=H323)),1),"")))</f>
        <v/>
      </c>
      <c r="P323" s="26">
        <f>IF(A323&lt;&gt;"每日跟踪","",IF(O323="","",IFERROR(AGGREGATE(14,6,$D$2:$D$501/(($A$2:$A$501="止损计划")*($B$2:$B$501=B323)*($E$2:$E$501&lt;=O323)),1),0)))</f>
        <v/>
      </c>
      <c r="Q323" s="44">
        <f>IF(A323&lt;&gt;"每日跟踪","",IF(N323="","",MAX(N323,IFERROR(AGGREGATE(14,6,$F$2:$F$501/(($A$2:$A$501="止损计划")*($B$2:$B$501=B323)*($E$2:$E$501&lt;=O323)),1),0))))</f>
        <v/>
      </c>
      <c r="R323" s="43" t="n"/>
      <c r="S323" s="44">
        <f>IF(A323&lt;&gt;"每日跟踪","",IF(Q323="","",MAX(Q323,IFERROR(AGGREGATE(14,6,$R$2:$R$501/(($A$2:$A$501="每日跟踪")*($B$2:$B$501=B323)*($H$2:$H$501&lt;=H323)),1),0))))</f>
        <v/>
      </c>
      <c r="T323" s="44">
        <f>IF(A323&lt;&gt;"每日跟踪","",IF(O323="","",IF(COUNTIFS($A$2:$A$501,"止损计划",$B$2:$B$501,B323,$E$2:$E$501,"&gt;"&amp;O323)=0,"",AGGREGATE(15,6,$E$2:$E$501/(($A$2:$A$501="止损计划")*($B$2:$B$501=B323)*($E$2:$E$501&gt;O323)),1))))</f>
        <v/>
      </c>
      <c r="U323" s="44">
        <f>IF(OR(A323&lt;&gt;"每日跟踪",T323=""),"",IFERROR(AGGREGATE(14,6,$F$2:$F$501/(($A$2:$A$501="止损计划")*($B$2:$B$501=B323)*($E$2:$E$501=T323)),1),""))</f>
        <v/>
      </c>
      <c r="V323" s="30">
        <f>IF(OR(A323&lt;&gt;"每日跟踪",T323="",I323="",I323&lt;=0),"",T323/I323-1)</f>
        <v/>
      </c>
      <c r="W323" s="31">
        <f>IF(A323&lt;&gt;"每日跟踪","",IF(OR(I323="",S323=""),"",IF(I323&lt;=S323,"触发止损：应全部卖出","继续观察")))</f>
        <v/>
      </c>
      <c r="X323" s="28" t="n"/>
      <c r="Y323" s="43" t="n"/>
      <c r="Z323" s="26">
        <f>IF(X323&lt;&gt;"执行卖出","",IFERROR(LOOKUP(2,1/(单次交易!$A$2:$A$201=B323),单次交易!$AP$2:$AP$201),""))</f>
        <v/>
      </c>
      <c r="AA323" s="43" t="n"/>
      <c r="AB323" s="31">
        <f>IF(A323&lt;&gt;"每日跟踪","",IF(OR(B323="",H323="",I323="",J323="",K323="",L323="",M323=""),"待补充每日记录",IF(W323="触发止损：应全部卖出",IF(X323&lt;&gt;"执行卖出","违规：触发止损但未执行",IF(Y323="","待补充实际卖出价","卖出记录完整")),IF(X323="","待选择卖出动作",IF(X323="执行卖出",IF(Y323="","待补充实际卖出价","卖出记录完整"),"正常")))))</f>
        <v/>
      </c>
      <c r="AC323" s="31">
        <f>IF(A323="","",IF(A323="止损计划",IF(OR(B323="",D323="",E323="",F323="",G323=""),"计划不完整",IF(OR(D323&lt;1,D323&lt;&gt;INT(D323)),"阶段序号无效",IF(COUNTIFS($A$2:$A$501,"止损计划",$B$2:$B$501,B323,$D$2:$D$501,D323)&gt;1,"阶段序号重复",IF(E323&lt;=IFERROR(LOOKUP(2,1/('单次交易'!$A$2:$A$201=B323),'单次交易'!$E$2:$E$201),0),"激活价须高于买入价",IF(F323&lt;N323,"止损价不得低于初始止损",IF(F323&gt;E323,"止损价不得高于激活价",IF(AND(COUNTIFS($A$2:$A$501,"止损计划",$B$2:$B$501,B323,$D$2:$D$501,"&lt;"&amp;D323)&gt;0,OR(E323&lt;=AGGREGATE(14,6,$E$2:$E$501/(($A$2:$A$501="止损计划")*($B$2:$B$501=B323)*($D$2:$D$501&lt;D323)),1),F323&lt;AGGREGATE(14,6,$F$2:$F$501/(($A$2:$A$501="止损计划")*($B$2:$B$501=B323)*($D$2:$D$501&lt;D323)),1))),"阶段价格必须逐级提高","计划有效"))))))),IF(A323="每日跟踪",IF(OR(B323="",H323="",I323="",J323=""),"每日数据不完整",IF(COUNTIFS($A$2:$A$501,"每日跟踪",$B$2:$B$501,B323,$H$2:$H$501,H323)&gt;1,"同一交易日期重复",IF(AND(R323&lt;&gt;"",R323&lt;S323),"人工止损无效：不能下调","跟踪有效"))),"记录类型无效")))</f>
        <v/>
      </c>
    </row>
    <row r="324">
      <c r="A324" s="28" t="n"/>
      <c r="B324" s="28" t="n"/>
      <c r="C324" s="31">
        <f>IF(B324="","",IFERROR(LOOKUP(2,1/(单次交易!$A$2:$A$201=B324),单次交易!$B$2:$B$201),""))</f>
        <v/>
      </c>
      <c r="D324" s="27" t="n"/>
      <c r="E324" s="43" t="n"/>
      <c r="F324" s="43" t="n"/>
      <c r="G324" s="28" t="n"/>
      <c r="H324" s="49" t="n"/>
      <c r="I324" s="43" t="n"/>
      <c r="J324" s="27" t="n"/>
      <c r="K324" s="28" t="n"/>
      <c r="L324" s="28" t="n"/>
      <c r="M324" s="28" t="n"/>
      <c r="N324" s="44">
        <f>IF(B324="","",IFERROR(LOOKUP(2,1/(单次交易!$A$2:$A$201=B324),单次交易!$N$2:$N$201),""))</f>
        <v/>
      </c>
      <c r="O324" s="44">
        <f>IF(A324&lt;&gt;"每日跟踪","",IF(OR(B324="",H324="",I324=""),"",IFERROR(AGGREGATE(14,6,$I$2:$I$501/(($A$2:$A$501="每日跟踪")*($B$2:$B$501=B324)*($H$2:$H$501&lt;=H324)),1),"")))</f>
        <v/>
      </c>
      <c r="P324" s="26">
        <f>IF(A324&lt;&gt;"每日跟踪","",IF(O324="","",IFERROR(AGGREGATE(14,6,$D$2:$D$501/(($A$2:$A$501="止损计划")*($B$2:$B$501=B324)*($E$2:$E$501&lt;=O324)),1),0)))</f>
        <v/>
      </c>
      <c r="Q324" s="44">
        <f>IF(A324&lt;&gt;"每日跟踪","",IF(N324="","",MAX(N324,IFERROR(AGGREGATE(14,6,$F$2:$F$501/(($A$2:$A$501="止损计划")*($B$2:$B$501=B324)*($E$2:$E$501&lt;=O324)),1),0))))</f>
        <v/>
      </c>
      <c r="R324" s="43" t="n"/>
      <c r="S324" s="44">
        <f>IF(A324&lt;&gt;"每日跟踪","",IF(Q324="","",MAX(Q324,IFERROR(AGGREGATE(14,6,$R$2:$R$501/(($A$2:$A$501="每日跟踪")*($B$2:$B$501=B324)*($H$2:$H$501&lt;=H324)),1),0))))</f>
        <v/>
      </c>
      <c r="T324" s="44">
        <f>IF(A324&lt;&gt;"每日跟踪","",IF(O324="","",IF(COUNTIFS($A$2:$A$501,"止损计划",$B$2:$B$501,B324,$E$2:$E$501,"&gt;"&amp;O324)=0,"",AGGREGATE(15,6,$E$2:$E$501/(($A$2:$A$501="止损计划")*($B$2:$B$501=B324)*($E$2:$E$501&gt;O324)),1))))</f>
        <v/>
      </c>
      <c r="U324" s="44">
        <f>IF(OR(A324&lt;&gt;"每日跟踪",T324=""),"",IFERROR(AGGREGATE(14,6,$F$2:$F$501/(($A$2:$A$501="止损计划")*($B$2:$B$501=B324)*($E$2:$E$501=T324)),1),""))</f>
        <v/>
      </c>
      <c r="V324" s="30">
        <f>IF(OR(A324&lt;&gt;"每日跟踪",T324="",I324="",I324&lt;=0),"",T324/I324-1)</f>
        <v/>
      </c>
      <c r="W324" s="31">
        <f>IF(A324&lt;&gt;"每日跟踪","",IF(OR(I324="",S324=""),"",IF(I324&lt;=S324,"触发止损：应全部卖出","继续观察")))</f>
        <v/>
      </c>
      <c r="X324" s="28" t="n"/>
      <c r="Y324" s="43" t="n"/>
      <c r="Z324" s="26">
        <f>IF(X324&lt;&gt;"执行卖出","",IFERROR(LOOKUP(2,1/(单次交易!$A$2:$A$201=B324),单次交易!$AP$2:$AP$201),""))</f>
        <v/>
      </c>
      <c r="AA324" s="43" t="n"/>
      <c r="AB324" s="31">
        <f>IF(A324&lt;&gt;"每日跟踪","",IF(OR(B324="",H324="",I324="",J324="",K324="",L324="",M324=""),"待补充每日记录",IF(W324="触发止损：应全部卖出",IF(X324&lt;&gt;"执行卖出","违规：触发止损但未执行",IF(Y324="","待补充实际卖出价","卖出记录完整")),IF(X324="","待选择卖出动作",IF(X324="执行卖出",IF(Y324="","待补充实际卖出价","卖出记录完整"),"正常")))))</f>
        <v/>
      </c>
      <c r="AC324" s="31">
        <f>IF(A324="","",IF(A324="止损计划",IF(OR(B324="",D324="",E324="",F324="",G324=""),"计划不完整",IF(OR(D324&lt;1,D324&lt;&gt;INT(D324)),"阶段序号无效",IF(COUNTIFS($A$2:$A$501,"止损计划",$B$2:$B$501,B324,$D$2:$D$501,D324)&gt;1,"阶段序号重复",IF(E324&lt;=IFERROR(LOOKUP(2,1/('单次交易'!$A$2:$A$201=B324),'单次交易'!$E$2:$E$201),0),"激活价须高于买入价",IF(F324&lt;N324,"止损价不得低于初始止损",IF(F324&gt;E324,"止损价不得高于激活价",IF(AND(COUNTIFS($A$2:$A$501,"止损计划",$B$2:$B$501,B324,$D$2:$D$501,"&lt;"&amp;D324)&gt;0,OR(E324&lt;=AGGREGATE(14,6,$E$2:$E$501/(($A$2:$A$501="止损计划")*($B$2:$B$501=B324)*($D$2:$D$501&lt;D324)),1),F324&lt;AGGREGATE(14,6,$F$2:$F$501/(($A$2:$A$501="止损计划")*($B$2:$B$501=B324)*($D$2:$D$501&lt;D324)),1))),"阶段价格必须逐级提高","计划有效"))))))),IF(A324="每日跟踪",IF(OR(B324="",H324="",I324="",J324=""),"每日数据不完整",IF(COUNTIFS($A$2:$A$501,"每日跟踪",$B$2:$B$501,B324,$H$2:$H$501,H324)&gt;1,"同一交易日期重复",IF(AND(R324&lt;&gt;"",R324&lt;S324),"人工止损无效：不能下调","跟踪有效"))),"记录类型无效")))</f>
        <v/>
      </c>
    </row>
    <row r="325">
      <c r="A325" s="28" t="n"/>
      <c r="B325" s="28" t="n"/>
      <c r="C325" s="31">
        <f>IF(B325="","",IFERROR(LOOKUP(2,1/(单次交易!$A$2:$A$201=B325),单次交易!$B$2:$B$201),""))</f>
        <v/>
      </c>
      <c r="D325" s="27" t="n"/>
      <c r="E325" s="43" t="n"/>
      <c r="F325" s="43" t="n"/>
      <c r="G325" s="28" t="n"/>
      <c r="H325" s="49" t="n"/>
      <c r="I325" s="43" t="n"/>
      <c r="J325" s="27" t="n"/>
      <c r="K325" s="28" t="n"/>
      <c r="L325" s="28" t="n"/>
      <c r="M325" s="28" t="n"/>
      <c r="N325" s="44">
        <f>IF(B325="","",IFERROR(LOOKUP(2,1/(单次交易!$A$2:$A$201=B325),单次交易!$N$2:$N$201),""))</f>
        <v/>
      </c>
      <c r="O325" s="44">
        <f>IF(A325&lt;&gt;"每日跟踪","",IF(OR(B325="",H325="",I325=""),"",IFERROR(AGGREGATE(14,6,$I$2:$I$501/(($A$2:$A$501="每日跟踪")*($B$2:$B$501=B325)*($H$2:$H$501&lt;=H325)),1),"")))</f>
        <v/>
      </c>
      <c r="P325" s="26">
        <f>IF(A325&lt;&gt;"每日跟踪","",IF(O325="","",IFERROR(AGGREGATE(14,6,$D$2:$D$501/(($A$2:$A$501="止损计划")*($B$2:$B$501=B325)*($E$2:$E$501&lt;=O325)),1),0)))</f>
        <v/>
      </c>
      <c r="Q325" s="44">
        <f>IF(A325&lt;&gt;"每日跟踪","",IF(N325="","",MAX(N325,IFERROR(AGGREGATE(14,6,$F$2:$F$501/(($A$2:$A$501="止损计划")*($B$2:$B$501=B325)*($E$2:$E$501&lt;=O325)),1),0))))</f>
        <v/>
      </c>
      <c r="R325" s="43" t="n"/>
      <c r="S325" s="44">
        <f>IF(A325&lt;&gt;"每日跟踪","",IF(Q325="","",MAX(Q325,IFERROR(AGGREGATE(14,6,$R$2:$R$501/(($A$2:$A$501="每日跟踪")*($B$2:$B$501=B325)*($H$2:$H$501&lt;=H325)),1),0))))</f>
        <v/>
      </c>
      <c r="T325" s="44">
        <f>IF(A325&lt;&gt;"每日跟踪","",IF(O325="","",IF(COUNTIFS($A$2:$A$501,"止损计划",$B$2:$B$501,B325,$E$2:$E$501,"&gt;"&amp;O325)=0,"",AGGREGATE(15,6,$E$2:$E$501/(($A$2:$A$501="止损计划")*($B$2:$B$501=B325)*($E$2:$E$501&gt;O325)),1))))</f>
        <v/>
      </c>
      <c r="U325" s="44">
        <f>IF(OR(A325&lt;&gt;"每日跟踪",T325=""),"",IFERROR(AGGREGATE(14,6,$F$2:$F$501/(($A$2:$A$501="止损计划")*($B$2:$B$501=B325)*($E$2:$E$501=T325)),1),""))</f>
        <v/>
      </c>
      <c r="V325" s="30">
        <f>IF(OR(A325&lt;&gt;"每日跟踪",T325="",I325="",I325&lt;=0),"",T325/I325-1)</f>
        <v/>
      </c>
      <c r="W325" s="31">
        <f>IF(A325&lt;&gt;"每日跟踪","",IF(OR(I325="",S325=""),"",IF(I325&lt;=S325,"触发止损：应全部卖出","继续观察")))</f>
        <v/>
      </c>
      <c r="X325" s="28" t="n"/>
      <c r="Y325" s="43" t="n"/>
      <c r="Z325" s="26">
        <f>IF(X325&lt;&gt;"执行卖出","",IFERROR(LOOKUP(2,1/(单次交易!$A$2:$A$201=B325),单次交易!$AP$2:$AP$201),""))</f>
        <v/>
      </c>
      <c r="AA325" s="43" t="n"/>
      <c r="AB325" s="31">
        <f>IF(A325&lt;&gt;"每日跟踪","",IF(OR(B325="",H325="",I325="",J325="",K325="",L325="",M325=""),"待补充每日记录",IF(W325="触发止损：应全部卖出",IF(X325&lt;&gt;"执行卖出","违规：触发止损但未执行",IF(Y325="","待补充实际卖出价","卖出记录完整")),IF(X325="","待选择卖出动作",IF(X325="执行卖出",IF(Y325="","待补充实际卖出价","卖出记录完整"),"正常")))))</f>
        <v/>
      </c>
      <c r="AC325" s="31">
        <f>IF(A325="","",IF(A325="止损计划",IF(OR(B325="",D325="",E325="",F325="",G325=""),"计划不完整",IF(OR(D325&lt;1,D325&lt;&gt;INT(D325)),"阶段序号无效",IF(COUNTIFS($A$2:$A$501,"止损计划",$B$2:$B$501,B325,$D$2:$D$501,D325)&gt;1,"阶段序号重复",IF(E325&lt;=IFERROR(LOOKUP(2,1/('单次交易'!$A$2:$A$201=B325),'单次交易'!$E$2:$E$201),0),"激活价须高于买入价",IF(F325&lt;N325,"止损价不得低于初始止损",IF(F325&gt;E325,"止损价不得高于激活价",IF(AND(COUNTIFS($A$2:$A$501,"止损计划",$B$2:$B$501,B325,$D$2:$D$501,"&lt;"&amp;D325)&gt;0,OR(E325&lt;=AGGREGATE(14,6,$E$2:$E$501/(($A$2:$A$501="止损计划")*($B$2:$B$501=B325)*($D$2:$D$501&lt;D325)),1),F325&lt;AGGREGATE(14,6,$F$2:$F$501/(($A$2:$A$501="止损计划")*($B$2:$B$501=B325)*($D$2:$D$501&lt;D325)),1))),"阶段价格必须逐级提高","计划有效"))))))),IF(A325="每日跟踪",IF(OR(B325="",H325="",I325="",J325=""),"每日数据不完整",IF(COUNTIFS($A$2:$A$501,"每日跟踪",$B$2:$B$501,B325,$H$2:$H$501,H325)&gt;1,"同一交易日期重复",IF(AND(R325&lt;&gt;"",R325&lt;S325),"人工止损无效：不能下调","跟踪有效"))),"记录类型无效")))</f>
        <v/>
      </c>
    </row>
    <row r="326">
      <c r="A326" s="28" t="n"/>
      <c r="B326" s="28" t="n"/>
      <c r="C326" s="31">
        <f>IF(B326="","",IFERROR(LOOKUP(2,1/(单次交易!$A$2:$A$201=B326),单次交易!$B$2:$B$201),""))</f>
        <v/>
      </c>
      <c r="D326" s="27" t="n"/>
      <c r="E326" s="43" t="n"/>
      <c r="F326" s="43" t="n"/>
      <c r="G326" s="28" t="n"/>
      <c r="H326" s="49" t="n"/>
      <c r="I326" s="43" t="n"/>
      <c r="J326" s="27" t="n"/>
      <c r="K326" s="28" t="n"/>
      <c r="L326" s="28" t="n"/>
      <c r="M326" s="28" t="n"/>
      <c r="N326" s="44">
        <f>IF(B326="","",IFERROR(LOOKUP(2,1/(单次交易!$A$2:$A$201=B326),单次交易!$N$2:$N$201),""))</f>
        <v/>
      </c>
      <c r="O326" s="44">
        <f>IF(A326&lt;&gt;"每日跟踪","",IF(OR(B326="",H326="",I326=""),"",IFERROR(AGGREGATE(14,6,$I$2:$I$501/(($A$2:$A$501="每日跟踪")*($B$2:$B$501=B326)*($H$2:$H$501&lt;=H326)),1),"")))</f>
        <v/>
      </c>
      <c r="P326" s="26">
        <f>IF(A326&lt;&gt;"每日跟踪","",IF(O326="","",IFERROR(AGGREGATE(14,6,$D$2:$D$501/(($A$2:$A$501="止损计划")*($B$2:$B$501=B326)*($E$2:$E$501&lt;=O326)),1),0)))</f>
        <v/>
      </c>
      <c r="Q326" s="44">
        <f>IF(A326&lt;&gt;"每日跟踪","",IF(N326="","",MAX(N326,IFERROR(AGGREGATE(14,6,$F$2:$F$501/(($A$2:$A$501="止损计划")*($B$2:$B$501=B326)*($E$2:$E$501&lt;=O326)),1),0))))</f>
        <v/>
      </c>
      <c r="R326" s="43" t="n"/>
      <c r="S326" s="44">
        <f>IF(A326&lt;&gt;"每日跟踪","",IF(Q326="","",MAX(Q326,IFERROR(AGGREGATE(14,6,$R$2:$R$501/(($A$2:$A$501="每日跟踪")*($B$2:$B$501=B326)*($H$2:$H$501&lt;=H326)),1),0))))</f>
        <v/>
      </c>
      <c r="T326" s="44">
        <f>IF(A326&lt;&gt;"每日跟踪","",IF(O326="","",IF(COUNTIFS($A$2:$A$501,"止损计划",$B$2:$B$501,B326,$E$2:$E$501,"&gt;"&amp;O326)=0,"",AGGREGATE(15,6,$E$2:$E$501/(($A$2:$A$501="止损计划")*($B$2:$B$501=B326)*($E$2:$E$501&gt;O326)),1))))</f>
        <v/>
      </c>
      <c r="U326" s="44">
        <f>IF(OR(A326&lt;&gt;"每日跟踪",T326=""),"",IFERROR(AGGREGATE(14,6,$F$2:$F$501/(($A$2:$A$501="止损计划")*($B$2:$B$501=B326)*($E$2:$E$501=T326)),1),""))</f>
        <v/>
      </c>
      <c r="V326" s="30">
        <f>IF(OR(A326&lt;&gt;"每日跟踪",T326="",I326="",I326&lt;=0),"",T326/I326-1)</f>
        <v/>
      </c>
      <c r="W326" s="31">
        <f>IF(A326&lt;&gt;"每日跟踪","",IF(OR(I326="",S326=""),"",IF(I326&lt;=S326,"触发止损：应全部卖出","继续观察")))</f>
        <v/>
      </c>
      <c r="X326" s="28" t="n"/>
      <c r="Y326" s="43" t="n"/>
      <c r="Z326" s="26">
        <f>IF(X326&lt;&gt;"执行卖出","",IFERROR(LOOKUP(2,1/(单次交易!$A$2:$A$201=B326),单次交易!$AP$2:$AP$201),""))</f>
        <v/>
      </c>
      <c r="AA326" s="43" t="n"/>
      <c r="AB326" s="31">
        <f>IF(A326&lt;&gt;"每日跟踪","",IF(OR(B326="",H326="",I326="",J326="",K326="",L326="",M326=""),"待补充每日记录",IF(W326="触发止损：应全部卖出",IF(X326&lt;&gt;"执行卖出","违规：触发止损但未执行",IF(Y326="","待补充实际卖出价","卖出记录完整")),IF(X326="","待选择卖出动作",IF(X326="执行卖出",IF(Y326="","待补充实际卖出价","卖出记录完整"),"正常")))))</f>
        <v/>
      </c>
      <c r="AC326" s="31">
        <f>IF(A326="","",IF(A326="止损计划",IF(OR(B326="",D326="",E326="",F326="",G326=""),"计划不完整",IF(OR(D326&lt;1,D326&lt;&gt;INT(D326)),"阶段序号无效",IF(COUNTIFS($A$2:$A$501,"止损计划",$B$2:$B$501,B326,$D$2:$D$501,D326)&gt;1,"阶段序号重复",IF(E326&lt;=IFERROR(LOOKUP(2,1/('单次交易'!$A$2:$A$201=B326),'单次交易'!$E$2:$E$201),0),"激活价须高于买入价",IF(F326&lt;N326,"止损价不得低于初始止损",IF(F326&gt;E326,"止损价不得高于激活价",IF(AND(COUNTIFS($A$2:$A$501,"止损计划",$B$2:$B$501,B326,$D$2:$D$501,"&lt;"&amp;D326)&gt;0,OR(E326&lt;=AGGREGATE(14,6,$E$2:$E$501/(($A$2:$A$501="止损计划")*($B$2:$B$501=B326)*($D$2:$D$501&lt;D326)),1),F326&lt;AGGREGATE(14,6,$F$2:$F$501/(($A$2:$A$501="止损计划")*($B$2:$B$501=B326)*($D$2:$D$501&lt;D326)),1))),"阶段价格必须逐级提高","计划有效"))))))),IF(A326="每日跟踪",IF(OR(B326="",H326="",I326="",J326=""),"每日数据不完整",IF(COUNTIFS($A$2:$A$501,"每日跟踪",$B$2:$B$501,B326,$H$2:$H$501,H326)&gt;1,"同一交易日期重复",IF(AND(R326&lt;&gt;"",R326&lt;S326),"人工止损无效：不能下调","跟踪有效"))),"记录类型无效")))</f>
        <v/>
      </c>
    </row>
    <row r="327">
      <c r="A327" s="28" t="n"/>
      <c r="B327" s="28" t="n"/>
      <c r="C327" s="31">
        <f>IF(B327="","",IFERROR(LOOKUP(2,1/(单次交易!$A$2:$A$201=B327),单次交易!$B$2:$B$201),""))</f>
        <v/>
      </c>
      <c r="D327" s="27" t="n"/>
      <c r="E327" s="43" t="n"/>
      <c r="F327" s="43" t="n"/>
      <c r="G327" s="28" t="n"/>
      <c r="H327" s="49" t="n"/>
      <c r="I327" s="43" t="n"/>
      <c r="J327" s="27" t="n"/>
      <c r="K327" s="28" t="n"/>
      <c r="L327" s="28" t="n"/>
      <c r="M327" s="28" t="n"/>
      <c r="N327" s="44">
        <f>IF(B327="","",IFERROR(LOOKUP(2,1/(单次交易!$A$2:$A$201=B327),单次交易!$N$2:$N$201),""))</f>
        <v/>
      </c>
      <c r="O327" s="44">
        <f>IF(A327&lt;&gt;"每日跟踪","",IF(OR(B327="",H327="",I327=""),"",IFERROR(AGGREGATE(14,6,$I$2:$I$501/(($A$2:$A$501="每日跟踪")*($B$2:$B$501=B327)*($H$2:$H$501&lt;=H327)),1),"")))</f>
        <v/>
      </c>
      <c r="P327" s="26">
        <f>IF(A327&lt;&gt;"每日跟踪","",IF(O327="","",IFERROR(AGGREGATE(14,6,$D$2:$D$501/(($A$2:$A$501="止损计划")*($B$2:$B$501=B327)*($E$2:$E$501&lt;=O327)),1),0)))</f>
        <v/>
      </c>
      <c r="Q327" s="44">
        <f>IF(A327&lt;&gt;"每日跟踪","",IF(N327="","",MAX(N327,IFERROR(AGGREGATE(14,6,$F$2:$F$501/(($A$2:$A$501="止损计划")*($B$2:$B$501=B327)*($E$2:$E$501&lt;=O327)),1),0))))</f>
        <v/>
      </c>
      <c r="R327" s="43" t="n"/>
      <c r="S327" s="44">
        <f>IF(A327&lt;&gt;"每日跟踪","",IF(Q327="","",MAX(Q327,IFERROR(AGGREGATE(14,6,$R$2:$R$501/(($A$2:$A$501="每日跟踪")*($B$2:$B$501=B327)*($H$2:$H$501&lt;=H327)),1),0))))</f>
        <v/>
      </c>
      <c r="T327" s="44">
        <f>IF(A327&lt;&gt;"每日跟踪","",IF(O327="","",IF(COUNTIFS($A$2:$A$501,"止损计划",$B$2:$B$501,B327,$E$2:$E$501,"&gt;"&amp;O327)=0,"",AGGREGATE(15,6,$E$2:$E$501/(($A$2:$A$501="止损计划")*($B$2:$B$501=B327)*($E$2:$E$501&gt;O327)),1))))</f>
        <v/>
      </c>
      <c r="U327" s="44">
        <f>IF(OR(A327&lt;&gt;"每日跟踪",T327=""),"",IFERROR(AGGREGATE(14,6,$F$2:$F$501/(($A$2:$A$501="止损计划")*($B$2:$B$501=B327)*($E$2:$E$501=T327)),1),""))</f>
        <v/>
      </c>
      <c r="V327" s="30">
        <f>IF(OR(A327&lt;&gt;"每日跟踪",T327="",I327="",I327&lt;=0),"",T327/I327-1)</f>
        <v/>
      </c>
      <c r="W327" s="31">
        <f>IF(A327&lt;&gt;"每日跟踪","",IF(OR(I327="",S327=""),"",IF(I327&lt;=S327,"触发止损：应全部卖出","继续观察")))</f>
        <v/>
      </c>
      <c r="X327" s="28" t="n"/>
      <c r="Y327" s="43" t="n"/>
      <c r="Z327" s="26">
        <f>IF(X327&lt;&gt;"执行卖出","",IFERROR(LOOKUP(2,1/(单次交易!$A$2:$A$201=B327),单次交易!$AP$2:$AP$201),""))</f>
        <v/>
      </c>
      <c r="AA327" s="43" t="n"/>
      <c r="AB327" s="31">
        <f>IF(A327&lt;&gt;"每日跟踪","",IF(OR(B327="",H327="",I327="",J327="",K327="",L327="",M327=""),"待补充每日记录",IF(W327="触发止损：应全部卖出",IF(X327&lt;&gt;"执行卖出","违规：触发止损但未执行",IF(Y327="","待补充实际卖出价","卖出记录完整")),IF(X327="","待选择卖出动作",IF(X327="执行卖出",IF(Y327="","待补充实际卖出价","卖出记录完整"),"正常")))))</f>
        <v/>
      </c>
      <c r="AC327" s="31">
        <f>IF(A327="","",IF(A327="止损计划",IF(OR(B327="",D327="",E327="",F327="",G327=""),"计划不完整",IF(OR(D327&lt;1,D327&lt;&gt;INT(D327)),"阶段序号无效",IF(COUNTIFS($A$2:$A$501,"止损计划",$B$2:$B$501,B327,$D$2:$D$501,D327)&gt;1,"阶段序号重复",IF(E327&lt;=IFERROR(LOOKUP(2,1/('单次交易'!$A$2:$A$201=B327),'单次交易'!$E$2:$E$201),0),"激活价须高于买入价",IF(F327&lt;N327,"止损价不得低于初始止损",IF(F327&gt;E327,"止损价不得高于激活价",IF(AND(COUNTIFS($A$2:$A$501,"止损计划",$B$2:$B$501,B327,$D$2:$D$501,"&lt;"&amp;D327)&gt;0,OR(E327&lt;=AGGREGATE(14,6,$E$2:$E$501/(($A$2:$A$501="止损计划")*($B$2:$B$501=B327)*($D$2:$D$501&lt;D327)),1),F327&lt;AGGREGATE(14,6,$F$2:$F$501/(($A$2:$A$501="止损计划")*($B$2:$B$501=B327)*($D$2:$D$501&lt;D327)),1))),"阶段价格必须逐级提高","计划有效"))))))),IF(A327="每日跟踪",IF(OR(B327="",H327="",I327="",J327=""),"每日数据不完整",IF(COUNTIFS($A$2:$A$501,"每日跟踪",$B$2:$B$501,B327,$H$2:$H$501,H327)&gt;1,"同一交易日期重复",IF(AND(R327&lt;&gt;"",R327&lt;S327),"人工止损无效：不能下调","跟踪有效"))),"记录类型无效")))</f>
        <v/>
      </c>
    </row>
    <row r="328">
      <c r="A328" s="28" t="n"/>
      <c r="B328" s="28" t="n"/>
      <c r="C328" s="31">
        <f>IF(B328="","",IFERROR(LOOKUP(2,1/(单次交易!$A$2:$A$201=B328),单次交易!$B$2:$B$201),""))</f>
        <v/>
      </c>
      <c r="D328" s="27" t="n"/>
      <c r="E328" s="43" t="n"/>
      <c r="F328" s="43" t="n"/>
      <c r="G328" s="28" t="n"/>
      <c r="H328" s="49" t="n"/>
      <c r="I328" s="43" t="n"/>
      <c r="J328" s="27" t="n"/>
      <c r="K328" s="28" t="n"/>
      <c r="L328" s="28" t="n"/>
      <c r="M328" s="28" t="n"/>
      <c r="N328" s="44">
        <f>IF(B328="","",IFERROR(LOOKUP(2,1/(单次交易!$A$2:$A$201=B328),单次交易!$N$2:$N$201),""))</f>
        <v/>
      </c>
      <c r="O328" s="44">
        <f>IF(A328&lt;&gt;"每日跟踪","",IF(OR(B328="",H328="",I328=""),"",IFERROR(AGGREGATE(14,6,$I$2:$I$501/(($A$2:$A$501="每日跟踪")*($B$2:$B$501=B328)*($H$2:$H$501&lt;=H328)),1),"")))</f>
        <v/>
      </c>
      <c r="P328" s="26">
        <f>IF(A328&lt;&gt;"每日跟踪","",IF(O328="","",IFERROR(AGGREGATE(14,6,$D$2:$D$501/(($A$2:$A$501="止损计划")*($B$2:$B$501=B328)*($E$2:$E$501&lt;=O328)),1),0)))</f>
        <v/>
      </c>
      <c r="Q328" s="44">
        <f>IF(A328&lt;&gt;"每日跟踪","",IF(N328="","",MAX(N328,IFERROR(AGGREGATE(14,6,$F$2:$F$501/(($A$2:$A$501="止损计划")*($B$2:$B$501=B328)*($E$2:$E$501&lt;=O328)),1),0))))</f>
        <v/>
      </c>
      <c r="R328" s="43" t="n"/>
      <c r="S328" s="44">
        <f>IF(A328&lt;&gt;"每日跟踪","",IF(Q328="","",MAX(Q328,IFERROR(AGGREGATE(14,6,$R$2:$R$501/(($A$2:$A$501="每日跟踪")*($B$2:$B$501=B328)*($H$2:$H$501&lt;=H328)),1),0))))</f>
        <v/>
      </c>
      <c r="T328" s="44">
        <f>IF(A328&lt;&gt;"每日跟踪","",IF(O328="","",IF(COUNTIFS($A$2:$A$501,"止损计划",$B$2:$B$501,B328,$E$2:$E$501,"&gt;"&amp;O328)=0,"",AGGREGATE(15,6,$E$2:$E$501/(($A$2:$A$501="止损计划")*($B$2:$B$501=B328)*($E$2:$E$501&gt;O328)),1))))</f>
        <v/>
      </c>
      <c r="U328" s="44">
        <f>IF(OR(A328&lt;&gt;"每日跟踪",T328=""),"",IFERROR(AGGREGATE(14,6,$F$2:$F$501/(($A$2:$A$501="止损计划")*($B$2:$B$501=B328)*($E$2:$E$501=T328)),1),""))</f>
        <v/>
      </c>
      <c r="V328" s="30">
        <f>IF(OR(A328&lt;&gt;"每日跟踪",T328="",I328="",I328&lt;=0),"",T328/I328-1)</f>
        <v/>
      </c>
      <c r="W328" s="31">
        <f>IF(A328&lt;&gt;"每日跟踪","",IF(OR(I328="",S328=""),"",IF(I328&lt;=S328,"触发止损：应全部卖出","继续观察")))</f>
        <v/>
      </c>
      <c r="X328" s="28" t="n"/>
      <c r="Y328" s="43" t="n"/>
      <c r="Z328" s="26">
        <f>IF(X328&lt;&gt;"执行卖出","",IFERROR(LOOKUP(2,1/(单次交易!$A$2:$A$201=B328),单次交易!$AP$2:$AP$201),""))</f>
        <v/>
      </c>
      <c r="AA328" s="43" t="n"/>
      <c r="AB328" s="31">
        <f>IF(A328&lt;&gt;"每日跟踪","",IF(OR(B328="",H328="",I328="",J328="",K328="",L328="",M328=""),"待补充每日记录",IF(W328="触发止损：应全部卖出",IF(X328&lt;&gt;"执行卖出","违规：触发止损但未执行",IF(Y328="","待补充实际卖出价","卖出记录完整")),IF(X328="","待选择卖出动作",IF(X328="执行卖出",IF(Y328="","待补充实际卖出价","卖出记录完整"),"正常")))))</f>
        <v/>
      </c>
      <c r="AC328" s="31">
        <f>IF(A328="","",IF(A328="止损计划",IF(OR(B328="",D328="",E328="",F328="",G328=""),"计划不完整",IF(OR(D328&lt;1,D328&lt;&gt;INT(D328)),"阶段序号无效",IF(COUNTIFS($A$2:$A$501,"止损计划",$B$2:$B$501,B328,$D$2:$D$501,D328)&gt;1,"阶段序号重复",IF(E328&lt;=IFERROR(LOOKUP(2,1/('单次交易'!$A$2:$A$201=B328),'单次交易'!$E$2:$E$201),0),"激活价须高于买入价",IF(F328&lt;N328,"止损价不得低于初始止损",IF(F328&gt;E328,"止损价不得高于激活价",IF(AND(COUNTIFS($A$2:$A$501,"止损计划",$B$2:$B$501,B328,$D$2:$D$501,"&lt;"&amp;D328)&gt;0,OR(E328&lt;=AGGREGATE(14,6,$E$2:$E$501/(($A$2:$A$501="止损计划")*($B$2:$B$501=B328)*($D$2:$D$501&lt;D328)),1),F328&lt;AGGREGATE(14,6,$F$2:$F$501/(($A$2:$A$501="止损计划")*($B$2:$B$501=B328)*($D$2:$D$501&lt;D328)),1))),"阶段价格必须逐级提高","计划有效"))))))),IF(A328="每日跟踪",IF(OR(B328="",H328="",I328="",J328=""),"每日数据不完整",IF(COUNTIFS($A$2:$A$501,"每日跟踪",$B$2:$B$501,B328,$H$2:$H$501,H328)&gt;1,"同一交易日期重复",IF(AND(R328&lt;&gt;"",R328&lt;S328),"人工止损无效：不能下调","跟踪有效"))),"记录类型无效")))</f>
        <v/>
      </c>
    </row>
    <row r="329">
      <c r="A329" s="28" t="n"/>
      <c r="B329" s="28" t="n"/>
      <c r="C329" s="31">
        <f>IF(B329="","",IFERROR(LOOKUP(2,1/(单次交易!$A$2:$A$201=B329),单次交易!$B$2:$B$201),""))</f>
        <v/>
      </c>
      <c r="D329" s="27" t="n"/>
      <c r="E329" s="43" t="n"/>
      <c r="F329" s="43" t="n"/>
      <c r="G329" s="28" t="n"/>
      <c r="H329" s="49" t="n"/>
      <c r="I329" s="43" t="n"/>
      <c r="J329" s="27" t="n"/>
      <c r="K329" s="28" t="n"/>
      <c r="L329" s="28" t="n"/>
      <c r="M329" s="28" t="n"/>
      <c r="N329" s="44">
        <f>IF(B329="","",IFERROR(LOOKUP(2,1/(单次交易!$A$2:$A$201=B329),单次交易!$N$2:$N$201),""))</f>
        <v/>
      </c>
      <c r="O329" s="44">
        <f>IF(A329&lt;&gt;"每日跟踪","",IF(OR(B329="",H329="",I329=""),"",IFERROR(AGGREGATE(14,6,$I$2:$I$501/(($A$2:$A$501="每日跟踪")*($B$2:$B$501=B329)*($H$2:$H$501&lt;=H329)),1),"")))</f>
        <v/>
      </c>
      <c r="P329" s="26">
        <f>IF(A329&lt;&gt;"每日跟踪","",IF(O329="","",IFERROR(AGGREGATE(14,6,$D$2:$D$501/(($A$2:$A$501="止损计划")*($B$2:$B$501=B329)*($E$2:$E$501&lt;=O329)),1),0)))</f>
        <v/>
      </c>
      <c r="Q329" s="44">
        <f>IF(A329&lt;&gt;"每日跟踪","",IF(N329="","",MAX(N329,IFERROR(AGGREGATE(14,6,$F$2:$F$501/(($A$2:$A$501="止损计划")*($B$2:$B$501=B329)*($E$2:$E$501&lt;=O329)),1),0))))</f>
        <v/>
      </c>
      <c r="R329" s="43" t="n"/>
      <c r="S329" s="44">
        <f>IF(A329&lt;&gt;"每日跟踪","",IF(Q329="","",MAX(Q329,IFERROR(AGGREGATE(14,6,$R$2:$R$501/(($A$2:$A$501="每日跟踪")*($B$2:$B$501=B329)*($H$2:$H$501&lt;=H329)),1),0))))</f>
        <v/>
      </c>
      <c r="T329" s="44">
        <f>IF(A329&lt;&gt;"每日跟踪","",IF(O329="","",IF(COUNTIFS($A$2:$A$501,"止损计划",$B$2:$B$501,B329,$E$2:$E$501,"&gt;"&amp;O329)=0,"",AGGREGATE(15,6,$E$2:$E$501/(($A$2:$A$501="止损计划")*($B$2:$B$501=B329)*($E$2:$E$501&gt;O329)),1))))</f>
        <v/>
      </c>
      <c r="U329" s="44">
        <f>IF(OR(A329&lt;&gt;"每日跟踪",T329=""),"",IFERROR(AGGREGATE(14,6,$F$2:$F$501/(($A$2:$A$501="止损计划")*($B$2:$B$501=B329)*($E$2:$E$501=T329)),1),""))</f>
        <v/>
      </c>
      <c r="V329" s="30">
        <f>IF(OR(A329&lt;&gt;"每日跟踪",T329="",I329="",I329&lt;=0),"",T329/I329-1)</f>
        <v/>
      </c>
      <c r="W329" s="31">
        <f>IF(A329&lt;&gt;"每日跟踪","",IF(OR(I329="",S329=""),"",IF(I329&lt;=S329,"触发止损：应全部卖出","继续观察")))</f>
        <v/>
      </c>
      <c r="X329" s="28" t="n"/>
      <c r="Y329" s="43" t="n"/>
      <c r="Z329" s="26">
        <f>IF(X329&lt;&gt;"执行卖出","",IFERROR(LOOKUP(2,1/(单次交易!$A$2:$A$201=B329),单次交易!$AP$2:$AP$201),""))</f>
        <v/>
      </c>
      <c r="AA329" s="43" t="n"/>
      <c r="AB329" s="31">
        <f>IF(A329&lt;&gt;"每日跟踪","",IF(OR(B329="",H329="",I329="",J329="",K329="",L329="",M329=""),"待补充每日记录",IF(W329="触发止损：应全部卖出",IF(X329&lt;&gt;"执行卖出","违规：触发止损但未执行",IF(Y329="","待补充实际卖出价","卖出记录完整")),IF(X329="","待选择卖出动作",IF(X329="执行卖出",IF(Y329="","待补充实际卖出价","卖出记录完整"),"正常")))))</f>
        <v/>
      </c>
      <c r="AC329" s="31">
        <f>IF(A329="","",IF(A329="止损计划",IF(OR(B329="",D329="",E329="",F329="",G329=""),"计划不完整",IF(OR(D329&lt;1,D329&lt;&gt;INT(D329)),"阶段序号无效",IF(COUNTIFS($A$2:$A$501,"止损计划",$B$2:$B$501,B329,$D$2:$D$501,D329)&gt;1,"阶段序号重复",IF(E329&lt;=IFERROR(LOOKUP(2,1/('单次交易'!$A$2:$A$201=B329),'单次交易'!$E$2:$E$201),0),"激活价须高于买入价",IF(F329&lt;N329,"止损价不得低于初始止损",IF(F329&gt;E329,"止损价不得高于激活价",IF(AND(COUNTIFS($A$2:$A$501,"止损计划",$B$2:$B$501,B329,$D$2:$D$501,"&lt;"&amp;D329)&gt;0,OR(E329&lt;=AGGREGATE(14,6,$E$2:$E$501/(($A$2:$A$501="止损计划")*($B$2:$B$501=B329)*($D$2:$D$501&lt;D329)),1),F329&lt;AGGREGATE(14,6,$F$2:$F$501/(($A$2:$A$501="止损计划")*($B$2:$B$501=B329)*($D$2:$D$501&lt;D329)),1))),"阶段价格必须逐级提高","计划有效"))))))),IF(A329="每日跟踪",IF(OR(B329="",H329="",I329="",J329=""),"每日数据不完整",IF(COUNTIFS($A$2:$A$501,"每日跟踪",$B$2:$B$501,B329,$H$2:$H$501,H329)&gt;1,"同一交易日期重复",IF(AND(R329&lt;&gt;"",R329&lt;S329),"人工止损无效：不能下调","跟踪有效"))),"记录类型无效")))</f>
        <v/>
      </c>
    </row>
    <row r="330">
      <c r="A330" s="28" t="n"/>
      <c r="B330" s="28" t="n"/>
      <c r="C330" s="31">
        <f>IF(B330="","",IFERROR(LOOKUP(2,1/(单次交易!$A$2:$A$201=B330),单次交易!$B$2:$B$201),""))</f>
        <v/>
      </c>
      <c r="D330" s="27" t="n"/>
      <c r="E330" s="43" t="n"/>
      <c r="F330" s="43" t="n"/>
      <c r="G330" s="28" t="n"/>
      <c r="H330" s="49" t="n"/>
      <c r="I330" s="43" t="n"/>
      <c r="J330" s="27" t="n"/>
      <c r="K330" s="28" t="n"/>
      <c r="L330" s="28" t="n"/>
      <c r="M330" s="28" t="n"/>
      <c r="N330" s="44">
        <f>IF(B330="","",IFERROR(LOOKUP(2,1/(单次交易!$A$2:$A$201=B330),单次交易!$N$2:$N$201),""))</f>
        <v/>
      </c>
      <c r="O330" s="44">
        <f>IF(A330&lt;&gt;"每日跟踪","",IF(OR(B330="",H330="",I330=""),"",IFERROR(AGGREGATE(14,6,$I$2:$I$501/(($A$2:$A$501="每日跟踪")*($B$2:$B$501=B330)*($H$2:$H$501&lt;=H330)),1),"")))</f>
        <v/>
      </c>
      <c r="P330" s="26">
        <f>IF(A330&lt;&gt;"每日跟踪","",IF(O330="","",IFERROR(AGGREGATE(14,6,$D$2:$D$501/(($A$2:$A$501="止损计划")*($B$2:$B$501=B330)*($E$2:$E$501&lt;=O330)),1),0)))</f>
        <v/>
      </c>
      <c r="Q330" s="44">
        <f>IF(A330&lt;&gt;"每日跟踪","",IF(N330="","",MAX(N330,IFERROR(AGGREGATE(14,6,$F$2:$F$501/(($A$2:$A$501="止损计划")*($B$2:$B$501=B330)*($E$2:$E$501&lt;=O330)),1),0))))</f>
        <v/>
      </c>
      <c r="R330" s="43" t="n"/>
      <c r="S330" s="44">
        <f>IF(A330&lt;&gt;"每日跟踪","",IF(Q330="","",MAX(Q330,IFERROR(AGGREGATE(14,6,$R$2:$R$501/(($A$2:$A$501="每日跟踪")*($B$2:$B$501=B330)*($H$2:$H$501&lt;=H330)),1),0))))</f>
        <v/>
      </c>
      <c r="T330" s="44">
        <f>IF(A330&lt;&gt;"每日跟踪","",IF(O330="","",IF(COUNTIFS($A$2:$A$501,"止损计划",$B$2:$B$501,B330,$E$2:$E$501,"&gt;"&amp;O330)=0,"",AGGREGATE(15,6,$E$2:$E$501/(($A$2:$A$501="止损计划")*($B$2:$B$501=B330)*($E$2:$E$501&gt;O330)),1))))</f>
        <v/>
      </c>
      <c r="U330" s="44">
        <f>IF(OR(A330&lt;&gt;"每日跟踪",T330=""),"",IFERROR(AGGREGATE(14,6,$F$2:$F$501/(($A$2:$A$501="止损计划")*($B$2:$B$501=B330)*($E$2:$E$501=T330)),1),""))</f>
        <v/>
      </c>
      <c r="V330" s="30">
        <f>IF(OR(A330&lt;&gt;"每日跟踪",T330="",I330="",I330&lt;=0),"",T330/I330-1)</f>
        <v/>
      </c>
      <c r="W330" s="31">
        <f>IF(A330&lt;&gt;"每日跟踪","",IF(OR(I330="",S330=""),"",IF(I330&lt;=S330,"触发止损：应全部卖出","继续观察")))</f>
        <v/>
      </c>
      <c r="X330" s="28" t="n"/>
      <c r="Y330" s="43" t="n"/>
      <c r="Z330" s="26">
        <f>IF(X330&lt;&gt;"执行卖出","",IFERROR(LOOKUP(2,1/(单次交易!$A$2:$A$201=B330),单次交易!$AP$2:$AP$201),""))</f>
        <v/>
      </c>
      <c r="AA330" s="43" t="n"/>
      <c r="AB330" s="31">
        <f>IF(A330&lt;&gt;"每日跟踪","",IF(OR(B330="",H330="",I330="",J330="",K330="",L330="",M330=""),"待补充每日记录",IF(W330="触发止损：应全部卖出",IF(X330&lt;&gt;"执行卖出","违规：触发止损但未执行",IF(Y330="","待补充实际卖出价","卖出记录完整")),IF(X330="","待选择卖出动作",IF(X330="执行卖出",IF(Y330="","待补充实际卖出价","卖出记录完整"),"正常")))))</f>
        <v/>
      </c>
      <c r="AC330" s="31">
        <f>IF(A330="","",IF(A330="止损计划",IF(OR(B330="",D330="",E330="",F330="",G330=""),"计划不完整",IF(OR(D330&lt;1,D330&lt;&gt;INT(D330)),"阶段序号无效",IF(COUNTIFS($A$2:$A$501,"止损计划",$B$2:$B$501,B330,$D$2:$D$501,D330)&gt;1,"阶段序号重复",IF(E330&lt;=IFERROR(LOOKUP(2,1/('单次交易'!$A$2:$A$201=B330),'单次交易'!$E$2:$E$201),0),"激活价须高于买入价",IF(F330&lt;N330,"止损价不得低于初始止损",IF(F330&gt;E330,"止损价不得高于激活价",IF(AND(COUNTIFS($A$2:$A$501,"止损计划",$B$2:$B$501,B330,$D$2:$D$501,"&lt;"&amp;D330)&gt;0,OR(E330&lt;=AGGREGATE(14,6,$E$2:$E$501/(($A$2:$A$501="止损计划")*($B$2:$B$501=B330)*($D$2:$D$501&lt;D330)),1),F330&lt;AGGREGATE(14,6,$F$2:$F$501/(($A$2:$A$501="止损计划")*($B$2:$B$501=B330)*($D$2:$D$501&lt;D330)),1))),"阶段价格必须逐级提高","计划有效"))))))),IF(A330="每日跟踪",IF(OR(B330="",H330="",I330="",J330=""),"每日数据不完整",IF(COUNTIFS($A$2:$A$501,"每日跟踪",$B$2:$B$501,B330,$H$2:$H$501,H330)&gt;1,"同一交易日期重复",IF(AND(R330&lt;&gt;"",R330&lt;S330),"人工止损无效：不能下调","跟踪有效"))),"记录类型无效")))</f>
        <v/>
      </c>
    </row>
    <row r="331">
      <c r="A331" s="28" t="n"/>
      <c r="B331" s="28" t="n"/>
      <c r="C331" s="31">
        <f>IF(B331="","",IFERROR(LOOKUP(2,1/(单次交易!$A$2:$A$201=B331),单次交易!$B$2:$B$201),""))</f>
        <v/>
      </c>
      <c r="D331" s="27" t="n"/>
      <c r="E331" s="43" t="n"/>
      <c r="F331" s="43" t="n"/>
      <c r="G331" s="28" t="n"/>
      <c r="H331" s="49" t="n"/>
      <c r="I331" s="43" t="n"/>
      <c r="J331" s="27" t="n"/>
      <c r="K331" s="28" t="n"/>
      <c r="L331" s="28" t="n"/>
      <c r="M331" s="28" t="n"/>
      <c r="N331" s="44">
        <f>IF(B331="","",IFERROR(LOOKUP(2,1/(单次交易!$A$2:$A$201=B331),单次交易!$N$2:$N$201),""))</f>
        <v/>
      </c>
      <c r="O331" s="44">
        <f>IF(A331&lt;&gt;"每日跟踪","",IF(OR(B331="",H331="",I331=""),"",IFERROR(AGGREGATE(14,6,$I$2:$I$501/(($A$2:$A$501="每日跟踪")*($B$2:$B$501=B331)*($H$2:$H$501&lt;=H331)),1),"")))</f>
        <v/>
      </c>
      <c r="P331" s="26">
        <f>IF(A331&lt;&gt;"每日跟踪","",IF(O331="","",IFERROR(AGGREGATE(14,6,$D$2:$D$501/(($A$2:$A$501="止损计划")*($B$2:$B$501=B331)*($E$2:$E$501&lt;=O331)),1),0)))</f>
        <v/>
      </c>
      <c r="Q331" s="44">
        <f>IF(A331&lt;&gt;"每日跟踪","",IF(N331="","",MAX(N331,IFERROR(AGGREGATE(14,6,$F$2:$F$501/(($A$2:$A$501="止损计划")*($B$2:$B$501=B331)*($E$2:$E$501&lt;=O331)),1),0))))</f>
        <v/>
      </c>
      <c r="R331" s="43" t="n"/>
      <c r="S331" s="44">
        <f>IF(A331&lt;&gt;"每日跟踪","",IF(Q331="","",MAX(Q331,IFERROR(AGGREGATE(14,6,$R$2:$R$501/(($A$2:$A$501="每日跟踪")*($B$2:$B$501=B331)*($H$2:$H$501&lt;=H331)),1),0))))</f>
        <v/>
      </c>
      <c r="T331" s="44">
        <f>IF(A331&lt;&gt;"每日跟踪","",IF(O331="","",IF(COUNTIFS($A$2:$A$501,"止损计划",$B$2:$B$501,B331,$E$2:$E$501,"&gt;"&amp;O331)=0,"",AGGREGATE(15,6,$E$2:$E$501/(($A$2:$A$501="止损计划")*($B$2:$B$501=B331)*($E$2:$E$501&gt;O331)),1))))</f>
        <v/>
      </c>
      <c r="U331" s="44">
        <f>IF(OR(A331&lt;&gt;"每日跟踪",T331=""),"",IFERROR(AGGREGATE(14,6,$F$2:$F$501/(($A$2:$A$501="止损计划")*($B$2:$B$501=B331)*($E$2:$E$501=T331)),1),""))</f>
        <v/>
      </c>
      <c r="V331" s="30">
        <f>IF(OR(A331&lt;&gt;"每日跟踪",T331="",I331="",I331&lt;=0),"",T331/I331-1)</f>
        <v/>
      </c>
      <c r="W331" s="31">
        <f>IF(A331&lt;&gt;"每日跟踪","",IF(OR(I331="",S331=""),"",IF(I331&lt;=S331,"触发止损：应全部卖出","继续观察")))</f>
        <v/>
      </c>
      <c r="X331" s="28" t="n"/>
      <c r="Y331" s="43" t="n"/>
      <c r="Z331" s="26">
        <f>IF(X331&lt;&gt;"执行卖出","",IFERROR(LOOKUP(2,1/(单次交易!$A$2:$A$201=B331),单次交易!$AP$2:$AP$201),""))</f>
        <v/>
      </c>
      <c r="AA331" s="43" t="n"/>
      <c r="AB331" s="31">
        <f>IF(A331&lt;&gt;"每日跟踪","",IF(OR(B331="",H331="",I331="",J331="",K331="",L331="",M331=""),"待补充每日记录",IF(W331="触发止损：应全部卖出",IF(X331&lt;&gt;"执行卖出","违规：触发止损但未执行",IF(Y331="","待补充实际卖出价","卖出记录完整")),IF(X331="","待选择卖出动作",IF(X331="执行卖出",IF(Y331="","待补充实际卖出价","卖出记录完整"),"正常")))))</f>
        <v/>
      </c>
      <c r="AC331" s="31">
        <f>IF(A331="","",IF(A331="止损计划",IF(OR(B331="",D331="",E331="",F331="",G331=""),"计划不完整",IF(OR(D331&lt;1,D331&lt;&gt;INT(D331)),"阶段序号无效",IF(COUNTIFS($A$2:$A$501,"止损计划",$B$2:$B$501,B331,$D$2:$D$501,D331)&gt;1,"阶段序号重复",IF(E331&lt;=IFERROR(LOOKUP(2,1/('单次交易'!$A$2:$A$201=B331),'单次交易'!$E$2:$E$201),0),"激活价须高于买入价",IF(F331&lt;N331,"止损价不得低于初始止损",IF(F331&gt;E331,"止损价不得高于激活价",IF(AND(COUNTIFS($A$2:$A$501,"止损计划",$B$2:$B$501,B331,$D$2:$D$501,"&lt;"&amp;D331)&gt;0,OR(E331&lt;=AGGREGATE(14,6,$E$2:$E$501/(($A$2:$A$501="止损计划")*($B$2:$B$501=B331)*($D$2:$D$501&lt;D331)),1),F331&lt;AGGREGATE(14,6,$F$2:$F$501/(($A$2:$A$501="止损计划")*($B$2:$B$501=B331)*($D$2:$D$501&lt;D331)),1))),"阶段价格必须逐级提高","计划有效"))))))),IF(A331="每日跟踪",IF(OR(B331="",H331="",I331="",J331=""),"每日数据不完整",IF(COUNTIFS($A$2:$A$501,"每日跟踪",$B$2:$B$501,B331,$H$2:$H$501,H331)&gt;1,"同一交易日期重复",IF(AND(R331&lt;&gt;"",R331&lt;S331),"人工止损无效：不能下调","跟踪有效"))),"记录类型无效")))</f>
        <v/>
      </c>
    </row>
    <row r="332">
      <c r="A332" s="28" t="n"/>
      <c r="B332" s="28" t="n"/>
      <c r="C332" s="31">
        <f>IF(B332="","",IFERROR(LOOKUP(2,1/(单次交易!$A$2:$A$201=B332),单次交易!$B$2:$B$201),""))</f>
        <v/>
      </c>
      <c r="D332" s="27" t="n"/>
      <c r="E332" s="43" t="n"/>
      <c r="F332" s="43" t="n"/>
      <c r="G332" s="28" t="n"/>
      <c r="H332" s="49" t="n"/>
      <c r="I332" s="43" t="n"/>
      <c r="J332" s="27" t="n"/>
      <c r="K332" s="28" t="n"/>
      <c r="L332" s="28" t="n"/>
      <c r="M332" s="28" t="n"/>
      <c r="N332" s="44">
        <f>IF(B332="","",IFERROR(LOOKUP(2,1/(单次交易!$A$2:$A$201=B332),单次交易!$N$2:$N$201),""))</f>
        <v/>
      </c>
      <c r="O332" s="44">
        <f>IF(A332&lt;&gt;"每日跟踪","",IF(OR(B332="",H332="",I332=""),"",IFERROR(AGGREGATE(14,6,$I$2:$I$501/(($A$2:$A$501="每日跟踪")*($B$2:$B$501=B332)*($H$2:$H$501&lt;=H332)),1),"")))</f>
        <v/>
      </c>
      <c r="P332" s="26">
        <f>IF(A332&lt;&gt;"每日跟踪","",IF(O332="","",IFERROR(AGGREGATE(14,6,$D$2:$D$501/(($A$2:$A$501="止损计划")*($B$2:$B$501=B332)*($E$2:$E$501&lt;=O332)),1),0)))</f>
        <v/>
      </c>
      <c r="Q332" s="44">
        <f>IF(A332&lt;&gt;"每日跟踪","",IF(N332="","",MAX(N332,IFERROR(AGGREGATE(14,6,$F$2:$F$501/(($A$2:$A$501="止损计划")*($B$2:$B$501=B332)*($E$2:$E$501&lt;=O332)),1),0))))</f>
        <v/>
      </c>
      <c r="R332" s="43" t="n"/>
      <c r="S332" s="44">
        <f>IF(A332&lt;&gt;"每日跟踪","",IF(Q332="","",MAX(Q332,IFERROR(AGGREGATE(14,6,$R$2:$R$501/(($A$2:$A$501="每日跟踪")*($B$2:$B$501=B332)*($H$2:$H$501&lt;=H332)),1),0))))</f>
        <v/>
      </c>
      <c r="T332" s="44">
        <f>IF(A332&lt;&gt;"每日跟踪","",IF(O332="","",IF(COUNTIFS($A$2:$A$501,"止损计划",$B$2:$B$501,B332,$E$2:$E$501,"&gt;"&amp;O332)=0,"",AGGREGATE(15,6,$E$2:$E$501/(($A$2:$A$501="止损计划")*($B$2:$B$501=B332)*($E$2:$E$501&gt;O332)),1))))</f>
        <v/>
      </c>
      <c r="U332" s="44">
        <f>IF(OR(A332&lt;&gt;"每日跟踪",T332=""),"",IFERROR(AGGREGATE(14,6,$F$2:$F$501/(($A$2:$A$501="止损计划")*($B$2:$B$501=B332)*($E$2:$E$501=T332)),1),""))</f>
        <v/>
      </c>
      <c r="V332" s="30">
        <f>IF(OR(A332&lt;&gt;"每日跟踪",T332="",I332="",I332&lt;=0),"",T332/I332-1)</f>
        <v/>
      </c>
      <c r="W332" s="31">
        <f>IF(A332&lt;&gt;"每日跟踪","",IF(OR(I332="",S332=""),"",IF(I332&lt;=S332,"触发止损：应全部卖出","继续观察")))</f>
        <v/>
      </c>
      <c r="X332" s="28" t="n"/>
      <c r="Y332" s="43" t="n"/>
      <c r="Z332" s="26">
        <f>IF(X332&lt;&gt;"执行卖出","",IFERROR(LOOKUP(2,1/(单次交易!$A$2:$A$201=B332),单次交易!$AP$2:$AP$201),""))</f>
        <v/>
      </c>
      <c r="AA332" s="43" t="n"/>
      <c r="AB332" s="31">
        <f>IF(A332&lt;&gt;"每日跟踪","",IF(OR(B332="",H332="",I332="",J332="",K332="",L332="",M332=""),"待补充每日记录",IF(W332="触发止损：应全部卖出",IF(X332&lt;&gt;"执行卖出","违规：触发止损但未执行",IF(Y332="","待补充实际卖出价","卖出记录完整")),IF(X332="","待选择卖出动作",IF(X332="执行卖出",IF(Y332="","待补充实际卖出价","卖出记录完整"),"正常")))))</f>
        <v/>
      </c>
      <c r="AC332" s="31">
        <f>IF(A332="","",IF(A332="止损计划",IF(OR(B332="",D332="",E332="",F332="",G332=""),"计划不完整",IF(OR(D332&lt;1,D332&lt;&gt;INT(D332)),"阶段序号无效",IF(COUNTIFS($A$2:$A$501,"止损计划",$B$2:$B$501,B332,$D$2:$D$501,D332)&gt;1,"阶段序号重复",IF(E332&lt;=IFERROR(LOOKUP(2,1/('单次交易'!$A$2:$A$201=B332),'单次交易'!$E$2:$E$201),0),"激活价须高于买入价",IF(F332&lt;N332,"止损价不得低于初始止损",IF(F332&gt;E332,"止损价不得高于激活价",IF(AND(COUNTIFS($A$2:$A$501,"止损计划",$B$2:$B$501,B332,$D$2:$D$501,"&lt;"&amp;D332)&gt;0,OR(E332&lt;=AGGREGATE(14,6,$E$2:$E$501/(($A$2:$A$501="止损计划")*($B$2:$B$501=B332)*($D$2:$D$501&lt;D332)),1),F332&lt;AGGREGATE(14,6,$F$2:$F$501/(($A$2:$A$501="止损计划")*($B$2:$B$501=B332)*($D$2:$D$501&lt;D332)),1))),"阶段价格必须逐级提高","计划有效"))))))),IF(A332="每日跟踪",IF(OR(B332="",H332="",I332="",J332=""),"每日数据不完整",IF(COUNTIFS($A$2:$A$501,"每日跟踪",$B$2:$B$501,B332,$H$2:$H$501,H332)&gt;1,"同一交易日期重复",IF(AND(R332&lt;&gt;"",R332&lt;S332),"人工止损无效：不能下调","跟踪有效"))),"记录类型无效")))</f>
        <v/>
      </c>
    </row>
    <row r="333">
      <c r="A333" s="28" t="n"/>
      <c r="B333" s="28" t="n"/>
      <c r="C333" s="31">
        <f>IF(B333="","",IFERROR(LOOKUP(2,1/(单次交易!$A$2:$A$201=B333),单次交易!$B$2:$B$201),""))</f>
        <v/>
      </c>
      <c r="D333" s="27" t="n"/>
      <c r="E333" s="43" t="n"/>
      <c r="F333" s="43" t="n"/>
      <c r="G333" s="28" t="n"/>
      <c r="H333" s="49" t="n"/>
      <c r="I333" s="43" t="n"/>
      <c r="J333" s="27" t="n"/>
      <c r="K333" s="28" t="n"/>
      <c r="L333" s="28" t="n"/>
      <c r="M333" s="28" t="n"/>
      <c r="N333" s="44">
        <f>IF(B333="","",IFERROR(LOOKUP(2,1/(单次交易!$A$2:$A$201=B333),单次交易!$N$2:$N$201),""))</f>
        <v/>
      </c>
      <c r="O333" s="44">
        <f>IF(A333&lt;&gt;"每日跟踪","",IF(OR(B333="",H333="",I333=""),"",IFERROR(AGGREGATE(14,6,$I$2:$I$501/(($A$2:$A$501="每日跟踪")*($B$2:$B$501=B333)*($H$2:$H$501&lt;=H333)),1),"")))</f>
        <v/>
      </c>
      <c r="P333" s="26">
        <f>IF(A333&lt;&gt;"每日跟踪","",IF(O333="","",IFERROR(AGGREGATE(14,6,$D$2:$D$501/(($A$2:$A$501="止损计划")*($B$2:$B$501=B333)*($E$2:$E$501&lt;=O333)),1),0)))</f>
        <v/>
      </c>
      <c r="Q333" s="44">
        <f>IF(A333&lt;&gt;"每日跟踪","",IF(N333="","",MAX(N333,IFERROR(AGGREGATE(14,6,$F$2:$F$501/(($A$2:$A$501="止损计划")*($B$2:$B$501=B333)*($E$2:$E$501&lt;=O333)),1),0))))</f>
        <v/>
      </c>
      <c r="R333" s="43" t="n"/>
      <c r="S333" s="44">
        <f>IF(A333&lt;&gt;"每日跟踪","",IF(Q333="","",MAX(Q333,IFERROR(AGGREGATE(14,6,$R$2:$R$501/(($A$2:$A$501="每日跟踪")*($B$2:$B$501=B333)*($H$2:$H$501&lt;=H333)),1),0))))</f>
        <v/>
      </c>
      <c r="T333" s="44">
        <f>IF(A333&lt;&gt;"每日跟踪","",IF(O333="","",IF(COUNTIFS($A$2:$A$501,"止损计划",$B$2:$B$501,B333,$E$2:$E$501,"&gt;"&amp;O333)=0,"",AGGREGATE(15,6,$E$2:$E$501/(($A$2:$A$501="止损计划")*($B$2:$B$501=B333)*($E$2:$E$501&gt;O333)),1))))</f>
        <v/>
      </c>
      <c r="U333" s="44">
        <f>IF(OR(A333&lt;&gt;"每日跟踪",T333=""),"",IFERROR(AGGREGATE(14,6,$F$2:$F$501/(($A$2:$A$501="止损计划")*($B$2:$B$501=B333)*($E$2:$E$501=T333)),1),""))</f>
        <v/>
      </c>
      <c r="V333" s="30">
        <f>IF(OR(A333&lt;&gt;"每日跟踪",T333="",I333="",I333&lt;=0),"",T333/I333-1)</f>
        <v/>
      </c>
      <c r="W333" s="31">
        <f>IF(A333&lt;&gt;"每日跟踪","",IF(OR(I333="",S333=""),"",IF(I333&lt;=S333,"触发止损：应全部卖出","继续观察")))</f>
        <v/>
      </c>
      <c r="X333" s="28" t="n"/>
      <c r="Y333" s="43" t="n"/>
      <c r="Z333" s="26">
        <f>IF(X333&lt;&gt;"执行卖出","",IFERROR(LOOKUP(2,1/(单次交易!$A$2:$A$201=B333),单次交易!$AP$2:$AP$201),""))</f>
        <v/>
      </c>
      <c r="AA333" s="43" t="n"/>
      <c r="AB333" s="31">
        <f>IF(A333&lt;&gt;"每日跟踪","",IF(OR(B333="",H333="",I333="",J333="",K333="",L333="",M333=""),"待补充每日记录",IF(W333="触发止损：应全部卖出",IF(X333&lt;&gt;"执行卖出","违规：触发止损但未执行",IF(Y333="","待补充实际卖出价","卖出记录完整")),IF(X333="","待选择卖出动作",IF(X333="执行卖出",IF(Y333="","待补充实际卖出价","卖出记录完整"),"正常")))))</f>
        <v/>
      </c>
      <c r="AC333" s="31">
        <f>IF(A333="","",IF(A333="止损计划",IF(OR(B333="",D333="",E333="",F333="",G333=""),"计划不完整",IF(OR(D333&lt;1,D333&lt;&gt;INT(D333)),"阶段序号无效",IF(COUNTIFS($A$2:$A$501,"止损计划",$B$2:$B$501,B333,$D$2:$D$501,D333)&gt;1,"阶段序号重复",IF(E333&lt;=IFERROR(LOOKUP(2,1/('单次交易'!$A$2:$A$201=B333),'单次交易'!$E$2:$E$201),0),"激活价须高于买入价",IF(F333&lt;N333,"止损价不得低于初始止损",IF(F333&gt;E333,"止损价不得高于激活价",IF(AND(COUNTIFS($A$2:$A$501,"止损计划",$B$2:$B$501,B333,$D$2:$D$501,"&lt;"&amp;D333)&gt;0,OR(E333&lt;=AGGREGATE(14,6,$E$2:$E$501/(($A$2:$A$501="止损计划")*($B$2:$B$501=B333)*($D$2:$D$501&lt;D333)),1),F333&lt;AGGREGATE(14,6,$F$2:$F$501/(($A$2:$A$501="止损计划")*($B$2:$B$501=B333)*($D$2:$D$501&lt;D333)),1))),"阶段价格必须逐级提高","计划有效"))))))),IF(A333="每日跟踪",IF(OR(B333="",H333="",I333="",J333=""),"每日数据不完整",IF(COUNTIFS($A$2:$A$501,"每日跟踪",$B$2:$B$501,B333,$H$2:$H$501,H333)&gt;1,"同一交易日期重复",IF(AND(R333&lt;&gt;"",R333&lt;S333),"人工止损无效：不能下调","跟踪有效"))),"记录类型无效")))</f>
        <v/>
      </c>
    </row>
    <row r="334">
      <c r="A334" s="28" t="n"/>
      <c r="B334" s="28" t="n"/>
      <c r="C334" s="31">
        <f>IF(B334="","",IFERROR(LOOKUP(2,1/(单次交易!$A$2:$A$201=B334),单次交易!$B$2:$B$201),""))</f>
        <v/>
      </c>
      <c r="D334" s="27" t="n"/>
      <c r="E334" s="43" t="n"/>
      <c r="F334" s="43" t="n"/>
      <c r="G334" s="28" t="n"/>
      <c r="H334" s="49" t="n"/>
      <c r="I334" s="43" t="n"/>
      <c r="J334" s="27" t="n"/>
      <c r="K334" s="28" t="n"/>
      <c r="L334" s="28" t="n"/>
      <c r="M334" s="28" t="n"/>
      <c r="N334" s="44">
        <f>IF(B334="","",IFERROR(LOOKUP(2,1/(单次交易!$A$2:$A$201=B334),单次交易!$N$2:$N$201),""))</f>
        <v/>
      </c>
      <c r="O334" s="44">
        <f>IF(A334&lt;&gt;"每日跟踪","",IF(OR(B334="",H334="",I334=""),"",IFERROR(AGGREGATE(14,6,$I$2:$I$501/(($A$2:$A$501="每日跟踪")*($B$2:$B$501=B334)*($H$2:$H$501&lt;=H334)),1),"")))</f>
        <v/>
      </c>
      <c r="P334" s="26">
        <f>IF(A334&lt;&gt;"每日跟踪","",IF(O334="","",IFERROR(AGGREGATE(14,6,$D$2:$D$501/(($A$2:$A$501="止损计划")*($B$2:$B$501=B334)*($E$2:$E$501&lt;=O334)),1),0)))</f>
        <v/>
      </c>
      <c r="Q334" s="44">
        <f>IF(A334&lt;&gt;"每日跟踪","",IF(N334="","",MAX(N334,IFERROR(AGGREGATE(14,6,$F$2:$F$501/(($A$2:$A$501="止损计划")*($B$2:$B$501=B334)*($E$2:$E$501&lt;=O334)),1),0))))</f>
        <v/>
      </c>
      <c r="R334" s="43" t="n"/>
      <c r="S334" s="44">
        <f>IF(A334&lt;&gt;"每日跟踪","",IF(Q334="","",MAX(Q334,IFERROR(AGGREGATE(14,6,$R$2:$R$501/(($A$2:$A$501="每日跟踪")*($B$2:$B$501=B334)*($H$2:$H$501&lt;=H334)),1),0))))</f>
        <v/>
      </c>
      <c r="T334" s="44">
        <f>IF(A334&lt;&gt;"每日跟踪","",IF(O334="","",IF(COUNTIFS($A$2:$A$501,"止损计划",$B$2:$B$501,B334,$E$2:$E$501,"&gt;"&amp;O334)=0,"",AGGREGATE(15,6,$E$2:$E$501/(($A$2:$A$501="止损计划")*($B$2:$B$501=B334)*($E$2:$E$501&gt;O334)),1))))</f>
        <v/>
      </c>
      <c r="U334" s="44">
        <f>IF(OR(A334&lt;&gt;"每日跟踪",T334=""),"",IFERROR(AGGREGATE(14,6,$F$2:$F$501/(($A$2:$A$501="止损计划")*($B$2:$B$501=B334)*($E$2:$E$501=T334)),1),""))</f>
        <v/>
      </c>
      <c r="V334" s="30">
        <f>IF(OR(A334&lt;&gt;"每日跟踪",T334="",I334="",I334&lt;=0),"",T334/I334-1)</f>
        <v/>
      </c>
      <c r="W334" s="31">
        <f>IF(A334&lt;&gt;"每日跟踪","",IF(OR(I334="",S334=""),"",IF(I334&lt;=S334,"触发止损：应全部卖出","继续观察")))</f>
        <v/>
      </c>
      <c r="X334" s="28" t="n"/>
      <c r="Y334" s="43" t="n"/>
      <c r="Z334" s="26">
        <f>IF(X334&lt;&gt;"执行卖出","",IFERROR(LOOKUP(2,1/(单次交易!$A$2:$A$201=B334),单次交易!$AP$2:$AP$201),""))</f>
        <v/>
      </c>
      <c r="AA334" s="43" t="n"/>
      <c r="AB334" s="31">
        <f>IF(A334&lt;&gt;"每日跟踪","",IF(OR(B334="",H334="",I334="",J334="",K334="",L334="",M334=""),"待补充每日记录",IF(W334="触发止损：应全部卖出",IF(X334&lt;&gt;"执行卖出","违规：触发止损但未执行",IF(Y334="","待补充实际卖出价","卖出记录完整")),IF(X334="","待选择卖出动作",IF(X334="执行卖出",IF(Y334="","待补充实际卖出价","卖出记录完整"),"正常")))))</f>
        <v/>
      </c>
      <c r="AC334" s="31">
        <f>IF(A334="","",IF(A334="止损计划",IF(OR(B334="",D334="",E334="",F334="",G334=""),"计划不完整",IF(OR(D334&lt;1,D334&lt;&gt;INT(D334)),"阶段序号无效",IF(COUNTIFS($A$2:$A$501,"止损计划",$B$2:$B$501,B334,$D$2:$D$501,D334)&gt;1,"阶段序号重复",IF(E334&lt;=IFERROR(LOOKUP(2,1/('单次交易'!$A$2:$A$201=B334),'单次交易'!$E$2:$E$201),0),"激活价须高于买入价",IF(F334&lt;N334,"止损价不得低于初始止损",IF(F334&gt;E334,"止损价不得高于激活价",IF(AND(COUNTIFS($A$2:$A$501,"止损计划",$B$2:$B$501,B334,$D$2:$D$501,"&lt;"&amp;D334)&gt;0,OR(E334&lt;=AGGREGATE(14,6,$E$2:$E$501/(($A$2:$A$501="止损计划")*($B$2:$B$501=B334)*($D$2:$D$501&lt;D334)),1),F334&lt;AGGREGATE(14,6,$F$2:$F$501/(($A$2:$A$501="止损计划")*($B$2:$B$501=B334)*($D$2:$D$501&lt;D334)),1))),"阶段价格必须逐级提高","计划有效"))))))),IF(A334="每日跟踪",IF(OR(B334="",H334="",I334="",J334=""),"每日数据不完整",IF(COUNTIFS($A$2:$A$501,"每日跟踪",$B$2:$B$501,B334,$H$2:$H$501,H334)&gt;1,"同一交易日期重复",IF(AND(R334&lt;&gt;"",R334&lt;S334),"人工止损无效：不能下调","跟踪有效"))),"记录类型无效")))</f>
        <v/>
      </c>
    </row>
    <row r="335">
      <c r="A335" s="28" t="n"/>
      <c r="B335" s="28" t="n"/>
      <c r="C335" s="31">
        <f>IF(B335="","",IFERROR(LOOKUP(2,1/(单次交易!$A$2:$A$201=B335),单次交易!$B$2:$B$201),""))</f>
        <v/>
      </c>
      <c r="D335" s="27" t="n"/>
      <c r="E335" s="43" t="n"/>
      <c r="F335" s="43" t="n"/>
      <c r="G335" s="28" t="n"/>
      <c r="H335" s="49" t="n"/>
      <c r="I335" s="43" t="n"/>
      <c r="J335" s="27" t="n"/>
      <c r="K335" s="28" t="n"/>
      <c r="L335" s="28" t="n"/>
      <c r="M335" s="28" t="n"/>
      <c r="N335" s="44">
        <f>IF(B335="","",IFERROR(LOOKUP(2,1/(单次交易!$A$2:$A$201=B335),单次交易!$N$2:$N$201),""))</f>
        <v/>
      </c>
      <c r="O335" s="44">
        <f>IF(A335&lt;&gt;"每日跟踪","",IF(OR(B335="",H335="",I335=""),"",IFERROR(AGGREGATE(14,6,$I$2:$I$501/(($A$2:$A$501="每日跟踪")*($B$2:$B$501=B335)*($H$2:$H$501&lt;=H335)),1),"")))</f>
        <v/>
      </c>
      <c r="P335" s="26">
        <f>IF(A335&lt;&gt;"每日跟踪","",IF(O335="","",IFERROR(AGGREGATE(14,6,$D$2:$D$501/(($A$2:$A$501="止损计划")*($B$2:$B$501=B335)*($E$2:$E$501&lt;=O335)),1),0)))</f>
        <v/>
      </c>
      <c r="Q335" s="44">
        <f>IF(A335&lt;&gt;"每日跟踪","",IF(N335="","",MAX(N335,IFERROR(AGGREGATE(14,6,$F$2:$F$501/(($A$2:$A$501="止损计划")*($B$2:$B$501=B335)*($E$2:$E$501&lt;=O335)),1),0))))</f>
        <v/>
      </c>
      <c r="R335" s="43" t="n"/>
      <c r="S335" s="44">
        <f>IF(A335&lt;&gt;"每日跟踪","",IF(Q335="","",MAX(Q335,IFERROR(AGGREGATE(14,6,$R$2:$R$501/(($A$2:$A$501="每日跟踪")*($B$2:$B$501=B335)*($H$2:$H$501&lt;=H335)),1),0))))</f>
        <v/>
      </c>
      <c r="T335" s="44">
        <f>IF(A335&lt;&gt;"每日跟踪","",IF(O335="","",IF(COUNTIFS($A$2:$A$501,"止损计划",$B$2:$B$501,B335,$E$2:$E$501,"&gt;"&amp;O335)=0,"",AGGREGATE(15,6,$E$2:$E$501/(($A$2:$A$501="止损计划")*($B$2:$B$501=B335)*($E$2:$E$501&gt;O335)),1))))</f>
        <v/>
      </c>
      <c r="U335" s="44">
        <f>IF(OR(A335&lt;&gt;"每日跟踪",T335=""),"",IFERROR(AGGREGATE(14,6,$F$2:$F$501/(($A$2:$A$501="止损计划")*($B$2:$B$501=B335)*($E$2:$E$501=T335)),1),""))</f>
        <v/>
      </c>
      <c r="V335" s="30">
        <f>IF(OR(A335&lt;&gt;"每日跟踪",T335="",I335="",I335&lt;=0),"",T335/I335-1)</f>
        <v/>
      </c>
      <c r="W335" s="31">
        <f>IF(A335&lt;&gt;"每日跟踪","",IF(OR(I335="",S335=""),"",IF(I335&lt;=S335,"触发止损：应全部卖出","继续观察")))</f>
        <v/>
      </c>
      <c r="X335" s="28" t="n"/>
      <c r="Y335" s="43" t="n"/>
      <c r="Z335" s="26">
        <f>IF(X335&lt;&gt;"执行卖出","",IFERROR(LOOKUP(2,1/(单次交易!$A$2:$A$201=B335),单次交易!$AP$2:$AP$201),""))</f>
        <v/>
      </c>
      <c r="AA335" s="43" t="n"/>
      <c r="AB335" s="31">
        <f>IF(A335&lt;&gt;"每日跟踪","",IF(OR(B335="",H335="",I335="",J335="",K335="",L335="",M335=""),"待补充每日记录",IF(W335="触发止损：应全部卖出",IF(X335&lt;&gt;"执行卖出","违规：触发止损但未执行",IF(Y335="","待补充实际卖出价","卖出记录完整")),IF(X335="","待选择卖出动作",IF(X335="执行卖出",IF(Y335="","待补充实际卖出价","卖出记录完整"),"正常")))))</f>
        <v/>
      </c>
      <c r="AC335" s="31">
        <f>IF(A335="","",IF(A335="止损计划",IF(OR(B335="",D335="",E335="",F335="",G335=""),"计划不完整",IF(OR(D335&lt;1,D335&lt;&gt;INT(D335)),"阶段序号无效",IF(COUNTIFS($A$2:$A$501,"止损计划",$B$2:$B$501,B335,$D$2:$D$501,D335)&gt;1,"阶段序号重复",IF(E335&lt;=IFERROR(LOOKUP(2,1/('单次交易'!$A$2:$A$201=B335),'单次交易'!$E$2:$E$201),0),"激活价须高于买入价",IF(F335&lt;N335,"止损价不得低于初始止损",IF(F335&gt;E335,"止损价不得高于激活价",IF(AND(COUNTIFS($A$2:$A$501,"止损计划",$B$2:$B$501,B335,$D$2:$D$501,"&lt;"&amp;D335)&gt;0,OR(E335&lt;=AGGREGATE(14,6,$E$2:$E$501/(($A$2:$A$501="止损计划")*($B$2:$B$501=B335)*($D$2:$D$501&lt;D335)),1),F335&lt;AGGREGATE(14,6,$F$2:$F$501/(($A$2:$A$501="止损计划")*($B$2:$B$501=B335)*($D$2:$D$501&lt;D335)),1))),"阶段价格必须逐级提高","计划有效"))))))),IF(A335="每日跟踪",IF(OR(B335="",H335="",I335="",J335=""),"每日数据不完整",IF(COUNTIFS($A$2:$A$501,"每日跟踪",$B$2:$B$501,B335,$H$2:$H$501,H335)&gt;1,"同一交易日期重复",IF(AND(R335&lt;&gt;"",R335&lt;S335),"人工止损无效：不能下调","跟踪有效"))),"记录类型无效")))</f>
        <v/>
      </c>
    </row>
    <row r="336">
      <c r="A336" s="28" t="n"/>
      <c r="B336" s="28" t="n"/>
      <c r="C336" s="31">
        <f>IF(B336="","",IFERROR(LOOKUP(2,1/(单次交易!$A$2:$A$201=B336),单次交易!$B$2:$B$201),""))</f>
        <v/>
      </c>
      <c r="D336" s="27" t="n"/>
      <c r="E336" s="43" t="n"/>
      <c r="F336" s="43" t="n"/>
      <c r="G336" s="28" t="n"/>
      <c r="H336" s="49" t="n"/>
      <c r="I336" s="43" t="n"/>
      <c r="J336" s="27" t="n"/>
      <c r="K336" s="28" t="n"/>
      <c r="L336" s="28" t="n"/>
      <c r="M336" s="28" t="n"/>
      <c r="N336" s="44">
        <f>IF(B336="","",IFERROR(LOOKUP(2,1/(单次交易!$A$2:$A$201=B336),单次交易!$N$2:$N$201),""))</f>
        <v/>
      </c>
      <c r="O336" s="44">
        <f>IF(A336&lt;&gt;"每日跟踪","",IF(OR(B336="",H336="",I336=""),"",IFERROR(AGGREGATE(14,6,$I$2:$I$501/(($A$2:$A$501="每日跟踪")*($B$2:$B$501=B336)*($H$2:$H$501&lt;=H336)),1),"")))</f>
        <v/>
      </c>
      <c r="P336" s="26">
        <f>IF(A336&lt;&gt;"每日跟踪","",IF(O336="","",IFERROR(AGGREGATE(14,6,$D$2:$D$501/(($A$2:$A$501="止损计划")*($B$2:$B$501=B336)*($E$2:$E$501&lt;=O336)),1),0)))</f>
        <v/>
      </c>
      <c r="Q336" s="44">
        <f>IF(A336&lt;&gt;"每日跟踪","",IF(N336="","",MAX(N336,IFERROR(AGGREGATE(14,6,$F$2:$F$501/(($A$2:$A$501="止损计划")*($B$2:$B$501=B336)*($E$2:$E$501&lt;=O336)),1),0))))</f>
        <v/>
      </c>
      <c r="R336" s="43" t="n"/>
      <c r="S336" s="44">
        <f>IF(A336&lt;&gt;"每日跟踪","",IF(Q336="","",MAX(Q336,IFERROR(AGGREGATE(14,6,$R$2:$R$501/(($A$2:$A$501="每日跟踪")*($B$2:$B$501=B336)*($H$2:$H$501&lt;=H336)),1),0))))</f>
        <v/>
      </c>
      <c r="T336" s="44">
        <f>IF(A336&lt;&gt;"每日跟踪","",IF(O336="","",IF(COUNTIFS($A$2:$A$501,"止损计划",$B$2:$B$501,B336,$E$2:$E$501,"&gt;"&amp;O336)=0,"",AGGREGATE(15,6,$E$2:$E$501/(($A$2:$A$501="止损计划")*($B$2:$B$501=B336)*($E$2:$E$501&gt;O336)),1))))</f>
        <v/>
      </c>
      <c r="U336" s="44">
        <f>IF(OR(A336&lt;&gt;"每日跟踪",T336=""),"",IFERROR(AGGREGATE(14,6,$F$2:$F$501/(($A$2:$A$501="止损计划")*($B$2:$B$501=B336)*($E$2:$E$501=T336)),1),""))</f>
        <v/>
      </c>
      <c r="V336" s="30">
        <f>IF(OR(A336&lt;&gt;"每日跟踪",T336="",I336="",I336&lt;=0),"",T336/I336-1)</f>
        <v/>
      </c>
      <c r="W336" s="31">
        <f>IF(A336&lt;&gt;"每日跟踪","",IF(OR(I336="",S336=""),"",IF(I336&lt;=S336,"触发止损：应全部卖出","继续观察")))</f>
        <v/>
      </c>
      <c r="X336" s="28" t="n"/>
      <c r="Y336" s="43" t="n"/>
      <c r="Z336" s="26">
        <f>IF(X336&lt;&gt;"执行卖出","",IFERROR(LOOKUP(2,1/(单次交易!$A$2:$A$201=B336),单次交易!$AP$2:$AP$201),""))</f>
        <v/>
      </c>
      <c r="AA336" s="43" t="n"/>
      <c r="AB336" s="31">
        <f>IF(A336&lt;&gt;"每日跟踪","",IF(OR(B336="",H336="",I336="",J336="",K336="",L336="",M336=""),"待补充每日记录",IF(W336="触发止损：应全部卖出",IF(X336&lt;&gt;"执行卖出","违规：触发止损但未执行",IF(Y336="","待补充实际卖出价","卖出记录完整")),IF(X336="","待选择卖出动作",IF(X336="执行卖出",IF(Y336="","待补充实际卖出价","卖出记录完整"),"正常")))))</f>
        <v/>
      </c>
      <c r="AC336" s="31">
        <f>IF(A336="","",IF(A336="止损计划",IF(OR(B336="",D336="",E336="",F336="",G336=""),"计划不完整",IF(OR(D336&lt;1,D336&lt;&gt;INT(D336)),"阶段序号无效",IF(COUNTIFS($A$2:$A$501,"止损计划",$B$2:$B$501,B336,$D$2:$D$501,D336)&gt;1,"阶段序号重复",IF(E336&lt;=IFERROR(LOOKUP(2,1/('单次交易'!$A$2:$A$201=B336),'单次交易'!$E$2:$E$201),0),"激活价须高于买入价",IF(F336&lt;N336,"止损价不得低于初始止损",IF(F336&gt;E336,"止损价不得高于激活价",IF(AND(COUNTIFS($A$2:$A$501,"止损计划",$B$2:$B$501,B336,$D$2:$D$501,"&lt;"&amp;D336)&gt;0,OR(E336&lt;=AGGREGATE(14,6,$E$2:$E$501/(($A$2:$A$501="止损计划")*($B$2:$B$501=B336)*($D$2:$D$501&lt;D336)),1),F336&lt;AGGREGATE(14,6,$F$2:$F$501/(($A$2:$A$501="止损计划")*($B$2:$B$501=B336)*($D$2:$D$501&lt;D336)),1))),"阶段价格必须逐级提高","计划有效"))))))),IF(A336="每日跟踪",IF(OR(B336="",H336="",I336="",J336=""),"每日数据不完整",IF(COUNTIFS($A$2:$A$501,"每日跟踪",$B$2:$B$501,B336,$H$2:$H$501,H336)&gt;1,"同一交易日期重复",IF(AND(R336&lt;&gt;"",R336&lt;S336),"人工止损无效：不能下调","跟踪有效"))),"记录类型无效")))</f>
        <v/>
      </c>
    </row>
    <row r="337">
      <c r="A337" s="28" t="n"/>
      <c r="B337" s="28" t="n"/>
      <c r="C337" s="31">
        <f>IF(B337="","",IFERROR(LOOKUP(2,1/(单次交易!$A$2:$A$201=B337),单次交易!$B$2:$B$201),""))</f>
        <v/>
      </c>
      <c r="D337" s="27" t="n"/>
      <c r="E337" s="43" t="n"/>
      <c r="F337" s="43" t="n"/>
      <c r="G337" s="28" t="n"/>
      <c r="H337" s="49" t="n"/>
      <c r="I337" s="43" t="n"/>
      <c r="J337" s="27" t="n"/>
      <c r="K337" s="28" t="n"/>
      <c r="L337" s="28" t="n"/>
      <c r="M337" s="28" t="n"/>
      <c r="N337" s="44">
        <f>IF(B337="","",IFERROR(LOOKUP(2,1/(单次交易!$A$2:$A$201=B337),单次交易!$N$2:$N$201),""))</f>
        <v/>
      </c>
      <c r="O337" s="44">
        <f>IF(A337&lt;&gt;"每日跟踪","",IF(OR(B337="",H337="",I337=""),"",IFERROR(AGGREGATE(14,6,$I$2:$I$501/(($A$2:$A$501="每日跟踪")*($B$2:$B$501=B337)*($H$2:$H$501&lt;=H337)),1),"")))</f>
        <v/>
      </c>
      <c r="P337" s="26">
        <f>IF(A337&lt;&gt;"每日跟踪","",IF(O337="","",IFERROR(AGGREGATE(14,6,$D$2:$D$501/(($A$2:$A$501="止损计划")*($B$2:$B$501=B337)*($E$2:$E$501&lt;=O337)),1),0)))</f>
        <v/>
      </c>
      <c r="Q337" s="44">
        <f>IF(A337&lt;&gt;"每日跟踪","",IF(N337="","",MAX(N337,IFERROR(AGGREGATE(14,6,$F$2:$F$501/(($A$2:$A$501="止损计划")*($B$2:$B$501=B337)*($E$2:$E$501&lt;=O337)),1),0))))</f>
        <v/>
      </c>
      <c r="R337" s="43" t="n"/>
      <c r="S337" s="44">
        <f>IF(A337&lt;&gt;"每日跟踪","",IF(Q337="","",MAX(Q337,IFERROR(AGGREGATE(14,6,$R$2:$R$501/(($A$2:$A$501="每日跟踪")*($B$2:$B$501=B337)*($H$2:$H$501&lt;=H337)),1),0))))</f>
        <v/>
      </c>
      <c r="T337" s="44">
        <f>IF(A337&lt;&gt;"每日跟踪","",IF(O337="","",IF(COUNTIFS($A$2:$A$501,"止损计划",$B$2:$B$501,B337,$E$2:$E$501,"&gt;"&amp;O337)=0,"",AGGREGATE(15,6,$E$2:$E$501/(($A$2:$A$501="止损计划")*($B$2:$B$501=B337)*($E$2:$E$501&gt;O337)),1))))</f>
        <v/>
      </c>
      <c r="U337" s="44">
        <f>IF(OR(A337&lt;&gt;"每日跟踪",T337=""),"",IFERROR(AGGREGATE(14,6,$F$2:$F$501/(($A$2:$A$501="止损计划")*($B$2:$B$501=B337)*($E$2:$E$501=T337)),1),""))</f>
        <v/>
      </c>
      <c r="V337" s="30">
        <f>IF(OR(A337&lt;&gt;"每日跟踪",T337="",I337="",I337&lt;=0),"",T337/I337-1)</f>
        <v/>
      </c>
      <c r="W337" s="31">
        <f>IF(A337&lt;&gt;"每日跟踪","",IF(OR(I337="",S337=""),"",IF(I337&lt;=S337,"触发止损：应全部卖出","继续观察")))</f>
        <v/>
      </c>
      <c r="X337" s="28" t="n"/>
      <c r="Y337" s="43" t="n"/>
      <c r="Z337" s="26">
        <f>IF(X337&lt;&gt;"执行卖出","",IFERROR(LOOKUP(2,1/(单次交易!$A$2:$A$201=B337),单次交易!$AP$2:$AP$201),""))</f>
        <v/>
      </c>
      <c r="AA337" s="43" t="n"/>
      <c r="AB337" s="31">
        <f>IF(A337&lt;&gt;"每日跟踪","",IF(OR(B337="",H337="",I337="",J337="",K337="",L337="",M337=""),"待补充每日记录",IF(W337="触发止损：应全部卖出",IF(X337&lt;&gt;"执行卖出","违规：触发止损但未执行",IF(Y337="","待补充实际卖出价","卖出记录完整")),IF(X337="","待选择卖出动作",IF(X337="执行卖出",IF(Y337="","待补充实际卖出价","卖出记录完整"),"正常")))))</f>
        <v/>
      </c>
      <c r="AC337" s="31">
        <f>IF(A337="","",IF(A337="止损计划",IF(OR(B337="",D337="",E337="",F337="",G337=""),"计划不完整",IF(OR(D337&lt;1,D337&lt;&gt;INT(D337)),"阶段序号无效",IF(COUNTIFS($A$2:$A$501,"止损计划",$B$2:$B$501,B337,$D$2:$D$501,D337)&gt;1,"阶段序号重复",IF(E337&lt;=IFERROR(LOOKUP(2,1/('单次交易'!$A$2:$A$201=B337),'单次交易'!$E$2:$E$201),0),"激活价须高于买入价",IF(F337&lt;N337,"止损价不得低于初始止损",IF(F337&gt;E337,"止损价不得高于激活价",IF(AND(COUNTIFS($A$2:$A$501,"止损计划",$B$2:$B$501,B337,$D$2:$D$501,"&lt;"&amp;D337)&gt;0,OR(E337&lt;=AGGREGATE(14,6,$E$2:$E$501/(($A$2:$A$501="止损计划")*($B$2:$B$501=B337)*($D$2:$D$501&lt;D337)),1),F337&lt;AGGREGATE(14,6,$F$2:$F$501/(($A$2:$A$501="止损计划")*($B$2:$B$501=B337)*($D$2:$D$501&lt;D337)),1))),"阶段价格必须逐级提高","计划有效"))))))),IF(A337="每日跟踪",IF(OR(B337="",H337="",I337="",J337=""),"每日数据不完整",IF(COUNTIFS($A$2:$A$501,"每日跟踪",$B$2:$B$501,B337,$H$2:$H$501,H337)&gt;1,"同一交易日期重复",IF(AND(R337&lt;&gt;"",R337&lt;S337),"人工止损无效：不能下调","跟踪有效"))),"记录类型无效")))</f>
        <v/>
      </c>
    </row>
    <row r="338">
      <c r="A338" s="28" t="n"/>
      <c r="B338" s="28" t="n"/>
      <c r="C338" s="31">
        <f>IF(B338="","",IFERROR(LOOKUP(2,1/(单次交易!$A$2:$A$201=B338),单次交易!$B$2:$B$201),""))</f>
        <v/>
      </c>
      <c r="D338" s="27" t="n"/>
      <c r="E338" s="43" t="n"/>
      <c r="F338" s="43" t="n"/>
      <c r="G338" s="28" t="n"/>
      <c r="H338" s="49" t="n"/>
      <c r="I338" s="43" t="n"/>
      <c r="J338" s="27" t="n"/>
      <c r="K338" s="28" t="n"/>
      <c r="L338" s="28" t="n"/>
      <c r="M338" s="28" t="n"/>
      <c r="N338" s="44">
        <f>IF(B338="","",IFERROR(LOOKUP(2,1/(单次交易!$A$2:$A$201=B338),单次交易!$N$2:$N$201),""))</f>
        <v/>
      </c>
      <c r="O338" s="44">
        <f>IF(A338&lt;&gt;"每日跟踪","",IF(OR(B338="",H338="",I338=""),"",IFERROR(AGGREGATE(14,6,$I$2:$I$501/(($A$2:$A$501="每日跟踪")*($B$2:$B$501=B338)*($H$2:$H$501&lt;=H338)),1),"")))</f>
        <v/>
      </c>
      <c r="P338" s="26">
        <f>IF(A338&lt;&gt;"每日跟踪","",IF(O338="","",IFERROR(AGGREGATE(14,6,$D$2:$D$501/(($A$2:$A$501="止损计划")*($B$2:$B$501=B338)*($E$2:$E$501&lt;=O338)),1),0)))</f>
        <v/>
      </c>
      <c r="Q338" s="44">
        <f>IF(A338&lt;&gt;"每日跟踪","",IF(N338="","",MAX(N338,IFERROR(AGGREGATE(14,6,$F$2:$F$501/(($A$2:$A$501="止损计划")*($B$2:$B$501=B338)*($E$2:$E$501&lt;=O338)),1),0))))</f>
        <v/>
      </c>
      <c r="R338" s="43" t="n"/>
      <c r="S338" s="44">
        <f>IF(A338&lt;&gt;"每日跟踪","",IF(Q338="","",MAX(Q338,IFERROR(AGGREGATE(14,6,$R$2:$R$501/(($A$2:$A$501="每日跟踪")*($B$2:$B$501=B338)*($H$2:$H$501&lt;=H338)),1),0))))</f>
        <v/>
      </c>
      <c r="T338" s="44">
        <f>IF(A338&lt;&gt;"每日跟踪","",IF(O338="","",IF(COUNTIFS($A$2:$A$501,"止损计划",$B$2:$B$501,B338,$E$2:$E$501,"&gt;"&amp;O338)=0,"",AGGREGATE(15,6,$E$2:$E$501/(($A$2:$A$501="止损计划")*($B$2:$B$501=B338)*($E$2:$E$501&gt;O338)),1))))</f>
        <v/>
      </c>
      <c r="U338" s="44">
        <f>IF(OR(A338&lt;&gt;"每日跟踪",T338=""),"",IFERROR(AGGREGATE(14,6,$F$2:$F$501/(($A$2:$A$501="止损计划")*($B$2:$B$501=B338)*($E$2:$E$501=T338)),1),""))</f>
        <v/>
      </c>
      <c r="V338" s="30">
        <f>IF(OR(A338&lt;&gt;"每日跟踪",T338="",I338="",I338&lt;=0),"",T338/I338-1)</f>
        <v/>
      </c>
      <c r="W338" s="31">
        <f>IF(A338&lt;&gt;"每日跟踪","",IF(OR(I338="",S338=""),"",IF(I338&lt;=S338,"触发止损：应全部卖出","继续观察")))</f>
        <v/>
      </c>
      <c r="X338" s="28" t="n"/>
      <c r="Y338" s="43" t="n"/>
      <c r="Z338" s="26">
        <f>IF(X338&lt;&gt;"执行卖出","",IFERROR(LOOKUP(2,1/(单次交易!$A$2:$A$201=B338),单次交易!$AP$2:$AP$201),""))</f>
        <v/>
      </c>
      <c r="AA338" s="43" t="n"/>
      <c r="AB338" s="31">
        <f>IF(A338&lt;&gt;"每日跟踪","",IF(OR(B338="",H338="",I338="",J338="",K338="",L338="",M338=""),"待补充每日记录",IF(W338="触发止损：应全部卖出",IF(X338&lt;&gt;"执行卖出","违规：触发止损但未执行",IF(Y338="","待补充实际卖出价","卖出记录完整")),IF(X338="","待选择卖出动作",IF(X338="执行卖出",IF(Y338="","待补充实际卖出价","卖出记录完整"),"正常")))))</f>
        <v/>
      </c>
      <c r="AC338" s="31">
        <f>IF(A338="","",IF(A338="止损计划",IF(OR(B338="",D338="",E338="",F338="",G338=""),"计划不完整",IF(OR(D338&lt;1,D338&lt;&gt;INT(D338)),"阶段序号无效",IF(COUNTIFS($A$2:$A$501,"止损计划",$B$2:$B$501,B338,$D$2:$D$501,D338)&gt;1,"阶段序号重复",IF(E338&lt;=IFERROR(LOOKUP(2,1/('单次交易'!$A$2:$A$201=B338),'单次交易'!$E$2:$E$201),0),"激活价须高于买入价",IF(F338&lt;N338,"止损价不得低于初始止损",IF(F338&gt;E338,"止损价不得高于激活价",IF(AND(COUNTIFS($A$2:$A$501,"止损计划",$B$2:$B$501,B338,$D$2:$D$501,"&lt;"&amp;D338)&gt;0,OR(E338&lt;=AGGREGATE(14,6,$E$2:$E$501/(($A$2:$A$501="止损计划")*($B$2:$B$501=B338)*($D$2:$D$501&lt;D338)),1),F338&lt;AGGREGATE(14,6,$F$2:$F$501/(($A$2:$A$501="止损计划")*($B$2:$B$501=B338)*($D$2:$D$501&lt;D338)),1))),"阶段价格必须逐级提高","计划有效"))))))),IF(A338="每日跟踪",IF(OR(B338="",H338="",I338="",J338=""),"每日数据不完整",IF(COUNTIFS($A$2:$A$501,"每日跟踪",$B$2:$B$501,B338,$H$2:$H$501,H338)&gt;1,"同一交易日期重复",IF(AND(R338&lt;&gt;"",R338&lt;S338),"人工止损无效：不能下调","跟踪有效"))),"记录类型无效")))</f>
        <v/>
      </c>
    </row>
    <row r="339">
      <c r="A339" s="28" t="n"/>
      <c r="B339" s="28" t="n"/>
      <c r="C339" s="31">
        <f>IF(B339="","",IFERROR(LOOKUP(2,1/(单次交易!$A$2:$A$201=B339),单次交易!$B$2:$B$201),""))</f>
        <v/>
      </c>
      <c r="D339" s="27" t="n"/>
      <c r="E339" s="43" t="n"/>
      <c r="F339" s="43" t="n"/>
      <c r="G339" s="28" t="n"/>
      <c r="H339" s="49" t="n"/>
      <c r="I339" s="43" t="n"/>
      <c r="J339" s="27" t="n"/>
      <c r="K339" s="28" t="n"/>
      <c r="L339" s="28" t="n"/>
      <c r="M339" s="28" t="n"/>
      <c r="N339" s="44">
        <f>IF(B339="","",IFERROR(LOOKUP(2,1/(单次交易!$A$2:$A$201=B339),单次交易!$N$2:$N$201),""))</f>
        <v/>
      </c>
      <c r="O339" s="44">
        <f>IF(A339&lt;&gt;"每日跟踪","",IF(OR(B339="",H339="",I339=""),"",IFERROR(AGGREGATE(14,6,$I$2:$I$501/(($A$2:$A$501="每日跟踪")*($B$2:$B$501=B339)*($H$2:$H$501&lt;=H339)),1),"")))</f>
        <v/>
      </c>
      <c r="P339" s="26">
        <f>IF(A339&lt;&gt;"每日跟踪","",IF(O339="","",IFERROR(AGGREGATE(14,6,$D$2:$D$501/(($A$2:$A$501="止损计划")*($B$2:$B$501=B339)*($E$2:$E$501&lt;=O339)),1),0)))</f>
        <v/>
      </c>
      <c r="Q339" s="44">
        <f>IF(A339&lt;&gt;"每日跟踪","",IF(N339="","",MAX(N339,IFERROR(AGGREGATE(14,6,$F$2:$F$501/(($A$2:$A$501="止损计划")*($B$2:$B$501=B339)*($E$2:$E$501&lt;=O339)),1),0))))</f>
        <v/>
      </c>
      <c r="R339" s="43" t="n"/>
      <c r="S339" s="44">
        <f>IF(A339&lt;&gt;"每日跟踪","",IF(Q339="","",MAX(Q339,IFERROR(AGGREGATE(14,6,$R$2:$R$501/(($A$2:$A$501="每日跟踪")*($B$2:$B$501=B339)*($H$2:$H$501&lt;=H339)),1),0))))</f>
        <v/>
      </c>
      <c r="T339" s="44">
        <f>IF(A339&lt;&gt;"每日跟踪","",IF(O339="","",IF(COUNTIFS($A$2:$A$501,"止损计划",$B$2:$B$501,B339,$E$2:$E$501,"&gt;"&amp;O339)=0,"",AGGREGATE(15,6,$E$2:$E$501/(($A$2:$A$501="止损计划")*($B$2:$B$501=B339)*($E$2:$E$501&gt;O339)),1))))</f>
        <v/>
      </c>
      <c r="U339" s="44">
        <f>IF(OR(A339&lt;&gt;"每日跟踪",T339=""),"",IFERROR(AGGREGATE(14,6,$F$2:$F$501/(($A$2:$A$501="止损计划")*($B$2:$B$501=B339)*($E$2:$E$501=T339)),1),""))</f>
        <v/>
      </c>
      <c r="V339" s="30">
        <f>IF(OR(A339&lt;&gt;"每日跟踪",T339="",I339="",I339&lt;=0),"",T339/I339-1)</f>
        <v/>
      </c>
      <c r="W339" s="31">
        <f>IF(A339&lt;&gt;"每日跟踪","",IF(OR(I339="",S339=""),"",IF(I339&lt;=S339,"触发止损：应全部卖出","继续观察")))</f>
        <v/>
      </c>
      <c r="X339" s="28" t="n"/>
      <c r="Y339" s="43" t="n"/>
      <c r="Z339" s="26">
        <f>IF(X339&lt;&gt;"执行卖出","",IFERROR(LOOKUP(2,1/(单次交易!$A$2:$A$201=B339),单次交易!$AP$2:$AP$201),""))</f>
        <v/>
      </c>
      <c r="AA339" s="43" t="n"/>
      <c r="AB339" s="31">
        <f>IF(A339&lt;&gt;"每日跟踪","",IF(OR(B339="",H339="",I339="",J339="",K339="",L339="",M339=""),"待补充每日记录",IF(W339="触发止损：应全部卖出",IF(X339&lt;&gt;"执行卖出","违规：触发止损但未执行",IF(Y339="","待补充实际卖出价","卖出记录完整")),IF(X339="","待选择卖出动作",IF(X339="执行卖出",IF(Y339="","待补充实际卖出价","卖出记录完整"),"正常")))))</f>
        <v/>
      </c>
      <c r="AC339" s="31">
        <f>IF(A339="","",IF(A339="止损计划",IF(OR(B339="",D339="",E339="",F339="",G339=""),"计划不完整",IF(OR(D339&lt;1,D339&lt;&gt;INT(D339)),"阶段序号无效",IF(COUNTIFS($A$2:$A$501,"止损计划",$B$2:$B$501,B339,$D$2:$D$501,D339)&gt;1,"阶段序号重复",IF(E339&lt;=IFERROR(LOOKUP(2,1/('单次交易'!$A$2:$A$201=B339),'单次交易'!$E$2:$E$201),0),"激活价须高于买入价",IF(F339&lt;N339,"止损价不得低于初始止损",IF(F339&gt;E339,"止损价不得高于激活价",IF(AND(COUNTIFS($A$2:$A$501,"止损计划",$B$2:$B$501,B339,$D$2:$D$501,"&lt;"&amp;D339)&gt;0,OR(E339&lt;=AGGREGATE(14,6,$E$2:$E$501/(($A$2:$A$501="止损计划")*($B$2:$B$501=B339)*($D$2:$D$501&lt;D339)),1),F339&lt;AGGREGATE(14,6,$F$2:$F$501/(($A$2:$A$501="止损计划")*($B$2:$B$501=B339)*($D$2:$D$501&lt;D339)),1))),"阶段价格必须逐级提高","计划有效"))))))),IF(A339="每日跟踪",IF(OR(B339="",H339="",I339="",J339=""),"每日数据不完整",IF(COUNTIFS($A$2:$A$501,"每日跟踪",$B$2:$B$501,B339,$H$2:$H$501,H339)&gt;1,"同一交易日期重复",IF(AND(R339&lt;&gt;"",R339&lt;S339),"人工止损无效：不能下调","跟踪有效"))),"记录类型无效")))</f>
        <v/>
      </c>
    </row>
    <row r="340">
      <c r="A340" s="28" t="n"/>
      <c r="B340" s="28" t="n"/>
      <c r="C340" s="31">
        <f>IF(B340="","",IFERROR(LOOKUP(2,1/(单次交易!$A$2:$A$201=B340),单次交易!$B$2:$B$201),""))</f>
        <v/>
      </c>
      <c r="D340" s="27" t="n"/>
      <c r="E340" s="43" t="n"/>
      <c r="F340" s="43" t="n"/>
      <c r="G340" s="28" t="n"/>
      <c r="H340" s="49" t="n"/>
      <c r="I340" s="43" t="n"/>
      <c r="J340" s="27" t="n"/>
      <c r="K340" s="28" t="n"/>
      <c r="L340" s="28" t="n"/>
      <c r="M340" s="28" t="n"/>
      <c r="N340" s="44">
        <f>IF(B340="","",IFERROR(LOOKUP(2,1/(单次交易!$A$2:$A$201=B340),单次交易!$N$2:$N$201),""))</f>
        <v/>
      </c>
      <c r="O340" s="44">
        <f>IF(A340&lt;&gt;"每日跟踪","",IF(OR(B340="",H340="",I340=""),"",IFERROR(AGGREGATE(14,6,$I$2:$I$501/(($A$2:$A$501="每日跟踪")*($B$2:$B$501=B340)*($H$2:$H$501&lt;=H340)),1),"")))</f>
        <v/>
      </c>
      <c r="P340" s="26">
        <f>IF(A340&lt;&gt;"每日跟踪","",IF(O340="","",IFERROR(AGGREGATE(14,6,$D$2:$D$501/(($A$2:$A$501="止损计划")*($B$2:$B$501=B340)*($E$2:$E$501&lt;=O340)),1),0)))</f>
        <v/>
      </c>
      <c r="Q340" s="44">
        <f>IF(A340&lt;&gt;"每日跟踪","",IF(N340="","",MAX(N340,IFERROR(AGGREGATE(14,6,$F$2:$F$501/(($A$2:$A$501="止损计划")*($B$2:$B$501=B340)*($E$2:$E$501&lt;=O340)),1),0))))</f>
        <v/>
      </c>
      <c r="R340" s="43" t="n"/>
      <c r="S340" s="44">
        <f>IF(A340&lt;&gt;"每日跟踪","",IF(Q340="","",MAX(Q340,IFERROR(AGGREGATE(14,6,$R$2:$R$501/(($A$2:$A$501="每日跟踪")*($B$2:$B$501=B340)*($H$2:$H$501&lt;=H340)),1),0))))</f>
        <v/>
      </c>
      <c r="T340" s="44">
        <f>IF(A340&lt;&gt;"每日跟踪","",IF(O340="","",IF(COUNTIFS($A$2:$A$501,"止损计划",$B$2:$B$501,B340,$E$2:$E$501,"&gt;"&amp;O340)=0,"",AGGREGATE(15,6,$E$2:$E$501/(($A$2:$A$501="止损计划")*($B$2:$B$501=B340)*($E$2:$E$501&gt;O340)),1))))</f>
        <v/>
      </c>
      <c r="U340" s="44">
        <f>IF(OR(A340&lt;&gt;"每日跟踪",T340=""),"",IFERROR(AGGREGATE(14,6,$F$2:$F$501/(($A$2:$A$501="止损计划")*($B$2:$B$501=B340)*($E$2:$E$501=T340)),1),""))</f>
        <v/>
      </c>
      <c r="V340" s="30">
        <f>IF(OR(A340&lt;&gt;"每日跟踪",T340="",I340="",I340&lt;=0),"",T340/I340-1)</f>
        <v/>
      </c>
      <c r="W340" s="31">
        <f>IF(A340&lt;&gt;"每日跟踪","",IF(OR(I340="",S340=""),"",IF(I340&lt;=S340,"触发止损：应全部卖出","继续观察")))</f>
        <v/>
      </c>
      <c r="X340" s="28" t="n"/>
      <c r="Y340" s="43" t="n"/>
      <c r="Z340" s="26">
        <f>IF(X340&lt;&gt;"执行卖出","",IFERROR(LOOKUP(2,1/(单次交易!$A$2:$A$201=B340),单次交易!$AP$2:$AP$201),""))</f>
        <v/>
      </c>
      <c r="AA340" s="43" t="n"/>
      <c r="AB340" s="31">
        <f>IF(A340&lt;&gt;"每日跟踪","",IF(OR(B340="",H340="",I340="",J340="",K340="",L340="",M340=""),"待补充每日记录",IF(W340="触发止损：应全部卖出",IF(X340&lt;&gt;"执行卖出","违规：触发止损但未执行",IF(Y340="","待补充实际卖出价","卖出记录完整")),IF(X340="","待选择卖出动作",IF(X340="执行卖出",IF(Y340="","待补充实际卖出价","卖出记录完整"),"正常")))))</f>
        <v/>
      </c>
      <c r="AC340" s="31">
        <f>IF(A340="","",IF(A340="止损计划",IF(OR(B340="",D340="",E340="",F340="",G340=""),"计划不完整",IF(OR(D340&lt;1,D340&lt;&gt;INT(D340)),"阶段序号无效",IF(COUNTIFS($A$2:$A$501,"止损计划",$B$2:$B$501,B340,$D$2:$D$501,D340)&gt;1,"阶段序号重复",IF(E340&lt;=IFERROR(LOOKUP(2,1/('单次交易'!$A$2:$A$201=B340),'单次交易'!$E$2:$E$201),0),"激活价须高于买入价",IF(F340&lt;N340,"止损价不得低于初始止损",IF(F340&gt;E340,"止损价不得高于激活价",IF(AND(COUNTIFS($A$2:$A$501,"止损计划",$B$2:$B$501,B340,$D$2:$D$501,"&lt;"&amp;D340)&gt;0,OR(E340&lt;=AGGREGATE(14,6,$E$2:$E$501/(($A$2:$A$501="止损计划")*($B$2:$B$501=B340)*($D$2:$D$501&lt;D340)),1),F340&lt;AGGREGATE(14,6,$F$2:$F$501/(($A$2:$A$501="止损计划")*($B$2:$B$501=B340)*($D$2:$D$501&lt;D340)),1))),"阶段价格必须逐级提高","计划有效"))))))),IF(A340="每日跟踪",IF(OR(B340="",H340="",I340="",J340=""),"每日数据不完整",IF(COUNTIFS($A$2:$A$501,"每日跟踪",$B$2:$B$501,B340,$H$2:$H$501,H340)&gt;1,"同一交易日期重复",IF(AND(R340&lt;&gt;"",R340&lt;S340),"人工止损无效：不能下调","跟踪有效"))),"记录类型无效")))</f>
        <v/>
      </c>
    </row>
    <row r="341">
      <c r="A341" s="28" t="n"/>
      <c r="B341" s="28" t="n"/>
      <c r="C341" s="31">
        <f>IF(B341="","",IFERROR(LOOKUP(2,1/(单次交易!$A$2:$A$201=B341),单次交易!$B$2:$B$201),""))</f>
        <v/>
      </c>
      <c r="D341" s="27" t="n"/>
      <c r="E341" s="43" t="n"/>
      <c r="F341" s="43" t="n"/>
      <c r="G341" s="28" t="n"/>
      <c r="H341" s="49" t="n"/>
      <c r="I341" s="43" t="n"/>
      <c r="J341" s="27" t="n"/>
      <c r="K341" s="28" t="n"/>
      <c r="L341" s="28" t="n"/>
      <c r="M341" s="28" t="n"/>
      <c r="N341" s="44">
        <f>IF(B341="","",IFERROR(LOOKUP(2,1/(单次交易!$A$2:$A$201=B341),单次交易!$N$2:$N$201),""))</f>
        <v/>
      </c>
      <c r="O341" s="44">
        <f>IF(A341&lt;&gt;"每日跟踪","",IF(OR(B341="",H341="",I341=""),"",IFERROR(AGGREGATE(14,6,$I$2:$I$501/(($A$2:$A$501="每日跟踪")*($B$2:$B$501=B341)*($H$2:$H$501&lt;=H341)),1),"")))</f>
        <v/>
      </c>
      <c r="P341" s="26">
        <f>IF(A341&lt;&gt;"每日跟踪","",IF(O341="","",IFERROR(AGGREGATE(14,6,$D$2:$D$501/(($A$2:$A$501="止损计划")*($B$2:$B$501=B341)*($E$2:$E$501&lt;=O341)),1),0)))</f>
        <v/>
      </c>
      <c r="Q341" s="44">
        <f>IF(A341&lt;&gt;"每日跟踪","",IF(N341="","",MAX(N341,IFERROR(AGGREGATE(14,6,$F$2:$F$501/(($A$2:$A$501="止损计划")*($B$2:$B$501=B341)*($E$2:$E$501&lt;=O341)),1),0))))</f>
        <v/>
      </c>
      <c r="R341" s="43" t="n"/>
      <c r="S341" s="44">
        <f>IF(A341&lt;&gt;"每日跟踪","",IF(Q341="","",MAX(Q341,IFERROR(AGGREGATE(14,6,$R$2:$R$501/(($A$2:$A$501="每日跟踪")*($B$2:$B$501=B341)*($H$2:$H$501&lt;=H341)),1),0))))</f>
        <v/>
      </c>
      <c r="T341" s="44">
        <f>IF(A341&lt;&gt;"每日跟踪","",IF(O341="","",IF(COUNTIFS($A$2:$A$501,"止损计划",$B$2:$B$501,B341,$E$2:$E$501,"&gt;"&amp;O341)=0,"",AGGREGATE(15,6,$E$2:$E$501/(($A$2:$A$501="止损计划")*($B$2:$B$501=B341)*($E$2:$E$501&gt;O341)),1))))</f>
        <v/>
      </c>
      <c r="U341" s="44">
        <f>IF(OR(A341&lt;&gt;"每日跟踪",T341=""),"",IFERROR(AGGREGATE(14,6,$F$2:$F$501/(($A$2:$A$501="止损计划")*($B$2:$B$501=B341)*($E$2:$E$501=T341)),1),""))</f>
        <v/>
      </c>
      <c r="V341" s="30">
        <f>IF(OR(A341&lt;&gt;"每日跟踪",T341="",I341="",I341&lt;=0),"",T341/I341-1)</f>
        <v/>
      </c>
      <c r="W341" s="31">
        <f>IF(A341&lt;&gt;"每日跟踪","",IF(OR(I341="",S341=""),"",IF(I341&lt;=S341,"触发止损：应全部卖出","继续观察")))</f>
        <v/>
      </c>
      <c r="X341" s="28" t="n"/>
      <c r="Y341" s="43" t="n"/>
      <c r="Z341" s="26">
        <f>IF(X341&lt;&gt;"执行卖出","",IFERROR(LOOKUP(2,1/(单次交易!$A$2:$A$201=B341),单次交易!$AP$2:$AP$201),""))</f>
        <v/>
      </c>
      <c r="AA341" s="43" t="n"/>
      <c r="AB341" s="31">
        <f>IF(A341&lt;&gt;"每日跟踪","",IF(OR(B341="",H341="",I341="",J341="",K341="",L341="",M341=""),"待补充每日记录",IF(W341="触发止损：应全部卖出",IF(X341&lt;&gt;"执行卖出","违规：触发止损但未执行",IF(Y341="","待补充实际卖出价","卖出记录完整")),IF(X341="","待选择卖出动作",IF(X341="执行卖出",IF(Y341="","待补充实际卖出价","卖出记录完整"),"正常")))))</f>
        <v/>
      </c>
      <c r="AC341" s="31">
        <f>IF(A341="","",IF(A341="止损计划",IF(OR(B341="",D341="",E341="",F341="",G341=""),"计划不完整",IF(OR(D341&lt;1,D341&lt;&gt;INT(D341)),"阶段序号无效",IF(COUNTIFS($A$2:$A$501,"止损计划",$B$2:$B$501,B341,$D$2:$D$501,D341)&gt;1,"阶段序号重复",IF(E341&lt;=IFERROR(LOOKUP(2,1/('单次交易'!$A$2:$A$201=B341),'单次交易'!$E$2:$E$201),0),"激活价须高于买入价",IF(F341&lt;N341,"止损价不得低于初始止损",IF(F341&gt;E341,"止损价不得高于激活价",IF(AND(COUNTIFS($A$2:$A$501,"止损计划",$B$2:$B$501,B341,$D$2:$D$501,"&lt;"&amp;D341)&gt;0,OR(E341&lt;=AGGREGATE(14,6,$E$2:$E$501/(($A$2:$A$501="止损计划")*($B$2:$B$501=B341)*($D$2:$D$501&lt;D341)),1),F341&lt;AGGREGATE(14,6,$F$2:$F$501/(($A$2:$A$501="止损计划")*($B$2:$B$501=B341)*($D$2:$D$501&lt;D341)),1))),"阶段价格必须逐级提高","计划有效"))))))),IF(A341="每日跟踪",IF(OR(B341="",H341="",I341="",J341=""),"每日数据不完整",IF(COUNTIFS($A$2:$A$501,"每日跟踪",$B$2:$B$501,B341,$H$2:$H$501,H341)&gt;1,"同一交易日期重复",IF(AND(R341&lt;&gt;"",R341&lt;S341),"人工止损无效：不能下调","跟踪有效"))),"记录类型无效")))</f>
        <v/>
      </c>
    </row>
    <row r="342">
      <c r="A342" s="28" t="n"/>
      <c r="B342" s="28" t="n"/>
      <c r="C342" s="31">
        <f>IF(B342="","",IFERROR(LOOKUP(2,1/(单次交易!$A$2:$A$201=B342),单次交易!$B$2:$B$201),""))</f>
        <v/>
      </c>
      <c r="D342" s="27" t="n"/>
      <c r="E342" s="43" t="n"/>
      <c r="F342" s="43" t="n"/>
      <c r="G342" s="28" t="n"/>
      <c r="H342" s="49" t="n"/>
      <c r="I342" s="43" t="n"/>
      <c r="J342" s="27" t="n"/>
      <c r="K342" s="28" t="n"/>
      <c r="L342" s="28" t="n"/>
      <c r="M342" s="28" t="n"/>
      <c r="N342" s="44">
        <f>IF(B342="","",IFERROR(LOOKUP(2,1/(单次交易!$A$2:$A$201=B342),单次交易!$N$2:$N$201),""))</f>
        <v/>
      </c>
      <c r="O342" s="44">
        <f>IF(A342&lt;&gt;"每日跟踪","",IF(OR(B342="",H342="",I342=""),"",IFERROR(AGGREGATE(14,6,$I$2:$I$501/(($A$2:$A$501="每日跟踪")*($B$2:$B$501=B342)*($H$2:$H$501&lt;=H342)),1),"")))</f>
        <v/>
      </c>
      <c r="P342" s="26">
        <f>IF(A342&lt;&gt;"每日跟踪","",IF(O342="","",IFERROR(AGGREGATE(14,6,$D$2:$D$501/(($A$2:$A$501="止损计划")*($B$2:$B$501=B342)*($E$2:$E$501&lt;=O342)),1),0)))</f>
        <v/>
      </c>
      <c r="Q342" s="44">
        <f>IF(A342&lt;&gt;"每日跟踪","",IF(N342="","",MAX(N342,IFERROR(AGGREGATE(14,6,$F$2:$F$501/(($A$2:$A$501="止损计划")*($B$2:$B$501=B342)*($E$2:$E$501&lt;=O342)),1),0))))</f>
        <v/>
      </c>
      <c r="R342" s="43" t="n"/>
      <c r="S342" s="44">
        <f>IF(A342&lt;&gt;"每日跟踪","",IF(Q342="","",MAX(Q342,IFERROR(AGGREGATE(14,6,$R$2:$R$501/(($A$2:$A$501="每日跟踪")*($B$2:$B$501=B342)*($H$2:$H$501&lt;=H342)),1),0))))</f>
        <v/>
      </c>
      <c r="T342" s="44">
        <f>IF(A342&lt;&gt;"每日跟踪","",IF(O342="","",IF(COUNTIFS($A$2:$A$501,"止损计划",$B$2:$B$501,B342,$E$2:$E$501,"&gt;"&amp;O342)=0,"",AGGREGATE(15,6,$E$2:$E$501/(($A$2:$A$501="止损计划")*($B$2:$B$501=B342)*($E$2:$E$501&gt;O342)),1))))</f>
        <v/>
      </c>
      <c r="U342" s="44">
        <f>IF(OR(A342&lt;&gt;"每日跟踪",T342=""),"",IFERROR(AGGREGATE(14,6,$F$2:$F$501/(($A$2:$A$501="止损计划")*($B$2:$B$501=B342)*($E$2:$E$501=T342)),1),""))</f>
        <v/>
      </c>
      <c r="V342" s="30">
        <f>IF(OR(A342&lt;&gt;"每日跟踪",T342="",I342="",I342&lt;=0),"",T342/I342-1)</f>
        <v/>
      </c>
      <c r="W342" s="31">
        <f>IF(A342&lt;&gt;"每日跟踪","",IF(OR(I342="",S342=""),"",IF(I342&lt;=S342,"触发止损：应全部卖出","继续观察")))</f>
        <v/>
      </c>
      <c r="X342" s="28" t="n"/>
      <c r="Y342" s="43" t="n"/>
      <c r="Z342" s="26">
        <f>IF(X342&lt;&gt;"执行卖出","",IFERROR(LOOKUP(2,1/(单次交易!$A$2:$A$201=B342),单次交易!$AP$2:$AP$201),""))</f>
        <v/>
      </c>
      <c r="AA342" s="43" t="n"/>
      <c r="AB342" s="31">
        <f>IF(A342&lt;&gt;"每日跟踪","",IF(OR(B342="",H342="",I342="",J342="",K342="",L342="",M342=""),"待补充每日记录",IF(W342="触发止损：应全部卖出",IF(X342&lt;&gt;"执行卖出","违规：触发止损但未执行",IF(Y342="","待补充实际卖出价","卖出记录完整")),IF(X342="","待选择卖出动作",IF(X342="执行卖出",IF(Y342="","待补充实际卖出价","卖出记录完整"),"正常")))))</f>
        <v/>
      </c>
      <c r="AC342" s="31">
        <f>IF(A342="","",IF(A342="止损计划",IF(OR(B342="",D342="",E342="",F342="",G342=""),"计划不完整",IF(OR(D342&lt;1,D342&lt;&gt;INT(D342)),"阶段序号无效",IF(COUNTIFS($A$2:$A$501,"止损计划",$B$2:$B$501,B342,$D$2:$D$501,D342)&gt;1,"阶段序号重复",IF(E342&lt;=IFERROR(LOOKUP(2,1/('单次交易'!$A$2:$A$201=B342),'单次交易'!$E$2:$E$201),0),"激活价须高于买入价",IF(F342&lt;N342,"止损价不得低于初始止损",IF(F342&gt;E342,"止损价不得高于激活价",IF(AND(COUNTIFS($A$2:$A$501,"止损计划",$B$2:$B$501,B342,$D$2:$D$501,"&lt;"&amp;D342)&gt;0,OR(E342&lt;=AGGREGATE(14,6,$E$2:$E$501/(($A$2:$A$501="止损计划")*($B$2:$B$501=B342)*($D$2:$D$501&lt;D342)),1),F342&lt;AGGREGATE(14,6,$F$2:$F$501/(($A$2:$A$501="止损计划")*($B$2:$B$501=B342)*($D$2:$D$501&lt;D342)),1))),"阶段价格必须逐级提高","计划有效"))))))),IF(A342="每日跟踪",IF(OR(B342="",H342="",I342="",J342=""),"每日数据不完整",IF(COUNTIFS($A$2:$A$501,"每日跟踪",$B$2:$B$501,B342,$H$2:$H$501,H342)&gt;1,"同一交易日期重复",IF(AND(R342&lt;&gt;"",R342&lt;S342),"人工止损无效：不能下调","跟踪有效"))),"记录类型无效")))</f>
        <v/>
      </c>
    </row>
    <row r="343">
      <c r="A343" s="28" t="n"/>
      <c r="B343" s="28" t="n"/>
      <c r="C343" s="31">
        <f>IF(B343="","",IFERROR(LOOKUP(2,1/(单次交易!$A$2:$A$201=B343),单次交易!$B$2:$B$201),""))</f>
        <v/>
      </c>
      <c r="D343" s="27" t="n"/>
      <c r="E343" s="43" t="n"/>
      <c r="F343" s="43" t="n"/>
      <c r="G343" s="28" t="n"/>
      <c r="H343" s="49" t="n"/>
      <c r="I343" s="43" t="n"/>
      <c r="J343" s="27" t="n"/>
      <c r="K343" s="28" t="n"/>
      <c r="L343" s="28" t="n"/>
      <c r="M343" s="28" t="n"/>
      <c r="N343" s="44">
        <f>IF(B343="","",IFERROR(LOOKUP(2,1/(单次交易!$A$2:$A$201=B343),单次交易!$N$2:$N$201),""))</f>
        <v/>
      </c>
      <c r="O343" s="44">
        <f>IF(A343&lt;&gt;"每日跟踪","",IF(OR(B343="",H343="",I343=""),"",IFERROR(AGGREGATE(14,6,$I$2:$I$501/(($A$2:$A$501="每日跟踪")*($B$2:$B$501=B343)*($H$2:$H$501&lt;=H343)),1),"")))</f>
        <v/>
      </c>
      <c r="P343" s="26">
        <f>IF(A343&lt;&gt;"每日跟踪","",IF(O343="","",IFERROR(AGGREGATE(14,6,$D$2:$D$501/(($A$2:$A$501="止损计划")*($B$2:$B$501=B343)*($E$2:$E$501&lt;=O343)),1),0)))</f>
        <v/>
      </c>
      <c r="Q343" s="44">
        <f>IF(A343&lt;&gt;"每日跟踪","",IF(N343="","",MAX(N343,IFERROR(AGGREGATE(14,6,$F$2:$F$501/(($A$2:$A$501="止损计划")*($B$2:$B$501=B343)*($E$2:$E$501&lt;=O343)),1),0))))</f>
        <v/>
      </c>
      <c r="R343" s="43" t="n"/>
      <c r="S343" s="44">
        <f>IF(A343&lt;&gt;"每日跟踪","",IF(Q343="","",MAX(Q343,IFERROR(AGGREGATE(14,6,$R$2:$R$501/(($A$2:$A$501="每日跟踪")*($B$2:$B$501=B343)*($H$2:$H$501&lt;=H343)),1),0))))</f>
        <v/>
      </c>
      <c r="T343" s="44">
        <f>IF(A343&lt;&gt;"每日跟踪","",IF(O343="","",IF(COUNTIFS($A$2:$A$501,"止损计划",$B$2:$B$501,B343,$E$2:$E$501,"&gt;"&amp;O343)=0,"",AGGREGATE(15,6,$E$2:$E$501/(($A$2:$A$501="止损计划")*($B$2:$B$501=B343)*($E$2:$E$501&gt;O343)),1))))</f>
        <v/>
      </c>
      <c r="U343" s="44">
        <f>IF(OR(A343&lt;&gt;"每日跟踪",T343=""),"",IFERROR(AGGREGATE(14,6,$F$2:$F$501/(($A$2:$A$501="止损计划")*($B$2:$B$501=B343)*($E$2:$E$501=T343)),1),""))</f>
        <v/>
      </c>
      <c r="V343" s="30">
        <f>IF(OR(A343&lt;&gt;"每日跟踪",T343="",I343="",I343&lt;=0),"",T343/I343-1)</f>
        <v/>
      </c>
      <c r="W343" s="31">
        <f>IF(A343&lt;&gt;"每日跟踪","",IF(OR(I343="",S343=""),"",IF(I343&lt;=S343,"触发止损：应全部卖出","继续观察")))</f>
        <v/>
      </c>
      <c r="X343" s="28" t="n"/>
      <c r="Y343" s="43" t="n"/>
      <c r="Z343" s="26">
        <f>IF(X343&lt;&gt;"执行卖出","",IFERROR(LOOKUP(2,1/(单次交易!$A$2:$A$201=B343),单次交易!$AP$2:$AP$201),""))</f>
        <v/>
      </c>
      <c r="AA343" s="43" t="n"/>
      <c r="AB343" s="31">
        <f>IF(A343&lt;&gt;"每日跟踪","",IF(OR(B343="",H343="",I343="",J343="",K343="",L343="",M343=""),"待补充每日记录",IF(W343="触发止损：应全部卖出",IF(X343&lt;&gt;"执行卖出","违规：触发止损但未执行",IF(Y343="","待补充实际卖出价","卖出记录完整")),IF(X343="","待选择卖出动作",IF(X343="执行卖出",IF(Y343="","待补充实际卖出价","卖出记录完整"),"正常")))))</f>
        <v/>
      </c>
      <c r="AC343" s="31">
        <f>IF(A343="","",IF(A343="止损计划",IF(OR(B343="",D343="",E343="",F343="",G343=""),"计划不完整",IF(OR(D343&lt;1,D343&lt;&gt;INT(D343)),"阶段序号无效",IF(COUNTIFS($A$2:$A$501,"止损计划",$B$2:$B$501,B343,$D$2:$D$501,D343)&gt;1,"阶段序号重复",IF(E343&lt;=IFERROR(LOOKUP(2,1/('单次交易'!$A$2:$A$201=B343),'单次交易'!$E$2:$E$201),0),"激活价须高于买入价",IF(F343&lt;N343,"止损价不得低于初始止损",IF(F343&gt;E343,"止损价不得高于激活价",IF(AND(COUNTIFS($A$2:$A$501,"止损计划",$B$2:$B$501,B343,$D$2:$D$501,"&lt;"&amp;D343)&gt;0,OR(E343&lt;=AGGREGATE(14,6,$E$2:$E$501/(($A$2:$A$501="止损计划")*($B$2:$B$501=B343)*($D$2:$D$501&lt;D343)),1),F343&lt;AGGREGATE(14,6,$F$2:$F$501/(($A$2:$A$501="止损计划")*($B$2:$B$501=B343)*($D$2:$D$501&lt;D343)),1))),"阶段价格必须逐级提高","计划有效"))))))),IF(A343="每日跟踪",IF(OR(B343="",H343="",I343="",J343=""),"每日数据不完整",IF(COUNTIFS($A$2:$A$501,"每日跟踪",$B$2:$B$501,B343,$H$2:$H$501,H343)&gt;1,"同一交易日期重复",IF(AND(R343&lt;&gt;"",R343&lt;S343),"人工止损无效：不能下调","跟踪有效"))),"记录类型无效")))</f>
        <v/>
      </c>
    </row>
    <row r="344">
      <c r="A344" s="28" t="n"/>
      <c r="B344" s="28" t="n"/>
      <c r="C344" s="31">
        <f>IF(B344="","",IFERROR(LOOKUP(2,1/(单次交易!$A$2:$A$201=B344),单次交易!$B$2:$B$201),""))</f>
        <v/>
      </c>
      <c r="D344" s="27" t="n"/>
      <c r="E344" s="43" t="n"/>
      <c r="F344" s="43" t="n"/>
      <c r="G344" s="28" t="n"/>
      <c r="H344" s="49" t="n"/>
      <c r="I344" s="43" t="n"/>
      <c r="J344" s="27" t="n"/>
      <c r="K344" s="28" t="n"/>
      <c r="L344" s="28" t="n"/>
      <c r="M344" s="28" t="n"/>
      <c r="N344" s="44">
        <f>IF(B344="","",IFERROR(LOOKUP(2,1/(单次交易!$A$2:$A$201=B344),单次交易!$N$2:$N$201),""))</f>
        <v/>
      </c>
      <c r="O344" s="44">
        <f>IF(A344&lt;&gt;"每日跟踪","",IF(OR(B344="",H344="",I344=""),"",IFERROR(AGGREGATE(14,6,$I$2:$I$501/(($A$2:$A$501="每日跟踪")*($B$2:$B$501=B344)*($H$2:$H$501&lt;=H344)),1),"")))</f>
        <v/>
      </c>
      <c r="P344" s="26">
        <f>IF(A344&lt;&gt;"每日跟踪","",IF(O344="","",IFERROR(AGGREGATE(14,6,$D$2:$D$501/(($A$2:$A$501="止损计划")*($B$2:$B$501=B344)*($E$2:$E$501&lt;=O344)),1),0)))</f>
        <v/>
      </c>
      <c r="Q344" s="44">
        <f>IF(A344&lt;&gt;"每日跟踪","",IF(N344="","",MAX(N344,IFERROR(AGGREGATE(14,6,$F$2:$F$501/(($A$2:$A$501="止损计划")*($B$2:$B$501=B344)*($E$2:$E$501&lt;=O344)),1),0))))</f>
        <v/>
      </c>
      <c r="R344" s="43" t="n"/>
      <c r="S344" s="44">
        <f>IF(A344&lt;&gt;"每日跟踪","",IF(Q344="","",MAX(Q344,IFERROR(AGGREGATE(14,6,$R$2:$R$501/(($A$2:$A$501="每日跟踪")*($B$2:$B$501=B344)*($H$2:$H$501&lt;=H344)),1),0))))</f>
        <v/>
      </c>
      <c r="T344" s="44">
        <f>IF(A344&lt;&gt;"每日跟踪","",IF(O344="","",IF(COUNTIFS($A$2:$A$501,"止损计划",$B$2:$B$501,B344,$E$2:$E$501,"&gt;"&amp;O344)=0,"",AGGREGATE(15,6,$E$2:$E$501/(($A$2:$A$501="止损计划")*($B$2:$B$501=B344)*($E$2:$E$501&gt;O344)),1))))</f>
        <v/>
      </c>
      <c r="U344" s="44">
        <f>IF(OR(A344&lt;&gt;"每日跟踪",T344=""),"",IFERROR(AGGREGATE(14,6,$F$2:$F$501/(($A$2:$A$501="止损计划")*($B$2:$B$501=B344)*($E$2:$E$501=T344)),1),""))</f>
        <v/>
      </c>
      <c r="V344" s="30">
        <f>IF(OR(A344&lt;&gt;"每日跟踪",T344="",I344="",I344&lt;=0),"",T344/I344-1)</f>
        <v/>
      </c>
      <c r="W344" s="31">
        <f>IF(A344&lt;&gt;"每日跟踪","",IF(OR(I344="",S344=""),"",IF(I344&lt;=S344,"触发止损：应全部卖出","继续观察")))</f>
        <v/>
      </c>
      <c r="X344" s="28" t="n"/>
      <c r="Y344" s="43" t="n"/>
      <c r="Z344" s="26">
        <f>IF(X344&lt;&gt;"执行卖出","",IFERROR(LOOKUP(2,1/(单次交易!$A$2:$A$201=B344),单次交易!$AP$2:$AP$201),""))</f>
        <v/>
      </c>
      <c r="AA344" s="43" t="n"/>
      <c r="AB344" s="31">
        <f>IF(A344&lt;&gt;"每日跟踪","",IF(OR(B344="",H344="",I344="",J344="",K344="",L344="",M344=""),"待补充每日记录",IF(W344="触发止损：应全部卖出",IF(X344&lt;&gt;"执行卖出","违规：触发止损但未执行",IF(Y344="","待补充实际卖出价","卖出记录完整")),IF(X344="","待选择卖出动作",IF(X344="执行卖出",IF(Y344="","待补充实际卖出价","卖出记录完整"),"正常")))))</f>
        <v/>
      </c>
      <c r="AC344" s="31">
        <f>IF(A344="","",IF(A344="止损计划",IF(OR(B344="",D344="",E344="",F344="",G344=""),"计划不完整",IF(OR(D344&lt;1,D344&lt;&gt;INT(D344)),"阶段序号无效",IF(COUNTIFS($A$2:$A$501,"止损计划",$B$2:$B$501,B344,$D$2:$D$501,D344)&gt;1,"阶段序号重复",IF(E344&lt;=IFERROR(LOOKUP(2,1/('单次交易'!$A$2:$A$201=B344),'单次交易'!$E$2:$E$201),0),"激活价须高于买入价",IF(F344&lt;N344,"止损价不得低于初始止损",IF(F344&gt;E344,"止损价不得高于激活价",IF(AND(COUNTIFS($A$2:$A$501,"止损计划",$B$2:$B$501,B344,$D$2:$D$501,"&lt;"&amp;D344)&gt;0,OR(E344&lt;=AGGREGATE(14,6,$E$2:$E$501/(($A$2:$A$501="止损计划")*($B$2:$B$501=B344)*($D$2:$D$501&lt;D344)),1),F344&lt;AGGREGATE(14,6,$F$2:$F$501/(($A$2:$A$501="止损计划")*($B$2:$B$501=B344)*($D$2:$D$501&lt;D344)),1))),"阶段价格必须逐级提高","计划有效"))))))),IF(A344="每日跟踪",IF(OR(B344="",H344="",I344="",J344=""),"每日数据不完整",IF(COUNTIFS($A$2:$A$501,"每日跟踪",$B$2:$B$501,B344,$H$2:$H$501,H344)&gt;1,"同一交易日期重复",IF(AND(R344&lt;&gt;"",R344&lt;S344),"人工止损无效：不能下调","跟踪有效"))),"记录类型无效")))</f>
        <v/>
      </c>
    </row>
    <row r="345">
      <c r="A345" s="28" t="n"/>
      <c r="B345" s="28" t="n"/>
      <c r="C345" s="31">
        <f>IF(B345="","",IFERROR(LOOKUP(2,1/(单次交易!$A$2:$A$201=B345),单次交易!$B$2:$B$201),""))</f>
        <v/>
      </c>
      <c r="D345" s="27" t="n"/>
      <c r="E345" s="43" t="n"/>
      <c r="F345" s="43" t="n"/>
      <c r="G345" s="28" t="n"/>
      <c r="H345" s="49" t="n"/>
      <c r="I345" s="43" t="n"/>
      <c r="J345" s="27" t="n"/>
      <c r="K345" s="28" t="n"/>
      <c r="L345" s="28" t="n"/>
      <c r="M345" s="28" t="n"/>
      <c r="N345" s="44">
        <f>IF(B345="","",IFERROR(LOOKUP(2,1/(单次交易!$A$2:$A$201=B345),单次交易!$N$2:$N$201),""))</f>
        <v/>
      </c>
      <c r="O345" s="44">
        <f>IF(A345&lt;&gt;"每日跟踪","",IF(OR(B345="",H345="",I345=""),"",IFERROR(AGGREGATE(14,6,$I$2:$I$501/(($A$2:$A$501="每日跟踪")*($B$2:$B$501=B345)*($H$2:$H$501&lt;=H345)),1),"")))</f>
        <v/>
      </c>
      <c r="P345" s="26">
        <f>IF(A345&lt;&gt;"每日跟踪","",IF(O345="","",IFERROR(AGGREGATE(14,6,$D$2:$D$501/(($A$2:$A$501="止损计划")*($B$2:$B$501=B345)*($E$2:$E$501&lt;=O345)),1),0)))</f>
        <v/>
      </c>
      <c r="Q345" s="44">
        <f>IF(A345&lt;&gt;"每日跟踪","",IF(N345="","",MAX(N345,IFERROR(AGGREGATE(14,6,$F$2:$F$501/(($A$2:$A$501="止损计划")*($B$2:$B$501=B345)*($E$2:$E$501&lt;=O345)),1),0))))</f>
        <v/>
      </c>
      <c r="R345" s="43" t="n"/>
      <c r="S345" s="44">
        <f>IF(A345&lt;&gt;"每日跟踪","",IF(Q345="","",MAX(Q345,IFERROR(AGGREGATE(14,6,$R$2:$R$501/(($A$2:$A$501="每日跟踪")*($B$2:$B$501=B345)*($H$2:$H$501&lt;=H345)),1),0))))</f>
        <v/>
      </c>
      <c r="T345" s="44">
        <f>IF(A345&lt;&gt;"每日跟踪","",IF(O345="","",IF(COUNTIFS($A$2:$A$501,"止损计划",$B$2:$B$501,B345,$E$2:$E$501,"&gt;"&amp;O345)=0,"",AGGREGATE(15,6,$E$2:$E$501/(($A$2:$A$501="止损计划")*($B$2:$B$501=B345)*($E$2:$E$501&gt;O345)),1))))</f>
        <v/>
      </c>
      <c r="U345" s="44">
        <f>IF(OR(A345&lt;&gt;"每日跟踪",T345=""),"",IFERROR(AGGREGATE(14,6,$F$2:$F$501/(($A$2:$A$501="止损计划")*($B$2:$B$501=B345)*($E$2:$E$501=T345)),1),""))</f>
        <v/>
      </c>
      <c r="V345" s="30">
        <f>IF(OR(A345&lt;&gt;"每日跟踪",T345="",I345="",I345&lt;=0),"",T345/I345-1)</f>
        <v/>
      </c>
      <c r="W345" s="31">
        <f>IF(A345&lt;&gt;"每日跟踪","",IF(OR(I345="",S345=""),"",IF(I345&lt;=S345,"触发止损：应全部卖出","继续观察")))</f>
        <v/>
      </c>
      <c r="X345" s="28" t="n"/>
      <c r="Y345" s="43" t="n"/>
      <c r="Z345" s="26">
        <f>IF(X345&lt;&gt;"执行卖出","",IFERROR(LOOKUP(2,1/(单次交易!$A$2:$A$201=B345),单次交易!$AP$2:$AP$201),""))</f>
        <v/>
      </c>
      <c r="AA345" s="43" t="n"/>
      <c r="AB345" s="31">
        <f>IF(A345&lt;&gt;"每日跟踪","",IF(OR(B345="",H345="",I345="",J345="",K345="",L345="",M345=""),"待补充每日记录",IF(W345="触发止损：应全部卖出",IF(X345&lt;&gt;"执行卖出","违规：触发止损但未执行",IF(Y345="","待补充实际卖出价","卖出记录完整")),IF(X345="","待选择卖出动作",IF(X345="执行卖出",IF(Y345="","待补充实际卖出价","卖出记录完整"),"正常")))))</f>
        <v/>
      </c>
      <c r="AC345" s="31">
        <f>IF(A345="","",IF(A345="止损计划",IF(OR(B345="",D345="",E345="",F345="",G345=""),"计划不完整",IF(OR(D345&lt;1,D345&lt;&gt;INT(D345)),"阶段序号无效",IF(COUNTIFS($A$2:$A$501,"止损计划",$B$2:$B$501,B345,$D$2:$D$501,D345)&gt;1,"阶段序号重复",IF(E345&lt;=IFERROR(LOOKUP(2,1/('单次交易'!$A$2:$A$201=B345),'单次交易'!$E$2:$E$201),0),"激活价须高于买入价",IF(F345&lt;N345,"止损价不得低于初始止损",IF(F345&gt;E345,"止损价不得高于激活价",IF(AND(COUNTIFS($A$2:$A$501,"止损计划",$B$2:$B$501,B345,$D$2:$D$501,"&lt;"&amp;D345)&gt;0,OR(E345&lt;=AGGREGATE(14,6,$E$2:$E$501/(($A$2:$A$501="止损计划")*($B$2:$B$501=B345)*($D$2:$D$501&lt;D345)),1),F345&lt;AGGREGATE(14,6,$F$2:$F$501/(($A$2:$A$501="止损计划")*($B$2:$B$501=B345)*($D$2:$D$501&lt;D345)),1))),"阶段价格必须逐级提高","计划有效"))))))),IF(A345="每日跟踪",IF(OR(B345="",H345="",I345="",J345=""),"每日数据不完整",IF(COUNTIFS($A$2:$A$501,"每日跟踪",$B$2:$B$501,B345,$H$2:$H$501,H345)&gt;1,"同一交易日期重复",IF(AND(R345&lt;&gt;"",R345&lt;S345),"人工止损无效：不能下调","跟踪有效"))),"记录类型无效")))</f>
        <v/>
      </c>
    </row>
    <row r="346">
      <c r="A346" s="28" t="n"/>
      <c r="B346" s="28" t="n"/>
      <c r="C346" s="31">
        <f>IF(B346="","",IFERROR(LOOKUP(2,1/(单次交易!$A$2:$A$201=B346),单次交易!$B$2:$B$201),""))</f>
        <v/>
      </c>
      <c r="D346" s="27" t="n"/>
      <c r="E346" s="43" t="n"/>
      <c r="F346" s="43" t="n"/>
      <c r="G346" s="28" t="n"/>
      <c r="H346" s="49" t="n"/>
      <c r="I346" s="43" t="n"/>
      <c r="J346" s="27" t="n"/>
      <c r="K346" s="28" t="n"/>
      <c r="L346" s="28" t="n"/>
      <c r="M346" s="28" t="n"/>
      <c r="N346" s="44">
        <f>IF(B346="","",IFERROR(LOOKUP(2,1/(单次交易!$A$2:$A$201=B346),单次交易!$N$2:$N$201),""))</f>
        <v/>
      </c>
      <c r="O346" s="44">
        <f>IF(A346&lt;&gt;"每日跟踪","",IF(OR(B346="",H346="",I346=""),"",IFERROR(AGGREGATE(14,6,$I$2:$I$501/(($A$2:$A$501="每日跟踪")*($B$2:$B$501=B346)*($H$2:$H$501&lt;=H346)),1),"")))</f>
        <v/>
      </c>
      <c r="P346" s="26">
        <f>IF(A346&lt;&gt;"每日跟踪","",IF(O346="","",IFERROR(AGGREGATE(14,6,$D$2:$D$501/(($A$2:$A$501="止损计划")*($B$2:$B$501=B346)*($E$2:$E$501&lt;=O346)),1),0)))</f>
        <v/>
      </c>
      <c r="Q346" s="44">
        <f>IF(A346&lt;&gt;"每日跟踪","",IF(N346="","",MAX(N346,IFERROR(AGGREGATE(14,6,$F$2:$F$501/(($A$2:$A$501="止损计划")*($B$2:$B$501=B346)*($E$2:$E$501&lt;=O346)),1),0))))</f>
        <v/>
      </c>
      <c r="R346" s="43" t="n"/>
      <c r="S346" s="44">
        <f>IF(A346&lt;&gt;"每日跟踪","",IF(Q346="","",MAX(Q346,IFERROR(AGGREGATE(14,6,$R$2:$R$501/(($A$2:$A$501="每日跟踪")*($B$2:$B$501=B346)*($H$2:$H$501&lt;=H346)),1),0))))</f>
        <v/>
      </c>
      <c r="T346" s="44">
        <f>IF(A346&lt;&gt;"每日跟踪","",IF(O346="","",IF(COUNTIFS($A$2:$A$501,"止损计划",$B$2:$B$501,B346,$E$2:$E$501,"&gt;"&amp;O346)=0,"",AGGREGATE(15,6,$E$2:$E$501/(($A$2:$A$501="止损计划")*($B$2:$B$501=B346)*($E$2:$E$501&gt;O346)),1))))</f>
        <v/>
      </c>
      <c r="U346" s="44">
        <f>IF(OR(A346&lt;&gt;"每日跟踪",T346=""),"",IFERROR(AGGREGATE(14,6,$F$2:$F$501/(($A$2:$A$501="止损计划")*($B$2:$B$501=B346)*($E$2:$E$501=T346)),1),""))</f>
        <v/>
      </c>
      <c r="V346" s="30">
        <f>IF(OR(A346&lt;&gt;"每日跟踪",T346="",I346="",I346&lt;=0),"",T346/I346-1)</f>
        <v/>
      </c>
      <c r="W346" s="31">
        <f>IF(A346&lt;&gt;"每日跟踪","",IF(OR(I346="",S346=""),"",IF(I346&lt;=S346,"触发止损：应全部卖出","继续观察")))</f>
        <v/>
      </c>
      <c r="X346" s="28" t="n"/>
      <c r="Y346" s="43" t="n"/>
      <c r="Z346" s="26">
        <f>IF(X346&lt;&gt;"执行卖出","",IFERROR(LOOKUP(2,1/(单次交易!$A$2:$A$201=B346),单次交易!$AP$2:$AP$201),""))</f>
        <v/>
      </c>
      <c r="AA346" s="43" t="n"/>
      <c r="AB346" s="31">
        <f>IF(A346&lt;&gt;"每日跟踪","",IF(OR(B346="",H346="",I346="",J346="",K346="",L346="",M346=""),"待补充每日记录",IF(W346="触发止损：应全部卖出",IF(X346&lt;&gt;"执行卖出","违规：触发止损但未执行",IF(Y346="","待补充实际卖出价","卖出记录完整")),IF(X346="","待选择卖出动作",IF(X346="执行卖出",IF(Y346="","待补充实际卖出价","卖出记录完整"),"正常")))))</f>
        <v/>
      </c>
      <c r="AC346" s="31">
        <f>IF(A346="","",IF(A346="止损计划",IF(OR(B346="",D346="",E346="",F346="",G346=""),"计划不完整",IF(OR(D346&lt;1,D346&lt;&gt;INT(D346)),"阶段序号无效",IF(COUNTIFS($A$2:$A$501,"止损计划",$B$2:$B$501,B346,$D$2:$D$501,D346)&gt;1,"阶段序号重复",IF(E346&lt;=IFERROR(LOOKUP(2,1/('单次交易'!$A$2:$A$201=B346),'单次交易'!$E$2:$E$201),0),"激活价须高于买入价",IF(F346&lt;N346,"止损价不得低于初始止损",IF(F346&gt;E346,"止损价不得高于激活价",IF(AND(COUNTIFS($A$2:$A$501,"止损计划",$B$2:$B$501,B346,$D$2:$D$501,"&lt;"&amp;D346)&gt;0,OR(E346&lt;=AGGREGATE(14,6,$E$2:$E$501/(($A$2:$A$501="止损计划")*($B$2:$B$501=B346)*($D$2:$D$501&lt;D346)),1),F346&lt;AGGREGATE(14,6,$F$2:$F$501/(($A$2:$A$501="止损计划")*($B$2:$B$501=B346)*($D$2:$D$501&lt;D346)),1))),"阶段价格必须逐级提高","计划有效"))))))),IF(A346="每日跟踪",IF(OR(B346="",H346="",I346="",J346=""),"每日数据不完整",IF(COUNTIFS($A$2:$A$501,"每日跟踪",$B$2:$B$501,B346,$H$2:$H$501,H346)&gt;1,"同一交易日期重复",IF(AND(R346&lt;&gt;"",R346&lt;S346),"人工止损无效：不能下调","跟踪有效"))),"记录类型无效")))</f>
        <v/>
      </c>
    </row>
    <row r="347">
      <c r="A347" s="28" t="n"/>
      <c r="B347" s="28" t="n"/>
      <c r="C347" s="31">
        <f>IF(B347="","",IFERROR(LOOKUP(2,1/(单次交易!$A$2:$A$201=B347),单次交易!$B$2:$B$201),""))</f>
        <v/>
      </c>
      <c r="D347" s="27" t="n"/>
      <c r="E347" s="43" t="n"/>
      <c r="F347" s="43" t="n"/>
      <c r="G347" s="28" t="n"/>
      <c r="H347" s="49" t="n"/>
      <c r="I347" s="43" t="n"/>
      <c r="J347" s="27" t="n"/>
      <c r="K347" s="28" t="n"/>
      <c r="L347" s="28" t="n"/>
      <c r="M347" s="28" t="n"/>
      <c r="N347" s="44">
        <f>IF(B347="","",IFERROR(LOOKUP(2,1/(单次交易!$A$2:$A$201=B347),单次交易!$N$2:$N$201),""))</f>
        <v/>
      </c>
      <c r="O347" s="44">
        <f>IF(A347&lt;&gt;"每日跟踪","",IF(OR(B347="",H347="",I347=""),"",IFERROR(AGGREGATE(14,6,$I$2:$I$501/(($A$2:$A$501="每日跟踪")*($B$2:$B$501=B347)*($H$2:$H$501&lt;=H347)),1),"")))</f>
        <v/>
      </c>
      <c r="P347" s="26">
        <f>IF(A347&lt;&gt;"每日跟踪","",IF(O347="","",IFERROR(AGGREGATE(14,6,$D$2:$D$501/(($A$2:$A$501="止损计划")*($B$2:$B$501=B347)*($E$2:$E$501&lt;=O347)),1),0)))</f>
        <v/>
      </c>
      <c r="Q347" s="44">
        <f>IF(A347&lt;&gt;"每日跟踪","",IF(N347="","",MAX(N347,IFERROR(AGGREGATE(14,6,$F$2:$F$501/(($A$2:$A$501="止损计划")*($B$2:$B$501=B347)*($E$2:$E$501&lt;=O347)),1),0))))</f>
        <v/>
      </c>
      <c r="R347" s="43" t="n"/>
      <c r="S347" s="44">
        <f>IF(A347&lt;&gt;"每日跟踪","",IF(Q347="","",MAX(Q347,IFERROR(AGGREGATE(14,6,$R$2:$R$501/(($A$2:$A$501="每日跟踪")*($B$2:$B$501=B347)*($H$2:$H$501&lt;=H347)),1),0))))</f>
        <v/>
      </c>
      <c r="T347" s="44">
        <f>IF(A347&lt;&gt;"每日跟踪","",IF(O347="","",IF(COUNTIFS($A$2:$A$501,"止损计划",$B$2:$B$501,B347,$E$2:$E$501,"&gt;"&amp;O347)=0,"",AGGREGATE(15,6,$E$2:$E$501/(($A$2:$A$501="止损计划")*($B$2:$B$501=B347)*($E$2:$E$501&gt;O347)),1))))</f>
        <v/>
      </c>
      <c r="U347" s="44">
        <f>IF(OR(A347&lt;&gt;"每日跟踪",T347=""),"",IFERROR(AGGREGATE(14,6,$F$2:$F$501/(($A$2:$A$501="止损计划")*($B$2:$B$501=B347)*($E$2:$E$501=T347)),1),""))</f>
        <v/>
      </c>
      <c r="V347" s="30">
        <f>IF(OR(A347&lt;&gt;"每日跟踪",T347="",I347="",I347&lt;=0),"",T347/I347-1)</f>
        <v/>
      </c>
      <c r="W347" s="31">
        <f>IF(A347&lt;&gt;"每日跟踪","",IF(OR(I347="",S347=""),"",IF(I347&lt;=S347,"触发止损：应全部卖出","继续观察")))</f>
        <v/>
      </c>
      <c r="X347" s="28" t="n"/>
      <c r="Y347" s="43" t="n"/>
      <c r="Z347" s="26">
        <f>IF(X347&lt;&gt;"执行卖出","",IFERROR(LOOKUP(2,1/(单次交易!$A$2:$A$201=B347),单次交易!$AP$2:$AP$201),""))</f>
        <v/>
      </c>
      <c r="AA347" s="43" t="n"/>
      <c r="AB347" s="31">
        <f>IF(A347&lt;&gt;"每日跟踪","",IF(OR(B347="",H347="",I347="",J347="",K347="",L347="",M347=""),"待补充每日记录",IF(W347="触发止损：应全部卖出",IF(X347&lt;&gt;"执行卖出","违规：触发止损但未执行",IF(Y347="","待补充实际卖出价","卖出记录完整")),IF(X347="","待选择卖出动作",IF(X347="执行卖出",IF(Y347="","待补充实际卖出价","卖出记录完整"),"正常")))))</f>
        <v/>
      </c>
      <c r="AC347" s="31">
        <f>IF(A347="","",IF(A347="止损计划",IF(OR(B347="",D347="",E347="",F347="",G347=""),"计划不完整",IF(OR(D347&lt;1,D347&lt;&gt;INT(D347)),"阶段序号无效",IF(COUNTIFS($A$2:$A$501,"止损计划",$B$2:$B$501,B347,$D$2:$D$501,D347)&gt;1,"阶段序号重复",IF(E347&lt;=IFERROR(LOOKUP(2,1/('单次交易'!$A$2:$A$201=B347),'单次交易'!$E$2:$E$201),0),"激活价须高于买入价",IF(F347&lt;N347,"止损价不得低于初始止损",IF(F347&gt;E347,"止损价不得高于激活价",IF(AND(COUNTIFS($A$2:$A$501,"止损计划",$B$2:$B$501,B347,$D$2:$D$501,"&lt;"&amp;D347)&gt;0,OR(E347&lt;=AGGREGATE(14,6,$E$2:$E$501/(($A$2:$A$501="止损计划")*($B$2:$B$501=B347)*($D$2:$D$501&lt;D347)),1),F347&lt;AGGREGATE(14,6,$F$2:$F$501/(($A$2:$A$501="止损计划")*($B$2:$B$501=B347)*($D$2:$D$501&lt;D347)),1))),"阶段价格必须逐级提高","计划有效"))))))),IF(A347="每日跟踪",IF(OR(B347="",H347="",I347="",J347=""),"每日数据不完整",IF(COUNTIFS($A$2:$A$501,"每日跟踪",$B$2:$B$501,B347,$H$2:$H$501,H347)&gt;1,"同一交易日期重复",IF(AND(R347&lt;&gt;"",R347&lt;S347),"人工止损无效：不能下调","跟踪有效"))),"记录类型无效")))</f>
        <v/>
      </c>
    </row>
    <row r="348">
      <c r="A348" s="28" t="n"/>
      <c r="B348" s="28" t="n"/>
      <c r="C348" s="31">
        <f>IF(B348="","",IFERROR(LOOKUP(2,1/(单次交易!$A$2:$A$201=B348),单次交易!$B$2:$B$201),""))</f>
        <v/>
      </c>
      <c r="D348" s="27" t="n"/>
      <c r="E348" s="43" t="n"/>
      <c r="F348" s="43" t="n"/>
      <c r="G348" s="28" t="n"/>
      <c r="H348" s="49" t="n"/>
      <c r="I348" s="43" t="n"/>
      <c r="J348" s="27" t="n"/>
      <c r="K348" s="28" t="n"/>
      <c r="L348" s="28" t="n"/>
      <c r="M348" s="28" t="n"/>
      <c r="N348" s="44">
        <f>IF(B348="","",IFERROR(LOOKUP(2,1/(单次交易!$A$2:$A$201=B348),单次交易!$N$2:$N$201),""))</f>
        <v/>
      </c>
      <c r="O348" s="44">
        <f>IF(A348&lt;&gt;"每日跟踪","",IF(OR(B348="",H348="",I348=""),"",IFERROR(AGGREGATE(14,6,$I$2:$I$501/(($A$2:$A$501="每日跟踪")*($B$2:$B$501=B348)*($H$2:$H$501&lt;=H348)),1),"")))</f>
        <v/>
      </c>
      <c r="P348" s="26">
        <f>IF(A348&lt;&gt;"每日跟踪","",IF(O348="","",IFERROR(AGGREGATE(14,6,$D$2:$D$501/(($A$2:$A$501="止损计划")*($B$2:$B$501=B348)*($E$2:$E$501&lt;=O348)),1),0)))</f>
        <v/>
      </c>
      <c r="Q348" s="44">
        <f>IF(A348&lt;&gt;"每日跟踪","",IF(N348="","",MAX(N348,IFERROR(AGGREGATE(14,6,$F$2:$F$501/(($A$2:$A$501="止损计划")*($B$2:$B$501=B348)*($E$2:$E$501&lt;=O348)),1),0))))</f>
        <v/>
      </c>
      <c r="R348" s="43" t="n"/>
      <c r="S348" s="44">
        <f>IF(A348&lt;&gt;"每日跟踪","",IF(Q348="","",MAX(Q348,IFERROR(AGGREGATE(14,6,$R$2:$R$501/(($A$2:$A$501="每日跟踪")*($B$2:$B$501=B348)*($H$2:$H$501&lt;=H348)),1),0))))</f>
        <v/>
      </c>
      <c r="T348" s="44">
        <f>IF(A348&lt;&gt;"每日跟踪","",IF(O348="","",IF(COUNTIFS($A$2:$A$501,"止损计划",$B$2:$B$501,B348,$E$2:$E$501,"&gt;"&amp;O348)=0,"",AGGREGATE(15,6,$E$2:$E$501/(($A$2:$A$501="止损计划")*($B$2:$B$501=B348)*($E$2:$E$501&gt;O348)),1))))</f>
        <v/>
      </c>
      <c r="U348" s="44">
        <f>IF(OR(A348&lt;&gt;"每日跟踪",T348=""),"",IFERROR(AGGREGATE(14,6,$F$2:$F$501/(($A$2:$A$501="止损计划")*($B$2:$B$501=B348)*($E$2:$E$501=T348)),1),""))</f>
        <v/>
      </c>
      <c r="V348" s="30">
        <f>IF(OR(A348&lt;&gt;"每日跟踪",T348="",I348="",I348&lt;=0),"",T348/I348-1)</f>
        <v/>
      </c>
      <c r="W348" s="31">
        <f>IF(A348&lt;&gt;"每日跟踪","",IF(OR(I348="",S348=""),"",IF(I348&lt;=S348,"触发止损：应全部卖出","继续观察")))</f>
        <v/>
      </c>
      <c r="X348" s="28" t="n"/>
      <c r="Y348" s="43" t="n"/>
      <c r="Z348" s="26">
        <f>IF(X348&lt;&gt;"执行卖出","",IFERROR(LOOKUP(2,1/(单次交易!$A$2:$A$201=B348),单次交易!$AP$2:$AP$201),""))</f>
        <v/>
      </c>
      <c r="AA348" s="43" t="n"/>
      <c r="AB348" s="31">
        <f>IF(A348&lt;&gt;"每日跟踪","",IF(OR(B348="",H348="",I348="",J348="",K348="",L348="",M348=""),"待补充每日记录",IF(W348="触发止损：应全部卖出",IF(X348&lt;&gt;"执行卖出","违规：触发止损但未执行",IF(Y348="","待补充实际卖出价","卖出记录完整")),IF(X348="","待选择卖出动作",IF(X348="执行卖出",IF(Y348="","待补充实际卖出价","卖出记录完整"),"正常")))))</f>
        <v/>
      </c>
      <c r="AC348" s="31">
        <f>IF(A348="","",IF(A348="止损计划",IF(OR(B348="",D348="",E348="",F348="",G348=""),"计划不完整",IF(OR(D348&lt;1,D348&lt;&gt;INT(D348)),"阶段序号无效",IF(COUNTIFS($A$2:$A$501,"止损计划",$B$2:$B$501,B348,$D$2:$D$501,D348)&gt;1,"阶段序号重复",IF(E348&lt;=IFERROR(LOOKUP(2,1/('单次交易'!$A$2:$A$201=B348),'单次交易'!$E$2:$E$201),0),"激活价须高于买入价",IF(F348&lt;N348,"止损价不得低于初始止损",IF(F348&gt;E348,"止损价不得高于激活价",IF(AND(COUNTIFS($A$2:$A$501,"止损计划",$B$2:$B$501,B348,$D$2:$D$501,"&lt;"&amp;D348)&gt;0,OR(E348&lt;=AGGREGATE(14,6,$E$2:$E$501/(($A$2:$A$501="止损计划")*($B$2:$B$501=B348)*($D$2:$D$501&lt;D348)),1),F348&lt;AGGREGATE(14,6,$F$2:$F$501/(($A$2:$A$501="止损计划")*($B$2:$B$501=B348)*($D$2:$D$501&lt;D348)),1))),"阶段价格必须逐级提高","计划有效"))))))),IF(A348="每日跟踪",IF(OR(B348="",H348="",I348="",J348=""),"每日数据不完整",IF(COUNTIFS($A$2:$A$501,"每日跟踪",$B$2:$B$501,B348,$H$2:$H$501,H348)&gt;1,"同一交易日期重复",IF(AND(R348&lt;&gt;"",R348&lt;S348),"人工止损无效：不能下调","跟踪有效"))),"记录类型无效")))</f>
        <v/>
      </c>
    </row>
    <row r="349">
      <c r="A349" s="28" t="n"/>
      <c r="B349" s="28" t="n"/>
      <c r="C349" s="31">
        <f>IF(B349="","",IFERROR(LOOKUP(2,1/(单次交易!$A$2:$A$201=B349),单次交易!$B$2:$B$201),""))</f>
        <v/>
      </c>
      <c r="D349" s="27" t="n"/>
      <c r="E349" s="43" t="n"/>
      <c r="F349" s="43" t="n"/>
      <c r="G349" s="28" t="n"/>
      <c r="H349" s="49" t="n"/>
      <c r="I349" s="43" t="n"/>
      <c r="J349" s="27" t="n"/>
      <c r="K349" s="28" t="n"/>
      <c r="L349" s="28" t="n"/>
      <c r="M349" s="28" t="n"/>
      <c r="N349" s="44">
        <f>IF(B349="","",IFERROR(LOOKUP(2,1/(单次交易!$A$2:$A$201=B349),单次交易!$N$2:$N$201),""))</f>
        <v/>
      </c>
      <c r="O349" s="44">
        <f>IF(A349&lt;&gt;"每日跟踪","",IF(OR(B349="",H349="",I349=""),"",IFERROR(AGGREGATE(14,6,$I$2:$I$501/(($A$2:$A$501="每日跟踪")*($B$2:$B$501=B349)*($H$2:$H$501&lt;=H349)),1),"")))</f>
        <v/>
      </c>
      <c r="P349" s="26">
        <f>IF(A349&lt;&gt;"每日跟踪","",IF(O349="","",IFERROR(AGGREGATE(14,6,$D$2:$D$501/(($A$2:$A$501="止损计划")*($B$2:$B$501=B349)*($E$2:$E$501&lt;=O349)),1),0)))</f>
        <v/>
      </c>
      <c r="Q349" s="44">
        <f>IF(A349&lt;&gt;"每日跟踪","",IF(N349="","",MAX(N349,IFERROR(AGGREGATE(14,6,$F$2:$F$501/(($A$2:$A$501="止损计划")*($B$2:$B$501=B349)*($E$2:$E$501&lt;=O349)),1),0))))</f>
        <v/>
      </c>
      <c r="R349" s="43" t="n"/>
      <c r="S349" s="44">
        <f>IF(A349&lt;&gt;"每日跟踪","",IF(Q349="","",MAX(Q349,IFERROR(AGGREGATE(14,6,$R$2:$R$501/(($A$2:$A$501="每日跟踪")*($B$2:$B$501=B349)*($H$2:$H$501&lt;=H349)),1),0))))</f>
        <v/>
      </c>
      <c r="T349" s="44">
        <f>IF(A349&lt;&gt;"每日跟踪","",IF(O349="","",IF(COUNTIFS($A$2:$A$501,"止损计划",$B$2:$B$501,B349,$E$2:$E$501,"&gt;"&amp;O349)=0,"",AGGREGATE(15,6,$E$2:$E$501/(($A$2:$A$501="止损计划")*($B$2:$B$501=B349)*($E$2:$E$501&gt;O349)),1))))</f>
        <v/>
      </c>
      <c r="U349" s="44">
        <f>IF(OR(A349&lt;&gt;"每日跟踪",T349=""),"",IFERROR(AGGREGATE(14,6,$F$2:$F$501/(($A$2:$A$501="止损计划")*($B$2:$B$501=B349)*($E$2:$E$501=T349)),1),""))</f>
        <v/>
      </c>
      <c r="V349" s="30">
        <f>IF(OR(A349&lt;&gt;"每日跟踪",T349="",I349="",I349&lt;=0),"",T349/I349-1)</f>
        <v/>
      </c>
      <c r="W349" s="31">
        <f>IF(A349&lt;&gt;"每日跟踪","",IF(OR(I349="",S349=""),"",IF(I349&lt;=S349,"触发止损：应全部卖出","继续观察")))</f>
        <v/>
      </c>
      <c r="X349" s="28" t="n"/>
      <c r="Y349" s="43" t="n"/>
      <c r="Z349" s="26">
        <f>IF(X349&lt;&gt;"执行卖出","",IFERROR(LOOKUP(2,1/(单次交易!$A$2:$A$201=B349),单次交易!$AP$2:$AP$201),""))</f>
        <v/>
      </c>
      <c r="AA349" s="43" t="n"/>
      <c r="AB349" s="31">
        <f>IF(A349&lt;&gt;"每日跟踪","",IF(OR(B349="",H349="",I349="",J349="",K349="",L349="",M349=""),"待补充每日记录",IF(W349="触发止损：应全部卖出",IF(X349&lt;&gt;"执行卖出","违规：触发止损但未执行",IF(Y349="","待补充实际卖出价","卖出记录完整")),IF(X349="","待选择卖出动作",IF(X349="执行卖出",IF(Y349="","待补充实际卖出价","卖出记录完整"),"正常")))))</f>
        <v/>
      </c>
      <c r="AC349" s="31">
        <f>IF(A349="","",IF(A349="止损计划",IF(OR(B349="",D349="",E349="",F349="",G349=""),"计划不完整",IF(OR(D349&lt;1,D349&lt;&gt;INT(D349)),"阶段序号无效",IF(COUNTIFS($A$2:$A$501,"止损计划",$B$2:$B$501,B349,$D$2:$D$501,D349)&gt;1,"阶段序号重复",IF(E349&lt;=IFERROR(LOOKUP(2,1/('单次交易'!$A$2:$A$201=B349),'单次交易'!$E$2:$E$201),0),"激活价须高于买入价",IF(F349&lt;N349,"止损价不得低于初始止损",IF(F349&gt;E349,"止损价不得高于激活价",IF(AND(COUNTIFS($A$2:$A$501,"止损计划",$B$2:$B$501,B349,$D$2:$D$501,"&lt;"&amp;D349)&gt;0,OR(E349&lt;=AGGREGATE(14,6,$E$2:$E$501/(($A$2:$A$501="止损计划")*($B$2:$B$501=B349)*($D$2:$D$501&lt;D349)),1),F349&lt;AGGREGATE(14,6,$F$2:$F$501/(($A$2:$A$501="止损计划")*($B$2:$B$501=B349)*($D$2:$D$501&lt;D349)),1))),"阶段价格必须逐级提高","计划有效"))))))),IF(A349="每日跟踪",IF(OR(B349="",H349="",I349="",J349=""),"每日数据不完整",IF(COUNTIFS($A$2:$A$501,"每日跟踪",$B$2:$B$501,B349,$H$2:$H$501,H349)&gt;1,"同一交易日期重复",IF(AND(R349&lt;&gt;"",R349&lt;S349),"人工止损无效：不能下调","跟踪有效"))),"记录类型无效")))</f>
        <v/>
      </c>
    </row>
    <row r="350">
      <c r="A350" s="28" t="n"/>
      <c r="B350" s="28" t="n"/>
      <c r="C350" s="31">
        <f>IF(B350="","",IFERROR(LOOKUP(2,1/(单次交易!$A$2:$A$201=B350),单次交易!$B$2:$B$201),""))</f>
        <v/>
      </c>
      <c r="D350" s="27" t="n"/>
      <c r="E350" s="43" t="n"/>
      <c r="F350" s="43" t="n"/>
      <c r="G350" s="28" t="n"/>
      <c r="H350" s="49" t="n"/>
      <c r="I350" s="43" t="n"/>
      <c r="J350" s="27" t="n"/>
      <c r="K350" s="28" t="n"/>
      <c r="L350" s="28" t="n"/>
      <c r="M350" s="28" t="n"/>
      <c r="N350" s="44">
        <f>IF(B350="","",IFERROR(LOOKUP(2,1/(单次交易!$A$2:$A$201=B350),单次交易!$N$2:$N$201),""))</f>
        <v/>
      </c>
      <c r="O350" s="44">
        <f>IF(A350&lt;&gt;"每日跟踪","",IF(OR(B350="",H350="",I350=""),"",IFERROR(AGGREGATE(14,6,$I$2:$I$501/(($A$2:$A$501="每日跟踪")*($B$2:$B$501=B350)*($H$2:$H$501&lt;=H350)),1),"")))</f>
        <v/>
      </c>
      <c r="P350" s="26">
        <f>IF(A350&lt;&gt;"每日跟踪","",IF(O350="","",IFERROR(AGGREGATE(14,6,$D$2:$D$501/(($A$2:$A$501="止损计划")*($B$2:$B$501=B350)*($E$2:$E$501&lt;=O350)),1),0)))</f>
        <v/>
      </c>
      <c r="Q350" s="44">
        <f>IF(A350&lt;&gt;"每日跟踪","",IF(N350="","",MAX(N350,IFERROR(AGGREGATE(14,6,$F$2:$F$501/(($A$2:$A$501="止损计划")*($B$2:$B$501=B350)*($E$2:$E$501&lt;=O350)),1),0))))</f>
        <v/>
      </c>
      <c r="R350" s="43" t="n"/>
      <c r="S350" s="44">
        <f>IF(A350&lt;&gt;"每日跟踪","",IF(Q350="","",MAX(Q350,IFERROR(AGGREGATE(14,6,$R$2:$R$501/(($A$2:$A$501="每日跟踪")*($B$2:$B$501=B350)*($H$2:$H$501&lt;=H350)),1),0))))</f>
        <v/>
      </c>
      <c r="T350" s="44">
        <f>IF(A350&lt;&gt;"每日跟踪","",IF(O350="","",IF(COUNTIFS($A$2:$A$501,"止损计划",$B$2:$B$501,B350,$E$2:$E$501,"&gt;"&amp;O350)=0,"",AGGREGATE(15,6,$E$2:$E$501/(($A$2:$A$501="止损计划")*($B$2:$B$501=B350)*($E$2:$E$501&gt;O350)),1))))</f>
        <v/>
      </c>
      <c r="U350" s="44">
        <f>IF(OR(A350&lt;&gt;"每日跟踪",T350=""),"",IFERROR(AGGREGATE(14,6,$F$2:$F$501/(($A$2:$A$501="止损计划")*($B$2:$B$501=B350)*($E$2:$E$501=T350)),1),""))</f>
        <v/>
      </c>
      <c r="V350" s="30">
        <f>IF(OR(A350&lt;&gt;"每日跟踪",T350="",I350="",I350&lt;=0),"",T350/I350-1)</f>
        <v/>
      </c>
      <c r="W350" s="31">
        <f>IF(A350&lt;&gt;"每日跟踪","",IF(OR(I350="",S350=""),"",IF(I350&lt;=S350,"触发止损：应全部卖出","继续观察")))</f>
        <v/>
      </c>
      <c r="X350" s="28" t="n"/>
      <c r="Y350" s="43" t="n"/>
      <c r="Z350" s="26">
        <f>IF(X350&lt;&gt;"执行卖出","",IFERROR(LOOKUP(2,1/(单次交易!$A$2:$A$201=B350),单次交易!$AP$2:$AP$201),""))</f>
        <v/>
      </c>
      <c r="AA350" s="43" t="n"/>
      <c r="AB350" s="31">
        <f>IF(A350&lt;&gt;"每日跟踪","",IF(OR(B350="",H350="",I350="",J350="",K350="",L350="",M350=""),"待补充每日记录",IF(W350="触发止损：应全部卖出",IF(X350&lt;&gt;"执行卖出","违规：触发止损但未执行",IF(Y350="","待补充实际卖出价","卖出记录完整")),IF(X350="","待选择卖出动作",IF(X350="执行卖出",IF(Y350="","待补充实际卖出价","卖出记录完整"),"正常")))))</f>
        <v/>
      </c>
      <c r="AC350" s="31">
        <f>IF(A350="","",IF(A350="止损计划",IF(OR(B350="",D350="",E350="",F350="",G350=""),"计划不完整",IF(OR(D350&lt;1,D350&lt;&gt;INT(D350)),"阶段序号无效",IF(COUNTIFS($A$2:$A$501,"止损计划",$B$2:$B$501,B350,$D$2:$D$501,D350)&gt;1,"阶段序号重复",IF(E350&lt;=IFERROR(LOOKUP(2,1/('单次交易'!$A$2:$A$201=B350),'单次交易'!$E$2:$E$201),0),"激活价须高于买入价",IF(F350&lt;N350,"止损价不得低于初始止损",IF(F350&gt;E350,"止损价不得高于激活价",IF(AND(COUNTIFS($A$2:$A$501,"止损计划",$B$2:$B$501,B350,$D$2:$D$501,"&lt;"&amp;D350)&gt;0,OR(E350&lt;=AGGREGATE(14,6,$E$2:$E$501/(($A$2:$A$501="止损计划")*($B$2:$B$501=B350)*($D$2:$D$501&lt;D350)),1),F350&lt;AGGREGATE(14,6,$F$2:$F$501/(($A$2:$A$501="止损计划")*($B$2:$B$501=B350)*($D$2:$D$501&lt;D350)),1))),"阶段价格必须逐级提高","计划有效"))))))),IF(A350="每日跟踪",IF(OR(B350="",H350="",I350="",J350=""),"每日数据不完整",IF(COUNTIFS($A$2:$A$501,"每日跟踪",$B$2:$B$501,B350,$H$2:$H$501,H350)&gt;1,"同一交易日期重复",IF(AND(R350&lt;&gt;"",R350&lt;S350),"人工止损无效：不能下调","跟踪有效"))),"记录类型无效")))</f>
        <v/>
      </c>
    </row>
    <row r="351">
      <c r="A351" s="28" t="n"/>
      <c r="B351" s="28" t="n"/>
      <c r="C351" s="31">
        <f>IF(B351="","",IFERROR(LOOKUP(2,1/(单次交易!$A$2:$A$201=B351),单次交易!$B$2:$B$201),""))</f>
        <v/>
      </c>
      <c r="D351" s="27" t="n"/>
      <c r="E351" s="43" t="n"/>
      <c r="F351" s="43" t="n"/>
      <c r="G351" s="28" t="n"/>
      <c r="H351" s="49" t="n"/>
      <c r="I351" s="43" t="n"/>
      <c r="J351" s="27" t="n"/>
      <c r="K351" s="28" t="n"/>
      <c r="L351" s="28" t="n"/>
      <c r="M351" s="28" t="n"/>
      <c r="N351" s="44">
        <f>IF(B351="","",IFERROR(LOOKUP(2,1/(单次交易!$A$2:$A$201=B351),单次交易!$N$2:$N$201),""))</f>
        <v/>
      </c>
      <c r="O351" s="44">
        <f>IF(A351&lt;&gt;"每日跟踪","",IF(OR(B351="",H351="",I351=""),"",IFERROR(AGGREGATE(14,6,$I$2:$I$501/(($A$2:$A$501="每日跟踪")*($B$2:$B$501=B351)*($H$2:$H$501&lt;=H351)),1),"")))</f>
        <v/>
      </c>
      <c r="P351" s="26">
        <f>IF(A351&lt;&gt;"每日跟踪","",IF(O351="","",IFERROR(AGGREGATE(14,6,$D$2:$D$501/(($A$2:$A$501="止损计划")*($B$2:$B$501=B351)*($E$2:$E$501&lt;=O351)),1),0)))</f>
        <v/>
      </c>
      <c r="Q351" s="44">
        <f>IF(A351&lt;&gt;"每日跟踪","",IF(N351="","",MAX(N351,IFERROR(AGGREGATE(14,6,$F$2:$F$501/(($A$2:$A$501="止损计划")*($B$2:$B$501=B351)*($E$2:$E$501&lt;=O351)),1),0))))</f>
        <v/>
      </c>
      <c r="R351" s="43" t="n"/>
      <c r="S351" s="44">
        <f>IF(A351&lt;&gt;"每日跟踪","",IF(Q351="","",MAX(Q351,IFERROR(AGGREGATE(14,6,$R$2:$R$501/(($A$2:$A$501="每日跟踪")*($B$2:$B$501=B351)*($H$2:$H$501&lt;=H351)),1),0))))</f>
        <v/>
      </c>
      <c r="T351" s="44">
        <f>IF(A351&lt;&gt;"每日跟踪","",IF(O351="","",IF(COUNTIFS($A$2:$A$501,"止损计划",$B$2:$B$501,B351,$E$2:$E$501,"&gt;"&amp;O351)=0,"",AGGREGATE(15,6,$E$2:$E$501/(($A$2:$A$501="止损计划")*($B$2:$B$501=B351)*($E$2:$E$501&gt;O351)),1))))</f>
        <v/>
      </c>
      <c r="U351" s="44">
        <f>IF(OR(A351&lt;&gt;"每日跟踪",T351=""),"",IFERROR(AGGREGATE(14,6,$F$2:$F$501/(($A$2:$A$501="止损计划")*($B$2:$B$501=B351)*($E$2:$E$501=T351)),1),""))</f>
        <v/>
      </c>
      <c r="V351" s="30">
        <f>IF(OR(A351&lt;&gt;"每日跟踪",T351="",I351="",I351&lt;=0),"",T351/I351-1)</f>
        <v/>
      </c>
      <c r="W351" s="31">
        <f>IF(A351&lt;&gt;"每日跟踪","",IF(OR(I351="",S351=""),"",IF(I351&lt;=S351,"触发止损：应全部卖出","继续观察")))</f>
        <v/>
      </c>
      <c r="X351" s="28" t="n"/>
      <c r="Y351" s="43" t="n"/>
      <c r="Z351" s="26">
        <f>IF(X351&lt;&gt;"执行卖出","",IFERROR(LOOKUP(2,1/(单次交易!$A$2:$A$201=B351),单次交易!$AP$2:$AP$201),""))</f>
        <v/>
      </c>
      <c r="AA351" s="43" t="n"/>
      <c r="AB351" s="31">
        <f>IF(A351&lt;&gt;"每日跟踪","",IF(OR(B351="",H351="",I351="",J351="",K351="",L351="",M351=""),"待补充每日记录",IF(W351="触发止损：应全部卖出",IF(X351&lt;&gt;"执行卖出","违规：触发止损但未执行",IF(Y351="","待补充实际卖出价","卖出记录完整")),IF(X351="","待选择卖出动作",IF(X351="执行卖出",IF(Y351="","待补充实际卖出价","卖出记录完整"),"正常")))))</f>
        <v/>
      </c>
      <c r="AC351" s="31">
        <f>IF(A351="","",IF(A351="止损计划",IF(OR(B351="",D351="",E351="",F351="",G351=""),"计划不完整",IF(OR(D351&lt;1,D351&lt;&gt;INT(D351)),"阶段序号无效",IF(COUNTIFS($A$2:$A$501,"止损计划",$B$2:$B$501,B351,$D$2:$D$501,D351)&gt;1,"阶段序号重复",IF(E351&lt;=IFERROR(LOOKUP(2,1/('单次交易'!$A$2:$A$201=B351),'单次交易'!$E$2:$E$201),0),"激活价须高于买入价",IF(F351&lt;N351,"止损价不得低于初始止损",IF(F351&gt;E351,"止损价不得高于激活价",IF(AND(COUNTIFS($A$2:$A$501,"止损计划",$B$2:$B$501,B351,$D$2:$D$501,"&lt;"&amp;D351)&gt;0,OR(E351&lt;=AGGREGATE(14,6,$E$2:$E$501/(($A$2:$A$501="止损计划")*($B$2:$B$501=B351)*($D$2:$D$501&lt;D351)),1),F351&lt;AGGREGATE(14,6,$F$2:$F$501/(($A$2:$A$501="止损计划")*($B$2:$B$501=B351)*($D$2:$D$501&lt;D351)),1))),"阶段价格必须逐级提高","计划有效"))))))),IF(A351="每日跟踪",IF(OR(B351="",H351="",I351="",J351=""),"每日数据不完整",IF(COUNTIFS($A$2:$A$501,"每日跟踪",$B$2:$B$501,B351,$H$2:$H$501,H351)&gt;1,"同一交易日期重复",IF(AND(R351&lt;&gt;"",R351&lt;S351),"人工止损无效：不能下调","跟踪有效"))),"记录类型无效")))</f>
        <v/>
      </c>
    </row>
    <row r="352">
      <c r="A352" s="28" t="n"/>
      <c r="B352" s="28" t="n"/>
      <c r="C352" s="31">
        <f>IF(B352="","",IFERROR(LOOKUP(2,1/(单次交易!$A$2:$A$201=B352),单次交易!$B$2:$B$201),""))</f>
        <v/>
      </c>
      <c r="D352" s="27" t="n"/>
      <c r="E352" s="43" t="n"/>
      <c r="F352" s="43" t="n"/>
      <c r="G352" s="28" t="n"/>
      <c r="H352" s="49" t="n"/>
      <c r="I352" s="43" t="n"/>
      <c r="J352" s="27" t="n"/>
      <c r="K352" s="28" t="n"/>
      <c r="L352" s="28" t="n"/>
      <c r="M352" s="28" t="n"/>
      <c r="N352" s="44">
        <f>IF(B352="","",IFERROR(LOOKUP(2,1/(单次交易!$A$2:$A$201=B352),单次交易!$N$2:$N$201),""))</f>
        <v/>
      </c>
      <c r="O352" s="44">
        <f>IF(A352&lt;&gt;"每日跟踪","",IF(OR(B352="",H352="",I352=""),"",IFERROR(AGGREGATE(14,6,$I$2:$I$501/(($A$2:$A$501="每日跟踪")*($B$2:$B$501=B352)*($H$2:$H$501&lt;=H352)),1),"")))</f>
        <v/>
      </c>
      <c r="P352" s="26">
        <f>IF(A352&lt;&gt;"每日跟踪","",IF(O352="","",IFERROR(AGGREGATE(14,6,$D$2:$D$501/(($A$2:$A$501="止损计划")*($B$2:$B$501=B352)*($E$2:$E$501&lt;=O352)),1),0)))</f>
        <v/>
      </c>
      <c r="Q352" s="44">
        <f>IF(A352&lt;&gt;"每日跟踪","",IF(N352="","",MAX(N352,IFERROR(AGGREGATE(14,6,$F$2:$F$501/(($A$2:$A$501="止损计划")*($B$2:$B$501=B352)*($E$2:$E$501&lt;=O352)),1),0))))</f>
        <v/>
      </c>
      <c r="R352" s="43" t="n"/>
      <c r="S352" s="44">
        <f>IF(A352&lt;&gt;"每日跟踪","",IF(Q352="","",MAX(Q352,IFERROR(AGGREGATE(14,6,$R$2:$R$501/(($A$2:$A$501="每日跟踪")*($B$2:$B$501=B352)*($H$2:$H$501&lt;=H352)),1),0))))</f>
        <v/>
      </c>
      <c r="T352" s="44">
        <f>IF(A352&lt;&gt;"每日跟踪","",IF(O352="","",IF(COUNTIFS($A$2:$A$501,"止损计划",$B$2:$B$501,B352,$E$2:$E$501,"&gt;"&amp;O352)=0,"",AGGREGATE(15,6,$E$2:$E$501/(($A$2:$A$501="止损计划")*($B$2:$B$501=B352)*($E$2:$E$501&gt;O352)),1))))</f>
        <v/>
      </c>
      <c r="U352" s="44">
        <f>IF(OR(A352&lt;&gt;"每日跟踪",T352=""),"",IFERROR(AGGREGATE(14,6,$F$2:$F$501/(($A$2:$A$501="止损计划")*($B$2:$B$501=B352)*($E$2:$E$501=T352)),1),""))</f>
        <v/>
      </c>
      <c r="V352" s="30">
        <f>IF(OR(A352&lt;&gt;"每日跟踪",T352="",I352="",I352&lt;=0),"",T352/I352-1)</f>
        <v/>
      </c>
      <c r="W352" s="31">
        <f>IF(A352&lt;&gt;"每日跟踪","",IF(OR(I352="",S352=""),"",IF(I352&lt;=S352,"触发止损：应全部卖出","继续观察")))</f>
        <v/>
      </c>
      <c r="X352" s="28" t="n"/>
      <c r="Y352" s="43" t="n"/>
      <c r="Z352" s="26">
        <f>IF(X352&lt;&gt;"执行卖出","",IFERROR(LOOKUP(2,1/(单次交易!$A$2:$A$201=B352),单次交易!$AP$2:$AP$201),""))</f>
        <v/>
      </c>
      <c r="AA352" s="43" t="n"/>
      <c r="AB352" s="31">
        <f>IF(A352&lt;&gt;"每日跟踪","",IF(OR(B352="",H352="",I352="",J352="",K352="",L352="",M352=""),"待补充每日记录",IF(W352="触发止损：应全部卖出",IF(X352&lt;&gt;"执行卖出","违规：触发止损但未执行",IF(Y352="","待补充实际卖出价","卖出记录完整")),IF(X352="","待选择卖出动作",IF(X352="执行卖出",IF(Y352="","待补充实际卖出价","卖出记录完整"),"正常")))))</f>
        <v/>
      </c>
      <c r="AC352" s="31">
        <f>IF(A352="","",IF(A352="止损计划",IF(OR(B352="",D352="",E352="",F352="",G352=""),"计划不完整",IF(OR(D352&lt;1,D352&lt;&gt;INT(D352)),"阶段序号无效",IF(COUNTIFS($A$2:$A$501,"止损计划",$B$2:$B$501,B352,$D$2:$D$501,D352)&gt;1,"阶段序号重复",IF(E352&lt;=IFERROR(LOOKUP(2,1/('单次交易'!$A$2:$A$201=B352),'单次交易'!$E$2:$E$201),0),"激活价须高于买入价",IF(F352&lt;N352,"止损价不得低于初始止损",IF(F352&gt;E352,"止损价不得高于激活价",IF(AND(COUNTIFS($A$2:$A$501,"止损计划",$B$2:$B$501,B352,$D$2:$D$501,"&lt;"&amp;D352)&gt;0,OR(E352&lt;=AGGREGATE(14,6,$E$2:$E$501/(($A$2:$A$501="止损计划")*($B$2:$B$501=B352)*($D$2:$D$501&lt;D352)),1),F352&lt;AGGREGATE(14,6,$F$2:$F$501/(($A$2:$A$501="止损计划")*($B$2:$B$501=B352)*($D$2:$D$501&lt;D352)),1))),"阶段价格必须逐级提高","计划有效"))))))),IF(A352="每日跟踪",IF(OR(B352="",H352="",I352="",J352=""),"每日数据不完整",IF(COUNTIFS($A$2:$A$501,"每日跟踪",$B$2:$B$501,B352,$H$2:$H$501,H352)&gt;1,"同一交易日期重复",IF(AND(R352&lt;&gt;"",R352&lt;S352),"人工止损无效：不能下调","跟踪有效"))),"记录类型无效")))</f>
        <v/>
      </c>
    </row>
    <row r="353">
      <c r="A353" s="28" t="n"/>
      <c r="B353" s="28" t="n"/>
      <c r="C353" s="31">
        <f>IF(B353="","",IFERROR(LOOKUP(2,1/(单次交易!$A$2:$A$201=B353),单次交易!$B$2:$B$201),""))</f>
        <v/>
      </c>
      <c r="D353" s="27" t="n"/>
      <c r="E353" s="43" t="n"/>
      <c r="F353" s="43" t="n"/>
      <c r="G353" s="28" t="n"/>
      <c r="H353" s="49" t="n"/>
      <c r="I353" s="43" t="n"/>
      <c r="J353" s="27" t="n"/>
      <c r="K353" s="28" t="n"/>
      <c r="L353" s="28" t="n"/>
      <c r="M353" s="28" t="n"/>
      <c r="N353" s="44">
        <f>IF(B353="","",IFERROR(LOOKUP(2,1/(单次交易!$A$2:$A$201=B353),单次交易!$N$2:$N$201),""))</f>
        <v/>
      </c>
      <c r="O353" s="44">
        <f>IF(A353&lt;&gt;"每日跟踪","",IF(OR(B353="",H353="",I353=""),"",IFERROR(AGGREGATE(14,6,$I$2:$I$501/(($A$2:$A$501="每日跟踪")*($B$2:$B$501=B353)*($H$2:$H$501&lt;=H353)),1),"")))</f>
        <v/>
      </c>
      <c r="P353" s="26">
        <f>IF(A353&lt;&gt;"每日跟踪","",IF(O353="","",IFERROR(AGGREGATE(14,6,$D$2:$D$501/(($A$2:$A$501="止损计划")*($B$2:$B$501=B353)*($E$2:$E$501&lt;=O353)),1),0)))</f>
        <v/>
      </c>
      <c r="Q353" s="44">
        <f>IF(A353&lt;&gt;"每日跟踪","",IF(N353="","",MAX(N353,IFERROR(AGGREGATE(14,6,$F$2:$F$501/(($A$2:$A$501="止损计划")*($B$2:$B$501=B353)*($E$2:$E$501&lt;=O353)),1),0))))</f>
        <v/>
      </c>
      <c r="R353" s="43" t="n"/>
      <c r="S353" s="44">
        <f>IF(A353&lt;&gt;"每日跟踪","",IF(Q353="","",MAX(Q353,IFERROR(AGGREGATE(14,6,$R$2:$R$501/(($A$2:$A$501="每日跟踪")*($B$2:$B$501=B353)*($H$2:$H$501&lt;=H353)),1),0))))</f>
        <v/>
      </c>
      <c r="T353" s="44">
        <f>IF(A353&lt;&gt;"每日跟踪","",IF(O353="","",IF(COUNTIFS($A$2:$A$501,"止损计划",$B$2:$B$501,B353,$E$2:$E$501,"&gt;"&amp;O353)=0,"",AGGREGATE(15,6,$E$2:$E$501/(($A$2:$A$501="止损计划")*($B$2:$B$501=B353)*($E$2:$E$501&gt;O353)),1))))</f>
        <v/>
      </c>
      <c r="U353" s="44">
        <f>IF(OR(A353&lt;&gt;"每日跟踪",T353=""),"",IFERROR(AGGREGATE(14,6,$F$2:$F$501/(($A$2:$A$501="止损计划")*($B$2:$B$501=B353)*($E$2:$E$501=T353)),1),""))</f>
        <v/>
      </c>
      <c r="V353" s="30">
        <f>IF(OR(A353&lt;&gt;"每日跟踪",T353="",I353="",I353&lt;=0),"",T353/I353-1)</f>
        <v/>
      </c>
      <c r="W353" s="31">
        <f>IF(A353&lt;&gt;"每日跟踪","",IF(OR(I353="",S353=""),"",IF(I353&lt;=S353,"触发止损：应全部卖出","继续观察")))</f>
        <v/>
      </c>
      <c r="X353" s="28" t="n"/>
      <c r="Y353" s="43" t="n"/>
      <c r="Z353" s="26">
        <f>IF(X353&lt;&gt;"执行卖出","",IFERROR(LOOKUP(2,1/(单次交易!$A$2:$A$201=B353),单次交易!$AP$2:$AP$201),""))</f>
        <v/>
      </c>
      <c r="AA353" s="43" t="n"/>
      <c r="AB353" s="31">
        <f>IF(A353&lt;&gt;"每日跟踪","",IF(OR(B353="",H353="",I353="",J353="",K353="",L353="",M353=""),"待补充每日记录",IF(W353="触发止损：应全部卖出",IF(X353&lt;&gt;"执行卖出","违规：触发止损但未执行",IF(Y353="","待补充实际卖出价","卖出记录完整")),IF(X353="","待选择卖出动作",IF(X353="执行卖出",IF(Y353="","待补充实际卖出价","卖出记录完整"),"正常")))))</f>
        <v/>
      </c>
      <c r="AC353" s="31">
        <f>IF(A353="","",IF(A353="止损计划",IF(OR(B353="",D353="",E353="",F353="",G353=""),"计划不完整",IF(OR(D353&lt;1,D353&lt;&gt;INT(D353)),"阶段序号无效",IF(COUNTIFS($A$2:$A$501,"止损计划",$B$2:$B$501,B353,$D$2:$D$501,D353)&gt;1,"阶段序号重复",IF(E353&lt;=IFERROR(LOOKUP(2,1/('单次交易'!$A$2:$A$201=B353),'单次交易'!$E$2:$E$201),0),"激活价须高于买入价",IF(F353&lt;N353,"止损价不得低于初始止损",IF(F353&gt;E353,"止损价不得高于激活价",IF(AND(COUNTIFS($A$2:$A$501,"止损计划",$B$2:$B$501,B353,$D$2:$D$501,"&lt;"&amp;D353)&gt;0,OR(E353&lt;=AGGREGATE(14,6,$E$2:$E$501/(($A$2:$A$501="止损计划")*($B$2:$B$501=B353)*($D$2:$D$501&lt;D353)),1),F353&lt;AGGREGATE(14,6,$F$2:$F$501/(($A$2:$A$501="止损计划")*($B$2:$B$501=B353)*($D$2:$D$501&lt;D353)),1))),"阶段价格必须逐级提高","计划有效"))))))),IF(A353="每日跟踪",IF(OR(B353="",H353="",I353="",J353=""),"每日数据不完整",IF(COUNTIFS($A$2:$A$501,"每日跟踪",$B$2:$B$501,B353,$H$2:$H$501,H353)&gt;1,"同一交易日期重复",IF(AND(R353&lt;&gt;"",R353&lt;S353),"人工止损无效：不能下调","跟踪有效"))),"记录类型无效")))</f>
        <v/>
      </c>
    </row>
    <row r="354">
      <c r="A354" s="28" t="n"/>
      <c r="B354" s="28" t="n"/>
      <c r="C354" s="31">
        <f>IF(B354="","",IFERROR(LOOKUP(2,1/(单次交易!$A$2:$A$201=B354),单次交易!$B$2:$B$201),""))</f>
        <v/>
      </c>
      <c r="D354" s="27" t="n"/>
      <c r="E354" s="43" t="n"/>
      <c r="F354" s="43" t="n"/>
      <c r="G354" s="28" t="n"/>
      <c r="H354" s="49" t="n"/>
      <c r="I354" s="43" t="n"/>
      <c r="J354" s="27" t="n"/>
      <c r="K354" s="28" t="n"/>
      <c r="L354" s="28" t="n"/>
      <c r="M354" s="28" t="n"/>
      <c r="N354" s="44">
        <f>IF(B354="","",IFERROR(LOOKUP(2,1/(单次交易!$A$2:$A$201=B354),单次交易!$N$2:$N$201),""))</f>
        <v/>
      </c>
      <c r="O354" s="44">
        <f>IF(A354&lt;&gt;"每日跟踪","",IF(OR(B354="",H354="",I354=""),"",IFERROR(AGGREGATE(14,6,$I$2:$I$501/(($A$2:$A$501="每日跟踪")*($B$2:$B$501=B354)*($H$2:$H$501&lt;=H354)),1),"")))</f>
        <v/>
      </c>
      <c r="P354" s="26">
        <f>IF(A354&lt;&gt;"每日跟踪","",IF(O354="","",IFERROR(AGGREGATE(14,6,$D$2:$D$501/(($A$2:$A$501="止损计划")*($B$2:$B$501=B354)*($E$2:$E$501&lt;=O354)),1),0)))</f>
        <v/>
      </c>
      <c r="Q354" s="44">
        <f>IF(A354&lt;&gt;"每日跟踪","",IF(N354="","",MAX(N354,IFERROR(AGGREGATE(14,6,$F$2:$F$501/(($A$2:$A$501="止损计划")*($B$2:$B$501=B354)*($E$2:$E$501&lt;=O354)),1),0))))</f>
        <v/>
      </c>
      <c r="R354" s="43" t="n"/>
      <c r="S354" s="44">
        <f>IF(A354&lt;&gt;"每日跟踪","",IF(Q354="","",MAX(Q354,IFERROR(AGGREGATE(14,6,$R$2:$R$501/(($A$2:$A$501="每日跟踪")*($B$2:$B$501=B354)*($H$2:$H$501&lt;=H354)),1),0))))</f>
        <v/>
      </c>
      <c r="T354" s="44">
        <f>IF(A354&lt;&gt;"每日跟踪","",IF(O354="","",IF(COUNTIFS($A$2:$A$501,"止损计划",$B$2:$B$501,B354,$E$2:$E$501,"&gt;"&amp;O354)=0,"",AGGREGATE(15,6,$E$2:$E$501/(($A$2:$A$501="止损计划")*($B$2:$B$501=B354)*($E$2:$E$501&gt;O354)),1))))</f>
        <v/>
      </c>
      <c r="U354" s="44">
        <f>IF(OR(A354&lt;&gt;"每日跟踪",T354=""),"",IFERROR(AGGREGATE(14,6,$F$2:$F$501/(($A$2:$A$501="止损计划")*($B$2:$B$501=B354)*($E$2:$E$501=T354)),1),""))</f>
        <v/>
      </c>
      <c r="V354" s="30">
        <f>IF(OR(A354&lt;&gt;"每日跟踪",T354="",I354="",I354&lt;=0),"",T354/I354-1)</f>
        <v/>
      </c>
      <c r="W354" s="31">
        <f>IF(A354&lt;&gt;"每日跟踪","",IF(OR(I354="",S354=""),"",IF(I354&lt;=S354,"触发止损：应全部卖出","继续观察")))</f>
        <v/>
      </c>
      <c r="X354" s="28" t="n"/>
      <c r="Y354" s="43" t="n"/>
      <c r="Z354" s="26">
        <f>IF(X354&lt;&gt;"执行卖出","",IFERROR(LOOKUP(2,1/(单次交易!$A$2:$A$201=B354),单次交易!$AP$2:$AP$201),""))</f>
        <v/>
      </c>
      <c r="AA354" s="43" t="n"/>
      <c r="AB354" s="31">
        <f>IF(A354&lt;&gt;"每日跟踪","",IF(OR(B354="",H354="",I354="",J354="",K354="",L354="",M354=""),"待补充每日记录",IF(W354="触发止损：应全部卖出",IF(X354&lt;&gt;"执行卖出","违规：触发止损但未执行",IF(Y354="","待补充实际卖出价","卖出记录完整")),IF(X354="","待选择卖出动作",IF(X354="执行卖出",IF(Y354="","待补充实际卖出价","卖出记录完整"),"正常")))))</f>
        <v/>
      </c>
      <c r="AC354" s="31">
        <f>IF(A354="","",IF(A354="止损计划",IF(OR(B354="",D354="",E354="",F354="",G354=""),"计划不完整",IF(OR(D354&lt;1,D354&lt;&gt;INT(D354)),"阶段序号无效",IF(COUNTIFS($A$2:$A$501,"止损计划",$B$2:$B$501,B354,$D$2:$D$501,D354)&gt;1,"阶段序号重复",IF(E354&lt;=IFERROR(LOOKUP(2,1/('单次交易'!$A$2:$A$201=B354),'单次交易'!$E$2:$E$201),0),"激活价须高于买入价",IF(F354&lt;N354,"止损价不得低于初始止损",IF(F354&gt;E354,"止损价不得高于激活价",IF(AND(COUNTIFS($A$2:$A$501,"止损计划",$B$2:$B$501,B354,$D$2:$D$501,"&lt;"&amp;D354)&gt;0,OR(E354&lt;=AGGREGATE(14,6,$E$2:$E$501/(($A$2:$A$501="止损计划")*($B$2:$B$501=B354)*($D$2:$D$501&lt;D354)),1),F354&lt;AGGREGATE(14,6,$F$2:$F$501/(($A$2:$A$501="止损计划")*($B$2:$B$501=B354)*($D$2:$D$501&lt;D354)),1))),"阶段价格必须逐级提高","计划有效"))))))),IF(A354="每日跟踪",IF(OR(B354="",H354="",I354="",J354=""),"每日数据不完整",IF(COUNTIFS($A$2:$A$501,"每日跟踪",$B$2:$B$501,B354,$H$2:$H$501,H354)&gt;1,"同一交易日期重复",IF(AND(R354&lt;&gt;"",R354&lt;S354),"人工止损无效：不能下调","跟踪有效"))),"记录类型无效")))</f>
        <v/>
      </c>
    </row>
    <row r="355">
      <c r="A355" s="28" t="n"/>
      <c r="B355" s="28" t="n"/>
      <c r="C355" s="31">
        <f>IF(B355="","",IFERROR(LOOKUP(2,1/(单次交易!$A$2:$A$201=B355),单次交易!$B$2:$B$201),""))</f>
        <v/>
      </c>
      <c r="D355" s="27" t="n"/>
      <c r="E355" s="43" t="n"/>
      <c r="F355" s="43" t="n"/>
      <c r="G355" s="28" t="n"/>
      <c r="H355" s="49" t="n"/>
      <c r="I355" s="43" t="n"/>
      <c r="J355" s="27" t="n"/>
      <c r="K355" s="28" t="n"/>
      <c r="L355" s="28" t="n"/>
      <c r="M355" s="28" t="n"/>
      <c r="N355" s="44">
        <f>IF(B355="","",IFERROR(LOOKUP(2,1/(单次交易!$A$2:$A$201=B355),单次交易!$N$2:$N$201),""))</f>
        <v/>
      </c>
      <c r="O355" s="44">
        <f>IF(A355&lt;&gt;"每日跟踪","",IF(OR(B355="",H355="",I355=""),"",IFERROR(AGGREGATE(14,6,$I$2:$I$501/(($A$2:$A$501="每日跟踪")*($B$2:$B$501=B355)*($H$2:$H$501&lt;=H355)),1),"")))</f>
        <v/>
      </c>
      <c r="P355" s="26">
        <f>IF(A355&lt;&gt;"每日跟踪","",IF(O355="","",IFERROR(AGGREGATE(14,6,$D$2:$D$501/(($A$2:$A$501="止损计划")*($B$2:$B$501=B355)*($E$2:$E$501&lt;=O355)),1),0)))</f>
        <v/>
      </c>
      <c r="Q355" s="44">
        <f>IF(A355&lt;&gt;"每日跟踪","",IF(N355="","",MAX(N355,IFERROR(AGGREGATE(14,6,$F$2:$F$501/(($A$2:$A$501="止损计划")*($B$2:$B$501=B355)*($E$2:$E$501&lt;=O355)),1),0))))</f>
        <v/>
      </c>
      <c r="R355" s="43" t="n"/>
      <c r="S355" s="44">
        <f>IF(A355&lt;&gt;"每日跟踪","",IF(Q355="","",MAX(Q355,IFERROR(AGGREGATE(14,6,$R$2:$R$501/(($A$2:$A$501="每日跟踪")*($B$2:$B$501=B355)*($H$2:$H$501&lt;=H355)),1),0))))</f>
        <v/>
      </c>
      <c r="T355" s="44">
        <f>IF(A355&lt;&gt;"每日跟踪","",IF(O355="","",IF(COUNTIFS($A$2:$A$501,"止损计划",$B$2:$B$501,B355,$E$2:$E$501,"&gt;"&amp;O355)=0,"",AGGREGATE(15,6,$E$2:$E$501/(($A$2:$A$501="止损计划")*($B$2:$B$501=B355)*($E$2:$E$501&gt;O355)),1))))</f>
        <v/>
      </c>
      <c r="U355" s="44">
        <f>IF(OR(A355&lt;&gt;"每日跟踪",T355=""),"",IFERROR(AGGREGATE(14,6,$F$2:$F$501/(($A$2:$A$501="止损计划")*($B$2:$B$501=B355)*($E$2:$E$501=T355)),1),""))</f>
        <v/>
      </c>
      <c r="V355" s="30">
        <f>IF(OR(A355&lt;&gt;"每日跟踪",T355="",I355="",I355&lt;=0),"",T355/I355-1)</f>
        <v/>
      </c>
      <c r="W355" s="31">
        <f>IF(A355&lt;&gt;"每日跟踪","",IF(OR(I355="",S355=""),"",IF(I355&lt;=S355,"触发止损：应全部卖出","继续观察")))</f>
        <v/>
      </c>
      <c r="X355" s="28" t="n"/>
      <c r="Y355" s="43" t="n"/>
      <c r="Z355" s="26">
        <f>IF(X355&lt;&gt;"执行卖出","",IFERROR(LOOKUP(2,1/(单次交易!$A$2:$A$201=B355),单次交易!$AP$2:$AP$201),""))</f>
        <v/>
      </c>
      <c r="AA355" s="43" t="n"/>
      <c r="AB355" s="31">
        <f>IF(A355&lt;&gt;"每日跟踪","",IF(OR(B355="",H355="",I355="",J355="",K355="",L355="",M355=""),"待补充每日记录",IF(W355="触发止损：应全部卖出",IF(X355&lt;&gt;"执行卖出","违规：触发止损但未执行",IF(Y355="","待补充实际卖出价","卖出记录完整")),IF(X355="","待选择卖出动作",IF(X355="执行卖出",IF(Y355="","待补充实际卖出价","卖出记录完整"),"正常")))))</f>
        <v/>
      </c>
      <c r="AC355" s="31">
        <f>IF(A355="","",IF(A355="止损计划",IF(OR(B355="",D355="",E355="",F355="",G355=""),"计划不完整",IF(OR(D355&lt;1,D355&lt;&gt;INT(D355)),"阶段序号无效",IF(COUNTIFS($A$2:$A$501,"止损计划",$B$2:$B$501,B355,$D$2:$D$501,D355)&gt;1,"阶段序号重复",IF(E355&lt;=IFERROR(LOOKUP(2,1/('单次交易'!$A$2:$A$201=B355),'单次交易'!$E$2:$E$201),0),"激活价须高于买入价",IF(F355&lt;N355,"止损价不得低于初始止损",IF(F355&gt;E355,"止损价不得高于激活价",IF(AND(COUNTIFS($A$2:$A$501,"止损计划",$B$2:$B$501,B355,$D$2:$D$501,"&lt;"&amp;D355)&gt;0,OR(E355&lt;=AGGREGATE(14,6,$E$2:$E$501/(($A$2:$A$501="止损计划")*($B$2:$B$501=B355)*($D$2:$D$501&lt;D355)),1),F355&lt;AGGREGATE(14,6,$F$2:$F$501/(($A$2:$A$501="止损计划")*($B$2:$B$501=B355)*($D$2:$D$501&lt;D355)),1))),"阶段价格必须逐级提高","计划有效"))))))),IF(A355="每日跟踪",IF(OR(B355="",H355="",I355="",J355=""),"每日数据不完整",IF(COUNTIFS($A$2:$A$501,"每日跟踪",$B$2:$B$501,B355,$H$2:$H$501,H355)&gt;1,"同一交易日期重复",IF(AND(R355&lt;&gt;"",R355&lt;S355),"人工止损无效：不能下调","跟踪有效"))),"记录类型无效")))</f>
        <v/>
      </c>
    </row>
    <row r="356">
      <c r="A356" s="28" t="n"/>
      <c r="B356" s="28" t="n"/>
      <c r="C356" s="31">
        <f>IF(B356="","",IFERROR(LOOKUP(2,1/(单次交易!$A$2:$A$201=B356),单次交易!$B$2:$B$201),""))</f>
        <v/>
      </c>
      <c r="D356" s="27" t="n"/>
      <c r="E356" s="43" t="n"/>
      <c r="F356" s="43" t="n"/>
      <c r="G356" s="28" t="n"/>
      <c r="H356" s="49" t="n"/>
      <c r="I356" s="43" t="n"/>
      <c r="J356" s="27" t="n"/>
      <c r="K356" s="28" t="n"/>
      <c r="L356" s="28" t="n"/>
      <c r="M356" s="28" t="n"/>
      <c r="N356" s="44">
        <f>IF(B356="","",IFERROR(LOOKUP(2,1/(单次交易!$A$2:$A$201=B356),单次交易!$N$2:$N$201),""))</f>
        <v/>
      </c>
      <c r="O356" s="44">
        <f>IF(A356&lt;&gt;"每日跟踪","",IF(OR(B356="",H356="",I356=""),"",IFERROR(AGGREGATE(14,6,$I$2:$I$501/(($A$2:$A$501="每日跟踪")*($B$2:$B$501=B356)*($H$2:$H$501&lt;=H356)),1),"")))</f>
        <v/>
      </c>
      <c r="P356" s="26">
        <f>IF(A356&lt;&gt;"每日跟踪","",IF(O356="","",IFERROR(AGGREGATE(14,6,$D$2:$D$501/(($A$2:$A$501="止损计划")*($B$2:$B$501=B356)*($E$2:$E$501&lt;=O356)),1),0)))</f>
        <v/>
      </c>
      <c r="Q356" s="44">
        <f>IF(A356&lt;&gt;"每日跟踪","",IF(N356="","",MAX(N356,IFERROR(AGGREGATE(14,6,$F$2:$F$501/(($A$2:$A$501="止损计划")*($B$2:$B$501=B356)*($E$2:$E$501&lt;=O356)),1),0))))</f>
        <v/>
      </c>
      <c r="R356" s="43" t="n"/>
      <c r="S356" s="44">
        <f>IF(A356&lt;&gt;"每日跟踪","",IF(Q356="","",MAX(Q356,IFERROR(AGGREGATE(14,6,$R$2:$R$501/(($A$2:$A$501="每日跟踪")*($B$2:$B$501=B356)*($H$2:$H$501&lt;=H356)),1),0))))</f>
        <v/>
      </c>
      <c r="T356" s="44">
        <f>IF(A356&lt;&gt;"每日跟踪","",IF(O356="","",IF(COUNTIFS($A$2:$A$501,"止损计划",$B$2:$B$501,B356,$E$2:$E$501,"&gt;"&amp;O356)=0,"",AGGREGATE(15,6,$E$2:$E$501/(($A$2:$A$501="止损计划")*($B$2:$B$501=B356)*($E$2:$E$501&gt;O356)),1))))</f>
        <v/>
      </c>
      <c r="U356" s="44">
        <f>IF(OR(A356&lt;&gt;"每日跟踪",T356=""),"",IFERROR(AGGREGATE(14,6,$F$2:$F$501/(($A$2:$A$501="止损计划")*($B$2:$B$501=B356)*($E$2:$E$501=T356)),1),""))</f>
        <v/>
      </c>
      <c r="V356" s="30">
        <f>IF(OR(A356&lt;&gt;"每日跟踪",T356="",I356="",I356&lt;=0),"",T356/I356-1)</f>
        <v/>
      </c>
      <c r="W356" s="31">
        <f>IF(A356&lt;&gt;"每日跟踪","",IF(OR(I356="",S356=""),"",IF(I356&lt;=S356,"触发止损：应全部卖出","继续观察")))</f>
        <v/>
      </c>
      <c r="X356" s="28" t="n"/>
      <c r="Y356" s="43" t="n"/>
      <c r="Z356" s="26">
        <f>IF(X356&lt;&gt;"执行卖出","",IFERROR(LOOKUP(2,1/(单次交易!$A$2:$A$201=B356),单次交易!$AP$2:$AP$201),""))</f>
        <v/>
      </c>
      <c r="AA356" s="43" t="n"/>
      <c r="AB356" s="31">
        <f>IF(A356&lt;&gt;"每日跟踪","",IF(OR(B356="",H356="",I356="",J356="",K356="",L356="",M356=""),"待补充每日记录",IF(W356="触发止损：应全部卖出",IF(X356&lt;&gt;"执行卖出","违规：触发止损但未执行",IF(Y356="","待补充实际卖出价","卖出记录完整")),IF(X356="","待选择卖出动作",IF(X356="执行卖出",IF(Y356="","待补充实际卖出价","卖出记录完整"),"正常")))))</f>
        <v/>
      </c>
      <c r="AC356" s="31">
        <f>IF(A356="","",IF(A356="止损计划",IF(OR(B356="",D356="",E356="",F356="",G356=""),"计划不完整",IF(OR(D356&lt;1,D356&lt;&gt;INT(D356)),"阶段序号无效",IF(COUNTIFS($A$2:$A$501,"止损计划",$B$2:$B$501,B356,$D$2:$D$501,D356)&gt;1,"阶段序号重复",IF(E356&lt;=IFERROR(LOOKUP(2,1/('单次交易'!$A$2:$A$201=B356),'单次交易'!$E$2:$E$201),0),"激活价须高于买入价",IF(F356&lt;N356,"止损价不得低于初始止损",IF(F356&gt;E356,"止损价不得高于激活价",IF(AND(COUNTIFS($A$2:$A$501,"止损计划",$B$2:$B$501,B356,$D$2:$D$501,"&lt;"&amp;D356)&gt;0,OR(E356&lt;=AGGREGATE(14,6,$E$2:$E$501/(($A$2:$A$501="止损计划")*($B$2:$B$501=B356)*($D$2:$D$501&lt;D356)),1),F356&lt;AGGREGATE(14,6,$F$2:$F$501/(($A$2:$A$501="止损计划")*($B$2:$B$501=B356)*($D$2:$D$501&lt;D356)),1))),"阶段价格必须逐级提高","计划有效"))))))),IF(A356="每日跟踪",IF(OR(B356="",H356="",I356="",J356=""),"每日数据不完整",IF(COUNTIFS($A$2:$A$501,"每日跟踪",$B$2:$B$501,B356,$H$2:$H$501,H356)&gt;1,"同一交易日期重复",IF(AND(R356&lt;&gt;"",R356&lt;S356),"人工止损无效：不能下调","跟踪有效"))),"记录类型无效")))</f>
        <v/>
      </c>
    </row>
    <row r="357">
      <c r="A357" s="28" t="n"/>
      <c r="B357" s="28" t="n"/>
      <c r="C357" s="31">
        <f>IF(B357="","",IFERROR(LOOKUP(2,1/(单次交易!$A$2:$A$201=B357),单次交易!$B$2:$B$201),""))</f>
        <v/>
      </c>
      <c r="D357" s="27" t="n"/>
      <c r="E357" s="43" t="n"/>
      <c r="F357" s="43" t="n"/>
      <c r="G357" s="28" t="n"/>
      <c r="H357" s="49" t="n"/>
      <c r="I357" s="43" t="n"/>
      <c r="J357" s="27" t="n"/>
      <c r="K357" s="28" t="n"/>
      <c r="L357" s="28" t="n"/>
      <c r="M357" s="28" t="n"/>
      <c r="N357" s="44">
        <f>IF(B357="","",IFERROR(LOOKUP(2,1/(单次交易!$A$2:$A$201=B357),单次交易!$N$2:$N$201),""))</f>
        <v/>
      </c>
      <c r="O357" s="44">
        <f>IF(A357&lt;&gt;"每日跟踪","",IF(OR(B357="",H357="",I357=""),"",IFERROR(AGGREGATE(14,6,$I$2:$I$501/(($A$2:$A$501="每日跟踪")*($B$2:$B$501=B357)*($H$2:$H$501&lt;=H357)),1),"")))</f>
        <v/>
      </c>
      <c r="P357" s="26">
        <f>IF(A357&lt;&gt;"每日跟踪","",IF(O357="","",IFERROR(AGGREGATE(14,6,$D$2:$D$501/(($A$2:$A$501="止损计划")*($B$2:$B$501=B357)*($E$2:$E$501&lt;=O357)),1),0)))</f>
        <v/>
      </c>
      <c r="Q357" s="44">
        <f>IF(A357&lt;&gt;"每日跟踪","",IF(N357="","",MAX(N357,IFERROR(AGGREGATE(14,6,$F$2:$F$501/(($A$2:$A$501="止损计划")*($B$2:$B$501=B357)*($E$2:$E$501&lt;=O357)),1),0))))</f>
        <v/>
      </c>
      <c r="R357" s="43" t="n"/>
      <c r="S357" s="44">
        <f>IF(A357&lt;&gt;"每日跟踪","",IF(Q357="","",MAX(Q357,IFERROR(AGGREGATE(14,6,$R$2:$R$501/(($A$2:$A$501="每日跟踪")*($B$2:$B$501=B357)*($H$2:$H$501&lt;=H357)),1),0))))</f>
        <v/>
      </c>
      <c r="T357" s="44">
        <f>IF(A357&lt;&gt;"每日跟踪","",IF(O357="","",IF(COUNTIFS($A$2:$A$501,"止损计划",$B$2:$B$501,B357,$E$2:$E$501,"&gt;"&amp;O357)=0,"",AGGREGATE(15,6,$E$2:$E$501/(($A$2:$A$501="止损计划")*($B$2:$B$501=B357)*($E$2:$E$501&gt;O357)),1))))</f>
        <v/>
      </c>
      <c r="U357" s="44">
        <f>IF(OR(A357&lt;&gt;"每日跟踪",T357=""),"",IFERROR(AGGREGATE(14,6,$F$2:$F$501/(($A$2:$A$501="止损计划")*($B$2:$B$501=B357)*($E$2:$E$501=T357)),1),""))</f>
        <v/>
      </c>
      <c r="V357" s="30">
        <f>IF(OR(A357&lt;&gt;"每日跟踪",T357="",I357="",I357&lt;=0),"",T357/I357-1)</f>
        <v/>
      </c>
      <c r="W357" s="31">
        <f>IF(A357&lt;&gt;"每日跟踪","",IF(OR(I357="",S357=""),"",IF(I357&lt;=S357,"触发止损：应全部卖出","继续观察")))</f>
        <v/>
      </c>
      <c r="X357" s="28" t="n"/>
      <c r="Y357" s="43" t="n"/>
      <c r="Z357" s="26">
        <f>IF(X357&lt;&gt;"执行卖出","",IFERROR(LOOKUP(2,1/(单次交易!$A$2:$A$201=B357),单次交易!$AP$2:$AP$201),""))</f>
        <v/>
      </c>
      <c r="AA357" s="43" t="n"/>
      <c r="AB357" s="31">
        <f>IF(A357&lt;&gt;"每日跟踪","",IF(OR(B357="",H357="",I357="",J357="",K357="",L357="",M357=""),"待补充每日记录",IF(W357="触发止损：应全部卖出",IF(X357&lt;&gt;"执行卖出","违规：触发止损但未执行",IF(Y357="","待补充实际卖出价","卖出记录完整")),IF(X357="","待选择卖出动作",IF(X357="执行卖出",IF(Y357="","待补充实际卖出价","卖出记录完整"),"正常")))))</f>
        <v/>
      </c>
      <c r="AC357" s="31">
        <f>IF(A357="","",IF(A357="止损计划",IF(OR(B357="",D357="",E357="",F357="",G357=""),"计划不完整",IF(OR(D357&lt;1,D357&lt;&gt;INT(D357)),"阶段序号无效",IF(COUNTIFS($A$2:$A$501,"止损计划",$B$2:$B$501,B357,$D$2:$D$501,D357)&gt;1,"阶段序号重复",IF(E357&lt;=IFERROR(LOOKUP(2,1/('单次交易'!$A$2:$A$201=B357),'单次交易'!$E$2:$E$201),0),"激活价须高于买入价",IF(F357&lt;N357,"止损价不得低于初始止损",IF(F357&gt;E357,"止损价不得高于激活价",IF(AND(COUNTIFS($A$2:$A$501,"止损计划",$B$2:$B$501,B357,$D$2:$D$501,"&lt;"&amp;D357)&gt;0,OR(E357&lt;=AGGREGATE(14,6,$E$2:$E$501/(($A$2:$A$501="止损计划")*($B$2:$B$501=B357)*($D$2:$D$501&lt;D357)),1),F357&lt;AGGREGATE(14,6,$F$2:$F$501/(($A$2:$A$501="止损计划")*($B$2:$B$501=B357)*($D$2:$D$501&lt;D357)),1))),"阶段价格必须逐级提高","计划有效"))))))),IF(A357="每日跟踪",IF(OR(B357="",H357="",I357="",J357=""),"每日数据不完整",IF(COUNTIFS($A$2:$A$501,"每日跟踪",$B$2:$B$501,B357,$H$2:$H$501,H357)&gt;1,"同一交易日期重复",IF(AND(R357&lt;&gt;"",R357&lt;S357),"人工止损无效：不能下调","跟踪有效"))),"记录类型无效")))</f>
        <v/>
      </c>
    </row>
    <row r="358">
      <c r="A358" s="28" t="n"/>
      <c r="B358" s="28" t="n"/>
      <c r="C358" s="31">
        <f>IF(B358="","",IFERROR(LOOKUP(2,1/(单次交易!$A$2:$A$201=B358),单次交易!$B$2:$B$201),""))</f>
        <v/>
      </c>
      <c r="D358" s="27" t="n"/>
      <c r="E358" s="43" t="n"/>
      <c r="F358" s="43" t="n"/>
      <c r="G358" s="28" t="n"/>
      <c r="H358" s="49" t="n"/>
      <c r="I358" s="43" t="n"/>
      <c r="J358" s="27" t="n"/>
      <c r="K358" s="28" t="n"/>
      <c r="L358" s="28" t="n"/>
      <c r="M358" s="28" t="n"/>
      <c r="N358" s="44">
        <f>IF(B358="","",IFERROR(LOOKUP(2,1/(单次交易!$A$2:$A$201=B358),单次交易!$N$2:$N$201),""))</f>
        <v/>
      </c>
      <c r="O358" s="44">
        <f>IF(A358&lt;&gt;"每日跟踪","",IF(OR(B358="",H358="",I358=""),"",IFERROR(AGGREGATE(14,6,$I$2:$I$501/(($A$2:$A$501="每日跟踪")*($B$2:$B$501=B358)*($H$2:$H$501&lt;=H358)),1),"")))</f>
        <v/>
      </c>
      <c r="P358" s="26">
        <f>IF(A358&lt;&gt;"每日跟踪","",IF(O358="","",IFERROR(AGGREGATE(14,6,$D$2:$D$501/(($A$2:$A$501="止损计划")*($B$2:$B$501=B358)*($E$2:$E$501&lt;=O358)),1),0)))</f>
        <v/>
      </c>
      <c r="Q358" s="44">
        <f>IF(A358&lt;&gt;"每日跟踪","",IF(N358="","",MAX(N358,IFERROR(AGGREGATE(14,6,$F$2:$F$501/(($A$2:$A$501="止损计划")*($B$2:$B$501=B358)*($E$2:$E$501&lt;=O358)),1),0))))</f>
        <v/>
      </c>
      <c r="R358" s="43" t="n"/>
      <c r="S358" s="44">
        <f>IF(A358&lt;&gt;"每日跟踪","",IF(Q358="","",MAX(Q358,IFERROR(AGGREGATE(14,6,$R$2:$R$501/(($A$2:$A$501="每日跟踪")*($B$2:$B$501=B358)*($H$2:$H$501&lt;=H358)),1),0))))</f>
        <v/>
      </c>
      <c r="T358" s="44">
        <f>IF(A358&lt;&gt;"每日跟踪","",IF(O358="","",IF(COUNTIFS($A$2:$A$501,"止损计划",$B$2:$B$501,B358,$E$2:$E$501,"&gt;"&amp;O358)=0,"",AGGREGATE(15,6,$E$2:$E$501/(($A$2:$A$501="止损计划")*($B$2:$B$501=B358)*($E$2:$E$501&gt;O358)),1))))</f>
        <v/>
      </c>
      <c r="U358" s="44">
        <f>IF(OR(A358&lt;&gt;"每日跟踪",T358=""),"",IFERROR(AGGREGATE(14,6,$F$2:$F$501/(($A$2:$A$501="止损计划")*($B$2:$B$501=B358)*($E$2:$E$501=T358)),1),""))</f>
        <v/>
      </c>
      <c r="V358" s="30">
        <f>IF(OR(A358&lt;&gt;"每日跟踪",T358="",I358="",I358&lt;=0),"",T358/I358-1)</f>
        <v/>
      </c>
      <c r="W358" s="31">
        <f>IF(A358&lt;&gt;"每日跟踪","",IF(OR(I358="",S358=""),"",IF(I358&lt;=S358,"触发止损：应全部卖出","继续观察")))</f>
        <v/>
      </c>
      <c r="X358" s="28" t="n"/>
      <c r="Y358" s="43" t="n"/>
      <c r="Z358" s="26">
        <f>IF(X358&lt;&gt;"执行卖出","",IFERROR(LOOKUP(2,1/(单次交易!$A$2:$A$201=B358),单次交易!$AP$2:$AP$201),""))</f>
        <v/>
      </c>
      <c r="AA358" s="43" t="n"/>
      <c r="AB358" s="31">
        <f>IF(A358&lt;&gt;"每日跟踪","",IF(OR(B358="",H358="",I358="",J358="",K358="",L358="",M358=""),"待补充每日记录",IF(W358="触发止损：应全部卖出",IF(X358&lt;&gt;"执行卖出","违规：触发止损但未执行",IF(Y358="","待补充实际卖出价","卖出记录完整")),IF(X358="","待选择卖出动作",IF(X358="执行卖出",IF(Y358="","待补充实际卖出价","卖出记录完整"),"正常")))))</f>
        <v/>
      </c>
      <c r="AC358" s="31">
        <f>IF(A358="","",IF(A358="止损计划",IF(OR(B358="",D358="",E358="",F358="",G358=""),"计划不完整",IF(OR(D358&lt;1,D358&lt;&gt;INT(D358)),"阶段序号无效",IF(COUNTIFS($A$2:$A$501,"止损计划",$B$2:$B$501,B358,$D$2:$D$501,D358)&gt;1,"阶段序号重复",IF(E358&lt;=IFERROR(LOOKUP(2,1/('单次交易'!$A$2:$A$201=B358),'单次交易'!$E$2:$E$201),0),"激活价须高于买入价",IF(F358&lt;N358,"止损价不得低于初始止损",IF(F358&gt;E358,"止损价不得高于激活价",IF(AND(COUNTIFS($A$2:$A$501,"止损计划",$B$2:$B$501,B358,$D$2:$D$501,"&lt;"&amp;D358)&gt;0,OR(E358&lt;=AGGREGATE(14,6,$E$2:$E$501/(($A$2:$A$501="止损计划")*($B$2:$B$501=B358)*($D$2:$D$501&lt;D358)),1),F358&lt;AGGREGATE(14,6,$F$2:$F$501/(($A$2:$A$501="止损计划")*($B$2:$B$501=B358)*($D$2:$D$501&lt;D358)),1))),"阶段价格必须逐级提高","计划有效"))))))),IF(A358="每日跟踪",IF(OR(B358="",H358="",I358="",J358=""),"每日数据不完整",IF(COUNTIFS($A$2:$A$501,"每日跟踪",$B$2:$B$501,B358,$H$2:$H$501,H358)&gt;1,"同一交易日期重复",IF(AND(R358&lt;&gt;"",R358&lt;S358),"人工止损无效：不能下调","跟踪有效"))),"记录类型无效")))</f>
        <v/>
      </c>
    </row>
    <row r="359">
      <c r="A359" s="28" t="n"/>
      <c r="B359" s="28" t="n"/>
      <c r="C359" s="31">
        <f>IF(B359="","",IFERROR(LOOKUP(2,1/(单次交易!$A$2:$A$201=B359),单次交易!$B$2:$B$201),""))</f>
        <v/>
      </c>
      <c r="D359" s="27" t="n"/>
      <c r="E359" s="43" t="n"/>
      <c r="F359" s="43" t="n"/>
      <c r="G359" s="28" t="n"/>
      <c r="H359" s="49" t="n"/>
      <c r="I359" s="43" t="n"/>
      <c r="J359" s="27" t="n"/>
      <c r="K359" s="28" t="n"/>
      <c r="L359" s="28" t="n"/>
      <c r="M359" s="28" t="n"/>
      <c r="N359" s="44">
        <f>IF(B359="","",IFERROR(LOOKUP(2,1/(单次交易!$A$2:$A$201=B359),单次交易!$N$2:$N$201),""))</f>
        <v/>
      </c>
      <c r="O359" s="44">
        <f>IF(A359&lt;&gt;"每日跟踪","",IF(OR(B359="",H359="",I359=""),"",IFERROR(AGGREGATE(14,6,$I$2:$I$501/(($A$2:$A$501="每日跟踪")*($B$2:$B$501=B359)*($H$2:$H$501&lt;=H359)),1),"")))</f>
        <v/>
      </c>
      <c r="P359" s="26">
        <f>IF(A359&lt;&gt;"每日跟踪","",IF(O359="","",IFERROR(AGGREGATE(14,6,$D$2:$D$501/(($A$2:$A$501="止损计划")*($B$2:$B$501=B359)*($E$2:$E$501&lt;=O359)),1),0)))</f>
        <v/>
      </c>
      <c r="Q359" s="44">
        <f>IF(A359&lt;&gt;"每日跟踪","",IF(N359="","",MAX(N359,IFERROR(AGGREGATE(14,6,$F$2:$F$501/(($A$2:$A$501="止损计划")*($B$2:$B$501=B359)*($E$2:$E$501&lt;=O359)),1),0))))</f>
        <v/>
      </c>
      <c r="R359" s="43" t="n"/>
      <c r="S359" s="44">
        <f>IF(A359&lt;&gt;"每日跟踪","",IF(Q359="","",MAX(Q359,IFERROR(AGGREGATE(14,6,$R$2:$R$501/(($A$2:$A$501="每日跟踪")*($B$2:$B$501=B359)*($H$2:$H$501&lt;=H359)),1),0))))</f>
        <v/>
      </c>
      <c r="T359" s="44">
        <f>IF(A359&lt;&gt;"每日跟踪","",IF(O359="","",IF(COUNTIFS($A$2:$A$501,"止损计划",$B$2:$B$501,B359,$E$2:$E$501,"&gt;"&amp;O359)=0,"",AGGREGATE(15,6,$E$2:$E$501/(($A$2:$A$501="止损计划")*($B$2:$B$501=B359)*($E$2:$E$501&gt;O359)),1))))</f>
        <v/>
      </c>
      <c r="U359" s="44">
        <f>IF(OR(A359&lt;&gt;"每日跟踪",T359=""),"",IFERROR(AGGREGATE(14,6,$F$2:$F$501/(($A$2:$A$501="止损计划")*($B$2:$B$501=B359)*($E$2:$E$501=T359)),1),""))</f>
        <v/>
      </c>
      <c r="V359" s="30">
        <f>IF(OR(A359&lt;&gt;"每日跟踪",T359="",I359="",I359&lt;=0),"",T359/I359-1)</f>
        <v/>
      </c>
      <c r="W359" s="31">
        <f>IF(A359&lt;&gt;"每日跟踪","",IF(OR(I359="",S359=""),"",IF(I359&lt;=S359,"触发止损：应全部卖出","继续观察")))</f>
        <v/>
      </c>
      <c r="X359" s="28" t="n"/>
      <c r="Y359" s="43" t="n"/>
      <c r="Z359" s="26">
        <f>IF(X359&lt;&gt;"执行卖出","",IFERROR(LOOKUP(2,1/(单次交易!$A$2:$A$201=B359),单次交易!$AP$2:$AP$201),""))</f>
        <v/>
      </c>
      <c r="AA359" s="43" t="n"/>
      <c r="AB359" s="31">
        <f>IF(A359&lt;&gt;"每日跟踪","",IF(OR(B359="",H359="",I359="",J359="",K359="",L359="",M359=""),"待补充每日记录",IF(W359="触发止损：应全部卖出",IF(X359&lt;&gt;"执行卖出","违规：触发止损但未执行",IF(Y359="","待补充实际卖出价","卖出记录完整")),IF(X359="","待选择卖出动作",IF(X359="执行卖出",IF(Y359="","待补充实际卖出价","卖出记录完整"),"正常")))))</f>
        <v/>
      </c>
      <c r="AC359" s="31">
        <f>IF(A359="","",IF(A359="止损计划",IF(OR(B359="",D359="",E359="",F359="",G359=""),"计划不完整",IF(OR(D359&lt;1,D359&lt;&gt;INT(D359)),"阶段序号无效",IF(COUNTIFS($A$2:$A$501,"止损计划",$B$2:$B$501,B359,$D$2:$D$501,D359)&gt;1,"阶段序号重复",IF(E359&lt;=IFERROR(LOOKUP(2,1/('单次交易'!$A$2:$A$201=B359),'单次交易'!$E$2:$E$201),0),"激活价须高于买入价",IF(F359&lt;N359,"止损价不得低于初始止损",IF(F359&gt;E359,"止损价不得高于激活价",IF(AND(COUNTIFS($A$2:$A$501,"止损计划",$B$2:$B$501,B359,$D$2:$D$501,"&lt;"&amp;D359)&gt;0,OR(E359&lt;=AGGREGATE(14,6,$E$2:$E$501/(($A$2:$A$501="止损计划")*($B$2:$B$501=B359)*($D$2:$D$501&lt;D359)),1),F359&lt;AGGREGATE(14,6,$F$2:$F$501/(($A$2:$A$501="止损计划")*($B$2:$B$501=B359)*($D$2:$D$501&lt;D359)),1))),"阶段价格必须逐级提高","计划有效"))))))),IF(A359="每日跟踪",IF(OR(B359="",H359="",I359="",J359=""),"每日数据不完整",IF(COUNTIFS($A$2:$A$501,"每日跟踪",$B$2:$B$501,B359,$H$2:$H$501,H359)&gt;1,"同一交易日期重复",IF(AND(R359&lt;&gt;"",R359&lt;S359),"人工止损无效：不能下调","跟踪有效"))),"记录类型无效")))</f>
        <v/>
      </c>
    </row>
    <row r="360">
      <c r="A360" s="28" t="n"/>
      <c r="B360" s="28" t="n"/>
      <c r="C360" s="31">
        <f>IF(B360="","",IFERROR(LOOKUP(2,1/(单次交易!$A$2:$A$201=B360),单次交易!$B$2:$B$201),""))</f>
        <v/>
      </c>
      <c r="D360" s="27" t="n"/>
      <c r="E360" s="43" t="n"/>
      <c r="F360" s="43" t="n"/>
      <c r="G360" s="28" t="n"/>
      <c r="H360" s="49" t="n"/>
      <c r="I360" s="43" t="n"/>
      <c r="J360" s="27" t="n"/>
      <c r="K360" s="28" t="n"/>
      <c r="L360" s="28" t="n"/>
      <c r="M360" s="28" t="n"/>
      <c r="N360" s="44">
        <f>IF(B360="","",IFERROR(LOOKUP(2,1/(单次交易!$A$2:$A$201=B360),单次交易!$N$2:$N$201),""))</f>
        <v/>
      </c>
      <c r="O360" s="44">
        <f>IF(A360&lt;&gt;"每日跟踪","",IF(OR(B360="",H360="",I360=""),"",IFERROR(AGGREGATE(14,6,$I$2:$I$501/(($A$2:$A$501="每日跟踪")*($B$2:$B$501=B360)*($H$2:$H$501&lt;=H360)),1),"")))</f>
        <v/>
      </c>
      <c r="P360" s="26">
        <f>IF(A360&lt;&gt;"每日跟踪","",IF(O360="","",IFERROR(AGGREGATE(14,6,$D$2:$D$501/(($A$2:$A$501="止损计划")*($B$2:$B$501=B360)*($E$2:$E$501&lt;=O360)),1),0)))</f>
        <v/>
      </c>
      <c r="Q360" s="44">
        <f>IF(A360&lt;&gt;"每日跟踪","",IF(N360="","",MAX(N360,IFERROR(AGGREGATE(14,6,$F$2:$F$501/(($A$2:$A$501="止损计划")*($B$2:$B$501=B360)*($E$2:$E$501&lt;=O360)),1),0))))</f>
        <v/>
      </c>
      <c r="R360" s="43" t="n"/>
      <c r="S360" s="44">
        <f>IF(A360&lt;&gt;"每日跟踪","",IF(Q360="","",MAX(Q360,IFERROR(AGGREGATE(14,6,$R$2:$R$501/(($A$2:$A$501="每日跟踪")*($B$2:$B$501=B360)*($H$2:$H$501&lt;=H360)),1),0))))</f>
        <v/>
      </c>
      <c r="T360" s="44">
        <f>IF(A360&lt;&gt;"每日跟踪","",IF(O360="","",IF(COUNTIFS($A$2:$A$501,"止损计划",$B$2:$B$501,B360,$E$2:$E$501,"&gt;"&amp;O360)=0,"",AGGREGATE(15,6,$E$2:$E$501/(($A$2:$A$501="止损计划")*($B$2:$B$501=B360)*($E$2:$E$501&gt;O360)),1))))</f>
        <v/>
      </c>
      <c r="U360" s="44">
        <f>IF(OR(A360&lt;&gt;"每日跟踪",T360=""),"",IFERROR(AGGREGATE(14,6,$F$2:$F$501/(($A$2:$A$501="止损计划")*($B$2:$B$501=B360)*($E$2:$E$501=T360)),1),""))</f>
        <v/>
      </c>
      <c r="V360" s="30">
        <f>IF(OR(A360&lt;&gt;"每日跟踪",T360="",I360="",I360&lt;=0),"",T360/I360-1)</f>
        <v/>
      </c>
      <c r="W360" s="31">
        <f>IF(A360&lt;&gt;"每日跟踪","",IF(OR(I360="",S360=""),"",IF(I360&lt;=S360,"触发止损：应全部卖出","继续观察")))</f>
        <v/>
      </c>
      <c r="X360" s="28" t="n"/>
      <c r="Y360" s="43" t="n"/>
      <c r="Z360" s="26">
        <f>IF(X360&lt;&gt;"执行卖出","",IFERROR(LOOKUP(2,1/(单次交易!$A$2:$A$201=B360),单次交易!$AP$2:$AP$201),""))</f>
        <v/>
      </c>
      <c r="AA360" s="43" t="n"/>
      <c r="AB360" s="31">
        <f>IF(A360&lt;&gt;"每日跟踪","",IF(OR(B360="",H360="",I360="",J360="",K360="",L360="",M360=""),"待补充每日记录",IF(W360="触发止损：应全部卖出",IF(X360&lt;&gt;"执行卖出","违规：触发止损但未执行",IF(Y360="","待补充实际卖出价","卖出记录完整")),IF(X360="","待选择卖出动作",IF(X360="执行卖出",IF(Y360="","待补充实际卖出价","卖出记录完整"),"正常")))))</f>
        <v/>
      </c>
      <c r="AC360" s="31">
        <f>IF(A360="","",IF(A360="止损计划",IF(OR(B360="",D360="",E360="",F360="",G360=""),"计划不完整",IF(OR(D360&lt;1,D360&lt;&gt;INT(D360)),"阶段序号无效",IF(COUNTIFS($A$2:$A$501,"止损计划",$B$2:$B$501,B360,$D$2:$D$501,D360)&gt;1,"阶段序号重复",IF(E360&lt;=IFERROR(LOOKUP(2,1/('单次交易'!$A$2:$A$201=B360),'单次交易'!$E$2:$E$201),0),"激活价须高于买入价",IF(F360&lt;N360,"止损价不得低于初始止损",IF(F360&gt;E360,"止损价不得高于激活价",IF(AND(COUNTIFS($A$2:$A$501,"止损计划",$B$2:$B$501,B360,$D$2:$D$501,"&lt;"&amp;D360)&gt;0,OR(E360&lt;=AGGREGATE(14,6,$E$2:$E$501/(($A$2:$A$501="止损计划")*($B$2:$B$501=B360)*($D$2:$D$501&lt;D360)),1),F360&lt;AGGREGATE(14,6,$F$2:$F$501/(($A$2:$A$501="止损计划")*($B$2:$B$501=B360)*($D$2:$D$501&lt;D360)),1))),"阶段价格必须逐级提高","计划有效"))))))),IF(A360="每日跟踪",IF(OR(B360="",H360="",I360="",J360=""),"每日数据不完整",IF(COUNTIFS($A$2:$A$501,"每日跟踪",$B$2:$B$501,B360,$H$2:$H$501,H360)&gt;1,"同一交易日期重复",IF(AND(R360&lt;&gt;"",R360&lt;S360),"人工止损无效：不能下调","跟踪有效"))),"记录类型无效")))</f>
        <v/>
      </c>
    </row>
    <row r="361">
      <c r="A361" s="28" t="n"/>
      <c r="B361" s="28" t="n"/>
      <c r="C361" s="31">
        <f>IF(B361="","",IFERROR(LOOKUP(2,1/(单次交易!$A$2:$A$201=B361),单次交易!$B$2:$B$201),""))</f>
        <v/>
      </c>
      <c r="D361" s="27" t="n"/>
      <c r="E361" s="43" t="n"/>
      <c r="F361" s="43" t="n"/>
      <c r="G361" s="28" t="n"/>
      <c r="H361" s="49" t="n"/>
      <c r="I361" s="43" t="n"/>
      <c r="J361" s="27" t="n"/>
      <c r="K361" s="28" t="n"/>
      <c r="L361" s="28" t="n"/>
      <c r="M361" s="28" t="n"/>
      <c r="N361" s="44">
        <f>IF(B361="","",IFERROR(LOOKUP(2,1/(单次交易!$A$2:$A$201=B361),单次交易!$N$2:$N$201),""))</f>
        <v/>
      </c>
      <c r="O361" s="44">
        <f>IF(A361&lt;&gt;"每日跟踪","",IF(OR(B361="",H361="",I361=""),"",IFERROR(AGGREGATE(14,6,$I$2:$I$501/(($A$2:$A$501="每日跟踪")*($B$2:$B$501=B361)*($H$2:$H$501&lt;=H361)),1),"")))</f>
        <v/>
      </c>
      <c r="P361" s="26">
        <f>IF(A361&lt;&gt;"每日跟踪","",IF(O361="","",IFERROR(AGGREGATE(14,6,$D$2:$D$501/(($A$2:$A$501="止损计划")*($B$2:$B$501=B361)*($E$2:$E$501&lt;=O361)),1),0)))</f>
        <v/>
      </c>
      <c r="Q361" s="44">
        <f>IF(A361&lt;&gt;"每日跟踪","",IF(N361="","",MAX(N361,IFERROR(AGGREGATE(14,6,$F$2:$F$501/(($A$2:$A$501="止损计划")*($B$2:$B$501=B361)*($E$2:$E$501&lt;=O361)),1),0))))</f>
        <v/>
      </c>
      <c r="R361" s="43" t="n"/>
      <c r="S361" s="44">
        <f>IF(A361&lt;&gt;"每日跟踪","",IF(Q361="","",MAX(Q361,IFERROR(AGGREGATE(14,6,$R$2:$R$501/(($A$2:$A$501="每日跟踪")*($B$2:$B$501=B361)*($H$2:$H$501&lt;=H361)),1),0))))</f>
        <v/>
      </c>
      <c r="T361" s="44">
        <f>IF(A361&lt;&gt;"每日跟踪","",IF(O361="","",IF(COUNTIFS($A$2:$A$501,"止损计划",$B$2:$B$501,B361,$E$2:$E$501,"&gt;"&amp;O361)=0,"",AGGREGATE(15,6,$E$2:$E$501/(($A$2:$A$501="止损计划")*($B$2:$B$501=B361)*($E$2:$E$501&gt;O361)),1))))</f>
        <v/>
      </c>
      <c r="U361" s="44">
        <f>IF(OR(A361&lt;&gt;"每日跟踪",T361=""),"",IFERROR(AGGREGATE(14,6,$F$2:$F$501/(($A$2:$A$501="止损计划")*($B$2:$B$501=B361)*($E$2:$E$501=T361)),1),""))</f>
        <v/>
      </c>
      <c r="V361" s="30">
        <f>IF(OR(A361&lt;&gt;"每日跟踪",T361="",I361="",I361&lt;=0),"",T361/I361-1)</f>
        <v/>
      </c>
      <c r="W361" s="31">
        <f>IF(A361&lt;&gt;"每日跟踪","",IF(OR(I361="",S361=""),"",IF(I361&lt;=S361,"触发止损：应全部卖出","继续观察")))</f>
        <v/>
      </c>
      <c r="X361" s="28" t="n"/>
      <c r="Y361" s="43" t="n"/>
      <c r="Z361" s="26">
        <f>IF(X361&lt;&gt;"执行卖出","",IFERROR(LOOKUP(2,1/(单次交易!$A$2:$A$201=B361),单次交易!$AP$2:$AP$201),""))</f>
        <v/>
      </c>
      <c r="AA361" s="43" t="n"/>
      <c r="AB361" s="31">
        <f>IF(A361&lt;&gt;"每日跟踪","",IF(OR(B361="",H361="",I361="",J361="",K361="",L361="",M361=""),"待补充每日记录",IF(W361="触发止损：应全部卖出",IF(X361&lt;&gt;"执行卖出","违规：触发止损但未执行",IF(Y361="","待补充实际卖出价","卖出记录完整")),IF(X361="","待选择卖出动作",IF(X361="执行卖出",IF(Y361="","待补充实际卖出价","卖出记录完整"),"正常")))))</f>
        <v/>
      </c>
      <c r="AC361" s="31">
        <f>IF(A361="","",IF(A361="止损计划",IF(OR(B361="",D361="",E361="",F361="",G361=""),"计划不完整",IF(OR(D361&lt;1,D361&lt;&gt;INT(D361)),"阶段序号无效",IF(COUNTIFS($A$2:$A$501,"止损计划",$B$2:$B$501,B361,$D$2:$D$501,D361)&gt;1,"阶段序号重复",IF(E361&lt;=IFERROR(LOOKUP(2,1/('单次交易'!$A$2:$A$201=B361),'单次交易'!$E$2:$E$201),0),"激活价须高于买入价",IF(F361&lt;N361,"止损价不得低于初始止损",IF(F361&gt;E361,"止损价不得高于激活价",IF(AND(COUNTIFS($A$2:$A$501,"止损计划",$B$2:$B$501,B361,$D$2:$D$501,"&lt;"&amp;D361)&gt;0,OR(E361&lt;=AGGREGATE(14,6,$E$2:$E$501/(($A$2:$A$501="止损计划")*($B$2:$B$501=B361)*($D$2:$D$501&lt;D361)),1),F361&lt;AGGREGATE(14,6,$F$2:$F$501/(($A$2:$A$501="止损计划")*($B$2:$B$501=B361)*($D$2:$D$501&lt;D361)),1))),"阶段价格必须逐级提高","计划有效"))))))),IF(A361="每日跟踪",IF(OR(B361="",H361="",I361="",J361=""),"每日数据不完整",IF(COUNTIFS($A$2:$A$501,"每日跟踪",$B$2:$B$501,B361,$H$2:$H$501,H361)&gt;1,"同一交易日期重复",IF(AND(R361&lt;&gt;"",R361&lt;S361),"人工止损无效：不能下调","跟踪有效"))),"记录类型无效")))</f>
        <v/>
      </c>
    </row>
    <row r="362">
      <c r="A362" s="28" t="n"/>
      <c r="B362" s="28" t="n"/>
      <c r="C362" s="31">
        <f>IF(B362="","",IFERROR(LOOKUP(2,1/(单次交易!$A$2:$A$201=B362),单次交易!$B$2:$B$201),""))</f>
        <v/>
      </c>
      <c r="D362" s="27" t="n"/>
      <c r="E362" s="43" t="n"/>
      <c r="F362" s="43" t="n"/>
      <c r="G362" s="28" t="n"/>
      <c r="H362" s="49" t="n"/>
      <c r="I362" s="43" t="n"/>
      <c r="J362" s="27" t="n"/>
      <c r="K362" s="28" t="n"/>
      <c r="L362" s="28" t="n"/>
      <c r="M362" s="28" t="n"/>
      <c r="N362" s="44">
        <f>IF(B362="","",IFERROR(LOOKUP(2,1/(单次交易!$A$2:$A$201=B362),单次交易!$N$2:$N$201),""))</f>
        <v/>
      </c>
      <c r="O362" s="44">
        <f>IF(A362&lt;&gt;"每日跟踪","",IF(OR(B362="",H362="",I362=""),"",IFERROR(AGGREGATE(14,6,$I$2:$I$501/(($A$2:$A$501="每日跟踪")*($B$2:$B$501=B362)*($H$2:$H$501&lt;=H362)),1),"")))</f>
        <v/>
      </c>
      <c r="P362" s="26">
        <f>IF(A362&lt;&gt;"每日跟踪","",IF(O362="","",IFERROR(AGGREGATE(14,6,$D$2:$D$501/(($A$2:$A$501="止损计划")*($B$2:$B$501=B362)*($E$2:$E$501&lt;=O362)),1),0)))</f>
        <v/>
      </c>
      <c r="Q362" s="44">
        <f>IF(A362&lt;&gt;"每日跟踪","",IF(N362="","",MAX(N362,IFERROR(AGGREGATE(14,6,$F$2:$F$501/(($A$2:$A$501="止损计划")*($B$2:$B$501=B362)*($E$2:$E$501&lt;=O362)),1),0))))</f>
        <v/>
      </c>
      <c r="R362" s="43" t="n"/>
      <c r="S362" s="44">
        <f>IF(A362&lt;&gt;"每日跟踪","",IF(Q362="","",MAX(Q362,IFERROR(AGGREGATE(14,6,$R$2:$R$501/(($A$2:$A$501="每日跟踪")*($B$2:$B$501=B362)*($H$2:$H$501&lt;=H362)),1),0))))</f>
        <v/>
      </c>
      <c r="T362" s="44">
        <f>IF(A362&lt;&gt;"每日跟踪","",IF(O362="","",IF(COUNTIFS($A$2:$A$501,"止损计划",$B$2:$B$501,B362,$E$2:$E$501,"&gt;"&amp;O362)=0,"",AGGREGATE(15,6,$E$2:$E$501/(($A$2:$A$501="止损计划")*($B$2:$B$501=B362)*($E$2:$E$501&gt;O362)),1))))</f>
        <v/>
      </c>
      <c r="U362" s="44">
        <f>IF(OR(A362&lt;&gt;"每日跟踪",T362=""),"",IFERROR(AGGREGATE(14,6,$F$2:$F$501/(($A$2:$A$501="止损计划")*($B$2:$B$501=B362)*($E$2:$E$501=T362)),1),""))</f>
        <v/>
      </c>
      <c r="V362" s="30">
        <f>IF(OR(A362&lt;&gt;"每日跟踪",T362="",I362="",I362&lt;=0),"",T362/I362-1)</f>
        <v/>
      </c>
      <c r="W362" s="31">
        <f>IF(A362&lt;&gt;"每日跟踪","",IF(OR(I362="",S362=""),"",IF(I362&lt;=S362,"触发止损：应全部卖出","继续观察")))</f>
        <v/>
      </c>
      <c r="X362" s="28" t="n"/>
      <c r="Y362" s="43" t="n"/>
      <c r="Z362" s="26">
        <f>IF(X362&lt;&gt;"执行卖出","",IFERROR(LOOKUP(2,1/(单次交易!$A$2:$A$201=B362),单次交易!$AP$2:$AP$201),""))</f>
        <v/>
      </c>
      <c r="AA362" s="43" t="n"/>
      <c r="AB362" s="31">
        <f>IF(A362&lt;&gt;"每日跟踪","",IF(OR(B362="",H362="",I362="",J362="",K362="",L362="",M362=""),"待补充每日记录",IF(W362="触发止损：应全部卖出",IF(X362&lt;&gt;"执行卖出","违规：触发止损但未执行",IF(Y362="","待补充实际卖出价","卖出记录完整")),IF(X362="","待选择卖出动作",IF(X362="执行卖出",IF(Y362="","待补充实际卖出价","卖出记录完整"),"正常")))))</f>
        <v/>
      </c>
      <c r="AC362" s="31">
        <f>IF(A362="","",IF(A362="止损计划",IF(OR(B362="",D362="",E362="",F362="",G362=""),"计划不完整",IF(OR(D362&lt;1,D362&lt;&gt;INT(D362)),"阶段序号无效",IF(COUNTIFS($A$2:$A$501,"止损计划",$B$2:$B$501,B362,$D$2:$D$501,D362)&gt;1,"阶段序号重复",IF(E362&lt;=IFERROR(LOOKUP(2,1/('单次交易'!$A$2:$A$201=B362),'单次交易'!$E$2:$E$201),0),"激活价须高于买入价",IF(F362&lt;N362,"止损价不得低于初始止损",IF(F362&gt;E362,"止损价不得高于激活价",IF(AND(COUNTIFS($A$2:$A$501,"止损计划",$B$2:$B$501,B362,$D$2:$D$501,"&lt;"&amp;D362)&gt;0,OR(E362&lt;=AGGREGATE(14,6,$E$2:$E$501/(($A$2:$A$501="止损计划")*($B$2:$B$501=B362)*($D$2:$D$501&lt;D362)),1),F362&lt;AGGREGATE(14,6,$F$2:$F$501/(($A$2:$A$501="止损计划")*($B$2:$B$501=B362)*($D$2:$D$501&lt;D362)),1))),"阶段价格必须逐级提高","计划有效"))))))),IF(A362="每日跟踪",IF(OR(B362="",H362="",I362="",J362=""),"每日数据不完整",IF(COUNTIFS($A$2:$A$501,"每日跟踪",$B$2:$B$501,B362,$H$2:$H$501,H362)&gt;1,"同一交易日期重复",IF(AND(R362&lt;&gt;"",R362&lt;S362),"人工止损无效：不能下调","跟踪有效"))),"记录类型无效")))</f>
        <v/>
      </c>
    </row>
    <row r="363">
      <c r="A363" s="28" t="n"/>
      <c r="B363" s="28" t="n"/>
      <c r="C363" s="31">
        <f>IF(B363="","",IFERROR(LOOKUP(2,1/(单次交易!$A$2:$A$201=B363),单次交易!$B$2:$B$201),""))</f>
        <v/>
      </c>
      <c r="D363" s="27" t="n"/>
      <c r="E363" s="43" t="n"/>
      <c r="F363" s="43" t="n"/>
      <c r="G363" s="28" t="n"/>
      <c r="H363" s="49" t="n"/>
      <c r="I363" s="43" t="n"/>
      <c r="J363" s="27" t="n"/>
      <c r="K363" s="28" t="n"/>
      <c r="L363" s="28" t="n"/>
      <c r="M363" s="28" t="n"/>
      <c r="N363" s="44">
        <f>IF(B363="","",IFERROR(LOOKUP(2,1/(单次交易!$A$2:$A$201=B363),单次交易!$N$2:$N$201),""))</f>
        <v/>
      </c>
      <c r="O363" s="44">
        <f>IF(A363&lt;&gt;"每日跟踪","",IF(OR(B363="",H363="",I363=""),"",IFERROR(AGGREGATE(14,6,$I$2:$I$501/(($A$2:$A$501="每日跟踪")*($B$2:$B$501=B363)*($H$2:$H$501&lt;=H363)),1),"")))</f>
        <v/>
      </c>
      <c r="P363" s="26">
        <f>IF(A363&lt;&gt;"每日跟踪","",IF(O363="","",IFERROR(AGGREGATE(14,6,$D$2:$D$501/(($A$2:$A$501="止损计划")*($B$2:$B$501=B363)*($E$2:$E$501&lt;=O363)),1),0)))</f>
        <v/>
      </c>
      <c r="Q363" s="44">
        <f>IF(A363&lt;&gt;"每日跟踪","",IF(N363="","",MAX(N363,IFERROR(AGGREGATE(14,6,$F$2:$F$501/(($A$2:$A$501="止损计划")*($B$2:$B$501=B363)*($E$2:$E$501&lt;=O363)),1),0))))</f>
        <v/>
      </c>
      <c r="R363" s="43" t="n"/>
      <c r="S363" s="44">
        <f>IF(A363&lt;&gt;"每日跟踪","",IF(Q363="","",MAX(Q363,IFERROR(AGGREGATE(14,6,$R$2:$R$501/(($A$2:$A$501="每日跟踪")*($B$2:$B$501=B363)*($H$2:$H$501&lt;=H363)),1),0))))</f>
        <v/>
      </c>
      <c r="T363" s="44">
        <f>IF(A363&lt;&gt;"每日跟踪","",IF(O363="","",IF(COUNTIFS($A$2:$A$501,"止损计划",$B$2:$B$501,B363,$E$2:$E$501,"&gt;"&amp;O363)=0,"",AGGREGATE(15,6,$E$2:$E$501/(($A$2:$A$501="止损计划")*($B$2:$B$501=B363)*($E$2:$E$501&gt;O363)),1))))</f>
        <v/>
      </c>
      <c r="U363" s="44">
        <f>IF(OR(A363&lt;&gt;"每日跟踪",T363=""),"",IFERROR(AGGREGATE(14,6,$F$2:$F$501/(($A$2:$A$501="止损计划")*($B$2:$B$501=B363)*($E$2:$E$501=T363)),1),""))</f>
        <v/>
      </c>
      <c r="V363" s="30">
        <f>IF(OR(A363&lt;&gt;"每日跟踪",T363="",I363="",I363&lt;=0),"",T363/I363-1)</f>
        <v/>
      </c>
      <c r="W363" s="31">
        <f>IF(A363&lt;&gt;"每日跟踪","",IF(OR(I363="",S363=""),"",IF(I363&lt;=S363,"触发止损：应全部卖出","继续观察")))</f>
        <v/>
      </c>
      <c r="X363" s="28" t="n"/>
      <c r="Y363" s="43" t="n"/>
      <c r="Z363" s="26">
        <f>IF(X363&lt;&gt;"执行卖出","",IFERROR(LOOKUP(2,1/(单次交易!$A$2:$A$201=B363),单次交易!$AP$2:$AP$201),""))</f>
        <v/>
      </c>
      <c r="AA363" s="43" t="n"/>
      <c r="AB363" s="31">
        <f>IF(A363&lt;&gt;"每日跟踪","",IF(OR(B363="",H363="",I363="",J363="",K363="",L363="",M363=""),"待补充每日记录",IF(W363="触发止损：应全部卖出",IF(X363&lt;&gt;"执行卖出","违规：触发止损但未执行",IF(Y363="","待补充实际卖出价","卖出记录完整")),IF(X363="","待选择卖出动作",IF(X363="执行卖出",IF(Y363="","待补充实际卖出价","卖出记录完整"),"正常")))))</f>
        <v/>
      </c>
      <c r="AC363" s="31">
        <f>IF(A363="","",IF(A363="止损计划",IF(OR(B363="",D363="",E363="",F363="",G363=""),"计划不完整",IF(OR(D363&lt;1,D363&lt;&gt;INT(D363)),"阶段序号无效",IF(COUNTIFS($A$2:$A$501,"止损计划",$B$2:$B$501,B363,$D$2:$D$501,D363)&gt;1,"阶段序号重复",IF(E363&lt;=IFERROR(LOOKUP(2,1/('单次交易'!$A$2:$A$201=B363),'单次交易'!$E$2:$E$201),0),"激活价须高于买入价",IF(F363&lt;N363,"止损价不得低于初始止损",IF(F363&gt;E363,"止损价不得高于激活价",IF(AND(COUNTIFS($A$2:$A$501,"止损计划",$B$2:$B$501,B363,$D$2:$D$501,"&lt;"&amp;D363)&gt;0,OR(E363&lt;=AGGREGATE(14,6,$E$2:$E$501/(($A$2:$A$501="止损计划")*($B$2:$B$501=B363)*($D$2:$D$501&lt;D363)),1),F363&lt;AGGREGATE(14,6,$F$2:$F$501/(($A$2:$A$501="止损计划")*($B$2:$B$501=B363)*($D$2:$D$501&lt;D363)),1))),"阶段价格必须逐级提高","计划有效"))))))),IF(A363="每日跟踪",IF(OR(B363="",H363="",I363="",J363=""),"每日数据不完整",IF(COUNTIFS($A$2:$A$501,"每日跟踪",$B$2:$B$501,B363,$H$2:$H$501,H363)&gt;1,"同一交易日期重复",IF(AND(R363&lt;&gt;"",R363&lt;S363),"人工止损无效：不能下调","跟踪有效"))),"记录类型无效")))</f>
        <v/>
      </c>
    </row>
    <row r="364">
      <c r="A364" s="28" t="n"/>
      <c r="B364" s="28" t="n"/>
      <c r="C364" s="31">
        <f>IF(B364="","",IFERROR(LOOKUP(2,1/(单次交易!$A$2:$A$201=B364),单次交易!$B$2:$B$201),""))</f>
        <v/>
      </c>
      <c r="D364" s="27" t="n"/>
      <c r="E364" s="43" t="n"/>
      <c r="F364" s="43" t="n"/>
      <c r="G364" s="28" t="n"/>
      <c r="H364" s="49" t="n"/>
      <c r="I364" s="43" t="n"/>
      <c r="J364" s="27" t="n"/>
      <c r="K364" s="28" t="n"/>
      <c r="L364" s="28" t="n"/>
      <c r="M364" s="28" t="n"/>
      <c r="N364" s="44">
        <f>IF(B364="","",IFERROR(LOOKUP(2,1/(单次交易!$A$2:$A$201=B364),单次交易!$N$2:$N$201),""))</f>
        <v/>
      </c>
      <c r="O364" s="44">
        <f>IF(A364&lt;&gt;"每日跟踪","",IF(OR(B364="",H364="",I364=""),"",IFERROR(AGGREGATE(14,6,$I$2:$I$501/(($A$2:$A$501="每日跟踪")*($B$2:$B$501=B364)*($H$2:$H$501&lt;=H364)),1),"")))</f>
        <v/>
      </c>
      <c r="P364" s="26">
        <f>IF(A364&lt;&gt;"每日跟踪","",IF(O364="","",IFERROR(AGGREGATE(14,6,$D$2:$D$501/(($A$2:$A$501="止损计划")*($B$2:$B$501=B364)*($E$2:$E$501&lt;=O364)),1),0)))</f>
        <v/>
      </c>
      <c r="Q364" s="44">
        <f>IF(A364&lt;&gt;"每日跟踪","",IF(N364="","",MAX(N364,IFERROR(AGGREGATE(14,6,$F$2:$F$501/(($A$2:$A$501="止损计划")*($B$2:$B$501=B364)*($E$2:$E$501&lt;=O364)),1),0))))</f>
        <v/>
      </c>
      <c r="R364" s="43" t="n"/>
      <c r="S364" s="44">
        <f>IF(A364&lt;&gt;"每日跟踪","",IF(Q364="","",MAX(Q364,IFERROR(AGGREGATE(14,6,$R$2:$R$501/(($A$2:$A$501="每日跟踪")*($B$2:$B$501=B364)*($H$2:$H$501&lt;=H364)),1),0))))</f>
        <v/>
      </c>
      <c r="T364" s="44">
        <f>IF(A364&lt;&gt;"每日跟踪","",IF(O364="","",IF(COUNTIFS($A$2:$A$501,"止损计划",$B$2:$B$501,B364,$E$2:$E$501,"&gt;"&amp;O364)=0,"",AGGREGATE(15,6,$E$2:$E$501/(($A$2:$A$501="止损计划")*($B$2:$B$501=B364)*($E$2:$E$501&gt;O364)),1))))</f>
        <v/>
      </c>
      <c r="U364" s="44">
        <f>IF(OR(A364&lt;&gt;"每日跟踪",T364=""),"",IFERROR(AGGREGATE(14,6,$F$2:$F$501/(($A$2:$A$501="止损计划")*($B$2:$B$501=B364)*($E$2:$E$501=T364)),1),""))</f>
        <v/>
      </c>
      <c r="V364" s="30">
        <f>IF(OR(A364&lt;&gt;"每日跟踪",T364="",I364="",I364&lt;=0),"",T364/I364-1)</f>
        <v/>
      </c>
      <c r="W364" s="31">
        <f>IF(A364&lt;&gt;"每日跟踪","",IF(OR(I364="",S364=""),"",IF(I364&lt;=S364,"触发止损：应全部卖出","继续观察")))</f>
        <v/>
      </c>
      <c r="X364" s="28" t="n"/>
      <c r="Y364" s="43" t="n"/>
      <c r="Z364" s="26">
        <f>IF(X364&lt;&gt;"执行卖出","",IFERROR(LOOKUP(2,1/(单次交易!$A$2:$A$201=B364),单次交易!$AP$2:$AP$201),""))</f>
        <v/>
      </c>
      <c r="AA364" s="43" t="n"/>
      <c r="AB364" s="31">
        <f>IF(A364&lt;&gt;"每日跟踪","",IF(OR(B364="",H364="",I364="",J364="",K364="",L364="",M364=""),"待补充每日记录",IF(W364="触发止损：应全部卖出",IF(X364&lt;&gt;"执行卖出","违规：触发止损但未执行",IF(Y364="","待补充实际卖出价","卖出记录完整")),IF(X364="","待选择卖出动作",IF(X364="执行卖出",IF(Y364="","待补充实际卖出价","卖出记录完整"),"正常")))))</f>
        <v/>
      </c>
      <c r="AC364" s="31">
        <f>IF(A364="","",IF(A364="止损计划",IF(OR(B364="",D364="",E364="",F364="",G364=""),"计划不完整",IF(OR(D364&lt;1,D364&lt;&gt;INT(D364)),"阶段序号无效",IF(COUNTIFS($A$2:$A$501,"止损计划",$B$2:$B$501,B364,$D$2:$D$501,D364)&gt;1,"阶段序号重复",IF(E364&lt;=IFERROR(LOOKUP(2,1/('单次交易'!$A$2:$A$201=B364),'单次交易'!$E$2:$E$201),0),"激活价须高于买入价",IF(F364&lt;N364,"止损价不得低于初始止损",IF(F364&gt;E364,"止损价不得高于激活价",IF(AND(COUNTIFS($A$2:$A$501,"止损计划",$B$2:$B$501,B364,$D$2:$D$501,"&lt;"&amp;D364)&gt;0,OR(E364&lt;=AGGREGATE(14,6,$E$2:$E$501/(($A$2:$A$501="止损计划")*($B$2:$B$501=B364)*($D$2:$D$501&lt;D364)),1),F364&lt;AGGREGATE(14,6,$F$2:$F$501/(($A$2:$A$501="止损计划")*($B$2:$B$501=B364)*($D$2:$D$501&lt;D364)),1))),"阶段价格必须逐级提高","计划有效"))))))),IF(A364="每日跟踪",IF(OR(B364="",H364="",I364="",J364=""),"每日数据不完整",IF(COUNTIFS($A$2:$A$501,"每日跟踪",$B$2:$B$501,B364,$H$2:$H$501,H364)&gt;1,"同一交易日期重复",IF(AND(R364&lt;&gt;"",R364&lt;S364),"人工止损无效：不能下调","跟踪有效"))),"记录类型无效")))</f>
        <v/>
      </c>
    </row>
    <row r="365">
      <c r="A365" s="28" t="n"/>
      <c r="B365" s="28" t="n"/>
      <c r="C365" s="31">
        <f>IF(B365="","",IFERROR(LOOKUP(2,1/(单次交易!$A$2:$A$201=B365),单次交易!$B$2:$B$201),""))</f>
        <v/>
      </c>
      <c r="D365" s="27" t="n"/>
      <c r="E365" s="43" t="n"/>
      <c r="F365" s="43" t="n"/>
      <c r="G365" s="28" t="n"/>
      <c r="H365" s="49" t="n"/>
      <c r="I365" s="43" t="n"/>
      <c r="J365" s="27" t="n"/>
      <c r="K365" s="28" t="n"/>
      <c r="L365" s="28" t="n"/>
      <c r="M365" s="28" t="n"/>
      <c r="N365" s="44">
        <f>IF(B365="","",IFERROR(LOOKUP(2,1/(单次交易!$A$2:$A$201=B365),单次交易!$N$2:$N$201),""))</f>
        <v/>
      </c>
      <c r="O365" s="44">
        <f>IF(A365&lt;&gt;"每日跟踪","",IF(OR(B365="",H365="",I365=""),"",IFERROR(AGGREGATE(14,6,$I$2:$I$501/(($A$2:$A$501="每日跟踪")*($B$2:$B$501=B365)*($H$2:$H$501&lt;=H365)),1),"")))</f>
        <v/>
      </c>
      <c r="P365" s="26">
        <f>IF(A365&lt;&gt;"每日跟踪","",IF(O365="","",IFERROR(AGGREGATE(14,6,$D$2:$D$501/(($A$2:$A$501="止损计划")*($B$2:$B$501=B365)*($E$2:$E$501&lt;=O365)),1),0)))</f>
        <v/>
      </c>
      <c r="Q365" s="44">
        <f>IF(A365&lt;&gt;"每日跟踪","",IF(N365="","",MAX(N365,IFERROR(AGGREGATE(14,6,$F$2:$F$501/(($A$2:$A$501="止损计划")*($B$2:$B$501=B365)*($E$2:$E$501&lt;=O365)),1),0))))</f>
        <v/>
      </c>
      <c r="R365" s="43" t="n"/>
      <c r="S365" s="44">
        <f>IF(A365&lt;&gt;"每日跟踪","",IF(Q365="","",MAX(Q365,IFERROR(AGGREGATE(14,6,$R$2:$R$501/(($A$2:$A$501="每日跟踪")*($B$2:$B$501=B365)*($H$2:$H$501&lt;=H365)),1),0))))</f>
        <v/>
      </c>
      <c r="T365" s="44">
        <f>IF(A365&lt;&gt;"每日跟踪","",IF(O365="","",IF(COUNTIFS($A$2:$A$501,"止损计划",$B$2:$B$501,B365,$E$2:$E$501,"&gt;"&amp;O365)=0,"",AGGREGATE(15,6,$E$2:$E$501/(($A$2:$A$501="止损计划")*($B$2:$B$501=B365)*($E$2:$E$501&gt;O365)),1))))</f>
        <v/>
      </c>
      <c r="U365" s="44">
        <f>IF(OR(A365&lt;&gt;"每日跟踪",T365=""),"",IFERROR(AGGREGATE(14,6,$F$2:$F$501/(($A$2:$A$501="止损计划")*($B$2:$B$501=B365)*($E$2:$E$501=T365)),1),""))</f>
        <v/>
      </c>
      <c r="V365" s="30">
        <f>IF(OR(A365&lt;&gt;"每日跟踪",T365="",I365="",I365&lt;=0),"",T365/I365-1)</f>
        <v/>
      </c>
      <c r="W365" s="31">
        <f>IF(A365&lt;&gt;"每日跟踪","",IF(OR(I365="",S365=""),"",IF(I365&lt;=S365,"触发止损：应全部卖出","继续观察")))</f>
        <v/>
      </c>
      <c r="X365" s="28" t="n"/>
      <c r="Y365" s="43" t="n"/>
      <c r="Z365" s="26">
        <f>IF(X365&lt;&gt;"执行卖出","",IFERROR(LOOKUP(2,1/(单次交易!$A$2:$A$201=B365),单次交易!$AP$2:$AP$201),""))</f>
        <v/>
      </c>
      <c r="AA365" s="43" t="n"/>
      <c r="AB365" s="31">
        <f>IF(A365&lt;&gt;"每日跟踪","",IF(OR(B365="",H365="",I365="",J365="",K365="",L365="",M365=""),"待补充每日记录",IF(W365="触发止损：应全部卖出",IF(X365&lt;&gt;"执行卖出","违规：触发止损但未执行",IF(Y365="","待补充实际卖出价","卖出记录完整")),IF(X365="","待选择卖出动作",IF(X365="执行卖出",IF(Y365="","待补充实际卖出价","卖出记录完整"),"正常")))))</f>
        <v/>
      </c>
      <c r="AC365" s="31">
        <f>IF(A365="","",IF(A365="止损计划",IF(OR(B365="",D365="",E365="",F365="",G365=""),"计划不完整",IF(OR(D365&lt;1,D365&lt;&gt;INT(D365)),"阶段序号无效",IF(COUNTIFS($A$2:$A$501,"止损计划",$B$2:$B$501,B365,$D$2:$D$501,D365)&gt;1,"阶段序号重复",IF(E365&lt;=IFERROR(LOOKUP(2,1/('单次交易'!$A$2:$A$201=B365),'单次交易'!$E$2:$E$201),0),"激活价须高于买入价",IF(F365&lt;N365,"止损价不得低于初始止损",IF(F365&gt;E365,"止损价不得高于激活价",IF(AND(COUNTIFS($A$2:$A$501,"止损计划",$B$2:$B$501,B365,$D$2:$D$501,"&lt;"&amp;D365)&gt;0,OR(E365&lt;=AGGREGATE(14,6,$E$2:$E$501/(($A$2:$A$501="止损计划")*($B$2:$B$501=B365)*($D$2:$D$501&lt;D365)),1),F365&lt;AGGREGATE(14,6,$F$2:$F$501/(($A$2:$A$501="止损计划")*($B$2:$B$501=B365)*($D$2:$D$501&lt;D365)),1))),"阶段价格必须逐级提高","计划有效"))))))),IF(A365="每日跟踪",IF(OR(B365="",H365="",I365="",J365=""),"每日数据不完整",IF(COUNTIFS($A$2:$A$501,"每日跟踪",$B$2:$B$501,B365,$H$2:$H$501,H365)&gt;1,"同一交易日期重复",IF(AND(R365&lt;&gt;"",R365&lt;S365),"人工止损无效：不能下调","跟踪有效"))),"记录类型无效")))</f>
        <v/>
      </c>
    </row>
    <row r="366">
      <c r="A366" s="28" t="n"/>
      <c r="B366" s="28" t="n"/>
      <c r="C366" s="31">
        <f>IF(B366="","",IFERROR(LOOKUP(2,1/(单次交易!$A$2:$A$201=B366),单次交易!$B$2:$B$201),""))</f>
        <v/>
      </c>
      <c r="D366" s="27" t="n"/>
      <c r="E366" s="43" t="n"/>
      <c r="F366" s="43" t="n"/>
      <c r="G366" s="28" t="n"/>
      <c r="H366" s="49" t="n"/>
      <c r="I366" s="43" t="n"/>
      <c r="J366" s="27" t="n"/>
      <c r="K366" s="28" t="n"/>
      <c r="L366" s="28" t="n"/>
      <c r="M366" s="28" t="n"/>
      <c r="N366" s="44">
        <f>IF(B366="","",IFERROR(LOOKUP(2,1/(单次交易!$A$2:$A$201=B366),单次交易!$N$2:$N$201),""))</f>
        <v/>
      </c>
      <c r="O366" s="44">
        <f>IF(A366&lt;&gt;"每日跟踪","",IF(OR(B366="",H366="",I366=""),"",IFERROR(AGGREGATE(14,6,$I$2:$I$501/(($A$2:$A$501="每日跟踪")*($B$2:$B$501=B366)*($H$2:$H$501&lt;=H366)),1),"")))</f>
        <v/>
      </c>
      <c r="P366" s="26">
        <f>IF(A366&lt;&gt;"每日跟踪","",IF(O366="","",IFERROR(AGGREGATE(14,6,$D$2:$D$501/(($A$2:$A$501="止损计划")*($B$2:$B$501=B366)*($E$2:$E$501&lt;=O366)),1),0)))</f>
        <v/>
      </c>
      <c r="Q366" s="44">
        <f>IF(A366&lt;&gt;"每日跟踪","",IF(N366="","",MAX(N366,IFERROR(AGGREGATE(14,6,$F$2:$F$501/(($A$2:$A$501="止损计划")*($B$2:$B$501=B366)*($E$2:$E$501&lt;=O366)),1),0))))</f>
        <v/>
      </c>
      <c r="R366" s="43" t="n"/>
      <c r="S366" s="44">
        <f>IF(A366&lt;&gt;"每日跟踪","",IF(Q366="","",MAX(Q366,IFERROR(AGGREGATE(14,6,$R$2:$R$501/(($A$2:$A$501="每日跟踪")*($B$2:$B$501=B366)*($H$2:$H$501&lt;=H366)),1),0))))</f>
        <v/>
      </c>
      <c r="T366" s="44">
        <f>IF(A366&lt;&gt;"每日跟踪","",IF(O366="","",IF(COUNTIFS($A$2:$A$501,"止损计划",$B$2:$B$501,B366,$E$2:$E$501,"&gt;"&amp;O366)=0,"",AGGREGATE(15,6,$E$2:$E$501/(($A$2:$A$501="止损计划")*($B$2:$B$501=B366)*($E$2:$E$501&gt;O366)),1))))</f>
        <v/>
      </c>
      <c r="U366" s="44">
        <f>IF(OR(A366&lt;&gt;"每日跟踪",T366=""),"",IFERROR(AGGREGATE(14,6,$F$2:$F$501/(($A$2:$A$501="止损计划")*($B$2:$B$501=B366)*($E$2:$E$501=T366)),1),""))</f>
        <v/>
      </c>
      <c r="V366" s="30">
        <f>IF(OR(A366&lt;&gt;"每日跟踪",T366="",I366="",I366&lt;=0),"",T366/I366-1)</f>
        <v/>
      </c>
      <c r="W366" s="31">
        <f>IF(A366&lt;&gt;"每日跟踪","",IF(OR(I366="",S366=""),"",IF(I366&lt;=S366,"触发止损：应全部卖出","继续观察")))</f>
        <v/>
      </c>
      <c r="X366" s="28" t="n"/>
      <c r="Y366" s="43" t="n"/>
      <c r="Z366" s="26">
        <f>IF(X366&lt;&gt;"执行卖出","",IFERROR(LOOKUP(2,1/(单次交易!$A$2:$A$201=B366),单次交易!$AP$2:$AP$201),""))</f>
        <v/>
      </c>
      <c r="AA366" s="43" t="n"/>
      <c r="AB366" s="31">
        <f>IF(A366&lt;&gt;"每日跟踪","",IF(OR(B366="",H366="",I366="",J366="",K366="",L366="",M366=""),"待补充每日记录",IF(W366="触发止损：应全部卖出",IF(X366&lt;&gt;"执行卖出","违规：触发止损但未执行",IF(Y366="","待补充实际卖出价","卖出记录完整")),IF(X366="","待选择卖出动作",IF(X366="执行卖出",IF(Y366="","待补充实际卖出价","卖出记录完整"),"正常")))))</f>
        <v/>
      </c>
      <c r="AC366" s="31">
        <f>IF(A366="","",IF(A366="止损计划",IF(OR(B366="",D366="",E366="",F366="",G366=""),"计划不完整",IF(OR(D366&lt;1,D366&lt;&gt;INT(D366)),"阶段序号无效",IF(COUNTIFS($A$2:$A$501,"止损计划",$B$2:$B$501,B366,$D$2:$D$501,D366)&gt;1,"阶段序号重复",IF(E366&lt;=IFERROR(LOOKUP(2,1/('单次交易'!$A$2:$A$201=B366),'单次交易'!$E$2:$E$201),0),"激活价须高于买入价",IF(F366&lt;N366,"止损价不得低于初始止损",IF(F366&gt;E366,"止损价不得高于激活价",IF(AND(COUNTIFS($A$2:$A$501,"止损计划",$B$2:$B$501,B366,$D$2:$D$501,"&lt;"&amp;D366)&gt;0,OR(E366&lt;=AGGREGATE(14,6,$E$2:$E$501/(($A$2:$A$501="止损计划")*($B$2:$B$501=B366)*($D$2:$D$501&lt;D366)),1),F366&lt;AGGREGATE(14,6,$F$2:$F$501/(($A$2:$A$501="止损计划")*($B$2:$B$501=B366)*($D$2:$D$501&lt;D366)),1))),"阶段价格必须逐级提高","计划有效"))))))),IF(A366="每日跟踪",IF(OR(B366="",H366="",I366="",J366=""),"每日数据不完整",IF(COUNTIFS($A$2:$A$501,"每日跟踪",$B$2:$B$501,B366,$H$2:$H$501,H366)&gt;1,"同一交易日期重复",IF(AND(R366&lt;&gt;"",R366&lt;S366),"人工止损无效：不能下调","跟踪有效"))),"记录类型无效")))</f>
        <v/>
      </c>
    </row>
    <row r="367">
      <c r="A367" s="28" t="n"/>
      <c r="B367" s="28" t="n"/>
      <c r="C367" s="31">
        <f>IF(B367="","",IFERROR(LOOKUP(2,1/(单次交易!$A$2:$A$201=B367),单次交易!$B$2:$B$201),""))</f>
        <v/>
      </c>
      <c r="D367" s="27" t="n"/>
      <c r="E367" s="43" t="n"/>
      <c r="F367" s="43" t="n"/>
      <c r="G367" s="28" t="n"/>
      <c r="H367" s="49" t="n"/>
      <c r="I367" s="43" t="n"/>
      <c r="J367" s="27" t="n"/>
      <c r="K367" s="28" t="n"/>
      <c r="L367" s="28" t="n"/>
      <c r="M367" s="28" t="n"/>
      <c r="N367" s="44">
        <f>IF(B367="","",IFERROR(LOOKUP(2,1/(单次交易!$A$2:$A$201=B367),单次交易!$N$2:$N$201),""))</f>
        <v/>
      </c>
      <c r="O367" s="44">
        <f>IF(A367&lt;&gt;"每日跟踪","",IF(OR(B367="",H367="",I367=""),"",IFERROR(AGGREGATE(14,6,$I$2:$I$501/(($A$2:$A$501="每日跟踪")*($B$2:$B$501=B367)*($H$2:$H$501&lt;=H367)),1),"")))</f>
        <v/>
      </c>
      <c r="P367" s="26">
        <f>IF(A367&lt;&gt;"每日跟踪","",IF(O367="","",IFERROR(AGGREGATE(14,6,$D$2:$D$501/(($A$2:$A$501="止损计划")*($B$2:$B$501=B367)*($E$2:$E$501&lt;=O367)),1),0)))</f>
        <v/>
      </c>
      <c r="Q367" s="44">
        <f>IF(A367&lt;&gt;"每日跟踪","",IF(N367="","",MAX(N367,IFERROR(AGGREGATE(14,6,$F$2:$F$501/(($A$2:$A$501="止损计划")*($B$2:$B$501=B367)*($E$2:$E$501&lt;=O367)),1),0))))</f>
        <v/>
      </c>
      <c r="R367" s="43" t="n"/>
      <c r="S367" s="44">
        <f>IF(A367&lt;&gt;"每日跟踪","",IF(Q367="","",MAX(Q367,IFERROR(AGGREGATE(14,6,$R$2:$R$501/(($A$2:$A$501="每日跟踪")*($B$2:$B$501=B367)*($H$2:$H$501&lt;=H367)),1),0))))</f>
        <v/>
      </c>
      <c r="T367" s="44">
        <f>IF(A367&lt;&gt;"每日跟踪","",IF(O367="","",IF(COUNTIFS($A$2:$A$501,"止损计划",$B$2:$B$501,B367,$E$2:$E$501,"&gt;"&amp;O367)=0,"",AGGREGATE(15,6,$E$2:$E$501/(($A$2:$A$501="止损计划")*($B$2:$B$501=B367)*($E$2:$E$501&gt;O367)),1))))</f>
        <v/>
      </c>
      <c r="U367" s="44">
        <f>IF(OR(A367&lt;&gt;"每日跟踪",T367=""),"",IFERROR(AGGREGATE(14,6,$F$2:$F$501/(($A$2:$A$501="止损计划")*($B$2:$B$501=B367)*($E$2:$E$501=T367)),1),""))</f>
        <v/>
      </c>
      <c r="V367" s="30">
        <f>IF(OR(A367&lt;&gt;"每日跟踪",T367="",I367="",I367&lt;=0),"",T367/I367-1)</f>
        <v/>
      </c>
      <c r="W367" s="31">
        <f>IF(A367&lt;&gt;"每日跟踪","",IF(OR(I367="",S367=""),"",IF(I367&lt;=S367,"触发止损：应全部卖出","继续观察")))</f>
        <v/>
      </c>
      <c r="X367" s="28" t="n"/>
      <c r="Y367" s="43" t="n"/>
      <c r="Z367" s="26">
        <f>IF(X367&lt;&gt;"执行卖出","",IFERROR(LOOKUP(2,1/(单次交易!$A$2:$A$201=B367),单次交易!$AP$2:$AP$201),""))</f>
        <v/>
      </c>
      <c r="AA367" s="43" t="n"/>
      <c r="AB367" s="31">
        <f>IF(A367&lt;&gt;"每日跟踪","",IF(OR(B367="",H367="",I367="",J367="",K367="",L367="",M367=""),"待补充每日记录",IF(W367="触发止损：应全部卖出",IF(X367&lt;&gt;"执行卖出","违规：触发止损但未执行",IF(Y367="","待补充实际卖出价","卖出记录完整")),IF(X367="","待选择卖出动作",IF(X367="执行卖出",IF(Y367="","待补充实际卖出价","卖出记录完整"),"正常")))))</f>
        <v/>
      </c>
      <c r="AC367" s="31">
        <f>IF(A367="","",IF(A367="止损计划",IF(OR(B367="",D367="",E367="",F367="",G367=""),"计划不完整",IF(OR(D367&lt;1,D367&lt;&gt;INT(D367)),"阶段序号无效",IF(COUNTIFS($A$2:$A$501,"止损计划",$B$2:$B$501,B367,$D$2:$D$501,D367)&gt;1,"阶段序号重复",IF(E367&lt;=IFERROR(LOOKUP(2,1/('单次交易'!$A$2:$A$201=B367),'单次交易'!$E$2:$E$201),0),"激活价须高于买入价",IF(F367&lt;N367,"止损价不得低于初始止损",IF(F367&gt;E367,"止损价不得高于激活价",IF(AND(COUNTIFS($A$2:$A$501,"止损计划",$B$2:$B$501,B367,$D$2:$D$501,"&lt;"&amp;D367)&gt;0,OR(E367&lt;=AGGREGATE(14,6,$E$2:$E$501/(($A$2:$A$501="止损计划")*($B$2:$B$501=B367)*($D$2:$D$501&lt;D367)),1),F367&lt;AGGREGATE(14,6,$F$2:$F$501/(($A$2:$A$501="止损计划")*($B$2:$B$501=B367)*($D$2:$D$501&lt;D367)),1))),"阶段价格必须逐级提高","计划有效"))))))),IF(A367="每日跟踪",IF(OR(B367="",H367="",I367="",J367=""),"每日数据不完整",IF(COUNTIFS($A$2:$A$501,"每日跟踪",$B$2:$B$501,B367,$H$2:$H$501,H367)&gt;1,"同一交易日期重复",IF(AND(R367&lt;&gt;"",R367&lt;S367),"人工止损无效：不能下调","跟踪有效"))),"记录类型无效")))</f>
        <v/>
      </c>
    </row>
    <row r="368">
      <c r="A368" s="28" t="n"/>
      <c r="B368" s="28" t="n"/>
      <c r="C368" s="31">
        <f>IF(B368="","",IFERROR(LOOKUP(2,1/(单次交易!$A$2:$A$201=B368),单次交易!$B$2:$B$201),""))</f>
        <v/>
      </c>
      <c r="D368" s="27" t="n"/>
      <c r="E368" s="43" t="n"/>
      <c r="F368" s="43" t="n"/>
      <c r="G368" s="28" t="n"/>
      <c r="H368" s="49" t="n"/>
      <c r="I368" s="43" t="n"/>
      <c r="J368" s="27" t="n"/>
      <c r="K368" s="28" t="n"/>
      <c r="L368" s="28" t="n"/>
      <c r="M368" s="28" t="n"/>
      <c r="N368" s="44">
        <f>IF(B368="","",IFERROR(LOOKUP(2,1/(单次交易!$A$2:$A$201=B368),单次交易!$N$2:$N$201),""))</f>
        <v/>
      </c>
      <c r="O368" s="44">
        <f>IF(A368&lt;&gt;"每日跟踪","",IF(OR(B368="",H368="",I368=""),"",IFERROR(AGGREGATE(14,6,$I$2:$I$501/(($A$2:$A$501="每日跟踪")*($B$2:$B$501=B368)*($H$2:$H$501&lt;=H368)),1),"")))</f>
        <v/>
      </c>
      <c r="P368" s="26">
        <f>IF(A368&lt;&gt;"每日跟踪","",IF(O368="","",IFERROR(AGGREGATE(14,6,$D$2:$D$501/(($A$2:$A$501="止损计划")*($B$2:$B$501=B368)*($E$2:$E$501&lt;=O368)),1),0)))</f>
        <v/>
      </c>
      <c r="Q368" s="44">
        <f>IF(A368&lt;&gt;"每日跟踪","",IF(N368="","",MAX(N368,IFERROR(AGGREGATE(14,6,$F$2:$F$501/(($A$2:$A$501="止损计划")*($B$2:$B$501=B368)*($E$2:$E$501&lt;=O368)),1),0))))</f>
        <v/>
      </c>
      <c r="R368" s="43" t="n"/>
      <c r="S368" s="44">
        <f>IF(A368&lt;&gt;"每日跟踪","",IF(Q368="","",MAX(Q368,IFERROR(AGGREGATE(14,6,$R$2:$R$501/(($A$2:$A$501="每日跟踪")*($B$2:$B$501=B368)*($H$2:$H$501&lt;=H368)),1),0))))</f>
        <v/>
      </c>
      <c r="T368" s="44">
        <f>IF(A368&lt;&gt;"每日跟踪","",IF(O368="","",IF(COUNTIFS($A$2:$A$501,"止损计划",$B$2:$B$501,B368,$E$2:$E$501,"&gt;"&amp;O368)=0,"",AGGREGATE(15,6,$E$2:$E$501/(($A$2:$A$501="止损计划")*($B$2:$B$501=B368)*($E$2:$E$501&gt;O368)),1))))</f>
        <v/>
      </c>
      <c r="U368" s="44">
        <f>IF(OR(A368&lt;&gt;"每日跟踪",T368=""),"",IFERROR(AGGREGATE(14,6,$F$2:$F$501/(($A$2:$A$501="止损计划")*($B$2:$B$501=B368)*($E$2:$E$501=T368)),1),""))</f>
        <v/>
      </c>
      <c r="V368" s="30">
        <f>IF(OR(A368&lt;&gt;"每日跟踪",T368="",I368="",I368&lt;=0),"",T368/I368-1)</f>
        <v/>
      </c>
      <c r="W368" s="31">
        <f>IF(A368&lt;&gt;"每日跟踪","",IF(OR(I368="",S368=""),"",IF(I368&lt;=S368,"触发止损：应全部卖出","继续观察")))</f>
        <v/>
      </c>
      <c r="X368" s="28" t="n"/>
      <c r="Y368" s="43" t="n"/>
      <c r="Z368" s="26">
        <f>IF(X368&lt;&gt;"执行卖出","",IFERROR(LOOKUP(2,1/(单次交易!$A$2:$A$201=B368),单次交易!$AP$2:$AP$201),""))</f>
        <v/>
      </c>
      <c r="AA368" s="43" t="n"/>
      <c r="AB368" s="31">
        <f>IF(A368&lt;&gt;"每日跟踪","",IF(OR(B368="",H368="",I368="",J368="",K368="",L368="",M368=""),"待补充每日记录",IF(W368="触发止损：应全部卖出",IF(X368&lt;&gt;"执行卖出","违规：触发止损但未执行",IF(Y368="","待补充实际卖出价","卖出记录完整")),IF(X368="","待选择卖出动作",IF(X368="执行卖出",IF(Y368="","待补充实际卖出价","卖出记录完整"),"正常")))))</f>
        <v/>
      </c>
      <c r="AC368" s="31">
        <f>IF(A368="","",IF(A368="止损计划",IF(OR(B368="",D368="",E368="",F368="",G368=""),"计划不完整",IF(OR(D368&lt;1,D368&lt;&gt;INT(D368)),"阶段序号无效",IF(COUNTIFS($A$2:$A$501,"止损计划",$B$2:$B$501,B368,$D$2:$D$501,D368)&gt;1,"阶段序号重复",IF(E368&lt;=IFERROR(LOOKUP(2,1/('单次交易'!$A$2:$A$201=B368),'单次交易'!$E$2:$E$201),0),"激活价须高于买入价",IF(F368&lt;N368,"止损价不得低于初始止损",IF(F368&gt;E368,"止损价不得高于激活价",IF(AND(COUNTIFS($A$2:$A$501,"止损计划",$B$2:$B$501,B368,$D$2:$D$501,"&lt;"&amp;D368)&gt;0,OR(E368&lt;=AGGREGATE(14,6,$E$2:$E$501/(($A$2:$A$501="止损计划")*($B$2:$B$501=B368)*($D$2:$D$501&lt;D368)),1),F368&lt;AGGREGATE(14,6,$F$2:$F$501/(($A$2:$A$501="止损计划")*($B$2:$B$501=B368)*($D$2:$D$501&lt;D368)),1))),"阶段价格必须逐级提高","计划有效"))))))),IF(A368="每日跟踪",IF(OR(B368="",H368="",I368="",J368=""),"每日数据不完整",IF(COUNTIFS($A$2:$A$501,"每日跟踪",$B$2:$B$501,B368,$H$2:$H$501,H368)&gt;1,"同一交易日期重复",IF(AND(R368&lt;&gt;"",R368&lt;S368),"人工止损无效：不能下调","跟踪有效"))),"记录类型无效")))</f>
        <v/>
      </c>
    </row>
    <row r="369">
      <c r="A369" s="28" t="n"/>
      <c r="B369" s="28" t="n"/>
      <c r="C369" s="31">
        <f>IF(B369="","",IFERROR(LOOKUP(2,1/(单次交易!$A$2:$A$201=B369),单次交易!$B$2:$B$201),""))</f>
        <v/>
      </c>
      <c r="D369" s="27" t="n"/>
      <c r="E369" s="43" t="n"/>
      <c r="F369" s="43" t="n"/>
      <c r="G369" s="28" t="n"/>
      <c r="H369" s="49" t="n"/>
      <c r="I369" s="43" t="n"/>
      <c r="J369" s="27" t="n"/>
      <c r="K369" s="28" t="n"/>
      <c r="L369" s="28" t="n"/>
      <c r="M369" s="28" t="n"/>
      <c r="N369" s="44">
        <f>IF(B369="","",IFERROR(LOOKUP(2,1/(单次交易!$A$2:$A$201=B369),单次交易!$N$2:$N$201),""))</f>
        <v/>
      </c>
      <c r="O369" s="44">
        <f>IF(A369&lt;&gt;"每日跟踪","",IF(OR(B369="",H369="",I369=""),"",IFERROR(AGGREGATE(14,6,$I$2:$I$501/(($A$2:$A$501="每日跟踪")*($B$2:$B$501=B369)*($H$2:$H$501&lt;=H369)),1),"")))</f>
        <v/>
      </c>
      <c r="P369" s="26">
        <f>IF(A369&lt;&gt;"每日跟踪","",IF(O369="","",IFERROR(AGGREGATE(14,6,$D$2:$D$501/(($A$2:$A$501="止损计划")*($B$2:$B$501=B369)*($E$2:$E$501&lt;=O369)),1),0)))</f>
        <v/>
      </c>
      <c r="Q369" s="44">
        <f>IF(A369&lt;&gt;"每日跟踪","",IF(N369="","",MAX(N369,IFERROR(AGGREGATE(14,6,$F$2:$F$501/(($A$2:$A$501="止损计划")*($B$2:$B$501=B369)*($E$2:$E$501&lt;=O369)),1),0))))</f>
        <v/>
      </c>
      <c r="R369" s="43" t="n"/>
      <c r="S369" s="44">
        <f>IF(A369&lt;&gt;"每日跟踪","",IF(Q369="","",MAX(Q369,IFERROR(AGGREGATE(14,6,$R$2:$R$501/(($A$2:$A$501="每日跟踪")*($B$2:$B$501=B369)*($H$2:$H$501&lt;=H369)),1),0))))</f>
        <v/>
      </c>
      <c r="T369" s="44">
        <f>IF(A369&lt;&gt;"每日跟踪","",IF(O369="","",IF(COUNTIFS($A$2:$A$501,"止损计划",$B$2:$B$501,B369,$E$2:$E$501,"&gt;"&amp;O369)=0,"",AGGREGATE(15,6,$E$2:$E$501/(($A$2:$A$501="止损计划")*($B$2:$B$501=B369)*($E$2:$E$501&gt;O369)),1))))</f>
        <v/>
      </c>
      <c r="U369" s="44">
        <f>IF(OR(A369&lt;&gt;"每日跟踪",T369=""),"",IFERROR(AGGREGATE(14,6,$F$2:$F$501/(($A$2:$A$501="止损计划")*($B$2:$B$501=B369)*($E$2:$E$501=T369)),1),""))</f>
        <v/>
      </c>
      <c r="V369" s="30">
        <f>IF(OR(A369&lt;&gt;"每日跟踪",T369="",I369="",I369&lt;=0),"",T369/I369-1)</f>
        <v/>
      </c>
      <c r="W369" s="31">
        <f>IF(A369&lt;&gt;"每日跟踪","",IF(OR(I369="",S369=""),"",IF(I369&lt;=S369,"触发止损：应全部卖出","继续观察")))</f>
        <v/>
      </c>
      <c r="X369" s="28" t="n"/>
      <c r="Y369" s="43" t="n"/>
      <c r="Z369" s="26">
        <f>IF(X369&lt;&gt;"执行卖出","",IFERROR(LOOKUP(2,1/(单次交易!$A$2:$A$201=B369),单次交易!$AP$2:$AP$201),""))</f>
        <v/>
      </c>
      <c r="AA369" s="43" t="n"/>
      <c r="AB369" s="31">
        <f>IF(A369&lt;&gt;"每日跟踪","",IF(OR(B369="",H369="",I369="",J369="",K369="",L369="",M369=""),"待补充每日记录",IF(W369="触发止损：应全部卖出",IF(X369&lt;&gt;"执行卖出","违规：触发止损但未执行",IF(Y369="","待补充实际卖出价","卖出记录完整")),IF(X369="","待选择卖出动作",IF(X369="执行卖出",IF(Y369="","待补充实际卖出价","卖出记录完整"),"正常")))))</f>
        <v/>
      </c>
      <c r="AC369" s="31">
        <f>IF(A369="","",IF(A369="止损计划",IF(OR(B369="",D369="",E369="",F369="",G369=""),"计划不完整",IF(OR(D369&lt;1,D369&lt;&gt;INT(D369)),"阶段序号无效",IF(COUNTIFS($A$2:$A$501,"止损计划",$B$2:$B$501,B369,$D$2:$D$501,D369)&gt;1,"阶段序号重复",IF(E369&lt;=IFERROR(LOOKUP(2,1/('单次交易'!$A$2:$A$201=B369),'单次交易'!$E$2:$E$201),0),"激活价须高于买入价",IF(F369&lt;N369,"止损价不得低于初始止损",IF(F369&gt;E369,"止损价不得高于激活价",IF(AND(COUNTIFS($A$2:$A$501,"止损计划",$B$2:$B$501,B369,$D$2:$D$501,"&lt;"&amp;D369)&gt;0,OR(E369&lt;=AGGREGATE(14,6,$E$2:$E$501/(($A$2:$A$501="止损计划")*($B$2:$B$501=B369)*($D$2:$D$501&lt;D369)),1),F369&lt;AGGREGATE(14,6,$F$2:$F$501/(($A$2:$A$501="止损计划")*($B$2:$B$501=B369)*($D$2:$D$501&lt;D369)),1))),"阶段价格必须逐级提高","计划有效"))))))),IF(A369="每日跟踪",IF(OR(B369="",H369="",I369="",J369=""),"每日数据不完整",IF(COUNTIFS($A$2:$A$501,"每日跟踪",$B$2:$B$501,B369,$H$2:$H$501,H369)&gt;1,"同一交易日期重复",IF(AND(R369&lt;&gt;"",R369&lt;S369),"人工止损无效：不能下调","跟踪有效"))),"记录类型无效")))</f>
        <v/>
      </c>
    </row>
    <row r="370">
      <c r="A370" s="28" t="n"/>
      <c r="B370" s="28" t="n"/>
      <c r="C370" s="31">
        <f>IF(B370="","",IFERROR(LOOKUP(2,1/(单次交易!$A$2:$A$201=B370),单次交易!$B$2:$B$201),""))</f>
        <v/>
      </c>
      <c r="D370" s="27" t="n"/>
      <c r="E370" s="43" t="n"/>
      <c r="F370" s="43" t="n"/>
      <c r="G370" s="28" t="n"/>
      <c r="H370" s="49" t="n"/>
      <c r="I370" s="43" t="n"/>
      <c r="J370" s="27" t="n"/>
      <c r="K370" s="28" t="n"/>
      <c r="L370" s="28" t="n"/>
      <c r="M370" s="28" t="n"/>
      <c r="N370" s="44">
        <f>IF(B370="","",IFERROR(LOOKUP(2,1/(单次交易!$A$2:$A$201=B370),单次交易!$N$2:$N$201),""))</f>
        <v/>
      </c>
      <c r="O370" s="44">
        <f>IF(A370&lt;&gt;"每日跟踪","",IF(OR(B370="",H370="",I370=""),"",IFERROR(AGGREGATE(14,6,$I$2:$I$501/(($A$2:$A$501="每日跟踪")*($B$2:$B$501=B370)*($H$2:$H$501&lt;=H370)),1),"")))</f>
        <v/>
      </c>
      <c r="P370" s="26">
        <f>IF(A370&lt;&gt;"每日跟踪","",IF(O370="","",IFERROR(AGGREGATE(14,6,$D$2:$D$501/(($A$2:$A$501="止损计划")*($B$2:$B$501=B370)*($E$2:$E$501&lt;=O370)),1),0)))</f>
        <v/>
      </c>
      <c r="Q370" s="44">
        <f>IF(A370&lt;&gt;"每日跟踪","",IF(N370="","",MAX(N370,IFERROR(AGGREGATE(14,6,$F$2:$F$501/(($A$2:$A$501="止损计划")*($B$2:$B$501=B370)*($E$2:$E$501&lt;=O370)),1),0))))</f>
        <v/>
      </c>
      <c r="R370" s="43" t="n"/>
      <c r="S370" s="44">
        <f>IF(A370&lt;&gt;"每日跟踪","",IF(Q370="","",MAX(Q370,IFERROR(AGGREGATE(14,6,$R$2:$R$501/(($A$2:$A$501="每日跟踪")*($B$2:$B$501=B370)*($H$2:$H$501&lt;=H370)),1),0))))</f>
        <v/>
      </c>
      <c r="T370" s="44">
        <f>IF(A370&lt;&gt;"每日跟踪","",IF(O370="","",IF(COUNTIFS($A$2:$A$501,"止损计划",$B$2:$B$501,B370,$E$2:$E$501,"&gt;"&amp;O370)=0,"",AGGREGATE(15,6,$E$2:$E$501/(($A$2:$A$501="止损计划")*($B$2:$B$501=B370)*($E$2:$E$501&gt;O370)),1))))</f>
        <v/>
      </c>
      <c r="U370" s="44">
        <f>IF(OR(A370&lt;&gt;"每日跟踪",T370=""),"",IFERROR(AGGREGATE(14,6,$F$2:$F$501/(($A$2:$A$501="止损计划")*($B$2:$B$501=B370)*($E$2:$E$501=T370)),1),""))</f>
        <v/>
      </c>
      <c r="V370" s="30">
        <f>IF(OR(A370&lt;&gt;"每日跟踪",T370="",I370="",I370&lt;=0),"",T370/I370-1)</f>
        <v/>
      </c>
      <c r="W370" s="31">
        <f>IF(A370&lt;&gt;"每日跟踪","",IF(OR(I370="",S370=""),"",IF(I370&lt;=S370,"触发止损：应全部卖出","继续观察")))</f>
        <v/>
      </c>
      <c r="X370" s="28" t="n"/>
      <c r="Y370" s="43" t="n"/>
      <c r="Z370" s="26">
        <f>IF(X370&lt;&gt;"执行卖出","",IFERROR(LOOKUP(2,1/(单次交易!$A$2:$A$201=B370),单次交易!$AP$2:$AP$201),""))</f>
        <v/>
      </c>
      <c r="AA370" s="43" t="n"/>
      <c r="AB370" s="31">
        <f>IF(A370&lt;&gt;"每日跟踪","",IF(OR(B370="",H370="",I370="",J370="",K370="",L370="",M370=""),"待补充每日记录",IF(W370="触发止损：应全部卖出",IF(X370&lt;&gt;"执行卖出","违规：触发止损但未执行",IF(Y370="","待补充实际卖出价","卖出记录完整")),IF(X370="","待选择卖出动作",IF(X370="执行卖出",IF(Y370="","待补充实际卖出价","卖出记录完整"),"正常")))))</f>
        <v/>
      </c>
      <c r="AC370" s="31">
        <f>IF(A370="","",IF(A370="止损计划",IF(OR(B370="",D370="",E370="",F370="",G370=""),"计划不完整",IF(OR(D370&lt;1,D370&lt;&gt;INT(D370)),"阶段序号无效",IF(COUNTIFS($A$2:$A$501,"止损计划",$B$2:$B$501,B370,$D$2:$D$501,D370)&gt;1,"阶段序号重复",IF(E370&lt;=IFERROR(LOOKUP(2,1/('单次交易'!$A$2:$A$201=B370),'单次交易'!$E$2:$E$201),0),"激活价须高于买入价",IF(F370&lt;N370,"止损价不得低于初始止损",IF(F370&gt;E370,"止损价不得高于激活价",IF(AND(COUNTIFS($A$2:$A$501,"止损计划",$B$2:$B$501,B370,$D$2:$D$501,"&lt;"&amp;D370)&gt;0,OR(E370&lt;=AGGREGATE(14,6,$E$2:$E$501/(($A$2:$A$501="止损计划")*($B$2:$B$501=B370)*($D$2:$D$501&lt;D370)),1),F370&lt;AGGREGATE(14,6,$F$2:$F$501/(($A$2:$A$501="止损计划")*($B$2:$B$501=B370)*($D$2:$D$501&lt;D370)),1))),"阶段价格必须逐级提高","计划有效"))))))),IF(A370="每日跟踪",IF(OR(B370="",H370="",I370="",J370=""),"每日数据不完整",IF(COUNTIFS($A$2:$A$501,"每日跟踪",$B$2:$B$501,B370,$H$2:$H$501,H370)&gt;1,"同一交易日期重复",IF(AND(R370&lt;&gt;"",R370&lt;S370),"人工止损无效：不能下调","跟踪有效"))),"记录类型无效")))</f>
        <v/>
      </c>
    </row>
    <row r="371">
      <c r="A371" s="28" t="n"/>
      <c r="B371" s="28" t="n"/>
      <c r="C371" s="31">
        <f>IF(B371="","",IFERROR(LOOKUP(2,1/(单次交易!$A$2:$A$201=B371),单次交易!$B$2:$B$201),""))</f>
        <v/>
      </c>
      <c r="D371" s="27" t="n"/>
      <c r="E371" s="43" t="n"/>
      <c r="F371" s="43" t="n"/>
      <c r="G371" s="28" t="n"/>
      <c r="H371" s="49" t="n"/>
      <c r="I371" s="43" t="n"/>
      <c r="J371" s="27" t="n"/>
      <c r="K371" s="28" t="n"/>
      <c r="L371" s="28" t="n"/>
      <c r="M371" s="28" t="n"/>
      <c r="N371" s="44">
        <f>IF(B371="","",IFERROR(LOOKUP(2,1/(单次交易!$A$2:$A$201=B371),单次交易!$N$2:$N$201),""))</f>
        <v/>
      </c>
      <c r="O371" s="44">
        <f>IF(A371&lt;&gt;"每日跟踪","",IF(OR(B371="",H371="",I371=""),"",IFERROR(AGGREGATE(14,6,$I$2:$I$501/(($A$2:$A$501="每日跟踪")*($B$2:$B$501=B371)*($H$2:$H$501&lt;=H371)),1),"")))</f>
        <v/>
      </c>
      <c r="P371" s="26">
        <f>IF(A371&lt;&gt;"每日跟踪","",IF(O371="","",IFERROR(AGGREGATE(14,6,$D$2:$D$501/(($A$2:$A$501="止损计划")*($B$2:$B$501=B371)*($E$2:$E$501&lt;=O371)),1),0)))</f>
        <v/>
      </c>
      <c r="Q371" s="44">
        <f>IF(A371&lt;&gt;"每日跟踪","",IF(N371="","",MAX(N371,IFERROR(AGGREGATE(14,6,$F$2:$F$501/(($A$2:$A$501="止损计划")*($B$2:$B$501=B371)*($E$2:$E$501&lt;=O371)),1),0))))</f>
        <v/>
      </c>
      <c r="R371" s="43" t="n"/>
      <c r="S371" s="44">
        <f>IF(A371&lt;&gt;"每日跟踪","",IF(Q371="","",MAX(Q371,IFERROR(AGGREGATE(14,6,$R$2:$R$501/(($A$2:$A$501="每日跟踪")*($B$2:$B$501=B371)*($H$2:$H$501&lt;=H371)),1),0))))</f>
        <v/>
      </c>
      <c r="T371" s="44">
        <f>IF(A371&lt;&gt;"每日跟踪","",IF(O371="","",IF(COUNTIFS($A$2:$A$501,"止损计划",$B$2:$B$501,B371,$E$2:$E$501,"&gt;"&amp;O371)=0,"",AGGREGATE(15,6,$E$2:$E$501/(($A$2:$A$501="止损计划")*($B$2:$B$501=B371)*($E$2:$E$501&gt;O371)),1))))</f>
        <v/>
      </c>
      <c r="U371" s="44">
        <f>IF(OR(A371&lt;&gt;"每日跟踪",T371=""),"",IFERROR(AGGREGATE(14,6,$F$2:$F$501/(($A$2:$A$501="止损计划")*($B$2:$B$501=B371)*($E$2:$E$501=T371)),1),""))</f>
        <v/>
      </c>
      <c r="V371" s="30">
        <f>IF(OR(A371&lt;&gt;"每日跟踪",T371="",I371="",I371&lt;=0),"",T371/I371-1)</f>
        <v/>
      </c>
      <c r="W371" s="31">
        <f>IF(A371&lt;&gt;"每日跟踪","",IF(OR(I371="",S371=""),"",IF(I371&lt;=S371,"触发止损：应全部卖出","继续观察")))</f>
        <v/>
      </c>
      <c r="X371" s="28" t="n"/>
      <c r="Y371" s="43" t="n"/>
      <c r="Z371" s="26">
        <f>IF(X371&lt;&gt;"执行卖出","",IFERROR(LOOKUP(2,1/(单次交易!$A$2:$A$201=B371),单次交易!$AP$2:$AP$201),""))</f>
        <v/>
      </c>
      <c r="AA371" s="43" t="n"/>
      <c r="AB371" s="31">
        <f>IF(A371&lt;&gt;"每日跟踪","",IF(OR(B371="",H371="",I371="",J371="",K371="",L371="",M371=""),"待补充每日记录",IF(W371="触发止损：应全部卖出",IF(X371&lt;&gt;"执行卖出","违规：触发止损但未执行",IF(Y371="","待补充实际卖出价","卖出记录完整")),IF(X371="","待选择卖出动作",IF(X371="执行卖出",IF(Y371="","待补充实际卖出价","卖出记录完整"),"正常")))))</f>
        <v/>
      </c>
      <c r="AC371" s="31">
        <f>IF(A371="","",IF(A371="止损计划",IF(OR(B371="",D371="",E371="",F371="",G371=""),"计划不完整",IF(OR(D371&lt;1,D371&lt;&gt;INT(D371)),"阶段序号无效",IF(COUNTIFS($A$2:$A$501,"止损计划",$B$2:$B$501,B371,$D$2:$D$501,D371)&gt;1,"阶段序号重复",IF(E371&lt;=IFERROR(LOOKUP(2,1/('单次交易'!$A$2:$A$201=B371),'单次交易'!$E$2:$E$201),0),"激活价须高于买入价",IF(F371&lt;N371,"止损价不得低于初始止损",IF(F371&gt;E371,"止损价不得高于激活价",IF(AND(COUNTIFS($A$2:$A$501,"止损计划",$B$2:$B$501,B371,$D$2:$D$501,"&lt;"&amp;D371)&gt;0,OR(E371&lt;=AGGREGATE(14,6,$E$2:$E$501/(($A$2:$A$501="止损计划")*($B$2:$B$501=B371)*($D$2:$D$501&lt;D371)),1),F371&lt;AGGREGATE(14,6,$F$2:$F$501/(($A$2:$A$501="止损计划")*($B$2:$B$501=B371)*($D$2:$D$501&lt;D371)),1))),"阶段价格必须逐级提高","计划有效"))))))),IF(A371="每日跟踪",IF(OR(B371="",H371="",I371="",J371=""),"每日数据不完整",IF(COUNTIFS($A$2:$A$501,"每日跟踪",$B$2:$B$501,B371,$H$2:$H$501,H371)&gt;1,"同一交易日期重复",IF(AND(R371&lt;&gt;"",R371&lt;S371),"人工止损无效：不能下调","跟踪有效"))),"记录类型无效")))</f>
        <v/>
      </c>
    </row>
    <row r="372">
      <c r="A372" s="28" t="n"/>
      <c r="B372" s="28" t="n"/>
      <c r="C372" s="31">
        <f>IF(B372="","",IFERROR(LOOKUP(2,1/(单次交易!$A$2:$A$201=B372),单次交易!$B$2:$B$201),""))</f>
        <v/>
      </c>
      <c r="D372" s="27" t="n"/>
      <c r="E372" s="43" t="n"/>
      <c r="F372" s="43" t="n"/>
      <c r="G372" s="28" t="n"/>
      <c r="H372" s="49" t="n"/>
      <c r="I372" s="43" t="n"/>
      <c r="J372" s="27" t="n"/>
      <c r="K372" s="28" t="n"/>
      <c r="L372" s="28" t="n"/>
      <c r="M372" s="28" t="n"/>
      <c r="N372" s="44">
        <f>IF(B372="","",IFERROR(LOOKUP(2,1/(单次交易!$A$2:$A$201=B372),单次交易!$N$2:$N$201),""))</f>
        <v/>
      </c>
      <c r="O372" s="44">
        <f>IF(A372&lt;&gt;"每日跟踪","",IF(OR(B372="",H372="",I372=""),"",IFERROR(AGGREGATE(14,6,$I$2:$I$501/(($A$2:$A$501="每日跟踪")*($B$2:$B$501=B372)*($H$2:$H$501&lt;=H372)),1),"")))</f>
        <v/>
      </c>
      <c r="P372" s="26">
        <f>IF(A372&lt;&gt;"每日跟踪","",IF(O372="","",IFERROR(AGGREGATE(14,6,$D$2:$D$501/(($A$2:$A$501="止损计划")*($B$2:$B$501=B372)*($E$2:$E$501&lt;=O372)),1),0)))</f>
        <v/>
      </c>
      <c r="Q372" s="44">
        <f>IF(A372&lt;&gt;"每日跟踪","",IF(N372="","",MAX(N372,IFERROR(AGGREGATE(14,6,$F$2:$F$501/(($A$2:$A$501="止损计划")*($B$2:$B$501=B372)*($E$2:$E$501&lt;=O372)),1),0))))</f>
        <v/>
      </c>
      <c r="R372" s="43" t="n"/>
      <c r="S372" s="44">
        <f>IF(A372&lt;&gt;"每日跟踪","",IF(Q372="","",MAX(Q372,IFERROR(AGGREGATE(14,6,$R$2:$R$501/(($A$2:$A$501="每日跟踪")*($B$2:$B$501=B372)*($H$2:$H$501&lt;=H372)),1),0))))</f>
        <v/>
      </c>
      <c r="T372" s="44">
        <f>IF(A372&lt;&gt;"每日跟踪","",IF(O372="","",IF(COUNTIFS($A$2:$A$501,"止损计划",$B$2:$B$501,B372,$E$2:$E$501,"&gt;"&amp;O372)=0,"",AGGREGATE(15,6,$E$2:$E$501/(($A$2:$A$501="止损计划")*($B$2:$B$501=B372)*($E$2:$E$501&gt;O372)),1))))</f>
        <v/>
      </c>
      <c r="U372" s="44">
        <f>IF(OR(A372&lt;&gt;"每日跟踪",T372=""),"",IFERROR(AGGREGATE(14,6,$F$2:$F$501/(($A$2:$A$501="止损计划")*($B$2:$B$501=B372)*($E$2:$E$501=T372)),1),""))</f>
        <v/>
      </c>
      <c r="V372" s="30">
        <f>IF(OR(A372&lt;&gt;"每日跟踪",T372="",I372="",I372&lt;=0),"",T372/I372-1)</f>
        <v/>
      </c>
      <c r="W372" s="31">
        <f>IF(A372&lt;&gt;"每日跟踪","",IF(OR(I372="",S372=""),"",IF(I372&lt;=S372,"触发止损：应全部卖出","继续观察")))</f>
        <v/>
      </c>
      <c r="X372" s="28" t="n"/>
      <c r="Y372" s="43" t="n"/>
      <c r="Z372" s="26">
        <f>IF(X372&lt;&gt;"执行卖出","",IFERROR(LOOKUP(2,1/(单次交易!$A$2:$A$201=B372),单次交易!$AP$2:$AP$201),""))</f>
        <v/>
      </c>
      <c r="AA372" s="43" t="n"/>
      <c r="AB372" s="31">
        <f>IF(A372&lt;&gt;"每日跟踪","",IF(OR(B372="",H372="",I372="",J372="",K372="",L372="",M372=""),"待补充每日记录",IF(W372="触发止损：应全部卖出",IF(X372&lt;&gt;"执行卖出","违规：触发止损但未执行",IF(Y372="","待补充实际卖出价","卖出记录完整")),IF(X372="","待选择卖出动作",IF(X372="执行卖出",IF(Y372="","待补充实际卖出价","卖出记录完整"),"正常")))))</f>
        <v/>
      </c>
      <c r="AC372" s="31">
        <f>IF(A372="","",IF(A372="止损计划",IF(OR(B372="",D372="",E372="",F372="",G372=""),"计划不完整",IF(OR(D372&lt;1,D372&lt;&gt;INT(D372)),"阶段序号无效",IF(COUNTIFS($A$2:$A$501,"止损计划",$B$2:$B$501,B372,$D$2:$D$501,D372)&gt;1,"阶段序号重复",IF(E372&lt;=IFERROR(LOOKUP(2,1/('单次交易'!$A$2:$A$201=B372),'单次交易'!$E$2:$E$201),0),"激活价须高于买入价",IF(F372&lt;N372,"止损价不得低于初始止损",IF(F372&gt;E372,"止损价不得高于激活价",IF(AND(COUNTIFS($A$2:$A$501,"止损计划",$B$2:$B$501,B372,$D$2:$D$501,"&lt;"&amp;D372)&gt;0,OR(E372&lt;=AGGREGATE(14,6,$E$2:$E$501/(($A$2:$A$501="止损计划")*($B$2:$B$501=B372)*($D$2:$D$501&lt;D372)),1),F372&lt;AGGREGATE(14,6,$F$2:$F$501/(($A$2:$A$501="止损计划")*($B$2:$B$501=B372)*($D$2:$D$501&lt;D372)),1))),"阶段价格必须逐级提高","计划有效"))))))),IF(A372="每日跟踪",IF(OR(B372="",H372="",I372="",J372=""),"每日数据不完整",IF(COUNTIFS($A$2:$A$501,"每日跟踪",$B$2:$B$501,B372,$H$2:$H$501,H372)&gt;1,"同一交易日期重复",IF(AND(R372&lt;&gt;"",R372&lt;S372),"人工止损无效：不能下调","跟踪有效"))),"记录类型无效")))</f>
        <v/>
      </c>
    </row>
    <row r="373">
      <c r="A373" s="28" t="n"/>
      <c r="B373" s="28" t="n"/>
      <c r="C373" s="31">
        <f>IF(B373="","",IFERROR(LOOKUP(2,1/(单次交易!$A$2:$A$201=B373),单次交易!$B$2:$B$201),""))</f>
        <v/>
      </c>
      <c r="D373" s="27" t="n"/>
      <c r="E373" s="43" t="n"/>
      <c r="F373" s="43" t="n"/>
      <c r="G373" s="28" t="n"/>
      <c r="H373" s="49" t="n"/>
      <c r="I373" s="43" t="n"/>
      <c r="J373" s="27" t="n"/>
      <c r="K373" s="28" t="n"/>
      <c r="L373" s="28" t="n"/>
      <c r="M373" s="28" t="n"/>
      <c r="N373" s="44">
        <f>IF(B373="","",IFERROR(LOOKUP(2,1/(单次交易!$A$2:$A$201=B373),单次交易!$N$2:$N$201),""))</f>
        <v/>
      </c>
      <c r="O373" s="44">
        <f>IF(A373&lt;&gt;"每日跟踪","",IF(OR(B373="",H373="",I373=""),"",IFERROR(AGGREGATE(14,6,$I$2:$I$501/(($A$2:$A$501="每日跟踪")*($B$2:$B$501=B373)*($H$2:$H$501&lt;=H373)),1),"")))</f>
        <v/>
      </c>
      <c r="P373" s="26">
        <f>IF(A373&lt;&gt;"每日跟踪","",IF(O373="","",IFERROR(AGGREGATE(14,6,$D$2:$D$501/(($A$2:$A$501="止损计划")*($B$2:$B$501=B373)*($E$2:$E$501&lt;=O373)),1),0)))</f>
        <v/>
      </c>
      <c r="Q373" s="44">
        <f>IF(A373&lt;&gt;"每日跟踪","",IF(N373="","",MAX(N373,IFERROR(AGGREGATE(14,6,$F$2:$F$501/(($A$2:$A$501="止损计划")*($B$2:$B$501=B373)*($E$2:$E$501&lt;=O373)),1),0))))</f>
        <v/>
      </c>
      <c r="R373" s="43" t="n"/>
      <c r="S373" s="44">
        <f>IF(A373&lt;&gt;"每日跟踪","",IF(Q373="","",MAX(Q373,IFERROR(AGGREGATE(14,6,$R$2:$R$501/(($A$2:$A$501="每日跟踪")*($B$2:$B$501=B373)*($H$2:$H$501&lt;=H373)),1),0))))</f>
        <v/>
      </c>
      <c r="T373" s="44">
        <f>IF(A373&lt;&gt;"每日跟踪","",IF(O373="","",IF(COUNTIFS($A$2:$A$501,"止损计划",$B$2:$B$501,B373,$E$2:$E$501,"&gt;"&amp;O373)=0,"",AGGREGATE(15,6,$E$2:$E$501/(($A$2:$A$501="止损计划")*($B$2:$B$501=B373)*($E$2:$E$501&gt;O373)),1))))</f>
        <v/>
      </c>
      <c r="U373" s="44">
        <f>IF(OR(A373&lt;&gt;"每日跟踪",T373=""),"",IFERROR(AGGREGATE(14,6,$F$2:$F$501/(($A$2:$A$501="止损计划")*($B$2:$B$501=B373)*($E$2:$E$501=T373)),1),""))</f>
        <v/>
      </c>
      <c r="V373" s="30">
        <f>IF(OR(A373&lt;&gt;"每日跟踪",T373="",I373="",I373&lt;=0),"",T373/I373-1)</f>
        <v/>
      </c>
      <c r="W373" s="31">
        <f>IF(A373&lt;&gt;"每日跟踪","",IF(OR(I373="",S373=""),"",IF(I373&lt;=S373,"触发止损：应全部卖出","继续观察")))</f>
        <v/>
      </c>
      <c r="X373" s="28" t="n"/>
      <c r="Y373" s="43" t="n"/>
      <c r="Z373" s="26">
        <f>IF(X373&lt;&gt;"执行卖出","",IFERROR(LOOKUP(2,1/(单次交易!$A$2:$A$201=B373),单次交易!$AP$2:$AP$201),""))</f>
        <v/>
      </c>
      <c r="AA373" s="43" t="n"/>
      <c r="AB373" s="31">
        <f>IF(A373&lt;&gt;"每日跟踪","",IF(OR(B373="",H373="",I373="",J373="",K373="",L373="",M373=""),"待补充每日记录",IF(W373="触发止损：应全部卖出",IF(X373&lt;&gt;"执行卖出","违规：触发止损但未执行",IF(Y373="","待补充实际卖出价","卖出记录完整")),IF(X373="","待选择卖出动作",IF(X373="执行卖出",IF(Y373="","待补充实际卖出价","卖出记录完整"),"正常")))))</f>
        <v/>
      </c>
      <c r="AC373" s="31">
        <f>IF(A373="","",IF(A373="止损计划",IF(OR(B373="",D373="",E373="",F373="",G373=""),"计划不完整",IF(OR(D373&lt;1,D373&lt;&gt;INT(D373)),"阶段序号无效",IF(COUNTIFS($A$2:$A$501,"止损计划",$B$2:$B$501,B373,$D$2:$D$501,D373)&gt;1,"阶段序号重复",IF(E373&lt;=IFERROR(LOOKUP(2,1/('单次交易'!$A$2:$A$201=B373),'单次交易'!$E$2:$E$201),0),"激活价须高于买入价",IF(F373&lt;N373,"止损价不得低于初始止损",IF(F373&gt;E373,"止损价不得高于激活价",IF(AND(COUNTIFS($A$2:$A$501,"止损计划",$B$2:$B$501,B373,$D$2:$D$501,"&lt;"&amp;D373)&gt;0,OR(E373&lt;=AGGREGATE(14,6,$E$2:$E$501/(($A$2:$A$501="止损计划")*($B$2:$B$501=B373)*($D$2:$D$501&lt;D373)),1),F373&lt;AGGREGATE(14,6,$F$2:$F$501/(($A$2:$A$501="止损计划")*($B$2:$B$501=B373)*($D$2:$D$501&lt;D373)),1))),"阶段价格必须逐级提高","计划有效"))))))),IF(A373="每日跟踪",IF(OR(B373="",H373="",I373="",J373=""),"每日数据不完整",IF(COUNTIFS($A$2:$A$501,"每日跟踪",$B$2:$B$501,B373,$H$2:$H$501,H373)&gt;1,"同一交易日期重复",IF(AND(R373&lt;&gt;"",R373&lt;S373),"人工止损无效：不能下调","跟踪有效"))),"记录类型无效")))</f>
        <v/>
      </c>
    </row>
    <row r="374">
      <c r="A374" s="28" t="n"/>
      <c r="B374" s="28" t="n"/>
      <c r="C374" s="31">
        <f>IF(B374="","",IFERROR(LOOKUP(2,1/(单次交易!$A$2:$A$201=B374),单次交易!$B$2:$B$201),""))</f>
        <v/>
      </c>
      <c r="D374" s="27" t="n"/>
      <c r="E374" s="43" t="n"/>
      <c r="F374" s="43" t="n"/>
      <c r="G374" s="28" t="n"/>
      <c r="H374" s="49" t="n"/>
      <c r="I374" s="43" t="n"/>
      <c r="J374" s="27" t="n"/>
      <c r="K374" s="28" t="n"/>
      <c r="L374" s="28" t="n"/>
      <c r="M374" s="28" t="n"/>
      <c r="N374" s="44">
        <f>IF(B374="","",IFERROR(LOOKUP(2,1/(单次交易!$A$2:$A$201=B374),单次交易!$N$2:$N$201),""))</f>
        <v/>
      </c>
      <c r="O374" s="44">
        <f>IF(A374&lt;&gt;"每日跟踪","",IF(OR(B374="",H374="",I374=""),"",IFERROR(AGGREGATE(14,6,$I$2:$I$501/(($A$2:$A$501="每日跟踪")*($B$2:$B$501=B374)*($H$2:$H$501&lt;=H374)),1),"")))</f>
        <v/>
      </c>
      <c r="P374" s="26">
        <f>IF(A374&lt;&gt;"每日跟踪","",IF(O374="","",IFERROR(AGGREGATE(14,6,$D$2:$D$501/(($A$2:$A$501="止损计划")*($B$2:$B$501=B374)*($E$2:$E$501&lt;=O374)),1),0)))</f>
        <v/>
      </c>
      <c r="Q374" s="44">
        <f>IF(A374&lt;&gt;"每日跟踪","",IF(N374="","",MAX(N374,IFERROR(AGGREGATE(14,6,$F$2:$F$501/(($A$2:$A$501="止损计划")*($B$2:$B$501=B374)*($E$2:$E$501&lt;=O374)),1),0))))</f>
        <v/>
      </c>
      <c r="R374" s="43" t="n"/>
      <c r="S374" s="44">
        <f>IF(A374&lt;&gt;"每日跟踪","",IF(Q374="","",MAX(Q374,IFERROR(AGGREGATE(14,6,$R$2:$R$501/(($A$2:$A$501="每日跟踪")*($B$2:$B$501=B374)*($H$2:$H$501&lt;=H374)),1),0))))</f>
        <v/>
      </c>
      <c r="T374" s="44">
        <f>IF(A374&lt;&gt;"每日跟踪","",IF(O374="","",IF(COUNTIFS($A$2:$A$501,"止损计划",$B$2:$B$501,B374,$E$2:$E$501,"&gt;"&amp;O374)=0,"",AGGREGATE(15,6,$E$2:$E$501/(($A$2:$A$501="止损计划")*($B$2:$B$501=B374)*($E$2:$E$501&gt;O374)),1))))</f>
        <v/>
      </c>
      <c r="U374" s="44">
        <f>IF(OR(A374&lt;&gt;"每日跟踪",T374=""),"",IFERROR(AGGREGATE(14,6,$F$2:$F$501/(($A$2:$A$501="止损计划")*($B$2:$B$501=B374)*($E$2:$E$501=T374)),1),""))</f>
        <v/>
      </c>
      <c r="V374" s="30">
        <f>IF(OR(A374&lt;&gt;"每日跟踪",T374="",I374="",I374&lt;=0),"",T374/I374-1)</f>
        <v/>
      </c>
      <c r="W374" s="31">
        <f>IF(A374&lt;&gt;"每日跟踪","",IF(OR(I374="",S374=""),"",IF(I374&lt;=S374,"触发止损：应全部卖出","继续观察")))</f>
        <v/>
      </c>
      <c r="X374" s="28" t="n"/>
      <c r="Y374" s="43" t="n"/>
      <c r="Z374" s="26">
        <f>IF(X374&lt;&gt;"执行卖出","",IFERROR(LOOKUP(2,1/(单次交易!$A$2:$A$201=B374),单次交易!$AP$2:$AP$201),""))</f>
        <v/>
      </c>
      <c r="AA374" s="43" t="n"/>
      <c r="AB374" s="31">
        <f>IF(A374&lt;&gt;"每日跟踪","",IF(OR(B374="",H374="",I374="",J374="",K374="",L374="",M374=""),"待补充每日记录",IF(W374="触发止损：应全部卖出",IF(X374&lt;&gt;"执行卖出","违规：触发止损但未执行",IF(Y374="","待补充实际卖出价","卖出记录完整")),IF(X374="","待选择卖出动作",IF(X374="执行卖出",IF(Y374="","待补充实际卖出价","卖出记录完整"),"正常")))))</f>
        <v/>
      </c>
      <c r="AC374" s="31">
        <f>IF(A374="","",IF(A374="止损计划",IF(OR(B374="",D374="",E374="",F374="",G374=""),"计划不完整",IF(OR(D374&lt;1,D374&lt;&gt;INT(D374)),"阶段序号无效",IF(COUNTIFS($A$2:$A$501,"止损计划",$B$2:$B$501,B374,$D$2:$D$501,D374)&gt;1,"阶段序号重复",IF(E374&lt;=IFERROR(LOOKUP(2,1/('单次交易'!$A$2:$A$201=B374),'单次交易'!$E$2:$E$201),0),"激活价须高于买入价",IF(F374&lt;N374,"止损价不得低于初始止损",IF(F374&gt;E374,"止损价不得高于激活价",IF(AND(COUNTIFS($A$2:$A$501,"止损计划",$B$2:$B$501,B374,$D$2:$D$501,"&lt;"&amp;D374)&gt;0,OR(E374&lt;=AGGREGATE(14,6,$E$2:$E$501/(($A$2:$A$501="止损计划")*($B$2:$B$501=B374)*($D$2:$D$501&lt;D374)),1),F374&lt;AGGREGATE(14,6,$F$2:$F$501/(($A$2:$A$501="止损计划")*($B$2:$B$501=B374)*($D$2:$D$501&lt;D374)),1))),"阶段价格必须逐级提高","计划有效"))))))),IF(A374="每日跟踪",IF(OR(B374="",H374="",I374="",J374=""),"每日数据不完整",IF(COUNTIFS($A$2:$A$501,"每日跟踪",$B$2:$B$501,B374,$H$2:$H$501,H374)&gt;1,"同一交易日期重复",IF(AND(R374&lt;&gt;"",R374&lt;S374),"人工止损无效：不能下调","跟踪有效"))),"记录类型无效")))</f>
        <v/>
      </c>
    </row>
    <row r="375">
      <c r="A375" s="28" t="n"/>
      <c r="B375" s="28" t="n"/>
      <c r="C375" s="31">
        <f>IF(B375="","",IFERROR(LOOKUP(2,1/(单次交易!$A$2:$A$201=B375),单次交易!$B$2:$B$201),""))</f>
        <v/>
      </c>
      <c r="D375" s="27" t="n"/>
      <c r="E375" s="43" t="n"/>
      <c r="F375" s="43" t="n"/>
      <c r="G375" s="28" t="n"/>
      <c r="H375" s="49" t="n"/>
      <c r="I375" s="43" t="n"/>
      <c r="J375" s="27" t="n"/>
      <c r="K375" s="28" t="n"/>
      <c r="L375" s="28" t="n"/>
      <c r="M375" s="28" t="n"/>
      <c r="N375" s="44">
        <f>IF(B375="","",IFERROR(LOOKUP(2,1/(单次交易!$A$2:$A$201=B375),单次交易!$N$2:$N$201),""))</f>
        <v/>
      </c>
      <c r="O375" s="44">
        <f>IF(A375&lt;&gt;"每日跟踪","",IF(OR(B375="",H375="",I375=""),"",IFERROR(AGGREGATE(14,6,$I$2:$I$501/(($A$2:$A$501="每日跟踪")*($B$2:$B$501=B375)*($H$2:$H$501&lt;=H375)),1),"")))</f>
        <v/>
      </c>
      <c r="P375" s="26">
        <f>IF(A375&lt;&gt;"每日跟踪","",IF(O375="","",IFERROR(AGGREGATE(14,6,$D$2:$D$501/(($A$2:$A$501="止损计划")*($B$2:$B$501=B375)*($E$2:$E$501&lt;=O375)),1),0)))</f>
        <v/>
      </c>
      <c r="Q375" s="44">
        <f>IF(A375&lt;&gt;"每日跟踪","",IF(N375="","",MAX(N375,IFERROR(AGGREGATE(14,6,$F$2:$F$501/(($A$2:$A$501="止损计划")*($B$2:$B$501=B375)*($E$2:$E$501&lt;=O375)),1),0))))</f>
        <v/>
      </c>
      <c r="R375" s="43" t="n"/>
      <c r="S375" s="44">
        <f>IF(A375&lt;&gt;"每日跟踪","",IF(Q375="","",MAX(Q375,IFERROR(AGGREGATE(14,6,$R$2:$R$501/(($A$2:$A$501="每日跟踪")*($B$2:$B$501=B375)*($H$2:$H$501&lt;=H375)),1),0))))</f>
        <v/>
      </c>
      <c r="T375" s="44">
        <f>IF(A375&lt;&gt;"每日跟踪","",IF(O375="","",IF(COUNTIFS($A$2:$A$501,"止损计划",$B$2:$B$501,B375,$E$2:$E$501,"&gt;"&amp;O375)=0,"",AGGREGATE(15,6,$E$2:$E$501/(($A$2:$A$501="止损计划")*($B$2:$B$501=B375)*($E$2:$E$501&gt;O375)),1))))</f>
        <v/>
      </c>
      <c r="U375" s="44">
        <f>IF(OR(A375&lt;&gt;"每日跟踪",T375=""),"",IFERROR(AGGREGATE(14,6,$F$2:$F$501/(($A$2:$A$501="止损计划")*($B$2:$B$501=B375)*($E$2:$E$501=T375)),1),""))</f>
        <v/>
      </c>
      <c r="V375" s="30">
        <f>IF(OR(A375&lt;&gt;"每日跟踪",T375="",I375="",I375&lt;=0),"",T375/I375-1)</f>
        <v/>
      </c>
      <c r="W375" s="31">
        <f>IF(A375&lt;&gt;"每日跟踪","",IF(OR(I375="",S375=""),"",IF(I375&lt;=S375,"触发止损：应全部卖出","继续观察")))</f>
        <v/>
      </c>
      <c r="X375" s="28" t="n"/>
      <c r="Y375" s="43" t="n"/>
      <c r="Z375" s="26">
        <f>IF(X375&lt;&gt;"执行卖出","",IFERROR(LOOKUP(2,1/(单次交易!$A$2:$A$201=B375),单次交易!$AP$2:$AP$201),""))</f>
        <v/>
      </c>
      <c r="AA375" s="43" t="n"/>
      <c r="AB375" s="31">
        <f>IF(A375&lt;&gt;"每日跟踪","",IF(OR(B375="",H375="",I375="",J375="",K375="",L375="",M375=""),"待补充每日记录",IF(W375="触发止损：应全部卖出",IF(X375&lt;&gt;"执行卖出","违规：触发止损但未执行",IF(Y375="","待补充实际卖出价","卖出记录完整")),IF(X375="","待选择卖出动作",IF(X375="执行卖出",IF(Y375="","待补充实际卖出价","卖出记录完整"),"正常")))))</f>
        <v/>
      </c>
      <c r="AC375" s="31">
        <f>IF(A375="","",IF(A375="止损计划",IF(OR(B375="",D375="",E375="",F375="",G375=""),"计划不完整",IF(OR(D375&lt;1,D375&lt;&gt;INT(D375)),"阶段序号无效",IF(COUNTIFS($A$2:$A$501,"止损计划",$B$2:$B$501,B375,$D$2:$D$501,D375)&gt;1,"阶段序号重复",IF(E375&lt;=IFERROR(LOOKUP(2,1/('单次交易'!$A$2:$A$201=B375),'单次交易'!$E$2:$E$201),0),"激活价须高于买入价",IF(F375&lt;N375,"止损价不得低于初始止损",IF(F375&gt;E375,"止损价不得高于激活价",IF(AND(COUNTIFS($A$2:$A$501,"止损计划",$B$2:$B$501,B375,$D$2:$D$501,"&lt;"&amp;D375)&gt;0,OR(E375&lt;=AGGREGATE(14,6,$E$2:$E$501/(($A$2:$A$501="止损计划")*($B$2:$B$501=B375)*($D$2:$D$501&lt;D375)),1),F375&lt;AGGREGATE(14,6,$F$2:$F$501/(($A$2:$A$501="止损计划")*($B$2:$B$501=B375)*($D$2:$D$501&lt;D375)),1))),"阶段价格必须逐级提高","计划有效"))))))),IF(A375="每日跟踪",IF(OR(B375="",H375="",I375="",J375=""),"每日数据不完整",IF(COUNTIFS($A$2:$A$501,"每日跟踪",$B$2:$B$501,B375,$H$2:$H$501,H375)&gt;1,"同一交易日期重复",IF(AND(R375&lt;&gt;"",R375&lt;S375),"人工止损无效：不能下调","跟踪有效"))),"记录类型无效")))</f>
        <v/>
      </c>
    </row>
    <row r="376">
      <c r="A376" s="28" t="n"/>
      <c r="B376" s="28" t="n"/>
      <c r="C376" s="31">
        <f>IF(B376="","",IFERROR(LOOKUP(2,1/(单次交易!$A$2:$A$201=B376),单次交易!$B$2:$B$201),""))</f>
        <v/>
      </c>
      <c r="D376" s="27" t="n"/>
      <c r="E376" s="43" t="n"/>
      <c r="F376" s="43" t="n"/>
      <c r="G376" s="28" t="n"/>
      <c r="H376" s="49" t="n"/>
      <c r="I376" s="43" t="n"/>
      <c r="J376" s="27" t="n"/>
      <c r="K376" s="28" t="n"/>
      <c r="L376" s="28" t="n"/>
      <c r="M376" s="28" t="n"/>
      <c r="N376" s="44">
        <f>IF(B376="","",IFERROR(LOOKUP(2,1/(单次交易!$A$2:$A$201=B376),单次交易!$N$2:$N$201),""))</f>
        <v/>
      </c>
      <c r="O376" s="44">
        <f>IF(A376&lt;&gt;"每日跟踪","",IF(OR(B376="",H376="",I376=""),"",IFERROR(AGGREGATE(14,6,$I$2:$I$501/(($A$2:$A$501="每日跟踪")*($B$2:$B$501=B376)*($H$2:$H$501&lt;=H376)),1),"")))</f>
        <v/>
      </c>
      <c r="P376" s="26">
        <f>IF(A376&lt;&gt;"每日跟踪","",IF(O376="","",IFERROR(AGGREGATE(14,6,$D$2:$D$501/(($A$2:$A$501="止损计划")*($B$2:$B$501=B376)*($E$2:$E$501&lt;=O376)),1),0)))</f>
        <v/>
      </c>
      <c r="Q376" s="44">
        <f>IF(A376&lt;&gt;"每日跟踪","",IF(N376="","",MAX(N376,IFERROR(AGGREGATE(14,6,$F$2:$F$501/(($A$2:$A$501="止损计划")*($B$2:$B$501=B376)*($E$2:$E$501&lt;=O376)),1),0))))</f>
        <v/>
      </c>
      <c r="R376" s="43" t="n"/>
      <c r="S376" s="44">
        <f>IF(A376&lt;&gt;"每日跟踪","",IF(Q376="","",MAX(Q376,IFERROR(AGGREGATE(14,6,$R$2:$R$501/(($A$2:$A$501="每日跟踪")*($B$2:$B$501=B376)*($H$2:$H$501&lt;=H376)),1),0))))</f>
        <v/>
      </c>
      <c r="T376" s="44">
        <f>IF(A376&lt;&gt;"每日跟踪","",IF(O376="","",IF(COUNTIFS($A$2:$A$501,"止损计划",$B$2:$B$501,B376,$E$2:$E$501,"&gt;"&amp;O376)=0,"",AGGREGATE(15,6,$E$2:$E$501/(($A$2:$A$501="止损计划")*($B$2:$B$501=B376)*($E$2:$E$501&gt;O376)),1))))</f>
        <v/>
      </c>
      <c r="U376" s="44">
        <f>IF(OR(A376&lt;&gt;"每日跟踪",T376=""),"",IFERROR(AGGREGATE(14,6,$F$2:$F$501/(($A$2:$A$501="止损计划")*($B$2:$B$501=B376)*($E$2:$E$501=T376)),1),""))</f>
        <v/>
      </c>
      <c r="V376" s="30">
        <f>IF(OR(A376&lt;&gt;"每日跟踪",T376="",I376="",I376&lt;=0),"",T376/I376-1)</f>
        <v/>
      </c>
      <c r="W376" s="31">
        <f>IF(A376&lt;&gt;"每日跟踪","",IF(OR(I376="",S376=""),"",IF(I376&lt;=S376,"触发止损：应全部卖出","继续观察")))</f>
        <v/>
      </c>
      <c r="X376" s="28" t="n"/>
      <c r="Y376" s="43" t="n"/>
      <c r="Z376" s="26">
        <f>IF(X376&lt;&gt;"执行卖出","",IFERROR(LOOKUP(2,1/(单次交易!$A$2:$A$201=B376),单次交易!$AP$2:$AP$201),""))</f>
        <v/>
      </c>
      <c r="AA376" s="43" t="n"/>
      <c r="AB376" s="31">
        <f>IF(A376&lt;&gt;"每日跟踪","",IF(OR(B376="",H376="",I376="",J376="",K376="",L376="",M376=""),"待补充每日记录",IF(W376="触发止损：应全部卖出",IF(X376&lt;&gt;"执行卖出","违规：触发止损但未执行",IF(Y376="","待补充实际卖出价","卖出记录完整")),IF(X376="","待选择卖出动作",IF(X376="执行卖出",IF(Y376="","待补充实际卖出价","卖出记录完整"),"正常")))))</f>
        <v/>
      </c>
      <c r="AC376" s="31">
        <f>IF(A376="","",IF(A376="止损计划",IF(OR(B376="",D376="",E376="",F376="",G376=""),"计划不完整",IF(OR(D376&lt;1,D376&lt;&gt;INT(D376)),"阶段序号无效",IF(COUNTIFS($A$2:$A$501,"止损计划",$B$2:$B$501,B376,$D$2:$D$501,D376)&gt;1,"阶段序号重复",IF(E376&lt;=IFERROR(LOOKUP(2,1/('单次交易'!$A$2:$A$201=B376),'单次交易'!$E$2:$E$201),0),"激活价须高于买入价",IF(F376&lt;N376,"止损价不得低于初始止损",IF(F376&gt;E376,"止损价不得高于激活价",IF(AND(COUNTIFS($A$2:$A$501,"止损计划",$B$2:$B$501,B376,$D$2:$D$501,"&lt;"&amp;D376)&gt;0,OR(E376&lt;=AGGREGATE(14,6,$E$2:$E$501/(($A$2:$A$501="止损计划")*($B$2:$B$501=B376)*($D$2:$D$501&lt;D376)),1),F376&lt;AGGREGATE(14,6,$F$2:$F$501/(($A$2:$A$501="止损计划")*($B$2:$B$501=B376)*($D$2:$D$501&lt;D376)),1))),"阶段价格必须逐级提高","计划有效"))))))),IF(A376="每日跟踪",IF(OR(B376="",H376="",I376="",J376=""),"每日数据不完整",IF(COUNTIFS($A$2:$A$501,"每日跟踪",$B$2:$B$501,B376,$H$2:$H$501,H376)&gt;1,"同一交易日期重复",IF(AND(R376&lt;&gt;"",R376&lt;S376),"人工止损无效：不能下调","跟踪有效"))),"记录类型无效")))</f>
        <v/>
      </c>
    </row>
    <row r="377">
      <c r="A377" s="28" t="n"/>
      <c r="B377" s="28" t="n"/>
      <c r="C377" s="31">
        <f>IF(B377="","",IFERROR(LOOKUP(2,1/(单次交易!$A$2:$A$201=B377),单次交易!$B$2:$B$201),""))</f>
        <v/>
      </c>
      <c r="D377" s="27" t="n"/>
      <c r="E377" s="43" t="n"/>
      <c r="F377" s="43" t="n"/>
      <c r="G377" s="28" t="n"/>
      <c r="H377" s="49" t="n"/>
      <c r="I377" s="43" t="n"/>
      <c r="J377" s="27" t="n"/>
      <c r="K377" s="28" t="n"/>
      <c r="L377" s="28" t="n"/>
      <c r="M377" s="28" t="n"/>
      <c r="N377" s="44">
        <f>IF(B377="","",IFERROR(LOOKUP(2,1/(单次交易!$A$2:$A$201=B377),单次交易!$N$2:$N$201),""))</f>
        <v/>
      </c>
      <c r="O377" s="44">
        <f>IF(A377&lt;&gt;"每日跟踪","",IF(OR(B377="",H377="",I377=""),"",IFERROR(AGGREGATE(14,6,$I$2:$I$501/(($A$2:$A$501="每日跟踪")*($B$2:$B$501=B377)*($H$2:$H$501&lt;=H377)),1),"")))</f>
        <v/>
      </c>
      <c r="P377" s="26">
        <f>IF(A377&lt;&gt;"每日跟踪","",IF(O377="","",IFERROR(AGGREGATE(14,6,$D$2:$D$501/(($A$2:$A$501="止损计划")*($B$2:$B$501=B377)*($E$2:$E$501&lt;=O377)),1),0)))</f>
        <v/>
      </c>
      <c r="Q377" s="44">
        <f>IF(A377&lt;&gt;"每日跟踪","",IF(N377="","",MAX(N377,IFERROR(AGGREGATE(14,6,$F$2:$F$501/(($A$2:$A$501="止损计划")*($B$2:$B$501=B377)*($E$2:$E$501&lt;=O377)),1),0))))</f>
        <v/>
      </c>
      <c r="R377" s="43" t="n"/>
      <c r="S377" s="44">
        <f>IF(A377&lt;&gt;"每日跟踪","",IF(Q377="","",MAX(Q377,IFERROR(AGGREGATE(14,6,$R$2:$R$501/(($A$2:$A$501="每日跟踪")*($B$2:$B$501=B377)*($H$2:$H$501&lt;=H377)),1),0))))</f>
        <v/>
      </c>
      <c r="T377" s="44">
        <f>IF(A377&lt;&gt;"每日跟踪","",IF(O377="","",IF(COUNTIFS($A$2:$A$501,"止损计划",$B$2:$B$501,B377,$E$2:$E$501,"&gt;"&amp;O377)=0,"",AGGREGATE(15,6,$E$2:$E$501/(($A$2:$A$501="止损计划")*($B$2:$B$501=B377)*($E$2:$E$501&gt;O377)),1))))</f>
        <v/>
      </c>
      <c r="U377" s="44">
        <f>IF(OR(A377&lt;&gt;"每日跟踪",T377=""),"",IFERROR(AGGREGATE(14,6,$F$2:$F$501/(($A$2:$A$501="止损计划")*($B$2:$B$501=B377)*($E$2:$E$501=T377)),1),""))</f>
        <v/>
      </c>
      <c r="V377" s="30">
        <f>IF(OR(A377&lt;&gt;"每日跟踪",T377="",I377="",I377&lt;=0),"",T377/I377-1)</f>
        <v/>
      </c>
      <c r="W377" s="31">
        <f>IF(A377&lt;&gt;"每日跟踪","",IF(OR(I377="",S377=""),"",IF(I377&lt;=S377,"触发止损：应全部卖出","继续观察")))</f>
        <v/>
      </c>
      <c r="X377" s="28" t="n"/>
      <c r="Y377" s="43" t="n"/>
      <c r="Z377" s="26">
        <f>IF(X377&lt;&gt;"执行卖出","",IFERROR(LOOKUP(2,1/(单次交易!$A$2:$A$201=B377),单次交易!$AP$2:$AP$201),""))</f>
        <v/>
      </c>
      <c r="AA377" s="43" t="n"/>
      <c r="AB377" s="31">
        <f>IF(A377&lt;&gt;"每日跟踪","",IF(OR(B377="",H377="",I377="",J377="",K377="",L377="",M377=""),"待补充每日记录",IF(W377="触发止损：应全部卖出",IF(X377&lt;&gt;"执行卖出","违规：触发止损但未执行",IF(Y377="","待补充实际卖出价","卖出记录完整")),IF(X377="","待选择卖出动作",IF(X377="执行卖出",IF(Y377="","待补充实际卖出价","卖出记录完整"),"正常")))))</f>
        <v/>
      </c>
      <c r="AC377" s="31">
        <f>IF(A377="","",IF(A377="止损计划",IF(OR(B377="",D377="",E377="",F377="",G377=""),"计划不完整",IF(OR(D377&lt;1,D377&lt;&gt;INT(D377)),"阶段序号无效",IF(COUNTIFS($A$2:$A$501,"止损计划",$B$2:$B$501,B377,$D$2:$D$501,D377)&gt;1,"阶段序号重复",IF(E377&lt;=IFERROR(LOOKUP(2,1/('单次交易'!$A$2:$A$201=B377),'单次交易'!$E$2:$E$201),0),"激活价须高于买入价",IF(F377&lt;N377,"止损价不得低于初始止损",IF(F377&gt;E377,"止损价不得高于激活价",IF(AND(COUNTIFS($A$2:$A$501,"止损计划",$B$2:$B$501,B377,$D$2:$D$501,"&lt;"&amp;D377)&gt;0,OR(E377&lt;=AGGREGATE(14,6,$E$2:$E$501/(($A$2:$A$501="止损计划")*($B$2:$B$501=B377)*($D$2:$D$501&lt;D377)),1),F377&lt;AGGREGATE(14,6,$F$2:$F$501/(($A$2:$A$501="止损计划")*($B$2:$B$501=B377)*($D$2:$D$501&lt;D377)),1))),"阶段价格必须逐级提高","计划有效"))))))),IF(A377="每日跟踪",IF(OR(B377="",H377="",I377="",J377=""),"每日数据不完整",IF(COUNTIFS($A$2:$A$501,"每日跟踪",$B$2:$B$501,B377,$H$2:$H$501,H377)&gt;1,"同一交易日期重复",IF(AND(R377&lt;&gt;"",R377&lt;S377),"人工止损无效：不能下调","跟踪有效"))),"记录类型无效")))</f>
        <v/>
      </c>
    </row>
    <row r="378">
      <c r="A378" s="28" t="n"/>
      <c r="B378" s="28" t="n"/>
      <c r="C378" s="31">
        <f>IF(B378="","",IFERROR(LOOKUP(2,1/(单次交易!$A$2:$A$201=B378),单次交易!$B$2:$B$201),""))</f>
        <v/>
      </c>
      <c r="D378" s="27" t="n"/>
      <c r="E378" s="43" t="n"/>
      <c r="F378" s="43" t="n"/>
      <c r="G378" s="28" t="n"/>
      <c r="H378" s="49" t="n"/>
      <c r="I378" s="43" t="n"/>
      <c r="J378" s="27" t="n"/>
      <c r="K378" s="28" t="n"/>
      <c r="L378" s="28" t="n"/>
      <c r="M378" s="28" t="n"/>
      <c r="N378" s="44">
        <f>IF(B378="","",IFERROR(LOOKUP(2,1/(单次交易!$A$2:$A$201=B378),单次交易!$N$2:$N$201),""))</f>
        <v/>
      </c>
      <c r="O378" s="44">
        <f>IF(A378&lt;&gt;"每日跟踪","",IF(OR(B378="",H378="",I378=""),"",IFERROR(AGGREGATE(14,6,$I$2:$I$501/(($A$2:$A$501="每日跟踪")*($B$2:$B$501=B378)*($H$2:$H$501&lt;=H378)),1),"")))</f>
        <v/>
      </c>
      <c r="P378" s="26">
        <f>IF(A378&lt;&gt;"每日跟踪","",IF(O378="","",IFERROR(AGGREGATE(14,6,$D$2:$D$501/(($A$2:$A$501="止损计划")*($B$2:$B$501=B378)*($E$2:$E$501&lt;=O378)),1),0)))</f>
        <v/>
      </c>
      <c r="Q378" s="44">
        <f>IF(A378&lt;&gt;"每日跟踪","",IF(N378="","",MAX(N378,IFERROR(AGGREGATE(14,6,$F$2:$F$501/(($A$2:$A$501="止损计划")*($B$2:$B$501=B378)*($E$2:$E$501&lt;=O378)),1),0))))</f>
        <v/>
      </c>
      <c r="R378" s="43" t="n"/>
      <c r="S378" s="44">
        <f>IF(A378&lt;&gt;"每日跟踪","",IF(Q378="","",MAX(Q378,IFERROR(AGGREGATE(14,6,$R$2:$R$501/(($A$2:$A$501="每日跟踪")*($B$2:$B$501=B378)*($H$2:$H$501&lt;=H378)),1),0))))</f>
        <v/>
      </c>
      <c r="T378" s="44">
        <f>IF(A378&lt;&gt;"每日跟踪","",IF(O378="","",IF(COUNTIFS($A$2:$A$501,"止损计划",$B$2:$B$501,B378,$E$2:$E$501,"&gt;"&amp;O378)=0,"",AGGREGATE(15,6,$E$2:$E$501/(($A$2:$A$501="止损计划")*($B$2:$B$501=B378)*($E$2:$E$501&gt;O378)),1))))</f>
        <v/>
      </c>
      <c r="U378" s="44">
        <f>IF(OR(A378&lt;&gt;"每日跟踪",T378=""),"",IFERROR(AGGREGATE(14,6,$F$2:$F$501/(($A$2:$A$501="止损计划")*($B$2:$B$501=B378)*($E$2:$E$501=T378)),1),""))</f>
        <v/>
      </c>
      <c r="V378" s="30">
        <f>IF(OR(A378&lt;&gt;"每日跟踪",T378="",I378="",I378&lt;=0),"",T378/I378-1)</f>
        <v/>
      </c>
      <c r="W378" s="31">
        <f>IF(A378&lt;&gt;"每日跟踪","",IF(OR(I378="",S378=""),"",IF(I378&lt;=S378,"触发止损：应全部卖出","继续观察")))</f>
        <v/>
      </c>
      <c r="X378" s="28" t="n"/>
      <c r="Y378" s="43" t="n"/>
      <c r="Z378" s="26">
        <f>IF(X378&lt;&gt;"执行卖出","",IFERROR(LOOKUP(2,1/(单次交易!$A$2:$A$201=B378),单次交易!$AP$2:$AP$201),""))</f>
        <v/>
      </c>
      <c r="AA378" s="43" t="n"/>
      <c r="AB378" s="31">
        <f>IF(A378&lt;&gt;"每日跟踪","",IF(OR(B378="",H378="",I378="",J378="",K378="",L378="",M378=""),"待补充每日记录",IF(W378="触发止损：应全部卖出",IF(X378&lt;&gt;"执行卖出","违规：触发止损但未执行",IF(Y378="","待补充实际卖出价","卖出记录完整")),IF(X378="","待选择卖出动作",IF(X378="执行卖出",IF(Y378="","待补充实际卖出价","卖出记录完整"),"正常")))))</f>
        <v/>
      </c>
      <c r="AC378" s="31">
        <f>IF(A378="","",IF(A378="止损计划",IF(OR(B378="",D378="",E378="",F378="",G378=""),"计划不完整",IF(OR(D378&lt;1,D378&lt;&gt;INT(D378)),"阶段序号无效",IF(COUNTIFS($A$2:$A$501,"止损计划",$B$2:$B$501,B378,$D$2:$D$501,D378)&gt;1,"阶段序号重复",IF(E378&lt;=IFERROR(LOOKUP(2,1/('单次交易'!$A$2:$A$201=B378),'单次交易'!$E$2:$E$201),0),"激活价须高于买入价",IF(F378&lt;N378,"止损价不得低于初始止损",IF(F378&gt;E378,"止损价不得高于激活价",IF(AND(COUNTIFS($A$2:$A$501,"止损计划",$B$2:$B$501,B378,$D$2:$D$501,"&lt;"&amp;D378)&gt;0,OR(E378&lt;=AGGREGATE(14,6,$E$2:$E$501/(($A$2:$A$501="止损计划")*($B$2:$B$501=B378)*($D$2:$D$501&lt;D378)),1),F378&lt;AGGREGATE(14,6,$F$2:$F$501/(($A$2:$A$501="止损计划")*($B$2:$B$501=B378)*($D$2:$D$501&lt;D378)),1))),"阶段价格必须逐级提高","计划有效"))))))),IF(A378="每日跟踪",IF(OR(B378="",H378="",I378="",J378=""),"每日数据不完整",IF(COUNTIFS($A$2:$A$501,"每日跟踪",$B$2:$B$501,B378,$H$2:$H$501,H378)&gt;1,"同一交易日期重复",IF(AND(R378&lt;&gt;"",R378&lt;S378),"人工止损无效：不能下调","跟踪有效"))),"记录类型无效")))</f>
        <v/>
      </c>
    </row>
    <row r="379">
      <c r="A379" s="28" t="n"/>
      <c r="B379" s="28" t="n"/>
      <c r="C379" s="31">
        <f>IF(B379="","",IFERROR(LOOKUP(2,1/(单次交易!$A$2:$A$201=B379),单次交易!$B$2:$B$201),""))</f>
        <v/>
      </c>
      <c r="D379" s="27" t="n"/>
      <c r="E379" s="43" t="n"/>
      <c r="F379" s="43" t="n"/>
      <c r="G379" s="28" t="n"/>
      <c r="H379" s="49" t="n"/>
      <c r="I379" s="43" t="n"/>
      <c r="J379" s="27" t="n"/>
      <c r="K379" s="28" t="n"/>
      <c r="L379" s="28" t="n"/>
      <c r="M379" s="28" t="n"/>
      <c r="N379" s="44">
        <f>IF(B379="","",IFERROR(LOOKUP(2,1/(单次交易!$A$2:$A$201=B379),单次交易!$N$2:$N$201),""))</f>
        <v/>
      </c>
      <c r="O379" s="44">
        <f>IF(A379&lt;&gt;"每日跟踪","",IF(OR(B379="",H379="",I379=""),"",IFERROR(AGGREGATE(14,6,$I$2:$I$501/(($A$2:$A$501="每日跟踪")*($B$2:$B$501=B379)*($H$2:$H$501&lt;=H379)),1),"")))</f>
        <v/>
      </c>
      <c r="P379" s="26">
        <f>IF(A379&lt;&gt;"每日跟踪","",IF(O379="","",IFERROR(AGGREGATE(14,6,$D$2:$D$501/(($A$2:$A$501="止损计划")*($B$2:$B$501=B379)*($E$2:$E$501&lt;=O379)),1),0)))</f>
        <v/>
      </c>
      <c r="Q379" s="44">
        <f>IF(A379&lt;&gt;"每日跟踪","",IF(N379="","",MAX(N379,IFERROR(AGGREGATE(14,6,$F$2:$F$501/(($A$2:$A$501="止损计划")*($B$2:$B$501=B379)*($E$2:$E$501&lt;=O379)),1),0))))</f>
        <v/>
      </c>
      <c r="R379" s="43" t="n"/>
      <c r="S379" s="44">
        <f>IF(A379&lt;&gt;"每日跟踪","",IF(Q379="","",MAX(Q379,IFERROR(AGGREGATE(14,6,$R$2:$R$501/(($A$2:$A$501="每日跟踪")*($B$2:$B$501=B379)*($H$2:$H$501&lt;=H379)),1),0))))</f>
        <v/>
      </c>
      <c r="T379" s="44">
        <f>IF(A379&lt;&gt;"每日跟踪","",IF(O379="","",IF(COUNTIFS($A$2:$A$501,"止损计划",$B$2:$B$501,B379,$E$2:$E$501,"&gt;"&amp;O379)=0,"",AGGREGATE(15,6,$E$2:$E$501/(($A$2:$A$501="止损计划")*($B$2:$B$501=B379)*($E$2:$E$501&gt;O379)),1))))</f>
        <v/>
      </c>
      <c r="U379" s="44">
        <f>IF(OR(A379&lt;&gt;"每日跟踪",T379=""),"",IFERROR(AGGREGATE(14,6,$F$2:$F$501/(($A$2:$A$501="止损计划")*($B$2:$B$501=B379)*($E$2:$E$501=T379)),1),""))</f>
        <v/>
      </c>
      <c r="V379" s="30">
        <f>IF(OR(A379&lt;&gt;"每日跟踪",T379="",I379="",I379&lt;=0),"",T379/I379-1)</f>
        <v/>
      </c>
      <c r="W379" s="31">
        <f>IF(A379&lt;&gt;"每日跟踪","",IF(OR(I379="",S379=""),"",IF(I379&lt;=S379,"触发止损：应全部卖出","继续观察")))</f>
        <v/>
      </c>
      <c r="X379" s="28" t="n"/>
      <c r="Y379" s="43" t="n"/>
      <c r="Z379" s="26">
        <f>IF(X379&lt;&gt;"执行卖出","",IFERROR(LOOKUP(2,1/(单次交易!$A$2:$A$201=B379),单次交易!$AP$2:$AP$201),""))</f>
        <v/>
      </c>
      <c r="AA379" s="43" t="n"/>
      <c r="AB379" s="31">
        <f>IF(A379&lt;&gt;"每日跟踪","",IF(OR(B379="",H379="",I379="",J379="",K379="",L379="",M379=""),"待补充每日记录",IF(W379="触发止损：应全部卖出",IF(X379&lt;&gt;"执行卖出","违规：触发止损但未执行",IF(Y379="","待补充实际卖出价","卖出记录完整")),IF(X379="","待选择卖出动作",IF(X379="执行卖出",IF(Y379="","待补充实际卖出价","卖出记录完整"),"正常")))))</f>
        <v/>
      </c>
      <c r="AC379" s="31">
        <f>IF(A379="","",IF(A379="止损计划",IF(OR(B379="",D379="",E379="",F379="",G379=""),"计划不完整",IF(OR(D379&lt;1,D379&lt;&gt;INT(D379)),"阶段序号无效",IF(COUNTIFS($A$2:$A$501,"止损计划",$B$2:$B$501,B379,$D$2:$D$501,D379)&gt;1,"阶段序号重复",IF(E379&lt;=IFERROR(LOOKUP(2,1/('单次交易'!$A$2:$A$201=B379),'单次交易'!$E$2:$E$201),0),"激活价须高于买入价",IF(F379&lt;N379,"止损价不得低于初始止损",IF(F379&gt;E379,"止损价不得高于激活价",IF(AND(COUNTIFS($A$2:$A$501,"止损计划",$B$2:$B$501,B379,$D$2:$D$501,"&lt;"&amp;D379)&gt;0,OR(E379&lt;=AGGREGATE(14,6,$E$2:$E$501/(($A$2:$A$501="止损计划")*($B$2:$B$501=B379)*($D$2:$D$501&lt;D379)),1),F379&lt;AGGREGATE(14,6,$F$2:$F$501/(($A$2:$A$501="止损计划")*($B$2:$B$501=B379)*($D$2:$D$501&lt;D379)),1))),"阶段价格必须逐级提高","计划有效"))))))),IF(A379="每日跟踪",IF(OR(B379="",H379="",I379="",J379=""),"每日数据不完整",IF(COUNTIFS($A$2:$A$501,"每日跟踪",$B$2:$B$501,B379,$H$2:$H$501,H379)&gt;1,"同一交易日期重复",IF(AND(R379&lt;&gt;"",R379&lt;S379),"人工止损无效：不能下调","跟踪有效"))),"记录类型无效")))</f>
        <v/>
      </c>
    </row>
    <row r="380">
      <c r="A380" s="28" t="n"/>
      <c r="B380" s="28" t="n"/>
      <c r="C380" s="31">
        <f>IF(B380="","",IFERROR(LOOKUP(2,1/(单次交易!$A$2:$A$201=B380),单次交易!$B$2:$B$201),""))</f>
        <v/>
      </c>
      <c r="D380" s="27" t="n"/>
      <c r="E380" s="43" t="n"/>
      <c r="F380" s="43" t="n"/>
      <c r="G380" s="28" t="n"/>
      <c r="H380" s="49" t="n"/>
      <c r="I380" s="43" t="n"/>
      <c r="J380" s="27" t="n"/>
      <c r="K380" s="28" t="n"/>
      <c r="L380" s="28" t="n"/>
      <c r="M380" s="28" t="n"/>
      <c r="N380" s="44">
        <f>IF(B380="","",IFERROR(LOOKUP(2,1/(单次交易!$A$2:$A$201=B380),单次交易!$N$2:$N$201),""))</f>
        <v/>
      </c>
      <c r="O380" s="44">
        <f>IF(A380&lt;&gt;"每日跟踪","",IF(OR(B380="",H380="",I380=""),"",IFERROR(AGGREGATE(14,6,$I$2:$I$501/(($A$2:$A$501="每日跟踪")*($B$2:$B$501=B380)*($H$2:$H$501&lt;=H380)),1),"")))</f>
        <v/>
      </c>
      <c r="P380" s="26">
        <f>IF(A380&lt;&gt;"每日跟踪","",IF(O380="","",IFERROR(AGGREGATE(14,6,$D$2:$D$501/(($A$2:$A$501="止损计划")*($B$2:$B$501=B380)*($E$2:$E$501&lt;=O380)),1),0)))</f>
        <v/>
      </c>
      <c r="Q380" s="44">
        <f>IF(A380&lt;&gt;"每日跟踪","",IF(N380="","",MAX(N380,IFERROR(AGGREGATE(14,6,$F$2:$F$501/(($A$2:$A$501="止损计划")*($B$2:$B$501=B380)*($E$2:$E$501&lt;=O380)),1),0))))</f>
        <v/>
      </c>
      <c r="R380" s="43" t="n"/>
      <c r="S380" s="44">
        <f>IF(A380&lt;&gt;"每日跟踪","",IF(Q380="","",MAX(Q380,IFERROR(AGGREGATE(14,6,$R$2:$R$501/(($A$2:$A$501="每日跟踪")*($B$2:$B$501=B380)*($H$2:$H$501&lt;=H380)),1),0))))</f>
        <v/>
      </c>
      <c r="T380" s="44">
        <f>IF(A380&lt;&gt;"每日跟踪","",IF(O380="","",IF(COUNTIFS($A$2:$A$501,"止损计划",$B$2:$B$501,B380,$E$2:$E$501,"&gt;"&amp;O380)=0,"",AGGREGATE(15,6,$E$2:$E$501/(($A$2:$A$501="止损计划")*($B$2:$B$501=B380)*($E$2:$E$501&gt;O380)),1))))</f>
        <v/>
      </c>
      <c r="U380" s="44">
        <f>IF(OR(A380&lt;&gt;"每日跟踪",T380=""),"",IFERROR(AGGREGATE(14,6,$F$2:$F$501/(($A$2:$A$501="止损计划")*($B$2:$B$501=B380)*($E$2:$E$501=T380)),1),""))</f>
        <v/>
      </c>
      <c r="V380" s="30">
        <f>IF(OR(A380&lt;&gt;"每日跟踪",T380="",I380="",I380&lt;=0),"",T380/I380-1)</f>
        <v/>
      </c>
      <c r="W380" s="31">
        <f>IF(A380&lt;&gt;"每日跟踪","",IF(OR(I380="",S380=""),"",IF(I380&lt;=S380,"触发止损：应全部卖出","继续观察")))</f>
        <v/>
      </c>
      <c r="X380" s="28" t="n"/>
      <c r="Y380" s="43" t="n"/>
      <c r="Z380" s="26">
        <f>IF(X380&lt;&gt;"执行卖出","",IFERROR(LOOKUP(2,1/(单次交易!$A$2:$A$201=B380),单次交易!$AP$2:$AP$201),""))</f>
        <v/>
      </c>
      <c r="AA380" s="43" t="n"/>
      <c r="AB380" s="31">
        <f>IF(A380&lt;&gt;"每日跟踪","",IF(OR(B380="",H380="",I380="",J380="",K380="",L380="",M380=""),"待补充每日记录",IF(W380="触发止损：应全部卖出",IF(X380&lt;&gt;"执行卖出","违规：触发止损但未执行",IF(Y380="","待补充实际卖出价","卖出记录完整")),IF(X380="","待选择卖出动作",IF(X380="执行卖出",IF(Y380="","待补充实际卖出价","卖出记录完整"),"正常")))))</f>
        <v/>
      </c>
      <c r="AC380" s="31">
        <f>IF(A380="","",IF(A380="止损计划",IF(OR(B380="",D380="",E380="",F380="",G380=""),"计划不完整",IF(OR(D380&lt;1,D380&lt;&gt;INT(D380)),"阶段序号无效",IF(COUNTIFS($A$2:$A$501,"止损计划",$B$2:$B$501,B380,$D$2:$D$501,D380)&gt;1,"阶段序号重复",IF(E380&lt;=IFERROR(LOOKUP(2,1/('单次交易'!$A$2:$A$201=B380),'单次交易'!$E$2:$E$201),0),"激活价须高于买入价",IF(F380&lt;N380,"止损价不得低于初始止损",IF(F380&gt;E380,"止损价不得高于激活价",IF(AND(COUNTIFS($A$2:$A$501,"止损计划",$B$2:$B$501,B380,$D$2:$D$501,"&lt;"&amp;D380)&gt;0,OR(E380&lt;=AGGREGATE(14,6,$E$2:$E$501/(($A$2:$A$501="止损计划")*($B$2:$B$501=B380)*($D$2:$D$501&lt;D380)),1),F380&lt;AGGREGATE(14,6,$F$2:$F$501/(($A$2:$A$501="止损计划")*($B$2:$B$501=B380)*($D$2:$D$501&lt;D380)),1))),"阶段价格必须逐级提高","计划有效"))))))),IF(A380="每日跟踪",IF(OR(B380="",H380="",I380="",J380=""),"每日数据不完整",IF(COUNTIFS($A$2:$A$501,"每日跟踪",$B$2:$B$501,B380,$H$2:$H$501,H380)&gt;1,"同一交易日期重复",IF(AND(R380&lt;&gt;"",R380&lt;S380),"人工止损无效：不能下调","跟踪有效"))),"记录类型无效")))</f>
        <v/>
      </c>
    </row>
    <row r="381">
      <c r="A381" s="28" t="n"/>
      <c r="B381" s="28" t="n"/>
      <c r="C381" s="31">
        <f>IF(B381="","",IFERROR(LOOKUP(2,1/(单次交易!$A$2:$A$201=B381),单次交易!$B$2:$B$201),""))</f>
        <v/>
      </c>
      <c r="D381" s="27" t="n"/>
      <c r="E381" s="43" t="n"/>
      <c r="F381" s="43" t="n"/>
      <c r="G381" s="28" t="n"/>
      <c r="H381" s="49" t="n"/>
      <c r="I381" s="43" t="n"/>
      <c r="J381" s="27" t="n"/>
      <c r="K381" s="28" t="n"/>
      <c r="L381" s="28" t="n"/>
      <c r="M381" s="28" t="n"/>
      <c r="N381" s="44">
        <f>IF(B381="","",IFERROR(LOOKUP(2,1/(单次交易!$A$2:$A$201=B381),单次交易!$N$2:$N$201),""))</f>
        <v/>
      </c>
      <c r="O381" s="44">
        <f>IF(A381&lt;&gt;"每日跟踪","",IF(OR(B381="",H381="",I381=""),"",IFERROR(AGGREGATE(14,6,$I$2:$I$501/(($A$2:$A$501="每日跟踪")*($B$2:$B$501=B381)*($H$2:$H$501&lt;=H381)),1),"")))</f>
        <v/>
      </c>
      <c r="P381" s="26">
        <f>IF(A381&lt;&gt;"每日跟踪","",IF(O381="","",IFERROR(AGGREGATE(14,6,$D$2:$D$501/(($A$2:$A$501="止损计划")*($B$2:$B$501=B381)*($E$2:$E$501&lt;=O381)),1),0)))</f>
        <v/>
      </c>
      <c r="Q381" s="44">
        <f>IF(A381&lt;&gt;"每日跟踪","",IF(N381="","",MAX(N381,IFERROR(AGGREGATE(14,6,$F$2:$F$501/(($A$2:$A$501="止损计划")*($B$2:$B$501=B381)*($E$2:$E$501&lt;=O381)),1),0))))</f>
        <v/>
      </c>
      <c r="R381" s="43" t="n"/>
      <c r="S381" s="44">
        <f>IF(A381&lt;&gt;"每日跟踪","",IF(Q381="","",MAX(Q381,IFERROR(AGGREGATE(14,6,$R$2:$R$501/(($A$2:$A$501="每日跟踪")*($B$2:$B$501=B381)*($H$2:$H$501&lt;=H381)),1),0))))</f>
        <v/>
      </c>
      <c r="T381" s="44">
        <f>IF(A381&lt;&gt;"每日跟踪","",IF(O381="","",IF(COUNTIFS($A$2:$A$501,"止损计划",$B$2:$B$501,B381,$E$2:$E$501,"&gt;"&amp;O381)=0,"",AGGREGATE(15,6,$E$2:$E$501/(($A$2:$A$501="止损计划")*($B$2:$B$501=B381)*($E$2:$E$501&gt;O381)),1))))</f>
        <v/>
      </c>
      <c r="U381" s="44">
        <f>IF(OR(A381&lt;&gt;"每日跟踪",T381=""),"",IFERROR(AGGREGATE(14,6,$F$2:$F$501/(($A$2:$A$501="止损计划")*($B$2:$B$501=B381)*($E$2:$E$501=T381)),1),""))</f>
        <v/>
      </c>
      <c r="V381" s="30">
        <f>IF(OR(A381&lt;&gt;"每日跟踪",T381="",I381="",I381&lt;=0),"",T381/I381-1)</f>
        <v/>
      </c>
      <c r="W381" s="31">
        <f>IF(A381&lt;&gt;"每日跟踪","",IF(OR(I381="",S381=""),"",IF(I381&lt;=S381,"触发止损：应全部卖出","继续观察")))</f>
        <v/>
      </c>
      <c r="X381" s="28" t="n"/>
      <c r="Y381" s="43" t="n"/>
      <c r="Z381" s="26">
        <f>IF(X381&lt;&gt;"执行卖出","",IFERROR(LOOKUP(2,1/(单次交易!$A$2:$A$201=B381),单次交易!$AP$2:$AP$201),""))</f>
        <v/>
      </c>
      <c r="AA381" s="43" t="n"/>
      <c r="AB381" s="31">
        <f>IF(A381&lt;&gt;"每日跟踪","",IF(OR(B381="",H381="",I381="",J381="",K381="",L381="",M381=""),"待补充每日记录",IF(W381="触发止损：应全部卖出",IF(X381&lt;&gt;"执行卖出","违规：触发止损但未执行",IF(Y381="","待补充实际卖出价","卖出记录完整")),IF(X381="","待选择卖出动作",IF(X381="执行卖出",IF(Y381="","待补充实际卖出价","卖出记录完整"),"正常")))))</f>
        <v/>
      </c>
      <c r="AC381" s="31">
        <f>IF(A381="","",IF(A381="止损计划",IF(OR(B381="",D381="",E381="",F381="",G381=""),"计划不完整",IF(OR(D381&lt;1,D381&lt;&gt;INT(D381)),"阶段序号无效",IF(COUNTIFS($A$2:$A$501,"止损计划",$B$2:$B$501,B381,$D$2:$D$501,D381)&gt;1,"阶段序号重复",IF(E381&lt;=IFERROR(LOOKUP(2,1/('单次交易'!$A$2:$A$201=B381),'单次交易'!$E$2:$E$201),0),"激活价须高于买入价",IF(F381&lt;N381,"止损价不得低于初始止损",IF(F381&gt;E381,"止损价不得高于激活价",IF(AND(COUNTIFS($A$2:$A$501,"止损计划",$B$2:$B$501,B381,$D$2:$D$501,"&lt;"&amp;D381)&gt;0,OR(E381&lt;=AGGREGATE(14,6,$E$2:$E$501/(($A$2:$A$501="止损计划")*($B$2:$B$501=B381)*($D$2:$D$501&lt;D381)),1),F381&lt;AGGREGATE(14,6,$F$2:$F$501/(($A$2:$A$501="止损计划")*($B$2:$B$501=B381)*($D$2:$D$501&lt;D381)),1))),"阶段价格必须逐级提高","计划有效"))))))),IF(A381="每日跟踪",IF(OR(B381="",H381="",I381="",J381=""),"每日数据不完整",IF(COUNTIFS($A$2:$A$501,"每日跟踪",$B$2:$B$501,B381,$H$2:$H$501,H381)&gt;1,"同一交易日期重复",IF(AND(R381&lt;&gt;"",R381&lt;S381),"人工止损无效：不能下调","跟踪有效"))),"记录类型无效")))</f>
        <v/>
      </c>
    </row>
    <row r="382">
      <c r="A382" s="28" t="n"/>
      <c r="B382" s="28" t="n"/>
      <c r="C382" s="31">
        <f>IF(B382="","",IFERROR(LOOKUP(2,1/(单次交易!$A$2:$A$201=B382),单次交易!$B$2:$B$201),""))</f>
        <v/>
      </c>
      <c r="D382" s="27" t="n"/>
      <c r="E382" s="43" t="n"/>
      <c r="F382" s="43" t="n"/>
      <c r="G382" s="28" t="n"/>
      <c r="H382" s="49" t="n"/>
      <c r="I382" s="43" t="n"/>
      <c r="J382" s="27" t="n"/>
      <c r="K382" s="28" t="n"/>
      <c r="L382" s="28" t="n"/>
      <c r="M382" s="28" t="n"/>
      <c r="N382" s="44">
        <f>IF(B382="","",IFERROR(LOOKUP(2,1/(单次交易!$A$2:$A$201=B382),单次交易!$N$2:$N$201),""))</f>
        <v/>
      </c>
      <c r="O382" s="44">
        <f>IF(A382&lt;&gt;"每日跟踪","",IF(OR(B382="",H382="",I382=""),"",IFERROR(AGGREGATE(14,6,$I$2:$I$501/(($A$2:$A$501="每日跟踪")*($B$2:$B$501=B382)*($H$2:$H$501&lt;=H382)),1),"")))</f>
        <v/>
      </c>
      <c r="P382" s="26">
        <f>IF(A382&lt;&gt;"每日跟踪","",IF(O382="","",IFERROR(AGGREGATE(14,6,$D$2:$D$501/(($A$2:$A$501="止损计划")*($B$2:$B$501=B382)*($E$2:$E$501&lt;=O382)),1),0)))</f>
        <v/>
      </c>
      <c r="Q382" s="44">
        <f>IF(A382&lt;&gt;"每日跟踪","",IF(N382="","",MAX(N382,IFERROR(AGGREGATE(14,6,$F$2:$F$501/(($A$2:$A$501="止损计划")*($B$2:$B$501=B382)*($E$2:$E$501&lt;=O382)),1),0))))</f>
        <v/>
      </c>
      <c r="R382" s="43" t="n"/>
      <c r="S382" s="44">
        <f>IF(A382&lt;&gt;"每日跟踪","",IF(Q382="","",MAX(Q382,IFERROR(AGGREGATE(14,6,$R$2:$R$501/(($A$2:$A$501="每日跟踪")*($B$2:$B$501=B382)*($H$2:$H$501&lt;=H382)),1),0))))</f>
        <v/>
      </c>
      <c r="T382" s="44">
        <f>IF(A382&lt;&gt;"每日跟踪","",IF(O382="","",IF(COUNTIFS($A$2:$A$501,"止损计划",$B$2:$B$501,B382,$E$2:$E$501,"&gt;"&amp;O382)=0,"",AGGREGATE(15,6,$E$2:$E$501/(($A$2:$A$501="止损计划")*($B$2:$B$501=B382)*($E$2:$E$501&gt;O382)),1))))</f>
        <v/>
      </c>
      <c r="U382" s="44">
        <f>IF(OR(A382&lt;&gt;"每日跟踪",T382=""),"",IFERROR(AGGREGATE(14,6,$F$2:$F$501/(($A$2:$A$501="止损计划")*($B$2:$B$501=B382)*($E$2:$E$501=T382)),1),""))</f>
        <v/>
      </c>
      <c r="V382" s="30">
        <f>IF(OR(A382&lt;&gt;"每日跟踪",T382="",I382="",I382&lt;=0),"",T382/I382-1)</f>
        <v/>
      </c>
      <c r="W382" s="31">
        <f>IF(A382&lt;&gt;"每日跟踪","",IF(OR(I382="",S382=""),"",IF(I382&lt;=S382,"触发止损：应全部卖出","继续观察")))</f>
        <v/>
      </c>
      <c r="X382" s="28" t="n"/>
      <c r="Y382" s="43" t="n"/>
      <c r="Z382" s="26">
        <f>IF(X382&lt;&gt;"执行卖出","",IFERROR(LOOKUP(2,1/(单次交易!$A$2:$A$201=B382),单次交易!$AP$2:$AP$201),""))</f>
        <v/>
      </c>
      <c r="AA382" s="43" t="n"/>
      <c r="AB382" s="31">
        <f>IF(A382&lt;&gt;"每日跟踪","",IF(OR(B382="",H382="",I382="",J382="",K382="",L382="",M382=""),"待补充每日记录",IF(W382="触发止损：应全部卖出",IF(X382&lt;&gt;"执行卖出","违规：触发止损但未执行",IF(Y382="","待补充实际卖出价","卖出记录完整")),IF(X382="","待选择卖出动作",IF(X382="执行卖出",IF(Y382="","待补充实际卖出价","卖出记录完整"),"正常")))))</f>
        <v/>
      </c>
      <c r="AC382" s="31">
        <f>IF(A382="","",IF(A382="止损计划",IF(OR(B382="",D382="",E382="",F382="",G382=""),"计划不完整",IF(OR(D382&lt;1,D382&lt;&gt;INT(D382)),"阶段序号无效",IF(COUNTIFS($A$2:$A$501,"止损计划",$B$2:$B$501,B382,$D$2:$D$501,D382)&gt;1,"阶段序号重复",IF(E382&lt;=IFERROR(LOOKUP(2,1/('单次交易'!$A$2:$A$201=B382),'单次交易'!$E$2:$E$201),0),"激活价须高于买入价",IF(F382&lt;N382,"止损价不得低于初始止损",IF(F382&gt;E382,"止损价不得高于激活价",IF(AND(COUNTIFS($A$2:$A$501,"止损计划",$B$2:$B$501,B382,$D$2:$D$501,"&lt;"&amp;D382)&gt;0,OR(E382&lt;=AGGREGATE(14,6,$E$2:$E$501/(($A$2:$A$501="止损计划")*($B$2:$B$501=B382)*($D$2:$D$501&lt;D382)),1),F382&lt;AGGREGATE(14,6,$F$2:$F$501/(($A$2:$A$501="止损计划")*($B$2:$B$501=B382)*($D$2:$D$501&lt;D382)),1))),"阶段价格必须逐级提高","计划有效"))))))),IF(A382="每日跟踪",IF(OR(B382="",H382="",I382="",J382=""),"每日数据不完整",IF(COUNTIFS($A$2:$A$501,"每日跟踪",$B$2:$B$501,B382,$H$2:$H$501,H382)&gt;1,"同一交易日期重复",IF(AND(R382&lt;&gt;"",R382&lt;S382),"人工止损无效：不能下调","跟踪有效"))),"记录类型无效")))</f>
        <v/>
      </c>
    </row>
    <row r="383">
      <c r="A383" s="28" t="n"/>
      <c r="B383" s="28" t="n"/>
      <c r="C383" s="31">
        <f>IF(B383="","",IFERROR(LOOKUP(2,1/(单次交易!$A$2:$A$201=B383),单次交易!$B$2:$B$201),""))</f>
        <v/>
      </c>
      <c r="D383" s="27" t="n"/>
      <c r="E383" s="43" t="n"/>
      <c r="F383" s="43" t="n"/>
      <c r="G383" s="28" t="n"/>
      <c r="H383" s="49" t="n"/>
      <c r="I383" s="43" t="n"/>
      <c r="J383" s="27" t="n"/>
      <c r="K383" s="28" t="n"/>
      <c r="L383" s="28" t="n"/>
      <c r="M383" s="28" t="n"/>
      <c r="N383" s="44">
        <f>IF(B383="","",IFERROR(LOOKUP(2,1/(单次交易!$A$2:$A$201=B383),单次交易!$N$2:$N$201),""))</f>
        <v/>
      </c>
      <c r="O383" s="44">
        <f>IF(A383&lt;&gt;"每日跟踪","",IF(OR(B383="",H383="",I383=""),"",IFERROR(AGGREGATE(14,6,$I$2:$I$501/(($A$2:$A$501="每日跟踪")*($B$2:$B$501=B383)*($H$2:$H$501&lt;=H383)),1),"")))</f>
        <v/>
      </c>
      <c r="P383" s="26">
        <f>IF(A383&lt;&gt;"每日跟踪","",IF(O383="","",IFERROR(AGGREGATE(14,6,$D$2:$D$501/(($A$2:$A$501="止损计划")*($B$2:$B$501=B383)*($E$2:$E$501&lt;=O383)),1),0)))</f>
        <v/>
      </c>
      <c r="Q383" s="44">
        <f>IF(A383&lt;&gt;"每日跟踪","",IF(N383="","",MAX(N383,IFERROR(AGGREGATE(14,6,$F$2:$F$501/(($A$2:$A$501="止损计划")*($B$2:$B$501=B383)*($E$2:$E$501&lt;=O383)),1),0))))</f>
        <v/>
      </c>
      <c r="R383" s="43" t="n"/>
      <c r="S383" s="44">
        <f>IF(A383&lt;&gt;"每日跟踪","",IF(Q383="","",MAX(Q383,IFERROR(AGGREGATE(14,6,$R$2:$R$501/(($A$2:$A$501="每日跟踪")*($B$2:$B$501=B383)*($H$2:$H$501&lt;=H383)),1),0))))</f>
        <v/>
      </c>
      <c r="T383" s="44">
        <f>IF(A383&lt;&gt;"每日跟踪","",IF(O383="","",IF(COUNTIFS($A$2:$A$501,"止损计划",$B$2:$B$501,B383,$E$2:$E$501,"&gt;"&amp;O383)=0,"",AGGREGATE(15,6,$E$2:$E$501/(($A$2:$A$501="止损计划")*($B$2:$B$501=B383)*($E$2:$E$501&gt;O383)),1))))</f>
        <v/>
      </c>
      <c r="U383" s="44">
        <f>IF(OR(A383&lt;&gt;"每日跟踪",T383=""),"",IFERROR(AGGREGATE(14,6,$F$2:$F$501/(($A$2:$A$501="止损计划")*($B$2:$B$501=B383)*($E$2:$E$501=T383)),1),""))</f>
        <v/>
      </c>
      <c r="V383" s="30">
        <f>IF(OR(A383&lt;&gt;"每日跟踪",T383="",I383="",I383&lt;=0),"",T383/I383-1)</f>
        <v/>
      </c>
      <c r="W383" s="31">
        <f>IF(A383&lt;&gt;"每日跟踪","",IF(OR(I383="",S383=""),"",IF(I383&lt;=S383,"触发止损：应全部卖出","继续观察")))</f>
        <v/>
      </c>
      <c r="X383" s="28" t="n"/>
      <c r="Y383" s="43" t="n"/>
      <c r="Z383" s="26">
        <f>IF(X383&lt;&gt;"执行卖出","",IFERROR(LOOKUP(2,1/(单次交易!$A$2:$A$201=B383),单次交易!$AP$2:$AP$201),""))</f>
        <v/>
      </c>
      <c r="AA383" s="43" t="n"/>
      <c r="AB383" s="31">
        <f>IF(A383&lt;&gt;"每日跟踪","",IF(OR(B383="",H383="",I383="",J383="",K383="",L383="",M383=""),"待补充每日记录",IF(W383="触发止损：应全部卖出",IF(X383&lt;&gt;"执行卖出","违规：触发止损但未执行",IF(Y383="","待补充实际卖出价","卖出记录完整")),IF(X383="","待选择卖出动作",IF(X383="执行卖出",IF(Y383="","待补充实际卖出价","卖出记录完整"),"正常")))))</f>
        <v/>
      </c>
      <c r="AC383" s="31">
        <f>IF(A383="","",IF(A383="止损计划",IF(OR(B383="",D383="",E383="",F383="",G383=""),"计划不完整",IF(OR(D383&lt;1,D383&lt;&gt;INT(D383)),"阶段序号无效",IF(COUNTIFS($A$2:$A$501,"止损计划",$B$2:$B$501,B383,$D$2:$D$501,D383)&gt;1,"阶段序号重复",IF(E383&lt;=IFERROR(LOOKUP(2,1/('单次交易'!$A$2:$A$201=B383),'单次交易'!$E$2:$E$201),0),"激活价须高于买入价",IF(F383&lt;N383,"止损价不得低于初始止损",IF(F383&gt;E383,"止损价不得高于激活价",IF(AND(COUNTIFS($A$2:$A$501,"止损计划",$B$2:$B$501,B383,$D$2:$D$501,"&lt;"&amp;D383)&gt;0,OR(E383&lt;=AGGREGATE(14,6,$E$2:$E$501/(($A$2:$A$501="止损计划")*($B$2:$B$501=B383)*($D$2:$D$501&lt;D383)),1),F383&lt;AGGREGATE(14,6,$F$2:$F$501/(($A$2:$A$501="止损计划")*($B$2:$B$501=B383)*($D$2:$D$501&lt;D383)),1))),"阶段价格必须逐级提高","计划有效"))))))),IF(A383="每日跟踪",IF(OR(B383="",H383="",I383="",J383=""),"每日数据不完整",IF(COUNTIFS($A$2:$A$501,"每日跟踪",$B$2:$B$501,B383,$H$2:$H$501,H383)&gt;1,"同一交易日期重复",IF(AND(R383&lt;&gt;"",R383&lt;S383),"人工止损无效：不能下调","跟踪有效"))),"记录类型无效")))</f>
        <v/>
      </c>
    </row>
    <row r="384">
      <c r="A384" s="28" t="n"/>
      <c r="B384" s="28" t="n"/>
      <c r="C384" s="31">
        <f>IF(B384="","",IFERROR(LOOKUP(2,1/(单次交易!$A$2:$A$201=B384),单次交易!$B$2:$B$201),""))</f>
        <v/>
      </c>
      <c r="D384" s="27" t="n"/>
      <c r="E384" s="43" t="n"/>
      <c r="F384" s="43" t="n"/>
      <c r="G384" s="28" t="n"/>
      <c r="H384" s="49" t="n"/>
      <c r="I384" s="43" t="n"/>
      <c r="J384" s="27" t="n"/>
      <c r="K384" s="28" t="n"/>
      <c r="L384" s="28" t="n"/>
      <c r="M384" s="28" t="n"/>
      <c r="N384" s="44">
        <f>IF(B384="","",IFERROR(LOOKUP(2,1/(单次交易!$A$2:$A$201=B384),单次交易!$N$2:$N$201),""))</f>
        <v/>
      </c>
      <c r="O384" s="44">
        <f>IF(A384&lt;&gt;"每日跟踪","",IF(OR(B384="",H384="",I384=""),"",IFERROR(AGGREGATE(14,6,$I$2:$I$501/(($A$2:$A$501="每日跟踪")*($B$2:$B$501=B384)*($H$2:$H$501&lt;=H384)),1),"")))</f>
        <v/>
      </c>
      <c r="P384" s="26">
        <f>IF(A384&lt;&gt;"每日跟踪","",IF(O384="","",IFERROR(AGGREGATE(14,6,$D$2:$D$501/(($A$2:$A$501="止损计划")*($B$2:$B$501=B384)*($E$2:$E$501&lt;=O384)),1),0)))</f>
        <v/>
      </c>
      <c r="Q384" s="44">
        <f>IF(A384&lt;&gt;"每日跟踪","",IF(N384="","",MAX(N384,IFERROR(AGGREGATE(14,6,$F$2:$F$501/(($A$2:$A$501="止损计划")*($B$2:$B$501=B384)*($E$2:$E$501&lt;=O384)),1),0))))</f>
        <v/>
      </c>
      <c r="R384" s="43" t="n"/>
      <c r="S384" s="44">
        <f>IF(A384&lt;&gt;"每日跟踪","",IF(Q384="","",MAX(Q384,IFERROR(AGGREGATE(14,6,$R$2:$R$501/(($A$2:$A$501="每日跟踪")*($B$2:$B$501=B384)*($H$2:$H$501&lt;=H384)),1),0))))</f>
        <v/>
      </c>
      <c r="T384" s="44">
        <f>IF(A384&lt;&gt;"每日跟踪","",IF(O384="","",IF(COUNTIFS($A$2:$A$501,"止损计划",$B$2:$B$501,B384,$E$2:$E$501,"&gt;"&amp;O384)=0,"",AGGREGATE(15,6,$E$2:$E$501/(($A$2:$A$501="止损计划")*($B$2:$B$501=B384)*($E$2:$E$501&gt;O384)),1))))</f>
        <v/>
      </c>
      <c r="U384" s="44">
        <f>IF(OR(A384&lt;&gt;"每日跟踪",T384=""),"",IFERROR(AGGREGATE(14,6,$F$2:$F$501/(($A$2:$A$501="止损计划")*($B$2:$B$501=B384)*($E$2:$E$501=T384)),1),""))</f>
        <v/>
      </c>
      <c r="V384" s="30">
        <f>IF(OR(A384&lt;&gt;"每日跟踪",T384="",I384="",I384&lt;=0),"",T384/I384-1)</f>
        <v/>
      </c>
      <c r="W384" s="31">
        <f>IF(A384&lt;&gt;"每日跟踪","",IF(OR(I384="",S384=""),"",IF(I384&lt;=S384,"触发止损：应全部卖出","继续观察")))</f>
        <v/>
      </c>
      <c r="X384" s="28" t="n"/>
      <c r="Y384" s="43" t="n"/>
      <c r="Z384" s="26">
        <f>IF(X384&lt;&gt;"执行卖出","",IFERROR(LOOKUP(2,1/(单次交易!$A$2:$A$201=B384),单次交易!$AP$2:$AP$201),""))</f>
        <v/>
      </c>
      <c r="AA384" s="43" t="n"/>
      <c r="AB384" s="31">
        <f>IF(A384&lt;&gt;"每日跟踪","",IF(OR(B384="",H384="",I384="",J384="",K384="",L384="",M384=""),"待补充每日记录",IF(W384="触发止损：应全部卖出",IF(X384&lt;&gt;"执行卖出","违规：触发止损但未执行",IF(Y384="","待补充实际卖出价","卖出记录完整")),IF(X384="","待选择卖出动作",IF(X384="执行卖出",IF(Y384="","待补充实际卖出价","卖出记录完整"),"正常")))))</f>
        <v/>
      </c>
      <c r="AC384" s="31">
        <f>IF(A384="","",IF(A384="止损计划",IF(OR(B384="",D384="",E384="",F384="",G384=""),"计划不完整",IF(OR(D384&lt;1,D384&lt;&gt;INT(D384)),"阶段序号无效",IF(COUNTIFS($A$2:$A$501,"止损计划",$B$2:$B$501,B384,$D$2:$D$501,D384)&gt;1,"阶段序号重复",IF(E384&lt;=IFERROR(LOOKUP(2,1/('单次交易'!$A$2:$A$201=B384),'单次交易'!$E$2:$E$201),0),"激活价须高于买入价",IF(F384&lt;N384,"止损价不得低于初始止损",IF(F384&gt;E384,"止损价不得高于激活价",IF(AND(COUNTIFS($A$2:$A$501,"止损计划",$B$2:$B$501,B384,$D$2:$D$501,"&lt;"&amp;D384)&gt;0,OR(E384&lt;=AGGREGATE(14,6,$E$2:$E$501/(($A$2:$A$501="止损计划")*($B$2:$B$501=B384)*($D$2:$D$501&lt;D384)),1),F384&lt;AGGREGATE(14,6,$F$2:$F$501/(($A$2:$A$501="止损计划")*($B$2:$B$501=B384)*($D$2:$D$501&lt;D384)),1))),"阶段价格必须逐级提高","计划有效"))))))),IF(A384="每日跟踪",IF(OR(B384="",H384="",I384="",J384=""),"每日数据不完整",IF(COUNTIFS($A$2:$A$501,"每日跟踪",$B$2:$B$501,B384,$H$2:$H$501,H384)&gt;1,"同一交易日期重复",IF(AND(R384&lt;&gt;"",R384&lt;S384),"人工止损无效：不能下调","跟踪有效"))),"记录类型无效")))</f>
        <v/>
      </c>
    </row>
    <row r="385">
      <c r="A385" s="28" t="n"/>
      <c r="B385" s="28" t="n"/>
      <c r="C385" s="31">
        <f>IF(B385="","",IFERROR(LOOKUP(2,1/(单次交易!$A$2:$A$201=B385),单次交易!$B$2:$B$201),""))</f>
        <v/>
      </c>
      <c r="D385" s="27" t="n"/>
      <c r="E385" s="43" t="n"/>
      <c r="F385" s="43" t="n"/>
      <c r="G385" s="28" t="n"/>
      <c r="H385" s="49" t="n"/>
      <c r="I385" s="43" t="n"/>
      <c r="J385" s="27" t="n"/>
      <c r="K385" s="28" t="n"/>
      <c r="L385" s="28" t="n"/>
      <c r="M385" s="28" t="n"/>
      <c r="N385" s="44">
        <f>IF(B385="","",IFERROR(LOOKUP(2,1/(单次交易!$A$2:$A$201=B385),单次交易!$N$2:$N$201),""))</f>
        <v/>
      </c>
      <c r="O385" s="44">
        <f>IF(A385&lt;&gt;"每日跟踪","",IF(OR(B385="",H385="",I385=""),"",IFERROR(AGGREGATE(14,6,$I$2:$I$501/(($A$2:$A$501="每日跟踪")*($B$2:$B$501=B385)*($H$2:$H$501&lt;=H385)),1),"")))</f>
        <v/>
      </c>
      <c r="P385" s="26">
        <f>IF(A385&lt;&gt;"每日跟踪","",IF(O385="","",IFERROR(AGGREGATE(14,6,$D$2:$D$501/(($A$2:$A$501="止损计划")*($B$2:$B$501=B385)*($E$2:$E$501&lt;=O385)),1),0)))</f>
        <v/>
      </c>
      <c r="Q385" s="44">
        <f>IF(A385&lt;&gt;"每日跟踪","",IF(N385="","",MAX(N385,IFERROR(AGGREGATE(14,6,$F$2:$F$501/(($A$2:$A$501="止损计划")*($B$2:$B$501=B385)*($E$2:$E$501&lt;=O385)),1),0))))</f>
        <v/>
      </c>
      <c r="R385" s="43" t="n"/>
      <c r="S385" s="44">
        <f>IF(A385&lt;&gt;"每日跟踪","",IF(Q385="","",MAX(Q385,IFERROR(AGGREGATE(14,6,$R$2:$R$501/(($A$2:$A$501="每日跟踪")*($B$2:$B$501=B385)*($H$2:$H$501&lt;=H385)),1),0))))</f>
        <v/>
      </c>
      <c r="T385" s="44">
        <f>IF(A385&lt;&gt;"每日跟踪","",IF(O385="","",IF(COUNTIFS($A$2:$A$501,"止损计划",$B$2:$B$501,B385,$E$2:$E$501,"&gt;"&amp;O385)=0,"",AGGREGATE(15,6,$E$2:$E$501/(($A$2:$A$501="止损计划")*($B$2:$B$501=B385)*($E$2:$E$501&gt;O385)),1))))</f>
        <v/>
      </c>
      <c r="U385" s="44">
        <f>IF(OR(A385&lt;&gt;"每日跟踪",T385=""),"",IFERROR(AGGREGATE(14,6,$F$2:$F$501/(($A$2:$A$501="止损计划")*($B$2:$B$501=B385)*($E$2:$E$501=T385)),1),""))</f>
        <v/>
      </c>
      <c r="V385" s="30">
        <f>IF(OR(A385&lt;&gt;"每日跟踪",T385="",I385="",I385&lt;=0),"",T385/I385-1)</f>
        <v/>
      </c>
      <c r="W385" s="31">
        <f>IF(A385&lt;&gt;"每日跟踪","",IF(OR(I385="",S385=""),"",IF(I385&lt;=S385,"触发止损：应全部卖出","继续观察")))</f>
        <v/>
      </c>
      <c r="X385" s="28" t="n"/>
      <c r="Y385" s="43" t="n"/>
      <c r="Z385" s="26">
        <f>IF(X385&lt;&gt;"执行卖出","",IFERROR(LOOKUP(2,1/(单次交易!$A$2:$A$201=B385),单次交易!$AP$2:$AP$201),""))</f>
        <v/>
      </c>
      <c r="AA385" s="43" t="n"/>
      <c r="AB385" s="31">
        <f>IF(A385&lt;&gt;"每日跟踪","",IF(OR(B385="",H385="",I385="",J385="",K385="",L385="",M385=""),"待补充每日记录",IF(W385="触发止损：应全部卖出",IF(X385&lt;&gt;"执行卖出","违规：触发止损但未执行",IF(Y385="","待补充实际卖出价","卖出记录完整")),IF(X385="","待选择卖出动作",IF(X385="执行卖出",IF(Y385="","待补充实际卖出价","卖出记录完整"),"正常")))))</f>
        <v/>
      </c>
      <c r="AC385" s="31">
        <f>IF(A385="","",IF(A385="止损计划",IF(OR(B385="",D385="",E385="",F385="",G385=""),"计划不完整",IF(OR(D385&lt;1,D385&lt;&gt;INT(D385)),"阶段序号无效",IF(COUNTIFS($A$2:$A$501,"止损计划",$B$2:$B$501,B385,$D$2:$D$501,D385)&gt;1,"阶段序号重复",IF(E385&lt;=IFERROR(LOOKUP(2,1/('单次交易'!$A$2:$A$201=B385),'单次交易'!$E$2:$E$201),0),"激活价须高于买入价",IF(F385&lt;N385,"止损价不得低于初始止损",IF(F385&gt;E385,"止损价不得高于激活价",IF(AND(COUNTIFS($A$2:$A$501,"止损计划",$B$2:$B$501,B385,$D$2:$D$501,"&lt;"&amp;D385)&gt;0,OR(E385&lt;=AGGREGATE(14,6,$E$2:$E$501/(($A$2:$A$501="止损计划")*($B$2:$B$501=B385)*($D$2:$D$501&lt;D385)),1),F385&lt;AGGREGATE(14,6,$F$2:$F$501/(($A$2:$A$501="止损计划")*($B$2:$B$501=B385)*($D$2:$D$501&lt;D385)),1))),"阶段价格必须逐级提高","计划有效"))))))),IF(A385="每日跟踪",IF(OR(B385="",H385="",I385="",J385=""),"每日数据不完整",IF(COUNTIFS($A$2:$A$501,"每日跟踪",$B$2:$B$501,B385,$H$2:$H$501,H385)&gt;1,"同一交易日期重复",IF(AND(R385&lt;&gt;"",R385&lt;S385),"人工止损无效：不能下调","跟踪有效"))),"记录类型无效")))</f>
        <v/>
      </c>
    </row>
    <row r="386">
      <c r="A386" s="28" t="n"/>
      <c r="B386" s="28" t="n"/>
      <c r="C386" s="31">
        <f>IF(B386="","",IFERROR(LOOKUP(2,1/(单次交易!$A$2:$A$201=B386),单次交易!$B$2:$B$201),""))</f>
        <v/>
      </c>
      <c r="D386" s="27" t="n"/>
      <c r="E386" s="43" t="n"/>
      <c r="F386" s="43" t="n"/>
      <c r="G386" s="28" t="n"/>
      <c r="H386" s="49" t="n"/>
      <c r="I386" s="43" t="n"/>
      <c r="J386" s="27" t="n"/>
      <c r="K386" s="28" t="n"/>
      <c r="L386" s="28" t="n"/>
      <c r="M386" s="28" t="n"/>
      <c r="N386" s="44">
        <f>IF(B386="","",IFERROR(LOOKUP(2,1/(单次交易!$A$2:$A$201=B386),单次交易!$N$2:$N$201),""))</f>
        <v/>
      </c>
      <c r="O386" s="44">
        <f>IF(A386&lt;&gt;"每日跟踪","",IF(OR(B386="",H386="",I386=""),"",IFERROR(AGGREGATE(14,6,$I$2:$I$501/(($A$2:$A$501="每日跟踪")*($B$2:$B$501=B386)*($H$2:$H$501&lt;=H386)),1),"")))</f>
        <v/>
      </c>
      <c r="P386" s="26">
        <f>IF(A386&lt;&gt;"每日跟踪","",IF(O386="","",IFERROR(AGGREGATE(14,6,$D$2:$D$501/(($A$2:$A$501="止损计划")*($B$2:$B$501=B386)*($E$2:$E$501&lt;=O386)),1),0)))</f>
        <v/>
      </c>
      <c r="Q386" s="44">
        <f>IF(A386&lt;&gt;"每日跟踪","",IF(N386="","",MAX(N386,IFERROR(AGGREGATE(14,6,$F$2:$F$501/(($A$2:$A$501="止损计划")*($B$2:$B$501=B386)*($E$2:$E$501&lt;=O386)),1),0))))</f>
        <v/>
      </c>
      <c r="R386" s="43" t="n"/>
      <c r="S386" s="44">
        <f>IF(A386&lt;&gt;"每日跟踪","",IF(Q386="","",MAX(Q386,IFERROR(AGGREGATE(14,6,$R$2:$R$501/(($A$2:$A$501="每日跟踪")*($B$2:$B$501=B386)*($H$2:$H$501&lt;=H386)),1),0))))</f>
        <v/>
      </c>
      <c r="T386" s="44">
        <f>IF(A386&lt;&gt;"每日跟踪","",IF(O386="","",IF(COUNTIFS($A$2:$A$501,"止损计划",$B$2:$B$501,B386,$E$2:$E$501,"&gt;"&amp;O386)=0,"",AGGREGATE(15,6,$E$2:$E$501/(($A$2:$A$501="止损计划")*($B$2:$B$501=B386)*($E$2:$E$501&gt;O386)),1))))</f>
        <v/>
      </c>
      <c r="U386" s="44">
        <f>IF(OR(A386&lt;&gt;"每日跟踪",T386=""),"",IFERROR(AGGREGATE(14,6,$F$2:$F$501/(($A$2:$A$501="止损计划")*($B$2:$B$501=B386)*($E$2:$E$501=T386)),1),""))</f>
        <v/>
      </c>
      <c r="V386" s="30">
        <f>IF(OR(A386&lt;&gt;"每日跟踪",T386="",I386="",I386&lt;=0),"",T386/I386-1)</f>
        <v/>
      </c>
      <c r="W386" s="31">
        <f>IF(A386&lt;&gt;"每日跟踪","",IF(OR(I386="",S386=""),"",IF(I386&lt;=S386,"触发止损：应全部卖出","继续观察")))</f>
        <v/>
      </c>
      <c r="X386" s="28" t="n"/>
      <c r="Y386" s="43" t="n"/>
      <c r="Z386" s="26">
        <f>IF(X386&lt;&gt;"执行卖出","",IFERROR(LOOKUP(2,1/(单次交易!$A$2:$A$201=B386),单次交易!$AP$2:$AP$201),""))</f>
        <v/>
      </c>
      <c r="AA386" s="43" t="n"/>
      <c r="AB386" s="31">
        <f>IF(A386&lt;&gt;"每日跟踪","",IF(OR(B386="",H386="",I386="",J386="",K386="",L386="",M386=""),"待补充每日记录",IF(W386="触发止损：应全部卖出",IF(X386&lt;&gt;"执行卖出","违规：触发止损但未执行",IF(Y386="","待补充实际卖出价","卖出记录完整")),IF(X386="","待选择卖出动作",IF(X386="执行卖出",IF(Y386="","待补充实际卖出价","卖出记录完整"),"正常")))))</f>
        <v/>
      </c>
      <c r="AC386" s="31">
        <f>IF(A386="","",IF(A386="止损计划",IF(OR(B386="",D386="",E386="",F386="",G386=""),"计划不完整",IF(OR(D386&lt;1,D386&lt;&gt;INT(D386)),"阶段序号无效",IF(COUNTIFS($A$2:$A$501,"止损计划",$B$2:$B$501,B386,$D$2:$D$501,D386)&gt;1,"阶段序号重复",IF(E386&lt;=IFERROR(LOOKUP(2,1/('单次交易'!$A$2:$A$201=B386),'单次交易'!$E$2:$E$201),0),"激活价须高于买入价",IF(F386&lt;N386,"止损价不得低于初始止损",IF(F386&gt;E386,"止损价不得高于激活价",IF(AND(COUNTIFS($A$2:$A$501,"止损计划",$B$2:$B$501,B386,$D$2:$D$501,"&lt;"&amp;D386)&gt;0,OR(E386&lt;=AGGREGATE(14,6,$E$2:$E$501/(($A$2:$A$501="止损计划")*($B$2:$B$501=B386)*($D$2:$D$501&lt;D386)),1),F386&lt;AGGREGATE(14,6,$F$2:$F$501/(($A$2:$A$501="止损计划")*($B$2:$B$501=B386)*($D$2:$D$501&lt;D386)),1))),"阶段价格必须逐级提高","计划有效"))))))),IF(A386="每日跟踪",IF(OR(B386="",H386="",I386="",J386=""),"每日数据不完整",IF(COUNTIFS($A$2:$A$501,"每日跟踪",$B$2:$B$501,B386,$H$2:$H$501,H386)&gt;1,"同一交易日期重复",IF(AND(R386&lt;&gt;"",R386&lt;S386),"人工止损无效：不能下调","跟踪有效"))),"记录类型无效")))</f>
        <v/>
      </c>
    </row>
    <row r="387">
      <c r="A387" s="28" t="n"/>
      <c r="B387" s="28" t="n"/>
      <c r="C387" s="31">
        <f>IF(B387="","",IFERROR(LOOKUP(2,1/(单次交易!$A$2:$A$201=B387),单次交易!$B$2:$B$201),""))</f>
        <v/>
      </c>
      <c r="D387" s="27" t="n"/>
      <c r="E387" s="43" t="n"/>
      <c r="F387" s="43" t="n"/>
      <c r="G387" s="28" t="n"/>
      <c r="H387" s="49" t="n"/>
      <c r="I387" s="43" t="n"/>
      <c r="J387" s="27" t="n"/>
      <c r="K387" s="28" t="n"/>
      <c r="L387" s="28" t="n"/>
      <c r="M387" s="28" t="n"/>
      <c r="N387" s="44">
        <f>IF(B387="","",IFERROR(LOOKUP(2,1/(单次交易!$A$2:$A$201=B387),单次交易!$N$2:$N$201),""))</f>
        <v/>
      </c>
      <c r="O387" s="44">
        <f>IF(A387&lt;&gt;"每日跟踪","",IF(OR(B387="",H387="",I387=""),"",IFERROR(AGGREGATE(14,6,$I$2:$I$501/(($A$2:$A$501="每日跟踪")*($B$2:$B$501=B387)*($H$2:$H$501&lt;=H387)),1),"")))</f>
        <v/>
      </c>
      <c r="P387" s="26">
        <f>IF(A387&lt;&gt;"每日跟踪","",IF(O387="","",IFERROR(AGGREGATE(14,6,$D$2:$D$501/(($A$2:$A$501="止损计划")*($B$2:$B$501=B387)*($E$2:$E$501&lt;=O387)),1),0)))</f>
        <v/>
      </c>
      <c r="Q387" s="44">
        <f>IF(A387&lt;&gt;"每日跟踪","",IF(N387="","",MAX(N387,IFERROR(AGGREGATE(14,6,$F$2:$F$501/(($A$2:$A$501="止损计划")*($B$2:$B$501=B387)*($E$2:$E$501&lt;=O387)),1),0))))</f>
        <v/>
      </c>
      <c r="R387" s="43" t="n"/>
      <c r="S387" s="44">
        <f>IF(A387&lt;&gt;"每日跟踪","",IF(Q387="","",MAX(Q387,IFERROR(AGGREGATE(14,6,$R$2:$R$501/(($A$2:$A$501="每日跟踪")*($B$2:$B$501=B387)*($H$2:$H$501&lt;=H387)),1),0))))</f>
        <v/>
      </c>
      <c r="T387" s="44">
        <f>IF(A387&lt;&gt;"每日跟踪","",IF(O387="","",IF(COUNTIFS($A$2:$A$501,"止损计划",$B$2:$B$501,B387,$E$2:$E$501,"&gt;"&amp;O387)=0,"",AGGREGATE(15,6,$E$2:$E$501/(($A$2:$A$501="止损计划")*($B$2:$B$501=B387)*($E$2:$E$501&gt;O387)),1))))</f>
        <v/>
      </c>
      <c r="U387" s="44">
        <f>IF(OR(A387&lt;&gt;"每日跟踪",T387=""),"",IFERROR(AGGREGATE(14,6,$F$2:$F$501/(($A$2:$A$501="止损计划")*($B$2:$B$501=B387)*($E$2:$E$501=T387)),1),""))</f>
        <v/>
      </c>
      <c r="V387" s="30">
        <f>IF(OR(A387&lt;&gt;"每日跟踪",T387="",I387="",I387&lt;=0),"",T387/I387-1)</f>
        <v/>
      </c>
      <c r="W387" s="31">
        <f>IF(A387&lt;&gt;"每日跟踪","",IF(OR(I387="",S387=""),"",IF(I387&lt;=S387,"触发止损：应全部卖出","继续观察")))</f>
        <v/>
      </c>
      <c r="X387" s="28" t="n"/>
      <c r="Y387" s="43" t="n"/>
      <c r="Z387" s="26">
        <f>IF(X387&lt;&gt;"执行卖出","",IFERROR(LOOKUP(2,1/(单次交易!$A$2:$A$201=B387),单次交易!$AP$2:$AP$201),""))</f>
        <v/>
      </c>
      <c r="AA387" s="43" t="n"/>
      <c r="AB387" s="31">
        <f>IF(A387&lt;&gt;"每日跟踪","",IF(OR(B387="",H387="",I387="",J387="",K387="",L387="",M387=""),"待补充每日记录",IF(W387="触发止损：应全部卖出",IF(X387&lt;&gt;"执行卖出","违规：触发止损但未执行",IF(Y387="","待补充实际卖出价","卖出记录完整")),IF(X387="","待选择卖出动作",IF(X387="执行卖出",IF(Y387="","待补充实际卖出价","卖出记录完整"),"正常")))))</f>
        <v/>
      </c>
      <c r="AC387" s="31">
        <f>IF(A387="","",IF(A387="止损计划",IF(OR(B387="",D387="",E387="",F387="",G387=""),"计划不完整",IF(OR(D387&lt;1,D387&lt;&gt;INT(D387)),"阶段序号无效",IF(COUNTIFS($A$2:$A$501,"止损计划",$B$2:$B$501,B387,$D$2:$D$501,D387)&gt;1,"阶段序号重复",IF(E387&lt;=IFERROR(LOOKUP(2,1/('单次交易'!$A$2:$A$201=B387),'单次交易'!$E$2:$E$201),0),"激活价须高于买入价",IF(F387&lt;N387,"止损价不得低于初始止损",IF(F387&gt;E387,"止损价不得高于激活价",IF(AND(COUNTIFS($A$2:$A$501,"止损计划",$B$2:$B$501,B387,$D$2:$D$501,"&lt;"&amp;D387)&gt;0,OR(E387&lt;=AGGREGATE(14,6,$E$2:$E$501/(($A$2:$A$501="止损计划")*($B$2:$B$501=B387)*($D$2:$D$501&lt;D387)),1),F387&lt;AGGREGATE(14,6,$F$2:$F$501/(($A$2:$A$501="止损计划")*($B$2:$B$501=B387)*($D$2:$D$501&lt;D387)),1))),"阶段价格必须逐级提高","计划有效"))))))),IF(A387="每日跟踪",IF(OR(B387="",H387="",I387="",J387=""),"每日数据不完整",IF(COUNTIFS($A$2:$A$501,"每日跟踪",$B$2:$B$501,B387,$H$2:$H$501,H387)&gt;1,"同一交易日期重复",IF(AND(R387&lt;&gt;"",R387&lt;S387),"人工止损无效：不能下调","跟踪有效"))),"记录类型无效")))</f>
        <v/>
      </c>
    </row>
    <row r="388">
      <c r="A388" s="28" t="n"/>
      <c r="B388" s="28" t="n"/>
      <c r="C388" s="31">
        <f>IF(B388="","",IFERROR(LOOKUP(2,1/(单次交易!$A$2:$A$201=B388),单次交易!$B$2:$B$201),""))</f>
        <v/>
      </c>
      <c r="D388" s="27" t="n"/>
      <c r="E388" s="43" t="n"/>
      <c r="F388" s="43" t="n"/>
      <c r="G388" s="28" t="n"/>
      <c r="H388" s="49" t="n"/>
      <c r="I388" s="43" t="n"/>
      <c r="J388" s="27" t="n"/>
      <c r="K388" s="28" t="n"/>
      <c r="L388" s="28" t="n"/>
      <c r="M388" s="28" t="n"/>
      <c r="N388" s="44">
        <f>IF(B388="","",IFERROR(LOOKUP(2,1/(单次交易!$A$2:$A$201=B388),单次交易!$N$2:$N$201),""))</f>
        <v/>
      </c>
      <c r="O388" s="44">
        <f>IF(A388&lt;&gt;"每日跟踪","",IF(OR(B388="",H388="",I388=""),"",IFERROR(AGGREGATE(14,6,$I$2:$I$501/(($A$2:$A$501="每日跟踪")*($B$2:$B$501=B388)*($H$2:$H$501&lt;=H388)),1),"")))</f>
        <v/>
      </c>
      <c r="P388" s="26">
        <f>IF(A388&lt;&gt;"每日跟踪","",IF(O388="","",IFERROR(AGGREGATE(14,6,$D$2:$D$501/(($A$2:$A$501="止损计划")*($B$2:$B$501=B388)*($E$2:$E$501&lt;=O388)),1),0)))</f>
        <v/>
      </c>
      <c r="Q388" s="44">
        <f>IF(A388&lt;&gt;"每日跟踪","",IF(N388="","",MAX(N388,IFERROR(AGGREGATE(14,6,$F$2:$F$501/(($A$2:$A$501="止损计划")*($B$2:$B$501=B388)*($E$2:$E$501&lt;=O388)),1),0))))</f>
        <v/>
      </c>
      <c r="R388" s="43" t="n"/>
      <c r="S388" s="44">
        <f>IF(A388&lt;&gt;"每日跟踪","",IF(Q388="","",MAX(Q388,IFERROR(AGGREGATE(14,6,$R$2:$R$501/(($A$2:$A$501="每日跟踪")*($B$2:$B$501=B388)*($H$2:$H$501&lt;=H388)),1),0))))</f>
        <v/>
      </c>
      <c r="T388" s="44">
        <f>IF(A388&lt;&gt;"每日跟踪","",IF(O388="","",IF(COUNTIFS($A$2:$A$501,"止损计划",$B$2:$B$501,B388,$E$2:$E$501,"&gt;"&amp;O388)=0,"",AGGREGATE(15,6,$E$2:$E$501/(($A$2:$A$501="止损计划")*($B$2:$B$501=B388)*($E$2:$E$501&gt;O388)),1))))</f>
        <v/>
      </c>
      <c r="U388" s="44">
        <f>IF(OR(A388&lt;&gt;"每日跟踪",T388=""),"",IFERROR(AGGREGATE(14,6,$F$2:$F$501/(($A$2:$A$501="止损计划")*($B$2:$B$501=B388)*($E$2:$E$501=T388)),1),""))</f>
        <v/>
      </c>
      <c r="V388" s="30">
        <f>IF(OR(A388&lt;&gt;"每日跟踪",T388="",I388="",I388&lt;=0),"",T388/I388-1)</f>
        <v/>
      </c>
      <c r="W388" s="31">
        <f>IF(A388&lt;&gt;"每日跟踪","",IF(OR(I388="",S388=""),"",IF(I388&lt;=S388,"触发止损：应全部卖出","继续观察")))</f>
        <v/>
      </c>
      <c r="X388" s="28" t="n"/>
      <c r="Y388" s="43" t="n"/>
      <c r="Z388" s="26">
        <f>IF(X388&lt;&gt;"执行卖出","",IFERROR(LOOKUP(2,1/(单次交易!$A$2:$A$201=B388),单次交易!$AP$2:$AP$201),""))</f>
        <v/>
      </c>
      <c r="AA388" s="43" t="n"/>
      <c r="AB388" s="31">
        <f>IF(A388&lt;&gt;"每日跟踪","",IF(OR(B388="",H388="",I388="",J388="",K388="",L388="",M388=""),"待补充每日记录",IF(W388="触发止损：应全部卖出",IF(X388&lt;&gt;"执行卖出","违规：触发止损但未执行",IF(Y388="","待补充实际卖出价","卖出记录完整")),IF(X388="","待选择卖出动作",IF(X388="执行卖出",IF(Y388="","待补充实际卖出价","卖出记录完整"),"正常")))))</f>
        <v/>
      </c>
      <c r="AC388" s="31">
        <f>IF(A388="","",IF(A388="止损计划",IF(OR(B388="",D388="",E388="",F388="",G388=""),"计划不完整",IF(OR(D388&lt;1,D388&lt;&gt;INT(D388)),"阶段序号无效",IF(COUNTIFS($A$2:$A$501,"止损计划",$B$2:$B$501,B388,$D$2:$D$501,D388)&gt;1,"阶段序号重复",IF(E388&lt;=IFERROR(LOOKUP(2,1/('单次交易'!$A$2:$A$201=B388),'单次交易'!$E$2:$E$201),0),"激活价须高于买入价",IF(F388&lt;N388,"止损价不得低于初始止损",IF(F388&gt;E388,"止损价不得高于激活价",IF(AND(COUNTIFS($A$2:$A$501,"止损计划",$B$2:$B$501,B388,$D$2:$D$501,"&lt;"&amp;D388)&gt;0,OR(E388&lt;=AGGREGATE(14,6,$E$2:$E$501/(($A$2:$A$501="止损计划")*($B$2:$B$501=B388)*($D$2:$D$501&lt;D388)),1),F388&lt;AGGREGATE(14,6,$F$2:$F$501/(($A$2:$A$501="止损计划")*($B$2:$B$501=B388)*($D$2:$D$501&lt;D388)),1))),"阶段价格必须逐级提高","计划有效"))))))),IF(A388="每日跟踪",IF(OR(B388="",H388="",I388="",J388=""),"每日数据不完整",IF(COUNTIFS($A$2:$A$501,"每日跟踪",$B$2:$B$501,B388,$H$2:$H$501,H388)&gt;1,"同一交易日期重复",IF(AND(R388&lt;&gt;"",R388&lt;S388),"人工止损无效：不能下调","跟踪有效"))),"记录类型无效")))</f>
        <v/>
      </c>
    </row>
    <row r="389">
      <c r="A389" s="28" t="n"/>
      <c r="B389" s="28" t="n"/>
      <c r="C389" s="31">
        <f>IF(B389="","",IFERROR(LOOKUP(2,1/(单次交易!$A$2:$A$201=B389),单次交易!$B$2:$B$201),""))</f>
        <v/>
      </c>
      <c r="D389" s="27" t="n"/>
      <c r="E389" s="43" t="n"/>
      <c r="F389" s="43" t="n"/>
      <c r="G389" s="28" t="n"/>
      <c r="H389" s="49" t="n"/>
      <c r="I389" s="43" t="n"/>
      <c r="J389" s="27" t="n"/>
      <c r="K389" s="28" t="n"/>
      <c r="L389" s="28" t="n"/>
      <c r="M389" s="28" t="n"/>
      <c r="N389" s="44">
        <f>IF(B389="","",IFERROR(LOOKUP(2,1/(单次交易!$A$2:$A$201=B389),单次交易!$N$2:$N$201),""))</f>
        <v/>
      </c>
      <c r="O389" s="44">
        <f>IF(A389&lt;&gt;"每日跟踪","",IF(OR(B389="",H389="",I389=""),"",IFERROR(AGGREGATE(14,6,$I$2:$I$501/(($A$2:$A$501="每日跟踪")*($B$2:$B$501=B389)*($H$2:$H$501&lt;=H389)),1),"")))</f>
        <v/>
      </c>
      <c r="P389" s="26">
        <f>IF(A389&lt;&gt;"每日跟踪","",IF(O389="","",IFERROR(AGGREGATE(14,6,$D$2:$D$501/(($A$2:$A$501="止损计划")*($B$2:$B$501=B389)*($E$2:$E$501&lt;=O389)),1),0)))</f>
        <v/>
      </c>
      <c r="Q389" s="44">
        <f>IF(A389&lt;&gt;"每日跟踪","",IF(N389="","",MAX(N389,IFERROR(AGGREGATE(14,6,$F$2:$F$501/(($A$2:$A$501="止损计划")*($B$2:$B$501=B389)*($E$2:$E$501&lt;=O389)),1),0))))</f>
        <v/>
      </c>
      <c r="R389" s="43" t="n"/>
      <c r="S389" s="44">
        <f>IF(A389&lt;&gt;"每日跟踪","",IF(Q389="","",MAX(Q389,IFERROR(AGGREGATE(14,6,$R$2:$R$501/(($A$2:$A$501="每日跟踪")*($B$2:$B$501=B389)*($H$2:$H$501&lt;=H389)),1),0))))</f>
        <v/>
      </c>
      <c r="T389" s="44">
        <f>IF(A389&lt;&gt;"每日跟踪","",IF(O389="","",IF(COUNTIFS($A$2:$A$501,"止损计划",$B$2:$B$501,B389,$E$2:$E$501,"&gt;"&amp;O389)=0,"",AGGREGATE(15,6,$E$2:$E$501/(($A$2:$A$501="止损计划")*($B$2:$B$501=B389)*($E$2:$E$501&gt;O389)),1))))</f>
        <v/>
      </c>
      <c r="U389" s="44">
        <f>IF(OR(A389&lt;&gt;"每日跟踪",T389=""),"",IFERROR(AGGREGATE(14,6,$F$2:$F$501/(($A$2:$A$501="止损计划")*($B$2:$B$501=B389)*($E$2:$E$501=T389)),1),""))</f>
        <v/>
      </c>
      <c r="V389" s="30">
        <f>IF(OR(A389&lt;&gt;"每日跟踪",T389="",I389="",I389&lt;=0),"",T389/I389-1)</f>
        <v/>
      </c>
      <c r="W389" s="31">
        <f>IF(A389&lt;&gt;"每日跟踪","",IF(OR(I389="",S389=""),"",IF(I389&lt;=S389,"触发止损：应全部卖出","继续观察")))</f>
        <v/>
      </c>
      <c r="X389" s="28" t="n"/>
      <c r="Y389" s="43" t="n"/>
      <c r="Z389" s="26">
        <f>IF(X389&lt;&gt;"执行卖出","",IFERROR(LOOKUP(2,1/(单次交易!$A$2:$A$201=B389),单次交易!$AP$2:$AP$201),""))</f>
        <v/>
      </c>
      <c r="AA389" s="43" t="n"/>
      <c r="AB389" s="31">
        <f>IF(A389&lt;&gt;"每日跟踪","",IF(OR(B389="",H389="",I389="",J389="",K389="",L389="",M389=""),"待补充每日记录",IF(W389="触发止损：应全部卖出",IF(X389&lt;&gt;"执行卖出","违规：触发止损但未执行",IF(Y389="","待补充实际卖出价","卖出记录完整")),IF(X389="","待选择卖出动作",IF(X389="执行卖出",IF(Y389="","待补充实际卖出价","卖出记录完整"),"正常")))))</f>
        <v/>
      </c>
      <c r="AC389" s="31">
        <f>IF(A389="","",IF(A389="止损计划",IF(OR(B389="",D389="",E389="",F389="",G389=""),"计划不完整",IF(OR(D389&lt;1,D389&lt;&gt;INT(D389)),"阶段序号无效",IF(COUNTIFS($A$2:$A$501,"止损计划",$B$2:$B$501,B389,$D$2:$D$501,D389)&gt;1,"阶段序号重复",IF(E389&lt;=IFERROR(LOOKUP(2,1/('单次交易'!$A$2:$A$201=B389),'单次交易'!$E$2:$E$201),0),"激活价须高于买入价",IF(F389&lt;N389,"止损价不得低于初始止损",IF(F389&gt;E389,"止损价不得高于激活价",IF(AND(COUNTIFS($A$2:$A$501,"止损计划",$B$2:$B$501,B389,$D$2:$D$501,"&lt;"&amp;D389)&gt;0,OR(E389&lt;=AGGREGATE(14,6,$E$2:$E$501/(($A$2:$A$501="止损计划")*($B$2:$B$501=B389)*($D$2:$D$501&lt;D389)),1),F389&lt;AGGREGATE(14,6,$F$2:$F$501/(($A$2:$A$501="止损计划")*($B$2:$B$501=B389)*($D$2:$D$501&lt;D389)),1))),"阶段价格必须逐级提高","计划有效"))))))),IF(A389="每日跟踪",IF(OR(B389="",H389="",I389="",J389=""),"每日数据不完整",IF(COUNTIFS($A$2:$A$501,"每日跟踪",$B$2:$B$501,B389,$H$2:$H$501,H389)&gt;1,"同一交易日期重复",IF(AND(R389&lt;&gt;"",R389&lt;S389),"人工止损无效：不能下调","跟踪有效"))),"记录类型无效")))</f>
        <v/>
      </c>
    </row>
    <row r="390">
      <c r="A390" s="28" t="n"/>
      <c r="B390" s="28" t="n"/>
      <c r="C390" s="31">
        <f>IF(B390="","",IFERROR(LOOKUP(2,1/(单次交易!$A$2:$A$201=B390),单次交易!$B$2:$B$201),""))</f>
        <v/>
      </c>
      <c r="D390" s="27" t="n"/>
      <c r="E390" s="43" t="n"/>
      <c r="F390" s="43" t="n"/>
      <c r="G390" s="28" t="n"/>
      <c r="H390" s="49" t="n"/>
      <c r="I390" s="43" t="n"/>
      <c r="J390" s="27" t="n"/>
      <c r="K390" s="28" t="n"/>
      <c r="L390" s="28" t="n"/>
      <c r="M390" s="28" t="n"/>
      <c r="N390" s="44">
        <f>IF(B390="","",IFERROR(LOOKUP(2,1/(单次交易!$A$2:$A$201=B390),单次交易!$N$2:$N$201),""))</f>
        <v/>
      </c>
      <c r="O390" s="44">
        <f>IF(A390&lt;&gt;"每日跟踪","",IF(OR(B390="",H390="",I390=""),"",IFERROR(AGGREGATE(14,6,$I$2:$I$501/(($A$2:$A$501="每日跟踪")*($B$2:$B$501=B390)*($H$2:$H$501&lt;=H390)),1),"")))</f>
        <v/>
      </c>
      <c r="P390" s="26">
        <f>IF(A390&lt;&gt;"每日跟踪","",IF(O390="","",IFERROR(AGGREGATE(14,6,$D$2:$D$501/(($A$2:$A$501="止损计划")*($B$2:$B$501=B390)*($E$2:$E$501&lt;=O390)),1),0)))</f>
        <v/>
      </c>
      <c r="Q390" s="44">
        <f>IF(A390&lt;&gt;"每日跟踪","",IF(N390="","",MAX(N390,IFERROR(AGGREGATE(14,6,$F$2:$F$501/(($A$2:$A$501="止损计划")*($B$2:$B$501=B390)*($E$2:$E$501&lt;=O390)),1),0))))</f>
        <v/>
      </c>
      <c r="R390" s="43" t="n"/>
      <c r="S390" s="44">
        <f>IF(A390&lt;&gt;"每日跟踪","",IF(Q390="","",MAX(Q390,IFERROR(AGGREGATE(14,6,$R$2:$R$501/(($A$2:$A$501="每日跟踪")*($B$2:$B$501=B390)*($H$2:$H$501&lt;=H390)),1),0))))</f>
        <v/>
      </c>
      <c r="T390" s="44">
        <f>IF(A390&lt;&gt;"每日跟踪","",IF(O390="","",IF(COUNTIFS($A$2:$A$501,"止损计划",$B$2:$B$501,B390,$E$2:$E$501,"&gt;"&amp;O390)=0,"",AGGREGATE(15,6,$E$2:$E$501/(($A$2:$A$501="止损计划")*($B$2:$B$501=B390)*($E$2:$E$501&gt;O390)),1))))</f>
        <v/>
      </c>
      <c r="U390" s="44">
        <f>IF(OR(A390&lt;&gt;"每日跟踪",T390=""),"",IFERROR(AGGREGATE(14,6,$F$2:$F$501/(($A$2:$A$501="止损计划")*($B$2:$B$501=B390)*($E$2:$E$501=T390)),1),""))</f>
        <v/>
      </c>
      <c r="V390" s="30">
        <f>IF(OR(A390&lt;&gt;"每日跟踪",T390="",I390="",I390&lt;=0),"",T390/I390-1)</f>
        <v/>
      </c>
      <c r="W390" s="31">
        <f>IF(A390&lt;&gt;"每日跟踪","",IF(OR(I390="",S390=""),"",IF(I390&lt;=S390,"触发止损：应全部卖出","继续观察")))</f>
        <v/>
      </c>
      <c r="X390" s="28" t="n"/>
      <c r="Y390" s="43" t="n"/>
      <c r="Z390" s="26">
        <f>IF(X390&lt;&gt;"执行卖出","",IFERROR(LOOKUP(2,1/(单次交易!$A$2:$A$201=B390),单次交易!$AP$2:$AP$201),""))</f>
        <v/>
      </c>
      <c r="AA390" s="43" t="n"/>
      <c r="AB390" s="31">
        <f>IF(A390&lt;&gt;"每日跟踪","",IF(OR(B390="",H390="",I390="",J390="",K390="",L390="",M390=""),"待补充每日记录",IF(W390="触发止损：应全部卖出",IF(X390&lt;&gt;"执行卖出","违规：触发止损但未执行",IF(Y390="","待补充实际卖出价","卖出记录完整")),IF(X390="","待选择卖出动作",IF(X390="执行卖出",IF(Y390="","待补充实际卖出价","卖出记录完整"),"正常")))))</f>
        <v/>
      </c>
      <c r="AC390" s="31">
        <f>IF(A390="","",IF(A390="止损计划",IF(OR(B390="",D390="",E390="",F390="",G390=""),"计划不完整",IF(OR(D390&lt;1,D390&lt;&gt;INT(D390)),"阶段序号无效",IF(COUNTIFS($A$2:$A$501,"止损计划",$B$2:$B$501,B390,$D$2:$D$501,D390)&gt;1,"阶段序号重复",IF(E390&lt;=IFERROR(LOOKUP(2,1/('单次交易'!$A$2:$A$201=B390),'单次交易'!$E$2:$E$201),0),"激活价须高于买入价",IF(F390&lt;N390,"止损价不得低于初始止损",IF(F390&gt;E390,"止损价不得高于激活价",IF(AND(COUNTIFS($A$2:$A$501,"止损计划",$B$2:$B$501,B390,$D$2:$D$501,"&lt;"&amp;D390)&gt;0,OR(E390&lt;=AGGREGATE(14,6,$E$2:$E$501/(($A$2:$A$501="止损计划")*($B$2:$B$501=B390)*($D$2:$D$501&lt;D390)),1),F390&lt;AGGREGATE(14,6,$F$2:$F$501/(($A$2:$A$501="止损计划")*($B$2:$B$501=B390)*($D$2:$D$501&lt;D390)),1))),"阶段价格必须逐级提高","计划有效"))))))),IF(A390="每日跟踪",IF(OR(B390="",H390="",I390="",J390=""),"每日数据不完整",IF(COUNTIFS($A$2:$A$501,"每日跟踪",$B$2:$B$501,B390,$H$2:$H$501,H390)&gt;1,"同一交易日期重复",IF(AND(R390&lt;&gt;"",R390&lt;S390),"人工止损无效：不能下调","跟踪有效"))),"记录类型无效")))</f>
        <v/>
      </c>
    </row>
    <row r="391">
      <c r="A391" s="28" t="n"/>
      <c r="B391" s="28" t="n"/>
      <c r="C391" s="31">
        <f>IF(B391="","",IFERROR(LOOKUP(2,1/(单次交易!$A$2:$A$201=B391),单次交易!$B$2:$B$201),""))</f>
        <v/>
      </c>
      <c r="D391" s="27" t="n"/>
      <c r="E391" s="43" t="n"/>
      <c r="F391" s="43" t="n"/>
      <c r="G391" s="28" t="n"/>
      <c r="H391" s="49" t="n"/>
      <c r="I391" s="43" t="n"/>
      <c r="J391" s="27" t="n"/>
      <c r="K391" s="28" t="n"/>
      <c r="L391" s="28" t="n"/>
      <c r="M391" s="28" t="n"/>
      <c r="N391" s="44">
        <f>IF(B391="","",IFERROR(LOOKUP(2,1/(单次交易!$A$2:$A$201=B391),单次交易!$N$2:$N$201),""))</f>
        <v/>
      </c>
      <c r="O391" s="44">
        <f>IF(A391&lt;&gt;"每日跟踪","",IF(OR(B391="",H391="",I391=""),"",IFERROR(AGGREGATE(14,6,$I$2:$I$501/(($A$2:$A$501="每日跟踪")*($B$2:$B$501=B391)*($H$2:$H$501&lt;=H391)),1),"")))</f>
        <v/>
      </c>
      <c r="P391" s="26">
        <f>IF(A391&lt;&gt;"每日跟踪","",IF(O391="","",IFERROR(AGGREGATE(14,6,$D$2:$D$501/(($A$2:$A$501="止损计划")*($B$2:$B$501=B391)*($E$2:$E$501&lt;=O391)),1),0)))</f>
        <v/>
      </c>
      <c r="Q391" s="44">
        <f>IF(A391&lt;&gt;"每日跟踪","",IF(N391="","",MAX(N391,IFERROR(AGGREGATE(14,6,$F$2:$F$501/(($A$2:$A$501="止损计划")*($B$2:$B$501=B391)*($E$2:$E$501&lt;=O391)),1),0))))</f>
        <v/>
      </c>
      <c r="R391" s="43" t="n"/>
      <c r="S391" s="44">
        <f>IF(A391&lt;&gt;"每日跟踪","",IF(Q391="","",MAX(Q391,IFERROR(AGGREGATE(14,6,$R$2:$R$501/(($A$2:$A$501="每日跟踪")*($B$2:$B$501=B391)*($H$2:$H$501&lt;=H391)),1),0))))</f>
        <v/>
      </c>
      <c r="T391" s="44">
        <f>IF(A391&lt;&gt;"每日跟踪","",IF(O391="","",IF(COUNTIFS($A$2:$A$501,"止损计划",$B$2:$B$501,B391,$E$2:$E$501,"&gt;"&amp;O391)=0,"",AGGREGATE(15,6,$E$2:$E$501/(($A$2:$A$501="止损计划")*($B$2:$B$501=B391)*($E$2:$E$501&gt;O391)),1))))</f>
        <v/>
      </c>
      <c r="U391" s="44">
        <f>IF(OR(A391&lt;&gt;"每日跟踪",T391=""),"",IFERROR(AGGREGATE(14,6,$F$2:$F$501/(($A$2:$A$501="止损计划")*($B$2:$B$501=B391)*($E$2:$E$501=T391)),1),""))</f>
        <v/>
      </c>
      <c r="V391" s="30">
        <f>IF(OR(A391&lt;&gt;"每日跟踪",T391="",I391="",I391&lt;=0),"",T391/I391-1)</f>
        <v/>
      </c>
      <c r="W391" s="31">
        <f>IF(A391&lt;&gt;"每日跟踪","",IF(OR(I391="",S391=""),"",IF(I391&lt;=S391,"触发止损：应全部卖出","继续观察")))</f>
        <v/>
      </c>
      <c r="X391" s="28" t="n"/>
      <c r="Y391" s="43" t="n"/>
      <c r="Z391" s="26">
        <f>IF(X391&lt;&gt;"执行卖出","",IFERROR(LOOKUP(2,1/(单次交易!$A$2:$A$201=B391),单次交易!$AP$2:$AP$201),""))</f>
        <v/>
      </c>
      <c r="AA391" s="43" t="n"/>
      <c r="AB391" s="31">
        <f>IF(A391&lt;&gt;"每日跟踪","",IF(OR(B391="",H391="",I391="",J391="",K391="",L391="",M391=""),"待补充每日记录",IF(W391="触发止损：应全部卖出",IF(X391&lt;&gt;"执行卖出","违规：触发止损但未执行",IF(Y391="","待补充实际卖出价","卖出记录完整")),IF(X391="","待选择卖出动作",IF(X391="执行卖出",IF(Y391="","待补充实际卖出价","卖出记录完整"),"正常")))))</f>
        <v/>
      </c>
      <c r="AC391" s="31">
        <f>IF(A391="","",IF(A391="止损计划",IF(OR(B391="",D391="",E391="",F391="",G391=""),"计划不完整",IF(OR(D391&lt;1,D391&lt;&gt;INT(D391)),"阶段序号无效",IF(COUNTIFS($A$2:$A$501,"止损计划",$B$2:$B$501,B391,$D$2:$D$501,D391)&gt;1,"阶段序号重复",IF(E391&lt;=IFERROR(LOOKUP(2,1/('单次交易'!$A$2:$A$201=B391),'单次交易'!$E$2:$E$201),0),"激活价须高于买入价",IF(F391&lt;N391,"止损价不得低于初始止损",IF(F391&gt;E391,"止损价不得高于激活价",IF(AND(COUNTIFS($A$2:$A$501,"止损计划",$B$2:$B$501,B391,$D$2:$D$501,"&lt;"&amp;D391)&gt;0,OR(E391&lt;=AGGREGATE(14,6,$E$2:$E$501/(($A$2:$A$501="止损计划")*($B$2:$B$501=B391)*($D$2:$D$501&lt;D391)),1),F391&lt;AGGREGATE(14,6,$F$2:$F$501/(($A$2:$A$501="止损计划")*($B$2:$B$501=B391)*($D$2:$D$501&lt;D391)),1))),"阶段价格必须逐级提高","计划有效"))))))),IF(A391="每日跟踪",IF(OR(B391="",H391="",I391="",J391=""),"每日数据不完整",IF(COUNTIFS($A$2:$A$501,"每日跟踪",$B$2:$B$501,B391,$H$2:$H$501,H391)&gt;1,"同一交易日期重复",IF(AND(R391&lt;&gt;"",R391&lt;S391),"人工止损无效：不能下调","跟踪有效"))),"记录类型无效")))</f>
        <v/>
      </c>
    </row>
    <row r="392">
      <c r="A392" s="28" t="n"/>
      <c r="B392" s="28" t="n"/>
      <c r="C392" s="31">
        <f>IF(B392="","",IFERROR(LOOKUP(2,1/(单次交易!$A$2:$A$201=B392),单次交易!$B$2:$B$201),""))</f>
        <v/>
      </c>
      <c r="D392" s="27" t="n"/>
      <c r="E392" s="43" t="n"/>
      <c r="F392" s="43" t="n"/>
      <c r="G392" s="28" t="n"/>
      <c r="H392" s="49" t="n"/>
      <c r="I392" s="43" t="n"/>
      <c r="J392" s="27" t="n"/>
      <c r="K392" s="28" t="n"/>
      <c r="L392" s="28" t="n"/>
      <c r="M392" s="28" t="n"/>
      <c r="N392" s="44">
        <f>IF(B392="","",IFERROR(LOOKUP(2,1/(单次交易!$A$2:$A$201=B392),单次交易!$N$2:$N$201),""))</f>
        <v/>
      </c>
      <c r="O392" s="44">
        <f>IF(A392&lt;&gt;"每日跟踪","",IF(OR(B392="",H392="",I392=""),"",IFERROR(AGGREGATE(14,6,$I$2:$I$501/(($A$2:$A$501="每日跟踪")*($B$2:$B$501=B392)*($H$2:$H$501&lt;=H392)),1),"")))</f>
        <v/>
      </c>
      <c r="P392" s="26">
        <f>IF(A392&lt;&gt;"每日跟踪","",IF(O392="","",IFERROR(AGGREGATE(14,6,$D$2:$D$501/(($A$2:$A$501="止损计划")*($B$2:$B$501=B392)*($E$2:$E$501&lt;=O392)),1),0)))</f>
        <v/>
      </c>
      <c r="Q392" s="44">
        <f>IF(A392&lt;&gt;"每日跟踪","",IF(N392="","",MAX(N392,IFERROR(AGGREGATE(14,6,$F$2:$F$501/(($A$2:$A$501="止损计划")*($B$2:$B$501=B392)*($E$2:$E$501&lt;=O392)),1),0))))</f>
        <v/>
      </c>
      <c r="R392" s="43" t="n"/>
      <c r="S392" s="44">
        <f>IF(A392&lt;&gt;"每日跟踪","",IF(Q392="","",MAX(Q392,IFERROR(AGGREGATE(14,6,$R$2:$R$501/(($A$2:$A$501="每日跟踪")*($B$2:$B$501=B392)*($H$2:$H$501&lt;=H392)),1),0))))</f>
        <v/>
      </c>
      <c r="T392" s="44">
        <f>IF(A392&lt;&gt;"每日跟踪","",IF(O392="","",IF(COUNTIFS($A$2:$A$501,"止损计划",$B$2:$B$501,B392,$E$2:$E$501,"&gt;"&amp;O392)=0,"",AGGREGATE(15,6,$E$2:$E$501/(($A$2:$A$501="止损计划")*($B$2:$B$501=B392)*($E$2:$E$501&gt;O392)),1))))</f>
        <v/>
      </c>
      <c r="U392" s="44">
        <f>IF(OR(A392&lt;&gt;"每日跟踪",T392=""),"",IFERROR(AGGREGATE(14,6,$F$2:$F$501/(($A$2:$A$501="止损计划")*($B$2:$B$501=B392)*($E$2:$E$501=T392)),1),""))</f>
        <v/>
      </c>
      <c r="V392" s="30">
        <f>IF(OR(A392&lt;&gt;"每日跟踪",T392="",I392="",I392&lt;=0),"",T392/I392-1)</f>
        <v/>
      </c>
      <c r="W392" s="31">
        <f>IF(A392&lt;&gt;"每日跟踪","",IF(OR(I392="",S392=""),"",IF(I392&lt;=S392,"触发止损：应全部卖出","继续观察")))</f>
        <v/>
      </c>
      <c r="X392" s="28" t="n"/>
      <c r="Y392" s="43" t="n"/>
      <c r="Z392" s="26">
        <f>IF(X392&lt;&gt;"执行卖出","",IFERROR(LOOKUP(2,1/(单次交易!$A$2:$A$201=B392),单次交易!$AP$2:$AP$201),""))</f>
        <v/>
      </c>
      <c r="AA392" s="43" t="n"/>
      <c r="AB392" s="31">
        <f>IF(A392&lt;&gt;"每日跟踪","",IF(OR(B392="",H392="",I392="",J392="",K392="",L392="",M392=""),"待补充每日记录",IF(W392="触发止损：应全部卖出",IF(X392&lt;&gt;"执行卖出","违规：触发止损但未执行",IF(Y392="","待补充实际卖出价","卖出记录完整")),IF(X392="","待选择卖出动作",IF(X392="执行卖出",IF(Y392="","待补充实际卖出价","卖出记录完整"),"正常")))))</f>
        <v/>
      </c>
      <c r="AC392" s="31">
        <f>IF(A392="","",IF(A392="止损计划",IF(OR(B392="",D392="",E392="",F392="",G392=""),"计划不完整",IF(OR(D392&lt;1,D392&lt;&gt;INT(D392)),"阶段序号无效",IF(COUNTIFS($A$2:$A$501,"止损计划",$B$2:$B$501,B392,$D$2:$D$501,D392)&gt;1,"阶段序号重复",IF(E392&lt;=IFERROR(LOOKUP(2,1/('单次交易'!$A$2:$A$201=B392),'单次交易'!$E$2:$E$201),0),"激活价须高于买入价",IF(F392&lt;N392,"止损价不得低于初始止损",IF(F392&gt;E392,"止损价不得高于激活价",IF(AND(COUNTIFS($A$2:$A$501,"止损计划",$B$2:$B$501,B392,$D$2:$D$501,"&lt;"&amp;D392)&gt;0,OR(E392&lt;=AGGREGATE(14,6,$E$2:$E$501/(($A$2:$A$501="止损计划")*($B$2:$B$501=B392)*($D$2:$D$501&lt;D392)),1),F392&lt;AGGREGATE(14,6,$F$2:$F$501/(($A$2:$A$501="止损计划")*($B$2:$B$501=B392)*($D$2:$D$501&lt;D392)),1))),"阶段价格必须逐级提高","计划有效"))))))),IF(A392="每日跟踪",IF(OR(B392="",H392="",I392="",J392=""),"每日数据不完整",IF(COUNTIFS($A$2:$A$501,"每日跟踪",$B$2:$B$501,B392,$H$2:$H$501,H392)&gt;1,"同一交易日期重复",IF(AND(R392&lt;&gt;"",R392&lt;S392),"人工止损无效：不能下调","跟踪有效"))),"记录类型无效")))</f>
        <v/>
      </c>
    </row>
    <row r="393">
      <c r="A393" s="28" t="n"/>
      <c r="B393" s="28" t="n"/>
      <c r="C393" s="31">
        <f>IF(B393="","",IFERROR(LOOKUP(2,1/(单次交易!$A$2:$A$201=B393),单次交易!$B$2:$B$201),""))</f>
        <v/>
      </c>
      <c r="D393" s="27" t="n"/>
      <c r="E393" s="43" t="n"/>
      <c r="F393" s="43" t="n"/>
      <c r="G393" s="28" t="n"/>
      <c r="H393" s="49" t="n"/>
      <c r="I393" s="43" t="n"/>
      <c r="J393" s="27" t="n"/>
      <c r="K393" s="28" t="n"/>
      <c r="L393" s="28" t="n"/>
      <c r="M393" s="28" t="n"/>
      <c r="N393" s="44">
        <f>IF(B393="","",IFERROR(LOOKUP(2,1/(单次交易!$A$2:$A$201=B393),单次交易!$N$2:$N$201),""))</f>
        <v/>
      </c>
      <c r="O393" s="44">
        <f>IF(A393&lt;&gt;"每日跟踪","",IF(OR(B393="",H393="",I393=""),"",IFERROR(AGGREGATE(14,6,$I$2:$I$501/(($A$2:$A$501="每日跟踪")*($B$2:$B$501=B393)*($H$2:$H$501&lt;=H393)),1),"")))</f>
        <v/>
      </c>
      <c r="P393" s="26">
        <f>IF(A393&lt;&gt;"每日跟踪","",IF(O393="","",IFERROR(AGGREGATE(14,6,$D$2:$D$501/(($A$2:$A$501="止损计划")*($B$2:$B$501=B393)*($E$2:$E$501&lt;=O393)),1),0)))</f>
        <v/>
      </c>
      <c r="Q393" s="44">
        <f>IF(A393&lt;&gt;"每日跟踪","",IF(N393="","",MAX(N393,IFERROR(AGGREGATE(14,6,$F$2:$F$501/(($A$2:$A$501="止损计划")*($B$2:$B$501=B393)*($E$2:$E$501&lt;=O393)),1),0))))</f>
        <v/>
      </c>
      <c r="R393" s="43" t="n"/>
      <c r="S393" s="44">
        <f>IF(A393&lt;&gt;"每日跟踪","",IF(Q393="","",MAX(Q393,IFERROR(AGGREGATE(14,6,$R$2:$R$501/(($A$2:$A$501="每日跟踪")*($B$2:$B$501=B393)*($H$2:$H$501&lt;=H393)),1),0))))</f>
        <v/>
      </c>
      <c r="T393" s="44">
        <f>IF(A393&lt;&gt;"每日跟踪","",IF(O393="","",IF(COUNTIFS($A$2:$A$501,"止损计划",$B$2:$B$501,B393,$E$2:$E$501,"&gt;"&amp;O393)=0,"",AGGREGATE(15,6,$E$2:$E$501/(($A$2:$A$501="止损计划")*($B$2:$B$501=B393)*($E$2:$E$501&gt;O393)),1))))</f>
        <v/>
      </c>
      <c r="U393" s="44">
        <f>IF(OR(A393&lt;&gt;"每日跟踪",T393=""),"",IFERROR(AGGREGATE(14,6,$F$2:$F$501/(($A$2:$A$501="止损计划")*($B$2:$B$501=B393)*($E$2:$E$501=T393)),1),""))</f>
        <v/>
      </c>
      <c r="V393" s="30">
        <f>IF(OR(A393&lt;&gt;"每日跟踪",T393="",I393="",I393&lt;=0),"",T393/I393-1)</f>
        <v/>
      </c>
      <c r="W393" s="31">
        <f>IF(A393&lt;&gt;"每日跟踪","",IF(OR(I393="",S393=""),"",IF(I393&lt;=S393,"触发止损：应全部卖出","继续观察")))</f>
        <v/>
      </c>
      <c r="X393" s="28" t="n"/>
      <c r="Y393" s="43" t="n"/>
      <c r="Z393" s="26">
        <f>IF(X393&lt;&gt;"执行卖出","",IFERROR(LOOKUP(2,1/(单次交易!$A$2:$A$201=B393),单次交易!$AP$2:$AP$201),""))</f>
        <v/>
      </c>
      <c r="AA393" s="43" t="n"/>
      <c r="AB393" s="31">
        <f>IF(A393&lt;&gt;"每日跟踪","",IF(OR(B393="",H393="",I393="",J393="",K393="",L393="",M393=""),"待补充每日记录",IF(W393="触发止损：应全部卖出",IF(X393&lt;&gt;"执行卖出","违规：触发止损但未执行",IF(Y393="","待补充实际卖出价","卖出记录完整")),IF(X393="","待选择卖出动作",IF(X393="执行卖出",IF(Y393="","待补充实际卖出价","卖出记录完整"),"正常")))))</f>
        <v/>
      </c>
      <c r="AC393" s="31">
        <f>IF(A393="","",IF(A393="止损计划",IF(OR(B393="",D393="",E393="",F393="",G393=""),"计划不完整",IF(OR(D393&lt;1,D393&lt;&gt;INT(D393)),"阶段序号无效",IF(COUNTIFS($A$2:$A$501,"止损计划",$B$2:$B$501,B393,$D$2:$D$501,D393)&gt;1,"阶段序号重复",IF(E393&lt;=IFERROR(LOOKUP(2,1/('单次交易'!$A$2:$A$201=B393),'单次交易'!$E$2:$E$201),0),"激活价须高于买入价",IF(F393&lt;N393,"止损价不得低于初始止损",IF(F393&gt;E393,"止损价不得高于激活价",IF(AND(COUNTIFS($A$2:$A$501,"止损计划",$B$2:$B$501,B393,$D$2:$D$501,"&lt;"&amp;D393)&gt;0,OR(E393&lt;=AGGREGATE(14,6,$E$2:$E$501/(($A$2:$A$501="止损计划")*($B$2:$B$501=B393)*($D$2:$D$501&lt;D393)),1),F393&lt;AGGREGATE(14,6,$F$2:$F$501/(($A$2:$A$501="止损计划")*($B$2:$B$501=B393)*($D$2:$D$501&lt;D393)),1))),"阶段价格必须逐级提高","计划有效"))))))),IF(A393="每日跟踪",IF(OR(B393="",H393="",I393="",J393=""),"每日数据不完整",IF(COUNTIFS($A$2:$A$501,"每日跟踪",$B$2:$B$501,B393,$H$2:$H$501,H393)&gt;1,"同一交易日期重复",IF(AND(R393&lt;&gt;"",R393&lt;S393),"人工止损无效：不能下调","跟踪有效"))),"记录类型无效")))</f>
        <v/>
      </c>
    </row>
    <row r="394">
      <c r="A394" s="28" t="n"/>
      <c r="B394" s="28" t="n"/>
      <c r="C394" s="31">
        <f>IF(B394="","",IFERROR(LOOKUP(2,1/(单次交易!$A$2:$A$201=B394),单次交易!$B$2:$B$201),""))</f>
        <v/>
      </c>
      <c r="D394" s="27" t="n"/>
      <c r="E394" s="43" t="n"/>
      <c r="F394" s="43" t="n"/>
      <c r="G394" s="28" t="n"/>
      <c r="H394" s="49" t="n"/>
      <c r="I394" s="43" t="n"/>
      <c r="J394" s="27" t="n"/>
      <c r="K394" s="28" t="n"/>
      <c r="L394" s="28" t="n"/>
      <c r="M394" s="28" t="n"/>
      <c r="N394" s="44">
        <f>IF(B394="","",IFERROR(LOOKUP(2,1/(单次交易!$A$2:$A$201=B394),单次交易!$N$2:$N$201),""))</f>
        <v/>
      </c>
      <c r="O394" s="44">
        <f>IF(A394&lt;&gt;"每日跟踪","",IF(OR(B394="",H394="",I394=""),"",IFERROR(AGGREGATE(14,6,$I$2:$I$501/(($A$2:$A$501="每日跟踪")*($B$2:$B$501=B394)*($H$2:$H$501&lt;=H394)),1),"")))</f>
        <v/>
      </c>
      <c r="P394" s="26">
        <f>IF(A394&lt;&gt;"每日跟踪","",IF(O394="","",IFERROR(AGGREGATE(14,6,$D$2:$D$501/(($A$2:$A$501="止损计划")*($B$2:$B$501=B394)*($E$2:$E$501&lt;=O394)),1),0)))</f>
        <v/>
      </c>
      <c r="Q394" s="44">
        <f>IF(A394&lt;&gt;"每日跟踪","",IF(N394="","",MAX(N394,IFERROR(AGGREGATE(14,6,$F$2:$F$501/(($A$2:$A$501="止损计划")*($B$2:$B$501=B394)*($E$2:$E$501&lt;=O394)),1),0))))</f>
        <v/>
      </c>
      <c r="R394" s="43" t="n"/>
      <c r="S394" s="44">
        <f>IF(A394&lt;&gt;"每日跟踪","",IF(Q394="","",MAX(Q394,IFERROR(AGGREGATE(14,6,$R$2:$R$501/(($A$2:$A$501="每日跟踪")*($B$2:$B$501=B394)*($H$2:$H$501&lt;=H394)),1),0))))</f>
        <v/>
      </c>
      <c r="T394" s="44">
        <f>IF(A394&lt;&gt;"每日跟踪","",IF(O394="","",IF(COUNTIFS($A$2:$A$501,"止损计划",$B$2:$B$501,B394,$E$2:$E$501,"&gt;"&amp;O394)=0,"",AGGREGATE(15,6,$E$2:$E$501/(($A$2:$A$501="止损计划")*($B$2:$B$501=B394)*($E$2:$E$501&gt;O394)),1))))</f>
        <v/>
      </c>
      <c r="U394" s="44">
        <f>IF(OR(A394&lt;&gt;"每日跟踪",T394=""),"",IFERROR(AGGREGATE(14,6,$F$2:$F$501/(($A$2:$A$501="止损计划")*($B$2:$B$501=B394)*($E$2:$E$501=T394)),1),""))</f>
        <v/>
      </c>
      <c r="V394" s="30">
        <f>IF(OR(A394&lt;&gt;"每日跟踪",T394="",I394="",I394&lt;=0),"",T394/I394-1)</f>
        <v/>
      </c>
      <c r="W394" s="31">
        <f>IF(A394&lt;&gt;"每日跟踪","",IF(OR(I394="",S394=""),"",IF(I394&lt;=S394,"触发止损：应全部卖出","继续观察")))</f>
        <v/>
      </c>
      <c r="X394" s="28" t="n"/>
      <c r="Y394" s="43" t="n"/>
      <c r="Z394" s="26">
        <f>IF(X394&lt;&gt;"执行卖出","",IFERROR(LOOKUP(2,1/(单次交易!$A$2:$A$201=B394),单次交易!$AP$2:$AP$201),""))</f>
        <v/>
      </c>
      <c r="AA394" s="43" t="n"/>
      <c r="AB394" s="31">
        <f>IF(A394&lt;&gt;"每日跟踪","",IF(OR(B394="",H394="",I394="",J394="",K394="",L394="",M394=""),"待补充每日记录",IF(W394="触发止损：应全部卖出",IF(X394&lt;&gt;"执行卖出","违规：触发止损但未执行",IF(Y394="","待补充实际卖出价","卖出记录完整")),IF(X394="","待选择卖出动作",IF(X394="执行卖出",IF(Y394="","待补充实际卖出价","卖出记录完整"),"正常")))))</f>
        <v/>
      </c>
      <c r="AC394" s="31">
        <f>IF(A394="","",IF(A394="止损计划",IF(OR(B394="",D394="",E394="",F394="",G394=""),"计划不完整",IF(OR(D394&lt;1,D394&lt;&gt;INT(D394)),"阶段序号无效",IF(COUNTIFS($A$2:$A$501,"止损计划",$B$2:$B$501,B394,$D$2:$D$501,D394)&gt;1,"阶段序号重复",IF(E394&lt;=IFERROR(LOOKUP(2,1/('单次交易'!$A$2:$A$201=B394),'单次交易'!$E$2:$E$201),0),"激活价须高于买入价",IF(F394&lt;N394,"止损价不得低于初始止损",IF(F394&gt;E394,"止损价不得高于激活价",IF(AND(COUNTIFS($A$2:$A$501,"止损计划",$B$2:$B$501,B394,$D$2:$D$501,"&lt;"&amp;D394)&gt;0,OR(E394&lt;=AGGREGATE(14,6,$E$2:$E$501/(($A$2:$A$501="止损计划")*($B$2:$B$501=B394)*($D$2:$D$501&lt;D394)),1),F394&lt;AGGREGATE(14,6,$F$2:$F$501/(($A$2:$A$501="止损计划")*($B$2:$B$501=B394)*($D$2:$D$501&lt;D394)),1))),"阶段价格必须逐级提高","计划有效"))))))),IF(A394="每日跟踪",IF(OR(B394="",H394="",I394="",J394=""),"每日数据不完整",IF(COUNTIFS($A$2:$A$501,"每日跟踪",$B$2:$B$501,B394,$H$2:$H$501,H394)&gt;1,"同一交易日期重复",IF(AND(R394&lt;&gt;"",R394&lt;S394),"人工止损无效：不能下调","跟踪有效"))),"记录类型无效")))</f>
        <v/>
      </c>
    </row>
    <row r="395">
      <c r="A395" s="28" t="n"/>
      <c r="B395" s="28" t="n"/>
      <c r="C395" s="31">
        <f>IF(B395="","",IFERROR(LOOKUP(2,1/(单次交易!$A$2:$A$201=B395),单次交易!$B$2:$B$201),""))</f>
        <v/>
      </c>
      <c r="D395" s="27" t="n"/>
      <c r="E395" s="43" t="n"/>
      <c r="F395" s="43" t="n"/>
      <c r="G395" s="28" t="n"/>
      <c r="H395" s="49" t="n"/>
      <c r="I395" s="43" t="n"/>
      <c r="J395" s="27" t="n"/>
      <c r="K395" s="28" t="n"/>
      <c r="L395" s="28" t="n"/>
      <c r="M395" s="28" t="n"/>
      <c r="N395" s="44">
        <f>IF(B395="","",IFERROR(LOOKUP(2,1/(单次交易!$A$2:$A$201=B395),单次交易!$N$2:$N$201),""))</f>
        <v/>
      </c>
      <c r="O395" s="44">
        <f>IF(A395&lt;&gt;"每日跟踪","",IF(OR(B395="",H395="",I395=""),"",IFERROR(AGGREGATE(14,6,$I$2:$I$501/(($A$2:$A$501="每日跟踪")*($B$2:$B$501=B395)*($H$2:$H$501&lt;=H395)),1),"")))</f>
        <v/>
      </c>
      <c r="P395" s="26">
        <f>IF(A395&lt;&gt;"每日跟踪","",IF(O395="","",IFERROR(AGGREGATE(14,6,$D$2:$D$501/(($A$2:$A$501="止损计划")*($B$2:$B$501=B395)*($E$2:$E$501&lt;=O395)),1),0)))</f>
        <v/>
      </c>
      <c r="Q395" s="44">
        <f>IF(A395&lt;&gt;"每日跟踪","",IF(N395="","",MAX(N395,IFERROR(AGGREGATE(14,6,$F$2:$F$501/(($A$2:$A$501="止损计划")*($B$2:$B$501=B395)*($E$2:$E$501&lt;=O395)),1),0))))</f>
        <v/>
      </c>
      <c r="R395" s="43" t="n"/>
      <c r="S395" s="44">
        <f>IF(A395&lt;&gt;"每日跟踪","",IF(Q395="","",MAX(Q395,IFERROR(AGGREGATE(14,6,$R$2:$R$501/(($A$2:$A$501="每日跟踪")*($B$2:$B$501=B395)*($H$2:$H$501&lt;=H395)),1),0))))</f>
        <v/>
      </c>
      <c r="T395" s="44">
        <f>IF(A395&lt;&gt;"每日跟踪","",IF(O395="","",IF(COUNTIFS($A$2:$A$501,"止损计划",$B$2:$B$501,B395,$E$2:$E$501,"&gt;"&amp;O395)=0,"",AGGREGATE(15,6,$E$2:$E$501/(($A$2:$A$501="止损计划")*($B$2:$B$501=B395)*($E$2:$E$501&gt;O395)),1))))</f>
        <v/>
      </c>
      <c r="U395" s="44">
        <f>IF(OR(A395&lt;&gt;"每日跟踪",T395=""),"",IFERROR(AGGREGATE(14,6,$F$2:$F$501/(($A$2:$A$501="止损计划")*($B$2:$B$501=B395)*($E$2:$E$501=T395)),1),""))</f>
        <v/>
      </c>
      <c r="V395" s="30">
        <f>IF(OR(A395&lt;&gt;"每日跟踪",T395="",I395="",I395&lt;=0),"",T395/I395-1)</f>
        <v/>
      </c>
      <c r="W395" s="31">
        <f>IF(A395&lt;&gt;"每日跟踪","",IF(OR(I395="",S395=""),"",IF(I395&lt;=S395,"触发止损：应全部卖出","继续观察")))</f>
        <v/>
      </c>
      <c r="X395" s="28" t="n"/>
      <c r="Y395" s="43" t="n"/>
      <c r="Z395" s="26">
        <f>IF(X395&lt;&gt;"执行卖出","",IFERROR(LOOKUP(2,1/(单次交易!$A$2:$A$201=B395),单次交易!$AP$2:$AP$201),""))</f>
        <v/>
      </c>
      <c r="AA395" s="43" t="n"/>
      <c r="AB395" s="31">
        <f>IF(A395&lt;&gt;"每日跟踪","",IF(OR(B395="",H395="",I395="",J395="",K395="",L395="",M395=""),"待补充每日记录",IF(W395="触发止损：应全部卖出",IF(X395&lt;&gt;"执行卖出","违规：触发止损但未执行",IF(Y395="","待补充实际卖出价","卖出记录完整")),IF(X395="","待选择卖出动作",IF(X395="执行卖出",IF(Y395="","待补充实际卖出价","卖出记录完整"),"正常")))))</f>
        <v/>
      </c>
      <c r="AC395" s="31">
        <f>IF(A395="","",IF(A395="止损计划",IF(OR(B395="",D395="",E395="",F395="",G395=""),"计划不完整",IF(OR(D395&lt;1,D395&lt;&gt;INT(D395)),"阶段序号无效",IF(COUNTIFS($A$2:$A$501,"止损计划",$B$2:$B$501,B395,$D$2:$D$501,D395)&gt;1,"阶段序号重复",IF(E395&lt;=IFERROR(LOOKUP(2,1/('单次交易'!$A$2:$A$201=B395),'单次交易'!$E$2:$E$201),0),"激活价须高于买入价",IF(F395&lt;N395,"止损价不得低于初始止损",IF(F395&gt;E395,"止损价不得高于激活价",IF(AND(COUNTIFS($A$2:$A$501,"止损计划",$B$2:$B$501,B395,$D$2:$D$501,"&lt;"&amp;D395)&gt;0,OR(E395&lt;=AGGREGATE(14,6,$E$2:$E$501/(($A$2:$A$501="止损计划")*($B$2:$B$501=B395)*($D$2:$D$501&lt;D395)),1),F395&lt;AGGREGATE(14,6,$F$2:$F$501/(($A$2:$A$501="止损计划")*($B$2:$B$501=B395)*($D$2:$D$501&lt;D395)),1))),"阶段价格必须逐级提高","计划有效"))))))),IF(A395="每日跟踪",IF(OR(B395="",H395="",I395="",J395=""),"每日数据不完整",IF(COUNTIFS($A$2:$A$501,"每日跟踪",$B$2:$B$501,B395,$H$2:$H$501,H395)&gt;1,"同一交易日期重复",IF(AND(R395&lt;&gt;"",R395&lt;S395),"人工止损无效：不能下调","跟踪有效"))),"记录类型无效")))</f>
        <v/>
      </c>
    </row>
    <row r="396">
      <c r="A396" s="28" t="n"/>
      <c r="B396" s="28" t="n"/>
      <c r="C396" s="31">
        <f>IF(B396="","",IFERROR(LOOKUP(2,1/(单次交易!$A$2:$A$201=B396),单次交易!$B$2:$B$201),""))</f>
        <v/>
      </c>
      <c r="D396" s="27" t="n"/>
      <c r="E396" s="43" t="n"/>
      <c r="F396" s="43" t="n"/>
      <c r="G396" s="28" t="n"/>
      <c r="H396" s="49" t="n"/>
      <c r="I396" s="43" t="n"/>
      <c r="J396" s="27" t="n"/>
      <c r="K396" s="28" t="n"/>
      <c r="L396" s="28" t="n"/>
      <c r="M396" s="28" t="n"/>
      <c r="N396" s="44">
        <f>IF(B396="","",IFERROR(LOOKUP(2,1/(单次交易!$A$2:$A$201=B396),单次交易!$N$2:$N$201),""))</f>
        <v/>
      </c>
      <c r="O396" s="44">
        <f>IF(A396&lt;&gt;"每日跟踪","",IF(OR(B396="",H396="",I396=""),"",IFERROR(AGGREGATE(14,6,$I$2:$I$501/(($A$2:$A$501="每日跟踪")*($B$2:$B$501=B396)*($H$2:$H$501&lt;=H396)),1),"")))</f>
        <v/>
      </c>
      <c r="P396" s="26">
        <f>IF(A396&lt;&gt;"每日跟踪","",IF(O396="","",IFERROR(AGGREGATE(14,6,$D$2:$D$501/(($A$2:$A$501="止损计划")*($B$2:$B$501=B396)*($E$2:$E$501&lt;=O396)),1),0)))</f>
        <v/>
      </c>
      <c r="Q396" s="44">
        <f>IF(A396&lt;&gt;"每日跟踪","",IF(N396="","",MAX(N396,IFERROR(AGGREGATE(14,6,$F$2:$F$501/(($A$2:$A$501="止损计划")*($B$2:$B$501=B396)*($E$2:$E$501&lt;=O396)),1),0))))</f>
        <v/>
      </c>
      <c r="R396" s="43" t="n"/>
      <c r="S396" s="44">
        <f>IF(A396&lt;&gt;"每日跟踪","",IF(Q396="","",MAX(Q396,IFERROR(AGGREGATE(14,6,$R$2:$R$501/(($A$2:$A$501="每日跟踪")*($B$2:$B$501=B396)*($H$2:$H$501&lt;=H396)),1),0))))</f>
        <v/>
      </c>
      <c r="T396" s="44">
        <f>IF(A396&lt;&gt;"每日跟踪","",IF(O396="","",IF(COUNTIFS($A$2:$A$501,"止损计划",$B$2:$B$501,B396,$E$2:$E$501,"&gt;"&amp;O396)=0,"",AGGREGATE(15,6,$E$2:$E$501/(($A$2:$A$501="止损计划")*($B$2:$B$501=B396)*($E$2:$E$501&gt;O396)),1))))</f>
        <v/>
      </c>
      <c r="U396" s="44">
        <f>IF(OR(A396&lt;&gt;"每日跟踪",T396=""),"",IFERROR(AGGREGATE(14,6,$F$2:$F$501/(($A$2:$A$501="止损计划")*($B$2:$B$501=B396)*($E$2:$E$501=T396)),1),""))</f>
        <v/>
      </c>
      <c r="V396" s="30">
        <f>IF(OR(A396&lt;&gt;"每日跟踪",T396="",I396="",I396&lt;=0),"",T396/I396-1)</f>
        <v/>
      </c>
      <c r="W396" s="31">
        <f>IF(A396&lt;&gt;"每日跟踪","",IF(OR(I396="",S396=""),"",IF(I396&lt;=S396,"触发止损：应全部卖出","继续观察")))</f>
        <v/>
      </c>
      <c r="X396" s="28" t="n"/>
      <c r="Y396" s="43" t="n"/>
      <c r="Z396" s="26">
        <f>IF(X396&lt;&gt;"执行卖出","",IFERROR(LOOKUP(2,1/(单次交易!$A$2:$A$201=B396),单次交易!$AP$2:$AP$201),""))</f>
        <v/>
      </c>
      <c r="AA396" s="43" t="n"/>
      <c r="AB396" s="31">
        <f>IF(A396&lt;&gt;"每日跟踪","",IF(OR(B396="",H396="",I396="",J396="",K396="",L396="",M396=""),"待补充每日记录",IF(W396="触发止损：应全部卖出",IF(X396&lt;&gt;"执行卖出","违规：触发止损但未执行",IF(Y396="","待补充实际卖出价","卖出记录完整")),IF(X396="","待选择卖出动作",IF(X396="执行卖出",IF(Y396="","待补充实际卖出价","卖出记录完整"),"正常")))))</f>
        <v/>
      </c>
      <c r="AC396" s="31">
        <f>IF(A396="","",IF(A396="止损计划",IF(OR(B396="",D396="",E396="",F396="",G396=""),"计划不完整",IF(OR(D396&lt;1,D396&lt;&gt;INT(D396)),"阶段序号无效",IF(COUNTIFS($A$2:$A$501,"止损计划",$B$2:$B$501,B396,$D$2:$D$501,D396)&gt;1,"阶段序号重复",IF(E396&lt;=IFERROR(LOOKUP(2,1/('单次交易'!$A$2:$A$201=B396),'单次交易'!$E$2:$E$201),0),"激活价须高于买入价",IF(F396&lt;N396,"止损价不得低于初始止损",IF(F396&gt;E396,"止损价不得高于激活价",IF(AND(COUNTIFS($A$2:$A$501,"止损计划",$B$2:$B$501,B396,$D$2:$D$501,"&lt;"&amp;D396)&gt;0,OR(E396&lt;=AGGREGATE(14,6,$E$2:$E$501/(($A$2:$A$501="止损计划")*($B$2:$B$501=B396)*($D$2:$D$501&lt;D396)),1),F396&lt;AGGREGATE(14,6,$F$2:$F$501/(($A$2:$A$501="止损计划")*($B$2:$B$501=B396)*($D$2:$D$501&lt;D396)),1))),"阶段价格必须逐级提高","计划有效"))))))),IF(A396="每日跟踪",IF(OR(B396="",H396="",I396="",J396=""),"每日数据不完整",IF(COUNTIFS($A$2:$A$501,"每日跟踪",$B$2:$B$501,B396,$H$2:$H$501,H396)&gt;1,"同一交易日期重复",IF(AND(R396&lt;&gt;"",R396&lt;S396),"人工止损无效：不能下调","跟踪有效"))),"记录类型无效")))</f>
        <v/>
      </c>
    </row>
    <row r="397">
      <c r="A397" s="28" t="n"/>
      <c r="B397" s="28" t="n"/>
      <c r="C397" s="31">
        <f>IF(B397="","",IFERROR(LOOKUP(2,1/(单次交易!$A$2:$A$201=B397),单次交易!$B$2:$B$201),""))</f>
        <v/>
      </c>
      <c r="D397" s="27" t="n"/>
      <c r="E397" s="43" t="n"/>
      <c r="F397" s="43" t="n"/>
      <c r="G397" s="28" t="n"/>
      <c r="H397" s="49" t="n"/>
      <c r="I397" s="43" t="n"/>
      <c r="J397" s="27" t="n"/>
      <c r="K397" s="28" t="n"/>
      <c r="L397" s="28" t="n"/>
      <c r="M397" s="28" t="n"/>
      <c r="N397" s="44">
        <f>IF(B397="","",IFERROR(LOOKUP(2,1/(单次交易!$A$2:$A$201=B397),单次交易!$N$2:$N$201),""))</f>
        <v/>
      </c>
      <c r="O397" s="44">
        <f>IF(A397&lt;&gt;"每日跟踪","",IF(OR(B397="",H397="",I397=""),"",IFERROR(AGGREGATE(14,6,$I$2:$I$501/(($A$2:$A$501="每日跟踪")*($B$2:$B$501=B397)*($H$2:$H$501&lt;=H397)),1),"")))</f>
        <v/>
      </c>
      <c r="P397" s="26">
        <f>IF(A397&lt;&gt;"每日跟踪","",IF(O397="","",IFERROR(AGGREGATE(14,6,$D$2:$D$501/(($A$2:$A$501="止损计划")*($B$2:$B$501=B397)*($E$2:$E$501&lt;=O397)),1),0)))</f>
        <v/>
      </c>
      <c r="Q397" s="44">
        <f>IF(A397&lt;&gt;"每日跟踪","",IF(N397="","",MAX(N397,IFERROR(AGGREGATE(14,6,$F$2:$F$501/(($A$2:$A$501="止损计划")*($B$2:$B$501=B397)*($E$2:$E$501&lt;=O397)),1),0))))</f>
        <v/>
      </c>
      <c r="R397" s="43" t="n"/>
      <c r="S397" s="44">
        <f>IF(A397&lt;&gt;"每日跟踪","",IF(Q397="","",MAX(Q397,IFERROR(AGGREGATE(14,6,$R$2:$R$501/(($A$2:$A$501="每日跟踪")*($B$2:$B$501=B397)*($H$2:$H$501&lt;=H397)),1),0))))</f>
        <v/>
      </c>
      <c r="T397" s="44">
        <f>IF(A397&lt;&gt;"每日跟踪","",IF(O397="","",IF(COUNTIFS($A$2:$A$501,"止损计划",$B$2:$B$501,B397,$E$2:$E$501,"&gt;"&amp;O397)=0,"",AGGREGATE(15,6,$E$2:$E$501/(($A$2:$A$501="止损计划")*($B$2:$B$501=B397)*($E$2:$E$501&gt;O397)),1))))</f>
        <v/>
      </c>
      <c r="U397" s="44">
        <f>IF(OR(A397&lt;&gt;"每日跟踪",T397=""),"",IFERROR(AGGREGATE(14,6,$F$2:$F$501/(($A$2:$A$501="止损计划")*($B$2:$B$501=B397)*($E$2:$E$501=T397)),1),""))</f>
        <v/>
      </c>
      <c r="V397" s="30">
        <f>IF(OR(A397&lt;&gt;"每日跟踪",T397="",I397="",I397&lt;=0),"",T397/I397-1)</f>
        <v/>
      </c>
      <c r="W397" s="31">
        <f>IF(A397&lt;&gt;"每日跟踪","",IF(OR(I397="",S397=""),"",IF(I397&lt;=S397,"触发止损：应全部卖出","继续观察")))</f>
        <v/>
      </c>
      <c r="X397" s="28" t="n"/>
      <c r="Y397" s="43" t="n"/>
      <c r="Z397" s="26">
        <f>IF(X397&lt;&gt;"执行卖出","",IFERROR(LOOKUP(2,1/(单次交易!$A$2:$A$201=B397),单次交易!$AP$2:$AP$201),""))</f>
        <v/>
      </c>
      <c r="AA397" s="43" t="n"/>
      <c r="AB397" s="31">
        <f>IF(A397&lt;&gt;"每日跟踪","",IF(OR(B397="",H397="",I397="",J397="",K397="",L397="",M397=""),"待补充每日记录",IF(W397="触发止损：应全部卖出",IF(X397&lt;&gt;"执行卖出","违规：触发止损但未执行",IF(Y397="","待补充实际卖出价","卖出记录完整")),IF(X397="","待选择卖出动作",IF(X397="执行卖出",IF(Y397="","待补充实际卖出价","卖出记录完整"),"正常")))))</f>
        <v/>
      </c>
      <c r="AC397" s="31">
        <f>IF(A397="","",IF(A397="止损计划",IF(OR(B397="",D397="",E397="",F397="",G397=""),"计划不完整",IF(OR(D397&lt;1,D397&lt;&gt;INT(D397)),"阶段序号无效",IF(COUNTIFS($A$2:$A$501,"止损计划",$B$2:$B$501,B397,$D$2:$D$501,D397)&gt;1,"阶段序号重复",IF(E397&lt;=IFERROR(LOOKUP(2,1/('单次交易'!$A$2:$A$201=B397),'单次交易'!$E$2:$E$201),0),"激活价须高于买入价",IF(F397&lt;N397,"止损价不得低于初始止损",IF(F397&gt;E397,"止损价不得高于激活价",IF(AND(COUNTIFS($A$2:$A$501,"止损计划",$B$2:$B$501,B397,$D$2:$D$501,"&lt;"&amp;D397)&gt;0,OR(E397&lt;=AGGREGATE(14,6,$E$2:$E$501/(($A$2:$A$501="止损计划")*($B$2:$B$501=B397)*($D$2:$D$501&lt;D397)),1),F397&lt;AGGREGATE(14,6,$F$2:$F$501/(($A$2:$A$501="止损计划")*($B$2:$B$501=B397)*($D$2:$D$501&lt;D397)),1))),"阶段价格必须逐级提高","计划有效"))))))),IF(A397="每日跟踪",IF(OR(B397="",H397="",I397="",J397=""),"每日数据不完整",IF(COUNTIFS($A$2:$A$501,"每日跟踪",$B$2:$B$501,B397,$H$2:$H$501,H397)&gt;1,"同一交易日期重复",IF(AND(R397&lt;&gt;"",R397&lt;S397),"人工止损无效：不能下调","跟踪有效"))),"记录类型无效")))</f>
        <v/>
      </c>
    </row>
    <row r="398">
      <c r="A398" s="28" t="n"/>
      <c r="B398" s="28" t="n"/>
      <c r="C398" s="31">
        <f>IF(B398="","",IFERROR(LOOKUP(2,1/(单次交易!$A$2:$A$201=B398),单次交易!$B$2:$B$201),""))</f>
        <v/>
      </c>
      <c r="D398" s="27" t="n"/>
      <c r="E398" s="43" t="n"/>
      <c r="F398" s="43" t="n"/>
      <c r="G398" s="28" t="n"/>
      <c r="H398" s="49" t="n"/>
      <c r="I398" s="43" t="n"/>
      <c r="J398" s="27" t="n"/>
      <c r="K398" s="28" t="n"/>
      <c r="L398" s="28" t="n"/>
      <c r="M398" s="28" t="n"/>
      <c r="N398" s="44">
        <f>IF(B398="","",IFERROR(LOOKUP(2,1/(单次交易!$A$2:$A$201=B398),单次交易!$N$2:$N$201),""))</f>
        <v/>
      </c>
      <c r="O398" s="44">
        <f>IF(A398&lt;&gt;"每日跟踪","",IF(OR(B398="",H398="",I398=""),"",IFERROR(AGGREGATE(14,6,$I$2:$I$501/(($A$2:$A$501="每日跟踪")*($B$2:$B$501=B398)*($H$2:$H$501&lt;=H398)),1),"")))</f>
        <v/>
      </c>
      <c r="P398" s="26">
        <f>IF(A398&lt;&gt;"每日跟踪","",IF(O398="","",IFERROR(AGGREGATE(14,6,$D$2:$D$501/(($A$2:$A$501="止损计划")*($B$2:$B$501=B398)*($E$2:$E$501&lt;=O398)),1),0)))</f>
        <v/>
      </c>
      <c r="Q398" s="44">
        <f>IF(A398&lt;&gt;"每日跟踪","",IF(N398="","",MAX(N398,IFERROR(AGGREGATE(14,6,$F$2:$F$501/(($A$2:$A$501="止损计划")*($B$2:$B$501=B398)*($E$2:$E$501&lt;=O398)),1),0))))</f>
        <v/>
      </c>
      <c r="R398" s="43" t="n"/>
      <c r="S398" s="44">
        <f>IF(A398&lt;&gt;"每日跟踪","",IF(Q398="","",MAX(Q398,IFERROR(AGGREGATE(14,6,$R$2:$R$501/(($A$2:$A$501="每日跟踪")*($B$2:$B$501=B398)*($H$2:$H$501&lt;=H398)),1),0))))</f>
        <v/>
      </c>
      <c r="T398" s="44">
        <f>IF(A398&lt;&gt;"每日跟踪","",IF(O398="","",IF(COUNTIFS($A$2:$A$501,"止损计划",$B$2:$B$501,B398,$E$2:$E$501,"&gt;"&amp;O398)=0,"",AGGREGATE(15,6,$E$2:$E$501/(($A$2:$A$501="止损计划")*($B$2:$B$501=B398)*($E$2:$E$501&gt;O398)),1))))</f>
        <v/>
      </c>
      <c r="U398" s="44">
        <f>IF(OR(A398&lt;&gt;"每日跟踪",T398=""),"",IFERROR(AGGREGATE(14,6,$F$2:$F$501/(($A$2:$A$501="止损计划")*($B$2:$B$501=B398)*($E$2:$E$501=T398)),1),""))</f>
        <v/>
      </c>
      <c r="V398" s="30">
        <f>IF(OR(A398&lt;&gt;"每日跟踪",T398="",I398="",I398&lt;=0),"",T398/I398-1)</f>
        <v/>
      </c>
      <c r="W398" s="31">
        <f>IF(A398&lt;&gt;"每日跟踪","",IF(OR(I398="",S398=""),"",IF(I398&lt;=S398,"触发止损：应全部卖出","继续观察")))</f>
        <v/>
      </c>
      <c r="X398" s="28" t="n"/>
      <c r="Y398" s="43" t="n"/>
      <c r="Z398" s="26">
        <f>IF(X398&lt;&gt;"执行卖出","",IFERROR(LOOKUP(2,1/(单次交易!$A$2:$A$201=B398),单次交易!$AP$2:$AP$201),""))</f>
        <v/>
      </c>
      <c r="AA398" s="43" t="n"/>
      <c r="AB398" s="31">
        <f>IF(A398&lt;&gt;"每日跟踪","",IF(OR(B398="",H398="",I398="",J398="",K398="",L398="",M398=""),"待补充每日记录",IF(W398="触发止损：应全部卖出",IF(X398&lt;&gt;"执行卖出","违规：触发止损但未执行",IF(Y398="","待补充实际卖出价","卖出记录完整")),IF(X398="","待选择卖出动作",IF(X398="执行卖出",IF(Y398="","待补充实际卖出价","卖出记录完整"),"正常")))))</f>
        <v/>
      </c>
      <c r="AC398" s="31">
        <f>IF(A398="","",IF(A398="止损计划",IF(OR(B398="",D398="",E398="",F398="",G398=""),"计划不完整",IF(OR(D398&lt;1,D398&lt;&gt;INT(D398)),"阶段序号无效",IF(COUNTIFS($A$2:$A$501,"止损计划",$B$2:$B$501,B398,$D$2:$D$501,D398)&gt;1,"阶段序号重复",IF(E398&lt;=IFERROR(LOOKUP(2,1/('单次交易'!$A$2:$A$201=B398),'单次交易'!$E$2:$E$201),0),"激活价须高于买入价",IF(F398&lt;N398,"止损价不得低于初始止损",IF(F398&gt;E398,"止损价不得高于激活价",IF(AND(COUNTIFS($A$2:$A$501,"止损计划",$B$2:$B$501,B398,$D$2:$D$501,"&lt;"&amp;D398)&gt;0,OR(E398&lt;=AGGREGATE(14,6,$E$2:$E$501/(($A$2:$A$501="止损计划")*($B$2:$B$501=B398)*($D$2:$D$501&lt;D398)),1),F398&lt;AGGREGATE(14,6,$F$2:$F$501/(($A$2:$A$501="止损计划")*($B$2:$B$501=B398)*($D$2:$D$501&lt;D398)),1))),"阶段价格必须逐级提高","计划有效"))))))),IF(A398="每日跟踪",IF(OR(B398="",H398="",I398="",J398=""),"每日数据不完整",IF(COUNTIFS($A$2:$A$501,"每日跟踪",$B$2:$B$501,B398,$H$2:$H$501,H398)&gt;1,"同一交易日期重复",IF(AND(R398&lt;&gt;"",R398&lt;S398),"人工止损无效：不能下调","跟踪有效"))),"记录类型无效")))</f>
        <v/>
      </c>
    </row>
    <row r="399">
      <c r="A399" s="28" t="n"/>
      <c r="B399" s="28" t="n"/>
      <c r="C399" s="31">
        <f>IF(B399="","",IFERROR(LOOKUP(2,1/(单次交易!$A$2:$A$201=B399),单次交易!$B$2:$B$201),""))</f>
        <v/>
      </c>
      <c r="D399" s="27" t="n"/>
      <c r="E399" s="43" t="n"/>
      <c r="F399" s="43" t="n"/>
      <c r="G399" s="28" t="n"/>
      <c r="H399" s="49" t="n"/>
      <c r="I399" s="43" t="n"/>
      <c r="J399" s="27" t="n"/>
      <c r="K399" s="28" t="n"/>
      <c r="L399" s="28" t="n"/>
      <c r="M399" s="28" t="n"/>
      <c r="N399" s="44">
        <f>IF(B399="","",IFERROR(LOOKUP(2,1/(单次交易!$A$2:$A$201=B399),单次交易!$N$2:$N$201),""))</f>
        <v/>
      </c>
      <c r="O399" s="44">
        <f>IF(A399&lt;&gt;"每日跟踪","",IF(OR(B399="",H399="",I399=""),"",IFERROR(AGGREGATE(14,6,$I$2:$I$501/(($A$2:$A$501="每日跟踪")*($B$2:$B$501=B399)*($H$2:$H$501&lt;=H399)),1),"")))</f>
        <v/>
      </c>
      <c r="P399" s="26">
        <f>IF(A399&lt;&gt;"每日跟踪","",IF(O399="","",IFERROR(AGGREGATE(14,6,$D$2:$D$501/(($A$2:$A$501="止损计划")*($B$2:$B$501=B399)*($E$2:$E$501&lt;=O399)),1),0)))</f>
        <v/>
      </c>
      <c r="Q399" s="44">
        <f>IF(A399&lt;&gt;"每日跟踪","",IF(N399="","",MAX(N399,IFERROR(AGGREGATE(14,6,$F$2:$F$501/(($A$2:$A$501="止损计划")*($B$2:$B$501=B399)*($E$2:$E$501&lt;=O399)),1),0))))</f>
        <v/>
      </c>
      <c r="R399" s="43" t="n"/>
      <c r="S399" s="44">
        <f>IF(A399&lt;&gt;"每日跟踪","",IF(Q399="","",MAX(Q399,IFERROR(AGGREGATE(14,6,$R$2:$R$501/(($A$2:$A$501="每日跟踪")*($B$2:$B$501=B399)*($H$2:$H$501&lt;=H399)),1),0))))</f>
        <v/>
      </c>
      <c r="T399" s="44">
        <f>IF(A399&lt;&gt;"每日跟踪","",IF(O399="","",IF(COUNTIFS($A$2:$A$501,"止损计划",$B$2:$B$501,B399,$E$2:$E$501,"&gt;"&amp;O399)=0,"",AGGREGATE(15,6,$E$2:$E$501/(($A$2:$A$501="止损计划")*($B$2:$B$501=B399)*($E$2:$E$501&gt;O399)),1))))</f>
        <v/>
      </c>
      <c r="U399" s="44">
        <f>IF(OR(A399&lt;&gt;"每日跟踪",T399=""),"",IFERROR(AGGREGATE(14,6,$F$2:$F$501/(($A$2:$A$501="止损计划")*($B$2:$B$501=B399)*($E$2:$E$501=T399)),1),""))</f>
        <v/>
      </c>
      <c r="V399" s="30">
        <f>IF(OR(A399&lt;&gt;"每日跟踪",T399="",I399="",I399&lt;=0),"",T399/I399-1)</f>
        <v/>
      </c>
      <c r="W399" s="31">
        <f>IF(A399&lt;&gt;"每日跟踪","",IF(OR(I399="",S399=""),"",IF(I399&lt;=S399,"触发止损：应全部卖出","继续观察")))</f>
        <v/>
      </c>
      <c r="X399" s="28" t="n"/>
      <c r="Y399" s="43" t="n"/>
      <c r="Z399" s="26">
        <f>IF(X399&lt;&gt;"执行卖出","",IFERROR(LOOKUP(2,1/(单次交易!$A$2:$A$201=B399),单次交易!$AP$2:$AP$201),""))</f>
        <v/>
      </c>
      <c r="AA399" s="43" t="n"/>
      <c r="AB399" s="31">
        <f>IF(A399&lt;&gt;"每日跟踪","",IF(OR(B399="",H399="",I399="",J399="",K399="",L399="",M399=""),"待补充每日记录",IF(W399="触发止损：应全部卖出",IF(X399&lt;&gt;"执行卖出","违规：触发止损但未执行",IF(Y399="","待补充实际卖出价","卖出记录完整")),IF(X399="","待选择卖出动作",IF(X399="执行卖出",IF(Y399="","待补充实际卖出价","卖出记录完整"),"正常")))))</f>
        <v/>
      </c>
      <c r="AC399" s="31">
        <f>IF(A399="","",IF(A399="止损计划",IF(OR(B399="",D399="",E399="",F399="",G399=""),"计划不完整",IF(OR(D399&lt;1,D399&lt;&gt;INT(D399)),"阶段序号无效",IF(COUNTIFS($A$2:$A$501,"止损计划",$B$2:$B$501,B399,$D$2:$D$501,D399)&gt;1,"阶段序号重复",IF(E399&lt;=IFERROR(LOOKUP(2,1/('单次交易'!$A$2:$A$201=B399),'单次交易'!$E$2:$E$201),0),"激活价须高于买入价",IF(F399&lt;N399,"止损价不得低于初始止损",IF(F399&gt;E399,"止损价不得高于激活价",IF(AND(COUNTIFS($A$2:$A$501,"止损计划",$B$2:$B$501,B399,$D$2:$D$501,"&lt;"&amp;D399)&gt;0,OR(E399&lt;=AGGREGATE(14,6,$E$2:$E$501/(($A$2:$A$501="止损计划")*($B$2:$B$501=B399)*($D$2:$D$501&lt;D399)),1),F399&lt;AGGREGATE(14,6,$F$2:$F$501/(($A$2:$A$501="止损计划")*($B$2:$B$501=B399)*($D$2:$D$501&lt;D399)),1))),"阶段价格必须逐级提高","计划有效"))))))),IF(A399="每日跟踪",IF(OR(B399="",H399="",I399="",J399=""),"每日数据不完整",IF(COUNTIFS($A$2:$A$501,"每日跟踪",$B$2:$B$501,B399,$H$2:$H$501,H399)&gt;1,"同一交易日期重复",IF(AND(R399&lt;&gt;"",R399&lt;S399),"人工止损无效：不能下调","跟踪有效"))),"记录类型无效")))</f>
        <v/>
      </c>
    </row>
    <row r="400">
      <c r="A400" s="28" t="n"/>
      <c r="B400" s="28" t="n"/>
      <c r="C400" s="31">
        <f>IF(B400="","",IFERROR(LOOKUP(2,1/(单次交易!$A$2:$A$201=B400),单次交易!$B$2:$B$201),""))</f>
        <v/>
      </c>
      <c r="D400" s="27" t="n"/>
      <c r="E400" s="43" t="n"/>
      <c r="F400" s="43" t="n"/>
      <c r="G400" s="28" t="n"/>
      <c r="H400" s="49" t="n"/>
      <c r="I400" s="43" t="n"/>
      <c r="J400" s="27" t="n"/>
      <c r="K400" s="28" t="n"/>
      <c r="L400" s="28" t="n"/>
      <c r="M400" s="28" t="n"/>
      <c r="N400" s="44">
        <f>IF(B400="","",IFERROR(LOOKUP(2,1/(单次交易!$A$2:$A$201=B400),单次交易!$N$2:$N$201),""))</f>
        <v/>
      </c>
      <c r="O400" s="44">
        <f>IF(A400&lt;&gt;"每日跟踪","",IF(OR(B400="",H400="",I400=""),"",IFERROR(AGGREGATE(14,6,$I$2:$I$501/(($A$2:$A$501="每日跟踪")*($B$2:$B$501=B400)*($H$2:$H$501&lt;=H400)),1),"")))</f>
        <v/>
      </c>
      <c r="P400" s="26">
        <f>IF(A400&lt;&gt;"每日跟踪","",IF(O400="","",IFERROR(AGGREGATE(14,6,$D$2:$D$501/(($A$2:$A$501="止损计划")*($B$2:$B$501=B400)*($E$2:$E$501&lt;=O400)),1),0)))</f>
        <v/>
      </c>
      <c r="Q400" s="44">
        <f>IF(A400&lt;&gt;"每日跟踪","",IF(N400="","",MAX(N400,IFERROR(AGGREGATE(14,6,$F$2:$F$501/(($A$2:$A$501="止损计划")*($B$2:$B$501=B400)*($E$2:$E$501&lt;=O400)),1),0))))</f>
        <v/>
      </c>
      <c r="R400" s="43" t="n"/>
      <c r="S400" s="44">
        <f>IF(A400&lt;&gt;"每日跟踪","",IF(Q400="","",MAX(Q400,IFERROR(AGGREGATE(14,6,$R$2:$R$501/(($A$2:$A$501="每日跟踪")*($B$2:$B$501=B400)*($H$2:$H$501&lt;=H400)),1),0))))</f>
        <v/>
      </c>
      <c r="T400" s="44">
        <f>IF(A400&lt;&gt;"每日跟踪","",IF(O400="","",IF(COUNTIFS($A$2:$A$501,"止损计划",$B$2:$B$501,B400,$E$2:$E$501,"&gt;"&amp;O400)=0,"",AGGREGATE(15,6,$E$2:$E$501/(($A$2:$A$501="止损计划")*($B$2:$B$501=B400)*($E$2:$E$501&gt;O400)),1))))</f>
        <v/>
      </c>
      <c r="U400" s="44">
        <f>IF(OR(A400&lt;&gt;"每日跟踪",T400=""),"",IFERROR(AGGREGATE(14,6,$F$2:$F$501/(($A$2:$A$501="止损计划")*($B$2:$B$501=B400)*($E$2:$E$501=T400)),1),""))</f>
        <v/>
      </c>
      <c r="V400" s="30">
        <f>IF(OR(A400&lt;&gt;"每日跟踪",T400="",I400="",I400&lt;=0),"",T400/I400-1)</f>
        <v/>
      </c>
      <c r="W400" s="31">
        <f>IF(A400&lt;&gt;"每日跟踪","",IF(OR(I400="",S400=""),"",IF(I400&lt;=S400,"触发止损：应全部卖出","继续观察")))</f>
        <v/>
      </c>
      <c r="X400" s="28" t="n"/>
      <c r="Y400" s="43" t="n"/>
      <c r="Z400" s="26">
        <f>IF(X400&lt;&gt;"执行卖出","",IFERROR(LOOKUP(2,1/(单次交易!$A$2:$A$201=B400),单次交易!$AP$2:$AP$201),""))</f>
        <v/>
      </c>
      <c r="AA400" s="43" t="n"/>
      <c r="AB400" s="31">
        <f>IF(A400&lt;&gt;"每日跟踪","",IF(OR(B400="",H400="",I400="",J400="",K400="",L400="",M400=""),"待补充每日记录",IF(W400="触发止损：应全部卖出",IF(X400&lt;&gt;"执行卖出","违规：触发止损但未执行",IF(Y400="","待补充实际卖出价","卖出记录完整")),IF(X400="","待选择卖出动作",IF(X400="执行卖出",IF(Y400="","待补充实际卖出价","卖出记录完整"),"正常")))))</f>
        <v/>
      </c>
      <c r="AC400" s="31">
        <f>IF(A400="","",IF(A400="止损计划",IF(OR(B400="",D400="",E400="",F400="",G400=""),"计划不完整",IF(OR(D400&lt;1,D400&lt;&gt;INT(D400)),"阶段序号无效",IF(COUNTIFS($A$2:$A$501,"止损计划",$B$2:$B$501,B400,$D$2:$D$501,D400)&gt;1,"阶段序号重复",IF(E400&lt;=IFERROR(LOOKUP(2,1/('单次交易'!$A$2:$A$201=B400),'单次交易'!$E$2:$E$201),0),"激活价须高于买入价",IF(F400&lt;N400,"止损价不得低于初始止损",IF(F400&gt;E400,"止损价不得高于激活价",IF(AND(COUNTIFS($A$2:$A$501,"止损计划",$B$2:$B$501,B400,$D$2:$D$501,"&lt;"&amp;D400)&gt;0,OR(E400&lt;=AGGREGATE(14,6,$E$2:$E$501/(($A$2:$A$501="止损计划")*($B$2:$B$501=B400)*($D$2:$D$501&lt;D400)),1),F400&lt;AGGREGATE(14,6,$F$2:$F$501/(($A$2:$A$501="止损计划")*($B$2:$B$501=B400)*($D$2:$D$501&lt;D400)),1))),"阶段价格必须逐级提高","计划有效"))))))),IF(A400="每日跟踪",IF(OR(B400="",H400="",I400="",J400=""),"每日数据不完整",IF(COUNTIFS($A$2:$A$501,"每日跟踪",$B$2:$B$501,B400,$H$2:$H$501,H400)&gt;1,"同一交易日期重复",IF(AND(R400&lt;&gt;"",R400&lt;S400),"人工止损无效：不能下调","跟踪有效"))),"记录类型无效")))</f>
        <v/>
      </c>
    </row>
    <row r="401">
      <c r="A401" s="28" t="n"/>
      <c r="B401" s="28" t="n"/>
      <c r="C401" s="31">
        <f>IF(B401="","",IFERROR(LOOKUP(2,1/(单次交易!$A$2:$A$201=B401),单次交易!$B$2:$B$201),""))</f>
        <v/>
      </c>
      <c r="D401" s="27" t="n"/>
      <c r="E401" s="43" t="n"/>
      <c r="F401" s="43" t="n"/>
      <c r="G401" s="28" t="n"/>
      <c r="H401" s="49" t="n"/>
      <c r="I401" s="43" t="n"/>
      <c r="J401" s="27" t="n"/>
      <c r="K401" s="28" t="n"/>
      <c r="L401" s="28" t="n"/>
      <c r="M401" s="28" t="n"/>
      <c r="N401" s="44">
        <f>IF(B401="","",IFERROR(LOOKUP(2,1/(单次交易!$A$2:$A$201=B401),单次交易!$N$2:$N$201),""))</f>
        <v/>
      </c>
      <c r="O401" s="44">
        <f>IF(A401&lt;&gt;"每日跟踪","",IF(OR(B401="",H401="",I401=""),"",IFERROR(AGGREGATE(14,6,$I$2:$I$501/(($A$2:$A$501="每日跟踪")*($B$2:$B$501=B401)*($H$2:$H$501&lt;=H401)),1),"")))</f>
        <v/>
      </c>
      <c r="P401" s="26">
        <f>IF(A401&lt;&gt;"每日跟踪","",IF(O401="","",IFERROR(AGGREGATE(14,6,$D$2:$D$501/(($A$2:$A$501="止损计划")*($B$2:$B$501=B401)*($E$2:$E$501&lt;=O401)),1),0)))</f>
        <v/>
      </c>
      <c r="Q401" s="44">
        <f>IF(A401&lt;&gt;"每日跟踪","",IF(N401="","",MAX(N401,IFERROR(AGGREGATE(14,6,$F$2:$F$501/(($A$2:$A$501="止损计划")*($B$2:$B$501=B401)*($E$2:$E$501&lt;=O401)),1),0))))</f>
        <v/>
      </c>
      <c r="R401" s="43" t="n"/>
      <c r="S401" s="44">
        <f>IF(A401&lt;&gt;"每日跟踪","",IF(Q401="","",MAX(Q401,IFERROR(AGGREGATE(14,6,$R$2:$R$501/(($A$2:$A$501="每日跟踪")*($B$2:$B$501=B401)*($H$2:$H$501&lt;=H401)),1),0))))</f>
        <v/>
      </c>
      <c r="T401" s="44">
        <f>IF(A401&lt;&gt;"每日跟踪","",IF(O401="","",IF(COUNTIFS($A$2:$A$501,"止损计划",$B$2:$B$501,B401,$E$2:$E$501,"&gt;"&amp;O401)=0,"",AGGREGATE(15,6,$E$2:$E$501/(($A$2:$A$501="止损计划")*($B$2:$B$501=B401)*($E$2:$E$501&gt;O401)),1))))</f>
        <v/>
      </c>
      <c r="U401" s="44">
        <f>IF(OR(A401&lt;&gt;"每日跟踪",T401=""),"",IFERROR(AGGREGATE(14,6,$F$2:$F$501/(($A$2:$A$501="止损计划")*($B$2:$B$501=B401)*($E$2:$E$501=T401)),1),""))</f>
        <v/>
      </c>
      <c r="V401" s="30">
        <f>IF(OR(A401&lt;&gt;"每日跟踪",T401="",I401="",I401&lt;=0),"",T401/I401-1)</f>
        <v/>
      </c>
      <c r="W401" s="31">
        <f>IF(A401&lt;&gt;"每日跟踪","",IF(OR(I401="",S401=""),"",IF(I401&lt;=S401,"触发止损：应全部卖出","继续观察")))</f>
        <v/>
      </c>
      <c r="X401" s="28" t="n"/>
      <c r="Y401" s="43" t="n"/>
      <c r="Z401" s="26">
        <f>IF(X401&lt;&gt;"执行卖出","",IFERROR(LOOKUP(2,1/(单次交易!$A$2:$A$201=B401),单次交易!$AP$2:$AP$201),""))</f>
        <v/>
      </c>
      <c r="AA401" s="43" t="n"/>
      <c r="AB401" s="31">
        <f>IF(A401&lt;&gt;"每日跟踪","",IF(OR(B401="",H401="",I401="",J401="",K401="",L401="",M401=""),"待补充每日记录",IF(W401="触发止损：应全部卖出",IF(X401&lt;&gt;"执行卖出","违规：触发止损但未执行",IF(Y401="","待补充实际卖出价","卖出记录完整")),IF(X401="","待选择卖出动作",IF(X401="执行卖出",IF(Y401="","待补充实际卖出价","卖出记录完整"),"正常")))))</f>
        <v/>
      </c>
      <c r="AC401" s="31">
        <f>IF(A401="","",IF(A401="止损计划",IF(OR(B401="",D401="",E401="",F401="",G401=""),"计划不完整",IF(OR(D401&lt;1,D401&lt;&gt;INT(D401)),"阶段序号无效",IF(COUNTIFS($A$2:$A$501,"止损计划",$B$2:$B$501,B401,$D$2:$D$501,D401)&gt;1,"阶段序号重复",IF(E401&lt;=IFERROR(LOOKUP(2,1/('单次交易'!$A$2:$A$201=B401),'单次交易'!$E$2:$E$201),0),"激活价须高于买入价",IF(F401&lt;N401,"止损价不得低于初始止损",IF(F401&gt;E401,"止损价不得高于激活价",IF(AND(COUNTIFS($A$2:$A$501,"止损计划",$B$2:$B$501,B401,$D$2:$D$501,"&lt;"&amp;D401)&gt;0,OR(E401&lt;=AGGREGATE(14,6,$E$2:$E$501/(($A$2:$A$501="止损计划")*($B$2:$B$501=B401)*($D$2:$D$501&lt;D401)),1),F401&lt;AGGREGATE(14,6,$F$2:$F$501/(($A$2:$A$501="止损计划")*($B$2:$B$501=B401)*($D$2:$D$501&lt;D401)),1))),"阶段价格必须逐级提高","计划有效"))))))),IF(A401="每日跟踪",IF(OR(B401="",H401="",I401="",J401=""),"每日数据不完整",IF(COUNTIFS($A$2:$A$501,"每日跟踪",$B$2:$B$501,B401,$H$2:$H$501,H401)&gt;1,"同一交易日期重复",IF(AND(R401&lt;&gt;"",R401&lt;S401),"人工止损无效：不能下调","跟踪有效"))),"记录类型无效")))</f>
        <v/>
      </c>
    </row>
    <row r="402">
      <c r="A402" s="28" t="n"/>
      <c r="B402" s="28" t="n"/>
      <c r="C402" s="31">
        <f>IF(B402="","",IFERROR(LOOKUP(2,1/(单次交易!$A$2:$A$201=B402),单次交易!$B$2:$B$201),""))</f>
        <v/>
      </c>
      <c r="D402" s="27" t="n"/>
      <c r="E402" s="43" t="n"/>
      <c r="F402" s="43" t="n"/>
      <c r="G402" s="28" t="n"/>
      <c r="H402" s="49" t="n"/>
      <c r="I402" s="43" t="n"/>
      <c r="J402" s="27" t="n"/>
      <c r="K402" s="28" t="n"/>
      <c r="L402" s="28" t="n"/>
      <c r="M402" s="28" t="n"/>
      <c r="N402" s="44">
        <f>IF(B402="","",IFERROR(LOOKUP(2,1/(单次交易!$A$2:$A$201=B402),单次交易!$N$2:$N$201),""))</f>
        <v/>
      </c>
      <c r="O402" s="44">
        <f>IF(A402&lt;&gt;"每日跟踪","",IF(OR(B402="",H402="",I402=""),"",IFERROR(AGGREGATE(14,6,$I$2:$I$501/(($A$2:$A$501="每日跟踪")*($B$2:$B$501=B402)*($H$2:$H$501&lt;=H402)),1),"")))</f>
        <v/>
      </c>
      <c r="P402" s="26">
        <f>IF(A402&lt;&gt;"每日跟踪","",IF(O402="","",IFERROR(AGGREGATE(14,6,$D$2:$D$501/(($A$2:$A$501="止损计划")*($B$2:$B$501=B402)*($E$2:$E$501&lt;=O402)),1),0)))</f>
        <v/>
      </c>
      <c r="Q402" s="44">
        <f>IF(A402&lt;&gt;"每日跟踪","",IF(N402="","",MAX(N402,IFERROR(AGGREGATE(14,6,$F$2:$F$501/(($A$2:$A$501="止损计划")*($B$2:$B$501=B402)*($E$2:$E$501&lt;=O402)),1),0))))</f>
        <v/>
      </c>
      <c r="R402" s="43" t="n"/>
      <c r="S402" s="44">
        <f>IF(A402&lt;&gt;"每日跟踪","",IF(Q402="","",MAX(Q402,IFERROR(AGGREGATE(14,6,$R$2:$R$501/(($A$2:$A$501="每日跟踪")*($B$2:$B$501=B402)*($H$2:$H$501&lt;=H402)),1),0))))</f>
        <v/>
      </c>
      <c r="T402" s="44">
        <f>IF(A402&lt;&gt;"每日跟踪","",IF(O402="","",IF(COUNTIFS($A$2:$A$501,"止损计划",$B$2:$B$501,B402,$E$2:$E$501,"&gt;"&amp;O402)=0,"",AGGREGATE(15,6,$E$2:$E$501/(($A$2:$A$501="止损计划")*($B$2:$B$501=B402)*($E$2:$E$501&gt;O402)),1))))</f>
        <v/>
      </c>
      <c r="U402" s="44">
        <f>IF(OR(A402&lt;&gt;"每日跟踪",T402=""),"",IFERROR(AGGREGATE(14,6,$F$2:$F$501/(($A$2:$A$501="止损计划")*($B$2:$B$501=B402)*($E$2:$E$501=T402)),1),""))</f>
        <v/>
      </c>
      <c r="V402" s="30">
        <f>IF(OR(A402&lt;&gt;"每日跟踪",T402="",I402="",I402&lt;=0),"",T402/I402-1)</f>
        <v/>
      </c>
      <c r="W402" s="31">
        <f>IF(A402&lt;&gt;"每日跟踪","",IF(OR(I402="",S402=""),"",IF(I402&lt;=S402,"触发止损：应全部卖出","继续观察")))</f>
        <v/>
      </c>
      <c r="X402" s="28" t="n"/>
      <c r="Y402" s="43" t="n"/>
      <c r="Z402" s="26">
        <f>IF(X402&lt;&gt;"执行卖出","",IFERROR(LOOKUP(2,1/(单次交易!$A$2:$A$201=B402),单次交易!$AP$2:$AP$201),""))</f>
        <v/>
      </c>
      <c r="AA402" s="43" t="n"/>
      <c r="AB402" s="31">
        <f>IF(A402&lt;&gt;"每日跟踪","",IF(OR(B402="",H402="",I402="",J402="",K402="",L402="",M402=""),"待补充每日记录",IF(W402="触发止损：应全部卖出",IF(X402&lt;&gt;"执行卖出","违规：触发止损但未执行",IF(Y402="","待补充实际卖出价","卖出记录完整")),IF(X402="","待选择卖出动作",IF(X402="执行卖出",IF(Y402="","待补充实际卖出价","卖出记录完整"),"正常")))))</f>
        <v/>
      </c>
      <c r="AC402" s="31">
        <f>IF(A402="","",IF(A402="止损计划",IF(OR(B402="",D402="",E402="",F402="",G402=""),"计划不完整",IF(OR(D402&lt;1,D402&lt;&gt;INT(D402)),"阶段序号无效",IF(COUNTIFS($A$2:$A$501,"止损计划",$B$2:$B$501,B402,$D$2:$D$501,D402)&gt;1,"阶段序号重复",IF(E402&lt;=IFERROR(LOOKUP(2,1/('单次交易'!$A$2:$A$201=B402),'单次交易'!$E$2:$E$201),0),"激活价须高于买入价",IF(F402&lt;N402,"止损价不得低于初始止损",IF(F402&gt;E402,"止损价不得高于激活价",IF(AND(COUNTIFS($A$2:$A$501,"止损计划",$B$2:$B$501,B402,$D$2:$D$501,"&lt;"&amp;D402)&gt;0,OR(E402&lt;=AGGREGATE(14,6,$E$2:$E$501/(($A$2:$A$501="止损计划")*($B$2:$B$501=B402)*($D$2:$D$501&lt;D402)),1),F402&lt;AGGREGATE(14,6,$F$2:$F$501/(($A$2:$A$501="止损计划")*($B$2:$B$501=B402)*($D$2:$D$501&lt;D402)),1))),"阶段价格必须逐级提高","计划有效"))))))),IF(A402="每日跟踪",IF(OR(B402="",H402="",I402="",J402=""),"每日数据不完整",IF(COUNTIFS($A$2:$A$501,"每日跟踪",$B$2:$B$501,B402,$H$2:$H$501,H402)&gt;1,"同一交易日期重复",IF(AND(R402&lt;&gt;"",R402&lt;S402),"人工止损无效：不能下调","跟踪有效"))),"记录类型无效")))</f>
        <v/>
      </c>
    </row>
    <row r="403">
      <c r="A403" s="28" t="n"/>
      <c r="B403" s="28" t="n"/>
      <c r="C403" s="31">
        <f>IF(B403="","",IFERROR(LOOKUP(2,1/(单次交易!$A$2:$A$201=B403),单次交易!$B$2:$B$201),""))</f>
        <v/>
      </c>
      <c r="D403" s="27" t="n"/>
      <c r="E403" s="43" t="n"/>
      <c r="F403" s="43" t="n"/>
      <c r="G403" s="28" t="n"/>
      <c r="H403" s="49" t="n"/>
      <c r="I403" s="43" t="n"/>
      <c r="J403" s="27" t="n"/>
      <c r="K403" s="28" t="n"/>
      <c r="L403" s="28" t="n"/>
      <c r="M403" s="28" t="n"/>
      <c r="N403" s="44">
        <f>IF(B403="","",IFERROR(LOOKUP(2,1/(单次交易!$A$2:$A$201=B403),单次交易!$N$2:$N$201),""))</f>
        <v/>
      </c>
      <c r="O403" s="44">
        <f>IF(A403&lt;&gt;"每日跟踪","",IF(OR(B403="",H403="",I403=""),"",IFERROR(AGGREGATE(14,6,$I$2:$I$501/(($A$2:$A$501="每日跟踪")*($B$2:$B$501=B403)*($H$2:$H$501&lt;=H403)),1),"")))</f>
        <v/>
      </c>
      <c r="P403" s="26">
        <f>IF(A403&lt;&gt;"每日跟踪","",IF(O403="","",IFERROR(AGGREGATE(14,6,$D$2:$D$501/(($A$2:$A$501="止损计划")*($B$2:$B$501=B403)*($E$2:$E$501&lt;=O403)),1),0)))</f>
        <v/>
      </c>
      <c r="Q403" s="44">
        <f>IF(A403&lt;&gt;"每日跟踪","",IF(N403="","",MAX(N403,IFERROR(AGGREGATE(14,6,$F$2:$F$501/(($A$2:$A$501="止损计划")*($B$2:$B$501=B403)*($E$2:$E$501&lt;=O403)),1),0))))</f>
        <v/>
      </c>
      <c r="R403" s="43" t="n"/>
      <c r="S403" s="44">
        <f>IF(A403&lt;&gt;"每日跟踪","",IF(Q403="","",MAX(Q403,IFERROR(AGGREGATE(14,6,$R$2:$R$501/(($A$2:$A$501="每日跟踪")*($B$2:$B$501=B403)*($H$2:$H$501&lt;=H403)),1),0))))</f>
        <v/>
      </c>
      <c r="T403" s="44">
        <f>IF(A403&lt;&gt;"每日跟踪","",IF(O403="","",IF(COUNTIFS($A$2:$A$501,"止损计划",$B$2:$B$501,B403,$E$2:$E$501,"&gt;"&amp;O403)=0,"",AGGREGATE(15,6,$E$2:$E$501/(($A$2:$A$501="止损计划")*($B$2:$B$501=B403)*($E$2:$E$501&gt;O403)),1))))</f>
        <v/>
      </c>
      <c r="U403" s="44">
        <f>IF(OR(A403&lt;&gt;"每日跟踪",T403=""),"",IFERROR(AGGREGATE(14,6,$F$2:$F$501/(($A$2:$A$501="止损计划")*($B$2:$B$501=B403)*($E$2:$E$501=T403)),1),""))</f>
        <v/>
      </c>
      <c r="V403" s="30">
        <f>IF(OR(A403&lt;&gt;"每日跟踪",T403="",I403="",I403&lt;=0),"",T403/I403-1)</f>
        <v/>
      </c>
      <c r="W403" s="31">
        <f>IF(A403&lt;&gt;"每日跟踪","",IF(OR(I403="",S403=""),"",IF(I403&lt;=S403,"触发止损：应全部卖出","继续观察")))</f>
        <v/>
      </c>
      <c r="X403" s="28" t="n"/>
      <c r="Y403" s="43" t="n"/>
      <c r="Z403" s="26">
        <f>IF(X403&lt;&gt;"执行卖出","",IFERROR(LOOKUP(2,1/(单次交易!$A$2:$A$201=B403),单次交易!$AP$2:$AP$201),""))</f>
        <v/>
      </c>
      <c r="AA403" s="43" t="n"/>
      <c r="AB403" s="31">
        <f>IF(A403&lt;&gt;"每日跟踪","",IF(OR(B403="",H403="",I403="",J403="",K403="",L403="",M403=""),"待补充每日记录",IF(W403="触发止损：应全部卖出",IF(X403&lt;&gt;"执行卖出","违规：触发止损但未执行",IF(Y403="","待补充实际卖出价","卖出记录完整")),IF(X403="","待选择卖出动作",IF(X403="执行卖出",IF(Y403="","待补充实际卖出价","卖出记录完整"),"正常")))))</f>
        <v/>
      </c>
      <c r="AC403" s="31">
        <f>IF(A403="","",IF(A403="止损计划",IF(OR(B403="",D403="",E403="",F403="",G403=""),"计划不完整",IF(OR(D403&lt;1,D403&lt;&gt;INT(D403)),"阶段序号无效",IF(COUNTIFS($A$2:$A$501,"止损计划",$B$2:$B$501,B403,$D$2:$D$501,D403)&gt;1,"阶段序号重复",IF(E403&lt;=IFERROR(LOOKUP(2,1/('单次交易'!$A$2:$A$201=B403),'单次交易'!$E$2:$E$201),0),"激活价须高于买入价",IF(F403&lt;N403,"止损价不得低于初始止损",IF(F403&gt;E403,"止损价不得高于激活价",IF(AND(COUNTIFS($A$2:$A$501,"止损计划",$B$2:$B$501,B403,$D$2:$D$501,"&lt;"&amp;D403)&gt;0,OR(E403&lt;=AGGREGATE(14,6,$E$2:$E$501/(($A$2:$A$501="止损计划")*($B$2:$B$501=B403)*($D$2:$D$501&lt;D403)),1),F403&lt;AGGREGATE(14,6,$F$2:$F$501/(($A$2:$A$501="止损计划")*($B$2:$B$501=B403)*($D$2:$D$501&lt;D403)),1))),"阶段价格必须逐级提高","计划有效"))))))),IF(A403="每日跟踪",IF(OR(B403="",H403="",I403="",J403=""),"每日数据不完整",IF(COUNTIFS($A$2:$A$501,"每日跟踪",$B$2:$B$501,B403,$H$2:$H$501,H403)&gt;1,"同一交易日期重复",IF(AND(R403&lt;&gt;"",R403&lt;S403),"人工止损无效：不能下调","跟踪有效"))),"记录类型无效")))</f>
        <v/>
      </c>
    </row>
    <row r="404">
      <c r="A404" s="28" t="n"/>
      <c r="B404" s="28" t="n"/>
      <c r="C404" s="31">
        <f>IF(B404="","",IFERROR(LOOKUP(2,1/(单次交易!$A$2:$A$201=B404),单次交易!$B$2:$B$201),""))</f>
        <v/>
      </c>
      <c r="D404" s="27" t="n"/>
      <c r="E404" s="43" t="n"/>
      <c r="F404" s="43" t="n"/>
      <c r="G404" s="28" t="n"/>
      <c r="H404" s="49" t="n"/>
      <c r="I404" s="43" t="n"/>
      <c r="J404" s="27" t="n"/>
      <c r="K404" s="28" t="n"/>
      <c r="L404" s="28" t="n"/>
      <c r="M404" s="28" t="n"/>
      <c r="N404" s="44">
        <f>IF(B404="","",IFERROR(LOOKUP(2,1/(单次交易!$A$2:$A$201=B404),单次交易!$N$2:$N$201),""))</f>
        <v/>
      </c>
      <c r="O404" s="44">
        <f>IF(A404&lt;&gt;"每日跟踪","",IF(OR(B404="",H404="",I404=""),"",IFERROR(AGGREGATE(14,6,$I$2:$I$501/(($A$2:$A$501="每日跟踪")*($B$2:$B$501=B404)*($H$2:$H$501&lt;=H404)),1),"")))</f>
        <v/>
      </c>
      <c r="P404" s="26">
        <f>IF(A404&lt;&gt;"每日跟踪","",IF(O404="","",IFERROR(AGGREGATE(14,6,$D$2:$D$501/(($A$2:$A$501="止损计划")*($B$2:$B$501=B404)*($E$2:$E$501&lt;=O404)),1),0)))</f>
        <v/>
      </c>
      <c r="Q404" s="44">
        <f>IF(A404&lt;&gt;"每日跟踪","",IF(N404="","",MAX(N404,IFERROR(AGGREGATE(14,6,$F$2:$F$501/(($A$2:$A$501="止损计划")*($B$2:$B$501=B404)*($E$2:$E$501&lt;=O404)),1),0))))</f>
        <v/>
      </c>
      <c r="R404" s="43" t="n"/>
      <c r="S404" s="44">
        <f>IF(A404&lt;&gt;"每日跟踪","",IF(Q404="","",MAX(Q404,IFERROR(AGGREGATE(14,6,$R$2:$R$501/(($A$2:$A$501="每日跟踪")*($B$2:$B$501=B404)*($H$2:$H$501&lt;=H404)),1),0))))</f>
        <v/>
      </c>
      <c r="T404" s="44">
        <f>IF(A404&lt;&gt;"每日跟踪","",IF(O404="","",IF(COUNTIFS($A$2:$A$501,"止损计划",$B$2:$B$501,B404,$E$2:$E$501,"&gt;"&amp;O404)=0,"",AGGREGATE(15,6,$E$2:$E$501/(($A$2:$A$501="止损计划")*($B$2:$B$501=B404)*($E$2:$E$501&gt;O404)),1))))</f>
        <v/>
      </c>
      <c r="U404" s="44">
        <f>IF(OR(A404&lt;&gt;"每日跟踪",T404=""),"",IFERROR(AGGREGATE(14,6,$F$2:$F$501/(($A$2:$A$501="止损计划")*($B$2:$B$501=B404)*($E$2:$E$501=T404)),1),""))</f>
        <v/>
      </c>
      <c r="V404" s="30">
        <f>IF(OR(A404&lt;&gt;"每日跟踪",T404="",I404="",I404&lt;=0),"",T404/I404-1)</f>
        <v/>
      </c>
      <c r="W404" s="31">
        <f>IF(A404&lt;&gt;"每日跟踪","",IF(OR(I404="",S404=""),"",IF(I404&lt;=S404,"触发止损：应全部卖出","继续观察")))</f>
        <v/>
      </c>
      <c r="X404" s="28" t="n"/>
      <c r="Y404" s="43" t="n"/>
      <c r="Z404" s="26">
        <f>IF(X404&lt;&gt;"执行卖出","",IFERROR(LOOKUP(2,1/(单次交易!$A$2:$A$201=B404),单次交易!$AP$2:$AP$201),""))</f>
        <v/>
      </c>
      <c r="AA404" s="43" t="n"/>
      <c r="AB404" s="31">
        <f>IF(A404&lt;&gt;"每日跟踪","",IF(OR(B404="",H404="",I404="",J404="",K404="",L404="",M404=""),"待补充每日记录",IF(W404="触发止损：应全部卖出",IF(X404&lt;&gt;"执行卖出","违规：触发止损但未执行",IF(Y404="","待补充实际卖出价","卖出记录完整")),IF(X404="","待选择卖出动作",IF(X404="执行卖出",IF(Y404="","待补充实际卖出价","卖出记录完整"),"正常")))))</f>
        <v/>
      </c>
      <c r="AC404" s="31">
        <f>IF(A404="","",IF(A404="止损计划",IF(OR(B404="",D404="",E404="",F404="",G404=""),"计划不完整",IF(OR(D404&lt;1,D404&lt;&gt;INT(D404)),"阶段序号无效",IF(COUNTIFS($A$2:$A$501,"止损计划",$B$2:$B$501,B404,$D$2:$D$501,D404)&gt;1,"阶段序号重复",IF(E404&lt;=IFERROR(LOOKUP(2,1/('单次交易'!$A$2:$A$201=B404),'单次交易'!$E$2:$E$201),0),"激活价须高于买入价",IF(F404&lt;N404,"止损价不得低于初始止损",IF(F404&gt;E404,"止损价不得高于激活价",IF(AND(COUNTIFS($A$2:$A$501,"止损计划",$B$2:$B$501,B404,$D$2:$D$501,"&lt;"&amp;D404)&gt;0,OR(E404&lt;=AGGREGATE(14,6,$E$2:$E$501/(($A$2:$A$501="止损计划")*($B$2:$B$501=B404)*($D$2:$D$501&lt;D404)),1),F404&lt;AGGREGATE(14,6,$F$2:$F$501/(($A$2:$A$501="止损计划")*($B$2:$B$501=B404)*($D$2:$D$501&lt;D404)),1))),"阶段价格必须逐级提高","计划有效"))))))),IF(A404="每日跟踪",IF(OR(B404="",H404="",I404="",J404=""),"每日数据不完整",IF(COUNTIFS($A$2:$A$501,"每日跟踪",$B$2:$B$501,B404,$H$2:$H$501,H404)&gt;1,"同一交易日期重复",IF(AND(R404&lt;&gt;"",R404&lt;S404),"人工止损无效：不能下调","跟踪有效"))),"记录类型无效")))</f>
        <v/>
      </c>
    </row>
    <row r="405">
      <c r="A405" s="28" t="n"/>
      <c r="B405" s="28" t="n"/>
      <c r="C405" s="31">
        <f>IF(B405="","",IFERROR(LOOKUP(2,1/(单次交易!$A$2:$A$201=B405),单次交易!$B$2:$B$201),""))</f>
        <v/>
      </c>
      <c r="D405" s="27" t="n"/>
      <c r="E405" s="43" t="n"/>
      <c r="F405" s="43" t="n"/>
      <c r="G405" s="28" t="n"/>
      <c r="H405" s="49" t="n"/>
      <c r="I405" s="43" t="n"/>
      <c r="J405" s="27" t="n"/>
      <c r="K405" s="28" t="n"/>
      <c r="L405" s="28" t="n"/>
      <c r="M405" s="28" t="n"/>
      <c r="N405" s="44">
        <f>IF(B405="","",IFERROR(LOOKUP(2,1/(单次交易!$A$2:$A$201=B405),单次交易!$N$2:$N$201),""))</f>
        <v/>
      </c>
      <c r="O405" s="44">
        <f>IF(A405&lt;&gt;"每日跟踪","",IF(OR(B405="",H405="",I405=""),"",IFERROR(AGGREGATE(14,6,$I$2:$I$501/(($A$2:$A$501="每日跟踪")*($B$2:$B$501=B405)*($H$2:$H$501&lt;=H405)),1),"")))</f>
        <v/>
      </c>
      <c r="P405" s="26">
        <f>IF(A405&lt;&gt;"每日跟踪","",IF(O405="","",IFERROR(AGGREGATE(14,6,$D$2:$D$501/(($A$2:$A$501="止损计划")*($B$2:$B$501=B405)*($E$2:$E$501&lt;=O405)),1),0)))</f>
        <v/>
      </c>
      <c r="Q405" s="44">
        <f>IF(A405&lt;&gt;"每日跟踪","",IF(N405="","",MAX(N405,IFERROR(AGGREGATE(14,6,$F$2:$F$501/(($A$2:$A$501="止损计划")*($B$2:$B$501=B405)*($E$2:$E$501&lt;=O405)),1),0))))</f>
        <v/>
      </c>
      <c r="R405" s="43" t="n"/>
      <c r="S405" s="44">
        <f>IF(A405&lt;&gt;"每日跟踪","",IF(Q405="","",MAX(Q405,IFERROR(AGGREGATE(14,6,$R$2:$R$501/(($A$2:$A$501="每日跟踪")*($B$2:$B$501=B405)*($H$2:$H$501&lt;=H405)),1),0))))</f>
        <v/>
      </c>
      <c r="T405" s="44">
        <f>IF(A405&lt;&gt;"每日跟踪","",IF(O405="","",IF(COUNTIFS($A$2:$A$501,"止损计划",$B$2:$B$501,B405,$E$2:$E$501,"&gt;"&amp;O405)=0,"",AGGREGATE(15,6,$E$2:$E$501/(($A$2:$A$501="止损计划")*($B$2:$B$501=B405)*($E$2:$E$501&gt;O405)),1))))</f>
        <v/>
      </c>
      <c r="U405" s="44">
        <f>IF(OR(A405&lt;&gt;"每日跟踪",T405=""),"",IFERROR(AGGREGATE(14,6,$F$2:$F$501/(($A$2:$A$501="止损计划")*($B$2:$B$501=B405)*($E$2:$E$501=T405)),1),""))</f>
        <v/>
      </c>
      <c r="V405" s="30">
        <f>IF(OR(A405&lt;&gt;"每日跟踪",T405="",I405="",I405&lt;=0),"",T405/I405-1)</f>
        <v/>
      </c>
      <c r="W405" s="31">
        <f>IF(A405&lt;&gt;"每日跟踪","",IF(OR(I405="",S405=""),"",IF(I405&lt;=S405,"触发止损：应全部卖出","继续观察")))</f>
        <v/>
      </c>
      <c r="X405" s="28" t="n"/>
      <c r="Y405" s="43" t="n"/>
      <c r="Z405" s="26">
        <f>IF(X405&lt;&gt;"执行卖出","",IFERROR(LOOKUP(2,1/(单次交易!$A$2:$A$201=B405),单次交易!$AP$2:$AP$201),""))</f>
        <v/>
      </c>
      <c r="AA405" s="43" t="n"/>
      <c r="AB405" s="31">
        <f>IF(A405&lt;&gt;"每日跟踪","",IF(OR(B405="",H405="",I405="",J405="",K405="",L405="",M405=""),"待补充每日记录",IF(W405="触发止损：应全部卖出",IF(X405&lt;&gt;"执行卖出","违规：触发止损但未执行",IF(Y405="","待补充实际卖出价","卖出记录完整")),IF(X405="","待选择卖出动作",IF(X405="执行卖出",IF(Y405="","待补充实际卖出价","卖出记录完整"),"正常")))))</f>
        <v/>
      </c>
      <c r="AC405" s="31">
        <f>IF(A405="","",IF(A405="止损计划",IF(OR(B405="",D405="",E405="",F405="",G405=""),"计划不完整",IF(OR(D405&lt;1,D405&lt;&gt;INT(D405)),"阶段序号无效",IF(COUNTIFS($A$2:$A$501,"止损计划",$B$2:$B$501,B405,$D$2:$D$501,D405)&gt;1,"阶段序号重复",IF(E405&lt;=IFERROR(LOOKUP(2,1/('单次交易'!$A$2:$A$201=B405),'单次交易'!$E$2:$E$201),0),"激活价须高于买入价",IF(F405&lt;N405,"止损价不得低于初始止损",IF(F405&gt;E405,"止损价不得高于激活价",IF(AND(COUNTIFS($A$2:$A$501,"止损计划",$B$2:$B$501,B405,$D$2:$D$501,"&lt;"&amp;D405)&gt;0,OR(E405&lt;=AGGREGATE(14,6,$E$2:$E$501/(($A$2:$A$501="止损计划")*($B$2:$B$501=B405)*($D$2:$D$501&lt;D405)),1),F405&lt;AGGREGATE(14,6,$F$2:$F$501/(($A$2:$A$501="止损计划")*($B$2:$B$501=B405)*($D$2:$D$501&lt;D405)),1))),"阶段价格必须逐级提高","计划有效"))))))),IF(A405="每日跟踪",IF(OR(B405="",H405="",I405="",J405=""),"每日数据不完整",IF(COUNTIFS($A$2:$A$501,"每日跟踪",$B$2:$B$501,B405,$H$2:$H$501,H405)&gt;1,"同一交易日期重复",IF(AND(R405&lt;&gt;"",R405&lt;S405),"人工止损无效：不能下调","跟踪有效"))),"记录类型无效")))</f>
        <v/>
      </c>
    </row>
    <row r="406">
      <c r="A406" s="28" t="n"/>
      <c r="B406" s="28" t="n"/>
      <c r="C406" s="31">
        <f>IF(B406="","",IFERROR(LOOKUP(2,1/(单次交易!$A$2:$A$201=B406),单次交易!$B$2:$B$201),""))</f>
        <v/>
      </c>
      <c r="D406" s="27" t="n"/>
      <c r="E406" s="43" t="n"/>
      <c r="F406" s="43" t="n"/>
      <c r="G406" s="28" t="n"/>
      <c r="H406" s="49" t="n"/>
      <c r="I406" s="43" t="n"/>
      <c r="J406" s="27" t="n"/>
      <c r="K406" s="28" t="n"/>
      <c r="L406" s="28" t="n"/>
      <c r="M406" s="28" t="n"/>
      <c r="N406" s="44">
        <f>IF(B406="","",IFERROR(LOOKUP(2,1/(单次交易!$A$2:$A$201=B406),单次交易!$N$2:$N$201),""))</f>
        <v/>
      </c>
      <c r="O406" s="44">
        <f>IF(A406&lt;&gt;"每日跟踪","",IF(OR(B406="",H406="",I406=""),"",IFERROR(AGGREGATE(14,6,$I$2:$I$501/(($A$2:$A$501="每日跟踪")*($B$2:$B$501=B406)*($H$2:$H$501&lt;=H406)),1),"")))</f>
        <v/>
      </c>
      <c r="P406" s="26">
        <f>IF(A406&lt;&gt;"每日跟踪","",IF(O406="","",IFERROR(AGGREGATE(14,6,$D$2:$D$501/(($A$2:$A$501="止损计划")*($B$2:$B$501=B406)*($E$2:$E$501&lt;=O406)),1),0)))</f>
        <v/>
      </c>
      <c r="Q406" s="44">
        <f>IF(A406&lt;&gt;"每日跟踪","",IF(N406="","",MAX(N406,IFERROR(AGGREGATE(14,6,$F$2:$F$501/(($A$2:$A$501="止损计划")*($B$2:$B$501=B406)*($E$2:$E$501&lt;=O406)),1),0))))</f>
        <v/>
      </c>
      <c r="R406" s="43" t="n"/>
      <c r="S406" s="44">
        <f>IF(A406&lt;&gt;"每日跟踪","",IF(Q406="","",MAX(Q406,IFERROR(AGGREGATE(14,6,$R$2:$R$501/(($A$2:$A$501="每日跟踪")*($B$2:$B$501=B406)*($H$2:$H$501&lt;=H406)),1),0))))</f>
        <v/>
      </c>
      <c r="T406" s="44">
        <f>IF(A406&lt;&gt;"每日跟踪","",IF(O406="","",IF(COUNTIFS($A$2:$A$501,"止损计划",$B$2:$B$501,B406,$E$2:$E$501,"&gt;"&amp;O406)=0,"",AGGREGATE(15,6,$E$2:$E$501/(($A$2:$A$501="止损计划")*($B$2:$B$501=B406)*($E$2:$E$501&gt;O406)),1))))</f>
        <v/>
      </c>
      <c r="U406" s="44">
        <f>IF(OR(A406&lt;&gt;"每日跟踪",T406=""),"",IFERROR(AGGREGATE(14,6,$F$2:$F$501/(($A$2:$A$501="止损计划")*($B$2:$B$501=B406)*($E$2:$E$501=T406)),1),""))</f>
        <v/>
      </c>
      <c r="V406" s="30">
        <f>IF(OR(A406&lt;&gt;"每日跟踪",T406="",I406="",I406&lt;=0),"",T406/I406-1)</f>
        <v/>
      </c>
      <c r="W406" s="31">
        <f>IF(A406&lt;&gt;"每日跟踪","",IF(OR(I406="",S406=""),"",IF(I406&lt;=S406,"触发止损：应全部卖出","继续观察")))</f>
        <v/>
      </c>
      <c r="X406" s="28" t="n"/>
      <c r="Y406" s="43" t="n"/>
      <c r="Z406" s="26">
        <f>IF(X406&lt;&gt;"执行卖出","",IFERROR(LOOKUP(2,1/(单次交易!$A$2:$A$201=B406),单次交易!$AP$2:$AP$201),""))</f>
        <v/>
      </c>
      <c r="AA406" s="43" t="n"/>
      <c r="AB406" s="31">
        <f>IF(A406&lt;&gt;"每日跟踪","",IF(OR(B406="",H406="",I406="",J406="",K406="",L406="",M406=""),"待补充每日记录",IF(W406="触发止损：应全部卖出",IF(X406&lt;&gt;"执行卖出","违规：触发止损但未执行",IF(Y406="","待补充实际卖出价","卖出记录完整")),IF(X406="","待选择卖出动作",IF(X406="执行卖出",IF(Y406="","待补充实际卖出价","卖出记录完整"),"正常")))))</f>
        <v/>
      </c>
      <c r="AC406" s="31">
        <f>IF(A406="","",IF(A406="止损计划",IF(OR(B406="",D406="",E406="",F406="",G406=""),"计划不完整",IF(OR(D406&lt;1,D406&lt;&gt;INT(D406)),"阶段序号无效",IF(COUNTIFS($A$2:$A$501,"止损计划",$B$2:$B$501,B406,$D$2:$D$501,D406)&gt;1,"阶段序号重复",IF(E406&lt;=IFERROR(LOOKUP(2,1/('单次交易'!$A$2:$A$201=B406),'单次交易'!$E$2:$E$201),0),"激活价须高于买入价",IF(F406&lt;N406,"止损价不得低于初始止损",IF(F406&gt;E406,"止损价不得高于激活价",IF(AND(COUNTIFS($A$2:$A$501,"止损计划",$B$2:$B$501,B406,$D$2:$D$501,"&lt;"&amp;D406)&gt;0,OR(E406&lt;=AGGREGATE(14,6,$E$2:$E$501/(($A$2:$A$501="止损计划")*($B$2:$B$501=B406)*($D$2:$D$501&lt;D406)),1),F406&lt;AGGREGATE(14,6,$F$2:$F$501/(($A$2:$A$501="止损计划")*($B$2:$B$501=B406)*($D$2:$D$501&lt;D406)),1))),"阶段价格必须逐级提高","计划有效"))))))),IF(A406="每日跟踪",IF(OR(B406="",H406="",I406="",J406=""),"每日数据不完整",IF(COUNTIFS($A$2:$A$501,"每日跟踪",$B$2:$B$501,B406,$H$2:$H$501,H406)&gt;1,"同一交易日期重复",IF(AND(R406&lt;&gt;"",R406&lt;S406),"人工止损无效：不能下调","跟踪有效"))),"记录类型无效")))</f>
        <v/>
      </c>
    </row>
    <row r="407">
      <c r="A407" s="28" t="n"/>
      <c r="B407" s="28" t="n"/>
      <c r="C407" s="31">
        <f>IF(B407="","",IFERROR(LOOKUP(2,1/(单次交易!$A$2:$A$201=B407),单次交易!$B$2:$B$201),""))</f>
        <v/>
      </c>
      <c r="D407" s="27" t="n"/>
      <c r="E407" s="43" t="n"/>
      <c r="F407" s="43" t="n"/>
      <c r="G407" s="28" t="n"/>
      <c r="H407" s="49" t="n"/>
      <c r="I407" s="43" t="n"/>
      <c r="J407" s="27" t="n"/>
      <c r="K407" s="28" t="n"/>
      <c r="L407" s="28" t="n"/>
      <c r="M407" s="28" t="n"/>
      <c r="N407" s="44">
        <f>IF(B407="","",IFERROR(LOOKUP(2,1/(单次交易!$A$2:$A$201=B407),单次交易!$N$2:$N$201),""))</f>
        <v/>
      </c>
      <c r="O407" s="44">
        <f>IF(A407&lt;&gt;"每日跟踪","",IF(OR(B407="",H407="",I407=""),"",IFERROR(AGGREGATE(14,6,$I$2:$I$501/(($A$2:$A$501="每日跟踪")*($B$2:$B$501=B407)*($H$2:$H$501&lt;=H407)),1),"")))</f>
        <v/>
      </c>
      <c r="P407" s="26">
        <f>IF(A407&lt;&gt;"每日跟踪","",IF(O407="","",IFERROR(AGGREGATE(14,6,$D$2:$D$501/(($A$2:$A$501="止损计划")*($B$2:$B$501=B407)*($E$2:$E$501&lt;=O407)),1),0)))</f>
        <v/>
      </c>
      <c r="Q407" s="44">
        <f>IF(A407&lt;&gt;"每日跟踪","",IF(N407="","",MAX(N407,IFERROR(AGGREGATE(14,6,$F$2:$F$501/(($A$2:$A$501="止损计划")*($B$2:$B$501=B407)*($E$2:$E$501&lt;=O407)),1),0))))</f>
        <v/>
      </c>
      <c r="R407" s="43" t="n"/>
      <c r="S407" s="44">
        <f>IF(A407&lt;&gt;"每日跟踪","",IF(Q407="","",MAX(Q407,IFERROR(AGGREGATE(14,6,$R$2:$R$501/(($A$2:$A$501="每日跟踪")*($B$2:$B$501=B407)*($H$2:$H$501&lt;=H407)),1),0))))</f>
        <v/>
      </c>
      <c r="T407" s="44">
        <f>IF(A407&lt;&gt;"每日跟踪","",IF(O407="","",IF(COUNTIFS($A$2:$A$501,"止损计划",$B$2:$B$501,B407,$E$2:$E$501,"&gt;"&amp;O407)=0,"",AGGREGATE(15,6,$E$2:$E$501/(($A$2:$A$501="止损计划")*($B$2:$B$501=B407)*($E$2:$E$501&gt;O407)),1))))</f>
        <v/>
      </c>
      <c r="U407" s="44">
        <f>IF(OR(A407&lt;&gt;"每日跟踪",T407=""),"",IFERROR(AGGREGATE(14,6,$F$2:$F$501/(($A$2:$A$501="止损计划")*($B$2:$B$501=B407)*($E$2:$E$501=T407)),1),""))</f>
        <v/>
      </c>
      <c r="V407" s="30">
        <f>IF(OR(A407&lt;&gt;"每日跟踪",T407="",I407="",I407&lt;=0),"",T407/I407-1)</f>
        <v/>
      </c>
      <c r="W407" s="31">
        <f>IF(A407&lt;&gt;"每日跟踪","",IF(OR(I407="",S407=""),"",IF(I407&lt;=S407,"触发止损：应全部卖出","继续观察")))</f>
        <v/>
      </c>
      <c r="X407" s="28" t="n"/>
      <c r="Y407" s="43" t="n"/>
      <c r="Z407" s="26">
        <f>IF(X407&lt;&gt;"执行卖出","",IFERROR(LOOKUP(2,1/(单次交易!$A$2:$A$201=B407),单次交易!$AP$2:$AP$201),""))</f>
        <v/>
      </c>
      <c r="AA407" s="43" t="n"/>
      <c r="AB407" s="31">
        <f>IF(A407&lt;&gt;"每日跟踪","",IF(OR(B407="",H407="",I407="",J407="",K407="",L407="",M407=""),"待补充每日记录",IF(W407="触发止损：应全部卖出",IF(X407&lt;&gt;"执行卖出","违规：触发止损但未执行",IF(Y407="","待补充实际卖出价","卖出记录完整")),IF(X407="","待选择卖出动作",IF(X407="执行卖出",IF(Y407="","待补充实际卖出价","卖出记录完整"),"正常")))))</f>
        <v/>
      </c>
      <c r="AC407" s="31">
        <f>IF(A407="","",IF(A407="止损计划",IF(OR(B407="",D407="",E407="",F407="",G407=""),"计划不完整",IF(OR(D407&lt;1,D407&lt;&gt;INT(D407)),"阶段序号无效",IF(COUNTIFS($A$2:$A$501,"止损计划",$B$2:$B$501,B407,$D$2:$D$501,D407)&gt;1,"阶段序号重复",IF(E407&lt;=IFERROR(LOOKUP(2,1/('单次交易'!$A$2:$A$201=B407),'单次交易'!$E$2:$E$201),0),"激活价须高于买入价",IF(F407&lt;N407,"止损价不得低于初始止损",IF(F407&gt;E407,"止损价不得高于激活价",IF(AND(COUNTIFS($A$2:$A$501,"止损计划",$B$2:$B$501,B407,$D$2:$D$501,"&lt;"&amp;D407)&gt;0,OR(E407&lt;=AGGREGATE(14,6,$E$2:$E$501/(($A$2:$A$501="止损计划")*($B$2:$B$501=B407)*($D$2:$D$501&lt;D407)),1),F407&lt;AGGREGATE(14,6,$F$2:$F$501/(($A$2:$A$501="止损计划")*($B$2:$B$501=B407)*($D$2:$D$501&lt;D407)),1))),"阶段价格必须逐级提高","计划有效"))))))),IF(A407="每日跟踪",IF(OR(B407="",H407="",I407="",J407=""),"每日数据不完整",IF(COUNTIFS($A$2:$A$501,"每日跟踪",$B$2:$B$501,B407,$H$2:$H$501,H407)&gt;1,"同一交易日期重复",IF(AND(R407&lt;&gt;"",R407&lt;S407),"人工止损无效：不能下调","跟踪有效"))),"记录类型无效")))</f>
        <v/>
      </c>
    </row>
    <row r="408">
      <c r="A408" s="28" t="n"/>
      <c r="B408" s="28" t="n"/>
      <c r="C408" s="31">
        <f>IF(B408="","",IFERROR(LOOKUP(2,1/(单次交易!$A$2:$A$201=B408),单次交易!$B$2:$B$201),""))</f>
        <v/>
      </c>
      <c r="D408" s="27" t="n"/>
      <c r="E408" s="43" t="n"/>
      <c r="F408" s="43" t="n"/>
      <c r="G408" s="28" t="n"/>
      <c r="H408" s="49" t="n"/>
      <c r="I408" s="43" t="n"/>
      <c r="J408" s="27" t="n"/>
      <c r="K408" s="28" t="n"/>
      <c r="L408" s="28" t="n"/>
      <c r="M408" s="28" t="n"/>
      <c r="N408" s="44">
        <f>IF(B408="","",IFERROR(LOOKUP(2,1/(单次交易!$A$2:$A$201=B408),单次交易!$N$2:$N$201),""))</f>
        <v/>
      </c>
      <c r="O408" s="44">
        <f>IF(A408&lt;&gt;"每日跟踪","",IF(OR(B408="",H408="",I408=""),"",IFERROR(AGGREGATE(14,6,$I$2:$I$501/(($A$2:$A$501="每日跟踪")*($B$2:$B$501=B408)*($H$2:$H$501&lt;=H408)),1),"")))</f>
        <v/>
      </c>
      <c r="P408" s="26">
        <f>IF(A408&lt;&gt;"每日跟踪","",IF(O408="","",IFERROR(AGGREGATE(14,6,$D$2:$D$501/(($A$2:$A$501="止损计划")*($B$2:$B$501=B408)*($E$2:$E$501&lt;=O408)),1),0)))</f>
        <v/>
      </c>
      <c r="Q408" s="44">
        <f>IF(A408&lt;&gt;"每日跟踪","",IF(N408="","",MAX(N408,IFERROR(AGGREGATE(14,6,$F$2:$F$501/(($A$2:$A$501="止损计划")*($B$2:$B$501=B408)*($E$2:$E$501&lt;=O408)),1),0))))</f>
        <v/>
      </c>
      <c r="R408" s="43" t="n"/>
      <c r="S408" s="44">
        <f>IF(A408&lt;&gt;"每日跟踪","",IF(Q408="","",MAX(Q408,IFERROR(AGGREGATE(14,6,$R$2:$R$501/(($A$2:$A$501="每日跟踪")*($B$2:$B$501=B408)*($H$2:$H$501&lt;=H408)),1),0))))</f>
        <v/>
      </c>
      <c r="T408" s="44">
        <f>IF(A408&lt;&gt;"每日跟踪","",IF(O408="","",IF(COUNTIFS($A$2:$A$501,"止损计划",$B$2:$B$501,B408,$E$2:$E$501,"&gt;"&amp;O408)=0,"",AGGREGATE(15,6,$E$2:$E$501/(($A$2:$A$501="止损计划")*($B$2:$B$501=B408)*($E$2:$E$501&gt;O408)),1))))</f>
        <v/>
      </c>
      <c r="U408" s="44">
        <f>IF(OR(A408&lt;&gt;"每日跟踪",T408=""),"",IFERROR(AGGREGATE(14,6,$F$2:$F$501/(($A$2:$A$501="止损计划")*($B$2:$B$501=B408)*($E$2:$E$501=T408)),1),""))</f>
        <v/>
      </c>
      <c r="V408" s="30">
        <f>IF(OR(A408&lt;&gt;"每日跟踪",T408="",I408="",I408&lt;=0),"",T408/I408-1)</f>
        <v/>
      </c>
      <c r="W408" s="31">
        <f>IF(A408&lt;&gt;"每日跟踪","",IF(OR(I408="",S408=""),"",IF(I408&lt;=S408,"触发止损：应全部卖出","继续观察")))</f>
        <v/>
      </c>
      <c r="X408" s="28" t="n"/>
      <c r="Y408" s="43" t="n"/>
      <c r="Z408" s="26">
        <f>IF(X408&lt;&gt;"执行卖出","",IFERROR(LOOKUP(2,1/(单次交易!$A$2:$A$201=B408),单次交易!$AP$2:$AP$201),""))</f>
        <v/>
      </c>
      <c r="AA408" s="43" t="n"/>
      <c r="AB408" s="31">
        <f>IF(A408&lt;&gt;"每日跟踪","",IF(OR(B408="",H408="",I408="",J408="",K408="",L408="",M408=""),"待补充每日记录",IF(W408="触发止损：应全部卖出",IF(X408&lt;&gt;"执行卖出","违规：触发止损但未执行",IF(Y408="","待补充实际卖出价","卖出记录完整")),IF(X408="","待选择卖出动作",IF(X408="执行卖出",IF(Y408="","待补充实际卖出价","卖出记录完整"),"正常")))))</f>
        <v/>
      </c>
      <c r="AC408" s="31">
        <f>IF(A408="","",IF(A408="止损计划",IF(OR(B408="",D408="",E408="",F408="",G408=""),"计划不完整",IF(OR(D408&lt;1,D408&lt;&gt;INT(D408)),"阶段序号无效",IF(COUNTIFS($A$2:$A$501,"止损计划",$B$2:$B$501,B408,$D$2:$D$501,D408)&gt;1,"阶段序号重复",IF(E408&lt;=IFERROR(LOOKUP(2,1/('单次交易'!$A$2:$A$201=B408),'单次交易'!$E$2:$E$201),0),"激活价须高于买入价",IF(F408&lt;N408,"止损价不得低于初始止损",IF(F408&gt;E408,"止损价不得高于激活价",IF(AND(COUNTIFS($A$2:$A$501,"止损计划",$B$2:$B$501,B408,$D$2:$D$501,"&lt;"&amp;D408)&gt;0,OR(E408&lt;=AGGREGATE(14,6,$E$2:$E$501/(($A$2:$A$501="止损计划")*($B$2:$B$501=B408)*($D$2:$D$501&lt;D408)),1),F408&lt;AGGREGATE(14,6,$F$2:$F$501/(($A$2:$A$501="止损计划")*($B$2:$B$501=B408)*($D$2:$D$501&lt;D408)),1))),"阶段价格必须逐级提高","计划有效"))))))),IF(A408="每日跟踪",IF(OR(B408="",H408="",I408="",J408=""),"每日数据不完整",IF(COUNTIFS($A$2:$A$501,"每日跟踪",$B$2:$B$501,B408,$H$2:$H$501,H408)&gt;1,"同一交易日期重复",IF(AND(R408&lt;&gt;"",R408&lt;S408),"人工止损无效：不能下调","跟踪有效"))),"记录类型无效")))</f>
        <v/>
      </c>
    </row>
    <row r="409">
      <c r="A409" s="28" t="n"/>
      <c r="B409" s="28" t="n"/>
      <c r="C409" s="31">
        <f>IF(B409="","",IFERROR(LOOKUP(2,1/(单次交易!$A$2:$A$201=B409),单次交易!$B$2:$B$201),""))</f>
        <v/>
      </c>
      <c r="D409" s="27" t="n"/>
      <c r="E409" s="43" t="n"/>
      <c r="F409" s="43" t="n"/>
      <c r="G409" s="28" t="n"/>
      <c r="H409" s="49" t="n"/>
      <c r="I409" s="43" t="n"/>
      <c r="J409" s="27" t="n"/>
      <c r="K409" s="28" t="n"/>
      <c r="L409" s="28" t="n"/>
      <c r="M409" s="28" t="n"/>
      <c r="N409" s="44">
        <f>IF(B409="","",IFERROR(LOOKUP(2,1/(单次交易!$A$2:$A$201=B409),单次交易!$N$2:$N$201),""))</f>
        <v/>
      </c>
      <c r="O409" s="44">
        <f>IF(A409&lt;&gt;"每日跟踪","",IF(OR(B409="",H409="",I409=""),"",IFERROR(AGGREGATE(14,6,$I$2:$I$501/(($A$2:$A$501="每日跟踪")*($B$2:$B$501=B409)*($H$2:$H$501&lt;=H409)),1),"")))</f>
        <v/>
      </c>
      <c r="P409" s="26">
        <f>IF(A409&lt;&gt;"每日跟踪","",IF(O409="","",IFERROR(AGGREGATE(14,6,$D$2:$D$501/(($A$2:$A$501="止损计划")*($B$2:$B$501=B409)*($E$2:$E$501&lt;=O409)),1),0)))</f>
        <v/>
      </c>
      <c r="Q409" s="44">
        <f>IF(A409&lt;&gt;"每日跟踪","",IF(N409="","",MAX(N409,IFERROR(AGGREGATE(14,6,$F$2:$F$501/(($A$2:$A$501="止损计划")*($B$2:$B$501=B409)*($E$2:$E$501&lt;=O409)),1),0))))</f>
        <v/>
      </c>
      <c r="R409" s="43" t="n"/>
      <c r="S409" s="44">
        <f>IF(A409&lt;&gt;"每日跟踪","",IF(Q409="","",MAX(Q409,IFERROR(AGGREGATE(14,6,$R$2:$R$501/(($A$2:$A$501="每日跟踪")*($B$2:$B$501=B409)*($H$2:$H$501&lt;=H409)),1),0))))</f>
        <v/>
      </c>
      <c r="T409" s="44">
        <f>IF(A409&lt;&gt;"每日跟踪","",IF(O409="","",IF(COUNTIFS($A$2:$A$501,"止损计划",$B$2:$B$501,B409,$E$2:$E$501,"&gt;"&amp;O409)=0,"",AGGREGATE(15,6,$E$2:$E$501/(($A$2:$A$501="止损计划")*($B$2:$B$501=B409)*($E$2:$E$501&gt;O409)),1))))</f>
        <v/>
      </c>
      <c r="U409" s="44">
        <f>IF(OR(A409&lt;&gt;"每日跟踪",T409=""),"",IFERROR(AGGREGATE(14,6,$F$2:$F$501/(($A$2:$A$501="止损计划")*($B$2:$B$501=B409)*($E$2:$E$501=T409)),1),""))</f>
        <v/>
      </c>
      <c r="V409" s="30">
        <f>IF(OR(A409&lt;&gt;"每日跟踪",T409="",I409="",I409&lt;=0),"",T409/I409-1)</f>
        <v/>
      </c>
      <c r="W409" s="31">
        <f>IF(A409&lt;&gt;"每日跟踪","",IF(OR(I409="",S409=""),"",IF(I409&lt;=S409,"触发止损：应全部卖出","继续观察")))</f>
        <v/>
      </c>
      <c r="X409" s="28" t="n"/>
      <c r="Y409" s="43" t="n"/>
      <c r="Z409" s="26">
        <f>IF(X409&lt;&gt;"执行卖出","",IFERROR(LOOKUP(2,1/(单次交易!$A$2:$A$201=B409),单次交易!$AP$2:$AP$201),""))</f>
        <v/>
      </c>
      <c r="AA409" s="43" t="n"/>
      <c r="AB409" s="31">
        <f>IF(A409&lt;&gt;"每日跟踪","",IF(OR(B409="",H409="",I409="",J409="",K409="",L409="",M409=""),"待补充每日记录",IF(W409="触发止损：应全部卖出",IF(X409&lt;&gt;"执行卖出","违规：触发止损但未执行",IF(Y409="","待补充实际卖出价","卖出记录完整")),IF(X409="","待选择卖出动作",IF(X409="执行卖出",IF(Y409="","待补充实际卖出价","卖出记录完整"),"正常")))))</f>
        <v/>
      </c>
      <c r="AC409" s="31">
        <f>IF(A409="","",IF(A409="止损计划",IF(OR(B409="",D409="",E409="",F409="",G409=""),"计划不完整",IF(OR(D409&lt;1,D409&lt;&gt;INT(D409)),"阶段序号无效",IF(COUNTIFS($A$2:$A$501,"止损计划",$B$2:$B$501,B409,$D$2:$D$501,D409)&gt;1,"阶段序号重复",IF(E409&lt;=IFERROR(LOOKUP(2,1/('单次交易'!$A$2:$A$201=B409),'单次交易'!$E$2:$E$201),0),"激活价须高于买入价",IF(F409&lt;N409,"止损价不得低于初始止损",IF(F409&gt;E409,"止损价不得高于激活价",IF(AND(COUNTIFS($A$2:$A$501,"止损计划",$B$2:$B$501,B409,$D$2:$D$501,"&lt;"&amp;D409)&gt;0,OR(E409&lt;=AGGREGATE(14,6,$E$2:$E$501/(($A$2:$A$501="止损计划")*($B$2:$B$501=B409)*($D$2:$D$501&lt;D409)),1),F409&lt;AGGREGATE(14,6,$F$2:$F$501/(($A$2:$A$501="止损计划")*($B$2:$B$501=B409)*($D$2:$D$501&lt;D409)),1))),"阶段价格必须逐级提高","计划有效"))))))),IF(A409="每日跟踪",IF(OR(B409="",H409="",I409="",J409=""),"每日数据不完整",IF(COUNTIFS($A$2:$A$501,"每日跟踪",$B$2:$B$501,B409,$H$2:$H$501,H409)&gt;1,"同一交易日期重复",IF(AND(R409&lt;&gt;"",R409&lt;S409),"人工止损无效：不能下调","跟踪有效"))),"记录类型无效")))</f>
        <v/>
      </c>
    </row>
    <row r="410">
      <c r="A410" s="28" t="n"/>
      <c r="B410" s="28" t="n"/>
      <c r="C410" s="31">
        <f>IF(B410="","",IFERROR(LOOKUP(2,1/(单次交易!$A$2:$A$201=B410),单次交易!$B$2:$B$201),""))</f>
        <v/>
      </c>
      <c r="D410" s="27" t="n"/>
      <c r="E410" s="43" t="n"/>
      <c r="F410" s="43" t="n"/>
      <c r="G410" s="28" t="n"/>
      <c r="H410" s="49" t="n"/>
      <c r="I410" s="43" t="n"/>
      <c r="J410" s="27" t="n"/>
      <c r="K410" s="28" t="n"/>
      <c r="L410" s="28" t="n"/>
      <c r="M410" s="28" t="n"/>
      <c r="N410" s="44">
        <f>IF(B410="","",IFERROR(LOOKUP(2,1/(单次交易!$A$2:$A$201=B410),单次交易!$N$2:$N$201),""))</f>
        <v/>
      </c>
      <c r="O410" s="44">
        <f>IF(A410&lt;&gt;"每日跟踪","",IF(OR(B410="",H410="",I410=""),"",IFERROR(AGGREGATE(14,6,$I$2:$I$501/(($A$2:$A$501="每日跟踪")*($B$2:$B$501=B410)*($H$2:$H$501&lt;=H410)),1),"")))</f>
        <v/>
      </c>
      <c r="P410" s="26">
        <f>IF(A410&lt;&gt;"每日跟踪","",IF(O410="","",IFERROR(AGGREGATE(14,6,$D$2:$D$501/(($A$2:$A$501="止损计划")*($B$2:$B$501=B410)*($E$2:$E$501&lt;=O410)),1),0)))</f>
        <v/>
      </c>
      <c r="Q410" s="44">
        <f>IF(A410&lt;&gt;"每日跟踪","",IF(N410="","",MAX(N410,IFERROR(AGGREGATE(14,6,$F$2:$F$501/(($A$2:$A$501="止损计划")*($B$2:$B$501=B410)*($E$2:$E$501&lt;=O410)),1),0))))</f>
        <v/>
      </c>
      <c r="R410" s="43" t="n"/>
      <c r="S410" s="44">
        <f>IF(A410&lt;&gt;"每日跟踪","",IF(Q410="","",MAX(Q410,IFERROR(AGGREGATE(14,6,$R$2:$R$501/(($A$2:$A$501="每日跟踪")*($B$2:$B$501=B410)*($H$2:$H$501&lt;=H410)),1),0))))</f>
        <v/>
      </c>
      <c r="T410" s="44">
        <f>IF(A410&lt;&gt;"每日跟踪","",IF(O410="","",IF(COUNTIFS($A$2:$A$501,"止损计划",$B$2:$B$501,B410,$E$2:$E$501,"&gt;"&amp;O410)=0,"",AGGREGATE(15,6,$E$2:$E$501/(($A$2:$A$501="止损计划")*($B$2:$B$501=B410)*($E$2:$E$501&gt;O410)),1))))</f>
        <v/>
      </c>
      <c r="U410" s="44">
        <f>IF(OR(A410&lt;&gt;"每日跟踪",T410=""),"",IFERROR(AGGREGATE(14,6,$F$2:$F$501/(($A$2:$A$501="止损计划")*($B$2:$B$501=B410)*($E$2:$E$501=T410)),1),""))</f>
        <v/>
      </c>
      <c r="V410" s="30">
        <f>IF(OR(A410&lt;&gt;"每日跟踪",T410="",I410="",I410&lt;=0),"",T410/I410-1)</f>
        <v/>
      </c>
      <c r="W410" s="31">
        <f>IF(A410&lt;&gt;"每日跟踪","",IF(OR(I410="",S410=""),"",IF(I410&lt;=S410,"触发止损：应全部卖出","继续观察")))</f>
        <v/>
      </c>
      <c r="X410" s="28" t="n"/>
      <c r="Y410" s="43" t="n"/>
      <c r="Z410" s="26">
        <f>IF(X410&lt;&gt;"执行卖出","",IFERROR(LOOKUP(2,1/(单次交易!$A$2:$A$201=B410),单次交易!$AP$2:$AP$201),""))</f>
        <v/>
      </c>
      <c r="AA410" s="43" t="n"/>
      <c r="AB410" s="31">
        <f>IF(A410&lt;&gt;"每日跟踪","",IF(OR(B410="",H410="",I410="",J410="",K410="",L410="",M410=""),"待补充每日记录",IF(W410="触发止损：应全部卖出",IF(X410&lt;&gt;"执行卖出","违规：触发止损但未执行",IF(Y410="","待补充实际卖出价","卖出记录完整")),IF(X410="","待选择卖出动作",IF(X410="执行卖出",IF(Y410="","待补充实际卖出价","卖出记录完整"),"正常")))))</f>
        <v/>
      </c>
      <c r="AC410" s="31">
        <f>IF(A410="","",IF(A410="止损计划",IF(OR(B410="",D410="",E410="",F410="",G410=""),"计划不完整",IF(OR(D410&lt;1,D410&lt;&gt;INT(D410)),"阶段序号无效",IF(COUNTIFS($A$2:$A$501,"止损计划",$B$2:$B$501,B410,$D$2:$D$501,D410)&gt;1,"阶段序号重复",IF(E410&lt;=IFERROR(LOOKUP(2,1/('单次交易'!$A$2:$A$201=B410),'单次交易'!$E$2:$E$201),0),"激活价须高于买入价",IF(F410&lt;N410,"止损价不得低于初始止损",IF(F410&gt;E410,"止损价不得高于激活价",IF(AND(COUNTIFS($A$2:$A$501,"止损计划",$B$2:$B$501,B410,$D$2:$D$501,"&lt;"&amp;D410)&gt;0,OR(E410&lt;=AGGREGATE(14,6,$E$2:$E$501/(($A$2:$A$501="止损计划")*($B$2:$B$501=B410)*($D$2:$D$501&lt;D410)),1),F410&lt;AGGREGATE(14,6,$F$2:$F$501/(($A$2:$A$501="止损计划")*($B$2:$B$501=B410)*($D$2:$D$501&lt;D410)),1))),"阶段价格必须逐级提高","计划有效"))))))),IF(A410="每日跟踪",IF(OR(B410="",H410="",I410="",J410=""),"每日数据不完整",IF(COUNTIFS($A$2:$A$501,"每日跟踪",$B$2:$B$501,B410,$H$2:$H$501,H410)&gt;1,"同一交易日期重复",IF(AND(R410&lt;&gt;"",R410&lt;S410),"人工止损无效：不能下调","跟踪有效"))),"记录类型无效")))</f>
        <v/>
      </c>
    </row>
    <row r="411">
      <c r="A411" s="28" t="n"/>
      <c r="B411" s="28" t="n"/>
      <c r="C411" s="31">
        <f>IF(B411="","",IFERROR(LOOKUP(2,1/(单次交易!$A$2:$A$201=B411),单次交易!$B$2:$B$201),""))</f>
        <v/>
      </c>
      <c r="D411" s="27" t="n"/>
      <c r="E411" s="43" t="n"/>
      <c r="F411" s="43" t="n"/>
      <c r="G411" s="28" t="n"/>
      <c r="H411" s="49" t="n"/>
      <c r="I411" s="43" t="n"/>
      <c r="J411" s="27" t="n"/>
      <c r="K411" s="28" t="n"/>
      <c r="L411" s="28" t="n"/>
      <c r="M411" s="28" t="n"/>
      <c r="N411" s="44">
        <f>IF(B411="","",IFERROR(LOOKUP(2,1/(单次交易!$A$2:$A$201=B411),单次交易!$N$2:$N$201),""))</f>
        <v/>
      </c>
      <c r="O411" s="44">
        <f>IF(A411&lt;&gt;"每日跟踪","",IF(OR(B411="",H411="",I411=""),"",IFERROR(AGGREGATE(14,6,$I$2:$I$501/(($A$2:$A$501="每日跟踪")*($B$2:$B$501=B411)*($H$2:$H$501&lt;=H411)),1),"")))</f>
        <v/>
      </c>
      <c r="P411" s="26">
        <f>IF(A411&lt;&gt;"每日跟踪","",IF(O411="","",IFERROR(AGGREGATE(14,6,$D$2:$D$501/(($A$2:$A$501="止损计划")*($B$2:$B$501=B411)*($E$2:$E$501&lt;=O411)),1),0)))</f>
        <v/>
      </c>
      <c r="Q411" s="44">
        <f>IF(A411&lt;&gt;"每日跟踪","",IF(N411="","",MAX(N411,IFERROR(AGGREGATE(14,6,$F$2:$F$501/(($A$2:$A$501="止损计划")*($B$2:$B$501=B411)*($E$2:$E$501&lt;=O411)),1),0))))</f>
        <v/>
      </c>
      <c r="R411" s="43" t="n"/>
      <c r="S411" s="44">
        <f>IF(A411&lt;&gt;"每日跟踪","",IF(Q411="","",MAX(Q411,IFERROR(AGGREGATE(14,6,$R$2:$R$501/(($A$2:$A$501="每日跟踪")*($B$2:$B$501=B411)*($H$2:$H$501&lt;=H411)),1),0))))</f>
        <v/>
      </c>
      <c r="T411" s="44">
        <f>IF(A411&lt;&gt;"每日跟踪","",IF(O411="","",IF(COUNTIFS($A$2:$A$501,"止损计划",$B$2:$B$501,B411,$E$2:$E$501,"&gt;"&amp;O411)=0,"",AGGREGATE(15,6,$E$2:$E$501/(($A$2:$A$501="止损计划")*($B$2:$B$501=B411)*($E$2:$E$501&gt;O411)),1))))</f>
        <v/>
      </c>
      <c r="U411" s="44">
        <f>IF(OR(A411&lt;&gt;"每日跟踪",T411=""),"",IFERROR(AGGREGATE(14,6,$F$2:$F$501/(($A$2:$A$501="止损计划")*($B$2:$B$501=B411)*($E$2:$E$501=T411)),1),""))</f>
        <v/>
      </c>
      <c r="V411" s="30">
        <f>IF(OR(A411&lt;&gt;"每日跟踪",T411="",I411="",I411&lt;=0),"",T411/I411-1)</f>
        <v/>
      </c>
      <c r="W411" s="31">
        <f>IF(A411&lt;&gt;"每日跟踪","",IF(OR(I411="",S411=""),"",IF(I411&lt;=S411,"触发止损：应全部卖出","继续观察")))</f>
        <v/>
      </c>
      <c r="X411" s="28" t="n"/>
      <c r="Y411" s="43" t="n"/>
      <c r="Z411" s="26">
        <f>IF(X411&lt;&gt;"执行卖出","",IFERROR(LOOKUP(2,1/(单次交易!$A$2:$A$201=B411),单次交易!$AP$2:$AP$201),""))</f>
        <v/>
      </c>
      <c r="AA411" s="43" t="n"/>
      <c r="AB411" s="31">
        <f>IF(A411&lt;&gt;"每日跟踪","",IF(OR(B411="",H411="",I411="",J411="",K411="",L411="",M411=""),"待补充每日记录",IF(W411="触发止损：应全部卖出",IF(X411&lt;&gt;"执行卖出","违规：触发止损但未执行",IF(Y411="","待补充实际卖出价","卖出记录完整")),IF(X411="","待选择卖出动作",IF(X411="执行卖出",IF(Y411="","待补充实际卖出价","卖出记录完整"),"正常")))))</f>
        <v/>
      </c>
      <c r="AC411" s="31">
        <f>IF(A411="","",IF(A411="止损计划",IF(OR(B411="",D411="",E411="",F411="",G411=""),"计划不完整",IF(OR(D411&lt;1,D411&lt;&gt;INT(D411)),"阶段序号无效",IF(COUNTIFS($A$2:$A$501,"止损计划",$B$2:$B$501,B411,$D$2:$D$501,D411)&gt;1,"阶段序号重复",IF(E411&lt;=IFERROR(LOOKUP(2,1/('单次交易'!$A$2:$A$201=B411),'单次交易'!$E$2:$E$201),0),"激活价须高于买入价",IF(F411&lt;N411,"止损价不得低于初始止损",IF(F411&gt;E411,"止损价不得高于激活价",IF(AND(COUNTIFS($A$2:$A$501,"止损计划",$B$2:$B$501,B411,$D$2:$D$501,"&lt;"&amp;D411)&gt;0,OR(E411&lt;=AGGREGATE(14,6,$E$2:$E$501/(($A$2:$A$501="止损计划")*($B$2:$B$501=B411)*($D$2:$D$501&lt;D411)),1),F411&lt;AGGREGATE(14,6,$F$2:$F$501/(($A$2:$A$501="止损计划")*($B$2:$B$501=B411)*($D$2:$D$501&lt;D411)),1))),"阶段价格必须逐级提高","计划有效"))))))),IF(A411="每日跟踪",IF(OR(B411="",H411="",I411="",J411=""),"每日数据不完整",IF(COUNTIFS($A$2:$A$501,"每日跟踪",$B$2:$B$501,B411,$H$2:$H$501,H411)&gt;1,"同一交易日期重复",IF(AND(R411&lt;&gt;"",R411&lt;S411),"人工止损无效：不能下调","跟踪有效"))),"记录类型无效")))</f>
        <v/>
      </c>
    </row>
    <row r="412">
      <c r="A412" s="28" t="n"/>
      <c r="B412" s="28" t="n"/>
      <c r="C412" s="31">
        <f>IF(B412="","",IFERROR(LOOKUP(2,1/(单次交易!$A$2:$A$201=B412),单次交易!$B$2:$B$201),""))</f>
        <v/>
      </c>
      <c r="D412" s="27" t="n"/>
      <c r="E412" s="43" t="n"/>
      <c r="F412" s="43" t="n"/>
      <c r="G412" s="28" t="n"/>
      <c r="H412" s="49" t="n"/>
      <c r="I412" s="43" t="n"/>
      <c r="J412" s="27" t="n"/>
      <c r="K412" s="28" t="n"/>
      <c r="L412" s="28" t="n"/>
      <c r="M412" s="28" t="n"/>
      <c r="N412" s="44">
        <f>IF(B412="","",IFERROR(LOOKUP(2,1/(单次交易!$A$2:$A$201=B412),单次交易!$N$2:$N$201),""))</f>
        <v/>
      </c>
      <c r="O412" s="44">
        <f>IF(A412&lt;&gt;"每日跟踪","",IF(OR(B412="",H412="",I412=""),"",IFERROR(AGGREGATE(14,6,$I$2:$I$501/(($A$2:$A$501="每日跟踪")*($B$2:$B$501=B412)*($H$2:$H$501&lt;=H412)),1),"")))</f>
        <v/>
      </c>
      <c r="P412" s="26">
        <f>IF(A412&lt;&gt;"每日跟踪","",IF(O412="","",IFERROR(AGGREGATE(14,6,$D$2:$D$501/(($A$2:$A$501="止损计划")*($B$2:$B$501=B412)*($E$2:$E$501&lt;=O412)),1),0)))</f>
        <v/>
      </c>
      <c r="Q412" s="44">
        <f>IF(A412&lt;&gt;"每日跟踪","",IF(N412="","",MAX(N412,IFERROR(AGGREGATE(14,6,$F$2:$F$501/(($A$2:$A$501="止损计划")*($B$2:$B$501=B412)*($E$2:$E$501&lt;=O412)),1),0))))</f>
        <v/>
      </c>
      <c r="R412" s="43" t="n"/>
      <c r="S412" s="44">
        <f>IF(A412&lt;&gt;"每日跟踪","",IF(Q412="","",MAX(Q412,IFERROR(AGGREGATE(14,6,$R$2:$R$501/(($A$2:$A$501="每日跟踪")*($B$2:$B$501=B412)*($H$2:$H$501&lt;=H412)),1),0))))</f>
        <v/>
      </c>
      <c r="T412" s="44">
        <f>IF(A412&lt;&gt;"每日跟踪","",IF(O412="","",IF(COUNTIFS($A$2:$A$501,"止损计划",$B$2:$B$501,B412,$E$2:$E$501,"&gt;"&amp;O412)=0,"",AGGREGATE(15,6,$E$2:$E$501/(($A$2:$A$501="止损计划")*($B$2:$B$501=B412)*($E$2:$E$501&gt;O412)),1))))</f>
        <v/>
      </c>
      <c r="U412" s="44">
        <f>IF(OR(A412&lt;&gt;"每日跟踪",T412=""),"",IFERROR(AGGREGATE(14,6,$F$2:$F$501/(($A$2:$A$501="止损计划")*($B$2:$B$501=B412)*($E$2:$E$501=T412)),1),""))</f>
        <v/>
      </c>
      <c r="V412" s="30">
        <f>IF(OR(A412&lt;&gt;"每日跟踪",T412="",I412="",I412&lt;=0),"",T412/I412-1)</f>
        <v/>
      </c>
      <c r="W412" s="31">
        <f>IF(A412&lt;&gt;"每日跟踪","",IF(OR(I412="",S412=""),"",IF(I412&lt;=S412,"触发止损：应全部卖出","继续观察")))</f>
        <v/>
      </c>
      <c r="X412" s="28" t="n"/>
      <c r="Y412" s="43" t="n"/>
      <c r="Z412" s="26">
        <f>IF(X412&lt;&gt;"执行卖出","",IFERROR(LOOKUP(2,1/(单次交易!$A$2:$A$201=B412),单次交易!$AP$2:$AP$201),""))</f>
        <v/>
      </c>
      <c r="AA412" s="43" t="n"/>
      <c r="AB412" s="31">
        <f>IF(A412&lt;&gt;"每日跟踪","",IF(OR(B412="",H412="",I412="",J412="",K412="",L412="",M412=""),"待补充每日记录",IF(W412="触发止损：应全部卖出",IF(X412&lt;&gt;"执行卖出","违规：触发止损但未执行",IF(Y412="","待补充实际卖出价","卖出记录完整")),IF(X412="","待选择卖出动作",IF(X412="执行卖出",IF(Y412="","待补充实际卖出价","卖出记录完整"),"正常")))))</f>
        <v/>
      </c>
      <c r="AC412" s="31">
        <f>IF(A412="","",IF(A412="止损计划",IF(OR(B412="",D412="",E412="",F412="",G412=""),"计划不完整",IF(OR(D412&lt;1,D412&lt;&gt;INT(D412)),"阶段序号无效",IF(COUNTIFS($A$2:$A$501,"止损计划",$B$2:$B$501,B412,$D$2:$D$501,D412)&gt;1,"阶段序号重复",IF(E412&lt;=IFERROR(LOOKUP(2,1/('单次交易'!$A$2:$A$201=B412),'单次交易'!$E$2:$E$201),0),"激活价须高于买入价",IF(F412&lt;N412,"止损价不得低于初始止损",IF(F412&gt;E412,"止损价不得高于激活价",IF(AND(COUNTIFS($A$2:$A$501,"止损计划",$B$2:$B$501,B412,$D$2:$D$501,"&lt;"&amp;D412)&gt;0,OR(E412&lt;=AGGREGATE(14,6,$E$2:$E$501/(($A$2:$A$501="止损计划")*($B$2:$B$501=B412)*($D$2:$D$501&lt;D412)),1),F412&lt;AGGREGATE(14,6,$F$2:$F$501/(($A$2:$A$501="止损计划")*($B$2:$B$501=B412)*($D$2:$D$501&lt;D412)),1))),"阶段价格必须逐级提高","计划有效"))))))),IF(A412="每日跟踪",IF(OR(B412="",H412="",I412="",J412=""),"每日数据不完整",IF(COUNTIFS($A$2:$A$501,"每日跟踪",$B$2:$B$501,B412,$H$2:$H$501,H412)&gt;1,"同一交易日期重复",IF(AND(R412&lt;&gt;"",R412&lt;S412),"人工止损无效：不能下调","跟踪有效"))),"记录类型无效")))</f>
        <v/>
      </c>
    </row>
    <row r="413">
      <c r="A413" s="28" t="n"/>
      <c r="B413" s="28" t="n"/>
      <c r="C413" s="31">
        <f>IF(B413="","",IFERROR(LOOKUP(2,1/(单次交易!$A$2:$A$201=B413),单次交易!$B$2:$B$201),""))</f>
        <v/>
      </c>
      <c r="D413" s="27" t="n"/>
      <c r="E413" s="43" t="n"/>
      <c r="F413" s="43" t="n"/>
      <c r="G413" s="28" t="n"/>
      <c r="H413" s="49" t="n"/>
      <c r="I413" s="43" t="n"/>
      <c r="J413" s="27" t="n"/>
      <c r="K413" s="28" t="n"/>
      <c r="L413" s="28" t="n"/>
      <c r="M413" s="28" t="n"/>
      <c r="N413" s="44">
        <f>IF(B413="","",IFERROR(LOOKUP(2,1/(单次交易!$A$2:$A$201=B413),单次交易!$N$2:$N$201),""))</f>
        <v/>
      </c>
      <c r="O413" s="44">
        <f>IF(A413&lt;&gt;"每日跟踪","",IF(OR(B413="",H413="",I413=""),"",IFERROR(AGGREGATE(14,6,$I$2:$I$501/(($A$2:$A$501="每日跟踪")*($B$2:$B$501=B413)*($H$2:$H$501&lt;=H413)),1),"")))</f>
        <v/>
      </c>
      <c r="P413" s="26">
        <f>IF(A413&lt;&gt;"每日跟踪","",IF(O413="","",IFERROR(AGGREGATE(14,6,$D$2:$D$501/(($A$2:$A$501="止损计划")*($B$2:$B$501=B413)*($E$2:$E$501&lt;=O413)),1),0)))</f>
        <v/>
      </c>
      <c r="Q413" s="44">
        <f>IF(A413&lt;&gt;"每日跟踪","",IF(N413="","",MAX(N413,IFERROR(AGGREGATE(14,6,$F$2:$F$501/(($A$2:$A$501="止损计划")*($B$2:$B$501=B413)*($E$2:$E$501&lt;=O413)),1),0))))</f>
        <v/>
      </c>
      <c r="R413" s="43" t="n"/>
      <c r="S413" s="44">
        <f>IF(A413&lt;&gt;"每日跟踪","",IF(Q413="","",MAX(Q413,IFERROR(AGGREGATE(14,6,$R$2:$R$501/(($A$2:$A$501="每日跟踪")*($B$2:$B$501=B413)*($H$2:$H$501&lt;=H413)),1),0))))</f>
        <v/>
      </c>
      <c r="T413" s="44">
        <f>IF(A413&lt;&gt;"每日跟踪","",IF(O413="","",IF(COUNTIFS($A$2:$A$501,"止损计划",$B$2:$B$501,B413,$E$2:$E$501,"&gt;"&amp;O413)=0,"",AGGREGATE(15,6,$E$2:$E$501/(($A$2:$A$501="止损计划")*($B$2:$B$501=B413)*($E$2:$E$501&gt;O413)),1))))</f>
        <v/>
      </c>
      <c r="U413" s="44">
        <f>IF(OR(A413&lt;&gt;"每日跟踪",T413=""),"",IFERROR(AGGREGATE(14,6,$F$2:$F$501/(($A$2:$A$501="止损计划")*($B$2:$B$501=B413)*($E$2:$E$501=T413)),1),""))</f>
        <v/>
      </c>
      <c r="V413" s="30">
        <f>IF(OR(A413&lt;&gt;"每日跟踪",T413="",I413="",I413&lt;=0),"",T413/I413-1)</f>
        <v/>
      </c>
      <c r="W413" s="31">
        <f>IF(A413&lt;&gt;"每日跟踪","",IF(OR(I413="",S413=""),"",IF(I413&lt;=S413,"触发止损：应全部卖出","继续观察")))</f>
        <v/>
      </c>
      <c r="X413" s="28" t="n"/>
      <c r="Y413" s="43" t="n"/>
      <c r="Z413" s="26">
        <f>IF(X413&lt;&gt;"执行卖出","",IFERROR(LOOKUP(2,1/(单次交易!$A$2:$A$201=B413),单次交易!$AP$2:$AP$201),""))</f>
        <v/>
      </c>
      <c r="AA413" s="43" t="n"/>
      <c r="AB413" s="31">
        <f>IF(A413&lt;&gt;"每日跟踪","",IF(OR(B413="",H413="",I413="",J413="",K413="",L413="",M413=""),"待补充每日记录",IF(W413="触发止损：应全部卖出",IF(X413&lt;&gt;"执行卖出","违规：触发止损但未执行",IF(Y413="","待补充实际卖出价","卖出记录完整")),IF(X413="","待选择卖出动作",IF(X413="执行卖出",IF(Y413="","待补充实际卖出价","卖出记录完整"),"正常")))))</f>
        <v/>
      </c>
      <c r="AC413" s="31">
        <f>IF(A413="","",IF(A413="止损计划",IF(OR(B413="",D413="",E413="",F413="",G413=""),"计划不完整",IF(OR(D413&lt;1,D413&lt;&gt;INT(D413)),"阶段序号无效",IF(COUNTIFS($A$2:$A$501,"止损计划",$B$2:$B$501,B413,$D$2:$D$501,D413)&gt;1,"阶段序号重复",IF(E413&lt;=IFERROR(LOOKUP(2,1/('单次交易'!$A$2:$A$201=B413),'单次交易'!$E$2:$E$201),0),"激活价须高于买入价",IF(F413&lt;N413,"止损价不得低于初始止损",IF(F413&gt;E413,"止损价不得高于激活价",IF(AND(COUNTIFS($A$2:$A$501,"止损计划",$B$2:$B$501,B413,$D$2:$D$501,"&lt;"&amp;D413)&gt;0,OR(E413&lt;=AGGREGATE(14,6,$E$2:$E$501/(($A$2:$A$501="止损计划")*($B$2:$B$501=B413)*($D$2:$D$501&lt;D413)),1),F413&lt;AGGREGATE(14,6,$F$2:$F$501/(($A$2:$A$501="止损计划")*($B$2:$B$501=B413)*($D$2:$D$501&lt;D413)),1))),"阶段价格必须逐级提高","计划有效"))))))),IF(A413="每日跟踪",IF(OR(B413="",H413="",I413="",J413=""),"每日数据不完整",IF(COUNTIFS($A$2:$A$501,"每日跟踪",$B$2:$B$501,B413,$H$2:$H$501,H413)&gt;1,"同一交易日期重复",IF(AND(R413&lt;&gt;"",R413&lt;S413),"人工止损无效：不能下调","跟踪有效"))),"记录类型无效")))</f>
        <v/>
      </c>
    </row>
    <row r="414">
      <c r="A414" s="28" t="n"/>
      <c r="B414" s="28" t="n"/>
      <c r="C414" s="31">
        <f>IF(B414="","",IFERROR(LOOKUP(2,1/(单次交易!$A$2:$A$201=B414),单次交易!$B$2:$B$201),""))</f>
        <v/>
      </c>
      <c r="D414" s="27" t="n"/>
      <c r="E414" s="43" t="n"/>
      <c r="F414" s="43" t="n"/>
      <c r="G414" s="28" t="n"/>
      <c r="H414" s="49" t="n"/>
      <c r="I414" s="43" t="n"/>
      <c r="J414" s="27" t="n"/>
      <c r="K414" s="28" t="n"/>
      <c r="L414" s="28" t="n"/>
      <c r="M414" s="28" t="n"/>
      <c r="N414" s="44">
        <f>IF(B414="","",IFERROR(LOOKUP(2,1/(单次交易!$A$2:$A$201=B414),单次交易!$N$2:$N$201),""))</f>
        <v/>
      </c>
      <c r="O414" s="44">
        <f>IF(A414&lt;&gt;"每日跟踪","",IF(OR(B414="",H414="",I414=""),"",IFERROR(AGGREGATE(14,6,$I$2:$I$501/(($A$2:$A$501="每日跟踪")*($B$2:$B$501=B414)*($H$2:$H$501&lt;=H414)),1),"")))</f>
        <v/>
      </c>
      <c r="P414" s="26">
        <f>IF(A414&lt;&gt;"每日跟踪","",IF(O414="","",IFERROR(AGGREGATE(14,6,$D$2:$D$501/(($A$2:$A$501="止损计划")*($B$2:$B$501=B414)*($E$2:$E$501&lt;=O414)),1),0)))</f>
        <v/>
      </c>
      <c r="Q414" s="44">
        <f>IF(A414&lt;&gt;"每日跟踪","",IF(N414="","",MAX(N414,IFERROR(AGGREGATE(14,6,$F$2:$F$501/(($A$2:$A$501="止损计划")*($B$2:$B$501=B414)*($E$2:$E$501&lt;=O414)),1),0))))</f>
        <v/>
      </c>
      <c r="R414" s="43" t="n"/>
      <c r="S414" s="44">
        <f>IF(A414&lt;&gt;"每日跟踪","",IF(Q414="","",MAX(Q414,IFERROR(AGGREGATE(14,6,$R$2:$R$501/(($A$2:$A$501="每日跟踪")*($B$2:$B$501=B414)*($H$2:$H$501&lt;=H414)),1),0))))</f>
        <v/>
      </c>
      <c r="T414" s="44">
        <f>IF(A414&lt;&gt;"每日跟踪","",IF(O414="","",IF(COUNTIFS($A$2:$A$501,"止损计划",$B$2:$B$501,B414,$E$2:$E$501,"&gt;"&amp;O414)=0,"",AGGREGATE(15,6,$E$2:$E$501/(($A$2:$A$501="止损计划")*($B$2:$B$501=B414)*($E$2:$E$501&gt;O414)),1))))</f>
        <v/>
      </c>
      <c r="U414" s="44">
        <f>IF(OR(A414&lt;&gt;"每日跟踪",T414=""),"",IFERROR(AGGREGATE(14,6,$F$2:$F$501/(($A$2:$A$501="止损计划")*($B$2:$B$501=B414)*($E$2:$E$501=T414)),1),""))</f>
        <v/>
      </c>
      <c r="V414" s="30">
        <f>IF(OR(A414&lt;&gt;"每日跟踪",T414="",I414="",I414&lt;=0),"",T414/I414-1)</f>
        <v/>
      </c>
      <c r="W414" s="31">
        <f>IF(A414&lt;&gt;"每日跟踪","",IF(OR(I414="",S414=""),"",IF(I414&lt;=S414,"触发止损：应全部卖出","继续观察")))</f>
        <v/>
      </c>
      <c r="X414" s="28" t="n"/>
      <c r="Y414" s="43" t="n"/>
      <c r="Z414" s="26">
        <f>IF(X414&lt;&gt;"执行卖出","",IFERROR(LOOKUP(2,1/(单次交易!$A$2:$A$201=B414),单次交易!$AP$2:$AP$201),""))</f>
        <v/>
      </c>
      <c r="AA414" s="43" t="n"/>
      <c r="AB414" s="31">
        <f>IF(A414&lt;&gt;"每日跟踪","",IF(OR(B414="",H414="",I414="",J414="",K414="",L414="",M414=""),"待补充每日记录",IF(W414="触发止损：应全部卖出",IF(X414&lt;&gt;"执行卖出","违规：触发止损但未执行",IF(Y414="","待补充实际卖出价","卖出记录完整")),IF(X414="","待选择卖出动作",IF(X414="执行卖出",IF(Y414="","待补充实际卖出价","卖出记录完整"),"正常")))))</f>
        <v/>
      </c>
      <c r="AC414" s="31">
        <f>IF(A414="","",IF(A414="止损计划",IF(OR(B414="",D414="",E414="",F414="",G414=""),"计划不完整",IF(OR(D414&lt;1,D414&lt;&gt;INT(D414)),"阶段序号无效",IF(COUNTIFS($A$2:$A$501,"止损计划",$B$2:$B$501,B414,$D$2:$D$501,D414)&gt;1,"阶段序号重复",IF(E414&lt;=IFERROR(LOOKUP(2,1/('单次交易'!$A$2:$A$201=B414),'单次交易'!$E$2:$E$201),0),"激活价须高于买入价",IF(F414&lt;N414,"止损价不得低于初始止损",IF(F414&gt;E414,"止损价不得高于激活价",IF(AND(COUNTIFS($A$2:$A$501,"止损计划",$B$2:$B$501,B414,$D$2:$D$501,"&lt;"&amp;D414)&gt;0,OR(E414&lt;=AGGREGATE(14,6,$E$2:$E$501/(($A$2:$A$501="止损计划")*($B$2:$B$501=B414)*($D$2:$D$501&lt;D414)),1),F414&lt;AGGREGATE(14,6,$F$2:$F$501/(($A$2:$A$501="止损计划")*($B$2:$B$501=B414)*($D$2:$D$501&lt;D414)),1))),"阶段价格必须逐级提高","计划有效"))))))),IF(A414="每日跟踪",IF(OR(B414="",H414="",I414="",J414=""),"每日数据不完整",IF(COUNTIFS($A$2:$A$501,"每日跟踪",$B$2:$B$501,B414,$H$2:$H$501,H414)&gt;1,"同一交易日期重复",IF(AND(R414&lt;&gt;"",R414&lt;S414),"人工止损无效：不能下调","跟踪有效"))),"记录类型无效")))</f>
        <v/>
      </c>
    </row>
    <row r="415">
      <c r="A415" s="28" t="n"/>
      <c r="B415" s="28" t="n"/>
      <c r="C415" s="31">
        <f>IF(B415="","",IFERROR(LOOKUP(2,1/(单次交易!$A$2:$A$201=B415),单次交易!$B$2:$B$201),""))</f>
        <v/>
      </c>
      <c r="D415" s="27" t="n"/>
      <c r="E415" s="43" t="n"/>
      <c r="F415" s="43" t="n"/>
      <c r="G415" s="28" t="n"/>
      <c r="H415" s="49" t="n"/>
      <c r="I415" s="43" t="n"/>
      <c r="J415" s="27" t="n"/>
      <c r="K415" s="28" t="n"/>
      <c r="L415" s="28" t="n"/>
      <c r="M415" s="28" t="n"/>
      <c r="N415" s="44">
        <f>IF(B415="","",IFERROR(LOOKUP(2,1/(单次交易!$A$2:$A$201=B415),单次交易!$N$2:$N$201),""))</f>
        <v/>
      </c>
      <c r="O415" s="44">
        <f>IF(A415&lt;&gt;"每日跟踪","",IF(OR(B415="",H415="",I415=""),"",IFERROR(AGGREGATE(14,6,$I$2:$I$501/(($A$2:$A$501="每日跟踪")*($B$2:$B$501=B415)*($H$2:$H$501&lt;=H415)),1),"")))</f>
        <v/>
      </c>
      <c r="P415" s="26">
        <f>IF(A415&lt;&gt;"每日跟踪","",IF(O415="","",IFERROR(AGGREGATE(14,6,$D$2:$D$501/(($A$2:$A$501="止损计划")*($B$2:$B$501=B415)*($E$2:$E$501&lt;=O415)),1),0)))</f>
        <v/>
      </c>
      <c r="Q415" s="44">
        <f>IF(A415&lt;&gt;"每日跟踪","",IF(N415="","",MAX(N415,IFERROR(AGGREGATE(14,6,$F$2:$F$501/(($A$2:$A$501="止损计划")*($B$2:$B$501=B415)*($E$2:$E$501&lt;=O415)),1),0))))</f>
        <v/>
      </c>
      <c r="R415" s="43" t="n"/>
      <c r="S415" s="44">
        <f>IF(A415&lt;&gt;"每日跟踪","",IF(Q415="","",MAX(Q415,IFERROR(AGGREGATE(14,6,$R$2:$R$501/(($A$2:$A$501="每日跟踪")*($B$2:$B$501=B415)*($H$2:$H$501&lt;=H415)),1),0))))</f>
        <v/>
      </c>
      <c r="T415" s="44">
        <f>IF(A415&lt;&gt;"每日跟踪","",IF(O415="","",IF(COUNTIFS($A$2:$A$501,"止损计划",$B$2:$B$501,B415,$E$2:$E$501,"&gt;"&amp;O415)=0,"",AGGREGATE(15,6,$E$2:$E$501/(($A$2:$A$501="止损计划")*($B$2:$B$501=B415)*($E$2:$E$501&gt;O415)),1))))</f>
        <v/>
      </c>
      <c r="U415" s="44">
        <f>IF(OR(A415&lt;&gt;"每日跟踪",T415=""),"",IFERROR(AGGREGATE(14,6,$F$2:$F$501/(($A$2:$A$501="止损计划")*($B$2:$B$501=B415)*($E$2:$E$501=T415)),1),""))</f>
        <v/>
      </c>
      <c r="V415" s="30">
        <f>IF(OR(A415&lt;&gt;"每日跟踪",T415="",I415="",I415&lt;=0),"",T415/I415-1)</f>
        <v/>
      </c>
      <c r="W415" s="31">
        <f>IF(A415&lt;&gt;"每日跟踪","",IF(OR(I415="",S415=""),"",IF(I415&lt;=S415,"触发止损：应全部卖出","继续观察")))</f>
        <v/>
      </c>
      <c r="X415" s="28" t="n"/>
      <c r="Y415" s="43" t="n"/>
      <c r="Z415" s="26">
        <f>IF(X415&lt;&gt;"执行卖出","",IFERROR(LOOKUP(2,1/(单次交易!$A$2:$A$201=B415),单次交易!$AP$2:$AP$201),""))</f>
        <v/>
      </c>
      <c r="AA415" s="43" t="n"/>
      <c r="AB415" s="31">
        <f>IF(A415&lt;&gt;"每日跟踪","",IF(OR(B415="",H415="",I415="",J415="",K415="",L415="",M415=""),"待补充每日记录",IF(W415="触发止损：应全部卖出",IF(X415&lt;&gt;"执行卖出","违规：触发止损但未执行",IF(Y415="","待补充实际卖出价","卖出记录完整")),IF(X415="","待选择卖出动作",IF(X415="执行卖出",IF(Y415="","待补充实际卖出价","卖出记录完整"),"正常")))))</f>
        <v/>
      </c>
      <c r="AC415" s="31">
        <f>IF(A415="","",IF(A415="止损计划",IF(OR(B415="",D415="",E415="",F415="",G415=""),"计划不完整",IF(OR(D415&lt;1,D415&lt;&gt;INT(D415)),"阶段序号无效",IF(COUNTIFS($A$2:$A$501,"止损计划",$B$2:$B$501,B415,$D$2:$D$501,D415)&gt;1,"阶段序号重复",IF(E415&lt;=IFERROR(LOOKUP(2,1/('单次交易'!$A$2:$A$201=B415),'单次交易'!$E$2:$E$201),0),"激活价须高于买入价",IF(F415&lt;N415,"止损价不得低于初始止损",IF(F415&gt;E415,"止损价不得高于激活价",IF(AND(COUNTIFS($A$2:$A$501,"止损计划",$B$2:$B$501,B415,$D$2:$D$501,"&lt;"&amp;D415)&gt;0,OR(E415&lt;=AGGREGATE(14,6,$E$2:$E$501/(($A$2:$A$501="止损计划")*($B$2:$B$501=B415)*($D$2:$D$501&lt;D415)),1),F415&lt;AGGREGATE(14,6,$F$2:$F$501/(($A$2:$A$501="止损计划")*($B$2:$B$501=B415)*($D$2:$D$501&lt;D415)),1))),"阶段价格必须逐级提高","计划有效"))))))),IF(A415="每日跟踪",IF(OR(B415="",H415="",I415="",J415=""),"每日数据不完整",IF(COUNTIFS($A$2:$A$501,"每日跟踪",$B$2:$B$501,B415,$H$2:$H$501,H415)&gt;1,"同一交易日期重复",IF(AND(R415&lt;&gt;"",R415&lt;S415),"人工止损无效：不能下调","跟踪有效"))),"记录类型无效")))</f>
        <v/>
      </c>
    </row>
    <row r="416">
      <c r="A416" s="28" t="n"/>
      <c r="B416" s="28" t="n"/>
      <c r="C416" s="31">
        <f>IF(B416="","",IFERROR(LOOKUP(2,1/(单次交易!$A$2:$A$201=B416),单次交易!$B$2:$B$201),""))</f>
        <v/>
      </c>
      <c r="D416" s="27" t="n"/>
      <c r="E416" s="43" t="n"/>
      <c r="F416" s="43" t="n"/>
      <c r="G416" s="28" t="n"/>
      <c r="H416" s="49" t="n"/>
      <c r="I416" s="43" t="n"/>
      <c r="J416" s="27" t="n"/>
      <c r="K416" s="28" t="n"/>
      <c r="L416" s="28" t="n"/>
      <c r="M416" s="28" t="n"/>
      <c r="N416" s="44">
        <f>IF(B416="","",IFERROR(LOOKUP(2,1/(单次交易!$A$2:$A$201=B416),单次交易!$N$2:$N$201),""))</f>
        <v/>
      </c>
      <c r="O416" s="44">
        <f>IF(A416&lt;&gt;"每日跟踪","",IF(OR(B416="",H416="",I416=""),"",IFERROR(AGGREGATE(14,6,$I$2:$I$501/(($A$2:$A$501="每日跟踪")*($B$2:$B$501=B416)*($H$2:$H$501&lt;=H416)),1),"")))</f>
        <v/>
      </c>
      <c r="P416" s="26">
        <f>IF(A416&lt;&gt;"每日跟踪","",IF(O416="","",IFERROR(AGGREGATE(14,6,$D$2:$D$501/(($A$2:$A$501="止损计划")*($B$2:$B$501=B416)*($E$2:$E$501&lt;=O416)),1),0)))</f>
        <v/>
      </c>
      <c r="Q416" s="44">
        <f>IF(A416&lt;&gt;"每日跟踪","",IF(N416="","",MAX(N416,IFERROR(AGGREGATE(14,6,$F$2:$F$501/(($A$2:$A$501="止损计划")*($B$2:$B$501=B416)*($E$2:$E$501&lt;=O416)),1),0))))</f>
        <v/>
      </c>
      <c r="R416" s="43" t="n"/>
      <c r="S416" s="44">
        <f>IF(A416&lt;&gt;"每日跟踪","",IF(Q416="","",MAX(Q416,IFERROR(AGGREGATE(14,6,$R$2:$R$501/(($A$2:$A$501="每日跟踪")*($B$2:$B$501=B416)*($H$2:$H$501&lt;=H416)),1),0))))</f>
        <v/>
      </c>
      <c r="T416" s="44">
        <f>IF(A416&lt;&gt;"每日跟踪","",IF(O416="","",IF(COUNTIFS($A$2:$A$501,"止损计划",$B$2:$B$501,B416,$E$2:$E$501,"&gt;"&amp;O416)=0,"",AGGREGATE(15,6,$E$2:$E$501/(($A$2:$A$501="止损计划")*($B$2:$B$501=B416)*($E$2:$E$501&gt;O416)),1))))</f>
        <v/>
      </c>
      <c r="U416" s="44">
        <f>IF(OR(A416&lt;&gt;"每日跟踪",T416=""),"",IFERROR(AGGREGATE(14,6,$F$2:$F$501/(($A$2:$A$501="止损计划")*($B$2:$B$501=B416)*($E$2:$E$501=T416)),1),""))</f>
        <v/>
      </c>
      <c r="V416" s="30">
        <f>IF(OR(A416&lt;&gt;"每日跟踪",T416="",I416="",I416&lt;=0),"",T416/I416-1)</f>
        <v/>
      </c>
      <c r="W416" s="31">
        <f>IF(A416&lt;&gt;"每日跟踪","",IF(OR(I416="",S416=""),"",IF(I416&lt;=S416,"触发止损：应全部卖出","继续观察")))</f>
        <v/>
      </c>
      <c r="X416" s="28" t="n"/>
      <c r="Y416" s="43" t="n"/>
      <c r="Z416" s="26">
        <f>IF(X416&lt;&gt;"执行卖出","",IFERROR(LOOKUP(2,1/(单次交易!$A$2:$A$201=B416),单次交易!$AP$2:$AP$201),""))</f>
        <v/>
      </c>
      <c r="AA416" s="43" t="n"/>
      <c r="AB416" s="31">
        <f>IF(A416&lt;&gt;"每日跟踪","",IF(OR(B416="",H416="",I416="",J416="",K416="",L416="",M416=""),"待补充每日记录",IF(W416="触发止损：应全部卖出",IF(X416&lt;&gt;"执行卖出","违规：触发止损但未执行",IF(Y416="","待补充实际卖出价","卖出记录完整")),IF(X416="","待选择卖出动作",IF(X416="执行卖出",IF(Y416="","待补充实际卖出价","卖出记录完整"),"正常")))))</f>
        <v/>
      </c>
      <c r="AC416" s="31">
        <f>IF(A416="","",IF(A416="止损计划",IF(OR(B416="",D416="",E416="",F416="",G416=""),"计划不完整",IF(OR(D416&lt;1,D416&lt;&gt;INT(D416)),"阶段序号无效",IF(COUNTIFS($A$2:$A$501,"止损计划",$B$2:$B$501,B416,$D$2:$D$501,D416)&gt;1,"阶段序号重复",IF(E416&lt;=IFERROR(LOOKUP(2,1/('单次交易'!$A$2:$A$201=B416),'单次交易'!$E$2:$E$201),0),"激活价须高于买入价",IF(F416&lt;N416,"止损价不得低于初始止损",IF(F416&gt;E416,"止损价不得高于激活价",IF(AND(COUNTIFS($A$2:$A$501,"止损计划",$B$2:$B$501,B416,$D$2:$D$501,"&lt;"&amp;D416)&gt;0,OR(E416&lt;=AGGREGATE(14,6,$E$2:$E$501/(($A$2:$A$501="止损计划")*($B$2:$B$501=B416)*($D$2:$D$501&lt;D416)),1),F416&lt;AGGREGATE(14,6,$F$2:$F$501/(($A$2:$A$501="止损计划")*($B$2:$B$501=B416)*($D$2:$D$501&lt;D416)),1))),"阶段价格必须逐级提高","计划有效"))))))),IF(A416="每日跟踪",IF(OR(B416="",H416="",I416="",J416=""),"每日数据不完整",IF(COUNTIFS($A$2:$A$501,"每日跟踪",$B$2:$B$501,B416,$H$2:$H$501,H416)&gt;1,"同一交易日期重复",IF(AND(R416&lt;&gt;"",R416&lt;S416),"人工止损无效：不能下调","跟踪有效"))),"记录类型无效")))</f>
        <v/>
      </c>
    </row>
    <row r="417">
      <c r="A417" s="28" t="n"/>
      <c r="B417" s="28" t="n"/>
      <c r="C417" s="31">
        <f>IF(B417="","",IFERROR(LOOKUP(2,1/(单次交易!$A$2:$A$201=B417),单次交易!$B$2:$B$201),""))</f>
        <v/>
      </c>
      <c r="D417" s="27" t="n"/>
      <c r="E417" s="43" t="n"/>
      <c r="F417" s="43" t="n"/>
      <c r="G417" s="28" t="n"/>
      <c r="H417" s="49" t="n"/>
      <c r="I417" s="43" t="n"/>
      <c r="J417" s="27" t="n"/>
      <c r="K417" s="28" t="n"/>
      <c r="L417" s="28" t="n"/>
      <c r="M417" s="28" t="n"/>
      <c r="N417" s="44">
        <f>IF(B417="","",IFERROR(LOOKUP(2,1/(单次交易!$A$2:$A$201=B417),单次交易!$N$2:$N$201),""))</f>
        <v/>
      </c>
      <c r="O417" s="44">
        <f>IF(A417&lt;&gt;"每日跟踪","",IF(OR(B417="",H417="",I417=""),"",IFERROR(AGGREGATE(14,6,$I$2:$I$501/(($A$2:$A$501="每日跟踪")*($B$2:$B$501=B417)*($H$2:$H$501&lt;=H417)),1),"")))</f>
        <v/>
      </c>
      <c r="P417" s="26">
        <f>IF(A417&lt;&gt;"每日跟踪","",IF(O417="","",IFERROR(AGGREGATE(14,6,$D$2:$D$501/(($A$2:$A$501="止损计划")*($B$2:$B$501=B417)*($E$2:$E$501&lt;=O417)),1),0)))</f>
        <v/>
      </c>
      <c r="Q417" s="44">
        <f>IF(A417&lt;&gt;"每日跟踪","",IF(N417="","",MAX(N417,IFERROR(AGGREGATE(14,6,$F$2:$F$501/(($A$2:$A$501="止损计划")*($B$2:$B$501=B417)*($E$2:$E$501&lt;=O417)),1),0))))</f>
        <v/>
      </c>
      <c r="R417" s="43" t="n"/>
      <c r="S417" s="44">
        <f>IF(A417&lt;&gt;"每日跟踪","",IF(Q417="","",MAX(Q417,IFERROR(AGGREGATE(14,6,$R$2:$R$501/(($A$2:$A$501="每日跟踪")*($B$2:$B$501=B417)*($H$2:$H$501&lt;=H417)),1),0))))</f>
        <v/>
      </c>
      <c r="T417" s="44">
        <f>IF(A417&lt;&gt;"每日跟踪","",IF(O417="","",IF(COUNTIFS($A$2:$A$501,"止损计划",$B$2:$B$501,B417,$E$2:$E$501,"&gt;"&amp;O417)=0,"",AGGREGATE(15,6,$E$2:$E$501/(($A$2:$A$501="止损计划")*($B$2:$B$501=B417)*($E$2:$E$501&gt;O417)),1))))</f>
        <v/>
      </c>
      <c r="U417" s="44">
        <f>IF(OR(A417&lt;&gt;"每日跟踪",T417=""),"",IFERROR(AGGREGATE(14,6,$F$2:$F$501/(($A$2:$A$501="止损计划")*($B$2:$B$501=B417)*($E$2:$E$501=T417)),1),""))</f>
        <v/>
      </c>
      <c r="V417" s="30">
        <f>IF(OR(A417&lt;&gt;"每日跟踪",T417="",I417="",I417&lt;=0),"",T417/I417-1)</f>
        <v/>
      </c>
      <c r="W417" s="31">
        <f>IF(A417&lt;&gt;"每日跟踪","",IF(OR(I417="",S417=""),"",IF(I417&lt;=S417,"触发止损：应全部卖出","继续观察")))</f>
        <v/>
      </c>
      <c r="X417" s="28" t="n"/>
      <c r="Y417" s="43" t="n"/>
      <c r="Z417" s="26">
        <f>IF(X417&lt;&gt;"执行卖出","",IFERROR(LOOKUP(2,1/(单次交易!$A$2:$A$201=B417),单次交易!$AP$2:$AP$201),""))</f>
        <v/>
      </c>
      <c r="AA417" s="43" t="n"/>
      <c r="AB417" s="31">
        <f>IF(A417&lt;&gt;"每日跟踪","",IF(OR(B417="",H417="",I417="",J417="",K417="",L417="",M417=""),"待补充每日记录",IF(W417="触发止损：应全部卖出",IF(X417&lt;&gt;"执行卖出","违规：触发止损但未执行",IF(Y417="","待补充实际卖出价","卖出记录完整")),IF(X417="","待选择卖出动作",IF(X417="执行卖出",IF(Y417="","待补充实际卖出价","卖出记录完整"),"正常")))))</f>
        <v/>
      </c>
      <c r="AC417" s="31">
        <f>IF(A417="","",IF(A417="止损计划",IF(OR(B417="",D417="",E417="",F417="",G417=""),"计划不完整",IF(OR(D417&lt;1,D417&lt;&gt;INT(D417)),"阶段序号无效",IF(COUNTIFS($A$2:$A$501,"止损计划",$B$2:$B$501,B417,$D$2:$D$501,D417)&gt;1,"阶段序号重复",IF(E417&lt;=IFERROR(LOOKUP(2,1/('单次交易'!$A$2:$A$201=B417),'单次交易'!$E$2:$E$201),0),"激活价须高于买入价",IF(F417&lt;N417,"止损价不得低于初始止损",IF(F417&gt;E417,"止损价不得高于激活价",IF(AND(COUNTIFS($A$2:$A$501,"止损计划",$B$2:$B$501,B417,$D$2:$D$501,"&lt;"&amp;D417)&gt;0,OR(E417&lt;=AGGREGATE(14,6,$E$2:$E$501/(($A$2:$A$501="止损计划")*($B$2:$B$501=B417)*($D$2:$D$501&lt;D417)),1),F417&lt;AGGREGATE(14,6,$F$2:$F$501/(($A$2:$A$501="止损计划")*($B$2:$B$501=B417)*($D$2:$D$501&lt;D417)),1))),"阶段价格必须逐级提高","计划有效"))))))),IF(A417="每日跟踪",IF(OR(B417="",H417="",I417="",J417=""),"每日数据不完整",IF(COUNTIFS($A$2:$A$501,"每日跟踪",$B$2:$B$501,B417,$H$2:$H$501,H417)&gt;1,"同一交易日期重复",IF(AND(R417&lt;&gt;"",R417&lt;S417),"人工止损无效：不能下调","跟踪有效"))),"记录类型无效")))</f>
        <v/>
      </c>
    </row>
    <row r="418">
      <c r="A418" s="28" t="n"/>
      <c r="B418" s="28" t="n"/>
      <c r="C418" s="31">
        <f>IF(B418="","",IFERROR(LOOKUP(2,1/(单次交易!$A$2:$A$201=B418),单次交易!$B$2:$B$201),""))</f>
        <v/>
      </c>
      <c r="D418" s="27" t="n"/>
      <c r="E418" s="43" t="n"/>
      <c r="F418" s="43" t="n"/>
      <c r="G418" s="28" t="n"/>
      <c r="H418" s="49" t="n"/>
      <c r="I418" s="43" t="n"/>
      <c r="J418" s="27" t="n"/>
      <c r="K418" s="28" t="n"/>
      <c r="L418" s="28" t="n"/>
      <c r="M418" s="28" t="n"/>
      <c r="N418" s="44">
        <f>IF(B418="","",IFERROR(LOOKUP(2,1/(单次交易!$A$2:$A$201=B418),单次交易!$N$2:$N$201),""))</f>
        <v/>
      </c>
      <c r="O418" s="44">
        <f>IF(A418&lt;&gt;"每日跟踪","",IF(OR(B418="",H418="",I418=""),"",IFERROR(AGGREGATE(14,6,$I$2:$I$501/(($A$2:$A$501="每日跟踪")*($B$2:$B$501=B418)*($H$2:$H$501&lt;=H418)),1),"")))</f>
        <v/>
      </c>
      <c r="P418" s="26">
        <f>IF(A418&lt;&gt;"每日跟踪","",IF(O418="","",IFERROR(AGGREGATE(14,6,$D$2:$D$501/(($A$2:$A$501="止损计划")*($B$2:$B$501=B418)*($E$2:$E$501&lt;=O418)),1),0)))</f>
        <v/>
      </c>
      <c r="Q418" s="44">
        <f>IF(A418&lt;&gt;"每日跟踪","",IF(N418="","",MAX(N418,IFERROR(AGGREGATE(14,6,$F$2:$F$501/(($A$2:$A$501="止损计划")*($B$2:$B$501=B418)*($E$2:$E$501&lt;=O418)),1),0))))</f>
        <v/>
      </c>
      <c r="R418" s="43" t="n"/>
      <c r="S418" s="44">
        <f>IF(A418&lt;&gt;"每日跟踪","",IF(Q418="","",MAX(Q418,IFERROR(AGGREGATE(14,6,$R$2:$R$501/(($A$2:$A$501="每日跟踪")*($B$2:$B$501=B418)*($H$2:$H$501&lt;=H418)),1),0))))</f>
        <v/>
      </c>
      <c r="T418" s="44">
        <f>IF(A418&lt;&gt;"每日跟踪","",IF(O418="","",IF(COUNTIFS($A$2:$A$501,"止损计划",$B$2:$B$501,B418,$E$2:$E$501,"&gt;"&amp;O418)=0,"",AGGREGATE(15,6,$E$2:$E$501/(($A$2:$A$501="止损计划")*($B$2:$B$501=B418)*($E$2:$E$501&gt;O418)),1))))</f>
        <v/>
      </c>
      <c r="U418" s="44">
        <f>IF(OR(A418&lt;&gt;"每日跟踪",T418=""),"",IFERROR(AGGREGATE(14,6,$F$2:$F$501/(($A$2:$A$501="止损计划")*($B$2:$B$501=B418)*($E$2:$E$501=T418)),1),""))</f>
        <v/>
      </c>
      <c r="V418" s="30">
        <f>IF(OR(A418&lt;&gt;"每日跟踪",T418="",I418="",I418&lt;=0),"",T418/I418-1)</f>
        <v/>
      </c>
      <c r="W418" s="31">
        <f>IF(A418&lt;&gt;"每日跟踪","",IF(OR(I418="",S418=""),"",IF(I418&lt;=S418,"触发止损：应全部卖出","继续观察")))</f>
        <v/>
      </c>
      <c r="X418" s="28" t="n"/>
      <c r="Y418" s="43" t="n"/>
      <c r="Z418" s="26">
        <f>IF(X418&lt;&gt;"执行卖出","",IFERROR(LOOKUP(2,1/(单次交易!$A$2:$A$201=B418),单次交易!$AP$2:$AP$201),""))</f>
        <v/>
      </c>
      <c r="AA418" s="43" t="n"/>
      <c r="AB418" s="31">
        <f>IF(A418&lt;&gt;"每日跟踪","",IF(OR(B418="",H418="",I418="",J418="",K418="",L418="",M418=""),"待补充每日记录",IF(W418="触发止损：应全部卖出",IF(X418&lt;&gt;"执行卖出","违规：触发止损但未执行",IF(Y418="","待补充实际卖出价","卖出记录完整")),IF(X418="","待选择卖出动作",IF(X418="执行卖出",IF(Y418="","待补充实际卖出价","卖出记录完整"),"正常")))))</f>
        <v/>
      </c>
      <c r="AC418" s="31">
        <f>IF(A418="","",IF(A418="止损计划",IF(OR(B418="",D418="",E418="",F418="",G418=""),"计划不完整",IF(OR(D418&lt;1,D418&lt;&gt;INT(D418)),"阶段序号无效",IF(COUNTIFS($A$2:$A$501,"止损计划",$B$2:$B$501,B418,$D$2:$D$501,D418)&gt;1,"阶段序号重复",IF(E418&lt;=IFERROR(LOOKUP(2,1/('单次交易'!$A$2:$A$201=B418),'单次交易'!$E$2:$E$201),0),"激活价须高于买入价",IF(F418&lt;N418,"止损价不得低于初始止损",IF(F418&gt;E418,"止损价不得高于激活价",IF(AND(COUNTIFS($A$2:$A$501,"止损计划",$B$2:$B$501,B418,$D$2:$D$501,"&lt;"&amp;D418)&gt;0,OR(E418&lt;=AGGREGATE(14,6,$E$2:$E$501/(($A$2:$A$501="止损计划")*($B$2:$B$501=B418)*($D$2:$D$501&lt;D418)),1),F418&lt;AGGREGATE(14,6,$F$2:$F$501/(($A$2:$A$501="止损计划")*($B$2:$B$501=B418)*($D$2:$D$501&lt;D418)),1))),"阶段价格必须逐级提高","计划有效"))))))),IF(A418="每日跟踪",IF(OR(B418="",H418="",I418="",J418=""),"每日数据不完整",IF(COUNTIFS($A$2:$A$501,"每日跟踪",$B$2:$B$501,B418,$H$2:$H$501,H418)&gt;1,"同一交易日期重复",IF(AND(R418&lt;&gt;"",R418&lt;S418),"人工止损无效：不能下调","跟踪有效"))),"记录类型无效")))</f>
        <v/>
      </c>
    </row>
    <row r="419">
      <c r="A419" s="28" t="n"/>
      <c r="B419" s="28" t="n"/>
      <c r="C419" s="31">
        <f>IF(B419="","",IFERROR(LOOKUP(2,1/(单次交易!$A$2:$A$201=B419),单次交易!$B$2:$B$201),""))</f>
        <v/>
      </c>
      <c r="D419" s="27" t="n"/>
      <c r="E419" s="43" t="n"/>
      <c r="F419" s="43" t="n"/>
      <c r="G419" s="28" t="n"/>
      <c r="H419" s="49" t="n"/>
      <c r="I419" s="43" t="n"/>
      <c r="J419" s="27" t="n"/>
      <c r="K419" s="28" t="n"/>
      <c r="L419" s="28" t="n"/>
      <c r="M419" s="28" t="n"/>
      <c r="N419" s="44">
        <f>IF(B419="","",IFERROR(LOOKUP(2,1/(单次交易!$A$2:$A$201=B419),单次交易!$N$2:$N$201),""))</f>
        <v/>
      </c>
      <c r="O419" s="44">
        <f>IF(A419&lt;&gt;"每日跟踪","",IF(OR(B419="",H419="",I419=""),"",IFERROR(AGGREGATE(14,6,$I$2:$I$501/(($A$2:$A$501="每日跟踪")*($B$2:$B$501=B419)*($H$2:$H$501&lt;=H419)),1),"")))</f>
        <v/>
      </c>
      <c r="P419" s="26">
        <f>IF(A419&lt;&gt;"每日跟踪","",IF(O419="","",IFERROR(AGGREGATE(14,6,$D$2:$D$501/(($A$2:$A$501="止损计划")*($B$2:$B$501=B419)*($E$2:$E$501&lt;=O419)),1),0)))</f>
        <v/>
      </c>
      <c r="Q419" s="44">
        <f>IF(A419&lt;&gt;"每日跟踪","",IF(N419="","",MAX(N419,IFERROR(AGGREGATE(14,6,$F$2:$F$501/(($A$2:$A$501="止损计划")*($B$2:$B$501=B419)*($E$2:$E$501&lt;=O419)),1),0))))</f>
        <v/>
      </c>
      <c r="R419" s="43" t="n"/>
      <c r="S419" s="44">
        <f>IF(A419&lt;&gt;"每日跟踪","",IF(Q419="","",MAX(Q419,IFERROR(AGGREGATE(14,6,$R$2:$R$501/(($A$2:$A$501="每日跟踪")*($B$2:$B$501=B419)*($H$2:$H$501&lt;=H419)),1),0))))</f>
        <v/>
      </c>
      <c r="T419" s="44">
        <f>IF(A419&lt;&gt;"每日跟踪","",IF(O419="","",IF(COUNTIFS($A$2:$A$501,"止损计划",$B$2:$B$501,B419,$E$2:$E$501,"&gt;"&amp;O419)=0,"",AGGREGATE(15,6,$E$2:$E$501/(($A$2:$A$501="止损计划")*($B$2:$B$501=B419)*($E$2:$E$501&gt;O419)),1))))</f>
        <v/>
      </c>
      <c r="U419" s="44">
        <f>IF(OR(A419&lt;&gt;"每日跟踪",T419=""),"",IFERROR(AGGREGATE(14,6,$F$2:$F$501/(($A$2:$A$501="止损计划")*($B$2:$B$501=B419)*($E$2:$E$501=T419)),1),""))</f>
        <v/>
      </c>
      <c r="V419" s="30">
        <f>IF(OR(A419&lt;&gt;"每日跟踪",T419="",I419="",I419&lt;=0),"",T419/I419-1)</f>
        <v/>
      </c>
      <c r="W419" s="31">
        <f>IF(A419&lt;&gt;"每日跟踪","",IF(OR(I419="",S419=""),"",IF(I419&lt;=S419,"触发止损：应全部卖出","继续观察")))</f>
        <v/>
      </c>
      <c r="X419" s="28" t="n"/>
      <c r="Y419" s="43" t="n"/>
      <c r="Z419" s="26">
        <f>IF(X419&lt;&gt;"执行卖出","",IFERROR(LOOKUP(2,1/(单次交易!$A$2:$A$201=B419),单次交易!$AP$2:$AP$201),""))</f>
        <v/>
      </c>
      <c r="AA419" s="43" t="n"/>
      <c r="AB419" s="31">
        <f>IF(A419&lt;&gt;"每日跟踪","",IF(OR(B419="",H419="",I419="",J419="",K419="",L419="",M419=""),"待补充每日记录",IF(W419="触发止损：应全部卖出",IF(X419&lt;&gt;"执行卖出","违规：触发止损但未执行",IF(Y419="","待补充实际卖出价","卖出记录完整")),IF(X419="","待选择卖出动作",IF(X419="执行卖出",IF(Y419="","待补充实际卖出价","卖出记录完整"),"正常")))))</f>
        <v/>
      </c>
      <c r="AC419" s="31">
        <f>IF(A419="","",IF(A419="止损计划",IF(OR(B419="",D419="",E419="",F419="",G419=""),"计划不完整",IF(OR(D419&lt;1,D419&lt;&gt;INT(D419)),"阶段序号无效",IF(COUNTIFS($A$2:$A$501,"止损计划",$B$2:$B$501,B419,$D$2:$D$501,D419)&gt;1,"阶段序号重复",IF(E419&lt;=IFERROR(LOOKUP(2,1/('单次交易'!$A$2:$A$201=B419),'单次交易'!$E$2:$E$201),0),"激活价须高于买入价",IF(F419&lt;N419,"止损价不得低于初始止损",IF(F419&gt;E419,"止损价不得高于激活价",IF(AND(COUNTIFS($A$2:$A$501,"止损计划",$B$2:$B$501,B419,$D$2:$D$501,"&lt;"&amp;D419)&gt;0,OR(E419&lt;=AGGREGATE(14,6,$E$2:$E$501/(($A$2:$A$501="止损计划")*($B$2:$B$501=B419)*($D$2:$D$501&lt;D419)),1),F419&lt;AGGREGATE(14,6,$F$2:$F$501/(($A$2:$A$501="止损计划")*($B$2:$B$501=B419)*($D$2:$D$501&lt;D419)),1))),"阶段价格必须逐级提高","计划有效"))))))),IF(A419="每日跟踪",IF(OR(B419="",H419="",I419="",J419=""),"每日数据不完整",IF(COUNTIFS($A$2:$A$501,"每日跟踪",$B$2:$B$501,B419,$H$2:$H$501,H419)&gt;1,"同一交易日期重复",IF(AND(R419&lt;&gt;"",R419&lt;S419),"人工止损无效：不能下调","跟踪有效"))),"记录类型无效")))</f>
        <v/>
      </c>
    </row>
    <row r="420">
      <c r="A420" s="28" t="n"/>
      <c r="B420" s="28" t="n"/>
      <c r="C420" s="31">
        <f>IF(B420="","",IFERROR(LOOKUP(2,1/(单次交易!$A$2:$A$201=B420),单次交易!$B$2:$B$201),""))</f>
        <v/>
      </c>
      <c r="D420" s="27" t="n"/>
      <c r="E420" s="43" t="n"/>
      <c r="F420" s="43" t="n"/>
      <c r="G420" s="28" t="n"/>
      <c r="H420" s="49" t="n"/>
      <c r="I420" s="43" t="n"/>
      <c r="J420" s="27" t="n"/>
      <c r="K420" s="28" t="n"/>
      <c r="L420" s="28" t="n"/>
      <c r="M420" s="28" t="n"/>
      <c r="N420" s="44">
        <f>IF(B420="","",IFERROR(LOOKUP(2,1/(单次交易!$A$2:$A$201=B420),单次交易!$N$2:$N$201),""))</f>
        <v/>
      </c>
      <c r="O420" s="44">
        <f>IF(A420&lt;&gt;"每日跟踪","",IF(OR(B420="",H420="",I420=""),"",IFERROR(AGGREGATE(14,6,$I$2:$I$501/(($A$2:$A$501="每日跟踪")*($B$2:$B$501=B420)*($H$2:$H$501&lt;=H420)),1),"")))</f>
        <v/>
      </c>
      <c r="P420" s="26">
        <f>IF(A420&lt;&gt;"每日跟踪","",IF(O420="","",IFERROR(AGGREGATE(14,6,$D$2:$D$501/(($A$2:$A$501="止损计划")*($B$2:$B$501=B420)*($E$2:$E$501&lt;=O420)),1),0)))</f>
        <v/>
      </c>
      <c r="Q420" s="44">
        <f>IF(A420&lt;&gt;"每日跟踪","",IF(N420="","",MAX(N420,IFERROR(AGGREGATE(14,6,$F$2:$F$501/(($A$2:$A$501="止损计划")*($B$2:$B$501=B420)*($E$2:$E$501&lt;=O420)),1),0))))</f>
        <v/>
      </c>
      <c r="R420" s="43" t="n"/>
      <c r="S420" s="44">
        <f>IF(A420&lt;&gt;"每日跟踪","",IF(Q420="","",MAX(Q420,IFERROR(AGGREGATE(14,6,$R$2:$R$501/(($A$2:$A$501="每日跟踪")*($B$2:$B$501=B420)*($H$2:$H$501&lt;=H420)),1),0))))</f>
        <v/>
      </c>
      <c r="T420" s="44">
        <f>IF(A420&lt;&gt;"每日跟踪","",IF(O420="","",IF(COUNTIFS($A$2:$A$501,"止损计划",$B$2:$B$501,B420,$E$2:$E$501,"&gt;"&amp;O420)=0,"",AGGREGATE(15,6,$E$2:$E$501/(($A$2:$A$501="止损计划")*($B$2:$B$501=B420)*($E$2:$E$501&gt;O420)),1))))</f>
        <v/>
      </c>
      <c r="U420" s="44">
        <f>IF(OR(A420&lt;&gt;"每日跟踪",T420=""),"",IFERROR(AGGREGATE(14,6,$F$2:$F$501/(($A$2:$A$501="止损计划")*($B$2:$B$501=B420)*($E$2:$E$501=T420)),1),""))</f>
        <v/>
      </c>
      <c r="V420" s="30">
        <f>IF(OR(A420&lt;&gt;"每日跟踪",T420="",I420="",I420&lt;=0),"",T420/I420-1)</f>
        <v/>
      </c>
      <c r="W420" s="31">
        <f>IF(A420&lt;&gt;"每日跟踪","",IF(OR(I420="",S420=""),"",IF(I420&lt;=S420,"触发止损：应全部卖出","继续观察")))</f>
        <v/>
      </c>
      <c r="X420" s="28" t="n"/>
      <c r="Y420" s="43" t="n"/>
      <c r="Z420" s="26">
        <f>IF(X420&lt;&gt;"执行卖出","",IFERROR(LOOKUP(2,1/(单次交易!$A$2:$A$201=B420),单次交易!$AP$2:$AP$201),""))</f>
        <v/>
      </c>
      <c r="AA420" s="43" t="n"/>
      <c r="AB420" s="31">
        <f>IF(A420&lt;&gt;"每日跟踪","",IF(OR(B420="",H420="",I420="",J420="",K420="",L420="",M420=""),"待补充每日记录",IF(W420="触发止损：应全部卖出",IF(X420&lt;&gt;"执行卖出","违规：触发止损但未执行",IF(Y420="","待补充实际卖出价","卖出记录完整")),IF(X420="","待选择卖出动作",IF(X420="执行卖出",IF(Y420="","待补充实际卖出价","卖出记录完整"),"正常")))))</f>
        <v/>
      </c>
      <c r="AC420" s="31">
        <f>IF(A420="","",IF(A420="止损计划",IF(OR(B420="",D420="",E420="",F420="",G420=""),"计划不完整",IF(OR(D420&lt;1,D420&lt;&gt;INT(D420)),"阶段序号无效",IF(COUNTIFS($A$2:$A$501,"止损计划",$B$2:$B$501,B420,$D$2:$D$501,D420)&gt;1,"阶段序号重复",IF(E420&lt;=IFERROR(LOOKUP(2,1/('单次交易'!$A$2:$A$201=B420),'单次交易'!$E$2:$E$201),0),"激活价须高于买入价",IF(F420&lt;N420,"止损价不得低于初始止损",IF(F420&gt;E420,"止损价不得高于激活价",IF(AND(COUNTIFS($A$2:$A$501,"止损计划",$B$2:$B$501,B420,$D$2:$D$501,"&lt;"&amp;D420)&gt;0,OR(E420&lt;=AGGREGATE(14,6,$E$2:$E$501/(($A$2:$A$501="止损计划")*($B$2:$B$501=B420)*($D$2:$D$501&lt;D420)),1),F420&lt;AGGREGATE(14,6,$F$2:$F$501/(($A$2:$A$501="止损计划")*($B$2:$B$501=B420)*($D$2:$D$501&lt;D420)),1))),"阶段价格必须逐级提高","计划有效"))))))),IF(A420="每日跟踪",IF(OR(B420="",H420="",I420="",J420=""),"每日数据不完整",IF(COUNTIFS($A$2:$A$501,"每日跟踪",$B$2:$B$501,B420,$H$2:$H$501,H420)&gt;1,"同一交易日期重复",IF(AND(R420&lt;&gt;"",R420&lt;S420),"人工止损无效：不能下调","跟踪有效"))),"记录类型无效")))</f>
        <v/>
      </c>
    </row>
    <row r="421">
      <c r="A421" s="28" t="n"/>
      <c r="B421" s="28" t="n"/>
      <c r="C421" s="31">
        <f>IF(B421="","",IFERROR(LOOKUP(2,1/(单次交易!$A$2:$A$201=B421),单次交易!$B$2:$B$201),""))</f>
        <v/>
      </c>
      <c r="D421" s="27" t="n"/>
      <c r="E421" s="43" t="n"/>
      <c r="F421" s="43" t="n"/>
      <c r="G421" s="28" t="n"/>
      <c r="H421" s="49" t="n"/>
      <c r="I421" s="43" t="n"/>
      <c r="J421" s="27" t="n"/>
      <c r="K421" s="28" t="n"/>
      <c r="L421" s="28" t="n"/>
      <c r="M421" s="28" t="n"/>
      <c r="N421" s="44">
        <f>IF(B421="","",IFERROR(LOOKUP(2,1/(单次交易!$A$2:$A$201=B421),单次交易!$N$2:$N$201),""))</f>
        <v/>
      </c>
      <c r="O421" s="44">
        <f>IF(A421&lt;&gt;"每日跟踪","",IF(OR(B421="",H421="",I421=""),"",IFERROR(AGGREGATE(14,6,$I$2:$I$501/(($A$2:$A$501="每日跟踪")*($B$2:$B$501=B421)*($H$2:$H$501&lt;=H421)),1),"")))</f>
        <v/>
      </c>
      <c r="P421" s="26">
        <f>IF(A421&lt;&gt;"每日跟踪","",IF(O421="","",IFERROR(AGGREGATE(14,6,$D$2:$D$501/(($A$2:$A$501="止损计划")*($B$2:$B$501=B421)*($E$2:$E$501&lt;=O421)),1),0)))</f>
        <v/>
      </c>
      <c r="Q421" s="44">
        <f>IF(A421&lt;&gt;"每日跟踪","",IF(N421="","",MAX(N421,IFERROR(AGGREGATE(14,6,$F$2:$F$501/(($A$2:$A$501="止损计划")*($B$2:$B$501=B421)*($E$2:$E$501&lt;=O421)),1),0))))</f>
        <v/>
      </c>
      <c r="R421" s="43" t="n"/>
      <c r="S421" s="44">
        <f>IF(A421&lt;&gt;"每日跟踪","",IF(Q421="","",MAX(Q421,IFERROR(AGGREGATE(14,6,$R$2:$R$501/(($A$2:$A$501="每日跟踪")*($B$2:$B$501=B421)*($H$2:$H$501&lt;=H421)),1),0))))</f>
        <v/>
      </c>
      <c r="T421" s="44">
        <f>IF(A421&lt;&gt;"每日跟踪","",IF(O421="","",IF(COUNTIFS($A$2:$A$501,"止损计划",$B$2:$B$501,B421,$E$2:$E$501,"&gt;"&amp;O421)=0,"",AGGREGATE(15,6,$E$2:$E$501/(($A$2:$A$501="止损计划")*($B$2:$B$501=B421)*($E$2:$E$501&gt;O421)),1))))</f>
        <v/>
      </c>
      <c r="U421" s="44">
        <f>IF(OR(A421&lt;&gt;"每日跟踪",T421=""),"",IFERROR(AGGREGATE(14,6,$F$2:$F$501/(($A$2:$A$501="止损计划")*($B$2:$B$501=B421)*($E$2:$E$501=T421)),1),""))</f>
        <v/>
      </c>
      <c r="V421" s="30">
        <f>IF(OR(A421&lt;&gt;"每日跟踪",T421="",I421="",I421&lt;=0),"",T421/I421-1)</f>
        <v/>
      </c>
      <c r="W421" s="31">
        <f>IF(A421&lt;&gt;"每日跟踪","",IF(OR(I421="",S421=""),"",IF(I421&lt;=S421,"触发止损：应全部卖出","继续观察")))</f>
        <v/>
      </c>
      <c r="X421" s="28" t="n"/>
      <c r="Y421" s="43" t="n"/>
      <c r="Z421" s="26">
        <f>IF(X421&lt;&gt;"执行卖出","",IFERROR(LOOKUP(2,1/(单次交易!$A$2:$A$201=B421),单次交易!$AP$2:$AP$201),""))</f>
        <v/>
      </c>
      <c r="AA421" s="43" t="n"/>
      <c r="AB421" s="31">
        <f>IF(A421&lt;&gt;"每日跟踪","",IF(OR(B421="",H421="",I421="",J421="",K421="",L421="",M421=""),"待补充每日记录",IF(W421="触发止损：应全部卖出",IF(X421&lt;&gt;"执行卖出","违规：触发止损但未执行",IF(Y421="","待补充实际卖出价","卖出记录完整")),IF(X421="","待选择卖出动作",IF(X421="执行卖出",IF(Y421="","待补充实际卖出价","卖出记录完整"),"正常")))))</f>
        <v/>
      </c>
      <c r="AC421" s="31">
        <f>IF(A421="","",IF(A421="止损计划",IF(OR(B421="",D421="",E421="",F421="",G421=""),"计划不完整",IF(OR(D421&lt;1,D421&lt;&gt;INT(D421)),"阶段序号无效",IF(COUNTIFS($A$2:$A$501,"止损计划",$B$2:$B$501,B421,$D$2:$D$501,D421)&gt;1,"阶段序号重复",IF(E421&lt;=IFERROR(LOOKUP(2,1/('单次交易'!$A$2:$A$201=B421),'单次交易'!$E$2:$E$201),0),"激活价须高于买入价",IF(F421&lt;N421,"止损价不得低于初始止损",IF(F421&gt;E421,"止损价不得高于激活价",IF(AND(COUNTIFS($A$2:$A$501,"止损计划",$B$2:$B$501,B421,$D$2:$D$501,"&lt;"&amp;D421)&gt;0,OR(E421&lt;=AGGREGATE(14,6,$E$2:$E$501/(($A$2:$A$501="止损计划")*($B$2:$B$501=B421)*($D$2:$D$501&lt;D421)),1),F421&lt;AGGREGATE(14,6,$F$2:$F$501/(($A$2:$A$501="止损计划")*($B$2:$B$501=B421)*($D$2:$D$501&lt;D421)),1))),"阶段价格必须逐级提高","计划有效"))))))),IF(A421="每日跟踪",IF(OR(B421="",H421="",I421="",J421=""),"每日数据不完整",IF(COUNTIFS($A$2:$A$501,"每日跟踪",$B$2:$B$501,B421,$H$2:$H$501,H421)&gt;1,"同一交易日期重复",IF(AND(R421&lt;&gt;"",R421&lt;S421),"人工止损无效：不能下调","跟踪有效"))),"记录类型无效")))</f>
        <v/>
      </c>
    </row>
    <row r="422">
      <c r="A422" s="28" t="n"/>
      <c r="B422" s="28" t="n"/>
      <c r="C422" s="31">
        <f>IF(B422="","",IFERROR(LOOKUP(2,1/(单次交易!$A$2:$A$201=B422),单次交易!$B$2:$B$201),""))</f>
        <v/>
      </c>
      <c r="D422" s="27" t="n"/>
      <c r="E422" s="43" t="n"/>
      <c r="F422" s="43" t="n"/>
      <c r="G422" s="28" t="n"/>
      <c r="H422" s="49" t="n"/>
      <c r="I422" s="43" t="n"/>
      <c r="J422" s="27" t="n"/>
      <c r="K422" s="28" t="n"/>
      <c r="L422" s="28" t="n"/>
      <c r="M422" s="28" t="n"/>
      <c r="N422" s="44">
        <f>IF(B422="","",IFERROR(LOOKUP(2,1/(单次交易!$A$2:$A$201=B422),单次交易!$N$2:$N$201),""))</f>
        <v/>
      </c>
      <c r="O422" s="44">
        <f>IF(A422&lt;&gt;"每日跟踪","",IF(OR(B422="",H422="",I422=""),"",IFERROR(AGGREGATE(14,6,$I$2:$I$501/(($A$2:$A$501="每日跟踪")*($B$2:$B$501=B422)*($H$2:$H$501&lt;=H422)),1),"")))</f>
        <v/>
      </c>
      <c r="P422" s="26">
        <f>IF(A422&lt;&gt;"每日跟踪","",IF(O422="","",IFERROR(AGGREGATE(14,6,$D$2:$D$501/(($A$2:$A$501="止损计划")*($B$2:$B$501=B422)*($E$2:$E$501&lt;=O422)),1),0)))</f>
        <v/>
      </c>
      <c r="Q422" s="44">
        <f>IF(A422&lt;&gt;"每日跟踪","",IF(N422="","",MAX(N422,IFERROR(AGGREGATE(14,6,$F$2:$F$501/(($A$2:$A$501="止损计划")*($B$2:$B$501=B422)*($E$2:$E$501&lt;=O422)),1),0))))</f>
        <v/>
      </c>
      <c r="R422" s="43" t="n"/>
      <c r="S422" s="44">
        <f>IF(A422&lt;&gt;"每日跟踪","",IF(Q422="","",MAX(Q422,IFERROR(AGGREGATE(14,6,$R$2:$R$501/(($A$2:$A$501="每日跟踪")*($B$2:$B$501=B422)*($H$2:$H$501&lt;=H422)),1),0))))</f>
        <v/>
      </c>
      <c r="T422" s="44">
        <f>IF(A422&lt;&gt;"每日跟踪","",IF(O422="","",IF(COUNTIFS($A$2:$A$501,"止损计划",$B$2:$B$501,B422,$E$2:$E$501,"&gt;"&amp;O422)=0,"",AGGREGATE(15,6,$E$2:$E$501/(($A$2:$A$501="止损计划")*($B$2:$B$501=B422)*($E$2:$E$501&gt;O422)),1))))</f>
        <v/>
      </c>
      <c r="U422" s="44">
        <f>IF(OR(A422&lt;&gt;"每日跟踪",T422=""),"",IFERROR(AGGREGATE(14,6,$F$2:$F$501/(($A$2:$A$501="止损计划")*($B$2:$B$501=B422)*($E$2:$E$501=T422)),1),""))</f>
        <v/>
      </c>
      <c r="V422" s="30">
        <f>IF(OR(A422&lt;&gt;"每日跟踪",T422="",I422="",I422&lt;=0),"",T422/I422-1)</f>
        <v/>
      </c>
      <c r="W422" s="31">
        <f>IF(A422&lt;&gt;"每日跟踪","",IF(OR(I422="",S422=""),"",IF(I422&lt;=S422,"触发止损：应全部卖出","继续观察")))</f>
        <v/>
      </c>
      <c r="X422" s="28" t="n"/>
      <c r="Y422" s="43" t="n"/>
      <c r="Z422" s="26">
        <f>IF(X422&lt;&gt;"执行卖出","",IFERROR(LOOKUP(2,1/(单次交易!$A$2:$A$201=B422),单次交易!$AP$2:$AP$201),""))</f>
        <v/>
      </c>
      <c r="AA422" s="43" t="n"/>
      <c r="AB422" s="31">
        <f>IF(A422&lt;&gt;"每日跟踪","",IF(OR(B422="",H422="",I422="",J422="",K422="",L422="",M422=""),"待补充每日记录",IF(W422="触发止损：应全部卖出",IF(X422&lt;&gt;"执行卖出","违规：触发止损但未执行",IF(Y422="","待补充实际卖出价","卖出记录完整")),IF(X422="","待选择卖出动作",IF(X422="执行卖出",IF(Y422="","待补充实际卖出价","卖出记录完整"),"正常")))))</f>
        <v/>
      </c>
      <c r="AC422" s="31">
        <f>IF(A422="","",IF(A422="止损计划",IF(OR(B422="",D422="",E422="",F422="",G422=""),"计划不完整",IF(OR(D422&lt;1,D422&lt;&gt;INT(D422)),"阶段序号无效",IF(COUNTIFS($A$2:$A$501,"止损计划",$B$2:$B$501,B422,$D$2:$D$501,D422)&gt;1,"阶段序号重复",IF(E422&lt;=IFERROR(LOOKUP(2,1/('单次交易'!$A$2:$A$201=B422),'单次交易'!$E$2:$E$201),0),"激活价须高于买入价",IF(F422&lt;N422,"止损价不得低于初始止损",IF(F422&gt;E422,"止损价不得高于激活价",IF(AND(COUNTIFS($A$2:$A$501,"止损计划",$B$2:$B$501,B422,$D$2:$D$501,"&lt;"&amp;D422)&gt;0,OR(E422&lt;=AGGREGATE(14,6,$E$2:$E$501/(($A$2:$A$501="止损计划")*($B$2:$B$501=B422)*($D$2:$D$501&lt;D422)),1),F422&lt;AGGREGATE(14,6,$F$2:$F$501/(($A$2:$A$501="止损计划")*($B$2:$B$501=B422)*($D$2:$D$501&lt;D422)),1))),"阶段价格必须逐级提高","计划有效"))))))),IF(A422="每日跟踪",IF(OR(B422="",H422="",I422="",J422=""),"每日数据不完整",IF(COUNTIFS($A$2:$A$501,"每日跟踪",$B$2:$B$501,B422,$H$2:$H$501,H422)&gt;1,"同一交易日期重复",IF(AND(R422&lt;&gt;"",R422&lt;S422),"人工止损无效：不能下调","跟踪有效"))),"记录类型无效")))</f>
        <v/>
      </c>
    </row>
    <row r="423">
      <c r="A423" s="28" t="n"/>
      <c r="B423" s="28" t="n"/>
      <c r="C423" s="31">
        <f>IF(B423="","",IFERROR(LOOKUP(2,1/(单次交易!$A$2:$A$201=B423),单次交易!$B$2:$B$201),""))</f>
        <v/>
      </c>
      <c r="D423" s="27" t="n"/>
      <c r="E423" s="43" t="n"/>
      <c r="F423" s="43" t="n"/>
      <c r="G423" s="28" t="n"/>
      <c r="H423" s="49" t="n"/>
      <c r="I423" s="43" t="n"/>
      <c r="J423" s="27" t="n"/>
      <c r="K423" s="28" t="n"/>
      <c r="L423" s="28" t="n"/>
      <c r="M423" s="28" t="n"/>
      <c r="N423" s="44">
        <f>IF(B423="","",IFERROR(LOOKUP(2,1/(单次交易!$A$2:$A$201=B423),单次交易!$N$2:$N$201),""))</f>
        <v/>
      </c>
      <c r="O423" s="44">
        <f>IF(A423&lt;&gt;"每日跟踪","",IF(OR(B423="",H423="",I423=""),"",IFERROR(AGGREGATE(14,6,$I$2:$I$501/(($A$2:$A$501="每日跟踪")*($B$2:$B$501=B423)*($H$2:$H$501&lt;=H423)),1),"")))</f>
        <v/>
      </c>
      <c r="P423" s="26">
        <f>IF(A423&lt;&gt;"每日跟踪","",IF(O423="","",IFERROR(AGGREGATE(14,6,$D$2:$D$501/(($A$2:$A$501="止损计划")*($B$2:$B$501=B423)*($E$2:$E$501&lt;=O423)),1),0)))</f>
        <v/>
      </c>
      <c r="Q423" s="44">
        <f>IF(A423&lt;&gt;"每日跟踪","",IF(N423="","",MAX(N423,IFERROR(AGGREGATE(14,6,$F$2:$F$501/(($A$2:$A$501="止损计划")*($B$2:$B$501=B423)*($E$2:$E$501&lt;=O423)),1),0))))</f>
        <v/>
      </c>
      <c r="R423" s="43" t="n"/>
      <c r="S423" s="44">
        <f>IF(A423&lt;&gt;"每日跟踪","",IF(Q423="","",MAX(Q423,IFERROR(AGGREGATE(14,6,$R$2:$R$501/(($A$2:$A$501="每日跟踪")*($B$2:$B$501=B423)*($H$2:$H$501&lt;=H423)),1),0))))</f>
        <v/>
      </c>
      <c r="T423" s="44">
        <f>IF(A423&lt;&gt;"每日跟踪","",IF(O423="","",IF(COUNTIFS($A$2:$A$501,"止损计划",$B$2:$B$501,B423,$E$2:$E$501,"&gt;"&amp;O423)=0,"",AGGREGATE(15,6,$E$2:$E$501/(($A$2:$A$501="止损计划")*($B$2:$B$501=B423)*($E$2:$E$501&gt;O423)),1))))</f>
        <v/>
      </c>
      <c r="U423" s="44">
        <f>IF(OR(A423&lt;&gt;"每日跟踪",T423=""),"",IFERROR(AGGREGATE(14,6,$F$2:$F$501/(($A$2:$A$501="止损计划")*($B$2:$B$501=B423)*($E$2:$E$501=T423)),1),""))</f>
        <v/>
      </c>
      <c r="V423" s="30">
        <f>IF(OR(A423&lt;&gt;"每日跟踪",T423="",I423="",I423&lt;=0),"",T423/I423-1)</f>
        <v/>
      </c>
      <c r="W423" s="31">
        <f>IF(A423&lt;&gt;"每日跟踪","",IF(OR(I423="",S423=""),"",IF(I423&lt;=S423,"触发止损：应全部卖出","继续观察")))</f>
        <v/>
      </c>
      <c r="X423" s="28" t="n"/>
      <c r="Y423" s="43" t="n"/>
      <c r="Z423" s="26">
        <f>IF(X423&lt;&gt;"执行卖出","",IFERROR(LOOKUP(2,1/(单次交易!$A$2:$A$201=B423),单次交易!$AP$2:$AP$201),""))</f>
        <v/>
      </c>
      <c r="AA423" s="43" t="n"/>
      <c r="AB423" s="31">
        <f>IF(A423&lt;&gt;"每日跟踪","",IF(OR(B423="",H423="",I423="",J423="",K423="",L423="",M423=""),"待补充每日记录",IF(W423="触发止损：应全部卖出",IF(X423&lt;&gt;"执行卖出","违规：触发止损但未执行",IF(Y423="","待补充实际卖出价","卖出记录完整")),IF(X423="","待选择卖出动作",IF(X423="执行卖出",IF(Y423="","待补充实际卖出价","卖出记录完整"),"正常")))))</f>
        <v/>
      </c>
      <c r="AC423" s="31">
        <f>IF(A423="","",IF(A423="止损计划",IF(OR(B423="",D423="",E423="",F423="",G423=""),"计划不完整",IF(OR(D423&lt;1,D423&lt;&gt;INT(D423)),"阶段序号无效",IF(COUNTIFS($A$2:$A$501,"止损计划",$B$2:$B$501,B423,$D$2:$D$501,D423)&gt;1,"阶段序号重复",IF(E423&lt;=IFERROR(LOOKUP(2,1/('单次交易'!$A$2:$A$201=B423),'单次交易'!$E$2:$E$201),0),"激活价须高于买入价",IF(F423&lt;N423,"止损价不得低于初始止损",IF(F423&gt;E423,"止损价不得高于激活价",IF(AND(COUNTIFS($A$2:$A$501,"止损计划",$B$2:$B$501,B423,$D$2:$D$501,"&lt;"&amp;D423)&gt;0,OR(E423&lt;=AGGREGATE(14,6,$E$2:$E$501/(($A$2:$A$501="止损计划")*($B$2:$B$501=B423)*($D$2:$D$501&lt;D423)),1),F423&lt;AGGREGATE(14,6,$F$2:$F$501/(($A$2:$A$501="止损计划")*($B$2:$B$501=B423)*($D$2:$D$501&lt;D423)),1))),"阶段价格必须逐级提高","计划有效"))))))),IF(A423="每日跟踪",IF(OR(B423="",H423="",I423="",J423=""),"每日数据不完整",IF(COUNTIFS($A$2:$A$501,"每日跟踪",$B$2:$B$501,B423,$H$2:$H$501,H423)&gt;1,"同一交易日期重复",IF(AND(R423&lt;&gt;"",R423&lt;S423),"人工止损无效：不能下调","跟踪有效"))),"记录类型无效")))</f>
        <v/>
      </c>
    </row>
    <row r="424">
      <c r="A424" s="28" t="n"/>
      <c r="B424" s="28" t="n"/>
      <c r="C424" s="31">
        <f>IF(B424="","",IFERROR(LOOKUP(2,1/(单次交易!$A$2:$A$201=B424),单次交易!$B$2:$B$201),""))</f>
        <v/>
      </c>
      <c r="D424" s="27" t="n"/>
      <c r="E424" s="43" t="n"/>
      <c r="F424" s="43" t="n"/>
      <c r="G424" s="28" t="n"/>
      <c r="H424" s="49" t="n"/>
      <c r="I424" s="43" t="n"/>
      <c r="J424" s="27" t="n"/>
      <c r="K424" s="28" t="n"/>
      <c r="L424" s="28" t="n"/>
      <c r="M424" s="28" t="n"/>
      <c r="N424" s="44">
        <f>IF(B424="","",IFERROR(LOOKUP(2,1/(单次交易!$A$2:$A$201=B424),单次交易!$N$2:$N$201),""))</f>
        <v/>
      </c>
      <c r="O424" s="44">
        <f>IF(A424&lt;&gt;"每日跟踪","",IF(OR(B424="",H424="",I424=""),"",IFERROR(AGGREGATE(14,6,$I$2:$I$501/(($A$2:$A$501="每日跟踪")*($B$2:$B$501=B424)*($H$2:$H$501&lt;=H424)),1),"")))</f>
        <v/>
      </c>
      <c r="P424" s="26">
        <f>IF(A424&lt;&gt;"每日跟踪","",IF(O424="","",IFERROR(AGGREGATE(14,6,$D$2:$D$501/(($A$2:$A$501="止损计划")*($B$2:$B$501=B424)*($E$2:$E$501&lt;=O424)),1),0)))</f>
        <v/>
      </c>
      <c r="Q424" s="44">
        <f>IF(A424&lt;&gt;"每日跟踪","",IF(N424="","",MAX(N424,IFERROR(AGGREGATE(14,6,$F$2:$F$501/(($A$2:$A$501="止损计划")*($B$2:$B$501=B424)*($E$2:$E$501&lt;=O424)),1),0))))</f>
        <v/>
      </c>
      <c r="R424" s="43" t="n"/>
      <c r="S424" s="44">
        <f>IF(A424&lt;&gt;"每日跟踪","",IF(Q424="","",MAX(Q424,IFERROR(AGGREGATE(14,6,$R$2:$R$501/(($A$2:$A$501="每日跟踪")*($B$2:$B$501=B424)*($H$2:$H$501&lt;=H424)),1),0))))</f>
        <v/>
      </c>
      <c r="T424" s="44">
        <f>IF(A424&lt;&gt;"每日跟踪","",IF(O424="","",IF(COUNTIFS($A$2:$A$501,"止损计划",$B$2:$B$501,B424,$E$2:$E$501,"&gt;"&amp;O424)=0,"",AGGREGATE(15,6,$E$2:$E$501/(($A$2:$A$501="止损计划")*($B$2:$B$501=B424)*($E$2:$E$501&gt;O424)),1))))</f>
        <v/>
      </c>
      <c r="U424" s="44">
        <f>IF(OR(A424&lt;&gt;"每日跟踪",T424=""),"",IFERROR(AGGREGATE(14,6,$F$2:$F$501/(($A$2:$A$501="止损计划")*($B$2:$B$501=B424)*($E$2:$E$501=T424)),1),""))</f>
        <v/>
      </c>
      <c r="V424" s="30">
        <f>IF(OR(A424&lt;&gt;"每日跟踪",T424="",I424="",I424&lt;=0),"",T424/I424-1)</f>
        <v/>
      </c>
      <c r="W424" s="31">
        <f>IF(A424&lt;&gt;"每日跟踪","",IF(OR(I424="",S424=""),"",IF(I424&lt;=S424,"触发止损：应全部卖出","继续观察")))</f>
        <v/>
      </c>
      <c r="X424" s="28" t="n"/>
      <c r="Y424" s="43" t="n"/>
      <c r="Z424" s="26">
        <f>IF(X424&lt;&gt;"执行卖出","",IFERROR(LOOKUP(2,1/(单次交易!$A$2:$A$201=B424),单次交易!$AP$2:$AP$201),""))</f>
        <v/>
      </c>
      <c r="AA424" s="43" t="n"/>
      <c r="AB424" s="31">
        <f>IF(A424&lt;&gt;"每日跟踪","",IF(OR(B424="",H424="",I424="",J424="",K424="",L424="",M424=""),"待补充每日记录",IF(W424="触发止损：应全部卖出",IF(X424&lt;&gt;"执行卖出","违规：触发止损但未执行",IF(Y424="","待补充实际卖出价","卖出记录完整")),IF(X424="","待选择卖出动作",IF(X424="执行卖出",IF(Y424="","待补充实际卖出价","卖出记录完整"),"正常")))))</f>
        <v/>
      </c>
      <c r="AC424" s="31">
        <f>IF(A424="","",IF(A424="止损计划",IF(OR(B424="",D424="",E424="",F424="",G424=""),"计划不完整",IF(OR(D424&lt;1,D424&lt;&gt;INT(D424)),"阶段序号无效",IF(COUNTIFS($A$2:$A$501,"止损计划",$B$2:$B$501,B424,$D$2:$D$501,D424)&gt;1,"阶段序号重复",IF(E424&lt;=IFERROR(LOOKUP(2,1/('单次交易'!$A$2:$A$201=B424),'单次交易'!$E$2:$E$201),0),"激活价须高于买入价",IF(F424&lt;N424,"止损价不得低于初始止损",IF(F424&gt;E424,"止损价不得高于激活价",IF(AND(COUNTIFS($A$2:$A$501,"止损计划",$B$2:$B$501,B424,$D$2:$D$501,"&lt;"&amp;D424)&gt;0,OR(E424&lt;=AGGREGATE(14,6,$E$2:$E$501/(($A$2:$A$501="止损计划")*($B$2:$B$501=B424)*($D$2:$D$501&lt;D424)),1),F424&lt;AGGREGATE(14,6,$F$2:$F$501/(($A$2:$A$501="止损计划")*($B$2:$B$501=B424)*($D$2:$D$501&lt;D424)),1))),"阶段价格必须逐级提高","计划有效"))))))),IF(A424="每日跟踪",IF(OR(B424="",H424="",I424="",J424=""),"每日数据不完整",IF(COUNTIFS($A$2:$A$501,"每日跟踪",$B$2:$B$501,B424,$H$2:$H$501,H424)&gt;1,"同一交易日期重复",IF(AND(R424&lt;&gt;"",R424&lt;S424),"人工止损无效：不能下调","跟踪有效"))),"记录类型无效")))</f>
        <v/>
      </c>
    </row>
    <row r="425">
      <c r="A425" s="28" t="n"/>
      <c r="B425" s="28" t="n"/>
      <c r="C425" s="31">
        <f>IF(B425="","",IFERROR(LOOKUP(2,1/(单次交易!$A$2:$A$201=B425),单次交易!$B$2:$B$201),""))</f>
        <v/>
      </c>
      <c r="D425" s="27" t="n"/>
      <c r="E425" s="43" t="n"/>
      <c r="F425" s="43" t="n"/>
      <c r="G425" s="28" t="n"/>
      <c r="H425" s="49" t="n"/>
      <c r="I425" s="43" t="n"/>
      <c r="J425" s="27" t="n"/>
      <c r="K425" s="28" t="n"/>
      <c r="L425" s="28" t="n"/>
      <c r="M425" s="28" t="n"/>
      <c r="N425" s="44">
        <f>IF(B425="","",IFERROR(LOOKUP(2,1/(单次交易!$A$2:$A$201=B425),单次交易!$N$2:$N$201),""))</f>
        <v/>
      </c>
      <c r="O425" s="44">
        <f>IF(A425&lt;&gt;"每日跟踪","",IF(OR(B425="",H425="",I425=""),"",IFERROR(AGGREGATE(14,6,$I$2:$I$501/(($A$2:$A$501="每日跟踪")*($B$2:$B$501=B425)*($H$2:$H$501&lt;=H425)),1),"")))</f>
        <v/>
      </c>
      <c r="P425" s="26">
        <f>IF(A425&lt;&gt;"每日跟踪","",IF(O425="","",IFERROR(AGGREGATE(14,6,$D$2:$D$501/(($A$2:$A$501="止损计划")*($B$2:$B$501=B425)*($E$2:$E$501&lt;=O425)),1),0)))</f>
        <v/>
      </c>
      <c r="Q425" s="44">
        <f>IF(A425&lt;&gt;"每日跟踪","",IF(N425="","",MAX(N425,IFERROR(AGGREGATE(14,6,$F$2:$F$501/(($A$2:$A$501="止损计划")*($B$2:$B$501=B425)*($E$2:$E$501&lt;=O425)),1),0))))</f>
        <v/>
      </c>
      <c r="R425" s="43" t="n"/>
      <c r="S425" s="44">
        <f>IF(A425&lt;&gt;"每日跟踪","",IF(Q425="","",MAX(Q425,IFERROR(AGGREGATE(14,6,$R$2:$R$501/(($A$2:$A$501="每日跟踪")*($B$2:$B$501=B425)*($H$2:$H$501&lt;=H425)),1),0))))</f>
        <v/>
      </c>
      <c r="T425" s="44">
        <f>IF(A425&lt;&gt;"每日跟踪","",IF(O425="","",IF(COUNTIFS($A$2:$A$501,"止损计划",$B$2:$B$501,B425,$E$2:$E$501,"&gt;"&amp;O425)=0,"",AGGREGATE(15,6,$E$2:$E$501/(($A$2:$A$501="止损计划")*($B$2:$B$501=B425)*($E$2:$E$501&gt;O425)),1))))</f>
        <v/>
      </c>
      <c r="U425" s="44">
        <f>IF(OR(A425&lt;&gt;"每日跟踪",T425=""),"",IFERROR(AGGREGATE(14,6,$F$2:$F$501/(($A$2:$A$501="止损计划")*($B$2:$B$501=B425)*($E$2:$E$501=T425)),1),""))</f>
        <v/>
      </c>
      <c r="V425" s="30">
        <f>IF(OR(A425&lt;&gt;"每日跟踪",T425="",I425="",I425&lt;=0),"",T425/I425-1)</f>
        <v/>
      </c>
      <c r="W425" s="31">
        <f>IF(A425&lt;&gt;"每日跟踪","",IF(OR(I425="",S425=""),"",IF(I425&lt;=S425,"触发止损：应全部卖出","继续观察")))</f>
        <v/>
      </c>
      <c r="X425" s="28" t="n"/>
      <c r="Y425" s="43" t="n"/>
      <c r="Z425" s="26">
        <f>IF(X425&lt;&gt;"执行卖出","",IFERROR(LOOKUP(2,1/(单次交易!$A$2:$A$201=B425),单次交易!$AP$2:$AP$201),""))</f>
        <v/>
      </c>
      <c r="AA425" s="43" t="n"/>
      <c r="AB425" s="31">
        <f>IF(A425&lt;&gt;"每日跟踪","",IF(OR(B425="",H425="",I425="",J425="",K425="",L425="",M425=""),"待补充每日记录",IF(W425="触发止损：应全部卖出",IF(X425&lt;&gt;"执行卖出","违规：触发止损但未执行",IF(Y425="","待补充实际卖出价","卖出记录完整")),IF(X425="","待选择卖出动作",IF(X425="执行卖出",IF(Y425="","待补充实际卖出价","卖出记录完整"),"正常")))))</f>
        <v/>
      </c>
      <c r="AC425" s="31">
        <f>IF(A425="","",IF(A425="止损计划",IF(OR(B425="",D425="",E425="",F425="",G425=""),"计划不完整",IF(OR(D425&lt;1,D425&lt;&gt;INT(D425)),"阶段序号无效",IF(COUNTIFS($A$2:$A$501,"止损计划",$B$2:$B$501,B425,$D$2:$D$501,D425)&gt;1,"阶段序号重复",IF(E425&lt;=IFERROR(LOOKUP(2,1/('单次交易'!$A$2:$A$201=B425),'单次交易'!$E$2:$E$201),0),"激活价须高于买入价",IF(F425&lt;N425,"止损价不得低于初始止损",IF(F425&gt;E425,"止损价不得高于激活价",IF(AND(COUNTIFS($A$2:$A$501,"止损计划",$B$2:$B$501,B425,$D$2:$D$501,"&lt;"&amp;D425)&gt;0,OR(E425&lt;=AGGREGATE(14,6,$E$2:$E$501/(($A$2:$A$501="止损计划")*($B$2:$B$501=B425)*($D$2:$D$501&lt;D425)),1),F425&lt;AGGREGATE(14,6,$F$2:$F$501/(($A$2:$A$501="止损计划")*($B$2:$B$501=B425)*($D$2:$D$501&lt;D425)),1))),"阶段价格必须逐级提高","计划有效"))))))),IF(A425="每日跟踪",IF(OR(B425="",H425="",I425="",J425=""),"每日数据不完整",IF(COUNTIFS($A$2:$A$501,"每日跟踪",$B$2:$B$501,B425,$H$2:$H$501,H425)&gt;1,"同一交易日期重复",IF(AND(R425&lt;&gt;"",R425&lt;S425),"人工止损无效：不能下调","跟踪有效"))),"记录类型无效")))</f>
        <v/>
      </c>
    </row>
    <row r="426">
      <c r="A426" s="28" t="n"/>
      <c r="B426" s="28" t="n"/>
      <c r="C426" s="31">
        <f>IF(B426="","",IFERROR(LOOKUP(2,1/(单次交易!$A$2:$A$201=B426),单次交易!$B$2:$B$201),""))</f>
        <v/>
      </c>
      <c r="D426" s="27" t="n"/>
      <c r="E426" s="43" t="n"/>
      <c r="F426" s="43" t="n"/>
      <c r="G426" s="28" t="n"/>
      <c r="H426" s="49" t="n"/>
      <c r="I426" s="43" t="n"/>
      <c r="J426" s="27" t="n"/>
      <c r="K426" s="28" t="n"/>
      <c r="L426" s="28" t="n"/>
      <c r="M426" s="28" t="n"/>
      <c r="N426" s="44">
        <f>IF(B426="","",IFERROR(LOOKUP(2,1/(单次交易!$A$2:$A$201=B426),单次交易!$N$2:$N$201),""))</f>
        <v/>
      </c>
      <c r="O426" s="44">
        <f>IF(A426&lt;&gt;"每日跟踪","",IF(OR(B426="",H426="",I426=""),"",IFERROR(AGGREGATE(14,6,$I$2:$I$501/(($A$2:$A$501="每日跟踪")*($B$2:$B$501=B426)*($H$2:$H$501&lt;=H426)),1),"")))</f>
        <v/>
      </c>
      <c r="P426" s="26">
        <f>IF(A426&lt;&gt;"每日跟踪","",IF(O426="","",IFERROR(AGGREGATE(14,6,$D$2:$D$501/(($A$2:$A$501="止损计划")*($B$2:$B$501=B426)*($E$2:$E$501&lt;=O426)),1),0)))</f>
        <v/>
      </c>
      <c r="Q426" s="44">
        <f>IF(A426&lt;&gt;"每日跟踪","",IF(N426="","",MAX(N426,IFERROR(AGGREGATE(14,6,$F$2:$F$501/(($A$2:$A$501="止损计划")*($B$2:$B$501=B426)*($E$2:$E$501&lt;=O426)),1),0))))</f>
        <v/>
      </c>
      <c r="R426" s="43" t="n"/>
      <c r="S426" s="44">
        <f>IF(A426&lt;&gt;"每日跟踪","",IF(Q426="","",MAX(Q426,IFERROR(AGGREGATE(14,6,$R$2:$R$501/(($A$2:$A$501="每日跟踪")*($B$2:$B$501=B426)*($H$2:$H$501&lt;=H426)),1),0))))</f>
        <v/>
      </c>
      <c r="T426" s="44">
        <f>IF(A426&lt;&gt;"每日跟踪","",IF(O426="","",IF(COUNTIFS($A$2:$A$501,"止损计划",$B$2:$B$501,B426,$E$2:$E$501,"&gt;"&amp;O426)=0,"",AGGREGATE(15,6,$E$2:$E$501/(($A$2:$A$501="止损计划")*($B$2:$B$501=B426)*($E$2:$E$501&gt;O426)),1))))</f>
        <v/>
      </c>
      <c r="U426" s="44">
        <f>IF(OR(A426&lt;&gt;"每日跟踪",T426=""),"",IFERROR(AGGREGATE(14,6,$F$2:$F$501/(($A$2:$A$501="止损计划")*($B$2:$B$501=B426)*($E$2:$E$501=T426)),1),""))</f>
        <v/>
      </c>
      <c r="V426" s="30">
        <f>IF(OR(A426&lt;&gt;"每日跟踪",T426="",I426="",I426&lt;=0),"",T426/I426-1)</f>
        <v/>
      </c>
      <c r="W426" s="31">
        <f>IF(A426&lt;&gt;"每日跟踪","",IF(OR(I426="",S426=""),"",IF(I426&lt;=S426,"触发止损：应全部卖出","继续观察")))</f>
        <v/>
      </c>
      <c r="X426" s="28" t="n"/>
      <c r="Y426" s="43" t="n"/>
      <c r="Z426" s="26">
        <f>IF(X426&lt;&gt;"执行卖出","",IFERROR(LOOKUP(2,1/(单次交易!$A$2:$A$201=B426),单次交易!$AP$2:$AP$201),""))</f>
        <v/>
      </c>
      <c r="AA426" s="43" t="n"/>
      <c r="AB426" s="31">
        <f>IF(A426&lt;&gt;"每日跟踪","",IF(OR(B426="",H426="",I426="",J426="",K426="",L426="",M426=""),"待补充每日记录",IF(W426="触发止损：应全部卖出",IF(X426&lt;&gt;"执行卖出","违规：触发止损但未执行",IF(Y426="","待补充实际卖出价","卖出记录完整")),IF(X426="","待选择卖出动作",IF(X426="执行卖出",IF(Y426="","待补充实际卖出价","卖出记录完整"),"正常")))))</f>
        <v/>
      </c>
      <c r="AC426" s="31">
        <f>IF(A426="","",IF(A426="止损计划",IF(OR(B426="",D426="",E426="",F426="",G426=""),"计划不完整",IF(OR(D426&lt;1,D426&lt;&gt;INT(D426)),"阶段序号无效",IF(COUNTIFS($A$2:$A$501,"止损计划",$B$2:$B$501,B426,$D$2:$D$501,D426)&gt;1,"阶段序号重复",IF(E426&lt;=IFERROR(LOOKUP(2,1/('单次交易'!$A$2:$A$201=B426),'单次交易'!$E$2:$E$201),0),"激活价须高于买入价",IF(F426&lt;N426,"止损价不得低于初始止损",IF(F426&gt;E426,"止损价不得高于激活价",IF(AND(COUNTIFS($A$2:$A$501,"止损计划",$B$2:$B$501,B426,$D$2:$D$501,"&lt;"&amp;D426)&gt;0,OR(E426&lt;=AGGREGATE(14,6,$E$2:$E$501/(($A$2:$A$501="止损计划")*($B$2:$B$501=B426)*($D$2:$D$501&lt;D426)),1),F426&lt;AGGREGATE(14,6,$F$2:$F$501/(($A$2:$A$501="止损计划")*($B$2:$B$501=B426)*($D$2:$D$501&lt;D426)),1))),"阶段价格必须逐级提高","计划有效"))))))),IF(A426="每日跟踪",IF(OR(B426="",H426="",I426="",J426=""),"每日数据不完整",IF(COUNTIFS($A$2:$A$501,"每日跟踪",$B$2:$B$501,B426,$H$2:$H$501,H426)&gt;1,"同一交易日期重复",IF(AND(R426&lt;&gt;"",R426&lt;S426),"人工止损无效：不能下调","跟踪有效"))),"记录类型无效")))</f>
        <v/>
      </c>
    </row>
    <row r="427">
      <c r="A427" s="28" t="n"/>
      <c r="B427" s="28" t="n"/>
      <c r="C427" s="31">
        <f>IF(B427="","",IFERROR(LOOKUP(2,1/(单次交易!$A$2:$A$201=B427),单次交易!$B$2:$B$201),""))</f>
        <v/>
      </c>
      <c r="D427" s="27" t="n"/>
      <c r="E427" s="43" t="n"/>
      <c r="F427" s="43" t="n"/>
      <c r="G427" s="28" t="n"/>
      <c r="H427" s="49" t="n"/>
      <c r="I427" s="43" t="n"/>
      <c r="J427" s="27" t="n"/>
      <c r="K427" s="28" t="n"/>
      <c r="L427" s="28" t="n"/>
      <c r="M427" s="28" t="n"/>
      <c r="N427" s="44">
        <f>IF(B427="","",IFERROR(LOOKUP(2,1/(单次交易!$A$2:$A$201=B427),单次交易!$N$2:$N$201),""))</f>
        <v/>
      </c>
      <c r="O427" s="44">
        <f>IF(A427&lt;&gt;"每日跟踪","",IF(OR(B427="",H427="",I427=""),"",IFERROR(AGGREGATE(14,6,$I$2:$I$501/(($A$2:$A$501="每日跟踪")*($B$2:$B$501=B427)*($H$2:$H$501&lt;=H427)),1),"")))</f>
        <v/>
      </c>
      <c r="P427" s="26">
        <f>IF(A427&lt;&gt;"每日跟踪","",IF(O427="","",IFERROR(AGGREGATE(14,6,$D$2:$D$501/(($A$2:$A$501="止损计划")*($B$2:$B$501=B427)*($E$2:$E$501&lt;=O427)),1),0)))</f>
        <v/>
      </c>
      <c r="Q427" s="44">
        <f>IF(A427&lt;&gt;"每日跟踪","",IF(N427="","",MAX(N427,IFERROR(AGGREGATE(14,6,$F$2:$F$501/(($A$2:$A$501="止损计划")*($B$2:$B$501=B427)*($E$2:$E$501&lt;=O427)),1),0))))</f>
        <v/>
      </c>
      <c r="R427" s="43" t="n"/>
      <c r="S427" s="44">
        <f>IF(A427&lt;&gt;"每日跟踪","",IF(Q427="","",MAX(Q427,IFERROR(AGGREGATE(14,6,$R$2:$R$501/(($A$2:$A$501="每日跟踪")*($B$2:$B$501=B427)*($H$2:$H$501&lt;=H427)),1),0))))</f>
        <v/>
      </c>
      <c r="T427" s="44">
        <f>IF(A427&lt;&gt;"每日跟踪","",IF(O427="","",IF(COUNTIFS($A$2:$A$501,"止损计划",$B$2:$B$501,B427,$E$2:$E$501,"&gt;"&amp;O427)=0,"",AGGREGATE(15,6,$E$2:$E$501/(($A$2:$A$501="止损计划")*($B$2:$B$501=B427)*($E$2:$E$501&gt;O427)),1))))</f>
        <v/>
      </c>
      <c r="U427" s="44">
        <f>IF(OR(A427&lt;&gt;"每日跟踪",T427=""),"",IFERROR(AGGREGATE(14,6,$F$2:$F$501/(($A$2:$A$501="止损计划")*($B$2:$B$501=B427)*($E$2:$E$501=T427)),1),""))</f>
        <v/>
      </c>
      <c r="V427" s="30">
        <f>IF(OR(A427&lt;&gt;"每日跟踪",T427="",I427="",I427&lt;=0),"",T427/I427-1)</f>
        <v/>
      </c>
      <c r="W427" s="31">
        <f>IF(A427&lt;&gt;"每日跟踪","",IF(OR(I427="",S427=""),"",IF(I427&lt;=S427,"触发止损：应全部卖出","继续观察")))</f>
        <v/>
      </c>
      <c r="X427" s="28" t="n"/>
      <c r="Y427" s="43" t="n"/>
      <c r="Z427" s="26">
        <f>IF(X427&lt;&gt;"执行卖出","",IFERROR(LOOKUP(2,1/(单次交易!$A$2:$A$201=B427),单次交易!$AP$2:$AP$201),""))</f>
        <v/>
      </c>
      <c r="AA427" s="43" t="n"/>
      <c r="AB427" s="31">
        <f>IF(A427&lt;&gt;"每日跟踪","",IF(OR(B427="",H427="",I427="",J427="",K427="",L427="",M427=""),"待补充每日记录",IF(W427="触发止损：应全部卖出",IF(X427&lt;&gt;"执行卖出","违规：触发止损但未执行",IF(Y427="","待补充实际卖出价","卖出记录完整")),IF(X427="","待选择卖出动作",IF(X427="执行卖出",IF(Y427="","待补充实际卖出价","卖出记录完整"),"正常")))))</f>
        <v/>
      </c>
      <c r="AC427" s="31">
        <f>IF(A427="","",IF(A427="止损计划",IF(OR(B427="",D427="",E427="",F427="",G427=""),"计划不完整",IF(OR(D427&lt;1,D427&lt;&gt;INT(D427)),"阶段序号无效",IF(COUNTIFS($A$2:$A$501,"止损计划",$B$2:$B$501,B427,$D$2:$D$501,D427)&gt;1,"阶段序号重复",IF(E427&lt;=IFERROR(LOOKUP(2,1/('单次交易'!$A$2:$A$201=B427),'单次交易'!$E$2:$E$201),0),"激活价须高于买入价",IF(F427&lt;N427,"止损价不得低于初始止损",IF(F427&gt;E427,"止损价不得高于激活价",IF(AND(COUNTIFS($A$2:$A$501,"止损计划",$B$2:$B$501,B427,$D$2:$D$501,"&lt;"&amp;D427)&gt;0,OR(E427&lt;=AGGREGATE(14,6,$E$2:$E$501/(($A$2:$A$501="止损计划")*($B$2:$B$501=B427)*($D$2:$D$501&lt;D427)),1),F427&lt;AGGREGATE(14,6,$F$2:$F$501/(($A$2:$A$501="止损计划")*($B$2:$B$501=B427)*($D$2:$D$501&lt;D427)),1))),"阶段价格必须逐级提高","计划有效"))))))),IF(A427="每日跟踪",IF(OR(B427="",H427="",I427="",J427=""),"每日数据不完整",IF(COUNTIFS($A$2:$A$501,"每日跟踪",$B$2:$B$501,B427,$H$2:$H$501,H427)&gt;1,"同一交易日期重复",IF(AND(R427&lt;&gt;"",R427&lt;S427),"人工止损无效：不能下调","跟踪有效"))),"记录类型无效")))</f>
        <v/>
      </c>
    </row>
    <row r="428">
      <c r="A428" s="28" t="n"/>
      <c r="B428" s="28" t="n"/>
      <c r="C428" s="31">
        <f>IF(B428="","",IFERROR(LOOKUP(2,1/(单次交易!$A$2:$A$201=B428),单次交易!$B$2:$B$201),""))</f>
        <v/>
      </c>
      <c r="D428" s="27" t="n"/>
      <c r="E428" s="43" t="n"/>
      <c r="F428" s="43" t="n"/>
      <c r="G428" s="28" t="n"/>
      <c r="H428" s="49" t="n"/>
      <c r="I428" s="43" t="n"/>
      <c r="J428" s="27" t="n"/>
      <c r="K428" s="28" t="n"/>
      <c r="L428" s="28" t="n"/>
      <c r="M428" s="28" t="n"/>
      <c r="N428" s="44">
        <f>IF(B428="","",IFERROR(LOOKUP(2,1/(单次交易!$A$2:$A$201=B428),单次交易!$N$2:$N$201),""))</f>
        <v/>
      </c>
      <c r="O428" s="44">
        <f>IF(A428&lt;&gt;"每日跟踪","",IF(OR(B428="",H428="",I428=""),"",IFERROR(AGGREGATE(14,6,$I$2:$I$501/(($A$2:$A$501="每日跟踪")*($B$2:$B$501=B428)*($H$2:$H$501&lt;=H428)),1),"")))</f>
        <v/>
      </c>
      <c r="P428" s="26">
        <f>IF(A428&lt;&gt;"每日跟踪","",IF(O428="","",IFERROR(AGGREGATE(14,6,$D$2:$D$501/(($A$2:$A$501="止损计划")*($B$2:$B$501=B428)*($E$2:$E$501&lt;=O428)),1),0)))</f>
        <v/>
      </c>
      <c r="Q428" s="44">
        <f>IF(A428&lt;&gt;"每日跟踪","",IF(N428="","",MAX(N428,IFERROR(AGGREGATE(14,6,$F$2:$F$501/(($A$2:$A$501="止损计划")*($B$2:$B$501=B428)*($E$2:$E$501&lt;=O428)),1),0))))</f>
        <v/>
      </c>
      <c r="R428" s="43" t="n"/>
      <c r="S428" s="44">
        <f>IF(A428&lt;&gt;"每日跟踪","",IF(Q428="","",MAX(Q428,IFERROR(AGGREGATE(14,6,$R$2:$R$501/(($A$2:$A$501="每日跟踪")*($B$2:$B$501=B428)*($H$2:$H$501&lt;=H428)),1),0))))</f>
        <v/>
      </c>
      <c r="T428" s="44">
        <f>IF(A428&lt;&gt;"每日跟踪","",IF(O428="","",IF(COUNTIFS($A$2:$A$501,"止损计划",$B$2:$B$501,B428,$E$2:$E$501,"&gt;"&amp;O428)=0,"",AGGREGATE(15,6,$E$2:$E$501/(($A$2:$A$501="止损计划")*($B$2:$B$501=B428)*($E$2:$E$501&gt;O428)),1))))</f>
        <v/>
      </c>
      <c r="U428" s="44">
        <f>IF(OR(A428&lt;&gt;"每日跟踪",T428=""),"",IFERROR(AGGREGATE(14,6,$F$2:$F$501/(($A$2:$A$501="止损计划")*($B$2:$B$501=B428)*($E$2:$E$501=T428)),1),""))</f>
        <v/>
      </c>
      <c r="V428" s="30">
        <f>IF(OR(A428&lt;&gt;"每日跟踪",T428="",I428="",I428&lt;=0),"",T428/I428-1)</f>
        <v/>
      </c>
      <c r="W428" s="31">
        <f>IF(A428&lt;&gt;"每日跟踪","",IF(OR(I428="",S428=""),"",IF(I428&lt;=S428,"触发止损：应全部卖出","继续观察")))</f>
        <v/>
      </c>
      <c r="X428" s="28" t="n"/>
      <c r="Y428" s="43" t="n"/>
      <c r="Z428" s="26">
        <f>IF(X428&lt;&gt;"执行卖出","",IFERROR(LOOKUP(2,1/(单次交易!$A$2:$A$201=B428),单次交易!$AP$2:$AP$201),""))</f>
        <v/>
      </c>
      <c r="AA428" s="43" t="n"/>
      <c r="AB428" s="31">
        <f>IF(A428&lt;&gt;"每日跟踪","",IF(OR(B428="",H428="",I428="",J428="",K428="",L428="",M428=""),"待补充每日记录",IF(W428="触发止损：应全部卖出",IF(X428&lt;&gt;"执行卖出","违规：触发止损但未执行",IF(Y428="","待补充实际卖出价","卖出记录完整")),IF(X428="","待选择卖出动作",IF(X428="执行卖出",IF(Y428="","待补充实际卖出价","卖出记录完整"),"正常")))))</f>
        <v/>
      </c>
      <c r="AC428" s="31">
        <f>IF(A428="","",IF(A428="止损计划",IF(OR(B428="",D428="",E428="",F428="",G428=""),"计划不完整",IF(OR(D428&lt;1,D428&lt;&gt;INT(D428)),"阶段序号无效",IF(COUNTIFS($A$2:$A$501,"止损计划",$B$2:$B$501,B428,$D$2:$D$501,D428)&gt;1,"阶段序号重复",IF(E428&lt;=IFERROR(LOOKUP(2,1/('单次交易'!$A$2:$A$201=B428),'单次交易'!$E$2:$E$201),0),"激活价须高于买入价",IF(F428&lt;N428,"止损价不得低于初始止损",IF(F428&gt;E428,"止损价不得高于激活价",IF(AND(COUNTIFS($A$2:$A$501,"止损计划",$B$2:$B$501,B428,$D$2:$D$501,"&lt;"&amp;D428)&gt;0,OR(E428&lt;=AGGREGATE(14,6,$E$2:$E$501/(($A$2:$A$501="止损计划")*($B$2:$B$501=B428)*($D$2:$D$501&lt;D428)),1),F428&lt;AGGREGATE(14,6,$F$2:$F$501/(($A$2:$A$501="止损计划")*($B$2:$B$501=B428)*($D$2:$D$501&lt;D428)),1))),"阶段价格必须逐级提高","计划有效"))))))),IF(A428="每日跟踪",IF(OR(B428="",H428="",I428="",J428=""),"每日数据不完整",IF(COUNTIFS($A$2:$A$501,"每日跟踪",$B$2:$B$501,B428,$H$2:$H$501,H428)&gt;1,"同一交易日期重复",IF(AND(R428&lt;&gt;"",R428&lt;S428),"人工止损无效：不能下调","跟踪有效"))),"记录类型无效")))</f>
        <v/>
      </c>
    </row>
    <row r="429">
      <c r="A429" s="28" t="n"/>
      <c r="B429" s="28" t="n"/>
      <c r="C429" s="31">
        <f>IF(B429="","",IFERROR(LOOKUP(2,1/(单次交易!$A$2:$A$201=B429),单次交易!$B$2:$B$201),""))</f>
        <v/>
      </c>
      <c r="D429" s="27" t="n"/>
      <c r="E429" s="43" t="n"/>
      <c r="F429" s="43" t="n"/>
      <c r="G429" s="28" t="n"/>
      <c r="H429" s="49" t="n"/>
      <c r="I429" s="43" t="n"/>
      <c r="J429" s="27" t="n"/>
      <c r="K429" s="28" t="n"/>
      <c r="L429" s="28" t="n"/>
      <c r="M429" s="28" t="n"/>
      <c r="N429" s="44">
        <f>IF(B429="","",IFERROR(LOOKUP(2,1/(单次交易!$A$2:$A$201=B429),单次交易!$N$2:$N$201),""))</f>
        <v/>
      </c>
      <c r="O429" s="44">
        <f>IF(A429&lt;&gt;"每日跟踪","",IF(OR(B429="",H429="",I429=""),"",IFERROR(AGGREGATE(14,6,$I$2:$I$501/(($A$2:$A$501="每日跟踪")*($B$2:$B$501=B429)*($H$2:$H$501&lt;=H429)),1),"")))</f>
        <v/>
      </c>
      <c r="P429" s="26">
        <f>IF(A429&lt;&gt;"每日跟踪","",IF(O429="","",IFERROR(AGGREGATE(14,6,$D$2:$D$501/(($A$2:$A$501="止损计划")*($B$2:$B$501=B429)*($E$2:$E$501&lt;=O429)),1),0)))</f>
        <v/>
      </c>
      <c r="Q429" s="44">
        <f>IF(A429&lt;&gt;"每日跟踪","",IF(N429="","",MAX(N429,IFERROR(AGGREGATE(14,6,$F$2:$F$501/(($A$2:$A$501="止损计划")*($B$2:$B$501=B429)*($E$2:$E$501&lt;=O429)),1),0))))</f>
        <v/>
      </c>
      <c r="R429" s="43" t="n"/>
      <c r="S429" s="44">
        <f>IF(A429&lt;&gt;"每日跟踪","",IF(Q429="","",MAX(Q429,IFERROR(AGGREGATE(14,6,$R$2:$R$501/(($A$2:$A$501="每日跟踪")*($B$2:$B$501=B429)*($H$2:$H$501&lt;=H429)),1),0))))</f>
        <v/>
      </c>
      <c r="T429" s="44">
        <f>IF(A429&lt;&gt;"每日跟踪","",IF(O429="","",IF(COUNTIFS($A$2:$A$501,"止损计划",$B$2:$B$501,B429,$E$2:$E$501,"&gt;"&amp;O429)=0,"",AGGREGATE(15,6,$E$2:$E$501/(($A$2:$A$501="止损计划")*($B$2:$B$501=B429)*($E$2:$E$501&gt;O429)),1))))</f>
        <v/>
      </c>
      <c r="U429" s="44">
        <f>IF(OR(A429&lt;&gt;"每日跟踪",T429=""),"",IFERROR(AGGREGATE(14,6,$F$2:$F$501/(($A$2:$A$501="止损计划")*($B$2:$B$501=B429)*($E$2:$E$501=T429)),1),""))</f>
        <v/>
      </c>
      <c r="V429" s="30">
        <f>IF(OR(A429&lt;&gt;"每日跟踪",T429="",I429="",I429&lt;=0),"",T429/I429-1)</f>
        <v/>
      </c>
      <c r="W429" s="31">
        <f>IF(A429&lt;&gt;"每日跟踪","",IF(OR(I429="",S429=""),"",IF(I429&lt;=S429,"触发止损：应全部卖出","继续观察")))</f>
        <v/>
      </c>
      <c r="X429" s="28" t="n"/>
      <c r="Y429" s="43" t="n"/>
      <c r="Z429" s="26">
        <f>IF(X429&lt;&gt;"执行卖出","",IFERROR(LOOKUP(2,1/(单次交易!$A$2:$A$201=B429),单次交易!$AP$2:$AP$201),""))</f>
        <v/>
      </c>
      <c r="AA429" s="43" t="n"/>
      <c r="AB429" s="31">
        <f>IF(A429&lt;&gt;"每日跟踪","",IF(OR(B429="",H429="",I429="",J429="",K429="",L429="",M429=""),"待补充每日记录",IF(W429="触发止损：应全部卖出",IF(X429&lt;&gt;"执行卖出","违规：触发止损但未执行",IF(Y429="","待补充实际卖出价","卖出记录完整")),IF(X429="","待选择卖出动作",IF(X429="执行卖出",IF(Y429="","待补充实际卖出价","卖出记录完整"),"正常")))))</f>
        <v/>
      </c>
      <c r="AC429" s="31">
        <f>IF(A429="","",IF(A429="止损计划",IF(OR(B429="",D429="",E429="",F429="",G429=""),"计划不完整",IF(OR(D429&lt;1,D429&lt;&gt;INT(D429)),"阶段序号无效",IF(COUNTIFS($A$2:$A$501,"止损计划",$B$2:$B$501,B429,$D$2:$D$501,D429)&gt;1,"阶段序号重复",IF(E429&lt;=IFERROR(LOOKUP(2,1/('单次交易'!$A$2:$A$201=B429),'单次交易'!$E$2:$E$201),0),"激活价须高于买入价",IF(F429&lt;N429,"止损价不得低于初始止损",IF(F429&gt;E429,"止损价不得高于激活价",IF(AND(COUNTIFS($A$2:$A$501,"止损计划",$B$2:$B$501,B429,$D$2:$D$501,"&lt;"&amp;D429)&gt;0,OR(E429&lt;=AGGREGATE(14,6,$E$2:$E$501/(($A$2:$A$501="止损计划")*($B$2:$B$501=B429)*($D$2:$D$501&lt;D429)),1),F429&lt;AGGREGATE(14,6,$F$2:$F$501/(($A$2:$A$501="止损计划")*($B$2:$B$501=B429)*($D$2:$D$501&lt;D429)),1))),"阶段价格必须逐级提高","计划有效"))))))),IF(A429="每日跟踪",IF(OR(B429="",H429="",I429="",J429=""),"每日数据不完整",IF(COUNTIFS($A$2:$A$501,"每日跟踪",$B$2:$B$501,B429,$H$2:$H$501,H429)&gt;1,"同一交易日期重复",IF(AND(R429&lt;&gt;"",R429&lt;S429),"人工止损无效：不能下调","跟踪有效"))),"记录类型无效")))</f>
        <v/>
      </c>
    </row>
    <row r="430">
      <c r="A430" s="28" t="n"/>
      <c r="B430" s="28" t="n"/>
      <c r="C430" s="31">
        <f>IF(B430="","",IFERROR(LOOKUP(2,1/(单次交易!$A$2:$A$201=B430),单次交易!$B$2:$B$201),""))</f>
        <v/>
      </c>
      <c r="D430" s="27" t="n"/>
      <c r="E430" s="43" t="n"/>
      <c r="F430" s="43" t="n"/>
      <c r="G430" s="28" t="n"/>
      <c r="H430" s="49" t="n"/>
      <c r="I430" s="43" t="n"/>
      <c r="J430" s="27" t="n"/>
      <c r="K430" s="28" t="n"/>
      <c r="L430" s="28" t="n"/>
      <c r="M430" s="28" t="n"/>
      <c r="N430" s="44">
        <f>IF(B430="","",IFERROR(LOOKUP(2,1/(单次交易!$A$2:$A$201=B430),单次交易!$N$2:$N$201),""))</f>
        <v/>
      </c>
      <c r="O430" s="44">
        <f>IF(A430&lt;&gt;"每日跟踪","",IF(OR(B430="",H430="",I430=""),"",IFERROR(AGGREGATE(14,6,$I$2:$I$501/(($A$2:$A$501="每日跟踪")*($B$2:$B$501=B430)*($H$2:$H$501&lt;=H430)),1),"")))</f>
        <v/>
      </c>
      <c r="P430" s="26">
        <f>IF(A430&lt;&gt;"每日跟踪","",IF(O430="","",IFERROR(AGGREGATE(14,6,$D$2:$D$501/(($A$2:$A$501="止损计划")*($B$2:$B$501=B430)*($E$2:$E$501&lt;=O430)),1),0)))</f>
        <v/>
      </c>
      <c r="Q430" s="44">
        <f>IF(A430&lt;&gt;"每日跟踪","",IF(N430="","",MAX(N430,IFERROR(AGGREGATE(14,6,$F$2:$F$501/(($A$2:$A$501="止损计划")*($B$2:$B$501=B430)*($E$2:$E$501&lt;=O430)),1),0))))</f>
        <v/>
      </c>
      <c r="R430" s="43" t="n"/>
      <c r="S430" s="44">
        <f>IF(A430&lt;&gt;"每日跟踪","",IF(Q430="","",MAX(Q430,IFERROR(AGGREGATE(14,6,$R$2:$R$501/(($A$2:$A$501="每日跟踪")*($B$2:$B$501=B430)*($H$2:$H$501&lt;=H430)),1),0))))</f>
        <v/>
      </c>
      <c r="T430" s="44">
        <f>IF(A430&lt;&gt;"每日跟踪","",IF(O430="","",IF(COUNTIFS($A$2:$A$501,"止损计划",$B$2:$B$501,B430,$E$2:$E$501,"&gt;"&amp;O430)=0,"",AGGREGATE(15,6,$E$2:$E$501/(($A$2:$A$501="止损计划")*($B$2:$B$501=B430)*($E$2:$E$501&gt;O430)),1))))</f>
        <v/>
      </c>
      <c r="U430" s="44">
        <f>IF(OR(A430&lt;&gt;"每日跟踪",T430=""),"",IFERROR(AGGREGATE(14,6,$F$2:$F$501/(($A$2:$A$501="止损计划")*($B$2:$B$501=B430)*($E$2:$E$501=T430)),1),""))</f>
        <v/>
      </c>
      <c r="V430" s="30">
        <f>IF(OR(A430&lt;&gt;"每日跟踪",T430="",I430="",I430&lt;=0),"",T430/I430-1)</f>
        <v/>
      </c>
      <c r="W430" s="31">
        <f>IF(A430&lt;&gt;"每日跟踪","",IF(OR(I430="",S430=""),"",IF(I430&lt;=S430,"触发止损：应全部卖出","继续观察")))</f>
        <v/>
      </c>
      <c r="X430" s="28" t="n"/>
      <c r="Y430" s="43" t="n"/>
      <c r="Z430" s="26">
        <f>IF(X430&lt;&gt;"执行卖出","",IFERROR(LOOKUP(2,1/(单次交易!$A$2:$A$201=B430),单次交易!$AP$2:$AP$201),""))</f>
        <v/>
      </c>
      <c r="AA430" s="43" t="n"/>
      <c r="AB430" s="31">
        <f>IF(A430&lt;&gt;"每日跟踪","",IF(OR(B430="",H430="",I430="",J430="",K430="",L430="",M430=""),"待补充每日记录",IF(W430="触发止损：应全部卖出",IF(X430&lt;&gt;"执行卖出","违规：触发止损但未执行",IF(Y430="","待补充实际卖出价","卖出记录完整")),IF(X430="","待选择卖出动作",IF(X430="执行卖出",IF(Y430="","待补充实际卖出价","卖出记录完整"),"正常")))))</f>
        <v/>
      </c>
      <c r="AC430" s="31">
        <f>IF(A430="","",IF(A430="止损计划",IF(OR(B430="",D430="",E430="",F430="",G430=""),"计划不完整",IF(OR(D430&lt;1,D430&lt;&gt;INT(D430)),"阶段序号无效",IF(COUNTIFS($A$2:$A$501,"止损计划",$B$2:$B$501,B430,$D$2:$D$501,D430)&gt;1,"阶段序号重复",IF(E430&lt;=IFERROR(LOOKUP(2,1/('单次交易'!$A$2:$A$201=B430),'单次交易'!$E$2:$E$201),0),"激活价须高于买入价",IF(F430&lt;N430,"止损价不得低于初始止损",IF(F430&gt;E430,"止损价不得高于激活价",IF(AND(COUNTIFS($A$2:$A$501,"止损计划",$B$2:$B$501,B430,$D$2:$D$501,"&lt;"&amp;D430)&gt;0,OR(E430&lt;=AGGREGATE(14,6,$E$2:$E$501/(($A$2:$A$501="止损计划")*($B$2:$B$501=B430)*($D$2:$D$501&lt;D430)),1),F430&lt;AGGREGATE(14,6,$F$2:$F$501/(($A$2:$A$501="止损计划")*($B$2:$B$501=B430)*($D$2:$D$501&lt;D430)),1))),"阶段价格必须逐级提高","计划有效"))))))),IF(A430="每日跟踪",IF(OR(B430="",H430="",I430="",J430=""),"每日数据不完整",IF(COUNTIFS($A$2:$A$501,"每日跟踪",$B$2:$B$501,B430,$H$2:$H$501,H430)&gt;1,"同一交易日期重复",IF(AND(R430&lt;&gt;"",R430&lt;S430),"人工止损无效：不能下调","跟踪有效"))),"记录类型无效")))</f>
        <v/>
      </c>
    </row>
    <row r="431">
      <c r="A431" s="28" t="n"/>
      <c r="B431" s="28" t="n"/>
      <c r="C431" s="31">
        <f>IF(B431="","",IFERROR(LOOKUP(2,1/(单次交易!$A$2:$A$201=B431),单次交易!$B$2:$B$201),""))</f>
        <v/>
      </c>
      <c r="D431" s="27" t="n"/>
      <c r="E431" s="43" t="n"/>
      <c r="F431" s="43" t="n"/>
      <c r="G431" s="28" t="n"/>
      <c r="H431" s="49" t="n"/>
      <c r="I431" s="43" t="n"/>
      <c r="J431" s="27" t="n"/>
      <c r="K431" s="28" t="n"/>
      <c r="L431" s="28" t="n"/>
      <c r="M431" s="28" t="n"/>
      <c r="N431" s="44">
        <f>IF(B431="","",IFERROR(LOOKUP(2,1/(单次交易!$A$2:$A$201=B431),单次交易!$N$2:$N$201),""))</f>
        <v/>
      </c>
      <c r="O431" s="44">
        <f>IF(A431&lt;&gt;"每日跟踪","",IF(OR(B431="",H431="",I431=""),"",IFERROR(AGGREGATE(14,6,$I$2:$I$501/(($A$2:$A$501="每日跟踪")*($B$2:$B$501=B431)*($H$2:$H$501&lt;=H431)),1),"")))</f>
        <v/>
      </c>
      <c r="P431" s="26">
        <f>IF(A431&lt;&gt;"每日跟踪","",IF(O431="","",IFERROR(AGGREGATE(14,6,$D$2:$D$501/(($A$2:$A$501="止损计划")*($B$2:$B$501=B431)*($E$2:$E$501&lt;=O431)),1),0)))</f>
        <v/>
      </c>
      <c r="Q431" s="44">
        <f>IF(A431&lt;&gt;"每日跟踪","",IF(N431="","",MAX(N431,IFERROR(AGGREGATE(14,6,$F$2:$F$501/(($A$2:$A$501="止损计划")*($B$2:$B$501=B431)*($E$2:$E$501&lt;=O431)),1),0))))</f>
        <v/>
      </c>
      <c r="R431" s="43" t="n"/>
      <c r="S431" s="44">
        <f>IF(A431&lt;&gt;"每日跟踪","",IF(Q431="","",MAX(Q431,IFERROR(AGGREGATE(14,6,$R$2:$R$501/(($A$2:$A$501="每日跟踪")*($B$2:$B$501=B431)*($H$2:$H$501&lt;=H431)),1),0))))</f>
        <v/>
      </c>
      <c r="T431" s="44">
        <f>IF(A431&lt;&gt;"每日跟踪","",IF(O431="","",IF(COUNTIFS($A$2:$A$501,"止损计划",$B$2:$B$501,B431,$E$2:$E$501,"&gt;"&amp;O431)=0,"",AGGREGATE(15,6,$E$2:$E$501/(($A$2:$A$501="止损计划")*($B$2:$B$501=B431)*($E$2:$E$501&gt;O431)),1))))</f>
        <v/>
      </c>
      <c r="U431" s="44">
        <f>IF(OR(A431&lt;&gt;"每日跟踪",T431=""),"",IFERROR(AGGREGATE(14,6,$F$2:$F$501/(($A$2:$A$501="止损计划")*($B$2:$B$501=B431)*($E$2:$E$501=T431)),1),""))</f>
        <v/>
      </c>
      <c r="V431" s="30">
        <f>IF(OR(A431&lt;&gt;"每日跟踪",T431="",I431="",I431&lt;=0),"",T431/I431-1)</f>
        <v/>
      </c>
      <c r="W431" s="31">
        <f>IF(A431&lt;&gt;"每日跟踪","",IF(OR(I431="",S431=""),"",IF(I431&lt;=S431,"触发止损：应全部卖出","继续观察")))</f>
        <v/>
      </c>
      <c r="X431" s="28" t="n"/>
      <c r="Y431" s="43" t="n"/>
      <c r="Z431" s="26">
        <f>IF(X431&lt;&gt;"执行卖出","",IFERROR(LOOKUP(2,1/(单次交易!$A$2:$A$201=B431),单次交易!$AP$2:$AP$201),""))</f>
        <v/>
      </c>
      <c r="AA431" s="43" t="n"/>
      <c r="AB431" s="31">
        <f>IF(A431&lt;&gt;"每日跟踪","",IF(OR(B431="",H431="",I431="",J431="",K431="",L431="",M431=""),"待补充每日记录",IF(W431="触发止损：应全部卖出",IF(X431&lt;&gt;"执行卖出","违规：触发止损但未执行",IF(Y431="","待补充实际卖出价","卖出记录完整")),IF(X431="","待选择卖出动作",IF(X431="执行卖出",IF(Y431="","待补充实际卖出价","卖出记录完整"),"正常")))))</f>
        <v/>
      </c>
      <c r="AC431" s="31">
        <f>IF(A431="","",IF(A431="止损计划",IF(OR(B431="",D431="",E431="",F431="",G431=""),"计划不完整",IF(OR(D431&lt;1,D431&lt;&gt;INT(D431)),"阶段序号无效",IF(COUNTIFS($A$2:$A$501,"止损计划",$B$2:$B$501,B431,$D$2:$D$501,D431)&gt;1,"阶段序号重复",IF(E431&lt;=IFERROR(LOOKUP(2,1/('单次交易'!$A$2:$A$201=B431),'单次交易'!$E$2:$E$201),0),"激活价须高于买入价",IF(F431&lt;N431,"止损价不得低于初始止损",IF(F431&gt;E431,"止损价不得高于激活价",IF(AND(COUNTIFS($A$2:$A$501,"止损计划",$B$2:$B$501,B431,$D$2:$D$501,"&lt;"&amp;D431)&gt;0,OR(E431&lt;=AGGREGATE(14,6,$E$2:$E$501/(($A$2:$A$501="止损计划")*($B$2:$B$501=B431)*($D$2:$D$501&lt;D431)),1),F431&lt;AGGREGATE(14,6,$F$2:$F$501/(($A$2:$A$501="止损计划")*($B$2:$B$501=B431)*($D$2:$D$501&lt;D431)),1))),"阶段价格必须逐级提高","计划有效"))))))),IF(A431="每日跟踪",IF(OR(B431="",H431="",I431="",J431=""),"每日数据不完整",IF(COUNTIFS($A$2:$A$501,"每日跟踪",$B$2:$B$501,B431,$H$2:$H$501,H431)&gt;1,"同一交易日期重复",IF(AND(R431&lt;&gt;"",R431&lt;S431),"人工止损无效：不能下调","跟踪有效"))),"记录类型无效")))</f>
        <v/>
      </c>
    </row>
    <row r="432">
      <c r="A432" s="28" t="n"/>
      <c r="B432" s="28" t="n"/>
      <c r="C432" s="31">
        <f>IF(B432="","",IFERROR(LOOKUP(2,1/(单次交易!$A$2:$A$201=B432),单次交易!$B$2:$B$201),""))</f>
        <v/>
      </c>
      <c r="D432" s="27" t="n"/>
      <c r="E432" s="43" t="n"/>
      <c r="F432" s="43" t="n"/>
      <c r="G432" s="28" t="n"/>
      <c r="H432" s="49" t="n"/>
      <c r="I432" s="43" t="n"/>
      <c r="J432" s="27" t="n"/>
      <c r="K432" s="28" t="n"/>
      <c r="L432" s="28" t="n"/>
      <c r="M432" s="28" t="n"/>
      <c r="N432" s="44">
        <f>IF(B432="","",IFERROR(LOOKUP(2,1/(单次交易!$A$2:$A$201=B432),单次交易!$N$2:$N$201),""))</f>
        <v/>
      </c>
      <c r="O432" s="44">
        <f>IF(A432&lt;&gt;"每日跟踪","",IF(OR(B432="",H432="",I432=""),"",IFERROR(AGGREGATE(14,6,$I$2:$I$501/(($A$2:$A$501="每日跟踪")*($B$2:$B$501=B432)*($H$2:$H$501&lt;=H432)),1),"")))</f>
        <v/>
      </c>
      <c r="P432" s="26">
        <f>IF(A432&lt;&gt;"每日跟踪","",IF(O432="","",IFERROR(AGGREGATE(14,6,$D$2:$D$501/(($A$2:$A$501="止损计划")*($B$2:$B$501=B432)*($E$2:$E$501&lt;=O432)),1),0)))</f>
        <v/>
      </c>
      <c r="Q432" s="44">
        <f>IF(A432&lt;&gt;"每日跟踪","",IF(N432="","",MAX(N432,IFERROR(AGGREGATE(14,6,$F$2:$F$501/(($A$2:$A$501="止损计划")*($B$2:$B$501=B432)*($E$2:$E$501&lt;=O432)),1),0))))</f>
        <v/>
      </c>
      <c r="R432" s="43" t="n"/>
      <c r="S432" s="44">
        <f>IF(A432&lt;&gt;"每日跟踪","",IF(Q432="","",MAX(Q432,IFERROR(AGGREGATE(14,6,$R$2:$R$501/(($A$2:$A$501="每日跟踪")*($B$2:$B$501=B432)*($H$2:$H$501&lt;=H432)),1),0))))</f>
        <v/>
      </c>
      <c r="T432" s="44">
        <f>IF(A432&lt;&gt;"每日跟踪","",IF(O432="","",IF(COUNTIFS($A$2:$A$501,"止损计划",$B$2:$B$501,B432,$E$2:$E$501,"&gt;"&amp;O432)=0,"",AGGREGATE(15,6,$E$2:$E$501/(($A$2:$A$501="止损计划")*($B$2:$B$501=B432)*($E$2:$E$501&gt;O432)),1))))</f>
        <v/>
      </c>
      <c r="U432" s="44">
        <f>IF(OR(A432&lt;&gt;"每日跟踪",T432=""),"",IFERROR(AGGREGATE(14,6,$F$2:$F$501/(($A$2:$A$501="止损计划")*($B$2:$B$501=B432)*($E$2:$E$501=T432)),1),""))</f>
        <v/>
      </c>
      <c r="V432" s="30">
        <f>IF(OR(A432&lt;&gt;"每日跟踪",T432="",I432="",I432&lt;=0),"",T432/I432-1)</f>
        <v/>
      </c>
      <c r="W432" s="31">
        <f>IF(A432&lt;&gt;"每日跟踪","",IF(OR(I432="",S432=""),"",IF(I432&lt;=S432,"触发止损：应全部卖出","继续观察")))</f>
        <v/>
      </c>
      <c r="X432" s="28" t="n"/>
      <c r="Y432" s="43" t="n"/>
      <c r="Z432" s="26">
        <f>IF(X432&lt;&gt;"执行卖出","",IFERROR(LOOKUP(2,1/(单次交易!$A$2:$A$201=B432),单次交易!$AP$2:$AP$201),""))</f>
        <v/>
      </c>
      <c r="AA432" s="43" t="n"/>
      <c r="AB432" s="31">
        <f>IF(A432&lt;&gt;"每日跟踪","",IF(OR(B432="",H432="",I432="",J432="",K432="",L432="",M432=""),"待补充每日记录",IF(W432="触发止损：应全部卖出",IF(X432&lt;&gt;"执行卖出","违规：触发止损但未执行",IF(Y432="","待补充实际卖出价","卖出记录完整")),IF(X432="","待选择卖出动作",IF(X432="执行卖出",IF(Y432="","待补充实际卖出价","卖出记录完整"),"正常")))))</f>
        <v/>
      </c>
      <c r="AC432" s="31">
        <f>IF(A432="","",IF(A432="止损计划",IF(OR(B432="",D432="",E432="",F432="",G432=""),"计划不完整",IF(OR(D432&lt;1,D432&lt;&gt;INT(D432)),"阶段序号无效",IF(COUNTIFS($A$2:$A$501,"止损计划",$B$2:$B$501,B432,$D$2:$D$501,D432)&gt;1,"阶段序号重复",IF(E432&lt;=IFERROR(LOOKUP(2,1/('单次交易'!$A$2:$A$201=B432),'单次交易'!$E$2:$E$201),0),"激活价须高于买入价",IF(F432&lt;N432,"止损价不得低于初始止损",IF(F432&gt;E432,"止损价不得高于激活价",IF(AND(COUNTIFS($A$2:$A$501,"止损计划",$B$2:$B$501,B432,$D$2:$D$501,"&lt;"&amp;D432)&gt;0,OR(E432&lt;=AGGREGATE(14,6,$E$2:$E$501/(($A$2:$A$501="止损计划")*($B$2:$B$501=B432)*($D$2:$D$501&lt;D432)),1),F432&lt;AGGREGATE(14,6,$F$2:$F$501/(($A$2:$A$501="止损计划")*($B$2:$B$501=B432)*($D$2:$D$501&lt;D432)),1))),"阶段价格必须逐级提高","计划有效"))))))),IF(A432="每日跟踪",IF(OR(B432="",H432="",I432="",J432=""),"每日数据不完整",IF(COUNTIFS($A$2:$A$501,"每日跟踪",$B$2:$B$501,B432,$H$2:$H$501,H432)&gt;1,"同一交易日期重复",IF(AND(R432&lt;&gt;"",R432&lt;S432),"人工止损无效：不能下调","跟踪有效"))),"记录类型无效")))</f>
        <v/>
      </c>
    </row>
    <row r="433">
      <c r="A433" s="28" t="n"/>
      <c r="B433" s="28" t="n"/>
      <c r="C433" s="31">
        <f>IF(B433="","",IFERROR(LOOKUP(2,1/(单次交易!$A$2:$A$201=B433),单次交易!$B$2:$B$201),""))</f>
        <v/>
      </c>
      <c r="D433" s="27" t="n"/>
      <c r="E433" s="43" t="n"/>
      <c r="F433" s="43" t="n"/>
      <c r="G433" s="28" t="n"/>
      <c r="H433" s="49" t="n"/>
      <c r="I433" s="43" t="n"/>
      <c r="J433" s="27" t="n"/>
      <c r="K433" s="28" t="n"/>
      <c r="L433" s="28" t="n"/>
      <c r="M433" s="28" t="n"/>
      <c r="N433" s="44">
        <f>IF(B433="","",IFERROR(LOOKUP(2,1/(单次交易!$A$2:$A$201=B433),单次交易!$N$2:$N$201),""))</f>
        <v/>
      </c>
      <c r="O433" s="44">
        <f>IF(A433&lt;&gt;"每日跟踪","",IF(OR(B433="",H433="",I433=""),"",IFERROR(AGGREGATE(14,6,$I$2:$I$501/(($A$2:$A$501="每日跟踪")*($B$2:$B$501=B433)*($H$2:$H$501&lt;=H433)),1),"")))</f>
        <v/>
      </c>
      <c r="P433" s="26">
        <f>IF(A433&lt;&gt;"每日跟踪","",IF(O433="","",IFERROR(AGGREGATE(14,6,$D$2:$D$501/(($A$2:$A$501="止损计划")*($B$2:$B$501=B433)*($E$2:$E$501&lt;=O433)),1),0)))</f>
        <v/>
      </c>
      <c r="Q433" s="44">
        <f>IF(A433&lt;&gt;"每日跟踪","",IF(N433="","",MAX(N433,IFERROR(AGGREGATE(14,6,$F$2:$F$501/(($A$2:$A$501="止损计划")*($B$2:$B$501=B433)*($E$2:$E$501&lt;=O433)),1),0))))</f>
        <v/>
      </c>
      <c r="R433" s="43" t="n"/>
      <c r="S433" s="44">
        <f>IF(A433&lt;&gt;"每日跟踪","",IF(Q433="","",MAX(Q433,IFERROR(AGGREGATE(14,6,$R$2:$R$501/(($A$2:$A$501="每日跟踪")*($B$2:$B$501=B433)*($H$2:$H$501&lt;=H433)),1),0))))</f>
        <v/>
      </c>
      <c r="T433" s="44">
        <f>IF(A433&lt;&gt;"每日跟踪","",IF(O433="","",IF(COUNTIFS($A$2:$A$501,"止损计划",$B$2:$B$501,B433,$E$2:$E$501,"&gt;"&amp;O433)=0,"",AGGREGATE(15,6,$E$2:$E$501/(($A$2:$A$501="止损计划")*($B$2:$B$501=B433)*($E$2:$E$501&gt;O433)),1))))</f>
        <v/>
      </c>
      <c r="U433" s="44">
        <f>IF(OR(A433&lt;&gt;"每日跟踪",T433=""),"",IFERROR(AGGREGATE(14,6,$F$2:$F$501/(($A$2:$A$501="止损计划")*($B$2:$B$501=B433)*($E$2:$E$501=T433)),1),""))</f>
        <v/>
      </c>
      <c r="V433" s="30">
        <f>IF(OR(A433&lt;&gt;"每日跟踪",T433="",I433="",I433&lt;=0),"",T433/I433-1)</f>
        <v/>
      </c>
      <c r="W433" s="31">
        <f>IF(A433&lt;&gt;"每日跟踪","",IF(OR(I433="",S433=""),"",IF(I433&lt;=S433,"触发止损：应全部卖出","继续观察")))</f>
        <v/>
      </c>
      <c r="X433" s="28" t="n"/>
      <c r="Y433" s="43" t="n"/>
      <c r="Z433" s="26">
        <f>IF(X433&lt;&gt;"执行卖出","",IFERROR(LOOKUP(2,1/(单次交易!$A$2:$A$201=B433),单次交易!$AP$2:$AP$201),""))</f>
        <v/>
      </c>
      <c r="AA433" s="43" t="n"/>
      <c r="AB433" s="31">
        <f>IF(A433&lt;&gt;"每日跟踪","",IF(OR(B433="",H433="",I433="",J433="",K433="",L433="",M433=""),"待补充每日记录",IF(W433="触发止损：应全部卖出",IF(X433&lt;&gt;"执行卖出","违规：触发止损但未执行",IF(Y433="","待补充实际卖出价","卖出记录完整")),IF(X433="","待选择卖出动作",IF(X433="执行卖出",IF(Y433="","待补充实际卖出价","卖出记录完整"),"正常")))))</f>
        <v/>
      </c>
      <c r="AC433" s="31">
        <f>IF(A433="","",IF(A433="止损计划",IF(OR(B433="",D433="",E433="",F433="",G433=""),"计划不完整",IF(OR(D433&lt;1,D433&lt;&gt;INT(D433)),"阶段序号无效",IF(COUNTIFS($A$2:$A$501,"止损计划",$B$2:$B$501,B433,$D$2:$D$501,D433)&gt;1,"阶段序号重复",IF(E433&lt;=IFERROR(LOOKUP(2,1/('单次交易'!$A$2:$A$201=B433),'单次交易'!$E$2:$E$201),0),"激活价须高于买入价",IF(F433&lt;N433,"止损价不得低于初始止损",IF(F433&gt;E433,"止损价不得高于激活价",IF(AND(COUNTIFS($A$2:$A$501,"止损计划",$B$2:$B$501,B433,$D$2:$D$501,"&lt;"&amp;D433)&gt;0,OR(E433&lt;=AGGREGATE(14,6,$E$2:$E$501/(($A$2:$A$501="止损计划")*($B$2:$B$501=B433)*($D$2:$D$501&lt;D433)),1),F433&lt;AGGREGATE(14,6,$F$2:$F$501/(($A$2:$A$501="止损计划")*($B$2:$B$501=B433)*($D$2:$D$501&lt;D433)),1))),"阶段价格必须逐级提高","计划有效"))))))),IF(A433="每日跟踪",IF(OR(B433="",H433="",I433="",J433=""),"每日数据不完整",IF(COUNTIFS($A$2:$A$501,"每日跟踪",$B$2:$B$501,B433,$H$2:$H$501,H433)&gt;1,"同一交易日期重复",IF(AND(R433&lt;&gt;"",R433&lt;S433),"人工止损无效：不能下调","跟踪有效"))),"记录类型无效")))</f>
        <v/>
      </c>
    </row>
    <row r="434">
      <c r="A434" s="28" t="n"/>
      <c r="B434" s="28" t="n"/>
      <c r="C434" s="31">
        <f>IF(B434="","",IFERROR(LOOKUP(2,1/(单次交易!$A$2:$A$201=B434),单次交易!$B$2:$B$201),""))</f>
        <v/>
      </c>
      <c r="D434" s="27" t="n"/>
      <c r="E434" s="43" t="n"/>
      <c r="F434" s="43" t="n"/>
      <c r="G434" s="28" t="n"/>
      <c r="H434" s="49" t="n"/>
      <c r="I434" s="43" t="n"/>
      <c r="J434" s="27" t="n"/>
      <c r="K434" s="28" t="n"/>
      <c r="L434" s="28" t="n"/>
      <c r="M434" s="28" t="n"/>
      <c r="N434" s="44">
        <f>IF(B434="","",IFERROR(LOOKUP(2,1/(单次交易!$A$2:$A$201=B434),单次交易!$N$2:$N$201),""))</f>
        <v/>
      </c>
      <c r="O434" s="44">
        <f>IF(A434&lt;&gt;"每日跟踪","",IF(OR(B434="",H434="",I434=""),"",IFERROR(AGGREGATE(14,6,$I$2:$I$501/(($A$2:$A$501="每日跟踪")*($B$2:$B$501=B434)*($H$2:$H$501&lt;=H434)),1),"")))</f>
        <v/>
      </c>
      <c r="P434" s="26">
        <f>IF(A434&lt;&gt;"每日跟踪","",IF(O434="","",IFERROR(AGGREGATE(14,6,$D$2:$D$501/(($A$2:$A$501="止损计划")*($B$2:$B$501=B434)*($E$2:$E$501&lt;=O434)),1),0)))</f>
        <v/>
      </c>
      <c r="Q434" s="44">
        <f>IF(A434&lt;&gt;"每日跟踪","",IF(N434="","",MAX(N434,IFERROR(AGGREGATE(14,6,$F$2:$F$501/(($A$2:$A$501="止损计划")*($B$2:$B$501=B434)*($E$2:$E$501&lt;=O434)),1),0))))</f>
        <v/>
      </c>
      <c r="R434" s="43" t="n"/>
      <c r="S434" s="44">
        <f>IF(A434&lt;&gt;"每日跟踪","",IF(Q434="","",MAX(Q434,IFERROR(AGGREGATE(14,6,$R$2:$R$501/(($A$2:$A$501="每日跟踪")*($B$2:$B$501=B434)*($H$2:$H$501&lt;=H434)),1),0))))</f>
        <v/>
      </c>
      <c r="T434" s="44">
        <f>IF(A434&lt;&gt;"每日跟踪","",IF(O434="","",IF(COUNTIFS($A$2:$A$501,"止损计划",$B$2:$B$501,B434,$E$2:$E$501,"&gt;"&amp;O434)=0,"",AGGREGATE(15,6,$E$2:$E$501/(($A$2:$A$501="止损计划")*($B$2:$B$501=B434)*($E$2:$E$501&gt;O434)),1))))</f>
        <v/>
      </c>
      <c r="U434" s="44">
        <f>IF(OR(A434&lt;&gt;"每日跟踪",T434=""),"",IFERROR(AGGREGATE(14,6,$F$2:$F$501/(($A$2:$A$501="止损计划")*($B$2:$B$501=B434)*($E$2:$E$501=T434)),1),""))</f>
        <v/>
      </c>
      <c r="V434" s="30">
        <f>IF(OR(A434&lt;&gt;"每日跟踪",T434="",I434="",I434&lt;=0),"",T434/I434-1)</f>
        <v/>
      </c>
      <c r="W434" s="31">
        <f>IF(A434&lt;&gt;"每日跟踪","",IF(OR(I434="",S434=""),"",IF(I434&lt;=S434,"触发止损：应全部卖出","继续观察")))</f>
        <v/>
      </c>
      <c r="X434" s="28" t="n"/>
      <c r="Y434" s="43" t="n"/>
      <c r="Z434" s="26">
        <f>IF(X434&lt;&gt;"执行卖出","",IFERROR(LOOKUP(2,1/(单次交易!$A$2:$A$201=B434),单次交易!$AP$2:$AP$201),""))</f>
        <v/>
      </c>
      <c r="AA434" s="43" t="n"/>
      <c r="AB434" s="31">
        <f>IF(A434&lt;&gt;"每日跟踪","",IF(OR(B434="",H434="",I434="",J434="",K434="",L434="",M434=""),"待补充每日记录",IF(W434="触发止损：应全部卖出",IF(X434&lt;&gt;"执行卖出","违规：触发止损但未执行",IF(Y434="","待补充实际卖出价","卖出记录完整")),IF(X434="","待选择卖出动作",IF(X434="执行卖出",IF(Y434="","待补充实际卖出价","卖出记录完整"),"正常")))))</f>
        <v/>
      </c>
      <c r="AC434" s="31">
        <f>IF(A434="","",IF(A434="止损计划",IF(OR(B434="",D434="",E434="",F434="",G434=""),"计划不完整",IF(OR(D434&lt;1,D434&lt;&gt;INT(D434)),"阶段序号无效",IF(COUNTIFS($A$2:$A$501,"止损计划",$B$2:$B$501,B434,$D$2:$D$501,D434)&gt;1,"阶段序号重复",IF(E434&lt;=IFERROR(LOOKUP(2,1/('单次交易'!$A$2:$A$201=B434),'单次交易'!$E$2:$E$201),0),"激活价须高于买入价",IF(F434&lt;N434,"止损价不得低于初始止损",IF(F434&gt;E434,"止损价不得高于激活价",IF(AND(COUNTIFS($A$2:$A$501,"止损计划",$B$2:$B$501,B434,$D$2:$D$501,"&lt;"&amp;D434)&gt;0,OR(E434&lt;=AGGREGATE(14,6,$E$2:$E$501/(($A$2:$A$501="止损计划")*($B$2:$B$501=B434)*($D$2:$D$501&lt;D434)),1),F434&lt;AGGREGATE(14,6,$F$2:$F$501/(($A$2:$A$501="止损计划")*($B$2:$B$501=B434)*($D$2:$D$501&lt;D434)),1))),"阶段价格必须逐级提高","计划有效"))))))),IF(A434="每日跟踪",IF(OR(B434="",H434="",I434="",J434=""),"每日数据不完整",IF(COUNTIFS($A$2:$A$501,"每日跟踪",$B$2:$B$501,B434,$H$2:$H$501,H434)&gt;1,"同一交易日期重复",IF(AND(R434&lt;&gt;"",R434&lt;S434),"人工止损无效：不能下调","跟踪有效"))),"记录类型无效")))</f>
        <v/>
      </c>
    </row>
    <row r="435">
      <c r="A435" s="28" t="n"/>
      <c r="B435" s="28" t="n"/>
      <c r="C435" s="31">
        <f>IF(B435="","",IFERROR(LOOKUP(2,1/(单次交易!$A$2:$A$201=B435),单次交易!$B$2:$B$201),""))</f>
        <v/>
      </c>
      <c r="D435" s="27" t="n"/>
      <c r="E435" s="43" t="n"/>
      <c r="F435" s="43" t="n"/>
      <c r="G435" s="28" t="n"/>
      <c r="H435" s="49" t="n"/>
      <c r="I435" s="43" t="n"/>
      <c r="J435" s="27" t="n"/>
      <c r="K435" s="28" t="n"/>
      <c r="L435" s="28" t="n"/>
      <c r="M435" s="28" t="n"/>
      <c r="N435" s="44">
        <f>IF(B435="","",IFERROR(LOOKUP(2,1/(单次交易!$A$2:$A$201=B435),单次交易!$N$2:$N$201),""))</f>
        <v/>
      </c>
      <c r="O435" s="44">
        <f>IF(A435&lt;&gt;"每日跟踪","",IF(OR(B435="",H435="",I435=""),"",IFERROR(AGGREGATE(14,6,$I$2:$I$501/(($A$2:$A$501="每日跟踪")*($B$2:$B$501=B435)*($H$2:$H$501&lt;=H435)),1),"")))</f>
        <v/>
      </c>
      <c r="P435" s="26">
        <f>IF(A435&lt;&gt;"每日跟踪","",IF(O435="","",IFERROR(AGGREGATE(14,6,$D$2:$D$501/(($A$2:$A$501="止损计划")*($B$2:$B$501=B435)*($E$2:$E$501&lt;=O435)),1),0)))</f>
        <v/>
      </c>
      <c r="Q435" s="44">
        <f>IF(A435&lt;&gt;"每日跟踪","",IF(N435="","",MAX(N435,IFERROR(AGGREGATE(14,6,$F$2:$F$501/(($A$2:$A$501="止损计划")*($B$2:$B$501=B435)*($E$2:$E$501&lt;=O435)),1),0))))</f>
        <v/>
      </c>
      <c r="R435" s="43" t="n"/>
      <c r="S435" s="44">
        <f>IF(A435&lt;&gt;"每日跟踪","",IF(Q435="","",MAX(Q435,IFERROR(AGGREGATE(14,6,$R$2:$R$501/(($A$2:$A$501="每日跟踪")*($B$2:$B$501=B435)*($H$2:$H$501&lt;=H435)),1),0))))</f>
        <v/>
      </c>
      <c r="T435" s="44">
        <f>IF(A435&lt;&gt;"每日跟踪","",IF(O435="","",IF(COUNTIFS($A$2:$A$501,"止损计划",$B$2:$B$501,B435,$E$2:$E$501,"&gt;"&amp;O435)=0,"",AGGREGATE(15,6,$E$2:$E$501/(($A$2:$A$501="止损计划")*($B$2:$B$501=B435)*($E$2:$E$501&gt;O435)),1))))</f>
        <v/>
      </c>
      <c r="U435" s="44">
        <f>IF(OR(A435&lt;&gt;"每日跟踪",T435=""),"",IFERROR(AGGREGATE(14,6,$F$2:$F$501/(($A$2:$A$501="止损计划")*($B$2:$B$501=B435)*($E$2:$E$501=T435)),1),""))</f>
        <v/>
      </c>
      <c r="V435" s="30">
        <f>IF(OR(A435&lt;&gt;"每日跟踪",T435="",I435="",I435&lt;=0),"",T435/I435-1)</f>
        <v/>
      </c>
      <c r="W435" s="31">
        <f>IF(A435&lt;&gt;"每日跟踪","",IF(OR(I435="",S435=""),"",IF(I435&lt;=S435,"触发止损：应全部卖出","继续观察")))</f>
        <v/>
      </c>
      <c r="X435" s="28" t="n"/>
      <c r="Y435" s="43" t="n"/>
      <c r="Z435" s="26">
        <f>IF(X435&lt;&gt;"执行卖出","",IFERROR(LOOKUP(2,1/(单次交易!$A$2:$A$201=B435),单次交易!$AP$2:$AP$201),""))</f>
        <v/>
      </c>
      <c r="AA435" s="43" t="n"/>
      <c r="AB435" s="31">
        <f>IF(A435&lt;&gt;"每日跟踪","",IF(OR(B435="",H435="",I435="",J435="",K435="",L435="",M435=""),"待补充每日记录",IF(W435="触发止损：应全部卖出",IF(X435&lt;&gt;"执行卖出","违规：触发止损但未执行",IF(Y435="","待补充实际卖出价","卖出记录完整")),IF(X435="","待选择卖出动作",IF(X435="执行卖出",IF(Y435="","待补充实际卖出价","卖出记录完整"),"正常")))))</f>
        <v/>
      </c>
      <c r="AC435" s="31">
        <f>IF(A435="","",IF(A435="止损计划",IF(OR(B435="",D435="",E435="",F435="",G435=""),"计划不完整",IF(OR(D435&lt;1,D435&lt;&gt;INT(D435)),"阶段序号无效",IF(COUNTIFS($A$2:$A$501,"止损计划",$B$2:$B$501,B435,$D$2:$D$501,D435)&gt;1,"阶段序号重复",IF(E435&lt;=IFERROR(LOOKUP(2,1/('单次交易'!$A$2:$A$201=B435),'单次交易'!$E$2:$E$201),0),"激活价须高于买入价",IF(F435&lt;N435,"止损价不得低于初始止损",IF(F435&gt;E435,"止损价不得高于激活价",IF(AND(COUNTIFS($A$2:$A$501,"止损计划",$B$2:$B$501,B435,$D$2:$D$501,"&lt;"&amp;D435)&gt;0,OR(E435&lt;=AGGREGATE(14,6,$E$2:$E$501/(($A$2:$A$501="止损计划")*($B$2:$B$501=B435)*($D$2:$D$501&lt;D435)),1),F435&lt;AGGREGATE(14,6,$F$2:$F$501/(($A$2:$A$501="止损计划")*($B$2:$B$501=B435)*($D$2:$D$501&lt;D435)),1))),"阶段价格必须逐级提高","计划有效"))))))),IF(A435="每日跟踪",IF(OR(B435="",H435="",I435="",J435=""),"每日数据不完整",IF(COUNTIFS($A$2:$A$501,"每日跟踪",$B$2:$B$501,B435,$H$2:$H$501,H435)&gt;1,"同一交易日期重复",IF(AND(R435&lt;&gt;"",R435&lt;S435),"人工止损无效：不能下调","跟踪有效"))),"记录类型无效")))</f>
        <v/>
      </c>
    </row>
    <row r="436">
      <c r="A436" s="28" t="n"/>
      <c r="B436" s="28" t="n"/>
      <c r="C436" s="31">
        <f>IF(B436="","",IFERROR(LOOKUP(2,1/(单次交易!$A$2:$A$201=B436),单次交易!$B$2:$B$201),""))</f>
        <v/>
      </c>
      <c r="D436" s="27" t="n"/>
      <c r="E436" s="43" t="n"/>
      <c r="F436" s="43" t="n"/>
      <c r="G436" s="28" t="n"/>
      <c r="H436" s="49" t="n"/>
      <c r="I436" s="43" t="n"/>
      <c r="J436" s="27" t="n"/>
      <c r="K436" s="28" t="n"/>
      <c r="L436" s="28" t="n"/>
      <c r="M436" s="28" t="n"/>
      <c r="N436" s="44">
        <f>IF(B436="","",IFERROR(LOOKUP(2,1/(单次交易!$A$2:$A$201=B436),单次交易!$N$2:$N$201),""))</f>
        <v/>
      </c>
      <c r="O436" s="44">
        <f>IF(A436&lt;&gt;"每日跟踪","",IF(OR(B436="",H436="",I436=""),"",IFERROR(AGGREGATE(14,6,$I$2:$I$501/(($A$2:$A$501="每日跟踪")*($B$2:$B$501=B436)*($H$2:$H$501&lt;=H436)),1),"")))</f>
        <v/>
      </c>
      <c r="P436" s="26">
        <f>IF(A436&lt;&gt;"每日跟踪","",IF(O436="","",IFERROR(AGGREGATE(14,6,$D$2:$D$501/(($A$2:$A$501="止损计划")*($B$2:$B$501=B436)*($E$2:$E$501&lt;=O436)),1),0)))</f>
        <v/>
      </c>
      <c r="Q436" s="44">
        <f>IF(A436&lt;&gt;"每日跟踪","",IF(N436="","",MAX(N436,IFERROR(AGGREGATE(14,6,$F$2:$F$501/(($A$2:$A$501="止损计划")*($B$2:$B$501=B436)*($E$2:$E$501&lt;=O436)),1),0))))</f>
        <v/>
      </c>
      <c r="R436" s="43" t="n"/>
      <c r="S436" s="44">
        <f>IF(A436&lt;&gt;"每日跟踪","",IF(Q436="","",MAX(Q436,IFERROR(AGGREGATE(14,6,$R$2:$R$501/(($A$2:$A$501="每日跟踪")*($B$2:$B$501=B436)*($H$2:$H$501&lt;=H436)),1),0))))</f>
        <v/>
      </c>
      <c r="T436" s="44">
        <f>IF(A436&lt;&gt;"每日跟踪","",IF(O436="","",IF(COUNTIFS($A$2:$A$501,"止损计划",$B$2:$B$501,B436,$E$2:$E$501,"&gt;"&amp;O436)=0,"",AGGREGATE(15,6,$E$2:$E$501/(($A$2:$A$501="止损计划")*($B$2:$B$501=B436)*($E$2:$E$501&gt;O436)),1))))</f>
        <v/>
      </c>
      <c r="U436" s="44">
        <f>IF(OR(A436&lt;&gt;"每日跟踪",T436=""),"",IFERROR(AGGREGATE(14,6,$F$2:$F$501/(($A$2:$A$501="止损计划")*($B$2:$B$501=B436)*($E$2:$E$501=T436)),1),""))</f>
        <v/>
      </c>
      <c r="V436" s="30">
        <f>IF(OR(A436&lt;&gt;"每日跟踪",T436="",I436="",I436&lt;=0),"",T436/I436-1)</f>
        <v/>
      </c>
      <c r="W436" s="31">
        <f>IF(A436&lt;&gt;"每日跟踪","",IF(OR(I436="",S436=""),"",IF(I436&lt;=S436,"触发止损：应全部卖出","继续观察")))</f>
        <v/>
      </c>
      <c r="X436" s="28" t="n"/>
      <c r="Y436" s="43" t="n"/>
      <c r="Z436" s="26">
        <f>IF(X436&lt;&gt;"执行卖出","",IFERROR(LOOKUP(2,1/(单次交易!$A$2:$A$201=B436),单次交易!$AP$2:$AP$201),""))</f>
        <v/>
      </c>
      <c r="AA436" s="43" t="n"/>
      <c r="AB436" s="31">
        <f>IF(A436&lt;&gt;"每日跟踪","",IF(OR(B436="",H436="",I436="",J436="",K436="",L436="",M436=""),"待补充每日记录",IF(W436="触发止损：应全部卖出",IF(X436&lt;&gt;"执行卖出","违规：触发止损但未执行",IF(Y436="","待补充实际卖出价","卖出记录完整")),IF(X436="","待选择卖出动作",IF(X436="执行卖出",IF(Y436="","待补充实际卖出价","卖出记录完整"),"正常")))))</f>
        <v/>
      </c>
      <c r="AC436" s="31">
        <f>IF(A436="","",IF(A436="止损计划",IF(OR(B436="",D436="",E436="",F436="",G436=""),"计划不完整",IF(OR(D436&lt;1,D436&lt;&gt;INT(D436)),"阶段序号无效",IF(COUNTIFS($A$2:$A$501,"止损计划",$B$2:$B$501,B436,$D$2:$D$501,D436)&gt;1,"阶段序号重复",IF(E436&lt;=IFERROR(LOOKUP(2,1/('单次交易'!$A$2:$A$201=B436),'单次交易'!$E$2:$E$201),0),"激活价须高于买入价",IF(F436&lt;N436,"止损价不得低于初始止损",IF(F436&gt;E436,"止损价不得高于激活价",IF(AND(COUNTIFS($A$2:$A$501,"止损计划",$B$2:$B$501,B436,$D$2:$D$501,"&lt;"&amp;D436)&gt;0,OR(E436&lt;=AGGREGATE(14,6,$E$2:$E$501/(($A$2:$A$501="止损计划")*($B$2:$B$501=B436)*($D$2:$D$501&lt;D436)),1),F436&lt;AGGREGATE(14,6,$F$2:$F$501/(($A$2:$A$501="止损计划")*($B$2:$B$501=B436)*($D$2:$D$501&lt;D436)),1))),"阶段价格必须逐级提高","计划有效"))))))),IF(A436="每日跟踪",IF(OR(B436="",H436="",I436="",J436=""),"每日数据不完整",IF(COUNTIFS($A$2:$A$501,"每日跟踪",$B$2:$B$501,B436,$H$2:$H$501,H436)&gt;1,"同一交易日期重复",IF(AND(R436&lt;&gt;"",R436&lt;S436),"人工止损无效：不能下调","跟踪有效"))),"记录类型无效")))</f>
        <v/>
      </c>
    </row>
    <row r="437">
      <c r="A437" s="28" t="n"/>
      <c r="B437" s="28" t="n"/>
      <c r="C437" s="31">
        <f>IF(B437="","",IFERROR(LOOKUP(2,1/(单次交易!$A$2:$A$201=B437),单次交易!$B$2:$B$201),""))</f>
        <v/>
      </c>
      <c r="D437" s="27" t="n"/>
      <c r="E437" s="43" t="n"/>
      <c r="F437" s="43" t="n"/>
      <c r="G437" s="28" t="n"/>
      <c r="H437" s="49" t="n"/>
      <c r="I437" s="43" t="n"/>
      <c r="J437" s="27" t="n"/>
      <c r="K437" s="28" t="n"/>
      <c r="L437" s="28" t="n"/>
      <c r="M437" s="28" t="n"/>
      <c r="N437" s="44">
        <f>IF(B437="","",IFERROR(LOOKUP(2,1/(单次交易!$A$2:$A$201=B437),单次交易!$N$2:$N$201),""))</f>
        <v/>
      </c>
      <c r="O437" s="44">
        <f>IF(A437&lt;&gt;"每日跟踪","",IF(OR(B437="",H437="",I437=""),"",IFERROR(AGGREGATE(14,6,$I$2:$I$501/(($A$2:$A$501="每日跟踪")*($B$2:$B$501=B437)*($H$2:$H$501&lt;=H437)),1),"")))</f>
        <v/>
      </c>
      <c r="P437" s="26">
        <f>IF(A437&lt;&gt;"每日跟踪","",IF(O437="","",IFERROR(AGGREGATE(14,6,$D$2:$D$501/(($A$2:$A$501="止损计划")*($B$2:$B$501=B437)*($E$2:$E$501&lt;=O437)),1),0)))</f>
        <v/>
      </c>
      <c r="Q437" s="44">
        <f>IF(A437&lt;&gt;"每日跟踪","",IF(N437="","",MAX(N437,IFERROR(AGGREGATE(14,6,$F$2:$F$501/(($A$2:$A$501="止损计划")*($B$2:$B$501=B437)*($E$2:$E$501&lt;=O437)),1),0))))</f>
        <v/>
      </c>
      <c r="R437" s="43" t="n"/>
      <c r="S437" s="44">
        <f>IF(A437&lt;&gt;"每日跟踪","",IF(Q437="","",MAX(Q437,IFERROR(AGGREGATE(14,6,$R$2:$R$501/(($A$2:$A$501="每日跟踪")*($B$2:$B$501=B437)*($H$2:$H$501&lt;=H437)),1),0))))</f>
        <v/>
      </c>
      <c r="T437" s="44">
        <f>IF(A437&lt;&gt;"每日跟踪","",IF(O437="","",IF(COUNTIFS($A$2:$A$501,"止损计划",$B$2:$B$501,B437,$E$2:$E$501,"&gt;"&amp;O437)=0,"",AGGREGATE(15,6,$E$2:$E$501/(($A$2:$A$501="止损计划")*($B$2:$B$501=B437)*($E$2:$E$501&gt;O437)),1))))</f>
        <v/>
      </c>
      <c r="U437" s="44">
        <f>IF(OR(A437&lt;&gt;"每日跟踪",T437=""),"",IFERROR(AGGREGATE(14,6,$F$2:$F$501/(($A$2:$A$501="止损计划")*($B$2:$B$501=B437)*($E$2:$E$501=T437)),1),""))</f>
        <v/>
      </c>
      <c r="V437" s="30">
        <f>IF(OR(A437&lt;&gt;"每日跟踪",T437="",I437="",I437&lt;=0),"",T437/I437-1)</f>
        <v/>
      </c>
      <c r="W437" s="31">
        <f>IF(A437&lt;&gt;"每日跟踪","",IF(OR(I437="",S437=""),"",IF(I437&lt;=S437,"触发止损：应全部卖出","继续观察")))</f>
        <v/>
      </c>
      <c r="X437" s="28" t="n"/>
      <c r="Y437" s="43" t="n"/>
      <c r="Z437" s="26">
        <f>IF(X437&lt;&gt;"执行卖出","",IFERROR(LOOKUP(2,1/(单次交易!$A$2:$A$201=B437),单次交易!$AP$2:$AP$201),""))</f>
        <v/>
      </c>
      <c r="AA437" s="43" t="n"/>
      <c r="AB437" s="31">
        <f>IF(A437&lt;&gt;"每日跟踪","",IF(OR(B437="",H437="",I437="",J437="",K437="",L437="",M437=""),"待补充每日记录",IF(W437="触发止损：应全部卖出",IF(X437&lt;&gt;"执行卖出","违规：触发止损但未执行",IF(Y437="","待补充实际卖出价","卖出记录完整")),IF(X437="","待选择卖出动作",IF(X437="执行卖出",IF(Y437="","待补充实际卖出价","卖出记录完整"),"正常")))))</f>
        <v/>
      </c>
      <c r="AC437" s="31">
        <f>IF(A437="","",IF(A437="止损计划",IF(OR(B437="",D437="",E437="",F437="",G437=""),"计划不完整",IF(OR(D437&lt;1,D437&lt;&gt;INT(D437)),"阶段序号无效",IF(COUNTIFS($A$2:$A$501,"止损计划",$B$2:$B$501,B437,$D$2:$D$501,D437)&gt;1,"阶段序号重复",IF(E437&lt;=IFERROR(LOOKUP(2,1/('单次交易'!$A$2:$A$201=B437),'单次交易'!$E$2:$E$201),0),"激活价须高于买入价",IF(F437&lt;N437,"止损价不得低于初始止损",IF(F437&gt;E437,"止损价不得高于激活价",IF(AND(COUNTIFS($A$2:$A$501,"止损计划",$B$2:$B$501,B437,$D$2:$D$501,"&lt;"&amp;D437)&gt;0,OR(E437&lt;=AGGREGATE(14,6,$E$2:$E$501/(($A$2:$A$501="止损计划")*($B$2:$B$501=B437)*($D$2:$D$501&lt;D437)),1),F437&lt;AGGREGATE(14,6,$F$2:$F$501/(($A$2:$A$501="止损计划")*($B$2:$B$501=B437)*($D$2:$D$501&lt;D437)),1))),"阶段价格必须逐级提高","计划有效"))))))),IF(A437="每日跟踪",IF(OR(B437="",H437="",I437="",J437=""),"每日数据不完整",IF(COUNTIFS($A$2:$A$501,"每日跟踪",$B$2:$B$501,B437,$H$2:$H$501,H437)&gt;1,"同一交易日期重复",IF(AND(R437&lt;&gt;"",R437&lt;S437),"人工止损无效：不能下调","跟踪有效"))),"记录类型无效")))</f>
        <v/>
      </c>
    </row>
    <row r="438">
      <c r="A438" s="28" t="n"/>
      <c r="B438" s="28" t="n"/>
      <c r="C438" s="31">
        <f>IF(B438="","",IFERROR(LOOKUP(2,1/(单次交易!$A$2:$A$201=B438),单次交易!$B$2:$B$201),""))</f>
        <v/>
      </c>
      <c r="D438" s="27" t="n"/>
      <c r="E438" s="43" t="n"/>
      <c r="F438" s="43" t="n"/>
      <c r="G438" s="28" t="n"/>
      <c r="H438" s="49" t="n"/>
      <c r="I438" s="43" t="n"/>
      <c r="J438" s="27" t="n"/>
      <c r="K438" s="28" t="n"/>
      <c r="L438" s="28" t="n"/>
      <c r="M438" s="28" t="n"/>
      <c r="N438" s="44">
        <f>IF(B438="","",IFERROR(LOOKUP(2,1/(单次交易!$A$2:$A$201=B438),单次交易!$N$2:$N$201),""))</f>
        <v/>
      </c>
      <c r="O438" s="44">
        <f>IF(A438&lt;&gt;"每日跟踪","",IF(OR(B438="",H438="",I438=""),"",IFERROR(AGGREGATE(14,6,$I$2:$I$501/(($A$2:$A$501="每日跟踪")*($B$2:$B$501=B438)*($H$2:$H$501&lt;=H438)),1),"")))</f>
        <v/>
      </c>
      <c r="P438" s="26">
        <f>IF(A438&lt;&gt;"每日跟踪","",IF(O438="","",IFERROR(AGGREGATE(14,6,$D$2:$D$501/(($A$2:$A$501="止损计划")*($B$2:$B$501=B438)*($E$2:$E$501&lt;=O438)),1),0)))</f>
        <v/>
      </c>
      <c r="Q438" s="44">
        <f>IF(A438&lt;&gt;"每日跟踪","",IF(N438="","",MAX(N438,IFERROR(AGGREGATE(14,6,$F$2:$F$501/(($A$2:$A$501="止损计划")*($B$2:$B$501=B438)*($E$2:$E$501&lt;=O438)),1),0))))</f>
        <v/>
      </c>
      <c r="R438" s="43" t="n"/>
      <c r="S438" s="44">
        <f>IF(A438&lt;&gt;"每日跟踪","",IF(Q438="","",MAX(Q438,IFERROR(AGGREGATE(14,6,$R$2:$R$501/(($A$2:$A$501="每日跟踪")*($B$2:$B$501=B438)*($H$2:$H$501&lt;=H438)),1),0))))</f>
        <v/>
      </c>
      <c r="T438" s="44">
        <f>IF(A438&lt;&gt;"每日跟踪","",IF(O438="","",IF(COUNTIFS($A$2:$A$501,"止损计划",$B$2:$B$501,B438,$E$2:$E$501,"&gt;"&amp;O438)=0,"",AGGREGATE(15,6,$E$2:$E$501/(($A$2:$A$501="止损计划")*($B$2:$B$501=B438)*($E$2:$E$501&gt;O438)),1))))</f>
        <v/>
      </c>
      <c r="U438" s="44">
        <f>IF(OR(A438&lt;&gt;"每日跟踪",T438=""),"",IFERROR(AGGREGATE(14,6,$F$2:$F$501/(($A$2:$A$501="止损计划")*($B$2:$B$501=B438)*($E$2:$E$501=T438)),1),""))</f>
        <v/>
      </c>
      <c r="V438" s="30">
        <f>IF(OR(A438&lt;&gt;"每日跟踪",T438="",I438="",I438&lt;=0),"",T438/I438-1)</f>
        <v/>
      </c>
      <c r="W438" s="31">
        <f>IF(A438&lt;&gt;"每日跟踪","",IF(OR(I438="",S438=""),"",IF(I438&lt;=S438,"触发止损：应全部卖出","继续观察")))</f>
        <v/>
      </c>
      <c r="X438" s="28" t="n"/>
      <c r="Y438" s="43" t="n"/>
      <c r="Z438" s="26">
        <f>IF(X438&lt;&gt;"执行卖出","",IFERROR(LOOKUP(2,1/(单次交易!$A$2:$A$201=B438),单次交易!$AP$2:$AP$201),""))</f>
        <v/>
      </c>
      <c r="AA438" s="43" t="n"/>
      <c r="AB438" s="31">
        <f>IF(A438&lt;&gt;"每日跟踪","",IF(OR(B438="",H438="",I438="",J438="",K438="",L438="",M438=""),"待补充每日记录",IF(W438="触发止损：应全部卖出",IF(X438&lt;&gt;"执行卖出","违规：触发止损但未执行",IF(Y438="","待补充实际卖出价","卖出记录完整")),IF(X438="","待选择卖出动作",IF(X438="执行卖出",IF(Y438="","待补充实际卖出价","卖出记录完整"),"正常")))))</f>
        <v/>
      </c>
      <c r="AC438" s="31">
        <f>IF(A438="","",IF(A438="止损计划",IF(OR(B438="",D438="",E438="",F438="",G438=""),"计划不完整",IF(OR(D438&lt;1,D438&lt;&gt;INT(D438)),"阶段序号无效",IF(COUNTIFS($A$2:$A$501,"止损计划",$B$2:$B$501,B438,$D$2:$D$501,D438)&gt;1,"阶段序号重复",IF(E438&lt;=IFERROR(LOOKUP(2,1/('单次交易'!$A$2:$A$201=B438),'单次交易'!$E$2:$E$201),0),"激活价须高于买入价",IF(F438&lt;N438,"止损价不得低于初始止损",IF(F438&gt;E438,"止损价不得高于激活价",IF(AND(COUNTIFS($A$2:$A$501,"止损计划",$B$2:$B$501,B438,$D$2:$D$501,"&lt;"&amp;D438)&gt;0,OR(E438&lt;=AGGREGATE(14,6,$E$2:$E$501/(($A$2:$A$501="止损计划")*($B$2:$B$501=B438)*($D$2:$D$501&lt;D438)),1),F438&lt;AGGREGATE(14,6,$F$2:$F$501/(($A$2:$A$501="止损计划")*($B$2:$B$501=B438)*($D$2:$D$501&lt;D438)),1))),"阶段价格必须逐级提高","计划有效"))))))),IF(A438="每日跟踪",IF(OR(B438="",H438="",I438="",J438=""),"每日数据不完整",IF(COUNTIFS($A$2:$A$501,"每日跟踪",$B$2:$B$501,B438,$H$2:$H$501,H438)&gt;1,"同一交易日期重复",IF(AND(R438&lt;&gt;"",R438&lt;S438),"人工止损无效：不能下调","跟踪有效"))),"记录类型无效")))</f>
        <v/>
      </c>
    </row>
    <row r="439">
      <c r="A439" s="28" t="n"/>
      <c r="B439" s="28" t="n"/>
      <c r="C439" s="31">
        <f>IF(B439="","",IFERROR(LOOKUP(2,1/(单次交易!$A$2:$A$201=B439),单次交易!$B$2:$B$201),""))</f>
        <v/>
      </c>
      <c r="D439" s="27" t="n"/>
      <c r="E439" s="43" t="n"/>
      <c r="F439" s="43" t="n"/>
      <c r="G439" s="28" t="n"/>
      <c r="H439" s="49" t="n"/>
      <c r="I439" s="43" t="n"/>
      <c r="J439" s="27" t="n"/>
      <c r="K439" s="28" t="n"/>
      <c r="L439" s="28" t="n"/>
      <c r="M439" s="28" t="n"/>
      <c r="N439" s="44">
        <f>IF(B439="","",IFERROR(LOOKUP(2,1/(单次交易!$A$2:$A$201=B439),单次交易!$N$2:$N$201),""))</f>
        <v/>
      </c>
      <c r="O439" s="44">
        <f>IF(A439&lt;&gt;"每日跟踪","",IF(OR(B439="",H439="",I439=""),"",IFERROR(AGGREGATE(14,6,$I$2:$I$501/(($A$2:$A$501="每日跟踪")*($B$2:$B$501=B439)*($H$2:$H$501&lt;=H439)),1),"")))</f>
        <v/>
      </c>
      <c r="P439" s="26">
        <f>IF(A439&lt;&gt;"每日跟踪","",IF(O439="","",IFERROR(AGGREGATE(14,6,$D$2:$D$501/(($A$2:$A$501="止损计划")*($B$2:$B$501=B439)*($E$2:$E$501&lt;=O439)),1),0)))</f>
        <v/>
      </c>
      <c r="Q439" s="44">
        <f>IF(A439&lt;&gt;"每日跟踪","",IF(N439="","",MAX(N439,IFERROR(AGGREGATE(14,6,$F$2:$F$501/(($A$2:$A$501="止损计划")*($B$2:$B$501=B439)*($E$2:$E$501&lt;=O439)),1),0))))</f>
        <v/>
      </c>
      <c r="R439" s="43" t="n"/>
      <c r="S439" s="44">
        <f>IF(A439&lt;&gt;"每日跟踪","",IF(Q439="","",MAX(Q439,IFERROR(AGGREGATE(14,6,$R$2:$R$501/(($A$2:$A$501="每日跟踪")*($B$2:$B$501=B439)*($H$2:$H$501&lt;=H439)),1),0))))</f>
        <v/>
      </c>
      <c r="T439" s="44">
        <f>IF(A439&lt;&gt;"每日跟踪","",IF(O439="","",IF(COUNTIFS($A$2:$A$501,"止损计划",$B$2:$B$501,B439,$E$2:$E$501,"&gt;"&amp;O439)=0,"",AGGREGATE(15,6,$E$2:$E$501/(($A$2:$A$501="止损计划")*($B$2:$B$501=B439)*($E$2:$E$501&gt;O439)),1))))</f>
        <v/>
      </c>
      <c r="U439" s="44">
        <f>IF(OR(A439&lt;&gt;"每日跟踪",T439=""),"",IFERROR(AGGREGATE(14,6,$F$2:$F$501/(($A$2:$A$501="止损计划")*($B$2:$B$501=B439)*($E$2:$E$501=T439)),1),""))</f>
        <v/>
      </c>
      <c r="V439" s="30">
        <f>IF(OR(A439&lt;&gt;"每日跟踪",T439="",I439="",I439&lt;=0),"",T439/I439-1)</f>
        <v/>
      </c>
      <c r="W439" s="31">
        <f>IF(A439&lt;&gt;"每日跟踪","",IF(OR(I439="",S439=""),"",IF(I439&lt;=S439,"触发止损：应全部卖出","继续观察")))</f>
        <v/>
      </c>
      <c r="X439" s="28" t="n"/>
      <c r="Y439" s="43" t="n"/>
      <c r="Z439" s="26">
        <f>IF(X439&lt;&gt;"执行卖出","",IFERROR(LOOKUP(2,1/(单次交易!$A$2:$A$201=B439),单次交易!$AP$2:$AP$201),""))</f>
        <v/>
      </c>
      <c r="AA439" s="43" t="n"/>
      <c r="AB439" s="31">
        <f>IF(A439&lt;&gt;"每日跟踪","",IF(OR(B439="",H439="",I439="",J439="",K439="",L439="",M439=""),"待补充每日记录",IF(W439="触发止损：应全部卖出",IF(X439&lt;&gt;"执行卖出","违规：触发止损但未执行",IF(Y439="","待补充实际卖出价","卖出记录完整")),IF(X439="","待选择卖出动作",IF(X439="执行卖出",IF(Y439="","待补充实际卖出价","卖出记录完整"),"正常")))))</f>
        <v/>
      </c>
      <c r="AC439" s="31">
        <f>IF(A439="","",IF(A439="止损计划",IF(OR(B439="",D439="",E439="",F439="",G439=""),"计划不完整",IF(OR(D439&lt;1,D439&lt;&gt;INT(D439)),"阶段序号无效",IF(COUNTIFS($A$2:$A$501,"止损计划",$B$2:$B$501,B439,$D$2:$D$501,D439)&gt;1,"阶段序号重复",IF(E439&lt;=IFERROR(LOOKUP(2,1/('单次交易'!$A$2:$A$201=B439),'单次交易'!$E$2:$E$201),0),"激活价须高于买入价",IF(F439&lt;N439,"止损价不得低于初始止损",IF(F439&gt;E439,"止损价不得高于激活价",IF(AND(COUNTIFS($A$2:$A$501,"止损计划",$B$2:$B$501,B439,$D$2:$D$501,"&lt;"&amp;D439)&gt;0,OR(E439&lt;=AGGREGATE(14,6,$E$2:$E$501/(($A$2:$A$501="止损计划")*($B$2:$B$501=B439)*($D$2:$D$501&lt;D439)),1),F439&lt;AGGREGATE(14,6,$F$2:$F$501/(($A$2:$A$501="止损计划")*($B$2:$B$501=B439)*($D$2:$D$501&lt;D439)),1))),"阶段价格必须逐级提高","计划有效"))))))),IF(A439="每日跟踪",IF(OR(B439="",H439="",I439="",J439=""),"每日数据不完整",IF(COUNTIFS($A$2:$A$501,"每日跟踪",$B$2:$B$501,B439,$H$2:$H$501,H439)&gt;1,"同一交易日期重复",IF(AND(R439&lt;&gt;"",R439&lt;S439),"人工止损无效：不能下调","跟踪有效"))),"记录类型无效")))</f>
        <v/>
      </c>
    </row>
    <row r="440">
      <c r="A440" s="28" t="n"/>
      <c r="B440" s="28" t="n"/>
      <c r="C440" s="31">
        <f>IF(B440="","",IFERROR(LOOKUP(2,1/(单次交易!$A$2:$A$201=B440),单次交易!$B$2:$B$201),""))</f>
        <v/>
      </c>
      <c r="D440" s="27" t="n"/>
      <c r="E440" s="43" t="n"/>
      <c r="F440" s="43" t="n"/>
      <c r="G440" s="28" t="n"/>
      <c r="H440" s="49" t="n"/>
      <c r="I440" s="43" t="n"/>
      <c r="J440" s="27" t="n"/>
      <c r="K440" s="28" t="n"/>
      <c r="L440" s="28" t="n"/>
      <c r="M440" s="28" t="n"/>
      <c r="N440" s="44">
        <f>IF(B440="","",IFERROR(LOOKUP(2,1/(单次交易!$A$2:$A$201=B440),单次交易!$N$2:$N$201),""))</f>
        <v/>
      </c>
      <c r="O440" s="44">
        <f>IF(A440&lt;&gt;"每日跟踪","",IF(OR(B440="",H440="",I440=""),"",IFERROR(AGGREGATE(14,6,$I$2:$I$501/(($A$2:$A$501="每日跟踪")*($B$2:$B$501=B440)*($H$2:$H$501&lt;=H440)),1),"")))</f>
        <v/>
      </c>
      <c r="P440" s="26">
        <f>IF(A440&lt;&gt;"每日跟踪","",IF(O440="","",IFERROR(AGGREGATE(14,6,$D$2:$D$501/(($A$2:$A$501="止损计划")*($B$2:$B$501=B440)*($E$2:$E$501&lt;=O440)),1),0)))</f>
        <v/>
      </c>
      <c r="Q440" s="44">
        <f>IF(A440&lt;&gt;"每日跟踪","",IF(N440="","",MAX(N440,IFERROR(AGGREGATE(14,6,$F$2:$F$501/(($A$2:$A$501="止损计划")*($B$2:$B$501=B440)*($E$2:$E$501&lt;=O440)),1),0))))</f>
        <v/>
      </c>
      <c r="R440" s="43" t="n"/>
      <c r="S440" s="44">
        <f>IF(A440&lt;&gt;"每日跟踪","",IF(Q440="","",MAX(Q440,IFERROR(AGGREGATE(14,6,$R$2:$R$501/(($A$2:$A$501="每日跟踪")*($B$2:$B$501=B440)*($H$2:$H$501&lt;=H440)),1),0))))</f>
        <v/>
      </c>
      <c r="T440" s="44">
        <f>IF(A440&lt;&gt;"每日跟踪","",IF(O440="","",IF(COUNTIFS($A$2:$A$501,"止损计划",$B$2:$B$501,B440,$E$2:$E$501,"&gt;"&amp;O440)=0,"",AGGREGATE(15,6,$E$2:$E$501/(($A$2:$A$501="止损计划")*($B$2:$B$501=B440)*($E$2:$E$501&gt;O440)),1))))</f>
        <v/>
      </c>
      <c r="U440" s="44">
        <f>IF(OR(A440&lt;&gt;"每日跟踪",T440=""),"",IFERROR(AGGREGATE(14,6,$F$2:$F$501/(($A$2:$A$501="止损计划")*($B$2:$B$501=B440)*($E$2:$E$501=T440)),1),""))</f>
        <v/>
      </c>
      <c r="V440" s="30">
        <f>IF(OR(A440&lt;&gt;"每日跟踪",T440="",I440="",I440&lt;=0),"",T440/I440-1)</f>
        <v/>
      </c>
      <c r="W440" s="31">
        <f>IF(A440&lt;&gt;"每日跟踪","",IF(OR(I440="",S440=""),"",IF(I440&lt;=S440,"触发止损：应全部卖出","继续观察")))</f>
        <v/>
      </c>
      <c r="X440" s="28" t="n"/>
      <c r="Y440" s="43" t="n"/>
      <c r="Z440" s="26">
        <f>IF(X440&lt;&gt;"执行卖出","",IFERROR(LOOKUP(2,1/(单次交易!$A$2:$A$201=B440),单次交易!$AP$2:$AP$201),""))</f>
        <v/>
      </c>
      <c r="AA440" s="43" t="n"/>
      <c r="AB440" s="31">
        <f>IF(A440&lt;&gt;"每日跟踪","",IF(OR(B440="",H440="",I440="",J440="",K440="",L440="",M440=""),"待补充每日记录",IF(W440="触发止损：应全部卖出",IF(X440&lt;&gt;"执行卖出","违规：触发止损但未执行",IF(Y440="","待补充实际卖出价","卖出记录完整")),IF(X440="","待选择卖出动作",IF(X440="执行卖出",IF(Y440="","待补充实际卖出价","卖出记录完整"),"正常")))))</f>
        <v/>
      </c>
      <c r="AC440" s="31">
        <f>IF(A440="","",IF(A440="止损计划",IF(OR(B440="",D440="",E440="",F440="",G440=""),"计划不完整",IF(OR(D440&lt;1,D440&lt;&gt;INT(D440)),"阶段序号无效",IF(COUNTIFS($A$2:$A$501,"止损计划",$B$2:$B$501,B440,$D$2:$D$501,D440)&gt;1,"阶段序号重复",IF(E440&lt;=IFERROR(LOOKUP(2,1/('单次交易'!$A$2:$A$201=B440),'单次交易'!$E$2:$E$201),0),"激活价须高于买入价",IF(F440&lt;N440,"止损价不得低于初始止损",IF(F440&gt;E440,"止损价不得高于激活价",IF(AND(COUNTIFS($A$2:$A$501,"止损计划",$B$2:$B$501,B440,$D$2:$D$501,"&lt;"&amp;D440)&gt;0,OR(E440&lt;=AGGREGATE(14,6,$E$2:$E$501/(($A$2:$A$501="止损计划")*($B$2:$B$501=B440)*($D$2:$D$501&lt;D440)),1),F440&lt;AGGREGATE(14,6,$F$2:$F$501/(($A$2:$A$501="止损计划")*($B$2:$B$501=B440)*($D$2:$D$501&lt;D440)),1))),"阶段价格必须逐级提高","计划有效"))))))),IF(A440="每日跟踪",IF(OR(B440="",H440="",I440="",J440=""),"每日数据不完整",IF(COUNTIFS($A$2:$A$501,"每日跟踪",$B$2:$B$501,B440,$H$2:$H$501,H440)&gt;1,"同一交易日期重复",IF(AND(R440&lt;&gt;"",R440&lt;S440),"人工止损无效：不能下调","跟踪有效"))),"记录类型无效")))</f>
        <v/>
      </c>
    </row>
    <row r="441">
      <c r="A441" s="28" t="n"/>
      <c r="B441" s="28" t="n"/>
      <c r="C441" s="31">
        <f>IF(B441="","",IFERROR(LOOKUP(2,1/(单次交易!$A$2:$A$201=B441),单次交易!$B$2:$B$201),""))</f>
        <v/>
      </c>
      <c r="D441" s="27" t="n"/>
      <c r="E441" s="43" t="n"/>
      <c r="F441" s="43" t="n"/>
      <c r="G441" s="28" t="n"/>
      <c r="H441" s="49" t="n"/>
      <c r="I441" s="43" t="n"/>
      <c r="J441" s="27" t="n"/>
      <c r="K441" s="28" t="n"/>
      <c r="L441" s="28" t="n"/>
      <c r="M441" s="28" t="n"/>
      <c r="N441" s="44">
        <f>IF(B441="","",IFERROR(LOOKUP(2,1/(单次交易!$A$2:$A$201=B441),单次交易!$N$2:$N$201),""))</f>
        <v/>
      </c>
      <c r="O441" s="44">
        <f>IF(A441&lt;&gt;"每日跟踪","",IF(OR(B441="",H441="",I441=""),"",IFERROR(AGGREGATE(14,6,$I$2:$I$501/(($A$2:$A$501="每日跟踪")*($B$2:$B$501=B441)*($H$2:$H$501&lt;=H441)),1),"")))</f>
        <v/>
      </c>
      <c r="P441" s="26">
        <f>IF(A441&lt;&gt;"每日跟踪","",IF(O441="","",IFERROR(AGGREGATE(14,6,$D$2:$D$501/(($A$2:$A$501="止损计划")*($B$2:$B$501=B441)*($E$2:$E$501&lt;=O441)),1),0)))</f>
        <v/>
      </c>
      <c r="Q441" s="44">
        <f>IF(A441&lt;&gt;"每日跟踪","",IF(N441="","",MAX(N441,IFERROR(AGGREGATE(14,6,$F$2:$F$501/(($A$2:$A$501="止损计划")*($B$2:$B$501=B441)*($E$2:$E$501&lt;=O441)),1),0))))</f>
        <v/>
      </c>
      <c r="R441" s="43" t="n"/>
      <c r="S441" s="44">
        <f>IF(A441&lt;&gt;"每日跟踪","",IF(Q441="","",MAX(Q441,IFERROR(AGGREGATE(14,6,$R$2:$R$501/(($A$2:$A$501="每日跟踪")*($B$2:$B$501=B441)*($H$2:$H$501&lt;=H441)),1),0))))</f>
        <v/>
      </c>
      <c r="T441" s="44">
        <f>IF(A441&lt;&gt;"每日跟踪","",IF(O441="","",IF(COUNTIFS($A$2:$A$501,"止损计划",$B$2:$B$501,B441,$E$2:$E$501,"&gt;"&amp;O441)=0,"",AGGREGATE(15,6,$E$2:$E$501/(($A$2:$A$501="止损计划")*($B$2:$B$501=B441)*($E$2:$E$501&gt;O441)),1))))</f>
        <v/>
      </c>
      <c r="U441" s="44">
        <f>IF(OR(A441&lt;&gt;"每日跟踪",T441=""),"",IFERROR(AGGREGATE(14,6,$F$2:$F$501/(($A$2:$A$501="止损计划")*($B$2:$B$501=B441)*($E$2:$E$501=T441)),1),""))</f>
        <v/>
      </c>
      <c r="V441" s="30">
        <f>IF(OR(A441&lt;&gt;"每日跟踪",T441="",I441="",I441&lt;=0),"",T441/I441-1)</f>
        <v/>
      </c>
      <c r="W441" s="31">
        <f>IF(A441&lt;&gt;"每日跟踪","",IF(OR(I441="",S441=""),"",IF(I441&lt;=S441,"触发止损：应全部卖出","继续观察")))</f>
        <v/>
      </c>
      <c r="X441" s="28" t="n"/>
      <c r="Y441" s="43" t="n"/>
      <c r="Z441" s="26">
        <f>IF(X441&lt;&gt;"执行卖出","",IFERROR(LOOKUP(2,1/(单次交易!$A$2:$A$201=B441),单次交易!$AP$2:$AP$201),""))</f>
        <v/>
      </c>
      <c r="AA441" s="43" t="n"/>
      <c r="AB441" s="31">
        <f>IF(A441&lt;&gt;"每日跟踪","",IF(OR(B441="",H441="",I441="",J441="",K441="",L441="",M441=""),"待补充每日记录",IF(W441="触发止损：应全部卖出",IF(X441&lt;&gt;"执行卖出","违规：触发止损但未执行",IF(Y441="","待补充实际卖出价","卖出记录完整")),IF(X441="","待选择卖出动作",IF(X441="执行卖出",IF(Y441="","待补充实际卖出价","卖出记录完整"),"正常")))))</f>
        <v/>
      </c>
      <c r="AC441" s="31">
        <f>IF(A441="","",IF(A441="止损计划",IF(OR(B441="",D441="",E441="",F441="",G441=""),"计划不完整",IF(OR(D441&lt;1,D441&lt;&gt;INT(D441)),"阶段序号无效",IF(COUNTIFS($A$2:$A$501,"止损计划",$B$2:$B$501,B441,$D$2:$D$501,D441)&gt;1,"阶段序号重复",IF(E441&lt;=IFERROR(LOOKUP(2,1/('单次交易'!$A$2:$A$201=B441),'单次交易'!$E$2:$E$201),0),"激活价须高于买入价",IF(F441&lt;N441,"止损价不得低于初始止损",IF(F441&gt;E441,"止损价不得高于激活价",IF(AND(COUNTIFS($A$2:$A$501,"止损计划",$B$2:$B$501,B441,$D$2:$D$501,"&lt;"&amp;D441)&gt;0,OR(E441&lt;=AGGREGATE(14,6,$E$2:$E$501/(($A$2:$A$501="止损计划")*($B$2:$B$501=B441)*($D$2:$D$501&lt;D441)),1),F441&lt;AGGREGATE(14,6,$F$2:$F$501/(($A$2:$A$501="止损计划")*($B$2:$B$501=B441)*($D$2:$D$501&lt;D441)),1))),"阶段价格必须逐级提高","计划有效"))))))),IF(A441="每日跟踪",IF(OR(B441="",H441="",I441="",J441=""),"每日数据不完整",IF(COUNTIFS($A$2:$A$501,"每日跟踪",$B$2:$B$501,B441,$H$2:$H$501,H441)&gt;1,"同一交易日期重复",IF(AND(R441&lt;&gt;"",R441&lt;S441),"人工止损无效：不能下调","跟踪有效"))),"记录类型无效")))</f>
        <v/>
      </c>
    </row>
    <row r="442">
      <c r="A442" s="28" t="n"/>
      <c r="B442" s="28" t="n"/>
      <c r="C442" s="31">
        <f>IF(B442="","",IFERROR(LOOKUP(2,1/(单次交易!$A$2:$A$201=B442),单次交易!$B$2:$B$201),""))</f>
        <v/>
      </c>
      <c r="D442" s="27" t="n"/>
      <c r="E442" s="43" t="n"/>
      <c r="F442" s="43" t="n"/>
      <c r="G442" s="28" t="n"/>
      <c r="H442" s="49" t="n"/>
      <c r="I442" s="43" t="n"/>
      <c r="J442" s="27" t="n"/>
      <c r="K442" s="28" t="n"/>
      <c r="L442" s="28" t="n"/>
      <c r="M442" s="28" t="n"/>
      <c r="N442" s="44">
        <f>IF(B442="","",IFERROR(LOOKUP(2,1/(单次交易!$A$2:$A$201=B442),单次交易!$N$2:$N$201),""))</f>
        <v/>
      </c>
      <c r="O442" s="44">
        <f>IF(A442&lt;&gt;"每日跟踪","",IF(OR(B442="",H442="",I442=""),"",IFERROR(AGGREGATE(14,6,$I$2:$I$501/(($A$2:$A$501="每日跟踪")*($B$2:$B$501=B442)*($H$2:$H$501&lt;=H442)),1),"")))</f>
        <v/>
      </c>
      <c r="P442" s="26">
        <f>IF(A442&lt;&gt;"每日跟踪","",IF(O442="","",IFERROR(AGGREGATE(14,6,$D$2:$D$501/(($A$2:$A$501="止损计划")*($B$2:$B$501=B442)*($E$2:$E$501&lt;=O442)),1),0)))</f>
        <v/>
      </c>
      <c r="Q442" s="44">
        <f>IF(A442&lt;&gt;"每日跟踪","",IF(N442="","",MAX(N442,IFERROR(AGGREGATE(14,6,$F$2:$F$501/(($A$2:$A$501="止损计划")*($B$2:$B$501=B442)*($E$2:$E$501&lt;=O442)),1),0))))</f>
        <v/>
      </c>
      <c r="R442" s="43" t="n"/>
      <c r="S442" s="44">
        <f>IF(A442&lt;&gt;"每日跟踪","",IF(Q442="","",MAX(Q442,IFERROR(AGGREGATE(14,6,$R$2:$R$501/(($A$2:$A$501="每日跟踪")*($B$2:$B$501=B442)*($H$2:$H$501&lt;=H442)),1),0))))</f>
        <v/>
      </c>
      <c r="T442" s="44">
        <f>IF(A442&lt;&gt;"每日跟踪","",IF(O442="","",IF(COUNTIFS($A$2:$A$501,"止损计划",$B$2:$B$501,B442,$E$2:$E$501,"&gt;"&amp;O442)=0,"",AGGREGATE(15,6,$E$2:$E$501/(($A$2:$A$501="止损计划")*($B$2:$B$501=B442)*($E$2:$E$501&gt;O442)),1))))</f>
        <v/>
      </c>
      <c r="U442" s="44">
        <f>IF(OR(A442&lt;&gt;"每日跟踪",T442=""),"",IFERROR(AGGREGATE(14,6,$F$2:$F$501/(($A$2:$A$501="止损计划")*($B$2:$B$501=B442)*($E$2:$E$501=T442)),1),""))</f>
        <v/>
      </c>
      <c r="V442" s="30">
        <f>IF(OR(A442&lt;&gt;"每日跟踪",T442="",I442="",I442&lt;=0),"",T442/I442-1)</f>
        <v/>
      </c>
      <c r="W442" s="31">
        <f>IF(A442&lt;&gt;"每日跟踪","",IF(OR(I442="",S442=""),"",IF(I442&lt;=S442,"触发止损：应全部卖出","继续观察")))</f>
        <v/>
      </c>
      <c r="X442" s="28" t="n"/>
      <c r="Y442" s="43" t="n"/>
      <c r="Z442" s="26">
        <f>IF(X442&lt;&gt;"执行卖出","",IFERROR(LOOKUP(2,1/(单次交易!$A$2:$A$201=B442),单次交易!$AP$2:$AP$201),""))</f>
        <v/>
      </c>
      <c r="AA442" s="43" t="n"/>
      <c r="AB442" s="31">
        <f>IF(A442&lt;&gt;"每日跟踪","",IF(OR(B442="",H442="",I442="",J442="",K442="",L442="",M442=""),"待补充每日记录",IF(W442="触发止损：应全部卖出",IF(X442&lt;&gt;"执行卖出","违规：触发止损但未执行",IF(Y442="","待补充实际卖出价","卖出记录完整")),IF(X442="","待选择卖出动作",IF(X442="执行卖出",IF(Y442="","待补充实际卖出价","卖出记录完整"),"正常")))))</f>
        <v/>
      </c>
      <c r="AC442" s="31">
        <f>IF(A442="","",IF(A442="止损计划",IF(OR(B442="",D442="",E442="",F442="",G442=""),"计划不完整",IF(OR(D442&lt;1,D442&lt;&gt;INT(D442)),"阶段序号无效",IF(COUNTIFS($A$2:$A$501,"止损计划",$B$2:$B$501,B442,$D$2:$D$501,D442)&gt;1,"阶段序号重复",IF(E442&lt;=IFERROR(LOOKUP(2,1/('单次交易'!$A$2:$A$201=B442),'单次交易'!$E$2:$E$201),0),"激活价须高于买入价",IF(F442&lt;N442,"止损价不得低于初始止损",IF(F442&gt;E442,"止损价不得高于激活价",IF(AND(COUNTIFS($A$2:$A$501,"止损计划",$B$2:$B$501,B442,$D$2:$D$501,"&lt;"&amp;D442)&gt;0,OR(E442&lt;=AGGREGATE(14,6,$E$2:$E$501/(($A$2:$A$501="止损计划")*($B$2:$B$501=B442)*($D$2:$D$501&lt;D442)),1),F442&lt;AGGREGATE(14,6,$F$2:$F$501/(($A$2:$A$501="止损计划")*($B$2:$B$501=B442)*($D$2:$D$501&lt;D442)),1))),"阶段价格必须逐级提高","计划有效"))))))),IF(A442="每日跟踪",IF(OR(B442="",H442="",I442="",J442=""),"每日数据不完整",IF(COUNTIFS($A$2:$A$501,"每日跟踪",$B$2:$B$501,B442,$H$2:$H$501,H442)&gt;1,"同一交易日期重复",IF(AND(R442&lt;&gt;"",R442&lt;S442),"人工止损无效：不能下调","跟踪有效"))),"记录类型无效")))</f>
        <v/>
      </c>
    </row>
    <row r="443">
      <c r="A443" s="28" t="n"/>
      <c r="B443" s="28" t="n"/>
      <c r="C443" s="31">
        <f>IF(B443="","",IFERROR(LOOKUP(2,1/(单次交易!$A$2:$A$201=B443),单次交易!$B$2:$B$201),""))</f>
        <v/>
      </c>
      <c r="D443" s="27" t="n"/>
      <c r="E443" s="43" t="n"/>
      <c r="F443" s="43" t="n"/>
      <c r="G443" s="28" t="n"/>
      <c r="H443" s="49" t="n"/>
      <c r="I443" s="43" t="n"/>
      <c r="J443" s="27" t="n"/>
      <c r="K443" s="28" t="n"/>
      <c r="L443" s="28" t="n"/>
      <c r="M443" s="28" t="n"/>
      <c r="N443" s="44">
        <f>IF(B443="","",IFERROR(LOOKUP(2,1/(单次交易!$A$2:$A$201=B443),单次交易!$N$2:$N$201),""))</f>
        <v/>
      </c>
      <c r="O443" s="44">
        <f>IF(A443&lt;&gt;"每日跟踪","",IF(OR(B443="",H443="",I443=""),"",IFERROR(AGGREGATE(14,6,$I$2:$I$501/(($A$2:$A$501="每日跟踪")*($B$2:$B$501=B443)*($H$2:$H$501&lt;=H443)),1),"")))</f>
        <v/>
      </c>
      <c r="P443" s="26">
        <f>IF(A443&lt;&gt;"每日跟踪","",IF(O443="","",IFERROR(AGGREGATE(14,6,$D$2:$D$501/(($A$2:$A$501="止损计划")*($B$2:$B$501=B443)*($E$2:$E$501&lt;=O443)),1),0)))</f>
        <v/>
      </c>
      <c r="Q443" s="44">
        <f>IF(A443&lt;&gt;"每日跟踪","",IF(N443="","",MAX(N443,IFERROR(AGGREGATE(14,6,$F$2:$F$501/(($A$2:$A$501="止损计划")*($B$2:$B$501=B443)*($E$2:$E$501&lt;=O443)),1),0))))</f>
        <v/>
      </c>
      <c r="R443" s="43" t="n"/>
      <c r="S443" s="44">
        <f>IF(A443&lt;&gt;"每日跟踪","",IF(Q443="","",MAX(Q443,IFERROR(AGGREGATE(14,6,$R$2:$R$501/(($A$2:$A$501="每日跟踪")*($B$2:$B$501=B443)*($H$2:$H$501&lt;=H443)),1),0))))</f>
        <v/>
      </c>
      <c r="T443" s="44">
        <f>IF(A443&lt;&gt;"每日跟踪","",IF(O443="","",IF(COUNTIFS($A$2:$A$501,"止损计划",$B$2:$B$501,B443,$E$2:$E$501,"&gt;"&amp;O443)=0,"",AGGREGATE(15,6,$E$2:$E$501/(($A$2:$A$501="止损计划")*($B$2:$B$501=B443)*($E$2:$E$501&gt;O443)),1))))</f>
        <v/>
      </c>
      <c r="U443" s="44">
        <f>IF(OR(A443&lt;&gt;"每日跟踪",T443=""),"",IFERROR(AGGREGATE(14,6,$F$2:$F$501/(($A$2:$A$501="止损计划")*($B$2:$B$501=B443)*($E$2:$E$501=T443)),1),""))</f>
        <v/>
      </c>
      <c r="V443" s="30">
        <f>IF(OR(A443&lt;&gt;"每日跟踪",T443="",I443="",I443&lt;=0),"",T443/I443-1)</f>
        <v/>
      </c>
      <c r="W443" s="31">
        <f>IF(A443&lt;&gt;"每日跟踪","",IF(OR(I443="",S443=""),"",IF(I443&lt;=S443,"触发止损：应全部卖出","继续观察")))</f>
        <v/>
      </c>
      <c r="X443" s="28" t="n"/>
      <c r="Y443" s="43" t="n"/>
      <c r="Z443" s="26">
        <f>IF(X443&lt;&gt;"执行卖出","",IFERROR(LOOKUP(2,1/(单次交易!$A$2:$A$201=B443),单次交易!$AP$2:$AP$201),""))</f>
        <v/>
      </c>
      <c r="AA443" s="43" t="n"/>
      <c r="AB443" s="31">
        <f>IF(A443&lt;&gt;"每日跟踪","",IF(OR(B443="",H443="",I443="",J443="",K443="",L443="",M443=""),"待补充每日记录",IF(W443="触发止损：应全部卖出",IF(X443&lt;&gt;"执行卖出","违规：触发止损但未执行",IF(Y443="","待补充实际卖出价","卖出记录完整")),IF(X443="","待选择卖出动作",IF(X443="执行卖出",IF(Y443="","待补充实际卖出价","卖出记录完整"),"正常")))))</f>
        <v/>
      </c>
      <c r="AC443" s="31">
        <f>IF(A443="","",IF(A443="止损计划",IF(OR(B443="",D443="",E443="",F443="",G443=""),"计划不完整",IF(OR(D443&lt;1,D443&lt;&gt;INT(D443)),"阶段序号无效",IF(COUNTIFS($A$2:$A$501,"止损计划",$B$2:$B$501,B443,$D$2:$D$501,D443)&gt;1,"阶段序号重复",IF(E443&lt;=IFERROR(LOOKUP(2,1/('单次交易'!$A$2:$A$201=B443),'单次交易'!$E$2:$E$201),0),"激活价须高于买入价",IF(F443&lt;N443,"止损价不得低于初始止损",IF(F443&gt;E443,"止损价不得高于激活价",IF(AND(COUNTIFS($A$2:$A$501,"止损计划",$B$2:$B$501,B443,$D$2:$D$501,"&lt;"&amp;D443)&gt;0,OR(E443&lt;=AGGREGATE(14,6,$E$2:$E$501/(($A$2:$A$501="止损计划")*($B$2:$B$501=B443)*($D$2:$D$501&lt;D443)),1),F443&lt;AGGREGATE(14,6,$F$2:$F$501/(($A$2:$A$501="止损计划")*($B$2:$B$501=B443)*($D$2:$D$501&lt;D443)),1))),"阶段价格必须逐级提高","计划有效"))))))),IF(A443="每日跟踪",IF(OR(B443="",H443="",I443="",J443=""),"每日数据不完整",IF(COUNTIFS($A$2:$A$501,"每日跟踪",$B$2:$B$501,B443,$H$2:$H$501,H443)&gt;1,"同一交易日期重复",IF(AND(R443&lt;&gt;"",R443&lt;S443),"人工止损无效：不能下调","跟踪有效"))),"记录类型无效")))</f>
        <v/>
      </c>
    </row>
    <row r="444">
      <c r="A444" s="28" t="n"/>
      <c r="B444" s="28" t="n"/>
      <c r="C444" s="31">
        <f>IF(B444="","",IFERROR(LOOKUP(2,1/(单次交易!$A$2:$A$201=B444),单次交易!$B$2:$B$201),""))</f>
        <v/>
      </c>
      <c r="D444" s="27" t="n"/>
      <c r="E444" s="43" t="n"/>
      <c r="F444" s="43" t="n"/>
      <c r="G444" s="28" t="n"/>
      <c r="H444" s="49" t="n"/>
      <c r="I444" s="43" t="n"/>
      <c r="J444" s="27" t="n"/>
      <c r="K444" s="28" t="n"/>
      <c r="L444" s="28" t="n"/>
      <c r="M444" s="28" t="n"/>
      <c r="N444" s="44">
        <f>IF(B444="","",IFERROR(LOOKUP(2,1/(单次交易!$A$2:$A$201=B444),单次交易!$N$2:$N$201),""))</f>
        <v/>
      </c>
      <c r="O444" s="44">
        <f>IF(A444&lt;&gt;"每日跟踪","",IF(OR(B444="",H444="",I444=""),"",IFERROR(AGGREGATE(14,6,$I$2:$I$501/(($A$2:$A$501="每日跟踪")*($B$2:$B$501=B444)*($H$2:$H$501&lt;=H444)),1),"")))</f>
        <v/>
      </c>
      <c r="P444" s="26">
        <f>IF(A444&lt;&gt;"每日跟踪","",IF(O444="","",IFERROR(AGGREGATE(14,6,$D$2:$D$501/(($A$2:$A$501="止损计划")*($B$2:$B$501=B444)*($E$2:$E$501&lt;=O444)),1),0)))</f>
        <v/>
      </c>
      <c r="Q444" s="44">
        <f>IF(A444&lt;&gt;"每日跟踪","",IF(N444="","",MAX(N444,IFERROR(AGGREGATE(14,6,$F$2:$F$501/(($A$2:$A$501="止损计划")*($B$2:$B$501=B444)*($E$2:$E$501&lt;=O444)),1),0))))</f>
        <v/>
      </c>
      <c r="R444" s="43" t="n"/>
      <c r="S444" s="44">
        <f>IF(A444&lt;&gt;"每日跟踪","",IF(Q444="","",MAX(Q444,IFERROR(AGGREGATE(14,6,$R$2:$R$501/(($A$2:$A$501="每日跟踪")*($B$2:$B$501=B444)*($H$2:$H$501&lt;=H444)),1),0))))</f>
        <v/>
      </c>
      <c r="T444" s="44">
        <f>IF(A444&lt;&gt;"每日跟踪","",IF(O444="","",IF(COUNTIFS($A$2:$A$501,"止损计划",$B$2:$B$501,B444,$E$2:$E$501,"&gt;"&amp;O444)=0,"",AGGREGATE(15,6,$E$2:$E$501/(($A$2:$A$501="止损计划")*($B$2:$B$501=B444)*($E$2:$E$501&gt;O444)),1))))</f>
        <v/>
      </c>
      <c r="U444" s="44">
        <f>IF(OR(A444&lt;&gt;"每日跟踪",T444=""),"",IFERROR(AGGREGATE(14,6,$F$2:$F$501/(($A$2:$A$501="止损计划")*($B$2:$B$501=B444)*($E$2:$E$501=T444)),1),""))</f>
        <v/>
      </c>
      <c r="V444" s="30">
        <f>IF(OR(A444&lt;&gt;"每日跟踪",T444="",I444="",I444&lt;=0),"",T444/I444-1)</f>
        <v/>
      </c>
      <c r="W444" s="31">
        <f>IF(A444&lt;&gt;"每日跟踪","",IF(OR(I444="",S444=""),"",IF(I444&lt;=S444,"触发止损：应全部卖出","继续观察")))</f>
        <v/>
      </c>
      <c r="X444" s="28" t="n"/>
      <c r="Y444" s="43" t="n"/>
      <c r="Z444" s="26">
        <f>IF(X444&lt;&gt;"执行卖出","",IFERROR(LOOKUP(2,1/(单次交易!$A$2:$A$201=B444),单次交易!$AP$2:$AP$201),""))</f>
        <v/>
      </c>
      <c r="AA444" s="43" t="n"/>
      <c r="AB444" s="31">
        <f>IF(A444&lt;&gt;"每日跟踪","",IF(OR(B444="",H444="",I444="",J444="",K444="",L444="",M444=""),"待补充每日记录",IF(W444="触发止损：应全部卖出",IF(X444&lt;&gt;"执行卖出","违规：触发止损但未执行",IF(Y444="","待补充实际卖出价","卖出记录完整")),IF(X444="","待选择卖出动作",IF(X444="执行卖出",IF(Y444="","待补充实际卖出价","卖出记录完整"),"正常")))))</f>
        <v/>
      </c>
      <c r="AC444" s="31">
        <f>IF(A444="","",IF(A444="止损计划",IF(OR(B444="",D444="",E444="",F444="",G444=""),"计划不完整",IF(OR(D444&lt;1,D444&lt;&gt;INT(D444)),"阶段序号无效",IF(COUNTIFS($A$2:$A$501,"止损计划",$B$2:$B$501,B444,$D$2:$D$501,D444)&gt;1,"阶段序号重复",IF(E444&lt;=IFERROR(LOOKUP(2,1/('单次交易'!$A$2:$A$201=B444),'单次交易'!$E$2:$E$201),0),"激活价须高于买入价",IF(F444&lt;N444,"止损价不得低于初始止损",IF(F444&gt;E444,"止损价不得高于激活价",IF(AND(COUNTIFS($A$2:$A$501,"止损计划",$B$2:$B$501,B444,$D$2:$D$501,"&lt;"&amp;D444)&gt;0,OR(E444&lt;=AGGREGATE(14,6,$E$2:$E$501/(($A$2:$A$501="止损计划")*($B$2:$B$501=B444)*($D$2:$D$501&lt;D444)),1),F444&lt;AGGREGATE(14,6,$F$2:$F$501/(($A$2:$A$501="止损计划")*($B$2:$B$501=B444)*($D$2:$D$501&lt;D444)),1))),"阶段价格必须逐级提高","计划有效"))))))),IF(A444="每日跟踪",IF(OR(B444="",H444="",I444="",J444=""),"每日数据不完整",IF(COUNTIFS($A$2:$A$501,"每日跟踪",$B$2:$B$501,B444,$H$2:$H$501,H444)&gt;1,"同一交易日期重复",IF(AND(R444&lt;&gt;"",R444&lt;S444),"人工止损无效：不能下调","跟踪有效"))),"记录类型无效")))</f>
        <v/>
      </c>
    </row>
    <row r="445">
      <c r="A445" s="28" t="n"/>
      <c r="B445" s="28" t="n"/>
      <c r="C445" s="31">
        <f>IF(B445="","",IFERROR(LOOKUP(2,1/(单次交易!$A$2:$A$201=B445),单次交易!$B$2:$B$201),""))</f>
        <v/>
      </c>
      <c r="D445" s="27" t="n"/>
      <c r="E445" s="43" t="n"/>
      <c r="F445" s="43" t="n"/>
      <c r="G445" s="28" t="n"/>
      <c r="H445" s="49" t="n"/>
      <c r="I445" s="43" t="n"/>
      <c r="J445" s="27" t="n"/>
      <c r="K445" s="28" t="n"/>
      <c r="L445" s="28" t="n"/>
      <c r="M445" s="28" t="n"/>
      <c r="N445" s="44">
        <f>IF(B445="","",IFERROR(LOOKUP(2,1/(单次交易!$A$2:$A$201=B445),单次交易!$N$2:$N$201),""))</f>
        <v/>
      </c>
      <c r="O445" s="44">
        <f>IF(A445&lt;&gt;"每日跟踪","",IF(OR(B445="",H445="",I445=""),"",IFERROR(AGGREGATE(14,6,$I$2:$I$501/(($A$2:$A$501="每日跟踪")*($B$2:$B$501=B445)*($H$2:$H$501&lt;=H445)),1),"")))</f>
        <v/>
      </c>
      <c r="P445" s="26">
        <f>IF(A445&lt;&gt;"每日跟踪","",IF(O445="","",IFERROR(AGGREGATE(14,6,$D$2:$D$501/(($A$2:$A$501="止损计划")*($B$2:$B$501=B445)*($E$2:$E$501&lt;=O445)),1),0)))</f>
        <v/>
      </c>
      <c r="Q445" s="44">
        <f>IF(A445&lt;&gt;"每日跟踪","",IF(N445="","",MAX(N445,IFERROR(AGGREGATE(14,6,$F$2:$F$501/(($A$2:$A$501="止损计划")*($B$2:$B$501=B445)*($E$2:$E$501&lt;=O445)),1),0))))</f>
        <v/>
      </c>
      <c r="R445" s="43" t="n"/>
      <c r="S445" s="44">
        <f>IF(A445&lt;&gt;"每日跟踪","",IF(Q445="","",MAX(Q445,IFERROR(AGGREGATE(14,6,$R$2:$R$501/(($A$2:$A$501="每日跟踪")*($B$2:$B$501=B445)*($H$2:$H$501&lt;=H445)),1),0))))</f>
        <v/>
      </c>
      <c r="T445" s="44">
        <f>IF(A445&lt;&gt;"每日跟踪","",IF(O445="","",IF(COUNTIFS($A$2:$A$501,"止损计划",$B$2:$B$501,B445,$E$2:$E$501,"&gt;"&amp;O445)=0,"",AGGREGATE(15,6,$E$2:$E$501/(($A$2:$A$501="止损计划")*($B$2:$B$501=B445)*($E$2:$E$501&gt;O445)),1))))</f>
        <v/>
      </c>
      <c r="U445" s="44">
        <f>IF(OR(A445&lt;&gt;"每日跟踪",T445=""),"",IFERROR(AGGREGATE(14,6,$F$2:$F$501/(($A$2:$A$501="止损计划")*($B$2:$B$501=B445)*($E$2:$E$501=T445)),1),""))</f>
        <v/>
      </c>
      <c r="V445" s="30">
        <f>IF(OR(A445&lt;&gt;"每日跟踪",T445="",I445="",I445&lt;=0),"",T445/I445-1)</f>
        <v/>
      </c>
      <c r="W445" s="31">
        <f>IF(A445&lt;&gt;"每日跟踪","",IF(OR(I445="",S445=""),"",IF(I445&lt;=S445,"触发止损：应全部卖出","继续观察")))</f>
        <v/>
      </c>
      <c r="X445" s="28" t="n"/>
      <c r="Y445" s="43" t="n"/>
      <c r="Z445" s="26">
        <f>IF(X445&lt;&gt;"执行卖出","",IFERROR(LOOKUP(2,1/(单次交易!$A$2:$A$201=B445),单次交易!$AP$2:$AP$201),""))</f>
        <v/>
      </c>
      <c r="AA445" s="43" t="n"/>
      <c r="AB445" s="31">
        <f>IF(A445&lt;&gt;"每日跟踪","",IF(OR(B445="",H445="",I445="",J445="",K445="",L445="",M445=""),"待补充每日记录",IF(W445="触发止损：应全部卖出",IF(X445&lt;&gt;"执行卖出","违规：触发止损但未执行",IF(Y445="","待补充实际卖出价","卖出记录完整")),IF(X445="","待选择卖出动作",IF(X445="执行卖出",IF(Y445="","待补充实际卖出价","卖出记录完整"),"正常")))))</f>
        <v/>
      </c>
      <c r="AC445" s="31">
        <f>IF(A445="","",IF(A445="止损计划",IF(OR(B445="",D445="",E445="",F445="",G445=""),"计划不完整",IF(OR(D445&lt;1,D445&lt;&gt;INT(D445)),"阶段序号无效",IF(COUNTIFS($A$2:$A$501,"止损计划",$B$2:$B$501,B445,$D$2:$D$501,D445)&gt;1,"阶段序号重复",IF(E445&lt;=IFERROR(LOOKUP(2,1/('单次交易'!$A$2:$A$201=B445),'单次交易'!$E$2:$E$201),0),"激活价须高于买入价",IF(F445&lt;N445,"止损价不得低于初始止损",IF(F445&gt;E445,"止损价不得高于激活价",IF(AND(COUNTIFS($A$2:$A$501,"止损计划",$B$2:$B$501,B445,$D$2:$D$501,"&lt;"&amp;D445)&gt;0,OR(E445&lt;=AGGREGATE(14,6,$E$2:$E$501/(($A$2:$A$501="止损计划")*($B$2:$B$501=B445)*($D$2:$D$501&lt;D445)),1),F445&lt;AGGREGATE(14,6,$F$2:$F$501/(($A$2:$A$501="止损计划")*($B$2:$B$501=B445)*($D$2:$D$501&lt;D445)),1))),"阶段价格必须逐级提高","计划有效"))))))),IF(A445="每日跟踪",IF(OR(B445="",H445="",I445="",J445=""),"每日数据不完整",IF(COUNTIFS($A$2:$A$501,"每日跟踪",$B$2:$B$501,B445,$H$2:$H$501,H445)&gt;1,"同一交易日期重复",IF(AND(R445&lt;&gt;"",R445&lt;S445),"人工止损无效：不能下调","跟踪有效"))),"记录类型无效")))</f>
        <v/>
      </c>
    </row>
    <row r="446">
      <c r="A446" s="28" t="n"/>
      <c r="B446" s="28" t="n"/>
      <c r="C446" s="31">
        <f>IF(B446="","",IFERROR(LOOKUP(2,1/(单次交易!$A$2:$A$201=B446),单次交易!$B$2:$B$201),""))</f>
        <v/>
      </c>
      <c r="D446" s="27" t="n"/>
      <c r="E446" s="43" t="n"/>
      <c r="F446" s="43" t="n"/>
      <c r="G446" s="28" t="n"/>
      <c r="H446" s="49" t="n"/>
      <c r="I446" s="43" t="n"/>
      <c r="J446" s="27" t="n"/>
      <c r="K446" s="28" t="n"/>
      <c r="L446" s="28" t="n"/>
      <c r="M446" s="28" t="n"/>
      <c r="N446" s="44">
        <f>IF(B446="","",IFERROR(LOOKUP(2,1/(单次交易!$A$2:$A$201=B446),单次交易!$N$2:$N$201),""))</f>
        <v/>
      </c>
      <c r="O446" s="44">
        <f>IF(A446&lt;&gt;"每日跟踪","",IF(OR(B446="",H446="",I446=""),"",IFERROR(AGGREGATE(14,6,$I$2:$I$501/(($A$2:$A$501="每日跟踪")*($B$2:$B$501=B446)*($H$2:$H$501&lt;=H446)),1),"")))</f>
        <v/>
      </c>
      <c r="P446" s="26">
        <f>IF(A446&lt;&gt;"每日跟踪","",IF(O446="","",IFERROR(AGGREGATE(14,6,$D$2:$D$501/(($A$2:$A$501="止损计划")*($B$2:$B$501=B446)*($E$2:$E$501&lt;=O446)),1),0)))</f>
        <v/>
      </c>
      <c r="Q446" s="44">
        <f>IF(A446&lt;&gt;"每日跟踪","",IF(N446="","",MAX(N446,IFERROR(AGGREGATE(14,6,$F$2:$F$501/(($A$2:$A$501="止损计划")*($B$2:$B$501=B446)*($E$2:$E$501&lt;=O446)),1),0))))</f>
        <v/>
      </c>
      <c r="R446" s="43" t="n"/>
      <c r="S446" s="44">
        <f>IF(A446&lt;&gt;"每日跟踪","",IF(Q446="","",MAX(Q446,IFERROR(AGGREGATE(14,6,$R$2:$R$501/(($A$2:$A$501="每日跟踪")*($B$2:$B$501=B446)*($H$2:$H$501&lt;=H446)),1),0))))</f>
        <v/>
      </c>
      <c r="T446" s="44">
        <f>IF(A446&lt;&gt;"每日跟踪","",IF(O446="","",IF(COUNTIFS($A$2:$A$501,"止损计划",$B$2:$B$501,B446,$E$2:$E$501,"&gt;"&amp;O446)=0,"",AGGREGATE(15,6,$E$2:$E$501/(($A$2:$A$501="止损计划")*($B$2:$B$501=B446)*($E$2:$E$501&gt;O446)),1))))</f>
        <v/>
      </c>
      <c r="U446" s="44">
        <f>IF(OR(A446&lt;&gt;"每日跟踪",T446=""),"",IFERROR(AGGREGATE(14,6,$F$2:$F$501/(($A$2:$A$501="止损计划")*($B$2:$B$501=B446)*($E$2:$E$501=T446)),1),""))</f>
        <v/>
      </c>
      <c r="V446" s="30">
        <f>IF(OR(A446&lt;&gt;"每日跟踪",T446="",I446="",I446&lt;=0),"",T446/I446-1)</f>
        <v/>
      </c>
      <c r="W446" s="31">
        <f>IF(A446&lt;&gt;"每日跟踪","",IF(OR(I446="",S446=""),"",IF(I446&lt;=S446,"触发止损：应全部卖出","继续观察")))</f>
        <v/>
      </c>
      <c r="X446" s="28" t="n"/>
      <c r="Y446" s="43" t="n"/>
      <c r="Z446" s="26">
        <f>IF(X446&lt;&gt;"执行卖出","",IFERROR(LOOKUP(2,1/(单次交易!$A$2:$A$201=B446),单次交易!$AP$2:$AP$201),""))</f>
        <v/>
      </c>
      <c r="AA446" s="43" t="n"/>
      <c r="AB446" s="31">
        <f>IF(A446&lt;&gt;"每日跟踪","",IF(OR(B446="",H446="",I446="",J446="",K446="",L446="",M446=""),"待补充每日记录",IF(W446="触发止损：应全部卖出",IF(X446&lt;&gt;"执行卖出","违规：触发止损但未执行",IF(Y446="","待补充实际卖出价","卖出记录完整")),IF(X446="","待选择卖出动作",IF(X446="执行卖出",IF(Y446="","待补充实际卖出价","卖出记录完整"),"正常")))))</f>
        <v/>
      </c>
      <c r="AC446" s="31">
        <f>IF(A446="","",IF(A446="止损计划",IF(OR(B446="",D446="",E446="",F446="",G446=""),"计划不完整",IF(OR(D446&lt;1,D446&lt;&gt;INT(D446)),"阶段序号无效",IF(COUNTIFS($A$2:$A$501,"止损计划",$B$2:$B$501,B446,$D$2:$D$501,D446)&gt;1,"阶段序号重复",IF(E446&lt;=IFERROR(LOOKUP(2,1/('单次交易'!$A$2:$A$201=B446),'单次交易'!$E$2:$E$201),0),"激活价须高于买入价",IF(F446&lt;N446,"止损价不得低于初始止损",IF(F446&gt;E446,"止损价不得高于激活价",IF(AND(COUNTIFS($A$2:$A$501,"止损计划",$B$2:$B$501,B446,$D$2:$D$501,"&lt;"&amp;D446)&gt;0,OR(E446&lt;=AGGREGATE(14,6,$E$2:$E$501/(($A$2:$A$501="止损计划")*($B$2:$B$501=B446)*($D$2:$D$501&lt;D446)),1),F446&lt;AGGREGATE(14,6,$F$2:$F$501/(($A$2:$A$501="止损计划")*($B$2:$B$501=B446)*($D$2:$D$501&lt;D446)),1))),"阶段价格必须逐级提高","计划有效"))))))),IF(A446="每日跟踪",IF(OR(B446="",H446="",I446="",J446=""),"每日数据不完整",IF(COUNTIFS($A$2:$A$501,"每日跟踪",$B$2:$B$501,B446,$H$2:$H$501,H446)&gt;1,"同一交易日期重复",IF(AND(R446&lt;&gt;"",R446&lt;S446),"人工止损无效：不能下调","跟踪有效"))),"记录类型无效")))</f>
        <v/>
      </c>
    </row>
    <row r="447">
      <c r="A447" s="28" t="n"/>
      <c r="B447" s="28" t="n"/>
      <c r="C447" s="31">
        <f>IF(B447="","",IFERROR(LOOKUP(2,1/(单次交易!$A$2:$A$201=B447),单次交易!$B$2:$B$201),""))</f>
        <v/>
      </c>
      <c r="D447" s="27" t="n"/>
      <c r="E447" s="43" t="n"/>
      <c r="F447" s="43" t="n"/>
      <c r="G447" s="28" t="n"/>
      <c r="H447" s="49" t="n"/>
      <c r="I447" s="43" t="n"/>
      <c r="J447" s="27" t="n"/>
      <c r="K447" s="28" t="n"/>
      <c r="L447" s="28" t="n"/>
      <c r="M447" s="28" t="n"/>
      <c r="N447" s="44">
        <f>IF(B447="","",IFERROR(LOOKUP(2,1/(单次交易!$A$2:$A$201=B447),单次交易!$N$2:$N$201),""))</f>
        <v/>
      </c>
      <c r="O447" s="44">
        <f>IF(A447&lt;&gt;"每日跟踪","",IF(OR(B447="",H447="",I447=""),"",IFERROR(AGGREGATE(14,6,$I$2:$I$501/(($A$2:$A$501="每日跟踪")*($B$2:$B$501=B447)*($H$2:$H$501&lt;=H447)),1),"")))</f>
        <v/>
      </c>
      <c r="P447" s="26">
        <f>IF(A447&lt;&gt;"每日跟踪","",IF(O447="","",IFERROR(AGGREGATE(14,6,$D$2:$D$501/(($A$2:$A$501="止损计划")*($B$2:$B$501=B447)*($E$2:$E$501&lt;=O447)),1),0)))</f>
        <v/>
      </c>
      <c r="Q447" s="44">
        <f>IF(A447&lt;&gt;"每日跟踪","",IF(N447="","",MAX(N447,IFERROR(AGGREGATE(14,6,$F$2:$F$501/(($A$2:$A$501="止损计划")*($B$2:$B$501=B447)*($E$2:$E$501&lt;=O447)),1),0))))</f>
        <v/>
      </c>
      <c r="R447" s="43" t="n"/>
      <c r="S447" s="44">
        <f>IF(A447&lt;&gt;"每日跟踪","",IF(Q447="","",MAX(Q447,IFERROR(AGGREGATE(14,6,$R$2:$R$501/(($A$2:$A$501="每日跟踪")*($B$2:$B$501=B447)*($H$2:$H$501&lt;=H447)),1),0))))</f>
        <v/>
      </c>
      <c r="T447" s="44">
        <f>IF(A447&lt;&gt;"每日跟踪","",IF(O447="","",IF(COUNTIFS($A$2:$A$501,"止损计划",$B$2:$B$501,B447,$E$2:$E$501,"&gt;"&amp;O447)=0,"",AGGREGATE(15,6,$E$2:$E$501/(($A$2:$A$501="止损计划")*($B$2:$B$501=B447)*($E$2:$E$501&gt;O447)),1))))</f>
        <v/>
      </c>
      <c r="U447" s="44">
        <f>IF(OR(A447&lt;&gt;"每日跟踪",T447=""),"",IFERROR(AGGREGATE(14,6,$F$2:$F$501/(($A$2:$A$501="止损计划")*($B$2:$B$501=B447)*($E$2:$E$501=T447)),1),""))</f>
        <v/>
      </c>
      <c r="V447" s="30">
        <f>IF(OR(A447&lt;&gt;"每日跟踪",T447="",I447="",I447&lt;=0),"",T447/I447-1)</f>
        <v/>
      </c>
      <c r="W447" s="31">
        <f>IF(A447&lt;&gt;"每日跟踪","",IF(OR(I447="",S447=""),"",IF(I447&lt;=S447,"触发止损：应全部卖出","继续观察")))</f>
        <v/>
      </c>
      <c r="X447" s="28" t="n"/>
      <c r="Y447" s="43" t="n"/>
      <c r="Z447" s="26">
        <f>IF(X447&lt;&gt;"执行卖出","",IFERROR(LOOKUP(2,1/(单次交易!$A$2:$A$201=B447),单次交易!$AP$2:$AP$201),""))</f>
        <v/>
      </c>
      <c r="AA447" s="43" t="n"/>
      <c r="AB447" s="31">
        <f>IF(A447&lt;&gt;"每日跟踪","",IF(OR(B447="",H447="",I447="",J447="",K447="",L447="",M447=""),"待补充每日记录",IF(W447="触发止损：应全部卖出",IF(X447&lt;&gt;"执行卖出","违规：触发止损但未执行",IF(Y447="","待补充实际卖出价","卖出记录完整")),IF(X447="","待选择卖出动作",IF(X447="执行卖出",IF(Y447="","待补充实际卖出价","卖出记录完整"),"正常")))))</f>
        <v/>
      </c>
      <c r="AC447" s="31">
        <f>IF(A447="","",IF(A447="止损计划",IF(OR(B447="",D447="",E447="",F447="",G447=""),"计划不完整",IF(OR(D447&lt;1,D447&lt;&gt;INT(D447)),"阶段序号无效",IF(COUNTIFS($A$2:$A$501,"止损计划",$B$2:$B$501,B447,$D$2:$D$501,D447)&gt;1,"阶段序号重复",IF(E447&lt;=IFERROR(LOOKUP(2,1/('单次交易'!$A$2:$A$201=B447),'单次交易'!$E$2:$E$201),0),"激活价须高于买入价",IF(F447&lt;N447,"止损价不得低于初始止损",IF(F447&gt;E447,"止损价不得高于激活价",IF(AND(COUNTIFS($A$2:$A$501,"止损计划",$B$2:$B$501,B447,$D$2:$D$501,"&lt;"&amp;D447)&gt;0,OR(E447&lt;=AGGREGATE(14,6,$E$2:$E$501/(($A$2:$A$501="止损计划")*($B$2:$B$501=B447)*($D$2:$D$501&lt;D447)),1),F447&lt;AGGREGATE(14,6,$F$2:$F$501/(($A$2:$A$501="止损计划")*($B$2:$B$501=B447)*($D$2:$D$501&lt;D447)),1))),"阶段价格必须逐级提高","计划有效"))))))),IF(A447="每日跟踪",IF(OR(B447="",H447="",I447="",J447=""),"每日数据不完整",IF(COUNTIFS($A$2:$A$501,"每日跟踪",$B$2:$B$501,B447,$H$2:$H$501,H447)&gt;1,"同一交易日期重复",IF(AND(R447&lt;&gt;"",R447&lt;S447),"人工止损无效：不能下调","跟踪有效"))),"记录类型无效")))</f>
        <v/>
      </c>
    </row>
    <row r="448">
      <c r="A448" s="28" t="n"/>
      <c r="B448" s="28" t="n"/>
      <c r="C448" s="31">
        <f>IF(B448="","",IFERROR(LOOKUP(2,1/(单次交易!$A$2:$A$201=B448),单次交易!$B$2:$B$201),""))</f>
        <v/>
      </c>
      <c r="D448" s="27" t="n"/>
      <c r="E448" s="43" t="n"/>
      <c r="F448" s="43" t="n"/>
      <c r="G448" s="28" t="n"/>
      <c r="H448" s="49" t="n"/>
      <c r="I448" s="43" t="n"/>
      <c r="J448" s="27" t="n"/>
      <c r="K448" s="28" t="n"/>
      <c r="L448" s="28" t="n"/>
      <c r="M448" s="28" t="n"/>
      <c r="N448" s="44">
        <f>IF(B448="","",IFERROR(LOOKUP(2,1/(单次交易!$A$2:$A$201=B448),单次交易!$N$2:$N$201),""))</f>
        <v/>
      </c>
      <c r="O448" s="44">
        <f>IF(A448&lt;&gt;"每日跟踪","",IF(OR(B448="",H448="",I448=""),"",IFERROR(AGGREGATE(14,6,$I$2:$I$501/(($A$2:$A$501="每日跟踪")*($B$2:$B$501=B448)*($H$2:$H$501&lt;=H448)),1),"")))</f>
        <v/>
      </c>
      <c r="P448" s="26">
        <f>IF(A448&lt;&gt;"每日跟踪","",IF(O448="","",IFERROR(AGGREGATE(14,6,$D$2:$D$501/(($A$2:$A$501="止损计划")*($B$2:$B$501=B448)*($E$2:$E$501&lt;=O448)),1),0)))</f>
        <v/>
      </c>
      <c r="Q448" s="44">
        <f>IF(A448&lt;&gt;"每日跟踪","",IF(N448="","",MAX(N448,IFERROR(AGGREGATE(14,6,$F$2:$F$501/(($A$2:$A$501="止损计划")*($B$2:$B$501=B448)*($E$2:$E$501&lt;=O448)),1),0))))</f>
        <v/>
      </c>
      <c r="R448" s="43" t="n"/>
      <c r="S448" s="44">
        <f>IF(A448&lt;&gt;"每日跟踪","",IF(Q448="","",MAX(Q448,IFERROR(AGGREGATE(14,6,$R$2:$R$501/(($A$2:$A$501="每日跟踪")*($B$2:$B$501=B448)*($H$2:$H$501&lt;=H448)),1),0))))</f>
        <v/>
      </c>
      <c r="T448" s="44">
        <f>IF(A448&lt;&gt;"每日跟踪","",IF(O448="","",IF(COUNTIFS($A$2:$A$501,"止损计划",$B$2:$B$501,B448,$E$2:$E$501,"&gt;"&amp;O448)=0,"",AGGREGATE(15,6,$E$2:$E$501/(($A$2:$A$501="止损计划")*($B$2:$B$501=B448)*($E$2:$E$501&gt;O448)),1))))</f>
        <v/>
      </c>
      <c r="U448" s="44">
        <f>IF(OR(A448&lt;&gt;"每日跟踪",T448=""),"",IFERROR(AGGREGATE(14,6,$F$2:$F$501/(($A$2:$A$501="止损计划")*($B$2:$B$501=B448)*($E$2:$E$501=T448)),1),""))</f>
        <v/>
      </c>
      <c r="V448" s="30">
        <f>IF(OR(A448&lt;&gt;"每日跟踪",T448="",I448="",I448&lt;=0),"",T448/I448-1)</f>
        <v/>
      </c>
      <c r="W448" s="31">
        <f>IF(A448&lt;&gt;"每日跟踪","",IF(OR(I448="",S448=""),"",IF(I448&lt;=S448,"触发止损：应全部卖出","继续观察")))</f>
        <v/>
      </c>
      <c r="X448" s="28" t="n"/>
      <c r="Y448" s="43" t="n"/>
      <c r="Z448" s="26">
        <f>IF(X448&lt;&gt;"执行卖出","",IFERROR(LOOKUP(2,1/(单次交易!$A$2:$A$201=B448),单次交易!$AP$2:$AP$201),""))</f>
        <v/>
      </c>
      <c r="AA448" s="43" t="n"/>
      <c r="AB448" s="31">
        <f>IF(A448&lt;&gt;"每日跟踪","",IF(OR(B448="",H448="",I448="",J448="",K448="",L448="",M448=""),"待补充每日记录",IF(W448="触发止损：应全部卖出",IF(X448&lt;&gt;"执行卖出","违规：触发止损但未执行",IF(Y448="","待补充实际卖出价","卖出记录完整")),IF(X448="","待选择卖出动作",IF(X448="执行卖出",IF(Y448="","待补充实际卖出价","卖出记录完整"),"正常")))))</f>
        <v/>
      </c>
      <c r="AC448" s="31">
        <f>IF(A448="","",IF(A448="止损计划",IF(OR(B448="",D448="",E448="",F448="",G448=""),"计划不完整",IF(OR(D448&lt;1,D448&lt;&gt;INT(D448)),"阶段序号无效",IF(COUNTIFS($A$2:$A$501,"止损计划",$B$2:$B$501,B448,$D$2:$D$501,D448)&gt;1,"阶段序号重复",IF(E448&lt;=IFERROR(LOOKUP(2,1/('单次交易'!$A$2:$A$201=B448),'单次交易'!$E$2:$E$201),0),"激活价须高于买入价",IF(F448&lt;N448,"止损价不得低于初始止损",IF(F448&gt;E448,"止损价不得高于激活价",IF(AND(COUNTIFS($A$2:$A$501,"止损计划",$B$2:$B$501,B448,$D$2:$D$501,"&lt;"&amp;D448)&gt;0,OR(E448&lt;=AGGREGATE(14,6,$E$2:$E$501/(($A$2:$A$501="止损计划")*($B$2:$B$501=B448)*($D$2:$D$501&lt;D448)),1),F448&lt;AGGREGATE(14,6,$F$2:$F$501/(($A$2:$A$501="止损计划")*($B$2:$B$501=B448)*($D$2:$D$501&lt;D448)),1))),"阶段价格必须逐级提高","计划有效"))))))),IF(A448="每日跟踪",IF(OR(B448="",H448="",I448="",J448=""),"每日数据不完整",IF(COUNTIFS($A$2:$A$501,"每日跟踪",$B$2:$B$501,B448,$H$2:$H$501,H448)&gt;1,"同一交易日期重复",IF(AND(R448&lt;&gt;"",R448&lt;S448),"人工止损无效：不能下调","跟踪有效"))),"记录类型无效")))</f>
        <v/>
      </c>
    </row>
    <row r="449">
      <c r="A449" s="28" t="n"/>
      <c r="B449" s="28" t="n"/>
      <c r="C449" s="31">
        <f>IF(B449="","",IFERROR(LOOKUP(2,1/(单次交易!$A$2:$A$201=B449),单次交易!$B$2:$B$201),""))</f>
        <v/>
      </c>
      <c r="D449" s="27" t="n"/>
      <c r="E449" s="43" t="n"/>
      <c r="F449" s="43" t="n"/>
      <c r="G449" s="28" t="n"/>
      <c r="H449" s="49" t="n"/>
      <c r="I449" s="43" t="n"/>
      <c r="J449" s="27" t="n"/>
      <c r="K449" s="28" t="n"/>
      <c r="L449" s="28" t="n"/>
      <c r="M449" s="28" t="n"/>
      <c r="N449" s="44">
        <f>IF(B449="","",IFERROR(LOOKUP(2,1/(单次交易!$A$2:$A$201=B449),单次交易!$N$2:$N$201),""))</f>
        <v/>
      </c>
      <c r="O449" s="44">
        <f>IF(A449&lt;&gt;"每日跟踪","",IF(OR(B449="",H449="",I449=""),"",IFERROR(AGGREGATE(14,6,$I$2:$I$501/(($A$2:$A$501="每日跟踪")*($B$2:$B$501=B449)*($H$2:$H$501&lt;=H449)),1),"")))</f>
        <v/>
      </c>
      <c r="P449" s="26">
        <f>IF(A449&lt;&gt;"每日跟踪","",IF(O449="","",IFERROR(AGGREGATE(14,6,$D$2:$D$501/(($A$2:$A$501="止损计划")*($B$2:$B$501=B449)*($E$2:$E$501&lt;=O449)),1),0)))</f>
        <v/>
      </c>
      <c r="Q449" s="44">
        <f>IF(A449&lt;&gt;"每日跟踪","",IF(N449="","",MAX(N449,IFERROR(AGGREGATE(14,6,$F$2:$F$501/(($A$2:$A$501="止损计划")*($B$2:$B$501=B449)*($E$2:$E$501&lt;=O449)),1),0))))</f>
        <v/>
      </c>
      <c r="R449" s="43" t="n"/>
      <c r="S449" s="44">
        <f>IF(A449&lt;&gt;"每日跟踪","",IF(Q449="","",MAX(Q449,IFERROR(AGGREGATE(14,6,$R$2:$R$501/(($A$2:$A$501="每日跟踪")*($B$2:$B$501=B449)*($H$2:$H$501&lt;=H449)),1),0))))</f>
        <v/>
      </c>
      <c r="T449" s="44">
        <f>IF(A449&lt;&gt;"每日跟踪","",IF(O449="","",IF(COUNTIFS($A$2:$A$501,"止损计划",$B$2:$B$501,B449,$E$2:$E$501,"&gt;"&amp;O449)=0,"",AGGREGATE(15,6,$E$2:$E$501/(($A$2:$A$501="止损计划")*($B$2:$B$501=B449)*($E$2:$E$501&gt;O449)),1))))</f>
        <v/>
      </c>
      <c r="U449" s="44">
        <f>IF(OR(A449&lt;&gt;"每日跟踪",T449=""),"",IFERROR(AGGREGATE(14,6,$F$2:$F$501/(($A$2:$A$501="止损计划")*($B$2:$B$501=B449)*($E$2:$E$501=T449)),1),""))</f>
        <v/>
      </c>
      <c r="V449" s="30">
        <f>IF(OR(A449&lt;&gt;"每日跟踪",T449="",I449="",I449&lt;=0),"",T449/I449-1)</f>
        <v/>
      </c>
      <c r="W449" s="31">
        <f>IF(A449&lt;&gt;"每日跟踪","",IF(OR(I449="",S449=""),"",IF(I449&lt;=S449,"触发止损：应全部卖出","继续观察")))</f>
        <v/>
      </c>
      <c r="X449" s="28" t="n"/>
      <c r="Y449" s="43" t="n"/>
      <c r="Z449" s="26">
        <f>IF(X449&lt;&gt;"执行卖出","",IFERROR(LOOKUP(2,1/(单次交易!$A$2:$A$201=B449),单次交易!$AP$2:$AP$201),""))</f>
        <v/>
      </c>
      <c r="AA449" s="43" t="n"/>
      <c r="AB449" s="31">
        <f>IF(A449&lt;&gt;"每日跟踪","",IF(OR(B449="",H449="",I449="",J449="",K449="",L449="",M449=""),"待补充每日记录",IF(W449="触发止损：应全部卖出",IF(X449&lt;&gt;"执行卖出","违规：触发止损但未执行",IF(Y449="","待补充实际卖出价","卖出记录完整")),IF(X449="","待选择卖出动作",IF(X449="执行卖出",IF(Y449="","待补充实际卖出价","卖出记录完整"),"正常")))))</f>
        <v/>
      </c>
      <c r="AC449" s="31">
        <f>IF(A449="","",IF(A449="止损计划",IF(OR(B449="",D449="",E449="",F449="",G449=""),"计划不完整",IF(OR(D449&lt;1,D449&lt;&gt;INT(D449)),"阶段序号无效",IF(COUNTIFS($A$2:$A$501,"止损计划",$B$2:$B$501,B449,$D$2:$D$501,D449)&gt;1,"阶段序号重复",IF(E449&lt;=IFERROR(LOOKUP(2,1/('单次交易'!$A$2:$A$201=B449),'单次交易'!$E$2:$E$201),0),"激活价须高于买入价",IF(F449&lt;N449,"止损价不得低于初始止损",IF(F449&gt;E449,"止损价不得高于激活价",IF(AND(COUNTIFS($A$2:$A$501,"止损计划",$B$2:$B$501,B449,$D$2:$D$501,"&lt;"&amp;D449)&gt;0,OR(E449&lt;=AGGREGATE(14,6,$E$2:$E$501/(($A$2:$A$501="止损计划")*($B$2:$B$501=B449)*($D$2:$D$501&lt;D449)),1),F449&lt;AGGREGATE(14,6,$F$2:$F$501/(($A$2:$A$501="止损计划")*($B$2:$B$501=B449)*($D$2:$D$501&lt;D449)),1))),"阶段价格必须逐级提高","计划有效"))))))),IF(A449="每日跟踪",IF(OR(B449="",H449="",I449="",J449=""),"每日数据不完整",IF(COUNTIFS($A$2:$A$501,"每日跟踪",$B$2:$B$501,B449,$H$2:$H$501,H449)&gt;1,"同一交易日期重复",IF(AND(R449&lt;&gt;"",R449&lt;S449),"人工止损无效：不能下调","跟踪有效"))),"记录类型无效")))</f>
        <v/>
      </c>
    </row>
    <row r="450">
      <c r="A450" s="28" t="n"/>
      <c r="B450" s="28" t="n"/>
      <c r="C450" s="31">
        <f>IF(B450="","",IFERROR(LOOKUP(2,1/(单次交易!$A$2:$A$201=B450),单次交易!$B$2:$B$201),""))</f>
        <v/>
      </c>
      <c r="D450" s="27" t="n"/>
      <c r="E450" s="43" t="n"/>
      <c r="F450" s="43" t="n"/>
      <c r="G450" s="28" t="n"/>
      <c r="H450" s="49" t="n"/>
      <c r="I450" s="43" t="n"/>
      <c r="J450" s="27" t="n"/>
      <c r="K450" s="28" t="n"/>
      <c r="L450" s="28" t="n"/>
      <c r="M450" s="28" t="n"/>
      <c r="N450" s="44">
        <f>IF(B450="","",IFERROR(LOOKUP(2,1/(单次交易!$A$2:$A$201=B450),单次交易!$N$2:$N$201),""))</f>
        <v/>
      </c>
      <c r="O450" s="44">
        <f>IF(A450&lt;&gt;"每日跟踪","",IF(OR(B450="",H450="",I450=""),"",IFERROR(AGGREGATE(14,6,$I$2:$I$501/(($A$2:$A$501="每日跟踪")*($B$2:$B$501=B450)*($H$2:$H$501&lt;=H450)),1),"")))</f>
        <v/>
      </c>
      <c r="P450" s="26">
        <f>IF(A450&lt;&gt;"每日跟踪","",IF(O450="","",IFERROR(AGGREGATE(14,6,$D$2:$D$501/(($A$2:$A$501="止损计划")*($B$2:$B$501=B450)*($E$2:$E$501&lt;=O450)),1),0)))</f>
        <v/>
      </c>
      <c r="Q450" s="44">
        <f>IF(A450&lt;&gt;"每日跟踪","",IF(N450="","",MAX(N450,IFERROR(AGGREGATE(14,6,$F$2:$F$501/(($A$2:$A$501="止损计划")*($B$2:$B$501=B450)*($E$2:$E$501&lt;=O450)),1),0))))</f>
        <v/>
      </c>
      <c r="R450" s="43" t="n"/>
      <c r="S450" s="44">
        <f>IF(A450&lt;&gt;"每日跟踪","",IF(Q450="","",MAX(Q450,IFERROR(AGGREGATE(14,6,$R$2:$R$501/(($A$2:$A$501="每日跟踪")*($B$2:$B$501=B450)*($H$2:$H$501&lt;=H450)),1),0))))</f>
        <v/>
      </c>
      <c r="T450" s="44">
        <f>IF(A450&lt;&gt;"每日跟踪","",IF(O450="","",IF(COUNTIFS($A$2:$A$501,"止损计划",$B$2:$B$501,B450,$E$2:$E$501,"&gt;"&amp;O450)=0,"",AGGREGATE(15,6,$E$2:$E$501/(($A$2:$A$501="止损计划")*($B$2:$B$501=B450)*($E$2:$E$501&gt;O450)),1))))</f>
        <v/>
      </c>
      <c r="U450" s="44">
        <f>IF(OR(A450&lt;&gt;"每日跟踪",T450=""),"",IFERROR(AGGREGATE(14,6,$F$2:$F$501/(($A$2:$A$501="止损计划")*($B$2:$B$501=B450)*($E$2:$E$501=T450)),1),""))</f>
        <v/>
      </c>
      <c r="V450" s="30">
        <f>IF(OR(A450&lt;&gt;"每日跟踪",T450="",I450="",I450&lt;=0),"",T450/I450-1)</f>
        <v/>
      </c>
      <c r="W450" s="31">
        <f>IF(A450&lt;&gt;"每日跟踪","",IF(OR(I450="",S450=""),"",IF(I450&lt;=S450,"触发止损：应全部卖出","继续观察")))</f>
        <v/>
      </c>
      <c r="X450" s="28" t="n"/>
      <c r="Y450" s="43" t="n"/>
      <c r="Z450" s="26">
        <f>IF(X450&lt;&gt;"执行卖出","",IFERROR(LOOKUP(2,1/(单次交易!$A$2:$A$201=B450),单次交易!$AP$2:$AP$201),""))</f>
        <v/>
      </c>
      <c r="AA450" s="43" t="n"/>
      <c r="AB450" s="31">
        <f>IF(A450&lt;&gt;"每日跟踪","",IF(OR(B450="",H450="",I450="",J450="",K450="",L450="",M450=""),"待补充每日记录",IF(W450="触发止损：应全部卖出",IF(X450&lt;&gt;"执行卖出","违规：触发止损但未执行",IF(Y450="","待补充实际卖出价","卖出记录完整")),IF(X450="","待选择卖出动作",IF(X450="执行卖出",IF(Y450="","待补充实际卖出价","卖出记录完整"),"正常")))))</f>
        <v/>
      </c>
      <c r="AC450" s="31">
        <f>IF(A450="","",IF(A450="止损计划",IF(OR(B450="",D450="",E450="",F450="",G450=""),"计划不完整",IF(OR(D450&lt;1,D450&lt;&gt;INT(D450)),"阶段序号无效",IF(COUNTIFS($A$2:$A$501,"止损计划",$B$2:$B$501,B450,$D$2:$D$501,D450)&gt;1,"阶段序号重复",IF(E450&lt;=IFERROR(LOOKUP(2,1/('单次交易'!$A$2:$A$201=B450),'单次交易'!$E$2:$E$201),0),"激活价须高于买入价",IF(F450&lt;N450,"止损价不得低于初始止损",IF(F450&gt;E450,"止损价不得高于激活价",IF(AND(COUNTIFS($A$2:$A$501,"止损计划",$B$2:$B$501,B450,$D$2:$D$501,"&lt;"&amp;D450)&gt;0,OR(E450&lt;=AGGREGATE(14,6,$E$2:$E$501/(($A$2:$A$501="止损计划")*($B$2:$B$501=B450)*($D$2:$D$501&lt;D450)),1),F450&lt;AGGREGATE(14,6,$F$2:$F$501/(($A$2:$A$501="止损计划")*($B$2:$B$501=B450)*($D$2:$D$501&lt;D450)),1))),"阶段价格必须逐级提高","计划有效"))))))),IF(A450="每日跟踪",IF(OR(B450="",H450="",I450="",J450=""),"每日数据不完整",IF(COUNTIFS($A$2:$A$501,"每日跟踪",$B$2:$B$501,B450,$H$2:$H$501,H450)&gt;1,"同一交易日期重复",IF(AND(R450&lt;&gt;"",R450&lt;S450),"人工止损无效：不能下调","跟踪有效"))),"记录类型无效")))</f>
        <v/>
      </c>
    </row>
    <row r="451">
      <c r="A451" s="28" t="n"/>
      <c r="B451" s="28" t="n"/>
      <c r="C451" s="31">
        <f>IF(B451="","",IFERROR(LOOKUP(2,1/(单次交易!$A$2:$A$201=B451),单次交易!$B$2:$B$201),""))</f>
        <v/>
      </c>
      <c r="D451" s="27" t="n"/>
      <c r="E451" s="43" t="n"/>
      <c r="F451" s="43" t="n"/>
      <c r="G451" s="28" t="n"/>
      <c r="H451" s="49" t="n"/>
      <c r="I451" s="43" t="n"/>
      <c r="J451" s="27" t="n"/>
      <c r="K451" s="28" t="n"/>
      <c r="L451" s="28" t="n"/>
      <c r="M451" s="28" t="n"/>
      <c r="N451" s="44">
        <f>IF(B451="","",IFERROR(LOOKUP(2,1/(单次交易!$A$2:$A$201=B451),单次交易!$N$2:$N$201),""))</f>
        <v/>
      </c>
      <c r="O451" s="44">
        <f>IF(A451&lt;&gt;"每日跟踪","",IF(OR(B451="",H451="",I451=""),"",IFERROR(AGGREGATE(14,6,$I$2:$I$501/(($A$2:$A$501="每日跟踪")*($B$2:$B$501=B451)*($H$2:$H$501&lt;=H451)),1),"")))</f>
        <v/>
      </c>
      <c r="P451" s="26">
        <f>IF(A451&lt;&gt;"每日跟踪","",IF(O451="","",IFERROR(AGGREGATE(14,6,$D$2:$D$501/(($A$2:$A$501="止损计划")*($B$2:$B$501=B451)*($E$2:$E$501&lt;=O451)),1),0)))</f>
        <v/>
      </c>
      <c r="Q451" s="44">
        <f>IF(A451&lt;&gt;"每日跟踪","",IF(N451="","",MAX(N451,IFERROR(AGGREGATE(14,6,$F$2:$F$501/(($A$2:$A$501="止损计划")*($B$2:$B$501=B451)*($E$2:$E$501&lt;=O451)),1),0))))</f>
        <v/>
      </c>
      <c r="R451" s="43" t="n"/>
      <c r="S451" s="44">
        <f>IF(A451&lt;&gt;"每日跟踪","",IF(Q451="","",MAX(Q451,IFERROR(AGGREGATE(14,6,$R$2:$R$501/(($A$2:$A$501="每日跟踪")*($B$2:$B$501=B451)*($H$2:$H$501&lt;=H451)),1),0))))</f>
        <v/>
      </c>
      <c r="T451" s="44">
        <f>IF(A451&lt;&gt;"每日跟踪","",IF(O451="","",IF(COUNTIFS($A$2:$A$501,"止损计划",$B$2:$B$501,B451,$E$2:$E$501,"&gt;"&amp;O451)=0,"",AGGREGATE(15,6,$E$2:$E$501/(($A$2:$A$501="止损计划")*($B$2:$B$501=B451)*($E$2:$E$501&gt;O451)),1))))</f>
        <v/>
      </c>
      <c r="U451" s="44">
        <f>IF(OR(A451&lt;&gt;"每日跟踪",T451=""),"",IFERROR(AGGREGATE(14,6,$F$2:$F$501/(($A$2:$A$501="止损计划")*($B$2:$B$501=B451)*($E$2:$E$501=T451)),1),""))</f>
        <v/>
      </c>
      <c r="V451" s="30">
        <f>IF(OR(A451&lt;&gt;"每日跟踪",T451="",I451="",I451&lt;=0),"",T451/I451-1)</f>
        <v/>
      </c>
      <c r="W451" s="31">
        <f>IF(A451&lt;&gt;"每日跟踪","",IF(OR(I451="",S451=""),"",IF(I451&lt;=S451,"触发止损：应全部卖出","继续观察")))</f>
        <v/>
      </c>
      <c r="X451" s="28" t="n"/>
      <c r="Y451" s="43" t="n"/>
      <c r="Z451" s="26">
        <f>IF(X451&lt;&gt;"执行卖出","",IFERROR(LOOKUP(2,1/(单次交易!$A$2:$A$201=B451),单次交易!$AP$2:$AP$201),""))</f>
        <v/>
      </c>
      <c r="AA451" s="43" t="n"/>
      <c r="AB451" s="31">
        <f>IF(A451&lt;&gt;"每日跟踪","",IF(OR(B451="",H451="",I451="",J451="",K451="",L451="",M451=""),"待补充每日记录",IF(W451="触发止损：应全部卖出",IF(X451&lt;&gt;"执行卖出","违规：触发止损但未执行",IF(Y451="","待补充实际卖出价","卖出记录完整")),IF(X451="","待选择卖出动作",IF(X451="执行卖出",IF(Y451="","待补充实际卖出价","卖出记录完整"),"正常")))))</f>
        <v/>
      </c>
      <c r="AC451" s="31">
        <f>IF(A451="","",IF(A451="止损计划",IF(OR(B451="",D451="",E451="",F451="",G451=""),"计划不完整",IF(OR(D451&lt;1,D451&lt;&gt;INT(D451)),"阶段序号无效",IF(COUNTIFS($A$2:$A$501,"止损计划",$B$2:$B$501,B451,$D$2:$D$501,D451)&gt;1,"阶段序号重复",IF(E451&lt;=IFERROR(LOOKUP(2,1/('单次交易'!$A$2:$A$201=B451),'单次交易'!$E$2:$E$201),0),"激活价须高于买入价",IF(F451&lt;N451,"止损价不得低于初始止损",IF(F451&gt;E451,"止损价不得高于激活价",IF(AND(COUNTIFS($A$2:$A$501,"止损计划",$B$2:$B$501,B451,$D$2:$D$501,"&lt;"&amp;D451)&gt;0,OR(E451&lt;=AGGREGATE(14,6,$E$2:$E$501/(($A$2:$A$501="止损计划")*($B$2:$B$501=B451)*($D$2:$D$501&lt;D451)),1),F451&lt;AGGREGATE(14,6,$F$2:$F$501/(($A$2:$A$501="止损计划")*($B$2:$B$501=B451)*($D$2:$D$501&lt;D451)),1))),"阶段价格必须逐级提高","计划有效"))))))),IF(A451="每日跟踪",IF(OR(B451="",H451="",I451="",J451=""),"每日数据不完整",IF(COUNTIFS($A$2:$A$501,"每日跟踪",$B$2:$B$501,B451,$H$2:$H$501,H451)&gt;1,"同一交易日期重复",IF(AND(R451&lt;&gt;"",R451&lt;S451),"人工止损无效：不能下调","跟踪有效"))),"记录类型无效")))</f>
        <v/>
      </c>
    </row>
    <row r="452">
      <c r="A452" s="28" t="n"/>
      <c r="B452" s="28" t="n"/>
      <c r="C452" s="31">
        <f>IF(B452="","",IFERROR(LOOKUP(2,1/(单次交易!$A$2:$A$201=B452),单次交易!$B$2:$B$201),""))</f>
        <v/>
      </c>
      <c r="D452" s="27" t="n"/>
      <c r="E452" s="43" t="n"/>
      <c r="F452" s="43" t="n"/>
      <c r="G452" s="28" t="n"/>
      <c r="H452" s="49" t="n"/>
      <c r="I452" s="43" t="n"/>
      <c r="J452" s="27" t="n"/>
      <c r="K452" s="28" t="n"/>
      <c r="L452" s="28" t="n"/>
      <c r="M452" s="28" t="n"/>
      <c r="N452" s="44">
        <f>IF(B452="","",IFERROR(LOOKUP(2,1/(单次交易!$A$2:$A$201=B452),单次交易!$N$2:$N$201),""))</f>
        <v/>
      </c>
      <c r="O452" s="44">
        <f>IF(A452&lt;&gt;"每日跟踪","",IF(OR(B452="",H452="",I452=""),"",IFERROR(AGGREGATE(14,6,$I$2:$I$501/(($A$2:$A$501="每日跟踪")*($B$2:$B$501=B452)*($H$2:$H$501&lt;=H452)),1),"")))</f>
        <v/>
      </c>
      <c r="P452" s="26">
        <f>IF(A452&lt;&gt;"每日跟踪","",IF(O452="","",IFERROR(AGGREGATE(14,6,$D$2:$D$501/(($A$2:$A$501="止损计划")*($B$2:$B$501=B452)*($E$2:$E$501&lt;=O452)),1),0)))</f>
        <v/>
      </c>
      <c r="Q452" s="44">
        <f>IF(A452&lt;&gt;"每日跟踪","",IF(N452="","",MAX(N452,IFERROR(AGGREGATE(14,6,$F$2:$F$501/(($A$2:$A$501="止损计划")*($B$2:$B$501=B452)*($E$2:$E$501&lt;=O452)),1),0))))</f>
        <v/>
      </c>
      <c r="R452" s="43" t="n"/>
      <c r="S452" s="44">
        <f>IF(A452&lt;&gt;"每日跟踪","",IF(Q452="","",MAX(Q452,IFERROR(AGGREGATE(14,6,$R$2:$R$501/(($A$2:$A$501="每日跟踪")*($B$2:$B$501=B452)*($H$2:$H$501&lt;=H452)),1),0))))</f>
        <v/>
      </c>
      <c r="T452" s="44">
        <f>IF(A452&lt;&gt;"每日跟踪","",IF(O452="","",IF(COUNTIFS($A$2:$A$501,"止损计划",$B$2:$B$501,B452,$E$2:$E$501,"&gt;"&amp;O452)=0,"",AGGREGATE(15,6,$E$2:$E$501/(($A$2:$A$501="止损计划")*($B$2:$B$501=B452)*($E$2:$E$501&gt;O452)),1))))</f>
        <v/>
      </c>
      <c r="U452" s="44">
        <f>IF(OR(A452&lt;&gt;"每日跟踪",T452=""),"",IFERROR(AGGREGATE(14,6,$F$2:$F$501/(($A$2:$A$501="止损计划")*($B$2:$B$501=B452)*($E$2:$E$501=T452)),1),""))</f>
        <v/>
      </c>
      <c r="V452" s="30">
        <f>IF(OR(A452&lt;&gt;"每日跟踪",T452="",I452="",I452&lt;=0),"",T452/I452-1)</f>
        <v/>
      </c>
      <c r="W452" s="31">
        <f>IF(A452&lt;&gt;"每日跟踪","",IF(OR(I452="",S452=""),"",IF(I452&lt;=S452,"触发止损：应全部卖出","继续观察")))</f>
        <v/>
      </c>
      <c r="X452" s="28" t="n"/>
      <c r="Y452" s="43" t="n"/>
      <c r="Z452" s="26">
        <f>IF(X452&lt;&gt;"执行卖出","",IFERROR(LOOKUP(2,1/(单次交易!$A$2:$A$201=B452),单次交易!$AP$2:$AP$201),""))</f>
        <v/>
      </c>
      <c r="AA452" s="43" t="n"/>
      <c r="AB452" s="31">
        <f>IF(A452&lt;&gt;"每日跟踪","",IF(OR(B452="",H452="",I452="",J452="",K452="",L452="",M452=""),"待补充每日记录",IF(W452="触发止损：应全部卖出",IF(X452&lt;&gt;"执行卖出","违规：触发止损但未执行",IF(Y452="","待补充实际卖出价","卖出记录完整")),IF(X452="","待选择卖出动作",IF(X452="执行卖出",IF(Y452="","待补充实际卖出价","卖出记录完整"),"正常")))))</f>
        <v/>
      </c>
      <c r="AC452" s="31">
        <f>IF(A452="","",IF(A452="止损计划",IF(OR(B452="",D452="",E452="",F452="",G452=""),"计划不完整",IF(OR(D452&lt;1,D452&lt;&gt;INT(D452)),"阶段序号无效",IF(COUNTIFS($A$2:$A$501,"止损计划",$B$2:$B$501,B452,$D$2:$D$501,D452)&gt;1,"阶段序号重复",IF(E452&lt;=IFERROR(LOOKUP(2,1/('单次交易'!$A$2:$A$201=B452),'单次交易'!$E$2:$E$201),0),"激活价须高于买入价",IF(F452&lt;N452,"止损价不得低于初始止损",IF(F452&gt;E452,"止损价不得高于激活价",IF(AND(COUNTIFS($A$2:$A$501,"止损计划",$B$2:$B$501,B452,$D$2:$D$501,"&lt;"&amp;D452)&gt;0,OR(E452&lt;=AGGREGATE(14,6,$E$2:$E$501/(($A$2:$A$501="止损计划")*($B$2:$B$501=B452)*($D$2:$D$501&lt;D452)),1),F452&lt;AGGREGATE(14,6,$F$2:$F$501/(($A$2:$A$501="止损计划")*($B$2:$B$501=B452)*($D$2:$D$501&lt;D452)),1))),"阶段价格必须逐级提高","计划有效"))))))),IF(A452="每日跟踪",IF(OR(B452="",H452="",I452="",J452=""),"每日数据不完整",IF(COUNTIFS($A$2:$A$501,"每日跟踪",$B$2:$B$501,B452,$H$2:$H$501,H452)&gt;1,"同一交易日期重复",IF(AND(R452&lt;&gt;"",R452&lt;S452),"人工止损无效：不能下调","跟踪有效"))),"记录类型无效")))</f>
        <v/>
      </c>
    </row>
    <row r="453">
      <c r="A453" s="28" t="n"/>
      <c r="B453" s="28" t="n"/>
      <c r="C453" s="31">
        <f>IF(B453="","",IFERROR(LOOKUP(2,1/(单次交易!$A$2:$A$201=B453),单次交易!$B$2:$B$201),""))</f>
        <v/>
      </c>
      <c r="D453" s="27" t="n"/>
      <c r="E453" s="43" t="n"/>
      <c r="F453" s="43" t="n"/>
      <c r="G453" s="28" t="n"/>
      <c r="H453" s="49" t="n"/>
      <c r="I453" s="43" t="n"/>
      <c r="J453" s="27" t="n"/>
      <c r="K453" s="28" t="n"/>
      <c r="L453" s="28" t="n"/>
      <c r="M453" s="28" t="n"/>
      <c r="N453" s="44">
        <f>IF(B453="","",IFERROR(LOOKUP(2,1/(单次交易!$A$2:$A$201=B453),单次交易!$N$2:$N$201),""))</f>
        <v/>
      </c>
      <c r="O453" s="44">
        <f>IF(A453&lt;&gt;"每日跟踪","",IF(OR(B453="",H453="",I453=""),"",IFERROR(AGGREGATE(14,6,$I$2:$I$501/(($A$2:$A$501="每日跟踪")*($B$2:$B$501=B453)*($H$2:$H$501&lt;=H453)),1),"")))</f>
        <v/>
      </c>
      <c r="P453" s="26">
        <f>IF(A453&lt;&gt;"每日跟踪","",IF(O453="","",IFERROR(AGGREGATE(14,6,$D$2:$D$501/(($A$2:$A$501="止损计划")*($B$2:$B$501=B453)*($E$2:$E$501&lt;=O453)),1),0)))</f>
        <v/>
      </c>
      <c r="Q453" s="44">
        <f>IF(A453&lt;&gt;"每日跟踪","",IF(N453="","",MAX(N453,IFERROR(AGGREGATE(14,6,$F$2:$F$501/(($A$2:$A$501="止损计划")*($B$2:$B$501=B453)*($E$2:$E$501&lt;=O453)),1),0))))</f>
        <v/>
      </c>
      <c r="R453" s="43" t="n"/>
      <c r="S453" s="44">
        <f>IF(A453&lt;&gt;"每日跟踪","",IF(Q453="","",MAX(Q453,IFERROR(AGGREGATE(14,6,$R$2:$R$501/(($A$2:$A$501="每日跟踪")*($B$2:$B$501=B453)*($H$2:$H$501&lt;=H453)),1),0))))</f>
        <v/>
      </c>
      <c r="T453" s="44">
        <f>IF(A453&lt;&gt;"每日跟踪","",IF(O453="","",IF(COUNTIFS($A$2:$A$501,"止损计划",$B$2:$B$501,B453,$E$2:$E$501,"&gt;"&amp;O453)=0,"",AGGREGATE(15,6,$E$2:$E$501/(($A$2:$A$501="止损计划")*($B$2:$B$501=B453)*($E$2:$E$501&gt;O453)),1))))</f>
        <v/>
      </c>
      <c r="U453" s="44">
        <f>IF(OR(A453&lt;&gt;"每日跟踪",T453=""),"",IFERROR(AGGREGATE(14,6,$F$2:$F$501/(($A$2:$A$501="止损计划")*($B$2:$B$501=B453)*($E$2:$E$501=T453)),1),""))</f>
        <v/>
      </c>
      <c r="V453" s="30">
        <f>IF(OR(A453&lt;&gt;"每日跟踪",T453="",I453="",I453&lt;=0),"",T453/I453-1)</f>
        <v/>
      </c>
      <c r="W453" s="31">
        <f>IF(A453&lt;&gt;"每日跟踪","",IF(OR(I453="",S453=""),"",IF(I453&lt;=S453,"触发止损：应全部卖出","继续观察")))</f>
        <v/>
      </c>
      <c r="X453" s="28" t="n"/>
      <c r="Y453" s="43" t="n"/>
      <c r="Z453" s="26">
        <f>IF(X453&lt;&gt;"执行卖出","",IFERROR(LOOKUP(2,1/(单次交易!$A$2:$A$201=B453),单次交易!$AP$2:$AP$201),""))</f>
        <v/>
      </c>
      <c r="AA453" s="43" t="n"/>
      <c r="AB453" s="31">
        <f>IF(A453&lt;&gt;"每日跟踪","",IF(OR(B453="",H453="",I453="",J453="",K453="",L453="",M453=""),"待补充每日记录",IF(W453="触发止损：应全部卖出",IF(X453&lt;&gt;"执行卖出","违规：触发止损但未执行",IF(Y453="","待补充实际卖出价","卖出记录完整")),IF(X453="","待选择卖出动作",IF(X453="执行卖出",IF(Y453="","待补充实际卖出价","卖出记录完整"),"正常")))))</f>
        <v/>
      </c>
      <c r="AC453" s="31">
        <f>IF(A453="","",IF(A453="止损计划",IF(OR(B453="",D453="",E453="",F453="",G453=""),"计划不完整",IF(OR(D453&lt;1,D453&lt;&gt;INT(D453)),"阶段序号无效",IF(COUNTIFS($A$2:$A$501,"止损计划",$B$2:$B$501,B453,$D$2:$D$501,D453)&gt;1,"阶段序号重复",IF(E453&lt;=IFERROR(LOOKUP(2,1/('单次交易'!$A$2:$A$201=B453),'单次交易'!$E$2:$E$201),0),"激活价须高于买入价",IF(F453&lt;N453,"止损价不得低于初始止损",IF(F453&gt;E453,"止损价不得高于激活价",IF(AND(COUNTIFS($A$2:$A$501,"止损计划",$B$2:$B$501,B453,$D$2:$D$501,"&lt;"&amp;D453)&gt;0,OR(E453&lt;=AGGREGATE(14,6,$E$2:$E$501/(($A$2:$A$501="止损计划")*($B$2:$B$501=B453)*($D$2:$D$501&lt;D453)),1),F453&lt;AGGREGATE(14,6,$F$2:$F$501/(($A$2:$A$501="止损计划")*($B$2:$B$501=B453)*($D$2:$D$501&lt;D453)),1))),"阶段价格必须逐级提高","计划有效"))))))),IF(A453="每日跟踪",IF(OR(B453="",H453="",I453="",J453=""),"每日数据不完整",IF(COUNTIFS($A$2:$A$501,"每日跟踪",$B$2:$B$501,B453,$H$2:$H$501,H453)&gt;1,"同一交易日期重复",IF(AND(R453&lt;&gt;"",R453&lt;S453),"人工止损无效：不能下调","跟踪有效"))),"记录类型无效")))</f>
        <v/>
      </c>
    </row>
    <row r="454">
      <c r="A454" s="28" t="n"/>
      <c r="B454" s="28" t="n"/>
      <c r="C454" s="31">
        <f>IF(B454="","",IFERROR(LOOKUP(2,1/(单次交易!$A$2:$A$201=B454),单次交易!$B$2:$B$201),""))</f>
        <v/>
      </c>
      <c r="D454" s="27" t="n"/>
      <c r="E454" s="43" t="n"/>
      <c r="F454" s="43" t="n"/>
      <c r="G454" s="28" t="n"/>
      <c r="H454" s="49" t="n"/>
      <c r="I454" s="43" t="n"/>
      <c r="J454" s="27" t="n"/>
      <c r="K454" s="28" t="n"/>
      <c r="L454" s="28" t="n"/>
      <c r="M454" s="28" t="n"/>
      <c r="N454" s="44">
        <f>IF(B454="","",IFERROR(LOOKUP(2,1/(单次交易!$A$2:$A$201=B454),单次交易!$N$2:$N$201),""))</f>
        <v/>
      </c>
      <c r="O454" s="44">
        <f>IF(A454&lt;&gt;"每日跟踪","",IF(OR(B454="",H454="",I454=""),"",IFERROR(AGGREGATE(14,6,$I$2:$I$501/(($A$2:$A$501="每日跟踪")*($B$2:$B$501=B454)*($H$2:$H$501&lt;=H454)),1),"")))</f>
        <v/>
      </c>
      <c r="P454" s="26">
        <f>IF(A454&lt;&gt;"每日跟踪","",IF(O454="","",IFERROR(AGGREGATE(14,6,$D$2:$D$501/(($A$2:$A$501="止损计划")*($B$2:$B$501=B454)*($E$2:$E$501&lt;=O454)),1),0)))</f>
        <v/>
      </c>
      <c r="Q454" s="44">
        <f>IF(A454&lt;&gt;"每日跟踪","",IF(N454="","",MAX(N454,IFERROR(AGGREGATE(14,6,$F$2:$F$501/(($A$2:$A$501="止损计划")*($B$2:$B$501=B454)*($E$2:$E$501&lt;=O454)),1),0))))</f>
        <v/>
      </c>
      <c r="R454" s="43" t="n"/>
      <c r="S454" s="44">
        <f>IF(A454&lt;&gt;"每日跟踪","",IF(Q454="","",MAX(Q454,IFERROR(AGGREGATE(14,6,$R$2:$R$501/(($A$2:$A$501="每日跟踪")*($B$2:$B$501=B454)*($H$2:$H$501&lt;=H454)),1),0))))</f>
        <v/>
      </c>
      <c r="T454" s="44">
        <f>IF(A454&lt;&gt;"每日跟踪","",IF(O454="","",IF(COUNTIFS($A$2:$A$501,"止损计划",$B$2:$B$501,B454,$E$2:$E$501,"&gt;"&amp;O454)=0,"",AGGREGATE(15,6,$E$2:$E$501/(($A$2:$A$501="止损计划")*($B$2:$B$501=B454)*($E$2:$E$501&gt;O454)),1))))</f>
        <v/>
      </c>
      <c r="U454" s="44">
        <f>IF(OR(A454&lt;&gt;"每日跟踪",T454=""),"",IFERROR(AGGREGATE(14,6,$F$2:$F$501/(($A$2:$A$501="止损计划")*($B$2:$B$501=B454)*($E$2:$E$501=T454)),1),""))</f>
        <v/>
      </c>
      <c r="V454" s="30">
        <f>IF(OR(A454&lt;&gt;"每日跟踪",T454="",I454="",I454&lt;=0),"",T454/I454-1)</f>
        <v/>
      </c>
      <c r="W454" s="31">
        <f>IF(A454&lt;&gt;"每日跟踪","",IF(OR(I454="",S454=""),"",IF(I454&lt;=S454,"触发止损：应全部卖出","继续观察")))</f>
        <v/>
      </c>
      <c r="X454" s="28" t="n"/>
      <c r="Y454" s="43" t="n"/>
      <c r="Z454" s="26">
        <f>IF(X454&lt;&gt;"执行卖出","",IFERROR(LOOKUP(2,1/(单次交易!$A$2:$A$201=B454),单次交易!$AP$2:$AP$201),""))</f>
        <v/>
      </c>
      <c r="AA454" s="43" t="n"/>
      <c r="AB454" s="31">
        <f>IF(A454&lt;&gt;"每日跟踪","",IF(OR(B454="",H454="",I454="",J454="",K454="",L454="",M454=""),"待补充每日记录",IF(W454="触发止损：应全部卖出",IF(X454&lt;&gt;"执行卖出","违规：触发止损但未执行",IF(Y454="","待补充实际卖出价","卖出记录完整")),IF(X454="","待选择卖出动作",IF(X454="执行卖出",IF(Y454="","待补充实际卖出价","卖出记录完整"),"正常")))))</f>
        <v/>
      </c>
      <c r="AC454" s="31">
        <f>IF(A454="","",IF(A454="止损计划",IF(OR(B454="",D454="",E454="",F454="",G454=""),"计划不完整",IF(OR(D454&lt;1,D454&lt;&gt;INT(D454)),"阶段序号无效",IF(COUNTIFS($A$2:$A$501,"止损计划",$B$2:$B$501,B454,$D$2:$D$501,D454)&gt;1,"阶段序号重复",IF(E454&lt;=IFERROR(LOOKUP(2,1/('单次交易'!$A$2:$A$201=B454),'单次交易'!$E$2:$E$201),0),"激活价须高于买入价",IF(F454&lt;N454,"止损价不得低于初始止损",IF(F454&gt;E454,"止损价不得高于激活价",IF(AND(COUNTIFS($A$2:$A$501,"止损计划",$B$2:$B$501,B454,$D$2:$D$501,"&lt;"&amp;D454)&gt;0,OR(E454&lt;=AGGREGATE(14,6,$E$2:$E$501/(($A$2:$A$501="止损计划")*($B$2:$B$501=B454)*($D$2:$D$501&lt;D454)),1),F454&lt;AGGREGATE(14,6,$F$2:$F$501/(($A$2:$A$501="止损计划")*($B$2:$B$501=B454)*($D$2:$D$501&lt;D454)),1))),"阶段价格必须逐级提高","计划有效"))))))),IF(A454="每日跟踪",IF(OR(B454="",H454="",I454="",J454=""),"每日数据不完整",IF(COUNTIFS($A$2:$A$501,"每日跟踪",$B$2:$B$501,B454,$H$2:$H$501,H454)&gt;1,"同一交易日期重复",IF(AND(R454&lt;&gt;"",R454&lt;S454),"人工止损无效：不能下调","跟踪有效"))),"记录类型无效")))</f>
        <v/>
      </c>
    </row>
    <row r="455">
      <c r="A455" s="28" t="n"/>
      <c r="B455" s="28" t="n"/>
      <c r="C455" s="31">
        <f>IF(B455="","",IFERROR(LOOKUP(2,1/(单次交易!$A$2:$A$201=B455),单次交易!$B$2:$B$201),""))</f>
        <v/>
      </c>
      <c r="D455" s="27" t="n"/>
      <c r="E455" s="43" t="n"/>
      <c r="F455" s="43" t="n"/>
      <c r="G455" s="28" t="n"/>
      <c r="H455" s="49" t="n"/>
      <c r="I455" s="43" t="n"/>
      <c r="J455" s="27" t="n"/>
      <c r="K455" s="28" t="n"/>
      <c r="L455" s="28" t="n"/>
      <c r="M455" s="28" t="n"/>
      <c r="N455" s="44">
        <f>IF(B455="","",IFERROR(LOOKUP(2,1/(单次交易!$A$2:$A$201=B455),单次交易!$N$2:$N$201),""))</f>
        <v/>
      </c>
      <c r="O455" s="44">
        <f>IF(A455&lt;&gt;"每日跟踪","",IF(OR(B455="",H455="",I455=""),"",IFERROR(AGGREGATE(14,6,$I$2:$I$501/(($A$2:$A$501="每日跟踪")*($B$2:$B$501=B455)*($H$2:$H$501&lt;=H455)),1),"")))</f>
        <v/>
      </c>
      <c r="P455" s="26">
        <f>IF(A455&lt;&gt;"每日跟踪","",IF(O455="","",IFERROR(AGGREGATE(14,6,$D$2:$D$501/(($A$2:$A$501="止损计划")*($B$2:$B$501=B455)*($E$2:$E$501&lt;=O455)),1),0)))</f>
        <v/>
      </c>
      <c r="Q455" s="44">
        <f>IF(A455&lt;&gt;"每日跟踪","",IF(N455="","",MAX(N455,IFERROR(AGGREGATE(14,6,$F$2:$F$501/(($A$2:$A$501="止损计划")*($B$2:$B$501=B455)*($E$2:$E$501&lt;=O455)),1),0))))</f>
        <v/>
      </c>
      <c r="R455" s="43" t="n"/>
      <c r="S455" s="44">
        <f>IF(A455&lt;&gt;"每日跟踪","",IF(Q455="","",MAX(Q455,IFERROR(AGGREGATE(14,6,$R$2:$R$501/(($A$2:$A$501="每日跟踪")*($B$2:$B$501=B455)*($H$2:$H$501&lt;=H455)),1),0))))</f>
        <v/>
      </c>
      <c r="T455" s="44">
        <f>IF(A455&lt;&gt;"每日跟踪","",IF(O455="","",IF(COUNTIFS($A$2:$A$501,"止损计划",$B$2:$B$501,B455,$E$2:$E$501,"&gt;"&amp;O455)=0,"",AGGREGATE(15,6,$E$2:$E$501/(($A$2:$A$501="止损计划")*($B$2:$B$501=B455)*($E$2:$E$501&gt;O455)),1))))</f>
        <v/>
      </c>
      <c r="U455" s="44">
        <f>IF(OR(A455&lt;&gt;"每日跟踪",T455=""),"",IFERROR(AGGREGATE(14,6,$F$2:$F$501/(($A$2:$A$501="止损计划")*($B$2:$B$501=B455)*($E$2:$E$501=T455)),1),""))</f>
        <v/>
      </c>
      <c r="V455" s="30">
        <f>IF(OR(A455&lt;&gt;"每日跟踪",T455="",I455="",I455&lt;=0),"",T455/I455-1)</f>
        <v/>
      </c>
      <c r="W455" s="31">
        <f>IF(A455&lt;&gt;"每日跟踪","",IF(OR(I455="",S455=""),"",IF(I455&lt;=S455,"触发止损：应全部卖出","继续观察")))</f>
        <v/>
      </c>
      <c r="X455" s="28" t="n"/>
      <c r="Y455" s="43" t="n"/>
      <c r="Z455" s="26">
        <f>IF(X455&lt;&gt;"执行卖出","",IFERROR(LOOKUP(2,1/(单次交易!$A$2:$A$201=B455),单次交易!$AP$2:$AP$201),""))</f>
        <v/>
      </c>
      <c r="AA455" s="43" t="n"/>
      <c r="AB455" s="31">
        <f>IF(A455&lt;&gt;"每日跟踪","",IF(OR(B455="",H455="",I455="",J455="",K455="",L455="",M455=""),"待补充每日记录",IF(W455="触发止损：应全部卖出",IF(X455&lt;&gt;"执行卖出","违规：触发止损但未执行",IF(Y455="","待补充实际卖出价","卖出记录完整")),IF(X455="","待选择卖出动作",IF(X455="执行卖出",IF(Y455="","待补充实际卖出价","卖出记录完整"),"正常")))))</f>
        <v/>
      </c>
      <c r="AC455" s="31">
        <f>IF(A455="","",IF(A455="止损计划",IF(OR(B455="",D455="",E455="",F455="",G455=""),"计划不完整",IF(OR(D455&lt;1,D455&lt;&gt;INT(D455)),"阶段序号无效",IF(COUNTIFS($A$2:$A$501,"止损计划",$B$2:$B$501,B455,$D$2:$D$501,D455)&gt;1,"阶段序号重复",IF(E455&lt;=IFERROR(LOOKUP(2,1/('单次交易'!$A$2:$A$201=B455),'单次交易'!$E$2:$E$201),0),"激活价须高于买入价",IF(F455&lt;N455,"止损价不得低于初始止损",IF(F455&gt;E455,"止损价不得高于激活价",IF(AND(COUNTIFS($A$2:$A$501,"止损计划",$B$2:$B$501,B455,$D$2:$D$501,"&lt;"&amp;D455)&gt;0,OR(E455&lt;=AGGREGATE(14,6,$E$2:$E$501/(($A$2:$A$501="止损计划")*($B$2:$B$501=B455)*($D$2:$D$501&lt;D455)),1),F455&lt;AGGREGATE(14,6,$F$2:$F$501/(($A$2:$A$501="止损计划")*($B$2:$B$501=B455)*($D$2:$D$501&lt;D455)),1))),"阶段价格必须逐级提高","计划有效"))))))),IF(A455="每日跟踪",IF(OR(B455="",H455="",I455="",J455=""),"每日数据不完整",IF(COUNTIFS($A$2:$A$501,"每日跟踪",$B$2:$B$501,B455,$H$2:$H$501,H455)&gt;1,"同一交易日期重复",IF(AND(R455&lt;&gt;"",R455&lt;S455),"人工止损无效：不能下调","跟踪有效"))),"记录类型无效")))</f>
        <v/>
      </c>
    </row>
    <row r="456">
      <c r="A456" s="28" t="n"/>
      <c r="B456" s="28" t="n"/>
      <c r="C456" s="31">
        <f>IF(B456="","",IFERROR(LOOKUP(2,1/(单次交易!$A$2:$A$201=B456),单次交易!$B$2:$B$201),""))</f>
        <v/>
      </c>
      <c r="D456" s="27" t="n"/>
      <c r="E456" s="43" t="n"/>
      <c r="F456" s="43" t="n"/>
      <c r="G456" s="28" t="n"/>
      <c r="H456" s="49" t="n"/>
      <c r="I456" s="43" t="n"/>
      <c r="J456" s="27" t="n"/>
      <c r="K456" s="28" t="n"/>
      <c r="L456" s="28" t="n"/>
      <c r="M456" s="28" t="n"/>
      <c r="N456" s="44">
        <f>IF(B456="","",IFERROR(LOOKUP(2,1/(单次交易!$A$2:$A$201=B456),单次交易!$N$2:$N$201),""))</f>
        <v/>
      </c>
      <c r="O456" s="44">
        <f>IF(A456&lt;&gt;"每日跟踪","",IF(OR(B456="",H456="",I456=""),"",IFERROR(AGGREGATE(14,6,$I$2:$I$501/(($A$2:$A$501="每日跟踪")*($B$2:$B$501=B456)*($H$2:$H$501&lt;=H456)),1),"")))</f>
        <v/>
      </c>
      <c r="P456" s="26">
        <f>IF(A456&lt;&gt;"每日跟踪","",IF(O456="","",IFERROR(AGGREGATE(14,6,$D$2:$D$501/(($A$2:$A$501="止损计划")*($B$2:$B$501=B456)*($E$2:$E$501&lt;=O456)),1),0)))</f>
        <v/>
      </c>
      <c r="Q456" s="44">
        <f>IF(A456&lt;&gt;"每日跟踪","",IF(N456="","",MAX(N456,IFERROR(AGGREGATE(14,6,$F$2:$F$501/(($A$2:$A$501="止损计划")*($B$2:$B$501=B456)*($E$2:$E$501&lt;=O456)),1),0))))</f>
        <v/>
      </c>
      <c r="R456" s="43" t="n"/>
      <c r="S456" s="44">
        <f>IF(A456&lt;&gt;"每日跟踪","",IF(Q456="","",MAX(Q456,IFERROR(AGGREGATE(14,6,$R$2:$R$501/(($A$2:$A$501="每日跟踪")*($B$2:$B$501=B456)*($H$2:$H$501&lt;=H456)),1),0))))</f>
        <v/>
      </c>
      <c r="T456" s="44">
        <f>IF(A456&lt;&gt;"每日跟踪","",IF(O456="","",IF(COUNTIFS($A$2:$A$501,"止损计划",$B$2:$B$501,B456,$E$2:$E$501,"&gt;"&amp;O456)=0,"",AGGREGATE(15,6,$E$2:$E$501/(($A$2:$A$501="止损计划")*($B$2:$B$501=B456)*($E$2:$E$501&gt;O456)),1))))</f>
        <v/>
      </c>
      <c r="U456" s="44">
        <f>IF(OR(A456&lt;&gt;"每日跟踪",T456=""),"",IFERROR(AGGREGATE(14,6,$F$2:$F$501/(($A$2:$A$501="止损计划")*($B$2:$B$501=B456)*($E$2:$E$501=T456)),1),""))</f>
        <v/>
      </c>
      <c r="V456" s="30">
        <f>IF(OR(A456&lt;&gt;"每日跟踪",T456="",I456="",I456&lt;=0),"",T456/I456-1)</f>
        <v/>
      </c>
      <c r="W456" s="31">
        <f>IF(A456&lt;&gt;"每日跟踪","",IF(OR(I456="",S456=""),"",IF(I456&lt;=S456,"触发止损：应全部卖出","继续观察")))</f>
        <v/>
      </c>
      <c r="X456" s="28" t="n"/>
      <c r="Y456" s="43" t="n"/>
      <c r="Z456" s="26">
        <f>IF(X456&lt;&gt;"执行卖出","",IFERROR(LOOKUP(2,1/(单次交易!$A$2:$A$201=B456),单次交易!$AP$2:$AP$201),""))</f>
        <v/>
      </c>
      <c r="AA456" s="43" t="n"/>
      <c r="AB456" s="31">
        <f>IF(A456&lt;&gt;"每日跟踪","",IF(OR(B456="",H456="",I456="",J456="",K456="",L456="",M456=""),"待补充每日记录",IF(W456="触发止损：应全部卖出",IF(X456&lt;&gt;"执行卖出","违规：触发止损但未执行",IF(Y456="","待补充实际卖出价","卖出记录完整")),IF(X456="","待选择卖出动作",IF(X456="执行卖出",IF(Y456="","待补充实际卖出价","卖出记录完整"),"正常")))))</f>
        <v/>
      </c>
      <c r="AC456" s="31">
        <f>IF(A456="","",IF(A456="止损计划",IF(OR(B456="",D456="",E456="",F456="",G456=""),"计划不完整",IF(OR(D456&lt;1,D456&lt;&gt;INT(D456)),"阶段序号无效",IF(COUNTIFS($A$2:$A$501,"止损计划",$B$2:$B$501,B456,$D$2:$D$501,D456)&gt;1,"阶段序号重复",IF(E456&lt;=IFERROR(LOOKUP(2,1/('单次交易'!$A$2:$A$201=B456),'单次交易'!$E$2:$E$201),0),"激活价须高于买入价",IF(F456&lt;N456,"止损价不得低于初始止损",IF(F456&gt;E456,"止损价不得高于激活价",IF(AND(COUNTIFS($A$2:$A$501,"止损计划",$B$2:$B$501,B456,$D$2:$D$501,"&lt;"&amp;D456)&gt;0,OR(E456&lt;=AGGREGATE(14,6,$E$2:$E$501/(($A$2:$A$501="止损计划")*($B$2:$B$501=B456)*($D$2:$D$501&lt;D456)),1),F456&lt;AGGREGATE(14,6,$F$2:$F$501/(($A$2:$A$501="止损计划")*($B$2:$B$501=B456)*($D$2:$D$501&lt;D456)),1))),"阶段价格必须逐级提高","计划有效"))))))),IF(A456="每日跟踪",IF(OR(B456="",H456="",I456="",J456=""),"每日数据不完整",IF(COUNTIFS($A$2:$A$501,"每日跟踪",$B$2:$B$501,B456,$H$2:$H$501,H456)&gt;1,"同一交易日期重复",IF(AND(R456&lt;&gt;"",R456&lt;S456),"人工止损无效：不能下调","跟踪有效"))),"记录类型无效")))</f>
        <v/>
      </c>
    </row>
    <row r="457">
      <c r="A457" s="28" t="n"/>
      <c r="B457" s="28" t="n"/>
      <c r="C457" s="31">
        <f>IF(B457="","",IFERROR(LOOKUP(2,1/(单次交易!$A$2:$A$201=B457),单次交易!$B$2:$B$201),""))</f>
        <v/>
      </c>
      <c r="D457" s="27" t="n"/>
      <c r="E457" s="43" t="n"/>
      <c r="F457" s="43" t="n"/>
      <c r="G457" s="28" t="n"/>
      <c r="H457" s="49" t="n"/>
      <c r="I457" s="43" t="n"/>
      <c r="J457" s="27" t="n"/>
      <c r="K457" s="28" t="n"/>
      <c r="L457" s="28" t="n"/>
      <c r="M457" s="28" t="n"/>
      <c r="N457" s="44">
        <f>IF(B457="","",IFERROR(LOOKUP(2,1/(单次交易!$A$2:$A$201=B457),单次交易!$N$2:$N$201),""))</f>
        <v/>
      </c>
      <c r="O457" s="44">
        <f>IF(A457&lt;&gt;"每日跟踪","",IF(OR(B457="",H457="",I457=""),"",IFERROR(AGGREGATE(14,6,$I$2:$I$501/(($A$2:$A$501="每日跟踪")*($B$2:$B$501=B457)*($H$2:$H$501&lt;=H457)),1),"")))</f>
        <v/>
      </c>
      <c r="P457" s="26">
        <f>IF(A457&lt;&gt;"每日跟踪","",IF(O457="","",IFERROR(AGGREGATE(14,6,$D$2:$D$501/(($A$2:$A$501="止损计划")*($B$2:$B$501=B457)*($E$2:$E$501&lt;=O457)),1),0)))</f>
        <v/>
      </c>
      <c r="Q457" s="44">
        <f>IF(A457&lt;&gt;"每日跟踪","",IF(N457="","",MAX(N457,IFERROR(AGGREGATE(14,6,$F$2:$F$501/(($A$2:$A$501="止损计划")*($B$2:$B$501=B457)*($E$2:$E$501&lt;=O457)),1),0))))</f>
        <v/>
      </c>
      <c r="R457" s="43" t="n"/>
      <c r="S457" s="44">
        <f>IF(A457&lt;&gt;"每日跟踪","",IF(Q457="","",MAX(Q457,IFERROR(AGGREGATE(14,6,$R$2:$R$501/(($A$2:$A$501="每日跟踪")*($B$2:$B$501=B457)*($H$2:$H$501&lt;=H457)),1),0))))</f>
        <v/>
      </c>
      <c r="T457" s="44">
        <f>IF(A457&lt;&gt;"每日跟踪","",IF(O457="","",IF(COUNTIFS($A$2:$A$501,"止损计划",$B$2:$B$501,B457,$E$2:$E$501,"&gt;"&amp;O457)=0,"",AGGREGATE(15,6,$E$2:$E$501/(($A$2:$A$501="止损计划")*($B$2:$B$501=B457)*($E$2:$E$501&gt;O457)),1))))</f>
        <v/>
      </c>
      <c r="U457" s="44">
        <f>IF(OR(A457&lt;&gt;"每日跟踪",T457=""),"",IFERROR(AGGREGATE(14,6,$F$2:$F$501/(($A$2:$A$501="止损计划")*($B$2:$B$501=B457)*($E$2:$E$501=T457)),1),""))</f>
        <v/>
      </c>
      <c r="V457" s="30">
        <f>IF(OR(A457&lt;&gt;"每日跟踪",T457="",I457="",I457&lt;=0),"",T457/I457-1)</f>
        <v/>
      </c>
      <c r="W457" s="31">
        <f>IF(A457&lt;&gt;"每日跟踪","",IF(OR(I457="",S457=""),"",IF(I457&lt;=S457,"触发止损：应全部卖出","继续观察")))</f>
        <v/>
      </c>
      <c r="X457" s="28" t="n"/>
      <c r="Y457" s="43" t="n"/>
      <c r="Z457" s="26">
        <f>IF(X457&lt;&gt;"执行卖出","",IFERROR(LOOKUP(2,1/(单次交易!$A$2:$A$201=B457),单次交易!$AP$2:$AP$201),""))</f>
        <v/>
      </c>
      <c r="AA457" s="43" t="n"/>
      <c r="AB457" s="31">
        <f>IF(A457&lt;&gt;"每日跟踪","",IF(OR(B457="",H457="",I457="",J457="",K457="",L457="",M457=""),"待补充每日记录",IF(W457="触发止损：应全部卖出",IF(X457&lt;&gt;"执行卖出","违规：触发止损但未执行",IF(Y457="","待补充实际卖出价","卖出记录完整")),IF(X457="","待选择卖出动作",IF(X457="执行卖出",IF(Y457="","待补充实际卖出价","卖出记录完整"),"正常")))))</f>
        <v/>
      </c>
      <c r="AC457" s="31">
        <f>IF(A457="","",IF(A457="止损计划",IF(OR(B457="",D457="",E457="",F457="",G457=""),"计划不完整",IF(OR(D457&lt;1,D457&lt;&gt;INT(D457)),"阶段序号无效",IF(COUNTIFS($A$2:$A$501,"止损计划",$B$2:$B$501,B457,$D$2:$D$501,D457)&gt;1,"阶段序号重复",IF(E457&lt;=IFERROR(LOOKUP(2,1/('单次交易'!$A$2:$A$201=B457),'单次交易'!$E$2:$E$201),0),"激活价须高于买入价",IF(F457&lt;N457,"止损价不得低于初始止损",IF(F457&gt;E457,"止损价不得高于激活价",IF(AND(COUNTIFS($A$2:$A$501,"止损计划",$B$2:$B$501,B457,$D$2:$D$501,"&lt;"&amp;D457)&gt;0,OR(E457&lt;=AGGREGATE(14,6,$E$2:$E$501/(($A$2:$A$501="止损计划")*($B$2:$B$501=B457)*($D$2:$D$501&lt;D457)),1),F457&lt;AGGREGATE(14,6,$F$2:$F$501/(($A$2:$A$501="止损计划")*($B$2:$B$501=B457)*($D$2:$D$501&lt;D457)),1))),"阶段价格必须逐级提高","计划有效"))))))),IF(A457="每日跟踪",IF(OR(B457="",H457="",I457="",J457=""),"每日数据不完整",IF(COUNTIFS($A$2:$A$501,"每日跟踪",$B$2:$B$501,B457,$H$2:$H$501,H457)&gt;1,"同一交易日期重复",IF(AND(R457&lt;&gt;"",R457&lt;S457),"人工止损无效：不能下调","跟踪有效"))),"记录类型无效")))</f>
        <v/>
      </c>
    </row>
    <row r="458">
      <c r="A458" s="28" t="n"/>
      <c r="B458" s="28" t="n"/>
      <c r="C458" s="31">
        <f>IF(B458="","",IFERROR(LOOKUP(2,1/(单次交易!$A$2:$A$201=B458),单次交易!$B$2:$B$201),""))</f>
        <v/>
      </c>
      <c r="D458" s="27" t="n"/>
      <c r="E458" s="43" t="n"/>
      <c r="F458" s="43" t="n"/>
      <c r="G458" s="28" t="n"/>
      <c r="H458" s="49" t="n"/>
      <c r="I458" s="43" t="n"/>
      <c r="J458" s="27" t="n"/>
      <c r="K458" s="28" t="n"/>
      <c r="L458" s="28" t="n"/>
      <c r="M458" s="28" t="n"/>
      <c r="N458" s="44">
        <f>IF(B458="","",IFERROR(LOOKUP(2,1/(单次交易!$A$2:$A$201=B458),单次交易!$N$2:$N$201),""))</f>
        <v/>
      </c>
      <c r="O458" s="44">
        <f>IF(A458&lt;&gt;"每日跟踪","",IF(OR(B458="",H458="",I458=""),"",IFERROR(AGGREGATE(14,6,$I$2:$I$501/(($A$2:$A$501="每日跟踪")*($B$2:$B$501=B458)*($H$2:$H$501&lt;=H458)),1),"")))</f>
        <v/>
      </c>
      <c r="P458" s="26">
        <f>IF(A458&lt;&gt;"每日跟踪","",IF(O458="","",IFERROR(AGGREGATE(14,6,$D$2:$D$501/(($A$2:$A$501="止损计划")*($B$2:$B$501=B458)*($E$2:$E$501&lt;=O458)),1),0)))</f>
        <v/>
      </c>
      <c r="Q458" s="44">
        <f>IF(A458&lt;&gt;"每日跟踪","",IF(N458="","",MAX(N458,IFERROR(AGGREGATE(14,6,$F$2:$F$501/(($A$2:$A$501="止损计划")*($B$2:$B$501=B458)*($E$2:$E$501&lt;=O458)),1),0))))</f>
        <v/>
      </c>
      <c r="R458" s="43" t="n"/>
      <c r="S458" s="44">
        <f>IF(A458&lt;&gt;"每日跟踪","",IF(Q458="","",MAX(Q458,IFERROR(AGGREGATE(14,6,$R$2:$R$501/(($A$2:$A$501="每日跟踪")*($B$2:$B$501=B458)*($H$2:$H$501&lt;=H458)),1),0))))</f>
        <v/>
      </c>
      <c r="T458" s="44">
        <f>IF(A458&lt;&gt;"每日跟踪","",IF(O458="","",IF(COUNTIFS($A$2:$A$501,"止损计划",$B$2:$B$501,B458,$E$2:$E$501,"&gt;"&amp;O458)=0,"",AGGREGATE(15,6,$E$2:$E$501/(($A$2:$A$501="止损计划")*($B$2:$B$501=B458)*($E$2:$E$501&gt;O458)),1))))</f>
        <v/>
      </c>
      <c r="U458" s="44">
        <f>IF(OR(A458&lt;&gt;"每日跟踪",T458=""),"",IFERROR(AGGREGATE(14,6,$F$2:$F$501/(($A$2:$A$501="止损计划")*($B$2:$B$501=B458)*($E$2:$E$501=T458)),1),""))</f>
        <v/>
      </c>
      <c r="V458" s="30">
        <f>IF(OR(A458&lt;&gt;"每日跟踪",T458="",I458="",I458&lt;=0),"",T458/I458-1)</f>
        <v/>
      </c>
      <c r="W458" s="31">
        <f>IF(A458&lt;&gt;"每日跟踪","",IF(OR(I458="",S458=""),"",IF(I458&lt;=S458,"触发止损：应全部卖出","继续观察")))</f>
        <v/>
      </c>
      <c r="X458" s="28" t="n"/>
      <c r="Y458" s="43" t="n"/>
      <c r="Z458" s="26">
        <f>IF(X458&lt;&gt;"执行卖出","",IFERROR(LOOKUP(2,1/(单次交易!$A$2:$A$201=B458),单次交易!$AP$2:$AP$201),""))</f>
        <v/>
      </c>
      <c r="AA458" s="43" t="n"/>
      <c r="AB458" s="31">
        <f>IF(A458&lt;&gt;"每日跟踪","",IF(OR(B458="",H458="",I458="",J458="",K458="",L458="",M458=""),"待补充每日记录",IF(W458="触发止损：应全部卖出",IF(X458&lt;&gt;"执行卖出","违规：触发止损但未执行",IF(Y458="","待补充实际卖出价","卖出记录完整")),IF(X458="","待选择卖出动作",IF(X458="执行卖出",IF(Y458="","待补充实际卖出价","卖出记录完整"),"正常")))))</f>
        <v/>
      </c>
      <c r="AC458" s="31">
        <f>IF(A458="","",IF(A458="止损计划",IF(OR(B458="",D458="",E458="",F458="",G458=""),"计划不完整",IF(OR(D458&lt;1,D458&lt;&gt;INT(D458)),"阶段序号无效",IF(COUNTIFS($A$2:$A$501,"止损计划",$B$2:$B$501,B458,$D$2:$D$501,D458)&gt;1,"阶段序号重复",IF(E458&lt;=IFERROR(LOOKUP(2,1/('单次交易'!$A$2:$A$201=B458),'单次交易'!$E$2:$E$201),0),"激活价须高于买入价",IF(F458&lt;N458,"止损价不得低于初始止损",IF(F458&gt;E458,"止损价不得高于激活价",IF(AND(COUNTIFS($A$2:$A$501,"止损计划",$B$2:$B$501,B458,$D$2:$D$501,"&lt;"&amp;D458)&gt;0,OR(E458&lt;=AGGREGATE(14,6,$E$2:$E$501/(($A$2:$A$501="止损计划")*($B$2:$B$501=B458)*($D$2:$D$501&lt;D458)),1),F458&lt;AGGREGATE(14,6,$F$2:$F$501/(($A$2:$A$501="止损计划")*($B$2:$B$501=B458)*($D$2:$D$501&lt;D458)),1))),"阶段价格必须逐级提高","计划有效"))))))),IF(A458="每日跟踪",IF(OR(B458="",H458="",I458="",J458=""),"每日数据不完整",IF(COUNTIFS($A$2:$A$501,"每日跟踪",$B$2:$B$501,B458,$H$2:$H$501,H458)&gt;1,"同一交易日期重复",IF(AND(R458&lt;&gt;"",R458&lt;S458),"人工止损无效：不能下调","跟踪有效"))),"记录类型无效")))</f>
        <v/>
      </c>
    </row>
    <row r="459">
      <c r="A459" s="28" t="n"/>
      <c r="B459" s="28" t="n"/>
      <c r="C459" s="31">
        <f>IF(B459="","",IFERROR(LOOKUP(2,1/(单次交易!$A$2:$A$201=B459),单次交易!$B$2:$B$201),""))</f>
        <v/>
      </c>
      <c r="D459" s="27" t="n"/>
      <c r="E459" s="43" t="n"/>
      <c r="F459" s="43" t="n"/>
      <c r="G459" s="28" t="n"/>
      <c r="H459" s="49" t="n"/>
      <c r="I459" s="43" t="n"/>
      <c r="J459" s="27" t="n"/>
      <c r="K459" s="28" t="n"/>
      <c r="L459" s="28" t="n"/>
      <c r="M459" s="28" t="n"/>
      <c r="N459" s="44">
        <f>IF(B459="","",IFERROR(LOOKUP(2,1/(单次交易!$A$2:$A$201=B459),单次交易!$N$2:$N$201),""))</f>
        <v/>
      </c>
      <c r="O459" s="44">
        <f>IF(A459&lt;&gt;"每日跟踪","",IF(OR(B459="",H459="",I459=""),"",IFERROR(AGGREGATE(14,6,$I$2:$I$501/(($A$2:$A$501="每日跟踪")*($B$2:$B$501=B459)*($H$2:$H$501&lt;=H459)),1),"")))</f>
        <v/>
      </c>
      <c r="P459" s="26">
        <f>IF(A459&lt;&gt;"每日跟踪","",IF(O459="","",IFERROR(AGGREGATE(14,6,$D$2:$D$501/(($A$2:$A$501="止损计划")*($B$2:$B$501=B459)*($E$2:$E$501&lt;=O459)),1),0)))</f>
        <v/>
      </c>
      <c r="Q459" s="44">
        <f>IF(A459&lt;&gt;"每日跟踪","",IF(N459="","",MAX(N459,IFERROR(AGGREGATE(14,6,$F$2:$F$501/(($A$2:$A$501="止损计划")*($B$2:$B$501=B459)*($E$2:$E$501&lt;=O459)),1),0))))</f>
        <v/>
      </c>
      <c r="R459" s="43" t="n"/>
      <c r="S459" s="44">
        <f>IF(A459&lt;&gt;"每日跟踪","",IF(Q459="","",MAX(Q459,IFERROR(AGGREGATE(14,6,$R$2:$R$501/(($A$2:$A$501="每日跟踪")*($B$2:$B$501=B459)*($H$2:$H$501&lt;=H459)),1),0))))</f>
        <v/>
      </c>
      <c r="T459" s="44">
        <f>IF(A459&lt;&gt;"每日跟踪","",IF(O459="","",IF(COUNTIFS($A$2:$A$501,"止损计划",$B$2:$B$501,B459,$E$2:$E$501,"&gt;"&amp;O459)=0,"",AGGREGATE(15,6,$E$2:$E$501/(($A$2:$A$501="止损计划")*($B$2:$B$501=B459)*($E$2:$E$501&gt;O459)),1))))</f>
        <v/>
      </c>
      <c r="U459" s="44">
        <f>IF(OR(A459&lt;&gt;"每日跟踪",T459=""),"",IFERROR(AGGREGATE(14,6,$F$2:$F$501/(($A$2:$A$501="止损计划")*($B$2:$B$501=B459)*($E$2:$E$501=T459)),1),""))</f>
        <v/>
      </c>
      <c r="V459" s="30">
        <f>IF(OR(A459&lt;&gt;"每日跟踪",T459="",I459="",I459&lt;=0),"",T459/I459-1)</f>
        <v/>
      </c>
      <c r="W459" s="31">
        <f>IF(A459&lt;&gt;"每日跟踪","",IF(OR(I459="",S459=""),"",IF(I459&lt;=S459,"触发止损：应全部卖出","继续观察")))</f>
        <v/>
      </c>
      <c r="X459" s="28" t="n"/>
      <c r="Y459" s="43" t="n"/>
      <c r="Z459" s="26">
        <f>IF(X459&lt;&gt;"执行卖出","",IFERROR(LOOKUP(2,1/(单次交易!$A$2:$A$201=B459),单次交易!$AP$2:$AP$201),""))</f>
        <v/>
      </c>
      <c r="AA459" s="43" t="n"/>
      <c r="AB459" s="31">
        <f>IF(A459&lt;&gt;"每日跟踪","",IF(OR(B459="",H459="",I459="",J459="",K459="",L459="",M459=""),"待补充每日记录",IF(W459="触发止损：应全部卖出",IF(X459&lt;&gt;"执行卖出","违规：触发止损但未执行",IF(Y459="","待补充实际卖出价","卖出记录完整")),IF(X459="","待选择卖出动作",IF(X459="执行卖出",IF(Y459="","待补充实际卖出价","卖出记录完整"),"正常")))))</f>
        <v/>
      </c>
      <c r="AC459" s="31">
        <f>IF(A459="","",IF(A459="止损计划",IF(OR(B459="",D459="",E459="",F459="",G459=""),"计划不完整",IF(OR(D459&lt;1,D459&lt;&gt;INT(D459)),"阶段序号无效",IF(COUNTIFS($A$2:$A$501,"止损计划",$B$2:$B$501,B459,$D$2:$D$501,D459)&gt;1,"阶段序号重复",IF(E459&lt;=IFERROR(LOOKUP(2,1/('单次交易'!$A$2:$A$201=B459),'单次交易'!$E$2:$E$201),0),"激活价须高于买入价",IF(F459&lt;N459,"止损价不得低于初始止损",IF(F459&gt;E459,"止损价不得高于激活价",IF(AND(COUNTIFS($A$2:$A$501,"止损计划",$B$2:$B$501,B459,$D$2:$D$501,"&lt;"&amp;D459)&gt;0,OR(E459&lt;=AGGREGATE(14,6,$E$2:$E$501/(($A$2:$A$501="止损计划")*($B$2:$B$501=B459)*($D$2:$D$501&lt;D459)),1),F459&lt;AGGREGATE(14,6,$F$2:$F$501/(($A$2:$A$501="止损计划")*($B$2:$B$501=B459)*($D$2:$D$501&lt;D459)),1))),"阶段价格必须逐级提高","计划有效"))))))),IF(A459="每日跟踪",IF(OR(B459="",H459="",I459="",J459=""),"每日数据不完整",IF(COUNTIFS($A$2:$A$501,"每日跟踪",$B$2:$B$501,B459,$H$2:$H$501,H459)&gt;1,"同一交易日期重复",IF(AND(R459&lt;&gt;"",R459&lt;S459),"人工止损无效：不能下调","跟踪有效"))),"记录类型无效")))</f>
        <v/>
      </c>
    </row>
    <row r="460">
      <c r="A460" s="28" t="n"/>
      <c r="B460" s="28" t="n"/>
      <c r="C460" s="31">
        <f>IF(B460="","",IFERROR(LOOKUP(2,1/(单次交易!$A$2:$A$201=B460),单次交易!$B$2:$B$201),""))</f>
        <v/>
      </c>
      <c r="D460" s="27" t="n"/>
      <c r="E460" s="43" t="n"/>
      <c r="F460" s="43" t="n"/>
      <c r="G460" s="28" t="n"/>
      <c r="H460" s="49" t="n"/>
      <c r="I460" s="43" t="n"/>
      <c r="J460" s="27" t="n"/>
      <c r="K460" s="28" t="n"/>
      <c r="L460" s="28" t="n"/>
      <c r="M460" s="28" t="n"/>
      <c r="N460" s="44">
        <f>IF(B460="","",IFERROR(LOOKUP(2,1/(单次交易!$A$2:$A$201=B460),单次交易!$N$2:$N$201),""))</f>
        <v/>
      </c>
      <c r="O460" s="44">
        <f>IF(A460&lt;&gt;"每日跟踪","",IF(OR(B460="",H460="",I460=""),"",IFERROR(AGGREGATE(14,6,$I$2:$I$501/(($A$2:$A$501="每日跟踪")*($B$2:$B$501=B460)*($H$2:$H$501&lt;=H460)),1),"")))</f>
        <v/>
      </c>
      <c r="P460" s="26">
        <f>IF(A460&lt;&gt;"每日跟踪","",IF(O460="","",IFERROR(AGGREGATE(14,6,$D$2:$D$501/(($A$2:$A$501="止损计划")*($B$2:$B$501=B460)*($E$2:$E$501&lt;=O460)),1),0)))</f>
        <v/>
      </c>
      <c r="Q460" s="44">
        <f>IF(A460&lt;&gt;"每日跟踪","",IF(N460="","",MAX(N460,IFERROR(AGGREGATE(14,6,$F$2:$F$501/(($A$2:$A$501="止损计划")*($B$2:$B$501=B460)*($E$2:$E$501&lt;=O460)),1),0))))</f>
        <v/>
      </c>
      <c r="R460" s="43" t="n"/>
      <c r="S460" s="44">
        <f>IF(A460&lt;&gt;"每日跟踪","",IF(Q460="","",MAX(Q460,IFERROR(AGGREGATE(14,6,$R$2:$R$501/(($A$2:$A$501="每日跟踪")*($B$2:$B$501=B460)*($H$2:$H$501&lt;=H460)),1),0))))</f>
        <v/>
      </c>
      <c r="T460" s="44">
        <f>IF(A460&lt;&gt;"每日跟踪","",IF(O460="","",IF(COUNTIFS($A$2:$A$501,"止损计划",$B$2:$B$501,B460,$E$2:$E$501,"&gt;"&amp;O460)=0,"",AGGREGATE(15,6,$E$2:$E$501/(($A$2:$A$501="止损计划")*($B$2:$B$501=B460)*($E$2:$E$501&gt;O460)),1))))</f>
        <v/>
      </c>
      <c r="U460" s="44">
        <f>IF(OR(A460&lt;&gt;"每日跟踪",T460=""),"",IFERROR(AGGREGATE(14,6,$F$2:$F$501/(($A$2:$A$501="止损计划")*($B$2:$B$501=B460)*($E$2:$E$501=T460)),1),""))</f>
        <v/>
      </c>
      <c r="V460" s="30">
        <f>IF(OR(A460&lt;&gt;"每日跟踪",T460="",I460="",I460&lt;=0),"",T460/I460-1)</f>
        <v/>
      </c>
      <c r="W460" s="31">
        <f>IF(A460&lt;&gt;"每日跟踪","",IF(OR(I460="",S460=""),"",IF(I460&lt;=S460,"触发止损：应全部卖出","继续观察")))</f>
        <v/>
      </c>
      <c r="X460" s="28" t="n"/>
      <c r="Y460" s="43" t="n"/>
      <c r="Z460" s="26">
        <f>IF(X460&lt;&gt;"执行卖出","",IFERROR(LOOKUP(2,1/(单次交易!$A$2:$A$201=B460),单次交易!$AP$2:$AP$201),""))</f>
        <v/>
      </c>
      <c r="AA460" s="43" t="n"/>
      <c r="AB460" s="31">
        <f>IF(A460&lt;&gt;"每日跟踪","",IF(OR(B460="",H460="",I460="",J460="",K460="",L460="",M460=""),"待补充每日记录",IF(W460="触发止损：应全部卖出",IF(X460&lt;&gt;"执行卖出","违规：触发止损但未执行",IF(Y460="","待补充实际卖出价","卖出记录完整")),IF(X460="","待选择卖出动作",IF(X460="执行卖出",IF(Y460="","待补充实际卖出价","卖出记录完整"),"正常")))))</f>
        <v/>
      </c>
      <c r="AC460" s="31">
        <f>IF(A460="","",IF(A460="止损计划",IF(OR(B460="",D460="",E460="",F460="",G460=""),"计划不完整",IF(OR(D460&lt;1,D460&lt;&gt;INT(D460)),"阶段序号无效",IF(COUNTIFS($A$2:$A$501,"止损计划",$B$2:$B$501,B460,$D$2:$D$501,D460)&gt;1,"阶段序号重复",IF(E460&lt;=IFERROR(LOOKUP(2,1/('单次交易'!$A$2:$A$201=B460),'单次交易'!$E$2:$E$201),0),"激活价须高于买入价",IF(F460&lt;N460,"止损价不得低于初始止损",IF(F460&gt;E460,"止损价不得高于激活价",IF(AND(COUNTIFS($A$2:$A$501,"止损计划",$B$2:$B$501,B460,$D$2:$D$501,"&lt;"&amp;D460)&gt;0,OR(E460&lt;=AGGREGATE(14,6,$E$2:$E$501/(($A$2:$A$501="止损计划")*($B$2:$B$501=B460)*($D$2:$D$501&lt;D460)),1),F460&lt;AGGREGATE(14,6,$F$2:$F$501/(($A$2:$A$501="止损计划")*($B$2:$B$501=B460)*($D$2:$D$501&lt;D460)),1))),"阶段价格必须逐级提高","计划有效"))))))),IF(A460="每日跟踪",IF(OR(B460="",H460="",I460="",J460=""),"每日数据不完整",IF(COUNTIFS($A$2:$A$501,"每日跟踪",$B$2:$B$501,B460,$H$2:$H$501,H460)&gt;1,"同一交易日期重复",IF(AND(R460&lt;&gt;"",R460&lt;S460),"人工止损无效：不能下调","跟踪有效"))),"记录类型无效")))</f>
        <v/>
      </c>
    </row>
    <row r="461">
      <c r="A461" s="28" t="n"/>
      <c r="B461" s="28" t="n"/>
      <c r="C461" s="31">
        <f>IF(B461="","",IFERROR(LOOKUP(2,1/(单次交易!$A$2:$A$201=B461),单次交易!$B$2:$B$201),""))</f>
        <v/>
      </c>
      <c r="D461" s="27" t="n"/>
      <c r="E461" s="43" t="n"/>
      <c r="F461" s="43" t="n"/>
      <c r="G461" s="28" t="n"/>
      <c r="H461" s="49" t="n"/>
      <c r="I461" s="43" t="n"/>
      <c r="J461" s="27" t="n"/>
      <c r="K461" s="28" t="n"/>
      <c r="L461" s="28" t="n"/>
      <c r="M461" s="28" t="n"/>
      <c r="N461" s="44">
        <f>IF(B461="","",IFERROR(LOOKUP(2,1/(单次交易!$A$2:$A$201=B461),单次交易!$N$2:$N$201),""))</f>
        <v/>
      </c>
      <c r="O461" s="44">
        <f>IF(A461&lt;&gt;"每日跟踪","",IF(OR(B461="",H461="",I461=""),"",IFERROR(AGGREGATE(14,6,$I$2:$I$501/(($A$2:$A$501="每日跟踪")*($B$2:$B$501=B461)*($H$2:$H$501&lt;=H461)),1),"")))</f>
        <v/>
      </c>
      <c r="P461" s="26">
        <f>IF(A461&lt;&gt;"每日跟踪","",IF(O461="","",IFERROR(AGGREGATE(14,6,$D$2:$D$501/(($A$2:$A$501="止损计划")*($B$2:$B$501=B461)*($E$2:$E$501&lt;=O461)),1),0)))</f>
        <v/>
      </c>
      <c r="Q461" s="44">
        <f>IF(A461&lt;&gt;"每日跟踪","",IF(N461="","",MAX(N461,IFERROR(AGGREGATE(14,6,$F$2:$F$501/(($A$2:$A$501="止损计划")*($B$2:$B$501=B461)*($E$2:$E$501&lt;=O461)),1),0))))</f>
        <v/>
      </c>
      <c r="R461" s="43" t="n"/>
      <c r="S461" s="44">
        <f>IF(A461&lt;&gt;"每日跟踪","",IF(Q461="","",MAX(Q461,IFERROR(AGGREGATE(14,6,$R$2:$R$501/(($A$2:$A$501="每日跟踪")*($B$2:$B$501=B461)*($H$2:$H$501&lt;=H461)),1),0))))</f>
        <v/>
      </c>
      <c r="T461" s="44">
        <f>IF(A461&lt;&gt;"每日跟踪","",IF(O461="","",IF(COUNTIFS($A$2:$A$501,"止损计划",$B$2:$B$501,B461,$E$2:$E$501,"&gt;"&amp;O461)=0,"",AGGREGATE(15,6,$E$2:$E$501/(($A$2:$A$501="止损计划")*($B$2:$B$501=B461)*($E$2:$E$501&gt;O461)),1))))</f>
        <v/>
      </c>
      <c r="U461" s="44">
        <f>IF(OR(A461&lt;&gt;"每日跟踪",T461=""),"",IFERROR(AGGREGATE(14,6,$F$2:$F$501/(($A$2:$A$501="止损计划")*($B$2:$B$501=B461)*($E$2:$E$501=T461)),1),""))</f>
        <v/>
      </c>
      <c r="V461" s="30">
        <f>IF(OR(A461&lt;&gt;"每日跟踪",T461="",I461="",I461&lt;=0),"",T461/I461-1)</f>
        <v/>
      </c>
      <c r="W461" s="31">
        <f>IF(A461&lt;&gt;"每日跟踪","",IF(OR(I461="",S461=""),"",IF(I461&lt;=S461,"触发止损：应全部卖出","继续观察")))</f>
        <v/>
      </c>
      <c r="X461" s="28" t="n"/>
      <c r="Y461" s="43" t="n"/>
      <c r="Z461" s="26">
        <f>IF(X461&lt;&gt;"执行卖出","",IFERROR(LOOKUP(2,1/(单次交易!$A$2:$A$201=B461),单次交易!$AP$2:$AP$201),""))</f>
        <v/>
      </c>
      <c r="AA461" s="43" t="n"/>
      <c r="AB461" s="31">
        <f>IF(A461&lt;&gt;"每日跟踪","",IF(OR(B461="",H461="",I461="",J461="",K461="",L461="",M461=""),"待补充每日记录",IF(W461="触发止损：应全部卖出",IF(X461&lt;&gt;"执行卖出","违规：触发止损但未执行",IF(Y461="","待补充实际卖出价","卖出记录完整")),IF(X461="","待选择卖出动作",IF(X461="执行卖出",IF(Y461="","待补充实际卖出价","卖出记录完整"),"正常")))))</f>
        <v/>
      </c>
      <c r="AC461" s="31">
        <f>IF(A461="","",IF(A461="止损计划",IF(OR(B461="",D461="",E461="",F461="",G461=""),"计划不完整",IF(OR(D461&lt;1,D461&lt;&gt;INT(D461)),"阶段序号无效",IF(COUNTIFS($A$2:$A$501,"止损计划",$B$2:$B$501,B461,$D$2:$D$501,D461)&gt;1,"阶段序号重复",IF(E461&lt;=IFERROR(LOOKUP(2,1/('单次交易'!$A$2:$A$201=B461),'单次交易'!$E$2:$E$201),0),"激活价须高于买入价",IF(F461&lt;N461,"止损价不得低于初始止损",IF(F461&gt;E461,"止损价不得高于激活价",IF(AND(COUNTIFS($A$2:$A$501,"止损计划",$B$2:$B$501,B461,$D$2:$D$501,"&lt;"&amp;D461)&gt;0,OR(E461&lt;=AGGREGATE(14,6,$E$2:$E$501/(($A$2:$A$501="止损计划")*($B$2:$B$501=B461)*($D$2:$D$501&lt;D461)),1),F461&lt;AGGREGATE(14,6,$F$2:$F$501/(($A$2:$A$501="止损计划")*($B$2:$B$501=B461)*($D$2:$D$501&lt;D461)),1))),"阶段价格必须逐级提高","计划有效"))))))),IF(A461="每日跟踪",IF(OR(B461="",H461="",I461="",J461=""),"每日数据不完整",IF(COUNTIFS($A$2:$A$501,"每日跟踪",$B$2:$B$501,B461,$H$2:$H$501,H461)&gt;1,"同一交易日期重复",IF(AND(R461&lt;&gt;"",R461&lt;S461),"人工止损无效：不能下调","跟踪有效"))),"记录类型无效")))</f>
        <v/>
      </c>
    </row>
    <row r="462">
      <c r="A462" s="28" t="n"/>
      <c r="B462" s="28" t="n"/>
      <c r="C462" s="31">
        <f>IF(B462="","",IFERROR(LOOKUP(2,1/(单次交易!$A$2:$A$201=B462),单次交易!$B$2:$B$201),""))</f>
        <v/>
      </c>
      <c r="D462" s="27" t="n"/>
      <c r="E462" s="43" t="n"/>
      <c r="F462" s="43" t="n"/>
      <c r="G462" s="28" t="n"/>
      <c r="H462" s="49" t="n"/>
      <c r="I462" s="43" t="n"/>
      <c r="J462" s="27" t="n"/>
      <c r="K462" s="28" t="n"/>
      <c r="L462" s="28" t="n"/>
      <c r="M462" s="28" t="n"/>
      <c r="N462" s="44">
        <f>IF(B462="","",IFERROR(LOOKUP(2,1/(单次交易!$A$2:$A$201=B462),单次交易!$N$2:$N$201),""))</f>
        <v/>
      </c>
      <c r="O462" s="44">
        <f>IF(A462&lt;&gt;"每日跟踪","",IF(OR(B462="",H462="",I462=""),"",IFERROR(AGGREGATE(14,6,$I$2:$I$501/(($A$2:$A$501="每日跟踪")*($B$2:$B$501=B462)*($H$2:$H$501&lt;=H462)),1),"")))</f>
        <v/>
      </c>
      <c r="P462" s="26">
        <f>IF(A462&lt;&gt;"每日跟踪","",IF(O462="","",IFERROR(AGGREGATE(14,6,$D$2:$D$501/(($A$2:$A$501="止损计划")*($B$2:$B$501=B462)*($E$2:$E$501&lt;=O462)),1),0)))</f>
        <v/>
      </c>
      <c r="Q462" s="44">
        <f>IF(A462&lt;&gt;"每日跟踪","",IF(N462="","",MAX(N462,IFERROR(AGGREGATE(14,6,$F$2:$F$501/(($A$2:$A$501="止损计划")*($B$2:$B$501=B462)*($E$2:$E$501&lt;=O462)),1),0))))</f>
        <v/>
      </c>
      <c r="R462" s="43" t="n"/>
      <c r="S462" s="44">
        <f>IF(A462&lt;&gt;"每日跟踪","",IF(Q462="","",MAX(Q462,IFERROR(AGGREGATE(14,6,$R$2:$R$501/(($A$2:$A$501="每日跟踪")*($B$2:$B$501=B462)*($H$2:$H$501&lt;=H462)),1),0))))</f>
        <v/>
      </c>
      <c r="T462" s="44">
        <f>IF(A462&lt;&gt;"每日跟踪","",IF(O462="","",IF(COUNTIFS($A$2:$A$501,"止损计划",$B$2:$B$501,B462,$E$2:$E$501,"&gt;"&amp;O462)=0,"",AGGREGATE(15,6,$E$2:$E$501/(($A$2:$A$501="止损计划")*($B$2:$B$501=B462)*($E$2:$E$501&gt;O462)),1))))</f>
        <v/>
      </c>
      <c r="U462" s="44">
        <f>IF(OR(A462&lt;&gt;"每日跟踪",T462=""),"",IFERROR(AGGREGATE(14,6,$F$2:$F$501/(($A$2:$A$501="止损计划")*($B$2:$B$501=B462)*($E$2:$E$501=T462)),1),""))</f>
        <v/>
      </c>
      <c r="V462" s="30">
        <f>IF(OR(A462&lt;&gt;"每日跟踪",T462="",I462="",I462&lt;=0),"",T462/I462-1)</f>
        <v/>
      </c>
      <c r="W462" s="31">
        <f>IF(A462&lt;&gt;"每日跟踪","",IF(OR(I462="",S462=""),"",IF(I462&lt;=S462,"触发止损：应全部卖出","继续观察")))</f>
        <v/>
      </c>
      <c r="X462" s="28" t="n"/>
      <c r="Y462" s="43" t="n"/>
      <c r="Z462" s="26">
        <f>IF(X462&lt;&gt;"执行卖出","",IFERROR(LOOKUP(2,1/(单次交易!$A$2:$A$201=B462),单次交易!$AP$2:$AP$201),""))</f>
        <v/>
      </c>
      <c r="AA462" s="43" t="n"/>
      <c r="AB462" s="31">
        <f>IF(A462&lt;&gt;"每日跟踪","",IF(OR(B462="",H462="",I462="",J462="",K462="",L462="",M462=""),"待补充每日记录",IF(W462="触发止损：应全部卖出",IF(X462&lt;&gt;"执行卖出","违规：触发止损但未执行",IF(Y462="","待补充实际卖出价","卖出记录完整")),IF(X462="","待选择卖出动作",IF(X462="执行卖出",IF(Y462="","待补充实际卖出价","卖出记录完整"),"正常")))))</f>
        <v/>
      </c>
      <c r="AC462" s="31">
        <f>IF(A462="","",IF(A462="止损计划",IF(OR(B462="",D462="",E462="",F462="",G462=""),"计划不完整",IF(OR(D462&lt;1,D462&lt;&gt;INT(D462)),"阶段序号无效",IF(COUNTIFS($A$2:$A$501,"止损计划",$B$2:$B$501,B462,$D$2:$D$501,D462)&gt;1,"阶段序号重复",IF(E462&lt;=IFERROR(LOOKUP(2,1/('单次交易'!$A$2:$A$201=B462),'单次交易'!$E$2:$E$201),0),"激活价须高于买入价",IF(F462&lt;N462,"止损价不得低于初始止损",IF(F462&gt;E462,"止损价不得高于激活价",IF(AND(COUNTIFS($A$2:$A$501,"止损计划",$B$2:$B$501,B462,$D$2:$D$501,"&lt;"&amp;D462)&gt;0,OR(E462&lt;=AGGREGATE(14,6,$E$2:$E$501/(($A$2:$A$501="止损计划")*($B$2:$B$501=B462)*($D$2:$D$501&lt;D462)),1),F462&lt;AGGREGATE(14,6,$F$2:$F$501/(($A$2:$A$501="止损计划")*($B$2:$B$501=B462)*($D$2:$D$501&lt;D462)),1))),"阶段价格必须逐级提高","计划有效"))))))),IF(A462="每日跟踪",IF(OR(B462="",H462="",I462="",J462=""),"每日数据不完整",IF(COUNTIFS($A$2:$A$501,"每日跟踪",$B$2:$B$501,B462,$H$2:$H$501,H462)&gt;1,"同一交易日期重复",IF(AND(R462&lt;&gt;"",R462&lt;S462),"人工止损无效：不能下调","跟踪有效"))),"记录类型无效")))</f>
        <v/>
      </c>
    </row>
    <row r="463">
      <c r="A463" s="28" t="n"/>
      <c r="B463" s="28" t="n"/>
      <c r="C463" s="31">
        <f>IF(B463="","",IFERROR(LOOKUP(2,1/(单次交易!$A$2:$A$201=B463),单次交易!$B$2:$B$201),""))</f>
        <v/>
      </c>
      <c r="D463" s="27" t="n"/>
      <c r="E463" s="43" t="n"/>
      <c r="F463" s="43" t="n"/>
      <c r="G463" s="28" t="n"/>
      <c r="H463" s="49" t="n"/>
      <c r="I463" s="43" t="n"/>
      <c r="J463" s="27" t="n"/>
      <c r="K463" s="28" t="n"/>
      <c r="L463" s="28" t="n"/>
      <c r="M463" s="28" t="n"/>
      <c r="N463" s="44">
        <f>IF(B463="","",IFERROR(LOOKUP(2,1/(单次交易!$A$2:$A$201=B463),单次交易!$N$2:$N$201),""))</f>
        <v/>
      </c>
      <c r="O463" s="44">
        <f>IF(A463&lt;&gt;"每日跟踪","",IF(OR(B463="",H463="",I463=""),"",IFERROR(AGGREGATE(14,6,$I$2:$I$501/(($A$2:$A$501="每日跟踪")*($B$2:$B$501=B463)*($H$2:$H$501&lt;=H463)),1),"")))</f>
        <v/>
      </c>
      <c r="P463" s="26">
        <f>IF(A463&lt;&gt;"每日跟踪","",IF(O463="","",IFERROR(AGGREGATE(14,6,$D$2:$D$501/(($A$2:$A$501="止损计划")*($B$2:$B$501=B463)*($E$2:$E$501&lt;=O463)),1),0)))</f>
        <v/>
      </c>
      <c r="Q463" s="44">
        <f>IF(A463&lt;&gt;"每日跟踪","",IF(N463="","",MAX(N463,IFERROR(AGGREGATE(14,6,$F$2:$F$501/(($A$2:$A$501="止损计划")*($B$2:$B$501=B463)*($E$2:$E$501&lt;=O463)),1),0))))</f>
        <v/>
      </c>
      <c r="R463" s="43" t="n"/>
      <c r="S463" s="44">
        <f>IF(A463&lt;&gt;"每日跟踪","",IF(Q463="","",MAX(Q463,IFERROR(AGGREGATE(14,6,$R$2:$R$501/(($A$2:$A$501="每日跟踪")*($B$2:$B$501=B463)*($H$2:$H$501&lt;=H463)),1),0))))</f>
        <v/>
      </c>
      <c r="T463" s="44">
        <f>IF(A463&lt;&gt;"每日跟踪","",IF(O463="","",IF(COUNTIFS($A$2:$A$501,"止损计划",$B$2:$B$501,B463,$E$2:$E$501,"&gt;"&amp;O463)=0,"",AGGREGATE(15,6,$E$2:$E$501/(($A$2:$A$501="止损计划")*($B$2:$B$501=B463)*($E$2:$E$501&gt;O463)),1))))</f>
        <v/>
      </c>
      <c r="U463" s="44">
        <f>IF(OR(A463&lt;&gt;"每日跟踪",T463=""),"",IFERROR(AGGREGATE(14,6,$F$2:$F$501/(($A$2:$A$501="止损计划")*($B$2:$B$501=B463)*($E$2:$E$501=T463)),1),""))</f>
        <v/>
      </c>
      <c r="V463" s="30">
        <f>IF(OR(A463&lt;&gt;"每日跟踪",T463="",I463="",I463&lt;=0),"",T463/I463-1)</f>
        <v/>
      </c>
      <c r="W463" s="31">
        <f>IF(A463&lt;&gt;"每日跟踪","",IF(OR(I463="",S463=""),"",IF(I463&lt;=S463,"触发止损：应全部卖出","继续观察")))</f>
        <v/>
      </c>
      <c r="X463" s="28" t="n"/>
      <c r="Y463" s="43" t="n"/>
      <c r="Z463" s="26">
        <f>IF(X463&lt;&gt;"执行卖出","",IFERROR(LOOKUP(2,1/(单次交易!$A$2:$A$201=B463),单次交易!$AP$2:$AP$201),""))</f>
        <v/>
      </c>
      <c r="AA463" s="43" t="n"/>
      <c r="AB463" s="31">
        <f>IF(A463&lt;&gt;"每日跟踪","",IF(OR(B463="",H463="",I463="",J463="",K463="",L463="",M463=""),"待补充每日记录",IF(W463="触发止损：应全部卖出",IF(X463&lt;&gt;"执行卖出","违规：触发止损但未执行",IF(Y463="","待补充实际卖出价","卖出记录完整")),IF(X463="","待选择卖出动作",IF(X463="执行卖出",IF(Y463="","待补充实际卖出价","卖出记录完整"),"正常")))))</f>
        <v/>
      </c>
      <c r="AC463" s="31">
        <f>IF(A463="","",IF(A463="止损计划",IF(OR(B463="",D463="",E463="",F463="",G463=""),"计划不完整",IF(OR(D463&lt;1,D463&lt;&gt;INT(D463)),"阶段序号无效",IF(COUNTIFS($A$2:$A$501,"止损计划",$B$2:$B$501,B463,$D$2:$D$501,D463)&gt;1,"阶段序号重复",IF(E463&lt;=IFERROR(LOOKUP(2,1/('单次交易'!$A$2:$A$201=B463),'单次交易'!$E$2:$E$201),0),"激活价须高于买入价",IF(F463&lt;N463,"止损价不得低于初始止损",IF(F463&gt;E463,"止损价不得高于激活价",IF(AND(COUNTIFS($A$2:$A$501,"止损计划",$B$2:$B$501,B463,$D$2:$D$501,"&lt;"&amp;D463)&gt;0,OR(E463&lt;=AGGREGATE(14,6,$E$2:$E$501/(($A$2:$A$501="止损计划")*($B$2:$B$501=B463)*($D$2:$D$501&lt;D463)),1),F463&lt;AGGREGATE(14,6,$F$2:$F$501/(($A$2:$A$501="止损计划")*($B$2:$B$501=B463)*($D$2:$D$501&lt;D463)),1))),"阶段价格必须逐级提高","计划有效"))))))),IF(A463="每日跟踪",IF(OR(B463="",H463="",I463="",J463=""),"每日数据不完整",IF(COUNTIFS($A$2:$A$501,"每日跟踪",$B$2:$B$501,B463,$H$2:$H$501,H463)&gt;1,"同一交易日期重复",IF(AND(R463&lt;&gt;"",R463&lt;S463),"人工止损无效：不能下调","跟踪有效"))),"记录类型无效")))</f>
        <v/>
      </c>
    </row>
    <row r="464">
      <c r="A464" s="28" t="n"/>
      <c r="B464" s="28" t="n"/>
      <c r="C464" s="31">
        <f>IF(B464="","",IFERROR(LOOKUP(2,1/(单次交易!$A$2:$A$201=B464),单次交易!$B$2:$B$201),""))</f>
        <v/>
      </c>
      <c r="D464" s="27" t="n"/>
      <c r="E464" s="43" t="n"/>
      <c r="F464" s="43" t="n"/>
      <c r="G464" s="28" t="n"/>
      <c r="H464" s="49" t="n"/>
      <c r="I464" s="43" t="n"/>
      <c r="J464" s="27" t="n"/>
      <c r="K464" s="28" t="n"/>
      <c r="L464" s="28" t="n"/>
      <c r="M464" s="28" t="n"/>
      <c r="N464" s="44">
        <f>IF(B464="","",IFERROR(LOOKUP(2,1/(单次交易!$A$2:$A$201=B464),单次交易!$N$2:$N$201),""))</f>
        <v/>
      </c>
      <c r="O464" s="44">
        <f>IF(A464&lt;&gt;"每日跟踪","",IF(OR(B464="",H464="",I464=""),"",IFERROR(AGGREGATE(14,6,$I$2:$I$501/(($A$2:$A$501="每日跟踪")*($B$2:$B$501=B464)*($H$2:$H$501&lt;=H464)),1),"")))</f>
        <v/>
      </c>
      <c r="P464" s="26">
        <f>IF(A464&lt;&gt;"每日跟踪","",IF(O464="","",IFERROR(AGGREGATE(14,6,$D$2:$D$501/(($A$2:$A$501="止损计划")*($B$2:$B$501=B464)*($E$2:$E$501&lt;=O464)),1),0)))</f>
        <v/>
      </c>
      <c r="Q464" s="44">
        <f>IF(A464&lt;&gt;"每日跟踪","",IF(N464="","",MAX(N464,IFERROR(AGGREGATE(14,6,$F$2:$F$501/(($A$2:$A$501="止损计划")*($B$2:$B$501=B464)*($E$2:$E$501&lt;=O464)),1),0))))</f>
        <v/>
      </c>
      <c r="R464" s="43" t="n"/>
      <c r="S464" s="44">
        <f>IF(A464&lt;&gt;"每日跟踪","",IF(Q464="","",MAX(Q464,IFERROR(AGGREGATE(14,6,$R$2:$R$501/(($A$2:$A$501="每日跟踪")*($B$2:$B$501=B464)*($H$2:$H$501&lt;=H464)),1),0))))</f>
        <v/>
      </c>
      <c r="T464" s="44">
        <f>IF(A464&lt;&gt;"每日跟踪","",IF(O464="","",IF(COUNTIFS($A$2:$A$501,"止损计划",$B$2:$B$501,B464,$E$2:$E$501,"&gt;"&amp;O464)=0,"",AGGREGATE(15,6,$E$2:$E$501/(($A$2:$A$501="止损计划")*($B$2:$B$501=B464)*($E$2:$E$501&gt;O464)),1))))</f>
        <v/>
      </c>
      <c r="U464" s="44">
        <f>IF(OR(A464&lt;&gt;"每日跟踪",T464=""),"",IFERROR(AGGREGATE(14,6,$F$2:$F$501/(($A$2:$A$501="止损计划")*($B$2:$B$501=B464)*($E$2:$E$501=T464)),1),""))</f>
        <v/>
      </c>
      <c r="V464" s="30">
        <f>IF(OR(A464&lt;&gt;"每日跟踪",T464="",I464="",I464&lt;=0),"",T464/I464-1)</f>
        <v/>
      </c>
      <c r="W464" s="31">
        <f>IF(A464&lt;&gt;"每日跟踪","",IF(OR(I464="",S464=""),"",IF(I464&lt;=S464,"触发止损：应全部卖出","继续观察")))</f>
        <v/>
      </c>
      <c r="X464" s="28" t="n"/>
      <c r="Y464" s="43" t="n"/>
      <c r="Z464" s="26">
        <f>IF(X464&lt;&gt;"执行卖出","",IFERROR(LOOKUP(2,1/(单次交易!$A$2:$A$201=B464),单次交易!$AP$2:$AP$201),""))</f>
        <v/>
      </c>
      <c r="AA464" s="43" t="n"/>
      <c r="AB464" s="31">
        <f>IF(A464&lt;&gt;"每日跟踪","",IF(OR(B464="",H464="",I464="",J464="",K464="",L464="",M464=""),"待补充每日记录",IF(W464="触发止损：应全部卖出",IF(X464&lt;&gt;"执行卖出","违规：触发止损但未执行",IF(Y464="","待补充实际卖出价","卖出记录完整")),IF(X464="","待选择卖出动作",IF(X464="执行卖出",IF(Y464="","待补充实际卖出价","卖出记录完整"),"正常")))))</f>
        <v/>
      </c>
      <c r="AC464" s="31">
        <f>IF(A464="","",IF(A464="止损计划",IF(OR(B464="",D464="",E464="",F464="",G464=""),"计划不完整",IF(OR(D464&lt;1,D464&lt;&gt;INT(D464)),"阶段序号无效",IF(COUNTIFS($A$2:$A$501,"止损计划",$B$2:$B$501,B464,$D$2:$D$501,D464)&gt;1,"阶段序号重复",IF(E464&lt;=IFERROR(LOOKUP(2,1/('单次交易'!$A$2:$A$201=B464),'单次交易'!$E$2:$E$201),0),"激活价须高于买入价",IF(F464&lt;N464,"止损价不得低于初始止损",IF(F464&gt;E464,"止损价不得高于激活价",IF(AND(COUNTIFS($A$2:$A$501,"止损计划",$B$2:$B$501,B464,$D$2:$D$501,"&lt;"&amp;D464)&gt;0,OR(E464&lt;=AGGREGATE(14,6,$E$2:$E$501/(($A$2:$A$501="止损计划")*($B$2:$B$501=B464)*($D$2:$D$501&lt;D464)),1),F464&lt;AGGREGATE(14,6,$F$2:$F$501/(($A$2:$A$501="止损计划")*($B$2:$B$501=B464)*($D$2:$D$501&lt;D464)),1))),"阶段价格必须逐级提高","计划有效"))))))),IF(A464="每日跟踪",IF(OR(B464="",H464="",I464="",J464=""),"每日数据不完整",IF(COUNTIFS($A$2:$A$501,"每日跟踪",$B$2:$B$501,B464,$H$2:$H$501,H464)&gt;1,"同一交易日期重复",IF(AND(R464&lt;&gt;"",R464&lt;S464),"人工止损无效：不能下调","跟踪有效"))),"记录类型无效")))</f>
        <v/>
      </c>
    </row>
    <row r="465">
      <c r="A465" s="28" t="n"/>
      <c r="B465" s="28" t="n"/>
      <c r="C465" s="31">
        <f>IF(B465="","",IFERROR(LOOKUP(2,1/(单次交易!$A$2:$A$201=B465),单次交易!$B$2:$B$201),""))</f>
        <v/>
      </c>
      <c r="D465" s="27" t="n"/>
      <c r="E465" s="43" t="n"/>
      <c r="F465" s="43" t="n"/>
      <c r="G465" s="28" t="n"/>
      <c r="H465" s="49" t="n"/>
      <c r="I465" s="43" t="n"/>
      <c r="J465" s="27" t="n"/>
      <c r="K465" s="28" t="n"/>
      <c r="L465" s="28" t="n"/>
      <c r="M465" s="28" t="n"/>
      <c r="N465" s="44">
        <f>IF(B465="","",IFERROR(LOOKUP(2,1/(单次交易!$A$2:$A$201=B465),单次交易!$N$2:$N$201),""))</f>
        <v/>
      </c>
      <c r="O465" s="44">
        <f>IF(A465&lt;&gt;"每日跟踪","",IF(OR(B465="",H465="",I465=""),"",IFERROR(AGGREGATE(14,6,$I$2:$I$501/(($A$2:$A$501="每日跟踪")*($B$2:$B$501=B465)*($H$2:$H$501&lt;=H465)),1),"")))</f>
        <v/>
      </c>
      <c r="P465" s="26">
        <f>IF(A465&lt;&gt;"每日跟踪","",IF(O465="","",IFERROR(AGGREGATE(14,6,$D$2:$D$501/(($A$2:$A$501="止损计划")*($B$2:$B$501=B465)*($E$2:$E$501&lt;=O465)),1),0)))</f>
        <v/>
      </c>
      <c r="Q465" s="44">
        <f>IF(A465&lt;&gt;"每日跟踪","",IF(N465="","",MAX(N465,IFERROR(AGGREGATE(14,6,$F$2:$F$501/(($A$2:$A$501="止损计划")*($B$2:$B$501=B465)*($E$2:$E$501&lt;=O465)),1),0))))</f>
        <v/>
      </c>
      <c r="R465" s="43" t="n"/>
      <c r="S465" s="44">
        <f>IF(A465&lt;&gt;"每日跟踪","",IF(Q465="","",MAX(Q465,IFERROR(AGGREGATE(14,6,$R$2:$R$501/(($A$2:$A$501="每日跟踪")*($B$2:$B$501=B465)*($H$2:$H$501&lt;=H465)),1),0))))</f>
        <v/>
      </c>
      <c r="T465" s="44">
        <f>IF(A465&lt;&gt;"每日跟踪","",IF(O465="","",IF(COUNTIFS($A$2:$A$501,"止损计划",$B$2:$B$501,B465,$E$2:$E$501,"&gt;"&amp;O465)=0,"",AGGREGATE(15,6,$E$2:$E$501/(($A$2:$A$501="止损计划")*($B$2:$B$501=B465)*($E$2:$E$501&gt;O465)),1))))</f>
        <v/>
      </c>
      <c r="U465" s="44">
        <f>IF(OR(A465&lt;&gt;"每日跟踪",T465=""),"",IFERROR(AGGREGATE(14,6,$F$2:$F$501/(($A$2:$A$501="止损计划")*($B$2:$B$501=B465)*($E$2:$E$501=T465)),1),""))</f>
        <v/>
      </c>
      <c r="V465" s="30">
        <f>IF(OR(A465&lt;&gt;"每日跟踪",T465="",I465="",I465&lt;=0),"",T465/I465-1)</f>
        <v/>
      </c>
      <c r="W465" s="31">
        <f>IF(A465&lt;&gt;"每日跟踪","",IF(OR(I465="",S465=""),"",IF(I465&lt;=S465,"触发止损：应全部卖出","继续观察")))</f>
        <v/>
      </c>
      <c r="X465" s="28" t="n"/>
      <c r="Y465" s="43" t="n"/>
      <c r="Z465" s="26">
        <f>IF(X465&lt;&gt;"执行卖出","",IFERROR(LOOKUP(2,1/(单次交易!$A$2:$A$201=B465),单次交易!$AP$2:$AP$201),""))</f>
        <v/>
      </c>
      <c r="AA465" s="43" t="n"/>
      <c r="AB465" s="31">
        <f>IF(A465&lt;&gt;"每日跟踪","",IF(OR(B465="",H465="",I465="",J465="",K465="",L465="",M465=""),"待补充每日记录",IF(W465="触发止损：应全部卖出",IF(X465&lt;&gt;"执行卖出","违规：触发止损但未执行",IF(Y465="","待补充实际卖出价","卖出记录完整")),IF(X465="","待选择卖出动作",IF(X465="执行卖出",IF(Y465="","待补充实际卖出价","卖出记录完整"),"正常")))))</f>
        <v/>
      </c>
      <c r="AC465" s="31">
        <f>IF(A465="","",IF(A465="止损计划",IF(OR(B465="",D465="",E465="",F465="",G465=""),"计划不完整",IF(OR(D465&lt;1,D465&lt;&gt;INT(D465)),"阶段序号无效",IF(COUNTIFS($A$2:$A$501,"止损计划",$B$2:$B$501,B465,$D$2:$D$501,D465)&gt;1,"阶段序号重复",IF(E465&lt;=IFERROR(LOOKUP(2,1/('单次交易'!$A$2:$A$201=B465),'单次交易'!$E$2:$E$201),0),"激活价须高于买入价",IF(F465&lt;N465,"止损价不得低于初始止损",IF(F465&gt;E465,"止损价不得高于激活价",IF(AND(COUNTIFS($A$2:$A$501,"止损计划",$B$2:$B$501,B465,$D$2:$D$501,"&lt;"&amp;D465)&gt;0,OR(E465&lt;=AGGREGATE(14,6,$E$2:$E$501/(($A$2:$A$501="止损计划")*($B$2:$B$501=B465)*($D$2:$D$501&lt;D465)),1),F465&lt;AGGREGATE(14,6,$F$2:$F$501/(($A$2:$A$501="止损计划")*($B$2:$B$501=B465)*($D$2:$D$501&lt;D465)),1))),"阶段价格必须逐级提高","计划有效"))))))),IF(A465="每日跟踪",IF(OR(B465="",H465="",I465="",J465=""),"每日数据不完整",IF(COUNTIFS($A$2:$A$501,"每日跟踪",$B$2:$B$501,B465,$H$2:$H$501,H465)&gt;1,"同一交易日期重复",IF(AND(R465&lt;&gt;"",R465&lt;S465),"人工止损无效：不能下调","跟踪有效"))),"记录类型无效")))</f>
        <v/>
      </c>
    </row>
    <row r="466">
      <c r="A466" s="28" t="n"/>
      <c r="B466" s="28" t="n"/>
      <c r="C466" s="31">
        <f>IF(B466="","",IFERROR(LOOKUP(2,1/(单次交易!$A$2:$A$201=B466),单次交易!$B$2:$B$201),""))</f>
        <v/>
      </c>
      <c r="D466" s="27" t="n"/>
      <c r="E466" s="43" t="n"/>
      <c r="F466" s="43" t="n"/>
      <c r="G466" s="28" t="n"/>
      <c r="H466" s="49" t="n"/>
      <c r="I466" s="43" t="n"/>
      <c r="J466" s="27" t="n"/>
      <c r="K466" s="28" t="n"/>
      <c r="L466" s="28" t="n"/>
      <c r="M466" s="28" t="n"/>
      <c r="N466" s="44">
        <f>IF(B466="","",IFERROR(LOOKUP(2,1/(单次交易!$A$2:$A$201=B466),单次交易!$N$2:$N$201),""))</f>
        <v/>
      </c>
      <c r="O466" s="44">
        <f>IF(A466&lt;&gt;"每日跟踪","",IF(OR(B466="",H466="",I466=""),"",IFERROR(AGGREGATE(14,6,$I$2:$I$501/(($A$2:$A$501="每日跟踪")*($B$2:$B$501=B466)*($H$2:$H$501&lt;=H466)),1),"")))</f>
        <v/>
      </c>
      <c r="P466" s="26">
        <f>IF(A466&lt;&gt;"每日跟踪","",IF(O466="","",IFERROR(AGGREGATE(14,6,$D$2:$D$501/(($A$2:$A$501="止损计划")*($B$2:$B$501=B466)*($E$2:$E$501&lt;=O466)),1),0)))</f>
        <v/>
      </c>
      <c r="Q466" s="44">
        <f>IF(A466&lt;&gt;"每日跟踪","",IF(N466="","",MAX(N466,IFERROR(AGGREGATE(14,6,$F$2:$F$501/(($A$2:$A$501="止损计划")*($B$2:$B$501=B466)*($E$2:$E$501&lt;=O466)),1),0))))</f>
        <v/>
      </c>
      <c r="R466" s="43" t="n"/>
      <c r="S466" s="44">
        <f>IF(A466&lt;&gt;"每日跟踪","",IF(Q466="","",MAX(Q466,IFERROR(AGGREGATE(14,6,$R$2:$R$501/(($A$2:$A$501="每日跟踪")*($B$2:$B$501=B466)*($H$2:$H$501&lt;=H466)),1),0))))</f>
        <v/>
      </c>
      <c r="T466" s="44">
        <f>IF(A466&lt;&gt;"每日跟踪","",IF(O466="","",IF(COUNTIFS($A$2:$A$501,"止损计划",$B$2:$B$501,B466,$E$2:$E$501,"&gt;"&amp;O466)=0,"",AGGREGATE(15,6,$E$2:$E$501/(($A$2:$A$501="止损计划")*($B$2:$B$501=B466)*($E$2:$E$501&gt;O466)),1))))</f>
        <v/>
      </c>
      <c r="U466" s="44">
        <f>IF(OR(A466&lt;&gt;"每日跟踪",T466=""),"",IFERROR(AGGREGATE(14,6,$F$2:$F$501/(($A$2:$A$501="止损计划")*($B$2:$B$501=B466)*($E$2:$E$501=T466)),1),""))</f>
        <v/>
      </c>
      <c r="V466" s="30">
        <f>IF(OR(A466&lt;&gt;"每日跟踪",T466="",I466="",I466&lt;=0),"",T466/I466-1)</f>
        <v/>
      </c>
      <c r="W466" s="31">
        <f>IF(A466&lt;&gt;"每日跟踪","",IF(OR(I466="",S466=""),"",IF(I466&lt;=S466,"触发止损：应全部卖出","继续观察")))</f>
        <v/>
      </c>
      <c r="X466" s="28" t="n"/>
      <c r="Y466" s="43" t="n"/>
      <c r="Z466" s="26">
        <f>IF(X466&lt;&gt;"执行卖出","",IFERROR(LOOKUP(2,1/(单次交易!$A$2:$A$201=B466),单次交易!$AP$2:$AP$201),""))</f>
        <v/>
      </c>
      <c r="AA466" s="43" t="n"/>
      <c r="AB466" s="31">
        <f>IF(A466&lt;&gt;"每日跟踪","",IF(OR(B466="",H466="",I466="",J466="",K466="",L466="",M466=""),"待补充每日记录",IF(W466="触发止损：应全部卖出",IF(X466&lt;&gt;"执行卖出","违规：触发止损但未执行",IF(Y466="","待补充实际卖出价","卖出记录完整")),IF(X466="","待选择卖出动作",IF(X466="执行卖出",IF(Y466="","待补充实际卖出价","卖出记录完整"),"正常")))))</f>
        <v/>
      </c>
      <c r="AC466" s="31">
        <f>IF(A466="","",IF(A466="止损计划",IF(OR(B466="",D466="",E466="",F466="",G466=""),"计划不完整",IF(OR(D466&lt;1,D466&lt;&gt;INT(D466)),"阶段序号无效",IF(COUNTIFS($A$2:$A$501,"止损计划",$B$2:$B$501,B466,$D$2:$D$501,D466)&gt;1,"阶段序号重复",IF(E466&lt;=IFERROR(LOOKUP(2,1/('单次交易'!$A$2:$A$201=B466),'单次交易'!$E$2:$E$201),0),"激活价须高于买入价",IF(F466&lt;N466,"止损价不得低于初始止损",IF(F466&gt;E466,"止损价不得高于激活价",IF(AND(COUNTIFS($A$2:$A$501,"止损计划",$B$2:$B$501,B466,$D$2:$D$501,"&lt;"&amp;D466)&gt;0,OR(E466&lt;=AGGREGATE(14,6,$E$2:$E$501/(($A$2:$A$501="止损计划")*($B$2:$B$501=B466)*($D$2:$D$501&lt;D466)),1),F466&lt;AGGREGATE(14,6,$F$2:$F$501/(($A$2:$A$501="止损计划")*($B$2:$B$501=B466)*($D$2:$D$501&lt;D466)),1))),"阶段价格必须逐级提高","计划有效"))))))),IF(A466="每日跟踪",IF(OR(B466="",H466="",I466="",J466=""),"每日数据不完整",IF(COUNTIFS($A$2:$A$501,"每日跟踪",$B$2:$B$501,B466,$H$2:$H$501,H466)&gt;1,"同一交易日期重复",IF(AND(R466&lt;&gt;"",R466&lt;S466),"人工止损无效：不能下调","跟踪有效"))),"记录类型无效")))</f>
        <v/>
      </c>
    </row>
    <row r="467">
      <c r="A467" s="28" t="n"/>
      <c r="B467" s="28" t="n"/>
      <c r="C467" s="31">
        <f>IF(B467="","",IFERROR(LOOKUP(2,1/(单次交易!$A$2:$A$201=B467),单次交易!$B$2:$B$201),""))</f>
        <v/>
      </c>
      <c r="D467" s="27" t="n"/>
      <c r="E467" s="43" t="n"/>
      <c r="F467" s="43" t="n"/>
      <c r="G467" s="28" t="n"/>
      <c r="H467" s="49" t="n"/>
      <c r="I467" s="43" t="n"/>
      <c r="J467" s="27" t="n"/>
      <c r="K467" s="28" t="n"/>
      <c r="L467" s="28" t="n"/>
      <c r="M467" s="28" t="n"/>
      <c r="N467" s="44">
        <f>IF(B467="","",IFERROR(LOOKUP(2,1/(单次交易!$A$2:$A$201=B467),单次交易!$N$2:$N$201),""))</f>
        <v/>
      </c>
      <c r="O467" s="44">
        <f>IF(A467&lt;&gt;"每日跟踪","",IF(OR(B467="",H467="",I467=""),"",IFERROR(AGGREGATE(14,6,$I$2:$I$501/(($A$2:$A$501="每日跟踪")*($B$2:$B$501=B467)*($H$2:$H$501&lt;=H467)),1),"")))</f>
        <v/>
      </c>
      <c r="P467" s="26">
        <f>IF(A467&lt;&gt;"每日跟踪","",IF(O467="","",IFERROR(AGGREGATE(14,6,$D$2:$D$501/(($A$2:$A$501="止损计划")*($B$2:$B$501=B467)*($E$2:$E$501&lt;=O467)),1),0)))</f>
        <v/>
      </c>
      <c r="Q467" s="44">
        <f>IF(A467&lt;&gt;"每日跟踪","",IF(N467="","",MAX(N467,IFERROR(AGGREGATE(14,6,$F$2:$F$501/(($A$2:$A$501="止损计划")*($B$2:$B$501=B467)*($E$2:$E$501&lt;=O467)),1),0))))</f>
        <v/>
      </c>
      <c r="R467" s="43" t="n"/>
      <c r="S467" s="44">
        <f>IF(A467&lt;&gt;"每日跟踪","",IF(Q467="","",MAX(Q467,IFERROR(AGGREGATE(14,6,$R$2:$R$501/(($A$2:$A$501="每日跟踪")*($B$2:$B$501=B467)*($H$2:$H$501&lt;=H467)),1),0))))</f>
        <v/>
      </c>
      <c r="T467" s="44">
        <f>IF(A467&lt;&gt;"每日跟踪","",IF(O467="","",IF(COUNTIFS($A$2:$A$501,"止损计划",$B$2:$B$501,B467,$E$2:$E$501,"&gt;"&amp;O467)=0,"",AGGREGATE(15,6,$E$2:$E$501/(($A$2:$A$501="止损计划")*($B$2:$B$501=B467)*($E$2:$E$501&gt;O467)),1))))</f>
        <v/>
      </c>
      <c r="U467" s="44">
        <f>IF(OR(A467&lt;&gt;"每日跟踪",T467=""),"",IFERROR(AGGREGATE(14,6,$F$2:$F$501/(($A$2:$A$501="止损计划")*($B$2:$B$501=B467)*($E$2:$E$501=T467)),1),""))</f>
        <v/>
      </c>
      <c r="V467" s="30">
        <f>IF(OR(A467&lt;&gt;"每日跟踪",T467="",I467="",I467&lt;=0),"",T467/I467-1)</f>
        <v/>
      </c>
      <c r="W467" s="31">
        <f>IF(A467&lt;&gt;"每日跟踪","",IF(OR(I467="",S467=""),"",IF(I467&lt;=S467,"触发止损：应全部卖出","继续观察")))</f>
        <v/>
      </c>
      <c r="X467" s="28" t="n"/>
      <c r="Y467" s="43" t="n"/>
      <c r="Z467" s="26">
        <f>IF(X467&lt;&gt;"执行卖出","",IFERROR(LOOKUP(2,1/(单次交易!$A$2:$A$201=B467),单次交易!$AP$2:$AP$201),""))</f>
        <v/>
      </c>
      <c r="AA467" s="43" t="n"/>
      <c r="AB467" s="31">
        <f>IF(A467&lt;&gt;"每日跟踪","",IF(OR(B467="",H467="",I467="",J467="",K467="",L467="",M467=""),"待补充每日记录",IF(W467="触发止损：应全部卖出",IF(X467&lt;&gt;"执行卖出","违规：触发止损但未执行",IF(Y467="","待补充实际卖出价","卖出记录完整")),IF(X467="","待选择卖出动作",IF(X467="执行卖出",IF(Y467="","待补充实际卖出价","卖出记录完整"),"正常")))))</f>
        <v/>
      </c>
      <c r="AC467" s="31">
        <f>IF(A467="","",IF(A467="止损计划",IF(OR(B467="",D467="",E467="",F467="",G467=""),"计划不完整",IF(OR(D467&lt;1,D467&lt;&gt;INT(D467)),"阶段序号无效",IF(COUNTIFS($A$2:$A$501,"止损计划",$B$2:$B$501,B467,$D$2:$D$501,D467)&gt;1,"阶段序号重复",IF(E467&lt;=IFERROR(LOOKUP(2,1/('单次交易'!$A$2:$A$201=B467),'单次交易'!$E$2:$E$201),0),"激活价须高于买入价",IF(F467&lt;N467,"止损价不得低于初始止损",IF(F467&gt;E467,"止损价不得高于激活价",IF(AND(COUNTIFS($A$2:$A$501,"止损计划",$B$2:$B$501,B467,$D$2:$D$501,"&lt;"&amp;D467)&gt;0,OR(E467&lt;=AGGREGATE(14,6,$E$2:$E$501/(($A$2:$A$501="止损计划")*($B$2:$B$501=B467)*($D$2:$D$501&lt;D467)),1),F467&lt;AGGREGATE(14,6,$F$2:$F$501/(($A$2:$A$501="止损计划")*($B$2:$B$501=B467)*($D$2:$D$501&lt;D467)),1))),"阶段价格必须逐级提高","计划有效"))))))),IF(A467="每日跟踪",IF(OR(B467="",H467="",I467="",J467=""),"每日数据不完整",IF(COUNTIFS($A$2:$A$501,"每日跟踪",$B$2:$B$501,B467,$H$2:$H$501,H467)&gt;1,"同一交易日期重复",IF(AND(R467&lt;&gt;"",R467&lt;S467),"人工止损无效：不能下调","跟踪有效"))),"记录类型无效")))</f>
        <v/>
      </c>
    </row>
    <row r="468">
      <c r="A468" s="28" t="n"/>
      <c r="B468" s="28" t="n"/>
      <c r="C468" s="31">
        <f>IF(B468="","",IFERROR(LOOKUP(2,1/(单次交易!$A$2:$A$201=B468),单次交易!$B$2:$B$201),""))</f>
        <v/>
      </c>
      <c r="D468" s="27" t="n"/>
      <c r="E468" s="43" t="n"/>
      <c r="F468" s="43" t="n"/>
      <c r="G468" s="28" t="n"/>
      <c r="H468" s="49" t="n"/>
      <c r="I468" s="43" t="n"/>
      <c r="J468" s="27" t="n"/>
      <c r="K468" s="28" t="n"/>
      <c r="L468" s="28" t="n"/>
      <c r="M468" s="28" t="n"/>
      <c r="N468" s="44">
        <f>IF(B468="","",IFERROR(LOOKUP(2,1/(单次交易!$A$2:$A$201=B468),单次交易!$N$2:$N$201),""))</f>
        <v/>
      </c>
      <c r="O468" s="44">
        <f>IF(A468&lt;&gt;"每日跟踪","",IF(OR(B468="",H468="",I468=""),"",IFERROR(AGGREGATE(14,6,$I$2:$I$501/(($A$2:$A$501="每日跟踪")*($B$2:$B$501=B468)*($H$2:$H$501&lt;=H468)),1),"")))</f>
        <v/>
      </c>
      <c r="P468" s="26">
        <f>IF(A468&lt;&gt;"每日跟踪","",IF(O468="","",IFERROR(AGGREGATE(14,6,$D$2:$D$501/(($A$2:$A$501="止损计划")*($B$2:$B$501=B468)*($E$2:$E$501&lt;=O468)),1),0)))</f>
        <v/>
      </c>
      <c r="Q468" s="44">
        <f>IF(A468&lt;&gt;"每日跟踪","",IF(N468="","",MAX(N468,IFERROR(AGGREGATE(14,6,$F$2:$F$501/(($A$2:$A$501="止损计划")*($B$2:$B$501=B468)*($E$2:$E$501&lt;=O468)),1),0))))</f>
        <v/>
      </c>
      <c r="R468" s="43" t="n"/>
      <c r="S468" s="44">
        <f>IF(A468&lt;&gt;"每日跟踪","",IF(Q468="","",MAX(Q468,IFERROR(AGGREGATE(14,6,$R$2:$R$501/(($A$2:$A$501="每日跟踪")*($B$2:$B$501=B468)*($H$2:$H$501&lt;=H468)),1),0))))</f>
        <v/>
      </c>
      <c r="T468" s="44">
        <f>IF(A468&lt;&gt;"每日跟踪","",IF(O468="","",IF(COUNTIFS($A$2:$A$501,"止损计划",$B$2:$B$501,B468,$E$2:$E$501,"&gt;"&amp;O468)=0,"",AGGREGATE(15,6,$E$2:$E$501/(($A$2:$A$501="止损计划")*($B$2:$B$501=B468)*($E$2:$E$501&gt;O468)),1))))</f>
        <v/>
      </c>
      <c r="U468" s="44">
        <f>IF(OR(A468&lt;&gt;"每日跟踪",T468=""),"",IFERROR(AGGREGATE(14,6,$F$2:$F$501/(($A$2:$A$501="止损计划")*($B$2:$B$501=B468)*($E$2:$E$501=T468)),1),""))</f>
        <v/>
      </c>
      <c r="V468" s="30">
        <f>IF(OR(A468&lt;&gt;"每日跟踪",T468="",I468="",I468&lt;=0),"",T468/I468-1)</f>
        <v/>
      </c>
      <c r="W468" s="31">
        <f>IF(A468&lt;&gt;"每日跟踪","",IF(OR(I468="",S468=""),"",IF(I468&lt;=S468,"触发止损：应全部卖出","继续观察")))</f>
        <v/>
      </c>
      <c r="X468" s="28" t="n"/>
      <c r="Y468" s="43" t="n"/>
      <c r="Z468" s="26">
        <f>IF(X468&lt;&gt;"执行卖出","",IFERROR(LOOKUP(2,1/(单次交易!$A$2:$A$201=B468),单次交易!$AP$2:$AP$201),""))</f>
        <v/>
      </c>
      <c r="AA468" s="43" t="n"/>
      <c r="AB468" s="31">
        <f>IF(A468&lt;&gt;"每日跟踪","",IF(OR(B468="",H468="",I468="",J468="",K468="",L468="",M468=""),"待补充每日记录",IF(W468="触发止损：应全部卖出",IF(X468&lt;&gt;"执行卖出","违规：触发止损但未执行",IF(Y468="","待补充实际卖出价","卖出记录完整")),IF(X468="","待选择卖出动作",IF(X468="执行卖出",IF(Y468="","待补充实际卖出价","卖出记录完整"),"正常")))))</f>
        <v/>
      </c>
      <c r="AC468" s="31">
        <f>IF(A468="","",IF(A468="止损计划",IF(OR(B468="",D468="",E468="",F468="",G468=""),"计划不完整",IF(OR(D468&lt;1,D468&lt;&gt;INT(D468)),"阶段序号无效",IF(COUNTIFS($A$2:$A$501,"止损计划",$B$2:$B$501,B468,$D$2:$D$501,D468)&gt;1,"阶段序号重复",IF(E468&lt;=IFERROR(LOOKUP(2,1/('单次交易'!$A$2:$A$201=B468),'单次交易'!$E$2:$E$201),0),"激活价须高于买入价",IF(F468&lt;N468,"止损价不得低于初始止损",IF(F468&gt;E468,"止损价不得高于激活价",IF(AND(COUNTIFS($A$2:$A$501,"止损计划",$B$2:$B$501,B468,$D$2:$D$501,"&lt;"&amp;D468)&gt;0,OR(E468&lt;=AGGREGATE(14,6,$E$2:$E$501/(($A$2:$A$501="止损计划")*($B$2:$B$501=B468)*($D$2:$D$501&lt;D468)),1),F468&lt;AGGREGATE(14,6,$F$2:$F$501/(($A$2:$A$501="止损计划")*($B$2:$B$501=B468)*($D$2:$D$501&lt;D468)),1))),"阶段价格必须逐级提高","计划有效"))))))),IF(A468="每日跟踪",IF(OR(B468="",H468="",I468="",J468=""),"每日数据不完整",IF(COUNTIFS($A$2:$A$501,"每日跟踪",$B$2:$B$501,B468,$H$2:$H$501,H468)&gt;1,"同一交易日期重复",IF(AND(R468&lt;&gt;"",R468&lt;S468),"人工止损无效：不能下调","跟踪有效"))),"记录类型无效")))</f>
        <v/>
      </c>
    </row>
    <row r="469">
      <c r="A469" s="28" t="n"/>
      <c r="B469" s="28" t="n"/>
      <c r="C469" s="31">
        <f>IF(B469="","",IFERROR(LOOKUP(2,1/(单次交易!$A$2:$A$201=B469),单次交易!$B$2:$B$201),""))</f>
        <v/>
      </c>
      <c r="D469" s="27" t="n"/>
      <c r="E469" s="43" t="n"/>
      <c r="F469" s="43" t="n"/>
      <c r="G469" s="28" t="n"/>
      <c r="H469" s="49" t="n"/>
      <c r="I469" s="43" t="n"/>
      <c r="J469" s="27" t="n"/>
      <c r="K469" s="28" t="n"/>
      <c r="L469" s="28" t="n"/>
      <c r="M469" s="28" t="n"/>
      <c r="N469" s="44">
        <f>IF(B469="","",IFERROR(LOOKUP(2,1/(单次交易!$A$2:$A$201=B469),单次交易!$N$2:$N$201),""))</f>
        <v/>
      </c>
      <c r="O469" s="44">
        <f>IF(A469&lt;&gt;"每日跟踪","",IF(OR(B469="",H469="",I469=""),"",IFERROR(AGGREGATE(14,6,$I$2:$I$501/(($A$2:$A$501="每日跟踪")*($B$2:$B$501=B469)*($H$2:$H$501&lt;=H469)),1),"")))</f>
        <v/>
      </c>
      <c r="P469" s="26">
        <f>IF(A469&lt;&gt;"每日跟踪","",IF(O469="","",IFERROR(AGGREGATE(14,6,$D$2:$D$501/(($A$2:$A$501="止损计划")*($B$2:$B$501=B469)*($E$2:$E$501&lt;=O469)),1),0)))</f>
        <v/>
      </c>
      <c r="Q469" s="44">
        <f>IF(A469&lt;&gt;"每日跟踪","",IF(N469="","",MAX(N469,IFERROR(AGGREGATE(14,6,$F$2:$F$501/(($A$2:$A$501="止损计划")*($B$2:$B$501=B469)*($E$2:$E$501&lt;=O469)),1),0))))</f>
        <v/>
      </c>
      <c r="R469" s="43" t="n"/>
      <c r="S469" s="44">
        <f>IF(A469&lt;&gt;"每日跟踪","",IF(Q469="","",MAX(Q469,IFERROR(AGGREGATE(14,6,$R$2:$R$501/(($A$2:$A$501="每日跟踪")*($B$2:$B$501=B469)*($H$2:$H$501&lt;=H469)),1),0))))</f>
        <v/>
      </c>
      <c r="T469" s="44">
        <f>IF(A469&lt;&gt;"每日跟踪","",IF(O469="","",IF(COUNTIFS($A$2:$A$501,"止损计划",$B$2:$B$501,B469,$E$2:$E$501,"&gt;"&amp;O469)=0,"",AGGREGATE(15,6,$E$2:$E$501/(($A$2:$A$501="止损计划")*($B$2:$B$501=B469)*($E$2:$E$501&gt;O469)),1))))</f>
        <v/>
      </c>
      <c r="U469" s="44">
        <f>IF(OR(A469&lt;&gt;"每日跟踪",T469=""),"",IFERROR(AGGREGATE(14,6,$F$2:$F$501/(($A$2:$A$501="止损计划")*($B$2:$B$501=B469)*($E$2:$E$501=T469)),1),""))</f>
        <v/>
      </c>
      <c r="V469" s="30">
        <f>IF(OR(A469&lt;&gt;"每日跟踪",T469="",I469="",I469&lt;=0),"",T469/I469-1)</f>
        <v/>
      </c>
      <c r="W469" s="31">
        <f>IF(A469&lt;&gt;"每日跟踪","",IF(OR(I469="",S469=""),"",IF(I469&lt;=S469,"触发止损：应全部卖出","继续观察")))</f>
        <v/>
      </c>
      <c r="X469" s="28" t="n"/>
      <c r="Y469" s="43" t="n"/>
      <c r="Z469" s="26">
        <f>IF(X469&lt;&gt;"执行卖出","",IFERROR(LOOKUP(2,1/(单次交易!$A$2:$A$201=B469),单次交易!$AP$2:$AP$201),""))</f>
        <v/>
      </c>
      <c r="AA469" s="43" t="n"/>
      <c r="AB469" s="31">
        <f>IF(A469&lt;&gt;"每日跟踪","",IF(OR(B469="",H469="",I469="",J469="",K469="",L469="",M469=""),"待补充每日记录",IF(W469="触发止损：应全部卖出",IF(X469&lt;&gt;"执行卖出","违规：触发止损但未执行",IF(Y469="","待补充实际卖出价","卖出记录完整")),IF(X469="","待选择卖出动作",IF(X469="执行卖出",IF(Y469="","待补充实际卖出价","卖出记录完整"),"正常")))))</f>
        <v/>
      </c>
      <c r="AC469" s="31">
        <f>IF(A469="","",IF(A469="止损计划",IF(OR(B469="",D469="",E469="",F469="",G469=""),"计划不完整",IF(OR(D469&lt;1,D469&lt;&gt;INT(D469)),"阶段序号无效",IF(COUNTIFS($A$2:$A$501,"止损计划",$B$2:$B$501,B469,$D$2:$D$501,D469)&gt;1,"阶段序号重复",IF(E469&lt;=IFERROR(LOOKUP(2,1/('单次交易'!$A$2:$A$201=B469),'单次交易'!$E$2:$E$201),0),"激活价须高于买入价",IF(F469&lt;N469,"止损价不得低于初始止损",IF(F469&gt;E469,"止损价不得高于激活价",IF(AND(COUNTIFS($A$2:$A$501,"止损计划",$B$2:$B$501,B469,$D$2:$D$501,"&lt;"&amp;D469)&gt;0,OR(E469&lt;=AGGREGATE(14,6,$E$2:$E$501/(($A$2:$A$501="止损计划")*($B$2:$B$501=B469)*($D$2:$D$501&lt;D469)),1),F469&lt;AGGREGATE(14,6,$F$2:$F$501/(($A$2:$A$501="止损计划")*($B$2:$B$501=B469)*($D$2:$D$501&lt;D469)),1))),"阶段价格必须逐级提高","计划有效"))))))),IF(A469="每日跟踪",IF(OR(B469="",H469="",I469="",J469=""),"每日数据不完整",IF(COUNTIFS($A$2:$A$501,"每日跟踪",$B$2:$B$501,B469,$H$2:$H$501,H469)&gt;1,"同一交易日期重复",IF(AND(R469&lt;&gt;"",R469&lt;S469),"人工止损无效：不能下调","跟踪有效"))),"记录类型无效")))</f>
        <v/>
      </c>
    </row>
    <row r="470">
      <c r="A470" s="28" t="n"/>
      <c r="B470" s="28" t="n"/>
      <c r="C470" s="31">
        <f>IF(B470="","",IFERROR(LOOKUP(2,1/(单次交易!$A$2:$A$201=B470),单次交易!$B$2:$B$201),""))</f>
        <v/>
      </c>
      <c r="D470" s="27" t="n"/>
      <c r="E470" s="43" t="n"/>
      <c r="F470" s="43" t="n"/>
      <c r="G470" s="28" t="n"/>
      <c r="H470" s="49" t="n"/>
      <c r="I470" s="43" t="n"/>
      <c r="J470" s="27" t="n"/>
      <c r="K470" s="28" t="n"/>
      <c r="L470" s="28" t="n"/>
      <c r="M470" s="28" t="n"/>
      <c r="N470" s="44">
        <f>IF(B470="","",IFERROR(LOOKUP(2,1/(单次交易!$A$2:$A$201=B470),单次交易!$N$2:$N$201),""))</f>
        <v/>
      </c>
      <c r="O470" s="44">
        <f>IF(A470&lt;&gt;"每日跟踪","",IF(OR(B470="",H470="",I470=""),"",IFERROR(AGGREGATE(14,6,$I$2:$I$501/(($A$2:$A$501="每日跟踪")*($B$2:$B$501=B470)*($H$2:$H$501&lt;=H470)),1),"")))</f>
        <v/>
      </c>
      <c r="P470" s="26">
        <f>IF(A470&lt;&gt;"每日跟踪","",IF(O470="","",IFERROR(AGGREGATE(14,6,$D$2:$D$501/(($A$2:$A$501="止损计划")*($B$2:$B$501=B470)*($E$2:$E$501&lt;=O470)),1),0)))</f>
        <v/>
      </c>
      <c r="Q470" s="44">
        <f>IF(A470&lt;&gt;"每日跟踪","",IF(N470="","",MAX(N470,IFERROR(AGGREGATE(14,6,$F$2:$F$501/(($A$2:$A$501="止损计划")*($B$2:$B$501=B470)*($E$2:$E$501&lt;=O470)),1),0))))</f>
        <v/>
      </c>
      <c r="R470" s="43" t="n"/>
      <c r="S470" s="44">
        <f>IF(A470&lt;&gt;"每日跟踪","",IF(Q470="","",MAX(Q470,IFERROR(AGGREGATE(14,6,$R$2:$R$501/(($A$2:$A$501="每日跟踪")*($B$2:$B$501=B470)*($H$2:$H$501&lt;=H470)),1),0))))</f>
        <v/>
      </c>
      <c r="T470" s="44">
        <f>IF(A470&lt;&gt;"每日跟踪","",IF(O470="","",IF(COUNTIFS($A$2:$A$501,"止损计划",$B$2:$B$501,B470,$E$2:$E$501,"&gt;"&amp;O470)=0,"",AGGREGATE(15,6,$E$2:$E$501/(($A$2:$A$501="止损计划")*($B$2:$B$501=B470)*($E$2:$E$501&gt;O470)),1))))</f>
        <v/>
      </c>
      <c r="U470" s="44">
        <f>IF(OR(A470&lt;&gt;"每日跟踪",T470=""),"",IFERROR(AGGREGATE(14,6,$F$2:$F$501/(($A$2:$A$501="止损计划")*($B$2:$B$501=B470)*($E$2:$E$501=T470)),1),""))</f>
        <v/>
      </c>
      <c r="V470" s="30">
        <f>IF(OR(A470&lt;&gt;"每日跟踪",T470="",I470="",I470&lt;=0),"",T470/I470-1)</f>
        <v/>
      </c>
      <c r="W470" s="31">
        <f>IF(A470&lt;&gt;"每日跟踪","",IF(OR(I470="",S470=""),"",IF(I470&lt;=S470,"触发止损：应全部卖出","继续观察")))</f>
        <v/>
      </c>
      <c r="X470" s="28" t="n"/>
      <c r="Y470" s="43" t="n"/>
      <c r="Z470" s="26">
        <f>IF(X470&lt;&gt;"执行卖出","",IFERROR(LOOKUP(2,1/(单次交易!$A$2:$A$201=B470),单次交易!$AP$2:$AP$201),""))</f>
        <v/>
      </c>
      <c r="AA470" s="43" t="n"/>
      <c r="AB470" s="31">
        <f>IF(A470&lt;&gt;"每日跟踪","",IF(OR(B470="",H470="",I470="",J470="",K470="",L470="",M470=""),"待补充每日记录",IF(W470="触发止损：应全部卖出",IF(X470&lt;&gt;"执行卖出","违规：触发止损但未执行",IF(Y470="","待补充实际卖出价","卖出记录完整")),IF(X470="","待选择卖出动作",IF(X470="执行卖出",IF(Y470="","待补充实际卖出价","卖出记录完整"),"正常")))))</f>
        <v/>
      </c>
      <c r="AC470" s="31">
        <f>IF(A470="","",IF(A470="止损计划",IF(OR(B470="",D470="",E470="",F470="",G470=""),"计划不完整",IF(OR(D470&lt;1,D470&lt;&gt;INT(D470)),"阶段序号无效",IF(COUNTIFS($A$2:$A$501,"止损计划",$B$2:$B$501,B470,$D$2:$D$501,D470)&gt;1,"阶段序号重复",IF(E470&lt;=IFERROR(LOOKUP(2,1/('单次交易'!$A$2:$A$201=B470),'单次交易'!$E$2:$E$201),0),"激活价须高于买入价",IF(F470&lt;N470,"止损价不得低于初始止损",IF(F470&gt;E470,"止损价不得高于激活价",IF(AND(COUNTIFS($A$2:$A$501,"止损计划",$B$2:$B$501,B470,$D$2:$D$501,"&lt;"&amp;D470)&gt;0,OR(E470&lt;=AGGREGATE(14,6,$E$2:$E$501/(($A$2:$A$501="止损计划")*($B$2:$B$501=B470)*($D$2:$D$501&lt;D470)),1),F470&lt;AGGREGATE(14,6,$F$2:$F$501/(($A$2:$A$501="止损计划")*($B$2:$B$501=B470)*($D$2:$D$501&lt;D470)),1))),"阶段价格必须逐级提高","计划有效"))))))),IF(A470="每日跟踪",IF(OR(B470="",H470="",I470="",J470=""),"每日数据不完整",IF(COUNTIFS($A$2:$A$501,"每日跟踪",$B$2:$B$501,B470,$H$2:$H$501,H470)&gt;1,"同一交易日期重复",IF(AND(R470&lt;&gt;"",R470&lt;S470),"人工止损无效：不能下调","跟踪有效"))),"记录类型无效")))</f>
        <v/>
      </c>
    </row>
    <row r="471">
      <c r="A471" s="28" t="n"/>
      <c r="B471" s="28" t="n"/>
      <c r="C471" s="31">
        <f>IF(B471="","",IFERROR(LOOKUP(2,1/(单次交易!$A$2:$A$201=B471),单次交易!$B$2:$B$201),""))</f>
        <v/>
      </c>
      <c r="D471" s="27" t="n"/>
      <c r="E471" s="43" t="n"/>
      <c r="F471" s="43" t="n"/>
      <c r="G471" s="28" t="n"/>
      <c r="H471" s="49" t="n"/>
      <c r="I471" s="43" t="n"/>
      <c r="J471" s="27" t="n"/>
      <c r="K471" s="28" t="n"/>
      <c r="L471" s="28" t="n"/>
      <c r="M471" s="28" t="n"/>
      <c r="N471" s="44">
        <f>IF(B471="","",IFERROR(LOOKUP(2,1/(单次交易!$A$2:$A$201=B471),单次交易!$N$2:$N$201),""))</f>
        <v/>
      </c>
      <c r="O471" s="44">
        <f>IF(A471&lt;&gt;"每日跟踪","",IF(OR(B471="",H471="",I471=""),"",IFERROR(AGGREGATE(14,6,$I$2:$I$501/(($A$2:$A$501="每日跟踪")*($B$2:$B$501=B471)*($H$2:$H$501&lt;=H471)),1),"")))</f>
        <v/>
      </c>
      <c r="P471" s="26">
        <f>IF(A471&lt;&gt;"每日跟踪","",IF(O471="","",IFERROR(AGGREGATE(14,6,$D$2:$D$501/(($A$2:$A$501="止损计划")*($B$2:$B$501=B471)*($E$2:$E$501&lt;=O471)),1),0)))</f>
        <v/>
      </c>
      <c r="Q471" s="44">
        <f>IF(A471&lt;&gt;"每日跟踪","",IF(N471="","",MAX(N471,IFERROR(AGGREGATE(14,6,$F$2:$F$501/(($A$2:$A$501="止损计划")*($B$2:$B$501=B471)*($E$2:$E$501&lt;=O471)),1),0))))</f>
        <v/>
      </c>
      <c r="R471" s="43" t="n"/>
      <c r="S471" s="44">
        <f>IF(A471&lt;&gt;"每日跟踪","",IF(Q471="","",MAX(Q471,IFERROR(AGGREGATE(14,6,$R$2:$R$501/(($A$2:$A$501="每日跟踪")*($B$2:$B$501=B471)*($H$2:$H$501&lt;=H471)),1),0))))</f>
        <v/>
      </c>
      <c r="T471" s="44">
        <f>IF(A471&lt;&gt;"每日跟踪","",IF(O471="","",IF(COUNTIFS($A$2:$A$501,"止损计划",$B$2:$B$501,B471,$E$2:$E$501,"&gt;"&amp;O471)=0,"",AGGREGATE(15,6,$E$2:$E$501/(($A$2:$A$501="止损计划")*($B$2:$B$501=B471)*($E$2:$E$501&gt;O471)),1))))</f>
        <v/>
      </c>
      <c r="U471" s="44">
        <f>IF(OR(A471&lt;&gt;"每日跟踪",T471=""),"",IFERROR(AGGREGATE(14,6,$F$2:$F$501/(($A$2:$A$501="止损计划")*($B$2:$B$501=B471)*($E$2:$E$501=T471)),1),""))</f>
        <v/>
      </c>
      <c r="V471" s="30">
        <f>IF(OR(A471&lt;&gt;"每日跟踪",T471="",I471="",I471&lt;=0),"",T471/I471-1)</f>
        <v/>
      </c>
      <c r="W471" s="31">
        <f>IF(A471&lt;&gt;"每日跟踪","",IF(OR(I471="",S471=""),"",IF(I471&lt;=S471,"触发止损：应全部卖出","继续观察")))</f>
        <v/>
      </c>
      <c r="X471" s="28" t="n"/>
      <c r="Y471" s="43" t="n"/>
      <c r="Z471" s="26">
        <f>IF(X471&lt;&gt;"执行卖出","",IFERROR(LOOKUP(2,1/(单次交易!$A$2:$A$201=B471),单次交易!$AP$2:$AP$201),""))</f>
        <v/>
      </c>
      <c r="AA471" s="43" t="n"/>
      <c r="AB471" s="31">
        <f>IF(A471&lt;&gt;"每日跟踪","",IF(OR(B471="",H471="",I471="",J471="",K471="",L471="",M471=""),"待补充每日记录",IF(W471="触发止损：应全部卖出",IF(X471&lt;&gt;"执行卖出","违规：触发止损但未执行",IF(Y471="","待补充实际卖出价","卖出记录完整")),IF(X471="","待选择卖出动作",IF(X471="执行卖出",IF(Y471="","待补充实际卖出价","卖出记录完整"),"正常")))))</f>
        <v/>
      </c>
      <c r="AC471" s="31">
        <f>IF(A471="","",IF(A471="止损计划",IF(OR(B471="",D471="",E471="",F471="",G471=""),"计划不完整",IF(OR(D471&lt;1,D471&lt;&gt;INT(D471)),"阶段序号无效",IF(COUNTIFS($A$2:$A$501,"止损计划",$B$2:$B$501,B471,$D$2:$D$501,D471)&gt;1,"阶段序号重复",IF(E471&lt;=IFERROR(LOOKUP(2,1/('单次交易'!$A$2:$A$201=B471),'单次交易'!$E$2:$E$201),0),"激活价须高于买入价",IF(F471&lt;N471,"止损价不得低于初始止损",IF(F471&gt;E471,"止损价不得高于激活价",IF(AND(COUNTIFS($A$2:$A$501,"止损计划",$B$2:$B$501,B471,$D$2:$D$501,"&lt;"&amp;D471)&gt;0,OR(E471&lt;=AGGREGATE(14,6,$E$2:$E$501/(($A$2:$A$501="止损计划")*($B$2:$B$501=B471)*($D$2:$D$501&lt;D471)),1),F471&lt;AGGREGATE(14,6,$F$2:$F$501/(($A$2:$A$501="止损计划")*($B$2:$B$501=B471)*($D$2:$D$501&lt;D471)),1))),"阶段价格必须逐级提高","计划有效"))))))),IF(A471="每日跟踪",IF(OR(B471="",H471="",I471="",J471=""),"每日数据不完整",IF(COUNTIFS($A$2:$A$501,"每日跟踪",$B$2:$B$501,B471,$H$2:$H$501,H471)&gt;1,"同一交易日期重复",IF(AND(R471&lt;&gt;"",R471&lt;S471),"人工止损无效：不能下调","跟踪有效"))),"记录类型无效")))</f>
        <v/>
      </c>
    </row>
    <row r="472">
      <c r="A472" s="28" t="n"/>
      <c r="B472" s="28" t="n"/>
      <c r="C472" s="31">
        <f>IF(B472="","",IFERROR(LOOKUP(2,1/(单次交易!$A$2:$A$201=B472),单次交易!$B$2:$B$201),""))</f>
        <v/>
      </c>
      <c r="D472" s="27" t="n"/>
      <c r="E472" s="43" t="n"/>
      <c r="F472" s="43" t="n"/>
      <c r="G472" s="28" t="n"/>
      <c r="H472" s="49" t="n"/>
      <c r="I472" s="43" t="n"/>
      <c r="J472" s="27" t="n"/>
      <c r="K472" s="28" t="n"/>
      <c r="L472" s="28" t="n"/>
      <c r="M472" s="28" t="n"/>
      <c r="N472" s="44">
        <f>IF(B472="","",IFERROR(LOOKUP(2,1/(单次交易!$A$2:$A$201=B472),单次交易!$N$2:$N$201),""))</f>
        <v/>
      </c>
      <c r="O472" s="44">
        <f>IF(A472&lt;&gt;"每日跟踪","",IF(OR(B472="",H472="",I472=""),"",IFERROR(AGGREGATE(14,6,$I$2:$I$501/(($A$2:$A$501="每日跟踪")*($B$2:$B$501=B472)*($H$2:$H$501&lt;=H472)),1),"")))</f>
        <v/>
      </c>
      <c r="P472" s="26">
        <f>IF(A472&lt;&gt;"每日跟踪","",IF(O472="","",IFERROR(AGGREGATE(14,6,$D$2:$D$501/(($A$2:$A$501="止损计划")*($B$2:$B$501=B472)*($E$2:$E$501&lt;=O472)),1),0)))</f>
        <v/>
      </c>
      <c r="Q472" s="44">
        <f>IF(A472&lt;&gt;"每日跟踪","",IF(N472="","",MAX(N472,IFERROR(AGGREGATE(14,6,$F$2:$F$501/(($A$2:$A$501="止损计划")*($B$2:$B$501=B472)*($E$2:$E$501&lt;=O472)),1),0))))</f>
        <v/>
      </c>
      <c r="R472" s="43" t="n"/>
      <c r="S472" s="44">
        <f>IF(A472&lt;&gt;"每日跟踪","",IF(Q472="","",MAX(Q472,IFERROR(AGGREGATE(14,6,$R$2:$R$501/(($A$2:$A$501="每日跟踪")*($B$2:$B$501=B472)*($H$2:$H$501&lt;=H472)),1),0))))</f>
        <v/>
      </c>
      <c r="T472" s="44">
        <f>IF(A472&lt;&gt;"每日跟踪","",IF(O472="","",IF(COUNTIFS($A$2:$A$501,"止损计划",$B$2:$B$501,B472,$E$2:$E$501,"&gt;"&amp;O472)=0,"",AGGREGATE(15,6,$E$2:$E$501/(($A$2:$A$501="止损计划")*($B$2:$B$501=B472)*($E$2:$E$501&gt;O472)),1))))</f>
        <v/>
      </c>
      <c r="U472" s="44">
        <f>IF(OR(A472&lt;&gt;"每日跟踪",T472=""),"",IFERROR(AGGREGATE(14,6,$F$2:$F$501/(($A$2:$A$501="止损计划")*($B$2:$B$501=B472)*($E$2:$E$501=T472)),1),""))</f>
        <v/>
      </c>
      <c r="V472" s="30">
        <f>IF(OR(A472&lt;&gt;"每日跟踪",T472="",I472="",I472&lt;=0),"",T472/I472-1)</f>
        <v/>
      </c>
      <c r="W472" s="31">
        <f>IF(A472&lt;&gt;"每日跟踪","",IF(OR(I472="",S472=""),"",IF(I472&lt;=S472,"触发止损：应全部卖出","继续观察")))</f>
        <v/>
      </c>
      <c r="X472" s="28" t="n"/>
      <c r="Y472" s="43" t="n"/>
      <c r="Z472" s="26">
        <f>IF(X472&lt;&gt;"执行卖出","",IFERROR(LOOKUP(2,1/(单次交易!$A$2:$A$201=B472),单次交易!$AP$2:$AP$201),""))</f>
        <v/>
      </c>
      <c r="AA472" s="43" t="n"/>
      <c r="AB472" s="31">
        <f>IF(A472&lt;&gt;"每日跟踪","",IF(OR(B472="",H472="",I472="",J472="",K472="",L472="",M472=""),"待补充每日记录",IF(W472="触发止损：应全部卖出",IF(X472&lt;&gt;"执行卖出","违规：触发止损但未执行",IF(Y472="","待补充实际卖出价","卖出记录完整")),IF(X472="","待选择卖出动作",IF(X472="执行卖出",IF(Y472="","待补充实际卖出价","卖出记录完整"),"正常")))))</f>
        <v/>
      </c>
      <c r="AC472" s="31">
        <f>IF(A472="","",IF(A472="止损计划",IF(OR(B472="",D472="",E472="",F472="",G472=""),"计划不完整",IF(OR(D472&lt;1,D472&lt;&gt;INT(D472)),"阶段序号无效",IF(COUNTIFS($A$2:$A$501,"止损计划",$B$2:$B$501,B472,$D$2:$D$501,D472)&gt;1,"阶段序号重复",IF(E472&lt;=IFERROR(LOOKUP(2,1/('单次交易'!$A$2:$A$201=B472),'单次交易'!$E$2:$E$201),0),"激活价须高于买入价",IF(F472&lt;N472,"止损价不得低于初始止损",IF(F472&gt;E472,"止损价不得高于激活价",IF(AND(COUNTIFS($A$2:$A$501,"止损计划",$B$2:$B$501,B472,$D$2:$D$501,"&lt;"&amp;D472)&gt;0,OR(E472&lt;=AGGREGATE(14,6,$E$2:$E$501/(($A$2:$A$501="止损计划")*($B$2:$B$501=B472)*($D$2:$D$501&lt;D472)),1),F472&lt;AGGREGATE(14,6,$F$2:$F$501/(($A$2:$A$501="止损计划")*($B$2:$B$501=B472)*($D$2:$D$501&lt;D472)),1))),"阶段价格必须逐级提高","计划有效"))))))),IF(A472="每日跟踪",IF(OR(B472="",H472="",I472="",J472=""),"每日数据不完整",IF(COUNTIFS($A$2:$A$501,"每日跟踪",$B$2:$B$501,B472,$H$2:$H$501,H472)&gt;1,"同一交易日期重复",IF(AND(R472&lt;&gt;"",R472&lt;S472),"人工止损无效：不能下调","跟踪有效"))),"记录类型无效")))</f>
        <v/>
      </c>
    </row>
    <row r="473">
      <c r="A473" s="28" t="n"/>
      <c r="B473" s="28" t="n"/>
      <c r="C473" s="31">
        <f>IF(B473="","",IFERROR(LOOKUP(2,1/(单次交易!$A$2:$A$201=B473),单次交易!$B$2:$B$201),""))</f>
        <v/>
      </c>
      <c r="D473" s="27" t="n"/>
      <c r="E473" s="43" t="n"/>
      <c r="F473" s="43" t="n"/>
      <c r="G473" s="28" t="n"/>
      <c r="H473" s="49" t="n"/>
      <c r="I473" s="43" t="n"/>
      <c r="J473" s="27" t="n"/>
      <c r="K473" s="28" t="n"/>
      <c r="L473" s="28" t="n"/>
      <c r="M473" s="28" t="n"/>
      <c r="N473" s="44">
        <f>IF(B473="","",IFERROR(LOOKUP(2,1/(单次交易!$A$2:$A$201=B473),单次交易!$N$2:$N$201),""))</f>
        <v/>
      </c>
      <c r="O473" s="44">
        <f>IF(A473&lt;&gt;"每日跟踪","",IF(OR(B473="",H473="",I473=""),"",IFERROR(AGGREGATE(14,6,$I$2:$I$501/(($A$2:$A$501="每日跟踪")*($B$2:$B$501=B473)*($H$2:$H$501&lt;=H473)),1),"")))</f>
        <v/>
      </c>
      <c r="P473" s="26">
        <f>IF(A473&lt;&gt;"每日跟踪","",IF(O473="","",IFERROR(AGGREGATE(14,6,$D$2:$D$501/(($A$2:$A$501="止损计划")*($B$2:$B$501=B473)*($E$2:$E$501&lt;=O473)),1),0)))</f>
        <v/>
      </c>
      <c r="Q473" s="44">
        <f>IF(A473&lt;&gt;"每日跟踪","",IF(N473="","",MAX(N473,IFERROR(AGGREGATE(14,6,$F$2:$F$501/(($A$2:$A$501="止损计划")*($B$2:$B$501=B473)*($E$2:$E$501&lt;=O473)),1),0))))</f>
        <v/>
      </c>
      <c r="R473" s="43" t="n"/>
      <c r="S473" s="44">
        <f>IF(A473&lt;&gt;"每日跟踪","",IF(Q473="","",MAX(Q473,IFERROR(AGGREGATE(14,6,$R$2:$R$501/(($A$2:$A$501="每日跟踪")*($B$2:$B$501=B473)*($H$2:$H$501&lt;=H473)),1),0))))</f>
        <v/>
      </c>
      <c r="T473" s="44">
        <f>IF(A473&lt;&gt;"每日跟踪","",IF(O473="","",IF(COUNTIFS($A$2:$A$501,"止损计划",$B$2:$B$501,B473,$E$2:$E$501,"&gt;"&amp;O473)=0,"",AGGREGATE(15,6,$E$2:$E$501/(($A$2:$A$501="止损计划")*($B$2:$B$501=B473)*($E$2:$E$501&gt;O473)),1))))</f>
        <v/>
      </c>
      <c r="U473" s="44">
        <f>IF(OR(A473&lt;&gt;"每日跟踪",T473=""),"",IFERROR(AGGREGATE(14,6,$F$2:$F$501/(($A$2:$A$501="止损计划")*($B$2:$B$501=B473)*($E$2:$E$501=T473)),1),""))</f>
        <v/>
      </c>
      <c r="V473" s="30">
        <f>IF(OR(A473&lt;&gt;"每日跟踪",T473="",I473="",I473&lt;=0),"",T473/I473-1)</f>
        <v/>
      </c>
      <c r="W473" s="31">
        <f>IF(A473&lt;&gt;"每日跟踪","",IF(OR(I473="",S473=""),"",IF(I473&lt;=S473,"触发止损：应全部卖出","继续观察")))</f>
        <v/>
      </c>
      <c r="X473" s="28" t="n"/>
      <c r="Y473" s="43" t="n"/>
      <c r="Z473" s="26">
        <f>IF(X473&lt;&gt;"执行卖出","",IFERROR(LOOKUP(2,1/(单次交易!$A$2:$A$201=B473),单次交易!$AP$2:$AP$201),""))</f>
        <v/>
      </c>
      <c r="AA473" s="43" t="n"/>
      <c r="AB473" s="31">
        <f>IF(A473&lt;&gt;"每日跟踪","",IF(OR(B473="",H473="",I473="",J473="",K473="",L473="",M473=""),"待补充每日记录",IF(W473="触发止损：应全部卖出",IF(X473&lt;&gt;"执行卖出","违规：触发止损但未执行",IF(Y473="","待补充实际卖出价","卖出记录完整")),IF(X473="","待选择卖出动作",IF(X473="执行卖出",IF(Y473="","待补充实际卖出价","卖出记录完整"),"正常")))))</f>
        <v/>
      </c>
      <c r="AC473" s="31">
        <f>IF(A473="","",IF(A473="止损计划",IF(OR(B473="",D473="",E473="",F473="",G473=""),"计划不完整",IF(OR(D473&lt;1,D473&lt;&gt;INT(D473)),"阶段序号无效",IF(COUNTIFS($A$2:$A$501,"止损计划",$B$2:$B$501,B473,$D$2:$D$501,D473)&gt;1,"阶段序号重复",IF(E473&lt;=IFERROR(LOOKUP(2,1/('单次交易'!$A$2:$A$201=B473),'单次交易'!$E$2:$E$201),0),"激活价须高于买入价",IF(F473&lt;N473,"止损价不得低于初始止损",IF(F473&gt;E473,"止损价不得高于激活价",IF(AND(COUNTIFS($A$2:$A$501,"止损计划",$B$2:$B$501,B473,$D$2:$D$501,"&lt;"&amp;D473)&gt;0,OR(E473&lt;=AGGREGATE(14,6,$E$2:$E$501/(($A$2:$A$501="止损计划")*($B$2:$B$501=B473)*($D$2:$D$501&lt;D473)),1),F473&lt;AGGREGATE(14,6,$F$2:$F$501/(($A$2:$A$501="止损计划")*($B$2:$B$501=B473)*($D$2:$D$501&lt;D473)),1))),"阶段价格必须逐级提高","计划有效"))))))),IF(A473="每日跟踪",IF(OR(B473="",H473="",I473="",J473=""),"每日数据不完整",IF(COUNTIFS($A$2:$A$501,"每日跟踪",$B$2:$B$501,B473,$H$2:$H$501,H473)&gt;1,"同一交易日期重复",IF(AND(R473&lt;&gt;"",R473&lt;S473),"人工止损无效：不能下调","跟踪有效"))),"记录类型无效")))</f>
        <v/>
      </c>
    </row>
    <row r="474">
      <c r="A474" s="28" t="n"/>
      <c r="B474" s="28" t="n"/>
      <c r="C474" s="31">
        <f>IF(B474="","",IFERROR(LOOKUP(2,1/(单次交易!$A$2:$A$201=B474),单次交易!$B$2:$B$201),""))</f>
        <v/>
      </c>
      <c r="D474" s="27" t="n"/>
      <c r="E474" s="43" t="n"/>
      <c r="F474" s="43" t="n"/>
      <c r="G474" s="28" t="n"/>
      <c r="H474" s="49" t="n"/>
      <c r="I474" s="43" t="n"/>
      <c r="J474" s="27" t="n"/>
      <c r="K474" s="28" t="n"/>
      <c r="L474" s="28" t="n"/>
      <c r="M474" s="28" t="n"/>
      <c r="N474" s="44">
        <f>IF(B474="","",IFERROR(LOOKUP(2,1/(单次交易!$A$2:$A$201=B474),单次交易!$N$2:$N$201),""))</f>
        <v/>
      </c>
      <c r="O474" s="44">
        <f>IF(A474&lt;&gt;"每日跟踪","",IF(OR(B474="",H474="",I474=""),"",IFERROR(AGGREGATE(14,6,$I$2:$I$501/(($A$2:$A$501="每日跟踪")*($B$2:$B$501=B474)*($H$2:$H$501&lt;=H474)),1),"")))</f>
        <v/>
      </c>
      <c r="P474" s="26">
        <f>IF(A474&lt;&gt;"每日跟踪","",IF(O474="","",IFERROR(AGGREGATE(14,6,$D$2:$D$501/(($A$2:$A$501="止损计划")*($B$2:$B$501=B474)*($E$2:$E$501&lt;=O474)),1),0)))</f>
        <v/>
      </c>
      <c r="Q474" s="44">
        <f>IF(A474&lt;&gt;"每日跟踪","",IF(N474="","",MAX(N474,IFERROR(AGGREGATE(14,6,$F$2:$F$501/(($A$2:$A$501="止损计划")*($B$2:$B$501=B474)*($E$2:$E$501&lt;=O474)),1),0))))</f>
        <v/>
      </c>
      <c r="R474" s="43" t="n"/>
      <c r="S474" s="44">
        <f>IF(A474&lt;&gt;"每日跟踪","",IF(Q474="","",MAX(Q474,IFERROR(AGGREGATE(14,6,$R$2:$R$501/(($A$2:$A$501="每日跟踪")*($B$2:$B$501=B474)*($H$2:$H$501&lt;=H474)),1),0))))</f>
        <v/>
      </c>
      <c r="T474" s="44">
        <f>IF(A474&lt;&gt;"每日跟踪","",IF(O474="","",IF(COUNTIFS($A$2:$A$501,"止损计划",$B$2:$B$501,B474,$E$2:$E$501,"&gt;"&amp;O474)=0,"",AGGREGATE(15,6,$E$2:$E$501/(($A$2:$A$501="止损计划")*($B$2:$B$501=B474)*($E$2:$E$501&gt;O474)),1))))</f>
        <v/>
      </c>
      <c r="U474" s="44">
        <f>IF(OR(A474&lt;&gt;"每日跟踪",T474=""),"",IFERROR(AGGREGATE(14,6,$F$2:$F$501/(($A$2:$A$501="止损计划")*($B$2:$B$501=B474)*($E$2:$E$501=T474)),1),""))</f>
        <v/>
      </c>
      <c r="V474" s="30">
        <f>IF(OR(A474&lt;&gt;"每日跟踪",T474="",I474="",I474&lt;=0),"",T474/I474-1)</f>
        <v/>
      </c>
      <c r="W474" s="31">
        <f>IF(A474&lt;&gt;"每日跟踪","",IF(OR(I474="",S474=""),"",IF(I474&lt;=S474,"触发止损：应全部卖出","继续观察")))</f>
        <v/>
      </c>
      <c r="X474" s="28" t="n"/>
      <c r="Y474" s="43" t="n"/>
      <c r="Z474" s="26">
        <f>IF(X474&lt;&gt;"执行卖出","",IFERROR(LOOKUP(2,1/(单次交易!$A$2:$A$201=B474),单次交易!$AP$2:$AP$201),""))</f>
        <v/>
      </c>
      <c r="AA474" s="43" t="n"/>
      <c r="AB474" s="31">
        <f>IF(A474&lt;&gt;"每日跟踪","",IF(OR(B474="",H474="",I474="",J474="",K474="",L474="",M474=""),"待补充每日记录",IF(W474="触发止损：应全部卖出",IF(X474&lt;&gt;"执行卖出","违规：触发止损但未执行",IF(Y474="","待补充实际卖出价","卖出记录完整")),IF(X474="","待选择卖出动作",IF(X474="执行卖出",IF(Y474="","待补充实际卖出价","卖出记录完整"),"正常")))))</f>
        <v/>
      </c>
      <c r="AC474" s="31">
        <f>IF(A474="","",IF(A474="止损计划",IF(OR(B474="",D474="",E474="",F474="",G474=""),"计划不完整",IF(OR(D474&lt;1,D474&lt;&gt;INT(D474)),"阶段序号无效",IF(COUNTIFS($A$2:$A$501,"止损计划",$B$2:$B$501,B474,$D$2:$D$501,D474)&gt;1,"阶段序号重复",IF(E474&lt;=IFERROR(LOOKUP(2,1/('单次交易'!$A$2:$A$201=B474),'单次交易'!$E$2:$E$201),0),"激活价须高于买入价",IF(F474&lt;N474,"止损价不得低于初始止损",IF(F474&gt;E474,"止损价不得高于激活价",IF(AND(COUNTIFS($A$2:$A$501,"止损计划",$B$2:$B$501,B474,$D$2:$D$501,"&lt;"&amp;D474)&gt;0,OR(E474&lt;=AGGREGATE(14,6,$E$2:$E$501/(($A$2:$A$501="止损计划")*($B$2:$B$501=B474)*($D$2:$D$501&lt;D474)),1),F474&lt;AGGREGATE(14,6,$F$2:$F$501/(($A$2:$A$501="止损计划")*($B$2:$B$501=B474)*($D$2:$D$501&lt;D474)),1))),"阶段价格必须逐级提高","计划有效"))))))),IF(A474="每日跟踪",IF(OR(B474="",H474="",I474="",J474=""),"每日数据不完整",IF(COUNTIFS($A$2:$A$501,"每日跟踪",$B$2:$B$501,B474,$H$2:$H$501,H474)&gt;1,"同一交易日期重复",IF(AND(R474&lt;&gt;"",R474&lt;S474),"人工止损无效：不能下调","跟踪有效"))),"记录类型无效")))</f>
        <v/>
      </c>
    </row>
    <row r="475">
      <c r="A475" s="28" t="n"/>
      <c r="B475" s="28" t="n"/>
      <c r="C475" s="31">
        <f>IF(B475="","",IFERROR(LOOKUP(2,1/(单次交易!$A$2:$A$201=B475),单次交易!$B$2:$B$201),""))</f>
        <v/>
      </c>
      <c r="D475" s="27" t="n"/>
      <c r="E475" s="43" t="n"/>
      <c r="F475" s="43" t="n"/>
      <c r="G475" s="28" t="n"/>
      <c r="H475" s="49" t="n"/>
      <c r="I475" s="43" t="n"/>
      <c r="J475" s="27" t="n"/>
      <c r="K475" s="28" t="n"/>
      <c r="L475" s="28" t="n"/>
      <c r="M475" s="28" t="n"/>
      <c r="N475" s="44">
        <f>IF(B475="","",IFERROR(LOOKUP(2,1/(单次交易!$A$2:$A$201=B475),单次交易!$N$2:$N$201),""))</f>
        <v/>
      </c>
      <c r="O475" s="44">
        <f>IF(A475&lt;&gt;"每日跟踪","",IF(OR(B475="",H475="",I475=""),"",IFERROR(AGGREGATE(14,6,$I$2:$I$501/(($A$2:$A$501="每日跟踪")*($B$2:$B$501=B475)*($H$2:$H$501&lt;=H475)),1),"")))</f>
        <v/>
      </c>
      <c r="P475" s="26">
        <f>IF(A475&lt;&gt;"每日跟踪","",IF(O475="","",IFERROR(AGGREGATE(14,6,$D$2:$D$501/(($A$2:$A$501="止损计划")*($B$2:$B$501=B475)*($E$2:$E$501&lt;=O475)),1),0)))</f>
        <v/>
      </c>
      <c r="Q475" s="44">
        <f>IF(A475&lt;&gt;"每日跟踪","",IF(N475="","",MAX(N475,IFERROR(AGGREGATE(14,6,$F$2:$F$501/(($A$2:$A$501="止损计划")*($B$2:$B$501=B475)*($E$2:$E$501&lt;=O475)),1),0))))</f>
        <v/>
      </c>
      <c r="R475" s="43" t="n"/>
      <c r="S475" s="44">
        <f>IF(A475&lt;&gt;"每日跟踪","",IF(Q475="","",MAX(Q475,IFERROR(AGGREGATE(14,6,$R$2:$R$501/(($A$2:$A$501="每日跟踪")*($B$2:$B$501=B475)*($H$2:$H$501&lt;=H475)),1),0))))</f>
        <v/>
      </c>
      <c r="T475" s="44">
        <f>IF(A475&lt;&gt;"每日跟踪","",IF(O475="","",IF(COUNTIFS($A$2:$A$501,"止损计划",$B$2:$B$501,B475,$E$2:$E$501,"&gt;"&amp;O475)=0,"",AGGREGATE(15,6,$E$2:$E$501/(($A$2:$A$501="止损计划")*($B$2:$B$501=B475)*($E$2:$E$501&gt;O475)),1))))</f>
        <v/>
      </c>
      <c r="U475" s="44">
        <f>IF(OR(A475&lt;&gt;"每日跟踪",T475=""),"",IFERROR(AGGREGATE(14,6,$F$2:$F$501/(($A$2:$A$501="止损计划")*($B$2:$B$501=B475)*($E$2:$E$501=T475)),1),""))</f>
        <v/>
      </c>
      <c r="V475" s="30">
        <f>IF(OR(A475&lt;&gt;"每日跟踪",T475="",I475="",I475&lt;=0),"",T475/I475-1)</f>
        <v/>
      </c>
      <c r="W475" s="31">
        <f>IF(A475&lt;&gt;"每日跟踪","",IF(OR(I475="",S475=""),"",IF(I475&lt;=S475,"触发止损：应全部卖出","继续观察")))</f>
        <v/>
      </c>
      <c r="X475" s="28" t="n"/>
      <c r="Y475" s="43" t="n"/>
      <c r="Z475" s="26">
        <f>IF(X475&lt;&gt;"执行卖出","",IFERROR(LOOKUP(2,1/(单次交易!$A$2:$A$201=B475),单次交易!$AP$2:$AP$201),""))</f>
        <v/>
      </c>
      <c r="AA475" s="43" t="n"/>
      <c r="AB475" s="31">
        <f>IF(A475&lt;&gt;"每日跟踪","",IF(OR(B475="",H475="",I475="",J475="",K475="",L475="",M475=""),"待补充每日记录",IF(W475="触发止损：应全部卖出",IF(X475&lt;&gt;"执行卖出","违规：触发止损但未执行",IF(Y475="","待补充实际卖出价","卖出记录完整")),IF(X475="","待选择卖出动作",IF(X475="执行卖出",IF(Y475="","待补充实际卖出价","卖出记录完整"),"正常")))))</f>
        <v/>
      </c>
      <c r="AC475" s="31">
        <f>IF(A475="","",IF(A475="止损计划",IF(OR(B475="",D475="",E475="",F475="",G475=""),"计划不完整",IF(OR(D475&lt;1,D475&lt;&gt;INT(D475)),"阶段序号无效",IF(COUNTIFS($A$2:$A$501,"止损计划",$B$2:$B$501,B475,$D$2:$D$501,D475)&gt;1,"阶段序号重复",IF(E475&lt;=IFERROR(LOOKUP(2,1/('单次交易'!$A$2:$A$201=B475),'单次交易'!$E$2:$E$201),0),"激活价须高于买入价",IF(F475&lt;N475,"止损价不得低于初始止损",IF(F475&gt;E475,"止损价不得高于激活价",IF(AND(COUNTIFS($A$2:$A$501,"止损计划",$B$2:$B$501,B475,$D$2:$D$501,"&lt;"&amp;D475)&gt;0,OR(E475&lt;=AGGREGATE(14,6,$E$2:$E$501/(($A$2:$A$501="止损计划")*($B$2:$B$501=B475)*($D$2:$D$501&lt;D475)),1),F475&lt;AGGREGATE(14,6,$F$2:$F$501/(($A$2:$A$501="止损计划")*($B$2:$B$501=B475)*($D$2:$D$501&lt;D475)),1))),"阶段价格必须逐级提高","计划有效"))))))),IF(A475="每日跟踪",IF(OR(B475="",H475="",I475="",J475=""),"每日数据不完整",IF(COUNTIFS($A$2:$A$501,"每日跟踪",$B$2:$B$501,B475,$H$2:$H$501,H475)&gt;1,"同一交易日期重复",IF(AND(R475&lt;&gt;"",R475&lt;S475),"人工止损无效：不能下调","跟踪有效"))),"记录类型无效")))</f>
        <v/>
      </c>
    </row>
    <row r="476">
      <c r="A476" s="28" t="n"/>
      <c r="B476" s="28" t="n"/>
      <c r="C476" s="31">
        <f>IF(B476="","",IFERROR(LOOKUP(2,1/(单次交易!$A$2:$A$201=B476),单次交易!$B$2:$B$201),""))</f>
        <v/>
      </c>
      <c r="D476" s="27" t="n"/>
      <c r="E476" s="43" t="n"/>
      <c r="F476" s="43" t="n"/>
      <c r="G476" s="28" t="n"/>
      <c r="H476" s="49" t="n"/>
      <c r="I476" s="43" t="n"/>
      <c r="J476" s="27" t="n"/>
      <c r="K476" s="28" t="n"/>
      <c r="L476" s="28" t="n"/>
      <c r="M476" s="28" t="n"/>
      <c r="N476" s="44">
        <f>IF(B476="","",IFERROR(LOOKUP(2,1/(单次交易!$A$2:$A$201=B476),单次交易!$N$2:$N$201),""))</f>
        <v/>
      </c>
      <c r="O476" s="44">
        <f>IF(A476&lt;&gt;"每日跟踪","",IF(OR(B476="",H476="",I476=""),"",IFERROR(AGGREGATE(14,6,$I$2:$I$501/(($A$2:$A$501="每日跟踪")*($B$2:$B$501=B476)*($H$2:$H$501&lt;=H476)),1),"")))</f>
        <v/>
      </c>
      <c r="P476" s="26">
        <f>IF(A476&lt;&gt;"每日跟踪","",IF(O476="","",IFERROR(AGGREGATE(14,6,$D$2:$D$501/(($A$2:$A$501="止损计划")*($B$2:$B$501=B476)*($E$2:$E$501&lt;=O476)),1),0)))</f>
        <v/>
      </c>
      <c r="Q476" s="44">
        <f>IF(A476&lt;&gt;"每日跟踪","",IF(N476="","",MAX(N476,IFERROR(AGGREGATE(14,6,$F$2:$F$501/(($A$2:$A$501="止损计划")*($B$2:$B$501=B476)*($E$2:$E$501&lt;=O476)),1),0))))</f>
        <v/>
      </c>
      <c r="R476" s="43" t="n"/>
      <c r="S476" s="44">
        <f>IF(A476&lt;&gt;"每日跟踪","",IF(Q476="","",MAX(Q476,IFERROR(AGGREGATE(14,6,$R$2:$R$501/(($A$2:$A$501="每日跟踪")*($B$2:$B$501=B476)*($H$2:$H$501&lt;=H476)),1),0))))</f>
        <v/>
      </c>
      <c r="T476" s="44">
        <f>IF(A476&lt;&gt;"每日跟踪","",IF(O476="","",IF(COUNTIFS($A$2:$A$501,"止损计划",$B$2:$B$501,B476,$E$2:$E$501,"&gt;"&amp;O476)=0,"",AGGREGATE(15,6,$E$2:$E$501/(($A$2:$A$501="止损计划")*($B$2:$B$501=B476)*($E$2:$E$501&gt;O476)),1))))</f>
        <v/>
      </c>
      <c r="U476" s="44">
        <f>IF(OR(A476&lt;&gt;"每日跟踪",T476=""),"",IFERROR(AGGREGATE(14,6,$F$2:$F$501/(($A$2:$A$501="止损计划")*($B$2:$B$501=B476)*($E$2:$E$501=T476)),1),""))</f>
        <v/>
      </c>
      <c r="V476" s="30">
        <f>IF(OR(A476&lt;&gt;"每日跟踪",T476="",I476="",I476&lt;=0),"",T476/I476-1)</f>
        <v/>
      </c>
      <c r="W476" s="31">
        <f>IF(A476&lt;&gt;"每日跟踪","",IF(OR(I476="",S476=""),"",IF(I476&lt;=S476,"触发止损：应全部卖出","继续观察")))</f>
        <v/>
      </c>
      <c r="X476" s="28" t="n"/>
      <c r="Y476" s="43" t="n"/>
      <c r="Z476" s="26">
        <f>IF(X476&lt;&gt;"执行卖出","",IFERROR(LOOKUP(2,1/(单次交易!$A$2:$A$201=B476),单次交易!$AP$2:$AP$201),""))</f>
        <v/>
      </c>
      <c r="AA476" s="43" t="n"/>
      <c r="AB476" s="31">
        <f>IF(A476&lt;&gt;"每日跟踪","",IF(OR(B476="",H476="",I476="",J476="",K476="",L476="",M476=""),"待补充每日记录",IF(W476="触发止损：应全部卖出",IF(X476&lt;&gt;"执行卖出","违规：触发止损但未执行",IF(Y476="","待补充实际卖出价","卖出记录完整")),IF(X476="","待选择卖出动作",IF(X476="执行卖出",IF(Y476="","待补充实际卖出价","卖出记录完整"),"正常")))))</f>
        <v/>
      </c>
      <c r="AC476" s="31">
        <f>IF(A476="","",IF(A476="止损计划",IF(OR(B476="",D476="",E476="",F476="",G476=""),"计划不完整",IF(OR(D476&lt;1,D476&lt;&gt;INT(D476)),"阶段序号无效",IF(COUNTIFS($A$2:$A$501,"止损计划",$B$2:$B$501,B476,$D$2:$D$501,D476)&gt;1,"阶段序号重复",IF(E476&lt;=IFERROR(LOOKUP(2,1/('单次交易'!$A$2:$A$201=B476),'单次交易'!$E$2:$E$201),0),"激活价须高于买入价",IF(F476&lt;N476,"止损价不得低于初始止损",IF(F476&gt;E476,"止损价不得高于激活价",IF(AND(COUNTIFS($A$2:$A$501,"止损计划",$B$2:$B$501,B476,$D$2:$D$501,"&lt;"&amp;D476)&gt;0,OR(E476&lt;=AGGREGATE(14,6,$E$2:$E$501/(($A$2:$A$501="止损计划")*($B$2:$B$501=B476)*($D$2:$D$501&lt;D476)),1),F476&lt;AGGREGATE(14,6,$F$2:$F$501/(($A$2:$A$501="止损计划")*($B$2:$B$501=B476)*($D$2:$D$501&lt;D476)),1))),"阶段价格必须逐级提高","计划有效"))))))),IF(A476="每日跟踪",IF(OR(B476="",H476="",I476="",J476=""),"每日数据不完整",IF(COUNTIFS($A$2:$A$501,"每日跟踪",$B$2:$B$501,B476,$H$2:$H$501,H476)&gt;1,"同一交易日期重复",IF(AND(R476&lt;&gt;"",R476&lt;S476),"人工止损无效：不能下调","跟踪有效"))),"记录类型无效")))</f>
        <v/>
      </c>
    </row>
    <row r="477">
      <c r="A477" s="28" t="n"/>
      <c r="B477" s="28" t="n"/>
      <c r="C477" s="31">
        <f>IF(B477="","",IFERROR(LOOKUP(2,1/(单次交易!$A$2:$A$201=B477),单次交易!$B$2:$B$201),""))</f>
        <v/>
      </c>
      <c r="D477" s="27" t="n"/>
      <c r="E477" s="43" t="n"/>
      <c r="F477" s="43" t="n"/>
      <c r="G477" s="28" t="n"/>
      <c r="H477" s="49" t="n"/>
      <c r="I477" s="43" t="n"/>
      <c r="J477" s="27" t="n"/>
      <c r="K477" s="28" t="n"/>
      <c r="L477" s="28" t="n"/>
      <c r="M477" s="28" t="n"/>
      <c r="N477" s="44">
        <f>IF(B477="","",IFERROR(LOOKUP(2,1/(单次交易!$A$2:$A$201=B477),单次交易!$N$2:$N$201),""))</f>
        <v/>
      </c>
      <c r="O477" s="44">
        <f>IF(A477&lt;&gt;"每日跟踪","",IF(OR(B477="",H477="",I477=""),"",IFERROR(AGGREGATE(14,6,$I$2:$I$501/(($A$2:$A$501="每日跟踪")*($B$2:$B$501=B477)*($H$2:$H$501&lt;=H477)),1),"")))</f>
        <v/>
      </c>
      <c r="P477" s="26">
        <f>IF(A477&lt;&gt;"每日跟踪","",IF(O477="","",IFERROR(AGGREGATE(14,6,$D$2:$D$501/(($A$2:$A$501="止损计划")*($B$2:$B$501=B477)*($E$2:$E$501&lt;=O477)),1),0)))</f>
        <v/>
      </c>
      <c r="Q477" s="44">
        <f>IF(A477&lt;&gt;"每日跟踪","",IF(N477="","",MAX(N477,IFERROR(AGGREGATE(14,6,$F$2:$F$501/(($A$2:$A$501="止损计划")*($B$2:$B$501=B477)*($E$2:$E$501&lt;=O477)),1),0))))</f>
        <v/>
      </c>
      <c r="R477" s="43" t="n"/>
      <c r="S477" s="44">
        <f>IF(A477&lt;&gt;"每日跟踪","",IF(Q477="","",MAX(Q477,IFERROR(AGGREGATE(14,6,$R$2:$R$501/(($A$2:$A$501="每日跟踪")*($B$2:$B$501=B477)*($H$2:$H$501&lt;=H477)),1),0))))</f>
        <v/>
      </c>
      <c r="T477" s="44">
        <f>IF(A477&lt;&gt;"每日跟踪","",IF(O477="","",IF(COUNTIFS($A$2:$A$501,"止损计划",$B$2:$B$501,B477,$E$2:$E$501,"&gt;"&amp;O477)=0,"",AGGREGATE(15,6,$E$2:$E$501/(($A$2:$A$501="止损计划")*($B$2:$B$501=B477)*($E$2:$E$501&gt;O477)),1))))</f>
        <v/>
      </c>
      <c r="U477" s="44">
        <f>IF(OR(A477&lt;&gt;"每日跟踪",T477=""),"",IFERROR(AGGREGATE(14,6,$F$2:$F$501/(($A$2:$A$501="止损计划")*($B$2:$B$501=B477)*($E$2:$E$501=T477)),1),""))</f>
        <v/>
      </c>
      <c r="V477" s="30">
        <f>IF(OR(A477&lt;&gt;"每日跟踪",T477="",I477="",I477&lt;=0),"",T477/I477-1)</f>
        <v/>
      </c>
      <c r="W477" s="31">
        <f>IF(A477&lt;&gt;"每日跟踪","",IF(OR(I477="",S477=""),"",IF(I477&lt;=S477,"触发止损：应全部卖出","继续观察")))</f>
        <v/>
      </c>
      <c r="X477" s="28" t="n"/>
      <c r="Y477" s="43" t="n"/>
      <c r="Z477" s="26">
        <f>IF(X477&lt;&gt;"执行卖出","",IFERROR(LOOKUP(2,1/(单次交易!$A$2:$A$201=B477),单次交易!$AP$2:$AP$201),""))</f>
        <v/>
      </c>
      <c r="AA477" s="43" t="n"/>
      <c r="AB477" s="31">
        <f>IF(A477&lt;&gt;"每日跟踪","",IF(OR(B477="",H477="",I477="",J477="",K477="",L477="",M477=""),"待补充每日记录",IF(W477="触发止损：应全部卖出",IF(X477&lt;&gt;"执行卖出","违规：触发止损但未执行",IF(Y477="","待补充实际卖出价","卖出记录完整")),IF(X477="","待选择卖出动作",IF(X477="执行卖出",IF(Y477="","待补充实际卖出价","卖出记录完整"),"正常")))))</f>
        <v/>
      </c>
      <c r="AC477" s="31">
        <f>IF(A477="","",IF(A477="止损计划",IF(OR(B477="",D477="",E477="",F477="",G477=""),"计划不完整",IF(OR(D477&lt;1,D477&lt;&gt;INT(D477)),"阶段序号无效",IF(COUNTIFS($A$2:$A$501,"止损计划",$B$2:$B$501,B477,$D$2:$D$501,D477)&gt;1,"阶段序号重复",IF(E477&lt;=IFERROR(LOOKUP(2,1/('单次交易'!$A$2:$A$201=B477),'单次交易'!$E$2:$E$201),0),"激活价须高于买入价",IF(F477&lt;N477,"止损价不得低于初始止损",IF(F477&gt;E477,"止损价不得高于激活价",IF(AND(COUNTIFS($A$2:$A$501,"止损计划",$B$2:$B$501,B477,$D$2:$D$501,"&lt;"&amp;D477)&gt;0,OR(E477&lt;=AGGREGATE(14,6,$E$2:$E$501/(($A$2:$A$501="止损计划")*($B$2:$B$501=B477)*($D$2:$D$501&lt;D477)),1),F477&lt;AGGREGATE(14,6,$F$2:$F$501/(($A$2:$A$501="止损计划")*($B$2:$B$501=B477)*($D$2:$D$501&lt;D477)),1))),"阶段价格必须逐级提高","计划有效"))))))),IF(A477="每日跟踪",IF(OR(B477="",H477="",I477="",J477=""),"每日数据不完整",IF(COUNTIFS($A$2:$A$501,"每日跟踪",$B$2:$B$501,B477,$H$2:$H$501,H477)&gt;1,"同一交易日期重复",IF(AND(R477&lt;&gt;"",R477&lt;S477),"人工止损无效：不能下调","跟踪有效"))),"记录类型无效")))</f>
        <v/>
      </c>
    </row>
    <row r="478">
      <c r="A478" s="28" t="n"/>
      <c r="B478" s="28" t="n"/>
      <c r="C478" s="31">
        <f>IF(B478="","",IFERROR(LOOKUP(2,1/(单次交易!$A$2:$A$201=B478),单次交易!$B$2:$B$201),""))</f>
        <v/>
      </c>
      <c r="D478" s="27" t="n"/>
      <c r="E478" s="43" t="n"/>
      <c r="F478" s="43" t="n"/>
      <c r="G478" s="28" t="n"/>
      <c r="H478" s="49" t="n"/>
      <c r="I478" s="43" t="n"/>
      <c r="J478" s="27" t="n"/>
      <c r="K478" s="28" t="n"/>
      <c r="L478" s="28" t="n"/>
      <c r="M478" s="28" t="n"/>
      <c r="N478" s="44">
        <f>IF(B478="","",IFERROR(LOOKUP(2,1/(单次交易!$A$2:$A$201=B478),单次交易!$N$2:$N$201),""))</f>
        <v/>
      </c>
      <c r="O478" s="44">
        <f>IF(A478&lt;&gt;"每日跟踪","",IF(OR(B478="",H478="",I478=""),"",IFERROR(AGGREGATE(14,6,$I$2:$I$501/(($A$2:$A$501="每日跟踪")*($B$2:$B$501=B478)*($H$2:$H$501&lt;=H478)),1),"")))</f>
        <v/>
      </c>
      <c r="P478" s="26">
        <f>IF(A478&lt;&gt;"每日跟踪","",IF(O478="","",IFERROR(AGGREGATE(14,6,$D$2:$D$501/(($A$2:$A$501="止损计划")*($B$2:$B$501=B478)*($E$2:$E$501&lt;=O478)),1),0)))</f>
        <v/>
      </c>
      <c r="Q478" s="44">
        <f>IF(A478&lt;&gt;"每日跟踪","",IF(N478="","",MAX(N478,IFERROR(AGGREGATE(14,6,$F$2:$F$501/(($A$2:$A$501="止损计划")*($B$2:$B$501=B478)*($E$2:$E$501&lt;=O478)),1),0))))</f>
        <v/>
      </c>
      <c r="R478" s="43" t="n"/>
      <c r="S478" s="44">
        <f>IF(A478&lt;&gt;"每日跟踪","",IF(Q478="","",MAX(Q478,IFERROR(AGGREGATE(14,6,$R$2:$R$501/(($A$2:$A$501="每日跟踪")*($B$2:$B$501=B478)*($H$2:$H$501&lt;=H478)),1),0))))</f>
        <v/>
      </c>
      <c r="T478" s="44">
        <f>IF(A478&lt;&gt;"每日跟踪","",IF(O478="","",IF(COUNTIFS($A$2:$A$501,"止损计划",$B$2:$B$501,B478,$E$2:$E$501,"&gt;"&amp;O478)=0,"",AGGREGATE(15,6,$E$2:$E$501/(($A$2:$A$501="止损计划")*($B$2:$B$501=B478)*($E$2:$E$501&gt;O478)),1))))</f>
        <v/>
      </c>
      <c r="U478" s="44">
        <f>IF(OR(A478&lt;&gt;"每日跟踪",T478=""),"",IFERROR(AGGREGATE(14,6,$F$2:$F$501/(($A$2:$A$501="止损计划")*($B$2:$B$501=B478)*($E$2:$E$501=T478)),1),""))</f>
        <v/>
      </c>
      <c r="V478" s="30">
        <f>IF(OR(A478&lt;&gt;"每日跟踪",T478="",I478="",I478&lt;=0),"",T478/I478-1)</f>
        <v/>
      </c>
      <c r="W478" s="31">
        <f>IF(A478&lt;&gt;"每日跟踪","",IF(OR(I478="",S478=""),"",IF(I478&lt;=S478,"触发止损：应全部卖出","继续观察")))</f>
        <v/>
      </c>
      <c r="X478" s="28" t="n"/>
      <c r="Y478" s="43" t="n"/>
      <c r="Z478" s="26">
        <f>IF(X478&lt;&gt;"执行卖出","",IFERROR(LOOKUP(2,1/(单次交易!$A$2:$A$201=B478),单次交易!$AP$2:$AP$201),""))</f>
        <v/>
      </c>
      <c r="AA478" s="43" t="n"/>
      <c r="AB478" s="31">
        <f>IF(A478&lt;&gt;"每日跟踪","",IF(OR(B478="",H478="",I478="",J478="",K478="",L478="",M478=""),"待补充每日记录",IF(W478="触发止损：应全部卖出",IF(X478&lt;&gt;"执行卖出","违规：触发止损但未执行",IF(Y478="","待补充实际卖出价","卖出记录完整")),IF(X478="","待选择卖出动作",IF(X478="执行卖出",IF(Y478="","待补充实际卖出价","卖出记录完整"),"正常")))))</f>
        <v/>
      </c>
      <c r="AC478" s="31">
        <f>IF(A478="","",IF(A478="止损计划",IF(OR(B478="",D478="",E478="",F478="",G478=""),"计划不完整",IF(OR(D478&lt;1,D478&lt;&gt;INT(D478)),"阶段序号无效",IF(COUNTIFS($A$2:$A$501,"止损计划",$B$2:$B$501,B478,$D$2:$D$501,D478)&gt;1,"阶段序号重复",IF(E478&lt;=IFERROR(LOOKUP(2,1/('单次交易'!$A$2:$A$201=B478),'单次交易'!$E$2:$E$201),0),"激活价须高于买入价",IF(F478&lt;N478,"止损价不得低于初始止损",IF(F478&gt;E478,"止损价不得高于激活价",IF(AND(COUNTIFS($A$2:$A$501,"止损计划",$B$2:$B$501,B478,$D$2:$D$501,"&lt;"&amp;D478)&gt;0,OR(E478&lt;=AGGREGATE(14,6,$E$2:$E$501/(($A$2:$A$501="止损计划")*($B$2:$B$501=B478)*($D$2:$D$501&lt;D478)),1),F478&lt;AGGREGATE(14,6,$F$2:$F$501/(($A$2:$A$501="止损计划")*($B$2:$B$501=B478)*($D$2:$D$501&lt;D478)),1))),"阶段价格必须逐级提高","计划有效"))))))),IF(A478="每日跟踪",IF(OR(B478="",H478="",I478="",J478=""),"每日数据不完整",IF(COUNTIFS($A$2:$A$501,"每日跟踪",$B$2:$B$501,B478,$H$2:$H$501,H478)&gt;1,"同一交易日期重复",IF(AND(R478&lt;&gt;"",R478&lt;S478),"人工止损无效：不能下调","跟踪有效"))),"记录类型无效")))</f>
        <v/>
      </c>
    </row>
    <row r="479">
      <c r="A479" s="28" t="n"/>
      <c r="B479" s="28" t="n"/>
      <c r="C479" s="31">
        <f>IF(B479="","",IFERROR(LOOKUP(2,1/(单次交易!$A$2:$A$201=B479),单次交易!$B$2:$B$201),""))</f>
        <v/>
      </c>
      <c r="D479" s="27" t="n"/>
      <c r="E479" s="43" t="n"/>
      <c r="F479" s="43" t="n"/>
      <c r="G479" s="28" t="n"/>
      <c r="H479" s="49" t="n"/>
      <c r="I479" s="43" t="n"/>
      <c r="J479" s="27" t="n"/>
      <c r="K479" s="28" t="n"/>
      <c r="L479" s="28" t="n"/>
      <c r="M479" s="28" t="n"/>
      <c r="N479" s="44">
        <f>IF(B479="","",IFERROR(LOOKUP(2,1/(单次交易!$A$2:$A$201=B479),单次交易!$N$2:$N$201),""))</f>
        <v/>
      </c>
      <c r="O479" s="44">
        <f>IF(A479&lt;&gt;"每日跟踪","",IF(OR(B479="",H479="",I479=""),"",IFERROR(AGGREGATE(14,6,$I$2:$I$501/(($A$2:$A$501="每日跟踪")*($B$2:$B$501=B479)*($H$2:$H$501&lt;=H479)),1),"")))</f>
        <v/>
      </c>
      <c r="P479" s="26">
        <f>IF(A479&lt;&gt;"每日跟踪","",IF(O479="","",IFERROR(AGGREGATE(14,6,$D$2:$D$501/(($A$2:$A$501="止损计划")*($B$2:$B$501=B479)*($E$2:$E$501&lt;=O479)),1),0)))</f>
        <v/>
      </c>
      <c r="Q479" s="44">
        <f>IF(A479&lt;&gt;"每日跟踪","",IF(N479="","",MAX(N479,IFERROR(AGGREGATE(14,6,$F$2:$F$501/(($A$2:$A$501="止损计划")*($B$2:$B$501=B479)*($E$2:$E$501&lt;=O479)),1),0))))</f>
        <v/>
      </c>
      <c r="R479" s="43" t="n"/>
      <c r="S479" s="44">
        <f>IF(A479&lt;&gt;"每日跟踪","",IF(Q479="","",MAX(Q479,IFERROR(AGGREGATE(14,6,$R$2:$R$501/(($A$2:$A$501="每日跟踪")*($B$2:$B$501=B479)*($H$2:$H$501&lt;=H479)),1),0))))</f>
        <v/>
      </c>
      <c r="T479" s="44">
        <f>IF(A479&lt;&gt;"每日跟踪","",IF(O479="","",IF(COUNTIFS($A$2:$A$501,"止损计划",$B$2:$B$501,B479,$E$2:$E$501,"&gt;"&amp;O479)=0,"",AGGREGATE(15,6,$E$2:$E$501/(($A$2:$A$501="止损计划")*($B$2:$B$501=B479)*($E$2:$E$501&gt;O479)),1))))</f>
        <v/>
      </c>
      <c r="U479" s="44">
        <f>IF(OR(A479&lt;&gt;"每日跟踪",T479=""),"",IFERROR(AGGREGATE(14,6,$F$2:$F$501/(($A$2:$A$501="止损计划")*($B$2:$B$501=B479)*($E$2:$E$501=T479)),1),""))</f>
        <v/>
      </c>
      <c r="V479" s="30">
        <f>IF(OR(A479&lt;&gt;"每日跟踪",T479="",I479="",I479&lt;=0),"",T479/I479-1)</f>
        <v/>
      </c>
      <c r="W479" s="31">
        <f>IF(A479&lt;&gt;"每日跟踪","",IF(OR(I479="",S479=""),"",IF(I479&lt;=S479,"触发止损：应全部卖出","继续观察")))</f>
        <v/>
      </c>
      <c r="X479" s="28" t="n"/>
      <c r="Y479" s="43" t="n"/>
      <c r="Z479" s="26">
        <f>IF(X479&lt;&gt;"执行卖出","",IFERROR(LOOKUP(2,1/(单次交易!$A$2:$A$201=B479),单次交易!$AP$2:$AP$201),""))</f>
        <v/>
      </c>
      <c r="AA479" s="43" t="n"/>
      <c r="AB479" s="31">
        <f>IF(A479&lt;&gt;"每日跟踪","",IF(OR(B479="",H479="",I479="",J479="",K479="",L479="",M479=""),"待补充每日记录",IF(W479="触发止损：应全部卖出",IF(X479&lt;&gt;"执行卖出","违规：触发止损但未执行",IF(Y479="","待补充实际卖出价","卖出记录完整")),IF(X479="","待选择卖出动作",IF(X479="执行卖出",IF(Y479="","待补充实际卖出价","卖出记录完整"),"正常")))))</f>
        <v/>
      </c>
      <c r="AC479" s="31">
        <f>IF(A479="","",IF(A479="止损计划",IF(OR(B479="",D479="",E479="",F479="",G479=""),"计划不完整",IF(OR(D479&lt;1,D479&lt;&gt;INT(D479)),"阶段序号无效",IF(COUNTIFS($A$2:$A$501,"止损计划",$B$2:$B$501,B479,$D$2:$D$501,D479)&gt;1,"阶段序号重复",IF(E479&lt;=IFERROR(LOOKUP(2,1/('单次交易'!$A$2:$A$201=B479),'单次交易'!$E$2:$E$201),0),"激活价须高于买入价",IF(F479&lt;N479,"止损价不得低于初始止损",IF(F479&gt;E479,"止损价不得高于激活价",IF(AND(COUNTIFS($A$2:$A$501,"止损计划",$B$2:$B$501,B479,$D$2:$D$501,"&lt;"&amp;D479)&gt;0,OR(E479&lt;=AGGREGATE(14,6,$E$2:$E$501/(($A$2:$A$501="止损计划")*($B$2:$B$501=B479)*($D$2:$D$501&lt;D479)),1),F479&lt;AGGREGATE(14,6,$F$2:$F$501/(($A$2:$A$501="止损计划")*($B$2:$B$501=B479)*($D$2:$D$501&lt;D479)),1))),"阶段价格必须逐级提高","计划有效"))))))),IF(A479="每日跟踪",IF(OR(B479="",H479="",I479="",J479=""),"每日数据不完整",IF(COUNTIFS($A$2:$A$501,"每日跟踪",$B$2:$B$501,B479,$H$2:$H$501,H479)&gt;1,"同一交易日期重复",IF(AND(R479&lt;&gt;"",R479&lt;S479),"人工止损无效：不能下调","跟踪有效"))),"记录类型无效")))</f>
        <v/>
      </c>
    </row>
    <row r="480">
      <c r="A480" s="28" t="n"/>
      <c r="B480" s="28" t="n"/>
      <c r="C480" s="31">
        <f>IF(B480="","",IFERROR(LOOKUP(2,1/(单次交易!$A$2:$A$201=B480),单次交易!$B$2:$B$201),""))</f>
        <v/>
      </c>
      <c r="D480" s="27" t="n"/>
      <c r="E480" s="43" t="n"/>
      <c r="F480" s="43" t="n"/>
      <c r="G480" s="28" t="n"/>
      <c r="H480" s="49" t="n"/>
      <c r="I480" s="43" t="n"/>
      <c r="J480" s="27" t="n"/>
      <c r="K480" s="28" t="n"/>
      <c r="L480" s="28" t="n"/>
      <c r="M480" s="28" t="n"/>
      <c r="N480" s="44">
        <f>IF(B480="","",IFERROR(LOOKUP(2,1/(单次交易!$A$2:$A$201=B480),单次交易!$N$2:$N$201),""))</f>
        <v/>
      </c>
      <c r="O480" s="44">
        <f>IF(A480&lt;&gt;"每日跟踪","",IF(OR(B480="",H480="",I480=""),"",IFERROR(AGGREGATE(14,6,$I$2:$I$501/(($A$2:$A$501="每日跟踪")*($B$2:$B$501=B480)*($H$2:$H$501&lt;=H480)),1),"")))</f>
        <v/>
      </c>
      <c r="P480" s="26">
        <f>IF(A480&lt;&gt;"每日跟踪","",IF(O480="","",IFERROR(AGGREGATE(14,6,$D$2:$D$501/(($A$2:$A$501="止损计划")*($B$2:$B$501=B480)*($E$2:$E$501&lt;=O480)),1),0)))</f>
        <v/>
      </c>
      <c r="Q480" s="44">
        <f>IF(A480&lt;&gt;"每日跟踪","",IF(N480="","",MAX(N480,IFERROR(AGGREGATE(14,6,$F$2:$F$501/(($A$2:$A$501="止损计划")*($B$2:$B$501=B480)*($E$2:$E$501&lt;=O480)),1),0))))</f>
        <v/>
      </c>
      <c r="R480" s="43" t="n"/>
      <c r="S480" s="44">
        <f>IF(A480&lt;&gt;"每日跟踪","",IF(Q480="","",MAX(Q480,IFERROR(AGGREGATE(14,6,$R$2:$R$501/(($A$2:$A$501="每日跟踪")*($B$2:$B$501=B480)*($H$2:$H$501&lt;=H480)),1),0))))</f>
        <v/>
      </c>
      <c r="T480" s="44">
        <f>IF(A480&lt;&gt;"每日跟踪","",IF(O480="","",IF(COUNTIFS($A$2:$A$501,"止损计划",$B$2:$B$501,B480,$E$2:$E$501,"&gt;"&amp;O480)=0,"",AGGREGATE(15,6,$E$2:$E$501/(($A$2:$A$501="止损计划")*($B$2:$B$501=B480)*($E$2:$E$501&gt;O480)),1))))</f>
        <v/>
      </c>
      <c r="U480" s="44">
        <f>IF(OR(A480&lt;&gt;"每日跟踪",T480=""),"",IFERROR(AGGREGATE(14,6,$F$2:$F$501/(($A$2:$A$501="止损计划")*($B$2:$B$501=B480)*($E$2:$E$501=T480)),1),""))</f>
        <v/>
      </c>
      <c r="V480" s="30">
        <f>IF(OR(A480&lt;&gt;"每日跟踪",T480="",I480="",I480&lt;=0),"",T480/I480-1)</f>
        <v/>
      </c>
      <c r="W480" s="31">
        <f>IF(A480&lt;&gt;"每日跟踪","",IF(OR(I480="",S480=""),"",IF(I480&lt;=S480,"触发止损：应全部卖出","继续观察")))</f>
        <v/>
      </c>
      <c r="X480" s="28" t="n"/>
      <c r="Y480" s="43" t="n"/>
      <c r="Z480" s="26">
        <f>IF(X480&lt;&gt;"执行卖出","",IFERROR(LOOKUP(2,1/(单次交易!$A$2:$A$201=B480),单次交易!$AP$2:$AP$201),""))</f>
        <v/>
      </c>
      <c r="AA480" s="43" t="n"/>
      <c r="AB480" s="31">
        <f>IF(A480&lt;&gt;"每日跟踪","",IF(OR(B480="",H480="",I480="",J480="",K480="",L480="",M480=""),"待补充每日记录",IF(W480="触发止损：应全部卖出",IF(X480&lt;&gt;"执行卖出","违规：触发止损但未执行",IF(Y480="","待补充实际卖出价","卖出记录完整")),IF(X480="","待选择卖出动作",IF(X480="执行卖出",IF(Y480="","待补充实际卖出价","卖出记录完整"),"正常")))))</f>
        <v/>
      </c>
      <c r="AC480" s="31">
        <f>IF(A480="","",IF(A480="止损计划",IF(OR(B480="",D480="",E480="",F480="",G480=""),"计划不完整",IF(OR(D480&lt;1,D480&lt;&gt;INT(D480)),"阶段序号无效",IF(COUNTIFS($A$2:$A$501,"止损计划",$B$2:$B$501,B480,$D$2:$D$501,D480)&gt;1,"阶段序号重复",IF(E480&lt;=IFERROR(LOOKUP(2,1/('单次交易'!$A$2:$A$201=B480),'单次交易'!$E$2:$E$201),0),"激活价须高于买入价",IF(F480&lt;N480,"止损价不得低于初始止损",IF(F480&gt;E480,"止损价不得高于激活价",IF(AND(COUNTIFS($A$2:$A$501,"止损计划",$B$2:$B$501,B480,$D$2:$D$501,"&lt;"&amp;D480)&gt;0,OR(E480&lt;=AGGREGATE(14,6,$E$2:$E$501/(($A$2:$A$501="止损计划")*($B$2:$B$501=B480)*($D$2:$D$501&lt;D480)),1),F480&lt;AGGREGATE(14,6,$F$2:$F$501/(($A$2:$A$501="止损计划")*($B$2:$B$501=B480)*($D$2:$D$501&lt;D480)),1))),"阶段价格必须逐级提高","计划有效"))))))),IF(A480="每日跟踪",IF(OR(B480="",H480="",I480="",J480=""),"每日数据不完整",IF(COUNTIFS($A$2:$A$501,"每日跟踪",$B$2:$B$501,B480,$H$2:$H$501,H480)&gt;1,"同一交易日期重复",IF(AND(R480&lt;&gt;"",R480&lt;S480),"人工止损无效：不能下调","跟踪有效"))),"记录类型无效")))</f>
        <v/>
      </c>
    </row>
    <row r="481">
      <c r="A481" s="28" t="n"/>
      <c r="B481" s="28" t="n"/>
      <c r="C481" s="31">
        <f>IF(B481="","",IFERROR(LOOKUP(2,1/(单次交易!$A$2:$A$201=B481),单次交易!$B$2:$B$201),""))</f>
        <v/>
      </c>
      <c r="D481" s="27" t="n"/>
      <c r="E481" s="43" t="n"/>
      <c r="F481" s="43" t="n"/>
      <c r="G481" s="28" t="n"/>
      <c r="H481" s="49" t="n"/>
      <c r="I481" s="43" t="n"/>
      <c r="J481" s="27" t="n"/>
      <c r="K481" s="28" t="n"/>
      <c r="L481" s="28" t="n"/>
      <c r="M481" s="28" t="n"/>
      <c r="N481" s="44">
        <f>IF(B481="","",IFERROR(LOOKUP(2,1/(单次交易!$A$2:$A$201=B481),单次交易!$N$2:$N$201),""))</f>
        <v/>
      </c>
      <c r="O481" s="44">
        <f>IF(A481&lt;&gt;"每日跟踪","",IF(OR(B481="",H481="",I481=""),"",IFERROR(AGGREGATE(14,6,$I$2:$I$501/(($A$2:$A$501="每日跟踪")*($B$2:$B$501=B481)*($H$2:$H$501&lt;=H481)),1),"")))</f>
        <v/>
      </c>
      <c r="P481" s="26">
        <f>IF(A481&lt;&gt;"每日跟踪","",IF(O481="","",IFERROR(AGGREGATE(14,6,$D$2:$D$501/(($A$2:$A$501="止损计划")*($B$2:$B$501=B481)*($E$2:$E$501&lt;=O481)),1),0)))</f>
        <v/>
      </c>
      <c r="Q481" s="44">
        <f>IF(A481&lt;&gt;"每日跟踪","",IF(N481="","",MAX(N481,IFERROR(AGGREGATE(14,6,$F$2:$F$501/(($A$2:$A$501="止损计划")*($B$2:$B$501=B481)*($E$2:$E$501&lt;=O481)),1),0))))</f>
        <v/>
      </c>
      <c r="R481" s="43" t="n"/>
      <c r="S481" s="44">
        <f>IF(A481&lt;&gt;"每日跟踪","",IF(Q481="","",MAX(Q481,IFERROR(AGGREGATE(14,6,$R$2:$R$501/(($A$2:$A$501="每日跟踪")*($B$2:$B$501=B481)*($H$2:$H$501&lt;=H481)),1),0))))</f>
        <v/>
      </c>
      <c r="T481" s="44">
        <f>IF(A481&lt;&gt;"每日跟踪","",IF(O481="","",IF(COUNTIFS($A$2:$A$501,"止损计划",$B$2:$B$501,B481,$E$2:$E$501,"&gt;"&amp;O481)=0,"",AGGREGATE(15,6,$E$2:$E$501/(($A$2:$A$501="止损计划")*($B$2:$B$501=B481)*($E$2:$E$501&gt;O481)),1))))</f>
        <v/>
      </c>
      <c r="U481" s="44">
        <f>IF(OR(A481&lt;&gt;"每日跟踪",T481=""),"",IFERROR(AGGREGATE(14,6,$F$2:$F$501/(($A$2:$A$501="止损计划")*($B$2:$B$501=B481)*($E$2:$E$501=T481)),1),""))</f>
        <v/>
      </c>
      <c r="V481" s="30">
        <f>IF(OR(A481&lt;&gt;"每日跟踪",T481="",I481="",I481&lt;=0),"",T481/I481-1)</f>
        <v/>
      </c>
      <c r="W481" s="31">
        <f>IF(A481&lt;&gt;"每日跟踪","",IF(OR(I481="",S481=""),"",IF(I481&lt;=S481,"触发止损：应全部卖出","继续观察")))</f>
        <v/>
      </c>
      <c r="X481" s="28" t="n"/>
      <c r="Y481" s="43" t="n"/>
      <c r="Z481" s="26">
        <f>IF(X481&lt;&gt;"执行卖出","",IFERROR(LOOKUP(2,1/(单次交易!$A$2:$A$201=B481),单次交易!$AP$2:$AP$201),""))</f>
        <v/>
      </c>
      <c r="AA481" s="43" t="n"/>
      <c r="AB481" s="31">
        <f>IF(A481&lt;&gt;"每日跟踪","",IF(OR(B481="",H481="",I481="",J481="",K481="",L481="",M481=""),"待补充每日记录",IF(W481="触发止损：应全部卖出",IF(X481&lt;&gt;"执行卖出","违规：触发止损但未执行",IF(Y481="","待补充实际卖出价","卖出记录完整")),IF(X481="","待选择卖出动作",IF(X481="执行卖出",IF(Y481="","待补充实际卖出价","卖出记录完整"),"正常")))))</f>
        <v/>
      </c>
      <c r="AC481" s="31">
        <f>IF(A481="","",IF(A481="止损计划",IF(OR(B481="",D481="",E481="",F481="",G481=""),"计划不完整",IF(OR(D481&lt;1,D481&lt;&gt;INT(D481)),"阶段序号无效",IF(COUNTIFS($A$2:$A$501,"止损计划",$B$2:$B$501,B481,$D$2:$D$501,D481)&gt;1,"阶段序号重复",IF(E481&lt;=IFERROR(LOOKUP(2,1/('单次交易'!$A$2:$A$201=B481),'单次交易'!$E$2:$E$201),0),"激活价须高于买入价",IF(F481&lt;N481,"止损价不得低于初始止损",IF(F481&gt;E481,"止损价不得高于激活价",IF(AND(COUNTIFS($A$2:$A$501,"止损计划",$B$2:$B$501,B481,$D$2:$D$501,"&lt;"&amp;D481)&gt;0,OR(E481&lt;=AGGREGATE(14,6,$E$2:$E$501/(($A$2:$A$501="止损计划")*($B$2:$B$501=B481)*($D$2:$D$501&lt;D481)),1),F481&lt;AGGREGATE(14,6,$F$2:$F$501/(($A$2:$A$501="止损计划")*($B$2:$B$501=B481)*($D$2:$D$501&lt;D481)),1))),"阶段价格必须逐级提高","计划有效"))))))),IF(A481="每日跟踪",IF(OR(B481="",H481="",I481="",J481=""),"每日数据不完整",IF(COUNTIFS($A$2:$A$501,"每日跟踪",$B$2:$B$501,B481,$H$2:$H$501,H481)&gt;1,"同一交易日期重复",IF(AND(R481&lt;&gt;"",R481&lt;S481),"人工止损无效：不能下调","跟踪有效"))),"记录类型无效")))</f>
        <v/>
      </c>
    </row>
    <row r="482">
      <c r="A482" s="28" t="n"/>
      <c r="B482" s="28" t="n"/>
      <c r="C482" s="31">
        <f>IF(B482="","",IFERROR(LOOKUP(2,1/(单次交易!$A$2:$A$201=B482),单次交易!$B$2:$B$201),""))</f>
        <v/>
      </c>
      <c r="D482" s="27" t="n"/>
      <c r="E482" s="43" t="n"/>
      <c r="F482" s="43" t="n"/>
      <c r="G482" s="28" t="n"/>
      <c r="H482" s="49" t="n"/>
      <c r="I482" s="43" t="n"/>
      <c r="J482" s="27" t="n"/>
      <c r="K482" s="28" t="n"/>
      <c r="L482" s="28" t="n"/>
      <c r="M482" s="28" t="n"/>
      <c r="N482" s="44">
        <f>IF(B482="","",IFERROR(LOOKUP(2,1/(单次交易!$A$2:$A$201=B482),单次交易!$N$2:$N$201),""))</f>
        <v/>
      </c>
      <c r="O482" s="44">
        <f>IF(A482&lt;&gt;"每日跟踪","",IF(OR(B482="",H482="",I482=""),"",IFERROR(AGGREGATE(14,6,$I$2:$I$501/(($A$2:$A$501="每日跟踪")*($B$2:$B$501=B482)*($H$2:$H$501&lt;=H482)),1),"")))</f>
        <v/>
      </c>
      <c r="P482" s="26">
        <f>IF(A482&lt;&gt;"每日跟踪","",IF(O482="","",IFERROR(AGGREGATE(14,6,$D$2:$D$501/(($A$2:$A$501="止损计划")*($B$2:$B$501=B482)*($E$2:$E$501&lt;=O482)),1),0)))</f>
        <v/>
      </c>
      <c r="Q482" s="44">
        <f>IF(A482&lt;&gt;"每日跟踪","",IF(N482="","",MAX(N482,IFERROR(AGGREGATE(14,6,$F$2:$F$501/(($A$2:$A$501="止损计划")*($B$2:$B$501=B482)*($E$2:$E$501&lt;=O482)),1),0))))</f>
        <v/>
      </c>
      <c r="R482" s="43" t="n"/>
      <c r="S482" s="44">
        <f>IF(A482&lt;&gt;"每日跟踪","",IF(Q482="","",MAX(Q482,IFERROR(AGGREGATE(14,6,$R$2:$R$501/(($A$2:$A$501="每日跟踪")*($B$2:$B$501=B482)*($H$2:$H$501&lt;=H482)),1),0))))</f>
        <v/>
      </c>
      <c r="T482" s="44">
        <f>IF(A482&lt;&gt;"每日跟踪","",IF(O482="","",IF(COUNTIFS($A$2:$A$501,"止损计划",$B$2:$B$501,B482,$E$2:$E$501,"&gt;"&amp;O482)=0,"",AGGREGATE(15,6,$E$2:$E$501/(($A$2:$A$501="止损计划")*($B$2:$B$501=B482)*($E$2:$E$501&gt;O482)),1))))</f>
        <v/>
      </c>
      <c r="U482" s="44">
        <f>IF(OR(A482&lt;&gt;"每日跟踪",T482=""),"",IFERROR(AGGREGATE(14,6,$F$2:$F$501/(($A$2:$A$501="止损计划")*($B$2:$B$501=B482)*($E$2:$E$501=T482)),1),""))</f>
        <v/>
      </c>
      <c r="V482" s="30">
        <f>IF(OR(A482&lt;&gt;"每日跟踪",T482="",I482="",I482&lt;=0),"",T482/I482-1)</f>
        <v/>
      </c>
      <c r="W482" s="31">
        <f>IF(A482&lt;&gt;"每日跟踪","",IF(OR(I482="",S482=""),"",IF(I482&lt;=S482,"触发止损：应全部卖出","继续观察")))</f>
        <v/>
      </c>
      <c r="X482" s="28" t="n"/>
      <c r="Y482" s="43" t="n"/>
      <c r="Z482" s="26">
        <f>IF(X482&lt;&gt;"执行卖出","",IFERROR(LOOKUP(2,1/(单次交易!$A$2:$A$201=B482),单次交易!$AP$2:$AP$201),""))</f>
        <v/>
      </c>
      <c r="AA482" s="43" t="n"/>
      <c r="AB482" s="31">
        <f>IF(A482&lt;&gt;"每日跟踪","",IF(OR(B482="",H482="",I482="",J482="",K482="",L482="",M482=""),"待补充每日记录",IF(W482="触发止损：应全部卖出",IF(X482&lt;&gt;"执行卖出","违规：触发止损但未执行",IF(Y482="","待补充实际卖出价","卖出记录完整")),IF(X482="","待选择卖出动作",IF(X482="执行卖出",IF(Y482="","待补充实际卖出价","卖出记录完整"),"正常")))))</f>
        <v/>
      </c>
      <c r="AC482" s="31">
        <f>IF(A482="","",IF(A482="止损计划",IF(OR(B482="",D482="",E482="",F482="",G482=""),"计划不完整",IF(OR(D482&lt;1,D482&lt;&gt;INT(D482)),"阶段序号无效",IF(COUNTIFS($A$2:$A$501,"止损计划",$B$2:$B$501,B482,$D$2:$D$501,D482)&gt;1,"阶段序号重复",IF(E482&lt;=IFERROR(LOOKUP(2,1/('单次交易'!$A$2:$A$201=B482),'单次交易'!$E$2:$E$201),0),"激活价须高于买入价",IF(F482&lt;N482,"止损价不得低于初始止损",IF(F482&gt;E482,"止损价不得高于激活价",IF(AND(COUNTIFS($A$2:$A$501,"止损计划",$B$2:$B$501,B482,$D$2:$D$501,"&lt;"&amp;D482)&gt;0,OR(E482&lt;=AGGREGATE(14,6,$E$2:$E$501/(($A$2:$A$501="止损计划")*($B$2:$B$501=B482)*($D$2:$D$501&lt;D482)),1),F482&lt;AGGREGATE(14,6,$F$2:$F$501/(($A$2:$A$501="止损计划")*($B$2:$B$501=B482)*($D$2:$D$501&lt;D482)),1))),"阶段价格必须逐级提高","计划有效"))))))),IF(A482="每日跟踪",IF(OR(B482="",H482="",I482="",J482=""),"每日数据不完整",IF(COUNTIFS($A$2:$A$501,"每日跟踪",$B$2:$B$501,B482,$H$2:$H$501,H482)&gt;1,"同一交易日期重复",IF(AND(R482&lt;&gt;"",R482&lt;S482),"人工止损无效：不能下调","跟踪有效"))),"记录类型无效")))</f>
        <v/>
      </c>
    </row>
    <row r="483">
      <c r="A483" s="28" t="n"/>
      <c r="B483" s="28" t="n"/>
      <c r="C483" s="31">
        <f>IF(B483="","",IFERROR(LOOKUP(2,1/(单次交易!$A$2:$A$201=B483),单次交易!$B$2:$B$201),""))</f>
        <v/>
      </c>
      <c r="D483" s="27" t="n"/>
      <c r="E483" s="43" t="n"/>
      <c r="F483" s="43" t="n"/>
      <c r="G483" s="28" t="n"/>
      <c r="H483" s="49" t="n"/>
      <c r="I483" s="43" t="n"/>
      <c r="J483" s="27" t="n"/>
      <c r="K483" s="28" t="n"/>
      <c r="L483" s="28" t="n"/>
      <c r="M483" s="28" t="n"/>
      <c r="N483" s="44">
        <f>IF(B483="","",IFERROR(LOOKUP(2,1/(单次交易!$A$2:$A$201=B483),单次交易!$N$2:$N$201),""))</f>
        <v/>
      </c>
      <c r="O483" s="44">
        <f>IF(A483&lt;&gt;"每日跟踪","",IF(OR(B483="",H483="",I483=""),"",IFERROR(AGGREGATE(14,6,$I$2:$I$501/(($A$2:$A$501="每日跟踪")*($B$2:$B$501=B483)*($H$2:$H$501&lt;=H483)),1),"")))</f>
        <v/>
      </c>
      <c r="P483" s="26">
        <f>IF(A483&lt;&gt;"每日跟踪","",IF(O483="","",IFERROR(AGGREGATE(14,6,$D$2:$D$501/(($A$2:$A$501="止损计划")*($B$2:$B$501=B483)*($E$2:$E$501&lt;=O483)),1),0)))</f>
        <v/>
      </c>
      <c r="Q483" s="44">
        <f>IF(A483&lt;&gt;"每日跟踪","",IF(N483="","",MAX(N483,IFERROR(AGGREGATE(14,6,$F$2:$F$501/(($A$2:$A$501="止损计划")*($B$2:$B$501=B483)*($E$2:$E$501&lt;=O483)),1),0))))</f>
        <v/>
      </c>
      <c r="R483" s="43" t="n"/>
      <c r="S483" s="44">
        <f>IF(A483&lt;&gt;"每日跟踪","",IF(Q483="","",MAX(Q483,IFERROR(AGGREGATE(14,6,$R$2:$R$501/(($A$2:$A$501="每日跟踪")*($B$2:$B$501=B483)*($H$2:$H$501&lt;=H483)),1),0))))</f>
        <v/>
      </c>
      <c r="T483" s="44">
        <f>IF(A483&lt;&gt;"每日跟踪","",IF(O483="","",IF(COUNTIFS($A$2:$A$501,"止损计划",$B$2:$B$501,B483,$E$2:$E$501,"&gt;"&amp;O483)=0,"",AGGREGATE(15,6,$E$2:$E$501/(($A$2:$A$501="止损计划")*($B$2:$B$501=B483)*($E$2:$E$501&gt;O483)),1))))</f>
        <v/>
      </c>
      <c r="U483" s="44">
        <f>IF(OR(A483&lt;&gt;"每日跟踪",T483=""),"",IFERROR(AGGREGATE(14,6,$F$2:$F$501/(($A$2:$A$501="止损计划")*($B$2:$B$501=B483)*($E$2:$E$501=T483)),1),""))</f>
        <v/>
      </c>
      <c r="V483" s="30">
        <f>IF(OR(A483&lt;&gt;"每日跟踪",T483="",I483="",I483&lt;=0),"",T483/I483-1)</f>
        <v/>
      </c>
      <c r="W483" s="31">
        <f>IF(A483&lt;&gt;"每日跟踪","",IF(OR(I483="",S483=""),"",IF(I483&lt;=S483,"触发止损：应全部卖出","继续观察")))</f>
        <v/>
      </c>
      <c r="X483" s="28" t="n"/>
      <c r="Y483" s="43" t="n"/>
      <c r="Z483" s="26">
        <f>IF(X483&lt;&gt;"执行卖出","",IFERROR(LOOKUP(2,1/(单次交易!$A$2:$A$201=B483),单次交易!$AP$2:$AP$201),""))</f>
        <v/>
      </c>
      <c r="AA483" s="43" t="n"/>
      <c r="AB483" s="31">
        <f>IF(A483&lt;&gt;"每日跟踪","",IF(OR(B483="",H483="",I483="",J483="",K483="",L483="",M483=""),"待补充每日记录",IF(W483="触发止损：应全部卖出",IF(X483&lt;&gt;"执行卖出","违规：触发止损但未执行",IF(Y483="","待补充实际卖出价","卖出记录完整")),IF(X483="","待选择卖出动作",IF(X483="执行卖出",IF(Y483="","待补充实际卖出价","卖出记录完整"),"正常")))))</f>
        <v/>
      </c>
      <c r="AC483" s="31">
        <f>IF(A483="","",IF(A483="止损计划",IF(OR(B483="",D483="",E483="",F483="",G483=""),"计划不完整",IF(OR(D483&lt;1,D483&lt;&gt;INT(D483)),"阶段序号无效",IF(COUNTIFS($A$2:$A$501,"止损计划",$B$2:$B$501,B483,$D$2:$D$501,D483)&gt;1,"阶段序号重复",IF(E483&lt;=IFERROR(LOOKUP(2,1/('单次交易'!$A$2:$A$201=B483),'单次交易'!$E$2:$E$201),0),"激活价须高于买入价",IF(F483&lt;N483,"止损价不得低于初始止损",IF(F483&gt;E483,"止损价不得高于激活价",IF(AND(COUNTIFS($A$2:$A$501,"止损计划",$B$2:$B$501,B483,$D$2:$D$501,"&lt;"&amp;D483)&gt;0,OR(E483&lt;=AGGREGATE(14,6,$E$2:$E$501/(($A$2:$A$501="止损计划")*($B$2:$B$501=B483)*($D$2:$D$501&lt;D483)),1),F483&lt;AGGREGATE(14,6,$F$2:$F$501/(($A$2:$A$501="止损计划")*($B$2:$B$501=B483)*($D$2:$D$501&lt;D483)),1))),"阶段价格必须逐级提高","计划有效"))))))),IF(A483="每日跟踪",IF(OR(B483="",H483="",I483="",J483=""),"每日数据不完整",IF(COUNTIFS($A$2:$A$501,"每日跟踪",$B$2:$B$501,B483,$H$2:$H$501,H483)&gt;1,"同一交易日期重复",IF(AND(R483&lt;&gt;"",R483&lt;S483),"人工止损无效：不能下调","跟踪有效"))),"记录类型无效")))</f>
        <v/>
      </c>
    </row>
    <row r="484">
      <c r="A484" s="28" t="n"/>
      <c r="B484" s="28" t="n"/>
      <c r="C484" s="31">
        <f>IF(B484="","",IFERROR(LOOKUP(2,1/(单次交易!$A$2:$A$201=B484),单次交易!$B$2:$B$201),""))</f>
        <v/>
      </c>
      <c r="D484" s="27" t="n"/>
      <c r="E484" s="43" t="n"/>
      <c r="F484" s="43" t="n"/>
      <c r="G484" s="28" t="n"/>
      <c r="H484" s="49" t="n"/>
      <c r="I484" s="43" t="n"/>
      <c r="J484" s="27" t="n"/>
      <c r="K484" s="28" t="n"/>
      <c r="L484" s="28" t="n"/>
      <c r="M484" s="28" t="n"/>
      <c r="N484" s="44">
        <f>IF(B484="","",IFERROR(LOOKUP(2,1/(单次交易!$A$2:$A$201=B484),单次交易!$N$2:$N$201),""))</f>
        <v/>
      </c>
      <c r="O484" s="44">
        <f>IF(A484&lt;&gt;"每日跟踪","",IF(OR(B484="",H484="",I484=""),"",IFERROR(AGGREGATE(14,6,$I$2:$I$501/(($A$2:$A$501="每日跟踪")*($B$2:$B$501=B484)*($H$2:$H$501&lt;=H484)),1),"")))</f>
        <v/>
      </c>
      <c r="P484" s="26">
        <f>IF(A484&lt;&gt;"每日跟踪","",IF(O484="","",IFERROR(AGGREGATE(14,6,$D$2:$D$501/(($A$2:$A$501="止损计划")*($B$2:$B$501=B484)*($E$2:$E$501&lt;=O484)),1),0)))</f>
        <v/>
      </c>
      <c r="Q484" s="44">
        <f>IF(A484&lt;&gt;"每日跟踪","",IF(N484="","",MAX(N484,IFERROR(AGGREGATE(14,6,$F$2:$F$501/(($A$2:$A$501="止损计划")*($B$2:$B$501=B484)*($E$2:$E$501&lt;=O484)),1),0))))</f>
        <v/>
      </c>
      <c r="R484" s="43" t="n"/>
      <c r="S484" s="44">
        <f>IF(A484&lt;&gt;"每日跟踪","",IF(Q484="","",MAX(Q484,IFERROR(AGGREGATE(14,6,$R$2:$R$501/(($A$2:$A$501="每日跟踪")*($B$2:$B$501=B484)*($H$2:$H$501&lt;=H484)),1),0))))</f>
        <v/>
      </c>
      <c r="T484" s="44">
        <f>IF(A484&lt;&gt;"每日跟踪","",IF(O484="","",IF(COUNTIFS($A$2:$A$501,"止损计划",$B$2:$B$501,B484,$E$2:$E$501,"&gt;"&amp;O484)=0,"",AGGREGATE(15,6,$E$2:$E$501/(($A$2:$A$501="止损计划")*($B$2:$B$501=B484)*($E$2:$E$501&gt;O484)),1))))</f>
        <v/>
      </c>
      <c r="U484" s="44">
        <f>IF(OR(A484&lt;&gt;"每日跟踪",T484=""),"",IFERROR(AGGREGATE(14,6,$F$2:$F$501/(($A$2:$A$501="止损计划")*($B$2:$B$501=B484)*($E$2:$E$501=T484)),1),""))</f>
        <v/>
      </c>
      <c r="V484" s="30">
        <f>IF(OR(A484&lt;&gt;"每日跟踪",T484="",I484="",I484&lt;=0),"",T484/I484-1)</f>
        <v/>
      </c>
      <c r="W484" s="31">
        <f>IF(A484&lt;&gt;"每日跟踪","",IF(OR(I484="",S484=""),"",IF(I484&lt;=S484,"触发止损：应全部卖出","继续观察")))</f>
        <v/>
      </c>
      <c r="X484" s="28" t="n"/>
      <c r="Y484" s="43" t="n"/>
      <c r="Z484" s="26">
        <f>IF(X484&lt;&gt;"执行卖出","",IFERROR(LOOKUP(2,1/(单次交易!$A$2:$A$201=B484),单次交易!$AP$2:$AP$201),""))</f>
        <v/>
      </c>
      <c r="AA484" s="43" t="n"/>
      <c r="AB484" s="31">
        <f>IF(A484&lt;&gt;"每日跟踪","",IF(OR(B484="",H484="",I484="",J484="",K484="",L484="",M484=""),"待补充每日记录",IF(W484="触发止损：应全部卖出",IF(X484&lt;&gt;"执行卖出","违规：触发止损但未执行",IF(Y484="","待补充实际卖出价","卖出记录完整")),IF(X484="","待选择卖出动作",IF(X484="执行卖出",IF(Y484="","待补充实际卖出价","卖出记录完整"),"正常")))))</f>
        <v/>
      </c>
      <c r="AC484" s="31">
        <f>IF(A484="","",IF(A484="止损计划",IF(OR(B484="",D484="",E484="",F484="",G484=""),"计划不完整",IF(OR(D484&lt;1,D484&lt;&gt;INT(D484)),"阶段序号无效",IF(COUNTIFS($A$2:$A$501,"止损计划",$B$2:$B$501,B484,$D$2:$D$501,D484)&gt;1,"阶段序号重复",IF(E484&lt;=IFERROR(LOOKUP(2,1/('单次交易'!$A$2:$A$201=B484),'单次交易'!$E$2:$E$201),0),"激活价须高于买入价",IF(F484&lt;N484,"止损价不得低于初始止损",IF(F484&gt;E484,"止损价不得高于激活价",IF(AND(COUNTIFS($A$2:$A$501,"止损计划",$B$2:$B$501,B484,$D$2:$D$501,"&lt;"&amp;D484)&gt;0,OR(E484&lt;=AGGREGATE(14,6,$E$2:$E$501/(($A$2:$A$501="止损计划")*($B$2:$B$501=B484)*($D$2:$D$501&lt;D484)),1),F484&lt;AGGREGATE(14,6,$F$2:$F$501/(($A$2:$A$501="止损计划")*($B$2:$B$501=B484)*($D$2:$D$501&lt;D484)),1))),"阶段价格必须逐级提高","计划有效"))))))),IF(A484="每日跟踪",IF(OR(B484="",H484="",I484="",J484=""),"每日数据不完整",IF(COUNTIFS($A$2:$A$501,"每日跟踪",$B$2:$B$501,B484,$H$2:$H$501,H484)&gt;1,"同一交易日期重复",IF(AND(R484&lt;&gt;"",R484&lt;S484),"人工止损无效：不能下调","跟踪有效"))),"记录类型无效")))</f>
        <v/>
      </c>
    </row>
    <row r="485">
      <c r="A485" s="28" t="n"/>
      <c r="B485" s="28" t="n"/>
      <c r="C485" s="31">
        <f>IF(B485="","",IFERROR(LOOKUP(2,1/(单次交易!$A$2:$A$201=B485),单次交易!$B$2:$B$201),""))</f>
        <v/>
      </c>
      <c r="D485" s="27" t="n"/>
      <c r="E485" s="43" t="n"/>
      <c r="F485" s="43" t="n"/>
      <c r="G485" s="28" t="n"/>
      <c r="H485" s="49" t="n"/>
      <c r="I485" s="43" t="n"/>
      <c r="J485" s="27" t="n"/>
      <c r="K485" s="28" t="n"/>
      <c r="L485" s="28" t="n"/>
      <c r="M485" s="28" t="n"/>
      <c r="N485" s="44">
        <f>IF(B485="","",IFERROR(LOOKUP(2,1/(单次交易!$A$2:$A$201=B485),单次交易!$N$2:$N$201),""))</f>
        <v/>
      </c>
      <c r="O485" s="44">
        <f>IF(A485&lt;&gt;"每日跟踪","",IF(OR(B485="",H485="",I485=""),"",IFERROR(AGGREGATE(14,6,$I$2:$I$501/(($A$2:$A$501="每日跟踪")*($B$2:$B$501=B485)*($H$2:$H$501&lt;=H485)),1),"")))</f>
        <v/>
      </c>
      <c r="P485" s="26">
        <f>IF(A485&lt;&gt;"每日跟踪","",IF(O485="","",IFERROR(AGGREGATE(14,6,$D$2:$D$501/(($A$2:$A$501="止损计划")*($B$2:$B$501=B485)*($E$2:$E$501&lt;=O485)),1),0)))</f>
        <v/>
      </c>
      <c r="Q485" s="44">
        <f>IF(A485&lt;&gt;"每日跟踪","",IF(N485="","",MAX(N485,IFERROR(AGGREGATE(14,6,$F$2:$F$501/(($A$2:$A$501="止损计划")*($B$2:$B$501=B485)*($E$2:$E$501&lt;=O485)),1),0))))</f>
        <v/>
      </c>
      <c r="R485" s="43" t="n"/>
      <c r="S485" s="44">
        <f>IF(A485&lt;&gt;"每日跟踪","",IF(Q485="","",MAX(Q485,IFERROR(AGGREGATE(14,6,$R$2:$R$501/(($A$2:$A$501="每日跟踪")*($B$2:$B$501=B485)*($H$2:$H$501&lt;=H485)),1),0))))</f>
        <v/>
      </c>
      <c r="T485" s="44">
        <f>IF(A485&lt;&gt;"每日跟踪","",IF(O485="","",IF(COUNTIFS($A$2:$A$501,"止损计划",$B$2:$B$501,B485,$E$2:$E$501,"&gt;"&amp;O485)=0,"",AGGREGATE(15,6,$E$2:$E$501/(($A$2:$A$501="止损计划")*($B$2:$B$501=B485)*($E$2:$E$501&gt;O485)),1))))</f>
        <v/>
      </c>
      <c r="U485" s="44">
        <f>IF(OR(A485&lt;&gt;"每日跟踪",T485=""),"",IFERROR(AGGREGATE(14,6,$F$2:$F$501/(($A$2:$A$501="止损计划")*($B$2:$B$501=B485)*($E$2:$E$501=T485)),1),""))</f>
        <v/>
      </c>
      <c r="V485" s="30">
        <f>IF(OR(A485&lt;&gt;"每日跟踪",T485="",I485="",I485&lt;=0),"",T485/I485-1)</f>
        <v/>
      </c>
      <c r="W485" s="31">
        <f>IF(A485&lt;&gt;"每日跟踪","",IF(OR(I485="",S485=""),"",IF(I485&lt;=S485,"触发止损：应全部卖出","继续观察")))</f>
        <v/>
      </c>
      <c r="X485" s="28" t="n"/>
      <c r="Y485" s="43" t="n"/>
      <c r="Z485" s="26">
        <f>IF(X485&lt;&gt;"执行卖出","",IFERROR(LOOKUP(2,1/(单次交易!$A$2:$A$201=B485),单次交易!$AP$2:$AP$201),""))</f>
        <v/>
      </c>
      <c r="AA485" s="43" t="n"/>
      <c r="AB485" s="31">
        <f>IF(A485&lt;&gt;"每日跟踪","",IF(OR(B485="",H485="",I485="",J485="",K485="",L485="",M485=""),"待补充每日记录",IF(W485="触发止损：应全部卖出",IF(X485&lt;&gt;"执行卖出","违规：触发止损但未执行",IF(Y485="","待补充实际卖出价","卖出记录完整")),IF(X485="","待选择卖出动作",IF(X485="执行卖出",IF(Y485="","待补充实际卖出价","卖出记录完整"),"正常")))))</f>
        <v/>
      </c>
      <c r="AC485" s="31">
        <f>IF(A485="","",IF(A485="止损计划",IF(OR(B485="",D485="",E485="",F485="",G485=""),"计划不完整",IF(OR(D485&lt;1,D485&lt;&gt;INT(D485)),"阶段序号无效",IF(COUNTIFS($A$2:$A$501,"止损计划",$B$2:$B$501,B485,$D$2:$D$501,D485)&gt;1,"阶段序号重复",IF(E485&lt;=IFERROR(LOOKUP(2,1/('单次交易'!$A$2:$A$201=B485),'单次交易'!$E$2:$E$201),0),"激活价须高于买入价",IF(F485&lt;N485,"止损价不得低于初始止损",IF(F485&gt;E485,"止损价不得高于激活价",IF(AND(COUNTIFS($A$2:$A$501,"止损计划",$B$2:$B$501,B485,$D$2:$D$501,"&lt;"&amp;D485)&gt;0,OR(E485&lt;=AGGREGATE(14,6,$E$2:$E$501/(($A$2:$A$501="止损计划")*($B$2:$B$501=B485)*($D$2:$D$501&lt;D485)),1),F485&lt;AGGREGATE(14,6,$F$2:$F$501/(($A$2:$A$501="止损计划")*($B$2:$B$501=B485)*($D$2:$D$501&lt;D485)),1))),"阶段价格必须逐级提高","计划有效"))))))),IF(A485="每日跟踪",IF(OR(B485="",H485="",I485="",J485=""),"每日数据不完整",IF(COUNTIFS($A$2:$A$501,"每日跟踪",$B$2:$B$501,B485,$H$2:$H$501,H485)&gt;1,"同一交易日期重复",IF(AND(R485&lt;&gt;"",R485&lt;S485),"人工止损无效：不能下调","跟踪有效"))),"记录类型无效")))</f>
        <v/>
      </c>
    </row>
    <row r="486">
      <c r="A486" s="28" t="n"/>
      <c r="B486" s="28" t="n"/>
      <c r="C486" s="31">
        <f>IF(B486="","",IFERROR(LOOKUP(2,1/(单次交易!$A$2:$A$201=B486),单次交易!$B$2:$B$201),""))</f>
        <v/>
      </c>
      <c r="D486" s="27" t="n"/>
      <c r="E486" s="43" t="n"/>
      <c r="F486" s="43" t="n"/>
      <c r="G486" s="28" t="n"/>
      <c r="H486" s="49" t="n"/>
      <c r="I486" s="43" t="n"/>
      <c r="J486" s="27" t="n"/>
      <c r="K486" s="28" t="n"/>
      <c r="L486" s="28" t="n"/>
      <c r="M486" s="28" t="n"/>
      <c r="N486" s="44">
        <f>IF(B486="","",IFERROR(LOOKUP(2,1/(单次交易!$A$2:$A$201=B486),单次交易!$N$2:$N$201),""))</f>
        <v/>
      </c>
      <c r="O486" s="44">
        <f>IF(A486&lt;&gt;"每日跟踪","",IF(OR(B486="",H486="",I486=""),"",IFERROR(AGGREGATE(14,6,$I$2:$I$501/(($A$2:$A$501="每日跟踪")*($B$2:$B$501=B486)*($H$2:$H$501&lt;=H486)),1),"")))</f>
        <v/>
      </c>
      <c r="P486" s="26">
        <f>IF(A486&lt;&gt;"每日跟踪","",IF(O486="","",IFERROR(AGGREGATE(14,6,$D$2:$D$501/(($A$2:$A$501="止损计划")*($B$2:$B$501=B486)*($E$2:$E$501&lt;=O486)),1),0)))</f>
        <v/>
      </c>
      <c r="Q486" s="44">
        <f>IF(A486&lt;&gt;"每日跟踪","",IF(N486="","",MAX(N486,IFERROR(AGGREGATE(14,6,$F$2:$F$501/(($A$2:$A$501="止损计划")*($B$2:$B$501=B486)*($E$2:$E$501&lt;=O486)),1),0))))</f>
        <v/>
      </c>
      <c r="R486" s="43" t="n"/>
      <c r="S486" s="44">
        <f>IF(A486&lt;&gt;"每日跟踪","",IF(Q486="","",MAX(Q486,IFERROR(AGGREGATE(14,6,$R$2:$R$501/(($A$2:$A$501="每日跟踪")*($B$2:$B$501=B486)*($H$2:$H$501&lt;=H486)),1),0))))</f>
        <v/>
      </c>
      <c r="T486" s="44">
        <f>IF(A486&lt;&gt;"每日跟踪","",IF(O486="","",IF(COUNTIFS($A$2:$A$501,"止损计划",$B$2:$B$501,B486,$E$2:$E$501,"&gt;"&amp;O486)=0,"",AGGREGATE(15,6,$E$2:$E$501/(($A$2:$A$501="止损计划")*($B$2:$B$501=B486)*($E$2:$E$501&gt;O486)),1))))</f>
        <v/>
      </c>
      <c r="U486" s="44">
        <f>IF(OR(A486&lt;&gt;"每日跟踪",T486=""),"",IFERROR(AGGREGATE(14,6,$F$2:$F$501/(($A$2:$A$501="止损计划")*($B$2:$B$501=B486)*($E$2:$E$501=T486)),1),""))</f>
        <v/>
      </c>
      <c r="V486" s="30">
        <f>IF(OR(A486&lt;&gt;"每日跟踪",T486="",I486="",I486&lt;=0),"",T486/I486-1)</f>
        <v/>
      </c>
      <c r="W486" s="31">
        <f>IF(A486&lt;&gt;"每日跟踪","",IF(OR(I486="",S486=""),"",IF(I486&lt;=S486,"触发止损：应全部卖出","继续观察")))</f>
        <v/>
      </c>
      <c r="X486" s="28" t="n"/>
      <c r="Y486" s="43" t="n"/>
      <c r="Z486" s="26">
        <f>IF(X486&lt;&gt;"执行卖出","",IFERROR(LOOKUP(2,1/(单次交易!$A$2:$A$201=B486),单次交易!$AP$2:$AP$201),""))</f>
        <v/>
      </c>
      <c r="AA486" s="43" t="n"/>
      <c r="AB486" s="31">
        <f>IF(A486&lt;&gt;"每日跟踪","",IF(OR(B486="",H486="",I486="",J486="",K486="",L486="",M486=""),"待补充每日记录",IF(W486="触发止损：应全部卖出",IF(X486&lt;&gt;"执行卖出","违规：触发止损但未执行",IF(Y486="","待补充实际卖出价","卖出记录完整")),IF(X486="","待选择卖出动作",IF(X486="执行卖出",IF(Y486="","待补充实际卖出价","卖出记录完整"),"正常")))))</f>
        <v/>
      </c>
      <c r="AC486" s="31">
        <f>IF(A486="","",IF(A486="止损计划",IF(OR(B486="",D486="",E486="",F486="",G486=""),"计划不完整",IF(OR(D486&lt;1,D486&lt;&gt;INT(D486)),"阶段序号无效",IF(COUNTIFS($A$2:$A$501,"止损计划",$B$2:$B$501,B486,$D$2:$D$501,D486)&gt;1,"阶段序号重复",IF(E486&lt;=IFERROR(LOOKUP(2,1/('单次交易'!$A$2:$A$201=B486),'单次交易'!$E$2:$E$201),0),"激活价须高于买入价",IF(F486&lt;N486,"止损价不得低于初始止损",IF(F486&gt;E486,"止损价不得高于激活价",IF(AND(COUNTIFS($A$2:$A$501,"止损计划",$B$2:$B$501,B486,$D$2:$D$501,"&lt;"&amp;D486)&gt;0,OR(E486&lt;=AGGREGATE(14,6,$E$2:$E$501/(($A$2:$A$501="止损计划")*($B$2:$B$501=B486)*($D$2:$D$501&lt;D486)),1),F486&lt;AGGREGATE(14,6,$F$2:$F$501/(($A$2:$A$501="止损计划")*($B$2:$B$501=B486)*($D$2:$D$501&lt;D486)),1))),"阶段价格必须逐级提高","计划有效"))))))),IF(A486="每日跟踪",IF(OR(B486="",H486="",I486="",J486=""),"每日数据不完整",IF(COUNTIFS($A$2:$A$501,"每日跟踪",$B$2:$B$501,B486,$H$2:$H$501,H486)&gt;1,"同一交易日期重复",IF(AND(R486&lt;&gt;"",R486&lt;S486),"人工止损无效：不能下调","跟踪有效"))),"记录类型无效")))</f>
        <v/>
      </c>
    </row>
    <row r="487">
      <c r="A487" s="28" t="n"/>
      <c r="B487" s="28" t="n"/>
      <c r="C487" s="31">
        <f>IF(B487="","",IFERROR(LOOKUP(2,1/(单次交易!$A$2:$A$201=B487),单次交易!$B$2:$B$201),""))</f>
        <v/>
      </c>
      <c r="D487" s="27" t="n"/>
      <c r="E487" s="43" t="n"/>
      <c r="F487" s="43" t="n"/>
      <c r="G487" s="28" t="n"/>
      <c r="H487" s="49" t="n"/>
      <c r="I487" s="43" t="n"/>
      <c r="J487" s="27" t="n"/>
      <c r="K487" s="28" t="n"/>
      <c r="L487" s="28" t="n"/>
      <c r="M487" s="28" t="n"/>
      <c r="N487" s="44">
        <f>IF(B487="","",IFERROR(LOOKUP(2,1/(单次交易!$A$2:$A$201=B487),单次交易!$N$2:$N$201),""))</f>
        <v/>
      </c>
      <c r="O487" s="44">
        <f>IF(A487&lt;&gt;"每日跟踪","",IF(OR(B487="",H487="",I487=""),"",IFERROR(AGGREGATE(14,6,$I$2:$I$501/(($A$2:$A$501="每日跟踪")*($B$2:$B$501=B487)*($H$2:$H$501&lt;=H487)),1),"")))</f>
        <v/>
      </c>
      <c r="P487" s="26">
        <f>IF(A487&lt;&gt;"每日跟踪","",IF(O487="","",IFERROR(AGGREGATE(14,6,$D$2:$D$501/(($A$2:$A$501="止损计划")*($B$2:$B$501=B487)*($E$2:$E$501&lt;=O487)),1),0)))</f>
        <v/>
      </c>
      <c r="Q487" s="44">
        <f>IF(A487&lt;&gt;"每日跟踪","",IF(N487="","",MAX(N487,IFERROR(AGGREGATE(14,6,$F$2:$F$501/(($A$2:$A$501="止损计划")*($B$2:$B$501=B487)*($E$2:$E$501&lt;=O487)),1),0))))</f>
        <v/>
      </c>
      <c r="R487" s="43" t="n"/>
      <c r="S487" s="44">
        <f>IF(A487&lt;&gt;"每日跟踪","",IF(Q487="","",MAX(Q487,IFERROR(AGGREGATE(14,6,$R$2:$R$501/(($A$2:$A$501="每日跟踪")*($B$2:$B$501=B487)*($H$2:$H$501&lt;=H487)),1),0))))</f>
        <v/>
      </c>
      <c r="T487" s="44">
        <f>IF(A487&lt;&gt;"每日跟踪","",IF(O487="","",IF(COUNTIFS($A$2:$A$501,"止损计划",$B$2:$B$501,B487,$E$2:$E$501,"&gt;"&amp;O487)=0,"",AGGREGATE(15,6,$E$2:$E$501/(($A$2:$A$501="止损计划")*($B$2:$B$501=B487)*($E$2:$E$501&gt;O487)),1))))</f>
        <v/>
      </c>
      <c r="U487" s="44">
        <f>IF(OR(A487&lt;&gt;"每日跟踪",T487=""),"",IFERROR(AGGREGATE(14,6,$F$2:$F$501/(($A$2:$A$501="止损计划")*($B$2:$B$501=B487)*($E$2:$E$501=T487)),1),""))</f>
        <v/>
      </c>
      <c r="V487" s="30">
        <f>IF(OR(A487&lt;&gt;"每日跟踪",T487="",I487="",I487&lt;=0),"",T487/I487-1)</f>
        <v/>
      </c>
      <c r="W487" s="31">
        <f>IF(A487&lt;&gt;"每日跟踪","",IF(OR(I487="",S487=""),"",IF(I487&lt;=S487,"触发止损：应全部卖出","继续观察")))</f>
        <v/>
      </c>
      <c r="X487" s="28" t="n"/>
      <c r="Y487" s="43" t="n"/>
      <c r="Z487" s="26">
        <f>IF(X487&lt;&gt;"执行卖出","",IFERROR(LOOKUP(2,1/(单次交易!$A$2:$A$201=B487),单次交易!$AP$2:$AP$201),""))</f>
        <v/>
      </c>
      <c r="AA487" s="43" t="n"/>
      <c r="AB487" s="31">
        <f>IF(A487&lt;&gt;"每日跟踪","",IF(OR(B487="",H487="",I487="",J487="",K487="",L487="",M487=""),"待补充每日记录",IF(W487="触发止损：应全部卖出",IF(X487&lt;&gt;"执行卖出","违规：触发止损但未执行",IF(Y487="","待补充实际卖出价","卖出记录完整")),IF(X487="","待选择卖出动作",IF(X487="执行卖出",IF(Y487="","待补充实际卖出价","卖出记录完整"),"正常")))))</f>
        <v/>
      </c>
      <c r="AC487" s="31">
        <f>IF(A487="","",IF(A487="止损计划",IF(OR(B487="",D487="",E487="",F487="",G487=""),"计划不完整",IF(OR(D487&lt;1,D487&lt;&gt;INT(D487)),"阶段序号无效",IF(COUNTIFS($A$2:$A$501,"止损计划",$B$2:$B$501,B487,$D$2:$D$501,D487)&gt;1,"阶段序号重复",IF(E487&lt;=IFERROR(LOOKUP(2,1/('单次交易'!$A$2:$A$201=B487),'单次交易'!$E$2:$E$201),0),"激活价须高于买入价",IF(F487&lt;N487,"止损价不得低于初始止损",IF(F487&gt;E487,"止损价不得高于激活价",IF(AND(COUNTIFS($A$2:$A$501,"止损计划",$B$2:$B$501,B487,$D$2:$D$501,"&lt;"&amp;D487)&gt;0,OR(E487&lt;=AGGREGATE(14,6,$E$2:$E$501/(($A$2:$A$501="止损计划")*($B$2:$B$501=B487)*($D$2:$D$501&lt;D487)),1),F487&lt;AGGREGATE(14,6,$F$2:$F$501/(($A$2:$A$501="止损计划")*($B$2:$B$501=B487)*($D$2:$D$501&lt;D487)),1))),"阶段价格必须逐级提高","计划有效"))))))),IF(A487="每日跟踪",IF(OR(B487="",H487="",I487="",J487=""),"每日数据不完整",IF(COUNTIFS($A$2:$A$501,"每日跟踪",$B$2:$B$501,B487,$H$2:$H$501,H487)&gt;1,"同一交易日期重复",IF(AND(R487&lt;&gt;"",R487&lt;S487),"人工止损无效：不能下调","跟踪有效"))),"记录类型无效")))</f>
        <v/>
      </c>
    </row>
    <row r="488">
      <c r="A488" s="28" t="n"/>
      <c r="B488" s="28" t="n"/>
      <c r="C488" s="31">
        <f>IF(B488="","",IFERROR(LOOKUP(2,1/(单次交易!$A$2:$A$201=B488),单次交易!$B$2:$B$201),""))</f>
        <v/>
      </c>
      <c r="D488" s="27" t="n"/>
      <c r="E488" s="43" t="n"/>
      <c r="F488" s="43" t="n"/>
      <c r="G488" s="28" t="n"/>
      <c r="H488" s="49" t="n"/>
      <c r="I488" s="43" t="n"/>
      <c r="J488" s="27" t="n"/>
      <c r="K488" s="28" t="n"/>
      <c r="L488" s="28" t="n"/>
      <c r="M488" s="28" t="n"/>
      <c r="N488" s="44">
        <f>IF(B488="","",IFERROR(LOOKUP(2,1/(单次交易!$A$2:$A$201=B488),单次交易!$N$2:$N$201),""))</f>
        <v/>
      </c>
      <c r="O488" s="44">
        <f>IF(A488&lt;&gt;"每日跟踪","",IF(OR(B488="",H488="",I488=""),"",IFERROR(AGGREGATE(14,6,$I$2:$I$501/(($A$2:$A$501="每日跟踪")*($B$2:$B$501=B488)*($H$2:$H$501&lt;=H488)),1),"")))</f>
        <v/>
      </c>
      <c r="P488" s="26">
        <f>IF(A488&lt;&gt;"每日跟踪","",IF(O488="","",IFERROR(AGGREGATE(14,6,$D$2:$D$501/(($A$2:$A$501="止损计划")*($B$2:$B$501=B488)*($E$2:$E$501&lt;=O488)),1),0)))</f>
        <v/>
      </c>
      <c r="Q488" s="44">
        <f>IF(A488&lt;&gt;"每日跟踪","",IF(N488="","",MAX(N488,IFERROR(AGGREGATE(14,6,$F$2:$F$501/(($A$2:$A$501="止损计划")*($B$2:$B$501=B488)*($E$2:$E$501&lt;=O488)),1),0))))</f>
        <v/>
      </c>
      <c r="R488" s="43" t="n"/>
      <c r="S488" s="44">
        <f>IF(A488&lt;&gt;"每日跟踪","",IF(Q488="","",MAX(Q488,IFERROR(AGGREGATE(14,6,$R$2:$R$501/(($A$2:$A$501="每日跟踪")*($B$2:$B$501=B488)*($H$2:$H$501&lt;=H488)),1),0))))</f>
        <v/>
      </c>
      <c r="T488" s="44">
        <f>IF(A488&lt;&gt;"每日跟踪","",IF(O488="","",IF(COUNTIFS($A$2:$A$501,"止损计划",$B$2:$B$501,B488,$E$2:$E$501,"&gt;"&amp;O488)=0,"",AGGREGATE(15,6,$E$2:$E$501/(($A$2:$A$501="止损计划")*($B$2:$B$501=B488)*($E$2:$E$501&gt;O488)),1))))</f>
        <v/>
      </c>
      <c r="U488" s="44">
        <f>IF(OR(A488&lt;&gt;"每日跟踪",T488=""),"",IFERROR(AGGREGATE(14,6,$F$2:$F$501/(($A$2:$A$501="止损计划")*($B$2:$B$501=B488)*($E$2:$E$501=T488)),1),""))</f>
        <v/>
      </c>
      <c r="V488" s="30">
        <f>IF(OR(A488&lt;&gt;"每日跟踪",T488="",I488="",I488&lt;=0),"",T488/I488-1)</f>
        <v/>
      </c>
      <c r="W488" s="31">
        <f>IF(A488&lt;&gt;"每日跟踪","",IF(OR(I488="",S488=""),"",IF(I488&lt;=S488,"触发止损：应全部卖出","继续观察")))</f>
        <v/>
      </c>
      <c r="X488" s="28" t="n"/>
      <c r="Y488" s="43" t="n"/>
      <c r="Z488" s="26">
        <f>IF(X488&lt;&gt;"执行卖出","",IFERROR(LOOKUP(2,1/(单次交易!$A$2:$A$201=B488),单次交易!$AP$2:$AP$201),""))</f>
        <v/>
      </c>
      <c r="AA488" s="43" t="n"/>
      <c r="AB488" s="31">
        <f>IF(A488&lt;&gt;"每日跟踪","",IF(OR(B488="",H488="",I488="",J488="",K488="",L488="",M488=""),"待补充每日记录",IF(W488="触发止损：应全部卖出",IF(X488&lt;&gt;"执行卖出","违规：触发止损但未执行",IF(Y488="","待补充实际卖出价","卖出记录完整")),IF(X488="","待选择卖出动作",IF(X488="执行卖出",IF(Y488="","待补充实际卖出价","卖出记录完整"),"正常")))))</f>
        <v/>
      </c>
      <c r="AC488" s="31">
        <f>IF(A488="","",IF(A488="止损计划",IF(OR(B488="",D488="",E488="",F488="",G488=""),"计划不完整",IF(OR(D488&lt;1,D488&lt;&gt;INT(D488)),"阶段序号无效",IF(COUNTIFS($A$2:$A$501,"止损计划",$B$2:$B$501,B488,$D$2:$D$501,D488)&gt;1,"阶段序号重复",IF(E488&lt;=IFERROR(LOOKUP(2,1/('单次交易'!$A$2:$A$201=B488),'单次交易'!$E$2:$E$201),0),"激活价须高于买入价",IF(F488&lt;N488,"止损价不得低于初始止损",IF(F488&gt;E488,"止损价不得高于激活价",IF(AND(COUNTIFS($A$2:$A$501,"止损计划",$B$2:$B$501,B488,$D$2:$D$501,"&lt;"&amp;D488)&gt;0,OR(E488&lt;=AGGREGATE(14,6,$E$2:$E$501/(($A$2:$A$501="止损计划")*($B$2:$B$501=B488)*($D$2:$D$501&lt;D488)),1),F488&lt;AGGREGATE(14,6,$F$2:$F$501/(($A$2:$A$501="止损计划")*($B$2:$B$501=B488)*($D$2:$D$501&lt;D488)),1))),"阶段价格必须逐级提高","计划有效"))))))),IF(A488="每日跟踪",IF(OR(B488="",H488="",I488="",J488=""),"每日数据不完整",IF(COUNTIFS($A$2:$A$501,"每日跟踪",$B$2:$B$501,B488,$H$2:$H$501,H488)&gt;1,"同一交易日期重复",IF(AND(R488&lt;&gt;"",R488&lt;S488),"人工止损无效：不能下调","跟踪有效"))),"记录类型无效")))</f>
        <v/>
      </c>
    </row>
    <row r="489">
      <c r="A489" s="28" t="n"/>
      <c r="B489" s="28" t="n"/>
      <c r="C489" s="31">
        <f>IF(B489="","",IFERROR(LOOKUP(2,1/(单次交易!$A$2:$A$201=B489),单次交易!$B$2:$B$201),""))</f>
        <v/>
      </c>
      <c r="D489" s="27" t="n"/>
      <c r="E489" s="43" t="n"/>
      <c r="F489" s="43" t="n"/>
      <c r="G489" s="28" t="n"/>
      <c r="H489" s="49" t="n"/>
      <c r="I489" s="43" t="n"/>
      <c r="J489" s="27" t="n"/>
      <c r="K489" s="28" t="n"/>
      <c r="L489" s="28" t="n"/>
      <c r="M489" s="28" t="n"/>
      <c r="N489" s="44">
        <f>IF(B489="","",IFERROR(LOOKUP(2,1/(单次交易!$A$2:$A$201=B489),单次交易!$N$2:$N$201),""))</f>
        <v/>
      </c>
      <c r="O489" s="44">
        <f>IF(A489&lt;&gt;"每日跟踪","",IF(OR(B489="",H489="",I489=""),"",IFERROR(AGGREGATE(14,6,$I$2:$I$501/(($A$2:$A$501="每日跟踪")*($B$2:$B$501=B489)*($H$2:$H$501&lt;=H489)),1),"")))</f>
        <v/>
      </c>
      <c r="P489" s="26">
        <f>IF(A489&lt;&gt;"每日跟踪","",IF(O489="","",IFERROR(AGGREGATE(14,6,$D$2:$D$501/(($A$2:$A$501="止损计划")*($B$2:$B$501=B489)*($E$2:$E$501&lt;=O489)),1),0)))</f>
        <v/>
      </c>
      <c r="Q489" s="44">
        <f>IF(A489&lt;&gt;"每日跟踪","",IF(N489="","",MAX(N489,IFERROR(AGGREGATE(14,6,$F$2:$F$501/(($A$2:$A$501="止损计划")*($B$2:$B$501=B489)*($E$2:$E$501&lt;=O489)),1),0))))</f>
        <v/>
      </c>
      <c r="R489" s="43" t="n"/>
      <c r="S489" s="44">
        <f>IF(A489&lt;&gt;"每日跟踪","",IF(Q489="","",MAX(Q489,IFERROR(AGGREGATE(14,6,$R$2:$R$501/(($A$2:$A$501="每日跟踪")*($B$2:$B$501=B489)*($H$2:$H$501&lt;=H489)),1),0))))</f>
        <v/>
      </c>
      <c r="T489" s="44">
        <f>IF(A489&lt;&gt;"每日跟踪","",IF(O489="","",IF(COUNTIFS($A$2:$A$501,"止损计划",$B$2:$B$501,B489,$E$2:$E$501,"&gt;"&amp;O489)=0,"",AGGREGATE(15,6,$E$2:$E$501/(($A$2:$A$501="止损计划")*($B$2:$B$501=B489)*($E$2:$E$501&gt;O489)),1))))</f>
        <v/>
      </c>
      <c r="U489" s="44">
        <f>IF(OR(A489&lt;&gt;"每日跟踪",T489=""),"",IFERROR(AGGREGATE(14,6,$F$2:$F$501/(($A$2:$A$501="止损计划")*($B$2:$B$501=B489)*($E$2:$E$501=T489)),1),""))</f>
        <v/>
      </c>
      <c r="V489" s="30">
        <f>IF(OR(A489&lt;&gt;"每日跟踪",T489="",I489="",I489&lt;=0),"",T489/I489-1)</f>
        <v/>
      </c>
      <c r="W489" s="31">
        <f>IF(A489&lt;&gt;"每日跟踪","",IF(OR(I489="",S489=""),"",IF(I489&lt;=S489,"触发止损：应全部卖出","继续观察")))</f>
        <v/>
      </c>
      <c r="X489" s="28" t="n"/>
      <c r="Y489" s="43" t="n"/>
      <c r="Z489" s="26">
        <f>IF(X489&lt;&gt;"执行卖出","",IFERROR(LOOKUP(2,1/(单次交易!$A$2:$A$201=B489),单次交易!$AP$2:$AP$201),""))</f>
        <v/>
      </c>
      <c r="AA489" s="43" t="n"/>
      <c r="AB489" s="31">
        <f>IF(A489&lt;&gt;"每日跟踪","",IF(OR(B489="",H489="",I489="",J489="",K489="",L489="",M489=""),"待补充每日记录",IF(W489="触发止损：应全部卖出",IF(X489&lt;&gt;"执行卖出","违规：触发止损但未执行",IF(Y489="","待补充实际卖出价","卖出记录完整")),IF(X489="","待选择卖出动作",IF(X489="执行卖出",IF(Y489="","待补充实际卖出价","卖出记录完整"),"正常")))))</f>
        <v/>
      </c>
      <c r="AC489" s="31">
        <f>IF(A489="","",IF(A489="止损计划",IF(OR(B489="",D489="",E489="",F489="",G489=""),"计划不完整",IF(OR(D489&lt;1,D489&lt;&gt;INT(D489)),"阶段序号无效",IF(COUNTIFS($A$2:$A$501,"止损计划",$B$2:$B$501,B489,$D$2:$D$501,D489)&gt;1,"阶段序号重复",IF(E489&lt;=IFERROR(LOOKUP(2,1/('单次交易'!$A$2:$A$201=B489),'单次交易'!$E$2:$E$201),0),"激活价须高于买入价",IF(F489&lt;N489,"止损价不得低于初始止损",IF(F489&gt;E489,"止损价不得高于激活价",IF(AND(COUNTIFS($A$2:$A$501,"止损计划",$B$2:$B$501,B489,$D$2:$D$501,"&lt;"&amp;D489)&gt;0,OR(E489&lt;=AGGREGATE(14,6,$E$2:$E$501/(($A$2:$A$501="止损计划")*($B$2:$B$501=B489)*($D$2:$D$501&lt;D489)),1),F489&lt;AGGREGATE(14,6,$F$2:$F$501/(($A$2:$A$501="止损计划")*($B$2:$B$501=B489)*($D$2:$D$501&lt;D489)),1))),"阶段价格必须逐级提高","计划有效"))))))),IF(A489="每日跟踪",IF(OR(B489="",H489="",I489="",J489=""),"每日数据不完整",IF(COUNTIFS($A$2:$A$501,"每日跟踪",$B$2:$B$501,B489,$H$2:$H$501,H489)&gt;1,"同一交易日期重复",IF(AND(R489&lt;&gt;"",R489&lt;S489),"人工止损无效：不能下调","跟踪有效"))),"记录类型无效")))</f>
        <v/>
      </c>
    </row>
    <row r="490">
      <c r="A490" s="28" t="n"/>
      <c r="B490" s="28" t="n"/>
      <c r="C490" s="31">
        <f>IF(B490="","",IFERROR(LOOKUP(2,1/(单次交易!$A$2:$A$201=B490),单次交易!$B$2:$B$201),""))</f>
        <v/>
      </c>
      <c r="D490" s="27" t="n"/>
      <c r="E490" s="43" t="n"/>
      <c r="F490" s="43" t="n"/>
      <c r="G490" s="28" t="n"/>
      <c r="H490" s="49" t="n"/>
      <c r="I490" s="43" t="n"/>
      <c r="J490" s="27" t="n"/>
      <c r="K490" s="28" t="n"/>
      <c r="L490" s="28" t="n"/>
      <c r="M490" s="28" t="n"/>
      <c r="N490" s="44">
        <f>IF(B490="","",IFERROR(LOOKUP(2,1/(单次交易!$A$2:$A$201=B490),单次交易!$N$2:$N$201),""))</f>
        <v/>
      </c>
      <c r="O490" s="44">
        <f>IF(A490&lt;&gt;"每日跟踪","",IF(OR(B490="",H490="",I490=""),"",IFERROR(AGGREGATE(14,6,$I$2:$I$501/(($A$2:$A$501="每日跟踪")*($B$2:$B$501=B490)*($H$2:$H$501&lt;=H490)),1),"")))</f>
        <v/>
      </c>
      <c r="P490" s="26">
        <f>IF(A490&lt;&gt;"每日跟踪","",IF(O490="","",IFERROR(AGGREGATE(14,6,$D$2:$D$501/(($A$2:$A$501="止损计划")*($B$2:$B$501=B490)*($E$2:$E$501&lt;=O490)),1),0)))</f>
        <v/>
      </c>
      <c r="Q490" s="44">
        <f>IF(A490&lt;&gt;"每日跟踪","",IF(N490="","",MAX(N490,IFERROR(AGGREGATE(14,6,$F$2:$F$501/(($A$2:$A$501="止损计划")*($B$2:$B$501=B490)*($E$2:$E$501&lt;=O490)),1),0))))</f>
        <v/>
      </c>
      <c r="R490" s="43" t="n"/>
      <c r="S490" s="44">
        <f>IF(A490&lt;&gt;"每日跟踪","",IF(Q490="","",MAX(Q490,IFERROR(AGGREGATE(14,6,$R$2:$R$501/(($A$2:$A$501="每日跟踪")*($B$2:$B$501=B490)*($H$2:$H$501&lt;=H490)),1),0))))</f>
        <v/>
      </c>
      <c r="T490" s="44">
        <f>IF(A490&lt;&gt;"每日跟踪","",IF(O490="","",IF(COUNTIFS($A$2:$A$501,"止损计划",$B$2:$B$501,B490,$E$2:$E$501,"&gt;"&amp;O490)=0,"",AGGREGATE(15,6,$E$2:$E$501/(($A$2:$A$501="止损计划")*($B$2:$B$501=B490)*($E$2:$E$501&gt;O490)),1))))</f>
        <v/>
      </c>
      <c r="U490" s="44">
        <f>IF(OR(A490&lt;&gt;"每日跟踪",T490=""),"",IFERROR(AGGREGATE(14,6,$F$2:$F$501/(($A$2:$A$501="止损计划")*($B$2:$B$501=B490)*($E$2:$E$501=T490)),1),""))</f>
        <v/>
      </c>
      <c r="V490" s="30">
        <f>IF(OR(A490&lt;&gt;"每日跟踪",T490="",I490="",I490&lt;=0),"",T490/I490-1)</f>
        <v/>
      </c>
      <c r="W490" s="31">
        <f>IF(A490&lt;&gt;"每日跟踪","",IF(OR(I490="",S490=""),"",IF(I490&lt;=S490,"触发止损：应全部卖出","继续观察")))</f>
        <v/>
      </c>
      <c r="X490" s="28" t="n"/>
      <c r="Y490" s="43" t="n"/>
      <c r="Z490" s="26">
        <f>IF(X490&lt;&gt;"执行卖出","",IFERROR(LOOKUP(2,1/(单次交易!$A$2:$A$201=B490),单次交易!$AP$2:$AP$201),""))</f>
        <v/>
      </c>
      <c r="AA490" s="43" t="n"/>
      <c r="AB490" s="31">
        <f>IF(A490&lt;&gt;"每日跟踪","",IF(OR(B490="",H490="",I490="",J490="",K490="",L490="",M490=""),"待补充每日记录",IF(W490="触发止损：应全部卖出",IF(X490&lt;&gt;"执行卖出","违规：触发止损但未执行",IF(Y490="","待补充实际卖出价","卖出记录完整")),IF(X490="","待选择卖出动作",IF(X490="执行卖出",IF(Y490="","待补充实际卖出价","卖出记录完整"),"正常")))))</f>
        <v/>
      </c>
      <c r="AC490" s="31">
        <f>IF(A490="","",IF(A490="止损计划",IF(OR(B490="",D490="",E490="",F490="",G490=""),"计划不完整",IF(OR(D490&lt;1,D490&lt;&gt;INT(D490)),"阶段序号无效",IF(COUNTIFS($A$2:$A$501,"止损计划",$B$2:$B$501,B490,$D$2:$D$501,D490)&gt;1,"阶段序号重复",IF(E490&lt;=IFERROR(LOOKUP(2,1/('单次交易'!$A$2:$A$201=B490),'单次交易'!$E$2:$E$201),0),"激活价须高于买入价",IF(F490&lt;N490,"止损价不得低于初始止损",IF(F490&gt;E490,"止损价不得高于激活价",IF(AND(COUNTIFS($A$2:$A$501,"止损计划",$B$2:$B$501,B490,$D$2:$D$501,"&lt;"&amp;D490)&gt;0,OR(E490&lt;=AGGREGATE(14,6,$E$2:$E$501/(($A$2:$A$501="止损计划")*($B$2:$B$501=B490)*($D$2:$D$501&lt;D490)),1),F490&lt;AGGREGATE(14,6,$F$2:$F$501/(($A$2:$A$501="止损计划")*($B$2:$B$501=B490)*($D$2:$D$501&lt;D490)),1))),"阶段价格必须逐级提高","计划有效"))))))),IF(A490="每日跟踪",IF(OR(B490="",H490="",I490="",J490=""),"每日数据不完整",IF(COUNTIFS($A$2:$A$501,"每日跟踪",$B$2:$B$501,B490,$H$2:$H$501,H490)&gt;1,"同一交易日期重复",IF(AND(R490&lt;&gt;"",R490&lt;S490),"人工止损无效：不能下调","跟踪有效"))),"记录类型无效")))</f>
        <v/>
      </c>
    </row>
    <row r="491">
      <c r="A491" s="28" t="n"/>
      <c r="B491" s="28" t="n"/>
      <c r="C491" s="31">
        <f>IF(B491="","",IFERROR(LOOKUP(2,1/(单次交易!$A$2:$A$201=B491),单次交易!$B$2:$B$201),""))</f>
        <v/>
      </c>
      <c r="D491" s="27" t="n"/>
      <c r="E491" s="43" t="n"/>
      <c r="F491" s="43" t="n"/>
      <c r="G491" s="28" t="n"/>
      <c r="H491" s="49" t="n"/>
      <c r="I491" s="43" t="n"/>
      <c r="J491" s="27" t="n"/>
      <c r="K491" s="28" t="n"/>
      <c r="L491" s="28" t="n"/>
      <c r="M491" s="28" t="n"/>
      <c r="N491" s="44">
        <f>IF(B491="","",IFERROR(LOOKUP(2,1/(单次交易!$A$2:$A$201=B491),单次交易!$N$2:$N$201),""))</f>
        <v/>
      </c>
      <c r="O491" s="44">
        <f>IF(A491&lt;&gt;"每日跟踪","",IF(OR(B491="",H491="",I491=""),"",IFERROR(AGGREGATE(14,6,$I$2:$I$501/(($A$2:$A$501="每日跟踪")*($B$2:$B$501=B491)*($H$2:$H$501&lt;=H491)),1),"")))</f>
        <v/>
      </c>
      <c r="P491" s="26">
        <f>IF(A491&lt;&gt;"每日跟踪","",IF(O491="","",IFERROR(AGGREGATE(14,6,$D$2:$D$501/(($A$2:$A$501="止损计划")*($B$2:$B$501=B491)*($E$2:$E$501&lt;=O491)),1),0)))</f>
        <v/>
      </c>
      <c r="Q491" s="44">
        <f>IF(A491&lt;&gt;"每日跟踪","",IF(N491="","",MAX(N491,IFERROR(AGGREGATE(14,6,$F$2:$F$501/(($A$2:$A$501="止损计划")*($B$2:$B$501=B491)*($E$2:$E$501&lt;=O491)),1),0))))</f>
        <v/>
      </c>
      <c r="R491" s="43" t="n"/>
      <c r="S491" s="44">
        <f>IF(A491&lt;&gt;"每日跟踪","",IF(Q491="","",MAX(Q491,IFERROR(AGGREGATE(14,6,$R$2:$R$501/(($A$2:$A$501="每日跟踪")*($B$2:$B$501=B491)*($H$2:$H$501&lt;=H491)),1),0))))</f>
        <v/>
      </c>
      <c r="T491" s="44">
        <f>IF(A491&lt;&gt;"每日跟踪","",IF(O491="","",IF(COUNTIFS($A$2:$A$501,"止损计划",$B$2:$B$501,B491,$E$2:$E$501,"&gt;"&amp;O491)=0,"",AGGREGATE(15,6,$E$2:$E$501/(($A$2:$A$501="止损计划")*($B$2:$B$501=B491)*($E$2:$E$501&gt;O491)),1))))</f>
        <v/>
      </c>
      <c r="U491" s="44">
        <f>IF(OR(A491&lt;&gt;"每日跟踪",T491=""),"",IFERROR(AGGREGATE(14,6,$F$2:$F$501/(($A$2:$A$501="止损计划")*($B$2:$B$501=B491)*($E$2:$E$501=T491)),1),""))</f>
        <v/>
      </c>
      <c r="V491" s="30">
        <f>IF(OR(A491&lt;&gt;"每日跟踪",T491="",I491="",I491&lt;=0),"",T491/I491-1)</f>
        <v/>
      </c>
      <c r="W491" s="31">
        <f>IF(A491&lt;&gt;"每日跟踪","",IF(OR(I491="",S491=""),"",IF(I491&lt;=S491,"触发止损：应全部卖出","继续观察")))</f>
        <v/>
      </c>
      <c r="X491" s="28" t="n"/>
      <c r="Y491" s="43" t="n"/>
      <c r="Z491" s="26">
        <f>IF(X491&lt;&gt;"执行卖出","",IFERROR(LOOKUP(2,1/(单次交易!$A$2:$A$201=B491),单次交易!$AP$2:$AP$201),""))</f>
        <v/>
      </c>
      <c r="AA491" s="43" t="n"/>
      <c r="AB491" s="31">
        <f>IF(A491&lt;&gt;"每日跟踪","",IF(OR(B491="",H491="",I491="",J491="",K491="",L491="",M491=""),"待补充每日记录",IF(W491="触发止损：应全部卖出",IF(X491&lt;&gt;"执行卖出","违规：触发止损但未执行",IF(Y491="","待补充实际卖出价","卖出记录完整")),IF(X491="","待选择卖出动作",IF(X491="执行卖出",IF(Y491="","待补充实际卖出价","卖出记录完整"),"正常")))))</f>
        <v/>
      </c>
      <c r="AC491" s="31">
        <f>IF(A491="","",IF(A491="止损计划",IF(OR(B491="",D491="",E491="",F491="",G491=""),"计划不完整",IF(OR(D491&lt;1,D491&lt;&gt;INT(D491)),"阶段序号无效",IF(COUNTIFS($A$2:$A$501,"止损计划",$B$2:$B$501,B491,$D$2:$D$501,D491)&gt;1,"阶段序号重复",IF(E491&lt;=IFERROR(LOOKUP(2,1/('单次交易'!$A$2:$A$201=B491),'单次交易'!$E$2:$E$201),0),"激活价须高于买入价",IF(F491&lt;N491,"止损价不得低于初始止损",IF(F491&gt;E491,"止损价不得高于激活价",IF(AND(COUNTIFS($A$2:$A$501,"止损计划",$B$2:$B$501,B491,$D$2:$D$501,"&lt;"&amp;D491)&gt;0,OR(E491&lt;=AGGREGATE(14,6,$E$2:$E$501/(($A$2:$A$501="止损计划")*($B$2:$B$501=B491)*($D$2:$D$501&lt;D491)),1),F491&lt;AGGREGATE(14,6,$F$2:$F$501/(($A$2:$A$501="止损计划")*($B$2:$B$501=B491)*($D$2:$D$501&lt;D491)),1))),"阶段价格必须逐级提高","计划有效"))))))),IF(A491="每日跟踪",IF(OR(B491="",H491="",I491="",J491=""),"每日数据不完整",IF(COUNTIFS($A$2:$A$501,"每日跟踪",$B$2:$B$501,B491,$H$2:$H$501,H491)&gt;1,"同一交易日期重复",IF(AND(R491&lt;&gt;"",R491&lt;S491),"人工止损无效：不能下调","跟踪有效"))),"记录类型无效")))</f>
        <v/>
      </c>
    </row>
    <row r="492">
      <c r="A492" s="28" t="n"/>
      <c r="B492" s="28" t="n"/>
      <c r="C492" s="31">
        <f>IF(B492="","",IFERROR(LOOKUP(2,1/(单次交易!$A$2:$A$201=B492),单次交易!$B$2:$B$201),""))</f>
        <v/>
      </c>
      <c r="D492" s="27" t="n"/>
      <c r="E492" s="43" t="n"/>
      <c r="F492" s="43" t="n"/>
      <c r="G492" s="28" t="n"/>
      <c r="H492" s="49" t="n"/>
      <c r="I492" s="43" t="n"/>
      <c r="J492" s="27" t="n"/>
      <c r="K492" s="28" t="n"/>
      <c r="L492" s="28" t="n"/>
      <c r="M492" s="28" t="n"/>
      <c r="N492" s="44">
        <f>IF(B492="","",IFERROR(LOOKUP(2,1/(单次交易!$A$2:$A$201=B492),单次交易!$N$2:$N$201),""))</f>
        <v/>
      </c>
      <c r="O492" s="44">
        <f>IF(A492&lt;&gt;"每日跟踪","",IF(OR(B492="",H492="",I492=""),"",IFERROR(AGGREGATE(14,6,$I$2:$I$501/(($A$2:$A$501="每日跟踪")*($B$2:$B$501=B492)*($H$2:$H$501&lt;=H492)),1),"")))</f>
        <v/>
      </c>
      <c r="P492" s="26">
        <f>IF(A492&lt;&gt;"每日跟踪","",IF(O492="","",IFERROR(AGGREGATE(14,6,$D$2:$D$501/(($A$2:$A$501="止损计划")*($B$2:$B$501=B492)*($E$2:$E$501&lt;=O492)),1),0)))</f>
        <v/>
      </c>
      <c r="Q492" s="44">
        <f>IF(A492&lt;&gt;"每日跟踪","",IF(N492="","",MAX(N492,IFERROR(AGGREGATE(14,6,$F$2:$F$501/(($A$2:$A$501="止损计划")*($B$2:$B$501=B492)*($E$2:$E$501&lt;=O492)),1),0))))</f>
        <v/>
      </c>
      <c r="R492" s="43" t="n"/>
      <c r="S492" s="44">
        <f>IF(A492&lt;&gt;"每日跟踪","",IF(Q492="","",MAX(Q492,IFERROR(AGGREGATE(14,6,$R$2:$R$501/(($A$2:$A$501="每日跟踪")*($B$2:$B$501=B492)*($H$2:$H$501&lt;=H492)),1),0))))</f>
        <v/>
      </c>
      <c r="T492" s="44">
        <f>IF(A492&lt;&gt;"每日跟踪","",IF(O492="","",IF(COUNTIFS($A$2:$A$501,"止损计划",$B$2:$B$501,B492,$E$2:$E$501,"&gt;"&amp;O492)=0,"",AGGREGATE(15,6,$E$2:$E$501/(($A$2:$A$501="止损计划")*($B$2:$B$501=B492)*($E$2:$E$501&gt;O492)),1))))</f>
        <v/>
      </c>
      <c r="U492" s="44">
        <f>IF(OR(A492&lt;&gt;"每日跟踪",T492=""),"",IFERROR(AGGREGATE(14,6,$F$2:$F$501/(($A$2:$A$501="止损计划")*($B$2:$B$501=B492)*($E$2:$E$501=T492)),1),""))</f>
        <v/>
      </c>
      <c r="V492" s="30">
        <f>IF(OR(A492&lt;&gt;"每日跟踪",T492="",I492="",I492&lt;=0),"",T492/I492-1)</f>
        <v/>
      </c>
      <c r="W492" s="31">
        <f>IF(A492&lt;&gt;"每日跟踪","",IF(OR(I492="",S492=""),"",IF(I492&lt;=S492,"触发止损：应全部卖出","继续观察")))</f>
        <v/>
      </c>
      <c r="X492" s="28" t="n"/>
      <c r="Y492" s="43" t="n"/>
      <c r="Z492" s="26">
        <f>IF(X492&lt;&gt;"执行卖出","",IFERROR(LOOKUP(2,1/(单次交易!$A$2:$A$201=B492),单次交易!$AP$2:$AP$201),""))</f>
        <v/>
      </c>
      <c r="AA492" s="43" t="n"/>
      <c r="AB492" s="31">
        <f>IF(A492&lt;&gt;"每日跟踪","",IF(OR(B492="",H492="",I492="",J492="",K492="",L492="",M492=""),"待补充每日记录",IF(W492="触发止损：应全部卖出",IF(X492&lt;&gt;"执行卖出","违规：触发止损但未执行",IF(Y492="","待补充实际卖出价","卖出记录完整")),IF(X492="","待选择卖出动作",IF(X492="执行卖出",IF(Y492="","待补充实际卖出价","卖出记录完整"),"正常")))))</f>
        <v/>
      </c>
      <c r="AC492" s="31">
        <f>IF(A492="","",IF(A492="止损计划",IF(OR(B492="",D492="",E492="",F492="",G492=""),"计划不完整",IF(OR(D492&lt;1,D492&lt;&gt;INT(D492)),"阶段序号无效",IF(COUNTIFS($A$2:$A$501,"止损计划",$B$2:$B$501,B492,$D$2:$D$501,D492)&gt;1,"阶段序号重复",IF(E492&lt;=IFERROR(LOOKUP(2,1/('单次交易'!$A$2:$A$201=B492),'单次交易'!$E$2:$E$201),0),"激活价须高于买入价",IF(F492&lt;N492,"止损价不得低于初始止损",IF(F492&gt;E492,"止损价不得高于激活价",IF(AND(COUNTIFS($A$2:$A$501,"止损计划",$B$2:$B$501,B492,$D$2:$D$501,"&lt;"&amp;D492)&gt;0,OR(E492&lt;=AGGREGATE(14,6,$E$2:$E$501/(($A$2:$A$501="止损计划")*($B$2:$B$501=B492)*($D$2:$D$501&lt;D492)),1),F492&lt;AGGREGATE(14,6,$F$2:$F$501/(($A$2:$A$501="止损计划")*($B$2:$B$501=B492)*($D$2:$D$501&lt;D492)),1))),"阶段价格必须逐级提高","计划有效"))))))),IF(A492="每日跟踪",IF(OR(B492="",H492="",I492="",J492=""),"每日数据不完整",IF(COUNTIFS($A$2:$A$501,"每日跟踪",$B$2:$B$501,B492,$H$2:$H$501,H492)&gt;1,"同一交易日期重复",IF(AND(R492&lt;&gt;"",R492&lt;S492),"人工止损无效：不能下调","跟踪有效"))),"记录类型无效")))</f>
        <v/>
      </c>
    </row>
    <row r="493">
      <c r="A493" s="28" t="n"/>
      <c r="B493" s="28" t="n"/>
      <c r="C493" s="31">
        <f>IF(B493="","",IFERROR(LOOKUP(2,1/(单次交易!$A$2:$A$201=B493),单次交易!$B$2:$B$201),""))</f>
        <v/>
      </c>
      <c r="D493" s="27" t="n"/>
      <c r="E493" s="43" t="n"/>
      <c r="F493" s="43" t="n"/>
      <c r="G493" s="28" t="n"/>
      <c r="H493" s="49" t="n"/>
      <c r="I493" s="43" t="n"/>
      <c r="J493" s="27" t="n"/>
      <c r="K493" s="28" t="n"/>
      <c r="L493" s="28" t="n"/>
      <c r="M493" s="28" t="n"/>
      <c r="N493" s="44">
        <f>IF(B493="","",IFERROR(LOOKUP(2,1/(单次交易!$A$2:$A$201=B493),单次交易!$N$2:$N$201),""))</f>
        <v/>
      </c>
      <c r="O493" s="44">
        <f>IF(A493&lt;&gt;"每日跟踪","",IF(OR(B493="",H493="",I493=""),"",IFERROR(AGGREGATE(14,6,$I$2:$I$501/(($A$2:$A$501="每日跟踪")*($B$2:$B$501=B493)*($H$2:$H$501&lt;=H493)),1),"")))</f>
        <v/>
      </c>
      <c r="P493" s="26">
        <f>IF(A493&lt;&gt;"每日跟踪","",IF(O493="","",IFERROR(AGGREGATE(14,6,$D$2:$D$501/(($A$2:$A$501="止损计划")*($B$2:$B$501=B493)*($E$2:$E$501&lt;=O493)),1),0)))</f>
        <v/>
      </c>
      <c r="Q493" s="44">
        <f>IF(A493&lt;&gt;"每日跟踪","",IF(N493="","",MAX(N493,IFERROR(AGGREGATE(14,6,$F$2:$F$501/(($A$2:$A$501="止损计划")*($B$2:$B$501=B493)*($E$2:$E$501&lt;=O493)),1),0))))</f>
        <v/>
      </c>
      <c r="R493" s="43" t="n"/>
      <c r="S493" s="44">
        <f>IF(A493&lt;&gt;"每日跟踪","",IF(Q493="","",MAX(Q493,IFERROR(AGGREGATE(14,6,$R$2:$R$501/(($A$2:$A$501="每日跟踪")*($B$2:$B$501=B493)*($H$2:$H$501&lt;=H493)),1),0))))</f>
        <v/>
      </c>
      <c r="T493" s="44">
        <f>IF(A493&lt;&gt;"每日跟踪","",IF(O493="","",IF(COUNTIFS($A$2:$A$501,"止损计划",$B$2:$B$501,B493,$E$2:$E$501,"&gt;"&amp;O493)=0,"",AGGREGATE(15,6,$E$2:$E$501/(($A$2:$A$501="止损计划")*($B$2:$B$501=B493)*($E$2:$E$501&gt;O493)),1))))</f>
        <v/>
      </c>
      <c r="U493" s="44">
        <f>IF(OR(A493&lt;&gt;"每日跟踪",T493=""),"",IFERROR(AGGREGATE(14,6,$F$2:$F$501/(($A$2:$A$501="止损计划")*($B$2:$B$501=B493)*($E$2:$E$501=T493)),1),""))</f>
        <v/>
      </c>
      <c r="V493" s="30">
        <f>IF(OR(A493&lt;&gt;"每日跟踪",T493="",I493="",I493&lt;=0),"",T493/I493-1)</f>
        <v/>
      </c>
      <c r="W493" s="31">
        <f>IF(A493&lt;&gt;"每日跟踪","",IF(OR(I493="",S493=""),"",IF(I493&lt;=S493,"触发止损：应全部卖出","继续观察")))</f>
        <v/>
      </c>
      <c r="X493" s="28" t="n"/>
      <c r="Y493" s="43" t="n"/>
      <c r="Z493" s="26">
        <f>IF(X493&lt;&gt;"执行卖出","",IFERROR(LOOKUP(2,1/(单次交易!$A$2:$A$201=B493),单次交易!$AP$2:$AP$201),""))</f>
        <v/>
      </c>
      <c r="AA493" s="43" t="n"/>
      <c r="AB493" s="31">
        <f>IF(A493&lt;&gt;"每日跟踪","",IF(OR(B493="",H493="",I493="",J493="",K493="",L493="",M493=""),"待补充每日记录",IF(W493="触发止损：应全部卖出",IF(X493&lt;&gt;"执行卖出","违规：触发止损但未执行",IF(Y493="","待补充实际卖出价","卖出记录完整")),IF(X493="","待选择卖出动作",IF(X493="执行卖出",IF(Y493="","待补充实际卖出价","卖出记录完整"),"正常")))))</f>
        <v/>
      </c>
      <c r="AC493" s="31">
        <f>IF(A493="","",IF(A493="止损计划",IF(OR(B493="",D493="",E493="",F493="",G493=""),"计划不完整",IF(OR(D493&lt;1,D493&lt;&gt;INT(D493)),"阶段序号无效",IF(COUNTIFS($A$2:$A$501,"止损计划",$B$2:$B$501,B493,$D$2:$D$501,D493)&gt;1,"阶段序号重复",IF(E493&lt;=IFERROR(LOOKUP(2,1/('单次交易'!$A$2:$A$201=B493),'单次交易'!$E$2:$E$201),0),"激活价须高于买入价",IF(F493&lt;N493,"止损价不得低于初始止损",IF(F493&gt;E493,"止损价不得高于激活价",IF(AND(COUNTIFS($A$2:$A$501,"止损计划",$B$2:$B$501,B493,$D$2:$D$501,"&lt;"&amp;D493)&gt;0,OR(E493&lt;=AGGREGATE(14,6,$E$2:$E$501/(($A$2:$A$501="止损计划")*($B$2:$B$501=B493)*($D$2:$D$501&lt;D493)),1),F493&lt;AGGREGATE(14,6,$F$2:$F$501/(($A$2:$A$501="止损计划")*($B$2:$B$501=B493)*($D$2:$D$501&lt;D493)),1))),"阶段价格必须逐级提高","计划有效"))))))),IF(A493="每日跟踪",IF(OR(B493="",H493="",I493="",J493=""),"每日数据不完整",IF(COUNTIFS($A$2:$A$501,"每日跟踪",$B$2:$B$501,B493,$H$2:$H$501,H493)&gt;1,"同一交易日期重复",IF(AND(R493&lt;&gt;"",R493&lt;S493),"人工止损无效：不能下调","跟踪有效"))),"记录类型无效")))</f>
        <v/>
      </c>
    </row>
    <row r="494">
      <c r="A494" s="28" t="n"/>
      <c r="B494" s="28" t="n"/>
      <c r="C494" s="31">
        <f>IF(B494="","",IFERROR(LOOKUP(2,1/(单次交易!$A$2:$A$201=B494),单次交易!$B$2:$B$201),""))</f>
        <v/>
      </c>
      <c r="D494" s="27" t="n"/>
      <c r="E494" s="43" t="n"/>
      <c r="F494" s="43" t="n"/>
      <c r="G494" s="28" t="n"/>
      <c r="H494" s="49" t="n"/>
      <c r="I494" s="43" t="n"/>
      <c r="J494" s="27" t="n"/>
      <c r="K494" s="28" t="n"/>
      <c r="L494" s="28" t="n"/>
      <c r="M494" s="28" t="n"/>
      <c r="N494" s="44">
        <f>IF(B494="","",IFERROR(LOOKUP(2,1/(单次交易!$A$2:$A$201=B494),单次交易!$N$2:$N$201),""))</f>
        <v/>
      </c>
      <c r="O494" s="44">
        <f>IF(A494&lt;&gt;"每日跟踪","",IF(OR(B494="",H494="",I494=""),"",IFERROR(AGGREGATE(14,6,$I$2:$I$501/(($A$2:$A$501="每日跟踪")*($B$2:$B$501=B494)*($H$2:$H$501&lt;=H494)),1),"")))</f>
        <v/>
      </c>
      <c r="P494" s="26">
        <f>IF(A494&lt;&gt;"每日跟踪","",IF(O494="","",IFERROR(AGGREGATE(14,6,$D$2:$D$501/(($A$2:$A$501="止损计划")*($B$2:$B$501=B494)*($E$2:$E$501&lt;=O494)),1),0)))</f>
        <v/>
      </c>
      <c r="Q494" s="44">
        <f>IF(A494&lt;&gt;"每日跟踪","",IF(N494="","",MAX(N494,IFERROR(AGGREGATE(14,6,$F$2:$F$501/(($A$2:$A$501="止损计划")*($B$2:$B$501=B494)*($E$2:$E$501&lt;=O494)),1),0))))</f>
        <v/>
      </c>
      <c r="R494" s="43" t="n"/>
      <c r="S494" s="44">
        <f>IF(A494&lt;&gt;"每日跟踪","",IF(Q494="","",MAX(Q494,IFERROR(AGGREGATE(14,6,$R$2:$R$501/(($A$2:$A$501="每日跟踪")*($B$2:$B$501=B494)*($H$2:$H$501&lt;=H494)),1),0))))</f>
        <v/>
      </c>
      <c r="T494" s="44">
        <f>IF(A494&lt;&gt;"每日跟踪","",IF(O494="","",IF(COUNTIFS($A$2:$A$501,"止损计划",$B$2:$B$501,B494,$E$2:$E$501,"&gt;"&amp;O494)=0,"",AGGREGATE(15,6,$E$2:$E$501/(($A$2:$A$501="止损计划")*($B$2:$B$501=B494)*($E$2:$E$501&gt;O494)),1))))</f>
        <v/>
      </c>
      <c r="U494" s="44">
        <f>IF(OR(A494&lt;&gt;"每日跟踪",T494=""),"",IFERROR(AGGREGATE(14,6,$F$2:$F$501/(($A$2:$A$501="止损计划")*($B$2:$B$501=B494)*($E$2:$E$501=T494)),1),""))</f>
        <v/>
      </c>
      <c r="V494" s="30">
        <f>IF(OR(A494&lt;&gt;"每日跟踪",T494="",I494="",I494&lt;=0),"",T494/I494-1)</f>
        <v/>
      </c>
      <c r="W494" s="31">
        <f>IF(A494&lt;&gt;"每日跟踪","",IF(OR(I494="",S494=""),"",IF(I494&lt;=S494,"触发止损：应全部卖出","继续观察")))</f>
        <v/>
      </c>
      <c r="X494" s="28" t="n"/>
      <c r="Y494" s="43" t="n"/>
      <c r="Z494" s="26">
        <f>IF(X494&lt;&gt;"执行卖出","",IFERROR(LOOKUP(2,1/(单次交易!$A$2:$A$201=B494),单次交易!$AP$2:$AP$201),""))</f>
        <v/>
      </c>
      <c r="AA494" s="43" t="n"/>
      <c r="AB494" s="31">
        <f>IF(A494&lt;&gt;"每日跟踪","",IF(OR(B494="",H494="",I494="",J494="",K494="",L494="",M494=""),"待补充每日记录",IF(W494="触发止损：应全部卖出",IF(X494&lt;&gt;"执行卖出","违规：触发止损但未执行",IF(Y494="","待补充实际卖出价","卖出记录完整")),IF(X494="","待选择卖出动作",IF(X494="执行卖出",IF(Y494="","待补充实际卖出价","卖出记录完整"),"正常")))))</f>
        <v/>
      </c>
      <c r="AC494" s="31">
        <f>IF(A494="","",IF(A494="止损计划",IF(OR(B494="",D494="",E494="",F494="",G494=""),"计划不完整",IF(OR(D494&lt;1,D494&lt;&gt;INT(D494)),"阶段序号无效",IF(COUNTIFS($A$2:$A$501,"止损计划",$B$2:$B$501,B494,$D$2:$D$501,D494)&gt;1,"阶段序号重复",IF(E494&lt;=IFERROR(LOOKUP(2,1/('单次交易'!$A$2:$A$201=B494),'单次交易'!$E$2:$E$201),0),"激活价须高于买入价",IF(F494&lt;N494,"止损价不得低于初始止损",IF(F494&gt;E494,"止损价不得高于激活价",IF(AND(COUNTIFS($A$2:$A$501,"止损计划",$B$2:$B$501,B494,$D$2:$D$501,"&lt;"&amp;D494)&gt;0,OR(E494&lt;=AGGREGATE(14,6,$E$2:$E$501/(($A$2:$A$501="止损计划")*($B$2:$B$501=B494)*($D$2:$D$501&lt;D494)),1),F494&lt;AGGREGATE(14,6,$F$2:$F$501/(($A$2:$A$501="止损计划")*($B$2:$B$501=B494)*($D$2:$D$501&lt;D494)),1))),"阶段价格必须逐级提高","计划有效"))))))),IF(A494="每日跟踪",IF(OR(B494="",H494="",I494="",J494=""),"每日数据不完整",IF(COUNTIFS($A$2:$A$501,"每日跟踪",$B$2:$B$501,B494,$H$2:$H$501,H494)&gt;1,"同一交易日期重复",IF(AND(R494&lt;&gt;"",R494&lt;S494),"人工止损无效：不能下调","跟踪有效"))),"记录类型无效")))</f>
        <v/>
      </c>
    </row>
    <row r="495">
      <c r="A495" s="28" t="n"/>
      <c r="B495" s="28" t="n"/>
      <c r="C495" s="31">
        <f>IF(B495="","",IFERROR(LOOKUP(2,1/(单次交易!$A$2:$A$201=B495),单次交易!$B$2:$B$201),""))</f>
        <v/>
      </c>
      <c r="D495" s="27" t="n"/>
      <c r="E495" s="43" t="n"/>
      <c r="F495" s="43" t="n"/>
      <c r="G495" s="28" t="n"/>
      <c r="H495" s="49" t="n"/>
      <c r="I495" s="43" t="n"/>
      <c r="J495" s="27" t="n"/>
      <c r="K495" s="28" t="n"/>
      <c r="L495" s="28" t="n"/>
      <c r="M495" s="28" t="n"/>
      <c r="N495" s="44">
        <f>IF(B495="","",IFERROR(LOOKUP(2,1/(单次交易!$A$2:$A$201=B495),单次交易!$N$2:$N$201),""))</f>
        <v/>
      </c>
      <c r="O495" s="44">
        <f>IF(A495&lt;&gt;"每日跟踪","",IF(OR(B495="",H495="",I495=""),"",IFERROR(AGGREGATE(14,6,$I$2:$I$501/(($A$2:$A$501="每日跟踪")*($B$2:$B$501=B495)*($H$2:$H$501&lt;=H495)),1),"")))</f>
        <v/>
      </c>
      <c r="P495" s="26">
        <f>IF(A495&lt;&gt;"每日跟踪","",IF(O495="","",IFERROR(AGGREGATE(14,6,$D$2:$D$501/(($A$2:$A$501="止损计划")*($B$2:$B$501=B495)*($E$2:$E$501&lt;=O495)),1),0)))</f>
        <v/>
      </c>
      <c r="Q495" s="44">
        <f>IF(A495&lt;&gt;"每日跟踪","",IF(N495="","",MAX(N495,IFERROR(AGGREGATE(14,6,$F$2:$F$501/(($A$2:$A$501="止损计划")*($B$2:$B$501=B495)*($E$2:$E$501&lt;=O495)),1),0))))</f>
        <v/>
      </c>
      <c r="R495" s="43" t="n"/>
      <c r="S495" s="44">
        <f>IF(A495&lt;&gt;"每日跟踪","",IF(Q495="","",MAX(Q495,IFERROR(AGGREGATE(14,6,$R$2:$R$501/(($A$2:$A$501="每日跟踪")*($B$2:$B$501=B495)*($H$2:$H$501&lt;=H495)),1),0))))</f>
        <v/>
      </c>
      <c r="T495" s="44">
        <f>IF(A495&lt;&gt;"每日跟踪","",IF(O495="","",IF(COUNTIFS($A$2:$A$501,"止损计划",$B$2:$B$501,B495,$E$2:$E$501,"&gt;"&amp;O495)=0,"",AGGREGATE(15,6,$E$2:$E$501/(($A$2:$A$501="止损计划")*($B$2:$B$501=B495)*($E$2:$E$501&gt;O495)),1))))</f>
        <v/>
      </c>
      <c r="U495" s="44">
        <f>IF(OR(A495&lt;&gt;"每日跟踪",T495=""),"",IFERROR(AGGREGATE(14,6,$F$2:$F$501/(($A$2:$A$501="止损计划")*($B$2:$B$501=B495)*($E$2:$E$501=T495)),1),""))</f>
        <v/>
      </c>
      <c r="V495" s="30">
        <f>IF(OR(A495&lt;&gt;"每日跟踪",T495="",I495="",I495&lt;=0),"",T495/I495-1)</f>
        <v/>
      </c>
      <c r="W495" s="31">
        <f>IF(A495&lt;&gt;"每日跟踪","",IF(OR(I495="",S495=""),"",IF(I495&lt;=S495,"触发止损：应全部卖出","继续观察")))</f>
        <v/>
      </c>
      <c r="X495" s="28" t="n"/>
      <c r="Y495" s="43" t="n"/>
      <c r="Z495" s="26">
        <f>IF(X495&lt;&gt;"执行卖出","",IFERROR(LOOKUP(2,1/(单次交易!$A$2:$A$201=B495),单次交易!$AP$2:$AP$201),""))</f>
        <v/>
      </c>
      <c r="AA495" s="43" t="n"/>
      <c r="AB495" s="31">
        <f>IF(A495&lt;&gt;"每日跟踪","",IF(OR(B495="",H495="",I495="",J495="",K495="",L495="",M495=""),"待补充每日记录",IF(W495="触发止损：应全部卖出",IF(X495&lt;&gt;"执行卖出","违规：触发止损但未执行",IF(Y495="","待补充实际卖出价","卖出记录完整")),IF(X495="","待选择卖出动作",IF(X495="执行卖出",IF(Y495="","待补充实际卖出价","卖出记录完整"),"正常")))))</f>
        <v/>
      </c>
      <c r="AC495" s="31">
        <f>IF(A495="","",IF(A495="止损计划",IF(OR(B495="",D495="",E495="",F495="",G495=""),"计划不完整",IF(OR(D495&lt;1,D495&lt;&gt;INT(D495)),"阶段序号无效",IF(COUNTIFS($A$2:$A$501,"止损计划",$B$2:$B$501,B495,$D$2:$D$501,D495)&gt;1,"阶段序号重复",IF(E495&lt;=IFERROR(LOOKUP(2,1/('单次交易'!$A$2:$A$201=B495),'单次交易'!$E$2:$E$201),0),"激活价须高于买入价",IF(F495&lt;N495,"止损价不得低于初始止损",IF(F495&gt;E495,"止损价不得高于激活价",IF(AND(COUNTIFS($A$2:$A$501,"止损计划",$B$2:$B$501,B495,$D$2:$D$501,"&lt;"&amp;D495)&gt;0,OR(E495&lt;=AGGREGATE(14,6,$E$2:$E$501/(($A$2:$A$501="止损计划")*($B$2:$B$501=B495)*($D$2:$D$501&lt;D495)),1),F495&lt;AGGREGATE(14,6,$F$2:$F$501/(($A$2:$A$501="止损计划")*($B$2:$B$501=B495)*($D$2:$D$501&lt;D495)),1))),"阶段价格必须逐级提高","计划有效"))))))),IF(A495="每日跟踪",IF(OR(B495="",H495="",I495="",J495=""),"每日数据不完整",IF(COUNTIFS($A$2:$A$501,"每日跟踪",$B$2:$B$501,B495,$H$2:$H$501,H495)&gt;1,"同一交易日期重复",IF(AND(R495&lt;&gt;"",R495&lt;S495),"人工止损无效：不能下调","跟踪有效"))),"记录类型无效")))</f>
        <v/>
      </c>
    </row>
    <row r="496">
      <c r="A496" s="28" t="n"/>
      <c r="B496" s="28" t="n"/>
      <c r="C496" s="31">
        <f>IF(B496="","",IFERROR(LOOKUP(2,1/(单次交易!$A$2:$A$201=B496),单次交易!$B$2:$B$201),""))</f>
        <v/>
      </c>
      <c r="D496" s="27" t="n"/>
      <c r="E496" s="43" t="n"/>
      <c r="F496" s="43" t="n"/>
      <c r="G496" s="28" t="n"/>
      <c r="H496" s="49" t="n"/>
      <c r="I496" s="43" t="n"/>
      <c r="J496" s="27" t="n"/>
      <c r="K496" s="28" t="n"/>
      <c r="L496" s="28" t="n"/>
      <c r="M496" s="28" t="n"/>
      <c r="N496" s="44">
        <f>IF(B496="","",IFERROR(LOOKUP(2,1/(单次交易!$A$2:$A$201=B496),单次交易!$N$2:$N$201),""))</f>
        <v/>
      </c>
      <c r="O496" s="44">
        <f>IF(A496&lt;&gt;"每日跟踪","",IF(OR(B496="",H496="",I496=""),"",IFERROR(AGGREGATE(14,6,$I$2:$I$501/(($A$2:$A$501="每日跟踪")*($B$2:$B$501=B496)*($H$2:$H$501&lt;=H496)),1),"")))</f>
        <v/>
      </c>
      <c r="P496" s="26">
        <f>IF(A496&lt;&gt;"每日跟踪","",IF(O496="","",IFERROR(AGGREGATE(14,6,$D$2:$D$501/(($A$2:$A$501="止损计划")*($B$2:$B$501=B496)*($E$2:$E$501&lt;=O496)),1),0)))</f>
        <v/>
      </c>
      <c r="Q496" s="44">
        <f>IF(A496&lt;&gt;"每日跟踪","",IF(N496="","",MAX(N496,IFERROR(AGGREGATE(14,6,$F$2:$F$501/(($A$2:$A$501="止损计划")*($B$2:$B$501=B496)*($E$2:$E$501&lt;=O496)),1),0))))</f>
        <v/>
      </c>
      <c r="R496" s="43" t="n"/>
      <c r="S496" s="44">
        <f>IF(A496&lt;&gt;"每日跟踪","",IF(Q496="","",MAX(Q496,IFERROR(AGGREGATE(14,6,$R$2:$R$501/(($A$2:$A$501="每日跟踪")*($B$2:$B$501=B496)*($H$2:$H$501&lt;=H496)),1),0))))</f>
        <v/>
      </c>
      <c r="T496" s="44">
        <f>IF(A496&lt;&gt;"每日跟踪","",IF(O496="","",IF(COUNTIFS($A$2:$A$501,"止损计划",$B$2:$B$501,B496,$E$2:$E$501,"&gt;"&amp;O496)=0,"",AGGREGATE(15,6,$E$2:$E$501/(($A$2:$A$501="止损计划")*($B$2:$B$501=B496)*($E$2:$E$501&gt;O496)),1))))</f>
        <v/>
      </c>
      <c r="U496" s="44">
        <f>IF(OR(A496&lt;&gt;"每日跟踪",T496=""),"",IFERROR(AGGREGATE(14,6,$F$2:$F$501/(($A$2:$A$501="止损计划")*($B$2:$B$501=B496)*($E$2:$E$501=T496)),1),""))</f>
        <v/>
      </c>
      <c r="V496" s="30">
        <f>IF(OR(A496&lt;&gt;"每日跟踪",T496="",I496="",I496&lt;=0),"",T496/I496-1)</f>
        <v/>
      </c>
      <c r="W496" s="31">
        <f>IF(A496&lt;&gt;"每日跟踪","",IF(OR(I496="",S496=""),"",IF(I496&lt;=S496,"触发止损：应全部卖出","继续观察")))</f>
        <v/>
      </c>
      <c r="X496" s="28" t="n"/>
      <c r="Y496" s="43" t="n"/>
      <c r="Z496" s="26">
        <f>IF(X496&lt;&gt;"执行卖出","",IFERROR(LOOKUP(2,1/(单次交易!$A$2:$A$201=B496),单次交易!$AP$2:$AP$201),""))</f>
        <v/>
      </c>
      <c r="AA496" s="43" t="n"/>
      <c r="AB496" s="31">
        <f>IF(A496&lt;&gt;"每日跟踪","",IF(OR(B496="",H496="",I496="",J496="",K496="",L496="",M496=""),"待补充每日记录",IF(W496="触发止损：应全部卖出",IF(X496&lt;&gt;"执行卖出","违规：触发止损但未执行",IF(Y496="","待补充实际卖出价","卖出记录完整")),IF(X496="","待选择卖出动作",IF(X496="执行卖出",IF(Y496="","待补充实际卖出价","卖出记录完整"),"正常")))))</f>
        <v/>
      </c>
      <c r="AC496" s="31">
        <f>IF(A496="","",IF(A496="止损计划",IF(OR(B496="",D496="",E496="",F496="",G496=""),"计划不完整",IF(OR(D496&lt;1,D496&lt;&gt;INT(D496)),"阶段序号无效",IF(COUNTIFS($A$2:$A$501,"止损计划",$B$2:$B$501,B496,$D$2:$D$501,D496)&gt;1,"阶段序号重复",IF(E496&lt;=IFERROR(LOOKUP(2,1/('单次交易'!$A$2:$A$201=B496),'单次交易'!$E$2:$E$201),0),"激活价须高于买入价",IF(F496&lt;N496,"止损价不得低于初始止损",IF(F496&gt;E496,"止损价不得高于激活价",IF(AND(COUNTIFS($A$2:$A$501,"止损计划",$B$2:$B$501,B496,$D$2:$D$501,"&lt;"&amp;D496)&gt;0,OR(E496&lt;=AGGREGATE(14,6,$E$2:$E$501/(($A$2:$A$501="止损计划")*($B$2:$B$501=B496)*($D$2:$D$501&lt;D496)),1),F496&lt;AGGREGATE(14,6,$F$2:$F$501/(($A$2:$A$501="止损计划")*($B$2:$B$501=B496)*($D$2:$D$501&lt;D496)),1))),"阶段价格必须逐级提高","计划有效"))))))),IF(A496="每日跟踪",IF(OR(B496="",H496="",I496="",J496=""),"每日数据不完整",IF(COUNTIFS($A$2:$A$501,"每日跟踪",$B$2:$B$501,B496,$H$2:$H$501,H496)&gt;1,"同一交易日期重复",IF(AND(R496&lt;&gt;"",R496&lt;S496),"人工止损无效：不能下调","跟踪有效"))),"记录类型无效")))</f>
        <v/>
      </c>
    </row>
    <row r="497">
      <c r="A497" s="28" t="n"/>
      <c r="B497" s="28" t="n"/>
      <c r="C497" s="31">
        <f>IF(B497="","",IFERROR(LOOKUP(2,1/(单次交易!$A$2:$A$201=B497),单次交易!$B$2:$B$201),""))</f>
        <v/>
      </c>
      <c r="D497" s="27" t="n"/>
      <c r="E497" s="43" t="n"/>
      <c r="F497" s="43" t="n"/>
      <c r="G497" s="28" t="n"/>
      <c r="H497" s="49" t="n"/>
      <c r="I497" s="43" t="n"/>
      <c r="J497" s="27" t="n"/>
      <c r="K497" s="28" t="n"/>
      <c r="L497" s="28" t="n"/>
      <c r="M497" s="28" t="n"/>
      <c r="N497" s="44">
        <f>IF(B497="","",IFERROR(LOOKUP(2,1/(单次交易!$A$2:$A$201=B497),单次交易!$N$2:$N$201),""))</f>
        <v/>
      </c>
      <c r="O497" s="44">
        <f>IF(A497&lt;&gt;"每日跟踪","",IF(OR(B497="",H497="",I497=""),"",IFERROR(AGGREGATE(14,6,$I$2:$I$501/(($A$2:$A$501="每日跟踪")*($B$2:$B$501=B497)*($H$2:$H$501&lt;=H497)),1),"")))</f>
        <v/>
      </c>
      <c r="P497" s="26">
        <f>IF(A497&lt;&gt;"每日跟踪","",IF(O497="","",IFERROR(AGGREGATE(14,6,$D$2:$D$501/(($A$2:$A$501="止损计划")*($B$2:$B$501=B497)*($E$2:$E$501&lt;=O497)),1),0)))</f>
        <v/>
      </c>
      <c r="Q497" s="44">
        <f>IF(A497&lt;&gt;"每日跟踪","",IF(N497="","",MAX(N497,IFERROR(AGGREGATE(14,6,$F$2:$F$501/(($A$2:$A$501="止损计划")*($B$2:$B$501=B497)*($E$2:$E$501&lt;=O497)),1),0))))</f>
        <v/>
      </c>
      <c r="R497" s="43" t="n"/>
      <c r="S497" s="44">
        <f>IF(A497&lt;&gt;"每日跟踪","",IF(Q497="","",MAX(Q497,IFERROR(AGGREGATE(14,6,$R$2:$R$501/(($A$2:$A$501="每日跟踪")*($B$2:$B$501=B497)*($H$2:$H$501&lt;=H497)),1),0))))</f>
        <v/>
      </c>
      <c r="T497" s="44">
        <f>IF(A497&lt;&gt;"每日跟踪","",IF(O497="","",IF(COUNTIFS($A$2:$A$501,"止损计划",$B$2:$B$501,B497,$E$2:$E$501,"&gt;"&amp;O497)=0,"",AGGREGATE(15,6,$E$2:$E$501/(($A$2:$A$501="止损计划")*($B$2:$B$501=B497)*($E$2:$E$501&gt;O497)),1))))</f>
        <v/>
      </c>
      <c r="U497" s="44">
        <f>IF(OR(A497&lt;&gt;"每日跟踪",T497=""),"",IFERROR(AGGREGATE(14,6,$F$2:$F$501/(($A$2:$A$501="止损计划")*($B$2:$B$501=B497)*($E$2:$E$501=T497)),1),""))</f>
        <v/>
      </c>
      <c r="V497" s="30">
        <f>IF(OR(A497&lt;&gt;"每日跟踪",T497="",I497="",I497&lt;=0),"",T497/I497-1)</f>
        <v/>
      </c>
      <c r="W497" s="31">
        <f>IF(A497&lt;&gt;"每日跟踪","",IF(OR(I497="",S497=""),"",IF(I497&lt;=S497,"触发止损：应全部卖出","继续观察")))</f>
        <v/>
      </c>
      <c r="X497" s="28" t="n"/>
      <c r="Y497" s="43" t="n"/>
      <c r="Z497" s="26">
        <f>IF(X497&lt;&gt;"执行卖出","",IFERROR(LOOKUP(2,1/(单次交易!$A$2:$A$201=B497),单次交易!$AP$2:$AP$201),""))</f>
        <v/>
      </c>
      <c r="AA497" s="43" t="n"/>
      <c r="AB497" s="31">
        <f>IF(A497&lt;&gt;"每日跟踪","",IF(OR(B497="",H497="",I497="",J497="",K497="",L497="",M497=""),"待补充每日记录",IF(W497="触发止损：应全部卖出",IF(X497&lt;&gt;"执行卖出","违规：触发止损但未执行",IF(Y497="","待补充实际卖出价","卖出记录完整")),IF(X497="","待选择卖出动作",IF(X497="执行卖出",IF(Y497="","待补充实际卖出价","卖出记录完整"),"正常")))))</f>
        <v/>
      </c>
      <c r="AC497" s="31">
        <f>IF(A497="","",IF(A497="止损计划",IF(OR(B497="",D497="",E497="",F497="",G497=""),"计划不完整",IF(OR(D497&lt;1,D497&lt;&gt;INT(D497)),"阶段序号无效",IF(COUNTIFS($A$2:$A$501,"止损计划",$B$2:$B$501,B497,$D$2:$D$501,D497)&gt;1,"阶段序号重复",IF(E497&lt;=IFERROR(LOOKUP(2,1/('单次交易'!$A$2:$A$201=B497),'单次交易'!$E$2:$E$201),0),"激活价须高于买入价",IF(F497&lt;N497,"止损价不得低于初始止损",IF(F497&gt;E497,"止损价不得高于激活价",IF(AND(COUNTIFS($A$2:$A$501,"止损计划",$B$2:$B$501,B497,$D$2:$D$501,"&lt;"&amp;D497)&gt;0,OR(E497&lt;=AGGREGATE(14,6,$E$2:$E$501/(($A$2:$A$501="止损计划")*($B$2:$B$501=B497)*($D$2:$D$501&lt;D497)),1),F497&lt;AGGREGATE(14,6,$F$2:$F$501/(($A$2:$A$501="止损计划")*($B$2:$B$501=B497)*($D$2:$D$501&lt;D497)),1))),"阶段价格必须逐级提高","计划有效"))))))),IF(A497="每日跟踪",IF(OR(B497="",H497="",I497="",J497=""),"每日数据不完整",IF(COUNTIFS($A$2:$A$501,"每日跟踪",$B$2:$B$501,B497,$H$2:$H$501,H497)&gt;1,"同一交易日期重复",IF(AND(R497&lt;&gt;"",R497&lt;S497),"人工止损无效：不能下调","跟踪有效"))),"记录类型无效")))</f>
        <v/>
      </c>
    </row>
    <row r="498">
      <c r="A498" s="28" t="n"/>
      <c r="B498" s="28" t="n"/>
      <c r="C498" s="31">
        <f>IF(B498="","",IFERROR(LOOKUP(2,1/(单次交易!$A$2:$A$201=B498),单次交易!$B$2:$B$201),""))</f>
        <v/>
      </c>
      <c r="D498" s="27" t="n"/>
      <c r="E498" s="43" t="n"/>
      <c r="F498" s="43" t="n"/>
      <c r="G498" s="28" t="n"/>
      <c r="H498" s="49" t="n"/>
      <c r="I498" s="43" t="n"/>
      <c r="J498" s="27" t="n"/>
      <c r="K498" s="28" t="n"/>
      <c r="L498" s="28" t="n"/>
      <c r="M498" s="28" t="n"/>
      <c r="N498" s="44">
        <f>IF(B498="","",IFERROR(LOOKUP(2,1/(单次交易!$A$2:$A$201=B498),单次交易!$N$2:$N$201),""))</f>
        <v/>
      </c>
      <c r="O498" s="44">
        <f>IF(A498&lt;&gt;"每日跟踪","",IF(OR(B498="",H498="",I498=""),"",IFERROR(AGGREGATE(14,6,$I$2:$I$501/(($A$2:$A$501="每日跟踪")*($B$2:$B$501=B498)*($H$2:$H$501&lt;=H498)),1),"")))</f>
        <v/>
      </c>
      <c r="P498" s="26">
        <f>IF(A498&lt;&gt;"每日跟踪","",IF(O498="","",IFERROR(AGGREGATE(14,6,$D$2:$D$501/(($A$2:$A$501="止损计划")*($B$2:$B$501=B498)*($E$2:$E$501&lt;=O498)),1),0)))</f>
        <v/>
      </c>
      <c r="Q498" s="44">
        <f>IF(A498&lt;&gt;"每日跟踪","",IF(N498="","",MAX(N498,IFERROR(AGGREGATE(14,6,$F$2:$F$501/(($A$2:$A$501="止损计划")*($B$2:$B$501=B498)*($E$2:$E$501&lt;=O498)),1),0))))</f>
        <v/>
      </c>
      <c r="R498" s="43" t="n"/>
      <c r="S498" s="44">
        <f>IF(A498&lt;&gt;"每日跟踪","",IF(Q498="","",MAX(Q498,IFERROR(AGGREGATE(14,6,$R$2:$R$501/(($A$2:$A$501="每日跟踪")*($B$2:$B$501=B498)*($H$2:$H$501&lt;=H498)),1),0))))</f>
        <v/>
      </c>
      <c r="T498" s="44">
        <f>IF(A498&lt;&gt;"每日跟踪","",IF(O498="","",IF(COUNTIFS($A$2:$A$501,"止损计划",$B$2:$B$501,B498,$E$2:$E$501,"&gt;"&amp;O498)=0,"",AGGREGATE(15,6,$E$2:$E$501/(($A$2:$A$501="止损计划")*($B$2:$B$501=B498)*($E$2:$E$501&gt;O498)),1))))</f>
        <v/>
      </c>
      <c r="U498" s="44">
        <f>IF(OR(A498&lt;&gt;"每日跟踪",T498=""),"",IFERROR(AGGREGATE(14,6,$F$2:$F$501/(($A$2:$A$501="止损计划")*($B$2:$B$501=B498)*($E$2:$E$501=T498)),1),""))</f>
        <v/>
      </c>
      <c r="V498" s="30">
        <f>IF(OR(A498&lt;&gt;"每日跟踪",T498="",I498="",I498&lt;=0),"",T498/I498-1)</f>
        <v/>
      </c>
      <c r="W498" s="31">
        <f>IF(A498&lt;&gt;"每日跟踪","",IF(OR(I498="",S498=""),"",IF(I498&lt;=S498,"触发止损：应全部卖出","继续观察")))</f>
        <v/>
      </c>
      <c r="X498" s="28" t="n"/>
      <c r="Y498" s="43" t="n"/>
      <c r="Z498" s="26">
        <f>IF(X498&lt;&gt;"执行卖出","",IFERROR(LOOKUP(2,1/(单次交易!$A$2:$A$201=B498),单次交易!$AP$2:$AP$201),""))</f>
        <v/>
      </c>
      <c r="AA498" s="43" t="n"/>
      <c r="AB498" s="31">
        <f>IF(A498&lt;&gt;"每日跟踪","",IF(OR(B498="",H498="",I498="",J498="",K498="",L498="",M498=""),"待补充每日记录",IF(W498="触发止损：应全部卖出",IF(X498&lt;&gt;"执行卖出","违规：触发止损但未执行",IF(Y498="","待补充实际卖出价","卖出记录完整")),IF(X498="","待选择卖出动作",IF(X498="执行卖出",IF(Y498="","待补充实际卖出价","卖出记录完整"),"正常")))))</f>
        <v/>
      </c>
      <c r="AC498" s="31">
        <f>IF(A498="","",IF(A498="止损计划",IF(OR(B498="",D498="",E498="",F498="",G498=""),"计划不完整",IF(OR(D498&lt;1,D498&lt;&gt;INT(D498)),"阶段序号无效",IF(COUNTIFS($A$2:$A$501,"止损计划",$B$2:$B$501,B498,$D$2:$D$501,D498)&gt;1,"阶段序号重复",IF(E498&lt;=IFERROR(LOOKUP(2,1/('单次交易'!$A$2:$A$201=B498),'单次交易'!$E$2:$E$201),0),"激活价须高于买入价",IF(F498&lt;N498,"止损价不得低于初始止损",IF(F498&gt;E498,"止损价不得高于激活价",IF(AND(COUNTIFS($A$2:$A$501,"止损计划",$B$2:$B$501,B498,$D$2:$D$501,"&lt;"&amp;D498)&gt;0,OR(E498&lt;=AGGREGATE(14,6,$E$2:$E$501/(($A$2:$A$501="止损计划")*($B$2:$B$501=B498)*($D$2:$D$501&lt;D498)),1),F498&lt;AGGREGATE(14,6,$F$2:$F$501/(($A$2:$A$501="止损计划")*($B$2:$B$501=B498)*($D$2:$D$501&lt;D498)),1))),"阶段价格必须逐级提高","计划有效"))))))),IF(A498="每日跟踪",IF(OR(B498="",H498="",I498="",J498=""),"每日数据不完整",IF(COUNTIFS($A$2:$A$501,"每日跟踪",$B$2:$B$501,B498,$H$2:$H$501,H498)&gt;1,"同一交易日期重复",IF(AND(R498&lt;&gt;"",R498&lt;S498),"人工止损无效：不能下调","跟踪有效"))),"记录类型无效")))</f>
        <v/>
      </c>
    </row>
    <row r="499">
      <c r="A499" s="28" t="n"/>
      <c r="B499" s="28" t="n"/>
      <c r="C499" s="31">
        <f>IF(B499="","",IFERROR(LOOKUP(2,1/(单次交易!$A$2:$A$201=B499),单次交易!$B$2:$B$201),""))</f>
        <v/>
      </c>
      <c r="D499" s="27" t="n"/>
      <c r="E499" s="43" t="n"/>
      <c r="F499" s="43" t="n"/>
      <c r="G499" s="28" t="n"/>
      <c r="H499" s="49" t="n"/>
      <c r="I499" s="43" t="n"/>
      <c r="J499" s="27" t="n"/>
      <c r="K499" s="28" t="n"/>
      <c r="L499" s="28" t="n"/>
      <c r="M499" s="28" t="n"/>
      <c r="N499" s="44">
        <f>IF(B499="","",IFERROR(LOOKUP(2,1/(单次交易!$A$2:$A$201=B499),单次交易!$N$2:$N$201),""))</f>
        <v/>
      </c>
      <c r="O499" s="44">
        <f>IF(A499&lt;&gt;"每日跟踪","",IF(OR(B499="",H499="",I499=""),"",IFERROR(AGGREGATE(14,6,$I$2:$I$501/(($A$2:$A$501="每日跟踪")*($B$2:$B$501=B499)*($H$2:$H$501&lt;=H499)),1),"")))</f>
        <v/>
      </c>
      <c r="P499" s="26">
        <f>IF(A499&lt;&gt;"每日跟踪","",IF(O499="","",IFERROR(AGGREGATE(14,6,$D$2:$D$501/(($A$2:$A$501="止损计划")*($B$2:$B$501=B499)*($E$2:$E$501&lt;=O499)),1),0)))</f>
        <v/>
      </c>
      <c r="Q499" s="44">
        <f>IF(A499&lt;&gt;"每日跟踪","",IF(N499="","",MAX(N499,IFERROR(AGGREGATE(14,6,$F$2:$F$501/(($A$2:$A$501="止损计划")*($B$2:$B$501=B499)*($E$2:$E$501&lt;=O499)),1),0))))</f>
        <v/>
      </c>
      <c r="R499" s="43" t="n"/>
      <c r="S499" s="44">
        <f>IF(A499&lt;&gt;"每日跟踪","",IF(Q499="","",MAX(Q499,IFERROR(AGGREGATE(14,6,$R$2:$R$501/(($A$2:$A$501="每日跟踪")*($B$2:$B$501=B499)*($H$2:$H$501&lt;=H499)),1),0))))</f>
        <v/>
      </c>
      <c r="T499" s="44">
        <f>IF(A499&lt;&gt;"每日跟踪","",IF(O499="","",IF(COUNTIFS($A$2:$A$501,"止损计划",$B$2:$B$501,B499,$E$2:$E$501,"&gt;"&amp;O499)=0,"",AGGREGATE(15,6,$E$2:$E$501/(($A$2:$A$501="止损计划")*($B$2:$B$501=B499)*($E$2:$E$501&gt;O499)),1))))</f>
        <v/>
      </c>
      <c r="U499" s="44">
        <f>IF(OR(A499&lt;&gt;"每日跟踪",T499=""),"",IFERROR(AGGREGATE(14,6,$F$2:$F$501/(($A$2:$A$501="止损计划")*($B$2:$B$501=B499)*($E$2:$E$501=T499)),1),""))</f>
        <v/>
      </c>
      <c r="V499" s="30">
        <f>IF(OR(A499&lt;&gt;"每日跟踪",T499="",I499="",I499&lt;=0),"",T499/I499-1)</f>
        <v/>
      </c>
      <c r="W499" s="31">
        <f>IF(A499&lt;&gt;"每日跟踪","",IF(OR(I499="",S499=""),"",IF(I499&lt;=S499,"触发止损：应全部卖出","继续观察")))</f>
        <v/>
      </c>
      <c r="X499" s="28" t="n"/>
      <c r="Y499" s="43" t="n"/>
      <c r="Z499" s="26">
        <f>IF(X499&lt;&gt;"执行卖出","",IFERROR(LOOKUP(2,1/(单次交易!$A$2:$A$201=B499),单次交易!$AP$2:$AP$201),""))</f>
        <v/>
      </c>
      <c r="AA499" s="43" t="n"/>
      <c r="AB499" s="31">
        <f>IF(A499&lt;&gt;"每日跟踪","",IF(OR(B499="",H499="",I499="",J499="",K499="",L499="",M499=""),"待补充每日记录",IF(W499="触发止损：应全部卖出",IF(X499&lt;&gt;"执行卖出","违规：触发止损但未执行",IF(Y499="","待补充实际卖出价","卖出记录完整")),IF(X499="","待选择卖出动作",IF(X499="执行卖出",IF(Y499="","待补充实际卖出价","卖出记录完整"),"正常")))))</f>
        <v/>
      </c>
      <c r="AC499" s="31">
        <f>IF(A499="","",IF(A499="止损计划",IF(OR(B499="",D499="",E499="",F499="",G499=""),"计划不完整",IF(OR(D499&lt;1,D499&lt;&gt;INT(D499)),"阶段序号无效",IF(COUNTIFS($A$2:$A$501,"止损计划",$B$2:$B$501,B499,$D$2:$D$501,D499)&gt;1,"阶段序号重复",IF(E499&lt;=IFERROR(LOOKUP(2,1/('单次交易'!$A$2:$A$201=B499),'单次交易'!$E$2:$E$201),0),"激活价须高于买入价",IF(F499&lt;N499,"止损价不得低于初始止损",IF(F499&gt;E499,"止损价不得高于激活价",IF(AND(COUNTIFS($A$2:$A$501,"止损计划",$B$2:$B$501,B499,$D$2:$D$501,"&lt;"&amp;D499)&gt;0,OR(E499&lt;=AGGREGATE(14,6,$E$2:$E$501/(($A$2:$A$501="止损计划")*($B$2:$B$501=B499)*($D$2:$D$501&lt;D499)),1),F499&lt;AGGREGATE(14,6,$F$2:$F$501/(($A$2:$A$501="止损计划")*($B$2:$B$501=B499)*($D$2:$D$501&lt;D499)),1))),"阶段价格必须逐级提高","计划有效"))))))),IF(A499="每日跟踪",IF(OR(B499="",H499="",I499="",J499=""),"每日数据不完整",IF(COUNTIFS($A$2:$A$501,"每日跟踪",$B$2:$B$501,B499,$H$2:$H$501,H499)&gt;1,"同一交易日期重复",IF(AND(R499&lt;&gt;"",R499&lt;S499),"人工止损无效：不能下调","跟踪有效"))),"记录类型无效")))</f>
        <v/>
      </c>
    </row>
    <row r="500">
      <c r="A500" s="28" t="n"/>
      <c r="B500" s="28" t="n"/>
      <c r="C500" s="31">
        <f>IF(B500="","",IFERROR(LOOKUP(2,1/(单次交易!$A$2:$A$201=B500),单次交易!$B$2:$B$201),""))</f>
        <v/>
      </c>
      <c r="D500" s="27" t="n"/>
      <c r="E500" s="43" t="n"/>
      <c r="F500" s="43" t="n"/>
      <c r="G500" s="28" t="n"/>
      <c r="H500" s="49" t="n"/>
      <c r="I500" s="43" t="n"/>
      <c r="J500" s="27" t="n"/>
      <c r="K500" s="28" t="n"/>
      <c r="L500" s="28" t="n"/>
      <c r="M500" s="28" t="n"/>
      <c r="N500" s="44">
        <f>IF(B500="","",IFERROR(LOOKUP(2,1/(单次交易!$A$2:$A$201=B500),单次交易!$N$2:$N$201),""))</f>
        <v/>
      </c>
      <c r="O500" s="44">
        <f>IF(A500&lt;&gt;"每日跟踪","",IF(OR(B500="",H500="",I500=""),"",IFERROR(AGGREGATE(14,6,$I$2:$I$501/(($A$2:$A$501="每日跟踪")*($B$2:$B$501=B500)*($H$2:$H$501&lt;=H500)),1),"")))</f>
        <v/>
      </c>
      <c r="P500" s="26">
        <f>IF(A500&lt;&gt;"每日跟踪","",IF(O500="","",IFERROR(AGGREGATE(14,6,$D$2:$D$501/(($A$2:$A$501="止损计划")*($B$2:$B$501=B500)*($E$2:$E$501&lt;=O500)),1),0)))</f>
        <v/>
      </c>
      <c r="Q500" s="44">
        <f>IF(A500&lt;&gt;"每日跟踪","",IF(N500="","",MAX(N500,IFERROR(AGGREGATE(14,6,$F$2:$F$501/(($A$2:$A$501="止损计划")*($B$2:$B$501=B500)*($E$2:$E$501&lt;=O500)),1),0))))</f>
        <v/>
      </c>
      <c r="R500" s="43" t="n"/>
      <c r="S500" s="44">
        <f>IF(A500&lt;&gt;"每日跟踪","",IF(Q500="","",MAX(Q500,IFERROR(AGGREGATE(14,6,$R$2:$R$501/(($A$2:$A$501="每日跟踪")*($B$2:$B$501=B500)*($H$2:$H$501&lt;=H500)),1),0))))</f>
        <v/>
      </c>
      <c r="T500" s="44">
        <f>IF(A500&lt;&gt;"每日跟踪","",IF(O500="","",IF(COUNTIFS($A$2:$A$501,"止损计划",$B$2:$B$501,B500,$E$2:$E$501,"&gt;"&amp;O500)=0,"",AGGREGATE(15,6,$E$2:$E$501/(($A$2:$A$501="止损计划")*($B$2:$B$501=B500)*($E$2:$E$501&gt;O500)),1))))</f>
        <v/>
      </c>
      <c r="U500" s="44">
        <f>IF(OR(A500&lt;&gt;"每日跟踪",T500=""),"",IFERROR(AGGREGATE(14,6,$F$2:$F$501/(($A$2:$A$501="止损计划")*($B$2:$B$501=B500)*($E$2:$E$501=T500)),1),""))</f>
        <v/>
      </c>
      <c r="V500" s="30">
        <f>IF(OR(A500&lt;&gt;"每日跟踪",T500="",I500="",I500&lt;=0),"",T500/I500-1)</f>
        <v/>
      </c>
      <c r="W500" s="31">
        <f>IF(A500&lt;&gt;"每日跟踪","",IF(OR(I500="",S500=""),"",IF(I500&lt;=S500,"触发止损：应全部卖出","继续观察")))</f>
        <v/>
      </c>
      <c r="X500" s="28" t="n"/>
      <c r="Y500" s="43" t="n"/>
      <c r="Z500" s="26">
        <f>IF(X500&lt;&gt;"执行卖出","",IFERROR(LOOKUP(2,1/(单次交易!$A$2:$A$201=B500),单次交易!$AP$2:$AP$201),""))</f>
        <v/>
      </c>
      <c r="AA500" s="43" t="n"/>
      <c r="AB500" s="31">
        <f>IF(A500&lt;&gt;"每日跟踪","",IF(OR(B500="",H500="",I500="",J500="",K500="",L500="",M500=""),"待补充每日记录",IF(W500="触发止损：应全部卖出",IF(X500&lt;&gt;"执行卖出","违规：触发止损但未执行",IF(Y500="","待补充实际卖出价","卖出记录完整")),IF(X500="","待选择卖出动作",IF(X500="执行卖出",IF(Y500="","待补充实际卖出价","卖出记录完整"),"正常")))))</f>
        <v/>
      </c>
      <c r="AC500" s="31">
        <f>IF(A500="","",IF(A500="止损计划",IF(OR(B500="",D500="",E500="",F500="",G500=""),"计划不完整",IF(OR(D500&lt;1,D500&lt;&gt;INT(D500)),"阶段序号无效",IF(COUNTIFS($A$2:$A$501,"止损计划",$B$2:$B$501,B500,$D$2:$D$501,D500)&gt;1,"阶段序号重复",IF(E500&lt;=IFERROR(LOOKUP(2,1/('单次交易'!$A$2:$A$201=B500),'单次交易'!$E$2:$E$201),0),"激活价须高于买入价",IF(F500&lt;N500,"止损价不得低于初始止损",IF(F500&gt;E500,"止损价不得高于激活价",IF(AND(COUNTIFS($A$2:$A$501,"止损计划",$B$2:$B$501,B500,$D$2:$D$501,"&lt;"&amp;D500)&gt;0,OR(E500&lt;=AGGREGATE(14,6,$E$2:$E$501/(($A$2:$A$501="止损计划")*($B$2:$B$501=B500)*($D$2:$D$501&lt;D500)),1),F500&lt;AGGREGATE(14,6,$F$2:$F$501/(($A$2:$A$501="止损计划")*($B$2:$B$501=B500)*($D$2:$D$501&lt;D500)),1))),"阶段价格必须逐级提高","计划有效"))))))),IF(A500="每日跟踪",IF(OR(B500="",H500="",I500="",J500=""),"每日数据不完整",IF(COUNTIFS($A$2:$A$501,"每日跟踪",$B$2:$B$501,B500,$H$2:$H$501,H500)&gt;1,"同一交易日期重复",IF(AND(R500&lt;&gt;"",R500&lt;S500),"人工止损无效：不能下调","跟踪有效"))),"记录类型无效")))</f>
        <v/>
      </c>
    </row>
    <row r="501">
      <c r="A501" s="28" t="n"/>
      <c r="B501" s="28" t="n"/>
      <c r="C501" s="31">
        <f>IF(B501="","",IFERROR(LOOKUP(2,1/(单次交易!$A$2:$A$201=B501),单次交易!$B$2:$B$201),""))</f>
        <v/>
      </c>
      <c r="D501" s="27" t="n"/>
      <c r="E501" s="43" t="n"/>
      <c r="F501" s="43" t="n"/>
      <c r="G501" s="28" t="n"/>
      <c r="H501" s="49" t="n"/>
      <c r="I501" s="43" t="n"/>
      <c r="J501" s="27" t="n"/>
      <c r="K501" s="28" t="n"/>
      <c r="L501" s="28" t="n"/>
      <c r="M501" s="28" t="n"/>
      <c r="N501" s="44">
        <f>IF(B501="","",IFERROR(LOOKUP(2,1/(单次交易!$A$2:$A$201=B501),单次交易!$N$2:$N$201),""))</f>
        <v/>
      </c>
      <c r="O501" s="44">
        <f>IF(A501&lt;&gt;"每日跟踪","",IF(OR(B501="",H501="",I501=""),"",IFERROR(AGGREGATE(14,6,$I$2:$I$501/(($A$2:$A$501="每日跟踪")*($B$2:$B$501=B501)*($H$2:$H$501&lt;=H501)),1),"")))</f>
        <v/>
      </c>
      <c r="P501" s="26">
        <f>IF(A501&lt;&gt;"每日跟踪","",IF(O501="","",IFERROR(AGGREGATE(14,6,$D$2:$D$501/(($A$2:$A$501="止损计划")*($B$2:$B$501=B501)*($E$2:$E$501&lt;=O501)),1),0)))</f>
        <v/>
      </c>
      <c r="Q501" s="44">
        <f>IF(A501&lt;&gt;"每日跟踪","",IF(N501="","",MAX(N501,IFERROR(AGGREGATE(14,6,$F$2:$F$501/(($A$2:$A$501="止损计划")*($B$2:$B$501=B501)*($E$2:$E$501&lt;=O501)),1),0))))</f>
        <v/>
      </c>
      <c r="R501" s="43" t="n"/>
      <c r="S501" s="44">
        <f>IF(A501&lt;&gt;"每日跟踪","",IF(Q501="","",MAX(Q501,IFERROR(AGGREGATE(14,6,$R$2:$R$501/(($A$2:$A$501="每日跟踪")*($B$2:$B$501=B501)*($H$2:$H$501&lt;=H501)),1),0))))</f>
        <v/>
      </c>
      <c r="T501" s="44">
        <f>IF(A501&lt;&gt;"每日跟踪","",IF(O501="","",IF(COUNTIFS($A$2:$A$501,"止损计划",$B$2:$B$501,B501,$E$2:$E$501,"&gt;"&amp;O501)=0,"",AGGREGATE(15,6,$E$2:$E$501/(($A$2:$A$501="止损计划")*($B$2:$B$501=B501)*($E$2:$E$501&gt;O501)),1))))</f>
        <v/>
      </c>
      <c r="U501" s="44">
        <f>IF(OR(A501&lt;&gt;"每日跟踪",T501=""),"",IFERROR(AGGREGATE(14,6,$F$2:$F$501/(($A$2:$A$501="止损计划")*($B$2:$B$501=B501)*($E$2:$E$501=T501)),1),""))</f>
        <v/>
      </c>
      <c r="V501" s="30">
        <f>IF(OR(A501&lt;&gt;"每日跟踪",T501="",I501="",I501&lt;=0),"",T501/I501-1)</f>
        <v/>
      </c>
      <c r="W501" s="31">
        <f>IF(A501&lt;&gt;"每日跟踪","",IF(OR(I501="",S501=""),"",IF(I501&lt;=S501,"触发止损：应全部卖出","继续观察")))</f>
        <v/>
      </c>
      <c r="X501" s="28" t="n"/>
      <c r="Y501" s="43" t="n"/>
      <c r="Z501" s="26">
        <f>IF(X501&lt;&gt;"执行卖出","",IFERROR(LOOKUP(2,1/(单次交易!$A$2:$A$201=B501),单次交易!$AP$2:$AP$201),""))</f>
        <v/>
      </c>
      <c r="AA501" s="43" t="n"/>
      <c r="AB501" s="31">
        <f>IF(A501&lt;&gt;"每日跟踪","",IF(OR(B501="",H501="",I501="",J501="",K501="",L501="",M501=""),"待补充每日记录",IF(W501="触发止损：应全部卖出",IF(X501&lt;&gt;"执行卖出","违规：触发止损但未执行",IF(Y501="","待补充实际卖出价","卖出记录完整")),IF(X501="","待选择卖出动作",IF(X501="执行卖出",IF(Y501="","待补充实际卖出价","卖出记录完整"),"正常")))))</f>
        <v/>
      </c>
      <c r="AC501" s="31">
        <f>IF(A501="","",IF(A501="止损计划",IF(OR(B501="",D501="",E501="",F501="",G501=""),"计划不完整",IF(OR(D501&lt;1,D501&lt;&gt;INT(D501)),"阶段序号无效",IF(COUNTIFS($A$2:$A$501,"止损计划",$B$2:$B$501,B501,$D$2:$D$501,D501)&gt;1,"阶段序号重复",IF(E501&lt;=IFERROR(LOOKUP(2,1/('单次交易'!$A$2:$A$201=B501),'单次交易'!$E$2:$E$201),0),"激活价须高于买入价",IF(F501&lt;N501,"止损价不得低于初始止损",IF(F501&gt;E501,"止损价不得高于激活价",IF(AND(COUNTIFS($A$2:$A$501,"止损计划",$B$2:$B$501,B501,$D$2:$D$501,"&lt;"&amp;D501)&gt;0,OR(E501&lt;=AGGREGATE(14,6,$E$2:$E$501/(($A$2:$A$501="止损计划")*($B$2:$B$501=B501)*($D$2:$D$501&lt;D501)),1),F501&lt;AGGREGATE(14,6,$F$2:$F$501/(($A$2:$A$501="止损计划")*($B$2:$B$501=B501)*($D$2:$D$501&lt;D501)),1))),"阶段价格必须逐级提高","计划有效"))))))),IF(A501="每日跟踪",IF(OR(B501="",H501="",I501="",J501=""),"每日数据不完整",IF(COUNTIFS($A$2:$A$501,"每日跟踪",$B$2:$B$501,B501,$H$2:$H$501,H501)&gt;1,"同一交易日期重复",IF(AND(R501&lt;&gt;"",R501&lt;S501),"人工止损无效：不能下调","跟踪有效"))),"记录类型无效")))</f>
        <v/>
      </c>
    </row>
  </sheetData>
  <conditionalFormatting sqref="A2:AC501">
    <cfRule type="expression" priority="1" dxfId="1">
      <formula>$A2="止损计划"</formula>
    </cfRule>
  </conditionalFormatting>
  <conditionalFormatting sqref="W2:W501">
    <cfRule type="expression" priority="2" dxfId="2">
      <formula>LEFT($W2,4)="触发止损"</formula>
    </cfRule>
  </conditionalFormatting>
  <conditionalFormatting sqref="AB2:AC501">
    <cfRule type="expression" priority="3" dxfId="2">
      <formula>OR(LEFT($AB2,2)="违规",ISNUMBER(SEARCH("无效",$AC2)))</formula>
    </cfRule>
  </conditionalFormatting>
  <dataValidations count="8">
    <dataValidation sqref="A2:A501" showDropDown="0" showInputMessage="0" showErrorMessage="0" allowBlank="1" type="list">
      <formula1>"止损计划,每日跟踪"</formula1>
    </dataValidation>
    <dataValidation sqref="B2:B501" showDropDown="0" showInputMessage="0" showErrorMessage="0" allowBlank="1" type="list">
      <formula1>_TradeIds</formula1>
    </dataValidation>
    <dataValidation sqref="D2:D501" showDropDown="0" showInputMessage="0" showErrorMessage="0" allowBlank="1" type="whole" operator="greaterThanOrEqual">
      <formula1>1</formula1>
    </dataValidation>
    <dataValidation sqref="E2:F501 I2:J501 R2:R501 Y2:Y501" showDropDown="0" showInputMessage="0" showErrorMessage="0" allowBlank="1" type="decimal" operator="greaterThan">
      <formula1>0</formula1>
    </dataValidation>
    <dataValidation sqref="H2:H501" showDropDown="0" showInputMessage="0" showErrorMessage="0" allowBlank="1" type="date">
      <formula1>DATE(2000,1,1)</formula1>
      <formula2>DATE(2100,12,31)</formula2>
    </dataValidation>
    <dataValidation sqref="L2:L501" showDropDown="0" showInputMessage="0" showErrorMessage="0" allowBlank="1" type="list">
      <formula1>"吸筹,启动,趋势上行,加速上涨,高位分歧,回调确认,破位,其他"</formula1>
    </dataValidation>
    <dataValidation sqref="X2:X501" showDropDown="0" showInputMessage="0" showErrorMessage="0" allowBlank="1" type="list">
      <formula1>"继续持有,执行卖出"</formula1>
    </dataValidation>
    <dataValidation sqref="AA2:AA501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96" activePane="bottomLeft" state="frozen"/>
      <selection pane="bottomLeft" activeCell="I104" sqref="I104"/>
    </sheetView>
  </sheetViews>
  <sheetFormatPr baseColWidth="8" defaultColWidth="9" defaultRowHeight="13.5"/>
  <cols>
    <col width="14" customWidth="1" min="1" max="2"/>
    <col width="16" customWidth="1" min="3" max="3"/>
    <col width="14" customWidth="1" min="4" max="4"/>
    <col width="13" customWidth="1" min="5" max="5"/>
    <col width="24" customWidth="1" min="6" max="8"/>
    <col width="48" customWidth="1" min="9" max="9"/>
    <col width="14.75" customWidth="1" min="10" max="10"/>
  </cols>
  <sheetData>
    <row r="1" ht="42" customHeight="1">
      <c r="A1" s="1" t="inlineStr">
        <is>
          <t>交易编号</t>
        </is>
      </c>
      <c r="B1" s="1" t="inlineStr">
        <is>
          <t>股票代码</t>
        </is>
      </c>
      <c r="C1" s="1" t="inlineStr">
        <is>
          <t>所属板块</t>
        </is>
      </c>
      <c r="D1" s="1" t="inlineStr">
        <is>
          <t>阶段</t>
        </is>
      </c>
      <c r="E1" s="1" t="inlineStr">
        <is>
          <t>记录日期</t>
        </is>
      </c>
      <c r="F1" s="1" t="inlineStr">
        <is>
          <t>技术指标1</t>
        </is>
      </c>
      <c r="G1" s="1" t="inlineStr">
        <is>
          <t>技术指标2</t>
        </is>
      </c>
      <c r="H1" s="1" t="inlineStr">
        <is>
          <t>技术指标3</t>
        </is>
      </c>
      <c r="I1" s="1" t="inlineStr">
        <is>
          <t>综述</t>
        </is>
      </c>
      <c r="J1" t="inlineStr">
        <is>
          <t>列1</t>
        </is>
      </c>
      <c r="K1" t="inlineStr">
        <is>
          <t>列2</t>
        </is>
      </c>
      <c r="L1" t="inlineStr">
        <is>
          <t>列3</t>
        </is>
      </c>
    </row>
    <row r="2" ht="27" customHeight="1">
      <c r="A2" s="2" t="n">
        <v>1</v>
      </c>
      <c r="B2" s="2" t="n"/>
      <c r="C2" s="2" t="n"/>
      <c r="D2" s="2" t="n"/>
      <c r="E2" s="41" t="n"/>
      <c r="F2" s="2" t="n"/>
      <c r="G2" s="2" t="n"/>
      <c r="H2" s="2" t="n"/>
      <c r="I2" s="2" t="inlineStr">
        <is>
          <t>1.超越跳空支撑2.下方海域支撑，3突破之前的压力位，4.交易量放大</t>
        </is>
      </c>
    </row>
    <row r="3" ht="40.5" customHeight="1">
      <c r="A3" s="2" t="n"/>
      <c r="B3" s="2" t="n"/>
      <c r="C3" s="2" t="n"/>
      <c r="D3" s="2" t="n"/>
      <c r="E3" s="41" t="n"/>
      <c r="F3" s="2" t="n"/>
      <c r="G3" s="2" t="n"/>
      <c r="H3" s="2" t="n"/>
      <c r="I3" s="2" t="inlineStr">
        <is>
          <t>1.跳空支撑的交易很大支撑强，一只没跌破，2，之前的高电形成支撑，3十字星显示空方出现颓势，没有跌破支撑位</t>
        </is>
      </c>
    </row>
    <row r="4" ht="27" customHeight="1">
      <c r="A4" s="2" t="n"/>
      <c r="B4" s="2" t="n"/>
      <c r="C4" s="2" t="n"/>
      <c r="D4" s="2" t="n"/>
      <c r="E4" s="41" t="n"/>
      <c r="F4" s="2" t="n"/>
      <c r="G4" s="2" t="n"/>
      <c r="H4" s="2" t="n"/>
      <c r="I4" s="2" t="inlineStr">
        <is>
          <t>1.十字星显示空方力量不强，组成看涨吞没，2，占到均线上方，3.MACD即将变红</t>
        </is>
      </c>
    </row>
    <row r="5" ht="27" customHeight="1">
      <c r="A5" s="2" t="n"/>
      <c r="B5" s="2" t="n"/>
      <c r="C5" s="2" t="n"/>
      <c r="D5" s="2" t="n"/>
      <c r="E5" s="41" t="n"/>
      <c r="F5" s="2" t="n"/>
      <c r="G5" s="2" t="n"/>
      <c r="H5" s="2" t="n"/>
      <c r="I5" s="2" t="inlineStr">
        <is>
          <t>1.前面十字星多空平衡，接看涨吞没状态 2.站上均线，3MACD在变大</t>
        </is>
      </c>
    </row>
    <row r="6" ht="27" customHeight="1">
      <c r="A6" s="2" t="n"/>
      <c r="B6" s="2" t="n"/>
      <c r="C6" s="2" t="n"/>
      <c r="D6" s="2" t="n"/>
      <c r="E6" s="41" t="n"/>
      <c r="F6" s="2" t="n"/>
      <c r="G6" s="2" t="n"/>
      <c r="H6" s="2" t="n"/>
      <c r="I6" s="2" t="inlineStr">
        <is>
          <t>1.刺透形态，触碰前方支撑不破，2高交易量，3均线有效支撑</t>
        </is>
      </c>
      <c r="J6" t="inlineStr">
        <is>
          <t>但是处于高点</t>
        </is>
      </c>
    </row>
    <row r="7">
      <c r="A7" s="2" t="n"/>
      <c r="B7" s="2" t="n"/>
      <c r="C7" s="2" t="n"/>
      <c r="D7" s="2" t="n"/>
      <c r="E7" s="41" t="n"/>
      <c r="F7" s="2" t="n"/>
      <c r="G7" s="2" t="n"/>
      <c r="H7" s="2" t="n"/>
      <c r="I7" s="2" t="inlineStr">
        <is>
          <t>1.突破箱体 2.回踩支撑不破 3.跳空支撑4.均线支撑</t>
        </is>
      </c>
    </row>
    <row r="8">
      <c r="A8" s="2" t="n"/>
      <c r="B8" s="2" t="n"/>
      <c r="C8" s="2" t="n"/>
      <c r="D8" s="2" t="n"/>
      <c r="E8" s="41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41" t="n"/>
      <c r="F9" s="2" t="n"/>
      <c r="G9" s="2" t="n"/>
      <c r="H9" s="2" t="n"/>
      <c r="I9" s="2" t="n"/>
    </row>
    <row r="10" ht="27" customHeight="1">
      <c r="A10" s="2" t="n">
        <v>9</v>
      </c>
      <c r="B10" s="2" t="n"/>
      <c r="C10" s="2" t="n"/>
      <c r="D10" s="2" t="n"/>
      <c r="E10" s="41" t="n"/>
      <c r="F10" s="2" t="n"/>
      <c r="G10" s="2" t="n"/>
      <c r="H10" s="2" t="n"/>
      <c r="I10" s="2" t="inlineStr">
        <is>
          <t>1.差一点的启明星 2突破前期压力位，3之前下跌量不大，最近放量上涨，说明空方卖的意愿不大</t>
        </is>
      </c>
    </row>
    <row r="11" ht="27" customHeight="1">
      <c r="A11" s="2" t="n">
        <v>11</v>
      </c>
      <c r="B11" s="2" t="n"/>
      <c r="C11" s="2" t="n"/>
      <c r="D11" s="2" t="n"/>
      <c r="E11" s="41" t="n"/>
      <c r="F11" s="2" t="n"/>
      <c r="G11" s="2" t="n"/>
      <c r="H11" s="2" t="n"/>
      <c r="I11" s="2" t="inlineStr">
        <is>
          <t>1.低点反弹，放量上涨，2突破前期支撑区域 3.MACD转正，4，均线开始支撑</t>
        </is>
      </c>
    </row>
    <row r="12" ht="27" customHeight="1">
      <c r="A12" s="2" t="n">
        <v>14</v>
      </c>
      <c r="B12" s="2" t="n"/>
      <c r="C12" s="2" t="n"/>
      <c r="D12" s="2" t="n"/>
      <c r="E12" s="41" t="n"/>
      <c r="F12" s="2" t="n"/>
      <c r="G12" s="2" t="n"/>
      <c r="H12" s="2" t="n"/>
      <c r="I12" s="2" t="inlineStr">
        <is>
          <t>1.之前吸收一波，现在是第二波了，说明底部供应充足，量大但是价格没怎么跌，2，前方有刺透以及锤子线</t>
        </is>
      </c>
    </row>
    <row r="13" ht="27" customHeight="1">
      <c r="A13" s="2" t="n">
        <v>15</v>
      </c>
      <c r="B13" s="2" t="n"/>
      <c r="C13" s="2" t="n"/>
      <c r="D13" s="2" t="n"/>
      <c r="E13" s="41" t="n"/>
      <c r="F13" s="2" t="n"/>
      <c r="G13" s="2" t="n"/>
      <c r="H13" s="2" t="n"/>
      <c r="I13" s="2" t="inlineStr">
        <is>
          <t>1.连续突破两个压力区，突破压力区没有太大的压力2.之前有筑底过程，现在需求方强势</t>
        </is>
      </c>
    </row>
    <row r="14" ht="27" customHeight="1">
      <c r="A14" s="2" t="n">
        <v>16</v>
      </c>
      <c r="B14" s="2" t="n"/>
      <c r="C14" s="2" t="n"/>
      <c r="D14" s="2" t="n"/>
      <c r="E14" s="41" t="n"/>
      <c r="F14" s="2" t="n"/>
      <c r="G14" s="2" t="n"/>
      <c r="H14" s="2" t="n"/>
      <c r="I14" s="2" t="inlineStr">
        <is>
          <t>1.突破箱体，3个长阳线，2.顶部供己不多3.之前几波大的交易量没导致下跌，</t>
        </is>
      </c>
    </row>
    <row r="15" ht="27" customHeight="1">
      <c r="A15" s="2" t="n">
        <v>17</v>
      </c>
      <c r="B15" s="2" t="n"/>
      <c r="C15" s="2" t="n"/>
      <c r="D15" s="2" t="n"/>
      <c r="E15" s="41" t="n"/>
      <c r="F15" s="2" t="n"/>
      <c r="G15" s="2" t="n"/>
      <c r="H15" s="2" t="n"/>
      <c r="I15" s="2" t="inlineStr">
        <is>
          <t>1.突然放量，锤子线，2.上升交易量大，下跌交易量小，供己较少</t>
        </is>
      </c>
    </row>
    <row r="16" ht="40.5" customHeight="1">
      <c r="A16" s="2" t="n">
        <v>18</v>
      </c>
      <c r="B16" s="2" t="n"/>
      <c r="C16" s="2" t="n"/>
      <c r="D16" s="2" t="n"/>
      <c r="E16" s="41" t="n"/>
      <c r="F16" s="2" t="n"/>
      <c r="G16" s="2" t="n"/>
      <c r="H16" s="2" t="n"/>
      <c r="I16" s="2" t="inlineStr">
        <is>
          <t>1.交易平稳，已经没有多少卖方之前出现过大量交易，需求方逐渐占据上风 2. 前方出现启明星，3支撑比较给力靠近都反弹</t>
        </is>
      </c>
    </row>
    <row r="17" ht="27" customHeight="1">
      <c r="A17" s="2" t="n">
        <v>19</v>
      </c>
      <c r="B17" s="2" t="n"/>
      <c r="C17" s="2" t="n"/>
      <c r="D17" s="2" t="n"/>
      <c r="E17" s="41" t="n"/>
      <c r="F17" s="2" t="n"/>
      <c r="G17" s="2" t="n"/>
      <c r="H17" s="2" t="n"/>
      <c r="I17" s="2" t="inlineStr">
        <is>
          <t>1.交易量在稳步放大，2.锤子线没有出现大交易量，下方没有太多抛盘了，</t>
        </is>
      </c>
    </row>
    <row r="18" ht="27" customHeight="1">
      <c r="A18" s="2" t="n">
        <v>20</v>
      </c>
      <c r="B18" s="2" t="n"/>
      <c r="C18" s="2" t="n"/>
      <c r="D18" s="2" t="n"/>
      <c r="E18" s="41" t="n"/>
      <c r="F18" s="2" t="n"/>
      <c r="G18" s="2" t="n"/>
      <c r="H18" s="2" t="n"/>
      <c r="I18" s="2" t="inlineStr">
        <is>
          <t>1.之前下跌，交易量逐渐变小，下方没有卖出，供应减少，2交易放量且增长3.站上均线</t>
        </is>
      </c>
    </row>
    <row r="19" ht="27" customHeight="1">
      <c r="A19" s="2" t="n">
        <v>21</v>
      </c>
      <c r="B19" s="2" t="n"/>
      <c r="C19" s="2" t="n"/>
      <c r="D19" s="2" t="n"/>
      <c r="E19" s="41" t="n"/>
      <c r="F19" s="2" t="n"/>
      <c r="G19" s="2" t="n"/>
      <c r="H19" s="2" t="n"/>
      <c r="I19" s="2" t="inlineStr">
        <is>
          <t>1.交易量放大，同样的交易量，涨幅变大，供应减少，2.出现跳空突破前压力位</t>
        </is>
      </c>
    </row>
    <row r="20" ht="27" customHeight="1">
      <c r="A20" s="2" t="n">
        <v>22</v>
      </c>
      <c r="B20" s="2" t="n"/>
      <c r="C20" s="2" t="n"/>
      <c r="D20" s="2" t="n"/>
      <c r="E20" s="41" t="n"/>
      <c r="F20" s="2" t="n"/>
      <c r="G20" s="2" t="n"/>
      <c r="H20" s="2" t="n"/>
      <c r="I20" s="2" t="inlineStr">
        <is>
          <t>1.交易量放大，下方支撑位买入量比较大，可能开始吸筹2.之前有刺透与跳空，那个是第一波</t>
        </is>
      </c>
    </row>
    <row r="21" ht="27" customHeight="1">
      <c r="A21" s="2" t="n">
        <v>23</v>
      </c>
      <c r="B21" s="2" t="n"/>
      <c r="C21" s="2" t="n"/>
      <c r="D21" s="2" t="n"/>
      <c r="E21" s="41" t="n"/>
      <c r="F21" s="2" t="n"/>
      <c r="G21" s="2" t="n"/>
      <c r="H21" s="2" t="n"/>
      <c r="I21" s="2" t="inlineStr">
        <is>
          <t>1.需求增强，供应减弱，下方的供应被吸收完毕2.两个吞没形态</t>
        </is>
      </c>
    </row>
    <row r="22" ht="27" customHeight="1">
      <c r="A22" s="2" t="n">
        <v>24</v>
      </c>
      <c r="B22" s="2" t="n"/>
      <c r="C22" s="2" t="n"/>
      <c r="D22" s="2" t="n"/>
      <c r="E22" s="41" t="n"/>
      <c r="F22" s="2" t="n"/>
      <c r="G22" s="2" t="n"/>
      <c r="H22" s="2" t="n"/>
      <c r="I22" s="2" t="inlineStr">
        <is>
          <t>1.交易量放大，之前有看涨 2.支撑比较强力2。看涨吞没3.但是没有之前强。上方还是有不少套牢盘</t>
        </is>
      </c>
    </row>
    <row r="23" ht="40.5" customHeight="1">
      <c r="A23" s="2" t="n">
        <v>25</v>
      </c>
      <c r="B23" s="2" t="n"/>
      <c r="C23" s="2" t="n"/>
      <c r="D23" s="2" t="n"/>
      <c r="E23" s="41" t="n"/>
      <c r="F23" s="2" t="n"/>
      <c r="G23" s="2" t="n"/>
      <c r="H23" s="2" t="n"/>
      <c r="I23" s="2" t="inlineStr">
        <is>
          <t>1.下跌的交易量逐步减少，前方锤子与十字星那边可以看出来，供应几乎没有了，2放量上涨站上均线3.可能刚开始吸筹</t>
        </is>
      </c>
    </row>
    <row r="24" ht="27" customHeight="1">
      <c r="A24" s="2" t="n">
        <v>26</v>
      </c>
      <c r="B24" s="2" t="n"/>
      <c r="C24" s="2" t="n"/>
      <c r="D24" s="2" t="n"/>
      <c r="E24" s="41" t="n"/>
      <c r="F24" s="2" t="n"/>
      <c r="G24" s="2" t="n"/>
      <c r="H24" s="2" t="n"/>
      <c r="I24" s="2" t="inlineStr">
        <is>
          <t>1.下跌中都是小实体，说明都被吸收了，开始放量2.出现启明星</t>
        </is>
      </c>
    </row>
    <row r="25" ht="27" customHeight="1">
      <c r="A25" s="2" t="n">
        <v>27</v>
      </c>
      <c r="B25" s="2" t="n"/>
      <c r="C25" s="2" t="n"/>
      <c r="D25" s="2" t="n"/>
      <c r="E25" s="41" t="n"/>
      <c r="F25" s="2" t="n"/>
      <c r="G25" s="2" t="n"/>
      <c r="H25" s="2" t="n"/>
      <c r="I25" s="2" t="inlineStr">
        <is>
          <t>1.没什么交易量，突然拉升，2，没有破前低，之前感觉想吸筹3，上升空间不是很大，小试一下</t>
        </is>
      </c>
    </row>
    <row r="26" ht="40.5" customHeight="1">
      <c r="A26" s="2" t="n">
        <v>28</v>
      </c>
      <c r="B26" s="2" t="n"/>
      <c r="C26" s="2" t="n"/>
      <c r="D26" s="2" t="n"/>
      <c r="E26" s="41" t="n"/>
      <c r="F26" s="2" t="n"/>
      <c r="G26" s="2" t="n"/>
      <c r="H26" s="2" t="n"/>
      <c r="I26" s="2" t="inlineStr">
        <is>
          <t>1.之前十字星大交易没有下跌，努力没有用，说明下方需求旺盛，后面也验证了支撑点2.放量突破80，之前的跳空窗口也被突破了</t>
        </is>
      </c>
    </row>
    <row r="27" ht="27" customHeight="1">
      <c r="A27" s="2" t="n">
        <v>29</v>
      </c>
      <c r="B27" s="2" t="n"/>
      <c r="C27" s="2" t="n"/>
      <c r="D27" s="2" t="n"/>
      <c r="E27" s="41" t="n"/>
      <c r="F27" s="2" t="n"/>
      <c r="G27" s="2" t="n"/>
      <c r="H27" s="2" t="n"/>
      <c r="I27" s="2" t="inlineStr">
        <is>
          <t>1.交易量与振幅相对之前都扩大了，下跌也比较无力，一直收窄，供应不足，2.80压力位被突破已经站上了</t>
        </is>
      </c>
    </row>
    <row r="28" ht="27" customHeight="1">
      <c r="A28" s="2" t="n">
        <v>30</v>
      </c>
      <c r="B28" s="2" t="n"/>
      <c r="C28" s="2" t="n"/>
      <c r="D28" s="2" t="n"/>
      <c r="E28" s="41" t="n"/>
      <c r="F28" s="2" t="n"/>
      <c r="G28" s="2" t="n"/>
      <c r="H28" s="2" t="n"/>
      <c r="I28" s="2" t="inlineStr">
        <is>
          <t>1.试一下长线交易，支撑位从80到了85，稳步抬升2.适合长期不适合短期，主力再一点点的吸筹</t>
        </is>
      </c>
    </row>
    <row r="29" ht="27" customHeight="1">
      <c r="A29" s="2" t="n">
        <v>31</v>
      </c>
      <c r="B29" s="2" t="n"/>
      <c r="C29" s="2" t="n"/>
      <c r="D29" s="2" t="n"/>
      <c r="E29" s="41" t="n"/>
      <c r="F29" s="2" t="n"/>
      <c r="G29" s="2" t="n"/>
      <c r="H29" s="2" t="n"/>
      <c r="I29" s="2" t="inlineStr">
        <is>
          <t>1.突破了70压力位，成交量扩大，顶部供应不足，成交量减少，涨幅变大，缩量上涨</t>
        </is>
      </c>
    </row>
    <row r="30" ht="27" customHeight="1">
      <c r="A30" s="2" t="n">
        <v>32</v>
      </c>
      <c r="B30" s="2" t="n"/>
      <c r="C30" s="2" t="n"/>
      <c r="D30" s="2" t="n"/>
      <c r="E30" s="41" t="n"/>
      <c r="F30" s="2" t="n"/>
      <c r="G30" s="2" t="n"/>
      <c r="H30" s="2" t="n"/>
      <c r="I30" s="2" t="inlineStr">
        <is>
          <t>1.下跌交易量越来越少，说明供应开始减少，上涨交易量开始增加，量增加，2.本身也是低点，突破了12压力位</t>
        </is>
      </c>
    </row>
    <row r="31" ht="27" customHeight="1">
      <c r="A31" s="2" t="n">
        <v>33</v>
      </c>
      <c r="B31" s="2" t="n"/>
      <c r="C31" s="2" t="n"/>
      <c r="D31" s="2" t="n"/>
      <c r="E31" s="41" t="n"/>
      <c r="F31" s="2" t="n"/>
      <c r="G31" s="2" t="n"/>
      <c r="H31" s="2" t="n"/>
      <c r="I31" s="2" t="inlineStr">
        <is>
          <t>1.开始吸筹拉高，但是不停的再震荡 波段明显，没有破前低，卖出的但是之前的高位的买入的</t>
        </is>
      </c>
    </row>
    <row r="32" ht="27" customHeight="1">
      <c r="A32" s="2" t="n">
        <v>34</v>
      </c>
      <c r="B32" s="2" t="n"/>
      <c r="C32" s="2" t="n"/>
      <c r="D32" s="2" t="n"/>
      <c r="E32" s="41" t="n"/>
      <c r="F32" s="2" t="n"/>
      <c r="G32" s="2" t="n"/>
      <c r="H32" s="2" t="n"/>
      <c r="I32" s="2" t="inlineStr">
        <is>
          <t>1.超级大量，第二天低处被吸收，2，低点放量都被吸收了，前方供应不足了，一直在吸收</t>
        </is>
      </c>
    </row>
    <row r="33">
      <c r="A33" s="2" t="n">
        <v>35</v>
      </c>
      <c r="B33" s="2" t="n"/>
      <c r="C33" s="2" t="n"/>
      <c r="D33" s="2" t="n"/>
      <c r="E33" s="41" t="n"/>
      <c r="F33" s="2" t="n"/>
      <c r="G33" s="2" t="n"/>
      <c r="H33" s="2" t="n"/>
      <c r="I33" s="2" t="inlineStr">
        <is>
          <t>1。供应减少2刺头形态，3前低没破</t>
        </is>
      </c>
    </row>
    <row r="34" ht="27" customHeight="1">
      <c r="A34" s="2" t="n">
        <v>36</v>
      </c>
      <c r="B34" s="2" t="n"/>
      <c r="C34" s="2" t="n"/>
      <c r="D34" s="2" t="n"/>
      <c r="E34" s="41" t="n"/>
      <c r="F34" s="2" t="n"/>
      <c r="G34" s="2" t="n"/>
      <c r="H34" s="2" t="n"/>
      <c r="I34" s="2" t="inlineStr">
        <is>
          <t>1.成交量大涨。需求旺盛，下跌都是小实体2.突破前期压力点位，新高</t>
        </is>
      </c>
    </row>
    <row r="35" ht="27" customHeight="1">
      <c r="A35" s="2" t="n">
        <v>37</v>
      </c>
      <c r="B35" s="2" t="n"/>
      <c r="C35" s="2" t="n"/>
      <c r="D35" s="2" t="n"/>
      <c r="E35" s="41" t="n"/>
      <c r="F35" s="2" t="n"/>
      <c r="G35" s="2" t="n"/>
      <c r="H35" s="2" t="n"/>
      <c r="I35" s="2" t="inlineStr">
        <is>
          <t>1.努力没有回报，锤子线，交易量大但是没有下跌，2.小启明星</t>
        </is>
      </c>
    </row>
    <row r="36" ht="40.5" customHeight="1">
      <c r="A36" s="2" t="n">
        <v>38</v>
      </c>
      <c r="B36" s="2" t="n"/>
      <c r="C36" s="2" t="n"/>
      <c r="D36" s="2" t="n"/>
      <c r="E36" s="41" t="n"/>
      <c r="F36" s="2" t="n"/>
      <c r="G36" s="2" t="n"/>
      <c r="H36" s="2" t="n"/>
      <c r="I36" s="2" t="inlineStr">
        <is>
          <t>1.前一天大涨，之前同样的交易量小实体说明供应被吸收了，2，当天交易量大但是没有大下跌3，但是收在了尾端，可能不好</t>
        </is>
      </c>
    </row>
    <row r="37">
      <c r="A37" s="2" t="n">
        <v>39</v>
      </c>
      <c r="B37" s="2" t="n"/>
      <c r="C37" s="2" t="n"/>
      <c r="D37" s="2" t="n"/>
      <c r="E37" s="41" t="n"/>
      <c r="F37" s="2" t="n"/>
      <c r="G37" s="2" t="n"/>
      <c r="H37" s="2" t="n"/>
      <c r="I37" s="2" t="inlineStr">
        <is>
          <t>1.最大量交易量但是没有收跌，13.5有强支撑</t>
        </is>
      </c>
    </row>
    <row r="38" ht="27" customHeight="1">
      <c r="A38" s="2" t="n">
        <v>40</v>
      </c>
      <c r="B38" s="2" t="n"/>
      <c r="C38" s="2" t="n"/>
      <c r="D38" s="2" t="n"/>
      <c r="E38" s="41" t="n"/>
      <c r="F38" s="2" t="n"/>
      <c r="G38" s="2" t="n"/>
      <c r="H38" s="2" t="n"/>
      <c r="I38" s="2" t="inlineStr">
        <is>
          <t>1.开始上升柱，交易量同步扩大，下跌都是小实体，底部有跳空支撑</t>
        </is>
      </c>
    </row>
    <row r="39">
      <c r="A39" s="2" t="n">
        <v>41</v>
      </c>
      <c r="B39" s="2" t="n"/>
      <c r="C39" s="2" t="n"/>
      <c r="D39" s="2" t="n"/>
      <c r="E39" s="41" t="n"/>
      <c r="F39" s="2" t="n"/>
      <c r="G39" s="2" t="n"/>
      <c r="H39" s="2" t="n"/>
      <c r="I39" s="2" t="inlineStr">
        <is>
          <t>1.反弹的力度开始变大，买盘小</t>
        </is>
      </c>
    </row>
    <row r="40">
      <c r="A40" s="2" t="n">
        <v>42</v>
      </c>
      <c r="B40" s="2" t="n"/>
      <c r="C40" s="2" t="n"/>
      <c r="D40" s="2" t="n"/>
      <c r="E40" s="41" t="n"/>
      <c r="F40" s="2" t="n"/>
      <c r="G40" s="2" t="n"/>
      <c r="H40" s="2" t="n"/>
      <c r="I40" s="2" t="inlineStr">
        <is>
          <t>准备走长线交易，做波段，高抛低吸2.下跌没有成功</t>
        </is>
      </c>
    </row>
    <row r="41">
      <c r="A41" s="2" t="n">
        <v>43</v>
      </c>
      <c r="B41" s="2" t="n"/>
      <c r="C41" s="2" t="n"/>
      <c r="D41" s="2" t="n"/>
      <c r="E41" s="41" t="n"/>
      <c r="F41" s="2" t="n"/>
      <c r="G41" s="2" t="n"/>
      <c r="H41" s="2" t="n"/>
      <c r="I41" s="2" t="inlineStr">
        <is>
          <t>1.上方有压力，不需要大赚2.没破前低，吸收放量</t>
        </is>
      </c>
    </row>
    <row r="42" ht="27" customHeight="1">
      <c r="A42" s="2" t="n">
        <v>44</v>
      </c>
      <c r="B42" s="2" t="n"/>
      <c r="C42" s="2" t="n"/>
      <c r="D42" s="2" t="n"/>
      <c r="E42" s="41" t="n"/>
      <c r="F42" s="2" t="n"/>
      <c r="G42" s="2" t="n"/>
      <c r="H42" s="2" t="n"/>
      <c r="I42" s="2" t="inlineStr">
        <is>
          <t>1.没有破上升的的位置，低点量很大但是没下跌，2.上方压力大，3位置舒服</t>
        </is>
      </c>
    </row>
    <row r="43" ht="27" customHeight="1">
      <c r="A43" s="2" t="n">
        <v>45</v>
      </c>
      <c r="B43" s="2" t="n"/>
      <c r="C43" s="2" t="n"/>
      <c r="D43" s="2" t="n"/>
      <c r="E43" s="41" t="n"/>
      <c r="F43" s="2" t="n"/>
      <c r="G43" s="2" t="n"/>
      <c r="H43" s="2" t="n"/>
      <c r="I43" s="2" t="inlineStr">
        <is>
          <t>1.交易放量，下方吸收的差不多了，启明星2.交易量逐步放大了</t>
        </is>
      </c>
    </row>
    <row r="44" ht="27" customHeight="1">
      <c r="A44" s="2" t="n">
        <v>46</v>
      </c>
      <c r="B44" s="2" t="n"/>
      <c r="C44" s="2" t="n"/>
      <c r="D44" s="2" t="n"/>
      <c r="E44" s="41" t="n"/>
      <c r="F44" s="2" t="n"/>
      <c r="G44" s="2" t="n"/>
      <c r="H44" s="2" t="n"/>
      <c r="I44" s="2" t="inlineStr">
        <is>
          <t>1.交易量逐渐缩小，2.50是比较明显的支撑位置，会有人买入</t>
        </is>
      </c>
    </row>
    <row r="45">
      <c r="A45" s="2" t="n">
        <v>47</v>
      </c>
      <c r="B45" s="2" t="n"/>
      <c r="C45" s="2" t="n"/>
      <c r="D45" s="2" t="n"/>
      <c r="E45" s="41" t="n"/>
      <c r="F45" s="2" t="n"/>
      <c r="G45" s="2" t="n"/>
      <c r="H45" s="2" t="n"/>
      <c r="I45" s="2" t="inlineStr">
        <is>
          <t>1.跌幅在缩小，2出现10字星，3.50支撑明显</t>
        </is>
      </c>
    </row>
    <row r="46">
      <c r="A46" s="2" t="n">
        <v>48</v>
      </c>
      <c r="B46" s="2" t="n"/>
      <c r="C46" s="2" t="n"/>
      <c r="D46" s="2" t="n"/>
      <c r="E46" s="41" t="n"/>
      <c r="F46" s="2" t="n"/>
      <c r="G46" s="2" t="n"/>
      <c r="H46" s="2" t="n"/>
      <c r="I46" s="2" t="inlineStr">
        <is>
          <t>1.底部交易量放大，被吸收了，2。十字形</t>
        </is>
      </c>
    </row>
    <row r="47">
      <c r="A47" s="2" t="n">
        <v>49</v>
      </c>
      <c r="B47" s="2" t="n"/>
      <c r="C47" s="2" t="n"/>
      <c r="D47" s="2" t="n"/>
      <c r="E47" s="41" t="n"/>
      <c r="F47" s="2" t="n"/>
      <c r="G47" s="2" t="n"/>
      <c r="H47" s="2" t="n"/>
      <c r="I47" s="2" t="inlineStr">
        <is>
          <t>1.下跌无力没有跌破大阳线，前期触碰 100</t>
        </is>
      </c>
    </row>
    <row r="48">
      <c r="A48" s="2" t="n">
        <v>50</v>
      </c>
      <c r="B48" s="2" t="n"/>
      <c r="C48" s="2" t="n"/>
      <c r="D48" s="2" t="n"/>
      <c r="E48" s="41" t="n"/>
      <c r="F48" s="2" t="n"/>
      <c r="G48" s="2" t="n"/>
      <c r="H48" s="2" t="n"/>
      <c r="I48" s="2" t="inlineStr">
        <is>
          <t>同上，130是强支撑</t>
        </is>
      </c>
    </row>
    <row r="49">
      <c r="A49" s="2" t="n">
        <v>51</v>
      </c>
      <c r="B49" s="2" t="n"/>
      <c r="C49" s="2" t="n"/>
      <c r="D49" s="2" t="n"/>
      <c r="E49" s="41" t="n"/>
      <c r="F49" s="2" t="n"/>
      <c r="G49" s="2" t="n"/>
      <c r="H49" s="2" t="n"/>
      <c r="I49" s="2" t="inlineStr">
        <is>
          <t>1.大交易量之后回调，下跌都是小实体2.回调不破前低</t>
        </is>
      </c>
    </row>
    <row r="50" ht="27" customHeight="1">
      <c r="A50" s="2" t="n">
        <v>52</v>
      </c>
      <c r="B50" s="2" t="n"/>
      <c r="C50" s="2" t="n"/>
      <c r="D50" s="2" t="n"/>
      <c r="E50" s="41" t="n"/>
      <c r="F50" s="2" t="n"/>
      <c r="G50" s="2" t="n"/>
      <c r="H50" s="2" t="n"/>
      <c r="I50" s="2" t="inlineStr">
        <is>
          <t>1.j红色柱体开始增多，下跌都是小实体 2.两个看涨吞没状态</t>
        </is>
      </c>
    </row>
    <row r="51" ht="27" customHeight="1">
      <c r="A51" s="2" t="n">
        <v>53</v>
      </c>
      <c r="B51" s="2" t="n"/>
      <c r="C51" s="2" t="n"/>
      <c r="D51" s="2" t="n"/>
      <c r="E51" s="41" t="n"/>
      <c r="F51" s="2" t="n"/>
      <c r="G51" s="2" t="n"/>
      <c r="H51" s="2" t="n"/>
      <c r="I51" s="2" t="inlineStr">
        <is>
          <t>1.前方跳空，红柱站优势，2交易量不是很大，没有显著突破</t>
        </is>
      </c>
    </row>
    <row r="52" ht="27" customHeight="1">
      <c r="A52" s="2" t="n">
        <v>54</v>
      </c>
      <c r="B52" s="2" t="n"/>
      <c r="C52" s="2" t="n"/>
      <c r="D52" s="2" t="n"/>
      <c r="E52" s="41" t="n"/>
      <c r="F52" s="2" t="n"/>
      <c r="G52" s="2" t="n"/>
      <c r="H52" s="2" t="n"/>
      <c r="I52" s="2" t="inlineStr">
        <is>
          <t>1.交易量扩大，下跌中的交易量都被吸收了，开始反弹 2，没有明显的反弹信号，绿柱更站优势</t>
        </is>
      </c>
    </row>
    <row r="53" ht="27" customHeight="1">
      <c r="A53" s="2" t="n">
        <v>55</v>
      </c>
      <c r="B53" s="2" t="n"/>
      <c r="C53" s="2" t="n"/>
      <c r="D53" s="2" t="n"/>
      <c r="E53" s="41" t="n"/>
      <c r="F53" s="2" t="n"/>
      <c r="G53" s="2" t="n"/>
      <c r="H53" s="2" t="n"/>
      <c r="I53" s="2" t="inlineStr">
        <is>
          <t>1.上涨趋势，下跌都是小实体被吸收了，开始继续上涨，但是柱体不是太强</t>
        </is>
      </c>
    </row>
    <row r="54" ht="27" customHeight="1">
      <c r="A54" s="2" t="n">
        <v>56</v>
      </c>
      <c r="B54" s="2" t="n"/>
      <c r="C54" s="2" t="n"/>
      <c r="D54" s="2" t="n"/>
      <c r="E54" s="41" t="n"/>
      <c r="F54" s="2" t="n"/>
      <c r="G54" s="2" t="n"/>
      <c r="H54" s="2" t="n"/>
      <c r="I54" s="2" t="inlineStr">
        <is>
          <t>1.大红柱，交易量上升，2.看涨吞没 + 跳空没有被击穿，在支撑下方购买 3.交易量不大，可能没经</t>
        </is>
      </c>
    </row>
    <row r="55" ht="27" customHeight="1">
      <c r="A55" s="2" t="n">
        <v>57</v>
      </c>
      <c r="B55" s="2" t="n"/>
      <c r="C55" s="2" t="n"/>
      <c r="D55" s="2" t="n"/>
      <c r="E55" s="41" t="n"/>
      <c r="F55" s="2" t="n"/>
      <c r="G55" s="2" t="n"/>
      <c r="H55" s="2" t="n"/>
      <c r="I55" s="2" t="inlineStr">
        <is>
          <t>1.上涨趋势中，回调买入，没有破之前的支撑，下跌交易量变小，但是柱体不是很小，回谈没什么力气</t>
        </is>
      </c>
    </row>
    <row r="56" ht="27" customHeight="1">
      <c r="A56" s="2" t="n">
        <v>58</v>
      </c>
      <c r="B56" s="2" t="n"/>
      <c r="C56" s="2" t="n"/>
      <c r="D56" s="2" t="n"/>
      <c r="E56" s="41" t="n"/>
      <c r="F56" s="2" t="n"/>
      <c r="G56" s="2" t="n"/>
      <c r="H56" s="2" t="n"/>
      <c r="I56" s="2" t="inlineStr">
        <is>
          <t>1.需求方强势，供应不足，红柱不破买入，就是红柱柱体太小了，交易量不大</t>
        </is>
      </c>
    </row>
    <row r="57" ht="27" customHeight="1">
      <c r="A57" s="2" t="n">
        <v>59</v>
      </c>
      <c r="B57" s="2" t="n"/>
      <c r="C57" s="2" t="n"/>
      <c r="D57" s="2" t="n"/>
      <c r="E57" s="41" t="n"/>
      <c r="F57" s="2" t="n"/>
      <c r="G57" s="2" t="n"/>
      <c r="H57" s="2" t="n"/>
      <c r="I57" s="2" t="inlineStr">
        <is>
          <t>1.出现大红柱，等等回调没有破后买入，交易量不大，没有明显反转型号</t>
        </is>
      </c>
    </row>
    <row r="58">
      <c r="A58" s="2" t="n">
        <v>60</v>
      </c>
      <c r="B58" s="2" t="n"/>
      <c r="C58" s="2" t="n"/>
      <c r="D58" s="2" t="n"/>
      <c r="E58" s="41" t="n"/>
      <c r="F58" s="2" t="n"/>
      <c r="G58" s="2" t="n"/>
      <c r="H58" s="2" t="n"/>
      <c r="I58" s="2" t="inlineStr">
        <is>
          <t>1.刺透加十字星，放量但是没有下跌</t>
        </is>
      </c>
    </row>
    <row r="59" ht="27" customHeight="1">
      <c r="A59" s="2" t="n">
        <v>61</v>
      </c>
      <c r="B59" s="2" t="n"/>
      <c r="C59" s="2" t="n"/>
      <c r="D59" s="2" t="n"/>
      <c r="E59" s="41" t="n"/>
      <c r="F59" s="2" t="n"/>
      <c r="G59" s="2" t="n"/>
      <c r="H59" s="2" t="n"/>
      <c r="I59" s="2" t="inlineStr">
        <is>
          <t>1.需求占优势，然后下跌没有破大红柱，下跌都是小实体，但是前方有上影线+ 成交量，有压力</t>
        </is>
      </c>
    </row>
    <row r="60" ht="27" customHeight="1">
      <c r="A60" s="2" t="n">
        <v>62</v>
      </c>
      <c r="B60" s="2" t="n"/>
      <c r="C60" s="2" t="n"/>
      <c r="D60" s="2" t="n"/>
      <c r="E60" s="41" t="n"/>
      <c r="F60" s="2" t="n"/>
      <c r="G60" s="2" t="n"/>
      <c r="H60" s="2" t="n"/>
      <c r="I60" s="2" t="inlineStr">
        <is>
          <t>1.跳空，放量，之前有恐慌抛盘，下跌没到低点，需求方站优势</t>
        </is>
      </c>
    </row>
    <row r="61" ht="27" customHeight="1">
      <c r="A61" s="2" t="n">
        <v>63</v>
      </c>
      <c r="B61" s="2" t="n"/>
      <c r="C61" s="2" t="n"/>
      <c r="D61" s="2" t="n"/>
      <c r="E61" s="41" t="n"/>
      <c r="F61" s="2" t="n"/>
      <c r="G61" s="2" t="n"/>
      <c r="H61" s="2" t="n"/>
      <c r="I61" s="2" t="inlineStr">
        <is>
          <t>1.目前处于右端2，锤子筑底，红柱没有被突破2.但是交易量没那么大，总体再变大</t>
        </is>
      </c>
    </row>
    <row r="62" ht="27" customHeight="1">
      <c r="A62" s="2" t="n">
        <v>64</v>
      </c>
      <c r="B62" s="2" t="n"/>
      <c r="C62" s="2" t="n"/>
      <c r="D62" s="2" t="n"/>
      <c r="E62" s="41" t="n"/>
      <c r="F62" s="2" t="n"/>
      <c r="G62" s="2" t="n"/>
      <c r="H62" s="2" t="n"/>
      <c r="I62" s="2" t="inlineStr">
        <is>
          <t>1.右侧交易，没有跌破红柱，但是交易量减少了2.下方支撑比较强硬</t>
        </is>
      </c>
    </row>
    <row r="63" ht="27" customHeight="1">
      <c r="A63" s="2" t="n">
        <v>65</v>
      </c>
      <c r="B63" s="2" t="n"/>
      <c r="C63" s="2" t="n"/>
      <c r="D63" s="2" t="n"/>
      <c r="E63" s="41" t="n"/>
      <c r="F63" s="2" t="n"/>
      <c r="G63" s="2" t="n"/>
      <c r="H63" s="2" t="n"/>
      <c r="I63" s="2" t="inlineStr">
        <is>
          <t>1.右侧交易，没有跌破红柱，交易量开放大，可能已经完成吸筹，</t>
        </is>
      </c>
    </row>
    <row r="64" ht="27" customHeight="1">
      <c r="A64" s="2" t="n">
        <v>66</v>
      </c>
      <c r="B64" s="2" t="n"/>
      <c r="C64" s="2" t="n"/>
      <c r="D64" s="2" t="n"/>
      <c r="E64" s="41" t="n"/>
      <c r="F64" s="2" t="n"/>
      <c r="G64" s="2" t="n"/>
      <c r="H64" s="2" t="n"/>
      <c r="I64" s="2" t="inlineStr">
        <is>
          <t>1.右侧交易，回撤没破前面的红柱，总体交易量降低，上冲没什么力气，遇到危险信号就跑</t>
        </is>
      </c>
    </row>
    <row r="65" ht="27" customHeight="1">
      <c r="A65" s="2" t="n">
        <v>67</v>
      </c>
      <c r="B65" s="2" t="n"/>
      <c r="C65" s="2" t="n"/>
      <c r="D65" s="2" t="n"/>
      <c r="E65" s="41" t="n"/>
      <c r="F65" s="2" t="n"/>
      <c r="G65" s="2" t="n"/>
      <c r="H65" s="2" t="n"/>
      <c r="I65" s="2" t="inlineStr">
        <is>
          <t>1.右侧交易  需求站优势，小柱体没破前面的红柱2.交易量不大，之前两个看涨大吞没</t>
        </is>
      </c>
    </row>
    <row r="66">
      <c r="A66" s="2" t="n">
        <v>68</v>
      </c>
      <c r="B66" s="2" t="n"/>
      <c r="C66" s="2" t="n"/>
      <c r="D66" s="2" t="n"/>
      <c r="E66" s="41" t="n"/>
      <c r="F66" s="2" t="n"/>
      <c r="G66" s="2" t="n"/>
      <c r="H66" s="2" t="n"/>
      <c r="I66" s="2" t="inlineStr">
        <is>
          <t>与上一次完全一样的剧情</t>
        </is>
      </c>
    </row>
    <row r="67">
      <c r="A67" s="2" t="n">
        <v>69</v>
      </c>
      <c r="B67" s="2" t="n"/>
      <c r="C67" s="2" t="n"/>
      <c r="D67" s="2" t="n"/>
      <c r="E67" s="41" t="n"/>
      <c r="F67" s="2" t="n"/>
      <c r="G67" s="2" t="n"/>
      <c r="H67" s="2" t="n"/>
      <c r="I67" s="2" t="inlineStr">
        <is>
          <t>又是一样的剧情，不知道是商贩</t>
        </is>
      </c>
    </row>
    <row r="68" ht="27" customHeight="1">
      <c r="A68" s="2" t="n">
        <v>70</v>
      </c>
      <c r="B68" s="2" t="n"/>
      <c r="C68" s="2" t="n"/>
      <c r="D68" s="2" t="n"/>
      <c r="E68" s="41" t="n"/>
      <c r="F68" s="2" t="n"/>
      <c r="G68" s="2" t="n"/>
      <c r="H68" s="2" t="n"/>
      <c r="I68" s="2" t="inlineStr">
        <is>
          <t>上升右侧，交易放量，没有跌破前低 2上方有影线，是一个看涨吞没</t>
        </is>
      </c>
    </row>
    <row r="69">
      <c r="A69" s="2" t="n">
        <v>71</v>
      </c>
      <c r="B69" s="2" t="n"/>
      <c r="C69" s="2" t="n"/>
      <c r="D69" s="2" t="n"/>
      <c r="E69" s="41" t="n"/>
      <c r="F69" s="2" t="n"/>
      <c r="G69" s="2" t="n"/>
      <c r="H69" s="2" t="n"/>
      <c r="I69" s="2" t="inlineStr">
        <is>
          <t>上升平台交易，显著高于之前的红柱</t>
        </is>
      </c>
    </row>
    <row r="70" ht="40.5" customHeight="1">
      <c r="A70" s="2" t="n">
        <v>72</v>
      </c>
      <c r="B70" s="2" t="n"/>
      <c r="C70" s="2" t="n"/>
      <c r="D70" s="2" t="n"/>
      <c r="E70" s="41" t="n"/>
      <c r="F70" s="2" t="n"/>
      <c r="G70" s="2" t="n"/>
      <c r="H70" s="2" t="n"/>
      <c r="I70" s="11" t="inlineStr">
        <is>
          <t>1.整体价格已经抬高，很小的交易量就可以造成大跌，这是有意而为知，价格再上升，成交量也在上升，红的交易量要超过绿的交易量，现在的买入属于埋伏买入偏中期</t>
        </is>
      </c>
      <c r="J70" s="12" t="inlineStr">
        <is>
          <t>相比之前的改动点：1</t>
        </is>
      </c>
      <c r="K70" s="12" t="inlineStr">
        <is>
          <t>止损放宽</t>
        </is>
      </c>
    </row>
    <row r="71" ht="54" customHeight="1">
      <c r="A71" s="2" t="n">
        <v>73</v>
      </c>
      <c r="B71" s="2" t="n"/>
      <c r="C71" s="2" t="n"/>
      <c r="D71" s="2" t="n"/>
      <c r="E71" s="41" t="n"/>
      <c r="F71" s="2" t="n"/>
      <c r="G71" s="2" t="n"/>
      <c r="H71" s="2" t="n"/>
      <c r="I71" s="11" t="inlineStr">
        <is>
          <t>1.供应住都是涨停住不太好，感觉就是吸引人注意，没有缓慢增长，2整体交易量已经放大，出现两波没有低于前低，支撑有效，钱交易量相对小脚，交易量比较大所以已经走过自然反弹，不是那么完美，相对安全，防止震仓</t>
        </is>
      </c>
    </row>
    <row r="72" ht="54" customHeight="1">
      <c r="A72" s="2" t="n">
        <v>74</v>
      </c>
      <c r="B72" s="2" t="n"/>
      <c r="C72" s="2" t="n"/>
      <c r="D72" s="2" t="n"/>
      <c r="E72" s="41" t="n"/>
      <c r="F72" s="2" t="n"/>
      <c r="G72" s="2" t="n"/>
      <c r="H72" s="2" t="n"/>
      <c r="I72" s="11" t="inlineStr">
        <is>
          <t>1.不是都是涨停，20附近买盘强势大交易量吸收了下跌，近期的供应线都被突破了，大量卖盘之后，后面还能上涨，，后面跌不动，说明供应不足，供应被吸收完毕了，前面是又震仓的，后面跨越小学出现了</t>
        </is>
      </c>
    </row>
    <row r="73" ht="67.5" customHeight="1">
      <c r="A73" s="2" t="n">
        <v>75</v>
      </c>
      <c r="B73" s="2" t="n"/>
      <c r="C73" s="2" t="n"/>
      <c r="D73" s="2" t="n"/>
      <c r="E73" s="41" t="n"/>
      <c r="F73" s="2" t="n"/>
      <c r="G73" s="2" t="n"/>
      <c r="H73" s="2" t="n"/>
      <c r="I73" s="2" t="inlineStr">
        <is>
          <t>1.需求开始增多，不存在派发，一直下跌 ，供应处被吸收了后还有需求，继续买入，当前确实足够便宜3快的阻力比较强，如果突破3快继续持有，到达3快左右仔细研究每天的走势，，2.8左右也有一些压力，但是应该已经吸收了，可以到达3快线抛，回调再买，要注意观察</t>
        </is>
      </c>
    </row>
    <row r="74" ht="27" customHeight="1">
      <c r="A74" s="2" t="n">
        <v>76</v>
      </c>
      <c r="B74" s="2" t="n"/>
      <c r="C74" s="2" t="n"/>
      <c r="D74" s="2" t="n"/>
      <c r="E74" s="41" t="n"/>
      <c r="F74" s="2" t="n"/>
      <c r="G74" s="2" t="n"/>
      <c r="H74" s="2" t="n"/>
      <c r="I74" s="2" t="inlineStr">
        <is>
          <t>同一波局势，没有下跌，说明下方有供应，持续在吸收，准备继续冲击3，但是交易量下来了，整体还是不低</t>
        </is>
      </c>
    </row>
    <row r="75" ht="94.5" customHeight="1">
      <c r="A75" s="2" t="n">
        <v>78</v>
      </c>
      <c r="B75" s="2" t="n"/>
      <c r="C75" s="2" t="n"/>
      <c r="D75" s="2" t="n"/>
      <c r="E75" s="41" t="n"/>
      <c r="F75" s="2" t="n"/>
      <c r="G75" s="2" t="n"/>
      <c r="H75" s="2" t="n"/>
      <c r="I75" s="2" t="inlineStr">
        <is>
          <t>1.上方供应已经被吸收，没有太大的压力 2.可能揩油浮动供应，需要震荡吸收掉，有没有可能振荡区，在2.5～3还是在3～3.5，下方应该判断没有筹码了，需要价钱在3.5左右吸筹，位可以抛一波，还是说现在CM在派发呢，在派发不会跌这么快，大概率是突破一下然后到3.5区间继续吸筹，到3.5抛每回来测试3的支撑支撑住了继续买入，什么情况是支撑柱了，下方没有卖盘，交易量小</t>
        </is>
      </c>
    </row>
    <row r="76" ht="40.5" customHeight="1">
      <c r="A76" s="2" t="n">
        <v>79</v>
      </c>
      <c r="B76" s="2" t="n"/>
      <c r="C76" s="2" t="n"/>
      <c r="D76" s="2" t="n"/>
      <c r="E76" s="41" t="n"/>
      <c r="F76" s="2" t="n"/>
      <c r="G76" s="2" t="n"/>
      <c r="H76" s="2" t="n"/>
      <c r="I76" s="2" t="inlineStr">
        <is>
          <t>1。当前需求占优势，没遇到大的阻击，突破了30的压力位，上方没有太多供应，供应集中在40左右，震仓没有太多效果，没有卖盘，必须提高收购价格</t>
        </is>
      </c>
      <c r="J76" t="inlineStr">
        <is>
          <t>突破40继续持有，没有突破先撤退，突破不了回回到30这边震荡，到时候可以接近30看有没有支撑，有的话30买入</t>
        </is>
      </c>
    </row>
    <row r="77" ht="27" customHeight="1">
      <c r="A77" s="2" t="n">
        <v>80</v>
      </c>
      <c r="B77" s="2" t="n"/>
      <c r="C77" s="2" t="n"/>
      <c r="D77" s="2" t="n"/>
      <c r="E77" s="41" t="n"/>
      <c r="F77" s="2" t="n"/>
      <c r="G77" s="2" t="n"/>
      <c r="H77" s="2" t="n"/>
      <c r="I77" s="2" t="inlineStr">
        <is>
          <t>1.又是拉人来突破，吸引人肯定还是要上冲，要突破40，40压力很大，失败就抛成功就把40作为支撑</t>
        </is>
      </c>
      <c r="J77" t="inlineStr">
        <is>
          <t>能不能突破40，很关键，主力再想办法，主力吸筹成本大概35，35左右就会吸收，也许会放量突破一下震仓，现在应该不震仓了要拉人突破了</t>
        </is>
      </c>
    </row>
    <row r="78" ht="67.5" customHeight="1">
      <c r="A78" s="2" t="n">
        <v>81</v>
      </c>
      <c r="B78" s="2" t="n"/>
      <c r="C78" s="2" t="n"/>
      <c r="D78" s="2" t="n"/>
      <c r="E78" s="41" t="n"/>
      <c r="F78" s="2" t="n"/>
      <c r="G78" s="2" t="n"/>
      <c r="H78" s="2" t="n"/>
      <c r="I78" s="2" t="inlineStr">
        <is>
          <t>1.下跌没有没有太多量，这个交易是博反弹，下跌无效，交易量变小，开始平衡，下一步继续吸筹，在21～25之间震荡或者突破28迎接30，出现交易量更不上没有放量，说明还是震荡，不适合交易，如果放量逐步增加可以考虑买入</t>
        </is>
      </c>
    </row>
    <row r="79">
      <c r="A79" s="2" t="n">
        <v>82</v>
      </c>
      <c r="B79" s="2" t="n"/>
      <c r="C79" s="2" t="n"/>
      <c r="D79" s="2" t="n"/>
      <c r="E79" s="41" t="n"/>
      <c r="F79" s="2" t="n"/>
      <c r="G79" s="2" t="n"/>
      <c r="H79" s="2" t="n"/>
      <c r="I79" s="2" t="inlineStr">
        <is>
          <t>触碰28支撑不破就走，然后转入25～28之间震荡，</t>
        </is>
      </c>
    </row>
    <row r="80" ht="67.5" customHeight="1">
      <c r="A80" s="2" t="n">
        <v>83</v>
      </c>
      <c r="B80" s="2" t="n"/>
      <c r="C80" s="2" t="n"/>
      <c r="D80" s="2" t="n"/>
      <c r="E80" s="41" t="n"/>
      <c r="F80" s="2" t="n"/>
      <c r="G80" s="2" t="n"/>
      <c r="H80" s="2" t="n"/>
      <c r="I80" s="2" t="inlineStr">
        <is>
          <t>已经跌不懂了，供应不住，小交易量就可以大提升比之前更高的低点，继续突破28，没突破就回来继续震荡，25有强支撑，CM不太可能在25一下吸筹，除非画大价钱打下去，没有突破28，突破过程中，交易量下来也走，看突破的强度</t>
        </is>
      </c>
    </row>
    <row r="81" ht="54" customHeight="1">
      <c r="A81" s="2" t="n">
        <v>84</v>
      </c>
      <c r="B81" s="2" t="n"/>
      <c r="C81" s="2" t="n"/>
      <c r="D81" s="2" t="n"/>
      <c r="E81" s="41" t="n"/>
      <c r="F81" s="2" t="n"/>
      <c r="G81" s="2" t="n"/>
      <c r="H81" s="2" t="n"/>
      <c r="I81" s="2" t="inlineStr">
        <is>
          <t>1.供应不足跌不动了，买家吸引人来吸收，然后自己超低，到达30就好好分析，看量大是不是足够支撑突破随时准备跑路，也不要贪多，上方供应大，但是30突破可能就去35了，把30作为支撑位置</t>
        </is>
      </c>
    </row>
    <row r="82" ht="67.5" customHeight="1">
      <c r="A82" s="2" t="n">
        <v>85</v>
      </c>
      <c r="B82" s="2" t="n"/>
      <c r="C82" s="2" t="n"/>
      <c r="D82" s="2" t="n"/>
      <c r="E82" s="41" t="n"/>
      <c r="F82" s="2" t="n"/>
      <c r="G82" s="2" t="n"/>
      <c r="H82" s="2" t="n"/>
      <c r="I82" s="2" t="inlineStr">
        <is>
          <t>突破失败，开始2次突破4.8左右位置，下方支撑3.8，上方供应更大，但是被清掉一些，需求方会进行尝试，稳住4，至少把支撑稳定到4，低处没有筹码了，目前没有，不知道能不能蒸出来，现在是第二次尝试，供应曾东就走，超过4。8天天分析，临近4.5就要注意</t>
        </is>
      </c>
    </row>
    <row r="83" ht="27" customHeight="1">
      <c r="A83" s="2" t="n">
        <v>86</v>
      </c>
      <c r="B83" s="2" t="n"/>
      <c r="C83" s="2" t="n"/>
      <c r="D83" s="2" t="n"/>
      <c r="E83" s="41" t="n"/>
      <c r="F83" s="2" t="n"/>
      <c r="G83" s="2" t="n"/>
      <c r="H83" s="2" t="n"/>
      <c r="I83" s="2" t="inlineStr">
        <is>
          <t>摇人来突破了一直突破不了，突破4.8也就是5，5快压力大，突破就把5快作为支撑。4.5~5之间震荡，靠近5抛掉</t>
        </is>
      </c>
    </row>
    <row r="84" ht="67.5" customHeight="1">
      <c r="A84" s="2" t="n">
        <v>87</v>
      </c>
      <c r="B84" s="2" t="n"/>
      <c r="C84" s="2" t="n"/>
      <c r="D84" s="2" t="n"/>
      <c r="E84" s="41" t="n"/>
      <c r="F84" s="2" t="n"/>
      <c r="G84" s="2" t="n"/>
      <c r="H84" s="2" t="n"/>
      <c r="I84" s="2" t="inlineStr">
        <is>
          <t>更大的量进来了，之前的供应都被吸收了，现在需求站上风，上方没有太多的阻力，遇到阻力就抛掉，因为下方集聚了了很多获利盘，但也有5快接手的，cm的目标达到突破了5块，它要拉升，或者达到目标准备派发，如果目标是5块派发，</t>
        </is>
      </c>
    </row>
    <row r="85">
      <c r="A85" s="2" t="n">
        <v>89</v>
      </c>
      <c r="B85" s="2" t="n"/>
      <c r="C85" s="2" t="n"/>
      <c r="D85" s="2" t="n"/>
      <c r="E85" s="41" t="n"/>
      <c r="F85" s="2" t="n"/>
      <c r="G85" s="2" t="n"/>
      <c r="H85" s="2" t="n"/>
      <c r="I85" s="2" t="inlineStr">
        <is>
          <t>同山，但是第二天如果没跟上就跑，低开还是喊人来突破</t>
        </is>
      </c>
    </row>
    <row r="86" ht="27" customHeight="1">
      <c r="A86" s="2" t="n">
        <v>88</v>
      </c>
      <c r="B86" s="2" t="n"/>
      <c r="C86" s="2" t="n"/>
      <c r="D86" s="2" t="n"/>
      <c r="E86" s="41" t="n"/>
      <c r="F86" s="2" t="n"/>
      <c r="G86" s="2" t="n"/>
      <c r="H86" s="2" t="n"/>
      <c r="I86" s="2" t="inlineStr">
        <is>
          <t>震仓，绝对的震仓，千万不要抛掉，这个主力擅长震仓，且资金量大，会反复搞心态</t>
        </is>
      </c>
    </row>
    <row r="87" ht="54" customHeight="1">
      <c r="A87" s="2" t="n">
        <v>90</v>
      </c>
      <c r="B87" s="2" t="n"/>
      <c r="C87" s="2" t="n"/>
      <c r="D87" s="2" t="n"/>
      <c r="E87" s="41" t="n"/>
      <c r="F87" s="2" t="n"/>
      <c r="G87" s="2" t="n"/>
      <c r="H87" s="2" t="n"/>
      <c r="I87" s="2" t="inlineStr">
        <is>
          <t>1.下方有支撑4💨支撑厉害，几次都收回了，然后有大阳线，砸不下去了，上方压力大，估计又要摇人，或者慢慢吸，或者砸掉，，吸就是比4💨低，看后续供应多不多，尤其4.8～5如果多就到5就走，如果少持有</t>
        </is>
      </c>
    </row>
    <row r="88" ht="81" customHeight="1">
      <c r="A88" s="2" t="n">
        <v>91</v>
      </c>
      <c r="B88" s="2" t="n"/>
      <c r="C88" s="2" t="n"/>
      <c r="D88" s="2" t="n"/>
      <c r="E88" s="41" t="n"/>
      <c r="F88" s="2" t="n"/>
      <c r="G88" s="2" t="n"/>
      <c r="H88" s="2" t="n"/>
      <c r="I88" s="2" t="inlineStr">
        <is>
          <t>1.底部放量吸收了，昨天的是震仓，，连续两次试探了支撑，5.5左右支撑强力，6.5左右压力大，前面压力也大，可能要长期震仓，或者吸筹，上方交易量太大了，除非有更大的交易量过来，现在的交易量还是大，位这波不贪大，买一个反弹。不长期持有，因为上方供应天亮，除非看到特别多的需求</t>
        </is>
      </c>
    </row>
    <row r="89" ht="94.5" customHeight="1">
      <c r="A89" s="2" t="n">
        <v>92</v>
      </c>
      <c r="B89" s="2" t="n"/>
      <c r="C89" s="2" t="n"/>
      <c r="D89" s="2" t="n"/>
      <c r="E89" s="41" t="n"/>
      <c r="F89" s="2" t="n"/>
      <c r="G89" s="2" t="n"/>
      <c r="H89" s="2" t="n"/>
      <c r="I89" s="2" t="inlineStr">
        <is>
          <t>1.建立派发区间，至少要8～9块区间，CM盈利20%左右，2.继续吸筹拉升，单曲的同样的需求，没有造成比前面更高的涨幅,差10%但是供应少了一些，明显需求更旺盛，供应增大就会冲9～10，不足就是8～9，但是CM盈利更小，需要拿出更大的供应，吸引其它的CM与公众，拉伸，让人看到希望，让人狂热，如果更大额交易量出现就持有，没有的话，到达8左右就可以抛掉</t>
        </is>
      </c>
    </row>
    <row r="90" ht="121.5" customHeight="1">
      <c r="A90" s="2" t="n">
        <v>93</v>
      </c>
      <c r="B90" s="2" t="n"/>
      <c r="C90" s="2" t="n"/>
      <c r="D90" s="2" t="n"/>
      <c r="E90" s="41" t="n"/>
      <c r="F90" s="2" t="n"/>
      <c r="G90" s="2" t="n"/>
      <c r="H90" s="2" t="n"/>
      <c r="I90" s="2" t="inlineStr">
        <is>
          <t>1.供应站上方，上方没有供应，很容易就突破派发已经结束了，很奇怪上方为什么没有供应，按道理很多人被派发了，它们如果不卖，以后会成为供应，CM拉不上去，所以得让它们抛掉，所以解释之前并不是派发而是吸筹，之前是大震仓，都被吸收了，所以上方没有压力，那一定会突破之前的12.74拉到很大的位置已经没有供应了，继续往上不要贪，感受到大的压力就抛，但是除非CM派发，否则不会有抛盘基本都是盈利，散户不会抛，第一次供应，不要慌，看是否有供应吸收</t>
        </is>
      </c>
    </row>
    <row r="91" ht="67.5" customHeight="1">
      <c r="A91" s="2" t="n">
        <v>94</v>
      </c>
      <c r="B91" s="2" t="n"/>
      <c r="C91" s="2" t="n"/>
      <c r="D91" s="2" t="n"/>
      <c r="E91" s="41" t="n"/>
      <c r="F91" s="2" t="n"/>
      <c r="G91" s="2" t="n"/>
      <c r="H91" s="2" t="n"/>
      <c r="I91" s="2" t="inlineStr">
        <is>
          <t>1.我还是觉得当前可能是派发，但是不能假设，因为价格上来了，块接近20，而且没有特别大的波动2卖盘逐渐没有了，后面交易量上来就是突破20，入股没上来可能接下来就下跌了，如果遇到放量下跌就赶快跑，如果没遇到看到20，超过20把20作为支撑</t>
        </is>
      </c>
    </row>
    <row r="92" ht="108" customHeight="1">
      <c r="A92" s="2" t="n">
        <v>97</v>
      </c>
      <c r="B92" s="2" t="n"/>
      <c r="C92" s="2" t="n"/>
      <c r="D92" s="2" t="n"/>
      <c r="E92" s="41" t="n"/>
      <c r="F92" s="2" t="n"/>
      <c r="G92" s="2" t="n"/>
      <c r="H92" s="2" t="n"/>
      <c r="I92" s="15" t="inlineStr">
        <is>
          <t>1.突然大幅下跌，之前都是平稳的，突然大跌，交易量没有那么大，可能是震仓，后面到达支撑开始反弹，交易量开始放大8块压力不大，9块压力大，主力什么样的情况在8~9进行振荡7块多左右应该没有供应了，需要提高收购价格，之前冲刺9.5发现上方抛盘过多，所以震荡，后面反弹就证明这个是震仓，如果继续下跌，则重新开始，如果回到了9，说明主力还在尝试上冲，要密切关注走势，成交量</t>
        </is>
      </c>
    </row>
    <row r="93" ht="243" customHeight="1">
      <c r="A93" s="2" t="n">
        <v>98</v>
      </c>
      <c r="B93" s="2" t="n"/>
      <c r="C93" s="2" t="n"/>
      <c r="D93" s="2" t="n"/>
      <c r="E93" s="41" t="n"/>
      <c r="F93" s="2" t="n"/>
      <c r="G93" s="2" t="n"/>
      <c r="H93" s="2" t="n"/>
      <c r="I93" s="15" t="inlineStr">
        <is>
          <t>同样交易量没有太大的跌幅，说明供应都被吸收了，成交量在小幅上涨，说明主力还不想认直到，但是应该已经吸了一些筹码了，整体的成本在这个之上，看有没有量价跟谁，道道关键位置，每天写日志下方6块，上方7块，现在看出来明显趋势，在潜伏</t>
        </is>
      </c>
      <c r="J93" s="17" t="inlineStr">
        <is>
          <t xml:space="preserve">到达6块，观察是否有反弹，或者震仓，6块是吸筹点，但是主力没有吸，下发出现支撑，但是力度不够，不知道是否有反弹，如果没有就要走人，上方放出大量，但是价格没有怎么下跌，看7块能否守住，如果守住则继续持有，主力用全力收到了之前的压力位直接上到7块
</t>
        </is>
      </c>
      <c r="K93" s="16" t="inlineStr">
        <is>
          <t>上方还有供应，但是吸收了不少，观察是否供应增加，或者需求减少，更大的交易量，但是小蜡烛，说明需求比较大，供应也大，但是需求更旺盛一点，8块是一个非常大的压力位，主力是震荡通过，还是暴力拉伸，需求变少了，供应也减少了，8块压力有但是没那么多，也被吸收了，小蜡烛，上方没有供应了，</t>
        </is>
      </c>
      <c r="L93" s="16" t="inlineStr">
        <is>
          <t>量价齐升，强势期，突然的放量下跌，警示，供应不足了，也有可能在洗盘，正常要拉到10块，或者准备第二波，因为上方供应多，准备洗一把，观察后续</t>
        </is>
      </c>
    </row>
    <row r="94">
      <c r="A94" s="2" t="n"/>
      <c r="B94" s="2" t="n"/>
      <c r="C94" s="2" t="n"/>
      <c r="D94" s="2" t="n"/>
      <c r="E94" s="41" t="n"/>
      <c r="F94" s="2" t="n"/>
      <c r="G94" s="2" t="n"/>
      <c r="H94" s="2" t="n"/>
      <c r="I94" s="2" t="n"/>
    </row>
    <row r="95">
      <c r="A95" s="2" t="n"/>
      <c r="B95" s="2" t="n"/>
      <c r="C95" s="2" t="n"/>
      <c r="D95" s="2" t="n"/>
      <c r="E95" s="41" t="n"/>
      <c r="F95" s="2" t="n"/>
      <c r="G95" s="2" t="n"/>
      <c r="H95" s="2" t="n"/>
      <c r="I95" s="2" t="n"/>
    </row>
    <row r="96" ht="27" customHeight="1">
      <c r="A96" s="2" t="n">
        <v>99</v>
      </c>
      <c r="B96" s="2" t="n"/>
      <c r="C96" s="2" t="n"/>
      <c r="D96" s="2" t="n"/>
      <c r="E96" s="41" t="n"/>
      <c r="F96" s="2" t="n"/>
      <c r="G96" s="2" t="n"/>
      <c r="H96" s="2" t="n"/>
      <c r="I96" s="15" t="inlineStr">
        <is>
          <t>供应被吸收完毕，成交量放大，会不会看到更大的交易量，</t>
        </is>
      </c>
    </row>
    <row r="97">
      <c r="A97" s="2" t="n">
        <v>99</v>
      </c>
      <c r="B97" s="2" t="n"/>
      <c r="C97" s="2" t="n"/>
      <c r="D97" s="2" t="n"/>
      <c r="E97" s="41" t="n"/>
      <c r="F97" s="2" t="n"/>
      <c r="G97" s="2" t="n"/>
      <c r="H97" s="2" t="n"/>
      <c r="I97" s="15" t="inlineStr">
        <is>
          <t>成交量上走，整数位支撑，舱室一把</t>
        </is>
      </c>
    </row>
    <row r="98">
      <c r="A98" s="2" t="n">
        <v>100</v>
      </c>
      <c r="B98" s="2" t="n"/>
      <c r="C98" s="2" t="n"/>
      <c r="D98" s="2" t="n"/>
      <c r="E98" s="41" t="n"/>
      <c r="F98" s="2" t="n"/>
      <c r="G98" s="2" t="n"/>
      <c r="H98" s="2" t="n"/>
      <c r="I98" s="15" t="inlineStr">
        <is>
          <t>出现sow然后回调测试，交易量放大</t>
        </is>
      </c>
    </row>
    <row r="99">
      <c r="A99" s="2" t="n"/>
      <c r="B99" s="2" t="n"/>
      <c r="C99" s="2" t="n"/>
      <c r="D99" s="2" t="n"/>
      <c r="E99" s="41" t="n"/>
      <c r="F99" s="2" t="n"/>
      <c r="G99" s="2" t="n"/>
      <c r="H99" s="2" t="n"/>
      <c r="I99" s="2" t="n"/>
    </row>
    <row r="100">
      <c r="A100" s="2" t="n"/>
      <c r="B100" s="2" t="n"/>
      <c r="C100" s="2" t="n"/>
      <c r="D100" s="2" t="n"/>
      <c r="E100" s="41" t="n"/>
      <c r="F100" s="2" t="n"/>
      <c r="G100" s="2" t="n"/>
      <c r="H100" s="2" t="n"/>
      <c r="I100" s="2" t="n"/>
    </row>
    <row r="101">
      <c r="A101" s="2" t="n"/>
      <c r="B101" s="2" t="n"/>
      <c r="C101" s="2" t="n"/>
      <c r="D101" s="2" t="n"/>
      <c r="E101" s="41" t="n"/>
      <c r="F101" s="2" t="n"/>
      <c r="G101" s="2" t="n"/>
      <c r="H101" s="2" t="n"/>
      <c r="I101" s="2" t="n"/>
    </row>
    <row r="102">
      <c r="A102" s="2" t="n"/>
      <c r="B102" s="2" t="n"/>
      <c r="C102" s="2" t="n"/>
      <c r="D102" s="2" t="n"/>
      <c r="E102" s="41" t="n"/>
      <c r="F102" s="2" t="n"/>
      <c r="G102" s="2" t="n"/>
      <c r="H102" s="2" t="n"/>
      <c r="I102" s="2" t="n"/>
    </row>
    <row r="103">
      <c r="A103" s="2" t="n"/>
      <c r="B103" s="2" t="n"/>
      <c r="C103" s="2" t="n"/>
      <c r="D103" s="2" t="n"/>
      <c r="E103" s="41" t="n"/>
      <c r="F103" s="2" t="n"/>
      <c r="G103" s="2" t="n"/>
      <c r="H103" s="2" t="n"/>
      <c r="I103" s="2" t="n"/>
    </row>
    <row r="104">
      <c r="A104" s="2" t="n"/>
      <c r="B104" s="2" t="n"/>
      <c r="C104" s="2" t="n"/>
      <c r="D104" s="2" t="n"/>
      <c r="E104" s="41" t="n"/>
      <c r="F104" s="2" t="n"/>
      <c r="G104" s="2" t="n"/>
      <c r="H104" s="2" t="n"/>
      <c r="I104" s="2" t="n"/>
    </row>
    <row r="105">
      <c r="A105" s="2" t="n"/>
      <c r="B105" s="2" t="n"/>
      <c r="C105" s="2" t="n"/>
      <c r="D105" s="2" t="n"/>
      <c r="E105" s="41" t="n"/>
      <c r="F105" s="2" t="n"/>
      <c r="G105" s="2" t="n"/>
      <c r="H105" s="2" t="n"/>
      <c r="I105" s="2" t="n"/>
    </row>
    <row r="106">
      <c r="A106" s="2" t="n"/>
      <c r="B106" s="2" t="n"/>
      <c r="C106" s="2" t="n"/>
      <c r="D106" s="2" t="n"/>
      <c r="E106" s="41" t="n"/>
      <c r="F106" s="2" t="n"/>
      <c r="G106" s="2" t="n"/>
      <c r="H106" s="2" t="n"/>
      <c r="I106" s="2" t="n"/>
    </row>
    <row r="107">
      <c r="A107" s="2" t="n"/>
      <c r="B107" s="2" t="n"/>
      <c r="C107" s="2" t="n"/>
      <c r="D107" s="2" t="n"/>
      <c r="E107" s="41" t="n"/>
      <c r="F107" s="2" t="n"/>
      <c r="G107" s="2" t="n"/>
      <c r="H107" s="2" t="n"/>
      <c r="I107" s="2" t="n"/>
    </row>
    <row r="108">
      <c r="A108" s="2" t="n"/>
      <c r="B108" s="2" t="n"/>
      <c r="C108" s="2" t="n"/>
      <c r="D108" s="2" t="n"/>
      <c r="E108" s="41" t="n"/>
      <c r="F108" s="2" t="n"/>
      <c r="G108" s="2" t="n"/>
      <c r="H108" s="2" t="n"/>
      <c r="I108" s="2" t="n"/>
    </row>
    <row r="109">
      <c r="A109" s="2" t="n"/>
      <c r="B109" s="2" t="n"/>
      <c r="C109" s="2" t="n"/>
      <c r="D109" s="2" t="n"/>
      <c r="E109" s="41" t="n"/>
      <c r="F109" s="2" t="n"/>
      <c r="G109" s="2" t="n"/>
      <c r="H109" s="2" t="n"/>
      <c r="I109" s="2" t="n"/>
    </row>
    <row r="110">
      <c r="A110" s="2" t="n"/>
      <c r="B110" s="2" t="n"/>
      <c r="C110" s="2" t="n"/>
      <c r="D110" s="2" t="n"/>
      <c r="E110" s="41" t="n"/>
      <c r="F110" s="2" t="n"/>
      <c r="G110" s="2" t="n"/>
      <c r="H110" s="2" t="n"/>
      <c r="I110" s="2" t="n"/>
    </row>
    <row r="111">
      <c r="A111" s="2" t="n"/>
      <c r="B111" s="2" t="n"/>
      <c r="C111" s="2" t="n"/>
      <c r="D111" s="2" t="n"/>
      <c r="E111" s="41" t="n"/>
      <c r="F111" s="2" t="n"/>
      <c r="G111" s="2" t="n"/>
      <c r="H111" s="2" t="n"/>
      <c r="I111" s="2" t="n"/>
    </row>
    <row r="112">
      <c r="A112" s="2" t="n"/>
      <c r="B112" s="2" t="n"/>
      <c r="C112" s="2" t="n"/>
      <c r="D112" s="2" t="n"/>
      <c r="E112" s="41" t="n"/>
      <c r="F112" s="2" t="n"/>
      <c r="G112" s="2" t="n"/>
      <c r="H112" s="2" t="n"/>
      <c r="I112" s="2" t="n"/>
    </row>
    <row r="113">
      <c r="A113" s="2" t="n"/>
      <c r="B113" s="2" t="n"/>
      <c r="C113" s="2" t="n"/>
      <c r="D113" s="2" t="n"/>
      <c r="E113" s="41" t="n"/>
      <c r="F113" s="2" t="n"/>
      <c r="G113" s="2" t="n"/>
      <c r="H113" s="2" t="n"/>
      <c r="I113" s="2" t="n"/>
    </row>
    <row r="114">
      <c r="A114" s="2" t="n"/>
      <c r="B114" s="2" t="n"/>
      <c r="C114" s="2" t="n"/>
      <c r="D114" s="2" t="n"/>
      <c r="E114" s="41" t="n"/>
      <c r="F114" s="2" t="n"/>
      <c r="G114" s="2" t="n"/>
      <c r="H114" s="2" t="n"/>
      <c r="I114" s="2" t="n"/>
    </row>
    <row r="115">
      <c r="A115" s="2" t="n"/>
      <c r="B115" s="2" t="n"/>
      <c r="C115" s="2" t="n"/>
      <c r="D115" s="2" t="n"/>
      <c r="E115" s="41" t="n"/>
      <c r="F115" s="2" t="n"/>
      <c r="G115" s="2" t="n"/>
      <c r="H115" s="2" t="n"/>
      <c r="I115" s="2" t="n"/>
    </row>
    <row r="116">
      <c r="A116" s="2" t="n"/>
      <c r="B116" s="2" t="n"/>
      <c r="C116" s="2" t="n"/>
      <c r="D116" s="2" t="n"/>
      <c r="E116" s="41" t="n"/>
      <c r="F116" s="2" t="n"/>
      <c r="G116" s="2" t="n"/>
      <c r="H116" s="2" t="n"/>
      <c r="I116" s="2" t="n"/>
    </row>
    <row r="117">
      <c r="A117" s="2" t="n"/>
      <c r="B117" s="2" t="n"/>
      <c r="C117" s="2" t="n"/>
      <c r="D117" s="2" t="n"/>
      <c r="E117" s="41" t="n"/>
      <c r="F117" s="2" t="n"/>
      <c r="G117" s="2" t="n"/>
      <c r="H117" s="2" t="n"/>
      <c r="I117" s="2" t="n"/>
    </row>
    <row r="118">
      <c r="A118" s="2" t="n"/>
      <c r="B118" s="2" t="n"/>
      <c r="C118" s="2" t="n"/>
      <c r="D118" s="2" t="n"/>
      <c r="E118" s="41" t="n"/>
      <c r="F118" s="2" t="n"/>
      <c r="G118" s="2" t="n"/>
      <c r="H118" s="2" t="n"/>
      <c r="I118" s="2" t="n"/>
    </row>
    <row r="119">
      <c r="A119" s="2" t="n"/>
      <c r="B119" s="2" t="n"/>
      <c r="C119" s="2" t="n"/>
      <c r="D119" s="2" t="n"/>
      <c r="E119" s="41" t="n"/>
      <c r="F119" s="2" t="n"/>
      <c r="G119" s="2" t="n"/>
      <c r="H119" s="2" t="n"/>
      <c r="I119" s="2" t="n"/>
    </row>
    <row r="120">
      <c r="A120" s="2" t="n"/>
      <c r="B120" s="2" t="n"/>
      <c r="C120" s="2" t="n"/>
      <c r="D120" s="2" t="n"/>
      <c r="E120" s="41" t="n"/>
      <c r="F120" s="2" t="n"/>
      <c r="G120" s="2" t="n"/>
      <c r="H120" s="2" t="n"/>
      <c r="I120" s="2" t="n"/>
    </row>
    <row r="121">
      <c r="A121" s="2" t="n"/>
      <c r="B121" s="2" t="n"/>
      <c r="C121" s="2" t="n"/>
      <c r="D121" s="2" t="n"/>
      <c r="E121" s="41" t="n"/>
      <c r="F121" s="2" t="n"/>
      <c r="G121" s="2" t="n"/>
      <c r="H121" s="2" t="n"/>
      <c r="I121" s="2" t="n"/>
    </row>
    <row r="122">
      <c r="A122" s="2" t="n"/>
      <c r="B122" s="2" t="n"/>
      <c r="C122" s="2" t="n"/>
      <c r="D122" s="2" t="n"/>
      <c r="E122" s="41" t="n"/>
      <c r="F122" s="2" t="n"/>
      <c r="G122" s="2" t="n"/>
      <c r="H122" s="2" t="n"/>
      <c r="I122" s="2" t="n"/>
    </row>
    <row r="123">
      <c r="A123" s="2" t="n"/>
      <c r="B123" s="2" t="n"/>
      <c r="C123" s="2" t="n"/>
      <c r="D123" s="2" t="n"/>
      <c r="E123" s="41" t="n"/>
      <c r="F123" s="2" t="n"/>
      <c r="G123" s="2" t="n"/>
      <c r="H123" s="2" t="n"/>
      <c r="I123" s="2" t="n"/>
    </row>
    <row r="124">
      <c r="A124" s="2" t="n"/>
      <c r="B124" s="2" t="n"/>
      <c r="C124" s="2" t="n"/>
      <c r="D124" s="2" t="n"/>
      <c r="E124" s="41" t="n"/>
      <c r="F124" s="2" t="n"/>
      <c r="G124" s="2" t="n"/>
      <c r="H124" s="2" t="n"/>
      <c r="I124" s="2" t="n"/>
    </row>
    <row r="125">
      <c r="A125" s="2" t="n"/>
      <c r="B125" s="2" t="n"/>
      <c r="C125" s="2" t="n"/>
      <c r="D125" s="2" t="n"/>
      <c r="E125" s="41" t="n"/>
      <c r="F125" s="2" t="n"/>
      <c r="G125" s="2" t="n"/>
      <c r="H125" s="2" t="n"/>
      <c r="I125" s="2" t="n"/>
    </row>
    <row r="126">
      <c r="A126" s="2" t="n"/>
      <c r="B126" s="2" t="n"/>
      <c r="C126" s="2" t="n"/>
      <c r="D126" s="2" t="n"/>
      <c r="E126" s="41" t="n"/>
      <c r="F126" s="2" t="n"/>
      <c r="G126" s="2" t="n"/>
      <c r="H126" s="2" t="n"/>
      <c r="I126" s="2" t="n"/>
    </row>
    <row r="127">
      <c r="A127" s="2" t="n"/>
      <c r="B127" s="2" t="n"/>
      <c r="C127" s="2" t="n"/>
      <c r="D127" s="2" t="n"/>
      <c r="E127" s="41" t="n"/>
      <c r="F127" s="2" t="n"/>
      <c r="G127" s="2" t="n"/>
      <c r="H127" s="2" t="n"/>
      <c r="I127" s="2" t="n"/>
    </row>
    <row r="128">
      <c r="A128" s="2" t="n"/>
      <c r="B128" s="2" t="n"/>
      <c r="C128" s="2" t="n"/>
      <c r="D128" s="2" t="n"/>
      <c r="E128" s="41" t="n"/>
      <c r="F128" s="2" t="n"/>
      <c r="G128" s="2" t="n"/>
      <c r="H128" s="2" t="n"/>
      <c r="I128" s="2" t="n"/>
    </row>
    <row r="129">
      <c r="A129" s="2" t="n"/>
      <c r="B129" s="2" t="n"/>
      <c r="C129" s="2" t="n"/>
      <c r="D129" s="2" t="n"/>
      <c r="E129" s="41" t="n"/>
      <c r="F129" s="2" t="n"/>
      <c r="G129" s="2" t="n"/>
      <c r="H129" s="2" t="n"/>
      <c r="I129" s="2" t="n"/>
    </row>
    <row r="130">
      <c r="A130" s="2" t="n"/>
      <c r="B130" s="2" t="n"/>
      <c r="C130" s="2" t="n"/>
      <c r="D130" s="2" t="n"/>
      <c r="E130" s="41" t="n"/>
      <c r="F130" s="2" t="n"/>
      <c r="G130" s="2" t="n"/>
      <c r="H130" s="2" t="n"/>
      <c r="I130" s="2" t="n"/>
    </row>
    <row r="131">
      <c r="A131" s="2" t="n"/>
      <c r="B131" s="2" t="n"/>
      <c r="C131" s="2" t="n"/>
      <c r="D131" s="2" t="n"/>
      <c r="E131" s="41" t="n"/>
      <c r="F131" s="2" t="n"/>
      <c r="G131" s="2" t="n"/>
      <c r="H131" s="2" t="n"/>
      <c r="I131" s="2" t="n"/>
    </row>
    <row r="132">
      <c r="A132" s="2" t="n"/>
      <c r="B132" s="2" t="n"/>
      <c r="C132" s="2" t="n"/>
      <c r="D132" s="2" t="n"/>
      <c r="E132" s="41" t="n"/>
      <c r="F132" s="2" t="n"/>
      <c r="G132" s="2" t="n"/>
      <c r="H132" s="2" t="n"/>
      <c r="I132" s="2" t="n"/>
    </row>
    <row r="133">
      <c r="A133" s="2" t="n"/>
      <c r="B133" s="2" t="n"/>
      <c r="C133" s="2" t="n"/>
      <c r="D133" s="2" t="n"/>
      <c r="E133" s="41" t="n"/>
      <c r="F133" s="2" t="n"/>
      <c r="G133" s="2" t="n"/>
      <c r="H133" s="2" t="n"/>
      <c r="I133" s="2" t="n"/>
    </row>
    <row r="134">
      <c r="A134" s="2" t="n"/>
      <c r="B134" s="2" t="n"/>
      <c r="C134" s="2" t="n"/>
      <c r="D134" s="2" t="n"/>
      <c r="E134" s="41" t="n"/>
      <c r="F134" s="2" t="n"/>
      <c r="G134" s="2" t="n"/>
      <c r="H134" s="2" t="n"/>
      <c r="I134" s="2" t="n"/>
    </row>
    <row r="135">
      <c r="A135" s="2" t="n"/>
      <c r="B135" s="2" t="n"/>
      <c r="C135" s="2" t="n"/>
      <c r="D135" s="2" t="n"/>
      <c r="E135" s="41" t="n"/>
      <c r="F135" s="2" t="n"/>
      <c r="G135" s="2" t="n"/>
      <c r="H135" s="2" t="n"/>
      <c r="I135" s="2" t="n"/>
    </row>
    <row r="136">
      <c r="A136" s="2" t="n"/>
      <c r="B136" s="2" t="n"/>
      <c r="C136" s="2" t="n"/>
      <c r="D136" s="2" t="n"/>
      <c r="E136" s="41" t="n"/>
      <c r="F136" s="2" t="n"/>
      <c r="G136" s="2" t="n"/>
      <c r="H136" s="2" t="n"/>
      <c r="I136" s="2" t="n"/>
    </row>
    <row r="137">
      <c r="A137" s="2" t="n"/>
      <c r="B137" s="2" t="n"/>
      <c r="C137" s="2" t="n"/>
      <c r="D137" s="2" t="n"/>
      <c r="E137" s="41" t="n"/>
      <c r="F137" s="2" t="n"/>
      <c r="G137" s="2" t="n"/>
      <c r="H137" s="2" t="n"/>
      <c r="I137" s="2" t="n"/>
    </row>
    <row r="138">
      <c r="A138" s="2" t="n"/>
      <c r="B138" s="2" t="n"/>
      <c r="C138" s="2" t="n"/>
      <c r="D138" s="2" t="n"/>
      <c r="E138" s="41" t="n"/>
      <c r="F138" s="2" t="n"/>
      <c r="G138" s="2" t="n"/>
      <c r="H138" s="2" t="n"/>
      <c r="I138" s="2" t="n"/>
    </row>
    <row r="139">
      <c r="A139" s="2" t="n"/>
      <c r="B139" s="2" t="n"/>
      <c r="C139" s="2" t="n"/>
      <c r="D139" s="2" t="n"/>
      <c r="E139" s="41" t="n"/>
      <c r="F139" s="2" t="n"/>
      <c r="G139" s="2" t="n"/>
      <c r="H139" s="2" t="n"/>
      <c r="I139" s="2" t="n"/>
    </row>
    <row r="140">
      <c r="A140" s="2" t="n"/>
      <c r="B140" s="2" t="n"/>
      <c r="C140" s="2" t="n"/>
      <c r="D140" s="2" t="n"/>
      <c r="E140" s="41" t="n"/>
      <c r="F140" s="2" t="n"/>
      <c r="G140" s="2" t="n"/>
      <c r="H140" s="2" t="n"/>
      <c r="I140" s="2" t="n"/>
    </row>
    <row r="141">
      <c r="A141" s="2" t="n"/>
      <c r="B141" s="2" t="n"/>
      <c r="C141" s="2" t="n"/>
      <c r="D141" s="2" t="n"/>
      <c r="E141" s="41" t="n"/>
      <c r="F141" s="2" t="n"/>
      <c r="G141" s="2" t="n"/>
      <c r="H141" s="2" t="n"/>
      <c r="I141" s="2" t="n"/>
    </row>
    <row r="142">
      <c r="A142" s="2" t="n"/>
      <c r="B142" s="2" t="n"/>
      <c r="C142" s="2" t="n"/>
      <c r="D142" s="2" t="n"/>
      <c r="E142" s="41" t="n"/>
      <c r="F142" s="2" t="n"/>
      <c r="G142" s="2" t="n"/>
      <c r="H142" s="2" t="n"/>
      <c r="I142" s="2" t="n"/>
    </row>
    <row r="143">
      <c r="A143" s="2" t="n"/>
      <c r="B143" s="2" t="n"/>
      <c r="C143" s="2" t="n"/>
      <c r="D143" s="2" t="n"/>
      <c r="E143" s="41" t="n"/>
      <c r="F143" s="2" t="n"/>
      <c r="G143" s="2" t="n"/>
      <c r="H143" s="2" t="n"/>
      <c r="I143" s="2" t="n"/>
    </row>
    <row r="144">
      <c r="A144" s="2" t="n"/>
      <c r="B144" s="2" t="n"/>
      <c r="C144" s="2" t="n"/>
      <c r="D144" s="2" t="n"/>
      <c r="E144" s="41" t="n"/>
      <c r="F144" s="2" t="n"/>
      <c r="G144" s="2" t="n"/>
      <c r="H144" s="2" t="n"/>
      <c r="I144" s="2" t="n"/>
    </row>
    <row r="145">
      <c r="A145" s="2" t="n"/>
      <c r="B145" s="2" t="n"/>
      <c r="C145" s="2" t="n"/>
      <c r="D145" s="2" t="n"/>
      <c r="E145" s="41" t="n"/>
      <c r="F145" s="2" t="n"/>
      <c r="G145" s="2" t="n"/>
      <c r="H145" s="2" t="n"/>
      <c r="I145" s="2" t="n"/>
    </row>
    <row r="146">
      <c r="A146" s="2" t="n"/>
      <c r="B146" s="2" t="n"/>
      <c r="C146" s="2" t="n"/>
      <c r="D146" s="2" t="n"/>
      <c r="E146" s="41" t="n"/>
      <c r="F146" s="2" t="n"/>
      <c r="G146" s="2" t="n"/>
      <c r="H146" s="2" t="n"/>
      <c r="I146" s="2" t="n"/>
    </row>
    <row r="147">
      <c r="A147" s="2" t="n"/>
      <c r="B147" s="2" t="n"/>
      <c r="C147" s="2" t="n"/>
      <c r="D147" s="2" t="n"/>
      <c r="E147" s="41" t="n"/>
      <c r="F147" s="2" t="n"/>
      <c r="G147" s="2" t="n"/>
      <c r="H147" s="2" t="n"/>
      <c r="I147" s="2" t="n"/>
    </row>
    <row r="148">
      <c r="A148" s="2" t="n"/>
      <c r="B148" s="2" t="n"/>
      <c r="C148" s="2" t="n"/>
      <c r="D148" s="2" t="n"/>
      <c r="E148" s="41" t="n"/>
      <c r="F148" s="2" t="n"/>
      <c r="G148" s="2" t="n"/>
      <c r="H148" s="2" t="n"/>
      <c r="I148" s="2" t="n"/>
    </row>
    <row r="149">
      <c r="A149" s="2" t="n"/>
      <c r="B149" s="2" t="n"/>
      <c r="C149" s="2" t="n"/>
      <c r="D149" s="2" t="n"/>
      <c r="E149" s="41" t="n"/>
      <c r="F149" s="2" t="n"/>
      <c r="G149" s="2" t="n"/>
      <c r="H149" s="2" t="n"/>
      <c r="I149" s="2" t="n"/>
    </row>
    <row r="150">
      <c r="A150" s="2" t="n"/>
      <c r="B150" s="2" t="n"/>
      <c r="C150" s="2" t="n"/>
      <c r="D150" s="2" t="n"/>
      <c r="E150" s="41" t="n"/>
      <c r="F150" s="2" t="n"/>
      <c r="G150" s="2" t="n"/>
      <c r="H150" s="2" t="n"/>
      <c r="I150" s="2" t="n"/>
    </row>
    <row r="151">
      <c r="A151" s="2" t="n"/>
      <c r="B151" s="2" t="n"/>
      <c r="C151" s="2" t="n"/>
      <c r="D151" s="2" t="n"/>
      <c r="E151" s="41" t="n"/>
      <c r="F151" s="2" t="n"/>
      <c r="G151" s="2" t="n"/>
      <c r="H151" s="2" t="n"/>
      <c r="I151" s="2" t="n"/>
    </row>
    <row r="152">
      <c r="A152" s="2" t="n"/>
      <c r="B152" s="2" t="n"/>
      <c r="C152" s="2" t="n"/>
      <c r="D152" s="2" t="n"/>
      <c r="E152" s="41" t="n"/>
      <c r="F152" s="2" t="n"/>
      <c r="G152" s="2" t="n"/>
      <c r="H152" s="2" t="n"/>
      <c r="I152" s="2" t="n"/>
    </row>
    <row r="153">
      <c r="A153" s="2" t="n"/>
      <c r="B153" s="2" t="n"/>
      <c r="C153" s="2" t="n"/>
      <c r="D153" s="2" t="n"/>
      <c r="E153" s="41" t="n"/>
      <c r="F153" s="2" t="n"/>
      <c r="G153" s="2" t="n"/>
      <c r="H153" s="2" t="n"/>
      <c r="I153" s="2" t="n"/>
    </row>
    <row r="154">
      <c r="A154" s="2" t="n"/>
      <c r="B154" s="2" t="n"/>
      <c r="C154" s="2" t="n"/>
      <c r="D154" s="2" t="n"/>
      <c r="E154" s="41" t="n"/>
      <c r="F154" s="2" t="n"/>
      <c r="G154" s="2" t="n"/>
      <c r="H154" s="2" t="n"/>
      <c r="I154" s="2" t="n"/>
    </row>
    <row r="155">
      <c r="A155" s="2" t="n"/>
      <c r="B155" s="2" t="n"/>
      <c r="C155" s="2" t="n"/>
      <c r="D155" s="2" t="n"/>
      <c r="E155" s="41" t="n"/>
      <c r="F155" s="2" t="n"/>
      <c r="G155" s="2" t="n"/>
      <c r="H155" s="2" t="n"/>
      <c r="I155" s="2" t="n"/>
    </row>
    <row r="156">
      <c r="A156" s="2" t="n"/>
      <c r="B156" s="2" t="n"/>
      <c r="C156" s="2" t="n"/>
      <c r="D156" s="2" t="n"/>
      <c r="E156" s="41" t="n"/>
      <c r="F156" s="2" t="n"/>
      <c r="G156" s="2" t="n"/>
      <c r="H156" s="2" t="n"/>
      <c r="I156" s="2" t="n"/>
    </row>
    <row r="157">
      <c r="A157" s="2" t="n"/>
      <c r="B157" s="2" t="n"/>
      <c r="C157" s="2" t="n"/>
      <c r="D157" s="2" t="n"/>
      <c r="E157" s="41" t="n"/>
      <c r="F157" s="2" t="n"/>
      <c r="G157" s="2" t="n"/>
      <c r="H157" s="2" t="n"/>
      <c r="I157" s="2" t="n"/>
    </row>
    <row r="158">
      <c r="A158" s="2" t="n"/>
      <c r="B158" s="2" t="n"/>
      <c r="C158" s="2" t="n"/>
      <c r="D158" s="2" t="n"/>
      <c r="E158" s="41" t="n"/>
      <c r="F158" s="2" t="n"/>
      <c r="G158" s="2" t="n"/>
      <c r="H158" s="2" t="n"/>
      <c r="I158" s="2" t="n"/>
    </row>
    <row r="159">
      <c r="A159" s="2" t="n"/>
      <c r="B159" s="2" t="n"/>
      <c r="C159" s="2" t="n"/>
      <c r="D159" s="2" t="n"/>
      <c r="E159" s="41" t="n"/>
      <c r="F159" s="2" t="n"/>
      <c r="G159" s="2" t="n"/>
      <c r="H159" s="2" t="n"/>
      <c r="I159" s="2" t="n"/>
    </row>
    <row r="160">
      <c r="A160" s="2" t="n"/>
      <c r="B160" s="2" t="n"/>
      <c r="C160" s="2" t="n"/>
      <c r="D160" s="2" t="n"/>
      <c r="E160" s="41" t="n"/>
      <c r="F160" s="2" t="n"/>
      <c r="G160" s="2" t="n"/>
      <c r="H160" s="2" t="n"/>
      <c r="I160" s="2" t="n"/>
    </row>
    <row r="161">
      <c r="A161" s="2" t="n"/>
      <c r="B161" s="2" t="n"/>
      <c r="C161" s="2" t="n"/>
      <c r="D161" s="2" t="n"/>
      <c r="E161" s="41" t="n"/>
      <c r="F161" s="2" t="n"/>
      <c r="G161" s="2" t="n"/>
      <c r="H161" s="2" t="n"/>
      <c r="I161" s="2" t="n"/>
    </row>
    <row r="162">
      <c r="A162" s="2" t="n"/>
      <c r="B162" s="2" t="n"/>
      <c r="C162" s="2" t="n"/>
      <c r="D162" s="2" t="n"/>
      <c r="E162" s="41" t="n"/>
      <c r="F162" s="2" t="n"/>
      <c r="G162" s="2" t="n"/>
      <c r="H162" s="2" t="n"/>
      <c r="I162" s="2" t="n"/>
    </row>
    <row r="163">
      <c r="A163" s="2" t="n"/>
      <c r="B163" s="2" t="n"/>
      <c r="C163" s="2" t="n"/>
      <c r="D163" s="2" t="n"/>
      <c r="E163" s="41" t="n"/>
      <c r="F163" s="2" t="n"/>
      <c r="G163" s="2" t="n"/>
      <c r="H163" s="2" t="n"/>
      <c r="I163" s="2" t="n"/>
    </row>
    <row r="164">
      <c r="A164" s="2" t="n"/>
      <c r="B164" s="2" t="n"/>
      <c r="C164" s="2" t="n"/>
      <c r="D164" s="2" t="n"/>
      <c r="E164" s="41" t="n"/>
      <c r="F164" s="2" t="n"/>
      <c r="G164" s="2" t="n"/>
      <c r="H164" s="2" t="n"/>
      <c r="I164" s="2" t="n"/>
    </row>
    <row r="165">
      <c r="A165" s="2" t="n"/>
      <c r="B165" s="2" t="n"/>
      <c r="C165" s="2" t="n"/>
      <c r="D165" s="2" t="n"/>
      <c r="E165" s="41" t="n"/>
      <c r="F165" s="2" t="n"/>
      <c r="G165" s="2" t="n"/>
      <c r="H165" s="2" t="n"/>
      <c r="I165" s="2" t="n"/>
    </row>
    <row r="166">
      <c r="A166" s="2" t="n"/>
      <c r="B166" s="2" t="n"/>
      <c r="C166" s="2" t="n"/>
      <c r="D166" s="2" t="n"/>
      <c r="E166" s="41" t="n"/>
      <c r="F166" s="2" t="n"/>
      <c r="G166" s="2" t="n"/>
      <c r="H166" s="2" t="n"/>
      <c r="I166" s="2" t="n"/>
    </row>
    <row r="167">
      <c r="A167" s="2" t="n"/>
      <c r="B167" s="2" t="n"/>
      <c r="C167" s="2" t="n"/>
      <c r="D167" s="2" t="n"/>
      <c r="E167" s="41" t="n"/>
      <c r="F167" s="2" t="n"/>
      <c r="G167" s="2" t="n"/>
      <c r="H167" s="2" t="n"/>
      <c r="I167" s="2" t="n"/>
    </row>
    <row r="168">
      <c r="A168" s="2" t="n"/>
      <c r="B168" s="2" t="n"/>
      <c r="C168" s="2" t="n"/>
      <c r="D168" s="2" t="n"/>
      <c r="E168" s="41" t="n"/>
      <c r="F168" s="2" t="n"/>
      <c r="G168" s="2" t="n"/>
      <c r="H168" s="2" t="n"/>
      <c r="I168" s="2" t="n"/>
    </row>
    <row r="169">
      <c r="A169" s="2" t="n"/>
      <c r="B169" s="2" t="n"/>
      <c r="C169" s="2" t="n"/>
      <c r="D169" s="2" t="n"/>
      <c r="E169" s="41" t="n"/>
      <c r="F169" s="2" t="n"/>
      <c r="G169" s="2" t="n"/>
      <c r="H169" s="2" t="n"/>
      <c r="I169" s="2" t="n"/>
    </row>
    <row r="170">
      <c r="A170" s="2" t="n"/>
      <c r="B170" s="2" t="n"/>
      <c r="C170" s="2" t="n"/>
      <c r="D170" s="2" t="n"/>
      <c r="E170" s="41" t="n"/>
      <c r="F170" s="2" t="n"/>
      <c r="G170" s="2" t="n"/>
      <c r="H170" s="2" t="n"/>
      <c r="I170" s="2" t="n"/>
    </row>
    <row r="171">
      <c r="A171" s="2" t="n"/>
      <c r="B171" s="2" t="n"/>
      <c r="C171" s="2" t="n"/>
      <c r="D171" s="2" t="n"/>
      <c r="E171" s="41" t="n"/>
      <c r="F171" s="2" t="n"/>
      <c r="G171" s="2" t="n"/>
      <c r="H171" s="2" t="n"/>
      <c r="I171" s="2" t="n"/>
    </row>
    <row r="172">
      <c r="A172" s="2" t="n"/>
      <c r="B172" s="2" t="n"/>
      <c r="C172" s="2" t="n"/>
      <c r="D172" s="2" t="n"/>
      <c r="E172" s="41" t="n"/>
      <c r="F172" s="2" t="n"/>
      <c r="G172" s="2" t="n"/>
      <c r="H172" s="2" t="n"/>
      <c r="I172" s="2" t="n"/>
    </row>
    <row r="173">
      <c r="A173" s="2" t="n"/>
      <c r="B173" s="2" t="n"/>
      <c r="C173" s="2" t="n"/>
      <c r="D173" s="2" t="n"/>
      <c r="E173" s="41" t="n"/>
      <c r="F173" s="2" t="n"/>
      <c r="G173" s="2" t="n"/>
      <c r="H173" s="2" t="n"/>
      <c r="I173" s="2" t="n"/>
    </row>
    <row r="174">
      <c r="A174" s="2" t="n"/>
      <c r="B174" s="2" t="n"/>
      <c r="C174" s="2" t="n"/>
      <c r="D174" s="2" t="n"/>
      <c r="E174" s="41" t="n"/>
      <c r="F174" s="2" t="n"/>
      <c r="G174" s="2" t="n"/>
      <c r="H174" s="2" t="n"/>
      <c r="I174" s="2" t="n"/>
    </row>
    <row r="175">
      <c r="A175" s="2" t="n"/>
      <c r="B175" s="2" t="n"/>
      <c r="C175" s="2" t="n"/>
      <c r="D175" s="2" t="n"/>
      <c r="E175" s="41" t="n"/>
      <c r="F175" s="2" t="n"/>
      <c r="G175" s="2" t="n"/>
      <c r="H175" s="2" t="n"/>
      <c r="I175" s="2" t="n"/>
    </row>
    <row r="176">
      <c r="A176" s="2" t="n"/>
      <c r="B176" s="2" t="n"/>
      <c r="C176" s="2" t="n"/>
      <c r="D176" s="2" t="n"/>
      <c r="E176" s="41" t="n"/>
      <c r="F176" s="2" t="n"/>
      <c r="G176" s="2" t="n"/>
      <c r="H176" s="2" t="n"/>
      <c r="I176" s="2" t="n"/>
    </row>
    <row r="177">
      <c r="A177" s="2" t="n"/>
      <c r="B177" s="2" t="n"/>
      <c r="C177" s="2" t="n"/>
      <c r="D177" s="2" t="n"/>
      <c r="E177" s="41" t="n"/>
      <c r="F177" s="2" t="n"/>
      <c r="G177" s="2" t="n"/>
      <c r="H177" s="2" t="n"/>
      <c r="I177" s="2" t="n"/>
    </row>
    <row r="178">
      <c r="A178" s="2" t="n"/>
      <c r="B178" s="2" t="n"/>
      <c r="C178" s="2" t="n"/>
      <c r="D178" s="2" t="n"/>
      <c r="E178" s="41" t="n"/>
      <c r="F178" s="2" t="n"/>
      <c r="G178" s="2" t="n"/>
      <c r="H178" s="2" t="n"/>
      <c r="I178" s="2" t="n"/>
    </row>
    <row r="179">
      <c r="A179" s="2" t="n"/>
      <c r="B179" s="2" t="n"/>
      <c r="C179" s="2" t="n"/>
      <c r="D179" s="2" t="n"/>
      <c r="E179" s="41" t="n"/>
      <c r="F179" s="2" t="n"/>
      <c r="G179" s="2" t="n"/>
      <c r="H179" s="2" t="n"/>
      <c r="I179" s="2" t="n"/>
    </row>
    <row r="180">
      <c r="A180" s="2" t="n"/>
      <c r="B180" s="2" t="n"/>
      <c r="C180" s="2" t="n"/>
      <c r="D180" s="2" t="n"/>
      <c r="E180" s="41" t="n"/>
      <c r="F180" s="2" t="n"/>
      <c r="G180" s="2" t="n"/>
      <c r="H180" s="2" t="n"/>
      <c r="I180" s="2" t="n"/>
    </row>
    <row r="181">
      <c r="A181" s="2" t="n"/>
      <c r="B181" s="2" t="n"/>
      <c r="C181" s="2" t="n"/>
      <c r="D181" s="2" t="n"/>
      <c r="E181" s="41" t="n"/>
      <c r="F181" s="2" t="n"/>
      <c r="G181" s="2" t="n"/>
      <c r="H181" s="2" t="n"/>
      <c r="I181" s="2" t="n"/>
    </row>
    <row r="182">
      <c r="A182" s="2" t="n"/>
      <c r="B182" s="2" t="n"/>
      <c r="C182" s="2" t="n"/>
      <c r="D182" s="2" t="n"/>
      <c r="E182" s="41" t="n"/>
      <c r="F182" s="2" t="n"/>
      <c r="G182" s="2" t="n"/>
      <c r="H182" s="2" t="n"/>
      <c r="I182" s="2" t="n"/>
    </row>
    <row r="183">
      <c r="A183" s="2" t="n"/>
      <c r="B183" s="2" t="n"/>
      <c r="C183" s="2" t="n"/>
      <c r="D183" s="2" t="n"/>
      <c r="E183" s="41" t="n"/>
      <c r="F183" s="2" t="n"/>
      <c r="G183" s="2" t="n"/>
      <c r="H183" s="2" t="n"/>
      <c r="I183" s="2" t="n"/>
    </row>
    <row r="184">
      <c r="A184" s="2" t="n"/>
      <c r="B184" s="2" t="n"/>
      <c r="C184" s="2" t="n"/>
      <c r="D184" s="2" t="n"/>
      <c r="E184" s="41" t="n"/>
      <c r="F184" s="2" t="n"/>
      <c r="G184" s="2" t="n"/>
      <c r="H184" s="2" t="n"/>
      <c r="I184" s="2" t="n"/>
    </row>
    <row r="185">
      <c r="A185" s="2" t="n"/>
      <c r="B185" s="2" t="n"/>
      <c r="C185" s="2" t="n"/>
      <c r="D185" s="2" t="n"/>
      <c r="E185" s="41" t="n"/>
      <c r="F185" s="2" t="n"/>
      <c r="G185" s="2" t="n"/>
      <c r="H185" s="2" t="n"/>
      <c r="I185" s="2" t="n"/>
    </row>
    <row r="186">
      <c r="A186" s="2" t="n"/>
      <c r="B186" s="2" t="n"/>
      <c r="C186" s="2" t="n"/>
      <c r="D186" s="2" t="n"/>
      <c r="E186" s="41" t="n"/>
      <c r="F186" s="2" t="n"/>
      <c r="G186" s="2" t="n"/>
      <c r="H186" s="2" t="n"/>
      <c r="I186" s="2" t="n"/>
    </row>
    <row r="187">
      <c r="A187" s="2" t="n"/>
      <c r="B187" s="2" t="n"/>
      <c r="C187" s="2" t="n"/>
      <c r="D187" s="2" t="n"/>
      <c r="E187" s="41" t="n"/>
      <c r="F187" s="2" t="n"/>
      <c r="G187" s="2" t="n"/>
      <c r="H187" s="2" t="n"/>
      <c r="I187" s="2" t="n"/>
    </row>
    <row r="188">
      <c r="A188" s="2" t="n"/>
      <c r="B188" s="2" t="n"/>
      <c r="C188" s="2" t="n"/>
      <c r="D188" s="2" t="n"/>
      <c r="E188" s="41" t="n"/>
      <c r="F188" s="2" t="n"/>
      <c r="G188" s="2" t="n"/>
      <c r="H188" s="2" t="n"/>
      <c r="I188" s="2" t="n"/>
    </row>
    <row r="189">
      <c r="A189" s="2" t="n"/>
      <c r="B189" s="2" t="n"/>
      <c r="C189" s="2" t="n"/>
      <c r="D189" s="2" t="n"/>
      <c r="E189" s="41" t="n"/>
      <c r="F189" s="2" t="n"/>
      <c r="G189" s="2" t="n"/>
      <c r="H189" s="2" t="n"/>
      <c r="I189" s="2" t="n"/>
    </row>
    <row r="190">
      <c r="A190" s="2" t="n"/>
      <c r="B190" s="2" t="n"/>
      <c r="C190" s="2" t="n"/>
      <c r="D190" s="2" t="n"/>
      <c r="E190" s="41" t="n"/>
      <c r="F190" s="2" t="n"/>
      <c r="G190" s="2" t="n"/>
      <c r="H190" s="2" t="n"/>
      <c r="I190" s="2" t="n"/>
    </row>
    <row r="191">
      <c r="A191" s="2" t="n"/>
      <c r="B191" s="2" t="n"/>
      <c r="C191" s="2" t="n"/>
      <c r="D191" s="2" t="n"/>
      <c r="E191" s="41" t="n"/>
      <c r="F191" s="2" t="n"/>
      <c r="G191" s="2" t="n"/>
      <c r="H191" s="2" t="n"/>
      <c r="I191" s="2" t="n"/>
    </row>
    <row r="192">
      <c r="A192" s="2" t="n"/>
      <c r="B192" s="2" t="n"/>
      <c r="C192" s="2" t="n"/>
      <c r="D192" s="2" t="n"/>
      <c r="E192" s="41" t="n"/>
      <c r="F192" s="2" t="n"/>
      <c r="G192" s="2" t="n"/>
      <c r="H192" s="2" t="n"/>
      <c r="I192" s="2" t="n"/>
    </row>
    <row r="193">
      <c r="A193" s="2" t="n"/>
      <c r="B193" s="2" t="n"/>
      <c r="C193" s="2" t="n"/>
      <c r="D193" s="2" t="n"/>
      <c r="E193" s="41" t="n"/>
      <c r="F193" s="2" t="n"/>
      <c r="G193" s="2" t="n"/>
      <c r="H193" s="2" t="n"/>
      <c r="I193" s="2" t="n"/>
    </row>
    <row r="194">
      <c r="A194" s="2" t="n"/>
      <c r="B194" s="2" t="n"/>
      <c r="C194" s="2" t="n"/>
      <c r="D194" s="2" t="n"/>
      <c r="E194" s="41" t="n"/>
      <c r="F194" s="2" t="n"/>
      <c r="G194" s="2" t="n"/>
      <c r="H194" s="2" t="n"/>
      <c r="I194" s="2" t="n"/>
    </row>
    <row r="195">
      <c r="A195" s="2" t="n"/>
      <c r="B195" s="2" t="n"/>
      <c r="C195" s="2" t="n"/>
      <c r="D195" s="2" t="n"/>
      <c r="E195" s="41" t="n"/>
      <c r="F195" s="2" t="n"/>
      <c r="G195" s="2" t="n"/>
      <c r="H195" s="2" t="n"/>
      <c r="I195" s="2" t="n"/>
    </row>
    <row r="196">
      <c r="A196" s="2" t="n"/>
      <c r="B196" s="2" t="n"/>
      <c r="C196" s="2" t="n"/>
      <c r="D196" s="2" t="n"/>
      <c r="E196" s="41" t="n"/>
      <c r="F196" s="2" t="n"/>
      <c r="G196" s="2" t="n"/>
      <c r="H196" s="2" t="n"/>
      <c r="I196" s="2" t="n"/>
    </row>
    <row r="197">
      <c r="A197" s="2" t="n"/>
      <c r="B197" s="2" t="n"/>
      <c r="C197" s="2" t="n"/>
      <c r="D197" s="2" t="n"/>
      <c r="E197" s="41" t="n"/>
      <c r="F197" s="2" t="n"/>
      <c r="G197" s="2" t="n"/>
      <c r="H197" s="2" t="n"/>
      <c r="I197" s="2" t="n"/>
    </row>
    <row r="198">
      <c r="A198" s="2" t="n"/>
      <c r="B198" s="2" t="n"/>
      <c r="C198" s="2" t="n"/>
      <c r="D198" s="2" t="n"/>
      <c r="E198" s="41" t="n"/>
      <c r="F198" s="2" t="n"/>
      <c r="G198" s="2" t="n"/>
      <c r="H198" s="2" t="n"/>
      <c r="I198" s="2" t="n"/>
    </row>
    <row r="199">
      <c r="A199" s="2" t="n"/>
      <c r="B199" s="2" t="n"/>
      <c r="C199" s="2" t="n"/>
      <c r="D199" s="2" t="n"/>
      <c r="E199" s="41" t="n"/>
      <c r="F199" s="2" t="n"/>
      <c r="G199" s="2" t="n"/>
      <c r="H199" s="2" t="n"/>
      <c r="I199" s="2" t="n"/>
    </row>
    <row r="200">
      <c r="A200" s="2" t="n"/>
      <c r="B200" s="2" t="n"/>
      <c r="C200" s="2" t="n"/>
      <c r="D200" s="2" t="n"/>
      <c r="E200" s="41" t="n"/>
      <c r="F200" s="2" t="n"/>
      <c r="G200" s="2" t="n"/>
      <c r="H200" s="2" t="n"/>
      <c r="I200" s="2" t="n"/>
    </row>
    <row r="201">
      <c r="A201" s="2" t="n"/>
      <c r="B201" s="2" t="n"/>
      <c r="C201" s="2" t="n"/>
      <c r="D201" s="2" t="n"/>
      <c r="E201" s="41" t="n"/>
      <c r="F201" s="2" t="n"/>
      <c r="G201" s="2" t="n"/>
      <c r="H201" s="2" t="n"/>
      <c r="I201" s="2" t="n"/>
    </row>
    <row r="202">
      <c r="A202" s="2" t="n"/>
      <c r="B202" s="2" t="n"/>
      <c r="C202" s="2" t="n"/>
      <c r="D202" s="2" t="n"/>
      <c r="E202" s="41" t="n"/>
      <c r="F202" s="2" t="n"/>
      <c r="G202" s="2" t="n"/>
      <c r="H202" s="2" t="n"/>
      <c r="I202" s="2" t="n"/>
    </row>
    <row r="203">
      <c r="A203" s="2" t="n"/>
      <c r="B203" s="2" t="n"/>
      <c r="C203" s="2" t="n"/>
      <c r="D203" s="2" t="n"/>
      <c r="E203" s="41" t="n"/>
      <c r="F203" s="2" t="n"/>
      <c r="G203" s="2" t="n"/>
      <c r="H203" s="2" t="n"/>
      <c r="I203" s="2" t="n"/>
    </row>
    <row r="204">
      <c r="A204" s="2" t="n"/>
      <c r="B204" s="2" t="n"/>
      <c r="C204" s="2" t="n"/>
      <c r="D204" s="2" t="n"/>
      <c r="E204" s="41" t="n"/>
      <c r="F204" s="2" t="n"/>
      <c r="G204" s="2" t="n"/>
      <c r="H204" s="2" t="n"/>
      <c r="I204" s="2" t="n"/>
    </row>
    <row r="205">
      <c r="A205" s="2" t="n"/>
      <c r="B205" s="2" t="n"/>
      <c r="C205" s="2" t="n"/>
      <c r="D205" s="2" t="n"/>
      <c r="E205" s="41" t="n"/>
      <c r="F205" s="2" t="n"/>
      <c r="G205" s="2" t="n"/>
      <c r="H205" s="2" t="n"/>
      <c r="I205" s="2" t="n"/>
    </row>
    <row r="206">
      <c r="A206" s="2" t="n"/>
      <c r="B206" s="2" t="n"/>
      <c r="C206" s="2" t="n"/>
      <c r="D206" s="2" t="n"/>
      <c r="E206" s="41" t="n"/>
      <c r="F206" s="2" t="n"/>
      <c r="G206" s="2" t="n"/>
      <c r="H206" s="2" t="n"/>
      <c r="I206" s="2" t="n"/>
    </row>
    <row r="207">
      <c r="A207" s="2" t="n"/>
      <c r="B207" s="2" t="n"/>
      <c r="C207" s="2" t="n"/>
      <c r="D207" s="2" t="n"/>
      <c r="E207" s="41" t="n"/>
      <c r="F207" s="2" t="n"/>
      <c r="G207" s="2" t="n"/>
      <c r="H207" s="2" t="n"/>
      <c r="I207" s="2" t="n"/>
    </row>
    <row r="208">
      <c r="A208" s="2" t="n"/>
      <c r="B208" s="2" t="n"/>
      <c r="C208" s="2" t="n"/>
      <c r="D208" s="2" t="n"/>
      <c r="E208" s="41" t="n"/>
      <c r="F208" s="2" t="n"/>
      <c r="G208" s="2" t="n"/>
      <c r="H208" s="2" t="n"/>
      <c r="I208" s="2" t="n"/>
    </row>
    <row r="209">
      <c r="A209" s="2" t="n"/>
      <c r="B209" s="2" t="n"/>
      <c r="C209" s="2" t="n"/>
      <c r="D209" s="2" t="n"/>
      <c r="E209" s="41" t="n"/>
      <c r="F209" s="2" t="n"/>
      <c r="G209" s="2" t="n"/>
      <c r="H209" s="2" t="n"/>
      <c r="I209" s="2" t="n"/>
    </row>
    <row r="210">
      <c r="A210" s="2" t="n"/>
      <c r="B210" s="2" t="n"/>
      <c r="C210" s="2" t="n"/>
      <c r="D210" s="2" t="n"/>
      <c r="E210" s="41" t="n"/>
      <c r="F210" s="2" t="n"/>
      <c r="G210" s="2" t="n"/>
      <c r="H210" s="2" t="n"/>
      <c r="I210" s="2" t="n"/>
    </row>
    <row r="211">
      <c r="A211" s="2" t="n"/>
      <c r="B211" s="2" t="n"/>
      <c r="C211" s="2" t="n"/>
      <c r="D211" s="2" t="n"/>
      <c r="E211" s="41" t="n"/>
      <c r="F211" s="2" t="n"/>
      <c r="G211" s="2" t="n"/>
      <c r="H211" s="2" t="n"/>
      <c r="I211" s="2" t="n"/>
    </row>
    <row r="212">
      <c r="A212" s="2" t="n"/>
      <c r="B212" s="2" t="n"/>
      <c r="C212" s="2" t="n"/>
      <c r="D212" s="2" t="n"/>
      <c r="E212" s="41" t="n"/>
      <c r="F212" s="2" t="n"/>
      <c r="G212" s="2" t="n"/>
      <c r="H212" s="2" t="n"/>
      <c r="I212" s="2" t="n"/>
    </row>
    <row r="213">
      <c r="A213" s="2" t="n"/>
      <c r="B213" s="2" t="n"/>
      <c r="C213" s="2" t="n"/>
      <c r="D213" s="2" t="n"/>
      <c r="E213" s="41" t="n"/>
      <c r="F213" s="2" t="n"/>
      <c r="G213" s="2" t="n"/>
      <c r="H213" s="2" t="n"/>
      <c r="I213" s="2" t="n"/>
    </row>
    <row r="214">
      <c r="A214" s="2" t="n"/>
      <c r="B214" s="2" t="n"/>
      <c r="C214" s="2" t="n"/>
      <c r="D214" s="2" t="n"/>
      <c r="E214" s="41" t="n"/>
      <c r="F214" s="2" t="n"/>
      <c r="G214" s="2" t="n"/>
      <c r="H214" s="2" t="n"/>
      <c r="I214" s="2" t="n"/>
    </row>
    <row r="215">
      <c r="A215" s="2" t="n"/>
      <c r="B215" s="2" t="n"/>
      <c r="C215" s="2" t="n"/>
      <c r="D215" s="2" t="n"/>
      <c r="E215" s="41" t="n"/>
      <c r="F215" s="2" t="n"/>
      <c r="G215" s="2" t="n"/>
      <c r="H215" s="2" t="n"/>
      <c r="I215" s="2" t="n"/>
    </row>
    <row r="216">
      <c r="A216" s="2" t="n"/>
      <c r="B216" s="2" t="n"/>
      <c r="C216" s="2" t="n"/>
      <c r="D216" s="2" t="n"/>
      <c r="E216" s="41" t="n"/>
      <c r="F216" s="2" t="n"/>
      <c r="G216" s="2" t="n"/>
      <c r="H216" s="2" t="n"/>
      <c r="I216" s="2" t="n"/>
    </row>
    <row r="217">
      <c r="A217" s="2" t="n"/>
      <c r="B217" s="2" t="n"/>
      <c r="C217" s="2" t="n"/>
      <c r="D217" s="2" t="n"/>
      <c r="E217" s="41" t="n"/>
      <c r="F217" s="2" t="n"/>
      <c r="G217" s="2" t="n"/>
      <c r="H217" s="2" t="n"/>
      <c r="I217" s="2" t="n"/>
    </row>
    <row r="218">
      <c r="A218" s="2" t="n"/>
      <c r="B218" s="2" t="n"/>
      <c r="C218" s="2" t="n"/>
      <c r="D218" s="2" t="n"/>
      <c r="E218" s="41" t="n"/>
      <c r="F218" s="2" t="n"/>
      <c r="G218" s="2" t="n"/>
      <c r="H218" s="2" t="n"/>
      <c r="I218" s="2" t="n"/>
    </row>
    <row r="219">
      <c r="A219" s="2" t="n"/>
      <c r="B219" s="2" t="n"/>
      <c r="C219" s="2" t="n"/>
      <c r="D219" s="2" t="n"/>
      <c r="E219" s="41" t="n"/>
      <c r="F219" s="2" t="n"/>
      <c r="G219" s="2" t="n"/>
      <c r="H219" s="2" t="n"/>
      <c r="I219" s="2" t="n"/>
    </row>
    <row r="220">
      <c r="A220" s="2" t="n"/>
      <c r="B220" s="2" t="n"/>
      <c r="C220" s="2" t="n"/>
      <c r="D220" s="2" t="n"/>
      <c r="E220" s="41" t="n"/>
      <c r="F220" s="2" t="n"/>
      <c r="G220" s="2" t="n"/>
      <c r="H220" s="2" t="n"/>
      <c r="I220" s="2" t="n"/>
    </row>
    <row r="221">
      <c r="A221" s="2" t="n"/>
      <c r="B221" s="2" t="n"/>
      <c r="C221" s="2" t="n"/>
      <c r="D221" s="2" t="n"/>
      <c r="E221" s="41" t="n"/>
      <c r="F221" s="2" t="n"/>
      <c r="G221" s="2" t="n"/>
      <c r="H221" s="2" t="n"/>
      <c r="I221" s="2" t="n"/>
    </row>
    <row r="222">
      <c r="A222" s="2" t="n"/>
      <c r="B222" s="2" t="n"/>
      <c r="C222" s="2" t="n"/>
      <c r="D222" s="2" t="n"/>
      <c r="E222" s="41" t="n"/>
      <c r="F222" s="2" t="n"/>
      <c r="G222" s="2" t="n"/>
      <c r="H222" s="2" t="n"/>
      <c r="I222" s="2" t="n"/>
    </row>
    <row r="223">
      <c r="A223" s="2" t="n"/>
      <c r="B223" s="2" t="n"/>
      <c r="C223" s="2" t="n"/>
      <c r="D223" s="2" t="n"/>
      <c r="E223" s="41" t="n"/>
      <c r="F223" s="2" t="n"/>
      <c r="G223" s="2" t="n"/>
      <c r="H223" s="2" t="n"/>
      <c r="I223" s="2" t="n"/>
    </row>
    <row r="224">
      <c r="A224" s="2" t="n"/>
      <c r="B224" s="2" t="n"/>
      <c r="C224" s="2" t="n"/>
      <c r="D224" s="2" t="n"/>
      <c r="E224" s="41" t="n"/>
      <c r="F224" s="2" t="n"/>
      <c r="G224" s="2" t="n"/>
      <c r="H224" s="2" t="n"/>
      <c r="I224" s="2" t="n"/>
    </row>
    <row r="225">
      <c r="A225" s="2" t="n"/>
      <c r="B225" s="2" t="n"/>
      <c r="C225" s="2" t="n"/>
      <c r="D225" s="2" t="n"/>
      <c r="E225" s="41" t="n"/>
      <c r="F225" s="2" t="n"/>
      <c r="G225" s="2" t="n"/>
      <c r="H225" s="2" t="n"/>
      <c r="I225" s="2" t="n"/>
    </row>
    <row r="226">
      <c r="A226" s="2" t="n"/>
      <c r="B226" s="2" t="n"/>
      <c r="C226" s="2" t="n"/>
      <c r="D226" s="2" t="n"/>
      <c r="E226" s="41" t="n"/>
      <c r="F226" s="2" t="n"/>
      <c r="G226" s="2" t="n"/>
      <c r="H226" s="2" t="n"/>
      <c r="I226" s="2" t="n"/>
    </row>
    <row r="227">
      <c r="A227" s="2" t="n"/>
      <c r="B227" s="2" t="n"/>
      <c r="C227" s="2" t="n"/>
      <c r="D227" s="2" t="n"/>
      <c r="E227" s="41" t="n"/>
      <c r="F227" s="2" t="n"/>
      <c r="G227" s="2" t="n"/>
      <c r="H227" s="2" t="n"/>
      <c r="I227" s="2" t="n"/>
    </row>
    <row r="228">
      <c r="A228" s="2" t="n"/>
      <c r="B228" s="2" t="n"/>
      <c r="C228" s="2" t="n"/>
      <c r="D228" s="2" t="n"/>
      <c r="E228" s="41" t="n"/>
      <c r="F228" s="2" t="n"/>
      <c r="G228" s="2" t="n"/>
      <c r="H228" s="2" t="n"/>
      <c r="I228" s="2" t="n"/>
    </row>
    <row r="229">
      <c r="A229" s="2" t="n"/>
      <c r="B229" s="2" t="n"/>
      <c r="C229" s="2" t="n"/>
      <c r="D229" s="2" t="n"/>
      <c r="E229" s="41" t="n"/>
      <c r="F229" s="2" t="n"/>
      <c r="G229" s="2" t="n"/>
      <c r="H229" s="2" t="n"/>
      <c r="I229" s="2" t="n"/>
    </row>
    <row r="230">
      <c r="A230" s="2" t="n"/>
      <c r="B230" s="2" t="n"/>
      <c r="C230" s="2" t="n"/>
      <c r="D230" s="2" t="n"/>
      <c r="E230" s="41" t="n"/>
      <c r="F230" s="2" t="n"/>
      <c r="G230" s="2" t="n"/>
      <c r="H230" s="2" t="n"/>
      <c r="I230" s="2" t="n"/>
    </row>
    <row r="231">
      <c r="A231" s="2" t="n"/>
      <c r="B231" s="2" t="n"/>
      <c r="C231" s="2" t="n"/>
      <c r="D231" s="2" t="n"/>
      <c r="E231" s="41" t="n"/>
      <c r="F231" s="2" t="n"/>
      <c r="G231" s="2" t="n"/>
      <c r="H231" s="2" t="n"/>
      <c r="I231" s="2" t="n"/>
    </row>
    <row r="232">
      <c r="A232" s="2" t="n"/>
      <c r="B232" s="2" t="n"/>
      <c r="C232" s="2" t="n"/>
      <c r="D232" s="2" t="n"/>
      <c r="E232" s="41" t="n"/>
      <c r="F232" s="2" t="n"/>
      <c r="G232" s="2" t="n"/>
      <c r="H232" s="2" t="n"/>
      <c r="I232" s="2" t="n"/>
    </row>
    <row r="233">
      <c r="A233" s="2" t="n"/>
      <c r="B233" s="2" t="n"/>
      <c r="C233" s="2" t="n"/>
      <c r="D233" s="2" t="n"/>
      <c r="E233" s="41" t="n"/>
      <c r="F233" s="2" t="n"/>
      <c r="G233" s="2" t="n"/>
      <c r="H233" s="2" t="n"/>
      <c r="I233" s="2" t="n"/>
    </row>
    <row r="234">
      <c r="A234" s="2" t="n"/>
      <c r="B234" s="2" t="n"/>
      <c r="C234" s="2" t="n"/>
      <c r="D234" s="2" t="n"/>
      <c r="E234" s="41" t="n"/>
      <c r="F234" s="2" t="n"/>
      <c r="G234" s="2" t="n"/>
      <c r="H234" s="2" t="n"/>
      <c r="I234" s="2" t="n"/>
    </row>
    <row r="235">
      <c r="A235" s="2" t="n"/>
      <c r="B235" s="2" t="n"/>
      <c r="C235" s="2" t="n"/>
      <c r="D235" s="2" t="n"/>
      <c r="E235" s="41" t="n"/>
      <c r="F235" s="2" t="n"/>
      <c r="G235" s="2" t="n"/>
      <c r="H235" s="2" t="n"/>
      <c r="I235" s="2" t="n"/>
    </row>
    <row r="236">
      <c r="A236" s="2" t="n"/>
      <c r="B236" s="2" t="n"/>
      <c r="C236" s="2" t="n"/>
      <c r="D236" s="2" t="n"/>
      <c r="E236" s="41" t="n"/>
      <c r="F236" s="2" t="n"/>
      <c r="G236" s="2" t="n"/>
      <c r="H236" s="2" t="n"/>
      <c r="I236" s="2" t="n"/>
    </row>
    <row r="237">
      <c r="A237" s="2" t="n"/>
      <c r="B237" s="2" t="n"/>
      <c r="C237" s="2" t="n"/>
      <c r="D237" s="2" t="n"/>
      <c r="E237" s="41" t="n"/>
      <c r="F237" s="2" t="n"/>
      <c r="G237" s="2" t="n"/>
      <c r="H237" s="2" t="n"/>
      <c r="I237" s="2" t="n"/>
    </row>
    <row r="238">
      <c r="A238" s="2" t="n"/>
      <c r="B238" s="2" t="n"/>
      <c r="C238" s="2" t="n"/>
      <c r="D238" s="2" t="n"/>
      <c r="E238" s="41" t="n"/>
      <c r="F238" s="2" t="n"/>
      <c r="G238" s="2" t="n"/>
      <c r="H238" s="2" t="n"/>
      <c r="I238" s="2" t="n"/>
    </row>
    <row r="239">
      <c r="A239" s="2" t="n"/>
      <c r="B239" s="2" t="n"/>
      <c r="C239" s="2" t="n"/>
      <c r="D239" s="2" t="n"/>
      <c r="E239" s="41" t="n"/>
      <c r="F239" s="2" t="n"/>
      <c r="G239" s="2" t="n"/>
      <c r="H239" s="2" t="n"/>
      <c r="I239" s="2" t="n"/>
    </row>
    <row r="240">
      <c r="A240" s="2" t="n"/>
      <c r="B240" s="2" t="n"/>
      <c r="C240" s="2" t="n"/>
      <c r="D240" s="2" t="n"/>
      <c r="E240" s="41" t="n"/>
      <c r="F240" s="2" t="n"/>
      <c r="G240" s="2" t="n"/>
      <c r="H240" s="2" t="n"/>
      <c r="I240" s="2" t="n"/>
    </row>
    <row r="241">
      <c r="A241" s="2" t="n"/>
      <c r="B241" s="2" t="n"/>
      <c r="C241" s="2" t="n"/>
      <c r="D241" s="2" t="n"/>
      <c r="E241" s="41" t="n"/>
      <c r="F241" s="2" t="n"/>
      <c r="G241" s="2" t="n"/>
      <c r="H241" s="2" t="n"/>
      <c r="I241" s="2" t="n"/>
    </row>
    <row r="242">
      <c r="A242" s="2" t="n"/>
      <c r="B242" s="2" t="n"/>
      <c r="C242" s="2" t="n"/>
      <c r="D242" s="2" t="n"/>
      <c r="E242" s="41" t="n"/>
      <c r="F242" s="2" t="n"/>
      <c r="G242" s="2" t="n"/>
      <c r="H242" s="2" t="n"/>
      <c r="I242" s="2" t="n"/>
    </row>
    <row r="243">
      <c r="A243" s="2" t="n"/>
      <c r="B243" s="2" t="n"/>
      <c r="C243" s="2" t="n"/>
      <c r="D243" s="2" t="n"/>
      <c r="E243" s="41" t="n"/>
      <c r="F243" s="2" t="n"/>
      <c r="G243" s="2" t="n"/>
      <c r="H243" s="2" t="n"/>
      <c r="I243" s="2" t="n"/>
    </row>
    <row r="244">
      <c r="A244" s="2" t="n"/>
      <c r="B244" s="2" t="n"/>
      <c r="C244" s="2" t="n"/>
      <c r="D244" s="2" t="n"/>
      <c r="E244" s="41" t="n"/>
      <c r="F244" s="2" t="n"/>
      <c r="G244" s="2" t="n"/>
      <c r="H244" s="2" t="n"/>
      <c r="I244" s="2" t="n"/>
    </row>
    <row r="245">
      <c r="A245" s="2" t="n"/>
      <c r="B245" s="2" t="n"/>
      <c r="C245" s="2" t="n"/>
      <c r="D245" s="2" t="n"/>
      <c r="E245" s="41" t="n"/>
      <c r="F245" s="2" t="n"/>
      <c r="G245" s="2" t="n"/>
      <c r="H245" s="2" t="n"/>
      <c r="I245" s="2" t="n"/>
    </row>
    <row r="246">
      <c r="A246" s="2" t="n"/>
      <c r="B246" s="2" t="n"/>
      <c r="C246" s="2" t="n"/>
      <c r="D246" s="2" t="n"/>
      <c r="E246" s="41" t="n"/>
      <c r="F246" s="2" t="n"/>
      <c r="G246" s="2" t="n"/>
      <c r="H246" s="2" t="n"/>
      <c r="I246" s="2" t="n"/>
    </row>
    <row r="247">
      <c r="A247" s="2" t="n"/>
      <c r="B247" s="2" t="n"/>
      <c r="C247" s="2" t="n"/>
      <c r="D247" s="2" t="n"/>
      <c r="E247" s="41" t="n"/>
      <c r="F247" s="2" t="n"/>
      <c r="G247" s="2" t="n"/>
      <c r="H247" s="2" t="n"/>
      <c r="I247" s="2" t="n"/>
    </row>
    <row r="248">
      <c r="A248" s="2" t="n"/>
      <c r="B248" s="2" t="n"/>
      <c r="C248" s="2" t="n"/>
      <c r="D248" s="2" t="n"/>
      <c r="E248" s="41" t="n"/>
      <c r="F248" s="2" t="n"/>
      <c r="G248" s="2" t="n"/>
      <c r="H248" s="2" t="n"/>
      <c r="I248" s="2" t="n"/>
    </row>
    <row r="249">
      <c r="A249" s="2" t="n"/>
      <c r="B249" s="2" t="n"/>
      <c r="C249" s="2" t="n"/>
      <c r="D249" s="2" t="n"/>
      <c r="E249" s="41" t="n"/>
      <c r="F249" s="2" t="n"/>
      <c r="G249" s="2" t="n"/>
      <c r="H249" s="2" t="n"/>
      <c r="I249" s="2" t="n"/>
    </row>
    <row r="250">
      <c r="A250" s="2" t="n"/>
      <c r="B250" s="2" t="n"/>
      <c r="C250" s="2" t="n"/>
      <c r="D250" s="2" t="n"/>
      <c r="E250" s="41" t="n"/>
      <c r="F250" s="2" t="n"/>
      <c r="G250" s="2" t="n"/>
      <c r="H250" s="2" t="n"/>
      <c r="I250" s="2" t="n"/>
    </row>
    <row r="251">
      <c r="A251" s="2" t="n"/>
      <c r="B251" s="2" t="n"/>
      <c r="C251" s="2" t="n"/>
      <c r="D251" s="2" t="n"/>
      <c r="E251" s="41" t="n"/>
      <c r="F251" s="2" t="n"/>
      <c r="G251" s="2" t="n"/>
      <c r="H251" s="2" t="n"/>
      <c r="I251" s="2" t="n"/>
    </row>
    <row r="252">
      <c r="A252" s="2" t="n"/>
      <c r="B252" s="2" t="n"/>
      <c r="C252" s="2" t="n"/>
      <c r="D252" s="2" t="n"/>
      <c r="E252" s="41" t="n"/>
      <c r="F252" s="2" t="n"/>
      <c r="G252" s="2" t="n"/>
      <c r="H252" s="2" t="n"/>
      <c r="I252" s="2" t="n"/>
    </row>
    <row r="253">
      <c r="A253" s="2" t="n"/>
      <c r="B253" s="2" t="n"/>
      <c r="C253" s="2" t="n"/>
      <c r="D253" s="2" t="n"/>
      <c r="E253" s="41" t="n"/>
      <c r="F253" s="2" t="n"/>
      <c r="G253" s="2" t="n"/>
      <c r="H253" s="2" t="n"/>
      <c r="I253" s="2" t="n"/>
    </row>
    <row r="254">
      <c r="A254" s="2" t="n"/>
      <c r="B254" s="2" t="n"/>
      <c r="C254" s="2" t="n"/>
      <c r="D254" s="2" t="n"/>
      <c r="E254" s="41" t="n"/>
      <c r="F254" s="2" t="n"/>
      <c r="G254" s="2" t="n"/>
      <c r="H254" s="2" t="n"/>
      <c r="I254" s="2" t="n"/>
    </row>
    <row r="255">
      <c r="A255" s="2" t="n"/>
      <c r="B255" s="2" t="n"/>
      <c r="C255" s="2" t="n"/>
      <c r="D255" s="2" t="n"/>
      <c r="E255" s="41" t="n"/>
      <c r="F255" s="2" t="n"/>
      <c r="G255" s="2" t="n"/>
      <c r="H255" s="2" t="n"/>
      <c r="I255" s="2" t="n"/>
    </row>
    <row r="256">
      <c r="A256" s="2" t="n"/>
      <c r="B256" s="2" t="n"/>
      <c r="C256" s="2" t="n"/>
      <c r="D256" s="2" t="n"/>
      <c r="E256" s="41" t="n"/>
      <c r="F256" s="2" t="n"/>
      <c r="G256" s="2" t="n"/>
      <c r="H256" s="2" t="n"/>
      <c r="I256" s="2" t="n"/>
    </row>
    <row r="257">
      <c r="A257" s="2" t="n"/>
      <c r="B257" s="2" t="n"/>
      <c r="C257" s="2" t="n"/>
      <c r="D257" s="2" t="n"/>
      <c r="E257" s="41" t="n"/>
      <c r="F257" s="2" t="n"/>
      <c r="G257" s="2" t="n"/>
      <c r="H257" s="2" t="n"/>
      <c r="I257" s="2" t="n"/>
    </row>
    <row r="258">
      <c r="A258" s="2" t="n"/>
      <c r="B258" s="2" t="n"/>
      <c r="C258" s="2" t="n"/>
      <c r="D258" s="2" t="n"/>
      <c r="E258" s="41" t="n"/>
      <c r="F258" s="2" t="n"/>
      <c r="G258" s="2" t="n"/>
      <c r="H258" s="2" t="n"/>
      <c r="I258" s="2" t="n"/>
    </row>
    <row r="259">
      <c r="A259" s="2" t="n"/>
      <c r="B259" s="2" t="n"/>
      <c r="C259" s="2" t="n"/>
      <c r="D259" s="2" t="n"/>
      <c r="E259" s="41" t="n"/>
      <c r="F259" s="2" t="n"/>
      <c r="G259" s="2" t="n"/>
      <c r="H259" s="2" t="n"/>
      <c r="I259" s="2" t="n"/>
    </row>
    <row r="260">
      <c r="A260" s="2" t="n"/>
      <c r="B260" s="2" t="n"/>
      <c r="C260" s="2" t="n"/>
      <c r="D260" s="2" t="n"/>
      <c r="E260" s="41" t="n"/>
      <c r="F260" s="2" t="n"/>
      <c r="G260" s="2" t="n"/>
      <c r="H260" s="2" t="n"/>
      <c r="I260" s="2" t="n"/>
    </row>
    <row r="261">
      <c r="A261" s="2" t="n"/>
      <c r="B261" s="2" t="n"/>
      <c r="C261" s="2" t="n"/>
      <c r="D261" s="2" t="n"/>
      <c r="E261" s="41" t="n"/>
      <c r="F261" s="2" t="n"/>
      <c r="G261" s="2" t="n"/>
      <c r="H261" s="2" t="n"/>
      <c r="I261" s="2" t="n"/>
    </row>
    <row r="262">
      <c r="A262" s="2" t="n"/>
      <c r="B262" s="2" t="n"/>
      <c r="C262" s="2" t="n"/>
      <c r="D262" s="2" t="n"/>
      <c r="E262" s="41" t="n"/>
      <c r="F262" s="2" t="n"/>
      <c r="G262" s="2" t="n"/>
      <c r="H262" s="2" t="n"/>
      <c r="I262" s="2" t="n"/>
    </row>
    <row r="263">
      <c r="A263" s="2" t="n"/>
      <c r="B263" s="2" t="n"/>
      <c r="C263" s="2" t="n"/>
      <c r="D263" s="2" t="n"/>
      <c r="E263" s="41" t="n"/>
      <c r="F263" s="2" t="n"/>
      <c r="G263" s="2" t="n"/>
      <c r="H263" s="2" t="n"/>
      <c r="I263" s="2" t="n"/>
    </row>
    <row r="264">
      <c r="A264" s="2" t="n"/>
      <c r="B264" s="2" t="n"/>
      <c r="C264" s="2" t="n"/>
      <c r="D264" s="2" t="n"/>
      <c r="E264" s="41" t="n"/>
      <c r="F264" s="2" t="n"/>
      <c r="G264" s="2" t="n"/>
      <c r="H264" s="2" t="n"/>
      <c r="I264" s="2" t="n"/>
    </row>
    <row r="265">
      <c r="A265" s="2" t="n"/>
      <c r="B265" s="2" t="n"/>
      <c r="C265" s="2" t="n"/>
      <c r="D265" s="2" t="n"/>
      <c r="E265" s="41" t="n"/>
      <c r="F265" s="2" t="n"/>
      <c r="G265" s="2" t="n"/>
      <c r="H265" s="2" t="n"/>
      <c r="I265" s="2" t="n"/>
    </row>
    <row r="266">
      <c r="A266" s="2" t="n"/>
      <c r="B266" s="2" t="n"/>
      <c r="C266" s="2" t="n"/>
      <c r="D266" s="2" t="n"/>
      <c r="E266" s="41" t="n"/>
      <c r="F266" s="2" t="n"/>
      <c r="G266" s="2" t="n"/>
      <c r="H266" s="2" t="n"/>
      <c r="I266" s="2" t="n"/>
    </row>
    <row r="267">
      <c r="A267" s="2" t="n"/>
      <c r="B267" s="2" t="n"/>
      <c r="C267" s="2" t="n"/>
      <c r="D267" s="2" t="n"/>
      <c r="E267" s="41" t="n"/>
      <c r="F267" s="2" t="n"/>
      <c r="G267" s="2" t="n"/>
      <c r="H267" s="2" t="n"/>
      <c r="I267" s="2" t="n"/>
    </row>
    <row r="268">
      <c r="A268" s="2" t="n"/>
      <c r="B268" s="2" t="n"/>
      <c r="C268" s="2" t="n"/>
      <c r="D268" s="2" t="n"/>
      <c r="E268" s="41" t="n"/>
      <c r="F268" s="2" t="n"/>
      <c r="G268" s="2" t="n"/>
      <c r="H268" s="2" t="n"/>
      <c r="I268" s="2" t="n"/>
    </row>
    <row r="269">
      <c r="A269" s="2" t="n"/>
      <c r="B269" s="2" t="n"/>
      <c r="C269" s="2" t="n"/>
      <c r="D269" s="2" t="n"/>
      <c r="E269" s="41" t="n"/>
      <c r="F269" s="2" t="n"/>
      <c r="G269" s="2" t="n"/>
      <c r="H269" s="2" t="n"/>
      <c r="I269" s="2" t="n"/>
    </row>
    <row r="270">
      <c r="A270" s="2" t="n"/>
      <c r="B270" s="2" t="n"/>
      <c r="C270" s="2" t="n"/>
      <c r="D270" s="2" t="n"/>
      <c r="E270" s="41" t="n"/>
      <c r="F270" s="2" t="n"/>
      <c r="G270" s="2" t="n"/>
      <c r="H270" s="2" t="n"/>
      <c r="I270" s="2" t="n"/>
    </row>
    <row r="271">
      <c r="A271" s="2" t="n"/>
      <c r="B271" s="2" t="n"/>
      <c r="C271" s="2" t="n"/>
      <c r="D271" s="2" t="n"/>
      <c r="E271" s="41" t="n"/>
      <c r="F271" s="2" t="n"/>
      <c r="G271" s="2" t="n"/>
      <c r="H271" s="2" t="n"/>
      <c r="I271" s="2" t="n"/>
    </row>
    <row r="272">
      <c r="A272" s="2" t="n"/>
      <c r="B272" s="2" t="n"/>
      <c r="C272" s="2" t="n"/>
      <c r="D272" s="2" t="n"/>
      <c r="E272" s="41" t="n"/>
      <c r="F272" s="2" t="n"/>
      <c r="G272" s="2" t="n"/>
      <c r="H272" s="2" t="n"/>
      <c r="I272" s="2" t="n"/>
    </row>
    <row r="273">
      <c r="A273" s="2" t="n"/>
      <c r="B273" s="2" t="n"/>
      <c r="C273" s="2" t="n"/>
      <c r="D273" s="2" t="n"/>
      <c r="E273" s="41" t="n"/>
      <c r="F273" s="2" t="n"/>
      <c r="G273" s="2" t="n"/>
      <c r="H273" s="2" t="n"/>
      <c r="I273" s="2" t="n"/>
    </row>
    <row r="274">
      <c r="A274" s="2" t="n"/>
      <c r="B274" s="2" t="n"/>
      <c r="C274" s="2" t="n"/>
      <c r="D274" s="2" t="n"/>
      <c r="E274" s="41" t="n"/>
      <c r="F274" s="2" t="n"/>
      <c r="G274" s="2" t="n"/>
      <c r="H274" s="2" t="n"/>
      <c r="I274" s="2" t="n"/>
    </row>
    <row r="275">
      <c r="A275" s="2" t="n"/>
      <c r="B275" s="2" t="n"/>
      <c r="C275" s="2" t="n"/>
      <c r="D275" s="2" t="n"/>
      <c r="E275" s="41" t="n"/>
      <c r="F275" s="2" t="n"/>
      <c r="G275" s="2" t="n"/>
      <c r="H275" s="2" t="n"/>
      <c r="I275" s="2" t="n"/>
    </row>
    <row r="276">
      <c r="A276" s="2" t="n"/>
      <c r="B276" s="2" t="n"/>
      <c r="C276" s="2" t="n"/>
      <c r="D276" s="2" t="n"/>
      <c r="E276" s="41" t="n"/>
      <c r="F276" s="2" t="n"/>
      <c r="G276" s="2" t="n"/>
      <c r="H276" s="2" t="n"/>
      <c r="I276" s="2" t="n"/>
    </row>
    <row r="277">
      <c r="A277" s="2" t="n"/>
      <c r="B277" s="2" t="n"/>
      <c r="C277" s="2" t="n"/>
      <c r="D277" s="2" t="n"/>
      <c r="E277" s="41" t="n"/>
      <c r="F277" s="2" t="n"/>
      <c r="G277" s="2" t="n"/>
      <c r="H277" s="2" t="n"/>
      <c r="I277" s="2" t="n"/>
    </row>
    <row r="278">
      <c r="A278" s="2" t="n"/>
      <c r="B278" s="2" t="n"/>
      <c r="C278" s="2" t="n"/>
      <c r="D278" s="2" t="n"/>
      <c r="E278" s="41" t="n"/>
      <c r="F278" s="2" t="n"/>
      <c r="G278" s="2" t="n"/>
      <c r="H278" s="2" t="n"/>
      <c r="I278" s="2" t="n"/>
    </row>
    <row r="279">
      <c r="A279" s="2" t="n"/>
      <c r="B279" s="2" t="n"/>
      <c r="C279" s="2" t="n"/>
      <c r="D279" s="2" t="n"/>
      <c r="E279" s="41" t="n"/>
      <c r="F279" s="2" t="n"/>
      <c r="G279" s="2" t="n"/>
      <c r="H279" s="2" t="n"/>
      <c r="I279" s="2" t="n"/>
    </row>
    <row r="280">
      <c r="A280" s="2" t="n"/>
      <c r="B280" s="2" t="n"/>
      <c r="C280" s="2" t="n"/>
      <c r="D280" s="2" t="n"/>
      <c r="E280" s="41" t="n"/>
      <c r="F280" s="2" t="n"/>
      <c r="G280" s="2" t="n"/>
      <c r="H280" s="2" t="n"/>
      <c r="I280" s="2" t="n"/>
    </row>
    <row r="281">
      <c r="A281" s="2" t="n"/>
      <c r="B281" s="2" t="n"/>
      <c r="C281" s="2" t="n"/>
      <c r="D281" s="2" t="n"/>
      <c r="E281" s="41" t="n"/>
      <c r="F281" s="2" t="n"/>
      <c r="G281" s="2" t="n"/>
      <c r="H281" s="2" t="n"/>
      <c r="I281" s="2" t="n"/>
    </row>
    <row r="282">
      <c r="A282" s="2" t="n"/>
      <c r="B282" s="2" t="n"/>
      <c r="C282" s="2" t="n"/>
      <c r="D282" s="2" t="n"/>
      <c r="E282" s="41" t="n"/>
      <c r="F282" s="2" t="n"/>
      <c r="G282" s="2" t="n"/>
      <c r="H282" s="2" t="n"/>
      <c r="I282" s="2" t="n"/>
    </row>
    <row r="283">
      <c r="A283" s="2" t="n"/>
      <c r="B283" s="2" t="n"/>
      <c r="C283" s="2" t="n"/>
      <c r="D283" s="2" t="n"/>
      <c r="E283" s="41" t="n"/>
      <c r="F283" s="2" t="n"/>
      <c r="G283" s="2" t="n"/>
      <c r="H283" s="2" t="n"/>
      <c r="I283" s="2" t="n"/>
    </row>
    <row r="284">
      <c r="A284" s="2" t="n"/>
      <c r="B284" s="2" t="n"/>
      <c r="C284" s="2" t="n"/>
      <c r="D284" s="2" t="n"/>
      <c r="E284" s="41" t="n"/>
      <c r="F284" s="2" t="n"/>
      <c r="G284" s="2" t="n"/>
      <c r="H284" s="2" t="n"/>
      <c r="I284" s="2" t="n"/>
    </row>
    <row r="285">
      <c r="A285" s="2" t="n"/>
      <c r="B285" s="2" t="n"/>
      <c r="C285" s="2" t="n"/>
      <c r="D285" s="2" t="n"/>
      <c r="E285" s="41" t="n"/>
      <c r="F285" s="2" t="n"/>
      <c r="G285" s="2" t="n"/>
      <c r="H285" s="2" t="n"/>
      <c r="I285" s="2" t="n"/>
    </row>
    <row r="286">
      <c r="A286" s="2" t="n"/>
      <c r="B286" s="2" t="n"/>
      <c r="C286" s="2" t="n"/>
      <c r="D286" s="2" t="n"/>
      <c r="E286" s="41" t="n"/>
      <c r="F286" s="2" t="n"/>
      <c r="G286" s="2" t="n"/>
      <c r="H286" s="2" t="n"/>
      <c r="I286" s="2" t="n"/>
    </row>
    <row r="287">
      <c r="A287" s="2" t="n"/>
      <c r="B287" s="2" t="n"/>
      <c r="C287" s="2" t="n"/>
      <c r="D287" s="2" t="n"/>
      <c r="E287" s="41" t="n"/>
      <c r="F287" s="2" t="n"/>
      <c r="G287" s="2" t="n"/>
      <c r="H287" s="2" t="n"/>
      <c r="I287" s="2" t="n"/>
    </row>
    <row r="288">
      <c r="A288" s="2" t="n"/>
      <c r="B288" s="2" t="n"/>
      <c r="C288" s="2" t="n"/>
      <c r="D288" s="2" t="n"/>
      <c r="E288" s="41" t="n"/>
      <c r="F288" s="2" t="n"/>
      <c r="G288" s="2" t="n"/>
      <c r="H288" s="2" t="n"/>
      <c r="I288" s="2" t="n"/>
    </row>
    <row r="289">
      <c r="A289" s="2" t="n"/>
      <c r="B289" s="2" t="n"/>
      <c r="C289" s="2" t="n"/>
      <c r="D289" s="2" t="n"/>
      <c r="E289" s="41" t="n"/>
      <c r="F289" s="2" t="n"/>
      <c r="G289" s="2" t="n"/>
      <c r="H289" s="2" t="n"/>
      <c r="I289" s="2" t="n"/>
    </row>
    <row r="290">
      <c r="A290" s="2" t="n"/>
      <c r="B290" s="2" t="n"/>
      <c r="C290" s="2" t="n"/>
      <c r="D290" s="2" t="n"/>
      <c r="E290" s="41" t="n"/>
      <c r="F290" s="2" t="n"/>
      <c r="G290" s="2" t="n"/>
      <c r="H290" s="2" t="n"/>
      <c r="I290" s="2" t="n"/>
    </row>
    <row r="291">
      <c r="A291" s="2" t="n"/>
      <c r="B291" s="2" t="n"/>
      <c r="C291" s="2" t="n"/>
      <c r="D291" s="2" t="n"/>
      <c r="E291" s="41" t="n"/>
      <c r="F291" s="2" t="n"/>
      <c r="G291" s="2" t="n"/>
      <c r="H291" s="2" t="n"/>
      <c r="I291" s="2" t="n"/>
    </row>
    <row r="292">
      <c r="A292" s="2" t="n"/>
      <c r="B292" s="2" t="n"/>
      <c r="C292" s="2" t="n"/>
      <c r="D292" s="2" t="n"/>
      <c r="E292" s="41" t="n"/>
      <c r="F292" s="2" t="n"/>
      <c r="G292" s="2" t="n"/>
      <c r="H292" s="2" t="n"/>
      <c r="I292" s="2" t="n"/>
    </row>
    <row r="293">
      <c r="A293" s="2" t="n"/>
      <c r="B293" s="2" t="n"/>
      <c r="C293" s="2" t="n"/>
      <c r="D293" s="2" t="n"/>
      <c r="E293" s="41" t="n"/>
      <c r="F293" s="2" t="n"/>
      <c r="G293" s="2" t="n"/>
      <c r="H293" s="2" t="n"/>
      <c r="I293" s="2" t="n"/>
    </row>
    <row r="294">
      <c r="A294" s="2" t="n"/>
      <c r="B294" s="2" t="n"/>
      <c r="C294" s="2" t="n"/>
      <c r="D294" s="2" t="n"/>
      <c r="E294" s="41" t="n"/>
      <c r="F294" s="2" t="n"/>
      <c r="G294" s="2" t="n"/>
      <c r="H294" s="2" t="n"/>
      <c r="I294" s="2" t="n"/>
    </row>
    <row r="295">
      <c r="A295" s="2" t="n"/>
      <c r="B295" s="2" t="n"/>
      <c r="C295" s="2" t="n"/>
      <c r="D295" s="2" t="n"/>
      <c r="E295" s="41" t="n"/>
      <c r="F295" s="2" t="n"/>
      <c r="G295" s="2" t="n"/>
      <c r="H295" s="2" t="n"/>
      <c r="I295" s="2" t="n"/>
    </row>
    <row r="296">
      <c r="A296" s="2" t="n"/>
      <c r="B296" s="2" t="n"/>
      <c r="C296" s="2" t="n"/>
      <c r="D296" s="2" t="n"/>
      <c r="E296" s="41" t="n"/>
      <c r="F296" s="2" t="n"/>
      <c r="G296" s="2" t="n"/>
      <c r="H296" s="2" t="n"/>
      <c r="I296" s="2" t="n"/>
    </row>
    <row r="297">
      <c r="A297" s="2" t="n"/>
      <c r="B297" s="2" t="n"/>
      <c r="C297" s="2" t="n"/>
      <c r="D297" s="2" t="n"/>
      <c r="E297" s="41" t="n"/>
      <c r="F297" s="2" t="n"/>
      <c r="G297" s="2" t="n"/>
      <c r="H297" s="2" t="n"/>
      <c r="I297" s="2" t="n"/>
    </row>
    <row r="298">
      <c r="A298" s="2" t="n"/>
      <c r="B298" s="2" t="n"/>
      <c r="C298" s="2" t="n"/>
      <c r="D298" s="2" t="n"/>
      <c r="E298" s="41" t="n"/>
      <c r="F298" s="2" t="n"/>
      <c r="G298" s="2" t="n"/>
      <c r="H298" s="2" t="n"/>
      <c r="I298" s="2" t="n"/>
    </row>
    <row r="299">
      <c r="A299" s="2" t="n"/>
      <c r="B299" s="2" t="n"/>
      <c r="C299" s="2" t="n"/>
      <c r="D299" s="2" t="n"/>
      <c r="E299" s="41" t="n"/>
      <c r="F299" s="2" t="n"/>
      <c r="G299" s="2" t="n"/>
      <c r="H299" s="2" t="n"/>
      <c r="I299" s="2" t="n"/>
    </row>
    <row r="300">
      <c r="A300" s="2" t="n"/>
      <c r="B300" s="2" t="n"/>
      <c r="C300" s="2" t="n"/>
      <c r="D300" s="2" t="n"/>
      <c r="E300" s="41" t="n"/>
      <c r="F300" s="2" t="n"/>
      <c r="G300" s="2" t="n"/>
      <c r="H300" s="2" t="n"/>
      <c r="I300" s="2" t="n"/>
    </row>
    <row r="301">
      <c r="A301" s="2" t="n"/>
      <c r="B301" s="2" t="n"/>
      <c r="C301" s="2" t="n"/>
      <c r="D301" s="2" t="n"/>
      <c r="E301" s="41" t="n"/>
      <c r="F301" s="2" t="n"/>
      <c r="G301" s="2" t="n"/>
      <c r="H301" s="2" t="n"/>
      <c r="I301" s="2" t="n"/>
    </row>
    <row r="302">
      <c r="A302" s="2" t="n"/>
      <c r="B302" s="2" t="n"/>
      <c r="C302" s="2" t="n"/>
      <c r="D302" s="2" t="n"/>
      <c r="E302" s="41" t="n"/>
      <c r="F302" s="2" t="n"/>
      <c r="G302" s="2" t="n"/>
      <c r="H302" s="2" t="n"/>
      <c r="I302" s="2" t="n"/>
    </row>
    <row r="303">
      <c r="A303" s="2" t="n"/>
      <c r="B303" s="2" t="n"/>
      <c r="C303" s="2" t="n"/>
      <c r="D303" s="2" t="n"/>
      <c r="E303" s="41" t="n"/>
      <c r="F303" s="2" t="n"/>
      <c r="G303" s="2" t="n"/>
      <c r="H303" s="2" t="n"/>
      <c r="I303" s="2" t="n"/>
    </row>
    <row r="304">
      <c r="A304" s="2" t="n"/>
      <c r="B304" s="2" t="n"/>
      <c r="C304" s="2" t="n"/>
      <c r="D304" s="2" t="n"/>
      <c r="E304" s="41" t="n"/>
      <c r="F304" s="2" t="n"/>
      <c r="G304" s="2" t="n"/>
      <c r="H304" s="2" t="n"/>
      <c r="I304" s="2" t="n"/>
    </row>
    <row r="305">
      <c r="A305" s="2" t="n"/>
      <c r="B305" s="2" t="n"/>
      <c r="C305" s="2" t="n"/>
      <c r="D305" s="2" t="n"/>
      <c r="E305" s="41" t="n"/>
      <c r="F305" s="2" t="n"/>
      <c r="G305" s="2" t="n"/>
      <c r="H305" s="2" t="n"/>
      <c r="I305" s="2" t="n"/>
    </row>
    <row r="306">
      <c r="A306" s="2" t="n"/>
      <c r="B306" s="2" t="n"/>
      <c r="C306" s="2" t="n"/>
      <c r="D306" s="2" t="n"/>
      <c r="E306" s="41" t="n"/>
      <c r="F306" s="2" t="n"/>
      <c r="G306" s="2" t="n"/>
      <c r="H306" s="2" t="n"/>
      <c r="I306" s="2" t="n"/>
    </row>
    <row r="307">
      <c r="A307" s="2" t="n"/>
      <c r="B307" s="2" t="n"/>
      <c r="C307" s="2" t="n"/>
      <c r="D307" s="2" t="n"/>
      <c r="E307" s="41" t="n"/>
      <c r="F307" s="2" t="n"/>
      <c r="G307" s="2" t="n"/>
      <c r="H307" s="2" t="n"/>
      <c r="I307" s="2" t="n"/>
    </row>
    <row r="308">
      <c r="A308" s="2" t="n"/>
      <c r="B308" s="2" t="n"/>
      <c r="C308" s="2" t="n"/>
      <c r="D308" s="2" t="n"/>
      <c r="E308" s="41" t="n"/>
      <c r="F308" s="2" t="n"/>
      <c r="G308" s="2" t="n"/>
      <c r="H308" s="2" t="n"/>
      <c r="I308" s="2" t="n"/>
    </row>
    <row r="309">
      <c r="A309" s="2" t="n"/>
      <c r="B309" s="2" t="n"/>
      <c r="C309" s="2" t="n"/>
      <c r="D309" s="2" t="n"/>
      <c r="E309" s="41" t="n"/>
      <c r="F309" s="2" t="n"/>
      <c r="G309" s="2" t="n"/>
      <c r="H309" s="2" t="n"/>
      <c r="I309" s="2" t="n"/>
    </row>
    <row r="310">
      <c r="A310" s="2" t="n"/>
      <c r="B310" s="2" t="n"/>
      <c r="C310" s="2" t="n"/>
      <c r="D310" s="2" t="n"/>
      <c r="E310" s="41" t="n"/>
      <c r="F310" s="2" t="n"/>
      <c r="G310" s="2" t="n"/>
      <c r="H310" s="2" t="n"/>
      <c r="I310" s="2" t="n"/>
    </row>
    <row r="311">
      <c r="A311" s="2" t="n"/>
      <c r="B311" s="2" t="n"/>
      <c r="C311" s="2" t="n"/>
      <c r="D311" s="2" t="n"/>
      <c r="E311" s="41" t="n"/>
      <c r="F311" s="2" t="n"/>
      <c r="G311" s="2" t="n"/>
      <c r="H311" s="2" t="n"/>
      <c r="I311" s="2" t="n"/>
    </row>
    <row r="312">
      <c r="A312" s="2" t="n"/>
      <c r="B312" s="2" t="n"/>
      <c r="C312" s="2" t="n"/>
      <c r="D312" s="2" t="n"/>
      <c r="E312" s="41" t="n"/>
      <c r="F312" s="2" t="n"/>
      <c r="G312" s="2" t="n"/>
      <c r="H312" s="2" t="n"/>
      <c r="I312" s="2" t="n"/>
    </row>
    <row r="313">
      <c r="A313" s="2" t="n"/>
      <c r="B313" s="2" t="n"/>
      <c r="C313" s="2" t="n"/>
      <c r="D313" s="2" t="n"/>
      <c r="E313" s="41" t="n"/>
      <c r="F313" s="2" t="n"/>
      <c r="G313" s="2" t="n"/>
      <c r="H313" s="2" t="n"/>
      <c r="I313" s="2" t="n"/>
    </row>
    <row r="314">
      <c r="A314" s="2" t="n"/>
      <c r="B314" s="2" t="n"/>
      <c r="C314" s="2" t="n"/>
      <c r="D314" s="2" t="n"/>
      <c r="E314" s="41" t="n"/>
      <c r="F314" s="2" t="n"/>
      <c r="G314" s="2" t="n"/>
      <c r="H314" s="2" t="n"/>
      <c r="I314" s="2" t="n"/>
    </row>
    <row r="315">
      <c r="A315" s="2" t="n"/>
      <c r="B315" s="2" t="n"/>
      <c r="C315" s="2" t="n"/>
      <c r="D315" s="2" t="n"/>
      <c r="E315" s="41" t="n"/>
      <c r="F315" s="2" t="n"/>
      <c r="G315" s="2" t="n"/>
      <c r="H315" s="2" t="n"/>
      <c r="I315" s="2" t="n"/>
    </row>
    <row r="316">
      <c r="A316" s="2" t="n"/>
      <c r="B316" s="2" t="n"/>
      <c r="C316" s="2" t="n"/>
      <c r="D316" s="2" t="n"/>
      <c r="E316" s="41" t="n"/>
      <c r="F316" s="2" t="n"/>
      <c r="G316" s="2" t="n"/>
      <c r="H316" s="2" t="n"/>
      <c r="I316" s="2" t="n"/>
    </row>
    <row r="317">
      <c r="A317" s="2" t="n"/>
      <c r="B317" s="2" t="n"/>
      <c r="C317" s="2" t="n"/>
      <c r="D317" s="2" t="n"/>
      <c r="E317" s="41" t="n"/>
      <c r="F317" s="2" t="n"/>
      <c r="G317" s="2" t="n"/>
      <c r="H317" s="2" t="n"/>
      <c r="I317" s="2" t="n"/>
    </row>
    <row r="318">
      <c r="A318" s="2" t="n"/>
      <c r="B318" s="2" t="n"/>
      <c r="C318" s="2" t="n"/>
      <c r="D318" s="2" t="n"/>
      <c r="E318" s="41" t="n"/>
      <c r="F318" s="2" t="n"/>
      <c r="G318" s="2" t="n"/>
      <c r="H318" s="2" t="n"/>
      <c r="I318" s="2" t="n"/>
    </row>
    <row r="319">
      <c r="A319" s="2" t="n"/>
      <c r="B319" s="2" t="n"/>
      <c r="C319" s="2" t="n"/>
      <c r="D319" s="2" t="n"/>
      <c r="E319" s="41" t="n"/>
      <c r="F319" s="2" t="n"/>
      <c r="G319" s="2" t="n"/>
      <c r="H319" s="2" t="n"/>
      <c r="I319" s="2" t="n"/>
    </row>
    <row r="320">
      <c r="A320" s="2" t="n"/>
      <c r="B320" s="2" t="n"/>
      <c r="C320" s="2" t="n"/>
      <c r="D320" s="2" t="n"/>
      <c r="E320" s="41" t="n"/>
      <c r="F320" s="2" t="n"/>
      <c r="G320" s="2" t="n"/>
      <c r="H320" s="2" t="n"/>
      <c r="I320" s="2" t="n"/>
    </row>
    <row r="321">
      <c r="A321" s="2" t="n"/>
      <c r="B321" s="2" t="n"/>
      <c r="C321" s="2" t="n"/>
      <c r="D321" s="2" t="n"/>
      <c r="E321" s="41" t="n"/>
      <c r="F321" s="2" t="n"/>
      <c r="G321" s="2" t="n"/>
      <c r="H321" s="2" t="n"/>
      <c r="I321" s="2" t="n"/>
    </row>
    <row r="322">
      <c r="A322" s="2" t="n"/>
      <c r="B322" s="2" t="n"/>
      <c r="C322" s="2" t="n"/>
      <c r="D322" s="2" t="n"/>
      <c r="E322" s="41" t="n"/>
      <c r="F322" s="2" t="n"/>
      <c r="G322" s="2" t="n"/>
      <c r="H322" s="2" t="n"/>
      <c r="I322" s="2" t="n"/>
    </row>
    <row r="323">
      <c r="A323" s="2" t="n"/>
      <c r="B323" s="2" t="n"/>
      <c r="C323" s="2" t="n"/>
      <c r="D323" s="2" t="n"/>
      <c r="E323" s="41" t="n"/>
      <c r="F323" s="2" t="n"/>
      <c r="G323" s="2" t="n"/>
      <c r="H323" s="2" t="n"/>
      <c r="I323" s="2" t="n"/>
    </row>
    <row r="324">
      <c r="A324" s="2" t="n"/>
      <c r="B324" s="2" t="n"/>
      <c r="C324" s="2" t="n"/>
      <c r="D324" s="2" t="n"/>
      <c r="E324" s="41" t="n"/>
      <c r="F324" s="2" t="n"/>
      <c r="G324" s="2" t="n"/>
      <c r="H324" s="2" t="n"/>
      <c r="I324" s="2" t="n"/>
    </row>
    <row r="325">
      <c r="A325" s="2" t="n"/>
      <c r="B325" s="2" t="n"/>
      <c r="C325" s="2" t="n"/>
      <c r="D325" s="2" t="n"/>
      <c r="E325" s="41" t="n"/>
      <c r="F325" s="2" t="n"/>
      <c r="G325" s="2" t="n"/>
      <c r="H325" s="2" t="n"/>
      <c r="I325" s="2" t="n"/>
    </row>
    <row r="326">
      <c r="A326" s="2" t="n"/>
      <c r="B326" s="2" t="n"/>
      <c r="C326" s="2" t="n"/>
      <c r="D326" s="2" t="n"/>
      <c r="E326" s="41" t="n"/>
      <c r="F326" s="2" t="n"/>
      <c r="G326" s="2" t="n"/>
      <c r="H326" s="2" t="n"/>
      <c r="I326" s="2" t="n"/>
    </row>
    <row r="327">
      <c r="A327" s="2" t="n"/>
      <c r="B327" s="2" t="n"/>
      <c r="C327" s="2" t="n"/>
      <c r="D327" s="2" t="n"/>
      <c r="E327" s="41" t="n"/>
      <c r="F327" s="2" t="n"/>
      <c r="G327" s="2" t="n"/>
      <c r="H327" s="2" t="n"/>
      <c r="I327" s="2" t="n"/>
    </row>
    <row r="328">
      <c r="A328" s="2" t="n"/>
      <c r="B328" s="2" t="n"/>
      <c r="C328" s="2" t="n"/>
      <c r="D328" s="2" t="n"/>
      <c r="E328" s="41" t="n"/>
      <c r="F328" s="2" t="n"/>
      <c r="G328" s="2" t="n"/>
      <c r="H328" s="2" t="n"/>
      <c r="I328" s="2" t="n"/>
    </row>
    <row r="329">
      <c r="A329" s="2" t="n"/>
      <c r="B329" s="2" t="n"/>
      <c r="C329" s="2" t="n"/>
      <c r="D329" s="2" t="n"/>
      <c r="E329" s="41" t="n"/>
      <c r="F329" s="2" t="n"/>
      <c r="G329" s="2" t="n"/>
      <c r="H329" s="2" t="n"/>
      <c r="I329" s="2" t="n"/>
    </row>
    <row r="330">
      <c r="A330" s="2" t="n"/>
      <c r="B330" s="2" t="n"/>
      <c r="C330" s="2" t="n"/>
      <c r="D330" s="2" t="n"/>
      <c r="E330" s="41" t="n"/>
      <c r="F330" s="2" t="n"/>
      <c r="G330" s="2" t="n"/>
      <c r="H330" s="2" t="n"/>
      <c r="I330" s="2" t="n"/>
    </row>
    <row r="331">
      <c r="A331" s="2" t="n"/>
      <c r="B331" s="2" t="n"/>
      <c r="C331" s="2" t="n"/>
      <c r="D331" s="2" t="n"/>
      <c r="E331" s="41" t="n"/>
      <c r="F331" s="2" t="n"/>
      <c r="G331" s="2" t="n"/>
      <c r="H331" s="2" t="n"/>
      <c r="I331" s="2" t="n"/>
    </row>
    <row r="332">
      <c r="A332" s="2" t="n"/>
      <c r="B332" s="2" t="n"/>
      <c r="C332" s="2" t="n"/>
      <c r="D332" s="2" t="n"/>
      <c r="E332" s="41" t="n"/>
      <c r="F332" s="2" t="n"/>
      <c r="G332" s="2" t="n"/>
      <c r="H332" s="2" t="n"/>
      <c r="I332" s="2" t="n"/>
    </row>
    <row r="333">
      <c r="A333" s="2" t="n"/>
      <c r="B333" s="2" t="n"/>
      <c r="C333" s="2" t="n"/>
      <c r="D333" s="2" t="n"/>
      <c r="E333" s="41" t="n"/>
      <c r="F333" s="2" t="n"/>
      <c r="G333" s="2" t="n"/>
      <c r="H333" s="2" t="n"/>
      <c r="I333" s="2" t="n"/>
    </row>
    <row r="334">
      <c r="A334" s="2" t="n"/>
      <c r="B334" s="2" t="n"/>
      <c r="C334" s="2" t="n"/>
      <c r="D334" s="2" t="n"/>
      <c r="E334" s="41" t="n"/>
      <c r="F334" s="2" t="n"/>
      <c r="G334" s="2" t="n"/>
      <c r="H334" s="2" t="n"/>
      <c r="I334" s="2" t="n"/>
    </row>
    <row r="335">
      <c r="A335" s="2" t="n"/>
      <c r="B335" s="2" t="n"/>
      <c r="C335" s="2" t="n"/>
      <c r="D335" s="2" t="n"/>
      <c r="E335" s="41" t="n"/>
      <c r="F335" s="2" t="n"/>
      <c r="G335" s="2" t="n"/>
      <c r="H335" s="2" t="n"/>
      <c r="I335" s="2" t="n"/>
    </row>
    <row r="336">
      <c r="A336" s="2" t="n"/>
      <c r="B336" s="2" t="n"/>
      <c r="C336" s="2" t="n"/>
      <c r="D336" s="2" t="n"/>
      <c r="E336" s="41" t="n"/>
      <c r="F336" s="2" t="n"/>
      <c r="G336" s="2" t="n"/>
      <c r="H336" s="2" t="n"/>
      <c r="I336" s="2" t="n"/>
    </row>
    <row r="337">
      <c r="A337" s="2" t="n"/>
      <c r="B337" s="2" t="n"/>
      <c r="C337" s="2" t="n"/>
      <c r="D337" s="2" t="n"/>
      <c r="E337" s="41" t="n"/>
      <c r="F337" s="2" t="n"/>
      <c r="G337" s="2" t="n"/>
      <c r="H337" s="2" t="n"/>
      <c r="I337" s="2" t="n"/>
    </row>
    <row r="338">
      <c r="A338" s="2" t="n"/>
      <c r="B338" s="2" t="n"/>
      <c r="C338" s="2" t="n"/>
      <c r="D338" s="2" t="n"/>
      <c r="E338" s="41" t="n"/>
      <c r="F338" s="2" t="n"/>
      <c r="G338" s="2" t="n"/>
      <c r="H338" s="2" t="n"/>
      <c r="I338" s="2" t="n"/>
    </row>
    <row r="339">
      <c r="A339" s="2" t="n"/>
      <c r="B339" s="2" t="n"/>
      <c r="C339" s="2" t="n"/>
      <c r="D339" s="2" t="n"/>
      <c r="E339" s="41" t="n"/>
      <c r="F339" s="2" t="n"/>
      <c r="G339" s="2" t="n"/>
      <c r="H339" s="2" t="n"/>
      <c r="I339" s="2" t="n"/>
    </row>
    <row r="340">
      <c r="A340" s="2" t="n"/>
      <c r="B340" s="2" t="n"/>
      <c r="C340" s="2" t="n"/>
      <c r="D340" s="2" t="n"/>
      <c r="E340" s="41" t="n"/>
      <c r="F340" s="2" t="n"/>
      <c r="G340" s="2" t="n"/>
      <c r="H340" s="2" t="n"/>
      <c r="I340" s="2" t="n"/>
    </row>
    <row r="341">
      <c r="A341" s="2" t="n"/>
      <c r="B341" s="2" t="n"/>
      <c r="C341" s="2" t="n"/>
      <c r="D341" s="2" t="n"/>
      <c r="E341" s="41" t="n"/>
      <c r="F341" s="2" t="n"/>
      <c r="G341" s="2" t="n"/>
      <c r="H341" s="2" t="n"/>
      <c r="I341" s="2" t="n"/>
    </row>
    <row r="342">
      <c r="A342" s="2" t="n"/>
      <c r="B342" s="2" t="n"/>
      <c r="C342" s="2" t="n"/>
      <c r="D342" s="2" t="n"/>
      <c r="E342" s="41" t="n"/>
      <c r="F342" s="2" t="n"/>
      <c r="G342" s="2" t="n"/>
      <c r="H342" s="2" t="n"/>
      <c r="I342" s="2" t="n"/>
    </row>
    <row r="343">
      <c r="A343" s="2" t="n"/>
      <c r="B343" s="2" t="n"/>
      <c r="C343" s="2" t="n"/>
      <c r="D343" s="2" t="n"/>
      <c r="E343" s="41" t="n"/>
      <c r="F343" s="2" t="n"/>
      <c r="G343" s="2" t="n"/>
      <c r="H343" s="2" t="n"/>
      <c r="I343" s="2" t="n"/>
    </row>
    <row r="344">
      <c r="A344" s="2" t="n"/>
      <c r="B344" s="2" t="n"/>
      <c r="C344" s="2" t="n"/>
      <c r="D344" s="2" t="n"/>
      <c r="E344" s="41" t="n"/>
      <c r="F344" s="2" t="n"/>
      <c r="G344" s="2" t="n"/>
      <c r="H344" s="2" t="n"/>
      <c r="I344" s="2" t="n"/>
    </row>
    <row r="345">
      <c r="A345" s="2" t="n"/>
      <c r="B345" s="2" t="n"/>
      <c r="C345" s="2" t="n"/>
      <c r="D345" s="2" t="n"/>
      <c r="E345" s="41" t="n"/>
      <c r="F345" s="2" t="n"/>
      <c r="G345" s="2" t="n"/>
      <c r="H345" s="2" t="n"/>
      <c r="I345" s="2" t="n"/>
    </row>
    <row r="346">
      <c r="A346" s="2" t="n"/>
      <c r="B346" s="2" t="n"/>
      <c r="C346" s="2" t="n"/>
      <c r="D346" s="2" t="n"/>
      <c r="E346" s="41" t="n"/>
      <c r="F346" s="2" t="n"/>
      <c r="G346" s="2" t="n"/>
      <c r="H346" s="2" t="n"/>
      <c r="I346" s="2" t="n"/>
    </row>
    <row r="347">
      <c r="A347" s="2" t="n"/>
      <c r="B347" s="2" t="n"/>
      <c r="C347" s="2" t="n"/>
      <c r="D347" s="2" t="n"/>
      <c r="E347" s="41" t="n"/>
      <c r="F347" s="2" t="n"/>
      <c r="G347" s="2" t="n"/>
      <c r="H347" s="2" t="n"/>
      <c r="I347" s="2" t="n"/>
    </row>
    <row r="348">
      <c r="A348" s="2" t="n"/>
      <c r="B348" s="2" t="n"/>
      <c r="C348" s="2" t="n"/>
      <c r="D348" s="2" t="n"/>
      <c r="E348" s="41" t="n"/>
      <c r="F348" s="2" t="n"/>
      <c r="G348" s="2" t="n"/>
      <c r="H348" s="2" t="n"/>
      <c r="I348" s="2" t="n"/>
    </row>
    <row r="349">
      <c r="A349" s="2" t="n"/>
      <c r="B349" s="2" t="n"/>
      <c r="C349" s="2" t="n"/>
      <c r="D349" s="2" t="n"/>
      <c r="E349" s="41" t="n"/>
      <c r="F349" s="2" t="n"/>
      <c r="G349" s="2" t="n"/>
      <c r="H349" s="2" t="n"/>
      <c r="I349" s="2" t="n"/>
    </row>
    <row r="350">
      <c r="A350" s="2" t="n"/>
      <c r="B350" s="2" t="n"/>
      <c r="C350" s="2" t="n"/>
      <c r="D350" s="2" t="n"/>
      <c r="E350" s="41" t="n"/>
      <c r="F350" s="2" t="n"/>
      <c r="G350" s="2" t="n"/>
      <c r="H350" s="2" t="n"/>
      <c r="I350" s="2" t="n"/>
    </row>
    <row r="351">
      <c r="A351" s="2" t="n"/>
      <c r="B351" s="2" t="n"/>
      <c r="C351" s="2" t="n"/>
      <c r="D351" s="2" t="n"/>
      <c r="E351" s="41" t="n"/>
      <c r="F351" s="2" t="n"/>
      <c r="G351" s="2" t="n"/>
      <c r="H351" s="2" t="n"/>
      <c r="I351" s="2" t="n"/>
    </row>
    <row r="352">
      <c r="A352" s="2" t="n"/>
      <c r="B352" s="2" t="n"/>
      <c r="C352" s="2" t="n"/>
      <c r="D352" s="2" t="n"/>
      <c r="E352" s="41" t="n"/>
      <c r="F352" s="2" t="n"/>
      <c r="G352" s="2" t="n"/>
      <c r="H352" s="2" t="n"/>
      <c r="I352" s="2" t="n"/>
    </row>
    <row r="353">
      <c r="A353" s="2" t="n"/>
      <c r="B353" s="2" t="n"/>
      <c r="C353" s="2" t="n"/>
      <c r="D353" s="2" t="n"/>
      <c r="E353" s="41" t="n"/>
      <c r="F353" s="2" t="n"/>
      <c r="G353" s="2" t="n"/>
      <c r="H353" s="2" t="n"/>
      <c r="I353" s="2" t="n"/>
    </row>
    <row r="354">
      <c r="A354" s="2" t="n"/>
      <c r="B354" s="2" t="n"/>
      <c r="C354" s="2" t="n"/>
      <c r="D354" s="2" t="n"/>
      <c r="E354" s="41" t="n"/>
      <c r="F354" s="2" t="n"/>
      <c r="G354" s="2" t="n"/>
      <c r="H354" s="2" t="n"/>
      <c r="I354" s="2" t="n"/>
    </row>
    <row r="355">
      <c r="A355" s="2" t="n"/>
      <c r="B355" s="2" t="n"/>
      <c r="C355" s="2" t="n"/>
      <c r="D355" s="2" t="n"/>
      <c r="E355" s="41" t="n"/>
      <c r="F355" s="2" t="n"/>
      <c r="G355" s="2" t="n"/>
      <c r="H355" s="2" t="n"/>
      <c r="I355" s="2" t="n"/>
    </row>
    <row r="356">
      <c r="A356" s="2" t="n"/>
      <c r="B356" s="2" t="n"/>
      <c r="C356" s="2" t="n"/>
      <c r="D356" s="2" t="n"/>
      <c r="E356" s="41" t="n"/>
      <c r="F356" s="2" t="n"/>
      <c r="G356" s="2" t="n"/>
      <c r="H356" s="2" t="n"/>
      <c r="I356" s="2" t="n"/>
    </row>
    <row r="357">
      <c r="A357" s="2" t="n"/>
      <c r="B357" s="2" t="n"/>
      <c r="C357" s="2" t="n"/>
      <c r="D357" s="2" t="n"/>
      <c r="E357" s="41" t="n"/>
      <c r="F357" s="2" t="n"/>
      <c r="G357" s="2" t="n"/>
      <c r="H357" s="2" t="n"/>
      <c r="I357" s="2" t="n"/>
    </row>
    <row r="358">
      <c r="A358" s="2" t="n"/>
      <c r="B358" s="2" t="n"/>
      <c r="C358" s="2" t="n"/>
      <c r="D358" s="2" t="n"/>
      <c r="E358" s="41" t="n"/>
      <c r="F358" s="2" t="n"/>
      <c r="G358" s="2" t="n"/>
      <c r="H358" s="2" t="n"/>
      <c r="I358" s="2" t="n"/>
    </row>
    <row r="359">
      <c r="A359" s="2" t="n"/>
      <c r="B359" s="2" t="n"/>
      <c r="C359" s="2" t="n"/>
      <c r="D359" s="2" t="n"/>
      <c r="E359" s="41" t="n"/>
      <c r="F359" s="2" t="n"/>
      <c r="G359" s="2" t="n"/>
      <c r="H359" s="2" t="n"/>
      <c r="I359" s="2" t="n"/>
    </row>
    <row r="360">
      <c r="A360" s="2" t="n"/>
      <c r="B360" s="2" t="n"/>
      <c r="C360" s="2" t="n"/>
      <c r="D360" s="2" t="n"/>
      <c r="E360" s="41" t="n"/>
      <c r="F360" s="2" t="n"/>
      <c r="G360" s="2" t="n"/>
      <c r="H360" s="2" t="n"/>
      <c r="I360" s="2" t="n"/>
    </row>
    <row r="361">
      <c r="A361" s="2" t="n"/>
      <c r="B361" s="2" t="n"/>
      <c r="C361" s="2" t="n"/>
      <c r="D361" s="2" t="n"/>
      <c r="E361" s="41" t="n"/>
      <c r="F361" s="2" t="n"/>
      <c r="G361" s="2" t="n"/>
      <c r="H361" s="2" t="n"/>
      <c r="I361" s="2" t="n"/>
    </row>
    <row r="362">
      <c r="A362" s="2" t="n"/>
      <c r="B362" s="2" t="n"/>
      <c r="C362" s="2" t="n"/>
      <c r="D362" s="2" t="n"/>
      <c r="E362" s="41" t="n"/>
      <c r="F362" s="2" t="n"/>
      <c r="G362" s="2" t="n"/>
      <c r="H362" s="2" t="n"/>
      <c r="I362" s="2" t="n"/>
    </row>
    <row r="363">
      <c r="A363" s="2" t="n"/>
      <c r="B363" s="2" t="n"/>
      <c r="C363" s="2" t="n"/>
      <c r="D363" s="2" t="n"/>
      <c r="E363" s="41" t="n"/>
      <c r="F363" s="2" t="n"/>
      <c r="G363" s="2" t="n"/>
      <c r="H363" s="2" t="n"/>
      <c r="I363" s="2" t="n"/>
    </row>
    <row r="364">
      <c r="A364" s="2" t="n"/>
      <c r="B364" s="2" t="n"/>
      <c r="C364" s="2" t="n"/>
      <c r="D364" s="2" t="n"/>
      <c r="E364" s="41" t="n"/>
      <c r="F364" s="2" t="n"/>
      <c r="G364" s="2" t="n"/>
      <c r="H364" s="2" t="n"/>
      <c r="I364" s="2" t="n"/>
    </row>
    <row r="365">
      <c r="A365" s="2" t="n"/>
      <c r="B365" s="2" t="n"/>
      <c r="C365" s="2" t="n"/>
      <c r="D365" s="2" t="n"/>
      <c r="E365" s="41" t="n"/>
      <c r="F365" s="2" t="n"/>
      <c r="G365" s="2" t="n"/>
      <c r="H365" s="2" t="n"/>
      <c r="I365" s="2" t="n"/>
    </row>
    <row r="366">
      <c r="A366" s="2" t="n"/>
      <c r="B366" s="2" t="n"/>
      <c r="C366" s="2" t="n"/>
      <c r="D366" s="2" t="n"/>
      <c r="E366" s="41" t="n"/>
      <c r="F366" s="2" t="n"/>
      <c r="G366" s="2" t="n"/>
      <c r="H366" s="2" t="n"/>
      <c r="I366" s="2" t="n"/>
    </row>
    <row r="367">
      <c r="A367" s="2" t="n"/>
      <c r="B367" s="2" t="n"/>
      <c r="C367" s="2" t="n"/>
      <c r="D367" s="2" t="n"/>
      <c r="E367" s="41" t="n"/>
      <c r="F367" s="2" t="n"/>
      <c r="G367" s="2" t="n"/>
      <c r="H367" s="2" t="n"/>
      <c r="I367" s="2" t="n"/>
    </row>
    <row r="368">
      <c r="A368" s="2" t="n"/>
      <c r="B368" s="2" t="n"/>
      <c r="C368" s="2" t="n"/>
      <c r="D368" s="2" t="n"/>
      <c r="E368" s="41" t="n"/>
      <c r="F368" s="2" t="n"/>
      <c r="G368" s="2" t="n"/>
      <c r="H368" s="2" t="n"/>
      <c r="I368" s="2" t="n"/>
    </row>
    <row r="369">
      <c r="A369" s="2" t="n"/>
      <c r="B369" s="2" t="n"/>
      <c r="C369" s="2" t="n"/>
      <c r="D369" s="2" t="n"/>
      <c r="E369" s="41" t="n"/>
      <c r="F369" s="2" t="n"/>
      <c r="G369" s="2" t="n"/>
      <c r="H369" s="2" t="n"/>
      <c r="I369" s="2" t="n"/>
    </row>
    <row r="370">
      <c r="A370" s="2" t="n"/>
      <c r="B370" s="2" t="n"/>
      <c r="C370" s="2" t="n"/>
      <c r="D370" s="2" t="n"/>
      <c r="E370" s="41" t="n"/>
      <c r="F370" s="2" t="n"/>
      <c r="G370" s="2" t="n"/>
      <c r="H370" s="2" t="n"/>
      <c r="I370" s="2" t="n"/>
    </row>
    <row r="371">
      <c r="A371" s="2" t="n"/>
      <c r="B371" s="2" t="n"/>
      <c r="C371" s="2" t="n"/>
      <c r="D371" s="2" t="n"/>
      <c r="E371" s="41" t="n"/>
      <c r="F371" s="2" t="n"/>
      <c r="G371" s="2" t="n"/>
      <c r="H371" s="2" t="n"/>
      <c r="I371" s="2" t="n"/>
    </row>
    <row r="372">
      <c r="A372" s="2" t="n"/>
      <c r="B372" s="2" t="n"/>
      <c r="C372" s="2" t="n"/>
      <c r="D372" s="2" t="n"/>
      <c r="E372" s="41" t="n"/>
      <c r="F372" s="2" t="n"/>
      <c r="G372" s="2" t="n"/>
      <c r="H372" s="2" t="n"/>
      <c r="I372" s="2" t="n"/>
    </row>
    <row r="373">
      <c r="A373" s="2" t="n"/>
      <c r="B373" s="2" t="n"/>
      <c r="C373" s="2" t="n"/>
      <c r="D373" s="2" t="n"/>
      <c r="E373" s="41" t="n"/>
      <c r="F373" s="2" t="n"/>
      <c r="G373" s="2" t="n"/>
      <c r="H373" s="2" t="n"/>
      <c r="I373" s="2" t="n"/>
    </row>
    <row r="374">
      <c r="A374" s="2" t="n"/>
      <c r="B374" s="2" t="n"/>
      <c r="C374" s="2" t="n"/>
      <c r="D374" s="2" t="n"/>
      <c r="E374" s="41" t="n"/>
      <c r="F374" s="2" t="n"/>
      <c r="G374" s="2" t="n"/>
      <c r="H374" s="2" t="n"/>
      <c r="I374" s="2" t="n"/>
    </row>
    <row r="375">
      <c r="A375" s="2" t="n"/>
      <c r="B375" s="2" t="n"/>
      <c r="C375" s="2" t="n"/>
      <c r="D375" s="2" t="n"/>
      <c r="E375" s="41" t="n"/>
      <c r="F375" s="2" t="n"/>
      <c r="G375" s="2" t="n"/>
      <c r="H375" s="2" t="n"/>
      <c r="I375" s="2" t="n"/>
    </row>
    <row r="376">
      <c r="A376" s="2" t="n"/>
      <c r="B376" s="2" t="n"/>
      <c r="C376" s="2" t="n"/>
      <c r="D376" s="2" t="n"/>
      <c r="E376" s="41" t="n"/>
      <c r="F376" s="2" t="n"/>
      <c r="G376" s="2" t="n"/>
      <c r="H376" s="2" t="n"/>
      <c r="I376" s="2" t="n"/>
    </row>
    <row r="377">
      <c r="A377" s="2" t="n"/>
      <c r="B377" s="2" t="n"/>
      <c r="C377" s="2" t="n"/>
      <c r="D377" s="2" t="n"/>
      <c r="E377" s="41" t="n"/>
      <c r="F377" s="2" t="n"/>
      <c r="G377" s="2" t="n"/>
      <c r="H377" s="2" t="n"/>
      <c r="I377" s="2" t="n"/>
    </row>
    <row r="378">
      <c r="A378" s="2" t="n"/>
      <c r="B378" s="2" t="n"/>
      <c r="C378" s="2" t="n"/>
      <c r="D378" s="2" t="n"/>
      <c r="E378" s="41" t="n"/>
      <c r="F378" s="2" t="n"/>
      <c r="G378" s="2" t="n"/>
      <c r="H378" s="2" t="n"/>
      <c r="I378" s="2" t="n"/>
    </row>
    <row r="379">
      <c r="A379" s="2" t="n"/>
      <c r="B379" s="2" t="n"/>
      <c r="C379" s="2" t="n"/>
      <c r="D379" s="2" t="n"/>
      <c r="E379" s="41" t="n"/>
      <c r="F379" s="2" t="n"/>
      <c r="G379" s="2" t="n"/>
      <c r="H379" s="2" t="n"/>
      <c r="I379" s="2" t="n"/>
    </row>
    <row r="380">
      <c r="A380" s="2" t="n"/>
      <c r="B380" s="2" t="n"/>
      <c r="C380" s="2" t="n"/>
      <c r="D380" s="2" t="n"/>
      <c r="E380" s="41" t="n"/>
      <c r="F380" s="2" t="n"/>
      <c r="G380" s="2" t="n"/>
      <c r="H380" s="2" t="n"/>
      <c r="I380" s="2" t="n"/>
    </row>
    <row r="381">
      <c r="A381" s="2" t="n"/>
      <c r="B381" s="2" t="n"/>
      <c r="C381" s="2" t="n"/>
      <c r="D381" s="2" t="n"/>
      <c r="E381" s="41" t="n"/>
      <c r="F381" s="2" t="n"/>
      <c r="G381" s="2" t="n"/>
      <c r="H381" s="2" t="n"/>
      <c r="I381" s="2" t="n"/>
    </row>
    <row r="382">
      <c r="A382" s="2" t="n"/>
      <c r="B382" s="2" t="n"/>
      <c r="C382" s="2" t="n"/>
      <c r="D382" s="2" t="n"/>
      <c r="E382" s="41" t="n"/>
      <c r="F382" s="2" t="n"/>
      <c r="G382" s="2" t="n"/>
      <c r="H382" s="2" t="n"/>
      <c r="I382" s="2" t="n"/>
    </row>
    <row r="383">
      <c r="A383" s="2" t="n"/>
      <c r="B383" s="2" t="n"/>
      <c r="C383" s="2" t="n"/>
      <c r="D383" s="2" t="n"/>
      <c r="E383" s="41" t="n"/>
      <c r="F383" s="2" t="n"/>
      <c r="G383" s="2" t="n"/>
      <c r="H383" s="2" t="n"/>
      <c r="I383" s="2" t="n"/>
    </row>
    <row r="384">
      <c r="A384" s="2" t="n"/>
      <c r="B384" s="2" t="n"/>
      <c r="C384" s="2" t="n"/>
      <c r="D384" s="2" t="n"/>
      <c r="E384" s="41" t="n"/>
      <c r="F384" s="2" t="n"/>
      <c r="G384" s="2" t="n"/>
      <c r="H384" s="2" t="n"/>
      <c r="I384" s="2" t="n"/>
    </row>
    <row r="385">
      <c r="A385" s="2" t="n"/>
      <c r="B385" s="2" t="n"/>
      <c r="C385" s="2" t="n"/>
      <c r="D385" s="2" t="n"/>
      <c r="E385" s="41" t="n"/>
      <c r="F385" s="2" t="n"/>
      <c r="G385" s="2" t="n"/>
      <c r="H385" s="2" t="n"/>
      <c r="I385" s="2" t="n"/>
    </row>
    <row r="386">
      <c r="A386" s="2" t="n"/>
      <c r="B386" s="2" t="n"/>
      <c r="C386" s="2" t="n"/>
      <c r="D386" s="2" t="n"/>
      <c r="E386" s="41" t="n"/>
      <c r="F386" s="2" t="n"/>
      <c r="G386" s="2" t="n"/>
      <c r="H386" s="2" t="n"/>
      <c r="I386" s="2" t="n"/>
    </row>
    <row r="387">
      <c r="A387" s="2" t="n"/>
      <c r="B387" s="2" t="n"/>
      <c r="C387" s="2" t="n"/>
      <c r="D387" s="2" t="n"/>
      <c r="E387" s="41" t="n"/>
      <c r="F387" s="2" t="n"/>
      <c r="G387" s="2" t="n"/>
      <c r="H387" s="2" t="n"/>
      <c r="I387" s="2" t="n"/>
    </row>
    <row r="388">
      <c r="A388" s="2" t="n"/>
      <c r="B388" s="2" t="n"/>
      <c r="C388" s="2" t="n"/>
      <c r="D388" s="2" t="n"/>
      <c r="E388" s="41" t="n"/>
      <c r="F388" s="2" t="n"/>
      <c r="G388" s="2" t="n"/>
      <c r="H388" s="2" t="n"/>
      <c r="I388" s="2" t="n"/>
    </row>
    <row r="389">
      <c r="A389" s="2" t="n"/>
      <c r="B389" s="2" t="n"/>
      <c r="C389" s="2" t="n"/>
      <c r="D389" s="2" t="n"/>
      <c r="E389" s="41" t="n"/>
      <c r="F389" s="2" t="n"/>
      <c r="G389" s="2" t="n"/>
      <c r="H389" s="2" t="n"/>
      <c r="I389" s="2" t="n"/>
    </row>
    <row r="390">
      <c r="A390" s="2" t="n"/>
      <c r="B390" s="2" t="n"/>
      <c r="C390" s="2" t="n"/>
      <c r="D390" s="2" t="n"/>
      <c r="E390" s="41" t="n"/>
      <c r="F390" s="2" t="n"/>
      <c r="G390" s="2" t="n"/>
      <c r="H390" s="2" t="n"/>
      <c r="I390" s="2" t="n"/>
    </row>
    <row r="391">
      <c r="A391" s="2" t="n"/>
      <c r="B391" s="2" t="n"/>
      <c r="C391" s="2" t="n"/>
      <c r="D391" s="2" t="n"/>
      <c r="E391" s="41" t="n"/>
      <c r="F391" s="2" t="n"/>
      <c r="G391" s="2" t="n"/>
      <c r="H391" s="2" t="n"/>
      <c r="I391" s="2" t="n"/>
    </row>
    <row r="392">
      <c r="A392" s="2" t="n"/>
      <c r="B392" s="2" t="n"/>
      <c r="C392" s="2" t="n"/>
      <c r="D392" s="2" t="n"/>
      <c r="E392" s="41" t="n"/>
      <c r="F392" s="2" t="n"/>
      <c r="G392" s="2" t="n"/>
      <c r="H392" s="2" t="n"/>
      <c r="I392" s="2" t="n"/>
    </row>
    <row r="393">
      <c r="A393" s="2" t="n"/>
      <c r="B393" s="2" t="n"/>
      <c r="C393" s="2" t="n"/>
      <c r="D393" s="2" t="n"/>
      <c r="E393" s="41" t="n"/>
      <c r="F393" s="2" t="n"/>
      <c r="G393" s="2" t="n"/>
      <c r="H393" s="2" t="n"/>
      <c r="I393" s="2" t="n"/>
    </row>
    <row r="394">
      <c r="A394" s="2" t="n"/>
      <c r="B394" s="2" t="n"/>
      <c r="C394" s="2" t="n"/>
      <c r="D394" s="2" t="n"/>
      <c r="E394" s="41" t="n"/>
      <c r="F394" s="2" t="n"/>
      <c r="G394" s="2" t="n"/>
      <c r="H394" s="2" t="n"/>
      <c r="I394" s="2" t="n"/>
    </row>
    <row r="395">
      <c r="A395" s="2" t="n"/>
      <c r="B395" s="2" t="n"/>
      <c r="C395" s="2" t="n"/>
      <c r="D395" s="2" t="n"/>
      <c r="E395" s="41" t="n"/>
      <c r="F395" s="2" t="n"/>
      <c r="G395" s="2" t="n"/>
      <c r="H395" s="2" t="n"/>
      <c r="I395" s="2" t="n"/>
    </row>
    <row r="396">
      <c r="A396" s="2" t="n"/>
      <c r="B396" s="2" t="n"/>
      <c r="C396" s="2" t="n"/>
      <c r="D396" s="2" t="n"/>
      <c r="E396" s="41" t="n"/>
      <c r="F396" s="2" t="n"/>
      <c r="G396" s="2" t="n"/>
      <c r="H396" s="2" t="n"/>
      <c r="I396" s="2" t="n"/>
    </row>
    <row r="397">
      <c r="A397" s="2" t="n"/>
      <c r="B397" s="2" t="n"/>
      <c r="C397" s="2" t="n"/>
      <c r="D397" s="2" t="n"/>
      <c r="E397" s="41" t="n"/>
      <c r="F397" s="2" t="n"/>
      <c r="G397" s="2" t="n"/>
      <c r="H397" s="2" t="n"/>
      <c r="I397" s="2" t="n"/>
    </row>
    <row r="398">
      <c r="A398" s="2" t="n"/>
      <c r="B398" s="2" t="n"/>
      <c r="C398" s="2" t="n"/>
      <c r="D398" s="2" t="n"/>
      <c r="E398" s="41" t="n"/>
      <c r="F398" s="2" t="n"/>
      <c r="G398" s="2" t="n"/>
      <c r="H398" s="2" t="n"/>
      <c r="I398" s="2" t="n"/>
    </row>
    <row r="399">
      <c r="A399" s="2" t="n"/>
      <c r="B399" s="2" t="n"/>
      <c r="C399" s="2" t="n"/>
      <c r="D399" s="2" t="n"/>
      <c r="E399" s="41" t="n"/>
      <c r="F399" s="2" t="n"/>
      <c r="G399" s="2" t="n"/>
      <c r="H399" s="2" t="n"/>
      <c r="I399" s="2" t="n"/>
    </row>
    <row r="400">
      <c r="A400" s="2" t="n"/>
      <c r="B400" s="2" t="n"/>
      <c r="C400" s="2" t="n"/>
      <c r="D400" s="2" t="n"/>
      <c r="E400" s="41" t="n"/>
      <c r="F400" s="2" t="n"/>
      <c r="G400" s="2" t="n"/>
      <c r="H400" s="2" t="n"/>
      <c r="I400" s="2" t="n"/>
    </row>
    <row r="401">
      <c r="A401" s="2" t="n"/>
      <c r="B401" s="2" t="n"/>
      <c r="C401" s="2" t="n"/>
      <c r="D401" s="2" t="n"/>
      <c r="E401" s="41" t="n"/>
      <c r="F401" s="2" t="n"/>
      <c r="G401" s="2" t="n"/>
      <c r="H401" s="2" t="n"/>
      <c r="I401" s="2" t="n"/>
    </row>
    <row r="402">
      <c r="A402" s="2" t="n"/>
      <c r="B402" s="2" t="n"/>
      <c r="C402" s="2" t="n"/>
      <c r="D402" s="2" t="n"/>
      <c r="E402" s="41" t="n"/>
      <c r="F402" s="2" t="n"/>
      <c r="G402" s="2" t="n"/>
      <c r="H402" s="2" t="n"/>
      <c r="I402" s="2" t="n"/>
    </row>
    <row r="403">
      <c r="A403" s="2" t="n"/>
      <c r="B403" s="2" t="n"/>
      <c r="C403" s="2" t="n"/>
      <c r="D403" s="2" t="n"/>
      <c r="E403" s="41" t="n"/>
      <c r="F403" s="2" t="n"/>
      <c r="G403" s="2" t="n"/>
      <c r="H403" s="2" t="n"/>
      <c r="I403" s="2" t="n"/>
    </row>
    <row r="404">
      <c r="A404" s="2" t="n"/>
      <c r="B404" s="2" t="n"/>
      <c r="C404" s="2" t="n"/>
      <c r="D404" s="2" t="n"/>
      <c r="E404" s="41" t="n"/>
      <c r="F404" s="2" t="n"/>
      <c r="G404" s="2" t="n"/>
      <c r="H404" s="2" t="n"/>
      <c r="I404" s="2" t="n"/>
    </row>
    <row r="405">
      <c r="A405" s="2" t="n"/>
      <c r="B405" s="2" t="n"/>
      <c r="C405" s="2" t="n"/>
      <c r="D405" s="2" t="n"/>
      <c r="E405" s="41" t="n"/>
      <c r="F405" s="2" t="n"/>
      <c r="G405" s="2" t="n"/>
      <c r="H405" s="2" t="n"/>
      <c r="I405" s="2" t="n"/>
    </row>
    <row r="406">
      <c r="A406" s="2" t="n"/>
      <c r="B406" s="2" t="n"/>
      <c r="C406" s="2" t="n"/>
      <c r="D406" s="2" t="n"/>
      <c r="E406" s="41" t="n"/>
      <c r="F406" s="2" t="n"/>
      <c r="G406" s="2" t="n"/>
      <c r="H406" s="2" t="n"/>
      <c r="I406" s="2" t="n"/>
    </row>
    <row r="407">
      <c r="A407" s="2" t="n"/>
      <c r="B407" s="2" t="n"/>
      <c r="C407" s="2" t="n"/>
      <c r="D407" s="2" t="n"/>
      <c r="E407" s="41" t="n"/>
      <c r="F407" s="2" t="n"/>
      <c r="G407" s="2" t="n"/>
      <c r="H407" s="2" t="n"/>
      <c r="I407" s="2" t="n"/>
    </row>
    <row r="408">
      <c r="A408" s="2" t="n"/>
      <c r="B408" s="2" t="n"/>
      <c r="C408" s="2" t="n"/>
      <c r="D408" s="2" t="n"/>
      <c r="E408" s="41" t="n"/>
      <c r="F408" s="2" t="n"/>
      <c r="G408" s="2" t="n"/>
      <c r="H408" s="2" t="n"/>
      <c r="I408" s="2" t="n"/>
    </row>
    <row r="409">
      <c r="A409" s="2" t="n"/>
      <c r="B409" s="2" t="n"/>
      <c r="C409" s="2" t="n"/>
      <c r="D409" s="2" t="n"/>
      <c r="E409" s="41" t="n"/>
      <c r="F409" s="2" t="n"/>
      <c r="G409" s="2" t="n"/>
      <c r="H409" s="2" t="n"/>
      <c r="I409" s="2" t="n"/>
    </row>
    <row r="410">
      <c r="A410" s="2" t="n"/>
      <c r="B410" s="2" t="n"/>
      <c r="C410" s="2" t="n"/>
      <c r="D410" s="2" t="n"/>
      <c r="E410" s="41" t="n"/>
      <c r="F410" s="2" t="n"/>
      <c r="G410" s="2" t="n"/>
      <c r="H410" s="2" t="n"/>
      <c r="I410" s="2" t="n"/>
    </row>
    <row r="411">
      <c r="A411" s="2" t="n"/>
      <c r="B411" s="2" t="n"/>
      <c r="C411" s="2" t="n"/>
      <c r="D411" s="2" t="n"/>
      <c r="E411" s="41" t="n"/>
      <c r="F411" s="2" t="n"/>
      <c r="G411" s="2" t="n"/>
      <c r="H411" s="2" t="n"/>
      <c r="I411" s="2" t="n"/>
    </row>
    <row r="412">
      <c r="A412" s="2" t="n"/>
      <c r="B412" s="2" t="n"/>
      <c r="C412" s="2" t="n"/>
      <c r="D412" s="2" t="n"/>
      <c r="E412" s="41" t="n"/>
      <c r="F412" s="2" t="n"/>
      <c r="G412" s="2" t="n"/>
      <c r="H412" s="2" t="n"/>
      <c r="I412" s="2" t="n"/>
    </row>
    <row r="413">
      <c r="A413" s="2" t="n"/>
      <c r="B413" s="2" t="n"/>
      <c r="C413" s="2" t="n"/>
      <c r="D413" s="2" t="n"/>
      <c r="E413" s="41" t="n"/>
      <c r="F413" s="2" t="n"/>
      <c r="G413" s="2" t="n"/>
      <c r="H413" s="2" t="n"/>
      <c r="I413" s="2" t="n"/>
    </row>
    <row r="414">
      <c r="A414" s="2" t="n"/>
      <c r="B414" s="2" t="n"/>
      <c r="C414" s="2" t="n"/>
      <c r="D414" s="2" t="n"/>
      <c r="E414" s="41" t="n"/>
      <c r="F414" s="2" t="n"/>
      <c r="G414" s="2" t="n"/>
      <c r="H414" s="2" t="n"/>
      <c r="I414" s="2" t="n"/>
    </row>
    <row r="415">
      <c r="A415" s="2" t="n"/>
      <c r="B415" s="2" t="n"/>
      <c r="C415" s="2" t="n"/>
      <c r="D415" s="2" t="n"/>
      <c r="E415" s="41" t="n"/>
      <c r="F415" s="2" t="n"/>
      <c r="G415" s="2" t="n"/>
      <c r="H415" s="2" t="n"/>
      <c r="I415" s="2" t="n"/>
    </row>
    <row r="416">
      <c r="A416" s="2" t="n"/>
      <c r="B416" s="2" t="n"/>
      <c r="C416" s="2" t="n"/>
      <c r="D416" s="2" t="n"/>
      <c r="E416" s="41" t="n"/>
      <c r="F416" s="2" t="n"/>
      <c r="G416" s="2" t="n"/>
      <c r="H416" s="2" t="n"/>
      <c r="I416" s="2" t="n"/>
    </row>
    <row r="417">
      <c r="A417" s="2" t="n"/>
      <c r="B417" s="2" t="n"/>
      <c r="C417" s="2" t="n"/>
      <c r="D417" s="2" t="n"/>
      <c r="E417" s="41" t="n"/>
      <c r="F417" s="2" t="n"/>
      <c r="G417" s="2" t="n"/>
      <c r="H417" s="2" t="n"/>
      <c r="I417" s="2" t="n"/>
    </row>
    <row r="418">
      <c r="A418" s="2" t="n"/>
      <c r="B418" s="2" t="n"/>
      <c r="C418" s="2" t="n"/>
      <c r="D418" s="2" t="n"/>
      <c r="E418" s="41" t="n"/>
      <c r="F418" s="2" t="n"/>
      <c r="G418" s="2" t="n"/>
      <c r="H418" s="2" t="n"/>
      <c r="I418" s="2" t="n"/>
    </row>
    <row r="419">
      <c r="A419" s="2" t="n"/>
      <c r="B419" s="2" t="n"/>
      <c r="C419" s="2" t="n"/>
      <c r="D419" s="2" t="n"/>
      <c r="E419" s="41" t="n"/>
      <c r="F419" s="2" t="n"/>
      <c r="G419" s="2" t="n"/>
      <c r="H419" s="2" t="n"/>
      <c r="I419" s="2" t="n"/>
    </row>
    <row r="420">
      <c r="A420" s="2" t="n"/>
      <c r="B420" s="2" t="n"/>
      <c r="C420" s="2" t="n"/>
      <c r="D420" s="2" t="n"/>
      <c r="E420" s="41" t="n"/>
      <c r="F420" s="2" t="n"/>
      <c r="G420" s="2" t="n"/>
      <c r="H420" s="2" t="n"/>
      <c r="I420" s="2" t="n"/>
    </row>
    <row r="421">
      <c r="A421" s="2" t="n"/>
      <c r="B421" s="2" t="n"/>
      <c r="C421" s="2" t="n"/>
      <c r="D421" s="2" t="n"/>
      <c r="E421" s="41" t="n"/>
      <c r="F421" s="2" t="n"/>
      <c r="G421" s="2" t="n"/>
      <c r="H421" s="2" t="n"/>
      <c r="I421" s="2" t="n"/>
    </row>
    <row r="422">
      <c r="A422" s="2" t="n"/>
      <c r="B422" s="2" t="n"/>
      <c r="C422" s="2" t="n"/>
      <c r="D422" s="2" t="n"/>
      <c r="E422" s="41" t="n"/>
      <c r="F422" s="2" t="n"/>
      <c r="G422" s="2" t="n"/>
      <c r="H422" s="2" t="n"/>
      <c r="I422" s="2" t="n"/>
    </row>
    <row r="423">
      <c r="A423" s="2" t="n"/>
      <c r="B423" s="2" t="n"/>
      <c r="C423" s="2" t="n"/>
      <c r="D423" s="2" t="n"/>
      <c r="E423" s="41" t="n"/>
      <c r="F423" s="2" t="n"/>
      <c r="G423" s="2" t="n"/>
      <c r="H423" s="2" t="n"/>
      <c r="I423" s="2" t="n"/>
    </row>
    <row r="424">
      <c r="A424" s="2" t="n"/>
      <c r="B424" s="2" t="n"/>
      <c r="C424" s="2" t="n"/>
      <c r="D424" s="2" t="n"/>
      <c r="E424" s="41" t="n"/>
      <c r="F424" s="2" t="n"/>
      <c r="G424" s="2" t="n"/>
      <c r="H424" s="2" t="n"/>
      <c r="I424" s="2" t="n"/>
    </row>
    <row r="425">
      <c r="A425" s="2" t="n"/>
      <c r="B425" s="2" t="n"/>
      <c r="C425" s="2" t="n"/>
      <c r="D425" s="2" t="n"/>
      <c r="E425" s="41" t="n"/>
      <c r="F425" s="2" t="n"/>
      <c r="G425" s="2" t="n"/>
      <c r="H425" s="2" t="n"/>
      <c r="I425" s="2" t="n"/>
    </row>
    <row r="426">
      <c r="A426" s="2" t="n"/>
      <c r="B426" s="2" t="n"/>
      <c r="C426" s="2" t="n"/>
      <c r="D426" s="2" t="n"/>
      <c r="E426" s="41" t="n"/>
      <c r="F426" s="2" t="n"/>
      <c r="G426" s="2" t="n"/>
      <c r="H426" s="2" t="n"/>
      <c r="I426" s="2" t="n"/>
    </row>
    <row r="427">
      <c r="A427" s="2" t="n"/>
      <c r="B427" s="2" t="n"/>
      <c r="C427" s="2" t="n"/>
      <c r="D427" s="2" t="n"/>
      <c r="E427" s="41" t="n"/>
      <c r="F427" s="2" t="n"/>
      <c r="G427" s="2" t="n"/>
      <c r="H427" s="2" t="n"/>
      <c r="I427" s="2" t="n"/>
    </row>
    <row r="428">
      <c r="A428" s="2" t="n"/>
      <c r="B428" s="2" t="n"/>
      <c r="C428" s="2" t="n"/>
      <c r="D428" s="2" t="n"/>
      <c r="E428" s="41" t="n"/>
      <c r="F428" s="2" t="n"/>
      <c r="G428" s="2" t="n"/>
      <c r="H428" s="2" t="n"/>
      <c r="I428" s="2" t="n"/>
    </row>
    <row r="429">
      <c r="A429" s="2" t="n"/>
      <c r="B429" s="2" t="n"/>
      <c r="C429" s="2" t="n"/>
      <c r="D429" s="2" t="n"/>
      <c r="E429" s="41" t="n"/>
      <c r="F429" s="2" t="n"/>
      <c r="G429" s="2" t="n"/>
      <c r="H429" s="2" t="n"/>
      <c r="I429" s="2" t="n"/>
    </row>
    <row r="430">
      <c r="A430" s="2" t="n"/>
      <c r="B430" s="2" t="n"/>
      <c r="C430" s="2" t="n"/>
      <c r="D430" s="2" t="n"/>
      <c r="E430" s="41" t="n"/>
      <c r="F430" s="2" t="n"/>
      <c r="G430" s="2" t="n"/>
      <c r="H430" s="2" t="n"/>
      <c r="I430" s="2" t="n"/>
    </row>
    <row r="431">
      <c r="A431" s="2" t="n"/>
      <c r="B431" s="2" t="n"/>
      <c r="C431" s="2" t="n"/>
      <c r="D431" s="2" t="n"/>
      <c r="E431" s="41" t="n"/>
      <c r="F431" s="2" t="n"/>
      <c r="G431" s="2" t="n"/>
      <c r="H431" s="2" t="n"/>
      <c r="I431" s="2" t="n"/>
    </row>
    <row r="432">
      <c r="A432" s="2" t="n"/>
      <c r="B432" s="2" t="n"/>
      <c r="C432" s="2" t="n"/>
      <c r="D432" s="2" t="n"/>
      <c r="E432" s="41" t="n"/>
      <c r="F432" s="2" t="n"/>
      <c r="G432" s="2" t="n"/>
      <c r="H432" s="2" t="n"/>
      <c r="I432" s="2" t="n"/>
    </row>
    <row r="433">
      <c r="A433" s="2" t="n"/>
      <c r="B433" s="2" t="n"/>
      <c r="C433" s="2" t="n"/>
      <c r="D433" s="2" t="n"/>
      <c r="E433" s="41" t="n"/>
      <c r="F433" s="2" t="n"/>
      <c r="G433" s="2" t="n"/>
      <c r="H433" s="2" t="n"/>
      <c r="I433" s="2" t="n"/>
    </row>
    <row r="434">
      <c r="A434" s="2" t="n"/>
      <c r="B434" s="2" t="n"/>
      <c r="C434" s="2" t="n"/>
      <c r="D434" s="2" t="n"/>
      <c r="E434" s="41" t="n"/>
      <c r="F434" s="2" t="n"/>
      <c r="G434" s="2" t="n"/>
      <c r="H434" s="2" t="n"/>
      <c r="I434" s="2" t="n"/>
    </row>
    <row r="435">
      <c r="A435" s="2" t="n"/>
      <c r="B435" s="2" t="n"/>
      <c r="C435" s="2" t="n"/>
      <c r="D435" s="2" t="n"/>
      <c r="E435" s="41" t="n"/>
      <c r="F435" s="2" t="n"/>
      <c r="G435" s="2" t="n"/>
      <c r="H435" s="2" t="n"/>
      <c r="I435" s="2" t="n"/>
    </row>
    <row r="436">
      <c r="A436" s="2" t="n"/>
      <c r="B436" s="2" t="n"/>
      <c r="C436" s="2" t="n"/>
      <c r="D436" s="2" t="n"/>
      <c r="E436" s="41" t="n"/>
      <c r="F436" s="2" t="n"/>
      <c r="G436" s="2" t="n"/>
      <c r="H436" s="2" t="n"/>
      <c r="I436" s="2" t="n"/>
    </row>
    <row r="437">
      <c r="A437" s="2" t="n"/>
      <c r="B437" s="2" t="n"/>
      <c r="C437" s="2" t="n"/>
      <c r="D437" s="2" t="n"/>
      <c r="E437" s="41" t="n"/>
      <c r="F437" s="2" t="n"/>
      <c r="G437" s="2" t="n"/>
      <c r="H437" s="2" t="n"/>
      <c r="I437" s="2" t="n"/>
    </row>
    <row r="438">
      <c r="A438" s="2" t="n"/>
      <c r="B438" s="2" t="n"/>
      <c r="C438" s="2" t="n"/>
      <c r="D438" s="2" t="n"/>
      <c r="E438" s="41" t="n"/>
      <c r="F438" s="2" t="n"/>
      <c r="G438" s="2" t="n"/>
      <c r="H438" s="2" t="n"/>
      <c r="I438" s="2" t="n"/>
    </row>
    <row r="439">
      <c r="A439" s="2" t="n"/>
      <c r="B439" s="2" t="n"/>
      <c r="C439" s="2" t="n"/>
      <c r="D439" s="2" t="n"/>
      <c r="E439" s="41" t="n"/>
      <c r="F439" s="2" t="n"/>
      <c r="G439" s="2" t="n"/>
      <c r="H439" s="2" t="n"/>
      <c r="I439" s="2" t="n"/>
    </row>
    <row r="440">
      <c r="A440" s="2" t="n"/>
      <c r="B440" s="2" t="n"/>
      <c r="C440" s="2" t="n"/>
      <c r="D440" s="2" t="n"/>
      <c r="E440" s="41" t="n"/>
      <c r="F440" s="2" t="n"/>
      <c r="G440" s="2" t="n"/>
      <c r="H440" s="2" t="n"/>
      <c r="I440" s="2" t="n"/>
    </row>
    <row r="441">
      <c r="A441" s="2" t="n"/>
      <c r="B441" s="2" t="n"/>
      <c r="C441" s="2" t="n"/>
      <c r="D441" s="2" t="n"/>
      <c r="E441" s="41" t="n"/>
      <c r="F441" s="2" t="n"/>
      <c r="G441" s="2" t="n"/>
      <c r="H441" s="2" t="n"/>
      <c r="I441" s="2" t="n"/>
    </row>
    <row r="442">
      <c r="A442" s="2" t="n"/>
      <c r="B442" s="2" t="n"/>
      <c r="C442" s="2" t="n"/>
      <c r="D442" s="2" t="n"/>
      <c r="E442" s="41" t="n"/>
      <c r="F442" s="2" t="n"/>
      <c r="G442" s="2" t="n"/>
      <c r="H442" s="2" t="n"/>
      <c r="I442" s="2" t="n"/>
    </row>
    <row r="443">
      <c r="A443" s="2" t="n"/>
      <c r="B443" s="2" t="n"/>
      <c r="C443" s="2" t="n"/>
      <c r="D443" s="2" t="n"/>
      <c r="E443" s="41" t="n"/>
      <c r="F443" s="2" t="n"/>
      <c r="G443" s="2" t="n"/>
      <c r="H443" s="2" t="n"/>
      <c r="I443" s="2" t="n"/>
    </row>
    <row r="444">
      <c r="A444" s="2" t="n"/>
      <c r="B444" s="2" t="n"/>
      <c r="C444" s="2" t="n"/>
      <c r="D444" s="2" t="n"/>
      <c r="E444" s="41" t="n"/>
      <c r="F444" s="2" t="n"/>
      <c r="G444" s="2" t="n"/>
      <c r="H444" s="2" t="n"/>
      <c r="I444" s="2" t="n"/>
    </row>
    <row r="445">
      <c r="A445" s="2" t="n"/>
      <c r="B445" s="2" t="n"/>
      <c r="C445" s="2" t="n"/>
      <c r="D445" s="2" t="n"/>
      <c r="E445" s="41" t="n"/>
      <c r="F445" s="2" t="n"/>
      <c r="G445" s="2" t="n"/>
      <c r="H445" s="2" t="n"/>
      <c r="I445" s="2" t="n"/>
    </row>
    <row r="446">
      <c r="A446" s="2" t="n"/>
      <c r="B446" s="2" t="n"/>
      <c r="C446" s="2" t="n"/>
      <c r="D446" s="2" t="n"/>
      <c r="E446" s="41" t="n"/>
      <c r="F446" s="2" t="n"/>
      <c r="G446" s="2" t="n"/>
      <c r="H446" s="2" t="n"/>
      <c r="I446" s="2" t="n"/>
    </row>
    <row r="447">
      <c r="A447" s="2" t="n"/>
      <c r="B447" s="2" t="n"/>
      <c r="C447" s="2" t="n"/>
      <c r="D447" s="2" t="n"/>
      <c r="E447" s="41" t="n"/>
      <c r="F447" s="2" t="n"/>
      <c r="G447" s="2" t="n"/>
      <c r="H447" s="2" t="n"/>
      <c r="I447" s="2" t="n"/>
    </row>
    <row r="448">
      <c r="A448" s="2" t="n"/>
      <c r="B448" s="2" t="n"/>
      <c r="C448" s="2" t="n"/>
      <c r="D448" s="2" t="n"/>
      <c r="E448" s="41" t="n"/>
      <c r="F448" s="2" t="n"/>
      <c r="G448" s="2" t="n"/>
      <c r="H448" s="2" t="n"/>
      <c r="I448" s="2" t="n"/>
    </row>
    <row r="449">
      <c r="A449" s="2" t="n"/>
      <c r="B449" s="2" t="n"/>
      <c r="C449" s="2" t="n"/>
      <c r="D449" s="2" t="n"/>
      <c r="E449" s="41" t="n"/>
      <c r="F449" s="2" t="n"/>
      <c r="G449" s="2" t="n"/>
      <c r="H449" s="2" t="n"/>
      <c r="I449" s="2" t="n"/>
    </row>
    <row r="450">
      <c r="A450" s="2" t="n"/>
      <c r="B450" s="2" t="n"/>
      <c r="C450" s="2" t="n"/>
      <c r="D450" s="2" t="n"/>
      <c r="E450" s="41" t="n"/>
      <c r="F450" s="2" t="n"/>
      <c r="G450" s="2" t="n"/>
      <c r="H450" s="2" t="n"/>
      <c r="I450" s="2" t="n"/>
    </row>
    <row r="451">
      <c r="A451" s="2" t="n"/>
      <c r="B451" s="2" t="n"/>
      <c r="C451" s="2" t="n"/>
      <c r="D451" s="2" t="n"/>
      <c r="E451" s="41" t="n"/>
      <c r="F451" s="2" t="n"/>
      <c r="G451" s="2" t="n"/>
      <c r="H451" s="2" t="n"/>
      <c r="I451" s="2" t="n"/>
    </row>
    <row r="452">
      <c r="A452" s="2" t="n"/>
      <c r="B452" s="2" t="n"/>
      <c r="C452" s="2" t="n"/>
      <c r="D452" s="2" t="n"/>
      <c r="E452" s="41" t="n"/>
      <c r="F452" s="2" t="n"/>
      <c r="G452" s="2" t="n"/>
      <c r="H452" s="2" t="n"/>
      <c r="I452" s="2" t="n"/>
    </row>
    <row r="453">
      <c r="A453" s="2" t="n"/>
      <c r="B453" s="2" t="n"/>
      <c r="C453" s="2" t="n"/>
      <c r="D453" s="2" t="n"/>
      <c r="E453" s="41" t="n"/>
      <c r="F453" s="2" t="n"/>
      <c r="G453" s="2" t="n"/>
      <c r="H453" s="2" t="n"/>
      <c r="I453" s="2" t="n"/>
    </row>
    <row r="454">
      <c r="A454" s="2" t="n"/>
      <c r="B454" s="2" t="n"/>
      <c r="C454" s="2" t="n"/>
      <c r="D454" s="2" t="n"/>
      <c r="E454" s="41" t="n"/>
      <c r="F454" s="2" t="n"/>
      <c r="G454" s="2" t="n"/>
      <c r="H454" s="2" t="n"/>
      <c r="I454" s="2" t="n"/>
    </row>
    <row r="455">
      <c r="A455" s="2" t="n"/>
      <c r="B455" s="2" t="n"/>
      <c r="C455" s="2" t="n"/>
      <c r="D455" s="2" t="n"/>
      <c r="E455" s="41" t="n"/>
      <c r="F455" s="2" t="n"/>
      <c r="G455" s="2" t="n"/>
      <c r="H455" s="2" t="n"/>
      <c r="I455" s="2" t="n"/>
    </row>
    <row r="456">
      <c r="A456" s="2" t="n"/>
      <c r="B456" s="2" t="n"/>
      <c r="C456" s="2" t="n"/>
      <c r="D456" s="2" t="n"/>
      <c r="E456" s="41" t="n"/>
      <c r="F456" s="2" t="n"/>
      <c r="G456" s="2" t="n"/>
      <c r="H456" s="2" t="n"/>
      <c r="I456" s="2" t="n"/>
    </row>
    <row r="457">
      <c r="A457" s="2" t="n"/>
      <c r="B457" s="2" t="n"/>
      <c r="C457" s="2" t="n"/>
      <c r="D457" s="2" t="n"/>
      <c r="E457" s="41" t="n"/>
      <c r="F457" s="2" t="n"/>
      <c r="G457" s="2" t="n"/>
      <c r="H457" s="2" t="n"/>
      <c r="I457" s="2" t="n"/>
    </row>
    <row r="458">
      <c r="A458" s="2" t="n"/>
      <c r="B458" s="2" t="n"/>
      <c r="C458" s="2" t="n"/>
      <c r="D458" s="2" t="n"/>
      <c r="E458" s="41" t="n"/>
      <c r="F458" s="2" t="n"/>
      <c r="G458" s="2" t="n"/>
      <c r="H458" s="2" t="n"/>
      <c r="I458" s="2" t="n"/>
    </row>
    <row r="459">
      <c r="A459" s="2" t="n"/>
      <c r="B459" s="2" t="n"/>
      <c r="C459" s="2" t="n"/>
      <c r="D459" s="2" t="n"/>
      <c r="E459" s="41" t="n"/>
      <c r="F459" s="2" t="n"/>
      <c r="G459" s="2" t="n"/>
      <c r="H459" s="2" t="n"/>
      <c r="I459" s="2" t="n"/>
    </row>
    <row r="460">
      <c r="A460" s="2" t="n"/>
      <c r="B460" s="2" t="n"/>
      <c r="C460" s="2" t="n"/>
      <c r="D460" s="2" t="n"/>
      <c r="E460" s="41" t="n"/>
      <c r="F460" s="2" t="n"/>
      <c r="G460" s="2" t="n"/>
      <c r="H460" s="2" t="n"/>
      <c r="I460" s="2" t="n"/>
    </row>
    <row r="461">
      <c r="A461" s="2" t="n"/>
      <c r="B461" s="2" t="n"/>
      <c r="C461" s="2" t="n"/>
      <c r="D461" s="2" t="n"/>
      <c r="E461" s="41" t="n"/>
      <c r="F461" s="2" t="n"/>
      <c r="G461" s="2" t="n"/>
      <c r="H461" s="2" t="n"/>
      <c r="I461" s="2" t="n"/>
    </row>
    <row r="462">
      <c r="A462" s="2" t="n"/>
      <c r="B462" s="2" t="n"/>
      <c r="C462" s="2" t="n"/>
      <c r="D462" s="2" t="n"/>
      <c r="E462" s="41" t="n"/>
      <c r="F462" s="2" t="n"/>
      <c r="G462" s="2" t="n"/>
      <c r="H462" s="2" t="n"/>
      <c r="I462" s="2" t="n"/>
    </row>
    <row r="463">
      <c r="A463" s="2" t="n"/>
      <c r="B463" s="2" t="n"/>
      <c r="C463" s="2" t="n"/>
      <c r="D463" s="2" t="n"/>
      <c r="E463" s="41" t="n"/>
      <c r="F463" s="2" t="n"/>
      <c r="G463" s="2" t="n"/>
      <c r="H463" s="2" t="n"/>
      <c r="I463" s="2" t="n"/>
    </row>
    <row r="464">
      <c r="A464" s="2" t="n"/>
      <c r="B464" s="2" t="n"/>
      <c r="C464" s="2" t="n"/>
      <c r="D464" s="2" t="n"/>
      <c r="E464" s="41" t="n"/>
      <c r="F464" s="2" t="n"/>
      <c r="G464" s="2" t="n"/>
      <c r="H464" s="2" t="n"/>
      <c r="I464" s="2" t="n"/>
    </row>
    <row r="465">
      <c r="A465" s="2" t="n"/>
      <c r="B465" s="2" t="n"/>
      <c r="C465" s="2" t="n"/>
      <c r="D465" s="2" t="n"/>
      <c r="E465" s="41" t="n"/>
      <c r="F465" s="2" t="n"/>
      <c r="G465" s="2" t="n"/>
      <c r="H465" s="2" t="n"/>
      <c r="I465" s="2" t="n"/>
    </row>
    <row r="466">
      <c r="A466" s="2" t="n"/>
      <c r="B466" s="2" t="n"/>
      <c r="C466" s="2" t="n"/>
      <c r="D466" s="2" t="n"/>
      <c r="E466" s="41" t="n"/>
      <c r="F466" s="2" t="n"/>
      <c r="G466" s="2" t="n"/>
      <c r="H466" s="2" t="n"/>
      <c r="I466" s="2" t="n"/>
    </row>
    <row r="467">
      <c r="A467" s="2" t="n"/>
      <c r="B467" s="2" t="n"/>
      <c r="C467" s="2" t="n"/>
      <c r="D467" s="2" t="n"/>
      <c r="E467" s="41" t="n"/>
      <c r="F467" s="2" t="n"/>
      <c r="G467" s="2" t="n"/>
      <c r="H467" s="2" t="n"/>
      <c r="I467" s="2" t="n"/>
    </row>
    <row r="468">
      <c r="A468" s="2" t="n"/>
      <c r="B468" s="2" t="n"/>
      <c r="C468" s="2" t="n"/>
      <c r="D468" s="2" t="n"/>
      <c r="E468" s="41" t="n"/>
      <c r="F468" s="2" t="n"/>
      <c r="G468" s="2" t="n"/>
      <c r="H468" s="2" t="n"/>
      <c r="I468" s="2" t="n"/>
    </row>
    <row r="469">
      <c r="A469" s="2" t="n"/>
      <c r="B469" s="2" t="n"/>
      <c r="C469" s="2" t="n"/>
      <c r="D469" s="2" t="n"/>
      <c r="E469" s="41" t="n"/>
      <c r="F469" s="2" t="n"/>
      <c r="G469" s="2" t="n"/>
      <c r="H469" s="2" t="n"/>
      <c r="I469" s="2" t="n"/>
    </row>
    <row r="470">
      <c r="A470" s="2" t="n"/>
      <c r="B470" s="2" t="n"/>
      <c r="C470" s="2" t="n"/>
      <c r="D470" s="2" t="n"/>
      <c r="E470" s="41" t="n"/>
      <c r="F470" s="2" t="n"/>
      <c r="G470" s="2" t="n"/>
      <c r="H470" s="2" t="n"/>
      <c r="I470" s="2" t="n"/>
    </row>
    <row r="471">
      <c r="A471" s="2" t="n"/>
      <c r="B471" s="2" t="n"/>
      <c r="C471" s="2" t="n"/>
      <c r="D471" s="2" t="n"/>
      <c r="E471" s="41" t="n"/>
      <c r="F471" s="2" t="n"/>
      <c r="G471" s="2" t="n"/>
      <c r="H471" s="2" t="n"/>
      <c r="I471" s="2" t="n"/>
    </row>
    <row r="472">
      <c r="A472" s="2" t="n"/>
      <c r="B472" s="2" t="n"/>
      <c r="C472" s="2" t="n"/>
      <c r="D472" s="2" t="n"/>
      <c r="E472" s="41" t="n"/>
      <c r="F472" s="2" t="n"/>
      <c r="G472" s="2" t="n"/>
      <c r="H472" s="2" t="n"/>
      <c r="I472" s="2" t="n"/>
    </row>
    <row r="473">
      <c r="A473" s="2" t="n"/>
      <c r="B473" s="2" t="n"/>
      <c r="C473" s="2" t="n"/>
      <c r="D473" s="2" t="n"/>
      <c r="E473" s="41" t="n"/>
      <c r="F473" s="2" t="n"/>
      <c r="G473" s="2" t="n"/>
      <c r="H473" s="2" t="n"/>
      <c r="I473" s="2" t="n"/>
    </row>
    <row r="474">
      <c r="A474" s="2" t="n"/>
      <c r="B474" s="2" t="n"/>
      <c r="C474" s="2" t="n"/>
      <c r="D474" s="2" t="n"/>
      <c r="E474" s="41" t="n"/>
      <c r="F474" s="2" t="n"/>
      <c r="G474" s="2" t="n"/>
      <c r="H474" s="2" t="n"/>
      <c r="I474" s="2" t="n"/>
    </row>
    <row r="475">
      <c r="A475" s="2" t="n"/>
      <c r="B475" s="2" t="n"/>
      <c r="C475" s="2" t="n"/>
      <c r="D475" s="2" t="n"/>
      <c r="E475" s="41" t="n"/>
      <c r="F475" s="2" t="n"/>
      <c r="G475" s="2" t="n"/>
      <c r="H475" s="2" t="n"/>
      <c r="I475" s="2" t="n"/>
    </row>
    <row r="476">
      <c r="A476" s="2" t="n"/>
      <c r="B476" s="2" t="n"/>
      <c r="C476" s="2" t="n"/>
      <c r="D476" s="2" t="n"/>
      <c r="E476" s="41" t="n"/>
      <c r="F476" s="2" t="n"/>
      <c r="G476" s="2" t="n"/>
      <c r="H476" s="2" t="n"/>
      <c r="I476" s="2" t="n"/>
    </row>
    <row r="477">
      <c r="A477" s="2" t="n"/>
      <c r="B477" s="2" t="n"/>
      <c r="C477" s="2" t="n"/>
      <c r="D477" s="2" t="n"/>
      <c r="E477" s="41" t="n"/>
      <c r="F477" s="2" t="n"/>
      <c r="G477" s="2" t="n"/>
      <c r="H477" s="2" t="n"/>
      <c r="I477" s="2" t="n"/>
    </row>
    <row r="478">
      <c r="A478" s="2" t="n"/>
      <c r="B478" s="2" t="n"/>
      <c r="C478" s="2" t="n"/>
      <c r="D478" s="2" t="n"/>
      <c r="E478" s="41" t="n"/>
      <c r="F478" s="2" t="n"/>
      <c r="G478" s="2" t="n"/>
      <c r="H478" s="2" t="n"/>
      <c r="I478" s="2" t="n"/>
    </row>
    <row r="479">
      <c r="A479" s="2" t="n"/>
      <c r="B479" s="2" t="n"/>
      <c r="C479" s="2" t="n"/>
      <c r="D479" s="2" t="n"/>
      <c r="E479" s="41" t="n"/>
      <c r="F479" s="2" t="n"/>
      <c r="G479" s="2" t="n"/>
      <c r="H479" s="2" t="n"/>
      <c r="I479" s="2" t="n"/>
    </row>
    <row r="480">
      <c r="A480" s="2" t="n"/>
      <c r="B480" s="2" t="n"/>
      <c r="C480" s="2" t="n"/>
      <c r="D480" s="2" t="n"/>
      <c r="E480" s="41" t="n"/>
      <c r="F480" s="2" t="n"/>
      <c r="G480" s="2" t="n"/>
      <c r="H480" s="2" t="n"/>
      <c r="I480" s="2" t="n"/>
    </row>
    <row r="481">
      <c r="A481" s="2" t="n"/>
      <c r="B481" s="2" t="n"/>
      <c r="C481" s="2" t="n"/>
      <c r="D481" s="2" t="n"/>
      <c r="E481" s="41" t="n"/>
      <c r="F481" s="2" t="n"/>
      <c r="G481" s="2" t="n"/>
      <c r="H481" s="2" t="n"/>
      <c r="I481" s="2" t="n"/>
    </row>
    <row r="482">
      <c r="A482" s="2" t="n"/>
      <c r="B482" s="2" t="n"/>
      <c r="C482" s="2" t="n"/>
      <c r="D482" s="2" t="n"/>
      <c r="E482" s="41" t="n"/>
      <c r="F482" s="2" t="n"/>
      <c r="G482" s="2" t="n"/>
      <c r="H482" s="2" t="n"/>
      <c r="I482" s="2" t="n"/>
    </row>
    <row r="483">
      <c r="A483" s="2" t="n"/>
      <c r="B483" s="2" t="n"/>
      <c r="C483" s="2" t="n"/>
      <c r="D483" s="2" t="n"/>
      <c r="E483" s="41" t="n"/>
      <c r="F483" s="2" t="n"/>
      <c r="G483" s="2" t="n"/>
      <c r="H483" s="2" t="n"/>
      <c r="I483" s="2" t="n"/>
    </row>
    <row r="484">
      <c r="A484" s="2" t="n"/>
      <c r="B484" s="2" t="n"/>
      <c r="C484" s="2" t="n"/>
      <c r="D484" s="2" t="n"/>
      <c r="E484" s="41" t="n"/>
      <c r="F484" s="2" t="n"/>
      <c r="G484" s="2" t="n"/>
      <c r="H484" s="2" t="n"/>
      <c r="I484" s="2" t="n"/>
    </row>
    <row r="485">
      <c r="A485" s="2" t="n"/>
      <c r="B485" s="2" t="n"/>
      <c r="C485" s="2" t="n"/>
      <c r="D485" s="2" t="n"/>
      <c r="E485" s="41" t="n"/>
      <c r="F485" s="2" t="n"/>
      <c r="G485" s="2" t="n"/>
      <c r="H485" s="2" t="n"/>
      <c r="I485" s="2" t="n"/>
    </row>
    <row r="486">
      <c r="A486" s="2" t="n"/>
      <c r="B486" s="2" t="n"/>
      <c r="C486" s="2" t="n"/>
      <c r="D486" s="2" t="n"/>
      <c r="E486" s="41" t="n"/>
      <c r="F486" s="2" t="n"/>
      <c r="G486" s="2" t="n"/>
      <c r="H486" s="2" t="n"/>
      <c r="I486" s="2" t="n"/>
    </row>
    <row r="487">
      <c r="A487" s="2" t="n"/>
      <c r="B487" s="2" t="n"/>
      <c r="C487" s="2" t="n"/>
      <c r="D487" s="2" t="n"/>
      <c r="E487" s="41" t="n"/>
      <c r="F487" s="2" t="n"/>
      <c r="G487" s="2" t="n"/>
      <c r="H487" s="2" t="n"/>
      <c r="I487" s="2" t="n"/>
    </row>
    <row r="488">
      <c r="A488" s="2" t="n"/>
      <c r="B488" s="2" t="n"/>
      <c r="C488" s="2" t="n"/>
      <c r="D488" s="2" t="n"/>
      <c r="E488" s="41" t="n"/>
      <c r="F488" s="2" t="n"/>
      <c r="G488" s="2" t="n"/>
      <c r="H488" s="2" t="n"/>
      <c r="I488" s="2" t="n"/>
    </row>
    <row r="489">
      <c r="A489" s="2" t="n"/>
      <c r="B489" s="2" t="n"/>
      <c r="C489" s="2" t="n"/>
      <c r="D489" s="2" t="n"/>
      <c r="E489" s="41" t="n"/>
      <c r="F489" s="2" t="n"/>
      <c r="G489" s="2" t="n"/>
      <c r="H489" s="2" t="n"/>
      <c r="I489" s="2" t="n"/>
    </row>
    <row r="490">
      <c r="A490" s="2" t="n"/>
      <c r="B490" s="2" t="n"/>
      <c r="C490" s="2" t="n"/>
      <c r="D490" s="2" t="n"/>
      <c r="E490" s="41" t="n"/>
      <c r="F490" s="2" t="n"/>
      <c r="G490" s="2" t="n"/>
      <c r="H490" s="2" t="n"/>
      <c r="I490" s="2" t="n"/>
    </row>
    <row r="491">
      <c r="A491" s="2" t="n"/>
      <c r="B491" s="2" t="n"/>
      <c r="C491" s="2" t="n"/>
      <c r="D491" s="2" t="n"/>
      <c r="E491" s="41" t="n"/>
      <c r="F491" s="2" t="n"/>
      <c r="G491" s="2" t="n"/>
      <c r="H491" s="2" t="n"/>
      <c r="I491" s="2" t="n"/>
    </row>
    <row r="492">
      <c r="A492" s="2" t="n"/>
      <c r="B492" s="2" t="n"/>
      <c r="C492" s="2" t="n"/>
      <c r="D492" s="2" t="n"/>
      <c r="E492" s="41" t="n"/>
      <c r="F492" s="2" t="n"/>
      <c r="G492" s="2" t="n"/>
      <c r="H492" s="2" t="n"/>
      <c r="I492" s="2" t="n"/>
    </row>
    <row r="493">
      <c r="A493" s="2" t="n"/>
      <c r="B493" s="2" t="n"/>
      <c r="C493" s="2" t="n"/>
      <c r="D493" s="2" t="n"/>
      <c r="E493" s="41" t="n"/>
      <c r="F493" s="2" t="n"/>
      <c r="G493" s="2" t="n"/>
      <c r="H493" s="2" t="n"/>
      <c r="I493" s="2" t="n"/>
    </row>
    <row r="494">
      <c r="A494" s="2" t="n"/>
      <c r="B494" s="2" t="n"/>
      <c r="C494" s="2" t="n"/>
      <c r="D494" s="2" t="n"/>
      <c r="E494" s="41" t="n"/>
      <c r="F494" s="2" t="n"/>
      <c r="G494" s="2" t="n"/>
      <c r="H494" s="2" t="n"/>
      <c r="I494" s="2" t="n"/>
    </row>
    <row r="495">
      <c r="A495" s="2" t="n"/>
      <c r="B495" s="2" t="n"/>
      <c r="C495" s="2" t="n"/>
      <c r="D495" s="2" t="n"/>
      <c r="E495" s="41" t="n"/>
      <c r="F495" s="2" t="n"/>
      <c r="G495" s="2" t="n"/>
      <c r="H495" s="2" t="n"/>
      <c r="I495" s="2" t="n"/>
    </row>
    <row r="496">
      <c r="A496" s="2" t="n"/>
      <c r="B496" s="2" t="n"/>
      <c r="C496" s="2" t="n"/>
      <c r="D496" s="2" t="n"/>
      <c r="E496" s="41" t="n"/>
      <c r="F496" s="2" t="n"/>
      <c r="G496" s="2" t="n"/>
      <c r="H496" s="2" t="n"/>
      <c r="I496" s="2" t="n"/>
    </row>
    <row r="497">
      <c r="A497" s="2" t="n"/>
      <c r="B497" s="2" t="n"/>
      <c r="C497" s="2" t="n"/>
      <c r="D497" s="2" t="n"/>
      <c r="E497" s="41" t="n"/>
      <c r="F497" s="2" t="n"/>
      <c r="G497" s="2" t="n"/>
      <c r="H497" s="2" t="n"/>
      <c r="I497" s="2" t="n"/>
    </row>
    <row r="498">
      <c r="A498" s="2" t="n"/>
      <c r="B498" s="2" t="n"/>
      <c r="C498" s="2" t="n"/>
      <c r="D498" s="2" t="n"/>
      <c r="E498" s="41" t="n"/>
      <c r="F498" s="2" t="n"/>
      <c r="G498" s="2" t="n"/>
      <c r="H498" s="2" t="n"/>
      <c r="I498" s="2" t="n"/>
    </row>
    <row r="499">
      <c r="A499" s="2" t="n"/>
      <c r="B499" s="2" t="n"/>
      <c r="C499" s="2" t="n"/>
      <c r="D499" s="2" t="n"/>
      <c r="E499" s="41" t="n"/>
      <c r="F499" s="2" t="n"/>
      <c r="G499" s="2" t="n"/>
      <c r="H499" s="2" t="n"/>
      <c r="I499" s="2" t="n"/>
    </row>
    <row r="500">
      <c r="A500" s="2" t="n"/>
      <c r="B500" s="2" t="n"/>
      <c r="C500" s="2" t="n"/>
      <c r="D500" s="2" t="n"/>
      <c r="E500" s="41" t="n"/>
      <c r="F500" s="2" t="n"/>
      <c r="G500" s="2" t="n"/>
      <c r="H500" s="2" t="n"/>
      <c r="I500" s="2" t="n"/>
    </row>
    <row r="501">
      <c r="A501" s="2" t="n"/>
      <c r="B501" s="2" t="n"/>
      <c r="C501" s="2" t="n"/>
      <c r="D501" s="2" t="n"/>
      <c r="E501" s="41" t="n"/>
      <c r="F501" s="2" t="n"/>
      <c r="G501" s="2" t="n"/>
      <c r="H501" s="2" t="n"/>
      <c r="I501" s="2" t="n"/>
    </row>
  </sheetData>
  <dataValidations count="3">
    <dataValidation sqref="D2:D501" showDropDown="0" showInputMessage="0" showErrorMessage="0" allowBlank="1" type="list">
      <formula1>"买入,持续追踪,卖出"</formula1>
    </dataValidation>
    <dataValidation sqref="E2:E501" showDropDown="0" showInputMessage="0" showErrorMessage="0" allowBlank="1" type="date">
      <formula1>DATE(2000,1,1)</formula1>
      <formula2>DATE(2100,12,31)</formula2>
    </dataValidation>
    <dataValidation sqref="F2:H501" showDropDown="0" showInputMessage="0" showErrorMessage="1" allowBlank="1" errorTitle="技术指标无效" error="请从“技术指标”工作表维护的列表中选择" type="list">
      <formula1>技术指标列表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B18" sqref="B18"/>
    </sheetView>
  </sheetViews>
  <sheetFormatPr baseColWidth="8" defaultColWidth="9" defaultRowHeight="13.5"/>
  <cols>
    <col width="28" customWidth="1" min="1" max="1"/>
    <col width="20" customWidth="1" min="2" max="2"/>
    <col width="72" customWidth="1" min="3" max="3"/>
  </cols>
  <sheetData>
    <row r="1">
      <c r="A1" s="3" t="inlineStr">
        <is>
          <t>指标</t>
        </is>
      </c>
      <c r="B1" s="3" t="inlineStr">
        <is>
          <t>当前统计</t>
        </is>
      </c>
      <c r="C1" s="3" t="inlineStr">
        <is>
          <t>口径说明</t>
        </is>
      </c>
    </row>
    <row r="2">
      <c r="A2" s="4" t="inlineStr">
        <is>
          <t>已完成交易数</t>
        </is>
      </c>
      <c r="B2" s="8">
        <f>COUNT(单次交易!M2:M201)</f>
        <v/>
      </c>
      <c r="C2" s="4" t="inlineStr">
        <is>
          <t>存在卖出日期的交易</t>
        </is>
      </c>
    </row>
    <row r="3">
      <c r="A3" s="4" t="inlineStr">
        <is>
          <t>盈利交易数</t>
        </is>
      </c>
      <c r="B3" s="8">
        <f>COUNTIF(单次交易!X2:X201,"&gt;0")</f>
        <v/>
      </c>
      <c r="C3" s="4" t="inlineStr">
        <is>
          <t>实际盈亏金额大于0</t>
        </is>
      </c>
    </row>
    <row r="4">
      <c r="A4" s="4" t="inlineStr">
        <is>
          <t>亏损交易数</t>
        </is>
      </c>
      <c r="B4" s="8">
        <f>COUNTIF(单次交易!X2:X201,"&lt;0")</f>
        <v/>
      </c>
      <c r="C4" s="4" t="inlineStr">
        <is>
          <t>实际盈亏金额小于0</t>
        </is>
      </c>
    </row>
    <row r="5">
      <c r="A5" s="4" t="inlineStr">
        <is>
          <t>持平交易数</t>
        </is>
      </c>
      <c r="B5" s="8">
        <f>COUNTIFS(单次交易!M2:M201,"&lt;&gt;",单次交易!X2:X201,"=0")</f>
        <v/>
      </c>
      <c r="C5" s="4" t="inlineStr">
        <is>
          <t>已卖出且实际盈亏为0；不进入胜负样本</t>
        </is>
      </c>
    </row>
    <row r="6">
      <c r="A6" s="4" t="inlineStr">
        <is>
          <t>盈利概率</t>
        </is>
      </c>
      <c r="B6" s="7">
        <f>IFERROR(B3/(B3+B4),"")</f>
        <v/>
      </c>
      <c r="C6" s="4" t="inlineStr">
        <is>
          <t>盈利数÷胜负交易数</t>
        </is>
      </c>
    </row>
    <row r="7">
      <c r="A7" s="4" t="inlineStr">
        <is>
          <t>亏损概率</t>
        </is>
      </c>
      <c r="B7" s="7">
        <f>IFERROR(B4/(B3+B4),"")</f>
        <v/>
      </c>
      <c r="C7" s="4" t="inlineStr">
        <is>
          <t>亏损数÷胜负交易数</t>
        </is>
      </c>
    </row>
    <row r="8">
      <c r="A8" s="4" t="inlineStr">
        <is>
          <t>平均盈利百分比</t>
        </is>
      </c>
      <c r="B8" s="7">
        <f>IFERROR(AVERAGEIF(单次交易!X2:X201,"&gt;0",单次交易!AE2:AE201),"")</f>
        <v/>
      </c>
      <c r="C8" s="4" t="inlineStr">
        <is>
          <t>盈利交易实际账户收益率的平均值</t>
        </is>
      </c>
    </row>
    <row r="9">
      <c r="A9" s="4" t="inlineStr">
        <is>
          <t>平均亏损百分比</t>
        </is>
      </c>
      <c r="B9" s="7">
        <f>IFERROR(-AVERAGEIF(单次交易!X2:X201,"&lt;0",单次交易!AE2:AE201),"")</f>
        <v/>
      </c>
      <c r="C9" s="4" t="inlineStr">
        <is>
          <t>亏损交易实际账户收益率绝对值的平均值</t>
        </is>
      </c>
    </row>
    <row r="10">
      <c r="A10" s="4" t="inlineStr">
        <is>
          <t>盈利的持有总天数</t>
        </is>
      </c>
      <c r="B10" s="8">
        <f>SUMIF(单次交易!X2:X201,"&gt;0",单次交易!AA2:AA201)</f>
        <v/>
      </c>
      <c r="C10" s="4" t="inlineStr">
        <is>
          <t>自然日</t>
        </is>
      </c>
    </row>
    <row r="11">
      <c r="A11" s="4" t="inlineStr">
        <is>
          <t>亏损的持有总天数</t>
        </is>
      </c>
      <c r="B11" s="8">
        <f>SUMIF(单次交易!X2:X201,"&lt;0",单次交易!AA2:AA201)</f>
        <v/>
      </c>
      <c r="C11" s="4" t="inlineStr">
        <is>
          <t>自然日</t>
        </is>
      </c>
    </row>
    <row r="12">
      <c r="A12" s="4" t="inlineStr">
        <is>
          <t>平均交易金额</t>
        </is>
      </c>
      <c r="B12" s="42">
        <f>IFERROR(SUMPRODUCT(单次交易!AO2:AO201,单次交易!AP2:AP201)/COUNT(单次交易!AP2:AP201),"")</f>
        <v/>
      </c>
      <c r="C12" s="4" t="inlineStr">
        <is>
          <t>实际加权买入价×累计买入股数的平均值，包含未卖出交易</t>
        </is>
      </c>
    </row>
    <row r="13">
      <c r="A13" s="4" t="inlineStr">
        <is>
          <t>期望收益率</t>
        </is>
      </c>
      <c r="B13" s="7">
        <f>IF(OR(B6="",B7="",B8="",B9=""),"",B6*B8-B7*B9)</f>
        <v/>
      </c>
      <c r="C13" s="4" t="inlineStr">
        <is>
          <t>盈利贡献减亏损贡献</t>
        </is>
      </c>
    </row>
    <row r="14">
      <c r="A14" s="4" t="inlineStr">
        <is>
          <t>迄今为止的复利净利润率</t>
        </is>
      </c>
      <c r="B14" s="7">
        <f>IF(COUNT(单次交易!AE2:AE201)=0,"",EXP(SUMPRODUCT(IFERROR(LN(1+单次交易!AE2:AE201),0)))-1)</f>
        <v/>
      </c>
      <c r="C14" s="4" t="inlineStr">
        <is>
          <t>按每笔实际账户收益率逐笔连乘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B3" sqref="B3"/>
    </sheetView>
  </sheetViews>
  <sheetFormatPr baseColWidth="8" defaultColWidth="9" defaultRowHeight="13.5"/>
  <cols>
    <col width="28" customWidth="1" min="1" max="1"/>
    <col width="20" customWidth="1" min="2" max="2"/>
    <col width="72" customWidth="1" min="3" max="3"/>
  </cols>
  <sheetData>
    <row r="1">
      <c r="A1" s="19" t="inlineStr">
        <is>
          <t>指标</t>
        </is>
      </c>
      <c r="B1" s="19" t="inlineStr">
        <is>
          <t>值</t>
        </is>
      </c>
      <c r="C1" s="19" t="inlineStr">
        <is>
          <t>录入/计算说明</t>
        </is>
      </c>
    </row>
    <row r="2">
      <c r="A2" s="20" t="inlineStr">
        <is>
          <t>初始总金额</t>
        </is>
      </c>
      <c r="B2" s="50" t="n">
        <v>100000</v>
      </c>
      <c r="C2" s="20" t="inlineStr">
        <is>
          <t>手动输入；当前金额从此值开始累计</t>
        </is>
      </c>
    </row>
    <row r="3">
      <c r="A3" s="20" t="inlineStr">
        <is>
          <t>当前总金额</t>
        </is>
      </c>
      <c r="B3" s="51">
        <f>IF(B2="","",B2+SUM(单次交易!X2:X201))</f>
        <v/>
      </c>
      <c r="C3" s="20" t="inlineStr">
        <is>
          <t>初始总金额＋全部已实现盈亏</t>
        </is>
      </c>
    </row>
    <row r="4">
      <c r="A4" s="20" t="inlineStr">
        <is>
          <t>单次交易允许的亏损比例</t>
        </is>
      </c>
      <c r="B4" s="23" t="n">
        <v>0.02</v>
      </c>
      <c r="C4" s="20" t="inlineStr">
        <is>
          <t>默认1%，可调整；开仓时复制为交易快照</t>
        </is>
      </c>
    </row>
    <row r="5">
      <c r="A5" s="20" t="inlineStr">
        <is>
          <t>单次交易允许的亏损金额</t>
        </is>
      </c>
      <c r="B5" s="51">
        <f>IF(B3="","",B3*B4)</f>
        <v/>
      </c>
      <c r="C5" s="20" t="inlineStr">
        <is>
          <t>当前总金额×单次允许亏损比例</t>
        </is>
      </c>
    </row>
    <row r="6">
      <c r="A6" s="20" t="inlineStr">
        <is>
          <t>当月允许最大亏损比例</t>
        </is>
      </c>
      <c r="B6" s="23" t="n">
        <v>0.06</v>
      </c>
      <c r="C6" s="20" t="inlineStr">
        <is>
          <t>默认5%，可调整</t>
        </is>
      </c>
    </row>
    <row r="7">
      <c r="A7" s="20" t="inlineStr">
        <is>
          <t>当月允许最大亏损金额</t>
        </is>
      </c>
      <c r="B7" s="51">
        <f>IF(B3="","",B3*B6)</f>
        <v/>
      </c>
      <c r="C7" s="20" t="inlineStr">
        <is>
          <t>当前总金额×当月最大亏损比例</t>
        </is>
      </c>
    </row>
    <row r="8">
      <c r="A8" s="20" t="inlineStr">
        <is>
          <t>当月亏损金额</t>
        </is>
      </c>
      <c r="B8" s="51">
        <f>SUMIFS(单次交易!X2:X201,单次交易!X2:X201,"&lt;0",单次交易!M2:M201,"&gt;="&amp;EOMONTH(TODAY(),-1)+1,单次交易!M2:M201,"&lt;="&amp;EOMONTH(TODAY(),0))</f>
        <v/>
      </c>
      <c r="C8" s="20" t="inlineStr">
        <is>
          <t>按卖出日期统计本月已实现亏损，保留负号</t>
        </is>
      </c>
    </row>
    <row r="9">
      <c r="A9" s="20" t="inlineStr">
        <is>
          <t>当前未平仓理论亏损</t>
        </is>
      </c>
      <c r="B9" s="51">
        <f>IFERROR(SUM(单次交易!AQ2:AQ201),0)</f>
        <v/>
      </c>
      <c r="C9" s="20" t="inlineStr">
        <is>
          <t>未平仓三批持仓按当前有效止损计算的风险合计</t>
        </is>
      </c>
    </row>
    <row r="10">
      <c r="A10" s="20" t="inlineStr">
        <is>
          <t>当月剩余可开仓风险额度</t>
        </is>
      </c>
      <c r="B10" s="51">
        <f>IF(OR(B7="",B9=""),"",B7-B9)</f>
        <v/>
      </c>
      <c r="C10" s="20" t="inlineStr">
        <is>
          <t>当月允许最大亏损金额－当前未平仓理论亏损</t>
        </is>
      </c>
    </row>
    <row r="11">
      <c r="A11" s="20" t="inlineStr">
        <is>
          <t>账户实际累计收益率</t>
        </is>
      </c>
      <c r="B11" s="24">
        <f>IF(OR(B2="",B3="",B2&lt;=0),"",B3/B2-1)</f>
        <v/>
      </c>
      <c r="C11" s="20" t="inlineStr">
        <is>
          <t>当前总金额÷初始总金额－1；无入金出金时为账户权威累计收益</t>
        </is>
      </c>
    </row>
    <row r="12">
      <c r="A12" s="20" t="n"/>
      <c r="B12" s="20" t="n"/>
      <c r="C12" s="20" t="n"/>
    </row>
    <row r="13">
      <c r="A13" s="20" t="inlineStr">
        <is>
          <t>连续亏损锁仓比例</t>
        </is>
      </c>
      <c r="B13" s="25" t="n">
        <v>0.06</v>
      </c>
      <c r="C13" s="20" t="inlineStr">
        <is>
          <t>从最近盈利或有效手动解锁后的下一笔开始累计；默认6%</t>
        </is>
      </c>
    </row>
    <row r="14">
      <c r="A14" s="20" t="inlineStr">
        <is>
          <t>最近盈利记录序号</t>
        </is>
      </c>
      <c r="B14" s="26">
        <f>IFERROR(LOOKUP(2,1/((单次交易!$M$2:$M$201&lt;&gt;"")*(单次交易!$X$2:$X$201&gt;0)),ROW(单次交易!$X$2:$X$201)-1),0)</f>
        <v/>
      </c>
      <c r="C14" s="20" t="inlineStr">
        <is>
          <t>按工作表记录顺序查找最近一笔已平仓盈利交易</t>
        </is>
      </c>
    </row>
    <row r="15">
      <c r="A15" s="20" t="inlineStr">
        <is>
          <t>最近已完成记录序号</t>
        </is>
      </c>
      <c r="B15" s="26">
        <f>IFERROR(LOOKUP(2,1/(单次交易!$M$2:$M$201&lt;&gt;""),ROW(单次交易!$M$2:$M$201)-1),0)</f>
        <v/>
      </c>
      <c r="C15" s="20" t="inlineStr">
        <is>
          <t>按工作表记录顺序查找最后一笔已平仓交易</t>
        </is>
      </c>
    </row>
    <row r="16">
      <c r="A16" s="20" t="inlineStr">
        <is>
          <t>手动解锁截至记录序号</t>
        </is>
      </c>
      <c r="B16" s="27" t="n"/>
      <c r="C16" s="20" t="inlineStr">
        <is>
          <t>锁仓复盘后填写当前最近已完成记录序号；须同时填写解锁原因</t>
        </is>
      </c>
    </row>
    <row r="17">
      <c r="A17" s="20" t="inlineStr">
        <is>
          <t>手动解锁原因</t>
        </is>
      </c>
      <c r="B17" s="28" t="n"/>
      <c r="C17" s="20" t="inlineStr">
        <is>
          <t>例如：已完成复盘，开始新的模拟周期</t>
        </is>
      </c>
    </row>
    <row r="18">
      <c r="A18" s="20" t="inlineStr">
        <is>
          <t>当前周期起点序号</t>
        </is>
      </c>
      <c r="B18" s="26">
        <f>MAX(B14,IF(AND(ISNUMBER(B16),B16&gt;=1,B16&lt;=B15,B17&lt;&gt;""),B16,0))</f>
        <v/>
      </c>
      <c r="C18" s="20" t="inlineStr">
        <is>
          <t>取最近盈利序号与有效手动解锁序号中的较大值</t>
        </is>
      </c>
    </row>
    <row r="19">
      <c r="A19" s="20" t="inlineStr">
        <is>
          <t>周期起点账户金额</t>
        </is>
      </c>
      <c r="B19" s="44">
        <f>IF(B2="","",IF(B18=0,B2,B2+SUM(单次交易!$X$2:INDEX(单次交易!$X:$X,B18+1))))</f>
        <v/>
      </c>
      <c r="C19" s="20" t="inlineStr">
        <is>
          <t>初始金额加上周期起点及以前的全部已实现盈亏</t>
        </is>
      </c>
    </row>
    <row r="20">
      <c r="A20" s="20" t="inlineStr">
        <is>
          <t>当前周期累计亏损</t>
        </is>
      </c>
      <c r="B20" s="44">
        <f>IF(B18&gt;=B15,0,-SUMPRODUCT((ROW(单次交易!$X$2:$X$201)-1&gt;B18)*(单次交易!$M$2:$M$201&lt;&gt;"")*(IFERROR(单次交易!$X$2:$X$201,0)&lt;0)*IFERROR(单次交易!$X$2:$X$201,0)))</f>
        <v/>
      </c>
      <c r="C20" s="20" t="inlineStr">
        <is>
          <t>仅累计周期起点之后的已平仓亏损；盈利会自动成为新起点</t>
        </is>
      </c>
    </row>
    <row r="21">
      <c r="A21" s="20" t="inlineStr">
        <is>
          <t>连续亏损比例</t>
        </is>
      </c>
      <c r="B21" s="30">
        <f>IF(OR(B19="",B19&lt;=0),"",B20/B19)</f>
        <v/>
      </c>
      <c r="C21" s="20" t="inlineStr">
        <is>
          <t>当前周期累计亏损÷周期起点账户金额</t>
        </is>
      </c>
    </row>
    <row r="22">
      <c r="A22" s="20" t="inlineStr">
        <is>
          <t>锁仓风险使用率</t>
        </is>
      </c>
      <c r="B22" s="30">
        <f>IF(OR(B13="",B13&lt;=0,B21=""),"",B21/B13)</f>
        <v/>
      </c>
      <c r="C22" s="20" t="inlineStr">
        <is>
          <t>达到80%预警，达到100%锁仓</t>
        </is>
      </c>
    </row>
    <row r="23">
      <c r="A23" s="20" t="inlineStr">
        <is>
          <t>连续亏损锁仓状态</t>
        </is>
      </c>
      <c r="B23" s="31">
        <f>IF(OR(AND(B16&lt;&gt;"",B17=""),AND(B16="",B17&lt;&gt;""),AND(B16&lt;&gt;"",OR(NOT(ISNUMBER(B16)),B16&lt;1,B16&gt;B15,B16&lt;&gt;INT(B16)))),"解锁信息不完整",IF(B22&gt;=1,"已锁仓",IF(B22&gt;=0.8,"接近锁仓","正常")))</f>
        <v/>
      </c>
      <c r="C23" s="20" t="inlineStr">
        <is>
          <t>锁仓时禁止新开仓；有效手动解锁后从下一笔重新累计</t>
        </is>
      </c>
    </row>
  </sheetData>
  <conditionalFormatting sqref="B8">
    <cfRule type="cellIs" priority="1" operator="lessThan" dxfId="2">
      <formula>0</formula>
    </cfRule>
  </conditionalFormatting>
  <conditionalFormatting sqref="B10">
    <cfRule type="cellIs" priority="2" operator="lessThan" dxfId="2">
      <formula>0</formula>
    </cfRule>
  </conditionalFormatting>
  <conditionalFormatting sqref="B23">
    <cfRule type="expression" priority="3" dxfId="2">
      <formula>$B$23="已锁仓"</formula>
    </cfRule>
    <cfRule type="expression" priority="4" dxfId="1">
      <formula>OR($B$23="接近锁仓",$B$23="解锁信息不完整")</formula>
    </cfRule>
    <cfRule type="expression" priority="5" dxfId="0">
      <formula>$B$23="正常"</formula>
    </cfRule>
  </conditionalFormatting>
  <dataValidations count="3">
    <dataValidation sqref="B2" showDropDown="0" showInputMessage="0" showErrorMessage="0" allowBlank="0" type="decimal" operator="greaterThan">
      <formula1>0</formula1>
    </dataValidation>
    <dataValidation sqref="B4 B6 B13" showDropDown="0" showInputMessage="0" showErrorMessage="0" allowBlank="0" type="decimal">
      <formula1>0</formula1>
      <formula2>1</formula2>
    </dataValidation>
    <dataValidation sqref="B16" showDropDown="0" showInputMessage="0" showErrorMessage="1" allowBlank="1" errorTitle="解锁序号无效" error="请填写1到最近已完成记录序号之间的整数，并同时填写解锁原因" type="custom">
      <formula1>OR(B16="",AND(ISNUMBER(B16),B16=INT(B16),B16&gt;=1,B16&lt;=B15))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C26" sqref="C26"/>
    </sheetView>
  </sheetViews>
  <sheetFormatPr baseColWidth="8" defaultColWidth="9" defaultRowHeight="13.5"/>
  <cols>
    <col width="28" customWidth="1" min="1" max="1"/>
    <col width="20" customWidth="1" min="2" max="2"/>
    <col width="72" customWidth="1" min="3" max="3"/>
  </cols>
  <sheetData>
    <row r="1">
      <c r="A1" s="3" t="inlineStr">
        <is>
          <t>指标</t>
        </is>
      </c>
      <c r="B1" s="3" t="inlineStr">
        <is>
          <t>值</t>
        </is>
      </c>
      <c r="C1" s="3" t="inlineStr">
        <is>
          <t>口径说明</t>
        </is>
      </c>
    </row>
    <row r="2">
      <c r="A2" s="4" t="inlineStr">
        <is>
          <t>总金额</t>
        </is>
      </c>
      <c r="B2" s="42">
        <f>账户数据!B3</f>
        <v/>
      </c>
      <c r="C2" s="4" t="inlineStr">
        <is>
          <t>来自账户当前总金额</t>
        </is>
      </c>
    </row>
    <row r="3">
      <c r="A3" s="4" t="inlineStr">
        <is>
          <t>目标收益率</t>
        </is>
      </c>
      <c r="B3" s="6" t="n">
        <v>0.1</v>
      </c>
      <c r="C3" s="4" t="inlineStr">
        <is>
          <t>手动输入</t>
        </is>
      </c>
    </row>
    <row r="4">
      <c r="A4" s="4" t="inlineStr">
        <is>
          <t>目标收益金额</t>
        </is>
      </c>
      <c r="B4" s="42">
        <f>IF(OR(B2="",B3=""),"",B2*B3)</f>
        <v/>
      </c>
      <c r="C4" s="4" t="inlineStr">
        <is>
          <t>总金额×目标收益率</t>
        </is>
      </c>
    </row>
    <row r="5">
      <c r="A5" s="4" t="inlineStr">
        <is>
          <t>平均交易金额</t>
        </is>
      </c>
      <c r="B5" s="42">
        <f>多次统计数据!B12</f>
        <v/>
      </c>
      <c r="C5" s="4" t="inlineStr">
        <is>
          <t>来自历史交易统计</t>
        </is>
      </c>
    </row>
    <row r="6">
      <c r="A6" s="4" t="inlineStr">
        <is>
          <t>历史期望收益率</t>
        </is>
      </c>
      <c r="B6" s="7">
        <f>多次统计数据!B13</f>
        <v/>
      </c>
      <c r="C6" s="4" t="inlineStr">
        <is>
          <t>来自历史胜率与平均盈亏</t>
        </is>
      </c>
    </row>
    <row r="7">
      <c r="A7" s="4" t="inlineStr">
        <is>
          <t>所需投资笔数</t>
        </is>
      </c>
      <c r="B7" s="8">
        <f>IF(OR(B3="",B6="",B3&lt;=0,B6&lt;=0),"暂不可计算",ROUNDUP(LN(1+B3)/LN(1+B6),0))</f>
        <v/>
      </c>
      <c r="C7" s="4" t="inlineStr">
        <is>
          <t>按目标收益率与历史账户期望收益率复利计算并向上取整</t>
        </is>
      </c>
    </row>
  </sheetData>
  <dataValidations count="1">
    <dataValidation sqref="B3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9" defaultRowHeight="13.5"/>
  <cols>
    <col width="22" customWidth="1" min="1" max="1"/>
    <col width="18" customWidth="1" min="2" max="2"/>
    <col width="56" customWidth="1" min="3" max="3"/>
  </cols>
  <sheetData>
    <row r="1" ht="42" customHeight="1">
      <c r="A1" s="1" t="inlineStr">
        <is>
          <t>技术指标</t>
        </is>
      </c>
      <c r="B1" s="1" t="inlineStr">
        <is>
          <t>分类</t>
        </is>
      </c>
      <c r="C1" s="1" t="inlineStr">
        <is>
          <t>说明</t>
        </is>
      </c>
    </row>
    <row r="2">
      <c r="A2" s="2" t="inlineStr">
        <is>
          <t>蜡烛图</t>
        </is>
      </c>
      <c r="B2" s="2" t="inlineStr">
        <is>
          <t>价格形态</t>
        </is>
      </c>
      <c r="C2" s="2" t="inlineStr">
        <is>
          <t>观察实体、上下影线及组合形态</t>
        </is>
      </c>
    </row>
    <row r="3">
      <c r="A3" s="2" t="inlineStr">
        <is>
          <t>趋势线</t>
        </is>
      </c>
      <c r="B3" s="2" t="inlineStr">
        <is>
          <t>趋势</t>
        </is>
      </c>
      <c r="C3" s="2" t="inlineStr">
        <is>
          <t>连接关键高点或低点判断趋势方向</t>
        </is>
      </c>
    </row>
    <row r="4">
      <c r="A4" s="2" t="inlineStr">
        <is>
          <t>MACD</t>
        </is>
      </c>
      <c r="B4" s="2" t="inlineStr">
        <is>
          <t>动量</t>
        </is>
      </c>
      <c r="C4" s="2" t="inlineStr">
        <is>
          <t>观察快慢线、信号线和柱状图</t>
        </is>
      </c>
    </row>
    <row r="5">
      <c r="A5" s="2" t="inlineStr">
        <is>
          <t>移动平均线</t>
        </is>
      </c>
      <c r="B5" s="2" t="inlineStr">
        <is>
          <t>趋势</t>
        </is>
      </c>
      <c r="C5" s="2" t="inlineStr">
        <is>
          <t>观察价格与不同周期均线的位置关系</t>
        </is>
      </c>
    </row>
    <row r="6">
      <c r="A6" s="2" t="inlineStr">
        <is>
          <t>成交量</t>
        </is>
      </c>
      <c r="B6" s="2" t="inlineStr">
        <is>
          <t>量价</t>
        </is>
      </c>
      <c r="C6" s="2" t="inlineStr">
        <is>
          <t>确认突破、回调和趋势的参与强度</t>
        </is>
      </c>
    </row>
    <row r="7">
      <c r="A7" s="2" t="inlineStr">
        <is>
          <t>RSI</t>
        </is>
      </c>
      <c r="B7" s="2" t="inlineStr">
        <is>
          <t>动量</t>
        </is>
      </c>
      <c r="C7" s="2" t="inlineStr">
        <is>
          <t>衡量相对强弱及超买超卖状态</t>
        </is>
      </c>
    </row>
    <row r="8">
      <c r="A8" s="2" t="inlineStr">
        <is>
          <t>KDJ</t>
        </is>
      </c>
      <c r="B8" s="2" t="inlineStr">
        <is>
          <t>动量</t>
        </is>
      </c>
      <c r="C8" s="2" t="inlineStr">
        <is>
          <t>观察随机指标交叉和极值区域</t>
        </is>
      </c>
    </row>
    <row r="9">
      <c r="A9" s="2" t="inlineStr">
        <is>
          <t>布林带</t>
        </is>
      </c>
      <c r="B9" s="2" t="inlineStr">
        <is>
          <t>波动</t>
        </is>
      </c>
      <c r="C9" s="2" t="inlineStr">
        <is>
          <t>观察价格相对中轨和上下轨的位置</t>
        </is>
      </c>
    </row>
    <row r="10">
      <c r="A10" s="2" t="inlineStr">
        <is>
          <t>支撑位</t>
        </is>
      </c>
      <c r="B10" s="2" t="inlineStr">
        <is>
          <t>关键价位</t>
        </is>
      </c>
      <c r="C10" s="2" t="inlineStr">
        <is>
          <t>记录预期获得买盘支撑的价格区域</t>
        </is>
      </c>
    </row>
    <row r="11">
      <c r="A11" s="2" t="inlineStr">
        <is>
          <t>压力位</t>
        </is>
      </c>
      <c r="B11" s="2" t="inlineStr">
        <is>
          <t>关键价位</t>
        </is>
      </c>
      <c r="C11" s="2" t="inlineStr">
        <is>
          <t>记录预期遇到卖压的价格区域</t>
        </is>
      </c>
    </row>
    <row r="12">
      <c r="A12" s="2" t="inlineStr">
        <is>
          <t>缺口</t>
        </is>
      </c>
      <c r="B12" s="2" t="inlineStr">
        <is>
          <t>价格形态</t>
        </is>
      </c>
      <c r="C12" s="2" t="inlineStr">
        <is>
          <t>观察跳空缺口是否回补或延续</t>
        </is>
      </c>
    </row>
    <row r="13">
      <c r="A13" s="2" t="inlineStr">
        <is>
          <t>形态突破</t>
        </is>
      </c>
      <c r="B13" s="2" t="inlineStr">
        <is>
          <t>价格形态</t>
        </is>
      </c>
      <c r="C13" s="2" t="inlineStr">
        <is>
          <t>观察平台、箱体或整理形态的突破</t>
        </is>
      </c>
    </row>
    <row r="14">
      <c r="A14" s="2" t="inlineStr">
        <is>
          <t>均线金叉</t>
        </is>
      </c>
      <c r="B14" s="2" t="inlineStr">
        <is>
          <t>趋势</t>
        </is>
      </c>
      <c r="C14" s="2" t="inlineStr">
        <is>
          <t>短周期均线上穿长周期均线</t>
        </is>
      </c>
    </row>
    <row r="15">
      <c r="A15" s="2" t="inlineStr">
        <is>
          <t>均线死叉</t>
        </is>
      </c>
      <c r="B15" s="2" t="inlineStr">
        <is>
          <t>趋势</t>
        </is>
      </c>
      <c r="C15" s="2" t="inlineStr">
        <is>
          <t>短周期均线下穿长周期均线</t>
        </is>
      </c>
    </row>
    <row r="16">
      <c r="A16" s="2" t="inlineStr">
        <is>
          <t>量价背离</t>
        </is>
      </c>
      <c r="B16" s="2" t="inlineStr">
        <is>
          <t>量价</t>
        </is>
      </c>
      <c r="C16" s="2" t="inlineStr">
        <is>
          <t>价格和成交量变化方向不一致</t>
        </is>
      </c>
    </row>
    <row r="17">
      <c r="A17" s="2" t="inlineStr">
        <is>
          <t>趋势背离</t>
        </is>
      </c>
      <c r="B17" s="2" t="inlineStr">
        <is>
          <t>动量</t>
        </is>
      </c>
      <c r="C17" s="2" t="inlineStr">
        <is>
          <t>价格走势与动量指标走势不一致</t>
        </is>
      </c>
    </row>
    <row r="18">
      <c r="A18" s="2" t="inlineStr">
        <is>
          <t>ATR</t>
        </is>
      </c>
      <c r="B18" s="2" t="inlineStr">
        <is>
          <t>波动</t>
        </is>
      </c>
      <c r="C18" s="2" t="inlineStr">
        <is>
          <t>衡量真实波动幅度并辅助设置止损</t>
        </is>
      </c>
    </row>
    <row r="19">
      <c r="A19" s="2" t="inlineStr">
        <is>
          <t>换手率</t>
        </is>
      </c>
      <c r="B19" s="2" t="inlineStr">
        <is>
          <t>量价</t>
        </is>
      </c>
      <c r="C19" s="2" t="inlineStr">
        <is>
          <t>衡量筹码交换活跃程度</t>
        </is>
      </c>
    </row>
    <row r="20">
      <c r="A20" s="2" t="inlineStr">
        <is>
          <t>相对强弱</t>
        </is>
      </c>
      <c r="B20" s="2" t="inlineStr">
        <is>
          <t>比较</t>
        </is>
      </c>
      <c r="C20" s="2" t="inlineStr">
        <is>
          <t>比较个股与板块或指数的强弱</t>
        </is>
      </c>
    </row>
    <row r="21">
      <c r="A21" s="2" t="inlineStr">
        <is>
          <t>板块共振</t>
        </is>
      </c>
      <c r="B21" s="2" t="inlineStr">
        <is>
          <t>市场环境</t>
        </is>
      </c>
      <c r="C21" s="2" t="inlineStr">
        <is>
          <t>确认个股信号与所属板块方向一致</t>
        </is>
      </c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2026-07-25T08:10:00Z</dcterms:created>
  <dcterms:modified xsi:type="dcterms:W3CDTF">2026-08-19T01:10:56Z</dcterms:modified>
  <cp:lastModifiedBy>MIAO SHIJUN (缪士军)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736BDD0092250DAC96416F6ACC401849_42</vt:lpwstr>
  </property>
  <property name="KSOProductBuildVer" fmtid="{D5CDD505-2E9C-101B-9397-08002B2CF9AE}" pid="3">
    <vt:lpwstr>2052-12.1.25205.25205</vt:lpwstr>
  </property>
  <property name="CalculationRule" fmtid="{D5CDD505-2E9C-101B-9397-08002B2CF9AE}" pid="4">
    <vt:i4>0</vt:i4>
  </property>
</Properties>
</file>