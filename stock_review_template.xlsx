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每日观察" sheetId="2" state="visible" r:id="rId2"/>
    <sheet name="关键位置脚手架" sheetId="3" state="visible" r:id="rId3"/>
    <sheet name="现象脚手架" sheetId="4" state="visible" r:id="rId4"/>
    <sheet name="事后验证" sheetId="5" state="visible" r:id="rId5"/>
    <sheet name="汇总看板" sheetId="6" state="visible" r:id="rId6"/>
    <sheet name="选项" sheetId="7" state="visible" r:id="rId7"/>
  </sheets>
  <definedNames>
    <definedName name="_xlnm._FilterDatabase" localSheetId="1" hidden="1">'每日观察'!$A$1:$AE$500</definedName>
    <definedName name="_xlnm._FilterDatabase" localSheetId="2" hidden="1">'关键位置脚手架'!$A$1:$E$500</definedName>
    <definedName name="_xlnm._FilterDatabase" localSheetId="3" hidden="1">'现象脚手架'!$A$1:$G$500</definedName>
    <definedName name="_xlnm._FilterDatabase" localSheetId="4" hidden="1">'事后验证'!$A$1:$X$500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6"/>
    </font>
    <font>
      <name val="Arial"/>
      <b val="1"/>
      <color rgb="00000000"/>
    </font>
    <font>
      <name val="Arial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9DC3E6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4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top" wrapText="1"/>
    </xf>
    <xf numFmtId="165" fontId="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8" customWidth="1" min="2" max="2"/>
  </cols>
  <sheetData>
    <row r="1" ht="28" customHeight="1">
      <c r="A1" s="1" t="inlineStr">
        <is>
          <t>股票观察训练模板</t>
        </is>
      </c>
      <c r="B1" s="22" t="n"/>
      <c r="C1" s="22" t="n"/>
      <c r="D1" s="23" t="n"/>
    </row>
    <row r="3" ht="46" customHeight="1">
      <c r="A3" s="2" t="inlineStr">
        <is>
          <t>模板目标</t>
        </is>
      </c>
      <c r="B3" s="3" t="inlineStr">
        <is>
          <t>训练填表人的能力：把走势从感觉拆成“关键位置、事实、解释、理由、反证、权重、后续观察、事后复查”。第一阶段不训练买卖点和仓位。</t>
        </is>
      </c>
    </row>
    <row r="4" ht="46" customHeight="1">
      <c r="A4" s="2" t="inlineStr">
        <is>
          <t>核心原则</t>
        </is>
      </c>
      <c r="B4" s="3" t="inlineStr">
        <is>
          <t>目标不降，入口降低。每天必须完成一条最小理由链；允许“不确定”，但不能跳过事实、关键位置和反证。</t>
        </is>
      </c>
    </row>
    <row r="5" ht="46" customHeight="1">
      <c r="A5" s="4" t="inlineStr">
        <is>
          <t>每日最小闭环</t>
        </is>
      </c>
      <c r="B5" s="3" t="inlineStr">
        <is>
          <t>完成“每日观察”绿色列：基础环境、关键位置识别、今日现象、六句理由链。蓝色列自动生成验证日期和完整度。</t>
        </is>
      </c>
    </row>
    <row r="6" ht="46" customHeight="1">
      <c r="A6" s="2" t="inlineStr">
        <is>
          <t>关键位置</t>
        </is>
      </c>
      <c r="B6" s="3" t="inlineStr">
        <is>
          <t>先问“今天这根K线围绕哪个位置发生变化”。如果没有清晰位置，就填“无清晰位置”，并在来源说明里写为什么看不清。</t>
        </is>
      </c>
    </row>
    <row r="7" ht="46" customHeight="1">
      <c r="A7" s="4" t="inlineStr">
        <is>
          <t>六句理由链</t>
        </is>
      </c>
      <c r="B7" s="3" t="inlineStr">
        <is>
          <t>1我看到的关键事实；2最直接支持的解释；3我这样判断的理由；4主要疑点/反证；5当前判断强度和理由；6后续只观察一个区分信号。</t>
        </is>
      </c>
    </row>
    <row r="8" ht="46" customHeight="1">
      <c r="A8" s="2" t="inlineStr">
        <is>
          <t>事后验证</t>
        </is>
      </c>
      <c r="B8" s="3" t="inlineStr">
        <is>
          <t>验证对象不是涨跌预测，而是思考过程质量：关键位置是否有效、区分信号是否出现、解释被强化还是削弱、有没有漏掉反证。</t>
        </is>
      </c>
    </row>
    <row r="9" ht="46" customHeight="1">
      <c r="A9" s="2" t="inlineStr">
        <is>
          <t>不要做的事</t>
        </is>
      </c>
      <c r="B9" s="3" t="inlineStr">
        <is>
          <t>不要为了完成表格强行确定；不要把一次结果失败都解释为自己错；不要把脚手架当成交易建议。</t>
        </is>
      </c>
    </row>
    <row r="10" ht="46" customHeight="1">
      <c r="A10" s="2" t="inlineStr">
        <is>
          <t>颜色说明</t>
        </is>
      </c>
      <c r="B10" s="3" t="inlineStr">
        <is>
          <t>绿色=最低必填训练动作；黄色=辅助反思/自由扩展；蓝色=公式/统计；橙色=事后反馈。</t>
        </is>
      </c>
    </row>
    <row r="11" ht="46" customHeight="1">
      <c r="A11" s="4" t="inlineStr">
        <is>
          <t>质量检查</t>
        </is>
      </c>
      <c r="B11" s="3" t="inlineStr">
        <is>
          <t>每条观察填完后自检 4 项：事实是否具体、判断是否有偏向、反证是否有效、区分信号是否具体。4 项都合格，理由链才算有效。</t>
        </is>
      </c>
    </row>
    <row r="12" ht="46" customHeight="1">
      <c r="A12" s="4" t="inlineStr">
        <is>
          <t>完成标准</t>
        </is>
      </c>
      <c r="B12" s="3" t="inlineStr">
        <is>
          <t>每天不是“填满”就算完成，而是至少产出 1 条有效理由链。完整度检查有没有填，理由链质量检查有没有认真思考。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34" customWidth="1" min="10" max="10"/>
    <col width="18" customWidth="1" min="11" max="11"/>
    <col width="14" customWidth="1" min="12" max="12"/>
    <col width="18" customWidth="1" min="13" max="13"/>
    <col width="42" customWidth="1" min="14" max="14"/>
    <col width="24" customWidth="1" min="15" max="15"/>
    <col width="42" customWidth="1" min="16" max="16"/>
    <col width="42" customWidth="1" min="17" max="17"/>
    <col width="14" customWidth="1" min="18" max="18"/>
    <col width="34" customWidth="1" min="19" max="19"/>
    <col width="46" customWidth="1" min="20" max="20"/>
    <col width="28" customWidth="1" min="21" max="21"/>
    <col width="36" customWidth="1" min="22" max="22"/>
    <col width="14" customWidth="1" min="23" max="23"/>
    <col width="14" customWidth="1" min="24" max="24"/>
    <col width="14" customWidth="1" min="25" max="25"/>
    <col width="12" customWidth="1" min="26" max="26"/>
    <col width="18" customWidth="1" min="27" max="27"/>
    <col width="18" customWidth="1" min="28" max="28"/>
    <col width="18" customWidth="1" min="29" max="29"/>
    <col width="18" customWidth="1" min="30" max="30"/>
    <col width="14" customWidth="1" min="31" max="31"/>
  </cols>
  <sheetData>
    <row r="1">
      <c r="A1" s="5" t="inlineStr">
        <is>
          <t>记录ID</t>
        </is>
      </c>
      <c r="B1" s="4" t="inlineStr">
        <is>
          <t>日期</t>
        </is>
      </c>
      <c r="C1" s="4" t="inlineStr">
        <is>
          <t>股票/代码</t>
        </is>
      </c>
      <c r="D1" s="4" t="inlineStr">
        <is>
          <t>板块</t>
        </is>
      </c>
      <c r="E1" s="4" t="inlineStr">
        <is>
          <t>大盘状态</t>
        </is>
      </c>
      <c r="F1" s="4" t="inlineStr">
        <is>
          <t>板块状态</t>
        </is>
      </c>
      <c r="G1" s="4" t="inlineStr">
        <is>
          <t>个股相对板块</t>
        </is>
      </c>
      <c r="H1" s="4" t="inlineStr">
        <is>
          <t>关键位置类型</t>
        </is>
      </c>
      <c r="I1" s="4" t="inlineStr">
        <is>
          <t>关键位置价格/区间</t>
        </is>
      </c>
      <c r="J1" s="4" t="inlineStr">
        <is>
          <t>位置来源说明</t>
        </is>
      </c>
      <c r="K1" s="4" t="inlineStr">
        <is>
          <t>今日与关键位关系</t>
        </is>
      </c>
      <c r="L1" s="4" t="inlineStr">
        <is>
          <t>位置置信度</t>
        </is>
      </c>
      <c r="M1" s="4" t="inlineStr">
        <is>
          <t>今日最明显现象</t>
        </is>
      </c>
      <c r="N1" s="4" t="inlineStr">
        <is>
          <t>1.我看到的关键事实是</t>
        </is>
      </c>
      <c r="O1" s="4" t="inlineStr">
        <is>
          <t>2.最直接支持的解释是</t>
        </is>
      </c>
      <c r="P1" s="4" t="inlineStr">
        <is>
          <t>3.我这样判断的理由是</t>
        </is>
      </c>
      <c r="Q1" s="4" t="inlineStr">
        <is>
          <t>4.主要疑点/反证是</t>
        </is>
      </c>
      <c r="R1" s="4" t="inlineStr">
        <is>
          <t>5.当前判断强度</t>
        </is>
      </c>
      <c r="S1" s="4" t="inlineStr">
        <is>
          <t>5.强度理由</t>
        </is>
      </c>
      <c r="T1" s="4" t="inlineStr">
        <is>
          <t>6.后续只观察一个区分信号</t>
        </is>
      </c>
      <c r="U1" s="6" t="inlineStr">
        <is>
          <t>需要补的基本功</t>
        </is>
      </c>
      <c r="V1" s="6" t="inlineStr">
        <is>
          <t>自由观察/今日小结</t>
        </is>
      </c>
      <c r="W1" s="5" t="inlineStr">
        <is>
          <t>3日验证日</t>
        </is>
      </c>
      <c r="X1" s="5" t="inlineStr">
        <is>
          <t>5日验证日</t>
        </is>
      </c>
      <c r="Y1" s="5" t="inlineStr">
        <is>
          <t>10日验证日</t>
        </is>
      </c>
      <c r="Z1" s="5" t="inlineStr">
        <is>
          <t>完整度</t>
        </is>
      </c>
      <c r="AA1" s="14" t="inlineStr">
        <is>
          <t>事实具体性检查</t>
        </is>
      </c>
      <c r="AB1" s="14" t="inlineStr">
        <is>
          <t>判断偏向性检查</t>
        </is>
      </c>
      <c r="AC1" s="14" t="inlineStr">
        <is>
          <t>反证有效性检查</t>
        </is>
      </c>
      <c r="AD1" s="14" t="inlineStr">
        <is>
          <t>区分信号具体性检查</t>
        </is>
      </c>
      <c r="AE1" s="5" t="inlineStr">
        <is>
          <t>理由链质量</t>
        </is>
      </c>
    </row>
    <row r="2">
      <c r="A2" s="7">
        <f>IF(B2="","",TEXT(B2,"yyyymmdd")&amp;"-"&amp;TEXT(ROW()-1,"000"))</f>
        <v/>
      </c>
      <c r="B2" s="8" t="n"/>
      <c r="C2" s="9" t="n"/>
      <c r="D2" s="9" t="n"/>
      <c r="E2" s="9" t="n"/>
      <c r="F2" s="9" t="n"/>
      <c r="G2" s="9" t="n"/>
      <c r="H2" s="9" t="n"/>
      <c r="I2" s="9" t="n"/>
      <c r="J2" s="10" t="n"/>
      <c r="K2" s="9" t="n"/>
      <c r="L2" s="9" t="n"/>
      <c r="M2" s="9" t="n"/>
      <c r="N2" s="10" t="n"/>
      <c r="O2" s="9" t="n"/>
      <c r="P2" s="10" t="n"/>
      <c r="Q2" s="10" t="n"/>
      <c r="R2" s="9" t="n"/>
      <c r="S2" s="10" t="n"/>
      <c r="T2" s="10" t="n"/>
      <c r="U2" s="11" t="n"/>
      <c r="V2" s="11" t="n"/>
      <c r="W2" s="12">
        <f>IF(B2="","",B2+3)</f>
        <v/>
      </c>
      <c r="X2" s="12">
        <f>IF(B2="","",B2+5)</f>
        <v/>
      </c>
      <c r="Y2" s="12">
        <f>IF(B2="","",B2+10)</f>
        <v/>
      </c>
      <c r="Z2" s="13">
        <f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/>
      </c>
      <c r="AA2" s="16" t="n"/>
      <c r="AB2" s="16" t="n"/>
      <c r="AC2" s="16" t="n"/>
      <c r="AD2" s="16" t="n"/>
      <c r="AE2" s="7">
        <f>IF(B2="","",IF(AND(AA2="合格",AB2="合格",AC2="合格",AD2="合格"),"有效","无效"))</f>
        <v/>
      </c>
    </row>
    <row r="3">
      <c r="A3" s="7">
        <f>IF(B3="","",TEXT(B3,"yyyymmdd")&amp;"-"&amp;TEXT(ROW()-1,"000"))</f>
        <v/>
      </c>
      <c r="B3" s="8" t="n"/>
      <c r="C3" s="9" t="n"/>
      <c r="D3" s="9" t="n"/>
      <c r="E3" s="9" t="n"/>
      <c r="F3" s="9" t="n"/>
      <c r="G3" s="9" t="n"/>
      <c r="H3" s="9" t="n"/>
      <c r="I3" s="9" t="n"/>
      <c r="J3" s="10" t="n"/>
      <c r="K3" s="9" t="n"/>
      <c r="L3" s="9" t="n"/>
      <c r="M3" s="9" t="n"/>
      <c r="N3" s="10" t="n"/>
      <c r="O3" s="9" t="n"/>
      <c r="P3" s="10" t="n"/>
      <c r="Q3" s="10" t="n"/>
      <c r="R3" s="9" t="n"/>
      <c r="S3" s="10" t="n"/>
      <c r="T3" s="10" t="n"/>
      <c r="U3" s="11" t="n"/>
      <c r="V3" s="11" t="n"/>
      <c r="W3" s="12">
        <f>IF(B3="","",B3+3)</f>
        <v/>
      </c>
      <c r="X3" s="12">
        <f>IF(B3="","",B3+5)</f>
        <v/>
      </c>
      <c r="Y3" s="12">
        <f>IF(B3="","",B3+10)</f>
        <v/>
      </c>
      <c r="Z3" s="13">
        <f>IF(B3="","",(--(B3&lt;&gt;"")+--(C3&lt;&gt;"")+--(D3&lt;&gt;"")+--(E3&lt;&gt;"")+--(F3&lt;&gt;"")+--(G3&lt;&gt;"")+--(H3&lt;&gt;"")+--(I3&lt;&gt;"")+--(J3&lt;&gt;"")+--(K3&lt;&gt;"")+--(L3&lt;&gt;"")+--(M3&lt;&gt;"")+--(N3&lt;&gt;"")+--(O3&lt;&gt;"")+--(P3&lt;&gt;"")+--(Q3&lt;&gt;"")+--(R3&lt;&gt;"")+--(S3&lt;&gt;"")+--(T3&lt;&gt;""))/19)</f>
        <v/>
      </c>
      <c r="AA3" s="16" t="n"/>
      <c r="AB3" s="16" t="n"/>
      <c r="AC3" s="16" t="n"/>
      <c r="AD3" s="16" t="n"/>
      <c r="AE3" s="7">
        <f>IF(B3="","",IF(AND(AA3="合格",AB3="合格",AC3="合格",AD3="合格"),"有效","无效"))</f>
        <v/>
      </c>
    </row>
    <row r="4">
      <c r="A4" s="7">
        <f>IF(B4="","",TEXT(B4,"yyyymmdd")&amp;"-"&amp;TEXT(ROW()-1,"000"))</f>
        <v/>
      </c>
      <c r="B4" s="8" t="n"/>
      <c r="C4" s="9" t="n"/>
      <c r="D4" s="9" t="n"/>
      <c r="E4" s="9" t="n"/>
      <c r="F4" s="9" t="n"/>
      <c r="G4" s="9" t="n"/>
      <c r="H4" s="9" t="n"/>
      <c r="I4" s="9" t="n"/>
      <c r="J4" s="10" t="n"/>
      <c r="K4" s="9" t="n"/>
      <c r="L4" s="9" t="n"/>
      <c r="M4" s="9" t="n"/>
      <c r="N4" s="10" t="n"/>
      <c r="O4" s="9" t="n"/>
      <c r="P4" s="10" t="n"/>
      <c r="Q4" s="10" t="n"/>
      <c r="R4" s="9" t="n"/>
      <c r="S4" s="10" t="n"/>
      <c r="T4" s="10" t="n"/>
      <c r="U4" s="11" t="n"/>
      <c r="V4" s="11" t="n"/>
      <c r="W4" s="12">
        <f>IF(B4="","",B4+3)</f>
        <v/>
      </c>
      <c r="X4" s="12">
        <f>IF(B4="","",B4+5)</f>
        <v/>
      </c>
      <c r="Y4" s="12">
        <f>IF(B4="","",B4+10)</f>
        <v/>
      </c>
      <c r="Z4" s="13">
        <f>IF(B4="","",(--(B4&lt;&gt;"")+--(C4&lt;&gt;"")+--(D4&lt;&gt;"")+--(E4&lt;&gt;"")+--(F4&lt;&gt;"")+--(G4&lt;&gt;"")+--(H4&lt;&gt;"")+--(I4&lt;&gt;"")+--(J4&lt;&gt;"")+--(K4&lt;&gt;"")+--(L4&lt;&gt;"")+--(M4&lt;&gt;"")+--(N4&lt;&gt;"")+--(O4&lt;&gt;"")+--(P4&lt;&gt;"")+--(Q4&lt;&gt;"")+--(R4&lt;&gt;"")+--(S4&lt;&gt;"")+--(T4&lt;&gt;""))/19)</f>
        <v/>
      </c>
      <c r="AA4" s="16" t="n"/>
      <c r="AB4" s="16" t="n"/>
      <c r="AC4" s="16" t="n"/>
      <c r="AD4" s="16" t="n"/>
      <c r="AE4" s="7">
        <f>IF(B4="","",IF(AND(AA4="合格",AB4="合格",AC4="合格",AD4="合格"),"有效","无效"))</f>
        <v/>
      </c>
    </row>
    <row r="5">
      <c r="A5" s="7">
        <f>IF(B5="","",TEXT(B5,"yyyymmdd")&amp;"-"&amp;TEXT(ROW()-1,"000"))</f>
        <v/>
      </c>
      <c r="B5" s="8" t="n"/>
      <c r="C5" s="9" t="n"/>
      <c r="D5" s="9" t="n"/>
      <c r="E5" s="9" t="n"/>
      <c r="F5" s="9" t="n"/>
      <c r="G5" s="9" t="n"/>
      <c r="H5" s="9" t="n"/>
      <c r="I5" s="9" t="n"/>
      <c r="J5" s="10" t="n"/>
      <c r="K5" s="9" t="n"/>
      <c r="L5" s="9" t="n"/>
      <c r="M5" s="9" t="n"/>
      <c r="N5" s="10" t="n"/>
      <c r="O5" s="9" t="n"/>
      <c r="P5" s="10" t="n"/>
      <c r="Q5" s="10" t="n"/>
      <c r="R5" s="9" t="n"/>
      <c r="S5" s="10" t="n"/>
      <c r="T5" s="10" t="n"/>
      <c r="U5" s="11" t="n"/>
      <c r="V5" s="11" t="n"/>
      <c r="W5" s="12">
        <f>IF(B5="","",B5+3)</f>
        <v/>
      </c>
      <c r="X5" s="12">
        <f>IF(B5="","",B5+5)</f>
        <v/>
      </c>
      <c r="Y5" s="12">
        <f>IF(B5="","",B5+10)</f>
        <v/>
      </c>
      <c r="Z5" s="13">
        <f>IF(B5="","",(--(B5&lt;&gt;"")+--(C5&lt;&gt;"")+--(D5&lt;&gt;"")+--(E5&lt;&gt;"")+--(F5&lt;&gt;"")+--(G5&lt;&gt;"")+--(H5&lt;&gt;"")+--(I5&lt;&gt;"")+--(J5&lt;&gt;"")+--(K5&lt;&gt;"")+--(L5&lt;&gt;"")+--(M5&lt;&gt;"")+--(N5&lt;&gt;"")+--(O5&lt;&gt;"")+--(P5&lt;&gt;"")+--(Q5&lt;&gt;"")+--(R5&lt;&gt;"")+--(S5&lt;&gt;"")+--(T5&lt;&gt;""))/19)</f>
        <v/>
      </c>
      <c r="AA5" s="16" t="n"/>
      <c r="AB5" s="16" t="n"/>
      <c r="AC5" s="16" t="n"/>
      <c r="AD5" s="16" t="n"/>
      <c r="AE5" s="7">
        <f>IF(B5="","",IF(AND(AA5="合格",AB5="合格",AC5="合格",AD5="合格"),"有效","无效"))</f>
        <v/>
      </c>
    </row>
    <row r="6">
      <c r="A6" s="7">
        <f>IF(B6="","",TEXT(B6,"yyyymmdd")&amp;"-"&amp;TEXT(ROW()-1,"000"))</f>
        <v/>
      </c>
      <c r="B6" s="8" t="n"/>
      <c r="C6" s="9" t="n"/>
      <c r="D6" s="9" t="n"/>
      <c r="E6" s="9" t="n"/>
      <c r="F6" s="9" t="n"/>
      <c r="G6" s="9" t="n"/>
      <c r="H6" s="9" t="n"/>
      <c r="I6" s="9" t="n"/>
      <c r="J6" s="10" t="n"/>
      <c r="K6" s="9" t="n"/>
      <c r="L6" s="9" t="n"/>
      <c r="M6" s="9" t="n"/>
      <c r="N6" s="10" t="n"/>
      <c r="O6" s="9" t="n"/>
      <c r="P6" s="10" t="n"/>
      <c r="Q6" s="10" t="n"/>
      <c r="R6" s="9" t="n"/>
      <c r="S6" s="10" t="n"/>
      <c r="T6" s="10" t="n"/>
      <c r="U6" s="11" t="n"/>
      <c r="V6" s="11" t="n"/>
      <c r="W6" s="12">
        <f>IF(B6="","",B6+3)</f>
        <v/>
      </c>
      <c r="X6" s="12">
        <f>IF(B6="","",B6+5)</f>
        <v/>
      </c>
      <c r="Y6" s="12">
        <f>IF(B6="","",B6+10)</f>
        <v/>
      </c>
      <c r="Z6" s="13">
        <f>IF(B6="","",(--(B6&lt;&gt;"")+--(C6&lt;&gt;"")+--(D6&lt;&gt;"")+--(E6&lt;&gt;"")+--(F6&lt;&gt;"")+--(G6&lt;&gt;"")+--(H6&lt;&gt;"")+--(I6&lt;&gt;"")+--(J6&lt;&gt;"")+--(K6&lt;&gt;"")+--(L6&lt;&gt;"")+--(M6&lt;&gt;"")+--(N6&lt;&gt;"")+--(O6&lt;&gt;"")+--(P6&lt;&gt;"")+--(Q6&lt;&gt;"")+--(R6&lt;&gt;"")+--(S6&lt;&gt;"")+--(T6&lt;&gt;""))/19)</f>
        <v/>
      </c>
      <c r="AA6" s="16" t="n"/>
      <c r="AB6" s="16" t="n"/>
      <c r="AC6" s="16" t="n"/>
      <c r="AD6" s="16" t="n"/>
      <c r="AE6" s="7">
        <f>IF(B6="","",IF(AND(AA6="合格",AB6="合格",AC6="合格",AD6="合格"),"有效","无效"))</f>
        <v/>
      </c>
    </row>
    <row r="7">
      <c r="A7" s="7">
        <f>IF(B7="","",TEXT(B7,"yyyymmdd")&amp;"-"&amp;TEXT(ROW()-1,"000"))</f>
        <v/>
      </c>
      <c r="B7" s="8" t="n"/>
      <c r="C7" s="9" t="n"/>
      <c r="D7" s="9" t="n"/>
      <c r="E7" s="9" t="n"/>
      <c r="F7" s="9" t="n"/>
      <c r="G7" s="9" t="n"/>
      <c r="H7" s="9" t="n"/>
      <c r="I7" s="9" t="n"/>
      <c r="J7" s="10" t="n"/>
      <c r="K7" s="9" t="n"/>
      <c r="L7" s="9" t="n"/>
      <c r="M7" s="9" t="n"/>
      <c r="N7" s="10" t="n"/>
      <c r="O7" s="9" t="n"/>
      <c r="P7" s="10" t="n"/>
      <c r="Q7" s="10" t="n"/>
      <c r="R7" s="9" t="n"/>
      <c r="S7" s="10" t="n"/>
      <c r="T7" s="10" t="n"/>
      <c r="U7" s="11" t="n"/>
      <c r="V7" s="11" t="n"/>
      <c r="W7" s="12">
        <f>IF(B7="","",B7+3)</f>
        <v/>
      </c>
      <c r="X7" s="12">
        <f>IF(B7="","",B7+5)</f>
        <v/>
      </c>
      <c r="Y7" s="12">
        <f>IF(B7="","",B7+10)</f>
        <v/>
      </c>
      <c r="Z7" s="13">
        <f>IF(B7="","",(--(B7&lt;&gt;"")+--(C7&lt;&gt;"")+--(D7&lt;&gt;"")+--(E7&lt;&gt;"")+--(F7&lt;&gt;"")+--(G7&lt;&gt;"")+--(H7&lt;&gt;"")+--(I7&lt;&gt;"")+--(J7&lt;&gt;"")+--(K7&lt;&gt;"")+--(L7&lt;&gt;"")+--(M7&lt;&gt;"")+--(N7&lt;&gt;"")+--(O7&lt;&gt;"")+--(P7&lt;&gt;"")+--(Q7&lt;&gt;"")+--(R7&lt;&gt;"")+--(S7&lt;&gt;"")+--(T7&lt;&gt;""))/19)</f>
        <v/>
      </c>
      <c r="AA7" s="16" t="n"/>
      <c r="AB7" s="16" t="n"/>
      <c r="AC7" s="16" t="n"/>
      <c r="AD7" s="16" t="n"/>
      <c r="AE7" s="7">
        <f>IF(B7="","",IF(AND(AA7="合格",AB7="合格",AC7="合格",AD7="合格"),"有效","无效"))</f>
        <v/>
      </c>
    </row>
    <row r="8">
      <c r="A8" s="7">
        <f>IF(B8="","",TEXT(B8,"yyyymmdd")&amp;"-"&amp;TEXT(ROW()-1,"000"))</f>
        <v/>
      </c>
      <c r="B8" s="8" t="n"/>
      <c r="C8" s="9" t="n"/>
      <c r="D8" s="9" t="n"/>
      <c r="E8" s="9" t="n"/>
      <c r="F8" s="9" t="n"/>
      <c r="G8" s="9" t="n"/>
      <c r="H8" s="9" t="n"/>
      <c r="I8" s="9" t="n"/>
      <c r="J8" s="10" t="n"/>
      <c r="K8" s="9" t="n"/>
      <c r="L8" s="9" t="n"/>
      <c r="M8" s="9" t="n"/>
      <c r="N8" s="10" t="n"/>
      <c r="O8" s="9" t="n"/>
      <c r="P8" s="10" t="n"/>
      <c r="Q8" s="10" t="n"/>
      <c r="R8" s="9" t="n"/>
      <c r="S8" s="10" t="n"/>
      <c r="T8" s="10" t="n"/>
      <c r="U8" s="11" t="n"/>
      <c r="V8" s="11" t="n"/>
      <c r="W8" s="12">
        <f>IF(B8="","",B8+3)</f>
        <v/>
      </c>
      <c r="X8" s="12">
        <f>IF(B8="","",B8+5)</f>
        <v/>
      </c>
      <c r="Y8" s="12">
        <f>IF(B8="","",B8+10)</f>
        <v/>
      </c>
      <c r="Z8" s="13">
        <f>IF(B8="","",(--(B8&lt;&gt;"")+--(C8&lt;&gt;"")+--(D8&lt;&gt;"")+--(E8&lt;&gt;"")+--(F8&lt;&gt;"")+--(G8&lt;&gt;"")+--(H8&lt;&gt;"")+--(I8&lt;&gt;"")+--(J8&lt;&gt;"")+--(K8&lt;&gt;"")+--(L8&lt;&gt;"")+--(M8&lt;&gt;"")+--(N8&lt;&gt;"")+--(O8&lt;&gt;"")+--(P8&lt;&gt;"")+--(Q8&lt;&gt;"")+--(R8&lt;&gt;"")+--(S8&lt;&gt;"")+--(T8&lt;&gt;""))/19)</f>
        <v/>
      </c>
      <c r="AA8" s="16" t="n"/>
      <c r="AB8" s="16" t="n"/>
      <c r="AC8" s="16" t="n"/>
      <c r="AD8" s="16" t="n"/>
      <c r="AE8" s="7">
        <f>IF(B8="","",IF(AND(AA8="合格",AB8="合格",AC8="合格",AD8="合格"),"有效","无效"))</f>
        <v/>
      </c>
    </row>
    <row r="9">
      <c r="A9" s="7">
        <f>IF(B9="","",TEXT(B9,"yyyymmdd")&amp;"-"&amp;TEXT(ROW()-1,"000"))</f>
        <v/>
      </c>
      <c r="B9" s="8" t="n"/>
      <c r="C9" s="9" t="n"/>
      <c r="D9" s="9" t="n"/>
      <c r="E9" s="9" t="n"/>
      <c r="F9" s="9" t="n"/>
      <c r="G9" s="9" t="n"/>
      <c r="H9" s="9" t="n"/>
      <c r="I9" s="9" t="n"/>
      <c r="J9" s="10" t="n"/>
      <c r="K9" s="9" t="n"/>
      <c r="L9" s="9" t="n"/>
      <c r="M9" s="9" t="n"/>
      <c r="N9" s="10" t="n"/>
      <c r="O9" s="9" t="n"/>
      <c r="P9" s="10" t="n"/>
      <c r="Q9" s="10" t="n"/>
      <c r="R9" s="9" t="n"/>
      <c r="S9" s="10" t="n"/>
      <c r="T9" s="10" t="n"/>
      <c r="U9" s="11" t="n"/>
      <c r="V9" s="11" t="n"/>
      <c r="W9" s="12">
        <f>IF(B9="","",B9+3)</f>
        <v/>
      </c>
      <c r="X9" s="12">
        <f>IF(B9="","",B9+5)</f>
        <v/>
      </c>
      <c r="Y9" s="12">
        <f>IF(B9="","",B9+10)</f>
        <v/>
      </c>
      <c r="Z9" s="13">
        <f>IF(B9="","",(--(B9&lt;&gt;"")+--(C9&lt;&gt;"")+--(D9&lt;&gt;"")+--(E9&lt;&gt;"")+--(F9&lt;&gt;"")+--(G9&lt;&gt;"")+--(H9&lt;&gt;"")+--(I9&lt;&gt;"")+--(J9&lt;&gt;"")+--(K9&lt;&gt;"")+--(L9&lt;&gt;"")+--(M9&lt;&gt;"")+--(N9&lt;&gt;"")+--(O9&lt;&gt;"")+--(P9&lt;&gt;"")+--(Q9&lt;&gt;"")+--(R9&lt;&gt;"")+--(S9&lt;&gt;"")+--(T9&lt;&gt;""))/19)</f>
        <v/>
      </c>
      <c r="AA9" s="16" t="n"/>
      <c r="AB9" s="16" t="n"/>
      <c r="AC9" s="16" t="n"/>
      <c r="AD9" s="16" t="n"/>
      <c r="AE9" s="7">
        <f>IF(B9="","",IF(AND(AA9="合格",AB9="合格",AC9="合格",AD9="合格"),"有效","无效"))</f>
        <v/>
      </c>
    </row>
    <row r="10">
      <c r="A10" s="7">
        <f>IF(B10="","",TEXT(B10,"yyyymmdd")&amp;"-"&amp;TEXT(ROW()-1,"000"))</f>
        <v/>
      </c>
      <c r="B10" s="8" t="n"/>
      <c r="C10" s="9" t="n"/>
      <c r="D10" s="9" t="n"/>
      <c r="E10" s="9" t="n"/>
      <c r="F10" s="9" t="n"/>
      <c r="G10" s="9" t="n"/>
      <c r="H10" s="9" t="n"/>
      <c r="I10" s="9" t="n"/>
      <c r="J10" s="10" t="n"/>
      <c r="K10" s="9" t="n"/>
      <c r="L10" s="9" t="n"/>
      <c r="M10" s="9" t="n"/>
      <c r="N10" s="10" t="n"/>
      <c r="O10" s="9" t="n"/>
      <c r="P10" s="10" t="n"/>
      <c r="Q10" s="10" t="n"/>
      <c r="R10" s="9" t="n"/>
      <c r="S10" s="10" t="n"/>
      <c r="T10" s="10" t="n"/>
      <c r="U10" s="11" t="n"/>
      <c r="V10" s="11" t="n"/>
      <c r="W10" s="12">
        <f>IF(B10="","",B10+3)</f>
        <v/>
      </c>
      <c r="X10" s="12">
        <f>IF(B10="","",B10+5)</f>
        <v/>
      </c>
      <c r="Y10" s="12">
        <f>IF(B10="","",B10+10)</f>
        <v/>
      </c>
      <c r="Z10" s="13">
        <f>IF(B10="","",(--(B10&lt;&gt;"")+--(C10&lt;&gt;"")+--(D10&lt;&gt;"")+--(E10&lt;&gt;"")+--(F10&lt;&gt;"")+--(G10&lt;&gt;"")+--(H10&lt;&gt;"")+--(I10&lt;&gt;"")+--(J10&lt;&gt;"")+--(K10&lt;&gt;"")+--(L10&lt;&gt;"")+--(M10&lt;&gt;"")+--(N10&lt;&gt;"")+--(O10&lt;&gt;"")+--(P10&lt;&gt;"")+--(Q10&lt;&gt;"")+--(R10&lt;&gt;"")+--(S10&lt;&gt;"")+--(T10&lt;&gt;""))/19)</f>
        <v/>
      </c>
      <c r="AA10" s="16" t="n"/>
      <c r="AB10" s="16" t="n"/>
      <c r="AC10" s="16" t="n"/>
      <c r="AD10" s="16" t="n"/>
      <c r="AE10" s="7">
        <f>IF(B10="","",IF(AND(AA10="合格",AB10="合格",AC10="合格",AD10="合格"),"有效","无效"))</f>
        <v/>
      </c>
    </row>
    <row r="11">
      <c r="A11" s="7">
        <f>IF(B11="","",TEXT(B11,"yyyymmdd")&amp;"-"&amp;TEXT(ROW()-1,"000"))</f>
        <v/>
      </c>
      <c r="B11" s="8" t="n"/>
      <c r="C11" s="9" t="n"/>
      <c r="D11" s="9" t="n"/>
      <c r="E11" s="9" t="n"/>
      <c r="F11" s="9" t="n"/>
      <c r="G11" s="9" t="n"/>
      <c r="H11" s="9" t="n"/>
      <c r="I11" s="9" t="n"/>
      <c r="J11" s="10" t="n"/>
      <c r="K11" s="9" t="n"/>
      <c r="L11" s="9" t="n"/>
      <c r="M11" s="9" t="n"/>
      <c r="N11" s="10" t="n"/>
      <c r="O11" s="9" t="n"/>
      <c r="P11" s="10" t="n"/>
      <c r="Q11" s="10" t="n"/>
      <c r="R11" s="9" t="n"/>
      <c r="S11" s="10" t="n"/>
      <c r="T11" s="10" t="n"/>
      <c r="U11" s="11" t="n"/>
      <c r="V11" s="11" t="n"/>
      <c r="W11" s="12">
        <f>IF(B11="","",B11+3)</f>
        <v/>
      </c>
      <c r="X11" s="12">
        <f>IF(B11="","",B11+5)</f>
        <v/>
      </c>
      <c r="Y11" s="12">
        <f>IF(B11="","",B11+10)</f>
        <v/>
      </c>
      <c r="Z11" s="13">
        <f>IF(B11="","",(--(B11&lt;&gt;"")+--(C11&lt;&gt;"")+--(D11&lt;&gt;"")+--(E11&lt;&gt;"")+--(F11&lt;&gt;"")+--(G11&lt;&gt;"")+--(H11&lt;&gt;"")+--(I11&lt;&gt;"")+--(J11&lt;&gt;"")+--(K11&lt;&gt;"")+--(L11&lt;&gt;"")+--(M11&lt;&gt;"")+--(N11&lt;&gt;"")+--(O11&lt;&gt;"")+--(P11&lt;&gt;"")+--(Q11&lt;&gt;"")+--(R11&lt;&gt;"")+--(S11&lt;&gt;"")+--(T11&lt;&gt;""))/19)</f>
        <v/>
      </c>
      <c r="AA11" s="16" t="n"/>
      <c r="AB11" s="16" t="n"/>
      <c r="AC11" s="16" t="n"/>
      <c r="AD11" s="16" t="n"/>
      <c r="AE11" s="7">
        <f>IF(B11="","",IF(AND(AA11="合格",AB11="合格",AC11="合格",AD11="合格"),"有效","无效"))</f>
        <v/>
      </c>
    </row>
    <row r="12">
      <c r="A12" s="7">
        <f>IF(B12="","",TEXT(B12,"yyyymmdd")&amp;"-"&amp;TEXT(ROW()-1,"000"))</f>
        <v/>
      </c>
      <c r="B12" s="8" t="n"/>
      <c r="C12" s="9" t="n"/>
      <c r="D12" s="9" t="n"/>
      <c r="E12" s="9" t="n"/>
      <c r="F12" s="9" t="n"/>
      <c r="G12" s="9" t="n"/>
      <c r="H12" s="9" t="n"/>
      <c r="I12" s="9" t="n"/>
      <c r="J12" s="10" t="n"/>
      <c r="K12" s="9" t="n"/>
      <c r="L12" s="9" t="n"/>
      <c r="M12" s="9" t="n"/>
      <c r="N12" s="10" t="n"/>
      <c r="O12" s="9" t="n"/>
      <c r="P12" s="10" t="n"/>
      <c r="Q12" s="10" t="n"/>
      <c r="R12" s="9" t="n"/>
      <c r="S12" s="10" t="n"/>
      <c r="T12" s="10" t="n"/>
      <c r="U12" s="11" t="n"/>
      <c r="V12" s="11" t="n"/>
      <c r="W12" s="12">
        <f>IF(B12="","",B12+3)</f>
        <v/>
      </c>
      <c r="X12" s="12">
        <f>IF(B12="","",B12+5)</f>
        <v/>
      </c>
      <c r="Y12" s="12">
        <f>IF(B12="","",B12+10)</f>
        <v/>
      </c>
      <c r="Z12" s="13">
        <f>IF(B12="","",(--(B12&lt;&gt;"")+--(C12&lt;&gt;"")+--(D12&lt;&gt;"")+--(E12&lt;&gt;"")+--(F12&lt;&gt;"")+--(G12&lt;&gt;"")+--(H12&lt;&gt;"")+--(I12&lt;&gt;"")+--(J12&lt;&gt;"")+--(K12&lt;&gt;"")+--(L12&lt;&gt;"")+--(M12&lt;&gt;"")+--(N12&lt;&gt;"")+--(O12&lt;&gt;"")+--(P12&lt;&gt;"")+--(Q12&lt;&gt;"")+--(R12&lt;&gt;"")+--(S12&lt;&gt;"")+--(T12&lt;&gt;""))/19)</f>
        <v/>
      </c>
      <c r="AA12" s="16" t="n"/>
      <c r="AB12" s="16" t="n"/>
      <c r="AC12" s="16" t="n"/>
      <c r="AD12" s="16" t="n"/>
      <c r="AE12" s="7">
        <f>IF(B12="","",IF(AND(AA12="合格",AB12="合格",AC12="合格",AD12="合格"),"有效","无效"))</f>
        <v/>
      </c>
    </row>
    <row r="13">
      <c r="A13" s="7">
        <f>IF(B13="","",TEXT(B13,"yyyymmdd")&amp;"-"&amp;TEXT(ROW()-1,"000"))</f>
        <v/>
      </c>
      <c r="B13" s="8" t="n"/>
      <c r="C13" s="9" t="n"/>
      <c r="D13" s="9" t="n"/>
      <c r="E13" s="9" t="n"/>
      <c r="F13" s="9" t="n"/>
      <c r="G13" s="9" t="n"/>
      <c r="H13" s="9" t="n"/>
      <c r="I13" s="9" t="n"/>
      <c r="J13" s="10" t="n"/>
      <c r="K13" s="9" t="n"/>
      <c r="L13" s="9" t="n"/>
      <c r="M13" s="9" t="n"/>
      <c r="N13" s="10" t="n"/>
      <c r="O13" s="9" t="n"/>
      <c r="P13" s="10" t="n"/>
      <c r="Q13" s="10" t="n"/>
      <c r="R13" s="9" t="n"/>
      <c r="S13" s="10" t="n"/>
      <c r="T13" s="10" t="n"/>
      <c r="U13" s="11" t="n"/>
      <c r="V13" s="11" t="n"/>
      <c r="W13" s="12">
        <f>IF(B13="","",B13+3)</f>
        <v/>
      </c>
      <c r="X13" s="12">
        <f>IF(B13="","",B13+5)</f>
        <v/>
      </c>
      <c r="Y13" s="12">
        <f>IF(B13="","",B13+10)</f>
        <v/>
      </c>
      <c r="Z13" s="13">
        <f>IF(B13="","",(--(B13&lt;&gt;"")+--(C13&lt;&gt;"")+--(D13&lt;&gt;"")+--(E13&lt;&gt;"")+--(F13&lt;&gt;"")+--(G13&lt;&gt;"")+--(H13&lt;&gt;"")+--(I13&lt;&gt;"")+--(J13&lt;&gt;"")+--(K13&lt;&gt;"")+--(L13&lt;&gt;"")+--(M13&lt;&gt;"")+--(N13&lt;&gt;"")+--(O13&lt;&gt;"")+--(P13&lt;&gt;"")+--(Q13&lt;&gt;"")+--(R13&lt;&gt;"")+--(S13&lt;&gt;"")+--(T13&lt;&gt;""))/19)</f>
        <v/>
      </c>
      <c r="AA13" s="16" t="n"/>
      <c r="AB13" s="16" t="n"/>
      <c r="AC13" s="16" t="n"/>
      <c r="AD13" s="16" t="n"/>
      <c r="AE13" s="7">
        <f>IF(B13="","",IF(AND(AA13="合格",AB13="合格",AC13="合格",AD13="合格"),"有效","无效"))</f>
        <v/>
      </c>
    </row>
    <row r="14">
      <c r="A14" s="7">
        <f>IF(B14="","",TEXT(B14,"yyyymmdd")&amp;"-"&amp;TEXT(ROW()-1,"000"))</f>
        <v/>
      </c>
      <c r="B14" s="8" t="n"/>
      <c r="C14" s="9" t="n"/>
      <c r="D14" s="9" t="n"/>
      <c r="E14" s="9" t="n"/>
      <c r="F14" s="9" t="n"/>
      <c r="G14" s="9" t="n"/>
      <c r="H14" s="9" t="n"/>
      <c r="I14" s="9" t="n"/>
      <c r="J14" s="10" t="n"/>
      <c r="K14" s="9" t="n"/>
      <c r="L14" s="9" t="n"/>
      <c r="M14" s="9" t="n"/>
      <c r="N14" s="10" t="n"/>
      <c r="O14" s="9" t="n"/>
      <c r="P14" s="10" t="n"/>
      <c r="Q14" s="10" t="n"/>
      <c r="R14" s="9" t="n"/>
      <c r="S14" s="10" t="n"/>
      <c r="T14" s="10" t="n"/>
      <c r="U14" s="11" t="n"/>
      <c r="V14" s="11" t="n"/>
      <c r="W14" s="12">
        <f>IF(B14="","",B14+3)</f>
        <v/>
      </c>
      <c r="X14" s="12">
        <f>IF(B14="","",B14+5)</f>
        <v/>
      </c>
      <c r="Y14" s="12">
        <f>IF(B14="","",B14+10)</f>
        <v/>
      </c>
      <c r="Z14" s="13">
        <f>IF(B14="","",(--(B14&lt;&gt;"")+--(C14&lt;&gt;"")+--(D14&lt;&gt;"")+--(E14&lt;&gt;"")+--(F14&lt;&gt;"")+--(G14&lt;&gt;"")+--(H14&lt;&gt;"")+--(I14&lt;&gt;"")+--(J14&lt;&gt;"")+--(K14&lt;&gt;"")+--(L14&lt;&gt;"")+--(M14&lt;&gt;"")+--(N14&lt;&gt;"")+--(O14&lt;&gt;"")+--(P14&lt;&gt;"")+--(Q14&lt;&gt;"")+--(R14&lt;&gt;"")+--(S14&lt;&gt;"")+--(T14&lt;&gt;""))/19)</f>
        <v/>
      </c>
      <c r="AA14" s="16" t="n"/>
      <c r="AB14" s="16" t="n"/>
      <c r="AC14" s="16" t="n"/>
      <c r="AD14" s="16" t="n"/>
      <c r="AE14" s="7">
        <f>IF(B14="","",IF(AND(AA14="合格",AB14="合格",AC14="合格",AD14="合格"),"有效","无效"))</f>
        <v/>
      </c>
    </row>
    <row r="15">
      <c r="A15" s="7">
        <f>IF(B15="","",TEXT(B15,"yyyymmdd")&amp;"-"&amp;TEXT(ROW()-1,"000"))</f>
        <v/>
      </c>
      <c r="B15" s="8" t="n"/>
      <c r="C15" s="9" t="n"/>
      <c r="D15" s="9" t="n"/>
      <c r="E15" s="9" t="n"/>
      <c r="F15" s="9" t="n"/>
      <c r="G15" s="9" t="n"/>
      <c r="H15" s="9" t="n"/>
      <c r="I15" s="9" t="n"/>
      <c r="J15" s="10" t="n"/>
      <c r="K15" s="9" t="n"/>
      <c r="L15" s="9" t="n"/>
      <c r="M15" s="9" t="n"/>
      <c r="N15" s="10" t="n"/>
      <c r="O15" s="9" t="n"/>
      <c r="P15" s="10" t="n"/>
      <c r="Q15" s="10" t="n"/>
      <c r="R15" s="9" t="n"/>
      <c r="S15" s="10" t="n"/>
      <c r="T15" s="10" t="n"/>
      <c r="U15" s="11" t="n"/>
      <c r="V15" s="11" t="n"/>
      <c r="W15" s="12">
        <f>IF(B15="","",B15+3)</f>
        <v/>
      </c>
      <c r="X15" s="12">
        <f>IF(B15="","",B15+5)</f>
        <v/>
      </c>
      <c r="Y15" s="12">
        <f>IF(B15="","",B15+10)</f>
        <v/>
      </c>
      <c r="Z15" s="13">
        <f>IF(B15="","",(--(B15&lt;&gt;"")+--(C15&lt;&gt;"")+--(D15&lt;&gt;"")+--(E15&lt;&gt;"")+--(F15&lt;&gt;"")+--(G15&lt;&gt;"")+--(H15&lt;&gt;"")+--(I15&lt;&gt;"")+--(J15&lt;&gt;"")+--(K15&lt;&gt;"")+--(L15&lt;&gt;"")+--(M15&lt;&gt;"")+--(N15&lt;&gt;"")+--(O15&lt;&gt;"")+--(P15&lt;&gt;"")+--(Q15&lt;&gt;"")+--(R15&lt;&gt;"")+--(S15&lt;&gt;"")+--(T15&lt;&gt;""))/19)</f>
        <v/>
      </c>
      <c r="AA15" s="16" t="n"/>
      <c r="AB15" s="16" t="n"/>
      <c r="AC15" s="16" t="n"/>
      <c r="AD15" s="16" t="n"/>
      <c r="AE15" s="7">
        <f>IF(B15="","",IF(AND(AA15="合格",AB15="合格",AC15="合格",AD15="合格"),"有效","无效"))</f>
        <v/>
      </c>
    </row>
    <row r="16">
      <c r="A16" s="7">
        <f>IF(B16="","",TEXT(B16,"yyyymmdd")&amp;"-"&amp;TEXT(ROW()-1,"000"))</f>
        <v/>
      </c>
      <c r="B16" s="8" t="n"/>
      <c r="C16" s="9" t="n"/>
      <c r="D16" s="9" t="n"/>
      <c r="E16" s="9" t="n"/>
      <c r="F16" s="9" t="n"/>
      <c r="G16" s="9" t="n"/>
      <c r="H16" s="9" t="n"/>
      <c r="I16" s="9" t="n"/>
      <c r="J16" s="10" t="n"/>
      <c r="K16" s="9" t="n"/>
      <c r="L16" s="9" t="n"/>
      <c r="M16" s="9" t="n"/>
      <c r="N16" s="10" t="n"/>
      <c r="O16" s="9" t="n"/>
      <c r="P16" s="10" t="n"/>
      <c r="Q16" s="10" t="n"/>
      <c r="R16" s="9" t="n"/>
      <c r="S16" s="10" t="n"/>
      <c r="T16" s="10" t="n"/>
      <c r="U16" s="11" t="n"/>
      <c r="V16" s="11" t="n"/>
      <c r="W16" s="12">
        <f>IF(B16="","",B16+3)</f>
        <v/>
      </c>
      <c r="X16" s="12">
        <f>IF(B16="","",B16+5)</f>
        <v/>
      </c>
      <c r="Y16" s="12">
        <f>IF(B16="","",B16+10)</f>
        <v/>
      </c>
      <c r="Z16" s="13">
        <f>IF(B16="","",(--(B16&lt;&gt;"")+--(C16&lt;&gt;"")+--(D16&lt;&gt;"")+--(E16&lt;&gt;"")+--(F16&lt;&gt;"")+--(G16&lt;&gt;"")+--(H16&lt;&gt;"")+--(I16&lt;&gt;"")+--(J16&lt;&gt;"")+--(K16&lt;&gt;"")+--(L16&lt;&gt;"")+--(M16&lt;&gt;"")+--(N16&lt;&gt;"")+--(O16&lt;&gt;"")+--(P16&lt;&gt;"")+--(Q16&lt;&gt;"")+--(R16&lt;&gt;"")+--(S16&lt;&gt;"")+--(T16&lt;&gt;""))/19)</f>
        <v/>
      </c>
      <c r="AA16" s="16" t="n"/>
      <c r="AB16" s="16" t="n"/>
      <c r="AC16" s="16" t="n"/>
      <c r="AD16" s="16" t="n"/>
      <c r="AE16" s="7">
        <f>IF(B16="","",IF(AND(AA16="合格",AB16="合格",AC16="合格",AD16="合格"),"有效","无效"))</f>
        <v/>
      </c>
    </row>
    <row r="17">
      <c r="A17" s="7">
        <f>IF(B17="","",TEXT(B17,"yyyymmdd")&amp;"-"&amp;TEXT(ROW()-1,"000"))</f>
        <v/>
      </c>
      <c r="B17" s="8" t="n"/>
      <c r="C17" s="9" t="n"/>
      <c r="D17" s="9" t="n"/>
      <c r="E17" s="9" t="n"/>
      <c r="F17" s="9" t="n"/>
      <c r="G17" s="9" t="n"/>
      <c r="H17" s="9" t="n"/>
      <c r="I17" s="9" t="n"/>
      <c r="J17" s="10" t="n"/>
      <c r="K17" s="9" t="n"/>
      <c r="L17" s="9" t="n"/>
      <c r="M17" s="9" t="n"/>
      <c r="N17" s="10" t="n"/>
      <c r="O17" s="9" t="n"/>
      <c r="P17" s="10" t="n"/>
      <c r="Q17" s="10" t="n"/>
      <c r="R17" s="9" t="n"/>
      <c r="S17" s="10" t="n"/>
      <c r="T17" s="10" t="n"/>
      <c r="U17" s="11" t="n"/>
      <c r="V17" s="11" t="n"/>
      <c r="W17" s="12">
        <f>IF(B17="","",B17+3)</f>
        <v/>
      </c>
      <c r="X17" s="12">
        <f>IF(B17="","",B17+5)</f>
        <v/>
      </c>
      <c r="Y17" s="12">
        <f>IF(B17="","",B17+10)</f>
        <v/>
      </c>
      <c r="Z17" s="13">
        <f>IF(B17="","",(--(B17&lt;&gt;"")+--(C17&lt;&gt;"")+--(D17&lt;&gt;"")+--(E17&lt;&gt;"")+--(F17&lt;&gt;"")+--(G17&lt;&gt;"")+--(H17&lt;&gt;"")+--(I17&lt;&gt;"")+--(J17&lt;&gt;"")+--(K17&lt;&gt;"")+--(L17&lt;&gt;"")+--(M17&lt;&gt;"")+--(N17&lt;&gt;"")+--(O17&lt;&gt;"")+--(P17&lt;&gt;"")+--(Q17&lt;&gt;"")+--(R17&lt;&gt;"")+--(S17&lt;&gt;"")+--(T17&lt;&gt;""))/19)</f>
        <v/>
      </c>
      <c r="AA17" s="16" t="n"/>
      <c r="AB17" s="16" t="n"/>
      <c r="AC17" s="16" t="n"/>
      <c r="AD17" s="16" t="n"/>
      <c r="AE17" s="7">
        <f>IF(B17="","",IF(AND(AA17="合格",AB17="合格",AC17="合格",AD17="合格"),"有效","无效"))</f>
        <v/>
      </c>
    </row>
    <row r="18">
      <c r="A18" s="7">
        <f>IF(B18="","",TEXT(B18,"yyyymmdd")&amp;"-"&amp;TEXT(ROW()-1,"000"))</f>
        <v/>
      </c>
      <c r="B18" s="8" t="n"/>
      <c r="C18" s="9" t="n"/>
      <c r="D18" s="9" t="n"/>
      <c r="E18" s="9" t="n"/>
      <c r="F18" s="9" t="n"/>
      <c r="G18" s="9" t="n"/>
      <c r="H18" s="9" t="n"/>
      <c r="I18" s="9" t="n"/>
      <c r="J18" s="10" t="n"/>
      <c r="K18" s="9" t="n"/>
      <c r="L18" s="9" t="n"/>
      <c r="M18" s="9" t="n"/>
      <c r="N18" s="10" t="n"/>
      <c r="O18" s="9" t="n"/>
      <c r="P18" s="10" t="n"/>
      <c r="Q18" s="10" t="n"/>
      <c r="R18" s="9" t="n"/>
      <c r="S18" s="10" t="n"/>
      <c r="T18" s="10" t="n"/>
      <c r="U18" s="11" t="n"/>
      <c r="V18" s="11" t="n"/>
      <c r="W18" s="12">
        <f>IF(B18="","",B18+3)</f>
        <v/>
      </c>
      <c r="X18" s="12">
        <f>IF(B18="","",B18+5)</f>
        <v/>
      </c>
      <c r="Y18" s="12">
        <f>IF(B18="","",B18+10)</f>
        <v/>
      </c>
      <c r="Z18" s="13">
        <f>IF(B18="","",(--(B18&lt;&gt;"")+--(C18&lt;&gt;"")+--(D18&lt;&gt;"")+--(E18&lt;&gt;"")+--(F18&lt;&gt;"")+--(G18&lt;&gt;"")+--(H18&lt;&gt;"")+--(I18&lt;&gt;"")+--(J18&lt;&gt;"")+--(K18&lt;&gt;"")+--(L18&lt;&gt;"")+--(M18&lt;&gt;"")+--(N18&lt;&gt;"")+--(O18&lt;&gt;"")+--(P18&lt;&gt;"")+--(Q18&lt;&gt;"")+--(R18&lt;&gt;"")+--(S18&lt;&gt;"")+--(T18&lt;&gt;""))/19)</f>
        <v/>
      </c>
      <c r="AA18" s="16" t="n"/>
      <c r="AB18" s="16" t="n"/>
      <c r="AC18" s="16" t="n"/>
      <c r="AD18" s="16" t="n"/>
      <c r="AE18" s="7">
        <f>IF(B18="","",IF(AND(AA18="合格",AB18="合格",AC18="合格",AD18="合格"),"有效","无效"))</f>
        <v/>
      </c>
    </row>
    <row r="19">
      <c r="A19" s="7">
        <f>IF(B19="","",TEXT(B19,"yyyymmdd")&amp;"-"&amp;TEXT(ROW()-1,"000"))</f>
        <v/>
      </c>
      <c r="B19" s="8" t="n"/>
      <c r="C19" s="9" t="n"/>
      <c r="D19" s="9" t="n"/>
      <c r="E19" s="9" t="n"/>
      <c r="F19" s="9" t="n"/>
      <c r="G19" s="9" t="n"/>
      <c r="H19" s="9" t="n"/>
      <c r="I19" s="9" t="n"/>
      <c r="J19" s="10" t="n"/>
      <c r="K19" s="9" t="n"/>
      <c r="L19" s="9" t="n"/>
      <c r="M19" s="9" t="n"/>
      <c r="N19" s="10" t="n"/>
      <c r="O19" s="9" t="n"/>
      <c r="P19" s="10" t="n"/>
      <c r="Q19" s="10" t="n"/>
      <c r="R19" s="9" t="n"/>
      <c r="S19" s="10" t="n"/>
      <c r="T19" s="10" t="n"/>
      <c r="U19" s="11" t="n"/>
      <c r="V19" s="11" t="n"/>
      <c r="W19" s="12">
        <f>IF(B19="","",B19+3)</f>
        <v/>
      </c>
      <c r="X19" s="12">
        <f>IF(B19="","",B19+5)</f>
        <v/>
      </c>
      <c r="Y19" s="12">
        <f>IF(B19="","",B19+10)</f>
        <v/>
      </c>
      <c r="Z19" s="13">
        <f>IF(B19="","",(--(B19&lt;&gt;"")+--(C19&lt;&gt;"")+--(D19&lt;&gt;"")+--(E19&lt;&gt;"")+--(F19&lt;&gt;"")+--(G19&lt;&gt;"")+--(H19&lt;&gt;"")+--(I19&lt;&gt;"")+--(J19&lt;&gt;"")+--(K19&lt;&gt;"")+--(L19&lt;&gt;"")+--(M19&lt;&gt;"")+--(N19&lt;&gt;"")+--(O19&lt;&gt;"")+--(P19&lt;&gt;"")+--(Q19&lt;&gt;"")+--(R19&lt;&gt;"")+--(S19&lt;&gt;"")+--(T19&lt;&gt;""))/19)</f>
        <v/>
      </c>
      <c r="AA19" s="16" t="n"/>
      <c r="AB19" s="16" t="n"/>
      <c r="AC19" s="16" t="n"/>
      <c r="AD19" s="16" t="n"/>
      <c r="AE19" s="7">
        <f>IF(B19="","",IF(AND(AA19="合格",AB19="合格",AC19="合格",AD19="合格"),"有效","无效"))</f>
        <v/>
      </c>
    </row>
    <row r="20">
      <c r="A20" s="7">
        <f>IF(B20="","",TEXT(B20,"yyyymmdd")&amp;"-"&amp;TEXT(ROW()-1,"000"))</f>
        <v/>
      </c>
      <c r="B20" s="8" t="n"/>
      <c r="C20" s="9" t="n"/>
      <c r="D20" s="9" t="n"/>
      <c r="E20" s="9" t="n"/>
      <c r="F20" s="9" t="n"/>
      <c r="G20" s="9" t="n"/>
      <c r="H20" s="9" t="n"/>
      <c r="I20" s="9" t="n"/>
      <c r="J20" s="10" t="n"/>
      <c r="K20" s="9" t="n"/>
      <c r="L20" s="9" t="n"/>
      <c r="M20" s="9" t="n"/>
      <c r="N20" s="10" t="n"/>
      <c r="O20" s="9" t="n"/>
      <c r="P20" s="10" t="n"/>
      <c r="Q20" s="10" t="n"/>
      <c r="R20" s="9" t="n"/>
      <c r="S20" s="10" t="n"/>
      <c r="T20" s="10" t="n"/>
      <c r="U20" s="11" t="n"/>
      <c r="V20" s="11" t="n"/>
      <c r="W20" s="12">
        <f>IF(B20="","",B20+3)</f>
        <v/>
      </c>
      <c r="X20" s="12">
        <f>IF(B20="","",B20+5)</f>
        <v/>
      </c>
      <c r="Y20" s="12">
        <f>IF(B20="","",B20+10)</f>
        <v/>
      </c>
      <c r="Z20" s="13">
        <f>IF(B20="","",(--(B20&lt;&gt;"")+--(C20&lt;&gt;"")+--(D20&lt;&gt;"")+--(E20&lt;&gt;"")+--(F20&lt;&gt;"")+--(G20&lt;&gt;"")+--(H20&lt;&gt;"")+--(I20&lt;&gt;"")+--(J20&lt;&gt;"")+--(K20&lt;&gt;"")+--(L20&lt;&gt;"")+--(M20&lt;&gt;"")+--(N20&lt;&gt;"")+--(O20&lt;&gt;"")+--(P20&lt;&gt;"")+--(Q20&lt;&gt;"")+--(R20&lt;&gt;"")+--(S20&lt;&gt;"")+--(T20&lt;&gt;""))/19)</f>
        <v/>
      </c>
      <c r="AA20" s="16" t="n"/>
      <c r="AB20" s="16" t="n"/>
      <c r="AC20" s="16" t="n"/>
      <c r="AD20" s="16" t="n"/>
      <c r="AE20" s="7">
        <f>IF(B20="","",IF(AND(AA20="合格",AB20="合格",AC20="合格",AD20="合格"),"有效","无效"))</f>
        <v/>
      </c>
    </row>
    <row r="21">
      <c r="A21" s="7">
        <f>IF(B21="","",TEXT(B21,"yyyymmdd")&amp;"-"&amp;TEXT(ROW()-1,"000"))</f>
        <v/>
      </c>
      <c r="B21" s="8" t="n"/>
      <c r="C21" s="9" t="n"/>
      <c r="D21" s="9" t="n"/>
      <c r="E21" s="9" t="n"/>
      <c r="F21" s="9" t="n"/>
      <c r="G21" s="9" t="n"/>
      <c r="H21" s="9" t="n"/>
      <c r="I21" s="9" t="n"/>
      <c r="J21" s="10" t="n"/>
      <c r="K21" s="9" t="n"/>
      <c r="L21" s="9" t="n"/>
      <c r="M21" s="9" t="n"/>
      <c r="N21" s="10" t="n"/>
      <c r="O21" s="9" t="n"/>
      <c r="P21" s="10" t="n"/>
      <c r="Q21" s="10" t="n"/>
      <c r="R21" s="9" t="n"/>
      <c r="S21" s="10" t="n"/>
      <c r="T21" s="10" t="n"/>
      <c r="U21" s="11" t="n"/>
      <c r="V21" s="11" t="n"/>
      <c r="W21" s="12">
        <f>IF(B21="","",B21+3)</f>
        <v/>
      </c>
      <c r="X21" s="12">
        <f>IF(B21="","",B21+5)</f>
        <v/>
      </c>
      <c r="Y21" s="12">
        <f>IF(B21="","",B21+10)</f>
        <v/>
      </c>
      <c r="Z21" s="13">
        <f>IF(B21="","",(--(B21&lt;&gt;"")+--(C21&lt;&gt;"")+--(D21&lt;&gt;"")+--(E21&lt;&gt;"")+--(F21&lt;&gt;"")+--(G21&lt;&gt;"")+--(H21&lt;&gt;"")+--(I21&lt;&gt;"")+--(J21&lt;&gt;"")+--(K21&lt;&gt;"")+--(L21&lt;&gt;"")+--(M21&lt;&gt;"")+--(N21&lt;&gt;"")+--(O21&lt;&gt;"")+--(P21&lt;&gt;"")+--(Q21&lt;&gt;"")+--(R21&lt;&gt;"")+--(S21&lt;&gt;"")+--(T21&lt;&gt;""))/19)</f>
        <v/>
      </c>
      <c r="AA21" s="16" t="n"/>
      <c r="AB21" s="16" t="n"/>
      <c r="AC21" s="16" t="n"/>
      <c r="AD21" s="16" t="n"/>
      <c r="AE21" s="7">
        <f>IF(B21="","",IF(AND(AA21="合格",AB21="合格",AC21="合格",AD21="合格"),"有效","无效"))</f>
        <v/>
      </c>
    </row>
    <row r="22">
      <c r="A22" s="7">
        <f>IF(B22="","",TEXT(B22,"yyyymmdd")&amp;"-"&amp;TEXT(ROW()-1,"000"))</f>
        <v/>
      </c>
      <c r="B22" s="8" t="n"/>
      <c r="C22" s="9" t="n"/>
      <c r="D22" s="9" t="n"/>
      <c r="E22" s="9" t="n"/>
      <c r="F22" s="9" t="n"/>
      <c r="G22" s="9" t="n"/>
      <c r="H22" s="9" t="n"/>
      <c r="I22" s="9" t="n"/>
      <c r="J22" s="10" t="n"/>
      <c r="K22" s="9" t="n"/>
      <c r="L22" s="9" t="n"/>
      <c r="M22" s="9" t="n"/>
      <c r="N22" s="10" t="n"/>
      <c r="O22" s="9" t="n"/>
      <c r="P22" s="10" t="n"/>
      <c r="Q22" s="10" t="n"/>
      <c r="R22" s="9" t="n"/>
      <c r="S22" s="10" t="n"/>
      <c r="T22" s="10" t="n"/>
      <c r="U22" s="11" t="n"/>
      <c r="V22" s="11" t="n"/>
      <c r="W22" s="12">
        <f>IF(B22="","",B22+3)</f>
        <v/>
      </c>
      <c r="X22" s="12">
        <f>IF(B22="","",B22+5)</f>
        <v/>
      </c>
      <c r="Y22" s="12">
        <f>IF(B22="","",B22+10)</f>
        <v/>
      </c>
      <c r="Z22" s="13">
        <f>IF(B22="","",(--(B22&lt;&gt;"")+--(C22&lt;&gt;"")+--(D22&lt;&gt;"")+--(E22&lt;&gt;"")+--(F22&lt;&gt;"")+--(G22&lt;&gt;"")+--(H22&lt;&gt;"")+--(I22&lt;&gt;"")+--(J22&lt;&gt;"")+--(K22&lt;&gt;"")+--(L22&lt;&gt;"")+--(M22&lt;&gt;"")+--(N22&lt;&gt;"")+--(O22&lt;&gt;"")+--(P22&lt;&gt;"")+--(Q22&lt;&gt;"")+--(R22&lt;&gt;"")+--(S22&lt;&gt;"")+--(T22&lt;&gt;""))/19)</f>
        <v/>
      </c>
      <c r="AA22" s="16" t="n"/>
      <c r="AB22" s="16" t="n"/>
      <c r="AC22" s="16" t="n"/>
      <c r="AD22" s="16" t="n"/>
      <c r="AE22" s="7">
        <f>IF(B22="","",IF(AND(AA22="合格",AB22="合格",AC22="合格",AD22="合格"),"有效","无效"))</f>
        <v/>
      </c>
    </row>
    <row r="23">
      <c r="A23" s="7">
        <f>IF(B23="","",TEXT(B23,"yyyymmdd")&amp;"-"&amp;TEXT(ROW()-1,"000"))</f>
        <v/>
      </c>
      <c r="B23" s="8" t="n"/>
      <c r="C23" s="9" t="n"/>
      <c r="D23" s="9" t="n"/>
      <c r="E23" s="9" t="n"/>
      <c r="F23" s="9" t="n"/>
      <c r="G23" s="9" t="n"/>
      <c r="H23" s="9" t="n"/>
      <c r="I23" s="9" t="n"/>
      <c r="J23" s="10" t="n"/>
      <c r="K23" s="9" t="n"/>
      <c r="L23" s="9" t="n"/>
      <c r="M23" s="9" t="n"/>
      <c r="N23" s="10" t="n"/>
      <c r="O23" s="9" t="n"/>
      <c r="P23" s="10" t="n"/>
      <c r="Q23" s="10" t="n"/>
      <c r="R23" s="9" t="n"/>
      <c r="S23" s="10" t="n"/>
      <c r="T23" s="10" t="n"/>
      <c r="U23" s="11" t="n"/>
      <c r="V23" s="11" t="n"/>
      <c r="W23" s="12">
        <f>IF(B23="","",B23+3)</f>
        <v/>
      </c>
      <c r="X23" s="12">
        <f>IF(B23="","",B23+5)</f>
        <v/>
      </c>
      <c r="Y23" s="12">
        <f>IF(B23="","",B23+10)</f>
        <v/>
      </c>
      <c r="Z23" s="13">
        <f>IF(B23="","",(--(B23&lt;&gt;"")+--(C23&lt;&gt;"")+--(D23&lt;&gt;"")+--(E23&lt;&gt;"")+--(F23&lt;&gt;"")+--(G23&lt;&gt;"")+--(H23&lt;&gt;"")+--(I23&lt;&gt;"")+--(J23&lt;&gt;"")+--(K23&lt;&gt;"")+--(L23&lt;&gt;"")+--(M23&lt;&gt;"")+--(N23&lt;&gt;"")+--(O23&lt;&gt;"")+--(P23&lt;&gt;"")+--(Q23&lt;&gt;"")+--(R23&lt;&gt;"")+--(S23&lt;&gt;"")+--(T23&lt;&gt;""))/19)</f>
        <v/>
      </c>
      <c r="AA23" s="16" t="n"/>
      <c r="AB23" s="16" t="n"/>
      <c r="AC23" s="16" t="n"/>
      <c r="AD23" s="16" t="n"/>
      <c r="AE23" s="7">
        <f>IF(B23="","",IF(AND(AA23="合格",AB23="合格",AC23="合格",AD23="合格"),"有效","无效"))</f>
        <v/>
      </c>
    </row>
    <row r="24">
      <c r="A24" s="7">
        <f>IF(B24="","",TEXT(B24,"yyyymmdd")&amp;"-"&amp;TEXT(ROW()-1,"000"))</f>
        <v/>
      </c>
      <c r="B24" s="8" t="n"/>
      <c r="C24" s="9" t="n"/>
      <c r="D24" s="9" t="n"/>
      <c r="E24" s="9" t="n"/>
      <c r="F24" s="9" t="n"/>
      <c r="G24" s="9" t="n"/>
      <c r="H24" s="9" t="n"/>
      <c r="I24" s="9" t="n"/>
      <c r="J24" s="10" t="n"/>
      <c r="K24" s="9" t="n"/>
      <c r="L24" s="9" t="n"/>
      <c r="M24" s="9" t="n"/>
      <c r="N24" s="10" t="n"/>
      <c r="O24" s="9" t="n"/>
      <c r="P24" s="10" t="n"/>
      <c r="Q24" s="10" t="n"/>
      <c r="R24" s="9" t="n"/>
      <c r="S24" s="10" t="n"/>
      <c r="T24" s="10" t="n"/>
      <c r="U24" s="11" t="n"/>
      <c r="V24" s="11" t="n"/>
      <c r="W24" s="12">
        <f>IF(B24="","",B24+3)</f>
        <v/>
      </c>
      <c r="X24" s="12">
        <f>IF(B24="","",B24+5)</f>
        <v/>
      </c>
      <c r="Y24" s="12">
        <f>IF(B24="","",B24+10)</f>
        <v/>
      </c>
      <c r="Z24" s="13">
        <f>IF(B24="","",(--(B24&lt;&gt;"")+--(C24&lt;&gt;"")+--(D24&lt;&gt;"")+--(E24&lt;&gt;"")+--(F24&lt;&gt;"")+--(G24&lt;&gt;"")+--(H24&lt;&gt;"")+--(I24&lt;&gt;"")+--(J24&lt;&gt;"")+--(K24&lt;&gt;"")+--(L24&lt;&gt;"")+--(M24&lt;&gt;"")+--(N24&lt;&gt;"")+--(O24&lt;&gt;"")+--(P24&lt;&gt;"")+--(Q24&lt;&gt;"")+--(R24&lt;&gt;"")+--(S24&lt;&gt;"")+--(T24&lt;&gt;""))/19)</f>
        <v/>
      </c>
      <c r="AA24" s="16" t="n"/>
      <c r="AB24" s="16" t="n"/>
      <c r="AC24" s="16" t="n"/>
      <c r="AD24" s="16" t="n"/>
      <c r="AE24" s="7">
        <f>IF(B24="","",IF(AND(AA24="合格",AB24="合格",AC24="合格",AD24="合格"),"有效","无效"))</f>
        <v/>
      </c>
    </row>
    <row r="25">
      <c r="A25" s="7">
        <f>IF(B25="","",TEXT(B25,"yyyymmdd")&amp;"-"&amp;TEXT(ROW()-1,"000"))</f>
        <v/>
      </c>
      <c r="B25" s="8" t="n"/>
      <c r="C25" s="9" t="n"/>
      <c r="D25" s="9" t="n"/>
      <c r="E25" s="9" t="n"/>
      <c r="F25" s="9" t="n"/>
      <c r="G25" s="9" t="n"/>
      <c r="H25" s="9" t="n"/>
      <c r="I25" s="9" t="n"/>
      <c r="J25" s="10" t="n"/>
      <c r="K25" s="9" t="n"/>
      <c r="L25" s="9" t="n"/>
      <c r="M25" s="9" t="n"/>
      <c r="N25" s="10" t="n"/>
      <c r="O25" s="9" t="n"/>
      <c r="P25" s="10" t="n"/>
      <c r="Q25" s="10" t="n"/>
      <c r="R25" s="9" t="n"/>
      <c r="S25" s="10" t="n"/>
      <c r="T25" s="10" t="n"/>
      <c r="U25" s="11" t="n"/>
      <c r="V25" s="11" t="n"/>
      <c r="W25" s="12">
        <f>IF(B25="","",B25+3)</f>
        <v/>
      </c>
      <c r="X25" s="12">
        <f>IF(B25="","",B25+5)</f>
        <v/>
      </c>
      <c r="Y25" s="12">
        <f>IF(B25="","",B25+10)</f>
        <v/>
      </c>
      <c r="Z25" s="13">
        <f>IF(B25="","",(--(B25&lt;&gt;"")+--(C25&lt;&gt;"")+--(D25&lt;&gt;"")+--(E25&lt;&gt;"")+--(F25&lt;&gt;"")+--(G25&lt;&gt;"")+--(H25&lt;&gt;"")+--(I25&lt;&gt;"")+--(J25&lt;&gt;"")+--(K25&lt;&gt;"")+--(L25&lt;&gt;"")+--(M25&lt;&gt;"")+--(N25&lt;&gt;"")+--(O25&lt;&gt;"")+--(P25&lt;&gt;"")+--(Q25&lt;&gt;"")+--(R25&lt;&gt;"")+--(S25&lt;&gt;"")+--(T25&lt;&gt;""))/19)</f>
        <v/>
      </c>
      <c r="AA25" s="16" t="n"/>
      <c r="AB25" s="16" t="n"/>
      <c r="AC25" s="16" t="n"/>
      <c r="AD25" s="16" t="n"/>
      <c r="AE25" s="7">
        <f>IF(B25="","",IF(AND(AA25="合格",AB25="合格",AC25="合格",AD25="合格"),"有效","无效"))</f>
        <v/>
      </c>
    </row>
    <row r="26">
      <c r="A26" s="7">
        <f>IF(B26="","",TEXT(B26,"yyyymmdd")&amp;"-"&amp;TEXT(ROW()-1,"000"))</f>
        <v/>
      </c>
      <c r="B26" s="8" t="n"/>
      <c r="C26" s="9" t="n"/>
      <c r="D26" s="9" t="n"/>
      <c r="E26" s="9" t="n"/>
      <c r="F26" s="9" t="n"/>
      <c r="G26" s="9" t="n"/>
      <c r="H26" s="9" t="n"/>
      <c r="I26" s="9" t="n"/>
      <c r="J26" s="10" t="n"/>
      <c r="K26" s="9" t="n"/>
      <c r="L26" s="9" t="n"/>
      <c r="M26" s="9" t="n"/>
      <c r="N26" s="10" t="n"/>
      <c r="O26" s="9" t="n"/>
      <c r="P26" s="10" t="n"/>
      <c r="Q26" s="10" t="n"/>
      <c r="R26" s="9" t="n"/>
      <c r="S26" s="10" t="n"/>
      <c r="T26" s="10" t="n"/>
      <c r="U26" s="11" t="n"/>
      <c r="V26" s="11" t="n"/>
      <c r="W26" s="12">
        <f>IF(B26="","",B26+3)</f>
        <v/>
      </c>
      <c r="X26" s="12">
        <f>IF(B26="","",B26+5)</f>
        <v/>
      </c>
      <c r="Y26" s="12">
        <f>IF(B26="","",B26+10)</f>
        <v/>
      </c>
      <c r="Z26" s="13">
        <f>IF(B26="","",(--(B26&lt;&gt;"")+--(C26&lt;&gt;"")+--(D26&lt;&gt;"")+--(E26&lt;&gt;"")+--(F26&lt;&gt;"")+--(G26&lt;&gt;"")+--(H26&lt;&gt;"")+--(I26&lt;&gt;"")+--(J26&lt;&gt;"")+--(K26&lt;&gt;"")+--(L26&lt;&gt;"")+--(M26&lt;&gt;"")+--(N26&lt;&gt;"")+--(O26&lt;&gt;"")+--(P26&lt;&gt;"")+--(Q26&lt;&gt;"")+--(R26&lt;&gt;"")+--(S26&lt;&gt;"")+--(T26&lt;&gt;""))/19)</f>
        <v/>
      </c>
      <c r="AA26" s="16" t="n"/>
      <c r="AB26" s="16" t="n"/>
      <c r="AC26" s="16" t="n"/>
      <c r="AD26" s="16" t="n"/>
      <c r="AE26" s="7">
        <f>IF(B26="","",IF(AND(AA26="合格",AB26="合格",AC26="合格",AD26="合格"),"有效","无效"))</f>
        <v/>
      </c>
    </row>
    <row r="27">
      <c r="A27" s="7">
        <f>IF(B27="","",TEXT(B27,"yyyymmdd")&amp;"-"&amp;TEXT(ROW()-1,"000"))</f>
        <v/>
      </c>
      <c r="B27" s="8" t="n"/>
      <c r="C27" s="9" t="n"/>
      <c r="D27" s="9" t="n"/>
      <c r="E27" s="9" t="n"/>
      <c r="F27" s="9" t="n"/>
      <c r="G27" s="9" t="n"/>
      <c r="H27" s="9" t="n"/>
      <c r="I27" s="9" t="n"/>
      <c r="J27" s="10" t="n"/>
      <c r="K27" s="9" t="n"/>
      <c r="L27" s="9" t="n"/>
      <c r="M27" s="9" t="n"/>
      <c r="N27" s="10" t="n"/>
      <c r="O27" s="9" t="n"/>
      <c r="P27" s="10" t="n"/>
      <c r="Q27" s="10" t="n"/>
      <c r="R27" s="9" t="n"/>
      <c r="S27" s="10" t="n"/>
      <c r="T27" s="10" t="n"/>
      <c r="U27" s="11" t="n"/>
      <c r="V27" s="11" t="n"/>
      <c r="W27" s="12">
        <f>IF(B27="","",B27+3)</f>
        <v/>
      </c>
      <c r="X27" s="12">
        <f>IF(B27="","",B27+5)</f>
        <v/>
      </c>
      <c r="Y27" s="12">
        <f>IF(B27="","",B27+10)</f>
        <v/>
      </c>
      <c r="Z27" s="13">
        <f>IF(B27="","",(--(B27&lt;&gt;"")+--(C27&lt;&gt;"")+--(D27&lt;&gt;"")+--(E27&lt;&gt;"")+--(F27&lt;&gt;"")+--(G27&lt;&gt;"")+--(H27&lt;&gt;"")+--(I27&lt;&gt;"")+--(J27&lt;&gt;"")+--(K27&lt;&gt;"")+--(L27&lt;&gt;"")+--(M27&lt;&gt;"")+--(N27&lt;&gt;"")+--(O27&lt;&gt;"")+--(P27&lt;&gt;"")+--(Q27&lt;&gt;"")+--(R27&lt;&gt;"")+--(S27&lt;&gt;"")+--(T27&lt;&gt;""))/19)</f>
        <v/>
      </c>
      <c r="AA27" s="16" t="n"/>
      <c r="AB27" s="16" t="n"/>
      <c r="AC27" s="16" t="n"/>
      <c r="AD27" s="16" t="n"/>
      <c r="AE27" s="7">
        <f>IF(B27="","",IF(AND(AA27="合格",AB27="合格",AC27="合格",AD27="合格"),"有效","无效"))</f>
        <v/>
      </c>
    </row>
    <row r="28">
      <c r="A28" s="7">
        <f>IF(B28="","",TEXT(B28,"yyyymmdd")&amp;"-"&amp;TEXT(ROW()-1,"000"))</f>
        <v/>
      </c>
      <c r="B28" s="8" t="n"/>
      <c r="C28" s="9" t="n"/>
      <c r="D28" s="9" t="n"/>
      <c r="E28" s="9" t="n"/>
      <c r="F28" s="9" t="n"/>
      <c r="G28" s="9" t="n"/>
      <c r="H28" s="9" t="n"/>
      <c r="I28" s="9" t="n"/>
      <c r="J28" s="10" t="n"/>
      <c r="K28" s="9" t="n"/>
      <c r="L28" s="9" t="n"/>
      <c r="M28" s="9" t="n"/>
      <c r="N28" s="10" t="n"/>
      <c r="O28" s="9" t="n"/>
      <c r="P28" s="10" t="n"/>
      <c r="Q28" s="10" t="n"/>
      <c r="R28" s="9" t="n"/>
      <c r="S28" s="10" t="n"/>
      <c r="T28" s="10" t="n"/>
      <c r="U28" s="11" t="n"/>
      <c r="V28" s="11" t="n"/>
      <c r="W28" s="12">
        <f>IF(B28="","",B28+3)</f>
        <v/>
      </c>
      <c r="X28" s="12">
        <f>IF(B28="","",B28+5)</f>
        <v/>
      </c>
      <c r="Y28" s="12">
        <f>IF(B28="","",B28+10)</f>
        <v/>
      </c>
      <c r="Z28" s="13">
        <f>IF(B28="","",(--(B28&lt;&gt;"")+--(C28&lt;&gt;"")+--(D28&lt;&gt;"")+--(E28&lt;&gt;"")+--(F28&lt;&gt;"")+--(G28&lt;&gt;"")+--(H28&lt;&gt;"")+--(I28&lt;&gt;"")+--(J28&lt;&gt;"")+--(K28&lt;&gt;"")+--(L28&lt;&gt;"")+--(M28&lt;&gt;"")+--(N28&lt;&gt;"")+--(O28&lt;&gt;"")+--(P28&lt;&gt;"")+--(Q28&lt;&gt;"")+--(R28&lt;&gt;"")+--(S28&lt;&gt;"")+--(T28&lt;&gt;""))/19)</f>
        <v/>
      </c>
      <c r="AA28" s="16" t="n"/>
      <c r="AB28" s="16" t="n"/>
      <c r="AC28" s="16" t="n"/>
      <c r="AD28" s="16" t="n"/>
      <c r="AE28" s="7">
        <f>IF(B28="","",IF(AND(AA28="合格",AB28="合格",AC28="合格",AD28="合格"),"有效","无效"))</f>
        <v/>
      </c>
    </row>
    <row r="29">
      <c r="A29" s="7">
        <f>IF(B29="","",TEXT(B29,"yyyymmdd")&amp;"-"&amp;TEXT(ROW()-1,"000"))</f>
        <v/>
      </c>
      <c r="B29" s="8" t="n"/>
      <c r="C29" s="9" t="n"/>
      <c r="D29" s="9" t="n"/>
      <c r="E29" s="9" t="n"/>
      <c r="F29" s="9" t="n"/>
      <c r="G29" s="9" t="n"/>
      <c r="H29" s="9" t="n"/>
      <c r="I29" s="9" t="n"/>
      <c r="J29" s="10" t="n"/>
      <c r="K29" s="9" t="n"/>
      <c r="L29" s="9" t="n"/>
      <c r="M29" s="9" t="n"/>
      <c r="N29" s="10" t="n"/>
      <c r="O29" s="9" t="n"/>
      <c r="P29" s="10" t="n"/>
      <c r="Q29" s="10" t="n"/>
      <c r="R29" s="9" t="n"/>
      <c r="S29" s="10" t="n"/>
      <c r="T29" s="10" t="n"/>
      <c r="U29" s="11" t="n"/>
      <c r="V29" s="11" t="n"/>
      <c r="W29" s="12">
        <f>IF(B29="","",B29+3)</f>
        <v/>
      </c>
      <c r="X29" s="12">
        <f>IF(B29="","",B29+5)</f>
        <v/>
      </c>
      <c r="Y29" s="12">
        <f>IF(B29="","",B29+10)</f>
        <v/>
      </c>
      <c r="Z29" s="13">
        <f>IF(B29="","",(--(B29&lt;&gt;"")+--(C29&lt;&gt;"")+--(D29&lt;&gt;"")+--(E29&lt;&gt;"")+--(F29&lt;&gt;"")+--(G29&lt;&gt;"")+--(H29&lt;&gt;"")+--(I29&lt;&gt;"")+--(J29&lt;&gt;"")+--(K29&lt;&gt;"")+--(L29&lt;&gt;"")+--(M29&lt;&gt;"")+--(N29&lt;&gt;"")+--(O29&lt;&gt;"")+--(P29&lt;&gt;"")+--(Q29&lt;&gt;"")+--(R29&lt;&gt;"")+--(S29&lt;&gt;"")+--(T29&lt;&gt;""))/19)</f>
        <v/>
      </c>
      <c r="AA29" s="16" t="n"/>
      <c r="AB29" s="16" t="n"/>
      <c r="AC29" s="16" t="n"/>
      <c r="AD29" s="16" t="n"/>
      <c r="AE29" s="7">
        <f>IF(B29="","",IF(AND(AA29="合格",AB29="合格",AC29="合格",AD29="合格"),"有效","无效"))</f>
        <v/>
      </c>
    </row>
    <row r="30">
      <c r="A30" s="7">
        <f>IF(B30="","",TEXT(B30,"yyyymmdd")&amp;"-"&amp;TEXT(ROW()-1,"000"))</f>
        <v/>
      </c>
      <c r="B30" s="8" t="n"/>
      <c r="C30" s="9" t="n"/>
      <c r="D30" s="9" t="n"/>
      <c r="E30" s="9" t="n"/>
      <c r="F30" s="9" t="n"/>
      <c r="G30" s="9" t="n"/>
      <c r="H30" s="9" t="n"/>
      <c r="I30" s="9" t="n"/>
      <c r="J30" s="10" t="n"/>
      <c r="K30" s="9" t="n"/>
      <c r="L30" s="9" t="n"/>
      <c r="M30" s="9" t="n"/>
      <c r="N30" s="10" t="n"/>
      <c r="O30" s="9" t="n"/>
      <c r="P30" s="10" t="n"/>
      <c r="Q30" s="10" t="n"/>
      <c r="R30" s="9" t="n"/>
      <c r="S30" s="10" t="n"/>
      <c r="T30" s="10" t="n"/>
      <c r="U30" s="11" t="n"/>
      <c r="V30" s="11" t="n"/>
      <c r="W30" s="12">
        <f>IF(B30="","",B30+3)</f>
        <v/>
      </c>
      <c r="X30" s="12">
        <f>IF(B30="","",B30+5)</f>
        <v/>
      </c>
      <c r="Y30" s="12">
        <f>IF(B30="","",B30+10)</f>
        <v/>
      </c>
      <c r="Z30" s="13">
        <f>IF(B30="","",(--(B30&lt;&gt;"")+--(C30&lt;&gt;"")+--(D30&lt;&gt;"")+--(E30&lt;&gt;"")+--(F30&lt;&gt;"")+--(G30&lt;&gt;"")+--(H30&lt;&gt;"")+--(I30&lt;&gt;"")+--(J30&lt;&gt;"")+--(K30&lt;&gt;"")+--(L30&lt;&gt;"")+--(M30&lt;&gt;"")+--(N30&lt;&gt;"")+--(O30&lt;&gt;"")+--(P30&lt;&gt;"")+--(Q30&lt;&gt;"")+--(R30&lt;&gt;"")+--(S30&lt;&gt;"")+--(T30&lt;&gt;""))/19)</f>
        <v/>
      </c>
      <c r="AA30" s="16" t="n"/>
      <c r="AB30" s="16" t="n"/>
      <c r="AC30" s="16" t="n"/>
      <c r="AD30" s="16" t="n"/>
      <c r="AE30" s="7">
        <f>IF(B30="","",IF(AND(AA30="合格",AB30="合格",AC30="合格",AD30="合格"),"有效","无效"))</f>
        <v/>
      </c>
    </row>
    <row r="31">
      <c r="A31" s="7">
        <f>IF(B31="","",TEXT(B31,"yyyymmdd")&amp;"-"&amp;TEXT(ROW()-1,"000"))</f>
        <v/>
      </c>
      <c r="B31" s="8" t="n"/>
      <c r="C31" s="9" t="n"/>
      <c r="D31" s="9" t="n"/>
      <c r="E31" s="9" t="n"/>
      <c r="F31" s="9" t="n"/>
      <c r="G31" s="9" t="n"/>
      <c r="H31" s="9" t="n"/>
      <c r="I31" s="9" t="n"/>
      <c r="J31" s="10" t="n"/>
      <c r="K31" s="9" t="n"/>
      <c r="L31" s="9" t="n"/>
      <c r="M31" s="9" t="n"/>
      <c r="N31" s="10" t="n"/>
      <c r="O31" s="9" t="n"/>
      <c r="P31" s="10" t="n"/>
      <c r="Q31" s="10" t="n"/>
      <c r="R31" s="9" t="n"/>
      <c r="S31" s="10" t="n"/>
      <c r="T31" s="10" t="n"/>
      <c r="U31" s="11" t="n"/>
      <c r="V31" s="11" t="n"/>
      <c r="W31" s="12">
        <f>IF(B31="","",B31+3)</f>
        <v/>
      </c>
      <c r="X31" s="12">
        <f>IF(B31="","",B31+5)</f>
        <v/>
      </c>
      <c r="Y31" s="12">
        <f>IF(B31="","",B31+10)</f>
        <v/>
      </c>
      <c r="Z31" s="13">
        <f>IF(B31="","",(--(B31&lt;&gt;"")+--(C31&lt;&gt;"")+--(D31&lt;&gt;"")+--(E31&lt;&gt;"")+--(F31&lt;&gt;"")+--(G31&lt;&gt;"")+--(H31&lt;&gt;"")+--(I31&lt;&gt;"")+--(J31&lt;&gt;"")+--(K31&lt;&gt;"")+--(L31&lt;&gt;"")+--(M31&lt;&gt;"")+--(N31&lt;&gt;"")+--(O31&lt;&gt;"")+--(P31&lt;&gt;"")+--(Q31&lt;&gt;"")+--(R31&lt;&gt;"")+--(S31&lt;&gt;"")+--(T31&lt;&gt;""))/19)</f>
        <v/>
      </c>
      <c r="AA31" s="16" t="n"/>
      <c r="AB31" s="16" t="n"/>
      <c r="AC31" s="16" t="n"/>
      <c r="AD31" s="16" t="n"/>
      <c r="AE31" s="7">
        <f>IF(B31="","",IF(AND(AA31="合格",AB31="合格",AC31="合格",AD31="合格"),"有效","无效"))</f>
        <v/>
      </c>
    </row>
    <row r="32">
      <c r="A32" s="7">
        <f>IF(B32="","",TEXT(B32,"yyyymmdd")&amp;"-"&amp;TEXT(ROW()-1,"000"))</f>
        <v/>
      </c>
      <c r="B32" s="8" t="n"/>
      <c r="C32" s="9" t="n"/>
      <c r="D32" s="9" t="n"/>
      <c r="E32" s="9" t="n"/>
      <c r="F32" s="9" t="n"/>
      <c r="G32" s="9" t="n"/>
      <c r="H32" s="9" t="n"/>
      <c r="I32" s="9" t="n"/>
      <c r="J32" s="10" t="n"/>
      <c r="K32" s="9" t="n"/>
      <c r="L32" s="9" t="n"/>
      <c r="M32" s="9" t="n"/>
      <c r="N32" s="10" t="n"/>
      <c r="O32" s="9" t="n"/>
      <c r="P32" s="10" t="n"/>
      <c r="Q32" s="10" t="n"/>
      <c r="R32" s="9" t="n"/>
      <c r="S32" s="10" t="n"/>
      <c r="T32" s="10" t="n"/>
      <c r="U32" s="11" t="n"/>
      <c r="V32" s="11" t="n"/>
      <c r="W32" s="12">
        <f>IF(B32="","",B32+3)</f>
        <v/>
      </c>
      <c r="X32" s="12">
        <f>IF(B32="","",B32+5)</f>
        <v/>
      </c>
      <c r="Y32" s="12">
        <f>IF(B32="","",B32+10)</f>
        <v/>
      </c>
      <c r="Z32" s="13">
        <f>IF(B32="","",(--(B32&lt;&gt;"")+--(C32&lt;&gt;"")+--(D32&lt;&gt;"")+--(E32&lt;&gt;"")+--(F32&lt;&gt;"")+--(G32&lt;&gt;"")+--(H32&lt;&gt;"")+--(I32&lt;&gt;"")+--(J32&lt;&gt;"")+--(K32&lt;&gt;"")+--(L32&lt;&gt;"")+--(M32&lt;&gt;"")+--(N32&lt;&gt;"")+--(O32&lt;&gt;"")+--(P32&lt;&gt;"")+--(Q32&lt;&gt;"")+--(R32&lt;&gt;"")+--(S32&lt;&gt;"")+--(T32&lt;&gt;""))/19)</f>
        <v/>
      </c>
      <c r="AA32" s="16" t="n"/>
      <c r="AB32" s="16" t="n"/>
      <c r="AC32" s="16" t="n"/>
      <c r="AD32" s="16" t="n"/>
      <c r="AE32" s="7">
        <f>IF(B32="","",IF(AND(AA32="合格",AB32="合格",AC32="合格",AD32="合格"),"有效","无效"))</f>
        <v/>
      </c>
    </row>
    <row r="33">
      <c r="A33" s="7">
        <f>IF(B33="","",TEXT(B33,"yyyymmdd")&amp;"-"&amp;TEXT(ROW()-1,"000"))</f>
        <v/>
      </c>
      <c r="B33" s="8" t="n"/>
      <c r="C33" s="9" t="n"/>
      <c r="D33" s="9" t="n"/>
      <c r="E33" s="9" t="n"/>
      <c r="F33" s="9" t="n"/>
      <c r="G33" s="9" t="n"/>
      <c r="H33" s="9" t="n"/>
      <c r="I33" s="9" t="n"/>
      <c r="J33" s="10" t="n"/>
      <c r="K33" s="9" t="n"/>
      <c r="L33" s="9" t="n"/>
      <c r="M33" s="9" t="n"/>
      <c r="N33" s="10" t="n"/>
      <c r="O33" s="9" t="n"/>
      <c r="P33" s="10" t="n"/>
      <c r="Q33" s="10" t="n"/>
      <c r="R33" s="9" t="n"/>
      <c r="S33" s="10" t="n"/>
      <c r="T33" s="10" t="n"/>
      <c r="U33" s="11" t="n"/>
      <c r="V33" s="11" t="n"/>
      <c r="W33" s="12">
        <f>IF(B33="","",B33+3)</f>
        <v/>
      </c>
      <c r="X33" s="12">
        <f>IF(B33="","",B33+5)</f>
        <v/>
      </c>
      <c r="Y33" s="12">
        <f>IF(B33="","",B33+10)</f>
        <v/>
      </c>
      <c r="Z33" s="13">
        <f>IF(B33="","",(--(B33&lt;&gt;"")+--(C33&lt;&gt;"")+--(D33&lt;&gt;"")+--(E33&lt;&gt;"")+--(F33&lt;&gt;"")+--(G33&lt;&gt;"")+--(H33&lt;&gt;"")+--(I33&lt;&gt;"")+--(J33&lt;&gt;"")+--(K33&lt;&gt;"")+--(L33&lt;&gt;"")+--(M33&lt;&gt;"")+--(N33&lt;&gt;"")+--(O33&lt;&gt;"")+--(P33&lt;&gt;"")+--(Q33&lt;&gt;"")+--(R33&lt;&gt;"")+--(S33&lt;&gt;"")+--(T33&lt;&gt;""))/19)</f>
        <v/>
      </c>
      <c r="AA33" s="16" t="n"/>
      <c r="AB33" s="16" t="n"/>
      <c r="AC33" s="16" t="n"/>
      <c r="AD33" s="16" t="n"/>
      <c r="AE33" s="7">
        <f>IF(B33="","",IF(AND(AA33="合格",AB33="合格",AC33="合格",AD33="合格"),"有效","无效"))</f>
        <v/>
      </c>
    </row>
    <row r="34">
      <c r="A34" s="7">
        <f>IF(B34="","",TEXT(B34,"yyyymmdd")&amp;"-"&amp;TEXT(ROW()-1,"000"))</f>
        <v/>
      </c>
      <c r="B34" s="8" t="n"/>
      <c r="C34" s="9" t="n"/>
      <c r="D34" s="9" t="n"/>
      <c r="E34" s="9" t="n"/>
      <c r="F34" s="9" t="n"/>
      <c r="G34" s="9" t="n"/>
      <c r="H34" s="9" t="n"/>
      <c r="I34" s="9" t="n"/>
      <c r="J34" s="10" t="n"/>
      <c r="K34" s="9" t="n"/>
      <c r="L34" s="9" t="n"/>
      <c r="M34" s="9" t="n"/>
      <c r="N34" s="10" t="n"/>
      <c r="O34" s="9" t="n"/>
      <c r="P34" s="10" t="n"/>
      <c r="Q34" s="10" t="n"/>
      <c r="R34" s="9" t="n"/>
      <c r="S34" s="10" t="n"/>
      <c r="T34" s="10" t="n"/>
      <c r="U34" s="11" t="n"/>
      <c r="V34" s="11" t="n"/>
      <c r="W34" s="12">
        <f>IF(B34="","",B34+3)</f>
        <v/>
      </c>
      <c r="X34" s="12">
        <f>IF(B34="","",B34+5)</f>
        <v/>
      </c>
      <c r="Y34" s="12">
        <f>IF(B34="","",B34+10)</f>
        <v/>
      </c>
      <c r="Z34" s="13">
        <f>IF(B34="","",(--(B34&lt;&gt;"")+--(C34&lt;&gt;"")+--(D34&lt;&gt;"")+--(E34&lt;&gt;"")+--(F34&lt;&gt;"")+--(G34&lt;&gt;"")+--(H34&lt;&gt;"")+--(I34&lt;&gt;"")+--(J34&lt;&gt;"")+--(K34&lt;&gt;"")+--(L34&lt;&gt;"")+--(M34&lt;&gt;"")+--(N34&lt;&gt;"")+--(O34&lt;&gt;"")+--(P34&lt;&gt;"")+--(Q34&lt;&gt;"")+--(R34&lt;&gt;"")+--(S34&lt;&gt;"")+--(T34&lt;&gt;""))/19)</f>
        <v/>
      </c>
      <c r="AA34" s="16" t="n"/>
      <c r="AB34" s="16" t="n"/>
      <c r="AC34" s="16" t="n"/>
      <c r="AD34" s="16" t="n"/>
      <c r="AE34" s="7">
        <f>IF(B34="","",IF(AND(AA34="合格",AB34="合格",AC34="合格",AD34="合格"),"有效","无效"))</f>
        <v/>
      </c>
    </row>
    <row r="35">
      <c r="A35" s="7">
        <f>IF(B35="","",TEXT(B35,"yyyymmdd")&amp;"-"&amp;TEXT(ROW()-1,"000"))</f>
        <v/>
      </c>
      <c r="B35" s="8" t="n"/>
      <c r="C35" s="9" t="n"/>
      <c r="D35" s="9" t="n"/>
      <c r="E35" s="9" t="n"/>
      <c r="F35" s="9" t="n"/>
      <c r="G35" s="9" t="n"/>
      <c r="H35" s="9" t="n"/>
      <c r="I35" s="9" t="n"/>
      <c r="J35" s="10" t="n"/>
      <c r="K35" s="9" t="n"/>
      <c r="L35" s="9" t="n"/>
      <c r="M35" s="9" t="n"/>
      <c r="N35" s="10" t="n"/>
      <c r="O35" s="9" t="n"/>
      <c r="P35" s="10" t="n"/>
      <c r="Q35" s="10" t="n"/>
      <c r="R35" s="9" t="n"/>
      <c r="S35" s="10" t="n"/>
      <c r="T35" s="10" t="n"/>
      <c r="U35" s="11" t="n"/>
      <c r="V35" s="11" t="n"/>
      <c r="W35" s="12">
        <f>IF(B35="","",B35+3)</f>
        <v/>
      </c>
      <c r="X35" s="12">
        <f>IF(B35="","",B35+5)</f>
        <v/>
      </c>
      <c r="Y35" s="12">
        <f>IF(B35="","",B35+10)</f>
        <v/>
      </c>
      <c r="Z35" s="13">
        <f>IF(B35="","",(--(B35&lt;&gt;"")+--(C35&lt;&gt;"")+--(D35&lt;&gt;"")+--(E35&lt;&gt;"")+--(F35&lt;&gt;"")+--(G35&lt;&gt;"")+--(H35&lt;&gt;"")+--(I35&lt;&gt;"")+--(J35&lt;&gt;"")+--(K35&lt;&gt;"")+--(L35&lt;&gt;"")+--(M35&lt;&gt;"")+--(N35&lt;&gt;"")+--(O35&lt;&gt;"")+--(P35&lt;&gt;"")+--(Q35&lt;&gt;"")+--(R35&lt;&gt;"")+--(S35&lt;&gt;"")+--(T35&lt;&gt;""))/19)</f>
        <v/>
      </c>
      <c r="AA35" s="16" t="n"/>
      <c r="AB35" s="16" t="n"/>
      <c r="AC35" s="16" t="n"/>
      <c r="AD35" s="16" t="n"/>
      <c r="AE35" s="7">
        <f>IF(B35="","",IF(AND(AA35="合格",AB35="合格",AC35="合格",AD35="合格"),"有效","无效"))</f>
        <v/>
      </c>
    </row>
    <row r="36">
      <c r="A36" s="7">
        <f>IF(B36="","",TEXT(B36,"yyyymmdd")&amp;"-"&amp;TEXT(ROW()-1,"000"))</f>
        <v/>
      </c>
      <c r="B36" s="8" t="n"/>
      <c r="C36" s="9" t="n"/>
      <c r="D36" s="9" t="n"/>
      <c r="E36" s="9" t="n"/>
      <c r="F36" s="9" t="n"/>
      <c r="G36" s="9" t="n"/>
      <c r="H36" s="9" t="n"/>
      <c r="I36" s="9" t="n"/>
      <c r="J36" s="10" t="n"/>
      <c r="K36" s="9" t="n"/>
      <c r="L36" s="9" t="n"/>
      <c r="M36" s="9" t="n"/>
      <c r="N36" s="10" t="n"/>
      <c r="O36" s="9" t="n"/>
      <c r="P36" s="10" t="n"/>
      <c r="Q36" s="10" t="n"/>
      <c r="R36" s="9" t="n"/>
      <c r="S36" s="10" t="n"/>
      <c r="T36" s="10" t="n"/>
      <c r="U36" s="11" t="n"/>
      <c r="V36" s="11" t="n"/>
      <c r="W36" s="12">
        <f>IF(B36="","",B36+3)</f>
        <v/>
      </c>
      <c r="X36" s="12">
        <f>IF(B36="","",B36+5)</f>
        <v/>
      </c>
      <c r="Y36" s="12">
        <f>IF(B36="","",B36+10)</f>
        <v/>
      </c>
      <c r="Z36" s="13">
        <f>IF(B36="","",(--(B36&lt;&gt;"")+--(C36&lt;&gt;"")+--(D36&lt;&gt;"")+--(E36&lt;&gt;"")+--(F36&lt;&gt;"")+--(G36&lt;&gt;"")+--(H36&lt;&gt;"")+--(I36&lt;&gt;"")+--(J36&lt;&gt;"")+--(K36&lt;&gt;"")+--(L36&lt;&gt;"")+--(M36&lt;&gt;"")+--(N36&lt;&gt;"")+--(O36&lt;&gt;"")+--(P36&lt;&gt;"")+--(Q36&lt;&gt;"")+--(R36&lt;&gt;"")+--(S36&lt;&gt;"")+--(T36&lt;&gt;""))/19)</f>
        <v/>
      </c>
      <c r="AA36" s="16" t="n"/>
      <c r="AB36" s="16" t="n"/>
      <c r="AC36" s="16" t="n"/>
      <c r="AD36" s="16" t="n"/>
      <c r="AE36" s="7">
        <f>IF(B36="","",IF(AND(AA36="合格",AB36="合格",AC36="合格",AD36="合格"),"有效","无效"))</f>
        <v/>
      </c>
    </row>
    <row r="37">
      <c r="A37" s="7">
        <f>IF(B37="","",TEXT(B37,"yyyymmdd")&amp;"-"&amp;TEXT(ROW()-1,"000"))</f>
        <v/>
      </c>
      <c r="B37" s="8" t="n"/>
      <c r="C37" s="9" t="n"/>
      <c r="D37" s="9" t="n"/>
      <c r="E37" s="9" t="n"/>
      <c r="F37" s="9" t="n"/>
      <c r="G37" s="9" t="n"/>
      <c r="H37" s="9" t="n"/>
      <c r="I37" s="9" t="n"/>
      <c r="J37" s="10" t="n"/>
      <c r="K37" s="9" t="n"/>
      <c r="L37" s="9" t="n"/>
      <c r="M37" s="9" t="n"/>
      <c r="N37" s="10" t="n"/>
      <c r="O37" s="9" t="n"/>
      <c r="P37" s="10" t="n"/>
      <c r="Q37" s="10" t="n"/>
      <c r="R37" s="9" t="n"/>
      <c r="S37" s="10" t="n"/>
      <c r="T37" s="10" t="n"/>
      <c r="U37" s="11" t="n"/>
      <c r="V37" s="11" t="n"/>
      <c r="W37" s="12">
        <f>IF(B37="","",B37+3)</f>
        <v/>
      </c>
      <c r="X37" s="12">
        <f>IF(B37="","",B37+5)</f>
        <v/>
      </c>
      <c r="Y37" s="12">
        <f>IF(B37="","",B37+10)</f>
        <v/>
      </c>
      <c r="Z37" s="13">
        <f>IF(B37="","",(--(B37&lt;&gt;"")+--(C37&lt;&gt;"")+--(D37&lt;&gt;"")+--(E37&lt;&gt;"")+--(F37&lt;&gt;"")+--(G37&lt;&gt;"")+--(H37&lt;&gt;"")+--(I37&lt;&gt;"")+--(J37&lt;&gt;"")+--(K37&lt;&gt;"")+--(L37&lt;&gt;"")+--(M37&lt;&gt;"")+--(N37&lt;&gt;"")+--(O37&lt;&gt;"")+--(P37&lt;&gt;"")+--(Q37&lt;&gt;"")+--(R37&lt;&gt;"")+--(S37&lt;&gt;"")+--(T37&lt;&gt;""))/19)</f>
        <v/>
      </c>
      <c r="AA37" s="16" t="n"/>
      <c r="AB37" s="16" t="n"/>
      <c r="AC37" s="16" t="n"/>
      <c r="AD37" s="16" t="n"/>
      <c r="AE37" s="7">
        <f>IF(B37="","",IF(AND(AA37="合格",AB37="合格",AC37="合格",AD37="合格"),"有效","无效"))</f>
        <v/>
      </c>
    </row>
    <row r="38">
      <c r="A38" s="7">
        <f>IF(B38="","",TEXT(B38,"yyyymmdd")&amp;"-"&amp;TEXT(ROW()-1,"000"))</f>
        <v/>
      </c>
      <c r="B38" s="8" t="n"/>
      <c r="C38" s="9" t="n"/>
      <c r="D38" s="9" t="n"/>
      <c r="E38" s="9" t="n"/>
      <c r="F38" s="9" t="n"/>
      <c r="G38" s="9" t="n"/>
      <c r="H38" s="9" t="n"/>
      <c r="I38" s="9" t="n"/>
      <c r="J38" s="10" t="n"/>
      <c r="K38" s="9" t="n"/>
      <c r="L38" s="9" t="n"/>
      <c r="M38" s="9" t="n"/>
      <c r="N38" s="10" t="n"/>
      <c r="O38" s="9" t="n"/>
      <c r="P38" s="10" t="n"/>
      <c r="Q38" s="10" t="n"/>
      <c r="R38" s="9" t="n"/>
      <c r="S38" s="10" t="n"/>
      <c r="T38" s="10" t="n"/>
      <c r="U38" s="11" t="n"/>
      <c r="V38" s="11" t="n"/>
      <c r="W38" s="12">
        <f>IF(B38="","",B38+3)</f>
        <v/>
      </c>
      <c r="X38" s="12">
        <f>IF(B38="","",B38+5)</f>
        <v/>
      </c>
      <c r="Y38" s="12">
        <f>IF(B38="","",B38+10)</f>
        <v/>
      </c>
      <c r="Z38" s="13">
        <f>IF(B38="","",(--(B38&lt;&gt;"")+--(C38&lt;&gt;"")+--(D38&lt;&gt;"")+--(E38&lt;&gt;"")+--(F38&lt;&gt;"")+--(G38&lt;&gt;"")+--(H38&lt;&gt;"")+--(I38&lt;&gt;"")+--(J38&lt;&gt;"")+--(K38&lt;&gt;"")+--(L38&lt;&gt;"")+--(M38&lt;&gt;"")+--(N38&lt;&gt;"")+--(O38&lt;&gt;"")+--(P38&lt;&gt;"")+--(Q38&lt;&gt;"")+--(R38&lt;&gt;"")+--(S38&lt;&gt;"")+--(T38&lt;&gt;""))/19)</f>
        <v/>
      </c>
      <c r="AA38" s="16" t="n"/>
      <c r="AB38" s="16" t="n"/>
      <c r="AC38" s="16" t="n"/>
      <c r="AD38" s="16" t="n"/>
      <c r="AE38" s="7">
        <f>IF(B38="","",IF(AND(AA38="合格",AB38="合格",AC38="合格",AD38="合格"),"有效","无效"))</f>
        <v/>
      </c>
    </row>
    <row r="39">
      <c r="A39" s="7">
        <f>IF(B39="","",TEXT(B39,"yyyymmdd")&amp;"-"&amp;TEXT(ROW()-1,"000"))</f>
        <v/>
      </c>
      <c r="B39" s="8" t="n"/>
      <c r="C39" s="9" t="n"/>
      <c r="D39" s="9" t="n"/>
      <c r="E39" s="9" t="n"/>
      <c r="F39" s="9" t="n"/>
      <c r="G39" s="9" t="n"/>
      <c r="H39" s="9" t="n"/>
      <c r="I39" s="9" t="n"/>
      <c r="J39" s="10" t="n"/>
      <c r="K39" s="9" t="n"/>
      <c r="L39" s="9" t="n"/>
      <c r="M39" s="9" t="n"/>
      <c r="N39" s="10" t="n"/>
      <c r="O39" s="9" t="n"/>
      <c r="P39" s="10" t="n"/>
      <c r="Q39" s="10" t="n"/>
      <c r="R39" s="9" t="n"/>
      <c r="S39" s="10" t="n"/>
      <c r="T39" s="10" t="n"/>
      <c r="U39" s="11" t="n"/>
      <c r="V39" s="11" t="n"/>
      <c r="W39" s="12">
        <f>IF(B39="","",B39+3)</f>
        <v/>
      </c>
      <c r="X39" s="12">
        <f>IF(B39="","",B39+5)</f>
        <v/>
      </c>
      <c r="Y39" s="12">
        <f>IF(B39="","",B39+10)</f>
        <v/>
      </c>
      <c r="Z39" s="13">
        <f>IF(B39="","",(--(B39&lt;&gt;"")+--(C39&lt;&gt;"")+--(D39&lt;&gt;"")+--(E39&lt;&gt;"")+--(F39&lt;&gt;"")+--(G39&lt;&gt;"")+--(H39&lt;&gt;"")+--(I39&lt;&gt;"")+--(J39&lt;&gt;"")+--(K39&lt;&gt;"")+--(L39&lt;&gt;"")+--(M39&lt;&gt;"")+--(N39&lt;&gt;"")+--(O39&lt;&gt;"")+--(P39&lt;&gt;"")+--(Q39&lt;&gt;"")+--(R39&lt;&gt;"")+--(S39&lt;&gt;"")+--(T39&lt;&gt;""))/19)</f>
        <v/>
      </c>
      <c r="AA39" s="16" t="n"/>
      <c r="AB39" s="16" t="n"/>
      <c r="AC39" s="16" t="n"/>
      <c r="AD39" s="16" t="n"/>
      <c r="AE39" s="7">
        <f>IF(B39="","",IF(AND(AA39="合格",AB39="合格",AC39="合格",AD39="合格"),"有效","无效"))</f>
        <v/>
      </c>
    </row>
    <row r="40">
      <c r="A40" s="7">
        <f>IF(B40="","",TEXT(B40,"yyyymmdd")&amp;"-"&amp;TEXT(ROW()-1,"000"))</f>
        <v/>
      </c>
      <c r="B40" s="8" t="n"/>
      <c r="C40" s="9" t="n"/>
      <c r="D40" s="9" t="n"/>
      <c r="E40" s="9" t="n"/>
      <c r="F40" s="9" t="n"/>
      <c r="G40" s="9" t="n"/>
      <c r="H40" s="9" t="n"/>
      <c r="I40" s="9" t="n"/>
      <c r="J40" s="10" t="n"/>
      <c r="K40" s="9" t="n"/>
      <c r="L40" s="9" t="n"/>
      <c r="M40" s="9" t="n"/>
      <c r="N40" s="10" t="n"/>
      <c r="O40" s="9" t="n"/>
      <c r="P40" s="10" t="n"/>
      <c r="Q40" s="10" t="n"/>
      <c r="R40" s="9" t="n"/>
      <c r="S40" s="10" t="n"/>
      <c r="T40" s="10" t="n"/>
      <c r="U40" s="11" t="n"/>
      <c r="V40" s="11" t="n"/>
      <c r="W40" s="12">
        <f>IF(B40="","",B40+3)</f>
        <v/>
      </c>
      <c r="X40" s="12">
        <f>IF(B40="","",B40+5)</f>
        <v/>
      </c>
      <c r="Y40" s="12">
        <f>IF(B40="","",B40+10)</f>
        <v/>
      </c>
      <c r="Z40" s="13">
        <f>IF(B40="","",(--(B40&lt;&gt;"")+--(C40&lt;&gt;"")+--(D40&lt;&gt;"")+--(E40&lt;&gt;"")+--(F40&lt;&gt;"")+--(G40&lt;&gt;"")+--(H40&lt;&gt;"")+--(I40&lt;&gt;"")+--(J40&lt;&gt;"")+--(K40&lt;&gt;"")+--(L40&lt;&gt;"")+--(M40&lt;&gt;"")+--(N40&lt;&gt;"")+--(O40&lt;&gt;"")+--(P40&lt;&gt;"")+--(Q40&lt;&gt;"")+--(R40&lt;&gt;"")+--(S40&lt;&gt;"")+--(T40&lt;&gt;""))/19)</f>
        <v/>
      </c>
      <c r="AA40" s="16" t="n"/>
      <c r="AB40" s="16" t="n"/>
      <c r="AC40" s="16" t="n"/>
      <c r="AD40" s="16" t="n"/>
      <c r="AE40" s="7">
        <f>IF(B40="","",IF(AND(AA40="合格",AB40="合格",AC40="合格",AD40="合格"),"有效","无效"))</f>
        <v/>
      </c>
    </row>
    <row r="41">
      <c r="A41" s="7">
        <f>IF(B41="","",TEXT(B41,"yyyymmdd")&amp;"-"&amp;TEXT(ROW()-1,"000"))</f>
        <v/>
      </c>
      <c r="B41" s="8" t="n"/>
      <c r="C41" s="9" t="n"/>
      <c r="D41" s="9" t="n"/>
      <c r="E41" s="9" t="n"/>
      <c r="F41" s="9" t="n"/>
      <c r="G41" s="9" t="n"/>
      <c r="H41" s="9" t="n"/>
      <c r="I41" s="9" t="n"/>
      <c r="J41" s="10" t="n"/>
      <c r="K41" s="9" t="n"/>
      <c r="L41" s="9" t="n"/>
      <c r="M41" s="9" t="n"/>
      <c r="N41" s="10" t="n"/>
      <c r="O41" s="9" t="n"/>
      <c r="P41" s="10" t="n"/>
      <c r="Q41" s="10" t="n"/>
      <c r="R41" s="9" t="n"/>
      <c r="S41" s="10" t="n"/>
      <c r="T41" s="10" t="n"/>
      <c r="U41" s="11" t="n"/>
      <c r="V41" s="11" t="n"/>
      <c r="W41" s="12">
        <f>IF(B41="","",B41+3)</f>
        <v/>
      </c>
      <c r="X41" s="12">
        <f>IF(B41="","",B41+5)</f>
        <v/>
      </c>
      <c r="Y41" s="12">
        <f>IF(B41="","",B41+10)</f>
        <v/>
      </c>
      <c r="Z41" s="13">
        <f>IF(B41="","",(--(B41&lt;&gt;"")+--(C41&lt;&gt;"")+--(D41&lt;&gt;"")+--(E41&lt;&gt;"")+--(F41&lt;&gt;"")+--(G41&lt;&gt;"")+--(H41&lt;&gt;"")+--(I41&lt;&gt;"")+--(J41&lt;&gt;"")+--(K41&lt;&gt;"")+--(L41&lt;&gt;"")+--(M41&lt;&gt;"")+--(N41&lt;&gt;"")+--(O41&lt;&gt;"")+--(P41&lt;&gt;"")+--(Q41&lt;&gt;"")+--(R41&lt;&gt;"")+--(S41&lt;&gt;"")+--(T41&lt;&gt;""))/19)</f>
        <v/>
      </c>
      <c r="AA41" s="16" t="n"/>
      <c r="AB41" s="16" t="n"/>
      <c r="AC41" s="16" t="n"/>
      <c r="AD41" s="16" t="n"/>
      <c r="AE41" s="7">
        <f>IF(B41="","",IF(AND(AA41="合格",AB41="合格",AC41="合格",AD41="合格"),"有效","无效"))</f>
        <v/>
      </c>
    </row>
    <row r="42">
      <c r="A42" s="7">
        <f>IF(B42="","",TEXT(B42,"yyyymmdd")&amp;"-"&amp;TEXT(ROW()-1,"000"))</f>
        <v/>
      </c>
      <c r="B42" s="8" t="n"/>
      <c r="C42" s="9" t="n"/>
      <c r="D42" s="9" t="n"/>
      <c r="E42" s="9" t="n"/>
      <c r="F42" s="9" t="n"/>
      <c r="G42" s="9" t="n"/>
      <c r="H42" s="9" t="n"/>
      <c r="I42" s="9" t="n"/>
      <c r="J42" s="10" t="n"/>
      <c r="K42" s="9" t="n"/>
      <c r="L42" s="9" t="n"/>
      <c r="M42" s="9" t="n"/>
      <c r="N42" s="10" t="n"/>
      <c r="O42" s="9" t="n"/>
      <c r="P42" s="10" t="n"/>
      <c r="Q42" s="10" t="n"/>
      <c r="R42" s="9" t="n"/>
      <c r="S42" s="10" t="n"/>
      <c r="T42" s="10" t="n"/>
      <c r="U42" s="11" t="n"/>
      <c r="V42" s="11" t="n"/>
      <c r="W42" s="12">
        <f>IF(B42="","",B42+3)</f>
        <v/>
      </c>
      <c r="X42" s="12">
        <f>IF(B42="","",B42+5)</f>
        <v/>
      </c>
      <c r="Y42" s="12">
        <f>IF(B42="","",B42+10)</f>
        <v/>
      </c>
      <c r="Z42" s="13">
        <f>IF(B42="","",(--(B42&lt;&gt;"")+--(C42&lt;&gt;"")+--(D42&lt;&gt;"")+--(E42&lt;&gt;"")+--(F42&lt;&gt;"")+--(G42&lt;&gt;"")+--(H42&lt;&gt;"")+--(I42&lt;&gt;"")+--(J42&lt;&gt;"")+--(K42&lt;&gt;"")+--(L42&lt;&gt;"")+--(M42&lt;&gt;"")+--(N42&lt;&gt;"")+--(O42&lt;&gt;"")+--(P42&lt;&gt;"")+--(Q42&lt;&gt;"")+--(R42&lt;&gt;"")+--(S42&lt;&gt;"")+--(T42&lt;&gt;""))/19)</f>
        <v/>
      </c>
      <c r="AA42" s="16" t="n"/>
      <c r="AB42" s="16" t="n"/>
      <c r="AC42" s="16" t="n"/>
      <c r="AD42" s="16" t="n"/>
      <c r="AE42" s="7">
        <f>IF(B42="","",IF(AND(AA42="合格",AB42="合格",AC42="合格",AD42="合格"),"有效","无效"))</f>
        <v/>
      </c>
    </row>
    <row r="43">
      <c r="A43" s="7">
        <f>IF(B43="","",TEXT(B43,"yyyymmdd")&amp;"-"&amp;TEXT(ROW()-1,"000"))</f>
        <v/>
      </c>
      <c r="B43" s="8" t="n"/>
      <c r="C43" s="9" t="n"/>
      <c r="D43" s="9" t="n"/>
      <c r="E43" s="9" t="n"/>
      <c r="F43" s="9" t="n"/>
      <c r="G43" s="9" t="n"/>
      <c r="H43" s="9" t="n"/>
      <c r="I43" s="9" t="n"/>
      <c r="J43" s="10" t="n"/>
      <c r="K43" s="9" t="n"/>
      <c r="L43" s="9" t="n"/>
      <c r="M43" s="9" t="n"/>
      <c r="N43" s="10" t="n"/>
      <c r="O43" s="9" t="n"/>
      <c r="P43" s="10" t="n"/>
      <c r="Q43" s="10" t="n"/>
      <c r="R43" s="9" t="n"/>
      <c r="S43" s="10" t="n"/>
      <c r="T43" s="10" t="n"/>
      <c r="U43" s="11" t="n"/>
      <c r="V43" s="11" t="n"/>
      <c r="W43" s="12">
        <f>IF(B43="","",B43+3)</f>
        <v/>
      </c>
      <c r="X43" s="12">
        <f>IF(B43="","",B43+5)</f>
        <v/>
      </c>
      <c r="Y43" s="12">
        <f>IF(B43="","",B43+10)</f>
        <v/>
      </c>
      <c r="Z43" s="13">
        <f>IF(B43="","",(--(B43&lt;&gt;"")+--(C43&lt;&gt;"")+--(D43&lt;&gt;"")+--(E43&lt;&gt;"")+--(F43&lt;&gt;"")+--(G43&lt;&gt;"")+--(H43&lt;&gt;"")+--(I43&lt;&gt;"")+--(J43&lt;&gt;"")+--(K43&lt;&gt;"")+--(L43&lt;&gt;"")+--(M43&lt;&gt;"")+--(N43&lt;&gt;"")+--(O43&lt;&gt;"")+--(P43&lt;&gt;"")+--(Q43&lt;&gt;"")+--(R43&lt;&gt;"")+--(S43&lt;&gt;"")+--(T43&lt;&gt;""))/19)</f>
        <v/>
      </c>
      <c r="AA43" s="16" t="n"/>
      <c r="AB43" s="16" t="n"/>
      <c r="AC43" s="16" t="n"/>
      <c r="AD43" s="16" t="n"/>
      <c r="AE43" s="7">
        <f>IF(B43="","",IF(AND(AA43="合格",AB43="合格",AC43="合格",AD43="合格"),"有效","无效"))</f>
        <v/>
      </c>
    </row>
    <row r="44">
      <c r="A44" s="7">
        <f>IF(B44="","",TEXT(B44,"yyyymmdd")&amp;"-"&amp;TEXT(ROW()-1,"000"))</f>
        <v/>
      </c>
      <c r="B44" s="8" t="n"/>
      <c r="C44" s="9" t="n"/>
      <c r="D44" s="9" t="n"/>
      <c r="E44" s="9" t="n"/>
      <c r="F44" s="9" t="n"/>
      <c r="G44" s="9" t="n"/>
      <c r="H44" s="9" t="n"/>
      <c r="I44" s="9" t="n"/>
      <c r="J44" s="10" t="n"/>
      <c r="K44" s="9" t="n"/>
      <c r="L44" s="9" t="n"/>
      <c r="M44" s="9" t="n"/>
      <c r="N44" s="10" t="n"/>
      <c r="O44" s="9" t="n"/>
      <c r="P44" s="10" t="n"/>
      <c r="Q44" s="10" t="n"/>
      <c r="R44" s="9" t="n"/>
      <c r="S44" s="10" t="n"/>
      <c r="T44" s="10" t="n"/>
      <c r="U44" s="11" t="n"/>
      <c r="V44" s="11" t="n"/>
      <c r="W44" s="12">
        <f>IF(B44="","",B44+3)</f>
        <v/>
      </c>
      <c r="X44" s="12">
        <f>IF(B44="","",B44+5)</f>
        <v/>
      </c>
      <c r="Y44" s="12">
        <f>IF(B44="","",B44+10)</f>
        <v/>
      </c>
      <c r="Z44" s="13">
        <f>IF(B44="","",(--(B44&lt;&gt;"")+--(C44&lt;&gt;"")+--(D44&lt;&gt;"")+--(E44&lt;&gt;"")+--(F44&lt;&gt;"")+--(G44&lt;&gt;"")+--(H44&lt;&gt;"")+--(I44&lt;&gt;"")+--(J44&lt;&gt;"")+--(K44&lt;&gt;"")+--(L44&lt;&gt;"")+--(M44&lt;&gt;"")+--(N44&lt;&gt;"")+--(O44&lt;&gt;"")+--(P44&lt;&gt;"")+--(Q44&lt;&gt;"")+--(R44&lt;&gt;"")+--(S44&lt;&gt;"")+--(T44&lt;&gt;""))/19)</f>
        <v/>
      </c>
      <c r="AA44" s="16" t="n"/>
      <c r="AB44" s="16" t="n"/>
      <c r="AC44" s="16" t="n"/>
      <c r="AD44" s="16" t="n"/>
      <c r="AE44" s="7">
        <f>IF(B44="","",IF(AND(AA44="合格",AB44="合格",AC44="合格",AD44="合格"),"有效","无效"))</f>
        <v/>
      </c>
    </row>
    <row r="45">
      <c r="A45" s="7">
        <f>IF(B45="","",TEXT(B45,"yyyymmdd")&amp;"-"&amp;TEXT(ROW()-1,"000"))</f>
        <v/>
      </c>
      <c r="B45" s="8" t="n"/>
      <c r="C45" s="9" t="n"/>
      <c r="D45" s="9" t="n"/>
      <c r="E45" s="9" t="n"/>
      <c r="F45" s="9" t="n"/>
      <c r="G45" s="9" t="n"/>
      <c r="H45" s="9" t="n"/>
      <c r="I45" s="9" t="n"/>
      <c r="J45" s="10" t="n"/>
      <c r="K45" s="9" t="n"/>
      <c r="L45" s="9" t="n"/>
      <c r="M45" s="9" t="n"/>
      <c r="N45" s="10" t="n"/>
      <c r="O45" s="9" t="n"/>
      <c r="P45" s="10" t="n"/>
      <c r="Q45" s="10" t="n"/>
      <c r="R45" s="9" t="n"/>
      <c r="S45" s="10" t="n"/>
      <c r="T45" s="10" t="n"/>
      <c r="U45" s="11" t="n"/>
      <c r="V45" s="11" t="n"/>
      <c r="W45" s="12">
        <f>IF(B45="","",B45+3)</f>
        <v/>
      </c>
      <c r="X45" s="12">
        <f>IF(B45="","",B45+5)</f>
        <v/>
      </c>
      <c r="Y45" s="12">
        <f>IF(B45="","",B45+10)</f>
        <v/>
      </c>
      <c r="Z45" s="13">
        <f>IF(B45="","",(--(B45&lt;&gt;"")+--(C45&lt;&gt;"")+--(D45&lt;&gt;"")+--(E45&lt;&gt;"")+--(F45&lt;&gt;"")+--(G45&lt;&gt;"")+--(H45&lt;&gt;"")+--(I45&lt;&gt;"")+--(J45&lt;&gt;"")+--(K45&lt;&gt;"")+--(L45&lt;&gt;"")+--(M45&lt;&gt;"")+--(N45&lt;&gt;"")+--(O45&lt;&gt;"")+--(P45&lt;&gt;"")+--(Q45&lt;&gt;"")+--(R45&lt;&gt;"")+--(S45&lt;&gt;"")+--(T45&lt;&gt;""))/19)</f>
        <v/>
      </c>
      <c r="AA45" s="16" t="n"/>
      <c r="AB45" s="16" t="n"/>
      <c r="AC45" s="16" t="n"/>
      <c r="AD45" s="16" t="n"/>
      <c r="AE45" s="7">
        <f>IF(B45="","",IF(AND(AA45="合格",AB45="合格",AC45="合格",AD45="合格"),"有效","无效"))</f>
        <v/>
      </c>
    </row>
    <row r="46">
      <c r="A46" s="7">
        <f>IF(B46="","",TEXT(B46,"yyyymmdd")&amp;"-"&amp;TEXT(ROW()-1,"000"))</f>
        <v/>
      </c>
      <c r="B46" s="8" t="n"/>
      <c r="C46" s="9" t="n"/>
      <c r="D46" s="9" t="n"/>
      <c r="E46" s="9" t="n"/>
      <c r="F46" s="9" t="n"/>
      <c r="G46" s="9" t="n"/>
      <c r="H46" s="9" t="n"/>
      <c r="I46" s="9" t="n"/>
      <c r="J46" s="10" t="n"/>
      <c r="K46" s="9" t="n"/>
      <c r="L46" s="9" t="n"/>
      <c r="M46" s="9" t="n"/>
      <c r="N46" s="10" t="n"/>
      <c r="O46" s="9" t="n"/>
      <c r="P46" s="10" t="n"/>
      <c r="Q46" s="10" t="n"/>
      <c r="R46" s="9" t="n"/>
      <c r="S46" s="10" t="n"/>
      <c r="T46" s="10" t="n"/>
      <c r="U46" s="11" t="n"/>
      <c r="V46" s="11" t="n"/>
      <c r="W46" s="12">
        <f>IF(B46="","",B46+3)</f>
        <v/>
      </c>
      <c r="X46" s="12">
        <f>IF(B46="","",B46+5)</f>
        <v/>
      </c>
      <c r="Y46" s="12">
        <f>IF(B46="","",B46+10)</f>
        <v/>
      </c>
      <c r="Z46" s="13">
        <f>IF(B46="","",(--(B46&lt;&gt;"")+--(C46&lt;&gt;"")+--(D46&lt;&gt;"")+--(E46&lt;&gt;"")+--(F46&lt;&gt;"")+--(G46&lt;&gt;"")+--(H46&lt;&gt;"")+--(I46&lt;&gt;"")+--(J46&lt;&gt;"")+--(K46&lt;&gt;"")+--(L46&lt;&gt;"")+--(M46&lt;&gt;"")+--(N46&lt;&gt;"")+--(O46&lt;&gt;"")+--(P46&lt;&gt;"")+--(Q46&lt;&gt;"")+--(R46&lt;&gt;"")+--(S46&lt;&gt;"")+--(T46&lt;&gt;""))/19)</f>
        <v/>
      </c>
      <c r="AA46" s="16" t="n"/>
      <c r="AB46" s="16" t="n"/>
      <c r="AC46" s="16" t="n"/>
      <c r="AD46" s="16" t="n"/>
      <c r="AE46" s="7">
        <f>IF(B46="","",IF(AND(AA46="合格",AB46="合格",AC46="合格",AD46="合格"),"有效","无效"))</f>
        <v/>
      </c>
    </row>
    <row r="47">
      <c r="A47" s="7">
        <f>IF(B47="","",TEXT(B47,"yyyymmdd")&amp;"-"&amp;TEXT(ROW()-1,"000"))</f>
        <v/>
      </c>
      <c r="B47" s="8" t="n"/>
      <c r="C47" s="9" t="n"/>
      <c r="D47" s="9" t="n"/>
      <c r="E47" s="9" t="n"/>
      <c r="F47" s="9" t="n"/>
      <c r="G47" s="9" t="n"/>
      <c r="H47" s="9" t="n"/>
      <c r="I47" s="9" t="n"/>
      <c r="J47" s="10" t="n"/>
      <c r="K47" s="9" t="n"/>
      <c r="L47" s="9" t="n"/>
      <c r="M47" s="9" t="n"/>
      <c r="N47" s="10" t="n"/>
      <c r="O47" s="9" t="n"/>
      <c r="P47" s="10" t="n"/>
      <c r="Q47" s="10" t="n"/>
      <c r="R47" s="9" t="n"/>
      <c r="S47" s="10" t="n"/>
      <c r="T47" s="10" t="n"/>
      <c r="U47" s="11" t="n"/>
      <c r="V47" s="11" t="n"/>
      <c r="W47" s="12">
        <f>IF(B47="","",B47+3)</f>
        <v/>
      </c>
      <c r="X47" s="12">
        <f>IF(B47="","",B47+5)</f>
        <v/>
      </c>
      <c r="Y47" s="12">
        <f>IF(B47="","",B47+10)</f>
        <v/>
      </c>
      <c r="Z47" s="13">
        <f>IF(B47="","",(--(B47&lt;&gt;"")+--(C47&lt;&gt;"")+--(D47&lt;&gt;"")+--(E47&lt;&gt;"")+--(F47&lt;&gt;"")+--(G47&lt;&gt;"")+--(H47&lt;&gt;"")+--(I47&lt;&gt;"")+--(J47&lt;&gt;"")+--(K47&lt;&gt;"")+--(L47&lt;&gt;"")+--(M47&lt;&gt;"")+--(N47&lt;&gt;"")+--(O47&lt;&gt;"")+--(P47&lt;&gt;"")+--(Q47&lt;&gt;"")+--(R47&lt;&gt;"")+--(S47&lt;&gt;"")+--(T47&lt;&gt;""))/19)</f>
        <v/>
      </c>
      <c r="AA47" s="16" t="n"/>
      <c r="AB47" s="16" t="n"/>
      <c r="AC47" s="16" t="n"/>
      <c r="AD47" s="16" t="n"/>
      <c r="AE47" s="7">
        <f>IF(B47="","",IF(AND(AA47="合格",AB47="合格",AC47="合格",AD47="合格"),"有效","无效"))</f>
        <v/>
      </c>
    </row>
    <row r="48">
      <c r="A48" s="7">
        <f>IF(B48="","",TEXT(B48,"yyyymmdd")&amp;"-"&amp;TEXT(ROW()-1,"000"))</f>
        <v/>
      </c>
      <c r="B48" s="8" t="n"/>
      <c r="C48" s="9" t="n"/>
      <c r="D48" s="9" t="n"/>
      <c r="E48" s="9" t="n"/>
      <c r="F48" s="9" t="n"/>
      <c r="G48" s="9" t="n"/>
      <c r="H48" s="9" t="n"/>
      <c r="I48" s="9" t="n"/>
      <c r="J48" s="10" t="n"/>
      <c r="K48" s="9" t="n"/>
      <c r="L48" s="9" t="n"/>
      <c r="M48" s="9" t="n"/>
      <c r="N48" s="10" t="n"/>
      <c r="O48" s="9" t="n"/>
      <c r="P48" s="10" t="n"/>
      <c r="Q48" s="10" t="n"/>
      <c r="R48" s="9" t="n"/>
      <c r="S48" s="10" t="n"/>
      <c r="T48" s="10" t="n"/>
      <c r="U48" s="11" t="n"/>
      <c r="V48" s="11" t="n"/>
      <c r="W48" s="12">
        <f>IF(B48="","",B48+3)</f>
        <v/>
      </c>
      <c r="X48" s="12">
        <f>IF(B48="","",B48+5)</f>
        <v/>
      </c>
      <c r="Y48" s="12">
        <f>IF(B48="","",B48+10)</f>
        <v/>
      </c>
      <c r="Z48" s="13">
        <f>IF(B48="","",(--(B48&lt;&gt;"")+--(C48&lt;&gt;"")+--(D48&lt;&gt;"")+--(E48&lt;&gt;"")+--(F48&lt;&gt;"")+--(G48&lt;&gt;"")+--(H48&lt;&gt;"")+--(I48&lt;&gt;"")+--(J48&lt;&gt;"")+--(K48&lt;&gt;"")+--(L48&lt;&gt;"")+--(M48&lt;&gt;"")+--(N48&lt;&gt;"")+--(O48&lt;&gt;"")+--(P48&lt;&gt;"")+--(Q48&lt;&gt;"")+--(R48&lt;&gt;"")+--(S48&lt;&gt;"")+--(T48&lt;&gt;""))/19)</f>
        <v/>
      </c>
      <c r="AA48" s="16" t="n"/>
      <c r="AB48" s="16" t="n"/>
      <c r="AC48" s="16" t="n"/>
      <c r="AD48" s="16" t="n"/>
      <c r="AE48" s="7">
        <f>IF(B48="","",IF(AND(AA48="合格",AB48="合格",AC48="合格",AD48="合格"),"有效","无效"))</f>
        <v/>
      </c>
    </row>
    <row r="49">
      <c r="A49" s="7">
        <f>IF(B49="","",TEXT(B49,"yyyymmdd")&amp;"-"&amp;TEXT(ROW()-1,"000"))</f>
        <v/>
      </c>
      <c r="B49" s="8" t="n"/>
      <c r="C49" s="9" t="n"/>
      <c r="D49" s="9" t="n"/>
      <c r="E49" s="9" t="n"/>
      <c r="F49" s="9" t="n"/>
      <c r="G49" s="9" t="n"/>
      <c r="H49" s="9" t="n"/>
      <c r="I49" s="9" t="n"/>
      <c r="J49" s="10" t="n"/>
      <c r="K49" s="9" t="n"/>
      <c r="L49" s="9" t="n"/>
      <c r="M49" s="9" t="n"/>
      <c r="N49" s="10" t="n"/>
      <c r="O49" s="9" t="n"/>
      <c r="P49" s="10" t="n"/>
      <c r="Q49" s="10" t="n"/>
      <c r="R49" s="9" t="n"/>
      <c r="S49" s="10" t="n"/>
      <c r="T49" s="10" t="n"/>
      <c r="U49" s="11" t="n"/>
      <c r="V49" s="11" t="n"/>
      <c r="W49" s="12">
        <f>IF(B49="","",B49+3)</f>
        <v/>
      </c>
      <c r="X49" s="12">
        <f>IF(B49="","",B49+5)</f>
        <v/>
      </c>
      <c r="Y49" s="12">
        <f>IF(B49="","",B49+10)</f>
        <v/>
      </c>
      <c r="Z49" s="13">
        <f>IF(B49="","",(--(B49&lt;&gt;"")+--(C49&lt;&gt;"")+--(D49&lt;&gt;"")+--(E49&lt;&gt;"")+--(F49&lt;&gt;"")+--(G49&lt;&gt;"")+--(H49&lt;&gt;"")+--(I49&lt;&gt;"")+--(J49&lt;&gt;"")+--(K49&lt;&gt;"")+--(L49&lt;&gt;"")+--(M49&lt;&gt;"")+--(N49&lt;&gt;"")+--(O49&lt;&gt;"")+--(P49&lt;&gt;"")+--(Q49&lt;&gt;"")+--(R49&lt;&gt;"")+--(S49&lt;&gt;"")+--(T49&lt;&gt;""))/19)</f>
        <v/>
      </c>
      <c r="AA49" s="16" t="n"/>
      <c r="AB49" s="16" t="n"/>
      <c r="AC49" s="16" t="n"/>
      <c r="AD49" s="16" t="n"/>
      <c r="AE49" s="7">
        <f>IF(B49="","",IF(AND(AA49="合格",AB49="合格",AC49="合格",AD49="合格"),"有效","无效"))</f>
        <v/>
      </c>
    </row>
    <row r="50">
      <c r="A50" s="7">
        <f>IF(B50="","",TEXT(B50,"yyyymmdd")&amp;"-"&amp;TEXT(ROW()-1,"000"))</f>
        <v/>
      </c>
      <c r="B50" s="8" t="n"/>
      <c r="C50" s="9" t="n"/>
      <c r="D50" s="9" t="n"/>
      <c r="E50" s="9" t="n"/>
      <c r="F50" s="9" t="n"/>
      <c r="G50" s="9" t="n"/>
      <c r="H50" s="9" t="n"/>
      <c r="I50" s="9" t="n"/>
      <c r="J50" s="10" t="n"/>
      <c r="K50" s="9" t="n"/>
      <c r="L50" s="9" t="n"/>
      <c r="M50" s="9" t="n"/>
      <c r="N50" s="10" t="n"/>
      <c r="O50" s="9" t="n"/>
      <c r="P50" s="10" t="n"/>
      <c r="Q50" s="10" t="n"/>
      <c r="R50" s="9" t="n"/>
      <c r="S50" s="10" t="n"/>
      <c r="T50" s="10" t="n"/>
      <c r="U50" s="11" t="n"/>
      <c r="V50" s="11" t="n"/>
      <c r="W50" s="12">
        <f>IF(B50="","",B50+3)</f>
        <v/>
      </c>
      <c r="X50" s="12">
        <f>IF(B50="","",B50+5)</f>
        <v/>
      </c>
      <c r="Y50" s="12">
        <f>IF(B50="","",B50+10)</f>
        <v/>
      </c>
      <c r="Z50" s="13">
        <f>IF(B50="","",(--(B50&lt;&gt;"")+--(C50&lt;&gt;"")+--(D50&lt;&gt;"")+--(E50&lt;&gt;"")+--(F50&lt;&gt;"")+--(G50&lt;&gt;"")+--(H50&lt;&gt;"")+--(I50&lt;&gt;"")+--(J50&lt;&gt;"")+--(K50&lt;&gt;"")+--(L50&lt;&gt;"")+--(M50&lt;&gt;"")+--(N50&lt;&gt;"")+--(O50&lt;&gt;"")+--(P50&lt;&gt;"")+--(Q50&lt;&gt;"")+--(R50&lt;&gt;"")+--(S50&lt;&gt;"")+--(T50&lt;&gt;""))/19)</f>
        <v/>
      </c>
      <c r="AA50" s="16" t="n"/>
      <c r="AB50" s="16" t="n"/>
      <c r="AC50" s="16" t="n"/>
      <c r="AD50" s="16" t="n"/>
      <c r="AE50" s="7">
        <f>IF(B50="","",IF(AND(AA50="合格",AB50="合格",AC50="合格",AD50="合格"),"有效","无效"))</f>
        <v/>
      </c>
    </row>
    <row r="51">
      <c r="A51" s="7">
        <f>IF(B51="","",TEXT(B51,"yyyymmdd")&amp;"-"&amp;TEXT(ROW()-1,"000"))</f>
        <v/>
      </c>
      <c r="B51" s="8" t="n"/>
      <c r="C51" s="9" t="n"/>
      <c r="D51" s="9" t="n"/>
      <c r="E51" s="9" t="n"/>
      <c r="F51" s="9" t="n"/>
      <c r="G51" s="9" t="n"/>
      <c r="H51" s="9" t="n"/>
      <c r="I51" s="9" t="n"/>
      <c r="J51" s="10" t="n"/>
      <c r="K51" s="9" t="n"/>
      <c r="L51" s="9" t="n"/>
      <c r="M51" s="9" t="n"/>
      <c r="N51" s="10" t="n"/>
      <c r="O51" s="9" t="n"/>
      <c r="P51" s="10" t="n"/>
      <c r="Q51" s="10" t="n"/>
      <c r="R51" s="9" t="n"/>
      <c r="S51" s="10" t="n"/>
      <c r="T51" s="10" t="n"/>
      <c r="U51" s="11" t="n"/>
      <c r="V51" s="11" t="n"/>
      <c r="W51" s="12">
        <f>IF(B51="","",B51+3)</f>
        <v/>
      </c>
      <c r="X51" s="12">
        <f>IF(B51="","",B51+5)</f>
        <v/>
      </c>
      <c r="Y51" s="12">
        <f>IF(B51="","",B51+10)</f>
        <v/>
      </c>
      <c r="Z51" s="13">
        <f>IF(B51="","",(--(B51&lt;&gt;"")+--(C51&lt;&gt;"")+--(D51&lt;&gt;"")+--(E51&lt;&gt;"")+--(F51&lt;&gt;"")+--(G51&lt;&gt;"")+--(H51&lt;&gt;"")+--(I51&lt;&gt;"")+--(J51&lt;&gt;"")+--(K51&lt;&gt;"")+--(L51&lt;&gt;"")+--(M51&lt;&gt;"")+--(N51&lt;&gt;"")+--(O51&lt;&gt;"")+--(P51&lt;&gt;"")+--(Q51&lt;&gt;"")+--(R51&lt;&gt;"")+--(S51&lt;&gt;"")+--(T51&lt;&gt;""))/19)</f>
        <v/>
      </c>
      <c r="AA51" s="16" t="n"/>
      <c r="AB51" s="16" t="n"/>
      <c r="AC51" s="16" t="n"/>
      <c r="AD51" s="16" t="n"/>
      <c r="AE51" s="7">
        <f>IF(B51="","",IF(AND(AA51="合格",AB51="合格",AC51="合格",AD51="合格"),"有效","无效"))</f>
        <v/>
      </c>
    </row>
    <row r="52">
      <c r="A52" s="7">
        <f>IF(B52="","",TEXT(B52,"yyyymmdd")&amp;"-"&amp;TEXT(ROW()-1,"000"))</f>
        <v/>
      </c>
      <c r="B52" s="8" t="n"/>
      <c r="C52" s="9" t="n"/>
      <c r="D52" s="9" t="n"/>
      <c r="E52" s="9" t="n"/>
      <c r="F52" s="9" t="n"/>
      <c r="G52" s="9" t="n"/>
      <c r="H52" s="9" t="n"/>
      <c r="I52" s="9" t="n"/>
      <c r="J52" s="10" t="n"/>
      <c r="K52" s="9" t="n"/>
      <c r="L52" s="9" t="n"/>
      <c r="M52" s="9" t="n"/>
      <c r="N52" s="10" t="n"/>
      <c r="O52" s="9" t="n"/>
      <c r="P52" s="10" t="n"/>
      <c r="Q52" s="10" t="n"/>
      <c r="R52" s="9" t="n"/>
      <c r="S52" s="10" t="n"/>
      <c r="T52" s="10" t="n"/>
      <c r="U52" s="11" t="n"/>
      <c r="V52" s="11" t="n"/>
      <c r="W52" s="12">
        <f>IF(B52="","",B52+3)</f>
        <v/>
      </c>
      <c r="X52" s="12">
        <f>IF(B52="","",B52+5)</f>
        <v/>
      </c>
      <c r="Y52" s="12">
        <f>IF(B52="","",B52+10)</f>
        <v/>
      </c>
      <c r="Z52" s="13">
        <f>IF(B52="","",(--(B52&lt;&gt;"")+--(C52&lt;&gt;"")+--(D52&lt;&gt;"")+--(E52&lt;&gt;"")+--(F52&lt;&gt;"")+--(G52&lt;&gt;"")+--(H52&lt;&gt;"")+--(I52&lt;&gt;"")+--(J52&lt;&gt;"")+--(K52&lt;&gt;"")+--(L52&lt;&gt;"")+--(M52&lt;&gt;"")+--(N52&lt;&gt;"")+--(O52&lt;&gt;"")+--(P52&lt;&gt;"")+--(Q52&lt;&gt;"")+--(R52&lt;&gt;"")+--(S52&lt;&gt;"")+--(T52&lt;&gt;""))/19)</f>
        <v/>
      </c>
      <c r="AA52" s="16" t="n"/>
      <c r="AB52" s="16" t="n"/>
      <c r="AC52" s="16" t="n"/>
      <c r="AD52" s="16" t="n"/>
      <c r="AE52" s="7">
        <f>IF(B52="","",IF(AND(AA52="合格",AB52="合格",AC52="合格",AD52="合格"),"有效","无效"))</f>
        <v/>
      </c>
    </row>
    <row r="53">
      <c r="A53" s="7">
        <f>IF(B53="","",TEXT(B53,"yyyymmdd")&amp;"-"&amp;TEXT(ROW()-1,"000"))</f>
        <v/>
      </c>
      <c r="B53" s="8" t="n"/>
      <c r="C53" s="9" t="n"/>
      <c r="D53" s="9" t="n"/>
      <c r="E53" s="9" t="n"/>
      <c r="F53" s="9" t="n"/>
      <c r="G53" s="9" t="n"/>
      <c r="H53" s="9" t="n"/>
      <c r="I53" s="9" t="n"/>
      <c r="J53" s="10" t="n"/>
      <c r="K53" s="9" t="n"/>
      <c r="L53" s="9" t="n"/>
      <c r="M53" s="9" t="n"/>
      <c r="N53" s="10" t="n"/>
      <c r="O53" s="9" t="n"/>
      <c r="P53" s="10" t="n"/>
      <c r="Q53" s="10" t="n"/>
      <c r="R53" s="9" t="n"/>
      <c r="S53" s="10" t="n"/>
      <c r="T53" s="10" t="n"/>
      <c r="U53" s="11" t="n"/>
      <c r="V53" s="11" t="n"/>
      <c r="W53" s="12">
        <f>IF(B53="","",B53+3)</f>
        <v/>
      </c>
      <c r="X53" s="12">
        <f>IF(B53="","",B53+5)</f>
        <v/>
      </c>
      <c r="Y53" s="12">
        <f>IF(B53="","",B53+10)</f>
        <v/>
      </c>
      <c r="Z53" s="13">
        <f>IF(B53="","",(--(B53&lt;&gt;"")+--(C53&lt;&gt;"")+--(D53&lt;&gt;"")+--(E53&lt;&gt;"")+--(F53&lt;&gt;"")+--(G53&lt;&gt;"")+--(H53&lt;&gt;"")+--(I53&lt;&gt;"")+--(J53&lt;&gt;"")+--(K53&lt;&gt;"")+--(L53&lt;&gt;"")+--(M53&lt;&gt;"")+--(N53&lt;&gt;"")+--(O53&lt;&gt;"")+--(P53&lt;&gt;"")+--(Q53&lt;&gt;"")+--(R53&lt;&gt;"")+--(S53&lt;&gt;"")+--(T53&lt;&gt;""))/19)</f>
        <v/>
      </c>
      <c r="AA53" s="16" t="n"/>
      <c r="AB53" s="16" t="n"/>
      <c r="AC53" s="16" t="n"/>
      <c r="AD53" s="16" t="n"/>
      <c r="AE53" s="7">
        <f>IF(B53="","",IF(AND(AA53="合格",AB53="合格",AC53="合格",AD53="合格"),"有效","无效"))</f>
        <v/>
      </c>
    </row>
    <row r="54">
      <c r="A54" s="7">
        <f>IF(B54="","",TEXT(B54,"yyyymmdd")&amp;"-"&amp;TEXT(ROW()-1,"000"))</f>
        <v/>
      </c>
      <c r="B54" s="8" t="n"/>
      <c r="C54" s="9" t="n"/>
      <c r="D54" s="9" t="n"/>
      <c r="E54" s="9" t="n"/>
      <c r="F54" s="9" t="n"/>
      <c r="G54" s="9" t="n"/>
      <c r="H54" s="9" t="n"/>
      <c r="I54" s="9" t="n"/>
      <c r="J54" s="10" t="n"/>
      <c r="K54" s="9" t="n"/>
      <c r="L54" s="9" t="n"/>
      <c r="M54" s="9" t="n"/>
      <c r="N54" s="10" t="n"/>
      <c r="O54" s="9" t="n"/>
      <c r="P54" s="10" t="n"/>
      <c r="Q54" s="10" t="n"/>
      <c r="R54" s="9" t="n"/>
      <c r="S54" s="10" t="n"/>
      <c r="T54" s="10" t="n"/>
      <c r="U54" s="11" t="n"/>
      <c r="V54" s="11" t="n"/>
      <c r="W54" s="12">
        <f>IF(B54="","",B54+3)</f>
        <v/>
      </c>
      <c r="X54" s="12">
        <f>IF(B54="","",B54+5)</f>
        <v/>
      </c>
      <c r="Y54" s="12">
        <f>IF(B54="","",B54+10)</f>
        <v/>
      </c>
      <c r="Z54" s="13">
        <f>IF(B54="","",(--(B54&lt;&gt;"")+--(C54&lt;&gt;"")+--(D54&lt;&gt;"")+--(E54&lt;&gt;"")+--(F54&lt;&gt;"")+--(G54&lt;&gt;"")+--(H54&lt;&gt;"")+--(I54&lt;&gt;"")+--(J54&lt;&gt;"")+--(K54&lt;&gt;"")+--(L54&lt;&gt;"")+--(M54&lt;&gt;"")+--(N54&lt;&gt;"")+--(O54&lt;&gt;"")+--(P54&lt;&gt;"")+--(Q54&lt;&gt;"")+--(R54&lt;&gt;"")+--(S54&lt;&gt;"")+--(T54&lt;&gt;""))/19)</f>
        <v/>
      </c>
      <c r="AA54" s="16" t="n"/>
      <c r="AB54" s="16" t="n"/>
      <c r="AC54" s="16" t="n"/>
      <c r="AD54" s="16" t="n"/>
      <c r="AE54" s="7">
        <f>IF(B54="","",IF(AND(AA54="合格",AB54="合格",AC54="合格",AD54="合格"),"有效","无效"))</f>
        <v/>
      </c>
    </row>
    <row r="55">
      <c r="A55" s="7">
        <f>IF(B55="","",TEXT(B55,"yyyymmdd")&amp;"-"&amp;TEXT(ROW()-1,"000"))</f>
        <v/>
      </c>
      <c r="B55" s="8" t="n"/>
      <c r="C55" s="9" t="n"/>
      <c r="D55" s="9" t="n"/>
      <c r="E55" s="9" t="n"/>
      <c r="F55" s="9" t="n"/>
      <c r="G55" s="9" t="n"/>
      <c r="H55" s="9" t="n"/>
      <c r="I55" s="9" t="n"/>
      <c r="J55" s="10" t="n"/>
      <c r="K55" s="9" t="n"/>
      <c r="L55" s="9" t="n"/>
      <c r="M55" s="9" t="n"/>
      <c r="N55" s="10" t="n"/>
      <c r="O55" s="9" t="n"/>
      <c r="P55" s="10" t="n"/>
      <c r="Q55" s="10" t="n"/>
      <c r="R55" s="9" t="n"/>
      <c r="S55" s="10" t="n"/>
      <c r="T55" s="10" t="n"/>
      <c r="U55" s="11" t="n"/>
      <c r="V55" s="11" t="n"/>
      <c r="W55" s="12">
        <f>IF(B55="","",B55+3)</f>
        <v/>
      </c>
      <c r="X55" s="12">
        <f>IF(B55="","",B55+5)</f>
        <v/>
      </c>
      <c r="Y55" s="12">
        <f>IF(B55="","",B55+10)</f>
        <v/>
      </c>
      <c r="Z55" s="13">
        <f>IF(B55="","",(--(B55&lt;&gt;"")+--(C55&lt;&gt;"")+--(D55&lt;&gt;"")+--(E55&lt;&gt;"")+--(F55&lt;&gt;"")+--(G55&lt;&gt;"")+--(H55&lt;&gt;"")+--(I55&lt;&gt;"")+--(J55&lt;&gt;"")+--(K55&lt;&gt;"")+--(L55&lt;&gt;"")+--(M55&lt;&gt;"")+--(N55&lt;&gt;"")+--(O55&lt;&gt;"")+--(P55&lt;&gt;"")+--(Q55&lt;&gt;"")+--(R55&lt;&gt;"")+--(S55&lt;&gt;"")+--(T55&lt;&gt;""))/19)</f>
        <v/>
      </c>
      <c r="AA55" s="16" t="n"/>
      <c r="AB55" s="16" t="n"/>
      <c r="AC55" s="16" t="n"/>
      <c r="AD55" s="16" t="n"/>
      <c r="AE55" s="7">
        <f>IF(B55="","",IF(AND(AA55="合格",AB55="合格",AC55="合格",AD55="合格"),"有效","无效"))</f>
        <v/>
      </c>
    </row>
    <row r="56">
      <c r="A56" s="7">
        <f>IF(B56="","",TEXT(B56,"yyyymmdd")&amp;"-"&amp;TEXT(ROW()-1,"000"))</f>
        <v/>
      </c>
      <c r="B56" s="8" t="n"/>
      <c r="C56" s="9" t="n"/>
      <c r="D56" s="9" t="n"/>
      <c r="E56" s="9" t="n"/>
      <c r="F56" s="9" t="n"/>
      <c r="G56" s="9" t="n"/>
      <c r="H56" s="9" t="n"/>
      <c r="I56" s="9" t="n"/>
      <c r="J56" s="10" t="n"/>
      <c r="K56" s="9" t="n"/>
      <c r="L56" s="9" t="n"/>
      <c r="M56" s="9" t="n"/>
      <c r="N56" s="10" t="n"/>
      <c r="O56" s="9" t="n"/>
      <c r="P56" s="10" t="n"/>
      <c r="Q56" s="10" t="n"/>
      <c r="R56" s="9" t="n"/>
      <c r="S56" s="10" t="n"/>
      <c r="T56" s="10" t="n"/>
      <c r="U56" s="11" t="n"/>
      <c r="V56" s="11" t="n"/>
      <c r="W56" s="12">
        <f>IF(B56="","",B56+3)</f>
        <v/>
      </c>
      <c r="X56" s="12">
        <f>IF(B56="","",B56+5)</f>
        <v/>
      </c>
      <c r="Y56" s="12">
        <f>IF(B56="","",B56+10)</f>
        <v/>
      </c>
      <c r="Z56" s="13">
        <f>IF(B56="","",(--(B56&lt;&gt;"")+--(C56&lt;&gt;"")+--(D56&lt;&gt;"")+--(E56&lt;&gt;"")+--(F56&lt;&gt;"")+--(G56&lt;&gt;"")+--(H56&lt;&gt;"")+--(I56&lt;&gt;"")+--(J56&lt;&gt;"")+--(K56&lt;&gt;"")+--(L56&lt;&gt;"")+--(M56&lt;&gt;"")+--(N56&lt;&gt;"")+--(O56&lt;&gt;"")+--(P56&lt;&gt;"")+--(Q56&lt;&gt;"")+--(R56&lt;&gt;"")+--(S56&lt;&gt;"")+--(T56&lt;&gt;""))/19)</f>
        <v/>
      </c>
      <c r="AA56" s="16" t="n"/>
      <c r="AB56" s="16" t="n"/>
      <c r="AC56" s="16" t="n"/>
      <c r="AD56" s="16" t="n"/>
      <c r="AE56" s="7">
        <f>IF(B56="","",IF(AND(AA56="合格",AB56="合格",AC56="合格",AD56="合格"),"有效","无效"))</f>
        <v/>
      </c>
    </row>
    <row r="57">
      <c r="A57" s="7">
        <f>IF(B57="","",TEXT(B57,"yyyymmdd")&amp;"-"&amp;TEXT(ROW()-1,"000"))</f>
        <v/>
      </c>
      <c r="B57" s="8" t="n"/>
      <c r="C57" s="9" t="n"/>
      <c r="D57" s="9" t="n"/>
      <c r="E57" s="9" t="n"/>
      <c r="F57" s="9" t="n"/>
      <c r="G57" s="9" t="n"/>
      <c r="H57" s="9" t="n"/>
      <c r="I57" s="9" t="n"/>
      <c r="J57" s="10" t="n"/>
      <c r="K57" s="9" t="n"/>
      <c r="L57" s="9" t="n"/>
      <c r="M57" s="9" t="n"/>
      <c r="N57" s="10" t="n"/>
      <c r="O57" s="9" t="n"/>
      <c r="P57" s="10" t="n"/>
      <c r="Q57" s="10" t="n"/>
      <c r="R57" s="9" t="n"/>
      <c r="S57" s="10" t="n"/>
      <c r="T57" s="10" t="n"/>
      <c r="U57" s="11" t="n"/>
      <c r="V57" s="11" t="n"/>
      <c r="W57" s="12">
        <f>IF(B57="","",B57+3)</f>
        <v/>
      </c>
      <c r="X57" s="12">
        <f>IF(B57="","",B57+5)</f>
        <v/>
      </c>
      <c r="Y57" s="12">
        <f>IF(B57="","",B57+10)</f>
        <v/>
      </c>
      <c r="Z57" s="13">
        <f>IF(B57="","",(--(B57&lt;&gt;"")+--(C57&lt;&gt;"")+--(D57&lt;&gt;"")+--(E57&lt;&gt;"")+--(F57&lt;&gt;"")+--(G57&lt;&gt;"")+--(H57&lt;&gt;"")+--(I57&lt;&gt;"")+--(J57&lt;&gt;"")+--(K57&lt;&gt;"")+--(L57&lt;&gt;"")+--(M57&lt;&gt;"")+--(N57&lt;&gt;"")+--(O57&lt;&gt;"")+--(P57&lt;&gt;"")+--(Q57&lt;&gt;"")+--(R57&lt;&gt;"")+--(S57&lt;&gt;"")+--(T57&lt;&gt;""))/19)</f>
        <v/>
      </c>
      <c r="AA57" s="16" t="n"/>
      <c r="AB57" s="16" t="n"/>
      <c r="AC57" s="16" t="n"/>
      <c r="AD57" s="16" t="n"/>
      <c r="AE57" s="7">
        <f>IF(B57="","",IF(AND(AA57="合格",AB57="合格",AC57="合格",AD57="合格"),"有效","无效"))</f>
        <v/>
      </c>
    </row>
    <row r="58">
      <c r="A58" s="7">
        <f>IF(B58="","",TEXT(B58,"yyyymmdd")&amp;"-"&amp;TEXT(ROW()-1,"000"))</f>
        <v/>
      </c>
      <c r="B58" s="8" t="n"/>
      <c r="C58" s="9" t="n"/>
      <c r="D58" s="9" t="n"/>
      <c r="E58" s="9" t="n"/>
      <c r="F58" s="9" t="n"/>
      <c r="G58" s="9" t="n"/>
      <c r="H58" s="9" t="n"/>
      <c r="I58" s="9" t="n"/>
      <c r="J58" s="10" t="n"/>
      <c r="K58" s="9" t="n"/>
      <c r="L58" s="9" t="n"/>
      <c r="M58" s="9" t="n"/>
      <c r="N58" s="10" t="n"/>
      <c r="O58" s="9" t="n"/>
      <c r="P58" s="10" t="n"/>
      <c r="Q58" s="10" t="n"/>
      <c r="R58" s="9" t="n"/>
      <c r="S58" s="10" t="n"/>
      <c r="T58" s="10" t="n"/>
      <c r="U58" s="11" t="n"/>
      <c r="V58" s="11" t="n"/>
      <c r="W58" s="12">
        <f>IF(B58="","",B58+3)</f>
        <v/>
      </c>
      <c r="X58" s="12">
        <f>IF(B58="","",B58+5)</f>
        <v/>
      </c>
      <c r="Y58" s="12">
        <f>IF(B58="","",B58+10)</f>
        <v/>
      </c>
      <c r="Z58" s="13">
        <f>IF(B58="","",(--(B58&lt;&gt;"")+--(C58&lt;&gt;"")+--(D58&lt;&gt;"")+--(E58&lt;&gt;"")+--(F58&lt;&gt;"")+--(G58&lt;&gt;"")+--(H58&lt;&gt;"")+--(I58&lt;&gt;"")+--(J58&lt;&gt;"")+--(K58&lt;&gt;"")+--(L58&lt;&gt;"")+--(M58&lt;&gt;"")+--(N58&lt;&gt;"")+--(O58&lt;&gt;"")+--(P58&lt;&gt;"")+--(Q58&lt;&gt;"")+--(R58&lt;&gt;"")+--(S58&lt;&gt;"")+--(T58&lt;&gt;""))/19)</f>
        <v/>
      </c>
      <c r="AA58" s="16" t="n"/>
      <c r="AB58" s="16" t="n"/>
      <c r="AC58" s="16" t="n"/>
      <c r="AD58" s="16" t="n"/>
      <c r="AE58" s="7">
        <f>IF(B58="","",IF(AND(AA58="合格",AB58="合格",AC58="合格",AD58="合格"),"有效","无效"))</f>
        <v/>
      </c>
    </row>
    <row r="59">
      <c r="A59" s="7">
        <f>IF(B59="","",TEXT(B59,"yyyymmdd")&amp;"-"&amp;TEXT(ROW()-1,"000"))</f>
        <v/>
      </c>
      <c r="B59" s="8" t="n"/>
      <c r="C59" s="9" t="n"/>
      <c r="D59" s="9" t="n"/>
      <c r="E59" s="9" t="n"/>
      <c r="F59" s="9" t="n"/>
      <c r="G59" s="9" t="n"/>
      <c r="H59" s="9" t="n"/>
      <c r="I59" s="9" t="n"/>
      <c r="J59" s="10" t="n"/>
      <c r="K59" s="9" t="n"/>
      <c r="L59" s="9" t="n"/>
      <c r="M59" s="9" t="n"/>
      <c r="N59" s="10" t="n"/>
      <c r="O59" s="9" t="n"/>
      <c r="P59" s="10" t="n"/>
      <c r="Q59" s="10" t="n"/>
      <c r="R59" s="9" t="n"/>
      <c r="S59" s="10" t="n"/>
      <c r="T59" s="10" t="n"/>
      <c r="U59" s="11" t="n"/>
      <c r="V59" s="11" t="n"/>
      <c r="W59" s="12">
        <f>IF(B59="","",B59+3)</f>
        <v/>
      </c>
      <c r="X59" s="12">
        <f>IF(B59="","",B59+5)</f>
        <v/>
      </c>
      <c r="Y59" s="12">
        <f>IF(B59="","",B59+10)</f>
        <v/>
      </c>
      <c r="Z59" s="13">
        <f>IF(B59="","",(--(B59&lt;&gt;"")+--(C59&lt;&gt;"")+--(D59&lt;&gt;"")+--(E59&lt;&gt;"")+--(F59&lt;&gt;"")+--(G59&lt;&gt;"")+--(H59&lt;&gt;"")+--(I59&lt;&gt;"")+--(J59&lt;&gt;"")+--(K59&lt;&gt;"")+--(L59&lt;&gt;"")+--(M59&lt;&gt;"")+--(N59&lt;&gt;"")+--(O59&lt;&gt;"")+--(P59&lt;&gt;"")+--(Q59&lt;&gt;"")+--(R59&lt;&gt;"")+--(S59&lt;&gt;"")+--(T59&lt;&gt;""))/19)</f>
        <v/>
      </c>
      <c r="AA59" s="16" t="n"/>
      <c r="AB59" s="16" t="n"/>
      <c r="AC59" s="16" t="n"/>
      <c r="AD59" s="16" t="n"/>
      <c r="AE59" s="7">
        <f>IF(B59="","",IF(AND(AA59="合格",AB59="合格",AC59="合格",AD59="合格"),"有效","无效"))</f>
        <v/>
      </c>
    </row>
    <row r="60">
      <c r="A60" s="7">
        <f>IF(B60="","",TEXT(B60,"yyyymmdd")&amp;"-"&amp;TEXT(ROW()-1,"000"))</f>
        <v/>
      </c>
      <c r="B60" s="8" t="n"/>
      <c r="C60" s="9" t="n"/>
      <c r="D60" s="9" t="n"/>
      <c r="E60" s="9" t="n"/>
      <c r="F60" s="9" t="n"/>
      <c r="G60" s="9" t="n"/>
      <c r="H60" s="9" t="n"/>
      <c r="I60" s="9" t="n"/>
      <c r="J60" s="10" t="n"/>
      <c r="K60" s="9" t="n"/>
      <c r="L60" s="9" t="n"/>
      <c r="M60" s="9" t="n"/>
      <c r="N60" s="10" t="n"/>
      <c r="O60" s="9" t="n"/>
      <c r="P60" s="10" t="n"/>
      <c r="Q60" s="10" t="n"/>
      <c r="R60" s="9" t="n"/>
      <c r="S60" s="10" t="n"/>
      <c r="T60" s="10" t="n"/>
      <c r="U60" s="11" t="n"/>
      <c r="V60" s="11" t="n"/>
      <c r="W60" s="12">
        <f>IF(B60="","",B60+3)</f>
        <v/>
      </c>
      <c r="X60" s="12">
        <f>IF(B60="","",B60+5)</f>
        <v/>
      </c>
      <c r="Y60" s="12">
        <f>IF(B60="","",B60+10)</f>
        <v/>
      </c>
      <c r="Z60" s="13">
        <f>IF(B60="","",(--(B60&lt;&gt;"")+--(C60&lt;&gt;"")+--(D60&lt;&gt;"")+--(E60&lt;&gt;"")+--(F60&lt;&gt;"")+--(G60&lt;&gt;"")+--(H60&lt;&gt;"")+--(I60&lt;&gt;"")+--(J60&lt;&gt;"")+--(K60&lt;&gt;"")+--(L60&lt;&gt;"")+--(M60&lt;&gt;"")+--(N60&lt;&gt;"")+--(O60&lt;&gt;"")+--(P60&lt;&gt;"")+--(Q60&lt;&gt;"")+--(R60&lt;&gt;"")+--(S60&lt;&gt;"")+--(T60&lt;&gt;""))/19)</f>
        <v/>
      </c>
      <c r="AA60" s="16" t="n"/>
      <c r="AB60" s="16" t="n"/>
      <c r="AC60" s="16" t="n"/>
      <c r="AD60" s="16" t="n"/>
      <c r="AE60" s="7">
        <f>IF(B60="","",IF(AND(AA60="合格",AB60="合格",AC60="合格",AD60="合格"),"有效","无效"))</f>
        <v/>
      </c>
    </row>
    <row r="61">
      <c r="A61" s="7">
        <f>IF(B61="","",TEXT(B61,"yyyymmdd")&amp;"-"&amp;TEXT(ROW()-1,"000"))</f>
        <v/>
      </c>
      <c r="B61" s="8" t="n"/>
      <c r="C61" s="9" t="n"/>
      <c r="D61" s="9" t="n"/>
      <c r="E61" s="9" t="n"/>
      <c r="F61" s="9" t="n"/>
      <c r="G61" s="9" t="n"/>
      <c r="H61" s="9" t="n"/>
      <c r="I61" s="9" t="n"/>
      <c r="J61" s="10" t="n"/>
      <c r="K61" s="9" t="n"/>
      <c r="L61" s="9" t="n"/>
      <c r="M61" s="9" t="n"/>
      <c r="N61" s="10" t="n"/>
      <c r="O61" s="9" t="n"/>
      <c r="P61" s="10" t="n"/>
      <c r="Q61" s="10" t="n"/>
      <c r="R61" s="9" t="n"/>
      <c r="S61" s="10" t="n"/>
      <c r="T61" s="10" t="n"/>
      <c r="U61" s="11" t="n"/>
      <c r="V61" s="11" t="n"/>
      <c r="W61" s="12">
        <f>IF(B61="","",B61+3)</f>
        <v/>
      </c>
      <c r="X61" s="12">
        <f>IF(B61="","",B61+5)</f>
        <v/>
      </c>
      <c r="Y61" s="12">
        <f>IF(B61="","",B61+10)</f>
        <v/>
      </c>
      <c r="Z61" s="13">
        <f>IF(B61="","",(--(B61&lt;&gt;"")+--(C61&lt;&gt;"")+--(D61&lt;&gt;"")+--(E61&lt;&gt;"")+--(F61&lt;&gt;"")+--(G61&lt;&gt;"")+--(H61&lt;&gt;"")+--(I61&lt;&gt;"")+--(J61&lt;&gt;"")+--(K61&lt;&gt;"")+--(L61&lt;&gt;"")+--(M61&lt;&gt;"")+--(N61&lt;&gt;"")+--(O61&lt;&gt;"")+--(P61&lt;&gt;"")+--(Q61&lt;&gt;"")+--(R61&lt;&gt;"")+--(S61&lt;&gt;"")+--(T61&lt;&gt;""))/19)</f>
        <v/>
      </c>
      <c r="AA61" s="16" t="n"/>
      <c r="AB61" s="16" t="n"/>
      <c r="AC61" s="16" t="n"/>
      <c r="AD61" s="16" t="n"/>
      <c r="AE61" s="7">
        <f>IF(B61="","",IF(AND(AA61="合格",AB61="合格",AC61="合格",AD61="合格"),"有效","无效"))</f>
        <v/>
      </c>
    </row>
    <row r="62">
      <c r="A62" s="7">
        <f>IF(B62="","",TEXT(B62,"yyyymmdd")&amp;"-"&amp;TEXT(ROW()-1,"000"))</f>
        <v/>
      </c>
      <c r="B62" s="8" t="n"/>
      <c r="C62" s="9" t="n"/>
      <c r="D62" s="9" t="n"/>
      <c r="E62" s="9" t="n"/>
      <c r="F62" s="9" t="n"/>
      <c r="G62" s="9" t="n"/>
      <c r="H62" s="9" t="n"/>
      <c r="I62" s="9" t="n"/>
      <c r="J62" s="10" t="n"/>
      <c r="K62" s="9" t="n"/>
      <c r="L62" s="9" t="n"/>
      <c r="M62" s="9" t="n"/>
      <c r="N62" s="10" t="n"/>
      <c r="O62" s="9" t="n"/>
      <c r="P62" s="10" t="n"/>
      <c r="Q62" s="10" t="n"/>
      <c r="R62" s="9" t="n"/>
      <c r="S62" s="10" t="n"/>
      <c r="T62" s="10" t="n"/>
      <c r="U62" s="11" t="n"/>
      <c r="V62" s="11" t="n"/>
      <c r="W62" s="12">
        <f>IF(B62="","",B62+3)</f>
        <v/>
      </c>
      <c r="X62" s="12">
        <f>IF(B62="","",B62+5)</f>
        <v/>
      </c>
      <c r="Y62" s="12">
        <f>IF(B62="","",B62+10)</f>
        <v/>
      </c>
      <c r="Z62" s="13">
        <f>IF(B62="","",(--(B62&lt;&gt;"")+--(C62&lt;&gt;"")+--(D62&lt;&gt;"")+--(E62&lt;&gt;"")+--(F62&lt;&gt;"")+--(G62&lt;&gt;"")+--(H62&lt;&gt;"")+--(I62&lt;&gt;"")+--(J62&lt;&gt;"")+--(K62&lt;&gt;"")+--(L62&lt;&gt;"")+--(M62&lt;&gt;"")+--(N62&lt;&gt;"")+--(O62&lt;&gt;"")+--(P62&lt;&gt;"")+--(Q62&lt;&gt;"")+--(R62&lt;&gt;"")+--(S62&lt;&gt;"")+--(T62&lt;&gt;""))/19)</f>
        <v/>
      </c>
      <c r="AA62" s="16" t="n"/>
      <c r="AB62" s="16" t="n"/>
      <c r="AC62" s="16" t="n"/>
      <c r="AD62" s="16" t="n"/>
      <c r="AE62" s="7">
        <f>IF(B62="","",IF(AND(AA62="合格",AB62="合格",AC62="合格",AD62="合格"),"有效","无效"))</f>
        <v/>
      </c>
    </row>
    <row r="63">
      <c r="A63" s="7">
        <f>IF(B63="","",TEXT(B63,"yyyymmdd")&amp;"-"&amp;TEXT(ROW()-1,"000"))</f>
        <v/>
      </c>
      <c r="B63" s="8" t="n"/>
      <c r="C63" s="9" t="n"/>
      <c r="D63" s="9" t="n"/>
      <c r="E63" s="9" t="n"/>
      <c r="F63" s="9" t="n"/>
      <c r="G63" s="9" t="n"/>
      <c r="H63" s="9" t="n"/>
      <c r="I63" s="9" t="n"/>
      <c r="J63" s="10" t="n"/>
      <c r="K63" s="9" t="n"/>
      <c r="L63" s="9" t="n"/>
      <c r="M63" s="9" t="n"/>
      <c r="N63" s="10" t="n"/>
      <c r="O63" s="9" t="n"/>
      <c r="P63" s="10" t="n"/>
      <c r="Q63" s="10" t="n"/>
      <c r="R63" s="9" t="n"/>
      <c r="S63" s="10" t="n"/>
      <c r="T63" s="10" t="n"/>
      <c r="U63" s="11" t="n"/>
      <c r="V63" s="11" t="n"/>
      <c r="W63" s="12">
        <f>IF(B63="","",B63+3)</f>
        <v/>
      </c>
      <c r="X63" s="12">
        <f>IF(B63="","",B63+5)</f>
        <v/>
      </c>
      <c r="Y63" s="12">
        <f>IF(B63="","",B63+10)</f>
        <v/>
      </c>
      <c r="Z63" s="13">
        <f>IF(B63="","",(--(B63&lt;&gt;"")+--(C63&lt;&gt;"")+--(D63&lt;&gt;"")+--(E63&lt;&gt;"")+--(F63&lt;&gt;"")+--(G63&lt;&gt;"")+--(H63&lt;&gt;"")+--(I63&lt;&gt;"")+--(J63&lt;&gt;"")+--(K63&lt;&gt;"")+--(L63&lt;&gt;"")+--(M63&lt;&gt;"")+--(N63&lt;&gt;"")+--(O63&lt;&gt;"")+--(P63&lt;&gt;"")+--(Q63&lt;&gt;"")+--(R63&lt;&gt;"")+--(S63&lt;&gt;"")+--(T63&lt;&gt;""))/19)</f>
        <v/>
      </c>
      <c r="AA63" s="16" t="n"/>
      <c r="AB63" s="16" t="n"/>
      <c r="AC63" s="16" t="n"/>
      <c r="AD63" s="16" t="n"/>
      <c r="AE63" s="7">
        <f>IF(B63="","",IF(AND(AA63="合格",AB63="合格",AC63="合格",AD63="合格"),"有效","无效"))</f>
        <v/>
      </c>
    </row>
    <row r="64">
      <c r="A64" s="7">
        <f>IF(B64="","",TEXT(B64,"yyyymmdd")&amp;"-"&amp;TEXT(ROW()-1,"000"))</f>
        <v/>
      </c>
      <c r="B64" s="8" t="n"/>
      <c r="C64" s="9" t="n"/>
      <c r="D64" s="9" t="n"/>
      <c r="E64" s="9" t="n"/>
      <c r="F64" s="9" t="n"/>
      <c r="G64" s="9" t="n"/>
      <c r="H64" s="9" t="n"/>
      <c r="I64" s="9" t="n"/>
      <c r="J64" s="10" t="n"/>
      <c r="K64" s="9" t="n"/>
      <c r="L64" s="9" t="n"/>
      <c r="M64" s="9" t="n"/>
      <c r="N64" s="10" t="n"/>
      <c r="O64" s="9" t="n"/>
      <c r="P64" s="10" t="n"/>
      <c r="Q64" s="10" t="n"/>
      <c r="R64" s="9" t="n"/>
      <c r="S64" s="10" t="n"/>
      <c r="T64" s="10" t="n"/>
      <c r="U64" s="11" t="n"/>
      <c r="V64" s="11" t="n"/>
      <c r="W64" s="12">
        <f>IF(B64="","",B64+3)</f>
        <v/>
      </c>
      <c r="X64" s="12">
        <f>IF(B64="","",B64+5)</f>
        <v/>
      </c>
      <c r="Y64" s="12">
        <f>IF(B64="","",B64+10)</f>
        <v/>
      </c>
      <c r="Z64" s="13">
        <f>IF(B64="","",(--(B64&lt;&gt;"")+--(C64&lt;&gt;"")+--(D64&lt;&gt;"")+--(E64&lt;&gt;"")+--(F64&lt;&gt;"")+--(G64&lt;&gt;"")+--(H64&lt;&gt;"")+--(I64&lt;&gt;"")+--(J64&lt;&gt;"")+--(K64&lt;&gt;"")+--(L64&lt;&gt;"")+--(M64&lt;&gt;"")+--(N64&lt;&gt;"")+--(O64&lt;&gt;"")+--(P64&lt;&gt;"")+--(Q64&lt;&gt;"")+--(R64&lt;&gt;"")+--(S64&lt;&gt;"")+--(T64&lt;&gt;""))/19)</f>
        <v/>
      </c>
      <c r="AA64" s="16" t="n"/>
      <c r="AB64" s="16" t="n"/>
      <c r="AC64" s="16" t="n"/>
      <c r="AD64" s="16" t="n"/>
      <c r="AE64" s="7">
        <f>IF(B64="","",IF(AND(AA64="合格",AB64="合格",AC64="合格",AD64="合格"),"有效","无效"))</f>
        <v/>
      </c>
    </row>
    <row r="65">
      <c r="A65" s="7">
        <f>IF(B65="","",TEXT(B65,"yyyymmdd")&amp;"-"&amp;TEXT(ROW()-1,"000"))</f>
        <v/>
      </c>
      <c r="B65" s="8" t="n"/>
      <c r="C65" s="9" t="n"/>
      <c r="D65" s="9" t="n"/>
      <c r="E65" s="9" t="n"/>
      <c r="F65" s="9" t="n"/>
      <c r="G65" s="9" t="n"/>
      <c r="H65" s="9" t="n"/>
      <c r="I65" s="9" t="n"/>
      <c r="J65" s="10" t="n"/>
      <c r="K65" s="9" t="n"/>
      <c r="L65" s="9" t="n"/>
      <c r="M65" s="9" t="n"/>
      <c r="N65" s="10" t="n"/>
      <c r="O65" s="9" t="n"/>
      <c r="P65" s="10" t="n"/>
      <c r="Q65" s="10" t="n"/>
      <c r="R65" s="9" t="n"/>
      <c r="S65" s="10" t="n"/>
      <c r="T65" s="10" t="n"/>
      <c r="U65" s="11" t="n"/>
      <c r="V65" s="11" t="n"/>
      <c r="W65" s="12">
        <f>IF(B65="","",B65+3)</f>
        <v/>
      </c>
      <c r="X65" s="12">
        <f>IF(B65="","",B65+5)</f>
        <v/>
      </c>
      <c r="Y65" s="12">
        <f>IF(B65="","",B65+10)</f>
        <v/>
      </c>
      <c r="Z65" s="13">
        <f>IF(B65="","",(--(B65&lt;&gt;"")+--(C65&lt;&gt;"")+--(D65&lt;&gt;"")+--(E65&lt;&gt;"")+--(F65&lt;&gt;"")+--(G65&lt;&gt;"")+--(H65&lt;&gt;"")+--(I65&lt;&gt;"")+--(J65&lt;&gt;"")+--(K65&lt;&gt;"")+--(L65&lt;&gt;"")+--(M65&lt;&gt;"")+--(N65&lt;&gt;"")+--(O65&lt;&gt;"")+--(P65&lt;&gt;"")+--(Q65&lt;&gt;"")+--(R65&lt;&gt;"")+--(S65&lt;&gt;"")+--(T65&lt;&gt;""))/19)</f>
        <v/>
      </c>
      <c r="AA65" s="16" t="n"/>
      <c r="AB65" s="16" t="n"/>
      <c r="AC65" s="16" t="n"/>
      <c r="AD65" s="16" t="n"/>
      <c r="AE65" s="7">
        <f>IF(B65="","",IF(AND(AA65="合格",AB65="合格",AC65="合格",AD65="合格"),"有效","无效"))</f>
        <v/>
      </c>
    </row>
    <row r="66">
      <c r="A66" s="7">
        <f>IF(B66="","",TEXT(B66,"yyyymmdd")&amp;"-"&amp;TEXT(ROW()-1,"000"))</f>
        <v/>
      </c>
      <c r="B66" s="8" t="n"/>
      <c r="C66" s="9" t="n"/>
      <c r="D66" s="9" t="n"/>
      <c r="E66" s="9" t="n"/>
      <c r="F66" s="9" t="n"/>
      <c r="G66" s="9" t="n"/>
      <c r="H66" s="9" t="n"/>
      <c r="I66" s="9" t="n"/>
      <c r="J66" s="10" t="n"/>
      <c r="K66" s="9" t="n"/>
      <c r="L66" s="9" t="n"/>
      <c r="M66" s="9" t="n"/>
      <c r="N66" s="10" t="n"/>
      <c r="O66" s="9" t="n"/>
      <c r="P66" s="10" t="n"/>
      <c r="Q66" s="10" t="n"/>
      <c r="R66" s="9" t="n"/>
      <c r="S66" s="10" t="n"/>
      <c r="T66" s="10" t="n"/>
      <c r="U66" s="11" t="n"/>
      <c r="V66" s="11" t="n"/>
      <c r="W66" s="12">
        <f>IF(B66="","",B66+3)</f>
        <v/>
      </c>
      <c r="X66" s="12">
        <f>IF(B66="","",B66+5)</f>
        <v/>
      </c>
      <c r="Y66" s="12">
        <f>IF(B66="","",B66+10)</f>
        <v/>
      </c>
      <c r="Z66" s="13">
        <f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6" t="n"/>
      <c r="AB66" s="16" t="n"/>
      <c r="AC66" s="16" t="n"/>
      <c r="AD66" s="16" t="n"/>
      <c r="AE66" s="7">
        <f>IF(B66="","",IF(AND(AA66="合格",AB66="合格",AC66="合格",AD66="合格"),"有效","无效"))</f>
        <v/>
      </c>
    </row>
    <row r="67">
      <c r="A67" s="7">
        <f>IF(B67="","",TEXT(B67,"yyyymmdd")&amp;"-"&amp;TEXT(ROW()-1,"000"))</f>
        <v/>
      </c>
      <c r="B67" s="8" t="n"/>
      <c r="C67" s="9" t="n"/>
      <c r="D67" s="9" t="n"/>
      <c r="E67" s="9" t="n"/>
      <c r="F67" s="9" t="n"/>
      <c r="G67" s="9" t="n"/>
      <c r="H67" s="9" t="n"/>
      <c r="I67" s="9" t="n"/>
      <c r="J67" s="10" t="n"/>
      <c r="K67" s="9" t="n"/>
      <c r="L67" s="9" t="n"/>
      <c r="M67" s="9" t="n"/>
      <c r="N67" s="10" t="n"/>
      <c r="O67" s="9" t="n"/>
      <c r="P67" s="10" t="n"/>
      <c r="Q67" s="10" t="n"/>
      <c r="R67" s="9" t="n"/>
      <c r="S67" s="10" t="n"/>
      <c r="T67" s="10" t="n"/>
      <c r="U67" s="11" t="n"/>
      <c r="V67" s="11" t="n"/>
      <c r="W67" s="12">
        <f>IF(B67="","",B67+3)</f>
        <v/>
      </c>
      <c r="X67" s="12">
        <f>IF(B67="","",B67+5)</f>
        <v/>
      </c>
      <c r="Y67" s="12">
        <f>IF(B67="","",B67+10)</f>
        <v/>
      </c>
      <c r="Z67" s="13">
        <f>IF(B67="","",(--(B67&lt;&gt;"")+--(C67&lt;&gt;"")+--(D67&lt;&gt;"")+--(E67&lt;&gt;"")+--(F67&lt;&gt;"")+--(G67&lt;&gt;"")+--(H67&lt;&gt;"")+--(I67&lt;&gt;"")+--(J67&lt;&gt;"")+--(K67&lt;&gt;"")+--(L67&lt;&gt;"")+--(M67&lt;&gt;"")+--(N67&lt;&gt;"")+--(O67&lt;&gt;"")+--(P67&lt;&gt;"")+--(Q67&lt;&gt;"")+--(R67&lt;&gt;"")+--(S67&lt;&gt;"")+--(T67&lt;&gt;""))/19)</f>
        <v/>
      </c>
      <c r="AA67" s="16" t="n"/>
      <c r="AB67" s="16" t="n"/>
      <c r="AC67" s="16" t="n"/>
      <c r="AD67" s="16" t="n"/>
      <c r="AE67" s="7">
        <f>IF(B67="","",IF(AND(AA67="合格",AB67="合格",AC67="合格",AD67="合格"),"有效","无效"))</f>
        <v/>
      </c>
    </row>
    <row r="68">
      <c r="A68" s="7">
        <f>IF(B68="","",TEXT(B68,"yyyymmdd")&amp;"-"&amp;TEXT(ROW()-1,"000"))</f>
        <v/>
      </c>
      <c r="B68" s="8" t="n"/>
      <c r="C68" s="9" t="n"/>
      <c r="D68" s="9" t="n"/>
      <c r="E68" s="9" t="n"/>
      <c r="F68" s="9" t="n"/>
      <c r="G68" s="9" t="n"/>
      <c r="H68" s="9" t="n"/>
      <c r="I68" s="9" t="n"/>
      <c r="J68" s="10" t="n"/>
      <c r="K68" s="9" t="n"/>
      <c r="L68" s="9" t="n"/>
      <c r="M68" s="9" t="n"/>
      <c r="N68" s="10" t="n"/>
      <c r="O68" s="9" t="n"/>
      <c r="P68" s="10" t="n"/>
      <c r="Q68" s="10" t="n"/>
      <c r="R68" s="9" t="n"/>
      <c r="S68" s="10" t="n"/>
      <c r="T68" s="10" t="n"/>
      <c r="U68" s="11" t="n"/>
      <c r="V68" s="11" t="n"/>
      <c r="W68" s="12">
        <f>IF(B68="","",B68+3)</f>
        <v/>
      </c>
      <c r="X68" s="12">
        <f>IF(B68="","",B68+5)</f>
        <v/>
      </c>
      <c r="Y68" s="12">
        <f>IF(B68="","",B68+10)</f>
        <v/>
      </c>
      <c r="Z68" s="13">
        <f>IF(B68="","",(--(B68&lt;&gt;"")+--(C68&lt;&gt;"")+--(D68&lt;&gt;"")+--(E68&lt;&gt;"")+--(F68&lt;&gt;"")+--(G68&lt;&gt;"")+--(H68&lt;&gt;"")+--(I68&lt;&gt;"")+--(J68&lt;&gt;"")+--(K68&lt;&gt;"")+--(L68&lt;&gt;"")+--(M68&lt;&gt;"")+--(N68&lt;&gt;"")+--(O68&lt;&gt;"")+--(P68&lt;&gt;"")+--(Q68&lt;&gt;"")+--(R68&lt;&gt;"")+--(S68&lt;&gt;"")+--(T68&lt;&gt;""))/19)</f>
        <v/>
      </c>
      <c r="AA68" s="16" t="n"/>
      <c r="AB68" s="16" t="n"/>
      <c r="AC68" s="16" t="n"/>
      <c r="AD68" s="16" t="n"/>
      <c r="AE68" s="7">
        <f>IF(B68="","",IF(AND(AA68="合格",AB68="合格",AC68="合格",AD68="合格"),"有效","无效"))</f>
        <v/>
      </c>
    </row>
    <row r="69">
      <c r="A69" s="7">
        <f>IF(B69="","",TEXT(B69,"yyyymmdd")&amp;"-"&amp;TEXT(ROW()-1,"000"))</f>
        <v/>
      </c>
      <c r="B69" s="8" t="n"/>
      <c r="C69" s="9" t="n"/>
      <c r="D69" s="9" t="n"/>
      <c r="E69" s="9" t="n"/>
      <c r="F69" s="9" t="n"/>
      <c r="G69" s="9" t="n"/>
      <c r="H69" s="9" t="n"/>
      <c r="I69" s="9" t="n"/>
      <c r="J69" s="10" t="n"/>
      <c r="K69" s="9" t="n"/>
      <c r="L69" s="9" t="n"/>
      <c r="M69" s="9" t="n"/>
      <c r="N69" s="10" t="n"/>
      <c r="O69" s="9" t="n"/>
      <c r="P69" s="10" t="n"/>
      <c r="Q69" s="10" t="n"/>
      <c r="R69" s="9" t="n"/>
      <c r="S69" s="10" t="n"/>
      <c r="T69" s="10" t="n"/>
      <c r="U69" s="11" t="n"/>
      <c r="V69" s="11" t="n"/>
      <c r="W69" s="12">
        <f>IF(B69="","",B69+3)</f>
        <v/>
      </c>
      <c r="X69" s="12">
        <f>IF(B69="","",B69+5)</f>
        <v/>
      </c>
      <c r="Y69" s="12">
        <f>IF(B69="","",B69+10)</f>
        <v/>
      </c>
      <c r="Z69" s="13">
        <f>IF(B69="","",(--(B69&lt;&gt;"")+--(C69&lt;&gt;"")+--(D69&lt;&gt;"")+--(E69&lt;&gt;"")+--(F69&lt;&gt;"")+--(G69&lt;&gt;"")+--(H69&lt;&gt;"")+--(I69&lt;&gt;"")+--(J69&lt;&gt;"")+--(K69&lt;&gt;"")+--(L69&lt;&gt;"")+--(M69&lt;&gt;"")+--(N69&lt;&gt;"")+--(O69&lt;&gt;"")+--(P69&lt;&gt;"")+--(Q69&lt;&gt;"")+--(R69&lt;&gt;"")+--(S69&lt;&gt;"")+--(T69&lt;&gt;""))/19)</f>
        <v/>
      </c>
      <c r="AA69" s="16" t="n"/>
      <c r="AB69" s="16" t="n"/>
      <c r="AC69" s="16" t="n"/>
      <c r="AD69" s="16" t="n"/>
      <c r="AE69" s="7">
        <f>IF(B69="","",IF(AND(AA69="合格",AB69="合格",AC69="合格",AD69="合格"),"有效","无效"))</f>
        <v/>
      </c>
    </row>
    <row r="70">
      <c r="A70" s="7">
        <f>IF(B70="","",TEXT(B70,"yyyymmdd")&amp;"-"&amp;TEXT(ROW()-1,"000"))</f>
        <v/>
      </c>
      <c r="B70" s="8" t="n"/>
      <c r="C70" s="9" t="n"/>
      <c r="D70" s="9" t="n"/>
      <c r="E70" s="9" t="n"/>
      <c r="F70" s="9" t="n"/>
      <c r="G70" s="9" t="n"/>
      <c r="H70" s="9" t="n"/>
      <c r="I70" s="9" t="n"/>
      <c r="J70" s="10" t="n"/>
      <c r="K70" s="9" t="n"/>
      <c r="L70" s="9" t="n"/>
      <c r="M70" s="9" t="n"/>
      <c r="N70" s="10" t="n"/>
      <c r="O70" s="9" t="n"/>
      <c r="P70" s="10" t="n"/>
      <c r="Q70" s="10" t="n"/>
      <c r="R70" s="9" t="n"/>
      <c r="S70" s="10" t="n"/>
      <c r="T70" s="10" t="n"/>
      <c r="U70" s="11" t="n"/>
      <c r="V70" s="11" t="n"/>
      <c r="W70" s="12">
        <f>IF(B70="","",B70+3)</f>
        <v/>
      </c>
      <c r="X70" s="12">
        <f>IF(B70="","",B70+5)</f>
        <v/>
      </c>
      <c r="Y70" s="12">
        <f>IF(B70="","",B70+10)</f>
        <v/>
      </c>
      <c r="Z70" s="13">
        <f>IF(B70="","",(--(B70&lt;&gt;"")+--(C70&lt;&gt;"")+--(D70&lt;&gt;"")+--(E70&lt;&gt;"")+--(F70&lt;&gt;"")+--(G70&lt;&gt;"")+--(H70&lt;&gt;"")+--(I70&lt;&gt;"")+--(J70&lt;&gt;"")+--(K70&lt;&gt;"")+--(L70&lt;&gt;"")+--(M70&lt;&gt;"")+--(N70&lt;&gt;"")+--(O70&lt;&gt;"")+--(P70&lt;&gt;"")+--(Q70&lt;&gt;"")+--(R70&lt;&gt;"")+--(S70&lt;&gt;"")+--(T70&lt;&gt;""))/19)</f>
        <v/>
      </c>
      <c r="AA70" s="16" t="n"/>
      <c r="AB70" s="16" t="n"/>
      <c r="AC70" s="16" t="n"/>
      <c r="AD70" s="16" t="n"/>
      <c r="AE70" s="7">
        <f>IF(B70="","",IF(AND(AA70="合格",AB70="合格",AC70="合格",AD70="合格"),"有效","无效"))</f>
        <v/>
      </c>
    </row>
    <row r="71">
      <c r="A71" s="7">
        <f>IF(B71="","",TEXT(B71,"yyyymmdd")&amp;"-"&amp;TEXT(ROW()-1,"000"))</f>
        <v/>
      </c>
      <c r="B71" s="8" t="n"/>
      <c r="C71" s="9" t="n"/>
      <c r="D71" s="9" t="n"/>
      <c r="E71" s="9" t="n"/>
      <c r="F71" s="9" t="n"/>
      <c r="G71" s="9" t="n"/>
      <c r="H71" s="9" t="n"/>
      <c r="I71" s="9" t="n"/>
      <c r="J71" s="10" t="n"/>
      <c r="K71" s="9" t="n"/>
      <c r="L71" s="9" t="n"/>
      <c r="M71" s="9" t="n"/>
      <c r="N71" s="10" t="n"/>
      <c r="O71" s="9" t="n"/>
      <c r="P71" s="10" t="n"/>
      <c r="Q71" s="10" t="n"/>
      <c r="R71" s="9" t="n"/>
      <c r="S71" s="10" t="n"/>
      <c r="T71" s="10" t="n"/>
      <c r="U71" s="11" t="n"/>
      <c r="V71" s="11" t="n"/>
      <c r="W71" s="12">
        <f>IF(B71="","",B71+3)</f>
        <v/>
      </c>
      <c r="X71" s="12">
        <f>IF(B71="","",B71+5)</f>
        <v/>
      </c>
      <c r="Y71" s="12">
        <f>IF(B71="","",B71+10)</f>
        <v/>
      </c>
      <c r="Z71" s="13">
        <f>IF(B71="","",(--(B71&lt;&gt;"")+--(C71&lt;&gt;"")+--(D71&lt;&gt;"")+--(E71&lt;&gt;"")+--(F71&lt;&gt;"")+--(G71&lt;&gt;"")+--(H71&lt;&gt;"")+--(I71&lt;&gt;"")+--(J71&lt;&gt;"")+--(K71&lt;&gt;"")+--(L71&lt;&gt;"")+--(M71&lt;&gt;"")+--(N71&lt;&gt;"")+--(O71&lt;&gt;"")+--(P71&lt;&gt;"")+--(Q71&lt;&gt;"")+--(R71&lt;&gt;"")+--(S71&lt;&gt;"")+--(T71&lt;&gt;""))/19)</f>
        <v/>
      </c>
      <c r="AA71" s="16" t="n"/>
      <c r="AB71" s="16" t="n"/>
      <c r="AC71" s="16" t="n"/>
      <c r="AD71" s="16" t="n"/>
      <c r="AE71" s="7">
        <f>IF(B71="","",IF(AND(AA71="合格",AB71="合格",AC71="合格",AD71="合格"),"有效","无效"))</f>
        <v/>
      </c>
    </row>
    <row r="72">
      <c r="A72" s="7">
        <f>IF(B72="","",TEXT(B72,"yyyymmdd")&amp;"-"&amp;TEXT(ROW()-1,"000"))</f>
        <v/>
      </c>
      <c r="B72" s="8" t="n"/>
      <c r="C72" s="9" t="n"/>
      <c r="D72" s="9" t="n"/>
      <c r="E72" s="9" t="n"/>
      <c r="F72" s="9" t="n"/>
      <c r="G72" s="9" t="n"/>
      <c r="H72" s="9" t="n"/>
      <c r="I72" s="9" t="n"/>
      <c r="J72" s="10" t="n"/>
      <c r="K72" s="9" t="n"/>
      <c r="L72" s="9" t="n"/>
      <c r="M72" s="9" t="n"/>
      <c r="N72" s="10" t="n"/>
      <c r="O72" s="9" t="n"/>
      <c r="P72" s="10" t="n"/>
      <c r="Q72" s="10" t="n"/>
      <c r="R72" s="9" t="n"/>
      <c r="S72" s="10" t="n"/>
      <c r="T72" s="10" t="n"/>
      <c r="U72" s="11" t="n"/>
      <c r="V72" s="11" t="n"/>
      <c r="W72" s="12">
        <f>IF(B72="","",B72+3)</f>
        <v/>
      </c>
      <c r="X72" s="12">
        <f>IF(B72="","",B72+5)</f>
        <v/>
      </c>
      <c r="Y72" s="12">
        <f>IF(B72="","",B72+10)</f>
        <v/>
      </c>
      <c r="Z72" s="13">
        <f>IF(B72="","",(--(B72&lt;&gt;"")+--(C72&lt;&gt;"")+--(D72&lt;&gt;"")+--(E72&lt;&gt;"")+--(F72&lt;&gt;"")+--(G72&lt;&gt;"")+--(H72&lt;&gt;"")+--(I72&lt;&gt;"")+--(J72&lt;&gt;"")+--(K72&lt;&gt;"")+--(L72&lt;&gt;"")+--(M72&lt;&gt;"")+--(N72&lt;&gt;"")+--(O72&lt;&gt;"")+--(P72&lt;&gt;"")+--(Q72&lt;&gt;"")+--(R72&lt;&gt;"")+--(S72&lt;&gt;"")+--(T72&lt;&gt;""))/19)</f>
        <v/>
      </c>
      <c r="AA72" s="16" t="n"/>
      <c r="AB72" s="16" t="n"/>
      <c r="AC72" s="16" t="n"/>
      <c r="AD72" s="16" t="n"/>
      <c r="AE72" s="7">
        <f>IF(B72="","",IF(AND(AA72="合格",AB72="合格",AC72="合格",AD72="合格"),"有效","无效"))</f>
        <v/>
      </c>
    </row>
    <row r="73">
      <c r="A73" s="7">
        <f>IF(B73="","",TEXT(B73,"yyyymmdd")&amp;"-"&amp;TEXT(ROW()-1,"000"))</f>
        <v/>
      </c>
      <c r="B73" s="8" t="n"/>
      <c r="C73" s="9" t="n"/>
      <c r="D73" s="9" t="n"/>
      <c r="E73" s="9" t="n"/>
      <c r="F73" s="9" t="n"/>
      <c r="G73" s="9" t="n"/>
      <c r="H73" s="9" t="n"/>
      <c r="I73" s="9" t="n"/>
      <c r="J73" s="10" t="n"/>
      <c r="K73" s="9" t="n"/>
      <c r="L73" s="9" t="n"/>
      <c r="M73" s="9" t="n"/>
      <c r="N73" s="10" t="n"/>
      <c r="O73" s="9" t="n"/>
      <c r="P73" s="10" t="n"/>
      <c r="Q73" s="10" t="n"/>
      <c r="R73" s="9" t="n"/>
      <c r="S73" s="10" t="n"/>
      <c r="T73" s="10" t="n"/>
      <c r="U73" s="11" t="n"/>
      <c r="V73" s="11" t="n"/>
      <c r="W73" s="12">
        <f>IF(B73="","",B73+3)</f>
        <v/>
      </c>
      <c r="X73" s="12">
        <f>IF(B73="","",B73+5)</f>
        <v/>
      </c>
      <c r="Y73" s="12">
        <f>IF(B73="","",B73+10)</f>
        <v/>
      </c>
      <c r="Z73" s="13">
        <f>IF(B73="","",(--(B73&lt;&gt;"")+--(C73&lt;&gt;"")+--(D73&lt;&gt;"")+--(E73&lt;&gt;"")+--(F73&lt;&gt;"")+--(G73&lt;&gt;"")+--(H73&lt;&gt;"")+--(I73&lt;&gt;"")+--(J73&lt;&gt;"")+--(K73&lt;&gt;"")+--(L73&lt;&gt;"")+--(M73&lt;&gt;"")+--(N73&lt;&gt;"")+--(O73&lt;&gt;"")+--(P73&lt;&gt;"")+--(Q73&lt;&gt;"")+--(R73&lt;&gt;"")+--(S73&lt;&gt;"")+--(T73&lt;&gt;""))/19)</f>
        <v/>
      </c>
      <c r="AA73" s="16" t="n"/>
      <c r="AB73" s="16" t="n"/>
      <c r="AC73" s="16" t="n"/>
      <c r="AD73" s="16" t="n"/>
      <c r="AE73" s="7">
        <f>IF(B73="","",IF(AND(AA73="合格",AB73="合格",AC73="合格",AD73="合格"),"有效","无效"))</f>
        <v/>
      </c>
    </row>
    <row r="74">
      <c r="A74" s="7">
        <f>IF(B74="","",TEXT(B74,"yyyymmdd")&amp;"-"&amp;TEXT(ROW()-1,"000"))</f>
        <v/>
      </c>
      <c r="B74" s="8" t="n"/>
      <c r="C74" s="9" t="n"/>
      <c r="D74" s="9" t="n"/>
      <c r="E74" s="9" t="n"/>
      <c r="F74" s="9" t="n"/>
      <c r="G74" s="9" t="n"/>
      <c r="H74" s="9" t="n"/>
      <c r="I74" s="9" t="n"/>
      <c r="J74" s="10" t="n"/>
      <c r="K74" s="9" t="n"/>
      <c r="L74" s="9" t="n"/>
      <c r="M74" s="9" t="n"/>
      <c r="N74" s="10" t="n"/>
      <c r="O74" s="9" t="n"/>
      <c r="P74" s="10" t="n"/>
      <c r="Q74" s="10" t="n"/>
      <c r="R74" s="9" t="n"/>
      <c r="S74" s="10" t="n"/>
      <c r="T74" s="10" t="n"/>
      <c r="U74" s="11" t="n"/>
      <c r="V74" s="11" t="n"/>
      <c r="W74" s="12">
        <f>IF(B74="","",B74+3)</f>
        <v/>
      </c>
      <c r="X74" s="12">
        <f>IF(B74="","",B74+5)</f>
        <v/>
      </c>
      <c r="Y74" s="12">
        <f>IF(B74="","",B74+10)</f>
        <v/>
      </c>
      <c r="Z74" s="13">
        <f>IF(B74="","",(--(B74&lt;&gt;"")+--(C74&lt;&gt;"")+--(D74&lt;&gt;"")+--(E74&lt;&gt;"")+--(F74&lt;&gt;"")+--(G74&lt;&gt;"")+--(H74&lt;&gt;"")+--(I74&lt;&gt;"")+--(J74&lt;&gt;"")+--(K74&lt;&gt;"")+--(L74&lt;&gt;"")+--(M74&lt;&gt;"")+--(N74&lt;&gt;"")+--(O74&lt;&gt;"")+--(P74&lt;&gt;"")+--(Q74&lt;&gt;"")+--(R74&lt;&gt;"")+--(S74&lt;&gt;"")+--(T74&lt;&gt;""))/19)</f>
        <v/>
      </c>
      <c r="AA74" s="16" t="n"/>
      <c r="AB74" s="16" t="n"/>
      <c r="AC74" s="16" t="n"/>
      <c r="AD74" s="16" t="n"/>
      <c r="AE74" s="7">
        <f>IF(B74="","",IF(AND(AA74="合格",AB74="合格",AC74="合格",AD74="合格"),"有效","无效"))</f>
        <v/>
      </c>
    </row>
    <row r="75">
      <c r="A75" s="7">
        <f>IF(B75="","",TEXT(B75,"yyyymmdd")&amp;"-"&amp;TEXT(ROW()-1,"000"))</f>
        <v/>
      </c>
      <c r="B75" s="8" t="n"/>
      <c r="C75" s="9" t="n"/>
      <c r="D75" s="9" t="n"/>
      <c r="E75" s="9" t="n"/>
      <c r="F75" s="9" t="n"/>
      <c r="G75" s="9" t="n"/>
      <c r="H75" s="9" t="n"/>
      <c r="I75" s="9" t="n"/>
      <c r="J75" s="10" t="n"/>
      <c r="K75" s="9" t="n"/>
      <c r="L75" s="9" t="n"/>
      <c r="M75" s="9" t="n"/>
      <c r="N75" s="10" t="n"/>
      <c r="O75" s="9" t="n"/>
      <c r="P75" s="10" t="n"/>
      <c r="Q75" s="10" t="n"/>
      <c r="R75" s="9" t="n"/>
      <c r="S75" s="10" t="n"/>
      <c r="T75" s="10" t="n"/>
      <c r="U75" s="11" t="n"/>
      <c r="V75" s="11" t="n"/>
      <c r="W75" s="12">
        <f>IF(B75="","",B75+3)</f>
        <v/>
      </c>
      <c r="X75" s="12">
        <f>IF(B75="","",B75+5)</f>
        <v/>
      </c>
      <c r="Y75" s="12">
        <f>IF(B75="","",B75+10)</f>
        <v/>
      </c>
      <c r="Z75" s="13">
        <f>IF(B75="","",(--(B75&lt;&gt;"")+--(C75&lt;&gt;"")+--(D75&lt;&gt;"")+--(E75&lt;&gt;"")+--(F75&lt;&gt;"")+--(G75&lt;&gt;"")+--(H75&lt;&gt;"")+--(I75&lt;&gt;"")+--(J75&lt;&gt;"")+--(K75&lt;&gt;"")+--(L75&lt;&gt;"")+--(M75&lt;&gt;"")+--(N75&lt;&gt;"")+--(O75&lt;&gt;"")+--(P75&lt;&gt;"")+--(Q75&lt;&gt;"")+--(R75&lt;&gt;"")+--(S75&lt;&gt;"")+--(T75&lt;&gt;""))/19)</f>
        <v/>
      </c>
      <c r="AA75" s="16" t="n"/>
      <c r="AB75" s="16" t="n"/>
      <c r="AC75" s="16" t="n"/>
      <c r="AD75" s="16" t="n"/>
      <c r="AE75" s="7">
        <f>IF(B75="","",IF(AND(AA75="合格",AB75="合格",AC75="合格",AD75="合格"),"有效","无效"))</f>
        <v/>
      </c>
    </row>
    <row r="76">
      <c r="A76" s="7">
        <f>IF(B76="","",TEXT(B76,"yyyymmdd")&amp;"-"&amp;TEXT(ROW()-1,"000"))</f>
        <v/>
      </c>
      <c r="B76" s="8" t="n"/>
      <c r="C76" s="9" t="n"/>
      <c r="D76" s="9" t="n"/>
      <c r="E76" s="9" t="n"/>
      <c r="F76" s="9" t="n"/>
      <c r="G76" s="9" t="n"/>
      <c r="H76" s="9" t="n"/>
      <c r="I76" s="9" t="n"/>
      <c r="J76" s="10" t="n"/>
      <c r="K76" s="9" t="n"/>
      <c r="L76" s="9" t="n"/>
      <c r="M76" s="9" t="n"/>
      <c r="N76" s="10" t="n"/>
      <c r="O76" s="9" t="n"/>
      <c r="P76" s="10" t="n"/>
      <c r="Q76" s="10" t="n"/>
      <c r="R76" s="9" t="n"/>
      <c r="S76" s="10" t="n"/>
      <c r="T76" s="10" t="n"/>
      <c r="U76" s="11" t="n"/>
      <c r="V76" s="11" t="n"/>
      <c r="W76" s="12">
        <f>IF(B76="","",B76+3)</f>
        <v/>
      </c>
      <c r="X76" s="12">
        <f>IF(B76="","",B76+5)</f>
        <v/>
      </c>
      <c r="Y76" s="12">
        <f>IF(B76="","",B76+10)</f>
        <v/>
      </c>
      <c r="Z76" s="13">
        <f>IF(B76="","",(--(B76&lt;&gt;"")+--(C76&lt;&gt;"")+--(D76&lt;&gt;"")+--(E76&lt;&gt;"")+--(F76&lt;&gt;"")+--(G76&lt;&gt;"")+--(H76&lt;&gt;"")+--(I76&lt;&gt;"")+--(J76&lt;&gt;"")+--(K76&lt;&gt;"")+--(L76&lt;&gt;"")+--(M76&lt;&gt;"")+--(N76&lt;&gt;"")+--(O76&lt;&gt;"")+--(P76&lt;&gt;"")+--(Q76&lt;&gt;"")+--(R76&lt;&gt;"")+--(S76&lt;&gt;"")+--(T76&lt;&gt;""))/19)</f>
        <v/>
      </c>
      <c r="AA76" s="16" t="n"/>
      <c r="AB76" s="16" t="n"/>
      <c r="AC76" s="16" t="n"/>
      <c r="AD76" s="16" t="n"/>
      <c r="AE76" s="7">
        <f>IF(B76="","",IF(AND(AA76="合格",AB76="合格",AC76="合格",AD76="合格"),"有效","无效"))</f>
        <v/>
      </c>
    </row>
    <row r="77">
      <c r="A77" s="7">
        <f>IF(B77="","",TEXT(B77,"yyyymmdd")&amp;"-"&amp;TEXT(ROW()-1,"000"))</f>
        <v/>
      </c>
      <c r="B77" s="8" t="n"/>
      <c r="C77" s="9" t="n"/>
      <c r="D77" s="9" t="n"/>
      <c r="E77" s="9" t="n"/>
      <c r="F77" s="9" t="n"/>
      <c r="G77" s="9" t="n"/>
      <c r="H77" s="9" t="n"/>
      <c r="I77" s="9" t="n"/>
      <c r="J77" s="10" t="n"/>
      <c r="K77" s="9" t="n"/>
      <c r="L77" s="9" t="n"/>
      <c r="M77" s="9" t="n"/>
      <c r="N77" s="10" t="n"/>
      <c r="O77" s="9" t="n"/>
      <c r="P77" s="10" t="n"/>
      <c r="Q77" s="10" t="n"/>
      <c r="R77" s="9" t="n"/>
      <c r="S77" s="10" t="n"/>
      <c r="T77" s="10" t="n"/>
      <c r="U77" s="11" t="n"/>
      <c r="V77" s="11" t="n"/>
      <c r="W77" s="12">
        <f>IF(B77="","",B77+3)</f>
        <v/>
      </c>
      <c r="X77" s="12">
        <f>IF(B77="","",B77+5)</f>
        <v/>
      </c>
      <c r="Y77" s="12">
        <f>IF(B77="","",B77+10)</f>
        <v/>
      </c>
      <c r="Z77" s="13">
        <f>IF(B77="","",(--(B77&lt;&gt;"")+--(C77&lt;&gt;"")+--(D77&lt;&gt;"")+--(E77&lt;&gt;"")+--(F77&lt;&gt;"")+--(G77&lt;&gt;"")+--(H77&lt;&gt;"")+--(I77&lt;&gt;"")+--(J77&lt;&gt;"")+--(K77&lt;&gt;"")+--(L77&lt;&gt;"")+--(M77&lt;&gt;"")+--(N77&lt;&gt;"")+--(O77&lt;&gt;"")+--(P77&lt;&gt;"")+--(Q77&lt;&gt;"")+--(R77&lt;&gt;"")+--(S77&lt;&gt;"")+--(T77&lt;&gt;""))/19)</f>
        <v/>
      </c>
      <c r="AA77" s="16" t="n"/>
      <c r="AB77" s="16" t="n"/>
      <c r="AC77" s="16" t="n"/>
      <c r="AD77" s="16" t="n"/>
      <c r="AE77" s="7">
        <f>IF(B77="","",IF(AND(AA77="合格",AB77="合格",AC77="合格",AD77="合格"),"有效","无效"))</f>
        <v/>
      </c>
    </row>
    <row r="78">
      <c r="A78" s="7">
        <f>IF(B78="","",TEXT(B78,"yyyymmdd")&amp;"-"&amp;TEXT(ROW()-1,"000"))</f>
        <v/>
      </c>
      <c r="B78" s="8" t="n"/>
      <c r="C78" s="9" t="n"/>
      <c r="D78" s="9" t="n"/>
      <c r="E78" s="9" t="n"/>
      <c r="F78" s="9" t="n"/>
      <c r="G78" s="9" t="n"/>
      <c r="H78" s="9" t="n"/>
      <c r="I78" s="9" t="n"/>
      <c r="J78" s="10" t="n"/>
      <c r="K78" s="9" t="n"/>
      <c r="L78" s="9" t="n"/>
      <c r="M78" s="9" t="n"/>
      <c r="N78" s="10" t="n"/>
      <c r="O78" s="9" t="n"/>
      <c r="P78" s="10" t="n"/>
      <c r="Q78" s="10" t="n"/>
      <c r="R78" s="9" t="n"/>
      <c r="S78" s="10" t="n"/>
      <c r="T78" s="10" t="n"/>
      <c r="U78" s="11" t="n"/>
      <c r="V78" s="11" t="n"/>
      <c r="W78" s="12">
        <f>IF(B78="","",B78+3)</f>
        <v/>
      </c>
      <c r="X78" s="12">
        <f>IF(B78="","",B78+5)</f>
        <v/>
      </c>
      <c r="Y78" s="12">
        <f>IF(B78="","",B78+10)</f>
        <v/>
      </c>
      <c r="Z78" s="13">
        <f>IF(B78="","",(--(B78&lt;&gt;"")+--(C78&lt;&gt;"")+--(D78&lt;&gt;"")+--(E78&lt;&gt;"")+--(F78&lt;&gt;"")+--(G78&lt;&gt;"")+--(H78&lt;&gt;"")+--(I78&lt;&gt;"")+--(J78&lt;&gt;"")+--(K78&lt;&gt;"")+--(L78&lt;&gt;"")+--(M78&lt;&gt;"")+--(N78&lt;&gt;"")+--(O78&lt;&gt;"")+--(P78&lt;&gt;"")+--(Q78&lt;&gt;"")+--(R78&lt;&gt;"")+--(S78&lt;&gt;"")+--(T78&lt;&gt;""))/19)</f>
        <v/>
      </c>
      <c r="AA78" s="16" t="n"/>
      <c r="AB78" s="16" t="n"/>
      <c r="AC78" s="16" t="n"/>
      <c r="AD78" s="16" t="n"/>
      <c r="AE78" s="7">
        <f>IF(B78="","",IF(AND(AA78="合格",AB78="合格",AC78="合格",AD78="合格"),"有效","无效"))</f>
        <v/>
      </c>
    </row>
    <row r="79">
      <c r="A79" s="7">
        <f>IF(B79="","",TEXT(B79,"yyyymmdd")&amp;"-"&amp;TEXT(ROW()-1,"000"))</f>
        <v/>
      </c>
      <c r="B79" s="8" t="n"/>
      <c r="C79" s="9" t="n"/>
      <c r="D79" s="9" t="n"/>
      <c r="E79" s="9" t="n"/>
      <c r="F79" s="9" t="n"/>
      <c r="G79" s="9" t="n"/>
      <c r="H79" s="9" t="n"/>
      <c r="I79" s="9" t="n"/>
      <c r="J79" s="10" t="n"/>
      <c r="K79" s="9" t="n"/>
      <c r="L79" s="9" t="n"/>
      <c r="M79" s="9" t="n"/>
      <c r="N79" s="10" t="n"/>
      <c r="O79" s="9" t="n"/>
      <c r="P79" s="10" t="n"/>
      <c r="Q79" s="10" t="n"/>
      <c r="R79" s="9" t="n"/>
      <c r="S79" s="10" t="n"/>
      <c r="T79" s="10" t="n"/>
      <c r="U79" s="11" t="n"/>
      <c r="V79" s="11" t="n"/>
      <c r="W79" s="12">
        <f>IF(B79="","",B79+3)</f>
        <v/>
      </c>
      <c r="X79" s="12">
        <f>IF(B79="","",B79+5)</f>
        <v/>
      </c>
      <c r="Y79" s="12">
        <f>IF(B79="","",B79+10)</f>
        <v/>
      </c>
      <c r="Z79" s="13">
        <f>IF(B79="","",(--(B79&lt;&gt;"")+--(C79&lt;&gt;"")+--(D79&lt;&gt;"")+--(E79&lt;&gt;"")+--(F79&lt;&gt;"")+--(G79&lt;&gt;"")+--(H79&lt;&gt;"")+--(I79&lt;&gt;"")+--(J79&lt;&gt;"")+--(K79&lt;&gt;"")+--(L79&lt;&gt;"")+--(M79&lt;&gt;"")+--(N79&lt;&gt;"")+--(O79&lt;&gt;"")+--(P79&lt;&gt;"")+--(Q79&lt;&gt;"")+--(R79&lt;&gt;"")+--(S79&lt;&gt;"")+--(T79&lt;&gt;""))/19)</f>
        <v/>
      </c>
      <c r="AA79" s="16" t="n"/>
      <c r="AB79" s="16" t="n"/>
      <c r="AC79" s="16" t="n"/>
      <c r="AD79" s="16" t="n"/>
      <c r="AE79" s="7">
        <f>IF(B79="","",IF(AND(AA79="合格",AB79="合格",AC79="合格",AD79="合格"),"有效","无效"))</f>
        <v/>
      </c>
    </row>
    <row r="80">
      <c r="A80" s="7">
        <f>IF(B80="","",TEXT(B80,"yyyymmdd")&amp;"-"&amp;TEXT(ROW()-1,"000"))</f>
        <v/>
      </c>
      <c r="B80" s="8" t="n"/>
      <c r="C80" s="9" t="n"/>
      <c r="D80" s="9" t="n"/>
      <c r="E80" s="9" t="n"/>
      <c r="F80" s="9" t="n"/>
      <c r="G80" s="9" t="n"/>
      <c r="H80" s="9" t="n"/>
      <c r="I80" s="9" t="n"/>
      <c r="J80" s="10" t="n"/>
      <c r="K80" s="9" t="n"/>
      <c r="L80" s="9" t="n"/>
      <c r="M80" s="9" t="n"/>
      <c r="N80" s="10" t="n"/>
      <c r="O80" s="9" t="n"/>
      <c r="P80" s="10" t="n"/>
      <c r="Q80" s="10" t="n"/>
      <c r="R80" s="9" t="n"/>
      <c r="S80" s="10" t="n"/>
      <c r="T80" s="10" t="n"/>
      <c r="U80" s="11" t="n"/>
      <c r="V80" s="11" t="n"/>
      <c r="W80" s="12">
        <f>IF(B80="","",B80+3)</f>
        <v/>
      </c>
      <c r="X80" s="12">
        <f>IF(B80="","",B80+5)</f>
        <v/>
      </c>
      <c r="Y80" s="12">
        <f>IF(B80="","",B80+10)</f>
        <v/>
      </c>
      <c r="Z80" s="13">
        <f>IF(B80="","",(--(B80&lt;&gt;"")+--(C80&lt;&gt;"")+--(D80&lt;&gt;"")+--(E80&lt;&gt;"")+--(F80&lt;&gt;"")+--(G80&lt;&gt;"")+--(H80&lt;&gt;"")+--(I80&lt;&gt;"")+--(J80&lt;&gt;"")+--(K80&lt;&gt;"")+--(L80&lt;&gt;"")+--(M80&lt;&gt;"")+--(N80&lt;&gt;"")+--(O80&lt;&gt;"")+--(P80&lt;&gt;"")+--(Q80&lt;&gt;"")+--(R80&lt;&gt;"")+--(S80&lt;&gt;"")+--(T80&lt;&gt;""))/19)</f>
        <v/>
      </c>
      <c r="AA80" s="16" t="n"/>
      <c r="AB80" s="16" t="n"/>
      <c r="AC80" s="16" t="n"/>
      <c r="AD80" s="16" t="n"/>
      <c r="AE80" s="7">
        <f>IF(B80="","",IF(AND(AA80="合格",AB80="合格",AC80="合格",AD80="合格"),"有效","无效"))</f>
        <v/>
      </c>
    </row>
    <row r="81">
      <c r="A81" s="7">
        <f>IF(B81="","",TEXT(B81,"yyyymmdd")&amp;"-"&amp;TEXT(ROW()-1,"000"))</f>
        <v/>
      </c>
      <c r="B81" s="8" t="n"/>
      <c r="C81" s="9" t="n"/>
      <c r="D81" s="9" t="n"/>
      <c r="E81" s="9" t="n"/>
      <c r="F81" s="9" t="n"/>
      <c r="G81" s="9" t="n"/>
      <c r="H81" s="9" t="n"/>
      <c r="I81" s="9" t="n"/>
      <c r="J81" s="10" t="n"/>
      <c r="K81" s="9" t="n"/>
      <c r="L81" s="9" t="n"/>
      <c r="M81" s="9" t="n"/>
      <c r="N81" s="10" t="n"/>
      <c r="O81" s="9" t="n"/>
      <c r="P81" s="10" t="n"/>
      <c r="Q81" s="10" t="n"/>
      <c r="R81" s="9" t="n"/>
      <c r="S81" s="10" t="n"/>
      <c r="T81" s="10" t="n"/>
      <c r="U81" s="11" t="n"/>
      <c r="V81" s="11" t="n"/>
      <c r="W81" s="12">
        <f>IF(B81="","",B81+3)</f>
        <v/>
      </c>
      <c r="X81" s="12">
        <f>IF(B81="","",B81+5)</f>
        <v/>
      </c>
      <c r="Y81" s="12">
        <f>IF(B81="","",B81+10)</f>
        <v/>
      </c>
      <c r="Z81" s="13">
        <f>IF(B81="","",(--(B81&lt;&gt;"")+--(C81&lt;&gt;"")+--(D81&lt;&gt;"")+--(E81&lt;&gt;"")+--(F81&lt;&gt;"")+--(G81&lt;&gt;"")+--(H81&lt;&gt;"")+--(I81&lt;&gt;"")+--(J81&lt;&gt;"")+--(K81&lt;&gt;"")+--(L81&lt;&gt;"")+--(M81&lt;&gt;"")+--(N81&lt;&gt;"")+--(O81&lt;&gt;"")+--(P81&lt;&gt;"")+--(Q81&lt;&gt;"")+--(R81&lt;&gt;"")+--(S81&lt;&gt;"")+--(T81&lt;&gt;""))/19)</f>
        <v/>
      </c>
      <c r="AA81" s="16" t="n"/>
      <c r="AB81" s="16" t="n"/>
      <c r="AC81" s="16" t="n"/>
      <c r="AD81" s="16" t="n"/>
      <c r="AE81" s="7">
        <f>IF(B81="","",IF(AND(AA81="合格",AB81="合格",AC81="合格",AD81="合格"),"有效","无效"))</f>
        <v/>
      </c>
    </row>
    <row r="82">
      <c r="A82" s="7">
        <f>IF(B82="","",TEXT(B82,"yyyymmdd")&amp;"-"&amp;TEXT(ROW()-1,"000"))</f>
        <v/>
      </c>
      <c r="B82" s="8" t="n"/>
      <c r="C82" s="9" t="n"/>
      <c r="D82" s="9" t="n"/>
      <c r="E82" s="9" t="n"/>
      <c r="F82" s="9" t="n"/>
      <c r="G82" s="9" t="n"/>
      <c r="H82" s="9" t="n"/>
      <c r="I82" s="9" t="n"/>
      <c r="J82" s="10" t="n"/>
      <c r="K82" s="9" t="n"/>
      <c r="L82" s="9" t="n"/>
      <c r="M82" s="9" t="n"/>
      <c r="N82" s="10" t="n"/>
      <c r="O82" s="9" t="n"/>
      <c r="P82" s="10" t="n"/>
      <c r="Q82" s="10" t="n"/>
      <c r="R82" s="9" t="n"/>
      <c r="S82" s="10" t="n"/>
      <c r="T82" s="10" t="n"/>
      <c r="U82" s="11" t="n"/>
      <c r="V82" s="11" t="n"/>
      <c r="W82" s="12">
        <f>IF(B82="","",B82+3)</f>
        <v/>
      </c>
      <c r="X82" s="12">
        <f>IF(B82="","",B82+5)</f>
        <v/>
      </c>
      <c r="Y82" s="12">
        <f>IF(B82="","",B82+10)</f>
        <v/>
      </c>
      <c r="Z82" s="13">
        <f>IF(B82="","",(--(B82&lt;&gt;"")+--(C82&lt;&gt;"")+--(D82&lt;&gt;"")+--(E82&lt;&gt;"")+--(F82&lt;&gt;"")+--(G82&lt;&gt;"")+--(H82&lt;&gt;"")+--(I82&lt;&gt;"")+--(J82&lt;&gt;"")+--(K82&lt;&gt;"")+--(L82&lt;&gt;"")+--(M82&lt;&gt;"")+--(N82&lt;&gt;"")+--(O82&lt;&gt;"")+--(P82&lt;&gt;"")+--(Q82&lt;&gt;"")+--(R82&lt;&gt;"")+--(S82&lt;&gt;"")+--(T82&lt;&gt;""))/19)</f>
        <v/>
      </c>
      <c r="AA82" s="16" t="n"/>
      <c r="AB82" s="16" t="n"/>
      <c r="AC82" s="16" t="n"/>
      <c r="AD82" s="16" t="n"/>
      <c r="AE82" s="7">
        <f>IF(B82="","",IF(AND(AA82="合格",AB82="合格",AC82="合格",AD82="合格"),"有效","无效"))</f>
        <v/>
      </c>
    </row>
    <row r="83">
      <c r="A83" s="7">
        <f>IF(B83="","",TEXT(B83,"yyyymmdd")&amp;"-"&amp;TEXT(ROW()-1,"000"))</f>
        <v/>
      </c>
      <c r="B83" s="8" t="n"/>
      <c r="C83" s="9" t="n"/>
      <c r="D83" s="9" t="n"/>
      <c r="E83" s="9" t="n"/>
      <c r="F83" s="9" t="n"/>
      <c r="G83" s="9" t="n"/>
      <c r="H83" s="9" t="n"/>
      <c r="I83" s="9" t="n"/>
      <c r="J83" s="10" t="n"/>
      <c r="K83" s="9" t="n"/>
      <c r="L83" s="9" t="n"/>
      <c r="M83" s="9" t="n"/>
      <c r="N83" s="10" t="n"/>
      <c r="O83" s="9" t="n"/>
      <c r="P83" s="10" t="n"/>
      <c r="Q83" s="10" t="n"/>
      <c r="R83" s="9" t="n"/>
      <c r="S83" s="10" t="n"/>
      <c r="T83" s="10" t="n"/>
      <c r="U83" s="11" t="n"/>
      <c r="V83" s="11" t="n"/>
      <c r="W83" s="12">
        <f>IF(B83="","",B83+3)</f>
        <v/>
      </c>
      <c r="X83" s="12">
        <f>IF(B83="","",B83+5)</f>
        <v/>
      </c>
      <c r="Y83" s="12">
        <f>IF(B83="","",B83+10)</f>
        <v/>
      </c>
      <c r="Z83" s="13">
        <f>IF(B83="","",(--(B83&lt;&gt;"")+--(C83&lt;&gt;"")+--(D83&lt;&gt;"")+--(E83&lt;&gt;"")+--(F83&lt;&gt;"")+--(G83&lt;&gt;"")+--(H83&lt;&gt;"")+--(I83&lt;&gt;"")+--(J83&lt;&gt;"")+--(K83&lt;&gt;"")+--(L83&lt;&gt;"")+--(M83&lt;&gt;"")+--(N83&lt;&gt;"")+--(O83&lt;&gt;"")+--(P83&lt;&gt;"")+--(Q83&lt;&gt;"")+--(R83&lt;&gt;"")+--(S83&lt;&gt;"")+--(T83&lt;&gt;""))/19)</f>
        <v/>
      </c>
      <c r="AA83" s="16" t="n"/>
      <c r="AB83" s="16" t="n"/>
      <c r="AC83" s="16" t="n"/>
      <c r="AD83" s="16" t="n"/>
      <c r="AE83" s="7">
        <f>IF(B83="","",IF(AND(AA83="合格",AB83="合格",AC83="合格",AD83="合格"),"有效","无效"))</f>
        <v/>
      </c>
    </row>
    <row r="84">
      <c r="A84" s="7">
        <f>IF(B84="","",TEXT(B84,"yyyymmdd")&amp;"-"&amp;TEXT(ROW()-1,"000"))</f>
        <v/>
      </c>
      <c r="B84" s="8" t="n"/>
      <c r="C84" s="9" t="n"/>
      <c r="D84" s="9" t="n"/>
      <c r="E84" s="9" t="n"/>
      <c r="F84" s="9" t="n"/>
      <c r="G84" s="9" t="n"/>
      <c r="H84" s="9" t="n"/>
      <c r="I84" s="9" t="n"/>
      <c r="J84" s="10" t="n"/>
      <c r="K84" s="9" t="n"/>
      <c r="L84" s="9" t="n"/>
      <c r="M84" s="9" t="n"/>
      <c r="N84" s="10" t="n"/>
      <c r="O84" s="9" t="n"/>
      <c r="P84" s="10" t="n"/>
      <c r="Q84" s="10" t="n"/>
      <c r="R84" s="9" t="n"/>
      <c r="S84" s="10" t="n"/>
      <c r="T84" s="10" t="n"/>
      <c r="U84" s="11" t="n"/>
      <c r="V84" s="11" t="n"/>
      <c r="W84" s="12">
        <f>IF(B84="","",B84+3)</f>
        <v/>
      </c>
      <c r="X84" s="12">
        <f>IF(B84="","",B84+5)</f>
        <v/>
      </c>
      <c r="Y84" s="12">
        <f>IF(B84="","",B84+10)</f>
        <v/>
      </c>
      <c r="Z84" s="13">
        <f>IF(B84="","",(--(B84&lt;&gt;"")+--(C84&lt;&gt;"")+--(D84&lt;&gt;"")+--(E84&lt;&gt;"")+--(F84&lt;&gt;"")+--(G84&lt;&gt;"")+--(H84&lt;&gt;"")+--(I84&lt;&gt;"")+--(J84&lt;&gt;"")+--(K84&lt;&gt;"")+--(L84&lt;&gt;"")+--(M84&lt;&gt;"")+--(N84&lt;&gt;"")+--(O84&lt;&gt;"")+--(P84&lt;&gt;"")+--(Q84&lt;&gt;"")+--(R84&lt;&gt;"")+--(S84&lt;&gt;"")+--(T84&lt;&gt;""))/19)</f>
        <v/>
      </c>
      <c r="AA84" s="16" t="n"/>
      <c r="AB84" s="16" t="n"/>
      <c r="AC84" s="16" t="n"/>
      <c r="AD84" s="16" t="n"/>
      <c r="AE84" s="7">
        <f>IF(B84="","",IF(AND(AA84="合格",AB84="合格",AC84="合格",AD84="合格"),"有效","无效"))</f>
        <v/>
      </c>
    </row>
    <row r="85">
      <c r="A85" s="7">
        <f>IF(B85="","",TEXT(B85,"yyyymmdd")&amp;"-"&amp;TEXT(ROW()-1,"000"))</f>
        <v/>
      </c>
      <c r="B85" s="8" t="n"/>
      <c r="C85" s="9" t="n"/>
      <c r="D85" s="9" t="n"/>
      <c r="E85" s="9" t="n"/>
      <c r="F85" s="9" t="n"/>
      <c r="G85" s="9" t="n"/>
      <c r="H85" s="9" t="n"/>
      <c r="I85" s="9" t="n"/>
      <c r="J85" s="10" t="n"/>
      <c r="K85" s="9" t="n"/>
      <c r="L85" s="9" t="n"/>
      <c r="M85" s="9" t="n"/>
      <c r="N85" s="10" t="n"/>
      <c r="O85" s="9" t="n"/>
      <c r="P85" s="10" t="n"/>
      <c r="Q85" s="10" t="n"/>
      <c r="R85" s="9" t="n"/>
      <c r="S85" s="10" t="n"/>
      <c r="T85" s="10" t="n"/>
      <c r="U85" s="11" t="n"/>
      <c r="V85" s="11" t="n"/>
      <c r="W85" s="12">
        <f>IF(B85="","",B85+3)</f>
        <v/>
      </c>
      <c r="X85" s="12">
        <f>IF(B85="","",B85+5)</f>
        <v/>
      </c>
      <c r="Y85" s="12">
        <f>IF(B85="","",B85+10)</f>
        <v/>
      </c>
      <c r="Z85" s="13">
        <f>IF(B85="","",(--(B85&lt;&gt;"")+--(C85&lt;&gt;"")+--(D85&lt;&gt;"")+--(E85&lt;&gt;"")+--(F85&lt;&gt;"")+--(G85&lt;&gt;"")+--(H85&lt;&gt;"")+--(I85&lt;&gt;"")+--(J85&lt;&gt;"")+--(K85&lt;&gt;"")+--(L85&lt;&gt;"")+--(M85&lt;&gt;"")+--(N85&lt;&gt;"")+--(O85&lt;&gt;"")+--(P85&lt;&gt;"")+--(Q85&lt;&gt;"")+--(R85&lt;&gt;"")+--(S85&lt;&gt;"")+--(T85&lt;&gt;""))/19)</f>
        <v/>
      </c>
      <c r="AA85" s="16" t="n"/>
      <c r="AB85" s="16" t="n"/>
      <c r="AC85" s="16" t="n"/>
      <c r="AD85" s="16" t="n"/>
      <c r="AE85" s="7">
        <f>IF(B85="","",IF(AND(AA85="合格",AB85="合格",AC85="合格",AD85="合格"),"有效","无效"))</f>
        <v/>
      </c>
    </row>
    <row r="86">
      <c r="A86" s="7">
        <f>IF(B86="","",TEXT(B86,"yyyymmdd")&amp;"-"&amp;TEXT(ROW()-1,"000"))</f>
        <v/>
      </c>
      <c r="B86" s="8" t="n"/>
      <c r="C86" s="9" t="n"/>
      <c r="D86" s="9" t="n"/>
      <c r="E86" s="9" t="n"/>
      <c r="F86" s="9" t="n"/>
      <c r="G86" s="9" t="n"/>
      <c r="H86" s="9" t="n"/>
      <c r="I86" s="9" t="n"/>
      <c r="J86" s="10" t="n"/>
      <c r="K86" s="9" t="n"/>
      <c r="L86" s="9" t="n"/>
      <c r="M86" s="9" t="n"/>
      <c r="N86" s="10" t="n"/>
      <c r="O86" s="9" t="n"/>
      <c r="P86" s="10" t="n"/>
      <c r="Q86" s="10" t="n"/>
      <c r="R86" s="9" t="n"/>
      <c r="S86" s="10" t="n"/>
      <c r="T86" s="10" t="n"/>
      <c r="U86" s="11" t="n"/>
      <c r="V86" s="11" t="n"/>
      <c r="W86" s="12">
        <f>IF(B86="","",B86+3)</f>
        <v/>
      </c>
      <c r="X86" s="12">
        <f>IF(B86="","",B86+5)</f>
        <v/>
      </c>
      <c r="Y86" s="12">
        <f>IF(B86="","",B86+10)</f>
        <v/>
      </c>
      <c r="Z86" s="13">
        <f>IF(B86="","",(--(B86&lt;&gt;"")+--(C86&lt;&gt;"")+--(D86&lt;&gt;"")+--(E86&lt;&gt;"")+--(F86&lt;&gt;"")+--(G86&lt;&gt;"")+--(H86&lt;&gt;"")+--(I86&lt;&gt;"")+--(J86&lt;&gt;"")+--(K86&lt;&gt;"")+--(L86&lt;&gt;"")+--(M86&lt;&gt;"")+--(N86&lt;&gt;"")+--(O86&lt;&gt;"")+--(P86&lt;&gt;"")+--(Q86&lt;&gt;"")+--(R86&lt;&gt;"")+--(S86&lt;&gt;"")+--(T86&lt;&gt;""))/19)</f>
        <v/>
      </c>
      <c r="AA86" s="16" t="n"/>
      <c r="AB86" s="16" t="n"/>
      <c r="AC86" s="16" t="n"/>
      <c r="AD86" s="16" t="n"/>
      <c r="AE86" s="7">
        <f>IF(B86="","",IF(AND(AA86="合格",AB86="合格",AC86="合格",AD86="合格"),"有效","无效"))</f>
        <v/>
      </c>
    </row>
    <row r="87">
      <c r="A87" s="7">
        <f>IF(B87="","",TEXT(B87,"yyyymmdd")&amp;"-"&amp;TEXT(ROW()-1,"000"))</f>
        <v/>
      </c>
      <c r="B87" s="8" t="n"/>
      <c r="C87" s="9" t="n"/>
      <c r="D87" s="9" t="n"/>
      <c r="E87" s="9" t="n"/>
      <c r="F87" s="9" t="n"/>
      <c r="G87" s="9" t="n"/>
      <c r="H87" s="9" t="n"/>
      <c r="I87" s="9" t="n"/>
      <c r="J87" s="10" t="n"/>
      <c r="K87" s="9" t="n"/>
      <c r="L87" s="9" t="n"/>
      <c r="M87" s="9" t="n"/>
      <c r="N87" s="10" t="n"/>
      <c r="O87" s="9" t="n"/>
      <c r="P87" s="10" t="n"/>
      <c r="Q87" s="10" t="n"/>
      <c r="R87" s="9" t="n"/>
      <c r="S87" s="10" t="n"/>
      <c r="T87" s="10" t="n"/>
      <c r="U87" s="11" t="n"/>
      <c r="V87" s="11" t="n"/>
      <c r="W87" s="12">
        <f>IF(B87="","",B87+3)</f>
        <v/>
      </c>
      <c r="X87" s="12">
        <f>IF(B87="","",B87+5)</f>
        <v/>
      </c>
      <c r="Y87" s="12">
        <f>IF(B87="","",B87+10)</f>
        <v/>
      </c>
      <c r="Z87" s="13">
        <f>IF(B87="","",(--(B87&lt;&gt;"")+--(C87&lt;&gt;"")+--(D87&lt;&gt;"")+--(E87&lt;&gt;"")+--(F87&lt;&gt;"")+--(G87&lt;&gt;"")+--(H87&lt;&gt;"")+--(I87&lt;&gt;"")+--(J87&lt;&gt;"")+--(K87&lt;&gt;"")+--(L87&lt;&gt;"")+--(M87&lt;&gt;"")+--(N87&lt;&gt;"")+--(O87&lt;&gt;"")+--(P87&lt;&gt;"")+--(Q87&lt;&gt;"")+--(R87&lt;&gt;"")+--(S87&lt;&gt;"")+--(T87&lt;&gt;""))/19)</f>
        <v/>
      </c>
      <c r="AA87" s="16" t="n"/>
      <c r="AB87" s="16" t="n"/>
      <c r="AC87" s="16" t="n"/>
      <c r="AD87" s="16" t="n"/>
      <c r="AE87" s="7">
        <f>IF(B87="","",IF(AND(AA87="合格",AB87="合格",AC87="合格",AD87="合格"),"有效","无效"))</f>
        <v/>
      </c>
    </row>
    <row r="88">
      <c r="A88" s="7">
        <f>IF(B88="","",TEXT(B88,"yyyymmdd")&amp;"-"&amp;TEXT(ROW()-1,"000"))</f>
        <v/>
      </c>
      <c r="B88" s="8" t="n"/>
      <c r="C88" s="9" t="n"/>
      <c r="D88" s="9" t="n"/>
      <c r="E88" s="9" t="n"/>
      <c r="F88" s="9" t="n"/>
      <c r="G88" s="9" t="n"/>
      <c r="H88" s="9" t="n"/>
      <c r="I88" s="9" t="n"/>
      <c r="J88" s="10" t="n"/>
      <c r="K88" s="9" t="n"/>
      <c r="L88" s="9" t="n"/>
      <c r="M88" s="9" t="n"/>
      <c r="N88" s="10" t="n"/>
      <c r="O88" s="9" t="n"/>
      <c r="P88" s="10" t="n"/>
      <c r="Q88" s="10" t="n"/>
      <c r="R88" s="9" t="n"/>
      <c r="S88" s="10" t="n"/>
      <c r="T88" s="10" t="n"/>
      <c r="U88" s="11" t="n"/>
      <c r="V88" s="11" t="n"/>
      <c r="W88" s="12">
        <f>IF(B88="","",B88+3)</f>
        <v/>
      </c>
      <c r="X88" s="12">
        <f>IF(B88="","",B88+5)</f>
        <v/>
      </c>
      <c r="Y88" s="12">
        <f>IF(B88="","",B88+10)</f>
        <v/>
      </c>
      <c r="Z88" s="13">
        <f>IF(B88="","",(--(B88&lt;&gt;"")+--(C88&lt;&gt;"")+--(D88&lt;&gt;"")+--(E88&lt;&gt;"")+--(F88&lt;&gt;"")+--(G88&lt;&gt;"")+--(H88&lt;&gt;"")+--(I88&lt;&gt;"")+--(J88&lt;&gt;"")+--(K88&lt;&gt;"")+--(L88&lt;&gt;"")+--(M88&lt;&gt;"")+--(N88&lt;&gt;"")+--(O88&lt;&gt;"")+--(P88&lt;&gt;"")+--(Q88&lt;&gt;"")+--(R88&lt;&gt;"")+--(S88&lt;&gt;"")+--(T88&lt;&gt;""))/19)</f>
        <v/>
      </c>
      <c r="AA88" s="16" t="n"/>
      <c r="AB88" s="16" t="n"/>
      <c r="AC88" s="16" t="n"/>
      <c r="AD88" s="16" t="n"/>
      <c r="AE88" s="7">
        <f>IF(B88="","",IF(AND(AA88="合格",AB88="合格",AC88="合格",AD88="合格"),"有效","无效"))</f>
        <v/>
      </c>
    </row>
    <row r="89">
      <c r="A89" s="7">
        <f>IF(B89="","",TEXT(B89,"yyyymmdd")&amp;"-"&amp;TEXT(ROW()-1,"000"))</f>
        <v/>
      </c>
      <c r="B89" s="8" t="n"/>
      <c r="C89" s="9" t="n"/>
      <c r="D89" s="9" t="n"/>
      <c r="E89" s="9" t="n"/>
      <c r="F89" s="9" t="n"/>
      <c r="G89" s="9" t="n"/>
      <c r="H89" s="9" t="n"/>
      <c r="I89" s="9" t="n"/>
      <c r="J89" s="10" t="n"/>
      <c r="K89" s="9" t="n"/>
      <c r="L89" s="9" t="n"/>
      <c r="M89" s="9" t="n"/>
      <c r="N89" s="10" t="n"/>
      <c r="O89" s="9" t="n"/>
      <c r="P89" s="10" t="n"/>
      <c r="Q89" s="10" t="n"/>
      <c r="R89" s="9" t="n"/>
      <c r="S89" s="10" t="n"/>
      <c r="T89" s="10" t="n"/>
      <c r="U89" s="11" t="n"/>
      <c r="V89" s="11" t="n"/>
      <c r="W89" s="12">
        <f>IF(B89="","",B89+3)</f>
        <v/>
      </c>
      <c r="X89" s="12">
        <f>IF(B89="","",B89+5)</f>
        <v/>
      </c>
      <c r="Y89" s="12">
        <f>IF(B89="","",B89+10)</f>
        <v/>
      </c>
      <c r="Z89" s="13">
        <f>IF(B89="","",(--(B89&lt;&gt;"")+--(C89&lt;&gt;"")+--(D89&lt;&gt;"")+--(E89&lt;&gt;"")+--(F89&lt;&gt;"")+--(G89&lt;&gt;"")+--(H89&lt;&gt;"")+--(I89&lt;&gt;"")+--(J89&lt;&gt;"")+--(K89&lt;&gt;"")+--(L89&lt;&gt;"")+--(M89&lt;&gt;"")+--(N89&lt;&gt;"")+--(O89&lt;&gt;"")+--(P89&lt;&gt;"")+--(Q89&lt;&gt;"")+--(R89&lt;&gt;"")+--(S89&lt;&gt;"")+--(T89&lt;&gt;""))/19)</f>
        <v/>
      </c>
      <c r="AA89" s="16" t="n"/>
      <c r="AB89" s="16" t="n"/>
      <c r="AC89" s="16" t="n"/>
      <c r="AD89" s="16" t="n"/>
      <c r="AE89" s="7">
        <f>IF(B89="","",IF(AND(AA89="合格",AB89="合格",AC89="合格",AD89="合格"),"有效","无效"))</f>
        <v/>
      </c>
    </row>
    <row r="90">
      <c r="A90" s="7">
        <f>IF(B90="","",TEXT(B90,"yyyymmdd")&amp;"-"&amp;TEXT(ROW()-1,"000"))</f>
        <v/>
      </c>
      <c r="B90" s="8" t="n"/>
      <c r="C90" s="9" t="n"/>
      <c r="D90" s="9" t="n"/>
      <c r="E90" s="9" t="n"/>
      <c r="F90" s="9" t="n"/>
      <c r="G90" s="9" t="n"/>
      <c r="H90" s="9" t="n"/>
      <c r="I90" s="9" t="n"/>
      <c r="J90" s="10" t="n"/>
      <c r="K90" s="9" t="n"/>
      <c r="L90" s="9" t="n"/>
      <c r="M90" s="9" t="n"/>
      <c r="N90" s="10" t="n"/>
      <c r="O90" s="9" t="n"/>
      <c r="P90" s="10" t="n"/>
      <c r="Q90" s="10" t="n"/>
      <c r="R90" s="9" t="n"/>
      <c r="S90" s="10" t="n"/>
      <c r="T90" s="10" t="n"/>
      <c r="U90" s="11" t="n"/>
      <c r="V90" s="11" t="n"/>
      <c r="W90" s="12">
        <f>IF(B90="","",B90+3)</f>
        <v/>
      </c>
      <c r="X90" s="12">
        <f>IF(B90="","",B90+5)</f>
        <v/>
      </c>
      <c r="Y90" s="12">
        <f>IF(B90="","",B90+10)</f>
        <v/>
      </c>
      <c r="Z90" s="13">
        <f>IF(B90="","",(--(B90&lt;&gt;"")+--(C90&lt;&gt;"")+--(D90&lt;&gt;"")+--(E90&lt;&gt;"")+--(F90&lt;&gt;"")+--(G90&lt;&gt;"")+--(H90&lt;&gt;"")+--(I90&lt;&gt;"")+--(J90&lt;&gt;"")+--(K90&lt;&gt;"")+--(L90&lt;&gt;"")+--(M90&lt;&gt;"")+--(N90&lt;&gt;"")+--(O90&lt;&gt;"")+--(P90&lt;&gt;"")+--(Q90&lt;&gt;"")+--(R90&lt;&gt;"")+--(S90&lt;&gt;"")+--(T90&lt;&gt;""))/19)</f>
        <v/>
      </c>
      <c r="AA90" s="16" t="n"/>
      <c r="AB90" s="16" t="n"/>
      <c r="AC90" s="16" t="n"/>
      <c r="AD90" s="16" t="n"/>
      <c r="AE90" s="7">
        <f>IF(B90="","",IF(AND(AA90="合格",AB90="合格",AC90="合格",AD90="合格"),"有效","无效"))</f>
        <v/>
      </c>
    </row>
    <row r="91">
      <c r="A91" s="7">
        <f>IF(B91="","",TEXT(B91,"yyyymmdd")&amp;"-"&amp;TEXT(ROW()-1,"000"))</f>
        <v/>
      </c>
      <c r="B91" s="8" t="n"/>
      <c r="C91" s="9" t="n"/>
      <c r="D91" s="9" t="n"/>
      <c r="E91" s="9" t="n"/>
      <c r="F91" s="9" t="n"/>
      <c r="G91" s="9" t="n"/>
      <c r="H91" s="9" t="n"/>
      <c r="I91" s="9" t="n"/>
      <c r="J91" s="10" t="n"/>
      <c r="K91" s="9" t="n"/>
      <c r="L91" s="9" t="n"/>
      <c r="M91" s="9" t="n"/>
      <c r="N91" s="10" t="n"/>
      <c r="O91" s="9" t="n"/>
      <c r="P91" s="10" t="n"/>
      <c r="Q91" s="10" t="n"/>
      <c r="R91" s="9" t="n"/>
      <c r="S91" s="10" t="n"/>
      <c r="T91" s="10" t="n"/>
      <c r="U91" s="11" t="n"/>
      <c r="V91" s="11" t="n"/>
      <c r="W91" s="12">
        <f>IF(B91="","",B91+3)</f>
        <v/>
      </c>
      <c r="X91" s="12">
        <f>IF(B91="","",B91+5)</f>
        <v/>
      </c>
      <c r="Y91" s="12">
        <f>IF(B91="","",B91+10)</f>
        <v/>
      </c>
      <c r="Z91" s="13">
        <f>IF(B91="","",(--(B91&lt;&gt;"")+--(C91&lt;&gt;"")+--(D91&lt;&gt;"")+--(E91&lt;&gt;"")+--(F91&lt;&gt;"")+--(G91&lt;&gt;"")+--(H91&lt;&gt;"")+--(I91&lt;&gt;"")+--(J91&lt;&gt;"")+--(K91&lt;&gt;"")+--(L91&lt;&gt;"")+--(M91&lt;&gt;"")+--(N91&lt;&gt;"")+--(O91&lt;&gt;"")+--(P91&lt;&gt;"")+--(Q91&lt;&gt;"")+--(R91&lt;&gt;"")+--(S91&lt;&gt;"")+--(T91&lt;&gt;""))/19)</f>
        <v/>
      </c>
      <c r="AA91" s="16" t="n"/>
      <c r="AB91" s="16" t="n"/>
      <c r="AC91" s="16" t="n"/>
      <c r="AD91" s="16" t="n"/>
      <c r="AE91" s="7">
        <f>IF(B91="","",IF(AND(AA91="合格",AB91="合格",AC91="合格",AD91="合格"),"有效","无效"))</f>
        <v/>
      </c>
    </row>
    <row r="92">
      <c r="A92" s="7">
        <f>IF(B92="","",TEXT(B92,"yyyymmdd")&amp;"-"&amp;TEXT(ROW()-1,"000"))</f>
        <v/>
      </c>
      <c r="B92" s="8" t="n"/>
      <c r="C92" s="9" t="n"/>
      <c r="D92" s="9" t="n"/>
      <c r="E92" s="9" t="n"/>
      <c r="F92" s="9" t="n"/>
      <c r="G92" s="9" t="n"/>
      <c r="H92" s="9" t="n"/>
      <c r="I92" s="9" t="n"/>
      <c r="J92" s="10" t="n"/>
      <c r="K92" s="9" t="n"/>
      <c r="L92" s="9" t="n"/>
      <c r="M92" s="9" t="n"/>
      <c r="N92" s="10" t="n"/>
      <c r="O92" s="9" t="n"/>
      <c r="P92" s="10" t="n"/>
      <c r="Q92" s="10" t="n"/>
      <c r="R92" s="9" t="n"/>
      <c r="S92" s="10" t="n"/>
      <c r="T92" s="10" t="n"/>
      <c r="U92" s="11" t="n"/>
      <c r="V92" s="11" t="n"/>
      <c r="W92" s="12">
        <f>IF(B92="","",B92+3)</f>
        <v/>
      </c>
      <c r="X92" s="12">
        <f>IF(B92="","",B92+5)</f>
        <v/>
      </c>
      <c r="Y92" s="12">
        <f>IF(B92="","",B92+10)</f>
        <v/>
      </c>
      <c r="Z92" s="13">
        <f>IF(B92="","",(--(B92&lt;&gt;"")+--(C92&lt;&gt;"")+--(D92&lt;&gt;"")+--(E92&lt;&gt;"")+--(F92&lt;&gt;"")+--(G92&lt;&gt;"")+--(H92&lt;&gt;"")+--(I92&lt;&gt;"")+--(J92&lt;&gt;"")+--(K92&lt;&gt;"")+--(L92&lt;&gt;"")+--(M92&lt;&gt;"")+--(N92&lt;&gt;"")+--(O92&lt;&gt;"")+--(P92&lt;&gt;"")+--(Q92&lt;&gt;"")+--(R92&lt;&gt;"")+--(S92&lt;&gt;"")+--(T92&lt;&gt;""))/19)</f>
        <v/>
      </c>
      <c r="AA92" s="16" t="n"/>
      <c r="AB92" s="16" t="n"/>
      <c r="AC92" s="16" t="n"/>
      <c r="AD92" s="16" t="n"/>
      <c r="AE92" s="7">
        <f>IF(B92="","",IF(AND(AA92="合格",AB92="合格",AC92="合格",AD92="合格"),"有效","无效"))</f>
        <v/>
      </c>
    </row>
    <row r="93">
      <c r="A93" s="7">
        <f>IF(B93="","",TEXT(B93,"yyyymmdd")&amp;"-"&amp;TEXT(ROW()-1,"000"))</f>
        <v/>
      </c>
      <c r="B93" s="8" t="n"/>
      <c r="C93" s="9" t="n"/>
      <c r="D93" s="9" t="n"/>
      <c r="E93" s="9" t="n"/>
      <c r="F93" s="9" t="n"/>
      <c r="G93" s="9" t="n"/>
      <c r="H93" s="9" t="n"/>
      <c r="I93" s="9" t="n"/>
      <c r="J93" s="10" t="n"/>
      <c r="K93" s="9" t="n"/>
      <c r="L93" s="9" t="n"/>
      <c r="M93" s="9" t="n"/>
      <c r="N93" s="10" t="n"/>
      <c r="O93" s="9" t="n"/>
      <c r="P93" s="10" t="n"/>
      <c r="Q93" s="10" t="n"/>
      <c r="R93" s="9" t="n"/>
      <c r="S93" s="10" t="n"/>
      <c r="T93" s="10" t="n"/>
      <c r="U93" s="11" t="n"/>
      <c r="V93" s="11" t="n"/>
      <c r="W93" s="12">
        <f>IF(B93="","",B93+3)</f>
        <v/>
      </c>
      <c r="X93" s="12">
        <f>IF(B93="","",B93+5)</f>
        <v/>
      </c>
      <c r="Y93" s="12">
        <f>IF(B93="","",B93+10)</f>
        <v/>
      </c>
      <c r="Z93" s="13">
        <f>IF(B93="","",(--(B93&lt;&gt;"")+--(C93&lt;&gt;"")+--(D93&lt;&gt;"")+--(E93&lt;&gt;"")+--(F93&lt;&gt;"")+--(G93&lt;&gt;"")+--(H93&lt;&gt;"")+--(I93&lt;&gt;"")+--(J93&lt;&gt;"")+--(K93&lt;&gt;"")+--(L93&lt;&gt;"")+--(M93&lt;&gt;"")+--(N93&lt;&gt;"")+--(O93&lt;&gt;"")+--(P93&lt;&gt;"")+--(Q93&lt;&gt;"")+--(R93&lt;&gt;"")+--(S93&lt;&gt;"")+--(T93&lt;&gt;""))/19)</f>
        <v/>
      </c>
      <c r="AA93" s="16" t="n"/>
      <c r="AB93" s="16" t="n"/>
      <c r="AC93" s="16" t="n"/>
      <c r="AD93" s="16" t="n"/>
      <c r="AE93" s="7">
        <f>IF(B93="","",IF(AND(AA93="合格",AB93="合格",AC93="合格",AD93="合格"),"有效","无效"))</f>
        <v/>
      </c>
    </row>
    <row r="94">
      <c r="A94" s="7">
        <f>IF(B94="","",TEXT(B94,"yyyymmdd")&amp;"-"&amp;TEXT(ROW()-1,"000"))</f>
        <v/>
      </c>
      <c r="B94" s="8" t="n"/>
      <c r="C94" s="9" t="n"/>
      <c r="D94" s="9" t="n"/>
      <c r="E94" s="9" t="n"/>
      <c r="F94" s="9" t="n"/>
      <c r="G94" s="9" t="n"/>
      <c r="H94" s="9" t="n"/>
      <c r="I94" s="9" t="n"/>
      <c r="J94" s="10" t="n"/>
      <c r="K94" s="9" t="n"/>
      <c r="L94" s="9" t="n"/>
      <c r="M94" s="9" t="n"/>
      <c r="N94" s="10" t="n"/>
      <c r="O94" s="9" t="n"/>
      <c r="P94" s="10" t="n"/>
      <c r="Q94" s="10" t="n"/>
      <c r="R94" s="9" t="n"/>
      <c r="S94" s="10" t="n"/>
      <c r="T94" s="10" t="n"/>
      <c r="U94" s="11" t="n"/>
      <c r="V94" s="11" t="n"/>
      <c r="W94" s="12">
        <f>IF(B94="","",B94+3)</f>
        <v/>
      </c>
      <c r="X94" s="12">
        <f>IF(B94="","",B94+5)</f>
        <v/>
      </c>
      <c r="Y94" s="12">
        <f>IF(B94="","",B94+10)</f>
        <v/>
      </c>
      <c r="Z94" s="13">
        <f>IF(B94="","",(--(B94&lt;&gt;"")+--(C94&lt;&gt;"")+--(D94&lt;&gt;"")+--(E94&lt;&gt;"")+--(F94&lt;&gt;"")+--(G94&lt;&gt;"")+--(H94&lt;&gt;"")+--(I94&lt;&gt;"")+--(J94&lt;&gt;"")+--(K94&lt;&gt;"")+--(L94&lt;&gt;"")+--(M94&lt;&gt;"")+--(N94&lt;&gt;"")+--(O94&lt;&gt;"")+--(P94&lt;&gt;"")+--(Q94&lt;&gt;"")+--(R94&lt;&gt;"")+--(S94&lt;&gt;"")+--(T94&lt;&gt;""))/19)</f>
        <v/>
      </c>
      <c r="AA94" s="16" t="n"/>
      <c r="AB94" s="16" t="n"/>
      <c r="AC94" s="16" t="n"/>
      <c r="AD94" s="16" t="n"/>
      <c r="AE94" s="7">
        <f>IF(B94="","",IF(AND(AA94="合格",AB94="合格",AC94="合格",AD94="合格"),"有效","无效"))</f>
        <v/>
      </c>
    </row>
    <row r="95">
      <c r="A95" s="7">
        <f>IF(B95="","",TEXT(B95,"yyyymmdd")&amp;"-"&amp;TEXT(ROW()-1,"000"))</f>
        <v/>
      </c>
      <c r="B95" s="8" t="n"/>
      <c r="C95" s="9" t="n"/>
      <c r="D95" s="9" t="n"/>
      <c r="E95" s="9" t="n"/>
      <c r="F95" s="9" t="n"/>
      <c r="G95" s="9" t="n"/>
      <c r="H95" s="9" t="n"/>
      <c r="I95" s="9" t="n"/>
      <c r="J95" s="10" t="n"/>
      <c r="K95" s="9" t="n"/>
      <c r="L95" s="9" t="n"/>
      <c r="M95" s="9" t="n"/>
      <c r="N95" s="10" t="n"/>
      <c r="O95" s="9" t="n"/>
      <c r="P95" s="10" t="n"/>
      <c r="Q95" s="10" t="n"/>
      <c r="R95" s="9" t="n"/>
      <c r="S95" s="10" t="n"/>
      <c r="T95" s="10" t="n"/>
      <c r="U95" s="11" t="n"/>
      <c r="V95" s="11" t="n"/>
      <c r="W95" s="12">
        <f>IF(B95="","",B95+3)</f>
        <v/>
      </c>
      <c r="X95" s="12">
        <f>IF(B95="","",B95+5)</f>
        <v/>
      </c>
      <c r="Y95" s="12">
        <f>IF(B95="","",B95+10)</f>
        <v/>
      </c>
      <c r="Z95" s="13">
        <f>IF(B95="","",(--(B95&lt;&gt;"")+--(C95&lt;&gt;"")+--(D95&lt;&gt;"")+--(E95&lt;&gt;"")+--(F95&lt;&gt;"")+--(G95&lt;&gt;"")+--(H95&lt;&gt;"")+--(I95&lt;&gt;"")+--(J95&lt;&gt;"")+--(K95&lt;&gt;"")+--(L95&lt;&gt;"")+--(M95&lt;&gt;"")+--(N95&lt;&gt;"")+--(O95&lt;&gt;"")+--(P95&lt;&gt;"")+--(Q95&lt;&gt;"")+--(R95&lt;&gt;"")+--(S95&lt;&gt;"")+--(T95&lt;&gt;""))/19)</f>
        <v/>
      </c>
      <c r="AA95" s="16" t="n"/>
      <c r="AB95" s="16" t="n"/>
      <c r="AC95" s="16" t="n"/>
      <c r="AD95" s="16" t="n"/>
      <c r="AE95" s="7">
        <f>IF(B95="","",IF(AND(AA95="合格",AB95="合格",AC95="合格",AD95="合格"),"有效","无效"))</f>
        <v/>
      </c>
    </row>
    <row r="96">
      <c r="A96" s="7">
        <f>IF(B96="","",TEXT(B96,"yyyymmdd")&amp;"-"&amp;TEXT(ROW()-1,"000"))</f>
        <v/>
      </c>
      <c r="B96" s="8" t="n"/>
      <c r="C96" s="9" t="n"/>
      <c r="D96" s="9" t="n"/>
      <c r="E96" s="9" t="n"/>
      <c r="F96" s="9" t="n"/>
      <c r="G96" s="9" t="n"/>
      <c r="H96" s="9" t="n"/>
      <c r="I96" s="9" t="n"/>
      <c r="J96" s="10" t="n"/>
      <c r="K96" s="9" t="n"/>
      <c r="L96" s="9" t="n"/>
      <c r="M96" s="9" t="n"/>
      <c r="N96" s="10" t="n"/>
      <c r="O96" s="9" t="n"/>
      <c r="P96" s="10" t="n"/>
      <c r="Q96" s="10" t="n"/>
      <c r="R96" s="9" t="n"/>
      <c r="S96" s="10" t="n"/>
      <c r="T96" s="10" t="n"/>
      <c r="U96" s="11" t="n"/>
      <c r="V96" s="11" t="n"/>
      <c r="W96" s="12">
        <f>IF(B96="","",B96+3)</f>
        <v/>
      </c>
      <c r="X96" s="12">
        <f>IF(B96="","",B96+5)</f>
        <v/>
      </c>
      <c r="Y96" s="12">
        <f>IF(B96="","",B96+10)</f>
        <v/>
      </c>
      <c r="Z96" s="13">
        <f>IF(B96="","",(--(B96&lt;&gt;"")+--(C96&lt;&gt;"")+--(D96&lt;&gt;"")+--(E96&lt;&gt;"")+--(F96&lt;&gt;"")+--(G96&lt;&gt;"")+--(H96&lt;&gt;"")+--(I96&lt;&gt;"")+--(J96&lt;&gt;"")+--(K96&lt;&gt;"")+--(L96&lt;&gt;"")+--(M96&lt;&gt;"")+--(N96&lt;&gt;"")+--(O96&lt;&gt;"")+--(P96&lt;&gt;"")+--(Q96&lt;&gt;"")+--(R96&lt;&gt;"")+--(S96&lt;&gt;"")+--(T96&lt;&gt;""))/19)</f>
        <v/>
      </c>
      <c r="AA96" s="16" t="n"/>
      <c r="AB96" s="16" t="n"/>
      <c r="AC96" s="16" t="n"/>
      <c r="AD96" s="16" t="n"/>
      <c r="AE96" s="7">
        <f>IF(B96="","",IF(AND(AA96="合格",AB96="合格",AC96="合格",AD96="合格"),"有效","无效"))</f>
        <v/>
      </c>
    </row>
    <row r="97">
      <c r="A97" s="7">
        <f>IF(B97="","",TEXT(B97,"yyyymmdd")&amp;"-"&amp;TEXT(ROW()-1,"000"))</f>
        <v/>
      </c>
      <c r="B97" s="8" t="n"/>
      <c r="C97" s="9" t="n"/>
      <c r="D97" s="9" t="n"/>
      <c r="E97" s="9" t="n"/>
      <c r="F97" s="9" t="n"/>
      <c r="G97" s="9" t="n"/>
      <c r="H97" s="9" t="n"/>
      <c r="I97" s="9" t="n"/>
      <c r="J97" s="10" t="n"/>
      <c r="K97" s="9" t="n"/>
      <c r="L97" s="9" t="n"/>
      <c r="M97" s="9" t="n"/>
      <c r="N97" s="10" t="n"/>
      <c r="O97" s="9" t="n"/>
      <c r="P97" s="10" t="n"/>
      <c r="Q97" s="10" t="n"/>
      <c r="R97" s="9" t="n"/>
      <c r="S97" s="10" t="n"/>
      <c r="T97" s="10" t="n"/>
      <c r="U97" s="11" t="n"/>
      <c r="V97" s="11" t="n"/>
      <c r="W97" s="12">
        <f>IF(B97="","",B97+3)</f>
        <v/>
      </c>
      <c r="X97" s="12">
        <f>IF(B97="","",B97+5)</f>
        <v/>
      </c>
      <c r="Y97" s="12">
        <f>IF(B97="","",B97+10)</f>
        <v/>
      </c>
      <c r="Z97" s="13">
        <f>IF(B97="","",(--(B97&lt;&gt;"")+--(C97&lt;&gt;"")+--(D97&lt;&gt;"")+--(E97&lt;&gt;"")+--(F97&lt;&gt;"")+--(G97&lt;&gt;"")+--(H97&lt;&gt;"")+--(I97&lt;&gt;"")+--(J97&lt;&gt;"")+--(K97&lt;&gt;"")+--(L97&lt;&gt;"")+--(M97&lt;&gt;"")+--(N97&lt;&gt;"")+--(O97&lt;&gt;"")+--(P97&lt;&gt;"")+--(Q97&lt;&gt;"")+--(R97&lt;&gt;"")+--(S97&lt;&gt;"")+--(T97&lt;&gt;""))/19)</f>
        <v/>
      </c>
      <c r="AA97" s="16" t="n"/>
      <c r="AB97" s="16" t="n"/>
      <c r="AC97" s="16" t="n"/>
      <c r="AD97" s="16" t="n"/>
      <c r="AE97" s="7">
        <f>IF(B97="","",IF(AND(AA97="合格",AB97="合格",AC97="合格",AD97="合格"),"有效","无效"))</f>
        <v/>
      </c>
    </row>
    <row r="98">
      <c r="A98" s="7">
        <f>IF(B98="","",TEXT(B98,"yyyymmdd")&amp;"-"&amp;TEXT(ROW()-1,"000"))</f>
        <v/>
      </c>
      <c r="B98" s="8" t="n"/>
      <c r="C98" s="9" t="n"/>
      <c r="D98" s="9" t="n"/>
      <c r="E98" s="9" t="n"/>
      <c r="F98" s="9" t="n"/>
      <c r="G98" s="9" t="n"/>
      <c r="H98" s="9" t="n"/>
      <c r="I98" s="9" t="n"/>
      <c r="J98" s="10" t="n"/>
      <c r="K98" s="9" t="n"/>
      <c r="L98" s="9" t="n"/>
      <c r="M98" s="9" t="n"/>
      <c r="N98" s="10" t="n"/>
      <c r="O98" s="9" t="n"/>
      <c r="P98" s="10" t="n"/>
      <c r="Q98" s="10" t="n"/>
      <c r="R98" s="9" t="n"/>
      <c r="S98" s="10" t="n"/>
      <c r="T98" s="10" t="n"/>
      <c r="U98" s="11" t="n"/>
      <c r="V98" s="11" t="n"/>
      <c r="W98" s="12">
        <f>IF(B98="","",B98+3)</f>
        <v/>
      </c>
      <c r="X98" s="12">
        <f>IF(B98="","",B98+5)</f>
        <v/>
      </c>
      <c r="Y98" s="12">
        <f>IF(B98="","",B98+10)</f>
        <v/>
      </c>
      <c r="Z98" s="13">
        <f>IF(B98="","",(--(B98&lt;&gt;"")+--(C98&lt;&gt;"")+--(D98&lt;&gt;"")+--(E98&lt;&gt;"")+--(F98&lt;&gt;"")+--(G98&lt;&gt;"")+--(H98&lt;&gt;"")+--(I98&lt;&gt;"")+--(J98&lt;&gt;"")+--(K98&lt;&gt;"")+--(L98&lt;&gt;"")+--(M98&lt;&gt;"")+--(N98&lt;&gt;"")+--(O98&lt;&gt;"")+--(P98&lt;&gt;"")+--(Q98&lt;&gt;"")+--(R98&lt;&gt;"")+--(S98&lt;&gt;"")+--(T98&lt;&gt;""))/19)</f>
        <v/>
      </c>
      <c r="AA98" s="16" t="n"/>
      <c r="AB98" s="16" t="n"/>
      <c r="AC98" s="16" t="n"/>
      <c r="AD98" s="16" t="n"/>
      <c r="AE98" s="7">
        <f>IF(B98="","",IF(AND(AA98="合格",AB98="合格",AC98="合格",AD98="合格"),"有效","无效"))</f>
        <v/>
      </c>
    </row>
    <row r="99">
      <c r="A99" s="7">
        <f>IF(B99="","",TEXT(B99,"yyyymmdd")&amp;"-"&amp;TEXT(ROW()-1,"000"))</f>
        <v/>
      </c>
      <c r="B99" s="8" t="n"/>
      <c r="C99" s="9" t="n"/>
      <c r="D99" s="9" t="n"/>
      <c r="E99" s="9" t="n"/>
      <c r="F99" s="9" t="n"/>
      <c r="G99" s="9" t="n"/>
      <c r="H99" s="9" t="n"/>
      <c r="I99" s="9" t="n"/>
      <c r="J99" s="10" t="n"/>
      <c r="K99" s="9" t="n"/>
      <c r="L99" s="9" t="n"/>
      <c r="M99" s="9" t="n"/>
      <c r="N99" s="10" t="n"/>
      <c r="O99" s="9" t="n"/>
      <c r="P99" s="10" t="n"/>
      <c r="Q99" s="10" t="n"/>
      <c r="R99" s="9" t="n"/>
      <c r="S99" s="10" t="n"/>
      <c r="T99" s="10" t="n"/>
      <c r="U99" s="11" t="n"/>
      <c r="V99" s="11" t="n"/>
      <c r="W99" s="12">
        <f>IF(B99="","",B99+3)</f>
        <v/>
      </c>
      <c r="X99" s="12">
        <f>IF(B99="","",B99+5)</f>
        <v/>
      </c>
      <c r="Y99" s="12">
        <f>IF(B99="","",B99+10)</f>
        <v/>
      </c>
      <c r="Z99" s="13">
        <f>IF(B99="","",(--(B99&lt;&gt;"")+--(C99&lt;&gt;"")+--(D99&lt;&gt;"")+--(E99&lt;&gt;"")+--(F99&lt;&gt;"")+--(G99&lt;&gt;"")+--(H99&lt;&gt;"")+--(I99&lt;&gt;"")+--(J99&lt;&gt;"")+--(K99&lt;&gt;"")+--(L99&lt;&gt;"")+--(M99&lt;&gt;"")+--(N99&lt;&gt;"")+--(O99&lt;&gt;"")+--(P99&lt;&gt;"")+--(Q99&lt;&gt;"")+--(R99&lt;&gt;"")+--(S99&lt;&gt;"")+--(T99&lt;&gt;""))/19)</f>
        <v/>
      </c>
      <c r="AA99" s="16" t="n"/>
      <c r="AB99" s="16" t="n"/>
      <c r="AC99" s="16" t="n"/>
      <c r="AD99" s="16" t="n"/>
      <c r="AE99" s="7">
        <f>IF(B99="","",IF(AND(AA99="合格",AB99="合格",AC99="合格",AD99="合格"),"有效","无效"))</f>
        <v/>
      </c>
    </row>
    <row r="100">
      <c r="A100" s="7">
        <f>IF(B100="","",TEXT(B100,"yyyymmdd")&amp;"-"&amp;TEXT(ROW()-1,"000"))</f>
        <v/>
      </c>
      <c r="B100" s="8" t="n"/>
      <c r="C100" s="9" t="n"/>
      <c r="D100" s="9" t="n"/>
      <c r="E100" s="9" t="n"/>
      <c r="F100" s="9" t="n"/>
      <c r="G100" s="9" t="n"/>
      <c r="H100" s="9" t="n"/>
      <c r="I100" s="9" t="n"/>
      <c r="J100" s="10" t="n"/>
      <c r="K100" s="9" t="n"/>
      <c r="L100" s="9" t="n"/>
      <c r="M100" s="9" t="n"/>
      <c r="N100" s="10" t="n"/>
      <c r="O100" s="9" t="n"/>
      <c r="P100" s="10" t="n"/>
      <c r="Q100" s="10" t="n"/>
      <c r="R100" s="9" t="n"/>
      <c r="S100" s="10" t="n"/>
      <c r="T100" s="10" t="n"/>
      <c r="U100" s="11" t="n"/>
      <c r="V100" s="11" t="n"/>
      <c r="W100" s="12">
        <f>IF(B100="","",B100+3)</f>
        <v/>
      </c>
      <c r="X100" s="12">
        <f>IF(B100="","",B100+5)</f>
        <v/>
      </c>
      <c r="Y100" s="12">
        <f>IF(B100="","",B100+10)</f>
        <v/>
      </c>
      <c r="Z100" s="13">
        <f>IF(B100="","",(--(B100&lt;&gt;"")+--(C100&lt;&gt;"")+--(D100&lt;&gt;"")+--(E100&lt;&gt;"")+--(F100&lt;&gt;"")+--(G100&lt;&gt;"")+--(H100&lt;&gt;"")+--(I100&lt;&gt;"")+--(J100&lt;&gt;"")+--(K100&lt;&gt;"")+--(L100&lt;&gt;"")+--(M100&lt;&gt;"")+--(N100&lt;&gt;"")+--(O100&lt;&gt;"")+--(P100&lt;&gt;"")+--(Q100&lt;&gt;"")+--(R100&lt;&gt;"")+--(S100&lt;&gt;"")+--(T100&lt;&gt;""))/19)</f>
        <v/>
      </c>
      <c r="AA100" s="16" t="n"/>
      <c r="AB100" s="16" t="n"/>
      <c r="AC100" s="16" t="n"/>
      <c r="AD100" s="16" t="n"/>
      <c r="AE100" s="7">
        <f>IF(B100="","",IF(AND(AA100="合格",AB100="合格",AC100="合格",AD100="合格"),"有效","无效"))</f>
        <v/>
      </c>
    </row>
    <row r="101">
      <c r="A101" s="7">
        <f>IF(B101="","",TEXT(B101,"yyyymmdd")&amp;"-"&amp;TEXT(ROW()-1,"000"))</f>
        <v/>
      </c>
      <c r="B101" s="8" t="n"/>
      <c r="C101" s="9" t="n"/>
      <c r="D101" s="9" t="n"/>
      <c r="E101" s="9" t="n"/>
      <c r="F101" s="9" t="n"/>
      <c r="G101" s="9" t="n"/>
      <c r="H101" s="9" t="n"/>
      <c r="I101" s="9" t="n"/>
      <c r="J101" s="10" t="n"/>
      <c r="K101" s="9" t="n"/>
      <c r="L101" s="9" t="n"/>
      <c r="M101" s="9" t="n"/>
      <c r="N101" s="10" t="n"/>
      <c r="O101" s="9" t="n"/>
      <c r="P101" s="10" t="n"/>
      <c r="Q101" s="10" t="n"/>
      <c r="R101" s="9" t="n"/>
      <c r="S101" s="10" t="n"/>
      <c r="T101" s="10" t="n"/>
      <c r="U101" s="11" t="n"/>
      <c r="V101" s="11" t="n"/>
      <c r="W101" s="12">
        <f>IF(B101="","",B101+3)</f>
        <v/>
      </c>
      <c r="X101" s="12">
        <f>IF(B101="","",B101+5)</f>
        <v/>
      </c>
      <c r="Y101" s="12">
        <f>IF(B101="","",B101+10)</f>
        <v/>
      </c>
      <c r="Z101" s="13">
        <f>IF(B101="","",(--(B101&lt;&gt;"")+--(C101&lt;&gt;"")+--(D101&lt;&gt;"")+--(E101&lt;&gt;"")+--(F101&lt;&gt;"")+--(G101&lt;&gt;"")+--(H101&lt;&gt;"")+--(I101&lt;&gt;"")+--(J101&lt;&gt;"")+--(K101&lt;&gt;"")+--(L101&lt;&gt;"")+--(M101&lt;&gt;"")+--(N101&lt;&gt;"")+--(O101&lt;&gt;"")+--(P101&lt;&gt;"")+--(Q101&lt;&gt;"")+--(R101&lt;&gt;"")+--(S101&lt;&gt;"")+--(T101&lt;&gt;""))/19)</f>
        <v/>
      </c>
      <c r="AA101" s="16" t="n"/>
      <c r="AB101" s="16" t="n"/>
      <c r="AC101" s="16" t="n"/>
      <c r="AD101" s="16" t="n"/>
      <c r="AE101" s="7">
        <f>IF(B101="","",IF(AND(AA101="合格",AB101="合格",AC101="合格",AD101="合格"),"有效","无效"))</f>
        <v/>
      </c>
    </row>
    <row r="102">
      <c r="A102" s="7">
        <f>IF(B102="","",TEXT(B102,"yyyymmdd")&amp;"-"&amp;TEXT(ROW()-1,"000"))</f>
        <v/>
      </c>
      <c r="B102" s="8" t="n"/>
      <c r="C102" s="9" t="n"/>
      <c r="D102" s="9" t="n"/>
      <c r="E102" s="9" t="n"/>
      <c r="F102" s="9" t="n"/>
      <c r="G102" s="9" t="n"/>
      <c r="H102" s="9" t="n"/>
      <c r="I102" s="9" t="n"/>
      <c r="J102" s="10" t="n"/>
      <c r="K102" s="9" t="n"/>
      <c r="L102" s="9" t="n"/>
      <c r="M102" s="9" t="n"/>
      <c r="N102" s="10" t="n"/>
      <c r="O102" s="9" t="n"/>
      <c r="P102" s="10" t="n"/>
      <c r="Q102" s="10" t="n"/>
      <c r="R102" s="9" t="n"/>
      <c r="S102" s="10" t="n"/>
      <c r="T102" s="10" t="n"/>
      <c r="U102" s="11" t="n"/>
      <c r="V102" s="11" t="n"/>
      <c r="W102" s="12">
        <f>IF(B102="","",B102+3)</f>
        <v/>
      </c>
      <c r="X102" s="12">
        <f>IF(B102="","",B102+5)</f>
        <v/>
      </c>
      <c r="Y102" s="12">
        <f>IF(B102="","",B102+10)</f>
        <v/>
      </c>
      <c r="Z102" s="13">
        <f>IF(B102="","",(--(B102&lt;&gt;"")+--(C102&lt;&gt;"")+--(D102&lt;&gt;"")+--(E102&lt;&gt;"")+--(F102&lt;&gt;"")+--(G102&lt;&gt;"")+--(H102&lt;&gt;"")+--(I102&lt;&gt;"")+--(J102&lt;&gt;"")+--(K102&lt;&gt;"")+--(L102&lt;&gt;"")+--(M102&lt;&gt;"")+--(N102&lt;&gt;"")+--(O102&lt;&gt;"")+--(P102&lt;&gt;"")+--(Q102&lt;&gt;"")+--(R102&lt;&gt;"")+--(S102&lt;&gt;"")+--(T102&lt;&gt;""))/19)</f>
        <v/>
      </c>
      <c r="AA102" s="16" t="n"/>
      <c r="AB102" s="16" t="n"/>
      <c r="AC102" s="16" t="n"/>
      <c r="AD102" s="16" t="n"/>
      <c r="AE102" s="7">
        <f>IF(B102="","",IF(AND(AA102="合格",AB102="合格",AC102="合格",AD102="合格"),"有效","无效"))</f>
        <v/>
      </c>
    </row>
    <row r="103">
      <c r="A103" s="7">
        <f>IF(B103="","",TEXT(B103,"yyyymmdd")&amp;"-"&amp;TEXT(ROW()-1,"000"))</f>
        <v/>
      </c>
      <c r="B103" s="8" t="n"/>
      <c r="C103" s="9" t="n"/>
      <c r="D103" s="9" t="n"/>
      <c r="E103" s="9" t="n"/>
      <c r="F103" s="9" t="n"/>
      <c r="G103" s="9" t="n"/>
      <c r="H103" s="9" t="n"/>
      <c r="I103" s="9" t="n"/>
      <c r="J103" s="10" t="n"/>
      <c r="K103" s="9" t="n"/>
      <c r="L103" s="9" t="n"/>
      <c r="M103" s="9" t="n"/>
      <c r="N103" s="10" t="n"/>
      <c r="O103" s="9" t="n"/>
      <c r="P103" s="10" t="n"/>
      <c r="Q103" s="10" t="n"/>
      <c r="R103" s="9" t="n"/>
      <c r="S103" s="10" t="n"/>
      <c r="T103" s="10" t="n"/>
      <c r="U103" s="11" t="n"/>
      <c r="V103" s="11" t="n"/>
      <c r="W103" s="12">
        <f>IF(B103="","",B103+3)</f>
        <v/>
      </c>
      <c r="X103" s="12">
        <f>IF(B103="","",B103+5)</f>
        <v/>
      </c>
      <c r="Y103" s="12">
        <f>IF(B103="","",B103+10)</f>
        <v/>
      </c>
      <c r="Z103" s="13">
        <f>IF(B103="","",(--(B103&lt;&gt;"")+--(C103&lt;&gt;"")+--(D103&lt;&gt;"")+--(E103&lt;&gt;"")+--(F103&lt;&gt;"")+--(G103&lt;&gt;"")+--(H103&lt;&gt;"")+--(I103&lt;&gt;"")+--(J103&lt;&gt;"")+--(K103&lt;&gt;"")+--(L103&lt;&gt;"")+--(M103&lt;&gt;"")+--(N103&lt;&gt;"")+--(O103&lt;&gt;"")+--(P103&lt;&gt;"")+--(Q103&lt;&gt;"")+--(R103&lt;&gt;"")+--(S103&lt;&gt;"")+--(T103&lt;&gt;""))/19)</f>
        <v/>
      </c>
      <c r="AA103" s="16" t="n"/>
      <c r="AB103" s="16" t="n"/>
      <c r="AC103" s="16" t="n"/>
      <c r="AD103" s="16" t="n"/>
      <c r="AE103" s="7">
        <f>IF(B103="","",IF(AND(AA103="合格",AB103="合格",AC103="合格",AD103="合格"),"有效","无效"))</f>
        <v/>
      </c>
    </row>
    <row r="104">
      <c r="A104" s="7">
        <f>IF(B104="","",TEXT(B104,"yyyymmdd")&amp;"-"&amp;TEXT(ROW()-1,"000"))</f>
        <v/>
      </c>
      <c r="B104" s="8" t="n"/>
      <c r="C104" s="9" t="n"/>
      <c r="D104" s="9" t="n"/>
      <c r="E104" s="9" t="n"/>
      <c r="F104" s="9" t="n"/>
      <c r="G104" s="9" t="n"/>
      <c r="H104" s="9" t="n"/>
      <c r="I104" s="9" t="n"/>
      <c r="J104" s="10" t="n"/>
      <c r="K104" s="9" t="n"/>
      <c r="L104" s="9" t="n"/>
      <c r="M104" s="9" t="n"/>
      <c r="N104" s="10" t="n"/>
      <c r="O104" s="9" t="n"/>
      <c r="P104" s="10" t="n"/>
      <c r="Q104" s="10" t="n"/>
      <c r="R104" s="9" t="n"/>
      <c r="S104" s="10" t="n"/>
      <c r="T104" s="10" t="n"/>
      <c r="U104" s="11" t="n"/>
      <c r="V104" s="11" t="n"/>
      <c r="W104" s="12">
        <f>IF(B104="","",B104+3)</f>
        <v/>
      </c>
      <c r="X104" s="12">
        <f>IF(B104="","",B104+5)</f>
        <v/>
      </c>
      <c r="Y104" s="12">
        <f>IF(B104="","",B104+10)</f>
        <v/>
      </c>
      <c r="Z104" s="13">
        <f>IF(B104="","",(--(B104&lt;&gt;"")+--(C104&lt;&gt;"")+--(D104&lt;&gt;"")+--(E104&lt;&gt;"")+--(F104&lt;&gt;"")+--(G104&lt;&gt;"")+--(H104&lt;&gt;"")+--(I104&lt;&gt;"")+--(J104&lt;&gt;"")+--(K104&lt;&gt;"")+--(L104&lt;&gt;"")+--(M104&lt;&gt;"")+--(N104&lt;&gt;"")+--(O104&lt;&gt;"")+--(P104&lt;&gt;"")+--(Q104&lt;&gt;"")+--(R104&lt;&gt;"")+--(S104&lt;&gt;"")+--(T104&lt;&gt;""))/19)</f>
        <v/>
      </c>
      <c r="AA104" s="16" t="n"/>
      <c r="AB104" s="16" t="n"/>
      <c r="AC104" s="16" t="n"/>
      <c r="AD104" s="16" t="n"/>
      <c r="AE104" s="7">
        <f>IF(B104="","",IF(AND(AA104="合格",AB104="合格",AC104="合格",AD104="合格"),"有效","无效"))</f>
        <v/>
      </c>
    </row>
    <row r="105">
      <c r="A105" s="7">
        <f>IF(B105="","",TEXT(B105,"yyyymmdd")&amp;"-"&amp;TEXT(ROW()-1,"000"))</f>
        <v/>
      </c>
      <c r="B105" s="8" t="n"/>
      <c r="C105" s="9" t="n"/>
      <c r="D105" s="9" t="n"/>
      <c r="E105" s="9" t="n"/>
      <c r="F105" s="9" t="n"/>
      <c r="G105" s="9" t="n"/>
      <c r="H105" s="9" t="n"/>
      <c r="I105" s="9" t="n"/>
      <c r="J105" s="10" t="n"/>
      <c r="K105" s="9" t="n"/>
      <c r="L105" s="9" t="n"/>
      <c r="M105" s="9" t="n"/>
      <c r="N105" s="10" t="n"/>
      <c r="O105" s="9" t="n"/>
      <c r="P105" s="10" t="n"/>
      <c r="Q105" s="10" t="n"/>
      <c r="R105" s="9" t="n"/>
      <c r="S105" s="10" t="n"/>
      <c r="T105" s="10" t="n"/>
      <c r="U105" s="11" t="n"/>
      <c r="V105" s="11" t="n"/>
      <c r="W105" s="12">
        <f>IF(B105="","",B105+3)</f>
        <v/>
      </c>
      <c r="X105" s="12">
        <f>IF(B105="","",B105+5)</f>
        <v/>
      </c>
      <c r="Y105" s="12">
        <f>IF(B105="","",B105+10)</f>
        <v/>
      </c>
      <c r="Z105" s="13">
        <f>IF(B105="","",(--(B105&lt;&gt;"")+--(C105&lt;&gt;"")+--(D105&lt;&gt;"")+--(E105&lt;&gt;"")+--(F105&lt;&gt;"")+--(G105&lt;&gt;"")+--(H105&lt;&gt;"")+--(I105&lt;&gt;"")+--(J105&lt;&gt;"")+--(K105&lt;&gt;"")+--(L105&lt;&gt;"")+--(M105&lt;&gt;"")+--(N105&lt;&gt;"")+--(O105&lt;&gt;"")+--(P105&lt;&gt;"")+--(Q105&lt;&gt;"")+--(R105&lt;&gt;"")+--(S105&lt;&gt;"")+--(T105&lt;&gt;""))/19)</f>
        <v/>
      </c>
      <c r="AA105" s="16" t="n"/>
      <c r="AB105" s="16" t="n"/>
      <c r="AC105" s="16" t="n"/>
      <c r="AD105" s="16" t="n"/>
      <c r="AE105" s="7">
        <f>IF(B105="","",IF(AND(AA105="合格",AB105="合格",AC105="合格",AD105="合格"),"有效","无效"))</f>
        <v/>
      </c>
    </row>
    <row r="106">
      <c r="A106" s="7">
        <f>IF(B106="","",TEXT(B106,"yyyymmdd")&amp;"-"&amp;TEXT(ROW()-1,"000"))</f>
        <v/>
      </c>
      <c r="B106" s="8" t="n"/>
      <c r="C106" s="9" t="n"/>
      <c r="D106" s="9" t="n"/>
      <c r="E106" s="9" t="n"/>
      <c r="F106" s="9" t="n"/>
      <c r="G106" s="9" t="n"/>
      <c r="H106" s="9" t="n"/>
      <c r="I106" s="9" t="n"/>
      <c r="J106" s="10" t="n"/>
      <c r="K106" s="9" t="n"/>
      <c r="L106" s="9" t="n"/>
      <c r="M106" s="9" t="n"/>
      <c r="N106" s="10" t="n"/>
      <c r="O106" s="9" t="n"/>
      <c r="P106" s="10" t="n"/>
      <c r="Q106" s="10" t="n"/>
      <c r="R106" s="9" t="n"/>
      <c r="S106" s="10" t="n"/>
      <c r="T106" s="10" t="n"/>
      <c r="U106" s="11" t="n"/>
      <c r="V106" s="11" t="n"/>
      <c r="W106" s="12">
        <f>IF(B106="","",B106+3)</f>
        <v/>
      </c>
      <c r="X106" s="12">
        <f>IF(B106="","",B106+5)</f>
        <v/>
      </c>
      <c r="Y106" s="12">
        <f>IF(B106="","",B106+10)</f>
        <v/>
      </c>
      <c r="Z106" s="13">
        <f>IF(B106="","",(--(B106&lt;&gt;"")+--(C106&lt;&gt;"")+--(D106&lt;&gt;"")+--(E106&lt;&gt;"")+--(F106&lt;&gt;"")+--(G106&lt;&gt;"")+--(H106&lt;&gt;"")+--(I106&lt;&gt;"")+--(J106&lt;&gt;"")+--(K106&lt;&gt;"")+--(L106&lt;&gt;"")+--(M106&lt;&gt;"")+--(N106&lt;&gt;"")+--(O106&lt;&gt;"")+--(P106&lt;&gt;"")+--(Q106&lt;&gt;"")+--(R106&lt;&gt;"")+--(S106&lt;&gt;"")+--(T106&lt;&gt;""))/19)</f>
        <v/>
      </c>
      <c r="AA106" s="16" t="n"/>
      <c r="AB106" s="16" t="n"/>
      <c r="AC106" s="16" t="n"/>
      <c r="AD106" s="16" t="n"/>
      <c r="AE106" s="7">
        <f>IF(B106="","",IF(AND(AA106="合格",AB106="合格",AC106="合格",AD106="合格"),"有效","无效"))</f>
        <v/>
      </c>
    </row>
    <row r="107">
      <c r="A107" s="7">
        <f>IF(B107="","",TEXT(B107,"yyyymmdd")&amp;"-"&amp;TEXT(ROW()-1,"000"))</f>
        <v/>
      </c>
      <c r="B107" s="8" t="n"/>
      <c r="C107" s="9" t="n"/>
      <c r="D107" s="9" t="n"/>
      <c r="E107" s="9" t="n"/>
      <c r="F107" s="9" t="n"/>
      <c r="G107" s="9" t="n"/>
      <c r="H107" s="9" t="n"/>
      <c r="I107" s="9" t="n"/>
      <c r="J107" s="10" t="n"/>
      <c r="K107" s="9" t="n"/>
      <c r="L107" s="9" t="n"/>
      <c r="M107" s="9" t="n"/>
      <c r="N107" s="10" t="n"/>
      <c r="O107" s="9" t="n"/>
      <c r="P107" s="10" t="n"/>
      <c r="Q107" s="10" t="n"/>
      <c r="R107" s="9" t="n"/>
      <c r="S107" s="10" t="n"/>
      <c r="T107" s="10" t="n"/>
      <c r="U107" s="11" t="n"/>
      <c r="V107" s="11" t="n"/>
      <c r="W107" s="12">
        <f>IF(B107="","",B107+3)</f>
        <v/>
      </c>
      <c r="X107" s="12">
        <f>IF(B107="","",B107+5)</f>
        <v/>
      </c>
      <c r="Y107" s="12">
        <f>IF(B107="","",B107+10)</f>
        <v/>
      </c>
      <c r="Z107" s="13">
        <f>IF(B107="","",(--(B107&lt;&gt;"")+--(C107&lt;&gt;"")+--(D107&lt;&gt;"")+--(E107&lt;&gt;"")+--(F107&lt;&gt;"")+--(G107&lt;&gt;"")+--(H107&lt;&gt;"")+--(I107&lt;&gt;"")+--(J107&lt;&gt;"")+--(K107&lt;&gt;"")+--(L107&lt;&gt;"")+--(M107&lt;&gt;"")+--(N107&lt;&gt;"")+--(O107&lt;&gt;"")+--(P107&lt;&gt;"")+--(Q107&lt;&gt;"")+--(R107&lt;&gt;"")+--(S107&lt;&gt;"")+--(T107&lt;&gt;""))/19)</f>
        <v/>
      </c>
      <c r="AA107" s="16" t="n"/>
      <c r="AB107" s="16" t="n"/>
      <c r="AC107" s="16" t="n"/>
      <c r="AD107" s="16" t="n"/>
      <c r="AE107" s="7">
        <f>IF(B107="","",IF(AND(AA107="合格",AB107="合格",AC107="合格",AD107="合格"),"有效","无效"))</f>
        <v/>
      </c>
    </row>
    <row r="108">
      <c r="A108" s="7">
        <f>IF(B108="","",TEXT(B108,"yyyymmdd")&amp;"-"&amp;TEXT(ROW()-1,"000"))</f>
        <v/>
      </c>
      <c r="B108" s="8" t="n"/>
      <c r="C108" s="9" t="n"/>
      <c r="D108" s="9" t="n"/>
      <c r="E108" s="9" t="n"/>
      <c r="F108" s="9" t="n"/>
      <c r="G108" s="9" t="n"/>
      <c r="H108" s="9" t="n"/>
      <c r="I108" s="9" t="n"/>
      <c r="J108" s="10" t="n"/>
      <c r="K108" s="9" t="n"/>
      <c r="L108" s="9" t="n"/>
      <c r="M108" s="9" t="n"/>
      <c r="N108" s="10" t="n"/>
      <c r="O108" s="9" t="n"/>
      <c r="P108" s="10" t="n"/>
      <c r="Q108" s="10" t="n"/>
      <c r="R108" s="9" t="n"/>
      <c r="S108" s="10" t="n"/>
      <c r="T108" s="10" t="n"/>
      <c r="U108" s="11" t="n"/>
      <c r="V108" s="11" t="n"/>
      <c r="W108" s="12">
        <f>IF(B108="","",B108+3)</f>
        <v/>
      </c>
      <c r="X108" s="12">
        <f>IF(B108="","",B108+5)</f>
        <v/>
      </c>
      <c r="Y108" s="12">
        <f>IF(B108="","",B108+10)</f>
        <v/>
      </c>
      <c r="Z108" s="13">
        <f>IF(B108="","",(--(B108&lt;&gt;"")+--(C108&lt;&gt;"")+--(D108&lt;&gt;"")+--(E108&lt;&gt;"")+--(F108&lt;&gt;"")+--(G108&lt;&gt;"")+--(H108&lt;&gt;"")+--(I108&lt;&gt;"")+--(J108&lt;&gt;"")+--(K108&lt;&gt;"")+--(L108&lt;&gt;"")+--(M108&lt;&gt;"")+--(N108&lt;&gt;"")+--(O108&lt;&gt;"")+--(P108&lt;&gt;"")+--(Q108&lt;&gt;"")+--(R108&lt;&gt;"")+--(S108&lt;&gt;"")+--(T108&lt;&gt;""))/19)</f>
        <v/>
      </c>
      <c r="AA108" s="16" t="n"/>
      <c r="AB108" s="16" t="n"/>
      <c r="AC108" s="16" t="n"/>
      <c r="AD108" s="16" t="n"/>
      <c r="AE108" s="7">
        <f>IF(B108="","",IF(AND(AA108="合格",AB108="合格",AC108="合格",AD108="合格"),"有效","无效"))</f>
        <v/>
      </c>
    </row>
    <row r="109">
      <c r="A109" s="7">
        <f>IF(B109="","",TEXT(B109,"yyyymmdd")&amp;"-"&amp;TEXT(ROW()-1,"000"))</f>
        <v/>
      </c>
      <c r="B109" s="8" t="n"/>
      <c r="C109" s="9" t="n"/>
      <c r="D109" s="9" t="n"/>
      <c r="E109" s="9" t="n"/>
      <c r="F109" s="9" t="n"/>
      <c r="G109" s="9" t="n"/>
      <c r="H109" s="9" t="n"/>
      <c r="I109" s="9" t="n"/>
      <c r="J109" s="10" t="n"/>
      <c r="K109" s="9" t="n"/>
      <c r="L109" s="9" t="n"/>
      <c r="M109" s="9" t="n"/>
      <c r="N109" s="10" t="n"/>
      <c r="O109" s="9" t="n"/>
      <c r="P109" s="10" t="n"/>
      <c r="Q109" s="10" t="n"/>
      <c r="R109" s="9" t="n"/>
      <c r="S109" s="10" t="n"/>
      <c r="T109" s="10" t="n"/>
      <c r="U109" s="11" t="n"/>
      <c r="V109" s="11" t="n"/>
      <c r="W109" s="12">
        <f>IF(B109="","",B109+3)</f>
        <v/>
      </c>
      <c r="X109" s="12">
        <f>IF(B109="","",B109+5)</f>
        <v/>
      </c>
      <c r="Y109" s="12">
        <f>IF(B109="","",B109+10)</f>
        <v/>
      </c>
      <c r="Z109" s="13">
        <f>IF(B109="","",(--(B109&lt;&gt;"")+--(C109&lt;&gt;"")+--(D109&lt;&gt;"")+--(E109&lt;&gt;"")+--(F109&lt;&gt;"")+--(G109&lt;&gt;"")+--(H109&lt;&gt;"")+--(I109&lt;&gt;"")+--(J109&lt;&gt;"")+--(K109&lt;&gt;"")+--(L109&lt;&gt;"")+--(M109&lt;&gt;"")+--(N109&lt;&gt;"")+--(O109&lt;&gt;"")+--(P109&lt;&gt;"")+--(Q109&lt;&gt;"")+--(R109&lt;&gt;"")+--(S109&lt;&gt;"")+--(T109&lt;&gt;""))/19)</f>
        <v/>
      </c>
      <c r="AA109" s="16" t="n"/>
      <c r="AB109" s="16" t="n"/>
      <c r="AC109" s="16" t="n"/>
      <c r="AD109" s="16" t="n"/>
      <c r="AE109" s="7">
        <f>IF(B109="","",IF(AND(AA109="合格",AB109="合格",AC109="合格",AD109="合格"),"有效","无效"))</f>
        <v/>
      </c>
    </row>
    <row r="110">
      <c r="A110" s="7">
        <f>IF(B110="","",TEXT(B110,"yyyymmdd")&amp;"-"&amp;TEXT(ROW()-1,"000"))</f>
        <v/>
      </c>
      <c r="B110" s="8" t="n"/>
      <c r="C110" s="9" t="n"/>
      <c r="D110" s="9" t="n"/>
      <c r="E110" s="9" t="n"/>
      <c r="F110" s="9" t="n"/>
      <c r="G110" s="9" t="n"/>
      <c r="H110" s="9" t="n"/>
      <c r="I110" s="9" t="n"/>
      <c r="J110" s="10" t="n"/>
      <c r="K110" s="9" t="n"/>
      <c r="L110" s="9" t="n"/>
      <c r="M110" s="9" t="n"/>
      <c r="N110" s="10" t="n"/>
      <c r="O110" s="9" t="n"/>
      <c r="P110" s="10" t="n"/>
      <c r="Q110" s="10" t="n"/>
      <c r="R110" s="9" t="n"/>
      <c r="S110" s="10" t="n"/>
      <c r="T110" s="10" t="n"/>
      <c r="U110" s="11" t="n"/>
      <c r="V110" s="11" t="n"/>
      <c r="W110" s="12">
        <f>IF(B110="","",B110+3)</f>
        <v/>
      </c>
      <c r="X110" s="12">
        <f>IF(B110="","",B110+5)</f>
        <v/>
      </c>
      <c r="Y110" s="12">
        <f>IF(B110="","",B110+10)</f>
        <v/>
      </c>
      <c r="Z110" s="13">
        <f>IF(B110="","",(--(B110&lt;&gt;"")+--(C110&lt;&gt;"")+--(D110&lt;&gt;"")+--(E110&lt;&gt;"")+--(F110&lt;&gt;"")+--(G110&lt;&gt;"")+--(H110&lt;&gt;"")+--(I110&lt;&gt;"")+--(J110&lt;&gt;"")+--(K110&lt;&gt;"")+--(L110&lt;&gt;"")+--(M110&lt;&gt;"")+--(N110&lt;&gt;"")+--(O110&lt;&gt;"")+--(P110&lt;&gt;"")+--(Q110&lt;&gt;"")+--(R110&lt;&gt;"")+--(S110&lt;&gt;"")+--(T110&lt;&gt;""))/19)</f>
        <v/>
      </c>
      <c r="AA110" s="16" t="n"/>
      <c r="AB110" s="16" t="n"/>
      <c r="AC110" s="16" t="n"/>
      <c r="AD110" s="16" t="n"/>
      <c r="AE110" s="7">
        <f>IF(B110="","",IF(AND(AA110="合格",AB110="合格",AC110="合格",AD110="合格"),"有效","无效"))</f>
        <v/>
      </c>
    </row>
    <row r="111">
      <c r="A111" s="7">
        <f>IF(B111="","",TEXT(B111,"yyyymmdd")&amp;"-"&amp;TEXT(ROW()-1,"000"))</f>
        <v/>
      </c>
      <c r="B111" s="8" t="n"/>
      <c r="C111" s="9" t="n"/>
      <c r="D111" s="9" t="n"/>
      <c r="E111" s="9" t="n"/>
      <c r="F111" s="9" t="n"/>
      <c r="G111" s="9" t="n"/>
      <c r="H111" s="9" t="n"/>
      <c r="I111" s="9" t="n"/>
      <c r="J111" s="10" t="n"/>
      <c r="K111" s="9" t="n"/>
      <c r="L111" s="9" t="n"/>
      <c r="M111" s="9" t="n"/>
      <c r="N111" s="10" t="n"/>
      <c r="O111" s="9" t="n"/>
      <c r="P111" s="10" t="n"/>
      <c r="Q111" s="10" t="n"/>
      <c r="R111" s="9" t="n"/>
      <c r="S111" s="10" t="n"/>
      <c r="T111" s="10" t="n"/>
      <c r="U111" s="11" t="n"/>
      <c r="V111" s="11" t="n"/>
      <c r="W111" s="12">
        <f>IF(B111="","",B111+3)</f>
        <v/>
      </c>
      <c r="X111" s="12">
        <f>IF(B111="","",B111+5)</f>
        <v/>
      </c>
      <c r="Y111" s="12">
        <f>IF(B111="","",B111+10)</f>
        <v/>
      </c>
      <c r="Z111" s="13">
        <f>IF(B111="","",(--(B111&lt;&gt;"")+--(C111&lt;&gt;"")+--(D111&lt;&gt;"")+--(E111&lt;&gt;"")+--(F111&lt;&gt;"")+--(G111&lt;&gt;"")+--(H111&lt;&gt;"")+--(I111&lt;&gt;"")+--(J111&lt;&gt;"")+--(K111&lt;&gt;"")+--(L111&lt;&gt;"")+--(M111&lt;&gt;"")+--(N111&lt;&gt;"")+--(O111&lt;&gt;"")+--(P111&lt;&gt;"")+--(Q111&lt;&gt;"")+--(R111&lt;&gt;"")+--(S111&lt;&gt;"")+--(T111&lt;&gt;""))/19)</f>
        <v/>
      </c>
      <c r="AA111" s="16" t="n"/>
      <c r="AB111" s="16" t="n"/>
      <c r="AC111" s="16" t="n"/>
      <c r="AD111" s="16" t="n"/>
      <c r="AE111" s="7">
        <f>IF(B111="","",IF(AND(AA111="合格",AB111="合格",AC111="合格",AD111="合格"),"有效","无效"))</f>
        <v/>
      </c>
    </row>
    <row r="112">
      <c r="A112" s="7">
        <f>IF(B112="","",TEXT(B112,"yyyymmdd")&amp;"-"&amp;TEXT(ROW()-1,"000"))</f>
        <v/>
      </c>
      <c r="B112" s="8" t="n"/>
      <c r="C112" s="9" t="n"/>
      <c r="D112" s="9" t="n"/>
      <c r="E112" s="9" t="n"/>
      <c r="F112" s="9" t="n"/>
      <c r="G112" s="9" t="n"/>
      <c r="H112" s="9" t="n"/>
      <c r="I112" s="9" t="n"/>
      <c r="J112" s="10" t="n"/>
      <c r="K112" s="9" t="n"/>
      <c r="L112" s="9" t="n"/>
      <c r="M112" s="9" t="n"/>
      <c r="N112" s="10" t="n"/>
      <c r="O112" s="9" t="n"/>
      <c r="P112" s="10" t="n"/>
      <c r="Q112" s="10" t="n"/>
      <c r="R112" s="9" t="n"/>
      <c r="S112" s="10" t="n"/>
      <c r="T112" s="10" t="n"/>
      <c r="U112" s="11" t="n"/>
      <c r="V112" s="11" t="n"/>
      <c r="W112" s="12">
        <f>IF(B112="","",B112+3)</f>
        <v/>
      </c>
      <c r="X112" s="12">
        <f>IF(B112="","",B112+5)</f>
        <v/>
      </c>
      <c r="Y112" s="12">
        <f>IF(B112="","",B112+10)</f>
        <v/>
      </c>
      <c r="Z112" s="13">
        <f>IF(B112="","",(--(B112&lt;&gt;"")+--(C112&lt;&gt;"")+--(D112&lt;&gt;"")+--(E112&lt;&gt;"")+--(F112&lt;&gt;"")+--(G112&lt;&gt;"")+--(H112&lt;&gt;"")+--(I112&lt;&gt;"")+--(J112&lt;&gt;"")+--(K112&lt;&gt;"")+--(L112&lt;&gt;"")+--(M112&lt;&gt;"")+--(N112&lt;&gt;"")+--(O112&lt;&gt;"")+--(P112&lt;&gt;"")+--(Q112&lt;&gt;"")+--(R112&lt;&gt;"")+--(S112&lt;&gt;"")+--(T112&lt;&gt;""))/19)</f>
        <v/>
      </c>
      <c r="AA112" s="16" t="n"/>
      <c r="AB112" s="16" t="n"/>
      <c r="AC112" s="16" t="n"/>
      <c r="AD112" s="16" t="n"/>
      <c r="AE112" s="7">
        <f>IF(B112="","",IF(AND(AA112="合格",AB112="合格",AC112="合格",AD112="合格"),"有效","无效"))</f>
        <v/>
      </c>
    </row>
    <row r="113">
      <c r="A113" s="7">
        <f>IF(B113="","",TEXT(B113,"yyyymmdd")&amp;"-"&amp;TEXT(ROW()-1,"000"))</f>
        <v/>
      </c>
      <c r="B113" s="8" t="n"/>
      <c r="C113" s="9" t="n"/>
      <c r="D113" s="9" t="n"/>
      <c r="E113" s="9" t="n"/>
      <c r="F113" s="9" t="n"/>
      <c r="G113" s="9" t="n"/>
      <c r="H113" s="9" t="n"/>
      <c r="I113" s="9" t="n"/>
      <c r="J113" s="10" t="n"/>
      <c r="K113" s="9" t="n"/>
      <c r="L113" s="9" t="n"/>
      <c r="M113" s="9" t="n"/>
      <c r="N113" s="10" t="n"/>
      <c r="O113" s="9" t="n"/>
      <c r="P113" s="10" t="n"/>
      <c r="Q113" s="10" t="n"/>
      <c r="R113" s="9" t="n"/>
      <c r="S113" s="10" t="n"/>
      <c r="T113" s="10" t="n"/>
      <c r="U113" s="11" t="n"/>
      <c r="V113" s="11" t="n"/>
      <c r="W113" s="12">
        <f>IF(B113="","",B113+3)</f>
        <v/>
      </c>
      <c r="X113" s="12">
        <f>IF(B113="","",B113+5)</f>
        <v/>
      </c>
      <c r="Y113" s="12">
        <f>IF(B113="","",B113+10)</f>
        <v/>
      </c>
      <c r="Z113" s="13">
        <f>IF(B113="","",(--(B113&lt;&gt;"")+--(C113&lt;&gt;"")+--(D113&lt;&gt;"")+--(E113&lt;&gt;"")+--(F113&lt;&gt;"")+--(G113&lt;&gt;"")+--(H113&lt;&gt;"")+--(I113&lt;&gt;"")+--(J113&lt;&gt;"")+--(K113&lt;&gt;"")+--(L113&lt;&gt;"")+--(M113&lt;&gt;"")+--(N113&lt;&gt;"")+--(O113&lt;&gt;"")+--(P113&lt;&gt;"")+--(Q113&lt;&gt;"")+--(R113&lt;&gt;"")+--(S113&lt;&gt;"")+--(T113&lt;&gt;""))/19)</f>
        <v/>
      </c>
      <c r="AA113" s="16" t="n"/>
      <c r="AB113" s="16" t="n"/>
      <c r="AC113" s="16" t="n"/>
      <c r="AD113" s="16" t="n"/>
      <c r="AE113" s="7">
        <f>IF(B113="","",IF(AND(AA113="合格",AB113="合格",AC113="合格",AD113="合格"),"有效","无效"))</f>
        <v/>
      </c>
    </row>
    <row r="114">
      <c r="A114" s="7">
        <f>IF(B114="","",TEXT(B114,"yyyymmdd")&amp;"-"&amp;TEXT(ROW()-1,"000"))</f>
        <v/>
      </c>
      <c r="B114" s="8" t="n"/>
      <c r="C114" s="9" t="n"/>
      <c r="D114" s="9" t="n"/>
      <c r="E114" s="9" t="n"/>
      <c r="F114" s="9" t="n"/>
      <c r="G114" s="9" t="n"/>
      <c r="H114" s="9" t="n"/>
      <c r="I114" s="9" t="n"/>
      <c r="J114" s="10" t="n"/>
      <c r="K114" s="9" t="n"/>
      <c r="L114" s="9" t="n"/>
      <c r="M114" s="9" t="n"/>
      <c r="N114" s="10" t="n"/>
      <c r="O114" s="9" t="n"/>
      <c r="P114" s="10" t="n"/>
      <c r="Q114" s="10" t="n"/>
      <c r="R114" s="9" t="n"/>
      <c r="S114" s="10" t="n"/>
      <c r="T114" s="10" t="n"/>
      <c r="U114" s="11" t="n"/>
      <c r="V114" s="11" t="n"/>
      <c r="W114" s="12">
        <f>IF(B114="","",B114+3)</f>
        <v/>
      </c>
      <c r="X114" s="12">
        <f>IF(B114="","",B114+5)</f>
        <v/>
      </c>
      <c r="Y114" s="12">
        <f>IF(B114="","",B114+10)</f>
        <v/>
      </c>
      <c r="Z114" s="13">
        <f>IF(B114="","",(--(B114&lt;&gt;"")+--(C114&lt;&gt;"")+--(D114&lt;&gt;"")+--(E114&lt;&gt;"")+--(F114&lt;&gt;"")+--(G114&lt;&gt;"")+--(H114&lt;&gt;"")+--(I114&lt;&gt;"")+--(J114&lt;&gt;"")+--(K114&lt;&gt;"")+--(L114&lt;&gt;"")+--(M114&lt;&gt;"")+--(N114&lt;&gt;"")+--(O114&lt;&gt;"")+--(P114&lt;&gt;"")+--(Q114&lt;&gt;"")+--(R114&lt;&gt;"")+--(S114&lt;&gt;"")+--(T114&lt;&gt;""))/19)</f>
        <v/>
      </c>
      <c r="AA114" s="16" t="n"/>
      <c r="AB114" s="16" t="n"/>
      <c r="AC114" s="16" t="n"/>
      <c r="AD114" s="16" t="n"/>
      <c r="AE114" s="7">
        <f>IF(B114="","",IF(AND(AA114="合格",AB114="合格",AC114="合格",AD114="合格"),"有效","无效"))</f>
        <v/>
      </c>
    </row>
    <row r="115">
      <c r="A115" s="7">
        <f>IF(B115="","",TEXT(B115,"yyyymmdd")&amp;"-"&amp;TEXT(ROW()-1,"000"))</f>
        <v/>
      </c>
      <c r="B115" s="8" t="n"/>
      <c r="C115" s="9" t="n"/>
      <c r="D115" s="9" t="n"/>
      <c r="E115" s="9" t="n"/>
      <c r="F115" s="9" t="n"/>
      <c r="G115" s="9" t="n"/>
      <c r="H115" s="9" t="n"/>
      <c r="I115" s="9" t="n"/>
      <c r="J115" s="10" t="n"/>
      <c r="K115" s="9" t="n"/>
      <c r="L115" s="9" t="n"/>
      <c r="M115" s="9" t="n"/>
      <c r="N115" s="10" t="n"/>
      <c r="O115" s="9" t="n"/>
      <c r="P115" s="10" t="n"/>
      <c r="Q115" s="10" t="n"/>
      <c r="R115" s="9" t="n"/>
      <c r="S115" s="10" t="n"/>
      <c r="T115" s="10" t="n"/>
      <c r="U115" s="11" t="n"/>
      <c r="V115" s="11" t="n"/>
      <c r="W115" s="12">
        <f>IF(B115="","",B115+3)</f>
        <v/>
      </c>
      <c r="X115" s="12">
        <f>IF(B115="","",B115+5)</f>
        <v/>
      </c>
      <c r="Y115" s="12">
        <f>IF(B115="","",B115+10)</f>
        <v/>
      </c>
      <c r="Z115" s="13">
        <f>IF(B115="","",(--(B115&lt;&gt;"")+--(C115&lt;&gt;"")+--(D115&lt;&gt;"")+--(E115&lt;&gt;"")+--(F115&lt;&gt;"")+--(G115&lt;&gt;"")+--(H115&lt;&gt;"")+--(I115&lt;&gt;"")+--(J115&lt;&gt;"")+--(K115&lt;&gt;"")+--(L115&lt;&gt;"")+--(M115&lt;&gt;"")+--(N115&lt;&gt;"")+--(O115&lt;&gt;"")+--(P115&lt;&gt;"")+--(Q115&lt;&gt;"")+--(R115&lt;&gt;"")+--(S115&lt;&gt;"")+--(T115&lt;&gt;""))/19)</f>
        <v/>
      </c>
      <c r="AA115" s="16" t="n"/>
      <c r="AB115" s="16" t="n"/>
      <c r="AC115" s="16" t="n"/>
      <c r="AD115" s="16" t="n"/>
      <c r="AE115" s="7">
        <f>IF(B115="","",IF(AND(AA115="合格",AB115="合格",AC115="合格",AD115="合格"),"有效","无效"))</f>
        <v/>
      </c>
    </row>
    <row r="116">
      <c r="A116" s="7">
        <f>IF(B116="","",TEXT(B116,"yyyymmdd")&amp;"-"&amp;TEXT(ROW()-1,"000"))</f>
        <v/>
      </c>
      <c r="B116" s="8" t="n"/>
      <c r="C116" s="9" t="n"/>
      <c r="D116" s="9" t="n"/>
      <c r="E116" s="9" t="n"/>
      <c r="F116" s="9" t="n"/>
      <c r="G116" s="9" t="n"/>
      <c r="H116" s="9" t="n"/>
      <c r="I116" s="9" t="n"/>
      <c r="J116" s="10" t="n"/>
      <c r="K116" s="9" t="n"/>
      <c r="L116" s="9" t="n"/>
      <c r="M116" s="9" t="n"/>
      <c r="N116" s="10" t="n"/>
      <c r="O116" s="9" t="n"/>
      <c r="P116" s="10" t="n"/>
      <c r="Q116" s="10" t="n"/>
      <c r="R116" s="9" t="n"/>
      <c r="S116" s="10" t="n"/>
      <c r="T116" s="10" t="n"/>
      <c r="U116" s="11" t="n"/>
      <c r="V116" s="11" t="n"/>
      <c r="W116" s="12">
        <f>IF(B116="","",B116+3)</f>
        <v/>
      </c>
      <c r="X116" s="12">
        <f>IF(B116="","",B116+5)</f>
        <v/>
      </c>
      <c r="Y116" s="12">
        <f>IF(B116="","",B116+10)</f>
        <v/>
      </c>
      <c r="Z116" s="13">
        <f>IF(B116="","",(--(B116&lt;&gt;"")+--(C116&lt;&gt;"")+--(D116&lt;&gt;"")+--(E116&lt;&gt;"")+--(F116&lt;&gt;"")+--(G116&lt;&gt;"")+--(H116&lt;&gt;"")+--(I116&lt;&gt;"")+--(J116&lt;&gt;"")+--(K116&lt;&gt;"")+--(L116&lt;&gt;"")+--(M116&lt;&gt;"")+--(N116&lt;&gt;"")+--(O116&lt;&gt;"")+--(P116&lt;&gt;"")+--(Q116&lt;&gt;"")+--(R116&lt;&gt;"")+--(S116&lt;&gt;"")+--(T116&lt;&gt;""))/19)</f>
        <v/>
      </c>
      <c r="AA116" s="16" t="n"/>
      <c r="AB116" s="16" t="n"/>
      <c r="AC116" s="16" t="n"/>
      <c r="AD116" s="16" t="n"/>
      <c r="AE116" s="7">
        <f>IF(B116="","",IF(AND(AA116="合格",AB116="合格",AC116="合格",AD116="合格"),"有效","无效"))</f>
        <v/>
      </c>
    </row>
    <row r="117">
      <c r="A117" s="7">
        <f>IF(B117="","",TEXT(B117,"yyyymmdd")&amp;"-"&amp;TEXT(ROW()-1,"000"))</f>
        <v/>
      </c>
      <c r="B117" s="8" t="n"/>
      <c r="C117" s="9" t="n"/>
      <c r="D117" s="9" t="n"/>
      <c r="E117" s="9" t="n"/>
      <c r="F117" s="9" t="n"/>
      <c r="G117" s="9" t="n"/>
      <c r="H117" s="9" t="n"/>
      <c r="I117" s="9" t="n"/>
      <c r="J117" s="10" t="n"/>
      <c r="K117" s="9" t="n"/>
      <c r="L117" s="9" t="n"/>
      <c r="M117" s="9" t="n"/>
      <c r="N117" s="10" t="n"/>
      <c r="O117" s="9" t="n"/>
      <c r="P117" s="10" t="n"/>
      <c r="Q117" s="10" t="n"/>
      <c r="R117" s="9" t="n"/>
      <c r="S117" s="10" t="n"/>
      <c r="T117" s="10" t="n"/>
      <c r="U117" s="11" t="n"/>
      <c r="V117" s="11" t="n"/>
      <c r="W117" s="12">
        <f>IF(B117="","",B117+3)</f>
        <v/>
      </c>
      <c r="X117" s="12">
        <f>IF(B117="","",B117+5)</f>
        <v/>
      </c>
      <c r="Y117" s="12">
        <f>IF(B117="","",B117+10)</f>
        <v/>
      </c>
      <c r="Z117" s="13">
        <f>IF(B117="","",(--(B117&lt;&gt;"")+--(C117&lt;&gt;"")+--(D117&lt;&gt;"")+--(E117&lt;&gt;"")+--(F117&lt;&gt;"")+--(G117&lt;&gt;"")+--(H117&lt;&gt;"")+--(I117&lt;&gt;"")+--(J117&lt;&gt;"")+--(K117&lt;&gt;"")+--(L117&lt;&gt;"")+--(M117&lt;&gt;"")+--(N117&lt;&gt;"")+--(O117&lt;&gt;"")+--(P117&lt;&gt;"")+--(Q117&lt;&gt;"")+--(R117&lt;&gt;"")+--(S117&lt;&gt;"")+--(T117&lt;&gt;""))/19)</f>
        <v/>
      </c>
      <c r="AA117" s="16" t="n"/>
      <c r="AB117" s="16" t="n"/>
      <c r="AC117" s="16" t="n"/>
      <c r="AD117" s="16" t="n"/>
      <c r="AE117" s="7">
        <f>IF(B117="","",IF(AND(AA117="合格",AB117="合格",AC117="合格",AD117="合格"),"有效","无效"))</f>
        <v/>
      </c>
    </row>
    <row r="118">
      <c r="A118" s="7">
        <f>IF(B118="","",TEXT(B118,"yyyymmdd")&amp;"-"&amp;TEXT(ROW()-1,"000"))</f>
        <v/>
      </c>
      <c r="B118" s="8" t="n"/>
      <c r="C118" s="9" t="n"/>
      <c r="D118" s="9" t="n"/>
      <c r="E118" s="9" t="n"/>
      <c r="F118" s="9" t="n"/>
      <c r="G118" s="9" t="n"/>
      <c r="H118" s="9" t="n"/>
      <c r="I118" s="9" t="n"/>
      <c r="J118" s="10" t="n"/>
      <c r="K118" s="9" t="n"/>
      <c r="L118" s="9" t="n"/>
      <c r="M118" s="9" t="n"/>
      <c r="N118" s="10" t="n"/>
      <c r="O118" s="9" t="n"/>
      <c r="P118" s="10" t="n"/>
      <c r="Q118" s="10" t="n"/>
      <c r="R118" s="9" t="n"/>
      <c r="S118" s="10" t="n"/>
      <c r="T118" s="10" t="n"/>
      <c r="U118" s="11" t="n"/>
      <c r="V118" s="11" t="n"/>
      <c r="W118" s="12">
        <f>IF(B118="","",B118+3)</f>
        <v/>
      </c>
      <c r="X118" s="12">
        <f>IF(B118="","",B118+5)</f>
        <v/>
      </c>
      <c r="Y118" s="12">
        <f>IF(B118="","",B118+10)</f>
        <v/>
      </c>
      <c r="Z118" s="13">
        <f>IF(B118="","",(--(B118&lt;&gt;"")+--(C118&lt;&gt;"")+--(D118&lt;&gt;"")+--(E118&lt;&gt;"")+--(F118&lt;&gt;"")+--(G118&lt;&gt;"")+--(H118&lt;&gt;"")+--(I118&lt;&gt;"")+--(J118&lt;&gt;"")+--(K118&lt;&gt;"")+--(L118&lt;&gt;"")+--(M118&lt;&gt;"")+--(N118&lt;&gt;"")+--(O118&lt;&gt;"")+--(P118&lt;&gt;"")+--(Q118&lt;&gt;"")+--(R118&lt;&gt;"")+--(S118&lt;&gt;"")+--(T118&lt;&gt;""))/19)</f>
        <v/>
      </c>
      <c r="AA118" s="16" t="n"/>
      <c r="AB118" s="16" t="n"/>
      <c r="AC118" s="16" t="n"/>
      <c r="AD118" s="16" t="n"/>
      <c r="AE118" s="7">
        <f>IF(B118="","",IF(AND(AA118="合格",AB118="合格",AC118="合格",AD118="合格"),"有效","无效"))</f>
        <v/>
      </c>
    </row>
    <row r="119">
      <c r="A119" s="7">
        <f>IF(B119="","",TEXT(B119,"yyyymmdd")&amp;"-"&amp;TEXT(ROW()-1,"000"))</f>
        <v/>
      </c>
      <c r="B119" s="8" t="n"/>
      <c r="C119" s="9" t="n"/>
      <c r="D119" s="9" t="n"/>
      <c r="E119" s="9" t="n"/>
      <c r="F119" s="9" t="n"/>
      <c r="G119" s="9" t="n"/>
      <c r="H119" s="9" t="n"/>
      <c r="I119" s="9" t="n"/>
      <c r="J119" s="10" t="n"/>
      <c r="K119" s="9" t="n"/>
      <c r="L119" s="9" t="n"/>
      <c r="M119" s="9" t="n"/>
      <c r="N119" s="10" t="n"/>
      <c r="O119" s="9" t="n"/>
      <c r="P119" s="10" t="n"/>
      <c r="Q119" s="10" t="n"/>
      <c r="R119" s="9" t="n"/>
      <c r="S119" s="10" t="n"/>
      <c r="T119" s="10" t="n"/>
      <c r="U119" s="11" t="n"/>
      <c r="V119" s="11" t="n"/>
      <c r="W119" s="12">
        <f>IF(B119="","",B119+3)</f>
        <v/>
      </c>
      <c r="X119" s="12">
        <f>IF(B119="","",B119+5)</f>
        <v/>
      </c>
      <c r="Y119" s="12">
        <f>IF(B119="","",B119+10)</f>
        <v/>
      </c>
      <c r="Z119" s="13">
        <f>IF(B119="","",(--(B119&lt;&gt;"")+--(C119&lt;&gt;"")+--(D119&lt;&gt;"")+--(E119&lt;&gt;"")+--(F119&lt;&gt;"")+--(G119&lt;&gt;"")+--(H119&lt;&gt;"")+--(I119&lt;&gt;"")+--(J119&lt;&gt;"")+--(K119&lt;&gt;"")+--(L119&lt;&gt;"")+--(M119&lt;&gt;"")+--(N119&lt;&gt;"")+--(O119&lt;&gt;"")+--(P119&lt;&gt;"")+--(Q119&lt;&gt;"")+--(R119&lt;&gt;"")+--(S119&lt;&gt;"")+--(T119&lt;&gt;""))/19)</f>
        <v/>
      </c>
      <c r="AA119" s="16" t="n"/>
      <c r="AB119" s="16" t="n"/>
      <c r="AC119" s="16" t="n"/>
      <c r="AD119" s="16" t="n"/>
      <c r="AE119" s="7">
        <f>IF(B119="","",IF(AND(AA119="合格",AB119="合格",AC119="合格",AD119="合格"),"有效","无效"))</f>
        <v/>
      </c>
    </row>
    <row r="120">
      <c r="A120" s="7">
        <f>IF(B120="","",TEXT(B120,"yyyymmdd")&amp;"-"&amp;TEXT(ROW()-1,"000"))</f>
        <v/>
      </c>
      <c r="B120" s="8" t="n"/>
      <c r="C120" s="9" t="n"/>
      <c r="D120" s="9" t="n"/>
      <c r="E120" s="9" t="n"/>
      <c r="F120" s="9" t="n"/>
      <c r="G120" s="9" t="n"/>
      <c r="H120" s="9" t="n"/>
      <c r="I120" s="9" t="n"/>
      <c r="J120" s="10" t="n"/>
      <c r="K120" s="9" t="n"/>
      <c r="L120" s="9" t="n"/>
      <c r="M120" s="9" t="n"/>
      <c r="N120" s="10" t="n"/>
      <c r="O120" s="9" t="n"/>
      <c r="P120" s="10" t="n"/>
      <c r="Q120" s="10" t="n"/>
      <c r="R120" s="9" t="n"/>
      <c r="S120" s="10" t="n"/>
      <c r="T120" s="10" t="n"/>
      <c r="U120" s="11" t="n"/>
      <c r="V120" s="11" t="n"/>
      <c r="W120" s="12">
        <f>IF(B120="","",B120+3)</f>
        <v/>
      </c>
      <c r="X120" s="12">
        <f>IF(B120="","",B120+5)</f>
        <v/>
      </c>
      <c r="Y120" s="12">
        <f>IF(B120="","",B120+10)</f>
        <v/>
      </c>
      <c r="Z120" s="13">
        <f>IF(B120="","",(--(B120&lt;&gt;"")+--(C120&lt;&gt;"")+--(D120&lt;&gt;"")+--(E120&lt;&gt;"")+--(F120&lt;&gt;"")+--(G120&lt;&gt;"")+--(H120&lt;&gt;"")+--(I120&lt;&gt;"")+--(J120&lt;&gt;"")+--(K120&lt;&gt;"")+--(L120&lt;&gt;"")+--(M120&lt;&gt;"")+--(N120&lt;&gt;"")+--(O120&lt;&gt;"")+--(P120&lt;&gt;"")+--(Q120&lt;&gt;"")+--(R120&lt;&gt;"")+--(S120&lt;&gt;"")+--(T120&lt;&gt;""))/19)</f>
        <v/>
      </c>
      <c r="AA120" s="16" t="n"/>
      <c r="AB120" s="16" t="n"/>
      <c r="AC120" s="16" t="n"/>
      <c r="AD120" s="16" t="n"/>
      <c r="AE120" s="7">
        <f>IF(B120="","",IF(AND(AA120="合格",AB120="合格",AC120="合格",AD120="合格"),"有效","无效"))</f>
        <v/>
      </c>
    </row>
    <row r="121">
      <c r="A121" s="7">
        <f>IF(B121="","",TEXT(B121,"yyyymmdd")&amp;"-"&amp;TEXT(ROW()-1,"000"))</f>
        <v/>
      </c>
      <c r="B121" s="8" t="n"/>
      <c r="C121" s="9" t="n"/>
      <c r="D121" s="9" t="n"/>
      <c r="E121" s="9" t="n"/>
      <c r="F121" s="9" t="n"/>
      <c r="G121" s="9" t="n"/>
      <c r="H121" s="9" t="n"/>
      <c r="I121" s="9" t="n"/>
      <c r="J121" s="10" t="n"/>
      <c r="K121" s="9" t="n"/>
      <c r="L121" s="9" t="n"/>
      <c r="M121" s="9" t="n"/>
      <c r="N121" s="10" t="n"/>
      <c r="O121" s="9" t="n"/>
      <c r="P121" s="10" t="n"/>
      <c r="Q121" s="10" t="n"/>
      <c r="R121" s="9" t="n"/>
      <c r="S121" s="10" t="n"/>
      <c r="T121" s="10" t="n"/>
      <c r="U121" s="11" t="n"/>
      <c r="V121" s="11" t="n"/>
      <c r="W121" s="12">
        <f>IF(B121="","",B121+3)</f>
        <v/>
      </c>
      <c r="X121" s="12">
        <f>IF(B121="","",B121+5)</f>
        <v/>
      </c>
      <c r="Y121" s="12">
        <f>IF(B121="","",B121+10)</f>
        <v/>
      </c>
      <c r="Z121" s="13">
        <f>IF(B121="","",(--(B121&lt;&gt;"")+--(C121&lt;&gt;"")+--(D121&lt;&gt;"")+--(E121&lt;&gt;"")+--(F121&lt;&gt;"")+--(G121&lt;&gt;"")+--(H121&lt;&gt;"")+--(I121&lt;&gt;"")+--(J121&lt;&gt;"")+--(K121&lt;&gt;"")+--(L121&lt;&gt;"")+--(M121&lt;&gt;"")+--(N121&lt;&gt;"")+--(O121&lt;&gt;"")+--(P121&lt;&gt;"")+--(Q121&lt;&gt;"")+--(R121&lt;&gt;"")+--(S121&lt;&gt;"")+--(T121&lt;&gt;""))/19)</f>
        <v/>
      </c>
      <c r="AA121" s="16" t="n"/>
      <c r="AB121" s="16" t="n"/>
      <c r="AC121" s="16" t="n"/>
      <c r="AD121" s="16" t="n"/>
      <c r="AE121" s="7">
        <f>IF(B121="","",IF(AND(AA121="合格",AB121="合格",AC121="合格",AD121="合格"),"有效","无效"))</f>
        <v/>
      </c>
    </row>
    <row r="122">
      <c r="A122" s="7">
        <f>IF(B122="","",TEXT(B122,"yyyymmdd")&amp;"-"&amp;TEXT(ROW()-1,"000"))</f>
        <v/>
      </c>
      <c r="B122" s="8" t="n"/>
      <c r="C122" s="9" t="n"/>
      <c r="D122" s="9" t="n"/>
      <c r="E122" s="9" t="n"/>
      <c r="F122" s="9" t="n"/>
      <c r="G122" s="9" t="n"/>
      <c r="H122" s="9" t="n"/>
      <c r="I122" s="9" t="n"/>
      <c r="J122" s="10" t="n"/>
      <c r="K122" s="9" t="n"/>
      <c r="L122" s="9" t="n"/>
      <c r="M122" s="9" t="n"/>
      <c r="N122" s="10" t="n"/>
      <c r="O122" s="9" t="n"/>
      <c r="P122" s="10" t="n"/>
      <c r="Q122" s="10" t="n"/>
      <c r="R122" s="9" t="n"/>
      <c r="S122" s="10" t="n"/>
      <c r="T122" s="10" t="n"/>
      <c r="U122" s="11" t="n"/>
      <c r="V122" s="11" t="n"/>
      <c r="W122" s="12">
        <f>IF(B122="","",B122+3)</f>
        <v/>
      </c>
      <c r="X122" s="12">
        <f>IF(B122="","",B122+5)</f>
        <v/>
      </c>
      <c r="Y122" s="12">
        <f>IF(B122="","",B122+10)</f>
        <v/>
      </c>
      <c r="Z122" s="13">
        <f>IF(B122="","",(--(B122&lt;&gt;"")+--(C122&lt;&gt;"")+--(D122&lt;&gt;"")+--(E122&lt;&gt;"")+--(F122&lt;&gt;"")+--(G122&lt;&gt;"")+--(H122&lt;&gt;"")+--(I122&lt;&gt;"")+--(J122&lt;&gt;"")+--(K122&lt;&gt;"")+--(L122&lt;&gt;"")+--(M122&lt;&gt;"")+--(N122&lt;&gt;"")+--(O122&lt;&gt;"")+--(P122&lt;&gt;"")+--(Q122&lt;&gt;"")+--(R122&lt;&gt;"")+--(S122&lt;&gt;"")+--(T122&lt;&gt;""))/19)</f>
        <v/>
      </c>
      <c r="AA122" s="16" t="n"/>
      <c r="AB122" s="16" t="n"/>
      <c r="AC122" s="16" t="n"/>
      <c r="AD122" s="16" t="n"/>
      <c r="AE122" s="7">
        <f>IF(B122="","",IF(AND(AA122="合格",AB122="合格",AC122="合格",AD122="合格"),"有效","无效"))</f>
        <v/>
      </c>
    </row>
    <row r="123">
      <c r="A123" s="7">
        <f>IF(B123="","",TEXT(B123,"yyyymmdd")&amp;"-"&amp;TEXT(ROW()-1,"000"))</f>
        <v/>
      </c>
      <c r="B123" s="8" t="n"/>
      <c r="C123" s="9" t="n"/>
      <c r="D123" s="9" t="n"/>
      <c r="E123" s="9" t="n"/>
      <c r="F123" s="9" t="n"/>
      <c r="G123" s="9" t="n"/>
      <c r="H123" s="9" t="n"/>
      <c r="I123" s="9" t="n"/>
      <c r="J123" s="10" t="n"/>
      <c r="K123" s="9" t="n"/>
      <c r="L123" s="9" t="n"/>
      <c r="M123" s="9" t="n"/>
      <c r="N123" s="10" t="n"/>
      <c r="O123" s="9" t="n"/>
      <c r="P123" s="10" t="n"/>
      <c r="Q123" s="10" t="n"/>
      <c r="R123" s="9" t="n"/>
      <c r="S123" s="10" t="n"/>
      <c r="T123" s="10" t="n"/>
      <c r="U123" s="11" t="n"/>
      <c r="V123" s="11" t="n"/>
      <c r="W123" s="12">
        <f>IF(B123="","",B123+3)</f>
        <v/>
      </c>
      <c r="X123" s="12">
        <f>IF(B123="","",B123+5)</f>
        <v/>
      </c>
      <c r="Y123" s="12">
        <f>IF(B123="","",B123+10)</f>
        <v/>
      </c>
      <c r="Z123" s="13">
        <f>IF(B123="","",(--(B123&lt;&gt;"")+--(C123&lt;&gt;"")+--(D123&lt;&gt;"")+--(E123&lt;&gt;"")+--(F123&lt;&gt;"")+--(G123&lt;&gt;"")+--(H123&lt;&gt;"")+--(I123&lt;&gt;"")+--(J123&lt;&gt;"")+--(K123&lt;&gt;"")+--(L123&lt;&gt;"")+--(M123&lt;&gt;"")+--(N123&lt;&gt;"")+--(O123&lt;&gt;"")+--(P123&lt;&gt;"")+--(Q123&lt;&gt;"")+--(R123&lt;&gt;"")+--(S123&lt;&gt;"")+--(T123&lt;&gt;""))/19)</f>
        <v/>
      </c>
      <c r="AA123" s="16" t="n"/>
      <c r="AB123" s="16" t="n"/>
      <c r="AC123" s="16" t="n"/>
      <c r="AD123" s="16" t="n"/>
      <c r="AE123" s="7">
        <f>IF(B123="","",IF(AND(AA123="合格",AB123="合格",AC123="合格",AD123="合格"),"有效","无效"))</f>
        <v/>
      </c>
    </row>
    <row r="124">
      <c r="A124" s="7">
        <f>IF(B124="","",TEXT(B124,"yyyymmdd")&amp;"-"&amp;TEXT(ROW()-1,"000"))</f>
        <v/>
      </c>
      <c r="B124" s="8" t="n"/>
      <c r="C124" s="9" t="n"/>
      <c r="D124" s="9" t="n"/>
      <c r="E124" s="9" t="n"/>
      <c r="F124" s="9" t="n"/>
      <c r="G124" s="9" t="n"/>
      <c r="H124" s="9" t="n"/>
      <c r="I124" s="9" t="n"/>
      <c r="J124" s="10" t="n"/>
      <c r="K124" s="9" t="n"/>
      <c r="L124" s="9" t="n"/>
      <c r="M124" s="9" t="n"/>
      <c r="N124" s="10" t="n"/>
      <c r="O124" s="9" t="n"/>
      <c r="P124" s="10" t="n"/>
      <c r="Q124" s="10" t="n"/>
      <c r="R124" s="9" t="n"/>
      <c r="S124" s="10" t="n"/>
      <c r="T124" s="10" t="n"/>
      <c r="U124" s="11" t="n"/>
      <c r="V124" s="11" t="n"/>
      <c r="W124" s="12">
        <f>IF(B124="","",B124+3)</f>
        <v/>
      </c>
      <c r="X124" s="12">
        <f>IF(B124="","",B124+5)</f>
        <v/>
      </c>
      <c r="Y124" s="12">
        <f>IF(B124="","",B124+10)</f>
        <v/>
      </c>
      <c r="Z124" s="13">
        <f>IF(B124="","",(--(B124&lt;&gt;"")+--(C124&lt;&gt;"")+--(D124&lt;&gt;"")+--(E124&lt;&gt;"")+--(F124&lt;&gt;"")+--(G124&lt;&gt;"")+--(H124&lt;&gt;"")+--(I124&lt;&gt;"")+--(J124&lt;&gt;"")+--(K124&lt;&gt;"")+--(L124&lt;&gt;"")+--(M124&lt;&gt;"")+--(N124&lt;&gt;"")+--(O124&lt;&gt;"")+--(P124&lt;&gt;"")+--(Q124&lt;&gt;"")+--(R124&lt;&gt;"")+--(S124&lt;&gt;"")+--(T124&lt;&gt;""))/19)</f>
        <v/>
      </c>
      <c r="AA124" s="16" t="n"/>
      <c r="AB124" s="16" t="n"/>
      <c r="AC124" s="16" t="n"/>
      <c r="AD124" s="16" t="n"/>
      <c r="AE124" s="7">
        <f>IF(B124="","",IF(AND(AA124="合格",AB124="合格",AC124="合格",AD124="合格"),"有效","无效"))</f>
        <v/>
      </c>
    </row>
    <row r="125">
      <c r="A125" s="7">
        <f>IF(B125="","",TEXT(B125,"yyyymmdd")&amp;"-"&amp;TEXT(ROW()-1,"000"))</f>
        <v/>
      </c>
      <c r="B125" s="8" t="n"/>
      <c r="C125" s="9" t="n"/>
      <c r="D125" s="9" t="n"/>
      <c r="E125" s="9" t="n"/>
      <c r="F125" s="9" t="n"/>
      <c r="G125" s="9" t="n"/>
      <c r="H125" s="9" t="n"/>
      <c r="I125" s="9" t="n"/>
      <c r="J125" s="10" t="n"/>
      <c r="K125" s="9" t="n"/>
      <c r="L125" s="9" t="n"/>
      <c r="M125" s="9" t="n"/>
      <c r="N125" s="10" t="n"/>
      <c r="O125" s="9" t="n"/>
      <c r="P125" s="10" t="n"/>
      <c r="Q125" s="10" t="n"/>
      <c r="R125" s="9" t="n"/>
      <c r="S125" s="10" t="n"/>
      <c r="T125" s="10" t="n"/>
      <c r="U125" s="11" t="n"/>
      <c r="V125" s="11" t="n"/>
      <c r="W125" s="12">
        <f>IF(B125="","",B125+3)</f>
        <v/>
      </c>
      <c r="X125" s="12">
        <f>IF(B125="","",B125+5)</f>
        <v/>
      </c>
      <c r="Y125" s="12">
        <f>IF(B125="","",B125+10)</f>
        <v/>
      </c>
      <c r="Z125" s="13">
        <f>IF(B125="","",(--(B125&lt;&gt;"")+--(C125&lt;&gt;"")+--(D125&lt;&gt;"")+--(E125&lt;&gt;"")+--(F125&lt;&gt;"")+--(G125&lt;&gt;"")+--(H125&lt;&gt;"")+--(I125&lt;&gt;"")+--(J125&lt;&gt;"")+--(K125&lt;&gt;"")+--(L125&lt;&gt;"")+--(M125&lt;&gt;"")+--(N125&lt;&gt;"")+--(O125&lt;&gt;"")+--(P125&lt;&gt;"")+--(Q125&lt;&gt;"")+--(R125&lt;&gt;"")+--(S125&lt;&gt;"")+--(T125&lt;&gt;""))/19)</f>
        <v/>
      </c>
      <c r="AA125" s="16" t="n"/>
      <c r="AB125" s="16" t="n"/>
      <c r="AC125" s="16" t="n"/>
      <c r="AD125" s="16" t="n"/>
      <c r="AE125" s="7">
        <f>IF(B125="","",IF(AND(AA125="合格",AB125="合格",AC125="合格",AD125="合格"),"有效","无效"))</f>
        <v/>
      </c>
    </row>
    <row r="126">
      <c r="A126" s="7">
        <f>IF(B126="","",TEXT(B126,"yyyymmdd")&amp;"-"&amp;TEXT(ROW()-1,"000"))</f>
        <v/>
      </c>
      <c r="B126" s="8" t="n"/>
      <c r="C126" s="9" t="n"/>
      <c r="D126" s="9" t="n"/>
      <c r="E126" s="9" t="n"/>
      <c r="F126" s="9" t="n"/>
      <c r="G126" s="9" t="n"/>
      <c r="H126" s="9" t="n"/>
      <c r="I126" s="9" t="n"/>
      <c r="J126" s="10" t="n"/>
      <c r="K126" s="9" t="n"/>
      <c r="L126" s="9" t="n"/>
      <c r="M126" s="9" t="n"/>
      <c r="N126" s="10" t="n"/>
      <c r="O126" s="9" t="n"/>
      <c r="P126" s="10" t="n"/>
      <c r="Q126" s="10" t="n"/>
      <c r="R126" s="9" t="n"/>
      <c r="S126" s="10" t="n"/>
      <c r="T126" s="10" t="n"/>
      <c r="U126" s="11" t="n"/>
      <c r="V126" s="11" t="n"/>
      <c r="W126" s="12">
        <f>IF(B126="","",B126+3)</f>
        <v/>
      </c>
      <c r="X126" s="12">
        <f>IF(B126="","",B126+5)</f>
        <v/>
      </c>
      <c r="Y126" s="12">
        <f>IF(B126="","",B126+10)</f>
        <v/>
      </c>
      <c r="Z126" s="13">
        <f>IF(B126="","",(--(B126&lt;&gt;"")+--(C126&lt;&gt;"")+--(D126&lt;&gt;"")+--(E126&lt;&gt;"")+--(F126&lt;&gt;"")+--(G126&lt;&gt;"")+--(H126&lt;&gt;"")+--(I126&lt;&gt;"")+--(J126&lt;&gt;"")+--(K126&lt;&gt;"")+--(L126&lt;&gt;"")+--(M126&lt;&gt;"")+--(N126&lt;&gt;"")+--(O126&lt;&gt;"")+--(P126&lt;&gt;"")+--(Q126&lt;&gt;"")+--(R126&lt;&gt;"")+--(S126&lt;&gt;"")+--(T126&lt;&gt;""))/19)</f>
        <v/>
      </c>
      <c r="AA126" s="16" t="n"/>
      <c r="AB126" s="16" t="n"/>
      <c r="AC126" s="16" t="n"/>
      <c r="AD126" s="16" t="n"/>
      <c r="AE126" s="7">
        <f>IF(B126="","",IF(AND(AA126="合格",AB126="合格",AC126="合格",AD126="合格"),"有效","无效"))</f>
        <v/>
      </c>
    </row>
    <row r="127">
      <c r="A127" s="7">
        <f>IF(B127="","",TEXT(B127,"yyyymmdd")&amp;"-"&amp;TEXT(ROW()-1,"000"))</f>
        <v/>
      </c>
      <c r="B127" s="8" t="n"/>
      <c r="C127" s="9" t="n"/>
      <c r="D127" s="9" t="n"/>
      <c r="E127" s="9" t="n"/>
      <c r="F127" s="9" t="n"/>
      <c r="G127" s="9" t="n"/>
      <c r="H127" s="9" t="n"/>
      <c r="I127" s="9" t="n"/>
      <c r="J127" s="10" t="n"/>
      <c r="K127" s="9" t="n"/>
      <c r="L127" s="9" t="n"/>
      <c r="M127" s="9" t="n"/>
      <c r="N127" s="10" t="n"/>
      <c r="O127" s="9" t="n"/>
      <c r="P127" s="10" t="n"/>
      <c r="Q127" s="10" t="n"/>
      <c r="R127" s="9" t="n"/>
      <c r="S127" s="10" t="n"/>
      <c r="T127" s="10" t="n"/>
      <c r="U127" s="11" t="n"/>
      <c r="V127" s="11" t="n"/>
      <c r="W127" s="12">
        <f>IF(B127="","",B127+3)</f>
        <v/>
      </c>
      <c r="X127" s="12">
        <f>IF(B127="","",B127+5)</f>
        <v/>
      </c>
      <c r="Y127" s="12">
        <f>IF(B127="","",B127+10)</f>
        <v/>
      </c>
      <c r="Z127" s="13">
        <f>IF(B127="","",(--(B127&lt;&gt;"")+--(C127&lt;&gt;"")+--(D127&lt;&gt;"")+--(E127&lt;&gt;"")+--(F127&lt;&gt;"")+--(G127&lt;&gt;"")+--(H127&lt;&gt;"")+--(I127&lt;&gt;"")+--(J127&lt;&gt;"")+--(K127&lt;&gt;"")+--(L127&lt;&gt;"")+--(M127&lt;&gt;"")+--(N127&lt;&gt;"")+--(O127&lt;&gt;"")+--(P127&lt;&gt;"")+--(Q127&lt;&gt;"")+--(R127&lt;&gt;"")+--(S127&lt;&gt;"")+--(T127&lt;&gt;""))/19)</f>
        <v/>
      </c>
      <c r="AA127" s="16" t="n"/>
      <c r="AB127" s="16" t="n"/>
      <c r="AC127" s="16" t="n"/>
      <c r="AD127" s="16" t="n"/>
      <c r="AE127" s="7">
        <f>IF(B127="","",IF(AND(AA127="合格",AB127="合格",AC127="合格",AD127="合格"),"有效","无效"))</f>
        <v/>
      </c>
    </row>
    <row r="128">
      <c r="A128" s="7">
        <f>IF(B128="","",TEXT(B128,"yyyymmdd")&amp;"-"&amp;TEXT(ROW()-1,"000"))</f>
        <v/>
      </c>
      <c r="B128" s="8" t="n"/>
      <c r="C128" s="9" t="n"/>
      <c r="D128" s="9" t="n"/>
      <c r="E128" s="9" t="n"/>
      <c r="F128" s="9" t="n"/>
      <c r="G128" s="9" t="n"/>
      <c r="H128" s="9" t="n"/>
      <c r="I128" s="9" t="n"/>
      <c r="J128" s="10" t="n"/>
      <c r="K128" s="9" t="n"/>
      <c r="L128" s="9" t="n"/>
      <c r="M128" s="9" t="n"/>
      <c r="N128" s="10" t="n"/>
      <c r="O128" s="9" t="n"/>
      <c r="P128" s="10" t="n"/>
      <c r="Q128" s="10" t="n"/>
      <c r="R128" s="9" t="n"/>
      <c r="S128" s="10" t="n"/>
      <c r="T128" s="10" t="n"/>
      <c r="U128" s="11" t="n"/>
      <c r="V128" s="11" t="n"/>
      <c r="W128" s="12">
        <f>IF(B128="","",B128+3)</f>
        <v/>
      </c>
      <c r="X128" s="12">
        <f>IF(B128="","",B128+5)</f>
        <v/>
      </c>
      <c r="Y128" s="12">
        <f>IF(B128="","",B128+10)</f>
        <v/>
      </c>
      <c r="Z128" s="13">
        <f>IF(B128="","",(--(B128&lt;&gt;"")+--(C128&lt;&gt;"")+--(D128&lt;&gt;"")+--(E128&lt;&gt;"")+--(F128&lt;&gt;"")+--(G128&lt;&gt;"")+--(H128&lt;&gt;"")+--(I128&lt;&gt;"")+--(J128&lt;&gt;"")+--(K128&lt;&gt;"")+--(L128&lt;&gt;"")+--(M128&lt;&gt;"")+--(N128&lt;&gt;"")+--(O128&lt;&gt;"")+--(P128&lt;&gt;"")+--(Q128&lt;&gt;"")+--(R128&lt;&gt;"")+--(S128&lt;&gt;"")+--(T128&lt;&gt;""))/19)</f>
        <v/>
      </c>
      <c r="AA128" s="16" t="n"/>
      <c r="AB128" s="16" t="n"/>
      <c r="AC128" s="16" t="n"/>
      <c r="AD128" s="16" t="n"/>
      <c r="AE128" s="7">
        <f>IF(B128="","",IF(AND(AA128="合格",AB128="合格",AC128="合格",AD128="合格"),"有效","无效"))</f>
        <v/>
      </c>
    </row>
    <row r="129">
      <c r="A129" s="7">
        <f>IF(B129="","",TEXT(B129,"yyyymmdd")&amp;"-"&amp;TEXT(ROW()-1,"000"))</f>
        <v/>
      </c>
      <c r="B129" s="8" t="n"/>
      <c r="C129" s="9" t="n"/>
      <c r="D129" s="9" t="n"/>
      <c r="E129" s="9" t="n"/>
      <c r="F129" s="9" t="n"/>
      <c r="G129" s="9" t="n"/>
      <c r="H129" s="9" t="n"/>
      <c r="I129" s="9" t="n"/>
      <c r="J129" s="10" t="n"/>
      <c r="K129" s="9" t="n"/>
      <c r="L129" s="9" t="n"/>
      <c r="M129" s="9" t="n"/>
      <c r="N129" s="10" t="n"/>
      <c r="O129" s="9" t="n"/>
      <c r="P129" s="10" t="n"/>
      <c r="Q129" s="10" t="n"/>
      <c r="R129" s="9" t="n"/>
      <c r="S129" s="10" t="n"/>
      <c r="T129" s="10" t="n"/>
      <c r="U129" s="11" t="n"/>
      <c r="V129" s="11" t="n"/>
      <c r="W129" s="12">
        <f>IF(B129="","",B129+3)</f>
        <v/>
      </c>
      <c r="X129" s="12">
        <f>IF(B129="","",B129+5)</f>
        <v/>
      </c>
      <c r="Y129" s="12">
        <f>IF(B129="","",B129+10)</f>
        <v/>
      </c>
      <c r="Z129" s="13">
        <f>IF(B129="","",(--(B129&lt;&gt;"")+--(C129&lt;&gt;"")+--(D129&lt;&gt;"")+--(E129&lt;&gt;"")+--(F129&lt;&gt;"")+--(G129&lt;&gt;"")+--(H129&lt;&gt;"")+--(I129&lt;&gt;"")+--(J129&lt;&gt;"")+--(K129&lt;&gt;"")+--(L129&lt;&gt;"")+--(M129&lt;&gt;"")+--(N129&lt;&gt;"")+--(O129&lt;&gt;"")+--(P129&lt;&gt;"")+--(Q129&lt;&gt;"")+--(R129&lt;&gt;"")+--(S129&lt;&gt;"")+--(T129&lt;&gt;""))/19)</f>
        <v/>
      </c>
      <c r="AA129" s="16" t="n"/>
      <c r="AB129" s="16" t="n"/>
      <c r="AC129" s="16" t="n"/>
      <c r="AD129" s="16" t="n"/>
      <c r="AE129" s="7">
        <f>IF(B129="","",IF(AND(AA129="合格",AB129="合格",AC129="合格",AD129="合格"),"有效","无效"))</f>
        <v/>
      </c>
    </row>
    <row r="130">
      <c r="A130" s="7">
        <f>IF(B130="","",TEXT(B130,"yyyymmdd")&amp;"-"&amp;TEXT(ROW()-1,"000"))</f>
        <v/>
      </c>
      <c r="B130" s="8" t="n"/>
      <c r="C130" s="9" t="n"/>
      <c r="D130" s="9" t="n"/>
      <c r="E130" s="9" t="n"/>
      <c r="F130" s="9" t="n"/>
      <c r="G130" s="9" t="n"/>
      <c r="H130" s="9" t="n"/>
      <c r="I130" s="9" t="n"/>
      <c r="J130" s="10" t="n"/>
      <c r="K130" s="9" t="n"/>
      <c r="L130" s="9" t="n"/>
      <c r="M130" s="9" t="n"/>
      <c r="N130" s="10" t="n"/>
      <c r="O130" s="9" t="n"/>
      <c r="P130" s="10" t="n"/>
      <c r="Q130" s="10" t="n"/>
      <c r="R130" s="9" t="n"/>
      <c r="S130" s="10" t="n"/>
      <c r="T130" s="10" t="n"/>
      <c r="U130" s="11" t="n"/>
      <c r="V130" s="11" t="n"/>
      <c r="W130" s="12">
        <f>IF(B130="","",B130+3)</f>
        <v/>
      </c>
      <c r="X130" s="12">
        <f>IF(B130="","",B130+5)</f>
        <v/>
      </c>
      <c r="Y130" s="12">
        <f>IF(B130="","",B130+10)</f>
        <v/>
      </c>
      <c r="Z130" s="13">
        <f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6" t="n"/>
      <c r="AB130" s="16" t="n"/>
      <c r="AC130" s="16" t="n"/>
      <c r="AD130" s="16" t="n"/>
      <c r="AE130" s="7">
        <f>IF(B130="","",IF(AND(AA130="合格",AB130="合格",AC130="合格",AD130="合格"),"有效","无效"))</f>
        <v/>
      </c>
    </row>
    <row r="131">
      <c r="A131" s="7">
        <f>IF(B131="","",TEXT(B131,"yyyymmdd")&amp;"-"&amp;TEXT(ROW()-1,"000"))</f>
        <v/>
      </c>
      <c r="B131" s="8" t="n"/>
      <c r="C131" s="9" t="n"/>
      <c r="D131" s="9" t="n"/>
      <c r="E131" s="9" t="n"/>
      <c r="F131" s="9" t="n"/>
      <c r="G131" s="9" t="n"/>
      <c r="H131" s="9" t="n"/>
      <c r="I131" s="9" t="n"/>
      <c r="J131" s="10" t="n"/>
      <c r="K131" s="9" t="n"/>
      <c r="L131" s="9" t="n"/>
      <c r="M131" s="9" t="n"/>
      <c r="N131" s="10" t="n"/>
      <c r="O131" s="9" t="n"/>
      <c r="P131" s="10" t="n"/>
      <c r="Q131" s="10" t="n"/>
      <c r="R131" s="9" t="n"/>
      <c r="S131" s="10" t="n"/>
      <c r="T131" s="10" t="n"/>
      <c r="U131" s="11" t="n"/>
      <c r="V131" s="11" t="n"/>
      <c r="W131" s="12">
        <f>IF(B131="","",B131+3)</f>
        <v/>
      </c>
      <c r="X131" s="12">
        <f>IF(B131="","",B131+5)</f>
        <v/>
      </c>
      <c r="Y131" s="12">
        <f>IF(B131="","",B131+10)</f>
        <v/>
      </c>
      <c r="Z131" s="13">
        <f>IF(B131="","",(--(B131&lt;&gt;"")+--(C131&lt;&gt;"")+--(D131&lt;&gt;"")+--(E131&lt;&gt;"")+--(F131&lt;&gt;"")+--(G131&lt;&gt;"")+--(H131&lt;&gt;"")+--(I131&lt;&gt;"")+--(J131&lt;&gt;"")+--(K131&lt;&gt;"")+--(L131&lt;&gt;"")+--(M131&lt;&gt;"")+--(N131&lt;&gt;"")+--(O131&lt;&gt;"")+--(P131&lt;&gt;"")+--(Q131&lt;&gt;"")+--(R131&lt;&gt;"")+--(S131&lt;&gt;"")+--(T131&lt;&gt;""))/19)</f>
        <v/>
      </c>
      <c r="AA131" s="16" t="n"/>
      <c r="AB131" s="16" t="n"/>
      <c r="AC131" s="16" t="n"/>
      <c r="AD131" s="16" t="n"/>
      <c r="AE131" s="7">
        <f>IF(B131="","",IF(AND(AA131="合格",AB131="合格",AC131="合格",AD131="合格"),"有效","无效"))</f>
        <v/>
      </c>
    </row>
    <row r="132">
      <c r="A132" s="7">
        <f>IF(B132="","",TEXT(B132,"yyyymmdd")&amp;"-"&amp;TEXT(ROW()-1,"000"))</f>
        <v/>
      </c>
      <c r="B132" s="8" t="n"/>
      <c r="C132" s="9" t="n"/>
      <c r="D132" s="9" t="n"/>
      <c r="E132" s="9" t="n"/>
      <c r="F132" s="9" t="n"/>
      <c r="G132" s="9" t="n"/>
      <c r="H132" s="9" t="n"/>
      <c r="I132" s="9" t="n"/>
      <c r="J132" s="10" t="n"/>
      <c r="K132" s="9" t="n"/>
      <c r="L132" s="9" t="n"/>
      <c r="M132" s="9" t="n"/>
      <c r="N132" s="10" t="n"/>
      <c r="O132" s="9" t="n"/>
      <c r="P132" s="10" t="n"/>
      <c r="Q132" s="10" t="n"/>
      <c r="R132" s="9" t="n"/>
      <c r="S132" s="10" t="n"/>
      <c r="T132" s="10" t="n"/>
      <c r="U132" s="11" t="n"/>
      <c r="V132" s="11" t="n"/>
      <c r="W132" s="12">
        <f>IF(B132="","",B132+3)</f>
        <v/>
      </c>
      <c r="X132" s="12">
        <f>IF(B132="","",B132+5)</f>
        <v/>
      </c>
      <c r="Y132" s="12">
        <f>IF(B132="","",B132+10)</f>
        <v/>
      </c>
      <c r="Z132" s="13">
        <f>IF(B132="","",(--(B132&lt;&gt;"")+--(C132&lt;&gt;"")+--(D132&lt;&gt;"")+--(E132&lt;&gt;"")+--(F132&lt;&gt;"")+--(G132&lt;&gt;"")+--(H132&lt;&gt;"")+--(I132&lt;&gt;"")+--(J132&lt;&gt;"")+--(K132&lt;&gt;"")+--(L132&lt;&gt;"")+--(M132&lt;&gt;"")+--(N132&lt;&gt;"")+--(O132&lt;&gt;"")+--(P132&lt;&gt;"")+--(Q132&lt;&gt;"")+--(R132&lt;&gt;"")+--(S132&lt;&gt;"")+--(T132&lt;&gt;""))/19)</f>
        <v/>
      </c>
      <c r="AA132" s="16" t="n"/>
      <c r="AB132" s="16" t="n"/>
      <c r="AC132" s="16" t="n"/>
      <c r="AD132" s="16" t="n"/>
      <c r="AE132" s="7">
        <f>IF(B132="","",IF(AND(AA132="合格",AB132="合格",AC132="合格",AD132="合格"),"有效","无效"))</f>
        <v/>
      </c>
    </row>
    <row r="133">
      <c r="A133" s="7">
        <f>IF(B133="","",TEXT(B133,"yyyymmdd")&amp;"-"&amp;TEXT(ROW()-1,"000"))</f>
        <v/>
      </c>
      <c r="B133" s="8" t="n"/>
      <c r="C133" s="9" t="n"/>
      <c r="D133" s="9" t="n"/>
      <c r="E133" s="9" t="n"/>
      <c r="F133" s="9" t="n"/>
      <c r="G133" s="9" t="n"/>
      <c r="H133" s="9" t="n"/>
      <c r="I133" s="9" t="n"/>
      <c r="J133" s="10" t="n"/>
      <c r="K133" s="9" t="n"/>
      <c r="L133" s="9" t="n"/>
      <c r="M133" s="9" t="n"/>
      <c r="N133" s="10" t="n"/>
      <c r="O133" s="9" t="n"/>
      <c r="P133" s="10" t="n"/>
      <c r="Q133" s="10" t="n"/>
      <c r="R133" s="9" t="n"/>
      <c r="S133" s="10" t="n"/>
      <c r="T133" s="10" t="n"/>
      <c r="U133" s="11" t="n"/>
      <c r="V133" s="11" t="n"/>
      <c r="W133" s="12">
        <f>IF(B133="","",B133+3)</f>
        <v/>
      </c>
      <c r="X133" s="12">
        <f>IF(B133="","",B133+5)</f>
        <v/>
      </c>
      <c r="Y133" s="12">
        <f>IF(B133="","",B133+10)</f>
        <v/>
      </c>
      <c r="Z133" s="13">
        <f>IF(B133="","",(--(B133&lt;&gt;"")+--(C133&lt;&gt;"")+--(D133&lt;&gt;"")+--(E133&lt;&gt;"")+--(F133&lt;&gt;"")+--(G133&lt;&gt;"")+--(H133&lt;&gt;"")+--(I133&lt;&gt;"")+--(J133&lt;&gt;"")+--(K133&lt;&gt;"")+--(L133&lt;&gt;"")+--(M133&lt;&gt;"")+--(N133&lt;&gt;"")+--(O133&lt;&gt;"")+--(P133&lt;&gt;"")+--(Q133&lt;&gt;"")+--(R133&lt;&gt;"")+--(S133&lt;&gt;"")+--(T133&lt;&gt;""))/19)</f>
        <v/>
      </c>
      <c r="AA133" s="16" t="n"/>
      <c r="AB133" s="16" t="n"/>
      <c r="AC133" s="16" t="n"/>
      <c r="AD133" s="16" t="n"/>
      <c r="AE133" s="7">
        <f>IF(B133="","",IF(AND(AA133="合格",AB133="合格",AC133="合格",AD133="合格"),"有效","无效"))</f>
        <v/>
      </c>
    </row>
    <row r="134">
      <c r="A134" s="7">
        <f>IF(B134="","",TEXT(B134,"yyyymmdd")&amp;"-"&amp;TEXT(ROW()-1,"000"))</f>
        <v/>
      </c>
      <c r="B134" s="8" t="n"/>
      <c r="C134" s="9" t="n"/>
      <c r="D134" s="9" t="n"/>
      <c r="E134" s="9" t="n"/>
      <c r="F134" s="9" t="n"/>
      <c r="G134" s="9" t="n"/>
      <c r="H134" s="9" t="n"/>
      <c r="I134" s="9" t="n"/>
      <c r="J134" s="10" t="n"/>
      <c r="K134" s="9" t="n"/>
      <c r="L134" s="9" t="n"/>
      <c r="M134" s="9" t="n"/>
      <c r="N134" s="10" t="n"/>
      <c r="O134" s="9" t="n"/>
      <c r="P134" s="10" t="n"/>
      <c r="Q134" s="10" t="n"/>
      <c r="R134" s="9" t="n"/>
      <c r="S134" s="10" t="n"/>
      <c r="T134" s="10" t="n"/>
      <c r="U134" s="11" t="n"/>
      <c r="V134" s="11" t="n"/>
      <c r="W134" s="12">
        <f>IF(B134="","",B134+3)</f>
        <v/>
      </c>
      <c r="X134" s="12">
        <f>IF(B134="","",B134+5)</f>
        <v/>
      </c>
      <c r="Y134" s="12">
        <f>IF(B134="","",B134+10)</f>
        <v/>
      </c>
      <c r="Z134" s="13">
        <f>IF(B134="","",(--(B134&lt;&gt;"")+--(C134&lt;&gt;"")+--(D134&lt;&gt;"")+--(E134&lt;&gt;"")+--(F134&lt;&gt;"")+--(G134&lt;&gt;"")+--(H134&lt;&gt;"")+--(I134&lt;&gt;"")+--(J134&lt;&gt;"")+--(K134&lt;&gt;"")+--(L134&lt;&gt;"")+--(M134&lt;&gt;"")+--(N134&lt;&gt;"")+--(O134&lt;&gt;"")+--(P134&lt;&gt;"")+--(Q134&lt;&gt;"")+--(R134&lt;&gt;"")+--(S134&lt;&gt;"")+--(T134&lt;&gt;""))/19)</f>
        <v/>
      </c>
      <c r="AA134" s="16" t="n"/>
      <c r="AB134" s="16" t="n"/>
      <c r="AC134" s="16" t="n"/>
      <c r="AD134" s="16" t="n"/>
      <c r="AE134" s="7">
        <f>IF(B134="","",IF(AND(AA134="合格",AB134="合格",AC134="合格",AD134="合格"),"有效","无效"))</f>
        <v/>
      </c>
    </row>
    <row r="135">
      <c r="A135" s="7">
        <f>IF(B135="","",TEXT(B135,"yyyymmdd")&amp;"-"&amp;TEXT(ROW()-1,"000"))</f>
        <v/>
      </c>
      <c r="B135" s="8" t="n"/>
      <c r="C135" s="9" t="n"/>
      <c r="D135" s="9" t="n"/>
      <c r="E135" s="9" t="n"/>
      <c r="F135" s="9" t="n"/>
      <c r="G135" s="9" t="n"/>
      <c r="H135" s="9" t="n"/>
      <c r="I135" s="9" t="n"/>
      <c r="J135" s="10" t="n"/>
      <c r="K135" s="9" t="n"/>
      <c r="L135" s="9" t="n"/>
      <c r="M135" s="9" t="n"/>
      <c r="N135" s="10" t="n"/>
      <c r="O135" s="9" t="n"/>
      <c r="P135" s="10" t="n"/>
      <c r="Q135" s="10" t="n"/>
      <c r="R135" s="9" t="n"/>
      <c r="S135" s="10" t="n"/>
      <c r="T135" s="10" t="n"/>
      <c r="U135" s="11" t="n"/>
      <c r="V135" s="11" t="n"/>
      <c r="W135" s="12">
        <f>IF(B135="","",B135+3)</f>
        <v/>
      </c>
      <c r="X135" s="12">
        <f>IF(B135="","",B135+5)</f>
        <v/>
      </c>
      <c r="Y135" s="12">
        <f>IF(B135="","",B135+10)</f>
        <v/>
      </c>
      <c r="Z135" s="13">
        <f>IF(B135="","",(--(B135&lt;&gt;"")+--(C135&lt;&gt;"")+--(D135&lt;&gt;"")+--(E135&lt;&gt;"")+--(F135&lt;&gt;"")+--(G135&lt;&gt;"")+--(H135&lt;&gt;"")+--(I135&lt;&gt;"")+--(J135&lt;&gt;"")+--(K135&lt;&gt;"")+--(L135&lt;&gt;"")+--(M135&lt;&gt;"")+--(N135&lt;&gt;"")+--(O135&lt;&gt;"")+--(P135&lt;&gt;"")+--(Q135&lt;&gt;"")+--(R135&lt;&gt;"")+--(S135&lt;&gt;"")+--(T135&lt;&gt;""))/19)</f>
        <v/>
      </c>
      <c r="AA135" s="16" t="n"/>
      <c r="AB135" s="16" t="n"/>
      <c r="AC135" s="16" t="n"/>
      <c r="AD135" s="16" t="n"/>
      <c r="AE135" s="7">
        <f>IF(B135="","",IF(AND(AA135="合格",AB135="合格",AC135="合格",AD135="合格"),"有效","无效"))</f>
        <v/>
      </c>
    </row>
    <row r="136">
      <c r="A136" s="7">
        <f>IF(B136="","",TEXT(B136,"yyyymmdd")&amp;"-"&amp;TEXT(ROW()-1,"000"))</f>
        <v/>
      </c>
      <c r="B136" s="8" t="n"/>
      <c r="C136" s="9" t="n"/>
      <c r="D136" s="9" t="n"/>
      <c r="E136" s="9" t="n"/>
      <c r="F136" s="9" t="n"/>
      <c r="G136" s="9" t="n"/>
      <c r="H136" s="9" t="n"/>
      <c r="I136" s="9" t="n"/>
      <c r="J136" s="10" t="n"/>
      <c r="K136" s="9" t="n"/>
      <c r="L136" s="9" t="n"/>
      <c r="M136" s="9" t="n"/>
      <c r="N136" s="10" t="n"/>
      <c r="O136" s="9" t="n"/>
      <c r="P136" s="10" t="n"/>
      <c r="Q136" s="10" t="n"/>
      <c r="R136" s="9" t="n"/>
      <c r="S136" s="10" t="n"/>
      <c r="T136" s="10" t="n"/>
      <c r="U136" s="11" t="n"/>
      <c r="V136" s="11" t="n"/>
      <c r="W136" s="12">
        <f>IF(B136="","",B136+3)</f>
        <v/>
      </c>
      <c r="X136" s="12">
        <f>IF(B136="","",B136+5)</f>
        <v/>
      </c>
      <c r="Y136" s="12">
        <f>IF(B136="","",B136+10)</f>
        <v/>
      </c>
      <c r="Z136" s="13">
        <f>IF(B136="","",(--(B136&lt;&gt;"")+--(C136&lt;&gt;"")+--(D136&lt;&gt;"")+--(E136&lt;&gt;"")+--(F136&lt;&gt;"")+--(G136&lt;&gt;"")+--(H136&lt;&gt;"")+--(I136&lt;&gt;"")+--(J136&lt;&gt;"")+--(K136&lt;&gt;"")+--(L136&lt;&gt;"")+--(M136&lt;&gt;"")+--(N136&lt;&gt;"")+--(O136&lt;&gt;"")+--(P136&lt;&gt;"")+--(Q136&lt;&gt;"")+--(R136&lt;&gt;"")+--(S136&lt;&gt;"")+--(T136&lt;&gt;""))/19)</f>
        <v/>
      </c>
      <c r="AA136" s="16" t="n"/>
      <c r="AB136" s="16" t="n"/>
      <c r="AC136" s="16" t="n"/>
      <c r="AD136" s="16" t="n"/>
      <c r="AE136" s="7">
        <f>IF(B136="","",IF(AND(AA136="合格",AB136="合格",AC136="合格",AD136="合格"),"有效","无效"))</f>
        <v/>
      </c>
    </row>
    <row r="137">
      <c r="A137" s="7">
        <f>IF(B137="","",TEXT(B137,"yyyymmdd")&amp;"-"&amp;TEXT(ROW()-1,"000"))</f>
        <v/>
      </c>
      <c r="B137" s="8" t="n"/>
      <c r="C137" s="9" t="n"/>
      <c r="D137" s="9" t="n"/>
      <c r="E137" s="9" t="n"/>
      <c r="F137" s="9" t="n"/>
      <c r="G137" s="9" t="n"/>
      <c r="H137" s="9" t="n"/>
      <c r="I137" s="9" t="n"/>
      <c r="J137" s="10" t="n"/>
      <c r="K137" s="9" t="n"/>
      <c r="L137" s="9" t="n"/>
      <c r="M137" s="9" t="n"/>
      <c r="N137" s="10" t="n"/>
      <c r="O137" s="9" t="n"/>
      <c r="P137" s="10" t="n"/>
      <c r="Q137" s="10" t="n"/>
      <c r="R137" s="9" t="n"/>
      <c r="S137" s="10" t="n"/>
      <c r="T137" s="10" t="n"/>
      <c r="U137" s="11" t="n"/>
      <c r="V137" s="11" t="n"/>
      <c r="W137" s="12">
        <f>IF(B137="","",B137+3)</f>
        <v/>
      </c>
      <c r="X137" s="12">
        <f>IF(B137="","",B137+5)</f>
        <v/>
      </c>
      <c r="Y137" s="12">
        <f>IF(B137="","",B137+10)</f>
        <v/>
      </c>
      <c r="Z137" s="13">
        <f>IF(B137="","",(--(B137&lt;&gt;"")+--(C137&lt;&gt;"")+--(D137&lt;&gt;"")+--(E137&lt;&gt;"")+--(F137&lt;&gt;"")+--(G137&lt;&gt;"")+--(H137&lt;&gt;"")+--(I137&lt;&gt;"")+--(J137&lt;&gt;"")+--(K137&lt;&gt;"")+--(L137&lt;&gt;"")+--(M137&lt;&gt;"")+--(N137&lt;&gt;"")+--(O137&lt;&gt;"")+--(P137&lt;&gt;"")+--(Q137&lt;&gt;"")+--(R137&lt;&gt;"")+--(S137&lt;&gt;"")+--(T137&lt;&gt;""))/19)</f>
        <v/>
      </c>
      <c r="AA137" s="16" t="n"/>
      <c r="AB137" s="16" t="n"/>
      <c r="AC137" s="16" t="n"/>
      <c r="AD137" s="16" t="n"/>
      <c r="AE137" s="7">
        <f>IF(B137="","",IF(AND(AA137="合格",AB137="合格",AC137="合格",AD137="合格"),"有效","无效"))</f>
        <v/>
      </c>
    </row>
    <row r="138">
      <c r="A138" s="7">
        <f>IF(B138="","",TEXT(B138,"yyyymmdd")&amp;"-"&amp;TEXT(ROW()-1,"000"))</f>
        <v/>
      </c>
      <c r="B138" s="8" t="n"/>
      <c r="C138" s="9" t="n"/>
      <c r="D138" s="9" t="n"/>
      <c r="E138" s="9" t="n"/>
      <c r="F138" s="9" t="n"/>
      <c r="G138" s="9" t="n"/>
      <c r="H138" s="9" t="n"/>
      <c r="I138" s="9" t="n"/>
      <c r="J138" s="10" t="n"/>
      <c r="K138" s="9" t="n"/>
      <c r="L138" s="9" t="n"/>
      <c r="M138" s="9" t="n"/>
      <c r="N138" s="10" t="n"/>
      <c r="O138" s="9" t="n"/>
      <c r="P138" s="10" t="n"/>
      <c r="Q138" s="10" t="n"/>
      <c r="R138" s="9" t="n"/>
      <c r="S138" s="10" t="n"/>
      <c r="T138" s="10" t="n"/>
      <c r="U138" s="11" t="n"/>
      <c r="V138" s="11" t="n"/>
      <c r="W138" s="12">
        <f>IF(B138="","",B138+3)</f>
        <v/>
      </c>
      <c r="X138" s="12">
        <f>IF(B138="","",B138+5)</f>
        <v/>
      </c>
      <c r="Y138" s="12">
        <f>IF(B138="","",B138+10)</f>
        <v/>
      </c>
      <c r="Z138" s="13">
        <f>IF(B138="","",(--(B138&lt;&gt;"")+--(C138&lt;&gt;"")+--(D138&lt;&gt;"")+--(E138&lt;&gt;"")+--(F138&lt;&gt;"")+--(G138&lt;&gt;"")+--(H138&lt;&gt;"")+--(I138&lt;&gt;"")+--(J138&lt;&gt;"")+--(K138&lt;&gt;"")+--(L138&lt;&gt;"")+--(M138&lt;&gt;"")+--(N138&lt;&gt;"")+--(O138&lt;&gt;"")+--(P138&lt;&gt;"")+--(Q138&lt;&gt;"")+--(R138&lt;&gt;"")+--(S138&lt;&gt;"")+--(T138&lt;&gt;""))/19)</f>
        <v/>
      </c>
      <c r="AA138" s="16" t="n"/>
      <c r="AB138" s="16" t="n"/>
      <c r="AC138" s="16" t="n"/>
      <c r="AD138" s="16" t="n"/>
      <c r="AE138" s="7">
        <f>IF(B138="","",IF(AND(AA138="合格",AB138="合格",AC138="合格",AD138="合格"),"有效","无效"))</f>
        <v/>
      </c>
    </row>
    <row r="139">
      <c r="A139" s="7">
        <f>IF(B139="","",TEXT(B139,"yyyymmdd")&amp;"-"&amp;TEXT(ROW()-1,"000"))</f>
        <v/>
      </c>
      <c r="B139" s="8" t="n"/>
      <c r="C139" s="9" t="n"/>
      <c r="D139" s="9" t="n"/>
      <c r="E139" s="9" t="n"/>
      <c r="F139" s="9" t="n"/>
      <c r="G139" s="9" t="n"/>
      <c r="H139" s="9" t="n"/>
      <c r="I139" s="9" t="n"/>
      <c r="J139" s="10" t="n"/>
      <c r="K139" s="9" t="n"/>
      <c r="L139" s="9" t="n"/>
      <c r="M139" s="9" t="n"/>
      <c r="N139" s="10" t="n"/>
      <c r="O139" s="9" t="n"/>
      <c r="P139" s="10" t="n"/>
      <c r="Q139" s="10" t="n"/>
      <c r="R139" s="9" t="n"/>
      <c r="S139" s="10" t="n"/>
      <c r="T139" s="10" t="n"/>
      <c r="U139" s="11" t="n"/>
      <c r="V139" s="11" t="n"/>
      <c r="W139" s="12">
        <f>IF(B139="","",B139+3)</f>
        <v/>
      </c>
      <c r="X139" s="12">
        <f>IF(B139="","",B139+5)</f>
        <v/>
      </c>
      <c r="Y139" s="12">
        <f>IF(B139="","",B139+10)</f>
        <v/>
      </c>
      <c r="Z139" s="13">
        <f>IF(B139="","",(--(B139&lt;&gt;"")+--(C139&lt;&gt;"")+--(D139&lt;&gt;"")+--(E139&lt;&gt;"")+--(F139&lt;&gt;"")+--(G139&lt;&gt;"")+--(H139&lt;&gt;"")+--(I139&lt;&gt;"")+--(J139&lt;&gt;"")+--(K139&lt;&gt;"")+--(L139&lt;&gt;"")+--(M139&lt;&gt;"")+--(N139&lt;&gt;"")+--(O139&lt;&gt;"")+--(P139&lt;&gt;"")+--(Q139&lt;&gt;"")+--(R139&lt;&gt;"")+--(S139&lt;&gt;"")+--(T139&lt;&gt;""))/19)</f>
        <v/>
      </c>
      <c r="AA139" s="16" t="n"/>
      <c r="AB139" s="16" t="n"/>
      <c r="AC139" s="16" t="n"/>
      <c r="AD139" s="16" t="n"/>
      <c r="AE139" s="7">
        <f>IF(B139="","",IF(AND(AA139="合格",AB139="合格",AC139="合格",AD139="合格"),"有效","无效"))</f>
        <v/>
      </c>
    </row>
    <row r="140">
      <c r="A140" s="7">
        <f>IF(B140="","",TEXT(B140,"yyyymmdd")&amp;"-"&amp;TEXT(ROW()-1,"000"))</f>
        <v/>
      </c>
      <c r="B140" s="8" t="n"/>
      <c r="C140" s="9" t="n"/>
      <c r="D140" s="9" t="n"/>
      <c r="E140" s="9" t="n"/>
      <c r="F140" s="9" t="n"/>
      <c r="G140" s="9" t="n"/>
      <c r="H140" s="9" t="n"/>
      <c r="I140" s="9" t="n"/>
      <c r="J140" s="10" t="n"/>
      <c r="K140" s="9" t="n"/>
      <c r="L140" s="9" t="n"/>
      <c r="M140" s="9" t="n"/>
      <c r="N140" s="10" t="n"/>
      <c r="O140" s="9" t="n"/>
      <c r="P140" s="10" t="n"/>
      <c r="Q140" s="10" t="n"/>
      <c r="R140" s="9" t="n"/>
      <c r="S140" s="10" t="n"/>
      <c r="T140" s="10" t="n"/>
      <c r="U140" s="11" t="n"/>
      <c r="V140" s="11" t="n"/>
      <c r="W140" s="12">
        <f>IF(B140="","",B140+3)</f>
        <v/>
      </c>
      <c r="X140" s="12">
        <f>IF(B140="","",B140+5)</f>
        <v/>
      </c>
      <c r="Y140" s="12">
        <f>IF(B140="","",B140+10)</f>
        <v/>
      </c>
      <c r="Z140" s="13">
        <f>IF(B140="","",(--(B140&lt;&gt;"")+--(C140&lt;&gt;"")+--(D140&lt;&gt;"")+--(E140&lt;&gt;"")+--(F140&lt;&gt;"")+--(G140&lt;&gt;"")+--(H140&lt;&gt;"")+--(I140&lt;&gt;"")+--(J140&lt;&gt;"")+--(K140&lt;&gt;"")+--(L140&lt;&gt;"")+--(M140&lt;&gt;"")+--(N140&lt;&gt;"")+--(O140&lt;&gt;"")+--(P140&lt;&gt;"")+--(Q140&lt;&gt;"")+--(R140&lt;&gt;"")+--(S140&lt;&gt;"")+--(T140&lt;&gt;""))/19)</f>
        <v/>
      </c>
      <c r="AA140" s="16" t="n"/>
      <c r="AB140" s="16" t="n"/>
      <c r="AC140" s="16" t="n"/>
      <c r="AD140" s="16" t="n"/>
      <c r="AE140" s="7">
        <f>IF(B140="","",IF(AND(AA140="合格",AB140="合格",AC140="合格",AD140="合格"),"有效","无效"))</f>
        <v/>
      </c>
    </row>
    <row r="141">
      <c r="A141" s="7">
        <f>IF(B141="","",TEXT(B141,"yyyymmdd")&amp;"-"&amp;TEXT(ROW()-1,"000"))</f>
        <v/>
      </c>
      <c r="B141" s="8" t="n"/>
      <c r="C141" s="9" t="n"/>
      <c r="D141" s="9" t="n"/>
      <c r="E141" s="9" t="n"/>
      <c r="F141" s="9" t="n"/>
      <c r="G141" s="9" t="n"/>
      <c r="H141" s="9" t="n"/>
      <c r="I141" s="9" t="n"/>
      <c r="J141" s="10" t="n"/>
      <c r="K141" s="9" t="n"/>
      <c r="L141" s="9" t="n"/>
      <c r="M141" s="9" t="n"/>
      <c r="N141" s="10" t="n"/>
      <c r="O141" s="9" t="n"/>
      <c r="P141" s="10" t="n"/>
      <c r="Q141" s="10" t="n"/>
      <c r="R141" s="9" t="n"/>
      <c r="S141" s="10" t="n"/>
      <c r="T141" s="10" t="n"/>
      <c r="U141" s="11" t="n"/>
      <c r="V141" s="11" t="n"/>
      <c r="W141" s="12">
        <f>IF(B141="","",B141+3)</f>
        <v/>
      </c>
      <c r="X141" s="12">
        <f>IF(B141="","",B141+5)</f>
        <v/>
      </c>
      <c r="Y141" s="12">
        <f>IF(B141="","",B141+10)</f>
        <v/>
      </c>
      <c r="Z141" s="13">
        <f>IF(B141="","",(--(B141&lt;&gt;"")+--(C141&lt;&gt;"")+--(D141&lt;&gt;"")+--(E141&lt;&gt;"")+--(F141&lt;&gt;"")+--(G141&lt;&gt;"")+--(H141&lt;&gt;"")+--(I141&lt;&gt;"")+--(J141&lt;&gt;"")+--(K141&lt;&gt;"")+--(L141&lt;&gt;"")+--(M141&lt;&gt;"")+--(N141&lt;&gt;"")+--(O141&lt;&gt;"")+--(P141&lt;&gt;"")+--(Q141&lt;&gt;"")+--(R141&lt;&gt;"")+--(S141&lt;&gt;"")+--(T141&lt;&gt;""))/19)</f>
        <v/>
      </c>
      <c r="AA141" s="16" t="n"/>
      <c r="AB141" s="16" t="n"/>
      <c r="AC141" s="16" t="n"/>
      <c r="AD141" s="16" t="n"/>
      <c r="AE141" s="7">
        <f>IF(B141="","",IF(AND(AA141="合格",AB141="合格",AC141="合格",AD141="合格"),"有效","无效"))</f>
        <v/>
      </c>
    </row>
    <row r="142">
      <c r="A142" s="7">
        <f>IF(B142="","",TEXT(B142,"yyyymmdd")&amp;"-"&amp;TEXT(ROW()-1,"000"))</f>
        <v/>
      </c>
      <c r="B142" s="8" t="n"/>
      <c r="C142" s="9" t="n"/>
      <c r="D142" s="9" t="n"/>
      <c r="E142" s="9" t="n"/>
      <c r="F142" s="9" t="n"/>
      <c r="G142" s="9" t="n"/>
      <c r="H142" s="9" t="n"/>
      <c r="I142" s="9" t="n"/>
      <c r="J142" s="10" t="n"/>
      <c r="K142" s="9" t="n"/>
      <c r="L142" s="9" t="n"/>
      <c r="M142" s="9" t="n"/>
      <c r="N142" s="10" t="n"/>
      <c r="O142" s="9" t="n"/>
      <c r="P142" s="10" t="n"/>
      <c r="Q142" s="10" t="n"/>
      <c r="R142" s="9" t="n"/>
      <c r="S142" s="10" t="n"/>
      <c r="T142" s="10" t="n"/>
      <c r="U142" s="11" t="n"/>
      <c r="V142" s="11" t="n"/>
      <c r="W142" s="12">
        <f>IF(B142="","",B142+3)</f>
        <v/>
      </c>
      <c r="X142" s="12">
        <f>IF(B142="","",B142+5)</f>
        <v/>
      </c>
      <c r="Y142" s="12">
        <f>IF(B142="","",B142+10)</f>
        <v/>
      </c>
      <c r="Z142" s="13">
        <f>IF(B142="","",(--(B142&lt;&gt;"")+--(C142&lt;&gt;"")+--(D142&lt;&gt;"")+--(E142&lt;&gt;"")+--(F142&lt;&gt;"")+--(G142&lt;&gt;"")+--(H142&lt;&gt;"")+--(I142&lt;&gt;"")+--(J142&lt;&gt;"")+--(K142&lt;&gt;"")+--(L142&lt;&gt;"")+--(M142&lt;&gt;"")+--(N142&lt;&gt;"")+--(O142&lt;&gt;"")+--(P142&lt;&gt;"")+--(Q142&lt;&gt;"")+--(R142&lt;&gt;"")+--(S142&lt;&gt;"")+--(T142&lt;&gt;""))/19)</f>
        <v/>
      </c>
      <c r="AA142" s="16" t="n"/>
      <c r="AB142" s="16" t="n"/>
      <c r="AC142" s="16" t="n"/>
      <c r="AD142" s="16" t="n"/>
      <c r="AE142" s="7">
        <f>IF(B142="","",IF(AND(AA142="合格",AB142="合格",AC142="合格",AD142="合格"),"有效","无效"))</f>
        <v/>
      </c>
    </row>
    <row r="143">
      <c r="A143" s="7">
        <f>IF(B143="","",TEXT(B143,"yyyymmdd")&amp;"-"&amp;TEXT(ROW()-1,"000"))</f>
        <v/>
      </c>
      <c r="B143" s="8" t="n"/>
      <c r="C143" s="9" t="n"/>
      <c r="D143" s="9" t="n"/>
      <c r="E143" s="9" t="n"/>
      <c r="F143" s="9" t="n"/>
      <c r="G143" s="9" t="n"/>
      <c r="H143" s="9" t="n"/>
      <c r="I143" s="9" t="n"/>
      <c r="J143" s="10" t="n"/>
      <c r="K143" s="9" t="n"/>
      <c r="L143" s="9" t="n"/>
      <c r="M143" s="9" t="n"/>
      <c r="N143" s="10" t="n"/>
      <c r="O143" s="9" t="n"/>
      <c r="P143" s="10" t="n"/>
      <c r="Q143" s="10" t="n"/>
      <c r="R143" s="9" t="n"/>
      <c r="S143" s="10" t="n"/>
      <c r="T143" s="10" t="n"/>
      <c r="U143" s="11" t="n"/>
      <c r="V143" s="11" t="n"/>
      <c r="W143" s="12">
        <f>IF(B143="","",B143+3)</f>
        <v/>
      </c>
      <c r="X143" s="12">
        <f>IF(B143="","",B143+5)</f>
        <v/>
      </c>
      <c r="Y143" s="12">
        <f>IF(B143="","",B143+10)</f>
        <v/>
      </c>
      <c r="Z143" s="13">
        <f>IF(B143="","",(--(B143&lt;&gt;"")+--(C143&lt;&gt;"")+--(D143&lt;&gt;"")+--(E143&lt;&gt;"")+--(F143&lt;&gt;"")+--(G143&lt;&gt;"")+--(H143&lt;&gt;"")+--(I143&lt;&gt;"")+--(J143&lt;&gt;"")+--(K143&lt;&gt;"")+--(L143&lt;&gt;"")+--(M143&lt;&gt;"")+--(N143&lt;&gt;"")+--(O143&lt;&gt;"")+--(P143&lt;&gt;"")+--(Q143&lt;&gt;"")+--(R143&lt;&gt;"")+--(S143&lt;&gt;"")+--(T143&lt;&gt;""))/19)</f>
        <v/>
      </c>
      <c r="AA143" s="16" t="n"/>
      <c r="AB143" s="16" t="n"/>
      <c r="AC143" s="16" t="n"/>
      <c r="AD143" s="16" t="n"/>
      <c r="AE143" s="7">
        <f>IF(B143="","",IF(AND(AA143="合格",AB143="合格",AC143="合格",AD143="合格"),"有效","无效"))</f>
        <v/>
      </c>
    </row>
    <row r="144">
      <c r="A144" s="7">
        <f>IF(B144="","",TEXT(B144,"yyyymmdd")&amp;"-"&amp;TEXT(ROW()-1,"000"))</f>
        <v/>
      </c>
      <c r="B144" s="8" t="n"/>
      <c r="C144" s="9" t="n"/>
      <c r="D144" s="9" t="n"/>
      <c r="E144" s="9" t="n"/>
      <c r="F144" s="9" t="n"/>
      <c r="G144" s="9" t="n"/>
      <c r="H144" s="9" t="n"/>
      <c r="I144" s="9" t="n"/>
      <c r="J144" s="10" t="n"/>
      <c r="K144" s="9" t="n"/>
      <c r="L144" s="9" t="n"/>
      <c r="M144" s="9" t="n"/>
      <c r="N144" s="10" t="n"/>
      <c r="O144" s="9" t="n"/>
      <c r="P144" s="10" t="n"/>
      <c r="Q144" s="10" t="n"/>
      <c r="R144" s="9" t="n"/>
      <c r="S144" s="10" t="n"/>
      <c r="T144" s="10" t="n"/>
      <c r="U144" s="11" t="n"/>
      <c r="V144" s="11" t="n"/>
      <c r="W144" s="12">
        <f>IF(B144="","",B144+3)</f>
        <v/>
      </c>
      <c r="X144" s="12">
        <f>IF(B144="","",B144+5)</f>
        <v/>
      </c>
      <c r="Y144" s="12">
        <f>IF(B144="","",B144+10)</f>
        <v/>
      </c>
      <c r="Z144" s="13">
        <f>IF(B144="","",(--(B144&lt;&gt;"")+--(C144&lt;&gt;"")+--(D144&lt;&gt;"")+--(E144&lt;&gt;"")+--(F144&lt;&gt;"")+--(G144&lt;&gt;"")+--(H144&lt;&gt;"")+--(I144&lt;&gt;"")+--(J144&lt;&gt;"")+--(K144&lt;&gt;"")+--(L144&lt;&gt;"")+--(M144&lt;&gt;"")+--(N144&lt;&gt;"")+--(O144&lt;&gt;"")+--(P144&lt;&gt;"")+--(Q144&lt;&gt;"")+--(R144&lt;&gt;"")+--(S144&lt;&gt;"")+--(T144&lt;&gt;""))/19)</f>
        <v/>
      </c>
      <c r="AA144" s="16" t="n"/>
      <c r="AB144" s="16" t="n"/>
      <c r="AC144" s="16" t="n"/>
      <c r="AD144" s="16" t="n"/>
      <c r="AE144" s="7">
        <f>IF(B144="","",IF(AND(AA144="合格",AB144="合格",AC144="合格",AD144="合格"),"有效","无效"))</f>
        <v/>
      </c>
    </row>
    <row r="145">
      <c r="A145" s="7">
        <f>IF(B145="","",TEXT(B145,"yyyymmdd")&amp;"-"&amp;TEXT(ROW()-1,"000"))</f>
        <v/>
      </c>
      <c r="B145" s="8" t="n"/>
      <c r="C145" s="9" t="n"/>
      <c r="D145" s="9" t="n"/>
      <c r="E145" s="9" t="n"/>
      <c r="F145" s="9" t="n"/>
      <c r="G145" s="9" t="n"/>
      <c r="H145" s="9" t="n"/>
      <c r="I145" s="9" t="n"/>
      <c r="J145" s="10" t="n"/>
      <c r="K145" s="9" t="n"/>
      <c r="L145" s="9" t="n"/>
      <c r="M145" s="9" t="n"/>
      <c r="N145" s="10" t="n"/>
      <c r="O145" s="9" t="n"/>
      <c r="P145" s="10" t="n"/>
      <c r="Q145" s="10" t="n"/>
      <c r="R145" s="9" t="n"/>
      <c r="S145" s="10" t="n"/>
      <c r="T145" s="10" t="n"/>
      <c r="U145" s="11" t="n"/>
      <c r="V145" s="11" t="n"/>
      <c r="W145" s="12">
        <f>IF(B145="","",B145+3)</f>
        <v/>
      </c>
      <c r="X145" s="12">
        <f>IF(B145="","",B145+5)</f>
        <v/>
      </c>
      <c r="Y145" s="12">
        <f>IF(B145="","",B145+10)</f>
        <v/>
      </c>
      <c r="Z145" s="13">
        <f>IF(B145="","",(--(B145&lt;&gt;"")+--(C145&lt;&gt;"")+--(D145&lt;&gt;"")+--(E145&lt;&gt;"")+--(F145&lt;&gt;"")+--(G145&lt;&gt;"")+--(H145&lt;&gt;"")+--(I145&lt;&gt;"")+--(J145&lt;&gt;"")+--(K145&lt;&gt;"")+--(L145&lt;&gt;"")+--(M145&lt;&gt;"")+--(N145&lt;&gt;"")+--(O145&lt;&gt;"")+--(P145&lt;&gt;"")+--(Q145&lt;&gt;"")+--(R145&lt;&gt;"")+--(S145&lt;&gt;"")+--(T145&lt;&gt;""))/19)</f>
        <v/>
      </c>
      <c r="AA145" s="16" t="n"/>
      <c r="AB145" s="16" t="n"/>
      <c r="AC145" s="16" t="n"/>
      <c r="AD145" s="16" t="n"/>
      <c r="AE145" s="7">
        <f>IF(B145="","",IF(AND(AA145="合格",AB145="合格",AC145="合格",AD145="合格"),"有效","无效"))</f>
        <v/>
      </c>
    </row>
    <row r="146">
      <c r="A146" s="7">
        <f>IF(B146="","",TEXT(B146,"yyyymmdd")&amp;"-"&amp;TEXT(ROW()-1,"000"))</f>
        <v/>
      </c>
      <c r="B146" s="8" t="n"/>
      <c r="C146" s="9" t="n"/>
      <c r="D146" s="9" t="n"/>
      <c r="E146" s="9" t="n"/>
      <c r="F146" s="9" t="n"/>
      <c r="G146" s="9" t="n"/>
      <c r="H146" s="9" t="n"/>
      <c r="I146" s="9" t="n"/>
      <c r="J146" s="10" t="n"/>
      <c r="K146" s="9" t="n"/>
      <c r="L146" s="9" t="n"/>
      <c r="M146" s="9" t="n"/>
      <c r="N146" s="10" t="n"/>
      <c r="O146" s="9" t="n"/>
      <c r="P146" s="10" t="n"/>
      <c r="Q146" s="10" t="n"/>
      <c r="R146" s="9" t="n"/>
      <c r="S146" s="10" t="n"/>
      <c r="T146" s="10" t="n"/>
      <c r="U146" s="11" t="n"/>
      <c r="V146" s="11" t="n"/>
      <c r="W146" s="12">
        <f>IF(B146="","",B146+3)</f>
        <v/>
      </c>
      <c r="X146" s="12">
        <f>IF(B146="","",B146+5)</f>
        <v/>
      </c>
      <c r="Y146" s="12">
        <f>IF(B146="","",B146+10)</f>
        <v/>
      </c>
      <c r="Z146" s="13">
        <f>IF(B146="","",(--(B146&lt;&gt;"")+--(C146&lt;&gt;"")+--(D146&lt;&gt;"")+--(E146&lt;&gt;"")+--(F146&lt;&gt;"")+--(G146&lt;&gt;"")+--(H146&lt;&gt;"")+--(I146&lt;&gt;"")+--(J146&lt;&gt;"")+--(K146&lt;&gt;"")+--(L146&lt;&gt;"")+--(M146&lt;&gt;"")+--(N146&lt;&gt;"")+--(O146&lt;&gt;"")+--(P146&lt;&gt;"")+--(Q146&lt;&gt;"")+--(R146&lt;&gt;"")+--(S146&lt;&gt;"")+--(T146&lt;&gt;""))/19)</f>
        <v/>
      </c>
      <c r="AA146" s="16" t="n"/>
      <c r="AB146" s="16" t="n"/>
      <c r="AC146" s="16" t="n"/>
      <c r="AD146" s="16" t="n"/>
      <c r="AE146" s="7">
        <f>IF(B146="","",IF(AND(AA146="合格",AB146="合格",AC146="合格",AD146="合格"),"有效","无效"))</f>
        <v/>
      </c>
    </row>
    <row r="147">
      <c r="A147" s="7">
        <f>IF(B147="","",TEXT(B147,"yyyymmdd")&amp;"-"&amp;TEXT(ROW()-1,"000"))</f>
        <v/>
      </c>
      <c r="B147" s="8" t="n"/>
      <c r="C147" s="9" t="n"/>
      <c r="D147" s="9" t="n"/>
      <c r="E147" s="9" t="n"/>
      <c r="F147" s="9" t="n"/>
      <c r="G147" s="9" t="n"/>
      <c r="H147" s="9" t="n"/>
      <c r="I147" s="9" t="n"/>
      <c r="J147" s="10" t="n"/>
      <c r="K147" s="9" t="n"/>
      <c r="L147" s="9" t="n"/>
      <c r="M147" s="9" t="n"/>
      <c r="N147" s="10" t="n"/>
      <c r="O147" s="9" t="n"/>
      <c r="P147" s="10" t="n"/>
      <c r="Q147" s="10" t="n"/>
      <c r="R147" s="9" t="n"/>
      <c r="S147" s="10" t="n"/>
      <c r="T147" s="10" t="n"/>
      <c r="U147" s="11" t="n"/>
      <c r="V147" s="11" t="n"/>
      <c r="W147" s="12">
        <f>IF(B147="","",B147+3)</f>
        <v/>
      </c>
      <c r="X147" s="12">
        <f>IF(B147="","",B147+5)</f>
        <v/>
      </c>
      <c r="Y147" s="12">
        <f>IF(B147="","",B147+10)</f>
        <v/>
      </c>
      <c r="Z147" s="13">
        <f>IF(B147="","",(--(B147&lt;&gt;"")+--(C147&lt;&gt;"")+--(D147&lt;&gt;"")+--(E147&lt;&gt;"")+--(F147&lt;&gt;"")+--(G147&lt;&gt;"")+--(H147&lt;&gt;"")+--(I147&lt;&gt;"")+--(J147&lt;&gt;"")+--(K147&lt;&gt;"")+--(L147&lt;&gt;"")+--(M147&lt;&gt;"")+--(N147&lt;&gt;"")+--(O147&lt;&gt;"")+--(P147&lt;&gt;"")+--(Q147&lt;&gt;"")+--(R147&lt;&gt;"")+--(S147&lt;&gt;"")+--(T147&lt;&gt;""))/19)</f>
        <v/>
      </c>
      <c r="AA147" s="16" t="n"/>
      <c r="AB147" s="16" t="n"/>
      <c r="AC147" s="16" t="n"/>
      <c r="AD147" s="16" t="n"/>
      <c r="AE147" s="7">
        <f>IF(B147="","",IF(AND(AA147="合格",AB147="合格",AC147="合格",AD147="合格"),"有效","无效"))</f>
        <v/>
      </c>
    </row>
    <row r="148">
      <c r="A148" s="7">
        <f>IF(B148="","",TEXT(B148,"yyyymmdd")&amp;"-"&amp;TEXT(ROW()-1,"000"))</f>
        <v/>
      </c>
      <c r="B148" s="8" t="n"/>
      <c r="C148" s="9" t="n"/>
      <c r="D148" s="9" t="n"/>
      <c r="E148" s="9" t="n"/>
      <c r="F148" s="9" t="n"/>
      <c r="G148" s="9" t="n"/>
      <c r="H148" s="9" t="n"/>
      <c r="I148" s="9" t="n"/>
      <c r="J148" s="10" t="n"/>
      <c r="K148" s="9" t="n"/>
      <c r="L148" s="9" t="n"/>
      <c r="M148" s="9" t="n"/>
      <c r="N148" s="10" t="n"/>
      <c r="O148" s="9" t="n"/>
      <c r="P148" s="10" t="n"/>
      <c r="Q148" s="10" t="n"/>
      <c r="R148" s="9" t="n"/>
      <c r="S148" s="10" t="n"/>
      <c r="T148" s="10" t="n"/>
      <c r="U148" s="11" t="n"/>
      <c r="V148" s="11" t="n"/>
      <c r="W148" s="12">
        <f>IF(B148="","",B148+3)</f>
        <v/>
      </c>
      <c r="X148" s="12">
        <f>IF(B148="","",B148+5)</f>
        <v/>
      </c>
      <c r="Y148" s="12">
        <f>IF(B148="","",B148+10)</f>
        <v/>
      </c>
      <c r="Z148" s="13">
        <f>IF(B148="","",(--(B148&lt;&gt;"")+--(C148&lt;&gt;"")+--(D148&lt;&gt;"")+--(E148&lt;&gt;"")+--(F148&lt;&gt;"")+--(G148&lt;&gt;"")+--(H148&lt;&gt;"")+--(I148&lt;&gt;"")+--(J148&lt;&gt;"")+--(K148&lt;&gt;"")+--(L148&lt;&gt;"")+--(M148&lt;&gt;"")+--(N148&lt;&gt;"")+--(O148&lt;&gt;"")+--(P148&lt;&gt;"")+--(Q148&lt;&gt;"")+--(R148&lt;&gt;"")+--(S148&lt;&gt;"")+--(T148&lt;&gt;""))/19)</f>
        <v/>
      </c>
      <c r="AA148" s="16" t="n"/>
      <c r="AB148" s="16" t="n"/>
      <c r="AC148" s="16" t="n"/>
      <c r="AD148" s="16" t="n"/>
      <c r="AE148" s="7">
        <f>IF(B148="","",IF(AND(AA148="合格",AB148="合格",AC148="合格",AD148="合格"),"有效","无效"))</f>
        <v/>
      </c>
    </row>
    <row r="149">
      <c r="A149" s="7">
        <f>IF(B149="","",TEXT(B149,"yyyymmdd")&amp;"-"&amp;TEXT(ROW()-1,"000"))</f>
        <v/>
      </c>
      <c r="B149" s="8" t="n"/>
      <c r="C149" s="9" t="n"/>
      <c r="D149" s="9" t="n"/>
      <c r="E149" s="9" t="n"/>
      <c r="F149" s="9" t="n"/>
      <c r="G149" s="9" t="n"/>
      <c r="H149" s="9" t="n"/>
      <c r="I149" s="9" t="n"/>
      <c r="J149" s="10" t="n"/>
      <c r="K149" s="9" t="n"/>
      <c r="L149" s="9" t="n"/>
      <c r="M149" s="9" t="n"/>
      <c r="N149" s="10" t="n"/>
      <c r="O149" s="9" t="n"/>
      <c r="P149" s="10" t="n"/>
      <c r="Q149" s="10" t="n"/>
      <c r="R149" s="9" t="n"/>
      <c r="S149" s="10" t="n"/>
      <c r="T149" s="10" t="n"/>
      <c r="U149" s="11" t="n"/>
      <c r="V149" s="11" t="n"/>
      <c r="W149" s="12">
        <f>IF(B149="","",B149+3)</f>
        <v/>
      </c>
      <c r="X149" s="12">
        <f>IF(B149="","",B149+5)</f>
        <v/>
      </c>
      <c r="Y149" s="12">
        <f>IF(B149="","",B149+10)</f>
        <v/>
      </c>
      <c r="Z149" s="13">
        <f>IF(B149="","",(--(B149&lt;&gt;"")+--(C149&lt;&gt;"")+--(D149&lt;&gt;"")+--(E149&lt;&gt;"")+--(F149&lt;&gt;"")+--(G149&lt;&gt;"")+--(H149&lt;&gt;"")+--(I149&lt;&gt;"")+--(J149&lt;&gt;"")+--(K149&lt;&gt;"")+--(L149&lt;&gt;"")+--(M149&lt;&gt;"")+--(N149&lt;&gt;"")+--(O149&lt;&gt;"")+--(P149&lt;&gt;"")+--(Q149&lt;&gt;"")+--(R149&lt;&gt;"")+--(S149&lt;&gt;"")+--(T149&lt;&gt;""))/19)</f>
        <v/>
      </c>
      <c r="AA149" s="16" t="n"/>
      <c r="AB149" s="16" t="n"/>
      <c r="AC149" s="16" t="n"/>
      <c r="AD149" s="16" t="n"/>
      <c r="AE149" s="7">
        <f>IF(B149="","",IF(AND(AA149="合格",AB149="合格",AC149="合格",AD149="合格"),"有效","无效"))</f>
        <v/>
      </c>
    </row>
    <row r="150">
      <c r="A150" s="7">
        <f>IF(B150="","",TEXT(B150,"yyyymmdd")&amp;"-"&amp;TEXT(ROW()-1,"000"))</f>
        <v/>
      </c>
      <c r="B150" s="8" t="n"/>
      <c r="C150" s="9" t="n"/>
      <c r="D150" s="9" t="n"/>
      <c r="E150" s="9" t="n"/>
      <c r="F150" s="9" t="n"/>
      <c r="G150" s="9" t="n"/>
      <c r="H150" s="9" t="n"/>
      <c r="I150" s="9" t="n"/>
      <c r="J150" s="10" t="n"/>
      <c r="K150" s="9" t="n"/>
      <c r="L150" s="9" t="n"/>
      <c r="M150" s="9" t="n"/>
      <c r="N150" s="10" t="n"/>
      <c r="O150" s="9" t="n"/>
      <c r="P150" s="10" t="n"/>
      <c r="Q150" s="10" t="n"/>
      <c r="R150" s="9" t="n"/>
      <c r="S150" s="10" t="n"/>
      <c r="T150" s="10" t="n"/>
      <c r="U150" s="11" t="n"/>
      <c r="V150" s="11" t="n"/>
      <c r="W150" s="12">
        <f>IF(B150="","",B150+3)</f>
        <v/>
      </c>
      <c r="X150" s="12">
        <f>IF(B150="","",B150+5)</f>
        <v/>
      </c>
      <c r="Y150" s="12">
        <f>IF(B150="","",B150+10)</f>
        <v/>
      </c>
      <c r="Z150" s="13">
        <f>IF(B150="","",(--(B150&lt;&gt;"")+--(C150&lt;&gt;"")+--(D150&lt;&gt;"")+--(E150&lt;&gt;"")+--(F150&lt;&gt;"")+--(G150&lt;&gt;"")+--(H150&lt;&gt;"")+--(I150&lt;&gt;"")+--(J150&lt;&gt;"")+--(K150&lt;&gt;"")+--(L150&lt;&gt;"")+--(M150&lt;&gt;"")+--(N150&lt;&gt;"")+--(O150&lt;&gt;"")+--(P150&lt;&gt;"")+--(Q150&lt;&gt;"")+--(R150&lt;&gt;"")+--(S150&lt;&gt;"")+--(T150&lt;&gt;""))/19)</f>
        <v/>
      </c>
      <c r="AA150" s="16" t="n"/>
      <c r="AB150" s="16" t="n"/>
      <c r="AC150" s="16" t="n"/>
      <c r="AD150" s="16" t="n"/>
      <c r="AE150" s="7">
        <f>IF(B150="","",IF(AND(AA150="合格",AB150="合格",AC150="合格",AD150="合格"),"有效","无效"))</f>
        <v/>
      </c>
    </row>
    <row r="151">
      <c r="A151" s="7">
        <f>IF(B151="","",TEXT(B151,"yyyymmdd")&amp;"-"&amp;TEXT(ROW()-1,"000"))</f>
        <v/>
      </c>
      <c r="B151" s="8" t="n"/>
      <c r="C151" s="9" t="n"/>
      <c r="D151" s="9" t="n"/>
      <c r="E151" s="9" t="n"/>
      <c r="F151" s="9" t="n"/>
      <c r="G151" s="9" t="n"/>
      <c r="H151" s="9" t="n"/>
      <c r="I151" s="9" t="n"/>
      <c r="J151" s="10" t="n"/>
      <c r="K151" s="9" t="n"/>
      <c r="L151" s="9" t="n"/>
      <c r="M151" s="9" t="n"/>
      <c r="N151" s="10" t="n"/>
      <c r="O151" s="9" t="n"/>
      <c r="P151" s="10" t="n"/>
      <c r="Q151" s="10" t="n"/>
      <c r="R151" s="9" t="n"/>
      <c r="S151" s="10" t="n"/>
      <c r="T151" s="10" t="n"/>
      <c r="U151" s="11" t="n"/>
      <c r="V151" s="11" t="n"/>
      <c r="W151" s="12">
        <f>IF(B151="","",B151+3)</f>
        <v/>
      </c>
      <c r="X151" s="12">
        <f>IF(B151="","",B151+5)</f>
        <v/>
      </c>
      <c r="Y151" s="12">
        <f>IF(B151="","",B151+10)</f>
        <v/>
      </c>
      <c r="Z151" s="13">
        <f>IF(B151="","",(--(B151&lt;&gt;"")+--(C151&lt;&gt;"")+--(D151&lt;&gt;"")+--(E151&lt;&gt;"")+--(F151&lt;&gt;"")+--(G151&lt;&gt;"")+--(H151&lt;&gt;"")+--(I151&lt;&gt;"")+--(J151&lt;&gt;"")+--(K151&lt;&gt;"")+--(L151&lt;&gt;"")+--(M151&lt;&gt;"")+--(N151&lt;&gt;"")+--(O151&lt;&gt;"")+--(P151&lt;&gt;"")+--(Q151&lt;&gt;"")+--(R151&lt;&gt;"")+--(S151&lt;&gt;"")+--(T151&lt;&gt;""))/19)</f>
        <v/>
      </c>
      <c r="AA151" s="16" t="n"/>
      <c r="AB151" s="16" t="n"/>
      <c r="AC151" s="16" t="n"/>
      <c r="AD151" s="16" t="n"/>
      <c r="AE151" s="7">
        <f>IF(B151="","",IF(AND(AA151="合格",AB151="合格",AC151="合格",AD151="合格"),"有效","无效"))</f>
        <v/>
      </c>
    </row>
    <row r="152">
      <c r="A152" s="7">
        <f>IF(B152="","",TEXT(B152,"yyyymmdd")&amp;"-"&amp;TEXT(ROW()-1,"000"))</f>
        <v/>
      </c>
      <c r="B152" s="8" t="n"/>
      <c r="C152" s="9" t="n"/>
      <c r="D152" s="9" t="n"/>
      <c r="E152" s="9" t="n"/>
      <c r="F152" s="9" t="n"/>
      <c r="G152" s="9" t="n"/>
      <c r="H152" s="9" t="n"/>
      <c r="I152" s="9" t="n"/>
      <c r="J152" s="10" t="n"/>
      <c r="K152" s="9" t="n"/>
      <c r="L152" s="9" t="n"/>
      <c r="M152" s="9" t="n"/>
      <c r="N152" s="10" t="n"/>
      <c r="O152" s="9" t="n"/>
      <c r="P152" s="10" t="n"/>
      <c r="Q152" s="10" t="n"/>
      <c r="R152" s="9" t="n"/>
      <c r="S152" s="10" t="n"/>
      <c r="T152" s="10" t="n"/>
      <c r="U152" s="11" t="n"/>
      <c r="V152" s="11" t="n"/>
      <c r="W152" s="12">
        <f>IF(B152="","",B152+3)</f>
        <v/>
      </c>
      <c r="X152" s="12">
        <f>IF(B152="","",B152+5)</f>
        <v/>
      </c>
      <c r="Y152" s="12">
        <f>IF(B152="","",B152+10)</f>
        <v/>
      </c>
      <c r="Z152" s="13">
        <f>IF(B152="","",(--(B152&lt;&gt;"")+--(C152&lt;&gt;"")+--(D152&lt;&gt;"")+--(E152&lt;&gt;"")+--(F152&lt;&gt;"")+--(G152&lt;&gt;"")+--(H152&lt;&gt;"")+--(I152&lt;&gt;"")+--(J152&lt;&gt;"")+--(K152&lt;&gt;"")+--(L152&lt;&gt;"")+--(M152&lt;&gt;"")+--(N152&lt;&gt;"")+--(O152&lt;&gt;"")+--(P152&lt;&gt;"")+--(Q152&lt;&gt;"")+--(R152&lt;&gt;"")+--(S152&lt;&gt;"")+--(T152&lt;&gt;""))/19)</f>
        <v/>
      </c>
      <c r="AA152" s="16" t="n"/>
      <c r="AB152" s="16" t="n"/>
      <c r="AC152" s="16" t="n"/>
      <c r="AD152" s="16" t="n"/>
      <c r="AE152" s="7">
        <f>IF(B152="","",IF(AND(AA152="合格",AB152="合格",AC152="合格",AD152="合格"),"有效","无效"))</f>
        <v/>
      </c>
    </row>
    <row r="153">
      <c r="A153" s="7">
        <f>IF(B153="","",TEXT(B153,"yyyymmdd")&amp;"-"&amp;TEXT(ROW()-1,"000"))</f>
        <v/>
      </c>
      <c r="B153" s="8" t="n"/>
      <c r="C153" s="9" t="n"/>
      <c r="D153" s="9" t="n"/>
      <c r="E153" s="9" t="n"/>
      <c r="F153" s="9" t="n"/>
      <c r="G153" s="9" t="n"/>
      <c r="H153" s="9" t="n"/>
      <c r="I153" s="9" t="n"/>
      <c r="J153" s="10" t="n"/>
      <c r="K153" s="9" t="n"/>
      <c r="L153" s="9" t="n"/>
      <c r="M153" s="9" t="n"/>
      <c r="N153" s="10" t="n"/>
      <c r="O153" s="9" t="n"/>
      <c r="P153" s="10" t="n"/>
      <c r="Q153" s="10" t="n"/>
      <c r="R153" s="9" t="n"/>
      <c r="S153" s="10" t="n"/>
      <c r="T153" s="10" t="n"/>
      <c r="U153" s="11" t="n"/>
      <c r="V153" s="11" t="n"/>
      <c r="W153" s="12">
        <f>IF(B153="","",B153+3)</f>
        <v/>
      </c>
      <c r="X153" s="12">
        <f>IF(B153="","",B153+5)</f>
        <v/>
      </c>
      <c r="Y153" s="12">
        <f>IF(B153="","",B153+10)</f>
        <v/>
      </c>
      <c r="Z153" s="13">
        <f>IF(B153="","",(--(B153&lt;&gt;"")+--(C153&lt;&gt;"")+--(D153&lt;&gt;"")+--(E153&lt;&gt;"")+--(F153&lt;&gt;"")+--(G153&lt;&gt;"")+--(H153&lt;&gt;"")+--(I153&lt;&gt;"")+--(J153&lt;&gt;"")+--(K153&lt;&gt;"")+--(L153&lt;&gt;"")+--(M153&lt;&gt;"")+--(N153&lt;&gt;"")+--(O153&lt;&gt;"")+--(P153&lt;&gt;"")+--(Q153&lt;&gt;"")+--(R153&lt;&gt;"")+--(S153&lt;&gt;"")+--(T153&lt;&gt;""))/19)</f>
        <v/>
      </c>
      <c r="AA153" s="16" t="n"/>
      <c r="AB153" s="16" t="n"/>
      <c r="AC153" s="16" t="n"/>
      <c r="AD153" s="16" t="n"/>
      <c r="AE153" s="7">
        <f>IF(B153="","",IF(AND(AA153="合格",AB153="合格",AC153="合格",AD153="合格"),"有效","无效"))</f>
        <v/>
      </c>
    </row>
    <row r="154">
      <c r="A154" s="7">
        <f>IF(B154="","",TEXT(B154,"yyyymmdd")&amp;"-"&amp;TEXT(ROW()-1,"000"))</f>
        <v/>
      </c>
      <c r="B154" s="8" t="n"/>
      <c r="C154" s="9" t="n"/>
      <c r="D154" s="9" t="n"/>
      <c r="E154" s="9" t="n"/>
      <c r="F154" s="9" t="n"/>
      <c r="G154" s="9" t="n"/>
      <c r="H154" s="9" t="n"/>
      <c r="I154" s="9" t="n"/>
      <c r="J154" s="10" t="n"/>
      <c r="K154" s="9" t="n"/>
      <c r="L154" s="9" t="n"/>
      <c r="M154" s="9" t="n"/>
      <c r="N154" s="10" t="n"/>
      <c r="O154" s="9" t="n"/>
      <c r="P154" s="10" t="n"/>
      <c r="Q154" s="10" t="n"/>
      <c r="R154" s="9" t="n"/>
      <c r="S154" s="10" t="n"/>
      <c r="T154" s="10" t="n"/>
      <c r="U154" s="11" t="n"/>
      <c r="V154" s="11" t="n"/>
      <c r="W154" s="12">
        <f>IF(B154="","",B154+3)</f>
        <v/>
      </c>
      <c r="X154" s="12">
        <f>IF(B154="","",B154+5)</f>
        <v/>
      </c>
      <c r="Y154" s="12">
        <f>IF(B154="","",B154+10)</f>
        <v/>
      </c>
      <c r="Z154" s="13">
        <f>IF(B154="","",(--(B154&lt;&gt;"")+--(C154&lt;&gt;"")+--(D154&lt;&gt;"")+--(E154&lt;&gt;"")+--(F154&lt;&gt;"")+--(G154&lt;&gt;"")+--(H154&lt;&gt;"")+--(I154&lt;&gt;"")+--(J154&lt;&gt;"")+--(K154&lt;&gt;"")+--(L154&lt;&gt;"")+--(M154&lt;&gt;"")+--(N154&lt;&gt;"")+--(O154&lt;&gt;"")+--(P154&lt;&gt;"")+--(Q154&lt;&gt;"")+--(R154&lt;&gt;"")+--(S154&lt;&gt;"")+--(T154&lt;&gt;""))/19)</f>
        <v/>
      </c>
      <c r="AA154" s="16" t="n"/>
      <c r="AB154" s="16" t="n"/>
      <c r="AC154" s="16" t="n"/>
      <c r="AD154" s="16" t="n"/>
      <c r="AE154" s="7">
        <f>IF(B154="","",IF(AND(AA154="合格",AB154="合格",AC154="合格",AD154="合格"),"有效","无效"))</f>
        <v/>
      </c>
    </row>
    <row r="155">
      <c r="A155" s="7">
        <f>IF(B155="","",TEXT(B155,"yyyymmdd")&amp;"-"&amp;TEXT(ROW()-1,"000"))</f>
        <v/>
      </c>
      <c r="B155" s="8" t="n"/>
      <c r="C155" s="9" t="n"/>
      <c r="D155" s="9" t="n"/>
      <c r="E155" s="9" t="n"/>
      <c r="F155" s="9" t="n"/>
      <c r="G155" s="9" t="n"/>
      <c r="H155" s="9" t="n"/>
      <c r="I155" s="9" t="n"/>
      <c r="J155" s="10" t="n"/>
      <c r="K155" s="9" t="n"/>
      <c r="L155" s="9" t="n"/>
      <c r="M155" s="9" t="n"/>
      <c r="N155" s="10" t="n"/>
      <c r="O155" s="9" t="n"/>
      <c r="P155" s="10" t="n"/>
      <c r="Q155" s="10" t="n"/>
      <c r="R155" s="9" t="n"/>
      <c r="S155" s="10" t="n"/>
      <c r="T155" s="10" t="n"/>
      <c r="U155" s="11" t="n"/>
      <c r="V155" s="11" t="n"/>
      <c r="W155" s="12">
        <f>IF(B155="","",B155+3)</f>
        <v/>
      </c>
      <c r="X155" s="12">
        <f>IF(B155="","",B155+5)</f>
        <v/>
      </c>
      <c r="Y155" s="12">
        <f>IF(B155="","",B155+10)</f>
        <v/>
      </c>
      <c r="Z155" s="13">
        <f>IF(B155="","",(--(B155&lt;&gt;"")+--(C155&lt;&gt;"")+--(D155&lt;&gt;"")+--(E155&lt;&gt;"")+--(F155&lt;&gt;"")+--(G155&lt;&gt;"")+--(H155&lt;&gt;"")+--(I155&lt;&gt;"")+--(J155&lt;&gt;"")+--(K155&lt;&gt;"")+--(L155&lt;&gt;"")+--(M155&lt;&gt;"")+--(N155&lt;&gt;"")+--(O155&lt;&gt;"")+--(P155&lt;&gt;"")+--(Q155&lt;&gt;"")+--(R155&lt;&gt;"")+--(S155&lt;&gt;"")+--(T155&lt;&gt;""))/19)</f>
        <v/>
      </c>
      <c r="AA155" s="16" t="n"/>
      <c r="AB155" s="16" t="n"/>
      <c r="AC155" s="16" t="n"/>
      <c r="AD155" s="16" t="n"/>
      <c r="AE155" s="7">
        <f>IF(B155="","",IF(AND(AA155="合格",AB155="合格",AC155="合格",AD155="合格"),"有效","无效"))</f>
        <v/>
      </c>
    </row>
    <row r="156">
      <c r="A156" s="7">
        <f>IF(B156="","",TEXT(B156,"yyyymmdd")&amp;"-"&amp;TEXT(ROW()-1,"000"))</f>
        <v/>
      </c>
      <c r="B156" s="8" t="n"/>
      <c r="C156" s="9" t="n"/>
      <c r="D156" s="9" t="n"/>
      <c r="E156" s="9" t="n"/>
      <c r="F156" s="9" t="n"/>
      <c r="G156" s="9" t="n"/>
      <c r="H156" s="9" t="n"/>
      <c r="I156" s="9" t="n"/>
      <c r="J156" s="10" t="n"/>
      <c r="K156" s="9" t="n"/>
      <c r="L156" s="9" t="n"/>
      <c r="M156" s="9" t="n"/>
      <c r="N156" s="10" t="n"/>
      <c r="O156" s="9" t="n"/>
      <c r="P156" s="10" t="n"/>
      <c r="Q156" s="10" t="n"/>
      <c r="R156" s="9" t="n"/>
      <c r="S156" s="10" t="n"/>
      <c r="T156" s="10" t="n"/>
      <c r="U156" s="11" t="n"/>
      <c r="V156" s="11" t="n"/>
      <c r="W156" s="12">
        <f>IF(B156="","",B156+3)</f>
        <v/>
      </c>
      <c r="X156" s="12">
        <f>IF(B156="","",B156+5)</f>
        <v/>
      </c>
      <c r="Y156" s="12">
        <f>IF(B156="","",B156+10)</f>
        <v/>
      </c>
      <c r="Z156" s="13">
        <f>IF(B156="","",(--(B156&lt;&gt;"")+--(C156&lt;&gt;"")+--(D156&lt;&gt;"")+--(E156&lt;&gt;"")+--(F156&lt;&gt;"")+--(G156&lt;&gt;"")+--(H156&lt;&gt;"")+--(I156&lt;&gt;"")+--(J156&lt;&gt;"")+--(K156&lt;&gt;"")+--(L156&lt;&gt;"")+--(M156&lt;&gt;"")+--(N156&lt;&gt;"")+--(O156&lt;&gt;"")+--(P156&lt;&gt;"")+--(Q156&lt;&gt;"")+--(R156&lt;&gt;"")+--(S156&lt;&gt;"")+--(T156&lt;&gt;""))/19)</f>
        <v/>
      </c>
      <c r="AA156" s="16" t="n"/>
      <c r="AB156" s="16" t="n"/>
      <c r="AC156" s="16" t="n"/>
      <c r="AD156" s="16" t="n"/>
      <c r="AE156" s="7">
        <f>IF(B156="","",IF(AND(AA156="合格",AB156="合格",AC156="合格",AD156="合格"),"有效","无效"))</f>
        <v/>
      </c>
    </row>
    <row r="157">
      <c r="A157" s="7">
        <f>IF(B157="","",TEXT(B157,"yyyymmdd")&amp;"-"&amp;TEXT(ROW()-1,"000"))</f>
        <v/>
      </c>
      <c r="B157" s="8" t="n"/>
      <c r="C157" s="9" t="n"/>
      <c r="D157" s="9" t="n"/>
      <c r="E157" s="9" t="n"/>
      <c r="F157" s="9" t="n"/>
      <c r="G157" s="9" t="n"/>
      <c r="H157" s="9" t="n"/>
      <c r="I157" s="9" t="n"/>
      <c r="J157" s="10" t="n"/>
      <c r="K157" s="9" t="n"/>
      <c r="L157" s="9" t="n"/>
      <c r="M157" s="9" t="n"/>
      <c r="N157" s="10" t="n"/>
      <c r="O157" s="9" t="n"/>
      <c r="P157" s="10" t="n"/>
      <c r="Q157" s="10" t="n"/>
      <c r="R157" s="9" t="n"/>
      <c r="S157" s="10" t="n"/>
      <c r="T157" s="10" t="n"/>
      <c r="U157" s="11" t="n"/>
      <c r="V157" s="11" t="n"/>
      <c r="W157" s="12">
        <f>IF(B157="","",B157+3)</f>
        <v/>
      </c>
      <c r="X157" s="12">
        <f>IF(B157="","",B157+5)</f>
        <v/>
      </c>
      <c r="Y157" s="12">
        <f>IF(B157="","",B157+10)</f>
        <v/>
      </c>
      <c r="Z157" s="13">
        <f>IF(B157="","",(--(B157&lt;&gt;"")+--(C157&lt;&gt;"")+--(D157&lt;&gt;"")+--(E157&lt;&gt;"")+--(F157&lt;&gt;"")+--(G157&lt;&gt;"")+--(H157&lt;&gt;"")+--(I157&lt;&gt;"")+--(J157&lt;&gt;"")+--(K157&lt;&gt;"")+--(L157&lt;&gt;"")+--(M157&lt;&gt;"")+--(N157&lt;&gt;"")+--(O157&lt;&gt;"")+--(P157&lt;&gt;"")+--(Q157&lt;&gt;"")+--(R157&lt;&gt;"")+--(S157&lt;&gt;"")+--(T157&lt;&gt;""))/19)</f>
        <v/>
      </c>
      <c r="AA157" s="16" t="n"/>
      <c r="AB157" s="16" t="n"/>
      <c r="AC157" s="16" t="n"/>
      <c r="AD157" s="16" t="n"/>
      <c r="AE157" s="7">
        <f>IF(B157="","",IF(AND(AA157="合格",AB157="合格",AC157="合格",AD157="合格"),"有效","无效"))</f>
        <v/>
      </c>
    </row>
    <row r="158">
      <c r="A158" s="7">
        <f>IF(B158="","",TEXT(B158,"yyyymmdd")&amp;"-"&amp;TEXT(ROW()-1,"000"))</f>
        <v/>
      </c>
      <c r="B158" s="8" t="n"/>
      <c r="C158" s="9" t="n"/>
      <c r="D158" s="9" t="n"/>
      <c r="E158" s="9" t="n"/>
      <c r="F158" s="9" t="n"/>
      <c r="G158" s="9" t="n"/>
      <c r="H158" s="9" t="n"/>
      <c r="I158" s="9" t="n"/>
      <c r="J158" s="10" t="n"/>
      <c r="K158" s="9" t="n"/>
      <c r="L158" s="9" t="n"/>
      <c r="M158" s="9" t="n"/>
      <c r="N158" s="10" t="n"/>
      <c r="O158" s="9" t="n"/>
      <c r="P158" s="10" t="n"/>
      <c r="Q158" s="10" t="n"/>
      <c r="R158" s="9" t="n"/>
      <c r="S158" s="10" t="n"/>
      <c r="T158" s="10" t="n"/>
      <c r="U158" s="11" t="n"/>
      <c r="V158" s="11" t="n"/>
      <c r="W158" s="12">
        <f>IF(B158="","",B158+3)</f>
        <v/>
      </c>
      <c r="X158" s="12">
        <f>IF(B158="","",B158+5)</f>
        <v/>
      </c>
      <c r="Y158" s="12">
        <f>IF(B158="","",B158+10)</f>
        <v/>
      </c>
      <c r="Z158" s="13">
        <f>IF(B158="","",(--(B158&lt;&gt;"")+--(C158&lt;&gt;"")+--(D158&lt;&gt;"")+--(E158&lt;&gt;"")+--(F158&lt;&gt;"")+--(G158&lt;&gt;"")+--(H158&lt;&gt;"")+--(I158&lt;&gt;"")+--(J158&lt;&gt;"")+--(K158&lt;&gt;"")+--(L158&lt;&gt;"")+--(M158&lt;&gt;"")+--(N158&lt;&gt;"")+--(O158&lt;&gt;"")+--(P158&lt;&gt;"")+--(Q158&lt;&gt;"")+--(R158&lt;&gt;"")+--(S158&lt;&gt;"")+--(T158&lt;&gt;""))/19)</f>
        <v/>
      </c>
      <c r="AA158" s="16" t="n"/>
      <c r="AB158" s="16" t="n"/>
      <c r="AC158" s="16" t="n"/>
      <c r="AD158" s="16" t="n"/>
      <c r="AE158" s="7">
        <f>IF(B158="","",IF(AND(AA158="合格",AB158="合格",AC158="合格",AD158="合格"),"有效","无效"))</f>
        <v/>
      </c>
    </row>
    <row r="159">
      <c r="A159" s="7">
        <f>IF(B159="","",TEXT(B159,"yyyymmdd")&amp;"-"&amp;TEXT(ROW()-1,"000"))</f>
        <v/>
      </c>
      <c r="B159" s="8" t="n"/>
      <c r="C159" s="9" t="n"/>
      <c r="D159" s="9" t="n"/>
      <c r="E159" s="9" t="n"/>
      <c r="F159" s="9" t="n"/>
      <c r="G159" s="9" t="n"/>
      <c r="H159" s="9" t="n"/>
      <c r="I159" s="9" t="n"/>
      <c r="J159" s="10" t="n"/>
      <c r="K159" s="9" t="n"/>
      <c r="L159" s="9" t="n"/>
      <c r="M159" s="9" t="n"/>
      <c r="N159" s="10" t="n"/>
      <c r="O159" s="9" t="n"/>
      <c r="P159" s="10" t="n"/>
      <c r="Q159" s="10" t="n"/>
      <c r="R159" s="9" t="n"/>
      <c r="S159" s="10" t="n"/>
      <c r="T159" s="10" t="n"/>
      <c r="U159" s="11" t="n"/>
      <c r="V159" s="11" t="n"/>
      <c r="W159" s="12">
        <f>IF(B159="","",B159+3)</f>
        <v/>
      </c>
      <c r="X159" s="12">
        <f>IF(B159="","",B159+5)</f>
        <v/>
      </c>
      <c r="Y159" s="12">
        <f>IF(B159="","",B159+10)</f>
        <v/>
      </c>
      <c r="Z159" s="13">
        <f>IF(B159="","",(--(B159&lt;&gt;"")+--(C159&lt;&gt;"")+--(D159&lt;&gt;"")+--(E159&lt;&gt;"")+--(F159&lt;&gt;"")+--(G159&lt;&gt;"")+--(H159&lt;&gt;"")+--(I159&lt;&gt;"")+--(J159&lt;&gt;"")+--(K159&lt;&gt;"")+--(L159&lt;&gt;"")+--(M159&lt;&gt;"")+--(N159&lt;&gt;"")+--(O159&lt;&gt;"")+--(P159&lt;&gt;"")+--(Q159&lt;&gt;"")+--(R159&lt;&gt;"")+--(S159&lt;&gt;"")+--(T159&lt;&gt;""))/19)</f>
        <v/>
      </c>
      <c r="AA159" s="16" t="n"/>
      <c r="AB159" s="16" t="n"/>
      <c r="AC159" s="16" t="n"/>
      <c r="AD159" s="16" t="n"/>
      <c r="AE159" s="7">
        <f>IF(B159="","",IF(AND(AA159="合格",AB159="合格",AC159="合格",AD159="合格"),"有效","无效"))</f>
        <v/>
      </c>
    </row>
    <row r="160">
      <c r="A160" s="7">
        <f>IF(B160="","",TEXT(B160,"yyyymmdd")&amp;"-"&amp;TEXT(ROW()-1,"000"))</f>
        <v/>
      </c>
      <c r="B160" s="8" t="n"/>
      <c r="C160" s="9" t="n"/>
      <c r="D160" s="9" t="n"/>
      <c r="E160" s="9" t="n"/>
      <c r="F160" s="9" t="n"/>
      <c r="G160" s="9" t="n"/>
      <c r="H160" s="9" t="n"/>
      <c r="I160" s="9" t="n"/>
      <c r="J160" s="10" t="n"/>
      <c r="K160" s="9" t="n"/>
      <c r="L160" s="9" t="n"/>
      <c r="M160" s="9" t="n"/>
      <c r="N160" s="10" t="n"/>
      <c r="O160" s="9" t="n"/>
      <c r="P160" s="10" t="n"/>
      <c r="Q160" s="10" t="n"/>
      <c r="R160" s="9" t="n"/>
      <c r="S160" s="10" t="n"/>
      <c r="T160" s="10" t="n"/>
      <c r="U160" s="11" t="n"/>
      <c r="V160" s="11" t="n"/>
      <c r="W160" s="12">
        <f>IF(B160="","",B160+3)</f>
        <v/>
      </c>
      <c r="X160" s="12">
        <f>IF(B160="","",B160+5)</f>
        <v/>
      </c>
      <c r="Y160" s="12">
        <f>IF(B160="","",B160+10)</f>
        <v/>
      </c>
      <c r="Z160" s="13">
        <f>IF(B160="","",(--(B160&lt;&gt;"")+--(C160&lt;&gt;"")+--(D160&lt;&gt;"")+--(E160&lt;&gt;"")+--(F160&lt;&gt;"")+--(G160&lt;&gt;"")+--(H160&lt;&gt;"")+--(I160&lt;&gt;"")+--(J160&lt;&gt;"")+--(K160&lt;&gt;"")+--(L160&lt;&gt;"")+--(M160&lt;&gt;"")+--(N160&lt;&gt;"")+--(O160&lt;&gt;"")+--(P160&lt;&gt;"")+--(Q160&lt;&gt;"")+--(R160&lt;&gt;"")+--(S160&lt;&gt;"")+--(T160&lt;&gt;""))/19)</f>
        <v/>
      </c>
      <c r="AA160" s="16" t="n"/>
      <c r="AB160" s="16" t="n"/>
      <c r="AC160" s="16" t="n"/>
      <c r="AD160" s="16" t="n"/>
      <c r="AE160" s="7">
        <f>IF(B160="","",IF(AND(AA160="合格",AB160="合格",AC160="合格",AD160="合格"),"有效","无效"))</f>
        <v/>
      </c>
    </row>
    <row r="161">
      <c r="A161" s="7">
        <f>IF(B161="","",TEXT(B161,"yyyymmdd")&amp;"-"&amp;TEXT(ROW()-1,"000"))</f>
        <v/>
      </c>
      <c r="B161" s="8" t="n"/>
      <c r="C161" s="9" t="n"/>
      <c r="D161" s="9" t="n"/>
      <c r="E161" s="9" t="n"/>
      <c r="F161" s="9" t="n"/>
      <c r="G161" s="9" t="n"/>
      <c r="H161" s="9" t="n"/>
      <c r="I161" s="9" t="n"/>
      <c r="J161" s="10" t="n"/>
      <c r="K161" s="9" t="n"/>
      <c r="L161" s="9" t="n"/>
      <c r="M161" s="9" t="n"/>
      <c r="N161" s="10" t="n"/>
      <c r="O161" s="9" t="n"/>
      <c r="P161" s="10" t="n"/>
      <c r="Q161" s="10" t="n"/>
      <c r="R161" s="9" t="n"/>
      <c r="S161" s="10" t="n"/>
      <c r="T161" s="10" t="n"/>
      <c r="U161" s="11" t="n"/>
      <c r="V161" s="11" t="n"/>
      <c r="W161" s="12">
        <f>IF(B161="","",B161+3)</f>
        <v/>
      </c>
      <c r="X161" s="12">
        <f>IF(B161="","",B161+5)</f>
        <v/>
      </c>
      <c r="Y161" s="12">
        <f>IF(B161="","",B161+10)</f>
        <v/>
      </c>
      <c r="Z161" s="13">
        <f>IF(B161="","",(--(B161&lt;&gt;"")+--(C161&lt;&gt;"")+--(D161&lt;&gt;"")+--(E161&lt;&gt;"")+--(F161&lt;&gt;"")+--(G161&lt;&gt;"")+--(H161&lt;&gt;"")+--(I161&lt;&gt;"")+--(J161&lt;&gt;"")+--(K161&lt;&gt;"")+--(L161&lt;&gt;"")+--(M161&lt;&gt;"")+--(N161&lt;&gt;"")+--(O161&lt;&gt;"")+--(P161&lt;&gt;"")+--(Q161&lt;&gt;"")+--(R161&lt;&gt;"")+--(S161&lt;&gt;"")+--(T161&lt;&gt;""))/19)</f>
        <v/>
      </c>
      <c r="AA161" s="16" t="n"/>
      <c r="AB161" s="16" t="n"/>
      <c r="AC161" s="16" t="n"/>
      <c r="AD161" s="16" t="n"/>
      <c r="AE161" s="7">
        <f>IF(B161="","",IF(AND(AA161="合格",AB161="合格",AC161="合格",AD161="合格"),"有效","无效"))</f>
        <v/>
      </c>
    </row>
    <row r="162">
      <c r="A162" s="7">
        <f>IF(B162="","",TEXT(B162,"yyyymmdd")&amp;"-"&amp;TEXT(ROW()-1,"000"))</f>
        <v/>
      </c>
      <c r="B162" s="8" t="n"/>
      <c r="C162" s="9" t="n"/>
      <c r="D162" s="9" t="n"/>
      <c r="E162" s="9" t="n"/>
      <c r="F162" s="9" t="n"/>
      <c r="G162" s="9" t="n"/>
      <c r="H162" s="9" t="n"/>
      <c r="I162" s="9" t="n"/>
      <c r="J162" s="10" t="n"/>
      <c r="K162" s="9" t="n"/>
      <c r="L162" s="9" t="n"/>
      <c r="M162" s="9" t="n"/>
      <c r="N162" s="10" t="n"/>
      <c r="O162" s="9" t="n"/>
      <c r="P162" s="10" t="n"/>
      <c r="Q162" s="10" t="n"/>
      <c r="R162" s="9" t="n"/>
      <c r="S162" s="10" t="n"/>
      <c r="T162" s="10" t="n"/>
      <c r="U162" s="11" t="n"/>
      <c r="V162" s="11" t="n"/>
      <c r="W162" s="12">
        <f>IF(B162="","",B162+3)</f>
        <v/>
      </c>
      <c r="X162" s="12">
        <f>IF(B162="","",B162+5)</f>
        <v/>
      </c>
      <c r="Y162" s="12">
        <f>IF(B162="","",B162+10)</f>
        <v/>
      </c>
      <c r="Z162" s="13">
        <f>IF(B162="","",(--(B162&lt;&gt;"")+--(C162&lt;&gt;"")+--(D162&lt;&gt;"")+--(E162&lt;&gt;"")+--(F162&lt;&gt;"")+--(G162&lt;&gt;"")+--(H162&lt;&gt;"")+--(I162&lt;&gt;"")+--(J162&lt;&gt;"")+--(K162&lt;&gt;"")+--(L162&lt;&gt;"")+--(M162&lt;&gt;"")+--(N162&lt;&gt;"")+--(O162&lt;&gt;"")+--(P162&lt;&gt;"")+--(Q162&lt;&gt;"")+--(R162&lt;&gt;"")+--(S162&lt;&gt;"")+--(T162&lt;&gt;""))/19)</f>
        <v/>
      </c>
      <c r="AA162" s="16" t="n"/>
      <c r="AB162" s="16" t="n"/>
      <c r="AC162" s="16" t="n"/>
      <c r="AD162" s="16" t="n"/>
      <c r="AE162" s="7">
        <f>IF(B162="","",IF(AND(AA162="合格",AB162="合格",AC162="合格",AD162="合格"),"有效","无效"))</f>
        <v/>
      </c>
    </row>
    <row r="163">
      <c r="A163" s="7">
        <f>IF(B163="","",TEXT(B163,"yyyymmdd")&amp;"-"&amp;TEXT(ROW()-1,"000"))</f>
        <v/>
      </c>
      <c r="B163" s="8" t="n"/>
      <c r="C163" s="9" t="n"/>
      <c r="D163" s="9" t="n"/>
      <c r="E163" s="9" t="n"/>
      <c r="F163" s="9" t="n"/>
      <c r="G163" s="9" t="n"/>
      <c r="H163" s="9" t="n"/>
      <c r="I163" s="9" t="n"/>
      <c r="J163" s="10" t="n"/>
      <c r="K163" s="9" t="n"/>
      <c r="L163" s="9" t="n"/>
      <c r="M163" s="9" t="n"/>
      <c r="N163" s="10" t="n"/>
      <c r="O163" s="9" t="n"/>
      <c r="P163" s="10" t="n"/>
      <c r="Q163" s="10" t="n"/>
      <c r="R163" s="9" t="n"/>
      <c r="S163" s="10" t="n"/>
      <c r="T163" s="10" t="n"/>
      <c r="U163" s="11" t="n"/>
      <c r="V163" s="11" t="n"/>
      <c r="W163" s="12">
        <f>IF(B163="","",B163+3)</f>
        <v/>
      </c>
      <c r="X163" s="12">
        <f>IF(B163="","",B163+5)</f>
        <v/>
      </c>
      <c r="Y163" s="12">
        <f>IF(B163="","",B163+10)</f>
        <v/>
      </c>
      <c r="Z163" s="13">
        <f>IF(B163="","",(--(B163&lt;&gt;"")+--(C163&lt;&gt;"")+--(D163&lt;&gt;"")+--(E163&lt;&gt;"")+--(F163&lt;&gt;"")+--(G163&lt;&gt;"")+--(H163&lt;&gt;"")+--(I163&lt;&gt;"")+--(J163&lt;&gt;"")+--(K163&lt;&gt;"")+--(L163&lt;&gt;"")+--(M163&lt;&gt;"")+--(N163&lt;&gt;"")+--(O163&lt;&gt;"")+--(P163&lt;&gt;"")+--(Q163&lt;&gt;"")+--(R163&lt;&gt;"")+--(S163&lt;&gt;"")+--(T163&lt;&gt;""))/19)</f>
        <v/>
      </c>
      <c r="AA163" s="16" t="n"/>
      <c r="AB163" s="16" t="n"/>
      <c r="AC163" s="16" t="n"/>
      <c r="AD163" s="16" t="n"/>
      <c r="AE163" s="7">
        <f>IF(B163="","",IF(AND(AA163="合格",AB163="合格",AC163="合格",AD163="合格"),"有效","无效"))</f>
        <v/>
      </c>
    </row>
    <row r="164">
      <c r="A164" s="7">
        <f>IF(B164="","",TEXT(B164,"yyyymmdd")&amp;"-"&amp;TEXT(ROW()-1,"000"))</f>
        <v/>
      </c>
      <c r="B164" s="8" t="n"/>
      <c r="C164" s="9" t="n"/>
      <c r="D164" s="9" t="n"/>
      <c r="E164" s="9" t="n"/>
      <c r="F164" s="9" t="n"/>
      <c r="G164" s="9" t="n"/>
      <c r="H164" s="9" t="n"/>
      <c r="I164" s="9" t="n"/>
      <c r="J164" s="10" t="n"/>
      <c r="K164" s="9" t="n"/>
      <c r="L164" s="9" t="n"/>
      <c r="M164" s="9" t="n"/>
      <c r="N164" s="10" t="n"/>
      <c r="O164" s="9" t="n"/>
      <c r="P164" s="10" t="n"/>
      <c r="Q164" s="10" t="n"/>
      <c r="R164" s="9" t="n"/>
      <c r="S164" s="10" t="n"/>
      <c r="T164" s="10" t="n"/>
      <c r="U164" s="11" t="n"/>
      <c r="V164" s="11" t="n"/>
      <c r="W164" s="12">
        <f>IF(B164="","",B164+3)</f>
        <v/>
      </c>
      <c r="X164" s="12">
        <f>IF(B164="","",B164+5)</f>
        <v/>
      </c>
      <c r="Y164" s="12">
        <f>IF(B164="","",B164+10)</f>
        <v/>
      </c>
      <c r="Z164" s="13">
        <f>IF(B164="","",(--(B164&lt;&gt;"")+--(C164&lt;&gt;"")+--(D164&lt;&gt;"")+--(E164&lt;&gt;"")+--(F164&lt;&gt;"")+--(G164&lt;&gt;"")+--(H164&lt;&gt;"")+--(I164&lt;&gt;"")+--(J164&lt;&gt;"")+--(K164&lt;&gt;"")+--(L164&lt;&gt;"")+--(M164&lt;&gt;"")+--(N164&lt;&gt;"")+--(O164&lt;&gt;"")+--(P164&lt;&gt;"")+--(Q164&lt;&gt;"")+--(R164&lt;&gt;"")+--(S164&lt;&gt;"")+--(T164&lt;&gt;""))/19)</f>
        <v/>
      </c>
      <c r="AA164" s="16" t="n"/>
      <c r="AB164" s="16" t="n"/>
      <c r="AC164" s="16" t="n"/>
      <c r="AD164" s="16" t="n"/>
      <c r="AE164" s="7">
        <f>IF(B164="","",IF(AND(AA164="合格",AB164="合格",AC164="合格",AD164="合格"),"有效","无效"))</f>
        <v/>
      </c>
    </row>
    <row r="165">
      <c r="A165" s="7">
        <f>IF(B165="","",TEXT(B165,"yyyymmdd")&amp;"-"&amp;TEXT(ROW()-1,"000"))</f>
        <v/>
      </c>
      <c r="B165" s="8" t="n"/>
      <c r="C165" s="9" t="n"/>
      <c r="D165" s="9" t="n"/>
      <c r="E165" s="9" t="n"/>
      <c r="F165" s="9" t="n"/>
      <c r="G165" s="9" t="n"/>
      <c r="H165" s="9" t="n"/>
      <c r="I165" s="9" t="n"/>
      <c r="J165" s="10" t="n"/>
      <c r="K165" s="9" t="n"/>
      <c r="L165" s="9" t="n"/>
      <c r="M165" s="9" t="n"/>
      <c r="N165" s="10" t="n"/>
      <c r="O165" s="9" t="n"/>
      <c r="P165" s="10" t="n"/>
      <c r="Q165" s="10" t="n"/>
      <c r="R165" s="9" t="n"/>
      <c r="S165" s="10" t="n"/>
      <c r="T165" s="10" t="n"/>
      <c r="U165" s="11" t="n"/>
      <c r="V165" s="11" t="n"/>
      <c r="W165" s="12">
        <f>IF(B165="","",B165+3)</f>
        <v/>
      </c>
      <c r="X165" s="12">
        <f>IF(B165="","",B165+5)</f>
        <v/>
      </c>
      <c r="Y165" s="12">
        <f>IF(B165="","",B165+10)</f>
        <v/>
      </c>
      <c r="Z165" s="13">
        <f>IF(B165="","",(--(B165&lt;&gt;"")+--(C165&lt;&gt;"")+--(D165&lt;&gt;"")+--(E165&lt;&gt;"")+--(F165&lt;&gt;"")+--(G165&lt;&gt;"")+--(H165&lt;&gt;"")+--(I165&lt;&gt;"")+--(J165&lt;&gt;"")+--(K165&lt;&gt;"")+--(L165&lt;&gt;"")+--(M165&lt;&gt;"")+--(N165&lt;&gt;"")+--(O165&lt;&gt;"")+--(P165&lt;&gt;"")+--(Q165&lt;&gt;"")+--(R165&lt;&gt;"")+--(S165&lt;&gt;"")+--(T165&lt;&gt;""))/19)</f>
        <v/>
      </c>
      <c r="AA165" s="16" t="n"/>
      <c r="AB165" s="16" t="n"/>
      <c r="AC165" s="16" t="n"/>
      <c r="AD165" s="16" t="n"/>
      <c r="AE165" s="7">
        <f>IF(B165="","",IF(AND(AA165="合格",AB165="合格",AC165="合格",AD165="合格"),"有效","无效"))</f>
        <v/>
      </c>
    </row>
    <row r="166">
      <c r="A166" s="7">
        <f>IF(B166="","",TEXT(B166,"yyyymmdd")&amp;"-"&amp;TEXT(ROW()-1,"000"))</f>
        <v/>
      </c>
      <c r="B166" s="8" t="n"/>
      <c r="C166" s="9" t="n"/>
      <c r="D166" s="9" t="n"/>
      <c r="E166" s="9" t="n"/>
      <c r="F166" s="9" t="n"/>
      <c r="G166" s="9" t="n"/>
      <c r="H166" s="9" t="n"/>
      <c r="I166" s="9" t="n"/>
      <c r="J166" s="10" t="n"/>
      <c r="K166" s="9" t="n"/>
      <c r="L166" s="9" t="n"/>
      <c r="M166" s="9" t="n"/>
      <c r="N166" s="10" t="n"/>
      <c r="O166" s="9" t="n"/>
      <c r="P166" s="10" t="n"/>
      <c r="Q166" s="10" t="n"/>
      <c r="R166" s="9" t="n"/>
      <c r="S166" s="10" t="n"/>
      <c r="T166" s="10" t="n"/>
      <c r="U166" s="11" t="n"/>
      <c r="V166" s="11" t="n"/>
      <c r="W166" s="12">
        <f>IF(B166="","",B166+3)</f>
        <v/>
      </c>
      <c r="X166" s="12">
        <f>IF(B166="","",B166+5)</f>
        <v/>
      </c>
      <c r="Y166" s="12">
        <f>IF(B166="","",B166+10)</f>
        <v/>
      </c>
      <c r="Z166" s="13">
        <f>IF(B166="","",(--(B166&lt;&gt;"")+--(C166&lt;&gt;"")+--(D166&lt;&gt;"")+--(E166&lt;&gt;"")+--(F166&lt;&gt;"")+--(G166&lt;&gt;"")+--(H166&lt;&gt;"")+--(I166&lt;&gt;"")+--(J166&lt;&gt;"")+--(K166&lt;&gt;"")+--(L166&lt;&gt;"")+--(M166&lt;&gt;"")+--(N166&lt;&gt;"")+--(O166&lt;&gt;"")+--(P166&lt;&gt;"")+--(Q166&lt;&gt;"")+--(R166&lt;&gt;"")+--(S166&lt;&gt;"")+--(T166&lt;&gt;""))/19)</f>
        <v/>
      </c>
      <c r="AA166" s="16" t="n"/>
      <c r="AB166" s="16" t="n"/>
      <c r="AC166" s="16" t="n"/>
      <c r="AD166" s="16" t="n"/>
      <c r="AE166" s="7">
        <f>IF(B166="","",IF(AND(AA166="合格",AB166="合格",AC166="合格",AD166="合格"),"有效","无效"))</f>
        <v/>
      </c>
    </row>
    <row r="167">
      <c r="A167" s="7">
        <f>IF(B167="","",TEXT(B167,"yyyymmdd")&amp;"-"&amp;TEXT(ROW()-1,"000"))</f>
        <v/>
      </c>
      <c r="B167" s="8" t="n"/>
      <c r="C167" s="9" t="n"/>
      <c r="D167" s="9" t="n"/>
      <c r="E167" s="9" t="n"/>
      <c r="F167" s="9" t="n"/>
      <c r="G167" s="9" t="n"/>
      <c r="H167" s="9" t="n"/>
      <c r="I167" s="9" t="n"/>
      <c r="J167" s="10" t="n"/>
      <c r="K167" s="9" t="n"/>
      <c r="L167" s="9" t="n"/>
      <c r="M167" s="9" t="n"/>
      <c r="N167" s="10" t="n"/>
      <c r="O167" s="9" t="n"/>
      <c r="P167" s="10" t="n"/>
      <c r="Q167" s="10" t="n"/>
      <c r="R167" s="9" t="n"/>
      <c r="S167" s="10" t="n"/>
      <c r="T167" s="10" t="n"/>
      <c r="U167" s="11" t="n"/>
      <c r="V167" s="11" t="n"/>
      <c r="W167" s="12">
        <f>IF(B167="","",B167+3)</f>
        <v/>
      </c>
      <c r="X167" s="12">
        <f>IF(B167="","",B167+5)</f>
        <v/>
      </c>
      <c r="Y167" s="12">
        <f>IF(B167="","",B167+10)</f>
        <v/>
      </c>
      <c r="Z167" s="13">
        <f>IF(B167="","",(--(B167&lt;&gt;"")+--(C167&lt;&gt;"")+--(D167&lt;&gt;"")+--(E167&lt;&gt;"")+--(F167&lt;&gt;"")+--(G167&lt;&gt;"")+--(H167&lt;&gt;"")+--(I167&lt;&gt;"")+--(J167&lt;&gt;"")+--(K167&lt;&gt;"")+--(L167&lt;&gt;"")+--(M167&lt;&gt;"")+--(N167&lt;&gt;"")+--(O167&lt;&gt;"")+--(P167&lt;&gt;"")+--(Q167&lt;&gt;"")+--(R167&lt;&gt;"")+--(S167&lt;&gt;"")+--(T167&lt;&gt;""))/19)</f>
        <v/>
      </c>
      <c r="AA167" s="16" t="n"/>
      <c r="AB167" s="16" t="n"/>
      <c r="AC167" s="16" t="n"/>
      <c r="AD167" s="16" t="n"/>
      <c r="AE167" s="7">
        <f>IF(B167="","",IF(AND(AA167="合格",AB167="合格",AC167="合格",AD167="合格"),"有效","无效"))</f>
        <v/>
      </c>
    </row>
    <row r="168">
      <c r="A168" s="7">
        <f>IF(B168="","",TEXT(B168,"yyyymmdd")&amp;"-"&amp;TEXT(ROW()-1,"000"))</f>
        <v/>
      </c>
      <c r="B168" s="8" t="n"/>
      <c r="C168" s="9" t="n"/>
      <c r="D168" s="9" t="n"/>
      <c r="E168" s="9" t="n"/>
      <c r="F168" s="9" t="n"/>
      <c r="G168" s="9" t="n"/>
      <c r="H168" s="9" t="n"/>
      <c r="I168" s="9" t="n"/>
      <c r="J168" s="10" t="n"/>
      <c r="K168" s="9" t="n"/>
      <c r="L168" s="9" t="n"/>
      <c r="M168" s="9" t="n"/>
      <c r="N168" s="10" t="n"/>
      <c r="O168" s="9" t="n"/>
      <c r="P168" s="10" t="n"/>
      <c r="Q168" s="10" t="n"/>
      <c r="R168" s="9" t="n"/>
      <c r="S168" s="10" t="n"/>
      <c r="T168" s="10" t="n"/>
      <c r="U168" s="11" t="n"/>
      <c r="V168" s="11" t="n"/>
      <c r="W168" s="12">
        <f>IF(B168="","",B168+3)</f>
        <v/>
      </c>
      <c r="X168" s="12">
        <f>IF(B168="","",B168+5)</f>
        <v/>
      </c>
      <c r="Y168" s="12">
        <f>IF(B168="","",B168+10)</f>
        <v/>
      </c>
      <c r="Z168" s="13">
        <f>IF(B168="","",(--(B168&lt;&gt;"")+--(C168&lt;&gt;"")+--(D168&lt;&gt;"")+--(E168&lt;&gt;"")+--(F168&lt;&gt;"")+--(G168&lt;&gt;"")+--(H168&lt;&gt;"")+--(I168&lt;&gt;"")+--(J168&lt;&gt;"")+--(K168&lt;&gt;"")+--(L168&lt;&gt;"")+--(M168&lt;&gt;"")+--(N168&lt;&gt;"")+--(O168&lt;&gt;"")+--(P168&lt;&gt;"")+--(Q168&lt;&gt;"")+--(R168&lt;&gt;"")+--(S168&lt;&gt;"")+--(T168&lt;&gt;""))/19)</f>
        <v/>
      </c>
      <c r="AA168" s="16" t="n"/>
      <c r="AB168" s="16" t="n"/>
      <c r="AC168" s="16" t="n"/>
      <c r="AD168" s="16" t="n"/>
      <c r="AE168" s="7">
        <f>IF(B168="","",IF(AND(AA168="合格",AB168="合格",AC168="合格",AD168="合格"),"有效","无效"))</f>
        <v/>
      </c>
    </row>
    <row r="169">
      <c r="A169" s="7">
        <f>IF(B169="","",TEXT(B169,"yyyymmdd")&amp;"-"&amp;TEXT(ROW()-1,"000"))</f>
        <v/>
      </c>
      <c r="B169" s="8" t="n"/>
      <c r="C169" s="9" t="n"/>
      <c r="D169" s="9" t="n"/>
      <c r="E169" s="9" t="n"/>
      <c r="F169" s="9" t="n"/>
      <c r="G169" s="9" t="n"/>
      <c r="H169" s="9" t="n"/>
      <c r="I169" s="9" t="n"/>
      <c r="J169" s="10" t="n"/>
      <c r="K169" s="9" t="n"/>
      <c r="L169" s="9" t="n"/>
      <c r="M169" s="9" t="n"/>
      <c r="N169" s="10" t="n"/>
      <c r="O169" s="9" t="n"/>
      <c r="P169" s="10" t="n"/>
      <c r="Q169" s="10" t="n"/>
      <c r="R169" s="9" t="n"/>
      <c r="S169" s="10" t="n"/>
      <c r="T169" s="10" t="n"/>
      <c r="U169" s="11" t="n"/>
      <c r="V169" s="11" t="n"/>
      <c r="W169" s="12">
        <f>IF(B169="","",B169+3)</f>
        <v/>
      </c>
      <c r="X169" s="12">
        <f>IF(B169="","",B169+5)</f>
        <v/>
      </c>
      <c r="Y169" s="12">
        <f>IF(B169="","",B169+10)</f>
        <v/>
      </c>
      <c r="Z169" s="13">
        <f>IF(B169="","",(--(B169&lt;&gt;"")+--(C169&lt;&gt;"")+--(D169&lt;&gt;"")+--(E169&lt;&gt;"")+--(F169&lt;&gt;"")+--(G169&lt;&gt;"")+--(H169&lt;&gt;"")+--(I169&lt;&gt;"")+--(J169&lt;&gt;"")+--(K169&lt;&gt;"")+--(L169&lt;&gt;"")+--(M169&lt;&gt;"")+--(N169&lt;&gt;"")+--(O169&lt;&gt;"")+--(P169&lt;&gt;"")+--(Q169&lt;&gt;"")+--(R169&lt;&gt;"")+--(S169&lt;&gt;"")+--(T169&lt;&gt;""))/19)</f>
        <v/>
      </c>
      <c r="AA169" s="16" t="n"/>
      <c r="AB169" s="16" t="n"/>
      <c r="AC169" s="16" t="n"/>
      <c r="AD169" s="16" t="n"/>
      <c r="AE169" s="7">
        <f>IF(B169="","",IF(AND(AA169="合格",AB169="合格",AC169="合格",AD169="合格"),"有效","无效"))</f>
        <v/>
      </c>
    </row>
    <row r="170">
      <c r="A170" s="7">
        <f>IF(B170="","",TEXT(B170,"yyyymmdd")&amp;"-"&amp;TEXT(ROW()-1,"000"))</f>
        <v/>
      </c>
      <c r="B170" s="8" t="n"/>
      <c r="C170" s="9" t="n"/>
      <c r="D170" s="9" t="n"/>
      <c r="E170" s="9" t="n"/>
      <c r="F170" s="9" t="n"/>
      <c r="G170" s="9" t="n"/>
      <c r="H170" s="9" t="n"/>
      <c r="I170" s="9" t="n"/>
      <c r="J170" s="10" t="n"/>
      <c r="K170" s="9" t="n"/>
      <c r="L170" s="9" t="n"/>
      <c r="M170" s="9" t="n"/>
      <c r="N170" s="10" t="n"/>
      <c r="O170" s="9" t="n"/>
      <c r="P170" s="10" t="n"/>
      <c r="Q170" s="10" t="n"/>
      <c r="R170" s="9" t="n"/>
      <c r="S170" s="10" t="n"/>
      <c r="T170" s="10" t="n"/>
      <c r="U170" s="11" t="n"/>
      <c r="V170" s="11" t="n"/>
      <c r="W170" s="12">
        <f>IF(B170="","",B170+3)</f>
        <v/>
      </c>
      <c r="X170" s="12">
        <f>IF(B170="","",B170+5)</f>
        <v/>
      </c>
      <c r="Y170" s="12">
        <f>IF(B170="","",B170+10)</f>
        <v/>
      </c>
      <c r="Z170" s="13">
        <f>IF(B170="","",(--(B170&lt;&gt;"")+--(C170&lt;&gt;"")+--(D170&lt;&gt;"")+--(E170&lt;&gt;"")+--(F170&lt;&gt;"")+--(G170&lt;&gt;"")+--(H170&lt;&gt;"")+--(I170&lt;&gt;"")+--(J170&lt;&gt;"")+--(K170&lt;&gt;"")+--(L170&lt;&gt;"")+--(M170&lt;&gt;"")+--(N170&lt;&gt;"")+--(O170&lt;&gt;"")+--(P170&lt;&gt;"")+--(Q170&lt;&gt;"")+--(R170&lt;&gt;"")+--(S170&lt;&gt;"")+--(T170&lt;&gt;""))/19)</f>
        <v/>
      </c>
      <c r="AA170" s="16" t="n"/>
      <c r="AB170" s="16" t="n"/>
      <c r="AC170" s="16" t="n"/>
      <c r="AD170" s="16" t="n"/>
      <c r="AE170" s="7">
        <f>IF(B170="","",IF(AND(AA170="合格",AB170="合格",AC170="合格",AD170="合格"),"有效","无效"))</f>
        <v/>
      </c>
    </row>
    <row r="171">
      <c r="A171" s="7">
        <f>IF(B171="","",TEXT(B171,"yyyymmdd")&amp;"-"&amp;TEXT(ROW()-1,"000"))</f>
        <v/>
      </c>
      <c r="B171" s="8" t="n"/>
      <c r="C171" s="9" t="n"/>
      <c r="D171" s="9" t="n"/>
      <c r="E171" s="9" t="n"/>
      <c r="F171" s="9" t="n"/>
      <c r="G171" s="9" t="n"/>
      <c r="H171" s="9" t="n"/>
      <c r="I171" s="9" t="n"/>
      <c r="J171" s="10" t="n"/>
      <c r="K171" s="9" t="n"/>
      <c r="L171" s="9" t="n"/>
      <c r="M171" s="9" t="n"/>
      <c r="N171" s="10" t="n"/>
      <c r="O171" s="9" t="n"/>
      <c r="P171" s="10" t="n"/>
      <c r="Q171" s="10" t="n"/>
      <c r="R171" s="9" t="n"/>
      <c r="S171" s="10" t="n"/>
      <c r="T171" s="10" t="n"/>
      <c r="U171" s="11" t="n"/>
      <c r="V171" s="11" t="n"/>
      <c r="W171" s="12">
        <f>IF(B171="","",B171+3)</f>
        <v/>
      </c>
      <c r="X171" s="12">
        <f>IF(B171="","",B171+5)</f>
        <v/>
      </c>
      <c r="Y171" s="12">
        <f>IF(B171="","",B171+10)</f>
        <v/>
      </c>
      <c r="Z171" s="13">
        <f>IF(B171="","",(--(B171&lt;&gt;"")+--(C171&lt;&gt;"")+--(D171&lt;&gt;"")+--(E171&lt;&gt;"")+--(F171&lt;&gt;"")+--(G171&lt;&gt;"")+--(H171&lt;&gt;"")+--(I171&lt;&gt;"")+--(J171&lt;&gt;"")+--(K171&lt;&gt;"")+--(L171&lt;&gt;"")+--(M171&lt;&gt;"")+--(N171&lt;&gt;"")+--(O171&lt;&gt;"")+--(P171&lt;&gt;"")+--(Q171&lt;&gt;"")+--(R171&lt;&gt;"")+--(S171&lt;&gt;"")+--(T171&lt;&gt;""))/19)</f>
        <v/>
      </c>
      <c r="AA171" s="16" t="n"/>
      <c r="AB171" s="16" t="n"/>
      <c r="AC171" s="16" t="n"/>
      <c r="AD171" s="16" t="n"/>
      <c r="AE171" s="7">
        <f>IF(B171="","",IF(AND(AA171="合格",AB171="合格",AC171="合格",AD171="合格"),"有效","无效"))</f>
        <v/>
      </c>
    </row>
    <row r="172">
      <c r="A172" s="7">
        <f>IF(B172="","",TEXT(B172,"yyyymmdd")&amp;"-"&amp;TEXT(ROW()-1,"000"))</f>
        <v/>
      </c>
      <c r="B172" s="8" t="n"/>
      <c r="C172" s="9" t="n"/>
      <c r="D172" s="9" t="n"/>
      <c r="E172" s="9" t="n"/>
      <c r="F172" s="9" t="n"/>
      <c r="G172" s="9" t="n"/>
      <c r="H172" s="9" t="n"/>
      <c r="I172" s="9" t="n"/>
      <c r="J172" s="10" t="n"/>
      <c r="K172" s="9" t="n"/>
      <c r="L172" s="9" t="n"/>
      <c r="M172" s="9" t="n"/>
      <c r="N172" s="10" t="n"/>
      <c r="O172" s="9" t="n"/>
      <c r="P172" s="10" t="n"/>
      <c r="Q172" s="10" t="n"/>
      <c r="R172" s="9" t="n"/>
      <c r="S172" s="10" t="n"/>
      <c r="T172" s="10" t="n"/>
      <c r="U172" s="11" t="n"/>
      <c r="V172" s="11" t="n"/>
      <c r="W172" s="12">
        <f>IF(B172="","",B172+3)</f>
        <v/>
      </c>
      <c r="X172" s="12">
        <f>IF(B172="","",B172+5)</f>
        <v/>
      </c>
      <c r="Y172" s="12">
        <f>IF(B172="","",B172+10)</f>
        <v/>
      </c>
      <c r="Z172" s="13">
        <f>IF(B172="","",(--(B172&lt;&gt;"")+--(C172&lt;&gt;"")+--(D172&lt;&gt;"")+--(E172&lt;&gt;"")+--(F172&lt;&gt;"")+--(G172&lt;&gt;"")+--(H172&lt;&gt;"")+--(I172&lt;&gt;"")+--(J172&lt;&gt;"")+--(K172&lt;&gt;"")+--(L172&lt;&gt;"")+--(M172&lt;&gt;"")+--(N172&lt;&gt;"")+--(O172&lt;&gt;"")+--(P172&lt;&gt;"")+--(Q172&lt;&gt;"")+--(R172&lt;&gt;"")+--(S172&lt;&gt;"")+--(T172&lt;&gt;""))/19)</f>
        <v/>
      </c>
      <c r="AA172" s="16" t="n"/>
      <c r="AB172" s="16" t="n"/>
      <c r="AC172" s="16" t="n"/>
      <c r="AD172" s="16" t="n"/>
      <c r="AE172" s="7">
        <f>IF(B172="","",IF(AND(AA172="合格",AB172="合格",AC172="合格",AD172="合格"),"有效","无效"))</f>
        <v/>
      </c>
    </row>
    <row r="173">
      <c r="A173" s="7">
        <f>IF(B173="","",TEXT(B173,"yyyymmdd")&amp;"-"&amp;TEXT(ROW()-1,"000"))</f>
        <v/>
      </c>
      <c r="B173" s="8" t="n"/>
      <c r="C173" s="9" t="n"/>
      <c r="D173" s="9" t="n"/>
      <c r="E173" s="9" t="n"/>
      <c r="F173" s="9" t="n"/>
      <c r="G173" s="9" t="n"/>
      <c r="H173" s="9" t="n"/>
      <c r="I173" s="9" t="n"/>
      <c r="J173" s="10" t="n"/>
      <c r="K173" s="9" t="n"/>
      <c r="L173" s="9" t="n"/>
      <c r="M173" s="9" t="n"/>
      <c r="N173" s="10" t="n"/>
      <c r="O173" s="9" t="n"/>
      <c r="P173" s="10" t="n"/>
      <c r="Q173" s="10" t="n"/>
      <c r="R173" s="9" t="n"/>
      <c r="S173" s="10" t="n"/>
      <c r="T173" s="10" t="n"/>
      <c r="U173" s="11" t="n"/>
      <c r="V173" s="11" t="n"/>
      <c r="W173" s="12">
        <f>IF(B173="","",B173+3)</f>
        <v/>
      </c>
      <c r="X173" s="12">
        <f>IF(B173="","",B173+5)</f>
        <v/>
      </c>
      <c r="Y173" s="12">
        <f>IF(B173="","",B173+10)</f>
        <v/>
      </c>
      <c r="Z173" s="13">
        <f>IF(B173="","",(--(B173&lt;&gt;"")+--(C173&lt;&gt;"")+--(D173&lt;&gt;"")+--(E173&lt;&gt;"")+--(F173&lt;&gt;"")+--(G173&lt;&gt;"")+--(H173&lt;&gt;"")+--(I173&lt;&gt;"")+--(J173&lt;&gt;"")+--(K173&lt;&gt;"")+--(L173&lt;&gt;"")+--(M173&lt;&gt;"")+--(N173&lt;&gt;"")+--(O173&lt;&gt;"")+--(P173&lt;&gt;"")+--(Q173&lt;&gt;"")+--(R173&lt;&gt;"")+--(S173&lt;&gt;"")+--(T173&lt;&gt;""))/19)</f>
        <v/>
      </c>
      <c r="AA173" s="16" t="n"/>
      <c r="AB173" s="16" t="n"/>
      <c r="AC173" s="16" t="n"/>
      <c r="AD173" s="16" t="n"/>
      <c r="AE173" s="7">
        <f>IF(B173="","",IF(AND(AA173="合格",AB173="合格",AC173="合格",AD173="合格"),"有效","无效"))</f>
        <v/>
      </c>
    </row>
    <row r="174">
      <c r="A174" s="7">
        <f>IF(B174="","",TEXT(B174,"yyyymmdd")&amp;"-"&amp;TEXT(ROW()-1,"000"))</f>
        <v/>
      </c>
      <c r="B174" s="8" t="n"/>
      <c r="C174" s="9" t="n"/>
      <c r="D174" s="9" t="n"/>
      <c r="E174" s="9" t="n"/>
      <c r="F174" s="9" t="n"/>
      <c r="G174" s="9" t="n"/>
      <c r="H174" s="9" t="n"/>
      <c r="I174" s="9" t="n"/>
      <c r="J174" s="10" t="n"/>
      <c r="K174" s="9" t="n"/>
      <c r="L174" s="9" t="n"/>
      <c r="M174" s="9" t="n"/>
      <c r="N174" s="10" t="n"/>
      <c r="O174" s="9" t="n"/>
      <c r="P174" s="10" t="n"/>
      <c r="Q174" s="10" t="n"/>
      <c r="R174" s="9" t="n"/>
      <c r="S174" s="10" t="n"/>
      <c r="T174" s="10" t="n"/>
      <c r="U174" s="11" t="n"/>
      <c r="V174" s="11" t="n"/>
      <c r="W174" s="12">
        <f>IF(B174="","",B174+3)</f>
        <v/>
      </c>
      <c r="X174" s="12">
        <f>IF(B174="","",B174+5)</f>
        <v/>
      </c>
      <c r="Y174" s="12">
        <f>IF(B174="","",B174+10)</f>
        <v/>
      </c>
      <c r="Z174" s="13">
        <f>IF(B174="","",(--(B174&lt;&gt;"")+--(C174&lt;&gt;"")+--(D174&lt;&gt;"")+--(E174&lt;&gt;"")+--(F174&lt;&gt;"")+--(G174&lt;&gt;"")+--(H174&lt;&gt;"")+--(I174&lt;&gt;"")+--(J174&lt;&gt;"")+--(K174&lt;&gt;"")+--(L174&lt;&gt;"")+--(M174&lt;&gt;"")+--(N174&lt;&gt;"")+--(O174&lt;&gt;"")+--(P174&lt;&gt;"")+--(Q174&lt;&gt;"")+--(R174&lt;&gt;"")+--(S174&lt;&gt;"")+--(T174&lt;&gt;""))/19)</f>
        <v/>
      </c>
      <c r="AA174" s="16" t="n"/>
      <c r="AB174" s="16" t="n"/>
      <c r="AC174" s="16" t="n"/>
      <c r="AD174" s="16" t="n"/>
      <c r="AE174" s="7">
        <f>IF(B174="","",IF(AND(AA174="合格",AB174="合格",AC174="合格",AD174="合格"),"有效","无效"))</f>
        <v/>
      </c>
    </row>
    <row r="175">
      <c r="A175" s="7">
        <f>IF(B175="","",TEXT(B175,"yyyymmdd")&amp;"-"&amp;TEXT(ROW()-1,"000"))</f>
        <v/>
      </c>
      <c r="B175" s="8" t="n"/>
      <c r="C175" s="9" t="n"/>
      <c r="D175" s="9" t="n"/>
      <c r="E175" s="9" t="n"/>
      <c r="F175" s="9" t="n"/>
      <c r="G175" s="9" t="n"/>
      <c r="H175" s="9" t="n"/>
      <c r="I175" s="9" t="n"/>
      <c r="J175" s="10" t="n"/>
      <c r="K175" s="9" t="n"/>
      <c r="L175" s="9" t="n"/>
      <c r="M175" s="9" t="n"/>
      <c r="N175" s="10" t="n"/>
      <c r="O175" s="9" t="n"/>
      <c r="P175" s="10" t="n"/>
      <c r="Q175" s="10" t="n"/>
      <c r="R175" s="9" t="n"/>
      <c r="S175" s="10" t="n"/>
      <c r="T175" s="10" t="n"/>
      <c r="U175" s="11" t="n"/>
      <c r="V175" s="11" t="n"/>
      <c r="W175" s="12">
        <f>IF(B175="","",B175+3)</f>
        <v/>
      </c>
      <c r="X175" s="12">
        <f>IF(B175="","",B175+5)</f>
        <v/>
      </c>
      <c r="Y175" s="12">
        <f>IF(B175="","",B175+10)</f>
        <v/>
      </c>
      <c r="Z175" s="13">
        <f>IF(B175="","",(--(B175&lt;&gt;"")+--(C175&lt;&gt;"")+--(D175&lt;&gt;"")+--(E175&lt;&gt;"")+--(F175&lt;&gt;"")+--(G175&lt;&gt;"")+--(H175&lt;&gt;"")+--(I175&lt;&gt;"")+--(J175&lt;&gt;"")+--(K175&lt;&gt;"")+--(L175&lt;&gt;"")+--(M175&lt;&gt;"")+--(N175&lt;&gt;"")+--(O175&lt;&gt;"")+--(P175&lt;&gt;"")+--(Q175&lt;&gt;"")+--(R175&lt;&gt;"")+--(S175&lt;&gt;"")+--(T175&lt;&gt;""))/19)</f>
        <v/>
      </c>
      <c r="AA175" s="16" t="n"/>
      <c r="AB175" s="16" t="n"/>
      <c r="AC175" s="16" t="n"/>
      <c r="AD175" s="16" t="n"/>
      <c r="AE175" s="7">
        <f>IF(B175="","",IF(AND(AA175="合格",AB175="合格",AC175="合格",AD175="合格"),"有效","无效"))</f>
        <v/>
      </c>
    </row>
    <row r="176">
      <c r="A176" s="7">
        <f>IF(B176="","",TEXT(B176,"yyyymmdd")&amp;"-"&amp;TEXT(ROW()-1,"000"))</f>
        <v/>
      </c>
      <c r="B176" s="8" t="n"/>
      <c r="C176" s="9" t="n"/>
      <c r="D176" s="9" t="n"/>
      <c r="E176" s="9" t="n"/>
      <c r="F176" s="9" t="n"/>
      <c r="G176" s="9" t="n"/>
      <c r="H176" s="9" t="n"/>
      <c r="I176" s="9" t="n"/>
      <c r="J176" s="10" t="n"/>
      <c r="K176" s="9" t="n"/>
      <c r="L176" s="9" t="n"/>
      <c r="M176" s="9" t="n"/>
      <c r="N176" s="10" t="n"/>
      <c r="O176" s="9" t="n"/>
      <c r="P176" s="10" t="n"/>
      <c r="Q176" s="10" t="n"/>
      <c r="R176" s="9" t="n"/>
      <c r="S176" s="10" t="n"/>
      <c r="T176" s="10" t="n"/>
      <c r="U176" s="11" t="n"/>
      <c r="V176" s="11" t="n"/>
      <c r="W176" s="12">
        <f>IF(B176="","",B176+3)</f>
        <v/>
      </c>
      <c r="X176" s="12">
        <f>IF(B176="","",B176+5)</f>
        <v/>
      </c>
      <c r="Y176" s="12">
        <f>IF(B176="","",B176+10)</f>
        <v/>
      </c>
      <c r="Z176" s="13">
        <f>IF(B176="","",(--(B176&lt;&gt;"")+--(C176&lt;&gt;"")+--(D176&lt;&gt;"")+--(E176&lt;&gt;"")+--(F176&lt;&gt;"")+--(G176&lt;&gt;"")+--(H176&lt;&gt;"")+--(I176&lt;&gt;"")+--(J176&lt;&gt;"")+--(K176&lt;&gt;"")+--(L176&lt;&gt;"")+--(M176&lt;&gt;"")+--(N176&lt;&gt;"")+--(O176&lt;&gt;"")+--(P176&lt;&gt;"")+--(Q176&lt;&gt;"")+--(R176&lt;&gt;"")+--(S176&lt;&gt;"")+--(T176&lt;&gt;""))/19)</f>
        <v/>
      </c>
      <c r="AA176" s="16" t="n"/>
      <c r="AB176" s="16" t="n"/>
      <c r="AC176" s="16" t="n"/>
      <c r="AD176" s="16" t="n"/>
      <c r="AE176" s="7">
        <f>IF(B176="","",IF(AND(AA176="合格",AB176="合格",AC176="合格",AD176="合格"),"有效","无效"))</f>
        <v/>
      </c>
    </row>
    <row r="177">
      <c r="A177" s="7">
        <f>IF(B177="","",TEXT(B177,"yyyymmdd")&amp;"-"&amp;TEXT(ROW()-1,"000"))</f>
        <v/>
      </c>
      <c r="B177" s="8" t="n"/>
      <c r="C177" s="9" t="n"/>
      <c r="D177" s="9" t="n"/>
      <c r="E177" s="9" t="n"/>
      <c r="F177" s="9" t="n"/>
      <c r="G177" s="9" t="n"/>
      <c r="H177" s="9" t="n"/>
      <c r="I177" s="9" t="n"/>
      <c r="J177" s="10" t="n"/>
      <c r="K177" s="9" t="n"/>
      <c r="L177" s="9" t="n"/>
      <c r="M177" s="9" t="n"/>
      <c r="N177" s="10" t="n"/>
      <c r="O177" s="9" t="n"/>
      <c r="P177" s="10" t="n"/>
      <c r="Q177" s="10" t="n"/>
      <c r="R177" s="9" t="n"/>
      <c r="S177" s="10" t="n"/>
      <c r="T177" s="10" t="n"/>
      <c r="U177" s="11" t="n"/>
      <c r="V177" s="11" t="n"/>
      <c r="W177" s="12">
        <f>IF(B177="","",B177+3)</f>
        <v/>
      </c>
      <c r="X177" s="12">
        <f>IF(B177="","",B177+5)</f>
        <v/>
      </c>
      <c r="Y177" s="12">
        <f>IF(B177="","",B177+10)</f>
        <v/>
      </c>
      <c r="Z177" s="13">
        <f>IF(B177="","",(--(B177&lt;&gt;"")+--(C177&lt;&gt;"")+--(D177&lt;&gt;"")+--(E177&lt;&gt;"")+--(F177&lt;&gt;"")+--(G177&lt;&gt;"")+--(H177&lt;&gt;"")+--(I177&lt;&gt;"")+--(J177&lt;&gt;"")+--(K177&lt;&gt;"")+--(L177&lt;&gt;"")+--(M177&lt;&gt;"")+--(N177&lt;&gt;"")+--(O177&lt;&gt;"")+--(P177&lt;&gt;"")+--(Q177&lt;&gt;"")+--(R177&lt;&gt;"")+--(S177&lt;&gt;"")+--(T177&lt;&gt;""))/19)</f>
        <v/>
      </c>
      <c r="AA177" s="16" t="n"/>
      <c r="AB177" s="16" t="n"/>
      <c r="AC177" s="16" t="n"/>
      <c r="AD177" s="16" t="n"/>
      <c r="AE177" s="7">
        <f>IF(B177="","",IF(AND(AA177="合格",AB177="合格",AC177="合格",AD177="合格"),"有效","无效"))</f>
        <v/>
      </c>
    </row>
    <row r="178">
      <c r="A178" s="7">
        <f>IF(B178="","",TEXT(B178,"yyyymmdd")&amp;"-"&amp;TEXT(ROW()-1,"000"))</f>
        <v/>
      </c>
      <c r="B178" s="8" t="n"/>
      <c r="C178" s="9" t="n"/>
      <c r="D178" s="9" t="n"/>
      <c r="E178" s="9" t="n"/>
      <c r="F178" s="9" t="n"/>
      <c r="G178" s="9" t="n"/>
      <c r="H178" s="9" t="n"/>
      <c r="I178" s="9" t="n"/>
      <c r="J178" s="10" t="n"/>
      <c r="K178" s="9" t="n"/>
      <c r="L178" s="9" t="n"/>
      <c r="M178" s="9" t="n"/>
      <c r="N178" s="10" t="n"/>
      <c r="O178" s="9" t="n"/>
      <c r="P178" s="10" t="n"/>
      <c r="Q178" s="10" t="n"/>
      <c r="R178" s="9" t="n"/>
      <c r="S178" s="10" t="n"/>
      <c r="T178" s="10" t="n"/>
      <c r="U178" s="11" t="n"/>
      <c r="V178" s="11" t="n"/>
      <c r="W178" s="12">
        <f>IF(B178="","",B178+3)</f>
        <v/>
      </c>
      <c r="X178" s="12">
        <f>IF(B178="","",B178+5)</f>
        <v/>
      </c>
      <c r="Y178" s="12">
        <f>IF(B178="","",B178+10)</f>
        <v/>
      </c>
      <c r="Z178" s="13">
        <f>IF(B178="","",(--(B178&lt;&gt;"")+--(C178&lt;&gt;"")+--(D178&lt;&gt;"")+--(E178&lt;&gt;"")+--(F178&lt;&gt;"")+--(G178&lt;&gt;"")+--(H178&lt;&gt;"")+--(I178&lt;&gt;"")+--(J178&lt;&gt;"")+--(K178&lt;&gt;"")+--(L178&lt;&gt;"")+--(M178&lt;&gt;"")+--(N178&lt;&gt;"")+--(O178&lt;&gt;"")+--(P178&lt;&gt;"")+--(Q178&lt;&gt;"")+--(R178&lt;&gt;"")+--(S178&lt;&gt;"")+--(T178&lt;&gt;""))/19)</f>
        <v/>
      </c>
      <c r="AA178" s="16" t="n"/>
      <c r="AB178" s="16" t="n"/>
      <c r="AC178" s="16" t="n"/>
      <c r="AD178" s="16" t="n"/>
      <c r="AE178" s="7">
        <f>IF(B178="","",IF(AND(AA178="合格",AB178="合格",AC178="合格",AD178="合格"),"有效","无效"))</f>
        <v/>
      </c>
    </row>
    <row r="179">
      <c r="A179" s="7">
        <f>IF(B179="","",TEXT(B179,"yyyymmdd")&amp;"-"&amp;TEXT(ROW()-1,"000"))</f>
        <v/>
      </c>
      <c r="B179" s="8" t="n"/>
      <c r="C179" s="9" t="n"/>
      <c r="D179" s="9" t="n"/>
      <c r="E179" s="9" t="n"/>
      <c r="F179" s="9" t="n"/>
      <c r="G179" s="9" t="n"/>
      <c r="H179" s="9" t="n"/>
      <c r="I179" s="9" t="n"/>
      <c r="J179" s="10" t="n"/>
      <c r="K179" s="9" t="n"/>
      <c r="L179" s="9" t="n"/>
      <c r="M179" s="9" t="n"/>
      <c r="N179" s="10" t="n"/>
      <c r="O179" s="9" t="n"/>
      <c r="P179" s="10" t="n"/>
      <c r="Q179" s="10" t="n"/>
      <c r="R179" s="9" t="n"/>
      <c r="S179" s="10" t="n"/>
      <c r="T179" s="10" t="n"/>
      <c r="U179" s="11" t="n"/>
      <c r="V179" s="11" t="n"/>
      <c r="W179" s="12">
        <f>IF(B179="","",B179+3)</f>
        <v/>
      </c>
      <c r="X179" s="12">
        <f>IF(B179="","",B179+5)</f>
        <v/>
      </c>
      <c r="Y179" s="12">
        <f>IF(B179="","",B179+10)</f>
        <v/>
      </c>
      <c r="Z179" s="13">
        <f>IF(B179="","",(--(B179&lt;&gt;"")+--(C179&lt;&gt;"")+--(D179&lt;&gt;"")+--(E179&lt;&gt;"")+--(F179&lt;&gt;"")+--(G179&lt;&gt;"")+--(H179&lt;&gt;"")+--(I179&lt;&gt;"")+--(J179&lt;&gt;"")+--(K179&lt;&gt;"")+--(L179&lt;&gt;"")+--(M179&lt;&gt;"")+--(N179&lt;&gt;"")+--(O179&lt;&gt;"")+--(P179&lt;&gt;"")+--(Q179&lt;&gt;"")+--(R179&lt;&gt;"")+--(S179&lt;&gt;"")+--(T179&lt;&gt;""))/19)</f>
        <v/>
      </c>
      <c r="AA179" s="16" t="n"/>
      <c r="AB179" s="16" t="n"/>
      <c r="AC179" s="16" t="n"/>
      <c r="AD179" s="16" t="n"/>
      <c r="AE179" s="7">
        <f>IF(B179="","",IF(AND(AA179="合格",AB179="合格",AC179="合格",AD179="合格"),"有效","无效"))</f>
        <v/>
      </c>
    </row>
    <row r="180">
      <c r="A180" s="7">
        <f>IF(B180="","",TEXT(B180,"yyyymmdd")&amp;"-"&amp;TEXT(ROW()-1,"000"))</f>
        <v/>
      </c>
      <c r="B180" s="8" t="n"/>
      <c r="C180" s="9" t="n"/>
      <c r="D180" s="9" t="n"/>
      <c r="E180" s="9" t="n"/>
      <c r="F180" s="9" t="n"/>
      <c r="G180" s="9" t="n"/>
      <c r="H180" s="9" t="n"/>
      <c r="I180" s="9" t="n"/>
      <c r="J180" s="10" t="n"/>
      <c r="K180" s="9" t="n"/>
      <c r="L180" s="9" t="n"/>
      <c r="M180" s="9" t="n"/>
      <c r="N180" s="10" t="n"/>
      <c r="O180" s="9" t="n"/>
      <c r="P180" s="10" t="n"/>
      <c r="Q180" s="10" t="n"/>
      <c r="R180" s="9" t="n"/>
      <c r="S180" s="10" t="n"/>
      <c r="T180" s="10" t="n"/>
      <c r="U180" s="11" t="n"/>
      <c r="V180" s="11" t="n"/>
      <c r="W180" s="12">
        <f>IF(B180="","",B180+3)</f>
        <v/>
      </c>
      <c r="X180" s="12">
        <f>IF(B180="","",B180+5)</f>
        <v/>
      </c>
      <c r="Y180" s="12">
        <f>IF(B180="","",B180+10)</f>
        <v/>
      </c>
      <c r="Z180" s="13">
        <f>IF(B180="","",(--(B180&lt;&gt;"")+--(C180&lt;&gt;"")+--(D180&lt;&gt;"")+--(E180&lt;&gt;"")+--(F180&lt;&gt;"")+--(G180&lt;&gt;"")+--(H180&lt;&gt;"")+--(I180&lt;&gt;"")+--(J180&lt;&gt;"")+--(K180&lt;&gt;"")+--(L180&lt;&gt;"")+--(M180&lt;&gt;"")+--(N180&lt;&gt;"")+--(O180&lt;&gt;"")+--(P180&lt;&gt;"")+--(Q180&lt;&gt;"")+--(R180&lt;&gt;"")+--(S180&lt;&gt;"")+--(T180&lt;&gt;""))/19)</f>
        <v/>
      </c>
      <c r="AA180" s="16" t="n"/>
      <c r="AB180" s="16" t="n"/>
      <c r="AC180" s="16" t="n"/>
      <c r="AD180" s="16" t="n"/>
      <c r="AE180" s="7">
        <f>IF(B180="","",IF(AND(AA180="合格",AB180="合格",AC180="合格",AD180="合格"),"有效","无效"))</f>
        <v/>
      </c>
    </row>
    <row r="181">
      <c r="A181" s="7">
        <f>IF(B181="","",TEXT(B181,"yyyymmdd")&amp;"-"&amp;TEXT(ROW()-1,"000"))</f>
        <v/>
      </c>
      <c r="B181" s="8" t="n"/>
      <c r="C181" s="9" t="n"/>
      <c r="D181" s="9" t="n"/>
      <c r="E181" s="9" t="n"/>
      <c r="F181" s="9" t="n"/>
      <c r="G181" s="9" t="n"/>
      <c r="H181" s="9" t="n"/>
      <c r="I181" s="9" t="n"/>
      <c r="J181" s="10" t="n"/>
      <c r="K181" s="9" t="n"/>
      <c r="L181" s="9" t="n"/>
      <c r="M181" s="9" t="n"/>
      <c r="N181" s="10" t="n"/>
      <c r="O181" s="9" t="n"/>
      <c r="P181" s="10" t="n"/>
      <c r="Q181" s="10" t="n"/>
      <c r="R181" s="9" t="n"/>
      <c r="S181" s="10" t="n"/>
      <c r="T181" s="10" t="n"/>
      <c r="U181" s="11" t="n"/>
      <c r="V181" s="11" t="n"/>
      <c r="W181" s="12">
        <f>IF(B181="","",B181+3)</f>
        <v/>
      </c>
      <c r="X181" s="12">
        <f>IF(B181="","",B181+5)</f>
        <v/>
      </c>
      <c r="Y181" s="12">
        <f>IF(B181="","",B181+10)</f>
        <v/>
      </c>
      <c r="Z181" s="13">
        <f>IF(B181="","",(--(B181&lt;&gt;"")+--(C181&lt;&gt;"")+--(D181&lt;&gt;"")+--(E181&lt;&gt;"")+--(F181&lt;&gt;"")+--(G181&lt;&gt;"")+--(H181&lt;&gt;"")+--(I181&lt;&gt;"")+--(J181&lt;&gt;"")+--(K181&lt;&gt;"")+--(L181&lt;&gt;"")+--(M181&lt;&gt;"")+--(N181&lt;&gt;"")+--(O181&lt;&gt;"")+--(P181&lt;&gt;"")+--(Q181&lt;&gt;"")+--(R181&lt;&gt;"")+--(S181&lt;&gt;"")+--(T181&lt;&gt;""))/19)</f>
        <v/>
      </c>
      <c r="AA181" s="16" t="n"/>
      <c r="AB181" s="16" t="n"/>
      <c r="AC181" s="16" t="n"/>
      <c r="AD181" s="16" t="n"/>
      <c r="AE181" s="7">
        <f>IF(B181="","",IF(AND(AA181="合格",AB181="合格",AC181="合格",AD181="合格"),"有效","无效"))</f>
        <v/>
      </c>
    </row>
    <row r="182">
      <c r="A182" s="7">
        <f>IF(B182="","",TEXT(B182,"yyyymmdd")&amp;"-"&amp;TEXT(ROW()-1,"000"))</f>
        <v/>
      </c>
      <c r="B182" s="8" t="n"/>
      <c r="C182" s="9" t="n"/>
      <c r="D182" s="9" t="n"/>
      <c r="E182" s="9" t="n"/>
      <c r="F182" s="9" t="n"/>
      <c r="G182" s="9" t="n"/>
      <c r="H182" s="9" t="n"/>
      <c r="I182" s="9" t="n"/>
      <c r="J182" s="10" t="n"/>
      <c r="K182" s="9" t="n"/>
      <c r="L182" s="9" t="n"/>
      <c r="M182" s="9" t="n"/>
      <c r="N182" s="10" t="n"/>
      <c r="O182" s="9" t="n"/>
      <c r="P182" s="10" t="n"/>
      <c r="Q182" s="10" t="n"/>
      <c r="R182" s="9" t="n"/>
      <c r="S182" s="10" t="n"/>
      <c r="T182" s="10" t="n"/>
      <c r="U182" s="11" t="n"/>
      <c r="V182" s="11" t="n"/>
      <c r="W182" s="12">
        <f>IF(B182="","",B182+3)</f>
        <v/>
      </c>
      <c r="X182" s="12">
        <f>IF(B182="","",B182+5)</f>
        <v/>
      </c>
      <c r="Y182" s="12">
        <f>IF(B182="","",B182+10)</f>
        <v/>
      </c>
      <c r="Z182" s="13">
        <f>IF(B182="","",(--(B182&lt;&gt;"")+--(C182&lt;&gt;"")+--(D182&lt;&gt;"")+--(E182&lt;&gt;"")+--(F182&lt;&gt;"")+--(G182&lt;&gt;"")+--(H182&lt;&gt;"")+--(I182&lt;&gt;"")+--(J182&lt;&gt;"")+--(K182&lt;&gt;"")+--(L182&lt;&gt;"")+--(M182&lt;&gt;"")+--(N182&lt;&gt;"")+--(O182&lt;&gt;"")+--(P182&lt;&gt;"")+--(Q182&lt;&gt;"")+--(R182&lt;&gt;"")+--(S182&lt;&gt;"")+--(T182&lt;&gt;""))/19)</f>
        <v/>
      </c>
      <c r="AA182" s="16" t="n"/>
      <c r="AB182" s="16" t="n"/>
      <c r="AC182" s="16" t="n"/>
      <c r="AD182" s="16" t="n"/>
      <c r="AE182" s="7">
        <f>IF(B182="","",IF(AND(AA182="合格",AB182="合格",AC182="合格",AD182="合格"),"有效","无效"))</f>
        <v/>
      </c>
    </row>
    <row r="183">
      <c r="A183" s="7">
        <f>IF(B183="","",TEXT(B183,"yyyymmdd")&amp;"-"&amp;TEXT(ROW()-1,"000"))</f>
        <v/>
      </c>
      <c r="B183" s="8" t="n"/>
      <c r="C183" s="9" t="n"/>
      <c r="D183" s="9" t="n"/>
      <c r="E183" s="9" t="n"/>
      <c r="F183" s="9" t="n"/>
      <c r="G183" s="9" t="n"/>
      <c r="H183" s="9" t="n"/>
      <c r="I183" s="9" t="n"/>
      <c r="J183" s="10" t="n"/>
      <c r="K183" s="9" t="n"/>
      <c r="L183" s="9" t="n"/>
      <c r="M183" s="9" t="n"/>
      <c r="N183" s="10" t="n"/>
      <c r="O183" s="9" t="n"/>
      <c r="P183" s="10" t="n"/>
      <c r="Q183" s="10" t="n"/>
      <c r="R183" s="9" t="n"/>
      <c r="S183" s="10" t="n"/>
      <c r="T183" s="10" t="n"/>
      <c r="U183" s="11" t="n"/>
      <c r="V183" s="11" t="n"/>
      <c r="W183" s="12">
        <f>IF(B183="","",B183+3)</f>
        <v/>
      </c>
      <c r="X183" s="12">
        <f>IF(B183="","",B183+5)</f>
        <v/>
      </c>
      <c r="Y183" s="12">
        <f>IF(B183="","",B183+10)</f>
        <v/>
      </c>
      <c r="Z183" s="13">
        <f>IF(B183="","",(--(B183&lt;&gt;"")+--(C183&lt;&gt;"")+--(D183&lt;&gt;"")+--(E183&lt;&gt;"")+--(F183&lt;&gt;"")+--(G183&lt;&gt;"")+--(H183&lt;&gt;"")+--(I183&lt;&gt;"")+--(J183&lt;&gt;"")+--(K183&lt;&gt;"")+--(L183&lt;&gt;"")+--(M183&lt;&gt;"")+--(N183&lt;&gt;"")+--(O183&lt;&gt;"")+--(P183&lt;&gt;"")+--(Q183&lt;&gt;"")+--(R183&lt;&gt;"")+--(S183&lt;&gt;"")+--(T183&lt;&gt;""))/19)</f>
        <v/>
      </c>
      <c r="AA183" s="16" t="n"/>
      <c r="AB183" s="16" t="n"/>
      <c r="AC183" s="16" t="n"/>
      <c r="AD183" s="16" t="n"/>
      <c r="AE183" s="7">
        <f>IF(B183="","",IF(AND(AA183="合格",AB183="合格",AC183="合格",AD183="合格"),"有效","无效"))</f>
        <v/>
      </c>
    </row>
    <row r="184">
      <c r="A184" s="7">
        <f>IF(B184="","",TEXT(B184,"yyyymmdd")&amp;"-"&amp;TEXT(ROW()-1,"000"))</f>
        <v/>
      </c>
      <c r="B184" s="8" t="n"/>
      <c r="C184" s="9" t="n"/>
      <c r="D184" s="9" t="n"/>
      <c r="E184" s="9" t="n"/>
      <c r="F184" s="9" t="n"/>
      <c r="G184" s="9" t="n"/>
      <c r="H184" s="9" t="n"/>
      <c r="I184" s="9" t="n"/>
      <c r="J184" s="10" t="n"/>
      <c r="K184" s="9" t="n"/>
      <c r="L184" s="9" t="n"/>
      <c r="M184" s="9" t="n"/>
      <c r="N184" s="10" t="n"/>
      <c r="O184" s="9" t="n"/>
      <c r="P184" s="10" t="n"/>
      <c r="Q184" s="10" t="n"/>
      <c r="R184" s="9" t="n"/>
      <c r="S184" s="10" t="n"/>
      <c r="T184" s="10" t="n"/>
      <c r="U184" s="11" t="n"/>
      <c r="V184" s="11" t="n"/>
      <c r="W184" s="12">
        <f>IF(B184="","",B184+3)</f>
        <v/>
      </c>
      <c r="X184" s="12">
        <f>IF(B184="","",B184+5)</f>
        <v/>
      </c>
      <c r="Y184" s="12">
        <f>IF(B184="","",B184+10)</f>
        <v/>
      </c>
      <c r="Z184" s="13">
        <f>IF(B184="","",(--(B184&lt;&gt;"")+--(C184&lt;&gt;"")+--(D184&lt;&gt;"")+--(E184&lt;&gt;"")+--(F184&lt;&gt;"")+--(G184&lt;&gt;"")+--(H184&lt;&gt;"")+--(I184&lt;&gt;"")+--(J184&lt;&gt;"")+--(K184&lt;&gt;"")+--(L184&lt;&gt;"")+--(M184&lt;&gt;"")+--(N184&lt;&gt;"")+--(O184&lt;&gt;"")+--(P184&lt;&gt;"")+--(Q184&lt;&gt;"")+--(R184&lt;&gt;"")+--(S184&lt;&gt;"")+--(T184&lt;&gt;""))/19)</f>
        <v/>
      </c>
      <c r="AA184" s="16" t="n"/>
      <c r="AB184" s="16" t="n"/>
      <c r="AC184" s="16" t="n"/>
      <c r="AD184" s="16" t="n"/>
      <c r="AE184" s="7">
        <f>IF(B184="","",IF(AND(AA184="合格",AB184="合格",AC184="合格",AD184="合格"),"有效","无效"))</f>
        <v/>
      </c>
    </row>
    <row r="185">
      <c r="A185" s="7">
        <f>IF(B185="","",TEXT(B185,"yyyymmdd")&amp;"-"&amp;TEXT(ROW()-1,"000"))</f>
        <v/>
      </c>
      <c r="B185" s="8" t="n"/>
      <c r="C185" s="9" t="n"/>
      <c r="D185" s="9" t="n"/>
      <c r="E185" s="9" t="n"/>
      <c r="F185" s="9" t="n"/>
      <c r="G185" s="9" t="n"/>
      <c r="H185" s="9" t="n"/>
      <c r="I185" s="9" t="n"/>
      <c r="J185" s="10" t="n"/>
      <c r="K185" s="9" t="n"/>
      <c r="L185" s="9" t="n"/>
      <c r="M185" s="9" t="n"/>
      <c r="N185" s="10" t="n"/>
      <c r="O185" s="9" t="n"/>
      <c r="P185" s="10" t="n"/>
      <c r="Q185" s="10" t="n"/>
      <c r="R185" s="9" t="n"/>
      <c r="S185" s="10" t="n"/>
      <c r="T185" s="10" t="n"/>
      <c r="U185" s="11" t="n"/>
      <c r="V185" s="11" t="n"/>
      <c r="W185" s="12">
        <f>IF(B185="","",B185+3)</f>
        <v/>
      </c>
      <c r="X185" s="12">
        <f>IF(B185="","",B185+5)</f>
        <v/>
      </c>
      <c r="Y185" s="12">
        <f>IF(B185="","",B185+10)</f>
        <v/>
      </c>
      <c r="Z185" s="13">
        <f>IF(B185="","",(--(B185&lt;&gt;"")+--(C185&lt;&gt;"")+--(D185&lt;&gt;"")+--(E185&lt;&gt;"")+--(F185&lt;&gt;"")+--(G185&lt;&gt;"")+--(H185&lt;&gt;"")+--(I185&lt;&gt;"")+--(J185&lt;&gt;"")+--(K185&lt;&gt;"")+--(L185&lt;&gt;"")+--(M185&lt;&gt;"")+--(N185&lt;&gt;"")+--(O185&lt;&gt;"")+--(P185&lt;&gt;"")+--(Q185&lt;&gt;"")+--(R185&lt;&gt;"")+--(S185&lt;&gt;"")+--(T185&lt;&gt;""))/19)</f>
        <v/>
      </c>
      <c r="AA185" s="16" t="n"/>
      <c r="AB185" s="16" t="n"/>
      <c r="AC185" s="16" t="n"/>
      <c r="AD185" s="16" t="n"/>
      <c r="AE185" s="7">
        <f>IF(B185="","",IF(AND(AA185="合格",AB185="合格",AC185="合格",AD185="合格"),"有效","无效"))</f>
        <v/>
      </c>
    </row>
    <row r="186">
      <c r="A186" s="7">
        <f>IF(B186="","",TEXT(B186,"yyyymmdd")&amp;"-"&amp;TEXT(ROW()-1,"000"))</f>
        <v/>
      </c>
      <c r="B186" s="8" t="n"/>
      <c r="C186" s="9" t="n"/>
      <c r="D186" s="9" t="n"/>
      <c r="E186" s="9" t="n"/>
      <c r="F186" s="9" t="n"/>
      <c r="G186" s="9" t="n"/>
      <c r="H186" s="9" t="n"/>
      <c r="I186" s="9" t="n"/>
      <c r="J186" s="10" t="n"/>
      <c r="K186" s="9" t="n"/>
      <c r="L186" s="9" t="n"/>
      <c r="M186" s="9" t="n"/>
      <c r="N186" s="10" t="n"/>
      <c r="O186" s="9" t="n"/>
      <c r="P186" s="10" t="n"/>
      <c r="Q186" s="10" t="n"/>
      <c r="R186" s="9" t="n"/>
      <c r="S186" s="10" t="n"/>
      <c r="T186" s="10" t="n"/>
      <c r="U186" s="11" t="n"/>
      <c r="V186" s="11" t="n"/>
      <c r="W186" s="12">
        <f>IF(B186="","",B186+3)</f>
        <v/>
      </c>
      <c r="X186" s="12">
        <f>IF(B186="","",B186+5)</f>
        <v/>
      </c>
      <c r="Y186" s="12">
        <f>IF(B186="","",B186+10)</f>
        <v/>
      </c>
      <c r="Z186" s="13">
        <f>IF(B186="","",(--(B186&lt;&gt;"")+--(C186&lt;&gt;"")+--(D186&lt;&gt;"")+--(E186&lt;&gt;"")+--(F186&lt;&gt;"")+--(G186&lt;&gt;"")+--(H186&lt;&gt;"")+--(I186&lt;&gt;"")+--(J186&lt;&gt;"")+--(K186&lt;&gt;"")+--(L186&lt;&gt;"")+--(M186&lt;&gt;"")+--(N186&lt;&gt;"")+--(O186&lt;&gt;"")+--(P186&lt;&gt;"")+--(Q186&lt;&gt;"")+--(R186&lt;&gt;"")+--(S186&lt;&gt;"")+--(T186&lt;&gt;""))/19)</f>
        <v/>
      </c>
      <c r="AA186" s="16" t="n"/>
      <c r="AB186" s="16" t="n"/>
      <c r="AC186" s="16" t="n"/>
      <c r="AD186" s="16" t="n"/>
      <c r="AE186" s="7">
        <f>IF(B186="","",IF(AND(AA186="合格",AB186="合格",AC186="合格",AD186="合格"),"有效","无效"))</f>
        <v/>
      </c>
    </row>
    <row r="187">
      <c r="A187" s="7">
        <f>IF(B187="","",TEXT(B187,"yyyymmdd")&amp;"-"&amp;TEXT(ROW()-1,"000"))</f>
        <v/>
      </c>
      <c r="B187" s="8" t="n"/>
      <c r="C187" s="9" t="n"/>
      <c r="D187" s="9" t="n"/>
      <c r="E187" s="9" t="n"/>
      <c r="F187" s="9" t="n"/>
      <c r="G187" s="9" t="n"/>
      <c r="H187" s="9" t="n"/>
      <c r="I187" s="9" t="n"/>
      <c r="J187" s="10" t="n"/>
      <c r="K187" s="9" t="n"/>
      <c r="L187" s="9" t="n"/>
      <c r="M187" s="9" t="n"/>
      <c r="N187" s="10" t="n"/>
      <c r="O187" s="9" t="n"/>
      <c r="P187" s="10" t="n"/>
      <c r="Q187" s="10" t="n"/>
      <c r="R187" s="9" t="n"/>
      <c r="S187" s="10" t="n"/>
      <c r="T187" s="10" t="n"/>
      <c r="U187" s="11" t="n"/>
      <c r="V187" s="11" t="n"/>
      <c r="W187" s="12">
        <f>IF(B187="","",B187+3)</f>
        <v/>
      </c>
      <c r="X187" s="12">
        <f>IF(B187="","",B187+5)</f>
        <v/>
      </c>
      <c r="Y187" s="12">
        <f>IF(B187="","",B187+10)</f>
        <v/>
      </c>
      <c r="Z187" s="13">
        <f>IF(B187="","",(--(B187&lt;&gt;"")+--(C187&lt;&gt;"")+--(D187&lt;&gt;"")+--(E187&lt;&gt;"")+--(F187&lt;&gt;"")+--(G187&lt;&gt;"")+--(H187&lt;&gt;"")+--(I187&lt;&gt;"")+--(J187&lt;&gt;"")+--(K187&lt;&gt;"")+--(L187&lt;&gt;"")+--(M187&lt;&gt;"")+--(N187&lt;&gt;"")+--(O187&lt;&gt;"")+--(P187&lt;&gt;"")+--(Q187&lt;&gt;"")+--(R187&lt;&gt;"")+--(S187&lt;&gt;"")+--(T187&lt;&gt;""))/19)</f>
        <v/>
      </c>
      <c r="AA187" s="16" t="n"/>
      <c r="AB187" s="16" t="n"/>
      <c r="AC187" s="16" t="n"/>
      <c r="AD187" s="16" t="n"/>
      <c r="AE187" s="7">
        <f>IF(B187="","",IF(AND(AA187="合格",AB187="合格",AC187="合格",AD187="合格"),"有效","无效"))</f>
        <v/>
      </c>
    </row>
    <row r="188">
      <c r="A188" s="7">
        <f>IF(B188="","",TEXT(B188,"yyyymmdd")&amp;"-"&amp;TEXT(ROW()-1,"000"))</f>
        <v/>
      </c>
      <c r="B188" s="8" t="n"/>
      <c r="C188" s="9" t="n"/>
      <c r="D188" s="9" t="n"/>
      <c r="E188" s="9" t="n"/>
      <c r="F188" s="9" t="n"/>
      <c r="G188" s="9" t="n"/>
      <c r="H188" s="9" t="n"/>
      <c r="I188" s="9" t="n"/>
      <c r="J188" s="10" t="n"/>
      <c r="K188" s="9" t="n"/>
      <c r="L188" s="9" t="n"/>
      <c r="M188" s="9" t="n"/>
      <c r="N188" s="10" t="n"/>
      <c r="O188" s="9" t="n"/>
      <c r="P188" s="10" t="n"/>
      <c r="Q188" s="10" t="n"/>
      <c r="R188" s="9" t="n"/>
      <c r="S188" s="10" t="n"/>
      <c r="T188" s="10" t="n"/>
      <c r="U188" s="11" t="n"/>
      <c r="V188" s="11" t="n"/>
      <c r="W188" s="12">
        <f>IF(B188="","",B188+3)</f>
        <v/>
      </c>
      <c r="X188" s="12">
        <f>IF(B188="","",B188+5)</f>
        <v/>
      </c>
      <c r="Y188" s="12">
        <f>IF(B188="","",B188+10)</f>
        <v/>
      </c>
      <c r="Z188" s="13">
        <f>IF(B188="","",(--(B188&lt;&gt;"")+--(C188&lt;&gt;"")+--(D188&lt;&gt;"")+--(E188&lt;&gt;"")+--(F188&lt;&gt;"")+--(G188&lt;&gt;"")+--(H188&lt;&gt;"")+--(I188&lt;&gt;"")+--(J188&lt;&gt;"")+--(K188&lt;&gt;"")+--(L188&lt;&gt;"")+--(M188&lt;&gt;"")+--(N188&lt;&gt;"")+--(O188&lt;&gt;"")+--(P188&lt;&gt;"")+--(Q188&lt;&gt;"")+--(R188&lt;&gt;"")+--(S188&lt;&gt;"")+--(T188&lt;&gt;""))/19)</f>
        <v/>
      </c>
      <c r="AA188" s="16" t="n"/>
      <c r="AB188" s="16" t="n"/>
      <c r="AC188" s="16" t="n"/>
      <c r="AD188" s="16" t="n"/>
      <c r="AE188" s="7">
        <f>IF(B188="","",IF(AND(AA188="合格",AB188="合格",AC188="合格",AD188="合格"),"有效","无效"))</f>
        <v/>
      </c>
    </row>
    <row r="189">
      <c r="A189" s="7">
        <f>IF(B189="","",TEXT(B189,"yyyymmdd")&amp;"-"&amp;TEXT(ROW()-1,"000"))</f>
        <v/>
      </c>
      <c r="B189" s="8" t="n"/>
      <c r="C189" s="9" t="n"/>
      <c r="D189" s="9" t="n"/>
      <c r="E189" s="9" t="n"/>
      <c r="F189" s="9" t="n"/>
      <c r="G189" s="9" t="n"/>
      <c r="H189" s="9" t="n"/>
      <c r="I189" s="9" t="n"/>
      <c r="J189" s="10" t="n"/>
      <c r="K189" s="9" t="n"/>
      <c r="L189" s="9" t="n"/>
      <c r="M189" s="9" t="n"/>
      <c r="N189" s="10" t="n"/>
      <c r="O189" s="9" t="n"/>
      <c r="P189" s="10" t="n"/>
      <c r="Q189" s="10" t="n"/>
      <c r="R189" s="9" t="n"/>
      <c r="S189" s="10" t="n"/>
      <c r="T189" s="10" t="n"/>
      <c r="U189" s="11" t="n"/>
      <c r="V189" s="11" t="n"/>
      <c r="W189" s="12">
        <f>IF(B189="","",B189+3)</f>
        <v/>
      </c>
      <c r="X189" s="12">
        <f>IF(B189="","",B189+5)</f>
        <v/>
      </c>
      <c r="Y189" s="12">
        <f>IF(B189="","",B189+10)</f>
        <v/>
      </c>
      <c r="Z189" s="13">
        <f>IF(B189="","",(--(B189&lt;&gt;"")+--(C189&lt;&gt;"")+--(D189&lt;&gt;"")+--(E189&lt;&gt;"")+--(F189&lt;&gt;"")+--(G189&lt;&gt;"")+--(H189&lt;&gt;"")+--(I189&lt;&gt;"")+--(J189&lt;&gt;"")+--(K189&lt;&gt;"")+--(L189&lt;&gt;"")+--(M189&lt;&gt;"")+--(N189&lt;&gt;"")+--(O189&lt;&gt;"")+--(P189&lt;&gt;"")+--(Q189&lt;&gt;"")+--(R189&lt;&gt;"")+--(S189&lt;&gt;"")+--(T189&lt;&gt;""))/19)</f>
        <v/>
      </c>
      <c r="AA189" s="16" t="n"/>
      <c r="AB189" s="16" t="n"/>
      <c r="AC189" s="16" t="n"/>
      <c r="AD189" s="16" t="n"/>
      <c r="AE189" s="7">
        <f>IF(B189="","",IF(AND(AA189="合格",AB189="合格",AC189="合格",AD189="合格"),"有效","无效"))</f>
        <v/>
      </c>
    </row>
    <row r="190">
      <c r="A190" s="7">
        <f>IF(B190="","",TEXT(B190,"yyyymmdd")&amp;"-"&amp;TEXT(ROW()-1,"000"))</f>
        <v/>
      </c>
      <c r="B190" s="8" t="n"/>
      <c r="C190" s="9" t="n"/>
      <c r="D190" s="9" t="n"/>
      <c r="E190" s="9" t="n"/>
      <c r="F190" s="9" t="n"/>
      <c r="G190" s="9" t="n"/>
      <c r="H190" s="9" t="n"/>
      <c r="I190" s="9" t="n"/>
      <c r="J190" s="10" t="n"/>
      <c r="K190" s="9" t="n"/>
      <c r="L190" s="9" t="n"/>
      <c r="M190" s="9" t="n"/>
      <c r="N190" s="10" t="n"/>
      <c r="O190" s="9" t="n"/>
      <c r="P190" s="10" t="n"/>
      <c r="Q190" s="10" t="n"/>
      <c r="R190" s="9" t="n"/>
      <c r="S190" s="10" t="n"/>
      <c r="T190" s="10" t="n"/>
      <c r="U190" s="11" t="n"/>
      <c r="V190" s="11" t="n"/>
      <c r="W190" s="12">
        <f>IF(B190="","",B190+3)</f>
        <v/>
      </c>
      <c r="X190" s="12">
        <f>IF(B190="","",B190+5)</f>
        <v/>
      </c>
      <c r="Y190" s="12">
        <f>IF(B190="","",B190+10)</f>
        <v/>
      </c>
      <c r="Z190" s="13">
        <f>IF(B190="","",(--(B190&lt;&gt;"")+--(C190&lt;&gt;"")+--(D190&lt;&gt;"")+--(E190&lt;&gt;"")+--(F190&lt;&gt;"")+--(G190&lt;&gt;"")+--(H190&lt;&gt;"")+--(I190&lt;&gt;"")+--(J190&lt;&gt;"")+--(K190&lt;&gt;"")+--(L190&lt;&gt;"")+--(M190&lt;&gt;"")+--(N190&lt;&gt;"")+--(O190&lt;&gt;"")+--(P190&lt;&gt;"")+--(Q190&lt;&gt;"")+--(R190&lt;&gt;"")+--(S190&lt;&gt;"")+--(T190&lt;&gt;""))/19)</f>
        <v/>
      </c>
      <c r="AA190" s="16" t="n"/>
      <c r="AB190" s="16" t="n"/>
      <c r="AC190" s="16" t="n"/>
      <c r="AD190" s="16" t="n"/>
      <c r="AE190" s="7">
        <f>IF(B190="","",IF(AND(AA190="合格",AB190="合格",AC190="合格",AD190="合格"),"有效","无效"))</f>
        <v/>
      </c>
    </row>
    <row r="191">
      <c r="A191" s="7">
        <f>IF(B191="","",TEXT(B191,"yyyymmdd")&amp;"-"&amp;TEXT(ROW()-1,"000"))</f>
        <v/>
      </c>
      <c r="B191" s="8" t="n"/>
      <c r="C191" s="9" t="n"/>
      <c r="D191" s="9" t="n"/>
      <c r="E191" s="9" t="n"/>
      <c r="F191" s="9" t="n"/>
      <c r="G191" s="9" t="n"/>
      <c r="H191" s="9" t="n"/>
      <c r="I191" s="9" t="n"/>
      <c r="J191" s="10" t="n"/>
      <c r="K191" s="9" t="n"/>
      <c r="L191" s="9" t="n"/>
      <c r="M191" s="9" t="n"/>
      <c r="N191" s="10" t="n"/>
      <c r="O191" s="9" t="n"/>
      <c r="P191" s="10" t="n"/>
      <c r="Q191" s="10" t="n"/>
      <c r="R191" s="9" t="n"/>
      <c r="S191" s="10" t="n"/>
      <c r="T191" s="10" t="n"/>
      <c r="U191" s="11" t="n"/>
      <c r="V191" s="11" t="n"/>
      <c r="W191" s="12">
        <f>IF(B191="","",B191+3)</f>
        <v/>
      </c>
      <c r="X191" s="12">
        <f>IF(B191="","",B191+5)</f>
        <v/>
      </c>
      <c r="Y191" s="12">
        <f>IF(B191="","",B191+10)</f>
        <v/>
      </c>
      <c r="Z191" s="13">
        <f>IF(B191="","",(--(B191&lt;&gt;"")+--(C191&lt;&gt;"")+--(D191&lt;&gt;"")+--(E191&lt;&gt;"")+--(F191&lt;&gt;"")+--(G191&lt;&gt;"")+--(H191&lt;&gt;"")+--(I191&lt;&gt;"")+--(J191&lt;&gt;"")+--(K191&lt;&gt;"")+--(L191&lt;&gt;"")+--(M191&lt;&gt;"")+--(N191&lt;&gt;"")+--(O191&lt;&gt;"")+--(P191&lt;&gt;"")+--(Q191&lt;&gt;"")+--(R191&lt;&gt;"")+--(S191&lt;&gt;"")+--(T191&lt;&gt;""))/19)</f>
        <v/>
      </c>
      <c r="AA191" s="16" t="n"/>
      <c r="AB191" s="16" t="n"/>
      <c r="AC191" s="16" t="n"/>
      <c r="AD191" s="16" t="n"/>
      <c r="AE191" s="7">
        <f>IF(B191="","",IF(AND(AA191="合格",AB191="合格",AC191="合格",AD191="合格"),"有效","无效"))</f>
        <v/>
      </c>
    </row>
    <row r="192">
      <c r="A192" s="7">
        <f>IF(B192="","",TEXT(B192,"yyyymmdd")&amp;"-"&amp;TEXT(ROW()-1,"000"))</f>
        <v/>
      </c>
      <c r="B192" s="8" t="n"/>
      <c r="C192" s="9" t="n"/>
      <c r="D192" s="9" t="n"/>
      <c r="E192" s="9" t="n"/>
      <c r="F192" s="9" t="n"/>
      <c r="G192" s="9" t="n"/>
      <c r="H192" s="9" t="n"/>
      <c r="I192" s="9" t="n"/>
      <c r="J192" s="10" t="n"/>
      <c r="K192" s="9" t="n"/>
      <c r="L192" s="9" t="n"/>
      <c r="M192" s="9" t="n"/>
      <c r="N192" s="10" t="n"/>
      <c r="O192" s="9" t="n"/>
      <c r="P192" s="10" t="n"/>
      <c r="Q192" s="10" t="n"/>
      <c r="R192" s="9" t="n"/>
      <c r="S192" s="10" t="n"/>
      <c r="T192" s="10" t="n"/>
      <c r="U192" s="11" t="n"/>
      <c r="V192" s="11" t="n"/>
      <c r="W192" s="12">
        <f>IF(B192="","",B192+3)</f>
        <v/>
      </c>
      <c r="X192" s="12">
        <f>IF(B192="","",B192+5)</f>
        <v/>
      </c>
      <c r="Y192" s="12">
        <f>IF(B192="","",B192+10)</f>
        <v/>
      </c>
      <c r="Z192" s="13">
        <f>IF(B192="","",(--(B192&lt;&gt;"")+--(C192&lt;&gt;"")+--(D192&lt;&gt;"")+--(E192&lt;&gt;"")+--(F192&lt;&gt;"")+--(G192&lt;&gt;"")+--(H192&lt;&gt;"")+--(I192&lt;&gt;"")+--(J192&lt;&gt;"")+--(K192&lt;&gt;"")+--(L192&lt;&gt;"")+--(M192&lt;&gt;"")+--(N192&lt;&gt;"")+--(O192&lt;&gt;"")+--(P192&lt;&gt;"")+--(Q192&lt;&gt;"")+--(R192&lt;&gt;"")+--(S192&lt;&gt;"")+--(T192&lt;&gt;""))/19)</f>
        <v/>
      </c>
      <c r="AA192" s="16" t="n"/>
      <c r="AB192" s="16" t="n"/>
      <c r="AC192" s="16" t="n"/>
      <c r="AD192" s="16" t="n"/>
      <c r="AE192" s="7">
        <f>IF(B192="","",IF(AND(AA192="合格",AB192="合格",AC192="合格",AD192="合格"),"有效","无效"))</f>
        <v/>
      </c>
    </row>
    <row r="193">
      <c r="A193" s="7">
        <f>IF(B193="","",TEXT(B193,"yyyymmdd")&amp;"-"&amp;TEXT(ROW()-1,"000"))</f>
        <v/>
      </c>
      <c r="B193" s="8" t="n"/>
      <c r="C193" s="9" t="n"/>
      <c r="D193" s="9" t="n"/>
      <c r="E193" s="9" t="n"/>
      <c r="F193" s="9" t="n"/>
      <c r="G193" s="9" t="n"/>
      <c r="H193" s="9" t="n"/>
      <c r="I193" s="9" t="n"/>
      <c r="J193" s="10" t="n"/>
      <c r="K193" s="9" t="n"/>
      <c r="L193" s="9" t="n"/>
      <c r="M193" s="9" t="n"/>
      <c r="N193" s="10" t="n"/>
      <c r="O193" s="9" t="n"/>
      <c r="P193" s="10" t="n"/>
      <c r="Q193" s="10" t="n"/>
      <c r="R193" s="9" t="n"/>
      <c r="S193" s="10" t="n"/>
      <c r="T193" s="10" t="n"/>
      <c r="U193" s="11" t="n"/>
      <c r="V193" s="11" t="n"/>
      <c r="W193" s="12">
        <f>IF(B193="","",B193+3)</f>
        <v/>
      </c>
      <c r="X193" s="12">
        <f>IF(B193="","",B193+5)</f>
        <v/>
      </c>
      <c r="Y193" s="12">
        <f>IF(B193="","",B193+10)</f>
        <v/>
      </c>
      <c r="Z193" s="13">
        <f>IF(B193="","",(--(B193&lt;&gt;"")+--(C193&lt;&gt;"")+--(D193&lt;&gt;"")+--(E193&lt;&gt;"")+--(F193&lt;&gt;"")+--(G193&lt;&gt;"")+--(H193&lt;&gt;"")+--(I193&lt;&gt;"")+--(J193&lt;&gt;"")+--(K193&lt;&gt;"")+--(L193&lt;&gt;"")+--(M193&lt;&gt;"")+--(N193&lt;&gt;"")+--(O193&lt;&gt;"")+--(P193&lt;&gt;"")+--(Q193&lt;&gt;"")+--(R193&lt;&gt;"")+--(S193&lt;&gt;"")+--(T193&lt;&gt;""))/19)</f>
        <v/>
      </c>
      <c r="AA193" s="16" t="n"/>
      <c r="AB193" s="16" t="n"/>
      <c r="AC193" s="16" t="n"/>
      <c r="AD193" s="16" t="n"/>
      <c r="AE193" s="7">
        <f>IF(B193="","",IF(AND(AA193="合格",AB193="合格",AC193="合格",AD193="合格"),"有效","无效"))</f>
        <v/>
      </c>
    </row>
    <row r="194">
      <c r="A194" s="7">
        <f>IF(B194="","",TEXT(B194,"yyyymmdd")&amp;"-"&amp;TEXT(ROW()-1,"000"))</f>
        <v/>
      </c>
      <c r="B194" s="8" t="n"/>
      <c r="C194" s="9" t="n"/>
      <c r="D194" s="9" t="n"/>
      <c r="E194" s="9" t="n"/>
      <c r="F194" s="9" t="n"/>
      <c r="G194" s="9" t="n"/>
      <c r="H194" s="9" t="n"/>
      <c r="I194" s="9" t="n"/>
      <c r="J194" s="10" t="n"/>
      <c r="K194" s="9" t="n"/>
      <c r="L194" s="9" t="n"/>
      <c r="M194" s="9" t="n"/>
      <c r="N194" s="10" t="n"/>
      <c r="O194" s="9" t="n"/>
      <c r="P194" s="10" t="n"/>
      <c r="Q194" s="10" t="n"/>
      <c r="R194" s="9" t="n"/>
      <c r="S194" s="10" t="n"/>
      <c r="T194" s="10" t="n"/>
      <c r="U194" s="11" t="n"/>
      <c r="V194" s="11" t="n"/>
      <c r="W194" s="12">
        <f>IF(B194="","",B194+3)</f>
        <v/>
      </c>
      <c r="X194" s="12">
        <f>IF(B194="","",B194+5)</f>
        <v/>
      </c>
      <c r="Y194" s="12">
        <f>IF(B194="","",B194+10)</f>
        <v/>
      </c>
      <c r="Z194" s="13">
        <f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6" t="n"/>
      <c r="AB194" s="16" t="n"/>
      <c r="AC194" s="16" t="n"/>
      <c r="AD194" s="16" t="n"/>
      <c r="AE194" s="7">
        <f>IF(B194="","",IF(AND(AA194="合格",AB194="合格",AC194="合格",AD194="合格"),"有效","无效"))</f>
        <v/>
      </c>
    </row>
    <row r="195">
      <c r="A195" s="7">
        <f>IF(B195="","",TEXT(B195,"yyyymmdd")&amp;"-"&amp;TEXT(ROW()-1,"000"))</f>
        <v/>
      </c>
      <c r="B195" s="8" t="n"/>
      <c r="C195" s="9" t="n"/>
      <c r="D195" s="9" t="n"/>
      <c r="E195" s="9" t="n"/>
      <c r="F195" s="9" t="n"/>
      <c r="G195" s="9" t="n"/>
      <c r="H195" s="9" t="n"/>
      <c r="I195" s="9" t="n"/>
      <c r="J195" s="10" t="n"/>
      <c r="K195" s="9" t="n"/>
      <c r="L195" s="9" t="n"/>
      <c r="M195" s="9" t="n"/>
      <c r="N195" s="10" t="n"/>
      <c r="O195" s="9" t="n"/>
      <c r="P195" s="10" t="n"/>
      <c r="Q195" s="10" t="n"/>
      <c r="R195" s="9" t="n"/>
      <c r="S195" s="10" t="n"/>
      <c r="T195" s="10" t="n"/>
      <c r="U195" s="11" t="n"/>
      <c r="V195" s="11" t="n"/>
      <c r="W195" s="12">
        <f>IF(B195="","",B195+3)</f>
        <v/>
      </c>
      <c r="X195" s="12">
        <f>IF(B195="","",B195+5)</f>
        <v/>
      </c>
      <c r="Y195" s="12">
        <f>IF(B195="","",B195+10)</f>
        <v/>
      </c>
      <c r="Z195" s="13">
        <f>IF(B195="","",(--(B195&lt;&gt;"")+--(C195&lt;&gt;"")+--(D195&lt;&gt;"")+--(E195&lt;&gt;"")+--(F195&lt;&gt;"")+--(G195&lt;&gt;"")+--(H195&lt;&gt;"")+--(I195&lt;&gt;"")+--(J195&lt;&gt;"")+--(K195&lt;&gt;"")+--(L195&lt;&gt;"")+--(M195&lt;&gt;"")+--(N195&lt;&gt;"")+--(O195&lt;&gt;"")+--(P195&lt;&gt;"")+--(Q195&lt;&gt;"")+--(R195&lt;&gt;"")+--(S195&lt;&gt;"")+--(T195&lt;&gt;""))/19)</f>
        <v/>
      </c>
      <c r="AA195" s="16" t="n"/>
      <c r="AB195" s="16" t="n"/>
      <c r="AC195" s="16" t="n"/>
      <c r="AD195" s="16" t="n"/>
      <c r="AE195" s="7">
        <f>IF(B195="","",IF(AND(AA195="合格",AB195="合格",AC195="合格",AD195="合格"),"有效","无效"))</f>
        <v/>
      </c>
    </row>
    <row r="196">
      <c r="A196" s="7">
        <f>IF(B196="","",TEXT(B196,"yyyymmdd")&amp;"-"&amp;TEXT(ROW()-1,"000"))</f>
        <v/>
      </c>
      <c r="B196" s="8" t="n"/>
      <c r="C196" s="9" t="n"/>
      <c r="D196" s="9" t="n"/>
      <c r="E196" s="9" t="n"/>
      <c r="F196" s="9" t="n"/>
      <c r="G196" s="9" t="n"/>
      <c r="H196" s="9" t="n"/>
      <c r="I196" s="9" t="n"/>
      <c r="J196" s="10" t="n"/>
      <c r="K196" s="9" t="n"/>
      <c r="L196" s="9" t="n"/>
      <c r="M196" s="9" t="n"/>
      <c r="N196" s="10" t="n"/>
      <c r="O196" s="9" t="n"/>
      <c r="P196" s="10" t="n"/>
      <c r="Q196" s="10" t="n"/>
      <c r="R196" s="9" t="n"/>
      <c r="S196" s="10" t="n"/>
      <c r="T196" s="10" t="n"/>
      <c r="U196" s="11" t="n"/>
      <c r="V196" s="11" t="n"/>
      <c r="W196" s="12">
        <f>IF(B196="","",B196+3)</f>
        <v/>
      </c>
      <c r="X196" s="12">
        <f>IF(B196="","",B196+5)</f>
        <v/>
      </c>
      <c r="Y196" s="12">
        <f>IF(B196="","",B196+10)</f>
        <v/>
      </c>
      <c r="Z196" s="13">
        <f>IF(B196="","",(--(B196&lt;&gt;"")+--(C196&lt;&gt;"")+--(D196&lt;&gt;"")+--(E196&lt;&gt;"")+--(F196&lt;&gt;"")+--(G196&lt;&gt;"")+--(H196&lt;&gt;"")+--(I196&lt;&gt;"")+--(J196&lt;&gt;"")+--(K196&lt;&gt;"")+--(L196&lt;&gt;"")+--(M196&lt;&gt;"")+--(N196&lt;&gt;"")+--(O196&lt;&gt;"")+--(P196&lt;&gt;"")+--(Q196&lt;&gt;"")+--(R196&lt;&gt;"")+--(S196&lt;&gt;"")+--(T196&lt;&gt;""))/19)</f>
        <v/>
      </c>
      <c r="AA196" s="16" t="n"/>
      <c r="AB196" s="16" t="n"/>
      <c r="AC196" s="16" t="n"/>
      <c r="AD196" s="16" t="n"/>
      <c r="AE196" s="7">
        <f>IF(B196="","",IF(AND(AA196="合格",AB196="合格",AC196="合格",AD196="合格"),"有效","无效"))</f>
        <v/>
      </c>
    </row>
    <row r="197">
      <c r="A197" s="7">
        <f>IF(B197="","",TEXT(B197,"yyyymmdd")&amp;"-"&amp;TEXT(ROW()-1,"000"))</f>
        <v/>
      </c>
      <c r="B197" s="8" t="n"/>
      <c r="C197" s="9" t="n"/>
      <c r="D197" s="9" t="n"/>
      <c r="E197" s="9" t="n"/>
      <c r="F197" s="9" t="n"/>
      <c r="G197" s="9" t="n"/>
      <c r="H197" s="9" t="n"/>
      <c r="I197" s="9" t="n"/>
      <c r="J197" s="10" t="n"/>
      <c r="K197" s="9" t="n"/>
      <c r="L197" s="9" t="n"/>
      <c r="M197" s="9" t="n"/>
      <c r="N197" s="10" t="n"/>
      <c r="O197" s="9" t="n"/>
      <c r="P197" s="10" t="n"/>
      <c r="Q197" s="10" t="n"/>
      <c r="R197" s="9" t="n"/>
      <c r="S197" s="10" t="n"/>
      <c r="T197" s="10" t="n"/>
      <c r="U197" s="11" t="n"/>
      <c r="V197" s="11" t="n"/>
      <c r="W197" s="12">
        <f>IF(B197="","",B197+3)</f>
        <v/>
      </c>
      <c r="X197" s="12">
        <f>IF(B197="","",B197+5)</f>
        <v/>
      </c>
      <c r="Y197" s="12">
        <f>IF(B197="","",B197+10)</f>
        <v/>
      </c>
      <c r="Z197" s="13">
        <f>IF(B197="","",(--(B197&lt;&gt;"")+--(C197&lt;&gt;"")+--(D197&lt;&gt;"")+--(E197&lt;&gt;"")+--(F197&lt;&gt;"")+--(G197&lt;&gt;"")+--(H197&lt;&gt;"")+--(I197&lt;&gt;"")+--(J197&lt;&gt;"")+--(K197&lt;&gt;"")+--(L197&lt;&gt;"")+--(M197&lt;&gt;"")+--(N197&lt;&gt;"")+--(O197&lt;&gt;"")+--(P197&lt;&gt;"")+--(Q197&lt;&gt;"")+--(R197&lt;&gt;"")+--(S197&lt;&gt;"")+--(T197&lt;&gt;""))/19)</f>
        <v/>
      </c>
      <c r="AA197" s="16" t="n"/>
      <c r="AB197" s="16" t="n"/>
      <c r="AC197" s="16" t="n"/>
      <c r="AD197" s="16" t="n"/>
      <c r="AE197" s="7">
        <f>IF(B197="","",IF(AND(AA197="合格",AB197="合格",AC197="合格",AD197="合格"),"有效","无效"))</f>
        <v/>
      </c>
    </row>
    <row r="198">
      <c r="A198" s="7">
        <f>IF(B198="","",TEXT(B198,"yyyymmdd")&amp;"-"&amp;TEXT(ROW()-1,"000"))</f>
        <v/>
      </c>
      <c r="B198" s="8" t="n"/>
      <c r="C198" s="9" t="n"/>
      <c r="D198" s="9" t="n"/>
      <c r="E198" s="9" t="n"/>
      <c r="F198" s="9" t="n"/>
      <c r="G198" s="9" t="n"/>
      <c r="H198" s="9" t="n"/>
      <c r="I198" s="9" t="n"/>
      <c r="J198" s="10" t="n"/>
      <c r="K198" s="9" t="n"/>
      <c r="L198" s="9" t="n"/>
      <c r="M198" s="9" t="n"/>
      <c r="N198" s="10" t="n"/>
      <c r="O198" s="9" t="n"/>
      <c r="P198" s="10" t="n"/>
      <c r="Q198" s="10" t="n"/>
      <c r="R198" s="9" t="n"/>
      <c r="S198" s="10" t="n"/>
      <c r="T198" s="10" t="n"/>
      <c r="U198" s="11" t="n"/>
      <c r="V198" s="11" t="n"/>
      <c r="W198" s="12">
        <f>IF(B198="","",B198+3)</f>
        <v/>
      </c>
      <c r="X198" s="12">
        <f>IF(B198="","",B198+5)</f>
        <v/>
      </c>
      <c r="Y198" s="12">
        <f>IF(B198="","",B198+10)</f>
        <v/>
      </c>
      <c r="Z198" s="13">
        <f>IF(B198="","",(--(B198&lt;&gt;"")+--(C198&lt;&gt;"")+--(D198&lt;&gt;"")+--(E198&lt;&gt;"")+--(F198&lt;&gt;"")+--(G198&lt;&gt;"")+--(H198&lt;&gt;"")+--(I198&lt;&gt;"")+--(J198&lt;&gt;"")+--(K198&lt;&gt;"")+--(L198&lt;&gt;"")+--(M198&lt;&gt;"")+--(N198&lt;&gt;"")+--(O198&lt;&gt;"")+--(P198&lt;&gt;"")+--(Q198&lt;&gt;"")+--(R198&lt;&gt;"")+--(S198&lt;&gt;"")+--(T198&lt;&gt;""))/19)</f>
        <v/>
      </c>
      <c r="AA198" s="16" t="n"/>
      <c r="AB198" s="16" t="n"/>
      <c r="AC198" s="16" t="n"/>
      <c r="AD198" s="16" t="n"/>
      <c r="AE198" s="7">
        <f>IF(B198="","",IF(AND(AA198="合格",AB198="合格",AC198="合格",AD198="合格"),"有效","无效"))</f>
        <v/>
      </c>
    </row>
    <row r="199">
      <c r="A199" s="7">
        <f>IF(B199="","",TEXT(B199,"yyyymmdd")&amp;"-"&amp;TEXT(ROW()-1,"000"))</f>
        <v/>
      </c>
      <c r="B199" s="8" t="n"/>
      <c r="C199" s="9" t="n"/>
      <c r="D199" s="9" t="n"/>
      <c r="E199" s="9" t="n"/>
      <c r="F199" s="9" t="n"/>
      <c r="G199" s="9" t="n"/>
      <c r="H199" s="9" t="n"/>
      <c r="I199" s="9" t="n"/>
      <c r="J199" s="10" t="n"/>
      <c r="K199" s="9" t="n"/>
      <c r="L199" s="9" t="n"/>
      <c r="M199" s="9" t="n"/>
      <c r="N199" s="10" t="n"/>
      <c r="O199" s="9" t="n"/>
      <c r="P199" s="10" t="n"/>
      <c r="Q199" s="10" t="n"/>
      <c r="R199" s="9" t="n"/>
      <c r="S199" s="10" t="n"/>
      <c r="T199" s="10" t="n"/>
      <c r="U199" s="11" t="n"/>
      <c r="V199" s="11" t="n"/>
      <c r="W199" s="12">
        <f>IF(B199="","",B199+3)</f>
        <v/>
      </c>
      <c r="X199" s="12">
        <f>IF(B199="","",B199+5)</f>
        <v/>
      </c>
      <c r="Y199" s="12">
        <f>IF(B199="","",B199+10)</f>
        <v/>
      </c>
      <c r="Z199" s="13">
        <f>IF(B199="","",(--(B199&lt;&gt;"")+--(C199&lt;&gt;"")+--(D199&lt;&gt;"")+--(E199&lt;&gt;"")+--(F199&lt;&gt;"")+--(G199&lt;&gt;"")+--(H199&lt;&gt;"")+--(I199&lt;&gt;"")+--(J199&lt;&gt;"")+--(K199&lt;&gt;"")+--(L199&lt;&gt;"")+--(M199&lt;&gt;"")+--(N199&lt;&gt;"")+--(O199&lt;&gt;"")+--(P199&lt;&gt;"")+--(Q199&lt;&gt;"")+--(R199&lt;&gt;"")+--(S199&lt;&gt;"")+--(T199&lt;&gt;""))/19)</f>
        <v/>
      </c>
      <c r="AA199" s="16" t="n"/>
      <c r="AB199" s="16" t="n"/>
      <c r="AC199" s="16" t="n"/>
      <c r="AD199" s="16" t="n"/>
      <c r="AE199" s="7">
        <f>IF(B199="","",IF(AND(AA199="合格",AB199="合格",AC199="合格",AD199="合格"),"有效","无效"))</f>
        <v/>
      </c>
    </row>
    <row r="200">
      <c r="A200" s="7">
        <f>IF(B200="","",TEXT(B200,"yyyymmdd")&amp;"-"&amp;TEXT(ROW()-1,"000"))</f>
        <v/>
      </c>
      <c r="B200" s="8" t="n"/>
      <c r="C200" s="9" t="n"/>
      <c r="D200" s="9" t="n"/>
      <c r="E200" s="9" t="n"/>
      <c r="F200" s="9" t="n"/>
      <c r="G200" s="9" t="n"/>
      <c r="H200" s="9" t="n"/>
      <c r="I200" s="9" t="n"/>
      <c r="J200" s="10" t="n"/>
      <c r="K200" s="9" t="n"/>
      <c r="L200" s="9" t="n"/>
      <c r="M200" s="9" t="n"/>
      <c r="N200" s="10" t="n"/>
      <c r="O200" s="9" t="n"/>
      <c r="P200" s="10" t="n"/>
      <c r="Q200" s="10" t="n"/>
      <c r="R200" s="9" t="n"/>
      <c r="S200" s="10" t="n"/>
      <c r="T200" s="10" t="n"/>
      <c r="U200" s="11" t="n"/>
      <c r="V200" s="11" t="n"/>
      <c r="W200" s="12">
        <f>IF(B200="","",B200+3)</f>
        <v/>
      </c>
      <c r="X200" s="12">
        <f>IF(B200="","",B200+5)</f>
        <v/>
      </c>
      <c r="Y200" s="12">
        <f>IF(B200="","",B200+10)</f>
        <v/>
      </c>
      <c r="Z200" s="13">
        <f>IF(B200="","",(--(B200&lt;&gt;"")+--(C200&lt;&gt;"")+--(D200&lt;&gt;"")+--(E200&lt;&gt;"")+--(F200&lt;&gt;"")+--(G200&lt;&gt;"")+--(H200&lt;&gt;"")+--(I200&lt;&gt;"")+--(J200&lt;&gt;"")+--(K200&lt;&gt;"")+--(L200&lt;&gt;"")+--(M200&lt;&gt;"")+--(N200&lt;&gt;"")+--(O200&lt;&gt;"")+--(P200&lt;&gt;"")+--(Q200&lt;&gt;"")+--(R200&lt;&gt;"")+--(S200&lt;&gt;"")+--(T200&lt;&gt;""))/19)</f>
        <v/>
      </c>
      <c r="AA200" s="16" t="n"/>
      <c r="AB200" s="16" t="n"/>
      <c r="AC200" s="16" t="n"/>
      <c r="AD200" s="16" t="n"/>
      <c r="AE200" s="7">
        <f>IF(B200="","",IF(AND(AA200="合格",AB200="合格",AC200="合格",AD200="合格"),"有效","无效"))</f>
        <v/>
      </c>
    </row>
    <row r="201">
      <c r="A201" s="7">
        <f>IF(B201="","",TEXT(B201,"yyyymmdd")&amp;"-"&amp;TEXT(ROW()-1,"000"))</f>
        <v/>
      </c>
      <c r="B201" s="8" t="n"/>
      <c r="C201" s="9" t="n"/>
      <c r="D201" s="9" t="n"/>
      <c r="E201" s="9" t="n"/>
      <c r="F201" s="9" t="n"/>
      <c r="G201" s="9" t="n"/>
      <c r="H201" s="9" t="n"/>
      <c r="I201" s="9" t="n"/>
      <c r="J201" s="10" t="n"/>
      <c r="K201" s="9" t="n"/>
      <c r="L201" s="9" t="n"/>
      <c r="M201" s="9" t="n"/>
      <c r="N201" s="10" t="n"/>
      <c r="O201" s="9" t="n"/>
      <c r="P201" s="10" t="n"/>
      <c r="Q201" s="10" t="n"/>
      <c r="R201" s="9" t="n"/>
      <c r="S201" s="10" t="n"/>
      <c r="T201" s="10" t="n"/>
      <c r="U201" s="11" t="n"/>
      <c r="V201" s="11" t="n"/>
      <c r="W201" s="12">
        <f>IF(B201="","",B201+3)</f>
        <v/>
      </c>
      <c r="X201" s="12">
        <f>IF(B201="","",B201+5)</f>
        <v/>
      </c>
      <c r="Y201" s="12">
        <f>IF(B201="","",B201+10)</f>
        <v/>
      </c>
      <c r="Z201" s="13">
        <f>IF(B201="","",(--(B201&lt;&gt;"")+--(C201&lt;&gt;"")+--(D201&lt;&gt;"")+--(E201&lt;&gt;"")+--(F201&lt;&gt;"")+--(G201&lt;&gt;"")+--(H201&lt;&gt;"")+--(I201&lt;&gt;"")+--(J201&lt;&gt;"")+--(K201&lt;&gt;"")+--(L201&lt;&gt;"")+--(M201&lt;&gt;"")+--(N201&lt;&gt;"")+--(O201&lt;&gt;"")+--(P201&lt;&gt;"")+--(Q201&lt;&gt;"")+--(R201&lt;&gt;"")+--(S201&lt;&gt;"")+--(T201&lt;&gt;""))/19)</f>
        <v/>
      </c>
      <c r="AA201" s="16" t="n"/>
      <c r="AB201" s="16" t="n"/>
      <c r="AC201" s="16" t="n"/>
      <c r="AD201" s="16" t="n"/>
      <c r="AE201" s="7">
        <f>IF(B201="","",IF(AND(AA201="合格",AB201="合格",AC201="合格",AD201="合格"),"有效","无效"))</f>
        <v/>
      </c>
    </row>
    <row r="202">
      <c r="A202" s="7">
        <f>IF(B202="","",TEXT(B202,"yyyymmdd")&amp;"-"&amp;TEXT(ROW()-1,"000"))</f>
        <v/>
      </c>
      <c r="B202" s="8" t="n"/>
      <c r="C202" s="9" t="n"/>
      <c r="D202" s="9" t="n"/>
      <c r="E202" s="9" t="n"/>
      <c r="F202" s="9" t="n"/>
      <c r="G202" s="9" t="n"/>
      <c r="H202" s="9" t="n"/>
      <c r="I202" s="9" t="n"/>
      <c r="J202" s="10" t="n"/>
      <c r="K202" s="9" t="n"/>
      <c r="L202" s="9" t="n"/>
      <c r="M202" s="9" t="n"/>
      <c r="N202" s="10" t="n"/>
      <c r="O202" s="9" t="n"/>
      <c r="P202" s="10" t="n"/>
      <c r="Q202" s="10" t="n"/>
      <c r="R202" s="9" t="n"/>
      <c r="S202" s="10" t="n"/>
      <c r="T202" s="10" t="n"/>
      <c r="U202" s="11" t="n"/>
      <c r="V202" s="11" t="n"/>
      <c r="W202" s="12">
        <f>IF(B202="","",B202+3)</f>
        <v/>
      </c>
      <c r="X202" s="12">
        <f>IF(B202="","",B202+5)</f>
        <v/>
      </c>
      <c r="Y202" s="12">
        <f>IF(B202="","",B202+10)</f>
        <v/>
      </c>
      <c r="Z202" s="13">
        <f>IF(B202="","",(--(B202&lt;&gt;"")+--(C202&lt;&gt;"")+--(D202&lt;&gt;"")+--(E202&lt;&gt;"")+--(F202&lt;&gt;"")+--(G202&lt;&gt;"")+--(H202&lt;&gt;"")+--(I202&lt;&gt;"")+--(J202&lt;&gt;"")+--(K202&lt;&gt;"")+--(L202&lt;&gt;"")+--(M202&lt;&gt;"")+--(N202&lt;&gt;"")+--(O202&lt;&gt;"")+--(P202&lt;&gt;"")+--(Q202&lt;&gt;"")+--(R202&lt;&gt;"")+--(S202&lt;&gt;"")+--(T202&lt;&gt;""))/19)</f>
        <v/>
      </c>
      <c r="AA202" s="16" t="n"/>
      <c r="AB202" s="16" t="n"/>
      <c r="AC202" s="16" t="n"/>
      <c r="AD202" s="16" t="n"/>
      <c r="AE202" s="7">
        <f>IF(B202="","",IF(AND(AA202="合格",AB202="合格",AC202="合格",AD202="合格"),"有效","无效"))</f>
        <v/>
      </c>
    </row>
    <row r="203">
      <c r="A203" s="7">
        <f>IF(B203="","",TEXT(B203,"yyyymmdd")&amp;"-"&amp;TEXT(ROW()-1,"000"))</f>
        <v/>
      </c>
      <c r="B203" s="8" t="n"/>
      <c r="C203" s="9" t="n"/>
      <c r="D203" s="9" t="n"/>
      <c r="E203" s="9" t="n"/>
      <c r="F203" s="9" t="n"/>
      <c r="G203" s="9" t="n"/>
      <c r="H203" s="9" t="n"/>
      <c r="I203" s="9" t="n"/>
      <c r="J203" s="10" t="n"/>
      <c r="K203" s="9" t="n"/>
      <c r="L203" s="9" t="n"/>
      <c r="M203" s="9" t="n"/>
      <c r="N203" s="10" t="n"/>
      <c r="O203" s="9" t="n"/>
      <c r="P203" s="10" t="n"/>
      <c r="Q203" s="10" t="n"/>
      <c r="R203" s="9" t="n"/>
      <c r="S203" s="10" t="n"/>
      <c r="T203" s="10" t="n"/>
      <c r="U203" s="11" t="n"/>
      <c r="V203" s="11" t="n"/>
      <c r="W203" s="12">
        <f>IF(B203="","",B203+3)</f>
        <v/>
      </c>
      <c r="X203" s="12">
        <f>IF(B203="","",B203+5)</f>
        <v/>
      </c>
      <c r="Y203" s="12">
        <f>IF(B203="","",B203+10)</f>
        <v/>
      </c>
      <c r="Z203" s="13">
        <f>IF(B203="","",(--(B203&lt;&gt;"")+--(C203&lt;&gt;"")+--(D203&lt;&gt;"")+--(E203&lt;&gt;"")+--(F203&lt;&gt;"")+--(G203&lt;&gt;"")+--(H203&lt;&gt;"")+--(I203&lt;&gt;"")+--(J203&lt;&gt;"")+--(K203&lt;&gt;"")+--(L203&lt;&gt;"")+--(M203&lt;&gt;"")+--(N203&lt;&gt;"")+--(O203&lt;&gt;"")+--(P203&lt;&gt;"")+--(Q203&lt;&gt;"")+--(R203&lt;&gt;"")+--(S203&lt;&gt;"")+--(T203&lt;&gt;""))/19)</f>
        <v/>
      </c>
      <c r="AA203" s="16" t="n"/>
      <c r="AB203" s="16" t="n"/>
      <c r="AC203" s="16" t="n"/>
      <c r="AD203" s="16" t="n"/>
      <c r="AE203" s="7">
        <f>IF(B203="","",IF(AND(AA203="合格",AB203="合格",AC203="合格",AD203="合格"),"有效","无效"))</f>
        <v/>
      </c>
    </row>
    <row r="204">
      <c r="A204" s="7">
        <f>IF(B204="","",TEXT(B204,"yyyymmdd")&amp;"-"&amp;TEXT(ROW()-1,"000"))</f>
        <v/>
      </c>
      <c r="B204" s="8" t="n"/>
      <c r="C204" s="9" t="n"/>
      <c r="D204" s="9" t="n"/>
      <c r="E204" s="9" t="n"/>
      <c r="F204" s="9" t="n"/>
      <c r="G204" s="9" t="n"/>
      <c r="H204" s="9" t="n"/>
      <c r="I204" s="9" t="n"/>
      <c r="J204" s="10" t="n"/>
      <c r="K204" s="9" t="n"/>
      <c r="L204" s="9" t="n"/>
      <c r="M204" s="9" t="n"/>
      <c r="N204" s="10" t="n"/>
      <c r="O204" s="9" t="n"/>
      <c r="P204" s="10" t="n"/>
      <c r="Q204" s="10" t="n"/>
      <c r="R204" s="9" t="n"/>
      <c r="S204" s="10" t="n"/>
      <c r="T204" s="10" t="n"/>
      <c r="U204" s="11" t="n"/>
      <c r="V204" s="11" t="n"/>
      <c r="W204" s="12">
        <f>IF(B204="","",B204+3)</f>
        <v/>
      </c>
      <c r="X204" s="12">
        <f>IF(B204="","",B204+5)</f>
        <v/>
      </c>
      <c r="Y204" s="12">
        <f>IF(B204="","",B204+10)</f>
        <v/>
      </c>
      <c r="Z204" s="13">
        <f>IF(B204="","",(--(B204&lt;&gt;"")+--(C204&lt;&gt;"")+--(D204&lt;&gt;"")+--(E204&lt;&gt;"")+--(F204&lt;&gt;"")+--(G204&lt;&gt;"")+--(H204&lt;&gt;"")+--(I204&lt;&gt;"")+--(J204&lt;&gt;"")+--(K204&lt;&gt;"")+--(L204&lt;&gt;"")+--(M204&lt;&gt;"")+--(N204&lt;&gt;"")+--(O204&lt;&gt;"")+--(P204&lt;&gt;"")+--(Q204&lt;&gt;"")+--(R204&lt;&gt;"")+--(S204&lt;&gt;"")+--(T204&lt;&gt;""))/19)</f>
        <v/>
      </c>
      <c r="AA204" s="16" t="n"/>
      <c r="AB204" s="16" t="n"/>
      <c r="AC204" s="16" t="n"/>
      <c r="AD204" s="16" t="n"/>
      <c r="AE204" s="7">
        <f>IF(B204="","",IF(AND(AA204="合格",AB204="合格",AC204="合格",AD204="合格"),"有效","无效"))</f>
        <v/>
      </c>
    </row>
    <row r="205">
      <c r="A205" s="7">
        <f>IF(B205="","",TEXT(B205,"yyyymmdd")&amp;"-"&amp;TEXT(ROW()-1,"000"))</f>
        <v/>
      </c>
      <c r="B205" s="8" t="n"/>
      <c r="C205" s="9" t="n"/>
      <c r="D205" s="9" t="n"/>
      <c r="E205" s="9" t="n"/>
      <c r="F205" s="9" t="n"/>
      <c r="G205" s="9" t="n"/>
      <c r="H205" s="9" t="n"/>
      <c r="I205" s="9" t="n"/>
      <c r="J205" s="10" t="n"/>
      <c r="K205" s="9" t="n"/>
      <c r="L205" s="9" t="n"/>
      <c r="M205" s="9" t="n"/>
      <c r="N205" s="10" t="n"/>
      <c r="O205" s="9" t="n"/>
      <c r="P205" s="10" t="n"/>
      <c r="Q205" s="10" t="n"/>
      <c r="R205" s="9" t="n"/>
      <c r="S205" s="10" t="n"/>
      <c r="T205" s="10" t="n"/>
      <c r="U205" s="11" t="n"/>
      <c r="V205" s="11" t="n"/>
      <c r="W205" s="12">
        <f>IF(B205="","",B205+3)</f>
        <v/>
      </c>
      <c r="X205" s="12">
        <f>IF(B205="","",B205+5)</f>
        <v/>
      </c>
      <c r="Y205" s="12">
        <f>IF(B205="","",B205+10)</f>
        <v/>
      </c>
      <c r="Z205" s="13">
        <f>IF(B205="","",(--(B205&lt;&gt;"")+--(C205&lt;&gt;"")+--(D205&lt;&gt;"")+--(E205&lt;&gt;"")+--(F205&lt;&gt;"")+--(G205&lt;&gt;"")+--(H205&lt;&gt;"")+--(I205&lt;&gt;"")+--(J205&lt;&gt;"")+--(K205&lt;&gt;"")+--(L205&lt;&gt;"")+--(M205&lt;&gt;"")+--(N205&lt;&gt;"")+--(O205&lt;&gt;"")+--(P205&lt;&gt;"")+--(Q205&lt;&gt;"")+--(R205&lt;&gt;"")+--(S205&lt;&gt;"")+--(T205&lt;&gt;""))/19)</f>
        <v/>
      </c>
      <c r="AA205" s="16" t="n"/>
      <c r="AB205" s="16" t="n"/>
      <c r="AC205" s="16" t="n"/>
      <c r="AD205" s="16" t="n"/>
      <c r="AE205" s="7">
        <f>IF(B205="","",IF(AND(AA205="合格",AB205="合格",AC205="合格",AD205="合格"),"有效","无效"))</f>
        <v/>
      </c>
    </row>
    <row r="206">
      <c r="A206" s="7">
        <f>IF(B206="","",TEXT(B206,"yyyymmdd")&amp;"-"&amp;TEXT(ROW()-1,"000"))</f>
        <v/>
      </c>
      <c r="B206" s="8" t="n"/>
      <c r="C206" s="9" t="n"/>
      <c r="D206" s="9" t="n"/>
      <c r="E206" s="9" t="n"/>
      <c r="F206" s="9" t="n"/>
      <c r="G206" s="9" t="n"/>
      <c r="H206" s="9" t="n"/>
      <c r="I206" s="9" t="n"/>
      <c r="J206" s="10" t="n"/>
      <c r="K206" s="9" t="n"/>
      <c r="L206" s="9" t="n"/>
      <c r="M206" s="9" t="n"/>
      <c r="N206" s="10" t="n"/>
      <c r="O206" s="9" t="n"/>
      <c r="P206" s="10" t="n"/>
      <c r="Q206" s="10" t="n"/>
      <c r="R206" s="9" t="n"/>
      <c r="S206" s="10" t="n"/>
      <c r="T206" s="10" t="n"/>
      <c r="U206" s="11" t="n"/>
      <c r="V206" s="11" t="n"/>
      <c r="W206" s="12">
        <f>IF(B206="","",B206+3)</f>
        <v/>
      </c>
      <c r="X206" s="12">
        <f>IF(B206="","",B206+5)</f>
        <v/>
      </c>
      <c r="Y206" s="12">
        <f>IF(B206="","",B206+10)</f>
        <v/>
      </c>
      <c r="Z206" s="13">
        <f>IF(B206="","",(--(B206&lt;&gt;"")+--(C206&lt;&gt;"")+--(D206&lt;&gt;"")+--(E206&lt;&gt;"")+--(F206&lt;&gt;"")+--(G206&lt;&gt;"")+--(H206&lt;&gt;"")+--(I206&lt;&gt;"")+--(J206&lt;&gt;"")+--(K206&lt;&gt;"")+--(L206&lt;&gt;"")+--(M206&lt;&gt;"")+--(N206&lt;&gt;"")+--(O206&lt;&gt;"")+--(P206&lt;&gt;"")+--(Q206&lt;&gt;"")+--(R206&lt;&gt;"")+--(S206&lt;&gt;"")+--(T206&lt;&gt;""))/19)</f>
        <v/>
      </c>
      <c r="AA206" s="16" t="n"/>
      <c r="AB206" s="16" t="n"/>
      <c r="AC206" s="16" t="n"/>
      <c r="AD206" s="16" t="n"/>
      <c r="AE206" s="7">
        <f>IF(B206="","",IF(AND(AA206="合格",AB206="合格",AC206="合格",AD206="合格"),"有效","无效"))</f>
        <v/>
      </c>
    </row>
    <row r="207">
      <c r="A207" s="7">
        <f>IF(B207="","",TEXT(B207,"yyyymmdd")&amp;"-"&amp;TEXT(ROW()-1,"000"))</f>
        <v/>
      </c>
      <c r="B207" s="8" t="n"/>
      <c r="C207" s="9" t="n"/>
      <c r="D207" s="9" t="n"/>
      <c r="E207" s="9" t="n"/>
      <c r="F207" s="9" t="n"/>
      <c r="G207" s="9" t="n"/>
      <c r="H207" s="9" t="n"/>
      <c r="I207" s="9" t="n"/>
      <c r="J207" s="10" t="n"/>
      <c r="K207" s="9" t="n"/>
      <c r="L207" s="9" t="n"/>
      <c r="M207" s="9" t="n"/>
      <c r="N207" s="10" t="n"/>
      <c r="O207" s="9" t="n"/>
      <c r="P207" s="10" t="n"/>
      <c r="Q207" s="10" t="n"/>
      <c r="R207" s="9" t="n"/>
      <c r="S207" s="10" t="n"/>
      <c r="T207" s="10" t="n"/>
      <c r="U207" s="11" t="n"/>
      <c r="V207" s="11" t="n"/>
      <c r="W207" s="12">
        <f>IF(B207="","",B207+3)</f>
        <v/>
      </c>
      <c r="X207" s="12">
        <f>IF(B207="","",B207+5)</f>
        <v/>
      </c>
      <c r="Y207" s="12">
        <f>IF(B207="","",B207+10)</f>
        <v/>
      </c>
      <c r="Z207" s="13">
        <f>IF(B207="","",(--(B207&lt;&gt;"")+--(C207&lt;&gt;"")+--(D207&lt;&gt;"")+--(E207&lt;&gt;"")+--(F207&lt;&gt;"")+--(G207&lt;&gt;"")+--(H207&lt;&gt;"")+--(I207&lt;&gt;"")+--(J207&lt;&gt;"")+--(K207&lt;&gt;"")+--(L207&lt;&gt;"")+--(M207&lt;&gt;"")+--(N207&lt;&gt;"")+--(O207&lt;&gt;"")+--(P207&lt;&gt;"")+--(Q207&lt;&gt;"")+--(R207&lt;&gt;"")+--(S207&lt;&gt;"")+--(T207&lt;&gt;""))/19)</f>
        <v/>
      </c>
      <c r="AA207" s="16" t="n"/>
      <c r="AB207" s="16" t="n"/>
      <c r="AC207" s="16" t="n"/>
      <c r="AD207" s="16" t="n"/>
      <c r="AE207" s="7">
        <f>IF(B207="","",IF(AND(AA207="合格",AB207="合格",AC207="合格",AD207="合格"),"有效","无效"))</f>
        <v/>
      </c>
    </row>
    <row r="208">
      <c r="A208" s="7">
        <f>IF(B208="","",TEXT(B208,"yyyymmdd")&amp;"-"&amp;TEXT(ROW()-1,"000"))</f>
        <v/>
      </c>
      <c r="B208" s="8" t="n"/>
      <c r="C208" s="9" t="n"/>
      <c r="D208" s="9" t="n"/>
      <c r="E208" s="9" t="n"/>
      <c r="F208" s="9" t="n"/>
      <c r="G208" s="9" t="n"/>
      <c r="H208" s="9" t="n"/>
      <c r="I208" s="9" t="n"/>
      <c r="J208" s="10" t="n"/>
      <c r="K208" s="9" t="n"/>
      <c r="L208" s="9" t="n"/>
      <c r="M208" s="9" t="n"/>
      <c r="N208" s="10" t="n"/>
      <c r="O208" s="9" t="n"/>
      <c r="P208" s="10" t="n"/>
      <c r="Q208" s="10" t="n"/>
      <c r="R208" s="9" t="n"/>
      <c r="S208" s="10" t="n"/>
      <c r="T208" s="10" t="n"/>
      <c r="U208" s="11" t="n"/>
      <c r="V208" s="11" t="n"/>
      <c r="W208" s="12">
        <f>IF(B208="","",B208+3)</f>
        <v/>
      </c>
      <c r="X208" s="12">
        <f>IF(B208="","",B208+5)</f>
        <v/>
      </c>
      <c r="Y208" s="12">
        <f>IF(B208="","",B208+10)</f>
        <v/>
      </c>
      <c r="Z208" s="13">
        <f>IF(B208="","",(--(B208&lt;&gt;"")+--(C208&lt;&gt;"")+--(D208&lt;&gt;"")+--(E208&lt;&gt;"")+--(F208&lt;&gt;"")+--(G208&lt;&gt;"")+--(H208&lt;&gt;"")+--(I208&lt;&gt;"")+--(J208&lt;&gt;"")+--(K208&lt;&gt;"")+--(L208&lt;&gt;"")+--(M208&lt;&gt;"")+--(N208&lt;&gt;"")+--(O208&lt;&gt;"")+--(P208&lt;&gt;"")+--(Q208&lt;&gt;"")+--(R208&lt;&gt;"")+--(S208&lt;&gt;"")+--(T208&lt;&gt;""))/19)</f>
        <v/>
      </c>
      <c r="AA208" s="16" t="n"/>
      <c r="AB208" s="16" t="n"/>
      <c r="AC208" s="16" t="n"/>
      <c r="AD208" s="16" t="n"/>
      <c r="AE208" s="7">
        <f>IF(B208="","",IF(AND(AA208="合格",AB208="合格",AC208="合格",AD208="合格"),"有效","无效"))</f>
        <v/>
      </c>
    </row>
    <row r="209">
      <c r="A209" s="7">
        <f>IF(B209="","",TEXT(B209,"yyyymmdd")&amp;"-"&amp;TEXT(ROW()-1,"000"))</f>
        <v/>
      </c>
      <c r="B209" s="8" t="n"/>
      <c r="C209" s="9" t="n"/>
      <c r="D209" s="9" t="n"/>
      <c r="E209" s="9" t="n"/>
      <c r="F209" s="9" t="n"/>
      <c r="G209" s="9" t="n"/>
      <c r="H209" s="9" t="n"/>
      <c r="I209" s="9" t="n"/>
      <c r="J209" s="10" t="n"/>
      <c r="K209" s="9" t="n"/>
      <c r="L209" s="9" t="n"/>
      <c r="M209" s="9" t="n"/>
      <c r="N209" s="10" t="n"/>
      <c r="O209" s="9" t="n"/>
      <c r="P209" s="10" t="n"/>
      <c r="Q209" s="10" t="n"/>
      <c r="R209" s="9" t="n"/>
      <c r="S209" s="10" t="n"/>
      <c r="T209" s="10" t="n"/>
      <c r="U209" s="11" t="n"/>
      <c r="V209" s="11" t="n"/>
      <c r="W209" s="12">
        <f>IF(B209="","",B209+3)</f>
        <v/>
      </c>
      <c r="X209" s="12">
        <f>IF(B209="","",B209+5)</f>
        <v/>
      </c>
      <c r="Y209" s="12">
        <f>IF(B209="","",B209+10)</f>
        <v/>
      </c>
      <c r="Z209" s="13">
        <f>IF(B209="","",(--(B209&lt;&gt;"")+--(C209&lt;&gt;"")+--(D209&lt;&gt;"")+--(E209&lt;&gt;"")+--(F209&lt;&gt;"")+--(G209&lt;&gt;"")+--(H209&lt;&gt;"")+--(I209&lt;&gt;"")+--(J209&lt;&gt;"")+--(K209&lt;&gt;"")+--(L209&lt;&gt;"")+--(M209&lt;&gt;"")+--(N209&lt;&gt;"")+--(O209&lt;&gt;"")+--(P209&lt;&gt;"")+--(Q209&lt;&gt;"")+--(R209&lt;&gt;"")+--(S209&lt;&gt;"")+--(T209&lt;&gt;""))/19)</f>
        <v/>
      </c>
      <c r="AA209" s="16" t="n"/>
      <c r="AB209" s="16" t="n"/>
      <c r="AC209" s="16" t="n"/>
      <c r="AD209" s="16" t="n"/>
      <c r="AE209" s="7">
        <f>IF(B209="","",IF(AND(AA209="合格",AB209="合格",AC209="合格",AD209="合格"),"有效","无效"))</f>
        <v/>
      </c>
    </row>
    <row r="210">
      <c r="A210" s="7">
        <f>IF(B210="","",TEXT(B210,"yyyymmdd")&amp;"-"&amp;TEXT(ROW()-1,"000"))</f>
        <v/>
      </c>
      <c r="B210" s="8" t="n"/>
      <c r="C210" s="9" t="n"/>
      <c r="D210" s="9" t="n"/>
      <c r="E210" s="9" t="n"/>
      <c r="F210" s="9" t="n"/>
      <c r="G210" s="9" t="n"/>
      <c r="H210" s="9" t="n"/>
      <c r="I210" s="9" t="n"/>
      <c r="J210" s="10" t="n"/>
      <c r="K210" s="9" t="n"/>
      <c r="L210" s="9" t="n"/>
      <c r="M210" s="9" t="n"/>
      <c r="N210" s="10" t="n"/>
      <c r="O210" s="9" t="n"/>
      <c r="P210" s="10" t="n"/>
      <c r="Q210" s="10" t="n"/>
      <c r="R210" s="9" t="n"/>
      <c r="S210" s="10" t="n"/>
      <c r="T210" s="10" t="n"/>
      <c r="U210" s="11" t="n"/>
      <c r="V210" s="11" t="n"/>
      <c r="W210" s="12">
        <f>IF(B210="","",B210+3)</f>
        <v/>
      </c>
      <c r="X210" s="12">
        <f>IF(B210="","",B210+5)</f>
        <v/>
      </c>
      <c r="Y210" s="12">
        <f>IF(B210="","",B210+10)</f>
        <v/>
      </c>
      <c r="Z210" s="13">
        <f>IF(B210="","",(--(B210&lt;&gt;"")+--(C210&lt;&gt;"")+--(D210&lt;&gt;"")+--(E210&lt;&gt;"")+--(F210&lt;&gt;"")+--(G210&lt;&gt;"")+--(H210&lt;&gt;"")+--(I210&lt;&gt;"")+--(J210&lt;&gt;"")+--(K210&lt;&gt;"")+--(L210&lt;&gt;"")+--(M210&lt;&gt;"")+--(N210&lt;&gt;"")+--(O210&lt;&gt;"")+--(P210&lt;&gt;"")+--(Q210&lt;&gt;"")+--(R210&lt;&gt;"")+--(S210&lt;&gt;"")+--(T210&lt;&gt;""))/19)</f>
        <v/>
      </c>
      <c r="AA210" s="16" t="n"/>
      <c r="AB210" s="16" t="n"/>
      <c r="AC210" s="16" t="n"/>
      <c r="AD210" s="16" t="n"/>
      <c r="AE210" s="7">
        <f>IF(B210="","",IF(AND(AA210="合格",AB210="合格",AC210="合格",AD210="合格"),"有效","无效"))</f>
        <v/>
      </c>
    </row>
    <row r="211">
      <c r="A211" s="7">
        <f>IF(B211="","",TEXT(B211,"yyyymmdd")&amp;"-"&amp;TEXT(ROW()-1,"000"))</f>
        <v/>
      </c>
      <c r="B211" s="8" t="n"/>
      <c r="C211" s="9" t="n"/>
      <c r="D211" s="9" t="n"/>
      <c r="E211" s="9" t="n"/>
      <c r="F211" s="9" t="n"/>
      <c r="G211" s="9" t="n"/>
      <c r="H211" s="9" t="n"/>
      <c r="I211" s="9" t="n"/>
      <c r="J211" s="10" t="n"/>
      <c r="K211" s="9" t="n"/>
      <c r="L211" s="9" t="n"/>
      <c r="M211" s="9" t="n"/>
      <c r="N211" s="10" t="n"/>
      <c r="O211" s="9" t="n"/>
      <c r="P211" s="10" t="n"/>
      <c r="Q211" s="10" t="n"/>
      <c r="R211" s="9" t="n"/>
      <c r="S211" s="10" t="n"/>
      <c r="T211" s="10" t="n"/>
      <c r="U211" s="11" t="n"/>
      <c r="V211" s="11" t="n"/>
      <c r="W211" s="12">
        <f>IF(B211="","",B211+3)</f>
        <v/>
      </c>
      <c r="X211" s="12">
        <f>IF(B211="","",B211+5)</f>
        <v/>
      </c>
      <c r="Y211" s="12">
        <f>IF(B211="","",B211+10)</f>
        <v/>
      </c>
      <c r="Z211" s="13">
        <f>IF(B211="","",(--(B211&lt;&gt;"")+--(C211&lt;&gt;"")+--(D211&lt;&gt;"")+--(E211&lt;&gt;"")+--(F211&lt;&gt;"")+--(G211&lt;&gt;"")+--(H211&lt;&gt;"")+--(I211&lt;&gt;"")+--(J211&lt;&gt;"")+--(K211&lt;&gt;"")+--(L211&lt;&gt;"")+--(M211&lt;&gt;"")+--(N211&lt;&gt;"")+--(O211&lt;&gt;"")+--(P211&lt;&gt;"")+--(Q211&lt;&gt;"")+--(R211&lt;&gt;"")+--(S211&lt;&gt;"")+--(T211&lt;&gt;""))/19)</f>
        <v/>
      </c>
      <c r="AA211" s="16" t="n"/>
      <c r="AB211" s="16" t="n"/>
      <c r="AC211" s="16" t="n"/>
      <c r="AD211" s="16" t="n"/>
      <c r="AE211" s="7">
        <f>IF(B211="","",IF(AND(AA211="合格",AB211="合格",AC211="合格",AD211="合格"),"有效","无效"))</f>
        <v/>
      </c>
    </row>
    <row r="212">
      <c r="A212" s="7">
        <f>IF(B212="","",TEXT(B212,"yyyymmdd")&amp;"-"&amp;TEXT(ROW()-1,"000"))</f>
        <v/>
      </c>
      <c r="B212" s="8" t="n"/>
      <c r="C212" s="9" t="n"/>
      <c r="D212" s="9" t="n"/>
      <c r="E212" s="9" t="n"/>
      <c r="F212" s="9" t="n"/>
      <c r="G212" s="9" t="n"/>
      <c r="H212" s="9" t="n"/>
      <c r="I212" s="9" t="n"/>
      <c r="J212" s="10" t="n"/>
      <c r="K212" s="9" t="n"/>
      <c r="L212" s="9" t="n"/>
      <c r="M212" s="9" t="n"/>
      <c r="N212" s="10" t="n"/>
      <c r="O212" s="9" t="n"/>
      <c r="P212" s="10" t="n"/>
      <c r="Q212" s="10" t="n"/>
      <c r="R212" s="9" t="n"/>
      <c r="S212" s="10" t="n"/>
      <c r="T212" s="10" t="n"/>
      <c r="U212" s="11" t="n"/>
      <c r="V212" s="11" t="n"/>
      <c r="W212" s="12">
        <f>IF(B212="","",B212+3)</f>
        <v/>
      </c>
      <c r="X212" s="12">
        <f>IF(B212="","",B212+5)</f>
        <v/>
      </c>
      <c r="Y212" s="12">
        <f>IF(B212="","",B212+10)</f>
        <v/>
      </c>
      <c r="Z212" s="13">
        <f>IF(B212="","",(--(B212&lt;&gt;"")+--(C212&lt;&gt;"")+--(D212&lt;&gt;"")+--(E212&lt;&gt;"")+--(F212&lt;&gt;"")+--(G212&lt;&gt;"")+--(H212&lt;&gt;"")+--(I212&lt;&gt;"")+--(J212&lt;&gt;"")+--(K212&lt;&gt;"")+--(L212&lt;&gt;"")+--(M212&lt;&gt;"")+--(N212&lt;&gt;"")+--(O212&lt;&gt;"")+--(P212&lt;&gt;"")+--(Q212&lt;&gt;"")+--(R212&lt;&gt;"")+--(S212&lt;&gt;"")+--(T212&lt;&gt;""))/19)</f>
        <v/>
      </c>
      <c r="AA212" s="16" t="n"/>
      <c r="AB212" s="16" t="n"/>
      <c r="AC212" s="16" t="n"/>
      <c r="AD212" s="16" t="n"/>
      <c r="AE212" s="7">
        <f>IF(B212="","",IF(AND(AA212="合格",AB212="合格",AC212="合格",AD212="合格"),"有效","无效"))</f>
        <v/>
      </c>
    </row>
    <row r="213">
      <c r="A213" s="7">
        <f>IF(B213="","",TEXT(B213,"yyyymmdd")&amp;"-"&amp;TEXT(ROW()-1,"000"))</f>
        <v/>
      </c>
      <c r="B213" s="8" t="n"/>
      <c r="C213" s="9" t="n"/>
      <c r="D213" s="9" t="n"/>
      <c r="E213" s="9" t="n"/>
      <c r="F213" s="9" t="n"/>
      <c r="G213" s="9" t="n"/>
      <c r="H213" s="9" t="n"/>
      <c r="I213" s="9" t="n"/>
      <c r="J213" s="10" t="n"/>
      <c r="K213" s="9" t="n"/>
      <c r="L213" s="9" t="n"/>
      <c r="M213" s="9" t="n"/>
      <c r="N213" s="10" t="n"/>
      <c r="O213" s="9" t="n"/>
      <c r="P213" s="10" t="n"/>
      <c r="Q213" s="10" t="n"/>
      <c r="R213" s="9" t="n"/>
      <c r="S213" s="10" t="n"/>
      <c r="T213" s="10" t="n"/>
      <c r="U213" s="11" t="n"/>
      <c r="V213" s="11" t="n"/>
      <c r="W213" s="12">
        <f>IF(B213="","",B213+3)</f>
        <v/>
      </c>
      <c r="X213" s="12">
        <f>IF(B213="","",B213+5)</f>
        <v/>
      </c>
      <c r="Y213" s="12">
        <f>IF(B213="","",B213+10)</f>
        <v/>
      </c>
      <c r="Z213" s="13">
        <f>IF(B213="","",(--(B213&lt;&gt;"")+--(C213&lt;&gt;"")+--(D213&lt;&gt;"")+--(E213&lt;&gt;"")+--(F213&lt;&gt;"")+--(G213&lt;&gt;"")+--(H213&lt;&gt;"")+--(I213&lt;&gt;"")+--(J213&lt;&gt;"")+--(K213&lt;&gt;"")+--(L213&lt;&gt;"")+--(M213&lt;&gt;"")+--(N213&lt;&gt;"")+--(O213&lt;&gt;"")+--(P213&lt;&gt;"")+--(Q213&lt;&gt;"")+--(R213&lt;&gt;"")+--(S213&lt;&gt;"")+--(T213&lt;&gt;""))/19)</f>
        <v/>
      </c>
      <c r="AA213" s="16" t="n"/>
      <c r="AB213" s="16" t="n"/>
      <c r="AC213" s="16" t="n"/>
      <c r="AD213" s="16" t="n"/>
      <c r="AE213" s="7">
        <f>IF(B213="","",IF(AND(AA213="合格",AB213="合格",AC213="合格",AD213="合格"),"有效","无效"))</f>
        <v/>
      </c>
    </row>
    <row r="214">
      <c r="A214" s="7">
        <f>IF(B214="","",TEXT(B214,"yyyymmdd")&amp;"-"&amp;TEXT(ROW()-1,"000"))</f>
        <v/>
      </c>
      <c r="B214" s="8" t="n"/>
      <c r="C214" s="9" t="n"/>
      <c r="D214" s="9" t="n"/>
      <c r="E214" s="9" t="n"/>
      <c r="F214" s="9" t="n"/>
      <c r="G214" s="9" t="n"/>
      <c r="H214" s="9" t="n"/>
      <c r="I214" s="9" t="n"/>
      <c r="J214" s="10" t="n"/>
      <c r="K214" s="9" t="n"/>
      <c r="L214" s="9" t="n"/>
      <c r="M214" s="9" t="n"/>
      <c r="N214" s="10" t="n"/>
      <c r="O214" s="9" t="n"/>
      <c r="P214" s="10" t="n"/>
      <c r="Q214" s="10" t="n"/>
      <c r="R214" s="9" t="n"/>
      <c r="S214" s="10" t="n"/>
      <c r="T214" s="10" t="n"/>
      <c r="U214" s="11" t="n"/>
      <c r="V214" s="11" t="n"/>
      <c r="W214" s="12">
        <f>IF(B214="","",B214+3)</f>
        <v/>
      </c>
      <c r="X214" s="12">
        <f>IF(B214="","",B214+5)</f>
        <v/>
      </c>
      <c r="Y214" s="12">
        <f>IF(B214="","",B214+10)</f>
        <v/>
      </c>
      <c r="Z214" s="13">
        <f>IF(B214="","",(--(B214&lt;&gt;"")+--(C214&lt;&gt;"")+--(D214&lt;&gt;"")+--(E214&lt;&gt;"")+--(F214&lt;&gt;"")+--(G214&lt;&gt;"")+--(H214&lt;&gt;"")+--(I214&lt;&gt;"")+--(J214&lt;&gt;"")+--(K214&lt;&gt;"")+--(L214&lt;&gt;"")+--(M214&lt;&gt;"")+--(N214&lt;&gt;"")+--(O214&lt;&gt;"")+--(P214&lt;&gt;"")+--(Q214&lt;&gt;"")+--(R214&lt;&gt;"")+--(S214&lt;&gt;"")+--(T214&lt;&gt;""))/19)</f>
        <v/>
      </c>
      <c r="AA214" s="16" t="n"/>
      <c r="AB214" s="16" t="n"/>
      <c r="AC214" s="16" t="n"/>
      <c r="AD214" s="16" t="n"/>
      <c r="AE214" s="7">
        <f>IF(B214="","",IF(AND(AA214="合格",AB214="合格",AC214="合格",AD214="合格"),"有效","无效"))</f>
        <v/>
      </c>
    </row>
    <row r="215">
      <c r="A215" s="7">
        <f>IF(B215="","",TEXT(B215,"yyyymmdd")&amp;"-"&amp;TEXT(ROW()-1,"000"))</f>
        <v/>
      </c>
      <c r="B215" s="8" t="n"/>
      <c r="C215" s="9" t="n"/>
      <c r="D215" s="9" t="n"/>
      <c r="E215" s="9" t="n"/>
      <c r="F215" s="9" t="n"/>
      <c r="G215" s="9" t="n"/>
      <c r="H215" s="9" t="n"/>
      <c r="I215" s="9" t="n"/>
      <c r="J215" s="10" t="n"/>
      <c r="K215" s="9" t="n"/>
      <c r="L215" s="9" t="n"/>
      <c r="M215" s="9" t="n"/>
      <c r="N215" s="10" t="n"/>
      <c r="O215" s="9" t="n"/>
      <c r="P215" s="10" t="n"/>
      <c r="Q215" s="10" t="n"/>
      <c r="R215" s="9" t="n"/>
      <c r="S215" s="10" t="n"/>
      <c r="T215" s="10" t="n"/>
      <c r="U215" s="11" t="n"/>
      <c r="V215" s="11" t="n"/>
      <c r="W215" s="12">
        <f>IF(B215="","",B215+3)</f>
        <v/>
      </c>
      <c r="X215" s="12">
        <f>IF(B215="","",B215+5)</f>
        <v/>
      </c>
      <c r="Y215" s="12">
        <f>IF(B215="","",B215+10)</f>
        <v/>
      </c>
      <c r="Z215" s="13">
        <f>IF(B215="","",(--(B215&lt;&gt;"")+--(C215&lt;&gt;"")+--(D215&lt;&gt;"")+--(E215&lt;&gt;"")+--(F215&lt;&gt;"")+--(G215&lt;&gt;"")+--(H215&lt;&gt;"")+--(I215&lt;&gt;"")+--(J215&lt;&gt;"")+--(K215&lt;&gt;"")+--(L215&lt;&gt;"")+--(M215&lt;&gt;"")+--(N215&lt;&gt;"")+--(O215&lt;&gt;"")+--(P215&lt;&gt;"")+--(Q215&lt;&gt;"")+--(R215&lt;&gt;"")+--(S215&lt;&gt;"")+--(T215&lt;&gt;""))/19)</f>
        <v/>
      </c>
      <c r="AA215" s="16" t="n"/>
      <c r="AB215" s="16" t="n"/>
      <c r="AC215" s="16" t="n"/>
      <c r="AD215" s="16" t="n"/>
      <c r="AE215" s="7">
        <f>IF(B215="","",IF(AND(AA215="合格",AB215="合格",AC215="合格",AD215="合格"),"有效","无效"))</f>
        <v/>
      </c>
    </row>
    <row r="216">
      <c r="A216" s="7">
        <f>IF(B216="","",TEXT(B216,"yyyymmdd")&amp;"-"&amp;TEXT(ROW()-1,"000"))</f>
        <v/>
      </c>
      <c r="B216" s="8" t="n"/>
      <c r="C216" s="9" t="n"/>
      <c r="D216" s="9" t="n"/>
      <c r="E216" s="9" t="n"/>
      <c r="F216" s="9" t="n"/>
      <c r="G216" s="9" t="n"/>
      <c r="H216" s="9" t="n"/>
      <c r="I216" s="9" t="n"/>
      <c r="J216" s="10" t="n"/>
      <c r="K216" s="9" t="n"/>
      <c r="L216" s="9" t="n"/>
      <c r="M216" s="9" t="n"/>
      <c r="N216" s="10" t="n"/>
      <c r="O216" s="9" t="n"/>
      <c r="P216" s="10" t="n"/>
      <c r="Q216" s="10" t="n"/>
      <c r="R216" s="9" t="n"/>
      <c r="S216" s="10" t="n"/>
      <c r="T216" s="10" t="n"/>
      <c r="U216" s="11" t="n"/>
      <c r="V216" s="11" t="n"/>
      <c r="W216" s="12">
        <f>IF(B216="","",B216+3)</f>
        <v/>
      </c>
      <c r="X216" s="12">
        <f>IF(B216="","",B216+5)</f>
        <v/>
      </c>
      <c r="Y216" s="12">
        <f>IF(B216="","",B216+10)</f>
        <v/>
      </c>
      <c r="Z216" s="13">
        <f>IF(B216="","",(--(B216&lt;&gt;"")+--(C216&lt;&gt;"")+--(D216&lt;&gt;"")+--(E216&lt;&gt;"")+--(F216&lt;&gt;"")+--(G216&lt;&gt;"")+--(H216&lt;&gt;"")+--(I216&lt;&gt;"")+--(J216&lt;&gt;"")+--(K216&lt;&gt;"")+--(L216&lt;&gt;"")+--(M216&lt;&gt;"")+--(N216&lt;&gt;"")+--(O216&lt;&gt;"")+--(P216&lt;&gt;"")+--(Q216&lt;&gt;"")+--(R216&lt;&gt;"")+--(S216&lt;&gt;"")+--(T216&lt;&gt;""))/19)</f>
        <v/>
      </c>
      <c r="AA216" s="16" t="n"/>
      <c r="AB216" s="16" t="n"/>
      <c r="AC216" s="16" t="n"/>
      <c r="AD216" s="16" t="n"/>
      <c r="AE216" s="7">
        <f>IF(B216="","",IF(AND(AA216="合格",AB216="合格",AC216="合格",AD216="合格"),"有效","无效"))</f>
        <v/>
      </c>
    </row>
    <row r="217">
      <c r="A217" s="7">
        <f>IF(B217="","",TEXT(B217,"yyyymmdd")&amp;"-"&amp;TEXT(ROW()-1,"000"))</f>
        <v/>
      </c>
      <c r="B217" s="8" t="n"/>
      <c r="C217" s="9" t="n"/>
      <c r="D217" s="9" t="n"/>
      <c r="E217" s="9" t="n"/>
      <c r="F217" s="9" t="n"/>
      <c r="G217" s="9" t="n"/>
      <c r="H217" s="9" t="n"/>
      <c r="I217" s="9" t="n"/>
      <c r="J217" s="10" t="n"/>
      <c r="K217" s="9" t="n"/>
      <c r="L217" s="9" t="n"/>
      <c r="M217" s="9" t="n"/>
      <c r="N217" s="10" t="n"/>
      <c r="O217" s="9" t="n"/>
      <c r="P217" s="10" t="n"/>
      <c r="Q217" s="10" t="n"/>
      <c r="R217" s="9" t="n"/>
      <c r="S217" s="10" t="n"/>
      <c r="T217" s="10" t="n"/>
      <c r="U217" s="11" t="n"/>
      <c r="V217" s="11" t="n"/>
      <c r="W217" s="12">
        <f>IF(B217="","",B217+3)</f>
        <v/>
      </c>
      <c r="X217" s="12">
        <f>IF(B217="","",B217+5)</f>
        <v/>
      </c>
      <c r="Y217" s="12">
        <f>IF(B217="","",B217+10)</f>
        <v/>
      </c>
      <c r="Z217" s="13">
        <f>IF(B217="","",(--(B217&lt;&gt;"")+--(C217&lt;&gt;"")+--(D217&lt;&gt;"")+--(E217&lt;&gt;"")+--(F217&lt;&gt;"")+--(G217&lt;&gt;"")+--(H217&lt;&gt;"")+--(I217&lt;&gt;"")+--(J217&lt;&gt;"")+--(K217&lt;&gt;"")+--(L217&lt;&gt;"")+--(M217&lt;&gt;"")+--(N217&lt;&gt;"")+--(O217&lt;&gt;"")+--(P217&lt;&gt;"")+--(Q217&lt;&gt;"")+--(R217&lt;&gt;"")+--(S217&lt;&gt;"")+--(T217&lt;&gt;""))/19)</f>
        <v/>
      </c>
      <c r="AA217" s="16" t="n"/>
      <c r="AB217" s="16" t="n"/>
      <c r="AC217" s="16" t="n"/>
      <c r="AD217" s="16" t="n"/>
      <c r="AE217" s="7">
        <f>IF(B217="","",IF(AND(AA217="合格",AB217="合格",AC217="合格",AD217="合格"),"有效","无效"))</f>
        <v/>
      </c>
    </row>
    <row r="218">
      <c r="A218" s="7">
        <f>IF(B218="","",TEXT(B218,"yyyymmdd")&amp;"-"&amp;TEXT(ROW()-1,"000"))</f>
        <v/>
      </c>
      <c r="B218" s="8" t="n"/>
      <c r="C218" s="9" t="n"/>
      <c r="D218" s="9" t="n"/>
      <c r="E218" s="9" t="n"/>
      <c r="F218" s="9" t="n"/>
      <c r="G218" s="9" t="n"/>
      <c r="H218" s="9" t="n"/>
      <c r="I218" s="9" t="n"/>
      <c r="J218" s="10" t="n"/>
      <c r="K218" s="9" t="n"/>
      <c r="L218" s="9" t="n"/>
      <c r="M218" s="9" t="n"/>
      <c r="N218" s="10" t="n"/>
      <c r="O218" s="9" t="n"/>
      <c r="P218" s="10" t="n"/>
      <c r="Q218" s="10" t="n"/>
      <c r="R218" s="9" t="n"/>
      <c r="S218" s="10" t="n"/>
      <c r="T218" s="10" t="n"/>
      <c r="U218" s="11" t="n"/>
      <c r="V218" s="11" t="n"/>
      <c r="W218" s="12">
        <f>IF(B218="","",B218+3)</f>
        <v/>
      </c>
      <c r="X218" s="12">
        <f>IF(B218="","",B218+5)</f>
        <v/>
      </c>
      <c r="Y218" s="12">
        <f>IF(B218="","",B218+10)</f>
        <v/>
      </c>
      <c r="Z218" s="13">
        <f>IF(B218="","",(--(B218&lt;&gt;"")+--(C218&lt;&gt;"")+--(D218&lt;&gt;"")+--(E218&lt;&gt;"")+--(F218&lt;&gt;"")+--(G218&lt;&gt;"")+--(H218&lt;&gt;"")+--(I218&lt;&gt;"")+--(J218&lt;&gt;"")+--(K218&lt;&gt;"")+--(L218&lt;&gt;"")+--(M218&lt;&gt;"")+--(N218&lt;&gt;"")+--(O218&lt;&gt;"")+--(P218&lt;&gt;"")+--(Q218&lt;&gt;"")+--(R218&lt;&gt;"")+--(S218&lt;&gt;"")+--(T218&lt;&gt;""))/19)</f>
        <v/>
      </c>
      <c r="AA218" s="16" t="n"/>
      <c r="AB218" s="16" t="n"/>
      <c r="AC218" s="16" t="n"/>
      <c r="AD218" s="16" t="n"/>
      <c r="AE218" s="7">
        <f>IF(B218="","",IF(AND(AA218="合格",AB218="合格",AC218="合格",AD218="合格"),"有效","无效"))</f>
        <v/>
      </c>
    </row>
    <row r="219">
      <c r="A219" s="7">
        <f>IF(B219="","",TEXT(B219,"yyyymmdd")&amp;"-"&amp;TEXT(ROW()-1,"000"))</f>
        <v/>
      </c>
      <c r="B219" s="8" t="n"/>
      <c r="C219" s="9" t="n"/>
      <c r="D219" s="9" t="n"/>
      <c r="E219" s="9" t="n"/>
      <c r="F219" s="9" t="n"/>
      <c r="G219" s="9" t="n"/>
      <c r="H219" s="9" t="n"/>
      <c r="I219" s="9" t="n"/>
      <c r="J219" s="10" t="n"/>
      <c r="K219" s="9" t="n"/>
      <c r="L219" s="9" t="n"/>
      <c r="M219" s="9" t="n"/>
      <c r="N219" s="10" t="n"/>
      <c r="O219" s="9" t="n"/>
      <c r="P219" s="10" t="n"/>
      <c r="Q219" s="10" t="n"/>
      <c r="R219" s="9" t="n"/>
      <c r="S219" s="10" t="n"/>
      <c r="T219" s="10" t="n"/>
      <c r="U219" s="11" t="n"/>
      <c r="V219" s="11" t="n"/>
      <c r="W219" s="12">
        <f>IF(B219="","",B219+3)</f>
        <v/>
      </c>
      <c r="X219" s="12">
        <f>IF(B219="","",B219+5)</f>
        <v/>
      </c>
      <c r="Y219" s="12">
        <f>IF(B219="","",B219+10)</f>
        <v/>
      </c>
      <c r="Z219" s="13">
        <f>IF(B219="","",(--(B219&lt;&gt;"")+--(C219&lt;&gt;"")+--(D219&lt;&gt;"")+--(E219&lt;&gt;"")+--(F219&lt;&gt;"")+--(G219&lt;&gt;"")+--(H219&lt;&gt;"")+--(I219&lt;&gt;"")+--(J219&lt;&gt;"")+--(K219&lt;&gt;"")+--(L219&lt;&gt;"")+--(M219&lt;&gt;"")+--(N219&lt;&gt;"")+--(O219&lt;&gt;"")+--(P219&lt;&gt;"")+--(Q219&lt;&gt;"")+--(R219&lt;&gt;"")+--(S219&lt;&gt;"")+--(T219&lt;&gt;""))/19)</f>
        <v/>
      </c>
      <c r="AA219" s="16" t="n"/>
      <c r="AB219" s="16" t="n"/>
      <c r="AC219" s="16" t="n"/>
      <c r="AD219" s="16" t="n"/>
      <c r="AE219" s="7">
        <f>IF(B219="","",IF(AND(AA219="合格",AB219="合格",AC219="合格",AD219="合格"),"有效","无效"))</f>
        <v/>
      </c>
    </row>
    <row r="220">
      <c r="A220" s="7">
        <f>IF(B220="","",TEXT(B220,"yyyymmdd")&amp;"-"&amp;TEXT(ROW()-1,"000"))</f>
        <v/>
      </c>
      <c r="B220" s="8" t="n"/>
      <c r="C220" s="9" t="n"/>
      <c r="D220" s="9" t="n"/>
      <c r="E220" s="9" t="n"/>
      <c r="F220" s="9" t="n"/>
      <c r="G220" s="9" t="n"/>
      <c r="H220" s="9" t="n"/>
      <c r="I220" s="9" t="n"/>
      <c r="J220" s="10" t="n"/>
      <c r="K220" s="9" t="n"/>
      <c r="L220" s="9" t="n"/>
      <c r="M220" s="9" t="n"/>
      <c r="N220" s="10" t="n"/>
      <c r="O220" s="9" t="n"/>
      <c r="P220" s="10" t="n"/>
      <c r="Q220" s="10" t="n"/>
      <c r="R220" s="9" t="n"/>
      <c r="S220" s="10" t="n"/>
      <c r="T220" s="10" t="n"/>
      <c r="U220" s="11" t="n"/>
      <c r="V220" s="11" t="n"/>
      <c r="W220" s="12">
        <f>IF(B220="","",B220+3)</f>
        <v/>
      </c>
      <c r="X220" s="12">
        <f>IF(B220="","",B220+5)</f>
        <v/>
      </c>
      <c r="Y220" s="12">
        <f>IF(B220="","",B220+10)</f>
        <v/>
      </c>
      <c r="Z220" s="13">
        <f>IF(B220="","",(--(B220&lt;&gt;"")+--(C220&lt;&gt;"")+--(D220&lt;&gt;"")+--(E220&lt;&gt;"")+--(F220&lt;&gt;"")+--(G220&lt;&gt;"")+--(H220&lt;&gt;"")+--(I220&lt;&gt;"")+--(J220&lt;&gt;"")+--(K220&lt;&gt;"")+--(L220&lt;&gt;"")+--(M220&lt;&gt;"")+--(N220&lt;&gt;"")+--(O220&lt;&gt;"")+--(P220&lt;&gt;"")+--(Q220&lt;&gt;"")+--(R220&lt;&gt;"")+--(S220&lt;&gt;"")+--(T220&lt;&gt;""))/19)</f>
        <v/>
      </c>
      <c r="AA220" s="16" t="n"/>
      <c r="AB220" s="16" t="n"/>
      <c r="AC220" s="16" t="n"/>
      <c r="AD220" s="16" t="n"/>
      <c r="AE220" s="7">
        <f>IF(B220="","",IF(AND(AA220="合格",AB220="合格",AC220="合格",AD220="合格"),"有效","无效"))</f>
        <v/>
      </c>
    </row>
    <row r="221">
      <c r="A221" s="7">
        <f>IF(B221="","",TEXT(B221,"yyyymmdd")&amp;"-"&amp;TEXT(ROW()-1,"000"))</f>
        <v/>
      </c>
      <c r="B221" s="8" t="n"/>
      <c r="C221" s="9" t="n"/>
      <c r="D221" s="9" t="n"/>
      <c r="E221" s="9" t="n"/>
      <c r="F221" s="9" t="n"/>
      <c r="G221" s="9" t="n"/>
      <c r="H221" s="9" t="n"/>
      <c r="I221" s="9" t="n"/>
      <c r="J221" s="10" t="n"/>
      <c r="K221" s="9" t="n"/>
      <c r="L221" s="9" t="n"/>
      <c r="M221" s="9" t="n"/>
      <c r="N221" s="10" t="n"/>
      <c r="O221" s="9" t="n"/>
      <c r="P221" s="10" t="n"/>
      <c r="Q221" s="10" t="n"/>
      <c r="R221" s="9" t="n"/>
      <c r="S221" s="10" t="n"/>
      <c r="T221" s="10" t="n"/>
      <c r="U221" s="11" t="n"/>
      <c r="V221" s="11" t="n"/>
      <c r="W221" s="12">
        <f>IF(B221="","",B221+3)</f>
        <v/>
      </c>
      <c r="X221" s="12">
        <f>IF(B221="","",B221+5)</f>
        <v/>
      </c>
      <c r="Y221" s="12">
        <f>IF(B221="","",B221+10)</f>
        <v/>
      </c>
      <c r="Z221" s="13">
        <f>IF(B221="","",(--(B221&lt;&gt;"")+--(C221&lt;&gt;"")+--(D221&lt;&gt;"")+--(E221&lt;&gt;"")+--(F221&lt;&gt;"")+--(G221&lt;&gt;"")+--(H221&lt;&gt;"")+--(I221&lt;&gt;"")+--(J221&lt;&gt;"")+--(K221&lt;&gt;"")+--(L221&lt;&gt;"")+--(M221&lt;&gt;"")+--(N221&lt;&gt;"")+--(O221&lt;&gt;"")+--(P221&lt;&gt;"")+--(Q221&lt;&gt;"")+--(R221&lt;&gt;"")+--(S221&lt;&gt;"")+--(T221&lt;&gt;""))/19)</f>
        <v/>
      </c>
      <c r="AA221" s="16" t="n"/>
      <c r="AB221" s="16" t="n"/>
      <c r="AC221" s="16" t="n"/>
      <c r="AD221" s="16" t="n"/>
      <c r="AE221" s="7">
        <f>IF(B221="","",IF(AND(AA221="合格",AB221="合格",AC221="合格",AD221="合格"),"有效","无效"))</f>
        <v/>
      </c>
    </row>
    <row r="222">
      <c r="A222" s="7">
        <f>IF(B222="","",TEXT(B222,"yyyymmdd")&amp;"-"&amp;TEXT(ROW()-1,"000"))</f>
        <v/>
      </c>
      <c r="B222" s="8" t="n"/>
      <c r="C222" s="9" t="n"/>
      <c r="D222" s="9" t="n"/>
      <c r="E222" s="9" t="n"/>
      <c r="F222" s="9" t="n"/>
      <c r="G222" s="9" t="n"/>
      <c r="H222" s="9" t="n"/>
      <c r="I222" s="9" t="n"/>
      <c r="J222" s="10" t="n"/>
      <c r="K222" s="9" t="n"/>
      <c r="L222" s="9" t="n"/>
      <c r="M222" s="9" t="n"/>
      <c r="N222" s="10" t="n"/>
      <c r="O222" s="9" t="n"/>
      <c r="P222" s="10" t="n"/>
      <c r="Q222" s="10" t="n"/>
      <c r="R222" s="9" t="n"/>
      <c r="S222" s="10" t="n"/>
      <c r="T222" s="10" t="n"/>
      <c r="U222" s="11" t="n"/>
      <c r="V222" s="11" t="n"/>
      <c r="W222" s="12">
        <f>IF(B222="","",B222+3)</f>
        <v/>
      </c>
      <c r="X222" s="12">
        <f>IF(B222="","",B222+5)</f>
        <v/>
      </c>
      <c r="Y222" s="12">
        <f>IF(B222="","",B222+10)</f>
        <v/>
      </c>
      <c r="Z222" s="13">
        <f>IF(B222="","",(--(B222&lt;&gt;"")+--(C222&lt;&gt;"")+--(D222&lt;&gt;"")+--(E222&lt;&gt;"")+--(F222&lt;&gt;"")+--(G222&lt;&gt;"")+--(H222&lt;&gt;"")+--(I222&lt;&gt;"")+--(J222&lt;&gt;"")+--(K222&lt;&gt;"")+--(L222&lt;&gt;"")+--(M222&lt;&gt;"")+--(N222&lt;&gt;"")+--(O222&lt;&gt;"")+--(P222&lt;&gt;"")+--(Q222&lt;&gt;"")+--(R222&lt;&gt;"")+--(S222&lt;&gt;"")+--(T222&lt;&gt;""))/19)</f>
        <v/>
      </c>
      <c r="AA222" s="16" t="n"/>
      <c r="AB222" s="16" t="n"/>
      <c r="AC222" s="16" t="n"/>
      <c r="AD222" s="16" t="n"/>
      <c r="AE222" s="7">
        <f>IF(B222="","",IF(AND(AA222="合格",AB222="合格",AC222="合格",AD222="合格"),"有效","无效"))</f>
        <v/>
      </c>
    </row>
    <row r="223">
      <c r="A223" s="7">
        <f>IF(B223="","",TEXT(B223,"yyyymmdd")&amp;"-"&amp;TEXT(ROW()-1,"000"))</f>
        <v/>
      </c>
      <c r="B223" s="8" t="n"/>
      <c r="C223" s="9" t="n"/>
      <c r="D223" s="9" t="n"/>
      <c r="E223" s="9" t="n"/>
      <c r="F223" s="9" t="n"/>
      <c r="G223" s="9" t="n"/>
      <c r="H223" s="9" t="n"/>
      <c r="I223" s="9" t="n"/>
      <c r="J223" s="10" t="n"/>
      <c r="K223" s="9" t="n"/>
      <c r="L223" s="9" t="n"/>
      <c r="M223" s="9" t="n"/>
      <c r="N223" s="10" t="n"/>
      <c r="O223" s="9" t="n"/>
      <c r="P223" s="10" t="n"/>
      <c r="Q223" s="10" t="n"/>
      <c r="R223" s="9" t="n"/>
      <c r="S223" s="10" t="n"/>
      <c r="T223" s="10" t="n"/>
      <c r="U223" s="11" t="n"/>
      <c r="V223" s="11" t="n"/>
      <c r="W223" s="12">
        <f>IF(B223="","",B223+3)</f>
        <v/>
      </c>
      <c r="X223" s="12">
        <f>IF(B223="","",B223+5)</f>
        <v/>
      </c>
      <c r="Y223" s="12">
        <f>IF(B223="","",B223+10)</f>
        <v/>
      </c>
      <c r="Z223" s="13">
        <f>IF(B223="","",(--(B223&lt;&gt;"")+--(C223&lt;&gt;"")+--(D223&lt;&gt;"")+--(E223&lt;&gt;"")+--(F223&lt;&gt;"")+--(G223&lt;&gt;"")+--(H223&lt;&gt;"")+--(I223&lt;&gt;"")+--(J223&lt;&gt;"")+--(K223&lt;&gt;"")+--(L223&lt;&gt;"")+--(M223&lt;&gt;"")+--(N223&lt;&gt;"")+--(O223&lt;&gt;"")+--(P223&lt;&gt;"")+--(Q223&lt;&gt;"")+--(R223&lt;&gt;"")+--(S223&lt;&gt;"")+--(T223&lt;&gt;""))/19)</f>
        <v/>
      </c>
      <c r="AA223" s="16" t="n"/>
      <c r="AB223" s="16" t="n"/>
      <c r="AC223" s="16" t="n"/>
      <c r="AD223" s="16" t="n"/>
      <c r="AE223" s="7">
        <f>IF(B223="","",IF(AND(AA223="合格",AB223="合格",AC223="合格",AD223="合格"),"有效","无效"))</f>
        <v/>
      </c>
    </row>
    <row r="224">
      <c r="A224" s="7">
        <f>IF(B224="","",TEXT(B224,"yyyymmdd")&amp;"-"&amp;TEXT(ROW()-1,"000"))</f>
        <v/>
      </c>
      <c r="B224" s="8" t="n"/>
      <c r="C224" s="9" t="n"/>
      <c r="D224" s="9" t="n"/>
      <c r="E224" s="9" t="n"/>
      <c r="F224" s="9" t="n"/>
      <c r="G224" s="9" t="n"/>
      <c r="H224" s="9" t="n"/>
      <c r="I224" s="9" t="n"/>
      <c r="J224" s="10" t="n"/>
      <c r="K224" s="9" t="n"/>
      <c r="L224" s="9" t="n"/>
      <c r="M224" s="9" t="n"/>
      <c r="N224" s="10" t="n"/>
      <c r="O224" s="9" t="n"/>
      <c r="P224" s="10" t="n"/>
      <c r="Q224" s="10" t="n"/>
      <c r="R224" s="9" t="n"/>
      <c r="S224" s="10" t="n"/>
      <c r="T224" s="10" t="n"/>
      <c r="U224" s="11" t="n"/>
      <c r="V224" s="11" t="n"/>
      <c r="W224" s="12">
        <f>IF(B224="","",B224+3)</f>
        <v/>
      </c>
      <c r="X224" s="12">
        <f>IF(B224="","",B224+5)</f>
        <v/>
      </c>
      <c r="Y224" s="12">
        <f>IF(B224="","",B224+10)</f>
        <v/>
      </c>
      <c r="Z224" s="13">
        <f>IF(B224="","",(--(B224&lt;&gt;"")+--(C224&lt;&gt;"")+--(D224&lt;&gt;"")+--(E224&lt;&gt;"")+--(F224&lt;&gt;"")+--(G224&lt;&gt;"")+--(H224&lt;&gt;"")+--(I224&lt;&gt;"")+--(J224&lt;&gt;"")+--(K224&lt;&gt;"")+--(L224&lt;&gt;"")+--(M224&lt;&gt;"")+--(N224&lt;&gt;"")+--(O224&lt;&gt;"")+--(P224&lt;&gt;"")+--(Q224&lt;&gt;"")+--(R224&lt;&gt;"")+--(S224&lt;&gt;"")+--(T224&lt;&gt;""))/19)</f>
        <v/>
      </c>
      <c r="AA224" s="16" t="n"/>
      <c r="AB224" s="16" t="n"/>
      <c r="AC224" s="16" t="n"/>
      <c r="AD224" s="16" t="n"/>
      <c r="AE224" s="7">
        <f>IF(B224="","",IF(AND(AA224="合格",AB224="合格",AC224="合格",AD224="合格"),"有效","无效"))</f>
        <v/>
      </c>
    </row>
    <row r="225">
      <c r="A225" s="7">
        <f>IF(B225="","",TEXT(B225,"yyyymmdd")&amp;"-"&amp;TEXT(ROW()-1,"000"))</f>
        <v/>
      </c>
      <c r="B225" s="8" t="n"/>
      <c r="C225" s="9" t="n"/>
      <c r="D225" s="9" t="n"/>
      <c r="E225" s="9" t="n"/>
      <c r="F225" s="9" t="n"/>
      <c r="G225" s="9" t="n"/>
      <c r="H225" s="9" t="n"/>
      <c r="I225" s="9" t="n"/>
      <c r="J225" s="10" t="n"/>
      <c r="K225" s="9" t="n"/>
      <c r="L225" s="9" t="n"/>
      <c r="M225" s="9" t="n"/>
      <c r="N225" s="10" t="n"/>
      <c r="O225" s="9" t="n"/>
      <c r="P225" s="10" t="n"/>
      <c r="Q225" s="10" t="n"/>
      <c r="R225" s="9" t="n"/>
      <c r="S225" s="10" t="n"/>
      <c r="T225" s="10" t="n"/>
      <c r="U225" s="11" t="n"/>
      <c r="V225" s="11" t="n"/>
      <c r="W225" s="12">
        <f>IF(B225="","",B225+3)</f>
        <v/>
      </c>
      <c r="X225" s="12">
        <f>IF(B225="","",B225+5)</f>
        <v/>
      </c>
      <c r="Y225" s="12">
        <f>IF(B225="","",B225+10)</f>
        <v/>
      </c>
      <c r="Z225" s="13">
        <f>IF(B225="","",(--(B225&lt;&gt;"")+--(C225&lt;&gt;"")+--(D225&lt;&gt;"")+--(E225&lt;&gt;"")+--(F225&lt;&gt;"")+--(G225&lt;&gt;"")+--(H225&lt;&gt;"")+--(I225&lt;&gt;"")+--(J225&lt;&gt;"")+--(K225&lt;&gt;"")+--(L225&lt;&gt;"")+--(M225&lt;&gt;"")+--(N225&lt;&gt;"")+--(O225&lt;&gt;"")+--(P225&lt;&gt;"")+--(Q225&lt;&gt;"")+--(R225&lt;&gt;"")+--(S225&lt;&gt;"")+--(T225&lt;&gt;""))/19)</f>
        <v/>
      </c>
      <c r="AA225" s="16" t="n"/>
      <c r="AB225" s="16" t="n"/>
      <c r="AC225" s="16" t="n"/>
      <c r="AD225" s="16" t="n"/>
      <c r="AE225" s="7">
        <f>IF(B225="","",IF(AND(AA225="合格",AB225="合格",AC225="合格",AD225="合格"),"有效","无效"))</f>
        <v/>
      </c>
    </row>
    <row r="226">
      <c r="A226" s="7">
        <f>IF(B226="","",TEXT(B226,"yyyymmdd")&amp;"-"&amp;TEXT(ROW()-1,"000"))</f>
        <v/>
      </c>
      <c r="B226" s="8" t="n"/>
      <c r="C226" s="9" t="n"/>
      <c r="D226" s="9" t="n"/>
      <c r="E226" s="9" t="n"/>
      <c r="F226" s="9" t="n"/>
      <c r="G226" s="9" t="n"/>
      <c r="H226" s="9" t="n"/>
      <c r="I226" s="9" t="n"/>
      <c r="J226" s="10" t="n"/>
      <c r="K226" s="9" t="n"/>
      <c r="L226" s="9" t="n"/>
      <c r="M226" s="9" t="n"/>
      <c r="N226" s="10" t="n"/>
      <c r="O226" s="9" t="n"/>
      <c r="P226" s="10" t="n"/>
      <c r="Q226" s="10" t="n"/>
      <c r="R226" s="9" t="n"/>
      <c r="S226" s="10" t="n"/>
      <c r="T226" s="10" t="n"/>
      <c r="U226" s="11" t="n"/>
      <c r="V226" s="11" t="n"/>
      <c r="W226" s="12">
        <f>IF(B226="","",B226+3)</f>
        <v/>
      </c>
      <c r="X226" s="12">
        <f>IF(B226="","",B226+5)</f>
        <v/>
      </c>
      <c r="Y226" s="12">
        <f>IF(B226="","",B226+10)</f>
        <v/>
      </c>
      <c r="Z226" s="13">
        <f>IF(B226="","",(--(B226&lt;&gt;"")+--(C226&lt;&gt;"")+--(D226&lt;&gt;"")+--(E226&lt;&gt;"")+--(F226&lt;&gt;"")+--(G226&lt;&gt;"")+--(H226&lt;&gt;"")+--(I226&lt;&gt;"")+--(J226&lt;&gt;"")+--(K226&lt;&gt;"")+--(L226&lt;&gt;"")+--(M226&lt;&gt;"")+--(N226&lt;&gt;"")+--(O226&lt;&gt;"")+--(P226&lt;&gt;"")+--(Q226&lt;&gt;"")+--(R226&lt;&gt;"")+--(S226&lt;&gt;"")+--(T226&lt;&gt;""))/19)</f>
        <v/>
      </c>
      <c r="AA226" s="16" t="n"/>
      <c r="AB226" s="16" t="n"/>
      <c r="AC226" s="16" t="n"/>
      <c r="AD226" s="16" t="n"/>
      <c r="AE226" s="7">
        <f>IF(B226="","",IF(AND(AA226="合格",AB226="合格",AC226="合格",AD226="合格"),"有效","无效"))</f>
        <v/>
      </c>
    </row>
    <row r="227">
      <c r="A227" s="7">
        <f>IF(B227="","",TEXT(B227,"yyyymmdd")&amp;"-"&amp;TEXT(ROW()-1,"000"))</f>
        <v/>
      </c>
      <c r="B227" s="8" t="n"/>
      <c r="C227" s="9" t="n"/>
      <c r="D227" s="9" t="n"/>
      <c r="E227" s="9" t="n"/>
      <c r="F227" s="9" t="n"/>
      <c r="G227" s="9" t="n"/>
      <c r="H227" s="9" t="n"/>
      <c r="I227" s="9" t="n"/>
      <c r="J227" s="10" t="n"/>
      <c r="K227" s="9" t="n"/>
      <c r="L227" s="9" t="n"/>
      <c r="M227" s="9" t="n"/>
      <c r="N227" s="10" t="n"/>
      <c r="O227" s="9" t="n"/>
      <c r="P227" s="10" t="n"/>
      <c r="Q227" s="10" t="n"/>
      <c r="R227" s="9" t="n"/>
      <c r="S227" s="10" t="n"/>
      <c r="T227" s="10" t="n"/>
      <c r="U227" s="11" t="n"/>
      <c r="V227" s="11" t="n"/>
      <c r="W227" s="12">
        <f>IF(B227="","",B227+3)</f>
        <v/>
      </c>
      <c r="X227" s="12">
        <f>IF(B227="","",B227+5)</f>
        <v/>
      </c>
      <c r="Y227" s="12">
        <f>IF(B227="","",B227+10)</f>
        <v/>
      </c>
      <c r="Z227" s="13">
        <f>IF(B227="","",(--(B227&lt;&gt;"")+--(C227&lt;&gt;"")+--(D227&lt;&gt;"")+--(E227&lt;&gt;"")+--(F227&lt;&gt;"")+--(G227&lt;&gt;"")+--(H227&lt;&gt;"")+--(I227&lt;&gt;"")+--(J227&lt;&gt;"")+--(K227&lt;&gt;"")+--(L227&lt;&gt;"")+--(M227&lt;&gt;"")+--(N227&lt;&gt;"")+--(O227&lt;&gt;"")+--(P227&lt;&gt;"")+--(Q227&lt;&gt;"")+--(R227&lt;&gt;"")+--(S227&lt;&gt;"")+--(T227&lt;&gt;""))/19)</f>
        <v/>
      </c>
      <c r="AA227" s="16" t="n"/>
      <c r="AB227" s="16" t="n"/>
      <c r="AC227" s="16" t="n"/>
      <c r="AD227" s="16" t="n"/>
      <c r="AE227" s="7">
        <f>IF(B227="","",IF(AND(AA227="合格",AB227="合格",AC227="合格",AD227="合格"),"有效","无效"))</f>
        <v/>
      </c>
    </row>
    <row r="228">
      <c r="A228" s="7">
        <f>IF(B228="","",TEXT(B228,"yyyymmdd")&amp;"-"&amp;TEXT(ROW()-1,"000"))</f>
        <v/>
      </c>
      <c r="B228" s="8" t="n"/>
      <c r="C228" s="9" t="n"/>
      <c r="D228" s="9" t="n"/>
      <c r="E228" s="9" t="n"/>
      <c r="F228" s="9" t="n"/>
      <c r="G228" s="9" t="n"/>
      <c r="H228" s="9" t="n"/>
      <c r="I228" s="9" t="n"/>
      <c r="J228" s="10" t="n"/>
      <c r="K228" s="9" t="n"/>
      <c r="L228" s="9" t="n"/>
      <c r="M228" s="9" t="n"/>
      <c r="N228" s="10" t="n"/>
      <c r="O228" s="9" t="n"/>
      <c r="P228" s="10" t="n"/>
      <c r="Q228" s="10" t="n"/>
      <c r="R228" s="9" t="n"/>
      <c r="S228" s="10" t="n"/>
      <c r="T228" s="10" t="n"/>
      <c r="U228" s="11" t="n"/>
      <c r="V228" s="11" t="n"/>
      <c r="W228" s="12">
        <f>IF(B228="","",B228+3)</f>
        <v/>
      </c>
      <c r="X228" s="12">
        <f>IF(B228="","",B228+5)</f>
        <v/>
      </c>
      <c r="Y228" s="12">
        <f>IF(B228="","",B228+10)</f>
        <v/>
      </c>
      <c r="Z228" s="13">
        <f>IF(B228="","",(--(B228&lt;&gt;"")+--(C228&lt;&gt;"")+--(D228&lt;&gt;"")+--(E228&lt;&gt;"")+--(F228&lt;&gt;"")+--(G228&lt;&gt;"")+--(H228&lt;&gt;"")+--(I228&lt;&gt;"")+--(J228&lt;&gt;"")+--(K228&lt;&gt;"")+--(L228&lt;&gt;"")+--(M228&lt;&gt;"")+--(N228&lt;&gt;"")+--(O228&lt;&gt;"")+--(P228&lt;&gt;"")+--(Q228&lt;&gt;"")+--(R228&lt;&gt;"")+--(S228&lt;&gt;"")+--(T228&lt;&gt;""))/19)</f>
        <v/>
      </c>
      <c r="AA228" s="16" t="n"/>
      <c r="AB228" s="16" t="n"/>
      <c r="AC228" s="16" t="n"/>
      <c r="AD228" s="16" t="n"/>
      <c r="AE228" s="7">
        <f>IF(B228="","",IF(AND(AA228="合格",AB228="合格",AC228="合格",AD228="合格"),"有效","无效"))</f>
        <v/>
      </c>
    </row>
    <row r="229">
      <c r="A229" s="7">
        <f>IF(B229="","",TEXT(B229,"yyyymmdd")&amp;"-"&amp;TEXT(ROW()-1,"000"))</f>
        <v/>
      </c>
      <c r="B229" s="8" t="n"/>
      <c r="C229" s="9" t="n"/>
      <c r="D229" s="9" t="n"/>
      <c r="E229" s="9" t="n"/>
      <c r="F229" s="9" t="n"/>
      <c r="G229" s="9" t="n"/>
      <c r="H229" s="9" t="n"/>
      <c r="I229" s="9" t="n"/>
      <c r="J229" s="10" t="n"/>
      <c r="K229" s="9" t="n"/>
      <c r="L229" s="9" t="n"/>
      <c r="M229" s="9" t="n"/>
      <c r="N229" s="10" t="n"/>
      <c r="O229" s="9" t="n"/>
      <c r="P229" s="10" t="n"/>
      <c r="Q229" s="10" t="n"/>
      <c r="R229" s="9" t="n"/>
      <c r="S229" s="10" t="n"/>
      <c r="T229" s="10" t="n"/>
      <c r="U229" s="11" t="n"/>
      <c r="V229" s="11" t="n"/>
      <c r="W229" s="12">
        <f>IF(B229="","",B229+3)</f>
        <v/>
      </c>
      <c r="X229" s="12">
        <f>IF(B229="","",B229+5)</f>
        <v/>
      </c>
      <c r="Y229" s="12">
        <f>IF(B229="","",B229+10)</f>
        <v/>
      </c>
      <c r="Z229" s="13">
        <f>IF(B229="","",(--(B229&lt;&gt;"")+--(C229&lt;&gt;"")+--(D229&lt;&gt;"")+--(E229&lt;&gt;"")+--(F229&lt;&gt;"")+--(G229&lt;&gt;"")+--(H229&lt;&gt;"")+--(I229&lt;&gt;"")+--(J229&lt;&gt;"")+--(K229&lt;&gt;"")+--(L229&lt;&gt;"")+--(M229&lt;&gt;"")+--(N229&lt;&gt;"")+--(O229&lt;&gt;"")+--(P229&lt;&gt;"")+--(Q229&lt;&gt;"")+--(R229&lt;&gt;"")+--(S229&lt;&gt;"")+--(T229&lt;&gt;""))/19)</f>
        <v/>
      </c>
      <c r="AA229" s="16" t="n"/>
      <c r="AB229" s="16" t="n"/>
      <c r="AC229" s="16" t="n"/>
      <c r="AD229" s="16" t="n"/>
      <c r="AE229" s="7">
        <f>IF(B229="","",IF(AND(AA229="合格",AB229="合格",AC229="合格",AD229="合格"),"有效","无效"))</f>
        <v/>
      </c>
    </row>
    <row r="230">
      <c r="A230" s="7">
        <f>IF(B230="","",TEXT(B230,"yyyymmdd")&amp;"-"&amp;TEXT(ROW()-1,"000"))</f>
        <v/>
      </c>
      <c r="B230" s="8" t="n"/>
      <c r="C230" s="9" t="n"/>
      <c r="D230" s="9" t="n"/>
      <c r="E230" s="9" t="n"/>
      <c r="F230" s="9" t="n"/>
      <c r="G230" s="9" t="n"/>
      <c r="H230" s="9" t="n"/>
      <c r="I230" s="9" t="n"/>
      <c r="J230" s="10" t="n"/>
      <c r="K230" s="9" t="n"/>
      <c r="L230" s="9" t="n"/>
      <c r="M230" s="9" t="n"/>
      <c r="N230" s="10" t="n"/>
      <c r="O230" s="9" t="n"/>
      <c r="P230" s="10" t="n"/>
      <c r="Q230" s="10" t="n"/>
      <c r="R230" s="9" t="n"/>
      <c r="S230" s="10" t="n"/>
      <c r="T230" s="10" t="n"/>
      <c r="U230" s="11" t="n"/>
      <c r="V230" s="11" t="n"/>
      <c r="W230" s="12">
        <f>IF(B230="","",B230+3)</f>
        <v/>
      </c>
      <c r="X230" s="12">
        <f>IF(B230="","",B230+5)</f>
        <v/>
      </c>
      <c r="Y230" s="12">
        <f>IF(B230="","",B230+10)</f>
        <v/>
      </c>
      <c r="Z230" s="13">
        <f>IF(B230="","",(--(B230&lt;&gt;"")+--(C230&lt;&gt;"")+--(D230&lt;&gt;"")+--(E230&lt;&gt;"")+--(F230&lt;&gt;"")+--(G230&lt;&gt;"")+--(H230&lt;&gt;"")+--(I230&lt;&gt;"")+--(J230&lt;&gt;"")+--(K230&lt;&gt;"")+--(L230&lt;&gt;"")+--(M230&lt;&gt;"")+--(N230&lt;&gt;"")+--(O230&lt;&gt;"")+--(P230&lt;&gt;"")+--(Q230&lt;&gt;"")+--(R230&lt;&gt;"")+--(S230&lt;&gt;"")+--(T230&lt;&gt;""))/19)</f>
        <v/>
      </c>
      <c r="AA230" s="16" t="n"/>
      <c r="AB230" s="16" t="n"/>
      <c r="AC230" s="16" t="n"/>
      <c r="AD230" s="16" t="n"/>
      <c r="AE230" s="7">
        <f>IF(B230="","",IF(AND(AA230="合格",AB230="合格",AC230="合格",AD230="合格"),"有效","无效"))</f>
        <v/>
      </c>
    </row>
    <row r="231">
      <c r="A231" s="7">
        <f>IF(B231="","",TEXT(B231,"yyyymmdd")&amp;"-"&amp;TEXT(ROW()-1,"000"))</f>
        <v/>
      </c>
      <c r="B231" s="8" t="n"/>
      <c r="C231" s="9" t="n"/>
      <c r="D231" s="9" t="n"/>
      <c r="E231" s="9" t="n"/>
      <c r="F231" s="9" t="n"/>
      <c r="G231" s="9" t="n"/>
      <c r="H231" s="9" t="n"/>
      <c r="I231" s="9" t="n"/>
      <c r="J231" s="10" t="n"/>
      <c r="K231" s="9" t="n"/>
      <c r="L231" s="9" t="n"/>
      <c r="M231" s="9" t="n"/>
      <c r="N231" s="10" t="n"/>
      <c r="O231" s="9" t="n"/>
      <c r="P231" s="10" t="n"/>
      <c r="Q231" s="10" t="n"/>
      <c r="R231" s="9" t="n"/>
      <c r="S231" s="10" t="n"/>
      <c r="T231" s="10" t="n"/>
      <c r="U231" s="11" t="n"/>
      <c r="V231" s="11" t="n"/>
      <c r="W231" s="12">
        <f>IF(B231="","",B231+3)</f>
        <v/>
      </c>
      <c r="X231" s="12">
        <f>IF(B231="","",B231+5)</f>
        <v/>
      </c>
      <c r="Y231" s="12">
        <f>IF(B231="","",B231+10)</f>
        <v/>
      </c>
      <c r="Z231" s="13">
        <f>IF(B231="","",(--(B231&lt;&gt;"")+--(C231&lt;&gt;"")+--(D231&lt;&gt;"")+--(E231&lt;&gt;"")+--(F231&lt;&gt;"")+--(G231&lt;&gt;"")+--(H231&lt;&gt;"")+--(I231&lt;&gt;"")+--(J231&lt;&gt;"")+--(K231&lt;&gt;"")+--(L231&lt;&gt;"")+--(M231&lt;&gt;"")+--(N231&lt;&gt;"")+--(O231&lt;&gt;"")+--(P231&lt;&gt;"")+--(Q231&lt;&gt;"")+--(R231&lt;&gt;"")+--(S231&lt;&gt;"")+--(T231&lt;&gt;""))/19)</f>
        <v/>
      </c>
      <c r="AA231" s="16" t="n"/>
      <c r="AB231" s="16" t="n"/>
      <c r="AC231" s="16" t="n"/>
      <c r="AD231" s="16" t="n"/>
      <c r="AE231" s="7">
        <f>IF(B231="","",IF(AND(AA231="合格",AB231="合格",AC231="合格",AD231="合格"),"有效","无效"))</f>
        <v/>
      </c>
    </row>
    <row r="232">
      <c r="A232" s="7">
        <f>IF(B232="","",TEXT(B232,"yyyymmdd")&amp;"-"&amp;TEXT(ROW()-1,"000"))</f>
        <v/>
      </c>
      <c r="B232" s="8" t="n"/>
      <c r="C232" s="9" t="n"/>
      <c r="D232" s="9" t="n"/>
      <c r="E232" s="9" t="n"/>
      <c r="F232" s="9" t="n"/>
      <c r="G232" s="9" t="n"/>
      <c r="H232" s="9" t="n"/>
      <c r="I232" s="9" t="n"/>
      <c r="J232" s="10" t="n"/>
      <c r="K232" s="9" t="n"/>
      <c r="L232" s="9" t="n"/>
      <c r="M232" s="9" t="n"/>
      <c r="N232" s="10" t="n"/>
      <c r="O232" s="9" t="n"/>
      <c r="P232" s="10" t="n"/>
      <c r="Q232" s="10" t="n"/>
      <c r="R232" s="9" t="n"/>
      <c r="S232" s="10" t="n"/>
      <c r="T232" s="10" t="n"/>
      <c r="U232" s="11" t="n"/>
      <c r="V232" s="11" t="n"/>
      <c r="W232" s="12">
        <f>IF(B232="","",B232+3)</f>
        <v/>
      </c>
      <c r="X232" s="12">
        <f>IF(B232="","",B232+5)</f>
        <v/>
      </c>
      <c r="Y232" s="12">
        <f>IF(B232="","",B232+10)</f>
        <v/>
      </c>
      <c r="Z232" s="13">
        <f>IF(B232="","",(--(B232&lt;&gt;"")+--(C232&lt;&gt;"")+--(D232&lt;&gt;"")+--(E232&lt;&gt;"")+--(F232&lt;&gt;"")+--(G232&lt;&gt;"")+--(H232&lt;&gt;"")+--(I232&lt;&gt;"")+--(J232&lt;&gt;"")+--(K232&lt;&gt;"")+--(L232&lt;&gt;"")+--(M232&lt;&gt;"")+--(N232&lt;&gt;"")+--(O232&lt;&gt;"")+--(P232&lt;&gt;"")+--(Q232&lt;&gt;"")+--(R232&lt;&gt;"")+--(S232&lt;&gt;"")+--(T232&lt;&gt;""))/19)</f>
        <v/>
      </c>
      <c r="AA232" s="16" t="n"/>
      <c r="AB232" s="16" t="n"/>
      <c r="AC232" s="16" t="n"/>
      <c r="AD232" s="16" t="n"/>
      <c r="AE232" s="7">
        <f>IF(B232="","",IF(AND(AA232="合格",AB232="合格",AC232="合格",AD232="合格"),"有效","无效"))</f>
        <v/>
      </c>
    </row>
    <row r="233">
      <c r="A233" s="7">
        <f>IF(B233="","",TEXT(B233,"yyyymmdd")&amp;"-"&amp;TEXT(ROW()-1,"000"))</f>
        <v/>
      </c>
      <c r="B233" s="8" t="n"/>
      <c r="C233" s="9" t="n"/>
      <c r="D233" s="9" t="n"/>
      <c r="E233" s="9" t="n"/>
      <c r="F233" s="9" t="n"/>
      <c r="G233" s="9" t="n"/>
      <c r="H233" s="9" t="n"/>
      <c r="I233" s="9" t="n"/>
      <c r="J233" s="10" t="n"/>
      <c r="K233" s="9" t="n"/>
      <c r="L233" s="9" t="n"/>
      <c r="M233" s="9" t="n"/>
      <c r="N233" s="10" t="n"/>
      <c r="O233" s="9" t="n"/>
      <c r="P233" s="10" t="n"/>
      <c r="Q233" s="10" t="n"/>
      <c r="R233" s="9" t="n"/>
      <c r="S233" s="10" t="n"/>
      <c r="T233" s="10" t="n"/>
      <c r="U233" s="11" t="n"/>
      <c r="V233" s="11" t="n"/>
      <c r="W233" s="12">
        <f>IF(B233="","",B233+3)</f>
        <v/>
      </c>
      <c r="X233" s="12">
        <f>IF(B233="","",B233+5)</f>
        <v/>
      </c>
      <c r="Y233" s="12">
        <f>IF(B233="","",B233+10)</f>
        <v/>
      </c>
      <c r="Z233" s="13">
        <f>IF(B233="","",(--(B233&lt;&gt;"")+--(C233&lt;&gt;"")+--(D233&lt;&gt;"")+--(E233&lt;&gt;"")+--(F233&lt;&gt;"")+--(G233&lt;&gt;"")+--(H233&lt;&gt;"")+--(I233&lt;&gt;"")+--(J233&lt;&gt;"")+--(K233&lt;&gt;"")+--(L233&lt;&gt;"")+--(M233&lt;&gt;"")+--(N233&lt;&gt;"")+--(O233&lt;&gt;"")+--(P233&lt;&gt;"")+--(Q233&lt;&gt;"")+--(R233&lt;&gt;"")+--(S233&lt;&gt;"")+--(T233&lt;&gt;""))/19)</f>
        <v/>
      </c>
      <c r="AA233" s="16" t="n"/>
      <c r="AB233" s="16" t="n"/>
      <c r="AC233" s="16" t="n"/>
      <c r="AD233" s="16" t="n"/>
      <c r="AE233" s="7">
        <f>IF(B233="","",IF(AND(AA233="合格",AB233="合格",AC233="合格",AD233="合格"),"有效","无效"))</f>
        <v/>
      </c>
    </row>
    <row r="234">
      <c r="A234" s="7">
        <f>IF(B234="","",TEXT(B234,"yyyymmdd")&amp;"-"&amp;TEXT(ROW()-1,"000"))</f>
        <v/>
      </c>
      <c r="B234" s="8" t="n"/>
      <c r="C234" s="9" t="n"/>
      <c r="D234" s="9" t="n"/>
      <c r="E234" s="9" t="n"/>
      <c r="F234" s="9" t="n"/>
      <c r="G234" s="9" t="n"/>
      <c r="H234" s="9" t="n"/>
      <c r="I234" s="9" t="n"/>
      <c r="J234" s="10" t="n"/>
      <c r="K234" s="9" t="n"/>
      <c r="L234" s="9" t="n"/>
      <c r="M234" s="9" t="n"/>
      <c r="N234" s="10" t="n"/>
      <c r="O234" s="9" t="n"/>
      <c r="P234" s="10" t="n"/>
      <c r="Q234" s="10" t="n"/>
      <c r="R234" s="9" t="n"/>
      <c r="S234" s="10" t="n"/>
      <c r="T234" s="10" t="n"/>
      <c r="U234" s="11" t="n"/>
      <c r="V234" s="11" t="n"/>
      <c r="W234" s="12">
        <f>IF(B234="","",B234+3)</f>
        <v/>
      </c>
      <c r="X234" s="12">
        <f>IF(B234="","",B234+5)</f>
        <v/>
      </c>
      <c r="Y234" s="12">
        <f>IF(B234="","",B234+10)</f>
        <v/>
      </c>
      <c r="Z234" s="13">
        <f>IF(B234="","",(--(B234&lt;&gt;"")+--(C234&lt;&gt;"")+--(D234&lt;&gt;"")+--(E234&lt;&gt;"")+--(F234&lt;&gt;"")+--(G234&lt;&gt;"")+--(H234&lt;&gt;"")+--(I234&lt;&gt;"")+--(J234&lt;&gt;"")+--(K234&lt;&gt;"")+--(L234&lt;&gt;"")+--(M234&lt;&gt;"")+--(N234&lt;&gt;"")+--(O234&lt;&gt;"")+--(P234&lt;&gt;"")+--(Q234&lt;&gt;"")+--(R234&lt;&gt;"")+--(S234&lt;&gt;"")+--(T234&lt;&gt;""))/19)</f>
        <v/>
      </c>
      <c r="AA234" s="16" t="n"/>
      <c r="AB234" s="16" t="n"/>
      <c r="AC234" s="16" t="n"/>
      <c r="AD234" s="16" t="n"/>
      <c r="AE234" s="7">
        <f>IF(B234="","",IF(AND(AA234="合格",AB234="合格",AC234="合格",AD234="合格"),"有效","无效"))</f>
        <v/>
      </c>
    </row>
    <row r="235">
      <c r="A235" s="7">
        <f>IF(B235="","",TEXT(B235,"yyyymmdd")&amp;"-"&amp;TEXT(ROW()-1,"000"))</f>
        <v/>
      </c>
      <c r="B235" s="8" t="n"/>
      <c r="C235" s="9" t="n"/>
      <c r="D235" s="9" t="n"/>
      <c r="E235" s="9" t="n"/>
      <c r="F235" s="9" t="n"/>
      <c r="G235" s="9" t="n"/>
      <c r="H235" s="9" t="n"/>
      <c r="I235" s="9" t="n"/>
      <c r="J235" s="10" t="n"/>
      <c r="K235" s="9" t="n"/>
      <c r="L235" s="9" t="n"/>
      <c r="M235" s="9" t="n"/>
      <c r="N235" s="10" t="n"/>
      <c r="O235" s="9" t="n"/>
      <c r="P235" s="10" t="n"/>
      <c r="Q235" s="10" t="n"/>
      <c r="R235" s="9" t="n"/>
      <c r="S235" s="10" t="n"/>
      <c r="T235" s="10" t="n"/>
      <c r="U235" s="11" t="n"/>
      <c r="V235" s="11" t="n"/>
      <c r="W235" s="12">
        <f>IF(B235="","",B235+3)</f>
        <v/>
      </c>
      <c r="X235" s="12">
        <f>IF(B235="","",B235+5)</f>
        <v/>
      </c>
      <c r="Y235" s="12">
        <f>IF(B235="","",B235+10)</f>
        <v/>
      </c>
      <c r="Z235" s="13">
        <f>IF(B235="","",(--(B235&lt;&gt;"")+--(C235&lt;&gt;"")+--(D235&lt;&gt;"")+--(E235&lt;&gt;"")+--(F235&lt;&gt;"")+--(G235&lt;&gt;"")+--(H235&lt;&gt;"")+--(I235&lt;&gt;"")+--(J235&lt;&gt;"")+--(K235&lt;&gt;"")+--(L235&lt;&gt;"")+--(M235&lt;&gt;"")+--(N235&lt;&gt;"")+--(O235&lt;&gt;"")+--(P235&lt;&gt;"")+--(Q235&lt;&gt;"")+--(R235&lt;&gt;"")+--(S235&lt;&gt;"")+--(T235&lt;&gt;""))/19)</f>
        <v/>
      </c>
      <c r="AA235" s="16" t="n"/>
      <c r="AB235" s="16" t="n"/>
      <c r="AC235" s="16" t="n"/>
      <c r="AD235" s="16" t="n"/>
      <c r="AE235" s="7">
        <f>IF(B235="","",IF(AND(AA235="合格",AB235="合格",AC235="合格",AD235="合格"),"有效","无效"))</f>
        <v/>
      </c>
    </row>
    <row r="236">
      <c r="A236" s="7">
        <f>IF(B236="","",TEXT(B236,"yyyymmdd")&amp;"-"&amp;TEXT(ROW()-1,"000"))</f>
        <v/>
      </c>
      <c r="B236" s="8" t="n"/>
      <c r="C236" s="9" t="n"/>
      <c r="D236" s="9" t="n"/>
      <c r="E236" s="9" t="n"/>
      <c r="F236" s="9" t="n"/>
      <c r="G236" s="9" t="n"/>
      <c r="H236" s="9" t="n"/>
      <c r="I236" s="9" t="n"/>
      <c r="J236" s="10" t="n"/>
      <c r="K236" s="9" t="n"/>
      <c r="L236" s="9" t="n"/>
      <c r="M236" s="9" t="n"/>
      <c r="N236" s="10" t="n"/>
      <c r="O236" s="9" t="n"/>
      <c r="P236" s="10" t="n"/>
      <c r="Q236" s="10" t="n"/>
      <c r="R236" s="9" t="n"/>
      <c r="S236" s="10" t="n"/>
      <c r="T236" s="10" t="n"/>
      <c r="U236" s="11" t="n"/>
      <c r="V236" s="11" t="n"/>
      <c r="W236" s="12">
        <f>IF(B236="","",B236+3)</f>
        <v/>
      </c>
      <c r="X236" s="12">
        <f>IF(B236="","",B236+5)</f>
        <v/>
      </c>
      <c r="Y236" s="12">
        <f>IF(B236="","",B236+10)</f>
        <v/>
      </c>
      <c r="Z236" s="13">
        <f>IF(B236="","",(--(B236&lt;&gt;"")+--(C236&lt;&gt;"")+--(D236&lt;&gt;"")+--(E236&lt;&gt;"")+--(F236&lt;&gt;"")+--(G236&lt;&gt;"")+--(H236&lt;&gt;"")+--(I236&lt;&gt;"")+--(J236&lt;&gt;"")+--(K236&lt;&gt;"")+--(L236&lt;&gt;"")+--(M236&lt;&gt;"")+--(N236&lt;&gt;"")+--(O236&lt;&gt;"")+--(P236&lt;&gt;"")+--(Q236&lt;&gt;"")+--(R236&lt;&gt;"")+--(S236&lt;&gt;"")+--(T236&lt;&gt;""))/19)</f>
        <v/>
      </c>
      <c r="AA236" s="16" t="n"/>
      <c r="AB236" s="16" t="n"/>
      <c r="AC236" s="16" t="n"/>
      <c r="AD236" s="16" t="n"/>
      <c r="AE236" s="7">
        <f>IF(B236="","",IF(AND(AA236="合格",AB236="合格",AC236="合格",AD236="合格"),"有效","无效"))</f>
        <v/>
      </c>
    </row>
    <row r="237">
      <c r="A237" s="7">
        <f>IF(B237="","",TEXT(B237,"yyyymmdd")&amp;"-"&amp;TEXT(ROW()-1,"000"))</f>
        <v/>
      </c>
      <c r="B237" s="8" t="n"/>
      <c r="C237" s="9" t="n"/>
      <c r="D237" s="9" t="n"/>
      <c r="E237" s="9" t="n"/>
      <c r="F237" s="9" t="n"/>
      <c r="G237" s="9" t="n"/>
      <c r="H237" s="9" t="n"/>
      <c r="I237" s="9" t="n"/>
      <c r="J237" s="10" t="n"/>
      <c r="K237" s="9" t="n"/>
      <c r="L237" s="9" t="n"/>
      <c r="M237" s="9" t="n"/>
      <c r="N237" s="10" t="n"/>
      <c r="O237" s="9" t="n"/>
      <c r="P237" s="10" t="n"/>
      <c r="Q237" s="10" t="n"/>
      <c r="R237" s="9" t="n"/>
      <c r="S237" s="10" t="n"/>
      <c r="T237" s="10" t="n"/>
      <c r="U237" s="11" t="n"/>
      <c r="V237" s="11" t="n"/>
      <c r="W237" s="12">
        <f>IF(B237="","",B237+3)</f>
        <v/>
      </c>
      <c r="X237" s="12">
        <f>IF(B237="","",B237+5)</f>
        <v/>
      </c>
      <c r="Y237" s="12">
        <f>IF(B237="","",B237+10)</f>
        <v/>
      </c>
      <c r="Z237" s="13">
        <f>IF(B237="","",(--(B237&lt;&gt;"")+--(C237&lt;&gt;"")+--(D237&lt;&gt;"")+--(E237&lt;&gt;"")+--(F237&lt;&gt;"")+--(G237&lt;&gt;"")+--(H237&lt;&gt;"")+--(I237&lt;&gt;"")+--(J237&lt;&gt;"")+--(K237&lt;&gt;"")+--(L237&lt;&gt;"")+--(M237&lt;&gt;"")+--(N237&lt;&gt;"")+--(O237&lt;&gt;"")+--(P237&lt;&gt;"")+--(Q237&lt;&gt;"")+--(R237&lt;&gt;"")+--(S237&lt;&gt;"")+--(T237&lt;&gt;""))/19)</f>
        <v/>
      </c>
      <c r="AA237" s="16" t="n"/>
      <c r="AB237" s="16" t="n"/>
      <c r="AC237" s="16" t="n"/>
      <c r="AD237" s="16" t="n"/>
      <c r="AE237" s="7">
        <f>IF(B237="","",IF(AND(AA237="合格",AB237="合格",AC237="合格",AD237="合格"),"有效","无效"))</f>
        <v/>
      </c>
    </row>
    <row r="238">
      <c r="A238" s="7">
        <f>IF(B238="","",TEXT(B238,"yyyymmdd")&amp;"-"&amp;TEXT(ROW()-1,"000"))</f>
        <v/>
      </c>
      <c r="B238" s="8" t="n"/>
      <c r="C238" s="9" t="n"/>
      <c r="D238" s="9" t="n"/>
      <c r="E238" s="9" t="n"/>
      <c r="F238" s="9" t="n"/>
      <c r="G238" s="9" t="n"/>
      <c r="H238" s="9" t="n"/>
      <c r="I238" s="9" t="n"/>
      <c r="J238" s="10" t="n"/>
      <c r="K238" s="9" t="n"/>
      <c r="L238" s="9" t="n"/>
      <c r="M238" s="9" t="n"/>
      <c r="N238" s="10" t="n"/>
      <c r="O238" s="9" t="n"/>
      <c r="P238" s="10" t="n"/>
      <c r="Q238" s="10" t="n"/>
      <c r="R238" s="9" t="n"/>
      <c r="S238" s="10" t="n"/>
      <c r="T238" s="10" t="n"/>
      <c r="U238" s="11" t="n"/>
      <c r="V238" s="11" t="n"/>
      <c r="W238" s="12">
        <f>IF(B238="","",B238+3)</f>
        <v/>
      </c>
      <c r="X238" s="12">
        <f>IF(B238="","",B238+5)</f>
        <v/>
      </c>
      <c r="Y238" s="12">
        <f>IF(B238="","",B238+10)</f>
        <v/>
      </c>
      <c r="Z238" s="13">
        <f>IF(B238="","",(--(B238&lt;&gt;"")+--(C238&lt;&gt;"")+--(D238&lt;&gt;"")+--(E238&lt;&gt;"")+--(F238&lt;&gt;"")+--(G238&lt;&gt;"")+--(H238&lt;&gt;"")+--(I238&lt;&gt;"")+--(J238&lt;&gt;"")+--(K238&lt;&gt;"")+--(L238&lt;&gt;"")+--(M238&lt;&gt;"")+--(N238&lt;&gt;"")+--(O238&lt;&gt;"")+--(P238&lt;&gt;"")+--(Q238&lt;&gt;"")+--(R238&lt;&gt;"")+--(S238&lt;&gt;"")+--(T238&lt;&gt;""))/19)</f>
        <v/>
      </c>
      <c r="AA238" s="16" t="n"/>
      <c r="AB238" s="16" t="n"/>
      <c r="AC238" s="16" t="n"/>
      <c r="AD238" s="16" t="n"/>
      <c r="AE238" s="7">
        <f>IF(B238="","",IF(AND(AA238="合格",AB238="合格",AC238="合格",AD238="合格"),"有效","无效"))</f>
        <v/>
      </c>
    </row>
    <row r="239">
      <c r="A239" s="7">
        <f>IF(B239="","",TEXT(B239,"yyyymmdd")&amp;"-"&amp;TEXT(ROW()-1,"000"))</f>
        <v/>
      </c>
      <c r="B239" s="8" t="n"/>
      <c r="C239" s="9" t="n"/>
      <c r="D239" s="9" t="n"/>
      <c r="E239" s="9" t="n"/>
      <c r="F239" s="9" t="n"/>
      <c r="G239" s="9" t="n"/>
      <c r="H239" s="9" t="n"/>
      <c r="I239" s="9" t="n"/>
      <c r="J239" s="10" t="n"/>
      <c r="K239" s="9" t="n"/>
      <c r="L239" s="9" t="n"/>
      <c r="M239" s="9" t="n"/>
      <c r="N239" s="10" t="n"/>
      <c r="O239" s="9" t="n"/>
      <c r="P239" s="10" t="n"/>
      <c r="Q239" s="10" t="n"/>
      <c r="R239" s="9" t="n"/>
      <c r="S239" s="10" t="n"/>
      <c r="T239" s="10" t="n"/>
      <c r="U239" s="11" t="n"/>
      <c r="V239" s="11" t="n"/>
      <c r="W239" s="12">
        <f>IF(B239="","",B239+3)</f>
        <v/>
      </c>
      <c r="X239" s="12">
        <f>IF(B239="","",B239+5)</f>
        <v/>
      </c>
      <c r="Y239" s="12">
        <f>IF(B239="","",B239+10)</f>
        <v/>
      </c>
      <c r="Z239" s="13">
        <f>IF(B239="","",(--(B239&lt;&gt;"")+--(C239&lt;&gt;"")+--(D239&lt;&gt;"")+--(E239&lt;&gt;"")+--(F239&lt;&gt;"")+--(G239&lt;&gt;"")+--(H239&lt;&gt;"")+--(I239&lt;&gt;"")+--(J239&lt;&gt;"")+--(K239&lt;&gt;"")+--(L239&lt;&gt;"")+--(M239&lt;&gt;"")+--(N239&lt;&gt;"")+--(O239&lt;&gt;"")+--(P239&lt;&gt;"")+--(Q239&lt;&gt;"")+--(R239&lt;&gt;"")+--(S239&lt;&gt;"")+--(T239&lt;&gt;""))/19)</f>
        <v/>
      </c>
      <c r="AA239" s="16" t="n"/>
      <c r="AB239" s="16" t="n"/>
      <c r="AC239" s="16" t="n"/>
      <c r="AD239" s="16" t="n"/>
      <c r="AE239" s="7">
        <f>IF(B239="","",IF(AND(AA239="合格",AB239="合格",AC239="合格",AD239="合格"),"有效","无效"))</f>
        <v/>
      </c>
    </row>
    <row r="240">
      <c r="A240" s="7">
        <f>IF(B240="","",TEXT(B240,"yyyymmdd")&amp;"-"&amp;TEXT(ROW()-1,"000"))</f>
        <v/>
      </c>
      <c r="B240" s="8" t="n"/>
      <c r="C240" s="9" t="n"/>
      <c r="D240" s="9" t="n"/>
      <c r="E240" s="9" t="n"/>
      <c r="F240" s="9" t="n"/>
      <c r="G240" s="9" t="n"/>
      <c r="H240" s="9" t="n"/>
      <c r="I240" s="9" t="n"/>
      <c r="J240" s="10" t="n"/>
      <c r="K240" s="9" t="n"/>
      <c r="L240" s="9" t="n"/>
      <c r="M240" s="9" t="n"/>
      <c r="N240" s="10" t="n"/>
      <c r="O240" s="9" t="n"/>
      <c r="P240" s="10" t="n"/>
      <c r="Q240" s="10" t="n"/>
      <c r="R240" s="9" t="n"/>
      <c r="S240" s="10" t="n"/>
      <c r="T240" s="10" t="n"/>
      <c r="U240" s="11" t="n"/>
      <c r="V240" s="11" t="n"/>
      <c r="W240" s="12">
        <f>IF(B240="","",B240+3)</f>
        <v/>
      </c>
      <c r="X240" s="12">
        <f>IF(B240="","",B240+5)</f>
        <v/>
      </c>
      <c r="Y240" s="12">
        <f>IF(B240="","",B240+10)</f>
        <v/>
      </c>
      <c r="Z240" s="13">
        <f>IF(B240="","",(--(B240&lt;&gt;"")+--(C240&lt;&gt;"")+--(D240&lt;&gt;"")+--(E240&lt;&gt;"")+--(F240&lt;&gt;"")+--(G240&lt;&gt;"")+--(H240&lt;&gt;"")+--(I240&lt;&gt;"")+--(J240&lt;&gt;"")+--(K240&lt;&gt;"")+--(L240&lt;&gt;"")+--(M240&lt;&gt;"")+--(N240&lt;&gt;"")+--(O240&lt;&gt;"")+--(P240&lt;&gt;"")+--(Q240&lt;&gt;"")+--(R240&lt;&gt;"")+--(S240&lt;&gt;"")+--(T240&lt;&gt;""))/19)</f>
        <v/>
      </c>
      <c r="AA240" s="16" t="n"/>
      <c r="AB240" s="16" t="n"/>
      <c r="AC240" s="16" t="n"/>
      <c r="AD240" s="16" t="n"/>
      <c r="AE240" s="7">
        <f>IF(B240="","",IF(AND(AA240="合格",AB240="合格",AC240="合格",AD240="合格"),"有效","无效"))</f>
        <v/>
      </c>
    </row>
    <row r="241">
      <c r="A241" s="7">
        <f>IF(B241="","",TEXT(B241,"yyyymmdd")&amp;"-"&amp;TEXT(ROW()-1,"000"))</f>
        <v/>
      </c>
      <c r="B241" s="8" t="n"/>
      <c r="C241" s="9" t="n"/>
      <c r="D241" s="9" t="n"/>
      <c r="E241" s="9" t="n"/>
      <c r="F241" s="9" t="n"/>
      <c r="G241" s="9" t="n"/>
      <c r="H241" s="9" t="n"/>
      <c r="I241" s="9" t="n"/>
      <c r="J241" s="10" t="n"/>
      <c r="K241" s="9" t="n"/>
      <c r="L241" s="9" t="n"/>
      <c r="M241" s="9" t="n"/>
      <c r="N241" s="10" t="n"/>
      <c r="O241" s="9" t="n"/>
      <c r="P241" s="10" t="n"/>
      <c r="Q241" s="10" t="n"/>
      <c r="R241" s="9" t="n"/>
      <c r="S241" s="10" t="n"/>
      <c r="T241" s="10" t="n"/>
      <c r="U241" s="11" t="n"/>
      <c r="V241" s="11" t="n"/>
      <c r="W241" s="12">
        <f>IF(B241="","",B241+3)</f>
        <v/>
      </c>
      <c r="X241" s="12">
        <f>IF(B241="","",B241+5)</f>
        <v/>
      </c>
      <c r="Y241" s="12">
        <f>IF(B241="","",B241+10)</f>
        <v/>
      </c>
      <c r="Z241" s="13">
        <f>IF(B241="","",(--(B241&lt;&gt;"")+--(C241&lt;&gt;"")+--(D241&lt;&gt;"")+--(E241&lt;&gt;"")+--(F241&lt;&gt;"")+--(G241&lt;&gt;"")+--(H241&lt;&gt;"")+--(I241&lt;&gt;"")+--(J241&lt;&gt;"")+--(K241&lt;&gt;"")+--(L241&lt;&gt;"")+--(M241&lt;&gt;"")+--(N241&lt;&gt;"")+--(O241&lt;&gt;"")+--(P241&lt;&gt;"")+--(Q241&lt;&gt;"")+--(R241&lt;&gt;"")+--(S241&lt;&gt;"")+--(T241&lt;&gt;""))/19)</f>
        <v/>
      </c>
      <c r="AA241" s="16" t="n"/>
      <c r="AB241" s="16" t="n"/>
      <c r="AC241" s="16" t="n"/>
      <c r="AD241" s="16" t="n"/>
      <c r="AE241" s="7">
        <f>IF(B241="","",IF(AND(AA241="合格",AB241="合格",AC241="合格",AD241="合格"),"有效","无效"))</f>
        <v/>
      </c>
    </row>
    <row r="242">
      <c r="A242" s="7">
        <f>IF(B242="","",TEXT(B242,"yyyymmdd")&amp;"-"&amp;TEXT(ROW()-1,"000"))</f>
        <v/>
      </c>
      <c r="B242" s="8" t="n"/>
      <c r="C242" s="9" t="n"/>
      <c r="D242" s="9" t="n"/>
      <c r="E242" s="9" t="n"/>
      <c r="F242" s="9" t="n"/>
      <c r="G242" s="9" t="n"/>
      <c r="H242" s="9" t="n"/>
      <c r="I242" s="9" t="n"/>
      <c r="J242" s="10" t="n"/>
      <c r="K242" s="9" t="n"/>
      <c r="L242" s="9" t="n"/>
      <c r="M242" s="9" t="n"/>
      <c r="N242" s="10" t="n"/>
      <c r="O242" s="9" t="n"/>
      <c r="P242" s="10" t="n"/>
      <c r="Q242" s="10" t="n"/>
      <c r="R242" s="9" t="n"/>
      <c r="S242" s="10" t="n"/>
      <c r="T242" s="10" t="n"/>
      <c r="U242" s="11" t="n"/>
      <c r="V242" s="11" t="n"/>
      <c r="W242" s="12">
        <f>IF(B242="","",B242+3)</f>
        <v/>
      </c>
      <c r="X242" s="12">
        <f>IF(B242="","",B242+5)</f>
        <v/>
      </c>
      <c r="Y242" s="12">
        <f>IF(B242="","",B242+10)</f>
        <v/>
      </c>
      <c r="Z242" s="13">
        <f>IF(B242="","",(--(B242&lt;&gt;"")+--(C242&lt;&gt;"")+--(D242&lt;&gt;"")+--(E242&lt;&gt;"")+--(F242&lt;&gt;"")+--(G242&lt;&gt;"")+--(H242&lt;&gt;"")+--(I242&lt;&gt;"")+--(J242&lt;&gt;"")+--(K242&lt;&gt;"")+--(L242&lt;&gt;"")+--(M242&lt;&gt;"")+--(N242&lt;&gt;"")+--(O242&lt;&gt;"")+--(P242&lt;&gt;"")+--(Q242&lt;&gt;"")+--(R242&lt;&gt;"")+--(S242&lt;&gt;"")+--(T242&lt;&gt;""))/19)</f>
        <v/>
      </c>
      <c r="AA242" s="16" t="n"/>
      <c r="AB242" s="16" t="n"/>
      <c r="AC242" s="16" t="n"/>
      <c r="AD242" s="16" t="n"/>
      <c r="AE242" s="7">
        <f>IF(B242="","",IF(AND(AA242="合格",AB242="合格",AC242="合格",AD242="合格"),"有效","无效"))</f>
        <v/>
      </c>
    </row>
    <row r="243">
      <c r="A243" s="7">
        <f>IF(B243="","",TEXT(B243,"yyyymmdd")&amp;"-"&amp;TEXT(ROW()-1,"000"))</f>
        <v/>
      </c>
      <c r="B243" s="8" t="n"/>
      <c r="C243" s="9" t="n"/>
      <c r="D243" s="9" t="n"/>
      <c r="E243" s="9" t="n"/>
      <c r="F243" s="9" t="n"/>
      <c r="G243" s="9" t="n"/>
      <c r="H243" s="9" t="n"/>
      <c r="I243" s="9" t="n"/>
      <c r="J243" s="10" t="n"/>
      <c r="K243" s="9" t="n"/>
      <c r="L243" s="9" t="n"/>
      <c r="M243" s="9" t="n"/>
      <c r="N243" s="10" t="n"/>
      <c r="O243" s="9" t="n"/>
      <c r="P243" s="10" t="n"/>
      <c r="Q243" s="10" t="n"/>
      <c r="R243" s="9" t="n"/>
      <c r="S243" s="10" t="n"/>
      <c r="T243" s="10" t="n"/>
      <c r="U243" s="11" t="n"/>
      <c r="V243" s="11" t="n"/>
      <c r="W243" s="12">
        <f>IF(B243="","",B243+3)</f>
        <v/>
      </c>
      <c r="X243" s="12">
        <f>IF(B243="","",B243+5)</f>
        <v/>
      </c>
      <c r="Y243" s="12">
        <f>IF(B243="","",B243+10)</f>
        <v/>
      </c>
      <c r="Z243" s="13">
        <f>IF(B243="","",(--(B243&lt;&gt;"")+--(C243&lt;&gt;"")+--(D243&lt;&gt;"")+--(E243&lt;&gt;"")+--(F243&lt;&gt;"")+--(G243&lt;&gt;"")+--(H243&lt;&gt;"")+--(I243&lt;&gt;"")+--(J243&lt;&gt;"")+--(K243&lt;&gt;"")+--(L243&lt;&gt;"")+--(M243&lt;&gt;"")+--(N243&lt;&gt;"")+--(O243&lt;&gt;"")+--(P243&lt;&gt;"")+--(Q243&lt;&gt;"")+--(R243&lt;&gt;"")+--(S243&lt;&gt;"")+--(T243&lt;&gt;""))/19)</f>
        <v/>
      </c>
      <c r="AA243" s="16" t="n"/>
      <c r="AB243" s="16" t="n"/>
      <c r="AC243" s="16" t="n"/>
      <c r="AD243" s="16" t="n"/>
      <c r="AE243" s="7">
        <f>IF(B243="","",IF(AND(AA243="合格",AB243="合格",AC243="合格",AD243="合格"),"有效","无效"))</f>
        <v/>
      </c>
    </row>
    <row r="244">
      <c r="A244" s="7">
        <f>IF(B244="","",TEXT(B244,"yyyymmdd")&amp;"-"&amp;TEXT(ROW()-1,"000"))</f>
        <v/>
      </c>
      <c r="B244" s="8" t="n"/>
      <c r="C244" s="9" t="n"/>
      <c r="D244" s="9" t="n"/>
      <c r="E244" s="9" t="n"/>
      <c r="F244" s="9" t="n"/>
      <c r="G244" s="9" t="n"/>
      <c r="H244" s="9" t="n"/>
      <c r="I244" s="9" t="n"/>
      <c r="J244" s="10" t="n"/>
      <c r="K244" s="9" t="n"/>
      <c r="L244" s="9" t="n"/>
      <c r="M244" s="9" t="n"/>
      <c r="N244" s="10" t="n"/>
      <c r="O244" s="9" t="n"/>
      <c r="P244" s="10" t="n"/>
      <c r="Q244" s="10" t="n"/>
      <c r="R244" s="9" t="n"/>
      <c r="S244" s="10" t="n"/>
      <c r="T244" s="10" t="n"/>
      <c r="U244" s="11" t="n"/>
      <c r="V244" s="11" t="n"/>
      <c r="W244" s="12">
        <f>IF(B244="","",B244+3)</f>
        <v/>
      </c>
      <c r="X244" s="12">
        <f>IF(B244="","",B244+5)</f>
        <v/>
      </c>
      <c r="Y244" s="12">
        <f>IF(B244="","",B244+10)</f>
        <v/>
      </c>
      <c r="Z244" s="13">
        <f>IF(B244="","",(--(B244&lt;&gt;"")+--(C244&lt;&gt;"")+--(D244&lt;&gt;"")+--(E244&lt;&gt;"")+--(F244&lt;&gt;"")+--(G244&lt;&gt;"")+--(H244&lt;&gt;"")+--(I244&lt;&gt;"")+--(J244&lt;&gt;"")+--(K244&lt;&gt;"")+--(L244&lt;&gt;"")+--(M244&lt;&gt;"")+--(N244&lt;&gt;"")+--(O244&lt;&gt;"")+--(P244&lt;&gt;"")+--(Q244&lt;&gt;"")+--(R244&lt;&gt;"")+--(S244&lt;&gt;"")+--(T244&lt;&gt;""))/19)</f>
        <v/>
      </c>
      <c r="AA244" s="16" t="n"/>
      <c r="AB244" s="16" t="n"/>
      <c r="AC244" s="16" t="n"/>
      <c r="AD244" s="16" t="n"/>
      <c r="AE244" s="7">
        <f>IF(B244="","",IF(AND(AA244="合格",AB244="合格",AC244="合格",AD244="合格"),"有效","无效"))</f>
        <v/>
      </c>
    </row>
    <row r="245">
      <c r="A245" s="7">
        <f>IF(B245="","",TEXT(B245,"yyyymmdd")&amp;"-"&amp;TEXT(ROW()-1,"000"))</f>
        <v/>
      </c>
      <c r="B245" s="8" t="n"/>
      <c r="C245" s="9" t="n"/>
      <c r="D245" s="9" t="n"/>
      <c r="E245" s="9" t="n"/>
      <c r="F245" s="9" t="n"/>
      <c r="G245" s="9" t="n"/>
      <c r="H245" s="9" t="n"/>
      <c r="I245" s="9" t="n"/>
      <c r="J245" s="10" t="n"/>
      <c r="K245" s="9" t="n"/>
      <c r="L245" s="9" t="n"/>
      <c r="M245" s="9" t="n"/>
      <c r="N245" s="10" t="n"/>
      <c r="O245" s="9" t="n"/>
      <c r="P245" s="10" t="n"/>
      <c r="Q245" s="10" t="n"/>
      <c r="R245" s="9" t="n"/>
      <c r="S245" s="10" t="n"/>
      <c r="T245" s="10" t="n"/>
      <c r="U245" s="11" t="n"/>
      <c r="V245" s="11" t="n"/>
      <c r="W245" s="12">
        <f>IF(B245="","",B245+3)</f>
        <v/>
      </c>
      <c r="X245" s="12">
        <f>IF(B245="","",B245+5)</f>
        <v/>
      </c>
      <c r="Y245" s="12">
        <f>IF(B245="","",B245+10)</f>
        <v/>
      </c>
      <c r="Z245" s="13">
        <f>IF(B245="","",(--(B245&lt;&gt;"")+--(C245&lt;&gt;"")+--(D245&lt;&gt;"")+--(E245&lt;&gt;"")+--(F245&lt;&gt;"")+--(G245&lt;&gt;"")+--(H245&lt;&gt;"")+--(I245&lt;&gt;"")+--(J245&lt;&gt;"")+--(K245&lt;&gt;"")+--(L245&lt;&gt;"")+--(M245&lt;&gt;"")+--(N245&lt;&gt;"")+--(O245&lt;&gt;"")+--(P245&lt;&gt;"")+--(Q245&lt;&gt;"")+--(R245&lt;&gt;"")+--(S245&lt;&gt;"")+--(T245&lt;&gt;""))/19)</f>
        <v/>
      </c>
      <c r="AA245" s="16" t="n"/>
      <c r="AB245" s="16" t="n"/>
      <c r="AC245" s="16" t="n"/>
      <c r="AD245" s="16" t="n"/>
      <c r="AE245" s="7">
        <f>IF(B245="","",IF(AND(AA245="合格",AB245="合格",AC245="合格",AD245="合格"),"有效","无效"))</f>
        <v/>
      </c>
    </row>
    <row r="246">
      <c r="A246" s="7">
        <f>IF(B246="","",TEXT(B246,"yyyymmdd")&amp;"-"&amp;TEXT(ROW()-1,"000"))</f>
        <v/>
      </c>
      <c r="B246" s="8" t="n"/>
      <c r="C246" s="9" t="n"/>
      <c r="D246" s="9" t="n"/>
      <c r="E246" s="9" t="n"/>
      <c r="F246" s="9" t="n"/>
      <c r="G246" s="9" t="n"/>
      <c r="H246" s="9" t="n"/>
      <c r="I246" s="9" t="n"/>
      <c r="J246" s="10" t="n"/>
      <c r="K246" s="9" t="n"/>
      <c r="L246" s="9" t="n"/>
      <c r="M246" s="9" t="n"/>
      <c r="N246" s="10" t="n"/>
      <c r="O246" s="9" t="n"/>
      <c r="P246" s="10" t="n"/>
      <c r="Q246" s="10" t="n"/>
      <c r="R246" s="9" t="n"/>
      <c r="S246" s="10" t="n"/>
      <c r="T246" s="10" t="n"/>
      <c r="U246" s="11" t="n"/>
      <c r="V246" s="11" t="n"/>
      <c r="W246" s="12">
        <f>IF(B246="","",B246+3)</f>
        <v/>
      </c>
      <c r="X246" s="12">
        <f>IF(B246="","",B246+5)</f>
        <v/>
      </c>
      <c r="Y246" s="12">
        <f>IF(B246="","",B246+10)</f>
        <v/>
      </c>
      <c r="Z246" s="13">
        <f>IF(B246="","",(--(B246&lt;&gt;"")+--(C246&lt;&gt;"")+--(D246&lt;&gt;"")+--(E246&lt;&gt;"")+--(F246&lt;&gt;"")+--(G246&lt;&gt;"")+--(H246&lt;&gt;"")+--(I246&lt;&gt;"")+--(J246&lt;&gt;"")+--(K246&lt;&gt;"")+--(L246&lt;&gt;"")+--(M246&lt;&gt;"")+--(N246&lt;&gt;"")+--(O246&lt;&gt;"")+--(P246&lt;&gt;"")+--(Q246&lt;&gt;"")+--(R246&lt;&gt;"")+--(S246&lt;&gt;"")+--(T246&lt;&gt;""))/19)</f>
        <v/>
      </c>
      <c r="AA246" s="16" t="n"/>
      <c r="AB246" s="16" t="n"/>
      <c r="AC246" s="16" t="n"/>
      <c r="AD246" s="16" t="n"/>
      <c r="AE246" s="7">
        <f>IF(B246="","",IF(AND(AA246="合格",AB246="合格",AC246="合格",AD246="合格"),"有效","无效"))</f>
        <v/>
      </c>
    </row>
    <row r="247">
      <c r="A247" s="7">
        <f>IF(B247="","",TEXT(B247,"yyyymmdd")&amp;"-"&amp;TEXT(ROW()-1,"000"))</f>
        <v/>
      </c>
      <c r="B247" s="8" t="n"/>
      <c r="C247" s="9" t="n"/>
      <c r="D247" s="9" t="n"/>
      <c r="E247" s="9" t="n"/>
      <c r="F247" s="9" t="n"/>
      <c r="G247" s="9" t="n"/>
      <c r="H247" s="9" t="n"/>
      <c r="I247" s="9" t="n"/>
      <c r="J247" s="10" t="n"/>
      <c r="K247" s="9" t="n"/>
      <c r="L247" s="9" t="n"/>
      <c r="M247" s="9" t="n"/>
      <c r="N247" s="10" t="n"/>
      <c r="O247" s="9" t="n"/>
      <c r="P247" s="10" t="n"/>
      <c r="Q247" s="10" t="n"/>
      <c r="R247" s="9" t="n"/>
      <c r="S247" s="10" t="n"/>
      <c r="T247" s="10" t="n"/>
      <c r="U247" s="11" t="n"/>
      <c r="V247" s="11" t="n"/>
      <c r="W247" s="12">
        <f>IF(B247="","",B247+3)</f>
        <v/>
      </c>
      <c r="X247" s="12">
        <f>IF(B247="","",B247+5)</f>
        <v/>
      </c>
      <c r="Y247" s="12">
        <f>IF(B247="","",B247+10)</f>
        <v/>
      </c>
      <c r="Z247" s="13">
        <f>IF(B247="","",(--(B247&lt;&gt;"")+--(C247&lt;&gt;"")+--(D247&lt;&gt;"")+--(E247&lt;&gt;"")+--(F247&lt;&gt;"")+--(G247&lt;&gt;"")+--(H247&lt;&gt;"")+--(I247&lt;&gt;"")+--(J247&lt;&gt;"")+--(K247&lt;&gt;"")+--(L247&lt;&gt;"")+--(M247&lt;&gt;"")+--(N247&lt;&gt;"")+--(O247&lt;&gt;"")+--(P247&lt;&gt;"")+--(Q247&lt;&gt;"")+--(R247&lt;&gt;"")+--(S247&lt;&gt;"")+--(T247&lt;&gt;""))/19)</f>
        <v/>
      </c>
      <c r="AA247" s="16" t="n"/>
      <c r="AB247" s="16" t="n"/>
      <c r="AC247" s="16" t="n"/>
      <c r="AD247" s="16" t="n"/>
      <c r="AE247" s="7">
        <f>IF(B247="","",IF(AND(AA247="合格",AB247="合格",AC247="合格",AD247="合格"),"有效","无效"))</f>
        <v/>
      </c>
    </row>
    <row r="248">
      <c r="A248" s="7">
        <f>IF(B248="","",TEXT(B248,"yyyymmdd")&amp;"-"&amp;TEXT(ROW()-1,"000"))</f>
        <v/>
      </c>
      <c r="B248" s="8" t="n"/>
      <c r="C248" s="9" t="n"/>
      <c r="D248" s="9" t="n"/>
      <c r="E248" s="9" t="n"/>
      <c r="F248" s="9" t="n"/>
      <c r="G248" s="9" t="n"/>
      <c r="H248" s="9" t="n"/>
      <c r="I248" s="9" t="n"/>
      <c r="J248" s="10" t="n"/>
      <c r="K248" s="9" t="n"/>
      <c r="L248" s="9" t="n"/>
      <c r="M248" s="9" t="n"/>
      <c r="N248" s="10" t="n"/>
      <c r="O248" s="9" t="n"/>
      <c r="P248" s="10" t="n"/>
      <c r="Q248" s="10" t="n"/>
      <c r="R248" s="9" t="n"/>
      <c r="S248" s="10" t="n"/>
      <c r="T248" s="10" t="n"/>
      <c r="U248" s="11" t="n"/>
      <c r="V248" s="11" t="n"/>
      <c r="W248" s="12">
        <f>IF(B248="","",B248+3)</f>
        <v/>
      </c>
      <c r="X248" s="12">
        <f>IF(B248="","",B248+5)</f>
        <v/>
      </c>
      <c r="Y248" s="12">
        <f>IF(B248="","",B248+10)</f>
        <v/>
      </c>
      <c r="Z248" s="13">
        <f>IF(B248="","",(--(B248&lt;&gt;"")+--(C248&lt;&gt;"")+--(D248&lt;&gt;"")+--(E248&lt;&gt;"")+--(F248&lt;&gt;"")+--(G248&lt;&gt;"")+--(H248&lt;&gt;"")+--(I248&lt;&gt;"")+--(J248&lt;&gt;"")+--(K248&lt;&gt;"")+--(L248&lt;&gt;"")+--(M248&lt;&gt;"")+--(N248&lt;&gt;"")+--(O248&lt;&gt;"")+--(P248&lt;&gt;"")+--(Q248&lt;&gt;"")+--(R248&lt;&gt;"")+--(S248&lt;&gt;"")+--(T248&lt;&gt;""))/19)</f>
        <v/>
      </c>
      <c r="AA248" s="16" t="n"/>
      <c r="AB248" s="16" t="n"/>
      <c r="AC248" s="16" t="n"/>
      <c r="AD248" s="16" t="n"/>
      <c r="AE248" s="7">
        <f>IF(B248="","",IF(AND(AA248="合格",AB248="合格",AC248="合格",AD248="合格"),"有效","无效"))</f>
        <v/>
      </c>
    </row>
    <row r="249">
      <c r="A249" s="7">
        <f>IF(B249="","",TEXT(B249,"yyyymmdd")&amp;"-"&amp;TEXT(ROW()-1,"000"))</f>
        <v/>
      </c>
      <c r="B249" s="8" t="n"/>
      <c r="C249" s="9" t="n"/>
      <c r="D249" s="9" t="n"/>
      <c r="E249" s="9" t="n"/>
      <c r="F249" s="9" t="n"/>
      <c r="G249" s="9" t="n"/>
      <c r="H249" s="9" t="n"/>
      <c r="I249" s="9" t="n"/>
      <c r="J249" s="10" t="n"/>
      <c r="K249" s="9" t="n"/>
      <c r="L249" s="9" t="n"/>
      <c r="M249" s="9" t="n"/>
      <c r="N249" s="10" t="n"/>
      <c r="O249" s="9" t="n"/>
      <c r="P249" s="10" t="n"/>
      <c r="Q249" s="10" t="n"/>
      <c r="R249" s="9" t="n"/>
      <c r="S249" s="10" t="n"/>
      <c r="T249" s="10" t="n"/>
      <c r="U249" s="11" t="n"/>
      <c r="V249" s="11" t="n"/>
      <c r="W249" s="12">
        <f>IF(B249="","",B249+3)</f>
        <v/>
      </c>
      <c r="X249" s="12">
        <f>IF(B249="","",B249+5)</f>
        <v/>
      </c>
      <c r="Y249" s="12">
        <f>IF(B249="","",B249+10)</f>
        <v/>
      </c>
      <c r="Z249" s="13">
        <f>IF(B249="","",(--(B249&lt;&gt;"")+--(C249&lt;&gt;"")+--(D249&lt;&gt;"")+--(E249&lt;&gt;"")+--(F249&lt;&gt;"")+--(G249&lt;&gt;"")+--(H249&lt;&gt;"")+--(I249&lt;&gt;"")+--(J249&lt;&gt;"")+--(K249&lt;&gt;"")+--(L249&lt;&gt;"")+--(M249&lt;&gt;"")+--(N249&lt;&gt;"")+--(O249&lt;&gt;"")+--(P249&lt;&gt;"")+--(Q249&lt;&gt;"")+--(R249&lt;&gt;"")+--(S249&lt;&gt;"")+--(T249&lt;&gt;""))/19)</f>
        <v/>
      </c>
      <c r="AA249" s="16" t="n"/>
      <c r="AB249" s="16" t="n"/>
      <c r="AC249" s="16" t="n"/>
      <c r="AD249" s="16" t="n"/>
      <c r="AE249" s="7">
        <f>IF(B249="","",IF(AND(AA249="合格",AB249="合格",AC249="合格",AD249="合格"),"有效","无效"))</f>
        <v/>
      </c>
    </row>
    <row r="250">
      <c r="A250" s="7">
        <f>IF(B250="","",TEXT(B250,"yyyymmdd")&amp;"-"&amp;TEXT(ROW()-1,"000"))</f>
        <v/>
      </c>
      <c r="B250" s="8" t="n"/>
      <c r="C250" s="9" t="n"/>
      <c r="D250" s="9" t="n"/>
      <c r="E250" s="9" t="n"/>
      <c r="F250" s="9" t="n"/>
      <c r="G250" s="9" t="n"/>
      <c r="H250" s="9" t="n"/>
      <c r="I250" s="9" t="n"/>
      <c r="J250" s="10" t="n"/>
      <c r="K250" s="9" t="n"/>
      <c r="L250" s="9" t="n"/>
      <c r="M250" s="9" t="n"/>
      <c r="N250" s="10" t="n"/>
      <c r="O250" s="9" t="n"/>
      <c r="P250" s="10" t="n"/>
      <c r="Q250" s="10" t="n"/>
      <c r="R250" s="9" t="n"/>
      <c r="S250" s="10" t="n"/>
      <c r="T250" s="10" t="n"/>
      <c r="U250" s="11" t="n"/>
      <c r="V250" s="11" t="n"/>
      <c r="W250" s="12">
        <f>IF(B250="","",B250+3)</f>
        <v/>
      </c>
      <c r="X250" s="12">
        <f>IF(B250="","",B250+5)</f>
        <v/>
      </c>
      <c r="Y250" s="12">
        <f>IF(B250="","",B250+10)</f>
        <v/>
      </c>
      <c r="Z250" s="13">
        <f>IF(B250="","",(--(B250&lt;&gt;"")+--(C250&lt;&gt;"")+--(D250&lt;&gt;"")+--(E250&lt;&gt;"")+--(F250&lt;&gt;"")+--(G250&lt;&gt;"")+--(H250&lt;&gt;"")+--(I250&lt;&gt;"")+--(J250&lt;&gt;"")+--(K250&lt;&gt;"")+--(L250&lt;&gt;"")+--(M250&lt;&gt;"")+--(N250&lt;&gt;"")+--(O250&lt;&gt;"")+--(P250&lt;&gt;"")+--(Q250&lt;&gt;"")+--(R250&lt;&gt;"")+--(S250&lt;&gt;"")+--(T250&lt;&gt;""))/19)</f>
        <v/>
      </c>
      <c r="AA250" s="16" t="n"/>
      <c r="AB250" s="16" t="n"/>
      <c r="AC250" s="16" t="n"/>
      <c r="AD250" s="16" t="n"/>
      <c r="AE250" s="7">
        <f>IF(B250="","",IF(AND(AA250="合格",AB250="合格",AC250="合格",AD250="合格"),"有效","无效"))</f>
        <v/>
      </c>
    </row>
    <row r="251">
      <c r="A251" s="7">
        <f>IF(B251="","",TEXT(B251,"yyyymmdd")&amp;"-"&amp;TEXT(ROW()-1,"000"))</f>
        <v/>
      </c>
      <c r="B251" s="8" t="n"/>
      <c r="C251" s="9" t="n"/>
      <c r="D251" s="9" t="n"/>
      <c r="E251" s="9" t="n"/>
      <c r="F251" s="9" t="n"/>
      <c r="G251" s="9" t="n"/>
      <c r="H251" s="9" t="n"/>
      <c r="I251" s="9" t="n"/>
      <c r="J251" s="10" t="n"/>
      <c r="K251" s="9" t="n"/>
      <c r="L251" s="9" t="n"/>
      <c r="M251" s="9" t="n"/>
      <c r="N251" s="10" t="n"/>
      <c r="O251" s="9" t="n"/>
      <c r="P251" s="10" t="n"/>
      <c r="Q251" s="10" t="n"/>
      <c r="R251" s="9" t="n"/>
      <c r="S251" s="10" t="n"/>
      <c r="T251" s="10" t="n"/>
      <c r="U251" s="11" t="n"/>
      <c r="V251" s="11" t="n"/>
      <c r="W251" s="12">
        <f>IF(B251="","",B251+3)</f>
        <v/>
      </c>
      <c r="X251" s="12">
        <f>IF(B251="","",B251+5)</f>
        <v/>
      </c>
      <c r="Y251" s="12">
        <f>IF(B251="","",B251+10)</f>
        <v/>
      </c>
      <c r="Z251" s="13">
        <f>IF(B251="","",(--(B251&lt;&gt;"")+--(C251&lt;&gt;"")+--(D251&lt;&gt;"")+--(E251&lt;&gt;"")+--(F251&lt;&gt;"")+--(G251&lt;&gt;"")+--(H251&lt;&gt;"")+--(I251&lt;&gt;"")+--(J251&lt;&gt;"")+--(K251&lt;&gt;"")+--(L251&lt;&gt;"")+--(M251&lt;&gt;"")+--(N251&lt;&gt;"")+--(O251&lt;&gt;"")+--(P251&lt;&gt;"")+--(Q251&lt;&gt;"")+--(R251&lt;&gt;"")+--(S251&lt;&gt;"")+--(T251&lt;&gt;""))/19)</f>
        <v/>
      </c>
      <c r="AA251" s="16" t="n"/>
      <c r="AB251" s="16" t="n"/>
      <c r="AC251" s="16" t="n"/>
      <c r="AD251" s="16" t="n"/>
      <c r="AE251" s="7">
        <f>IF(B251="","",IF(AND(AA251="合格",AB251="合格",AC251="合格",AD251="合格"),"有效","无效"))</f>
        <v/>
      </c>
    </row>
    <row r="252">
      <c r="A252" s="7">
        <f>IF(B252="","",TEXT(B252,"yyyymmdd")&amp;"-"&amp;TEXT(ROW()-1,"000"))</f>
        <v/>
      </c>
      <c r="B252" s="8" t="n"/>
      <c r="C252" s="9" t="n"/>
      <c r="D252" s="9" t="n"/>
      <c r="E252" s="9" t="n"/>
      <c r="F252" s="9" t="n"/>
      <c r="G252" s="9" t="n"/>
      <c r="H252" s="9" t="n"/>
      <c r="I252" s="9" t="n"/>
      <c r="J252" s="10" t="n"/>
      <c r="K252" s="9" t="n"/>
      <c r="L252" s="9" t="n"/>
      <c r="M252" s="9" t="n"/>
      <c r="N252" s="10" t="n"/>
      <c r="O252" s="9" t="n"/>
      <c r="P252" s="10" t="n"/>
      <c r="Q252" s="10" t="n"/>
      <c r="R252" s="9" t="n"/>
      <c r="S252" s="10" t="n"/>
      <c r="T252" s="10" t="n"/>
      <c r="U252" s="11" t="n"/>
      <c r="V252" s="11" t="n"/>
      <c r="W252" s="12">
        <f>IF(B252="","",B252+3)</f>
        <v/>
      </c>
      <c r="X252" s="12">
        <f>IF(B252="","",B252+5)</f>
        <v/>
      </c>
      <c r="Y252" s="12">
        <f>IF(B252="","",B252+10)</f>
        <v/>
      </c>
      <c r="Z252" s="13">
        <f>IF(B252="","",(--(B252&lt;&gt;"")+--(C252&lt;&gt;"")+--(D252&lt;&gt;"")+--(E252&lt;&gt;"")+--(F252&lt;&gt;"")+--(G252&lt;&gt;"")+--(H252&lt;&gt;"")+--(I252&lt;&gt;"")+--(J252&lt;&gt;"")+--(K252&lt;&gt;"")+--(L252&lt;&gt;"")+--(M252&lt;&gt;"")+--(N252&lt;&gt;"")+--(O252&lt;&gt;"")+--(P252&lt;&gt;"")+--(Q252&lt;&gt;"")+--(R252&lt;&gt;"")+--(S252&lt;&gt;"")+--(T252&lt;&gt;""))/19)</f>
        <v/>
      </c>
      <c r="AA252" s="16" t="n"/>
      <c r="AB252" s="16" t="n"/>
      <c r="AC252" s="16" t="n"/>
      <c r="AD252" s="16" t="n"/>
      <c r="AE252" s="7">
        <f>IF(B252="","",IF(AND(AA252="合格",AB252="合格",AC252="合格",AD252="合格"),"有效","无效"))</f>
        <v/>
      </c>
    </row>
    <row r="253">
      <c r="A253" s="7">
        <f>IF(B253="","",TEXT(B253,"yyyymmdd")&amp;"-"&amp;TEXT(ROW()-1,"000"))</f>
        <v/>
      </c>
      <c r="B253" s="8" t="n"/>
      <c r="C253" s="9" t="n"/>
      <c r="D253" s="9" t="n"/>
      <c r="E253" s="9" t="n"/>
      <c r="F253" s="9" t="n"/>
      <c r="G253" s="9" t="n"/>
      <c r="H253" s="9" t="n"/>
      <c r="I253" s="9" t="n"/>
      <c r="J253" s="10" t="n"/>
      <c r="K253" s="9" t="n"/>
      <c r="L253" s="9" t="n"/>
      <c r="M253" s="9" t="n"/>
      <c r="N253" s="10" t="n"/>
      <c r="O253" s="9" t="n"/>
      <c r="P253" s="10" t="n"/>
      <c r="Q253" s="10" t="n"/>
      <c r="R253" s="9" t="n"/>
      <c r="S253" s="10" t="n"/>
      <c r="T253" s="10" t="n"/>
      <c r="U253" s="11" t="n"/>
      <c r="V253" s="11" t="n"/>
      <c r="W253" s="12">
        <f>IF(B253="","",B253+3)</f>
        <v/>
      </c>
      <c r="X253" s="12">
        <f>IF(B253="","",B253+5)</f>
        <v/>
      </c>
      <c r="Y253" s="12">
        <f>IF(B253="","",B253+10)</f>
        <v/>
      </c>
      <c r="Z253" s="13">
        <f>IF(B253="","",(--(B253&lt;&gt;"")+--(C253&lt;&gt;"")+--(D253&lt;&gt;"")+--(E253&lt;&gt;"")+--(F253&lt;&gt;"")+--(G253&lt;&gt;"")+--(H253&lt;&gt;"")+--(I253&lt;&gt;"")+--(J253&lt;&gt;"")+--(K253&lt;&gt;"")+--(L253&lt;&gt;"")+--(M253&lt;&gt;"")+--(N253&lt;&gt;"")+--(O253&lt;&gt;"")+--(P253&lt;&gt;"")+--(Q253&lt;&gt;"")+--(R253&lt;&gt;"")+--(S253&lt;&gt;"")+--(T253&lt;&gt;""))/19)</f>
        <v/>
      </c>
      <c r="AA253" s="16" t="n"/>
      <c r="AB253" s="16" t="n"/>
      <c r="AC253" s="16" t="n"/>
      <c r="AD253" s="16" t="n"/>
      <c r="AE253" s="7">
        <f>IF(B253="","",IF(AND(AA253="合格",AB253="合格",AC253="合格",AD253="合格"),"有效","无效"))</f>
        <v/>
      </c>
    </row>
    <row r="254">
      <c r="A254" s="7">
        <f>IF(B254="","",TEXT(B254,"yyyymmdd")&amp;"-"&amp;TEXT(ROW()-1,"000"))</f>
        <v/>
      </c>
      <c r="B254" s="8" t="n"/>
      <c r="C254" s="9" t="n"/>
      <c r="D254" s="9" t="n"/>
      <c r="E254" s="9" t="n"/>
      <c r="F254" s="9" t="n"/>
      <c r="G254" s="9" t="n"/>
      <c r="H254" s="9" t="n"/>
      <c r="I254" s="9" t="n"/>
      <c r="J254" s="10" t="n"/>
      <c r="K254" s="9" t="n"/>
      <c r="L254" s="9" t="n"/>
      <c r="M254" s="9" t="n"/>
      <c r="N254" s="10" t="n"/>
      <c r="O254" s="9" t="n"/>
      <c r="P254" s="10" t="n"/>
      <c r="Q254" s="10" t="n"/>
      <c r="R254" s="9" t="n"/>
      <c r="S254" s="10" t="n"/>
      <c r="T254" s="10" t="n"/>
      <c r="U254" s="11" t="n"/>
      <c r="V254" s="11" t="n"/>
      <c r="W254" s="12">
        <f>IF(B254="","",B254+3)</f>
        <v/>
      </c>
      <c r="X254" s="12">
        <f>IF(B254="","",B254+5)</f>
        <v/>
      </c>
      <c r="Y254" s="12">
        <f>IF(B254="","",B254+10)</f>
        <v/>
      </c>
      <c r="Z254" s="13">
        <f>IF(B254="","",(--(B254&lt;&gt;"")+--(C254&lt;&gt;"")+--(D254&lt;&gt;"")+--(E254&lt;&gt;"")+--(F254&lt;&gt;"")+--(G254&lt;&gt;"")+--(H254&lt;&gt;"")+--(I254&lt;&gt;"")+--(J254&lt;&gt;"")+--(K254&lt;&gt;"")+--(L254&lt;&gt;"")+--(M254&lt;&gt;"")+--(N254&lt;&gt;"")+--(O254&lt;&gt;"")+--(P254&lt;&gt;"")+--(Q254&lt;&gt;"")+--(R254&lt;&gt;"")+--(S254&lt;&gt;"")+--(T254&lt;&gt;""))/19)</f>
        <v/>
      </c>
      <c r="AA254" s="16" t="n"/>
      <c r="AB254" s="16" t="n"/>
      <c r="AC254" s="16" t="n"/>
      <c r="AD254" s="16" t="n"/>
      <c r="AE254" s="7">
        <f>IF(B254="","",IF(AND(AA254="合格",AB254="合格",AC254="合格",AD254="合格"),"有效","无效"))</f>
        <v/>
      </c>
    </row>
    <row r="255">
      <c r="A255" s="7">
        <f>IF(B255="","",TEXT(B255,"yyyymmdd")&amp;"-"&amp;TEXT(ROW()-1,"000"))</f>
        <v/>
      </c>
      <c r="B255" s="8" t="n"/>
      <c r="C255" s="9" t="n"/>
      <c r="D255" s="9" t="n"/>
      <c r="E255" s="9" t="n"/>
      <c r="F255" s="9" t="n"/>
      <c r="G255" s="9" t="n"/>
      <c r="H255" s="9" t="n"/>
      <c r="I255" s="9" t="n"/>
      <c r="J255" s="10" t="n"/>
      <c r="K255" s="9" t="n"/>
      <c r="L255" s="9" t="n"/>
      <c r="M255" s="9" t="n"/>
      <c r="N255" s="10" t="n"/>
      <c r="O255" s="9" t="n"/>
      <c r="P255" s="10" t="n"/>
      <c r="Q255" s="10" t="n"/>
      <c r="R255" s="9" t="n"/>
      <c r="S255" s="10" t="n"/>
      <c r="T255" s="10" t="n"/>
      <c r="U255" s="11" t="n"/>
      <c r="V255" s="11" t="n"/>
      <c r="W255" s="12">
        <f>IF(B255="","",B255+3)</f>
        <v/>
      </c>
      <c r="X255" s="12">
        <f>IF(B255="","",B255+5)</f>
        <v/>
      </c>
      <c r="Y255" s="12">
        <f>IF(B255="","",B255+10)</f>
        <v/>
      </c>
      <c r="Z255" s="13">
        <f>IF(B255="","",(--(B255&lt;&gt;"")+--(C255&lt;&gt;"")+--(D255&lt;&gt;"")+--(E255&lt;&gt;"")+--(F255&lt;&gt;"")+--(G255&lt;&gt;"")+--(H255&lt;&gt;"")+--(I255&lt;&gt;"")+--(J255&lt;&gt;"")+--(K255&lt;&gt;"")+--(L255&lt;&gt;"")+--(M255&lt;&gt;"")+--(N255&lt;&gt;"")+--(O255&lt;&gt;"")+--(P255&lt;&gt;"")+--(Q255&lt;&gt;"")+--(R255&lt;&gt;"")+--(S255&lt;&gt;"")+--(T255&lt;&gt;""))/19)</f>
        <v/>
      </c>
      <c r="AA255" s="16" t="n"/>
      <c r="AB255" s="16" t="n"/>
      <c r="AC255" s="16" t="n"/>
      <c r="AD255" s="16" t="n"/>
      <c r="AE255" s="7">
        <f>IF(B255="","",IF(AND(AA255="合格",AB255="合格",AC255="合格",AD255="合格"),"有效","无效"))</f>
        <v/>
      </c>
    </row>
    <row r="256">
      <c r="A256" s="7">
        <f>IF(B256="","",TEXT(B256,"yyyymmdd")&amp;"-"&amp;TEXT(ROW()-1,"000"))</f>
        <v/>
      </c>
      <c r="B256" s="8" t="n"/>
      <c r="C256" s="9" t="n"/>
      <c r="D256" s="9" t="n"/>
      <c r="E256" s="9" t="n"/>
      <c r="F256" s="9" t="n"/>
      <c r="G256" s="9" t="n"/>
      <c r="H256" s="9" t="n"/>
      <c r="I256" s="9" t="n"/>
      <c r="J256" s="10" t="n"/>
      <c r="K256" s="9" t="n"/>
      <c r="L256" s="9" t="n"/>
      <c r="M256" s="9" t="n"/>
      <c r="N256" s="10" t="n"/>
      <c r="O256" s="9" t="n"/>
      <c r="P256" s="10" t="n"/>
      <c r="Q256" s="10" t="n"/>
      <c r="R256" s="9" t="n"/>
      <c r="S256" s="10" t="n"/>
      <c r="T256" s="10" t="n"/>
      <c r="U256" s="11" t="n"/>
      <c r="V256" s="11" t="n"/>
      <c r="W256" s="12">
        <f>IF(B256="","",B256+3)</f>
        <v/>
      </c>
      <c r="X256" s="12">
        <f>IF(B256="","",B256+5)</f>
        <v/>
      </c>
      <c r="Y256" s="12">
        <f>IF(B256="","",B256+10)</f>
        <v/>
      </c>
      <c r="Z256" s="13">
        <f>IF(B256="","",(--(B256&lt;&gt;"")+--(C256&lt;&gt;"")+--(D256&lt;&gt;"")+--(E256&lt;&gt;"")+--(F256&lt;&gt;"")+--(G256&lt;&gt;"")+--(H256&lt;&gt;"")+--(I256&lt;&gt;"")+--(J256&lt;&gt;"")+--(K256&lt;&gt;"")+--(L256&lt;&gt;"")+--(M256&lt;&gt;"")+--(N256&lt;&gt;"")+--(O256&lt;&gt;"")+--(P256&lt;&gt;"")+--(Q256&lt;&gt;"")+--(R256&lt;&gt;"")+--(S256&lt;&gt;"")+--(T256&lt;&gt;""))/19)</f>
        <v/>
      </c>
      <c r="AA256" s="16" t="n"/>
      <c r="AB256" s="16" t="n"/>
      <c r="AC256" s="16" t="n"/>
      <c r="AD256" s="16" t="n"/>
      <c r="AE256" s="7">
        <f>IF(B256="","",IF(AND(AA256="合格",AB256="合格",AC256="合格",AD256="合格"),"有效","无效"))</f>
        <v/>
      </c>
    </row>
    <row r="257">
      <c r="A257" s="7">
        <f>IF(B257="","",TEXT(B257,"yyyymmdd")&amp;"-"&amp;TEXT(ROW()-1,"000"))</f>
        <v/>
      </c>
      <c r="B257" s="8" t="n"/>
      <c r="C257" s="9" t="n"/>
      <c r="D257" s="9" t="n"/>
      <c r="E257" s="9" t="n"/>
      <c r="F257" s="9" t="n"/>
      <c r="G257" s="9" t="n"/>
      <c r="H257" s="9" t="n"/>
      <c r="I257" s="9" t="n"/>
      <c r="J257" s="10" t="n"/>
      <c r="K257" s="9" t="n"/>
      <c r="L257" s="9" t="n"/>
      <c r="M257" s="9" t="n"/>
      <c r="N257" s="10" t="n"/>
      <c r="O257" s="9" t="n"/>
      <c r="P257" s="10" t="n"/>
      <c r="Q257" s="10" t="n"/>
      <c r="R257" s="9" t="n"/>
      <c r="S257" s="10" t="n"/>
      <c r="T257" s="10" t="n"/>
      <c r="U257" s="11" t="n"/>
      <c r="V257" s="11" t="n"/>
      <c r="W257" s="12">
        <f>IF(B257="","",B257+3)</f>
        <v/>
      </c>
      <c r="X257" s="12">
        <f>IF(B257="","",B257+5)</f>
        <v/>
      </c>
      <c r="Y257" s="12">
        <f>IF(B257="","",B257+10)</f>
        <v/>
      </c>
      <c r="Z257" s="13">
        <f>IF(B257="","",(--(B257&lt;&gt;"")+--(C257&lt;&gt;"")+--(D257&lt;&gt;"")+--(E257&lt;&gt;"")+--(F257&lt;&gt;"")+--(G257&lt;&gt;"")+--(H257&lt;&gt;"")+--(I257&lt;&gt;"")+--(J257&lt;&gt;"")+--(K257&lt;&gt;"")+--(L257&lt;&gt;"")+--(M257&lt;&gt;"")+--(N257&lt;&gt;"")+--(O257&lt;&gt;"")+--(P257&lt;&gt;"")+--(Q257&lt;&gt;"")+--(R257&lt;&gt;"")+--(S257&lt;&gt;"")+--(T257&lt;&gt;""))/19)</f>
        <v/>
      </c>
      <c r="AA257" s="16" t="n"/>
      <c r="AB257" s="16" t="n"/>
      <c r="AC257" s="16" t="n"/>
      <c r="AD257" s="16" t="n"/>
      <c r="AE257" s="7">
        <f>IF(B257="","",IF(AND(AA257="合格",AB257="合格",AC257="合格",AD257="合格"),"有效","无效"))</f>
        <v/>
      </c>
    </row>
    <row r="258">
      <c r="A258" s="7">
        <f>IF(B258="","",TEXT(B258,"yyyymmdd")&amp;"-"&amp;TEXT(ROW()-1,"000"))</f>
        <v/>
      </c>
      <c r="B258" s="8" t="n"/>
      <c r="C258" s="9" t="n"/>
      <c r="D258" s="9" t="n"/>
      <c r="E258" s="9" t="n"/>
      <c r="F258" s="9" t="n"/>
      <c r="G258" s="9" t="n"/>
      <c r="H258" s="9" t="n"/>
      <c r="I258" s="9" t="n"/>
      <c r="J258" s="10" t="n"/>
      <c r="K258" s="9" t="n"/>
      <c r="L258" s="9" t="n"/>
      <c r="M258" s="9" t="n"/>
      <c r="N258" s="10" t="n"/>
      <c r="O258" s="9" t="n"/>
      <c r="P258" s="10" t="n"/>
      <c r="Q258" s="10" t="n"/>
      <c r="R258" s="9" t="n"/>
      <c r="S258" s="10" t="n"/>
      <c r="T258" s="10" t="n"/>
      <c r="U258" s="11" t="n"/>
      <c r="V258" s="11" t="n"/>
      <c r="W258" s="12">
        <f>IF(B258="","",B258+3)</f>
        <v/>
      </c>
      <c r="X258" s="12">
        <f>IF(B258="","",B258+5)</f>
        <v/>
      </c>
      <c r="Y258" s="12">
        <f>IF(B258="","",B258+10)</f>
        <v/>
      </c>
      <c r="Z258" s="13">
        <f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6" t="n"/>
      <c r="AB258" s="16" t="n"/>
      <c r="AC258" s="16" t="n"/>
      <c r="AD258" s="16" t="n"/>
      <c r="AE258" s="7">
        <f>IF(B258="","",IF(AND(AA258="合格",AB258="合格",AC258="合格",AD258="合格"),"有效","无效"))</f>
        <v/>
      </c>
    </row>
    <row r="259">
      <c r="A259" s="7">
        <f>IF(B259="","",TEXT(B259,"yyyymmdd")&amp;"-"&amp;TEXT(ROW()-1,"000"))</f>
        <v/>
      </c>
      <c r="B259" s="8" t="n"/>
      <c r="C259" s="9" t="n"/>
      <c r="D259" s="9" t="n"/>
      <c r="E259" s="9" t="n"/>
      <c r="F259" s="9" t="n"/>
      <c r="G259" s="9" t="n"/>
      <c r="H259" s="9" t="n"/>
      <c r="I259" s="9" t="n"/>
      <c r="J259" s="10" t="n"/>
      <c r="K259" s="9" t="n"/>
      <c r="L259" s="9" t="n"/>
      <c r="M259" s="9" t="n"/>
      <c r="N259" s="10" t="n"/>
      <c r="O259" s="9" t="n"/>
      <c r="P259" s="10" t="n"/>
      <c r="Q259" s="10" t="n"/>
      <c r="R259" s="9" t="n"/>
      <c r="S259" s="10" t="n"/>
      <c r="T259" s="10" t="n"/>
      <c r="U259" s="11" t="n"/>
      <c r="V259" s="11" t="n"/>
      <c r="W259" s="12">
        <f>IF(B259="","",B259+3)</f>
        <v/>
      </c>
      <c r="X259" s="12">
        <f>IF(B259="","",B259+5)</f>
        <v/>
      </c>
      <c r="Y259" s="12">
        <f>IF(B259="","",B259+10)</f>
        <v/>
      </c>
      <c r="Z259" s="13">
        <f>IF(B259="","",(--(B259&lt;&gt;"")+--(C259&lt;&gt;"")+--(D259&lt;&gt;"")+--(E259&lt;&gt;"")+--(F259&lt;&gt;"")+--(G259&lt;&gt;"")+--(H259&lt;&gt;"")+--(I259&lt;&gt;"")+--(J259&lt;&gt;"")+--(K259&lt;&gt;"")+--(L259&lt;&gt;"")+--(M259&lt;&gt;"")+--(N259&lt;&gt;"")+--(O259&lt;&gt;"")+--(P259&lt;&gt;"")+--(Q259&lt;&gt;"")+--(R259&lt;&gt;"")+--(S259&lt;&gt;"")+--(T259&lt;&gt;""))/19)</f>
        <v/>
      </c>
      <c r="AA259" s="16" t="n"/>
      <c r="AB259" s="16" t="n"/>
      <c r="AC259" s="16" t="n"/>
      <c r="AD259" s="16" t="n"/>
      <c r="AE259" s="7">
        <f>IF(B259="","",IF(AND(AA259="合格",AB259="合格",AC259="合格",AD259="合格"),"有效","无效"))</f>
        <v/>
      </c>
    </row>
    <row r="260">
      <c r="A260" s="7">
        <f>IF(B260="","",TEXT(B260,"yyyymmdd")&amp;"-"&amp;TEXT(ROW()-1,"000"))</f>
        <v/>
      </c>
      <c r="B260" s="8" t="n"/>
      <c r="C260" s="9" t="n"/>
      <c r="D260" s="9" t="n"/>
      <c r="E260" s="9" t="n"/>
      <c r="F260" s="9" t="n"/>
      <c r="G260" s="9" t="n"/>
      <c r="H260" s="9" t="n"/>
      <c r="I260" s="9" t="n"/>
      <c r="J260" s="10" t="n"/>
      <c r="K260" s="9" t="n"/>
      <c r="L260" s="9" t="n"/>
      <c r="M260" s="9" t="n"/>
      <c r="N260" s="10" t="n"/>
      <c r="O260" s="9" t="n"/>
      <c r="P260" s="10" t="n"/>
      <c r="Q260" s="10" t="n"/>
      <c r="R260" s="9" t="n"/>
      <c r="S260" s="10" t="n"/>
      <c r="T260" s="10" t="n"/>
      <c r="U260" s="11" t="n"/>
      <c r="V260" s="11" t="n"/>
      <c r="W260" s="12">
        <f>IF(B260="","",B260+3)</f>
        <v/>
      </c>
      <c r="X260" s="12">
        <f>IF(B260="","",B260+5)</f>
        <v/>
      </c>
      <c r="Y260" s="12">
        <f>IF(B260="","",B260+10)</f>
        <v/>
      </c>
      <c r="Z260" s="13">
        <f>IF(B260="","",(--(B260&lt;&gt;"")+--(C260&lt;&gt;"")+--(D260&lt;&gt;"")+--(E260&lt;&gt;"")+--(F260&lt;&gt;"")+--(G260&lt;&gt;"")+--(H260&lt;&gt;"")+--(I260&lt;&gt;"")+--(J260&lt;&gt;"")+--(K260&lt;&gt;"")+--(L260&lt;&gt;"")+--(M260&lt;&gt;"")+--(N260&lt;&gt;"")+--(O260&lt;&gt;"")+--(P260&lt;&gt;"")+--(Q260&lt;&gt;"")+--(R260&lt;&gt;"")+--(S260&lt;&gt;"")+--(T260&lt;&gt;""))/19)</f>
        <v/>
      </c>
      <c r="AA260" s="16" t="n"/>
      <c r="AB260" s="16" t="n"/>
      <c r="AC260" s="16" t="n"/>
      <c r="AD260" s="16" t="n"/>
      <c r="AE260" s="7">
        <f>IF(B260="","",IF(AND(AA260="合格",AB260="合格",AC260="合格",AD260="合格"),"有效","无效"))</f>
        <v/>
      </c>
    </row>
    <row r="261">
      <c r="A261" s="7">
        <f>IF(B261="","",TEXT(B261,"yyyymmdd")&amp;"-"&amp;TEXT(ROW()-1,"000"))</f>
        <v/>
      </c>
      <c r="B261" s="8" t="n"/>
      <c r="C261" s="9" t="n"/>
      <c r="D261" s="9" t="n"/>
      <c r="E261" s="9" t="n"/>
      <c r="F261" s="9" t="n"/>
      <c r="G261" s="9" t="n"/>
      <c r="H261" s="9" t="n"/>
      <c r="I261" s="9" t="n"/>
      <c r="J261" s="10" t="n"/>
      <c r="K261" s="9" t="n"/>
      <c r="L261" s="9" t="n"/>
      <c r="M261" s="9" t="n"/>
      <c r="N261" s="10" t="n"/>
      <c r="O261" s="9" t="n"/>
      <c r="P261" s="10" t="n"/>
      <c r="Q261" s="10" t="n"/>
      <c r="R261" s="9" t="n"/>
      <c r="S261" s="10" t="n"/>
      <c r="T261" s="10" t="n"/>
      <c r="U261" s="11" t="n"/>
      <c r="V261" s="11" t="n"/>
      <c r="W261" s="12">
        <f>IF(B261="","",B261+3)</f>
        <v/>
      </c>
      <c r="X261" s="12">
        <f>IF(B261="","",B261+5)</f>
        <v/>
      </c>
      <c r="Y261" s="12">
        <f>IF(B261="","",B261+10)</f>
        <v/>
      </c>
      <c r="Z261" s="13">
        <f>IF(B261="","",(--(B261&lt;&gt;"")+--(C261&lt;&gt;"")+--(D261&lt;&gt;"")+--(E261&lt;&gt;"")+--(F261&lt;&gt;"")+--(G261&lt;&gt;"")+--(H261&lt;&gt;"")+--(I261&lt;&gt;"")+--(J261&lt;&gt;"")+--(K261&lt;&gt;"")+--(L261&lt;&gt;"")+--(M261&lt;&gt;"")+--(N261&lt;&gt;"")+--(O261&lt;&gt;"")+--(P261&lt;&gt;"")+--(Q261&lt;&gt;"")+--(R261&lt;&gt;"")+--(S261&lt;&gt;"")+--(T261&lt;&gt;""))/19)</f>
        <v/>
      </c>
      <c r="AA261" s="16" t="n"/>
      <c r="AB261" s="16" t="n"/>
      <c r="AC261" s="16" t="n"/>
      <c r="AD261" s="16" t="n"/>
      <c r="AE261" s="7">
        <f>IF(B261="","",IF(AND(AA261="合格",AB261="合格",AC261="合格",AD261="合格"),"有效","无效"))</f>
        <v/>
      </c>
    </row>
    <row r="262">
      <c r="A262" s="7">
        <f>IF(B262="","",TEXT(B262,"yyyymmdd")&amp;"-"&amp;TEXT(ROW()-1,"000"))</f>
        <v/>
      </c>
      <c r="B262" s="8" t="n"/>
      <c r="C262" s="9" t="n"/>
      <c r="D262" s="9" t="n"/>
      <c r="E262" s="9" t="n"/>
      <c r="F262" s="9" t="n"/>
      <c r="G262" s="9" t="n"/>
      <c r="H262" s="9" t="n"/>
      <c r="I262" s="9" t="n"/>
      <c r="J262" s="10" t="n"/>
      <c r="K262" s="9" t="n"/>
      <c r="L262" s="9" t="n"/>
      <c r="M262" s="9" t="n"/>
      <c r="N262" s="10" t="n"/>
      <c r="O262" s="9" t="n"/>
      <c r="P262" s="10" t="n"/>
      <c r="Q262" s="10" t="n"/>
      <c r="R262" s="9" t="n"/>
      <c r="S262" s="10" t="n"/>
      <c r="T262" s="10" t="n"/>
      <c r="U262" s="11" t="n"/>
      <c r="V262" s="11" t="n"/>
      <c r="W262" s="12">
        <f>IF(B262="","",B262+3)</f>
        <v/>
      </c>
      <c r="X262" s="12">
        <f>IF(B262="","",B262+5)</f>
        <v/>
      </c>
      <c r="Y262" s="12">
        <f>IF(B262="","",B262+10)</f>
        <v/>
      </c>
      <c r="Z262" s="13">
        <f>IF(B262="","",(--(B262&lt;&gt;"")+--(C262&lt;&gt;"")+--(D262&lt;&gt;"")+--(E262&lt;&gt;"")+--(F262&lt;&gt;"")+--(G262&lt;&gt;"")+--(H262&lt;&gt;"")+--(I262&lt;&gt;"")+--(J262&lt;&gt;"")+--(K262&lt;&gt;"")+--(L262&lt;&gt;"")+--(M262&lt;&gt;"")+--(N262&lt;&gt;"")+--(O262&lt;&gt;"")+--(P262&lt;&gt;"")+--(Q262&lt;&gt;"")+--(R262&lt;&gt;"")+--(S262&lt;&gt;"")+--(T262&lt;&gt;""))/19)</f>
        <v/>
      </c>
      <c r="AA262" s="16" t="n"/>
      <c r="AB262" s="16" t="n"/>
      <c r="AC262" s="16" t="n"/>
      <c r="AD262" s="16" t="n"/>
      <c r="AE262" s="7">
        <f>IF(B262="","",IF(AND(AA262="合格",AB262="合格",AC262="合格",AD262="合格"),"有效","无效"))</f>
        <v/>
      </c>
    </row>
    <row r="263">
      <c r="A263" s="7">
        <f>IF(B263="","",TEXT(B263,"yyyymmdd")&amp;"-"&amp;TEXT(ROW()-1,"000"))</f>
        <v/>
      </c>
      <c r="B263" s="8" t="n"/>
      <c r="C263" s="9" t="n"/>
      <c r="D263" s="9" t="n"/>
      <c r="E263" s="9" t="n"/>
      <c r="F263" s="9" t="n"/>
      <c r="G263" s="9" t="n"/>
      <c r="H263" s="9" t="n"/>
      <c r="I263" s="9" t="n"/>
      <c r="J263" s="10" t="n"/>
      <c r="K263" s="9" t="n"/>
      <c r="L263" s="9" t="n"/>
      <c r="M263" s="9" t="n"/>
      <c r="N263" s="10" t="n"/>
      <c r="O263" s="9" t="n"/>
      <c r="P263" s="10" t="n"/>
      <c r="Q263" s="10" t="n"/>
      <c r="R263" s="9" t="n"/>
      <c r="S263" s="10" t="n"/>
      <c r="T263" s="10" t="n"/>
      <c r="U263" s="11" t="n"/>
      <c r="V263" s="11" t="n"/>
      <c r="W263" s="12">
        <f>IF(B263="","",B263+3)</f>
        <v/>
      </c>
      <c r="X263" s="12">
        <f>IF(B263="","",B263+5)</f>
        <v/>
      </c>
      <c r="Y263" s="12">
        <f>IF(B263="","",B263+10)</f>
        <v/>
      </c>
      <c r="Z263" s="13">
        <f>IF(B263="","",(--(B263&lt;&gt;"")+--(C263&lt;&gt;"")+--(D263&lt;&gt;"")+--(E263&lt;&gt;"")+--(F263&lt;&gt;"")+--(G263&lt;&gt;"")+--(H263&lt;&gt;"")+--(I263&lt;&gt;"")+--(J263&lt;&gt;"")+--(K263&lt;&gt;"")+--(L263&lt;&gt;"")+--(M263&lt;&gt;"")+--(N263&lt;&gt;"")+--(O263&lt;&gt;"")+--(P263&lt;&gt;"")+--(Q263&lt;&gt;"")+--(R263&lt;&gt;"")+--(S263&lt;&gt;"")+--(T263&lt;&gt;""))/19)</f>
        <v/>
      </c>
      <c r="AA263" s="16" t="n"/>
      <c r="AB263" s="16" t="n"/>
      <c r="AC263" s="16" t="n"/>
      <c r="AD263" s="16" t="n"/>
      <c r="AE263" s="7">
        <f>IF(B263="","",IF(AND(AA263="合格",AB263="合格",AC263="合格",AD263="合格"),"有效","无效"))</f>
        <v/>
      </c>
    </row>
    <row r="264">
      <c r="A264" s="7">
        <f>IF(B264="","",TEXT(B264,"yyyymmdd")&amp;"-"&amp;TEXT(ROW()-1,"000"))</f>
        <v/>
      </c>
      <c r="B264" s="8" t="n"/>
      <c r="C264" s="9" t="n"/>
      <c r="D264" s="9" t="n"/>
      <c r="E264" s="9" t="n"/>
      <c r="F264" s="9" t="n"/>
      <c r="G264" s="9" t="n"/>
      <c r="H264" s="9" t="n"/>
      <c r="I264" s="9" t="n"/>
      <c r="J264" s="10" t="n"/>
      <c r="K264" s="9" t="n"/>
      <c r="L264" s="9" t="n"/>
      <c r="M264" s="9" t="n"/>
      <c r="N264" s="10" t="n"/>
      <c r="O264" s="9" t="n"/>
      <c r="P264" s="10" t="n"/>
      <c r="Q264" s="10" t="n"/>
      <c r="R264" s="9" t="n"/>
      <c r="S264" s="10" t="n"/>
      <c r="T264" s="10" t="n"/>
      <c r="U264" s="11" t="n"/>
      <c r="V264" s="11" t="n"/>
      <c r="W264" s="12">
        <f>IF(B264="","",B264+3)</f>
        <v/>
      </c>
      <c r="X264" s="12">
        <f>IF(B264="","",B264+5)</f>
        <v/>
      </c>
      <c r="Y264" s="12">
        <f>IF(B264="","",B264+10)</f>
        <v/>
      </c>
      <c r="Z264" s="13">
        <f>IF(B264="","",(--(B264&lt;&gt;"")+--(C264&lt;&gt;"")+--(D264&lt;&gt;"")+--(E264&lt;&gt;"")+--(F264&lt;&gt;"")+--(G264&lt;&gt;"")+--(H264&lt;&gt;"")+--(I264&lt;&gt;"")+--(J264&lt;&gt;"")+--(K264&lt;&gt;"")+--(L264&lt;&gt;"")+--(M264&lt;&gt;"")+--(N264&lt;&gt;"")+--(O264&lt;&gt;"")+--(P264&lt;&gt;"")+--(Q264&lt;&gt;"")+--(R264&lt;&gt;"")+--(S264&lt;&gt;"")+--(T264&lt;&gt;""))/19)</f>
        <v/>
      </c>
      <c r="AA264" s="16" t="n"/>
      <c r="AB264" s="16" t="n"/>
      <c r="AC264" s="16" t="n"/>
      <c r="AD264" s="16" t="n"/>
      <c r="AE264" s="7">
        <f>IF(B264="","",IF(AND(AA264="合格",AB264="合格",AC264="合格",AD264="合格"),"有效","无效"))</f>
        <v/>
      </c>
    </row>
    <row r="265">
      <c r="A265" s="7">
        <f>IF(B265="","",TEXT(B265,"yyyymmdd")&amp;"-"&amp;TEXT(ROW()-1,"000"))</f>
        <v/>
      </c>
      <c r="B265" s="8" t="n"/>
      <c r="C265" s="9" t="n"/>
      <c r="D265" s="9" t="n"/>
      <c r="E265" s="9" t="n"/>
      <c r="F265" s="9" t="n"/>
      <c r="G265" s="9" t="n"/>
      <c r="H265" s="9" t="n"/>
      <c r="I265" s="9" t="n"/>
      <c r="J265" s="10" t="n"/>
      <c r="K265" s="9" t="n"/>
      <c r="L265" s="9" t="n"/>
      <c r="M265" s="9" t="n"/>
      <c r="N265" s="10" t="n"/>
      <c r="O265" s="9" t="n"/>
      <c r="P265" s="10" t="n"/>
      <c r="Q265" s="10" t="n"/>
      <c r="R265" s="9" t="n"/>
      <c r="S265" s="10" t="n"/>
      <c r="T265" s="10" t="n"/>
      <c r="U265" s="11" t="n"/>
      <c r="V265" s="11" t="n"/>
      <c r="W265" s="12">
        <f>IF(B265="","",B265+3)</f>
        <v/>
      </c>
      <c r="X265" s="12">
        <f>IF(B265="","",B265+5)</f>
        <v/>
      </c>
      <c r="Y265" s="12">
        <f>IF(B265="","",B265+10)</f>
        <v/>
      </c>
      <c r="Z265" s="13">
        <f>IF(B265="","",(--(B265&lt;&gt;"")+--(C265&lt;&gt;"")+--(D265&lt;&gt;"")+--(E265&lt;&gt;"")+--(F265&lt;&gt;"")+--(G265&lt;&gt;"")+--(H265&lt;&gt;"")+--(I265&lt;&gt;"")+--(J265&lt;&gt;"")+--(K265&lt;&gt;"")+--(L265&lt;&gt;"")+--(M265&lt;&gt;"")+--(N265&lt;&gt;"")+--(O265&lt;&gt;"")+--(P265&lt;&gt;"")+--(Q265&lt;&gt;"")+--(R265&lt;&gt;"")+--(S265&lt;&gt;"")+--(T265&lt;&gt;""))/19)</f>
        <v/>
      </c>
      <c r="AA265" s="16" t="n"/>
      <c r="AB265" s="16" t="n"/>
      <c r="AC265" s="16" t="n"/>
      <c r="AD265" s="16" t="n"/>
      <c r="AE265" s="7">
        <f>IF(B265="","",IF(AND(AA265="合格",AB265="合格",AC265="合格",AD265="合格"),"有效","无效"))</f>
        <v/>
      </c>
    </row>
    <row r="266">
      <c r="A266" s="7">
        <f>IF(B266="","",TEXT(B266,"yyyymmdd")&amp;"-"&amp;TEXT(ROW()-1,"000"))</f>
        <v/>
      </c>
      <c r="B266" s="8" t="n"/>
      <c r="C266" s="9" t="n"/>
      <c r="D266" s="9" t="n"/>
      <c r="E266" s="9" t="n"/>
      <c r="F266" s="9" t="n"/>
      <c r="G266" s="9" t="n"/>
      <c r="H266" s="9" t="n"/>
      <c r="I266" s="9" t="n"/>
      <c r="J266" s="10" t="n"/>
      <c r="K266" s="9" t="n"/>
      <c r="L266" s="9" t="n"/>
      <c r="M266" s="9" t="n"/>
      <c r="N266" s="10" t="n"/>
      <c r="O266" s="9" t="n"/>
      <c r="P266" s="10" t="n"/>
      <c r="Q266" s="10" t="n"/>
      <c r="R266" s="9" t="n"/>
      <c r="S266" s="10" t="n"/>
      <c r="T266" s="10" t="n"/>
      <c r="U266" s="11" t="n"/>
      <c r="V266" s="11" t="n"/>
      <c r="W266" s="12">
        <f>IF(B266="","",B266+3)</f>
        <v/>
      </c>
      <c r="X266" s="12">
        <f>IF(B266="","",B266+5)</f>
        <v/>
      </c>
      <c r="Y266" s="12">
        <f>IF(B266="","",B266+10)</f>
        <v/>
      </c>
      <c r="Z266" s="13">
        <f>IF(B266="","",(--(B266&lt;&gt;"")+--(C266&lt;&gt;"")+--(D266&lt;&gt;"")+--(E266&lt;&gt;"")+--(F266&lt;&gt;"")+--(G266&lt;&gt;"")+--(H266&lt;&gt;"")+--(I266&lt;&gt;"")+--(J266&lt;&gt;"")+--(K266&lt;&gt;"")+--(L266&lt;&gt;"")+--(M266&lt;&gt;"")+--(N266&lt;&gt;"")+--(O266&lt;&gt;"")+--(P266&lt;&gt;"")+--(Q266&lt;&gt;"")+--(R266&lt;&gt;"")+--(S266&lt;&gt;"")+--(T266&lt;&gt;""))/19)</f>
        <v/>
      </c>
      <c r="AA266" s="16" t="n"/>
      <c r="AB266" s="16" t="n"/>
      <c r="AC266" s="16" t="n"/>
      <c r="AD266" s="16" t="n"/>
      <c r="AE266" s="7">
        <f>IF(B266="","",IF(AND(AA266="合格",AB266="合格",AC266="合格",AD266="合格"),"有效","无效"))</f>
        <v/>
      </c>
    </row>
    <row r="267">
      <c r="A267" s="7">
        <f>IF(B267="","",TEXT(B267,"yyyymmdd")&amp;"-"&amp;TEXT(ROW()-1,"000"))</f>
        <v/>
      </c>
      <c r="B267" s="8" t="n"/>
      <c r="C267" s="9" t="n"/>
      <c r="D267" s="9" t="n"/>
      <c r="E267" s="9" t="n"/>
      <c r="F267" s="9" t="n"/>
      <c r="G267" s="9" t="n"/>
      <c r="H267" s="9" t="n"/>
      <c r="I267" s="9" t="n"/>
      <c r="J267" s="10" t="n"/>
      <c r="K267" s="9" t="n"/>
      <c r="L267" s="9" t="n"/>
      <c r="M267" s="9" t="n"/>
      <c r="N267" s="10" t="n"/>
      <c r="O267" s="9" t="n"/>
      <c r="P267" s="10" t="n"/>
      <c r="Q267" s="10" t="n"/>
      <c r="R267" s="9" t="n"/>
      <c r="S267" s="10" t="n"/>
      <c r="T267" s="10" t="n"/>
      <c r="U267" s="11" t="n"/>
      <c r="V267" s="11" t="n"/>
      <c r="W267" s="12">
        <f>IF(B267="","",B267+3)</f>
        <v/>
      </c>
      <c r="X267" s="12">
        <f>IF(B267="","",B267+5)</f>
        <v/>
      </c>
      <c r="Y267" s="12">
        <f>IF(B267="","",B267+10)</f>
        <v/>
      </c>
      <c r="Z267" s="13">
        <f>IF(B267="","",(--(B267&lt;&gt;"")+--(C267&lt;&gt;"")+--(D267&lt;&gt;"")+--(E267&lt;&gt;"")+--(F267&lt;&gt;"")+--(G267&lt;&gt;"")+--(H267&lt;&gt;"")+--(I267&lt;&gt;"")+--(J267&lt;&gt;"")+--(K267&lt;&gt;"")+--(L267&lt;&gt;"")+--(M267&lt;&gt;"")+--(N267&lt;&gt;"")+--(O267&lt;&gt;"")+--(P267&lt;&gt;"")+--(Q267&lt;&gt;"")+--(R267&lt;&gt;"")+--(S267&lt;&gt;"")+--(T267&lt;&gt;""))/19)</f>
        <v/>
      </c>
      <c r="AA267" s="16" t="n"/>
      <c r="AB267" s="16" t="n"/>
      <c r="AC267" s="16" t="n"/>
      <c r="AD267" s="16" t="n"/>
      <c r="AE267" s="7">
        <f>IF(B267="","",IF(AND(AA267="合格",AB267="合格",AC267="合格",AD267="合格"),"有效","无效"))</f>
        <v/>
      </c>
    </row>
    <row r="268">
      <c r="A268" s="7">
        <f>IF(B268="","",TEXT(B268,"yyyymmdd")&amp;"-"&amp;TEXT(ROW()-1,"000"))</f>
        <v/>
      </c>
      <c r="B268" s="8" t="n"/>
      <c r="C268" s="9" t="n"/>
      <c r="D268" s="9" t="n"/>
      <c r="E268" s="9" t="n"/>
      <c r="F268" s="9" t="n"/>
      <c r="G268" s="9" t="n"/>
      <c r="H268" s="9" t="n"/>
      <c r="I268" s="9" t="n"/>
      <c r="J268" s="10" t="n"/>
      <c r="K268" s="9" t="n"/>
      <c r="L268" s="9" t="n"/>
      <c r="M268" s="9" t="n"/>
      <c r="N268" s="10" t="n"/>
      <c r="O268" s="9" t="n"/>
      <c r="P268" s="10" t="n"/>
      <c r="Q268" s="10" t="n"/>
      <c r="R268" s="9" t="n"/>
      <c r="S268" s="10" t="n"/>
      <c r="T268" s="10" t="n"/>
      <c r="U268" s="11" t="n"/>
      <c r="V268" s="11" t="n"/>
      <c r="W268" s="12">
        <f>IF(B268="","",B268+3)</f>
        <v/>
      </c>
      <c r="X268" s="12">
        <f>IF(B268="","",B268+5)</f>
        <v/>
      </c>
      <c r="Y268" s="12">
        <f>IF(B268="","",B268+10)</f>
        <v/>
      </c>
      <c r="Z268" s="13">
        <f>IF(B268="","",(--(B268&lt;&gt;"")+--(C268&lt;&gt;"")+--(D268&lt;&gt;"")+--(E268&lt;&gt;"")+--(F268&lt;&gt;"")+--(G268&lt;&gt;"")+--(H268&lt;&gt;"")+--(I268&lt;&gt;"")+--(J268&lt;&gt;"")+--(K268&lt;&gt;"")+--(L268&lt;&gt;"")+--(M268&lt;&gt;"")+--(N268&lt;&gt;"")+--(O268&lt;&gt;"")+--(P268&lt;&gt;"")+--(Q268&lt;&gt;"")+--(R268&lt;&gt;"")+--(S268&lt;&gt;"")+--(T268&lt;&gt;""))/19)</f>
        <v/>
      </c>
      <c r="AA268" s="16" t="n"/>
      <c r="AB268" s="16" t="n"/>
      <c r="AC268" s="16" t="n"/>
      <c r="AD268" s="16" t="n"/>
      <c r="AE268" s="7">
        <f>IF(B268="","",IF(AND(AA268="合格",AB268="合格",AC268="合格",AD268="合格"),"有效","无效"))</f>
        <v/>
      </c>
    </row>
    <row r="269">
      <c r="A269" s="7">
        <f>IF(B269="","",TEXT(B269,"yyyymmdd")&amp;"-"&amp;TEXT(ROW()-1,"000"))</f>
        <v/>
      </c>
      <c r="B269" s="8" t="n"/>
      <c r="C269" s="9" t="n"/>
      <c r="D269" s="9" t="n"/>
      <c r="E269" s="9" t="n"/>
      <c r="F269" s="9" t="n"/>
      <c r="G269" s="9" t="n"/>
      <c r="H269" s="9" t="n"/>
      <c r="I269" s="9" t="n"/>
      <c r="J269" s="10" t="n"/>
      <c r="K269" s="9" t="n"/>
      <c r="L269" s="9" t="n"/>
      <c r="M269" s="9" t="n"/>
      <c r="N269" s="10" t="n"/>
      <c r="O269" s="9" t="n"/>
      <c r="P269" s="10" t="n"/>
      <c r="Q269" s="10" t="n"/>
      <c r="R269" s="9" t="n"/>
      <c r="S269" s="10" t="n"/>
      <c r="T269" s="10" t="n"/>
      <c r="U269" s="11" t="n"/>
      <c r="V269" s="11" t="n"/>
      <c r="W269" s="12">
        <f>IF(B269="","",B269+3)</f>
        <v/>
      </c>
      <c r="X269" s="12">
        <f>IF(B269="","",B269+5)</f>
        <v/>
      </c>
      <c r="Y269" s="12">
        <f>IF(B269="","",B269+10)</f>
        <v/>
      </c>
      <c r="Z269" s="13">
        <f>IF(B269="","",(--(B269&lt;&gt;"")+--(C269&lt;&gt;"")+--(D269&lt;&gt;"")+--(E269&lt;&gt;"")+--(F269&lt;&gt;"")+--(G269&lt;&gt;"")+--(H269&lt;&gt;"")+--(I269&lt;&gt;"")+--(J269&lt;&gt;"")+--(K269&lt;&gt;"")+--(L269&lt;&gt;"")+--(M269&lt;&gt;"")+--(N269&lt;&gt;"")+--(O269&lt;&gt;"")+--(P269&lt;&gt;"")+--(Q269&lt;&gt;"")+--(R269&lt;&gt;"")+--(S269&lt;&gt;"")+--(T269&lt;&gt;""))/19)</f>
        <v/>
      </c>
      <c r="AA269" s="16" t="n"/>
      <c r="AB269" s="16" t="n"/>
      <c r="AC269" s="16" t="n"/>
      <c r="AD269" s="16" t="n"/>
      <c r="AE269" s="7">
        <f>IF(B269="","",IF(AND(AA269="合格",AB269="合格",AC269="合格",AD269="合格"),"有效","无效"))</f>
        <v/>
      </c>
    </row>
    <row r="270">
      <c r="A270" s="7">
        <f>IF(B270="","",TEXT(B270,"yyyymmdd")&amp;"-"&amp;TEXT(ROW()-1,"000"))</f>
        <v/>
      </c>
      <c r="B270" s="8" t="n"/>
      <c r="C270" s="9" t="n"/>
      <c r="D270" s="9" t="n"/>
      <c r="E270" s="9" t="n"/>
      <c r="F270" s="9" t="n"/>
      <c r="G270" s="9" t="n"/>
      <c r="H270" s="9" t="n"/>
      <c r="I270" s="9" t="n"/>
      <c r="J270" s="10" t="n"/>
      <c r="K270" s="9" t="n"/>
      <c r="L270" s="9" t="n"/>
      <c r="M270" s="9" t="n"/>
      <c r="N270" s="10" t="n"/>
      <c r="O270" s="9" t="n"/>
      <c r="P270" s="10" t="n"/>
      <c r="Q270" s="10" t="n"/>
      <c r="R270" s="9" t="n"/>
      <c r="S270" s="10" t="n"/>
      <c r="T270" s="10" t="n"/>
      <c r="U270" s="11" t="n"/>
      <c r="V270" s="11" t="n"/>
      <c r="W270" s="12">
        <f>IF(B270="","",B270+3)</f>
        <v/>
      </c>
      <c r="X270" s="12">
        <f>IF(B270="","",B270+5)</f>
        <v/>
      </c>
      <c r="Y270" s="12">
        <f>IF(B270="","",B270+10)</f>
        <v/>
      </c>
      <c r="Z270" s="13">
        <f>IF(B270="","",(--(B270&lt;&gt;"")+--(C270&lt;&gt;"")+--(D270&lt;&gt;"")+--(E270&lt;&gt;"")+--(F270&lt;&gt;"")+--(G270&lt;&gt;"")+--(H270&lt;&gt;"")+--(I270&lt;&gt;"")+--(J270&lt;&gt;"")+--(K270&lt;&gt;"")+--(L270&lt;&gt;"")+--(M270&lt;&gt;"")+--(N270&lt;&gt;"")+--(O270&lt;&gt;"")+--(P270&lt;&gt;"")+--(Q270&lt;&gt;"")+--(R270&lt;&gt;"")+--(S270&lt;&gt;"")+--(T270&lt;&gt;""))/19)</f>
        <v/>
      </c>
      <c r="AA270" s="16" t="n"/>
      <c r="AB270" s="16" t="n"/>
      <c r="AC270" s="16" t="n"/>
      <c r="AD270" s="16" t="n"/>
      <c r="AE270" s="7">
        <f>IF(B270="","",IF(AND(AA270="合格",AB270="合格",AC270="合格",AD270="合格"),"有效","无效"))</f>
        <v/>
      </c>
    </row>
    <row r="271">
      <c r="A271" s="7">
        <f>IF(B271="","",TEXT(B271,"yyyymmdd")&amp;"-"&amp;TEXT(ROW()-1,"000"))</f>
        <v/>
      </c>
      <c r="B271" s="8" t="n"/>
      <c r="C271" s="9" t="n"/>
      <c r="D271" s="9" t="n"/>
      <c r="E271" s="9" t="n"/>
      <c r="F271" s="9" t="n"/>
      <c r="G271" s="9" t="n"/>
      <c r="H271" s="9" t="n"/>
      <c r="I271" s="9" t="n"/>
      <c r="J271" s="10" t="n"/>
      <c r="K271" s="9" t="n"/>
      <c r="L271" s="9" t="n"/>
      <c r="M271" s="9" t="n"/>
      <c r="N271" s="10" t="n"/>
      <c r="O271" s="9" t="n"/>
      <c r="P271" s="10" t="n"/>
      <c r="Q271" s="10" t="n"/>
      <c r="R271" s="9" t="n"/>
      <c r="S271" s="10" t="n"/>
      <c r="T271" s="10" t="n"/>
      <c r="U271" s="11" t="n"/>
      <c r="V271" s="11" t="n"/>
      <c r="W271" s="12">
        <f>IF(B271="","",B271+3)</f>
        <v/>
      </c>
      <c r="X271" s="12">
        <f>IF(B271="","",B271+5)</f>
        <v/>
      </c>
      <c r="Y271" s="12">
        <f>IF(B271="","",B271+10)</f>
        <v/>
      </c>
      <c r="Z271" s="13">
        <f>IF(B271="","",(--(B271&lt;&gt;"")+--(C271&lt;&gt;"")+--(D271&lt;&gt;"")+--(E271&lt;&gt;"")+--(F271&lt;&gt;"")+--(G271&lt;&gt;"")+--(H271&lt;&gt;"")+--(I271&lt;&gt;"")+--(J271&lt;&gt;"")+--(K271&lt;&gt;"")+--(L271&lt;&gt;"")+--(M271&lt;&gt;"")+--(N271&lt;&gt;"")+--(O271&lt;&gt;"")+--(P271&lt;&gt;"")+--(Q271&lt;&gt;"")+--(R271&lt;&gt;"")+--(S271&lt;&gt;"")+--(T271&lt;&gt;""))/19)</f>
        <v/>
      </c>
      <c r="AA271" s="16" t="n"/>
      <c r="AB271" s="16" t="n"/>
      <c r="AC271" s="16" t="n"/>
      <c r="AD271" s="16" t="n"/>
      <c r="AE271" s="7">
        <f>IF(B271="","",IF(AND(AA271="合格",AB271="合格",AC271="合格",AD271="合格"),"有效","无效"))</f>
        <v/>
      </c>
    </row>
    <row r="272">
      <c r="A272" s="7">
        <f>IF(B272="","",TEXT(B272,"yyyymmdd")&amp;"-"&amp;TEXT(ROW()-1,"000"))</f>
        <v/>
      </c>
      <c r="B272" s="8" t="n"/>
      <c r="C272" s="9" t="n"/>
      <c r="D272" s="9" t="n"/>
      <c r="E272" s="9" t="n"/>
      <c r="F272" s="9" t="n"/>
      <c r="G272" s="9" t="n"/>
      <c r="H272" s="9" t="n"/>
      <c r="I272" s="9" t="n"/>
      <c r="J272" s="10" t="n"/>
      <c r="K272" s="9" t="n"/>
      <c r="L272" s="9" t="n"/>
      <c r="M272" s="9" t="n"/>
      <c r="N272" s="10" t="n"/>
      <c r="O272" s="9" t="n"/>
      <c r="P272" s="10" t="n"/>
      <c r="Q272" s="10" t="n"/>
      <c r="R272" s="9" t="n"/>
      <c r="S272" s="10" t="n"/>
      <c r="T272" s="10" t="n"/>
      <c r="U272" s="11" t="n"/>
      <c r="V272" s="11" t="n"/>
      <c r="W272" s="12">
        <f>IF(B272="","",B272+3)</f>
        <v/>
      </c>
      <c r="X272" s="12">
        <f>IF(B272="","",B272+5)</f>
        <v/>
      </c>
      <c r="Y272" s="12">
        <f>IF(B272="","",B272+10)</f>
        <v/>
      </c>
      <c r="Z272" s="13">
        <f>IF(B272="","",(--(B272&lt;&gt;"")+--(C272&lt;&gt;"")+--(D272&lt;&gt;"")+--(E272&lt;&gt;"")+--(F272&lt;&gt;"")+--(G272&lt;&gt;"")+--(H272&lt;&gt;"")+--(I272&lt;&gt;"")+--(J272&lt;&gt;"")+--(K272&lt;&gt;"")+--(L272&lt;&gt;"")+--(M272&lt;&gt;"")+--(N272&lt;&gt;"")+--(O272&lt;&gt;"")+--(P272&lt;&gt;"")+--(Q272&lt;&gt;"")+--(R272&lt;&gt;"")+--(S272&lt;&gt;"")+--(T272&lt;&gt;""))/19)</f>
        <v/>
      </c>
      <c r="AA272" s="16" t="n"/>
      <c r="AB272" s="16" t="n"/>
      <c r="AC272" s="16" t="n"/>
      <c r="AD272" s="16" t="n"/>
      <c r="AE272" s="7">
        <f>IF(B272="","",IF(AND(AA272="合格",AB272="合格",AC272="合格",AD272="合格"),"有效","无效"))</f>
        <v/>
      </c>
    </row>
    <row r="273">
      <c r="A273" s="7">
        <f>IF(B273="","",TEXT(B273,"yyyymmdd")&amp;"-"&amp;TEXT(ROW()-1,"000"))</f>
        <v/>
      </c>
      <c r="B273" s="8" t="n"/>
      <c r="C273" s="9" t="n"/>
      <c r="D273" s="9" t="n"/>
      <c r="E273" s="9" t="n"/>
      <c r="F273" s="9" t="n"/>
      <c r="G273" s="9" t="n"/>
      <c r="H273" s="9" t="n"/>
      <c r="I273" s="9" t="n"/>
      <c r="J273" s="10" t="n"/>
      <c r="K273" s="9" t="n"/>
      <c r="L273" s="9" t="n"/>
      <c r="M273" s="9" t="n"/>
      <c r="N273" s="10" t="n"/>
      <c r="O273" s="9" t="n"/>
      <c r="P273" s="10" t="n"/>
      <c r="Q273" s="10" t="n"/>
      <c r="R273" s="9" t="n"/>
      <c r="S273" s="10" t="n"/>
      <c r="T273" s="10" t="n"/>
      <c r="U273" s="11" t="n"/>
      <c r="V273" s="11" t="n"/>
      <c r="W273" s="12">
        <f>IF(B273="","",B273+3)</f>
        <v/>
      </c>
      <c r="X273" s="12">
        <f>IF(B273="","",B273+5)</f>
        <v/>
      </c>
      <c r="Y273" s="12">
        <f>IF(B273="","",B273+10)</f>
        <v/>
      </c>
      <c r="Z273" s="13">
        <f>IF(B273="","",(--(B273&lt;&gt;"")+--(C273&lt;&gt;"")+--(D273&lt;&gt;"")+--(E273&lt;&gt;"")+--(F273&lt;&gt;"")+--(G273&lt;&gt;"")+--(H273&lt;&gt;"")+--(I273&lt;&gt;"")+--(J273&lt;&gt;"")+--(K273&lt;&gt;"")+--(L273&lt;&gt;"")+--(M273&lt;&gt;"")+--(N273&lt;&gt;"")+--(O273&lt;&gt;"")+--(P273&lt;&gt;"")+--(Q273&lt;&gt;"")+--(R273&lt;&gt;"")+--(S273&lt;&gt;"")+--(T273&lt;&gt;""))/19)</f>
        <v/>
      </c>
      <c r="AA273" s="16" t="n"/>
      <c r="AB273" s="16" t="n"/>
      <c r="AC273" s="16" t="n"/>
      <c r="AD273" s="16" t="n"/>
      <c r="AE273" s="7">
        <f>IF(B273="","",IF(AND(AA273="合格",AB273="合格",AC273="合格",AD273="合格"),"有效","无效"))</f>
        <v/>
      </c>
    </row>
    <row r="274">
      <c r="A274" s="7">
        <f>IF(B274="","",TEXT(B274,"yyyymmdd")&amp;"-"&amp;TEXT(ROW()-1,"000"))</f>
        <v/>
      </c>
      <c r="B274" s="8" t="n"/>
      <c r="C274" s="9" t="n"/>
      <c r="D274" s="9" t="n"/>
      <c r="E274" s="9" t="n"/>
      <c r="F274" s="9" t="n"/>
      <c r="G274" s="9" t="n"/>
      <c r="H274" s="9" t="n"/>
      <c r="I274" s="9" t="n"/>
      <c r="J274" s="10" t="n"/>
      <c r="K274" s="9" t="n"/>
      <c r="L274" s="9" t="n"/>
      <c r="M274" s="9" t="n"/>
      <c r="N274" s="10" t="n"/>
      <c r="O274" s="9" t="n"/>
      <c r="P274" s="10" t="n"/>
      <c r="Q274" s="10" t="n"/>
      <c r="R274" s="9" t="n"/>
      <c r="S274" s="10" t="n"/>
      <c r="T274" s="10" t="n"/>
      <c r="U274" s="11" t="n"/>
      <c r="V274" s="11" t="n"/>
      <c r="W274" s="12">
        <f>IF(B274="","",B274+3)</f>
        <v/>
      </c>
      <c r="X274" s="12">
        <f>IF(B274="","",B274+5)</f>
        <v/>
      </c>
      <c r="Y274" s="12">
        <f>IF(B274="","",B274+10)</f>
        <v/>
      </c>
      <c r="Z274" s="13">
        <f>IF(B274="","",(--(B274&lt;&gt;"")+--(C274&lt;&gt;"")+--(D274&lt;&gt;"")+--(E274&lt;&gt;"")+--(F274&lt;&gt;"")+--(G274&lt;&gt;"")+--(H274&lt;&gt;"")+--(I274&lt;&gt;"")+--(J274&lt;&gt;"")+--(K274&lt;&gt;"")+--(L274&lt;&gt;"")+--(M274&lt;&gt;"")+--(N274&lt;&gt;"")+--(O274&lt;&gt;"")+--(P274&lt;&gt;"")+--(Q274&lt;&gt;"")+--(R274&lt;&gt;"")+--(S274&lt;&gt;"")+--(T274&lt;&gt;""))/19)</f>
        <v/>
      </c>
      <c r="AA274" s="16" t="n"/>
      <c r="AB274" s="16" t="n"/>
      <c r="AC274" s="16" t="n"/>
      <c r="AD274" s="16" t="n"/>
      <c r="AE274" s="7">
        <f>IF(B274="","",IF(AND(AA274="合格",AB274="合格",AC274="合格",AD274="合格"),"有效","无效"))</f>
        <v/>
      </c>
    </row>
    <row r="275">
      <c r="A275" s="7">
        <f>IF(B275="","",TEXT(B275,"yyyymmdd")&amp;"-"&amp;TEXT(ROW()-1,"000"))</f>
        <v/>
      </c>
      <c r="B275" s="8" t="n"/>
      <c r="C275" s="9" t="n"/>
      <c r="D275" s="9" t="n"/>
      <c r="E275" s="9" t="n"/>
      <c r="F275" s="9" t="n"/>
      <c r="G275" s="9" t="n"/>
      <c r="H275" s="9" t="n"/>
      <c r="I275" s="9" t="n"/>
      <c r="J275" s="10" t="n"/>
      <c r="K275" s="9" t="n"/>
      <c r="L275" s="9" t="n"/>
      <c r="M275" s="9" t="n"/>
      <c r="N275" s="10" t="n"/>
      <c r="O275" s="9" t="n"/>
      <c r="P275" s="10" t="n"/>
      <c r="Q275" s="10" t="n"/>
      <c r="R275" s="9" t="n"/>
      <c r="S275" s="10" t="n"/>
      <c r="T275" s="10" t="n"/>
      <c r="U275" s="11" t="n"/>
      <c r="V275" s="11" t="n"/>
      <c r="W275" s="12">
        <f>IF(B275="","",B275+3)</f>
        <v/>
      </c>
      <c r="X275" s="12">
        <f>IF(B275="","",B275+5)</f>
        <v/>
      </c>
      <c r="Y275" s="12">
        <f>IF(B275="","",B275+10)</f>
        <v/>
      </c>
      <c r="Z275" s="13">
        <f>IF(B275="","",(--(B275&lt;&gt;"")+--(C275&lt;&gt;"")+--(D275&lt;&gt;"")+--(E275&lt;&gt;"")+--(F275&lt;&gt;"")+--(G275&lt;&gt;"")+--(H275&lt;&gt;"")+--(I275&lt;&gt;"")+--(J275&lt;&gt;"")+--(K275&lt;&gt;"")+--(L275&lt;&gt;"")+--(M275&lt;&gt;"")+--(N275&lt;&gt;"")+--(O275&lt;&gt;"")+--(P275&lt;&gt;"")+--(Q275&lt;&gt;"")+--(R275&lt;&gt;"")+--(S275&lt;&gt;"")+--(T275&lt;&gt;""))/19)</f>
        <v/>
      </c>
      <c r="AA275" s="16" t="n"/>
      <c r="AB275" s="16" t="n"/>
      <c r="AC275" s="16" t="n"/>
      <c r="AD275" s="16" t="n"/>
      <c r="AE275" s="7">
        <f>IF(B275="","",IF(AND(AA275="合格",AB275="合格",AC275="合格",AD275="合格"),"有效","无效"))</f>
        <v/>
      </c>
    </row>
    <row r="276">
      <c r="A276" s="7">
        <f>IF(B276="","",TEXT(B276,"yyyymmdd")&amp;"-"&amp;TEXT(ROW()-1,"000"))</f>
        <v/>
      </c>
      <c r="B276" s="8" t="n"/>
      <c r="C276" s="9" t="n"/>
      <c r="D276" s="9" t="n"/>
      <c r="E276" s="9" t="n"/>
      <c r="F276" s="9" t="n"/>
      <c r="G276" s="9" t="n"/>
      <c r="H276" s="9" t="n"/>
      <c r="I276" s="9" t="n"/>
      <c r="J276" s="10" t="n"/>
      <c r="K276" s="9" t="n"/>
      <c r="L276" s="9" t="n"/>
      <c r="M276" s="9" t="n"/>
      <c r="N276" s="10" t="n"/>
      <c r="O276" s="9" t="n"/>
      <c r="P276" s="10" t="n"/>
      <c r="Q276" s="10" t="n"/>
      <c r="R276" s="9" t="n"/>
      <c r="S276" s="10" t="n"/>
      <c r="T276" s="10" t="n"/>
      <c r="U276" s="11" t="n"/>
      <c r="V276" s="11" t="n"/>
      <c r="W276" s="12">
        <f>IF(B276="","",B276+3)</f>
        <v/>
      </c>
      <c r="X276" s="12">
        <f>IF(B276="","",B276+5)</f>
        <v/>
      </c>
      <c r="Y276" s="12">
        <f>IF(B276="","",B276+10)</f>
        <v/>
      </c>
      <c r="Z276" s="13">
        <f>IF(B276="","",(--(B276&lt;&gt;"")+--(C276&lt;&gt;"")+--(D276&lt;&gt;"")+--(E276&lt;&gt;"")+--(F276&lt;&gt;"")+--(G276&lt;&gt;"")+--(H276&lt;&gt;"")+--(I276&lt;&gt;"")+--(J276&lt;&gt;"")+--(K276&lt;&gt;"")+--(L276&lt;&gt;"")+--(M276&lt;&gt;"")+--(N276&lt;&gt;"")+--(O276&lt;&gt;"")+--(P276&lt;&gt;"")+--(Q276&lt;&gt;"")+--(R276&lt;&gt;"")+--(S276&lt;&gt;"")+--(T276&lt;&gt;""))/19)</f>
        <v/>
      </c>
      <c r="AA276" s="16" t="n"/>
      <c r="AB276" s="16" t="n"/>
      <c r="AC276" s="16" t="n"/>
      <c r="AD276" s="16" t="n"/>
      <c r="AE276" s="7">
        <f>IF(B276="","",IF(AND(AA276="合格",AB276="合格",AC276="合格",AD276="合格"),"有效","无效"))</f>
        <v/>
      </c>
    </row>
    <row r="277">
      <c r="A277" s="7">
        <f>IF(B277="","",TEXT(B277,"yyyymmdd")&amp;"-"&amp;TEXT(ROW()-1,"000"))</f>
        <v/>
      </c>
      <c r="B277" s="8" t="n"/>
      <c r="C277" s="9" t="n"/>
      <c r="D277" s="9" t="n"/>
      <c r="E277" s="9" t="n"/>
      <c r="F277" s="9" t="n"/>
      <c r="G277" s="9" t="n"/>
      <c r="H277" s="9" t="n"/>
      <c r="I277" s="9" t="n"/>
      <c r="J277" s="10" t="n"/>
      <c r="K277" s="9" t="n"/>
      <c r="L277" s="9" t="n"/>
      <c r="M277" s="9" t="n"/>
      <c r="N277" s="10" t="n"/>
      <c r="O277" s="9" t="n"/>
      <c r="P277" s="10" t="n"/>
      <c r="Q277" s="10" t="n"/>
      <c r="R277" s="9" t="n"/>
      <c r="S277" s="10" t="n"/>
      <c r="T277" s="10" t="n"/>
      <c r="U277" s="11" t="n"/>
      <c r="V277" s="11" t="n"/>
      <c r="W277" s="12">
        <f>IF(B277="","",B277+3)</f>
        <v/>
      </c>
      <c r="X277" s="12">
        <f>IF(B277="","",B277+5)</f>
        <v/>
      </c>
      <c r="Y277" s="12">
        <f>IF(B277="","",B277+10)</f>
        <v/>
      </c>
      <c r="Z277" s="13">
        <f>IF(B277="","",(--(B277&lt;&gt;"")+--(C277&lt;&gt;"")+--(D277&lt;&gt;"")+--(E277&lt;&gt;"")+--(F277&lt;&gt;"")+--(G277&lt;&gt;"")+--(H277&lt;&gt;"")+--(I277&lt;&gt;"")+--(J277&lt;&gt;"")+--(K277&lt;&gt;"")+--(L277&lt;&gt;"")+--(M277&lt;&gt;"")+--(N277&lt;&gt;"")+--(O277&lt;&gt;"")+--(P277&lt;&gt;"")+--(Q277&lt;&gt;"")+--(R277&lt;&gt;"")+--(S277&lt;&gt;"")+--(T277&lt;&gt;""))/19)</f>
        <v/>
      </c>
      <c r="AA277" s="16" t="n"/>
      <c r="AB277" s="16" t="n"/>
      <c r="AC277" s="16" t="n"/>
      <c r="AD277" s="16" t="n"/>
      <c r="AE277" s="7">
        <f>IF(B277="","",IF(AND(AA277="合格",AB277="合格",AC277="合格",AD277="合格"),"有效","无效"))</f>
        <v/>
      </c>
    </row>
    <row r="278">
      <c r="A278" s="7">
        <f>IF(B278="","",TEXT(B278,"yyyymmdd")&amp;"-"&amp;TEXT(ROW()-1,"000"))</f>
        <v/>
      </c>
      <c r="B278" s="8" t="n"/>
      <c r="C278" s="9" t="n"/>
      <c r="D278" s="9" t="n"/>
      <c r="E278" s="9" t="n"/>
      <c r="F278" s="9" t="n"/>
      <c r="G278" s="9" t="n"/>
      <c r="H278" s="9" t="n"/>
      <c r="I278" s="9" t="n"/>
      <c r="J278" s="10" t="n"/>
      <c r="K278" s="9" t="n"/>
      <c r="L278" s="9" t="n"/>
      <c r="M278" s="9" t="n"/>
      <c r="N278" s="10" t="n"/>
      <c r="O278" s="9" t="n"/>
      <c r="P278" s="10" t="n"/>
      <c r="Q278" s="10" t="n"/>
      <c r="R278" s="9" t="n"/>
      <c r="S278" s="10" t="n"/>
      <c r="T278" s="10" t="n"/>
      <c r="U278" s="11" t="n"/>
      <c r="V278" s="11" t="n"/>
      <c r="W278" s="12">
        <f>IF(B278="","",B278+3)</f>
        <v/>
      </c>
      <c r="X278" s="12">
        <f>IF(B278="","",B278+5)</f>
        <v/>
      </c>
      <c r="Y278" s="12">
        <f>IF(B278="","",B278+10)</f>
        <v/>
      </c>
      <c r="Z278" s="13">
        <f>IF(B278="","",(--(B278&lt;&gt;"")+--(C278&lt;&gt;"")+--(D278&lt;&gt;"")+--(E278&lt;&gt;"")+--(F278&lt;&gt;"")+--(G278&lt;&gt;"")+--(H278&lt;&gt;"")+--(I278&lt;&gt;"")+--(J278&lt;&gt;"")+--(K278&lt;&gt;"")+--(L278&lt;&gt;"")+--(M278&lt;&gt;"")+--(N278&lt;&gt;"")+--(O278&lt;&gt;"")+--(P278&lt;&gt;"")+--(Q278&lt;&gt;"")+--(R278&lt;&gt;"")+--(S278&lt;&gt;"")+--(T278&lt;&gt;""))/19)</f>
        <v/>
      </c>
      <c r="AA278" s="16" t="n"/>
      <c r="AB278" s="16" t="n"/>
      <c r="AC278" s="16" t="n"/>
      <c r="AD278" s="16" t="n"/>
      <c r="AE278" s="7">
        <f>IF(B278="","",IF(AND(AA278="合格",AB278="合格",AC278="合格",AD278="合格"),"有效","无效"))</f>
        <v/>
      </c>
    </row>
    <row r="279">
      <c r="A279" s="7">
        <f>IF(B279="","",TEXT(B279,"yyyymmdd")&amp;"-"&amp;TEXT(ROW()-1,"000"))</f>
        <v/>
      </c>
      <c r="B279" s="8" t="n"/>
      <c r="C279" s="9" t="n"/>
      <c r="D279" s="9" t="n"/>
      <c r="E279" s="9" t="n"/>
      <c r="F279" s="9" t="n"/>
      <c r="G279" s="9" t="n"/>
      <c r="H279" s="9" t="n"/>
      <c r="I279" s="9" t="n"/>
      <c r="J279" s="10" t="n"/>
      <c r="K279" s="9" t="n"/>
      <c r="L279" s="9" t="n"/>
      <c r="M279" s="9" t="n"/>
      <c r="N279" s="10" t="n"/>
      <c r="O279" s="9" t="n"/>
      <c r="P279" s="10" t="n"/>
      <c r="Q279" s="10" t="n"/>
      <c r="R279" s="9" t="n"/>
      <c r="S279" s="10" t="n"/>
      <c r="T279" s="10" t="n"/>
      <c r="U279" s="11" t="n"/>
      <c r="V279" s="11" t="n"/>
      <c r="W279" s="12">
        <f>IF(B279="","",B279+3)</f>
        <v/>
      </c>
      <c r="X279" s="12">
        <f>IF(B279="","",B279+5)</f>
        <v/>
      </c>
      <c r="Y279" s="12">
        <f>IF(B279="","",B279+10)</f>
        <v/>
      </c>
      <c r="Z279" s="13">
        <f>IF(B279="","",(--(B279&lt;&gt;"")+--(C279&lt;&gt;"")+--(D279&lt;&gt;"")+--(E279&lt;&gt;"")+--(F279&lt;&gt;"")+--(G279&lt;&gt;"")+--(H279&lt;&gt;"")+--(I279&lt;&gt;"")+--(J279&lt;&gt;"")+--(K279&lt;&gt;"")+--(L279&lt;&gt;"")+--(M279&lt;&gt;"")+--(N279&lt;&gt;"")+--(O279&lt;&gt;"")+--(P279&lt;&gt;"")+--(Q279&lt;&gt;"")+--(R279&lt;&gt;"")+--(S279&lt;&gt;"")+--(T279&lt;&gt;""))/19)</f>
        <v/>
      </c>
      <c r="AA279" s="16" t="n"/>
      <c r="AB279" s="16" t="n"/>
      <c r="AC279" s="16" t="n"/>
      <c r="AD279" s="16" t="n"/>
      <c r="AE279" s="7">
        <f>IF(B279="","",IF(AND(AA279="合格",AB279="合格",AC279="合格",AD279="合格"),"有效","无效"))</f>
        <v/>
      </c>
    </row>
    <row r="280">
      <c r="A280" s="7">
        <f>IF(B280="","",TEXT(B280,"yyyymmdd")&amp;"-"&amp;TEXT(ROW()-1,"000"))</f>
        <v/>
      </c>
      <c r="B280" s="8" t="n"/>
      <c r="C280" s="9" t="n"/>
      <c r="D280" s="9" t="n"/>
      <c r="E280" s="9" t="n"/>
      <c r="F280" s="9" t="n"/>
      <c r="G280" s="9" t="n"/>
      <c r="H280" s="9" t="n"/>
      <c r="I280" s="9" t="n"/>
      <c r="J280" s="10" t="n"/>
      <c r="K280" s="9" t="n"/>
      <c r="L280" s="9" t="n"/>
      <c r="M280" s="9" t="n"/>
      <c r="N280" s="10" t="n"/>
      <c r="O280" s="9" t="n"/>
      <c r="P280" s="10" t="n"/>
      <c r="Q280" s="10" t="n"/>
      <c r="R280" s="9" t="n"/>
      <c r="S280" s="10" t="n"/>
      <c r="T280" s="10" t="n"/>
      <c r="U280" s="11" t="n"/>
      <c r="V280" s="11" t="n"/>
      <c r="W280" s="12">
        <f>IF(B280="","",B280+3)</f>
        <v/>
      </c>
      <c r="X280" s="12">
        <f>IF(B280="","",B280+5)</f>
        <v/>
      </c>
      <c r="Y280" s="12">
        <f>IF(B280="","",B280+10)</f>
        <v/>
      </c>
      <c r="Z280" s="13">
        <f>IF(B280="","",(--(B280&lt;&gt;"")+--(C280&lt;&gt;"")+--(D280&lt;&gt;"")+--(E280&lt;&gt;"")+--(F280&lt;&gt;"")+--(G280&lt;&gt;"")+--(H280&lt;&gt;"")+--(I280&lt;&gt;"")+--(J280&lt;&gt;"")+--(K280&lt;&gt;"")+--(L280&lt;&gt;"")+--(M280&lt;&gt;"")+--(N280&lt;&gt;"")+--(O280&lt;&gt;"")+--(P280&lt;&gt;"")+--(Q280&lt;&gt;"")+--(R280&lt;&gt;"")+--(S280&lt;&gt;"")+--(T280&lt;&gt;""))/19)</f>
        <v/>
      </c>
      <c r="AA280" s="16" t="n"/>
      <c r="AB280" s="16" t="n"/>
      <c r="AC280" s="16" t="n"/>
      <c r="AD280" s="16" t="n"/>
      <c r="AE280" s="7">
        <f>IF(B280="","",IF(AND(AA280="合格",AB280="合格",AC280="合格",AD280="合格"),"有效","无效"))</f>
        <v/>
      </c>
    </row>
    <row r="281">
      <c r="A281" s="7">
        <f>IF(B281="","",TEXT(B281,"yyyymmdd")&amp;"-"&amp;TEXT(ROW()-1,"000"))</f>
        <v/>
      </c>
      <c r="B281" s="8" t="n"/>
      <c r="C281" s="9" t="n"/>
      <c r="D281" s="9" t="n"/>
      <c r="E281" s="9" t="n"/>
      <c r="F281" s="9" t="n"/>
      <c r="G281" s="9" t="n"/>
      <c r="H281" s="9" t="n"/>
      <c r="I281" s="9" t="n"/>
      <c r="J281" s="10" t="n"/>
      <c r="K281" s="9" t="n"/>
      <c r="L281" s="9" t="n"/>
      <c r="M281" s="9" t="n"/>
      <c r="N281" s="10" t="n"/>
      <c r="O281" s="9" t="n"/>
      <c r="P281" s="10" t="n"/>
      <c r="Q281" s="10" t="n"/>
      <c r="R281" s="9" t="n"/>
      <c r="S281" s="10" t="n"/>
      <c r="T281" s="10" t="n"/>
      <c r="U281" s="11" t="n"/>
      <c r="V281" s="11" t="n"/>
      <c r="W281" s="12">
        <f>IF(B281="","",B281+3)</f>
        <v/>
      </c>
      <c r="X281" s="12">
        <f>IF(B281="","",B281+5)</f>
        <v/>
      </c>
      <c r="Y281" s="12">
        <f>IF(B281="","",B281+10)</f>
        <v/>
      </c>
      <c r="Z281" s="13">
        <f>IF(B281="","",(--(B281&lt;&gt;"")+--(C281&lt;&gt;"")+--(D281&lt;&gt;"")+--(E281&lt;&gt;"")+--(F281&lt;&gt;"")+--(G281&lt;&gt;"")+--(H281&lt;&gt;"")+--(I281&lt;&gt;"")+--(J281&lt;&gt;"")+--(K281&lt;&gt;"")+--(L281&lt;&gt;"")+--(M281&lt;&gt;"")+--(N281&lt;&gt;"")+--(O281&lt;&gt;"")+--(P281&lt;&gt;"")+--(Q281&lt;&gt;"")+--(R281&lt;&gt;"")+--(S281&lt;&gt;"")+--(T281&lt;&gt;""))/19)</f>
        <v/>
      </c>
      <c r="AA281" s="16" t="n"/>
      <c r="AB281" s="16" t="n"/>
      <c r="AC281" s="16" t="n"/>
      <c r="AD281" s="16" t="n"/>
      <c r="AE281" s="7">
        <f>IF(B281="","",IF(AND(AA281="合格",AB281="合格",AC281="合格",AD281="合格"),"有效","无效"))</f>
        <v/>
      </c>
    </row>
    <row r="282">
      <c r="A282" s="7">
        <f>IF(B282="","",TEXT(B282,"yyyymmdd")&amp;"-"&amp;TEXT(ROW()-1,"000"))</f>
        <v/>
      </c>
      <c r="B282" s="8" t="n"/>
      <c r="C282" s="9" t="n"/>
      <c r="D282" s="9" t="n"/>
      <c r="E282" s="9" t="n"/>
      <c r="F282" s="9" t="n"/>
      <c r="G282" s="9" t="n"/>
      <c r="H282" s="9" t="n"/>
      <c r="I282" s="9" t="n"/>
      <c r="J282" s="10" t="n"/>
      <c r="K282" s="9" t="n"/>
      <c r="L282" s="9" t="n"/>
      <c r="M282" s="9" t="n"/>
      <c r="N282" s="10" t="n"/>
      <c r="O282" s="9" t="n"/>
      <c r="P282" s="10" t="n"/>
      <c r="Q282" s="10" t="n"/>
      <c r="R282" s="9" t="n"/>
      <c r="S282" s="10" t="n"/>
      <c r="T282" s="10" t="n"/>
      <c r="U282" s="11" t="n"/>
      <c r="V282" s="11" t="n"/>
      <c r="W282" s="12">
        <f>IF(B282="","",B282+3)</f>
        <v/>
      </c>
      <c r="X282" s="12">
        <f>IF(B282="","",B282+5)</f>
        <v/>
      </c>
      <c r="Y282" s="12">
        <f>IF(B282="","",B282+10)</f>
        <v/>
      </c>
      <c r="Z282" s="13">
        <f>IF(B282="","",(--(B282&lt;&gt;"")+--(C282&lt;&gt;"")+--(D282&lt;&gt;"")+--(E282&lt;&gt;"")+--(F282&lt;&gt;"")+--(G282&lt;&gt;"")+--(H282&lt;&gt;"")+--(I282&lt;&gt;"")+--(J282&lt;&gt;"")+--(K282&lt;&gt;"")+--(L282&lt;&gt;"")+--(M282&lt;&gt;"")+--(N282&lt;&gt;"")+--(O282&lt;&gt;"")+--(P282&lt;&gt;"")+--(Q282&lt;&gt;"")+--(R282&lt;&gt;"")+--(S282&lt;&gt;"")+--(T282&lt;&gt;""))/19)</f>
        <v/>
      </c>
      <c r="AA282" s="16" t="n"/>
      <c r="AB282" s="16" t="n"/>
      <c r="AC282" s="16" t="n"/>
      <c r="AD282" s="16" t="n"/>
      <c r="AE282" s="7">
        <f>IF(B282="","",IF(AND(AA282="合格",AB282="合格",AC282="合格",AD282="合格"),"有效","无效"))</f>
        <v/>
      </c>
    </row>
    <row r="283">
      <c r="A283" s="7">
        <f>IF(B283="","",TEXT(B283,"yyyymmdd")&amp;"-"&amp;TEXT(ROW()-1,"000"))</f>
        <v/>
      </c>
      <c r="B283" s="8" t="n"/>
      <c r="C283" s="9" t="n"/>
      <c r="D283" s="9" t="n"/>
      <c r="E283" s="9" t="n"/>
      <c r="F283" s="9" t="n"/>
      <c r="G283" s="9" t="n"/>
      <c r="H283" s="9" t="n"/>
      <c r="I283" s="9" t="n"/>
      <c r="J283" s="10" t="n"/>
      <c r="K283" s="9" t="n"/>
      <c r="L283" s="9" t="n"/>
      <c r="M283" s="9" t="n"/>
      <c r="N283" s="10" t="n"/>
      <c r="O283" s="9" t="n"/>
      <c r="P283" s="10" t="n"/>
      <c r="Q283" s="10" t="n"/>
      <c r="R283" s="9" t="n"/>
      <c r="S283" s="10" t="n"/>
      <c r="T283" s="10" t="n"/>
      <c r="U283" s="11" t="n"/>
      <c r="V283" s="11" t="n"/>
      <c r="W283" s="12">
        <f>IF(B283="","",B283+3)</f>
        <v/>
      </c>
      <c r="X283" s="12">
        <f>IF(B283="","",B283+5)</f>
        <v/>
      </c>
      <c r="Y283" s="12">
        <f>IF(B283="","",B283+10)</f>
        <v/>
      </c>
      <c r="Z283" s="13">
        <f>IF(B283="","",(--(B283&lt;&gt;"")+--(C283&lt;&gt;"")+--(D283&lt;&gt;"")+--(E283&lt;&gt;"")+--(F283&lt;&gt;"")+--(G283&lt;&gt;"")+--(H283&lt;&gt;"")+--(I283&lt;&gt;"")+--(J283&lt;&gt;"")+--(K283&lt;&gt;"")+--(L283&lt;&gt;"")+--(M283&lt;&gt;"")+--(N283&lt;&gt;"")+--(O283&lt;&gt;"")+--(P283&lt;&gt;"")+--(Q283&lt;&gt;"")+--(R283&lt;&gt;"")+--(S283&lt;&gt;"")+--(T283&lt;&gt;""))/19)</f>
        <v/>
      </c>
      <c r="AA283" s="16" t="n"/>
      <c r="AB283" s="16" t="n"/>
      <c r="AC283" s="16" t="n"/>
      <c r="AD283" s="16" t="n"/>
      <c r="AE283" s="7">
        <f>IF(B283="","",IF(AND(AA283="合格",AB283="合格",AC283="合格",AD283="合格"),"有效","无效"))</f>
        <v/>
      </c>
    </row>
    <row r="284">
      <c r="A284" s="7">
        <f>IF(B284="","",TEXT(B284,"yyyymmdd")&amp;"-"&amp;TEXT(ROW()-1,"000"))</f>
        <v/>
      </c>
      <c r="B284" s="8" t="n"/>
      <c r="C284" s="9" t="n"/>
      <c r="D284" s="9" t="n"/>
      <c r="E284" s="9" t="n"/>
      <c r="F284" s="9" t="n"/>
      <c r="G284" s="9" t="n"/>
      <c r="H284" s="9" t="n"/>
      <c r="I284" s="9" t="n"/>
      <c r="J284" s="10" t="n"/>
      <c r="K284" s="9" t="n"/>
      <c r="L284" s="9" t="n"/>
      <c r="M284" s="9" t="n"/>
      <c r="N284" s="10" t="n"/>
      <c r="O284" s="9" t="n"/>
      <c r="P284" s="10" t="n"/>
      <c r="Q284" s="10" t="n"/>
      <c r="R284" s="9" t="n"/>
      <c r="S284" s="10" t="n"/>
      <c r="T284" s="10" t="n"/>
      <c r="U284" s="11" t="n"/>
      <c r="V284" s="11" t="n"/>
      <c r="W284" s="12">
        <f>IF(B284="","",B284+3)</f>
        <v/>
      </c>
      <c r="X284" s="12">
        <f>IF(B284="","",B284+5)</f>
        <v/>
      </c>
      <c r="Y284" s="12">
        <f>IF(B284="","",B284+10)</f>
        <v/>
      </c>
      <c r="Z284" s="13">
        <f>IF(B284="","",(--(B284&lt;&gt;"")+--(C284&lt;&gt;"")+--(D284&lt;&gt;"")+--(E284&lt;&gt;"")+--(F284&lt;&gt;"")+--(G284&lt;&gt;"")+--(H284&lt;&gt;"")+--(I284&lt;&gt;"")+--(J284&lt;&gt;"")+--(K284&lt;&gt;"")+--(L284&lt;&gt;"")+--(M284&lt;&gt;"")+--(N284&lt;&gt;"")+--(O284&lt;&gt;"")+--(P284&lt;&gt;"")+--(Q284&lt;&gt;"")+--(R284&lt;&gt;"")+--(S284&lt;&gt;"")+--(T284&lt;&gt;""))/19)</f>
        <v/>
      </c>
      <c r="AA284" s="16" t="n"/>
      <c r="AB284" s="16" t="n"/>
      <c r="AC284" s="16" t="n"/>
      <c r="AD284" s="16" t="n"/>
      <c r="AE284" s="7">
        <f>IF(B284="","",IF(AND(AA284="合格",AB284="合格",AC284="合格",AD284="合格"),"有效","无效"))</f>
        <v/>
      </c>
    </row>
    <row r="285">
      <c r="A285" s="7">
        <f>IF(B285="","",TEXT(B285,"yyyymmdd")&amp;"-"&amp;TEXT(ROW()-1,"000"))</f>
        <v/>
      </c>
      <c r="B285" s="8" t="n"/>
      <c r="C285" s="9" t="n"/>
      <c r="D285" s="9" t="n"/>
      <c r="E285" s="9" t="n"/>
      <c r="F285" s="9" t="n"/>
      <c r="G285" s="9" t="n"/>
      <c r="H285" s="9" t="n"/>
      <c r="I285" s="9" t="n"/>
      <c r="J285" s="10" t="n"/>
      <c r="K285" s="9" t="n"/>
      <c r="L285" s="9" t="n"/>
      <c r="M285" s="9" t="n"/>
      <c r="N285" s="10" t="n"/>
      <c r="O285" s="9" t="n"/>
      <c r="P285" s="10" t="n"/>
      <c r="Q285" s="10" t="n"/>
      <c r="R285" s="9" t="n"/>
      <c r="S285" s="10" t="n"/>
      <c r="T285" s="10" t="n"/>
      <c r="U285" s="11" t="n"/>
      <c r="V285" s="11" t="n"/>
      <c r="W285" s="12">
        <f>IF(B285="","",B285+3)</f>
        <v/>
      </c>
      <c r="X285" s="12">
        <f>IF(B285="","",B285+5)</f>
        <v/>
      </c>
      <c r="Y285" s="12">
        <f>IF(B285="","",B285+10)</f>
        <v/>
      </c>
      <c r="Z285" s="13">
        <f>IF(B285="","",(--(B285&lt;&gt;"")+--(C285&lt;&gt;"")+--(D285&lt;&gt;"")+--(E285&lt;&gt;"")+--(F285&lt;&gt;"")+--(G285&lt;&gt;"")+--(H285&lt;&gt;"")+--(I285&lt;&gt;"")+--(J285&lt;&gt;"")+--(K285&lt;&gt;"")+--(L285&lt;&gt;"")+--(M285&lt;&gt;"")+--(N285&lt;&gt;"")+--(O285&lt;&gt;"")+--(P285&lt;&gt;"")+--(Q285&lt;&gt;"")+--(R285&lt;&gt;"")+--(S285&lt;&gt;"")+--(T285&lt;&gt;""))/19)</f>
        <v/>
      </c>
      <c r="AA285" s="16" t="n"/>
      <c r="AB285" s="16" t="n"/>
      <c r="AC285" s="16" t="n"/>
      <c r="AD285" s="16" t="n"/>
      <c r="AE285" s="7">
        <f>IF(B285="","",IF(AND(AA285="合格",AB285="合格",AC285="合格",AD285="合格"),"有效","无效"))</f>
        <v/>
      </c>
    </row>
    <row r="286">
      <c r="A286" s="7">
        <f>IF(B286="","",TEXT(B286,"yyyymmdd")&amp;"-"&amp;TEXT(ROW()-1,"000"))</f>
        <v/>
      </c>
      <c r="B286" s="8" t="n"/>
      <c r="C286" s="9" t="n"/>
      <c r="D286" s="9" t="n"/>
      <c r="E286" s="9" t="n"/>
      <c r="F286" s="9" t="n"/>
      <c r="G286" s="9" t="n"/>
      <c r="H286" s="9" t="n"/>
      <c r="I286" s="9" t="n"/>
      <c r="J286" s="10" t="n"/>
      <c r="K286" s="9" t="n"/>
      <c r="L286" s="9" t="n"/>
      <c r="M286" s="9" t="n"/>
      <c r="N286" s="10" t="n"/>
      <c r="O286" s="9" t="n"/>
      <c r="P286" s="10" t="n"/>
      <c r="Q286" s="10" t="n"/>
      <c r="R286" s="9" t="n"/>
      <c r="S286" s="10" t="n"/>
      <c r="T286" s="10" t="n"/>
      <c r="U286" s="11" t="n"/>
      <c r="V286" s="11" t="n"/>
      <c r="W286" s="12">
        <f>IF(B286="","",B286+3)</f>
        <v/>
      </c>
      <c r="X286" s="12">
        <f>IF(B286="","",B286+5)</f>
        <v/>
      </c>
      <c r="Y286" s="12">
        <f>IF(B286="","",B286+10)</f>
        <v/>
      </c>
      <c r="Z286" s="13">
        <f>IF(B286="","",(--(B286&lt;&gt;"")+--(C286&lt;&gt;"")+--(D286&lt;&gt;"")+--(E286&lt;&gt;"")+--(F286&lt;&gt;"")+--(G286&lt;&gt;"")+--(H286&lt;&gt;"")+--(I286&lt;&gt;"")+--(J286&lt;&gt;"")+--(K286&lt;&gt;"")+--(L286&lt;&gt;"")+--(M286&lt;&gt;"")+--(N286&lt;&gt;"")+--(O286&lt;&gt;"")+--(P286&lt;&gt;"")+--(Q286&lt;&gt;"")+--(R286&lt;&gt;"")+--(S286&lt;&gt;"")+--(T286&lt;&gt;""))/19)</f>
        <v/>
      </c>
      <c r="AA286" s="16" t="n"/>
      <c r="AB286" s="16" t="n"/>
      <c r="AC286" s="16" t="n"/>
      <c r="AD286" s="16" t="n"/>
      <c r="AE286" s="7">
        <f>IF(B286="","",IF(AND(AA286="合格",AB286="合格",AC286="合格",AD286="合格"),"有效","无效"))</f>
        <v/>
      </c>
    </row>
    <row r="287">
      <c r="A287" s="7">
        <f>IF(B287="","",TEXT(B287,"yyyymmdd")&amp;"-"&amp;TEXT(ROW()-1,"000"))</f>
        <v/>
      </c>
      <c r="B287" s="8" t="n"/>
      <c r="C287" s="9" t="n"/>
      <c r="D287" s="9" t="n"/>
      <c r="E287" s="9" t="n"/>
      <c r="F287" s="9" t="n"/>
      <c r="G287" s="9" t="n"/>
      <c r="H287" s="9" t="n"/>
      <c r="I287" s="9" t="n"/>
      <c r="J287" s="10" t="n"/>
      <c r="K287" s="9" t="n"/>
      <c r="L287" s="9" t="n"/>
      <c r="M287" s="9" t="n"/>
      <c r="N287" s="10" t="n"/>
      <c r="O287" s="9" t="n"/>
      <c r="P287" s="10" t="n"/>
      <c r="Q287" s="10" t="n"/>
      <c r="R287" s="9" t="n"/>
      <c r="S287" s="10" t="n"/>
      <c r="T287" s="10" t="n"/>
      <c r="U287" s="11" t="n"/>
      <c r="V287" s="11" t="n"/>
      <c r="W287" s="12">
        <f>IF(B287="","",B287+3)</f>
        <v/>
      </c>
      <c r="X287" s="12">
        <f>IF(B287="","",B287+5)</f>
        <v/>
      </c>
      <c r="Y287" s="12">
        <f>IF(B287="","",B287+10)</f>
        <v/>
      </c>
      <c r="Z287" s="13">
        <f>IF(B287="","",(--(B287&lt;&gt;"")+--(C287&lt;&gt;"")+--(D287&lt;&gt;"")+--(E287&lt;&gt;"")+--(F287&lt;&gt;"")+--(G287&lt;&gt;"")+--(H287&lt;&gt;"")+--(I287&lt;&gt;"")+--(J287&lt;&gt;"")+--(K287&lt;&gt;"")+--(L287&lt;&gt;"")+--(M287&lt;&gt;"")+--(N287&lt;&gt;"")+--(O287&lt;&gt;"")+--(P287&lt;&gt;"")+--(Q287&lt;&gt;"")+--(R287&lt;&gt;"")+--(S287&lt;&gt;"")+--(T287&lt;&gt;""))/19)</f>
        <v/>
      </c>
      <c r="AA287" s="16" t="n"/>
      <c r="AB287" s="16" t="n"/>
      <c r="AC287" s="16" t="n"/>
      <c r="AD287" s="16" t="n"/>
      <c r="AE287" s="7">
        <f>IF(B287="","",IF(AND(AA287="合格",AB287="合格",AC287="合格",AD287="合格"),"有效","无效"))</f>
        <v/>
      </c>
    </row>
    <row r="288">
      <c r="A288" s="7">
        <f>IF(B288="","",TEXT(B288,"yyyymmdd")&amp;"-"&amp;TEXT(ROW()-1,"000"))</f>
        <v/>
      </c>
      <c r="B288" s="8" t="n"/>
      <c r="C288" s="9" t="n"/>
      <c r="D288" s="9" t="n"/>
      <c r="E288" s="9" t="n"/>
      <c r="F288" s="9" t="n"/>
      <c r="G288" s="9" t="n"/>
      <c r="H288" s="9" t="n"/>
      <c r="I288" s="9" t="n"/>
      <c r="J288" s="10" t="n"/>
      <c r="K288" s="9" t="n"/>
      <c r="L288" s="9" t="n"/>
      <c r="M288" s="9" t="n"/>
      <c r="N288" s="10" t="n"/>
      <c r="O288" s="9" t="n"/>
      <c r="P288" s="10" t="n"/>
      <c r="Q288" s="10" t="n"/>
      <c r="R288" s="9" t="n"/>
      <c r="S288" s="10" t="n"/>
      <c r="T288" s="10" t="n"/>
      <c r="U288" s="11" t="n"/>
      <c r="V288" s="11" t="n"/>
      <c r="W288" s="12">
        <f>IF(B288="","",B288+3)</f>
        <v/>
      </c>
      <c r="X288" s="12">
        <f>IF(B288="","",B288+5)</f>
        <v/>
      </c>
      <c r="Y288" s="12">
        <f>IF(B288="","",B288+10)</f>
        <v/>
      </c>
      <c r="Z288" s="13">
        <f>IF(B288="","",(--(B288&lt;&gt;"")+--(C288&lt;&gt;"")+--(D288&lt;&gt;"")+--(E288&lt;&gt;"")+--(F288&lt;&gt;"")+--(G288&lt;&gt;"")+--(H288&lt;&gt;"")+--(I288&lt;&gt;"")+--(J288&lt;&gt;"")+--(K288&lt;&gt;"")+--(L288&lt;&gt;"")+--(M288&lt;&gt;"")+--(N288&lt;&gt;"")+--(O288&lt;&gt;"")+--(P288&lt;&gt;"")+--(Q288&lt;&gt;"")+--(R288&lt;&gt;"")+--(S288&lt;&gt;"")+--(T288&lt;&gt;""))/19)</f>
        <v/>
      </c>
      <c r="AA288" s="16" t="n"/>
      <c r="AB288" s="16" t="n"/>
      <c r="AC288" s="16" t="n"/>
      <c r="AD288" s="16" t="n"/>
      <c r="AE288" s="7">
        <f>IF(B288="","",IF(AND(AA288="合格",AB288="合格",AC288="合格",AD288="合格"),"有效","无效"))</f>
        <v/>
      </c>
    </row>
    <row r="289">
      <c r="A289" s="7">
        <f>IF(B289="","",TEXT(B289,"yyyymmdd")&amp;"-"&amp;TEXT(ROW()-1,"000"))</f>
        <v/>
      </c>
      <c r="B289" s="8" t="n"/>
      <c r="C289" s="9" t="n"/>
      <c r="D289" s="9" t="n"/>
      <c r="E289" s="9" t="n"/>
      <c r="F289" s="9" t="n"/>
      <c r="G289" s="9" t="n"/>
      <c r="H289" s="9" t="n"/>
      <c r="I289" s="9" t="n"/>
      <c r="J289" s="10" t="n"/>
      <c r="K289" s="9" t="n"/>
      <c r="L289" s="9" t="n"/>
      <c r="M289" s="9" t="n"/>
      <c r="N289" s="10" t="n"/>
      <c r="O289" s="9" t="n"/>
      <c r="P289" s="10" t="n"/>
      <c r="Q289" s="10" t="n"/>
      <c r="R289" s="9" t="n"/>
      <c r="S289" s="10" t="n"/>
      <c r="T289" s="10" t="n"/>
      <c r="U289" s="11" t="n"/>
      <c r="V289" s="11" t="n"/>
      <c r="W289" s="12">
        <f>IF(B289="","",B289+3)</f>
        <v/>
      </c>
      <c r="X289" s="12">
        <f>IF(B289="","",B289+5)</f>
        <v/>
      </c>
      <c r="Y289" s="12">
        <f>IF(B289="","",B289+10)</f>
        <v/>
      </c>
      <c r="Z289" s="13">
        <f>IF(B289="","",(--(B289&lt;&gt;"")+--(C289&lt;&gt;"")+--(D289&lt;&gt;"")+--(E289&lt;&gt;"")+--(F289&lt;&gt;"")+--(G289&lt;&gt;"")+--(H289&lt;&gt;"")+--(I289&lt;&gt;"")+--(J289&lt;&gt;"")+--(K289&lt;&gt;"")+--(L289&lt;&gt;"")+--(M289&lt;&gt;"")+--(N289&lt;&gt;"")+--(O289&lt;&gt;"")+--(P289&lt;&gt;"")+--(Q289&lt;&gt;"")+--(R289&lt;&gt;"")+--(S289&lt;&gt;"")+--(T289&lt;&gt;""))/19)</f>
        <v/>
      </c>
      <c r="AA289" s="16" t="n"/>
      <c r="AB289" s="16" t="n"/>
      <c r="AC289" s="16" t="n"/>
      <c r="AD289" s="16" t="n"/>
      <c r="AE289" s="7">
        <f>IF(B289="","",IF(AND(AA289="合格",AB289="合格",AC289="合格",AD289="合格"),"有效","无效"))</f>
        <v/>
      </c>
    </row>
    <row r="290">
      <c r="A290" s="7">
        <f>IF(B290="","",TEXT(B290,"yyyymmdd")&amp;"-"&amp;TEXT(ROW()-1,"000"))</f>
        <v/>
      </c>
      <c r="B290" s="8" t="n"/>
      <c r="C290" s="9" t="n"/>
      <c r="D290" s="9" t="n"/>
      <c r="E290" s="9" t="n"/>
      <c r="F290" s="9" t="n"/>
      <c r="G290" s="9" t="n"/>
      <c r="H290" s="9" t="n"/>
      <c r="I290" s="9" t="n"/>
      <c r="J290" s="10" t="n"/>
      <c r="K290" s="9" t="n"/>
      <c r="L290" s="9" t="n"/>
      <c r="M290" s="9" t="n"/>
      <c r="N290" s="10" t="n"/>
      <c r="O290" s="9" t="n"/>
      <c r="P290" s="10" t="n"/>
      <c r="Q290" s="10" t="n"/>
      <c r="R290" s="9" t="n"/>
      <c r="S290" s="10" t="n"/>
      <c r="T290" s="10" t="n"/>
      <c r="U290" s="11" t="n"/>
      <c r="V290" s="11" t="n"/>
      <c r="W290" s="12">
        <f>IF(B290="","",B290+3)</f>
        <v/>
      </c>
      <c r="X290" s="12">
        <f>IF(B290="","",B290+5)</f>
        <v/>
      </c>
      <c r="Y290" s="12">
        <f>IF(B290="","",B290+10)</f>
        <v/>
      </c>
      <c r="Z290" s="13">
        <f>IF(B290="","",(--(B290&lt;&gt;"")+--(C290&lt;&gt;"")+--(D290&lt;&gt;"")+--(E290&lt;&gt;"")+--(F290&lt;&gt;"")+--(G290&lt;&gt;"")+--(H290&lt;&gt;"")+--(I290&lt;&gt;"")+--(J290&lt;&gt;"")+--(K290&lt;&gt;"")+--(L290&lt;&gt;"")+--(M290&lt;&gt;"")+--(N290&lt;&gt;"")+--(O290&lt;&gt;"")+--(P290&lt;&gt;"")+--(Q290&lt;&gt;"")+--(R290&lt;&gt;"")+--(S290&lt;&gt;"")+--(T290&lt;&gt;""))/19)</f>
        <v/>
      </c>
      <c r="AA290" s="16" t="n"/>
      <c r="AB290" s="16" t="n"/>
      <c r="AC290" s="16" t="n"/>
      <c r="AD290" s="16" t="n"/>
      <c r="AE290" s="7">
        <f>IF(B290="","",IF(AND(AA290="合格",AB290="合格",AC290="合格",AD290="合格"),"有效","无效"))</f>
        <v/>
      </c>
    </row>
    <row r="291">
      <c r="A291" s="7">
        <f>IF(B291="","",TEXT(B291,"yyyymmdd")&amp;"-"&amp;TEXT(ROW()-1,"000"))</f>
        <v/>
      </c>
      <c r="B291" s="8" t="n"/>
      <c r="C291" s="9" t="n"/>
      <c r="D291" s="9" t="n"/>
      <c r="E291" s="9" t="n"/>
      <c r="F291" s="9" t="n"/>
      <c r="G291" s="9" t="n"/>
      <c r="H291" s="9" t="n"/>
      <c r="I291" s="9" t="n"/>
      <c r="J291" s="10" t="n"/>
      <c r="K291" s="9" t="n"/>
      <c r="L291" s="9" t="n"/>
      <c r="M291" s="9" t="n"/>
      <c r="N291" s="10" t="n"/>
      <c r="O291" s="9" t="n"/>
      <c r="P291" s="10" t="n"/>
      <c r="Q291" s="10" t="n"/>
      <c r="R291" s="9" t="n"/>
      <c r="S291" s="10" t="n"/>
      <c r="T291" s="10" t="n"/>
      <c r="U291" s="11" t="n"/>
      <c r="V291" s="11" t="n"/>
      <c r="W291" s="12">
        <f>IF(B291="","",B291+3)</f>
        <v/>
      </c>
      <c r="X291" s="12">
        <f>IF(B291="","",B291+5)</f>
        <v/>
      </c>
      <c r="Y291" s="12">
        <f>IF(B291="","",B291+10)</f>
        <v/>
      </c>
      <c r="Z291" s="13">
        <f>IF(B291="","",(--(B291&lt;&gt;"")+--(C291&lt;&gt;"")+--(D291&lt;&gt;"")+--(E291&lt;&gt;"")+--(F291&lt;&gt;"")+--(G291&lt;&gt;"")+--(H291&lt;&gt;"")+--(I291&lt;&gt;"")+--(J291&lt;&gt;"")+--(K291&lt;&gt;"")+--(L291&lt;&gt;"")+--(M291&lt;&gt;"")+--(N291&lt;&gt;"")+--(O291&lt;&gt;"")+--(P291&lt;&gt;"")+--(Q291&lt;&gt;"")+--(R291&lt;&gt;"")+--(S291&lt;&gt;"")+--(T291&lt;&gt;""))/19)</f>
        <v/>
      </c>
      <c r="AA291" s="16" t="n"/>
      <c r="AB291" s="16" t="n"/>
      <c r="AC291" s="16" t="n"/>
      <c r="AD291" s="16" t="n"/>
      <c r="AE291" s="7">
        <f>IF(B291="","",IF(AND(AA291="合格",AB291="合格",AC291="合格",AD291="合格"),"有效","无效"))</f>
        <v/>
      </c>
    </row>
    <row r="292">
      <c r="A292" s="7">
        <f>IF(B292="","",TEXT(B292,"yyyymmdd")&amp;"-"&amp;TEXT(ROW()-1,"000"))</f>
        <v/>
      </c>
      <c r="B292" s="8" t="n"/>
      <c r="C292" s="9" t="n"/>
      <c r="D292" s="9" t="n"/>
      <c r="E292" s="9" t="n"/>
      <c r="F292" s="9" t="n"/>
      <c r="G292" s="9" t="n"/>
      <c r="H292" s="9" t="n"/>
      <c r="I292" s="9" t="n"/>
      <c r="J292" s="10" t="n"/>
      <c r="K292" s="9" t="n"/>
      <c r="L292" s="9" t="n"/>
      <c r="M292" s="9" t="n"/>
      <c r="N292" s="10" t="n"/>
      <c r="O292" s="9" t="n"/>
      <c r="P292" s="10" t="n"/>
      <c r="Q292" s="10" t="n"/>
      <c r="R292" s="9" t="n"/>
      <c r="S292" s="10" t="n"/>
      <c r="T292" s="10" t="n"/>
      <c r="U292" s="11" t="n"/>
      <c r="V292" s="11" t="n"/>
      <c r="W292" s="12">
        <f>IF(B292="","",B292+3)</f>
        <v/>
      </c>
      <c r="X292" s="12">
        <f>IF(B292="","",B292+5)</f>
        <v/>
      </c>
      <c r="Y292" s="12">
        <f>IF(B292="","",B292+10)</f>
        <v/>
      </c>
      <c r="Z292" s="13">
        <f>IF(B292="","",(--(B292&lt;&gt;"")+--(C292&lt;&gt;"")+--(D292&lt;&gt;"")+--(E292&lt;&gt;"")+--(F292&lt;&gt;"")+--(G292&lt;&gt;"")+--(H292&lt;&gt;"")+--(I292&lt;&gt;"")+--(J292&lt;&gt;"")+--(K292&lt;&gt;"")+--(L292&lt;&gt;"")+--(M292&lt;&gt;"")+--(N292&lt;&gt;"")+--(O292&lt;&gt;"")+--(P292&lt;&gt;"")+--(Q292&lt;&gt;"")+--(R292&lt;&gt;"")+--(S292&lt;&gt;"")+--(T292&lt;&gt;""))/19)</f>
        <v/>
      </c>
      <c r="AA292" s="16" t="n"/>
      <c r="AB292" s="16" t="n"/>
      <c r="AC292" s="16" t="n"/>
      <c r="AD292" s="16" t="n"/>
      <c r="AE292" s="7">
        <f>IF(B292="","",IF(AND(AA292="合格",AB292="合格",AC292="合格",AD292="合格"),"有效","无效"))</f>
        <v/>
      </c>
    </row>
    <row r="293">
      <c r="A293" s="7">
        <f>IF(B293="","",TEXT(B293,"yyyymmdd")&amp;"-"&amp;TEXT(ROW()-1,"000"))</f>
        <v/>
      </c>
      <c r="B293" s="8" t="n"/>
      <c r="C293" s="9" t="n"/>
      <c r="D293" s="9" t="n"/>
      <c r="E293" s="9" t="n"/>
      <c r="F293" s="9" t="n"/>
      <c r="G293" s="9" t="n"/>
      <c r="H293" s="9" t="n"/>
      <c r="I293" s="9" t="n"/>
      <c r="J293" s="10" t="n"/>
      <c r="K293" s="9" t="n"/>
      <c r="L293" s="9" t="n"/>
      <c r="M293" s="9" t="n"/>
      <c r="N293" s="10" t="n"/>
      <c r="O293" s="9" t="n"/>
      <c r="P293" s="10" t="n"/>
      <c r="Q293" s="10" t="n"/>
      <c r="R293" s="9" t="n"/>
      <c r="S293" s="10" t="n"/>
      <c r="T293" s="10" t="n"/>
      <c r="U293" s="11" t="n"/>
      <c r="V293" s="11" t="n"/>
      <c r="W293" s="12">
        <f>IF(B293="","",B293+3)</f>
        <v/>
      </c>
      <c r="X293" s="12">
        <f>IF(B293="","",B293+5)</f>
        <v/>
      </c>
      <c r="Y293" s="12">
        <f>IF(B293="","",B293+10)</f>
        <v/>
      </c>
      <c r="Z293" s="13">
        <f>IF(B293="","",(--(B293&lt;&gt;"")+--(C293&lt;&gt;"")+--(D293&lt;&gt;"")+--(E293&lt;&gt;"")+--(F293&lt;&gt;"")+--(G293&lt;&gt;"")+--(H293&lt;&gt;"")+--(I293&lt;&gt;"")+--(J293&lt;&gt;"")+--(K293&lt;&gt;"")+--(L293&lt;&gt;"")+--(M293&lt;&gt;"")+--(N293&lt;&gt;"")+--(O293&lt;&gt;"")+--(P293&lt;&gt;"")+--(Q293&lt;&gt;"")+--(R293&lt;&gt;"")+--(S293&lt;&gt;"")+--(T293&lt;&gt;""))/19)</f>
        <v/>
      </c>
      <c r="AA293" s="16" t="n"/>
      <c r="AB293" s="16" t="n"/>
      <c r="AC293" s="16" t="n"/>
      <c r="AD293" s="16" t="n"/>
      <c r="AE293" s="7">
        <f>IF(B293="","",IF(AND(AA293="合格",AB293="合格",AC293="合格",AD293="合格"),"有效","无效"))</f>
        <v/>
      </c>
    </row>
    <row r="294">
      <c r="A294" s="7">
        <f>IF(B294="","",TEXT(B294,"yyyymmdd")&amp;"-"&amp;TEXT(ROW()-1,"000"))</f>
        <v/>
      </c>
      <c r="B294" s="8" t="n"/>
      <c r="C294" s="9" t="n"/>
      <c r="D294" s="9" t="n"/>
      <c r="E294" s="9" t="n"/>
      <c r="F294" s="9" t="n"/>
      <c r="G294" s="9" t="n"/>
      <c r="H294" s="9" t="n"/>
      <c r="I294" s="9" t="n"/>
      <c r="J294" s="10" t="n"/>
      <c r="K294" s="9" t="n"/>
      <c r="L294" s="9" t="n"/>
      <c r="M294" s="9" t="n"/>
      <c r="N294" s="10" t="n"/>
      <c r="O294" s="9" t="n"/>
      <c r="P294" s="10" t="n"/>
      <c r="Q294" s="10" t="n"/>
      <c r="R294" s="9" t="n"/>
      <c r="S294" s="10" t="n"/>
      <c r="T294" s="10" t="n"/>
      <c r="U294" s="11" t="n"/>
      <c r="V294" s="11" t="n"/>
      <c r="W294" s="12">
        <f>IF(B294="","",B294+3)</f>
        <v/>
      </c>
      <c r="X294" s="12">
        <f>IF(B294="","",B294+5)</f>
        <v/>
      </c>
      <c r="Y294" s="12">
        <f>IF(B294="","",B294+10)</f>
        <v/>
      </c>
      <c r="Z294" s="13">
        <f>IF(B294="","",(--(B294&lt;&gt;"")+--(C294&lt;&gt;"")+--(D294&lt;&gt;"")+--(E294&lt;&gt;"")+--(F294&lt;&gt;"")+--(G294&lt;&gt;"")+--(H294&lt;&gt;"")+--(I294&lt;&gt;"")+--(J294&lt;&gt;"")+--(K294&lt;&gt;"")+--(L294&lt;&gt;"")+--(M294&lt;&gt;"")+--(N294&lt;&gt;"")+--(O294&lt;&gt;"")+--(P294&lt;&gt;"")+--(Q294&lt;&gt;"")+--(R294&lt;&gt;"")+--(S294&lt;&gt;"")+--(T294&lt;&gt;""))/19)</f>
        <v/>
      </c>
      <c r="AA294" s="16" t="n"/>
      <c r="AB294" s="16" t="n"/>
      <c r="AC294" s="16" t="n"/>
      <c r="AD294" s="16" t="n"/>
      <c r="AE294" s="7">
        <f>IF(B294="","",IF(AND(AA294="合格",AB294="合格",AC294="合格",AD294="合格"),"有效","无效"))</f>
        <v/>
      </c>
    </row>
    <row r="295">
      <c r="A295" s="7">
        <f>IF(B295="","",TEXT(B295,"yyyymmdd")&amp;"-"&amp;TEXT(ROW()-1,"000"))</f>
        <v/>
      </c>
      <c r="B295" s="8" t="n"/>
      <c r="C295" s="9" t="n"/>
      <c r="D295" s="9" t="n"/>
      <c r="E295" s="9" t="n"/>
      <c r="F295" s="9" t="n"/>
      <c r="G295" s="9" t="n"/>
      <c r="H295" s="9" t="n"/>
      <c r="I295" s="9" t="n"/>
      <c r="J295" s="10" t="n"/>
      <c r="K295" s="9" t="n"/>
      <c r="L295" s="9" t="n"/>
      <c r="M295" s="9" t="n"/>
      <c r="N295" s="10" t="n"/>
      <c r="O295" s="9" t="n"/>
      <c r="P295" s="10" t="n"/>
      <c r="Q295" s="10" t="n"/>
      <c r="R295" s="9" t="n"/>
      <c r="S295" s="10" t="n"/>
      <c r="T295" s="10" t="n"/>
      <c r="U295" s="11" t="n"/>
      <c r="V295" s="11" t="n"/>
      <c r="W295" s="12">
        <f>IF(B295="","",B295+3)</f>
        <v/>
      </c>
      <c r="X295" s="12">
        <f>IF(B295="","",B295+5)</f>
        <v/>
      </c>
      <c r="Y295" s="12">
        <f>IF(B295="","",B295+10)</f>
        <v/>
      </c>
      <c r="Z295" s="13">
        <f>IF(B295="","",(--(B295&lt;&gt;"")+--(C295&lt;&gt;"")+--(D295&lt;&gt;"")+--(E295&lt;&gt;"")+--(F295&lt;&gt;"")+--(G295&lt;&gt;"")+--(H295&lt;&gt;"")+--(I295&lt;&gt;"")+--(J295&lt;&gt;"")+--(K295&lt;&gt;"")+--(L295&lt;&gt;"")+--(M295&lt;&gt;"")+--(N295&lt;&gt;"")+--(O295&lt;&gt;"")+--(P295&lt;&gt;"")+--(Q295&lt;&gt;"")+--(R295&lt;&gt;"")+--(S295&lt;&gt;"")+--(T295&lt;&gt;""))/19)</f>
        <v/>
      </c>
      <c r="AA295" s="16" t="n"/>
      <c r="AB295" s="16" t="n"/>
      <c r="AC295" s="16" t="n"/>
      <c r="AD295" s="16" t="n"/>
      <c r="AE295" s="7">
        <f>IF(B295="","",IF(AND(AA295="合格",AB295="合格",AC295="合格",AD295="合格"),"有效","无效"))</f>
        <v/>
      </c>
    </row>
    <row r="296">
      <c r="A296" s="7">
        <f>IF(B296="","",TEXT(B296,"yyyymmdd")&amp;"-"&amp;TEXT(ROW()-1,"000"))</f>
        <v/>
      </c>
      <c r="B296" s="8" t="n"/>
      <c r="C296" s="9" t="n"/>
      <c r="D296" s="9" t="n"/>
      <c r="E296" s="9" t="n"/>
      <c r="F296" s="9" t="n"/>
      <c r="G296" s="9" t="n"/>
      <c r="H296" s="9" t="n"/>
      <c r="I296" s="9" t="n"/>
      <c r="J296" s="10" t="n"/>
      <c r="K296" s="9" t="n"/>
      <c r="L296" s="9" t="n"/>
      <c r="M296" s="9" t="n"/>
      <c r="N296" s="10" t="n"/>
      <c r="O296" s="9" t="n"/>
      <c r="P296" s="10" t="n"/>
      <c r="Q296" s="10" t="n"/>
      <c r="R296" s="9" t="n"/>
      <c r="S296" s="10" t="n"/>
      <c r="T296" s="10" t="n"/>
      <c r="U296" s="11" t="n"/>
      <c r="V296" s="11" t="n"/>
      <c r="W296" s="12">
        <f>IF(B296="","",B296+3)</f>
        <v/>
      </c>
      <c r="X296" s="12">
        <f>IF(B296="","",B296+5)</f>
        <v/>
      </c>
      <c r="Y296" s="12">
        <f>IF(B296="","",B296+10)</f>
        <v/>
      </c>
      <c r="Z296" s="13">
        <f>IF(B296="","",(--(B296&lt;&gt;"")+--(C296&lt;&gt;"")+--(D296&lt;&gt;"")+--(E296&lt;&gt;"")+--(F296&lt;&gt;"")+--(G296&lt;&gt;"")+--(H296&lt;&gt;"")+--(I296&lt;&gt;"")+--(J296&lt;&gt;"")+--(K296&lt;&gt;"")+--(L296&lt;&gt;"")+--(M296&lt;&gt;"")+--(N296&lt;&gt;"")+--(O296&lt;&gt;"")+--(P296&lt;&gt;"")+--(Q296&lt;&gt;"")+--(R296&lt;&gt;"")+--(S296&lt;&gt;"")+--(T296&lt;&gt;""))/19)</f>
        <v/>
      </c>
      <c r="AA296" s="16" t="n"/>
      <c r="AB296" s="16" t="n"/>
      <c r="AC296" s="16" t="n"/>
      <c r="AD296" s="16" t="n"/>
      <c r="AE296" s="7">
        <f>IF(B296="","",IF(AND(AA296="合格",AB296="合格",AC296="合格",AD296="合格"),"有效","无效"))</f>
        <v/>
      </c>
    </row>
    <row r="297">
      <c r="A297" s="7">
        <f>IF(B297="","",TEXT(B297,"yyyymmdd")&amp;"-"&amp;TEXT(ROW()-1,"000"))</f>
        <v/>
      </c>
      <c r="B297" s="8" t="n"/>
      <c r="C297" s="9" t="n"/>
      <c r="D297" s="9" t="n"/>
      <c r="E297" s="9" t="n"/>
      <c r="F297" s="9" t="n"/>
      <c r="G297" s="9" t="n"/>
      <c r="H297" s="9" t="n"/>
      <c r="I297" s="9" t="n"/>
      <c r="J297" s="10" t="n"/>
      <c r="K297" s="9" t="n"/>
      <c r="L297" s="9" t="n"/>
      <c r="M297" s="9" t="n"/>
      <c r="N297" s="10" t="n"/>
      <c r="O297" s="9" t="n"/>
      <c r="P297" s="10" t="n"/>
      <c r="Q297" s="10" t="n"/>
      <c r="R297" s="9" t="n"/>
      <c r="S297" s="10" t="n"/>
      <c r="T297" s="10" t="n"/>
      <c r="U297" s="11" t="n"/>
      <c r="V297" s="11" t="n"/>
      <c r="W297" s="12">
        <f>IF(B297="","",B297+3)</f>
        <v/>
      </c>
      <c r="X297" s="12">
        <f>IF(B297="","",B297+5)</f>
        <v/>
      </c>
      <c r="Y297" s="12">
        <f>IF(B297="","",B297+10)</f>
        <v/>
      </c>
      <c r="Z297" s="13">
        <f>IF(B297="","",(--(B297&lt;&gt;"")+--(C297&lt;&gt;"")+--(D297&lt;&gt;"")+--(E297&lt;&gt;"")+--(F297&lt;&gt;"")+--(G297&lt;&gt;"")+--(H297&lt;&gt;"")+--(I297&lt;&gt;"")+--(J297&lt;&gt;"")+--(K297&lt;&gt;"")+--(L297&lt;&gt;"")+--(M297&lt;&gt;"")+--(N297&lt;&gt;"")+--(O297&lt;&gt;"")+--(P297&lt;&gt;"")+--(Q297&lt;&gt;"")+--(R297&lt;&gt;"")+--(S297&lt;&gt;"")+--(T297&lt;&gt;""))/19)</f>
        <v/>
      </c>
      <c r="AA297" s="16" t="n"/>
      <c r="AB297" s="16" t="n"/>
      <c r="AC297" s="16" t="n"/>
      <c r="AD297" s="16" t="n"/>
      <c r="AE297" s="7">
        <f>IF(B297="","",IF(AND(AA297="合格",AB297="合格",AC297="合格",AD297="合格"),"有效","无效"))</f>
        <v/>
      </c>
    </row>
    <row r="298">
      <c r="A298" s="7">
        <f>IF(B298="","",TEXT(B298,"yyyymmdd")&amp;"-"&amp;TEXT(ROW()-1,"000"))</f>
        <v/>
      </c>
      <c r="B298" s="8" t="n"/>
      <c r="C298" s="9" t="n"/>
      <c r="D298" s="9" t="n"/>
      <c r="E298" s="9" t="n"/>
      <c r="F298" s="9" t="n"/>
      <c r="G298" s="9" t="n"/>
      <c r="H298" s="9" t="n"/>
      <c r="I298" s="9" t="n"/>
      <c r="J298" s="10" t="n"/>
      <c r="K298" s="9" t="n"/>
      <c r="L298" s="9" t="n"/>
      <c r="M298" s="9" t="n"/>
      <c r="N298" s="10" t="n"/>
      <c r="O298" s="9" t="n"/>
      <c r="P298" s="10" t="n"/>
      <c r="Q298" s="10" t="n"/>
      <c r="R298" s="9" t="n"/>
      <c r="S298" s="10" t="n"/>
      <c r="T298" s="10" t="n"/>
      <c r="U298" s="11" t="n"/>
      <c r="V298" s="11" t="n"/>
      <c r="W298" s="12">
        <f>IF(B298="","",B298+3)</f>
        <v/>
      </c>
      <c r="X298" s="12">
        <f>IF(B298="","",B298+5)</f>
        <v/>
      </c>
      <c r="Y298" s="12">
        <f>IF(B298="","",B298+10)</f>
        <v/>
      </c>
      <c r="Z298" s="13">
        <f>IF(B298="","",(--(B298&lt;&gt;"")+--(C298&lt;&gt;"")+--(D298&lt;&gt;"")+--(E298&lt;&gt;"")+--(F298&lt;&gt;"")+--(G298&lt;&gt;"")+--(H298&lt;&gt;"")+--(I298&lt;&gt;"")+--(J298&lt;&gt;"")+--(K298&lt;&gt;"")+--(L298&lt;&gt;"")+--(M298&lt;&gt;"")+--(N298&lt;&gt;"")+--(O298&lt;&gt;"")+--(P298&lt;&gt;"")+--(Q298&lt;&gt;"")+--(R298&lt;&gt;"")+--(S298&lt;&gt;"")+--(T298&lt;&gt;""))/19)</f>
        <v/>
      </c>
      <c r="AA298" s="16" t="n"/>
      <c r="AB298" s="16" t="n"/>
      <c r="AC298" s="16" t="n"/>
      <c r="AD298" s="16" t="n"/>
      <c r="AE298" s="7">
        <f>IF(B298="","",IF(AND(AA298="合格",AB298="合格",AC298="合格",AD298="合格"),"有效","无效"))</f>
        <v/>
      </c>
    </row>
    <row r="299">
      <c r="A299" s="7">
        <f>IF(B299="","",TEXT(B299,"yyyymmdd")&amp;"-"&amp;TEXT(ROW()-1,"000"))</f>
        <v/>
      </c>
      <c r="B299" s="8" t="n"/>
      <c r="C299" s="9" t="n"/>
      <c r="D299" s="9" t="n"/>
      <c r="E299" s="9" t="n"/>
      <c r="F299" s="9" t="n"/>
      <c r="G299" s="9" t="n"/>
      <c r="H299" s="9" t="n"/>
      <c r="I299" s="9" t="n"/>
      <c r="J299" s="10" t="n"/>
      <c r="K299" s="9" t="n"/>
      <c r="L299" s="9" t="n"/>
      <c r="M299" s="9" t="n"/>
      <c r="N299" s="10" t="n"/>
      <c r="O299" s="9" t="n"/>
      <c r="P299" s="10" t="n"/>
      <c r="Q299" s="10" t="n"/>
      <c r="R299" s="9" t="n"/>
      <c r="S299" s="10" t="n"/>
      <c r="T299" s="10" t="n"/>
      <c r="U299" s="11" t="n"/>
      <c r="V299" s="11" t="n"/>
      <c r="W299" s="12">
        <f>IF(B299="","",B299+3)</f>
        <v/>
      </c>
      <c r="X299" s="12">
        <f>IF(B299="","",B299+5)</f>
        <v/>
      </c>
      <c r="Y299" s="12">
        <f>IF(B299="","",B299+10)</f>
        <v/>
      </c>
      <c r="Z299" s="13">
        <f>IF(B299="","",(--(B299&lt;&gt;"")+--(C299&lt;&gt;"")+--(D299&lt;&gt;"")+--(E299&lt;&gt;"")+--(F299&lt;&gt;"")+--(G299&lt;&gt;"")+--(H299&lt;&gt;"")+--(I299&lt;&gt;"")+--(J299&lt;&gt;"")+--(K299&lt;&gt;"")+--(L299&lt;&gt;"")+--(M299&lt;&gt;"")+--(N299&lt;&gt;"")+--(O299&lt;&gt;"")+--(P299&lt;&gt;"")+--(Q299&lt;&gt;"")+--(R299&lt;&gt;"")+--(S299&lt;&gt;"")+--(T299&lt;&gt;""))/19)</f>
        <v/>
      </c>
      <c r="AA299" s="16" t="n"/>
      <c r="AB299" s="16" t="n"/>
      <c r="AC299" s="16" t="n"/>
      <c r="AD299" s="16" t="n"/>
      <c r="AE299" s="7">
        <f>IF(B299="","",IF(AND(AA299="合格",AB299="合格",AC299="合格",AD299="合格"),"有效","无效"))</f>
        <v/>
      </c>
    </row>
    <row r="300">
      <c r="A300" s="7">
        <f>IF(B300="","",TEXT(B300,"yyyymmdd")&amp;"-"&amp;TEXT(ROW()-1,"000"))</f>
        <v/>
      </c>
      <c r="B300" s="8" t="n"/>
      <c r="C300" s="9" t="n"/>
      <c r="D300" s="9" t="n"/>
      <c r="E300" s="9" t="n"/>
      <c r="F300" s="9" t="n"/>
      <c r="G300" s="9" t="n"/>
      <c r="H300" s="9" t="n"/>
      <c r="I300" s="9" t="n"/>
      <c r="J300" s="10" t="n"/>
      <c r="K300" s="9" t="n"/>
      <c r="L300" s="9" t="n"/>
      <c r="M300" s="9" t="n"/>
      <c r="N300" s="10" t="n"/>
      <c r="O300" s="9" t="n"/>
      <c r="P300" s="10" t="n"/>
      <c r="Q300" s="10" t="n"/>
      <c r="R300" s="9" t="n"/>
      <c r="S300" s="10" t="n"/>
      <c r="T300" s="10" t="n"/>
      <c r="U300" s="11" t="n"/>
      <c r="V300" s="11" t="n"/>
      <c r="W300" s="12">
        <f>IF(B300="","",B300+3)</f>
        <v/>
      </c>
      <c r="X300" s="12">
        <f>IF(B300="","",B300+5)</f>
        <v/>
      </c>
      <c r="Y300" s="12">
        <f>IF(B300="","",B300+10)</f>
        <v/>
      </c>
      <c r="Z300" s="13">
        <f>IF(B300="","",(--(B300&lt;&gt;"")+--(C300&lt;&gt;"")+--(D300&lt;&gt;"")+--(E300&lt;&gt;"")+--(F300&lt;&gt;"")+--(G300&lt;&gt;"")+--(H300&lt;&gt;"")+--(I300&lt;&gt;"")+--(J300&lt;&gt;"")+--(K300&lt;&gt;"")+--(L300&lt;&gt;"")+--(M300&lt;&gt;"")+--(N300&lt;&gt;"")+--(O300&lt;&gt;"")+--(P300&lt;&gt;"")+--(Q300&lt;&gt;"")+--(R300&lt;&gt;"")+--(S300&lt;&gt;"")+--(T300&lt;&gt;""))/19)</f>
        <v/>
      </c>
      <c r="AA300" s="16" t="n"/>
      <c r="AB300" s="16" t="n"/>
      <c r="AC300" s="16" t="n"/>
      <c r="AD300" s="16" t="n"/>
      <c r="AE300" s="7">
        <f>IF(B300="","",IF(AND(AA300="合格",AB300="合格",AC300="合格",AD300="合格"),"有效","无效"))</f>
        <v/>
      </c>
    </row>
    <row r="301">
      <c r="A301" s="7">
        <f>IF(B301="","",TEXT(B301,"yyyymmdd")&amp;"-"&amp;TEXT(ROW()-1,"000"))</f>
        <v/>
      </c>
      <c r="B301" s="8" t="n"/>
      <c r="C301" s="9" t="n"/>
      <c r="D301" s="9" t="n"/>
      <c r="E301" s="9" t="n"/>
      <c r="F301" s="9" t="n"/>
      <c r="G301" s="9" t="n"/>
      <c r="H301" s="9" t="n"/>
      <c r="I301" s="9" t="n"/>
      <c r="J301" s="10" t="n"/>
      <c r="K301" s="9" t="n"/>
      <c r="L301" s="9" t="n"/>
      <c r="M301" s="9" t="n"/>
      <c r="N301" s="10" t="n"/>
      <c r="O301" s="9" t="n"/>
      <c r="P301" s="10" t="n"/>
      <c r="Q301" s="10" t="n"/>
      <c r="R301" s="9" t="n"/>
      <c r="S301" s="10" t="n"/>
      <c r="T301" s="10" t="n"/>
      <c r="U301" s="11" t="n"/>
      <c r="V301" s="11" t="n"/>
      <c r="W301" s="12">
        <f>IF(B301="","",B301+3)</f>
        <v/>
      </c>
      <c r="X301" s="12">
        <f>IF(B301="","",B301+5)</f>
        <v/>
      </c>
      <c r="Y301" s="12">
        <f>IF(B301="","",B301+10)</f>
        <v/>
      </c>
      <c r="Z301" s="13">
        <f>IF(B301="","",(--(B301&lt;&gt;"")+--(C301&lt;&gt;"")+--(D301&lt;&gt;"")+--(E301&lt;&gt;"")+--(F301&lt;&gt;"")+--(G301&lt;&gt;"")+--(H301&lt;&gt;"")+--(I301&lt;&gt;"")+--(J301&lt;&gt;"")+--(K301&lt;&gt;"")+--(L301&lt;&gt;"")+--(M301&lt;&gt;"")+--(N301&lt;&gt;"")+--(O301&lt;&gt;"")+--(P301&lt;&gt;"")+--(Q301&lt;&gt;"")+--(R301&lt;&gt;"")+--(S301&lt;&gt;"")+--(T301&lt;&gt;""))/19)</f>
        <v/>
      </c>
      <c r="AA301" s="16" t="n"/>
      <c r="AB301" s="16" t="n"/>
      <c r="AC301" s="16" t="n"/>
      <c r="AD301" s="16" t="n"/>
      <c r="AE301" s="7">
        <f>IF(B301="","",IF(AND(AA301="合格",AB301="合格",AC301="合格",AD301="合格"),"有效","无效"))</f>
        <v/>
      </c>
    </row>
    <row r="302">
      <c r="A302" s="7">
        <f>IF(B302="","",TEXT(B302,"yyyymmdd")&amp;"-"&amp;TEXT(ROW()-1,"000"))</f>
        <v/>
      </c>
      <c r="B302" s="8" t="n"/>
      <c r="C302" s="9" t="n"/>
      <c r="D302" s="9" t="n"/>
      <c r="E302" s="9" t="n"/>
      <c r="F302" s="9" t="n"/>
      <c r="G302" s="9" t="n"/>
      <c r="H302" s="9" t="n"/>
      <c r="I302" s="9" t="n"/>
      <c r="J302" s="10" t="n"/>
      <c r="K302" s="9" t="n"/>
      <c r="L302" s="9" t="n"/>
      <c r="M302" s="9" t="n"/>
      <c r="N302" s="10" t="n"/>
      <c r="O302" s="9" t="n"/>
      <c r="P302" s="10" t="n"/>
      <c r="Q302" s="10" t="n"/>
      <c r="R302" s="9" t="n"/>
      <c r="S302" s="10" t="n"/>
      <c r="T302" s="10" t="n"/>
      <c r="U302" s="11" t="n"/>
      <c r="V302" s="11" t="n"/>
      <c r="W302" s="12">
        <f>IF(B302="","",B302+3)</f>
        <v/>
      </c>
      <c r="X302" s="12">
        <f>IF(B302="","",B302+5)</f>
        <v/>
      </c>
      <c r="Y302" s="12">
        <f>IF(B302="","",B302+10)</f>
        <v/>
      </c>
      <c r="Z302" s="13">
        <f>IF(B302="","",(--(B302&lt;&gt;"")+--(C302&lt;&gt;"")+--(D302&lt;&gt;"")+--(E302&lt;&gt;"")+--(F302&lt;&gt;"")+--(G302&lt;&gt;"")+--(H302&lt;&gt;"")+--(I302&lt;&gt;"")+--(J302&lt;&gt;"")+--(K302&lt;&gt;"")+--(L302&lt;&gt;"")+--(M302&lt;&gt;"")+--(N302&lt;&gt;"")+--(O302&lt;&gt;"")+--(P302&lt;&gt;"")+--(Q302&lt;&gt;"")+--(R302&lt;&gt;"")+--(S302&lt;&gt;"")+--(T302&lt;&gt;""))/19)</f>
        <v/>
      </c>
      <c r="AA302" s="16" t="n"/>
      <c r="AB302" s="16" t="n"/>
      <c r="AC302" s="16" t="n"/>
      <c r="AD302" s="16" t="n"/>
      <c r="AE302" s="7">
        <f>IF(B302="","",IF(AND(AA302="合格",AB302="合格",AC302="合格",AD302="合格"),"有效","无效"))</f>
        <v/>
      </c>
    </row>
    <row r="303">
      <c r="A303" s="7">
        <f>IF(B303="","",TEXT(B303,"yyyymmdd")&amp;"-"&amp;TEXT(ROW()-1,"000"))</f>
        <v/>
      </c>
      <c r="B303" s="8" t="n"/>
      <c r="C303" s="9" t="n"/>
      <c r="D303" s="9" t="n"/>
      <c r="E303" s="9" t="n"/>
      <c r="F303" s="9" t="n"/>
      <c r="G303" s="9" t="n"/>
      <c r="H303" s="9" t="n"/>
      <c r="I303" s="9" t="n"/>
      <c r="J303" s="10" t="n"/>
      <c r="K303" s="9" t="n"/>
      <c r="L303" s="9" t="n"/>
      <c r="M303" s="9" t="n"/>
      <c r="N303" s="10" t="n"/>
      <c r="O303" s="9" t="n"/>
      <c r="P303" s="10" t="n"/>
      <c r="Q303" s="10" t="n"/>
      <c r="R303" s="9" t="n"/>
      <c r="S303" s="10" t="n"/>
      <c r="T303" s="10" t="n"/>
      <c r="U303" s="11" t="n"/>
      <c r="V303" s="11" t="n"/>
      <c r="W303" s="12">
        <f>IF(B303="","",B303+3)</f>
        <v/>
      </c>
      <c r="X303" s="12">
        <f>IF(B303="","",B303+5)</f>
        <v/>
      </c>
      <c r="Y303" s="12">
        <f>IF(B303="","",B303+10)</f>
        <v/>
      </c>
      <c r="Z303" s="13">
        <f>IF(B303="","",(--(B303&lt;&gt;"")+--(C303&lt;&gt;"")+--(D303&lt;&gt;"")+--(E303&lt;&gt;"")+--(F303&lt;&gt;"")+--(G303&lt;&gt;"")+--(H303&lt;&gt;"")+--(I303&lt;&gt;"")+--(J303&lt;&gt;"")+--(K303&lt;&gt;"")+--(L303&lt;&gt;"")+--(M303&lt;&gt;"")+--(N303&lt;&gt;"")+--(O303&lt;&gt;"")+--(P303&lt;&gt;"")+--(Q303&lt;&gt;"")+--(R303&lt;&gt;"")+--(S303&lt;&gt;"")+--(T303&lt;&gt;""))/19)</f>
        <v/>
      </c>
      <c r="AA303" s="16" t="n"/>
      <c r="AB303" s="16" t="n"/>
      <c r="AC303" s="16" t="n"/>
      <c r="AD303" s="16" t="n"/>
      <c r="AE303" s="7">
        <f>IF(B303="","",IF(AND(AA303="合格",AB303="合格",AC303="合格",AD303="合格"),"有效","无效"))</f>
        <v/>
      </c>
    </row>
    <row r="304">
      <c r="A304" s="7">
        <f>IF(B304="","",TEXT(B304,"yyyymmdd")&amp;"-"&amp;TEXT(ROW()-1,"000"))</f>
        <v/>
      </c>
      <c r="B304" s="8" t="n"/>
      <c r="C304" s="9" t="n"/>
      <c r="D304" s="9" t="n"/>
      <c r="E304" s="9" t="n"/>
      <c r="F304" s="9" t="n"/>
      <c r="G304" s="9" t="n"/>
      <c r="H304" s="9" t="n"/>
      <c r="I304" s="9" t="n"/>
      <c r="J304" s="10" t="n"/>
      <c r="K304" s="9" t="n"/>
      <c r="L304" s="9" t="n"/>
      <c r="M304" s="9" t="n"/>
      <c r="N304" s="10" t="n"/>
      <c r="O304" s="9" t="n"/>
      <c r="P304" s="10" t="n"/>
      <c r="Q304" s="10" t="n"/>
      <c r="R304" s="9" t="n"/>
      <c r="S304" s="10" t="n"/>
      <c r="T304" s="10" t="n"/>
      <c r="U304" s="11" t="n"/>
      <c r="V304" s="11" t="n"/>
      <c r="W304" s="12">
        <f>IF(B304="","",B304+3)</f>
        <v/>
      </c>
      <c r="X304" s="12">
        <f>IF(B304="","",B304+5)</f>
        <v/>
      </c>
      <c r="Y304" s="12">
        <f>IF(B304="","",B304+10)</f>
        <v/>
      </c>
      <c r="Z304" s="13">
        <f>IF(B304="","",(--(B304&lt;&gt;"")+--(C304&lt;&gt;"")+--(D304&lt;&gt;"")+--(E304&lt;&gt;"")+--(F304&lt;&gt;"")+--(G304&lt;&gt;"")+--(H304&lt;&gt;"")+--(I304&lt;&gt;"")+--(J304&lt;&gt;"")+--(K304&lt;&gt;"")+--(L304&lt;&gt;"")+--(M304&lt;&gt;"")+--(N304&lt;&gt;"")+--(O304&lt;&gt;"")+--(P304&lt;&gt;"")+--(Q304&lt;&gt;"")+--(R304&lt;&gt;"")+--(S304&lt;&gt;"")+--(T304&lt;&gt;""))/19)</f>
        <v/>
      </c>
      <c r="AA304" s="16" t="n"/>
      <c r="AB304" s="16" t="n"/>
      <c r="AC304" s="16" t="n"/>
      <c r="AD304" s="16" t="n"/>
      <c r="AE304" s="7">
        <f>IF(B304="","",IF(AND(AA304="合格",AB304="合格",AC304="合格",AD304="合格"),"有效","无效"))</f>
        <v/>
      </c>
    </row>
    <row r="305">
      <c r="A305" s="7">
        <f>IF(B305="","",TEXT(B305,"yyyymmdd")&amp;"-"&amp;TEXT(ROW()-1,"000"))</f>
        <v/>
      </c>
      <c r="B305" s="8" t="n"/>
      <c r="C305" s="9" t="n"/>
      <c r="D305" s="9" t="n"/>
      <c r="E305" s="9" t="n"/>
      <c r="F305" s="9" t="n"/>
      <c r="G305" s="9" t="n"/>
      <c r="H305" s="9" t="n"/>
      <c r="I305" s="9" t="n"/>
      <c r="J305" s="10" t="n"/>
      <c r="K305" s="9" t="n"/>
      <c r="L305" s="9" t="n"/>
      <c r="M305" s="9" t="n"/>
      <c r="N305" s="10" t="n"/>
      <c r="O305" s="9" t="n"/>
      <c r="P305" s="10" t="n"/>
      <c r="Q305" s="10" t="n"/>
      <c r="R305" s="9" t="n"/>
      <c r="S305" s="10" t="n"/>
      <c r="T305" s="10" t="n"/>
      <c r="U305" s="11" t="n"/>
      <c r="V305" s="11" t="n"/>
      <c r="W305" s="12">
        <f>IF(B305="","",B305+3)</f>
        <v/>
      </c>
      <c r="X305" s="12">
        <f>IF(B305="","",B305+5)</f>
        <v/>
      </c>
      <c r="Y305" s="12">
        <f>IF(B305="","",B305+10)</f>
        <v/>
      </c>
      <c r="Z305" s="13">
        <f>IF(B305="","",(--(B305&lt;&gt;"")+--(C305&lt;&gt;"")+--(D305&lt;&gt;"")+--(E305&lt;&gt;"")+--(F305&lt;&gt;"")+--(G305&lt;&gt;"")+--(H305&lt;&gt;"")+--(I305&lt;&gt;"")+--(J305&lt;&gt;"")+--(K305&lt;&gt;"")+--(L305&lt;&gt;"")+--(M305&lt;&gt;"")+--(N305&lt;&gt;"")+--(O305&lt;&gt;"")+--(P305&lt;&gt;"")+--(Q305&lt;&gt;"")+--(R305&lt;&gt;"")+--(S305&lt;&gt;"")+--(T305&lt;&gt;""))/19)</f>
        <v/>
      </c>
      <c r="AA305" s="16" t="n"/>
      <c r="AB305" s="16" t="n"/>
      <c r="AC305" s="16" t="n"/>
      <c r="AD305" s="16" t="n"/>
      <c r="AE305" s="7">
        <f>IF(B305="","",IF(AND(AA305="合格",AB305="合格",AC305="合格",AD305="合格"),"有效","无效"))</f>
        <v/>
      </c>
    </row>
    <row r="306">
      <c r="A306" s="7">
        <f>IF(B306="","",TEXT(B306,"yyyymmdd")&amp;"-"&amp;TEXT(ROW()-1,"000"))</f>
        <v/>
      </c>
      <c r="B306" s="8" t="n"/>
      <c r="C306" s="9" t="n"/>
      <c r="D306" s="9" t="n"/>
      <c r="E306" s="9" t="n"/>
      <c r="F306" s="9" t="n"/>
      <c r="G306" s="9" t="n"/>
      <c r="H306" s="9" t="n"/>
      <c r="I306" s="9" t="n"/>
      <c r="J306" s="10" t="n"/>
      <c r="K306" s="9" t="n"/>
      <c r="L306" s="9" t="n"/>
      <c r="M306" s="9" t="n"/>
      <c r="N306" s="10" t="n"/>
      <c r="O306" s="9" t="n"/>
      <c r="P306" s="10" t="n"/>
      <c r="Q306" s="10" t="n"/>
      <c r="R306" s="9" t="n"/>
      <c r="S306" s="10" t="n"/>
      <c r="T306" s="10" t="n"/>
      <c r="U306" s="11" t="n"/>
      <c r="V306" s="11" t="n"/>
      <c r="W306" s="12">
        <f>IF(B306="","",B306+3)</f>
        <v/>
      </c>
      <c r="X306" s="12">
        <f>IF(B306="","",B306+5)</f>
        <v/>
      </c>
      <c r="Y306" s="12">
        <f>IF(B306="","",B306+10)</f>
        <v/>
      </c>
      <c r="Z306" s="13">
        <f>IF(B306="","",(--(B306&lt;&gt;"")+--(C306&lt;&gt;"")+--(D306&lt;&gt;"")+--(E306&lt;&gt;"")+--(F306&lt;&gt;"")+--(G306&lt;&gt;"")+--(H306&lt;&gt;"")+--(I306&lt;&gt;"")+--(J306&lt;&gt;"")+--(K306&lt;&gt;"")+--(L306&lt;&gt;"")+--(M306&lt;&gt;"")+--(N306&lt;&gt;"")+--(O306&lt;&gt;"")+--(P306&lt;&gt;"")+--(Q306&lt;&gt;"")+--(R306&lt;&gt;"")+--(S306&lt;&gt;"")+--(T306&lt;&gt;""))/19)</f>
        <v/>
      </c>
      <c r="AA306" s="16" t="n"/>
      <c r="AB306" s="16" t="n"/>
      <c r="AC306" s="16" t="n"/>
      <c r="AD306" s="16" t="n"/>
      <c r="AE306" s="7">
        <f>IF(B306="","",IF(AND(AA306="合格",AB306="合格",AC306="合格",AD306="合格"),"有效","无效"))</f>
        <v/>
      </c>
    </row>
    <row r="307">
      <c r="A307" s="7">
        <f>IF(B307="","",TEXT(B307,"yyyymmdd")&amp;"-"&amp;TEXT(ROW()-1,"000"))</f>
        <v/>
      </c>
      <c r="B307" s="8" t="n"/>
      <c r="C307" s="9" t="n"/>
      <c r="D307" s="9" t="n"/>
      <c r="E307" s="9" t="n"/>
      <c r="F307" s="9" t="n"/>
      <c r="G307" s="9" t="n"/>
      <c r="H307" s="9" t="n"/>
      <c r="I307" s="9" t="n"/>
      <c r="J307" s="10" t="n"/>
      <c r="K307" s="9" t="n"/>
      <c r="L307" s="9" t="n"/>
      <c r="M307" s="9" t="n"/>
      <c r="N307" s="10" t="n"/>
      <c r="O307" s="9" t="n"/>
      <c r="P307" s="10" t="n"/>
      <c r="Q307" s="10" t="n"/>
      <c r="R307" s="9" t="n"/>
      <c r="S307" s="10" t="n"/>
      <c r="T307" s="10" t="n"/>
      <c r="U307" s="11" t="n"/>
      <c r="V307" s="11" t="n"/>
      <c r="W307" s="12">
        <f>IF(B307="","",B307+3)</f>
        <v/>
      </c>
      <c r="X307" s="12">
        <f>IF(B307="","",B307+5)</f>
        <v/>
      </c>
      <c r="Y307" s="12">
        <f>IF(B307="","",B307+10)</f>
        <v/>
      </c>
      <c r="Z307" s="13">
        <f>IF(B307="","",(--(B307&lt;&gt;"")+--(C307&lt;&gt;"")+--(D307&lt;&gt;"")+--(E307&lt;&gt;"")+--(F307&lt;&gt;"")+--(G307&lt;&gt;"")+--(H307&lt;&gt;"")+--(I307&lt;&gt;"")+--(J307&lt;&gt;"")+--(K307&lt;&gt;"")+--(L307&lt;&gt;"")+--(M307&lt;&gt;"")+--(N307&lt;&gt;"")+--(O307&lt;&gt;"")+--(P307&lt;&gt;"")+--(Q307&lt;&gt;"")+--(R307&lt;&gt;"")+--(S307&lt;&gt;"")+--(T307&lt;&gt;""))/19)</f>
        <v/>
      </c>
      <c r="AA307" s="16" t="n"/>
      <c r="AB307" s="16" t="n"/>
      <c r="AC307" s="16" t="n"/>
      <c r="AD307" s="16" t="n"/>
      <c r="AE307" s="7">
        <f>IF(B307="","",IF(AND(AA307="合格",AB307="合格",AC307="合格",AD307="合格"),"有效","无效"))</f>
        <v/>
      </c>
    </row>
    <row r="308">
      <c r="A308" s="7">
        <f>IF(B308="","",TEXT(B308,"yyyymmdd")&amp;"-"&amp;TEXT(ROW()-1,"000"))</f>
        <v/>
      </c>
      <c r="B308" s="8" t="n"/>
      <c r="C308" s="9" t="n"/>
      <c r="D308" s="9" t="n"/>
      <c r="E308" s="9" t="n"/>
      <c r="F308" s="9" t="n"/>
      <c r="G308" s="9" t="n"/>
      <c r="H308" s="9" t="n"/>
      <c r="I308" s="9" t="n"/>
      <c r="J308" s="10" t="n"/>
      <c r="K308" s="9" t="n"/>
      <c r="L308" s="9" t="n"/>
      <c r="M308" s="9" t="n"/>
      <c r="N308" s="10" t="n"/>
      <c r="O308" s="9" t="n"/>
      <c r="P308" s="10" t="n"/>
      <c r="Q308" s="10" t="n"/>
      <c r="R308" s="9" t="n"/>
      <c r="S308" s="10" t="n"/>
      <c r="T308" s="10" t="n"/>
      <c r="U308" s="11" t="n"/>
      <c r="V308" s="11" t="n"/>
      <c r="W308" s="12">
        <f>IF(B308="","",B308+3)</f>
        <v/>
      </c>
      <c r="X308" s="12">
        <f>IF(B308="","",B308+5)</f>
        <v/>
      </c>
      <c r="Y308" s="12">
        <f>IF(B308="","",B308+10)</f>
        <v/>
      </c>
      <c r="Z308" s="13">
        <f>IF(B308="","",(--(B308&lt;&gt;"")+--(C308&lt;&gt;"")+--(D308&lt;&gt;"")+--(E308&lt;&gt;"")+--(F308&lt;&gt;"")+--(G308&lt;&gt;"")+--(H308&lt;&gt;"")+--(I308&lt;&gt;"")+--(J308&lt;&gt;"")+--(K308&lt;&gt;"")+--(L308&lt;&gt;"")+--(M308&lt;&gt;"")+--(N308&lt;&gt;"")+--(O308&lt;&gt;"")+--(P308&lt;&gt;"")+--(Q308&lt;&gt;"")+--(R308&lt;&gt;"")+--(S308&lt;&gt;"")+--(T308&lt;&gt;""))/19)</f>
        <v/>
      </c>
      <c r="AA308" s="16" t="n"/>
      <c r="AB308" s="16" t="n"/>
      <c r="AC308" s="16" t="n"/>
      <c r="AD308" s="16" t="n"/>
      <c r="AE308" s="7">
        <f>IF(B308="","",IF(AND(AA308="合格",AB308="合格",AC308="合格",AD308="合格"),"有效","无效"))</f>
        <v/>
      </c>
    </row>
    <row r="309">
      <c r="A309" s="7">
        <f>IF(B309="","",TEXT(B309,"yyyymmdd")&amp;"-"&amp;TEXT(ROW()-1,"000"))</f>
        <v/>
      </c>
      <c r="B309" s="8" t="n"/>
      <c r="C309" s="9" t="n"/>
      <c r="D309" s="9" t="n"/>
      <c r="E309" s="9" t="n"/>
      <c r="F309" s="9" t="n"/>
      <c r="G309" s="9" t="n"/>
      <c r="H309" s="9" t="n"/>
      <c r="I309" s="9" t="n"/>
      <c r="J309" s="10" t="n"/>
      <c r="K309" s="9" t="n"/>
      <c r="L309" s="9" t="n"/>
      <c r="M309" s="9" t="n"/>
      <c r="N309" s="10" t="n"/>
      <c r="O309" s="9" t="n"/>
      <c r="P309" s="10" t="n"/>
      <c r="Q309" s="10" t="n"/>
      <c r="R309" s="9" t="n"/>
      <c r="S309" s="10" t="n"/>
      <c r="T309" s="10" t="n"/>
      <c r="U309" s="11" t="n"/>
      <c r="V309" s="11" t="n"/>
      <c r="W309" s="12">
        <f>IF(B309="","",B309+3)</f>
        <v/>
      </c>
      <c r="X309" s="12">
        <f>IF(B309="","",B309+5)</f>
        <v/>
      </c>
      <c r="Y309" s="12">
        <f>IF(B309="","",B309+10)</f>
        <v/>
      </c>
      <c r="Z309" s="13">
        <f>IF(B309="","",(--(B309&lt;&gt;"")+--(C309&lt;&gt;"")+--(D309&lt;&gt;"")+--(E309&lt;&gt;"")+--(F309&lt;&gt;"")+--(G309&lt;&gt;"")+--(H309&lt;&gt;"")+--(I309&lt;&gt;"")+--(J309&lt;&gt;"")+--(K309&lt;&gt;"")+--(L309&lt;&gt;"")+--(M309&lt;&gt;"")+--(N309&lt;&gt;"")+--(O309&lt;&gt;"")+--(P309&lt;&gt;"")+--(Q309&lt;&gt;"")+--(R309&lt;&gt;"")+--(S309&lt;&gt;"")+--(T309&lt;&gt;""))/19)</f>
        <v/>
      </c>
      <c r="AA309" s="16" t="n"/>
      <c r="AB309" s="16" t="n"/>
      <c r="AC309" s="16" t="n"/>
      <c r="AD309" s="16" t="n"/>
      <c r="AE309" s="7">
        <f>IF(B309="","",IF(AND(AA309="合格",AB309="合格",AC309="合格",AD309="合格"),"有效","无效"))</f>
        <v/>
      </c>
    </row>
    <row r="310">
      <c r="A310" s="7">
        <f>IF(B310="","",TEXT(B310,"yyyymmdd")&amp;"-"&amp;TEXT(ROW()-1,"000"))</f>
        <v/>
      </c>
      <c r="B310" s="8" t="n"/>
      <c r="C310" s="9" t="n"/>
      <c r="D310" s="9" t="n"/>
      <c r="E310" s="9" t="n"/>
      <c r="F310" s="9" t="n"/>
      <c r="G310" s="9" t="n"/>
      <c r="H310" s="9" t="n"/>
      <c r="I310" s="9" t="n"/>
      <c r="J310" s="10" t="n"/>
      <c r="K310" s="9" t="n"/>
      <c r="L310" s="9" t="n"/>
      <c r="M310" s="9" t="n"/>
      <c r="N310" s="10" t="n"/>
      <c r="O310" s="9" t="n"/>
      <c r="P310" s="10" t="n"/>
      <c r="Q310" s="10" t="n"/>
      <c r="R310" s="9" t="n"/>
      <c r="S310" s="10" t="n"/>
      <c r="T310" s="10" t="n"/>
      <c r="U310" s="11" t="n"/>
      <c r="V310" s="11" t="n"/>
      <c r="W310" s="12">
        <f>IF(B310="","",B310+3)</f>
        <v/>
      </c>
      <c r="X310" s="12">
        <f>IF(B310="","",B310+5)</f>
        <v/>
      </c>
      <c r="Y310" s="12">
        <f>IF(B310="","",B310+10)</f>
        <v/>
      </c>
      <c r="Z310" s="13">
        <f>IF(B310="","",(--(B310&lt;&gt;"")+--(C310&lt;&gt;"")+--(D310&lt;&gt;"")+--(E310&lt;&gt;"")+--(F310&lt;&gt;"")+--(G310&lt;&gt;"")+--(H310&lt;&gt;"")+--(I310&lt;&gt;"")+--(J310&lt;&gt;"")+--(K310&lt;&gt;"")+--(L310&lt;&gt;"")+--(M310&lt;&gt;"")+--(N310&lt;&gt;"")+--(O310&lt;&gt;"")+--(P310&lt;&gt;"")+--(Q310&lt;&gt;"")+--(R310&lt;&gt;"")+--(S310&lt;&gt;"")+--(T310&lt;&gt;""))/19)</f>
        <v/>
      </c>
      <c r="AA310" s="16" t="n"/>
      <c r="AB310" s="16" t="n"/>
      <c r="AC310" s="16" t="n"/>
      <c r="AD310" s="16" t="n"/>
      <c r="AE310" s="7">
        <f>IF(B310="","",IF(AND(AA310="合格",AB310="合格",AC310="合格",AD310="合格"),"有效","无效"))</f>
        <v/>
      </c>
    </row>
    <row r="311">
      <c r="A311" s="7">
        <f>IF(B311="","",TEXT(B311,"yyyymmdd")&amp;"-"&amp;TEXT(ROW()-1,"000"))</f>
        <v/>
      </c>
      <c r="B311" s="8" t="n"/>
      <c r="C311" s="9" t="n"/>
      <c r="D311" s="9" t="n"/>
      <c r="E311" s="9" t="n"/>
      <c r="F311" s="9" t="n"/>
      <c r="G311" s="9" t="n"/>
      <c r="H311" s="9" t="n"/>
      <c r="I311" s="9" t="n"/>
      <c r="J311" s="10" t="n"/>
      <c r="K311" s="9" t="n"/>
      <c r="L311" s="9" t="n"/>
      <c r="M311" s="9" t="n"/>
      <c r="N311" s="10" t="n"/>
      <c r="O311" s="9" t="n"/>
      <c r="P311" s="10" t="n"/>
      <c r="Q311" s="10" t="n"/>
      <c r="R311" s="9" t="n"/>
      <c r="S311" s="10" t="n"/>
      <c r="T311" s="10" t="n"/>
      <c r="U311" s="11" t="n"/>
      <c r="V311" s="11" t="n"/>
      <c r="W311" s="12">
        <f>IF(B311="","",B311+3)</f>
        <v/>
      </c>
      <c r="X311" s="12">
        <f>IF(B311="","",B311+5)</f>
        <v/>
      </c>
      <c r="Y311" s="12">
        <f>IF(B311="","",B311+10)</f>
        <v/>
      </c>
      <c r="Z311" s="13">
        <f>IF(B311="","",(--(B311&lt;&gt;"")+--(C311&lt;&gt;"")+--(D311&lt;&gt;"")+--(E311&lt;&gt;"")+--(F311&lt;&gt;"")+--(G311&lt;&gt;"")+--(H311&lt;&gt;"")+--(I311&lt;&gt;"")+--(J311&lt;&gt;"")+--(K311&lt;&gt;"")+--(L311&lt;&gt;"")+--(M311&lt;&gt;"")+--(N311&lt;&gt;"")+--(O311&lt;&gt;"")+--(P311&lt;&gt;"")+--(Q311&lt;&gt;"")+--(R311&lt;&gt;"")+--(S311&lt;&gt;"")+--(T311&lt;&gt;""))/19)</f>
        <v/>
      </c>
      <c r="AA311" s="16" t="n"/>
      <c r="AB311" s="16" t="n"/>
      <c r="AC311" s="16" t="n"/>
      <c r="AD311" s="16" t="n"/>
      <c r="AE311" s="7">
        <f>IF(B311="","",IF(AND(AA311="合格",AB311="合格",AC311="合格",AD311="合格"),"有效","无效"))</f>
        <v/>
      </c>
    </row>
    <row r="312">
      <c r="A312" s="7">
        <f>IF(B312="","",TEXT(B312,"yyyymmdd")&amp;"-"&amp;TEXT(ROW()-1,"000"))</f>
        <v/>
      </c>
      <c r="B312" s="8" t="n"/>
      <c r="C312" s="9" t="n"/>
      <c r="D312" s="9" t="n"/>
      <c r="E312" s="9" t="n"/>
      <c r="F312" s="9" t="n"/>
      <c r="G312" s="9" t="n"/>
      <c r="H312" s="9" t="n"/>
      <c r="I312" s="9" t="n"/>
      <c r="J312" s="10" t="n"/>
      <c r="K312" s="9" t="n"/>
      <c r="L312" s="9" t="n"/>
      <c r="M312" s="9" t="n"/>
      <c r="N312" s="10" t="n"/>
      <c r="O312" s="9" t="n"/>
      <c r="P312" s="10" t="n"/>
      <c r="Q312" s="10" t="n"/>
      <c r="R312" s="9" t="n"/>
      <c r="S312" s="10" t="n"/>
      <c r="T312" s="10" t="n"/>
      <c r="U312" s="11" t="n"/>
      <c r="V312" s="11" t="n"/>
      <c r="W312" s="12">
        <f>IF(B312="","",B312+3)</f>
        <v/>
      </c>
      <c r="X312" s="12">
        <f>IF(B312="","",B312+5)</f>
        <v/>
      </c>
      <c r="Y312" s="12">
        <f>IF(B312="","",B312+10)</f>
        <v/>
      </c>
      <c r="Z312" s="13">
        <f>IF(B312="","",(--(B312&lt;&gt;"")+--(C312&lt;&gt;"")+--(D312&lt;&gt;"")+--(E312&lt;&gt;"")+--(F312&lt;&gt;"")+--(G312&lt;&gt;"")+--(H312&lt;&gt;"")+--(I312&lt;&gt;"")+--(J312&lt;&gt;"")+--(K312&lt;&gt;"")+--(L312&lt;&gt;"")+--(M312&lt;&gt;"")+--(N312&lt;&gt;"")+--(O312&lt;&gt;"")+--(P312&lt;&gt;"")+--(Q312&lt;&gt;"")+--(R312&lt;&gt;"")+--(S312&lt;&gt;"")+--(T312&lt;&gt;""))/19)</f>
        <v/>
      </c>
      <c r="AA312" s="16" t="n"/>
      <c r="AB312" s="16" t="n"/>
      <c r="AC312" s="16" t="n"/>
      <c r="AD312" s="16" t="n"/>
      <c r="AE312" s="7">
        <f>IF(B312="","",IF(AND(AA312="合格",AB312="合格",AC312="合格",AD312="合格"),"有效","无效"))</f>
        <v/>
      </c>
    </row>
    <row r="313">
      <c r="A313" s="7">
        <f>IF(B313="","",TEXT(B313,"yyyymmdd")&amp;"-"&amp;TEXT(ROW()-1,"000"))</f>
        <v/>
      </c>
      <c r="B313" s="8" t="n"/>
      <c r="C313" s="9" t="n"/>
      <c r="D313" s="9" t="n"/>
      <c r="E313" s="9" t="n"/>
      <c r="F313" s="9" t="n"/>
      <c r="G313" s="9" t="n"/>
      <c r="H313" s="9" t="n"/>
      <c r="I313" s="9" t="n"/>
      <c r="J313" s="10" t="n"/>
      <c r="K313" s="9" t="n"/>
      <c r="L313" s="9" t="n"/>
      <c r="M313" s="9" t="n"/>
      <c r="N313" s="10" t="n"/>
      <c r="O313" s="9" t="n"/>
      <c r="P313" s="10" t="n"/>
      <c r="Q313" s="10" t="n"/>
      <c r="R313" s="9" t="n"/>
      <c r="S313" s="10" t="n"/>
      <c r="T313" s="10" t="n"/>
      <c r="U313" s="11" t="n"/>
      <c r="V313" s="11" t="n"/>
      <c r="W313" s="12">
        <f>IF(B313="","",B313+3)</f>
        <v/>
      </c>
      <c r="X313" s="12">
        <f>IF(B313="","",B313+5)</f>
        <v/>
      </c>
      <c r="Y313" s="12">
        <f>IF(B313="","",B313+10)</f>
        <v/>
      </c>
      <c r="Z313" s="13">
        <f>IF(B313="","",(--(B313&lt;&gt;"")+--(C313&lt;&gt;"")+--(D313&lt;&gt;"")+--(E313&lt;&gt;"")+--(F313&lt;&gt;"")+--(G313&lt;&gt;"")+--(H313&lt;&gt;"")+--(I313&lt;&gt;"")+--(J313&lt;&gt;"")+--(K313&lt;&gt;"")+--(L313&lt;&gt;"")+--(M313&lt;&gt;"")+--(N313&lt;&gt;"")+--(O313&lt;&gt;"")+--(P313&lt;&gt;"")+--(Q313&lt;&gt;"")+--(R313&lt;&gt;"")+--(S313&lt;&gt;"")+--(T313&lt;&gt;""))/19)</f>
        <v/>
      </c>
      <c r="AA313" s="16" t="n"/>
      <c r="AB313" s="16" t="n"/>
      <c r="AC313" s="16" t="n"/>
      <c r="AD313" s="16" t="n"/>
      <c r="AE313" s="7">
        <f>IF(B313="","",IF(AND(AA313="合格",AB313="合格",AC313="合格",AD313="合格"),"有效","无效"))</f>
        <v/>
      </c>
    </row>
    <row r="314">
      <c r="A314" s="7">
        <f>IF(B314="","",TEXT(B314,"yyyymmdd")&amp;"-"&amp;TEXT(ROW()-1,"000"))</f>
        <v/>
      </c>
      <c r="B314" s="8" t="n"/>
      <c r="C314" s="9" t="n"/>
      <c r="D314" s="9" t="n"/>
      <c r="E314" s="9" t="n"/>
      <c r="F314" s="9" t="n"/>
      <c r="G314" s="9" t="n"/>
      <c r="H314" s="9" t="n"/>
      <c r="I314" s="9" t="n"/>
      <c r="J314" s="10" t="n"/>
      <c r="K314" s="9" t="n"/>
      <c r="L314" s="9" t="n"/>
      <c r="M314" s="9" t="n"/>
      <c r="N314" s="10" t="n"/>
      <c r="O314" s="9" t="n"/>
      <c r="P314" s="10" t="n"/>
      <c r="Q314" s="10" t="n"/>
      <c r="R314" s="9" t="n"/>
      <c r="S314" s="10" t="n"/>
      <c r="T314" s="10" t="n"/>
      <c r="U314" s="11" t="n"/>
      <c r="V314" s="11" t="n"/>
      <c r="W314" s="12">
        <f>IF(B314="","",B314+3)</f>
        <v/>
      </c>
      <c r="X314" s="12">
        <f>IF(B314="","",B314+5)</f>
        <v/>
      </c>
      <c r="Y314" s="12">
        <f>IF(B314="","",B314+10)</f>
        <v/>
      </c>
      <c r="Z314" s="13">
        <f>IF(B314="","",(--(B314&lt;&gt;"")+--(C314&lt;&gt;"")+--(D314&lt;&gt;"")+--(E314&lt;&gt;"")+--(F314&lt;&gt;"")+--(G314&lt;&gt;"")+--(H314&lt;&gt;"")+--(I314&lt;&gt;"")+--(J314&lt;&gt;"")+--(K314&lt;&gt;"")+--(L314&lt;&gt;"")+--(M314&lt;&gt;"")+--(N314&lt;&gt;"")+--(O314&lt;&gt;"")+--(P314&lt;&gt;"")+--(Q314&lt;&gt;"")+--(R314&lt;&gt;"")+--(S314&lt;&gt;"")+--(T314&lt;&gt;""))/19)</f>
        <v/>
      </c>
      <c r="AA314" s="16" t="n"/>
      <c r="AB314" s="16" t="n"/>
      <c r="AC314" s="16" t="n"/>
      <c r="AD314" s="16" t="n"/>
      <c r="AE314" s="7">
        <f>IF(B314="","",IF(AND(AA314="合格",AB314="合格",AC314="合格",AD314="合格"),"有效","无效"))</f>
        <v/>
      </c>
    </row>
    <row r="315">
      <c r="A315" s="7">
        <f>IF(B315="","",TEXT(B315,"yyyymmdd")&amp;"-"&amp;TEXT(ROW()-1,"000"))</f>
        <v/>
      </c>
      <c r="B315" s="8" t="n"/>
      <c r="C315" s="9" t="n"/>
      <c r="D315" s="9" t="n"/>
      <c r="E315" s="9" t="n"/>
      <c r="F315" s="9" t="n"/>
      <c r="G315" s="9" t="n"/>
      <c r="H315" s="9" t="n"/>
      <c r="I315" s="9" t="n"/>
      <c r="J315" s="10" t="n"/>
      <c r="K315" s="9" t="n"/>
      <c r="L315" s="9" t="n"/>
      <c r="M315" s="9" t="n"/>
      <c r="N315" s="10" t="n"/>
      <c r="O315" s="9" t="n"/>
      <c r="P315" s="10" t="n"/>
      <c r="Q315" s="10" t="n"/>
      <c r="R315" s="9" t="n"/>
      <c r="S315" s="10" t="n"/>
      <c r="T315" s="10" t="n"/>
      <c r="U315" s="11" t="n"/>
      <c r="V315" s="11" t="n"/>
      <c r="W315" s="12">
        <f>IF(B315="","",B315+3)</f>
        <v/>
      </c>
      <c r="X315" s="12">
        <f>IF(B315="","",B315+5)</f>
        <v/>
      </c>
      <c r="Y315" s="12">
        <f>IF(B315="","",B315+10)</f>
        <v/>
      </c>
      <c r="Z315" s="13">
        <f>IF(B315="","",(--(B315&lt;&gt;"")+--(C315&lt;&gt;"")+--(D315&lt;&gt;"")+--(E315&lt;&gt;"")+--(F315&lt;&gt;"")+--(G315&lt;&gt;"")+--(H315&lt;&gt;"")+--(I315&lt;&gt;"")+--(J315&lt;&gt;"")+--(K315&lt;&gt;"")+--(L315&lt;&gt;"")+--(M315&lt;&gt;"")+--(N315&lt;&gt;"")+--(O315&lt;&gt;"")+--(P315&lt;&gt;"")+--(Q315&lt;&gt;"")+--(R315&lt;&gt;"")+--(S315&lt;&gt;"")+--(T315&lt;&gt;""))/19)</f>
        <v/>
      </c>
      <c r="AA315" s="16" t="n"/>
      <c r="AB315" s="16" t="n"/>
      <c r="AC315" s="16" t="n"/>
      <c r="AD315" s="16" t="n"/>
      <c r="AE315" s="7">
        <f>IF(B315="","",IF(AND(AA315="合格",AB315="合格",AC315="合格",AD315="合格"),"有效","无效"))</f>
        <v/>
      </c>
    </row>
    <row r="316">
      <c r="A316" s="7">
        <f>IF(B316="","",TEXT(B316,"yyyymmdd")&amp;"-"&amp;TEXT(ROW()-1,"000"))</f>
        <v/>
      </c>
      <c r="B316" s="8" t="n"/>
      <c r="C316" s="9" t="n"/>
      <c r="D316" s="9" t="n"/>
      <c r="E316" s="9" t="n"/>
      <c r="F316" s="9" t="n"/>
      <c r="G316" s="9" t="n"/>
      <c r="H316" s="9" t="n"/>
      <c r="I316" s="9" t="n"/>
      <c r="J316" s="10" t="n"/>
      <c r="K316" s="9" t="n"/>
      <c r="L316" s="9" t="n"/>
      <c r="M316" s="9" t="n"/>
      <c r="N316" s="10" t="n"/>
      <c r="O316" s="9" t="n"/>
      <c r="P316" s="10" t="n"/>
      <c r="Q316" s="10" t="n"/>
      <c r="R316" s="9" t="n"/>
      <c r="S316" s="10" t="n"/>
      <c r="T316" s="10" t="n"/>
      <c r="U316" s="11" t="n"/>
      <c r="V316" s="11" t="n"/>
      <c r="W316" s="12">
        <f>IF(B316="","",B316+3)</f>
        <v/>
      </c>
      <c r="X316" s="12">
        <f>IF(B316="","",B316+5)</f>
        <v/>
      </c>
      <c r="Y316" s="12">
        <f>IF(B316="","",B316+10)</f>
        <v/>
      </c>
      <c r="Z316" s="13">
        <f>IF(B316="","",(--(B316&lt;&gt;"")+--(C316&lt;&gt;"")+--(D316&lt;&gt;"")+--(E316&lt;&gt;"")+--(F316&lt;&gt;"")+--(G316&lt;&gt;"")+--(H316&lt;&gt;"")+--(I316&lt;&gt;"")+--(J316&lt;&gt;"")+--(K316&lt;&gt;"")+--(L316&lt;&gt;"")+--(M316&lt;&gt;"")+--(N316&lt;&gt;"")+--(O316&lt;&gt;"")+--(P316&lt;&gt;"")+--(Q316&lt;&gt;"")+--(R316&lt;&gt;"")+--(S316&lt;&gt;"")+--(T316&lt;&gt;""))/19)</f>
        <v/>
      </c>
      <c r="AA316" s="16" t="n"/>
      <c r="AB316" s="16" t="n"/>
      <c r="AC316" s="16" t="n"/>
      <c r="AD316" s="16" t="n"/>
      <c r="AE316" s="7">
        <f>IF(B316="","",IF(AND(AA316="合格",AB316="合格",AC316="合格",AD316="合格"),"有效","无效"))</f>
        <v/>
      </c>
    </row>
    <row r="317">
      <c r="A317" s="7">
        <f>IF(B317="","",TEXT(B317,"yyyymmdd")&amp;"-"&amp;TEXT(ROW()-1,"000"))</f>
        <v/>
      </c>
      <c r="B317" s="8" t="n"/>
      <c r="C317" s="9" t="n"/>
      <c r="D317" s="9" t="n"/>
      <c r="E317" s="9" t="n"/>
      <c r="F317" s="9" t="n"/>
      <c r="G317" s="9" t="n"/>
      <c r="H317" s="9" t="n"/>
      <c r="I317" s="9" t="n"/>
      <c r="J317" s="10" t="n"/>
      <c r="K317" s="9" t="n"/>
      <c r="L317" s="9" t="n"/>
      <c r="M317" s="9" t="n"/>
      <c r="N317" s="10" t="n"/>
      <c r="O317" s="9" t="n"/>
      <c r="P317" s="10" t="n"/>
      <c r="Q317" s="10" t="n"/>
      <c r="R317" s="9" t="n"/>
      <c r="S317" s="10" t="n"/>
      <c r="T317" s="10" t="n"/>
      <c r="U317" s="11" t="n"/>
      <c r="V317" s="11" t="n"/>
      <c r="W317" s="12">
        <f>IF(B317="","",B317+3)</f>
        <v/>
      </c>
      <c r="X317" s="12">
        <f>IF(B317="","",B317+5)</f>
        <v/>
      </c>
      <c r="Y317" s="12">
        <f>IF(B317="","",B317+10)</f>
        <v/>
      </c>
      <c r="Z317" s="13">
        <f>IF(B317="","",(--(B317&lt;&gt;"")+--(C317&lt;&gt;"")+--(D317&lt;&gt;"")+--(E317&lt;&gt;"")+--(F317&lt;&gt;"")+--(G317&lt;&gt;"")+--(H317&lt;&gt;"")+--(I317&lt;&gt;"")+--(J317&lt;&gt;"")+--(K317&lt;&gt;"")+--(L317&lt;&gt;"")+--(M317&lt;&gt;"")+--(N317&lt;&gt;"")+--(O317&lt;&gt;"")+--(P317&lt;&gt;"")+--(Q317&lt;&gt;"")+--(R317&lt;&gt;"")+--(S317&lt;&gt;"")+--(T317&lt;&gt;""))/19)</f>
        <v/>
      </c>
      <c r="AA317" s="16" t="n"/>
      <c r="AB317" s="16" t="n"/>
      <c r="AC317" s="16" t="n"/>
      <c r="AD317" s="16" t="n"/>
      <c r="AE317" s="7">
        <f>IF(B317="","",IF(AND(AA317="合格",AB317="合格",AC317="合格",AD317="合格"),"有效","无效"))</f>
        <v/>
      </c>
    </row>
    <row r="318">
      <c r="A318" s="7">
        <f>IF(B318="","",TEXT(B318,"yyyymmdd")&amp;"-"&amp;TEXT(ROW()-1,"000"))</f>
        <v/>
      </c>
      <c r="B318" s="8" t="n"/>
      <c r="C318" s="9" t="n"/>
      <c r="D318" s="9" t="n"/>
      <c r="E318" s="9" t="n"/>
      <c r="F318" s="9" t="n"/>
      <c r="G318" s="9" t="n"/>
      <c r="H318" s="9" t="n"/>
      <c r="I318" s="9" t="n"/>
      <c r="J318" s="10" t="n"/>
      <c r="K318" s="9" t="n"/>
      <c r="L318" s="9" t="n"/>
      <c r="M318" s="9" t="n"/>
      <c r="N318" s="10" t="n"/>
      <c r="O318" s="9" t="n"/>
      <c r="P318" s="10" t="n"/>
      <c r="Q318" s="10" t="n"/>
      <c r="R318" s="9" t="n"/>
      <c r="S318" s="10" t="n"/>
      <c r="T318" s="10" t="n"/>
      <c r="U318" s="11" t="n"/>
      <c r="V318" s="11" t="n"/>
      <c r="W318" s="12">
        <f>IF(B318="","",B318+3)</f>
        <v/>
      </c>
      <c r="X318" s="12">
        <f>IF(B318="","",B318+5)</f>
        <v/>
      </c>
      <c r="Y318" s="12">
        <f>IF(B318="","",B318+10)</f>
        <v/>
      </c>
      <c r="Z318" s="13">
        <f>IF(B318="","",(--(B318&lt;&gt;"")+--(C318&lt;&gt;"")+--(D318&lt;&gt;"")+--(E318&lt;&gt;"")+--(F318&lt;&gt;"")+--(G318&lt;&gt;"")+--(H318&lt;&gt;"")+--(I318&lt;&gt;"")+--(J318&lt;&gt;"")+--(K318&lt;&gt;"")+--(L318&lt;&gt;"")+--(M318&lt;&gt;"")+--(N318&lt;&gt;"")+--(O318&lt;&gt;"")+--(P318&lt;&gt;"")+--(Q318&lt;&gt;"")+--(R318&lt;&gt;"")+--(S318&lt;&gt;"")+--(T318&lt;&gt;""))/19)</f>
        <v/>
      </c>
      <c r="AA318" s="16" t="n"/>
      <c r="AB318" s="16" t="n"/>
      <c r="AC318" s="16" t="n"/>
      <c r="AD318" s="16" t="n"/>
      <c r="AE318" s="7">
        <f>IF(B318="","",IF(AND(AA318="合格",AB318="合格",AC318="合格",AD318="合格"),"有效","无效"))</f>
        <v/>
      </c>
    </row>
    <row r="319">
      <c r="A319" s="7">
        <f>IF(B319="","",TEXT(B319,"yyyymmdd")&amp;"-"&amp;TEXT(ROW()-1,"000"))</f>
        <v/>
      </c>
      <c r="B319" s="8" t="n"/>
      <c r="C319" s="9" t="n"/>
      <c r="D319" s="9" t="n"/>
      <c r="E319" s="9" t="n"/>
      <c r="F319" s="9" t="n"/>
      <c r="G319" s="9" t="n"/>
      <c r="H319" s="9" t="n"/>
      <c r="I319" s="9" t="n"/>
      <c r="J319" s="10" t="n"/>
      <c r="K319" s="9" t="n"/>
      <c r="L319" s="9" t="n"/>
      <c r="M319" s="9" t="n"/>
      <c r="N319" s="10" t="n"/>
      <c r="O319" s="9" t="n"/>
      <c r="P319" s="10" t="n"/>
      <c r="Q319" s="10" t="n"/>
      <c r="R319" s="9" t="n"/>
      <c r="S319" s="10" t="n"/>
      <c r="T319" s="10" t="n"/>
      <c r="U319" s="11" t="n"/>
      <c r="V319" s="11" t="n"/>
      <c r="W319" s="12">
        <f>IF(B319="","",B319+3)</f>
        <v/>
      </c>
      <c r="X319" s="12">
        <f>IF(B319="","",B319+5)</f>
        <v/>
      </c>
      <c r="Y319" s="12">
        <f>IF(B319="","",B319+10)</f>
        <v/>
      </c>
      <c r="Z319" s="13">
        <f>IF(B319="","",(--(B319&lt;&gt;"")+--(C319&lt;&gt;"")+--(D319&lt;&gt;"")+--(E319&lt;&gt;"")+--(F319&lt;&gt;"")+--(G319&lt;&gt;"")+--(H319&lt;&gt;"")+--(I319&lt;&gt;"")+--(J319&lt;&gt;"")+--(K319&lt;&gt;"")+--(L319&lt;&gt;"")+--(M319&lt;&gt;"")+--(N319&lt;&gt;"")+--(O319&lt;&gt;"")+--(P319&lt;&gt;"")+--(Q319&lt;&gt;"")+--(R319&lt;&gt;"")+--(S319&lt;&gt;"")+--(T319&lt;&gt;""))/19)</f>
        <v/>
      </c>
      <c r="AA319" s="16" t="n"/>
      <c r="AB319" s="16" t="n"/>
      <c r="AC319" s="16" t="n"/>
      <c r="AD319" s="16" t="n"/>
      <c r="AE319" s="7">
        <f>IF(B319="","",IF(AND(AA319="合格",AB319="合格",AC319="合格",AD319="合格"),"有效","无效"))</f>
        <v/>
      </c>
    </row>
    <row r="320">
      <c r="A320" s="7">
        <f>IF(B320="","",TEXT(B320,"yyyymmdd")&amp;"-"&amp;TEXT(ROW()-1,"000"))</f>
        <v/>
      </c>
      <c r="B320" s="8" t="n"/>
      <c r="C320" s="9" t="n"/>
      <c r="D320" s="9" t="n"/>
      <c r="E320" s="9" t="n"/>
      <c r="F320" s="9" t="n"/>
      <c r="G320" s="9" t="n"/>
      <c r="H320" s="9" t="n"/>
      <c r="I320" s="9" t="n"/>
      <c r="J320" s="10" t="n"/>
      <c r="K320" s="9" t="n"/>
      <c r="L320" s="9" t="n"/>
      <c r="M320" s="9" t="n"/>
      <c r="N320" s="10" t="n"/>
      <c r="O320" s="9" t="n"/>
      <c r="P320" s="10" t="n"/>
      <c r="Q320" s="10" t="n"/>
      <c r="R320" s="9" t="n"/>
      <c r="S320" s="10" t="n"/>
      <c r="T320" s="10" t="n"/>
      <c r="U320" s="11" t="n"/>
      <c r="V320" s="11" t="n"/>
      <c r="W320" s="12">
        <f>IF(B320="","",B320+3)</f>
        <v/>
      </c>
      <c r="X320" s="12">
        <f>IF(B320="","",B320+5)</f>
        <v/>
      </c>
      <c r="Y320" s="12">
        <f>IF(B320="","",B320+10)</f>
        <v/>
      </c>
      <c r="Z320" s="13">
        <f>IF(B320="","",(--(B320&lt;&gt;"")+--(C320&lt;&gt;"")+--(D320&lt;&gt;"")+--(E320&lt;&gt;"")+--(F320&lt;&gt;"")+--(G320&lt;&gt;"")+--(H320&lt;&gt;"")+--(I320&lt;&gt;"")+--(J320&lt;&gt;"")+--(K320&lt;&gt;"")+--(L320&lt;&gt;"")+--(M320&lt;&gt;"")+--(N320&lt;&gt;"")+--(O320&lt;&gt;"")+--(P320&lt;&gt;"")+--(Q320&lt;&gt;"")+--(R320&lt;&gt;"")+--(S320&lt;&gt;"")+--(T320&lt;&gt;""))/19)</f>
        <v/>
      </c>
      <c r="AA320" s="16" t="n"/>
      <c r="AB320" s="16" t="n"/>
      <c r="AC320" s="16" t="n"/>
      <c r="AD320" s="16" t="n"/>
      <c r="AE320" s="7">
        <f>IF(B320="","",IF(AND(AA320="合格",AB320="合格",AC320="合格",AD320="合格"),"有效","无效"))</f>
        <v/>
      </c>
    </row>
    <row r="321">
      <c r="A321" s="7">
        <f>IF(B321="","",TEXT(B321,"yyyymmdd")&amp;"-"&amp;TEXT(ROW()-1,"000"))</f>
        <v/>
      </c>
      <c r="B321" s="8" t="n"/>
      <c r="C321" s="9" t="n"/>
      <c r="D321" s="9" t="n"/>
      <c r="E321" s="9" t="n"/>
      <c r="F321" s="9" t="n"/>
      <c r="G321" s="9" t="n"/>
      <c r="H321" s="9" t="n"/>
      <c r="I321" s="9" t="n"/>
      <c r="J321" s="10" t="n"/>
      <c r="K321" s="9" t="n"/>
      <c r="L321" s="9" t="n"/>
      <c r="M321" s="9" t="n"/>
      <c r="N321" s="10" t="n"/>
      <c r="O321" s="9" t="n"/>
      <c r="P321" s="10" t="n"/>
      <c r="Q321" s="10" t="n"/>
      <c r="R321" s="9" t="n"/>
      <c r="S321" s="10" t="n"/>
      <c r="T321" s="10" t="n"/>
      <c r="U321" s="11" t="n"/>
      <c r="V321" s="11" t="n"/>
      <c r="W321" s="12">
        <f>IF(B321="","",B321+3)</f>
        <v/>
      </c>
      <c r="X321" s="12">
        <f>IF(B321="","",B321+5)</f>
        <v/>
      </c>
      <c r="Y321" s="12">
        <f>IF(B321="","",B321+10)</f>
        <v/>
      </c>
      <c r="Z321" s="13">
        <f>IF(B321="","",(--(B321&lt;&gt;"")+--(C321&lt;&gt;"")+--(D321&lt;&gt;"")+--(E321&lt;&gt;"")+--(F321&lt;&gt;"")+--(G321&lt;&gt;"")+--(H321&lt;&gt;"")+--(I321&lt;&gt;"")+--(J321&lt;&gt;"")+--(K321&lt;&gt;"")+--(L321&lt;&gt;"")+--(M321&lt;&gt;"")+--(N321&lt;&gt;"")+--(O321&lt;&gt;"")+--(P321&lt;&gt;"")+--(Q321&lt;&gt;"")+--(R321&lt;&gt;"")+--(S321&lt;&gt;"")+--(T321&lt;&gt;""))/19)</f>
        <v/>
      </c>
      <c r="AA321" s="16" t="n"/>
      <c r="AB321" s="16" t="n"/>
      <c r="AC321" s="16" t="n"/>
      <c r="AD321" s="16" t="n"/>
      <c r="AE321" s="7">
        <f>IF(B321="","",IF(AND(AA321="合格",AB321="合格",AC321="合格",AD321="合格"),"有效","无效"))</f>
        <v/>
      </c>
    </row>
    <row r="322">
      <c r="A322" s="7">
        <f>IF(B322="","",TEXT(B322,"yyyymmdd")&amp;"-"&amp;TEXT(ROW()-1,"000"))</f>
        <v/>
      </c>
      <c r="B322" s="8" t="n"/>
      <c r="C322" s="9" t="n"/>
      <c r="D322" s="9" t="n"/>
      <c r="E322" s="9" t="n"/>
      <c r="F322" s="9" t="n"/>
      <c r="G322" s="9" t="n"/>
      <c r="H322" s="9" t="n"/>
      <c r="I322" s="9" t="n"/>
      <c r="J322" s="10" t="n"/>
      <c r="K322" s="9" t="n"/>
      <c r="L322" s="9" t="n"/>
      <c r="M322" s="9" t="n"/>
      <c r="N322" s="10" t="n"/>
      <c r="O322" s="9" t="n"/>
      <c r="P322" s="10" t="n"/>
      <c r="Q322" s="10" t="n"/>
      <c r="R322" s="9" t="n"/>
      <c r="S322" s="10" t="n"/>
      <c r="T322" s="10" t="n"/>
      <c r="U322" s="11" t="n"/>
      <c r="V322" s="11" t="n"/>
      <c r="W322" s="12">
        <f>IF(B322="","",B322+3)</f>
        <v/>
      </c>
      <c r="X322" s="12">
        <f>IF(B322="","",B322+5)</f>
        <v/>
      </c>
      <c r="Y322" s="12">
        <f>IF(B322="","",B322+10)</f>
        <v/>
      </c>
      <c r="Z322" s="13">
        <f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6" t="n"/>
      <c r="AB322" s="16" t="n"/>
      <c r="AC322" s="16" t="n"/>
      <c r="AD322" s="16" t="n"/>
      <c r="AE322" s="7">
        <f>IF(B322="","",IF(AND(AA322="合格",AB322="合格",AC322="合格",AD322="合格"),"有效","无效"))</f>
        <v/>
      </c>
    </row>
    <row r="323">
      <c r="A323" s="7">
        <f>IF(B323="","",TEXT(B323,"yyyymmdd")&amp;"-"&amp;TEXT(ROW()-1,"000"))</f>
        <v/>
      </c>
      <c r="B323" s="8" t="n"/>
      <c r="C323" s="9" t="n"/>
      <c r="D323" s="9" t="n"/>
      <c r="E323" s="9" t="n"/>
      <c r="F323" s="9" t="n"/>
      <c r="G323" s="9" t="n"/>
      <c r="H323" s="9" t="n"/>
      <c r="I323" s="9" t="n"/>
      <c r="J323" s="10" t="n"/>
      <c r="K323" s="9" t="n"/>
      <c r="L323" s="9" t="n"/>
      <c r="M323" s="9" t="n"/>
      <c r="N323" s="10" t="n"/>
      <c r="O323" s="9" t="n"/>
      <c r="P323" s="10" t="n"/>
      <c r="Q323" s="10" t="n"/>
      <c r="R323" s="9" t="n"/>
      <c r="S323" s="10" t="n"/>
      <c r="T323" s="10" t="n"/>
      <c r="U323" s="11" t="n"/>
      <c r="V323" s="11" t="n"/>
      <c r="W323" s="12">
        <f>IF(B323="","",B323+3)</f>
        <v/>
      </c>
      <c r="X323" s="12">
        <f>IF(B323="","",B323+5)</f>
        <v/>
      </c>
      <c r="Y323" s="12">
        <f>IF(B323="","",B323+10)</f>
        <v/>
      </c>
      <c r="Z323" s="13">
        <f>IF(B323="","",(--(B323&lt;&gt;"")+--(C323&lt;&gt;"")+--(D323&lt;&gt;"")+--(E323&lt;&gt;"")+--(F323&lt;&gt;"")+--(G323&lt;&gt;"")+--(H323&lt;&gt;"")+--(I323&lt;&gt;"")+--(J323&lt;&gt;"")+--(K323&lt;&gt;"")+--(L323&lt;&gt;"")+--(M323&lt;&gt;"")+--(N323&lt;&gt;"")+--(O323&lt;&gt;"")+--(P323&lt;&gt;"")+--(Q323&lt;&gt;"")+--(R323&lt;&gt;"")+--(S323&lt;&gt;"")+--(T323&lt;&gt;""))/19)</f>
        <v/>
      </c>
      <c r="AA323" s="16" t="n"/>
      <c r="AB323" s="16" t="n"/>
      <c r="AC323" s="16" t="n"/>
      <c r="AD323" s="16" t="n"/>
      <c r="AE323" s="7">
        <f>IF(B323="","",IF(AND(AA323="合格",AB323="合格",AC323="合格",AD323="合格"),"有效","无效"))</f>
        <v/>
      </c>
    </row>
    <row r="324">
      <c r="A324" s="7">
        <f>IF(B324="","",TEXT(B324,"yyyymmdd")&amp;"-"&amp;TEXT(ROW()-1,"000"))</f>
        <v/>
      </c>
      <c r="B324" s="8" t="n"/>
      <c r="C324" s="9" t="n"/>
      <c r="D324" s="9" t="n"/>
      <c r="E324" s="9" t="n"/>
      <c r="F324" s="9" t="n"/>
      <c r="G324" s="9" t="n"/>
      <c r="H324" s="9" t="n"/>
      <c r="I324" s="9" t="n"/>
      <c r="J324" s="10" t="n"/>
      <c r="K324" s="9" t="n"/>
      <c r="L324" s="9" t="n"/>
      <c r="M324" s="9" t="n"/>
      <c r="N324" s="10" t="n"/>
      <c r="O324" s="9" t="n"/>
      <c r="P324" s="10" t="n"/>
      <c r="Q324" s="10" t="n"/>
      <c r="R324" s="9" t="n"/>
      <c r="S324" s="10" t="n"/>
      <c r="T324" s="10" t="n"/>
      <c r="U324" s="11" t="n"/>
      <c r="V324" s="11" t="n"/>
      <c r="W324" s="12">
        <f>IF(B324="","",B324+3)</f>
        <v/>
      </c>
      <c r="X324" s="12">
        <f>IF(B324="","",B324+5)</f>
        <v/>
      </c>
      <c r="Y324" s="12">
        <f>IF(B324="","",B324+10)</f>
        <v/>
      </c>
      <c r="Z324" s="13">
        <f>IF(B324="","",(--(B324&lt;&gt;"")+--(C324&lt;&gt;"")+--(D324&lt;&gt;"")+--(E324&lt;&gt;"")+--(F324&lt;&gt;"")+--(G324&lt;&gt;"")+--(H324&lt;&gt;"")+--(I324&lt;&gt;"")+--(J324&lt;&gt;"")+--(K324&lt;&gt;"")+--(L324&lt;&gt;"")+--(M324&lt;&gt;"")+--(N324&lt;&gt;"")+--(O324&lt;&gt;"")+--(P324&lt;&gt;"")+--(Q324&lt;&gt;"")+--(R324&lt;&gt;"")+--(S324&lt;&gt;"")+--(T324&lt;&gt;""))/19)</f>
        <v/>
      </c>
      <c r="AA324" s="16" t="n"/>
      <c r="AB324" s="16" t="n"/>
      <c r="AC324" s="16" t="n"/>
      <c r="AD324" s="16" t="n"/>
      <c r="AE324" s="7">
        <f>IF(B324="","",IF(AND(AA324="合格",AB324="合格",AC324="合格",AD324="合格"),"有效","无效"))</f>
        <v/>
      </c>
    </row>
    <row r="325">
      <c r="A325" s="7">
        <f>IF(B325="","",TEXT(B325,"yyyymmdd")&amp;"-"&amp;TEXT(ROW()-1,"000"))</f>
        <v/>
      </c>
      <c r="B325" s="8" t="n"/>
      <c r="C325" s="9" t="n"/>
      <c r="D325" s="9" t="n"/>
      <c r="E325" s="9" t="n"/>
      <c r="F325" s="9" t="n"/>
      <c r="G325" s="9" t="n"/>
      <c r="H325" s="9" t="n"/>
      <c r="I325" s="9" t="n"/>
      <c r="J325" s="10" t="n"/>
      <c r="K325" s="9" t="n"/>
      <c r="L325" s="9" t="n"/>
      <c r="M325" s="9" t="n"/>
      <c r="N325" s="10" t="n"/>
      <c r="O325" s="9" t="n"/>
      <c r="P325" s="10" t="n"/>
      <c r="Q325" s="10" t="n"/>
      <c r="R325" s="9" t="n"/>
      <c r="S325" s="10" t="n"/>
      <c r="T325" s="10" t="n"/>
      <c r="U325" s="11" t="n"/>
      <c r="V325" s="11" t="n"/>
      <c r="W325" s="12">
        <f>IF(B325="","",B325+3)</f>
        <v/>
      </c>
      <c r="X325" s="12">
        <f>IF(B325="","",B325+5)</f>
        <v/>
      </c>
      <c r="Y325" s="12">
        <f>IF(B325="","",B325+10)</f>
        <v/>
      </c>
      <c r="Z325" s="13">
        <f>IF(B325="","",(--(B325&lt;&gt;"")+--(C325&lt;&gt;"")+--(D325&lt;&gt;"")+--(E325&lt;&gt;"")+--(F325&lt;&gt;"")+--(G325&lt;&gt;"")+--(H325&lt;&gt;"")+--(I325&lt;&gt;"")+--(J325&lt;&gt;"")+--(K325&lt;&gt;"")+--(L325&lt;&gt;"")+--(M325&lt;&gt;"")+--(N325&lt;&gt;"")+--(O325&lt;&gt;"")+--(P325&lt;&gt;"")+--(Q325&lt;&gt;"")+--(R325&lt;&gt;"")+--(S325&lt;&gt;"")+--(T325&lt;&gt;""))/19)</f>
        <v/>
      </c>
      <c r="AA325" s="16" t="n"/>
      <c r="AB325" s="16" t="n"/>
      <c r="AC325" s="16" t="n"/>
      <c r="AD325" s="16" t="n"/>
      <c r="AE325" s="7">
        <f>IF(B325="","",IF(AND(AA325="合格",AB325="合格",AC325="合格",AD325="合格"),"有效","无效"))</f>
        <v/>
      </c>
    </row>
    <row r="326">
      <c r="A326" s="7">
        <f>IF(B326="","",TEXT(B326,"yyyymmdd")&amp;"-"&amp;TEXT(ROW()-1,"000"))</f>
        <v/>
      </c>
      <c r="B326" s="8" t="n"/>
      <c r="C326" s="9" t="n"/>
      <c r="D326" s="9" t="n"/>
      <c r="E326" s="9" t="n"/>
      <c r="F326" s="9" t="n"/>
      <c r="G326" s="9" t="n"/>
      <c r="H326" s="9" t="n"/>
      <c r="I326" s="9" t="n"/>
      <c r="J326" s="10" t="n"/>
      <c r="K326" s="9" t="n"/>
      <c r="L326" s="9" t="n"/>
      <c r="M326" s="9" t="n"/>
      <c r="N326" s="10" t="n"/>
      <c r="O326" s="9" t="n"/>
      <c r="P326" s="10" t="n"/>
      <c r="Q326" s="10" t="n"/>
      <c r="R326" s="9" t="n"/>
      <c r="S326" s="10" t="n"/>
      <c r="T326" s="10" t="n"/>
      <c r="U326" s="11" t="n"/>
      <c r="V326" s="11" t="n"/>
      <c r="W326" s="12">
        <f>IF(B326="","",B326+3)</f>
        <v/>
      </c>
      <c r="X326" s="12">
        <f>IF(B326="","",B326+5)</f>
        <v/>
      </c>
      <c r="Y326" s="12">
        <f>IF(B326="","",B326+10)</f>
        <v/>
      </c>
      <c r="Z326" s="13">
        <f>IF(B326="","",(--(B326&lt;&gt;"")+--(C326&lt;&gt;"")+--(D326&lt;&gt;"")+--(E326&lt;&gt;"")+--(F326&lt;&gt;"")+--(G326&lt;&gt;"")+--(H326&lt;&gt;"")+--(I326&lt;&gt;"")+--(J326&lt;&gt;"")+--(K326&lt;&gt;"")+--(L326&lt;&gt;"")+--(M326&lt;&gt;"")+--(N326&lt;&gt;"")+--(O326&lt;&gt;"")+--(P326&lt;&gt;"")+--(Q326&lt;&gt;"")+--(R326&lt;&gt;"")+--(S326&lt;&gt;"")+--(T326&lt;&gt;""))/19)</f>
        <v/>
      </c>
      <c r="AA326" s="16" t="n"/>
      <c r="AB326" s="16" t="n"/>
      <c r="AC326" s="16" t="n"/>
      <c r="AD326" s="16" t="n"/>
      <c r="AE326" s="7">
        <f>IF(B326="","",IF(AND(AA326="合格",AB326="合格",AC326="合格",AD326="合格"),"有效","无效"))</f>
        <v/>
      </c>
    </row>
    <row r="327">
      <c r="A327" s="7">
        <f>IF(B327="","",TEXT(B327,"yyyymmdd")&amp;"-"&amp;TEXT(ROW()-1,"000"))</f>
        <v/>
      </c>
      <c r="B327" s="8" t="n"/>
      <c r="C327" s="9" t="n"/>
      <c r="D327" s="9" t="n"/>
      <c r="E327" s="9" t="n"/>
      <c r="F327" s="9" t="n"/>
      <c r="G327" s="9" t="n"/>
      <c r="H327" s="9" t="n"/>
      <c r="I327" s="9" t="n"/>
      <c r="J327" s="10" t="n"/>
      <c r="K327" s="9" t="n"/>
      <c r="L327" s="9" t="n"/>
      <c r="M327" s="9" t="n"/>
      <c r="N327" s="10" t="n"/>
      <c r="O327" s="9" t="n"/>
      <c r="P327" s="10" t="n"/>
      <c r="Q327" s="10" t="n"/>
      <c r="R327" s="9" t="n"/>
      <c r="S327" s="10" t="n"/>
      <c r="T327" s="10" t="n"/>
      <c r="U327" s="11" t="n"/>
      <c r="V327" s="11" t="n"/>
      <c r="W327" s="12">
        <f>IF(B327="","",B327+3)</f>
        <v/>
      </c>
      <c r="X327" s="12">
        <f>IF(B327="","",B327+5)</f>
        <v/>
      </c>
      <c r="Y327" s="12">
        <f>IF(B327="","",B327+10)</f>
        <v/>
      </c>
      <c r="Z327" s="13">
        <f>IF(B327="","",(--(B327&lt;&gt;"")+--(C327&lt;&gt;"")+--(D327&lt;&gt;"")+--(E327&lt;&gt;"")+--(F327&lt;&gt;"")+--(G327&lt;&gt;"")+--(H327&lt;&gt;"")+--(I327&lt;&gt;"")+--(J327&lt;&gt;"")+--(K327&lt;&gt;"")+--(L327&lt;&gt;"")+--(M327&lt;&gt;"")+--(N327&lt;&gt;"")+--(O327&lt;&gt;"")+--(P327&lt;&gt;"")+--(Q327&lt;&gt;"")+--(R327&lt;&gt;"")+--(S327&lt;&gt;"")+--(T327&lt;&gt;""))/19)</f>
        <v/>
      </c>
      <c r="AA327" s="16" t="n"/>
      <c r="AB327" s="16" t="n"/>
      <c r="AC327" s="16" t="n"/>
      <c r="AD327" s="16" t="n"/>
      <c r="AE327" s="7">
        <f>IF(B327="","",IF(AND(AA327="合格",AB327="合格",AC327="合格",AD327="合格"),"有效","无效"))</f>
        <v/>
      </c>
    </row>
    <row r="328">
      <c r="A328" s="7">
        <f>IF(B328="","",TEXT(B328,"yyyymmdd")&amp;"-"&amp;TEXT(ROW()-1,"000"))</f>
        <v/>
      </c>
      <c r="B328" s="8" t="n"/>
      <c r="C328" s="9" t="n"/>
      <c r="D328" s="9" t="n"/>
      <c r="E328" s="9" t="n"/>
      <c r="F328" s="9" t="n"/>
      <c r="G328" s="9" t="n"/>
      <c r="H328" s="9" t="n"/>
      <c r="I328" s="9" t="n"/>
      <c r="J328" s="10" t="n"/>
      <c r="K328" s="9" t="n"/>
      <c r="L328" s="9" t="n"/>
      <c r="M328" s="9" t="n"/>
      <c r="N328" s="10" t="n"/>
      <c r="O328" s="9" t="n"/>
      <c r="P328" s="10" t="n"/>
      <c r="Q328" s="10" t="n"/>
      <c r="R328" s="9" t="n"/>
      <c r="S328" s="10" t="n"/>
      <c r="T328" s="10" t="n"/>
      <c r="U328" s="11" t="n"/>
      <c r="V328" s="11" t="n"/>
      <c r="W328" s="12">
        <f>IF(B328="","",B328+3)</f>
        <v/>
      </c>
      <c r="X328" s="12">
        <f>IF(B328="","",B328+5)</f>
        <v/>
      </c>
      <c r="Y328" s="12">
        <f>IF(B328="","",B328+10)</f>
        <v/>
      </c>
      <c r="Z328" s="13">
        <f>IF(B328="","",(--(B328&lt;&gt;"")+--(C328&lt;&gt;"")+--(D328&lt;&gt;"")+--(E328&lt;&gt;"")+--(F328&lt;&gt;"")+--(G328&lt;&gt;"")+--(H328&lt;&gt;"")+--(I328&lt;&gt;"")+--(J328&lt;&gt;"")+--(K328&lt;&gt;"")+--(L328&lt;&gt;"")+--(M328&lt;&gt;"")+--(N328&lt;&gt;"")+--(O328&lt;&gt;"")+--(P328&lt;&gt;"")+--(Q328&lt;&gt;"")+--(R328&lt;&gt;"")+--(S328&lt;&gt;"")+--(T328&lt;&gt;""))/19)</f>
        <v/>
      </c>
      <c r="AA328" s="16" t="n"/>
      <c r="AB328" s="16" t="n"/>
      <c r="AC328" s="16" t="n"/>
      <c r="AD328" s="16" t="n"/>
      <c r="AE328" s="7">
        <f>IF(B328="","",IF(AND(AA328="合格",AB328="合格",AC328="合格",AD328="合格"),"有效","无效"))</f>
        <v/>
      </c>
    </row>
    <row r="329">
      <c r="A329" s="7">
        <f>IF(B329="","",TEXT(B329,"yyyymmdd")&amp;"-"&amp;TEXT(ROW()-1,"000"))</f>
        <v/>
      </c>
      <c r="B329" s="8" t="n"/>
      <c r="C329" s="9" t="n"/>
      <c r="D329" s="9" t="n"/>
      <c r="E329" s="9" t="n"/>
      <c r="F329" s="9" t="n"/>
      <c r="G329" s="9" t="n"/>
      <c r="H329" s="9" t="n"/>
      <c r="I329" s="9" t="n"/>
      <c r="J329" s="10" t="n"/>
      <c r="K329" s="9" t="n"/>
      <c r="L329" s="9" t="n"/>
      <c r="M329" s="9" t="n"/>
      <c r="N329" s="10" t="n"/>
      <c r="O329" s="9" t="n"/>
      <c r="P329" s="10" t="n"/>
      <c r="Q329" s="10" t="n"/>
      <c r="R329" s="9" t="n"/>
      <c r="S329" s="10" t="n"/>
      <c r="T329" s="10" t="n"/>
      <c r="U329" s="11" t="n"/>
      <c r="V329" s="11" t="n"/>
      <c r="W329" s="12">
        <f>IF(B329="","",B329+3)</f>
        <v/>
      </c>
      <c r="X329" s="12">
        <f>IF(B329="","",B329+5)</f>
        <v/>
      </c>
      <c r="Y329" s="12">
        <f>IF(B329="","",B329+10)</f>
        <v/>
      </c>
      <c r="Z329" s="13">
        <f>IF(B329="","",(--(B329&lt;&gt;"")+--(C329&lt;&gt;"")+--(D329&lt;&gt;"")+--(E329&lt;&gt;"")+--(F329&lt;&gt;"")+--(G329&lt;&gt;"")+--(H329&lt;&gt;"")+--(I329&lt;&gt;"")+--(J329&lt;&gt;"")+--(K329&lt;&gt;"")+--(L329&lt;&gt;"")+--(M329&lt;&gt;"")+--(N329&lt;&gt;"")+--(O329&lt;&gt;"")+--(P329&lt;&gt;"")+--(Q329&lt;&gt;"")+--(R329&lt;&gt;"")+--(S329&lt;&gt;"")+--(T329&lt;&gt;""))/19)</f>
        <v/>
      </c>
      <c r="AA329" s="16" t="n"/>
      <c r="AB329" s="16" t="n"/>
      <c r="AC329" s="16" t="n"/>
      <c r="AD329" s="16" t="n"/>
      <c r="AE329" s="7">
        <f>IF(B329="","",IF(AND(AA329="合格",AB329="合格",AC329="合格",AD329="合格"),"有效","无效"))</f>
        <v/>
      </c>
    </row>
    <row r="330">
      <c r="A330" s="7">
        <f>IF(B330="","",TEXT(B330,"yyyymmdd")&amp;"-"&amp;TEXT(ROW()-1,"000"))</f>
        <v/>
      </c>
      <c r="B330" s="8" t="n"/>
      <c r="C330" s="9" t="n"/>
      <c r="D330" s="9" t="n"/>
      <c r="E330" s="9" t="n"/>
      <c r="F330" s="9" t="n"/>
      <c r="G330" s="9" t="n"/>
      <c r="H330" s="9" t="n"/>
      <c r="I330" s="9" t="n"/>
      <c r="J330" s="10" t="n"/>
      <c r="K330" s="9" t="n"/>
      <c r="L330" s="9" t="n"/>
      <c r="M330" s="9" t="n"/>
      <c r="N330" s="10" t="n"/>
      <c r="O330" s="9" t="n"/>
      <c r="P330" s="10" t="n"/>
      <c r="Q330" s="10" t="n"/>
      <c r="R330" s="9" t="n"/>
      <c r="S330" s="10" t="n"/>
      <c r="T330" s="10" t="n"/>
      <c r="U330" s="11" t="n"/>
      <c r="V330" s="11" t="n"/>
      <c r="W330" s="12">
        <f>IF(B330="","",B330+3)</f>
        <v/>
      </c>
      <c r="X330" s="12">
        <f>IF(B330="","",B330+5)</f>
        <v/>
      </c>
      <c r="Y330" s="12">
        <f>IF(B330="","",B330+10)</f>
        <v/>
      </c>
      <c r="Z330" s="13">
        <f>IF(B330="","",(--(B330&lt;&gt;"")+--(C330&lt;&gt;"")+--(D330&lt;&gt;"")+--(E330&lt;&gt;"")+--(F330&lt;&gt;"")+--(G330&lt;&gt;"")+--(H330&lt;&gt;"")+--(I330&lt;&gt;"")+--(J330&lt;&gt;"")+--(K330&lt;&gt;"")+--(L330&lt;&gt;"")+--(M330&lt;&gt;"")+--(N330&lt;&gt;"")+--(O330&lt;&gt;"")+--(P330&lt;&gt;"")+--(Q330&lt;&gt;"")+--(R330&lt;&gt;"")+--(S330&lt;&gt;"")+--(T330&lt;&gt;""))/19)</f>
        <v/>
      </c>
      <c r="AA330" s="16" t="n"/>
      <c r="AB330" s="16" t="n"/>
      <c r="AC330" s="16" t="n"/>
      <c r="AD330" s="16" t="n"/>
      <c r="AE330" s="7">
        <f>IF(B330="","",IF(AND(AA330="合格",AB330="合格",AC330="合格",AD330="合格"),"有效","无效"))</f>
        <v/>
      </c>
    </row>
    <row r="331">
      <c r="A331" s="7">
        <f>IF(B331="","",TEXT(B331,"yyyymmdd")&amp;"-"&amp;TEXT(ROW()-1,"000"))</f>
        <v/>
      </c>
      <c r="B331" s="8" t="n"/>
      <c r="C331" s="9" t="n"/>
      <c r="D331" s="9" t="n"/>
      <c r="E331" s="9" t="n"/>
      <c r="F331" s="9" t="n"/>
      <c r="G331" s="9" t="n"/>
      <c r="H331" s="9" t="n"/>
      <c r="I331" s="9" t="n"/>
      <c r="J331" s="10" t="n"/>
      <c r="K331" s="9" t="n"/>
      <c r="L331" s="9" t="n"/>
      <c r="M331" s="9" t="n"/>
      <c r="N331" s="10" t="n"/>
      <c r="O331" s="9" t="n"/>
      <c r="P331" s="10" t="n"/>
      <c r="Q331" s="10" t="n"/>
      <c r="R331" s="9" t="n"/>
      <c r="S331" s="10" t="n"/>
      <c r="T331" s="10" t="n"/>
      <c r="U331" s="11" t="n"/>
      <c r="V331" s="11" t="n"/>
      <c r="W331" s="12">
        <f>IF(B331="","",B331+3)</f>
        <v/>
      </c>
      <c r="X331" s="12">
        <f>IF(B331="","",B331+5)</f>
        <v/>
      </c>
      <c r="Y331" s="12">
        <f>IF(B331="","",B331+10)</f>
        <v/>
      </c>
      <c r="Z331" s="13">
        <f>IF(B331="","",(--(B331&lt;&gt;"")+--(C331&lt;&gt;"")+--(D331&lt;&gt;"")+--(E331&lt;&gt;"")+--(F331&lt;&gt;"")+--(G331&lt;&gt;"")+--(H331&lt;&gt;"")+--(I331&lt;&gt;"")+--(J331&lt;&gt;"")+--(K331&lt;&gt;"")+--(L331&lt;&gt;"")+--(M331&lt;&gt;"")+--(N331&lt;&gt;"")+--(O331&lt;&gt;"")+--(P331&lt;&gt;"")+--(Q331&lt;&gt;"")+--(R331&lt;&gt;"")+--(S331&lt;&gt;"")+--(T331&lt;&gt;""))/19)</f>
        <v/>
      </c>
      <c r="AA331" s="16" t="n"/>
      <c r="AB331" s="16" t="n"/>
      <c r="AC331" s="16" t="n"/>
      <c r="AD331" s="16" t="n"/>
      <c r="AE331" s="7">
        <f>IF(B331="","",IF(AND(AA331="合格",AB331="合格",AC331="合格",AD331="合格"),"有效","无效"))</f>
        <v/>
      </c>
    </row>
    <row r="332">
      <c r="A332" s="7">
        <f>IF(B332="","",TEXT(B332,"yyyymmdd")&amp;"-"&amp;TEXT(ROW()-1,"000"))</f>
        <v/>
      </c>
      <c r="B332" s="8" t="n"/>
      <c r="C332" s="9" t="n"/>
      <c r="D332" s="9" t="n"/>
      <c r="E332" s="9" t="n"/>
      <c r="F332" s="9" t="n"/>
      <c r="G332" s="9" t="n"/>
      <c r="H332" s="9" t="n"/>
      <c r="I332" s="9" t="n"/>
      <c r="J332" s="10" t="n"/>
      <c r="K332" s="9" t="n"/>
      <c r="L332" s="9" t="n"/>
      <c r="M332" s="9" t="n"/>
      <c r="N332" s="10" t="n"/>
      <c r="O332" s="9" t="n"/>
      <c r="P332" s="10" t="n"/>
      <c r="Q332" s="10" t="n"/>
      <c r="R332" s="9" t="n"/>
      <c r="S332" s="10" t="n"/>
      <c r="T332" s="10" t="n"/>
      <c r="U332" s="11" t="n"/>
      <c r="V332" s="11" t="n"/>
      <c r="W332" s="12">
        <f>IF(B332="","",B332+3)</f>
        <v/>
      </c>
      <c r="X332" s="12">
        <f>IF(B332="","",B332+5)</f>
        <v/>
      </c>
      <c r="Y332" s="12">
        <f>IF(B332="","",B332+10)</f>
        <v/>
      </c>
      <c r="Z332" s="13">
        <f>IF(B332="","",(--(B332&lt;&gt;"")+--(C332&lt;&gt;"")+--(D332&lt;&gt;"")+--(E332&lt;&gt;"")+--(F332&lt;&gt;"")+--(G332&lt;&gt;"")+--(H332&lt;&gt;"")+--(I332&lt;&gt;"")+--(J332&lt;&gt;"")+--(K332&lt;&gt;"")+--(L332&lt;&gt;"")+--(M332&lt;&gt;"")+--(N332&lt;&gt;"")+--(O332&lt;&gt;"")+--(P332&lt;&gt;"")+--(Q332&lt;&gt;"")+--(R332&lt;&gt;"")+--(S332&lt;&gt;"")+--(T332&lt;&gt;""))/19)</f>
        <v/>
      </c>
      <c r="AA332" s="16" t="n"/>
      <c r="AB332" s="16" t="n"/>
      <c r="AC332" s="16" t="n"/>
      <c r="AD332" s="16" t="n"/>
      <c r="AE332" s="7">
        <f>IF(B332="","",IF(AND(AA332="合格",AB332="合格",AC332="合格",AD332="合格"),"有效","无效"))</f>
        <v/>
      </c>
    </row>
    <row r="333">
      <c r="A333" s="7">
        <f>IF(B333="","",TEXT(B333,"yyyymmdd")&amp;"-"&amp;TEXT(ROW()-1,"000"))</f>
        <v/>
      </c>
      <c r="B333" s="8" t="n"/>
      <c r="C333" s="9" t="n"/>
      <c r="D333" s="9" t="n"/>
      <c r="E333" s="9" t="n"/>
      <c r="F333" s="9" t="n"/>
      <c r="G333" s="9" t="n"/>
      <c r="H333" s="9" t="n"/>
      <c r="I333" s="9" t="n"/>
      <c r="J333" s="10" t="n"/>
      <c r="K333" s="9" t="n"/>
      <c r="L333" s="9" t="n"/>
      <c r="M333" s="9" t="n"/>
      <c r="N333" s="10" t="n"/>
      <c r="O333" s="9" t="n"/>
      <c r="P333" s="10" t="n"/>
      <c r="Q333" s="10" t="n"/>
      <c r="R333" s="9" t="n"/>
      <c r="S333" s="10" t="n"/>
      <c r="T333" s="10" t="n"/>
      <c r="U333" s="11" t="n"/>
      <c r="V333" s="11" t="n"/>
      <c r="W333" s="12">
        <f>IF(B333="","",B333+3)</f>
        <v/>
      </c>
      <c r="X333" s="12">
        <f>IF(B333="","",B333+5)</f>
        <v/>
      </c>
      <c r="Y333" s="12">
        <f>IF(B333="","",B333+10)</f>
        <v/>
      </c>
      <c r="Z333" s="13">
        <f>IF(B333="","",(--(B333&lt;&gt;"")+--(C333&lt;&gt;"")+--(D333&lt;&gt;"")+--(E333&lt;&gt;"")+--(F333&lt;&gt;"")+--(G333&lt;&gt;"")+--(H333&lt;&gt;"")+--(I333&lt;&gt;"")+--(J333&lt;&gt;"")+--(K333&lt;&gt;"")+--(L333&lt;&gt;"")+--(M333&lt;&gt;"")+--(N333&lt;&gt;"")+--(O333&lt;&gt;"")+--(P333&lt;&gt;"")+--(Q333&lt;&gt;"")+--(R333&lt;&gt;"")+--(S333&lt;&gt;"")+--(T333&lt;&gt;""))/19)</f>
        <v/>
      </c>
      <c r="AA333" s="16" t="n"/>
      <c r="AB333" s="16" t="n"/>
      <c r="AC333" s="16" t="n"/>
      <c r="AD333" s="16" t="n"/>
      <c r="AE333" s="7">
        <f>IF(B333="","",IF(AND(AA333="合格",AB333="合格",AC333="合格",AD333="合格"),"有效","无效"))</f>
        <v/>
      </c>
    </row>
    <row r="334">
      <c r="A334" s="7">
        <f>IF(B334="","",TEXT(B334,"yyyymmdd")&amp;"-"&amp;TEXT(ROW()-1,"000"))</f>
        <v/>
      </c>
      <c r="B334" s="8" t="n"/>
      <c r="C334" s="9" t="n"/>
      <c r="D334" s="9" t="n"/>
      <c r="E334" s="9" t="n"/>
      <c r="F334" s="9" t="n"/>
      <c r="G334" s="9" t="n"/>
      <c r="H334" s="9" t="n"/>
      <c r="I334" s="9" t="n"/>
      <c r="J334" s="10" t="n"/>
      <c r="K334" s="9" t="n"/>
      <c r="L334" s="9" t="n"/>
      <c r="M334" s="9" t="n"/>
      <c r="N334" s="10" t="n"/>
      <c r="O334" s="9" t="n"/>
      <c r="P334" s="10" t="n"/>
      <c r="Q334" s="10" t="n"/>
      <c r="R334" s="9" t="n"/>
      <c r="S334" s="10" t="n"/>
      <c r="T334" s="10" t="n"/>
      <c r="U334" s="11" t="n"/>
      <c r="V334" s="11" t="n"/>
      <c r="W334" s="12">
        <f>IF(B334="","",B334+3)</f>
        <v/>
      </c>
      <c r="X334" s="12">
        <f>IF(B334="","",B334+5)</f>
        <v/>
      </c>
      <c r="Y334" s="12">
        <f>IF(B334="","",B334+10)</f>
        <v/>
      </c>
      <c r="Z334" s="13">
        <f>IF(B334="","",(--(B334&lt;&gt;"")+--(C334&lt;&gt;"")+--(D334&lt;&gt;"")+--(E334&lt;&gt;"")+--(F334&lt;&gt;"")+--(G334&lt;&gt;"")+--(H334&lt;&gt;"")+--(I334&lt;&gt;"")+--(J334&lt;&gt;"")+--(K334&lt;&gt;"")+--(L334&lt;&gt;"")+--(M334&lt;&gt;"")+--(N334&lt;&gt;"")+--(O334&lt;&gt;"")+--(P334&lt;&gt;"")+--(Q334&lt;&gt;"")+--(R334&lt;&gt;"")+--(S334&lt;&gt;"")+--(T334&lt;&gt;""))/19)</f>
        <v/>
      </c>
      <c r="AA334" s="16" t="n"/>
      <c r="AB334" s="16" t="n"/>
      <c r="AC334" s="16" t="n"/>
      <c r="AD334" s="16" t="n"/>
      <c r="AE334" s="7">
        <f>IF(B334="","",IF(AND(AA334="合格",AB334="合格",AC334="合格",AD334="合格"),"有效","无效"))</f>
        <v/>
      </c>
    </row>
    <row r="335">
      <c r="A335" s="7">
        <f>IF(B335="","",TEXT(B335,"yyyymmdd")&amp;"-"&amp;TEXT(ROW()-1,"000"))</f>
        <v/>
      </c>
      <c r="B335" s="8" t="n"/>
      <c r="C335" s="9" t="n"/>
      <c r="D335" s="9" t="n"/>
      <c r="E335" s="9" t="n"/>
      <c r="F335" s="9" t="n"/>
      <c r="G335" s="9" t="n"/>
      <c r="H335" s="9" t="n"/>
      <c r="I335" s="9" t="n"/>
      <c r="J335" s="10" t="n"/>
      <c r="K335" s="9" t="n"/>
      <c r="L335" s="9" t="n"/>
      <c r="M335" s="9" t="n"/>
      <c r="N335" s="10" t="n"/>
      <c r="O335" s="9" t="n"/>
      <c r="P335" s="10" t="n"/>
      <c r="Q335" s="10" t="n"/>
      <c r="R335" s="9" t="n"/>
      <c r="S335" s="10" t="n"/>
      <c r="T335" s="10" t="n"/>
      <c r="U335" s="11" t="n"/>
      <c r="V335" s="11" t="n"/>
      <c r="W335" s="12">
        <f>IF(B335="","",B335+3)</f>
        <v/>
      </c>
      <c r="X335" s="12">
        <f>IF(B335="","",B335+5)</f>
        <v/>
      </c>
      <c r="Y335" s="12">
        <f>IF(B335="","",B335+10)</f>
        <v/>
      </c>
      <c r="Z335" s="13">
        <f>IF(B335="","",(--(B335&lt;&gt;"")+--(C335&lt;&gt;"")+--(D335&lt;&gt;"")+--(E335&lt;&gt;"")+--(F335&lt;&gt;"")+--(G335&lt;&gt;"")+--(H335&lt;&gt;"")+--(I335&lt;&gt;"")+--(J335&lt;&gt;"")+--(K335&lt;&gt;"")+--(L335&lt;&gt;"")+--(M335&lt;&gt;"")+--(N335&lt;&gt;"")+--(O335&lt;&gt;"")+--(P335&lt;&gt;"")+--(Q335&lt;&gt;"")+--(R335&lt;&gt;"")+--(S335&lt;&gt;"")+--(T335&lt;&gt;""))/19)</f>
        <v/>
      </c>
      <c r="AA335" s="16" t="n"/>
      <c r="AB335" s="16" t="n"/>
      <c r="AC335" s="16" t="n"/>
      <c r="AD335" s="16" t="n"/>
      <c r="AE335" s="7">
        <f>IF(B335="","",IF(AND(AA335="合格",AB335="合格",AC335="合格",AD335="合格"),"有效","无效"))</f>
        <v/>
      </c>
    </row>
    <row r="336">
      <c r="A336" s="7">
        <f>IF(B336="","",TEXT(B336,"yyyymmdd")&amp;"-"&amp;TEXT(ROW()-1,"000"))</f>
        <v/>
      </c>
      <c r="B336" s="8" t="n"/>
      <c r="C336" s="9" t="n"/>
      <c r="D336" s="9" t="n"/>
      <c r="E336" s="9" t="n"/>
      <c r="F336" s="9" t="n"/>
      <c r="G336" s="9" t="n"/>
      <c r="H336" s="9" t="n"/>
      <c r="I336" s="9" t="n"/>
      <c r="J336" s="10" t="n"/>
      <c r="K336" s="9" t="n"/>
      <c r="L336" s="9" t="n"/>
      <c r="M336" s="9" t="n"/>
      <c r="N336" s="10" t="n"/>
      <c r="O336" s="9" t="n"/>
      <c r="P336" s="10" t="n"/>
      <c r="Q336" s="10" t="n"/>
      <c r="R336" s="9" t="n"/>
      <c r="S336" s="10" t="n"/>
      <c r="T336" s="10" t="n"/>
      <c r="U336" s="11" t="n"/>
      <c r="V336" s="11" t="n"/>
      <c r="W336" s="12">
        <f>IF(B336="","",B336+3)</f>
        <v/>
      </c>
      <c r="X336" s="12">
        <f>IF(B336="","",B336+5)</f>
        <v/>
      </c>
      <c r="Y336" s="12">
        <f>IF(B336="","",B336+10)</f>
        <v/>
      </c>
      <c r="Z336" s="13">
        <f>IF(B336="","",(--(B336&lt;&gt;"")+--(C336&lt;&gt;"")+--(D336&lt;&gt;"")+--(E336&lt;&gt;"")+--(F336&lt;&gt;"")+--(G336&lt;&gt;"")+--(H336&lt;&gt;"")+--(I336&lt;&gt;"")+--(J336&lt;&gt;"")+--(K336&lt;&gt;"")+--(L336&lt;&gt;"")+--(M336&lt;&gt;"")+--(N336&lt;&gt;"")+--(O336&lt;&gt;"")+--(P336&lt;&gt;"")+--(Q336&lt;&gt;"")+--(R336&lt;&gt;"")+--(S336&lt;&gt;"")+--(T336&lt;&gt;""))/19)</f>
        <v/>
      </c>
      <c r="AA336" s="16" t="n"/>
      <c r="AB336" s="16" t="n"/>
      <c r="AC336" s="16" t="n"/>
      <c r="AD336" s="16" t="n"/>
      <c r="AE336" s="7">
        <f>IF(B336="","",IF(AND(AA336="合格",AB336="合格",AC336="合格",AD336="合格"),"有效","无效"))</f>
        <v/>
      </c>
    </row>
    <row r="337">
      <c r="A337" s="7">
        <f>IF(B337="","",TEXT(B337,"yyyymmdd")&amp;"-"&amp;TEXT(ROW()-1,"000"))</f>
        <v/>
      </c>
      <c r="B337" s="8" t="n"/>
      <c r="C337" s="9" t="n"/>
      <c r="D337" s="9" t="n"/>
      <c r="E337" s="9" t="n"/>
      <c r="F337" s="9" t="n"/>
      <c r="G337" s="9" t="n"/>
      <c r="H337" s="9" t="n"/>
      <c r="I337" s="9" t="n"/>
      <c r="J337" s="10" t="n"/>
      <c r="K337" s="9" t="n"/>
      <c r="L337" s="9" t="n"/>
      <c r="M337" s="9" t="n"/>
      <c r="N337" s="10" t="n"/>
      <c r="O337" s="9" t="n"/>
      <c r="P337" s="10" t="n"/>
      <c r="Q337" s="10" t="n"/>
      <c r="R337" s="9" t="n"/>
      <c r="S337" s="10" t="n"/>
      <c r="T337" s="10" t="n"/>
      <c r="U337" s="11" t="n"/>
      <c r="V337" s="11" t="n"/>
      <c r="W337" s="12">
        <f>IF(B337="","",B337+3)</f>
        <v/>
      </c>
      <c r="X337" s="12">
        <f>IF(B337="","",B337+5)</f>
        <v/>
      </c>
      <c r="Y337" s="12">
        <f>IF(B337="","",B337+10)</f>
        <v/>
      </c>
      <c r="Z337" s="13">
        <f>IF(B337="","",(--(B337&lt;&gt;"")+--(C337&lt;&gt;"")+--(D337&lt;&gt;"")+--(E337&lt;&gt;"")+--(F337&lt;&gt;"")+--(G337&lt;&gt;"")+--(H337&lt;&gt;"")+--(I337&lt;&gt;"")+--(J337&lt;&gt;"")+--(K337&lt;&gt;"")+--(L337&lt;&gt;"")+--(M337&lt;&gt;"")+--(N337&lt;&gt;"")+--(O337&lt;&gt;"")+--(P337&lt;&gt;"")+--(Q337&lt;&gt;"")+--(R337&lt;&gt;"")+--(S337&lt;&gt;"")+--(T337&lt;&gt;""))/19)</f>
        <v/>
      </c>
      <c r="AA337" s="16" t="n"/>
      <c r="AB337" s="16" t="n"/>
      <c r="AC337" s="16" t="n"/>
      <c r="AD337" s="16" t="n"/>
      <c r="AE337" s="7">
        <f>IF(B337="","",IF(AND(AA337="合格",AB337="合格",AC337="合格",AD337="合格"),"有效","无效"))</f>
        <v/>
      </c>
    </row>
    <row r="338">
      <c r="A338" s="7">
        <f>IF(B338="","",TEXT(B338,"yyyymmdd")&amp;"-"&amp;TEXT(ROW()-1,"000"))</f>
        <v/>
      </c>
      <c r="B338" s="8" t="n"/>
      <c r="C338" s="9" t="n"/>
      <c r="D338" s="9" t="n"/>
      <c r="E338" s="9" t="n"/>
      <c r="F338" s="9" t="n"/>
      <c r="G338" s="9" t="n"/>
      <c r="H338" s="9" t="n"/>
      <c r="I338" s="9" t="n"/>
      <c r="J338" s="10" t="n"/>
      <c r="K338" s="9" t="n"/>
      <c r="L338" s="9" t="n"/>
      <c r="M338" s="9" t="n"/>
      <c r="N338" s="10" t="n"/>
      <c r="O338" s="9" t="n"/>
      <c r="P338" s="10" t="n"/>
      <c r="Q338" s="10" t="n"/>
      <c r="R338" s="9" t="n"/>
      <c r="S338" s="10" t="n"/>
      <c r="T338" s="10" t="n"/>
      <c r="U338" s="11" t="n"/>
      <c r="V338" s="11" t="n"/>
      <c r="W338" s="12">
        <f>IF(B338="","",B338+3)</f>
        <v/>
      </c>
      <c r="X338" s="12">
        <f>IF(B338="","",B338+5)</f>
        <v/>
      </c>
      <c r="Y338" s="12">
        <f>IF(B338="","",B338+10)</f>
        <v/>
      </c>
      <c r="Z338" s="13">
        <f>IF(B338="","",(--(B338&lt;&gt;"")+--(C338&lt;&gt;"")+--(D338&lt;&gt;"")+--(E338&lt;&gt;"")+--(F338&lt;&gt;"")+--(G338&lt;&gt;"")+--(H338&lt;&gt;"")+--(I338&lt;&gt;"")+--(J338&lt;&gt;"")+--(K338&lt;&gt;"")+--(L338&lt;&gt;"")+--(M338&lt;&gt;"")+--(N338&lt;&gt;"")+--(O338&lt;&gt;"")+--(P338&lt;&gt;"")+--(Q338&lt;&gt;"")+--(R338&lt;&gt;"")+--(S338&lt;&gt;"")+--(T338&lt;&gt;""))/19)</f>
        <v/>
      </c>
      <c r="AA338" s="16" t="n"/>
      <c r="AB338" s="16" t="n"/>
      <c r="AC338" s="16" t="n"/>
      <c r="AD338" s="16" t="n"/>
      <c r="AE338" s="7">
        <f>IF(B338="","",IF(AND(AA338="合格",AB338="合格",AC338="合格",AD338="合格"),"有效","无效"))</f>
        <v/>
      </c>
    </row>
    <row r="339">
      <c r="A339" s="7">
        <f>IF(B339="","",TEXT(B339,"yyyymmdd")&amp;"-"&amp;TEXT(ROW()-1,"000"))</f>
        <v/>
      </c>
      <c r="B339" s="8" t="n"/>
      <c r="C339" s="9" t="n"/>
      <c r="D339" s="9" t="n"/>
      <c r="E339" s="9" t="n"/>
      <c r="F339" s="9" t="n"/>
      <c r="G339" s="9" t="n"/>
      <c r="H339" s="9" t="n"/>
      <c r="I339" s="9" t="n"/>
      <c r="J339" s="10" t="n"/>
      <c r="K339" s="9" t="n"/>
      <c r="L339" s="9" t="n"/>
      <c r="M339" s="9" t="n"/>
      <c r="N339" s="10" t="n"/>
      <c r="O339" s="9" t="n"/>
      <c r="P339" s="10" t="n"/>
      <c r="Q339" s="10" t="n"/>
      <c r="R339" s="9" t="n"/>
      <c r="S339" s="10" t="n"/>
      <c r="T339" s="10" t="n"/>
      <c r="U339" s="11" t="n"/>
      <c r="V339" s="11" t="n"/>
      <c r="W339" s="12">
        <f>IF(B339="","",B339+3)</f>
        <v/>
      </c>
      <c r="X339" s="12">
        <f>IF(B339="","",B339+5)</f>
        <v/>
      </c>
      <c r="Y339" s="12">
        <f>IF(B339="","",B339+10)</f>
        <v/>
      </c>
      <c r="Z339" s="13">
        <f>IF(B339="","",(--(B339&lt;&gt;"")+--(C339&lt;&gt;"")+--(D339&lt;&gt;"")+--(E339&lt;&gt;"")+--(F339&lt;&gt;"")+--(G339&lt;&gt;"")+--(H339&lt;&gt;"")+--(I339&lt;&gt;"")+--(J339&lt;&gt;"")+--(K339&lt;&gt;"")+--(L339&lt;&gt;"")+--(M339&lt;&gt;"")+--(N339&lt;&gt;"")+--(O339&lt;&gt;"")+--(P339&lt;&gt;"")+--(Q339&lt;&gt;"")+--(R339&lt;&gt;"")+--(S339&lt;&gt;"")+--(T339&lt;&gt;""))/19)</f>
        <v/>
      </c>
      <c r="AA339" s="16" t="n"/>
      <c r="AB339" s="16" t="n"/>
      <c r="AC339" s="16" t="n"/>
      <c r="AD339" s="16" t="n"/>
      <c r="AE339" s="7">
        <f>IF(B339="","",IF(AND(AA339="合格",AB339="合格",AC339="合格",AD339="合格"),"有效","无效"))</f>
        <v/>
      </c>
    </row>
    <row r="340">
      <c r="A340" s="7">
        <f>IF(B340="","",TEXT(B340,"yyyymmdd")&amp;"-"&amp;TEXT(ROW()-1,"000"))</f>
        <v/>
      </c>
      <c r="B340" s="8" t="n"/>
      <c r="C340" s="9" t="n"/>
      <c r="D340" s="9" t="n"/>
      <c r="E340" s="9" t="n"/>
      <c r="F340" s="9" t="n"/>
      <c r="G340" s="9" t="n"/>
      <c r="H340" s="9" t="n"/>
      <c r="I340" s="9" t="n"/>
      <c r="J340" s="10" t="n"/>
      <c r="K340" s="9" t="n"/>
      <c r="L340" s="9" t="n"/>
      <c r="M340" s="9" t="n"/>
      <c r="N340" s="10" t="n"/>
      <c r="O340" s="9" t="n"/>
      <c r="P340" s="10" t="n"/>
      <c r="Q340" s="10" t="n"/>
      <c r="R340" s="9" t="n"/>
      <c r="S340" s="10" t="n"/>
      <c r="T340" s="10" t="n"/>
      <c r="U340" s="11" t="n"/>
      <c r="V340" s="11" t="n"/>
      <c r="W340" s="12">
        <f>IF(B340="","",B340+3)</f>
        <v/>
      </c>
      <c r="X340" s="12">
        <f>IF(B340="","",B340+5)</f>
        <v/>
      </c>
      <c r="Y340" s="12">
        <f>IF(B340="","",B340+10)</f>
        <v/>
      </c>
      <c r="Z340" s="13">
        <f>IF(B340="","",(--(B340&lt;&gt;"")+--(C340&lt;&gt;"")+--(D340&lt;&gt;"")+--(E340&lt;&gt;"")+--(F340&lt;&gt;"")+--(G340&lt;&gt;"")+--(H340&lt;&gt;"")+--(I340&lt;&gt;"")+--(J340&lt;&gt;"")+--(K340&lt;&gt;"")+--(L340&lt;&gt;"")+--(M340&lt;&gt;"")+--(N340&lt;&gt;"")+--(O340&lt;&gt;"")+--(P340&lt;&gt;"")+--(Q340&lt;&gt;"")+--(R340&lt;&gt;"")+--(S340&lt;&gt;"")+--(T340&lt;&gt;""))/19)</f>
        <v/>
      </c>
      <c r="AA340" s="16" t="n"/>
      <c r="AB340" s="16" t="n"/>
      <c r="AC340" s="16" t="n"/>
      <c r="AD340" s="16" t="n"/>
      <c r="AE340" s="7">
        <f>IF(B340="","",IF(AND(AA340="合格",AB340="合格",AC340="合格",AD340="合格"),"有效","无效"))</f>
        <v/>
      </c>
    </row>
    <row r="341">
      <c r="A341" s="7">
        <f>IF(B341="","",TEXT(B341,"yyyymmdd")&amp;"-"&amp;TEXT(ROW()-1,"000"))</f>
        <v/>
      </c>
      <c r="B341" s="8" t="n"/>
      <c r="C341" s="9" t="n"/>
      <c r="D341" s="9" t="n"/>
      <c r="E341" s="9" t="n"/>
      <c r="F341" s="9" t="n"/>
      <c r="G341" s="9" t="n"/>
      <c r="H341" s="9" t="n"/>
      <c r="I341" s="9" t="n"/>
      <c r="J341" s="10" t="n"/>
      <c r="K341" s="9" t="n"/>
      <c r="L341" s="9" t="n"/>
      <c r="M341" s="9" t="n"/>
      <c r="N341" s="10" t="n"/>
      <c r="O341" s="9" t="n"/>
      <c r="P341" s="10" t="n"/>
      <c r="Q341" s="10" t="n"/>
      <c r="R341" s="9" t="n"/>
      <c r="S341" s="10" t="n"/>
      <c r="T341" s="10" t="n"/>
      <c r="U341" s="11" t="n"/>
      <c r="V341" s="11" t="n"/>
      <c r="W341" s="12">
        <f>IF(B341="","",B341+3)</f>
        <v/>
      </c>
      <c r="X341" s="12">
        <f>IF(B341="","",B341+5)</f>
        <v/>
      </c>
      <c r="Y341" s="12">
        <f>IF(B341="","",B341+10)</f>
        <v/>
      </c>
      <c r="Z341" s="13">
        <f>IF(B341="","",(--(B341&lt;&gt;"")+--(C341&lt;&gt;"")+--(D341&lt;&gt;"")+--(E341&lt;&gt;"")+--(F341&lt;&gt;"")+--(G341&lt;&gt;"")+--(H341&lt;&gt;"")+--(I341&lt;&gt;"")+--(J341&lt;&gt;"")+--(K341&lt;&gt;"")+--(L341&lt;&gt;"")+--(M341&lt;&gt;"")+--(N341&lt;&gt;"")+--(O341&lt;&gt;"")+--(P341&lt;&gt;"")+--(Q341&lt;&gt;"")+--(R341&lt;&gt;"")+--(S341&lt;&gt;"")+--(T341&lt;&gt;""))/19)</f>
        <v/>
      </c>
      <c r="AA341" s="16" t="n"/>
      <c r="AB341" s="16" t="n"/>
      <c r="AC341" s="16" t="n"/>
      <c r="AD341" s="16" t="n"/>
      <c r="AE341" s="7">
        <f>IF(B341="","",IF(AND(AA341="合格",AB341="合格",AC341="合格",AD341="合格"),"有效","无效"))</f>
        <v/>
      </c>
    </row>
    <row r="342">
      <c r="A342" s="7">
        <f>IF(B342="","",TEXT(B342,"yyyymmdd")&amp;"-"&amp;TEXT(ROW()-1,"000"))</f>
        <v/>
      </c>
      <c r="B342" s="8" t="n"/>
      <c r="C342" s="9" t="n"/>
      <c r="D342" s="9" t="n"/>
      <c r="E342" s="9" t="n"/>
      <c r="F342" s="9" t="n"/>
      <c r="G342" s="9" t="n"/>
      <c r="H342" s="9" t="n"/>
      <c r="I342" s="9" t="n"/>
      <c r="J342" s="10" t="n"/>
      <c r="K342" s="9" t="n"/>
      <c r="L342" s="9" t="n"/>
      <c r="M342" s="9" t="n"/>
      <c r="N342" s="10" t="n"/>
      <c r="O342" s="9" t="n"/>
      <c r="P342" s="10" t="n"/>
      <c r="Q342" s="10" t="n"/>
      <c r="R342" s="9" t="n"/>
      <c r="S342" s="10" t="n"/>
      <c r="T342" s="10" t="n"/>
      <c r="U342" s="11" t="n"/>
      <c r="V342" s="11" t="n"/>
      <c r="W342" s="12">
        <f>IF(B342="","",B342+3)</f>
        <v/>
      </c>
      <c r="X342" s="12">
        <f>IF(B342="","",B342+5)</f>
        <v/>
      </c>
      <c r="Y342" s="12">
        <f>IF(B342="","",B342+10)</f>
        <v/>
      </c>
      <c r="Z342" s="13">
        <f>IF(B342="","",(--(B342&lt;&gt;"")+--(C342&lt;&gt;"")+--(D342&lt;&gt;"")+--(E342&lt;&gt;"")+--(F342&lt;&gt;"")+--(G342&lt;&gt;"")+--(H342&lt;&gt;"")+--(I342&lt;&gt;"")+--(J342&lt;&gt;"")+--(K342&lt;&gt;"")+--(L342&lt;&gt;"")+--(M342&lt;&gt;"")+--(N342&lt;&gt;"")+--(O342&lt;&gt;"")+--(P342&lt;&gt;"")+--(Q342&lt;&gt;"")+--(R342&lt;&gt;"")+--(S342&lt;&gt;"")+--(T342&lt;&gt;""))/19)</f>
        <v/>
      </c>
      <c r="AA342" s="16" t="n"/>
      <c r="AB342" s="16" t="n"/>
      <c r="AC342" s="16" t="n"/>
      <c r="AD342" s="16" t="n"/>
      <c r="AE342" s="7">
        <f>IF(B342="","",IF(AND(AA342="合格",AB342="合格",AC342="合格",AD342="合格"),"有效","无效"))</f>
        <v/>
      </c>
    </row>
    <row r="343">
      <c r="A343" s="7">
        <f>IF(B343="","",TEXT(B343,"yyyymmdd")&amp;"-"&amp;TEXT(ROW()-1,"000"))</f>
        <v/>
      </c>
      <c r="B343" s="8" t="n"/>
      <c r="C343" s="9" t="n"/>
      <c r="D343" s="9" t="n"/>
      <c r="E343" s="9" t="n"/>
      <c r="F343" s="9" t="n"/>
      <c r="G343" s="9" t="n"/>
      <c r="H343" s="9" t="n"/>
      <c r="I343" s="9" t="n"/>
      <c r="J343" s="10" t="n"/>
      <c r="K343" s="9" t="n"/>
      <c r="L343" s="9" t="n"/>
      <c r="M343" s="9" t="n"/>
      <c r="N343" s="10" t="n"/>
      <c r="O343" s="9" t="n"/>
      <c r="P343" s="10" t="n"/>
      <c r="Q343" s="10" t="n"/>
      <c r="R343" s="9" t="n"/>
      <c r="S343" s="10" t="n"/>
      <c r="T343" s="10" t="n"/>
      <c r="U343" s="11" t="n"/>
      <c r="V343" s="11" t="n"/>
      <c r="W343" s="12">
        <f>IF(B343="","",B343+3)</f>
        <v/>
      </c>
      <c r="X343" s="12">
        <f>IF(B343="","",B343+5)</f>
        <v/>
      </c>
      <c r="Y343" s="12">
        <f>IF(B343="","",B343+10)</f>
        <v/>
      </c>
      <c r="Z343" s="13">
        <f>IF(B343="","",(--(B343&lt;&gt;"")+--(C343&lt;&gt;"")+--(D343&lt;&gt;"")+--(E343&lt;&gt;"")+--(F343&lt;&gt;"")+--(G343&lt;&gt;"")+--(H343&lt;&gt;"")+--(I343&lt;&gt;"")+--(J343&lt;&gt;"")+--(K343&lt;&gt;"")+--(L343&lt;&gt;"")+--(M343&lt;&gt;"")+--(N343&lt;&gt;"")+--(O343&lt;&gt;"")+--(P343&lt;&gt;"")+--(Q343&lt;&gt;"")+--(R343&lt;&gt;"")+--(S343&lt;&gt;"")+--(T343&lt;&gt;""))/19)</f>
        <v/>
      </c>
      <c r="AA343" s="16" t="n"/>
      <c r="AB343" s="16" t="n"/>
      <c r="AC343" s="16" t="n"/>
      <c r="AD343" s="16" t="n"/>
      <c r="AE343" s="7">
        <f>IF(B343="","",IF(AND(AA343="合格",AB343="合格",AC343="合格",AD343="合格"),"有效","无效"))</f>
        <v/>
      </c>
    </row>
    <row r="344">
      <c r="A344" s="7">
        <f>IF(B344="","",TEXT(B344,"yyyymmdd")&amp;"-"&amp;TEXT(ROW()-1,"000"))</f>
        <v/>
      </c>
      <c r="B344" s="8" t="n"/>
      <c r="C344" s="9" t="n"/>
      <c r="D344" s="9" t="n"/>
      <c r="E344" s="9" t="n"/>
      <c r="F344" s="9" t="n"/>
      <c r="G344" s="9" t="n"/>
      <c r="H344" s="9" t="n"/>
      <c r="I344" s="9" t="n"/>
      <c r="J344" s="10" t="n"/>
      <c r="K344" s="9" t="n"/>
      <c r="L344" s="9" t="n"/>
      <c r="M344" s="9" t="n"/>
      <c r="N344" s="10" t="n"/>
      <c r="O344" s="9" t="n"/>
      <c r="P344" s="10" t="n"/>
      <c r="Q344" s="10" t="n"/>
      <c r="R344" s="9" t="n"/>
      <c r="S344" s="10" t="n"/>
      <c r="T344" s="10" t="n"/>
      <c r="U344" s="11" t="n"/>
      <c r="V344" s="11" t="n"/>
      <c r="W344" s="12">
        <f>IF(B344="","",B344+3)</f>
        <v/>
      </c>
      <c r="X344" s="12">
        <f>IF(B344="","",B344+5)</f>
        <v/>
      </c>
      <c r="Y344" s="12">
        <f>IF(B344="","",B344+10)</f>
        <v/>
      </c>
      <c r="Z344" s="13">
        <f>IF(B344="","",(--(B344&lt;&gt;"")+--(C344&lt;&gt;"")+--(D344&lt;&gt;"")+--(E344&lt;&gt;"")+--(F344&lt;&gt;"")+--(G344&lt;&gt;"")+--(H344&lt;&gt;"")+--(I344&lt;&gt;"")+--(J344&lt;&gt;"")+--(K344&lt;&gt;"")+--(L344&lt;&gt;"")+--(M344&lt;&gt;"")+--(N344&lt;&gt;"")+--(O344&lt;&gt;"")+--(P344&lt;&gt;"")+--(Q344&lt;&gt;"")+--(R344&lt;&gt;"")+--(S344&lt;&gt;"")+--(T344&lt;&gt;""))/19)</f>
        <v/>
      </c>
      <c r="AA344" s="16" t="n"/>
      <c r="AB344" s="16" t="n"/>
      <c r="AC344" s="16" t="n"/>
      <c r="AD344" s="16" t="n"/>
      <c r="AE344" s="7">
        <f>IF(B344="","",IF(AND(AA344="合格",AB344="合格",AC344="合格",AD344="合格"),"有效","无效"))</f>
        <v/>
      </c>
    </row>
    <row r="345">
      <c r="A345" s="7">
        <f>IF(B345="","",TEXT(B345,"yyyymmdd")&amp;"-"&amp;TEXT(ROW()-1,"000"))</f>
        <v/>
      </c>
      <c r="B345" s="8" t="n"/>
      <c r="C345" s="9" t="n"/>
      <c r="D345" s="9" t="n"/>
      <c r="E345" s="9" t="n"/>
      <c r="F345" s="9" t="n"/>
      <c r="G345" s="9" t="n"/>
      <c r="H345" s="9" t="n"/>
      <c r="I345" s="9" t="n"/>
      <c r="J345" s="10" t="n"/>
      <c r="K345" s="9" t="n"/>
      <c r="L345" s="9" t="n"/>
      <c r="M345" s="9" t="n"/>
      <c r="N345" s="10" t="n"/>
      <c r="O345" s="9" t="n"/>
      <c r="P345" s="10" t="n"/>
      <c r="Q345" s="10" t="n"/>
      <c r="R345" s="9" t="n"/>
      <c r="S345" s="10" t="n"/>
      <c r="T345" s="10" t="n"/>
      <c r="U345" s="11" t="n"/>
      <c r="V345" s="11" t="n"/>
      <c r="W345" s="12">
        <f>IF(B345="","",B345+3)</f>
        <v/>
      </c>
      <c r="X345" s="12">
        <f>IF(B345="","",B345+5)</f>
        <v/>
      </c>
      <c r="Y345" s="12">
        <f>IF(B345="","",B345+10)</f>
        <v/>
      </c>
      <c r="Z345" s="13">
        <f>IF(B345="","",(--(B345&lt;&gt;"")+--(C345&lt;&gt;"")+--(D345&lt;&gt;"")+--(E345&lt;&gt;"")+--(F345&lt;&gt;"")+--(G345&lt;&gt;"")+--(H345&lt;&gt;"")+--(I345&lt;&gt;"")+--(J345&lt;&gt;"")+--(K345&lt;&gt;"")+--(L345&lt;&gt;"")+--(M345&lt;&gt;"")+--(N345&lt;&gt;"")+--(O345&lt;&gt;"")+--(P345&lt;&gt;"")+--(Q345&lt;&gt;"")+--(R345&lt;&gt;"")+--(S345&lt;&gt;"")+--(T345&lt;&gt;""))/19)</f>
        <v/>
      </c>
      <c r="AA345" s="16" t="n"/>
      <c r="AB345" s="16" t="n"/>
      <c r="AC345" s="16" t="n"/>
      <c r="AD345" s="16" t="n"/>
      <c r="AE345" s="7">
        <f>IF(B345="","",IF(AND(AA345="合格",AB345="合格",AC345="合格",AD345="合格"),"有效","无效"))</f>
        <v/>
      </c>
    </row>
    <row r="346">
      <c r="A346" s="7">
        <f>IF(B346="","",TEXT(B346,"yyyymmdd")&amp;"-"&amp;TEXT(ROW()-1,"000"))</f>
        <v/>
      </c>
      <c r="B346" s="8" t="n"/>
      <c r="C346" s="9" t="n"/>
      <c r="D346" s="9" t="n"/>
      <c r="E346" s="9" t="n"/>
      <c r="F346" s="9" t="n"/>
      <c r="G346" s="9" t="n"/>
      <c r="H346" s="9" t="n"/>
      <c r="I346" s="9" t="n"/>
      <c r="J346" s="10" t="n"/>
      <c r="K346" s="9" t="n"/>
      <c r="L346" s="9" t="n"/>
      <c r="M346" s="9" t="n"/>
      <c r="N346" s="10" t="n"/>
      <c r="O346" s="9" t="n"/>
      <c r="P346" s="10" t="n"/>
      <c r="Q346" s="10" t="n"/>
      <c r="R346" s="9" t="n"/>
      <c r="S346" s="10" t="n"/>
      <c r="T346" s="10" t="n"/>
      <c r="U346" s="11" t="n"/>
      <c r="V346" s="11" t="n"/>
      <c r="W346" s="12">
        <f>IF(B346="","",B346+3)</f>
        <v/>
      </c>
      <c r="X346" s="12">
        <f>IF(B346="","",B346+5)</f>
        <v/>
      </c>
      <c r="Y346" s="12">
        <f>IF(B346="","",B346+10)</f>
        <v/>
      </c>
      <c r="Z346" s="13">
        <f>IF(B346="","",(--(B346&lt;&gt;"")+--(C346&lt;&gt;"")+--(D346&lt;&gt;"")+--(E346&lt;&gt;"")+--(F346&lt;&gt;"")+--(G346&lt;&gt;"")+--(H346&lt;&gt;"")+--(I346&lt;&gt;"")+--(J346&lt;&gt;"")+--(K346&lt;&gt;"")+--(L346&lt;&gt;"")+--(M346&lt;&gt;"")+--(N346&lt;&gt;"")+--(O346&lt;&gt;"")+--(P346&lt;&gt;"")+--(Q346&lt;&gt;"")+--(R346&lt;&gt;"")+--(S346&lt;&gt;"")+--(T346&lt;&gt;""))/19)</f>
        <v/>
      </c>
      <c r="AA346" s="16" t="n"/>
      <c r="AB346" s="16" t="n"/>
      <c r="AC346" s="16" t="n"/>
      <c r="AD346" s="16" t="n"/>
      <c r="AE346" s="7">
        <f>IF(B346="","",IF(AND(AA346="合格",AB346="合格",AC346="合格",AD346="合格"),"有效","无效"))</f>
        <v/>
      </c>
    </row>
    <row r="347">
      <c r="A347" s="7">
        <f>IF(B347="","",TEXT(B347,"yyyymmdd")&amp;"-"&amp;TEXT(ROW()-1,"000"))</f>
        <v/>
      </c>
      <c r="B347" s="8" t="n"/>
      <c r="C347" s="9" t="n"/>
      <c r="D347" s="9" t="n"/>
      <c r="E347" s="9" t="n"/>
      <c r="F347" s="9" t="n"/>
      <c r="G347" s="9" t="n"/>
      <c r="H347" s="9" t="n"/>
      <c r="I347" s="9" t="n"/>
      <c r="J347" s="10" t="n"/>
      <c r="K347" s="9" t="n"/>
      <c r="L347" s="9" t="n"/>
      <c r="M347" s="9" t="n"/>
      <c r="N347" s="10" t="n"/>
      <c r="O347" s="9" t="n"/>
      <c r="P347" s="10" t="n"/>
      <c r="Q347" s="10" t="n"/>
      <c r="R347" s="9" t="n"/>
      <c r="S347" s="10" t="n"/>
      <c r="T347" s="10" t="n"/>
      <c r="U347" s="11" t="n"/>
      <c r="V347" s="11" t="n"/>
      <c r="W347" s="12">
        <f>IF(B347="","",B347+3)</f>
        <v/>
      </c>
      <c r="X347" s="12">
        <f>IF(B347="","",B347+5)</f>
        <v/>
      </c>
      <c r="Y347" s="12">
        <f>IF(B347="","",B347+10)</f>
        <v/>
      </c>
      <c r="Z347" s="13">
        <f>IF(B347="","",(--(B347&lt;&gt;"")+--(C347&lt;&gt;"")+--(D347&lt;&gt;"")+--(E347&lt;&gt;"")+--(F347&lt;&gt;"")+--(G347&lt;&gt;"")+--(H347&lt;&gt;"")+--(I347&lt;&gt;"")+--(J347&lt;&gt;"")+--(K347&lt;&gt;"")+--(L347&lt;&gt;"")+--(M347&lt;&gt;"")+--(N347&lt;&gt;"")+--(O347&lt;&gt;"")+--(P347&lt;&gt;"")+--(Q347&lt;&gt;"")+--(R347&lt;&gt;"")+--(S347&lt;&gt;"")+--(T347&lt;&gt;""))/19)</f>
        <v/>
      </c>
      <c r="AA347" s="16" t="n"/>
      <c r="AB347" s="16" t="n"/>
      <c r="AC347" s="16" t="n"/>
      <c r="AD347" s="16" t="n"/>
      <c r="AE347" s="7">
        <f>IF(B347="","",IF(AND(AA347="合格",AB347="合格",AC347="合格",AD347="合格"),"有效","无效"))</f>
        <v/>
      </c>
    </row>
    <row r="348">
      <c r="A348" s="7">
        <f>IF(B348="","",TEXT(B348,"yyyymmdd")&amp;"-"&amp;TEXT(ROW()-1,"000"))</f>
        <v/>
      </c>
      <c r="B348" s="8" t="n"/>
      <c r="C348" s="9" t="n"/>
      <c r="D348" s="9" t="n"/>
      <c r="E348" s="9" t="n"/>
      <c r="F348" s="9" t="n"/>
      <c r="G348" s="9" t="n"/>
      <c r="H348" s="9" t="n"/>
      <c r="I348" s="9" t="n"/>
      <c r="J348" s="10" t="n"/>
      <c r="K348" s="9" t="n"/>
      <c r="L348" s="9" t="n"/>
      <c r="M348" s="9" t="n"/>
      <c r="N348" s="10" t="n"/>
      <c r="O348" s="9" t="n"/>
      <c r="P348" s="10" t="n"/>
      <c r="Q348" s="10" t="n"/>
      <c r="R348" s="9" t="n"/>
      <c r="S348" s="10" t="n"/>
      <c r="T348" s="10" t="n"/>
      <c r="U348" s="11" t="n"/>
      <c r="V348" s="11" t="n"/>
      <c r="W348" s="12">
        <f>IF(B348="","",B348+3)</f>
        <v/>
      </c>
      <c r="X348" s="12">
        <f>IF(B348="","",B348+5)</f>
        <v/>
      </c>
      <c r="Y348" s="12">
        <f>IF(B348="","",B348+10)</f>
        <v/>
      </c>
      <c r="Z348" s="13">
        <f>IF(B348="","",(--(B348&lt;&gt;"")+--(C348&lt;&gt;"")+--(D348&lt;&gt;"")+--(E348&lt;&gt;"")+--(F348&lt;&gt;"")+--(G348&lt;&gt;"")+--(H348&lt;&gt;"")+--(I348&lt;&gt;"")+--(J348&lt;&gt;"")+--(K348&lt;&gt;"")+--(L348&lt;&gt;"")+--(M348&lt;&gt;"")+--(N348&lt;&gt;"")+--(O348&lt;&gt;"")+--(P348&lt;&gt;"")+--(Q348&lt;&gt;"")+--(R348&lt;&gt;"")+--(S348&lt;&gt;"")+--(T348&lt;&gt;""))/19)</f>
        <v/>
      </c>
      <c r="AA348" s="16" t="n"/>
      <c r="AB348" s="16" t="n"/>
      <c r="AC348" s="16" t="n"/>
      <c r="AD348" s="16" t="n"/>
      <c r="AE348" s="7">
        <f>IF(B348="","",IF(AND(AA348="合格",AB348="合格",AC348="合格",AD348="合格"),"有效","无效"))</f>
        <v/>
      </c>
    </row>
    <row r="349">
      <c r="A349" s="7">
        <f>IF(B349="","",TEXT(B349,"yyyymmdd")&amp;"-"&amp;TEXT(ROW()-1,"000"))</f>
        <v/>
      </c>
      <c r="B349" s="8" t="n"/>
      <c r="C349" s="9" t="n"/>
      <c r="D349" s="9" t="n"/>
      <c r="E349" s="9" t="n"/>
      <c r="F349" s="9" t="n"/>
      <c r="G349" s="9" t="n"/>
      <c r="H349" s="9" t="n"/>
      <c r="I349" s="9" t="n"/>
      <c r="J349" s="10" t="n"/>
      <c r="K349" s="9" t="n"/>
      <c r="L349" s="9" t="n"/>
      <c r="M349" s="9" t="n"/>
      <c r="N349" s="10" t="n"/>
      <c r="O349" s="9" t="n"/>
      <c r="P349" s="10" t="n"/>
      <c r="Q349" s="10" t="n"/>
      <c r="R349" s="9" t="n"/>
      <c r="S349" s="10" t="n"/>
      <c r="T349" s="10" t="n"/>
      <c r="U349" s="11" t="n"/>
      <c r="V349" s="11" t="n"/>
      <c r="W349" s="12">
        <f>IF(B349="","",B349+3)</f>
        <v/>
      </c>
      <c r="X349" s="12">
        <f>IF(B349="","",B349+5)</f>
        <v/>
      </c>
      <c r="Y349" s="12">
        <f>IF(B349="","",B349+10)</f>
        <v/>
      </c>
      <c r="Z349" s="13">
        <f>IF(B349="","",(--(B349&lt;&gt;"")+--(C349&lt;&gt;"")+--(D349&lt;&gt;"")+--(E349&lt;&gt;"")+--(F349&lt;&gt;"")+--(G349&lt;&gt;"")+--(H349&lt;&gt;"")+--(I349&lt;&gt;"")+--(J349&lt;&gt;"")+--(K349&lt;&gt;"")+--(L349&lt;&gt;"")+--(M349&lt;&gt;"")+--(N349&lt;&gt;"")+--(O349&lt;&gt;"")+--(P349&lt;&gt;"")+--(Q349&lt;&gt;"")+--(R349&lt;&gt;"")+--(S349&lt;&gt;"")+--(T349&lt;&gt;""))/19)</f>
        <v/>
      </c>
      <c r="AA349" s="16" t="n"/>
      <c r="AB349" s="16" t="n"/>
      <c r="AC349" s="16" t="n"/>
      <c r="AD349" s="16" t="n"/>
      <c r="AE349" s="7">
        <f>IF(B349="","",IF(AND(AA349="合格",AB349="合格",AC349="合格",AD349="合格"),"有效","无效"))</f>
        <v/>
      </c>
    </row>
    <row r="350">
      <c r="A350" s="7">
        <f>IF(B350="","",TEXT(B350,"yyyymmdd")&amp;"-"&amp;TEXT(ROW()-1,"000"))</f>
        <v/>
      </c>
      <c r="B350" s="8" t="n"/>
      <c r="C350" s="9" t="n"/>
      <c r="D350" s="9" t="n"/>
      <c r="E350" s="9" t="n"/>
      <c r="F350" s="9" t="n"/>
      <c r="G350" s="9" t="n"/>
      <c r="H350" s="9" t="n"/>
      <c r="I350" s="9" t="n"/>
      <c r="J350" s="10" t="n"/>
      <c r="K350" s="9" t="n"/>
      <c r="L350" s="9" t="n"/>
      <c r="M350" s="9" t="n"/>
      <c r="N350" s="10" t="n"/>
      <c r="O350" s="9" t="n"/>
      <c r="P350" s="10" t="n"/>
      <c r="Q350" s="10" t="n"/>
      <c r="R350" s="9" t="n"/>
      <c r="S350" s="10" t="n"/>
      <c r="T350" s="10" t="n"/>
      <c r="U350" s="11" t="n"/>
      <c r="V350" s="11" t="n"/>
      <c r="W350" s="12">
        <f>IF(B350="","",B350+3)</f>
        <v/>
      </c>
      <c r="X350" s="12">
        <f>IF(B350="","",B350+5)</f>
        <v/>
      </c>
      <c r="Y350" s="12">
        <f>IF(B350="","",B350+10)</f>
        <v/>
      </c>
      <c r="Z350" s="13">
        <f>IF(B350="","",(--(B350&lt;&gt;"")+--(C350&lt;&gt;"")+--(D350&lt;&gt;"")+--(E350&lt;&gt;"")+--(F350&lt;&gt;"")+--(G350&lt;&gt;"")+--(H350&lt;&gt;"")+--(I350&lt;&gt;"")+--(J350&lt;&gt;"")+--(K350&lt;&gt;"")+--(L350&lt;&gt;"")+--(M350&lt;&gt;"")+--(N350&lt;&gt;"")+--(O350&lt;&gt;"")+--(P350&lt;&gt;"")+--(Q350&lt;&gt;"")+--(R350&lt;&gt;"")+--(S350&lt;&gt;"")+--(T350&lt;&gt;""))/19)</f>
        <v/>
      </c>
      <c r="AA350" s="16" t="n"/>
      <c r="AB350" s="16" t="n"/>
      <c r="AC350" s="16" t="n"/>
      <c r="AD350" s="16" t="n"/>
      <c r="AE350" s="7">
        <f>IF(B350="","",IF(AND(AA350="合格",AB350="合格",AC350="合格",AD350="合格"),"有效","无效"))</f>
        <v/>
      </c>
    </row>
    <row r="351">
      <c r="A351" s="7">
        <f>IF(B351="","",TEXT(B351,"yyyymmdd")&amp;"-"&amp;TEXT(ROW()-1,"000"))</f>
        <v/>
      </c>
      <c r="B351" s="8" t="n"/>
      <c r="C351" s="9" t="n"/>
      <c r="D351" s="9" t="n"/>
      <c r="E351" s="9" t="n"/>
      <c r="F351" s="9" t="n"/>
      <c r="G351" s="9" t="n"/>
      <c r="H351" s="9" t="n"/>
      <c r="I351" s="9" t="n"/>
      <c r="J351" s="10" t="n"/>
      <c r="K351" s="9" t="n"/>
      <c r="L351" s="9" t="n"/>
      <c r="M351" s="9" t="n"/>
      <c r="N351" s="10" t="n"/>
      <c r="O351" s="9" t="n"/>
      <c r="P351" s="10" t="n"/>
      <c r="Q351" s="10" t="n"/>
      <c r="R351" s="9" t="n"/>
      <c r="S351" s="10" t="n"/>
      <c r="T351" s="10" t="n"/>
      <c r="U351" s="11" t="n"/>
      <c r="V351" s="11" t="n"/>
      <c r="W351" s="12">
        <f>IF(B351="","",B351+3)</f>
        <v/>
      </c>
      <c r="X351" s="12">
        <f>IF(B351="","",B351+5)</f>
        <v/>
      </c>
      <c r="Y351" s="12">
        <f>IF(B351="","",B351+10)</f>
        <v/>
      </c>
      <c r="Z351" s="13">
        <f>IF(B351="","",(--(B351&lt;&gt;"")+--(C351&lt;&gt;"")+--(D351&lt;&gt;"")+--(E351&lt;&gt;"")+--(F351&lt;&gt;"")+--(G351&lt;&gt;"")+--(H351&lt;&gt;"")+--(I351&lt;&gt;"")+--(J351&lt;&gt;"")+--(K351&lt;&gt;"")+--(L351&lt;&gt;"")+--(M351&lt;&gt;"")+--(N351&lt;&gt;"")+--(O351&lt;&gt;"")+--(P351&lt;&gt;"")+--(Q351&lt;&gt;"")+--(R351&lt;&gt;"")+--(S351&lt;&gt;"")+--(T351&lt;&gt;""))/19)</f>
        <v/>
      </c>
      <c r="AA351" s="16" t="n"/>
      <c r="AB351" s="16" t="n"/>
      <c r="AC351" s="16" t="n"/>
      <c r="AD351" s="16" t="n"/>
      <c r="AE351" s="7">
        <f>IF(B351="","",IF(AND(AA351="合格",AB351="合格",AC351="合格",AD351="合格"),"有效","无效"))</f>
        <v/>
      </c>
    </row>
    <row r="352">
      <c r="A352" s="7">
        <f>IF(B352="","",TEXT(B352,"yyyymmdd")&amp;"-"&amp;TEXT(ROW()-1,"000"))</f>
        <v/>
      </c>
      <c r="B352" s="8" t="n"/>
      <c r="C352" s="9" t="n"/>
      <c r="D352" s="9" t="n"/>
      <c r="E352" s="9" t="n"/>
      <c r="F352" s="9" t="n"/>
      <c r="G352" s="9" t="n"/>
      <c r="H352" s="9" t="n"/>
      <c r="I352" s="9" t="n"/>
      <c r="J352" s="10" t="n"/>
      <c r="K352" s="9" t="n"/>
      <c r="L352" s="9" t="n"/>
      <c r="M352" s="9" t="n"/>
      <c r="N352" s="10" t="n"/>
      <c r="O352" s="9" t="n"/>
      <c r="P352" s="10" t="n"/>
      <c r="Q352" s="10" t="n"/>
      <c r="R352" s="9" t="n"/>
      <c r="S352" s="10" t="n"/>
      <c r="T352" s="10" t="n"/>
      <c r="U352" s="11" t="n"/>
      <c r="V352" s="11" t="n"/>
      <c r="W352" s="12">
        <f>IF(B352="","",B352+3)</f>
        <v/>
      </c>
      <c r="X352" s="12">
        <f>IF(B352="","",B352+5)</f>
        <v/>
      </c>
      <c r="Y352" s="12">
        <f>IF(B352="","",B352+10)</f>
        <v/>
      </c>
      <c r="Z352" s="13">
        <f>IF(B352="","",(--(B352&lt;&gt;"")+--(C352&lt;&gt;"")+--(D352&lt;&gt;"")+--(E352&lt;&gt;"")+--(F352&lt;&gt;"")+--(G352&lt;&gt;"")+--(H352&lt;&gt;"")+--(I352&lt;&gt;"")+--(J352&lt;&gt;"")+--(K352&lt;&gt;"")+--(L352&lt;&gt;"")+--(M352&lt;&gt;"")+--(N352&lt;&gt;"")+--(O352&lt;&gt;"")+--(P352&lt;&gt;"")+--(Q352&lt;&gt;"")+--(R352&lt;&gt;"")+--(S352&lt;&gt;"")+--(T352&lt;&gt;""))/19)</f>
        <v/>
      </c>
      <c r="AA352" s="16" t="n"/>
      <c r="AB352" s="16" t="n"/>
      <c r="AC352" s="16" t="n"/>
      <c r="AD352" s="16" t="n"/>
      <c r="AE352" s="7">
        <f>IF(B352="","",IF(AND(AA352="合格",AB352="合格",AC352="合格",AD352="合格"),"有效","无效"))</f>
        <v/>
      </c>
    </row>
    <row r="353">
      <c r="A353" s="7">
        <f>IF(B353="","",TEXT(B353,"yyyymmdd")&amp;"-"&amp;TEXT(ROW()-1,"000"))</f>
        <v/>
      </c>
      <c r="B353" s="8" t="n"/>
      <c r="C353" s="9" t="n"/>
      <c r="D353" s="9" t="n"/>
      <c r="E353" s="9" t="n"/>
      <c r="F353" s="9" t="n"/>
      <c r="G353" s="9" t="n"/>
      <c r="H353" s="9" t="n"/>
      <c r="I353" s="9" t="n"/>
      <c r="J353" s="10" t="n"/>
      <c r="K353" s="9" t="n"/>
      <c r="L353" s="9" t="n"/>
      <c r="M353" s="9" t="n"/>
      <c r="N353" s="10" t="n"/>
      <c r="O353" s="9" t="n"/>
      <c r="P353" s="10" t="n"/>
      <c r="Q353" s="10" t="n"/>
      <c r="R353" s="9" t="n"/>
      <c r="S353" s="10" t="n"/>
      <c r="T353" s="10" t="n"/>
      <c r="U353" s="11" t="n"/>
      <c r="V353" s="11" t="n"/>
      <c r="W353" s="12">
        <f>IF(B353="","",B353+3)</f>
        <v/>
      </c>
      <c r="X353" s="12">
        <f>IF(B353="","",B353+5)</f>
        <v/>
      </c>
      <c r="Y353" s="12">
        <f>IF(B353="","",B353+10)</f>
        <v/>
      </c>
      <c r="Z353" s="13">
        <f>IF(B353="","",(--(B353&lt;&gt;"")+--(C353&lt;&gt;"")+--(D353&lt;&gt;"")+--(E353&lt;&gt;"")+--(F353&lt;&gt;"")+--(G353&lt;&gt;"")+--(H353&lt;&gt;"")+--(I353&lt;&gt;"")+--(J353&lt;&gt;"")+--(K353&lt;&gt;"")+--(L353&lt;&gt;"")+--(M353&lt;&gt;"")+--(N353&lt;&gt;"")+--(O353&lt;&gt;"")+--(P353&lt;&gt;"")+--(Q353&lt;&gt;"")+--(R353&lt;&gt;"")+--(S353&lt;&gt;"")+--(T353&lt;&gt;""))/19)</f>
        <v/>
      </c>
      <c r="AA353" s="16" t="n"/>
      <c r="AB353" s="16" t="n"/>
      <c r="AC353" s="16" t="n"/>
      <c r="AD353" s="16" t="n"/>
      <c r="AE353" s="7">
        <f>IF(B353="","",IF(AND(AA353="合格",AB353="合格",AC353="合格",AD353="合格"),"有效","无效"))</f>
        <v/>
      </c>
    </row>
    <row r="354">
      <c r="A354" s="7">
        <f>IF(B354="","",TEXT(B354,"yyyymmdd")&amp;"-"&amp;TEXT(ROW()-1,"000"))</f>
        <v/>
      </c>
      <c r="B354" s="8" t="n"/>
      <c r="C354" s="9" t="n"/>
      <c r="D354" s="9" t="n"/>
      <c r="E354" s="9" t="n"/>
      <c r="F354" s="9" t="n"/>
      <c r="G354" s="9" t="n"/>
      <c r="H354" s="9" t="n"/>
      <c r="I354" s="9" t="n"/>
      <c r="J354" s="10" t="n"/>
      <c r="K354" s="9" t="n"/>
      <c r="L354" s="9" t="n"/>
      <c r="M354" s="9" t="n"/>
      <c r="N354" s="10" t="n"/>
      <c r="O354" s="9" t="n"/>
      <c r="P354" s="10" t="n"/>
      <c r="Q354" s="10" t="n"/>
      <c r="R354" s="9" t="n"/>
      <c r="S354" s="10" t="n"/>
      <c r="T354" s="10" t="n"/>
      <c r="U354" s="11" t="n"/>
      <c r="V354" s="11" t="n"/>
      <c r="W354" s="12">
        <f>IF(B354="","",B354+3)</f>
        <v/>
      </c>
      <c r="X354" s="12">
        <f>IF(B354="","",B354+5)</f>
        <v/>
      </c>
      <c r="Y354" s="12">
        <f>IF(B354="","",B354+10)</f>
        <v/>
      </c>
      <c r="Z354" s="13">
        <f>IF(B354="","",(--(B354&lt;&gt;"")+--(C354&lt;&gt;"")+--(D354&lt;&gt;"")+--(E354&lt;&gt;"")+--(F354&lt;&gt;"")+--(G354&lt;&gt;"")+--(H354&lt;&gt;"")+--(I354&lt;&gt;"")+--(J354&lt;&gt;"")+--(K354&lt;&gt;"")+--(L354&lt;&gt;"")+--(M354&lt;&gt;"")+--(N354&lt;&gt;"")+--(O354&lt;&gt;"")+--(P354&lt;&gt;"")+--(Q354&lt;&gt;"")+--(R354&lt;&gt;"")+--(S354&lt;&gt;"")+--(T354&lt;&gt;""))/19)</f>
        <v/>
      </c>
      <c r="AA354" s="16" t="n"/>
      <c r="AB354" s="16" t="n"/>
      <c r="AC354" s="16" t="n"/>
      <c r="AD354" s="16" t="n"/>
      <c r="AE354" s="7">
        <f>IF(B354="","",IF(AND(AA354="合格",AB354="合格",AC354="合格",AD354="合格"),"有效","无效"))</f>
        <v/>
      </c>
    </row>
    <row r="355">
      <c r="A355" s="7">
        <f>IF(B355="","",TEXT(B355,"yyyymmdd")&amp;"-"&amp;TEXT(ROW()-1,"000"))</f>
        <v/>
      </c>
      <c r="B355" s="8" t="n"/>
      <c r="C355" s="9" t="n"/>
      <c r="D355" s="9" t="n"/>
      <c r="E355" s="9" t="n"/>
      <c r="F355" s="9" t="n"/>
      <c r="G355" s="9" t="n"/>
      <c r="H355" s="9" t="n"/>
      <c r="I355" s="9" t="n"/>
      <c r="J355" s="10" t="n"/>
      <c r="K355" s="9" t="n"/>
      <c r="L355" s="9" t="n"/>
      <c r="M355" s="9" t="n"/>
      <c r="N355" s="10" t="n"/>
      <c r="O355" s="9" t="n"/>
      <c r="P355" s="10" t="n"/>
      <c r="Q355" s="10" t="n"/>
      <c r="R355" s="9" t="n"/>
      <c r="S355" s="10" t="n"/>
      <c r="T355" s="10" t="n"/>
      <c r="U355" s="11" t="n"/>
      <c r="V355" s="11" t="n"/>
      <c r="W355" s="12">
        <f>IF(B355="","",B355+3)</f>
        <v/>
      </c>
      <c r="X355" s="12">
        <f>IF(B355="","",B355+5)</f>
        <v/>
      </c>
      <c r="Y355" s="12">
        <f>IF(B355="","",B355+10)</f>
        <v/>
      </c>
      <c r="Z355" s="13">
        <f>IF(B355="","",(--(B355&lt;&gt;"")+--(C355&lt;&gt;"")+--(D355&lt;&gt;"")+--(E355&lt;&gt;"")+--(F355&lt;&gt;"")+--(G355&lt;&gt;"")+--(H355&lt;&gt;"")+--(I355&lt;&gt;"")+--(J355&lt;&gt;"")+--(K355&lt;&gt;"")+--(L355&lt;&gt;"")+--(M355&lt;&gt;"")+--(N355&lt;&gt;"")+--(O355&lt;&gt;"")+--(P355&lt;&gt;"")+--(Q355&lt;&gt;"")+--(R355&lt;&gt;"")+--(S355&lt;&gt;"")+--(T355&lt;&gt;""))/19)</f>
        <v/>
      </c>
      <c r="AA355" s="16" t="n"/>
      <c r="AB355" s="16" t="n"/>
      <c r="AC355" s="16" t="n"/>
      <c r="AD355" s="16" t="n"/>
      <c r="AE355" s="7">
        <f>IF(B355="","",IF(AND(AA355="合格",AB355="合格",AC355="合格",AD355="合格"),"有效","无效"))</f>
        <v/>
      </c>
    </row>
    <row r="356">
      <c r="A356" s="7">
        <f>IF(B356="","",TEXT(B356,"yyyymmdd")&amp;"-"&amp;TEXT(ROW()-1,"000"))</f>
        <v/>
      </c>
      <c r="B356" s="8" t="n"/>
      <c r="C356" s="9" t="n"/>
      <c r="D356" s="9" t="n"/>
      <c r="E356" s="9" t="n"/>
      <c r="F356" s="9" t="n"/>
      <c r="G356" s="9" t="n"/>
      <c r="H356" s="9" t="n"/>
      <c r="I356" s="9" t="n"/>
      <c r="J356" s="10" t="n"/>
      <c r="K356" s="9" t="n"/>
      <c r="L356" s="9" t="n"/>
      <c r="M356" s="9" t="n"/>
      <c r="N356" s="10" t="n"/>
      <c r="O356" s="9" t="n"/>
      <c r="P356" s="10" t="n"/>
      <c r="Q356" s="10" t="n"/>
      <c r="R356" s="9" t="n"/>
      <c r="S356" s="10" t="n"/>
      <c r="T356" s="10" t="n"/>
      <c r="U356" s="11" t="n"/>
      <c r="V356" s="11" t="n"/>
      <c r="W356" s="12">
        <f>IF(B356="","",B356+3)</f>
        <v/>
      </c>
      <c r="X356" s="12">
        <f>IF(B356="","",B356+5)</f>
        <v/>
      </c>
      <c r="Y356" s="12">
        <f>IF(B356="","",B356+10)</f>
        <v/>
      </c>
      <c r="Z356" s="13">
        <f>IF(B356="","",(--(B356&lt;&gt;"")+--(C356&lt;&gt;"")+--(D356&lt;&gt;"")+--(E356&lt;&gt;"")+--(F356&lt;&gt;"")+--(G356&lt;&gt;"")+--(H356&lt;&gt;"")+--(I356&lt;&gt;"")+--(J356&lt;&gt;"")+--(K356&lt;&gt;"")+--(L356&lt;&gt;"")+--(M356&lt;&gt;"")+--(N356&lt;&gt;"")+--(O356&lt;&gt;"")+--(P356&lt;&gt;"")+--(Q356&lt;&gt;"")+--(R356&lt;&gt;"")+--(S356&lt;&gt;"")+--(T356&lt;&gt;""))/19)</f>
        <v/>
      </c>
      <c r="AA356" s="16" t="n"/>
      <c r="AB356" s="16" t="n"/>
      <c r="AC356" s="16" t="n"/>
      <c r="AD356" s="16" t="n"/>
      <c r="AE356" s="7">
        <f>IF(B356="","",IF(AND(AA356="合格",AB356="合格",AC356="合格",AD356="合格"),"有效","无效"))</f>
        <v/>
      </c>
    </row>
    <row r="357">
      <c r="A357" s="7">
        <f>IF(B357="","",TEXT(B357,"yyyymmdd")&amp;"-"&amp;TEXT(ROW()-1,"000"))</f>
        <v/>
      </c>
      <c r="B357" s="8" t="n"/>
      <c r="C357" s="9" t="n"/>
      <c r="D357" s="9" t="n"/>
      <c r="E357" s="9" t="n"/>
      <c r="F357" s="9" t="n"/>
      <c r="G357" s="9" t="n"/>
      <c r="H357" s="9" t="n"/>
      <c r="I357" s="9" t="n"/>
      <c r="J357" s="10" t="n"/>
      <c r="K357" s="9" t="n"/>
      <c r="L357" s="9" t="n"/>
      <c r="M357" s="9" t="n"/>
      <c r="N357" s="10" t="n"/>
      <c r="O357" s="9" t="n"/>
      <c r="P357" s="10" t="n"/>
      <c r="Q357" s="10" t="n"/>
      <c r="R357" s="9" t="n"/>
      <c r="S357" s="10" t="n"/>
      <c r="T357" s="10" t="n"/>
      <c r="U357" s="11" t="n"/>
      <c r="V357" s="11" t="n"/>
      <c r="W357" s="12">
        <f>IF(B357="","",B357+3)</f>
        <v/>
      </c>
      <c r="X357" s="12">
        <f>IF(B357="","",B357+5)</f>
        <v/>
      </c>
      <c r="Y357" s="12">
        <f>IF(B357="","",B357+10)</f>
        <v/>
      </c>
      <c r="Z357" s="13">
        <f>IF(B357="","",(--(B357&lt;&gt;"")+--(C357&lt;&gt;"")+--(D357&lt;&gt;"")+--(E357&lt;&gt;"")+--(F357&lt;&gt;"")+--(G357&lt;&gt;"")+--(H357&lt;&gt;"")+--(I357&lt;&gt;"")+--(J357&lt;&gt;"")+--(K357&lt;&gt;"")+--(L357&lt;&gt;"")+--(M357&lt;&gt;"")+--(N357&lt;&gt;"")+--(O357&lt;&gt;"")+--(P357&lt;&gt;"")+--(Q357&lt;&gt;"")+--(R357&lt;&gt;"")+--(S357&lt;&gt;"")+--(T357&lt;&gt;""))/19)</f>
        <v/>
      </c>
      <c r="AA357" s="16" t="n"/>
      <c r="AB357" s="16" t="n"/>
      <c r="AC357" s="16" t="n"/>
      <c r="AD357" s="16" t="n"/>
      <c r="AE357" s="7">
        <f>IF(B357="","",IF(AND(AA357="合格",AB357="合格",AC357="合格",AD357="合格"),"有效","无效"))</f>
        <v/>
      </c>
    </row>
    <row r="358">
      <c r="A358" s="7">
        <f>IF(B358="","",TEXT(B358,"yyyymmdd")&amp;"-"&amp;TEXT(ROW()-1,"000"))</f>
        <v/>
      </c>
      <c r="B358" s="8" t="n"/>
      <c r="C358" s="9" t="n"/>
      <c r="D358" s="9" t="n"/>
      <c r="E358" s="9" t="n"/>
      <c r="F358" s="9" t="n"/>
      <c r="G358" s="9" t="n"/>
      <c r="H358" s="9" t="n"/>
      <c r="I358" s="9" t="n"/>
      <c r="J358" s="10" t="n"/>
      <c r="K358" s="9" t="n"/>
      <c r="L358" s="9" t="n"/>
      <c r="M358" s="9" t="n"/>
      <c r="N358" s="10" t="n"/>
      <c r="O358" s="9" t="n"/>
      <c r="P358" s="10" t="n"/>
      <c r="Q358" s="10" t="n"/>
      <c r="R358" s="9" t="n"/>
      <c r="S358" s="10" t="n"/>
      <c r="T358" s="10" t="n"/>
      <c r="U358" s="11" t="n"/>
      <c r="V358" s="11" t="n"/>
      <c r="W358" s="12">
        <f>IF(B358="","",B358+3)</f>
        <v/>
      </c>
      <c r="X358" s="12">
        <f>IF(B358="","",B358+5)</f>
        <v/>
      </c>
      <c r="Y358" s="12">
        <f>IF(B358="","",B358+10)</f>
        <v/>
      </c>
      <c r="Z358" s="13">
        <f>IF(B358="","",(--(B358&lt;&gt;"")+--(C358&lt;&gt;"")+--(D358&lt;&gt;"")+--(E358&lt;&gt;"")+--(F358&lt;&gt;"")+--(G358&lt;&gt;"")+--(H358&lt;&gt;"")+--(I358&lt;&gt;"")+--(J358&lt;&gt;"")+--(K358&lt;&gt;"")+--(L358&lt;&gt;"")+--(M358&lt;&gt;"")+--(N358&lt;&gt;"")+--(O358&lt;&gt;"")+--(P358&lt;&gt;"")+--(Q358&lt;&gt;"")+--(R358&lt;&gt;"")+--(S358&lt;&gt;"")+--(T358&lt;&gt;""))/19)</f>
        <v/>
      </c>
      <c r="AA358" s="16" t="n"/>
      <c r="AB358" s="16" t="n"/>
      <c r="AC358" s="16" t="n"/>
      <c r="AD358" s="16" t="n"/>
      <c r="AE358" s="7">
        <f>IF(B358="","",IF(AND(AA358="合格",AB358="合格",AC358="合格",AD358="合格"),"有效","无效"))</f>
        <v/>
      </c>
    </row>
    <row r="359">
      <c r="A359" s="7">
        <f>IF(B359="","",TEXT(B359,"yyyymmdd")&amp;"-"&amp;TEXT(ROW()-1,"000"))</f>
        <v/>
      </c>
      <c r="B359" s="8" t="n"/>
      <c r="C359" s="9" t="n"/>
      <c r="D359" s="9" t="n"/>
      <c r="E359" s="9" t="n"/>
      <c r="F359" s="9" t="n"/>
      <c r="G359" s="9" t="n"/>
      <c r="H359" s="9" t="n"/>
      <c r="I359" s="9" t="n"/>
      <c r="J359" s="10" t="n"/>
      <c r="K359" s="9" t="n"/>
      <c r="L359" s="9" t="n"/>
      <c r="M359" s="9" t="n"/>
      <c r="N359" s="10" t="n"/>
      <c r="O359" s="9" t="n"/>
      <c r="P359" s="10" t="n"/>
      <c r="Q359" s="10" t="n"/>
      <c r="R359" s="9" t="n"/>
      <c r="S359" s="10" t="n"/>
      <c r="T359" s="10" t="n"/>
      <c r="U359" s="11" t="n"/>
      <c r="V359" s="11" t="n"/>
      <c r="W359" s="12">
        <f>IF(B359="","",B359+3)</f>
        <v/>
      </c>
      <c r="X359" s="12">
        <f>IF(B359="","",B359+5)</f>
        <v/>
      </c>
      <c r="Y359" s="12">
        <f>IF(B359="","",B359+10)</f>
        <v/>
      </c>
      <c r="Z359" s="13">
        <f>IF(B359="","",(--(B359&lt;&gt;"")+--(C359&lt;&gt;"")+--(D359&lt;&gt;"")+--(E359&lt;&gt;"")+--(F359&lt;&gt;"")+--(G359&lt;&gt;"")+--(H359&lt;&gt;"")+--(I359&lt;&gt;"")+--(J359&lt;&gt;"")+--(K359&lt;&gt;"")+--(L359&lt;&gt;"")+--(M359&lt;&gt;"")+--(N359&lt;&gt;"")+--(O359&lt;&gt;"")+--(P359&lt;&gt;"")+--(Q359&lt;&gt;"")+--(R359&lt;&gt;"")+--(S359&lt;&gt;"")+--(T359&lt;&gt;""))/19)</f>
        <v/>
      </c>
      <c r="AA359" s="16" t="n"/>
      <c r="AB359" s="16" t="n"/>
      <c r="AC359" s="16" t="n"/>
      <c r="AD359" s="16" t="n"/>
      <c r="AE359" s="7">
        <f>IF(B359="","",IF(AND(AA359="合格",AB359="合格",AC359="合格",AD359="合格"),"有效","无效"))</f>
        <v/>
      </c>
    </row>
    <row r="360">
      <c r="A360" s="7">
        <f>IF(B360="","",TEXT(B360,"yyyymmdd")&amp;"-"&amp;TEXT(ROW()-1,"000"))</f>
        <v/>
      </c>
      <c r="B360" s="8" t="n"/>
      <c r="C360" s="9" t="n"/>
      <c r="D360" s="9" t="n"/>
      <c r="E360" s="9" t="n"/>
      <c r="F360" s="9" t="n"/>
      <c r="G360" s="9" t="n"/>
      <c r="H360" s="9" t="n"/>
      <c r="I360" s="9" t="n"/>
      <c r="J360" s="10" t="n"/>
      <c r="K360" s="9" t="n"/>
      <c r="L360" s="9" t="n"/>
      <c r="M360" s="9" t="n"/>
      <c r="N360" s="10" t="n"/>
      <c r="O360" s="9" t="n"/>
      <c r="P360" s="10" t="n"/>
      <c r="Q360" s="10" t="n"/>
      <c r="R360" s="9" t="n"/>
      <c r="S360" s="10" t="n"/>
      <c r="T360" s="10" t="n"/>
      <c r="U360" s="11" t="n"/>
      <c r="V360" s="11" t="n"/>
      <c r="W360" s="12">
        <f>IF(B360="","",B360+3)</f>
        <v/>
      </c>
      <c r="X360" s="12">
        <f>IF(B360="","",B360+5)</f>
        <v/>
      </c>
      <c r="Y360" s="12">
        <f>IF(B360="","",B360+10)</f>
        <v/>
      </c>
      <c r="Z360" s="13">
        <f>IF(B360="","",(--(B360&lt;&gt;"")+--(C360&lt;&gt;"")+--(D360&lt;&gt;"")+--(E360&lt;&gt;"")+--(F360&lt;&gt;"")+--(G360&lt;&gt;"")+--(H360&lt;&gt;"")+--(I360&lt;&gt;"")+--(J360&lt;&gt;"")+--(K360&lt;&gt;"")+--(L360&lt;&gt;"")+--(M360&lt;&gt;"")+--(N360&lt;&gt;"")+--(O360&lt;&gt;"")+--(P360&lt;&gt;"")+--(Q360&lt;&gt;"")+--(R360&lt;&gt;"")+--(S360&lt;&gt;"")+--(T360&lt;&gt;""))/19)</f>
        <v/>
      </c>
      <c r="AA360" s="16" t="n"/>
      <c r="AB360" s="16" t="n"/>
      <c r="AC360" s="16" t="n"/>
      <c r="AD360" s="16" t="n"/>
      <c r="AE360" s="7">
        <f>IF(B360="","",IF(AND(AA360="合格",AB360="合格",AC360="合格",AD360="合格"),"有效","无效"))</f>
        <v/>
      </c>
    </row>
    <row r="361">
      <c r="A361" s="7">
        <f>IF(B361="","",TEXT(B361,"yyyymmdd")&amp;"-"&amp;TEXT(ROW()-1,"000"))</f>
        <v/>
      </c>
      <c r="B361" s="8" t="n"/>
      <c r="C361" s="9" t="n"/>
      <c r="D361" s="9" t="n"/>
      <c r="E361" s="9" t="n"/>
      <c r="F361" s="9" t="n"/>
      <c r="G361" s="9" t="n"/>
      <c r="H361" s="9" t="n"/>
      <c r="I361" s="9" t="n"/>
      <c r="J361" s="10" t="n"/>
      <c r="K361" s="9" t="n"/>
      <c r="L361" s="9" t="n"/>
      <c r="M361" s="9" t="n"/>
      <c r="N361" s="10" t="n"/>
      <c r="O361" s="9" t="n"/>
      <c r="P361" s="10" t="n"/>
      <c r="Q361" s="10" t="n"/>
      <c r="R361" s="9" t="n"/>
      <c r="S361" s="10" t="n"/>
      <c r="T361" s="10" t="n"/>
      <c r="U361" s="11" t="n"/>
      <c r="V361" s="11" t="n"/>
      <c r="W361" s="12">
        <f>IF(B361="","",B361+3)</f>
        <v/>
      </c>
      <c r="X361" s="12">
        <f>IF(B361="","",B361+5)</f>
        <v/>
      </c>
      <c r="Y361" s="12">
        <f>IF(B361="","",B361+10)</f>
        <v/>
      </c>
      <c r="Z361" s="13">
        <f>IF(B361="","",(--(B361&lt;&gt;"")+--(C361&lt;&gt;"")+--(D361&lt;&gt;"")+--(E361&lt;&gt;"")+--(F361&lt;&gt;"")+--(G361&lt;&gt;"")+--(H361&lt;&gt;"")+--(I361&lt;&gt;"")+--(J361&lt;&gt;"")+--(K361&lt;&gt;"")+--(L361&lt;&gt;"")+--(M361&lt;&gt;"")+--(N361&lt;&gt;"")+--(O361&lt;&gt;"")+--(P361&lt;&gt;"")+--(Q361&lt;&gt;"")+--(R361&lt;&gt;"")+--(S361&lt;&gt;"")+--(T361&lt;&gt;""))/19)</f>
        <v/>
      </c>
      <c r="AA361" s="16" t="n"/>
      <c r="AB361" s="16" t="n"/>
      <c r="AC361" s="16" t="n"/>
      <c r="AD361" s="16" t="n"/>
      <c r="AE361" s="7">
        <f>IF(B361="","",IF(AND(AA361="合格",AB361="合格",AC361="合格",AD361="合格"),"有效","无效"))</f>
        <v/>
      </c>
    </row>
    <row r="362">
      <c r="A362" s="7">
        <f>IF(B362="","",TEXT(B362,"yyyymmdd")&amp;"-"&amp;TEXT(ROW()-1,"000"))</f>
        <v/>
      </c>
      <c r="B362" s="8" t="n"/>
      <c r="C362" s="9" t="n"/>
      <c r="D362" s="9" t="n"/>
      <c r="E362" s="9" t="n"/>
      <c r="F362" s="9" t="n"/>
      <c r="G362" s="9" t="n"/>
      <c r="H362" s="9" t="n"/>
      <c r="I362" s="9" t="n"/>
      <c r="J362" s="10" t="n"/>
      <c r="K362" s="9" t="n"/>
      <c r="L362" s="9" t="n"/>
      <c r="M362" s="9" t="n"/>
      <c r="N362" s="10" t="n"/>
      <c r="O362" s="9" t="n"/>
      <c r="P362" s="10" t="n"/>
      <c r="Q362" s="10" t="n"/>
      <c r="R362" s="9" t="n"/>
      <c r="S362" s="10" t="n"/>
      <c r="T362" s="10" t="n"/>
      <c r="U362" s="11" t="n"/>
      <c r="V362" s="11" t="n"/>
      <c r="W362" s="12">
        <f>IF(B362="","",B362+3)</f>
        <v/>
      </c>
      <c r="X362" s="12">
        <f>IF(B362="","",B362+5)</f>
        <v/>
      </c>
      <c r="Y362" s="12">
        <f>IF(B362="","",B362+10)</f>
        <v/>
      </c>
      <c r="Z362" s="13">
        <f>IF(B362="","",(--(B362&lt;&gt;"")+--(C362&lt;&gt;"")+--(D362&lt;&gt;"")+--(E362&lt;&gt;"")+--(F362&lt;&gt;"")+--(G362&lt;&gt;"")+--(H362&lt;&gt;"")+--(I362&lt;&gt;"")+--(J362&lt;&gt;"")+--(K362&lt;&gt;"")+--(L362&lt;&gt;"")+--(M362&lt;&gt;"")+--(N362&lt;&gt;"")+--(O362&lt;&gt;"")+--(P362&lt;&gt;"")+--(Q362&lt;&gt;"")+--(R362&lt;&gt;"")+--(S362&lt;&gt;"")+--(T362&lt;&gt;""))/19)</f>
        <v/>
      </c>
      <c r="AA362" s="16" t="n"/>
      <c r="AB362" s="16" t="n"/>
      <c r="AC362" s="16" t="n"/>
      <c r="AD362" s="16" t="n"/>
      <c r="AE362" s="7">
        <f>IF(B362="","",IF(AND(AA362="合格",AB362="合格",AC362="合格",AD362="合格"),"有效","无效"))</f>
        <v/>
      </c>
    </row>
    <row r="363">
      <c r="A363" s="7">
        <f>IF(B363="","",TEXT(B363,"yyyymmdd")&amp;"-"&amp;TEXT(ROW()-1,"000"))</f>
        <v/>
      </c>
      <c r="B363" s="8" t="n"/>
      <c r="C363" s="9" t="n"/>
      <c r="D363" s="9" t="n"/>
      <c r="E363" s="9" t="n"/>
      <c r="F363" s="9" t="n"/>
      <c r="G363" s="9" t="n"/>
      <c r="H363" s="9" t="n"/>
      <c r="I363" s="9" t="n"/>
      <c r="J363" s="10" t="n"/>
      <c r="K363" s="9" t="n"/>
      <c r="L363" s="9" t="n"/>
      <c r="M363" s="9" t="n"/>
      <c r="N363" s="10" t="n"/>
      <c r="O363" s="9" t="n"/>
      <c r="P363" s="10" t="n"/>
      <c r="Q363" s="10" t="n"/>
      <c r="R363" s="9" t="n"/>
      <c r="S363" s="10" t="n"/>
      <c r="T363" s="10" t="n"/>
      <c r="U363" s="11" t="n"/>
      <c r="V363" s="11" t="n"/>
      <c r="W363" s="12">
        <f>IF(B363="","",B363+3)</f>
        <v/>
      </c>
      <c r="X363" s="12">
        <f>IF(B363="","",B363+5)</f>
        <v/>
      </c>
      <c r="Y363" s="12">
        <f>IF(B363="","",B363+10)</f>
        <v/>
      </c>
      <c r="Z363" s="13">
        <f>IF(B363="","",(--(B363&lt;&gt;"")+--(C363&lt;&gt;"")+--(D363&lt;&gt;"")+--(E363&lt;&gt;"")+--(F363&lt;&gt;"")+--(G363&lt;&gt;"")+--(H363&lt;&gt;"")+--(I363&lt;&gt;"")+--(J363&lt;&gt;"")+--(K363&lt;&gt;"")+--(L363&lt;&gt;"")+--(M363&lt;&gt;"")+--(N363&lt;&gt;"")+--(O363&lt;&gt;"")+--(P363&lt;&gt;"")+--(Q363&lt;&gt;"")+--(R363&lt;&gt;"")+--(S363&lt;&gt;"")+--(T363&lt;&gt;""))/19)</f>
        <v/>
      </c>
      <c r="AA363" s="16" t="n"/>
      <c r="AB363" s="16" t="n"/>
      <c r="AC363" s="16" t="n"/>
      <c r="AD363" s="16" t="n"/>
      <c r="AE363" s="7">
        <f>IF(B363="","",IF(AND(AA363="合格",AB363="合格",AC363="合格",AD363="合格"),"有效","无效"))</f>
        <v/>
      </c>
    </row>
    <row r="364">
      <c r="A364" s="7">
        <f>IF(B364="","",TEXT(B364,"yyyymmdd")&amp;"-"&amp;TEXT(ROW()-1,"000"))</f>
        <v/>
      </c>
      <c r="B364" s="8" t="n"/>
      <c r="C364" s="9" t="n"/>
      <c r="D364" s="9" t="n"/>
      <c r="E364" s="9" t="n"/>
      <c r="F364" s="9" t="n"/>
      <c r="G364" s="9" t="n"/>
      <c r="H364" s="9" t="n"/>
      <c r="I364" s="9" t="n"/>
      <c r="J364" s="10" t="n"/>
      <c r="K364" s="9" t="n"/>
      <c r="L364" s="9" t="n"/>
      <c r="M364" s="9" t="n"/>
      <c r="N364" s="10" t="n"/>
      <c r="O364" s="9" t="n"/>
      <c r="P364" s="10" t="n"/>
      <c r="Q364" s="10" t="n"/>
      <c r="R364" s="9" t="n"/>
      <c r="S364" s="10" t="n"/>
      <c r="T364" s="10" t="n"/>
      <c r="U364" s="11" t="n"/>
      <c r="V364" s="11" t="n"/>
      <c r="W364" s="12">
        <f>IF(B364="","",B364+3)</f>
        <v/>
      </c>
      <c r="X364" s="12">
        <f>IF(B364="","",B364+5)</f>
        <v/>
      </c>
      <c r="Y364" s="12">
        <f>IF(B364="","",B364+10)</f>
        <v/>
      </c>
      <c r="Z364" s="13">
        <f>IF(B364="","",(--(B364&lt;&gt;"")+--(C364&lt;&gt;"")+--(D364&lt;&gt;"")+--(E364&lt;&gt;"")+--(F364&lt;&gt;"")+--(G364&lt;&gt;"")+--(H364&lt;&gt;"")+--(I364&lt;&gt;"")+--(J364&lt;&gt;"")+--(K364&lt;&gt;"")+--(L364&lt;&gt;"")+--(M364&lt;&gt;"")+--(N364&lt;&gt;"")+--(O364&lt;&gt;"")+--(P364&lt;&gt;"")+--(Q364&lt;&gt;"")+--(R364&lt;&gt;"")+--(S364&lt;&gt;"")+--(T364&lt;&gt;""))/19)</f>
        <v/>
      </c>
      <c r="AA364" s="16" t="n"/>
      <c r="AB364" s="16" t="n"/>
      <c r="AC364" s="16" t="n"/>
      <c r="AD364" s="16" t="n"/>
      <c r="AE364" s="7">
        <f>IF(B364="","",IF(AND(AA364="合格",AB364="合格",AC364="合格",AD364="合格"),"有效","无效"))</f>
        <v/>
      </c>
    </row>
    <row r="365">
      <c r="A365" s="7">
        <f>IF(B365="","",TEXT(B365,"yyyymmdd")&amp;"-"&amp;TEXT(ROW()-1,"000"))</f>
        <v/>
      </c>
      <c r="B365" s="8" t="n"/>
      <c r="C365" s="9" t="n"/>
      <c r="D365" s="9" t="n"/>
      <c r="E365" s="9" t="n"/>
      <c r="F365" s="9" t="n"/>
      <c r="G365" s="9" t="n"/>
      <c r="H365" s="9" t="n"/>
      <c r="I365" s="9" t="n"/>
      <c r="J365" s="10" t="n"/>
      <c r="K365" s="9" t="n"/>
      <c r="L365" s="9" t="n"/>
      <c r="M365" s="9" t="n"/>
      <c r="N365" s="10" t="n"/>
      <c r="O365" s="9" t="n"/>
      <c r="P365" s="10" t="n"/>
      <c r="Q365" s="10" t="n"/>
      <c r="R365" s="9" t="n"/>
      <c r="S365" s="10" t="n"/>
      <c r="T365" s="10" t="n"/>
      <c r="U365" s="11" t="n"/>
      <c r="V365" s="11" t="n"/>
      <c r="W365" s="12">
        <f>IF(B365="","",B365+3)</f>
        <v/>
      </c>
      <c r="X365" s="12">
        <f>IF(B365="","",B365+5)</f>
        <v/>
      </c>
      <c r="Y365" s="12">
        <f>IF(B365="","",B365+10)</f>
        <v/>
      </c>
      <c r="Z365" s="13">
        <f>IF(B365="","",(--(B365&lt;&gt;"")+--(C365&lt;&gt;"")+--(D365&lt;&gt;"")+--(E365&lt;&gt;"")+--(F365&lt;&gt;"")+--(G365&lt;&gt;"")+--(H365&lt;&gt;"")+--(I365&lt;&gt;"")+--(J365&lt;&gt;"")+--(K365&lt;&gt;"")+--(L365&lt;&gt;"")+--(M365&lt;&gt;"")+--(N365&lt;&gt;"")+--(O365&lt;&gt;"")+--(P365&lt;&gt;"")+--(Q365&lt;&gt;"")+--(R365&lt;&gt;"")+--(S365&lt;&gt;"")+--(T365&lt;&gt;""))/19)</f>
        <v/>
      </c>
      <c r="AA365" s="16" t="n"/>
      <c r="AB365" s="16" t="n"/>
      <c r="AC365" s="16" t="n"/>
      <c r="AD365" s="16" t="n"/>
      <c r="AE365" s="7">
        <f>IF(B365="","",IF(AND(AA365="合格",AB365="合格",AC365="合格",AD365="合格"),"有效","无效"))</f>
        <v/>
      </c>
    </row>
    <row r="366">
      <c r="A366" s="7">
        <f>IF(B366="","",TEXT(B366,"yyyymmdd")&amp;"-"&amp;TEXT(ROW()-1,"000"))</f>
        <v/>
      </c>
      <c r="B366" s="8" t="n"/>
      <c r="C366" s="9" t="n"/>
      <c r="D366" s="9" t="n"/>
      <c r="E366" s="9" t="n"/>
      <c r="F366" s="9" t="n"/>
      <c r="G366" s="9" t="n"/>
      <c r="H366" s="9" t="n"/>
      <c r="I366" s="9" t="n"/>
      <c r="J366" s="10" t="n"/>
      <c r="K366" s="9" t="n"/>
      <c r="L366" s="9" t="n"/>
      <c r="M366" s="9" t="n"/>
      <c r="N366" s="10" t="n"/>
      <c r="O366" s="9" t="n"/>
      <c r="P366" s="10" t="n"/>
      <c r="Q366" s="10" t="n"/>
      <c r="R366" s="9" t="n"/>
      <c r="S366" s="10" t="n"/>
      <c r="T366" s="10" t="n"/>
      <c r="U366" s="11" t="n"/>
      <c r="V366" s="11" t="n"/>
      <c r="W366" s="12">
        <f>IF(B366="","",B366+3)</f>
        <v/>
      </c>
      <c r="X366" s="12">
        <f>IF(B366="","",B366+5)</f>
        <v/>
      </c>
      <c r="Y366" s="12">
        <f>IF(B366="","",B366+10)</f>
        <v/>
      </c>
      <c r="Z366" s="13">
        <f>IF(B366="","",(--(B366&lt;&gt;"")+--(C366&lt;&gt;"")+--(D366&lt;&gt;"")+--(E366&lt;&gt;"")+--(F366&lt;&gt;"")+--(G366&lt;&gt;"")+--(H366&lt;&gt;"")+--(I366&lt;&gt;"")+--(J366&lt;&gt;"")+--(K366&lt;&gt;"")+--(L366&lt;&gt;"")+--(M366&lt;&gt;"")+--(N366&lt;&gt;"")+--(O366&lt;&gt;"")+--(P366&lt;&gt;"")+--(Q366&lt;&gt;"")+--(R366&lt;&gt;"")+--(S366&lt;&gt;"")+--(T366&lt;&gt;""))/19)</f>
        <v/>
      </c>
      <c r="AA366" s="16" t="n"/>
      <c r="AB366" s="16" t="n"/>
      <c r="AC366" s="16" t="n"/>
      <c r="AD366" s="16" t="n"/>
      <c r="AE366" s="7">
        <f>IF(B366="","",IF(AND(AA366="合格",AB366="合格",AC366="合格",AD366="合格"),"有效","无效"))</f>
        <v/>
      </c>
    </row>
    <row r="367">
      <c r="A367" s="7">
        <f>IF(B367="","",TEXT(B367,"yyyymmdd")&amp;"-"&amp;TEXT(ROW()-1,"000"))</f>
        <v/>
      </c>
      <c r="B367" s="8" t="n"/>
      <c r="C367" s="9" t="n"/>
      <c r="D367" s="9" t="n"/>
      <c r="E367" s="9" t="n"/>
      <c r="F367" s="9" t="n"/>
      <c r="G367" s="9" t="n"/>
      <c r="H367" s="9" t="n"/>
      <c r="I367" s="9" t="n"/>
      <c r="J367" s="10" t="n"/>
      <c r="K367" s="9" t="n"/>
      <c r="L367" s="9" t="n"/>
      <c r="M367" s="9" t="n"/>
      <c r="N367" s="10" t="n"/>
      <c r="O367" s="9" t="n"/>
      <c r="P367" s="10" t="n"/>
      <c r="Q367" s="10" t="n"/>
      <c r="R367" s="9" t="n"/>
      <c r="S367" s="10" t="n"/>
      <c r="T367" s="10" t="n"/>
      <c r="U367" s="11" t="n"/>
      <c r="V367" s="11" t="n"/>
      <c r="W367" s="12">
        <f>IF(B367="","",B367+3)</f>
        <v/>
      </c>
      <c r="X367" s="12">
        <f>IF(B367="","",B367+5)</f>
        <v/>
      </c>
      <c r="Y367" s="12">
        <f>IF(B367="","",B367+10)</f>
        <v/>
      </c>
      <c r="Z367" s="13">
        <f>IF(B367="","",(--(B367&lt;&gt;"")+--(C367&lt;&gt;"")+--(D367&lt;&gt;"")+--(E367&lt;&gt;"")+--(F367&lt;&gt;"")+--(G367&lt;&gt;"")+--(H367&lt;&gt;"")+--(I367&lt;&gt;"")+--(J367&lt;&gt;"")+--(K367&lt;&gt;"")+--(L367&lt;&gt;"")+--(M367&lt;&gt;"")+--(N367&lt;&gt;"")+--(O367&lt;&gt;"")+--(P367&lt;&gt;"")+--(Q367&lt;&gt;"")+--(R367&lt;&gt;"")+--(S367&lt;&gt;"")+--(T367&lt;&gt;""))/19)</f>
        <v/>
      </c>
      <c r="AA367" s="16" t="n"/>
      <c r="AB367" s="16" t="n"/>
      <c r="AC367" s="16" t="n"/>
      <c r="AD367" s="16" t="n"/>
      <c r="AE367" s="7">
        <f>IF(B367="","",IF(AND(AA367="合格",AB367="合格",AC367="合格",AD367="合格"),"有效","无效"))</f>
        <v/>
      </c>
    </row>
    <row r="368">
      <c r="A368" s="7">
        <f>IF(B368="","",TEXT(B368,"yyyymmdd")&amp;"-"&amp;TEXT(ROW()-1,"000"))</f>
        <v/>
      </c>
      <c r="B368" s="8" t="n"/>
      <c r="C368" s="9" t="n"/>
      <c r="D368" s="9" t="n"/>
      <c r="E368" s="9" t="n"/>
      <c r="F368" s="9" t="n"/>
      <c r="G368" s="9" t="n"/>
      <c r="H368" s="9" t="n"/>
      <c r="I368" s="9" t="n"/>
      <c r="J368" s="10" t="n"/>
      <c r="K368" s="9" t="n"/>
      <c r="L368" s="9" t="n"/>
      <c r="M368" s="9" t="n"/>
      <c r="N368" s="10" t="n"/>
      <c r="O368" s="9" t="n"/>
      <c r="P368" s="10" t="n"/>
      <c r="Q368" s="10" t="n"/>
      <c r="R368" s="9" t="n"/>
      <c r="S368" s="10" t="n"/>
      <c r="T368" s="10" t="n"/>
      <c r="U368" s="11" t="n"/>
      <c r="V368" s="11" t="n"/>
      <c r="W368" s="12">
        <f>IF(B368="","",B368+3)</f>
        <v/>
      </c>
      <c r="X368" s="12">
        <f>IF(B368="","",B368+5)</f>
        <v/>
      </c>
      <c r="Y368" s="12">
        <f>IF(B368="","",B368+10)</f>
        <v/>
      </c>
      <c r="Z368" s="13">
        <f>IF(B368="","",(--(B368&lt;&gt;"")+--(C368&lt;&gt;"")+--(D368&lt;&gt;"")+--(E368&lt;&gt;"")+--(F368&lt;&gt;"")+--(G368&lt;&gt;"")+--(H368&lt;&gt;"")+--(I368&lt;&gt;"")+--(J368&lt;&gt;"")+--(K368&lt;&gt;"")+--(L368&lt;&gt;"")+--(M368&lt;&gt;"")+--(N368&lt;&gt;"")+--(O368&lt;&gt;"")+--(P368&lt;&gt;"")+--(Q368&lt;&gt;"")+--(R368&lt;&gt;"")+--(S368&lt;&gt;"")+--(T368&lt;&gt;""))/19)</f>
        <v/>
      </c>
      <c r="AA368" s="16" t="n"/>
      <c r="AB368" s="16" t="n"/>
      <c r="AC368" s="16" t="n"/>
      <c r="AD368" s="16" t="n"/>
      <c r="AE368" s="7">
        <f>IF(B368="","",IF(AND(AA368="合格",AB368="合格",AC368="合格",AD368="合格"),"有效","无效"))</f>
        <v/>
      </c>
    </row>
    <row r="369">
      <c r="A369" s="7">
        <f>IF(B369="","",TEXT(B369,"yyyymmdd")&amp;"-"&amp;TEXT(ROW()-1,"000"))</f>
        <v/>
      </c>
      <c r="B369" s="8" t="n"/>
      <c r="C369" s="9" t="n"/>
      <c r="D369" s="9" t="n"/>
      <c r="E369" s="9" t="n"/>
      <c r="F369" s="9" t="n"/>
      <c r="G369" s="9" t="n"/>
      <c r="H369" s="9" t="n"/>
      <c r="I369" s="9" t="n"/>
      <c r="J369" s="10" t="n"/>
      <c r="K369" s="9" t="n"/>
      <c r="L369" s="9" t="n"/>
      <c r="M369" s="9" t="n"/>
      <c r="N369" s="10" t="n"/>
      <c r="O369" s="9" t="n"/>
      <c r="P369" s="10" t="n"/>
      <c r="Q369" s="10" t="n"/>
      <c r="R369" s="9" t="n"/>
      <c r="S369" s="10" t="n"/>
      <c r="T369" s="10" t="n"/>
      <c r="U369" s="11" t="n"/>
      <c r="V369" s="11" t="n"/>
      <c r="W369" s="12">
        <f>IF(B369="","",B369+3)</f>
        <v/>
      </c>
      <c r="X369" s="12">
        <f>IF(B369="","",B369+5)</f>
        <v/>
      </c>
      <c r="Y369" s="12">
        <f>IF(B369="","",B369+10)</f>
        <v/>
      </c>
      <c r="Z369" s="13">
        <f>IF(B369="","",(--(B369&lt;&gt;"")+--(C369&lt;&gt;"")+--(D369&lt;&gt;"")+--(E369&lt;&gt;"")+--(F369&lt;&gt;"")+--(G369&lt;&gt;"")+--(H369&lt;&gt;"")+--(I369&lt;&gt;"")+--(J369&lt;&gt;"")+--(K369&lt;&gt;"")+--(L369&lt;&gt;"")+--(M369&lt;&gt;"")+--(N369&lt;&gt;"")+--(O369&lt;&gt;"")+--(P369&lt;&gt;"")+--(Q369&lt;&gt;"")+--(R369&lt;&gt;"")+--(S369&lt;&gt;"")+--(T369&lt;&gt;""))/19)</f>
        <v/>
      </c>
      <c r="AA369" s="16" t="n"/>
      <c r="AB369" s="16" t="n"/>
      <c r="AC369" s="16" t="n"/>
      <c r="AD369" s="16" t="n"/>
      <c r="AE369" s="7">
        <f>IF(B369="","",IF(AND(AA369="合格",AB369="合格",AC369="合格",AD369="合格"),"有效","无效"))</f>
        <v/>
      </c>
    </row>
    <row r="370">
      <c r="A370" s="7">
        <f>IF(B370="","",TEXT(B370,"yyyymmdd")&amp;"-"&amp;TEXT(ROW()-1,"000"))</f>
        <v/>
      </c>
      <c r="B370" s="8" t="n"/>
      <c r="C370" s="9" t="n"/>
      <c r="D370" s="9" t="n"/>
      <c r="E370" s="9" t="n"/>
      <c r="F370" s="9" t="n"/>
      <c r="G370" s="9" t="n"/>
      <c r="H370" s="9" t="n"/>
      <c r="I370" s="9" t="n"/>
      <c r="J370" s="10" t="n"/>
      <c r="K370" s="9" t="n"/>
      <c r="L370" s="9" t="n"/>
      <c r="M370" s="9" t="n"/>
      <c r="N370" s="10" t="n"/>
      <c r="O370" s="9" t="n"/>
      <c r="P370" s="10" t="n"/>
      <c r="Q370" s="10" t="n"/>
      <c r="R370" s="9" t="n"/>
      <c r="S370" s="10" t="n"/>
      <c r="T370" s="10" t="n"/>
      <c r="U370" s="11" t="n"/>
      <c r="V370" s="11" t="n"/>
      <c r="W370" s="12">
        <f>IF(B370="","",B370+3)</f>
        <v/>
      </c>
      <c r="X370" s="12">
        <f>IF(B370="","",B370+5)</f>
        <v/>
      </c>
      <c r="Y370" s="12">
        <f>IF(B370="","",B370+10)</f>
        <v/>
      </c>
      <c r="Z370" s="13">
        <f>IF(B370="","",(--(B370&lt;&gt;"")+--(C370&lt;&gt;"")+--(D370&lt;&gt;"")+--(E370&lt;&gt;"")+--(F370&lt;&gt;"")+--(G370&lt;&gt;"")+--(H370&lt;&gt;"")+--(I370&lt;&gt;"")+--(J370&lt;&gt;"")+--(K370&lt;&gt;"")+--(L370&lt;&gt;"")+--(M370&lt;&gt;"")+--(N370&lt;&gt;"")+--(O370&lt;&gt;"")+--(P370&lt;&gt;"")+--(Q370&lt;&gt;"")+--(R370&lt;&gt;"")+--(S370&lt;&gt;"")+--(T370&lt;&gt;""))/19)</f>
        <v/>
      </c>
      <c r="AA370" s="16" t="n"/>
      <c r="AB370" s="16" t="n"/>
      <c r="AC370" s="16" t="n"/>
      <c r="AD370" s="16" t="n"/>
      <c r="AE370" s="7">
        <f>IF(B370="","",IF(AND(AA370="合格",AB370="合格",AC370="合格",AD370="合格"),"有效","无效"))</f>
        <v/>
      </c>
    </row>
    <row r="371">
      <c r="A371" s="7">
        <f>IF(B371="","",TEXT(B371,"yyyymmdd")&amp;"-"&amp;TEXT(ROW()-1,"000"))</f>
        <v/>
      </c>
      <c r="B371" s="8" t="n"/>
      <c r="C371" s="9" t="n"/>
      <c r="D371" s="9" t="n"/>
      <c r="E371" s="9" t="n"/>
      <c r="F371" s="9" t="n"/>
      <c r="G371" s="9" t="n"/>
      <c r="H371" s="9" t="n"/>
      <c r="I371" s="9" t="n"/>
      <c r="J371" s="10" t="n"/>
      <c r="K371" s="9" t="n"/>
      <c r="L371" s="9" t="n"/>
      <c r="M371" s="9" t="n"/>
      <c r="N371" s="10" t="n"/>
      <c r="O371" s="9" t="n"/>
      <c r="P371" s="10" t="n"/>
      <c r="Q371" s="10" t="n"/>
      <c r="R371" s="9" t="n"/>
      <c r="S371" s="10" t="n"/>
      <c r="T371" s="10" t="n"/>
      <c r="U371" s="11" t="n"/>
      <c r="V371" s="11" t="n"/>
      <c r="W371" s="12">
        <f>IF(B371="","",B371+3)</f>
        <v/>
      </c>
      <c r="X371" s="12">
        <f>IF(B371="","",B371+5)</f>
        <v/>
      </c>
      <c r="Y371" s="12">
        <f>IF(B371="","",B371+10)</f>
        <v/>
      </c>
      <c r="Z371" s="13">
        <f>IF(B371="","",(--(B371&lt;&gt;"")+--(C371&lt;&gt;"")+--(D371&lt;&gt;"")+--(E371&lt;&gt;"")+--(F371&lt;&gt;"")+--(G371&lt;&gt;"")+--(H371&lt;&gt;"")+--(I371&lt;&gt;"")+--(J371&lt;&gt;"")+--(K371&lt;&gt;"")+--(L371&lt;&gt;"")+--(M371&lt;&gt;"")+--(N371&lt;&gt;"")+--(O371&lt;&gt;"")+--(P371&lt;&gt;"")+--(Q371&lt;&gt;"")+--(R371&lt;&gt;"")+--(S371&lt;&gt;"")+--(T371&lt;&gt;""))/19)</f>
        <v/>
      </c>
      <c r="AA371" s="16" t="n"/>
      <c r="AB371" s="16" t="n"/>
      <c r="AC371" s="16" t="n"/>
      <c r="AD371" s="16" t="n"/>
      <c r="AE371" s="7">
        <f>IF(B371="","",IF(AND(AA371="合格",AB371="合格",AC371="合格",AD371="合格"),"有效","无效"))</f>
        <v/>
      </c>
    </row>
    <row r="372">
      <c r="A372" s="7">
        <f>IF(B372="","",TEXT(B372,"yyyymmdd")&amp;"-"&amp;TEXT(ROW()-1,"000"))</f>
        <v/>
      </c>
      <c r="B372" s="8" t="n"/>
      <c r="C372" s="9" t="n"/>
      <c r="D372" s="9" t="n"/>
      <c r="E372" s="9" t="n"/>
      <c r="F372" s="9" t="n"/>
      <c r="G372" s="9" t="n"/>
      <c r="H372" s="9" t="n"/>
      <c r="I372" s="9" t="n"/>
      <c r="J372" s="10" t="n"/>
      <c r="K372" s="9" t="n"/>
      <c r="L372" s="9" t="n"/>
      <c r="M372" s="9" t="n"/>
      <c r="N372" s="10" t="n"/>
      <c r="O372" s="9" t="n"/>
      <c r="P372" s="10" t="n"/>
      <c r="Q372" s="10" t="n"/>
      <c r="R372" s="9" t="n"/>
      <c r="S372" s="10" t="n"/>
      <c r="T372" s="10" t="n"/>
      <c r="U372" s="11" t="n"/>
      <c r="V372" s="11" t="n"/>
      <c r="W372" s="12">
        <f>IF(B372="","",B372+3)</f>
        <v/>
      </c>
      <c r="X372" s="12">
        <f>IF(B372="","",B372+5)</f>
        <v/>
      </c>
      <c r="Y372" s="12">
        <f>IF(B372="","",B372+10)</f>
        <v/>
      </c>
      <c r="Z372" s="13">
        <f>IF(B372="","",(--(B372&lt;&gt;"")+--(C372&lt;&gt;"")+--(D372&lt;&gt;"")+--(E372&lt;&gt;"")+--(F372&lt;&gt;"")+--(G372&lt;&gt;"")+--(H372&lt;&gt;"")+--(I372&lt;&gt;"")+--(J372&lt;&gt;"")+--(K372&lt;&gt;"")+--(L372&lt;&gt;"")+--(M372&lt;&gt;"")+--(N372&lt;&gt;"")+--(O372&lt;&gt;"")+--(P372&lt;&gt;"")+--(Q372&lt;&gt;"")+--(R372&lt;&gt;"")+--(S372&lt;&gt;"")+--(T372&lt;&gt;""))/19)</f>
        <v/>
      </c>
      <c r="AA372" s="16" t="n"/>
      <c r="AB372" s="16" t="n"/>
      <c r="AC372" s="16" t="n"/>
      <c r="AD372" s="16" t="n"/>
      <c r="AE372" s="7">
        <f>IF(B372="","",IF(AND(AA372="合格",AB372="合格",AC372="合格",AD372="合格"),"有效","无效"))</f>
        <v/>
      </c>
    </row>
    <row r="373">
      <c r="A373" s="7">
        <f>IF(B373="","",TEXT(B373,"yyyymmdd")&amp;"-"&amp;TEXT(ROW()-1,"000"))</f>
        <v/>
      </c>
      <c r="B373" s="8" t="n"/>
      <c r="C373" s="9" t="n"/>
      <c r="D373" s="9" t="n"/>
      <c r="E373" s="9" t="n"/>
      <c r="F373" s="9" t="n"/>
      <c r="G373" s="9" t="n"/>
      <c r="H373" s="9" t="n"/>
      <c r="I373" s="9" t="n"/>
      <c r="J373" s="10" t="n"/>
      <c r="K373" s="9" t="n"/>
      <c r="L373" s="9" t="n"/>
      <c r="M373" s="9" t="n"/>
      <c r="N373" s="10" t="n"/>
      <c r="O373" s="9" t="n"/>
      <c r="P373" s="10" t="n"/>
      <c r="Q373" s="10" t="n"/>
      <c r="R373" s="9" t="n"/>
      <c r="S373" s="10" t="n"/>
      <c r="T373" s="10" t="n"/>
      <c r="U373" s="11" t="n"/>
      <c r="V373" s="11" t="n"/>
      <c r="W373" s="12">
        <f>IF(B373="","",B373+3)</f>
        <v/>
      </c>
      <c r="X373" s="12">
        <f>IF(B373="","",B373+5)</f>
        <v/>
      </c>
      <c r="Y373" s="12">
        <f>IF(B373="","",B373+10)</f>
        <v/>
      </c>
      <c r="Z373" s="13">
        <f>IF(B373="","",(--(B373&lt;&gt;"")+--(C373&lt;&gt;"")+--(D373&lt;&gt;"")+--(E373&lt;&gt;"")+--(F373&lt;&gt;"")+--(G373&lt;&gt;"")+--(H373&lt;&gt;"")+--(I373&lt;&gt;"")+--(J373&lt;&gt;"")+--(K373&lt;&gt;"")+--(L373&lt;&gt;"")+--(M373&lt;&gt;"")+--(N373&lt;&gt;"")+--(O373&lt;&gt;"")+--(P373&lt;&gt;"")+--(Q373&lt;&gt;"")+--(R373&lt;&gt;"")+--(S373&lt;&gt;"")+--(T373&lt;&gt;""))/19)</f>
        <v/>
      </c>
      <c r="AA373" s="16" t="n"/>
      <c r="AB373" s="16" t="n"/>
      <c r="AC373" s="16" t="n"/>
      <c r="AD373" s="16" t="n"/>
      <c r="AE373" s="7">
        <f>IF(B373="","",IF(AND(AA373="合格",AB373="合格",AC373="合格",AD373="合格"),"有效","无效"))</f>
        <v/>
      </c>
    </row>
    <row r="374">
      <c r="A374" s="7">
        <f>IF(B374="","",TEXT(B374,"yyyymmdd")&amp;"-"&amp;TEXT(ROW()-1,"000"))</f>
        <v/>
      </c>
      <c r="B374" s="8" t="n"/>
      <c r="C374" s="9" t="n"/>
      <c r="D374" s="9" t="n"/>
      <c r="E374" s="9" t="n"/>
      <c r="F374" s="9" t="n"/>
      <c r="G374" s="9" t="n"/>
      <c r="H374" s="9" t="n"/>
      <c r="I374" s="9" t="n"/>
      <c r="J374" s="10" t="n"/>
      <c r="K374" s="9" t="n"/>
      <c r="L374" s="9" t="n"/>
      <c r="M374" s="9" t="n"/>
      <c r="N374" s="10" t="n"/>
      <c r="O374" s="9" t="n"/>
      <c r="P374" s="10" t="n"/>
      <c r="Q374" s="10" t="n"/>
      <c r="R374" s="9" t="n"/>
      <c r="S374" s="10" t="n"/>
      <c r="T374" s="10" t="n"/>
      <c r="U374" s="11" t="n"/>
      <c r="V374" s="11" t="n"/>
      <c r="W374" s="12">
        <f>IF(B374="","",B374+3)</f>
        <v/>
      </c>
      <c r="X374" s="12">
        <f>IF(B374="","",B374+5)</f>
        <v/>
      </c>
      <c r="Y374" s="12">
        <f>IF(B374="","",B374+10)</f>
        <v/>
      </c>
      <c r="Z374" s="13">
        <f>IF(B374="","",(--(B374&lt;&gt;"")+--(C374&lt;&gt;"")+--(D374&lt;&gt;"")+--(E374&lt;&gt;"")+--(F374&lt;&gt;"")+--(G374&lt;&gt;"")+--(H374&lt;&gt;"")+--(I374&lt;&gt;"")+--(J374&lt;&gt;"")+--(K374&lt;&gt;"")+--(L374&lt;&gt;"")+--(M374&lt;&gt;"")+--(N374&lt;&gt;"")+--(O374&lt;&gt;"")+--(P374&lt;&gt;"")+--(Q374&lt;&gt;"")+--(R374&lt;&gt;"")+--(S374&lt;&gt;"")+--(T374&lt;&gt;""))/19)</f>
        <v/>
      </c>
      <c r="AA374" s="16" t="n"/>
      <c r="AB374" s="16" t="n"/>
      <c r="AC374" s="16" t="n"/>
      <c r="AD374" s="16" t="n"/>
      <c r="AE374" s="7">
        <f>IF(B374="","",IF(AND(AA374="合格",AB374="合格",AC374="合格",AD374="合格"),"有效","无效"))</f>
        <v/>
      </c>
    </row>
    <row r="375">
      <c r="A375" s="7">
        <f>IF(B375="","",TEXT(B375,"yyyymmdd")&amp;"-"&amp;TEXT(ROW()-1,"000"))</f>
        <v/>
      </c>
      <c r="B375" s="8" t="n"/>
      <c r="C375" s="9" t="n"/>
      <c r="D375" s="9" t="n"/>
      <c r="E375" s="9" t="n"/>
      <c r="F375" s="9" t="n"/>
      <c r="G375" s="9" t="n"/>
      <c r="H375" s="9" t="n"/>
      <c r="I375" s="9" t="n"/>
      <c r="J375" s="10" t="n"/>
      <c r="K375" s="9" t="n"/>
      <c r="L375" s="9" t="n"/>
      <c r="M375" s="9" t="n"/>
      <c r="N375" s="10" t="n"/>
      <c r="O375" s="9" t="n"/>
      <c r="P375" s="10" t="n"/>
      <c r="Q375" s="10" t="n"/>
      <c r="R375" s="9" t="n"/>
      <c r="S375" s="10" t="n"/>
      <c r="T375" s="10" t="n"/>
      <c r="U375" s="11" t="n"/>
      <c r="V375" s="11" t="n"/>
      <c r="W375" s="12">
        <f>IF(B375="","",B375+3)</f>
        <v/>
      </c>
      <c r="X375" s="12">
        <f>IF(B375="","",B375+5)</f>
        <v/>
      </c>
      <c r="Y375" s="12">
        <f>IF(B375="","",B375+10)</f>
        <v/>
      </c>
      <c r="Z375" s="13">
        <f>IF(B375="","",(--(B375&lt;&gt;"")+--(C375&lt;&gt;"")+--(D375&lt;&gt;"")+--(E375&lt;&gt;"")+--(F375&lt;&gt;"")+--(G375&lt;&gt;"")+--(H375&lt;&gt;"")+--(I375&lt;&gt;"")+--(J375&lt;&gt;"")+--(K375&lt;&gt;"")+--(L375&lt;&gt;"")+--(M375&lt;&gt;"")+--(N375&lt;&gt;"")+--(O375&lt;&gt;"")+--(P375&lt;&gt;"")+--(Q375&lt;&gt;"")+--(R375&lt;&gt;"")+--(S375&lt;&gt;"")+--(T375&lt;&gt;""))/19)</f>
        <v/>
      </c>
      <c r="AA375" s="16" t="n"/>
      <c r="AB375" s="16" t="n"/>
      <c r="AC375" s="16" t="n"/>
      <c r="AD375" s="16" t="n"/>
      <c r="AE375" s="7">
        <f>IF(B375="","",IF(AND(AA375="合格",AB375="合格",AC375="合格",AD375="合格"),"有效","无效"))</f>
        <v/>
      </c>
    </row>
    <row r="376">
      <c r="A376" s="7">
        <f>IF(B376="","",TEXT(B376,"yyyymmdd")&amp;"-"&amp;TEXT(ROW()-1,"000"))</f>
        <v/>
      </c>
      <c r="B376" s="8" t="n"/>
      <c r="C376" s="9" t="n"/>
      <c r="D376" s="9" t="n"/>
      <c r="E376" s="9" t="n"/>
      <c r="F376" s="9" t="n"/>
      <c r="G376" s="9" t="n"/>
      <c r="H376" s="9" t="n"/>
      <c r="I376" s="9" t="n"/>
      <c r="J376" s="10" t="n"/>
      <c r="K376" s="9" t="n"/>
      <c r="L376" s="9" t="n"/>
      <c r="M376" s="9" t="n"/>
      <c r="N376" s="10" t="n"/>
      <c r="O376" s="9" t="n"/>
      <c r="P376" s="10" t="n"/>
      <c r="Q376" s="10" t="n"/>
      <c r="R376" s="9" t="n"/>
      <c r="S376" s="10" t="n"/>
      <c r="T376" s="10" t="n"/>
      <c r="U376" s="11" t="n"/>
      <c r="V376" s="11" t="n"/>
      <c r="W376" s="12">
        <f>IF(B376="","",B376+3)</f>
        <v/>
      </c>
      <c r="X376" s="12">
        <f>IF(B376="","",B376+5)</f>
        <v/>
      </c>
      <c r="Y376" s="12">
        <f>IF(B376="","",B376+10)</f>
        <v/>
      </c>
      <c r="Z376" s="13">
        <f>IF(B376="","",(--(B376&lt;&gt;"")+--(C376&lt;&gt;"")+--(D376&lt;&gt;"")+--(E376&lt;&gt;"")+--(F376&lt;&gt;"")+--(G376&lt;&gt;"")+--(H376&lt;&gt;"")+--(I376&lt;&gt;"")+--(J376&lt;&gt;"")+--(K376&lt;&gt;"")+--(L376&lt;&gt;"")+--(M376&lt;&gt;"")+--(N376&lt;&gt;"")+--(O376&lt;&gt;"")+--(P376&lt;&gt;"")+--(Q376&lt;&gt;"")+--(R376&lt;&gt;"")+--(S376&lt;&gt;"")+--(T376&lt;&gt;""))/19)</f>
        <v/>
      </c>
      <c r="AA376" s="16" t="n"/>
      <c r="AB376" s="16" t="n"/>
      <c r="AC376" s="16" t="n"/>
      <c r="AD376" s="16" t="n"/>
      <c r="AE376" s="7">
        <f>IF(B376="","",IF(AND(AA376="合格",AB376="合格",AC376="合格",AD376="合格"),"有效","无效"))</f>
        <v/>
      </c>
    </row>
    <row r="377">
      <c r="A377" s="7">
        <f>IF(B377="","",TEXT(B377,"yyyymmdd")&amp;"-"&amp;TEXT(ROW()-1,"000"))</f>
        <v/>
      </c>
      <c r="B377" s="8" t="n"/>
      <c r="C377" s="9" t="n"/>
      <c r="D377" s="9" t="n"/>
      <c r="E377" s="9" t="n"/>
      <c r="F377" s="9" t="n"/>
      <c r="G377" s="9" t="n"/>
      <c r="H377" s="9" t="n"/>
      <c r="I377" s="9" t="n"/>
      <c r="J377" s="10" t="n"/>
      <c r="K377" s="9" t="n"/>
      <c r="L377" s="9" t="n"/>
      <c r="M377" s="9" t="n"/>
      <c r="N377" s="10" t="n"/>
      <c r="O377" s="9" t="n"/>
      <c r="P377" s="10" t="n"/>
      <c r="Q377" s="10" t="n"/>
      <c r="R377" s="9" t="n"/>
      <c r="S377" s="10" t="n"/>
      <c r="T377" s="10" t="n"/>
      <c r="U377" s="11" t="n"/>
      <c r="V377" s="11" t="n"/>
      <c r="W377" s="12">
        <f>IF(B377="","",B377+3)</f>
        <v/>
      </c>
      <c r="X377" s="12">
        <f>IF(B377="","",B377+5)</f>
        <v/>
      </c>
      <c r="Y377" s="12">
        <f>IF(B377="","",B377+10)</f>
        <v/>
      </c>
      <c r="Z377" s="13">
        <f>IF(B377="","",(--(B377&lt;&gt;"")+--(C377&lt;&gt;"")+--(D377&lt;&gt;"")+--(E377&lt;&gt;"")+--(F377&lt;&gt;"")+--(G377&lt;&gt;"")+--(H377&lt;&gt;"")+--(I377&lt;&gt;"")+--(J377&lt;&gt;"")+--(K377&lt;&gt;"")+--(L377&lt;&gt;"")+--(M377&lt;&gt;"")+--(N377&lt;&gt;"")+--(O377&lt;&gt;"")+--(P377&lt;&gt;"")+--(Q377&lt;&gt;"")+--(R377&lt;&gt;"")+--(S377&lt;&gt;"")+--(T377&lt;&gt;""))/19)</f>
        <v/>
      </c>
      <c r="AA377" s="16" t="n"/>
      <c r="AB377" s="16" t="n"/>
      <c r="AC377" s="16" t="n"/>
      <c r="AD377" s="16" t="n"/>
      <c r="AE377" s="7">
        <f>IF(B377="","",IF(AND(AA377="合格",AB377="合格",AC377="合格",AD377="合格"),"有效","无效"))</f>
        <v/>
      </c>
    </row>
    <row r="378">
      <c r="A378" s="7">
        <f>IF(B378="","",TEXT(B378,"yyyymmdd")&amp;"-"&amp;TEXT(ROW()-1,"000"))</f>
        <v/>
      </c>
      <c r="B378" s="8" t="n"/>
      <c r="C378" s="9" t="n"/>
      <c r="D378" s="9" t="n"/>
      <c r="E378" s="9" t="n"/>
      <c r="F378" s="9" t="n"/>
      <c r="G378" s="9" t="n"/>
      <c r="H378" s="9" t="n"/>
      <c r="I378" s="9" t="n"/>
      <c r="J378" s="10" t="n"/>
      <c r="K378" s="9" t="n"/>
      <c r="L378" s="9" t="n"/>
      <c r="M378" s="9" t="n"/>
      <c r="N378" s="10" t="n"/>
      <c r="O378" s="9" t="n"/>
      <c r="P378" s="10" t="n"/>
      <c r="Q378" s="10" t="n"/>
      <c r="R378" s="9" t="n"/>
      <c r="S378" s="10" t="n"/>
      <c r="T378" s="10" t="n"/>
      <c r="U378" s="11" t="n"/>
      <c r="V378" s="11" t="n"/>
      <c r="W378" s="12">
        <f>IF(B378="","",B378+3)</f>
        <v/>
      </c>
      <c r="X378" s="12">
        <f>IF(B378="","",B378+5)</f>
        <v/>
      </c>
      <c r="Y378" s="12">
        <f>IF(B378="","",B378+10)</f>
        <v/>
      </c>
      <c r="Z378" s="13">
        <f>IF(B378="","",(--(B378&lt;&gt;"")+--(C378&lt;&gt;"")+--(D378&lt;&gt;"")+--(E378&lt;&gt;"")+--(F378&lt;&gt;"")+--(G378&lt;&gt;"")+--(H378&lt;&gt;"")+--(I378&lt;&gt;"")+--(J378&lt;&gt;"")+--(K378&lt;&gt;"")+--(L378&lt;&gt;"")+--(M378&lt;&gt;"")+--(N378&lt;&gt;"")+--(O378&lt;&gt;"")+--(P378&lt;&gt;"")+--(Q378&lt;&gt;"")+--(R378&lt;&gt;"")+--(S378&lt;&gt;"")+--(T378&lt;&gt;""))/19)</f>
        <v/>
      </c>
      <c r="AA378" s="16" t="n"/>
      <c r="AB378" s="16" t="n"/>
      <c r="AC378" s="16" t="n"/>
      <c r="AD378" s="16" t="n"/>
      <c r="AE378" s="7">
        <f>IF(B378="","",IF(AND(AA378="合格",AB378="合格",AC378="合格",AD378="合格"),"有效","无效"))</f>
        <v/>
      </c>
    </row>
    <row r="379">
      <c r="A379" s="7">
        <f>IF(B379="","",TEXT(B379,"yyyymmdd")&amp;"-"&amp;TEXT(ROW()-1,"000"))</f>
        <v/>
      </c>
      <c r="B379" s="8" t="n"/>
      <c r="C379" s="9" t="n"/>
      <c r="D379" s="9" t="n"/>
      <c r="E379" s="9" t="n"/>
      <c r="F379" s="9" t="n"/>
      <c r="G379" s="9" t="n"/>
      <c r="H379" s="9" t="n"/>
      <c r="I379" s="9" t="n"/>
      <c r="J379" s="10" t="n"/>
      <c r="K379" s="9" t="n"/>
      <c r="L379" s="9" t="n"/>
      <c r="M379" s="9" t="n"/>
      <c r="N379" s="10" t="n"/>
      <c r="O379" s="9" t="n"/>
      <c r="P379" s="10" t="n"/>
      <c r="Q379" s="10" t="n"/>
      <c r="R379" s="9" t="n"/>
      <c r="S379" s="10" t="n"/>
      <c r="T379" s="10" t="n"/>
      <c r="U379" s="11" t="n"/>
      <c r="V379" s="11" t="n"/>
      <c r="W379" s="12">
        <f>IF(B379="","",B379+3)</f>
        <v/>
      </c>
      <c r="X379" s="12">
        <f>IF(B379="","",B379+5)</f>
        <v/>
      </c>
      <c r="Y379" s="12">
        <f>IF(B379="","",B379+10)</f>
        <v/>
      </c>
      <c r="Z379" s="13">
        <f>IF(B379="","",(--(B379&lt;&gt;"")+--(C379&lt;&gt;"")+--(D379&lt;&gt;"")+--(E379&lt;&gt;"")+--(F379&lt;&gt;"")+--(G379&lt;&gt;"")+--(H379&lt;&gt;"")+--(I379&lt;&gt;"")+--(J379&lt;&gt;"")+--(K379&lt;&gt;"")+--(L379&lt;&gt;"")+--(M379&lt;&gt;"")+--(N379&lt;&gt;"")+--(O379&lt;&gt;"")+--(P379&lt;&gt;"")+--(Q379&lt;&gt;"")+--(R379&lt;&gt;"")+--(S379&lt;&gt;"")+--(T379&lt;&gt;""))/19)</f>
        <v/>
      </c>
      <c r="AA379" s="16" t="n"/>
      <c r="AB379" s="16" t="n"/>
      <c r="AC379" s="16" t="n"/>
      <c r="AD379" s="16" t="n"/>
      <c r="AE379" s="7">
        <f>IF(B379="","",IF(AND(AA379="合格",AB379="合格",AC379="合格",AD379="合格"),"有效","无效"))</f>
        <v/>
      </c>
    </row>
    <row r="380">
      <c r="A380" s="7">
        <f>IF(B380="","",TEXT(B380,"yyyymmdd")&amp;"-"&amp;TEXT(ROW()-1,"000"))</f>
        <v/>
      </c>
      <c r="B380" s="8" t="n"/>
      <c r="C380" s="9" t="n"/>
      <c r="D380" s="9" t="n"/>
      <c r="E380" s="9" t="n"/>
      <c r="F380" s="9" t="n"/>
      <c r="G380" s="9" t="n"/>
      <c r="H380" s="9" t="n"/>
      <c r="I380" s="9" t="n"/>
      <c r="J380" s="10" t="n"/>
      <c r="K380" s="9" t="n"/>
      <c r="L380" s="9" t="n"/>
      <c r="M380" s="9" t="n"/>
      <c r="N380" s="10" t="n"/>
      <c r="O380" s="9" t="n"/>
      <c r="P380" s="10" t="n"/>
      <c r="Q380" s="10" t="n"/>
      <c r="R380" s="9" t="n"/>
      <c r="S380" s="10" t="n"/>
      <c r="T380" s="10" t="n"/>
      <c r="U380" s="11" t="n"/>
      <c r="V380" s="11" t="n"/>
      <c r="W380" s="12">
        <f>IF(B380="","",B380+3)</f>
        <v/>
      </c>
      <c r="X380" s="12">
        <f>IF(B380="","",B380+5)</f>
        <v/>
      </c>
      <c r="Y380" s="12">
        <f>IF(B380="","",B380+10)</f>
        <v/>
      </c>
      <c r="Z380" s="13">
        <f>IF(B380="","",(--(B380&lt;&gt;"")+--(C380&lt;&gt;"")+--(D380&lt;&gt;"")+--(E380&lt;&gt;"")+--(F380&lt;&gt;"")+--(G380&lt;&gt;"")+--(H380&lt;&gt;"")+--(I380&lt;&gt;"")+--(J380&lt;&gt;"")+--(K380&lt;&gt;"")+--(L380&lt;&gt;"")+--(M380&lt;&gt;"")+--(N380&lt;&gt;"")+--(O380&lt;&gt;"")+--(P380&lt;&gt;"")+--(Q380&lt;&gt;"")+--(R380&lt;&gt;"")+--(S380&lt;&gt;"")+--(T380&lt;&gt;""))/19)</f>
        <v/>
      </c>
      <c r="AA380" s="16" t="n"/>
      <c r="AB380" s="16" t="n"/>
      <c r="AC380" s="16" t="n"/>
      <c r="AD380" s="16" t="n"/>
      <c r="AE380" s="7">
        <f>IF(B380="","",IF(AND(AA380="合格",AB380="合格",AC380="合格",AD380="合格"),"有效","无效"))</f>
        <v/>
      </c>
    </row>
    <row r="381">
      <c r="A381" s="7">
        <f>IF(B381="","",TEXT(B381,"yyyymmdd")&amp;"-"&amp;TEXT(ROW()-1,"000"))</f>
        <v/>
      </c>
      <c r="B381" s="8" t="n"/>
      <c r="C381" s="9" t="n"/>
      <c r="D381" s="9" t="n"/>
      <c r="E381" s="9" t="n"/>
      <c r="F381" s="9" t="n"/>
      <c r="G381" s="9" t="n"/>
      <c r="H381" s="9" t="n"/>
      <c r="I381" s="9" t="n"/>
      <c r="J381" s="10" t="n"/>
      <c r="K381" s="9" t="n"/>
      <c r="L381" s="9" t="n"/>
      <c r="M381" s="9" t="n"/>
      <c r="N381" s="10" t="n"/>
      <c r="O381" s="9" t="n"/>
      <c r="P381" s="10" t="n"/>
      <c r="Q381" s="10" t="n"/>
      <c r="R381" s="9" t="n"/>
      <c r="S381" s="10" t="n"/>
      <c r="T381" s="10" t="n"/>
      <c r="U381" s="11" t="n"/>
      <c r="V381" s="11" t="n"/>
      <c r="W381" s="12">
        <f>IF(B381="","",B381+3)</f>
        <v/>
      </c>
      <c r="X381" s="12">
        <f>IF(B381="","",B381+5)</f>
        <v/>
      </c>
      <c r="Y381" s="12">
        <f>IF(B381="","",B381+10)</f>
        <v/>
      </c>
      <c r="Z381" s="13">
        <f>IF(B381="","",(--(B381&lt;&gt;"")+--(C381&lt;&gt;"")+--(D381&lt;&gt;"")+--(E381&lt;&gt;"")+--(F381&lt;&gt;"")+--(G381&lt;&gt;"")+--(H381&lt;&gt;"")+--(I381&lt;&gt;"")+--(J381&lt;&gt;"")+--(K381&lt;&gt;"")+--(L381&lt;&gt;"")+--(M381&lt;&gt;"")+--(N381&lt;&gt;"")+--(O381&lt;&gt;"")+--(P381&lt;&gt;"")+--(Q381&lt;&gt;"")+--(R381&lt;&gt;"")+--(S381&lt;&gt;"")+--(T381&lt;&gt;""))/19)</f>
        <v/>
      </c>
      <c r="AA381" s="16" t="n"/>
      <c r="AB381" s="16" t="n"/>
      <c r="AC381" s="16" t="n"/>
      <c r="AD381" s="16" t="n"/>
      <c r="AE381" s="7">
        <f>IF(B381="","",IF(AND(AA381="合格",AB381="合格",AC381="合格",AD381="合格"),"有效","无效"))</f>
        <v/>
      </c>
    </row>
    <row r="382">
      <c r="A382" s="7">
        <f>IF(B382="","",TEXT(B382,"yyyymmdd")&amp;"-"&amp;TEXT(ROW()-1,"000"))</f>
        <v/>
      </c>
      <c r="B382" s="8" t="n"/>
      <c r="C382" s="9" t="n"/>
      <c r="D382" s="9" t="n"/>
      <c r="E382" s="9" t="n"/>
      <c r="F382" s="9" t="n"/>
      <c r="G382" s="9" t="n"/>
      <c r="H382" s="9" t="n"/>
      <c r="I382" s="9" t="n"/>
      <c r="J382" s="10" t="n"/>
      <c r="K382" s="9" t="n"/>
      <c r="L382" s="9" t="n"/>
      <c r="M382" s="9" t="n"/>
      <c r="N382" s="10" t="n"/>
      <c r="O382" s="9" t="n"/>
      <c r="P382" s="10" t="n"/>
      <c r="Q382" s="10" t="n"/>
      <c r="R382" s="9" t="n"/>
      <c r="S382" s="10" t="n"/>
      <c r="T382" s="10" t="n"/>
      <c r="U382" s="11" t="n"/>
      <c r="V382" s="11" t="n"/>
      <c r="W382" s="12">
        <f>IF(B382="","",B382+3)</f>
        <v/>
      </c>
      <c r="X382" s="12">
        <f>IF(B382="","",B382+5)</f>
        <v/>
      </c>
      <c r="Y382" s="12">
        <f>IF(B382="","",B382+10)</f>
        <v/>
      </c>
      <c r="Z382" s="13">
        <f>IF(B382="","",(--(B382&lt;&gt;"")+--(C382&lt;&gt;"")+--(D382&lt;&gt;"")+--(E382&lt;&gt;"")+--(F382&lt;&gt;"")+--(G382&lt;&gt;"")+--(H382&lt;&gt;"")+--(I382&lt;&gt;"")+--(J382&lt;&gt;"")+--(K382&lt;&gt;"")+--(L382&lt;&gt;"")+--(M382&lt;&gt;"")+--(N382&lt;&gt;"")+--(O382&lt;&gt;"")+--(P382&lt;&gt;"")+--(Q382&lt;&gt;"")+--(R382&lt;&gt;"")+--(S382&lt;&gt;"")+--(T382&lt;&gt;""))/19)</f>
        <v/>
      </c>
      <c r="AA382" s="16" t="n"/>
      <c r="AB382" s="16" t="n"/>
      <c r="AC382" s="16" t="n"/>
      <c r="AD382" s="16" t="n"/>
      <c r="AE382" s="7">
        <f>IF(B382="","",IF(AND(AA382="合格",AB382="合格",AC382="合格",AD382="合格"),"有效","无效"))</f>
        <v/>
      </c>
    </row>
    <row r="383">
      <c r="A383" s="7">
        <f>IF(B383="","",TEXT(B383,"yyyymmdd")&amp;"-"&amp;TEXT(ROW()-1,"000"))</f>
        <v/>
      </c>
      <c r="B383" s="8" t="n"/>
      <c r="C383" s="9" t="n"/>
      <c r="D383" s="9" t="n"/>
      <c r="E383" s="9" t="n"/>
      <c r="F383" s="9" t="n"/>
      <c r="G383" s="9" t="n"/>
      <c r="H383" s="9" t="n"/>
      <c r="I383" s="9" t="n"/>
      <c r="J383" s="10" t="n"/>
      <c r="K383" s="9" t="n"/>
      <c r="L383" s="9" t="n"/>
      <c r="M383" s="9" t="n"/>
      <c r="N383" s="10" t="n"/>
      <c r="O383" s="9" t="n"/>
      <c r="P383" s="10" t="n"/>
      <c r="Q383" s="10" t="n"/>
      <c r="R383" s="9" t="n"/>
      <c r="S383" s="10" t="n"/>
      <c r="T383" s="10" t="n"/>
      <c r="U383" s="11" t="n"/>
      <c r="V383" s="11" t="n"/>
      <c r="W383" s="12">
        <f>IF(B383="","",B383+3)</f>
        <v/>
      </c>
      <c r="X383" s="12">
        <f>IF(B383="","",B383+5)</f>
        <v/>
      </c>
      <c r="Y383" s="12">
        <f>IF(B383="","",B383+10)</f>
        <v/>
      </c>
      <c r="Z383" s="13">
        <f>IF(B383="","",(--(B383&lt;&gt;"")+--(C383&lt;&gt;"")+--(D383&lt;&gt;"")+--(E383&lt;&gt;"")+--(F383&lt;&gt;"")+--(G383&lt;&gt;"")+--(H383&lt;&gt;"")+--(I383&lt;&gt;"")+--(J383&lt;&gt;"")+--(K383&lt;&gt;"")+--(L383&lt;&gt;"")+--(M383&lt;&gt;"")+--(N383&lt;&gt;"")+--(O383&lt;&gt;"")+--(P383&lt;&gt;"")+--(Q383&lt;&gt;"")+--(R383&lt;&gt;"")+--(S383&lt;&gt;"")+--(T383&lt;&gt;""))/19)</f>
        <v/>
      </c>
      <c r="AA383" s="16" t="n"/>
      <c r="AB383" s="16" t="n"/>
      <c r="AC383" s="16" t="n"/>
      <c r="AD383" s="16" t="n"/>
      <c r="AE383" s="7">
        <f>IF(B383="","",IF(AND(AA383="合格",AB383="合格",AC383="合格",AD383="合格"),"有效","无效"))</f>
        <v/>
      </c>
    </row>
    <row r="384">
      <c r="A384" s="7">
        <f>IF(B384="","",TEXT(B384,"yyyymmdd")&amp;"-"&amp;TEXT(ROW()-1,"000"))</f>
        <v/>
      </c>
      <c r="B384" s="8" t="n"/>
      <c r="C384" s="9" t="n"/>
      <c r="D384" s="9" t="n"/>
      <c r="E384" s="9" t="n"/>
      <c r="F384" s="9" t="n"/>
      <c r="G384" s="9" t="n"/>
      <c r="H384" s="9" t="n"/>
      <c r="I384" s="9" t="n"/>
      <c r="J384" s="10" t="n"/>
      <c r="K384" s="9" t="n"/>
      <c r="L384" s="9" t="n"/>
      <c r="M384" s="9" t="n"/>
      <c r="N384" s="10" t="n"/>
      <c r="O384" s="9" t="n"/>
      <c r="P384" s="10" t="n"/>
      <c r="Q384" s="10" t="n"/>
      <c r="R384" s="9" t="n"/>
      <c r="S384" s="10" t="n"/>
      <c r="T384" s="10" t="n"/>
      <c r="U384" s="11" t="n"/>
      <c r="V384" s="11" t="n"/>
      <c r="W384" s="12">
        <f>IF(B384="","",B384+3)</f>
        <v/>
      </c>
      <c r="X384" s="12">
        <f>IF(B384="","",B384+5)</f>
        <v/>
      </c>
      <c r="Y384" s="12">
        <f>IF(B384="","",B384+10)</f>
        <v/>
      </c>
      <c r="Z384" s="13">
        <f>IF(B384="","",(--(B384&lt;&gt;"")+--(C384&lt;&gt;"")+--(D384&lt;&gt;"")+--(E384&lt;&gt;"")+--(F384&lt;&gt;"")+--(G384&lt;&gt;"")+--(H384&lt;&gt;"")+--(I384&lt;&gt;"")+--(J384&lt;&gt;"")+--(K384&lt;&gt;"")+--(L384&lt;&gt;"")+--(M384&lt;&gt;"")+--(N384&lt;&gt;"")+--(O384&lt;&gt;"")+--(P384&lt;&gt;"")+--(Q384&lt;&gt;"")+--(R384&lt;&gt;"")+--(S384&lt;&gt;"")+--(T384&lt;&gt;""))/19)</f>
        <v/>
      </c>
      <c r="AA384" s="16" t="n"/>
      <c r="AB384" s="16" t="n"/>
      <c r="AC384" s="16" t="n"/>
      <c r="AD384" s="16" t="n"/>
      <c r="AE384" s="7">
        <f>IF(B384="","",IF(AND(AA384="合格",AB384="合格",AC384="合格",AD384="合格"),"有效","无效"))</f>
        <v/>
      </c>
    </row>
    <row r="385">
      <c r="A385" s="7">
        <f>IF(B385="","",TEXT(B385,"yyyymmdd")&amp;"-"&amp;TEXT(ROW()-1,"000"))</f>
        <v/>
      </c>
      <c r="B385" s="8" t="n"/>
      <c r="C385" s="9" t="n"/>
      <c r="D385" s="9" t="n"/>
      <c r="E385" s="9" t="n"/>
      <c r="F385" s="9" t="n"/>
      <c r="G385" s="9" t="n"/>
      <c r="H385" s="9" t="n"/>
      <c r="I385" s="9" t="n"/>
      <c r="J385" s="10" t="n"/>
      <c r="K385" s="9" t="n"/>
      <c r="L385" s="9" t="n"/>
      <c r="M385" s="9" t="n"/>
      <c r="N385" s="10" t="n"/>
      <c r="O385" s="9" t="n"/>
      <c r="P385" s="10" t="n"/>
      <c r="Q385" s="10" t="n"/>
      <c r="R385" s="9" t="n"/>
      <c r="S385" s="10" t="n"/>
      <c r="T385" s="10" t="n"/>
      <c r="U385" s="11" t="n"/>
      <c r="V385" s="11" t="n"/>
      <c r="W385" s="12">
        <f>IF(B385="","",B385+3)</f>
        <v/>
      </c>
      <c r="X385" s="12">
        <f>IF(B385="","",B385+5)</f>
        <v/>
      </c>
      <c r="Y385" s="12">
        <f>IF(B385="","",B385+10)</f>
        <v/>
      </c>
      <c r="Z385" s="13">
        <f>IF(B385="","",(--(B385&lt;&gt;"")+--(C385&lt;&gt;"")+--(D385&lt;&gt;"")+--(E385&lt;&gt;"")+--(F385&lt;&gt;"")+--(G385&lt;&gt;"")+--(H385&lt;&gt;"")+--(I385&lt;&gt;"")+--(J385&lt;&gt;"")+--(K385&lt;&gt;"")+--(L385&lt;&gt;"")+--(M385&lt;&gt;"")+--(N385&lt;&gt;"")+--(O385&lt;&gt;"")+--(P385&lt;&gt;"")+--(Q385&lt;&gt;"")+--(R385&lt;&gt;"")+--(S385&lt;&gt;"")+--(T385&lt;&gt;""))/19)</f>
        <v/>
      </c>
      <c r="AA385" s="16" t="n"/>
      <c r="AB385" s="16" t="n"/>
      <c r="AC385" s="16" t="n"/>
      <c r="AD385" s="16" t="n"/>
      <c r="AE385" s="7">
        <f>IF(B385="","",IF(AND(AA385="合格",AB385="合格",AC385="合格",AD385="合格"),"有效","无效"))</f>
        <v/>
      </c>
    </row>
    <row r="386">
      <c r="A386" s="7">
        <f>IF(B386="","",TEXT(B386,"yyyymmdd")&amp;"-"&amp;TEXT(ROW()-1,"000"))</f>
        <v/>
      </c>
      <c r="B386" s="8" t="n"/>
      <c r="C386" s="9" t="n"/>
      <c r="D386" s="9" t="n"/>
      <c r="E386" s="9" t="n"/>
      <c r="F386" s="9" t="n"/>
      <c r="G386" s="9" t="n"/>
      <c r="H386" s="9" t="n"/>
      <c r="I386" s="9" t="n"/>
      <c r="J386" s="10" t="n"/>
      <c r="K386" s="9" t="n"/>
      <c r="L386" s="9" t="n"/>
      <c r="M386" s="9" t="n"/>
      <c r="N386" s="10" t="n"/>
      <c r="O386" s="9" t="n"/>
      <c r="P386" s="10" t="n"/>
      <c r="Q386" s="10" t="n"/>
      <c r="R386" s="9" t="n"/>
      <c r="S386" s="10" t="n"/>
      <c r="T386" s="10" t="n"/>
      <c r="U386" s="11" t="n"/>
      <c r="V386" s="11" t="n"/>
      <c r="W386" s="12">
        <f>IF(B386="","",B386+3)</f>
        <v/>
      </c>
      <c r="X386" s="12">
        <f>IF(B386="","",B386+5)</f>
        <v/>
      </c>
      <c r="Y386" s="12">
        <f>IF(B386="","",B386+10)</f>
        <v/>
      </c>
      <c r="Z386" s="13">
        <f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6" t="n"/>
      <c r="AB386" s="16" t="n"/>
      <c r="AC386" s="16" t="n"/>
      <c r="AD386" s="16" t="n"/>
      <c r="AE386" s="7">
        <f>IF(B386="","",IF(AND(AA386="合格",AB386="合格",AC386="合格",AD386="合格"),"有效","无效"))</f>
        <v/>
      </c>
    </row>
    <row r="387">
      <c r="A387" s="7">
        <f>IF(B387="","",TEXT(B387,"yyyymmdd")&amp;"-"&amp;TEXT(ROW()-1,"000"))</f>
        <v/>
      </c>
      <c r="B387" s="8" t="n"/>
      <c r="C387" s="9" t="n"/>
      <c r="D387" s="9" t="n"/>
      <c r="E387" s="9" t="n"/>
      <c r="F387" s="9" t="n"/>
      <c r="G387" s="9" t="n"/>
      <c r="H387" s="9" t="n"/>
      <c r="I387" s="9" t="n"/>
      <c r="J387" s="10" t="n"/>
      <c r="K387" s="9" t="n"/>
      <c r="L387" s="9" t="n"/>
      <c r="M387" s="9" t="n"/>
      <c r="N387" s="10" t="n"/>
      <c r="O387" s="9" t="n"/>
      <c r="P387" s="10" t="n"/>
      <c r="Q387" s="10" t="n"/>
      <c r="R387" s="9" t="n"/>
      <c r="S387" s="10" t="n"/>
      <c r="T387" s="10" t="n"/>
      <c r="U387" s="11" t="n"/>
      <c r="V387" s="11" t="n"/>
      <c r="W387" s="12">
        <f>IF(B387="","",B387+3)</f>
        <v/>
      </c>
      <c r="X387" s="12">
        <f>IF(B387="","",B387+5)</f>
        <v/>
      </c>
      <c r="Y387" s="12">
        <f>IF(B387="","",B387+10)</f>
        <v/>
      </c>
      <c r="Z387" s="13">
        <f>IF(B387="","",(--(B387&lt;&gt;"")+--(C387&lt;&gt;"")+--(D387&lt;&gt;"")+--(E387&lt;&gt;"")+--(F387&lt;&gt;"")+--(G387&lt;&gt;"")+--(H387&lt;&gt;"")+--(I387&lt;&gt;"")+--(J387&lt;&gt;"")+--(K387&lt;&gt;"")+--(L387&lt;&gt;"")+--(M387&lt;&gt;"")+--(N387&lt;&gt;"")+--(O387&lt;&gt;"")+--(P387&lt;&gt;"")+--(Q387&lt;&gt;"")+--(R387&lt;&gt;"")+--(S387&lt;&gt;"")+--(T387&lt;&gt;""))/19)</f>
        <v/>
      </c>
      <c r="AA387" s="16" t="n"/>
      <c r="AB387" s="16" t="n"/>
      <c r="AC387" s="16" t="n"/>
      <c r="AD387" s="16" t="n"/>
      <c r="AE387" s="7">
        <f>IF(B387="","",IF(AND(AA387="合格",AB387="合格",AC387="合格",AD387="合格"),"有效","无效"))</f>
        <v/>
      </c>
    </row>
    <row r="388">
      <c r="A388" s="7">
        <f>IF(B388="","",TEXT(B388,"yyyymmdd")&amp;"-"&amp;TEXT(ROW()-1,"000"))</f>
        <v/>
      </c>
      <c r="B388" s="8" t="n"/>
      <c r="C388" s="9" t="n"/>
      <c r="D388" s="9" t="n"/>
      <c r="E388" s="9" t="n"/>
      <c r="F388" s="9" t="n"/>
      <c r="G388" s="9" t="n"/>
      <c r="H388" s="9" t="n"/>
      <c r="I388" s="9" t="n"/>
      <c r="J388" s="10" t="n"/>
      <c r="K388" s="9" t="n"/>
      <c r="L388" s="9" t="n"/>
      <c r="M388" s="9" t="n"/>
      <c r="N388" s="10" t="n"/>
      <c r="O388" s="9" t="n"/>
      <c r="P388" s="10" t="n"/>
      <c r="Q388" s="10" t="n"/>
      <c r="R388" s="9" t="n"/>
      <c r="S388" s="10" t="n"/>
      <c r="T388" s="10" t="n"/>
      <c r="U388" s="11" t="n"/>
      <c r="V388" s="11" t="n"/>
      <c r="W388" s="12">
        <f>IF(B388="","",B388+3)</f>
        <v/>
      </c>
      <c r="X388" s="12">
        <f>IF(B388="","",B388+5)</f>
        <v/>
      </c>
      <c r="Y388" s="12">
        <f>IF(B388="","",B388+10)</f>
        <v/>
      </c>
      <c r="Z388" s="13">
        <f>IF(B388="","",(--(B388&lt;&gt;"")+--(C388&lt;&gt;"")+--(D388&lt;&gt;"")+--(E388&lt;&gt;"")+--(F388&lt;&gt;"")+--(G388&lt;&gt;"")+--(H388&lt;&gt;"")+--(I388&lt;&gt;"")+--(J388&lt;&gt;"")+--(K388&lt;&gt;"")+--(L388&lt;&gt;"")+--(M388&lt;&gt;"")+--(N388&lt;&gt;"")+--(O388&lt;&gt;"")+--(P388&lt;&gt;"")+--(Q388&lt;&gt;"")+--(R388&lt;&gt;"")+--(S388&lt;&gt;"")+--(T388&lt;&gt;""))/19)</f>
        <v/>
      </c>
      <c r="AA388" s="16" t="n"/>
      <c r="AB388" s="16" t="n"/>
      <c r="AC388" s="16" t="n"/>
      <c r="AD388" s="16" t="n"/>
      <c r="AE388" s="7">
        <f>IF(B388="","",IF(AND(AA388="合格",AB388="合格",AC388="合格",AD388="合格"),"有效","无效"))</f>
        <v/>
      </c>
    </row>
    <row r="389">
      <c r="A389" s="7">
        <f>IF(B389="","",TEXT(B389,"yyyymmdd")&amp;"-"&amp;TEXT(ROW()-1,"000"))</f>
        <v/>
      </c>
      <c r="B389" s="8" t="n"/>
      <c r="C389" s="9" t="n"/>
      <c r="D389" s="9" t="n"/>
      <c r="E389" s="9" t="n"/>
      <c r="F389" s="9" t="n"/>
      <c r="G389" s="9" t="n"/>
      <c r="H389" s="9" t="n"/>
      <c r="I389" s="9" t="n"/>
      <c r="J389" s="10" t="n"/>
      <c r="K389" s="9" t="n"/>
      <c r="L389" s="9" t="n"/>
      <c r="M389" s="9" t="n"/>
      <c r="N389" s="10" t="n"/>
      <c r="O389" s="9" t="n"/>
      <c r="P389" s="10" t="n"/>
      <c r="Q389" s="10" t="n"/>
      <c r="R389" s="9" t="n"/>
      <c r="S389" s="10" t="n"/>
      <c r="T389" s="10" t="n"/>
      <c r="U389" s="11" t="n"/>
      <c r="V389" s="11" t="n"/>
      <c r="W389" s="12">
        <f>IF(B389="","",B389+3)</f>
        <v/>
      </c>
      <c r="X389" s="12">
        <f>IF(B389="","",B389+5)</f>
        <v/>
      </c>
      <c r="Y389" s="12">
        <f>IF(B389="","",B389+10)</f>
        <v/>
      </c>
      <c r="Z389" s="13">
        <f>IF(B389="","",(--(B389&lt;&gt;"")+--(C389&lt;&gt;"")+--(D389&lt;&gt;"")+--(E389&lt;&gt;"")+--(F389&lt;&gt;"")+--(G389&lt;&gt;"")+--(H389&lt;&gt;"")+--(I389&lt;&gt;"")+--(J389&lt;&gt;"")+--(K389&lt;&gt;"")+--(L389&lt;&gt;"")+--(M389&lt;&gt;"")+--(N389&lt;&gt;"")+--(O389&lt;&gt;"")+--(P389&lt;&gt;"")+--(Q389&lt;&gt;"")+--(R389&lt;&gt;"")+--(S389&lt;&gt;"")+--(T389&lt;&gt;""))/19)</f>
        <v/>
      </c>
      <c r="AA389" s="16" t="n"/>
      <c r="AB389" s="16" t="n"/>
      <c r="AC389" s="16" t="n"/>
      <c r="AD389" s="16" t="n"/>
      <c r="AE389" s="7">
        <f>IF(B389="","",IF(AND(AA389="合格",AB389="合格",AC389="合格",AD389="合格"),"有效","无效"))</f>
        <v/>
      </c>
    </row>
    <row r="390">
      <c r="A390" s="7">
        <f>IF(B390="","",TEXT(B390,"yyyymmdd")&amp;"-"&amp;TEXT(ROW()-1,"000"))</f>
        <v/>
      </c>
      <c r="B390" s="8" t="n"/>
      <c r="C390" s="9" t="n"/>
      <c r="D390" s="9" t="n"/>
      <c r="E390" s="9" t="n"/>
      <c r="F390" s="9" t="n"/>
      <c r="G390" s="9" t="n"/>
      <c r="H390" s="9" t="n"/>
      <c r="I390" s="9" t="n"/>
      <c r="J390" s="10" t="n"/>
      <c r="K390" s="9" t="n"/>
      <c r="L390" s="9" t="n"/>
      <c r="M390" s="9" t="n"/>
      <c r="N390" s="10" t="n"/>
      <c r="O390" s="9" t="n"/>
      <c r="P390" s="10" t="n"/>
      <c r="Q390" s="10" t="n"/>
      <c r="R390" s="9" t="n"/>
      <c r="S390" s="10" t="n"/>
      <c r="T390" s="10" t="n"/>
      <c r="U390" s="11" t="n"/>
      <c r="V390" s="11" t="n"/>
      <c r="W390" s="12">
        <f>IF(B390="","",B390+3)</f>
        <v/>
      </c>
      <c r="X390" s="12">
        <f>IF(B390="","",B390+5)</f>
        <v/>
      </c>
      <c r="Y390" s="12">
        <f>IF(B390="","",B390+10)</f>
        <v/>
      </c>
      <c r="Z390" s="13">
        <f>IF(B390="","",(--(B390&lt;&gt;"")+--(C390&lt;&gt;"")+--(D390&lt;&gt;"")+--(E390&lt;&gt;"")+--(F390&lt;&gt;"")+--(G390&lt;&gt;"")+--(H390&lt;&gt;"")+--(I390&lt;&gt;"")+--(J390&lt;&gt;"")+--(K390&lt;&gt;"")+--(L390&lt;&gt;"")+--(M390&lt;&gt;"")+--(N390&lt;&gt;"")+--(O390&lt;&gt;"")+--(P390&lt;&gt;"")+--(Q390&lt;&gt;"")+--(R390&lt;&gt;"")+--(S390&lt;&gt;"")+--(T390&lt;&gt;""))/19)</f>
        <v/>
      </c>
      <c r="AA390" s="16" t="n"/>
      <c r="AB390" s="16" t="n"/>
      <c r="AC390" s="16" t="n"/>
      <c r="AD390" s="16" t="n"/>
      <c r="AE390" s="7">
        <f>IF(B390="","",IF(AND(AA390="合格",AB390="合格",AC390="合格",AD390="合格"),"有效","无效"))</f>
        <v/>
      </c>
    </row>
    <row r="391">
      <c r="A391" s="7">
        <f>IF(B391="","",TEXT(B391,"yyyymmdd")&amp;"-"&amp;TEXT(ROW()-1,"000"))</f>
        <v/>
      </c>
      <c r="B391" s="8" t="n"/>
      <c r="C391" s="9" t="n"/>
      <c r="D391" s="9" t="n"/>
      <c r="E391" s="9" t="n"/>
      <c r="F391" s="9" t="n"/>
      <c r="G391" s="9" t="n"/>
      <c r="H391" s="9" t="n"/>
      <c r="I391" s="9" t="n"/>
      <c r="J391" s="10" t="n"/>
      <c r="K391" s="9" t="n"/>
      <c r="L391" s="9" t="n"/>
      <c r="M391" s="9" t="n"/>
      <c r="N391" s="10" t="n"/>
      <c r="O391" s="9" t="n"/>
      <c r="P391" s="10" t="n"/>
      <c r="Q391" s="10" t="n"/>
      <c r="R391" s="9" t="n"/>
      <c r="S391" s="10" t="n"/>
      <c r="T391" s="10" t="n"/>
      <c r="U391" s="11" t="n"/>
      <c r="V391" s="11" t="n"/>
      <c r="W391" s="12">
        <f>IF(B391="","",B391+3)</f>
        <v/>
      </c>
      <c r="X391" s="12">
        <f>IF(B391="","",B391+5)</f>
        <v/>
      </c>
      <c r="Y391" s="12">
        <f>IF(B391="","",B391+10)</f>
        <v/>
      </c>
      <c r="Z391" s="13">
        <f>IF(B391="","",(--(B391&lt;&gt;"")+--(C391&lt;&gt;"")+--(D391&lt;&gt;"")+--(E391&lt;&gt;"")+--(F391&lt;&gt;"")+--(G391&lt;&gt;"")+--(H391&lt;&gt;"")+--(I391&lt;&gt;"")+--(J391&lt;&gt;"")+--(K391&lt;&gt;"")+--(L391&lt;&gt;"")+--(M391&lt;&gt;"")+--(N391&lt;&gt;"")+--(O391&lt;&gt;"")+--(P391&lt;&gt;"")+--(Q391&lt;&gt;"")+--(R391&lt;&gt;"")+--(S391&lt;&gt;"")+--(T391&lt;&gt;""))/19)</f>
        <v/>
      </c>
      <c r="AA391" s="16" t="n"/>
      <c r="AB391" s="16" t="n"/>
      <c r="AC391" s="16" t="n"/>
      <c r="AD391" s="16" t="n"/>
      <c r="AE391" s="7">
        <f>IF(B391="","",IF(AND(AA391="合格",AB391="合格",AC391="合格",AD391="合格"),"有效","无效"))</f>
        <v/>
      </c>
    </row>
    <row r="392">
      <c r="A392" s="7">
        <f>IF(B392="","",TEXT(B392,"yyyymmdd")&amp;"-"&amp;TEXT(ROW()-1,"000"))</f>
        <v/>
      </c>
      <c r="B392" s="8" t="n"/>
      <c r="C392" s="9" t="n"/>
      <c r="D392" s="9" t="n"/>
      <c r="E392" s="9" t="n"/>
      <c r="F392" s="9" t="n"/>
      <c r="G392" s="9" t="n"/>
      <c r="H392" s="9" t="n"/>
      <c r="I392" s="9" t="n"/>
      <c r="J392" s="10" t="n"/>
      <c r="K392" s="9" t="n"/>
      <c r="L392" s="9" t="n"/>
      <c r="M392" s="9" t="n"/>
      <c r="N392" s="10" t="n"/>
      <c r="O392" s="9" t="n"/>
      <c r="P392" s="10" t="n"/>
      <c r="Q392" s="10" t="n"/>
      <c r="R392" s="9" t="n"/>
      <c r="S392" s="10" t="n"/>
      <c r="T392" s="10" t="n"/>
      <c r="U392" s="11" t="n"/>
      <c r="V392" s="11" t="n"/>
      <c r="W392" s="12">
        <f>IF(B392="","",B392+3)</f>
        <v/>
      </c>
      <c r="X392" s="12">
        <f>IF(B392="","",B392+5)</f>
        <v/>
      </c>
      <c r="Y392" s="12">
        <f>IF(B392="","",B392+10)</f>
        <v/>
      </c>
      <c r="Z392" s="13">
        <f>IF(B392="","",(--(B392&lt;&gt;"")+--(C392&lt;&gt;"")+--(D392&lt;&gt;"")+--(E392&lt;&gt;"")+--(F392&lt;&gt;"")+--(G392&lt;&gt;"")+--(H392&lt;&gt;"")+--(I392&lt;&gt;"")+--(J392&lt;&gt;"")+--(K392&lt;&gt;"")+--(L392&lt;&gt;"")+--(M392&lt;&gt;"")+--(N392&lt;&gt;"")+--(O392&lt;&gt;"")+--(P392&lt;&gt;"")+--(Q392&lt;&gt;"")+--(R392&lt;&gt;"")+--(S392&lt;&gt;"")+--(T392&lt;&gt;""))/19)</f>
        <v/>
      </c>
      <c r="AA392" s="16" t="n"/>
      <c r="AB392" s="16" t="n"/>
      <c r="AC392" s="16" t="n"/>
      <c r="AD392" s="16" t="n"/>
      <c r="AE392" s="7">
        <f>IF(B392="","",IF(AND(AA392="合格",AB392="合格",AC392="合格",AD392="合格"),"有效","无效"))</f>
        <v/>
      </c>
    </row>
    <row r="393">
      <c r="A393" s="7">
        <f>IF(B393="","",TEXT(B393,"yyyymmdd")&amp;"-"&amp;TEXT(ROW()-1,"000"))</f>
        <v/>
      </c>
      <c r="B393" s="8" t="n"/>
      <c r="C393" s="9" t="n"/>
      <c r="D393" s="9" t="n"/>
      <c r="E393" s="9" t="n"/>
      <c r="F393" s="9" t="n"/>
      <c r="G393" s="9" t="n"/>
      <c r="H393" s="9" t="n"/>
      <c r="I393" s="9" t="n"/>
      <c r="J393" s="10" t="n"/>
      <c r="K393" s="9" t="n"/>
      <c r="L393" s="9" t="n"/>
      <c r="M393" s="9" t="n"/>
      <c r="N393" s="10" t="n"/>
      <c r="O393" s="9" t="n"/>
      <c r="P393" s="10" t="n"/>
      <c r="Q393" s="10" t="n"/>
      <c r="R393" s="9" t="n"/>
      <c r="S393" s="10" t="n"/>
      <c r="T393" s="10" t="n"/>
      <c r="U393" s="11" t="n"/>
      <c r="V393" s="11" t="n"/>
      <c r="W393" s="12">
        <f>IF(B393="","",B393+3)</f>
        <v/>
      </c>
      <c r="X393" s="12">
        <f>IF(B393="","",B393+5)</f>
        <v/>
      </c>
      <c r="Y393" s="12">
        <f>IF(B393="","",B393+10)</f>
        <v/>
      </c>
      <c r="Z393" s="13">
        <f>IF(B393="","",(--(B393&lt;&gt;"")+--(C393&lt;&gt;"")+--(D393&lt;&gt;"")+--(E393&lt;&gt;"")+--(F393&lt;&gt;"")+--(G393&lt;&gt;"")+--(H393&lt;&gt;"")+--(I393&lt;&gt;"")+--(J393&lt;&gt;"")+--(K393&lt;&gt;"")+--(L393&lt;&gt;"")+--(M393&lt;&gt;"")+--(N393&lt;&gt;"")+--(O393&lt;&gt;"")+--(P393&lt;&gt;"")+--(Q393&lt;&gt;"")+--(R393&lt;&gt;"")+--(S393&lt;&gt;"")+--(T393&lt;&gt;""))/19)</f>
        <v/>
      </c>
      <c r="AA393" s="16" t="n"/>
      <c r="AB393" s="16" t="n"/>
      <c r="AC393" s="16" t="n"/>
      <c r="AD393" s="16" t="n"/>
      <c r="AE393" s="7">
        <f>IF(B393="","",IF(AND(AA393="合格",AB393="合格",AC393="合格",AD393="合格"),"有效","无效"))</f>
        <v/>
      </c>
    </row>
    <row r="394">
      <c r="A394" s="7">
        <f>IF(B394="","",TEXT(B394,"yyyymmdd")&amp;"-"&amp;TEXT(ROW()-1,"000"))</f>
        <v/>
      </c>
      <c r="B394" s="8" t="n"/>
      <c r="C394" s="9" t="n"/>
      <c r="D394" s="9" t="n"/>
      <c r="E394" s="9" t="n"/>
      <c r="F394" s="9" t="n"/>
      <c r="G394" s="9" t="n"/>
      <c r="H394" s="9" t="n"/>
      <c r="I394" s="9" t="n"/>
      <c r="J394" s="10" t="n"/>
      <c r="K394" s="9" t="n"/>
      <c r="L394" s="9" t="n"/>
      <c r="M394" s="9" t="n"/>
      <c r="N394" s="10" t="n"/>
      <c r="O394" s="9" t="n"/>
      <c r="P394" s="10" t="n"/>
      <c r="Q394" s="10" t="n"/>
      <c r="R394" s="9" t="n"/>
      <c r="S394" s="10" t="n"/>
      <c r="T394" s="10" t="n"/>
      <c r="U394" s="11" t="n"/>
      <c r="V394" s="11" t="n"/>
      <c r="W394" s="12">
        <f>IF(B394="","",B394+3)</f>
        <v/>
      </c>
      <c r="X394" s="12">
        <f>IF(B394="","",B394+5)</f>
        <v/>
      </c>
      <c r="Y394" s="12">
        <f>IF(B394="","",B394+10)</f>
        <v/>
      </c>
      <c r="Z394" s="13">
        <f>IF(B394="","",(--(B394&lt;&gt;"")+--(C394&lt;&gt;"")+--(D394&lt;&gt;"")+--(E394&lt;&gt;"")+--(F394&lt;&gt;"")+--(G394&lt;&gt;"")+--(H394&lt;&gt;"")+--(I394&lt;&gt;"")+--(J394&lt;&gt;"")+--(K394&lt;&gt;"")+--(L394&lt;&gt;"")+--(M394&lt;&gt;"")+--(N394&lt;&gt;"")+--(O394&lt;&gt;"")+--(P394&lt;&gt;"")+--(Q394&lt;&gt;"")+--(R394&lt;&gt;"")+--(S394&lt;&gt;"")+--(T394&lt;&gt;""))/19)</f>
        <v/>
      </c>
      <c r="AA394" s="16" t="n"/>
      <c r="AB394" s="16" t="n"/>
      <c r="AC394" s="16" t="n"/>
      <c r="AD394" s="16" t="n"/>
      <c r="AE394" s="7">
        <f>IF(B394="","",IF(AND(AA394="合格",AB394="合格",AC394="合格",AD394="合格"),"有效","无效"))</f>
        <v/>
      </c>
    </row>
    <row r="395">
      <c r="A395" s="7">
        <f>IF(B395="","",TEXT(B395,"yyyymmdd")&amp;"-"&amp;TEXT(ROW()-1,"000"))</f>
        <v/>
      </c>
      <c r="B395" s="8" t="n"/>
      <c r="C395" s="9" t="n"/>
      <c r="D395" s="9" t="n"/>
      <c r="E395" s="9" t="n"/>
      <c r="F395" s="9" t="n"/>
      <c r="G395" s="9" t="n"/>
      <c r="H395" s="9" t="n"/>
      <c r="I395" s="9" t="n"/>
      <c r="J395" s="10" t="n"/>
      <c r="K395" s="9" t="n"/>
      <c r="L395" s="9" t="n"/>
      <c r="M395" s="9" t="n"/>
      <c r="N395" s="10" t="n"/>
      <c r="O395" s="9" t="n"/>
      <c r="P395" s="10" t="n"/>
      <c r="Q395" s="10" t="n"/>
      <c r="R395" s="9" t="n"/>
      <c r="S395" s="10" t="n"/>
      <c r="T395" s="10" t="n"/>
      <c r="U395" s="11" t="n"/>
      <c r="V395" s="11" t="n"/>
      <c r="W395" s="12">
        <f>IF(B395="","",B395+3)</f>
        <v/>
      </c>
      <c r="X395" s="12">
        <f>IF(B395="","",B395+5)</f>
        <v/>
      </c>
      <c r="Y395" s="12">
        <f>IF(B395="","",B395+10)</f>
        <v/>
      </c>
      <c r="Z395" s="13">
        <f>IF(B395="","",(--(B395&lt;&gt;"")+--(C395&lt;&gt;"")+--(D395&lt;&gt;"")+--(E395&lt;&gt;"")+--(F395&lt;&gt;"")+--(G395&lt;&gt;"")+--(H395&lt;&gt;"")+--(I395&lt;&gt;"")+--(J395&lt;&gt;"")+--(K395&lt;&gt;"")+--(L395&lt;&gt;"")+--(M395&lt;&gt;"")+--(N395&lt;&gt;"")+--(O395&lt;&gt;"")+--(P395&lt;&gt;"")+--(Q395&lt;&gt;"")+--(R395&lt;&gt;"")+--(S395&lt;&gt;"")+--(T395&lt;&gt;""))/19)</f>
        <v/>
      </c>
      <c r="AA395" s="16" t="n"/>
      <c r="AB395" s="16" t="n"/>
      <c r="AC395" s="16" t="n"/>
      <c r="AD395" s="16" t="n"/>
      <c r="AE395" s="7">
        <f>IF(B395="","",IF(AND(AA395="合格",AB395="合格",AC395="合格",AD395="合格"),"有效","无效"))</f>
        <v/>
      </c>
    </row>
    <row r="396">
      <c r="A396" s="7">
        <f>IF(B396="","",TEXT(B396,"yyyymmdd")&amp;"-"&amp;TEXT(ROW()-1,"000"))</f>
        <v/>
      </c>
      <c r="B396" s="8" t="n"/>
      <c r="C396" s="9" t="n"/>
      <c r="D396" s="9" t="n"/>
      <c r="E396" s="9" t="n"/>
      <c r="F396" s="9" t="n"/>
      <c r="G396" s="9" t="n"/>
      <c r="H396" s="9" t="n"/>
      <c r="I396" s="9" t="n"/>
      <c r="J396" s="10" t="n"/>
      <c r="K396" s="9" t="n"/>
      <c r="L396" s="9" t="n"/>
      <c r="M396" s="9" t="n"/>
      <c r="N396" s="10" t="n"/>
      <c r="O396" s="9" t="n"/>
      <c r="P396" s="10" t="n"/>
      <c r="Q396" s="10" t="n"/>
      <c r="R396" s="9" t="n"/>
      <c r="S396" s="10" t="n"/>
      <c r="T396" s="10" t="n"/>
      <c r="U396" s="11" t="n"/>
      <c r="V396" s="11" t="n"/>
      <c r="W396" s="12">
        <f>IF(B396="","",B396+3)</f>
        <v/>
      </c>
      <c r="X396" s="12">
        <f>IF(B396="","",B396+5)</f>
        <v/>
      </c>
      <c r="Y396" s="12">
        <f>IF(B396="","",B396+10)</f>
        <v/>
      </c>
      <c r="Z396" s="13">
        <f>IF(B396="","",(--(B396&lt;&gt;"")+--(C396&lt;&gt;"")+--(D396&lt;&gt;"")+--(E396&lt;&gt;"")+--(F396&lt;&gt;"")+--(G396&lt;&gt;"")+--(H396&lt;&gt;"")+--(I396&lt;&gt;"")+--(J396&lt;&gt;"")+--(K396&lt;&gt;"")+--(L396&lt;&gt;"")+--(M396&lt;&gt;"")+--(N396&lt;&gt;"")+--(O396&lt;&gt;"")+--(P396&lt;&gt;"")+--(Q396&lt;&gt;"")+--(R396&lt;&gt;"")+--(S396&lt;&gt;"")+--(T396&lt;&gt;""))/19)</f>
        <v/>
      </c>
      <c r="AA396" s="16" t="n"/>
      <c r="AB396" s="16" t="n"/>
      <c r="AC396" s="16" t="n"/>
      <c r="AD396" s="16" t="n"/>
      <c r="AE396" s="7">
        <f>IF(B396="","",IF(AND(AA396="合格",AB396="合格",AC396="合格",AD396="合格"),"有效","无效"))</f>
        <v/>
      </c>
    </row>
    <row r="397">
      <c r="A397" s="7">
        <f>IF(B397="","",TEXT(B397,"yyyymmdd")&amp;"-"&amp;TEXT(ROW()-1,"000"))</f>
        <v/>
      </c>
      <c r="B397" s="8" t="n"/>
      <c r="C397" s="9" t="n"/>
      <c r="D397" s="9" t="n"/>
      <c r="E397" s="9" t="n"/>
      <c r="F397" s="9" t="n"/>
      <c r="G397" s="9" t="n"/>
      <c r="H397" s="9" t="n"/>
      <c r="I397" s="9" t="n"/>
      <c r="J397" s="10" t="n"/>
      <c r="K397" s="9" t="n"/>
      <c r="L397" s="9" t="n"/>
      <c r="M397" s="9" t="n"/>
      <c r="N397" s="10" t="n"/>
      <c r="O397" s="9" t="n"/>
      <c r="P397" s="10" t="n"/>
      <c r="Q397" s="10" t="n"/>
      <c r="R397" s="9" t="n"/>
      <c r="S397" s="10" t="n"/>
      <c r="T397" s="10" t="n"/>
      <c r="U397" s="11" t="n"/>
      <c r="V397" s="11" t="n"/>
      <c r="W397" s="12">
        <f>IF(B397="","",B397+3)</f>
        <v/>
      </c>
      <c r="X397" s="12">
        <f>IF(B397="","",B397+5)</f>
        <v/>
      </c>
      <c r="Y397" s="12">
        <f>IF(B397="","",B397+10)</f>
        <v/>
      </c>
      <c r="Z397" s="13">
        <f>IF(B397="","",(--(B397&lt;&gt;"")+--(C397&lt;&gt;"")+--(D397&lt;&gt;"")+--(E397&lt;&gt;"")+--(F397&lt;&gt;"")+--(G397&lt;&gt;"")+--(H397&lt;&gt;"")+--(I397&lt;&gt;"")+--(J397&lt;&gt;"")+--(K397&lt;&gt;"")+--(L397&lt;&gt;"")+--(M397&lt;&gt;"")+--(N397&lt;&gt;"")+--(O397&lt;&gt;"")+--(P397&lt;&gt;"")+--(Q397&lt;&gt;"")+--(R397&lt;&gt;"")+--(S397&lt;&gt;"")+--(T397&lt;&gt;""))/19)</f>
        <v/>
      </c>
      <c r="AA397" s="16" t="n"/>
      <c r="AB397" s="16" t="n"/>
      <c r="AC397" s="16" t="n"/>
      <c r="AD397" s="16" t="n"/>
      <c r="AE397" s="7">
        <f>IF(B397="","",IF(AND(AA397="合格",AB397="合格",AC397="合格",AD397="合格"),"有效","无效"))</f>
        <v/>
      </c>
    </row>
    <row r="398">
      <c r="A398" s="7">
        <f>IF(B398="","",TEXT(B398,"yyyymmdd")&amp;"-"&amp;TEXT(ROW()-1,"000"))</f>
        <v/>
      </c>
      <c r="B398" s="8" t="n"/>
      <c r="C398" s="9" t="n"/>
      <c r="D398" s="9" t="n"/>
      <c r="E398" s="9" t="n"/>
      <c r="F398" s="9" t="n"/>
      <c r="G398" s="9" t="n"/>
      <c r="H398" s="9" t="n"/>
      <c r="I398" s="9" t="n"/>
      <c r="J398" s="10" t="n"/>
      <c r="K398" s="9" t="n"/>
      <c r="L398" s="9" t="n"/>
      <c r="M398" s="9" t="n"/>
      <c r="N398" s="10" t="n"/>
      <c r="O398" s="9" t="n"/>
      <c r="P398" s="10" t="n"/>
      <c r="Q398" s="10" t="n"/>
      <c r="R398" s="9" t="n"/>
      <c r="S398" s="10" t="n"/>
      <c r="T398" s="10" t="n"/>
      <c r="U398" s="11" t="n"/>
      <c r="V398" s="11" t="n"/>
      <c r="W398" s="12">
        <f>IF(B398="","",B398+3)</f>
        <v/>
      </c>
      <c r="X398" s="12">
        <f>IF(B398="","",B398+5)</f>
        <v/>
      </c>
      <c r="Y398" s="12">
        <f>IF(B398="","",B398+10)</f>
        <v/>
      </c>
      <c r="Z398" s="13">
        <f>IF(B398="","",(--(B398&lt;&gt;"")+--(C398&lt;&gt;"")+--(D398&lt;&gt;"")+--(E398&lt;&gt;"")+--(F398&lt;&gt;"")+--(G398&lt;&gt;"")+--(H398&lt;&gt;"")+--(I398&lt;&gt;"")+--(J398&lt;&gt;"")+--(K398&lt;&gt;"")+--(L398&lt;&gt;"")+--(M398&lt;&gt;"")+--(N398&lt;&gt;"")+--(O398&lt;&gt;"")+--(P398&lt;&gt;"")+--(Q398&lt;&gt;"")+--(R398&lt;&gt;"")+--(S398&lt;&gt;"")+--(T398&lt;&gt;""))/19)</f>
        <v/>
      </c>
      <c r="AA398" s="16" t="n"/>
      <c r="AB398" s="16" t="n"/>
      <c r="AC398" s="16" t="n"/>
      <c r="AD398" s="16" t="n"/>
      <c r="AE398" s="7">
        <f>IF(B398="","",IF(AND(AA398="合格",AB398="合格",AC398="合格",AD398="合格"),"有效","无效"))</f>
        <v/>
      </c>
    </row>
    <row r="399">
      <c r="A399" s="7">
        <f>IF(B399="","",TEXT(B399,"yyyymmdd")&amp;"-"&amp;TEXT(ROW()-1,"000"))</f>
        <v/>
      </c>
      <c r="B399" s="8" t="n"/>
      <c r="C399" s="9" t="n"/>
      <c r="D399" s="9" t="n"/>
      <c r="E399" s="9" t="n"/>
      <c r="F399" s="9" t="n"/>
      <c r="G399" s="9" t="n"/>
      <c r="H399" s="9" t="n"/>
      <c r="I399" s="9" t="n"/>
      <c r="J399" s="10" t="n"/>
      <c r="K399" s="9" t="n"/>
      <c r="L399" s="9" t="n"/>
      <c r="M399" s="9" t="n"/>
      <c r="N399" s="10" t="n"/>
      <c r="O399" s="9" t="n"/>
      <c r="P399" s="10" t="n"/>
      <c r="Q399" s="10" t="n"/>
      <c r="R399" s="9" t="n"/>
      <c r="S399" s="10" t="n"/>
      <c r="T399" s="10" t="n"/>
      <c r="U399" s="11" t="n"/>
      <c r="V399" s="11" t="n"/>
      <c r="W399" s="12">
        <f>IF(B399="","",B399+3)</f>
        <v/>
      </c>
      <c r="X399" s="12">
        <f>IF(B399="","",B399+5)</f>
        <v/>
      </c>
      <c r="Y399" s="12">
        <f>IF(B399="","",B399+10)</f>
        <v/>
      </c>
      <c r="Z399" s="13">
        <f>IF(B399="","",(--(B399&lt;&gt;"")+--(C399&lt;&gt;"")+--(D399&lt;&gt;"")+--(E399&lt;&gt;"")+--(F399&lt;&gt;"")+--(G399&lt;&gt;"")+--(H399&lt;&gt;"")+--(I399&lt;&gt;"")+--(J399&lt;&gt;"")+--(K399&lt;&gt;"")+--(L399&lt;&gt;"")+--(M399&lt;&gt;"")+--(N399&lt;&gt;"")+--(O399&lt;&gt;"")+--(P399&lt;&gt;"")+--(Q399&lt;&gt;"")+--(R399&lt;&gt;"")+--(S399&lt;&gt;"")+--(T399&lt;&gt;""))/19)</f>
        <v/>
      </c>
      <c r="AA399" s="16" t="n"/>
      <c r="AB399" s="16" t="n"/>
      <c r="AC399" s="16" t="n"/>
      <c r="AD399" s="16" t="n"/>
      <c r="AE399" s="7">
        <f>IF(B399="","",IF(AND(AA399="合格",AB399="合格",AC399="合格",AD399="合格"),"有效","无效"))</f>
        <v/>
      </c>
    </row>
    <row r="400">
      <c r="A400" s="7">
        <f>IF(B400="","",TEXT(B400,"yyyymmdd")&amp;"-"&amp;TEXT(ROW()-1,"000"))</f>
        <v/>
      </c>
      <c r="B400" s="8" t="n"/>
      <c r="C400" s="9" t="n"/>
      <c r="D400" s="9" t="n"/>
      <c r="E400" s="9" t="n"/>
      <c r="F400" s="9" t="n"/>
      <c r="G400" s="9" t="n"/>
      <c r="H400" s="9" t="n"/>
      <c r="I400" s="9" t="n"/>
      <c r="J400" s="10" t="n"/>
      <c r="K400" s="9" t="n"/>
      <c r="L400" s="9" t="n"/>
      <c r="M400" s="9" t="n"/>
      <c r="N400" s="10" t="n"/>
      <c r="O400" s="9" t="n"/>
      <c r="P400" s="10" t="n"/>
      <c r="Q400" s="10" t="n"/>
      <c r="R400" s="9" t="n"/>
      <c r="S400" s="10" t="n"/>
      <c r="T400" s="10" t="n"/>
      <c r="U400" s="11" t="n"/>
      <c r="V400" s="11" t="n"/>
      <c r="W400" s="12">
        <f>IF(B400="","",B400+3)</f>
        <v/>
      </c>
      <c r="X400" s="12">
        <f>IF(B400="","",B400+5)</f>
        <v/>
      </c>
      <c r="Y400" s="12">
        <f>IF(B400="","",B400+10)</f>
        <v/>
      </c>
      <c r="Z400" s="13">
        <f>IF(B400="","",(--(B400&lt;&gt;"")+--(C400&lt;&gt;"")+--(D400&lt;&gt;"")+--(E400&lt;&gt;"")+--(F400&lt;&gt;"")+--(G400&lt;&gt;"")+--(H400&lt;&gt;"")+--(I400&lt;&gt;"")+--(J400&lt;&gt;"")+--(K400&lt;&gt;"")+--(L400&lt;&gt;"")+--(M400&lt;&gt;"")+--(N400&lt;&gt;"")+--(O400&lt;&gt;"")+--(P400&lt;&gt;"")+--(Q400&lt;&gt;"")+--(R400&lt;&gt;"")+--(S400&lt;&gt;"")+--(T400&lt;&gt;""))/19)</f>
        <v/>
      </c>
      <c r="AA400" s="16" t="n"/>
      <c r="AB400" s="16" t="n"/>
      <c r="AC400" s="16" t="n"/>
      <c r="AD400" s="16" t="n"/>
      <c r="AE400" s="7">
        <f>IF(B400="","",IF(AND(AA400="合格",AB400="合格",AC400="合格",AD400="合格"),"有效","无效"))</f>
        <v/>
      </c>
    </row>
    <row r="401">
      <c r="A401" s="7">
        <f>IF(B401="","",TEXT(B401,"yyyymmdd")&amp;"-"&amp;TEXT(ROW()-1,"000"))</f>
        <v/>
      </c>
      <c r="B401" s="8" t="n"/>
      <c r="C401" s="9" t="n"/>
      <c r="D401" s="9" t="n"/>
      <c r="E401" s="9" t="n"/>
      <c r="F401" s="9" t="n"/>
      <c r="G401" s="9" t="n"/>
      <c r="H401" s="9" t="n"/>
      <c r="I401" s="9" t="n"/>
      <c r="J401" s="10" t="n"/>
      <c r="K401" s="9" t="n"/>
      <c r="L401" s="9" t="n"/>
      <c r="M401" s="9" t="n"/>
      <c r="N401" s="10" t="n"/>
      <c r="O401" s="9" t="n"/>
      <c r="P401" s="10" t="n"/>
      <c r="Q401" s="10" t="n"/>
      <c r="R401" s="9" t="n"/>
      <c r="S401" s="10" t="n"/>
      <c r="T401" s="10" t="n"/>
      <c r="U401" s="11" t="n"/>
      <c r="V401" s="11" t="n"/>
      <c r="W401" s="12">
        <f>IF(B401="","",B401+3)</f>
        <v/>
      </c>
      <c r="X401" s="12">
        <f>IF(B401="","",B401+5)</f>
        <v/>
      </c>
      <c r="Y401" s="12">
        <f>IF(B401="","",B401+10)</f>
        <v/>
      </c>
      <c r="Z401" s="13">
        <f>IF(B401="","",(--(B401&lt;&gt;"")+--(C401&lt;&gt;"")+--(D401&lt;&gt;"")+--(E401&lt;&gt;"")+--(F401&lt;&gt;"")+--(G401&lt;&gt;"")+--(H401&lt;&gt;"")+--(I401&lt;&gt;"")+--(J401&lt;&gt;"")+--(K401&lt;&gt;"")+--(L401&lt;&gt;"")+--(M401&lt;&gt;"")+--(N401&lt;&gt;"")+--(O401&lt;&gt;"")+--(P401&lt;&gt;"")+--(Q401&lt;&gt;"")+--(R401&lt;&gt;"")+--(S401&lt;&gt;"")+--(T401&lt;&gt;""))/19)</f>
        <v/>
      </c>
      <c r="AA401" s="16" t="n"/>
      <c r="AB401" s="16" t="n"/>
      <c r="AC401" s="16" t="n"/>
      <c r="AD401" s="16" t="n"/>
      <c r="AE401" s="7">
        <f>IF(B401="","",IF(AND(AA401="合格",AB401="合格",AC401="合格",AD401="合格"),"有效","无效"))</f>
        <v/>
      </c>
    </row>
    <row r="402">
      <c r="A402" s="7">
        <f>IF(B402="","",TEXT(B402,"yyyymmdd")&amp;"-"&amp;TEXT(ROW()-1,"000"))</f>
        <v/>
      </c>
      <c r="B402" s="8" t="n"/>
      <c r="C402" s="9" t="n"/>
      <c r="D402" s="9" t="n"/>
      <c r="E402" s="9" t="n"/>
      <c r="F402" s="9" t="n"/>
      <c r="G402" s="9" t="n"/>
      <c r="H402" s="9" t="n"/>
      <c r="I402" s="9" t="n"/>
      <c r="J402" s="10" t="n"/>
      <c r="K402" s="9" t="n"/>
      <c r="L402" s="9" t="n"/>
      <c r="M402" s="9" t="n"/>
      <c r="N402" s="10" t="n"/>
      <c r="O402" s="9" t="n"/>
      <c r="P402" s="10" t="n"/>
      <c r="Q402" s="10" t="n"/>
      <c r="R402" s="9" t="n"/>
      <c r="S402" s="10" t="n"/>
      <c r="T402" s="10" t="n"/>
      <c r="U402" s="11" t="n"/>
      <c r="V402" s="11" t="n"/>
      <c r="W402" s="12">
        <f>IF(B402="","",B402+3)</f>
        <v/>
      </c>
      <c r="X402" s="12">
        <f>IF(B402="","",B402+5)</f>
        <v/>
      </c>
      <c r="Y402" s="12">
        <f>IF(B402="","",B402+10)</f>
        <v/>
      </c>
      <c r="Z402" s="13">
        <f>IF(B402="","",(--(B402&lt;&gt;"")+--(C402&lt;&gt;"")+--(D402&lt;&gt;"")+--(E402&lt;&gt;"")+--(F402&lt;&gt;"")+--(G402&lt;&gt;"")+--(H402&lt;&gt;"")+--(I402&lt;&gt;"")+--(J402&lt;&gt;"")+--(K402&lt;&gt;"")+--(L402&lt;&gt;"")+--(M402&lt;&gt;"")+--(N402&lt;&gt;"")+--(O402&lt;&gt;"")+--(P402&lt;&gt;"")+--(Q402&lt;&gt;"")+--(R402&lt;&gt;"")+--(S402&lt;&gt;"")+--(T402&lt;&gt;""))/19)</f>
        <v/>
      </c>
      <c r="AA402" s="16" t="n"/>
      <c r="AB402" s="16" t="n"/>
      <c r="AC402" s="16" t="n"/>
      <c r="AD402" s="16" t="n"/>
      <c r="AE402" s="7">
        <f>IF(B402="","",IF(AND(AA402="合格",AB402="合格",AC402="合格",AD402="合格"),"有效","无效"))</f>
        <v/>
      </c>
    </row>
    <row r="403">
      <c r="A403" s="7">
        <f>IF(B403="","",TEXT(B403,"yyyymmdd")&amp;"-"&amp;TEXT(ROW()-1,"000"))</f>
        <v/>
      </c>
      <c r="B403" s="8" t="n"/>
      <c r="C403" s="9" t="n"/>
      <c r="D403" s="9" t="n"/>
      <c r="E403" s="9" t="n"/>
      <c r="F403" s="9" t="n"/>
      <c r="G403" s="9" t="n"/>
      <c r="H403" s="9" t="n"/>
      <c r="I403" s="9" t="n"/>
      <c r="J403" s="10" t="n"/>
      <c r="K403" s="9" t="n"/>
      <c r="L403" s="9" t="n"/>
      <c r="M403" s="9" t="n"/>
      <c r="N403" s="10" t="n"/>
      <c r="O403" s="9" t="n"/>
      <c r="P403" s="10" t="n"/>
      <c r="Q403" s="10" t="n"/>
      <c r="R403" s="9" t="n"/>
      <c r="S403" s="10" t="n"/>
      <c r="T403" s="10" t="n"/>
      <c r="U403" s="11" t="n"/>
      <c r="V403" s="11" t="n"/>
      <c r="W403" s="12">
        <f>IF(B403="","",B403+3)</f>
        <v/>
      </c>
      <c r="X403" s="12">
        <f>IF(B403="","",B403+5)</f>
        <v/>
      </c>
      <c r="Y403" s="12">
        <f>IF(B403="","",B403+10)</f>
        <v/>
      </c>
      <c r="Z403" s="13">
        <f>IF(B403="","",(--(B403&lt;&gt;"")+--(C403&lt;&gt;"")+--(D403&lt;&gt;"")+--(E403&lt;&gt;"")+--(F403&lt;&gt;"")+--(G403&lt;&gt;"")+--(H403&lt;&gt;"")+--(I403&lt;&gt;"")+--(J403&lt;&gt;"")+--(K403&lt;&gt;"")+--(L403&lt;&gt;"")+--(M403&lt;&gt;"")+--(N403&lt;&gt;"")+--(O403&lt;&gt;"")+--(P403&lt;&gt;"")+--(Q403&lt;&gt;"")+--(R403&lt;&gt;"")+--(S403&lt;&gt;"")+--(T403&lt;&gt;""))/19)</f>
        <v/>
      </c>
      <c r="AA403" s="16" t="n"/>
      <c r="AB403" s="16" t="n"/>
      <c r="AC403" s="16" t="n"/>
      <c r="AD403" s="16" t="n"/>
      <c r="AE403" s="7">
        <f>IF(B403="","",IF(AND(AA403="合格",AB403="合格",AC403="合格",AD403="合格"),"有效","无效"))</f>
        <v/>
      </c>
    </row>
    <row r="404">
      <c r="A404" s="7">
        <f>IF(B404="","",TEXT(B404,"yyyymmdd")&amp;"-"&amp;TEXT(ROW()-1,"000"))</f>
        <v/>
      </c>
      <c r="B404" s="8" t="n"/>
      <c r="C404" s="9" t="n"/>
      <c r="D404" s="9" t="n"/>
      <c r="E404" s="9" t="n"/>
      <c r="F404" s="9" t="n"/>
      <c r="G404" s="9" t="n"/>
      <c r="H404" s="9" t="n"/>
      <c r="I404" s="9" t="n"/>
      <c r="J404" s="10" t="n"/>
      <c r="K404" s="9" t="n"/>
      <c r="L404" s="9" t="n"/>
      <c r="M404" s="9" t="n"/>
      <c r="N404" s="10" t="n"/>
      <c r="O404" s="9" t="n"/>
      <c r="P404" s="10" t="n"/>
      <c r="Q404" s="10" t="n"/>
      <c r="R404" s="9" t="n"/>
      <c r="S404" s="10" t="n"/>
      <c r="T404" s="10" t="n"/>
      <c r="U404" s="11" t="n"/>
      <c r="V404" s="11" t="n"/>
      <c r="W404" s="12">
        <f>IF(B404="","",B404+3)</f>
        <v/>
      </c>
      <c r="X404" s="12">
        <f>IF(B404="","",B404+5)</f>
        <v/>
      </c>
      <c r="Y404" s="12">
        <f>IF(B404="","",B404+10)</f>
        <v/>
      </c>
      <c r="Z404" s="13">
        <f>IF(B404="","",(--(B404&lt;&gt;"")+--(C404&lt;&gt;"")+--(D404&lt;&gt;"")+--(E404&lt;&gt;"")+--(F404&lt;&gt;"")+--(G404&lt;&gt;"")+--(H404&lt;&gt;"")+--(I404&lt;&gt;"")+--(J404&lt;&gt;"")+--(K404&lt;&gt;"")+--(L404&lt;&gt;"")+--(M404&lt;&gt;"")+--(N404&lt;&gt;"")+--(O404&lt;&gt;"")+--(P404&lt;&gt;"")+--(Q404&lt;&gt;"")+--(R404&lt;&gt;"")+--(S404&lt;&gt;"")+--(T404&lt;&gt;""))/19)</f>
        <v/>
      </c>
      <c r="AA404" s="16" t="n"/>
      <c r="AB404" s="16" t="n"/>
      <c r="AC404" s="16" t="n"/>
      <c r="AD404" s="16" t="n"/>
      <c r="AE404" s="7">
        <f>IF(B404="","",IF(AND(AA404="合格",AB404="合格",AC404="合格",AD404="合格"),"有效","无效"))</f>
        <v/>
      </c>
    </row>
    <row r="405">
      <c r="A405" s="7">
        <f>IF(B405="","",TEXT(B405,"yyyymmdd")&amp;"-"&amp;TEXT(ROW()-1,"000"))</f>
        <v/>
      </c>
      <c r="B405" s="8" t="n"/>
      <c r="C405" s="9" t="n"/>
      <c r="D405" s="9" t="n"/>
      <c r="E405" s="9" t="n"/>
      <c r="F405" s="9" t="n"/>
      <c r="G405" s="9" t="n"/>
      <c r="H405" s="9" t="n"/>
      <c r="I405" s="9" t="n"/>
      <c r="J405" s="10" t="n"/>
      <c r="K405" s="9" t="n"/>
      <c r="L405" s="9" t="n"/>
      <c r="M405" s="9" t="n"/>
      <c r="N405" s="10" t="n"/>
      <c r="O405" s="9" t="n"/>
      <c r="P405" s="10" t="n"/>
      <c r="Q405" s="10" t="n"/>
      <c r="R405" s="9" t="n"/>
      <c r="S405" s="10" t="n"/>
      <c r="T405" s="10" t="n"/>
      <c r="U405" s="11" t="n"/>
      <c r="V405" s="11" t="n"/>
      <c r="W405" s="12">
        <f>IF(B405="","",B405+3)</f>
        <v/>
      </c>
      <c r="X405" s="12">
        <f>IF(B405="","",B405+5)</f>
        <v/>
      </c>
      <c r="Y405" s="12">
        <f>IF(B405="","",B405+10)</f>
        <v/>
      </c>
      <c r="Z405" s="13">
        <f>IF(B405="","",(--(B405&lt;&gt;"")+--(C405&lt;&gt;"")+--(D405&lt;&gt;"")+--(E405&lt;&gt;"")+--(F405&lt;&gt;"")+--(G405&lt;&gt;"")+--(H405&lt;&gt;"")+--(I405&lt;&gt;"")+--(J405&lt;&gt;"")+--(K405&lt;&gt;"")+--(L405&lt;&gt;"")+--(M405&lt;&gt;"")+--(N405&lt;&gt;"")+--(O405&lt;&gt;"")+--(P405&lt;&gt;"")+--(Q405&lt;&gt;"")+--(R405&lt;&gt;"")+--(S405&lt;&gt;"")+--(T405&lt;&gt;""))/19)</f>
        <v/>
      </c>
      <c r="AA405" s="16" t="n"/>
      <c r="AB405" s="16" t="n"/>
      <c r="AC405" s="16" t="n"/>
      <c r="AD405" s="16" t="n"/>
      <c r="AE405" s="7">
        <f>IF(B405="","",IF(AND(AA405="合格",AB405="合格",AC405="合格",AD405="合格"),"有效","无效"))</f>
        <v/>
      </c>
    </row>
    <row r="406">
      <c r="A406" s="7">
        <f>IF(B406="","",TEXT(B406,"yyyymmdd")&amp;"-"&amp;TEXT(ROW()-1,"000"))</f>
        <v/>
      </c>
      <c r="B406" s="8" t="n"/>
      <c r="C406" s="9" t="n"/>
      <c r="D406" s="9" t="n"/>
      <c r="E406" s="9" t="n"/>
      <c r="F406" s="9" t="n"/>
      <c r="G406" s="9" t="n"/>
      <c r="H406" s="9" t="n"/>
      <c r="I406" s="9" t="n"/>
      <c r="J406" s="10" t="n"/>
      <c r="K406" s="9" t="n"/>
      <c r="L406" s="9" t="n"/>
      <c r="M406" s="9" t="n"/>
      <c r="N406" s="10" t="n"/>
      <c r="O406" s="9" t="n"/>
      <c r="P406" s="10" t="n"/>
      <c r="Q406" s="10" t="n"/>
      <c r="R406" s="9" t="n"/>
      <c r="S406" s="10" t="n"/>
      <c r="T406" s="10" t="n"/>
      <c r="U406" s="11" t="n"/>
      <c r="V406" s="11" t="n"/>
      <c r="W406" s="12">
        <f>IF(B406="","",B406+3)</f>
        <v/>
      </c>
      <c r="X406" s="12">
        <f>IF(B406="","",B406+5)</f>
        <v/>
      </c>
      <c r="Y406" s="12">
        <f>IF(B406="","",B406+10)</f>
        <v/>
      </c>
      <c r="Z406" s="13">
        <f>IF(B406="","",(--(B406&lt;&gt;"")+--(C406&lt;&gt;"")+--(D406&lt;&gt;"")+--(E406&lt;&gt;"")+--(F406&lt;&gt;"")+--(G406&lt;&gt;"")+--(H406&lt;&gt;"")+--(I406&lt;&gt;"")+--(J406&lt;&gt;"")+--(K406&lt;&gt;"")+--(L406&lt;&gt;"")+--(M406&lt;&gt;"")+--(N406&lt;&gt;"")+--(O406&lt;&gt;"")+--(P406&lt;&gt;"")+--(Q406&lt;&gt;"")+--(R406&lt;&gt;"")+--(S406&lt;&gt;"")+--(T406&lt;&gt;""))/19)</f>
        <v/>
      </c>
      <c r="AA406" s="16" t="n"/>
      <c r="AB406" s="16" t="n"/>
      <c r="AC406" s="16" t="n"/>
      <c r="AD406" s="16" t="n"/>
      <c r="AE406" s="7">
        <f>IF(B406="","",IF(AND(AA406="合格",AB406="合格",AC406="合格",AD406="合格"),"有效","无效"))</f>
        <v/>
      </c>
    </row>
    <row r="407">
      <c r="A407" s="7">
        <f>IF(B407="","",TEXT(B407,"yyyymmdd")&amp;"-"&amp;TEXT(ROW()-1,"000"))</f>
        <v/>
      </c>
      <c r="B407" s="8" t="n"/>
      <c r="C407" s="9" t="n"/>
      <c r="D407" s="9" t="n"/>
      <c r="E407" s="9" t="n"/>
      <c r="F407" s="9" t="n"/>
      <c r="G407" s="9" t="n"/>
      <c r="H407" s="9" t="n"/>
      <c r="I407" s="9" t="n"/>
      <c r="J407" s="10" t="n"/>
      <c r="K407" s="9" t="n"/>
      <c r="L407" s="9" t="n"/>
      <c r="M407" s="9" t="n"/>
      <c r="N407" s="10" t="n"/>
      <c r="O407" s="9" t="n"/>
      <c r="P407" s="10" t="n"/>
      <c r="Q407" s="10" t="n"/>
      <c r="R407" s="9" t="n"/>
      <c r="S407" s="10" t="n"/>
      <c r="T407" s="10" t="n"/>
      <c r="U407" s="11" t="n"/>
      <c r="V407" s="11" t="n"/>
      <c r="W407" s="12">
        <f>IF(B407="","",B407+3)</f>
        <v/>
      </c>
      <c r="X407" s="12">
        <f>IF(B407="","",B407+5)</f>
        <v/>
      </c>
      <c r="Y407" s="12">
        <f>IF(B407="","",B407+10)</f>
        <v/>
      </c>
      <c r="Z407" s="13">
        <f>IF(B407="","",(--(B407&lt;&gt;"")+--(C407&lt;&gt;"")+--(D407&lt;&gt;"")+--(E407&lt;&gt;"")+--(F407&lt;&gt;"")+--(G407&lt;&gt;"")+--(H407&lt;&gt;"")+--(I407&lt;&gt;"")+--(J407&lt;&gt;"")+--(K407&lt;&gt;"")+--(L407&lt;&gt;"")+--(M407&lt;&gt;"")+--(N407&lt;&gt;"")+--(O407&lt;&gt;"")+--(P407&lt;&gt;"")+--(Q407&lt;&gt;"")+--(R407&lt;&gt;"")+--(S407&lt;&gt;"")+--(T407&lt;&gt;""))/19)</f>
        <v/>
      </c>
      <c r="AA407" s="16" t="n"/>
      <c r="AB407" s="16" t="n"/>
      <c r="AC407" s="16" t="n"/>
      <c r="AD407" s="16" t="n"/>
      <c r="AE407" s="7">
        <f>IF(B407="","",IF(AND(AA407="合格",AB407="合格",AC407="合格",AD407="合格"),"有效","无效"))</f>
        <v/>
      </c>
    </row>
    <row r="408">
      <c r="A408" s="7">
        <f>IF(B408="","",TEXT(B408,"yyyymmdd")&amp;"-"&amp;TEXT(ROW()-1,"000"))</f>
        <v/>
      </c>
      <c r="B408" s="8" t="n"/>
      <c r="C408" s="9" t="n"/>
      <c r="D408" s="9" t="n"/>
      <c r="E408" s="9" t="n"/>
      <c r="F408" s="9" t="n"/>
      <c r="G408" s="9" t="n"/>
      <c r="H408" s="9" t="n"/>
      <c r="I408" s="9" t="n"/>
      <c r="J408" s="10" t="n"/>
      <c r="K408" s="9" t="n"/>
      <c r="L408" s="9" t="n"/>
      <c r="M408" s="9" t="n"/>
      <c r="N408" s="10" t="n"/>
      <c r="O408" s="9" t="n"/>
      <c r="P408" s="10" t="n"/>
      <c r="Q408" s="10" t="n"/>
      <c r="R408" s="9" t="n"/>
      <c r="S408" s="10" t="n"/>
      <c r="T408" s="10" t="n"/>
      <c r="U408" s="11" t="n"/>
      <c r="V408" s="11" t="n"/>
      <c r="W408" s="12">
        <f>IF(B408="","",B408+3)</f>
        <v/>
      </c>
      <c r="X408" s="12">
        <f>IF(B408="","",B408+5)</f>
        <v/>
      </c>
      <c r="Y408" s="12">
        <f>IF(B408="","",B408+10)</f>
        <v/>
      </c>
      <c r="Z408" s="13">
        <f>IF(B408="","",(--(B408&lt;&gt;"")+--(C408&lt;&gt;"")+--(D408&lt;&gt;"")+--(E408&lt;&gt;"")+--(F408&lt;&gt;"")+--(G408&lt;&gt;"")+--(H408&lt;&gt;"")+--(I408&lt;&gt;"")+--(J408&lt;&gt;"")+--(K408&lt;&gt;"")+--(L408&lt;&gt;"")+--(M408&lt;&gt;"")+--(N408&lt;&gt;"")+--(O408&lt;&gt;"")+--(P408&lt;&gt;"")+--(Q408&lt;&gt;"")+--(R408&lt;&gt;"")+--(S408&lt;&gt;"")+--(T408&lt;&gt;""))/19)</f>
        <v/>
      </c>
      <c r="AA408" s="16" t="n"/>
      <c r="AB408" s="16" t="n"/>
      <c r="AC408" s="16" t="n"/>
      <c r="AD408" s="16" t="n"/>
      <c r="AE408" s="7">
        <f>IF(B408="","",IF(AND(AA408="合格",AB408="合格",AC408="合格",AD408="合格"),"有效","无效"))</f>
        <v/>
      </c>
    </row>
    <row r="409">
      <c r="A409" s="7">
        <f>IF(B409="","",TEXT(B409,"yyyymmdd")&amp;"-"&amp;TEXT(ROW()-1,"000"))</f>
        <v/>
      </c>
      <c r="B409" s="8" t="n"/>
      <c r="C409" s="9" t="n"/>
      <c r="D409" s="9" t="n"/>
      <c r="E409" s="9" t="n"/>
      <c r="F409" s="9" t="n"/>
      <c r="G409" s="9" t="n"/>
      <c r="H409" s="9" t="n"/>
      <c r="I409" s="9" t="n"/>
      <c r="J409" s="10" t="n"/>
      <c r="K409" s="9" t="n"/>
      <c r="L409" s="9" t="n"/>
      <c r="M409" s="9" t="n"/>
      <c r="N409" s="10" t="n"/>
      <c r="O409" s="9" t="n"/>
      <c r="P409" s="10" t="n"/>
      <c r="Q409" s="10" t="n"/>
      <c r="R409" s="9" t="n"/>
      <c r="S409" s="10" t="n"/>
      <c r="T409" s="10" t="n"/>
      <c r="U409" s="11" t="n"/>
      <c r="V409" s="11" t="n"/>
      <c r="W409" s="12">
        <f>IF(B409="","",B409+3)</f>
        <v/>
      </c>
      <c r="X409" s="12">
        <f>IF(B409="","",B409+5)</f>
        <v/>
      </c>
      <c r="Y409" s="12">
        <f>IF(B409="","",B409+10)</f>
        <v/>
      </c>
      <c r="Z409" s="13">
        <f>IF(B409="","",(--(B409&lt;&gt;"")+--(C409&lt;&gt;"")+--(D409&lt;&gt;"")+--(E409&lt;&gt;"")+--(F409&lt;&gt;"")+--(G409&lt;&gt;"")+--(H409&lt;&gt;"")+--(I409&lt;&gt;"")+--(J409&lt;&gt;"")+--(K409&lt;&gt;"")+--(L409&lt;&gt;"")+--(M409&lt;&gt;"")+--(N409&lt;&gt;"")+--(O409&lt;&gt;"")+--(P409&lt;&gt;"")+--(Q409&lt;&gt;"")+--(R409&lt;&gt;"")+--(S409&lt;&gt;"")+--(T409&lt;&gt;""))/19)</f>
        <v/>
      </c>
      <c r="AA409" s="16" t="n"/>
      <c r="AB409" s="16" t="n"/>
      <c r="AC409" s="16" t="n"/>
      <c r="AD409" s="16" t="n"/>
      <c r="AE409" s="7">
        <f>IF(B409="","",IF(AND(AA409="合格",AB409="合格",AC409="合格",AD409="合格"),"有效","无效"))</f>
        <v/>
      </c>
    </row>
    <row r="410">
      <c r="A410" s="7">
        <f>IF(B410="","",TEXT(B410,"yyyymmdd")&amp;"-"&amp;TEXT(ROW()-1,"000"))</f>
        <v/>
      </c>
      <c r="B410" s="8" t="n"/>
      <c r="C410" s="9" t="n"/>
      <c r="D410" s="9" t="n"/>
      <c r="E410" s="9" t="n"/>
      <c r="F410" s="9" t="n"/>
      <c r="G410" s="9" t="n"/>
      <c r="H410" s="9" t="n"/>
      <c r="I410" s="9" t="n"/>
      <c r="J410" s="10" t="n"/>
      <c r="K410" s="9" t="n"/>
      <c r="L410" s="9" t="n"/>
      <c r="M410" s="9" t="n"/>
      <c r="N410" s="10" t="n"/>
      <c r="O410" s="9" t="n"/>
      <c r="P410" s="10" t="n"/>
      <c r="Q410" s="10" t="n"/>
      <c r="R410" s="9" t="n"/>
      <c r="S410" s="10" t="n"/>
      <c r="T410" s="10" t="n"/>
      <c r="U410" s="11" t="n"/>
      <c r="V410" s="11" t="n"/>
      <c r="W410" s="12">
        <f>IF(B410="","",B410+3)</f>
        <v/>
      </c>
      <c r="X410" s="12">
        <f>IF(B410="","",B410+5)</f>
        <v/>
      </c>
      <c r="Y410" s="12">
        <f>IF(B410="","",B410+10)</f>
        <v/>
      </c>
      <c r="Z410" s="13">
        <f>IF(B410="","",(--(B410&lt;&gt;"")+--(C410&lt;&gt;"")+--(D410&lt;&gt;"")+--(E410&lt;&gt;"")+--(F410&lt;&gt;"")+--(G410&lt;&gt;"")+--(H410&lt;&gt;"")+--(I410&lt;&gt;"")+--(J410&lt;&gt;"")+--(K410&lt;&gt;"")+--(L410&lt;&gt;"")+--(M410&lt;&gt;"")+--(N410&lt;&gt;"")+--(O410&lt;&gt;"")+--(P410&lt;&gt;"")+--(Q410&lt;&gt;"")+--(R410&lt;&gt;"")+--(S410&lt;&gt;"")+--(T410&lt;&gt;""))/19)</f>
        <v/>
      </c>
      <c r="AA410" s="16" t="n"/>
      <c r="AB410" s="16" t="n"/>
      <c r="AC410" s="16" t="n"/>
      <c r="AD410" s="16" t="n"/>
      <c r="AE410" s="7">
        <f>IF(B410="","",IF(AND(AA410="合格",AB410="合格",AC410="合格",AD410="合格"),"有效","无效"))</f>
        <v/>
      </c>
    </row>
    <row r="411">
      <c r="A411" s="7">
        <f>IF(B411="","",TEXT(B411,"yyyymmdd")&amp;"-"&amp;TEXT(ROW()-1,"000"))</f>
        <v/>
      </c>
      <c r="B411" s="8" t="n"/>
      <c r="C411" s="9" t="n"/>
      <c r="D411" s="9" t="n"/>
      <c r="E411" s="9" t="n"/>
      <c r="F411" s="9" t="n"/>
      <c r="G411" s="9" t="n"/>
      <c r="H411" s="9" t="n"/>
      <c r="I411" s="9" t="n"/>
      <c r="J411" s="10" t="n"/>
      <c r="K411" s="9" t="n"/>
      <c r="L411" s="9" t="n"/>
      <c r="M411" s="9" t="n"/>
      <c r="N411" s="10" t="n"/>
      <c r="O411" s="9" t="n"/>
      <c r="P411" s="10" t="n"/>
      <c r="Q411" s="10" t="n"/>
      <c r="R411" s="9" t="n"/>
      <c r="S411" s="10" t="n"/>
      <c r="T411" s="10" t="n"/>
      <c r="U411" s="11" t="n"/>
      <c r="V411" s="11" t="n"/>
      <c r="W411" s="12">
        <f>IF(B411="","",B411+3)</f>
        <v/>
      </c>
      <c r="X411" s="12">
        <f>IF(B411="","",B411+5)</f>
        <v/>
      </c>
      <c r="Y411" s="12">
        <f>IF(B411="","",B411+10)</f>
        <v/>
      </c>
      <c r="Z411" s="13">
        <f>IF(B411="","",(--(B411&lt;&gt;"")+--(C411&lt;&gt;"")+--(D411&lt;&gt;"")+--(E411&lt;&gt;"")+--(F411&lt;&gt;"")+--(G411&lt;&gt;"")+--(H411&lt;&gt;"")+--(I411&lt;&gt;"")+--(J411&lt;&gt;"")+--(K411&lt;&gt;"")+--(L411&lt;&gt;"")+--(M411&lt;&gt;"")+--(N411&lt;&gt;"")+--(O411&lt;&gt;"")+--(P411&lt;&gt;"")+--(Q411&lt;&gt;"")+--(R411&lt;&gt;"")+--(S411&lt;&gt;"")+--(T411&lt;&gt;""))/19)</f>
        <v/>
      </c>
      <c r="AA411" s="16" t="n"/>
      <c r="AB411" s="16" t="n"/>
      <c r="AC411" s="16" t="n"/>
      <c r="AD411" s="16" t="n"/>
      <c r="AE411" s="7">
        <f>IF(B411="","",IF(AND(AA411="合格",AB411="合格",AC411="合格",AD411="合格"),"有效","无效"))</f>
        <v/>
      </c>
    </row>
    <row r="412">
      <c r="A412" s="7">
        <f>IF(B412="","",TEXT(B412,"yyyymmdd")&amp;"-"&amp;TEXT(ROW()-1,"000"))</f>
        <v/>
      </c>
      <c r="B412" s="8" t="n"/>
      <c r="C412" s="9" t="n"/>
      <c r="D412" s="9" t="n"/>
      <c r="E412" s="9" t="n"/>
      <c r="F412" s="9" t="n"/>
      <c r="G412" s="9" t="n"/>
      <c r="H412" s="9" t="n"/>
      <c r="I412" s="9" t="n"/>
      <c r="J412" s="10" t="n"/>
      <c r="K412" s="9" t="n"/>
      <c r="L412" s="9" t="n"/>
      <c r="M412" s="9" t="n"/>
      <c r="N412" s="10" t="n"/>
      <c r="O412" s="9" t="n"/>
      <c r="P412" s="10" t="n"/>
      <c r="Q412" s="10" t="n"/>
      <c r="R412" s="9" t="n"/>
      <c r="S412" s="10" t="n"/>
      <c r="T412" s="10" t="n"/>
      <c r="U412" s="11" t="n"/>
      <c r="V412" s="11" t="n"/>
      <c r="W412" s="12">
        <f>IF(B412="","",B412+3)</f>
        <v/>
      </c>
      <c r="X412" s="12">
        <f>IF(B412="","",B412+5)</f>
        <v/>
      </c>
      <c r="Y412" s="12">
        <f>IF(B412="","",B412+10)</f>
        <v/>
      </c>
      <c r="Z412" s="13">
        <f>IF(B412="","",(--(B412&lt;&gt;"")+--(C412&lt;&gt;"")+--(D412&lt;&gt;"")+--(E412&lt;&gt;"")+--(F412&lt;&gt;"")+--(G412&lt;&gt;"")+--(H412&lt;&gt;"")+--(I412&lt;&gt;"")+--(J412&lt;&gt;"")+--(K412&lt;&gt;"")+--(L412&lt;&gt;"")+--(M412&lt;&gt;"")+--(N412&lt;&gt;"")+--(O412&lt;&gt;"")+--(P412&lt;&gt;"")+--(Q412&lt;&gt;"")+--(R412&lt;&gt;"")+--(S412&lt;&gt;"")+--(T412&lt;&gt;""))/19)</f>
        <v/>
      </c>
      <c r="AA412" s="16" t="n"/>
      <c r="AB412" s="16" t="n"/>
      <c r="AC412" s="16" t="n"/>
      <c r="AD412" s="16" t="n"/>
      <c r="AE412" s="7">
        <f>IF(B412="","",IF(AND(AA412="合格",AB412="合格",AC412="合格",AD412="合格"),"有效","无效"))</f>
        <v/>
      </c>
    </row>
    <row r="413">
      <c r="A413" s="7">
        <f>IF(B413="","",TEXT(B413,"yyyymmdd")&amp;"-"&amp;TEXT(ROW()-1,"000"))</f>
        <v/>
      </c>
      <c r="B413" s="8" t="n"/>
      <c r="C413" s="9" t="n"/>
      <c r="D413" s="9" t="n"/>
      <c r="E413" s="9" t="n"/>
      <c r="F413" s="9" t="n"/>
      <c r="G413" s="9" t="n"/>
      <c r="H413" s="9" t="n"/>
      <c r="I413" s="9" t="n"/>
      <c r="J413" s="10" t="n"/>
      <c r="K413" s="9" t="n"/>
      <c r="L413" s="9" t="n"/>
      <c r="M413" s="9" t="n"/>
      <c r="N413" s="10" t="n"/>
      <c r="O413" s="9" t="n"/>
      <c r="P413" s="10" t="n"/>
      <c r="Q413" s="10" t="n"/>
      <c r="R413" s="9" t="n"/>
      <c r="S413" s="10" t="n"/>
      <c r="T413" s="10" t="n"/>
      <c r="U413" s="11" t="n"/>
      <c r="V413" s="11" t="n"/>
      <c r="W413" s="12">
        <f>IF(B413="","",B413+3)</f>
        <v/>
      </c>
      <c r="X413" s="12">
        <f>IF(B413="","",B413+5)</f>
        <v/>
      </c>
      <c r="Y413" s="12">
        <f>IF(B413="","",B413+10)</f>
        <v/>
      </c>
      <c r="Z413" s="13">
        <f>IF(B413="","",(--(B413&lt;&gt;"")+--(C413&lt;&gt;"")+--(D413&lt;&gt;"")+--(E413&lt;&gt;"")+--(F413&lt;&gt;"")+--(G413&lt;&gt;"")+--(H413&lt;&gt;"")+--(I413&lt;&gt;"")+--(J413&lt;&gt;"")+--(K413&lt;&gt;"")+--(L413&lt;&gt;"")+--(M413&lt;&gt;"")+--(N413&lt;&gt;"")+--(O413&lt;&gt;"")+--(P413&lt;&gt;"")+--(Q413&lt;&gt;"")+--(R413&lt;&gt;"")+--(S413&lt;&gt;"")+--(T413&lt;&gt;""))/19)</f>
        <v/>
      </c>
      <c r="AA413" s="16" t="n"/>
      <c r="AB413" s="16" t="n"/>
      <c r="AC413" s="16" t="n"/>
      <c r="AD413" s="16" t="n"/>
      <c r="AE413" s="7">
        <f>IF(B413="","",IF(AND(AA413="合格",AB413="合格",AC413="合格",AD413="合格"),"有效","无效"))</f>
        <v/>
      </c>
    </row>
    <row r="414">
      <c r="A414" s="7">
        <f>IF(B414="","",TEXT(B414,"yyyymmdd")&amp;"-"&amp;TEXT(ROW()-1,"000"))</f>
        <v/>
      </c>
      <c r="B414" s="8" t="n"/>
      <c r="C414" s="9" t="n"/>
      <c r="D414" s="9" t="n"/>
      <c r="E414" s="9" t="n"/>
      <c r="F414" s="9" t="n"/>
      <c r="G414" s="9" t="n"/>
      <c r="H414" s="9" t="n"/>
      <c r="I414" s="9" t="n"/>
      <c r="J414" s="10" t="n"/>
      <c r="K414" s="9" t="n"/>
      <c r="L414" s="9" t="n"/>
      <c r="M414" s="9" t="n"/>
      <c r="N414" s="10" t="n"/>
      <c r="O414" s="9" t="n"/>
      <c r="P414" s="10" t="n"/>
      <c r="Q414" s="10" t="n"/>
      <c r="R414" s="9" t="n"/>
      <c r="S414" s="10" t="n"/>
      <c r="T414" s="10" t="n"/>
      <c r="U414" s="11" t="n"/>
      <c r="V414" s="11" t="n"/>
      <c r="W414" s="12">
        <f>IF(B414="","",B414+3)</f>
        <v/>
      </c>
      <c r="X414" s="12">
        <f>IF(B414="","",B414+5)</f>
        <v/>
      </c>
      <c r="Y414" s="12">
        <f>IF(B414="","",B414+10)</f>
        <v/>
      </c>
      <c r="Z414" s="13">
        <f>IF(B414="","",(--(B414&lt;&gt;"")+--(C414&lt;&gt;"")+--(D414&lt;&gt;"")+--(E414&lt;&gt;"")+--(F414&lt;&gt;"")+--(G414&lt;&gt;"")+--(H414&lt;&gt;"")+--(I414&lt;&gt;"")+--(J414&lt;&gt;"")+--(K414&lt;&gt;"")+--(L414&lt;&gt;"")+--(M414&lt;&gt;"")+--(N414&lt;&gt;"")+--(O414&lt;&gt;"")+--(P414&lt;&gt;"")+--(Q414&lt;&gt;"")+--(R414&lt;&gt;"")+--(S414&lt;&gt;"")+--(T414&lt;&gt;""))/19)</f>
        <v/>
      </c>
      <c r="AA414" s="16" t="n"/>
      <c r="AB414" s="16" t="n"/>
      <c r="AC414" s="16" t="n"/>
      <c r="AD414" s="16" t="n"/>
      <c r="AE414" s="7">
        <f>IF(B414="","",IF(AND(AA414="合格",AB414="合格",AC414="合格",AD414="合格"),"有效","无效"))</f>
        <v/>
      </c>
    </row>
    <row r="415">
      <c r="A415" s="7">
        <f>IF(B415="","",TEXT(B415,"yyyymmdd")&amp;"-"&amp;TEXT(ROW()-1,"000"))</f>
        <v/>
      </c>
      <c r="B415" s="8" t="n"/>
      <c r="C415" s="9" t="n"/>
      <c r="D415" s="9" t="n"/>
      <c r="E415" s="9" t="n"/>
      <c r="F415" s="9" t="n"/>
      <c r="G415" s="9" t="n"/>
      <c r="H415" s="9" t="n"/>
      <c r="I415" s="9" t="n"/>
      <c r="J415" s="10" t="n"/>
      <c r="K415" s="9" t="n"/>
      <c r="L415" s="9" t="n"/>
      <c r="M415" s="9" t="n"/>
      <c r="N415" s="10" t="n"/>
      <c r="O415" s="9" t="n"/>
      <c r="P415" s="10" t="n"/>
      <c r="Q415" s="10" t="n"/>
      <c r="R415" s="9" t="n"/>
      <c r="S415" s="10" t="n"/>
      <c r="T415" s="10" t="n"/>
      <c r="U415" s="11" t="n"/>
      <c r="V415" s="11" t="n"/>
      <c r="W415" s="12">
        <f>IF(B415="","",B415+3)</f>
        <v/>
      </c>
      <c r="X415" s="12">
        <f>IF(B415="","",B415+5)</f>
        <v/>
      </c>
      <c r="Y415" s="12">
        <f>IF(B415="","",B415+10)</f>
        <v/>
      </c>
      <c r="Z415" s="13">
        <f>IF(B415="","",(--(B415&lt;&gt;"")+--(C415&lt;&gt;"")+--(D415&lt;&gt;"")+--(E415&lt;&gt;"")+--(F415&lt;&gt;"")+--(G415&lt;&gt;"")+--(H415&lt;&gt;"")+--(I415&lt;&gt;"")+--(J415&lt;&gt;"")+--(K415&lt;&gt;"")+--(L415&lt;&gt;"")+--(M415&lt;&gt;"")+--(N415&lt;&gt;"")+--(O415&lt;&gt;"")+--(P415&lt;&gt;"")+--(Q415&lt;&gt;"")+--(R415&lt;&gt;"")+--(S415&lt;&gt;"")+--(T415&lt;&gt;""))/19)</f>
        <v/>
      </c>
      <c r="AA415" s="16" t="n"/>
      <c r="AB415" s="16" t="n"/>
      <c r="AC415" s="16" t="n"/>
      <c r="AD415" s="16" t="n"/>
      <c r="AE415" s="7">
        <f>IF(B415="","",IF(AND(AA415="合格",AB415="合格",AC415="合格",AD415="合格"),"有效","无效"))</f>
        <v/>
      </c>
    </row>
    <row r="416">
      <c r="A416" s="7">
        <f>IF(B416="","",TEXT(B416,"yyyymmdd")&amp;"-"&amp;TEXT(ROW()-1,"000"))</f>
        <v/>
      </c>
      <c r="B416" s="8" t="n"/>
      <c r="C416" s="9" t="n"/>
      <c r="D416" s="9" t="n"/>
      <c r="E416" s="9" t="n"/>
      <c r="F416" s="9" t="n"/>
      <c r="G416" s="9" t="n"/>
      <c r="H416" s="9" t="n"/>
      <c r="I416" s="9" t="n"/>
      <c r="J416" s="10" t="n"/>
      <c r="K416" s="9" t="n"/>
      <c r="L416" s="9" t="n"/>
      <c r="M416" s="9" t="n"/>
      <c r="N416" s="10" t="n"/>
      <c r="O416" s="9" t="n"/>
      <c r="P416" s="10" t="n"/>
      <c r="Q416" s="10" t="n"/>
      <c r="R416" s="9" t="n"/>
      <c r="S416" s="10" t="n"/>
      <c r="T416" s="10" t="n"/>
      <c r="U416" s="11" t="n"/>
      <c r="V416" s="11" t="n"/>
      <c r="W416" s="12">
        <f>IF(B416="","",B416+3)</f>
        <v/>
      </c>
      <c r="X416" s="12">
        <f>IF(B416="","",B416+5)</f>
        <v/>
      </c>
      <c r="Y416" s="12">
        <f>IF(B416="","",B416+10)</f>
        <v/>
      </c>
      <c r="Z416" s="13">
        <f>IF(B416="","",(--(B416&lt;&gt;"")+--(C416&lt;&gt;"")+--(D416&lt;&gt;"")+--(E416&lt;&gt;"")+--(F416&lt;&gt;"")+--(G416&lt;&gt;"")+--(H416&lt;&gt;"")+--(I416&lt;&gt;"")+--(J416&lt;&gt;"")+--(K416&lt;&gt;"")+--(L416&lt;&gt;"")+--(M416&lt;&gt;"")+--(N416&lt;&gt;"")+--(O416&lt;&gt;"")+--(P416&lt;&gt;"")+--(Q416&lt;&gt;"")+--(R416&lt;&gt;"")+--(S416&lt;&gt;"")+--(T416&lt;&gt;""))/19)</f>
        <v/>
      </c>
      <c r="AA416" s="16" t="n"/>
      <c r="AB416" s="16" t="n"/>
      <c r="AC416" s="16" t="n"/>
      <c r="AD416" s="16" t="n"/>
      <c r="AE416" s="7">
        <f>IF(B416="","",IF(AND(AA416="合格",AB416="合格",AC416="合格",AD416="合格"),"有效","无效"))</f>
        <v/>
      </c>
    </row>
    <row r="417">
      <c r="A417" s="7">
        <f>IF(B417="","",TEXT(B417,"yyyymmdd")&amp;"-"&amp;TEXT(ROW()-1,"000"))</f>
        <v/>
      </c>
      <c r="B417" s="8" t="n"/>
      <c r="C417" s="9" t="n"/>
      <c r="D417" s="9" t="n"/>
      <c r="E417" s="9" t="n"/>
      <c r="F417" s="9" t="n"/>
      <c r="G417" s="9" t="n"/>
      <c r="H417" s="9" t="n"/>
      <c r="I417" s="9" t="n"/>
      <c r="J417" s="10" t="n"/>
      <c r="K417" s="9" t="n"/>
      <c r="L417" s="9" t="n"/>
      <c r="M417" s="9" t="n"/>
      <c r="N417" s="10" t="n"/>
      <c r="O417" s="9" t="n"/>
      <c r="P417" s="10" t="n"/>
      <c r="Q417" s="10" t="n"/>
      <c r="R417" s="9" t="n"/>
      <c r="S417" s="10" t="n"/>
      <c r="T417" s="10" t="n"/>
      <c r="U417" s="11" t="n"/>
      <c r="V417" s="11" t="n"/>
      <c r="W417" s="12">
        <f>IF(B417="","",B417+3)</f>
        <v/>
      </c>
      <c r="X417" s="12">
        <f>IF(B417="","",B417+5)</f>
        <v/>
      </c>
      <c r="Y417" s="12">
        <f>IF(B417="","",B417+10)</f>
        <v/>
      </c>
      <c r="Z417" s="13">
        <f>IF(B417="","",(--(B417&lt;&gt;"")+--(C417&lt;&gt;"")+--(D417&lt;&gt;"")+--(E417&lt;&gt;"")+--(F417&lt;&gt;"")+--(G417&lt;&gt;"")+--(H417&lt;&gt;"")+--(I417&lt;&gt;"")+--(J417&lt;&gt;"")+--(K417&lt;&gt;"")+--(L417&lt;&gt;"")+--(M417&lt;&gt;"")+--(N417&lt;&gt;"")+--(O417&lt;&gt;"")+--(P417&lt;&gt;"")+--(Q417&lt;&gt;"")+--(R417&lt;&gt;"")+--(S417&lt;&gt;"")+--(T417&lt;&gt;""))/19)</f>
        <v/>
      </c>
      <c r="AA417" s="16" t="n"/>
      <c r="AB417" s="16" t="n"/>
      <c r="AC417" s="16" t="n"/>
      <c r="AD417" s="16" t="n"/>
      <c r="AE417" s="7">
        <f>IF(B417="","",IF(AND(AA417="合格",AB417="合格",AC417="合格",AD417="合格"),"有效","无效"))</f>
        <v/>
      </c>
    </row>
    <row r="418">
      <c r="A418" s="7">
        <f>IF(B418="","",TEXT(B418,"yyyymmdd")&amp;"-"&amp;TEXT(ROW()-1,"000"))</f>
        <v/>
      </c>
      <c r="B418" s="8" t="n"/>
      <c r="C418" s="9" t="n"/>
      <c r="D418" s="9" t="n"/>
      <c r="E418" s="9" t="n"/>
      <c r="F418" s="9" t="n"/>
      <c r="G418" s="9" t="n"/>
      <c r="H418" s="9" t="n"/>
      <c r="I418" s="9" t="n"/>
      <c r="J418" s="10" t="n"/>
      <c r="K418" s="9" t="n"/>
      <c r="L418" s="9" t="n"/>
      <c r="M418" s="9" t="n"/>
      <c r="N418" s="10" t="n"/>
      <c r="O418" s="9" t="n"/>
      <c r="P418" s="10" t="n"/>
      <c r="Q418" s="10" t="n"/>
      <c r="R418" s="9" t="n"/>
      <c r="S418" s="10" t="n"/>
      <c r="T418" s="10" t="n"/>
      <c r="U418" s="11" t="n"/>
      <c r="V418" s="11" t="n"/>
      <c r="W418" s="12">
        <f>IF(B418="","",B418+3)</f>
        <v/>
      </c>
      <c r="X418" s="12">
        <f>IF(B418="","",B418+5)</f>
        <v/>
      </c>
      <c r="Y418" s="12">
        <f>IF(B418="","",B418+10)</f>
        <v/>
      </c>
      <c r="Z418" s="13">
        <f>IF(B418="","",(--(B418&lt;&gt;"")+--(C418&lt;&gt;"")+--(D418&lt;&gt;"")+--(E418&lt;&gt;"")+--(F418&lt;&gt;"")+--(G418&lt;&gt;"")+--(H418&lt;&gt;"")+--(I418&lt;&gt;"")+--(J418&lt;&gt;"")+--(K418&lt;&gt;"")+--(L418&lt;&gt;"")+--(M418&lt;&gt;"")+--(N418&lt;&gt;"")+--(O418&lt;&gt;"")+--(P418&lt;&gt;"")+--(Q418&lt;&gt;"")+--(R418&lt;&gt;"")+--(S418&lt;&gt;"")+--(T418&lt;&gt;""))/19)</f>
        <v/>
      </c>
      <c r="AA418" s="16" t="n"/>
      <c r="AB418" s="16" t="n"/>
      <c r="AC418" s="16" t="n"/>
      <c r="AD418" s="16" t="n"/>
      <c r="AE418" s="7">
        <f>IF(B418="","",IF(AND(AA418="合格",AB418="合格",AC418="合格",AD418="合格"),"有效","无效"))</f>
        <v/>
      </c>
    </row>
    <row r="419">
      <c r="A419" s="7">
        <f>IF(B419="","",TEXT(B419,"yyyymmdd")&amp;"-"&amp;TEXT(ROW()-1,"000"))</f>
        <v/>
      </c>
      <c r="B419" s="8" t="n"/>
      <c r="C419" s="9" t="n"/>
      <c r="D419" s="9" t="n"/>
      <c r="E419" s="9" t="n"/>
      <c r="F419" s="9" t="n"/>
      <c r="G419" s="9" t="n"/>
      <c r="H419" s="9" t="n"/>
      <c r="I419" s="9" t="n"/>
      <c r="J419" s="10" t="n"/>
      <c r="K419" s="9" t="n"/>
      <c r="L419" s="9" t="n"/>
      <c r="M419" s="9" t="n"/>
      <c r="N419" s="10" t="n"/>
      <c r="O419" s="9" t="n"/>
      <c r="P419" s="10" t="n"/>
      <c r="Q419" s="10" t="n"/>
      <c r="R419" s="9" t="n"/>
      <c r="S419" s="10" t="n"/>
      <c r="T419" s="10" t="n"/>
      <c r="U419" s="11" t="n"/>
      <c r="V419" s="11" t="n"/>
      <c r="W419" s="12">
        <f>IF(B419="","",B419+3)</f>
        <v/>
      </c>
      <c r="X419" s="12">
        <f>IF(B419="","",B419+5)</f>
        <v/>
      </c>
      <c r="Y419" s="12">
        <f>IF(B419="","",B419+10)</f>
        <v/>
      </c>
      <c r="Z419" s="13">
        <f>IF(B419="","",(--(B419&lt;&gt;"")+--(C419&lt;&gt;"")+--(D419&lt;&gt;"")+--(E419&lt;&gt;"")+--(F419&lt;&gt;"")+--(G419&lt;&gt;"")+--(H419&lt;&gt;"")+--(I419&lt;&gt;"")+--(J419&lt;&gt;"")+--(K419&lt;&gt;"")+--(L419&lt;&gt;"")+--(M419&lt;&gt;"")+--(N419&lt;&gt;"")+--(O419&lt;&gt;"")+--(P419&lt;&gt;"")+--(Q419&lt;&gt;"")+--(R419&lt;&gt;"")+--(S419&lt;&gt;"")+--(T419&lt;&gt;""))/19)</f>
        <v/>
      </c>
      <c r="AA419" s="16" t="n"/>
      <c r="AB419" s="16" t="n"/>
      <c r="AC419" s="16" t="n"/>
      <c r="AD419" s="16" t="n"/>
      <c r="AE419" s="7">
        <f>IF(B419="","",IF(AND(AA419="合格",AB419="合格",AC419="合格",AD419="合格"),"有效","无效"))</f>
        <v/>
      </c>
    </row>
    <row r="420">
      <c r="A420" s="7">
        <f>IF(B420="","",TEXT(B420,"yyyymmdd")&amp;"-"&amp;TEXT(ROW()-1,"000"))</f>
        <v/>
      </c>
      <c r="B420" s="8" t="n"/>
      <c r="C420" s="9" t="n"/>
      <c r="D420" s="9" t="n"/>
      <c r="E420" s="9" t="n"/>
      <c r="F420" s="9" t="n"/>
      <c r="G420" s="9" t="n"/>
      <c r="H420" s="9" t="n"/>
      <c r="I420" s="9" t="n"/>
      <c r="J420" s="10" t="n"/>
      <c r="K420" s="9" t="n"/>
      <c r="L420" s="9" t="n"/>
      <c r="M420" s="9" t="n"/>
      <c r="N420" s="10" t="n"/>
      <c r="O420" s="9" t="n"/>
      <c r="P420" s="10" t="n"/>
      <c r="Q420" s="10" t="n"/>
      <c r="R420" s="9" t="n"/>
      <c r="S420" s="10" t="n"/>
      <c r="T420" s="10" t="n"/>
      <c r="U420" s="11" t="n"/>
      <c r="V420" s="11" t="n"/>
      <c r="W420" s="12">
        <f>IF(B420="","",B420+3)</f>
        <v/>
      </c>
      <c r="X420" s="12">
        <f>IF(B420="","",B420+5)</f>
        <v/>
      </c>
      <c r="Y420" s="12">
        <f>IF(B420="","",B420+10)</f>
        <v/>
      </c>
      <c r="Z420" s="13">
        <f>IF(B420="","",(--(B420&lt;&gt;"")+--(C420&lt;&gt;"")+--(D420&lt;&gt;"")+--(E420&lt;&gt;"")+--(F420&lt;&gt;"")+--(G420&lt;&gt;"")+--(H420&lt;&gt;"")+--(I420&lt;&gt;"")+--(J420&lt;&gt;"")+--(K420&lt;&gt;"")+--(L420&lt;&gt;"")+--(M420&lt;&gt;"")+--(N420&lt;&gt;"")+--(O420&lt;&gt;"")+--(P420&lt;&gt;"")+--(Q420&lt;&gt;"")+--(R420&lt;&gt;"")+--(S420&lt;&gt;"")+--(T420&lt;&gt;""))/19)</f>
        <v/>
      </c>
      <c r="AA420" s="16" t="n"/>
      <c r="AB420" s="16" t="n"/>
      <c r="AC420" s="16" t="n"/>
      <c r="AD420" s="16" t="n"/>
      <c r="AE420" s="7">
        <f>IF(B420="","",IF(AND(AA420="合格",AB420="合格",AC420="合格",AD420="合格"),"有效","无效"))</f>
        <v/>
      </c>
    </row>
    <row r="421">
      <c r="A421" s="7">
        <f>IF(B421="","",TEXT(B421,"yyyymmdd")&amp;"-"&amp;TEXT(ROW()-1,"000"))</f>
        <v/>
      </c>
      <c r="B421" s="8" t="n"/>
      <c r="C421" s="9" t="n"/>
      <c r="D421" s="9" t="n"/>
      <c r="E421" s="9" t="n"/>
      <c r="F421" s="9" t="n"/>
      <c r="G421" s="9" t="n"/>
      <c r="H421" s="9" t="n"/>
      <c r="I421" s="9" t="n"/>
      <c r="J421" s="10" t="n"/>
      <c r="K421" s="9" t="n"/>
      <c r="L421" s="9" t="n"/>
      <c r="M421" s="9" t="n"/>
      <c r="N421" s="10" t="n"/>
      <c r="O421" s="9" t="n"/>
      <c r="P421" s="10" t="n"/>
      <c r="Q421" s="10" t="n"/>
      <c r="R421" s="9" t="n"/>
      <c r="S421" s="10" t="n"/>
      <c r="T421" s="10" t="n"/>
      <c r="U421" s="11" t="n"/>
      <c r="V421" s="11" t="n"/>
      <c r="W421" s="12">
        <f>IF(B421="","",B421+3)</f>
        <v/>
      </c>
      <c r="X421" s="12">
        <f>IF(B421="","",B421+5)</f>
        <v/>
      </c>
      <c r="Y421" s="12">
        <f>IF(B421="","",B421+10)</f>
        <v/>
      </c>
      <c r="Z421" s="13">
        <f>IF(B421="","",(--(B421&lt;&gt;"")+--(C421&lt;&gt;"")+--(D421&lt;&gt;"")+--(E421&lt;&gt;"")+--(F421&lt;&gt;"")+--(G421&lt;&gt;"")+--(H421&lt;&gt;"")+--(I421&lt;&gt;"")+--(J421&lt;&gt;"")+--(K421&lt;&gt;"")+--(L421&lt;&gt;"")+--(M421&lt;&gt;"")+--(N421&lt;&gt;"")+--(O421&lt;&gt;"")+--(P421&lt;&gt;"")+--(Q421&lt;&gt;"")+--(R421&lt;&gt;"")+--(S421&lt;&gt;"")+--(T421&lt;&gt;""))/19)</f>
        <v/>
      </c>
      <c r="AA421" s="16" t="n"/>
      <c r="AB421" s="16" t="n"/>
      <c r="AC421" s="16" t="n"/>
      <c r="AD421" s="16" t="n"/>
      <c r="AE421" s="7">
        <f>IF(B421="","",IF(AND(AA421="合格",AB421="合格",AC421="合格",AD421="合格"),"有效","无效"))</f>
        <v/>
      </c>
    </row>
    <row r="422">
      <c r="A422" s="7">
        <f>IF(B422="","",TEXT(B422,"yyyymmdd")&amp;"-"&amp;TEXT(ROW()-1,"000"))</f>
        <v/>
      </c>
      <c r="B422" s="8" t="n"/>
      <c r="C422" s="9" t="n"/>
      <c r="D422" s="9" t="n"/>
      <c r="E422" s="9" t="n"/>
      <c r="F422" s="9" t="n"/>
      <c r="G422" s="9" t="n"/>
      <c r="H422" s="9" t="n"/>
      <c r="I422" s="9" t="n"/>
      <c r="J422" s="10" t="n"/>
      <c r="K422" s="9" t="n"/>
      <c r="L422" s="9" t="n"/>
      <c r="M422" s="9" t="n"/>
      <c r="N422" s="10" t="n"/>
      <c r="O422" s="9" t="n"/>
      <c r="P422" s="10" t="n"/>
      <c r="Q422" s="10" t="n"/>
      <c r="R422" s="9" t="n"/>
      <c r="S422" s="10" t="n"/>
      <c r="T422" s="10" t="n"/>
      <c r="U422" s="11" t="n"/>
      <c r="V422" s="11" t="n"/>
      <c r="W422" s="12">
        <f>IF(B422="","",B422+3)</f>
        <v/>
      </c>
      <c r="X422" s="12">
        <f>IF(B422="","",B422+5)</f>
        <v/>
      </c>
      <c r="Y422" s="12">
        <f>IF(B422="","",B422+10)</f>
        <v/>
      </c>
      <c r="Z422" s="13">
        <f>IF(B422="","",(--(B422&lt;&gt;"")+--(C422&lt;&gt;"")+--(D422&lt;&gt;"")+--(E422&lt;&gt;"")+--(F422&lt;&gt;"")+--(G422&lt;&gt;"")+--(H422&lt;&gt;"")+--(I422&lt;&gt;"")+--(J422&lt;&gt;"")+--(K422&lt;&gt;"")+--(L422&lt;&gt;"")+--(M422&lt;&gt;"")+--(N422&lt;&gt;"")+--(O422&lt;&gt;"")+--(P422&lt;&gt;"")+--(Q422&lt;&gt;"")+--(R422&lt;&gt;"")+--(S422&lt;&gt;"")+--(T422&lt;&gt;""))/19)</f>
        <v/>
      </c>
      <c r="AA422" s="16" t="n"/>
      <c r="AB422" s="16" t="n"/>
      <c r="AC422" s="16" t="n"/>
      <c r="AD422" s="16" t="n"/>
      <c r="AE422" s="7">
        <f>IF(B422="","",IF(AND(AA422="合格",AB422="合格",AC422="合格",AD422="合格"),"有效","无效"))</f>
        <v/>
      </c>
    </row>
    <row r="423">
      <c r="A423" s="7">
        <f>IF(B423="","",TEXT(B423,"yyyymmdd")&amp;"-"&amp;TEXT(ROW()-1,"000"))</f>
        <v/>
      </c>
      <c r="B423" s="8" t="n"/>
      <c r="C423" s="9" t="n"/>
      <c r="D423" s="9" t="n"/>
      <c r="E423" s="9" t="n"/>
      <c r="F423" s="9" t="n"/>
      <c r="G423" s="9" t="n"/>
      <c r="H423" s="9" t="n"/>
      <c r="I423" s="9" t="n"/>
      <c r="J423" s="10" t="n"/>
      <c r="K423" s="9" t="n"/>
      <c r="L423" s="9" t="n"/>
      <c r="M423" s="9" t="n"/>
      <c r="N423" s="10" t="n"/>
      <c r="O423" s="9" t="n"/>
      <c r="P423" s="10" t="n"/>
      <c r="Q423" s="10" t="n"/>
      <c r="R423" s="9" t="n"/>
      <c r="S423" s="10" t="n"/>
      <c r="T423" s="10" t="n"/>
      <c r="U423" s="11" t="n"/>
      <c r="V423" s="11" t="n"/>
      <c r="W423" s="12">
        <f>IF(B423="","",B423+3)</f>
        <v/>
      </c>
      <c r="X423" s="12">
        <f>IF(B423="","",B423+5)</f>
        <v/>
      </c>
      <c r="Y423" s="12">
        <f>IF(B423="","",B423+10)</f>
        <v/>
      </c>
      <c r="Z423" s="13">
        <f>IF(B423="","",(--(B423&lt;&gt;"")+--(C423&lt;&gt;"")+--(D423&lt;&gt;"")+--(E423&lt;&gt;"")+--(F423&lt;&gt;"")+--(G423&lt;&gt;"")+--(H423&lt;&gt;"")+--(I423&lt;&gt;"")+--(J423&lt;&gt;"")+--(K423&lt;&gt;"")+--(L423&lt;&gt;"")+--(M423&lt;&gt;"")+--(N423&lt;&gt;"")+--(O423&lt;&gt;"")+--(P423&lt;&gt;"")+--(Q423&lt;&gt;"")+--(R423&lt;&gt;"")+--(S423&lt;&gt;"")+--(T423&lt;&gt;""))/19)</f>
        <v/>
      </c>
      <c r="AA423" s="16" t="n"/>
      <c r="AB423" s="16" t="n"/>
      <c r="AC423" s="16" t="n"/>
      <c r="AD423" s="16" t="n"/>
      <c r="AE423" s="7">
        <f>IF(B423="","",IF(AND(AA423="合格",AB423="合格",AC423="合格",AD423="合格"),"有效","无效"))</f>
        <v/>
      </c>
    </row>
    <row r="424">
      <c r="A424" s="7">
        <f>IF(B424="","",TEXT(B424,"yyyymmdd")&amp;"-"&amp;TEXT(ROW()-1,"000"))</f>
        <v/>
      </c>
      <c r="B424" s="8" t="n"/>
      <c r="C424" s="9" t="n"/>
      <c r="D424" s="9" t="n"/>
      <c r="E424" s="9" t="n"/>
      <c r="F424" s="9" t="n"/>
      <c r="G424" s="9" t="n"/>
      <c r="H424" s="9" t="n"/>
      <c r="I424" s="9" t="n"/>
      <c r="J424" s="10" t="n"/>
      <c r="K424" s="9" t="n"/>
      <c r="L424" s="9" t="n"/>
      <c r="M424" s="9" t="n"/>
      <c r="N424" s="10" t="n"/>
      <c r="O424" s="9" t="n"/>
      <c r="P424" s="10" t="n"/>
      <c r="Q424" s="10" t="n"/>
      <c r="R424" s="9" t="n"/>
      <c r="S424" s="10" t="n"/>
      <c r="T424" s="10" t="n"/>
      <c r="U424" s="11" t="n"/>
      <c r="V424" s="11" t="n"/>
      <c r="W424" s="12">
        <f>IF(B424="","",B424+3)</f>
        <v/>
      </c>
      <c r="X424" s="12">
        <f>IF(B424="","",B424+5)</f>
        <v/>
      </c>
      <c r="Y424" s="12">
        <f>IF(B424="","",B424+10)</f>
        <v/>
      </c>
      <c r="Z424" s="13">
        <f>IF(B424="","",(--(B424&lt;&gt;"")+--(C424&lt;&gt;"")+--(D424&lt;&gt;"")+--(E424&lt;&gt;"")+--(F424&lt;&gt;"")+--(G424&lt;&gt;"")+--(H424&lt;&gt;"")+--(I424&lt;&gt;"")+--(J424&lt;&gt;"")+--(K424&lt;&gt;"")+--(L424&lt;&gt;"")+--(M424&lt;&gt;"")+--(N424&lt;&gt;"")+--(O424&lt;&gt;"")+--(P424&lt;&gt;"")+--(Q424&lt;&gt;"")+--(R424&lt;&gt;"")+--(S424&lt;&gt;"")+--(T424&lt;&gt;""))/19)</f>
        <v/>
      </c>
      <c r="AA424" s="16" t="n"/>
      <c r="AB424" s="16" t="n"/>
      <c r="AC424" s="16" t="n"/>
      <c r="AD424" s="16" t="n"/>
      <c r="AE424" s="7">
        <f>IF(B424="","",IF(AND(AA424="合格",AB424="合格",AC424="合格",AD424="合格"),"有效","无效"))</f>
        <v/>
      </c>
    </row>
    <row r="425">
      <c r="A425" s="7">
        <f>IF(B425="","",TEXT(B425,"yyyymmdd")&amp;"-"&amp;TEXT(ROW()-1,"000"))</f>
        <v/>
      </c>
      <c r="B425" s="8" t="n"/>
      <c r="C425" s="9" t="n"/>
      <c r="D425" s="9" t="n"/>
      <c r="E425" s="9" t="n"/>
      <c r="F425" s="9" t="n"/>
      <c r="G425" s="9" t="n"/>
      <c r="H425" s="9" t="n"/>
      <c r="I425" s="9" t="n"/>
      <c r="J425" s="10" t="n"/>
      <c r="K425" s="9" t="n"/>
      <c r="L425" s="9" t="n"/>
      <c r="M425" s="9" t="n"/>
      <c r="N425" s="10" t="n"/>
      <c r="O425" s="9" t="n"/>
      <c r="P425" s="10" t="n"/>
      <c r="Q425" s="10" t="n"/>
      <c r="R425" s="9" t="n"/>
      <c r="S425" s="10" t="n"/>
      <c r="T425" s="10" t="n"/>
      <c r="U425" s="11" t="n"/>
      <c r="V425" s="11" t="n"/>
      <c r="W425" s="12">
        <f>IF(B425="","",B425+3)</f>
        <v/>
      </c>
      <c r="X425" s="12">
        <f>IF(B425="","",B425+5)</f>
        <v/>
      </c>
      <c r="Y425" s="12">
        <f>IF(B425="","",B425+10)</f>
        <v/>
      </c>
      <c r="Z425" s="13">
        <f>IF(B425="","",(--(B425&lt;&gt;"")+--(C425&lt;&gt;"")+--(D425&lt;&gt;"")+--(E425&lt;&gt;"")+--(F425&lt;&gt;"")+--(G425&lt;&gt;"")+--(H425&lt;&gt;"")+--(I425&lt;&gt;"")+--(J425&lt;&gt;"")+--(K425&lt;&gt;"")+--(L425&lt;&gt;"")+--(M425&lt;&gt;"")+--(N425&lt;&gt;"")+--(O425&lt;&gt;"")+--(P425&lt;&gt;"")+--(Q425&lt;&gt;"")+--(R425&lt;&gt;"")+--(S425&lt;&gt;"")+--(T425&lt;&gt;""))/19)</f>
        <v/>
      </c>
      <c r="AA425" s="16" t="n"/>
      <c r="AB425" s="16" t="n"/>
      <c r="AC425" s="16" t="n"/>
      <c r="AD425" s="16" t="n"/>
      <c r="AE425" s="7">
        <f>IF(B425="","",IF(AND(AA425="合格",AB425="合格",AC425="合格",AD425="合格"),"有效","无效"))</f>
        <v/>
      </c>
    </row>
    <row r="426">
      <c r="A426" s="7">
        <f>IF(B426="","",TEXT(B426,"yyyymmdd")&amp;"-"&amp;TEXT(ROW()-1,"000"))</f>
        <v/>
      </c>
      <c r="B426" s="8" t="n"/>
      <c r="C426" s="9" t="n"/>
      <c r="D426" s="9" t="n"/>
      <c r="E426" s="9" t="n"/>
      <c r="F426" s="9" t="n"/>
      <c r="G426" s="9" t="n"/>
      <c r="H426" s="9" t="n"/>
      <c r="I426" s="9" t="n"/>
      <c r="J426" s="10" t="n"/>
      <c r="K426" s="9" t="n"/>
      <c r="L426" s="9" t="n"/>
      <c r="M426" s="9" t="n"/>
      <c r="N426" s="10" t="n"/>
      <c r="O426" s="9" t="n"/>
      <c r="P426" s="10" t="n"/>
      <c r="Q426" s="10" t="n"/>
      <c r="R426" s="9" t="n"/>
      <c r="S426" s="10" t="n"/>
      <c r="T426" s="10" t="n"/>
      <c r="U426" s="11" t="n"/>
      <c r="V426" s="11" t="n"/>
      <c r="W426" s="12">
        <f>IF(B426="","",B426+3)</f>
        <v/>
      </c>
      <c r="X426" s="12">
        <f>IF(B426="","",B426+5)</f>
        <v/>
      </c>
      <c r="Y426" s="12">
        <f>IF(B426="","",B426+10)</f>
        <v/>
      </c>
      <c r="Z426" s="13">
        <f>IF(B426="","",(--(B426&lt;&gt;"")+--(C426&lt;&gt;"")+--(D426&lt;&gt;"")+--(E426&lt;&gt;"")+--(F426&lt;&gt;"")+--(G426&lt;&gt;"")+--(H426&lt;&gt;"")+--(I426&lt;&gt;"")+--(J426&lt;&gt;"")+--(K426&lt;&gt;"")+--(L426&lt;&gt;"")+--(M426&lt;&gt;"")+--(N426&lt;&gt;"")+--(O426&lt;&gt;"")+--(P426&lt;&gt;"")+--(Q426&lt;&gt;"")+--(R426&lt;&gt;"")+--(S426&lt;&gt;"")+--(T426&lt;&gt;""))/19)</f>
        <v/>
      </c>
      <c r="AA426" s="16" t="n"/>
      <c r="AB426" s="16" t="n"/>
      <c r="AC426" s="16" t="n"/>
      <c r="AD426" s="16" t="n"/>
      <c r="AE426" s="7">
        <f>IF(B426="","",IF(AND(AA426="合格",AB426="合格",AC426="合格",AD426="合格"),"有效","无效"))</f>
        <v/>
      </c>
    </row>
    <row r="427">
      <c r="A427" s="7">
        <f>IF(B427="","",TEXT(B427,"yyyymmdd")&amp;"-"&amp;TEXT(ROW()-1,"000"))</f>
        <v/>
      </c>
      <c r="B427" s="8" t="n"/>
      <c r="C427" s="9" t="n"/>
      <c r="D427" s="9" t="n"/>
      <c r="E427" s="9" t="n"/>
      <c r="F427" s="9" t="n"/>
      <c r="G427" s="9" t="n"/>
      <c r="H427" s="9" t="n"/>
      <c r="I427" s="9" t="n"/>
      <c r="J427" s="10" t="n"/>
      <c r="K427" s="9" t="n"/>
      <c r="L427" s="9" t="n"/>
      <c r="M427" s="9" t="n"/>
      <c r="N427" s="10" t="n"/>
      <c r="O427" s="9" t="n"/>
      <c r="P427" s="10" t="n"/>
      <c r="Q427" s="10" t="n"/>
      <c r="R427" s="9" t="n"/>
      <c r="S427" s="10" t="n"/>
      <c r="T427" s="10" t="n"/>
      <c r="U427" s="11" t="n"/>
      <c r="V427" s="11" t="n"/>
      <c r="W427" s="12">
        <f>IF(B427="","",B427+3)</f>
        <v/>
      </c>
      <c r="X427" s="12">
        <f>IF(B427="","",B427+5)</f>
        <v/>
      </c>
      <c r="Y427" s="12">
        <f>IF(B427="","",B427+10)</f>
        <v/>
      </c>
      <c r="Z427" s="13">
        <f>IF(B427="","",(--(B427&lt;&gt;"")+--(C427&lt;&gt;"")+--(D427&lt;&gt;"")+--(E427&lt;&gt;"")+--(F427&lt;&gt;"")+--(G427&lt;&gt;"")+--(H427&lt;&gt;"")+--(I427&lt;&gt;"")+--(J427&lt;&gt;"")+--(K427&lt;&gt;"")+--(L427&lt;&gt;"")+--(M427&lt;&gt;"")+--(N427&lt;&gt;"")+--(O427&lt;&gt;"")+--(P427&lt;&gt;"")+--(Q427&lt;&gt;"")+--(R427&lt;&gt;"")+--(S427&lt;&gt;"")+--(T427&lt;&gt;""))/19)</f>
        <v/>
      </c>
      <c r="AA427" s="16" t="n"/>
      <c r="AB427" s="16" t="n"/>
      <c r="AC427" s="16" t="n"/>
      <c r="AD427" s="16" t="n"/>
      <c r="AE427" s="7">
        <f>IF(B427="","",IF(AND(AA427="合格",AB427="合格",AC427="合格",AD427="合格"),"有效","无效"))</f>
        <v/>
      </c>
    </row>
    <row r="428">
      <c r="A428" s="7">
        <f>IF(B428="","",TEXT(B428,"yyyymmdd")&amp;"-"&amp;TEXT(ROW()-1,"000"))</f>
        <v/>
      </c>
      <c r="B428" s="8" t="n"/>
      <c r="C428" s="9" t="n"/>
      <c r="D428" s="9" t="n"/>
      <c r="E428" s="9" t="n"/>
      <c r="F428" s="9" t="n"/>
      <c r="G428" s="9" t="n"/>
      <c r="H428" s="9" t="n"/>
      <c r="I428" s="9" t="n"/>
      <c r="J428" s="10" t="n"/>
      <c r="K428" s="9" t="n"/>
      <c r="L428" s="9" t="n"/>
      <c r="M428" s="9" t="n"/>
      <c r="N428" s="10" t="n"/>
      <c r="O428" s="9" t="n"/>
      <c r="P428" s="10" t="n"/>
      <c r="Q428" s="10" t="n"/>
      <c r="R428" s="9" t="n"/>
      <c r="S428" s="10" t="n"/>
      <c r="T428" s="10" t="n"/>
      <c r="U428" s="11" t="n"/>
      <c r="V428" s="11" t="n"/>
      <c r="W428" s="12">
        <f>IF(B428="","",B428+3)</f>
        <v/>
      </c>
      <c r="X428" s="12">
        <f>IF(B428="","",B428+5)</f>
        <v/>
      </c>
      <c r="Y428" s="12">
        <f>IF(B428="","",B428+10)</f>
        <v/>
      </c>
      <c r="Z428" s="13">
        <f>IF(B428="","",(--(B428&lt;&gt;"")+--(C428&lt;&gt;"")+--(D428&lt;&gt;"")+--(E428&lt;&gt;"")+--(F428&lt;&gt;"")+--(G428&lt;&gt;"")+--(H428&lt;&gt;"")+--(I428&lt;&gt;"")+--(J428&lt;&gt;"")+--(K428&lt;&gt;"")+--(L428&lt;&gt;"")+--(M428&lt;&gt;"")+--(N428&lt;&gt;"")+--(O428&lt;&gt;"")+--(P428&lt;&gt;"")+--(Q428&lt;&gt;"")+--(R428&lt;&gt;"")+--(S428&lt;&gt;"")+--(T428&lt;&gt;""))/19)</f>
        <v/>
      </c>
      <c r="AA428" s="16" t="n"/>
      <c r="AB428" s="16" t="n"/>
      <c r="AC428" s="16" t="n"/>
      <c r="AD428" s="16" t="n"/>
      <c r="AE428" s="7">
        <f>IF(B428="","",IF(AND(AA428="合格",AB428="合格",AC428="合格",AD428="合格"),"有效","无效"))</f>
        <v/>
      </c>
    </row>
    <row r="429">
      <c r="A429" s="7">
        <f>IF(B429="","",TEXT(B429,"yyyymmdd")&amp;"-"&amp;TEXT(ROW()-1,"000"))</f>
        <v/>
      </c>
      <c r="B429" s="8" t="n"/>
      <c r="C429" s="9" t="n"/>
      <c r="D429" s="9" t="n"/>
      <c r="E429" s="9" t="n"/>
      <c r="F429" s="9" t="n"/>
      <c r="G429" s="9" t="n"/>
      <c r="H429" s="9" t="n"/>
      <c r="I429" s="9" t="n"/>
      <c r="J429" s="10" t="n"/>
      <c r="K429" s="9" t="n"/>
      <c r="L429" s="9" t="n"/>
      <c r="M429" s="9" t="n"/>
      <c r="N429" s="10" t="n"/>
      <c r="O429" s="9" t="n"/>
      <c r="P429" s="10" t="n"/>
      <c r="Q429" s="10" t="n"/>
      <c r="R429" s="9" t="n"/>
      <c r="S429" s="10" t="n"/>
      <c r="T429" s="10" t="n"/>
      <c r="U429" s="11" t="n"/>
      <c r="V429" s="11" t="n"/>
      <c r="W429" s="12">
        <f>IF(B429="","",B429+3)</f>
        <v/>
      </c>
      <c r="X429" s="12">
        <f>IF(B429="","",B429+5)</f>
        <v/>
      </c>
      <c r="Y429" s="12">
        <f>IF(B429="","",B429+10)</f>
        <v/>
      </c>
      <c r="Z429" s="13">
        <f>IF(B429="","",(--(B429&lt;&gt;"")+--(C429&lt;&gt;"")+--(D429&lt;&gt;"")+--(E429&lt;&gt;"")+--(F429&lt;&gt;"")+--(G429&lt;&gt;"")+--(H429&lt;&gt;"")+--(I429&lt;&gt;"")+--(J429&lt;&gt;"")+--(K429&lt;&gt;"")+--(L429&lt;&gt;"")+--(M429&lt;&gt;"")+--(N429&lt;&gt;"")+--(O429&lt;&gt;"")+--(P429&lt;&gt;"")+--(Q429&lt;&gt;"")+--(R429&lt;&gt;"")+--(S429&lt;&gt;"")+--(T429&lt;&gt;""))/19)</f>
        <v/>
      </c>
      <c r="AA429" s="16" t="n"/>
      <c r="AB429" s="16" t="n"/>
      <c r="AC429" s="16" t="n"/>
      <c r="AD429" s="16" t="n"/>
      <c r="AE429" s="7">
        <f>IF(B429="","",IF(AND(AA429="合格",AB429="合格",AC429="合格",AD429="合格"),"有效","无效"))</f>
        <v/>
      </c>
    </row>
    <row r="430">
      <c r="A430" s="7">
        <f>IF(B430="","",TEXT(B430,"yyyymmdd")&amp;"-"&amp;TEXT(ROW()-1,"000"))</f>
        <v/>
      </c>
      <c r="B430" s="8" t="n"/>
      <c r="C430" s="9" t="n"/>
      <c r="D430" s="9" t="n"/>
      <c r="E430" s="9" t="n"/>
      <c r="F430" s="9" t="n"/>
      <c r="G430" s="9" t="n"/>
      <c r="H430" s="9" t="n"/>
      <c r="I430" s="9" t="n"/>
      <c r="J430" s="10" t="n"/>
      <c r="K430" s="9" t="n"/>
      <c r="L430" s="9" t="n"/>
      <c r="M430" s="9" t="n"/>
      <c r="N430" s="10" t="n"/>
      <c r="O430" s="9" t="n"/>
      <c r="P430" s="10" t="n"/>
      <c r="Q430" s="10" t="n"/>
      <c r="R430" s="9" t="n"/>
      <c r="S430" s="10" t="n"/>
      <c r="T430" s="10" t="n"/>
      <c r="U430" s="11" t="n"/>
      <c r="V430" s="11" t="n"/>
      <c r="W430" s="12">
        <f>IF(B430="","",B430+3)</f>
        <v/>
      </c>
      <c r="X430" s="12">
        <f>IF(B430="","",B430+5)</f>
        <v/>
      </c>
      <c r="Y430" s="12">
        <f>IF(B430="","",B430+10)</f>
        <v/>
      </c>
      <c r="Z430" s="13">
        <f>IF(B430="","",(--(B430&lt;&gt;"")+--(C430&lt;&gt;"")+--(D430&lt;&gt;"")+--(E430&lt;&gt;"")+--(F430&lt;&gt;"")+--(G430&lt;&gt;"")+--(H430&lt;&gt;"")+--(I430&lt;&gt;"")+--(J430&lt;&gt;"")+--(K430&lt;&gt;"")+--(L430&lt;&gt;"")+--(M430&lt;&gt;"")+--(N430&lt;&gt;"")+--(O430&lt;&gt;"")+--(P430&lt;&gt;"")+--(Q430&lt;&gt;"")+--(R430&lt;&gt;"")+--(S430&lt;&gt;"")+--(T430&lt;&gt;""))/19)</f>
        <v/>
      </c>
      <c r="AA430" s="16" t="n"/>
      <c r="AB430" s="16" t="n"/>
      <c r="AC430" s="16" t="n"/>
      <c r="AD430" s="16" t="n"/>
      <c r="AE430" s="7">
        <f>IF(B430="","",IF(AND(AA430="合格",AB430="合格",AC430="合格",AD430="合格"),"有效","无效"))</f>
        <v/>
      </c>
    </row>
    <row r="431">
      <c r="A431" s="7">
        <f>IF(B431="","",TEXT(B431,"yyyymmdd")&amp;"-"&amp;TEXT(ROW()-1,"000"))</f>
        <v/>
      </c>
      <c r="B431" s="8" t="n"/>
      <c r="C431" s="9" t="n"/>
      <c r="D431" s="9" t="n"/>
      <c r="E431" s="9" t="n"/>
      <c r="F431" s="9" t="n"/>
      <c r="G431" s="9" t="n"/>
      <c r="H431" s="9" t="n"/>
      <c r="I431" s="9" t="n"/>
      <c r="J431" s="10" t="n"/>
      <c r="K431" s="9" t="n"/>
      <c r="L431" s="9" t="n"/>
      <c r="M431" s="9" t="n"/>
      <c r="N431" s="10" t="n"/>
      <c r="O431" s="9" t="n"/>
      <c r="P431" s="10" t="n"/>
      <c r="Q431" s="10" t="n"/>
      <c r="R431" s="9" t="n"/>
      <c r="S431" s="10" t="n"/>
      <c r="T431" s="10" t="n"/>
      <c r="U431" s="11" t="n"/>
      <c r="V431" s="11" t="n"/>
      <c r="W431" s="12">
        <f>IF(B431="","",B431+3)</f>
        <v/>
      </c>
      <c r="X431" s="12">
        <f>IF(B431="","",B431+5)</f>
        <v/>
      </c>
      <c r="Y431" s="12">
        <f>IF(B431="","",B431+10)</f>
        <v/>
      </c>
      <c r="Z431" s="13">
        <f>IF(B431="","",(--(B431&lt;&gt;"")+--(C431&lt;&gt;"")+--(D431&lt;&gt;"")+--(E431&lt;&gt;"")+--(F431&lt;&gt;"")+--(G431&lt;&gt;"")+--(H431&lt;&gt;"")+--(I431&lt;&gt;"")+--(J431&lt;&gt;"")+--(K431&lt;&gt;"")+--(L431&lt;&gt;"")+--(M431&lt;&gt;"")+--(N431&lt;&gt;"")+--(O431&lt;&gt;"")+--(P431&lt;&gt;"")+--(Q431&lt;&gt;"")+--(R431&lt;&gt;"")+--(S431&lt;&gt;"")+--(T431&lt;&gt;""))/19)</f>
        <v/>
      </c>
      <c r="AA431" s="16" t="n"/>
      <c r="AB431" s="16" t="n"/>
      <c r="AC431" s="16" t="n"/>
      <c r="AD431" s="16" t="n"/>
      <c r="AE431" s="7">
        <f>IF(B431="","",IF(AND(AA431="合格",AB431="合格",AC431="合格",AD431="合格"),"有效","无效"))</f>
        <v/>
      </c>
    </row>
    <row r="432">
      <c r="A432" s="7">
        <f>IF(B432="","",TEXT(B432,"yyyymmdd")&amp;"-"&amp;TEXT(ROW()-1,"000"))</f>
        <v/>
      </c>
      <c r="B432" s="8" t="n"/>
      <c r="C432" s="9" t="n"/>
      <c r="D432" s="9" t="n"/>
      <c r="E432" s="9" t="n"/>
      <c r="F432" s="9" t="n"/>
      <c r="G432" s="9" t="n"/>
      <c r="H432" s="9" t="n"/>
      <c r="I432" s="9" t="n"/>
      <c r="J432" s="10" t="n"/>
      <c r="K432" s="9" t="n"/>
      <c r="L432" s="9" t="n"/>
      <c r="M432" s="9" t="n"/>
      <c r="N432" s="10" t="n"/>
      <c r="O432" s="9" t="n"/>
      <c r="P432" s="10" t="n"/>
      <c r="Q432" s="10" t="n"/>
      <c r="R432" s="9" t="n"/>
      <c r="S432" s="10" t="n"/>
      <c r="T432" s="10" t="n"/>
      <c r="U432" s="11" t="n"/>
      <c r="V432" s="11" t="n"/>
      <c r="W432" s="12">
        <f>IF(B432="","",B432+3)</f>
        <v/>
      </c>
      <c r="X432" s="12">
        <f>IF(B432="","",B432+5)</f>
        <v/>
      </c>
      <c r="Y432" s="12">
        <f>IF(B432="","",B432+10)</f>
        <v/>
      </c>
      <c r="Z432" s="13">
        <f>IF(B432="","",(--(B432&lt;&gt;"")+--(C432&lt;&gt;"")+--(D432&lt;&gt;"")+--(E432&lt;&gt;"")+--(F432&lt;&gt;"")+--(G432&lt;&gt;"")+--(H432&lt;&gt;"")+--(I432&lt;&gt;"")+--(J432&lt;&gt;"")+--(K432&lt;&gt;"")+--(L432&lt;&gt;"")+--(M432&lt;&gt;"")+--(N432&lt;&gt;"")+--(O432&lt;&gt;"")+--(P432&lt;&gt;"")+--(Q432&lt;&gt;"")+--(R432&lt;&gt;"")+--(S432&lt;&gt;"")+--(T432&lt;&gt;""))/19)</f>
        <v/>
      </c>
      <c r="AA432" s="16" t="n"/>
      <c r="AB432" s="16" t="n"/>
      <c r="AC432" s="16" t="n"/>
      <c r="AD432" s="16" t="n"/>
      <c r="AE432" s="7">
        <f>IF(B432="","",IF(AND(AA432="合格",AB432="合格",AC432="合格",AD432="合格"),"有效","无效"))</f>
        <v/>
      </c>
    </row>
    <row r="433">
      <c r="A433" s="7">
        <f>IF(B433="","",TEXT(B433,"yyyymmdd")&amp;"-"&amp;TEXT(ROW()-1,"000"))</f>
        <v/>
      </c>
      <c r="B433" s="8" t="n"/>
      <c r="C433" s="9" t="n"/>
      <c r="D433" s="9" t="n"/>
      <c r="E433" s="9" t="n"/>
      <c r="F433" s="9" t="n"/>
      <c r="G433" s="9" t="n"/>
      <c r="H433" s="9" t="n"/>
      <c r="I433" s="9" t="n"/>
      <c r="J433" s="10" t="n"/>
      <c r="K433" s="9" t="n"/>
      <c r="L433" s="9" t="n"/>
      <c r="M433" s="9" t="n"/>
      <c r="N433" s="10" t="n"/>
      <c r="O433" s="9" t="n"/>
      <c r="P433" s="10" t="n"/>
      <c r="Q433" s="10" t="n"/>
      <c r="R433" s="9" t="n"/>
      <c r="S433" s="10" t="n"/>
      <c r="T433" s="10" t="n"/>
      <c r="U433" s="11" t="n"/>
      <c r="V433" s="11" t="n"/>
      <c r="W433" s="12">
        <f>IF(B433="","",B433+3)</f>
        <v/>
      </c>
      <c r="X433" s="12">
        <f>IF(B433="","",B433+5)</f>
        <v/>
      </c>
      <c r="Y433" s="12">
        <f>IF(B433="","",B433+10)</f>
        <v/>
      </c>
      <c r="Z433" s="13">
        <f>IF(B433="","",(--(B433&lt;&gt;"")+--(C433&lt;&gt;"")+--(D433&lt;&gt;"")+--(E433&lt;&gt;"")+--(F433&lt;&gt;"")+--(G433&lt;&gt;"")+--(H433&lt;&gt;"")+--(I433&lt;&gt;"")+--(J433&lt;&gt;"")+--(K433&lt;&gt;"")+--(L433&lt;&gt;"")+--(M433&lt;&gt;"")+--(N433&lt;&gt;"")+--(O433&lt;&gt;"")+--(P433&lt;&gt;"")+--(Q433&lt;&gt;"")+--(R433&lt;&gt;"")+--(S433&lt;&gt;"")+--(T433&lt;&gt;""))/19)</f>
        <v/>
      </c>
      <c r="AA433" s="16" t="n"/>
      <c r="AB433" s="16" t="n"/>
      <c r="AC433" s="16" t="n"/>
      <c r="AD433" s="16" t="n"/>
      <c r="AE433" s="7">
        <f>IF(B433="","",IF(AND(AA433="合格",AB433="合格",AC433="合格",AD433="合格"),"有效","无效"))</f>
        <v/>
      </c>
    </row>
    <row r="434">
      <c r="A434" s="7">
        <f>IF(B434="","",TEXT(B434,"yyyymmdd")&amp;"-"&amp;TEXT(ROW()-1,"000"))</f>
        <v/>
      </c>
      <c r="B434" s="8" t="n"/>
      <c r="C434" s="9" t="n"/>
      <c r="D434" s="9" t="n"/>
      <c r="E434" s="9" t="n"/>
      <c r="F434" s="9" t="n"/>
      <c r="G434" s="9" t="n"/>
      <c r="H434" s="9" t="n"/>
      <c r="I434" s="9" t="n"/>
      <c r="J434" s="10" t="n"/>
      <c r="K434" s="9" t="n"/>
      <c r="L434" s="9" t="n"/>
      <c r="M434" s="9" t="n"/>
      <c r="N434" s="10" t="n"/>
      <c r="O434" s="9" t="n"/>
      <c r="P434" s="10" t="n"/>
      <c r="Q434" s="10" t="n"/>
      <c r="R434" s="9" t="n"/>
      <c r="S434" s="10" t="n"/>
      <c r="T434" s="10" t="n"/>
      <c r="U434" s="11" t="n"/>
      <c r="V434" s="11" t="n"/>
      <c r="W434" s="12">
        <f>IF(B434="","",B434+3)</f>
        <v/>
      </c>
      <c r="X434" s="12">
        <f>IF(B434="","",B434+5)</f>
        <v/>
      </c>
      <c r="Y434" s="12">
        <f>IF(B434="","",B434+10)</f>
        <v/>
      </c>
      <c r="Z434" s="13">
        <f>IF(B434="","",(--(B434&lt;&gt;"")+--(C434&lt;&gt;"")+--(D434&lt;&gt;"")+--(E434&lt;&gt;"")+--(F434&lt;&gt;"")+--(G434&lt;&gt;"")+--(H434&lt;&gt;"")+--(I434&lt;&gt;"")+--(J434&lt;&gt;"")+--(K434&lt;&gt;"")+--(L434&lt;&gt;"")+--(M434&lt;&gt;"")+--(N434&lt;&gt;"")+--(O434&lt;&gt;"")+--(P434&lt;&gt;"")+--(Q434&lt;&gt;"")+--(R434&lt;&gt;"")+--(S434&lt;&gt;"")+--(T434&lt;&gt;""))/19)</f>
        <v/>
      </c>
      <c r="AA434" s="16" t="n"/>
      <c r="AB434" s="16" t="n"/>
      <c r="AC434" s="16" t="n"/>
      <c r="AD434" s="16" t="n"/>
      <c r="AE434" s="7">
        <f>IF(B434="","",IF(AND(AA434="合格",AB434="合格",AC434="合格",AD434="合格"),"有效","无效"))</f>
        <v/>
      </c>
    </row>
    <row r="435">
      <c r="A435" s="7">
        <f>IF(B435="","",TEXT(B435,"yyyymmdd")&amp;"-"&amp;TEXT(ROW()-1,"000"))</f>
        <v/>
      </c>
      <c r="B435" s="8" t="n"/>
      <c r="C435" s="9" t="n"/>
      <c r="D435" s="9" t="n"/>
      <c r="E435" s="9" t="n"/>
      <c r="F435" s="9" t="n"/>
      <c r="G435" s="9" t="n"/>
      <c r="H435" s="9" t="n"/>
      <c r="I435" s="9" t="n"/>
      <c r="J435" s="10" t="n"/>
      <c r="K435" s="9" t="n"/>
      <c r="L435" s="9" t="n"/>
      <c r="M435" s="9" t="n"/>
      <c r="N435" s="10" t="n"/>
      <c r="O435" s="9" t="n"/>
      <c r="P435" s="10" t="n"/>
      <c r="Q435" s="10" t="n"/>
      <c r="R435" s="9" t="n"/>
      <c r="S435" s="10" t="n"/>
      <c r="T435" s="10" t="n"/>
      <c r="U435" s="11" t="n"/>
      <c r="V435" s="11" t="n"/>
      <c r="W435" s="12">
        <f>IF(B435="","",B435+3)</f>
        <v/>
      </c>
      <c r="X435" s="12">
        <f>IF(B435="","",B435+5)</f>
        <v/>
      </c>
      <c r="Y435" s="12">
        <f>IF(B435="","",B435+10)</f>
        <v/>
      </c>
      <c r="Z435" s="13">
        <f>IF(B435="","",(--(B435&lt;&gt;"")+--(C435&lt;&gt;"")+--(D435&lt;&gt;"")+--(E435&lt;&gt;"")+--(F435&lt;&gt;"")+--(G435&lt;&gt;"")+--(H435&lt;&gt;"")+--(I435&lt;&gt;"")+--(J435&lt;&gt;"")+--(K435&lt;&gt;"")+--(L435&lt;&gt;"")+--(M435&lt;&gt;"")+--(N435&lt;&gt;"")+--(O435&lt;&gt;"")+--(P435&lt;&gt;"")+--(Q435&lt;&gt;"")+--(R435&lt;&gt;"")+--(S435&lt;&gt;"")+--(T435&lt;&gt;""))/19)</f>
        <v/>
      </c>
      <c r="AA435" s="16" t="n"/>
      <c r="AB435" s="16" t="n"/>
      <c r="AC435" s="16" t="n"/>
      <c r="AD435" s="16" t="n"/>
      <c r="AE435" s="7">
        <f>IF(B435="","",IF(AND(AA435="合格",AB435="合格",AC435="合格",AD435="合格"),"有效","无效"))</f>
        <v/>
      </c>
    </row>
    <row r="436">
      <c r="A436" s="7">
        <f>IF(B436="","",TEXT(B436,"yyyymmdd")&amp;"-"&amp;TEXT(ROW()-1,"000"))</f>
        <v/>
      </c>
      <c r="B436" s="8" t="n"/>
      <c r="C436" s="9" t="n"/>
      <c r="D436" s="9" t="n"/>
      <c r="E436" s="9" t="n"/>
      <c r="F436" s="9" t="n"/>
      <c r="G436" s="9" t="n"/>
      <c r="H436" s="9" t="n"/>
      <c r="I436" s="9" t="n"/>
      <c r="J436" s="10" t="n"/>
      <c r="K436" s="9" t="n"/>
      <c r="L436" s="9" t="n"/>
      <c r="M436" s="9" t="n"/>
      <c r="N436" s="10" t="n"/>
      <c r="O436" s="9" t="n"/>
      <c r="P436" s="10" t="n"/>
      <c r="Q436" s="10" t="n"/>
      <c r="R436" s="9" t="n"/>
      <c r="S436" s="10" t="n"/>
      <c r="T436" s="10" t="n"/>
      <c r="U436" s="11" t="n"/>
      <c r="V436" s="11" t="n"/>
      <c r="W436" s="12">
        <f>IF(B436="","",B436+3)</f>
        <v/>
      </c>
      <c r="X436" s="12">
        <f>IF(B436="","",B436+5)</f>
        <v/>
      </c>
      <c r="Y436" s="12">
        <f>IF(B436="","",B436+10)</f>
        <v/>
      </c>
      <c r="Z436" s="13">
        <f>IF(B436="","",(--(B436&lt;&gt;"")+--(C436&lt;&gt;"")+--(D436&lt;&gt;"")+--(E436&lt;&gt;"")+--(F436&lt;&gt;"")+--(G436&lt;&gt;"")+--(H436&lt;&gt;"")+--(I436&lt;&gt;"")+--(J436&lt;&gt;"")+--(K436&lt;&gt;"")+--(L436&lt;&gt;"")+--(M436&lt;&gt;"")+--(N436&lt;&gt;"")+--(O436&lt;&gt;"")+--(P436&lt;&gt;"")+--(Q436&lt;&gt;"")+--(R436&lt;&gt;"")+--(S436&lt;&gt;"")+--(T436&lt;&gt;""))/19)</f>
        <v/>
      </c>
      <c r="AA436" s="16" t="n"/>
      <c r="AB436" s="16" t="n"/>
      <c r="AC436" s="16" t="n"/>
      <c r="AD436" s="16" t="n"/>
      <c r="AE436" s="7">
        <f>IF(B436="","",IF(AND(AA436="合格",AB436="合格",AC436="合格",AD436="合格"),"有效","无效"))</f>
        <v/>
      </c>
    </row>
    <row r="437">
      <c r="A437" s="7">
        <f>IF(B437="","",TEXT(B437,"yyyymmdd")&amp;"-"&amp;TEXT(ROW()-1,"000"))</f>
        <v/>
      </c>
      <c r="B437" s="8" t="n"/>
      <c r="C437" s="9" t="n"/>
      <c r="D437" s="9" t="n"/>
      <c r="E437" s="9" t="n"/>
      <c r="F437" s="9" t="n"/>
      <c r="G437" s="9" t="n"/>
      <c r="H437" s="9" t="n"/>
      <c r="I437" s="9" t="n"/>
      <c r="J437" s="10" t="n"/>
      <c r="K437" s="9" t="n"/>
      <c r="L437" s="9" t="n"/>
      <c r="M437" s="9" t="n"/>
      <c r="N437" s="10" t="n"/>
      <c r="O437" s="9" t="n"/>
      <c r="P437" s="10" t="n"/>
      <c r="Q437" s="10" t="n"/>
      <c r="R437" s="9" t="n"/>
      <c r="S437" s="10" t="n"/>
      <c r="T437" s="10" t="n"/>
      <c r="U437" s="11" t="n"/>
      <c r="V437" s="11" t="n"/>
      <c r="W437" s="12">
        <f>IF(B437="","",B437+3)</f>
        <v/>
      </c>
      <c r="X437" s="12">
        <f>IF(B437="","",B437+5)</f>
        <v/>
      </c>
      <c r="Y437" s="12">
        <f>IF(B437="","",B437+10)</f>
        <v/>
      </c>
      <c r="Z437" s="13">
        <f>IF(B437="","",(--(B437&lt;&gt;"")+--(C437&lt;&gt;"")+--(D437&lt;&gt;"")+--(E437&lt;&gt;"")+--(F437&lt;&gt;"")+--(G437&lt;&gt;"")+--(H437&lt;&gt;"")+--(I437&lt;&gt;"")+--(J437&lt;&gt;"")+--(K437&lt;&gt;"")+--(L437&lt;&gt;"")+--(M437&lt;&gt;"")+--(N437&lt;&gt;"")+--(O437&lt;&gt;"")+--(P437&lt;&gt;"")+--(Q437&lt;&gt;"")+--(R437&lt;&gt;"")+--(S437&lt;&gt;"")+--(T437&lt;&gt;""))/19)</f>
        <v/>
      </c>
      <c r="AA437" s="16" t="n"/>
      <c r="AB437" s="16" t="n"/>
      <c r="AC437" s="16" t="n"/>
      <c r="AD437" s="16" t="n"/>
      <c r="AE437" s="7">
        <f>IF(B437="","",IF(AND(AA437="合格",AB437="合格",AC437="合格",AD437="合格"),"有效","无效"))</f>
        <v/>
      </c>
    </row>
    <row r="438">
      <c r="A438" s="7">
        <f>IF(B438="","",TEXT(B438,"yyyymmdd")&amp;"-"&amp;TEXT(ROW()-1,"000"))</f>
        <v/>
      </c>
      <c r="B438" s="8" t="n"/>
      <c r="C438" s="9" t="n"/>
      <c r="D438" s="9" t="n"/>
      <c r="E438" s="9" t="n"/>
      <c r="F438" s="9" t="n"/>
      <c r="G438" s="9" t="n"/>
      <c r="H438" s="9" t="n"/>
      <c r="I438" s="9" t="n"/>
      <c r="J438" s="10" t="n"/>
      <c r="K438" s="9" t="n"/>
      <c r="L438" s="9" t="n"/>
      <c r="M438" s="9" t="n"/>
      <c r="N438" s="10" t="n"/>
      <c r="O438" s="9" t="n"/>
      <c r="P438" s="10" t="n"/>
      <c r="Q438" s="10" t="n"/>
      <c r="R438" s="9" t="n"/>
      <c r="S438" s="10" t="n"/>
      <c r="T438" s="10" t="n"/>
      <c r="U438" s="11" t="n"/>
      <c r="V438" s="11" t="n"/>
      <c r="W438" s="12">
        <f>IF(B438="","",B438+3)</f>
        <v/>
      </c>
      <c r="X438" s="12">
        <f>IF(B438="","",B438+5)</f>
        <v/>
      </c>
      <c r="Y438" s="12">
        <f>IF(B438="","",B438+10)</f>
        <v/>
      </c>
      <c r="Z438" s="13">
        <f>IF(B438="","",(--(B438&lt;&gt;"")+--(C438&lt;&gt;"")+--(D438&lt;&gt;"")+--(E438&lt;&gt;"")+--(F438&lt;&gt;"")+--(G438&lt;&gt;"")+--(H438&lt;&gt;"")+--(I438&lt;&gt;"")+--(J438&lt;&gt;"")+--(K438&lt;&gt;"")+--(L438&lt;&gt;"")+--(M438&lt;&gt;"")+--(N438&lt;&gt;"")+--(O438&lt;&gt;"")+--(P438&lt;&gt;"")+--(Q438&lt;&gt;"")+--(R438&lt;&gt;"")+--(S438&lt;&gt;"")+--(T438&lt;&gt;""))/19)</f>
        <v/>
      </c>
      <c r="AA438" s="16" t="n"/>
      <c r="AB438" s="16" t="n"/>
      <c r="AC438" s="16" t="n"/>
      <c r="AD438" s="16" t="n"/>
      <c r="AE438" s="7">
        <f>IF(B438="","",IF(AND(AA438="合格",AB438="合格",AC438="合格",AD438="合格"),"有效","无效"))</f>
        <v/>
      </c>
    </row>
    <row r="439">
      <c r="A439" s="7">
        <f>IF(B439="","",TEXT(B439,"yyyymmdd")&amp;"-"&amp;TEXT(ROW()-1,"000"))</f>
        <v/>
      </c>
      <c r="B439" s="8" t="n"/>
      <c r="C439" s="9" t="n"/>
      <c r="D439" s="9" t="n"/>
      <c r="E439" s="9" t="n"/>
      <c r="F439" s="9" t="n"/>
      <c r="G439" s="9" t="n"/>
      <c r="H439" s="9" t="n"/>
      <c r="I439" s="9" t="n"/>
      <c r="J439" s="10" t="n"/>
      <c r="K439" s="9" t="n"/>
      <c r="L439" s="9" t="n"/>
      <c r="M439" s="9" t="n"/>
      <c r="N439" s="10" t="n"/>
      <c r="O439" s="9" t="n"/>
      <c r="P439" s="10" t="n"/>
      <c r="Q439" s="10" t="n"/>
      <c r="R439" s="9" t="n"/>
      <c r="S439" s="10" t="n"/>
      <c r="T439" s="10" t="n"/>
      <c r="U439" s="11" t="n"/>
      <c r="V439" s="11" t="n"/>
      <c r="W439" s="12">
        <f>IF(B439="","",B439+3)</f>
        <v/>
      </c>
      <c r="X439" s="12">
        <f>IF(B439="","",B439+5)</f>
        <v/>
      </c>
      <c r="Y439" s="12">
        <f>IF(B439="","",B439+10)</f>
        <v/>
      </c>
      <c r="Z439" s="13">
        <f>IF(B439="","",(--(B439&lt;&gt;"")+--(C439&lt;&gt;"")+--(D439&lt;&gt;"")+--(E439&lt;&gt;"")+--(F439&lt;&gt;"")+--(G439&lt;&gt;"")+--(H439&lt;&gt;"")+--(I439&lt;&gt;"")+--(J439&lt;&gt;"")+--(K439&lt;&gt;"")+--(L439&lt;&gt;"")+--(M439&lt;&gt;"")+--(N439&lt;&gt;"")+--(O439&lt;&gt;"")+--(P439&lt;&gt;"")+--(Q439&lt;&gt;"")+--(R439&lt;&gt;"")+--(S439&lt;&gt;"")+--(T439&lt;&gt;""))/19)</f>
        <v/>
      </c>
      <c r="AA439" s="16" t="n"/>
      <c r="AB439" s="16" t="n"/>
      <c r="AC439" s="16" t="n"/>
      <c r="AD439" s="16" t="n"/>
      <c r="AE439" s="7">
        <f>IF(B439="","",IF(AND(AA439="合格",AB439="合格",AC439="合格",AD439="合格"),"有效","无效"))</f>
        <v/>
      </c>
    </row>
    <row r="440">
      <c r="A440" s="7">
        <f>IF(B440="","",TEXT(B440,"yyyymmdd")&amp;"-"&amp;TEXT(ROW()-1,"000"))</f>
        <v/>
      </c>
      <c r="B440" s="8" t="n"/>
      <c r="C440" s="9" t="n"/>
      <c r="D440" s="9" t="n"/>
      <c r="E440" s="9" t="n"/>
      <c r="F440" s="9" t="n"/>
      <c r="G440" s="9" t="n"/>
      <c r="H440" s="9" t="n"/>
      <c r="I440" s="9" t="n"/>
      <c r="J440" s="10" t="n"/>
      <c r="K440" s="9" t="n"/>
      <c r="L440" s="9" t="n"/>
      <c r="M440" s="9" t="n"/>
      <c r="N440" s="10" t="n"/>
      <c r="O440" s="9" t="n"/>
      <c r="P440" s="10" t="n"/>
      <c r="Q440" s="10" t="n"/>
      <c r="R440" s="9" t="n"/>
      <c r="S440" s="10" t="n"/>
      <c r="T440" s="10" t="n"/>
      <c r="U440" s="11" t="n"/>
      <c r="V440" s="11" t="n"/>
      <c r="W440" s="12">
        <f>IF(B440="","",B440+3)</f>
        <v/>
      </c>
      <c r="X440" s="12">
        <f>IF(B440="","",B440+5)</f>
        <v/>
      </c>
      <c r="Y440" s="12">
        <f>IF(B440="","",B440+10)</f>
        <v/>
      </c>
      <c r="Z440" s="13">
        <f>IF(B440="","",(--(B440&lt;&gt;"")+--(C440&lt;&gt;"")+--(D440&lt;&gt;"")+--(E440&lt;&gt;"")+--(F440&lt;&gt;"")+--(G440&lt;&gt;"")+--(H440&lt;&gt;"")+--(I440&lt;&gt;"")+--(J440&lt;&gt;"")+--(K440&lt;&gt;"")+--(L440&lt;&gt;"")+--(M440&lt;&gt;"")+--(N440&lt;&gt;"")+--(O440&lt;&gt;"")+--(P440&lt;&gt;"")+--(Q440&lt;&gt;"")+--(R440&lt;&gt;"")+--(S440&lt;&gt;"")+--(T440&lt;&gt;""))/19)</f>
        <v/>
      </c>
      <c r="AA440" s="16" t="n"/>
      <c r="AB440" s="16" t="n"/>
      <c r="AC440" s="16" t="n"/>
      <c r="AD440" s="16" t="n"/>
      <c r="AE440" s="7">
        <f>IF(B440="","",IF(AND(AA440="合格",AB440="合格",AC440="合格",AD440="合格"),"有效","无效"))</f>
        <v/>
      </c>
    </row>
    <row r="441">
      <c r="A441" s="7">
        <f>IF(B441="","",TEXT(B441,"yyyymmdd")&amp;"-"&amp;TEXT(ROW()-1,"000"))</f>
        <v/>
      </c>
      <c r="B441" s="8" t="n"/>
      <c r="C441" s="9" t="n"/>
      <c r="D441" s="9" t="n"/>
      <c r="E441" s="9" t="n"/>
      <c r="F441" s="9" t="n"/>
      <c r="G441" s="9" t="n"/>
      <c r="H441" s="9" t="n"/>
      <c r="I441" s="9" t="n"/>
      <c r="J441" s="10" t="n"/>
      <c r="K441" s="9" t="n"/>
      <c r="L441" s="9" t="n"/>
      <c r="M441" s="9" t="n"/>
      <c r="N441" s="10" t="n"/>
      <c r="O441" s="9" t="n"/>
      <c r="P441" s="10" t="n"/>
      <c r="Q441" s="10" t="n"/>
      <c r="R441" s="9" t="n"/>
      <c r="S441" s="10" t="n"/>
      <c r="T441" s="10" t="n"/>
      <c r="U441" s="11" t="n"/>
      <c r="V441" s="11" t="n"/>
      <c r="W441" s="12">
        <f>IF(B441="","",B441+3)</f>
        <v/>
      </c>
      <c r="X441" s="12">
        <f>IF(B441="","",B441+5)</f>
        <v/>
      </c>
      <c r="Y441" s="12">
        <f>IF(B441="","",B441+10)</f>
        <v/>
      </c>
      <c r="Z441" s="13">
        <f>IF(B441="","",(--(B441&lt;&gt;"")+--(C441&lt;&gt;"")+--(D441&lt;&gt;"")+--(E441&lt;&gt;"")+--(F441&lt;&gt;"")+--(G441&lt;&gt;"")+--(H441&lt;&gt;"")+--(I441&lt;&gt;"")+--(J441&lt;&gt;"")+--(K441&lt;&gt;"")+--(L441&lt;&gt;"")+--(M441&lt;&gt;"")+--(N441&lt;&gt;"")+--(O441&lt;&gt;"")+--(P441&lt;&gt;"")+--(Q441&lt;&gt;"")+--(R441&lt;&gt;"")+--(S441&lt;&gt;"")+--(T441&lt;&gt;""))/19)</f>
        <v/>
      </c>
      <c r="AA441" s="16" t="n"/>
      <c r="AB441" s="16" t="n"/>
      <c r="AC441" s="16" t="n"/>
      <c r="AD441" s="16" t="n"/>
      <c r="AE441" s="7">
        <f>IF(B441="","",IF(AND(AA441="合格",AB441="合格",AC441="合格",AD441="合格"),"有效","无效"))</f>
        <v/>
      </c>
    </row>
    <row r="442">
      <c r="A442" s="7">
        <f>IF(B442="","",TEXT(B442,"yyyymmdd")&amp;"-"&amp;TEXT(ROW()-1,"000"))</f>
        <v/>
      </c>
      <c r="B442" s="8" t="n"/>
      <c r="C442" s="9" t="n"/>
      <c r="D442" s="9" t="n"/>
      <c r="E442" s="9" t="n"/>
      <c r="F442" s="9" t="n"/>
      <c r="G442" s="9" t="n"/>
      <c r="H442" s="9" t="n"/>
      <c r="I442" s="9" t="n"/>
      <c r="J442" s="10" t="n"/>
      <c r="K442" s="9" t="n"/>
      <c r="L442" s="9" t="n"/>
      <c r="M442" s="9" t="n"/>
      <c r="N442" s="10" t="n"/>
      <c r="O442" s="9" t="n"/>
      <c r="P442" s="10" t="n"/>
      <c r="Q442" s="10" t="n"/>
      <c r="R442" s="9" t="n"/>
      <c r="S442" s="10" t="n"/>
      <c r="T442" s="10" t="n"/>
      <c r="U442" s="11" t="n"/>
      <c r="V442" s="11" t="n"/>
      <c r="W442" s="12">
        <f>IF(B442="","",B442+3)</f>
        <v/>
      </c>
      <c r="X442" s="12">
        <f>IF(B442="","",B442+5)</f>
        <v/>
      </c>
      <c r="Y442" s="12">
        <f>IF(B442="","",B442+10)</f>
        <v/>
      </c>
      <c r="Z442" s="13">
        <f>IF(B442="","",(--(B442&lt;&gt;"")+--(C442&lt;&gt;"")+--(D442&lt;&gt;"")+--(E442&lt;&gt;"")+--(F442&lt;&gt;"")+--(G442&lt;&gt;"")+--(H442&lt;&gt;"")+--(I442&lt;&gt;"")+--(J442&lt;&gt;"")+--(K442&lt;&gt;"")+--(L442&lt;&gt;"")+--(M442&lt;&gt;"")+--(N442&lt;&gt;"")+--(O442&lt;&gt;"")+--(P442&lt;&gt;"")+--(Q442&lt;&gt;"")+--(R442&lt;&gt;"")+--(S442&lt;&gt;"")+--(T442&lt;&gt;""))/19)</f>
        <v/>
      </c>
      <c r="AA442" s="16" t="n"/>
      <c r="AB442" s="16" t="n"/>
      <c r="AC442" s="16" t="n"/>
      <c r="AD442" s="16" t="n"/>
      <c r="AE442" s="7">
        <f>IF(B442="","",IF(AND(AA442="合格",AB442="合格",AC442="合格",AD442="合格"),"有效","无效"))</f>
        <v/>
      </c>
    </row>
    <row r="443">
      <c r="A443" s="7">
        <f>IF(B443="","",TEXT(B443,"yyyymmdd")&amp;"-"&amp;TEXT(ROW()-1,"000"))</f>
        <v/>
      </c>
      <c r="B443" s="8" t="n"/>
      <c r="C443" s="9" t="n"/>
      <c r="D443" s="9" t="n"/>
      <c r="E443" s="9" t="n"/>
      <c r="F443" s="9" t="n"/>
      <c r="G443" s="9" t="n"/>
      <c r="H443" s="9" t="n"/>
      <c r="I443" s="9" t="n"/>
      <c r="J443" s="10" t="n"/>
      <c r="K443" s="9" t="n"/>
      <c r="L443" s="9" t="n"/>
      <c r="M443" s="9" t="n"/>
      <c r="N443" s="10" t="n"/>
      <c r="O443" s="9" t="n"/>
      <c r="P443" s="10" t="n"/>
      <c r="Q443" s="10" t="n"/>
      <c r="R443" s="9" t="n"/>
      <c r="S443" s="10" t="n"/>
      <c r="T443" s="10" t="n"/>
      <c r="U443" s="11" t="n"/>
      <c r="V443" s="11" t="n"/>
      <c r="W443" s="12">
        <f>IF(B443="","",B443+3)</f>
        <v/>
      </c>
      <c r="X443" s="12">
        <f>IF(B443="","",B443+5)</f>
        <v/>
      </c>
      <c r="Y443" s="12">
        <f>IF(B443="","",B443+10)</f>
        <v/>
      </c>
      <c r="Z443" s="13">
        <f>IF(B443="","",(--(B443&lt;&gt;"")+--(C443&lt;&gt;"")+--(D443&lt;&gt;"")+--(E443&lt;&gt;"")+--(F443&lt;&gt;"")+--(G443&lt;&gt;"")+--(H443&lt;&gt;"")+--(I443&lt;&gt;"")+--(J443&lt;&gt;"")+--(K443&lt;&gt;"")+--(L443&lt;&gt;"")+--(M443&lt;&gt;"")+--(N443&lt;&gt;"")+--(O443&lt;&gt;"")+--(P443&lt;&gt;"")+--(Q443&lt;&gt;"")+--(R443&lt;&gt;"")+--(S443&lt;&gt;"")+--(T443&lt;&gt;""))/19)</f>
        <v/>
      </c>
      <c r="AA443" s="16" t="n"/>
      <c r="AB443" s="16" t="n"/>
      <c r="AC443" s="16" t="n"/>
      <c r="AD443" s="16" t="n"/>
      <c r="AE443" s="7">
        <f>IF(B443="","",IF(AND(AA443="合格",AB443="合格",AC443="合格",AD443="合格"),"有效","无效"))</f>
        <v/>
      </c>
    </row>
    <row r="444">
      <c r="A444" s="7">
        <f>IF(B444="","",TEXT(B444,"yyyymmdd")&amp;"-"&amp;TEXT(ROW()-1,"000"))</f>
        <v/>
      </c>
      <c r="B444" s="8" t="n"/>
      <c r="C444" s="9" t="n"/>
      <c r="D444" s="9" t="n"/>
      <c r="E444" s="9" t="n"/>
      <c r="F444" s="9" t="n"/>
      <c r="G444" s="9" t="n"/>
      <c r="H444" s="9" t="n"/>
      <c r="I444" s="9" t="n"/>
      <c r="J444" s="10" t="n"/>
      <c r="K444" s="9" t="n"/>
      <c r="L444" s="9" t="n"/>
      <c r="M444" s="9" t="n"/>
      <c r="N444" s="10" t="n"/>
      <c r="O444" s="9" t="n"/>
      <c r="P444" s="10" t="n"/>
      <c r="Q444" s="10" t="n"/>
      <c r="R444" s="9" t="n"/>
      <c r="S444" s="10" t="n"/>
      <c r="T444" s="10" t="n"/>
      <c r="U444" s="11" t="n"/>
      <c r="V444" s="11" t="n"/>
      <c r="W444" s="12">
        <f>IF(B444="","",B444+3)</f>
        <v/>
      </c>
      <c r="X444" s="12">
        <f>IF(B444="","",B444+5)</f>
        <v/>
      </c>
      <c r="Y444" s="12">
        <f>IF(B444="","",B444+10)</f>
        <v/>
      </c>
      <c r="Z444" s="13">
        <f>IF(B444="","",(--(B444&lt;&gt;"")+--(C444&lt;&gt;"")+--(D444&lt;&gt;"")+--(E444&lt;&gt;"")+--(F444&lt;&gt;"")+--(G444&lt;&gt;"")+--(H444&lt;&gt;"")+--(I444&lt;&gt;"")+--(J444&lt;&gt;"")+--(K444&lt;&gt;"")+--(L444&lt;&gt;"")+--(M444&lt;&gt;"")+--(N444&lt;&gt;"")+--(O444&lt;&gt;"")+--(P444&lt;&gt;"")+--(Q444&lt;&gt;"")+--(R444&lt;&gt;"")+--(S444&lt;&gt;"")+--(T444&lt;&gt;""))/19)</f>
        <v/>
      </c>
      <c r="AA444" s="16" t="n"/>
      <c r="AB444" s="16" t="n"/>
      <c r="AC444" s="16" t="n"/>
      <c r="AD444" s="16" t="n"/>
      <c r="AE444" s="7">
        <f>IF(B444="","",IF(AND(AA444="合格",AB444="合格",AC444="合格",AD444="合格"),"有效","无效"))</f>
        <v/>
      </c>
    </row>
    <row r="445">
      <c r="A445" s="7">
        <f>IF(B445="","",TEXT(B445,"yyyymmdd")&amp;"-"&amp;TEXT(ROW()-1,"000"))</f>
        <v/>
      </c>
      <c r="B445" s="8" t="n"/>
      <c r="C445" s="9" t="n"/>
      <c r="D445" s="9" t="n"/>
      <c r="E445" s="9" t="n"/>
      <c r="F445" s="9" t="n"/>
      <c r="G445" s="9" t="n"/>
      <c r="H445" s="9" t="n"/>
      <c r="I445" s="9" t="n"/>
      <c r="J445" s="10" t="n"/>
      <c r="K445" s="9" t="n"/>
      <c r="L445" s="9" t="n"/>
      <c r="M445" s="9" t="n"/>
      <c r="N445" s="10" t="n"/>
      <c r="O445" s="9" t="n"/>
      <c r="P445" s="10" t="n"/>
      <c r="Q445" s="10" t="n"/>
      <c r="R445" s="9" t="n"/>
      <c r="S445" s="10" t="n"/>
      <c r="T445" s="10" t="n"/>
      <c r="U445" s="11" t="n"/>
      <c r="V445" s="11" t="n"/>
      <c r="W445" s="12">
        <f>IF(B445="","",B445+3)</f>
        <v/>
      </c>
      <c r="X445" s="12">
        <f>IF(B445="","",B445+5)</f>
        <v/>
      </c>
      <c r="Y445" s="12">
        <f>IF(B445="","",B445+10)</f>
        <v/>
      </c>
      <c r="Z445" s="13">
        <f>IF(B445="","",(--(B445&lt;&gt;"")+--(C445&lt;&gt;"")+--(D445&lt;&gt;"")+--(E445&lt;&gt;"")+--(F445&lt;&gt;"")+--(G445&lt;&gt;"")+--(H445&lt;&gt;"")+--(I445&lt;&gt;"")+--(J445&lt;&gt;"")+--(K445&lt;&gt;"")+--(L445&lt;&gt;"")+--(M445&lt;&gt;"")+--(N445&lt;&gt;"")+--(O445&lt;&gt;"")+--(P445&lt;&gt;"")+--(Q445&lt;&gt;"")+--(R445&lt;&gt;"")+--(S445&lt;&gt;"")+--(T445&lt;&gt;""))/19)</f>
        <v/>
      </c>
      <c r="AA445" s="16" t="n"/>
      <c r="AB445" s="16" t="n"/>
      <c r="AC445" s="16" t="n"/>
      <c r="AD445" s="16" t="n"/>
      <c r="AE445" s="7">
        <f>IF(B445="","",IF(AND(AA445="合格",AB445="合格",AC445="合格",AD445="合格"),"有效","无效"))</f>
        <v/>
      </c>
    </row>
    <row r="446">
      <c r="A446" s="7">
        <f>IF(B446="","",TEXT(B446,"yyyymmdd")&amp;"-"&amp;TEXT(ROW()-1,"000"))</f>
        <v/>
      </c>
      <c r="B446" s="8" t="n"/>
      <c r="C446" s="9" t="n"/>
      <c r="D446" s="9" t="n"/>
      <c r="E446" s="9" t="n"/>
      <c r="F446" s="9" t="n"/>
      <c r="G446" s="9" t="n"/>
      <c r="H446" s="9" t="n"/>
      <c r="I446" s="9" t="n"/>
      <c r="J446" s="10" t="n"/>
      <c r="K446" s="9" t="n"/>
      <c r="L446" s="9" t="n"/>
      <c r="M446" s="9" t="n"/>
      <c r="N446" s="10" t="n"/>
      <c r="O446" s="9" t="n"/>
      <c r="P446" s="10" t="n"/>
      <c r="Q446" s="10" t="n"/>
      <c r="R446" s="9" t="n"/>
      <c r="S446" s="10" t="n"/>
      <c r="T446" s="10" t="n"/>
      <c r="U446" s="11" t="n"/>
      <c r="V446" s="11" t="n"/>
      <c r="W446" s="12">
        <f>IF(B446="","",B446+3)</f>
        <v/>
      </c>
      <c r="X446" s="12">
        <f>IF(B446="","",B446+5)</f>
        <v/>
      </c>
      <c r="Y446" s="12">
        <f>IF(B446="","",B446+10)</f>
        <v/>
      </c>
      <c r="Z446" s="13">
        <f>IF(B446="","",(--(B446&lt;&gt;"")+--(C446&lt;&gt;"")+--(D446&lt;&gt;"")+--(E446&lt;&gt;"")+--(F446&lt;&gt;"")+--(G446&lt;&gt;"")+--(H446&lt;&gt;"")+--(I446&lt;&gt;"")+--(J446&lt;&gt;"")+--(K446&lt;&gt;"")+--(L446&lt;&gt;"")+--(M446&lt;&gt;"")+--(N446&lt;&gt;"")+--(O446&lt;&gt;"")+--(P446&lt;&gt;"")+--(Q446&lt;&gt;"")+--(R446&lt;&gt;"")+--(S446&lt;&gt;"")+--(T446&lt;&gt;""))/19)</f>
        <v/>
      </c>
      <c r="AA446" s="16" t="n"/>
      <c r="AB446" s="16" t="n"/>
      <c r="AC446" s="16" t="n"/>
      <c r="AD446" s="16" t="n"/>
      <c r="AE446" s="7">
        <f>IF(B446="","",IF(AND(AA446="合格",AB446="合格",AC446="合格",AD446="合格"),"有效","无效"))</f>
        <v/>
      </c>
    </row>
    <row r="447">
      <c r="A447" s="7">
        <f>IF(B447="","",TEXT(B447,"yyyymmdd")&amp;"-"&amp;TEXT(ROW()-1,"000"))</f>
        <v/>
      </c>
      <c r="B447" s="8" t="n"/>
      <c r="C447" s="9" t="n"/>
      <c r="D447" s="9" t="n"/>
      <c r="E447" s="9" t="n"/>
      <c r="F447" s="9" t="n"/>
      <c r="G447" s="9" t="n"/>
      <c r="H447" s="9" t="n"/>
      <c r="I447" s="9" t="n"/>
      <c r="J447" s="10" t="n"/>
      <c r="K447" s="9" t="n"/>
      <c r="L447" s="9" t="n"/>
      <c r="M447" s="9" t="n"/>
      <c r="N447" s="10" t="n"/>
      <c r="O447" s="9" t="n"/>
      <c r="P447" s="10" t="n"/>
      <c r="Q447" s="10" t="n"/>
      <c r="R447" s="9" t="n"/>
      <c r="S447" s="10" t="n"/>
      <c r="T447" s="10" t="n"/>
      <c r="U447" s="11" t="n"/>
      <c r="V447" s="11" t="n"/>
      <c r="W447" s="12">
        <f>IF(B447="","",B447+3)</f>
        <v/>
      </c>
      <c r="X447" s="12">
        <f>IF(B447="","",B447+5)</f>
        <v/>
      </c>
      <c r="Y447" s="12">
        <f>IF(B447="","",B447+10)</f>
        <v/>
      </c>
      <c r="Z447" s="13">
        <f>IF(B447="","",(--(B447&lt;&gt;"")+--(C447&lt;&gt;"")+--(D447&lt;&gt;"")+--(E447&lt;&gt;"")+--(F447&lt;&gt;"")+--(G447&lt;&gt;"")+--(H447&lt;&gt;"")+--(I447&lt;&gt;"")+--(J447&lt;&gt;"")+--(K447&lt;&gt;"")+--(L447&lt;&gt;"")+--(M447&lt;&gt;"")+--(N447&lt;&gt;"")+--(O447&lt;&gt;"")+--(P447&lt;&gt;"")+--(Q447&lt;&gt;"")+--(R447&lt;&gt;"")+--(S447&lt;&gt;"")+--(T447&lt;&gt;""))/19)</f>
        <v/>
      </c>
      <c r="AA447" s="16" t="n"/>
      <c r="AB447" s="16" t="n"/>
      <c r="AC447" s="16" t="n"/>
      <c r="AD447" s="16" t="n"/>
      <c r="AE447" s="7">
        <f>IF(B447="","",IF(AND(AA447="合格",AB447="合格",AC447="合格",AD447="合格"),"有效","无效"))</f>
        <v/>
      </c>
    </row>
    <row r="448">
      <c r="A448" s="7">
        <f>IF(B448="","",TEXT(B448,"yyyymmdd")&amp;"-"&amp;TEXT(ROW()-1,"000"))</f>
        <v/>
      </c>
      <c r="B448" s="8" t="n"/>
      <c r="C448" s="9" t="n"/>
      <c r="D448" s="9" t="n"/>
      <c r="E448" s="9" t="n"/>
      <c r="F448" s="9" t="n"/>
      <c r="G448" s="9" t="n"/>
      <c r="H448" s="9" t="n"/>
      <c r="I448" s="9" t="n"/>
      <c r="J448" s="10" t="n"/>
      <c r="K448" s="9" t="n"/>
      <c r="L448" s="9" t="n"/>
      <c r="M448" s="9" t="n"/>
      <c r="N448" s="10" t="n"/>
      <c r="O448" s="9" t="n"/>
      <c r="P448" s="10" t="n"/>
      <c r="Q448" s="10" t="n"/>
      <c r="R448" s="9" t="n"/>
      <c r="S448" s="10" t="n"/>
      <c r="T448" s="10" t="n"/>
      <c r="U448" s="11" t="n"/>
      <c r="V448" s="11" t="n"/>
      <c r="W448" s="12">
        <f>IF(B448="","",B448+3)</f>
        <v/>
      </c>
      <c r="X448" s="12">
        <f>IF(B448="","",B448+5)</f>
        <v/>
      </c>
      <c r="Y448" s="12">
        <f>IF(B448="","",B448+10)</f>
        <v/>
      </c>
      <c r="Z448" s="13">
        <f>IF(B448="","",(--(B448&lt;&gt;"")+--(C448&lt;&gt;"")+--(D448&lt;&gt;"")+--(E448&lt;&gt;"")+--(F448&lt;&gt;"")+--(G448&lt;&gt;"")+--(H448&lt;&gt;"")+--(I448&lt;&gt;"")+--(J448&lt;&gt;"")+--(K448&lt;&gt;"")+--(L448&lt;&gt;"")+--(M448&lt;&gt;"")+--(N448&lt;&gt;"")+--(O448&lt;&gt;"")+--(P448&lt;&gt;"")+--(Q448&lt;&gt;"")+--(R448&lt;&gt;"")+--(S448&lt;&gt;"")+--(T448&lt;&gt;""))/19)</f>
        <v/>
      </c>
      <c r="AA448" s="16" t="n"/>
      <c r="AB448" s="16" t="n"/>
      <c r="AC448" s="16" t="n"/>
      <c r="AD448" s="16" t="n"/>
      <c r="AE448" s="7">
        <f>IF(B448="","",IF(AND(AA448="合格",AB448="合格",AC448="合格",AD448="合格"),"有效","无效"))</f>
        <v/>
      </c>
    </row>
    <row r="449">
      <c r="A449" s="7">
        <f>IF(B449="","",TEXT(B449,"yyyymmdd")&amp;"-"&amp;TEXT(ROW()-1,"000"))</f>
        <v/>
      </c>
      <c r="B449" s="8" t="n"/>
      <c r="C449" s="9" t="n"/>
      <c r="D449" s="9" t="n"/>
      <c r="E449" s="9" t="n"/>
      <c r="F449" s="9" t="n"/>
      <c r="G449" s="9" t="n"/>
      <c r="H449" s="9" t="n"/>
      <c r="I449" s="9" t="n"/>
      <c r="J449" s="10" t="n"/>
      <c r="K449" s="9" t="n"/>
      <c r="L449" s="9" t="n"/>
      <c r="M449" s="9" t="n"/>
      <c r="N449" s="10" t="n"/>
      <c r="O449" s="9" t="n"/>
      <c r="P449" s="10" t="n"/>
      <c r="Q449" s="10" t="n"/>
      <c r="R449" s="9" t="n"/>
      <c r="S449" s="10" t="n"/>
      <c r="T449" s="10" t="n"/>
      <c r="U449" s="11" t="n"/>
      <c r="V449" s="11" t="n"/>
      <c r="W449" s="12">
        <f>IF(B449="","",B449+3)</f>
        <v/>
      </c>
      <c r="X449" s="12">
        <f>IF(B449="","",B449+5)</f>
        <v/>
      </c>
      <c r="Y449" s="12">
        <f>IF(B449="","",B449+10)</f>
        <v/>
      </c>
      <c r="Z449" s="13">
        <f>IF(B449="","",(--(B449&lt;&gt;"")+--(C449&lt;&gt;"")+--(D449&lt;&gt;"")+--(E449&lt;&gt;"")+--(F449&lt;&gt;"")+--(G449&lt;&gt;"")+--(H449&lt;&gt;"")+--(I449&lt;&gt;"")+--(J449&lt;&gt;"")+--(K449&lt;&gt;"")+--(L449&lt;&gt;"")+--(M449&lt;&gt;"")+--(N449&lt;&gt;"")+--(O449&lt;&gt;"")+--(P449&lt;&gt;"")+--(Q449&lt;&gt;"")+--(R449&lt;&gt;"")+--(S449&lt;&gt;"")+--(T449&lt;&gt;""))/19)</f>
        <v/>
      </c>
      <c r="AA449" s="16" t="n"/>
      <c r="AB449" s="16" t="n"/>
      <c r="AC449" s="16" t="n"/>
      <c r="AD449" s="16" t="n"/>
      <c r="AE449" s="7">
        <f>IF(B449="","",IF(AND(AA449="合格",AB449="合格",AC449="合格",AD449="合格"),"有效","无效"))</f>
        <v/>
      </c>
    </row>
    <row r="450">
      <c r="A450" s="7">
        <f>IF(B450="","",TEXT(B450,"yyyymmdd")&amp;"-"&amp;TEXT(ROW()-1,"000"))</f>
        <v/>
      </c>
      <c r="B450" s="8" t="n"/>
      <c r="C450" s="9" t="n"/>
      <c r="D450" s="9" t="n"/>
      <c r="E450" s="9" t="n"/>
      <c r="F450" s="9" t="n"/>
      <c r="G450" s="9" t="n"/>
      <c r="H450" s="9" t="n"/>
      <c r="I450" s="9" t="n"/>
      <c r="J450" s="10" t="n"/>
      <c r="K450" s="9" t="n"/>
      <c r="L450" s="9" t="n"/>
      <c r="M450" s="9" t="n"/>
      <c r="N450" s="10" t="n"/>
      <c r="O450" s="9" t="n"/>
      <c r="P450" s="10" t="n"/>
      <c r="Q450" s="10" t="n"/>
      <c r="R450" s="9" t="n"/>
      <c r="S450" s="10" t="n"/>
      <c r="T450" s="10" t="n"/>
      <c r="U450" s="11" t="n"/>
      <c r="V450" s="11" t="n"/>
      <c r="W450" s="12">
        <f>IF(B450="","",B450+3)</f>
        <v/>
      </c>
      <c r="X450" s="12">
        <f>IF(B450="","",B450+5)</f>
        <v/>
      </c>
      <c r="Y450" s="12">
        <f>IF(B450="","",B450+10)</f>
        <v/>
      </c>
      <c r="Z450" s="13">
        <f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6" t="n"/>
      <c r="AB450" s="16" t="n"/>
      <c r="AC450" s="16" t="n"/>
      <c r="AD450" s="16" t="n"/>
      <c r="AE450" s="7">
        <f>IF(B450="","",IF(AND(AA450="合格",AB450="合格",AC450="合格",AD450="合格"),"有效","无效"))</f>
        <v/>
      </c>
    </row>
    <row r="451">
      <c r="A451" s="7">
        <f>IF(B451="","",TEXT(B451,"yyyymmdd")&amp;"-"&amp;TEXT(ROW()-1,"000"))</f>
        <v/>
      </c>
      <c r="B451" s="8" t="n"/>
      <c r="C451" s="9" t="n"/>
      <c r="D451" s="9" t="n"/>
      <c r="E451" s="9" t="n"/>
      <c r="F451" s="9" t="n"/>
      <c r="G451" s="9" t="n"/>
      <c r="H451" s="9" t="n"/>
      <c r="I451" s="9" t="n"/>
      <c r="J451" s="10" t="n"/>
      <c r="K451" s="9" t="n"/>
      <c r="L451" s="9" t="n"/>
      <c r="M451" s="9" t="n"/>
      <c r="N451" s="10" t="n"/>
      <c r="O451" s="9" t="n"/>
      <c r="P451" s="10" t="n"/>
      <c r="Q451" s="10" t="n"/>
      <c r="R451" s="9" t="n"/>
      <c r="S451" s="10" t="n"/>
      <c r="T451" s="10" t="n"/>
      <c r="U451" s="11" t="n"/>
      <c r="V451" s="11" t="n"/>
      <c r="W451" s="12">
        <f>IF(B451="","",B451+3)</f>
        <v/>
      </c>
      <c r="X451" s="12">
        <f>IF(B451="","",B451+5)</f>
        <v/>
      </c>
      <c r="Y451" s="12">
        <f>IF(B451="","",B451+10)</f>
        <v/>
      </c>
      <c r="Z451" s="13">
        <f>IF(B451="","",(--(B451&lt;&gt;"")+--(C451&lt;&gt;"")+--(D451&lt;&gt;"")+--(E451&lt;&gt;"")+--(F451&lt;&gt;"")+--(G451&lt;&gt;"")+--(H451&lt;&gt;"")+--(I451&lt;&gt;"")+--(J451&lt;&gt;"")+--(K451&lt;&gt;"")+--(L451&lt;&gt;"")+--(M451&lt;&gt;"")+--(N451&lt;&gt;"")+--(O451&lt;&gt;"")+--(P451&lt;&gt;"")+--(Q451&lt;&gt;"")+--(R451&lt;&gt;"")+--(S451&lt;&gt;"")+--(T451&lt;&gt;""))/19)</f>
        <v/>
      </c>
      <c r="AA451" s="16" t="n"/>
      <c r="AB451" s="16" t="n"/>
      <c r="AC451" s="16" t="n"/>
      <c r="AD451" s="16" t="n"/>
      <c r="AE451" s="7">
        <f>IF(B451="","",IF(AND(AA451="合格",AB451="合格",AC451="合格",AD451="合格"),"有效","无效"))</f>
        <v/>
      </c>
    </row>
    <row r="452">
      <c r="A452" s="7">
        <f>IF(B452="","",TEXT(B452,"yyyymmdd")&amp;"-"&amp;TEXT(ROW()-1,"000"))</f>
        <v/>
      </c>
      <c r="B452" s="8" t="n"/>
      <c r="C452" s="9" t="n"/>
      <c r="D452" s="9" t="n"/>
      <c r="E452" s="9" t="n"/>
      <c r="F452" s="9" t="n"/>
      <c r="G452" s="9" t="n"/>
      <c r="H452" s="9" t="n"/>
      <c r="I452" s="9" t="n"/>
      <c r="J452" s="10" t="n"/>
      <c r="K452" s="9" t="n"/>
      <c r="L452" s="9" t="n"/>
      <c r="M452" s="9" t="n"/>
      <c r="N452" s="10" t="n"/>
      <c r="O452" s="9" t="n"/>
      <c r="P452" s="10" t="n"/>
      <c r="Q452" s="10" t="n"/>
      <c r="R452" s="9" t="n"/>
      <c r="S452" s="10" t="n"/>
      <c r="T452" s="10" t="n"/>
      <c r="U452" s="11" t="n"/>
      <c r="V452" s="11" t="n"/>
      <c r="W452" s="12">
        <f>IF(B452="","",B452+3)</f>
        <v/>
      </c>
      <c r="X452" s="12">
        <f>IF(B452="","",B452+5)</f>
        <v/>
      </c>
      <c r="Y452" s="12">
        <f>IF(B452="","",B452+10)</f>
        <v/>
      </c>
      <c r="Z452" s="13">
        <f>IF(B452="","",(--(B452&lt;&gt;"")+--(C452&lt;&gt;"")+--(D452&lt;&gt;"")+--(E452&lt;&gt;"")+--(F452&lt;&gt;"")+--(G452&lt;&gt;"")+--(H452&lt;&gt;"")+--(I452&lt;&gt;"")+--(J452&lt;&gt;"")+--(K452&lt;&gt;"")+--(L452&lt;&gt;"")+--(M452&lt;&gt;"")+--(N452&lt;&gt;"")+--(O452&lt;&gt;"")+--(P452&lt;&gt;"")+--(Q452&lt;&gt;"")+--(R452&lt;&gt;"")+--(S452&lt;&gt;"")+--(T452&lt;&gt;""))/19)</f>
        <v/>
      </c>
      <c r="AA452" s="16" t="n"/>
      <c r="AB452" s="16" t="n"/>
      <c r="AC452" s="16" t="n"/>
      <c r="AD452" s="16" t="n"/>
      <c r="AE452" s="7">
        <f>IF(B452="","",IF(AND(AA452="合格",AB452="合格",AC452="合格",AD452="合格"),"有效","无效"))</f>
        <v/>
      </c>
    </row>
    <row r="453">
      <c r="A453" s="7">
        <f>IF(B453="","",TEXT(B453,"yyyymmdd")&amp;"-"&amp;TEXT(ROW()-1,"000"))</f>
        <v/>
      </c>
      <c r="B453" s="8" t="n"/>
      <c r="C453" s="9" t="n"/>
      <c r="D453" s="9" t="n"/>
      <c r="E453" s="9" t="n"/>
      <c r="F453" s="9" t="n"/>
      <c r="G453" s="9" t="n"/>
      <c r="H453" s="9" t="n"/>
      <c r="I453" s="9" t="n"/>
      <c r="J453" s="10" t="n"/>
      <c r="K453" s="9" t="n"/>
      <c r="L453" s="9" t="n"/>
      <c r="M453" s="9" t="n"/>
      <c r="N453" s="10" t="n"/>
      <c r="O453" s="9" t="n"/>
      <c r="P453" s="10" t="n"/>
      <c r="Q453" s="10" t="n"/>
      <c r="R453" s="9" t="n"/>
      <c r="S453" s="10" t="n"/>
      <c r="T453" s="10" t="n"/>
      <c r="U453" s="11" t="n"/>
      <c r="V453" s="11" t="n"/>
      <c r="W453" s="12">
        <f>IF(B453="","",B453+3)</f>
        <v/>
      </c>
      <c r="X453" s="12">
        <f>IF(B453="","",B453+5)</f>
        <v/>
      </c>
      <c r="Y453" s="12">
        <f>IF(B453="","",B453+10)</f>
        <v/>
      </c>
      <c r="Z453" s="13">
        <f>IF(B453="","",(--(B453&lt;&gt;"")+--(C453&lt;&gt;"")+--(D453&lt;&gt;"")+--(E453&lt;&gt;"")+--(F453&lt;&gt;"")+--(G453&lt;&gt;"")+--(H453&lt;&gt;"")+--(I453&lt;&gt;"")+--(J453&lt;&gt;"")+--(K453&lt;&gt;"")+--(L453&lt;&gt;"")+--(M453&lt;&gt;"")+--(N453&lt;&gt;"")+--(O453&lt;&gt;"")+--(P453&lt;&gt;"")+--(Q453&lt;&gt;"")+--(R453&lt;&gt;"")+--(S453&lt;&gt;"")+--(T453&lt;&gt;""))/19)</f>
        <v/>
      </c>
      <c r="AA453" s="16" t="n"/>
      <c r="AB453" s="16" t="n"/>
      <c r="AC453" s="16" t="n"/>
      <c r="AD453" s="16" t="n"/>
      <c r="AE453" s="7">
        <f>IF(B453="","",IF(AND(AA453="合格",AB453="合格",AC453="合格",AD453="合格"),"有效","无效"))</f>
        <v/>
      </c>
    </row>
    <row r="454">
      <c r="A454" s="7">
        <f>IF(B454="","",TEXT(B454,"yyyymmdd")&amp;"-"&amp;TEXT(ROW()-1,"000"))</f>
        <v/>
      </c>
      <c r="B454" s="8" t="n"/>
      <c r="C454" s="9" t="n"/>
      <c r="D454" s="9" t="n"/>
      <c r="E454" s="9" t="n"/>
      <c r="F454" s="9" t="n"/>
      <c r="G454" s="9" t="n"/>
      <c r="H454" s="9" t="n"/>
      <c r="I454" s="9" t="n"/>
      <c r="J454" s="10" t="n"/>
      <c r="K454" s="9" t="n"/>
      <c r="L454" s="9" t="n"/>
      <c r="M454" s="9" t="n"/>
      <c r="N454" s="10" t="n"/>
      <c r="O454" s="9" t="n"/>
      <c r="P454" s="10" t="n"/>
      <c r="Q454" s="10" t="n"/>
      <c r="R454" s="9" t="n"/>
      <c r="S454" s="10" t="n"/>
      <c r="T454" s="10" t="n"/>
      <c r="U454" s="11" t="n"/>
      <c r="V454" s="11" t="n"/>
      <c r="W454" s="12">
        <f>IF(B454="","",B454+3)</f>
        <v/>
      </c>
      <c r="X454" s="12">
        <f>IF(B454="","",B454+5)</f>
        <v/>
      </c>
      <c r="Y454" s="12">
        <f>IF(B454="","",B454+10)</f>
        <v/>
      </c>
      <c r="Z454" s="13">
        <f>IF(B454="","",(--(B454&lt;&gt;"")+--(C454&lt;&gt;"")+--(D454&lt;&gt;"")+--(E454&lt;&gt;"")+--(F454&lt;&gt;"")+--(G454&lt;&gt;"")+--(H454&lt;&gt;"")+--(I454&lt;&gt;"")+--(J454&lt;&gt;"")+--(K454&lt;&gt;"")+--(L454&lt;&gt;"")+--(M454&lt;&gt;"")+--(N454&lt;&gt;"")+--(O454&lt;&gt;"")+--(P454&lt;&gt;"")+--(Q454&lt;&gt;"")+--(R454&lt;&gt;"")+--(S454&lt;&gt;"")+--(T454&lt;&gt;""))/19)</f>
        <v/>
      </c>
      <c r="AA454" s="16" t="n"/>
      <c r="AB454" s="16" t="n"/>
      <c r="AC454" s="16" t="n"/>
      <c r="AD454" s="16" t="n"/>
      <c r="AE454" s="7">
        <f>IF(B454="","",IF(AND(AA454="合格",AB454="合格",AC454="合格",AD454="合格"),"有效","无效"))</f>
        <v/>
      </c>
    </row>
    <row r="455">
      <c r="A455" s="7">
        <f>IF(B455="","",TEXT(B455,"yyyymmdd")&amp;"-"&amp;TEXT(ROW()-1,"000"))</f>
        <v/>
      </c>
      <c r="B455" s="8" t="n"/>
      <c r="C455" s="9" t="n"/>
      <c r="D455" s="9" t="n"/>
      <c r="E455" s="9" t="n"/>
      <c r="F455" s="9" t="n"/>
      <c r="G455" s="9" t="n"/>
      <c r="H455" s="9" t="n"/>
      <c r="I455" s="9" t="n"/>
      <c r="J455" s="10" t="n"/>
      <c r="K455" s="9" t="n"/>
      <c r="L455" s="9" t="n"/>
      <c r="M455" s="9" t="n"/>
      <c r="N455" s="10" t="n"/>
      <c r="O455" s="9" t="n"/>
      <c r="P455" s="10" t="n"/>
      <c r="Q455" s="10" t="n"/>
      <c r="R455" s="9" t="n"/>
      <c r="S455" s="10" t="n"/>
      <c r="T455" s="10" t="n"/>
      <c r="U455" s="11" t="n"/>
      <c r="V455" s="11" t="n"/>
      <c r="W455" s="12">
        <f>IF(B455="","",B455+3)</f>
        <v/>
      </c>
      <c r="X455" s="12">
        <f>IF(B455="","",B455+5)</f>
        <v/>
      </c>
      <c r="Y455" s="12">
        <f>IF(B455="","",B455+10)</f>
        <v/>
      </c>
      <c r="Z455" s="13">
        <f>IF(B455="","",(--(B455&lt;&gt;"")+--(C455&lt;&gt;"")+--(D455&lt;&gt;"")+--(E455&lt;&gt;"")+--(F455&lt;&gt;"")+--(G455&lt;&gt;"")+--(H455&lt;&gt;"")+--(I455&lt;&gt;"")+--(J455&lt;&gt;"")+--(K455&lt;&gt;"")+--(L455&lt;&gt;"")+--(M455&lt;&gt;"")+--(N455&lt;&gt;"")+--(O455&lt;&gt;"")+--(P455&lt;&gt;"")+--(Q455&lt;&gt;"")+--(R455&lt;&gt;"")+--(S455&lt;&gt;"")+--(T455&lt;&gt;""))/19)</f>
        <v/>
      </c>
      <c r="AA455" s="16" t="n"/>
      <c r="AB455" s="16" t="n"/>
      <c r="AC455" s="16" t="n"/>
      <c r="AD455" s="16" t="n"/>
      <c r="AE455" s="7">
        <f>IF(B455="","",IF(AND(AA455="合格",AB455="合格",AC455="合格",AD455="合格"),"有效","无效"))</f>
        <v/>
      </c>
    </row>
    <row r="456">
      <c r="A456" s="7">
        <f>IF(B456="","",TEXT(B456,"yyyymmdd")&amp;"-"&amp;TEXT(ROW()-1,"000"))</f>
        <v/>
      </c>
      <c r="B456" s="8" t="n"/>
      <c r="C456" s="9" t="n"/>
      <c r="D456" s="9" t="n"/>
      <c r="E456" s="9" t="n"/>
      <c r="F456" s="9" t="n"/>
      <c r="G456" s="9" t="n"/>
      <c r="H456" s="9" t="n"/>
      <c r="I456" s="9" t="n"/>
      <c r="J456" s="10" t="n"/>
      <c r="K456" s="9" t="n"/>
      <c r="L456" s="9" t="n"/>
      <c r="M456" s="9" t="n"/>
      <c r="N456" s="10" t="n"/>
      <c r="O456" s="9" t="n"/>
      <c r="P456" s="10" t="n"/>
      <c r="Q456" s="10" t="n"/>
      <c r="R456" s="9" t="n"/>
      <c r="S456" s="10" t="n"/>
      <c r="T456" s="10" t="n"/>
      <c r="U456" s="11" t="n"/>
      <c r="V456" s="11" t="n"/>
      <c r="W456" s="12">
        <f>IF(B456="","",B456+3)</f>
        <v/>
      </c>
      <c r="X456" s="12">
        <f>IF(B456="","",B456+5)</f>
        <v/>
      </c>
      <c r="Y456" s="12">
        <f>IF(B456="","",B456+10)</f>
        <v/>
      </c>
      <c r="Z456" s="13">
        <f>IF(B456="","",(--(B456&lt;&gt;"")+--(C456&lt;&gt;"")+--(D456&lt;&gt;"")+--(E456&lt;&gt;"")+--(F456&lt;&gt;"")+--(G456&lt;&gt;"")+--(H456&lt;&gt;"")+--(I456&lt;&gt;"")+--(J456&lt;&gt;"")+--(K456&lt;&gt;"")+--(L456&lt;&gt;"")+--(M456&lt;&gt;"")+--(N456&lt;&gt;"")+--(O456&lt;&gt;"")+--(P456&lt;&gt;"")+--(Q456&lt;&gt;"")+--(R456&lt;&gt;"")+--(S456&lt;&gt;"")+--(T456&lt;&gt;""))/19)</f>
        <v/>
      </c>
      <c r="AA456" s="16" t="n"/>
      <c r="AB456" s="16" t="n"/>
      <c r="AC456" s="16" t="n"/>
      <c r="AD456" s="16" t="n"/>
      <c r="AE456" s="7">
        <f>IF(B456="","",IF(AND(AA456="合格",AB456="合格",AC456="合格",AD456="合格"),"有效","无效"))</f>
        <v/>
      </c>
    </row>
    <row r="457">
      <c r="A457" s="7">
        <f>IF(B457="","",TEXT(B457,"yyyymmdd")&amp;"-"&amp;TEXT(ROW()-1,"000"))</f>
        <v/>
      </c>
      <c r="B457" s="8" t="n"/>
      <c r="C457" s="9" t="n"/>
      <c r="D457" s="9" t="n"/>
      <c r="E457" s="9" t="n"/>
      <c r="F457" s="9" t="n"/>
      <c r="G457" s="9" t="n"/>
      <c r="H457" s="9" t="n"/>
      <c r="I457" s="9" t="n"/>
      <c r="J457" s="10" t="n"/>
      <c r="K457" s="9" t="n"/>
      <c r="L457" s="9" t="n"/>
      <c r="M457" s="9" t="n"/>
      <c r="N457" s="10" t="n"/>
      <c r="O457" s="9" t="n"/>
      <c r="P457" s="10" t="n"/>
      <c r="Q457" s="10" t="n"/>
      <c r="R457" s="9" t="n"/>
      <c r="S457" s="10" t="n"/>
      <c r="T457" s="10" t="n"/>
      <c r="U457" s="11" t="n"/>
      <c r="V457" s="11" t="n"/>
      <c r="W457" s="12">
        <f>IF(B457="","",B457+3)</f>
        <v/>
      </c>
      <c r="X457" s="12">
        <f>IF(B457="","",B457+5)</f>
        <v/>
      </c>
      <c r="Y457" s="12">
        <f>IF(B457="","",B457+10)</f>
        <v/>
      </c>
      <c r="Z457" s="13">
        <f>IF(B457="","",(--(B457&lt;&gt;"")+--(C457&lt;&gt;"")+--(D457&lt;&gt;"")+--(E457&lt;&gt;"")+--(F457&lt;&gt;"")+--(G457&lt;&gt;"")+--(H457&lt;&gt;"")+--(I457&lt;&gt;"")+--(J457&lt;&gt;"")+--(K457&lt;&gt;"")+--(L457&lt;&gt;"")+--(M457&lt;&gt;"")+--(N457&lt;&gt;"")+--(O457&lt;&gt;"")+--(P457&lt;&gt;"")+--(Q457&lt;&gt;"")+--(R457&lt;&gt;"")+--(S457&lt;&gt;"")+--(T457&lt;&gt;""))/19)</f>
        <v/>
      </c>
      <c r="AA457" s="16" t="n"/>
      <c r="AB457" s="16" t="n"/>
      <c r="AC457" s="16" t="n"/>
      <c r="AD457" s="16" t="n"/>
      <c r="AE457" s="7">
        <f>IF(B457="","",IF(AND(AA457="合格",AB457="合格",AC457="合格",AD457="合格"),"有效","无效"))</f>
        <v/>
      </c>
    </row>
    <row r="458">
      <c r="A458" s="7">
        <f>IF(B458="","",TEXT(B458,"yyyymmdd")&amp;"-"&amp;TEXT(ROW()-1,"000"))</f>
        <v/>
      </c>
      <c r="B458" s="8" t="n"/>
      <c r="C458" s="9" t="n"/>
      <c r="D458" s="9" t="n"/>
      <c r="E458" s="9" t="n"/>
      <c r="F458" s="9" t="n"/>
      <c r="G458" s="9" t="n"/>
      <c r="H458" s="9" t="n"/>
      <c r="I458" s="9" t="n"/>
      <c r="J458" s="10" t="n"/>
      <c r="K458" s="9" t="n"/>
      <c r="L458" s="9" t="n"/>
      <c r="M458" s="9" t="n"/>
      <c r="N458" s="10" t="n"/>
      <c r="O458" s="9" t="n"/>
      <c r="P458" s="10" t="n"/>
      <c r="Q458" s="10" t="n"/>
      <c r="R458" s="9" t="n"/>
      <c r="S458" s="10" t="n"/>
      <c r="T458" s="10" t="n"/>
      <c r="U458" s="11" t="n"/>
      <c r="V458" s="11" t="n"/>
      <c r="W458" s="12">
        <f>IF(B458="","",B458+3)</f>
        <v/>
      </c>
      <c r="X458" s="12">
        <f>IF(B458="","",B458+5)</f>
        <v/>
      </c>
      <c r="Y458" s="12">
        <f>IF(B458="","",B458+10)</f>
        <v/>
      </c>
      <c r="Z458" s="13">
        <f>IF(B458="","",(--(B458&lt;&gt;"")+--(C458&lt;&gt;"")+--(D458&lt;&gt;"")+--(E458&lt;&gt;"")+--(F458&lt;&gt;"")+--(G458&lt;&gt;"")+--(H458&lt;&gt;"")+--(I458&lt;&gt;"")+--(J458&lt;&gt;"")+--(K458&lt;&gt;"")+--(L458&lt;&gt;"")+--(M458&lt;&gt;"")+--(N458&lt;&gt;"")+--(O458&lt;&gt;"")+--(P458&lt;&gt;"")+--(Q458&lt;&gt;"")+--(R458&lt;&gt;"")+--(S458&lt;&gt;"")+--(T458&lt;&gt;""))/19)</f>
        <v/>
      </c>
      <c r="AA458" s="16" t="n"/>
      <c r="AB458" s="16" t="n"/>
      <c r="AC458" s="16" t="n"/>
      <c r="AD458" s="16" t="n"/>
      <c r="AE458" s="7">
        <f>IF(B458="","",IF(AND(AA458="合格",AB458="合格",AC458="合格",AD458="合格"),"有效","无效"))</f>
        <v/>
      </c>
    </row>
    <row r="459">
      <c r="A459" s="7">
        <f>IF(B459="","",TEXT(B459,"yyyymmdd")&amp;"-"&amp;TEXT(ROW()-1,"000"))</f>
        <v/>
      </c>
      <c r="B459" s="8" t="n"/>
      <c r="C459" s="9" t="n"/>
      <c r="D459" s="9" t="n"/>
      <c r="E459" s="9" t="n"/>
      <c r="F459" s="9" t="n"/>
      <c r="G459" s="9" t="n"/>
      <c r="H459" s="9" t="n"/>
      <c r="I459" s="9" t="n"/>
      <c r="J459" s="10" t="n"/>
      <c r="K459" s="9" t="n"/>
      <c r="L459" s="9" t="n"/>
      <c r="M459" s="9" t="n"/>
      <c r="N459" s="10" t="n"/>
      <c r="O459" s="9" t="n"/>
      <c r="P459" s="10" t="n"/>
      <c r="Q459" s="10" t="n"/>
      <c r="R459" s="9" t="n"/>
      <c r="S459" s="10" t="n"/>
      <c r="T459" s="10" t="n"/>
      <c r="U459" s="11" t="n"/>
      <c r="V459" s="11" t="n"/>
      <c r="W459" s="12">
        <f>IF(B459="","",B459+3)</f>
        <v/>
      </c>
      <c r="X459" s="12">
        <f>IF(B459="","",B459+5)</f>
        <v/>
      </c>
      <c r="Y459" s="12">
        <f>IF(B459="","",B459+10)</f>
        <v/>
      </c>
      <c r="Z459" s="13">
        <f>IF(B459="","",(--(B459&lt;&gt;"")+--(C459&lt;&gt;"")+--(D459&lt;&gt;"")+--(E459&lt;&gt;"")+--(F459&lt;&gt;"")+--(G459&lt;&gt;"")+--(H459&lt;&gt;"")+--(I459&lt;&gt;"")+--(J459&lt;&gt;"")+--(K459&lt;&gt;"")+--(L459&lt;&gt;"")+--(M459&lt;&gt;"")+--(N459&lt;&gt;"")+--(O459&lt;&gt;"")+--(P459&lt;&gt;"")+--(Q459&lt;&gt;"")+--(R459&lt;&gt;"")+--(S459&lt;&gt;"")+--(T459&lt;&gt;""))/19)</f>
        <v/>
      </c>
      <c r="AA459" s="16" t="n"/>
      <c r="AB459" s="16" t="n"/>
      <c r="AC459" s="16" t="n"/>
      <c r="AD459" s="16" t="n"/>
      <c r="AE459" s="7">
        <f>IF(B459="","",IF(AND(AA459="合格",AB459="合格",AC459="合格",AD459="合格"),"有效","无效"))</f>
        <v/>
      </c>
    </row>
    <row r="460">
      <c r="A460" s="7">
        <f>IF(B460="","",TEXT(B460,"yyyymmdd")&amp;"-"&amp;TEXT(ROW()-1,"000"))</f>
        <v/>
      </c>
      <c r="B460" s="8" t="n"/>
      <c r="C460" s="9" t="n"/>
      <c r="D460" s="9" t="n"/>
      <c r="E460" s="9" t="n"/>
      <c r="F460" s="9" t="n"/>
      <c r="G460" s="9" t="n"/>
      <c r="H460" s="9" t="n"/>
      <c r="I460" s="9" t="n"/>
      <c r="J460" s="10" t="n"/>
      <c r="K460" s="9" t="n"/>
      <c r="L460" s="9" t="n"/>
      <c r="M460" s="9" t="n"/>
      <c r="N460" s="10" t="n"/>
      <c r="O460" s="9" t="n"/>
      <c r="P460" s="10" t="n"/>
      <c r="Q460" s="10" t="n"/>
      <c r="R460" s="9" t="n"/>
      <c r="S460" s="10" t="n"/>
      <c r="T460" s="10" t="n"/>
      <c r="U460" s="11" t="n"/>
      <c r="V460" s="11" t="n"/>
      <c r="W460" s="12">
        <f>IF(B460="","",B460+3)</f>
        <v/>
      </c>
      <c r="X460" s="12">
        <f>IF(B460="","",B460+5)</f>
        <v/>
      </c>
      <c r="Y460" s="12">
        <f>IF(B460="","",B460+10)</f>
        <v/>
      </c>
      <c r="Z460" s="13">
        <f>IF(B460="","",(--(B460&lt;&gt;"")+--(C460&lt;&gt;"")+--(D460&lt;&gt;"")+--(E460&lt;&gt;"")+--(F460&lt;&gt;"")+--(G460&lt;&gt;"")+--(H460&lt;&gt;"")+--(I460&lt;&gt;"")+--(J460&lt;&gt;"")+--(K460&lt;&gt;"")+--(L460&lt;&gt;"")+--(M460&lt;&gt;"")+--(N460&lt;&gt;"")+--(O460&lt;&gt;"")+--(P460&lt;&gt;"")+--(Q460&lt;&gt;"")+--(R460&lt;&gt;"")+--(S460&lt;&gt;"")+--(T460&lt;&gt;""))/19)</f>
        <v/>
      </c>
      <c r="AA460" s="16" t="n"/>
      <c r="AB460" s="16" t="n"/>
      <c r="AC460" s="16" t="n"/>
      <c r="AD460" s="16" t="n"/>
      <c r="AE460" s="7">
        <f>IF(B460="","",IF(AND(AA460="合格",AB460="合格",AC460="合格",AD460="合格"),"有效","无效"))</f>
        <v/>
      </c>
    </row>
    <row r="461">
      <c r="A461" s="7">
        <f>IF(B461="","",TEXT(B461,"yyyymmdd")&amp;"-"&amp;TEXT(ROW()-1,"000"))</f>
        <v/>
      </c>
      <c r="B461" s="8" t="n"/>
      <c r="C461" s="9" t="n"/>
      <c r="D461" s="9" t="n"/>
      <c r="E461" s="9" t="n"/>
      <c r="F461" s="9" t="n"/>
      <c r="G461" s="9" t="n"/>
      <c r="H461" s="9" t="n"/>
      <c r="I461" s="9" t="n"/>
      <c r="J461" s="10" t="n"/>
      <c r="K461" s="9" t="n"/>
      <c r="L461" s="9" t="n"/>
      <c r="M461" s="9" t="n"/>
      <c r="N461" s="10" t="n"/>
      <c r="O461" s="9" t="n"/>
      <c r="P461" s="10" t="n"/>
      <c r="Q461" s="10" t="n"/>
      <c r="R461" s="9" t="n"/>
      <c r="S461" s="10" t="n"/>
      <c r="T461" s="10" t="n"/>
      <c r="U461" s="11" t="n"/>
      <c r="V461" s="11" t="n"/>
      <c r="W461" s="12">
        <f>IF(B461="","",B461+3)</f>
        <v/>
      </c>
      <c r="X461" s="12">
        <f>IF(B461="","",B461+5)</f>
        <v/>
      </c>
      <c r="Y461" s="12">
        <f>IF(B461="","",B461+10)</f>
        <v/>
      </c>
      <c r="Z461" s="13">
        <f>IF(B461="","",(--(B461&lt;&gt;"")+--(C461&lt;&gt;"")+--(D461&lt;&gt;"")+--(E461&lt;&gt;"")+--(F461&lt;&gt;"")+--(G461&lt;&gt;"")+--(H461&lt;&gt;"")+--(I461&lt;&gt;"")+--(J461&lt;&gt;"")+--(K461&lt;&gt;"")+--(L461&lt;&gt;"")+--(M461&lt;&gt;"")+--(N461&lt;&gt;"")+--(O461&lt;&gt;"")+--(P461&lt;&gt;"")+--(Q461&lt;&gt;"")+--(R461&lt;&gt;"")+--(S461&lt;&gt;"")+--(T461&lt;&gt;""))/19)</f>
        <v/>
      </c>
      <c r="AA461" s="16" t="n"/>
      <c r="AB461" s="16" t="n"/>
      <c r="AC461" s="16" t="n"/>
      <c r="AD461" s="16" t="n"/>
      <c r="AE461" s="7">
        <f>IF(B461="","",IF(AND(AA461="合格",AB461="合格",AC461="合格",AD461="合格"),"有效","无效"))</f>
        <v/>
      </c>
    </row>
    <row r="462">
      <c r="A462" s="7">
        <f>IF(B462="","",TEXT(B462,"yyyymmdd")&amp;"-"&amp;TEXT(ROW()-1,"000"))</f>
        <v/>
      </c>
      <c r="B462" s="8" t="n"/>
      <c r="C462" s="9" t="n"/>
      <c r="D462" s="9" t="n"/>
      <c r="E462" s="9" t="n"/>
      <c r="F462" s="9" t="n"/>
      <c r="G462" s="9" t="n"/>
      <c r="H462" s="9" t="n"/>
      <c r="I462" s="9" t="n"/>
      <c r="J462" s="10" t="n"/>
      <c r="K462" s="9" t="n"/>
      <c r="L462" s="9" t="n"/>
      <c r="M462" s="9" t="n"/>
      <c r="N462" s="10" t="n"/>
      <c r="O462" s="9" t="n"/>
      <c r="P462" s="10" t="n"/>
      <c r="Q462" s="10" t="n"/>
      <c r="R462" s="9" t="n"/>
      <c r="S462" s="10" t="n"/>
      <c r="T462" s="10" t="n"/>
      <c r="U462" s="11" t="n"/>
      <c r="V462" s="11" t="n"/>
      <c r="W462" s="12">
        <f>IF(B462="","",B462+3)</f>
        <v/>
      </c>
      <c r="X462" s="12">
        <f>IF(B462="","",B462+5)</f>
        <v/>
      </c>
      <c r="Y462" s="12">
        <f>IF(B462="","",B462+10)</f>
        <v/>
      </c>
      <c r="Z462" s="13">
        <f>IF(B462="","",(--(B462&lt;&gt;"")+--(C462&lt;&gt;"")+--(D462&lt;&gt;"")+--(E462&lt;&gt;"")+--(F462&lt;&gt;"")+--(G462&lt;&gt;"")+--(H462&lt;&gt;"")+--(I462&lt;&gt;"")+--(J462&lt;&gt;"")+--(K462&lt;&gt;"")+--(L462&lt;&gt;"")+--(M462&lt;&gt;"")+--(N462&lt;&gt;"")+--(O462&lt;&gt;"")+--(P462&lt;&gt;"")+--(Q462&lt;&gt;"")+--(R462&lt;&gt;"")+--(S462&lt;&gt;"")+--(T462&lt;&gt;""))/19)</f>
        <v/>
      </c>
      <c r="AA462" s="16" t="n"/>
      <c r="AB462" s="16" t="n"/>
      <c r="AC462" s="16" t="n"/>
      <c r="AD462" s="16" t="n"/>
      <c r="AE462" s="7">
        <f>IF(B462="","",IF(AND(AA462="合格",AB462="合格",AC462="合格",AD462="合格"),"有效","无效"))</f>
        <v/>
      </c>
    </row>
    <row r="463">
      <c r="A463" s="7">
        <f>IF(B463="","",TEXT(B463,"yyyymmdd")&amp;"-"&amp;TEXT(ROW()-1,"000"))</f>
        <v/>
      </c>
      <c r="B463" s="8" t="n"/>
      <c r="C463" s="9" t="n"/>
      <c r="D463" s="9" t="n"/>
      <c r="E463" s="9" t="n"/>
      <c r="F463" s="9" t="n"/>
      <c r="G463" s="9" t="n"/>
      <c r="H463" s="9" t="n"/>
      <c r="I463" s="9" t="n"/>
      <c r="J463" s="10" t="n"/>
      <c r="K463" s="9" t="n"/>
      <c r="L463" s="9" t="n"/>
      <c r="M463" s="9" t="n"/>
      <c r="N463" s="10" t="n"/>
      <c r="O463" s="9" t="n"/>
      <c r="P463" s="10" t="n"/>
      <c r="Q463" s="10" t="n"/>
      <c r="R463" s="9" t="n"/>
      <c r="S463" s="10" t="n"/>
      <c r="T463" s="10" t="n"/>
      <c r="U463" s="11" t="n"/>
      <c r="V463" s="11" t="n"/>
      <c r="W463" s="12">
        <f>IF(B463="","",B463+3)</f>
        <v/>
      </c>
      <c r="X463" s="12">
        <f>IF(B463="","",B463+5)</f>
        <v/>
      </c>
      <c r="Y463" s="12">
        <f>IF(B463="","",B463+10)</f>
        <v/>
      </c>
      <c r="Z463" s="13">
        <f>IF(B463="","",(--(B463&lt;&gt;"")+--(C463&lt;&gt;"")+--(D463&lt;&gt;"")+--(E463&lt;&gt;"")+--(F463&lt;&gt;"")+--(G463&lt;&gt;"")+--(H463&lt;&gt;"")+--(I463&lt;&gt;"")+--(J463&lt;&gt;"")+--(K463&lt;&gt;"")+--(L463&lt;&gt;"")+--(M463&lt;&gt;"")+--(N463&lt;&gt;"")+--(O463&lt;&gt;"")+--(P463&lt;&gt;"")+--(Q463&lt;&gt;"")+--(R463&lt;&gt;"")+--(S463&lt;&gt;"")+--(T463&lt;&gt;""))/19)</f>
        <v/>
      </c>
      <c r="AA463" s="16" t="n"/>
      <c r="AB463" s="16" t="n"/>
      <c r="AC463" s="16" t="n"/>
      <c r="AD463" s="16" t="n"/>
      <c r="AE463" s="7">
        <f>IF(B463="","",IF(AND(AA463="合格",AB463="合格",AC463="合格",AD463="合格"),"有效","无效"))</f>
        <v/>
      </c>
    </row>
    <row r="464">
      <c r="A464" s="7">
        <f>IF(B464="","",TEXT(B464,"yyyymmdd")&amp;"-"&amp;TEXT(ROW()-1,"000"))</f>
        <v/>
      </c>
      <c r="B464" s="8" t="n"/>
      <c r="C464" s="9" t="n"/>
      <c r="D464" s="9" t="n"/>
      <c r="E464" s="9" t="n"/>
      <c r="F464" s="9" t="n"/>
      <c r="G464" s="9" t="n"/>
      <c r="H464" s="9" t="n"/>
      <c r="I464" s="9" t="n"/>
      <c r="J464" s="10" t="n"/>
      <c r="K464" s="9" t="n"/>
      <c r="L464" s="9" t="n"/>
      <c r="M464" s="9" t="n"/>
      <c r="N464" s="10" t="n"/>
      <c r="O464" s="9" t="n"/>
      <c r="P464" s="10" t="n"/>
      <c r="Q464" s="10" t="n"/>
      <c r="R464" s="9" t="n"/>
      <c r="S464" s="10" t="n"/>
      <c r="T464" s="10" t="n"/>
      <c r="U464" s="11" t="n"/>
      <c r="V464" s="11" t="n"/>
      <c r="W464" s="12">
        <f>IF(B464="","",B464+3)</f>
        <v/>
      </c>
      <c r="X464" s="12">
        <f>IF(B464="","",B464+5)</f>
        <v/>
      </c>
      <c r="Y464" s="12">
        <f>IF(B464="","",B464+10)</f>
        <v/>
      </c>
      <c r="Z464" s="13">
        <f>IF(B464="","",(--(B464&lt;&gt;"")+--(C464&lt;&gt;"")+--(D464&lt;&gt;"")+--(E464&lt;&gt;"")+--(F464&lt;&gt;"")+--(G464&lt;&gt;"")+--(H464&lt;&gt;"")+--(I464&lt;&gt;"")+--(J464&lt;&gt;"")+--(K464&lt;&gt;"")+--(L464&lt;&gt;"")+--(M464&lt;&gt;"")+--(N464&lt;&gt;"")+--(O464&lt;&gt;"")+--(P464&lt;&gt;"")+--(Q464&lt;&gt;"")+--(R464&lt;&gt;"")+--(S464&lt;&gt;"")+--(T464&lt;&gt;""))/19)</f>
        <v/>
      </c>
      <c r="AA464" s="16" t="n"/>
      <c r="AB464" s="16" t="n"/>
      <c r="AC464" s="16" t="n"/>
      <c r="AD464" s="16" t="n"/>
      <c r="AE464" s="7">
        <f>IF(B464="","",IF(AND(AA464="合格",AB464="合格",AC464="合格",AD464="合格"),"有效","无效"))</f>
        <v/>
      </c>
    </row>
    <row r="465">
      <c r="A465" s="7">
        <f>IF(B465="","",TEXT(B465,"yyyymmdd")&amp;"-"&amp;TEXT(ROW()-1,"000"))</f>
        <v/>
      </c>
      <c r="B465" s="8" t="n"/>
      <c r="C465" s="9" t="n"/>
      <c r="D465" s="9" t="n"/>
      <c r="E465" s="9" t="n"/>
      <c r="F465" s="9" t="n"/>
      <c r="G465" s="9" t="n"/>
      <c r="H465" s="9" t="n"/>
      <c r="I465" s="9" t="n"/>
      <c r="J465" s="10" t="n"/>
      <c r="K465" s="9" t="n"/>
      <c r="L465" s="9" t="n"/>
      <c r="M465" s="9" t="n"/>
      <c r="N465" s="10" t="n"/>
      <c r="O465" s="9" t="n"/>
      <c r="P465" s="10" t="n"/>
      <c r="Q465" s="10" t="n"/>
      <c r="R465" s="9" t="n"/>
      <c r="S465" s="10" t="n"/>
      <c r="T465" s="10" t="n"/>
      <c r="U465" s="11" t="n"/>
      <c r="V465" s="11" t="n"/>
      <c r="W465" s="12">
        <f>IF(B465="","",B465+3)</f>
        <v/>
      </c>
      <c r="X465" s="12">
        <f>IF(B465="","",B465+5)</f>
        <v/>
      </c>
      <c r="Y465" s="12">
        <f>IF(B465="","",B465+10)</f>
        <v/>
      </c>
      <c r="Z465" s="13">
        <f>IF(B465="","",(--(B465&lt;&gt;"")+--(C465&lt;&gt;"")+--(D465&lt;&gt;"")+--(E465&lt;&gt;"")+--(F465&lt;&gt;"")+--(G465&lt;&gt;"")+--(H465&lt;&gt;"")+--(I465&lt;&gt;"")+--(J465&lt;&gt;"")+--(K465&lt;&gt;"")+--(L465&lt;&gt;"")+--(M465&lt;&gt;"")+--(N465&lt;&gt;"")+--(O465&lt;&gt;"")+--(P465&lt;&gt;"")+--(Q465&lt;&gt;"")+--(R465&lt;&gt;"")+--(S465&lt;&gt;"")+--(T465&lt;&gt;""))/19)</f>
        <v/>
      </c>
      <c r="AA465" s="16" t="n"/>
      <c r="AB465" s="16" t="n"/>
      <c r="AC465" s="16" t="n"/>
      <c r="AD465" s="16" t="n"/>
      <c r="AE465" s="7">
        <f>IF(B465="","",IF(AND(AA465="合格",AB465="合格",AC465="合格",AD465="合格"),"有效","无效"))</f>
        <v/>
      </c>
    </row>
    <row r="466">
      <c r="A466" s="7">
        <f>IF(B466="","",TEXT(B466,"yyyymmdd")&amp;"-"&amp;TEXT(ROW()-1,"000"))</f>
        <v/>
      </c>
      <c r="B466" s="8" t="n"/>
      <c r="C466" s="9" t="n"/>
      <c r="D466" s="9" t="n"/>
      <c r="E466" s="9" t="n"/>
      <c r="F466" s="9" t="n"/>
      <c r="G466" s="9" t="n"/>
      <c r="H466" s="9" t="n"/>
      <c r="I466" s="9" t="n"/>
      <c r="J466" s="10" t="n"/>
      <c r="K466" s="9" t="n"/>
      <c r="L466" s="9" t="n"/>
      <c r="M466" s="9" t="n"/>
      <c r="N466" s="10" t="n"/>
      <c r="O466" s="9" t="n"/>
      <c r="P466" s="10" t="n"/>
      <c r="Q466" s="10" t="n"/>
      <c r="R466" s="9" t="n"/>
      <c r="S466" s="10" t="n"/>
      <c r="T466" s="10" t="n"/>
      <c r="U466" s="11" t="n"/>
      <c r="V466" s="11" t="n"/>
      <c r="W466" s="12">
        <f>IF(B466="","",B466+3)</f>
        <v/>
      </c>
      <c r="X466" s="12">
        <f>IF(B466="","",B466+5)</f>
        <v/>
      </c>
      <c r="Y466" s="12">
        <f>IF(B466="","",B466+10)</f>
        <v/>
      </c>
      <c r="Z466" s="13">
        <f>IF(B466="","",(--(B466&lt;&gt;"")+--(C466&lt;&gt;"")+--(D466&lt;&gt;"")+--(E466&lt;&gt;"")+--(F466&lt;&gt;"")+--(G466&lt;&gt;"")+--(H466&lt;&gt;"")+--(I466&lt;&gt;"")+--(J466&lt;&gt;"")+--(K466&lt;&gt;"")+--(L466&lt;&gt;"")+--(M466&lt;&gt;"")+--(N466&lt;&gt;"")+--(O466&lt;&gt;"")+--(P466&lt;&gt;"")+--(Q466&lt;&gt;"")+--(R466&lt;&gt;"")+--(S466&lt;&gt;"")+--(T466&lt;&gt;""))/19)</f>
        <v/>
      </c>
      <c r="AA466" s="16" t="n"/>
      <c r="AB466" s="16" t="n"/>
      <c r="AC466" s="16" t="n"/>
      <c r="AD466" s="16" t="n"/>
      <c r="AE466" s="7">
        <f>IF(B466="","",IF(AND(AA466="合格",AB466="合格",AC466="合格",AD466="合格"),"有效","无效"))</f>
        <v/>
      </c>
    </row>
    <row r="467">
      <c r="A467" s="7">
        <f>IF(B467="","",TEXT(B467,"yyyymmdd")&amp;"-"&amp;TEXT(ROW()-1,"000"))</f>
        <v/>
      </c>
      <c r="B467" s="8" t="n"/>
      <c r="C467" s="9" t="n"/>
      <c r="D467" s="9" t="n"/>
      <c r="E467" s="9" t="n"/>
      <c r="F467" s="9" t="n"/>
      <c r="G467" s="9" t="n"/>
      <c r="H467" s="9" t="n"/>
      <c r="I467" s="9" t="n"/>
      <c r="J467" s="10" t="n"/>
      <c r="K467" s="9" t="n"/>
      <c r="L467" s="9" t="n"/>
      <c r="M467" s="9" t="n"/>
      <c r="N467" s="10" t="n"/>
      <c r="O467" s="9" t="n"/>
      <c r="P467" s="10" t="n"/>
      <c r="Q467" s="10" t="n"/>
      <c r="R467" s="9" t="n"/>
      <c r="S467" s="10" t="n"/>
      <c r="T467" s="10" t="n"/>
      <c r="U467" s="11" t="n"/>
      <c r="V467" s="11" t="n"/>
      <c r="W467" s="12">
        <f>IF(B467="","",B467+3)</f>
        <v/>
      </c>
      <c r="X467" s="12">
        <f>IF(B467="","",B467+5)</f>
        <v/>
      </c>
      <c r="Y467" s="12">
        <f>IF(B467="","",B467+10)</f>
        <v/>
      </c>
      <c r="Z467" s="13">
        <f>IF(B467="","",(--(B467&lt;&gt;"")+--(C467&lt;&gt;"")+--(D467&lt;&gt;"")+--(E467&lt;&gt;"")+--(F467&lt;&gt;"")+--(G467&lt;&gt;"")+--(H467&lt;&gt;"")+--(I467&lt;&gt;"")+--(J467&lt;&gt;"")+--(K467&lt;&gt;"")+--(L467&lt;&gt;"")+--(M467&lt;&gt;"")+--(N467&lt;&gt;"")+--(O467&lt;&gt;"")+--(P467&lt;&gt;"")+--(Q467&lt;&gt;"")+--(R467&lt;&gt;"")+--(S467&lt;&gt;"")+--(T467&lt;&gt;""))/19)</f>
        <v/>
      </c>
      <c r="AA467" s="16" t="n"/>
      <c r="AB467" s="16" t="n"/>
      <c r="AC467" s="16" t="n"/>
      <c r="AD467" s="16" t="n"/>
      <c r="AE467" s="7">
        <f>IF(B467="","",IF(AND(AA467="合格",AB467="合格",AC467="合格",AD467="合格"),"有效","无效"))</f>
        <v/>
      </c>
    </row>
    <row r="468">
      <c r="A468" s="7">
        <f>IF(B468="","",TEXT(B468,"yyyymmdd")&amp;"-"&amp;TEXT(ROW()-1,"000"))</f>
        <v/>
      </c>
      <c r="B468" s="8" t="n"/>
      <c r="C468" s="9" t="n"/>
      <c r="D468" s="9" t="n"/>
      <c r="E468" s="9" t="n"/>
      <c r="F468" s="9" t="n"/>
      <c r="G468" s="9" t="n"/>
      <c r="H468" s="9" t="n"/>
      <c r="I468" s="9" t="n"/>
      <c r="J468" s="10" t="n"/>
      <c r="K468" s="9" t="n"/>
      <c r="L468" s="9" t="n"/>
      <c r="M468" s="9" t="n"/>
      <c r="N468" s="10" t="n"/>
      <c r="O468" s="9" t="n"/>
      <c r="P468" s="10" t="n"/>
      <c r="Q468" s="10" t="n"/>
      <c r="R468" s="9" t="n"/>
      <c r="S468" s="10" t="n"/>
      <c r="T468" s="10" t="n"/>
      <c r="U468" s="11" t="n"/>
      <c r="V468" s="11" t="n"/>
      <c r="W468" s="12">
        <f>IF(B468="","",B468+3)</f>
        <v/>
      </c>
      <c r="X468" s="12">
        <f>IF(B468="","",B468+5)</f>
        <v/>
      </c>
      <c r="Y468" s="12">
        <f>IF(B468="","",B468+10)</f>
        <v/>
      </c>
      <c r="Z468" s="13">
        <f>IF(B468="","",(--(B468&lt;&gt;"")+--(C468&lt;&gt;"")+--(D468&lt;&gt;"")+--(E468&lt;&gt;"")+--(F468&lt;&gt;"")+--(G468&lt;&gt;"")+--(H468&lt;&gt;"")+--(I468&lt;&gt;"")+--(J468&lt;&gt;"")+--(K468&lt;&gt;"")+--(L468&lt;&gt;"")+--(M468&lt;&gt;"")+--(N468&lt;&gt;"")+--(O468&lt;&gt;"")+--(P468&lt;&gt;"")+--(Q468&lt;&gt;"")+--(R468&lt;&gt;"")+--(S468&lt;&gt;"")+--(T468&lt;&gt;""))/19)</f>
        <v/>
      </c>
      <c r="AA468" s="16" t="n"/>
      <c r="AB468" s="16" t="n"/>
      <c r="AC468" s="16" t="n"/>
      <c r="AD468" s="16" t="n"/>
      <c r="AE468" s="7">
        <f>IF(B468="","",IF(AND(AA468="合格",AB468="合格",AC468="合格",AD468="合格"),"有效","无效"))</f>
        <v/>
      </c>
    </row>
    <row r="469">
      <c r="A469" s="7">
        <f>IF(B469="","",TEXT(B469,"yyyymmdd")&amp;"-"&amp;TEXT(ROW()-1,"000"))</f>
        <v/>
      </c>
      <c r="B469" s="8" t="n"/>
      <c r="C469" s="9" t="n"/>
      <c r="D469" s="9" t="n"/>
      <c r="E469" s="9" t="n"/>
      <c r="F469" s="9" t="n"/>
      <c r="G469" s="9" t="n"/>
      <c r="H469" s="9" t="n"/>
      <c r="I469" s="9" t="n"/>
      <c r="J469" s="10" t="n"/>
      <c r="K469" s="9" t="n"/>
      <c r="L469" s="9" t="n"/>
      <c r="M469" s="9" t="n"/>
      <c r="N469" s="10" t="n"/>
      <c r="O469" s="9" t="n"/>
      <c r="P469" s="10" t="n"/>
      <c r="Q469" s="10" t="n"/>
      <c r="R469" s="9" t="n"/>
      <c r="S469" s="10" t="n"/>
      <c r="T469" s="10" t="n"/>
      <c r="U469" s="11" t="n"/>
      <c r="V469" s="11" t="n"/>
      <c r="W469" s="12">
        <f>IF(B469="","",B469+3)</f>
        <v/>
      </c>
      <c r="X469" s="12">
        <f>IF(B469="","",B469+5)</f>
        <v/>
      </c>
      <c r="Y469" s="12">
        <f>IF(B469="","",B469+10)</f>
        <v/>
      </c>
      <c r="Z469" s="13">
        <f>IF(B469="","",(--(B469&lt;&gt;"")+--(C469&lt;&gt;"")+--(D469&lt;&gt;"")+--(E469&lt;&gt;"")+--(F469&lt;&gt;"")+--(G469&lt;&gt;"")+--(H469&lt;&gt;"")+--(I469&lt;&gt;"")+--(J469&lt;&gt;"")+--(K469&lt;&gt;"")+--(L469&lt;&gt;"")+--(M469&lt;&gt;"")+--(N469&lt;&gt;"")+--(O469&lt;&gt;"")+--(P469&lt;&gt;"")+--(Q469&lt;&gt;"")+--(R469&lt;&gt;"")+--(S469&lt;&gt;"")+--(T469&lt;&gt;""))/19)</f>
        <v/>
      </c>
      <c r="AA469" s="16" t="n"/>
      <c r="AB469" s="16" t="n"/>
      <c r="AC469" s="16" t="n"/>
      <c r="AD469" s="16" t="n"/>
      <c r="AE469" s="7">
        <f>IF(B469="","",IF(AND(AA469="合格",AB469="合格",AC469="合格",AD469="合格"),"有效","无效"))</f>
        <v/>
      </c>
    </row>
    <row r="470">
      <c r="A470" s="7">
        <f>IF(B470="","",TEXT(B470,"yyyymmdd")&amp;"-"&amp;TEXT(ROW()-1,"000"))</f>
        <v/>
      </c>
      <c r="B470" s="8" t="n"/>
      <c r="C470" s="9" t="n"/>
      <c r="D470" s="9" t="n"/>
      <c r="E470" s="9" t="n"/>
      <c r="F470" s="9" t="n"/>
      <c r="G470" s="9" t="n"/>
      <c r="H470" s="9" t="n"/>
      <c r="I470" s="9" t="n"/>
      <c r="J470" s="10" t="n"/>
      <c r="K470" s="9" t="n"/>
      <c r="L470" s="9" t="n"/>
      <c r="M470" s="9" t="n"/>
      <c r="N470" s="10" t="n"/>
      <c r="O470" s="9" t="n"/>
      <c r="P470" s="10" t="n"/>
      <c r="Q470" s="10" t="n"/>
      <c r="R470" s="9" t="n"/>
      <c r="S470" s="10" t="n"/>
      <c r="T470" s="10" t="n"/>
      <c r="U470" s="11" t="n"/>
      <c r="V470" s="11" t="n"/>
      <c r="W470" s="12">
        <f>IF(B470="","",B470+3)</f>
        <v/>
      </c>
      <c r="X470" s="12">
        <f>IF(B470="","",B470+5)</f>
        <v/>
      </c>
      <c r="Y470" s="12">
        <f>IF(B470="","",B470+10)</f>
        <v/>
      </c>
      <c r="Z470" s="13">
        <f>IF(B470="","",(--(B470&lt;&gt;"")+--(C470&lt;&gt;"")+--(D470&lt;&gt;"")+--(E470&lt;&gt;"")+--(F470&lt;&gt;"")+--(G470&lt;&gt;"")+--(H470&lt;&gt;"")+--(I470&lt;&gt;"")+--(J470&lt;&gt;"")+--(K470&lt;&gt;"")+--(L470&lt;&gt;"")+--(M470&lt;&gt;"")+--(N470&lt;&gt;"")+--(O470&lt;&gt;"")+--(P470&lt;&gt;"")+--(Q470&lt;&gt;"")+--(R470&lt;&gt;"")+--(S470&lt;&gt;"")+--(T470&lt;&gt;""))/19)</f>
        <v/>
      </c>
      <c r="AA470" s="16" t="n"/>
      <c r="AB470" s="16" t="n"/>
      <c r="AC470" s="16" t="n"/>
      <c r="AD470" s="16" t="n"/>
      <c r="AE470" s="7">
        <f>IF(B470="","",IF(AND(AA470="合格",AB470="合格",AC470="合格",AD470="合格"),"有效","无效"))</f>
        <v/>
      </c>
    </row>
    <row r="471">
      <c r="A471" s="7">
        <f>IF(B471="","",TEXT(B471,"yyyymmdd")&amp;"-"&amp;TEXT(ROW()-1,"000"))</f>
        <v/>
      </c>
      <c r="B471" s="8" t="n"/>
      <c r="C471" s="9" t="n"/>
      <c r="D471" s="9" t="n"/>
      <c r="E471" s="9" t="n"/>
      <c r="F471" s="9" t="n"/>
      <c r="G471" s="9" t="n"/>
      <c r="H471" s="9" t="n"/>
      <c r="I471" s="9" t="n"/>
      <c r="J471" s="10" t="n"/>
      <c r="K471" s="9" t="n"/>
      <c r="L471" s="9" t="n"/>
      <c r="M471" s="9" t="n"/>
      <c r="N471" s="10" t="n"/>
      <c r="O471" s="9" t="n"/>
      <c r="P471" s="10" t="n"/>
      <c r="Q471" s="10" t="n"/>
      <c r="R471" s="9" t="n"/>
      <c r="S471" s="10" t="n"/>
      <c r="T471" s="10" t="n"/>
      <c r="U471" s="11" t="n"/>
      <c r="V471" s="11" t="n"/>
      <c r="W471" s="12">
        <f>IF(B471="","",B471+3)</f>
        <v/>
      </c>
      <c r="X471" s="12">
        <f>IF(B471="","",B471+5)</f>
        <v/>
      </c>
      <c r="Y471" s="12">
        <f>IF(B471="","",B471+10)</f>
        <v/>
      </c>
      <c r="Z471" s="13">
        <f>IF(B471="","",(--(B471&lt;&gt;"")+--(C471&lt;&gt;"")+--(D471&lt;&gt;"")+--(E471&lt;&gt;"")+--(F471&lt;&gt;"")+--(G471&lt;&gt;"")+--(H471&lt;&gt;"")+--(I471&lt;&gt;"")+--(J471&lt;&gt;"")+--(K471&lt;&gt;"")+--(L471&lt;&gt;"")+--(M471&lt;&gt;"")+--(N471&lt;&gt;"")+--(O471&lt;&gt;"")+--(P471&lt;&gt;"")+--(Q471&lt;&gt;"")+--(R471&lt;&gt;"")+--(S471&lt;&gt;"")+--(T471&lt;&gt;""))/19)</f>
        <v/>
      </c>
      <c r="AA471" s="16" t="n"/>
      <c r="AB471" s="16" t="n"/>
      <c r="AC471" s="16" t="n"/>
      <c r="AD471" s="16" t="n"/>
      <c r="AE471" s="7">
        <f>IF(B471="","",IF(AND(AA471="合格",AB471="合格",AC471="合格",AD471="合格"),"有效","无效"))</f>
        <v/>
      </c>
    </row>
    <row r="472">
      <c r="A472" s="7">
        <f>IF(B472="","",TEXT(B472,"yyyymmdd")&amp;"-"&amp;TEXT(ROW()-1,"000"))</f>
        <v/>
      </c>
      <c r="B472" s="8" t="n"/>
      <c r="C472" s="9" t="n"/>
      <c r="D472" s="9" t="n"/>
      <c r="E472" s="9" t="n"/>
      <c r="F472" s="9" t="n"/>
      <c r="G472" s="9" t="n"/>
      <c r="H472" s="9" t="n"/>
      <c r="I472" s="9" t="n"/>
      <c r="J472" s="10" t="n"/>
      <c r="K472" s="9" t="n"/>
      <c r="L472" s="9" t="n"/>
      <c r="M472" s="9" t="n"/>
      <c r="N472" s="10" t="n"/>
      <c r="O472" s="9" t="n"/>
      <c r="P472" s="10" t="n"/>
      <c r="Q472" s="10" t="n"/>
      <c r="R472" s="9" t="n"/>
      <c r="S472" s="10" t="n"/>
      <c r="T472" s="10" t="n"/>
      <c r="U472" s="11" t="n"/>
      <c r="V472" s="11" t="n"/>
      <c r="W472" s="12">
        <f>IF(B472="","",B472+3)</f>
        <v/>
      </c>
      <c r="X472" s="12">
        <f>IF(B472="","",B472+5)</f>
        <v/>
      </c>
      <c r="Y472" s="12">
        <f>IF(B472="","",B472+10)</f>
        <v/>
      </c>
      <c r="Z472" s="13">
        <f>IF(B472="","",(--(B472&lt;&gt;"")+--(C472&lt;&gt;"")+--(D472&lt;&gt;"")+--(E472&lt;&gt;"")+--(F472&lt;&gt;"")+--(G472&lt;&gt;"")+--(H472&lt;&gt;"")+--(I472&lt;&gt;"")+--(J472&lt;&gt;"")+--(K472&lt;&gt;"")+--(L472&lt;&gt;"")+--(M472&lt;&gt;"")+--(N472&lt;&gt;"")+--(O472&lt;&gt;"")+--(P472&lt;&gt;"")+--(Q472&lt;&gt;"")+--(R472&lt;&gt;"")+--(S472&lt;&gt;"")+--(T472&lt;&gt;""))/19)</f>
        <v/>
      </c>
      <c r="AA472" s="16" t="n"/>
      <c r="AB472" s="16" t="n"/>
      <c r="AC472" s="16" t="n"/>
      <c r="AD472" s="16" t="n"/>
      <c r="AE472" s="7">
        <f>IF(B472="","",IF(AND(AA472="合格",AB472="合格",AC472="合格",AD472="合格"),"有效","无效"))</f>
        <v/>
      </c>
    </row>
    <row r="473">
      <c r="A473" s="7">
        <f>IF(B473="","",TEXT(B473,"yyyymmdd")&amp;"-"&amp;TEXT(ROW()-1,"000"))</f>
        <v/>
      </c>
      <c r="B473" s="8" t="n"/>
      <c r="C473" s="9" t="n"/>
      <c r="D473" s="9" t="n"/>
      <c r="E473" s="9" t="n"/>
      <c r="F473" s="9" t="n"/>
      <c r="G473" s="9" t="n"/>
      <c r="H473" s="9" t="n"/>
      <c r="I473" s="9" t="n"/>
      <c r="J473" s="10" t="n"/>
      <c r="K473" s="9" t="n"/>
      <c r="L473" s="9" t="n"/>
      <c r="M473" s="9" t="n"/>
      <c r="N473" s="10" t="n"/>
      <c r="O473" s="9" t="n"/>
      <c r="P473" s="10" t="n"/>
      <c r="Q473" s="10" t="n"/>
      <c r="R473" s="9" t="n"/>
      <c r="S473" s="10" t="n"/>
      <c r="T473" s="10" t="n"/>
      <c r="U473" s="11" t="n"/>
      <c r="V473" s="11" t="n"/>
      <c r="W473" s="12">
        <f>IF(B473="","",B473+3)</f>
        <v/>
      </c>
      <c r="X473" s="12">
        <f>IF(B473="","",B473+5)</f>
        <v/>
      </c>
      <c r="Y473" s="12">
        <f>IF(B473="","",B473+10)</f>
        <v/>
      </c>
      <c r="Z473" s="13">
        <f>IF(B473="","",(--(B473&lt;&gt;"")+--(C473&lt;&gt;"")+--(D473&lt;&gt;"")+--(E473&lt;&gt;"")+--(F473&lt;&gt;"")+--(G473&lt;&gt;"")+--(H473&lt;&gt;"")+--(I473&lt;&gt;"")+--(J473&lt;&gt;"")+--(K473&lt;&gt;"")+--(L473&lt;&gt;"")+--(M473&lt;&gt;"")+--(N473&lt;&gt;"")+--(O473&lt;&gt;"")+--(P473&lt;&gt;"")+--(Q473&lt;&gt;"")+--(R473&lt;&gt;"")+--(S473&lt;&gt;"")+--(T473&lt;&gt;""))/19)</f>
        <v/>
      </c>
      <c r="AA473" s="16" t="n"/>
      <c r="AB473" s="16" t="n"/>
      <c r="AC473" s="16" t="n"/>
      <c r="AD473" s="16" t="n"/>
      <c r="AE473" s="7">
        <f>IF(B473="","",IF(AND(AA473="合格",AB473="合格",AC473="合格",AD473="合格"),"有效","无效"))</f>
        <v/>
      </c>
    </row>
    <row r="474">
      <c r="A474" s="7">
        <f>IF(B474="","",TEXT(B474,"yyyymmdd")&amp;"-"&amp;TEXT(ROW()-1,"000"))</f>
        <v/>
      </c>
      <c r="B474" s="8" t="n"/>
      <c r="C474" s="9" t="n"/>
      <c r="D474" s="9" t="n"/>
      <c r="E474" s="9" t="n"/>
      <c r="F474" s="9" t="n"/>
      <c r="G474" s="9" t="n"/>
      <c r="H474" s="9" t="n"/>
      <c r="I474" s="9" t="n"/>
      <c r="J474" s="10" t="n"/>
      <c r="K474" s="9" t="n"/>
      <c r="L474" s="9" t="n"/>
      <c r="M474" s="9" t="n"/>
      <c r="N474" s="10" t="n"/>
      <c r="O474" s="9" t="n"/>
      <c r="P474" s="10" t="n"/>
      <c r="Q474" s="10" t="n"/>
      <c r="R474" s="9" t="n"/>
      <c r="S474" s="10" t="n"/>
      <c r="T474" s="10" t="n"/>
      <c r="U474" s="11" t="n"/>
      <c r="V474" s="11" t="n"/>
      <c r="W474" s="12">
        <f>IF(B474="","",B474+3)</f>
        <v/>
      </c>
      <c r="X474" s="12">
        <f>IF(B474="","",B474+5)</f>
        <v/>
      </c>
      <c r="Y474" s="12">
        <f>IF(B474="","",B474+10)</f>
        <v/>
      </c>
      <c r="Z474" s="13">
        <f>IF(B474="","",(--(B474&lt;&gt;"")+--(C474&lt;&gt;"")+--(D474&lt;&gt;"")+--(E474&lt;&gt;"")+--(F474&lt;&gt;"")+--(G474&lt;&gt;"")+--(H474&lt;&gt;"")+--(I474&lt;&gt;"")+--(J474&lt;&gt;"")+--(K474&lt;&gt;"")+--(L474&lt;&gt;"")+--(M474&lt;&gt;"")+--(N474&lt;&gt;"")+--(O474&lt;&gt;"")+--(P474&lt;&gt;"")+--(Q474&lt;&gt;"")+--(R474&lt;&gt;"")+--(S474&lt;&gt;"")+--(T474&lt;&gt;""))/19)</f>
        <v/>
      </c>
      <c r="AA474" s="16" t="n"/>
      <c r="AB474" s="16" t="n"/>
      <c r="AC474" s="16" t="n"/>
      <c r="AD474" s="16" t="n"/>
      <c r="AE474" s="7">
        <f>IF(B474="","",IF(AND(AA474="合格",AB474="合格",AC474="合格",AD474="合格"),"有效","无效"))</f>
        <v/>
      </c>
    </row>
    <row r="475">
      <c r="A475" s="7">
        <f>IF(B475="","",TEXT(B475,"yyyymmdd")&amp;"-"&amp;TEXT(ROW()-1,"000"))</f>
        <v/>
      </c>
      <c r="B475" s="8" t="n"/>
      <c r="C475" s="9" t="n"/>
      <c r="D475" s="9" t="n"/>
      <c r="E475" s="9" t="n"/>
      <c r="F475" s="9" t="n"/>
      <c r="G475" s="9" t="n"/>
      <c r="H475" s="9" t="n"/>
      <c r="I475" s="9" t="n"/>
      <c r="J475" s="10" t="n"/>
      <c r="K475" s="9" t="n"/>
      <c r="L475" s="9" t="n"/>
      <c r="M475" s="9" t="n"/>
      <c r="N475" s="10" t="n"/>
      <c r="O475" s="9" t="n"/>
      <c r="P475" s="10" t="n"/>
      <c r="Q475" s="10" t="n"/>
      <c r="R475" s="9" t="n"/>
      <c r="S475" s="10" t="n"/>
      <c r="T475" s="10" t="n"/>
      <c r="U475" s="11" t="n"/>
      <c r="V475" s="11" t="n"/>
      <c r="W475" s="12">
        <f>IF(B475="","",B475+3)</f>
        <v/>
      </c>
      <c r="X475" s="12">
        <f>IF(B475="","",B475+5)</f>
        <v/>
      </c>
      <c r="Y475" s="12">
        <f>IF(B475="","",B475+10)</f>
        <v/>
      </c>
      <c r="Z475" s="13">
        <f>IF(B475="","",(--(B475&lt;&gt;"")+--(C475&lt;&gt;"")+--(D475&lt;&gt;"")+--(E475&lt;&gt;"")+--(F475&lt;&gt;"")+--(G475&lt;&gt;"")+--(H475&lt;&gt;"")+--(I475&lt;&gt;"")+--(J475&lt;&gt;"")+--(K475&lt;&gt;"")+--(L475&lt;&gt;"")+--(M475&lt;&gt;"")+--(N475&lt;&gt;"")+--(O475&lt;&gt;"")+--(P475&lt;&gt;"")+--(Q475&lt;&gt;"")+--(R475&lt;&gt;"")+--(S475&lt;&gt;"")+--(T475&lt;&gt;""))/19)</f>
        <v/>
      </c>
      <c r="AA475" s="16" t="n"/>
      <c r="AB475" s="16" t="n"/>
      <c r="AC475" s="16" t="n"/>
      <c r="AD475" s="16" t="n"/>
      <c r="AE475" s="7">
        <f>IF(B475="","",IF(AND(AA475="合格",AB475="合格",AC475="合格",AD475="合格"),"有效","无效"))</f>
        <v/>
      </c>
    </row>
    <row r="476">
      <c r="A476" s="7">
        <f>IF(B476="","",TEXT(B476,"yyyymmdd")&amp;"-"&amp;TEXT(ROW()-1,"000"))</f>
        <v/>
      </c>
      <c r="B476" s="8" t="n"/>
      <c r="C476" s="9" t="n"/>
      <c r="D476" s="9" t="n"/>
      <c r="E476" s="9" t="n"/>
      <c r="F476" s="9" t="n"/>
      <c r="G476" s="9" t="n"/>
      <c r="H476" s="9" t="n"/>
      <c r="I476" s="9" t="n"/>
      <c r="J476" s="10" t="n"/>
      <c r="K476" s="9" t="n"/>
      <c r="L476" s="9" t="n"/>
      <c r="M476" s="9" t="n"/>
      <c r="N476" s="10" t="n"/>
      <c r="O476" s="9" t="n"/>
      <c r="P476" s="10" t="n"/>
      <c r="Q476" s="10" t="n"/>
      <c r="R476" s="9" t="n"/>
      <c r="S476" s="10" t="n"/>
      <c r="T476" s="10" t="n"/>
      <c r="U476" s="11" t="n"/>
      <c r="V476" s="11" t="n"/>
      <c r="W476" s="12">
        <f>IF(B476="","",B476+3)</f>
        <v/>
      </c>
      <c r="X476" s="12">
        <f>IF(B476="","",B476+5)</f>
        <v/>
      </c>
      <c r="Y476" s="12">
        <f>IF(B476="","",B476+10)</f>
        <v/>
      </c>
      <c r="Z476" s="13">
        <f>IF(B476="","",(--(B476&lt;&gt;"")+--(C476&lt;&gt;"")+--(D476&lt;&gt;"")+--(E476&lt;&gt;"")+--(F476&lt;&gt;"")+--(G476&lt;&gt;"")+--(H476&lt;&gt;"")+--(I476&lt;&gt;"")+--(J476&lt;&gt;"")+--(K476&lt;&gt;"")+--(L476&lt;&gt;"")+--(M476&lt;&gt;"")+--(N476&lt;&gt;"")+--(O476&lt;&gt;"")+--(P476&lt;&gt;"")+--(Q476&lt;&gt;"")+--(R476&lt;&gt;"")+--(S476&lt;&gt;"")+--(T476&lt;&gt;""))/19)</f>
        <v/>
      </c>
      <c r="AA476" s="16" t="n"/>
      <c r="AB476" s="16" t="n"/>
      <c r="AC476" s="16" t="n"/>
      <c r="AD476" s="16" t="n"/>
      <c r="AE476" s="7">
        <f>IF(B476="","",IF(AND(AA476="合格",AB476="合格",AC476="合格",AD476="合格"),"有效","无效"))</f>
        <v/>
      </c>
    </row>
    <row r="477">
      <c r="A477" s="7">
        <f>IF(B477="","",TEXT(B477,"yyyymmdd")&amp;"-"&amp;TEXT(ROW()-1,"000"))</f>
        <v/>
      </c>
      <c r="B477" s="8" t="n"/>
      <c r="C477" s="9" t="n"/>
      <c r="D477" s="9" t="n"/>
      <c r="E477" s="9" t="n"/>
      <c r="F477" s="9" t="n"/>
      <c r="G477" s="9" t="n"/>
      <c r="H477" s="9" t="n"/>
      <c r="I477" s="9" t="n"/>
      <c r="J477" s="10" t="n"/>
      <c r="K477" s="9" t="n"/>
      <c r="L477" s="9" t="n"/>
      <c r="M477" s="9" t="n"/>
      <c r="N477" s="10" t="n"/>
      <c r="O477" s="9" t="n"/>
      <c r="P477" s="10" t="n"/>
      <c r="Q477" s="10" t="n"/>
      <c r="R477" s="9" t="n"/>
      <c r="S477" s="10" t="n"/>
      <c r="T477" s="10" t="n"/>
      <c r="U477" s="11" t="n"/>
      <c r="V477" s="11" t="n"/>
      <c r="W477" s="12">
        <f>IF(B477="","",B477+3)</f>
        <v/>
      </c>
      <c r="X477" s="12">
        <f>IF(B477="","",B477+5)</f>
        <v/>
      </c>
      <c r="Y477" s="12">
        <f>IF(B477="","",B477+10)</f>
        <v/>
      </c>
      <c r="Z477" s="13">
        <f>IF(B477="","",(--(B477&lt;&gt;"")+--(C477&lt;&gt;"")+--(D477&lt;&gt;"")+--(E477&lt;&gt;"")+--(F477&lt;&gt;"")+--(G477&lt;&gt;"")+--(H477&lt;&gt;"")+--(I477&lt;&gt;"")+--(J477&lt;&gt;"")+--(K477&lt;&gt;"")+--(L477&lt;&gt;"")+--(M477&lt;&gt;"")+--(N477&lt;&gt;"")+--(O477&lt;&gt;"")+--(P477&lt;&gt;"")+--(Q477&lt;&gt;"")+--(R477&lt;&gt;"")+--(S477&lt;&gt;"")+--(T477&lt;&gt;""))/19)</f>
        <v/>
      </c>
      <c r="AA477" s="16" t="n"/>
      <c r="AB477" s="16" t="n"/>
      <c r="AC477" s="16" t="n"/>
      <c r="AD477" s="16" t="n"/>
      <c r="AE477" s="7">
        <f>IF(B477="","",IF(AND(AA477="合格",AB477="合格",AC477="合格",AD477="合格"),"有效","无效"))</f>
        <v/>
      </c>
    </row>
    <row r="478">
      <c r="A478" s="7">
        <f>IF(B478="","",TEXT(B478,"yyyymmdd")&amp;"-"&amp;TEXT(ROW()-1,"000"))</f>
        <v/>
      </c>
      <c r="B478" s="8" t="n"/>
      <c r="C478" s="9" t="n"/>
      <c r="D478" s="9" t="n"/>
      <c r="E478" s="9" t="n"/>
      <c r="F478" s="9" t="n"/>
      <c r="G478" s="9" t="n"/>
      <c r="H478" s="9" t="n"/>
      <c r="I478" s="9" t="n"/>
      <c r="J478" s="10" t="n"/>
      <c r="K478" s="9" t="n"/>
      <c r="L478" s="9" t="n"/>
      <c r="M478" s="9" t="n"/>
      <c r="N478" s="10" t="n"/>
      <c r="O478" s="9" t="n"/>
      <c r="P478" s="10" t="n"/>
      <c r="Q478" s="10" t="n"/>
      <c r="R478" s="9" t="n"/>
      <c r="S478" s="10" t="n"/>
      <c r="T478" s="10" t="n"/>
      <c r="U478" s="11" t="n"/>
      <c r="V478" s="11" t="n"/>
      <c r="W478" s="12">
        <f>IF(B478="","",B478+3)</f>
        <v/>
      </c>
      <c r="X478" s="12">
        <f>IF(B478="","",B478+5)</f>
        <v/>
      </c>
      <c r="Y478" s="12">
        <f>IF(B478="","",B478+10)</f>
        <v/>
      </c>
      <c r="Z478" s="13">
        <f>IF(B478="","",(--(B478&lt;&gt;"")+--(C478&lt;&gt;"")+--(D478&lt;&gt;"")+--(E478&lt;&gt;"")+--(F478&lt;&gt;"")+--(G478&lt;&gt;"")+--(H478&lt;&gt;"")+--(I478&lt;&gt;"")+--(J478&lt;&gt;"")+--(K478&lt;&gt;"")+--(L478&lt;&gt;"")+--(M478&lt;&gt;"")+--(N478&lt;&gt;"")+--(O478&lt;&gt;"")+--(P478&lt;&gt;"")+--(Q478&lt;&gt;"")+--(R478&lt;&gt;"")+--(S478&lt;&gt;"")+--(T478&lt;&gt;""))/19)</f>
        <v/>
      </c>
      <c r="AA478" s="16" t="n"/>
      <c r="AB478" s="16" t="n"/>
      <c r="AC478" s="16" t="n"/>
      <c r="AD478" s="16" t="n"/>
      <c r="AE478" s="7">
        <f>IF(B478="","",IF(AND(AA478="合格",AB478="合格",AC478="合格",AD478="合格"),"有效","无效"))</f>
        <v/>
      </c>
    </row>
    <row r="479">
      <c r="A479" s="7">
        <f>IF(B479="","",TEXT(B479,"yyyymmdd")&amp;"-"&amp;TEXT(ROW()-1,"000"))</f>
        <v/>
      </c>
      <c r="B479" s="8" t="n"/>
      <c r="C479" s="9" t="n"/>
      <c r="D479" s="9" t="n"/>
      <c r="E479" s="9" t="n"/>
      <c r="F479" s="9" t="n"/>
      <c r="G479" s="9" t="n"/>
      <c r="H479" s="9" t="n"/>
      <c r="I479" s="9" t="n"/>
      <c r="J479" s="10" t="n"/>
      <c r="K479" s="9" t="n"/>
      <c r="L479" s="9" t="n"/>
      <c r="M479" s="9" t="n"/>
      <c r="N479" s="10" t="n"/>
      <c r="O479" s="9" t="n"/>
      <c r="P479" s="10" t="n"/>
      <c r="Q479" s="10" t="n"/>
      <c r="R479" s="9" t="n"/>
      <c r="S479" s="10" t="n"/>
      <c r="T479" s="10" t="n"/>
      <c r="U479" s="11" t="n"/>
      <c r="V479" s="11" t="n"/>
      <c r="W479" s="12">
        <f>IF(B479="","",B479+3)</f>
        <v/>
      </c>
      <c r="X479" s="12">
        <f>IF(B479="","",B479+5)</f>
        <v/>
      </c>
      <c r="Y479" s="12">
        <f>IF(B479="","",B479+10)</f>
        <v/>
      </c>
      <c r="Z479" s="13">
        <f>IF(B479="","",(--(B479&lt;&gt;"")+--(C479&lt;&gt;"")+--(D479&lt;&gt;"")+--(E479&lt;&gt;"")+--(F479&lt;&gt;"")+--(G479&lt;&gt;"")+--(H479&lt;&gt;"")+--(I479&lt;&gt;"")+--(J479&lt;&gt;"")+--(K479&lt;&gt;"")+--(L479&lt;&gt;"")+--(M479&lt;&gt;"")+--(N479&lt;&gt;"")+--(O479&lt;&gt;"")+--(P479&lt;&gt;"")+--(Q479&lt;&gt;"")+--(R479&lt;&gt;"")+--(S479&lt;&gt;"")+--(T479&lt;&gt;""))/19)</f>
        <v/>
      </c>
      <c r="AA479" s="16" t="n"/>
      <c r="AB479" s="16" t="n"/>
      <c r="AC479" s="16" t="n"/>
      <c r="AD479" s="16" t="n"/>
      <c r="AE479" s="7">
        <f>IF(B479="","",IF(AND(AA479="合格",AB479="合格",AC479="合格",AD479="合格"),"有效","无效"))</f>
        <v/>
      </c>
    </row>
    <row r="480">
      <c r="A480" s="7">
        <f>IF(B480="","",TEXT(B480,"yyyymmdd")&amp;"-"&amp;TEXT(ROW()-1,"000"))</f>
        <v/>
      </c>
      <c r="B480" s="8" t="n"/>
      <c r="C480" s="9" t="n"/>
      <c r="D480" s="9" t="n"/>
      <c r="E480" s="9" t="n"/>
      <c r="F480" s="9" t="n"/>
      <c r="G480" s="9" t="n"/>
      <c r="H480" s="9" t="n"/>
      <c r="I480" s="9" t="n"/>
      <c r="J480" s="10" t="n"/>
      <c r="K480" s="9" t="n"/>
      <c r="L480" s="9" t="n"/>
      <c r="M480" s="9" t="n"/>
      <c r="N480" s="10" t="n"/>
      <c r="O480" s="9" t="n"/>
      <c r="P480" s="10" t="n"/>
      <c r="Q480" s="10" t="n"/>
      <c r="R480" s="9" t="n"/>
      <c r="S480" s="10" t="n"/>
      <c r="T480" s="10" t="n"/>
      <c r="U480" s="11" t="n"/>
      <c r="V480" s="11" t="n"/>
      <c r="W480" s="12">
        <f>IF(B480="","",B480+3)</f>
        <v/>
      </c>
      <c r="X480" s="12">
        <f>IF(B480="","",B480+5)</f>
        <v/>
      </c>
      <c r="Y480" s="12">
        <f>IF(B480="","",B480+10)</f>
        <v/>
      </c>
      <c r="Z480" s="13">
        <f>IF(B480="","",(--(B480&lt;&gt;"")+--(C480&lt;&gt;"")+--(D480&lt;&gt;"")+--(E480&lt;&gt;"")+--(F480&lt;&gt;"")+--(G480&lt;&gt;"")+--(H480&lt;&gt;"")+--(I480&lt;&gt;"")+--(J480&lt;&gt;"")+--(K480&lt;&gt;"")+--(L480&lt;&gt;"")+--(M480&lt;&gt;"")+--(N480&lt;&gt;"")+--(O480&lt;&gt;"")+--(P480&lt;&gt;"")+--(Q480&lt;&gt;"")+--(R480&lt;&gt;"")+--(S480&lt;&gt;"")+--(T480&lt;&gt;""))/19)</f>
        <v/>
      </c>
      <c r="AA480" s="16" t="n"/>
      <c r="AB480" s="16" t="n"/>
      <c r="AC480" s="16" t="n"/>
      <c r="AD480" s="16" t="n"/>
      <c r="AE480" s="7">
        <f>IF(B480="","",IF(AND(AA480="合格",AB480="合格",AC480="合格",AD480="合格"),"有效","无效"))</f>
        <v/>
      </c>
    </row>
    <row r="481">
      <c r="A481" s="7">
        <f>IF(B481="","",TEXT(B481,"yyyymmdd")&amp;"-"&amp;TEXT(ROW()-1,"000"))</f>
        <v/>
      </c>
      <c r="B481" s="8" t="n"/>
      <c r="C481" s="9" t="n"/>
      <c r="D481" s="9" t="n"/>
      <c r="E481" s="9" t="n"/>
      <c r="F481" s="9" t="n"/>
      <c r="G481" s="9" t="n"/>
      <c r="H481" s="9" t="n"/>
      <c r="I481" s="9" t="n"/>
      <c r="J481" s="10" t="n"/>
      <c r="K481" s="9" t="n"/>
      <c r="L481" s="9" t="n"/>
      <c r="M481" s="9" t="n"/>
      <c r="N481" s="10" t="n"/>
      <c r="O481" s="9" t="n"/>
      <c r="P481" s="10" t="n"/>
      <c r="Q481" s="10" t="n"/>
      <c r="R481" s="9" t="n"/>
      <c r="S481" s="10" t="n"/>
      <c r="T481" s="10" t="n"/>
      <c r="U481" s="11" t="n"/>
      <c r="V481" s="11" t="n"/>
      <c r="W481" s="12">
        <f>IF(B481="","",B481+3)</f>
        <v/>
      </c>
      <c r="X481" s="12">
        <f>IF(B481="","",B481+5)</f>
        <v/>
      </c>
      <c r="Y481" s="12">
        <f>IF(B481="","",B481+10)</f>
        <v/>
      </c>
      <c r="Z481" s="13">
        <f>IF(B481="","",(--(B481&lt;&gt;"")+--(C481&lt;&gt;"")+--(D481&lt;&gt;"")+--(E481&lt;&gt;"")+--(F481&lt;&gt;"")+--(G481&lt;&gt;"")+--(H481&lt;&gt;"")+--(I481&lt;&gt;"")+--(J481&lt;&gt;"")+--(K481&lt;&gt;"")+--(L481&lt;&gt;"")+--(M481&lt;&gt;"")+--(N481&lt;&gt;"")+--(O481&lt;&gt;"")+--(P481&lt;&gt;"")+--(Q481&lt;&gt;"")+--(R481&lt;&gt;"")+--(S481&lt;&gt;"")+--(T481&lt;&gt;""))/19)</f>
        <v/>
      </c>
      <c r="AA481" s="16" t="n"/>
      <c r="AB481" s="16" t="n"/>
      <c r="AC481" s="16" t="n"/>
      <c r="AD481" s="16" t="n"/>
      <c r="AE481" s="7">
        <f>IF(B481="","",IF(AND(AA481="合格",AB481="合格",AC481="合格",AD481="合格"),"有效","无效"))</f>
        <v/>
      </c>
    </row>
    <row r="482">
      <c r="A482" s="7">
        <f>IF(B482="","",TEXT(B482,"yyyymmdd")&amp;"-"&amp;TEXT(ROW()-1,"000"))</f>
        <v/>
      </c>
      <c r="B482" s="8" t="n"/>
      <c r="C482" s="9" t="n"/>
      <c r="D482" s="9" t="n"/>
      <c r="E482" s="9" t="n"/>
      <c r="F482" s="9" t="n"/>
      <c r="G482" s="9" t="n"/>
      <c r="H482" s="9" t="n"/>
      <c r="I482" s="9" t="n"/>
      <c r="J482" s="10" t="n"/>
      <c r="K482" s="9" t="n"/>
      <c r="L482" s="9" t="n"/>
      <c r="M482" s="9" t="n"/>
      <c r="N482" s="10" t="n"/>
      <c r="O482" s="9" t="n"/>
      <c r="P482" s="10" t="n"/>
      <c r="Q482" s="10" t="n"/>
      <c r="R482" s="9" t="n"/>
      <c r="S482" s="10" t="n"/>
      <c r="T482" s="10" t="n"/>
      <c r="U482" s="11" t="n"/>
      <c r="V482" s="11" t="n"/>
      <c r="W482" s="12">
        <f>IF(B482="","",B482+3)</f>
        <v/>
      </c>
      <c r="X482" s="12">
        <f>IF(B482="","",B482+5)</f>
        <v/>
      </c>
      <c r="Y482" s="12">
        <f>IF(B482="","",B482+10)</f>
        <v/>
      </c>
      <c r="Z482" s="13">
        <f>IF(B482="","",(--(B482&lt;&gt;"")+--(C482&lt;&gt;"")+--(D482&lt;&gt;"")+--(E482&lt;&gt;"")+--(F482&lt;&gt;"")+--(G482&lt;&gt;"")+--(H482&lt;&gt;"")+--(I482&lt;&gt;"")+--(J482&lt;&gt;"")+--(K482&lt;&gt;"")+--(L482&lt;&gt;"")+--(M482&lt;&gt;"")+--(N482&lt;&gt;"")+--(O482&lt;&gt;"")+--(P482&lt;&gt;"")+--(Q482&lt;&gt;"")+--(R482&lt;&gt;"")+--(S482&lt;&gt;"")+--(T482&lt;&gt;""))/19)</f>
        <v/>
      </c>
      <c r="AA482" s="16" t="n"/>
      <c r="AB482" s="16" t="n"/>
      <c r="AC482" s="16" t="n"/>
      <c r="AD482" s="16" t="n"/>
      <c r="AE482" s="7">
        <f>IF(B482="","",IF(AND(AA482="合格",AB482="合格",AC482="合格",AD482="合格"),"有效","无效"))</f>
        <v/>
      </c>
    </row>
    <row r="483">
      <c r="A483" s="7">
        <f>IF(B483="","",TEXT(B483,"yyyymmdd")&amp;"-"&amp;TEXT(ROW()-1,"000"))</f>
        <v/>
      </c>
      <c r="B483" s="8" t="n"/>
      <c r="C483" s="9" t="n"/>
      <c r="D483" s="9" t="n"/>
      <c r="E483" s="9" t="n"/>
      <c r="F483" s="9" t="n"/>
      <c r="G483" s="9" t="n"/>
      <c r="H483" s="9" t="n"/>
      <c r="I483" s="9" t="n"/>
      <c r="J483" s="10" t="n"/>
      <c r="K483" s="9" t="n"/>
      <c r="L483" s="9" t="n"/>
      <c r="M483" s="9" t="n"/>
      <c r="N483" s="10" t="n"/>
      <c r="O483" s="9" t="n"/>
      <c r="P483" s="10" t="n"/>
      <c r="Q483" s="10" t="n"/>
      <c r="R483" s="9" t="n"/>
      <c r="S483" s="10" t="n"/>
      <c r="T483" s="10" t="n"/>
      <c r="U483" s="11" t="n"/>
      <c r="V483" s="11" t="n"/>
      <c r="W483" s="12">
        <f>IF(B483="","",B483+3)</f>
        <v/>
      </c>
      <c r="X483" s="12">
        <f>IF(B483="","",B483+5)</f>
        <v/>
      </c>
      <c r="Y483" s="12">
        <f>IF(B483="","",B483+10)</f>
        <v/>
      </c>
      <c r="Z483" s="13">
        <f>IF(B483="","",(--(B483&lt;&gt;"")+--(C483&lt;&gt;"")+--(D483&lt;&gt;"")+--(E483&lt;&gt;"")+--(F483&lt;&gt;"")+--(G483&lt;&gt;"")+--(H483&lt;&gt;"")+--(I483&lt;&gt;"")+--(J483&lt;&gt;"")+--(K483&lt;&gt;"")+--(L483&lt;&gt;"")+--(M483&lt;&gt;"")+--(N483&lt;&gt;"")+--(O483&lt;&gt;"")+--(P483&lt;&gt;"")+--(Q483&lt;&gt;"")+--(R483&lt;&gt;"")+--(S483&lt;&gt;"")+--(T483&lt;&gt;""))/19)</f>
        <v/>
      </c>
      <c r="AA483" s="16" t="n"/>
      <c r="AB483" s="16" t="n"/>
      <c r="AC483" s="16" t="n"/>
      <c r="AD483" s="16" t="n"/>
      <c r="AE483" s="7">
        <f>IF(B483="","",IF(AND(AA483="合格",AB483="合格",AC483="合格",AD483="合格"),"有效","无效"))</f>
        <v/>
      </c>
    </row>
    <row r="484">
      <c r="A484" s="7">
        <f>IF(B484="","",TEXT(B484,"yyyymmdd")&amp;"-"&amp;TEXT(ROW()-1,"000"))</f>
        <v/>
      </c>
      <c r="B484" s="8" t="n"/>
      <c r="C484" s="9" t="n"/>
      <c r="D484" s="9" t="n"/>
      <c r="E484" s="9" t="n"/>
      <c r="F484" s="9" t="n"/>
      <c r="G484" s="9" t="n"/>
      <c r="H484" s="9" t="n"/>
      <c r="I484" s="9" t="n"/>
      <c r="J484" s="10" t="n"/>
      <c r="K484" s="9" t="n"/>
      <c r="L484" s="9" t="n"/>
      <c r="M484" s="9" t="n"/>
      <c r="N484" s="10" t="n"/>
      <c r="O484" s="9" t="n"/>
      <c r="P484" s="10" t="n"/>
      <c r="Q484" s="10" t="n"/>
      <c r="R484" s="9" t="n"/>
      <c r="S484" s="10" t="n"/>
      <c r="T484" s="10" t="n"/>
      <c r="U484" s="11" t="n"/>
      <c r="V484" s="11" t="n"/>
      <c r="W484" s="12">
        <f>IF(B484="","",B484+3)</f>
        <v/>
      </c>
      <c r="X484" s="12">
        <f>IF(B484="","",B484+5)</f>
        <v/>
      </c>
      <c r="Y484" s="12">
        <f>IF(B484="","",B484+10)</f>
        <v/>
      </c>
      <c r="Z484" s="13">
        <f>IF(B484="","",(--(B484&lt;&gt;"")+--(C484&lt;&gt;"")+--(D484&lt;&gt;"")+--(E484&lt;&gt;"")+--(F484&lt;&gt;"")+--(G484&lt;&gt;"")+--(H484&lt;&gt;"")+--(I484&lt;&gt;"")+--(J484&lt;&gt;"")+--(K484&lt;&gt;"")+--(L484&lt;&gt;"")+--(M484&lt;&gt;"")+--(N484&lt;&gt;"")+--(O484&lt;&gt;"")+--(P484&lt;&gt;"")+--(Q484&lt;&gt;"")+--(R484&lt;&gt;"")+--(S484&lt;&gt;"")+--(T484&lt;&gt;""))/19)</f>
        <v/>
      </c>
      <c r="AA484" s="16" t="n"/>
      <c r="AB484" s="16" t="n"/>
      <c r="AC484" s="16" t="n"/>
      <c r="AD484" s="16" t="n"/>
      <c r="AE484" s="7">
        <f>IF(B484="","",IF(AND(AA484="合格",AB484="合格",AC484="合格",AD484="合格"),"有效","无效"))</f>
        <v/>
      </c>
    </row>
    <row r="485">
      <c r="A485" s="7">
        <f>IF(B485="","",TEXT(B485,"yyyymmdd")&amp;"-"&amp;TEXT(ROW()-1,"000"))</f>
        <v/>
      </c>
      <c r="B485" s="8" t="n"/>
      <c r="C485" s="9" t="n"/>
      <c r="D485" s="9" t="n"/>
      <c r="E485" s="9" t="n"/>
      <c r="F485" s="9" t="n"/>
      <c r="G485" s="9" t="n"/>
      <c r="H485" s="9" t="n"/>
      <c r="I485" s="9" t="n"/>
      <c r="J485" s="10" t="n"/>
      <c r="K485" s="9" t="n"/>
      <c r="L485" s="9" t="n"/>
      <c r="M485" s="9" t="n"/>
      <c r="N485" s="10" t="n"/>
      <c r="O485" s="9" t="n"/>
      <c r="P485" s="10" t="n"/>
      <c r="Q485" s="10" t="n"/>
      <c r="R485" s="9" t="n"/>
      <c r="S485" s="10" t="n"/>
      <c r="T485" s="10" t="n"/>
      <c r="U485" s="11" t="n"/>
      <c r="V485" s="11" t="n"/>
      <c r="W485" s="12">
        <f>IF(B485="","",B485+3)</f>
        <v/>
      </c>
      <c r="X485" s="12">
        <f>IF(B485="","",B485+5)</f>
        <v/>
      </c>
      <c r="Y485" s="12">
        <f>IF(B485="","",B485+10)</f>
        <v/>
      </c>
      <c r="Z485" s="13">
        <f>IF(B485="","",(--(B485&lt;&gt;"")+--(C485&lt;&gt;"")+--(D485&lt;&gt;"")+--(E485&lt;&gt;"")+--(F485&lt;&gt;"")+--(G485&lt;&gt;"")+--(H485&lt;&gt;"")+--(I485&lt;&gt;"")+--(J485&lt;&gt;"")+--(K485&lt;&gt;"")+--(L485&lt;&gt;"")+--(M485&lt;&gt;"")+--(N485&lt;&gt;"")+--(O485&lt;&gt;"")+--(P485&lt;&gt;"")+--(Q485&lt;&gt;"")+--(R485&lt;&gt;"")+--(S485&lt;&gt;"")+--(T485&lt;&gt;""))/19)</f>
        <v/>
      </c>
      <c r="AA485" s="16" t="n"/>
      <c r="AB485" s="16" t="n"/>
      <c r="AC485" s="16" t="n"/>
      <c r="AD485" s="16" t="n"/>
      <c r="AE485" s="7">
        <f>IF(B485="","",IF(AND(AA485="合格",AB485="合格",AC485="合格",AD485="合格"),"有效","无效"))</f>
        <v/>
      </c>
    </row>
    <row r="486">
      <c r="A486" s="7">
        <f>IF(B486="","",TEXT(B486,"yyyymmdd")&amp;"-"&amp;TEXT(ROW()-1,"000"))</f>
        <v/>
      </c>
      <c r="B486" s="8" t="n"/>
      <c r="C486" s="9" t="n"/>
      <c r="D486" s="9" t="n"/>
      <c r="E486" s="9" t="n"/>
      <c r="F486" s="9" t="n"/>
      <c r="G486" s="9" t="n"/>
      <c r="H486" s="9" t="n"/>
      <c r="I486" s="9" t="n"/>
      <c r="J486" s="10" t="n"/>
      <c r="K486" s="9" t="n"/>
      <c r="L486" s="9" t="n"/>
      <c r="M486" s="9" t="n"/>
      <c r="N486" s="10" t="n"/>
      <c r="O486" s="9" t="n"/>
      <c r="P486" s="10" t="n"/>
      <c r="Q486" s="10" t="n"/>
      <c r="R486" s="9" t="n"/>
      <c r="S486" s="10" t="n"/>
      <c r="T486" s="10" t="n"/>
      <c r="U486" s="11" t="n"/>
      <c r="V486" s="11" t="n"/>
      <c r="W486" s="12">
        <f>IF(B486="","",B486+3)</f>
        <v/>
      </c>
      <c r="X486" s="12">
        <f>IF(B486="","",B486+5)</f>
        <v/>
      </c>
      <c r="Y486" s="12">
        <f>IF(B486="","",B486+10)</f>
        <v/>
      </c>
      <c r="Z486" s="13">
        <f>IF(B486="","",(--(B486&lt;&gt;"")+--(C486&lt;&gt;"")+--(D486&lt;&gt;"")+--(E486&lt;&gt;"")+--(F486&lt;&gt;"")+--(G486&lt;&gt;"")+--(H486&lt;&gt;"")+--(I486&lt;&gt;"")+--(J486&lt;&gt;"")+--(K486&lt;&gt;"")+--(L486&lt;&gt;"")+--(M486&lt;&gt;"")+--(N486&lt;&gt;"")+--(O486&lt;&gt;"")+--(P486&lt;&gt;"")+--(Q486&lt;&gt;"")+--(R486&lt;&gt;"")+--(S486&lt;&gt;"")+--(T486&lt;&gt;""))/19)</f>
        <v/>
      </c>
      <c r="AA486" s="16" t="n"/>
      <c r="AB486" s="16" t="n"/>
      <c r="AC486" s="16" t="n"/>
      <c r="AD486" s="16" t="n"/>
      <c r="AE486" s="7">
        <f>IF(B486="","",IF(AND(AA486="合格",AB486="合格",AC486="合格",AD486="合格"),"有效","无效"))</f>
        <v/>
      </c>
    </row>
    <row r="487">
      <c r="A487" s="7">
        <f>IF(B487="","",TEXT(B487,"yyyymmdd")&amp;"-"&amp;TEXT(ROW()-1,"000"))</f>
        <v/>
      </c>
      <c r="B487" s="8" t="n"/>
      <c r="C487" s="9" t="n"/>
      <c r="D487" s="9" t="n"/>
      <c r="E487" s="9" t="n"/>
      <c r="F487" s="9" t="n"/>
      <c r="G487" s="9" t="n"/>
      <c r="H487" s="9" t="n"/>
      <c r="I487" s="9" t="n"/>
      <c r="J487" s="10" t="n"/>
      <c r="K487" s="9" t="n"/>
      <c r="L487" s="9" t="n"/>
      <c r="M487" s="9" t="n"/>
      <c r="N487" s="10" t="n"/>
      <c r="O487" s="9" t="n"/>
      <c r="P487" s="10" t="n"/>
      <c r="Q487" s="10" t="n"/>
      <c r="R487" s="9" t="n"/>
      <c r="S487" s="10" t="n"/>
      <c r="T487" s="10" t="n"/>
      <c r="U487" s="11" t="n"/>
      <c r="V487" s="11" t="n"/>
      <c r="W487" s="12">
        <f>IF(B487="","",B487+3)</f>
        <v/>
      </c>
      <c r="X487" s="12">
        <f>IF(B487="","",B487+5)</f>
        <v/>
      </c>
      <c r="Y487" s="12">
        <f>IF(B487="","",B487+10)</f>
        <v/>
      </c>
      <c r="Z487" s="13">
        <f>IF(B487="","",(--(B487&lt;&gt;"")+--(C487&lt;&gt;"")+--(D487&lt;&gt;"")+--(E487&lt;&gt;"")+--(F487&lt;&gt;"")+--(G487&lt;&gt;"")+--(H487&lt;&gt;"")+--(I487&lt;&gt;"")+--(J487&lt;&gt;"")+--(K487&lt;&gt;"")+--(L487&lt;&gt;"")+--(M487&lt;&gt;"")+--(N487&lt;&gt;"")+--(O487&lt;&gt;"")+--(P487&lt;&gt;"")+--(Q487&lt;&gt;"")+--(R487&lt;&gt;"")+--(S487&lt;&gt;"")+--(T487&lt;&gt;""))/19)</f>
        <v/>
      </c>
      <c r="AA487" s="16" t="n"/>
      <c r="AB487" s="16" t="n"/>
      <c r="AC487" s="16" t="n"/>
      <c r="AD487" s="16" t="n"/>
      <c r="AE487" s="7">
        <f>IF(B487="","",IF(AND(AA487="合格",AB487="合格",AC487="合格",AD487="合格"),"有效","无效"))</f>
        <v/>
      </c>
    </row>
    <row r="488">
      <c r="A488" s="7">
        <f>IF(B488="","",TEXT(B488,"yyyymmdd")&amp;"-"&amp;TEXT(ROW()-1,"000"))</f>
        <v/>
      </c>
      <c r="B488" s="8" t="n"/>
      <c r="C488" s="9" t="n"/>
      <c r="D488" s="9" t="n"/>
      <c r="E488" s="9" t="n"/>
      <c r="F488" s="9" t="n"/>
      <c r="G488" s="9" t="n"/>
      <c r="H488" s="9" t="n"/>
      <c r="I488" s="9" t="n"/>
      <c r="J488" s="10" t="n"/>
      <c r="K488" s="9" t="n"/>
      <c r="L488" s="9" t="n"/>
      <c r="M488" s="9" t="n"/>
      <c r="N488" s="10" t="n"/>
      <c r="O488" s="9" t="n"/>
      <c r="P488" s="10" t="n"/>
      <c r="Q488" s="10" t="n"/>
      <c r="R488" s="9" t="n"/>
      <c r="S488" s="10" t="n"/>
      <c r="T488" s="10" t="n"/>
      <c r="U488" s="11" t="n"/>
      <c r="V488" s="11" t="n"/>
      <c r="W488" s="12">
        <f>IF(B488="","",B488+3)</f>
        <v/>
      </c>
      <c r="X488" s="12">
        <f>IF(B488="","",B488+5)</f>
        <v/>
      </c>
      <c r="Y488" s="12">
        <f>IF(B488="","",B488+10)</f>
        <v/>
      </c>
      <c r="Z488" s="13">
        <f>IF(B488="","",(--(B488&lt;&gt;"")+--(C488&lt;&gt;"")+--(D488&lt;&gt;"")+--(E488&lt;&gt;"")+--(F488&lt;&gt;"")+--(G488&lt;&gt;"")+--(H488&lt;&gt;"")+--(I488&lt;&gt;"")+--(J488&lt;&gt;"")+--(K488&lt;&gt;"")+--(L488&lt;&gt;"")+--(M488&lt;&gt;"")+--(N488&lt;&gt;"")+--(O488&lt;&gt;"")+--(P488&lt;&gt;"")+--(Q488&lt;&gt;"")+--(R488&lt;&gt;"")+--(S488&lt;&gt;"")+--(T488&lt;&gt;""))/19)</f>
        <v/>
      </c>
      <c r="AA488" s="16" t="n"/>
      <c r="AB488" s="16" t="n"/>
      <c r="AC488" s="16" t="n"/>
      <c r="AD488" s="16" t="n"/>
      <c r="AE488" s="7">
        <f>IF(B488="","",IF(AND(AA488="合格",AB488="合格",AC488="合格",AD488="合格"),"有效","无效"))</f>
        <v/>
      </c>
    </row>
    <row r="489">
      <c r="A489" s="7">
        <f>IF(B489="","",TEXT(B489,"yyyymmdd")&amp;"-"&amp;TEXT(ROW()-1,"000"))</f>
        <v/>
      </c>
      <c r="B489" s="8" t="n"/>
      <c r="C489" s="9" t="n"/>
      <c r="D489" s="9" t="n"/>
      <c r="E489" s="9" t="n"/>
      <c r="F489" s="9" t="n"/>
      <c r="G489" s="9" t="n"/>
      <c r="H489" s="9" t="n"/>
      <c r="I489" s="9" t="n"/>
      <c r="J489" s="10" t="n"/>
      <c r="K489" s="9" t="n"/>
      <c r="L489" s="9" t="n"/>
      <c r="M489" s="9" t="n"/>
      <c r="N489" s="10" t="n"/>
      <c r="O489" s="9" t="n"/>
      <c r="P489" s="10" t="n"/>
      <c r="Q489" s="10" t="n"/>
      <c r="R489" s="9" t="n"/>
      <c r="S489" s="10" t="n"/>
      <c r="T489" s="10" t="n"/>
      <c r="U489" s="11" t="n"/>
      <c r="V489" s="11" t="n"/>
      <c r="W489" s="12">
        <f>IF(B489="","",B489+3)</f>
        <v/>
      </c>
      <c r="X489" s="12">
        <f>IF(B489="","",B489+5)</f>
        <v/>
      </c>
      <c r="Y489" s="12">
        <f>IF(B489="","",B489+10)</f>
        <v/>
      </c>
      <c r="Z489" s="13">
        <f>IF(B489="","",(--(B489&lt;&gt;"")+--(C489&lt;&gt;"")+--(D489&lt;&gt;"")+--(E489&lt;&gt;"")+--(F489&lt;&gt;"")+--(G489&lt;&gt;"")+--(H489&lt;&gt;"")+--(I489&lt;&gt;"")+--(J489&lt;&gt;"")+--(K489&lt;&gt;"")+--(L489&lt;&gt;"")+--(M489&lt;&gt;"")+--(N489&lt;&gt;"")+--(O489&lt;&gt;"")+--(P489&lt;&gt;"")+--(Q489&lt;&gt;"")+--(R489&lt;&gt;"")+--(S489&lt;&gt;"")+--(T489&lt;&gt;""))/19)</f>
        <v/>
      </c>
      <c r="AA489" s="16" t="n"/>
      <c r="AB489" s="16" t="n"/>
      <c r="AC489" s="16" t="n"/>
      <c r="AD489" s="16" t="n"/>
      <c r="AE489" s="7">
        <f>IF(B489="","",IF(AND(AA489="合格",AB489="合格",AC489="合格",AD489="合格"),"有效","无效"))</f>
        <v/>
      </c>
    </row>
    <row r="490">
      <c r="A490" s="7">
        <f>IF(B490="","",TEXT(B490,"yyyymmdd")&amp;"-"&amp;TEXT(ROW()-1,"000"))</f>
        <v/>
      </c>
      <c r="B490" s="8" t="n"/>
      <c r="C490" s="9" t="n"/>
      <c r="D490" s="9" t="n"/>
      <c r="E490" s="9" t="n"/>
      <c r="F490" s="9" t="n"/>
      <c r="G490" s="9" t="n"/>
      <c r="H490" s="9" t="n"/>
      <c r="I490" s="9" t="n"/>
      <c r="J490" s="10" t="n"/>
      <c r="K490" s="9" t="n"/>
      <c r="L490" s="9" t="n"/>
      <c r="M490" s="9" t="n"/>
      <c r="N490" s="10" t="n"/>
      <c r="O490" s="9" t="n"/>
      <c r="P490" s="10" t="n"/>
      <c r="Q490" s="10" t="n"/>
      <c r="R490" s="9" t="n"/>
      <c r="S490" s="10" t="n"/>
      <c r="T490" s="10" t="n"/>
      <c r="U490" s="11" t="n"/>
      <c r="V490" s="11" t="n"/>
      <c r="W490" s="12">
        <f>IF(B490="","",B490+3)</f>
        <v/>
      </c>
      <c r="X490" s="12">
        <f>IF(B490="","",B490+5)</f>
        <v/>
      </c>
      <c r="Y490" s="12">
        <f>IF(B490="","",B490+10)</f>
        <v/>
      </c>
      <c r="Z490" s="13">
        <f>IF(B490="","",(--(B490&lt;&gt;"")+--(C490&lt;&gt;"")+--(D490&lt;&gt;"")+--(E490&lt;&gt;"")+--(F490&lt;&gt;"")+--(G490&lt;&gt;"")+--(H490&lt;&gt;"")+--(I490&lt;&gt;"")+--(J490&lt;&gt;"")+--(K490&lt;&gt;"")+--(L490&lt;&gt;"")+--(M490&lt;&gt;"")+--(N490&lt;&gt;"")+--(O490&lt;&gt;"")+--(P490&lt;&gt;"")+--(Q490&lt;&gt;"")+--(R490&lt;&gt;"")+--(S490&lt;&gt;"")+--(T490&lt;&gt;""))/19)</f>
        <v/>
      </c>
      <c r="AA490" s="16" t="n"/>
      <c r="AB490" s="16" t="n"/>
      <c r="AC490" s="16" t="n"/>
      <c r="AD490" s="16" t="n"/>
      <c r="AE490" s="7">
        <f>IF(B490="","",IF(AND(AA490="合格",AB490="合格",AC490="合格",AD490="合格"),"有效","无效"))</f>
        <v/>
      </c>
    </row>
    <row r="491">
      <c r="A491" s="7">
        <f>IF(B491="","",TEXT(B491,"yyyymmdd")&amp;"-"&amp;TEXT(ROW()-1,"000"))</f>
        <v/>
      </c>
      <c r="B491" s="8" t="n"/>
      <c r="C491" s="9" t="n"/>
      <c r="D491" s="9" t="n"/>
      <c r="E491" s="9" t="n"/>
      <c r="F491" s="9" t="n"/>
      <c r="G491" s="9" t="n"/>
      <c r="H491" s="9" t="n"/>
      <c r="I491" s="9" t="n"/>
      <c r="J491" s="10" t="n"/>
      <c r="K491" s="9" t="n"/>
      <c r="L491" s="9" t="n"/>
      <c r="M491" s="9" t="n"/>
      <c r="N491" s="10" t="n"/>
      <c r="O491" s="9" t="n"/>
      <c r="P491" s="10" t="n"/>
      <c r="Q491" s="10" t="n"/>
      <c r="R491" s="9" t="n"/>
      <c r="S491" s="10" t="n"/>
      <c r="T491" s="10" t="n"/>
      <c r="U491" s="11" t="n"/>
      <c r="V491" s="11" t="n"/>
      <c r="W491" s="12">
        <f>IF(B491="","",B491+3)</f>
        <v/>
      </c>
      <c r="X491" s="12">
        <f>IF(B491="","",B491+5)</f>
        <v/>
      </c>
      <c r="Y491" s="12">
        <f>IF(B491="","",B491+10)</f>
        <v/>
      </c>
      <c r="Z491" s="13">
        <f>IF(B491="","",(--(B491&lt;&gt;"")+--(C491&lt;&gt;"")+--(D491&lt;&gt;"")+--(E491&lt;&gt;"")+--(F491&lt;&gt;"")+--(G491&lt;&gt;"")+--(H491&lt;&gt;"")+--(I491&lt;&gt;"")+--(J491&lt;&gt;"")+--(K491&lt;&gt;"")+--(L491&lt;&gt;"")+--(M491&lt;&gt;"")+--(N491&lt;&gt;"")+--(O491&lt;&gt;"")+--(P491&lt;&gt;"")+--(Q491&lt;&gt;"")+--(R491&lt;&gt;"")+--(S491&lt;&gt;"")+--(T491&lt;&gt;""))/19)</f>
        <v/>
      </c>
      <c r="AA491" s="16" t="n"/>
      <c r="AB491" s="16" t="n"/>
      <c r="AC491" s="16" t="n"/>
      <c r="AD491" s="16" t="n"/>
      <c r="AE491" s="7">
        <f>IF(B491="","",IF(AND(AA491="合格",AB491="合格",AC491="合格",AD491="合格"),"有效","无效"))</f>
        <v/>
      </c>
    </row>
    <row r="492">
      <c r="A492" s="7">
        <f>IF(B492="","",TEXT(B492,"yyyymmdd")&amp;"-"&amp;TEXT(ROW()-1,"000"))</f>
        <v/>
      </c>
      <c r="B492" s="8" t="n"/>
      <c r="C492" s="9" t="n"/>
      <c r="D492" s="9" t="n"/>
      <c r="E492" s="9" t="n"/>
      <c r="F492" s="9" t="n"/>
      <c r="G492" s="9" t="n"/>
      <c r="H492" s="9" t="n"/>
      <c r="I492" s="9" t="n"/>
      <c r="J492" s="10" t="n"/>
      <c r="K492" s="9" t="n"/>
      <c r="L492" s="9" t="n"/>
      <c r="M492" s="9" t="n"/>
      <c r="N492" s="10" t="n"/>
      <c r="O492" s="9" t="n"/>
      <c r="P492" s="10" t="n"/>
      <c r="Q492" s="10" t="n"/>
      <c r="R492" s="9" t="n"/>
      <c r="S492" s="10" t="n"/>
      <c r="T492" s="10" t="n"/>
      <c r="U492" s="11" t="n"/>
      <c r="V492" s="11" t="n"/>
      <c r="W492" s="12">
        <f>IF(B492="","",B492+3)</f>
        <v/>
      </c>
      <c r="X492" s="12">
        <f>IF(B492="","",B492+5)</f>
        <v/>
      </c>
      <c r="Y492" s="12">
        <f>IF(B492="","",B492+10)</f>
        <v/>
      </c>
      <c r="Z492" s="13">
        <f>IF(B492="","",(--(B492&lt;&gt;"")+--(C492&lt;&gt;"")+--(D492&lt;&gt;"")+--(E492&lt;&gt;"")+--(F492&lt;&gt;"")+--(G492&lt;&gt;"")+--(H492&lt;&gt;"")+--(I492&lt;&gt;"")+--(J492&lt;&gt;"")+--(K492&lt;&gt;"")+--(L492&lt;&gt;"")+--(M492&lt;&gt;"")+--(N492&lt;&gt;"")+--(O492&lt;&gt;"")+--(P492&lt;&gt;"")+--(Q492&lt;&gt;"")+--(R492&lt;&gt;"")+--(S492&lt;&gt;"")+--(T492&lt;&gt;""))/19)</f>
        <v/>
      </c>
      <c r="AA492" s="16" t="n"/>
      <c r="AB492" s="16" t="n"/>
      <c r="AC492" s="16" t="n"/>
      <c r="AD492" s="16" t="n"/>
      <c r="AE492" s="7">
        <f>IF(B492="","",IF(AND(AA492="合格",AB492="合格",AC492="合格",AD492="合格"),"有效","无效"))</f>
        <v/>
      </c>
    </row>
    <row r="493">
      <c r="A493" s="7">
        <f>IF(B493="","",TEXT(B493,"yyyymmdd")&amp;"-"&amp;TEXT(ROW()-1,"000"))</f>
        <v/>
      </c>
      <c r="B493" s="8" t="n"/>
      <c r="C493" s="9" t="n"/>
      <c r="D493" s="9" t="n"/>
      <c r="E493" s="9" t="n"/>
      <c r="F493" s="9" t="n"/>
      <c r="G493" s="9" t="n"/>
      <c r="H493" s="9" t="n"/>
      <c r="I493" s="9" t="n"/>
      <c r="J493" s="10" t="n"/>
      <c r="K493" s="9" t="n"/>
      <c r="L493" s="9" t="n"/>
      <c r="M493" s="9" t="n"/>
      <c r="N493" s="10" t="n"/>
      <c r="O493" s="9" t="n"/>
      <c r="P493" s="10" t="n"/>
      <c r="Q493" s="10" t="n"/>
      <c r="R493" s="9" t="n"/>
      <c r="S493" s="10" t="n"/>
      <c r="T493" s="10" t="n"/>
      <c r="U493" s="11" t="n"/>
      <c r="V493" s="11" t="n"/>
      <c r="W493" s="12">
        <f>IF(B493="","",B493+3)</f>
        <v/>
      </c>
      <c r="X493" s="12">
        <f>IF(B493="","",B493+5)</f>
        <v/>
      </c>
      <c r="Y493" s="12">
        <f>IF(B493="","",B493+10)</f>
        <v/>
      </c>
      <c r="Z493" s="13">
        <f>IF(B493="","",(--(B493&lt;&gt;"")+--(C493&lt;&gt;"")+--(D493&lt;&gt;"")+--(E493&lt;&gt;"")+--(F493&lt;&gt;"")+--(G493&lt;&gt;"")+--(H493&lt;&gt;"")+--(I493&lt;&gt;"")+--(J493&lt;&gt;"")+--(K493&lt;&gt;"")+--(L493&lt;&gt;"")+--(M493&lt;&gt;"")+--(N493&lt;&gt;"")+--(O493&lt;&gt;"")+--(P493&lt;&gt;"")+--(Q493&lt;&gt;"")+--(R493&lt;&gt;"")+--(S493&lt;&gt;"")+--(T493&lt;&gt;""))/19)</f>
        <v/>
      </c>
      <c r="AA493" s="16" t="n"/>
      <c r="AB493" s="16" t="n"/>
      <c r="AC493" s="16" t="n"/>
      <c r="AD493" s="16" t="n"/>
      <c r="AE493" s="7">
        <f>IF(B493="","",IF(AND(AA493="合格",AB493="合格",AC493="合格",AD493="合格"),"有效","无效"))</f>
        <v/>
      </c>
    </row>
    <row r="494">
      <c r="A494" s="7">
        <f>IF(B494="","",TEXT(B494,"yyyymmdd")&amp;"-"&amp;TEXT(ROW()-1,"000"))</f>
        <v/>
      </c>
      <c r="B494" s="8" t="n"/>
      <c r="C494" s="9" t="n"/>
      <c r="D494" s="9" t="n"/>
      <c r="E494" s="9" t="n"/>
      <c r="F494" s="9" t="n"/>
      <c r="G494" s="9" t="n"/>
      <c r="H494" s="9" t="n"/>
      <c r="I494" s="9" t="n"/>
      <c r="J494" s="10" t="n"/>
      <c r="K494" s="9" t="n"/>
      <c r="L494" s="9" t="n"/>
      <c r="M494" s="9" t="n"/>
      <c r="N494" s="10" t="n"/>
      <c r="O494" s="9" t="n"/>
      <c r="P494" s="10" t="n"/>
      <c r="Q494" s="10" t="n"/>
      <c r="R494" s="9" t="n"/>
      <c r="S494" s="10" t="n"/>
      <c r="T494" s="10" t="n"/>
      <c r="U494" s="11" t="n"/>
      <c r="V494" s="11" t="n"/>
      <c r="W494" s="12">
        <f>IF(B494="","",B494+3)</f>
        <v/>
      </c>
      <c r="X494" s="12">
        <f>IF(B494="","",B494+5)</f>
        <v/>
      </c>
      <c r="Y494" s="12">
        <f>IF(B494="","",B494+10)</f>
        <v/>
      </c>
      <c r="Z494" s="13">
        <f>IF(B494="","",(--(B494&lt;&gt;"")+--(C494&lt;&gt;"")+--(D494&lt;&gt;"")+--(E494&lt;&gt;"")+--(F494&lt;&gt;"")+--(G494&lt;&gt;"")+--(H494&lt;&gt;"")+--(I494&lt;&gt;"")+--(J494&lt;&gt;"")+--(K494&lt;&gt;"")+--(L494&lt;&gt;"")+--(M494&lt;&gt;"")+--(N494&lt;&gt;"")+--(O494&lt;&gt;"")+--(P494&lt;&gt;"")+--(Q494&lt;&gt;"")+--(R494&lt;&gt;"")+--(S494&lt;&gt;"")+--(T494&lt;&gt;""))/19)</f>
        <v/>
      </c>
      <c r="AA494" s="16" t="n"/>
      <c r="AB494" s="16" t="n"/>
      <c r="AC494" s="16" t="n"/>
      <c r="AD494" s="16" t="n"/>
      <c r="AE494" s="7">
        <f>IF(B494="","",IF(AND(AA494="合格",AB494="合格",AC494="合格",AD494="合格"),"有效","无效"))</f>
        <v/>
      </c>
    </row>
    <row r="495">
      <c r="A495" s="7">
        <f>IF(B495="","",TEXT(B495,"yyyymmdd")&amp;"-"&amp;TEXT(ROW()-1,"000"))</f>
        <v/>
      </c>
      <c r="B495" s="8" t="n"/>
      <c r="C495" s="9" t="n"/>
      <c r="D495" s="9" t="n"/>
      <c r="E495" s="9" t="n"/>
      <c r="F495" s="9" t="n"/>
      <c r="G495" s="9" t="n"/>
      <c r="H495" s="9" t="n"/>
      <c r="I495" s="9" t="n"/>
      <c r="J495" s="10" t="n"/>
      <c r="K495" s="9" t="n"/>
      <c r="L495" s="9" t="n"/>
      <c r="M495" s="9" t="n"/>
      <c r="N495" s="10" t="n"/>
      <c r="O495" s="9" t="n"/>
      <c r="P495" s="10" t="n"/>
      <c r="Q495" s="10" t="n"/>
      <c r="R495" s="9" t="n"/>
      <c r="S495" s="10" t="n"/>
      <c r="T495" s="10" t="n"/>
      <c r="U495" s="11" t="n"/>
      <c r="V495" s="11" t="n"/>
      <c r="W495" s="12">
        <f>IF(B495="","",B495+3)</f>
        <v/>
      </c>
      <c r="X495" s="12">
        <f>IF(B495="","",B495+5)</f>
        <v/>
      </c>
      <c r="Y495" s="12">
        <f>IF(B495="","",B495+10)</f>
        <v/>
      </c>
      <c r="Z495" s="13">
        <f>IF(B495="","",(--(B495&lt;&gt;"")+--(C495&lt;&gt;"")+--(D495&lt;&gt;"")+--(E495&lt;&gt;"")+--(F495&lt;&gt;"")+--(G495&lt;&gt;"")+--(H495&lt;&gt;"")+--(I495&lt;&gt;"")+--(J495&lt;&gt;"")+--(K495&lt;&gt;"")+--(L495&lt;&gt;"")+--(M495&lt;&gt;"")+--(N495&lt;&gt;"")+--(O495&lt;&gt;"")+--(P495&lt;&gt;"")+--(Q495&lt;&gt;"")+--(R495&lt;&gt;"")+--(S495&lt;&gt;"")+--(T495&lt;&gt;""))/19)</f>
        <v/>
      </c>
      <c r="AA495" s="16" t="n"/>
      <c r="AB495" s="16" t="n"/>
      <c r="AC495" s="16" t="n"/>
      <c r="AD495" s="16" t="n"/>
      <c r="AE495" s="7">
        <f>IF(B495="","",IF(AND(AA495="合格",AB495="合格",AC495="合格",AD495="合格"),"有效","无效"))</f>
        <v/>
      </c>
    </row>
    <row r="496">
      <c r="A496" s="7">
        <f>IF(B496="","",TEXT(B496,"yyyymmdd")&amp;"-"&amp;TEXT(ROW()-1,"000"))</f>
        <v/>
      </c>
      <c r="B496" s="8" t="n"/>
      <c r="C496" s="9" t="n"/>
      <c r="D496" s="9" t="n"/>
      <c r="E496" s="9" t="n"/>
      <c r="F496" s="9" t="n"/>
      <c r="G496" s="9" t="n"/>
      <c r="H496" s="9" t="n"/>
      <c r="I496" s="9" t="n"/>
      <c r="J496" s="10" t="n"/>
      <c r="K496" s="9" t="n"/>
      <c r="L496" s="9" t="n"/>
      <c r="M496" s="9" t="n"/>
      <c r="N496" s="10" t="n"/>
      <c r="O496" s="9" t="n"/>
      <c r="P496" s="10" t="n"/>
      <c r="Q496" s="10" t="n"/>
      <c r="R496" s="9" t="n"/>
      <c r="S496" s="10" t="n"/>
      <c r="T496" s="10" t="n"/>
      <c r="U496" s="11" t="n"/>
      <c r="V496" s="11" t="n"/>
      <c r="W496" s="12">
        <f>IF(B496="","",B496+3)</f>
        <v/>
      </c>
      <c r="X496" s="12">
        <f>IF(B496="","",B496+5)</f>
        <v/>
      </c>
      <c r="Y496" s="12">
        <f>IF(B496="","",B496+10)</f>
        <v/>
      </c>
      <c r="Z496" s="13">
        <f>IF(B496="","",(--(B496&lt;&gt;"")+--(C496&lt;&gt;"")+--(D496&lt;&gt;"")+--(E496&lt;&gt;"")+--(F496&lt;&gt;"")+--(G496&lt;&gt;"")+--(H496&lt;&gt;"")+--(I496&lt;&gt;"")+--(J496&lt;&gt;"")+--(K496&lt;&gt;"")+--(L496&lt;&gt;"")+--(M496&lt;&gt;"")+--(N496&lt;&gt;"")+--(O496&lt;&gt;"")+--(P496&lt;&gt;"")+--(Q496&lt;&gt;"")+--(R496&lt;&gt;"")+--(S496&lt;&gt;"")+--(T496&lt;&gt;""))/19)</f>
        <v/>
      </c>
      <c r="AA496" s="16" t="n"/>
      <c r="AB496" s="16" t="n"/>
      <c r="AC496" s="16" t="n"/>
      <c r="AD496" s="16" t="n"/>
      <c r="AE496" s="7">
        <f>IF(B496="","",IF(AND(AA496="合格",AB496="合格",AC496="合格",AD496="合格"),"有效","无效"))</f>
        <v/>
      </c>
    </row>
    <row r="497">
      <c r="A497" s="7">
        <f>IF(B497="","",TEXT(B497,"yyyymmdd")&amp;"-"&amp;TEXT(ROW()-1,"000"))</f>
        <v/>
      </c>
      <c r="B497" s="8" t="n"/>
      <c r="C497" s="9" t="n"/>
      <c r="D497" s="9" t="n"/>
      <c r="E497" s="9" t="n"/>
      <c r="F497" s="9" t="n"/>
      <c r="G497" s="9" t="n"/>
      <c r="H497" s="9" t="n"/>
      <c r="I497" s="9" t="n"/>
      <c r="J497" s="10" t="n"/>
      <c r="K497" s="9" t="n"/>
      <c r="L497" s="9" t="n"/>
      <c r="M497" s="9" t="n"/>
      <c r="N497" s="10" t="n"/>
      <c r="O497" s="9" t="n"/>
      <c r="P497" s="10" t="n"/>
      <c r="Q497" s="10" t="n"/>
      <c r="R497" s="9" t="n"/>
      <c r="S497" s="10" t="n"/>
      <c r="T497" s="10" t="n"/>
      <c r="U497" s="11" t="n"/>
      <c r="V497" s="11" t="n"/>
      <c r="W497" s="12">
        <f>IF(B497="","",B497+3)</f>
        <v/>
      </c>
      <c r="X497" s="12">
        <f>IF(B497="","",B497+5)</f>
        <v/>
      </c>
      <c r="Y497" s="12">
        <f>IF(B497="","",B497+10)</f>
        <v/>
      </c>
      <c r="Z497" s="13">
        <f>IF(B497="","",(--(B497&lt;&gt;"")+--(C497&lt;&gt;"")+--(D497&lt;&gt;"")+--(E497&lt;&gt;"")+--(F497&lt;&gt;"")+--(G497&lt;&gt;"")+--(H497&lt;&gt;"")+--(I497&lt;&gt;"")+--(J497&lt;&gt;"")+--(K497&lt;&gt;"")+--(L497&lt;&gt;"")+--(M497&lt;&gt;"")+--(N497&lt;&gt;"")+--(O497&lt;&gt;"")+--(P497&lt;&gt;"")+--(Q497&lt;&gt;"")+--(R497&lt;&gt;"")+--(S497&lt;&gt;"")+--(T497&lt;&gt;""))/19)</f>
        <v/>
      </c>
      <c r="AA497" s="16" t="n"/>
      <c r="AB497" s="16" t="n"/>
      <c r="AC497" s="16" t="n"/>
      <c r="AD497" s="16" t="n"/>
      <c r="AE497" s="7">
        <f>IF(B497="","",IF(AND(AA497="合格",AB497="合格",AC497="合格",AD497="合格"),"有效","无效"))</f>
        <v/>
      </c>
    </row>
    <row r="498">
      <c r="A498" s="7">
        <f>IF(B498="","",TEXT(B498,"yyyymmdd")&amp;"-"&amp;TEXT(ROW()-1,"000"))</f>
        <v/>
      </c>
      <c r="B498" s="8" t="n"/>
      <c r="C498" s="9" t="n"/>
      <c r="D498" s="9" t="n"/>
      <c r="E498" s="9" t="n"/>
      <c r="F498" s="9" t="n"/>
      <c r="G498" s="9" t="n"/>
      <c r="H498" s="9" t="n"/>
      <c r="I498" s="9" t="n"/>
      <c r="J498" s="10" t="n"/>
      <c r="K498" s="9" t="n"/>
      <c r="L498" s="9" t="n"/>
      <c r="M498" s="9" t="n"/>
      <c r="N498" s="10" t="n"/>
      <c r="O498" s="9" t="n"/>
      <c r="P498" s="10" t="n"/>
      <c r="Q498" s="10" t="n"/>
      <c r="R498" s="9" t="n"/>
      <c r="S498" s="10" t="n"/>
      <c r="T498" s="10" t="n"/>
      <c r="U498" s="11" t="n"/>
      <c r="V498" s="11" t="n"/>
      <c r="W498" s="12">
        <f>IF(B498="","",B498+3)</f>
        <v/>
      </c>
      <c r="X498" s="12">
        <f>IF(B498="","",B498+5)</f>
        <v/>
      </c>
      <c r="Y498" s="12">
        <f>IF(B498="","",B498+10)</f>
        <v/>
      </c>
      <c r="Z498" s="13">
        <f>IF(B498="","",(--(B498&lt;&gt;"")+--(C498&lt;&gt;"")+--(D498&lt;&gt;"")+--(E498&lt;&gt;"")+--(F498&lt;&gt;"")+--(G498&lt;&gt;"")+--(H498&lt;&gt;"")+--(I498&lt;&gt;"")+--(J498&lt;&gt;"")+--(K498&lt;&gt;"")+--(L498&lt;&gt;"")+--(M498&lt;&gt;"")+--(N498&lt;&gt;"")+--(O498&lt;&gt;"")+--(P498&lt;&gt;"")+--(Q498&lt;&gt;"")+--(R498&lt;&gt;"")+--(S498&lt;&gt;"")+--(T498&lt;&gt;""))/19)</f>
        <v/>
      </c>
      <c r="AA498" s="16" t="n"/>
      <c r="AB498" s="16" t="n"/>
      <c r="AC498" s="16" t="n"/>
      <c r="AD498" s="16" t="n"/>
      <c r="AE498" s="7">
        <f>IF(B498="","",IF(AND(AA498="合格",AB498="合格",AC498="合格",AD498="合格"),"有效","无效"))</f>
        <v/>
      </c>
    </row>
    <row r="499">
      <c r="A499" s="7">
        <f>IF(B499="","",TEXT(B499,"yyyymmdd")&amp;"-"&amp;TEXT(ROW()-1,"000"))</f>
        <v/>
      </c>
      <c r="B499" s="8" t="n"/>
      <c r="C499" s="9" t="n"/>
      <c r="D499" s="9" t="n"/>
      <c r="E499" s="9" t="n"/>
      <c r="F499" s="9" t="n"/>
      <c r="G499" s="9" t="n"/>
      <c r="H499" s="9" t="n"/>
      <c r="I499" s="9" t="n"/>
      <c r="J499" s="10" t="n"/>
      <c r="K499" s="9" t="n"/>
      <c r="L499" s="9" t="n"/>
      <c r="M499" s="9" t="n"/>
      <c r="N499" s="10" t="n"/>
      <c r="O499" s="9" t="n"/>
      <c r="P499" s="10" t="n"/>
      <c r="Q499" s="10" t="n"/>
      <c r="R499" s="9" t="n"/>
      <c r="S499" s="10" t="n"/>
      <c r="T499" s="10" t="n"/>
      <c r="U499" s="11" t="n"/>
      <c r="V499" s="11" t="n"/>
      <c r="W499" s="12">
        <f>IF(B499="","",B499+3)</f>
        <v/>
      </c>
      <c r="X499" s="12">
        <f>IF(B499="","",B499+5)</f>
        <v/>
      </c>
      <c r="Y499" s="12">
        <f>IF(B499="","",B499+10)</f>
        <v/>
      </c>
      <c r="Z499" s="13">
        <f>IF(B499="","",(--(B499&lt;&gt;"")+--(C499&lt;&gt;"")+--(D499&lt;&gt;"")+--(E499&lt;&gt;"")+--(F499&lt;&gt;"")+--(G499&lt;&gt;"")+--(H499&lt;&gt;"")+--(I499&lt;&gt;"")+--(J499&lt;&gt;"")+--(K499&lt;&gt;"")+--(L499&lt;&gt;"")+--(M499&lt;&gt;"")+--(N499&lt;&gt;"")+--(O499&lt;&gt;"")+--(P499&lt;&gt;"")+--(Q499&lt;&gt;"")+--(R499&lt;&gt;"")+--(S499&lt;&gt;"")+--(T499&lt;&gt;""))/19)</f>
        <v/>
      </c>
      <c r="AA499" s="16" t="n"/>
      <c r="AB499" s="16" t="n"/>
      <c r="AC499" s="16" t="n"/>
      <c r="AD499" s="16" t="n"/>
      <c r="AE499" s="7">
        <f>IF(B499="","",IF(AND(AA499="合格",AB499="合格",AC499="合格",AD499="合格"),"有效","无效"))</f>
        <v/>
      </c>
    </row>
    <row r="500">
      <c r="A500" s="7">
        <f>IF(B500="","",TEXT(B500,"yyyymmdd")&amp;"-"&amp;TEXT(ROW()-1,"000"))</f>
        <v/>
      </c>
      <c r="B500" s="8" t="n"/>
      <c r="C500" s="9" t="n"/>
      <c r="D500" s="9" t="n"/>
      <c r="E500" s="9" t="n"/>
      <c r="F500" s="9" t="n"/>
      <c r="G500" s="9" t="n"/>
      <c r="H500" s="9" t="n"/>
      <c r="I500" s="9" t="n"/>
      <c r="J500" s="10" t="n"/>
      <c r="K500" s="9" t="n"/>
      <c r="L500" s="9" t="n"/>
      <c r="M500" s="9" t="n"/>
      <c r="N500" s="10" t="n"/>
      <c r="O500" s="9" t="n"/>
      <c r="P500" s="10" t="n"/>
      <c r="Q500" s="10" t="n"/>
      <c r="R500" s="9" t="n"/>
      <c r="S500" s="10" t="n"/>
      <c r="T500" s="10" t="n"/>
      <c r="U500" s="11" t="n"/>
      <c r="V500" s="11" t="n"/>
      <c r="W500" s="12">
        <f>IF(B500="","",B500+3)</f>
        <v/>
      </c>
      <c r="X500" s="12">
        <f>IF(B500="","",B500+5)</f>
        <v/>
      </c>
      <c r="Y500" s="12">
        <f>IF(B500="","",B500+10)</f>
        <v/>
      </c>
      <c r="Z500" s="13">
        <f>IF(B500="","",(--(B500&lt;&gt;"")+--(C500&lt;&gt;"")+--(D500&lt;&gt;"")+--(E500&lt;&gt;"")+--(F500&lt;&gt;"")+--(G500&lt;&gt;"")+--(H500&lt;&gt;"")+--(I500&lt;&gt;"")+--(J500&lt;&gt;"")+--(K500&lt;&gt;"")+--(L500&lt;&gt;"")+--(M500&lt;&gt;"")+--(N500&lt;&gt;"")+--(O500&lt;&gt;"")+--(P500&lt;&gt;"")+--(Q500&lt;&gt;"")+--(R500&lt;&gt;"")+--(S500&lt;&gt;"")+--(T500&lt;&gt;""))/19)</f>
        <v/>
      </c>
      <c r="AA500" s="16" t="n"/>
      <c r="AB500" s="16" t="n"/>
      <c r="AC500" s="16" t="n"/>
      <c r="AD500" s="16" t="n"/>
      <c r="AE500" s="7">
        <f>IF(B500="","",IF(AND(AA500="合格",AB500="合格",AC500="合格",AD500="合格"),"有效","无效"))</f>
        <v/>
      </c>
    </row>
  </sheetData>
  <autoFilter ref="A1:AE500"/>
  <conditionalFormatting sqref="Z2:Z500">
    <cfRule type="cellIs" priority="1" operator="lessThan" dxfId="0">
      <formula>1</formula>
    </cfRule>
    <cfRule type="cellIs" priority="2" operator="equal" dxfId="1">
      <formula>1</formula>
    </cfRule>
  </conditionalFormatting>
  <conditionalFormatting sqref="AE2:AE500">
    <cfRule type="expression" priority="3" dxfId="0">
      <formula>$AE2="无效"</formula>
    </cfRule>
    <cfRule type="expression" priority="4" dxfId="1">
      <formula>$AE2="有效"</formula>
    </cfRule>
  </conditionalFormatting>
  <dataValidations count="13">
    <dataValidation sqref="E2:E500" showDropDown="0" showInputMessage="0" showErrorMessage="0" allowBlank="1" type="list">
      <formula1>='选项'!$A$2:$A$7</formula1>
    </dataValidation>
    <dataValidation sqref="F2:F500" showDropDown="0" showInputMessage="0" showErrorMessage="0" allowBlank="1" type="list">
      <formula1>='选项'!$B$2:$B$7</formula1>
    </dataValidation>
    <dataValidation sqref="G2:G500" showDropDown="0" showInputMessage="0" showErrorMessage="0" allowBlank="1" type="list">
      <formula1>='选项'!$C$2:$C$5</formula1>
    </dataValidation>
    <dataValidation sqref="H2:H500" showDropDown="0" showInputMessage="0" showErrorMessage="0" allowBlank="1" type="list">
      <formula1>='选项'!$D$2:$D$15</formula1>
    </dataValidation>
    <dataValidation sqref="K2:K500" showDropDown="0" showInputMessage="0" showErrorMessage="0" allowBlank="1" type="list">
      <formula1>='选项'!$E$2:$E$10</formula1>
    </dataValidation>
    <dataValidation sqref="L2:L500" showDropDown="0" showInputMessage="0" showErrorMessage="0" allowBlank="1" type="list">
      <formula1>='选项'!$F$2:$F$4</formula1>
    </dataValidation>
    <dataValidation sqref="M2:M500" showDropDown="0" showInputMessage="0" showErrorMessage="0" allowBlank="1" type="list">
      <formula1>='选项'!$G$2:$G$13</formula1>
    </dataValidation>
    <dataValidation sqref="O2:O500" showDropDown="0" showInputMessage="0" showErrorMessage="0" allowBlank="1" type="list">
      <formula1>='选项'!$H$2:$H$12</formula1>
    </dataValidation>
    <dataValidation sqref="R2:R500" showDropDown="0" showInputMessage="0" showErrorMessage="0" allowBlank="1" type="list">
      <formula1>='选项'!$I$2:$I$4</formula1>
    </dataValidation>
    <dataValidation sqref="AA2:AA500" showDropDown="0" showInputMessage="0" showErrorMessage="0" allowBlank="1" type="list">
      <formula1>='选项'!$Q$2:$Q$3</formula1>
    </dataValidation>
    <dataValidation sqref="AB2:AB500" showDropDown="0" showInputMessage="0" showErrorMessage="0" allowBlank="1" type="list">
      <formula1>='选项'!$Q$2:$Q$3</formula1>
    </dataValidation>
    <dataValidation sqref="AC2:AC500" showDropDown="0" showInputMessage="0" showErrorMessage="0" allowBlank="1" type="list">
      <formula1>='选项'!$Q$2:$Q$3</formula1>
    </dataValidation>
    <dataValidation sqref="AD2:AD500" showDropDown="0" showInputMessage="0" showErrorMessage="0" allowBlank="1" type="list">
      <formula1>='选项'!$Q$2:$Q$3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2" t="inlineStr">
        <is>
          <t>关键位置类型</t>
        </is>
      </c>
      <c r="B1" s="2" t="inlineStr">
        <is>
          <t>怎么找</t>
        </is>
      </c>
      <c r="C1" s="2" t="inlineStr">
        <is>
          <t>为什么重要</t>
        </is>
      </c>
      <c r="D1" s="2" t="inlineStr">
        <is>
          <t>常见错误</t>
        </is>
      </c>
      <c r="E1" s="2" t="inlineStr">
        <is>
          <t>可用句式</t>
        </is>
      </c>
    </row>
    <row r="2" ht="78" customHeight="1">
      <c r="A2" s="10" t="inlineStr">
        <is>
          <t>前高</t>
        </is>
      </c>
      <c r="B2" s="11" t="inlineStr">
        <is>
          <t>找最近一次冲高后回落的最高价，优先看近5-20日内明显高点。</t>
        </is>
      </c>
      <c r="C2" s="3" t="inlineStr">
        <is>
          <t>前高附近容易出现解套盘、短线获利盘，也是突破是否成立的常用观察点。</t>
        </is>
      </c>
      <c r="D2" s="11" t="inlineStr">
        <is>
          <t>把很久以前、离当前太远的高点当成短期压力；只看最高价不看收盘是否站住。</t>
        </is>
      </c>
      <c r="E2" s="11" t="inlineStr">
        <is>
          <t>关键位置是前高__，因为这是最近一次冲高回落的位置。</t>
        </is>
      </c>
    </row>
    <row r="3" ht="78" customHeight="1">
      <c r="A3" s="10" t="inlineStr">
        <is>
          <t>前低</t>
        </is>
      </c>
      <c r="B3" s="11" t="inlineStr">
        <is>
          <t>找最近一次下跌后反弹的最低价，优先看近5-20日内明显低点。</t>
        </is>
      </c>
      <c r="C3" s="3" t="inlineStr">
        <is>
          <t>前低是结构是否破坏的观察点，跌破后常代表弱化。</t>
        </is>
      </c>
      <c r="D3" s="11" t="inlineStr">
        <is>
          <t>把所有低点都当支撑；忽略跌破后能否快速收回。</t>
        </is>
      </c>
      <c r="E3" s="11" t="inlineStr">
        <is>
          <t>关键位置是前低__，因为这是上一轮资金防守的位置。</t>
        </is>
      </c>
    </row>
    <row r="4" ht="78" customHeight="1">
      <c r="A4" s="10" t="inlineStr">
        <is>
          <t>箱体上沿</t>
        </is>
      </c>
      <c r="B4" s="11" t="inlineStr">
        <is>
          <t>找一段横盘震荡中多次冲不过去的上边界。</t>
        </is>
      </c>
      <c r="C4" s="3" t="inlineStr">
        <is>
          <t>突破箱体上沿常代表震荡区间被打破，但也容易假突破。</t>
        </is>
      </c>
      <c r="D4" s="11" t="inlineStr">
        <is>
          <t>箱体只碰一次就强行画；上下沿太主观。</t>
        </is>
      </c>
      <c r="E4" s="11" t="inlineStr">
        <is>
          <t>关键位置是箱体上沿__，因为多次冲高都在这里附近受阻。</t>
        </is>
      </c>
    </row>
    <row r="5" ht="78" customHeight="1">
      <c r="A5" s="10" t="inlineStr">
        <is>
          <t>箱体下沿</t>
        </is>
      </c>
      <c r="B5" s="11" t="inlineStr">
        <is>
          <t>找一段横盘震荡中多次跌不下去的下边界。</t>
        </is>
      </c>
      <c r="C5" s="3" t="inlineStr">
        <is>
          <t>跌破箱体下沿常代表震荡转弱，回踩不破则可能仍在区间内。</t>
        </is>
      </c>
      <c r="D5" s="11" t="inlineStr">
        <is>
          <t>把偶然下影线当下沿；不区分盘中跌破和收盘跌破。</t>
        </is>
      </c>
      <c r="E5" s="11" t="inlineStr">
        <is>
          <t>关键位置是箱体下沿__，因为多次回落都在这里附近止住。</t>
        </is>
      </c>
    </row>
    <row r="6" ht="78" customHeight="1">
      <c r="A6" s="10" t="inlineStr">
        <is>
          <t>均线</t>
        </is>
      </c>
      <c r="B6" s="11" t="inlineStr">
        <is>
          <t>看5日、10日、20日线中哪条最贴近当前节奏，不要每条都用。</t>
        </is>
      </c>
      <c r="C6" s="3" t="inlineStr">
        <is>
          <t>均线是市场平均成本和短期节奏的辅助观察，不是天然支撑。</t>
        </is>
      </c>
      <c r="D6" s="11" t="inlineStr">
        <is>
          <t>把均线当绝对支撑；一跌破就武断判断趋势结束。</t>
        </is>
      </c>
      <c r="E6" s="11" t="inlineStr">
        <is>
          <t>关键位置是__日线，因为近期价格一直围绕它运行。</t>
        </is>
      </c>
    </row>
    <row r="7" ht="78" customHeight="1">
      <c r="A7" s="10" t="inlineStr">
        <is>
          <t>整数位</t>
        </is>
      </c>
      <c r="B7" s="11" t="inlineStr">
        <is>
          <t>看10、20、50、100等整数，或个股常见心理价位。</t>
        </is>
      </c>
      <c r="C7" s="3" t="inlineStr">
        <is>
          <t>整数位容易聚集挂单和心理预期，但只能辅助，不能单独作为依据。</t>
        </is>
      </c>
      <c r="D7" s="11" t="inlineStr">
        <is>
          <t>只有整数位，没有历史成交或价格反应也硬当压力。</t>
        </is>
      </c>
      <c r="E7" s="11" t="inlineStr">
        <is>
          <t>关键位置是整数位__，但它只是辅助观察位。</t>
        </is>
      </c>
    </row>
    <row r="8" ht="78" customHeight="1">
      <c r="A8" s="10" t="inlineStr">
        <is>
          <t>大阳线低点</t>
        </is>
      </c>
      <c r="B8" s="11" t="inlineStr">
        <is>
          <t>找明显放量大涨当天的最低价或开盘附近位置。</t>
        </is>
      </c>
      <c r="C8" s="3" t="inlineStr">
        <is>
          <t>强势上涨后的重要防守位，跌破可能说明那天进场资金承接变差。</t>
        </is>
      </c>
      <c r="D8" s="11" t="inlineStr">
        <is>
          <t>只看阳线本身，不看后续是否围绕它震荡确认。</t>
        </is>
      </c>
      <c r="E8" s="11" t="inlineStr">
        <is>
          <t>关键位置是大阳线低点__，因为这是放量启动日的防守区。</t>
        </is>
      </c>
    </row>
    <row r="9" ht="78" customHeight="1">
      <c r="A9" s="10" t="inlineStr">
        <is>
          <t>跳空缺口</t>
        </is>
      </c>
      <c r="B9" s="11" t="inlineStr">
        <is>
          <t>找跳空高开/低开的价格空档，记录缺口上下沿。</t>
        </is>
      </c>
      <c r="C9" s="3" t="inlineStr">
        <is>
          <t>缺口是情绪和供需突然变化的痕迹，后续是否回补有观察价值。</t>
        </is>
      </c>
      <c r="D9" s="11" t="inlineStr">
        <is>
          <t>任何小缺口都过度解读；忽略市场整体跳空。</t>
        </is>
      </c>
      <c r="E9" s="11" t="inlineStr">
        <is>
          <t>关键位置是缺口__，后续观察是否回补或守住。</t>
        </is>
      </c>
    </row>
    <row r="10" ht="78" customHeight="1">
      <c r="A10" s="10" t="inlineStr">
        <is>
          <t>放量分歧位</t>
        </is>
      </c>
      <c r="B10" s="11" t="inlineStr">
        <is>
          <t>找高成交、高换手、长上影、冲高回落或炸板当天的价格区间。</t>
        </is>
      </c>
      <c r="C10" s="3" t="inlineStr">
        <is>
          <t>这里代表资金强烈分歧，后续再碰到容易再次验证承接。</t>
        </is>
      </c>
      <c r="D10" s="11" t="inlineStr">
        <is>
          <t>只看当天最高点，不看整段分歧区间。</t>
        </is>
      </c>
      <c r="E10" s="11" t="inlineStr">
        <is>
          <t>关键位置是放量分歧区__，因为这里出现过明显资金分歧。</t>
        </is>
      </c>
    </row>
    <row r="11" ht="78" customHeight="1">
      <c r="A11" s="10" t="inlineStr">
        <is>
          <t>无清晰位置</t>
        </is>
      </c>
      <c r="B11" s="11" t="inlineStr">
        <is>
          <t>如果近期走势杂乱、没有明显高低点/箱体/均线节奏，就明确写无清晰位置。</t>
        </is>
      </c>
      <c r="C11" s="3" t="inlineStr">
        <is>
          <t>承认看不清是训练的一部分，避免强行画线。</t>
        </is>
      </c>
      <c r="D11" s="11" t="inlineStr">
        <is>
          <t>为了填表硬找一个价格；把不清晰当成失败。</t>
        </is>
      </c>
      <c r="E11" s="11" t="inlineStr">
        <is>
          <t>暂时无清晰关键位置，原因是__。</t>
        </is>
      </c>
    </row>
  </sheetData>
  <autoFilter ref="A1:E5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42" customWidth="1" min="3" max="3"/>
    <col width="36" customWidth="1" min="4" max="4"/>
    <col width="42" customWidth="1" min="5" max="5"/>
    <col width="42" customWidth="1" min="6" max="6"/>
    <col width="34" customWidth="1" min="7" max="7"/>
  </cols>
  <sheetData>
    <row r="1">
      <c r="A1" s="2" t="inlineStr">
        <is>
          <t>今日现象</t>
        </is>
      </c>
      <c r="B1" s="2" t="inlineStr">
        <is>
          <t>先找哪个关键位置</t>
        </is>
      </c>
      <c r="C1" s="2" t="inlineStr">
        <is>
          <t>先看哪些事实</t>
        </is>
      </c>
      <c r="D1" s="2" t="inlineStr">
        <is>
          <t>常见候选解释</t>
        </is>
      </c>
      <c r="E1" s="2" t="inlineStr">
        <is>
          <t>主要反证/疑点</t>
        </is>
      </c>
      <c r="F1" s="2" t="inlineStr">
        <is>
          <t>一个区分信号示例</t>
        </is>
      </c>
      <c r="G1" s="2" t="inlineStr">
        <is>
          <t>新手提示</t>
        </is>
      </c>
    </row>
    <row r="2" ht="90" customHeight="1">
      <c r="A2" s="10" t="inlineStr">
        <is>
          <t>放量突破</t>
        </is>
      </c>
      <c r="B2" s="11" t="inlineStr">
        <is>
          <t>前高/箱体上沿/整数位/放量分歧位。</t>
        </is>
      </c>
      <c r="C2" s="3" t="inlineStr">
        <is>
          <t>是否收盘站上；量能是否高于近5日；板块是否同步强；是否长上影。</t>
        </is>
      </c>
      <c r="D2" s="11" t="inlineStr">
        <is>
          <t>真突破/启动尝试；情绪冲高；假突破；板块带动被动上涨。</t>
        </is>
      </c>
      <c r="E2" s="11" t="inlineStr">
        <is>
          <t>冲高回落、板块不跟、短期涨幅已大、次日低开。</t>
        </is>
      </c>
      <c r="F2" s="11" t="inlineStr">
        <is>
          <t>若1-3日内跌回关键位下方，则假突破权重上升。</t>
        </is>
      </c>
      <c r="G2" s="3" t="inlineStr">
        <is>
          <t>不要写“突破=要涨”，要写突破围绕哪个位置发生。</t>
        </is>
      </c>
    </row>
    <row r="3" ht="90" customHeight="1">
      <c r="A3" s="10" t="inlineStr">
        <is>
          <t>缩量回调</t>
        </is>
      </c>
      <c r="B3" s="11" t="inlineStr">
        <is>
          <t>前高突破位/均线/大阳线低点/箱体上沿。</t>
        </is>
      </c>
      <c r="C3" s="3" t="inlineStr">
        <is>
          <t>回调幅度；量能是否缩小；是否守住关键位；板块是否仍强。</t>
        </is>
      </c>
      <c r="D3" s="11" t="inlineStr">
        <is>
          <t>健康回调；退潮初期；高位分歧后的消化。</t>
        </is>
      </c>
      <c r="E3" s="11" t="inlineStr">
        <is>
          <t>连续阴跌、反弹无力、板块退潮、跌破关键位。</t>
        </is>
      </c>
      <c r="F3" s="11" t="inlineStr">
        <is>
          <t>若回踩不破且放量修复，健康回调权重上升。</t>
        </is>
      </c>
      <c r="G3" s="3" t="inlineStr">
        <is>
          <t>回调不是天然机会，先判断它围绕哪个位置被接住。</t>
        </is>
      </c>
    </row>
    <row r="4" ht="90" customHeight="1">
      <c r="A4" s="10" t="inlineStr">
        <is>
          <t>冲高回落</t>
        </is>
      </c>
      <c r="B4" s="11" t="inlineStr">
        <is>
          <t>前高/整数位/放量分歧位/箱体上沿。</t>
        </is>
      </c>
      <c r="C4" s="3" t="inlineStr">
        <is>
          <t>最高价与收盘差距；是否放量；处于高位还是低位；板块是否同步回落。</t>
        </is>
      </c>
      <c r="D4" s="11" t="inlineStr">
        <is>
          <t>高位分歧；情绪冲高；假突破；洗盘消化。</t>
        </is>
      </c>
      <c r="E4" s="11" t="inlineStr">
        <is>
          <t>次日快速修复、收回上影区域、板块继续强。</t>
        </is>
      </c>
      <c r="F4" s="11" t="inlineStr">
        <is>
          <t>若次日不能站回上影区域且跌破当日低点，高位分歧权重上升。</t>
        </is>
      </c>
      <c r="G4" s="3" t="inlineStr">
        <is>
          <t>重点不是当天红绿，而是冲高后有没有资金继续接。</t>
        </is>
      </c>
    </row>
    <row r="5" ht="90" customHeight="1">
      <c r="A5" s="10" t="inlineStr">
        <is>
          <t>高位放量震荡</t>
        </is>
      </c>
      <c r="B5" s="11" t="inlineStr">
        <is>
          <t>放量分歧区/前高/短期均线。</t>
        </is>
      </c>
      <c r="C5" s="3" t="inlineStr">
        <is>
          <t>短期涨幅；成交额/换手；价格重心是否上移；是否远离均线。</t>
        </is>
      </c>
      <c r="D5" s="11" t="inlineStr">
        <is>
          <t>高位分歧；主升换手；退潮前兆。</t>
        </is>
      </c>
      <c r="E5" s="11" t="inlineStr">
        <is>
          <t>价格重心仍上移、板块仍强、分歧后能修复。</t>
        </is>
      </c>
      <c r="F5" s="11" t="inlineStr">
        <is>
          <t>若震荡后跌破分歧区下沿，退潮权重上升。</t>
        </is>
      </c>
      <c r="G5" s="3" t="inlineStr">
        <is>
          <t>这是低置信度高发区，不要强行确定。</t>
        </is>
      </c>
    </row>
    <row r="6" ht="90" customHeight="1">
      <c r="A6" s="10" t="inlineStr">
        <is>
          <t>跌破关键位</t>
        </is>
      </c>
      <c r="B6" s="11" t="inlineStr">
        <is>
          <t>前低/箱体下沿/突破位/均线。</t>
        </is>
      </c>
      <c r="C6" s="3" t="inlineStr">
        <is>
          <t>是否收盘跌破；是否放量；是否被大盘板块拖累；是否快速收回。</t>
        </is>
      </c>
      <c r="D6" s="11" t="inlineStr">
        <is>
          <t>退潮转弱；假跌破；大盘/板块拖累。</t>
        </is>
      </c>
      <c r="E6" s="11" t="inlineStr">
        <is>
          <t>快速收回关键位、板块修复、个股仍强于板块。</t>
        </is>
      </c>
      <c r="F6" s="11" t="inlineStr">
        <is>
          <t>若1-3日不能收回关键位，退潮转弱权重上升。</t>
        </is>
      </c>
      <c r="G6" s="3" t="inlineStr">
        <is>
          <t>跌破是风险信号，不是绝对结论。</t>
        </is>
      </c>
    </row>
    <row r="7" ht="90" customHeight="1">
      <c r="A7" s="10" t="inlineStr">
        <is>
          <t>回踩支撑不破</t>
        </is>
      </c>
      <c r="B7" s="11" t="inlineStr">
        <is>
          <t>前高突破位/前低/箱体上沿/大阳线低点/均线。</t>
        </is>
      </c>
      <c r="C7" s="3" t="inlineStr">
        <is>
          <t>回踩是否缩量；是否有下影；是否守住关键位；板块是否未坏。</t>
        </is>
      </c>
      <c r="D7" s="11" t="inlineStr">
        <is>
          <t>健康回调；二波尝试前蓄势；弱反弹停顿。</t>
        </is>
      </c>
      <c r="E7" s="11" t="inlineStr">
        <is>
          <t>支撑反复被打、反弹无量、板块退潮。</t>
        </is>
      </c>
      <c r="F7" s="11" t="inlineStr">
        <is>
          <t>若随后放量离开关键位，健康回调权重上升。</t>
        </is>
      </c>
      <c r="G7" s="3" t="inlineStr">
        <is>
          <t>支撑不是神奇价格，关键是支撑附近是否有承接。</t>
        </is>
      </c>
    </row>
    <row r="8" ht="90" customHeight="1">
      <c r="A8" s="10" t="inlineStr">
        <is>
          <t>板块强个股弱</t>
        </is>
      </c>
      <c r="B8" s="11" t="inlineStr">
        <is>
          <t>个股自身前高/压力位/放量分歧位。</t>
        </is>
      </c>
      <c r="C8" s="3" t="inlineStr">
        <is>
          <t>板块涨幅；个股涨幅；是否前期涨太多；是否非核心。</t>
        </is>
      </c>
      <c r="D8" s="11" t="inlineStr">
        <is>
          <t>个股掉队；补涨未启动；前期核心退潮；利空压制。</t>
        </is>
      </c>
      <c r="E8" s="11" t="inlineStr">
        <is>
          <t>低位蓄势后补涨、公司独立利好、关键位未破。</t>
        </is>
      </c>
      <c r="F8" s="11" t="inlineStr">
        <is>
          <t>若板块继续强而个股仍不过关键位，掉队权重上升。</t>
        </is>
      </c>
      <c r="G8" s="3" t="inlineStr">
        <is>
          <t>这类先记录不同步，不要急着解释。</t>
        </is>
      </c>
    </row>
    <row r="9" ht="90" customHeight="1">
      <c r="A9" s="10" t="inlineStr">
        <is>
          <t>板块弱个股抗跌</t>
        </is>
      </c>
      <c r="B9" s="11" t="inlineStr">
        <is>
          <t>个股前低/均线/大阳线低点。</t>
        </is>
      </c>
      <c r="C9" s="3" t="inlineStr">
        <is>
          <t>板块跌幅；个股跌幅；关键位是否守住；量能是否稳定。</t>
        </is>
      </c>
      <c r="D9" s="11" t="inlineStr">
        <is>
          <t>相对强势；资金抱团；只是暂时没补跌。</t>
        </is>
      </c>
      <c r="E9" s="11" t="inlineStr">
        <is>
          <t>抗跌只有一天、板块继续弱后个股补跌。</t>
        </is>
      </c>
      <c r="F9" s="11" t="inlineStr">
        <is>
          <t>若板块修复时个股率先突破关键位，相对强势权重上升。</t>
        </is>
      </c>
      <c r="G9" s="3" t="inlineStr">
        <is>
          <t>抗跌需要连续性验证。</t>
        </is>
      </c>
    </row>
    <row r="10" ht="90" customHeight="1">
      <c r="A10" s="10" t="inlineStr">
        <is>
          <t>连续加速上涨</t>
        </is>
      </c>
      <c r="B10" s="11" t="inlineStr">
        <is>
          <t>前高/整数位/短期均线/放量分歧位。</t>
        </is>
      </c>
      <c r="C10" s="3" t="inlineStr">
        <is>
          <t>连续涨幅；是否涨停；是否远离均线；成交是否异常；板块是否高潮。</t>
        </is>
      </c>
      <c r="D10" s="11" t="inlineStr">
        <is>
          <t>主升加速；情绪高潮；短期过热。</t>
        </is>
      </c>
      <c r="E10" s="11" t="inlineStr">
        <is>
          <t>放量滞涨、补涨扩散过热、次日承接差。</t>
        </is>
      </c>
      <c r="F10" s="11" t="inlineStr">
        <is>
          <t>若出现第一次大分歧后不能修复，情绪高潮权重上升。</t>
        </is>
      </c>
      <c r="G10" s="3" t="inlineStr">
        <is>
          <t>当前阶段只训练识别，不训练追涨。</t>
        </is>
      </c>
    </row>
    <row r="11" ht="90" customHeight="1">
      <c r="A11" s="10" t="inlineStr">
        <is>
          <t>低位反弹</t>
        </is>
      </c>
      <c r="B11" s="11" t="inlineStr">
        <is>
          <t>下降趋势中的前高/20日线/箱体上沿。</t>
        </is>
      </c>
      <c r="C11" s="3" t="inlineStr">
        <is>
          <t>是否仍在下降趋势；反弹量能；是否突破前高；板块是否强。</t>
        </is>
      </c>
      <c r="D11" s="11" t="inlineStr">
        <is>
          <t>弱反弹；下降逆转尝试；超跌修复。</t>
        </is>
      </c>
      <c r="E11" s="11" t="inlineStr">
        <is>
          <t>反弹到压力位无量回落、板块不强。</t>
        </is>
      </c>
      <c r="F11" s="11" t="inlineStr">
        <is>
          <t>若形成更高低点且站稳关键位，逆转尝试权重上升。</t>
        </is>
      </c>
      <c r="G11" s="3" t="inlineStr">
        <is>
          <t>低位不等于低风险。</t>
        </is>
      </c>
    </row>
    <row r="12" ht="90" customHeight="1">
      <c r="A12" s="10" t="inlineStr">
        <is>
          <t>横盘震荡</t>
        </is>
      </c>
      <c r="B12" s="11" t="inlineStr">
        <is>
          <t>箱体上沿/下沿。</t>
        </is>
      </c>
      <c r="C12" s="3" t="inlineStr">
        <is>
          <t>震荡区间是否清楚；量能变化；上下沿是否多次有效。</t>
        </is>
      </c>
      <c r="D12" s="11" t="inlineStr">
        <is>
          <t>震荡整理；筑底；高位派发；等待方向。</t>
        </is>
      </c>
      <c r="E12" s="11" t="inlineStr">
        <is>
          <t>上下沿不清晰、放量跌破下沿、上冲无力。</t>
        </is>
      </c>
      <c r="F12" s="11" t="inlineStr">
        <is>
          <t>若放量突破上沿或跌破下沿，才开始提高方向判断权重。</t>
        </is>
      </c>
      <c r="G12" s="3" t="inlineStr">
        <is>
          <t>震荡本身不是结论，先画清楚区间。</t>
        </is>
      </c>
    </row>
  </sheetData>
  <autoFilter ref="A1:G5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42" customWidth="1" min="10" max="10"/>
    <col width="12" customWidth="1" min="11" max="11"/>
    <col width="12" customWidth="1" min="12" max="12"/>
    <col width="18" customWidth="1" min="13" max="13"/>
    <col width="18" customWidth="1" min="14" max="14"/>
    <col width="18" customWidth="1" min="15" max="15"/>
    <col width="18" customWidth="1" min="16" max="16"/>
    <col width="14" customWidth="1" min="17" max="17"/>
    <col width="18" customWidth="1" min="18" max="18"/>
    <col width="20" customWidth="1" min="19" max="19"/>
    <col width="42" customWidth="1" min="20" max="20"/>
    <col width="28" customWidth="1" min="21" max="21"/>
    <col width="12" customWidth="1" min="22" max="22"/>
    <col width="18" customWidth="1" min="23" max="23"/>
    <col width="18" customWidth="1" min="24" max="24"/>
  </cols>
  <sheetData>
    <row r="1">
      <c r="A1" s="14" t="inlineStr">
        <is>
          <t>验证ID</t>
        </is>
      </c>
      <c r="B1" s="14" t="inlineStr">
        <is>
          <t>来源记录ID</t>
        </is>
      </c>
      <c r="C1" s="14" t="inlineStr">
        <is>
          <t>原日期</t>
        </is>
      </c>
      <c r="D1" s="14" t="inlineStr">
        <is>
          <t>股票/代码</t>
        </is>
      </c>
      <c r="E1" s="14" t="inlineStr">
        <is>
          <t>原关键位置类型</t>
        </is>
      </c>
      <c r="F1" s="14" t="inlineStr">
        <is>
          <t>原关键位置价格/区间</t>
        </is>
      </c>
      <c r="G1" s="14" t="inlineStr">
        <is>
          <t>原现象</t>
        </is>
      </c>
      <c r="H1" s="14" t="inlineStr">
        <is>
          <t>原偏向解释</t>
        </is>
      </c>
      <c r="I1" s="14" t="inlineStr">
        <is>
          <t>原判断强度</t>
        </is>
      </c>
      <c r="J1" s="14" t="inlineStr">
        <is>
          <t>原区分信号</t>
        </is>
      </c>
      <c r="K1" s="14" t="inlineStr">
        <is>
          <t>验证节点</t>
        </is>
      </c>
      <c r="L1" s="14" t="inlineStr">
        <is>
          <t>验证日期</t>
        </is>
      </c>
      <c r="M1" s="14" t="inlineStr">
        <is>
          <t>验证价格/变化</t>
        </is>
      </c>
      <c r="N1" s="14" t="inlineStr">
        <is>
          <t>后续实际表现</t>
        </is>
      </c>
      <c r="O1" s="14" t="inlineStr">
        <is>
          <t>关键位置是否有效</t>
        </is>
      </c>
      <c r="P1" s="14" t="inlineStr">
        <is>
          <t>区分信号是否出现</t>
        </is>
      </c>
      <c r="Q1" s="14" t="inlineStr">
        <is>
          <t>解释变化</t>
        </is>
      </c>
      <c r="R1" s="14" t="inlineStr">
        <is>
          <t>判断质量</t>
        </is>
      </c>
      <c r="S1" s="14" t="inlineStr">
        <is>
          <t>错误/失败类型</t>
        </is>
      </c>
      <c r="T1" s="14" t="inlineStr">
        <is>
          <t>学到的规则</t>
        </is>
      </c>
      <c r="U1" s="14" t="inlineStr">
        <is>
          <t>待补基本功</t>
        </is>
      </c>
      <c r="V1" s="5" t="inlineStr">
        <is>
          <t>到期状态</t>
        </is>
      </c>
      <c r="W1" s="14" t="inlineStr">
        <is>
          <t>原理由链质量</t>
        </is>
      </c>
      <c r="X1" s="14" t="inlineStr">
        <is>
          <t>复查后理由链质量</t>
        </is>
      </c>
    </row>
    <row r="2">
      <c r="A2" s="15">
        <f>IF(B2="","","V-"&amp;TEXT(ROW()-1,"000"))</f>
        <v/>
      </c>
      <c r="B2" s="16" t="n"/>
      <c r="C2" s="17" t="n"/>
      <c r="D2" s="16" t="n"/>
      <c r="E2" s="16" t="n"/>
      <c r="F2" s="16" t="n"/>
      <c r="G2" s="16" t="n"/>
      <c r="H2" s="16" t="n"/>
      <c r="I2" s="16" t="n"/>
      <c r="J2" s="18" t="n"/>
      <c r="K2" s="16" t="n"/>
      <c r="L2" s="17" t="n"/>
      <c r="M2" s="18" t="n"/>
      <c r="N2" s="16" t="n"/>
      <c r="O2" s="16" t="n"/>
      <c r="P2" s="16" t="n"/>
      <c r="Q2" s="16" t="n"/>
      <c r="R2" s="16" t="n"/>
      <c r="S2" s="16" t="n"/>
      <c r="T2" s="18" t="n"/>
      <c r="U2" s="18" t="n"/>
      <c r="V2" s="7">
        <f>IF(L2="","",IF(TODAY()&gt;=L2,"到期","未到期"))</f>
        <v/>
      </c>
      <c r="W2" s="16" t="n"/>
      <c r="X2" s="16" t="n"/>
    </row>
    <row r="3">
      <c r="A3" s="15">
        <f>IF(B3="","","V-"&amp;TEXT(ROW()-1,"000"))</f>
        <v/>
      </c>
      <c r="B3" s="16" t="n"/>
      <c r="C3" s="17" t="n"/>
      <c r="D3" s="16" t="n"/>
      <c r="E3" s="16" t="n"/>
      <c r="F3" s="16" t="n"/>
      <c r="G3" s="16" t="n"/>
      <c r="H3" s="16" t="n"/>
      <c r="I3" s="16" t="n"/>
      <c r="J3" s="18" t="n"/>
      <c r="K3" s="16" t="n"/>
      <c r="L3" s="17" t="n"/>
      <c r="M3" s="18" t="n"/>
      <c r="N3" s="16" t="n"/>
      <c r="O3" s="16" t="n"/>
      <c r="P3" s="16" t="n"/>
      <c r="Q3" s="16" t="n"/>
      <c r="R3" s="16" t="n"/>
      <c r="S3" s="16" t="n"/>
      <c r="T3" s="18" t="n"/>
      <c r="U3" s="18" t="n"/>
      <c r="V3" s="7">
        <f>IF(L3="","",IF(TODAY()&gt;=L3,"到期","未到期"))</f>
        <v/>
      </c>
      <c r="W3" s="16" t="n"/>
      <c r="X3" s="16" t="n"/>
    </row>
    <row r="4">
      <c r="A4" s="15">
        <f>IF(B4="","","V-"&amp;TEXT(ROW()-1,"000"))</f>
        <v/>
      </c>
      <c r="B4" s="16" t="n"/>
      <c r="C4" s="17" t="n"/>
      <c r="D4" s="16" t="n"/>
      <c r="E4" s="16" t="n"/>
      <c r="F4" s="16" t="n"/>
      <c r="G4" s="16" t="n"/>
      <c r="H4" s="16" t="n"/>
      <c r="I4" s="16" t="n"/>
      <c r="J4" s="18" t="n"/>
      <c r="K4" s="16" t="n"/>
      <c r="L4" s="17" t="n"/>
      <c r="M4" s="18" t="n"/>
      <c r="N4" s="16" t="n"/>
      <c r="O4" s="16" t="n"/>
      <c r="P4" s="16" t="n"/>
      <c r="Q4" s="16" t="n"/>
      <c r="R4" s="16" t="n"/>
      <c r="S4" s="16" t="n"/>
      <c r="T4" s="18" t="n"/>
      <c r="U4" s="18" t="n"/>
      <c r="V4" s="7">
        <f>IF(L4="","",IF(TODAY()&gt;=L4,"到期","未到期"))</f>
        <v/>
      </c>
      <c r="W4" s="16" t="n"/>
      <c r="X4" s="16" t="n"/>
    </row>
    <row r="5">
      <c r="A5" s="15">
        <f>IF(B5="","","V-"&amp;TEXT(ROW()-1,"000"))</f>
        <v/>
      </c>
      <c r="B5" s="16" t="n"/>
      <c r="C5" s="17" t="n"/>
      <c r="D5" s="16" t="n"/>
      <c r="E5" s="16" t="n"/>
      <c r="F5" s="16" t="n"/>
      <c r="G5" s="16" t="n"/>
      <c r="H5" s="16" t="n"/>
      <c r="I5" s="16" t="n"/>
      <c r="J5" s="18" t="n"/>
      <c r="K5" s="16" t="n"/>
      <c r="L5" s="17" t="n"/>
      <c r="M5" s="18" t="n"/>
      <c r="N5" s="16" t="n"/>
      <c r="O5" s="16" t="n"/>
      <c r="P5" s="16" t="n"/>
      <c r="Q5" s="16" t="n"/>
      <c r="R5" s="16" t="n"/>
      <c r="S5" s="16" t="n"/>
      <c r="T5" s="18" t="n"/>
      <c r="U5" s="18" t="n"/>
      <c r="V5" s="7">
        <f>IF(L5="","",IF(TODAY()&gt;=L5,"到期","未到期"))</f>
        <v/>
      </c>
      <c r="W5" s="16" t="n"/>
      <c r="X5" s="16" t="n"/>
    </row>
    <row r="6">
      <c r="A6" s="15">
        <f>IF(B6="","","V-"&amp;TEXT(ROW()-1,"000"))</f>
        <v/>
      </c>
      <c r="B6" s="16" t="n"/>
      <c r="C6" s="17" t="n"/>
      <c r="D6" s="16" t="n"/>
      <c r="E6" s="16" t="n"/>
      <c r="F6" s="16" t="n"/>
      <c r="G6" s="16" t="n"/>
      <c r="H6" s="16" t="n"/>
      <c r="I6" s="16" t="n"/>
      <c r="J6" s="18" t="n"/>
      <c r="K6" s="16" t="n"/>
      <c r="L6" s="17" t="n"/>
      <c r="M6" s="18" t="n"/>
      <c r="N6" s="16" t="n"/>
      <c r="O6" s="16" t="n"/>
      <c r="P6" s="16" t="n"/>
      <c r="Q6" s="16" t="n"/>
      <c r="R6" s="16" t="n"/>
      <c r="S6" s="16" t="n"/>
      <c r="T6" s="18" t="n"/>
      <c r="U6" s="18" t="n"/>
      <c r="V6" s="7">
        <f>IF(L6="","",IF(TODAY()&gt;=L6,"到期","未到期"))</f>
        <v/>
      </c>
      <c r="W6" s="16" t="n"/>
      <c r="X6" s="16" t="n"/>
    </row>
    <row r="7">
      <c r="A7" s="15">
        <f>IF(B7="","","V-"&amp;TEXT(ROW()-1,"000"))</f>
        <v/>
      </c>
      <c r="B7" s="16" t="n"/>
      <c r="C7" s="17" t="n"/>
      <c r="D7" s="16" t="n"/>
      <c r="E7" s="16" t="n"/>
      <c r="F7" s="16" t="n"/>
      <c r="G7" s="16" t="n"/>
      <c r="H7" s="16" t="n"/>
      <c r="I7" s="16" t="n"/>
      <c r="J7" s="18" t="n"/>
      <c r="K7" s="16" t="n"/>
      <c r="L7" s="17" t="n"/>
      <c r="M7" s="18" t="n"/>
      <c r="N7" s="16" t="n"/>
      <c r="O7" s="16" t="n"/>
      <c r="P7" s="16" t="n"/>
      <c r="Q7" s="16" t="n"/>
      <c r="R7" s="16" t="n"/>
      <c r="S7" s="16" t="n"/>
      <c r="T7" s="18" t="n"/>
      <c r="U7" s="18" t="n"/>
      <c r="V7" s="7">
        <f>IF(L7="","",IF(TODAY()&gt;=L7,"到期","未到期"))</f>
        <v/>
      </c>
      <c r="W7" s="16" t="n"/>
      <c r="X7" s="16" t="n"/>
    </row>
    <row r="8">
      <c r="A8" s="15">
        <f>IF(B8="","","V-"&amp;TEXT(ROW()-1,"000"))</f>
        <v/>
      </c>
      <c r="B8" s="16" t="n"/>
      <c r="C8" s="17" t="n"/>
      <c r="D8" s="16" t="n"/>
      <c r="E8" s="16" t="n"/>
      <c r="F8" s="16" t="n"/>
      <c r="G8" s="16" t="n"/>
      <c r="H8" s="16" t="n"/>
      <c r="I8" s="16" t="n"/>
      <c r="J8" s="18" t="n"/>
      <c r="K8" s="16" t="n"/>
      <c r="L8" s="17" t="n"/>
      <c r="M8" s="18" t="n"/>
      <c r="N8" s="16" t="n"/>
      <c r="O8" s="16" t="n"/>
      <c r="P8" s="16" t="n"/>
      <c r="Q8" s="16" t="n"/>
      <c r="R8" s="16" t="n"/>
      <c r="S8" s="16" t="n"/>
      <c r="T8" s="18" t="n"/>
      <c r="U8" s="18" t="n"/>
      <c r="V8" s="7">
        <f>IF(L8="","",IF(TODAY()&gt;=L8,"到期","未到期"))</f>
        <v/>
      </c>
      <c r="W8" s="16" t="n"/>
      <c r="X8" s="16" t="n"/>
    </row>
    <row r="9">
      <c r="A9" s="15">
        <f>IF(B9="","","V-"&amp;TEXT(ROW()-1,"000"))</f>
        <v/>
      </c>
      <c r="B9" s="16" t="n"/>
      <c r="C9" s="17" t="n"/>
      <c r="D9" s="16" t="n"/>
      <c r="E9" s="16" t="n"/>
      <c r="F9" s="16" t="n"/>
      <c r="G9" s="16" t="n"/>
      <c r="H9" s="16" t="n"/>
      <c r="I9" s="16" t="n"/>
      <c r="J9" s="18" t="n"/>
      <c r="K9" s="16" t="n"/>
      <c r="L9" s="17" t="n"/>
      <c r="M9" s="18" t="n"/>
      <c r="N9" s="16" t="n"/>
      <c r="O9" s="16" t="n"/>
      <c r="P9" s="16" t="n"/>
      <c r="Q9" s="16" t="n"/>
      <c r="R9" s="16" t="n"/>
      <c r="S9" s="16" t="n"/>
      <c r="T9" s="18" t="n"/>
      <c r="U9" s="18" t="n"/>
      <c r="V9" s="7">
        <f>IF(L9="","",IF(TODAY()&gt;=L9,"到期","未到期"))</f>
        <v/>
      </c>
      <c r="W9" s="16" t="n"/>
      <c r="X9" s="16" t="n"/>
    </row>
    <row r="10">
      <c r="A10" s="15">
        <f>IF(B10="","","V-"&amp;TEXT(ROW()-1,"000"))</f>
        <v/>
      </c>
      <c r="B10" s="16" t="n"/>
      <c r="C10" s="17" t="n"/>
      <c r="D10" s="16" t="n"/>
      <c r="E10" s="16" t="n"/>
      <c r="F10" s="16" t="n"/>
      <c r="G10" s="16" t="n"/>
      <c r="H10" s="16" t="n"/>
      <c r="I10" s="16" t="n"/>
      <c r="J10" s="18" t="n"/>
      <c r="K10" s="16" t="n"/>
      <c r="L10" s="17" t="n"/>
      <c r="M10" s="18" t="n"/>
      <c r="N10" s="16" t="n"/>
      <c r="O10" s="16" t="n"/>
      <c r="P10" s="16" t="n"/>
      <c r="Q10" s="16" t="n"/>
      <c r="R10" s="16" t="n"/>
      <c r="S10" s="16" t="n"/>
      <c r="T10" s="18" t="n"/>
      <c r="U10" s="18" t="n"/>
      <c r="V10" s="7">
        <f>IF(L10="","",IF(TODAY()&gt;=L10,"到期","未到期"))</f>
        <v/>
      </c>
      <c r="W10" s="16" t="n"/>
      <c r="X10" s="16" t="n"/>
    </row>
    <row r="11">
      <c r="A11" s="15">
        <f>IF(B11="","","V-"&amp;TEXT(ROW()-1,"000"))</f>
        <v/>
      </c>
      <c r="B11" s="16" t="n"/>
      <c r="C11" s="17" t="n"/>
      <c r="D11" s="16" t="n"/>
      <c r="E11" s="16" t="n"/>
      <c r="F11" s="16" t="n"/>
      <c r="G11" s="16" t="n"/>
      <c r="H11" s="16" t="n"/>
      <c r="I11" s="16" t="n"/>
      <c r="J11" s="18" t="n"/>
      <c r="K11" s="16" t="n"/>
      <c r="L11" s="17" t="n"/>
      <c r="M11" s="18" t="n"/>
      <c r="N11" s="16" t="n"/>
      <c r="O11" s="16" t="n"/>
      <c r="P11" s="16" t="n"/>
      <c r="Q11" s="16" t="n"/>
      <c r="R11" s="16" t="n"/>
      <c r="S11" s="16" t="n"/>
      <c r="T11" s="18" t="n"/>
      <c r="U11" s="18" t="n"/>
      <c r="V11" s="7">
        <f>IF(L11="","",IF(TODAY()&gt;=L11,"到期","未到期"))</f>
        <v/>
      </c>
      <c r="W11" s="16" t="n"/>
      <c r="X11" s="16" t="n"/>
    </row>
    <row r="12">
      <c r="A12" s="15">
        <f>IF(B12="","","V-"&amp;TEXT(ROW()-1,"000"))</f>
        <v/>
      </c>
      <c r="B12" s="16" t="n"/>
      <c r="C12" s="17" t="n"/>
      <c r="D12" s="16" t="n"/>
      <c r="E12" s="16" t="n"/>
      <c r="F12" s="16" t="n"/>
      <c r="G12" s="16" t="n"/>
      <c r="H12" s="16" t="n"/>
      <c r="I12" s="16" t="n"/>
      <c r="J12" s="18" t="n"/>
      <c r="K12" s="16" t="n"/>
      <c r="L12" s="17" t="n"/>
      <c r="M12" s="18" t="n"/>
      <c r="N12" s="16" t="n"/>
      <c r="O12" s="16" t="n"/>
      <c r="P12" s="16" t="n"/>
      <c r="Q12" s="16" t="n"/>
      <c r="R12" s="16" t="n"/>
      <c r="S12" s="16" t="n"/>
      <c r="T12" s="18" t="n"/>
      <c r="U12" s="18" t="n"/>
      <c r="V12" s="7">
        <f>IF(L12="","",IF(TODAY()&gt;=L12,"到期","未到期"))</f>
        <v/>
      </c>
      <c r="W12" s="16" t="n"/>
      <c r="X12" s="16" t="n"/>
    </row>
    <row r="13">
      <c r="A13" s="15">
        <f>IF(B13="","","V-"&amp;TEXT(ROW()-1,"000"))</f>
        <v/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8" t="n"/>
      <c r="K13" s="16" t="n"/>
      <c r="L13" s="17" t="n"/>
      <c r="M13" s="18" t="n"/>
      <c r="N13" s="16" t="n"/>
      <c r="O13" s="16" t="n"/>
      <c r="P13" s="16" t="n"/>
      <c r="Q13" s="16" t="n"/>
      <c r="R13" s="16" t="n"/>
      <c r="S13" s="16" t="n"/>
      <c r="T13" s="18" t="n"/>
      <c r="U13" s="18" t="n"/>
      <c r="V13" s="7">
        <f>IF(L13="","",IF(TODAY()&gt;=L13,"到期","未到期"))</f>
        <v/>
      </c>
      <c r="W13" s="16" t="n"/>
      <c r="X13" s="16" t="n"/>
    </row>
    <row r="14">
      <c r="A14" s="15">
        <f>IF(B14="","","V-"&amp;TEXT(ROW()-1,"000"))</f>
        <v/>
      </c>
      <c r="B14" s="16" t="n"/>
      <c r="C14" s="17" t="n"/>
      <c r="D14" s="16" t="n"/>
      <c r="E14" s="16" t="n"/>
      <c r="F14" s="16" t="n"/>
      <c r="G14" s="16" t="n"/>
      <c r="H14" s="16" t="n"/>
      <c r="I14" s="16" t="n"/>
      <c r="J14" s="18" t="n"/>
      <c r="K14" s="16" t="n"/>
      <c r="L14" s="17" t="n"/>
      <c r="M14" s="18" t="n"/>
      <c r="N14" s="16" t="n"/>
      <c r="O14" s="16" t="n"/>
      <c r="P14" s="16" t="n"/>
      <c r="Q14" s="16" t="n"/>
      <c r="R14" s="16" t="n"/>
      <c r="S14" s="16" t="n"/>
      <c r="T14" s="18" t="n"/>
      <c r="U14" s="18" t="n"/>
      <c r="V14" s="7">
        <f>IF(L14="","",IF(TODAY()&gt;=L14,"到期","未到期"))</f>
        <v/>
      </c>
      <c r="W14" s="16" t="n"/>
      <c r="X14" s="16" t="n"/>
    </row>
    <row r="15">
      <c r="A15" s="15">
        <f>IF(B15="","","V-"&amp;TEXT(ROW()-1,"000"))</f>
        <v/>
      </c>
      <c r="B15" s="16" t="n"/>
      <c r="C15" s="17" t="n"/>
      <c r="D15" s="16" t="n"/>
      <c r="E15" s="16" t="n"/>
      <c r="F15" s="16" t="n"/>
      <c r="G15" s="16" t="n"/>
      <c r="H15" s="16" t="n"/>
      <c r="I15" s="16" t="n"/>
      <c r="J15" s="18" t="n"/>
      <c r="K15" s="16" t="n"/>
      <c r="L15" s="17" t="n"/>
      <c r="M15" s="18" t="n"/>
      <c r="N15" s="16" t="n"/>
      <c r="O15" s="16" t="n"/>
      <c r="P15" s="16" t="n"/>
      <c r="Q15" s="16" t="n"/>
      <c r="R15" s="16" t="n"/>
      <c r="S15" s="16" t="n"/>
      <c r="T15" s="18" t="n"/>
      <c r="U15" s="18" t="n"/>
      <c r="V15" s="7">
        <f>IF(L15="","",IF(TODAY()&gt;=L15,"到期","未到期"))</f>
        <v/>
      </c>
      <c r="W15" s="16" t="n"/>
      <c r="X15" s="16" t="n"/>
    </row>
    <row r="16">
      <c r="A16" s="15">
        <f>IF(B16="","","V-"&amp;TEXT(ROW()-1,"000"))</f>
        <v/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8" t="n"/>
      <c r="K16" s="16" t="n"/>
      <c r="L16" s="17" t="n"/>
      <c r="M16" s="18" t="n"/>
      <c r="N16" s="16" t="n"/>
      <c r="O16" s="16" t="n"/>
      <c r="P16" s="16" t="n"/>
      <c r="Q16" s="16" t="n"/>
      <c r="R16" s="16" t="n"/>
      <c r="S16" s="16" t="n"/>
      <c r="T16" s="18" t="n"/>
      <c r="U16" s="18" t="n"/>
      <c r="V16" s="7">
        <f>IF(L16="","",IF(TODAY()&gt;=L16,"到期","未到期"))</f>
        <v/>
      </c>
      <c r="W16" s="16" t="n"/>
      <c r="X16" s="16" t="n"/>
    </row>
    <row r="17">
      <c r="A17" s="15">
        <f>IF(B17="","","V-"&amp;TEXT(ROW()-1,"000"))</f>
        <v/>
      </c>
      <c r="B17" s="16" t="n"/>
      <c r="C17" s="17" t="n"/>
      <c r="D17" s="16" t="n"/>
      <c r="E17" s="16" t="n"/>
      <c r="F17" s="16" t="n"/>
      <c r="G17" s="16" t="n"/>
      <c r="H17" s="16" t="n"/>
      <c r="I17" s="16" t="n"/>
      <c r="J17" s="18" t="n"/>
      <c r="K17" s="16" t="n"/>
      <c r="L17" s="17" t="n"/>
      <c r="M17" s="18" t="n"/>
      <c r="N17" s="16" t="n"/>
      <c r="O17" s="16" t="n"/>
      <c r="P17" s="16" t="n"/>
      <c r="Q17" s="16" t="n"/>
      <c r="R17" s="16" t="n"/>
      <c r="S17" s="16" t="n"/>
      <c r="T17" s="18" t="n"/>
      <c r="U17" s="18" t="n"/>
      <c r="V17" s="7">
        <f>IF(L17="","",IF(TODAY()&gt;=L17,"到期","未到期"))</f>
        <v/>
      </c>
      <c r="W17" s="16" t="n"/>
      <c r="X17" s="16" t="n"/>
    </row>
    <row r="18">
      <c r="A18" s="15">
        <f>IF(B18="","","V-"&amp;TEXT(ROW()-1,"000"))</f>
        <v/>
      </c>
      <c r="B18" s="16" t="n"/>
      <c r="C18" s="17" t="n"/>
      <c r="D18" s="16" t="n"/>
      <c r="E18" s="16" t="n"/>
      <c r="F18" s="16" t="n"/>
      <c r="G18" s="16" t="n"/>
      <c r="H18" s="16" t="n"/>
      <c r="I18" s="16" t="n"/>
      <c r="J18" s="18" t="n"/>
      <c r="K18" s="16" t="n"/>
      <c r="L18" s="17" t="n"/>
      <c r="M18" s="18" t="n"/>
      <c r="N18" s="16" t="n"/>
      <c r="O18" s="16" t="n"/>
      <c r="P18" s="16" t="n"/>
      <c r="Q18" s="16" t="n"/>
      <c r="R18" s="16" t="n"/>
      <c r="S18" s="16" t="n"/>
      <c r="T18" s="18" t="n"/>
      <c r="U18" s="18" t="n"/>
      <c r="V18" s="7">
        <f>IF(L18="","",IF(TODAY()&gt;=L18,"到期","未到期"))</f>
        <v/>
      </c>
      <c r="W18" s="16" t="n"/>
      <c r="X18" s="16" t="n"/>
    </row>
    <row r="19">
      <c r="A19" s="15">
        <f>IF(B19="","","V-"&amp;TEXT(ROW()-1,"000"))</f>
        <v/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8" t="n"/>
      <c r="K19" s="16" t="n"/>
      <c r="L19" s="17" t="n"/>
      <c r="M19" s="18" t="n"/>
      <c r="N19" s="16" t="n"/>
      <c r="O19" s="16" t="n"/>
      <c r="P19" s="16" t="n"/>
      <c r="Q19" s="16" t="n"/>
      <c r="R19" s="16" t="n"/>
      <c r="S19" s="16" t="n"/>
      <c r="T19" s="18" t="n"/>
      <c r="U19" s="18" t="n"/>
      <c r="V19" s="7">
        <f>IF(L19="","",IF(TODAY()&gt;=L19,"到期","未到期"))</f>
        <v/>
      </c>
      <c r="W19" s="16" t="n"/>
      <c r="X19" s="16" t="n"/>
    </row>
    <row r="20">
      <c r="A20" s="15">
        <f>IF(B20="","","V-"&amp;TEXT(ROW()-1,"000"))</f>
        <v/>
      </c>
      <c r="B20" s="16" t="n"/>
      <c r="C20" s="17" t="n"/>
      <c r="D20" s="16" t="n"/>
      <c r="E20" s="16" t="n"/>
      <c r="F20" s="16" t="n"/>
      <c r="G20" s="16" t="n"/>
      <c r="H20" s="16" t="n"/>
      <c r="I20" s="16" t="n"/>
      <c r="J20" s="18" t="n"/>
      <c r="K20" s="16" t="n"/>
      <c r="L20" s="17" t="n"/>
      <c r="M20" s="18" t="n"/>
      <c r="N20" s="16" t="n"/>
      <c r="O20" s="16" t="n"/>
      <c r="P20" s="16" t="n"/>
      <c r="Q20" s="16" t="n"/>
      <c r="R20" s="16" t="n"/>
      <c r="S20" s="16" t="n"/>
      <c r="T20" s="18" t="n"/>
      <c r="U20" s="18" t="n"/>
      <c r="V20" s="7">
        <f>IF(L20="","",IF(TODAY()&gt;=L20,"到期","未到期"))</f>
        <v/>
      </c>
      <c r="W20" s="16" t="n"/>
      <c r="X20" s="16" t="n"/>
    </row>
    <row r="21">
      <c r="A21" s="15">
        <f>IF(B21="","","V-"&amp;TEXT(ROW()-1,"000"))</f>
        <v/>
      </c>
      <c r="B21" s="16" t="n"/>
      <c r="C21" s="17" t="n"/>
      <c r="D21" s="16" t="n"/>
      <c r="E21" s="16" t="n"/>
      <c r="F21" s="16" t="n"/>
      <c r="G21" s="16" t="n"/>
      <c r="H21" s="16" t="n"/>
      <c r="I21" s="16" t="n"/>
      <c r="J21" s="18" t="n"/>
      <c r="K21" s="16" t="n"/>
      <c r="L21" s="17" t="n"/>
      <c r="M21" s="18" t="n"/>
      <c r="N21" s="16" t="n"/>
      <c r="O21" s="16" t="n"/>
      <c r="P21" s="16" t="n"/>
      <c r="Q21" s="16" t="n"/>
      <c r="R21" s="16" t="n"/>
      <c r="S21" s="16" t="n"/>
      <c r="T21" s="18" t="n"/>
      <c r="U21" s="18" t="n"/>
      <c r="V21" s="7">
        <f>IF(L21="","",IF(TODAY()&gt;=L21,"到期","未到期"))</f>
        <v/>
      </c>
      <c r="W21" s="16" t="n"/>
      <c r="X21" s="16" t="n"/>
    </row>
    <row r="22">
      <c r="A22" s="15">
        <f>IF(B22="","","V-"&amp;TEXT(ROW()-1,"000"))</f>
        <v/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8" t="n"/>
      <c r="K22" s="16" t="n"/>
      <c r="L22" s="17" t="n"/>
      <c r="M22" s="18" t="n"/>
      <c r="N22" s="16" t="n"/>
      <c r="O22" s="16" t="n"/>
      <c r="P22" s="16" t="n"/>
      <c r="Q22" s="16" t="n"/>
      <c r="R22" s="16" t="n"/>
      <c r="S22" s="16" t="n"/>
      <c r="T22" s="18" t="n"/>
      <c r="U22" s="18" t="n"/>
      <c r="V22" s="7">
        <f>IF(L22="","",IF(TODAY()&gt;=L22,"到期","未到期"))</f>
        <v/>
      </c>
      <c r="W22" s="16" t="n"/>
      <c r="X22" s="16" t="n"/>
    </row>
    <row r="23">
      <c r="A23" s="15">
        <f>IF(B23="","","V-"&amp;TEXT(ROW()-1,"000"))</f>
        <v/>
      </c>
      <c r="B23" s="16" t="n"/>
      <c r="C23" s="17" t="n"/>
      <c r="D23" s="16" t="n"/>
      <c r="E23" s="16" t="n"/>
      <c r="F23" s="16" t="n"/>
      <c r="G23" s="16" t="n"/>
      <c r="H23" s="16" t="n"/>
      <c r="I23" s="16" t="n"/>
      <c r="J23" s="18" t="n"/>
      <c r="K23" s="16" t="n"/>
      <c r="L23" s="17" t="n"/>
      <c r="M23" s="18" t="n"/>
      <c r="N23" s="16" t="n"/>
      <c r="O23" s="16" t="n"/>
      <c r="P23" s="16" t="n"/>
      <c r="Q23" s="16" t="n"/>
      <c r="R23" s="16" t="n"/>
      <c r="S23" s="16" t="n"/>
      <c r="T23" s="18" t="n"/>
      <c r="U23" s="18" t="n"/>
      <c r="V23" s="7">
        <f>IF(L23="","",IF(TODAY()&gt;=L23,"到期","未到期"))</f>
        <v/>
      </c>
      <c r="W23" s="16" t="n"/>
      <c r="X23" s="16" t="n"/>
    </row>
    <row r="24">
      <c r="A24" s="15">
        <f>IF(B24="","","V-"&amp;TEXT(ROW()-1,"000"))</f>
        <v/>
      </c>
      <c r="B24" s="16" t="n"/>
      <c r="C24" s="17" t="n"/>
      <c r="D24" s="16" t="n"/>
      <c r="E24" s="16" t="n"/>
      <c r="F24" s="16" t="n"/>
      <c r="G24" s="16" t="n"/>
      <c r="H24" s="16" t="n"/>
      <c r="I24" s="16" t="n"/>
      <c r="J24" s="18" t="n"/>
      <c r="K24" s="16" t="n"/>
      <c r="L24" s="17" t="n"/>
      <c r="M24" s="18" t="n"/>
      <c r="N24" s="16" t="n"/>
      <c r="O24" s="16" t="n"/>
      <c r="P24" s="16" t="n"/>
      <c r="Q24" s="16" t="n"/>
      <c r="R24" s="16" t="n"/>
      <c r="S24" s="16" t="n"/>
      <c r="T24" s="18" t="n"/>
      <c r="U24" s="18" t="n"/>
      <c r="V24" s="7">
        <f>IF(L24="","",IF(TODAY()&gt;=L24,"到期","未到期"))</f>
        <v/>
      </c>
      <c r="W24" s="16" t="n"/>
      <c r="X24" s="16" t="n"/>
    </row>
    <row r="25">
      <c r="A25" s="15">
        <f>IF(B25="","","V-"&amp;TEXT(ROW()-1,"000"))</f>
        <v/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8" t="n"/>
      <c r="K25" s="16" t="n"/>
      <c r="L25" s="17" t="n"/>
      <c r="M25" s="18" t="n"/>
      <c r="N25" s="16" t="n"/>
      <c r="O25" s="16" t="n"/>
      <c r="P25" s="16" t="n"/>
      <c r="Q25" s="16" t="n"/>
      <c r="R25" s="16" t="n"/>
      <c r="S25" s="16" t="n"/>
      <c r="T25" s="18" t="n"/>
      <c r="U25" s="18" t="n"/>
      <c r="V25" s="7">
        <f>IF(L25="","",IF(TODAY()&gt;=L25,"到期","未到期"))</f>
        <v/>
      </c>
      <c r="W25" s="16" t="n"/>
      <c r="X25" s="16" t="n"/>
    </row>
    <row r="26">
      <c r="A26" s="15">
        <f>IF(B26="","","V-"&amp;TEXT(ROW()-1,"000"))</f>
        <v/>
      </c>
      <c r="B26" s="16" t="n"/>
      <c r="C26" s="17" t="n"/>
      <c r="D26" s="16" t="n"/>
      <c r="E26" s="16" t="n"/>
      <c r="F26" s="16" t="n"/>
      <c r="G26" s="16" t="n"/>
      <c r="H26" s="16" t="n"/>
      <c r="I26" s="16" t="n"/>
      <c r="J26" s="18" t="n"/>
      <c r="K26" s="16" t="n"/>
      <c r="L26" s="17" t="n"/>
      <c r="M26" s="18" t="n"/>
      <c r="N26" s="16" t="n"/>
      <c r="O26" s="16" t="n"/>
      <c r="P26" s="16" t="n"/>
      <c r="Q26" s="16" t="n"/>
      <c r="R26" s="16" t="n"/>
      <c r="S26" s="16" t="n"/>
      <c r="T26" s="18" t="n"/>
      <c r="U26" s="18" t="n"/>
      <c r="V26" s="7">
        <f>IF(L26="","",IF(TODAY()&gt;=L26,"到期","未到期"))</f>
        <v/>
      </c>
      <c r="W26" s="16" t="n"/>
      <c r="X26" s="16" t="n"/>
    </row>
    <row r="27">
      <c r="A27" s="15">
        <f>IF(B27="","","V-"&amp;TEXT(ROW()-1,"000"))</f>
        <v/>
      </c>
      <c r="B27" s="16" t="n"/>
      <c r="C27" s="17" t="n"/>
      <c r="D27" s="16" t="n"/>
      <c r="E27" s="16" t="n"/>
      <c r="F27" s="16" t="n"/>
      <c r="G27" s="16" t="n"/>
      <c r="H27" s="16" t="n"/>
      <c r="I27" s="16" t="n"/>
      <c r="J27" s="18" t="n"/>
      <c r="K27" s="16" t="n"/>
      <c r="L27" s="17" t="n"/>
      <c r="M27" s="18" t="n"/>
      <c r="N27" s="16" t="n"/>
      <c r="O27" s="16" t="n"/>
      <c r="P27" s="16" t="n"/>
      <c r="Q27" s="16" t="n"/>
      <c r="R27" s="16" t="n"/>
      <c r="S27" s="16" t="n"/>
      <c r="T27" s="18" t="n"/>
      <c r="U27" s="18" t="n"/>
      <c r="V27" s="7">
        <f>IF(L27="","",IF(TODAY()&gt;=L27,"到期","未到期"))</f>
        <v/>
      </c>
      <c r="W27" s="16" t="n"/>
      <c r="X27" s="16" t="n"/>
    </row>
    <row r="28">
      <c r="A28" s="15">
        <f>IF(B28="","","V-"&amp;TEXT(ROW()-1,"000"))</f>
        <v/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8" t="n"/>
      <c r="K28" s="16" t="n"/>
      <c r="L28" s="17" t="n"/>
      <c r="M28" s="18" t="n"/>
      <c r="N28" s="16" t="n"/>
      <c r="O28" s="16" t="n"/>
      <c r="P28" s="16" t="n"/>
      <c r="Q28" s="16" t="n"/>
      <c r="R28" s="16" t="n"/>
      <c r="S28" s="16" t="n"/>
      <c r="T28" s="18" t="n"/>
      <c r="U28" s="18" t="n"/>
      <c r="V28" s="7">
        <f>IF(L28="","",IF(TODAY()&gt;=L28,"到期","未到期"))</f>
        <v/>
      </c>
      <c r="W28" s="16" t="n"/>
      <c r="X28" s="16" t="n"/>
    </row>
    <row r="29">
      <c r="A29" s="15">
        <f>IF(B29="","","V-"&amp;TEXT(ROW()-1,"000"))</f>
        <v/>
      </c>
      <c r="B29" s="16" t="n"/>
      <c r="C29" s="17" t="n"/>
      <c r="D29" s="16" t="n"/>
      <c r="E29" s="16" t="n"/>
      <c r="F29" s="16" t="n"/>
      <c r="G29" s="16" t="n"/>
      <c r="H29" s="16" t="n"/>
      <c r="I29" s="16" t="n"/>
      <c r="J29" s="18" t="n"/>
      <c r="K29" s="16" t="n"/>
      <c r="L29" s="17" t="n"/>
      <c r="M29" s="18" t="n"/>
      <c r="N29" s="16" t="n"/>
      <c r="O29" s="16" t="n"/>
      <c r="P29" s="16" t="n"/>
      <c r="Q29" s="16" t="n"/>
      <c r="R29" s="16" t="n"/>
      <c r="S29" s="16" t="n"/>
      <c r="T29" s="18" t="n"/>
      <c r="U29" s="18" t="n"/>
      <c r="V29" s="7">
        <f>IF(L29="","",IF(TODAY()&gt;=L29,"到期","未到期"))</f>
        <v/>
      </c>
      <c r="W29" s="16" t="n"/>
      <c r="X29" s="16" t="n"/>
    </row>
    <row r="30">
      <c r="A30" s="15">
        <f>IF(B30="","","V-"&amp;TEXT(ROW()-1,"000"))</f>
        <v/>
      </c>
      <c r="B30" s="16" t="n"/>
      <c r="C30" s="17" t="n"/>
      <c r="D30" s="16" t="n"/>
      <c r="E30" s="16" t="n"/>
      <c r="F30" s="16" t="n"/>
      <c r="G30" s="16" t="n"/>
      <c r="H30" s="16" t="n"/>
      <c r="I30" s="16" t="n"/>
      <c r="J30" s="18" t="n"/>
      <c r="K30" s="16" t="n"/>
      <c r="L30" s="17" t="n"/>
      <c r="M30" s="18" t="n"/>
      <c r="N30" s="16" t="n"/>
      <c r="O30" s="16" t="n"/>
      <c r="P30" s="16" t="n"/>
      <c r="Q30" s="16" t="n"/>
      <c r="R30" s="16" t="n"/>
      <c r="S30" s="16" t="n"/>
      <c r="T30" s="18" t="n"/>
      <c r="U30" s="18" t="n"/>
      <c r="V30" s="7">
        <f>IF(L30="","",IF(TODAY()&gt;=L30,"到期","未到期"))</f>
        <v/>
      </c>
      <c r="W30" s="16" t="n"/>
      <c r="X30" s="16" t="n"/>
    </row>
    <row r="31">
      <c r="A31" s="15">
        <f>IF(B31="","","V-"&amp;TEXT(ROW()-1,"000"))</f>
        <v/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8" t="n"/>
      <c r="K31" s="16" t="n"/>
      <c r="L31" s="17" t="n"/>
      <c r="M31" s="18" t="n"/>
      <c r="N31" s="16" t="n"/>
      <c r="O31" s="16" t="n"/>
      <c r="P31" s="16" t="n"/>
      <c r="Q31" s="16" t="n"/>
      <c r="R31" s="16" t="n"/>
      <c r="S31" s="16" t="n"/>
      <c r="T31" s="18" t="n"/>
      <c r="U31" s="18" t="n"/>
      <c r="V31" s="7">
        <f>IF(L31="","",IF(TODAY()&gt;=L31,"到期","未到期"))</f>
        <v/>
      </c>
      <c r="W31" s="16" t="n"/>
      <c r="X31" s="16" t="n"/>
    </row>
    <row r="32">
      <c r="A32" s="15">
        <f>IF(B32="","","V-"&amp;TEXT(ROW()-1,"000"))</f>
        <v/>
      </c>
      <c r="B32" s="16" t="n"/>
      <c r="C32" s="17" t="n"/>
      <c r="D32" s="16" t="n"/>
      <c r="E32" s="16" t="n"/>
      <c r="F32" s="16" t="n"/>
      <c r="G32" s="16" t="n"/>
      <c r="H32" s="16" t="n"/>
      <c r="I32" s="16" t="n"/>
      <c r="J32" s="18" t="n"/>
      <c r="K32" s="16" t="n"/>
      <c r="L32" s="17" t="n"/>
      <c r="M32" s="18" t="n"/>
      <c r="N32" s="16" t="n"/>
      <c r="O32" s="16" t="n"/>
      <c r="P32" s="16" t="n"/>
      <c r="Q32" s="16" t="n"/>
      <c r="R32" s="16" t="n"/>
      <c r="S32" s="16" t="n"/>
      <c r="T32" s="18" t="n"/>
      <c r="U32" s="18" t="n"/>
      <c r="V32" s="7">
        <f>IF(L32="","",IF(TODAY()&gt;=L32,"到期","未到期"))</f>
        <v/>
      </c>
      <c r="W32" s="16" t="n"/>
      <c r="X32" s="16" t="n"/>
    </row>
    <row r="33">
      <c r="A33" s="15">
        <f>IF(B33="","","V-"&amp;TEXT(ROW()-1,"000"))</f>
        <v/>
      </c>
      <c r="B33" s="16" t="n"/>
      <c r="C33" s="17" t="n"/>
      <c r="D33" s="16" t="n"/>
      <c r="E33" s="16" t="n"/>
      <c r="F33" s="16" t="n"/>
      <c r="G33" s="16" t="n"/>
      <c r="H33" s="16" t="n"/>
      <c r="I33" s="16" t="n"/>
      <c r="J33" s="18" t="n"/>
      <c r="K33" s="16" t="n"/>
      <c r="L33" s="17" t="n"/>
      <c r="M33" s="18" t="n"/>
      <c r="N33" s="16" t="n"/>
      <c r="O33" s="16" t="n"/>
      <c r="P33" s="16" t="n"/>
      <c r="Q33" s="16" t="n"/>
      <c r="R33" s="16" t="n"/>
      <c r="S33" s="16" t="n"/>
      <c r="T33" s="18" t="n"/>
      <c r="U33" s="18" t="n"/>
      <c r="V33" s="7">
        <f>IF(L33="","",IF(TODAY()&gt;=L33,"到期","未到期"))</f>
        <v/>
      </c>
      <c r="W33" s="16" t="n"/>
      <c r="X33" s="16" t="n"/>
    </row>
    <row r="34">
      <c r="A34" s="15">
        <f>IF(B34="","","V-"&amp;TEXT(ROW()-1,"000"))</f>
        <v/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8" t="n"/>
      <c r="K34" s="16" t="n"/>
      <c r="L34" s="17" t="n"/>
      <c r="M34" s="18" t="n"/>
      <c r="N34" s="16" t="n"/>
      <c r="O34" s="16" t="n"/>
      <c r="P34" s="16" t="n"/>
      <c r="Q34" s="16" t="n"/>
      <c r="R34" s="16" t="n"/>
      <c r="S34" s="16" t="n"/>
      <c r="T34" s="18" t="n"/>
      <c r="U34" s="18" t="n"/>
      <c r="V34" s="7">
        <f>IF(L34="","",IF(TODAY()&gt;=L34,"到期","未到期"))</f>
        <v/>
      </c>
      <c r="W34" s="16" t="n"/>
      <c r="X34" s="16" t="n"/>
    </row>
    <row r="35">
      <c r="A35" s="15">
        <f>IF(B35="","","V-"&amp;TEXT(ROW()-1,"000"))</f>
        <v/>
      </c>
      <c r="B35" s="16" t="n"/>
      <c r="C35" s="17" t="n"/>
      <c r="D35" s="16" t="n"/>
      <c r="E35" s="16" t="n"/>
      <c r="F35" s="16" t="n"/>
      <c r="G35" s="16" t="n"/>
      <c r="H35" s="16" t="n"/>
      <c r="I35" s="16" t="n"/>
      <c r="J35" s="18" t="n"/>
      <c r="K35" s="16" t="n"/>
      <c r="L35" s="17" t="n"/>
      <c r="M35" s="18" t="n"/>
      <c r="N35" s="16" t="n"/>
      <c r="O35" s="16" t="n"/>
      <c r="P35" s="16" t="n"/>
      <c r="Q35" s="16" t="n"/>
      <c r="R35" s="16" t="n"/>
      <c r="S35" s="16" t="n"/>
      <c r="T35" s="18" t="n"/>
      <c r="U35" s="18" t="n"/>
      <c r="V35" s="7">
        <f>IF(L35="","",IF(TODAY()&gt;=L35,"到期","未到期"))</f>
        <v/>
      </c>
      <c r="W35" s="16" t="n"/>
      <c r="X35" s="16" t="n"/>
    </row>
    <row r="36">
      <c r="A36" s="15">
        <f>IF(B36="","","V-"&amp;TEXT(ROW()-1,"000"))</f>
        <v/>
      </c>
      <c r="B36" s="16" t="n"/>
      <c r="C36" s="17" t="n"/>
      <c r="D36" s="16" t="n"/>
      <c r="E36" s="16" t="n"/>
      <c r="F36" s="16" t="n"/>
      <c r="G36" s="16" t="n"/>
      <c r="H36" s="16" t="n"/>
      <c r="I36" s="16" t="n"/>
      <c r="J36" s="18" t="n"/>
      <c r="K36" s="16" t="n"/>
      <c r="L36" s="17" t="n"/>
      <c r="M36" s="18" t="n"/>
      <c r="N36" s="16" t="n"/>
      <c r="O36" s="16" t="n"/>
      <c r="P36" s="16" t="n"/>
      <c r="Q36" s="16" t="n"/>
      <c r="R36" s="16" t="n"/>
      <c r="S36" s="16" t="n"/>
      <c r="T36" s="18" t="n"/>
      <c r="U36" s="18" t="n"/>
      <c r="V36" s="7">
        <f>IF(L36="","",IF(TODAY()&gt;=L36,"到期","未到期"))</f>
        <v/>
      </c>
      <c r="W36" s="16" t="n"/>
      <c r="X36" s="16" t="n"/>
    </row>
    <row r="37">
      <c r="A37" s="15">
        <f>IF(B37="","","V-"&amp;TEXT(ROW()-1,"000"))</f>
        <v/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8" t="n"/>
      <c r="K37" s="16" t="n"/>
      <c r="L37" s="17" t="n"/>
      <c r="M37" s="18" t="n"/>
      <c r="N37" s="16" t="n"/>
      <c r="O37" s="16" t="n"/>
      <c r="P37" s="16" t="n"/>
      <c r="Q37" s="16" t="n"/>
      <c r="R37" s="16" t="n"/>
      <c r="S37" s="16" t="n"/>
      <c r="T37" s="18" t="n"/>
      <c r="U37" s="18" t="n"/>
      <c r="V37" s="7">
        <f>IF(L37="","",IF(TODAY()&gt;=L37,"到期","未到期"))</f>
        <v/>
      </c>
      <c r="W37" s="16" t="n"/>
      <c r="X37" s="16" t="n"/>
    </row>
    <row r="38">
      <c r="A38" s="15">
        <f>IF(B38="","","V-"&amp;TEXT(ROW()-1,"000"))</f>
        <v/>
      </c>
      <c r="B38" s="16" t="n"/>
      <c r="C38" s="17" t="n"/>
      <c r="D38" s="16" t="n"/>
      <c r="E38" s="16" t="n"/>
      <c r="F38" s="16" t="n"/>
      <c r="G38" s="16" t="n"/>
      <c r="H38" s="16" t="n"/>
      <c r="I38" s="16" t="n"/>
      <c r="J38" s="18" t="n"/>
      <c r="K38" s="16" t="n"/>
      <c r="L38" s="17" t="n"/>
      <c r="M38" s="18" t="n"/>
      <c r="N38" s="16" t="n"/>
      <c r="O38" s="16" t="n"/>
      <c r="P38" s="16" t="n"/>
      <c r="Q38" s="16" t="n"/>
      <c r="R38" s="16" t="n"/>
      <c r="S38" s="16" t="n"/>
      <c r="T38" s="18" t="n"/>
      <c r="U38" s="18" t="n"/>
      <c r="V38" s="7">
        <f>IF(L38="","",IF(TODAY()&gt;=L38,"到期","未到期"))</f>
        <v/>
      </c>
      <c r="W38" s="16" t="n"/>
      <c r="X38" s="16" t="n"/>
    </row>
    <row r="39">
      <c r="A39" s="15">
        <f>IF(B39="","","V-"&amp;TEXT(ROW()-1,"000"))</f>
        <v/>
      </c>
      <c r="B39" s="16" t="n"/>
      <c r="C39" s="17" t="n"/>
      <c r="D39" s="16" t="n"/>
      <c r="E39" s="16" t="n"/>
      <c r="F39" s="16" t="n"/>
      <c r="G39" s="16" t="n"/>
      <c r="H39" s="16" t="n"/>
      <c r="I39" s="16" t="n"/>
      <c r="J39" s="18" t="n"/>
      <c r="K39" s="16" t="n"/>
      <c r="L39" s="17" t="n"/>
      <c r="M39" s="18" t="n"/>
      <c r="N39" s="16" t="n"/>
      <c r="O39" s="16" t="n"/>
      <c r="P39" s="16" t="n"/>
      <c r="Q39" s="16" t="n"/>
      <c r="R39" s="16" t="n"/>
      <c r="S39" s="16" t="n"/>
      <c r="T39" s="18" t="n"/>
      <c r="U39" s="18" t="n"/>
      <c r="V39" s="7">
        <f>IF(L39="","",IF(TODAY()&gt;=L39,"到期","未到期"))</f>
        <v/>
      </c>
      <c r="W39" s="16" t="n"/>
      <c r="X39" s="16" t="n"/>
    </row>
    <row r="40">
      <c r="A40" s="15">
        <f>IF(B40="","","V-"&amp;TEXT(ROW()-1,"000"))</f>
        <v/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8" t="n"/>
      <c r="K40" s="16" t="n"/>
      <c r="L40" s="17" t="n"/>
      <c r="M40" s="18" t="n"/>
      <c r="N40" s="16" t="n"/>
      <c r="O40" s="16" t="n"/>
      <c r="P40" s="16" t="n"/>
      <c r="Q40" s="16" t="n"/>
      <c r="R40" s="16" t="n"/>
      <c r="S40" s="16" t="n"/>
      <c r="T40" s="18" t="n"/>
      <c r="U40" s="18" t="n"/>
      <c r="V40" s="7">
        <f>IF(L40="","",IF(TODAY()&gt;=L40,"到期","未到期"))</f>
        <v/>
      </c>
      <c r="W40" s="16" t="n"/>
      <c r="X40" s="16" t="n"/>
    </row>
    <row r="41">
      <c r="A41" s="15">
        <f>IF(B41="","","V-"&amp;TEXT(ROW()-1,"000"))</f>
        <v/>
      </c>
      <c r="B41" s="16" t="n"/>
      <c r="C41" s="17" t="n"/>
      <c r="D41" s="16" t="n"/>
      <c r="E41" s="16" t="n"/>
      <c r="F41" s="16" t="n"/>
      <c r="G41" s="16" t="n"/>
      <c r="H41" s="16" t="n"/>
      <c r="I41" s="16" t="n"/>
      <c r="J41" s="18" t="n"/>
      <c r="K41" s="16" t="n"/>
      <c r="L41" s="17" t="n"/>
      <c r="M41" s="18" t="n"/>
      <c r="N41" s="16" t="n"/>
      <c r="O41" s="16" t="n"/>
      <c r="P41" s="16" t="n"/>
      <c r="Q41" s="16" t="n"/>
      <c r="R41" s="16" t="n"/>
      <c r="S41" s="16" t="n"/>
      <c r="T41" s="18" t="n"/>
      <c r="U41" s="18" t="n"/>
      <c r="V41" s="7">
        <f>IF(L41="","",IF(TODAY()&gt;=L41,"到期","未到期"))</f>
        <v/>
      </c>
      <c r="W41" s="16" t="n"/>
      <c r="X41" s="16" t="n"/>
    </row>
    <row r="42">
      <c r="A42" s="15">
        <f>IF(B42="","","V-"&amp;TEXT(ROW()-1,"000"))</f>
        <v/>
      </c>
      <c r="B42" s="16" t="n"/>
      <c r="C42" s="17" t="n"/>
      <c r="D42" s="16" t="n"/>
      <c r="E42" s="16" t="n"/>
      <c r="F42" s="16" t="n"/>
      <c r="G42" s="16" t="n"/>
      <c r="H42" s="16" t="n"/>
      <c r="I42" s="16" t="n"/>
      <c r="J42" s="18" t="n"/>
      <c r="K42" s="16" t="n"/>
      <c r="L42" s="17" t="n"/>
      <c r="M42" s="18" t="n"/>
      <c r="N42" s="16" t="n"/>
      <c r="O42" s="16" t="n"/>
      <c r="P42" s="16" t="n"/>
      <c r="Q42" s="16" t="n"/>
      <c r="R42" s="16" t="n"/>
      <c r="S42" s="16" t="n"/>
      <c r="T42" s="18" t="n"/>
      <c r="U42" s="18" t="n"/>
      <c r="V42" s="7">
        <f>IF(L42="","",IF(TODAY()&gt;=L42,"到期","未到期"))</f>
        <v/>
      </c>
      <c r="W42" s="16" t="n"/>
      <c r="X42" s="16" t="n"/>
    </row>
    <row r="43">
      <c r="A43" s="15">
        <f>IF(B43="","","V-"&amp;TEXT(ROW()-1,"000"))</f>
        <v/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8" t="n"/>
      <c r="K43" s="16" t="n"/>
      <c r="L43" s="17" t="n"/>
      <c r="M43" s="18" t="n"/>
      <c r="N43" s="16" t="n"/>
      <c r="O43" s="16" t="n"/>
      <c r="P43" s="16" t="n"/>
      <c r="Q43" s="16" t="n"/>
      <c r="R43" s="16" t="n"/>
      <c r="S43" s="16" t="n"/>
      <c r="T43" s="18" t="n"/>
      <c r="U43" s="18" t="n"/>
      <c r="V43" s="7">
        <f>IF(L43="","",IF(TODAY()&gt;=L43,"到期","未到期"))</f>
        <v/>
      </c>
      <c r="W43" s="16" t="n"/>
      <c r="X43" s="16" t="n"/>
    </row>
    <row r="44">
      <c r="A44" s="15">
        <f>IF(B44="","","V-"&amp;TEXT(ROW()-1,"000"))</f>
        <v/>
      </c>
      <c r="B44" s="16" t="n"/>
      <c r="C44" s="17" t="n"/>
      <c r="D44" s="16" t="n"/>
      <c r="E44" s="16" t="n"/>
      <c r="F44" s="16" t="n"/>
      <c r="G44" s="16" t="n"/>
      <c r="H44" s="16" t="n"/>
      <c r="I44" s="16" t="n"/>
      <c r="J44" s="18" t="n"/>
      <c r="K44" s="16" t="n"/>
      <c r="L44" s="17" t="n"/>
      <c r="M44" s="18" t="n"/>
      <c r="N44" s="16" t="n"/>
      <c r="O44" s="16" t="n"/>
      <c r="P44" s="16" t="n"/>
      <c r="Q44" s="16" t="n"/>
      <c r="R44" s="16" t="n"/>
      <c r="S44" s="16" t="n"/>
      <c r="T44" s="18" t="n"/>
      <c r="U44" s="18" t="n"/>
      <c r="V44" s="7">
        <f>IF(L44="","",IF(TODAY()&gt;=L44,"到期","未到期"))</f>
        <v/>
      </c>
      <c r="W44" s="16" t="n"/>
      <c r="X44" s="16" t="n"/>
    </row>
    <row r="45">
      <c r="A45" s="15">
        <f>IF(B45="","","V-"&amp;TEXT(ROW()-1,"000"))</f>
        <v/>
      </c>
      <c r="B45" s="16" t="n"/>
      <c r="C45" s="17" t="n"/>
      <c r="D45" s="16" t="n"/>
      <c r="E45" s="16" t="n"/>
      <c r="F45" s="16" t="n"/>
      <c r="G45" s="16" t="n"/>
      <c r="H45" s="16" t="n"/>
      <c r="I45" s="16" t="n"/>
      <c r="J45" s="18" t="n"/>
      <c r="K45" s="16" t="n"/>
      <c r="L45" s="17" t="n"/>
      <c r="M45" s="18" t="n"/>
      <c r="N45" s="16" t="n"/>
      <c r="O45" s="16" t="n"/>
      <c r="P45" s="16" t="n"/>
      <c r="Q45" s="16" t="n"/>
      <c r="R45" s="16" t="n"/>
      <c r="S45" s="16" t="n"/>
      <c r="T45" s="18" t="n"/>
      <c r="U45" s="18" t="n"/>
      <c r="V45" s="7">
        <f>IF(L45="","",IF(TODAY()&gt;=L45,"到期","未到期"))</f>
        <v/>
      </c>
      <c r="W45" s="16" t="n"/>
      <c r="X45" s="16" t="n"/>
    </row>
    <row r="46">
      <c r="A46" s="15">
        <f>IF(B46="","","V-"&amp;TEXT(ROW()-1,"000"))</f>
        <v/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8" t="n"/>
      <c r="K46" s="16" t="n"/>
      <c r="L46" s="17" t="n"/>
      <c r="M46" s="18" t="n"/>
      <c r="N46" s="16" t="n"/>
      <c r="O46" s="16" t="n"/>
      <c r="P46" s="16" t="n"/>
      <c r="Q46" s="16" t="n"/>
      <c r="R46" s="16" t="n"/>
      <c r="S46" s="16" t="n"/>
      <c r="T46" s="18" t="n"/>
      <c r="U46" s="18" t="n"/>
      <c r="V46" s="7">
        <f>IF(L46="","",IF(TODAY()&gt;=L46,"到期","未到期"))</f>
        <v/>
      </c>
      <c r="W46" s="16" t="n"/>
      <c r="X46" s="16" t="n"/>
    </row>
    <row r="47">
      <c r="A47" s="15">
        <f>IF(B47="","","V-"&amp;TEXT(ROW()-1,"000"))</f>
        <v/>
      </c>
      <c r="B47" s="16" t="n"/>
      <c r="C47" s="17" t="n"/>
      <c r="D47" s="16" t="n"/>
      <c r="E47" s="16" t="n"/>
      <c r="F47" s="16" t="n"/>
      <c r="G47" s="16" t="n"/>
      <c r="H47" s="16" t="n"/>
      <c r="I47" s="16" t="n"/>
      <c r="J47" s="18" t="n"/>
      <c r="K47" s="16" t="n"/>
      <c r="L47" s="17" t="n"/>
      <c r="M47" s="18" t="n"/>
      <c r="N47" s="16" t="n"/>
      <c r="O47" s="16" t="n"/>
      <c r="P47" s="16" t="n"/>
      <c r="Q47" s="16" t="n"/>
      <c r="R47" s="16" t="n"/>
      <c r="S47" s="16" t="n"/>
      <c r="T47" s="18" t="n"/>
      <c r="U47" s="18" t="n"/>
      <c r="V47" s="7">
        <f>IF(L47="","",IF(TODAY()&gt;=L47,"到期","未到期"))</f>
        <v/>
      </c>
      <c r="W47" s="16" t="n"/>
      <c r="X47" s="16" t="n"/>
    </row>
    <row r="48">
      <c r="A48" s="15">
        <f>IF(B48="","","V-"&amp;TEXT(ROW()-1,"000"))</f>
        <v/>
      </c>
      <c r="B48" s="16" t="n"/>
      <c r="C48" s="17" t="n"/>
      <c r="D48" s="16" t="n"/>
      <c r="E48" s="16" t="n"/>
      <c r="F48" s="16" t="n"/>
      <c r="G48" s="16" t="n"/>
      <c r="H48" s="16" t="n"/>
      <c r="I48" s="16" t="n"/>
      <c r="J48" s="18" t="n"/>
      <c r="K48" s="16" t="n"/>
      <c r="L48" s="17" t="n"/>
      <c r="M48" s="18" t="n"/>
      <c r="N48" s="16" t="n"/>
      <c r="O48" s="16" t="n"/>
      <c r="P48" s="16" t="n"/>
      <c r="Q48" s="16" t="n"/>
      <c r="R48" s="16" t="n"/>
      <c r="S48" s="16" t="n"/>
      <c r="T48" s="18" t="n"/>
      <c r="U48" s="18" t="n"/>
      <c r="V48" s="7">
        <f>IF(L48="","",IF(TODAY()&gt;=L48,"到期","未到期"))</f>
        <v/>
      </c>
      <c r="W48" s="16" t="n"/>
      <c r="X48" s="16" t="n"/>
    </row>
    <row r="49">
      <c r="A49" s="15">
        <f>IF(B49="","","V-"&amp;TEXT(ROW()-1,"000"))</f>
        <v/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8" t="n"/>
      <c r="K49" s="16" t="n"/>
      <c r="L49" s="17" t="n"/>
      <c r="M49" s="18" t="n"/>
      <c r="N49" s="16" t="n"/>
      <c r="O49" s="16" t="n"/>
      <c r="P49" s="16" t="n"/>
      <c r="Q49" s="16" t="n"/>
      <c r="R49" s="16" t="n"/>
      <c r="S49" s="16" t="n"/>
      <c r="T49" s="18" t="n"/>
      <c r="U49" s="18" t="n"/>
      <c r="V49" s="7">
        <f>IF(L49="","",IF(TODAY()&gt;=L49,"到期","未到期"))</f>
        <v/>
      </c>
      <c r="W49" s="16" t="n"/>
      <c r="X49" s="16" t="n"/>
    </row>
    <row r="50">
      <c r="A50" s="15">
        <f>IF(B50="","","V-"&amp;TEXT(ROW()-1,"000"))</f>
        <v/>
      </c>
      <c r="B50" s="16" t="n"/>
      <c r="C50" s="17" t="n"/>
      <c r="D50" s="16" t="n"/>
      <c r="E50" s="16" t="n"/>
      <c r="F50" s="16" t="n"/>
      <c r="G50" s="16" t="n"/>
      <c r="H50" s="16" t="n"/>
      <c r="I50" s="16" t="n"/>
      <c r="J50" s="18" t="n"/>
      <c r="K50" s="16" t="n"/>
      <c r="L50" s="17" t="n"/>
      <c r="M50" s="18" t="n"/>
      <c r="N50" s="16" t="n"/>
      <c r="O50" s="16" t="n"/>
      <c r="P50" s="16" t="n"/>
      <c r="Q50" s="16" t="n"/>
      <c r="R50" s="16" t="n"/>
      <c r="S50" s="16" t="n"/>
      <c r="T50" s="18" t="n"/>
      <c r="U50" s="18" t="n"/>
      <c r="V50" s="7">
        <f>IF(L50="","",IF(TODAY()&gt;=L50,"到期","未到期"))</f>
        <v/>
      </c>
      <c r="W50" s="16" t="n"/>
      <c r="X50" s="16" t="n"/>
    </row>
    <row r="51">
      <c r="A51" s="15">
        <f>IF(B51="","","V-"&amp;TEXT(ROW()-1,"000"))</f>
        <v/>
      </c>
      <c r="B51" s="16" t="n"/>
      <c r="C51" s="17" t="n"/>
      <c r="D51" s="16" t="n"/>
      <c r="E51" s="16" t="n"/>
      <c r="F51" s="16" t="n"/>
      <c r="G51" s="16" t="n"/>
      <c r="H51" s="16" t="n"/>
      <c r="I51" s="16" t="n"/>
      <c r="J51" s="18" t="n"/>
      <c r="K51" s="16" t="n"/>
      <c r="L51" s="17" t="n"/>
      <c r="M51" s="18" t="n"/>
      <c r="N51" s="16" t="n"/>
      <c r="O51" s="16" t="n"/>
      <c r="P51" s="16" t="n"/>
      <c r="Q51" s="16" t="n"/>
      <c r="R51" s="16" t="n"/>
      <c r="S51" s="16" t="n"/>
      <c r="T51" s="18" t="n"/>
      <c r="U51" s="18" t="n"/>
      <c r="V51" s="7">
        <f>IF(L51="","",IF(TODAY()&gt;=L51,"到期","未到期"))</f>
        <v/>
      </c>
      <c r="W51" s="16" t="n"/>
      <c r="X51" s="16" t="n"/>
    </row>
    <row r="52">
      <c r="A52" s="15">
        <f>IF(B52="","","V-"&amp;TEXT(ROW()-1,"000"))</f>
        <v/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8" t="n"/>
      <c r="K52" s="16" t="n"/>
      <c r="L52" s="17" t="n"/>
      <c r="M52" s="18" t="n"/>
      <c r="N52" s="16" t="n"/>
      <c r="O52" s="16" t="n"/>
      <c r="P52" s="16" t="n"/>
      <c r="Q52" s="16" t="n"/>
      <c r="R52" s="16" t="n"/>
      <c r="S52" s="16" t="n"/>
      <c r="T52" s="18" t="n"/>
      <c r="U52" s="18" t="n"/>
      <c r="V52" s="7">
        <f>IF(L52="","",IF(TODAY()&gt;=L52,"到期","未到期"))</f>
        <v/>
      </c>
      <c r="W52" s="16" t="n"/>
      <c r="X52" s="16" t="n"/>
    </row>
    <row r="53">
      <c r="A53" s="15">
        <f>IF(B53="","","V-"&amp;TEXT(ROW()-1,"000"))</f>
        <v/>
      </c>
      <c r="B53" s="16" t="n"/>
      <c r="C53" s="17" t="n"/>
      <c r="D53" s="16" t="n"/>
      <c r="E53" s="16" t="n"/>
      <c r="F53" s="16" t="n"/>
      <c r="G53" s="16" t="n"/>
      <c r="H53" s="16" t="n"/>
      <c r="I53" s="16" t="n"/>
      <c r="J53" s="18" t="n"/>
      <c r="K53" s="16" t="n"/>
      <c r="L53" s="17" t="n"/>
      <c r="M53" s="18" t="n"/>
      <c r="N53" s="16" t="n"/>
      <c r="O53" s="16" t="n"/>
      <c r="P53" s="16" t="n"/>
      <c r="Q53" s="16" t="n"/>
      <c r="R53" s="16" t="n"/>
      <c r="S53" s="16" t="n"/>
      <c r="T53" s="18" t="n"/>
      <c r="U53" s="18" t="n"/>
      <c r="V53" s="7">
        <f>IF(L53="","",IF(TODAY()&gt;=L53,"到期","未到期"))</f>
        <v/>
      </c>
      <c r="W53" s="16" t="n"/>
      <c r="X53" s="16" t="n"/>
    </row>
    <row r="54">
      <c r="A54" s="15">
        <f>IF(B54="","","V-"&amp;TEXT(ROW()-1,"000"))</f>
        <v/>
      </c>
      <c r="B54" s="16" t="n"/>
      <c r="C54" s="17" t="n"/>
      <c r="D54" s="16" t="n"/>
      <c r="E54" s="16" t="n"/>
      <c r="F54" s="16" t="n"/>
      <c r="G54" s="16" t="n"/>
      <c r="H54" s="16" t="n"/>
      <c r="I54" s="16" t="n"/>
      <c r="J54" s="18" t="n"/>
      <c r="K54" s="16" t="n"/>
      <c r="L54" s="17" t="n"/>
      <c r="M54" s="18" t="n"/>
      <c r="N54" s="16" t="n"/>
      <c r="O54" s="16" t="n"/>
      <c r="P54" s="16" t="n"/>
      <c r="Q54" s="16" t="n"/>
      <c r="R54" s="16" t="n"/>
      <c r="S54" s="16" t="n"/>
      <c r="T54" s="18" t="n"/>
      <c r="U54" s="18" t="n"/>
      <c r="V54" s="7">
        <f>IF(L54="","",IF(TODAY()&gt;=L54,"到期","未到期"))</f>
        <v/>
      </c>
      <c r="W54" s="16" t="n"/>
      <c r="X54" s="16" t="n"/>
    </row>
    <row r="55">
      <c r="A55" s="15">
        <f>IF(B55="","","V-"&amp;TEXT(ROW()-1,"000"))</f>
        <v/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8" t="n"/>
      <c r="K55" s="16" t="n"/>
      <c r="L55" s="17" t="n"/>
      <c r="M55" s="18" t="n"/>
      <c r="N55" s="16" t="n"/>
      <c r="O55" s="16" t="n"/>
      <c r="P55" s="16" t="n"/>
      <c r="Q55" s="16" t="n"/>
      <c r="R55" s="16" t="n"/>
      <c r="S55" s="16" t="n"/>
      <c r="T55" s="18" t="n"/>
      <c r="U55" s="18" t="n"/>
      <c r="V55" s="7">
        <f>IF(L55="","",IF(TODAY()&gt;=L55,"到期","未到期"))</f>
        <v/>
      </c>
      <c r="W55" s="16" t="n"/>
      <c r="X55" s="16" t="n"/>
    </row>
    <row r="56">
      <c r="A56" s="15">
        <f>IF(B56="","","V-"&amp;TEXT(ROW()-1,"000"))</f>
        <v/>
      </c>
      <c r="B56" s="16" t="n"/>
      <c r="C56" s="17" t="n"/>
      <c r="D56" s="16" t="n"/>
      <c r="E56" s="16" t="n"/>
      <c r="F56" s="16" t="n"/>
      <c r="G56" s="16" t="n"/>
      <c r="H56" s="16" t="n"/>
      <c r="I56" s="16" t="n"/>
      <c r="J56" s="18" t="n"/>
      <c r="K56" s="16" t="n"/>
      <c r="L56" s="17" t="n"/>
      <c r="M56" s="18" t="n"/>
      <c r="N56" s="16" t="n"/>
      <c r="O56" s="16" t="n"/>
      <c r="P56" s="16" t="n"/>
      <c r="Q56" s="16" t="n"/>
      <c r="R56" s="16" t="n"/>
      <c r="S56" s="16" t="n"/>
      <c r="T56" s="18" t="n"/>
      <c r="U56" s="18" t="n"/>
      <c r="V56" s="7">
        <f>IF(L56="","",IF(TODAY()&gt;=L56,"到期","未到期"))</f>
        <v/>
      </c>
      <c r="W56" s="16" t="n"/>
      <c r="X56" s="16" t="n"/>
    </row>
    <row r="57">
      <c r="A57" s="15">
        <f>IF(B57="","","V-"&amp;TEXT(ROW()-1,"000"))</f>
        <v/>
      </c>
      <c r="B57" s="16" t="n"/>
      <c r="C57" s="17" t="n"/>
      <c r="D57" s="16" t="n"/>
      <c r="E57" s="16" t="n"/>
      <c r="F57" s="16" t="n"/>
      <c r="G57" s="16" t="n"/>
      <c r="H57" s="16" t="n"/>
      <c r="I57" s="16" t="n"/>
      <c r="J57" s="18" t="n"/>
      <c r="K57" s="16" t="n"/>
      <c r="L57" s="17" t="n"/>
      <c r="M57" s="18" t="n"/>
      <c r="N57" s="16" t="n"/>
      <c r="O57" s="16" t="n"/>
      <c r="P57" s="16" t="n"/>
      <c r="Q57" s="16" t="n"/>
      <c r="R57" s="16" t="n"/>
      <c r="S57" s="16" t="n"/>
      <c r="T57" s="18" t="n"/>
      <c r="U57" s="18" t="n"/>
      <c r="V57" s="7">
        <f>IF(L57="","",IF(TODAY()&gt;=L57,"到期","未到期"))</f>
        <v/>
      </c>
      <c r="W57" s="16" t="n"/>
      <c r="X57" s="16" t="n"/>
    </row>
    <row r="58">
      <c r="A58" s="15">
        <f>IF(B58="","","V-"&amp;TEXT(ROW()-1,"000"))</f>
        <v/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8" t="n"/>
      <c r="K58" s="16" t="n"/>
      <c r="L58" s="17" t="n"/>
      <c r="M58" s="18" t="n"/>
      <c r="N58" s="16" t="n"/>
      <c r="O58" s="16" t="n"/>
      <c r="P58" s="16" t="n"/>
      <c r="Q58" s="16" t="n"/>
      <c r="R58" s="16" t="n"/>
      <c r="S58" s="16" t="n"/>
      <c r="T58" s="18" t="n"/>
      <c r="U58" s="18" t="n"/>
      <c r="V58" s="7">
        <f>IF(L58="","",IF(TODAY()&gt;=L58,"到期","未到期"))</f>
        <v/>
      </c>
      <c r="W58" s="16" t="n"/>
      <c r="X58" s="16" t="n"/>
    </row>
    <row r="59">
      <c r="A59" s="15">
        <f>IF(B59="","","V-"&amp;TEXT(ROW()-1,"000"))</f>
        <v/>
      </c>
      <c r="B59" s="16" t="n"/>
      <c r="C59" s="17" t="n"/>
      <c r="D59" s="16" t="n"/>
      <c r="E59" s="16" t="n"/>
      <c r="F59" s="16" t="n"/>
      <c r="G59" s="16" t="n"/>
      <c r="H59" s="16" t="n"/>
      <c r="I59" s="16" t="n"/>
      <c r="J59" s="18" t="n"/>
      <c r="K59" s="16" t="n"/>
      <c r="L59" s="17" t="n"/>
      <c r="M59" s="18" t="n"/>
      <c r="N59" s="16" t="n"/>
      <c r="O59" s="16" t="n"/>
      <c r="P59" s="16" t="n"/>
      <c r="Q59" s="16" t="n"/>
      <c r="R59" s="16" t="n"/>
      <c r="S59" s="16" t="n"/>
      <c r="T59" s="18" t="n"/>
      <c r="U59" s="18" t="n"/>
      <c r="V59" s="7">
        <f>IF(L59="","",IF(TODAY()&gt;=L59,"到期","未到期"))</f>
        <v/>
      </c>
      <c r="W59" s="16" t="n"/>
      <c r="X59" s="16" t="n"/>
    </row>
    <row r="60">
      <c r="A60" s="15">
        <f>IF(B60="","","V-"&amp;TEXT(ROW()-1,"000"))</f>
        <v/>
      </c>
      <c r="B60" s="16" t="n"/>
      <c r="C60" s="17" t="n"/>
      <c r="D60" s="16" t="n"/>
      <c r="E60" s="16" t="n"/>
      <c r="F60" s="16" t="n"/>
      <c r="G60" s="16" t="n"/>
      <c r="H60" s="16" t="n"/>
      <c r="I60" s="16" t="n"/>
      <c r="J60" s="18" t="n"/>
      <c r="K60" s="16" t="n"/>
      <c r="L60" s="17" t="n"/>
      <c r="M60" s="18" t="n"/>
      <c r="N60" s="16" t="n"/>
      <c r="O60" s="16" t="n"/>
      <c r="P60" s="16" t="n"/>
      <c r="Q60" s="16" t="n"/>
      <c r="R60" s="16" t="n"/>
      <c r="S60" s="16" t="n"/>
      <c r="T60" s="18" t="n"/>
      <c r="U60" s="18" t="n"/>
      <c r="V60" s="7">
        <f>IF(L60="","",IF(TODAY()&gt;=L60,"到期","未到期"))</f>
        <v/>
      </c>
      <c r="W60" s="16" t="n"/>
      <c r="X60" s="16" t="n"/>
    </row>
    <row r="61">
      <c r="A61" s="15">
        <f>IF(B61="","","V-"&amp;TEXT(ROW()-1,"000"))</f>
        <v/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8" t="n"/>
      <c r="K61" s="16" t="n"/>
      <c r="L61" s="17" t="n"/>
      <c r="M61" s="18" t="n"/>
      <c r="N61" s="16" t="n"/>
      <c r="O61" s="16" t="n"/>
      <c r="P61" s="16" t="n"/>
      <c r="Q61" s="16" t="n"/>
      <c r="R61" s="16" t="n"/>
      <c r="S61" s="16" t="n"/>
      <c r="T61" s="18" t="n"/>
      <c r="U61" s="18" t="n"/>
      <c r="V61" s="7">
        <f>IF(L61="","",IF(TODAY()&gt;=L61,"到期","未到期"))</f>
        <v/>
      </c>
      <c r="W61" s="16" t="n"/>
      <c r="X61" s="16" t="n"/>
    </row>
    <row r="62">
      <c r="A62" s="15">
        <f>IF(B62="","","V-"&amp;TEXT(ROW()-1,"000"))</f>
        <v/>
      </c>
      <c r="B62" s="16" t="n"/>
      <c r="C62" s="17" t="n"/>
      <c r="D62" s="16" t="n"/>
      <c r="E62" s="16" t="n"/>
      <c r="F62" s="16" t="n"/>
      <c r="G62" s="16" t="n"/>
      <c r="H62" s="16" t="n"/>
      <c r="I62" s="16" t="n"/>
      <c r="J62" s="18" t="n"/>
      <c r="K62" s="16" t="n"/>
      <c r="L62" s="17" t="n"/>
      <c r="M62" s="18" t="n"/>
      <c r="N62" s="16" t="n"/>
      <c r="O62" s="16" t="n"/>
      <c r="P62" s="16" t="n"/>
      <c r="Q62" s="16" t="n"/>
      <c r="R62" s="16" t="n"/>
      <c r="S62" s="16" t="n"/>
      <c r="T62" s="18" t="n"/>
      <c r="U62" s="18" t="n"/>
      <c r="V62" s="7">
        <f>IF(L62="","",IF(TODAY()&gt;=L62,"到期","未到期"))</f>
        <v/>
      </c>
      <c r="W62" s="16" t="n"/>
      <c r="X62" s="16" t="n"/>
    </row>
    <row r="63">
      <c r="A63" s="15">
        <f>IF(B63="","","V-"&amp;TEXT(ROW()-1,"000"))</f>
        <v/>
      </c>
      <c r="B63" s="16" t="n"/>
      <c r="C63" s="17" t="n"/>
      <c r="D63" s="16" t="n"/>
      <c r="E63" s="16" t="n"/>
      <c r="F63" s="16" t="n"/>
      <c r="G63" s="16" t="n"/>
      <c r="H63" s="16" t="n"/>
      <c r="I63" s="16" t="n"/>
      <c r="J63" s="18" t="n"/>
      <c r="K63" s="16" t="n"/>
      <c r="L63" s="17" t="n"/>
      <c r="M63" s="18" t="n"/>
      <c r="N63" s="16" t="n"/>
      <c r="O63" s="16" t="n"/>
      <c r="P63" s="16" t="n"/>
      <c r="Q63" s="16" t="n"/>
      <c r="R63" s="16" t="n"/>
      <c r="S63" s="16" t="n"/>
      <c r="T63" s="18" t="n"/>
      <c r="U63" s="18" t="n"/>
      <c r="V63" s="7">
        <f>IF(L63="","",IF(TODAY()&gt;=L63,"到期","未到期"))</f>
        <v/>
      </c>
      <c r="W63" s="16" t="n"/>
      <c r="X63" s="16" t="n"/>
    </row>
    <row r="64">
      <c r="A64" s="15">
        <f>IF(B64="","","V-"&amp;TEXT(ROW()-1,"000"))</f>
        <v/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8" t="n"/>
      <c r="K64" s="16" t="n"/>
      <c r="L64" s="17" t="n"/>
      <c r="M64" s="18" t="n"/>
      <c r="N64" s="16" t="n"/>
      <c r="O64" s="16" t="n"/>
      <c r="P64" s="16" t="n"/>
      <c r="Q64" s="16" t="n"/>
      <c r="R64" s="16" t="n"/>
      <c r="S64" s="16" t="n"/>
      <c r="T64" s="18" t="n"/>
      <c r="U64" s="18" t="n"/>
      <c r="V64" s="7">
        <f>IF(L64="","",IF(TODAY()&gt;=L64,"到期","未到期"))</f>
        <v/>
      </c>
      <c r="W64" s="16" t="n"/>
      <c r="X64" s="16" t="n"/>
    </row>
    <row r="65">
      <c r="A65" s="15">
        <f>IF(B65="","","V-"&amp;TEXT(ROW()-1,"000"))</f>
        <v/>
      </c>
      <c r="B65" s="16" t="n"/>
      <c r="C65" s="17" t="n"/>
      <c r="D65" s="16" t="n"/>
      <c r="E65" s="16" t="n"/>
      <c r="F65" s="16" t="n"/>
      <c r="G65" s="16" t="n"/>
      <c r="H65" s="16" t="n"/>
      <c r="I65" s="16" t="n"/>
      <c r="J65" s="18" t="n"/>
      <c r="K65" s="16" t="n"/>
      <c r="L65" s="17" t="n"/>
      <c r="M65" s="18" t="n"/>
      <c r="N65" s="16" t="n"/>
      <c r="O65" s="16" t="n"/>
      <c r="P65" s="16" t="n"/>
      <c r="Q65" s="16" t="n"/>
      <c r="R65" s="16" t="n"/>
      <c r="S65" s="16" t="n"/>
      <c r="T65" s="18" t="n"/>
      <c r="U65" s="18" t="n"/>
      <c r="V65" s="7">
        <f>IF(L65="","",IF(TODAY()&gt;=L65,"到期","未到期"))</f>
        <v/>
      </c>
      <c r="W65" s="16" t="n"/>
      <c r="X65" s="16" t="n"/>
    </row>
    <row r="66">
      <c r="A66" s="15">
        <f>IF(B66="","","V-"&amp;TEXT(ROW()-1,"000"))</f>
        <v/>
      </c>
      <c r="B66" s="16" t="n"/>
      <c r="C66" s="17" t="n"/>
      <c r="D66" s="16" t="n"/>
      <c r="E66" s="16" t="n"/>
      <c r="F66" s="16" t="n"/>
      <c r="G66" s="16" t="n"/>
      <c r="H66" s="16" t="n"/>
      <c r="I66" s="16" t="n"/>
      <c r="J66" s="18" t="n"/>
      <c r="K66" s="16" t="n"/>
      <c r="L66" s="17" t="n"/>
      <c r="M66" s="18" t="n"/>
      <c r="N66" s="16" t="n"/>
      <c r="O66" s="16" t="n"/>
      <c r="P66" s="16" t="n"/>
      <c r="Q66" s="16" t="n"/>
      <c r="R66" s="16" t="n"/>
      <c r="S66" s="16" t="n"/>
      <c r="T66" s="18" t="n"/>
      <c r="U66" s="18" t="n"/>
      <c r="V66" s="7">
        <f>IF(L66="","",IF(TODAY()&gt;=L66,"到期","未到期"))</f>
        <v/>
      </c>
      <c r="W66" s="16" t="n"/>
      <c r="X66" s="16" t="n"/>
    </row>
    <row r="67">
      <c r="A67" s="15">
        <f>IF(B67="","","V-"&amp;TEXT(ROW()-1,"000"))</f>
        <v/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8" t="n"/>
      <c r="K67" s="16" t="n"/>
      <c r="L67" s="17" t="n"/>
      <c r="M67" s="18" t="n"/>
      <c r="N67" s="16" t="n"/>
      <c r="O67" s="16" t="n"/>
      <c r="P67" s="16" t="n"/>
      <c r="Q67" s="16" t="n"/>
      <c r="R67" s="16" t="n"/>
      <c r="S67" s="16" t="n"/>
      <c r="T67" s="18" t="n"/>
      <c r="U67" s="18" t="n"/>
      <c r="V67" s="7">
        <f>IF(L67="","",IF(TODAY()&gt;=L67,"到期","未到期"))</f>
        <v/>
      </c>
      <c r="W67" s="16" t="n"/>
      <c r="X67" s="16" t="n"/>
    </row>
    <row r="68">
      <c r="A68" s="15">
        <f>IF(B68="","","V-"&amp;TEXT(ROW()-1,"000"))</f>
        <v/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8" t="n"/>
      <c r="K68" s="16" t="n"/>
      <c r="L68" s="17" t="n"/>
      <c r="M68" s="18" t="n"/>
      <c r="N68" s="16" t="n"/>
      <c r="O68" s="16" t="n"/>
      <c r="P68" s="16" t="n"/>
      <c r="Q68" s="16" t="n"/>
      <c r="R68" s="16" t="n"/>
      <c r="S68" s="16" t="n"/>
      <c r="T68" s="18" t="n"/>
      <c r="U68" s="18" t="n"/>
      <c r="V68" s="7">
        <f>IF(L68="","",IF(TODAY()&gt;=L68,"到期","未到期"))</f>
        <v/>
      </c>
      <c r="W68" s="16" t="n"/>
      <c r="X68" s="16" t="n"/>
    </row>
    <row r="69">
      <c r="A69" s="15">
        <f>IF(B69="","","V-"&amp;TEXT(ROW()-1,"000"))</f>
        <v/>
      </c>
      <c r="B69" s="16" t="n"/>
      <c r="C69" s="17" t="n"/>
      <c r="D69" s="16" t="n"/>
      <c r="E69" s="16" t="n"/>
      <c r="F69" s="16" t="n"/>
      <c r="G69" s="16" t="n"/>
      <c r="H69" s="16" t="n"/>
      <c r="I69" s="16" t="n"/>
      <c r="J69" s="18" t="n"/>
      <c r="K69" s="16" t="n"/>
      <c r="L69" s="17" t="n"/>
      <c r="M69" s="18" t="n"/>
      <c r="N69" s="16" t="n"/>
      <c r="O69" s="16" t="n"/>
      <c r="P69" s="16" t="n"/>
      <c r="Q69" s="16" t="n"/>
      <c r="R69" s="16" t="n"/>
      <c r="S69" s="16" t="n"/>
      <c r="T69" s="18" t="n"/>
      <c r="U69" s="18" t="n"/>
      <c r="V69" s="7">
        <f>IF(L69="","",IF(TODAY()&gt;=L69,"到期","未到期"))</f>
        <v/>
      </c>
      <c r="W69" s="16" t="n"/>
      <c r="X69" s="16" t="n"/>
    </row>
    <row r="70">
      <c r="A70" s="15">
        <f>IF(B70="","","V-"&amp;TEXT(ROW()-1,"000"))</f>
        <v/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8" t="n"/>
      <c r="K70" s="16" t="n"/>
      <c r="L70" s="17" t="n"/>
      <c r="M70" s="18" t="n"/>
      <c r="N70" s="16" t="n"/>
      <c r="O70" s="16" t="n"/>
      <c r="P70" s="16" t="n"/>
      <c r="Q70" s="16" t="n"/>
      <c r="R70" s="16" t="n"/>
      <c r="S70" s="16" t="n"/>
      <c r="T70" s="18" t="n"/>
      <c r="U70" s="18" t="n"/>
      <c r="V70" s="7">
        <f>IF(L70="","",IF(TODAY()&gt;=L70,"到期","未到期"))</f>
        <v/>
      </c>
      <c r="W70" s="16" t="n"/>
      <c r="X70" s="16" t="n"/>
    </row>
    <row r="71">
      <c r="A71" s="15">
        <f>IF(B71="","","V-"&amp;TEXT(ROW()-1,"000"))</f>
        <v/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8" t="n"/>
      <c r="K71" s="16" t="n"/>
      <c r="L71" s="17" t="n"/>
      <c r="M71" s="18" t="n"/>
      <c r="N71" s="16" t="n"/>
      <c r="O71" s="16" t="n"/>
      <c r="P71" s="16" t="n"/>
      <c r="Q71" s="16" t="n"/>
      <c r="R71" s="16" t="n"/>
      <c r="S71" s="16" t="n"/>
      <c r="T71" s="18" t="n"/>
      <c r="U71" s="18" t="n"/>
      <c r="V71" s="7">
        <f>IF(L71="","",IF(TODAY()&gt;=L71,"到期","未到期"))</f>
        <v/>
      </c>
      <c r="W71" s="16" t="n"/>
      <c r="X71" s="16" t="n"/>
    </row>
    <row r="72">
      <c r="A72" s="15">
        <f>IF(B72="","","V-"&amp;TEXT(ROW()-1,"000"))</f>
        <v/>
      </c>
      <c r="B72" s="16" t="n"/>
      <c r="C72" s="17" t="n"/>
      <c r="D72" s="16" t="n"/>
      <c r="E72" s="16" t="n"/>
      <c r="F72" s="16" t="n"/>
      <c r="G72" s="16" t="n"/>
      <c r="H72" s="16" t="n"/>
      <c r="I72" s="16" t="n"/>
      <c r="J72" s="18" t="n"/>
      <c r="K72" s="16" t="n"/>
      <c r="L72" s="17" t="n"/>
      <c r="M72" s="18" t="n"/>
      <c r="N72" s="16" t="n"/>
      <c r="O72" s="16" t="n"/>
      <c r="P72" s="16" t="n"/>
      <c r="Q72" s="16" t="n"/>
      <c r="R72" s="16" t="n"/>
      <c r="S72" s="16" t="n"/>
      <c r="T72" s="18" t="n"/>
      <c r="U72" s="18" t="n"/>
      <c r="V72" s="7">
        <f>IF(L72="","",IF(TODAY()&gt;=L72,"到期","未到期"))</f>
        <v/>
      </c>
      <c r="W72" s="16" t="n"/>
      <c r="X72" s="16" t="n"/>
    </row>
    <row r="73">
      <c r="A73" s="15">
        <f>IF(B73="","","V-"&amp;TEXT(ROW()-1,"000"))</f>
        <v/>
      </c>
      <c r="B73" s="16" t="n"/>
      <c r="C73" s="17" t="n"/>
      <c r="D73" s="16" t="n"/>
      <c r="E73" s="16" t="n"/>
      <c r="F73" s="16" t="n"/>
      <c r="G73" s="16" t="n"/>
      <c r="H73" s="16" t="n"/>
      <c r="I73" s="16" t="n"/>
      <c r="J73" s="18" t="n"/>
      <c r="K73" s="16" t="n"/>
      <c r="L73" s="17" t="n"/>
      <c r="M73" s="18" t="n"/>
      <c r="N73" s="16" t="n"/>
      <c r="O73" s="16" t="n"/>
      <c r="P73" s="16" t="n"/>
      <c r="Q73" s="16" t="n"/>
      <c r="R73" s="16" t="n"/>
      <c r="S73" s="16" t="n"/>
      <c r="T73" s="18" t="n"/>
      <c r="U73" s="18" t="n"/>
      <c r="V73" s="7">
        <f>IF(L73="","",IF(TODAY()&gt;=L73,"到期","未到期"))</f>
        <v/>
      </c>
      <c r="W73" s="16" t="n"/>
      <c r="X73" s="16" t="n"/>
    </row>
    <row r="74">
      <c r="A74" s="15">
        <f>IF(B74="","","V-"&amp;TEXT(ROW()-1,"000"))</f>
        <v/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8" t="n"/>
      <c r="K74" s="16" t="n"/>
      <c r="L74" s="17" t="n"/>
      <c r="M74" s="18" t="n"/>
      <c r="N74" s="16" t="n"/>
      <c r="O74" s="16" t="n"/>
      <c r="P74" s="16" t="n"/>
      <c r="Q74" s="16" t="n"/>
      <c r="R74" s="16" t="n"/>
      <c r="S74" s="16" t="n"/>
      <c r="T74" s="18" t="n"/>
      <c r="U74" s="18" t="n"/>
      <c r="V74" s="7">
        <f>IF(L74="","",IF(TODAY()&gt;=L74,"到期","未到期"))</f>
        <v/>
      </c>
      <c r="W74" s="16" t="n"/>
      <c r="X74" s="16" t="n"/>
    </row>
    <row r="75">
      <c r="A75" s="15">
        <f>IF(B75="","","V-"&amp;TEXT(ROW()-1,"000"))</f>
        <v/>
      </c>
      <c r="B75" s="16" t="n"/>
      <c r="C75" s="17" t="n"/>
      <c r="D75" s="16" t="n"/>
      <c r="E75" s="16" t="n"/>
      <c r="F75" s="16" t="n"/>
      <c r="G75" s="16" t="n"/>
      <c r="H75" s="16" t="n"/>
      <c r="I75" s="16" t="n"/>
      <c r="J75" s="18" t="n"/>
      <c r="K75" s="16" t="n"/>
      <c r="L75" s="17" t="n"/>
      <c r="M75" s="18" t="n"/>
      <c r="N75" s="16" t="n"/>
      <c r="O75" s="16" t="n"/>
      <c r="P75" s="16" t="n"/>
      <c r="Q75" s="16" t="n"/>
      <c r="R75" s="16" t="n"/>
      <c r="S75" s="16" t="n"/>
      <c r="T75" s="18" t="n"/>
      <c r="U75" s="18" t="n"/>
      <c r="V75" s="7">
        <f>IF(L75="","",IF(TODAY()&gt;=L75,"到期","未到期"))</f>
        <v/>
      </c>
      <c r="W75" s="16" t="n"/>
      <c r="X75" s="16" t="n"/>
    </row>
    <row r="76">
      <c r="A76" s="15">
        <f>IF(B76="","","V-"&amp;TEXT(ROW()-1,"000"))</f>
        <v/>
      </c>
      <c r="B76" s="16" t="n"/>
      <c r="C76" s="17" t="n"/>
      <c r="D76" s="16" t="n"/>
      <c r="E76" s="16" t="n"/>
      <c r="F76" s="16" t="n"/>
      <c r="G76" s="16" t="n"/>
      <c r="H76" s="16" t="n"/>
      <c r="I76" s="16" t="n"/>
      <c r="J76" s="18" t="n"/>
      <c r="K76" s="16" t="n"/>
      <c r="L76" s="17" t="n"/>
      <c r="M76" s="18" t="n"/>
      <c r="N76" s="16" t="n"/>
      <c r="O76" s="16" t="n"/>
      <c r="P76" s="16" t="n"/>
      <c r="Q76" s="16" t="n"/>
      <c r="R76" s="16" t="n"/>
      <c r="S76" s="16" t="n"/>
      <c r="T76" s="18" t="n"/>
      <c r="U76" s="18" t="n"/>
      <c r="V76" s="7">
        <f>IF(L76="","",IF(TODAY()&gt;=L76,"到期","未到期"))</f>
        <v/>
      </c>
      <c r="W76" s="16" t="n"/>
      <c r="X76" s="16" t="n"/>
    </row>
    <row r="77">
      <c r="A77" s="15">
        <f>IF(B77="","","V-"&amp;TEXT(ROW()-1,"000"))</f>
        <v/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8" t="n"/>
      <c r="K77" s="16" t="n"/>
      <c r="L77" s="17" t="n"/>
      <c r="M77" s="18" t="n"/>
      <c r="N77" s="16" t="n"/>
      <c r="O77" s="16" t="n"/>
      <c r="P77" s="16" t="n"/>
      <c r="Q77" s="16" t="n"/>
      <c r="R77" s="16" t="n"/>
      <c r="S77" s="16" t="n"/>
      <c r="T77" s="18" t="n"/>
      <c r="U77" s="18" t="n"/>
      <c r="V77" s="7">
        <f>IF(L77="","",IF(TODAY()&gt;=L77,"到期","未到期"))</f>
        <v/>
      </c>
      <c r="W77" s="16" t="n"/>
      <c r="X77" s="16" t="n"/>
    </row>
    <row r="78">
      <c r="A78" s="15">
        <f>IF(B78="","","V-"&amp;TEXT(ROW()-1,"000"))</f>
        <v/>
      </c>
      <c r="B78" s="16" t="n"/>
      <c r="C78" s="17" t="n"/>
      <c r="D78" s="16" t="n"/>
      <c r="E78" s="16" t="n"/>
      <c r="F78" s="16" t="n"/>
      <c r="G78" s="16" t="n"/>
      <c r="H78" s="16" t="n"/>
      <c r="I78" s="16" t="n"/>
      <c r="J78" s="18" t="n"/>
      <c r="K78" s="16" t="n"/>
      <c r="L78" s="17" t="n"/>
      <c r="M78" s="18" t="n"/>
      <c r="N78" s="16" t="n"/>
      <c r="O78" s="16" t="n"/>
      <c r="P78" s="16" t="n"/>
      <c r="Q78" s="16" t="n"/>
      <c r="R78" s="16" t="n"/>
      <c r="S78" s="16" t="n"/>
      <c r="T78" s="18" t="n"/>
      <c r="U78" s="18" t="n"/>
      <c r="V78" s="7">
        <f>IF(L78="","",IF(TODAY()&gt;=L78,"到期","未到期"))</f>
        <v/>
      </c>
      <c r="W78" s="16" t="n"/>
      <c r="X78" s="16" t="n"/>
    </row>
    <row r="79">
      <c r="A79" s="15">
        <f>IF(B79="","","V-"&amp;TEXT(ROW()-1,"000"))</f>
        <v/>
      </c>
      <c r="B79" s="16" t="n"/>
      <c r="C79" s="17" t="n"/>
      <c r="D79" s="16" t="n"/>
      <c r="E79" s="16" t="n"/>
      <c r="F79" s="16" t="n"/>
      <c r="G79" s="16" t="n"/>
      <c r="H79" s="16" t="n"/>
      <c r="I79" s="16" t="n"/>
      <c r="J79" s="18" t="n"/>
      <c r="K79" s="16" t="n"/>
      <c r="L79" s="17" t="n"/>
      <c r="M79" s="18" t="n"/>
      <c r="N79" s="16" t="n"/>
      <c r="O79" s="16" t="n"/>
      <c r="P79" s="16" t="n"/>
      <c r="Q79" s="16" t="n"/>
      <c r="R79" s="16" t="n"/>
      <c r="S79" s="16" t="n"/>
      <c r="T79" s="18" t="n"/>
      <c r="U79" s="18" t="n"/>
      <c r="V79" s="7">
        <f>IF(L79="","",IF(TODAY()&gt;=L79,"到期","未到期"))</f>
        <v/>
      </c>
      <c r="W79" s="16" t="n"/>
      <c r="X79" s="16" t="n"/>
    </row>
    <row r="80">
      <c r="A80" s="15">
        <f>IF(B80="","","V-"&amp;TEXT(ROW()-1,"000"))</f>
        <v/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8" t="n"/>
      <c r="K80" s="16" t="n"/>
      <c r="L80" s="17" t="n"/>
      <c r="M80" s="18" t="n"/>
      <c r="N80" s="16" t="n"/>
      <c r="O80" s="16" t="n"/>
      <c r="P80" s="16" t="n"/>
      <c r="Q80" s="16" t="n"/>
      <c r="R80" s="16" t="n"/>
      <c r="S80" s="16" t="n"/>
      <c r="T80" s="18" t="n"/>
      <c r="U80" s="18" t="n"/>
      <c r="V80" s="7">
        <f>IF(L80="","",IF(TODAY()&gt;=L80,"到期","未到期"))</f>
        <v/>
      </c>
      <c r="W80" s="16" t="n"/>
      <c r="X80" s="16" t="n"/>
    </row>
    <row r="81">
      <c r="A81" s="15">
        <f>IF(B81="","","V-"&amp;TEXT(ROW()-1,"000"))</f>
        <v/>
      </c>
      <c r="B81" s="16" t="n"/>
      <c r="C81" s="17" t="n"/>
      <c r="D81" s="16" t="n"/>
      <c r="E81" s="16" t="n"/>
      <c r="F81" s="16" t="n"/>
      <c r="G81" s="16" t="n"/>
      <c r="H81" s="16" t="n"/>
      <c r="I81" s="16" t="n"/>
      <c r="J81" s="18" t="n"/>
      <c r="K81" s="16" t="n"/>
      <c r="L81" s="17" t="n"/>
      <c r="M81" s="18" t="n"/>
      <c r="N81" s="16" t="n"/>
      <c r="O81" s="16" t="n"/>
      <c r="P81" s="16" t="n"/>
      <c r="Q81" s="16" t="n"/>
      <c r="R81" s="16" t="n"/>
      <c r="S81" s="16" t="n"/>
      <c r="T81" s="18" t="n"/>
      <c r="U81" s="18" t="n"/>
      <c r="V81" s="7">
        <f>IF(L81="","",IF(TODAY()&gt;=L81,"到期","未到期"))</f>
        <v/>
      </c>
      <c r="W81" s="16" t="n"/>
      <c r="X81" s="16" t="n"/>
    </row>
    <row r="82">
      <c r="A82" s="15">
        <f>IF(B82="","","V-"&amp;TEXT(ROW()-1,"000"))</f>
        <v/>
      </c>
      <c r="B82" s="16" t="n"/>
      <c r="C82" s="17" t="n"/>
      <c r="D82" s="16" t="n"/>
      <c r="E82" s="16" t="n"/>
      <c r="F82" s="16" t="n"/>
      <c r="G82" s="16" t="n"/>
      <c r="H82" s="16" t="n"/>
      <c r="I82" s="16" t="n"/>
      <c r="J82" s="18" t="n"/>
      <c r="K82" s="16" t="n"/>
      <c r="L82" s="17" t="n"/>
      <c r="M82" s="18" t="n"/>
      <c r="N82" s="16" t="n"/>
      <c r="O82" s="16" t="n"/>
      <c r="P82" s="16" t="n"/>
      <c r="Q82" s="16" t="n"/>
      <c r="R82" s="16" t="n"/>
      <c r="S82" s="16" t="n"/>
      <c r="T82" s="18" t="n"/>
      <c r="U82" s="18" t="n"/>
      <c r="V82" s="7">
        <f>IF(L82="","",IF(TODAY()&gt;=L82,"到期","未到期"))</f>
        <v/>
      </c>
      <c r="W82" s="16" t="n"/>
      <c r="X82" s="16" t="n"/>
    </row>
    <row r="83">
      <c r="A83" s="15">
        <f>IF(B83="","","V-"&amp;TEXT(ROW()-1,"000"))</f>
        <v/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8" t="n"/>
      <c r="K83" s="16" t="n"/>
      <c r="L83" s="17" t="n"/>
      <c r="M83" s="18" t="n"/>
      <c r="N83" s="16" t="n"/>
      <c r="O83" s="16" t="n"/>
      <c r="P83" s="16" t="n"/>
      <c r="Q83" s="16" t="n"/>
      <c r="R83" s="16" t="n"/>
      <c r="S83" s="16" t="n"/>
      <c r="T83" s="18" t="n"/>
      <c r="U83" s="18" t="n"/>
      <c r="V83" s="7">
        <f>IF(L83="","",IF(TODAY()&gt;=L83,"到期","未到期"))</f>
        <v/>
      </c>
      <c r="W83" s="16" t="n"/>
      <c r="X83" s="16" t="n"/>
    </row>
    <row r="84">
      <c r="A84" s="15">
        <f>IF(B84="","","V-"&amp;TEXT(ROW()-1,"000"))</f>
        <v/>
      </c>
      <c r="B84" s="16" t="n"/>
      <c r="C84" s="17" t="n"/>
      <c r="D84" s="16" t="n"/>
      <c r="E84" s="16" t="n"/>
      <c r="F84" s="16" t="n"/>
      <c r="G84" s="16" t="n"/>
      <c r="H84" s="16" t="n"/>
      <c r="I84" s="16" t="n"/>
      <c r="J84" s="18" t="n"/>
      <c r="K84" s="16" t="n"/>
      <c r="L84" s="17" t="n"/>
      <c r="M84" s="18" t="n"/>
      <c r="N84" s="16" t="n"/>
      <c r="O84" s="16" t="n"/>
      <c r="P84" s="16" t="n"/>
      <c r="Q84" s="16" t="n"/>
      <c r="R84" s="16" t="n"/>
      <c r="S84" s="16" t="n"/>
      <c r="T84" s="18" t="n"/>
      <c r="U84" s="18" t="n"/>
      <c r="V84" s="7">
        <f>IF(L84="","",IF(TODAY()&gt;=L84,"到期","未到期"))</f>
        <v/>
      </c>
      <c r="W84" s="16" t="n"/>
      <c r="X84" s="16" t="n"/>
    </row>
    <row r="85">
      <c r="A85" s="15">
        <f>IF(B85="","","V-"&amp;TEXT(ROW()-1,"000"))</f>
        <v/>
      </c>
      <c r="B85" s="16" t="n"/>
      <c r="C85" s="17" t="n"/>
      <c r="D85" s="16" t="n"/>
      <c r="E85" s="16" t="n"/>
      <c r="F85" s="16" t="n"/>
      <c r="G85" s="16" t="n"/>
      <c r="H85" s="16" t="n"/>
      <c r="I85" s="16" t="n"/>
      <c r="J85" s="18" t="n"/>
      <c r="K85" s="16" t="n"/>
      <c r="L85" s="17" t="n"/>
      <c r="M85" s="18" t="n"/>
      <c r="N85" s="16" t="n"/>
      <c r="O85" s="16" t="n"/>
      <c r="P85" s="16" t="n"/>
      <c r="Q85" s="16" t="n"/>
      <c r="R85" s="16" t="n"/>
      <c r="S85" s="16" t="n"/>
      <c r="T85" s="18" t="n"/>
      <c r="U85" s="18" t="n"/>
      <c r="V85" s="7">
        <f>IF(L85="","",IF(TODAY()&gt;=L85,"到期","未到期"))</f>
        <v/>
      </c>
      <c r="W85" s="16" t="n"/>
      <c r="X85" s="16" t="n"/>
    </row>
    <row r="86">
      <c r="A86" s="15">
        <f>IF(B86="","","V-"&amp;TEXT(ROW()-1,"000"))</f>
        <v/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8" t="n"/>
      <c r="K86" s="16" t="n"/>
      <c r="L86" s="17" t="n"/>
      <c r="M86" s="18" t="n"/>
      <c r="N86" s="16" t="n"/>
      <c r="O86" s="16" t="n"/>
      <c r="P86" s="16" t="n"/>
      <c r="Q86" s="16" t="n"/>
      <c r="R86" s="16" t="n"/>
      <c r="S86" s="16" t="n"/>
      <c r="T86" s="18" t="n"/>
      <c r="U86" s="18" t="n"/>
      <c r="V86" s="7">
        <f>IF(L86="","",IF(TODAY()&gt;=L86,"到期","未到期"))</f>
        <v/>
      </c>
      <c r="W86" s="16" t="n"/>
      <c r="X86" s="16" t="n"/>
    </row>
    <row r="87">
      <c r="A87" s="15">
        <f>IF(B87="","","V-"&amp;TEXT(ROW()-1,"000"))</f>
        <v/>
      </c>
      <c r="B87" s="16" t="n"/>
      <c r="C87" s="17" t="n"/>
      <c r="D87" s="16" t="n"/>
      <c r="E87" s="16" t="n"/>
      <c r="F87" s="16" t="n"/>
      <c r="G87" s="16" t="n"/>
      <c r="H87" s="16" t="n"/>
      <c r="I87" s="16" t="n"/>
      <c r="J87" s="18" t="n"/>
      <c r="K87" s="16" t="n"/>
      <c r="L87" s="17" t="n"/>
      <c r="M87" s="18" t="n"/>
      <c r="N87" s="16" t="n"/>
      <c r="O87" s="16" t="n"/>
      <c r="P87" s="16" t="n"/>
      <c r="Q87" s="16" t="n"/>
      <c r="R87" s="16" t="n"/>
      <c r="S87" s="16" t="n"/>
      <c r="T87" s="18" t="n"/>
      <c r="U87" s="18" t="n"/>
      <c r="V87" s="7">
        <f>IF(L87="","",IF(TODAY()&gt;=L87,"到期","未到期"))</f>
        <v/>
      </c>
      <c r="W87" s="16" t="n"/>
      <c r="X87" s="16" t="n"/>
    </row>
    <row r="88">
      <c r="A88" s="15">
        <f>IF(B88="","","V-"&amp;TEXT(ROW()-1,"000"))</f>
        <v/>
      </c>
      <c r="B88" s="16" t="n"/>
      <c r="C88" s="17" t="n"/>
      <c r="D88" s="16" t="n"/>
      <c r="E88" s="16" t="n"/>
      <c r="F88" s="16" t="n"/>
      <c r="G88" s="16" t="n"/>
      <c r="H88" s="16" t="n"/>
      <c r="I88" s="16" t="n"/>
      <c r="J88" s="18" t="n"/>
      <c r="K88" s="16" t="n"/>
      <c r="L88" s="17" t="n"/>
      <c r="M88" s="18" t="n"/>
      <c r="N88" s="16" t="n"/>
      <c r="O88" s="16" t="n"/>
      <c r="P88" s="16" t="n"/>
      <c r="Q88" s="16" t="n"/>
      <c r="R88" s="16" t="n"/>
      <c r="S88" s="16" t="n"/>
      <c r="T88" s="18" t="n"/>
      <c r="U88" s="18" t="n"/>
      <c r="V88" s="7">
        <f>IF(L88="","",IF(TODAY()&gt;=L88,"到期","未到期"))</f>
        <v/>
      </c>
      <c r="W88" s="16" t="n"/>
      <c r="X88" s="16" t="n"/>
    </row>
    <row r="89">
      <c r="A89" s="15">
        <f>IF(B89="","","V-"&amp;TEXT(ROW()-1,"000"))</f>
        <v/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8" t="n"/>
      <c r="K89" s="16" t="n"/>
      <c r="L89" s="17" t="n"/>
      <c r="M89" s="18" t="n"/>
      <c r="N89" s="16" t="n"/>
      <c r="O89" s="16" t="n"/>
      <c r="P89" s="16" t="n"/>
      <c r="Q89" s="16" t="n"/>
      <c r="R89" s="16" t="n"/>
      <c r="S89" s="16" t="n"/>
      <c r="T89" s="18" t="n"/>
      <c r="U89" s="18" t="n"/>
      <c r="V89" s="7">
        <f>IF(L89="","",IF(TODAY()&gt;=L89,"到期","未到期"))</f>
        <v/>
      </c>
      <c r="W89" s="16" t="n"/>
      <c r="X89" s="16" t="n"/>
    </row>
    <row r="90">
      <c r="A90" s="15">
        <f>IF(B90="","","V-"&amp;TEXT(ROW()-1,"000"))</f>
        <v/>
      </c>
      <c r="B90" s="16" t="n"/>
      <c r="C90" s="17" t="n"/>
      <c r="D90" s="16" t="n"/>
      <c r="E90" s="16" t="n"/>
      <c r="F90" s="16" t="n"/>
      <c r="G90" s="16" t="n"/>
      <c r="H90" s="16" t="n"/>
      <c r="I90" s="16" t="n"/>
      <c r="J90" s="18" t="n"/>
      <c r="K90" s="16" t="n"/>
      <c r="L90" s="17" t="n"/>
      <c r="M90" s="18" t="n"/>
      <c r="N90" s="16" t="n"/>
      <c r="O90" s="16" t="n"/>
      <c r="P90" s="16" t="n"/>
      <c r="Q90" s="16" t="n"/>
      <c r="R90" s="16" t="n"/>
      <c r="S90" s="16" t="n"/>
      <c r="T90" s="18" t="n"/>
      <c r="U90" s="18" t="n"/>
      <c r="V90" s="7">
        <f>IF(L90="","",IF(TODAY()&gt;=L90,"到期","未到期"))</f>
        <v/>
      </c>
      <c r="W90" s="16" t="n"/>
      <c r="X90" s="16" t="n"/>
    </row>
    <row r="91">
      <c r="A91" s="15">
        <f>IF(B91="","","V-"&amp;TEXT(ROW()-1,"000"))</f>
        <v/>
      </c>
      <c r="B91" s="16" t="n"/>
      <c r="C91" s="17" t="n"/>
      <c r="D91" s="16" t="n"/>
      <c r="E91" s="16" t="n"/>
      <c r="F91" s="16" t="n"/>
      <c r="G91" s="16" t="n"/>
      <c r="H91" s="16" t="n"/>
      <c r="I91" s="16" t="n"/>
      <c r="J91" s="18" t="n"/>
      <c r="K91" s="16" t="n"/>
      <c r="L91" s="17" t="n"/>
      <c r="M91" s="18" t="n"/>
      <c r="N91" s="16" t="n"/>
      <c r="O91" s="16" t="n"/>
      <c r="P91" s="16" t="n"/>
      <c r="Q91" s="16" t="n"/>
      <c r="R91" s="16" t="n"/>
      <c r="S91" s="16" t="n"/>
      <c r="T91" s="18" t="n"/>
      <c r="U91" s="18" t="n"/>
      <c r="V91" s="7">
        <f>IF(L91="","",IF(TODAY()&gt;=L91,"到期","未到期"))</f>
        <v/>
      </c>
      <c r="W91" s="16" t="n"/>
      <c r="X91" s="16" t="n"/>
    </row>
    <row r="92">
      <c r="A92" s="15">
        <f>IF(B92="","","V-"&amp;TEXT(ROW()-1,"000"))</f>
        <v/>
      </c>
      <c r="B92" s="16" t="n"/>
      <c r="C92" s="17" t="n"/>
      <c r="D92" s="16" t="n"/>
      <c r="E92" s="16" t="n"/>
      <c r="F92" s="16" t="n"/>
      <c r="G92" s="16" t="n"/>
      <c r="H92" s="16" t="n"/>
      <c r="I92" s="16" t="n"/>
      <c r="J92" s="18" t="n"/>
      <c r="K92" s="16" t="n"/>
      <c r="L92" s="17" t="n"/>
      <c r="M92" s="18" t="n"/>
      <c r="N92" s="16" t="n"/>
      <c r="O92" s="16" t="n"/>
      <c r="P92" s="16" t="n"/>
      <c r="Q92" s="16" t="n"/>
      <c r="R92" s="16" t="n"/>
      <c r="S92" s="16" t="n"/>
      <c r="T92" s="18" t="n"/>
      <c r="U92" s="18" t="n"/>
      <c r="V92" s="7">
        <f>IF(L92="","",IF(TODAY()&gt;=L92,"到期","未到期"))</f>
        <v/>
      </c>
      <c r="W92" s="16" t="n"/>
      <c r="X92" s="16" t="n"/>
    </row>
    <row r="93">
      <c r="A93" s="15">
        <f>IF(B93="","","V-"&amp;TEXT(ROW()-1,"000"))</f>
        <v/>
      </c>
      <c r="B93" s="16" t="n"/>
      <c r="C93" s="17" t="n"/>
      <c r="D93" s="16" t="n"/>
      <c r="E93" s="16" t="n"/>
      <c r="F93" s="16" t="n"/>
      <c r="G93" s="16" t="n"/>
      <c r="H93" s="16" t="n"/>
      <c r="I93" s="16" t="n"/>
      <c r="J93" s="18" t="n"/>
      <c r="K93" s="16" t="n"/>
      <c r="L93" s="17" t="n"/>
      <c r="M93" s="18" t="n"/>
      <c r="N93" s="16" t="n"/>
      <c r="O93" s="16" t="n"/>
      <c r="P93" s="16" t="n"/>
      <c r="Q93" s="16" t="n"/>
      <c r="R93" s="16" t="n"/>
      <c r="S93" s="16" t="n"/>
      <c r="T93" s="18" t="n"/>
      <c r="U93" s="18" t="n"/>
      <c r="V93" s="7">
        <f>IF(L93="","",IF(TODAY()&gt;=L93,"到期","未到期"))</f>
        <v/>
      </c>
      <c r="W93" s="16" t="n"/>
      <c r="X93" s="16" t="n"/>
    </row>
    <row r="94">
      <c r="A94" s="15">
        <f>IF(B94="","","V-"&amp;TEXT(ROW()-1,"000"))</f>
        <v/>
      </c>
      <c r="B94" s="16" t="n"/>
      <c r="C94" s="17" t="n"/>
      <c r="D94" s="16" t="n"/>
      <c r="E94" s="16" t="n"/>
      <c r="F94" s="16" t="n"/>
      <c r="G94" s="16" t="n"/>
      <c r="H94" s="16" t="n"/>
      <c r="I94" s="16" t="n"/>
      <c r="J94" s="18" t="n"/>
      <c r="K94" s="16" t="n"/>
      <c r="L94" s="17" t="n"/>
      <c r="M94" s="18" t="n"/>
      <c r="N94" s="16" t="n"/>
      <c r="O94" s="16" t="n"/>
      <c r="P94" s="16" t="n"/>
      <c r="Q94" s="16" t="n"/>
      <c r="R94" s="16" t="n"/>
      <c r="S94" s="16" t="n"/>
      <c r="T94" s="18" t="n"/>
      <c r="U94" s="18" t="n"/>
      <c r="V94" s="7">
        <f>IF(L94="","",IF(TODAY()&gt;=L94,"到期","未到期"))</f>
        <v/>
      </c>
      <c r="W94" s="16" t="n"/>
      <c r="X94" s="16" t="n"/>
    </row>
    <row r="95">
      <c r="A95" s="15">
        <f>IF(B95="","","V-"&amp;TEXT(ROW()-1,"000"))</f>
        <v/>
      </c>
      <c r="B95" s="16" t="n"/>
      <c r="C95" s="17" t="n"/>
      <c r="D95" s="16" t="n"/>
      <c r="E95" s="16" t="n"/>
      <c r="F95" s="16" t="n"/>
      <c r="G95" s="16" t="n"/>
      <c r="H95" s="16" t="n"/>
      <c r="I95" s="16" t="n"/>
      <c r="J95" s="18" t="n"/>
      <c r="K95" s="16" t="n"/>
      <c r="L95" s="17" t="n"/>
      <c r="M95" s="18" t="n"/>
      <c r="N95" s="16" t="n"/>
      <c r="O95" s="16" t="n"/>
      <c r="P95" s="16" t="n"/>
      <c r="Q95" s="16" t="n"/>
      <c r="R95" s="16" t="n"/>
      <c r="S95" s="16" t="n"/>
      <c r="T95" s="18" t="n"/>
      <c r="U95" s="18" t="n"/>
      <c r="V95" s="7">
        <f>IF(L95="","",IF(TODAY()&gt;=L95,"到期","未到期"))</f>
        <v/>
      </c>
      <c r="W95" s="16" t="n"/>
      <c r="X95" s="16" t="n"/>
    </row>
    <row r="96">
      <c r="A96" s="15">
        <f>IF(B96="","","V-"&amp;TEXT(ROW()-1,"000"))</f>
        <v/>
      </c>
      <c r="B96" s="16" t="n"/>
      <c r="C96" s="17" t="n"/>
      <c r="D96" s="16" t="n"/>
      <c r="E96" s="16" t="n"/>
      <c r="F96" s="16" t="n"/>
      <c r="G96" s="16" t="n"/>
      <c r="H96" s="16" t="n"/>
      <c r="I96" s="16" t="n"/>
      <c r="J96" s="18" t="n"/>
      <c r="K96" s="16" t="n"/>
      <c r="L96" s="17" t="n"/>
      <c r="M96" s="18" t="n"/>
      <c r="N96" s="16" t="n"/>
      <c r="O96" s="16" t="n"/>
      <c r="P96" s="16" t="n"/>
      <c r="Q96" s="16" t="n"/>
      <c r="R96" s="16" t="n"/>
      <c r="S96" s="16" t="n"/>
      <c r="T96" s="18" t="n"/>
      <c r="U96" s="18" t="n"/>
      <c r="V96" s="7">
        <f>IF(L96="","",IF(TODAY()&gt;=L96,"到期","未到期"))</f>
        <v/>
      </c>
      <c r="W96" s="16" t="n"/>
      <c r="X96" s="16" t="n"/>
    </row>
    <row r="97">
      <c r="A97" s="15">
        <f>IF(B97="","","V-"&amp;TEXT(ROW()-1,"000"))</f>
        <v/>
      </c>
      <c r="B97" s="16" t="n"/>
      <c r="C97" s="17" t="n"/>
      <c r="D97" s="16" t="n"/>
      <c r="E97" s="16" t="n"/>
      <c r="F97" s="16" t="n"/>
      <c r="G97" s="16" t="n"/>
      <c r="H97" s="16" t="n"/>
      <c r="I97" s="16" t="n"/>
      <c r="J97" s="18" t="n"/>
      <c r="K97" s="16" t="n"/>
      <c r="L97" s="17" t="n"/>
      <c r="M97" s="18" t="n"/>
      <c r="N97" s="16" t="n"/>
      <c r="O97" s="16" t="n"/>
      <c r="P97" s="16" t="n"/>
      <c r="Q97" s="16" t="n"/>
      <c r="R97" s="16" t="n"/>
      <c r="S97" s="16" t="n"/>
      <c r="T97" s="18" t="n"/>
      <c r="U97" s="18" t="n"/>
      <c r="V97" s="7">
        <f>IF(L97="","",IF(TODAY()&gt;=L97,"到期","未到期"))</f>
        <v/>
      </c>
      <c r="W97" s="16" t="n"/>
      <c r="X97" s="16" t="n"/>
    </row>
    <row r="98">
      <c r="A98" s="15">
        <f>IF(B98="","","V-"&amp;TEXT(ROW()-1,"000"))</f>
        <v/>
      </c>
      <c r="B98" s="16" t="n"/>
      <c r="C98" s="17" t="n"/>
      <c r="D98" s="16" t="n"/>
      <c r="E98" s="16" t="n"/>
      <c r="F98" s="16" t="n"/>
      <c r="G98" s="16" t="n"/>
      <c r="H98" s="16" t="n"/>
      <c r="I98" s="16" t="n"/>
      <c r="J98" s="18" t="n"/>
      <c r="K98" s="16" t="n"/>
      <c r="L98" s="17" t="n"/>
      <c r="M98" s="18" t="n"/>
      <c r="N98" s="16" t="n"/>
      <c r="O98" s="16" t="n"/>
      <c r="P98" s="16" t="n"/>
      <c r="Q98" s="16" t="n"/>
      <c r="R98" s="16" t="n"/>
      <c r="S98" s="16" t="n"/>
      <c r="T98" s="18" t="n"/>
      <c r="U98" s="18" t="n"/>
      <c r="V98" s="7">
        <f>IF(L98="","",IF(TODAY()&gt;=L98,"到期","未到期"))</f>
        <v/>
      </c>
      <c r="W98" s="16" t="n"/>
      <c r="X98" s="16" t="n"/>
    </row>
    <row r="99">
      <c r="A99" s="15">
        <f>IF(B99="","","V-"&amp;TEXT(ROW()-1,"000"))</f>
        <v/>
      </c>
      <c r="B99" s="16" t="n"/>
      <c r="C99" s="17" t="n"/>
      <c r="D99" s="16" t="n"/>
      <c r="E99" s="16" t="n"/>
      <c r="F99" s="16" t="n"/>
      <c r="G99" s="16" t="n"/>
      <c r="H99" s="16" t="n"/>
      <c r="I99" s="16" t="n"/>
      <c r="J99" s="18" t="n"/>
      <c r="K99" s="16" t="n"/>
      <c r="L99" s="17" t="n"/>
      <c r="M99" s="18" t="n"/>
      <c r="N99" s="16" t="n"/>
      <c r="O99" s="16" t="n"/>
      <c r="P99" s="16" t="n"/>
      <c r="Q99" s="16" t="n"/>
      <c r="R99" s="16" t="n"/>
      <c r="S99" s="16" t="n"/>
      <c r="T99" s="18" t="n"/>
      <c r="U99" s="18" t="n"/>
      <c r="V99" s="7">
        <f>IF(L99="","",IF(TODAY()&gt;=L99,"到期","未到期"))</f>
        <v/>
      </c>
      <c r="W99" s="16" t="n"/>
      <c r="X99" s="16" t="n"/>
    </row>
    <row r="100">
      <c r="A100" s="15">
        <f>IF(B100="","","V-"&amp;TEXT(ROW()-1,"000"))</f>
        <v/>
      </c>
      <c r="B100" s="16" t="n"/>
      <c r="C100" s="17" t="n"/>
      <c r="D100" s="16" t="n"/>
      <c r="E100" s="16" t="n"/>
      <c r="F100" s="16" t="n"/>
      <c r="G100" s="16" t="n"/>
      <c r="H100" s="16" t="n"/>
      <c r="I100" s="16" t="n"/>
      <c r="J100" s="18" t="n"/>
      <c r="K100" s="16" t="n"/>
      <c r="L100" s="17" t="n"/>
      <c r="M100" s="18" t="n"/>
      <c r="N100" s="16" t="n"/>
      <c r="O100" s="16" t="n"/>
      <c r="P100" s="16" t="n"/>
      <c r="Q100" s="16" t="n"/>
      <c r="R100" s="16" t="n"/>
      <c r="S100" s="16" t="n"/>
      <c r="T100" s="18" t="n"/>
      <c r="U100" s="18" t="n"/>
      <c r="V100" s="7">
        <f>IF(L100="","",IF(TODAY()&gt;=L100,"到期","未到期"))</f>
        <v/>
      </c>
      <c r="W100" s="16" t="n"/>
      <c r="X100" s="16" t="n"/>
    </row>
    <row r="101">
      <c r="A101" s="15">
        <f>IF(B101="","","V-"&amp;TEXT(ROW()-1,"000"))</f>
        <v/>
      </c>
      <c r="B101" s="16" t="n"/>
      <c r="C101" s="17" t="n"/>
      <c r="D101" s="16" t="n"/>
      <c r="E101" s="16" t="n"/>
      <c r="F101" s="16" t="n"/>
      <c r="G101" s="16" t="n"/>
      <c r="H101" s="16" t="n"/>
      <c r="I101" s="16" t="n"/>
      <c r="J101" s="18" t="n"/>
      <c r="K101" s="16" t="n"/>
      <c r="L101" s="17" t="n"/>
      <c r="M101" s="18" t="n"/>
      <c r="N101" s="16" t="n"/>
      <c r="O101" s="16" t="n"/>
      <c r="P101" s="16" t="n"/>
      <c r="Q101" s="16" t="n"/>
      <c r="R101" s="16" t="n"/>
      <c r="S101" s="16" t="n"/>
      <c r="T101" s="18" t="n"/>
      <c r="U101" s="18" t="n"/>
      <c r="V101" s="7">
        <f>IF(L101="","",IF(TODAY()&gt;=L101,"到期","未到期"))</f>
        <v/>
      </c>
      <c r="W101" s="16" t="n"/>
      <c r="X101" s="16" t="n"/>
    </row>
    <row r="102">
      <c r="A102" s="15">
        <f>IF(B102="","","V-"&amp;TEXT(ROW()-1,"000"))</f>
        <v/>
      </c>
      <c r="B102" s="16" t="n"/>
      <c r="C102" s="17" t="n"/>
      <c r="D102" s="16" t="n"/>
      <c r="E102" s="16" t="n"/>
      <c r="F102" s="16" t="n"/>
      <c r="G102" s="16" t="n"/>
      <c r="H102" s="16" t="n"/>
      <c r="I102" s="16" t="n"/>
      <c r="J102" s="18" t="n"/>
      <c r="K102" s="16" t="n"/>
      <c r="L102" s="17" t="n"/>
      <c r="M102" s="18" t="n"/>
      <c r="N102" s="16" t="n"/>
      <c r="O102" s="16" t="n"/>
      <c r="P102" s="16" t="n"/>
      <c r="Q102" s="16" t="n"/>
      <c r="R102" s="16" t="n"/>
      <c r="S102" s="16" t="n"/>
      <c r="T102" s="18" t="n"/>
      <c r="U102" s="18" t="n"/>
      <c r="V102" s="7">
        <f>IF(L102="","",IF(TODAY()&gt;=L102,"到期","未到期"))</f>
        <v/>
      </c>
      <c r="W102" s="16" t="n"/>
      <c r="X102" s="16" t="n"/>
    </row>
    <row r="103">
      <c r="A103" s="15">
        <f>IF(B103="","","V-"&amp;TEXT(ROW()-1,"000"))</f>
        <v/>
      </c>
      <c r="B103" s="16" t="n"/>
      <c r="C103" s="17" t="n"/>
      <c r="D103" s="16" t="n"/>
      <c r="E103" s="16" t="n"/>
      <c r="F103" s="16" t="n"/>
      <c r="G103" s="16" t="n"/>
      <c r="H103" s="16" t="n"/>
      <c r="I103" s="16" t="n"/>
      <c r="J103" s="18" t="n"/>
      <c r="K103" s="16" t="n"/>
      <c r="L103" s="17" t="n"/>
      <c r="M103" s="18" t="n"/>
      <c r="N103" s="16" t="n"/>
      <c r="O103" s="16" t="n"/>
      <c r="P103" s="16" t="n"/>
      <c r="Q103" s="16" t="n"/>
      <c r="R103" s="16" t="n"/>
      <c r="S103" s="16" t="n"/>
      <c r="T103" s="18" t="n"/>
      <c r="U103" s="18" t="n"/>
      <c r="V103" s="7">
        <f>IF(L103="","",IF(TODAY()&gt;=L103,"到期","未到期"))</f>
        <v/>
      </c>
      <c r="W103" s="16" t="n"/>
      <c r="X103" s="16" t="n"/>
    </row>
    <row r="104">
      <c r="A104" s="15">
        <f>IF(B104="","","V-"&amp;TEXT(ROW()-1,"000"))</f>
        <v/>
      </c>
      <c r="B104" s="16" t="n"/>
      <c r="C104" s="17" t="n"/>
      <c r="D104" s="16" t="n"/>
      <c r="E104" s="16" t="n"/>
      <c r="F104" s="16" t="n"/>
      <c r="G104" s="16" t="n"/>
      <c r="H104" s="16" t="n"/>
      <c r="I104" s="16" t="n"/>
      <c r="J104" s="18" t="n"/>
      <c r="K104" s="16" t="n"/>
      <c r="L104" s="17" t="n"/>
      <c r="M104" s="18" t="n"/>
      <c r="N104" s="16" t="n"/>
      <c r="O104" s="16" t="n"/>
      <c r="P104" s="16" t="n"/>
      <c r="Q104" s="16" t="n"/>
      <c r="R104" s="16" t="n"/>
      <c r="S104" s="16" t="n"/>
      <c r="T104" s="18" t="n"/>
      <c r="U104" s="18" t="n"/>
      <c r="V104" s="7">
        <f>IF(L104="","",IF(TODAY()&gt;=L104,"到期","未到期"))</f>
        <v/>
      </c>
      <c r="W104" s="16" t="n"/>
      <c r="X104" s="16" t="n"/>
    </row>
    <row r="105">
      <c r="A105" s="15">
        <f>IF(B105="","","V-"&amp;TEXT(ROW()-1,"000"))</f>
        <v/>
      </c>
      <c r="B105" s="16" t="n"/>
      <c r="C105" s="17" t="n"/>
      <c r="D105" s="16" t="n"/>
      <c r="E105" s="16" t="n"/>
      <c r="F105" s="16" t="n"/>
      <c r="G105" s="16" t="n"/>
      <c r="H105" s="16" t="n"/>
      <c r="I105" s="16" t="n"/>
      <c r="J105" s="18" t="n"/>
      <c r="K105" s="16" t="n"/>
      <c r="L105" s="17" t="n"/>
      <c r="M105" s="18" t="n"/>
      <c r="N105" s="16" t="n"/>
      <c r="O105" s="16" t="n"/>
      <c r="P105" s="16" t="n"/>
      <c r="Q105" s="16" t="n"/>
      <c r="R105" s="16" t="n"/>
      <c r="S105" s="16" t="n"/>
      <c r="T105" s="18" t="n"/>
      <c r="U105" s="18" t="n"/>
      <c r="V105" s="7">
        <f>IF(L105="","",IF(TODAY()&gt;=L105,"到期","未到期"))</f>
        <v/>
      </c>
      <c r="W105" s="16" t="n"/>
      <c r="X105" s="16" t="n"/>
    </row>
    <row r="106">
      <c r="A106" s="15">
        <f>IF(B106="","","V-"&amp;TEXT(ROW()-1,"000"))</f>
        <v/>
      </c>
      <c r="B106" s="16" t="n"/>
      <c r="C106" s="17" t="n"/>
      <c r="D106" s="16" t="n"/>
      <c r="E106" s="16" t="n"/>
      <c r="F106" s="16" t="n"/>
      <c r="G106" s="16" t="n"/>
      <c r="H106" s="16" t="n"/>
      <c r="I106" s="16" t="n"/>
      <c r="J106" s="18" t="n"/>
      <c r="K106" s="16" t="n"/>
      <c r="L106" s="17" t="n"/>
      <c r="M106" s="18" t="n"/>
      <c r="N106" s="16" t="n"/>
      <c r="O106" s="16" t="n"/>
      <c r="P106" s="16" t="n"/>
      <c r="Q106" s="16" t="n"/>
      <c r="R106" s="16" t="n"/>
      <c r="S106" s="16" t="n"/>
      <c r="T106" s="18" t="n"/>
      <c r="U106" s="18" t="n"/>
      <c r="V106" s="7">
        <f>IF(L106="","",IF(TODAY()&gt;=L106,"到期","未到期"))</f>
        <v/>
      </c>
      <c r="W106" s="16" t="n"/>
      <c r="X106" s="16" t="n"/>
    </row>
    <row r="107">
      <c r="A107" s="15">
        <f>IF(B107="","","V-"&amp;TEXT(ROW()-1,"000"))</f>
        <v/>
      </c>
      <c r="B107" s="16" t="n"/>
      <c r="C107" s="17" t="n"/>
      <c r="D107" s="16" t="n"/>
      <c r="E107" s="16" t="n"/>
      <c r="F107" s="16" t="n"/>
      <c r="G107" s="16" t="n"/>
      <c r="H107" s="16" t="n"/>
      <c r="I107" s="16" t="n"/>
      <c r="J107" s="18" t="n"/>
      <c r="K107" s="16" t="n"/>
      <c r="L107" s="17" t="n"/>
      <c r="M107" s="18" t="n"/>
      <c r="N107" s="16" t="n"/>
      <c r="O107" s="16" t="n"/>
      <c r="P107" s="16" t="n"/>
      <c r="Q107" s="16" t="n"/>
      <c r="R107" s="16" t="n"/>
      <c r="S107" s="16" t="n"/>
      <c r="T107" s="18" t="n"/>
      <c r="U107" s="18" t="n"/>
      <c r="V107" s="7">
        <f>IF(L107="","",IF(TODAY()&gt;=L107,"到期","未到期"))</f>
        <v/>
      </c>
      <c r="W107" s="16" t="n"/>
      <c r="X107" s="16" t="n"/>
    </row>
    <row r="108">
      <c r="A108" s="15">
        <f>IF(B108="","","V-"&amp;TEXT(ROW()-1,"000"))</f>
        <v/>
      </c>
      <c r="B108" s="16" t="n"/>
      <c r="C108" s="17" t="n"/>
      <c r="D108" s="16" t="n"/>
      <c r="E108" s="16" t="n"/>
      <c r="F108" s="16" t="n"/>
      <c r="G108" s="16" t="n"/>
      <c r="H108" s="16" t="n"/>
      <c r="I108" s="16" t="n"/>
      <c r="J108" s="18" t="n"/>
      <c r="K108" s="16" t="n"/>
      <c r="L108" s="17" t="n"/>
      <c r="M108" s="18" t="n"/>
      <c r="N108" s="16" t="n"/>
      <c r="O108" s="16" t="n"/>
      <c r="P108" s="16" t="n"/>
      <c r="Q108" s="16" t="n"/>
      <c r="R108" s="16" t="n"/>
      <c r="S108" s="16" t="n"/>
      <c r="T108" s="18" t="n"/>
      <c r="U108" s="18" t="n"/>
      <c r="V108" s="7">
        <f>IF(L108="","",IF(TODAY()&gt;=L108,"到期","未到期"))</f>
        <v/>
      </c>
      <c r="W108" s="16" t="n"/>
      <c r="X108" s="16" t="n"/>
    </row>
    <row r="109">
      <c r="A109" s="15">
        <f>IF(B109="","","V-"&amp;TEXT(ROW()-1,"000"))</f>
        <v/>
      </c>
      <c r="B109" s="16" t="n"/>
      <c r="C109" s="17" t="n"/>
      <c r="D109" s="16" t="n"/>
      <c r="E109" s="16" t="n"/>
      <c r="F109" s="16" t="n"/>
      <c r="G109" s="16" t="n"/>
      <c r="H109" s="16" t="n"/>
      <c r="I109" s="16" t="n"/>
      <c r="J109" s="18" t="n"/>
      <c r="K109" s="16" t="n"/>
      <c r="L109" s="17" t="n"/>
      <c r="M109" s="18" t="n"/>
      <c r="N109" s="16" t="n"/>
      <c r="O109" s="16" t="n"/>
      <c r="P109" s="16" t="n"/>
      <c r="Q109" s="16" t="n"/>
      <c r="R109" s="16" t="n"/>
      <c r="S109" s="16" t="n"/>
      <c r="T109" s="18" t="n"/>
      <c r="U109" s="18" t="n"/>
      <c r="V109" s="7">
        <f>IF(L109="","",IF(TODAY()&gt;=L109,"到期","未到期"))</f>
        <v/>
      </c>
      <c r="W109" s="16" t="n"/>
      <c r="X109" s="16" t="n"/>
    </row>
    <row r="110">
      <c r="A110" s="15">
        <f>IF(B110="","","V-"&amp;TEXT(ROW()-1,"000"))</f>
        <v/>
      </c>
      <c r="B110" s="16" t="n"/>
      <c r="C110" s="17" t="n"/>
      <c r="D110" s="16" t="n"/>
      <c r="E110" s="16" t="n"/>
      <c r="F110" s="16" t="n"/>
      <c r="G110" s="16" t="n"/>
      <c r="H110" s="16" t="n"/>
      <c r="I110" s="16" t="n"/>
      <c r="J110" s="18" t="n"/>
      <c r="K110" s="16" t="n"/>
      <c r="L110" s="17" t="n"/>
      <c r="M110" s="18" t="n"/>
      <c r="N110" s="16" t="n"/>
      <c r="O110" s="16" t="n"/>
      <c r="P110" s="16" t="n"/>
      <c r="Q110" s="16" t="n"/>
      <c r="R110" s="16" t="n"/>
      <c r="S110" s="16" t="n"/>
      <c r="T110" s="18" t="n"/>
      <c r="U110" s="18" t="n"/>
      <c r="V110" s="7">
        <f>IF(L110="","",IF(TODAY()&gt;=L110,"到期","未到期"))</f>
        <v/>
      </c>
      <c r="W110" s="16" t="n"/>
      <c r="X110" s="16" t="n"/>
    </row>
    <row r="111">
      <c r="A111" s="15">
        <f>IF(B111="","","V-"&amp;TEXT(ROW()-1,"000"))</f>
        <v/>
      </c>
      <c r="B111" s="16" t="n"/>
      <c r="C111" s="17" t="n"/>
      <c r="D111" s="16" t="n"/>
      <c r="E111" s="16" t="n"/>
      <c r="F111" s="16" t="n"/>
      <c r="G111" s="16" t="n"/>
      <c r="H111" s="16" t="n"/>
      <c r="I111" s="16" t="n"/>
      <c r="J111" s="18" t="n"/>
      <c r="K111" s="16" t="n"/>
      <c r="L111" s="17" t="n"/>
      <c r="M111" s="18" t="n"/>
      <c r="N111" s="16" t="n"/>
      <c r="O111" s="16" t="n"/>
      <c r="P111" s="16" t="n"/>
      <c r="Q111" s="16" t="n"/>
      <c r="R111" s="16" t="n"/>
      <c r="S111" s="16" t="n"/>
      <c r="T111" s="18" t="n"/>
      <c r="U111" s="18" t="n"/>
      <c r="V111" s="7">
        <f>IF(L111="","",IF(TODAY()&gt;=L111,"到期","未到期"))</f>
        <v/>
      </c>
      <c r="W111" s="16" t="n"/>
      <c r="X111" s="16" t="n"/>
    </row>
    <row r="112">
      <c r="A112" s="15">
        <f>IF(B112="","","V-"&amp;TEXT(ROW()-1,"000"))</f>
        <v/>
      </c>
      <c r="B112" s="16" t="n"/>
      <c r="C112" s="17" t="n"/>
      <c r="D112" s="16" t="n"/>
      <c r="E112" s="16" t="n"/>
      <c r="F112" s="16" t="n"/>
      <c r="G112" s="16" t="n"/>
      <c r="H112" s="16" t="n"/>
      <c r="I112" s="16" t="n"/>
      <c r="J112" s="18" t="n"/>
      <c r="K112" s="16" t="n"/>
      <c r="L112" s="17" t="n"/>
      <c r="M112" s="18" t="n"/>
      <c r="N112" s="16" t="n"/>
      <c r="O112" s="16" t="n"/>
      <c r="P112" s="16" t="n"/>
      <c r="Q112" s="16" t="n"/>
      <c r="R112" s="16" t="n"/>
      <c r="S112" s="16" t="n"/>
      <c r="T112" s="18" t="n"/>
      <c r="U112" s="18" t="n"/>
      <c r="V112" s="7">
        <f>IF(L112="","",IF(TODAY()&gt;=L112,"到期","未到期"))</f>
        <v/>
      </c>
      <c r="W112" s="16" t="n"/>
      <c r="X112" s="16" t="n"/>
    </row>
    <row r="113">
      <c r="A113" s="15">
        <f>IF(B113="","","V-"&amp;TEXT(ROW()-1,"000"))</f>
        <v/>
      </c>
      <c r="B113" s="16" t="n"/>
      <c r="C113" s="17" t="n"/>
      <c r="D113" s="16" t="n"/>
      <c r="E113" s="16" t="n"/>
      <c r="F113" s="16" t="n"/>
      <c r="G113" s="16" t="n"/>
      <c r="H113" s="16" t="n"/>
      <c r="I113" s="16" t="n"/>
      <c r="J113" s="18" t="n"/>
      <c r="K113" s="16" t="n"/>
      <c r="L113" s="17" t="n"/>
      <c r="M113" s="18" t="n"/>
      <c r="N113" s="16" t="n"/>
      <c r="O113" s="16" t="n"/>
      <c r="P113" s="16" t="n"/>
      <c r="Q113" s="16" t="n"/>
      <c r="R113" s="16" t="n"/>
      <c r="S113" s="16" t="n"/>
      <c r="T113" s="18" t="n"/>
      <c r="U113" s="18" t="n"/>
      <c r="V113" s="7">
        <f>IF(L113="","",IF(TODAY()&gt;=L113,"到期","未到期"))</f>
        <v/>
      </c>
      <c r="W113" s="16" t="n"/>
      <c r="X113" s="16" t="n"/>
    </row>
    <row r="114">
      <c r="A114" s="15">
        <f>IF(B114="","","V-"&amp;TEXT(ROW()-1,"000"))</f>
        <v/>
      </c>
      <c r="B114" s="16" t="n"/>
      <c r="C114" s="17" t="n"/>
      <c r="D114" s="16" t="n"/>
      <c r="E114" s="16" t="n"/>
      <c r="F114" s="16" t="n"/>
      <c r="G114" s="16" t="n"/>
      <c r="H114" s="16" t="n"/>
      <c r="I114" s="16" t="n"/>
      <c r="J114" s="18" t="n"/>
      <c r="K114" s="16" t="n"/>
      <c r="L114" s="17" t="n"/>
      <c r="M114" s="18" t="n"/>
      <c r="N114" s="16" t="n"/>
      <c r="O114" s="16" t="n"/>
      <c r="P114" s="16" t="n"/>
      <c r="Q114" s="16" t="n"/>
      <c r="R114" s="16" t="n"/>
      <c r="S114" s="16" t="n"/>
      <c r="T114" s="18" t="n"/>
      <c r="U114" s="18" t="n"/>
      <c r="V114" s="7">
        <f>IF(L114="","",IF(TODAY()&gt;=L114,"到期","未到期"))</f>
        <v/>
      </c>
      <c r="W114" s="16" t="n"/>
      <c r="X114" s="16" t="n"/>
    </row>
    <row r="115">
      <c r="A115" s="15">
        <f>IF(B115="","","V-"&amp;TEXT(ROW()-1,"000"))</f>
        <v/>
      </c>
      <c r="B115" s="16" t="n"/>
      <c r="C115" s="17" t="n"/>
      <c r="D115" s="16" t="n"/>
      <c r="E115" s="16" t="n"/>
      <c r="F115" s="16" t="n"/>
      <c r="G115" s="16" t="n"/>
      <c r="H115" s="16" t="n"/>
      <c r="I115" s="16" t="n"/>
      <c r="J115" s="18" t="n"/>
      <c r="K115" s="16" t="n"/>
      <c r="L115" s="17" t="n"/>
      <c r="M115" s="18" t="n"/>
      <c r="N115" s="16" t="n"/>
      <c r="O115" s="16" t="n"/>
      <c r="P115" s="16" t="n"/>
      <c r="Q115" s="16" t="n"/>
      <c r="R115" s="16" t="n"/>
      <c r="S115" s="16" t="n"/>
      <c r="T115" s="18" t="n"/>
      <c r="U115" s="18" t="n"/>
      <c r="V115" s="7">
        <f>IF(L115="","",IF(TODAY()&gt;=L115,"到期","未到期"))</f>
        <v/>
      </c>
      <c r="W115" s="16" t="n"/>
      <c r="X115" s="16" t="n"/>
    </row>
    <row r="116">
      <c r="A116" s="15">
        <f>IF(B116="","","V-"&amp;TEXT(ROW()-1,"000"))</f>
        <v/>
      </c>
      <c r="B116" s="16" t="n"/>
      <c r="C116" s="17" t="n"/>
      <c r="D116" s="16" t="n"/>
      <c r="E116" s="16" t="n"/>
      <c r="F116" s="16" t="n"/>
      <c r="G116" s="16" t="n"/>
      <c r="H116" s="16" t="n"/>
      <c r="I116" s="16" t="n"/>
      <c r="J116" s="18" t="n"/>
      <c r="K116" s="16" t="n"/>
      <c r="L116" s="17" t="n"/>
      <c r="M116" s="18" t="n"/>
      <c r="N116" s="16" t="n"/>
      <c r="O116" s="16" t="n"/>
      <c r="P116" s="16" t="n"/>
      <c r="Q116" s="16" t="n"/>
      <c r="R116" s="16" t="n"/>
      <c r="S116" s="16" t="n"/>
      <c r="T116" s="18" t="n"/>
      <c r="U116" s="18" t="n"/>
      <c r="V116" s="7">
        <f>IF(L116="","",IF(TODAY()&gt;=L116,"到期","未到期"))</f>
        <v/>
      </c>
      <c r="W116" s="16" t="n"/>
      <c r="X116" s="16" t="n"/>
    </row>
    <row r="117">
      <c r="A117" s="15">
        <f>IF(B117="","","V-"&amp;TEXT(ROW()-1,"000"))</f>
        <v/>
      </c>
      <c r="B117" s="16" t="n"/>
      <c r="C117" s="17" t="n"/>
      <c r="D117" s="16" t="n"/>
      <c r="E117" s="16" t="n"/>
      <c r="F117" s="16" t="n"/>
      <c r="G117" s="16" t="n"/>
      <c r="H117" s="16" t="n"/>
      <c r="I117" s="16" t="n"/>
      <c r="J117" s="18" t="n"/>
      <c r="K117" s="16" t="n"/>
      <c r="L117" s="17" t="n"/>
      <c r="M117" s="18" t="n"/>
      <c r="N117" s="16" t="n"/>
      <c r="O117" s="16" t="n"/>
      <c r="P117" s="16" t="n"/>
      <c r="Q117" s="16" t="n"/>
      <c r="R117" s="16" t="n"/>
      <c r="S117" s="16" t="n"/>
      <c r="T117" s="18" t="n"/>
      <c r="U117" s="18" t="n"/>
      <c r="V117" s="7">
        <f>IF(L117="","",IF(TODAY()&gt;=L117,"到期","未到期"))</f>
        <v/>
      </c>
      <c r="W117" s="16" t="n"/>
      <c r="X117" s="16" t="n"/>
    </row>
    <row r="118">
      <c r="A118" s="15">
        <f>IF(B118="","","V-"&amp;TEXT(ROW()-1,"000"))</f>
        <v/>
      </c>
      <c r="B118" s="16" t="n"/>
      <c r="C118" s="17" t="n"/>
      <c r="D118" s="16" t="n"/>
      <c r="E118" s="16" t="n"/>
      <c r="F118" s="16" t="n"/>
      <c r="G118" s="16" t="n"/>
      <c r="H118" s="16" t="n"/>
      <c r="I118" s="16" t="n"/>
      <c r="J118" s="18" t="n"/>
      <c r="K118" s="16" t="n"/>
      <c r="L118" s="17" t="n"/>
      <c r="M118" s="18" t="n"/>
      <c r="N118" s="16" t="n"/>
      <c r="O118" s="16" t="n"/>
      <c r="P118" s="16" t="n"/>
      <c r="Q118" s="16" t="n"/>
      <c r="R118" s="16" t="n"/>
      <c r="S118" s="16" t="n"/>
      <c r="T118" s="18" t="n"/>
      <c r="U118" s="18" t="n"/>
      <c r="V118" s="7">
        <f>IF(L118="","",IF(TODAY()&gt;=L118,"到期","未到期"))</f>
        <v/>
      </c>
      <c r="W118" s="16" t="n"/>
      <c r="X118" s="16" t="n"/>
    </row>
    <row r="119">
      <c r="A119" s="15">
        <f>IF(B119="","","V-"&amp;TEXT(ROW()-1,"000"))</f>
        <v/>
      </c>
      <c r="B119" s="16" t="n"/>
      <c r="C119" s="17" t="n"/>
      <c r="D119" s="16" t="n"/>
      <c r="E119" s="16" t="n"/>
      <c r="F119" s="16" t="n"/>
      <c r="G119" s="16" t="n"/>
      <c r="H119" s="16" t="n"/>
      <c r="I119" s="16" t="n"/>
      <c r="J119" s="18" t="n"/>
      <c r="K119" s="16" t="n"/>
      <c r="L119" s="17" t="n"/>
      <c r="M119" s="18" t="n"/>
      <c r="N119" s="16" t="n"/>
      <c r="O119" s="16" t="n"/>
      <c r="P119" s="16" t="n"/>
      <c r="Q119" s="16" t="n"/>
      <c r="R119" s="16" t="n"/>
      <c r="S119" s="16" t="n"/>
      <c r="T119" s="18" t="n"/>
      <c r="U119" s="18" t="n"/>
      <c r="V119" s="7">
        <f>IF(L119="","",IF(TODAY()&gt;=L119,"到期","未到期"))</f>
        <v/>
      </c>
      <c r="W119" s="16" t="n"/>
      <c r="X119" s="16" t="n"/>
    </row>
    <row r="120">
      <c r="A120" s="15">
        <f>IF(B120="","","V-"&amp;TEXT(ROW()-1,"000"))</f>
        <v/>
      </c>
      <c r="B120" s="16" t="n"/>
      <c r="C120" s="17" t="n"/>
      <c r="D120" s="16" t="n"/>
      <c r="E120" s="16" t="n"/>
      <c r="F120" s="16" t="n"/>
      <c r="G120" s="16" t="n"/>
      <c r="H120" s="16" t="n"/>
      <c r="I120" s="16" t="n"/>
      <c r="J120" s="18" t="n"/>
      <c r="K120" s="16" t="n"/>
      <c r="L120" s="17" t="n"/>
      <c r="M120" s="18" t="n"/>
      <c r="N120" s="16" t="n"/>
      <c r="O120" s="16" t="n"/>
      <c r="P120" s="16" t="n"/>
      <c r="Q120" s="16" t="n"/>
      <c r="R120" s="16" t="n"/>
      <c r="S120" s="16" t="n"/>
      <c r="T120" s="18" t="n"/>
      <c r="U120" s="18" t="n"/>
      <c r="V120" s="7">
        <f>IF(L120="","",IF(TODAY()&gt;=L120,"到期","未到期"))</f>
        <v/>
      </c>
      <c r="W120" s="16" t="n"/>
      <c r="X120" s="16" t="n"/>
    </row>
    <row r="121">
      <c r="A121" s="15">
        <f>IF(B121="","","V-"&amp;TEXT(ROW()-1,"000"))</f>
        <v/>
      </c>
      <c r="B121" s="16" t="n"/>
      <c r="C121" s="17" t="n"/>
      <c r="D121" s="16" t="n"/>
      <c r="E121" s="16" t="n"/>
      <c r="F121" s="16" t="n"/>
      <c r="G121" s="16" t="n"/>
      <c r="H121" s="16" t="n"/>
      <c r="I121" s="16" t="n"/>
      <c r="J121" s="18" t="n"/>
      <c r="K121" s="16" t="n"/>
      <c r="L121" s="17" t="n"/>
      <c r="M121" s="18" t="n"/>
      <c r="N121" s="16" t="n"/>
      <c r="O121" s="16" t="n"/>
      <c r="P121" s="16" t="n"/>
      <c r="Q121" s="16" t="n"/>
      <c r="R121" s="16" t="n"/>
      <c r="S121" s="16" t="n"/>
      <c r="T121" s="18" t="n"/>
      <c r="U121" s="18" t="n"/>
      <c r="V121" s="7">
        <f>IF(L121="","",IF(TODAY()&gt;=L121,"到期","未到期"))</f>
        <v/>
      </c>
      <c r="W121" s="16" t="n"/>
      <c r="X121" s="16" t="n"/>
    </row>
    <row r="122">
      <c r="A122" s="15">
        <f>IF(B122="","","V-"&amp;TEXT(ROW()-1,"000"))</f>
        <v/>
      </c>
      <c r="B122" s="16" t="n"/>
      <c r="C122" s="17" t="n"/>
      <c r="D122" s="16" t="n"/>
      <c r="E122" s="16" t="n"/>
      <c r="F122" s="16" t="n"/>
      <c r="G122" s="16" t="n"/>
      <c r="H122" s="16" t="n"/>
      <c r="I122" s="16" t="n"/>
      <c r="J122" s="18" t="n"/>
      <c r="K122" s="16" t="n"/>
      <c r="L122" s="17" t="n"/>
      <c r="M122" s="18" t="n"/>
      <c r="N122" s="16" t="n"/>
      <c r="O122" s="16" t="n"/>
      <c r="P122" s="16" t="n"/>
      <c r="Q122" s="16" t="n"/>
      <c r="R122" s="16" t="n"/>
      <c r="S122" s="16" t="n"/>
      <c r="T122" s="18" t="n"/>
      <c r="U122" s="18" t="n"/>
      <c r="V122" s="7">
        <f>IF(L122="","",IF(TODAY()&gt;=L122,"到期","未到期"))</f>
        <v/>
      </c>
      <c r="W122" s="16" t="n"/>
      <c r="X122" s="16" t="n"/>
    </row>
    <row r="123">
      <c r="A123" s="15">
        <f>IF(B123="","","V-"&amp;TEXT(ROW()-1,"000"))</f>
        <v/>
      </c>
      <c r="B123" s="16" t="n"/>
      <c r="C123" s="17" t="n"/>
      <c r="D123" s="16" t="n"/>
      <c r="E123" s="16" t="n"/>
      <c r="F123" s="16" t="n"/>
      <c r="G123" s="16" t="n"/>
      <c r="H123" s="16" t="n"/>
      <c r="I123" s="16" t="n"/>
      <c r="J123" s="18" t="n"/>
      <c r="K123" s="16" t="n"/>
      <c r="L123" s="17" t="n"/>
      <c r="M123" s="18" t="n"/>
      <c r="N123" s="16" t="n"/>
      <c r="O123" s="16" t="n"/>
      <c r="P123" s="16" t="n"/>
      <c r="Q123" s="16" t="n"/>
      <c r="R123" s="16" t="n"/>
      <c r="S123" s="16" t="n"/>
      <c r="T123" s="18" t="n"/>
      <c r="U123" s="18" t="n"/>
      <c r="V123" s="7">
        <f>IF(L123="","",IF(TODAY()&gt;=L123,"到期","未到期"))</f>
        <v/>
      </c>
      <c r="W123" s="16" t="n"/>
      <c r="X123" s="16" t="n"/>
    </row>
    <row r="124">
      <c r="A124" s="15">
        <f>IF(B124="","","V-"&amp;TEXT(ROW()-1,"000"))</f>
        <v/>
      </c>
      <c r="B124" s="16" t="n"/>
      <c r="C124" s="17" t="n"/>
      <c r="D124" s="16" t="n"/>
      <c r="E124" s="16" t="n"/>
      <c r="F124" s="16" t="n"/>
      <c r="G124" s="16" t="n"/>
      <c r="H124" s="16" t="n"/>
      <c r="I124" s="16" t="n"/>
      <c r="J124" s="18" t="n"/>
      <c r="K124" s="16" t="n"/>
      <c r="L124" s="17" t="n"/>
      <c r="M124" s="18" t="n"/>
      <c r="N124" s="16" t="n"/>
      <c r="O124" s="16" t="n"/>
      <c r="P124" s="16" t="n"/>
      <c r="Q124" s="16" t="n"/>
      <c r="R124" s="16" t="n"/>
      <c r="S124" s="16" t="n"/>
      <c r="T124" s="18" t="n"/>
      <c r="U124" s="18" t="n"/>
      <c r="V124" s="7">
        <f>IF(L124="","",IF(TODAY()&gt;=L124,"到期","未到期"))</f>
        <v/>
      </c>
      <c r="W124" s="16" t="n"/>
      <c r="X124" s="16" t="n"/>
    </row>
    <row r="125">
      <c r="A125" s="15">
        <f>IF(B125="","","V-"&amp;TEXT(ROW()-1,"000"))</f>
        <v/>
      </c>
      <c r="B125" s="16" t="n"/>
      <c r="C125" s="17" t="n"/>
      <c r="D125" s="16" t="n"/>
      <c r="E125" s="16" t="n"/>
      <c r="F125" s="16" t="n"/>
      <c r="G125" s="16" t="n"/>
      <c r="H125" s="16" t="n"/>
      <c r="I125" s="16" t="n"/>
      <c r="J125" s="18" t="n"/>
      <c r="K125" s="16" t="n"/>
      <c r="L125" s="17" t="n"/>
      <c r="M125" s="18" t="n"/>
      <c r="N125" s="16" t="n"/>
      <c r="O125" s="16" t="n"/>
      <c r="P125" s="16" t="n"/>
      <c r="Q125" s="16" t="n"/>
      <c r="R125" s="16" t="n"/>
      <c r="S125" s="16" t="n"/>
      <c r="T125" s="18" t="n"/>
      <c r="U125" s="18" t="n"/>
      <c r="V125" s="7">
        <f>IF(L125="","",IF(TODAY()&gt;=L125,"到期","未到期"))</f>
        <v/>
      </c>
      <c r="W125" s="16" t="n"/>
      <c r="X125" s="16" t="n"/>
    </row>
    <row r="126">
      <c r="A126" s="15">
        <f>IF(B126="","","V-"&amp;TEXT(ROW()-1,"000"))</f>
        <v/>
      </c>
      <c r="B126" s="16" t="n"/>
      <c r="C126" s="17" t="n"/>
      <c r="D126" s="16" t="n"/>
      <c r="E126" s="16" t="n"/>
      <c r="F126" s="16" t="n"/>
      <c r="G126" s="16" t="n"/>
      <c r="H126" s="16" t="n"/>
      <c r="I126" s="16" t="n"/>
      <c r="J126" s="18" t="n"/>
      <c r="K126" s="16" t="n"/>
      <c r="L126" s="17" t="n"/>
      <c r="M126" s="18" t="n"/>
      <c r="N126" s="16" t="n"/>
      <c r="O126" s="16" t="n"/>
      <c r="P126" s="16" t="n"/>
      <c r="Q126" s="16" t="n"/>
      <c r="R126" s="16" t="n"/>
      <c r="S126" s="16" t="n"/>
      <c r="T126" s="18" t="n"/>
      <c r="U126" s="18" t="n"/>
      <c r="V126" s="7">
        <f>IF(L126="","",IF(TODAY()&gt;=L126,"到期","未到期"))</f>
        <v/>
      </c>
      <c r="W126" s="16" t="n"/>
      <c r="X126" s="16" t="n"/>
    </row>
    <row r="127">
      <c r="A127" s="15">
        <f>IF(B127="","","V-"&amp;TEXT(ROW()-1,"000"))</f>
        <v/>
      </c>
      <c r="B127" s="16" t="n"/>
      <c r="C127" s="17" t="n"/>
      <c r="D127" s="16" t="n"/>
      <c r="E127" s="16" t="n"/>
      <c r="F127" s="16" t="n"/>
      <c r="G127" s="16" t="n"/>
      <c r="H127" s="16" t="n"/>
      <c r="I127" s="16" t="n"/>
      <c r="J127" s="18" t="n"/>
      <c r="K127" s="16" t="n"/>
      <c r="L127" s="17" t="n"/>
      <c r="M127" s="18" t="n"/>
      <c r="N127" s="16" t="n"/>
      <c r="O127" s="16" t="n"/>
      <c r="P127" s="16" t="n"/>
      <c r="Q127" s="16" t="n"/>
      <c r="R127" s="16" t="n"/>
      <c r="S127" s="16" t="n"/>
      <c r="T127" s="18" t="n"/>
      <c r="U127" s="18" t="n"/>
      <c r="V127" s="7">
        <f>IF(L127="","",IF(TODAY()&gt;=L127,"到期","未到期"))</f>
        <v/>
      </c>
      <c r="W127" s="16" t="n"/>
      <c r="X127" s="16" t="n"/>
    </row>
    <row r="128">
      <c r="A128" s="15">
        <f>IF(B128="","","V-"&amp;TEXT(ROW()-1,"000"))</f>
        <v/>
      </c>
      <c r="B128" s="16" t="n"/>
      <c r="C128" s="17" t="n"/>
      <c r="D128" s="16" t="n"/>
      <c r="E128" s="16" t="n"/>
      <c r="F128" s="16" t="n"/>
      <c r="G128" s="16" t="n"/>
      <c r="H128" s="16" t="n"/>
      <c r="I128" s="16" t="n"/>
      <c r="J128" s="18" t="n"/>
      <c r="K128" s="16" t="n"/>
      <c r="L128" s="17" t="n"/>
      <c r="M128" s="18" t="n"/>
      <c r="N128" s="16" t="n"/>
      <c r="O128" s="16" t="n"/>
      <c r="P128" s="16" t="n"/>
      <c r="Q128" s="16" t="n"/>
      <c r="R128" s="16" t="n"/>
      <c r="S128" s="16" t="n"/>
      <c r="T128" s="18" t="n"/>
      <c r="U128" s="18" t="n"/>
      <c r="V128" s="7">
        <f>IF(L128="","",IF(TODAY()&gt;=L128,"到期","未到期"))</f>
        <v/>
      </c>
      <c r="W128" s="16" t="n"/>
      <c r="X128" s="16" t="n"/>
    </row>
    <row r="129">
      <c r="A129" s="15">
        <f>IF(B129="","","V-"&amp;TEXT(ROW()-1,"000"))</f>
        <v/>
      </c>
      <c r="B129" s="16" t="n"/>
      <c r="C129" s="17" t="n"/>
      <c r="D129" s="16" t="n"/>
      <c r="E129" s="16" t="n"/>
      <c r="F129" s="16" t="n"/>
      <c r="G129" s="16" t="n"/>
      <c r="H129" s="16" t="n"/>
      <c r="I129" s="16" t="n"/>
      <c r="J129" s="18" t="n"/>
      <c r="K129" s="16" t="n"/>
      <c r="L129" s="17" t="n"/>
      <c r="M129" s="18" t="n"/>
      <c r="N129" s="16" t="n"/>
      <c r="O129" s="16" t="n"/>
      <c r="P129" s="16" t="n"/>
      <c r="Q129" s="16" t="n"/>
      <c r="R129" s="16" t="n"/>
      <c r="S129" s="16" t="n"/>
      <c r="T129" s="18" t="n"/>
      <c r="U129" s="18" t="n"/>
      <c r="V129" s="7">
        <f>IF(L129="","",IF(TODAY()&gt;=L129,"到期","未到期"))</f>
        <v/>
      </c>
      <c r="W129" s="16" t="n"/>
      <c r="X129" s="16" t="n"/>
    </row>
    <row r="130">
      <c r="A130" s="15">
        <f>IF(B130="","","V-"&amp;TEXT(ROW()-1,"000"))</f>
        <v/>
      </c>
      <c r="B130" s="16" t="n"/>
      <c r="C130" s="17" t="n"/>
      <c r="D130" s="16" t="n"/>
      <c r="E130" s="16" t="n"/>
      <c r="F130" s="16" t="n"/>
      <c r="G130" s="16" t="n"/>
      <c r="H130" s="16" t="n"/>
      <c r="I130" s="16" t="n"/>
      <c r="J130" s="18" t="n"/>
      <c r="K130" s="16" t="n"/>
      <c r="L130" s="17" t="n"/>
      <c r="M130" s="18" t="n"/>
      <c r="N130" s="16" t="n"/>
      <c r="O130" s="16" t="n"/>
      <c r="P130" s="16" t="n"/>
      <c r="Q130" s="16" t="n"/>
      <c r="R130" s="16" t="n"/>
      <c r="S130" s="16" t="n"/>
      <c r="T130" s="18" t="n"/>
      <c r="U130" s="18" t="n"/>
      <c r="V130" s="7">
        <f>IF(L130="","",IF(TODAY()&gt;=L130,"到期","未到期"))</f>
        <v/>
      </c>
      <c r="W130" s="16" t="n"/>
      <c r="X130" s="16" t="n"/>
    </row>
    <row r="131">
      <c r="A131" s="15">
        <f>IF(B131="","","V-"&amp;TEXT(ROW()-1,"000"))</f>
        <v/>
      </c>
      <c r="B131" s="16" t="n"/>
      <c r="C131" s="17" t="n"/>
      <c r="D131" s="16" t="n"/>
      <c r="E131" s="16" t="n"/>
      <c r="F131" s="16" t="n"/>
      <c r="G131" s="16" t="n"/>
      <c r="H131" s="16" t="n"/>
      <c r="I131" s="16" t="n"/>
      <c r="J131" s="18" t="n"/>
      <c r="K131" s="16" t="n"/>
      <c r="L131" s="17" t="n"/>
      <c r="M131" s="18" t="n"/>
      <c r="N131" s="16" t="n"/>
      <c r="O131" s="16" t="n"/>
      <c r="P131" s="16" t="n"/>
      <c r="Q131" s="16" t="n"/>
      <c r="R131" s="16" t="n"/>
      <c r="S131" s="16" t="n"/>
      <c r="T131" s="18" t="n"/>
      <c r="U131" s="18" t="n"/>
      <c r="V131" s="7">
        <f>IF(L131="","",IF(TODAY()&gt;=L131,"到期","未到期"))</f>
        <v/>
      </c>
      <c r="W131" s="16" t="n"/>
      <c r="X131" s="16" t="n"/>
    </row>
    <row r="132">
      <c r="A132" s="15">
        <f>IF(B132="","","V-"&amp;TEXT(ROW()-1,"000"))</f>
        <v/>
      </c>
      <c r="B132" s="16" t="n"/>
      <c r="C132" s="17" t="n"/>
      <c r="D132" s="16" t="n"/>
      <c r="E132" s="16" t="n"/>
      <c r="F132" s="16" t="n"/>
      <c r="G132" s="16" t="n"/>
      <c r="H132" s="16" t="n"/>
      <c r="I132" s="16" t="n"/>
      <c r="J132" s="18" t="n"/>
      <c r="K132" s="16" t="n"/>
      <c r="L132" s="17" t="n"/>
      <c r="M132" s="18" t="n"/>
      <c r="N132" s="16" t="n"/>
      <c r="O132" s="16" t="n"/>
      <c r="P132" s="16" t="n"/>
      <c r="Q132" s="16" t="n"/>
      <c r="R132" s="16" t="n"/>
      <c r="S132" s="16" t="n"/>
      <c r="T132" s="18" t="n"/>
      <c r="U132" s="18" t="n"/>
      <c r="V132" s="7">
        <f>IF(L132="","",IF(TODAY()&gt;=L132,"到期","未到期"))</f>
        <v/>
      </c>
      <c r="W132" s="16" t="n"/>
      <c r="X132" s="16" t="n"/>
    </row>
    <row r="133">
      <c r="A133" s="15">
        <f>IF(B133="","","V-"&amp;TEXT(ROW()-1,"000"))</f>
        <v/>
      </c>
      <c r="B133" s="16" t="n"/>
      <c r="C133" s="17" t="n"/>
      <c r="D133" s="16" t="n"/>
      <c r="E133" s="16" t="n"/>
      <c r="F133" s="16" t="n"/>
      <c r="G133" s="16" t="n"/>
      <c r="H133" s="16" t="n"/>
      <c r="I133" s="16" t="n"/>
      <c r="J133" s="18" t="n"/>
      <c r="K133" s="16" t="n"/>
      <c r="L133" s="17" t="n"/>
      <c r="M133" s="18" t="n"/>
      <c r="N133" s="16" t="n"/>
      <c r="O133" s="16" t="n"/>
      <c r="P133" s="16" t="n"/>
      <c r="Q133" s="16" t="n"/>
      <c r="R133" s="16" t="n"/>
      <c r="S133" s="16" t="n"/>
      <c r="T133" s="18" t="n"/>
      <c r="U133" s="18" t="n"/>
      <c r="V133" s="7">
        <f>IF(L133="","",IF(TODAY()&gt;=L133,"到期","未到期"))</f>
        <v/>
      </c>
      <c r="W133" s="16" t="n"/>
      <c r="X133" s="16" t="n"/>
    </row>
    <row r="134">
      <c r="A134" s="15">
        <f>IF(B134="","","V-"&amp;TEXT(ROW()-1,"000"))</f>
        <v/>
      </c>
      <c r="B134" s="16" t="n"/>
      <c r="C134" s="17" t="n"/>
      <c r="D134" s="16" t="n"/>
      <c r="E134" s="16" t="n"/>
      <c r="F134" s="16" t="n"/>
      <c r="G134" s="16" t="n"/>
      <c r="H134" s="16" t="n"/>
      <c r="I134" s="16" t="n"/>
      <c r="J134" s="18" t="n"/>
      <c r="K134" s="16" t="n"/>
      <c r="L134" s="17" t="n"/>
      <c r="M134" s="18" t="n"/>
      <c r="N134" s="16" t="n"/>
      <c r="O134" s="16" t="n"/>
      <c r="P134" s="16" t="n"/>
      <c r="Q134" s="16" t="n"/>
      <c r="R134" s="16" t="n"/>
      <c r="S134" s="16" t="n"/>
      <c r="T134" s="18" t="n"/>
      <c r="U134" s="18" t="n"/>
      <c r="V134" s="7">
        <f>IF(L134="","",IF(TODAY()&gt;=L134,"到期","未到期"))</f>
        <v/>
      </c>
      <c r="W134" s="16" t="n"/>
      <c r="X134" s="16" t="n"/>
    </row>
    <row r="135">
      <c r="A135" s="15">
        <f>IF(B135="","","V-"&amp;TEXT(ROW()-1,"000"))</f>
        <v/>
      </c>
      <c r="B135" s="16" t="n"/>
      <c r="C135" s="17" t="n"/>
      <c r="D135" s="16" t="n"/>
      <c r="E135" s="16" t="n"/>
      <c r="F135" s="16" t="n"/>
      <c r="G135" s="16" t="n"/>
      <c r="H135" s="16" t="n"/>
      <c r="I135" s="16" t="n"/>
      <c r="J135" s="18" t="n"/>
      <c r="K135" s="16" t="n"/>
      <c r="L135" s="17" t="n"/>
      <c r="M135" s="18" t="n"/>
      <c r="N135" s="16" t="n"/>
      <c r="O135" s="16" t="n"/>
      <c r="P135" s="16" t="n"/>
      <c r="Q135" s="16" t="n"/>
      <c r="R135" s="16" t="n"/>
      <c r="S135" s="16" t="n"/>
      <c r="T135" s="18" t="n"/>
      <c r="U135" s="18" t="n"/>
      <c r="V135" s="7">
        <f>IF(L135="","",IF(TODAY()&gt;=L135,"到期","未到期"))</f>
        <v/>
      </c>
      <c r="W135" s="16" t="n"/>
      <c r="X135" s="16" t="n"/>
    </row>
    <row r="136">
      <c r="A136" s="15">
        <f>IF(B136="","","V-"&amp;TEXT(ROW()-1,"000"))</f>
        <v/>
      </c>
      <c r="B136" s="16" t="n"/>
      <c r="C136" s="17" t="n"/>
      <c r="D136" s="16" t="n"/>
      <c r="E136" s="16" t="n"/>
      <c r="F136" s="16" t="n"/>
      <c r="G136" s="16" t="n"/>
      <c r="H136" s="16" t="n"/>
      <c r="I136" s="16" t="n"/>
      <c r="J136" s="18" t="n"/>
      <c r="K136" s="16" t="n"/>
      <c r="L136" s="17" t="n"/>
      <c r="M136" s="18" t="n"/>
      <c r="N136" s="16" t="n"/>
      <c r="O136" s="16" t="n"/>
      <c r="P136" s="16" t="n"/>
      <c r="Q136" s="16" t="n"/>
      <c r="R136" s="16" t="n"/>
      <c r="S136" s="16" t="n"/>
      <c r="T136" s="18" t="n"/>
      <c r="U136" s="18" t="n"/>
      <c r="V136" s="7">
        <f>IF(L136="","",IF(TODAY()&gt;=L136,"到期","未到期"))</f>
        <v/>
      </c>
      <c r="W136" s="16" t="n"/>
      <c r="X136" s="16" t="n"/>
    </row>
    <row r="137">
      <c r="A137" s="15">
        <f>IF(B137="","","V-"&amp;TEXT(ROW()-1,"000"))</f>
        <v/>
      </c>
      <c r="B137" s="16" t="n"/>
      <c r="C137" s="17" t="n"/>
      <c r="D137" s="16" t="n"/>
      <c r="E137" s="16" t="n"/>
      <c r="F137" s="16" t="n"/>
      <c r="G137" s="16" t="n"/>
      <c r="H137" s="16" t="n"/>
      <c r="I137" s="16" t="n"/>
      <c r="J137" s="18" t="n"/>
      <c r="K137" s="16" t="n"/>
      <c r="L137" s="17" t="n"/>
      <c r="M137" s="18" t="n"/>
      <c r="N137" s="16" t="n"/>
      <c r="O137" s="16" t="n"/>
      <c r="P137" s="16" t="n"/>
      <c r="Q137" s="16" t="n"/>
      <c r="R137" s="16" t="n"/>
      <c r="S137" s="16" t="n"/>
      <c r="T137" s="18" t="n"/>
      <c r="U137" s="18" t="n"/>
      <c r="V137" s="7">
        <f>IF(L137="","",IF(TODAY()&gt;=L137,"到期","未到期"))</f>
        <v/>
      </c>
      <c r="W137" s="16" t="n"/>
      <c r="X137" s="16" t="n"/>
    </row>
    <row r="138">
      <c r="A138" s="15">
        <f>IF(B138="","","V-"&amp;TEXT(ROW()-1,"000"))</f>
        <v/>
      </c>
      <c r="B138" s="16" t="n"/>
      <c r="C138" s="17" t="n"/>
      <c r="D138" s="16" t="n"/>
      <c r="E138" s="16" t="n"/>
      <c r="F138" s="16" t="n"/>
      <c r="G138" s="16" t="n"/>
      <c r="H138" s="16" t="n"/>
      <c r="I138" s="16" t="n"/>
      <c r="J138" s="18" t="n"/>
      <c r="K138" s="16" t="n"/>
      <c r="L138" s="17" t="n"/>
      <c r="M138" s="18" t="n"/>
      <c r="N138" s="16" t="n"/>
      <c r="O138" s="16" t="n"/>
      <c r="P138" s="16" t="n"/>
      <c r="Q138" s="16" t="n"/>
      <c r="R138" s="16" t="n"/>
      <c r="S138" s="16" t="n"/>
      <c r="T138" s="18" t="n"/>
      <c r="U138" s="18" t="n"/>
      <c r="V138" s="7">
        <f>IF(L138="","",IF(TODAY()&gt;=L138,"到期","未到期"))</f>
        <v/>
      </c>
      <c r="W138" s="16" t="n"/>
      <c r="X138" s="16" t="n"/>
    </row>
    <row r="139">
      <c r="A139" s="15">
        <f>IF(B139="","","V-"&amp;TEXT(ROW()-1,"000"))</f>
        <v/>
      </c>
      <c r="B139" s="16" t="n"/>
      <c r="C139" s="17" t="n"/>
      <c r="D139" s="16" t="n"/>
      <c r="E139" s="16" t="n"/>
      <c r="F139" s="16" t="n"/>
      <c r="G139" s="16" t="n"/>
      <c r="H139" s="16" t="n"/>
      <c r="I139" s="16" t="n"/>
      <c r="J139" s="18" t="n"/>
      <c r="K139" s="16" t="n"/>
      <c r="L139" s="17" t="n"/>
      <c r="M139" s="18" t="n"/>
      <c r="N139" s="16" t="n"/>
      <c r="O139" s="16" t="n"/>
      <c r="P139" s="16" t="n"/>
      <c r="Q139" s="16" t="n"/>
      <c r="R139" s="16" t="n"/>
      <c r="S139" s="16" t="n"/>
      <c r="T139" s="18" t="n"/>
      <c r="U139" s="18" t="n"/>
      <c r="V139" s="7">
        <f>IF(L139="","",IF(TODAY()&gt;=L139,"到期","未到期"))</f>
        <v/>
      </c>
      <c r="W139" s="16" t="n"/>
      <c r="X139" s="16" t="n"/>
    </row>
    <row r="140">
      <c r="A140" s="15">
        <f>IF(B140="","","V-"&amp;TEXT(ROW()-1,"000"))</f>
        <v/>
      </c>
      <c r="B140" s="16" t="n"/>
      <c r="C140" s="17" t="n"/>
      <c r="D140" s="16" t="n"/>
      <c r="E140" s="16" t="n"/>
      <c r="F140" s="16" t="n"/>
      <c r="G140" s="16" t="n"/>
      <c r="H140" s="16" t="n"/>
      <c r="I140" s="16" t="n"/>
      <c r="J140" s="18" t="n"/>
      <c r="K140" s="16" t="n"/>
      <c r="L140" s="17" t="n"/>
      <c r="M140" s="18" t="n"/>
      <c r="N140" s="16" t="n"/>
      <c r="O140" s="16" t="n"/>
      <c r="P140" s="16" t="n"/>
      <c r="Q140" s="16" t="n"/>
      <c r="R140" s="16" t="n"/>
      <c r="S140" s="16" t="n"/>
      <c r="T140" s="18" t="n"/>
      <c r="U140" s="18" t="n"/>
      <c r="V140" s="7">
        <f>IF(L140="","",IF(TODAY()&gt;=L140,"到期","未到期"))</f>
        <v/>
      </c>
      <c r="W140" s="16" t="n"/>
      <c r="X140" s="16" t="n"/>
    </row>
    <row r="141">
      <c r="A141" s="15">
        <f>IF(B141="","","V-"&amp;TEXT(ROW()-1,"000"))</f>
        <v/>
      </c>
      <c r="B141" s="16" t="n"/>
      <c r="C141" s="17" t="n"/>
      <c r="D141" s="16" t="n"/>
      <c r="E141" s="16" t="n"/>
      <c r="F141" s="16" t="n"/>
      <c r="G141" s="16" t="n"/>
      <c r="H141" s="16" t="n"/>
      <c r="I141" s="16" t="n"/>
      <c r="J141" s="18" t="n"/>
      <c r="K141" s="16" t="n"/>
      <c r="L141" s="17" t="n"/>
      <c r="M141" s="18" t="n"/>
      <c r="N141" s="16" t="n"/>
      <c r="O141" s="16" t="n"/>
      <c r="P141" s="16" t="n"/>
      <c r="Q141" s="16" t="n"/>
      <c r="R141" s="16" t="n"/>
      <c r="S141" s="16" t="n"/>
      <c r="T141" s="18" t="n"/>
      <c r="U141" s="18" t="n"/>
      <c r="V141" s="7">
        <f>IF(L141="","",IF(TODAY()&gt;=L141,"到期","未到期"))</f>
        <v/>
      </c>
      <c r="W141" s="16" t="n"/>
      <c r="X141" s="16" t="n"/>
    </row>
    <row r="142">
      <c r="A142" s="15">
        <f>IF(B142="","","V-"&amp;TEXT(ROW()-1,"000"))</f>
        <v/>
      </c>
      <c r="B142" s="16" t="n"/>
      <c r="C142" s="17" t="n"/>
      <c r="D142" s="16" t="n"/>
      <c r="E142" s="16" t="n"/>
      <c r="F142" s="16" t="n"/>
      <c r="G142" s="16" t="n"/>
      <c r="H142" s="16" t="n"/>
      <c r="I142" s="16" t="n"/>
      <c r="J142" s="18" t="n"/>
      <c r="K142" s="16" t="n"/>
      <c r="L142" s="17" t="n"/>
      <c r="M142" s="18" t="n"/>
      <c r="N142" s="16" t="n"/>
      <c r="O142" s="16" t="n"/>
      <c r="P142" s="16" t="n"/>
      <c r="Q142" s="16" t="n"/>
      <c r="R142" s="16" t="n"/>
      <c r="S142" s="16" t="n"/>
      <c r="T142" s="18" t="n"/>
      <c r="U142" s="18" t="n"/>
      <c r="V142" s="7">
        <f>IF(L142="","",IF(TODAY()&gt;=L142,"到期","未到期"))</f>
        <v/>
      </c>
      <c r="W142" s="16" t="n"/>
      <c r="X142" s="16" t="n"/>
    </row>
    <row r="143">
      <c r="A143" s="15">
        <f>IF(B143="","","V-"&amp;TEXT(ROW()-1,"000"))</f>
        <v/>
      </c>
      <c r="B143" s="16" t="n"/>
      <c r="C143" s="17" t="n"/>
      <c r="D143" s="16" t="n"/>
      <c r="E143" s="16" t="n"/>
      <c r="F143" s="16" t="n"/>
      <c r="G143" s="16" t="n"/>
      <c r="H143" s="16" t="n"/>
      <c r="I143" s="16" t="n"/>
      <c r="J143" s="18" t="n"/>
      <c r="K143" s="16" t="n"/>
      <c r="L143" s="17" t="n"/>
      <c r="M143" s="18" t="n"/>
      <c r="N143" s="16" t="n"/>
      <c r="O143" s="16" t="n"/>
      <c r="P143" s="16" t="n"/>
      <c r="Q143" s="16" t="n"/>
      <c r="R143" s="16" t="n"/>
      <c r="S143" s="16" t="n"/>
      <c r="T143" s="18" t="n"/>
      <c r="U143" s="18" t="n"/>
      <c r="V143" s="7">
        <f>IF(L143="","",IF(TODAY()&gt;=L143,"到期","未到期"))</f>
        <v/>
      </c>
      <c r="W143" s="16" t="n"/>
      <c r="X143" s="16" t="n"/>
    </row>
    <row r="144">
      <c r="A144" s="15">
        <f>IF(B144="","","V-"&amp;TEXT(ROW()-1,"000"))</f>
        <v/>
      </c>
      <c r="B144" s="16" t="n"/>
      <c r="C144" s="17" t="n"/>
      <c r="D144" s="16" t="n"/>
      <c r="E144" s="16" t="n"/>
      <c r="F144" s="16" t="n"/>
      <c r="G144" s="16" t="n"/>
      <c r="H144" s="16" t="n"/>
      <c r="I144" s="16" t="n"/>
      <c r="J144" s="18" t="n"/>
      <c r="K144" s="16" t="n"/>
      <c r="L144" s="17" t="n"/>
      <c r="M144" s="18" t="n"/>
      <c r="N144" s="16" t="n"/>
      <c r="O144" s="16" t="n"/>
      <c r="P144" s="16" t="n"/>
      <c r="Q144" s="16" t="n"/>
      <c r="R144" s="16" t="n"/>
      <c r="S144" s="16" t="n"/>
      <c r="T144" s="18" t="n"/>
      <c r="U144" s="18" t="n"/>
      <c r="V144" s="7">
        <f>IF(L144="","",IF(TODAY()&gt;=L144,"到期","未到期"))</f>
        <v/>
      </c>
      <c r="W144" s="16" t="n"/>
      <c r="X144" s="16" t="n"/>
    </row>
    <row r="145">
      <c r="A145" s="15">
        <f>IF(B145="","","V-"&amp;TEXT(ROW()-1,"000"))</f>
        <v/>
      </c>
      <c r="B145" s="16" t="n"/>
      <c r="C145" s="17" t="n"/>
      <c r="D145" s="16" t="n"/>
      <c r="E145" s="16" t="n"/>
      <c r="F145" s="16" t="n"/>
      <c r="G145" s="16" t="n"/>
      <c r="H145" s="16" t="n"/>
      <c r="I145" s="16" t="n"/>
      <c r="J145" s="18" t="n"/>
      <c r="K145" s="16" t="n"/>
      <c r="L145" s="17" t="n"/>
      <c r="M145" s="18" t="n"/>
      <c r="N145" s="16" t="n"/>
      <c r="O145" s="16" t="n"/>
      <c r="P145" s="16" t="n"/>
      <c r="Q145" s="16" t="n"/>
      <c r="R145" s="16" t="n"/>
      <c r="S145" s="16" t="n"/>
      <c r="T145" s="18" t="n"/>
      <c r="U145" s="18" t="n"/>
      <c r="V145" s="7">
        <f>IF(L145="","",IF(TODAY()&gt;=L145,"到期","未到期"))</f>
        <v/>
      </c>
      <c r="W145" s="16" t="n"/>
      <c r="X145" s="16" t="n"/>
    </row>
    <row r="146">
      <c r="A146" s="15">
        <f>IF(B146="","","V-"&amp;TEXT(ROW()-1,"000"))</f>
        <v/>
      </c>
      <c r="B146" s="16" t="n"/>
      <c r="C146" s="17" t="n"/>
      <c r="D146" s="16" t="n"/>
      <c r="E146" s="16" t="n"/>
      <c r="F146" s="16" t="n"/>
      <c r="G146" s="16" t="n"/>
      <c r="H146" s="16" t="n"/>
      <c r="I146" s="16" t="n"/>
      <c r="J146" s="18" t="n"/>
      <c r="K146" s="16" t="n"/>
      <c r="L146" s="17" t="n"/>
      <c r="M146" s="18" t="n"/>
      <c r="N146" s="16" t="n"/>
      <c r="O146" s="16" t="n"/>
      <c r="P146" s="16" t="n"/>
      <c r="Q146" s="16" t="n"/>
      <c r="R146" s="16" t="n"/>
      <c r="S146" s="16" t="n"/>
      <c r="T146" s="18" t="n"/>
      <c r="U146" s="18" t="n"/>
      <c r="V146" s="7">
        <f>IF(L146="","",IF(TODAY()&gt;=L146,"到期","未到期"))</f>
        <v/>
      </c>
      <c r="W146" s="16" t="n"/>
      <c r="X146" s="16" t="n"/>
    </row>
    <row r="147">
      <c r="A147" s="15">
        <f>IF(B147="","","V-"&amp;TEXT(ROW()-1,"000"))</f>
        <v/>
      </c>
      <c r="B147" s="16" t="n"/>
      <c r="C147" s="17" t="n"/>
      <c r="D147" s="16" t="n"/>
      <c r="E147" s="16" t="n"/>
      <c r="F147" s="16" t="n"/>
      <c r="G147" s="16" t="n"/>
      <c r="H147" s="16" t="n"/>
      <c r="I147" s="16" t="n"/>
      <c r="J147" s="18" t="n"/>
      <c r="K147" s="16" t="n"/>
      <c r="L147" s="17" t="n"/>
      <c r="M147" s="18" t="n"/>
      <c r="N147" s="16" t="n"/>
      <c r="O147" s="16" t="n"/>
      <c r="P147" s="16" t="n"/>
      <c r="Q147" s="16" t="n"/>
      <c r="R147" s="16" t="n"/>
      <c r="S147" s="16" t="n"/>
      <c r="T147" s="18" t="n"/>
      <c r="U147" s="18" t="n"/>
      <c r="V147" s="7">
        <f>IF(L147="","",IF(TODAY()&gt;=L147,"到期","未到期"))</f>
        <v/>
      </c>
      <c r="W147" s="16" t="n"/>
      <c r="X147" s="16" t="n"/>
    </row>
    <row r="148">
      <c r="A148" s="15">
        <f>IF(B148="","","V-"&amp;TEXT(ROW()-1,"000"))</f>
        <v/>
      </c>
      <c r="B148" s="16" t="n"/>
      <c r="C148" s="17" t="n"/>
      <c r="D148" s="16" t="n"/>
      <c r="E148" s="16" t="n"/>
      <c r="F148" s="16" t="n"/>
      <c r="G148" s="16" t="n"/>
      <c r="H148" s="16" t="n"/>
      <c r="I148" s="16" t="n"/>
      <c r="J148" s="18" t="n"/>
      <c r="K148" s="16" t="n"/>
      <c r="L148" s="17" t="n"/>
      <c r="M148" s="18" t="n"/>
      <c r="N148" s="16" t="n"/>
      <c r="O148" s="16" t="n"/>
      <c r="P148" s="16" t="n"/>
      <c r="Q148" s="16" t="n"/>
      <c r="R148" s="16" t="n"/>
      <c r="S148" s="16" t="n"/>
      <c r="T148" s="18" t="n"/>
      <c r="U148" s="18" t="n"/>
      <c r="V148" s="7">
        <f>IF(L148="","",IF(TODAY()&gt;=L148,"到期","未到期"))</f>
        <v/>
      </c>
      <c r="W148" s="16" t="n"/>
      <c r="X148" s="16" t="n"/>
    </row>
    <row r="149">
      <c r="A149" s="15">
        <f>IF(B149="","","V-"&amp;TEXT(ROW()-1,"000"))</f>
        <v/>
      </c>
      <c r="B149" s="16" t="n"/>
      <c r="C149" s="17" t="n"/>
      <c r="D149" s="16" t="n"/>
      <c r="E149" s="16" t="n"/>
      <c r="F149" s="16" t="n"/>
      <c r="G149" s="16" t="n"/>
      <c r="H149" s="16" t="n"/>
      <c r="I149" s="16" t="n"/>
      <c r="J149" s="18" t="n"/>
      <c r="K149" s="16" t="n"/>
      <c r="L149" s="17" t="n"/>
      <c r="M149" s="18" t="n"/>
      <c r="N149" s="16" t="n"/>
      <c r="O149" s="16" t="n"/>
      <c r="P149" s="16" t="n"/>
      <c r="Q149" s="16" t="n"/>
      <c r="R149" s="16" t="n"/>
      <c r="S149" s="16" t="n"/>
      <c r="T149" s="18" t="n"/>
      <c r="U149" s="18" t="n"/>
      <c r="V149" s="7">
        <f>IF(L149="","",IF(TODAY()&gt;=L149,"到期","未到期"))</f>
        <v/>
      </c>
      <c r="W149" s="16" t="n"/>
      <c r="X149" s="16" t="n"/>
    </row>
    <row r="150">
      <c r="A150" s="15">
        <f>IF(B150="","","V-"&amp;TEXT(ROW()-1,"000"))</f>
        <v/>
      </c>
      <c r="B150" s="16" t="n"/>
      <c r="C150" s="17" t="n"/>
      <c r="D150" s="16" t="n"/>
      <c r="E150" s="16" t="n"/>
      <c r="F150" s="16" t="n"/>
      <c r="G150" s="16" t="n"/>
      <c r="H150" s="16" t="n"/>
      <c r="I150" s="16" t="n"/>
      <c r="J150" s="18" t="n"/>
      <c r="K150" s="16" t="n"/>
      <c r="L150" s="17" t="n"/>
      <c r="M150" s="18" t="n"/>
      <c r="N150" s="16" t="n"/>
      <c r="O150" s="16" t="n"/>
      <c r="P150" s="16" t="n"/>
      <c r="Q150" s="16" t="n"/>
      <c r="R150" s="16" t="n"/>
      <c r="S150" s="16" t="n"/>
      <c r="T150" s="18" t="n"/>
      <c r="U150" s="18" t="n"/>
      <c r="V150" s="7">
        <f>IF(L150="","",IF(TODAY()&gt;=L150,"到期","未到期"))</f>
        <v/>
      </c>
      <c r="W150" s="16" t="n"/>
      <c r="X150" s="16" t="n"/>
    </row>
    <row r="151">
      <c r="A151" s="15">
        <f>IF(B151="","","V-"&amp;TEXT(ROW()-1,"000"))</f>
        <v/>
      </c>
      <c r="B151" s="16" t="n"/>
      <c r="C151" s="17" t="n"/>
      <c r="D151" s="16" t="n"/>
      <c r="E151" s="16" t="n"/>
      <c r="F151" s="16" t="n"/>
      <c r="G151" s="16" t="n"/>
      <c r="H151" s="16" t="n"/>
      <c r="I151" s="16" t="n"/>
      <c r="J151" s="18" t="n"/>
      <c r="K151" s="16" t="n"/>
      <c r="L151" s="17" t="n"/>
      <c r="M151" s="18" t="n"/>
      <c r="N151" s="16" t="n"/>
      <c r="O151" s="16" t="n"/>
      <c r="P151" s="16" t="n"/>
      <c r="Q151" s="16" t="n"/>
      <c r="R151" s="16" t="n"/>
      <c r="S151" s="16" t="n"/>
      <c r="T151" s="18" t="n"/>
      <c r="U151" s="18" t="n"/>
      <c r="V151" s="7">
        <f>IF(L151="","",IF(TODAY()&gt;=L151,"到期","未到期"))</f>
        <v/>
      </c>
      <c r="W151" s="16" t="n"/>
      <c r="X151" s="16" t="n"/>
    </row>
    <row r="152">
      <c r="A152" s="15">
        <f>IF(B152="","","V-"&amp;TEXT(ROW()-1,"000"))</f>
        <v/>
      </c>
      <c r="B152" s="16" t="n"/>
      <c r="C152" s="17" t="n"/>
      <c r="D152" s="16" t="n"/>
      <c r="E152" s="16" t="n"/>
      <c r="F152" s="16" t="n"/>
      <c r="G152" s="16" t="n"/>
      <c r="H152" s="16" t="n"/>
      <c r="I152" s="16" t="n"/>
      <c r="J152" s="18" t="n"/>
      <c r="K152" s="16" t="n"/>
      <c r="L152" s="17" t="n"/>
      <c r="M152" s="18" t="n"/>
      <c r="N152" s="16" t="n"/>
      <c r="O152" s="16" t="n"/>
      <c r="P152" s="16" t="n"/>
      <c r="Q152" s="16" t="n"/>
      <c r="R152" s="16" t="n"/>
      <c r="S152" s="16" t="n"/>
      <c r="T152" s="18" t="n"/>
      <c r="U152" s="18" t="n"/>
      <c r="V152" s="7">
        <f>IF(L152="","",IF(TODAY()&gt;=L152,"到期","未到期"))</f>
        <v/>
      </c>
      <c r="W152" s="16" t="n"/>
      <c r="X152" s="16" t="n"/>
    </row>
    <row r="153">
      <c r="A153" s="15">
        <f>IF(B153="","","V-"&amp;TEXT(ROW()-1,"000"))</f>
        <v/>
      </c>
      <c r="B153" s="16" t="n"/>
      <c r="C153" s="17" t="n"/>
      <c r="D153" s="16" t="n"/>
      <c r="E153" s="16" t="n"/>
      <c r="F153" s="16" t="n"/>
      <c r="G153" s="16" t="n"/>
      <c r="H153" s="16" t="n"/>
      <c r="I153" s="16" t="n"/>
      <c r="J153" s="18" t="n"/>
      <c r="K153" s="16" t="n"/>
      <c r="L153" s="17" t="n"/>
      <c r="M153" s="18" t="n"/>
      <c r="N153" s="16" t="n"/>
      <c r="O153" s="16" t="n"/>
      <c r="P153" s="16" t="n"/>
      <c r="Q153" s="16" t="n"/>
      <c r="R153" s="16" t="n"/>
      <c r="S153" s="16" t="n"/>
      <c r="T153" s="18" t="n"/>
      <c r="U153" s="18" t="n"/>
      <c r="V153" s="7">
        <f>IF(L153="","",IF(TODAY()&gt;=L153,"到期","未到期"))</f>
        <v/>
      </c>
      <c r="W153" s="16" t="n"/>
      <c r="X153" s="16" t="n"/>
    </row>
    <row r="154">
      <c r="A154" s="15">
        <f>IF(B154="","","V-"&amp;TEXT(ROW()-1,"000"))</f>
        <v/>
      </c>
      <c r="B154" s="16" t="n"/>
      <c r="C154" s="17" t="n"/>
      <c r="D154" s="16" t="n"/>
      <c r="E154" s="16" t="n"/>
      <c r="F154" s="16" t="n"/>
      <c r="G154" s="16" t="n"/>
      <c r="H154" s="16" t="n"/>
      <c r="I154" s="16" t="n"/>
      <c r="J154" s="18" t="n"/>
      <c r="K154" s="16" t="n"/>
      <c r="L154" s="17" t="n"/>
      <c r="M154" s="18" t="n"/>
      <c r="N154" s="16" t="n"/>
      <c r="O154" s="16" t="n"/>
      <c r="P154" s="16" t="n"/>
      <c r="Q154" s="16" t="n"/>
      <c r="R154" s="16" t="n"/>
      <c r="S154" s="16" t="n"/>
      <c r="T154" s="18" t="n"/>
      <c r="U154" s="18" t="n"/>
      <c r="V154" s="7">
        <f>IF(L154="","",IF(TODAY()&gt;=L154,"到期","未到期"))</f>
        <v/>
      </c>
      <c r="W154" s="16" t="n"/>
      <c r="X154" s="16" t="n"/>
    </row>
    <row r="155">
      <c r="A155" s="15">
        <f>IF(B155="","","V-"&amp;TEXT(ROW()-1,"000"))</f>
        <v/>
      </c>
      <c r="B155" s="16" t="n"/>
      <c r="C155" s="17" t="n"/>
      <c r="D155" s="16" t="n"/>
      <c r="E155" s="16" t="n"/>
      <c r="F155" s="16" t="n"/>
      <c r="G155" s="16" t="n"/>
      <c r="H155" s="16" t="n"/>
      <c r="I155" s="16" t="n"/>
      <c r="J155" s="18" t="n"/>
      <c r="K155" s="16" t="n"/>
      <c r="L155" s="17" t="n"/>
      <c r="M155" s="18" t="n"/>
      <c r="N155" s="16" t="n"/>
      <c r="O155" s="16" t="n"/>
      <c r="P155" s="16" t="n"/>
      <c r="Q155" s="16" t="n"/>
      <c r="R155" s="16" t="n"/>
      <c r="S155" s="16" t="n"/>
      <c r="T155" s="18" t="n"/>
      <c r="U155" s="18" t="n"/>
      <c r="V155" s="7">
        <f>IF(L155="","",IF(TODAY()&gt;=L155,"到期","未到期"))</f>
        <v/>
      </c>
      <c r="W155" s="16" t="n"/>
      <c r="X155" s="16" t="n"/>
    </row>
    <row r="156">
      <c r="A156" s="15">
        <f>IF(B156="","","V-"&amp;TEXT(ROW()-1,"000"))</f>
        <v/>
      </c>
      <c r="B156" s="16" t="n"/>
      <c r="C156" s="17" t="n"/>
      <c r="D156" s="16" t="n"/>
      <c r="E156" s="16" t="n"/>
      <c r="F156" s="16" t="n"/>
      <c r="G156" s="16" t="n"/>
      <c r="H156" s="16" t="n"/>
      <c r="I156" s="16" t="n"/>
      <c r="J156" s="18" t="n"/>
      <c r="K156" s="16" t="n"/>
      <c r="L156" s="17" t="n"/>
      <c r="M156" s="18" t="n"/>
      <c r="N156" s="16" t="n"/>
      <c r="O156" s="16" t="n"/>
      <c r="P156" s="16" t="n"/>
      <c r="Q156" s="16" t="n"/>
      <c r="R156" s="16" t="n"/>
      <c r="S156" s="16" t="n"/>
      <c r="T156" s="18" t="n"/>
      <c r="U156" s="18" t="n"/>
      <c r="V156" s="7">
        <f>IF(L156="","",IF(TODAY()&gt;=L156,"到期","未到期"))</f>
        <v/>
      </c>
      <c r="W156" s="16" t="n"/>
      <c r="X156" s="16" t="n"/>
    </row>
    <row r="157">
      <c r="A157" s="15">
        <f>IF(B157="","","V-"&amp;TEXT(ROW()-1,"000"))</f>
        <v/>
      </c>
      <c r="B157" s="16" t="n"/>
      <c r="C157" s="17" t="n"/>
      <c r="D157" s="16" t="n"/>
      <c r="E157" s="16" t="n"/>
      <c r="F157" s="16" t="n"/>
      <c r="G157" s="16" t="n"/>
      <c r="H157" s="16" t="n"/>
      <c r="I157" s="16" t="n"/>
      <c r="J157" s="18" t="n"/>
      <c r="K157" s="16" t="n"/>
      <c r="L157" s="17" t="n"/>
      <c r="M157" s="18" t="n"/>
      <c r="N157" s="16" t="n"/>
      <c r="O157" s="16" t="n"/>
      <c r="P157" s="16" t="n"/>
      <c r="Q157" s="16" t="n"/>
      <c r="R157" s="16" t="n"/>
      <c r="S157" s="16" t="n"/>
      <c r="T157" s="18" t="n"/>
      <c r="U157" s="18" t="n"/>
      <c r="V157" s="7">
        <f>IF(L157="","",IF(TODAY()&gt;=L157,"到期","未到期"))</f>
        <v/>
      </c>
      <c r="W157" s="16" t="n"/>
      <c r="X157" s="16" t="n"/>
    </row>
    <row r="158">
      <c r="A158" s="15">
        <f>IF(B158="","","V-"&amp;TEXT(ROW()-1,"000"))</f>
        <v/>
      </c>
      <c r="B158" s="16" t="n"/>
      <c r="C158" s="17" t="n"/>
      <c r="D158" s="16" t="n"/>
      <c r="E158" s="16" t="n"/>
      <c r="F158" s="16" t="n"/>
      <c r="G158" s="16" t="n"/>
      <c r="H158" s="16" t="n"/>
      <c r="I158" s="16" t="n"/>
      <c r="J158" s="18" t="n"/>
      <c r="K158" s="16" t="n"/>
      <c r="L158" s="17" t="n"/>
      <c r="M158" s="18" t="n"/>
      <c r="N158" s="16" t="n"/>
      <c r="O158" s="16" t="n"/>
      <c r="P158" s="16" t="n"/>
      <c r="Q158" s="16" t="n"/>
      <c r="R158" s="16" t="n"/>
      <c r="S158" s="16" t="n"/>
      <c r="T158" s="18" t="n"/>
      <c r="U158" s="18" t="n"/>
      <c r="V158" s="7">
        <f>IF(L158="","",IF(TODAY()&gt;=L158,"到期","未到期"))</f>
        <v/>
      </c>
      <c r="W158" s="16" t="n"/>
      <c r="X158" s="16" t="n"/>
    </row>
    <row r="159">
      <c r="A159" s="15">
        <f>IF(B159="","","V-"&amp;TEXT(ROW()-1,"000"))</f>
        <v/>
      </c>
      <c r="B159" s="16" t="n"/>
      <c r="C159" s="17" t="n"/>
      <c r="D159" s="16" t="n"/>
      <c r="E159" s="16" t="n"/>
      <c r="F159" s="16" t="n"/>
      <c r="G159" s="16" t="n"/>
      <c r="H159" s="16" t="n"/>
      <c r="I159" s="16" t="n"/>
      <c r="J159" s="18" t="n"/>
      <c r="K159" s="16" t="n"/>
      <c r="L159" s="17" t="n"/>
      <c r="M159" s="18" t="n"/>
      <c r="N159" s="16" t="n"/>
      <c r="O159" s="16" t="n"/>
      <c r="P159" s="16" t="n"/>
      <c r="Q159" s="16" t="n"/>
      <c r="R159" s="16" t="n"/>
      <c r="S159" s="16" t="n"/>
      <c r="T159" s="18" t="n"/>
      <c r="U159" s="18" t="n"/>
      <c r="V159" s="7">
        <f>IF(L159="","",IF(TODAY()&gt;=L159,"到期","未到期"))</f>
        <v/>
      </c>
      <c r="W159" s="16" t="n"/>
      <c r="X159" s="16" t="n"/>
    </row>
    <row r="160">
      <c r="A160" s="15">
        <f>IF(B160="","","V-"&amp;TEXT(ROW()-1,"000"))</f>
        <v/>
      </c>
      <c r="B160" s="16" t="n"/>
      <c r="C160" s="17" t="n"/>
      <c r="D160" s="16" t="n"/>
      <c r="E160" s="16" t="n"/>
      <c r="F160" s="16" t="n"/>
      <c r="G160" s="16" t="n"/>
      <c r="H160" s="16" t="n"/>
      <c r="I160" s="16" t="n"/>
      <c r="J160" s="18" t="n"/>
      <c r="K160" s="16" t="n"/>
      <c r="L160" s="17" t="n"/>
      <c r="M160" s="18" t="n"/>
      <c r="N160" s="16" t="n"/>
      <c r="O160" s="16" t="n"/>
      <c r="P160" s="16" t="n"/>
      <c r="Q160" s="16" t="n"/>
      <c r="R160" s="16" t="n"/>
      <c r="S160" s="16" t="n"/>
      <c r="T160" s="18" t="n"/>
      <c r="U160" s="18" t="n"/>
      <c r="V160" s="7">
        <f>IF(L160="","",IF(TODAY()&gt;=L160,"到期","未到期"))</f>
        <v/>
      </c>
      <c r="W160" s="16" t="n"/>
      <c r="X160" s="16" t="n"/>
    </row>
    <row r="161">
      <c r="A161" s="15">
        <f>IF(B161="","","V-"&amp;TEXT(ROW()-1,"000"))</f>
        <v/>
      </c>
      <c r="B161" s="16" t="n"/>
      <c r="C161" s="17" t="n"/>
      <c r="D161" s="16" t="n"/>
      <c r="E161" s="16" t="n"/>
      <c r="F161" s="16" t="n"/>
      <c r="G161" s="16" t="n"/>
      <c r="H161" s="16" t="n"/>
      <c r="I161" s="16" t="n"/>
      <c r="J161" s="18" t="n"/>
      <c r="K161" s="16" t="n"/>
      <c r="L161" s="17" t="n"/>
      <c r="M161" s="18" t="n"/>
      <c r="N161" s="16" t="n"/>
      <c r="O161" s="16" t="n"/>
      <c r="P161" s="16" t="n"/>
      <c r="Q161" s="16" t="n"/>
      <c r="R161" s="16" t="n"/>
      <c r="S161" s="16" t="n"/>
      <c r="T161" s="18" t="n"/>
      <c r="U161" s="18" t="n"/>
      <c r="V161" s="7">
        <f>IF(L161="","",IF(TODAY()&gt;=L161,"到期","未到期"))</f>
        <v/>
      </c>
      <c r="W161" s="16" t="n"/>
      <c r="X161" s="16" t="n"/>
    </row>
    <row r="162">
      <c r="A162" s="15">
        <f>IF(B162="","","V-"&amp;TEXT(ROW()-1,"000"))</f>
        <v/>
      </c>
      <c r="B162" s="16" t="n"/>
      <c r="C162" s="17" t="n"/>
      <c r="D162" s="16" t="n"/>
      <c r="E162" s="16" t="n"/>
      <c r="F162" s="16" t="n"/>
      <c r="G162" s="16" t="n"/>
      <c r="H162" s="16" t="n"/>
      <c r="I162" s="16" t="n"/>
      <c r="J162" s="18" t="n"/>
      <c r="K162" s="16" t="n"/>
      <c r="L162" s="17" t="n"/>
      <c r="M162" s="18" t="n"/>
      <c r="N162" s="16" t="n"/>
      <c r="O162" s="16" t="n"/>
      <c r="P162" s="16" t="n"/>
      <c r="Q162" s="16" t="n"/>
      <c r="R162" s="16" t="n"/>
      <c r="S162" s="16" t="n"/>
      <c r="T162" s="18" t="n"/>
      <c r="U162" s="18" t="n"/>
      <c r="V162" s="7">
        <f>IF(L162="","",IF(TODAY()&gt;=L162,"到期","未到期"))</f>
        <v/>
      </c>
      <c r="W162" s="16" t="n"/>
      <c r="X162" s="16" t="n"/>
    </row>
    <row r="163">
      <c r="A163" s="15">
        <f>IF(B163="","","V-"&amp;TEXT(ROW()-1,"000"))</f>
        <v/>
      </c>
      <c r="B163" s="16" t="n"/>
      <c r="C163" s="17" t="n"/>
      <c r="D163" s="16" t="n"/>
      <c r="E163" s="16" t="n"/>
      <c r="F163" s="16" t="n"/>
      <c r="G163" s="16" t="n"/>
      <c r="H163" s="16" t="n"/>
      <c r="I163" s="16" t="n"/>
      <c r="J163" s="18" t="n"/>
      <c r="K163" s="16" t="n"/>
      <c r="L163" s="17" t="n"/>
      <c r="M163" s="18" t="n"/>
      <c r="N163" s="16" t="n"/>
      <c r="O163" s="16" t="n"/>
      <c r="P163" s="16" t="n"/>
      <c r="Q163" s="16" t="n"/>
      <c r="R163" s="16" t="n"/>
      <c r="S163" s="16" t="n"/>
      <c r="T163" s="18" t="n"/>
      <c r="U163" s="18" t="n"/>
      <c r="V163" s="7">
        <f>IF(L163="","",IF(TODAY()&gt;=L163,"到期","未到期"))</f>
        <v/>
      </c>
      <c r="W163" s="16" t="n"/>
      <c r="X163" s="16" t="n"/>
    </row>
    <row r="164">
      <c r="A164" s="15">
        <f>IF(B164="","","V-"&amp;TEXT(ROW()-1,"000"))</f>
        <v/>
      </c>
      <c r="B164" s="16" t="n"/>
      <c r="C164" s="17" t="n"/>
      <c r="D164" s="16" t="n"/>
      <c r="E164" s="16" t="n"/>
      <c r="F164" s="16" t="n"/>
      <c r="G164" s="16" t="n"/>
      <c r="H164" s="16" t="n"/>
      <c r="I164" s="16" t="n"/>
      <c r="J164" s="18" t="n"/>
      <c r="K164" s="16" t="n"/>
      <c r="L164" s="17" t="n"/>
      <c r="M164" s="18" t="n"/>
      <c r="N164" s="16" t="n"/>
      <c r="O164" s="16" t="n"/>
      <c r="P164" s="16" t="n"/>
      <c r="Q164" s="16" t="n"/>
      <c r="R164" s="16" t="n"/>
      <c r="S164" s="16" t="n"/>
      <c r="T164" s="18" t="n"/>
      <c r="U164" s="18" t="n"/>
      <c r="V164" s="7">
        <f>IF(L164="","",IF(TODAY()&gt;=L164,"到期","未到期"))</f>
        <v/>
      </c>
      <c r="W164" s="16" t="n"/>
      <c r="X164" s="16" t="n"/>
    </row>
    <row r="165">
      <c r="A165" s="15">
        <f>IF(B165="","","V-"&amp;TEXT(ROW()-1,"000"))</f>
        <v/>
      </c>
      <c r="B165" s="16" t="n"/>
      <c r="C165" s="17" t="n"/>
      <c r="D165" s="16" t="n"/>
      <c r="E165" s="16" t="n"/>
      <c r="F165" s="16" t="n"/>
      <c r="G165" s="16" t="n"/>
      <c r="H165" s="16" t="n"/>
      <c r="I165" s="16" t="n"/>
      <c r="J165" s="18" t="n"/>
      <c r="K165" s="16" t="n"/>
      <c r="L165" s="17" t="n"/>
      <c r="M165" s="18" t="n"/>
      <c r="N165" s="16" t="n"/>
      <c r="O165" s="16" t="n"/>
      <c r="P165" s="16" t="n"/>
      <c r="Q165" s="16" t="n"/>
      <c r="R165" s="16" t="n"/>
      <c r="S165" s="16" t="n"/>
      <c r="T165" s="18" t="n"/>
      <c r="U165" s="18" t="n"/>
      <c r="V165" s="7">
        <f>IF(L165="","",IF(TODAY()&gt;=L165,"到期","未到期"))</f>
        <v/>
      </c>
      <c r="W165" s="16" t="n"/>
      <c r="X165" s="16" t="n"/>
    </row>
    <row r="166">
      <c r="A166" s="15">
        <f>IF(B166="","","V-"&amp;TEXT(ROW()-1,"000"))</f>
        <v/>
      </c>
      <c r="B166" s="16" t="n"/>
      <c r="C166" s="17" t="n"/>
      <c r="D166" s="16" t="n"/>
      <c r="E166" s="16" t="n"/>
      <c r="F166" s="16" t="n"/>
      <c r="G166" s="16" t="n"/>
      <c r="H166" s="16" t="n"/>
      <c r="I166" s="16" t="n"/>
      <c r="J166" s="18" t="n"/>
      <c r="K166" s="16" t="n"/>
      <c r="L166" s="17" t="n"/>
      <c r="M166" s="18" t="n"/>
      <c r="N166" s="16" t="n"/>
      <c r="O166" s="16" t="n"/>
      <c r="P166" s="16" t="n"/>
      <c r="Q166" s="16" t="n"/>
      <c r="R166" s="16" t="n"/>
      <c r="S166" s="16" t="n"/>
      <c r="T166" s="18" t="n"/>
      <c r="U166" s="18" t="n"/>
      <c r="V166" s="7">
        <f>IF(L166="","",IF(TODAY()&gt;=L166,"到期","未到期"))</f>
        <v/>
      </c>
      <c r="W166" s="16" t="n"/>
      <c r="X166" s="16" t="n"/>
    </row>
    <row r="167">
      <c r="A167" s="15">
        <f>IF(B167="","","V-"&amp;TEXT(ROW()-1,"000"))</f>
        <v/>
      </c>
      <c r="B167" s="16" t="n"/>
      <c r="C167" s="17" t="n"/>
      <c r="D167" s="16" t="n"/>
      <c r="E167" s="16" t="n"/>
      <c r="F167" s="16" t="n"/>
      <c r="G167" s="16" t="n"/>
      <c r="H167" s="16" t="n"/>
      <c r="I167" s="16" t="n"/>
      <c r="J167" s="18" t="n"/>
      <c r="K167" s="16" t="n"/>
      <c r="L167" s="17" t="n"/>
      <c r="M167" s="18" t="n"/>
      <c r="N167" s="16" t="n"/>
      <c r="O167" s="16" t="n"/>
      <c r="P167" s="16" t="n"/>
      <c r="Q167" s="16" t="n"/>
      <c r="R167" s="16" t="n"/>
      <c r="S167" s="16" t="n"/>
      <c r="T167" s="18" t="n"/>
      <c r="U167" s="18" t="n"/>
      <c r="V167" s="7">
        <f>IF(L167="","",IF(TODAY()&gt;=L167,"到期","未到期"))</f>
        <v/>
      </c>
      <c r="W167" s="16" t="n"/>
      <c r="X167" s="16" t="n"/>
    </row>
    <row r="168">
      <c r="A168" s="15">
        <f>IF(B168="","","V-"&amp;TEXT(ROW()-1,"000"))</f>
        <v/>
      </c>
      <c r="B168" s="16" t="n"/>
      <c r="C168" s="17" t="n"/>
      <c r="D168" s="16" t="n"/>
      <c r="E168" s="16" t="n"/>
      <c r="F168" s="16" t="n"/>
      <c r="G168" s="16" t="n"/>
      <c r="H168" s="16" t="n"/>
      <c r="I168" s="16" t="n"/>
      <c r="J168" s="18" t="n"/>
      <c r="K168" s="16" t="n"/>
      <c r="L168" s="17" t="n"/>
      <c r="M168" s="18" t="n"/>
      <c r="N168" s="16" t="n"/>
      <c r="O168" s="16" t="n"/>
      <c r="P168" s="16" t="n"/>
      <c r="Q168" s="16" t="n"/>
      <c r="R168" s="16" t="n"/>
      <c r="S168" s="16" t="n"/>
      <c r="T168" s="18" t="n"/>
      <c r="U168" s="18" t="n"/>
      <c r="V168" s="7">
        <f>IF(L168="","",IF(TODAY()&gt;=L168,"到期","未到期"))</f>
        <v/>
      </c>
      <c r="W168" s="16" t="n"/>
      <c r="X168" s="16" t="n"/>
    </row>
    <row r="169">
      <c r="A169" s="15">
        <f>IF(B169="","","V-"&amp;TEXT(ROW()-1,"000"))</f>
        <v/>
      </c>
      <c r="B169" s="16" t="n"/>
      <c r="C169" s="17" t="n"/>
      <c r="D169" s="16" t="n"/>
      <c r="E169" s="16" t="n"/>
      <c r="F169" s="16" t="n"/>
      <c r="G169" s="16" t="n"/>
      <c r="H169" s="16" t="n"/>
      <c r="I169" s="16" t="n"/>
      <c r="J169" s="18" t="n"/>
      <c r="K169" s="16" t="n"/>
      <c r="L169" s="17" t="n"/>
      <c r="M169" s="18" t="n"/>
      <c r="N169" s="16" t="n"/>
      <c r="O169" s="16" t="n"/>
      <c r="P169" s="16" t="n"/>
      <c r="Q169" s="16" t="n"/>
      <c r="R169" s="16" t="n"/>
      <c r="S169" s="16" t="n"/>
      <c r="T169" s="18" t="n"/>
      <c r="U169" s="18" t="n"/>
      <c r="V169" s="7">
        <f>IF(L169="","",IF(TODAY()&gt;=L169,"到期","未到期"))</f>
        <v/>
      </c>
      <c r="W169" s="16" t="n"/>
      <c r="X169" s="16" t="n"/>
    </row>
    <row r="170">
      <c r="A170" s="15">
        <f>IF(B170="","","V-"&amp;TEXT(ROW()-1,"000"))</f>
        <v/>
      </c>
      <c r="B170" s="16" t="n"/>
      <c r="C170" s="17" t="n"/>
      <c r="D170" s="16" t="n"/>
      <c r="E170" s="16" t="n"/>
      <c r="F170" s="16" t="n"/>
      <c r="G170" s="16" t="n"/>
      <c r="H170" s="16" t="n"/>
      <c r="I170" s="16" t="n"/>
      <c r="J170" s="18" t="n"/>
      <c r="K170" s="16" t="n"/>
      <c r="L170" s="17" t="n"/>
      <c r="M170" s="18" t="n"/>
      <c r="N170" s="16" t="n"/>
      <c r="O170" s="16" t="n"/>
      <c r="P170" s="16" t="n"/>
      <c r="Q170" s="16" t="n"/>
      <c r="R170" s="16" t="n"/>
      <c r="S170" s="16" t="n"/>
      <c r="T170" s="18" t="n"/>
      <c r="U170" s="18" t="n"/>
      <c r="V170" s="7">
        <f>IF(L170="","",IF(TODAY()&gt;=L170,"到期","未到期"))</f>
        <v/>
      </c>
      <c r="W170" s="16" t="n"/>
      <c r="X170" s="16" t="n"/>
    </row>
    <row r="171">
      <c r="A171" s="15">
        <f>IF(B171="","","V-"&amp;TEXT(ROW()-1,"000"))</f>
        <v/>
      </c>
      <c r="B171" s="16" t="n"/>
      <c r="C171" s="17" t="n"/>
      <c r="D171" s="16" t="n"/>
      <c r="E171" s="16" t="n"/>
      <c r="F171" s="16" t="n"/>
      <c r="G171" s="16" t="n"/>
      <c r="H171" s="16" t="n"/>
      <c r="I171" s="16" t="n"/>
      <c r="J171" s="18" t="n"/>
      <c r="K171" s="16" t="n"/>
      <c r="L171" s="17" t="n"/>
      <c r="M171" s="18" t="n"/>
      <c r="N171" s="16" t="n"/>
      <c r="O171" s="16" t="n"/>
      <c r="P171" s="16" t="n"/>
      <c r="Q171" s="16" t="n"/>
      <c r="R171" s="16" t="n"/>
      <c r="S171" s="16" t="n"/>
      <c r="T171" s="18" t="n"/>
      <c r="U171" s="18" t="n"/>
      <c r="V171" s="7">
        <f>IF(L171="","",IF(TODAY()&gt;=L171,"到期","未到期"))</f>
        <v/>
      </c>
      <c r="W171" s="16" t="n"/>
      <c r="X171" s="16" t="n"/>
    </row>
    <row r="172">
      <c r="A172" s="15">
        <f>IF(B172="","","V-"&amp;TEXT(ROW()-1,"000"))</f>
        <v/>
      </c>
      <c r="B172" s="16" t="n"/>
      <c r="C172" s="17" t="n"/>
      <c r="D172" s="16" t="n"/>
      <c r="E172" s="16" t="n"/>
      <c r="F172" s="16" t="n"/>
      <c r="G172" s="16" t="n"/>
      <c r="H172" s="16" t="n"/>
      <c r="I172" s="16" t="n"/>
      <c r="J172" s="18" t="n"/>
      <c r="K172" s="16" t="n"/>
      <c r="L172" s="17" t="n"/>
      <c r="M172" s="18" t="n"/>
      <c r="N172" s="16" t="n"/>
      <c r="O172" s="16" t="n"/>
      <c r="P172" s="16" t="n"/>
      <c r="Q172" s="16" t="n"/>
      <c r="R172" s="16" t="n"/>
      <c r="S172" s="16" t="n"/>
      <c r="T172" s="18" t="n"/>
      <c r="U172" s="18" t="n"/>
      <c r="V172" s="7">
        <f>IF(L172="","",IF(TODAY()&gt;=L172,"到期","未到期"))</f>
        <v/>
      </c>
      <c r="W172" s="16" t="n"/>
      <c r="X172" s="16" t="n"/>
    </row>
    <row r="173">
      <c r="A173" s="15">
        <f>IF(B173="","","V-"&amp;TEXT(ROW()-1,"000"))</f>
        <v/>
      </c>
      <c r="B173" s="16" t="n"/>
      <c r="C173" s="17" t="n"/>
      <c r="D173" s="16" t="n"/>
      <c r="E173" s="16" t="n"/>
      <c r="F173" s="16" t="n"/>
      <c r="G173" s="16" t="n"/>
      <c r="H173" s="16" t="n"/>
      <c r="I173" s="16" t="n"/>
      <c r="J173" s="18" t="n"/>
      <c r="K173" s="16" t="n"/>
      <c r="L173" s="17" t="n"/>
      <c r="M173" s="18" t="n"/>
      <c r="N173" s="16" t="n"/>
      <c r="O173" s="16" t="n"/>
      <c r="P173" s="16" t="n"/>
      <c r="Q173" s="16" t="n"/>
      <c r="R173" s="16" t="n"/>
      <c r="S173" s="16" t="n"/>
      <c r="T173" s="18" t="n"/>
      <c r="U173" s="18" t="n"/>
      <c r="V173" s="7">
        <f>IF(L173="","",IF(TODAY()&gt;=L173,"到期","未到期"))</f>
        <v/>
      </c>
      <c r="W173" s="16" t="n"/>
      <c r="X173" s="16" t="n"/>
    </row>
    <row r="174">
      <c r="A174" s="15">
        <f>IF(B174="","","V-"&amp;TEXT(ROW()-1,"000"))</f>
        <v/>
      </c>
      <c r="B174" s="16" t="n"/>
      <c r="C174" s="17" t="n"/>
      <c r="D174" s="16" t="n"/>
      <c r="E174" s="16" t="n"/>
      <c r="F174" s="16" t="n"/>
      <c r="G174" s="16" t="n"/>
      <c r="H174" s="16" t="n"/>
      <c r="I174" s="16" t="n"/>
      <c r="J174" s="18" t="n"/>
      <c r="K174" s="16" t="n"/>
      <c r="L174" s="17" t="n"/>
      <c r="M174" s="18" t="n"/>
      <c r="N174" s="16" t="n"/>
      <c r="O174" s="16" t="n"/>
      <c r="P174" s="16" t="n"/>
      <c r="Q174" s="16" t="n"/>
      <c r="R174" s="16" t="n"/>
      <c r="S174" s="16" t="n"/>
      <c r="T174" s="18" t="n"/>
      <c r="U174" s="18" t="n"/>
      <c r="V174" s="7">
        <f>IF(L174="","",IF(TODAY()&gt;=L174,"到期","未到期"))</f>
        <v/>
      </c>
      <c r="W174" s="16" t="n"/>
      <c r="X174" s="16" t="n"/>
    </row>
    <row r="175">
      <c r="A175" s="15">
        <f>IF(B175="","","V-"&amp;TEXT(ROW()-1,"000"))</f>
        <v/>
      </c>
      <c r="B175" s="16" t="n"/>
      <c r="C175" s="17" t="n"/>
      <c r="D175" s="16" t="n"/>
      <c r="E175" s="16" t="n"/>
      <c r="F175" s="16" t="n"/>
      <c r="G175" s="16" t="n"/>
      <c r="H175" s="16" t="n"/>
      <c r="I175" s="16" t="n"/>
      <c r="J175" s="18" t="n"/>
      <c r="K175" s="16" t="n"/>
      <c r="L175" s="17" t="n"/>
      <c r="M175" s="18" t="n"/>
      <c r="N175" s="16" t="n"/>
      <c r="O175" s="16" t="n"/>
      <c r="P175" s="16" t="n"/>
      <c r="Q175" s="16" t="n"/>
      <c r="R175" s="16" t="n"/>
      <c r="S175" s="16" t="n"/>
      <c r="T175" s="18" t="n"/>
      <c r="U175" s="18" t="n"/>
      <c r="V175" s="7">
        <f>IF(L175="","",IF(TODAY()&gt;=L175,"到期","未到期"))</f>
        <v/>
      </c>
      <c r="W175" s="16" t="n"/>
      <c r="X175" s="16" t="n"/>
    </row>
    <row r="176">
      <c r="A176" s="15">
        <f>IF(B176="","","V-"&amp;TEXT(ROW()-1,"000"))</f>
        <v/>
      </c>
      <c r="B176" s="16" t="n"/>
      <c r="C176" s="17" t="n"/>
      <c r="D176" s="16" t="n"/>
      <c r="E176" s="16" t="n"/>
      <c r="F176" s="16" t="n"/>
      <c r="G176" s="16" t="n"/>
      <c r="H176" s="16" t="n"/>
      <c r="I176" s="16" t="n"/>
      <c r="J176" s="18" t="n"/>
      <c r="K176" s="16" t="n"/>
      <c r="L176" s="17" t="n"/>
      <c r="M176" s="18" t="n"/>
      <c r="N176" s="16" t="n"/>
      <c r="O176" s="16" t="n"/>
      <c r="P176" s="16" t="n"/>
      <c r="Q176" s="16" t="n"/>
      <c r="R176" s="16" t="n"/>
      <c r="S176" s="16" t="n"/>
      <c r="T176" s="18" t="n"/>
      <c r="U176" s="18" t="n"/>
      <c r="V176" s="7">
        <f>IF(L176="","",IF(TODAY()&gt;=L176,"到期","未到期"))</f>
        <v/>
      </c>
      <c r="W176" s="16" t="n"/>
      <c r="X176" s="16" t="n"/>
    </row>
    <row r="177">
      <c r="A177" s="15">
        <f>IF(B177="","","V-"&amp;TEXT(ROW()-1,"000"))</f>
        <v/>
      </c>
      <c r="B177" s="16" t="n"/>
      <c r="C177" s="17" t="n"/>
      <c r="D177" s="16" t="n"/>
      <c r="E177" s="16" t="n"/>
      <c r="F177" s="16" t="n"/>
      <c r="G177" s="16" t="n"/>
      <c r="H177" s="16" t="n"/>
      <c r="I177" s="16" t="n"/>
      <c r="J177" s="18" t="n"/>
      <c r="K177" s="16" t="n"/>
      <c r="L177" s="17" t="n"/>
      <c r="M177" s="18" t="n"/>
      <c r="N177" s="16" t="n"/>
      <c r="O177" s="16" t="n"/>
      <c r="P177" s="16" t="n"/>
      <c r="Q177" s="16" t="n"/>
      <c r="R177" s="16" t="n"/>
      <c r="S177" s="16" t="n"/>
      <c r="T177" s="18" t="n"/>
      <c r="U177" s="18" t="n"/>
      <c r="V177" s="7">
        <f>IF(L177="","",IF(TODAY()&gt;=L177,"到期","未到期"))</f>
        <v/>
      </c>
      <c r="W177" s="16" t="n"/>
      <c r="X177" s="16" t="n"/>
    </row>
    <row r="178">
      <c r="A178" s="15">
        <f>IF(B178="","","V-"&amp;TEXT(ROW()-1,"000"))</f>
        <v/>
      </c>
      <c r="B178" s="16" t="n"/>
      <c r="C178" s="17" t="n"/>
      <c r="D178" s="16" t="n"/>
      <c r="E178" s="16" t="n"/>
      <c r="F178" s="16" t="n"/>
      <c r="G178" s="16" t="n"/>
      <c r="H178" s="16" t="n"/>
      <c r="I178" s="16" t="n"/>
      <c r="J178" s="18" t="n"/>
      <c r="K178" s="16" t="n"/>
      <c r="L178" s="17" t="n"/>
      <c r="M178" s="18" t="n"/>
      <c r="N178" s="16" t="n"/>
      <c r="O178" s="16" t="n"/>
      <c r="P178" s="16" t="n"/>
      <c r="Q178" s="16" t="n"/>
      <c r="R178" s="16" t="n"/>
      <c r="S178" s="16" t="n"/>
      <c r="T178" s="18" t="n"/>
      <c r="U178" s="18" t="n"/>
      <c r="V178" s="7">
        <f>IF(L178="","",IF(TODAY()&gt;=L178,"到期","未到期"))</f>
        <v/>
      </c>
      <c r="W178" s="16" t="n"/>
      <c r="X178" s="16" t="n"/>
    </row>
    <row r="179">
      <c r="A179" s="15">
        <f>IF(B179="","","V-"&amp;TEXT(ROW()-1,"000"))</f>
        <v/>
      </c>
      <c r="B179" s="16" t="n"/>
      <c r="C179" s="17" t="n"/>
      <c r="D179" s="16" t="n"/>
      <c r="E179" s="16" t="n"/>
      <c r="F179" s="16" t="n"/>
      <c r="G179" s="16" t="n"/>
      <c r="H179" s="16" t="n"/>
      <c r="I179" s="16" t="n"/>
      <c r="J179" s="18" t="n"/>
      <c r="K179" s="16" t="n"/>
      <c r="L179" s="17" t="n"/>
      <c r="M179" s="18" t="n"/>
      <c r="N179" s="16" t="n"/>
      <c r="O179" s="16" t="n"/>
      <c r="P179" s="16" t="n"/>
      <c r="Q179" s="16" t="n"/>
      <c r="R179" s="16" t="n"/>
      <c r="S179" s="16" t="n"/>
      <c r="T179" s="18" t="n"/>
      <c r="U179" s="18" t="n"/>
      <c r="V179" s="7">
        <f>IF(L179="","",IF(TODAY()&gt;=L179,"到期","未到期"))</f>
        <v/>
      </c>
      <c r="W179" s="16" t="n"/>
      <c r="X179" s="16" t="n"/>
    </row>
    <row r="180">
      <c r="A180" s="15">
        <f>IF(B180="","","V-"&amp;TEXT(ROW()-1,"000"))</f>
        <v/>
      </c>
      <c r="B180" s="16" t="n"/>
      <c r="C180" s="17" t="n"/>
      <c r="D180" s="16" t="n"/>
      <c r="E180" s="16" t="n"/>
      <c r="F180" s="16" t="n"/>
      <c r="G180" s="16" t="n"/>
      <c r="H180" s="16" t="n"/>
      <c r="I180" s="16" t="n"/>
      <c r="J180" s="18" t="n"/>
      <c r="K180" s="16" t="n"/>
      <c r="L180" s="17" t="n"/>
      <c r="M180" s="18" t="n"/>
      <c r="N180" s="16" t="n"/>
      <c r="O180" s="16" t="n"/>
      <c r="P180" s="16" t="n"/>
      <c r="Q180" s="16" t="n"/>
      <c r="R180" s="16" t="n"/>
      <c r="S180" s="16" t="n"/>
      <c r="T180" s="18" t="n"/>
      <c r="U180" s="18" t="n"/>
      <c r="V180" s="7">
        <f>IF(L180="","",IF(TODAY()&gt;=L180,"到期","未到期"))</f>
        <v/>
      </c>
      <c r="W180" s="16" t="n"/>
      <c r="X180" s="16" t="n"/>
    </row>
    <row r="181">
      <c r="A181" s="15">
        <f>IF(B181="","","V-"&amp;TEXT(ROW()-1,"000"))</f>
        <v/>
      </c>
      <c r="B181" s="16" t="n"/>
      <c r="C181" s="17" t="n"/>
      <c r="D181" s="16" t="n"/>
      <c r="E181" s="16" t="n"/>
      <c r="F181" s="16" t="n"/>
      <c r="G181" s="16" t="n"/>
      <c r="H181" s="16" t="n"/>
      <c r="I181" s="16" t="n"/>
      <c r="J181" s="18" t="n"/>
      <c r="K181" s="16" t="n"/>
      <c r="L181" s="17" t="n"/>
      <c r="M181" s="18" t="n"/>
      <c r="N181" s="16" t="n"/>
      <c r="O181" s="16" t="n"/>
      <c r="P181" s="16" t="n"/>
      <c r="Q181" s="16" t="n"/>
      <c r="R181" s="16" t="n"/>
      <c r="S181" s="16" t="n"/>
      <c r="T181" s="18" t="n"/>
      <c r="U181" s="18" t="n"/>
      <c r="V181" s="7">
        <f>IF(L181="","",IF(TODAY()&gt;=L181,"到期","未到期"))</f>
        <v/>
      </c>
      <c r="W181" s="16" t="n"/>
      <c r="X181" s="16" t="n"/>
    </row>
    <row r="182">
      <c r="A182" s="15">
        <f>IF(B182="","","V-"&amp;TEXT(ROW()-1,"000"))</f>
        <v/>
      </c>
      <c r="B182" s="16" t="n"/>
      <c r="C182" s="17" t="n"/>
      <c r="D182" s="16" t="n"/>
      <c r="E182" s="16" t="n"/>
      <c r="F182" s="16" t="n"/>
      <c r="G182" s="16" t="n"/>
      <c r="H182" s="16" t="n"/>
      <c r="I182" s="16" t="n"/>
      <c r="J182" s="18" t="n"/>
      <c r="K182" s="16" t="n"/>
      <c r="L182" s="17" t="n"/>
      <c r="M182" s="18" t="n"/>
      <c r="N182" s="16" t="n"/>
      <c r="O182" s="16" t="n"/>
      <c r="P182" s="16" t="n"/>
      <c r="Q182" s="16" t="n"/>
      <c r="R182" s="16" t="n"/>
      <c r="S182" s="16" t="n"/>
      <c r="T182" s="18" t="n"/>
      <c r="U182" s="18" t="n"/>
      <c r="V182" s="7">
        <f>IF(L182="","",IF(TODAY()&gt;=L182,"到期","未到期"))</f>
        <v/>
      </c>
      <c r="W182" s="16" t="n"/>
      <c r="X182" s="16" t="n"/>
    </row>
    <row r="183">
      <c r="A183" s="15">
        <f>IF(B183="","","V-"&amp;TEXT(ROW()-1,"000"))</f>
        <v/>
      </c>
      <c r="B183" s="16" t="n"/>
      <c r="C183" s="17" t="n"/>
      <c r="D183" s="16" t="n"/>
      <c r="E183" s="16" t="n"/>
      <c r="F183" s="16" t="n"/>
      <c r="G183" s="16" t="n"/>
      <c r="H183" s="16" t="n"/>
      <c r="I183" s="16" t="n"/>
      <c r="J183" s="18" t="n"/>
      <c r="K183" s="16" t="n"/>
      <c r="L183" s="17" t="n"/>
      <c r="M183" s="18" t="n"/>
      <c r="N183" s="16" t="n"/>
      <c r="O183" s="16" t="n"/>
      <c r="P183" s="16" t="n"/>
      <c r="Q183" s="16" t="n"/>
      <c r="R183" s="16" t="n"/>
      <c r="S183" s="16" t="n"/>
      <c r="T183" s="18" t="n"/>
      <c r="U183" s="18" t="n"/>
      <c r="V183" s="7">
        <f>IF(L183="","",IF(TODAY()&gt;=L183,"到期","未到期"))</f>
        <v/>
      </c>
      <c r="W183" s="16" t="n"/>
      <c r="X183" s="16" t="n"/>
    </row>
    <row r="184">
      <c r="A184" s="15">
        <f>IF(B184="","","V-"&amp;TEXT(ROW()-1,"000"))</f>
        <v/>
      </c>
      <c r="B184" s="16" t="n"/>
      <c r="C184" s="17" t="n"/>
      <c r="D184" s="16" t="n"/>
      <c r="E184" s="16" t="n"/>
      <c r="F184" s="16" t="n"/>
      <c r="G184" s="16" t="n"/>
      <c r="H184" s="16" t="n"/>
      <c r="I184" s="16" t="n"/>
      <c r="J184" s="18" t="n"/>
      <c r="K184" s="16" t="n"/>
      <c r="L184" s="17" t="n"/>
      <c r="M184" s="18" t="n"/>
      <c r="N184" s="16" t="n"/>
      <c r="O184" s="16" t="n"/>
      <c r="P184" s="16" t="n"/>
      <c r="Q184" s="16" t="n"/>
      <c r="R184" s="16" t="n"/>
      <c r="S184" s="16" t="n"/>
      <c r="T184" s="18" t="n"/>
      <c r="U184" s="18" t="n"/>
      <c r="V184" s="7">
        <f>IF(L184="","",IF(TODAY()&gt;=L184,"到期","未到期"))</f>
        <v/>
      </c>
      <c r="W184" s="16" t="n"/>
      <c r="X184" s="16" t="n"/>
    </row>
    <row r="185">
      <c r="A185" s="15">
        <f>IF(B185="","","V-"&amp;TEXT(ROW()-1,"000"))</f>
        <v/>
      </c>
      <c r="B185" s="16" t="n"/>
      <c r="C185" s="17" t="n"/>
      <c r="D185" s="16" t="n"/>
      <c r="E185" s="16" t="n"/>
      <c r="F185" s="16" t="n"/>
      <c r="G185" s="16" t="n"/>
      <c r="H185" s="16" t="n"/>
      <c r="I185" s="16" t="n"/>
      <c r="J185" s="18" t="n"/>
      <c r="K185" s="16" t="n"/>
      <c r="L185" s="17" t="n"/>
      <c r="M185" s="18" t="n"/>
      <c r="N185" s="16" t="n"/>
      <c r="O185" s="16" t="n"/>
      <c r="P185" s="16" t="n"/>
      <c r="Q185" s="16" t="n"/>
      <c r="R185" s="16" t="n"/>
      <c r="S185" s="16" t="n"/>
      <c r="T185" s="18" t="n"/>
      <c r="U185" s="18" t="n"/>
      <c r="V185" s="7">
        <f>IF(L185="","",IF(TODAY()&gt;=L185,"到期","未到期"))</f>
        <v/>
      </c>
      <c r="W185" s="16" t="n"/>
      <c r="X185" s="16" t="n"/>
    </row>
    <row r="186">
      <c r="A186" s="15">
        <f>IF(B186="","","V-"&amp;TEXT(ROW()-1,"000"))</f>
        <v/>
      </c>
      <c r="B186" s="16" t="n"/>
      <c r="C186" s="17" t="n"/>
      <c r="D186" s="16" t="n"/>
      <c r="E186" s="16" t="n"/>
      <c r="F186" s="16" t="n"/>
      <c r="G186" s="16" t="n"/>
      <c r="H186" s="16" t="n"/>
      <c r="I186" s="16" t="n"/>
      <c r="J186" s="18" t="n"/>
      <c r="K186" s="16" t="n"/>
      <c r="L186" s="17" t="n"/>
      <c r="M186" s="18" t="n"/>
      <c r="N186" s="16" t="n"/>
      <c r="O186" s="16" t="n"/>
      <c r="P186" s="16" t="n"/>
      <c r="Q186" s="16" t="n"/>
      <c r="R186" s="16" t="n"/>
      <c r="S186" s="16" t="n"/>
      <c r="T186" s="18" t="n"/>
      <c r="U186" s="18" t="n"/>
      <c r="V186" s="7">
        <f>IF(L186="","",IF(TODAY()&gt;=L186,"到期","未到期"))</f>
        <v/>
      </c>
      <c r="W186" s="16" t="n"/>
      <c r="X186" s="16" t="n"/>
    </row>
    <row r="187">
      <c r="A187" s="15">
        <f>IF(B187="","","V-"&amp;TEXT(ROW()-1,"000"))</f>
        <v/>
      </c>
      <c r="B187" s="16" t="n"/>
      <c r="C187" s="17" t="n"/>
      <c r="D187" s="16" t="n"/>
      <c r="E187" s="16" t="n"/>
      <c r="F187" s="16" t="n"/>
      <c r="G187" s="16" t="n"/>
      <c r="H187" s="16" t="n"/>
      <c r="I187" s="16" t="n"/>
      <c r="J187" s="18" t="n"/>
      <c r="K187" s="16" t="n"/>
      <c r="L187" s="17" t="n"/>
      <c r="M187" s="18" t="n"/>
      <c r="N187" s="16" t="n"/>
      <c r="O187" s="16" t="n"/>
      <c r="P187" s="16" t="n"/>
      <c r="Q187" s="16" t="n"/>
      <c r="R187" s="16" t="n"/>
      <c r="S187" s="16" t="n"/>
      <c r="T187" s="18" t="n"/>
      <c r="U187" s="18" t="n"/>
      <c r="V187" s="7">
        <f>IF(L187="","",IF(TODAY()&gt;=L187,"到期","未到期"))</f>
        <v/>
      </c>
      <c r="W187" s="16" t="n"/>
      <c r="X187" s="16" t="n"/>
    </row>
    <row r="188">
      <c r="A188" s="15">
        <f>IF(B188="","","V-"&amp;TEXT(ROW()-1,"000"))</f>
        <v/>
      </c>
      <c r="B188" s="16" t="n"/>
      <c r="C188" s="17" t="n"/>
      <c r="D188" s="16" t="n"/>
      <c r="E188" s="16" t="n"/>
      <c r="F188" s="16" t="n"/>
      <c r="G188" s="16" t="n"/>
      <c r="H188" s="16" t="n"/>
      <c r="I188" s="16" t="n"/>
      <c r="J188" s="18" t="n"/>
      <c r="K188" s="16" t="n"/>
      <c r="L188" s="17" t="n"/>
      <c r="M188" s="18" t="n"/>
      <c r="N188" s="16" t="n"/>
      <c r="O188" s="16" t="n"/>
      <c r="P188" s="16" t="n"/>
      <c r="Q188" s="16" t="n"/>
      <c r="R188" s="16" t="n"/>
      <c r="S188" s="16" t="n"/>
      <c r="T188" s="18" t="n"/>
      <c r="U188" s="18" t="n"/>
      <c r="V188" s="7">
        <f>IF(L188="","",IF(TODAY()&gt;=L188,"到期","未到期"))</f>
        <v/>
      </c>
      <c r="W188" s="16" t="n"/>
      <c r="X188" s="16" t="n"/>
    </row>
    <row r="189">
      <c r="A189" s="15">
        <f>IF(B189="","","V-"&amp;TEXT(ROW()-1,"000"))</f>
        <v/>
      </c>
      <c r="B189" s="16" t="n"/>
      <c r="C189" s="17" t="n"/>
      <c r="D189" s="16" t="n"/>
      <c r="E189" s="16" t="n"/>
      <c r="F189" s="16" t="n"/>
      <c r="G189" s="16" t="n"/>
      <c r="H189" s="16" t="n"/>
      <c r="I189" s="16" t="n"/>
      <c r="J189" s="18" t="n"/>
      <c r="K189" s="16" t="n"/>
      <c r="L189" s="17" t="n"/>
      <c r="M189" s="18" t="n"/>
      <c r="N189" s="16" t="n"/>
      <c r="O189" s="16" t="n"/>
      <c r="P189" s="16" t="n"/>
      <c r="Q189" s="16" t="n"/>
      <c r="R189" s="16" t="n"/>
      <c r="S189" s="16" t="n"/>
      <c r="T189" s="18" t="n"/>
      <c r="U189" s="18" t="n"/>
      <c r="V189" s="7">
        <f>IF(L189="","",IF(TODAY()&gt;=L189,"到期","未到期"))</f>
        <v/>
      </c>
      <c r="W189" s="16" t="n"/>
      <c r="X189" s="16" t="n"/>
    </row>
    <row r="190">
      <c r="A190" s="15">
        <f>IF(B190="","","V-"&amp;TEXT(ROW()-1,"000"))</f>
        <v/>
      </c>
      <c r="B190" s="16" t="n"/>
      <c r="C190" s="17" t="n"/>
      <c r="D190" s="16" t="n"/>
      <c r="E190" s="16" t="n"/>
      <c r="F190" s="16" t="n"/>
      <c r="G190" s="16" t="n"/>
      <c r="H190" s="16" t="n"/>
      <c r="I190" s="16" t="n"/>
      <c r="J190" s="18" t="n"/>
      <c r="K190" s="16" t="n"/>
      <c r="L190" s="17" t="n"/>
      <c r="M190" s="18" t="n"/>
      <c r="N190" s="16" t="n"/>
      <c r="O190" s="16" t="n"/>
      <c r="P190" s="16" t="n"/>
      <c r="Q190" s="16" t="n"/>
      <c r="R190" s="16" t="n"/>
      <c r="S190" s="16" t="n"/>
      <c r="T190" s="18" t="n"/>
      <c r="U190" s="18" t="n"/>
      <c r="V190" s="7">
        <f>IF(L190="","",IF(TODAY()&gt;=L190,"到期","未到期"))</f>
        <v/>
      </c>
      <c r="W190" s="16" t="n"/>
      <c r="X190" s="16" t="n"/>
    </row>
    <row r="191">
      <c r="A191" s="15">
        <f>IF(B191="","","V-"&amp;TEXT(ROW()-1,"000"))</f>
        <v/>
      </c>
      <c r="B191" s="16" t="n"/>
      <c r="C191" s="17" t="n"/>
      <c r="D191" s="16" t="n"/>
      <c r="E191" s="16" t="n"/>
      <c r="F191" s="16" t="n"/>
      <c r="G191" s="16" t="n"/>
      <c r="H191" s="16" t="n"/>
      <c r="I191" s="16" t="n"/>
      <c r="J191" s="18" t="n"/>
      <c r="K191" s="16" t="n"/>
      <c r="L191" s="17" t="n"/>
      <c r="M191" s="18" t="n"/>
      <c r="N191" s="16" t="n"/>
      <c r="O191" s="16" t="n"/>
      <c r="P191" s="16" t="n"/>
      <c r="Q191" s="16" t="n"/>
      <c r="R191" s="16" t="n"/>
      <c r="S191" s="16" t="n"/>
      <c r="T191" s="18" t="n"/>
      <c r="U191" s="18" t="n"/>
      <c r="V191" s="7">
        <f>IF(L191="","",IF(TODAY()&gt;=L191,"到期","未到期"))</f>
        <v/>
      </c>
      <c r="W191" s="16" t="n"/>
      <c r="X191" s="16" t="n"/>
    </row>
    <row r="192">
      <c r="A192" s="15">
        <f>IF(B192="","","V-"&amp;TEXT(ROW()-1,"000"))</f>
        <v/>
      </c>
      <c r="B192" s="16" t="n"/>
      <c r="C192" s="17" t="n"/>
      <c r="D192" s="16" t="n"/>
      <c r="E192" s="16" t="n"/>
      <c r="F192" s="16" t="n"/>
      <c r="G192" s="16" t="n"/>
      <c r="H192" s="16" t="n"/>
      <c r="I192" s="16" t="n"/>
      <c r="J192" s="18" t="n"/>
      <c r="K192" s="16" t="n"/>
      <c r="L192" s="17" t="n"/>
      <c r="M192" s="18" t="n"/>
      <c r="N192" s="16" t="n"/>
      <c r="O192" s="16" t="n"/>
      <c r="P192" s="16" t="n"/>
      <c r="Q192" s="16" t="n"/>
      <c r="R192" s="16" t="n"/>
      <c r="S192" s="16" t="n"/>
      <c r="T192" s="18" t="n"/>
      <c r="U192" s="18" t="n"/>
      <c r="V192" s="7">
        <f>IF(L192="","",IF(TODAY()&gt;=L192,"到期","未到期"))</f>
        <v/>
      </c>
      <c r="W192" s="16" t="n"/>
      <c r="X192" s="16" t="n"/>
    </row>
    <row r="193">
      <c r="A193" s="15">
        <f>IF(B193="","","V-"&amp;TEXT(ROW()-1,"000"))</f>
        <v/>
      </c>
      <c r="B193" s="16" t="n"/>
      <c r="C193" s="17" t="n"/>
      <c r="D193" s="16" t="n"/>
      <c r="E193" s="16" t="n"/>
      <c r="F193" s="16" t="n"/>
      <c r="G193" s="16" t="n"/>
      <c r="H193" s="16" t="n"/>
      <c r="I193" s="16" t="n"/>
      <c r="J193" s="18" t="n"/>
      <c r="K193" s="16" t="n"/>
      <c r="L193" s="17" t="n"/>
      <c r="M193" s="18" t="n"/>
      <c r="N193" s="16" t="n"/>
      <c r="O193" s="16" t="n"/>
      <c r="P193" s="16" t="n"/>
      <c r="Q193" s="16" t="n"/>
      <c r="R193" s="16" t="n"/>
      <c r="S193" s="16" t="n"/>
      <c r="T193" s="18" t="n"/>
      <c r="U193" s="18" t="n"/>
      <c r="V193" s="7">
        <f>IF(L193="","",IF(TODAY()&gt;=L193,"到期","未到期"))</f>
        <v/>
      </c>
      <c r="W193" s="16" t="n"/>
      <c r="X193" s="16" t="n"/>
    </row>
    <row r="194">
      <c r="A194" s="15">
        <f>IF(B194="","","V-"&amp;TEXT(ROW()-1,"000"))</f>
        <v/>
      </c>
      <c r="B194" s="16" t="n"/>
      <c r="C194" s="17" t="n"/>
      <c r="D194" s="16" t="n"/>
      <c r="E194" s="16" t="n"/>
      <c r="F194" s="16" t="n"/>
      <c r="G194" s="16" t="n"/>
      <c r="H194" s="16" t="n"/>
      <c r="I194" s="16" t="n"/>
      <c r="J194" s="18" t="n"/>
      <c r="K194" s="16" t="n"/>
      <c r="L194" s="17" t="n"/>
      <c r="M194" s="18" t="n"/>
      <c r="N194" s="16" t="n"/>
      <c r="O194" s="16" t="n"/>
      <c r="P194" s="16" t="n"/>
      <c r="Q194" s="16" t="n"/>
      <c r="R194" s="16" t="n"/>
      <c r="S194" s="16" t="n"/>
      <c r="T194" s="18" t="n"/>
      <c r="U194" s="18" t="n"/>
      <c r="V194" s="7">
        <f>IF(L194="","",IF(TODAY()&gt;=L194,"到期","未到期"))</f>
        <v/>
      </c>
      <c r="W194" s="16" t="n"/>
      <c r="X194" s="16" t="n"/>
    </row>
    <row r="195">
      <c r="A195" s="15">
        <f>IF(B195="","","V-"&amp;TEXT(ROW()-1,"000"))</f>
        <v/>
      </c>
      <c r="B195" s="16" t="n"/>
      <c r="C195" s="17" t="n"/>
      <c r="D195" s="16" t="n"/>
      <c r="E195" s="16" t="n"/>
      <c r="F195" s="16" t="n"/>
      <c r="G195" s="16" t="n"/>
      <c r="H195" s="16" t="n"/>
      <c r="I195" s="16" t="n"/>
      <c r="J195" s="18" t="n"/>
      <c r="K195" s="16" t="n"/>
      <c r="L195" s="17" t="n"/>
      <c r="M195" s="18" t="n"/>
      <c r="N195" s="16" t="n"/>
      <c r="O195" s="16" t="n"/>
      <c r="P195" s="16" t="n"/>
      <c r="Q195" s="16" t="n"/>
      <c r="R195" s="16" t="n"/>
      <c r="S195" s="16" t="n"/>
      <c r="T195" s="18" t="n"/>
      <c r="U195" s="18" t="n"/>
      <c r="V195" s="7">
        <f>IF(L195="","",IF(TODAY()&gt;=L195,"到期","未到期"))</f>
        <v/>
      </c>
      <c r="W195" s="16" t="n"/>
      <c r="X195" s="16" t="n"/>
    </row>
    <row r="196">
      <c r="A196" s="15">
        <f>IF(B196="","","V-"&amp;TEXT(ROW()-1,"000"))</f>
        <v/>
      </c>
      <c r="B196" s="16" t="n"/>
      <c r="C196" s="17" t="n"/>
      <c r="D196" s="16" t="n"/>
      <c r="E196" s="16" t="n"/>
      <c r="F196" s="16" t="n"/>
      <c r="G196" s="16" t="n"/>
      <c r="H196" s="16" t="n"/>
      <c r="I196" s="16" t="n"/>
      <c r="J196" s="18" t="n"/>
      <c r="K196" s="16" t="n"/>
      <c r="L196" s="17" t="n"/>
      <c r="M196" s="18" t="n"/>
      <c r="N196" s="16" t="n"/>
      <c r="O196" s="16" t="n"/>
      <c r="P196" s="16" t="n"/>
      <c r="Q196" s="16" t="n"/>
      <c r="R196" s="16" t="n"/>
      <c r="S196" s="16" t="n"/>
      <c r="T196" s="18" t="n"/>
      <c r="U196" s="18" t="n"/>
      <c r="V196" s="7">
        <f>IF(L196="","",IF(TODAY()&gt;=L196,"到期","未到期"))</f>
        <v/>
      </c>
      <c r="W196" s="16" t="n"/>
      <c r="X196" s="16" t="n"/>
    </row>
    <row r="197">
      <c r="A197" s="15">
        <f>IF(B197="","","V-"&amp;TEXT(ROW()-1,"000"))</f>
        <v/>
      </c>
      <c r="B197" s="16" t="n"/>
      <c r="C197" s="17" t="n"/>
      <c r="D197" s="16" t="n"/>
      <c r="E197" s="16" t="n"/>
      <c r="F197" s="16" t="n"/>
      <c r="G197" s="16" t="n"/>
      <c r="H197" s="16" t="n"/>
      <c r="I197" s="16" t="n"/>
      <c r="J197" s="18" t="n"/>
      <c r="K197" s="16" t="n"/>
      <c r="L197" s="17" t="n"/>
      <c r="M197" s="18" t="n"/>
      <c r="N197" s="16" t="n"/>
      <c r="O197" s="16" t="n"/>
      <c r="P197" s="16" t="n"/>
      <c r="Q197" s="16" t="n"/>
      <c r="R197" s="16" t="n"/>
      <c r="S197" s="16" t="n"/>
      <c r="T197" s="18" t="n"/>
      <c r="U197" s="18" t="n"/>
      <c r="V197" s="7">
        <f>IF(L197="","",IF(TODAY()&gt;=L197,"到期","未到期"))</f>
        <v/>
      </c>
      <c r="W197" s="16" t="n"/>
      <c r="X197" s="16" t="n"/>
    </row>
    <row r="198">
      <c r="A198" s="15">
        <f>IF(B198="","","V-"&amp;TEXT(ROW()-1,"000"))</f>
        <v/>
      </c>
      <c r="B198" s="16" t="n"/>
      <c r="C198" s="17" t="n"/>
      <c r="D198" s="16" t="n"/>
      <c r="E198" s="16" t="n"/>
      <c r="F198" s="16" t="n"/>
      <c r="G198" s="16" t="n"/>
      <c r="H198" s="16" t="n"/>
      <c r="I198" s="16" t="n"/>
      <c r="J198" s="18" t="n"/>
      <c r="K198" s="16" t="n"/>
      <c r="L198" s="17" t="n"/>
      <c r="M198" s="18" t="n"/>
      <c r="N198" s="16" t="n"/>
      <c r="O198" s="16" t="n"/>
      <c r="P198" s="16" t="n"/>
      <c r="Q198" s="16" t="n"/>
      <c r="R198" s="16" t="n"/>
      <c r="S198" s="16" t="n"/>
      <c r="T198" s="18" t="n"/>
      <c r="U198" s="18" t="n"/>
      <c r="V198" s="7">
        <f>IF(L198="","",IF(TODAY()&gt;=L198,"到期","未到期"))</f>
        <v/>
      </c>
      <c r="W198" s="16" t="n"/>
      <c r="X198" s="16" t="n"/>
    </row>
    <row r="199">
      <c r="A199" s="15">
        <f>IF(B199="","","V-"&amp;TEXT(ROW()-1,"000"))</f>
        <v/>
      </c>
      <c r="B199" s="16" t="n"/>
      <c r="C199" s="17" t="n"/>
      <c r="D199" s="16" t="n"/>
      <c r="E199" s="16" t="n"/>
      <c r="F199" s="16" t="n"/>
      <c r="G199" s="16" t="n"/>
      <c r="H199" s="16" t="n"/>
      <c r="I199" s="16" t="n"/>
      <c r="J199" s="18" t="n"/>
      <c r="K199" s="16" t="n"/>
      <c r="L199" s="17" t="n"/>
      <c r="M199" s="18" t="n"/>
      <c r="N199" s="16" t="n"/>
      <c r="O199" s="16" t="n"/>
      <c r="P199" s="16" t="n"/>
      <c r="Q199" s="16" t="n"/>
      <c r="R199" s="16" t="n"/>
      <c r="S199" s="16" t="n"/>
      <c r="T199" s="18" t="n"/>
      <c r="U199" s="18" t="n"/>
      <c r="V199" s="7">
        <f>IF(L199="","",IF(TODAY()&gt;=L199,"到期","未到期"))</f>
        <v/>
      </c>
      <c r="W199" s="16" t="n"/>
      <c r="X199" s="16" t="n"/>
    </row>
    <row r="200">
      <c r="A200" s="15">
        <f>IF(B200="","","V-"&amp;TEXT(ROW()-1,"000"))</f>
        <v/>
      </c>
      <c r="B200" s="16" t="n"/>
      <c r="C200" s="17" t="n"/>
      <c r="D200" s="16" t="n"/>
      <c r="E200" s="16" t="n"/>
      <c r="F200" s="16" t="n"/>
      <c r="G200" s="16" t="n"/>
      <c r="H200" s="16" t="n"/>
      <c r="I200" s="16" t="n"/>
      <c r="J200" s="18" t="n"/>
      <c r="K200" s="16" t="n"/>
      <c r="L200" s="17" t="n"/>
      <c r="M200" s="18" t="n"/>
      <c r="N200" s="16" t="n"/>
      <c r="O200" s="16" t="n"/>
      <c r="P200" s="16" t="n"/>
      <c r="Q200" s="16" t="n"/>
      <c r="R200" s="16" t="n"/>
      <c r="S200" s="16" t="n"/>
      <c r="T200" s="18" t="n"/>
      <c r="U200" s="18" t="n"/>
      <c r="V200" s="7">
        <f>IF(L200="","",IF(TODAY()&gt;=L200,"到期","未到期"))</f>
        <v/>
      </c>
      <c r="W200" s="16" t="n"/>
      <c r="X200" s="16" t="n"/>
    </row>
    <row r="201">
      <c r="A201" s="15">
        <f>IF(B201="","","V-"&amp;TEXT(ROW()-1,"000"))</f>
        <v/>
      </c>
      <c r="B201" s="16" t="n"/>
      <c r="C201" s="17" t="n"/>
      <c r="D201" s="16" t="n"/>
      <c r="E201" s="16" t="n"/>
      <c r="F201" s="16" t="n"/>
      <c r="G201" s="16" t="n"/>
      <c r="H201" s="16" t="n"/>
      <c r="I201" s="16" t="n"/>
      <c r="J201" s="18" t="n"/>
      <c r="K201" s="16" t="n"/>
      <c r="L201" s="17" t="n"/>
      <c r="M201" s="18" t="n"/>
      <c r="N201" s="16" t="n"/>
      <c r="O201" s="16" t="n"/>
      <c r="P201" s="16" t="n"/>
      <c r="Q201" s="16" t="n"/>
      <c r="R201" s="16" t="n"/>
      <c r="S201" s="16" t="n"/>
      <c r="T201" s="18" t="n"/>
      <c r="U201" s="18" t="n"/>
      <c r="V201" s="7">
        <f>IF(L201="","",IF(TODAY()&gt;=L201,"到期","未到期"))</f>
        <v/>
      </c>
      <c r="W201" s="16" t="n"/>
      <c r="X201" s="16" t="n"/>
    </row>
    <row r="202">
      <c r="A202" s="15">
        <f>IF(B202="","","V-"&amp;TEXT(ROW()-1,"000"))</f>
        <v/>
      </c>
      <c r="B202" s="16" t="n"/>
      <c r="C202" s="17" t="n"/>
      <c r="D202" s="16" t="n"/>
      <c r="E202" s="16" t="n"/>
      <c r="F202" s="16" t="n"/>
      <c r="G202" s="16" t="n"/>
      <c r="H202" s="16" t="n"/>
      <c r="I202" s="16" t="n"/>
      <c r="J202" s="18" t="n"/>
      <c r="K202" s="16" t="n"/>
      <c r="L202" s="17" t="n"/>
      <c r="M202" s="18" t="n"/>
      <c r="N202" s="16" t="n"/>
      <c r="O202" s="16" t="n"/>
      <c r="P202" s="16" t="n"/>
      <c r="Q202" s="16" t="n"/>
      <c r="R202" s="16" t="n"/>
      <c r="S202" s="16" t="n"/>
      <c r="T202" s="18" t="n"/>
      <c r="U202" s="18" t="n"/>
      <c r="V202" s="7">
        <f>IF(L202="","",IF(TODAY()&gt;=L202,"到期","未到期"))</f>
        <v/>
      </c>
      <c r="W202" s="16" t="n"/>
      <c r="X202" s="16" t="n"/>
    </row>
    <row r="203">
      <c r="A203" s="15">
        <f>IF(B203="","","V-"&amp;TEXT(ROW()-1,"000"))</f>
        <v/>
      </c>
      <c r="B203" s="16" t="n"/>
      <c r="C203" s="17" t="n"/>
      <c r="D203" s="16" t="n"/>
      <c r="E203" s="16" t="n"/>
      <c r="F203" s="16" t="n"/>
      <c r="G203" s="16" t="n"/>
      <c r="H203" s="16" t="n"/>
      <c r="I203" s="16" t="n"/>
      <c r="J203" s="18" t="n"/>
      <c r="K203" s="16" t="n"/>
      <c r="L203" s="17" t="n"/>
      <c r="M203" s="18" t="n"/>
      <c r="N203" s="16" t="n"/>
      <c r="O203" s="16" t="n"/>
      <c r="P203" s="16" t="n"/>
      <c r="Q203" s="16" t="n"/>
      <c r="R203" s="16" t="n"/>
      <c r="S203" s="16" t="n"/>
      <c r="T203" s="18" t="n"/>
      <c r="U203" s="18" t="n"/>
      <c r="V203" s="7">
        <f>IF(L203="","",IF(TODAY()&gt;=L203,"到期","未到期"))</f>
        <v/>
      </c>
      <c r="W203" s="16" t="n"/>
      <c r="X203" s="16" t="n"/>
    </row>
    <row r="204">
      <c r="A204" s="15">
        <f>IF(B204="","","V-"&amp;TEXT(ROW()-1,"000"))</f>
        <v/>
      </c>
      <c r="B204" s="16" t="n"/>
      <c r="C204" s="17" t="n"/>
      <c r="D204" s="16" t="n"/>
      <c r="E204" s="16" t="n"/>
      <c r="F204" s="16" t="n"/>
      <c r="G204" s="16" t="n"/>
      <c r="H204" s="16" t="n"/>
      <c r="I204" s="16" t="n"/>
      <c r="J204" s="18" t="n"/>
      <c r="K204" s="16" t="n"/>
      <c r="L204" s="17" t="n"/>
      <c r="M204" s="18" t="n"/>
      <c r="N204" s="16" t="n"/>
      <c r="O204" s="16" t="n"/>
      <c r="P204" s="16" t="n"/>
      <c r="Q204" s="16" t="n"/>
      <c r="R204" s="16" t="n"/>
      <c r="S204" s="16" t="n"/>
      <c r="T204" s="18" t="n"/>
      <c r="U204" s="18" t="n"/>
      <c r="V204" s="7">
        <f>IF(L204="","",IF(TODAY()&gt;=L204,"到期","未到期"))</f>
        <v/>
      </c>
      <c r="W204" s="16" t="n"/>
      <c r="X204" s="16" t="n"/>
    </row>
    <row r="205">
      <c r="A205" s="15">
        <f>IF(B205="","","V-"&amp;TEXT(ROW()-1,"000"))</f>
        <v/>
      </c>
      <c r="B205" s="16" t="n"/>
      <c r="C205" s="17" t="n"/>
      <c r="D205" s="16" t="n"/>
      <c r="E205" s="16" t="n"/>
      <c r="F205" s="16" t="n"/>
      <c r="G205" s="16" t="n"/>
      <c r="H205" s="16" t="n"/>
      <c r="I205" s="16" t="n"/>
      <c r="J205" s="18" t="n"/>
      <c r="K205" s="16" t="n"/>
      <c r="L205" s="17" t="n"/>
      <c r="M205" s="18" t="n"/>
      <c r="N205" s="16" t="n"/>
      <c r="O205" s="16" t="n"/>
      <c r="P205" s="16" t="n"/>
      <c r="Q205" s="16" t="n"/>
      <c r="R205" s="16" t="n"/>
      <c r="S205" s="16" t="n"/>
      <c r="T205" s="18" t="n"/>
      <c r="U205" s="18" t="n"/>
      <c r="V205" s="7">
        <f>IF(L205="","",IF(TODAY()&gt;=L205,"到期","未到期"))</f>
        <v/>
      </c>
      <c r="W205" s="16" t="n"/>
      <c r="X205" s="16" t="n"/>
    </row>
    <row r="206">
      <c r="A206" s="15">
        <f>IF(B206="","","V-"&amp;TEXT(ROW()-1,"000"))</f>
        <v/>
      </c>
      <c r="B206" s="16" t="n"/>
      <c r="C206" s="17" t="n"/>
      <c r="D206" s="16" t="n"/>
      <c r="E206" s="16" t="n"/>
      <c r="F206" s="16" t="n"/>
      <c r="G206" s="16" t="n"/>
      <c r="H206" s="16" t="n"/>
      <c r="I206" s="16" t="n"/>
      <c r="J206" s="18" t="n"/>
      <c r="K206" s="16" t="n"/>
      <c r="L206" s="17" t="n"/>
      <c r="M206" s="18" t="n"/>
      <c r="N206" s="16" t="n"/>
      <c r="O206" s="16" t="n"/>
      <c r="P206" s="16" t="n"/>
      <c r="Q206" s="16" t="n"/>
      <c r="R206" s="16" t="n"/>
      <c r="S206" s="16" t="n"/>
      <c r="T206" s="18" t="n"/>
      <c r="U206" s="18" t="n"/>
      <c r="V206" s="7">
        <f>IF(L206="","",IF(TODAY()&gt;=L206,"到期","未到期"))</f>
        <v/>
      </c>
      <c r="W206" s="16" t="n"/>
      <c r="X206" s="16" t="n"/>
    </row>
    <row r="207">
      <c r="A207" s="15">
        <f>IF(B207="","","V-"&amp;TEXT(ROW()-1,"000"))</f>
        <v/>
      </c>
      <c r="B207" s="16" t="n"/>
      <c r="C207" s="17" t="n"/>
      <c r="D207" s="16" t="n"/>
      <c r="E207" s="16" t="n"/>
      <c r="F207" s="16" t="n"/>
      <c r="G207" s="16" t="n"/>
      <c r="H207" s="16" t="n"/>
      <c r="I207" s="16" t="n"/>
      <c r="J207" s="18" t="n"/>
      <c r="K207" s="16" t="n"/>
      <c r="L207" s="17" t="n"/>
      <c r="M207" s="18" t="n"/>
      <c r="N207" s="16" t="n"/>
      <c r="O207" s="16" t="n"/>
      <c r="P207" s="16" t="n"/>
      <c r="Q207" s="16" t="n"/>
      <c r="R207" s="16" t="n"/>
      <c r="S207" s="16" t="n"/>
      <c r="T207" s="18" t="n"/>
      <c r="U207" s="18" t="n"/>
      <c r="V207" s="7">
        <f>IF(L207="","",IF(TODAY()&gt;=L207,"到期","未到期"))</f>
        <v/>
      </c>
      <c r="W207" s="16" t="n"/>
      <c r="X207" s="16" t="n"/>
    </row>
    <row r="208">
      <c r="A208" s="15">
        <f>IF(B208="","","V-"&amp;TEXT(ROW()-1,"000"))</f>
        <v/>
      </c>
      <c r="B208" s="16" t="n"/>
      <c r="C208" s="17" t="n"/>
      <c r="D208" s="16" t="n"/>
      <c r="E208" s="16" t="n"/>
      <c r="F208" s="16" t="n"/>
      <c r="G208" s="16" t="n"/>
      <c r="H208" s="16" t="n"/>
      <c r="I208" s="16" t="n"/>
      <c r="J208" s="18" t="n"/>
      <c r="K208" s="16" t="n"/>
      <c r="L208" s="17" t="n"/>
      <c r="M208" s="18" t="n"/>
      <c r="N208" s="16" t="n"/>
      <c r="O208" s="16" t="n"/>
      <c r="P208" s="16" t="n"/>
      <c r="Q208" s="16" t="n"/>
      <c r="R208" s="16" t="n"/>
      <c r="S208" s="16" t="n"/>
      <c r="T208" s="18" t="n"/>
      <c r="U208" s="18" t="n"/>
      <c r="V208" s="7">
        <f>IF(L208="","",IF(TODAY()&gt;=L208,"到期","未到期"))</f>
        <v/>
      </c>
      <c r="W208" s="16" t="n"/>
      <c r="X208" s="16" t="n"/>
    </row>
    <row r="209">
      <c r="A209" s="15">
        <f>IF(B209="","","V-"&amp;TEXT(ROW()-1,"000"))</f>
        <v/>
      </c>
      <c r="B209" s="16" t="n"/>
      <c r="C209" s="17" t="n"/>
      <c r="D209" s="16" t="n"/>
      <c r="E209" s="16" t="n"/>
      <c r="F209" s="16" t="n"/>
      <c r="G209" s="16" t="n"/>
      <c r="H209" s="16" t="n"/>
      <c r="I209" s="16" t="n"/>
      <c r="J209" s="18" t="n"/>
      <c r="K209" s="16" t="n"/>
      <c r="L209" s="17" t="n"/>
      <c r="M209" s="18" t="n"/>
      <c r="N209" s="16" t="n"/>
      <c r="O209" s="16" t="n"/>
      <c r="P209" s="16" t="n"/>
      <c r="Q209" s="16" t="n"/>
      <c r="R209" s="16" t="n"/>
      <c r="S209" s="16" t="n"/>
      <c r="T209" s="18" t="n"/>
      <c r="U209" s="18" t="n"/>
      <c r="V209" s="7">
        <f>IF(L209="","",IF(TODAY()&gt;=L209,"到期","未到期"))</f>
        <v/>
      </c>
      <c r="W209" s="16" t="n"/>
      <c r="X209" s="16" t="n"/>
    </row>
    <row r="210">
      <c r="A210" s="15">
        <f>IF(B210="","","V-"&amp;TEXT(ROW()-1,"000"))</f>
        <v/>
      </c>
      <c r="B210" s="16" t="n"/>
      <c r="C210" s="17" t="n"/>
      <c r="D210" s="16" t="n"/>
      <c r="E210" s="16" t="n"/>
      <c r="F210" s="16" t="n"/>
      <c r="G210" s="16" t="n"/>
      <c r="H210" s="16" t="n"/>
      <c r="I210" s="16" t="n"/>
      <c r="J210" s="18" t="n"/>
      <c r="K210" s="16" t="n"/>
      <c r="L210" s="17" t="n"/>
      <c r="M210" s="18" t="n"/>
      <c r="N210" s="16" t="n"/>
      <c r="O210" s="16" t="n"/>
      <c r="P210" s="16" t="n"/>
      <c r="Q210" s="16" t="n"/>
      <c r="R210" s="16" t="n"/>
      <c r="S210" s="16" t="n"/>
      <c r="T210" s="18" t="n"/>
      <c r="U210" s="18" t="n"/>
      <c r="V210" s="7">
        <f>IF(L210="","",IF(TODAY()&gt;=L210,"到期","未到期"))</f>
        <v/>
      </c>
      <c r="W210" s="16" t="n"/>
      <c r="X210" s="16" t="n"/>
    </row>
    <row r="211">
      <c r="A211" s="15">
        <f>IF(B211="","","V-"&amp;TEXT(ROW()-1,"000"))</f>
        <v/>
      </c>
      <c r="B211" s="16" t="n"/>
      <c r="C211" s="17" t="n"/>
      <c r="D211" s="16" t="n"/>
      <c r="E211" s="16" t="n"/>
      <c r="F211" s="16" t="n"/>
      <c r="G211" s="16" t="n"/>
      <c r="H211" s="16" t="n"/>
      <c r="I211" s="16" t="n"/>
      <c r="J211" s="18" t="n"/>
      <c r="K211" s="16" t="n"/>
      <c r="L211" s="17" t="n"/>
      <c r="M211" s="18" t="n"/>
      <c r="N211" s="16" t="n"/>
      <c r="O211" s="16" t="n"/>
      <c r="P211" s="16" t="n"/>
      <c r="Q211" s="16" t="n"/>
      <c r="R211" s="16" t="n"/>
      <c r="S211" s="16" t="n"/>
      <c r="T211" s="18" t="n"/>
      <c r="U211" s="18" t="n"/>
      <c r="V211" s="7">
        <f>IF(L211="","",IF(TODAY()&gt;=L211,"到期","未到期"))</f>
        <v/>
      </c>
      <c r="W211" s="16" t="n"/>
      <c r="X211" s="16" t="n"/>
    </row>
    <row r="212">
      <c r="A212" s="15">
        <f>IF(B212="","","V-"&amp;TEXT(ROW()-1,"000"))</f>
        <v/>
      </c>
      <c r="B212" s="16" t="n"/>
      <c r="C212" s="17" t="n"/>
      <c r="D212" s="16" t="n"/>
      <c r="E212" s="16" t="n"/>
      <c r="F212" s="16" t="n"/>
      <c r="G212" s="16" t="n"/>
      <c r="H212" s="16" t="n"/>
      <c r="I212" s="16" t="n"/>
      <c r="J212" s="18" t="n"/>
      <c r="K212" s="16" t="n"/>
      <c r="L212" s="17" t="n"/>
      <c r="M212" s="18" t="n"/>
      <c r="N212" s="16" t="n"/>
      <c r="O212" s="16" t="n"/>
      <c r="P212" s="16" t="n"/>
      <c r="Q212" s="16" t="n"/>
      <c r="R212" s="16" t="n"/>
      <c r="S212" s="16" t="n"/>
      <c r="T212" s="18" t="n"/>
      <c r="U212" s="18" t="n"/>
      <c r="V212" s="7">
        <f>IF(L212="","",IF(TODAY()&gt;=L212,"到期","未到期"))</f>
        <v/>
      </c>
      <c r="W212" s="16" t="n"/>
      <c r="X212" s="16" t="n"/>
    </row>
    <row r="213">
      <c r="A213" s="15">
        <f>IF(B213="","","V-"&amp;TEXT(ROW()-1,"000"))</f>
        <v/>
      </c>
      <c r="B213" s="16" t="n"/>
      <c r="C213" s="17" t="n"/>
      <c r="D213" s="16" t="n"/>
      <c r="E213" s="16" t="n"/>
      <c r="F213" s="16" t="n"/>
      <c r="G213" s="16" t="n"/>
      <c r="H213" s="16" t="n"/>
      <c r="I213" s="16" t="n"/>
      <c r="J213" s="18" t="n"/>
      <c r="K213" s="16" t="n"/>
      <c r="L213" s="17" t="n"/>
      <c r="M213" s="18" t="n"/>
      <c r="N213" s="16" t="n"/>
      <c r="O213" s="16" t="n"/>
      <c r="P213" s="16" t="n"/>
      <c r="Q213" s="16" t="n"/>
      <c r="R213" s="16" t="n"/>
      <c r="S213" s="16" t="n"/>
      <c r="T213" s="18" t="n"/>
      <c r="U213" s="18" t="n"/>
      <c r="V213" s="7">
        <f>IF(L213="","",IF(TODAY()&gt;=L213,"到期","未到期"))</f>
        <v/>
      </c>
      <c r="W213" s="16" t="n"/>
      <c r="X213" s="16" t="n"/>
    </row>
    <row r="214">
      <c r="A214" s="15">
        <f>IF(B214="","","V-"&amp;TEXT(ROW()-1,"000"))</f>
        <v/>
      </c>
      <c r="B214" s="16" t="n"/>
      <c r="C214" s="17" t="n"/>
      <c r="D214" s="16" t="n"/>
      <c r="E214" s="16" t="n"/>
      <c r="F214" s="16" t="n"/>
      <c r="G214" s="16" t="n"/>
      <c r="H214" s="16" t="n"/>
      <c r="I214" s="16" t="n"/>
      <c r="J214" s="18" t="n"/>
      <c r="K214" s="16" t="n"/>
      <c r="L214" s="17" t="n"/>
      <c r="M214" s="18" t="n"/>
      <c r="N214" s="16" t="n"/>
      <c r="O214" s="16" t="n"/>
      <c r="P214" s="16" t="n"/>
      <c r="Q214" s="16" t="n"/>
      <c r="R214" s="16" t="n"/>
      <c r="S214" s="16" t="n"/>
      <c r="T214" s="18" t="n"/>
      <c r="U214" s="18" t="n"/>
      <c r="V214" s="7">
        <f>IF(L214="","",IF(TODAY()&gt;=L214,"到期","未到期"))</f>
        <v/>
      </c>
      <c r="W214" s="16" t="n"/>
      <c r="X214" s="16" t="n"/>
    </row>
    <row r="215">
      <c r="A215" s="15">
        <f>IF(B215="","","V-"&amp;TEXT(ROW()-1,"000"))</f>
        <v/>
      </c>
      <c r="B215" s="16" t="n"/>
      <c r="C215" s="17" t="n"/>
      <c r="D215" s="16" t="n"/>
      <c r="E215" s="16" t="n"/>
      <c r="F215" s="16" t="n"/>
      <c r="G215" s="16" t="n"/>
      <c r="H215" s="16" t="n"/>
      <c r="I215" s="16" t="n"/>
      <c r="J215" s="18" t="n"/>
      <c r="K215" s="16" t="n"/>
      <c r="L215" s="17" t="n"/>
      <c r="M215" s="18" t="n"/>
      <c r="N215" s="16" t="n"/>
      <c r="O215" s="16" t="n"/>
      <c r="P215" s="16" t="n"/>
      <c r="Q215" s="16" t="n"/>
      <c r="R215" s="16" t="n"/>
      <c r="S215" s="16" t="n"/>
      <c r="T215" s="18" t="n"/>
      <c r="U215" s="18" t="n"/>
      <c r="V215" s="7">
        <f>IF(L215="","",IF(TODAY()&gt;=L215,"到期","未到期"))</f>
        <v/>
      </c>
      <c r="W215" s="16" t="n"/>
      <c r="X215" s="16" t="n"/>
    </row>
    <row r="216">
      <c r="A216" s="15">
        <f>IF(B216="","","V-"&amp;TEXT(ROW()-1,"000"))</f>
        <v/>
      </c>
      <c r="B216" s="16" t="n"/>
      <c r="C216" s="17" t="n"/>
      <c r="D216" s="16" t="n"/>
      <c r="E216" s="16" t="n"/>
      <c r="F216" s="16" t="n"/>
      <c r="G216" s="16" t="n"/>
      <c r="H216" s="16" t="n"/>
      <c r="I216" s="16" t="n"/>
      <c r="J216" s="18" t="n"/>
      <c r="K216" s="16" t="n"/>
      <c r="L216" s="17" t="n"/>
      <c r="M216" s="18" t="n"/>
      <c r="N216" s="16" t="n"/>
      <c r="O216" s="16" t="n"/>
      <c r="P216" s="16" t="n"/>
      <c r="Q216" s="16" t="n"/>
      <c r="R216" s="16" t="n"/>
      <c r="S216" s="16" t="n"/>
      <c r="T216" s="18" t="n"/>
      <c r="U216" s="18" t="n"/>
      <c r="V216" s="7">
        <f>IF(L216="","",IF(TODAY()&gt;=L216,"到期","未到期"))</f>
        <v/>
      </c>
      <c r="W216" s="16" t="n"/>
      <c r="X216" s="16" t="n"/>
    </row>
    <row r="217">
      <c r="A217" s="15">
        <f>IF(B217="","","V-"&amp;TEXT(ROW()-1,"000"))</f>
        <v/>
      </c>
      <c r="B217" s="16" t="n"/>
      <c r="C217" s="17" t="n"/>
      <c r="D217" s="16" t="n"/>
      <c r="E217" s="16" t="n"/>
      <c r="F217" s="16" t="n"/>
      <c r="G217" s="16" t="n"/>
      <c r="H217" s="16" t="n"/>
      <c r="I217" s="16" t="n"/>
      <c r="J217" s="18" t="n"/>
      <c r="K217" s="16" t="n"/>
      <c r="L217" s="17" t="n"/>
      <c r="M217" s="18" t="n"/>
      <c r="N217" s="16" t="n"/>
      <c r="O217" s="16" t="n"/>
      <c r="P217" s="16" t="n"/>
      <c r="Q217" s="16" t="n"/>
      <c r="R217" s="16" t="n"/>
      <c r="S217" s="16" t="n"/>
      <c r="T217" s="18" t="n"/>
      <c r="U217" s="18" t="n"/>
      <c r="V217" s="7">
        <f>IF(L217="","",IF(TODAY()&gt;=L217,"到期","未到期"))</f>
        <v/>
      </c>
      <c r="W217" s="16" t="n"/>
      <c r="X217" s="16" t="n"/>
    </row>
    <row r="218">
      <c r="A218" s="15">
        <f>IF(B218="","","V-"&amp;TEXT(ROW()-1,"000"))</f>
        <v/>
      </c>
      <c r="B218" s="16" t="n"/>
      <c r="C218" s="17" t="n"/>
      <c r="D218" s="16" t="n"/>
      <c r="E218" s="16" t="n"/>
      <c r="F218" s="16" t="n"/>
      <c r="G218" s="16" t="n"/>
      <c r="H218" s="16" t="n"/>
      <c r="I218" s="16" t="n"/>
      <c r="J218" s="18" t="n"/>
      <c r="K218" s="16" t="n"/>
      <c r="L218" s="17" t="n"/>
      <c r="M218" s="18" t="n"/>
      <c r="N218" s="16" t="n"/>
      <c r="O218" s="16" t="n"/>
      <c r="P218" s="16" t="n"/>
      <c r="Q218" s="16" t="n"/>
      <c r="R218" s="16" t="n"/>
      <c r="S218" s="16" t="n"/>
      <c r="T218" s="18" t="n"/>
      <c r="U218" s="18" t="n"/>
      <c r="V218" s="7">
        <f>IF(L218="","",IF(TODAY()&gt;=L218,"到期","未到期"))</f>
        <v/>
      </c>
      <c r="W218" s="16" t="n"/>
      <c r="X218" s="16" t="n"/>
    </row>
    <row r="219">
      <c r="A219" s="15">
        <f>IF(B219="","","V-"&amp;TEXT(ROW()-1,"000"))</f>
        <v/>
      </c>
      <c r="B219" s="16" t="n"/>
      <c r="C219" s="17" t="n"/>
      <c r="D219" s="16" t="n"/>
      <c r="E219" s="16" t="n"/>
      <c r="F219" s="16" t="n"/>
      <c r="G219" s="16" t="n"/>
      <c r="H219" s="16" t="n"/>
      <c r="I219" s="16" t="n"/>
      <c r="J219" s="18" t="n"/>
      <c r="K219" s="16" t="n"/>
      <c r="L219" s="17" t="n"/>
      <c r="M219" s="18" t="n"/>
      <c r="N219" s="16" t="n"/>
      <c r="O219" s="16" t="n"/>
      <c r="P219" s="16" t="n"/>
      <c r="Q219" s="16" t="n"/>
      <c r="R219" s="16" t="n"/>
      <c r="S219" s="16" t="n"/>
      <c r="T219" s="18" t="n"/>
      <c r="U219" s="18" t="n"/>
      <c r="V219" s="7">
        <f>IF(L219="","",IF(TODAY()&gt;=L219,"到期","未到期"))</f>
        <v/>
      </c>
      <c r="W219" s="16" t="n"/>
      <c r="X219" s="16" t="n"/>
    </row>
    <row r="220">
      <c r="A220" s="15">
        <f>IF(B220="","","V-"&amp;TEXT(ROW()-1,"000"))</f>
        <v/>
      </c>
      <c r="B220" s="16" t="n"/>
      <c r="C220" s="17" t="n"/>
      <c r="D220" s="16" t="n"/>
      <c r="E220" s="16" t="n"/>
      <c r="F220" s="16" t="n"/>
      <c r="G220" s="16" t="n"/>
      <c r="H220" s="16" t="n"/>
      <c r="I220" s="16" t="n"/>
      <c r="J220" s="18" t="n"/>
      <c r="K220" s="16" t="n"/>
      <c r="L220" s="17" t="n"/>
      <c r="M220" s="18" t="n"/>
      <c r="N220" s="16" t="n"/>
      <c r="O220" s="16" t="n"/>
      <c r="P220" s="16" t="n"/>
      <c r="Q220" s="16" t="n"/>
      <c r="R220" s="16" t="n"/>
      <c r="S220" s="16" t="n"/>
      <c r="T220" s="18" t="n"/>
      <c r="U220" s="18" t="n"/>
      <c r="V220" s="7">
        <f>IF(L220="","",IF(TODAY()&gt;=L220,"到期","未到期"))</f>
        <v/>
      </c>
      <c r="W220" s="16" t="n"/>
      <c r="X220" s="16" t="n"/>
    </row>
    <row r="221">
      <c r="A221" s="15">
        <f>IF(B221="","","V-"&amp;TEXT(ROW()-1,"000"))</f>
        <v/>
      </c>
      <c r="B221" s="16" t="n"/>
      <c r="C221" s="17" t="n"/>
      <c r="D221" s="16" t="n"/>
      <c r="E221" s="16" t="n"/>
      <c r="F221" s="16" t="n"/>
      <c r="G221" s="16" t="n"/>
      <c r="H221" s="16" t="n"/>
      <c r="I221" s="16" t="n"/>
      <c r="J221" s="18" t="n"/>
      <c r="K221" s="16" t="n"/>
      <c r="L221" s="17" t="n"/>
      <c r="M221" s="18" t="n"/>
      <c r="N221" s="16" t="n"/>
      <c r="O221" s="16" t="n"/>
      <c r="P221" s="16" t="n"/>
      <c r="Q221" s="16" t="n"/>
      <c r="R221" s="16" t="n"/>
      <c r="S221" s="16" t="n"/>
      <c r="T221" s="18" t="n"/>
      <c r="U221" s="18" t="n"/>
      <c r="V221" s="7">
        <f>IF(L221="","",IF(TODAY()&gt;=L221,"到期","未到期"))</f>
        <v/>
      </c>
      <c r="W221" s="16" t="n"/>
      <c r="X221" s="16" t="n"/>
    </row>
    <row r="222">
      <c r="A222" s="15">
        <f>IF(B222="","","V-"&amp;TEXT(ROW()-1,"000"))</f>
        <v/>
      </c>
      <c r="B222" s="16" t="n"/>
      <c r="C222" s="17" t="n"/>
      <c r="D222" s="16" t="n"/>
      <c r="E222" s="16" t="n"/>
      <c r="F222" s="16" t="n"/>
      <c r="G222" s="16" t="n"/>
      <c r="H222" s="16" t="n"/>
      <c r="I222" s="16" t="n"/>
      <c r="J222" s="18" t="n"/>
      <c r="K222" s="16" t="n"/>
      <c r="L222" s="17" t="n"/>
      <c r="M222" s="18" t="n"/>
      <c r="N222" s="16" t="n"/>
      <c r="O222" s="16" t="n"/>
      <c r="P222" s="16" t="n"/>
      <c r="Q222" s="16" t="n"/>
      <c r="R222" s="16" t="n"/>
      <c r="S222" s="16" t="n"/>
      <c r="T222" s="18" t="n"/>
      <c r="U222" s="18" t="n"/>
      <c r="V222" s="7">
        <f>IF(L222="","",IF(TODAY()&gt;=L222,"到期","未到期"))</f>
        <v/>
      </c>
      <c r="W222" s="16" t="n"/>
      <c r="X222" s="16" t="n"/>
    </row>
    <row r="223">
      <c r="A223" s="15">
        <f>IF(B223="","","V-"&amp;TEXT(ROW()-1,"000"))</f>
        <v/>
      </c>
      <c r="B223" s="16" t="n"/>
      <c r="C223" s="17" t="n"/>
      <c r="D223" s="16" t="n"/>
      <c r="E223" s="16" t="n"/>
      <c r="F223" s="16" t="n"/>
      <c r="G223" s="16" t="n"/>
      <c r="H223" s="16" t="n"/>
      <c r="I223" s="16" t="n"/>
      <c r="J223" s="18" t="n"/>
      <c r="K223" s="16" t="n"/>
      <c r="L223" s="17" t="n"/>
      <c r="M223" s="18" t="n"/>
      <c r="N223" s="16" t="n"/>
      <c r="O223" s="16" t="n"/>
      <c r="P223" s="16" t="n"/>
      <c r="Q223" s="16" t="n"/>
      <c r="R223" s="16" t="n"/>
      <c r="S223" s="16" t="n"/>
      <c r="T223" s="18" t="n"/>
      <c r="U223" s="18" t="n"/>
      <c r="V223" s="7">
        <f>IF(L223="","",IF(TODAY()&gt;=L223,"到期","未到期"))</f>
        <v/>
      </c>
      <c r="W223" s="16" t="n"/>
      <c r="X223" s="16" t="n"/>
    </row>
    <row r="224">
      <c r="A224" s="15">
        <f>IF(B224="","","V-"&amp;TEXT(ROW()-1,"000"))</f>
        <v/>
      </c>
      <c r="B224" s="16" t="n"/>
      <c r="C224" s="17" t="n"/>
      <c r="D224" s="16" t="n"/>
      <c r="E224" s="16" t="n"/>
      <c r="F224" s="16" t="n"/>
      <c r="G224" s="16" t="n"/>
      <c r="H224" s="16" t="n"/>
      <c r="I224" s="16" t="n"/>
      <c r="J224" s="18" t="n"/>
      <c r="K224" s="16" t="n"/>
      <c r="L224" s="17" t="n"/>
      <c r="M224" s="18" t="n"/>
      <c r="N224" s="16" t="n"/>
      <c r="O224" s="16" t="n"/>
      <c r="P224" s="16" t="n"/>
      <c r="Q224" s="16" t="n"/>
      <c r="R224" s="16" t="n"/>
      <c r="S224" s="16" t="n"/>
      <c r="T224" s="18" t="n"/>
      <c r="U224" s="18" t="n"/>
      <c r="V224" s="7">
        <f>IF(L224="","",IF(TODAY()&gt;=L224,"到期","未到期"))</f>
        <v/>
      </c>
      <c r="W224" s="16" t="n"/>
      <c r="X224" s="16" t="n"/>
    </row>
    <row r="225">
      <c r="A225" s="15">
        <f>IF(B225="","","V-"&amp;TEXT(ROW()-1,"000"))</f>
        <v/>
      </c>
      <c r="B225" s="16" t="n"/>
      <c r="C225" s="17" t="n"/>
      <c r="D225" s="16" t="n"/>
      <c r="E225" s="16" t="n"/>
      <c r="F225" s="16" t="n"/>
      <c r="G225" s="16" t="n"/>
      <c r="H225" s="16" t="n"/>
      <c r="I225" s="16" t="n"/>
      <c r="J225" s="18" t="n"/>
      <c r="K225" s="16" t="n"/>
      <c r="L225" s="17" t="n"/>
      <c r="M225" s="18" t="n"/>
      <c r="N225" s="16" t="n"/>
      <c r="O225" s="16" t="n"/>
      <c r="P225" s="16" t="n"/>
      <c r="Q225" s="16" t="n"/>
      <c r="R225" s="16" t="n"/>
      <c r="S225" s="16" t="n"/>
      <c r="T225" s="18" t="n"/>
      <c r="U225" s="18" t="n"/>
      <c r="V225" s="7">
        <f>IF(L225="","",IF(TODAY()&gt;=L225,"到期","未到期"))</f>
        <v/>
      </c>
      <c r="W225" s="16" t="n"/>
      <c r="X225" s="16" t="n"/>
    </row>
    <row r="226">
      <c r="A226" s="15">
        <f>IF(B226="","","V-"&amp;TEXT(ROW()-1,"000"))</f>
        <v/>
      </c>
      <c r="B226" s="16" t="n"/>
      <c r="C226" s="17" t="n"/>
      <c r="D226" s="16" t="n"/>
      <c r="E226" s="16" t="n"/>
      <c r="F226" s="16" t="n"/>
      <c r="G226" s="16" t="n"/>
      <c r="H226" s="16" t="n"/>
      <c r="I226" s="16" t="n"/>
      <c r="J226" s="18" t="n"/>
      <c r="K226" s="16" t="n"/>
      <c r="L226" s="17" t="n"/>
      <c r="M226" s="18" t="n"/>
      <c r="N226" s="16" t="n"/>
      <c r="O226" s="16" t="n"/>
      <c r="P226" s="16" t="n"/>
      <c r="Q226" s="16" t="n"/>
      <c r="R226" s="16" t="n"/>
      <c r="S226" s="16" t="n"/>
      <c r="T226" s="18" t="n"/>
      <c r="U226" s="18" t="n"/>
      <c r="V226" s="7">
        <f>IF(L226="","",IF(TODAY()&gt;=L226,"到期","未到期"))</f>
        <v/>
      </c>
      <c r="W226" s="16" t="n"/>
      <c r="X226" s="16" t="n"/>
    </row>
    <row r="227">
      <c r="A227" s="15">
        <f>IF(B227="","","V-"&amp;TEXT(ROW()-1,"000"))</f>
        <v/>
      </c>
      <c r="B227" s="16" t="n"/>
      <c r="C227" s="17" t="n"/>
      <c r="D227" s="16" t="n"/>
      <c r="E227" s="16" t="n"/>
      <c r="F227" s="16" t="n"/>
      <c r="G227" s="16" t="n"/>
      <c r="H227" s="16" t="n"/>
      <c r="I227" s="16" t="n"/>
      <c r="J227" s="18" t="n"/>
      <c r="K227" s="16" t="n"/>
      <c r="L227" s="17" t="n"/>
      <c r="M227" s="18" t="n"/>
      <c r="N227" s="16" t="n"/>
      <c r="O227" s="16" t="n"/>
      <c r="P227" s="16" t="n"/>
      <c r="Q227" s="16" t="n"/>
      <c r="R227" s="16" t="n"/>
      <c r="S227" s="16" t="n"/>
      <c r="T227" s="18" t="n"/>
      <c r="U227" s="18" t="n"/>
      <c r="V227" s="7">
        <f>IF(L227="","",IF(TODAY()&gt;=L227,"到期","未到期"))</f>
        <v/>
      </c>
      <c r="W227" s="16" t="n"/>
      <c r="X227" s="16" t="n"/>
    </row>
    <row r="228">
      <c r="A228" s="15">
        <f>IF(B228="","","V-"&amp;TEXT(ROW()-1,"000"))</f>
        <v/>
      </c>
      <c r="B228" s="16" t="n"/>
      <c r="C228" s="17" t="n"/>
      <c r="D228" s="16" t="n"/>
      <c r="E228" s="16" t="n"/>
      <c r="F228" s="16" t="n"/>
      <c r="G228" s="16" t="n"/>
      <c r="H228" s="16" t="n"/>
      <c r="I228" s="16" t="n"/>
      <c r="J228" s="18" t="n"/>
      <c r="K228" s="16" t="n"/>
      <c r="L228" s="17" t="n"/>
      <c r="M228" s="18" t="n"/>
      <c r="N228" s="16" t="n"/>
      <c r="O228" s="16" t="n"/>
      <c r="P228" s="16" t="n"/>
      <c r="Q228" s="16" t="n"/>
      <c r="R228" s="16" t="n"/>
      <c r="S228" s="16" t="n"/>
      <c r="T228" s="18" t="n"/>
      <c r="U228" s="18" t="n"/>
      <c r="V228" s="7">
        <f>IF(L228="","",IF(TODAY()&gt;=L228,"到期","未到期"))</f>
        <v/>
      </c>
      <c r="W228" s="16" t="n"/>
      <c r="X228" s="16" t="n"/>
    </row>
    <row r="229">
      <c r="A229" s="15">
        <f>IF(B229="","","V-"&amp;TEXT(ROW()-1,"000"))</f>
        <v/>
      </c>
      <c r="B229" s="16" t="n"/>
      <c r="C229" s="17" t="n"/>
      <c r="D229" s="16" t="n"/>
      <c r="E229" s="16" t="n"/>
      <c r="F229" s="16" t="n"/>
      <c r="G229" s="16" t="n"/>
      <c r="H229" s="16" t="n"/>
      <c r="I229" s="16" t="n"/>
      <c r="J229" s="18" t="n"/>
      <c r="K229" s="16" t="n"/>
      <c r="L229" s="17" t="n"/>
      <c r="M229" s="18" t="n"/>
      <c r="N229" s="16" t="n"/>
      <c r="O229" s="16" t="n"/>
      <c r="P229" s="16" t="n"/>
      <c r="Q229" s="16" t="n"/>
      <c r="R229" s="16" t="n"/>
      <c r="S229" s="16" t="n"/>
      <c r="T229" s="18" t="n"/>
      <c r="U229" s="18" t="n"/>
      <c r="V229" s="7">
        <f>IF(L229="","",IF(TODAY()&gt;=L229,"到期","未到期"))</f>
        <v/>
      </c>
      <c r="W229" s="16" t="n"/>
      <c r="X229" s="16" t="n"/>
    </row>
    <row r="230">
      <c r="A230" s="15">
        <f>IF(B230="","","V-"&amp;TEXT(ROW()-1,"000"))</f>
        <v/>
      </c>
      <c r="B230" s="16" t="n"/>
      <c r="C230" s="17" t="n"/>
      <c r="D230" s="16" t="n"/>
      <c r="E230" s="16" t="n"/>
      <c r="F230" s="16" t="n"/>
      <c r="G230" s="16" t="n"/>
      <c r="H230" s="16" t="n"/>
      <c r="I230" s="16" t="n"/>
      <c r="J230" s="18" t="n"/>
      <c r="K230" s="16" t="n"/>
      <c r="L230" s="17" t="n"/>
      <c r="M230" s="18" t="n"/>
      <c r="N230" s="16" t="n"/>
      <c r="O230" s="16" t="n"/>
      <c r="P230" s="16" t="n"/>
      <c r="Q230" s="16" t="n"/>
      <c r="R230" s="16" t="n"/>
      <c r="S230" s="16" t="n"/>
      <c r="T230" s="18" t="n"/>
      <c r="U230" s="18" t="n"/>
      <c r="V230" s="7">
        <f>IF(L230="","",IF(TODAY()&gt;=L230,"到期","未到期"))</f>
        <v/>
      </c>
      <c r="W230" s="16" t="n"/>
      <c r="X230" s="16" t="n"/>
    </row>
    <row r="231">
      <c r="A231" s="15">
        <f>IF(B231="","","V-"&amp;TEXT(ROW()-1,"000"))</f>
        <v/>
      </c>
      <c r="B231" s="16" t="n"/>
      <c r="C231" s="17" t="n"/>
      <c r="D231" s="16" t="n"/>
      <c r="E231" s="16" t="n"/>
      <c r="F231" s="16" t="n"/>
      <c r="G231" s="16" t="n"/>
      <c r="H231" s="16" t="n"/>
      <c r="I231" s="16" t="n"/>
      <c r="J231" s="18" t="n"/>
      <c r="K231" s="16" t="n"/>
      <c r="L231" s="17" t="n"/>
      <c r="M231" s="18" t="n"/>
      <c r="N231" s="16" t="n"/>
      <c r="O231" s="16" t="n"/>
      <c r="P231" s="16" t="n"/>
      <c r="Q231" s="16" t="n"/>
      <c r="R231" s="16" t="n"/>
      <c r="S231" s="16" t="n"/>
      <c r="T231" s="18" t="n"/>
      <c r="U231" s="18" t="n"/>
      <c r="V231" s="7">
        <f>IF(L231="","",IF(TODAY()&gt;=L231,"到期","未到期"))</f>
        <v/>
      </c>
      <c r="W231" s="16" t="n"/>
      <c r="X231" s="16" t="n"/>
    </row>
    <row r="232">
      <c r="A232" s="15">
        <f>IF(B232="","","V-"&amp;TEXT(ROW()-1,"000"))</f>
        <v/>
      </c>
      <c r="B232" s="16" t="n"/>
      <c r="C232" s="17" t="n"/>
      <c r="D232" s="16" t="n"/>
      <c r="E232" s="16" t="n"/>
      <c r="F232" s="16" t="n"/>
      <c r="G232" s="16" t="n"/>
      <c r="H232" s="16" t="n"/>
      <c r="I232" s="16" t="n"/>
      <c r="J232" s="18" t="n"/>
      <c r="K232" s="16" t="n"/>
      <c r="L232" s="17" t="n"/>
      <c r="M232" s="18" t="n"/>
      <c r="N232" s="16" t="n"/>
      <c r="O232" s="16" t="n"/>
      <c r="P232" s="16" t="n"/>
      <c r="Q232" s="16" t="n"/>
      <c r="R232" s="16" t="n"/>
      <c r="S232" s="16" t="n"/>
      <c r="T232" s="18" t="n"/>
      <c r="U232" s="18" t="n"/>
      <c r="V232" s="7">
        <f>IF(L232="","",IF(TODAY()&gt;=L232,"到期","未到期"))</f>
        <v/>
      </c>
      <c r="W232" s="16" t="n"/>
      <c r="X232" s="16" t="n"/>
    </row>
    <row r="233">
      <c r="A233" s="15">
        <f>IF(B233="","","V-"&amp;TEXT(ROW()-1,"000"))</f>
        <v/>
      </c>
      <c r="B233" s="16" t="n"/>
      <c r="C233" s="17" t="n"/>
      <c r="D233" s="16" t="n"/>
      <c r="E233" s="16" t="n"/>
      <c r="F233" s="16" t="n"/>
      <c r="G233" s="16" t="n"/>
      <c r="H233" s="16" t="n"/>
      <c r="I233" s="16" t="n"/>
      <c r="J233" s="18" t="n"/>
      <c r="K233" s="16" t="n"/>
      <c r="L233" s="17" t="n"/>
      <c r="M233" s="18" t="n"/>
      <c r="N233" s="16" t="n"/>
      <c r="O233" s="16" t="n"/>
      <c r="P233" s="16" t="n"/>
      <c r="Q233" s="16" t="n"/>
      <c r="R233" s="16" t="n"/>
      <c r="S233" s="16" t="n"/>
      <c r="T233" s="18" t="n"/>
      <c r="U233" s="18" t="n"/>
      <c r="V233" s="7">
        <f>IF(L233="","",IF(TODAY()&gt;=L233,"到期","未到期"))</f>
        <v/>
      </c>
      <c r="W233" s="16" t="n"/>
      <c r="X233" s="16" t="n"/>
    </row>
    <row r="234">
      <c r="A234" s="15">
        <f>IF(B234="","","V-"&amp;TEXT(ROW()-1,"000"))</f>
        <v/>
      </c>
      <c r="B234" s="16" t="n"/>
      <c r="C234" s="17" t="n"/>
      <c r="D234" s="16" t="n"/>
      <c r="E234" s="16" t="n"/>
      <c r="F234" s="16" t="n"/>
      <c r="G234" s="16" t="n"/>
      <c r="H234" s="16" t="n"/>
      <c r="I234" s="16" t="n"/>
      <c r="J234" s="18" t="n"/>
      <c r="K234" s="16" t="n"/>
      <c r="L234" s="17" t="n"/>
      <c r="M234" s="18" t="n"/>
      <c r="N234" s="16" t="n"/>
      <c r="O234" s="16" t="n"/>
      <c r="P234" s="16" t="n"/>
      <c r="Q234" s="16" t="n"/>
      <c r="R234" s="16" t="n"/>
      <c r="S234" s="16" t="n"/>
      <c r="T234" s="18" t="n"/>
      <c r="U234" s="18" t="n"/>
      <c r="V234" s="7">
        <f>IF(L234="","",IF(TODAY()&gt;=L234,"到期","未到期"))</f>
        <v/>
      </c>
      <c r="W234" s="16" t="n"/>
      <c r="X234" s="16" t="n"/>
    </row>
    <row r="235">
      <c r="A235" s="15">
        <f>IF(B235="","","V-"&amp;TEXT(ROW()-1,"000"))</f>
        <v/>
      </c>
      <c r="B235" s="16" t="n"/>
      <c r="C235" s="17" t="n"/>
      <c r="D235" s="16" t="n"/>
      <c r="E235" s="16" t="n"/>
      <c r="F235" s="16" t="n"/>
      <c r="G235" s="16" t="n"/>
      <c r="H235" s="16" t="n"/>
      <c r="I235" s="16" t="n"/>
      <c r="J235" s="18" t="n"/>
      <c r="K235" s="16" t="n"/>
      <c r="L235" s="17" t="n"/>
      <c r="M235" s="18" t="n"/>
      <c r="N235" s="16" t="n"/>
      <c r="O235" s="16" t="n"/>
      <c r="P235" s="16" t="n"/>
      <c r="Q235" s="16" t="n"/>
      <c r="R235" s="16" t="n"/>
      <c r="S235" s="16" t="n"/>
      <c r="T235" s="18" t="n"/>
      <c r="U235" s="18" t="n"/>
      <c r="V235" s="7">
        <f>IF(L235="","",IF(TODAY()&gt;=L235,"到期","未到期"))</f>
        <v/>
      </c>
      <c r="W235" s="16" t="n"/>
      <c r="X235" s="16" t="n"/>
    </row>
    <row r="236">
      <c r="A236" s="15">
        <f>IF(B236="","","V-"&amp;TEXT(ROW()-1,"000"))</f>
        <v/>
      </c>
      <c r="B236" s="16" t="n"/>
      <c r="C236" s="17" t="n"/>
      <c r="D236" s="16" t="n"/>
      <c r="E236" s="16" t="n"/>
      <c r="F236" s="16" t="n"/>
      <c r="G236" s="16" t="n"/>
      <c r="H236" s="16" t="n"/>
      <c r="I236" s="16" t="n"/>
      <c r="J236" s="18" t="n"/>
      <c r="K236" s="16" t="n"/>
      <c r="L236" s="17" t="n"/>
      <c r="M236" s="18" t="n"/>
      <c r="N236" s="16" t="n"/>
      <c r="O236" s="16" t="n"/>
      <c r="P236" s="16" t="n"/>
      <c r="Q236" s="16" t="n"/>
      <c r="R236" s="16" t="n"/>
      <c r="S236" s="16" t="n"/>
      <c r="T236" s="18" t="n"/>
      <c r="U236" s="18" t="n"/>
      <c r="V236" s="7">
        <f>IF(L236="","",IF(TODAY()&gt;=L236,"到期","未到期"))</f>
        <v/>
      </c>
      <c r="W236" s="16" t="n"/>
      <c r="X236" s="16" t="n"/>
    </row>
    <row r="237">
      <c r="A237" s="15">
        <f>IF(B237="","","V-"&amp;TEXT(ROW()-1,"000"))</f>
        <v/>
      </c>
      <c r="B237" s="16" t="n"/>
      <c r="C237" s="17" t="n"/>
      <c r="D237" s="16" t="n"/>
      <c r="E237" s="16" t="n"/>
      <c r="F237" s="16" t="n"/>
      <c r="G237" s="16" t="n"/>
      <c r="H237" s="16" t="n"/>
      <c r="I237" s="16" t="n"/>
      <c r="J237" s="18" t="n"/>
      <c r="K237" s="16" t="n"/>
      <c r="L237" s="17" t="n"/>
      <c r="M237" s="18" t="n"/>
      <c r="N237" s="16" t="n"/>
      <c r="O237" s="16" t="n"/>
      <c r="P237" s="16" t="n"/>
      <c r="Q237" s="16" t="n"/>
      <c r="R237" s="16" t="n"/>
      <c r="S237" s="16" t="n"/>
      <c r="T237" s="18" t="n"/>
      <c r="U237" s="18" t="n"/>
      <c r="V237" s="7">
        <f>IF(L237="","",IF(TODAY()&gt;=L237,"到期","未到期"))</f>
        <v/>
      </c>
      <c r="W237" s="16" t="n"/>
      <c r="X237" s="16" t="n"/>
    </row>
    <row r="238">
      <c r="A238" s="15">
        <f>IF(B238="","","V-"&amp;TEXT(ROW()-1,"000"))</f>
        <v/>
      </c>
      <c r="B238" s="16" t="n"/>
      <c r="C238" s="17" t="n"/>
      <c r="D238" s="16" t="n"/>
      <c r="E238" s="16" t="n"/>
      <c r="F238" s="16" t="n"/>
      <c r="G238" s="16" t="n"/>
      <c r="H238" s="16" t="n"/>
      <c r="I238" s="16" t="n"/>
      <c r="J238" s="18" t="n"/>
      <c r="K238" s="16" t="n"/>
      <c r="L238" s="17" t="n"/>
      <c r="M238" s="18" t="n"/>
      <c r="N238" s="16" t="n"/>
      <c r="O238" s="16" t="n"/>
      <c r="P238" s="16" t="n"/>
      <c r="Q238" s="16" t="n"/>
      <c r="R238" s="16" t="n"/>
      <c r="S238" s="16" t="n"/>
      <c r="T238" s="18" t="n"/>
      <c r="U238" s="18" t="n"/>
      <c r="V238" s="7">
        <f>IF(L238="","",IF(TODAY()&gt;=L238,"到期","未到期"))</f>
        <v/>
      </c>
      <c r="W238" s="16" t="n"/>
      <c r="X238" s="16" t="n"/>
    </row>
    <row r="239">
      <c r="A239" s="15">
        <f>IF(B239="","","V-"&amp;TEXT(ROW()-1,"000"))</f>
        <v/>
      </c>
      <c r="B239" s="16" t="n"/>
      <c r="C239" s="17" t="n"/>
      <c r="D239" s="16" t="n"/>
      <c r="E239" s="16" t="n"/>
      <c r="F239" s="16" t="n"/>
      <c r="G239" s="16" t="n"/>
      <c r="H239" s="16" t="n"/>
      <c r="I239" s="16" t="n"/>
      <c r="J239" s="18" t="n"/>
      <c r="K239" s="16" t="n"/>
      <c r="L239" s="17" t="n"/>
      <c r="M239" s="18" t="n"/>
      <c r="N239" s="16" t="n"/>
      <c r="O239" s="16" t="n"/>
      <c r="P239" s="16" t="n"/>
      <c r="Q239" s="16" t="n"/>
      <c r="R239" s="16" t="n"/>
      <c r="S239" s="16" t="n"/>
      <c r="T239" s="18" t="n"/>
      <c r="U239" s="18" t="n"/>
      <c r="V239" s="7">
        <f>IF(L239="","",IF(TODAY()&gt;=L239,"到期","未到期"))</f>
        <v/>
      </c>
      <c r="W239" s="16" t="n"/>
      <c r="X239" s="16" t="n"/>
    </row>
    <row r="240">
      <c r="A240" s="15">
        <f>IF(B240="","","V-"&amp;TEXT(ROW()-1,"000"))</f>
        <v/>
      </c>
      <c r="B240" s="16" t="n"/>
      <c r="C240" s="17" t="n"/>
      <c r="D240" s="16" t="n"/>
      <c r="E240" s="16" t="n"/>
      <c r="F240" s="16" t="n"/>
      <c r="G240" s="16" t="n"/>
      <c r="H240" s="16" t="n"/>
      <c r="I240" s="16" t="n"/>
      <c r="J240" s="18" t="n"/>
      <c r="K240" s="16" t="n"/>
      <c r="L240" s="17" t="n"/>
      <c r="M240" s="18" t="n"/>
      <c r="N240" s="16" t="n"/>
      <c r="O240" s="16" t="n"/>
      <c r="P240" s="16" t="n"/>
      <c r="Q240" s="16" t="n"/>
      <c r="R240" s="16" t="n"/>
      <c r="S240" s="16" t="n"/>
      <c r="T240" s="18" t="n"/>
      <c r="U240" s="18" t="n"/>
      <c r="V240" s="7">
        <f>IF(L240="","",IF(TODAY()&gt;=L240,"到期","未到期"))</f>
        <v/>
      </c>
      <c r="W240" s="16" t="n"/>
      <c r="X240" s="16" t="n"/>
    </row>
    <row r="241">
      <c r="A241" s="15">
        <f>IF(B241="","","V-"&amp;TEXT(ROW()-1,"000"))</f>
        <v/>
      </c>
      <c r="B241" s="16" t="n"/>
      <c r="C241" s="17" t="n"/>
      <c r="D241" s="16" t="n"/>
      <c r="E241" s="16" t="n"/>
      <c r="F241" s="16" t="n"/>
      <c r="G241" s="16" t="n"/>
      <c r="H241" s="16" t="n"/>
      <c r="I241" s="16" t="n"/>
      <c r="J241" s="18" t="n"/>
      <c r="K241" s="16" t="n"/>
      <c r="L241" s="17" t="n"/>
      <c r="M241" s="18" t="n"/>
      <c r="N241" s="16" t="n"/>
      <c r="O241" s="16" t="n"/>
      <c r="P241" s="16" t="n"/>
      <c r="Q241" s="16" t="n"/>
      <c r="R241" s="16" t="n"/>
      <c r="S241" s="16" t="n"/>
      <c r="T241" s="18" t="n"/>
      <c r="U241" s="18" t="n"/>
      <c r="V241" s="7">
        <f>IF(L241="","",IF(TODAY()&gt;=L241,"到期","未到期"))</f>
        <v/>
      </c>
      <c r="W241" s="16" t="n"/>
      <c r="X241" s="16" t="n"/>
    </row>
    <row r="242">
      <c r="A242" s="15">
        <f>IF(B242="","","V-"&amp;TEXT(ROW()-1,"000"))</f>
        <v/>
      </c>
      <c r="B242" s="16" t="n"/>
      <c r="C242" s="17" t="n"/>
      <c r="D242" s="16" t="n"/>
      <c r="E242" s="16" t="n"/>
      <c r="F242" s="16" t="n"/>
      <c r="G242" s="16" t="n"/>
      <c r="H242" s="16" t="n"/>
      <c r="I242" s="16" t="n"/>
      <c r="J242" s="18" t="n"/>
      <c r="K242" s="16" t="n"/>
      <c r="L242" s="17" t="n"/>
      <c r="M242" s="18" t="n"/>
      <c r="N242" s="16" t="n"/>
      <c r="O242" s="16" t="n"/>
      <c r="P242" s="16" t="n"/>
      <c r="Q242" s="16" t="n"/>
      <c r="R242" s="16" t="n"/>
      <c r="S242" s="16" t="n"/>
      <c r="T242" s="18" t="n"/>
      <c r="U242" s="18" t="n"/>
      <c r="V242" s="7">
        <f>IF(L242="","",IF(TODAY()&gt;=L242,"到期","未到期"))</f>
        <v/>
      </c>
      <c r="W242" s="16" t="n"/>
      <c r="X242" s="16" t="n"/>
    </row>
    <row r="243">
      <c r="A243" s="15">
        <f>IF(B243="","","V-"&amp;TEXT(ROW()-1,"000"))</f>
        <v/>
      </c>
      <c r="B243" s="16" t="n"/>
      <c r="C243" s="17" t="n"/>
      <c r="D243" s="16" t="n"/>
      <c r="E243" s="16" t="n"/>
      <c r="F243" s="16" t="n"/>
      <c r="G243" s="16" t="n"/>
      <c r="H243" s="16" t="n"/>
      <c r="I243" s="16" t="n"/>
      <c r="J243" s="18" t="n"/>
      <c r="K243" s="16" t="n"/>
      <c r="L243" s="17" t="n"/>
      <c r="M243" s="18" t="n"/>
      <c r="N243" s="16" t="n"/>
      <c r="O243" s="16" t="n"/>
      <c r="P243" s="16" t="n"/>
      <c r="Q243" s="16" t="n"/>
      <c r="R243" s="16" t="n"/>
      <c r="S243" s="16" t="n"/>
      <c r="T243" s="18" t="n"/>
      <c r="U243" s="18" t="n"/>
      <c r="V243" s="7">
        <f>IF(L243="","",IF(TODAY()&gt;=L243,"到期","未到期"))</f>
        <v/>
      </c>
      <c r="W243" s="16" t="n"/>
      <c r="X243" s="16" t="n"/>
    </row>
    <row r="244">
      <c r="A244" s="15">
        <f>IF(B244="","","V-"&amp;TEXT(ROW()-1,"000"))</f>
        <v/>
      </c>
      <c r="B244" s="16" t="n"/>
      <c r="C244" s="17" t="n"/>
      <c r="D244" s="16" t="n"/>
      <c r="E244" s="16" t="n"/>
      <c r="F244" s="16" t="n"/>
      <c r="G244" s="16" t="n"/>
      <c r="H244" s="16" t="n"/>
      <c r="I244" s="16" t="n"/>
      <c r="J244" s="18" t="n"/>
      <c r="K244" s="16" t="n"/>
      <c r="L244" s="17" t="n"/>
      <c r="M244" s="18" t="n"/>
      <c r="N244" s="16" t="n"/>
      <c r="O244" s="16" t="n"/>
      <c r="P244" s="16" t="n"/>
      <c r="Q244" s="16" t="n"/>
      <c r="R244" s="16" t="n"/>
      <c r="S244" s="16" t="n"/>
      <c r="T244" s="18" t="n"/>
      <c r="U244" s="18" t="n"/>
      <c r="V244" s="7">
        <f>IF(L244="","",IF(TODAY()&gt;=L244,"到期","未到期"))</f>
        <v/>
      </c>
      <c r="W244" s="16" t="n"/>
      <c r="X244" s="16" t="n"/>
    </row>
    <row r="245">
      <c r="A245" s="15">
        <f>IF(B245="","","V-"&amp;TEXT(ROW()-1,"000"))</f>
        <v/>
      </c>
      <c r="B245" s="16" t="n"/>
      <c r="C245" s="17" t="n"/>
      <c r="D245" s="16" t="n"/>
      <c r="E245" s="16" t="n"/>
      <c r="F245" s="16" t="n"/>
      <c r="G245" s="16" t="n"/>
      <c r="H245" s="16" t="n"/>
      <c r="I245" s="16" t="n"/>
      <c r="J245" s="18" t="n"/>
      <c r="K245" s="16" t="n"/>
      <c r="L245" s="17" t="n"/>
      <c r="M245" s="18" t="n"/>
      <c r="N245" s="16" t="n"/>
      <c r="O245" s="16" t="n"/>
      <c r="P245" s="16" t="n"/>
      <c r="Q245" s="16" t="n"/>
      <c r="R245" s="16" t="n"/>
      <c r="S245" s="16" t="n"/>
      <c r="T245" s="18" t="n"/>
      <c r="U245" s="18" t="n"/>
      <c r="V245" s="7">
        <f>IF(L245="","",IF(TODAY()&gt;=L245,"到期","未到期"))</f>
        <v/>
      </c>
      <c r="W245" s="16" t="n"/>
      <c r="X245" s="16" t="n"/>
    </row>
    <row r="246">
      <c r="A246" s="15">
        <f>IF(B246="","","V-"&amp;TEXT(ROW()-1,"000"))</f>
        <v/>
      </c>
      <c r="B246" s="16" t="n"/>
      <c r="C246" s="17" t="n"/>
      <c r="D246" s="16" t="n"/>
      <c r="E246" s="16" t="n"/>
      <c r="F246" s="16" t="n"/>
      <c r="G246" s="16" t="n"/>
      <c r="H246" s="16" t="n"/>
      <c r="I246" s="16" t="n"/>
      <c r="J246" s="18" t="n"/>
      <c r="K246" s="16" t="n"/>
      <c r="L246" s="17" t="n"/>
      <c r="M246" s="18" t="n"/>
      <c r="N246" s="16" t="n"/>
      <c r="O246" s="16" t="n"/>
      <c r="P246" s="16" t="n"/>
      <c r="Q246" s="16" t="n"/>
      <c r="R246" s="16" t="n"/>
      <c r="S246" s="16" t="n"/>
      <c r="T246" s="18" t="n"/>
      <c r="U246" s="18" t="n"/>
      <c r="V246" s="7">
        <f>IF(L246="","",IF(TODAY()&gt;=L246,"到期","未到期"))</f>
        <v/>
      </c>
      <c r="W246" s="16" t="n"/>
      <c r="X246" s="16" t="n"/>
    </row>
    <row r="247">
      <c r="A247" s="15">
        <f>IF(B247="","","V-"&amp;TEXT(ROW()-1,"000"))</f>
        <v/>
      </c>
      <c r="B247" s="16" t="n"/>
      <c r="C247" s="17" t="n"/>
      <c r="D247" s="16" t="n"/>
      <c r="E247" s="16" t="n"/>
      <c r="F247" s="16" t="n"/>
      <c r="G247" s="16" t="n"/>
      <c r="H247" s="16" t="n"/>
      <c r="I247" s="16" t="n"/>
      <c r="J247" s="18" t="n"/>
      <c r="K247" s="16" t="n"/>
      <c r="L247" s="17" t="n"/>
      <c r="M247" s="18" t="n"/>
      <c r="N247" s="16" t="n"/>
      <c r="O247" s="16" t="n"/>
      <c r="P247" s="16" t="n"/>
      <c r="Q247" s="16" t="n"/>
      <c r="R247" s="16" t="n"/>
      <c r="S247" s="16" t="n"/>
      <c r="T247" s="18" t="n"/>
      <c r="U247" s="18" t="n"/>
      <c r="V247" s="7">
        <f>IF(L247="","",IF(TODAY()&gt;=L247,"到期","未到期"))</f>
        <v/>
      </c>
      <c r="W247" s="16" t="n"/>
      <c r="X247" s="16" t="n"/>
    </row>
    <row r="248">
      <c r="A248" s="15">
        <f>IF(B248="","","V-"&amp;TEXT(ROW()-1,"000"))</f>
        <v/>
      </c>
      <c r="B248" s="16" t="n"/>
      <c r="C248" s="17" t="n"/>
      <c r="D248" s="16" t="n"/>
      <c r="E248" s="16" t="n"/>
      <c r="F248" s="16" t="n"/>
      <c r="G248" s="16" t="n"/>
      <c r="H248" s="16" t="n"/>
      <c r="I248" s="16" t="n"/>
      <c r="J248" s="18" t="n"/>
      <c r="K248" s="16" t="n"/>
      <c r="L248" s="17" t="n"/>
      <c r="M248" s="18" t="n"/>
      <c r="N248" s="16" t="n"/>
      <c r="O248" s="16" t="n"/>
      <c r="P248" s="16" t="n"/>
      <c r="Q248" s="16" t="n"/>
      <c r="R248" s="16" t="n"/>
      <c r="S248" s="16" t="n"/>
      <c r="T248" s="18" t="n"/>
      <c r="U248" s="18" t="n"/>
      <c r="V248" s="7">
        <f>IF(L248="","",IF(TODAY()&gt;=L248,"到期","未到期"))</f>
        <v/>
      </c>
      <c r="W248" s="16" t="n"/>
      <c r="X248" s="16" t="n"/>
    </row>
    <row r="249">
      <c r="A249" s="15">
        <f>IF(B249="","","V-"&amp;TEXT(ROW()-1,"000"))</f>
        <v/>
      </c>
      <c r="B249" s="16" t="n"/>
      <c r="C249" s="17" t="n"/>
      <c r="D249" s="16" t="n"/>
      <c r="E249" s="16" t="n"/>
      <c r="F249" s="16" t="n"/>
      <c r="G249" s="16" t="n"/>
      <c r="H249" s="16" t="n"/>
      <c r="I249" s="16" t="n"/>
      <c r="J249" s="18" t="n"/>
      <c r="K249" s="16" t="n"/>
      <c r="L249" s="17" t="n"/>
      <c r="M249" s="18" t="n"/>
      <c r="N249" s="16" t="n"/>
      <c r="O249" s="16" t="n"/>
      <c r="P249" s="16" t="n"/>
      <c r="Q249" s="16" t="n"/>
      <c r="R249" s="16" t="n"/>
      <c r="S249" s="16" t="n"/>
      <c r="T249" s="18" t="n"/>
      <c r="U249" s="18" t="n"/>
      <c r="V249" s="7">
        <f>IF(L249="","",IF(TODAY()&gt;=L249,"到期","未到期"))</f>
        <v/>
      </c>
      <c r="W249" s="16" t="n"/>
      <c r="X249" s="16" t="n"/>
    </row>
    <row r="250">
      <c r="A250" s="15">
        <f>IF(B250="","","V-"&amp;TEXT(ROW()-1,"000"))</f>
        <v/>
      </c>
      <c r="B250" s="16" t="n"/>
      <c r="C250" s="17" t="n"/>
      <c r="D250" s="16" t="n"/>
      <c r="E250" s="16" t="n"/>
      <c r="F250" s="16" t="n"/>
      <c r="G250" s="16" t="n"/>
      <c r="H250" s="16" t="n"/>
      <c r="I250" s="16" t="n"/>
      <c r="J250" s="18" t="n"/>
      <c r="K250" s="16" t="n"/>
      <c r="L250" s="17" t="n"/>
      <c r="M250" s="18" t="n"/>
      <c r="N250" s="16" t="n"/>
      <c r="O250" s="16" t="n"/>
      <c r="P250" s="16" t="n"/>
      <c r="Q250" s="16" t="n"/>
      <c r="R250" s="16" t="n"/>
      <c r="S250" s="16" t="n"/>
      <c r="T250" s="18" t="n"/>
      <c r="U250" s="18" t="n"/>
      <c r="V250" s="7">
        <f>IF(L250="","",IF(TODAY()&gt;=L250,"到期","未到期"))</f>
        <v/>
      </c>
      <c r="W250" s="16" t="n"/>
      <c r="X250" s="16" t="n"/>
    </row>
    <row r="251">
      <c r="A251" s="15">
        <f>IF(B251="","","V-"&amp;TEXT(ROW()-1,"000"))</f>
        <v/>
      </c>
      <c r="B251" s="16" t="n"/>
      <c r="C251" s="17" t="n"/>
      <c r="D251" s="16" t="n"/>
      <c r="E251" s="16" t="n"/>
      <c r="F251" s="16" t="n"/>
      <c r="G251" s="16" t="n"/>
      <c r="H251" s="16" t="n"/>
      <c r="I251" s="16" t="n"/>
      <c r="J251" s="18" t="n"/>
      <c r="K251" s="16" t="n"/>
      <c r="L251" s="17" t="n"/>
      <c r="M251" s="18" t="n"/>
      <c r="N251" s="16" t="n"/>
      <c r="O251" s="16" t="n"/>
      <c r="P251" s="16" t="n"/>
      <c r="Q251" s="16" t="n"/>
      <c r="R251" s="16" t="n"/>
      <c r="S251" s="16" t="n"/>
      <c r="T251" s="18" t="n"/>
      <c r="U251" s="18" t="n"/>
      <c r="V251" s="7">
        <f>IF(L251="","",IF(TODAY()&gt;=L251,"到期","未到期"))</f>
        <v/>
      </c>
      <c r="W251" s="16" t="n"/>
      <c r="X251" s="16" t="n"/>
    </row>
    <row r="252">
      <c r="A252" s="15">
        <f>IF(B252="","","V-"&amp;TEXT(ROW()-1,"000"))</f>
        <v/>
      </c>
      <c r="B252" s="16" t="n"/>
      <c r="C252" s="17" t="n"/>
      <c r="D252" s="16" t="n"/>
      <c r="E252" s="16" t="n"/>
      <c r="F252" s="16" t="n"/>
      <c r="G252" s="16" t="n"/>
      <c r="H252" s="16" t="n"/>
      <c r="I252" s="16" t="n"/>
      <c r="J252" s="18" t="n"/>
      <c r="K252" s="16" t="n"/>
      <c r="L252" s="17" t="n"/>
      <c r="M252" s="18" t="n"/>
      <c r="N252" s="16" t="n"/>
      <c r="O252" s="16" t="n"/>
      <c r="P252" s="16" t="n"/>
      <c r="Q252" s="16" t="n"/>
      <c r="R252" s="16" t="n"/>
      <c r="S252" s="16" t="n"/>
      <c r="T252" s="18" t="n"/>
      <c r="U252" s="18" t="n"/>
      <c r="V252" s="7">
        <f>IF(L252="","",IF(TODAY()&gt;=L252,"到期","未到期"))</f>
        <v/>
      </c>
      <c r="W252" s="16" t="n"/>
      <c r="X252" s="16" t="n"/>
    </row>
    <row r="253">
      <c r="A253" s="15">
        <f>IF(B253="","","V-"&amp;TEXT(ROW()-1,"000"))</f>
        <v/>
      </c>
      <c r="B253" s="16" t="n"/>
      <c r="C253" s="17" t="n"/>
      <c r="D253" s="16" t="n"/>
      <c r="E253" s="16" t="n"/>
      <c r="F253" s="16" t="n"/>
      <c r="G253" s="16" t="n"/>
      <c r="H253" s="16" t="n"/>
      <c r="I253" s="16" t="n"/>
      <c r="J253" s="18" t="n"/>
      <c r="K253" s="16" t="n"/>
      <c r="L253" s="17" t="n"/>
      <c r="M253" s="18" t="n"/>
      <c r="N253" s="16" t="n"/>
      <c r="O253" s="16" t="n"/>
      <c r="P253" s="16" t="n"/>
      <c r="Q253" s="16" t="n"/>
      <c r="R253" s="16" t="n"/>
      <c r="S253" s="16" t="n"/>
      <c r="T253" s="18" t="n"/>
      <c r="U253" s="18" t="n"/>
      <c r="V253" s="7">
        <f>IF(L253="","",IF(TODAY()&gt;=L253,"到期","未到期"))</f>
        <v/>
      </c>
      <c r="W253" s="16" t="n"/>
      <c r="X253" s="16" t="n"/>
    </row>
    <row r="254">
      <c r="A254" s="15">
        <f>IF(B254="","","V-"&amp;TEXT(ROW()-1,"000"))</f>
        <v/>
      </c>
      <c r="B254" s="16" t="n"/>
      <c r="C254" s="17" t="n"/>
      <c r="D254" s="16" t="n"/>
      <c r="E254" s="16" t="n"/>
      <c r="F254" s="16" t="n"/>
      <c r="G254" s="16" t="n"/>
      <c r="H254" s="16" t="n"/>
      <c r="I254" s="16" t="n"/>
      <c r="J254" s="18" t="n"/>
      <c r="K254" s="16" t="n"/>
      <c r="L254" s="17" t="n"/>
      <c r="M254" s="18" t="n"/>
      <c r="N254" s="16" t="n"/>
      <c r="O254" s="16" t="n"/>
      <c r="P254" s="16" t="n"/>
      <c r="Q254" s="16" t="n"/>
      <c r="R254" s="16" t="n"/>
      <c r="S254" s="16" t="n"/>
      <c r="T254" s="18" t="n"/>
      <c r="U254" s="18" t="n"/>
      <c r="V254" s="7">
        <f>IF(L254="","",IF(TODAY()&gt;=L254,"到期","未到期"))</f>
        <v/>
      </c>
      <c r="W254" s="16" t="n"/>
      <c r="X254" s="16" t="n"/>
    </row>
    <row r="255">
      <c r="A255" s="15">
        <f>IF(B255="","","V-"&amp;TEXT(ROW()-1,"000"))</f>
        <v/>
      </c>
      <c r="B255" s="16" t="n"/>
      <c r="C255" s="17" t="n"/>
      <c r="D255" s="16" t="n"/>
      <c r="E255" s="16" t="n"/>
      <c r="F255" s="16" t="n"/>
      <c r="G255" s="16" t="n"/>
      <c r="H255" s="16" t="n"/>
      <c r="I255" s="16" t="n"/>
      <c r="J255" s="18" t="n"/>
      <c r="K255" s="16" t="n"/>
      <c r="L255" s="17" t="n"/>
      <c r="M255" s="18" t="n"/>
      <c r="N255" s="16" t="n"/>
      <c r="O255" s="16" t="n"/>
      <c r="P255" s="16" t="n"/>
      <c r="Q255" s="16" t="n"/>
      <c r="R255" s="16" t="n"/>
      <c r="S255" s="16" t="n"/>
      <c r="T255" s="18" t="n"/>
      <c r="U255" s="18" t="n"/>
      <c r="V255" s="7">
        <f>IF(L255="","",IF(TODAY()&gt;=L255,"到期","未到期"))</f>
        <v/>
      </c>
      <c r="W255" s="16" t="n"/>
      <c r="X255" s="16" t="n"/>
    </row>
    <row r="256">
      <c r="A256" s="15">
        <f>IF(B256="","","V-"&amp;TEXT(ROW()-1,"000"))</f>
        <v/>
      </c>
      <c r="B256" s="16" t="n"/>
      <c r="C256" s="17" t="n"/>
      <c r="D256" s="16" t="n"/>
      <c r="E256" s="16" t="n"/>
      <c r="F256" s="16" t="n"/>
      <c r="G256" s="16" t="n"/>
      <c r="H256" s="16" t="n"/>
      <c r="I256" s="16" t="n"/>
      <c r="J256" s="18" t="n"/>
      <c r="K256" s="16" t="n"/>
      <c r="L256" s="17" t="n"/>
      <c r="M256" s="18" t="n"/>
      <c r="N256" s="16" t="n"/>
      <c r="O256" s="16" t="n"/>
      <c r="P256" s="16" t="n"/>
      <c r="Q256" s="16" t="n"/>
      <c r="R256" s="16" t="n"/>
      <c r="S256" s="16" t="n"/>
      <c r="T256" s="18" t="n"/>
      <c r="U256" s="18" t="n"/>
      <c r="V256" s="7">
        <f>IF(L256="","",IF(TODAY()&gt;=L256,"到期","未到期"))</f>
        <v/>
      </c>
      <c r="W256" s="16" t="n"/>
      <c r="X256" s="16" t="n"/>
    </row>
    <row r="257">
      <c r="A257" s="15">
        <f>IF(B257="","","V-"&amp;TEXT(ROW()-1,"000"))</f>
        <v/>
      </c>
      <c r="B257" s="16" t="n"/>
      <c r="C257" s="17" t="n"/>
      <c r="D257" s="16" t="n"/>
      <c r="E257" s="16" t="n"/>
      <c r="F257" s="16" t="n"/>
      <c r="G257" s="16" t="n"/>
      <c r="H257" s="16" t="n"/>
      <c r="I257" s="16" t="n"/>
      <c r="J257" s="18" t="n"/>
      <c r="K257" s="16" t="n"/>
      <c r="L257" s="17" t="n"/>
      <c r="M257" s="18" t="n"/>
      <c r="N257" s="16" t="n"/>
      <c r="O257" s="16" t="n"/>
      <c r="P257" s="16" t="n"/>
      <c r="Q257" s="16" t="n"/>
      <c r="R257" s="16" t="n"/>
      <c r="S257" s="16" t="n"/>
      <c r="T257" s="18" t="n"/>
      <c r="U257" s="18" t="n"/>
      <c r="V257" s="7">
        <f>IF(L257="","",IF(TODAY()&gt;=L257,"到期","未到期"))</f>
        <v/>
      </c>
      <c r="W257" s="16" t="n"/>
      <c r="X257" s="16" t="n"/>
    </row>
    <row r="258">
      <c r="A258" s="15">
        <f>IF(B258="","","V-"&amp;TEXT(ROW()-1,"000"))</f>
        <v/>
      </c>
      <c r="B258" s="16" t="n"/>
      <c r="C258" s="17" t="n"/>
      <c r="D258" s="16" t="n"/>
      <c r="E258" s="16" t="n"/>
      <c r="F258" s="16" t="n"/>
      <c r="G258" s="16" t="n"/>
      <c r="H258" s="16" t="n"/>
      <c r="I258" s="16" t="n"/>
      <c r="J258" s="18" t="n"/>
      <c r="K258" s="16" t="n"/>
      <c r="L258" s="17" t="n"/>
      <c r="M258" s="18" t="n"/>
      <c r="N258" s="16" t="n"/>
      <c r="O258" s="16" t="n"/>
      <c r="P258" s="16" t="n"/>
      <c r="Q258" s="16" t="n"/>
      <c r="R258" s="16" t="n"/>
      <c r="S258" s="16" t="n"/>
      <c r="T258" s="18" t="n"/>
      <c r="U258" s="18" t="n"/>
      <c r="V258" s="7">
        <f>IF(L258="","",IF(TODAY()&gt;=L258,"到期","未到期"))</f>
        <v/>
      </c>
      <c r="W258" s="16" t="n"/>
      <c r="X258" s="16" t="n"/>
    </row>
    <row r="259">
      <c r="A259" s="15">
        <f>IF(B259="","","V-"&amp;TEXT(ROW()-1,"000"))</f>
        <v/>
      </c>
      <c r="B259" s="16" t="n"/>
      <c r="C259" s="17" t="n"/>
      <c r="D259" s="16" t="n"/>
      <c r="E259" s="16" t="n"/>
      <c r="F259" s="16" t="n"/>
      <c r="G259" s="16" t="n"/>
      <c r="H259" s="16" t="n"/>
      <c r="I259" s="16" t="n"/>
      <c r="J259" s="18" t="n"/>
      <c r="K259" s="16" t="n"/>
      <c r="L259" s="17" t="n"/>
      <c r="M259" s="18" t="n"/>
      <c r="N259" s="16" t="n"/>
      <c r="O259" s="16" t="n"/>
      <c r="P259" s="16" t="n"/>
      <c r="Q259" s="16" t="n"/>
      <c r="R259" s="16" t="n"/>
      <c r="S259" s="16" t="n"/>
      <c r="T259" s="18" t="n"/>
      <c r="U259" s="18" t="n"/>
      <c r="V259" s="7">
        <f>IF(L259="","",IF(TODAY()&gt;=L259,"到期","未到期"))</f>
        <v/>
      </c>
      <c r="W259" s="16" t="n"/>
      <c r="X259" s="16" t="n"/>
    </row>
    <row r="260">
      <c r="A260" s="15">
        <f>IF(B260="","","V-"&amp;TEXT(ROW()-1,"000"))</f>
        <v/>
      </c>
      <c r="B260" s="16" t="n"/>
      <c r="C260" s="17" t="n"/>
      <c r="D260" s="16" t="n"/>
      <c r="E260" s="16" t="n"/>
      <c r="F260" s="16" t="n"/>
      <c r="G260" s="16" t="n"/>
      <c r="H260" s="16" t="n"/>
      <c r="I260" s="16" t="n"/>
      <c r="J260" s="18" t="n"/>
      <c r="K260" s="16" t="n"/>
      <c r="L260" s="17" t="n"/>
      <c r="M260" s="18" t="n"/>
      <c r="N260" s="16" t="n"/>
      <c r="O260" s="16" t="n"/>
      <c r="P260" s="16" t="n"/>
      <c r="Q260" s="16" t="n"/>
      <c r="R260" s="16" t="n"/>
      <c r="S260" s="16" t="n"/>
      <c r="T260" s="18" t="n"/>
      <c r="U260" s="18" t="n"/>
      <c r="V260" s="7">
        <f>IF(L260="","",IF(TODAY()&gt;=L260,"到期","未到期"))</f>
        <v/>
      </c>
      <c r="W260" s="16" t="n"/>
      <c r="X260" s="16" t="n"/>
    </row>
    <row r="261">
      <c r="A261" s="15">
        <f>IF(B261="","","V-"&amp;TEXT(ROW()-1,"000"))</f>
        <v/>
      </c>
      <c r="B261" s="16" t="n"/>
      <c r="C261" s="17" t="n"/>
      <c r="D261" s="16" t="n"/>
      <c r="E261" s="16" t="n"/>
      <c r="F261" s="16" t="n"/>
      <c r="G261" s="16" t="n"/>
      <c r="H261" s="16" t="n"/>
      <c r="I261" s="16" t="n"/>
      <c r="J261" s="18" t="n"/>
      <c r="K261" s="16" t="n"/>
      <c r="L261" s="17" t="n"/>
      <c r="M261" s="18" t="n"/>
      <c r="N261" s="16" t="n"/>
      <c r="O261" s="16" t="n"/>
      <c r="P261" s="16" t="n"/>
      <c r="Q261" s="16" t="n"/>
      <c r="R261" s="16" t="n"/>
      <c r="S261" s="16" t="n"/>
      <c r="T261" s="18" t="n"/>
      <c r="U261" s="18" t="n"/>
      <c r="V261" s="7">
        <f>IF(L261="","",IF(TODAY()&gt;=L261,"到期","未到期"))</f>
        <v/>
      </c>
      <c r="W261" s="16" t="n"/>
      <c r="X261" s="16" t="n"/>
    </row>
    <row r="262">
      <c r="A262" s="15">
        <f>IF(B262="","","V-"&amp;TEXT(ROW()-1,"000"))</f>
        <v/>
      </c>
      <c r="B262" s="16" t="n"/>
      <c r="C262" s="17" t="n"/>
      <c r="D262" s="16" t="n"/>
      <c r="E262" s="16" t="n"/>
      <c r="F262" s="16" t="n"/>
      <c r="G262" s="16" t="n"/>
      <c r="H262" s="16" t="n"/>
      <c r="I262" s="16" t="n"/>
      <c r="J262" s="18" t="n"/>
      <c r="K262" s="16" t="n"/>
      <c r="L262" s="17" t="n"/>
      <c r="M262" s="18" t="n"/>
      <c r="N262" s="16" t="n"/>
      <c r="O262" s="16" t="n"/>
      <c r="P262" s="16" t="n"/>
      <c r="Q262" s="16" t="n"/>
      <c r="R262" s="16" t="n"/>
      <c r="S262" s="16" t="n"/>
      <c r="T262" s="18" t="n"/>
      <c r="U262" s="18" t="n"/>
      <c r="V262" s="7">
        <f>IF(L262="","",IF(TODAY()&gt;=L262,"到期","未到期"))</f>
        <v/>
      </c>
      <c r="W262" s="16" t="n"/>
      <c r="X262" s="16" t="n"/>
    </row>
    <row r="263">
      <c r="A263" s="15">
        <f>IF(B263="","","V-"&amp;TEXT(ROW()-1,"000"))</f>
        <v/>
      </c>
      <c r="B263" s="16" t="n"/>
      <c r="C263" s="17" t="n"/>
      <c r="D263" s="16" t="n"/>
      <c r="E263" s="16" t="n"/>
      <c r="F263" s="16" t="n"/>
      <c r="G263" s="16" t="n"/>
      <c r="H263" s="16" t="n"/>
      <c r="I263" s="16" t="n"/>
      <c r="J263" s="18" t="n"/>
      <c r="K263" s="16" t="n"/>
      <c r="L263" s="17" t="n"/>
      <c r="M263" s="18" t="n"/>
      <c r="N263" s="16" t="n"/>
      <c r="O263" s="16" t="n"/>
      <c r="P263" s="16" t="n"/>
      <c r="Q263" s="16" t="n"/>
      <c r="R263" s="16" t="n"/>
      <c r="S263" s="16" t="n"/>
      <c r="T263" s="18" t="n"/>
      <c r="U263" s="18" t="n"/>
      <c r="V263" s="7">
        <f>IF(L263="","",IF(TODAY()&gt;=L263,"到期","未到期"))</f>
        <v/>
      </c>
      <c r="W263" s="16" t="n"/>
      <c r="X263" s="16" t="n"/>
    </row>
    <row r="264">
      <c r="A264" s="15">
        <f>IF(B264="","","V-"&amp;TEXT(ROW()-1,"000"))</f>
        <v/>
      </c>
      <c r="B264" s="16" t="n"/>
      <c r="C264" s="17" t="n"/>
      <c r="D264" s="16" t="n"/>
      <c r="E264" s="16" t="n"/>
      <c r="F264" s="16" t="n"/>
      <c r="G264" s="16" t="n"/>
      <c r="H264" s="16" t="n"/>
      <c r="I264" s="16" t="n"/>
      <c r="J264" s="18" t="n"/>
      <c r="K264" s="16" t="n"/>
      <c r="L264" s="17" t="n"/>
      <c r="M264" s="18" t="n"/>
      <c r="N264" s="16" t="n"/>
      <c r="O264" s="16" t="n"/>
      <c r="P264" s="16" t="n"/>
      <c r="Q264" s="16" t="n"/>
      <c r="R264" s="16" t="n"/>
      <c r="S264" s="16" t="n"/>
      <c r="T264" s="18" t="n"/>
      <c r="U264" s="18" t="n"/>
      <c r="V264" s="7">
        <f>IF(L264="","",IF(TODAY()&gt;=L264,"到期","未到期"))</f>
        <v/>
      </c>
      <c r="W264" s="16" t="n"/>
      <c r="X264" s="16" t="n"/>
    </row>
    <row r="265">
      <c r="A265" s="15">
        <f>IF(B265="","","V-"&amp;TEXT(ROW()-1,"000"))</f>
        <v/>
      </c>
      <c r="B265" s="16" t="n"/>
      <c r="C265" s="17" t="n"/>
      <c r="D265" s="16" t="n"/>
      <c r="E265" s="16" t="n"/>
      <c r="F265" s="16" t="n"/>
      <c r="G265" s="16" t="n"/>
      <c r="H265" s="16" t="n"/>
      <c r="I265" s="16" t="n"/>
      <c r="J265" s="18" t="n"/>
      <c r="K265" s="16" t="n"/>
      <c r="L265" s="17" t="n"/>
      <c r="M265" s="18" t="n"/>
      <c r="N265" s="16" t="n"/>
      <c r="O265" s="16" t="n"/>
      <c r="P265" s="16" t="n"/>
      <c r="Q265" s="16" t="n"/>
      <c r="R265" s="16" t="n"/>
      <c r="S265" s="16" t="n"/>
      <c r="T265" s="18" t="n"/>
      <c r="U265" s="18" t="n"/>
      <c r="V265" s="7">
        <f>IF(L265="","",IF(TODAY()&gt;=L265,"到期","未到期"))</f>
        <v/>
      </c>
      <c r="W265" s="16" t="n"/>
      <c r="X265" s="16" t="n"/>
    </row>
    <row r="266">
      <c r="A266" s="15">
        <f>IF(B266="","","V-"&amp;TEXT(ROW()-1,"000"))</f>
        <v/>
      </c>
      <c r="B266" s="16" t="n"/>
      <c r="C266" s="17" t="n"/>
      <c r="D266" s="16" t="n"/>
      <c r="E266" s="16" t="n"/>
      <c r="F266" s="16" t="n"/>
      <c r="G266" s="16" t="n"/>
      <c r="H266" s="16" t="n"/>
      <c r="I266" s="16" t="n"/>
      <c r="J266" s="18" t="n"/>
      <c r="K266" s="16" t="n"/>
      <c r="L266" s="17" t="n"/>
      <c r="M266" s="18" t="n"/>
      <c r="N266" s="16" t="n"/>
      <c r="O266" s="16" t="n"/>
      <c r="P266" s="16" t="n"/>
      <c r="Q266" s="16" t="n"/>
      <c r="R266" s="16" t="n"/>
      <c r="S266" s="16" t="n"/>
      <c r="T266" s="18" t="n"/>
      <c r="U266" s="18" t="n"/>
      <c r="V266" s="7">
        <f>IF(L266="","",IF(TODAY()&gt;=L266,"到期","未到期"))</f>
        <v/>
      </c>
      <c r="W266" s="16" t="n"/>
      <c r="X266" s="16" t="n"/>
    </row>
    <row r="267">
      <c r="A267" s="15">
        <f>IF(B267="","","V-"&amp;TEXT(ROW()-1,"000"))</f>
        <v/>
      </c>
      <c r="B267" s="16" t="n"/>
      <c r="C267" s="17" t="n"/>
      <c r="D267" s="16" t="n"/>
      <c r="E267" s="16" t="n"/>
      <c r="F267" s="16" t="n"/>
      <c r="G267" s="16" t="n"/>
      <c r="H267" s="16" t="n"/>
      <c r="I267" s="16" t="n"/>
      <c r="J267" s="18" t="n"/>
      <c r="K267" s="16" t="n"/>
      <c r="L267" s="17" t="n"/>
      <c r="M267" s="18" t="n"/>
      <c r="N267" s="16" t="n"/>
      <c r="O267" s="16" t="n"/>
      <c r="P267" s="16" t="n"/>
      <c r="Q267" s="16" t="n"/>
      <c r="R267" s="16" t="n"/>
      <c r="S267" s="16" t="n"/>
      <c r="T267" s="18" t="n"/>
      <c r="U267" s="18" t="n"/>
      <c r="V267" s="7">
        <f>IF(L267="","",IF(TODAY()&gt;=L267,"到期","未到期"))</f>
        <v/>
      </c>
      <c r="W267" s="16" t="n"/>
      <c r="X267" s="16" t="n"/>
    </row>
    <row r="268">
      <c r="A268" s="15">
        <f>IF(B268="","","V-"&amp;TEXT(ROW()-1,"000"))</f>
        <v/>
      </c>
      <c r="B268" s="16" t="n"/>
      <c r="C268" s="17" t="n"/>
      <c r="D268" s="16" t="n"/>
      <c r="E268" s="16" t="n"/>
      <c r="F268" s="16" t="n"/>
      <c r="G268" s="16" t="n"/>
      <c r="H268" s="16" t="n"/>
      <c r="I268" s="16" t="n"/>
      <c r="J268" s="18" t="n"/>
      <c r="K268" s="16" t="n"/>
      <c r="L268" s="17" t="n"/>
      <c r="M268" s="18" t="n"/>
      <c r="N268" s="16" t="n"/>
      <c r="O268" s="16" t="n"/>
      <c r="P268" s="16" t="n"/>
      <c r="Q268" s="16" t="n"/>
      <c r="R268" s="16" t="n"/>
      <c r="S268" s="16" t="n"/>
      <c r="T268" s="18" t="n"/>
      <c r="U268" s="18" t="n"/>
      <c r="V268" s="7">
        <f>IF(L268="","",IF(TODAY()&gt;=L268,"到期","未到期"))</f>
        <v/>
      </c>
      <c r="W268" s="16" t="n"/>
      <c r="X268" s="16" t="n"/>
    </row>
    <row r="269">
      <c r="A269" s="15">
        <f>IF(B269="","","V-"&amp;TEXT(ROW()-1,"000"))</f>
        <v/>
      </c>
      <c r="B269" s="16" t="n"/>
      <c r="C269" s="17" t="n"/>
      <c r="D269" s="16" t="n"/>
      <c r="E269" s="16" t="n"/>
      <c r="F269" s="16" t="n"/>
      <c r="G269" s="16" t="n"/>
      <c r="H269" s="16" t="n"/>
      <c r="I269" s="16" t="n"/>
      <c r="J269" s="18" t="n"/>
      <c r="K269" s="16" t="n"/>
      <c r="L269" s="17" t="n"/>
      <c r="M269" s="18" t="n"/>
      <c r="N269" s="16" t="n"/>
      <c r="O269" s="16" t="n"/>
      <c r="P269" s="16" t="n"/>
      <c r="Q269" s="16" t="n"/>
      <c r="R269" s="16" t="n"/>
      <c r="S269" s="16" t="n"/>
      <c r="T269" s="18" t="n"/>
      <c r="U269" s="18" t="n"/>
      <c r="V269" s="7">
        <f>IF(L269="","",IF(TODAY()&gt;=L269,"到期","未到期"))</f>
        <v/>
      </c>
      <c r="W269" s="16" t="n"/>
      <c r="X269" s="16" t="n"/>
    </row>
    <row r="270">
      <c r="A270" s="15">
        <f>IF(B270="","","V-"&amp;TEXT(ROW()-1,"000"))</f>
        <v/>
      </c>
      <c r="B270" s="16" t="n"/>
      <c r="C270" s="17" t="n"/>
      <c r="D270" s="16" t="n"/>
      <c r="E270" s="16" t="n"/>
      <c r="F270" s="16" t="n"/>
      <c r="G270" s="16" t="n"/>
      <c r="H270" s="16" t="n"/>
      <c r="I270" s="16" t="n"/>
      <c r="J270" s="18" t="n"/>
      <c r="K270" s="16" t="n"/>
      <c r="L270" s="17" t="n"/>
      <c r="M270" s="18" t="n"/>
      <c r="N270" s="16" t="n"/>
      <c r="O270" s="16" t="n"/>
      <c r="P270" s="16" t="n"/>
      <c r="Q270" s="16" t="n"/>
      <c r="R270" s="16" t="n"/>
      <c r="S270" s="16" t="n"/>
      <c r="T270" s="18" t="n"/>
      <c r="U270" s="18" t="n"/>
      <c r="V270" s="7">
        <f>IF(L270="","",IF(TODAY()&gt;=L270,"到期","未到期"))</f>
        <v/>
      </c>
      <c r="W270" s="16" t="n"/>
      <c r="X270" s="16" t="n"/>
    </row>
    <row r="271">
      <c r="A271" s="15">
        <f>IF(B271="","","V-"&amp;TEXT(ROW()-1,"000"))</f>
        <v/>
      </c>
      <c r="B271" s="16" t="n"/>
      <c r="C271" s="17" t="n"/>
      <c r="D271" s="16" t="n"/>
      <c r="E271" s="16" t="n"/>
      <c r="F271" s="16" t="n"/>
      <c r="G271" s="16" t="n"/>
      <c r="H271" s="16" t="n"/>
      <c r="I271" s="16" t="n"/>
      <c r="J271" s="18" t="n"/>
      <c r="K271" s="16" t="n"/>
      <c r="L271" s="17" t="n"/>
      <c r="M271" s="18" t="n"/>
      <c r="N271" s="16" t="n"/>
      <c r="O271" s="16" t="n"/>
      <c r="P271" s="16" t="n"/>
      <c r="Q271" s="16" t="n"/>
      <c r="R271" s="16" t="n"/>
      <c r="S271" s="16" t="n"/>
      <c r="T271" s="18" t="n"/>
      <c r="U271" s="18" t="n"/>
      <c r="V271" s="7">
        <f>IF(L271="","",IF(TODAY()&gt;=L271,"到期","未到期"))</f>
        <v/>
      </c>
      <c r="W271" s="16" t="n"/>
      <c r="X271" s="16" t="n"/>
    </row>
    <row r="272">
      <c r="A272" s="15">
        <f>IF(B272="","","V-"&amp;TEXT(ROW()-1,"000"))</f>
        <v/>
      </c>
      <c r="B272" s="16" t="n"/>
      <c r="C272" s="17" t="n"/>
      <c r="D272" s="16" t="n"/>
      <c r="E272" s="16" t="n"/>
      <c r="F272" s="16" t="n"/>
      <c r="G272" s="16" t="n"/>
      <c r="H272" s="16" t="n"/>
      <c r="I272" s="16" t="n"/>
      <c r="J272" s="18" t="n"/>
      <c r="K272" s="16" t="n"/>
      <c r="L272" s="17" t="n"/>
      <c r="M272" s="18" t="n"/>
      <c r="N272" s="16" t="n"/>
      <c r="O272" s="16" t="n"/>
      <c r="P272" s="16" t="n"/>
      <c r="Q272" s="16" t="n"/>
      <c r="R272" s="16" t="n"/>
      <c r="S272" s="16" t="n"/>
      <c r="T272" s="18" t="n"/>
      <c r="U272" s="18" t="n"/>
      <c r="V272" s="7">
        <f>IF(L272="","",IF(TODAY()&gt;=L272,"到期","未到期"))</f>
        <v/>
      </c>
      <c r="W272" s="16" t="n"/>
      <c r="X272" s="16" t="n"/>
    </row>
    <row r="273">
      <c r="A273" s="15">
        <f>IF(B273="","","V-"&amp;TEXT(ROW()-1,"000"))</f>
        <v/>
      </c>
      <c r="B273" s="16" t="n"/>
      <c r="C273" s="17" t="n"/>
      <c r="D273" s="16" t="n"/>
      <c r="E273" s="16" t="n"/>
      <c r="F273" s="16" t="n"/>
      <c r="G273" s="16" t="n"/>
      <c r="H273" s="16" t="n"/>
      <c r="I273" s="16" t="n"/>
      <c r="J273" s="18" t="n"/>
      <c r="K273" s="16" t="n"/>
      <c r="L273" s="17" t="n"/>
      <c r="M273" s="18" t="n"/>
      <c r="N273" s="16" t="n"/>
      <c r="O273" s="16" t="n"/>
      <c r="P273" s="16" t="n"/>
      <c r="Q273" s="16" t="n"/>
      <c r="R273" s="16" t="n"/>
      <c r="S273" s="16" t="n"/>
      <c r="T273" s="18" t="n"/>
      <c r="U273" s="18" t="n"/>
      <c r="V273" s="7">
        <f>IF(L273="","",IF(TODAY()&gt;=L273,"到期","未到期"))</f>
        <v/>
      </c>
      <c r="W273" s="16" t="n"/>
      <c r="X273" s="16" t="n"/>
    </row>
    <row r="274">
      <c r="A274" s="15">
        <f>IF(B274="","","V-"&amp;TEXT(ROW()-1,"000"))</f>
        <v/>
      </c>
      <c r="B274" s="16" t="n"/>
      <c r="C274" s="17" t="n"/>
      <c r="D274" s="16" t="n"/>
      <c r="E274" s="16" t="n"/>
      <c r="F274" s="16" t="n"/>
      <c r="G274" s="16" t="n"/>
      <c r="H274" s="16" t="n"/>
      <c r="I274" s="16" t="n"/>
      <c r="J274" s="18" t="n"/>
      <c r="K274" s="16" t="n"/>
      <c r="L274" s="17" t="n"/>
      <c r="M274" s="18" t="n"/>
      <c r="N274" s="16" t="n"/>
      <c r="O274" s="16" t="n"/>
      <c r="P274" s="16" t="n"/>
      <c r="Q274" s="16" t="n"/>
      <c r="R274" s="16" t="n"/>
      <c r="S274" s="16" t="n"/>
      <c r="T274" s="18" t="n"/>
      <c r="U274" s="18" t="n"/>
      <c r="V274" s="7">
        <f>IF(L274="","",IF(TODAY()&gt;=L274,"到期","未到期"))</f>
        <v/>
      </c>
      <c r="W274" s="16" t="n"/>
      <c r="X274" s="16" t="n"/>
    </row>
    <row r="275">
      <c r="A275" s="15">
        <f>IF(B275="","","V-"&amp;TEXT(ROW()-1,"000"))</f>
        <v/>
      </c>
      <c r="B275" s="16" t="n"/>
      <c r="C275" s="17" t="n"/>
      <c r="D275" s="16" t="n"/>
      <c r="E275" s="16" t="n"/>
      <c r="F275" s="16" t="n"/>
      <c r="G275" s="16" t="n"/>
      <c r="H275" s="16" t="n"/>
      <c r="I275" s="16" t="n"/>
      <c r="J275" s="18" t="n"/>
      <c r="K275" s="16" t="n"/>
      <c r="L275" s="17" t="n"/>
      <c r="M275" s="18" t="n"/>
      <c r="N275" s="16" t="n"/>
      <c r="O275" s="16" t="n"/>
      <c r="P275" s="16" t="n"/>
      <c r="Q275" s="16" t="n"/>
      <c r="R275" s="16" t="n"/>
      <c r="S275" s="16" t="n"/>
      <c r="T275" s="18" t="n"/>
      <c r="U275" s="18" t="n"/>
      <c r="V275" s="7">
        <f>IF(L275="","",IF(TODAY()&gt;=L275,"到期","未到期"))</f>
        <v/>
      </c>
      <c r="W275" s="16" t="n"/>
      <c r="X275" s="16" t="n"/>
    </row>
    <row r="276">
      <c r="A276" s="15">
        <f>IF(B276="","","V-"&amp;TEXT(ROW()-1,"000"))</f>
        <v/>
      </c>
      <c r="B276" s="16" t="n"/>
      <c r="C276" s="17" t="n"/>
      <c r="D276" s="16" t="n"/>
      <c r="E276" s="16" t="n"/>
      <c r="F276" s="16" t="n"/>
      <c r="G276" s="16" t="n"/>
      <c r="H276" s="16" t="n"/>
      <c r="I276" s="16" t="n"/>
      <c r="J276" s="18" t="n"/>
      <c r="K276" s="16" t="n"/>
      <c r="L276" s="17" t="n"/>
      <c r="M276" s="18" t="n"/>
      <c r="N276" s="16" t="n"/>
      <c r="O276" s="16" t="n"/>
      <c r="P276" s="16" t="n"/>
      <c r="Q276" s="16" t="n"/>
      <c r="R276" s="16" t="n"/>
      <c r="S276" s="16" t="n"/>
      <c r="T276" s="18" t="n"/>
      <c r="U276" s="18" t="n"/>
      <c r="V276" s="7">
        <f>IF(L276="","",IF(TODAY()&gt;=L276,"到期","未到期"))</f>
        <v/>
      </c>
      <c r="W276" s="16" t="n"/>
      <c r="X276" s="16" t="n"/>
    </row>
    <row r="277">
      <c r="A277" s="15">
        <f>IF(B277="","","V-"&amp;TEXT(ROW()-1,"000"))</f>
        <v/>
      </c>
      <c r="B277" s="16" t="n"/>
      <c r="C277" s="17" t="n"/>
      <c r="D277" s="16" t="n"/>
      <c r="E277" s="16" t="n"/>
      <c r="F277" s="16" t="n"/>
      <c r="G277" s="16" t="n"/>
      <c r="H277" s="16" t="n"/>
      <c r="I277" s="16" t="n"/>
      <c r="J277" s="18" t="n"/>
      <c r="K277" s="16" t="n"/>
      <c r="L277" s="17" t="n"/>
      <c r="M277" s="18" t="n"/>
      <c r="N277" s="16" t="n"/>
      <c r="O277" s="16" t="n"/>
      <c r="P277" s="16" t="n"/>
      <c r="Q277" s="16" t="n"/>
      <c r="R277" s="16" t="n"/>
      <c r="S277" s="16" t="n"/>
      <c r="T277" s="18" t="n"/>
      <c r="U277" s="18" t="n"/>
      <c r="V277" s="7">
        <f>IF(L277="","",IF(TODAY()&gt;=L277,"到期","未到期"))</f>
        <v/>
      </c>
      <c r="W277" s="16" t="n"/>
      <c r="X277" s="16" t="n"/>
    </row>
    <row r="278">
      <c r="A278" s="15">
        <f>IF(B278="","","V-"&amp;TEXT(ROW()-1,"000"))</f>
        <v/>
      </c>
      <c r="B278" s="16" t="n"/>
      <c r="C278" s="17" t="n"/>
      <c r="D278" s="16" t="n"/>
      <c r="E278" s="16" t="n"/>
      <c r="F278" s="16" t="n"/>
      <c r="G278" s="16" t="n"/>
      <c r="H278" s="16" t="n"/>
      <c r="I278" s="16" t="n"/>
      <c r="J278" s="18" t="n"/>
      <c r="K278" s="16" t="n"/>
      <c r="L278" s="17" t="n"/>
      <c r="M278" s="18" t="n"/>
      <c r="N278" s="16" t="n"/>
      <c r="O278" s="16" t="n"/>
      <c r="P278" s="16" t="n"/>
      <c r="Q278" s="16" t="n"/>
      <c r="R278" s="16" t="n"/>
      <c r="S278" s="16" t="n"/>
      <c r="T278" s="18" t="n"/>
      <c r="U278" s="18" t="n"/>
      <c r="V278" s="7">
        <f>IF(L278="","",IF(TODAY()&gt;=L278,"到期","未到期"))</f>
        <v/>
      </c>
      <c r="W278" s="16" t="n"/>
      <c r="X278" s="16" t="n"/>
    </row>
    <row r="279">
      <c r="A279" s="15">
        <f>IF(B279="","","V-"&amp;TEXT(ROW()-1,"000"))</f>
        <v/>
      </c>
      <c r="B279" s="16" t="n"/>
      <c r="C279" s="17" t="n"/>
      <c r="D279" s="16" t="n"/>
      <c r="E279" s="16" t="n"/>
      <c r="F279" s="16" t="n"/>
      <c r="G279" s="16" t="n"/>
      <c r="H279" s="16" t="n"/>
      <c r="I279" s="16" t="n"/>
      <c r="J279" s="18" t="n"/>
      <c r="K279" s="16" t="n"/>
      <c r="L279" s="17" t="n"/>
      <c r="M279" s="18" t="n"/>
      <c r="N279" s="16" t="n"/>
      <c r="O279" s="16" t="n"/>
      <c r="P279" s="16" t="n"/>
      <c r="Q279" s="16" t="n"/>
      <c r="R279" s="16" t="n"/>
      <c r="S279" s="16" t="n"/>
      <c r="T279" s="18" t="n"/>
      <c r="U279" s="18" t="n"/>
      <c r="V279" s="7">
        <f>IF(L279="","",IF(TODAY()&gt;=L279,"到期","未到期"))</f>
        <v/>
      </c>
      <c r="W279" s="16" t="n"/>
      <c r="X279" s="16" t="n"/>
    </row>
    <row r="280">
      <c r="A280" s="15">
        <f>IF(B280="","","V-"&amp;TEXT(ROW()-1,"000"))</f>
        <v/>
      </c>
      <c r="B280" s="16" t="n"/>
      <c r="C280" s="17" t="n"/>
      <c r="D280" s="16" t="n"/>
      <c r="E280" s="16" t="n"/>
      <c r="F280" s="16" t="n"/>
      <c r="G280" s="16" t="n"/>
      <c r="H280" s="16" t="n"/>
      <c r="I280" s="16" t="n"/>
      <c r="J280" s="18" t="n"/>
      <c r="K280" s="16" t="n"/>
      <c r="L280" s="17" t="n"/>
      <c r="M280" s="18" t="n"/>
      <c r="N280" s="16" t="n"/>
      <c r="O280" s="16" t="n"/>
      <c r="P280" s="16" t="n"/>
      <c r="Q280" s="16" t="n"/>
      <c r="R280" s="16" t="n"/>
      <c r="S280" s="16" t="n"/>
      <c r="T280" s="18" t="n"/>
      <c r="U280" s="18" t="n"/>
      <c r="V280" s="7">
        <f>IF(L280="","",IF(TODAY()&gt;=L280,"到期","未到期"))</f>
        <v/>
      </c>
      <c r="W280" s="16" t="n"/>
      <c r="X280" s="16" t="n"/>
    </row>
    <row r="281">
      <c r="A281" s="15">
        <f>IF(B281="","","V-"&amp;TEXT(ROW()-1,"000"))</f>
        <v/>
      </c>
      <c r="B281" s="16" t="n"/>
      <c r="C281" s="17" t="n"/>
      <c r="D281" s="16" t="n"/>
      <c r="E281" s="16" t="n"/>
      <c r="F281" s="16" t="n"/>
      <c r="G281" s="16" t="n"/>
      <c r="H281" s="16" t="n"/>
      <c r="I281" s="16" t="n"/>
      <c r="J281" s="18" t="n"/>
      <c r="K281" s="16" t="n"/>
      <c r="L281" s="17" t="n"/>
      <c r="M281" s="18" t="n"/>
      <c r="N281" s="16" t="n"/>
      <c r="O281" s="16" t="n"/>
      <c r="P281" s="16" t="n"/>
      <c r="Q281" s="16" t="n"/>
      <c r="R281" s="16" t="n"/>
      <c r="S281" s="16" t="n"/>
      <c r="T281" s="18" t="n"/>
      <c r="U281" s="18" t="n"/>
      <c r="V281" s="7">
        <f>IF(L281="","",IF(TODAY()&gt;=L281,"到期","未到期"))</f>
        <v/>
      </c>
      <c r="W281" s="16" t="n"/>
      <c r="X281" s="16" t="n"/>
    </row>
    <row r="282">
      <c r="A282" s="15">
        <f>IF(B282="","","V-"&amp;TEXT(ROW()-1,"000"))</f>
        <v/>
      </c>
      <c r="B282" s="16" t="n"/>
      <c r="C282" s="17" t="n"/>
      <c r="D282" s="16" t="n"/>
      <c r="E282" s="16" t="n"/>
      <c r="F282" s="16" t="n"/>
      <c r="G282" s="16" t="n"/>
      <c r="H282" s="16" t="n"/>
      <c r="I282" s="16" t="n"/>
      <c r="J282" s="18" t="n"/>
      <c r="K282" s="16" t="n"/>
      <c r="L282" s="17" t="n"/>
      <c r="M282" s="18" t="n"/>
      <c r="N282" s="16" t="n"/>
      <c r="O282" s="16" t="n"/>
      <c r="P282" s="16" t="n"/>
      <c r="Q282" s="16" t="n"/>
      <c r="R282" s="16" t="n"/>
      <c r="S282" s="16" t="n"/>
      <c r="T282" s="18" t="n"/>
      <c r="U282" s="18" t="n"/>
      <c r="V282" s="7">
        <f>IF(L282="","",IF(TODAY()&gt;=L282,"到期","未到期"))</f>
        <v/>
      </c>
      <c r="W282" s="16" t="n"/>
      <c r="X282" s="16" t="n"/>
    </row>
    <row r="283">
      <c r="A283" s="15">
        <f>IF(B283="","","V-"&amp;TEXT(ROW()-1,"000"))</f>
        <v/>
      </c>
      <c r="B283" s="16" t="n"/>
      <c r="C283" s="17" t="n"/>
      <c r="D283" s="16" t="n"/>
      <c r="E283" s="16" t="n"/>
      <c r="F283" s="16" t="n"/>
      <c r="G283" s="16" t="n"/>
      <c r="H283" s="16" t="n"/>
      <c r="I283" s="16" t="n"/>
      <c r="J283" s="18" t="n"/>
      <c r="K283" s="16" t="n"/>
      <c r="L283" s="17" t="n"/>
      <c r="M283" s="18" t="n"/>
      <c r="N283" s="16" t="n"/>
      <c r="O283" s="16" t="n"/>
      <c r="P283" s="16" t="n"/>
      <c r="Q283" s="16" t="n"/>
      <c r="R283" s="16" t="n"/>
      <c r="S283" s="16" t="n"/>
      <c r="T283" s="18" t="n"/>
      <c r="U283" s="18" t="n"/>
      <c r="V283" s="7">
        <f>IF(L283="","",IF(TODAY()&gt;=L283,"到期","未到期"))</f>
        <v/>
      </c>
      <c r="W283" s="16" t="n"/>
      <c r="X283" s="16" t="n"/>
    </row>
    <row r="284">
      <c r="A284" s="15">
        <f>IF(B284="","","V-"&amp;TEXT(ROW()-1,"000"))</f>
        <v/>
      </c>
      <c r="B284" s="16" t="n"/>
      <c r="C284" s="17" t="n"/>
      <c r="D284" s="16" t="n"/>
      <c r="E284" s="16" t="n"/>
      <c r="F284" s="16" t="n"/>
      <c r="G284" s="16" t="n"/>
      <c r="H284" s="16" t="n"/>
      <c r="I284" s="16" t="n"/>
      <c r="J284" s="18" t="n"/>
      <c r="K284" s="16" t="n"/>
      <c r="L284" s="17" t="n"/>
      <c r="M284" s="18" t="n"/>
      <c r="N284" s="16" t="n"/>
      <c r="O284" s="16" t="n"/>
      <c r="P284" s="16" t="n"/>
      <c r="Q284" s="16" t="n"/>
      <c r="R284" s="16" t="n"/>
      <c r="S284" s="16" t="n"/>
      <c r="T284" s="18" t="n"/>
      <c r="U284" s="18" t="n"/>
      <c r="V284" s="7">
        <f>IF(L284="","",IF(TODAY()&gt;=L284,"到期","未到期"))</f>
        <v/>
      </c>
      <c r="W284" s="16" t="n"/>
      <c r="X284" s="16" t="n"/>
    </row>
    <row r="285">
      <c r="A285" s="15">
        <f>IF(B285="","","V-"&amp;TEXT(ROW()-1,"000"))</f>
        <v/>
      </c>
      <c r="B285" s="16" t="n"/>
      <c r="C285" s="17" t="n"/>
      <c r="D285" s="16" t="n"/>
      <c r="E285" s="16" t="n"/>
      <c r="F285" s="16" t="n"/>
      <c r="G285" s="16" t="n"/>
      <c r="H285" s="16" t="n"/>
      <c r="I285" s="16" t="n"/>
      <c r="J285" s="18" t="n"/>
      <c r="K285" s="16" t="n"/>
      <c r="L285" s="17" t="n"/>
      <c r="M285" s="18" t="n"/>
      <c r="N285" s="16" t="n"/>
      <c r="O285" s="16" t="n"/>
      <c r="P285" s="16" t="n"/>
      <c r="Q285" s="16" t="n"/>
      <c r="R285" s="16" t="n"/>
      <c r="S285" s="16" t="n"/>
      <c r="T285" s="18" t="n"/>
      <c r="U285" s="18" t="n"/>
      <c r="V285" s="7">
        <f>IF(L285="","",IF(TODAY()&gt;=L285,"到期","未到期"))</f>
        <v/>
      </c>
      <c r="W285" s="16" t="n"/>
      <c r="X285" s="16" t="n"/>
    </row>
    <row r="286">
      <c r="A286" s="15">
        <f>IF(B286="","","V-"&amp;TEXT(ROW()-1,"000"))</f>
        <v/>
      </c>
      <c r="B286" s="16" t="n"/>
      <c r="C286" s="17" t="n"/>
      <c r="D286" s="16" t="n"/>
      <c r="E286" s="16" t="n"/>
      <c r="F286" s="16" t="n"/>
      <c r="G286" s="16" t="n"/>
      <c r="H286" s="16" t="n"/>
      <c r="I286" s="16" t="n"/>
      <c r="J286" s="18" t="n"/>
      <c r="K286" s="16" t="n"/>
      <c r="L286" s="17" t="n"/>
      <c r="M286" s="18" t="n"/>
      <c r="N286" s="16" t="n"/>
      <c r="O286" s="16" t="n"/>
      <c r="P286" s="16" t="n"/>
      <c r="Q286" s="16" t="n"/>
      <c r="R286" s="16" t="n"/>
      <c r="S286" s="16" t="n"/>
      <c r="T286" s="18" t="n"/>
      <c r="U286" s="18" t="n"/>
      <c r="V286" s="7">
        <f>IF(L286="","",IF(TODAY()&gt;=L286,"到期","未到期"))</f>
        <v/>
      </c>
      <c r="W286" s="16" t="n"/>
      <c r="X286" s="16" t="n"/>
    </row>
    <row r="287">
      <c r="A287" s="15">
        <f>IF(B287="","","V-"&amp;TEXT(ROW()-1,"000"))</f>
        <v/>
      </c>
      <c r="B287" s="16" t="n"/>
      <c r="C287" s="17" t="n"/>
      <c r="D287" s="16" t="n"/>
      <c r="E287" s="16" t="n"/>
      <c r="F287" s="16" t="n"/>
      <c r="G287" s="16" t="n"/>
      <c r="H287" s="16" t="n"/>
      <c r="I287" s="16" t="n"/>
      <c r="J287" s="18" t="n"/>
      <c r="K287" s="16" t="n"/>
      <c r="L287" s="17" t="n"/>
      <c r="M287" s="18" t="n"/>
      <c r="N287" s="16" t="n"/>
      <c r="O287" s="16" t="n"/>
      <c r="P287" s="16" t="n"/>
      <c r="Q287" s="16" t="n"/>
      <c r="R287" s="16" t="n"/>
      <c r="S287" s="16" t="n"/>
      <c r="T287" s="18" t="n"/>
      <c r="U287" s="18" t="n"/>
      <c r="V287" s="7">
        <f>IF(L287="","",IF(TODAY()&gt;=L287,"到期","未到期"))</f>
        <v/>
      </c>
      <c r="W287" s="16" t="n"/>
      <c r="X287" s="16" t="n"/>
    </row>
    <row r="288">
      <c r="A288" s="15">
        <f>IF(B288="","","V-"&amp;TEXT(ROW()-1,"000"))</f>
        <v/>
      </c>
      <c r="B288" s="16" t="n"/>
      <c r="C288" s="17" t="n"/>
      <c r="D288" s="16" t="n"/>
      <c r="E288" s="16" t="n"/>
      <c r="F288" s="16" t="n"/>
      <c r="G288" s="16" t="n"/>
      <c r="H288" s="16" t="n"/>
      <c r="I288" s="16" t="n"/>
      <c r="J288" s="18" t="n"/>
      <c r="K288" s="16" t="n"/>
      <c r="L288" s="17" t="n"/>
      <c r="M288" s="18" t="n"/>
      <c r="N288" s="16" t="n"/>
      <c r="O288" s="16" t="n"/>
      <c r="P288" s="16" t="n"/>
      <c r="Q288" s="16" t="n"/>
      <c r="R288" s="16" t="n"/>
      <c r="S288" s="16" t="n"/>
      <c r="T288" s="18" t="n"/>
      <c r="U288" s="18" t="n"/>
      <c r="V288" s="7">
        <f>IF(L288="","",IF(TODAY()&gt;=L288,"到期","未到期"))</f>
        <v/>
      </c>
      <c r="W288" s="16" t="n"/>
      <c r="X288" s="16" t="n"/>
    </row>
    <row r="289">
      <c r="A289" s="15">
        <f>IF(B289="","","V-"&amp;TEXT(ROW()-1,"000"))</f>
        <v/>
      </c>
      <c r="B289" s="16" t="n"/>
      <c r="C289" s="17" t="n"/>
      <c r="D289" s="16" t="n"/>
      <c r="E289" s="16" t="n"/>
      <c r="F289" s="16" t="n"/>
      <c r="G289" s="16" t="n"/>
      <c r="H289" s="16" t="n"/>
      <c r="I289" s="16" t="n"/>
      <c r="J289" s="18" t="n"/>
      <c r="K289" s="16" t="n"/>
      <c r="L289" s="17" t="n"/>
      <c r="M289" s="18" t="n"/>
      <c r="N289" s="16" t="n"/>
      <c r="O289" s="16" t="n"/>
      <c r="P289" s="16" t="n"/>
      <c r="Q289" s="16" t="n"/>
      <c r="R289" s="16" t="n"/>
      <c r="S289" s="16" t="n"/>
      <c r="T289" s="18" t="n"/>
      <c r="U289" s="18" t="n"/>
      <c r="V289" s="7">
        <f>IF(L289="","",IF(TODAY()&gt;=L289,"到期","未到期"))</f>
        <v/>
      </c>
      <c r="W289" s="16" t="n"/>
      <c r="X289" s="16" t="n"/>
    </row>
    <row r="290">
      <c r="A290" s="15">
        <f>IF(B290="","","V-"&amp;TEXT(ROW()-1,"000"))</f>
        <v/>
      </c>
      <c r="B290" s="16" t="n"/>
      <c r="C290" s="17" t="n"/>
      <c r="D290" s="16" t="n"/>
      <c r="E290" s="16" t="n"/>
      <c r="F290" s="16" t="n"/>
      <c r="G290" s="16" t="n"/>
      <c r="H290" s="16" t="n"/>
      <c r="I290" s="16" t="n"/>
      <c r="J290" s="18" t="n"/>
      <c r="K290" s="16" t="n"/>
      <c r="L290" s="17" t="n"/>
      <c r="M290" s="18" t="n"/>
      <c r="N290" s="16" t="n"/>
      <c r="O290" s="16" t="n"/>
      <c r="P290" s="16" t="n"/>
      <c r="Q290" s="16" t="n"/>
      <c r="R290" s="16" t="n"/>
      <c r="S290" s="16" t="n"/>
      <c r="T290" s="18" t="n"/>
      <c r="U290" s="18" t="n"/>
      <c r="V290" s="7">
        <f>IF(L290="","",IF(TODAY()&gt;=L290,"到期","未到期"))</f>
        <v/>
      </c>
      <c r="W290" s="16" t="n"/>
      <c r="X290" s="16" t="n"/>
    </row>
    <row r="291">
      <c r="A291" s="15">
        <f>IF(B291="","","V-"&amp;TEXT(ROW()-1,"000"))</f>
        <v/>
      </c>
      <c r="B291" s="16" t="n"/>
      <c r="C291" s="17" t="n"/>
      <c r="D291" s="16" t="n"/>
      <c r="E291" s="16" t="n"/>
      <c r="F291" s="16" t="n"/>
      <c r="G291" s="16" t="n"/>
      <c r="H291" s="16" t="n"/>
      <c r="I291" s="16" t="n"/>
      <c r="J291" s="18" t="n"/>
      <c r="K291" s="16" t="n"/>
      <c r="L291" s="17" t="n"/>
      <c r="M291" s="18" t="n"/>
      <c r="N291" s="16" t="n"/>
      <c r="O291" s="16" t="n"/>
      <c r="P291" s="16" t="n"/>
      <c r="Q291" s="16" t="n"/>
      <c r="R291" s="16" t="n"/>
      <c r="S291" s="16" t="n"/>
      <c r="T291" s="18" t="n"/>
      <c r="U291" s="18" t="n"/>
      <c r="V291" s="7">
        <f>IF(L291="","",IF(TODAY()&gt;=L291,"到期","未到期"))</f>
        <v/>
      </c>
      <c r="W291" s="16" t="n"/>
      <c r="X291" s="16" t="n"/>
    </row>
    <row r="292">
      <c r="A292" s="15">
        <f>IF(B292="","","V-"&amp;TEXT(ROW()-1,"000"))</f>
        <v/>
      </c>
      <c r="B292" s="16" t="n"/>
      <c r="C292" s="17" t="n"/>
      <c r="D292" s="16" t="n"/>
      <c r="E292" s="16" t="n"/>
      <c r="F292" s="16" t="n"/>
      <c r="G292" s="16" t="n"/>
      <c r="H292" s="16" t="n"/>
      <c r="I292" s="16" t="n"/>
      <c r="J292" s="18" t="n"/>
      <c r="K292" s="16" t="n"/>
      <c r="L292" s="17" t="n"/>
      <c r="M292" s="18" t="n"/>
      <c r="N292" s="16" t="n"/>
      <c r="O292" s="16" t="n"/>
      <c r="P292" s="16" t="n"/>
      <c r="Q292" s="16" t="n"/>
      <c r="R292" s="16" t="n"/>
      <c r="S292" s="16" t="n"/>
      <c r="T292" s="18" t="n"/>
      <c r="U292" s="18" t="n"/>
      <c r="V292" s="7">
        <f>IF(L292="","",IF(TODAY()&gt;=L292,"到期","未到期"))</f>
        <v/>
      </c>
      <c r="W292" s="16" t="n"/>
      <c r="X292" s="16" t="n"/>
    </row>
    <row r="293">
      <c r="A293" s="15">
        <f>IF(B293="","","V-"&amp;TEXT(ROW()-1,"000"))</f>
        <v/>
      </c>
      <c r="B293" s="16" t="n"/>
      <c r="C293" s="17" t="n"/>
      <c r="D293" s="16" t="n"/>
      <c r="E293" s="16" t="n"/>
      <c r="F293" s="16" t="n"/>
      <c r="G293" s="16" t="n"/>
      <c r="H293" s="16" t="n"/>
      <c r="I293" s="16" t="n"/>
      <c r="J293" s="18" t="n"/>
      <c r="K293" s="16" t="n"/>
      <c r="L293" s="17" t="n"/>
      <c r="M293" s="18" t="n"/>
      <c r="N293" s="16" t="n"/>
      <c r="O293" s="16" t="n"/>
      <c r="P293" s="16" t="n"/>
      <c r="Q293" s="16" t="n"/>
      <c r="R293" s="16" t="n"/>
      <c r="S293" s="16" t="n"/>
      <c r="T293" s="18" t="n"/>
      <c r="U293" s="18" t="n"/>
      <c r="V293" s="7">
        <f>IF(L293="","",IF(TODAY()&gt;=L293,"到期","未到期"))</f>
        <v/>
      </c>
      <c r="W293" s="16" t="n"/>
      <c r="X293" s="16" t="n"/>
    </row>
    <row r="294">
      <c r="A294" s="15">
        <f>IF(B294="","","V-"&amp;TEXT(ROW()-1,"000"))</f>
        <v/>
      </c>
      <c r="B294" s="16" t="n"/>
      <c r="C294" s="17" t="n"/>
      <c r="D294" s="16" t="n"/>
      <c r="E294" s="16" t="n"/>
      <c r="F294" s="16" t="n"/>
      <c r="G294" s="16" t="n"/>
      <c r="H294" s="16" t="n"/>
      <c r="I294" s="16" t="n"/>
      <c r="J294" s="18" t="n"/>
      <c r="K294" s="16" t="n"/>
      <c r="L294" s="17" t="n"/>
      <c r="M294" s="18" t="n"/>
      <c r="N294" s="16" t="n"/>
      <c r="O294" s="16" t="n"/>
      <c r="P294" s="16" t="n"/>
      <c r="Q294" s="16" t="n"/>
      <c r="R294" s="16" t="n"/>
      <c r="S294" s="16" t="n"/>
      <c r="T294" s="18" t="n"/>
      <c r="U294" s="18" t="n"/>
      <c r="V294" s="7">
        <f>IF(L294="","",IF(TODAY()&gt;=L294,"到期","未到期"))</f>
        <v/>
      </c>
      <c r="W294" s="16" t="n"/>
      <c r="X294" s="16" t="n"/>
    </row>
    <row r="295">
      <c r="A295" s="15">
        <f>IF(B295="","","V-"&amp;TEXT(ROW()-1,"000"))</f>
        <v/>
      </c>
      <c r="B295" s="16" t="n"/>
      <c r="C295" s="17" t="n"/>
      <c r="D295" s="16" t="n"/>
      <c r="E295" s="16" t="n"/>
      <c r="F295" s="16" t="n"/>
      <c r="G295" s="16" t="n"/>
      <c r="H295" s="16" t="n"/>
      <c r="I295" s="16" t="n"/>
      <c r="J295" s="18" t="n"/>
      <c r="K295" s="16" t="n"/>
      <c r="L295" s="17" t="n"/>
      <c r="M295" s="18" t="n"/>
      <c r="N295" s="16" t="n"/>
      <c r="O295" s="16" t="n"/>
      <c r="P295" s="16" t="n"/>
      <c r="Q295" s="16" t="n"/>
      <c r="R295" s="16" t="n"/>
      <c r="S295" s="16" t="n"/>
      <c r="T295" s="18" t="n"/>
      <c r="U295" s="18" t="n"/>
      <c r="V295" s="7">
        <f>IF(L295="","",IF(TODAY()&gt;=L295,"到期","未到期"))</f>
        <v/>
      </c>
      <c r="W295" s="16" t="n"/>
      <c r="X295" s="16" t="n"/>
    </row>
    <row r="296">
      <c r="A296" s="15">
        <f>IF(B296="","","V-"&amp;TEXT(ROW()-1,"000"))</f>
        <v/>
      </c>
      <c r="B296" s="16" t="n"/>
      <c r="C296" s="17" t="n"/>
      <c r="D296" s="16" t="n"/>
      <c r="E296" s="16" t="n"/>
      <c r="F296" s="16" t="n"/>
      <c r="G296" s="16" t="n"/>
      <c r="H296" s="16" t="n"/>
      <c r="I296" s="16" t="n"/>
      <c r="J296" s="18" t="n"/>
      <c r="K296" s="16" t="n"/>
      <c r="L296" s="17" t="n"/>
      <c r="M296" s="18" t="n"/>
      <c r="N296" s="16" t="n"/>
      <c r="O296" s="16" t="n"/>
      <c r="P296" s="16" t="n"/>
      <c r="Q296" s="16" t="n"/>
      <c r="R296" s="16" t="n"/>
      <c r="S296" s="16" t="n"/>
      <c r="T296" s="18" t="n"/>
      <c r="U296" s="18" t="n"/>
      <c r="V296" s="7">
        <f>IF(L296="","",IF(TODAY()&gt;=L296,"到期","未到期"))</f>
        <v/>
      </c>
      <c r="W296" s="16" t="n"/>
      <c r="X296" s="16" t="n"/>
    </row>
    <row r="297">
      <c r="A297" s="15">
        <f>IF(B297="","","V-"&amp;TEXT(ROW()-1,"000"))</f>
        <v/>
      </c>
      <c r="B297" s="16" t="n"/>
      <c r="C297" s="17" t="n"/>
      <c r="D297" s="16" t="n"/>
      <c r="E297" s="16" t="n"/>
      <c r="F297" s="16" t="n"/>
      <c r="G297" s="16" t="n"/>
      <c r="H297" s="16" t="n"/>
      <c r="I297" s="16" t="n"/>
      <c r="J297" s="18" t="n"/>
      <c r="K297" s="16" t="n"/>
      <c r="L297" s="17" t="n"/>
      <c r="M297" s="18" t="n"/>
      <c r="N297" s="16" t="n"/>
      <c r="O297" s="16" t="n"/>
      <c r="P297" s="16" t="n"/>
      <c r="Q297" s="16" t="n"/>
      <c r="R297" s="16" t="n"/>
      <c r="S297" s="16" t="n"/>
      <c r="T297" s="18" t="n"/>
      <c r="U297" s="18" t="n"/>
      <c r="V297" s="7">
        <f>IF(L297="","",IF(TODAY()&gt;=L297,"到期","未到期"))</f>
        <v/>
      </c>
      <c r="W297" s="16" t="n"/>
      <c r="X297" s="16" t="n"/>
    </row>
    <row r="298">
      <c r="A298" s="15">
        <f>IF(B298="","","V-"&amp;TEXT(ROW()-1,"000"))</f>
        <v/>
      </c>
      <c r="B298" s="16" t="n"/>
      <c r="C298" s="17" t="n"/>
      <c r="D298" s="16" t="n"/>
      <c r="E298" s="16" t="n"/>
      <c r="F298" s="16" t="n"/>
      <c r="G298" s="16" t="n"/>
      <c r="H298" s="16" t="n"/>
      <c r="I298" s="16" t="n"/>
      <c r="J298" s="18" t="n"/>
      <c r="K298" s="16" t="n"/>
      <c r="L298" s="17" t="n"/>
      <c r="M298" s="18" t="n"/>
      <c r="N298" s="16" t="n"/>
      <c r="O298" s="16" t="n"/>
      <c r="P298" s="16" t="n"/>
      <c r="Q298" s="16" t="n"/>
      <c r="R298" s="16" t="n"/>
      <c r="S298" s="16" t="n"/>
      <c r="T298" s="18" t="n"/>
      <c r="U298" s="18" t="n"/>
      <c r="V298" s="7">
        <f>IF(L298="","",IF(TODAY()&gt;=L298,"到期","未到期"))</f>
        <v/>
      </c>
      <c r="W298" s="16" t="n"/>
      <c r="X298" s="16" t="n"/>
    </row>
    <row r="299">
      <c r="A299" s="15">
        <f>IF(B299="","","V-"&amp;TEXT(ROW()-1,"000"))</f>
        <v/>
      </c>
      <c r="B299" s="16" t="n"/>
      <c r="C299" s="17" t="n"/>
      <c r="D299" s="16" t="n"/>
      <c r="E299" s="16" t="n"/>
      <c r="F299" s="16" t="n"/>
      <c r="G299" s="16" t="n"/>
      <c r="H299" s="16" t="n"/>
      <c r="I299" s="16" t="n"/>
      <c r="J299" s="18" t="n"/>
      <c r="K299" s="16" t="n"/>
      <c r="L299" s="17" t="n"/>
      <c r="M299" s="18" t="n"/>
      <c r="N299" s="16" t="n"/>
      <c r="O299" s="16" t="n"/>
      <c r="P299" s="16" t="n"/>
      <c r="Q299" s="16" t="n"/>
      <c r="R299" s="16" t="n"/>
      <c r="S299" s="16" t="n"/>
      <c r="T299" s="18" t="n"/>
      <c r="U299" s="18" t="n"/>
      <c r="V299" s="7">
        <f>IF(L299="","",IF(TODAY()&gt;=L299,"到期","未到期"))</f>
        <v/>
      </c>
      <c r="W299" s="16" t="n"/>
      <c r="X299" s="16" t="n"/>
    </row>
    <row r="300">
      <c r="A300" s="15">
        <f>IF(B300="","","V-"&amp;TEXT(ROW()-1,"000"))</f>
        <v/>
      </c>
      <c r="B300" s="16" t="n"/>
      <c r="C300" s="17" t="n"/>
      <c r="D300" s="16" t="n"/>
      <c r="E300" s="16" t="n"/>
      <c r="F300" s="16" t="n"/>
      <c r="G300" s="16" t="n"/>
      <c r="H300" s="16" t="n"/>
      <c r="I300" s="16" t="n"/>
      <c r="J300" s="18" t="n"/>
      <c r="K300" s="16" t="n"/>
      <c r="L300" s="17" t="n"/>
      <c r="M300" s="18" t="n"/>
      <c r="N300" s="16" t="n"/>
      <c r="O300" s="16" t="n"/>
      <c r="P300" s="16" t="n"/>
      <c r="Q300" s="16" t="n"/>
      <c r="R300" s="16" t="n"/>
      <c r="S300" s="16" t="n"/>
      <c r="T300" s="18" t="n"/>
      <c r="U300" s="18" t="n"/>
      <c r="V300" s="7">
        <f>IF(L300="","",IF(TODAY()&gt;=L300,"到期","未到期"))</f>
        <v/>
      </c>
      <c r="W300" s="16" t="n"/>
      <c r="X300" s="16" t="n"/>
    </row>
    <row r="301">
      <c r="A301" s="15">
        <f>IF(B301="","","V-"&amp;TEXT(ROW()-1,"000"))</f>
        <v/>
      </c>
      <c r="B301" s="16" t="n"/>
      <c r="C301" s="17" t="n"/>
      <c r="D301" s="16" t="n"/>
      <c r="E301" s="16" t="n"/>
      <c r="F301" s="16" t="n"/>
      <c r="G301" s="16" t="n"/>
      <c r="H301" s="16" t="n"/>
      <c r="I301" s="16" t="n"/>
      <c r="J301" s="18" t="n"/>
      <c r="K301" s="16" t="n"/>
      <c r="L301" s="17" t="n"/>
      <c r="M301" s="18" t="n"/>
      <c r="N301" s="16" t="n"/>
      <c r="O301" s="16" t="n"/>
      <c r="P301" s="16" t="n"/>
      <c r="Q301" s="16" t="n"/>
      <c r="R301" s="16" t="n"/>
      <c r="S301" s="16" t="n"/>
      <c r="T301" s="18" t="n"/>
      <c r="U301" s="18" t="n"/>
      <c r="V301" s="7">
        <f>IF(L301="","",IF(TODAY()&gt;=L301,"到期","未到期"))</f>
        <v/>
      </c>
      <c r="W301" s="16" t="n"/>
      <c r="X301" s="16" t="n"/>
    </row>
    <row r="302">
      <c r="A302" s="15">
        <f>IF(B302="","","V-"&amp;TEXT(ROW()-1,"000"))</f>
        <v/>
      </c>
      <c r="B302" s="16" t="n"/>
      <c r="C302" s="17" t="n"/>
      <c r="D302" s="16" t="n"/>
      <c r="E302" s="16" t="n"/>
      <c r="F302" s="16" t="n"/>
      <c r="G302" s="16" t="n"/>
      <c r="H302" s="16" t="n"/>
      <c r="I302" s="16" t="n"/>
      <c r="J302" s="18" t="n"/>
      <c r="K302" s="16" t="n"/>
      <c r="L302" s="17" t="n"/>
      <c r="M302" s="18" t="n"/>
      <c r="N302" s="16" t="n"/>
      <c r="O302" s="16" t="n"/>
      <c r="P302" s="16" t="n"/>
      <c r="Q302" s="16" t="n"/>
      <c r="R302" s="16" t="n"/>
      <c r="S302" s="16" t="n"/>
      <c r="T302" s="18" t="n"/>
      <c r="U302" s="18" t="n"/>
      <c r="V302" s="7">
        <f>IF(L302="","",IF(TODAY()&gt;=L302,"到期","未到期"))</f>
        <v/>
      </c>
      <c r="W302" s="16" t="n"/>
      <c r="X302" s="16" t="n"/>
    </row>
    <row r="303">
      <c r="A303" s="15">
        <f>IF(B303="","","V-"&amp;TEXT(ROW()-1,"000"))</f>
        <v/>
      </c>
      <c r="B303" s="16" t="n"/>
      <c r="C303" s="17" t="n"/>
      <c r="D303" s="16" t="n"/>
      <c r="E303" s="16" t="n"/>
      <c r="F303" s="16" t="n"/>
      <c r="G303" s="16" t="n"/>
      <c r="H303" s="16" t="n"/>
      <c r="I303" s="16" t="n"/>
      <c r="J303" s="18" t="n"/>
      <c r="K303" s="16" t="n"/>
      <c r="L303" s="17" t="n"/>
      <c r="M303" s="18" t="n"/>
      <c r="N303" s="16" t="n"/>
      <c r="O303" s="16" t="n"/>
      <c r="P303" s="16" t="n"/>
      <c r="Q303" s="16" t="n"/>
      <c r="R303" s="16" t="n"/>
      <c r="S303" s="16" t="n"/>
      <c r="T303" s="18" t="n"/>
      <c r="U303" s="18" t="n"/>
      <c r="V303" s="7">
        <f>IF(L303="","",IF(TODAY()&gt;=L303,"到期","未到期"))</f>
        <v/>
      </c>
      <c r="W303" s="16" t="n"/>
      <c r="X303" s="16" t="n"/>
    </row>
    <row r="304">
      <c r="A304" s="15">
        <f>IF(B304="","","V-"&amp;TEXT(ROW()-1,"000"))</f>
        <v/>
      </c>
      <c r="B304" s="16" t="n"/>
      <c r="C304" s="17" t="n"/>
      <c r="D304" s="16" t="n"/>
      <c r="E304" s="16" t="n"/>
      <c r="F304" s="16" t="n"/>
      <c r="G304" s="16" t="n"/>
      <c r="H304" s="16" t="n"/>
      <c r="I304" s="16" t="n"/>
      <c r="J304" s="18" t="n"/>
      <c r="K304" s="16" t="n"/>
      <c r="L304" s="17" t="n"/>
      <c r="M304" s="18" t="n"/>
      <c r="N304" s="16" t="n"/>
      <c r="O304" s="16" t="n"/>
      <c r="P304" s="16" t="n"/>
      <c r="Q304" s="16" t="n"/>
      <c r="R304" s="16" t="n"/>
      <c r="S304" s="16" t="n"/>
      <c r="T304" s="18" t="n"/>
      <c r="U304" s="18" t="n"/>
      <c r="V304" s="7">
        <f>IF(L304="","",IF(TODAY()&gt;=L304,"到期","未到期"))</f>
        <v/>
      </c>
      <c r="W304" s="16" t="n"/>
      <c r="X304" s="16" t="n"/>
    </row>
    <row r="305">
      <c r="A305" s="15">
        <f>IF(B305="","","V-"&amp;TEXT(ROW()-1,"000"))</f>
        <v/>
      </c>
      <c r="B305" s="16" t="n"/>
      <c r="C305" s="17" t="n"/>
      <c r="D305" s="16" t="n"/>
      <c r="E305" s="16" t="n"/>
      <c r="F305" s="16" t="n"/>
      <c r="G305" s="16" t="n"/>
      <c r="H305" s="16" t="n"/>
      <c r="I305" s="16" t="n"/>
      <c r="J305" s="18" t="n"/>
      <c r="K305" s="16" t="n"/>
      <c r="L305" s="17" t="n"/>
      <c r="M305" s="18" t="n"/>
      <c r="N305" s="16" t="n"/>
      <c r="O305" s="16" t="n"/>
      <c r="P305" s="16" t="n"/>
      <c r="Q305" s="16" t="n"/>
      <c r="R305" s="16" t="n"/>
      <c r="S305" s="16" t="n"/>
      <c r="T305" s="18" t="n"/>
      <c r="U305" s="18" t="n"/>
      <c r="V305" s="7">
        <f>IF(L305="","",IF(TODAY()&gt;=L305,"到期","未到期"))</f>
        <v/>
      </c>
      <c r="W305" s="16" t="n"/>
      <c r="X305" s="16" t="n"/>
    </row>
    <row r="306">
      <c r="A306" s="15">
        <f>IF(B306="","","V-"&amp;TEXT(ROW()-1,"000"))</f>
        <v/>
      </c>
      <c r="B306" s="16" t="n"/>
      <c r="C306" s="17" t="n"/>
      <c r="D306" s="16" t="n"/>
      <c r="E306" s="16" t="n"/>
      <c r="F306" s="16" t="n"/>
      <c r="G306" s="16" t="n"/>
      <c r="H306" s="16" t="n"/>
      <c r="I306" s="16" t="n"/>
      <c r="J306" s="18" t="n"/>
      <c r="K306" s="16" t="n"/>
      <c r="L306" s="17" t="n"/>
      <c r="M306" s="18" t="n"/>
      <c r="N306" s="16" t="n"/>
      <c r="O306" s="16" t="n"/>
      <c r="P306" s="16" t="n"/>
      <c r="Q306" s="16" t="n"/>
      <c r="R306" s="16" t="n"/>
      <c r="S306" s="16" t="n"/>
      <c r="T306" s="18" t="n"/>
      <c r="U306" s="18" t="n"/>
      <c r="V306" s="7">
        <f>IF(L306="","",IF(TODAY()&gt;=L306,"到期","未到期"))</f>
        <v/>
      </c>
      <c r="W306" s="16" t="n"/>
      <c r="X306" s="16" t="n"/>
    </row>
    <row r="307">
      <c r="A307" s="15">
        <f>IF(B307="","","V-"&amp;TEXT(ROW()-1,"000"))</f>
        <v/>
      </c>
      <c r="B307" s="16" t="n"/>
      <c r="C307" s="17" t="n"/>
      <c r="D307" s="16" t="n"/>
      <c r="E307" s="16" t="n"/>
      <c r="F307" s="16" t="n"/>
      <c r="G307" s="16" t="n"/>
      <c r="H307" s="16" t="n"/>
      <c r="I307" s="16" t="n"/>
      <c r="J307" s="18" t="n"/>
      <c r="K307" s="16" t="n"/>
      <c r="L307" s="17" t="n"/>
      <c r="M307" s="18" t="n"/>
      <c r="N307" s="16" t="n"/>
      <c r="O307" s="16" t="n"/>
      <c r="P307" s="16" t="n"/>
      <c r="Q307" s="16" t="n"/>
      <c r="R307" s="16" t="n"/>
      <c r="S307" s="16" t="n"/>
      <c r="T307" s="18" t="n"/>
      <c r="U307" s="18" t="n"/>
      <c r="V307" s="7">
        <f>IF(L307="","",IF(TODAY()&gt;=L307,"到期","未到期"))</f>
        <v/>
      </c>
      <c r="W307" s="16" t="n"/>
      <c r="X307" s="16" t="n"/>
    </row>
    <row r="308">
      <c r="A308" s="15">
        <f>IF(B308="","","V-"&amp;TEXT(ROW()-1,"000"))</f>
        <v/>
      </c>
      <c r="B308" s="16" t="n"/>
      <c r="C308" s="17" t="n"/>
      <c r="D308" s="16" t="n"/>
      <c r="E308" s="16" t="n"/>
      <c r="F308" s="16" t="n"/>
      <c r="G308" s="16" t="n"/>
      <c r="H308" s="16" t="n"/>
      <c r="I308" s="16" t="n"/>
      <c r="J308" s="18" t="n"/>
      <c r="K308" s="16" t="n"/>
      <c r="L308" s="17" t="n"/>
      <c r="M308" s="18" t="n"/>
      <c r="N308" s="16" t="n"/>
      <c r="O308" s="16" t="n"/>
      <c r="P308" s="16" t="n"/>
      <c r="Q308" s="16" t="n"/>
      <c r="R308" s="16" t="n"/>
      <c r="S308" s="16" t="n"/>
      <c r="T308" s="18" t="n"/>
      <c r="U308" s="18" t="n"/>
      <c r="V308" s="7">
        <f>IF(L308="","",IF(TODAY()&gt;=L308,"到期","未到期"))</f>
        <v/>
      </c>
      <c r="W308" s="16" t="n"/>
      <c r="X308" s="16" t="n"/>
    </row>
    <row r="309">
      <c r="A309" s="15">
        <f>IF(B309="","","V-"&amp;TEXT(ROW()-1,"000"))</f>
        <v/>
      </c>
      <c r="B309" s="16" t="n"/>
      <c r="C309" s="17" t="n"/>
      <c r="D309" s="16" t="n"/>
      <c r="E309" s="16" t="n"/>
      <c r="F309" s="16" t="n"/>
      <c r="G309" s="16" t="n"/>
      <c r="H309" s="16" t="n"/>
      <c r="I309" s="16" t="n"/>
      <c r="J309" s="18" t="n"/>
      <c r="K309" s="16" t="n"/>
      <c r="L309" s="17" t="n"/>
      <c r="M309" s="18" t="n"/>
      <c r="N309" s="16" t="n"/>
      <c r="O309" s="16" t="n"/>
      <c r="P309" s="16" t="n"/>
      <c r="Q309" s="16" t="n"/>
      <c r="R309" s="16" t="n"/>
      <c r="S309" s="16" t="n"/>
      <c r="T309" s="18" t="n"/>
      <c r="U309" s="18" t="n"/>
      <c r="V309" s="7">
        <f>IF(L309="","",IF(TODAY()&gt;=L309,"到期","未到期"))</f>
        <v/>
      </c>
      <c r="W309" s="16" t="n"/>
      <c r="X309" s="16" t="n"/>
    </row>
    <row r="310">
      <c r="A310" s="15">
        <f>IF(B310="","","V-"&amp;TEXT(ROW()-1,"000"))</f>
        <v/>
      </c>
      <c r="B310" s="16" t="n"/>
      <c r="C310" s="17" t="n"/>
      <c r="D310" s="16" t="n"/>
      <c r="E310" s="16" t="n"/>
      <c r="F310" s="16" t="n"/>
      <c r="G310" s="16" t="n"/>
      <c r="H310" s="16" t="n"/>
      <c r="I310" s="16" t="n"/>
      <c r="J310" s="18" t="n"/>
      <c r="K310" s="16" t="n"/>
      <c r="L310" s="17" t="n"/>
      <c r="M310" s="18" t="n"/>
      <c r="N310" s="16" t="n"/>
      <c r="O310" s="16" t="n"/>
      <c r="P310" s="16" t="n"/>
      <c r="Q310" s="16" t="n"/>
      <c r="R310" s="16" t="n"/>
      <c r="S310" s="16" t="n"/>
      <c r="T310" s="18" t="n"/>
      <c r="U310" s="18" t="n"/>
      <c r="V310" s="7">
        <f>IF(L310="","",IF(TODAY()&gt;=L310,"到期","未到期"))</f>
        <v/>
      </c>
      <c r="W310" s="16" t="n"/>
      <c r="X310" s="16" t="n"/>
    </row>
    <row r="311">
      <c r="A311" s="15">
        <f>IF(B311="","","V-"&amp;TEXT(ROW()-1,"000"))</f>
        <v/>
      </c>
      <c r="B311" s="16" t="n"/>
      <c r="C311" s="17" t="n"/>
      <c r="D311" s="16" t="n"/>
      <c r="E311" s="16" t="n"/>
      <c r="F311" s="16" t="n"/>
      <c r="G311" s="16" t="n"/>
      <c r="H311" s="16" t="n"/>
      <c r="I311" s="16" t="n"/>
      <c r="J311" s="18" t="n"/>
      <c r="K311" s="16" t="n"/>
      <c r="L311" s="17" t="n"/>
      <c r="M311" s="18" t="n"/>
      <c r="N311" s="16" t="n"/>
      <c r="O311" s="16" t="n"/>
      <c r="P311" s="16" t="n"/>
      <c r="Q311" s="16" t="n"/>
      <c r="R311" s="16" t="n"/>
      <c r="S311" s="16" t="n"/>
      <c r="T311" s="18" t="n"/>
      <c r="U311" s="18" t="n"/>
      <c r="V311" s="7">
        <f>IF(L311="","",IF(TODAY()&gt;=L311,"到期","未到期"))</f>
        <v/>
      </c>
      <c r="W311" s="16" t="n"/>
      <c r="X311" s="16" t="n"/>
    </row>
    <row r="312">
      <c r="A312" s="15">
        <f>IF(B312="","","V-"&amp;TEXT(ROW()-1,"000"))</f>
        <v/>
      </c>
      <c r="B312" s="16" t="n"/>
      <c r="C312" s="17" t="n"/>
      <c r="D312" s="16" t="n"/>
      <c r="E312" s="16" t="n"/>
      <c r="F312" s="16" t="n"/>
      <c r="G312" s="16" t="n"/>
      <c r="H312" s="16" t="n"/>
      <c r="I312" s="16" t="n"/>
      <c r="J312" s="18" t="n"/>
      <c r="K312" s="16" t="n"/>
      <c r="L312" s="17" t="n"/>
      <c r="M312" s="18" t="n"/>
      <c r="N312" s="16" t="n"/>
      <c r="O312" s="16" t="n"/>
      <c r="P312" s="16" t="n"/>
      <c r="Q312" s="16" t="n"/>
      <c r="R312" s="16" t="n"/>
      <c r="S312" s="16" t="n"/>
      <c r="T312" s="18" t="n"/>
      <c r="U312" s="18" t="n"/>
      <c r="V312" s="7">
        <f>IF(L312="","",IF(TODAY()&gt;=L312,"到期","未到期"))</f>
        <v/>
      </c>
      <c r="W312" s="16" t="n"/>
      <c r="X312" s="16" t="n"/>
    </row>
    <row r="313">
      <c r="A313" s="15">
        <f>IF(B313="","","V-"&amp;TEXT(ROW()-1,"000"))</f>
        <v/>
      </c>
      <c r="B313" s="16" t="n"/>
      <c r="C313" s="17" t="n"/>
      <c r="D313" s="16" t="n"/>
      <c r="E313" s="16" t="n"/>
      <c r="F313" s="16" t="n"/>
      <c r="G313" s="16" t="n"/>
      <c r="H313" s="16" t="n"/>
      <c r="I313" s="16" t="n"/>
      <c r="J313" s="18" t="n"/>
      <c r="K313" s="16" t="n"/>
      <c r="L313" s="17" t="n"/>
      <c r="M313" s="18" t="n"/>
      <c r="N313" s="16" t="n"/>
      <c r="O313" s="16" t="n"/>
      <c r="P313" s="16" t="n"/>
      <c r="Q313" s="16" t="n"/>
      <c r="R313" s="16" t="n"/>
      <c r="S313" s="16" t="n"/>
      <c r="T313" s="18" t="n"/>
      <c r="U313" s="18" t="n"/>
      <c r="V313" s="7">
        <f>IF(L313="","",IF(TODAY()&gt;=L313,"到期","未到期"))</f>
        <v/>
      </c>
      <c r="W313" s="16" t="n"/>
      <c r="X313" s="16" t="n"/>
    </row>
    <row r="314">
      <c r="A314" s="15">
        <f>IF(B314="","","V-"&amp;TEXT(ROW()-1,"000"))</f>
        <v/>
      </c>
      <c r="B314" s="16" t="n"/>
      <c r="C314" s="17" t="n"/>
      <c r="D314" s="16" t="n"/>
      <c r="E314" s="16" t="n"/>
      <c r="F314" s="16" t="n"/>
      <c r="G314" s="16" t="n"/>
      <c r="H314" s="16" t="n"/>
      <c r="I314" s="16" t="n"/>
      <c r="J314" s="18" t="n"/>
      <c r="K314" s="16" t="n"/>
      <c r="L314" s="17" t="n"/>
      <c r="M314" s="18" t="n"/>
      <c r="N314" s="16" t="n"/>
      <c r="O314" s="16" t="n"/>
      <c r="P314" s="16" t="n"/>
      <c r="Q314" s="16" t="n"/>
      <c r="R314" s="16" t="n"/>
      <c r="S314" s="16" t="n"/>
      <c r="T314" s="18" t="n"/>
      <c r="U314" s="18" t="n"/>
      <c r="V314" s="7">
        <f>IF(L314="","",IF(TODAY()&gt;=L314,"到期","未到期"))</f>
        <v/>
      </c>
      <c r="W314" s="16" t="n"/>
      <c r="X314" s="16" t="n"/>
    </row>
    <row r="315">
      <c r="A315" s="15">
        <f>IF(B315="","","V-"&amp;TEXT(ROW()-1,"000"))</f>
        <v/>
      </c>
      <c r="B315" s="16" t="n"/>
      <c r="C315" s="17" t="n"/>
      <c r="D315" s="16" t="n"/>
      <c r="E315" s="16" t="n"/>
      <c r="F315" s="16" t="n"/>
      <c r="G315" s="16" t="n"/>
      <c r="H315" s="16" t="n"/>
      <c r="I315" s="16" t="n"/>
      <c r="J315" s="18" t="n"/>
      <c r="K315" s="16" t="n"/>
      <c r="L315" s="17" t="n"/>
      <c r="M315" s="18" t="n"/>
      <c r="N315" s="16" t="n"/>
      <c r="O315" s="16" t="n"/>
      <c r="P315" s="16" t="n"/>
      <c r="Q315" s="16" t="n"/>
      <c r="R315" s="16" t="n"/>
      <c r="S315" s="16" t="n"/>
      <c r="T315" s="18" t="n"/>
      <c r="U315" s="18" t="n"/>
      <c r="V315" s="7">
        <f>IF(L315="","",IF(TODAY()&gt;=L315,"到期","未到期"))</f>
        <v/>
      </c>
      <c r="W315" s="16" t="n"/>
      <c r="X315" s="16" t="n"/>
    </row>
    <row r="316">
      <c r="A316" s="15">
        <f>IF(B316="","","V-"&amp;TEXT(ROW()-1,"000"))</f>
        <v/>
      </c>
      <c r="B316" s="16" t="n"/>
      <c r="C316" s="17" t="n"/>
      <c r="D316" s="16" t="n"/>
      <c r="E316" s="16" t="n"/>
      <c r="F316" s="16" t="n"/>
      <c r="G316" s="16" t="n"/>
      <c r="H316" s="16" t="n"/>
      <c r="I316" s="16" t="n"/>
      <c r="J316" s="18" t="n"/>
      <c r="K316" s="16" t="n"/>
      <c r="L316" s="17" t="n"/>
      <c r="M316" s="18" t="n"/>
      <c r="N316" s="16" t="n"/>
      <c r="O316" s="16" t="n"/>
      <c r="P316" s="16" t="n"/>
      <c r="Q316" s="16" t="n"/>
      <c r="R316" s="16" t="n"/>
      <c r="S316" s="16" t="n"/>
      <c r="T316" s="18" t="n"/>
      <c r="U316" s="18" t="n"/>
      <c r="V316" s="7">
        <f>IF(L316="","",IF(TODAY()&gt;=L316,"到期","未到期"))</f>
        <v/>
      </c>
      <c r="W316" s="16" t="n"/>
      <c r="X316" s="16" t="n"/>
    </row>
    <row r="317">
      <c r="A317" s="15">
        <f>IF(B317="","","V-"&amp;TEXT(ROW()-1,"000"))</f>
        <v/>
      </c>
      <c r="B317" s="16" t="n"/>
      <c r="C317" s="17" t="n"/>
      <c r="D317" s="16" t="n"/>
      <c r="E317" s="16" t="n"/>
      <c r="F317" s="16" t="n"/>
      <c r="G317" s="16" t="n"/>
      <c r="H317" s="16" t="n"/>
      <c r="I317" s="16" t="n"/>
      <c r="J317" s="18" t="n"/>
      <c r="K317" s="16" t="n"/>
      <c r="L317" s="17" t="n"/>
      <c r="M317" s="18" t="n"/>
      <c r="N317" s="16" t="n"/>
      <c r="O317" s="16" t="n"/>
      <c r="P317" s="16" t="n"/>
      <c r="Q317" s="16" t="n"/>
      <c r="R317" s="16" t="n"/>
      <c r="S317" s="16" t="n"/>
      <c r="T317" s="18" t="n"/>
      <c r="U317" s="18" t="n"/>
      <c r="V317" s="7">
        <f>IF(L317="","",IF(TODAY()&gt;=L317,"到期","未到期"))</f>
        <v/>
      </c>
      <c r="W317" s="16" t="n"/>
      <c r="X317" s="16" t="n"/>
    </row>
    <row r="318">
      <c r="A318" s="15">
        <f>IF(B318="","","V-"&amp;TEXT(ROW()-1,"000"))</f>
        <v/>
      </c>
      <c r="B318" s="16" t="n"/>
      <c r="C318" s="17" t="n"/>
      <c r="D318" s="16" t="n"/>
      <c r="E318" s="16" t="n"/>
      <c r="F318" s="16" t="n"/>
      <c r="G318" s="16" t="n"/>
      <c r="H318" s="16" t="n"/>
      <c r="I318" s="16" t="n"/>
      <c r="J318" s="18" t="n"/>
      <c r="K318" s="16" t="n"/>
      <c r="L318" s="17" t="n"/>
      <c r="M318" s="18" t="n"/>
      <c r="N318" s="16" t="n"/>
      <c r="O318" s="16" t="n"/>
      <c r="P318" s="16" t="n"/>
      <c r="Q318" s="16" t="n"/>
      <c r="R318" s="16" t="n"/>
      <c r="S318" s="16" t="n"/>
      <c r="T318" s="18" t="n"/>
      <c r="U318" s="18" t="n"/>
      <c r="V318" s="7">
        <f>IF(L318="","",IF(TODAY()&gt;=L318,"到期","未到期"))</f>
        <v/>
      </c>
      <c r="W318" s="16" t="n"/>
      <c r="X318" s="16" t="n"/>
    </row>
    <row r="319">
      <c r="A319" s="15">
        <f>IF(B319="","","V-"&amp;TEXT(ROW()-1,"000"))</f>
        <v/>
      </c>
      <c r="B319" s="16" t="n"/>
      <c r="C319" s="17" t="n"/>
      <c r="D319" s="16" t="n"/>
      <c r="E319" s="16" t="n"/>
      <c r="F319" s="16" t="n"/>
      <c r="G319" s="16" t="n"/>
      <c r="H319" s="16" t="n"/>
      <c r="I319" s="16" t="n"/>
      <c r="J319" s="18" t="n"/>
      <c r="K319" s="16" t="n"/>
      <c r="L319" s="17" t="n"/>
      <c r="M319" s="18" t="n"/>
      <c r="N319" s="16" t="n"/>
      <c r="O319" s="16" t="n"/>
      <c r="P319" s="16" t="n"/>
      <c r="Q319" s="16" t="n"/>
      <c r="R319" s="16" t="n"/>
      <c r="S319" s="16" t="n"/>
      <c r="T319" s="18" t="n"/>
      <c r="U319" s="18" t="n"/>
      <c r="V319" s="7">
        <f>IF(L319="","",IF(TODAY()&gt;=L319,"到期","未到期"))</f>
        <v/>
      </c>
      <c r="W319" s="16" t="n"/>
      <c r="X319" s="16" t="n"/>
    </row>
    <row r="320">
      <c r="A320" s="15">
        <f>IF(B320="","","V-"&amp;TEXT(ROW()-1,"000"))</f>
        <v/>
      </c>
      <c r="B320" s="16" t="n"/>
      <c r="C320" s="17" t="n"/>
      <c r="D320" s="16" t="n"/>
      <c r="E320" s="16" t="n"/>
      <c r="F320" s="16" t="n"/>
      <c r="G320" s="16" t="n"/>
      <c r="H320" s="16" t="n"/>
      <c r="I320" s="16" t="n"/>
      <c r="J320" s="18" t="n"/>
      <c r="K320" s="16" t="n"/>
      <c r="L320" s="17" t="n"/>
      <c r="M320" s="18" t="n"/>
      <c r="N320" s="16" t="n"/>
      <c r="O320" s="16" t="n"/>
      <c r="P320" s="16" t="n"/>
      <c r="Q320" s="16" t="n"/>
      <c r="R320" s="16" t="n"/>
      <c r="S320" s="16" t="n"/>
      <c r="T320" s="18" t="n"/>
      <c r="U320" s="18" t="n"/>
      <c r="V320" s="7">
        <f>IF(L320="","",IF(TODAY()&gt;=L320,"到期","未到期"))</f>
        <v/>
      </c>
      <c r="W320" s="16" t="n"/>
      <c r="X320" s="16" t="n"/>
    </row>
    <row r="321">
      <c r="A321" s="15">
        <f>IF(B321="","","V-"&amp;TEXT(ROW()-1,"000"))</f>
        <v/>
      </c>
      <c r="B321" s="16" t="n"/>
      <c r="C321" s="17" t="n"/>
      <c r="D321" s="16" t="n"/>
      <c r="E321" s="16" t="n"/>
      <c r="F321" s="16" t="n"/>
      <c r="G321" s="16" t="n"/>
      <c r="H321" s="16" t="n"/>
      <c r="I321" s="16" t="n"/>
      <c r="J321" s="18" t="n"/>
      <c r="K321" s="16" t="n"/>
      <c r="L321" s="17" t="n"/>
      <c r="M321" s="18" t="n"/>
      <c r="N321" s="16" t="n"/>
      <c r="O321" s="16" t="n"/>
      <c r="P321" s="16" t="n"/>
      <c r="Q321" s="16" t="n"/>
      <c r="R321" s="16" t="n"/>
      <c r="S321" s="16" t="n"/>
      <c r="T321" s="18" t="n"/>
      <c r="U321" s="18" t="n"/>
      <c r="V321" s="7">
        <f>IF(L321="","",IF(TODAY()&gt;=L321,"到期","未到期"))</f>
        <v/>
      </c>
      <c r="W321" s="16" t="n"/>
      <c r="X321" s="16" t="n"/>
    </row>
    <row r="322">
      <c r="A322" s="15">
        <f>IF(B322="","","V-"&amp;TEXT(ROW()-1,"000"))</f>
        <v/>
      </c>
      <c r="B322" s="16" t="n"/>
      <c r="C322" s="17" t="n"/>
      <c r="D322" s="16" t="n"/>
      <c r="E322" s="16" t="n"/>
      <c r="F322" s="16" t="n"/>
      <c r="G322" s="16" t="n"/>
      <c r="H322" s="16" t="n"/>
      <c r="I322" s="16" t="n"/>
      <c r="J322" s="18" t="n"/>
      <c r="K322" s="16" t="n"/>
      <c r="L322" s="17" t="n"/>
      <c r="M322" s="18" t="n"/>
      <c r="N322" s="16" t="n"/>
      <c r="O322" s="16" t="n"/>
      <c r="P322" s="16" t="n"/>
      <c r="Q322" s="16" t="n"/>
      <c r="R322" s="16" t="n"/>
      <c r="S322" s="16" t="n"/>
      <c r="T322" s="18" t="n"/>
      <c r="U322" s="18" t="n"/>
      <c r="V322" s="7">
        <f>IF(L322="","",IF(TODAY()&gt;=L322,"到期","未到期"))</f>
        <v/>
      </c>
      <c r="W322" s="16" t="n"/>
      <c r="X322" s="16" t="n"/>
    </row>
    <row r="323">
      <c r="A323" s="15">
        <f>IF(B323="","","V-"&amp;TEXT(ROW()-1,"000"))</f>
        <v/>
      </c>
      <c r="B323" s="16" t="n"/>
      <c r="C323" s="17" t="n"/>
      <c r="D323" s="16" t="n"/>
      <c r="E323" s="16" t="n"/>
      <c r="F323" s="16" t="n"/>
      <c r="G323" s="16" t="n"/>
      <c r="H323" s="16" t="n"/>
      <c r="I323" s="16" t="n"/>
      <c r="J323" s="18" t="n"/>
      <c r="K323" s="16" t="n"/>
      <c r="L323" s="17" t="n"/>
      <c r="M323" s="18" t="n"/>
      <c r="N323" s="16" t="n"/>
      <c r="O323" s="16" t="n"/>
      <c r="P323" s="16" t="n"/>
      <c r="Q323" s="16" t="n"/>
      <c r="R323" s="16" t="n"/>
      <c r="S323" s="16" t="n"/>
      <c r="T323" s="18" t="n"/>
      <c r="U323" s="18" t="n"/>
      <c r="V323" s="7">
        <f>IF(L323="","",IF(TODAY()&gt;=L323,"到期","未到期"))</f>
        <v/>
      </c>
      <c r="W323" s="16" t="n"/>
      <c r="X323" s="16" t="n"/>
    </row>
    <row r="324">
      <c r="A324" s="15">
        <f>IF(B324="","","V-"&amp;TEXT(ROW()-1,"000"))</f>
        <v/>
      </c>
      <c r="B324" s="16" t="n"/>
      <c r="C324" s="17" t="n"/>
      <c r="D324" s="16" t="n"/>
      <c r="E324" s="16" t="n"/>
      <c r="F324" s="16" t="n"/>
      <c r="G324" s="16" t="n"/>
      <c r="H324" s="16" t="n"/>
      <c r="I324" s="16" t="n"/>
      <c r="J324" s="18" t="n"/>
      <c r="K324" s="16" t="n"/>
      <c r="L324" s="17" t="n"/>
      <c r="M324" s="18" t="n"/>
      <c r="N324" s="16" t="n"/>
      <c r="O324" s="16" t="n"/>
      <c r="P324" s="16" t="n"/>
      <c r="Q324" s="16" t="n"/>
      <c r="R324" s="16" t="n"/>
      <c r="S324" s="16" t="n"/>
      <c r="T324" s="18" t="n"/>
      <c r="U324" s="18" t="n"/>
      <c r="V324" s="7">
        <f>IF(L324="","",IF(TODAY()&gt;=L324,"到期","未到期"))</f>
        <v/>
      </c>
      <c r="W324" s="16" t="n"/>
      <c r="X324" s="16" t="n"/>
    </row>
    <row r="325">
      <c r="A325" s="15">
        <f>IF(B325="","","V-"&amp;TEXT(ROW()-1,"000"))</f>
        <v/>
      </c>
      <c r="B325" s="16" t="n"/>
      <c r="C325" s="17" t="n"/>
      <c r="D325" s="16" t="n"/>
      <c r="E325" s="16" t="n"/>
      <c r="F325" s="16" t="n"/>
      <c r="G325" s="16" t="n"/>
      <c r="H325" s="16" t="n"/>
      <c r="I325" s="16" t="n"/>
      <c r="J325" s="18" t="n"/>
      <c r="K325" s="16" t="n"/>
      <c r="L325" s="17" t="n"/>
      <c r="M325" s="18" t="n"/>
      <c r="N325" s="16" t="n"/>
      <c r="O325" s="16" t="n"/>
      <c r="P325" s="16" t="n"/>
      <c r="Q325" s="16" t="n"/>
      <c r="R325" s="16" t="n"/>
      <c r="S325" s="16" t="n"/>
      <c r="T325" s="18" t="n"/>
      <c r="U325" s="18" t="n"/>
      <c r="V325" s="7">
        <f>IF(L325="","",IF(TODAY()&gt;=L325,"到期","未到期"))</f>
        <v/>
      </c>
      <c r="W325" s="16" t="n"/>
      <c r="X325" s="16" t="n"/>
    </row>
    <row r="326">
      <c r="A326" s="15">
        <f>IF(B326="","","V-"&amp;TEXT(ROW()-1,"000"))</f>
        <v/>
      </c>
      <c r="B326" s="16" t="n"/>
      <c r="C326" s="17" t="n"/>
      <c r="D326" s="16" t="n"/>
      <c r="E326" s="16" t="n"/>
      <c r="F326" s="16" t="n"/>
      <c r="G326" s="16" t="n"/>
      <c r="H326" s="16" t="n"/>
      <c r="I326" s="16" t="n"/>
      <c r="J326" s="18" t="n"/>
      <c r="K326" s="16" t="n"/>
      <c r="L326" s="17" t="n"/>
      <c r="M326" s="18" t="n"/>
      <c r="N326" s="16" t="n"/>
      <c r="O326" s="16" t="n"/>
      <c r="P326" s="16" t="n"/>
      <c r="Q326" s="16" t="n"/>
      <c r="R326" s="16" t="n"/>
      <c r="S326" s="16" t="n"/>
      <c r="T326" s="18" t="n"/>
      <c r="U326" s="18" t="n"/>
      <c r="V326" s="7">
        <f>IF(L326="","",IF(TODAY()&gt;=L326,"到期","未到期"))</f>
        <v/>
      </c>
      <c r="W326" s="16" t="n"/>
      <c r="X326" s="16" t="n"/>
    </row>
    <row r="327">
      <c r="A327" s="15">
        <f>IF(B327="","","V-"&amp;TEXT(ROW()-1,"000"))</f>
        <v/>
      </c>
      <c r="B327" s="16" t="n"/>
      <c r="C327" s="17" t="n"/>
      <c r="D327" s="16" t="n"/>
      <c r="E327" s="16" t="n"/>
      <c r="F327" s="16" t="n"/>
      <c r="G327" s="16" t="n"/>
      <c r="H327" s="16" t="n"/>
      <c r="I327" s="16" t="n"/>
      <c r="J327" s="18" t="n"/>
      <c r="K327" s="16" t="n"/>
      <c r="L327" s="17" t="n"/>
      <c r="M327" s="18" t="n"/>
      <c r="N327" s="16" t="n"/>
      <c r="O327" s="16" t="n"/>
      <c r="P327" s="16" t="n"/>
      <c r="Q327" s="16" t="n"/>
      <c r="R327" s="16" t="n"/>
      <c r="S327" s="16" t="n"/>
      <c r="T327" s="18" t="n"/>
      <c r="U327" s="18" t="n"/>
      <c r="V327" s="7">
        <f>IF(L327="","",IF(TODAY()&gt;=L327,"到期","未到期"))</f>
        <v/>
      </c>
      <c r="W327" s="16" t="n"/>
      <c r="X327" s="16" t="n"/>
    </row>
    <row r="328">
      <c r="A328" s="15">
        <f>IF(B328="","","V-"&amp;TEXT(ROW()-1,"000"))</f>
        <v/>
      </c>
      <c r="B328" s="16" t="n"/>
      <c r="C328" s="17" t="n"/>
      <c r="D328" s="16" t="n"/>
      <c r="E328" s="16" t="n"/>
      <c r="F328" s="16" t="n"/>
      <c r="G328" s="16" t="n"/>
      <c r="H328" s="16" t="n"/>
      <c r="I328" s="16" t="n"/>
      <c r="J328" s="18" t="n"/>
      <c r="K328" s="16" t="n"/>
      <c r="L328" s="17" t="n"/>
      <c r="M328" s="18" t="n"/>
      <c r="N328" s="16" t="n"/>
      <c r="O328" s="16" t="n"/>
      <c r="P328" s="16" t="n"/>
      <c r="Q328" s="16" t="n"/>
      <c r="R328" s="16" t="n"/>
      <c r="S328" s="16" t="n"/>
      <c r="T328" s="18" t="n"/>
      <c r="U328" s="18" t="n"/>
      <c r="V328" s="7">
        <f>IF(L328="","",IF(TODAY()&gt;=L328,"到期","未到期"))</f>
        <v/>
      </c>
      <c r="W328" s="16" t="n"/>
      <c r="X328" s="16" t="n"/>
    </row>
    <row r="329">
      <c r="A329" s="15">
        <f>IF(B329="","","V-"&amp;TEXT(ROW()-1,"000"))</f>
        <v/>
      </c>
      <c r="B329" s="16" t="n"/>
      <c r="C329" s="17" t="n"/>
      <c r="D329" s="16" t="n"/>
      <c r="E329" s="16" t="n"/>
      <c r="F329" s="16" t="n"/>
      <c r="G329" s="16" t="n"/>
      <c r="H329" s="16" t="n"/>
      <c r="I329" s="16" t="n"/>
      <c r="J329" s="18" t="n"/>
      <c r="K329" s="16" t="n"/>
      <c r="L329" s="17" t="n"/>
      <c r="M329" s="18" t="n"/>
      <c r="N329" s="16" t="n"/>
      <c r="O329" s="16" t="n"/>
      <c r="P329" s="16" t="n"/>
      <c r="Q329" s="16" t="n"/>
      <c r="R329" s="16" t="n"/>
      <c r="S329" s="16" t="n"/>
      <c r="T329" s="18" t="n"/>
      <c r="U329" s="18" t="n"/>
      <c r="V329" s="7">
        <f>IF(L329="","",IF(TODAY()&gt;=L329,"到期","未到期"))</f>
        <v/>
      </c>
      <c r="W329" s="16" t="n"/>
      <c r="X329" s="16" t="n"/>
    </row>
    <row r="330">
      <c r="A330" s="15">
        <f>IF(B330="","","V-"&amp;TEXT(ROW()-1,"000"))</f>
        <v/>
      </c>
      <c r="B330" s="16" t="n"/>
      <c r="C330" s="17" t="n"/>
      <c r="D330" s="16" t="n"/>
      <c r="E330" s="16" t="n"/>
      <c r="F330" s="16" t="n"/>
      <c r="G330" s="16" t="n"/>
      <c r="H330" s="16" t="n"/>
      <c r="I330" s="16" t="n"/>
      <c r="J330" s="18" t="n"/>
      <c r="K330" s="16" t="n"/>
      <c r="L330" s="17" t="n"/>
      <c r="M330" s="18" t="n"/>
      <c r="N330" s="16" t="n"/>
      <c r="O330" s="16" t="n"/>
      <c r="P330" s="16" t="n"/>
      <c r="Q330" s="16" t="n"/>
      <c r="R330" s="16" t="n"/>
      <c r="S330" s="16" t="n"/>
      <c r="T330" s="18" t="n"/>
      <c r="U330" s="18" t="n"/>
      <c r="V330" s="7">
        <f>IF(L330="","",IF(TODAY()&gt;=L330,"到期","未到期"))</f>
        <v/>
      </c>
      <c r="W330" s="16" t="n"/>
      <c r="X330" s="16" t="n"/>
    </row>
    <row r="331">
      <c r="A331" s="15">
        <f>IF(B331="","","V-"&amp;TEXT(ROW()-1,"000"))</f>
        <v/>
      </c>
      <c r="B331" s="16" t="n"/>
      <c r="C331" s="17" t="n"/>
      <c r="D331" s="16" t="n"/>
      <c r="E331" s="16" t="n"/>
      <c r="F331" s="16" t="n"/>
      <c r="G331" s="16" t="n"/>
      <c r="H331" s="16" t="n"/>
      <c r="I331" s="16" t="n"/>
      <c r="J331" s="18" t="n"/>
      <c r="K331" s="16" t="n"/>
      <c r="L331" s="17" t="n"/>
      <c r="M331" s="18" t="n"/>
      <c r="N331" s="16" t="n"/>
      <c r="O331" s="16" t="n"/>
      <c r="P331" s="16" t="n"/>
      <c r="Q331" s="16" t="n"/>
      <c r="R331" s="16" t="n"/>
      <c r="S331" s="16" t="n"/>
      <c r="T331" s="18" t="n"/>
      <c r="U331" s="18" t="n"/>
      <c r="V331" s="7">
        <f>IF(L331="","",IF(TODAY()&gt;=L331,"到期","未到期"))</f>
        <v/>
      </c>
      <c r="W331" s="16" t="n"/>
      <c r="X331" s="16" t="n"/>
    </row>
    <row r="332">
      <c r="A332" s="15">
        <f>IF(B332="","","V-"&amp;TEXT(ROW()-1,"000"))</f>
        <v/>
      </c>
      <c r="B332" s="16" t="n"/>
      <c r="C332" s="17" t="n"/>
      <c r="D332" s="16" t="n"/>
      <c r="E332" s="16" t="n"/>
      <c r="F332" s="16" t="n"/>
      <c r="G332" s="16" t="n"/>
      <c r="H332" s="16" t="n"/>
      <c r="I332" s="16" t="n"/>
      <c r="J332" s="18" t="n"/>
      <c r="K332" s="16" t="n"/>
      <c r="L332" s="17" t="n"/>
      <c r="M332" s="18" t="n"/>
      <c r="N332" s="16" t="n"/>
      <c r="O332" s="16" t="n"/>
      <c r="P332" s="16" t="n"/>
      <c r="Q332" s="16" t="n"/>
      <c r="R332" s="16" t="n"/>
      <c r="S332" s="16" t="n"/>
      <c r="T332" s="18" t="n"/>
      <c r="U332" s="18" t="n"/>
      <c r="V332" s="7">
        <f>IF(L332="","",IF(TODAY()&gt;=L332,"到期","未到期"))</f>
        <v/>
      </c>
      <c r="W332" s="16" t="n"/>
      <c r="X332" s="16" t="n"/>
    </row>
    <row r="333">
      <c r="A333" s="15">
        <f>IF(B333="","","V-"&amp;TEXT(ROW()-1,"000"))</f>
        <v/>
      </c>
      <c r="B333" s="16" t="n"/>
      <c r="C333" s="17" t="n"/>
      <c r="D333" s="16" t="n"/>
      <c r="E333" s="16" t="n"/>
      <c r="F333" s="16" t="n"/>
      <c r="G333" s="16" t="n"/>
      <c r="H333" s="16" t="n"/>
      <c r="I333" s="16" t="n"/>
      <c r="J333" s="18" t="n"/>
      <c r="K333" s="16" t="n"/>
      <c r="L333" s="17" t="n"/>
      <c r="M333" s="18" t="n"/>
      <c r="N333" s="16" t="n"/>
      <c r="O333" s="16" t="n"/>
      <c r="P333" s="16" t="n"/>
      <c r="Q333" s="16" t="n"/>
      <c r="R333" s="16" t="n"/>
      <c r="S333" s="16" t="n"/>
      <c r="T333" s="18" t="n"/>
      <c r="U333" s="18" t="n"/>
      <c r="V333" s="7">
        <f>IF(L333="","",IF(TODAY()&gt;=L333,"到期","未到期"))</f>
        <v/>
      </c>
      <c r="W333" s="16" t="n"/>
      <c r="X333" s="16" t="n"/>
    </row>
    <row r="334">
      <c r="A334" s="15">
        <f>IF(B334="","","V-"&amp;TEXT(ROW()-1,"000"))</f>
        <v/>
      </c>
      <c r="B334" s="16" t="n"/>
      <c r="C334" s="17" t="n"/>
      <c r="D334" s="16" t="n"/>
      <c r="E334" s="16" t="n"/>
      <c r="F334" s="16" t="n"/>
      <c r="G334" s="16" t="n"/>
      <c r="H334" s="16" t="n"/>
      <c r="I334" s="16" t="n"/>
      <c r="J334" s="18" t="n"/>
      <c r="K334" s="16" t="n"/>
      <c r="L334" s="17" t="n"/>
      <c r="M334" s="18" t="n"/>
      <c r="N334" s="16" t="n"/>
      <c r="O334" s="16" t="n"/>
      <c r="P334" s="16" t="n"/>
      <c r="Q334" s="16" t="n"/>
      <c r="R334" s="16" t="n"/>
      <c r="S334" s="16" t="n"/>
      <c r="T334" s="18" t="n"/>
      <c r="U334" s="18" t="n"/>
      <c r="V334" s="7">
        <f>IF(L334="","",IF(TODAY()&gt;=L334,"到期","未到期"))</f>
        <v/>
      </c>
      <c r="W334" s="16" t="n"/>
      <c r="X334" s="16" t="n"/>
    </row>
    <row r="335">
      <c r="A335" s="15">
        <f>IF(B335="","","V-"&amp;TEXT(ROW()-1,"000"))</f>
        <v/>
      </c>
      <c r="B335" s="16" t="n"/>
      <c r="C335" s="17" t="n"/>
      <c r="D335" s="16" t="n"/>
      <c r="E335" s="16" t="n"/>
      <c r="F335" s="16" t="n"/>
      <c r="G335" s="16" t="n"/>
      <c r="H335" s="16" t="n"/>
      <c r="I335" s="16" t="n"/>
      <c r="J335" s="18" t="n"/>
      <c r="K335" s="16" t="n"/>
      <c r="L335" s="17" t="n"/>
      <c r="M335" s="18" t="n"/>
      <c r="N335" s="16" t="n"/>
      <c r="O335" s="16" t="n"/>
      <c r="P335" s="16" t="n"/>
      <c r="Q335" s="16" t="n"/>
      <c r="R335" s="16" t="n"/>
      <c r="S335" s="16" t="n"/>
      <c r="T335" s="18" t="n"/>
      <c r="U335" s="18" t="n"/>
      <c r="V335" s="7">
        <f>IF(L335="","",IF(TODAY()&gt;=L335,"到期","未到期"))</f>
        <v/>
      </c>
      <c r="W335" s="16" t="n"/>
      <c r="X335" s="16" t="n"/>
    </row>
    <row r="336">
      <c r="A336" s="15">
        <f>IF(B336="","","V-"&amp;TEXT(ROW()-1,"000"))</f>
        <v/>
      </c>
      <c r="B336" s="16" t="n"/>
      <c r="C336" s="17" t="n"/>
      <c r="D336" s="16" t="n"/>
      <c r="E336" s="16" t="n"/>
      <c r="F336" s="16" t="n"/>
      <c r="G336" s="16" t="n"/>
      <c r="H336" s="16" t="n"/>
      <c r="I336" s="16" t="n"/>
      <c r="J336" s="18" t="n"/>
      <c r="K336" s="16" t="n"/>
      <c r="L336" s="17" t="n"/>
      <c r="M336" s="18" t="n"/>
      <c r="N336" s="16" t="n"/>
      <c r="O336" s="16" t="n"/>
      <c r="P336" s="16" t="n"/>
      <c r="Q336" s="16" t="n"/>
      <c r="R336" s="16" t="n"/>
      <c r="S336" s="16" t="n"/>
      <c r="T336" s="18" t="n"/>
      <c r="U336" s="18" t="n"/>
      <c r="V336" s="7">
        <f>IF(L336="","",IF(TODAY()&gt;=L336,"到期","未到期"))</f>
        <v/>
      </c>
      <c r="W336" s="16" t="n"/>
      <c r="X336" s="16" t="n"/>
    </row>
    <row r="337">
      <c r="A337" s="15">
        <f>IF(B337="","","V-"&amp;TEXT(ROW()-1,"000"))</f>
        <v/>
      </c>
      <c r="B337" s="16" t="n"/>
      <c r="C337" s="17" t="n"/>
      <c r="D337" s="16" t="n"/>
      <c r="E337" s="16" t="n"/>
      <c r="F337" s="16" t="n"/>
      <c r="G337" s="16" t="n"/>
      <c r="H337" s="16" t="n"/>
      <c r="I337" s="16" t="n"/>
      <c r="J337" s="18" t="n"/>
      <c r="K337" s="16" t="n"/>
      <c r="L337" s="17" t="n"/>
      <c r="M337" s="18" t="n"/>
      <c r="N337" s="16" t="n"/>
      <c r="O337" s="16" t="n"/>
      <c r="P337" s="16" t="n"/>
      <c r="Q337" s="16" t="n"/>
      <c r="R337" s="16" t="n"/>
      <c r="S337" s="16" t="n"/>
      <c r="T337" s="18" t="n"/>
      <c r="U337" s="18" t="n"/>
      <c r="V337" s="7">
        <f>IF(L337="","",IF(TODAY()&gt;=L337,"到期","未到期"))</f>
        <v/>
      </c>
      <c r="W337" s="16" t="n"/>
      <c r="X337" s="16" t="n"/>
    </row>
    <row r="338">
      <c r="A338" s="15">
        <f>IF(B338="","","V-"&amp;TEXT(ROW()-1,"000"))</f>
        <v/>
      </c>
      <c r="B338" s="16" t="n"/>
      <c r="C338" s="17" t="n"/>
      <c r="D338" s="16" t="n"/>
      <c r="E338" s="16" t="n"/>
      <c r="F338" s="16" t="n"/>
      <c r="G338" s="16" t="n"/>
      <c r="H338" s="16" t="n"/>
      <c r="I338" s="16" t="n"/>
      <c r="J338" s="18" t="n"/>
      <c r="K338" s="16" t="n"/>
      <c r="L338" s="17" t="n"/>
      <c r="M338" s="18" t="n"/>
      <c r="N338" s="16" t="n"/>
      <c r="O338" s="16" t="n"/>
      <c r="P338" s="16" t="n"/>
      <c r="Q338" s="16" t="n"/>
      <c r="R338" s="16" t="n"/>
      <c r="S338" s="16" t="n"/>
      <c r="T338" s="18" t="n"/>
      <c r="U338" s="18" t="n"/>
      <c r="V338" s="7">
        <f>IF(L338="","",IF(TODAY()&gt;=L338,"到期","未到期"))</f>
        <v/>
      </c>
      <c r="W338" s="16" t="n"/>
      <c r="X338" s="16" t="n"/>
    </row>
    <row r="339">
      <c r="A339" s="15">
        <f>IF(B339="","","V-"&amp;TEXT(ROW()-1,"000"))</f>
        <v/>
      </c>
      <c r="B339" s="16" t="n"/>
      <c r="C339" s="17" t="n"/>
      <c r="D339" s="16" t="n"/>
      <c r="E339" s="16" t="n"/>
      <c r="F339" s="16" t="n"/>
      <c r="G339" s="16" t="n"/>
      <c r="H339" s="16" t="n"/>
      <c r="I339" s="16" t="n"/>
      <c r="J339" s="18" t="n"/>
      <c r="K339" s="16" t="n"/>
      <c r="L339" s="17" t="n"/>
      <c r="M339" s="18" t="n"/>
      <c r="N339" s="16" t="n"/>
      <c r="O339" s="16" t="n"/>
      <c r="P339" s="16" t="n"/>
      <c r="Q339" s="16" t="n"/>
      <c r="R339" s="16" t="n"/>
      <c r="S339" s="16" t="n"/>
      <c r="T339" s="18" t="n"/>
      <c r="U339" s="18" t="n"/>
      <c r="V339" s="7">
        <f>IF(L339="","",IF(TODAY()&gt;=L339,"到期","未到期"))</f>
        <v/>
      </c>
      <c r="W339" s="16" t="n"/>
      <c r="X339" s="16" t="n"/>
    </row>
    <row r="340">
      <c r="A340" s="15">
        <f>IF(B340="","","V-"&amp;TEXT(ROW()-1,"000"))</f>
        <v/>
      </c>
      <c r="B340" s="16" t="n"/>
      <c r="C340" s="17" t="n"/>
      <c r="D340" s="16" t="n"/>
      <c r="E340" s="16" t="n"/>
      <c r="F340" s="16" t="n"/>
      <c r="G340" s="16" t="n"/>
      <c r="H340" s="16" t="n"/>
      <c r="I340" s="16" t="n"/>
      <c r="J340" s="18" t="n"/>
      <c r="K340" s="16" t="n"/>
      <c r="L340" s="17" t="n"/>
      <c r="M340" s="18" t="n"/>
      <c r="N340" s="16" t="n"/>
      <c r="O340" s="16" t="n"/>
      <c r="P340" s="16" t="n"/>
      <c r="Q340" s="16" t="n"/>
      <c r="R340" s="16" t="n"/>
      <c r="S340" s="16" t="n"/>
      <c r="T340" s="18" t="n"/>
      <c r="U340" s="18" t="n"/>
      <c r="V340" s="7">
        <f>IF(L340="","",IF(TODAY()&gt;=L340,"到期","未到期"))</f>
        <v/>
      </c>
      <c r="W340" s="16" t="n"/>
      <c r="X340" s="16" t="n"/>
    </row>
    <row r="341">
      <c r="A341" s="15">
        <f>IF(B341="","","V-"&amp;TEXT(ROW()-1,"000"))</f>
        <v/>
      </c>
      <c r="B341" s="16" t="n"/>
      <c r="C341" s="17" t="n"/>
      <c r="D341" s="16" t="n"/>
      <c r="E341" s="16" t="n"/>
      <c r="F341" s="16" t="n"/>
      <c r="G341" s="16" t="n"/>
      <c r="H341" s="16" t="n"/>
      <c r="I341" s="16" t="n"/>
      <c r="J341" s="18" t="n"/>
      <c r="K341" s="16" t="n"/>
      <c r="L341" s="17" t="n"/>
      <c r="M341" s="18" t="n"/>
      <c r="N341" s="16" t="n"/>
      <c r="O341" s="16" t="n"/>
      <c r="P341" s="16" t="n"/>
      <c r="Q341" s="16" t="n"/>
      <c r="R341" s="16" t="n"/>
      <c r="S341" s="16" t="n"/>
      <c r="T341" s="18" t="n"/>
      <c r="U341" s="18" t="n"/>
      <c r="V341" s="7">
        <f>IF(L341="","",IF(TODAY()&gt;=L341,"到期","未到期"))</f>
        <v/>
      </c>
      <c r="W341" s="16" t="n"/>
      <c r="X341" s="16" t="n"/>
    </row>
    <row r="342">
      <c r="A342" s="15">
        <f>IF(B342="","","V-"&amp;TEXT(ROW()-1,"000"))</f>
        <v/>
      </c>
      <c r="B342" s="16" t="n"/>
      <c r="C342" s="17" t="n"/>
      <c r="D342" s="16" t="n"/>
      <c r="E342" s="16" t="n"/>
      <c r="F342" s="16" t="n"/>
      <c r="G342" s="16" t="n"/>
      <c r="H342" s="16" t="n"/>
      <c r="I342" s="16" t="n"/>
      <c r="J342" s="18" t="n"/>
      <c r="K342" s="16" t="n"/>
      <c r="L342" s="17" t="n"/>
      <c r="M342" s="18" t="n"/>
      <c r="N342" s="16" t="n"/>
      <c r="O342" s="16" t="n"/>
      <c r="P342" s="16" t="n"/>
      <c r="Q342" s="16" t="n"/>
      <c r="R342" s="16" t="n"/>
      <c r="S342" s="16" t="n"/>
      <c r="T342" s="18" t="n"/>
      <c r="U342" s="18" t="n"/>
      <c r="V342" s="7">
        <f>IF(L342="","",IF(TODAY()&gt;=L342,"到期","未到期"))</f>
        <v/>
      </c>
      <c r="W342" s="16" t="n"/>
      <c r="X342" s="16" t="n"/>
    </row>
    <row r="343">
      <c r="A343" s="15">
        <f>IF(B343="","","V-"&amp;TEXT(ROW()-1,"000"))</f>
        <v/>
      </c>
      <c r="B343" s="16" t="n"/>
      <c r="C343" s="17" t="n"/>
      <c r="D343" s="16" t="n"/>
      <c r="E343" s="16" t="n"/>
      <c r="F343" s="16" t="n"/>
      <c r="G343" s="16" t="n"/>
      <c r="H343" s="16" t="n"/>
      <c r="I343" s="16" t="n"/>
      <c r="J343" s="18" t="n"/>
      <c r="K343" s="16" t="n"/>
      <c r="L343" s="17" t="n"/>
      <c r="M343" s="18" t="n"/>
      <c r="N343" s="16" t="n"/>
      <c r="O343" s="16" t="n"/>
      <c r="P343" s="16" t="n"/>
      <c r="Q343" s="16" t="n"/>
      <c r="R343" s="16" t="n"/>
      <c r="S343" s="16" t="n"/>
      <c r="T343" s="18" t="n"/>
      <c r="U343" s="18" t="n"/>
      <c r="V343" s="7">
        <f>IF(L343="","",IF(TODAY()&gt;=L343,"到期","未到期"))</f>
        <v/>
      </c>
      <c r="W343" s="16" t="n"/>
      <c r="X343" s="16" t="n"/>
    </row>
    <row r="344">
      <c r="A344" s="15">
        <f>IF(B344="","","V-"&amp;TEXT(ROW()-1,"000"))</f>
        <v/>
      </c>
      <c r="B344" s="16" t="n"/>
      <c r="C344" s="17" t="n"/>
      <c r="D344" s="16" t="n"/>
      <c r="E344" s="16" t="n"/>
      <c r="F344" s="16" t="n"/>
      <c r="G344" s="16" t="n"/>
      <c r="H344" s="16" t="n"/>
      <c r="I344" s="16" t="n"/>
      <c r="J344" s="18" t="n"/>
      <c r="K344" s="16" t="n"/>
      <c r="L344" s="17" t="n"/>
      <c r="M344" s="18" t="n"/>
      <c r="N344" s="16" t="n"/>
      <c r="O344" s="16" t="n"/>
      <c r="P344" s="16" t="n"/>
      <c r="Q344" s="16" t="n"/>
      <c r="R344" s="16" t="n"/>
      <c r="S344" s="16" t="n"/>
      <c r="T344" s="18" t="n"/>
      <c r="U344" s="18" t="n"/>
      <c r="V344" s="7">
        <f>IF(L344="","",IF(TODAY()&gt;=L344,"到期","未到期"))</f>
        <v/>
      </c>
      <c r="W344" s="16" t="n"/>
      <c r="X344" s="16" t="n"/>
    </row>
    <row r="345">
      <c r="A345" s="15">
        <f>IF(B345="","","V-"&amp;TEXT(ROW()-1,"000"))</f>
        <v/>
      </c>
      <c r="B345" s="16" t="n"/>
      <c r="C345" s="17" t="n"/>
      <c r="D345" s="16" t="n"/>
      <c r="E345" s="16" t="n"/>
      <c r="F345" s="16" t="n"/>
      <c r="G345" s="16" t="n"/>
      <c r="H345" s="16" t="n"/>
      <c r="I345" s="16" t="n"/>
      <c r="J345" s="18" t="n"/>
      <c r="K345" s="16" t="n"/>
      <c r="L345" s="17" t="n"/>
      <c r="M345" s="18" t="n"/>
      <c r="N345" s="16" t="n"/>
      <c r="O345" s="16" t="n"/>
      <c r="P345" s="16" t="n"/>
      <c r="Q345" s="16" t="n"/>
      <c r="R345" s="16" t="n"/>
      <c r="S345" s="16" t="n"/>
      <c r="T345" s="18" t="n"/>
      <c r="U345" s="18" t="n"/>
      <c r="V345" s="7">
        <f>IF(L345="","",IF(TODAY()&gt;=L345,"到期","未到期"))</f>
        <v/>
      </c>
      <c r="W345" s="16" t="n"/>
      <c r="X345" s="16" t="n"/>
    </row>
    <row r="346">
      <c r="A346" s="15">
        <f>IF(B346="","","V-"&amp;TEXT(ROW()-1,"000"))</f>
        <v/>
      </c>
      <c r="B346" s="16" t="n"/>
      <c r="C346" s="17" t="n"/>
      <c r="D346" s="16" t="n"/>
      <c r="E346" s="16" t="n"/>
      <c r="F346" s="16" t="n"/>
      <c r="G346" s="16" t="n"/>
      <c r="H346" s="16" t="n"/>
      <c r="I346" s="16" t="n"/>
      <c r="J346" s="18" t="n"/>
      <c r="K346" s="16" t="n"/>
      <c r="L346" s="17" t="n"/>
      <c r="M346" s="18" t="n"/>
      <c r="N346" s="16" t="n"/>
      <c r="O346" s="16" t="n"/>
      <c r="P346" s="16" t="n"/>
      <c r="Q346" s="16" t="n"/>
      <c r="R346" s="16" t="n"/>
      <c r="S346" s="16" t="n"/>
      <c r="T346" s="18" t="n"/>
      <c r="U346" s="18" t="n"/>
      <c r="V346" s="7">
        <f>IF(L346="","",IF(TODAY()&gt;=L346,"到期","未到期"))</f>
        <v/>
      </c>
      <c r="W346" s="16" t="n"/>
      <c r="X346" s="16" t="n"/>
    </row>
    <row r="347">
      <c r="A347" s="15">
        <f>IF(B347="","","V-"&amp;TEXT(ROW()-1,"000"))</f>
        <v/>
      </c>
      <c r="B347" s="16" t="n"/>
      <c r="C347" s="17" t="n"/>
      <c r="D347" s="16" t="n"/>
      <c r="E347" s="16" t="n"/>
      <c r="F347" s="16" t="n"/>
      <c r="G347" s="16" t="n"/>
      <c r="H347" s="16" t="n"/>
      <c r="I347" s="16" t="n"/>
      <c r="J347" s="18" t="n"/>
      <c r="K347" s="16" t="n"/>
      <c r="L347" s="17" t="n"/>
      <c r="M347" s="18" t="n"/>
      <c r="N347" s="16" t="n"/>
      <c r="O347" s="16" t="n"/>
      <c r="P347" s="16" t="n"/>
      <c r="Q347" s="16" t="n"/>
      <c r="R347" s="16" t="n"/>
      <c r="S347" s="16" t="n"/>
      <c r="T347" s="18" t="n"/>
      <c r="U347" s="18" t="n"/>
      <c r="V347" s="7">
        <f>IF(L347="","",IF(TODAY()&gt;=L347,"到期","未到期"))</f>
        <v/>
      </c>
      <c r="W347" s="16" t="n"/>
      <c r="X347" s="16" t="n"/>
    </row>
    <row r="348">
      <c r="A348" s="15">
        <f>IF(B348="","","V-"&amp;TEXT(ROW()-1,"000"))</f>
        <v/>
      </c>
      <c r="B348" s="16" t="n"/>
      <c r="C348" s="17" t="n"/>
      <c r="D348" s="16" t="n"/>
      <c r="E348" s="16" t="n"/>
      <c r="F348" s="16" t="n"/>
      <c r="G348" s="16" t="n"/>
      <c r="H348" s="16" t="n"/>
      <c r="I348" s="16" t="n"/>
      <c r="J348" s="18" t="n"/>
      <c r="K348" s="16" t="n"/>
      <c r="L348" s="17" t="n"/>
      <c r="M348" s="18" t="n"/>
      <c r="N348" s="16" t="n"/>
      <c r="O348" s="16" t="n"/>
      <c r="P348" s="16" t="n"/>
      <c r="Q348" s="16" t="n"/>
      <c r="R348" s="16" t="n"/>
      <c r="S348" s="16" t="n"/>
      <c r="T348" s="18" t="n"/>
      <c r="U348" s="18" t="n"/>
      <c r="V348" s="7">
        <f>IF(L348="","",IF(TODAY()&gt;=L348,"到期","未到期"))</f>
        <v/>
      </c>
      <c r="W348" s="16" t="n"/>
      <c r="X348" s="16" t="n"/>
    </row>
    <row r="349">
      <c r="A349" s="15">
        <f>IF(B349="","","V-"&amp;TEXT(ROW()-1,"000"))</f>
        <v/>
      </c>
      <c r="B349" s="16" t="n"/>
      <c r="C349" s="17" t="n"/>
      <c r="D349" s="16" t="n"/>
      <c r="E349" s="16" t="n"/>
      <c r="F349" s="16" t="n"/>
      <c r="G349" s="16" t="n"/>
      <c r="H349" s="16" t="n"/>
      <c r="I349" s="16" t="n"/>
      <c r="J349" s="18" t="n"/>
      <c r="K349" s="16" t="n"/>
      <c r="L349" s="17" t="n"/>
      <c r="M349" s="18" t="n"/>
      <c r="N349" s="16" t="n"/>
      <c r="O349" s="16" t="n"/>
      <c r="P349" s="16" t="n"/>
      <c r="Q349" s="16" t="n"/>
      <c r="R349" s="16" t="n"/>
      <c r="S349" s="16" t="n"/>
      <c r="T349" s="18" t="n"/>
      <c r="U349" s="18" t="n"/>
      <c r="V349" s="7">
        <f>IF(L349="","",IF(TODAY()&gt;=L349,"到期","未到期"))</f>
        <v/>
      </c>
      <c r="W349" s="16" t="n"/>
      <c r="X349" s="16" t="n"/>
    </row>
    <row r="350">
      <c r="A350" s="15">
        <f>IF(B350="","","V-"&amp;TEXT(ROW()-1,"000"))</f>
        <v/>
      </c>
      <c r="B350" s="16" t="n"/>
      <c r="C350" s="17" t="n"/>
      <c r="D350" s="16" t="n"/>
      <c r="E350" s="16" t="n"/>
      <c r="F350" s="16" t="n"/>
      <c r="G350" s="16" t="n"/>
      <c r="H350" s="16" t="n"/>
      <c r="I350" s="16" t="n"/>
      <c r="J350" s="18" t="n"/>
      <c r="K350" s="16" t="n"/>
      <c r="L350" s="17" t="n"/>
      <c r="M350" s="18" t="n"/>
      <c r="N350" s="16" t="n"/>
      <c r="O350" s="16" t="n"/>
      <c r="P350" s="16" t="n"/>
      <c r="Q350" s="16" t="n"/>
      <c r="R350" s="16" t="n"/>
      <c r="S350" s="16" t="n"/>
      <c r="T350" s="18" t="n"/>
      <c r="U350" s="18" t="n"/>
      <c r="V350" s="7">
        <f>IF(L350="","",IF(TODAY()&gt;=L350,"到期","未到期"))</f>
        <v/>
      </c>
      <c r="W350" s="16" t="n"/>
      <c r="X350" s="16" t="n"/>
    </row>
    <row r="351">
      <c r="A351" s="15">
        <f>IF(B351="","","V-"&amp;TEXT(ROW()-1,"000"))</f>
        <v/>
      </c>
      <c r="B351" s="16" t="n"/>
      <c r="C351" s="17" t="n"/>
      <c r="D351" s="16" t="n"/>
      <c r="E351" s="16" t="n"/>
      <c r="F351" s="16" t="n"/>
      <c r="G351" s="16" t="n"/>
      <c r="H351" s="16" t="n"/>
      <c r="I351" s="16" t="n"/>
      <c r="J351" s="18" t="n"/>
      <c r="K351" s="16" t="n"/>
      <c r="L351" s="17" t="n"/>
      <c r="M351" s="18" t="n"/>
      <c r="N351" s="16" t="n"/>
      <c r="O351" s="16" t="n"/>
      <c r="P351" s="16" t="n"/>
      <c r="Q351" s="16" t="n"/>
      <c r="R351" s="16" t="n"/>
      <c r="S351" s="16" t="n"/>
      <c r="T351" s="18" t="n"/>
      <c r="U351" s="18" t="n"/>
      <c r="V351" s="7">
        <f>IF(L351="","",IF(TODAY()&gt;=L351,"到期","未到期"))</f>
        <v/>
      </c>
      <c r="W351" s="16" t="n"/>
      <c r="X351" s="16" t="n"/>
    </row>
    <row r="352">
      <c r="A352" s="15">
        <f>IF(B352="","","V-"&amp;TEXT(ROW()-1,"000"))</f>
        <v/>
      </c>
      <c r="B352" s="16" t="n"/>
      <c r="C352" s="17" t="n"/>
      <c r="D352" s="16" t="n"/>
      <c r="E352" s="16" t="n"/>
      <c r="F352" s="16" t="n"/>
      <c r="G352" s="16" t="n"/>
      <c r="H352" s="16" t="n"/>
      <c r="I352" s="16" t="n"/>
      <c r="J352" s="18" t="n"/>
      <c r="K352" s="16" t="n"/>
      <c r="L352" s="17" t="n"/>
      <c r="M352" s="18" t="n"/>
      <c r="N352" s="16" t="n"/>
      <c r="O352" s="16" t="n"/>
      <c r="P352" s="16" t="n"/>
      <c r="Q352" s="16" t="n"/>
      <c r="R352" s="16" t="n"/>
      <c r="S352" s="16" t="n"/>
      <c r="T352" s="18" t="n"/>
      <c r="U352" s="18" t="n"/>
      <c r="V352" s="7">
        <f>IF(L352="","",IF(TODAY()&gt;=L352,"到期","未到期"))</f>
        <v/>
      </c>
      <c r="W352" s="16" t="n"/>
      <c r="X352" s="16" t="n"/>
    </row>
    <row r="353">
      <c r="A353" s="15">
        <f>IF(B353="","","V-"&amp;TEXT(ROW()-1,"000"))</f>
        <v/>
      </c>
      <c r="B353" s="16" t="n"/>
      <c r="C353" s="17" t="n"/>
      <c r="D353" s="16" t="n"/>
      <c r="E353" s="16" t="n"/>
      <c r="F353" s="16" t="n"/>
      <c r="G353" s="16" t="n"/>
      <c r="H353" s="16" t="n"/>
      <c r="I353" s="16" t="n"/>
      <c r="J353" s="18" t="n"/>
      <c r="K353" s="16" t="n"/>
      <c r="L353" s="17" t="n"/>
      <c r="M353" s="18" t="n"/>
      <c r="N353" s="16" t="n"/>
      <c r="O353" s="16" t="n"/>
      <c r="P353" s="16" t="n"/>
      <c r="Q353" s="16" t="n"/>
      <c r="R353" s="16" t="n"/>
      <c r="S353" s="16" t="n"/>
      <c r="T353" s="18" t="n"/>
      <c r="U353" s="18" t="n"/>
      <c r="V353" s="7">
        <f>IF(L353="","",IF(TODAY()&gt;=L353,"到期","未到期"))</f>
        <v/>
      </c>
      <c r="W353" s="16" t="n"/>
      <c r="X353" s="16" t="n"/>
    </row>
    <row r="354">
      <c r="A354" s="15">
        <f>IF(B354="","","V-"&amp;TEXT(ROW()-1,"000"))</f>
        <v/>
      </c>
      <c r="B354" s="16" t="n"/>
      <c r="C354" s="17" t="n"/>
      <c r="D354" s="16" t="n"/>
      <c r="E354" s="16" t="n"/>
      <c r="F354" s="16" t="n"/>
      <c r="G354" s="16" t="n"/>
      <c r="H354" s="16" t="n"/>
      <c r="I354" s="16" t="n"/>
      <c r="J354" s="18" t="n"/>
      <c r="K354" s="16" t="n"/>
      <c r="L354" s="17" t="n"/>
      <c r="M354" s="18" t="n"/>
      <c r="N354" s="16" t="n"/>
      <c r="O354" s="16" t="n"/>
      <c r="P354" s="16" t="n"/>
      <c r="Q354" s="16" t="n"/>
      <c r="R354" s="16" t="n"/>
      <c r="S354" s="16" t="n"/>
      <c r="T354" s="18" t="n"/>
      <c r="U354" s="18" t="n"/>
      <c r="V354" s="7">
        <f>IF(L354="","",IF(TODAY()&gt;=L354,"到期","未到期"))</f>
        <v/>
      </c>
      <c r="W354" s="16" t="n"/>
      <c r="X354" s="16" t="n"/>
    </row>
    <row r="355">
      <c r="A355" s="15">
        <f>IF(B355="","","V-"&amp;TEXT(ROW()-1,"000"))</f>
        <v/>
      </c>
      <c r="B355" s="16" t="n"/>
      <c r="C355" s="17" t="n"/>
      <c r="D355" s="16" t="n"/>
      <c r="E355" s="16" t="n"/>
      <c r="F355" s="16" t="n"/>
      <c r="G355" s="16" t="n"/>
      <c r="H355" s="16" t="n"/>
      <c r="I355" s="16" t="n"/>
      <c r="J355" s="18" t="n"/>
      <c r="K355" s="16" t="n"/>
      <c r="L355" s="17" t="n"/>
      <c r="M355" s="18" t="n"/>
      <c r="N355" s="16" t="n"/>
      <c r="O355" s="16" t="n"/>
      <c r="P355" s="16" t="n"/>
      <c r="Q355" s="16" t="n"/>
      <c r="R355" s="16" t="n"/>
      <c r="S355" s="16" t="n"/>
      <c r="T355" s="18" t="n"/>
      <c r="U355" s="18" t="n"/>
      <c r="V355" s="7">
        <f>IF(L355="","",IF(TODAY()&gt;=L355,"到期","未到期"))</f>
        <v/>
      </c>
      <c r="W355" s="16" t="n"/>
      <c r="X355" s="16" t="n"/>
    </row>
    <row r="356">
      <c r="A356" s="15">
        <f>IF(B356="","","V-"&amp;TEXT(ROW()-1,"000"))</f>
        <v/>
      </c>
      <c r="B356" s="16" t="n"/>
      <c r="C356" s="17" t="n"/>
      <c r="D356" s="16" t="n"/>
      <c r="E356" s="16" t="n"/>
      <c r="F356" s="16" t="n"/>
      <c r="G356" s="16" t="n"/>
      <c r="H356" s="16" t="n"/>
      <c r="I356" s="16" t="n"/>
      <c r="J356" s="18" t="n"/>
      <c r="K356" s="16" t="n"/>
      <c r="L356" s="17" t="n"/>
      <c r="M356" s="18" t="n"/>
      <c r="N356" s="16" t="n"/>
      <c r="O356" s="16" t="n"/>
      <c r="P356" s="16" t="n"/>
      <c r="Q356" s="16" t="n"/>
      <c r="R356" s="16" t="n"/>
      <c r="S356" s="16" t="n"/>
      <c r="T356" s="18" t="n"/>
      <c r="U356" s="18" t="n"/>
      <c r="V356" s="7">
        <f>IF(L356="","",IF(TODAY()&gt;=L356,"到期","未到期"))</f>
        <v/>
      </c>
      <c r="W356" s="16" t="n"/>
      <c r="X356" s="16" t="n"/>
    </row>
    <row r="357">
      <c r="A357" s="15">
        <f>IF(B357="","","V-"&amp;TEXT(ROW()-1,"000"))</f>
        <v/>
      </c>
      <c r="B357" s="16" t="n"/>
      <c r="C357" s="17" t="n"/>
      <c r="D357" s="16" t="n"/>
      <c r="E357" s="16" t="n"/>
      <c r="F357" s="16" t="n"/>
      <c r="G357" s="16" t="n"/>
      <c r="H357" s="16" t="n"/>
      <c r="I357" s="16" t="n"/>
      <c r="J357" s="18" t="n"/>
      <c r="K357" s="16" t="n"/>
      <c r="L357" s="17" t="n"/>
      <c r="M357" s="18" t="n"/>
      <c r="N357" s="16" t="n"/>
      <c r="O357" s="16" t="n"/>
      <c r="P357" s="16" t="n"/>
      <c r="Q357" s="16" t="n"/>
      <c r="R357" s="16" t="n"/>
      <c r="S357" s="16" t="n"/>
      <c r="T357" s="18" t="n"/>
      <c r="U357" s="18" t="n"/>
      <c r="V357" s="7">
        <f>IF(L357="","",IF(TODAY()&gt;=L357,"到期","未到期"))</f>
        <v/>
      </c>
      <c r="W357" s="16" t="n"/>
      <c r="X357" s="16" t="n"/>
    </row>
    <row r="358">
      <c r="A358" s="15">
        <f>IF(B358="","","V-"&amp;TEXT(ROW()-1,"000"))</f>
        <v/>
      </c>
      <c r="B358" s="16" t="n"/>
      <c r="C358" s="17" t="n"/>
      <c r="D358" s="16" t="n"/>
      <c r="E358" s="16" t="n"/>
      <c r="F358" s="16" t="n"/>
      <c r="G358" s="16" t="n"/>
      <c r="H358" s="16" t="n"/>
      <c r="I358" s="16" t="n"/>
      <c r="J358" s="18" t="n"/>
      <c r="K358" s="16" t="n"/>
      <c r="L358" s="17" t="n"/>
      <c r="M358" s="18" t="n"/>
      <c r="N358" s="16" t="n"/>
      <c r="O358" s="16" t="n"/>
      <c r="P358" s="16" t="n"/>
      <c r="Q358" s="16" t="n"/>
      <c r="R358" s="16" t="n"/>
      <c r="S358" s="16" t="n"/>
      <c r="T358" s="18" t="n"/>
      <c r="U358" s="18" t="n"/>
      <c r="V358" s="7">
        <f>IF(L358="","",IF(TODAY()&gt;=L358,"到期","未到期"))</f>
        <v/>
      </c>
      <c r="W358" s="16" t="n"/>
      <c r="X358" s="16" t="n"/>
    </row>
    <row r="359">
      <c r="A359" s="15">
        <f>IF(B359="","","V-"&amp;TEXT(ROW()-1,"000"))</f>
        <v/>
      </c>
      <c r="B359" s="16" t="n"/>
      <c r="C359" s="17" t="n"/>
      <c r="D359" s="16" t="n"/>
      <c r="E359" s="16" t="n"/>
      <c r="F359" s="16" t="n"/>
      <c r="G359" s="16" t="n"/>
      <c r="H359" s="16" t="n"/>
      <c r="I359" s="16" t="n"/>
      <c r="J359" s="18" t="n"/>
      <c r="K359" s="16" t="n"/>
      <c r="L359" s="17" t="n"/>
      <c r="M359" s="18" t="n"/>
      <c r="N359" s="16" t="n"/>
      <c r="O359" s="16" t="n"/>
      <c r="P359" s="16" t="n"/>
      <c r="Q359" s="16" t="n"/>
      <c r="R359" s="16" t="n"/>
      <c r="S359" s="16" t="n"/>
      <c r="T359" s="18" t="n"/>
      <c r="U359" s="18" t="n"/>
      <c r="V359" s="7">
        <f>IF(L359="","",IF(TODAY()&gt;=L359,"到期","未到期"))</f>
        <v/>
      </c>
      <c r="W359" s="16" t="n"/>
      <c r="X359" s="16" t="n"/>
    </row>
    <row r="360">
      <c r="A360" s="15">
        <f>IF(B360="","","V-"&amp;TEXT(ROW()-1,"000"))</f>
        <v/>
      </c>
      <c r="B360" s="16" t="n"/>
      <c r="C360" s="17" t="n"/>
      <c r="D360" s="16" t="n"/>
      <c r="E360" s="16" t="n"/>
      <c r="F360" s="16" t="n"/>
      <c r="G360" s="16" t="n"/>
      <c r="H360" s="16" t="n"/>
      <c r="I360" s="16" t="n"/>
      <c r="J360" s="18" t="n"/>
      <c r="K360" s="16" t="n"/>
      <c r="L360" s="17" t="n"/>
      <c r="M360" s="18" t="n"/>
      <c r="N360" s="16" t="n"/>
      <c r="O360" s="16" t="n"/>
      <c r="P360" s="16" t="n"/>
      <c r="Q360" s="16" t="n"/>
      <c r="R360" s="16" t="n"/>
      <c r="S360" s="16" t="n"/>
      <c r="T360" s="18" t="n"/>
      <c r="U360" s="18" t="n"/>
      <c r="V360" s="7">
        <f>IF(L360="","",IF(TODAY()&gt;=L360,"到期","未到期"))</f>
        <v/>
      </c>
      <c r="W360" s="16" t="n"/>
      <c r="X360" s="16" t="n"/>
    </row>
    <row r="361">
      <c r="A361" s="15">
        <f>IF(B361="","","V-"&amp;TEXT(ROW()-1,"000"))</f>
        <v/>
      </c>
      <c r="B361" s="16" t="n"/>
      <c r="C361" s="17" t="n"/>
      <c r="D361" s="16" t="n"/>
      <c r="E361" s="16" t="n"/>
      <c r="F361" s="16" t="n"/>
      <c r="G361" s="16" t="n"/>
      <c r="H361" s="16" t="n"/>
      <c r="I361" s="16" t="n"/>
      <c r="J361" s="18" t="n"/>
      <c r="K361" s="16" t="n"/>
      <c r="L361" s="17" t="n"/>
      <c r="M361" s="18" t="n"/>
      <c r="N361" s="16" t="n"/>
      <c r="O361" s="16" t="n"/>
      <c r="P361" s="16" t="n"/>
      <c r="Q361" s="16" t="n"/>
      <c r="R361" s="16" t="n"/>
      <c r="S361" s="16" t="n"/>
      <c r="T361" s="18" t="n"/>
      <c r="U361" s="18" t="n"/>
      <c r="V361" s="7">
        <f>IF(L361="","",IF(TODAY()&gt;=L361,"到期","未到期"))</f>
        <v/>
      </c>
      <c r="W361" s="16" t="n"/>
      <c r="X361" s="16" t="n"/>
    </row>
    <row r="362">
      <c r="A362" s="15">
        <f>IF(B362="","","V-"&amp;TEXT(ROW()-1,"000"))</f>
        <v/>
      </c>
      <c r="B362" s="16" t="n"/>
      <c r="C362" s="17" t="n"/>
      <c r="D362" s="16" t="n"/>
      <c r="E362" s="16" t="n"/>
      <c r="F362" s="16" t="n"/>
      <c r="G362" s="16" t="n"/>
      <c r="H362" s="16" t="n"/>
      <c r="I362" s="16" t="n"/>
      <c r="J362" s="18" t="n"/>
      <c r="K362" s="16" t="n"/>
      <c r="L362" s="17" t="n"/>
      <c r="M362" s="18" t="n"/>
      <c r="N362" s="16" t="n"/>
      <c r="O362" s="16" t="n"/>
      <c r="P362" s="16" t="n"/>
      <c r="Q362" s="16" t="n"/>
      <c r="R362" s="16" t="n"/>
      <c r="S362" s="16" t="n"/>
      <c r="T362" s="18" t="n"/>
      <c r="U362" s="18" t="n"/>
      <c r="V362" s="7">
        <f>IF(L362="","",IF(TODAY()&gt;=L362,"到期","未到期"))</f>
        <v/>
      </c>
      <c r="W362" s="16" t="n"/>
      <c r="X362" s="16" t="n"/>
    </row>
    <row r="363">
      <c r="A363" s="15">
        <f>IF(B363="","","V-"&amp;TEXT(ROW()-1,"000"))</f>
        <v/>
      </c>
      <c r="B363" s="16" t="n"/>
      <c r="C363" s="17" t="n"/>
      <c r="D363" s="16" t="n"/>
      <c r="E363" s="16" t="n"/>
      <c r="F363" s="16" t="n"/>
      <c r="G363" s="16" t="n"/>
      <c r="H363" s="16" t="n"/>
      <c r="I363" s="16" t="n"/>
      <c r="J363" s="18" t="n"/>
      <c r="K363" s="16" t="n"/>
      <c r="L363" s="17" t="n"/>
      <c r="M363" s="18" t="n"/>
      <c r="N363" s="16" t="n"/>
      <c r="O363" s="16" t="n"/>
      <c r="P363" s="16" t="n"/>
      <c r="Q363" s="16" t="n"/>
      <c r="R363" s="16" t="n"/>
      <c r="S363" s="16" t="n"/>
      <c r="T363" s="18" t="n"/>
      <c r="U363" s="18" t="n"/>
      <c r="V363" s="7">
        <f>IF(L363="","",IF(TODAY()&gt;=L363,"到期","未到期"))</f>
        <v/>
      </c>
      <c r="W363" s="16" t="n"/>
      <c r="X363" s="16" t="n"/>
    </row>
    <row r="364">
      <c r="A364" s="15">
        <f>IF(B364="","","V-"&amp;TEXT(ROW()-1,"000"))</f>
        <v/>
      </c>
      <c r="B364" s="16" t="n"/>
      <c r="C364" s="17" t="n"/>
      <c r="D364" s="16" t="n"/>
      <c r="E364" s="16" t="n"/>
      <c r="F364" s="16" t="n"/>
      <c r="G364" s="16" t="n"/>
      <c r="H364" s="16" t="n"/>
      <c r="I364" s="16" t="n"/>
      <c r="J364" s="18" t="n"/>
      <c r="K364" s="16" t="n"/>
      <c r="L364" s="17" t="n"/>
      <c r="M364" s="18" t="n"/>
      <c r="N364" s="16" t="n"/>
      <c r="O364" s="16" t="n"/>
      <c r="P364" s="16" t="n"/>
      <c r="Q364" s="16" t="n"/>
      <c r="R364" s="16" t="n"/>
      <c r="S364" s="16" t="n"/>
      <c r="T364" s="18" t="n"/>
      <c r="U364" s="18" t="n"/>
      <c r="V364" s="7">
        <f>IF(L364="","",IF(TODAY()&gt;=L364,"到期","未到期"))</f>
        <v/>
      </c>
      <c r="W364" s="16" t="n"/>
      <c r="X364" s="16" t="n"/>
    </row>
    <row r="365">
      <c r="A365" s="15">
        <f>IF(B365="","","V-"&amp;TEXT(ROW()-1,"000"))</f>
        <v/>
      </c>
      <c r="B365" s="16" t="n"/>
      <c r="C365" s="17" t="n"/>
      <c r="D365" s="16" t="n"/>
      <c r="E365" s="16" t="n"/>
      <c r="F365" s="16" t="n"/>
      <c r="G365" s="16" t="n"/>
      <c r="H365" s="16" t="n"/>
      <c r="I365" s="16" t="n"/>
      <c r="J365" s="18" t="n"/>
      <c r="K365" s="16" t="n"/>
      <c r="L365" s="17" t="n"/>
      <c r="M365" s="18" t="n"/>
      <c r="N365" s="16" t="n"/>
      <c r="O365" s="16" t="n"/>
      <c r="P365" s="16" t="n"/>
      <c r="Q365" s="16" t="n"/>
      <c r="R365" s="16" t="n"/>
      <c r="S365" s="16" t="n"/>
      <c r="T365" s="18" t="n"/>
      <c r="U365" s="18" t="n"/>
      <c r="V365" s="7">
        <f>IF(L365="","",IF(TODAY()&gt;=L365,"到期","未到期"))</f>
        <v/>
      </c>
      <c r="W365" s="16" t="n"/>
      <c r="X365" s="16" t="n"/>
    </row>
    <row r="366">
      <c r="A366" s="15">
        <f>IF(B366="","","V-"&amp;TEXT(ROW()-1,"000"))</f>
        <v/>
      </c>
      <c r="B366" s="16" t="n"/>
      <c r="C366" s="17" t="n"/>
      <c r="D366" s="16" t="n"/>
      <c r="E366" s="16" t="n"/>
      <c r="F366" s="16" t="n"/>
      <c r="G366" s="16" t="n"/>
      <c r="H366" s="16" t="n"/>
      <c r="I366" s="16" t="n"/>
      <c r="J366" s="18" t="n"/>
      <c r="K366" s="16" t="n"/>
      <c r="L366" s="17" t="n"/>
      <c r="M366" s="18" t="n"/>
      <c r="N366" s="16" t="n"/>
      <c r="O366" s="16" t="n"/>
      <c r="P366" s="16" t="n"/>
      <c r="Q366" s="16" t="n"/>
      <c r="R366" s="16" t="n"/>
      <c r="S366" s="16" t="n"/>
      <c r="T366" s="18" t="n"/>
      <c r="U366" s="18" t="n"/>
      <c r="V366" s="7">
        <f>IF(L366="","",IF(TODAY()&gt;=L366,"到期","未到期"))</f>
        <v/>
      </c>
      <c r="W366" s="16" t="n"/>
      <c r="X366" s="16" t="n"/>
    </row>
    <row r="367">
      <c r="A367" s="15">
        <f>IF(B367="","","V-"&amp;TEXT(ROW()-1,"000"))</f>
        <v/>
      </c>
      <c r="B367" s="16" t="n"/>
      <c r="C367" s="17" t="n"/>
      <c r="D367" s="16" t="n"/>
      <c r="E367" s="16" t="n"/>
      <c r="F367" s="16" t="n"/>
      <c r="G367" s="16" t="n"/>
      <c r="H367" s="16" t="n"/>
      <c r="I367" s="16" t="n"/>
      <c r="J367" s="18" t="n"/>
      <c r="K367" s="16" t="n"/>
      <c r="L367" s="17" t="n"/>
      <c r="M367" s="18" t="n"/>
      <c r="N367" s="16" t="n"/>
      <c r="O367" s="16" t="n"/>
      <c r="P367" s="16" t="n"/>
      <c r="Q367" s="16" t="n"/>
      <c r="R367" s="16" t="n"/>
      <c r="S367" s="16" t="n"/>
      <c r="T367" s="18" t="n"/>
      <c r="U367" s="18" t="n"/>
      <c r="V367" s="7">
        <f>IF(L367="","",IF(TODAY()&gt;=L367,"到期","未到期"))</f>
        <v/>
      </c>
      <c r="W367" s="16" t="n"/>
      <c r="X367" s="16" t="n"/>
    </row>
    <row r="368">
      <c r="A368" s="15">
        <f>IF(B368="","","V-"&amp;TEXT(ROW()-1,"000"))</f>
        <v/>
      </c>
      <c r="B368" s="16" t="n"/>
      <c r="C368" s="17" t="n"/>
      <c r="D368" s="16" t="n"/>
      <c r="E368" s="16" t="n"/>
      <c r="F368" s="16" t="n"/>
      <c r="G368" s="16" t="n"/>
      <c r="H368" s="16" t="n"/>
      <c r="I368" s="16" t="n"/>
      <c r="J368" s="18" t="n"/>
      <c r="K368" s="16" t="n"/>
      <c r="L368" s="17" t="n"/>
      <c r="M368" s="18" t="n"/>
      <c r="N368" s="16" t="n"/>
      <c r="O368" s="16" t="n"/>
      <c r="P368" s="16" t="n"/>
      <c r="Q368" s="16" t="n"/>
      <c r="R368" s="16" t="n"/>
      <c r="S368" s="16" t="n"/>
      <c r="T368" s="18" t="n"/>
      <c r="U368" s="18" t="n"/>
      <c r="V368" s="7">
        <f>IF(L368="","",IF(TODAY()&gt;=L368,"到期","未到期"))</f>
        <v/>
      </c>
      <c r="W368" s="16" t="n"/>
      <c r="X368" s="16" t="n"/>
    </row>
    <row r="369">
      <c r="A369" s="15">
        <f>IF(B369="","","V-"&amp;TEXT(ROW()-1,"000"))</f>
        <v/>
      </c>
      <c r="B369" s="16" t="n"/>
      <c r="C369" s="17" t="n"/>
      <c r="D369" s="16" t="n"/>
      <c r="E369" s="16" t="n"/>
      <c r="F369" s="16" t="n"/>
      <c r="G369" s="16" t="n"/>
      <c r="H369" s="16" t="n"/>
      <c r="I369" s="16" t="n"/>
      <c r="J369" s="18" t="n"/>
      <c r="K369" s="16" t="n"/>
      <c r="L369" s="17" t="n"/>
      <c r="M369" s="18" t="n"/>
      <c r="N369" s="16" t="n"/>
      <c r="O369" s="16" t="n"/>
      <c r="P369" s="16" t="n"/>
      <c r="Q369" s="16" t="n"/>
      <c r="R369" s="16" t="n"/>
      <c r="S369" s="16" t="n"/>
      <c r="T369" s="18" t="n"/>
      <c r="U369" s="18" t="n"/>
      <c r="V369" s="7">
        <f>IF(L369="","",IF(TODAY()&gt;=L369,"到期","未到期"))</f>
        <v/>
      </c>
      <c r="W369" s="16" t="n"/>
      <c r="X369" s="16" t="n"/>
    </row>
    <row r="370">
      <c r="A370" s="15">
        <f>IF(B370="","","V-"&amp;TEXT(ROW()-1,"000"))</f>
        <v/>
      </c>
      <c r="B370" s="16" t="n"/>
      <c r="C370" s="17" t="n"/>
      <c r="D370" s="16" t="n"/>
      <c r="E370" s="16" t="n"/>
      <c r="F370" s="16" t="n"/>
      <c r="G370" s="16" t="n"/>
      <c r="H370" s="16" t="n"/>
      <c r="I370" s="16" t="n"/>
      <c r="J370" s="18" t="n"/>
      <c r="K370" s="16" t="n"/>
      <c r="L370" s="17" t="n"/>
      <c r="M370" s="18" t="n"/>
      <c r="N370" s="16" t="n"/>
      <c r="O370" s="16" t="n"/>
      <c r="P370" s="16" t="n"/>
      <c r="Q370" s="16" t="n"/>
      <c r="R370" s="16" t="n"/>
      <c r="S370" s="16" t="n"/>
      <c r="T370" s="18" t="n"/>
      <c r="U370" s="18" t="n"/>
      <c r="V370" s="7">
        <f>IF(L370="","",IF(TODAY()&gt;=L370,"到期","未到期"))</f>
        <v/>
      </c>
      <c r="W370" s="16" t="n"/>
      <c r="X370" s="16" t="n"/>
    </row>
    <row r="371">
      <c r="A371" s="15">
        <f>IF(B371="","","V-"&amp;TEXT(ROW()-1,"000"))</f>
        <v/>
      </c>
      <c r="B371" s="16" t="n"/>
      <c r="C371" s="17" t="n"/>
      <c r="D371" s="16" t="n"/>
      <c r="E371" s="16" t="n"/>
      <c r="F371" s="16" t="n"/>
      <c r="G371" s="16" t="n"/>
      <c r="H371" s="16" t="n"/>
      <c r="I371" s="16" t="n"/>
      <c r="J371" s="18" t="n"/>
      <c r="K371" s="16" t="n"/>
      <c r="L371" s="17" t="n"/>
      <c r="M371" s="18" t="n"/>
      <c r="N371" s="16" t="n"/>
      <c r="O371" s="16" t="n"/>
      <c r="P371" s="16" t="n"/>
      <c r="Q371" s="16" t="n"/>
      <c r="R371" s="16" t="n"/>
      <c r="S371" s="16" t="n"/>
      <c r="T371" s="18" t="n"/>
      <c r="U371" s="18" t="n"/>
      <c r="V371" s="7">
        <f>IF(L371="","",IF(TODAY()&gt;=L371,"到期","未到期"))</f>
        <v/>
      </c>
      <c r="W371" s="16" t="n"/>
      <c r="X371" s="16" t="n"/>
    </row>
    <row r="372">
      <c r="A372" s="15">
        <f>IF(B372="","","V-"&amp;TEXT(ROW()-1,"000"))</f>
        <v/>
      </c>
      <c r="B372" s="16" t="n"/>
      <c r="C372" s="17" t="n"/>
      <c r="D372" s="16" t="n"/>
      <c r="E372" s="16" t="n"/>
      <c r="F372" s="16" t="n"/>
      <c r="G372" s="16" t="n"/>
      <c r="H372" s="16" t="n"/>
      <c r="I372" s="16" t="n"/>
      <c r="J372" s="18" t="n"/>
      <c r="K372" s="16" t="n"/>
      <c r="L372" s="17" t="n"/>
      <c r="M372" s="18" t="n"/>
      <c r="N372" s="16" t="n"/>
      <c r="O372" s="16" t="n"/>
      <c r="P372" s="16" t="n"/>
      <c r="Q372" s="16" t="n"/>
      <c r="R372" s="16" t="n"/>
      <c r="S372" s="16" t="n"/>
      <c r="T372" s="18" t="n"/>
      <c r="U372" s="18" t="n"/>
      <c r="V372" s="7">
        <f>IF(L372="","",IF(TODAY()&gt;=L372,"到期","未到期"))</f>
        <v/>
      </c>
      <c r="W372" s="16" t="n"/>
      <c r="X372" s="16" t="n"/>
    </row>
    <row r="373">
      <c r="A373" s="15">
        <f>IF(B373="","","V-"&amp;TEXT(ROW()-1,"000"))</f>
        <v/>
      </c>
      <c r="B373" s="16" t="n"/>
      <c r="C373" s="17" t="n"/>
      <c r="D373" s="16" t="n"/>
      <c r="E373" s="16" t="n"/>
      <c r="F373" s="16" t="n"/>
      <c r="G373" s="16" t="n"/>
      <c r="H373" s="16" t="n"/>
      <c r="I373" s="16" t="n"/>
      <c r="J373" s="18" t="n"/>
      <c r="K373" s="16" t="n"/>
      <c r="L373" s="17" t="n"/>
      <c r="M373" s="18" t="n"/>
      <c r="N373" s="16" t="n"/>
      <c r="O373" s="16" t="n"/>
      <c r="P373" s="16" t="n"/>
      <c r="Q373" s="16" t="n"/>
      <c r="R373" s="16" t="n"/>
      <c r="S373" s="16" t="n"/>
      <c r="T373" s="18" t="n"/>
      <c r="U373" s="18" t="n"/>
      <c r="V373" s="7">
        <f>IF(L373="","",IF(TODAY()&gt;=L373,"到期","未到期"))</f>
        <v/>
      </c>
      <c r="W373" s="16" t="n"/>
      <c r="X373" s="16" t="n"/>
    </row>
    <row r="374">
      <c r="A374" s="15">
        <f>IF(B374="","","V-"&amp;TEXT(ROW()-1,"000"))</f>
        <v/>
      </c>
      <c r="B374" s="16" t="n"/>
      <c r="C374" s="17" t="n"/>
      <c r="D374" s="16" t="n"/>
      <c r="E374" s="16" t="n"/>
      <c r="F374" s="16" t="n"/>
      <c r="G374" s="16" t="n"/>
      <c r="H374" s="16" t="n"/>
      <c r="I374" s="16" t="n"/>
      <c r="J374" s="18" t="n"/>
      <c r="K374" s="16" t="n"/>
      <c r="L374" s="17" t="n"/>
      <c r="M374" s="18" t="n"/>
      <c r="N374" s="16" t="n"/>
      <c r="O374" s="16" t="n"/>
      <c r="P374" s="16" t="n"/>
      <c r="Q374" s="16" t="n"/>
      <c r="R374" s="16" t="n"/>
      <c r="S374" s="16" t="n"/>
      <c r="T374" s="18" t="n"/>
      <c r="U374" s="18" t="n"/>
      <c r="V374" s="7">
        <f>IF(L374="","",IF(TODAY()&gt;=L374,"到期","未到期"))</f>
        <v/>
      </c>
      <c r="W374" s="16" t="n"/>
      <c r="X374" s="16" t="n"/>
    </row>
    <row r="375">
      <c r="A375" s="15">
        <f>IF(B375="","","V-"&amp;TEXT(ROW()-1,"000"))</f>
        <v/>
      </c>
      <c r="B375" s="16" t="n"/>
      <c r="C375" s="17" t="n"/>
      <c r="D375" s="16" t="n"/>
      <c r="E375" s="16" t="n"/>
      <c r="F375" s="16" t="n"/>
      <c r="G375" s="16" t="n"/>
      <c r="H375" s="16" t="n"/>
      <c r="I375" s="16" t="n"/>
      <c r="J375" s="18" t="n"/>
      <c r="K375" s="16" t="n"/>
      <c r="L375" s="17" t="n"/>
      <c r="M375" s="18" t="n"/>
      <c r="N375" s="16" t="n"/>
      <c r="O375" s="16" t="n"/>
      <c r="P375" s="16" t="n"/>
      <c r="Q375" s="16" t="n"/>
      <c r="R375" s="16" t="n"/>
      <c r="S375" s="16" t="n"/>
      <c r="T375" s="18" t="n"/>
      <c r="U375" s="18" t="n"/>
      <c r="V375" s="7">
        <f>IF(L375="","",IF(TODAY()&gt;=L375,"到期","未到期"))</f>
        <v/>
      </c>
      <c r="W375" s="16" t="n"/>
      <c r="X375" s="16" t="n"/>
    </row>
    <row r="376">
      <c r="A376" s="15">
        <f>IF(B376="","","V-"&amp;TEXT(ROW()-1,"000"))</f>
        <v/>
      </c>
      <c r="B376" s="16" t="n"/>
      <c r="C376" s="17" t="n"/>
      <c r="D376" s="16" t="n"/>
      <c r="E376" s="16" t="n"/>
      <c r="F376" s="16" t="n"/>
      <c r="G376" s="16" t="n"/>
      <c r="H376" s="16" t="n"/>
      <c r="I376" s="16" t="n"/>
      <c r="J376" s="18" t="n"/>
      <c r="K376" s="16" t="n"/>
      <c r="L376" s="17" t="n"/>
      <c r="M376" s="18" t="n"/>
      <c r="N376" s="16" t="n"/>
      <c r="O376" s="16" t="n"/>
      <c r="P376" s="16" t="n"/>
      <c r="Q376" s="16" t="n"/>
      <c r="R376" s="16" t="n"/>
      <c r="S376" s="16" t="n"/>
      <c r="T376" s="18" t="n"/>
      <c r="U376" s="18" t="n"/>
      <c r="V376" s="7">
        <f>IF(L376="","",IF(TODAY()&gt;=L376,"到期","未到期"))</f>
        <v/>
      </c>
      <c r="W376" s="16" t="n"/>
      <c r="X376" s="16" t="n"/>
    </row>
    <row r="377">
      <c r="A377" s="15">
        <f>IF(B377="","","V-"&amp;TEXT(ROW()-1,"000"))</f>
        <v/>
      </c>
      <c r="B377" s="16" t="n"/>
      <c r="C377" s="17" t="n"/>
      <c r="D377" s="16" t="n"/>
      <c r="E377" s="16" t="n"/>
      <c r="F377" s="16" t="n"/>
      <c r="G377" s="16" t="n"/>
      <c r="H377" s="16" t="n"/>
      <c r="I377" s="16" t="n"/>
      <c r="J377" s="18" t="n"/>
      <c r="K377" s="16" t="n"/>
      <c r="L377" s="17" t="n"/>
      <c r="M377" s="18" t="n"/>
      <c r="N377" s="16" t="n"/>
      <c r="O377" s="16" t="n"/>
      <c r="P377" s="16" t="n"/>
      <c r="Q377" s="16" t="n"/>
      <c r="R377" s="16" t="n"/>
      <c r="S377" s="16" t="n"/>
      <c r="T377" s="18" t="n"/>
      <c r="U377" s="18" t="n"/>
      <c r="V377" s="7">
        <f>IF(L377="","",IF(TODAY()&gt;=L377,"到期","未到期"))</f>
        <v/>
      </c>
      <c r="W377" s="16" t="n"/>
      <c r="X377" s="16" t="n"/>
    </row>
    <row r="378">
      <c r="A378" s="15">
        <f>IF(B378="","","V-"&amp;TEXT(ROW()-1,"000"))</f>
        <v/>
      </c>
      <c r="B378" s="16" t="n"/>
      <c r="C378" s="17" t="n"/>
      <c r="D378" s="16" t="n"/>
      <c r="E378" s="16" t="n"/>
      <c r="F378" s="16" t="n"/>
      <c r="G378" s="16" t="n"/>
      <c r="H378" s="16" t="n"/>
      <c r="I378" s="16" t="n"/>
      <c r="J378" s="18" t="n"/>
      <c r="K378" s="16" t="n"/>
      <c r="L378" s="17" t="n"/>
      <c r="M378" s="18" t="n"/>
      <c r="N378" s="16" t="n"/>
      <c r="O378" s="16" t="n"/>
      <c r="P378" s="16" t="n"/>
      <c r="Q378" s="16" t="n"/>
      <c r="R378" s="16" t="n"/>
      <c r="S378" s="16" t="n"/>
      <c r="T378" s="18" t="n"/>
      <c r="U378" s="18" t="n"/>
      <c r="V378" s="7">
        <f>IF(L378="","",IF(TODAY()&gt;=L378,"到期","未到期"))</f>
        <v/>
      </c>
      <c r="W378" s="16" t="n"/>
      <c r="X378" s="16" t="n"/>
    </row>
    <row r="379">
      <c r="A379" s="15">
        <f>IF(B379="","","V-"&amp;TEXT(ROW()-1,"000"))</f>
        <v/>
      </c>
      <c r="B379" s="16" t="n"/>
      <c r="C379" s="17" t="n"/>
      <c r="D379" s="16" t="n"/>
      <c r="E379" s="16" t="n"/>
      <c r="F379" s="16" t="n"/>
      <c r="G379" s="16" t="n"/>
      <c r="H379" s="16" t="n"/>
      <c r="I379" s="16" t="n"/>
      <c r="J379" s="18" t="n"/>
      <c r="K379" s="16" t="n"/>
      <c r="L379" s="17" t="n"/>
      <c r="M379" s="18" t="n"/>
      <c r="N379" s="16" t="n"/>
      <c r="O379" s="16" t="n"/>
      <c r="P379" s="16" t="n"/>
      <c r="Q379" s="16" t="n"/>
      <c r="R379" s="16" t="n"/>
      <c r="S379" s="16" t="n"/>
      <c r="T379" s="18" t="n"/>
      <c r="U379" s="18" t="n"/>
      <c r="V379" s="7">
        <f>IF(L379="","",IF(TODAY()&gt;=L379,"到期","未到期"))</f>
        <v/>
      </c>
      <c r="W379" s="16" t="n"/>
      <c r="X379" s="16" t="n"/>
    </row>
    <row r="380">
      <c r="A380" s="15">
        <f>IF(B380="","","V-"&amp;TEXT(ROW()-1,"000"))</f>
        <v/>
      </c>
      <c r="B380" s="16" t="n"/>
      <c r="C380" s="17" t="n"/>
      <c r="D380" s="16" t="n"/>
      <c r="E380" s="16" t="n"/>
      <c r="F380" s="16" t="n"/>
      <c r="G380" s="16" t="n"/>
      <c r="H380" s="16" t="n"/>
      <c r="I380" s="16" t="n"/>
      <c r="J380" s="18" t="n"/>
      <c r="K380" s="16" t="n"/>
      <c r="L380" s="17" t="n"/>
      <c r="M380" s="18" t="n"/>
      <c r="N380" s="16" t="n"/>
      <c r="O380" s="16" t="n"/>
      <c r="P380" s="16" t="n"/>
      <c r="Q380" s="16" t="n"/>
      <c r="R380" s="16" t="n"/>
      <c r="S380" s="16" t="n"/>
      <c r="T380" s="18" t="n"/>
      <c r="U380" s="18" t="n"/>
      <c r="V380" s="7">
        <f>IF(L380="","",IF(TODAY()&gt;=L380,"到期","未到期"))</f>
        <v/>
      </c>
      <c r="W380" s="16" t="n"/>
      <c r="X380" s="16" t="n"/>
    </row>
    <row r="381">
      <c r="A381" s="15">
        <f>IF(B381="","","V-"&amp;TEXT(ROW()-1,"000"))</f>
        <v/>
      </c>
      <c r="B381" s="16" t="n"/>
      <c r="C381" s="17" t="n"/>
      <c r="D381" s="16" t="n"/>
      <c r="E381" s="16" t="n"/>
      <c r="F381" s="16" t="n"/>
      <c r="G381" s="16" t="n"/>
      <c r="H381" s="16" t="n"/>
      <c r="I381" s="16" t="n"/>
      <c r="J381" s="18" t="n"/>
      <c r="K381" s="16" t="n"/>
      <c r="L381" s="17" t="n"/>
      <c r="M381" s="18" t="n"/>
      <c r="N381" s="16" t="n"/>
      <c r="O381" s="16" t="n"/>
      <c r="P381" s="16" t="n"/>
      <c r="Q381" s="16" t="n"/>
      <c r="R381" s="16" t="n"/>
      <c r="S381" s="16" t="n"/>
      <c r="T381" s="18" t="n"/>
      <c r="U381" s="18" t="n"/>
      <c r="V381" s="7">
        <f>IF(L381="","",IF(TODAY()&gt;=L381,"到期","未到期"))</f>
        <v/>
      </c>
      <c r="W381" s="16" t="n"/>
      <c r="X381" s="16" t="n"/>
    </row>
    <row r="382">
      <c r="A382" s="15">
        <f>IF(B382="","","V-"&amp;TEXT(ROW()-1,"000"))</f>
        <v/>
      </c>
      <c r="B382" s="16" t="n"/>
      <c r="C382" s="17" t="n"/>
      <c r="D382" s="16" t="n"/>
      <c r="E382" s="16" t="n"/>
      <c r="F382" s="16" t="n"/>
      <c r="G382" s="16" t="n"/>
      <c r="H382" s="16" t="n"/>
      <c r="I382" s="16" t="n"/>
      <c r="J382" s="18" t="n"/>
      <c r="K382" s="16" t="n"/>
      <c r="L382" s="17" t="n"/>
      <c r="M382" s="18" t="n"/>
      <c r="N382" s="16" t="n"/>
      <c r="O382" s="16" t="n"/>
      <c r="P382" s="16" t="n"/>
      <c r="Q382" s="16" t="n"/>
      <c r="R382" s="16" t="n"/>
      <c r="S382" s="16" t="n"/>
      <c r="T382" s="18" t="n"/>
      <c r="U382" s="18" t="n"/>
      <c r="V382" s="7">
        <f>IF(L382="","",IF(TODAY()&gt;=L382,"到期","未到期"))</f>
        <v/>
      </c>
      <c r="W382" s="16" t="n"/>
      <c r="X382" s="16" t="n"/>
    </row>
    <row r="383">
      <c r="A383" s="15">
        <f>IF(B383="","","V-"&amp;TEXT(ROW()-1,"000"))</f>
        <v/>
      </c>
      <c r="B383" s="16" t="n"/>
      <c r="C383" s="17" t="n"/>
      <c r="D383" s="16" t="n"/>
      <c r="E383" s="16" t="n"/>
      <c r="F383" s="16" t="n"/>
      <c r="G383" s="16" t="n"/>
      <c r="H383" s="16" t="n"/>
      <c r="I383" s="16" t="n"/>
      <c r="J383" s="18" t="n"/>
      <c r="K383" s="16" t="n"/>
      <c r="L383" s="17" t="n"/>
      <c r="M383" s="18" t="n"/>
      <c r="N383" s="16" t="n"/>
      <c r="O383" s="16" t="n"/>
      <c r="P383" s="16" t="n"/>
      <c r="Q383" s="16" t="n"/>
      <c r="R383" s="16" t="n"/>
      <c r="S383" s="16" t="n"/>
      <c r="T383" s="18" t="n"/>
      <c r="U383" s="18" t="n"/>
      <c r="V383" s="7">
        <f>IF(L383="","",IF(TODAY()&gt;=L383,"到期","未到期"))</f>
        <v/>
      </c>
      <c r="W383" s="16" t="n"/>
      <c r="X383" s="16" t="n"/>
    </row>
    <row r="384">
      <c r="A384" s="15">
        <f>IF(B384="","","V-"&amp;TEXT(ROW()-1,"000"))</f>
        <v/>
      </c>
      <c r="B384" s="16" t="n"/>
      <c r="C384" s="17" t="n"/>
      <c r="D384" s="16" t="n"/>
      <c r="E384" s="16" t="n"/>
      <c r="F384" s="16" t="n"/>
      <c r="G384" s="16" t="n"/>
      <c r="H384" s="16" t="n"/>
      <c r="I384" s="16" t="n"/>
      <c r="J384" s="18" t="n"/>
      <c r="K384" s="16" t="n"/>
      <c r="L384" s="17" t="n"/>
      <c r="M384" s="18" t="n"/>
      <c r="N384" s="16" t="n"/>
      <c r="O384" s="16" t="n"/>
      <c r="P384" s="16" t="n"/>
      <c r="Q384" s="16" t="n"/>
      <c r="R384" s="16" t="n"/>
      <c r="S384" s="16" t="n"/>
      <c r="T384" s="18" t="n"/>
      <c r="U384" s="18" t="n"/>
      <c r="V384" s="7">
        <f>IF(L384="","",IF(TODAY()&gt;=L384,"到期","未到期"))</f>
        <v/>
      </c>
      <c r="W384" s="16" t="n"/>
      <c r="X384" s="16" t="n"/>
    </row>
    <row r="385">
      <c r="A385" s="15">
        <f>IF(B385="","","V-"&amp;TEXT(ROW()-1,"000"))</f>
        <v/>
      </c>
      <c r="B385" s="16" t="n"/>
      <c r="C385" s="17" t="n"/>
      <c r="D385" s="16" t="n"/>
      <c r="E385" s="16" t="n"/>
      <c r="F385" s="16" t="n"/>
      <c r="G385" s="16" t="n"/>
      <c r="H385" s="16" t="n"/>
      <c r="I385" s="16" t="n"/>
      <c r="J385" s="18" t="n"/>
      <c r="K385" s="16" t="n"/>
      <c r="L385" s="17" t="n"/>
      <c r="M385" s="18" t="n"/>
      <c r="N385" s="16" t="n"/>
      <c r="O385" s="16" t="n"/>
      <c r="P385" s="16" t="n"/>
      <c r="Q385" s="16" t="n"/>
      <c r="R385" s="16" t="n"/>
      <c r="S385" s="16" t="n"/>
      <c r="T385" s="18" t="n"/>
      <c r="U385" s="18" t="n"/>
      <c r="V385" s="7">
        <f>IF(L385="","",IF(TODAY()&gt;=L385,"到期","未到期"))</f>
        <v/>
      </c>
      <c r="W385" s="16" t="n"/>
      <c r="X385" s="16" t="n"/>
    </row>
    <row r="386">
      <c r="A386" s="15">
        <f>IF(B386="","","V-"&amp;TEXT(ROW()-1,"000"))</f>
        <v/>
      </c>
      <c r="B386" s="16" t="n"/>
      <c r="C386" s="17" t="n"/>
      <c r="D386" s="16" t="n"/>
      <c r="E386" s="16" t="n"/>
      <c r="F386" s="16" t="n"/>
      <c r="G386" s="16" t="n"/>
      <c r="H386" s="16" t="n"/>
      <c r="I386" s="16" t="n"/>
      <c r="J386" s="18" t="n"/>
      <c r="K386" s="16" t="n"/>
      <c r="L386" s="17" t="n"/>
      <c r="M386" s="18" t="n"/>
      <c r="N386" s="16" t="n"/>
      <c r="O386" s="16" t="n"/>
      <c r="P386" s="16" t="n"/>
      <c r="Q386" s="16" t="n"/>
      <c r="R386" s="16" t="n"/>
      <c r="S386" s="16" t="n"/>
      <c r="T386" s="18" t="n"/>
      <c r="U386" s="18" t="n"/>
      <c r="V386" s="7">
        <f>IF(L386="","",IF(TODAY()&gt;=L386,"到期","未到期"))</f>
        <v/>
      </c>
      <c r="W386" s="16" t="n"/>
      <c r="X386" s="16" t="n"/>
    </row>
    <row r="387">
      <c r="A387" s="15">
        <f>IF(B387="","","V-"&amp;TEXT(ROW()-1,"000"))</f>
        <v/>
      </c>
      <c r="B387" s="16" t="n"/>
      <c r="C387" s="17" t="n"/>
      <c r="D387" s="16" t="n"/>
      <c r="E387" s="16" t="n"/>
      <c r="F387" s="16" t="n"/>
      <c r="G387" s="16" t="n"/>
      <c r="H387" s="16" t="n"/>
      <c r="I387" s="16" t="n"/>
      <c r="J387" s="18" t="n"/>
      <c r="K387" s="16" t="n"/>
      <c r="L387" s="17" t="n"/>
      <c r="M387" s="18" t="n"/>
      <c r="N387" s="16" t="n"/>
      <c r="O387" s="16" t="n"/>
      <c r="P387" s="16" t="n"/>
      <c r="Q387" s="16" t="n"/>
      <c r="R387" s="16" t="n"/>
      <c r="S387" s="16" t="n"/>
      <c r="T387" s="18" t="n"/>
      <c r="U387" s="18" t="n"/>
      <c r="V387" s="7">
        <f>IF(L387="","",IF(TODAY()&gt;=L387,"到期","未到期"))</f>
        <v/>
      </c>
      <c r="W387" s="16" t="n"/>
      <c r="X387" s="16" t="n"/>
    </row>
    <row r="388">
      <c r="A388" s="15">
        <f>IF(B388="","","V-"&amp;TEXT(ROW()-1,"000"))</f>
        <v/>
      </c>
      <c r="B388" s="16" t="n"/>
      <c r="C388" s="17" t="n"/>
      <c r="D388" s="16" t="n"/>
      <c r="E388" s="16" t="n"/>
      <c r="F388" s="16" t="n"/>
      <c r="G388" s="16" t="n"/>
      <c r="H388" s="16" t="n"/>
      <c r="I388" s="16" t="n"/>
      <c r="J388" s="18" t="n"/>
      <c r="K388" s="16" t="n"/>
      <c r="L388" s="17" t="n"/>
      <c r="M388" s="18" t="n"/>
      <c r="N388" s="16" t="n"/>
      <c r="O388" s="16" t="n"/>
      <c r="P388" s="16" t="n"/>
      <c r="Q388" s="16" t="n"/>
      <c r="R388" s="16" t="n"/>
      <c r="S388" s="16" t="n"/>
      <c r="T388" s="18" t="n"/>
      <c r="U388" s="18" t="n"/>
      <c r="V388" s="7">
        <f>IF(L388="","",IF(TODAY()&gt;=L388,"到期","未到期"))</f>
        <v/>
      </c>
      <c r="W388" s="16" t="n"/>
      <c r="X388" s="16" t="n"/>
    </row>
    <row r="389">
      <c r="A389" s="15">
        <f>IF(B389="","","V-"&amp;TEXT(ROW()-1,"000"))</f>
        <v/>
      </c>
      <c r="B389" s="16" t="n"/>
      <c r="C389" s="17" t="n"/>
      <c r="D389" s="16" t="n"/>
      <c r="E389" s="16" t="n"/>
      <c r="F389" s="16" t="n"/>
      <c r="G389" s="16" t="n"/>
      <c r="H389" s="16" t="n"/>
      <c r="I389" s="16" t="n"/>
      <c r="J389" s="18" t="n"/>
      <c r="K389" s="16" t="n"/>
      <c r="L389" s="17" t="n"/>
      <c r="M389" s="18" t="n"/>
      <c r="N389" s="16" t="n"/>
      <c r="O389" s="16" t="n"/>
      <c r="P389" s="16" t="n"/>
      <c r="Q389" s="16" t="n"/>
      <c r="R389" s="16" t="n"/>
      <c r="S389" s="16" t="n"/>
      <c r="T389" s="18" t="n"/>
      <c r="U389" s="18" t="n"/>
      <c r="V389" s="7">
        <f>IF(L389="","",IF(TODAY()&gt;=L389,"到期","未到期"))</f>
        <v/>
      </c>
      <c r="W389" s="16" t="n"/>
      <c r="X389" s="16" t="n"/>
    </row>
    <row r="390">
      <c r="A390" s="15">
        <f>IF(B390="","","V-"&amp;TEXT(ROW()-1,"000"))</f>
        <v/>
      </c>
      <c r="B390" s="16" t="n"/>
      <c r="C390" s="17" t="n"/>
      <c r="D390" s="16" t="n"/>
      <c r="E390" s="16" t="n"/>
      <c r="F390" s="16" t="n"/>
      <c r="G390" s="16" t="n"/>
      <c r="H390" s="16" t="n"/>
      <c r="I390" s="16" t="n"/>
      <c r="J390" s="18" t="n"/>
      <c r="K390" s="16" t="n"/>
      <c r="L390" s="17" t="n"/>
      <c r="M390" s="18" t="n"/>
      <c r="N390" s="16" t="n"/>
      <c r="O390" s="16" t="n"/>
      <c r="P390" s="16" t="n"/>
      <c r="Q390" s="16" t="n"/>
      <c r="R390" s="16" t="n"/>
      <c r="S390" s="16" t="n"/>
      <c r="T390" s="18" t="n"/>
      <c r="U390" s="18" t="n"/>
      <c r="V390" s="7">
        <f>IF(L390="","",IF(TODAY()&gt;=L390,"到期","未到期"))</f>
        <v/>
      </c>
      <c r="W390" s="16" t="n"/>
      <c r="X390" s="16" t="n"/>
    </row>
    <row r="391">
      <c r="A391" s="15">
        <f>IF(B391="","","V-"&amp;TEXT(ROW()-1,"000"))</f>
        <v/>
      </c>
      <c r="B391" s="16" t="n"/>
      <c r="C391" s="17" t="n"/>
      <c r="D391" s="16" t="n"/>
      <c r="E391" s="16" t="n"/>
      <c r="F391" s="16" t="n"/>
      <c r="G391" s="16" t="n"/>
      <c r="H391" s="16" t="n"/>
      <c r="I391" s="16" t="n"/>
      <c r="J391" s="18" t="n"/>
      <c r="K391" s="16" t="n"/>
      <c r="L391" s="17" t="n"/>
      <c r="M391" s="18" t="n"/>
      <c r="N391" s="16" t="n"/>
      <c r="O391" s="16" t="n"/>
      <c r="P391" s="16" t="n"/>
      <c r="Q391" s="16" t="n"/>
      <c r="R391" s="16" t="n"/>
      <c r="S391" s="16" t="n"/>
      <c r="T391" s="18" t="n"/>
      <c r="U391" s="18" t="n"/>
      <c r="V391" s="7">
        <f>IF(L391="","",IF(TODAY()&gt;=L391,"到期","未到期"))</f>
        <v/>
      </c>
      <c r="W391" s="16" t="n"/>
      <c r="X391" s="16" t="n"/>
    </row>
    <row r="392">
      <c r="A392" s="15">
        <f>IF(B392="","","V-"&amp;TEXT(ROW()-1,"000"))</f>
        <v/>
      </c>
      <c r="B392" s="16" t="n"/>
      <c r="C392" s="17" t="n"/>
      <c r="D392" s="16" t="n"/>
      <c r="E392" s="16" t="n"/>
      <c r="F392" s="16" t="n"/>
      <c r="G392" s="16" t="n"/>
      <c r="H392" s="16" t="n"/>
      <c r="I392" s="16" t="n"/>
      <c r="J392" s="18" t="n"/>
      <c r="K392" s="16" t="n"/>
      <c r="L392" s="17" t="n"/>
      <c r="M392" s="18" t="n"/>
      <c r="N392" s="16" t="n"/>
      <c r="O392" s="16" t="n"/>
      <c r="P392" s="16" t="n"/>
      <c r="Q392" s="16" t="n"/>
      <c r="R392" s="16" t="n"/>
      <c r="S392" s="16" t="n"/>
      <c r="T392" s="18" t="n"/>
      <c r="U392" s="18" t="n"/>
      <c r="V392" s="7">
        <f>IF(L392="","",IF(TODAY()&gt;=L392,"到期","未到期"))</f>
        <v/>
      </c>
      <c r="W392" s="16" t="n"/>
      <c r="X392" s="16" t="n"/>
    </row>
    <row r="393">
      <c r="A393" s="15">
        <f>IF(B393="","","V-"&amp;TEXT(ROW()-1,"000"))</f>
        <v/>
      </c>
      <c r="B393" s="16" t="n"/>
      <c r="C393" s="17" t="n"/>
      <c r="D393" s="16" t="n"/>
      <c r="E393" s="16" t="n"/>
      <c r="F393" s="16" t="n"/>
      <c r="G393" s="16" t="n"/>
      <c r="H393" s="16" t="n"/>
      <c r="I393" s="16" t="n"/>
      <c r="J393" s="18" t="n"/>
      <c r="K393" s="16" t="n"/>
      <c r="L393" s="17" t="n"/>
      <c r="M393" s="18" t="n"/>
      <c r="N393" s="16" t="n"/>
      <c r="O393" s="16" t="n"/>
      <c r="P393" s="16" t="n"/>
      <c r="Q393" s="16" t="n"/>
      <c r="R393" s="16" t="n"/>
      <c r="S393" s="16" t="n"/>
      <c r="T393" s="18" t="n"/>
      <c r="U393" s="18" t="n"/>
      <c r="V393" s="7">
        <f>IF(L393="","",IF(TODAY()&gt;=L393,"到期","未到期"))</f>
        <v/>
      </c>
      <c r="W393" s="16" t="n"/>
      <c r="X393" s="16" t="n"/>
    </row>
    <row r="394">
      <c r="A394" s="15">
        <f>IF(B394="","","V-"&amp;TEXT(ROW()-1,"000"))</f>
        <v/>
      </c>
      <c r="B394" s="16" t="n"/>
      <c r="C394" s="17" t="n"/>
      <c r="D394" s="16" t="n"/>
      <c r="E394" s="16" t="n"/>
      <c r="F394" s="16" t="n"/>
      <c r="G394" s="16" t="n"/>
      <c r="H394" s="16" t="n"/>
      <c r="I394" s="16" t="n"/>
      <c r="J394" s="18" t="n"/>
      <c r="K394" s="16" t="n"/>
      <c r="L394" s="17" t="n"/>
      <c r="M394" s="18" t="n"/>
      <c r="N394" s="16" t="n"/>
      <c r="O394" s="16" t="n"/>
      <c r="P394" s="16" t="n"/>
      <c r="Q394" s="16" t="n"/>
      <c r="R394" s="16" t="n"/>
      <c r="S394" s="16" t="n"/>
      <c r="T394" s="18" t="n"/>
      <c r="U394" s="18" t="n"/>
      <c r="V394" s="7">
        <f>IF(L394="","",IF(TODAY()&gt;=L394,"到期","未到期"))</f>
        <v/>
      </c>
      <c r="W394" s="16" t="n"/>
      <c r="X394" s="16" t="n"/>
    </row>
    <row r="395">
      <c r="A395" s="15">
        <f>IF(B395="","","V-"&amp;TEXT(ROW()-1,"000"))</f>
        <v/>
      </c>
      <c r="B395" s="16" t="n"/>
      <c r="C395" s="17" t="n"/>
      <c r="D395" s="16" t="n"/>
      <c r="E395" s="16" t="n"/>
      <c r="F395" s="16" t="n"/>
      <c r="G395" s="16" t="n"/>
      <c r="H395" s="16" t="n"/>
      <c r="I395" s="16" t="n"/>
      <c r="J395" s="18" t="n"/>
      <c r="K395" s="16" t="n"/>
      <c r="L395" s="17" t="n"/>
      <c r="M395" s="18" t="n"/>
      <c r="N395" s="16" t="n"/>
      <c r="O395" s="16" t="n"/>
      <c r="P395" s="16" t="n"/>
      <c r="Q395" s="16" t="n"/>
      <c r="R395" s="16" t="n"/>
      <c r="S395" s="16" t="n"/>
      <c r="T395" s="18" t="n"/>
      <c r="U395" s="18" t="n"/>
      <c r="V395" s="7">
        <f>IF(L395="","",IF(TODAY()&gt;=L395,"到期","未到期"))</f>
        <v/>
      </c>
      <c r="W395" s="16" t="n"/>
      <c r="X395" s="16" t="n"/>
    </row>
    <row r="396">
      <c r="A396" s="15">
        <f>IF(B396="","","V-"&amp;TEXT(ROW()-1,"000"))</f>
        <v/>
      </c>
      <c r="B396" s="16" t="n"/>
      <c r="C396" s="17" t="n"/>
      <c r="D396" s="16" t="n"/>
      <c r="E396" s="16" t="n"/>
      <c r="F396" s="16" t="n"/>
      <c r="G396" s="16" t="n"/>
      <c r="H396" s="16" t="n"/>
      <c r="I396" s="16" t="n"/>
      <c r="J396" s="18" t="n"/>
      <c r="K396" s="16" t="n"/>
      <c r="L396" s="17" t="n"/>
      <c r="M396" s="18" t="n"/>
      <c r="N396" s="16" t="n"/>
      <c r="O396" s="16" t="n"/>
      <c r="P396" s="16" t="n"/>
      <c r="Q396" s="16" t="n"/>
      <c r="R396" s="16" t="n"/>
      <c r="S396" s="16" t="n"/>
      <c r="T396" s="18" t="n"/>
      <c r="U396" s="18" t="n"/>
      <c r="V396" s="7">
        <f>IF(L396="","",IF(TODAY()&gt;=L396,"到期","未到期"))</f>
        <v/>
      </c>
      <c r="W396" s="16" t="n"/>
      <c r="X396" s="16" t="n"/>
    </row>
    <row r="397">
      <c r="A397" s="15">
        <f>IF(B397="","","V-"&amp;TEXT(ROW()-1,"000"))</f>
        <v/>
      </c>
      <c r="B397" s="16" t="n"/>
      <c r="C397" s="17" t="n"/>
      <c r="D397" s="16" t="n"/>
      <c r="E397" s="16" t="n"/>
      <c r="F397" s="16" t="n"/>
      <c r="G397" s="16" t="n"/>
      <c r="H397" s="16" t="n"/>
      <c r="I397" s="16" t="n"/>
      <c r="J397" s="18" t="n"/>
      <c r="K397" s="16" t="n"/>
      <c r="L397" s="17" t="n"/>
      <c r="M397" s="18" t="n"/>
      <c r="N397" s="16" t="n"/>
      <c r="O397" s="16" t="n"/>
      <c r="P397" s="16" t="n"/>
      <c r="Q397" s="16" t="n"/>
      <c r="R397" s="16" t="n"/>
      <c r="S397" s="16" t="n"/>
      <c r="T397" s="18" t="n"/>
      <c r="U397" s="18" t="n"/>
      <c r="V397" s="7">
        <f>IF(L397="","",IF(TODAY()&gt;=L397,"到期","未到期"))</f>
        <v/>
      </c>
      <c r="W397" s="16" t="n"/>
      <c r="X397" s="16" t="n"/>
    </row>
    <row r="398">
      <c r="A398" s="15">
        <f>IF(B398="","","V-"&amp;TEXT(ROW()-1,"000"))</f>
        <v/>
      </c>
      <c r="B398" s="16" t="n"/>
      <c r="C398" s="17" t="n"/>
      <c r="D398" s="16" t="n"/>
      <c r="E398" s="16" t="n"/>
      <c r="F398" s="16" t="n"/>
      <c r="G398" s="16" t="n"/>
      <c r="H398" s="16" t="n"/>
      <c r="I398" s="16" t="n"/>
      <c r="J398" s="18" t="n"/>
      <c r="K398" s="16" t="n"/>
      <c r="L398" s="17" t="n"/>
      <c r="M398" s="18" t="n"/>
      <c r="N398" s="16" t="n"/>
      <c r="O398" s="16" t="n"/>
      <c r="P398" s="16" t="n"/>
      <c r="Q398" s="16" t="n"/>
      <c r="R398" s="16" t="n"/>
      <c r="S398" s="16" t="n"/>
      <c r="T398" s="18" t="n"/>
      <c r="U398" s="18" t="n"/>
      <c r="V398" s="7">
        <f>IF(L398="","",IF(TODAY()&gt;=L398,"到期","未到期"))</f>
        <v/>
      </c>
      <c r="W398" s="16" t="n"/>
      <c r="X398" s="16" t="n"/>
    </row>
    <row r="399">
      <c r="A399" s="15">
        <f>IF(B399="","","V-"&amp;TEXT(ROW()-1,"000"))</f>
        <v/>
      </c>
      <c r="B399" s="16" t="n"/>
      <c r="C399" s="17" t="n"/>
      <c r="D399" s="16" t="n"/>
      <c r="E399" s="16" t="n"/>
      <c r="F399" s="16" t="n"/>
      <c r="G399" s="16" t="n"/>
      <c r="H399" s="16" t="n"/>
      <c r="I399" s="16" t="n"/>
      <c r="J399" s="18" t="n"/>
      <c r="K399" s="16" t="n"/>
      <c r="L399" s="17" t="n"/>
      <c r="M399" s="18" t="n"/>
      <c r="N399" s="16" t="n"/>
      <c r="O399" s="16" t="n"/>
      <c r="P399" s="16" t="n"/>
      <c r="Q399" s="16" t="n"/>
      <c r="R399" s="16" t="n"/>
      <c r="S399" s="16" t="n"/>
      <c r="T399" s="18" t="n"/>
      <c r="U399" s="18" t="n"/>
      <c r="V399" s="7">
        <f>IF(L399="","",IF(TODAY()&gt;=L399,"到期","未到期"))</f>
        <v/>
      </c>
      <c r="W399" s="16" t="n"/>
      <c r="X399" s="16" t="n"/>
    </row>
    <row r="400">
      <c r="A400" s="15">
        <f>IF(B400="","","V-"&amp;TEXT(ROW()-1,"000"))</f>
        <v/>
      </c>
      <c r="B400" s="16" t="n"/>
      <c r="C400" s="17" t="n"/>
      <c r="D400" s="16" t="n"/>
      <c r="E400" s="16" t="n"/>
      <c r="F400" s="16" t="n"/>
      <c r="G400" s="16" t="n"/>
      <c r="H400" s="16" t="n"/>
      <c r="I400" s="16" t="n"/>
      <c r="J400" s="18" t="n"/>
      <c r="K400" s="16" t="n"/>
      <c r="L400" s="17" t="n"/>
      <c r="M400" s="18" t="n"/>
      <c r="N400" s="16" t="n"/>
      <c r="O400" s="16" t="n"/>
      <c r="P400" s="16" t="n"/>
      <c r="Q400" s="16" t="n"/>
      <c r="R400" s="16" t="n"/>
      <c r="S400" s="16" t="n"/>
      <c r="T400" s="18" t="n"/>
      <c r="U400" s="18" t="n"/>
      <c r="V400" s="7">
        <f>IF(L400="","",IF(TODAY()&gt;=L400,"到期","未到期"))</f>
        <v/>
      </c>
      <c r="W400" s="16" t="n"/>
      <c r="X400" s="16" t="n"/>
    </row>
    <row r="401">
      <c r="A401" s="15">
        <f>IF(B401="","","V-"&amp;TEXT(ROW()-1,"000"))</f>
        <v/>
      </c>
      <c r="B401" s="16" t="n"/>
      <c r="C401" s="17" t="n"/>
      <c r="D401" s="16" t="n"/>
      <c r="E401" s="16" t="n"/>
      <c r="F401" s="16" t="n"/>
      <c r="G401" s="16" t="n"/>
      <c r="H401" s="16" t="n"/>
      <c r="I401" s="16" t="n"/>
      <c r="J401" s="18" t="n"/>
      <c r="K401" s="16" t="n"/>
      <c r="L401" s="17" t="n"/>
      <c r="M401" s="18" t="n"/>
      <c r="N401" s="16" t="n"/>
      <c r="O401" s="16" t="n"/>
      <c r="P401" s="16" t="n"/>
      <c r="Q401" s="16" t="n"/>
      <c r="R401" s="16" t="n"/>
      <c r="S401" s="16" t="n"/>
      <c r="T401" s="18" t="n"/>
      <c r="U401" s="18" t="n"/>
      <c r="V401" s="7">
        <f>IF(L401="","",IF(TODAY()&gt;=L401,"到期","未到期"))</f>
        <v/>
      </c>
      <c r="W401" s="16" t="n"/>
      <c r="X401" s="16" t="n"/>
    </row>
    <row r="402">
      <c r="A402" s="15">
        <f>IF(B402="","","V-"&amp;TEXT(ROW()-1,"000"))</f>
        <v/>
      </c>
      <c r="B402" s="16" t="n"/>
      <c r="C402" s="17" t="n"/>
      <c r="D402" s="16" t="n"/>
      <c r="E402" s="16" t="n"/>
      <c r="F402" s="16" t="n"/>
      <c r="G402" s="16" t="n"/>
      <c r="H402" s="16" t="n"/>
      <c r="I402" s="16" t="n"/>
      <c r="J402" s="18" t="n"/>
      <c r="K402" s="16" t="n"/>
      <c r="L402" s="17" t="n"/>
      <c r="M402" s="18" t="n"/>
      <c r="N402" s="16" t="n"/>
      <c r="O402" s="16" t="n"/>
      <c r="P402" s="16" t="n"/>
      <c r="Q402" s="16" t="n"/>
      <c r="R402" s="16" t="n"/>
      <c r="S402" s="16" t="n"/>
      <c r="T402" s="18" t="n"/>
      <c r="U402" s="18" t="n"/>
      <c r="V402" s="7">
        <f>IF(L402="","",IF(TODAY()&gt;=L402,"到期","未到期"))</f>
        <v/>
      </c>
      <c r="W402" s="16" t="n"/>
      <c r="X402" s="16" t="n"/>
    </row>
    <row r="403">
      <c r="A403" s="15">
        <f>IF(B403="","","V-"&amp;TEXT(ROW()-1,"000"))</f>
        <v/>
      </c>
      <c r="B403" s="16" t="n"/>
      <c r="C403" s="17" t="n"/>
      <c r="D403" s="16" t="n"/>
      <c r="E403" s="16" t="n"/>
      <c r="F403" s="16" t="n"/>
      <c r="G403" s="16" t="n"/>
      <c r="H403" s="16" t="n"/>
      <c r="I403" s="16" t="n"/>
      <c r="J403" s="18" t="n"/>
      <c r="K403" s="16" t="n"/>
      <c r="L403" s="17" t="n"/>
      <c r="M403" s="18" t="n"/>
      <c r="N403" s="16" t="n"/>
      <c r="O403" s="16" t="n"/>
      <c r="P403" s="16" t="n"/>
      <c r="Q403" s="16" t="n"/>
      <c r="R403" s="16" t="n"/>
      <c r="S403" s="16" t="n"/>
      <c r="T403" s="18" t="n"/>
      <c r="U403" s="18" t="n"/>
      <c r="V403" s="7">
        <f>IF(L403="","",IF(TODAY()&gt;=L403,"到期","未到期"))</f>
        <v/>
      </c>
      <c r="W403" s="16" t="n"/>
      <c r="X403" s="16" t="n"/>
    </row>
    <row r="404">
      <c r="A404" s="15">
        <f>IF(B404="","","V-"&amp;TEXT(ROW()-1,"000"))</f>
        <v/>
      </c>
      <c r="B404" s="16" t="n"/>
      <c r="C404" s="17" t="n"/>
      <c r="D404" s="16" t="n"/>
      <c r="E404" s="16" t="n"/>
      <c r="F404" s="16" t="n"/>
      <c r="G404" s="16" t="n"/>
      <c r="H404" s="16" t="n"/>
      <c r="I404" s="16" t="n"/>
      <c r="J404" s="18" t="n"/>
      <c r="K404" s="16" t="n"/>
      <c r="L404" s="17" t="n"/>
      <c r="M404" s="18" t="n"/>
      <c r="N404" s="16" t="n"/>
      <c r="O404" s="16" t="n"/>
      <c r="P404" s="16" t="n"/>
      <c r="Q404" s="16" t="n"/>
      <c r="R404" s="16" t="n"/>
      <c r="S404" s="16" t="n"/>
      <c r="T404" s="18" t="n"/>
      <c r="U404" s="18" t="n"/>
      <c r="V404" s="7">
        <f>IF(L404="","",IF(TODAY()&gt;=L404,"到期","未到期"))</f>
        <v/>
      </c>
      <c r="W404" s="16" t="n"/>
      <c r="X404" s="16" t="n"/>
    </row>
    <row r="405">
      <c r="A405" s="15">
        <f>IF(B405="","","V-"&amp;TEXT(ROW()-1,"000"))</f>
        <v/>
      </c>
      <c r="B405" s="16" t="n"/>
      <c r="C405" s="17" t="n"/>
      <c r="D405" s="16" t="n"/>
      <c r="E405" s="16" t="n"/>
      <c r="F405" s="16" t="n"/>
      <c r="G405" s="16" t="n"/>
      <c r="H405" s="16" t="n"/>
      <c r="I405" s="16" t="n"/>
      <c r="J405" s="18" t="n"/>
      <c r="K405" s="16" t="n"/>
      <c r="L405" s="17" t="n"/>
      <c r="M405" s="18" t="n"/>
      <c r="N405" s="16" t="n"/>
      <c r="O405" s="16" t="n"/>
      <c r="P405" s="16" t="n"/>
      <c r="Q405" s="16" t="n"/>
      <c r="R405" s="16" t="n"/>
      <c r="S405" s="16" t="n"/>
      <c r="T405" s="18" t="n"/>
      <c r="U405" s="18" t="n"/>
      <c r="V405" s="7">
        <f>IF(L405="","",IF(TODAY()&gt;=L405,"到期","未到期"))</f>
        <v/>
      </c>
      <c r="W405" s="16" t="n"/>
      <c r="X405" s="16" t="n"/>
    </row>
    <row r="406">
      <c r="A406" s="15">
        <f>IF(B406="","","V-"&amp;TEXT(ROW()-1,"000"))</f>
        <v/>
      </c>
      <c r="B406" s="16" t="n"/>
      <c r="C406" s="17" t="n"/>
      <c r="D406" s="16" t="n"/>
      <c r="E406" s="16" t="n"/>
      <c r="F406" s="16" t="n"/>
      <c r="G406" s="16" t="n"/>
      <c r="H406" s="16" t="n"/>
      <c r="I406" s="16" t="n"/>
      <c r="J406" s="18" t="n"/>
      <c r="K406" s="16" t="n"/>
      <c r="L406" s="17" t="n"/>
      <c r="M406" s="18" t="n"/>
      <c r="N406" s="16" t="n"/>
      <c r="O406" s="16" t="n"/>
      <c r="P406" s="16" t="n"/>
      <c r="Q406" s="16" t="n"/>
      <c r="R406" s="16" t="n"/>
      <c r="S406" s="16" t="n"/>
      <c r="T406" s="18" t="n"/>
      <c r="U406" s="18" t="n"/>
      <c r="V406" s="7">
        <f>IF(L406="","",IF(TODAY()&gt;=L406,"到期","未到期"))</f>
        <v/>
      </c>
      <c r="W406" s="16" t="n"/>
      <c r="X406" s="16" t="n"/>
    </row>
    <row r="407">
      <c r="A407" s="15">
        <f>IF(B407="","","V-"&amp;TEXT(ROW()-1,"000"))</f>
        <v/>
      </c>
      <c r="B407" s="16" t="n"/>
      <c r="C407" s="17" t="n"/>
      <c r="D407" s="16" t="n"/>
      <c r="E407" s="16" t="n"/>
      <c r="F407" s="16" t="n"/>
      <c r="G407" s="16" t="n"/>
      <c r="H407" s="16" t="n"/>
      <c r="I407" s="16" t="n"/>
      <c r="J407" s="18" t="n"/>
      <c r="K407" s="16" t="n"/>
      <c r="L407" s="17" t="n"/>
      <c r="M407" s="18" t="n"/>
      <c r="N407" s="16" t="n"/>
      <c r="O407" s="16" t="n"/>
      <c r="P407" s="16" t="n"/>
      <c r="Q407" s="16" t="n"/>
      <c r="R407" s="16" t="n"/>
      <c r="S407" s="16" t="n"/>
      <c r="T407" s="18" t="n"/>
      <c r="U407" s="18" t="n"/>
      <c r="V407" s="7">
        <f>IF(L407="","",IF(TODAY()&gt;=L407,"到期","未到期"))</f>
        <v/>
      </c>
      <c r="W407" s="16" t="n"/>
      <c r="X407" s="16" t="n"/>
    </row>
    <row r="408">
      <c r="A408" s="15">
        <f>IF(B408="","","V-"&amp;TEXT(ROW()-1,"000"))</f>
        <v/>
      </c>
      <c r="B408" s="16" t="n"/>
      <c r="C408" s="17" t="n"/>
      <c r="D408" s="16" t="n"/>
      <c r="E408" s="16" t="n"/>
      <c r="F408" s="16" t="n"/>
      <c r="G408" s="16" t="n"/>
      <c r="H408" s="16" t="n"/>
      <c r="I408" s="16" t="n"/>
      <c r="J408" s="18" t="n"/>
      <c r="K408" s="16" t="n"/>
      <c r="L408" s="17" t="n"/>
      <c r="M408" s="18" t="n"/>
      <c r="N408" s="16" t="n"/>
      <c r="O408" s="16" t="n"/>
      <c r="P408" s="16" t="n"/>
      <c r="Q408" s="16" t="n"/>
      <c r="R408" s="16" t="n"/>
      <c r="S408" s="16" t="n"/>
      <c r="T408" s="18" t="n"/>
      <c r="U408" s="18" t="n"/>
      <c r="V408" s="7">
        <f>IF(L408="","",IF(TODAY()&gt;=L408,"到期","未到期"))</f>
        <v/>
      </c>
      <c r="W408" s="16" t="n"/>
      <c r="X408" s="16" t="n"/>
    </row>
    <row r="409">
      <c r="A409" s="15">
        <f>IF(B409="","","V-"&amp;TEXT(ROW()-1,"000"))</f>
        <v/>
      </c>
      <c r="B409" s="16" t="n"/>
      <c r="C409" s="17" t="n"/>
      <c r="D409" s="16" t="n"/>
      <c r="E409" s="16" t="n"/>
      <c r="F409" s="16" t="n"/>
      <c r="G409" s="16" t="n"/>
      <c r="H409" s="16" t="n"/>
      <c r="I409" s="16" t="n"/>
      <c r="J409" s="18" t="n"/>
      <c r="K409" s="16" t="n"/>
      <c r="L409" s="17" t="n"/>
      <c r="M409" s="18" t="n"/>
      <c r="N409" s="16" t="n"/>
      <c r="O409" s="16" t="n"/>
      <c r="P409" s="16" t="n"/>
      <c r="Q409" s="16" t="n"/>
      <c r="R409" s="16" t="n"/>
      <c r="S409" s="16" t="n"/>
      <c r="T409" s="18" t="n"/>
      <c r="U409" s="18" t="n"/>
      <c r="V409" s="7">
        <f>IF(L409="","",IF(TODAY()&gt;=L409,"到期","未到期"))</f>
        <v/>
      </c>
      <c r="W409" s="16" t="n"/>
      <c r="X409" s="16" t="n"/>
    </row>
    <row r="410">
      <c r="A410" s="15">
        <f>IF(B410="","","V-"&amp;TEXT(ROW()-1,"000"))</f>
        <v/>
      </c>
      <c r="B410" s="16" t="n"/>
      <c r="C410" s="17" t="n"/>
      <c r="D410" s="16" t="n"/>
      <c r="E410" s="16" t="n"/>
      <c r="F410" s="16" t="n"/>
      <c r="G410" s="16" t="n"/>
      <c r="H410" s="16" t="n"/>
      <c r="I410" s="16" t="n"/>
      <c r="J410" s="18" t="n"/>
      <c r="K410" s="16" t="n"/>
      <c r="L410" s="17" t="n"/>
      <c r="M410" s="18" t="n"/>
      <c r="N410" s="16" t="n"/>
      <c r="O410" s="16" t="n"/>
      <c r="P410" s="16" t="n"/>
      <c r="Q410" s="16" t="n"/>
      <c r="R410" s="16" t="n"/>
      <c r="S410" s="16" t="n"/>
      <c r="T410" s="18" t="n"/>
      <c r="U410" s="18" t="n"/>
      <c r="V410" s="7">
        <f>IF(L410="","",IF(TODAY()&gt;=L410,"到期","未到期"))</f>
        <v/>
      </c>
      <c r="W410" s="16" t="n"/>
      <c r="X410" s="16" t="n"/>
    </row>
    <row r="411">
      <c r="A411" s="15">
        <f>IF(B411="","","V-"&amp;TEXT(ROW()-1,"000"))</f>
        <v/>
      </c>
      <c r="B411" s="16" t="n"/>
      <c r="C411" s="17" t="n"/>
      <c r="D411" s="16" t="n"/>
      <c r="E411" s="16" t="n"/>
      <c r="F411" s="16" t="n"/>
      <c r="G411" s="16" t="n"/>
      <c r="H411" s="16" t="n"/>
      <c r="I411" s="16" t="n"/>
      <c r="J411" s="18" t="n"/>
      <c r="K411" s="16" t="n"/>
      <c r="L411" s="17" t="n"/>
      <c r="M411" s="18" t="n"/>
      <c r="N411" s="16" t="n"/>
      <c r="O411" s="16" t="n"/>
      <c r="P411" s="16" t="n"/>
      <c r="Q411" s="16" t="n"/>
      <c r="R411" s="16" t="n"/>
      <c r="S411" s="16" t="n"/>
      <c r="T411" s="18" t="n"/>
      <c r="U411" s="18" t="n"/>
      <c r="V411" s="7">
        <f>IF(L411="","",IF(TODAY()&gt;=L411,"到期","未到期"))</f>
        <v/>
      </c>
      <c r="W411" s="16" t="n"/>
      <c r="X411" s="16" t="n"/>
    </row>
    <row r="412">
      <c r="A412" s="15">
        <f>IF(B412="","","V-"&amp;TEXT(ROW()-1,"000"))</f>
        <v/>
      </c>
      <c r="B412" s="16" t="n"/>
      <c r="C412" s="17" t="n"/>
      <c r="D412" s="16" t="n"/>
      <c r="E412" s="16" t="n"/>
      <c r="F412" s="16" t="n"/>
      <c r="G412" s="16" t="n"/>
      <c r="H412" s="16" t="n"/>
      <c r="I412" s="16" t="n"/>
      <c r="J412" s="18" t="n"/>
      <c r="K412" s="16" t="n"/>
      <c r="L412" s="17" t="n"/>
      <c r="M412" s="18" t="n"/>
      <c r="N412" s="16" t="n"/>
      <c r="O412" s="16" t="n"/>
      <c r="P412" s="16" t="n"/>
      <c r="Q412" s="16" t="n"/>
      <c r="R412" s="16" t="n"/>
      <c r="S412" s="16" t="n"/>
      <c r="T412" s="18" t="n"/>
      <c r="U412" s="18" t="n"/>
      <c r="V412" s="7">
        <f>IF(L412="","",IF(TODAY()&gt;=L412,"到期","未到期"))</f>
        <v/>
      </c>
      <c r="W412" s="16" t="n"/>
      <c r="X412" s="16" t="n"/>
    </row>
    <row r="413">
      <c r="A413" s="15">
        <f>IF(B413="","","V-"&amp;TEXT(ROW()-1,"000"))</f>
        <v/>
      </c>
      <c r="B413" s="16" t="n"/>
      <c r="C413" s="17" t="n"/>
      <c r="D413" s="16" t="n"/>
      <c r="E413" s="16" t="n"/>
      <c r="F413" s="16" t="n"/>
      <c r="G413" s="16" t="n"/>
      <c r="H413" s="16" t="n"/>
      <c r="I413" s="16" t="n"/>
      <c r="J413" s="18" t="n"/>
      <c r="K413" s="16" t="n"/>
      <c r="L413" s="17" t="n"/>
      <c r="M413" s="18" t="n"/>
      <c r="N413" s="16" t="n"/>
      <c r="O413" s="16" t="n"/>
      <c r="P413" s="16" t="n"/>
      <c r="Q413" s="16" t="n"/>
      <c r="R413" s="16" t="n"/>
      <c r="S413" s="16" t="n"/>
      <c r="T413" s="18" t="n"/>
      <c r="U413" s="18" t="n"/>
      <c r="V413" s="7">
        <f>IF(L413="","",IF(TODAY()&gt;=L413,"到期","未到期"))</f>
        <v/>
      </c>
      <c r="W413" s="16" t="n"/>
      <c r="X413" s="16" t="n"/>
    </row>
    <row r="414">
      <c r="A414" s="15">
        <f>IF(B414="","","V-"&amp;TEXT(ROW()-1,"000"))</f>
        <v/>
      </c>
      <c r="B414" s="16" t="n"/>
      <c r="C414" s="17" t="n"/>
      <c r="D414" s="16" t="n"/>
      <c r="E414" s="16" t="n"/>
      <c r="F414" s="16" t="n"/>
      <c r="G414" s="16" t="n"/>
      <c r="H414" s="16" t="n"/>
      <c r="I414" s="16" t="n"/>
      <c r="J414" s="18" t="n"/>
      <c r="K414" s="16" t="n"/>
      <c r="L414" s="17" t="n"/>
      <c r="M414" s="18" t="n"/>
      <c r="N414" s="16" t="n"/>
      <c r="O414" s="16" t="n"/>
      <c r="P414" s="16" t="n"/>
      <c r="Q414" s="16" t="n"/>
      <c r="R414" s="16" t="n"/>
      <c r="S414" s="16" t="n"/>
      <c r="T414" s="18" t="n"/>
      <c r="U414" s="18" t="n"/>
      <c r="V414" s="7">
        <f>IF(L414="","",IF(TODAY()&gt;=L414,"到期","未到期"))</f>
        <v/>
      </c>
      <c r="W414" s="16" t="n"/>
      <c r="X414" s="16" t="n"/>
    </row>
    <row r="415">
      <c r="A415" s="15">
        <f>IF(B415="","","V-"&amp;TEXT(ROW()-1,"000"))</f>
        <v/>
      </c>
      <c r="B415" s="16" t="n"/>
      <c r="C415" s="17" t="n"/>
      <c r="D415" s="16" t="n"/>
      <c r="E415" s="16" t="n"/>
      <c r="F415" s="16" t="n"/>
      <c r="G415" s="16" t="n"/>
      <c r="H415" s="16" t="n"/>
      <c r="I415" s="16" t="n"/>
      <c r="J415" s="18" t="n"/>
      <c r="K415" s="16" t="n"/>
      <c r="L415" s="17" t="n"/>
      <c r="M415" s="18" t="n"/>
      <c r="N415" s="16" t="n"/>
      <c r="O415" s="16" t="n"/>
      <c r="P415" s="16" t="n"/>
      <c r="Q415" s="16" t="n"/>
      <c r="R415" s="16" t="n"/>
      <c r="S415" s="16" t="n"/>
      <c r="T415" s="18" t="n"/>
      <c r="U415" s="18" t="n"/>
      <c r="V415" s="7">
        <f>IF(L415="","",IF(TODAY()&gt;=L415,"到期","未到期"))</f>
        <v/>
      </c>
      <c r="W415" s="16" t="n"/>
      <c r="X415" s="16" t="n"/>
    </row>
    <row r="416">
      <c r="A416" s="15">
        <f>IF(B416="","","V-"&amp;TEXT(ROW()-1,"000"))</f>
        <v/>
      </c>
      <c r="B416" s="16" t="n"/>
      <c r="C416" s="17" t="n"/>
      <c r="D416" s="16" t="n"/>
      <c r="E416" s="16" t="n"/>
      <c r="F416" s="16" t="n"/>
      <c r="G416" s="16" t="n"/>
      <c r="H416" s="16" t="n"/>
      <c r="I416" s="16" t="n"/>
      <c r="J416" s="18" t="n"/>
      <c r="K416" s="16" t="n"/>
      <c r="L416" s="17" t="n"/>
      <c r="M416" s="18" t="n"/>
      <c r="N416" s="16" t="n"/>
      <c r="O416" s="16" t="n"/>
      <c r="P416" s="16" t="n"/>
      <c r="Q416" s="16" t="n"/>
      <c r="R416" s="16" t="n"/>
      <c r="S416" s="16" t="n"/>
      <c r="T416" s="18" t="n"/>
      <c r="U416" s="18" t="n"/>
      <c r="V416" s="7">
        <f>IF(L416="","",IF(TODAY()&gt;=L416,"到期","未到期"))</f>
        <v/>
      </c>
      <c r="W416" s="16" t="n"/>
      <c r="X416" s="16" t="n"/>
    </row>
    <row r="417">
      <c r="A417" s="15">
        <f>IF(B417="","","V-"&amp;TEXT(ROW()-1,"000"))</f>
        <v/>
      </c>
      <c r="B417" s="16" t="n"/>
      <c r="C417" s="17" t="n"/>
      <c r="D417" s="16" t="n"/>
      <c r="E417" s="16" t="n"/>
      <c r="F417" s="16" t="n"/>
      <c r="G417" s="16" t="n"/>
      <c r="H417" s="16" t="n"/>
      <c r="I417" s="16" t="n"/>
      <c r="J417" s="18" t="n"/>
      <c r="K417" s="16" t="n"/>
      <c r="L417" s="17" t="n"/>
      <c r="M417" s="18" t="n"/>
      <c r="N417" s="16" t="n"/>
      <c r="O417" s="16" t="n"/>
      <c r="P417" s="16" t="n"/>
      <c r="Q417" s="16" t="n"/>
      <c r="R417" s="16" t="n"/>
      <c r="S417" s="16" t="n"/>
      <c r="T417" s="18" t="n"/>
      <c r="U417" s="18" t="n"/>
      <c r="V417" s="7">
        <f>IF(L417="","",IF(TODAY()&gt;=L417,"到期","未到期"))</f>
        <v/>
      </c>
      <c r="W417" s="16" t="n"/>
      <c r="X417" s="16" t="n"/>
    </row>
    <row r="418">
      <c r="A418" s="15">
        <f>IF(B418="","","V-"&amp;TEXT(ROW()-1,"000"))</f>
        <v/>
      </c>
      <c r="B418" s="16" t="n"/>
      <c r="C418" s="17" t="n"/>
      <c r="D418" s="16" t="n"/>
      <c r="E418" s="16" t="n"/>
      <c r="F418" s="16" t="n"/>
      <c r="G418" s="16" t="n"/>
      <c r="H418" s="16" t="n"/>
      <c r="I418" s="16" t="n"/>
      <c r="J418" s="18" t="n"/>
      <c r="K418" s="16" t="n"/>
      <c r="L418" s="17" t="n"/>
      <c r="M418" s="18" t="n"/>
      <c r="N418" s="16" t="n"/>
      <c r="O418" s="16" t="n"/>
      <c r="P418" s="16" t="n"/>
      <c r="Q418" s="16" t="n"/>
      <c r="R418" s="16" t="n"/>
      <c r="S418" s="16" t="n"/>
      <c r="T418" s="18" t="n"/>
      <c r="U418" s="18" t="n"/>
      <c r="V418" s="7">
        <f>IF(L418="","",IF(TODAY()&gt;=L418,"到期","未到期"))</f>
        <v/>
      </c>
      <c r="W418" s="16" t="n"/>
      <c r="X418" s="16" t="n"/>
    </row>
    <row r="419">
      <c r="A419" s="15">
        <f>IF(B419="","","V-"&amp;TEXT(ROW()-1,"000"))</f>
        <v/>
      </c>
      <c r="B419" s="16" t="n"/>
      <c r="C419" s="17" t="n"/>
      <c r="D419" s="16" t="n"/>
      <c r="E419" s="16" t="n"/>
      <c r="F419" s="16" t="n"/>
      <c r="G419" s="16" t="n"/>
      <c r="H419" s="16" t="n"/>
      <c r="I419" s="16" t="n"/>
      <c r="J419" s="18" t="n"/>
      <c r="K419" s="16" t="n"/>
      <c r="L419" s="17" t="n"/>
      <c r="M419" s="18" t="n"/>
      <c r="N419" s="16" t="n"/>
      <c r="O419" s="16" t="n"/>
      <c r="P419" s="16" t="n"/>
      <c r="Q419" s="16" t="n"/>
      <c r="R419" s="16" t="n"/>
      <c r="S419" s="16" t="n"/>
      <c r="T419" s="18" t="n"/>
      <c r="U419" s="18" t="n"/>
      <c r="V419" s="7">
        <f>IF(L419="","",IF(TODAY()&gt;=L419,"到期","未到期"))</f>
        <v/>
      </c>
      <c r="W419" s="16" t="n"/>
      <c r="X419" s="16" t="n"/>
    </row>
    <row r="420">
      <c r="A420" s="15">
        <f>IF(B420="","","V-"&amp;TEXT(ROW()-1,"000"))</f>
        <v/>
      </c>
      <c r="B420" s="16" t="n"/>
      <c r="C420" s="17" t="n"/>
      <c r="D420" s="16" t="n"/>
      <c r="E420" s="16" t="n"/>
      <c r="F420" s="16" t="n"/>
      <c r="G420" s="16" t="n"/>
      <c r="H420" s="16" t="n"/>
      <c r="I420" s="16" t="n"/>
      <c r="J420" s="18" t="n"/>
      <c r="K420" s="16" t="n"/>
      <c r="L420" s="17" t="n"/>
      <c r="M420" s="18" t="n"/>
      <c r="N420" s="16" t="n"/>
      <c r="O420" s="16" t="n"/>
      <c r="P420" s="16" t="n"/>
      <c r="Q420" s="16" t="n"/>
      <c r="R420" s="16" t="n"/>
      <c r="S420" s="16" t="n"/>
      <c r="T420" s="18" t="n"/>
      <c r="U420" s="18" t="n"/>
      <c r="V420" s="7">
        <f>IF(L420="","",IF(TODAY()&gt;=L420,"到期","未到期"))</f>
        <v/>
      </c>
      <c r="W420" s="16" t="n"/>
      <c r="X420" s="16" t="n"/>
    </row>
    <row r="421">
      <c r="A421" s="15">
        <f>IF(B421="","","V-"&amp;TEXT(ROW()-1,"000"))</f>
        <v/>
      </c>
      <c r="B421" s="16" t="n"/>
      <c r="C421" s="17" t="n"/>
      <c r="D421" s="16" t="n"/>
      <c r="E421" s="16" t="n"/>
      <c r="F421" s="16" t="n"/>
      <c r="G421" s="16" t="n"/>
      <c r="H421" s="16" t="n"/>
      <c r="I421" s="16" t="n"/>
      <c r="J421" s="18" t="n"/>
      <c r="K421" s="16" t="n"/>
      <c r="L421" s="17" t="n"/>
      <c r="M421" s="18" t="n"/>
      <c r="N421" s="16" t="n"/>
      <c r="O421" s="16" t="n"/>
      <c r="P421" s="16" t="n"/>
      <c r="Q421" s="16" t="n"/>
      <c r="R421" s="16" t="n"/>
      <c r="S421" s="16" t="n"/>
      <c r="T421" s="18" t="n"/>
      <c r="U421" s="18" t="n"/>
      <c r="V421" s="7">
        <f>IF(L421="","",IF(TODAY()&gt;=L421,"到期","未到期"))</f>
        <v/>
      </c>
      <c r="W421" s="16" t="n"/>
      <c r="X421" s="16" t="n"/>
    </row>
    <row r="422">
      <c r="A422" s="15">
        <f>IF(B422="","","V-"&amp;TEXT(ROW()-1,"000"))</f>
        <v/>
      </c>
      <c r="B422" s="16" t="n"/>
      <c r="C422" s="17" t="n"/>
      <c r="D422" s="16" t="n"/>
      <c r="E422" s="16" t="n"/>
      <c r="F422" s="16" t="n"/>
      <c r="G422" s="16" t="n"/>
      <c r="H422" s="16" t="n"/>
      <c r="I422" s="16" t="n"/>
      <c r="J422" s="18" t="n"/>
      <c r="K422" s="16" t="n"/>
      <c r="L422" s="17" t="n"/>
      <c r="M422" s="18" t="n"/>
      <c r="N422" s="16" t="n"/>
      <c r="O422" s="16" t="n"/>
      <c r="P422" s="16" t="n"/>
      <c r="Q422" s="16" t="n"/>
      <c r="R422" s="16" t="n"/>
      <c r="S422" s="16" t="n"/>
      <c r="T422" s="18" t="n"/>
      <c r="U422" s="18" t="n"/>
      <c r="V422" s="7">
        <f>IF(L422="","",IF(TODAY()&gt;=L422,"到期","未到期"))</f>
        <v/>
      </c>
      <c r="W422" s="16" t="n"/>
      <c r="X422" s="16" t="n"/>
    </row>
    <row r="423">
      <c r="A423" s="15">
        <f>IF(B423="","","V-"&amp;TEXT(ROW()-1,"000"))</f>
        <v/>
      </c>
      <c r="B423" s="16" t="n"/>
      <c r="C423" s="17" t="n"/>
      <c r="D423" s="16" t="n"/>
      <c r="E423" s="16" t="n"/>
      <c r="F423" s="16" t="n"/>
      <c r="G423" s="16" t="n"/>
      <c r="H423" s="16" t="n"/>
      <c r="I423" s="16" t="n"/>
      <c r="J423" s="18" t="n"/>
      <c r="K423" s="16" t="n"/>
      <c r="L423" s="17" t="n"/>
      <c r="M423" s="18" t="n"/>
      <c r="N423" s="16" t="n"/>
      <c r="O423" s="16" t="n"/>
      <c r="P423" s="16" t="n"/>
      <c r="Q423" s="16" t="n"/>
      <c r="R423" s="16" t="n"/>
      <c r="S423" s="16" t="n"/>
      <c r="T423" s="18" t="n"/>
      <c r="U423" s="18" t="n"/>
      <c r="V423" s="7">
        <f>IF(L423="","",IF(TODAY()&gt;=L423,"到期","未到期"))</f>
        <v/>
      </c>
      <c r="W423" s="16" t="n"/>
      <c r="X423" s="16" t="n"/>
    </row>
    <row r="424">
      <c r="A424" s="15">
        <f>IF(B424="","","V-"&amp;TEXT(ROW()-1,"000"))</f>
        <v/>
      </c>
      <c r="B424" s="16" t="n"/>
      <c r="C424" s="17" t="n"/>
      <c r="D424" s="16" t="n"/>
      <c r="E424" s="16" t="n"/>
      <c r="F424" s="16" t="n"/>
      <c r="G424" s="16" t="n"/>
      <c r="H424" s="16" t="n"/>
      <c r="I424" s="16" t="n"/>
      <c r="J424" s="18" t="n"/>
      <c r="K424" s="16" t="n"/>
      <c r="L424" s="17" t="n"/>
      <c r="M424" s="18" t="n"/>
      <c r="N424" s="16" t="n"/>
      <c r="O424" s="16" t="n"/>
      <c r="P424" s="16" t="n"/>
      <c r="Q424" s="16" t="n"/>
      <c r="R424" s="16" t="n"/>
      <c r="S424" s="16" t="n"/>
      <c r="T424" s="18" t="n"/>
      <c r="U424" s="18" t="n"/>
      <c r="V424" s="7">
        <f>IF(L424="","",IF(TODAY()&gt;=L424,"到期","未到期"))</f>
        <v/>
      </c>
      <c r="W424" s="16" t="n"/>
      <c r="X424" s="16" t="n"/>
    </row>
    <row r="425">
      <c r="A425" s="15">
        <f>IF(B425="","","V-"&amp;TEXT(ROW()-1,"000"))</f>
        <v/>
      </c>
      <c r="B425" s="16" t="n"/>
      <c r="C425" s="17" t="n"/>
      <c r="D425" s="16" t="n"/>
      <c r="E425" s="16" t="n"/>
      <c r="F425" s="16" t="n"/>
      <c r="G425" s="16" t="n"/>
      <c r="H425" s="16" t="n"/>
      <c r="I425" s="16" t="n"/>
      <c r="J425" s="18" t="n"/>
      <c r="K425" s="16" t="n"/>
      <c r="L425" s="17" t="n"/>
      <c r="M425" s="18" t="n"/>
      <c r="N425" s="16" t="n"/>
      <c r="O425" s="16" t="n"/>
      <c r="P425" s="16" t="n"/>
      <c r="Q425" s="16" t="n"/>
      <c r="R425" s="16" t="n"/>
      <c r="S425" s="16" t="n"/>
      <c r="T425" s="18" t="n"/>
      <c r="U425" s="18" t="n"/>
      <c r="V425" s="7">
        <f>IF(L425="","",IF(TODAY()&gt;=L425,"到期","未到期"))</f>
        <v/>
      </c>
      <c r="W425" s="16" t="n"/>
      <c r="X425" s="16" t="n"/>
    </row>
    <row r="426">
      <c r="A426" s="15">
        <f>IF(B426="","","V-"&amp;TEXT(ROW()-1,"000"))</f>
        <v/>
      </c>
      <c r="B426" s="16" t="n"/>
      <c r="C426" s="17" t="n"/>
      <c r="D426" s="16" t="n"/>
      <c r="E426" s="16" t="n"/>
      <c r="F426" s="16" t="n"/>
      <c r="G426" s="16" t="n"/>
      <c r="H426" s="16" t="n"/>
      <c r="I426" s="16" t="n"/>
      <c r="J426" s="18" t="n"/>
      <c r="K426" s="16" t="n"/>
      <c r="L426" s="17" t="n"/>
      <c r="M426" s="18" t="n"/>
      <c r="N426" s="16" t="n"/>
      <c r="O426" s="16" t="n"/>
      <c r="P426" s="16" t="n"/>
      <c r="Q426" s="16" t="n"/>
      <c r="R426" s="16" t="n"/>
      <c r="S426" s="16" t="n"/>
      <c r="T426" s="18" t="n"/>
      <c r="U426" s="18" t="n"/>
      <c r="V426" s="7">
        <f>IF(L426="","",IF(TODAY()&gt;=L426,"到期","未到期"))</f>
        <v/>
      </c>
      <c r="W426" s="16" t="n"/>
      <c r="X426" s="16" t="n"/>
    </row>
    <row r="427">
      <c r="A427" s="15">
        <f>IF(B427="","","V-"&amp;TEXT(ROW()-1,"000"))</f>
        <v/>
      </c>
      <c r="B427" s="16" t="n"/>
      <c r="C427" s="17" t="n"/>
      <c r="D427" s="16" t="n"/>
      <c r="E427" s="16" t="n"/>
      <c r="F427" s="16" t="n"/>
      <c r="G427" s="16" t="n"/>
      <c r="H427" s="16" t="n"/>
      <c r="I427" s="16" t="n"/>
      <c r="J427" s="18" t="n"/>
      <c r="K427" s="16" t="n"/>
      <c r="L427" s="17" t="n"/>
      <c r="M427" s="18" t="n"/>
      <c r="N427" s="16" t="n"/>
      <c r="O427" s="16" t="n"/>
      <c r="P427" s="16" t="n"/>
      <c r="Q427" s="16" t="n"/>
      <c r="R427" s="16" t="n"/>
      <c r="S427" s="16" t="n"/>
      <c r="T427" s="18" t="n"/>
      <c r="U427" s="18" t="n"/>
      <c r="V427" s="7">
        <f>IF(L427="","",IF(TODAY()&gt;=L427,"到期","未到期"))</f>
        <v/>
      </c>
      <c r="W427" s="16" t="n"/>
      <c r="X427" s="16" t="n"/>
    </row>
    <row r="428">
      <c r="A428" s="15">
        <f>IF(B428="","","V-"&amp;TEXT(ROW()-1,"000"))</f>
        <v/>
      </c>
      <c r="B428" s="16" t="n"/>
      <c r="C428" s="17" t="n"/>
      <c r="D428" s="16" t="n"/>
      <c r="E428" s="16" t="n"/>
      <c r="F428" s="16" t="n"/>
      <c r="G428" s="16" t="n"/>
      <c r="H428" s="16" t="n"/>
      <c r="I428" s="16" t="n"/>
      <c r="J428" s="18" t="n"/>
      <c r="K428" s="16" t="n"/>
      <c r="L428" s="17" t="n"/>
      <c r="M428" s="18" t="n"/>
      <c r="N428" s="16" t="n"/>
      <c r="O428" s="16" t="n"/>
      <c r="P428" s="16" t="n"/>
      <c r="Q428" s="16" t="n"/>
      <c r="R428" s="16" t="n"/>
      <c r="S428" s="16" t="n"/>
      <c r="T428" s="18" t="n"/>
      <c r="U428" s="18" t="n"/>
      <c r="V428" s="7">
        <f>IF(L428="","",IF(TODAY()&gt;=L428,"到期","未到期"))</f>
        <v/>
      </c>
      <c r="W428" s="16" t="n"/>
      <c r="X428" s="16" t="n"/>
    </row>
    <row r="429">
      <c r="A429" s="15">
        <f>IF(B429="","","V-"&amp;TEXT(ROW()-1,"000"))</f>
        <v/>
      </c>
      <c r="B429" s="16" t="n"/>
      <c r="C429" s="17" t="n"/>
      <c r="D429" s="16" t="n"/>
      <c r="E429" s="16" t="n"/>
      <c r="F429" s="16" t="n"/>
      <c r="G429" s="16" t="n"/>
      <c r="H429" s="16" t="n"/>
      <c r="I429" s="16" t="n"/>
      <c r="J429" s="18" t="n"/>
      <c r="K429" s="16" t="n"/>
      <c r="L429" s="17" t="n"/>
      <c r="M429" s="18" t="n"/>
      <c r="N429" s="16" t="n"/>
      <c r="O429" s="16" t="n"/>
      <c r="P429" s="16" t="n"/>
      <c r="Q429" s="16" t="n"/>
      <c r="R429" s="16" t="n"/>
      <c r="S429" s="16" t="n"/>
      <c r="T429" s="18" t="n"/>
      <c r="U429" s="18" t="n"/>
      <c r="V429" s="7">
        <f>IF(L429="","",IF(TODAY()&gt;=L429,"到期","未到期"))</f>
        <v/>
      </c>
      <c r="W429" s="16" t="n"/>
      <c r="X429" s="16" t="n"/>
    </row>
    <row r="430">
      <c r="A430" s="15">
        <f>IF(B430="","","V-"&amp;TEXT(ROW()-1,"000"))</f>
        <v/>
      </c>
      <c r="B430" s="16" t="n"/>
      <c r="C430" s="17" t="n"/>
      <c r="D430" s="16" t="n"/>
      <c r="E430" s="16" t="n"/>
      <c r="F430" s="16" t="n"/>
      <c r="G430" s="16" t="n"/>
      <c r="H430" s="16" t="n"/>
      <c r="I430" s="16" t="n"/>
      <c r="J430" s="18" t="n"/>
      <c r="K430" s="16" t="n"/>
      <c r="L430" s="17" t="n"/>
      <c r="M430" s="18" t="n"/>
      <c r="N430" s="16" t="n"/>
      <c r="O430" s="16" t="n"/>
      <c r="P430" s="16" t="n"/>
      <c r="Q430" s="16" t="n"/>
      <c r="R430" s="16" t="n"/>
      <c r="S430" s="16" t="n"/>
      <c r="T430" s="18" t="n"/>
      <c r="U430" s="18" t="n"/>
      <c r="V430" s="7">
        <f>IF(L430="","",IF(TODAY()&gt;=L430,"到期","未到期"))</f>
        <v/>
      </c>
      <c r="W430" s="16" t="n"/>
      <c r="X430" s="16" t="n"/>
    </row>
    <row r="431">
      <c r="A431" s="15">
        <f>IF(B431="","","V-"&amp;TEXT(ROW()-1,"000"))</f>
        <v/>
      </c>
      <c r="B431" s="16" t="n"/>
      <c r="C431" s="17" t="n"/>
      <c r="D431" s="16" t="n"/>
      <c r="E431" s="16" t="n"/>
      <c r="F431" s="16" t="n"/>
      <c r="G431" s="16" t="n"/>
      <c r="H431" s="16" t="n"/>
      <c r="I431" s="16" t="n"/>
      <c r="J431" s="18" t="n"/>
      <c r="K431" s="16" t="n"/>
      <c r="L431" s="17" t="n"/>
      <c r="M431" s="18" t="n"/>
      <c r="N431" s="16" t="n"/>
      <c r="O431" s="16" t="n"/>
      <c r="P431" s="16" t="n"/>
      <c r="Q431" s="16" t="n"/>
      <c r="R431" s="16" t="n"/>
      <c r="S431" s="16" t="n"/>
      <c r="T431" s="18" t="n"/>
      <c r="U431" s="18" t="n"/>
      <c r="V431" s="7">
        <f>IF(L431="","",IF(TODAY()&gt;=L431,"到期","未到期"))</f>
        <v/>
      </c>
      <c r="W431" s="16" t="n"/>
      <c r="X431" s="16" t="n"/>
    </row>
    <row r="432">
      <c r="A432" s="15">
        <f>IF(B432="","","V-"&amp;TEXT(ROW()-1,"000"))</f>
        <v/>
      </c>
      <c r="B432" s="16" t="n"/>
      <c r="C432" s="17" t="n"/>
      <c r="D432" s="16" t="n"/>
      <c r="E432" s="16" t="n"/>
      <c r="F432" s="16" t="n"/>
      <c r="G432" s="16" t="n"/>
      <c r="H432" s="16" t="n"/>
      <c r="I432" s="16" t="n"/>
      <c r="J432" s="18" t="n"/>
      <c r="K432" s="16" t="n"/>
      <c r="L432" s="17" t="n"/>
      <c r="M432" s="18" t="n"/>
      <c r="N432" s="16" t="n"/>
      <c r="O432" s="16" t="n"/>
      <c r="P432" s="16" t="n"/>
      <c r="Q432" s="16" t="n"/>
      <c r="R432" s="16" t="n"/>
      <c r="S432" s="16" t="n"/>
      <c r="T432" s="18" t="n"/>
      <c r="U432" s="18" t="n"/>
      <c r="V432" s="7">
        <f>IF(L432="","",IF(TODAY()&gt;=L432,"到期","未到期"))</f>
        <v/>
      </c>
      <c r="W432" s="16" t="n"/>
      <c r="X432" s="16" t="n"/>
    </row>
    <row r="433">
      <c r="A433" s="15">
        <f>IF(B433="","","V-"&amp;TEXT(ROW()-1,"000"))</f>
        <v/>
      </c>
      <c r="B433" s="16" t="n"/>
      <c r="C433" s="17" t="n"/>
      <c r="D433" s="16" t="n"/>
      <c r="E433" s="16" t="n"/>
      <c r="F433" s="16" t="n"/>
      <c r="G433" s="16" t="n"/>
      <c r="H433" s="16" t="n"/>
      <c r="I433" s="16" t="n"/>
      <c r="J433" s="18" t="n"/>
      <c r="K433" s="16" t="n"/>
      <c r="L433" s="17" t="n"/>
      <c r="M433" s="18" t="n"/>
      <c r="N433" s="16" t="n"/>
      <c r="O433" s="16" t="n"/>
      <c r="P433" s="16" t="n"/>
      <c r="Q433" s="16" t="n"/>
      <c r="R433" s="16" t="n"/>
      <c r="S433" s="16" t="n"/>
      <c r="T433" s="18" t="n"/>
      <c r="U433" s="18" t="n"/>
      <c r="V433" s="7">
        <f>IF(L433="","",IF(TODAY()&gt;=L433,"到期","未到期"))</f>
        <v/>
      </c>
      <c r="W433" s="16" t="n"/>
      <c r="X433" s="16" t="n"/>
    </row>
    <row r="434">
      <c r="A434" s="15">
        <f>IF(B434="","","V-"&amp;TEXT(ROW()-1,"000"))</f>
        <v/>
      </c>
      <c r="B434" s="16" t="n"/>
      <c r="C434" s="17" t="n"/>
      <c r="D434" s="16" t="n"/>
      <c r="E434" s="16" t="n"/>
      <c r="F434" s="16" t="n"/>
      <c r="G434" s="16" t="n"/>
      <c r="H434" s="16" t="n"/>
      <c r="I434" s="16" t="n"/>
      <c r="J434" s="18" t="n"/>
      <c r="K434" s="16" t="n"/>
      <c r="L434" s="17" t="n"/>
      <c r="M434" s="18" t="n"/>
      <c r="N434" s="16" t="n"/>
      <c r="O434" s="16" t="n"/>
      <c r="P434" s="16" t="n"/>
      <c r="Q434" s="16" t="n"/>
      <c r="R434" s="16" t="n"/>
      <c r="S434" s="16" t="n"/>
      <c r="T434" s="18" t="n"/>
      <c r="U434" s="18" t="n"/>
      <c r="V434" s="7">
        <f>IF(L434="","",IF(TODAY()&gt;=L434,"到期","未到期"))</f>
        <v/>
      </c>
      <c r="W434" s="16" t="n"/>
      <c r="X434" s="16" t="n"/>
    </row>
    <row r="435">
      <c r="A435" s="15">
        <f>IF(B435="","","V-"&amp;TEXT(ROW()-1,"000"))</f>
        <v/>
      </c>
      <c r="B435" s="16" t="n"/>
      <c r="C435" s="17" t="n"/>
      <c r="D435" s="16" t="n"/>
      <c r="E435" s="16" t="n"/>
      <c r="F435" s="16" t="n"/>
      <c r="G435" s="16" t="n"/>
      <c r="H435" s="16" t="n"/>
      <c r="I435" s="16" t="n"/>
      <c r="J435" s="18" t="n"/>
      <c r="K435" s="16" t="n"/>
      <c r="L435" s="17" t="n"/>
      <c r="M435" s="18" t="n"/>
      <c r="N435" s="16" t="n"/>
      <c r="O435" s="16" t="n"/>
      <c r="P435" s="16" t="n"/>
      <c r="Q435" s="16" t="n"/>
      <c r="R435" s="16" t="n"/>
      <c r="S435" s="16" t="n"/>
      <c r="T435" s="18" t="n"/>
      <c r="U435" s="18" t="n"/>
      <c r="V435" s="7">
        <f>IF(L435="","",IF(TODAY()&gt;=L435,"到期","未到期"))</f>
        <v/>
      </c>
      <c r="W435" s="16" t="n"/>
      <c r="X435" s="16" t="n"/>
    </row>
    <row r="436">
      <c r="A436" s="15">
        <f>IF(B436="","","V-"&amp;TEXT(ROW()-1,"000"))</f>
        <v/>
      </c>
      <c r="B436" s="16" t="n"/>
      <c r="C436" s="17" t="n"/>
      <c r="D436" s="16" t="n"/>
      <c r="E436" s="16" t="n"/>
      <c r="F436" s="16" t="n"/>
      <c r="G436" s="16" t="n"/>
      <c r="H436" s="16" t="n"/>
      <c r="I436" s="16" t="n"/>
      <c r="J436" s="18" t="n"/>
      <c r="K436" s="16" t="n"/>
      <c r="L436" s="17" t="n"/>
      <c r="M436" s="18" t="n"/>
      <c r="N436" s="16" t="n"/>
      <c r="O436" s="16" t="n"/>
      <c r="P436" s="16" t="n"/>
      <c r="Q436" s="16" t="n"/>
      <c r="R436" s="16" t="n"/>
      <c r="S436" s="16" t="n"/>
      <c r="T436" s="18" t="n"/>
      <c r="U436" s="18" t="n"/>
      <c r="V436" s="7">
        <f>IF(L436="","",IF(TODAY()&gt;=L436,"到期","未到期"))</f>
        <v/>
      </c>
      <c r="W436" s="16" t="n"/>
      <c r="X436" s="16" t="n"/>
    </row>
    <row r="437">
      <c r="A437" s="15">
        <f>IF(B437="","","V-"&amp;TEXT(ROW()-1,"000"))</f>
        <v/>
      </c>
      <c r="B437" s="16" t="n"/>
      <c r="C437" s="17" t="n"/>
      <c r="D437" s="16" t="n"/>
      <c r="E437" s="16" t="n"/>
      <c r="F437" s="16" t="n"/>
      <c r="G437" s="16" t="n"/>
      <c r="H437" s="16" t="n"/>
      <c r="I437" s="16" t="n"/>
      <c r="J437" s="18" t="n"/>
      <c r="K437" s="16" t="n"/>
      <c r="L437" s="17" t="n"/>
      <c r="M437" s="18" t="n"/>
      <c r="N437" s="16" t="n"/>
      <c r="O437" s="16" t="n"/>
      <c r="P437" s="16" t="n"/>
      <c r="Q437" s="16" t="n"/>
      <c r="R437" s="16" t="n"/>
      <c r="S437" s="16" t="n"/>
      <c r="T437" s="18" t="n"/>
      <c r="U437" s="18" t="n"/>
      <c r="V437" s="7">
        <f>IF(L437="","",IF(TODAY()&gt;=L437,"到期","未到期"))</f>
        <v/>
      </c>
      <c r="W437" s="16" t="n"/>
      <c r="X437" s="16" t="n"/>
    </row>
    <row r="438">
      <c r="A438" s="15">
        <f>IF(B438="","","V-"&amp;TEXT(ROW()-1,"000"))</f>
        <v/>
      </c>
      <c r="B438" s="16" t="n"/>
      <c r="C438" s="17" t="n"/>
      <c r="D438" s="16" t="n"/>
      <c r="E438" s="16" t="n"/>
      <c r="F438" s="16" t="n"/>
      <c r="G438" s="16" t="n"/>
      <c r="H438" s="16" t="n"/>
      <c r="I438" s="16" t="n"/>
      <c r="J438" s="18" t="n"/>
      <c r="K438" s="16" t="n"/>
      <c r="L438" s="17" t="n"/>
      <c r="M438" s="18" t="n"/>
      <c r="N438" s="16" t="n"/>
      <c r="O438" s="16" t="n"/>
      <c r="P438" s="16" t="n"/>
      <c r="Q438" s="16" t="n"/>
      <c r="R438" s="16" t="n"/>
      <c r="S438" s="16" t="n"/>
      <c r="T438" s="18" t="n"/>
      <c r="U438" s="18" t="n"/>
      <c r="V438" s="7">
        <f>IF(L438="","",IF(TODAY()&gt;=L438,"到期","未到期"))</f>
        <v/>
      </c>
      <c r="W438" s="16" t="n"/>
      <c r="X438" s="16" t="n"/>
    </row>
    <row r="439">
      <c r="A439" s="15">
        <f>IF(B439="","","V-"&amp;TEXT(ROW()-1,"000"))</f>
        <v/>
      </c>
      <c r="B439" s="16" t="n"/>
      <c r="C439" s="17" t="n"/>
      <c r="D439" s="16" t="n"/>
      <c r="E439" s="16" t="n"/>
      <c r="F439" s="16" t="n"/>
      <c r="G439" s="16" t="n"/>
      <c r="H439" s="16" t="n"/>
      <c r="I439" s="16" t="n"/>
      <c r="J439" s="18" t="n"/>
      <c r="K439" s="16" t="n"/>
      <c r="L439" s="17" t="n"/>
      <c r="M439" s="18" t="n"/>
      <c r="N439" s="16" t="n"/>
      <c r="O439" s="16" t="n"/>
      <c r="P439" s="16" t="n"/>
      <c r="Q439" s="16" t="n"/>
      <c r="R439" s="16" t="n"/>
      <c r="S439" s="16" t="n"/>
      <c r="T439" s="18" t="n"/>
      <c r="U439" s="18" t="n"/>
      <c r="V439" s="7">
        <f>IF(L439="","",IF(TODAY()&gt;=L439,"到期","未到期"))</f>
        <v/>
      </c>
      <c r="W439" s="16" t="n"/>
      <c r="X439" s="16" t="n"/>
    </row>
    <row r="440">
      <c r="A440" s="15">
        <f>IF(B440="","","V-"&amp;TEXT(ROW()-1,"000"))</f>
        <v/>
      </c>
      <c r="B440" s="16" t="n"/>
      <c r="C440" s="17" t="n"/>
      <c r="D440" s="16" t="n"/>
      <c r="E440" s="16" t="n"/>
      <c r="F440" s="16" t="n"/>
      <c r="G440" s="16" t="n"/>
      <c r="H440" s="16" t="n"/>
      <c r="I440" s="16" t="n"/>
      <c r="J440" s="18" t="n"/>
      <c r="K440" s="16" t="n"/>
      <c r="L440" s="17" t="n"/>
      <c r="M440" s="18" t="n"/>
      <c r="N440" s="16" t="n"/>
      <c r="O440" s="16" t="n"/>
      <c r="P440" s="16" t="n"/>
      <c r="Q440" s="16" t="n"/>
      <c r="R440" s="16" t="n"/>
      <c r="S440" s="16" t="n"/>
      <c r="T440" s="18" t="n"/>
      <c r="U440" s="18" t="n"/>
      <c r="V440" s="7">
        <f>IF(L440="","",IF(TODAY()&gt;=L440,"到期","未到期"))</f>
        <v/>
      </c>
      <c r="W440" s="16" t="n"/>
      <c r="X440" s="16" t="n"/>
    </row>
    <row r="441">
      <c r="A441" s="15">
        <f>IF(B441="","","V-"&amp;TEXT(ROW()-1,"000"))</f>
        <v/>
      </c>
      <c r="B441" s="16" t="n"/>
      <c r="C441" s="17" t="n"/>
      <c r="D441" s="16" t="n"/>
      <c r="E441" s="16" t="n"/>
      <c r="F441" s="16" t="n"/>
      <c r="G441" s="16" t="n"/>
      <c r="H441" s="16" t="n"/>
      <c r="I441" s="16" t="n"/>
      <c r="J441" s="18" t="n"/>
      <c r="K441" s="16" t="n"/>
      <c r="L441" s="17" t="n"/>
      <c r="M441" s="18" t="n"/>
      <c r="N441" s="16" t="n"/>
      <c r="O441" s="16" t="n"/>
      <c r="P441" s="16" t="n"/>
      <c r="Q441" s="16" t="n"/>
      <c r="R441" s="16" t="n"/>
      <c r="S441" s="16" t="n"/>
      <c r="T441" s="18" t="n"/>
      <c r="U441" s="18" t="n"/>
      <c r="V441" s="7">
        <f>IF(L441="","",IF(TODAY()&gt;=L441,"到期","未到期"))</f>
        <v/>
      </c>
      <c r="W441" s="16" t="n"/>
      <c r="X441" s="16" t="n"/>
    </row>
    <row r="442">
      <c r="A442" s="15">
        <f>IF(B442="","","V-"&amp;TEXT(ROW()-1,"000"))</f>
        <v/>
      </c>
      <c r="B442" s="16" t="n"/>
      <c r="C442" s="17" t="n"/>
      <c r="D442" s="16" t="n"/>
      <c r="E442" s="16" t="n"/>
      <c r="F442" s="16" t="n"/>
      <c r="G442" s="16" t="n"/>
      <c r="H442" s="16" t="n"/>
      <c r="I442" s="16" t="n"/>
      <c r="J442" s="18" t="n"/>
      <c r="K442" s="16" t="n"/>
      <c r="L442" s="17" t="n"/>
      <c r="M442" s="18" t="n"/>
      <c r="N442" s="16" t="n"/>
      <c r="O442" s="16" t="n"/>
      <c r="P442" s="16" t="n"/>
      <c r="Q442" s="16" t="n"/>
      <c r="R442" s="16" t="n"/>
      <c r="S442" s="16" t="n"/>
      <c r="T442" s="18" t="n"/>
      <c r="U442" s="18" t="n"/>
      <c r="V442" s="7">
        <f>IF(L442="","",IF(TODAY()&gt;=L442,"到期","未到期"))</f>
        <v/>
      </c>
      <c r="W442" s="16" t="n"/>
      <c r="X442" s="16" t="n"/>
    </row>
    <row r="443">
      <c r="A443" s="15">
        <f>IF(B443="","","V-"&amp;TEXT(ROW()-1,"000"))</f>
        <v/>
      </c>
      <c r="B443" s="16" t="n"/>
      <c r="C443" s="17" t="n"/>
      <c r="D443" s="16" t="n"/>
      <c r="E443" s="16" t="n"/>
      <c r="F443" s="16" t="n"/>
      <c r="G443" s="16" t="n"/>
      <c r="H443" s="16" t="n"/>
      <c r="I443" s="16" t="n"/>
      <c r="J443" s="18" t="n"/>
      <c r="K443" s="16" t="n"/>
      <c r="L443" s="17" t="n"/>
      <c r="M443" s="18" t="n"/>
      <c r="N443" s="16" t="n"/>
      <c r="O443" s="16" t="n"/>
      <c r="P443" s="16" t="n"/>
      <c r="Q443" s="16" t="n"/>
      <c r="R443" s="16" t="n"/>
      <c r="S443" s="16" t="n"/>
      <c r="T443" s="18" t="n"/>
      <c r="U443" s="18" t="n"/>
      <c r="V443" s="7">
        <f>IF(L443="","",IF(TODAY()&gt;=L443,"到期","未到期"))</f>
        <v/>
      </c>
      <c r="W443" s="16" t="n"/>
      <c r="X443" s="16" t="n"/>
    </row>
    <row r="444">
      <c r="A444" s="15">
        <f>IF(B444="","","V-"&amp;TEXT(ROW()-1,"000"))</f>
        <v/>
      </c>
      <c r="B444" s="16" t="n"/>
      <c r="C444" s="17" t="n"/>
      <c r="D444" s="16" t="n"/>
      <c r="E444" s="16" t="n"/>
      <c r="F444" s="16" t="n"/>
      <c r="G444" s="16" t="n"/>
      <c r="H444" s="16" t="n"/>
      <c r="I444" s="16" t="n"/>
      <c r="J444" s="18" t="n"/>
      <c r="K444" s="16" t="n"/>
      <c r="L444" s="17" t="n"/>
      <c r="M444" s="18" t="n"/>
      <c r="N444" s="16" t="n"/>
      <c r="O444" s="16" t="n"/>
      <c r="P444" s="16" t="n"/>
      <c r="Q444" s="16" t="n"/>
      <c r="R444" s="16" t="n"/>
      <c r="S444" s="16" t="n"/>
      <c r="T444" s="18" t="n"/>
      <c r="U444" s="18" t="n"/>
      <c r="V444" s="7">
        <f>IF(L444="","",IF(TODAY()&gt;=L444,"到期","未到期"))</f>
        <v/>
      </c>
      <c r="W444" s="16" t="n"/>
      <c r="X444" s="16" t="n"/>
    </row>
    <row r="445">
      <c r="A445" s="15">
        <f>IF(B445="","","V-"&amp;TEXT(ROW()-1,"000"))</f>
        <v/>
      </c>
      <c r="B445" s="16" t="n"/>
      <c r="C445" s="17" t="n"/>
      <c r="D445" s="16" t="n"/>
      <c r="E445" s="16" t="n"/>
      <c r="F445" s="16" t="n"/>
      <c r="G445" s="16" t="n"/>
      <c r="H445" s="16" t="n"/>
      <c r="I445" s="16" t="n"/>
      <c r="J445" s="18" t="n"/>
      <c r="K445" s="16" t="n"/>
      <c r="L445" s="17" t="n"/>
      <c r="M445" s="18" t="n"/>
      <c r="N445" s="16" t="n"/>
      <c r="O445" s="16" t="n"/>
      <c r="P445" s="16" t="n"/>
      <c r="Q445" s="16" t="n"/>
      <c r="R445" s="16" t="n"/>
      <c r="S445" s="16" t="n"/>
      <c r="T445" s="18" t="n"/>
      <c r="U445" s="18" t="n"/>
      <c r="V445" s="7">
        <f>IF(L445="","",IF(TODAY()&gt;=L445,"到期","未到期"))</f>
        <v/>
      </c>
      <c r="W445" s="16" t="n"/>
      <c r="X445" s="16" t="n"/>
    </row>
    <row r="446">
      <c r="A446" s="15">
        <f>IF(B446="","","V-"&amp;TEXT(ROW()-1,"000"))</f>
        <v/>
      </c>
      <c r="B446" s="16" t="n"/>
      <c r="C446" s="17" t="n"/>
      <c r="D446" s="16" t="n"/>
      <c r="E446" s="16" t="n"/>
      <c r="F446" s="16" t="n"/>
      <c r="G446" s="16" t="n"/>
      <c r="H446" s="16" t="n"/>
      <c r="I446" s="16" t="n"/>
      <c r="J446" s="18" t="n"/>
      <c r="K446" s="16" t="n"/>
      <c r="L446" s="17" t="n"/>
      <c r="M446" s="18" t="n"/>
      <c r="N446" s="16" t="n"/>
      <c r="O446" s="16" t="n"/>
      <c r="P446" s="16" t="n"/>
      <c r="Q446" s="16" t="n"/>
      <c r="R446" s="16" t="n"/>
      <c r="S446" s="16" t="n"/>
      <c r="T446" s="18" t="n"/>
      <c r="U446" s="18" t="n"/>
      <c r="V446" s="7">
        <f>IF(L446="","",IF(TODAY()&gt;=L446,"到期","未到期"))</f>
        <v/>
      </c>
      <c r="W446" s="16" t="n"/>
      <c r="X446" s="16" t="n"/>
    </row>
    <row r="447">
      <c r="A447" s="15">
        <f>IF(B447="","","V-"&amp;TEXT(ROW()-1,"000"))</f>
        <v/>
      </c>
      <c r="B447" s="16" t="n"/>
      <c r="C447" s="17" t="n"/>
      <c r="D447" s="16" t="n"/>
      <c r="E447" s="16" t="n"/>
      <c r="F447" s="16" t="n"/>
      <c r="G447" s="16" t="n"/>
      <c r="H447" s="16" t="n"/>
      <c r="I447" s="16" t="n"/>
      <c r="J447" s="18" t="n"/>
      <c r="K447" s="16" t="n"/>
      <c r="L447" s="17" t="n"/>
      <c r="M447" s="18" t="n"/>
      <c r="N447" s="16" t="n"/>
      <c r="O447" s="16" t="n"/>
      <c r="P447" s="16" t="n"/>
      <c r="Q447" s="16" t="n"/>
      <c r="R447" s="16" t="n"/>
      <c r="S447" s="16" t="n"/>
      <c r="T447" s="18" t="n"/>
      <c r="U447" s="18" t="n"/>
      <c r="V447" s="7">
        <f>IF(L447="","",IF(TODAY()&gt;=L447,"到期","未到期"))</f>
        <v/>
      </c>
      <c r="W447" s="16" t="n"/>
      <c r="X447" s="16" t="n"/>
    </row>
    <row r="448">
      <c r="A448" s="15">
        <f>IF(B448="","","V-"&amp;TEXT(ROW()-1,"000"))</f>
        <v/>
      </c>
      <c r="B448" s="16" t="n"/>
      <c r="C448" s="17" t="n"/>
      <c r="D448" s="16" t="n"/>
      <c r="E448" s="16" t="n"/>
      <c r="F448" s="16" t="n"/>
      <c r="G448" s="16" t="n"/>
      <c r="H448" s="16" t="n"/>
      <c r="I448" s="16" t="n"/>
      <c r="J448" s="18" t="n"/>
      <c r="K448" s="16" t="n"/>
      <c r="L448" s="17" t="n"/>
      <c r="M448" s="18" t="n"/>
      <c r="N448" s="16" t="n"/>
      <c r="O448" s="16" t="n"/>
      <c r="P448" s="16" t="n"/>
      <c r="Q448" s="16" t="n"/>
      <c r="R448" s="16" t="n"/>
      <c r="S448" s="16" t="n"/>
      <c r="T448" s="18" t="n"/>
      <c r="U448" s="18" t="n"/>
      <c r="V448" s="7">
        <f>IF(L448="","",IF(TODAY()&gt;=L448,"到期","未到期"))</f>
        <v/>
      </c>
      <c r="W448" s="16" t="n"/>
      <c r="X448" s="16" t="n"/>
    </row>
    <row r="449">
      <c r="A449" s="15">
        <f>IF(B449="","","V-"&amp;TEXT(ROW()-1,"000"))</f>
        <v/>
      </c>
      <c r="B449" s="16" t="n"/>
      <c r="C449" s="17" t="n"/>
      <c r="D449" s="16" t="n"/>
      <c r="E449" s="16" t="n"/>
      <c r="F449" s="16" t="n"/>
      <c r="G449" s="16" t="n"/>
      <c r="H449" s="16" t="n"/>
      <c r="I449" s="16" t="n"/>
      <c r="J449" s="18" t="n"/>
      <c r="K449" s="16" t="n"/>
      <c r="L449" s="17" t="n"/>
      <c r="M449" s="18" t="n"/>
      <c r="N449" s="16" t="n"/>
      <c r="O449" s="16" t="n"/>
      <c r="P449" s="16" t="n"/>
      <c r="Q449" s="16" t="n"/>
      <c r="R449" s="16" t="n"/>
      <c r="S449" s="16" t="n"/>
      <c r="T449" s="18" t="n"/>
      <c r="U449" s="18" t="n"/>
      <c r="V449" s="7">
        <f>IF(L449="","",IF(TODAY()&gt;=L449,"到期","未到期"))</f>
        <v/>
      </c>
      <c r="W449" s="16" t="n"/>
      <c r="X449" s="16" t="n"/>
    </row>
    <row r="450">
      <c r="A450" s="15">
        <f>IF(B450="","","V-"&amp;TEXT(ROW()-1,"000"))</f>
        <v/>
      </c>
      <c r="B450" s="16" t="n"/>
      <c r="C450" s="17" t="n"/>
      <c r="D450" s="16" t="n"/>
      <c r="E450" s="16" t="n"/>
      <c r="F450" s="16" t="n"/>
      <c r="G450" s="16" t="n"/>
      <c r="H450" s="16" t="n"/>
      <c r="I450" s="16" t="n"/>
      <c r="J450" s="18" t="n"/>
      <c r="K450" s="16" t="n"/>
      <c r="L450" s="17" t="n"/>
      <c r="M450" s="18" t="n"/>
      <c r="N450" s="16" t="n"/>
      <c r="O450" s="16" t="n"/>
      <c r="P450" s="16" t="n"/>
      <c r="Q450" s="16" t="n"/>
      <c r="R450" s="16" t="n"/>
      <c r="S450" s="16" t="n"/>
      <c r="T450" s="18" t="n"/>
      <c r="U450" s="18" t="n"/>
      <c r="V450" s="7">
        <f>IF(L450="","",IF(TODAY()&gt;=L450,"到期","未到期"))</f>
        <v/>
      </c>
      <c r="W450" s="16" t="n"/>
      <c r="X450" s="16" t="n"/>
    </row>
    <row r="451">
      <c r="A451" s="15">
        <f>IF(B451="","","V-"&amp;TEXT(ROW()-1,"000"))</f>
        <v/>
      </c>
      <c r="B451" s="16" t="n"/>
      <c r="C451" s="17" t="n"/>
      <c r="D451" s="16" t="n"/>
      <c r="E451" s="16" t="n"/>
      <c r="F451" s="16" t="n"/>
      <c r="G451" s="16" t="n"/>
      <c r="H451" s="16" t="n"/>
      <c r="I451" s="16" t="n"/>
      <c r="J451" s="18" t="n"/>
      <c r="K451" s="16" t="n"/>
      <c r="L451" s="17" t="n"/>
      <c r="M451" s="18" t="n"/>
      <c r="N451" s="16" t="n"/>
      <c r="O451" s="16" t="n"/>
      <c r="P451" s="16" t="n"/>
      <c r="Q451" s="16" t="n"/>
      <c r="R451" s="16" t="n"/>
      <c r="S451" s="16" t="n"/>
      <c r="T451" s="18" t="n"/>
      <c r="U451" s="18" t="n"/>
      <c r="V451" s="7">
        <f>IF(L451="","",IF(TODAY()&gt;=L451,"到期","未到期"))</f>
        <v/>
      </c>
      <c r="W451" s="16" t="n"/>
      <c r="X451" s="16" t="n"/>
    </row>
    <row r="452">
      <c r="A452" s="15">
        <f>IF(B452="","","V-"&amp;TEXT(ROW()-1,"000"))</f>
        <v/>
      </c>
      <c r="B452" s="16" t="n"/>
      <c r="C452" s="17" t="n"/>
      <c r="D452" s="16" t="n"/>
      <c r="E452" s="16" t="n"/>
      <c r="F452" s="16" t="n"/>
      <c r="G452" s="16" t="n"/>
      <c r="H452" s="16" t="n"/>
      <c r="I452" s="16" t="n"/>
      <c r="J452" s="18" t="n"/>
      <c r="K452" s="16" t="n"/>
      <c r="L452" s="17" t="n"/>
      <c r="M452" s="18" t="n"/>
      <c r="N452" s="16" t="n"/>
      <c r="O452" s="16" t="n"/>
      <c r="P452" s="16" t="n"/>
      <c r="Q452" s="16" t="n"/>
      <c r="R452" s="16" t="n"/>
      <c r="S452" s="16" t="n"/>
      <c r="T452" s="18" t="n"/>
      <c r="U452" s="18" t="n"/>
      <c r="V452" s="7">
        <f>IF(L452="","",IF(TODAY()&gt;=L452,"到期","未到期"))</f>
        <v/>
      </c>
      <c r="W452" s="16" t="n"/>
      <c r="X452" s="16" t="n"/>
    </row>
    <row r="453">
      <c r="A453" s="15">
        <f>IF(B453="","","V-"&amp;TEXT(ROW()-1,"000"))</f>
        <v/>
      </c>
      <c r="B453" s="16" t="n"/>
      <c r="C453" s="17" t="n"/>
      <c r="D453" s="16" t="n"/>
      <c r="E453" s="16" t="n"/>
      <c r="F453" s="16" t="n"/>
      <c r="G453" s="16" t="n"/>
      <c r="H453" s="16" t="n"/>
      <c r="I453" s="16" t="n"/>
      <c r="J453" s="18" t="n"/>
      <c r="K453" s="16" t="n"/>
      <c r="L453" s="17" t="n"/>
      <c r="M453" s="18" t="n"/>
      <c r="N453" s="16" t="n"/>
      <c r="O453" s="16" t="n"/>
      <c r="P453" s="16" t="n"/>
      <c r="Q453" s="16" t="n"/>
      <c r="R453" s="16" t="n"/>
      <c r="S453" s="16" t="n"/>
      <c r="T453" s="18" t="n"/>
      <c r="U453" s="18" t="n"/>
      <c r="V453" s="7">
        <f>IF(L453="","",IF(TODAY()&gt;=L453,"到期","未到期"))</f>
        <v/>
      </c>
      <c r="W453" s="16" t="n"/>
      <c r="X453" s="16" t="n"/>
    </row>
    <row r="454">
      <c r="A454" s="15">
        <f>IF(B454="","","V-"&amp;TEXT(ROW()-1,"000"))</f>
        <v/>
      </c>
      <c r="B454" s="16" t="n"/>
      <c r="C454" s="17" t="n"/>
      <c r="D454" s="16" t="n"/>
      <c r="E454" s="16" t="n"/>
      <c r="F454" s="16" t="n"/>
      <c r="G454" s="16" t="n"/>
      <c r="H454" s="16" t="n"/>
      <c r="I454" s="16" t="n"/>
      <c r="J454" s="18" t="n"/>
      <c r="K454" s="16" t="n"/>
      <c r="L454" s="17" t="n"/>
      <c r="M454" s="18" t="n"/>
      <c r="N454" s="16" t="n"/>
      <c r="O454" s="16" t="n"/>
      <c r="P454" s="16" t="n"/>
      <c r="Q454" s="16" t="n"/>
      <c r="R454" s="16" t="n"/>
      <c r="S454" s="16" t="n"/>
      <c r="T454" s="18" t="n"/>
      <c r="U454" s="18" t="n"/>
      <c r="V454" s="7">
        <f>IF(L454="","",IF(TODAY()&gt;=L454,"到期","未到期"))</f>
        <v/>
      </c>
      <c r="W454" s="16" t="n"/>
      <c r="X454" s="16" t="n"/>
    </row>
    <row r="455">
      <c r="A455" s="15">
        <f>IF(B455="","","V-"&amp;TEXT(ROW()-1,"000"))</f>
        <v/>
      </c>
      <c r="B455" s="16" t="n"/>
      <c r="C455" s="17" t="n"/>
      <c r="D455" s="16" t="n"/>
      <c r="E455" s="16" t="n"/>
      <c r="F455" s="16" t="n"/>
      <c r="G455" s="16" t="n"/>
      <c r="H455" s="16" t="n"/>
      <c r="I455" s="16" t="n"/>
      <c r="J455" s="18" t="n"/>
      <c r="K455" s="16" t="n"/>
      <c r="L455" s="17" t="n"/>
      <c r="M455" s="18" t="n"/>
      <c r="N455" s="16" t="n"/>
      <c r="O455" s="16" t="n"/>
      <c r="P455" s="16" t="n"/>
      <c r="Q455" s="16" t="n"/>
      <c r="R455" s="16" t="n"/>
      <c r="S455" s="16" t="n"/>
      <c r="T455" s="18" t="n"/>
      <c r="U455" s="18" t="n"/>
      <c r="V455" s="7">
        <f>IF(L455="","",IF(TODAY()&gt;=L455,"到期","未到期"))</f>
        <v/>
      </c>
      <c r="W455" s="16" t="n"/>
      <c r="X455" s="16" t="n"/>
    </row>
    <row r="456">
      <c r="A456" s="15">
        <f>IF(B456="","","V-"&amp;TEXT(ROW()-1,"000"))</f>
        <v/>
      </c>
      <c r="B456" s="16" t="n"/>
      <c r="C456" s="17" t="n"/>
      <c r="D456" s="16" t="n"/>
      <c r="E456" s="16" t="n"/>
      <c r="F456" s="16" t="n"/>
      <c r="G456" s="16" t="n"/>
      <c r="H456" s="16" t="n"/>
      <c r="I456" s="16" t="n"/>
      <c r="J456" s="18" t="n"/>
      <c r="K456" s="16" t="n"/>
      <c r="L456" s="17" t="n"/>
      <c r="M456" s="18" t="n"/>
      <c r="N456" s="16" t="n"/>
      <c r="O456" s="16" t="n"/>
      <c r="P456" s="16" t="n"/>
      <c r="Q456" s="16" t="n"/>
      <c r="R456" s="16" t="n"/>
      <c r="S456" s="16" t="n"/>
      <c r="T456" s="18" t="n"/>
      <c r="U456" s="18" t="n"/>
      <c r="V456" s="7">
        <f>IF(L456="","",IF(TODAY()&gt;=L456,"到期","未到期"))</f>
        <v/>
      </c>
      <c r="W456" s="16" t="n"/>
      <c r="X456" s="16" t="n"/>
    </row>
    <row r="457">
      <c r="A457" s="15">
        <f>IF(B457="","","V-"&amp;TEXT(ROW()-1,"000"))</f>
        <v/>
      </c>
      <c r="B457" s="16" t="n"/>
      <c r="C457" s="17" t="n"/>
      <c r="D457" s="16" t="n"/>
      <c r="E457" s="16" t="n"/>
      <c r="F457" s="16" t="n"/>
      <c r="G457" s="16" t="n"/>
      <c r="H457" s="16" t="n"/>
      <c r="I457" s="16" t="n"/>
      <c r="J457" s="18" t="n"/>
      <c r="K457" s="16" t="n"/>
      <c r="L457" s="17" t="n"/>
      <c r="M457" s="18" t="n"/>
      <c r="N457" s="16" t="n"/>
      <c r="O457" s="16" t="n"/>
      <c r="P457" s="16" t="n"/>
      <c r="Q457" s="16" t="n"/>
      <c r="R457" s="16" t="n"/>
      <c r="S457" s="16" t="n"/>
      <c r="T457" s="18" t="n"/>
      <c r="U457" s="18" t="n"/>
      <c r="V457" s="7">
        <f>IF(L457="","",IF(TODAY()&gt;=L457,"到期","未到期"))</f>
        <v/>
      </c>
      <c r="W457" s="16" t="n"/>
      <c r="X457" s="16" t="n"/>
    </row>
    <row r="458">
      <c r="A458" s="15">
        <f>IF(B458="","","V-"&amp;TEXT(ROW()-1,"000"))</f>
        <v/>
      </c>
      <c r="B458" s="16" t="n"/>
      <c r="C458" s="17" t="n"/>
      <c r="D458" s="16" t="n"/>
      <c r="E458" s="16" t="n"/>
      <c r="F458" s="16" t="n"/>
      <c r="G458" s="16" t="n"/>
      <c r="H458" s="16" t="n"/>
      <c r="I458" s="16" t="n"/>
      <c r="J458" s="18" t="n"/>
      <c r="K458" s="16" t="n"/>
      <c r="L458" s="17" t="n"/>
      <c r="M458" s="18" t="n"/>
      <c r="N458" s="16" t="n"/>
      <c r="O458" s="16" t="n"/>
      <c r="P458" s="16" t="n"/>
      <c r="Q458" s="16" t="n"/>
      <c r="R458" s="16" t="n"/>
      <c r="S458" s="16" t="n"/>
      <c r="T458" s="18" t="n"/>
      <c r="U458" s="18" t="n"/>
      <c r="V458" s="7">
        <f>IF(L458="","",IF(TODAY()&gt;=L458,"到期","未到期"))</f>
        <v/>
      </c>
      <c r="W458" s="16" t="n"/>
      <c r="X458" s="16" t="n"/>
    </row>
    <row r="459">
      <c r="A459" s="15">
        <f>IF(B459="","","V-"&amp;TEXT(ROW()-1,"000"))</f>
        <v/>
      </c>
      <c r="B459" s="16" t="n"/>
      <c r="C459" s="17" t="n"/>
      <c r="D459" s="16" t="n"/>
      <c r="E459" s="16" t="n"/>
      <c r="F459" s="16" t="n"/>
      <c r="G459" s="16" t="n"/>
      <c r="H459" s="16" t="n"/>
      <c r="I459" s="16" t="n"/>
      <c r="J459" s="18" t="n"/>
      <c r="K459" s="16" t="n"/>
      <c r="L459" s="17" t="n"/>
      <c r="M459" s="18" t="n"/>
      <c r="N459" s="16" t="n"/>
      <c r="O459" s="16" t="n"/>
      <c r="P459" s="16" t="n"/>
      <c r="Q459" s="16" t="n"/>
      <c r="R459" s="16" t="n"/>
      <c r="S459" s="16" t="n"/>
      <c r="T459" s="18" t="n"/>
      <c r="U459" s="18" t="n"/>
      <c r="V459" s="7">
        <f>IF(L459="","",IF(TODAY()&gt;=L459,"到期","未到期"))</f>
        <v/>
      </c>
      <c r="W459" s="16" t="n"/>
      <c r="X459" s="16" t="n"/>
    </row>
    <row r="460">
      <c r="A460" s="15">
        <f>IF(B460="","","V-"&amp;TEXT(ROW()-1,"000"))</f>
        <v/>
      </c>
      <c r="B460" s="16" t="n"/>
      <c r="C460" s="17" t="n"/>
      <c r="D460" s="16" t="n"/>
      <c r="E460" s="16" t="n"/>
      <c r="F460" s="16" t="n"/>
      <c r="G460" s="16" t="n"/>
      <c r="H460" s="16" t="n"/>
      <c r="I460" s="16" t="n"/>
      <c r="J460" s="18" t="n"/>
      <c r="K460" s="16" t="n"/>
      <c r="L460" s="17" t="n"/>
      <c r="M460" s="18" t="n"/>
      <c r="N460" s="16" t="n"/>
      <c r="O460" s="16" t="n"/>
      <c r="P460" s="16" t="n"/>
      <c r="Q460" s="16" t="n"/>
      <c r="R460" s="16" t="n"/>
      <c r="S460" s="16" t="n"/>
      <c r="T460" s="18" t="n"/>
      <c r="U460" s="18" t="n"/>
      <c r="V460" s="7">
        <f>IF(L460="","",IF(TODAY()&gt;=L460,"到期","未到期"))</f>
        <v/>
      </c>
      <c r="W460" s="16" t="n"/>
      <c r="X460" s="16" t="n"/>
    </row>
    <row r="461">
      <c r="A461" s="15">
        <f>IF(B461="","","V-"&amp;TEXT(ROW()-1,"000"))</f>
        <v/>
      </c>
      <c r="B461" s="16" t="n"/>
      <c r="C461" s="17" t="n"/>
      <c r="D461" s="16" t="n"/>
      <c r="E461" s="16" t="n"/>
      <c r="F461" s="16" t="n"/>
      <c r="G461" s="16" t="n"/>
      <c r="H461" s="16" t="n"/>
      <c r="I461" s="16" t="n"/>
      <c r="J461" s="18" t="n"/>
      <c r="K461" s="16" t="n"/>
      <c r="L461" s="17" t="n"/>
      <c r="M461" s="18" t="n"/>
      <c r="N461" s="16" t="n"/>
      <c r="O461" s="16" t="n"/>
      <c r="P461" s="16" t="n"/>
      <c r="Q461" s="16" t="n"/>
      <c r="R461" s="16" t="n"/>
      <c r="S461" s="16" t="n"/>
      <c r="T461" s="18" t="n"/>
      <c r="U461" s="18" t="n"/>
      <c r="V461" s="7">
        <f>IF(L461="","",IF(TODAY()&gt;=L461,"到期","未到期"))</f>
        <v/>
      </c>
      <c r="W461" s="16" t="n"/>
      <c r="X461" s="16" t="n"/>
    </row>
    <row r="462">
      <c r="A462" s="15">
        <f>IF(B462="","","V-"&amp;TEXT(ROW()-1,"000"))</f>
        <v/>
      </c>
      <c r="B462" s="16" t="n"/>
      <c r="C462" s="17" t="n"/>
      <c r="D462" s="16" t="n"/>
      <c r="E462" s="16" t="n"/>
      <c r="F462" s="16" t="n"/>
      <c r="G462" s="16" t="n"/>
      <c r="H462" s="16" t="n"/>
      <c r="I462" s="16" t="n"/>
      <c r="J462" s="18" t="n"/>
      <c r="K462" s="16" t="n"/>
      <c r="L462" s="17" t="n"/>
      <c r="M462" s="18" t="n"/>
      <c r="N462" s="16" t="n"/>
      <c r="O462" s="16" t="n"/>
      <c r="P462" s="16" t="n"/>
      <c r="Q462" s="16" t="n"/>
      <c r="R462" s="16" t="n"/>
      <c r="S462" s="16" t="n"/>
      <c r="T462" s="18" t="n"/>
      <c r="U462" s="18" t="n"/>
      <c r="V462" s="7">
        <f>IF(L462="","",IF(TODAY()&gt;=L462,"到期","未到期"))</f>
        <v/>
      </c>
      <c r="W462" s="16" t="n"/>
      <c r="X462" s="16" t="n"/>
    </row>
    <row r="463">
      <c r="A463" s="15">
        <f>IF(B463="","","V-"&amp;TEXT(ROW()-1,"000"))</f>
        <v/>
      </c>
      <c r="B463" s="16" t="n"/>
      <c r="C463" s="17" t="n"/>
      <c r="D463" s="16" t="n"/>
      <c r="E463" s="16" t="n"/>
      <c r="F463" s="16" t="n"/>
      <c r="G463" s="16" t="n"/>
      <c r="H463" s="16" t="n"/>
      <c r="I463" s="16" t="n"/>
      <c r="J463" s="18" t="n"/>
      <c r="K463" s="16" t="n"/>
      <c r="L463" s="17" t="n"/>
      <c r="M463" s="18" t="n"/>
      <c r="N463" s="16" t="n"/>
      <c r="O463" s="16" t="n"/>
      <c r="P463" s="16" t="n"/>
      <c r="Q463" s="16" t="n"/>
      <c r="R463" s="16" t="n"/>
      <c r="S463" s="16" t="n"/>
      <c r="T463" s="18" t="n"/>
      <c r="U463" s="18" t="n"/>
      <c r="V463" s="7">
        <f>IF(L463="","",IF(TODAY()&gt;=L463,"到期","未到期"))</f>
        <v/>
      </c>
      <c r="W463" s="16" t="n"/>
      <c r="X463" s="16" t="n"/>
    </row>
    <row r="464">
      <c r="A464" s="15">
        <f>IF(B464="","","V-"&amp;TEXT(ROW()-1,"000"))</f>
        <v/>
      </c>
      <c r="B464" s="16" t="n"/>
      <c r="C464" s="17" t="n"/>
      <c r="D464" s="16" t="n"/>
      <c r="E464" s="16" t="n"/>
      <c r="F464" s="16" t="n"/>
      <c r="G464" s="16" t="n"/>
      <c r="H464" s="16" t="n"/>
      <c r="I464" s="16" t="n"/>
      <c r="J464" s="18" t="n"/>
      <c r="K464" s="16" t="n"/>
      <c r="L464" s="17" t="n"/>
      <c r="M464" s="18" t="n"/>
      <c r="N464" s="16" t="n"/>
      <c r="O464" s="16" t="n"/>
      <c r="P464" s="16" t="n"/>
      <c r="Q464" s="16" t="n"/>
      <c r="R464" s="16" t="n"/>
      <c r="S464" s="16" t="n"/>
      <c r="T464" s="18" t="n"/>
      <c r="U464" s="18" t="n"/>
      <c r="V464" s="7">
        <f>IF(L464="","",IF(TODAY()&gt;=L464,"到期","未到期"))</f>
        <v/>
      </c>
      <c r="W464" s="16" t="n"/>
      <c r="X464" s="16" t="n"/>
    </row>
    <row r="465">
      <c r="A465" s="15">
        <f>IF(B465="","","V-"&amp;TEXT(ROW()-1,"000"))</f>
        <v/>
      </c>
      <c r="B465" s="16" t="n"/>
      <c r="C465" s="17" t="n"/>
      <c r="D465" s="16" t="n"/>
      <c r="E465" s="16" t="n"/>
      <c r="F465" s="16" t="n"/>
      <c r="G465" s="16" t="n"/>
      <c r="H465" s="16" t="n"/>
      <c r="I465" s="16" t="n"/>
      <c r="J465" s="18" t="n"/>
      <c r="K465" s="16" t="n"/>
      <c r="L465" s="17" t="n"/>
      <c r="M465" s="18" t="n"/>
      <c r="N465" s="16" t="n"/>
      <c r="O465" s="16" t="n"/>
      <c r="P465" s="16" t="n"/>
      <c r="Q465" s="16" t="n"/>
      <c r="R465" s="16" t="n"/>
      <c r="S465" s="16" t="n"/>
      <c r="T465" s="18" t="n"/>
      <c r="U465" s="18" t="n"/>
      <c r="V465" s="7">
        <f>IF(L465="","",IF(TODAY()&gt;=L465,"到期","未到期"))</f>
        <v/>
      </c>
      <c r="W465" s="16" t="n"/>
      <c r="X465" s="16" t="n"/>
    </row>
    <row r="466">
      <c r="A466" s="15">
        <f>IF(B466="","","V-"&amp;TEXT(ROW()-1,"000"))</f>
        <v/>
      </c>
      <c r="B466" s="16" t="n"/>
      <c r="C466" s="17" t="n"/>
      <c r="D466" s="16" t="n"/>
      <c r="E466" s="16" t="n"/>
      <c r="F466" s="16" t="n"/>
      <c r="G466" s="16" t="n"/>
      <c r="H466" s="16" t="n"/>
      <c r="I466" s="16" t="n"/>
      <c r="J466" s="18" t="n"/>
      <c r="K466" s="16" t="n"/>
      <c r="L466" s="17" t="n"/>
      <c r="M466" s="18" t="n"/>
      <c r="N466" s="16" t="n"/>
      <c r="O466" s="16" t="n"/>
      <c r="P466" s="16" t="n"/>
      <c r="Q466" s="16" t="n"/>
      <c r="R466" s="16" t="n"/>
      <c r="S466" s="16" t="n"/>
      <c r="T466" s="18" t="n"/>
      <c r="U466" s="18" t="n"/>
      <c r="V466" s="7">
        <f>IF(L466="","",IF(TODAY()&gt;=L466,"到期","未到期"))</f>
        <v/>
      </c>
      <c r="W466" s="16" t="n"/>
      <c r="X466" s="16" t="n"/>
    </row>
    <row r="467">
      <c r="A467" s="15">
        <f>IF(B467="","","V-"&amp;TEXT(ROW()-1,"000"))</f>
        <v/>
      </c>
      <c r="B467" s="16" t="n"/>
      <c r="C467" s="17" t="n"/>
      <c r="D467" s="16" t="n"/>
      <c r="E467" s="16" t="n"/>
      <c r="F467" s="16" t="n"/>
      <c r="G467" s="16" t="n"/>
      <c r="H467" s="16" t="n"/>
      <c r="I467" s="16" t="n"/>
      <c r="J467" s="18" t="n"/>
      <c r="K467" s="16" t="n"/>
      <c r="L467" s="17" t="n"/>
      <c r="M467" s="18" t="n"/>
      <c r="N467" s="16" t="n"/>
      <c r="O467" s="16" t="n"/>
      <c r="P467" s="16" t="n"/>
      <c r="Q467" s="16" t="n"/>
      <c r="R467" s="16" t="n"/>
      <c r="S467" s="16" t="n"/>
      <c r="T467" s="18" t="n"/>
      <c r="U467" s="18" t="n"/>
      <c r="V467" s="7">
        <f>IF(L467="","",IF(TODAY()&gt;=L467,"到期","未到期"))</f>
        <v/>
      </c>
      <c r="W467" s="16" t="n"/>
      <c r="X467" s="16" t="n"/>
    </row>
    <row r="468">
      <c r="A468" s="15">
        <f>IF(B468="","","V-"&amp;TEXT(ROW()-1,"000"))</f>
        <v/>
      </c>
      <c r="B468" s="16" t="n"/>
      <c r="C468" s="17" t="n"/>
      <c r="D468" s="16" t="n"/>
      <c r="E468" s="16" t="n"/>
      <c r="F468" s="16" t="n"/>
      <c r="G468" s="16" t="n"/>
      <c r="H468" s="16" t="n"/>
      <c r="I468" s="16" t="n"/>
      <c r="J468" s="18" t="n"/>
      <c r="K468" s="16" t="n"/>
      <c r="L468" s="17" t="n"/>
      <c r="M468" s="18" t="n"/>
      <c r="N468" s="16" t="n"/>
      <c r="O468" s="16" t="n"/>
      <c r="P468" s="16" t="n"/>
      <c r="Q468" s="16" t="n"/>
      <c r="R468" s="16" t="n"/>
      <c r="S468" s="16" t="n"/>
      <c r="T468" s="18" t="n"/>
      <c r="U468" s="18" t="n"/>
      <c r="V468" s="7">
        <f>IF(L468="","",IF(TODAY()&gt;=L468,"到期","未到期"))</f>
        <v/>
      </c>
      <c r="W468" s="16" t="n"/>
      <c r="X468" s="16" t="n"/>
    </row>
    <row r="469">
      <c r="A469" s="15">
        <f>IF(B469="","","V-"&amp;TEXT(ROW()-1,"000"))</f>
        <v/>
      </c>
      <c r="B469" s="16" t="n"/>
      <c r="C469" s="17" t="n"/>
      <c r="D469" s="16" t="n"/>
      <c r="E469" s="16" t="n"/>
      <c r="F469" s="16" t="n"/>
      <c r="G469" s="16" t="n"/>
      <c r="H469" s="16" t="n"/>
      <c r="I469" s="16" t="n"/>
      <c r="J469" s="18" t="n"/>
      <c r="K469" s="16" t="n"/>
      <c r="L469" s="17" t="n"/>
      <c r="M469" s="18" t="n"/>
      <c r="N469" s="16" t="n"/>
      <c r="O469" s="16" t="n"/>
      <c r="P469" s="16" t="n"/>
      <c r="Q469" s="16" t="n"/>
      <c r="R469" s="16" t="n"/>
      <c r="S469" s="16" t="n"/>
      <c r="T469" s="18" t="n"/>
      <c r="U469" s="18" t="n"/>
      <c r="V469" s="7">
        <f>IF(L469="","",IF(TODAY()&gt;=L469,"到期","未到期"))</f>
        <v/>
      </c>
      <c r="W469" s="16" t="n"/>
      <c r="X469" s="16" t="n"/>
    </row>
    <row r="470">
      <c r="A470" s="15">
        <f>IF(B470="","","V-"&amp;TEXT(ROW()-1,"000"))</f>
        <v/>
      </c>
      <c r="B470" s="16" t="n"/>
      <c r="C470" s="17" t="n"/>
      <c r="D470" s="16" t="n"/>
      <c r="E470" s="16" t="n"/>
      <c r="F470" s="16" t="n"/>
      <c r="G470" s="16" t="n"/>
      <c r="H470" s="16" t="n"/>
      <c r="I470" s="16" t="n"/>
      <c r="J470" s="18" t="n"/>
      <c r="K470" s="16" t="n"/>
      <c r="L470" s="17" t="n"/>
      <c r="M470" s="18" t="n"/>
      <c r="N470" s="16" t="n"/>
      <c r="O470" s="16" t="n"/>
      <c r="P470" s="16" t="n"/>
      <c r="Q470" s="16" t="n"/>
      <c r="R470" s="16" t="n"/>
      <c r="S470" s="16" t="n"/>
      <c r="T470" s="18" t="n"/>
      <c r="U470" s="18" t="n"/>
      <c r="V470" s="7">
        <f>IF(L470="","",IF(TODAY()&gt;=L470,"到期","未到期"))</f>
        <v/>
      </c>
      <c r="W470" s="16" t="n"/>
      <c r="X470" s="16" t="n"/>
    </row>
    <row r="471">
      <c r="A471" s="15">
        <f>IF(B471="","","V-"&amp;TEXT(ROW()-1,"000"))</f>
        <v/>
      </c>
      <c r="B471" s="16" t="n"/>
      <c r="C471" s="17" t="n"/>
      <c r="D471" s="16" t="n"/>
      <c r="E471" s="16" t="n"/>
      <c r="F471" s="16" t="n"/>
      <c r="G471" s="16" t="n"/>
      <c r="H471" s="16" t="n"/>
      <c r="I471" s="16" t="n"/>
      <c r="J471" s="18" t="n"/>
      <c r="K471" s="16" t="n"/>
      <c r="L471" s="17" t="n"/>
      <c r="M471" s="18" t="n"/>
      <c r="N471" s="16" t="n"/>
      <c r="O471" s="16" t="n"/>
      <c r="P471" s="16" t="n"/>
      <c r="Q471" s="16" t="n"/>
      <c r="R471" s="16" t="n"/>
      <c r="S471" s="16" t="n"/>
      <c r="T471" s="18" t="n"/>
      <c r="U471" s="18" t="n"/>
      <c r="V471" s="7">
        <f>IF(L471="","",IF(TODAY()&gt;=L471,"到期","未到期"))</f>
        <v/>
      </c>
      <c r="W471" s="16" t="n"/>
      <c r="X471" s="16" t="n"/>
    </row>
    <row r="472">
      <c r="A472" s="15">
        <f>IF(B472="","","V-"&amp;TEXT(ROW()-1,"000"))</f>
        <v/>
      </c>
      <c r="B472" s="16" t="n"/>
      <c r="C472" s="17" t="n"/>
      <c r="D472" s="16" t="n"/>
      <c r="E472" s="16" t="n"/>
      <c r="F472" s="16" t="n"/>
      <c r="G472" s="16" t="n"/>
      <c r="H472" s="16" t="n"/>
      <c r="I472" s="16" t="n"/>
      <c r="J472" s="18" t="n"/>
      <c r="K472" s="16" t="n"/>
      <c r="L472" s="17" t="n"/>
      <c r="M472" s="18" t="n"/>
      <c r="N472" s="16" t="n"/>
      <c r="O472" s="16" t="n"/>
      <c r="P472" s="16" t="n"/>
      <c r="Q472" s="16" t="n"/>
      <c r="R472" s="16" t="n"/>
      <c r="S472" s="16" t="n"/>
      <c r="T472" s="18" t="n"/>
      <c r="U472" s="18" t="n"/>
      <c r="V472" s="7">
        <f>IF(L472="","",IF(TODAY()&gt;=L472,"到期","未到期"))</f>
        <v/>
      </c>
      <c r="W472" s="16" t="n"/>
      <c r="X472" s="16" t="n"/>
    </row>
    <row r="473">
      <c r="A473" s="15">
        <f>IF(B473="","","V-"&amp;TEXT(ROW()-1,"000"))</f>
        <v/>
      </c>
      <c r="B473" s="16" t="n"/>
      <c r="C473" s="17" t="n"/>
      <c r="D473" s="16" t="n"/>
      <c r="E473" s="16" t="n"/>
      <c r="F473" s="16" t="n"/>
      <c r="G473" s="16" t="n"/>
      <c r="H473" s="16" t="n"/>
      <c r="I473" s="16" t="n"/>
      <c r="J473" s="18" t="n"/>
      <c r="K473" s="16" t="n"/>
      <c r="L473" s="17" t="n"/>
      <c r="M473" s="18" t="n"/>
      <c r="N473" s="16" t="n"/>
      <c r="O473" s="16" t="n"/>
      <c r="P473" s="16" t="n"/>
      <c r="Q473" s="16" t="n"/>
      <c r="R473" s="16" t="n"/>
      <c r="S473" s="16" t="n"/>
      <c r="T473" s="18" t="n"/>
      <c r="U473" s="18" t="n"/>
      <c r="V473" s="7">
        <f>IF(L473="","",IF(TODAY()&gt;=L473,"到期","未到期"))</f>
        <v/>
      </c>
      <c r="W473" s="16" t="n"/>
      <c r="X473" s="16" t="n"/>
    </row>
    <row r="474">
      <c r="A474" s="15">
        <f>IF(B474="","","V-"&amp;TEXT(ROW()-1,"000"))</f>
        <v/>
      </c>
      <c r="B474" s="16" t="n"/>
      <c r="C474" s="17" t="n"/>
      <c r="D474" s="16" t="n"/>
      <c r="E474" s="16" t="n"/>
      <c r="F474" s="16" t="n"/>
      <c r="G474" s="16" t="n"/>
      <c r="H474" s="16" t="n"/>
      <c r="I474" s="16" t="n"/>
      <c r="J474" s="18" t="n"/>
      <c r="K474" s="16" t="n"/>
      <c r="L474" s="17" t="n"/>
      <c r="M474" s="18" t="n"/>
      <c r="N474" s="16" t="n"/>
      <c r="O474" s="16" t="n"/>
      <c r="P474" s="16" t="n"/>
      <c r="Q474" s="16" t="n"/>
      <c r="R474" s="16" t="n"/>
      <c r="S474" s="16" t="n"/>
      <c r="T474" s="18" t="n"/>
      <c r="U474" s="18" t="n"/>
      <c r="V474" s="7">
        <f>IF(L474="","",IF(TODAY()&gt;=L474,"到期","未到期"))</f>
        <v/>
      </c>
      <c r="W474" s="16" t="n"/>
      <c r="X474" s="16" t="n"/>
    </row>
    <row r="475">
      <c r="A475" s="15">
        <f>IF(B475="","","V-"&amp;TEXT(ROW()-1,"000"))</f>
        <v/>
      </c>
      <c r="B475" s="16" t="n"/>
      <c r="C475" s="17" t="n"/>
      <c r="D475" s="16" t="n"/>
      <c r="E475" s="16" t="n"/>
      <c r="F475" s="16" t="n"/>
      <c r="G475" s="16" t="n"/>
      <c r="H475" s="16" t="n"/>
      <c r="I475" s="16" t="n"/>
      <c r="J475" s="18" t="n"/>
      <c r="K475" s="16" t="n"/>
      <c r="L475" s="17" t="n"/>
      <c r="M475" s="18" t="n"/>
      <c r="N475" s="16" t="n"/>
      <c r="O475" s="16" t="n"/>
      <c r="P475" s="16" t="n"/>
      <c r="Q475" s="16" t="n"/>
      <c r="R475" s="16" t="n"/>
      <c r="S475" s="16" t="n"/>
      <c r="T475" s="18" t="n"/>
      <c r="U475" s="18" t="n"/>
      <c r="V475" s="7">
        <f>IF(L475="","",IF(TODAY()&gt;=L475,"到期","未到期"))</f>
        <v/>
      </c>
      <c r="W475" s="16" t="n"/>
      <c r="X475" s="16" t="n"/>
    </row>
    <row r="476">
      <c r="A476" s="15">
        <f>IF(B476="","","V-"&amp;TEXT(ROW()-1,"000"))</f>
        <v/>
      </c>
      <c r="B476" s="16" t="n"/>
      <c r="C476" s="17" t="n"/>
      <c r="D476" s="16" t="n"/>
      <c r="E476" s="16" t="n"/>
      <c r="F476" s="16" t="n"/>
      <c r="G476" s="16" t="n"/>
      <c r="H476" s="16" t="n"/>
      <c r="I476" s="16" t="n"/>
      <c r="J476" s="18" t="n"/>
      <c r="K476" s="16" t="n"/>
      <c r="L476" s="17" t="n"/>
      <c r="M476" s="18" t="n"/>
      <c r="N476" s="16" t="n"/>
      <c r="O476" s="16" t="n"/>
      <c r="P476" s="16" t="n"/>
      <c r="Q476" s="16" t="n"/>
      <c r="R476" s="16" t="n"/>
      <c r="S476" s="16" t="n"/>
      <c r="T476" s="18" t="n"/>
      <c r="U476" s="18" t="n"/>
      <c r="V476" s="7">
        <f>IF(L476="","",IF(TODAY()&gt;=L476,"到期","未到期"))</f>
        <v/>
      </c>
      <c r="W476" s="16" t="n"/>
      <c r="X476" s="16" t="n"/>
    </row>
    <row r="477">
      <c r="A477" s="15">
        <f>IF(B477="","","V-"&amp;TEXT(ROW()-1,"000"))</f>
        <v/>
      </c>
      <c r="B477" s="16" t="n"/>
      <c r="C477" s="17" t="n"/>
      <c r="D477" s="16" t="n"/>
      <c r="E477" s="16" t="n"/>
      <c r="F477" s="16" t="n"/>
      <c r="G477" s="16" t="n"/>
      <c r="H477" s="16" t="n"/>
      <c r="I477" s="16" t="n"/>
      <c r="J477" s="18" t="n"/>
      <c r="K477" s="16" t="n"/>
      <c r="L477" s="17" t="n"/>
      <c r="M477" s="18" t="n"/>
      <c r="N477" s="16" t="n"/>
      <c r="O477" s="16" t="n"/>
      <c r="P477" s="16" t="n"/>
      <c r="Q477" s="16" t="n"/>
      <c r="R477" s="16" t="n"/>
      <c r="S477" s="16" t="n"/>
      <c r="T477" s="18" t="n"/>
      <c r="U477" s="18" t="n"/>
      <c r="V477" s="7">
        <f>IF(L477="","",IF(TODAY()&gt;=L477,"到期","未到期"))</f>
        <v/>
      </c>
      <c r="W477" s="16" t="n"/>
      <c r="X477" s="16" t="n"/>
    </row>
    <row r="478">
      <c r="A478" s="15">
        <f>IF(B478="","","V-"&amp;TEXT(ROW()-1,"000"))</f>
        <v/>
      </c>
      <c r="B478" s="16" t="n"/>
      <c r="C478" s="17" t="n"/>
      <c r="D478" s="16" t="n"/>
      <c r="E478" s="16" t="n"/>
      <c r="F478" s="16" t="n"/>
      <c r="G478" s="16" t="n"/>
      <c r="H478" s="16" t="n"/>
      <c r="I478" s="16" t="n"/>
      <c r="J478" s="18" t="n"/>
      <c r="K478" s="16" t="n"/>
      <c r="L478" s="17" t="n"/>
      <c r="M478" s="18" t="n"/>
      <c r="N478" s="16" t="n"/>
      <c r="O478" s="16" t="n"/>
      <c r="P478" s="16" t="n"/>
      <c r="Q478" s="16" t="n"/>
      <c r="R478" s="16" t="n"/>
      <c r="S478" s="16" t="n"/>
      <c r="T478" s="18" t="n"/>
      <c r="U478" s="18" t="n"/>
      <c r="V478" s="7">
        <f>IF(L478="","",IF(TODAY()&gt;=L478,"到期","未到期"))</f>
        <v/>
      </c>
      <c r="W478" s="16" t="n"/>
      <c r="X478" s="16" t="n"/>
    </row>
    <row r="479">
      <c r="A479" s="15">
        <f>IF(B479="","","V-"&amp;TEXT(ROW()-1,"000"))</f>
        <v/>
      </c>
      <c r="B479" s="16" t="n"/>
      <c r="C479" s="17" t="n"/>
      <c r="D479" s="16" t="n"/>
      <c r="E479" s="16" t="n"/>
      <c r="F479" s="16" t="n"/>
      <c r="G479" s="16" t="n"/>
      <c r="H479" s="16" t="n"/>
      <c r="I479" s="16" t="n"/>
      <c r="J479" s="18" t="n"/>
      <c r="K479" s="16" t="n"/>
      <c r="L479" s="17" t="n"/>
      <c r="M479" s="18" t="n"/>
      <c r="N479" s="16" t="n"/>
      <c r="O479" s="16" t="n"/>
      <c r="P479" s="16" t="n"/>
      <c r="Q479" s="16" t="n"/>
      <c r="R479" s="16" t="n"/>
      <c r="S479" s="16" t="n"/>
      <c r="T479" s="18" t="n"/>
      <c r="U479" s="18" t="n"/>
      <c r="V479" s="7">
        <f>IF(L479="","",IF(TODAY()&gt;=L479,"到期","未到期"))</f>
        <v/>
      </c>
      <c r="W479" s="16" t="n"/>
      <c r="X479" s="16" t="n"/>
    </row>
    <row r="480">
      <c r="A480" s="15">
        <f>IF(B480="","","V-"&amp;TEXT(ROW()-1,"000"))</f>
        <v/>
      </c>
      <c r="B480" s="16" t="n"/>
      <c r="C480" s="17" t="n"/>
      <c r="D480" s="16" t="n"/>
      <c r="E480" s="16" t="n"/>
      <c r="F480" s="16" t="n"/>
      <c r="G480" s="16" t="n"/>
      <c r="H480" s="16" t="n"/>
      <c r="I480" s="16" t="n"/>
      <c r="J480" s="18" t="n"/>
      <c r="K480" s="16" t="n"/>
      <c r="L480" s="17" t="n"/>
      <c r="M480" s="18" t="n"/>
      <c r="N480" s="16" t="n"/>
      <c r="O480" s="16" t="n"/>
      <c r="P480" s="16" t="n"/>
      <c r="Q480" s="16" t="n"/>
      <c r="R480" s="16" t="n"/>
      <c r="S480" s="16" t="n"/>
      <c r="T480" s="18" t="n"/>
      <c r="U480" s="18" t="n"/>
      <c r="V480" s="7">
        <f>IF(L480="","",IF(TODAY()&gt;=L480,"到期","未到期"))</f>
        <v/>
      </c>
      <c r="W480" s="16" t="n"/>
      <c r="X480" s="16" t="n"/>
    </row>
    <row r="481">
      <c r="A481" s="15">
        <f>IF(B481="","","V-"&amp;TEXT(ROW()-1,"000"))</f>
        <v/>
      </c>
      <c r="B481" s="16" t="n"/>
      <c r="C481" s="17" t="n"/>
      <c r="D481" s="16" t="n"/>
      <c r="E481" s="16" t="n"/>
      <c r="F481" s="16" t="n"/>
      <c r="G481" s="16" t="n"/>
      <c r="H481" s="16" t="n"/>
      <c r="I481" s="16" t="n"/>
      <c r="J481" s="18" t="n"/>
      <c r="K481" s="16" t="n"/>
      <c r="L481" s="17" t="n"/>
      <c r="M481" s="18" t="n"/>
      <c r="N481" s="16" t="n"/>
      <c r="O481" s="16" t="n"/>
      <c r="P481" s="16" t="n"/>
      <c r="Q481" s="16" t="n"/>
      <c r="R481" s="16" t="n"/>
      <c r="S481" s="16" t="n"/>
      <c r="T481" s="18" t="n"/>
      <c r="U481" s="18" t="n"/>
      <c r="V481" s="7">
        <f>IF(L481="","",IF(TODAY()&gt;=L481,"到期","未到期"))</f>
        <v/>
      </c>
      <c r="W481" s="16" t="n"/>
      <c r="X481" s="16" t="n"/>
    </row>
    <row r="482">
      <c r="A482" s="15">
        <f>IF(B482="","","V-"&amp;TEXT(ROW()-1,"000"))</f>
        <v/>
      </c>
      <c r="B482" s="16" t="n"/>
      <c r="C482" s="17" t="n"/>
      <c r="D482" s="16" t="n"/>
      <c r="E482" s="16" t="n"/>
      <c r="F482" s="16" t="n"/>
      <c r="G482" s="16" t="n"/>
      <c r="H482" s="16" t="n"/>
      <c r="I482" s="16" t="n"/>
      <c r="J482" s="18" t="n"/>
      <c r="K482" s="16" t="n"/>
      <c r="L482" s="17" t="n"/>
      <c r="M482" s="18" t="n"/>
      <c r="N482" s="16" t="n"/>
      <c r="O482" s="16" t="n"/>
      <c r="P482" s="16" t="n"/>
      <c r="Q482" s="16" t="n"/>
      <c r="R482" s="16" t="n"/>
      <c r="S482" s="16" t="n"/>
      <c r="T482" s="18" t="n"/>
      <c r="U482" s="18" t="n"/>
      <c r="V482" s="7">
        <f>IF(L482="","",IF(TODAY()&gt;=L482,"到期","未到期"))</f>
        <v/>
      </c>
      <c r="W482" s="16" t="n"/>
      <c r="X482" s="16" t="n"/>
    </row>
    <row r="483">
      <c r="A483" s="15">
        <f>IF(B483="","","V-"&amp;TEXT(ROW()-1,"000"))</f>
        <v/>
      </c>
      <c r="B483" s="16" t="n"/>
      <c r="C483" s="17" t="n"/>
      <c r="D483" s="16" t="n"/>
      <c r="E483" s="16" t="n"/>
      <c r="F483" s="16" t="n"/>
      <c r="G483" s="16" t="n"/>
      <c r="H483" s="16" t="n"/>
      <c r="I483" s="16" t="n"/>
      <c r="J483" s="18" t="n"/>
      <c r="K483" s="16" t="n"/>
      <c r="L483" s="17" t="n"/>
      <c r="M483" s="18" t="n"/>
      <c r="N483" s="16" t="n"/>
      <c r="O483" s="16" t="n"/>
      <c r="P483" s="16" t="n"/>
      <c r="Q483" s="16" t="n"/>
      <c r="R483" s="16" t="n"/>
      <c r="S483" s="16" t="n"/>
      <c r="T483" s="18" t="n"/>
      <c r="U483" s="18" t="n"/>
      <c r="V483" s="7">
        <f>IF(L483="","",IF(TODAY()&gt;=L483,"到期","未到期"))</f>
        <v/>
      </c>
      <c r="W483" s="16" t="n"/>
      <c r="X483" s="16" t="n"/>
    </row>
    <row r="484">
      <c r="A484" s="15">
        <f>IF(B484="","","V-"&amp;TEXT(ROW()-1,"000"))</f>
        <v/>
      </c>
      <c r="B484" s="16" t="n"/>
      <c r="C484" s="17" t="n"/>
      <c r="D484" s="16" t="n"/>
      <c r="E484" s="16" t="n"/>
      <c r="F484" s="16" t="n"/>
      <c r="G484" s="16" t="n"/>
      <c r="H484" s="16" t="n"/>
      <c r="I484" s="16" t="n"/>
      <c r="J484" s="18" t="n"/>
      <c r="K484" s="16" t="n"/>
      <c r="L484" s="17" t="n"/>
      <c r="M484" s="18" t="n"/>
      <c r="N484" s="16" t="n"/>
      <c r="O484" s="16" t="n"/>
      <c r="P484" s="16" t="n"/>
      <c r="Q484" s="16" t="n"/>
      <c r="R484" s="16" t="n"/>
      <c r="S484" s="16" t="n"/>
      <c r="T484" s="18" t="n"/>
      <c r="U484" s="18" t="n"/>
      <c r="V484" s="7">
        <f>IF(L484="","",IF(TODAY()&gt;=L484,"到期","未到期"))</f>
        <v/>
      </c>
      <c r="W484" s="16" t="n"/>
      <c r="X484" s="16" t="n"/>
    </row>
    <row r="485">
      <c r="A485" s="15">
        <f>IF(B485="","","V-"&amp;TEXT(ROW()-1,"000"))</f>
        <v/>
      </c>
      <c r="B485" s="16" t="n"/>
      <c r="C485" s="17" t="n"/>
      <c r="D485" s="16" t="n"/>
      <c r="E485" s="16" t="n"/>
      <c r="F485" s="16" t="n"/>
      <c r="G485" s="16" t="n"/>
      <c r="H485" s="16" t="n"/>
      <c r="I485" s="16" t="n"/>
      <c r="J485" s="18" t="n"/>
      <c r="K485" s="16" t="n"/>
      <c r="L485" s="17" t="n"/>
      <c r="M485" s="18" t="n"/>
      <c r="N485" s="16" t="n"/>
      <c r="O485" s="16" t="n"/>
      <c r="P485" s="16" t="n"/>
      <c r="Q485" s="16" t="n"/>
      <c r="R485" s="16" t="n"/>
      <c r="S485" s="16" t="n"/>
      <c r="T485" s="18" t="n"/>
      <c r="U485" s="18" t="n"/>
      <c r="V485" s="7">
        <f>IF(L485="","",IF(TODAY()&gt;=L485,"到期","未到期"))</f>
        <v/>
      </c>
      <c r="W485" s="16" t="n"/>
      <c r="X485" s="16" t="n"/>
    </row>
    <row r="486">
      <c r="A486" s="15">
        <f>IF(B486="","","V-"&amp;TEXT(ROW()-1,"000"))</f>
        <v/>
      </c>
      <c r="B486" s="16" t="n"/>
      <c r="C486" s="17" t="n"/>
      <c r="D486" s="16" t="n"/>
      <c r="E486" s="16" t="n"/>
      <c r="F486" s="16" t="n"/>
      <c r="G486" s="16" t="n"/>
      <c r="H486" s="16" t="n"/>
      <c r="I486" s="16" t="n"/>
      <c r="J486" s="18" t="n"/>
      <c r="K486" s="16" t="n"/>
      <c r="L486" s="17" t="n"/>
      <c r="M486" s="18" t="n"/>
      <c r="N486" s="16" t="n"/>
      <c r="O486" s="16" t="n"/>
      <c r="P486" s="16" t="n"/>
      <c r="Q486" s="16" t="n"/>
      <c r="R486" s="16" t="n"/>
      <c r="S486" s="16" t="n"/>
      <c r="T486" s="18" t="n"/>
      <c r="U486" s="18" t="n"/>
      <c r="V486" s="7">
        <f>IF(L486="","",IF(TODAY()&gt;=L486,"到期","未到期"))</f>
        <v/>
      </c>
      <c r="W486" s="16" t="n"/>
      <c r="X486" s="16" t="n"/>
    </row>
    <row r="487">
      <c r="A487" s="15">
        <f>IF(B487="","","V-"&amp;TEXT(ROW()-1,"000"))</f>
        <v/>
      </c>
      <c r="B487" s="16" t="n"/>
      <c r="C487" s="17" t="n"/>
      <c r="D487" s="16" t="n"/>
      <c r="E487" s="16" t="n"/>
      <c r="F487" s="16" t="n"/>
      <c r="G487" s="16" t="n"/>
      <c r="H487" s="16" t="n"/>
      <c r="I487" s="16" t="n"/>
      <c r="J487" s="18" t="n"/>
      <c r="K487" s="16" t="n"/>
      <c r="L487" s="17" t="n"/>
      <c r="M487" s="18" t="n"/>
      <c r="N487" s="16" t="n"/>
      <c r="O487" s="16" t="n"/>
      <c r="P487" s="16" t="n"/>
      <c r="Q487" s="16" t="n"/>
      <c r="R487" s="16" t="n"/>
      <c r="S487" s="16" t="n"/>
      <c r="T487" s="18" t="n"/>
      <c r="U487" s="18" t="n"/>
      <c r="V487" s="7">
        <f>IF(L487="","",IF(TODAY()&gt;=L487,"到期","未到期"))</f>
        <v/>
      </c>
      <c r="W487" s="16" t="n"/>
      <c r="X487" s="16" t="n"/>
    </row>
    <row r="488">
      <c r="A488" s="15">
        <f>IF(B488="","","V-"&amp;TEXT(ROW()-1,"000"))</f>
        <v/>
      </c>
      <c r="B488" s="16" t="n"/>
      <c r="C488" s="17" t="n"/>
      <c r="D488" s="16" t="n"/>
      <c r="E488" s="16" t="n"/>
      <c r="F488" s="16" t="n"/>
      <c r="G488" s="16" t="n"/>
      <c r="H488" s="16" t="n"/>
      <c r="I488" s="16" t="n"/>
      <c r="J488" s="18" t="n"/>
      <c r="K488" s="16" t="n"/>
      <c r="L488" s="17" t="n"/>
      <c r="M488" s="18" t="n"/>
      <c r="N488" s="16" t="n"/>
      <c r="O488" s="16" t="n"/>
      <c r="P488" s="16" t="n"/>
      <c r="Q488" s="16" t="n"/>
      <c r="R488" s="16" t="n"/>
      <c r="S488" s="16" t="n"/>
      <c r="T488" s="18" t="n"/>
      <c r="U488" s="18" t="n"/>
      <c r="V488" s="7">
        <f>IF(L488="","",IF(TODAY()&gt;=L488,"到期","未到期"))</f>
        <v/>
      </c>
      <c r="W488" s="16" t="n"/>
      <c r="X488" s="16" t="n"/>
    </row>
    <row r="489">
      <c r="A489" s="15">
        <f>IF(B489="","","V-"&amp;TEXT(ROW()-1,"000"))</f>
        <v/>
      </c>
      <c r="B489" s="16" t="n"/>
      <c r="C489" s="17" t="n"/>
      <c r="D489" s="16" t="n"/>
      <c r="E489" s="16" t="n"/>
      <c r="F489" s="16" t="n"/>
      <c r="G489" s="16" t="n"/>
      <c r="H489" s="16" t="n"/>
      <c r="I489" s="16" t="n"/>
      <c r="J489" s="18" t="n"/>
      <c r="K489" s="16" t="n"/>
      <c r="L489" s="17" t="n"/>
      <c r="M489" s="18" t="n"/>
      <c r="N489" s="16" t="n"/>
      <c r="O489" s="16" t="n"/>
      <c r="P489" s="16" t="n"/>
      <c r="Q489" s="16" t="n"/>
      <c r="R489" s="16" t="n"/>
      <c r="S489" s="16" t="n"/>
      <c r="T489" s="18" t="n"/>
      <c r="U489" s="18" t="n"/>
      <c r="V489" s="7">
        <f>IF(L489="","",IF(TODAY()&gt;=L489,"到期","未到期"))</f>
        <v/>
      </c>
      <c r="W489" s="16" t="n"/>
      <c r="X489" s="16" t="n"/>
    </row>
    <row r="490">
      <c r="A490" s="15">
        <f>IF(B490="","","V-"&amp;TEXT(ROW()-1,"000"))</f>
        <v/>
      </c>
      <c r="B490" s="16" t="n"/>
      <c r="C490" s="17" t="n"/>
      <c r="D490" s="16" t="n"/>
      <c r="E490" s="16" t="n"/>
      <c r="F490" s="16" t="n"/>
      <c r="G490" s="16" t="n"/>
      <c r="H490" s="16" t="n"/>
      <c r="I490" s="16" t="n"/>
      <c r="J490" s="18" t="n"/>
      <c r="K490" s="16" t="n"/>
      <c r="L490" s="17" t="n"/>
      <c r="M490" s="18" t="n"/>
      <c r="N490" s="16" t="n"/>
      <c r="O490" s="16" t="n"/>
      <c r="P490" s="16" t="n"/>
      <c r="Q490" s="16" t="n"/>
      <c r="R490" s="16" t="n"/>
      <c r="S490" s="16" t="n"/>
      <c r="T490" s="18" t="n"/>
      <c r="U490" s="18" t="n"/>
      <c r="V490" s="7">
        <f>IF(L490="","",IF(TODAY()&gt;=L490,"到期","未到期"))</f>
        <v/>
      </c>
      <c r="W490" s="16" t="n"/>
      <c r="X490" s="16" t="n"/>
    </row>
    <row r="491">
      <c r="A491" s="15">
        <f>IF(B491="","","V-"&amp;TEXT(ROW()-1,"000"))</f>
        <v/>
      </c>
      <c r="B491" s="16" t="n"/>
      <c r="C491" s="17" t="n"/>
      <c r="D491" s="16" t="n"/>
      <c r="E491" s="16" t="n"/>
      <c r="F491" s="16" t="n"/>
      <c r="G491" s="16" t="n"/>
      <c r="H491" s="16" t="n"/>
      <c r="I491" s="16" t="n"/>
      <c r="J491" s="18" t="n"/>
      <c r="K491" s="16" t="n"/>
      <c r="L491" s="17" t="n"/>
      <c r="M491" s="18" t="n"/>
      <c r="N491" s="16" t="n"/>
      <c r="O491" s="16" t="n"/>
      <c r="P491" s="16" t="n"/>
      <c r="Q491" s="16" t="n"/>
      <c r="R491" s="16" t="n"/>
      <c r="S491" s="16" t="n"/>
      <c r="T491" s="18" t="n"/>
      <c r="U491" s="18" t="n"/>
      <c r="V491" s="7">
        <f>IF(L491="","",IF(TODAY()&gt;=L491,"到期","未到期"))</f>
        <v/>
      </c>
      <c r="W491" s="16" t="n"/>
      <c r="X491" s="16" t="n"/>
    </row>
    <row r="492">
      <c r="A492" s="15">
        <f>IF(B492="","","V-"&amp;TEXT(ROW()-1,"000"))</f>
        <v/>
      </c>
      <c r="B492" s="16" t="n"/>
      <c r="C492" s="17" t="n"/>
      <c r="D492" s="16" t="n"/>
      <c r="E492" s="16" t="n"/>
      <c r="F492" s="16" t="n"/>
      <c r="G492" s="16" t="n"/>
      <c r="H492" s="16" t="n"/>
      <c r="I492" s="16" t="n"/>
      <c r="J492" s="18" t="n"/>
      <c r="K492" s="16" t="n"/>
      <c r="L492" s="17" t="n"/>
      <c r="M492" s="18" t="n"/>
      <c r="N492" s="16" t="n"/>
      <c r="O492" s="16" t="n"/>
      <c r="P492" s="16" t="n"/>
      <c r="Q492" s="16" t="n"/>
      <c r="R492" s="16" t="n"/>
      <c r="S492" s="16" t="n"/>
      <c r="T492" s="18" t="n"/>
      <c r="U492" s="18" t="n"/>
      <c r="V492" s="7">
        <f>IF(L492="","",IF(TODAY()&gt;=L492,"到期","未到期"))</f>
        <v/>
      </c>
      <c r="W492" s="16" t="n"/>
      <c r="X492" s="16" t="n"/>
    </row>
    <row r="493">
      <c r="A493" s="15">
        <f>IF(B493="","","V-"&amp;TEXT(ROW()-1,"000"))</f>
        <v/>
      </c>
      <c r="B493" s="16" t="n"/>
      <c r="C493" s="17" t="n"/>
      <c r="D493" s="16" t="n"/>
      <c r="E493" s="16" t="n"/>
      <c r="F493" s="16" t="n"/>
      <c r="G493" s="16" t="n"/>
      <c r="H493" s="16" t="n"/>
      <c r="I493" s="16" t="n"/>
      <c r="J493" s="18" t="n"/>
      <c r="K493" s="16" t="n"/>
      <c r="L493" s="17" t="n"/>
      <c r="M493" s="18" t="n"/>
      <c r="N493" s="16" t="n"/>
      <c r="O493" s="16" t="n"/>
      <c r="P493" s="16" t="n"/>
      <c r="Q493" s="16" t="n"/>
      <c r="R493" s="16" t="n"/>
      <c r="S493" s="16" t="n"/>
      <c r="T493" s="18" t="n"/>
      <c r="U493" s="18" t="n"/>
      <c r="V493" s="7">
        <f>IF(L493="","",IF(TODAY()&gt;=L493,"到期","未到期"))</f>
        <v/>
      </c>
      <c r="W493" s="16" t="n"/>
      <c r="X493" s="16" t="n"/>
    </row>
    <row r="494">
      <c r="A494" s="15">
        <f>IF(B494="","","V-"&amp;TEXT(ROW()-1,"000"))</f>
        <v/>
      </c>
      <c r="B494" s="16" t="n"/>
      <c r="C494" s="17" t="n"/>
      <c r="D494" s="16" t="n"/>
      <c r="E494" s="16" t="n"/>
      <c r="F494" s="16" t="n"/>
      <c r="G494" s="16" t="n"/>
      <c r="H494" s="16" t="n"/>
      <c r="I494" s="16" t="n"/>
      <c r="J494" s="18" t="n"/>
      <c r="K494" s="16" t="n"/>
      <c r="L494" s="17" t="n"/>
      <c r="M494" s="18" t="n"/>
      <c r="N494" s="16" t="n"/>
      <c r="O494" s="16" t="n"/>
      <c r="P494" s="16" t="n"/>
      <c r="Q494" s="16" t="n"/>
      <c r="R494" s="16" t="n"/>
      <c r="S494" s="16" t="n"/>
      <c r="T494" s="18" t="n"/>
      <c r="U494" s="18" t="n"/>
      <c r="V494" s="7">
        <f>IF(L494="","",IF(TODAY()&gt;=L494,"到期","未到期"))</f>
        <v/>
      </c>
      <c r="W494" s="16" t="n"/>
      <c r="X494" s="16" t="n"/>
    </row>
    <row r="495">
      <c r="A495" s="15">
        <f>IF(B495="","","V-"&amp;TEXT(ROW()-1,"000"))</f>
        <v/>
      </c>
      <c r="B495" s="16" t="n"/>
      <c r="C495" s="17" t="n"/>
      <c r="D495" s="16" t="n"/>
      <c r="E495" s="16" t="n"/>
      <c r="F495" s="16" t="n"/>
      <c r="G495" s="16" t="n"/>
      <c r="H495" s="16" t="n"/>
      <c r="I495" s="16" t="n"/>
      <c r="J495" s="18" t="n"/>
      <c r="K495" s="16" t="n"/>
      <c r="L495" s="17" t="n"/>
      <c r="M495" s="18" t="n"/>
      <c r="N495" s="16" t="n"/>
      <c r="O495" s="16" t="n"/>
      <c r="P495" s="16" t="n"/>
      <c r="Q495" s="16" t="n"/>
      <c r="R495" s="16" t="n"/>
      <c r="S495" s="16" t="n"/>
      <c r="T495" s="18" t="n"/>
      <c r="U495" s="18" t="n"/>
      <c r="V495" s="7">
        <f>IF(L495="","",IF(TODAY()&gt;=L495,"到期","未到期"))</f>
        <v/>
      </c>
      <c r="W495" s="16" t="n"/>
      <c r="X495" s="16" t="n"/>
    </row>
    <row r="496">
      <c r="A496" s="15">
        <f>IF(B496="","","V-"&amp;TEXT(ROW()-1,"000"))</f>
        <v/>
      </c>
      <c r="B496" s="16" t="n"/>
      <c r="C496" s="17" t="n"/>
      <c r="D496" s="16" t="n"/>
      <c r="E496" s="16" t="n"/>
      <c r="F496" s="16" t="n"/>
      <c r="G496" s="16" t="n"/>
      <c r="H496" s="16" t="n"/>
      <c r="I496" s="16" t="n"/>
      <c r="J496" s="18" t="n"/>
      <c r="K496" s="16" t="n"/>
      <c r="L496" s="17" t="n"/>
      <c r="M496" s="18" t="n"/>
      <c r="N496" s="16" t="n"/>
      <c r="O496" s="16" t="n"/>
      <c r="P496" s="16" t="n"/>
      <c r="Q496" s="16" t="n"/>
      <c r="R496" s="16" t="n"/>
      <c r="S496" s="16" t="n"/>
      <c r="T496" s="18" t="n"/>
      <c r="U496" s="18" t="n"/>
      <c r="V496" s="7">
        <f>IF(L496="","",IF(TODAY()&gt;=L496,"到期","未到期"))</f>
        <v/>
      </c>
      <c r="W496" s="16" t="n"/>
      <c r="X496" s="16" t="n"/>
    </row>
    <row r="497">
      <c r="A497" s="15">
        <f>IF(B497="","","V-"&amp;TEXT(ROW()-1,"000"))</f>
        <v/>
      </c>
      <c r="B497" s="16" t="n"/>
      <c r="C497" s="17" t="n"/>
      <c r="D497" s="16" t="n"/>
      <c r="E497" s="16" t="n"/>
      <c r="F497" s="16" t="n"/>
      <c r="G497" s="16" t="n"/>
      <c r="H497" s="16" t="n"/>
      <c r="I497" s="16" t="n"/>
      <c r="J497" s="18" t="n"/>
      <c r="K497" s="16" t="n"/>
      <c r="L497" s="17" t="n"/>
      <c r="M497" s="18" t="n"/>
      <c r="N497" s="16" t="n"/>
      <c r="O497" s="16" t="n"/>
      <c r="P497" s="16" t="n"/>
      <c r="Q497" s="16" t="n"/>
      <c r="R497" s="16" t="n"/>
      <c r="S497" s="16" t="n"/>
      <c r="T497" s="18" t="n"/>
      <c r="U497" s="18" t="n"/>
      <c r="V497" s="7">
        <f>IF(L497="","",IF(TODAY()&gt;=L497,"到期","未到期"))</f>
        <v/>
      </c>
      <c r="W497" s="16" t="n"/>
      <c r="X497" s="16" t="n"/>
    </row>
    <row r="498">
      <c r="A498" s="15">
        <f>IF(B498="","","V-"&amp;TEXT(ROW()-1,"000"))</f>
        <v/>
      </c>
      <c r="B498" s="16" t="n"/>
      <c r="C498" s="17" t="n"/>
      <c r="D498" s="16" t="n"/>
      <c r="E498" s="16" t="n"/>
      <c r="F498" s="16" t="n"/>
      <c r="G498" s="16" t="n"/>
      <c r="H498" s="16" t="n"/>
      <c r="I498" s="16" t="n"/>
      <c r="J498" s="18" t="n"/>
      <c r="K498" s="16" t="n"/>
      <c r="L498" s="17" t="n"/>
      <c r="M498" s="18" t="n"/>
      <c r="N498" s="16" t="n"/>
      <c r="O498" s="16" t="n"/>
      <c r="P498" s="16" t="n"/>
      <c r="Q498" s="16" t="n"/>
      <c r="R498" s="16" t="n"/>
      <c r="S498" s="16" t="n"/>
      <c r="T498" s="18" t="n"/>
      <c r="U498" s="18" t="n"/>
      <c r="V498" s="7">
        <f>IF(L498="","",IF(TODAY()&gt;=L498,"到期","未到期"))</f>
        <v/>
      </c>
      <c r="W498" s="16" t="n"/>
      <c r="X498" s="16" t="n"/>
    </row>
    <row r="499">
      <c r="A499" s="15">
        <f>IF(B499="","","V-"&amp;TEXT(ROW()-1,"000"))</f>
        <v/>
      </c>
      <c r="B499" s="16" t="n"/>
      <c r="C499" s="17" t="n"/>
      <c r="D499" s="16" t="n"/>
      <c r="E499" s="16" t="n"/>
      <c r="F499" s="16" t="n"/>
      <c r="G499" s="16" t="n"/>
      <c r="H499" s="16" t="n"/>
      <c r="I499" s="16" t="n"/>
      <c r="J499" s="18" t="n"/>
      <c r="K499" s="16" t="n"/>
      <c r="L499" s="17" t="n"/>
      <c r="M499" s="18" t="n"/>
      <c r="N499" s="16" t="n"/>
      <c r="O499" s="16" t="n"/>
      <c r="P499" s="16" t="n"/>
      <c r="Q499" s="16" t="n"/>
      <c r="R499" s="16" t="n"/>
      <c r="S499" s="16" t="n"/>
      <c r="T499" s="18" t="n"/>
      <c r="U499" s="18" t="n"/>
      <c r="V499" s="7">
        <f>IF(L499="","",IF(TODAY()&gt;=L499,"到期","未到期"))</f>
        <v/>
      </c>
      <c r="W499" s="16" t="n"/>
      <c r="X499" s="16" t="n"/>
    </row>
    <row r="500">
      <c r="A500" s="15">
        <f>IF(B500="","","V-"&amp;TEXT(ROW()-1,"000"))</f>
        <v/>
      </c>
      <c r="B500" s="16" t="n"/>
      <c r="C500" s="17" t="n"/>
      <c r="D500" s="16" t="n"/>
      <c r="E500" s="16" t="n"/>
      <c r="F500" s="16" t="n"/>
      <c r="G500" s="16" t="n"/>
      <c r="H500" s="16" t="n"/>
      <c r="I500" s="16" t="n"/>
      <c r="J500" s="18" t="n"/>
      <c r="K500" s="16" t="n"/>
      <c r="L500" s="17" t="n"/>
      <c r="M500" s="18" t="n"/>
      <c r="N500" s="16" t="n"/>
      <c r="O500" s="16" t="n"/>
      <c r="P500" s="16" t="n"/>
      <c r="Q500" s="16" t="n"/>
      <c r="R500" s="16" t="n"/>
      <c r="S500" s="16" t="n"/>
      <c r="T500" s="18" t="n"/>
      <c r="U500" s="18" t="n"/>
      <c r="V500" s="7">
        <f>IF(L500="","",IF(TODAY()&gt;=L500,"到期","未到期"))</f>
        <v/>
      </c>
      <c r="W500" s="16" t="n"/>
      <c r="X500" s="16" t="n"/>
    </row>
  </sheetData>
  <autoFilter ref="A1:X500"/>
  <conditionalFormatting sqref="V2:V500">
    <cfRule type="expression" priority="1" dxfId="0">
      <formula>$V2="到期"</formula>
    </cfRule>
  </conditionalFormatting>
  <dataValidations count="11">
    <dataValidation sqref="E2:E500" showDropDown="0" showInputMessage="0" showErrorMessage="0" allowBlank="1" type="list">
      <formula1>='选项'!$D$2:$D$15</formula1>
    </dataValidation>
    <dataValidation sqref="I2:I500" showDropDown="0" showInputMessage="0" showErrorMessage="0" allowBlank="1" type="list">
      <formula1>='选项'!$I$2:$I$4</formula1>
    </dataValidation>
    <dataValidation sqref="K2:K500" showDropDown="0" showInputMessage="0" showErrorMessage="0" allowBlank="1" type="list">
      <formula1>='选项'!$J$2:$J$5</formula1>
    </dataValidation>
    <dataValidation sqref="N2:N500" showDropDown="0" showInputMessage="0" showErrorMessage="0" allowBlank="1" type="list">
      <formula1>='选项'!$K$2:$K$9</formula1>
    </dataValidation>
    <dataValidation sqref="O2:O500" showDropDown="0" showInputMessage="0" showErrorMessage="0" allowBlank="1" type="list">
      <formula1>='选项'!$L$2:$L$5</formula1>
    </dataValidation>
    <dataValidation sqref="P2:P500" showDropDown="0" showInputMessage="0" showErrorMessage="0" allowBlank="1" type="list">
      <formula1>='选项'!$M$2:$M$5</formula1>
    </dataValidation>
    <dataValidation sqref="Q2:Q500" showDropDown="0" showInputMessage="0" showErrorMessage="0" allowBlank="1" type="list">
      <formula1>='选项'!$N$2:$N$5</formula1>
    </dataValidation>
    <dataValidation sqref="R2:R500" showDropDown="0" showInputMessage="0" showErrorMessage="0" allowBlank="1" type="list">
      <formula1>='选项'!$O$2:$O$9</formula1>
    </dataValidation>
    <dataValidation sqref="S2:S500" showDropDown="0" showInputMessage="0" showErrorMessage="0" allowBlank="1" type="list">
      <formula1>='选项'!$P$2:$P$10</formula1>
    </dataValidation>
    <dataValidation sqref="W2:W500" showDropDown="0" showInputMessage="0" showErrorMessage="0" allowBlank="1" type="list">
      <formula1>='选项'!$R$2:$R$3</formula1>
    </dataValidation>
    <dataValidation sqref="X2:X500" showDropDown="0" showInputMessage="0" showErrorMessage="0" allowBlank="1" type="list">
      <formula1>='选项'!$R$2:$R$3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70" customWidth="1" min="3" max="3"/>
  </cols>
  <sheetData>
    <row r="1">
      <c r="A1" s="19" t="inlineStr">
        <is>
          <t>训练看板</t>
        </is>
      </c>
    </row>
    <row r="2">
      <c r="A2" s="4" t="inlineStr">
        <is>
          <t>指标</t>
        </is>
      </c>
      <c r="B2" s="4" t="inlineStr">
        <is>
          <t>当前统计</t>
        </is>
      </c>
      <c r="C2" s="4" t="inlineStr">
        <is>
          <t>解释</t>
        </is>
      </c>
    </row>
    <row r="3" ht="36" customHeight="1">
      <c r="A3" s="9" t="inlineStr">
        <is>
          <t>观察记录数</t>
        </is>
      </c>
      <c r="B3" s="7">
        <f>COUNTA(每日观察!B2:B500)</f>
        <v/>
      </c>
      <c r="C3" s="20" t="inlineStr">
        <is>
          <t>不是越多越好，先保证每条理由链质量。</t>
        </is>
      </c>
    </row>
    <row r="4" ht="36" customHeight="1">
      <c r="A4" s="9" t="inlineStr">
        <is>
          <t>最低闭环完成数</t>
        </is>
      </c>
      <c r="B4" s="7">
        <f>COUNTIF(每日观察!Z2:Z500,1)</f>
        <v/>
      </c>
      <c r="C4" s="20" t="inlineStr">
        <is>
          <t>绿色列全部完成才计入。</t>
        </is>
      </c>
    </row>
    <row r="5" ht="36" customHeight="1">
      <c r="A5" s="9" t="inlineStr">
        <is>
          <t>最低闭环完成率</t>
        </is>
      </c>
      <c r="B5" s="21">
        <f>IFERROR(B4/B3,"")</f>
        <v/>
      </c>
      <c r="C5" s="20" t="inlineStr">
        <is>
          <t>检查有没有填完，不代表理由链有效。</t>
        </is>
      </c>
    </row>
    <row r="6" ht="36" customHeight="1">
      <c r="A6" s="9" t="inlineStr">
        <is>
          <t>有效理由链数</t>
        </is>
      </c>
      <c r="B6" s="7">
        <f>COUNTIF(每日观察!AE2:AE500,"有效")</f>
        <v/>
      </c>
      <c r="C6" s="20" t="inlineStr">
        <is>
          <t>核心训练指标：4项质量检查都合格。</t>
        </is>
      </c>
    </row>
    <row r="7" ht="36" customHeight="1">
      <c r="A7" s="9" t="inlineStr">
        <is>
          <t>有效理由链率</t>
        </is>
      </c>
      <c r="B7" s="21">
        <f>IFERROR(B6/B3,"")</f>
        <v/>
      </c>
      <c r="C7" s="20" t="inlineStr">
        <is>
          <t>比完整度更重要；低说明在填模板而不是训练判断。</t>
        </is>
      </c>
    </row>
    <row r="8" ht="36" customHeight="1">
      <c r="A8" s="9" t="inlineStr">
        <is>
          <t>事实不具体次数</t>
        </is>
      </c>
      <c r="B8" s="7">
        <f>COUNTIF(每日观察!AA2:AA500,"不合格")</f>
        <v/>
      </c>
      <c r="C8" s="20" t="inlineStr">
        <is>
          <t>说明事实锚点没有写清楚。</t>
        </is>
      </c>
    </row>
    <row r="9" ht="36" customHeight="1">
      <c r="A9" s="9" t="inlineStr">
        <is>
          <t>判断无偏向次数</t>
        </is>
      </c>
      <c r="B9" s="7">
        <f>COUNTIF(每日观察!AB2:AB500,"不合格")</f>
        <v/>
      </c>
      <c r="C9" s="20" t="inlineStr">
        <is>
          <t>说明没有真正下暂定判断。</t>
        </is>
      </c>
    </row>
    <row r="10" ht="36" customHeight="1">
      <c r="A10" s="9" t="inlineStr">
        <is>
          <t>反证无效次数</t>
        </is>
      </c>
      <c r="B10" s="7">
        <f>COUNTIF(每日观察!AC2:AC500,"不合格")</f>
        <v/>
      </c>
      <c r="C10" s="20" t="inlineStr">
        <is>
          <t>说明没有找真实反向证据。</t>
        </is>
      </c>
    </row>
    <row r="11" ht="36" customHeight="1">
      <c r="A11" s="9" t="inlineStr">
        <is>
          <t>区分信号不具体次数</t>
        </is>
      </c>
      <c r="B11" s="7">
        <f>COUNTIF(每日观察!AD2:AD500,"不合格")</f>
        <v/>
      </c>
      <c r="C11" s="20" t="inlineStr">
        <is>
          <t>说明后续观察点不可验证。</t>
        </is>
      </c>
    </row>
    <row r="12" ht="36" customHeight="1">
      <c r="A12" s="9" t="inlineStr">
        <is>
          <t>无清晰位置次数</t>
        </is>
      </c>
      <c r="B12" s="7">
        <f>COUNTIF(每日观察!H2:H500,"无清晰位置")</f>
        <v/>
      </c>
      <c r="C12" s="20" t="inlineStr">
        <is>
          <t>不是坏事；如果过多，说明关键位置基本功需要补。</t>
        </is>
      </c>
    </row>
    <row r="13" ht="36" customHeight="1">
      <c r="A13" s="9" t="inlineStr">
        <is>
          <t>位置不清晰次数</t>
        </is>
      </c>
      <c r="B13" s="7">
        <f>COUNTIF(每日观察!L2:L500,"不清晰")</f>
        <v/>
      </c>
      <c r="C13" s="20" t="inlineStr">
        <is>
          <t>用于观察关键位置识别能力是否在改善。</t>
        </is>
      </c>
    </row>
    <row r="14" ht="36" customHeight="1">
      <c r="A14" s="9" t="inlineStr">
        <is>
          <t>高判断强度次数</t>
        </is>
      </c>
      <c r="B14" s="7">
        <f>COUNTIF(每日观察!R2:R500,"高")</f>
        <v/>
      </c>
      <c r="C14" s="20" t="inlineStr">
        <is>
          <t>高强度过多可能代表过度确定。</t>
        </is>
      </c>
    </row>
    <row r="15" ht="36" customHeight="1">
      <c r="A15" s="9" t="inlineStr">
        <is>
          <t>验证记录数</t>
        </is>
      </c>
      <c r="B15" s="7">
        <f>COUNTA(事后验证!B2:B500)</f>
        <v/>
      </c>
      <c r="C15" s="20" t="inlineStr">
        <is>
          <t>到期后补验证，形成反馈。</t>
        </is>
      </c>
    </row>
    <row r="16" ht="36" customHeight="1">
      <c r="A16" s="9" t="inlineStr">
        <is>
          <t>关键位置找错次数</t>
        </is>
      </c>
      <c r="B16" s="7">
        <f>COUNTIF(事后验证!R2:R500,"关键位置找错")</f>
        <v/>
      </c>
      <c r="C16" s="20" t="inlineStr">
        <is>
          <t>直接对应关键位置训练。</t>
        </is>
      </c>
    </row>
    <row r="17" ht="36" customHeight="1">
      <c r="A17" s="9" t="inlineStr">
        <is>
          <t>理由链断裂次数</t>
        </is>
      </c>
      <c r="B17" s="7">
        <f>COUNTIF(事后验证!R2:R500,"理由链断裂")</f>
        <v/>
      </c>
      <c r="C17" s="20" t="inlineStr">
        <is>
          <t>说明事实到解释之间没有说清楚。</t>
        </is>
      </c>
    </row>
    <row r="18" ht="36" customHeight="1">
      <c r="A18" s="9" t="inlineStr">
        <is>
          <t>漏掉反证次数</t>
        </is>
      </c>
      <c r="B18" s="7">
        <f>COUNTIF(事后验证!R2:R500,"漏掉反证")</f>
        <v/>
      </c>
      <c r="C18" s="20" t="inlineStr">
        <is>
          <t>这是最重要的改进信号之一。</t>
        </is>
      </c>
    </row>
    <row r="19" ht="36" customHeight="1">
      <c r="A19" s="9" t="inlineStr">
        <is>
          <t>过度确定次数</t>
        </is>
      </c>
      <c r="B19" s="7">
        <f>COUNTIF(事后验证!R2:R500,"过度确定")</f>
        <v/>
      </c>
      <c r="C19" s="20" t="inlineStr">
        <is>
          <t>训练目标是暂定解释，不是确定预言。</t>
        </is>
      </c>
    </row>
    <row r="20" ht="36" customHeight="1">
      <c r="A20" s="9" t="inlineStr">
        <is>
          <t>概率失败次数</t>
        </is>
      </c>
      <c r="B20" s="7">
        <f>COUNTIF(事后验证!R2:R500,"概率失败")</f>
        <v/>
      </c>
      <c r="C20" s="20" t="inlineStr">
        <is>
          <t>过程合理但结果不利，不要强行找唯一根因。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大盘状态</t>
        </is>
      </c>
      <c r="B1" s="2" t="inlineStr">
        <is>
          <t>板块状态</t>
        </is>
      </c>
      <c r="C1" s="2" t="inlineStr">
        <is>
          <t>个股相对板块</t>
        </is>
      </c>
      <c r="D1" s="2" t="inlineStr">
        <is>
          <t>关键位置类型</t>
        </is>
      </c>
      <c r="E1" s="2" t="inlineStr">
        <is>
          <t>今日与关键位关系</t>
        </is>
      </c>
      <c r="F1" s="2" t="inlineStr">
        <is>
          <t>位置置信度</t>
        </is>
      </c>
      <c r="G1" s="2" t="inlineStr">
        <is>
          <t>今日最明显现象</t>
        </is>
      </c>
      <c r="H1" s="2" t="inlineStr">
        <is>
          <t>候选解释</t>
        </is>
      </c>
      <c r="I1" s="2" t="inlineStr">
        <is>
          <t>判断强度</t>
        </is>
      </c>
      <c r="J1" s="2" t="inlineStr">
        <is>
          <t>验证节点</t>
        </is>
      </c>
      <c r="K1" s="2" t="inlineStr">
        <is>
          <t>后续实际表现</t>
        </is>
      </c>
      <c r="L1" s="2" t="inlineStr">
        <is>
          <t>关键位置有效性</t>
        </is>
      </c>
      <c r="M1" s="2" t="inlineStr">
        <is>
          <t>区分信号是否出现</t>
        </is>
      </c>
      <c r="N1" s="2" t="inlineStr">
        <is>
          <t>解释变化</t>
        </is>
      </c>
      <c r="O1" s="2" t="inlineStr">
        <is>
          <t>判断质量</t>
        </is>
      </c>
      <c r="P1" s="2" t="inlineStr">
        <is>
          <t>错误/失败类型</t>
        </is>
      </c>
      <c r="Q1" s="2" t="inlineStr">
        <is>
          <t>质量检查</t>
        </is>
      </c>
      <c r="R1" s="2" t="inlineStr">
        <is>
          <t>理由链质量</t>
        </is>
      </c>
    </row>
    <row r="2">
      <c r="A2" s="3" t="inlineStr">
        <is>
          <t>上升</t>
        </is>
      </c>
      <c r="B2" s="3" t="inlineStr">
        <is>
          <t>主线强势</t>
        </is>
      </c>
      <c r="C2" s="3" t="inlineStr">
        <is>
          <t>强于板块</t>
        </is>
      </c>
      <c r="D2" s="3" t="inlineStr">
        <is>
          <t>前高</t>
        </is>
      </c>
      <c r="E2" s="3" t="inlineStr">
        <is>
          <t>突破</t>
        </is>
      </c>
      <c r="F2" s="3" t="inlineStr">
        <is>
          <t>清晰</t>
        </is>
      </c>
      <c r="G2" s="3" t="inlineStr">
        <is>
          <t>放量突破</t>
        </is>
      </c>
      <c r="H2" s="3" t="inlineStr">
        <is>
          <t>真突破/启动尝试</t>
        </is>
      </c>
      <c r="I2" s="3" t="inlineStr">
        <is>
          <t>低</t>
        </is>
      </c>
      <c r="J2" s="3" t="inlineStr">
        <is>
          <t>3日</t>
        </is>
      </c>
      <c r="K2" s="3" t="inlineStr">
        <is>
          <t>向上延续</t>
        </is>
      </c>
      <c r="L2" s="3" t="inlineStr">
        <is>
          <t>有效</t>
        </is>
      </c>
      <c r="M2" s="3" t="inlineStr">
        <is>
          <t>出现</t>
        </is>
      </c>
      <c r="N2" s="3" t="inlineStr">
        <is>
          <t>强化</t>
        </is>
      </c>
      <c r="O2" s="3" t="inlineStr">
        <is>
          <t>过程合理</t>
        </is>
      </c>
      <c r="P2" s="3" t="inlineStr">
        <is>
          <t>把反弹当启动</t>
        </is>
      </c>
      <c r="Q2" s="3" t="inlineStr">
        <is>
          <t>合格</t>
        </is>
      </c>
      <c r="R2" s="3" t="inlineStr">
        <is>
          <t>有效</t>
        </is>
      </c>
    </row>
    <row r="3">
      <c r="A3" s="3" t="inlineStr">
        <is>
          <t>震荡偏强</t>
        </is>
      </c>
      <c r="B3" s="3" t="inlineStr">
        <is>
          <t>轮动强势</t>
        </is>
      </c>
      <c r="C3" s="3" t="inlineStr">
        <is>
          <t>同步板块</t>
        </is>
      </c>
      <c r="D3" s="3" t="inlineStr">
        <is>
          <t>前低</t>
        </is>
      </c>
      <c r="E3" s="3" t="inlineStr">
        <is>
          <t>回踩</t>
        </is>
      </c>
      <c r="F3" s="3" t="inlineStr">
        <is>
          <t>一般</t>
        </is>
      </c>
      <c r="G3" s="3" t="inlineStr">
        <is>
          <t>缩量回调</t>
        </is>
      </c>
      <c r="H3" s="3" t="inlineStr">
        <is>
          <t>情绪冲高</t>
        </is>
      </c>
      <c r="I3" s="3" t="inlineStr">
        <is>
          <t>中</t>
        </is>
      </c>
      <c r="J3" s="3" t="inlineStr">
        <is>
          <t>5日</t>
        </is>
      </c>
      <c r="K3" s="3" t="inlineStr">
        <is>
          <t>震荡消化</t>
        </is>
      </c>
      <c r="L3" s="3" t="inlineStr">
        <is>
          <t>一般</t>
        </is>
      </c>
      <c r="M3" s="3" t="inlineStr">
        <is>
          <t>未出现</t>
        </is>
      </c>
      <c r="N3" s="3" t="inlineStr">
        <is>
          <t>削弱</t>
        </is>
      </c>
      <c r="O3" s="3" t="inlineStr">
        <is>
          <t>事实不清</t>
        </is>
      </c>
      <c r="P3" s="3" t="inlineStr">
        <is>
          <t>把分歧当退潮</t>
        </is>
      </c>
      <c r="Q3" s="3" t="inlineStr">
        <is>
          <t>不合格</t>
        </is>
      </c>
      <c r="R3" s="3" t="inlineStr">
        <is>
          <t>无效</t>
        </is>
      </c>
    </row>
    <row r="4">
      <c r="A4" s="3" t="inlineStr">
        <is>
          <t>震荡</t>
        </is>
      </c>
      <c r="B4" s="3" t="inlineStr">
        <is>
          <t>首日异动</t>
        </is>
      </c>
      <c r="C4" s="3" t="inlineStr">
        <is>
          <t>弱于板块</t>
        </is>
      </c>
      <c r="D4" s="3" t="inlineStr">
        <is>
          <t>箱体上沿</t>
        </is>
      </c>
      <c r="E4" s="3" t="inlineStr">
        <is>
          <t>跌破</t>
        </is>
      </c>
      <c r="F4" s="3" t="inlineStr">
        <is>
          <t>不清晰</t>
        </is>
      </c>
      <c r="G4" s="3" t="inlineStr">
        <is>
          <t>冲高回落</t>
        </is>
      </c>
      <c r="H4" s="3" t="inlineStr">
        <is>
          <t>假突破</t>
        </is>
      </c>
      <c r="I4" s="3" t="inlineStr">
        <is>
          <t>高</t>
        </is>
      </c>
      <c r="J4" s="3" t="inlineStr">
        <is>
          <t>10日</t>
        </is>
      </c>
      <c r="K4" s="3" t="inlineStr">
        <is>
          <t>冲高回落</t>
        </is>
      </c>
      <c r="L4" s="3" t="inlineStr">
        <is>
          <t>无效</t>
        </is>
      </c>
      <c r="M4" s="3" t="inlineStr">
        <is>
          <t>部分出现</t>
        </is>
      </c>
      <c r="N4" s="3" t="inlineStr">
        <is>
          <t>证伪</t>
        </is>
      </c>
      <c r="O4" s="3" t="inlineStr">
        <is>
          <t>关键位置找错</t>
        </is>
      </c>
      <c r="P4" s="3" t="inlineStr">
        <is>
          <t>把退潮当回调</t>
        </is>
      </c>
    </row>
    <row r="5">
      <c r="A5" s="3" t="inlineStr">
        <is>
          <t>震荡偏弱</t>
        </is>
      </c>
      <c r="B5" s="3" t="inlineStr">
        <is>
          <t>震荡</t>
        </is>
      </c>
      <c r="C5" s="3" t="inlineStr">
        <is>
          <t>不确定</t>
        </is>
      </c>
      <c r="D5" s="3" t="inlineStr">
        <is>
          <t>箱体下沿</t>
        </is>
      </c>
      <c r="E5" s="3" t="inlineStr">
        <is>
          <t>接近</t>
        </is>
      </c>
      <c r="G5" s="3" t="inlineStr">
        <is>
          <t>高位放量震荡</t>
        </is>
      </c>
      <c r="H5" s="3" t="inlineStr">
        <is>
          <t>主升延续</t>
        </is>
      </c>
      <c r="J5" s="3" t="inlineStr">
        <is>
          <t>自定义</t>
        </is>
      </c>
      <c r="K5" s="3" t="inlineStr">
        <is>
          <t>跌回平台</t>
        </is>
      </c>
      <c r="L5" s="3" t="inlineStr">
        <is>
          <t>无法判断</t>
        </is>
      </c>
      <c r="M5" s="3" t="inlineStr">
        <is>
          <t>不适用</t>
        </is>
      </c>
      <c r="N5" s="3" t="inlineStr">
        <is>
          <t>仍不确定</t>
        </is>
      </c>
      <c r="O5" s="3" t="inlineStr">
        <is>
          <t>理由链断裂</t>
        </is>
      </c>
      <c r="P5" s="3" t="inlineStr">
        <is>
          <t>把补涨当核心</t>
        </is>
      </c>
    </row>
    <row r="6">
      <c r="A6" s="3" t="inlineStr">
        <is>
          <t>下降</t>
        </is>
      </c>
      <c r="B6" s="3" t="inlineStr">
        <is>
          <t>退潮</t>
        </is>
      </c>
      <c r="D6" s="3" t="inlineStr">
        <is>
          <t>5日线</t>
        </is>
      </c>
      <c r="E6" s="3" t="inlineStr">
        <is>
          <t>远离</t>
        </is>
      </c>
      <c r="G6" s="3" t="inlineStr">
        <is>
          <t>跌破关键位</t>
        </is>
      </c>
      <c r="H6" s="3" t="inlineStr">
        <is>
          <t>高位分歧</t>
        </is>
      </c>
      <c r="K6" s="3" t="inlineStr">
        <is>
          <t>跌破支撑</t>
        </is>
      </c>
      <c r="O6" s="3" t="inlineStr">
        <is>
          <t>漏掉反证</t>
        </is>
      </c>
      <c r="P6" s="3" t="inlineStr">
        <is>
          <t>忽略板块环境</t>
        </is>
      </c>
    </row>
    <row r="7">
      <c r="A7" s="3" t="inlineStr">
        <is>
          <t>不确定</t>
        </is>
      </c>
      <c r="B7" s="3" t="inlineStr">
        <is>
          <t>不确定</t>
        </is>
      </c>
      <c r="D7" s="3" t="inlineStr">
        <is>
          <t>10日线</t>
        </is>
      </c>
      <c r="E7" s="3" t="inlineStr">
        <is>
          <t>站上未确认</t>
        </is>
      </c>
      <c r="G7" s="3" t="inlineStr">
        <is>
          <t>回踩支撑不破</t>
        </is>
      </c>
      <c r="H7" s="3" t="inlineStr">
        <is>
          <t>健康回调</t>
        </is>
      </c>
      <c r="K7" s="3" t="inlineStr">
        <is>
          <t>修复转强</t>
        </is>
      </c>
      <c r="O7" s="3" t="inlineStr">
        <is>
          <t>过度确定</t>
        </is>
      </c>
      <c r="P7" s="3" t="inlineStr">
        <is>
          <t>忽略量价反证</t>
        </is>
      </c>
    </row>
    <row r="8">
      <c r="D8" s="3" t="inlineStr">
        <is>
          <t>20日线</t>
        </is>
      </c>
      <c r="E8" s="3" t="inlineStr">
        <is>
          <t>跌破后收回</t>
        </is>
      </c>
      <c r="G8" s="3" t="inlineStr">
        <is>
          <t>板块强个股弱</t>
        </is>
      </c>
      <c r="H8" s="3" t="inlineStr">
        <is>
          <t>退潮转弱</t>
        </is>
      </c>
      <c r="K8" s="3" t="inlineStr">
        <is>
          <t>继续转弱</t>
        </is>
      </c>
      <c r="O8" s="3" t="inlineStr">
        <is>
          <t>概率失败</t>
        </is>
      </c>
      <c r="P8" s="3" t="inlineStr">
        <is>
          <t>关键位选择不清</t>
        </is>
      </c>
    </row>
    <row r="9">
      <c r="D9" s="3" t="inlineStr">
        <is>
          <t>整数位</t>
        </is>
      </c>
      <c r="E9" s="3" t="inlineStr">
        <is>
          <t>不适用</t>
        </is>
      </c>
      <c r="G9" s="3" t="inlineStr">
        <is>
          <t>板块弱个股抗跌</t>
        </is>
      </c>
      <c r="H9" s="3" t="inlineStr">
        <is>
          <t>板块带动被动上涨</t>
        </is>
      </c>
      <c r="K9" s="3" t="inlineStr">
        <is>
          <t>无法判断</t>
        </is>
      </c>
      <c r="O9" s="3" t="inlineStr">
        <is>
          <t>无法评价</t>
        </is>
      </c>
      <c r="P9" s="3" t="inlineStr">
        <is>
          <t>概率结果失败</t>
        </is>
      </c>
    </row>
    <row r="10">
      <c r="D10" s="3" t="inlineStr">
        <is>
          <t>大阳线低点</t>
        </is>
      </c>
      <c r="E10" s="3" t="inlineStr">
        <is>
          <t>不确定</t>
        </is>
      </c>
      <c r="G10" s="3" t="inlineStr">
        <is>
          <t>连续加速上涨</t>
        </is>
      </c>
      <c r="H10" s="3" t="inlineStr">
        <is>
          <t>弱反弹</t>
        </is>
      </c>
      <c r="P10" s="3" t="inlineStr">
        <is>
          <t>无明显错误</t>
        </is>
      </c>
    </row>
    <row r="11">
      <c r="D11" s="3" t="inlineStr">
        <is>
          <t>大阴线高点</t>
        </is>
      </c>
      <c r="G11" s="3" t="inlineStr">
        <is>
          <t>低位反弹</t>
        </is>
      </c>
      <c r="H11" s="3" t="inlineStr">
        <is>
          <t>震荡整理</t>
        </is>
      </c>
    </row>
    <row r="12">
      <c r="D12" s="3" t="inlineStr">
        <is>
          <t>跳空缺口</t>
        </is>
      </c>
      <c r="G12" s="3" t="inlineStr">
        <is>
          <t>横盘震荡</t>
        </is>
      </c>
      <c r="H12" s="3" t="inlineStr">
        <is>
          <t>无法判断</t>
        </is>
      </c>
    </row>
    <row r="13">
      <c r="D13" s="3" t="inlineStr">
        <is>
          <t>放量分歧位</t>
        </is>
      </c>
      <c r="G13" s="3" t="inlineStr">
        <is>
          <t>无明显现象</t>
        </is>
      </c>
    </row>
    <row r="14">
      <c r="D14" s="3" t="inlineStr">
        <is>
          <t>无清晰位置</t>
        </is>
      </c>
    </row>
    <row r="15">
      <c r="D15" s="3" t="inlineStr">
        <is>
          <t>不确定</t>
        </is>
      </c>
    </row>
    <row r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2026-07-09T06:30:46Z</dcterms:created>
  <dcterms:modified xsi:type="dcterms:W3CDTF">2026-07-09T06:48:01Z</dcterms:modified>
</cp:coreProperties>
</file>