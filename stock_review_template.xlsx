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用说明" sheetId="1" state="visible" r:id="rId1"/>
    <sheet name="每日观察" sheetId="2" state="visible" r:id="rId2"/>
    <sheet name="现象脚手架" sheetId="3" state="visible" r:id="rId3"/>
    <sheet name="事后验证" sheetId="4" state="visible" r:id="rId4"/>
    <sheet name="汇总看板" sheetId="5" state="visible" r:id="rId5"/>
    <sheet name="选项" sheetId="6" state="visible" r:id="rId6"/>
  </sheets>
  <definedNames>
    <definedName name="_xlnm._FilterDatabase" localSheetId="1" hidden="1">'每日观察'!$A$1:$W$500</definedName>
    <definedName name="_xlnm._FilterDatabase" localSheetId="2" hidden="1">'现象脚手架'!$A$1:$G$500</definedName>
    <definedName name="_xlnm._FilterDatabase" localSheetId="3" hidden="1">'事后验证'!$A$1:$S$500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color rgb="00FFFFFF"/>
      <sz val="16"/>
    </font>
    <font>
      <name val="Arial"/>
      <b val="1"/>
      <color rgb="00000000"/>
    </font>
    <font>
      <name val="Arial"/>
      <b val="1"/>
      <color rgb="00FFFFFF"/>
      <sz val="14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FFD966"/>
      </patternFill>
    </fill>
    <fill>
      <patternFill patternType="solid">
        <fgColor rgb="009DC3E6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4B183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164" fontId="0" fillId="8" borderId="1" applyAlignment="1" pivotButton="0" quotePrefix="0" xfId="0">
      <alignment horizontal="center" vertical="center" wrapText="1"/>
    </xf>
    <xf numFmtId="9" fontId="0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vertical="top" wrapText="1"/>
    </xf>
    <xf numFmtId="165" fontId="0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8" customHeight="1">
      <c r="A1" s="1" t="inlineStr">
        <is>
          <t>股票观察训练模板</t>
        </is>
      </c>
      <c r="B1" s="23" t="n"/>
      <c r="C1" s="23" t="n"/>
      <c r="D1" s="24" t="n"/>
    </row>
    <row r="3" ht="44" customHeight="1">
      <c r="A3" s="2" t="inlineStr">
        <is>
          <t>模板目标</t>
        </is>
      </c>
      <c r="B3" s="3" t="inlineStr">
        <is>
          <t>训练“观察 -&gt; 候选解释 -&gt; 反证 -&gt; 下一步区分证据 -&gt; 事后验证”的能力。第一阶段不训练买卖点和仓位。</t>
        </is>
      </c>
    </row>
    <row r="4" ht="44" customHeight="1">
      <c r="A4" s="2" t="inlineStr">
        <is>
          <t>核心原则</t>
        </is>
      </c>
      <c r="B4" s="3" t="inlineStr">
        <is>
          <t>目标不降，入口降低。每天必须观察事实，也要被引导着尝试解释；允许“不确定”，但不能跳过证据和反证。</t>
        </is>
      </c>
    </row>
    <row r="5" ht="44" customHeight="1">
      <c r="A5" s="4" t="inlineStr">
        <is>
          <t>每日最小闭环</t>
        </is>
      </c>
      <c r="B5" s="3" t="inlineStr">
        <is>
          <t>完成“每日观察”绿色列：日期、股票、板块、大盘状态、板块状态、相对强弱、最明显现象、事实证据、当前偏向解释、置信度、下一步区分证据。</t>
        </is>
      </c>
    </row>
    <row r="6" ht="44" customHeight="1">
      <c r="A6" s="2" t="inlineStr">
        <is>
          <t>进阶列</t>
        </is>
      </c>
      <c r="B6" s="3" t="inlineStr">
        <is>
          <t>黄色列用于候选解释A/B、支持证据、反证和需要补的知识；不会写时可以写“不知道”，但要留下问题。</t>
        </is>
      </c>
    </row>
    <row r="7" ht="44" customHeight="1">
      <c r="A7" s="2" t="inlineStr">
        <is>
          <t>验证方式</t>
        </is>
      </c>
      <c r="B7" s="3" t="inlineStr">
        <is>
          <t>到 3日/5日/10日后，在“事后验证”记录哪个解释被强化/削弱，不只用涨跌判对错。</t>
        </is>
      </c>
    </row>
    <row r="8" ht="44" customHeight="1">
      <c r="A8" s="2" t="inlineStr">
        <is>
          <t>不要做的事</t>
        </is>
      </c>
      <c r="B8" s="3" t="inlineStr">
        <is>
          <t>不要把这个模板当买卖建议；不要为了填表强行给确定答案；不要把一次结果失败都解释为自己错。</t>
        </is>
      </c>
    </row>
    <row r="9" ht="44" customHeight="1">
      <c r="A9" s="2" t="inlineStr">
        <is>
          <t>颜色说明</t>
        </is>
      </c>
      <c r="B9" s="3" t="inlineStr">
        <is>
          <t>绿色=最低必填；黄色=思考训练；蓝色=公式/统计；橙色=事后反馈。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8" customWidth="1" min="8" max="8"/>
    <col width="42" customWidth="1" min="9" max="9"/>
    <col width="20" customWidth="1" min="10" max="10"/>
    <col width="36" customWidth="1" min="11" max="11"/>
    <col width="22" customWidth="1" min="12" max="12"/>
    <col width="38" customWidth="1" min="13" max="13"/>
    <col width="22" customWidth="1" min="14" max="14"/>
    <col width="12" customWidth="1" min="15" max="15"/>
    <col width="42" customWidth="1" min="16" max="16"/>
    <col width="14" customWidth="1" min="17" max="17"/>
    <col width="28" customWidth="1" min="18" max="18"/>
    <col width="34" customWidth="1" min="19" max="19"/>
    <col width="14" customWidth="1" min="20" max="20"/>
    <col width="14" customWidth="1" min="21" max="21"/>
    <col width="14" customWidth="1" min="22" max="22"/>
    <col width="12" customWidth="1" min="23" max="23"/>
  </cols>
  <sheetData>
    <row r="1">
      <c r="A1" s="4" t="inlineStr">
        <is>
          <t>记录ID</t>
        </is>
      </c>
      <c r="B1" s="4" t="inlineStr">
        <is>
          <t>日期</t>
        </is>
      </c>
      <c r="C1" s="4" t="inlineStr">
        <is>
          <t>股票/代码</t>
        </is>
      </c>
      <c r="D1" s="4" t="inlineStr">
        <is>
          <t>板块</t>
        </is>
      </c>
      <c r="E1" s="4" t="inlineStr">
        <is>
          <t>大盘状态</t>
        </is>
      </c>
      <c r="F1" s="4" t="inlineStr">
        <is>
          <t>板块状态</t>
        </is>
      </c>
      <c r="G1" s="4" t="inlineStr">
        <is>
          <t>个股相对板块</t>
        </is>
      </c>
      <c r="H1" s="4" t="inlineStr">
        <is>
          <t>今日最明显现象</t>
        </is>
      </c>
      <c r="I1" s="4" t="inlineStr">
        <is>
          <t>事实证据（只写看到的）</t>
        </is>
      </c>
      <c r="J1" s="5" t="inlineStr">
        <is>
          <t>候选解释A</t>
        </is>
      </c>
      <c r="K1" s="5" t="inlineStr">
        <is>
          <t>A的支持证据</t>
        </is>
      </c>
      <c r="L1" s="5" t="inlineStr">
        <is>
          <t>候选解释B/反向解释</t>
        </is>
      </c>
      <c r="M1" s="5" t="inlineStr">
        <is>
          <t>B的支持证据/反证</t>
        </is>
      </c>
      <c r="N1" s="4" t="inlineStr">
        <is>
          <t>当前偏向解释</t>
        </is>
      </c>
      <c r="O1" s="4" t="inlineStr">
        <is>
          <t>置信度</t>
        </is>
      </c>
      <c r="P1" s="4" t="inlineStr">
        <is>
          <t>下一步区分证据</t>
        </is>
      </c>
      <c r="Q1" s="5" t="inlineStr">
        <is>
          <t>我是否看懂</t>
        </is>
      </c>
      <c r="R1" s="5" t="inlineStr">
        <is>
          <t>需要补的知识</t>
        </is>
      </c>
      <c r="S1" s="5" t="inlineStr">
        <is>
          <t>今日小结</t>
        </is>
      </c>
      <c r="T1" s="6" t="inlineStr">
        <is>
          <t>3日验证日</t>
        </is>
      </c>
      <c r="U1" s="6" t="inlineStr">
        <is>
          <t>5日验证日</t>
        </is>
      </c>
      <c r="V1" s="6" t="inlineStr">
        <is>
          <t>10日验证日</t>
        </is>
      </c>
      <c r="W1" s="6" t="inlineStr">
        <is>
          <t>完整度</t>
        </is>
      </c>
    </row>
    <row r="2">
      <c r="A2" s="7">
        <f>IF(B2="","",TEXT(B2,"yyyymmdd")&amp;"-"&amp;TEXT(ROW()-1,"000"))</f>
        <v/>
      </c>
      <c r="B2" s="8" t="n"/>
      <c r="C2" s="9" t="n"/>
      <c r="D2" s="9" t="n"/>
      <c r="E2" s="9" t="n"/>
      <c r="F2" s="9" t="n"/>
      <c r="G2" s="9" t="n"/>
      <c r="H2" s="9" t="n"/>
      <c r="I2" s="10" t="n"/>
      <c r="J2" s="11" t="n"/>
      <c r="K2" s="12" t="n"/>
      <c r="L2" s="11" t="n"/>
      <c r="M2" s="12" t="n"/>
      <c r="N2" s="9" t="n"/>
      <c r="O2" s="9" t="n"/>
      <c r="P2" s="10" t="n"/>
      <c r="Q2" s="11" t="n"/>
      <c r="R2" s="12" t="n"/>
      <c r="S2" s="12" t="n"/>
      <c r="T2" s="13">
        <f>IF(B2="","",B2+3)</f>
        <v/>
      </c>
      <c r="U2" s="13">
        <f>IF(B2="","",B2+5)</f>
        <v/>
      </c>
      <c r="V2" s="13">
        <f>IF(B2="","",B2+10)</f>
        <v/>
      </c>
      <c r="W2" s="14">
        <f>IF(B2="","",(--(B2&lt;&gt;"")+--(C2&lt;&gt;"")+--(D2&lt;&gt;"")+--(E2&lt;&gt;"")+--(F2&lt;&gt;"")+--(G2&lt;&gt;"")+--(H2&lt;&gt;"")+--(I2&lt;&gt;"")+--(N2&lt;&gt;"")+--(O2&lt;&gt;"")+--(P2&lt;&gt;""))/11)</f>
        <v/>
      </c>
    </row>
    <row r="3">
      <c r="A3" s="7">
        <f>IF(B3="","",TEXT(B3,"yyyymmdd")&amp;"-"&amp;TEXT(ROW()-1,"000"))</f>
        <v/>
      </c>
      <c r="B3" s="8" t="n"/>
      <c r="C3" s="9" t="n"/>
      <c r="D3" s="9" t="n"/>
      <c r="E3" s="9" t="n"/>
      <c r="F3" s="9" t="n"/>
      <c r="G3" s="9" t="n"/>
      <c r="H3" s="9" t="n"/>
      <c r="I3" s="10" t="n"/>
      <c r="J3" s="11" t="n"/>
      <c r="K3" s="12" t="n"/>
      <c r="L3" s="11" t="n"/>
      <c r="M3" s="12" t="n"/>
      <c r="N3" s="9" t="n"/>
      <c r="O3" s="9" t="n"/>
      <c r="P3" s="10" t="n"/>
      <c r="Q3" s="11" t="n"/>
      <c r="R3" s="12" t="n"/>
      <c r="S3" s="12" t="n"/>
      <c r="T3" s="13">
        <f>IF(B3="","",B3+3)</f>
        <v/>
      </c>
      <c r="U3" s="13">
        <f>IF(B3="","",B3+5)</f>
        <v/>
      </c>
      <c r="V3" s="13">
        <f>IF(B3="","",B3+10)</f>
        <v/>
      </c>
      <c r="W3" s="14">
        <f>IF(B3="","",(--(B3&lt;&gt;"")+--(C3&lt;&gt;"")+--(D3&lt;&gt;"")+--(E3&lt;&gt;"")+--(F3&lt;&gt;"")+--(G3&lt;&gt;"")+--(H3&lt;&gt;"")+--(I3&lt;&gt;"")+--(N3&lt;&gt;"")+--(O3&lt;&gt;"")+--(P3&lt;&gt;""))/11)</f>
        <v/>
      </c>
    </row>
    <row r="4">
      <c r="A4" s="7">
        <f>IF(B4="","",TEXT(B4,"yyyymmdd")&amp;"-"&amp;TEXT(ROW()-1,"000"))</f>
        <v/>
      </c>
      <c r="B4" s="8" t="n"/>
      <c r="C4" s="9" t="n"/>
      <c r="D4" s="9" t="n"/>
      <c r="E4" s="9" t="n"/>
      <c r="F4" s="9" t="n"/>
      <c r="G4" s="9" t="n"/>
      <c r="H4" s="9" t="n"/>
      <c r="I4" s="10" t="n"/>
      <c r="J4" s="11" t="n"/>
      <c r="K4" s="12" t="n"/>
      <c r="L4" s="11" t="n"/>
      <c r="M4" s="12" t="n"/>
      <c r="N4" s="9" t="n"/>
      <c r="O4" s="9" t="n"/>
      <c r="P4" s="10" t="n"/>
      <c r="Q4" s="11" t="n"/>
      <c r="R4" s="12" t="n"/>
      <c r="S4" s="12" t="n"/>
      <c r="T4" s="13">
        <f>IF(B4="","",B4+3)</f>
        <v/>
      </c>
      <c r="U4" s="13">
        <f>IF(B4="","",B4+5)</f>
        <v/>
      </c>
      <c r="V4" s="13">
        <f>IF(B4="","",B4+10)</f>
        <v/>
      </c>
      <c r="W4" s="14">
        <f>IF(B4="","",(--(B4&lt;&gt;"")+--(C4&lt;&gt;"")+--(D4&lt;&gt;"")+--(E4&lt;&gt;"")+--(F4&lt;&gt;"")+--(G4&lt;&gt;"")+--(H4&lt;&gt;"")+--(I4&lt;&gt;"")+--(N4&lt;&gt;"")+--(O4&lt;&gt;"")+--(P4&lt;&gt;""))/11)</f>
        <v/>
      </c>
    </row>
    <row r="5">
      <c r="A5" s="7">
        <f>IF(B5="","",TEXT(B5,"yyyymmdd")&amp;"-"&amp;TEXT(ROW()-1,"000"))</f>
        <v/>
      </c>
      <c r="B5" s="8" t="n"/>
      <c r="C5" s="9" t="n"/>
      <c r="D5" s="9" t="n"/>
      <c r="E5" s="9" t="n"/>
      <c r="F5" s="9" t="n"/>
      <c r="G5" s="9" t="n"/>
      <c r="H5" s="9" t="n"/>
      <c r="I5" s="10" t="n"/>
      <c r="J5" s="11" t="n"/>
      <c r="K5" s="12" t="n"/>
      <c r="L5" s="11" t="n"/>
      <c r="M5" s="12" t="n"/>
      <c r="N5" s="9" t="n"/>
      <c r="O5" s="9" t="n"/>
      <c r="P5" s="10" t="n"/>
      <c r="Q5" s="11" t="n"/>
      <c r="R5" s="12" t="n"/>
      <c r="S5" s="12" t="n"/>
      <c r="T5" s="13">
        <f>IF(B5="","",B5+3)</f>
        <v/>
      </c>
      <c r="U5" s="13">
        <f>IF(B5="","",B5+5)</f>
        <v/>
      </c>
      <c r="V5" s="13">
        <f>IF(B5="","",B5+10)</f>
        <v/>
      </c>
      <c r="W5" s="14">
        <f>IF(B5="","",(--(B5&lt;&gt;"")+--(C5&lt;&gt;"")+--(D5&lt;&gt;"")+--(E5&lt;&gt;"")+--(F5&lt;&gt;"")+--(G5&lt;&gt;"")+--(H5&lt;&gt;"")+--(I5&lt;&gt;"")+--(N5&lt;&gt;"")+--(O5&lt;&gt;"")+--(P5&lt;&gt;""))/11)</f>
        <v/>
      </c>
    </row>
    <row r="6">
      <c r="A6" s="7">
        <f>IF(B6="","",TEXT(B6,"yyyymmdd")&amp;"-"&amp;TEXT(ROW()-1,"000"))</f>
        <v/>
      </c>
      <c r="B6" s="8" t="n"/>
      <c r="C6" s="9" t="n"/>
      <c r="D6" s="9" t="n"/>
      <c r="E6" s="9" t="n"/>
      <c r="F6" s="9" t="n"/>
      <c r="G6" s="9" t="n"/>
      <c r="H6" s="9" t="n"/>
      <c r="I6" s="10" t="n"/>
      <c r="J6" s="11" t="n"/>
      <c r="K6" s="12" t="n"/>
      <c r="L6" s="11" t="n"/>
      <c r="M6" s="12" t="n"/>
      <c r="N6" s="9" t="n"/>
      <c r="O6" s="9" t="n"/>
      <c r="P6" s="10" t="n"/>
      <c r="Q6" s="11" t="n"/>
      <c r="R6" s="12" t="n"/>
      <c r="S6" s="12" t="n"/>
      <c r="T6" s="13">
        <f>IF(B6="","",B6+3)</f>
        <v/>
      </c>
      <c r="U6" s="13">
        <f>IF(B6="","",B6+5)</f>
        <v/>
      </c>
      <c r="V6" s="13">
        <f>IF(B6="","",B6+10)</f>
        <v/>
      </c>
      <c r="W6" s="14">
        <f>IF(B6="","",(--(B6&lt;&gt;"")+--(C6&lt;&gt;"")+--(D6&lt;&gt;"")+--(E6&lt;&gt;"")+--(F6&lt;&gt;"")+--(G6&lt;&gt;"")+--(H6&lt;&gt;"")+--(I6&lt;&gt;"")+--(N6&lt;&gt;"")+--(O6&lt;&gt;"")+--(P6&lt;&gt;""))/11)</f>
        <v/>
      </c>
    </row>
    <row r="7">
      <c r="A7" s="7">
        <f>IF(B7="","",TEXT(B7,"yyyymmdd")&amp;"-"&amp;TEXT(ROW()-1,"000"))</f>
        <v/>
      </c>
      <c r="B7" s="8" t="n"/>
      <c r="C7" s="9" t="n"/>
      <c r="D7" s="9" t="n"/>
      <c r="E7" s="9" t="n"/>
      <c r="F7" s="9" t="n"/>
      <c r="G7" s="9" t="n"/>
      <c r="H7" s="9" t="n"/>
      <c r="I7" s="10" t="n"/>
      <c r="J7" s="11" t="n"/>
      <c r="K7" s="12" t="n"/>
      <c r="L7" s="11" t="n"/>
      <c r="M7" s="12" t="n"/>
      <c r="N7" s="9" t="n"/>
      <c r="O7" s="9" t="n"/>
      <c r="P7" s="10" t="n"/>
      <c r="Q7" s="11" t="n"/>
      <c r="R7" s="12" t="n"/>
      <c r="S7" s="12" t="n"/>
      <c r="T7" s="13">
        <f>IF(B7="","",B7+3)</f>
        <v/>
      </c>
      <c r="U7" s="13">
        <f>IF(B7="","",B7+5)</f>
        <v/>
      </c>
      <c r="V7" s="13">
        <f>IF(B7="","",B7+10)</f>
        <v/>
      </c>
      <c r="W7" s="14">
        <f>IF(B7="","",(--(B7&lt;&gt;"")+--(C7&lt;&gt;"")+--(D7&lt;&gt;"")+--(E7&lt;&gt;"")+--(F7&lt;&gt;"")+--(G7&lt;&gt;"")+--(H7&lt;&gt;"")+--(I7&lt;&gt;"")+--(N7&lt;&gt;"")+--(O7&lt;&gt;"")+--(P7&lt;&gt;""))/11)</f>
        <v/>
      </c>
    </row>
    <row r="8">
      <c r="A8" s="7">
        <f>IF(B8="","",TEXT(B8,"yyyymmdd")&amp;"-"&amp;TEXT(ROW()-1,"000"))</f>
        <v/>
      </c>
      <c r="B8" s="8" t="n"/>
      <c r="C8" s="9" t="n"/>
      <c r="D8" s="9" t="n"/>
      <c r="E8" s="9" t="n"/>
      <c r="F8" s="9" t="n"/>
      <c r="G8" s="9" t="n"/>
      <c r="H8" s="9" t="n"/>
      <c r="I8" s="10" t="n"/>
      <c r="J8" s="11" t="n"/>
      <c r="K8" s="12" t="n"/>
      <c r="L8" s="11" t="n"/>
      <c r="M8" s="12" t="n"/>
      <c r="N8" s="9" t="n"/>
      <c r="O8" s="9" t="n"/>
      <c r="P8" s="10" t="n"/>
      <c r="Q8" s="11" t="n"/>
      <c r="R8" s="12" t="n"/>
      <c r="S8" s="12" t="n"/>
      <c r="T8" s="13">
        <f>IF(B8="","",B8+3)</f>
        <v/>
      </c>
      <c r="U8" s="13">
        <f>IF(B8="","",B8+5)</f>
        <v/>
      </c>
      <c r="V8" s="13">
        <f>IF(B8="","",B8+10)</f>
        <v/>
      </c>
      <c r="W8" s="14">
        <f>IF(B8="","",(--(B8&lt;&gt;"")+--(C8&lt;&gt;"")+--(D8&lt;&gt;"")+--(E8&lt;&gt;"")+--(F8&lt;&gt;"")+--(G8&lt;&gt;"")+--(H8&lt;&gt;"")+--(I8&lt;&gt;"")+--(N8&lt;&gt;"")+--(O8&lt;&gt;"")+--(P8&lt;&gt;""))/11)</f>
        <v/>
      </c>
    </row>
    <row r="9">
      <c r="A9" s="7">
        <f>IF(B9="","",TEXT(B9,"yyyymmdd")&amp;"-"&amp;TEXT(ROW()-1,"000"))</f>
        <v/>
      </c>
      <c r="B9" s="8" t="n"/>
      <c r="C9" s="9" t="n"/>
      <c r="D9" s="9" t="n"/>
      <c r="E9" s="9" t="n"/>
      <c r="F9" s="9" t="n"/>
      <c r="G9" s="9" t="n"/>
      <c r="H9" s="9" t="n"/>
      <c r="I9" s="10" t="n"/>
      <c r="J9" s="11" t="n"/>
      <c r="K9" s="12" t="n"/>
      <c r="L9" s="11" t="n"/>
      <c r="M9" s="12" t="n"/>
      <c r="N9" s="9" t="n"/>
      <c r="O9" s="9" t="n"/>
      <c r="P9" s="10" t="n"/>
      <c r="Q9" s="11" t="n"/>
      <c r="R9" s="12" t="n"/>
      <c r="S9" s="12" t="n"/>
      <c r="T9" s="13">
        <f>IF(B9="","",B9+3)</f>
        <v/>
      </c>
      <c r="U9" s="13">
        <f>IF(B9="","",B9+5)</f>
        <v/>
      </c>
      <c r="V9" s="13">
        <f>IF(B9="","",B9+10)</f>
        <v/>
      </c>
      <c r="W9" s="14">
        <f>IF(B9="","",(--(B9&lt;&gt;"")+--(C9&lt;&gt;"")+--(D9&lt;&gt;"")+--(E9&lt;&gt;"")+--(F9&lt;&gt;"")+--(G9&lt;&gt;"")+--(H9&lt;&gt;"")+--(I9&lt;&gt;"")+--(N9&lt;&gt;"")+--(O9&lt;&gt;"")+--(P9&lt;&gt;""))/11)</f>
        <v/>
      </c>
    </row>
    <row r="10">
      <c r="A10" s="7">
        <f>IF(B10="","",TEXT(B10,"yyyymmdd")&amp;"-"&amp;TEXT(ROW()-1,"000"))</f>
        <v/>
      </c>
      <c r="B10" s="8" t="n"/>
      <c r="C10" s="9" t="n"/>
      <c r="D10" s="9" t="n"/>
      <c r="E10" s="9" t="n"/>
      <c r="F10" s="9" t="n"/>
      <c r="G10" s="9" t="n"/>
      <c r="H10" s="9" t="n"/>
      <c r="I10" s="10" t="n"/>
      <c r="J10" s="11" t="n"/>
      <c r="K10" s="12" t="n"/>
      <c r="L10" s="11" t="n"/>
      <c r="M10" s="12" t="n"/>
      <c r="N10" s="9" t="n"/>
      <c r="O10" s="9" t="n"/>
      <c r="P10" s="10" t="n"/>
      <c r="Q10" s="11" t="n"/>
      <c r="R10" s="12" t="n"/>
      <c r="S10" s="12" t="n"/>
      <c r="T10" s="13">
        <f>IF(B10="","",B10+3)</f>
        <v/>
      </c>
      <c r="U10" s="13">
        <f>IF(B10="","",B10+5)</f>
        <v/>
      </c>
      <c r="V10" s="13">
        <f>IF(B10="","",B10+10)</f>
        <v/>
      </c>
      <c r="W10" s="14">
        <f>IF(B10="","",(--(B10&lt;&gt;"")+--(C10&lt;&gt;"")+--(D10&lt;&gt;"")+--(E10&lt;&gt;"")+--(F10&lt;&gt;"")+--(G10&lt;&gt;"")+--(H10&lt;&gt;"")+--(I10&lt;&gt;"")+--(N10&lt;&gt;"")+--(O10&lt;&gt;"")+--(P10&lt;&gt;""))/11)</f>
        <v/>
      </c>
    </row>
    <row r="11">
      <c r="A11" s="7">
        <f>IF(B11="","",TEXT(B11,"yyyymmdd")&amp;"-"&amp;TEXT(ROW()-1,"000"))</f>
        <v/>
      </c>
      <c r="B11" s="8" t="n"/>
      <c r="C11" s="9" t="n"/>
      <c r="D11" s="9" t="n"/>
      <c r="E11" s="9" t="n"/>
      <c r="F11" s="9" t="n"/>
      <c r="G11" s="9" t="n"/>
      <c r="H11" s="9" t="n"/>
      <c r="I11" s="10" t="n"/>
      <c r="J11" s="11" t="n"/>
      <c r="K11" s="12" t="n"/>
      <c r="L11" s="11" t="n"/>
      <c r="M11" s="12" t="n"/>
      <c r="N11" s="9" t="n"/>
      <c r="O11" s="9" t="n"/>
      <c r="P11" s="10" t="n"/>
      <c r="Q11" s="11" t="n"/>
      <c r="R11" s="12" t="n"/>
      <c r="S11" s="12" t="n"/>
      <c r="T11" s="13">
        <f>IF(B11="","",B11+3)</f>
        <v/>
      </c>
      <c r="U11" s="13">
        <f>IF(B11="","",B11+5)</f>
        <v/>
      </c>
      <c r="V11" s="13">
        <f>IF(B11="","",B11+10)</f>
        <v/>
      </c>
      <c r="W11" s="14">
        <f>IF(B11="","",(--(B11&lt;&gt;"")+--(C11&lt;&gt;"")+--(D11&lt;&gt;"")+--(E11&lt;&gt;"")+--(F11&lt;&gt;"")+--(G11&lt;&gt;"")+--(H11&lt;&gt;"")+--(I11&lt;&gt;"")+--(N11&lt;&gt;"")+--(O11&lt;&gt;"")+--(P11&lt;&gt;""))/11)</f>
        <v/>
      </c>
    </row>
    <row r="12">
      <c r="A12" s="7">
        <f>IF(B12="","",TEXT(B12,"yyyymmdd")&amp;"-"&amp;TEXT(ROW()-1,"000"))</f>
        <v/>
      </c>
      <c r="B12" s="8" t="n"/>
      <c r="C12" s="9" t="n"/>
      <c r="D12" s="9" t="n"/>
      <c r="E12" s="9" t="n"/>
      <c r="F12" s="9" t="n"/>
      <c r="G12" s="9" t="n"/>
      <c r="H12" s="9" t="n"/>
      <c r="I12" s="10" t="n"/>
      <c r="J12" s="11" t="n"/>
      <c r="K12" s="12" t="n"/>
      <c r="L12" s="11" t="n"/>
      <c r="M12" s="12" t="n"/>
      <c r="N12" s="9" t="n"/>
      <c r="O12" s="9" t="n"/>
      <c r="P12" s="10" t="n"/>
      <c r="Q12" s="11" t="n"/>
      <c r="R12" s="12" t="n"/>
      <c r="S12" s="12" t="n"/>
      <c r="T12" s="13">
        <f>IF(B12="","",B12+3)</f>
        <v/>
      </c>
      <c r="U12" s="13">
        <f>IF(B12="","",B12+5)</f>
        <v/>
      </c>
      <c r="V12" s="13">
        <f>IF(B12="","",B12+10)</f>
        <v/>
      </c>
      <c r="W12" s="14">
        <f>IF(B12="","",(--(B12&lt;&gt;"")+--(C12&lt;&gt;"")+--(D12&lt;&gt;"")+--(E12&lt;&gt;"")+--(F12&lt;&gt;"")+--(G12&lt;&gt;"")+--(H12&lt;&gt;"")+--(I12&lt;&gt;"")+--(N12&lt;&gt;"")+--(O12&lt;&gt;"")+--(P12&lt;&gt;""))/11)</f>
        <v/>
      </c>
    </row>
    <row r="13">
      <c r="A13" s="7">
        <f>IF(B13="","",TEXT(B13,"yyyymmdd")&amp;"-"&amp;TEXT(ROW()-1,"000"))</f>
        <v/>
      </c>
      <c r="B13" s="8" t="n"/>
      <c r="C13" s="9" t="n"/>
      <c r="D13" s="9" t="n"/>
      <c r="E13" s="9" t="n"/>
      <c r="F13" s="9" t="n"/>
      <c r="G13" s="9" t="n"/>
      <c r="H13" s="9" t="n"/>
      <c r="I13" s="10" t="n"/>
      <c r="J13" s="11" t="n"/>
      <c r="K13" s="12" t="n"/>
      <c r="L13" s="11" t="n"/>
      <c r="M13" s="12" t="n"/>
      <c r="N13" s="9" t="n"/>
      <c r="O13" s="9" t="n"/>
      <c r="P13" s="10" t="n"/>
      <c r="Q13" s="11" t="n"/>
      <c r="R13" s="12" t="n"/>
      <c r="S13" s="12" t="n"/>
      <c r="T13" s="13">
        <f>IF(B13="","",B13+3)</f>
        <v/>
      </c>
      <c r="U13" s="13">
        <f>IF(B13="","",B13+5)</f>
        <v/>
      </c>
      <c r="V13" s="13">
        <f>IF(B13="","",B13+10)</f>
        <v/>
      </c>
      <c r="W13" s="14">
        <f>IF(B13="","",(--(B13&lt;&gt;"")+--(C13&lt;&gt;"")+--(D13&lt;&gt;"")+--(E13&lt;&gt;"")+--(F13&lt;&gt;"")+--(G13&lt;&gt;"")+--(H13&lt;&gt;"")+--(I13&lt;&gt;"")+--(N13&lt;&gt;"")+--(O13&lt;&gt;"")+--(P13&lt;&gt;""))/11)</f>
        <v/>
      </c>
    </row>
    <row r="14">
      <c r="A14" s="7">
        <f>IF(B14="","",TEXT(B14,"yyyymmdd")&amp;"-"&amp;TEXT(ROW()-1,"000"))</f>
        <v/>
      </c>
      <c r="B14" s="8" t="n"/>
      <c r="C14" s="9" t="n"/>
      <c r="D14" s="9" t="n"/>
      <c r="E14" s="9" t="n"/>
      <c r="F14" s="9" t="n"/>
      <c r="G14" s="9" t="n"/>
      <c r="H14" s="9" t="n"/>
      <c r="I14" s="10" t="n"/>
      <c r="J14" s="11" t="n"/>
      <c r="K14" s="12" t="n"/>
      <c r="L14" s="11" t="n"/>
      <c r="M14" s="12" t="n"/>
      <c r="N14" s="9" t="n"/>
      <c r="O14" s="9" t="n"/>
      <c r="P14" s="10" t="n"/>
      <c r="Q14" s="11" t="n"/>
      <c r="R14" s="12" t="n"/>
      <c r="S14" s="12" t="n"/>
      <c r="T14" s="13">
        <f>IF(B14="","",B14+3)</f>
        <v/>
      </c>
      <c r="U14" s="13">
        <f>IF(B14="","",B14+5)</f>
        <v/>
      </c>
      <c r="V14" s="13">
        <f>IF(B14="","",B14+10)</f>
        <v/>
      </c>
      <c r="W14" s="14">
        <f>IF(B14="","",(--(B14&lt;&gt;"")+--(C14&lt;&gt;"")+--(D14&lt;&gt;"")+--(E14&lt;&gt;"")+--(F14&lt;&gt;"")+--(G14&lt;&gt;"")+--(H14&lt;&gt;"")+--(I14&lt;&gt;"")+--(N14&lt;&gt;"")+--(O14&lt;&gt;"")+--(P14&lt;&gt;""))/11)</f>
        <v/>
      </c>
    </row>
    <row r="15">
      <c r="A15" s="7">
        <f>IF(B15="","",TEXT(B15,"yyyymmdd")&amp;"-"&amp;TEXT(ROW()-1,"000"))</f>
        <v/>
      </c>
      <c r="B15" s="8" t="n"/>
      <c r="C15" s="9" t="n"/>
      <c r="D15" s="9" t="n"/>
      <c r="E15" s="9" t="n"/>
      <c r="F15" s="9" t="n"/>
      <c r="G15" s="9" t="n"/>
      <c r="H15" s="9" t="n"/>
      <c r="I15" s="10" t="n"/>
      <c r="J15" s="11" t="n"/>
      <c r="K15" s="12" t="n"/>
      <c r="L15" s="11" t="n"/>
      <c r="M15" s="12" t="n"/>
      <c r="N15" s="9" t="n"/>
      <c r="O15" s="9" t="n"/>
      <c r="P15" s="10" t="n"/>
      <c r="Q15" s="11" t="n"/>
      <c r="R15" s="12" t="n"/>
      <c r="S15" s="12" t="n"/>
      <c r="T15" s="13">
        <f>IF(B15="","",B15+3)</f>
        <v/>
      </c>
      <c r="U15" s="13">
        <f>IF(B15="","",B15+5)</f>
        <v/>
      </c>
      <c r="V15" s="13">
        <f>IF(B15="","",B15+10)</f>
        <v/>
      </c>
      <c r="W15" s="14">
        <f>IF(B15="","",(--(B15&lt;&gt;"")+--(C15&lt;&gt;"")+--(D15&lt;&gt;"")+--(E15&lt;&gt;"")+--(F15&lt;&gt;"")+--(G15&lt;&gt;"")+--(H15&lt;&gt;"")+--(I15&lt;&gt;"")+--(N15&lt;&gt;"")+--(O15&lt;&gt;"")+--(P15&lt;&gt;""))/11)</f>
        <v/>
      </c>
    </row>
    <row r="16">
      <c r="A16" s="7">
        <f>IF(B16="","",TEXT(B16,"yyyymmdd")&amp;"-"&amp;TEXT(ROW()-1,"000"))</f>
        <v/>
      </c>
      <c r="B16" s="8" t="n"/>
      <c r="C16" s="9" t="n"/>
      <c r="D16" s="9" t="n"/>
      <c r="E16" s="9" t="n"/>
      <c r="F16" s="9" t="n"/>
      <c r="G16" s="9" t="n"/>
      <c r="H16" s="9" t="n"/>
      <c r="I16" s="10" t="n"/>
      <c r="J16" s="11" t="n"/>
      <c r="K16" s="12" t="n"/>
      <c r="L16" s="11" t="n"/>
      <c r="M16" s="12" t="n"/>
      <c r="N16" s="9" t="n"/>
      <c r="O16" s="9" t="n"/>
      <c r="P16" s="10" t="n"/>
      <c r="Q16" s="11" t="n"/>
      <c r="R16" s="12" t="n"/>
      <c r="S16" s="12" t="n"/>
      <c r="T16" s="13">
        <f>IF(B16="","",B16+3)</f>
        <v/>
      </c>
      <c r="U16" s="13">
        <f>IF(B16="","",B16+5)</f>
        <v/>
      </c>
      <c r="V16" s="13">
        <f>IF(B16="","",B16+10)</f>
        <v/>
      </c>
      <c r="W16" s="14">
        <f>IF(B16="","",(--(B16&lt;&gt;"")+--(C16&lt;&gt;"")+--(D16&lt;&gt;"")+--(E16&lt;&gt;"")+--(F16&lt;&gt;"")+--(G16&lt;&gt;"")+--(H16&lt;&gt;"")+--(I16&lt;&gt;"")+--(N16&lt;&gt;"")+--(O16&lt;&gt;"")+--(P16&lt;&gt;""))/11)</f>
        <v/>
      </c>
    </row>
    <row r="17">
      <c r="A17" s="7">
        <f>IF(B17="","",TEXT(B17,"yyyymmdd")&amp;"-"&amp;TEXT(ROW()-1,"000"))</f>
        <v/>
      </c>
      <c r="B17" s="8" t="n"/>
      <c r="C17" s="9" t="n"/>
      <c r="D17" s="9" t="n"/>
      <c r="E17" s="9" t="n"/>
      <c r="F17" s="9" t="n"/>
      <c r="G17" s="9" t="n"/>
      <c r="H17" s="9" t="n"/>
      <c r="I17" s="10" t="n"/>
      <c r="J17" s="11" t="n"/>
      <c r="K17" s="12" t="n"/>
      <c r="L17" s="11" t="n"/>
      <c r="M17" s="12" t="n"/>
      <c r="N17" s="9" t="n"/>
      <c r="O17" s="9" t="n"/>
      <c r="P17" s="10" t="n"/>
      <c r="Q17" s="11" t="n"/>
      <c r="R17" s="12" t="n"/>
      <c r="S17" s="12" t="n"/>
      <c r="T17" s="13">
        <f>IF(B17="","",B17+3)</f>
        <v/>
      </c>
      <c r="U17" s="13">
        <f>IF(B17="","",B17+5)</f>
        <v/>
      </c>
      <c r="V17" s="13">
        <f>IF(B17="","",B17+10)</f>
        <v/>
      </c>
      <c r="W17" s="14">
        <f>IF(B17="","",(--(B17&lt;&gt;"")+--(C17&lt;&gt;"")+--(D17&lt;&gt;"")+--(E17&lt;&gt;"")+--(F17&lt;&gt;"")+--(G17&lt;&gt;"")+--(H17&lt;&gt;"")+--(I17&lt;&gt;"")+--(N17&lt;&gt;"")+--(O17&lt;&gt;"")+--(P17&lt;&gt;""))/11)</f>
        <v/>
      </c>
    </row>
    <row r="18">
      <c r="A18" s="7">
        <f>IF(B18="","",TEXT(B18,"yyyymmdd")&amp;"-"&amp;TEXT(ROW()-1,"000"))</f>
        <v/>
      </c>
      <c r="B18" s="8" t="n"/>
      <c r="C18" s="9" t="n"/>
      <c r="D18" s="9" t="n"/>
      <c r="E18" s="9" t="n"/>
      <c r="F18" s="9" t="n"/>
      <c r="G18" s="9" t="n"/>
      <c r="H18" s="9" t="n"/>
      <c r="I18" s="10" t="n"/>
      <c r="J18" s="11" t="n"/>
      <c r="K18" s="12" t="n"/>
      <c r="L18" s="11" t="n"/>
      <c r="M18" s="12" t="n"/>
      <c r="N18" s="9" t="n"/>
      <c r="O18" s="9" t="n"/>
      <c r="P18" s="10" t="n"/>
      <c r="Q18" s="11" t="n"/>
      <c r="R18" s="12" t="n"/>
      <c r="S18" s="12" t="n"/>
      <c r="T18" s="13">
        <f>IF(B18="","",B18+3)</f>
        <v/>
      </c>
      <c r="U18" s="13">
        <f>IF(B18="","",B18+5)</f>
        <v/>
      </c>
      <c r="V18" s="13">
        <f>IF(B18="","",B18+10)</f>
        <v/>
      </c>
      <c r="W18" s="14">
        <f>IF(B18="","",(--(B18&lt;&gt;"")+--(C18&lt;&gt;"")+--(D18&lt;&gt;"")+--(E18&lt;&gt;"")+--(F18&lt;&gt;"")+--(G18&lt;&gt;"")+--(H18&lt;&gt;"")+--(I18&lt;&gt;"")+--(N18&lt;&gt;"")+--(O18&lt;&gt;"")+--(P18&lt;&gt;""))/11)</f>
        <v/>
      </c>
    </row>
    <row r="19">
      <c r="A19" s="7">
        <f>IF(B19="","",TEXT(B19,"yyyymmdd")&amp;"-"&amp;TEXT(ROW()-1,"000"))</f>
        <v/>
      </c>
      <c r="B19" s="8" t="n"/>
      <c r="C19" s="9" t="n"/>
      <c r="D19" s="9" t="n"/>
      <c r="E19" s="9" t="n"/>
      <c r="F19" s="9" t="n"/>
      <c r="G19" s="9" t="n"/>
      <c r="H19" s="9" t="n"/>
      <c r="I19" s="10" t="n"/>
      <c r="J19" s="11" t="n"/>
      <c r="K19" s="12" t="n"/>
      <c r="L19" s="11" t="n"/>
      <c r="M19" s="12" t="n"/>
      <c r="N19" s="9" t="n"/>
      <c r="O19" s="9" t="n"/>
      <c r="P19" s="10" t="n"/>
      <c r="Q19" s="11" t="n"/>
      <c r="R19" s="12" t="n"/>
      <c r="S19" s="12" t="n"/>
      <c r="T19" s="13">
        <f>IF(B19="","",B19+3)</f>
        <v/>
      </c>
      <c r="U19" s="13">
        <f>IF(B19="","",B19+5)</f>
        <v/>
      </c>
      <c r="V19" s="13">
        <f>IF(B19="","",B19+10)</f>
        <v/>
      </c>
      <c r="W19" s="14">
        <f>IF(B19="","",(--(B19&lt;&gt;"")+--(C19&lt;&gt;"")+--(D19&lt;&gt;"")+--(E19&lt;&gt;"")+--(F19&lt;&gt;"")+--(G19&lt;&gt;"")+--(H19&lt;&gt;"")+--(I19&lt;&gt;"")+--(N19&lt;&gt;"")+--(O19&lt;&gt;"")+--(P19&lt;&gt;""))/11)</f>
        <v/>
      </c>
    </row>
    <row r="20">
      <c r="A20" s="7">
        <f>IF(B20="","",TEXT(B20,"yyyymmdd")&amp;"-"&amp;TEXT(ROW()-1,"000"))</f>
        <v/>
      </c>
      <c r="B20" s="8" t="n"/>
      <c r="C20" s="9" t="n"/>
      <c r="D20" s="9" t="n"/>
      <c r="E20" s="9" t="n"/>
      <c r="F20" s="9" t="n"/>
      <c r="G20" s="9" t="n"/>
      <c r="H20" s="9" t="n"/>
      <c r="I20" s="10" t="n"/>
      <c r="J20" s="11" t="n"/>
      <c r="K20" s="12" t="n"/>
      <c r="L20" s="11" t="n"/>
      <c r="M20" s="12" t="n"/>
      <c r="N20" s="9" t="n"/>
      <c r="O20" s="9" t="n"/>
      <c r="P20" s="10" t="n"/>
      <c r="Q20" s="11" t="n"/>
      <c r="R20" s="12" t="n"/>
      <c r="S20" s="12" t="n"/>
      <c r="T20" s="13">
        <f>IF(B20="","",B20+3)</f>
        <v/>
      </c>
      <c r="U20" s="13">
        <f>IF(B20="","",B20+5)</f>
        <v/>
      </c>
      <c r="V20" s="13">
        <f>IF(B20="","",B20+10)</f>
        <v/>
      </c>
      <c r="W20" s="14">
        <f>IF(B20="","",(--(B20&lt;&gt;"")+--(C20&lt;&gt;"")+--(D20&lt;&gt;"")+--(E20&lt;&gt;"")+--(F20&lt;&gt;"")+--(G20&lt;&gt;"")+--(H20&lt;&gt;"")+--(I20&lt;&gt;"")+--(N20&lt;&gt;"")+--(O20&lt;&gt;"")+--(P20&lt;&gt;""))/11)</f>
        <v/>
      </c>
    </row>
    <row r="21">
      <c r="A21" s="7">
        <f>IF(B21="","",TEXT(B21,"yyyymmdd")&amp;"-"&amp;TEXT(ROW()-1,"000"))</f>
        <v/>
      </c>
      <c r="B21" s="8" t="n"/>
      <c r="C21" s="9" t="n"/>
      <c r="D21" s="9" t="n"/>
      <c r="E21" s="9" t="n"/>
      <c r="F21" s="9" t="n"/>
      <c r="G21" s="9" t="n"/>
      <c r="H21" s="9" t="n"/>
      <c r="I21" s="10" t="n"/>
      <c r="J21" s="11" t="n"/>
      <c r="K21" s="12" t="n"/>
      <c r="L21" s="11" t="n"/>
      <c r="M21" s="12" t="n"/>
      <c r="N21" s="9" t="n"/>
      <c r="O21" s="9" t="n"/>
      <c r="P21" s="10" t="n"/>
      <c r="Q21" s="11" t="n"/>
      <c r="R21" s="12" t="n"/>
      <c r="S21" s="12" t="n"/>
      <c r="T21" s="13">
        <f>IF(B21="","",B21+3)</f>
        <v/>
      </c>
      <c r="U21" s="13">
        <f>IF(B21="","",B21+5)</f>
        <v/>
      </c>
      <c r="V21" s="13">
        <f>IF(B21="","",B21+10)</f>
        <v/>
      </c>
      <c r="W21" s="14">
        <f>IF(B21="","",(--(B21&lt;&gt;"")+--(C21&lt;&gt;"")+--(D21&lt;&gt;"")+--(E21&lt;&gt;"")+--(F21&lt;&gt;"")+--(G21&lt;&gt;"")+--(H21&lt;&gt;"")+--(I21&lt;&gt;"")+--(N21&lt;&gt;"")+--(O21&lt;&gt;"")+--(P21&lt;&gt;""))/11)</f>
        <v/>
      </c>
    </row>
    <row r="22">
      <c r="A22" s="7">
        <f>IF(B22="","",TEXT(B22,"yyyymmdd")&amp;"-"&amp;TEXT(ROW()-1,"000"))</f>
        <v/>
      </c>
      <c r="B22" s="8" t="n"/>
      <c r="C22" s="9" t="n"/>
      <c r="D22" s="9" t="n"/>
      <c r="E22" s="9" t="n"/>
      <c r="F22" s="9" t="n"/>
      <c r="G22" s="9" t="n"/>
      <c r="H22" s="9" t="n"/>
      <c r="I22" s="10" t="n"/>
      <c r="J22" s="11" t="n"/>
      <c r="K22" s="12" t="n"/>
      <c r="L22" s="11" t="n"/>
      <c r="M22" s="12" t="n"/>
      <c r="N22" s="9" t="n"/>
      <c r="O22" s="9" t="n"/>
      <c r="P22" s="10" t="n"/>
      <c r="Q22" s="11" t="n"/>
      <c r="R22" s="12" t="n"/>
      <c r="S22" s="12" t="n"/>
      <c r="T22" s="13">
        <f>IF(B22="","",B22+3)</f>
        <v/>
      </c>
      <c r="U22" s="13">
        <f>IF(B22="","",B22+5)</f>
        <v/>
      </c>
      <c r="V22" s="13">
        <f>IF(B22="","",B22+10)</f>
        <v/>
      </c>
      <c r="W22" s="14">
        <f>IF(B22="","",(--(B22&lt;&gt;"")+--(C22&lt;&gt;"")+--(D22&lt;&gt;"")+--(E22&lt;&gt;"")+--(F22&lt;&gt;"")+--(G22&lt;&gt;"")+--(H22&lt;&gt;"")+--(I22&lt;&gt;"")+--(N22&lt;&gt;"")+--(O22&lt;&gt;"")+--(P22&lt;&gt;""))/11)</f>
        <v/>
      </c>
    </row>
    <row r="23">
      <c r="A23" s="7">
        <f>IF(B23="","",TEXT(B23,"yyyymmdd")&amp;"-"&amp;TEXT(ROW()-1,"000"))</f>
        <v/>
      </c>
      <c r="B23" s="8" t="n"/>
      <c r="C23" s="9" t="n"/>
      <c r="D23" s="9" t="n"/>
      <c r="E23" s="9" t="n"/>
      <c r="F23" s="9" t="n"/>
      <c r="G23" s="9" t="n"/>
      <c r="H23" s="9" t="n"/>
      <c r="I23" s="10" t="n"/>
      <c r="J23" s="11" t="n"/>
      <c r="K23" s="12" t="n"/>
      <c r="L23" s="11" t="n"/>
      <c r="M23" s="12" t="n"/>
      <c r="N23" s="9" t="n"/>
      <c r="O23" s="9" t="n"/>
      <c r="P23" s="10" t="n"/>
      <c r="Q23" s="11" t="n"/>
      <c r="R23" s="12" t="n"/>
      <c r="S23" s="12" t="n"/>
      <c r="T23" s="13">
        <f>IF(B23="","",B23+3)</f>
        <v/>
      </c>
      <c r="U23" s="13">
        <f>IF(B23="","",B23+5)</f>
        <v/>
      </c>
      <c r="V23" s="13">
        <f>IF(B23="","",B23+10)</f>
        <v/>
      </c>
      <c r="W23" s="14">
        <f>IF(B23="","",(--(B23&lt;&gt;"")+--(C23&lt;&gt;"")+--(D23&lt;&gt;"")+--(E23&lt;&gt;"")+--(F23&lt;&gt;"")+--(G23&lt;&gt;"")+--(H23&lt;&gt;"")+--(I23&lt;&gt;"")+--(N23&lt;&gt;"")+--(O23&lt;&gt;"")+--(P23&lt;&gt;""))/11)</f>
        <v/>
      </c>
    </row>
    <row r="24">
      <c r="A24" s="7">
        <f>IF(B24="","",TEXT(B24,"yyyymmdd")&amp;"-"&amp;TEXT(ROW()-1,"000"))</f>
        <v/>
      </c>
      <c r="B24" s="8" t="n"/>
      <c r="C24" s="9" t="n"/>
      <c r="D24" s="9" t="n"/>
      <c r="E24" s="9" t="n"/>
      <c r="F24" s="9" t="n"/>
      <c r="G24" s="9" t="n"/>
      <c r="H24" s="9" t="n"/>
      <c r="I24" s="10" t="n"/>
      <c r="J24" s="11" t="n"/>
      <c r="K24" s="12" t="n"/>
      <c r="L24" s="11" t="n"/>
      <c r="M24" s="12" t="n"/>
      <c r="N24" s="9" t="n"/>
      <c r="O24" s="9" t="n"/>
      <c r="P24" s="10" t="n"/>
      <c r="Q24" s="11" t="n"/>
      <c r="R24" s="12" t="n"/>
      <c r="S24" s="12" t="n"/>
      <c r="T24" s="13">
        <f>IF(B24="","",B24+3)</f>
        <v/>
      </c>
      <c r="U24" s="13">
        <f>IF(B24="","",B24+5)</f>
        <v/>
      </c>
      <c r="V24" s="13">
        <f>IF(B24="","",B24+10)</f>
        <v/>
      </c>
      <c r="W24" s="14">
        <f>IF(B24="","",(--(B24&lt;&gt;"")+--(C24&lt;&gt;"")+--(D24&lt;&gt;"")+--(E24&lt;&gt;"")+--(F24&lt;&gt;"")+--(G24&lt;&gt;"")+--(H24&lt;&gt;"")+--(I24&lt;&gt;"")+--(N24&lt;&gt;"")+--(O24&lt;&gt;"")+--(P24&lt;&gt;""))/11)</f>
        <v/>
      </c>
    </row>
    <row r="25">
      <c r="A25" s="7">
        <f>IF(B25="","",TEXT(B25,"yyyymmdd")&amp;"-"&amp;TEXT(ROW()-1,"000"))</f>
        <v/>
      </c>
      <c r="B25" s="8" t="n"/>
      <c r="C25" s="9" t="n"/>
      <c r="D25" s="9" t="n"/>
      <c r="E25" s="9" t="n"/>
      <c r="F25" s="9" t="n"/>
      <c r="G25" s="9" t="n"/>
      <c r="H25" s="9" t="n"/>
      <c r="I25" s="10" t="n"/>
      <c r="J25" s="11" t="n"/>
      <c r="K25" s="12" t="n"/>
      <c r="L25" s="11" t="n"/>
      <c r="M25" s="12" t="n"/>
      <c r="N25" s="9" t="n"/>
      <c r="O25" s="9" t="n"/>
      <c r="P25" s="10" t="n"/>
      <c r="Q25" s="11" t="n"/>
      <c r="R25" s="12" t="n"/>
      <c r="S25" s="12" t="n"/>
      <c r="T25" s="13">
        <f>IF(B25="","",B25+3)</f>
        <v/>
      </c>
      <c r="U25" s="13">
        <f>IF(B25="","",B25+5)</f>
        <v/>
      </c>
      <c r="V25" s="13">
        <f>IF(B25="","",B25+10)</f>
        <v/>
      </c>
      <c r="W25" s="14">
        <f>IF(B25="","",(--(B25&lt;&gt;"")+--(C25&lt;&gt;"")+--(D25&lt;&gt;"")+--(E25&lt;&gt;"")+--(F25&lt;&gt;"")+--(G25&lt;&gt;"")+--(H25&lt;&gt;"")+--(I25&lt;&gt;"")+--(N25&lt;&gt;"")+--(O25&lt;&gt;"")+--(P25&lt;&gt;""))/11)</f>
        <v/>
      </c>
    </row>
    <row r="26">
      <c r="A26" s="7">
        <f>IF(B26="","",TEXT(B26,"yyyymmdd")&amp;"-"&amp;TEXT(ROW()-1,"000"))</f>
        <v/>
      </c>
      <c r="B26" s="8" t="n"/>
      <c r="C26" s="9" t="n"/>
      <c r="D26" s="9" t="n"/>
      <c r="E26" s="9" t="n"/>
      <c r="F26" s="9" t="n"/>
      <c r="G26" s="9" t="n"/>
      <c r="H26" s="9" t="n"/>
      <c r="I26" s="10" t="n"/>
      <c r="J26" s="11" t="n"/>
      <c r="K26" s="12" t="n"/>
      <c r="L26" s="11" t="n"/>
      <c r="M26" s="12" t="n"/>
      <c r="N26" s="9" t="n"/>
      <c r="O26" s="9" t="n"/>
      <c r="P26" s="10" t="n"/>
      <c r="Q26" s="11" t="n"/>
      <c r="R26" s="12" t="n"/>
      <c r="S26" s="12" t="n"/>
      <c r="T26" s="13">
        <f>IF(B26="","",B26+3)</f>
        <v/>
      </c>
      <c r="U26" s="13">
        <f>IF(B26="","",B26+5)</f>
        <v/>
      </c>
      <c r="V26" s="13">
        <f>IF(B26="","",B26+10)</f>
        <v/>
      </c>
      <c r="W26" s="14">
        <f>IF(B26="","",(--(B26&lt;&gt;"")+--(C26&lt;&gt;"")+--(D26&lt;&gt;"")+--(E26&lt;&gt;"")+--(F26&lt;&gt;"")+--(G26&lt;&gt;"")+--(H26&lt;&gt;"")+--(I26&lt;&gt;"")+--(N26&lt;&gt;"")+--(O26&lt;&gt;"")+--(P26&lt;&gt;""))/11)</f>
        <v/>
      </c>
    </row>
    <row r="27">
      <c r="A27" s="7">
        <f>IF(B27="","",TEXT(B27,"yyyymmdd")&amp;"-"&amp;TEXT(ROW()-1,"000"))</f>
        <v/>
      </c>
      <c r="B27" s="8" t="n"/>
      <c r="C27" s="9" t="n"/>
      <c r="D27" s="9" t="n"/>
      <c r="E27" s="9" t="n"/>
      <c r="F27" s="9" t="n"/>
      <c r="G27" s="9" t="n"/>
      <c r="H27" s="9" t="n"/>
      <c r="I27" s="10" t="n"/>
      <c r="J27" s="11" t="n"/>
      <c r="K27" s="12" t="n"/>
      <c r="L27" s="11" t="n"/>
      <c r="M27" s="12" t="n"/>
      <c r="N27" s="9" t="n"/>
      <c r="O27" s="9" t="n"/>
      <c r="P27" s="10" t="n"/>
      <c r="Q27" s="11" t="n"/>
      <c r="R27" s="12" t="n"/>
      <c r="S27" s="12" t="n"/>
      <c r="T27" s="13">
        <f>IF(B27="","",B27+3)</f>
        <v/>
      </c>
      <c r="U27" s="13">
        <f>IF(B27="","",B27+5)</f>
        <v/>
      </c>
      <c r="V27" s="13">
        <f>IF(B27="","",B27+10)</f>
        <v/>
      </c>
      <c r="W27" s="14">
        <f>IF(B27="","",(--(B27&lt;&gt;"")+--(C27&lt;&gt;"")+--(D27&lt;&gt;"")+--(E27&lt;&gt;"")+--(F27&lt;&gt;"")+--(G27&lt;&gt;"")+--(H27&lt;&gt;"")+--(I27&lt;&gt;"")+--(N27&lt;&gt;"")+--(O27&lt;&gt;"")+--(P27&lt;&gt;""))/11)</f>
        <v/>
      </c>
    </row>
    <row r="28">
      <c r="A28" s="7">
        <f>IF(B28="","",TEXT(B28,"yyyymmdd")&amp;"-"&amp;TEXT(ROW()-1,"000"))</f>
        <v/>
      </c>
      <c r="B28" s="8" t="n"/>
      <c r="C28" s="9" t="n"/>
      <c r="D28" s="9" t="n"/>
      <c r="E28" s="9" t="n"/>
      <c r="F28" s="9" t="n"/>
      <c r="G28" s="9" t="n"/>
      <c r="H28" s="9" t="n"/>
      <c r="I28" s="10" t="n"/>
      <c r="J28" s="11" t="n"/>
      <c r="K28" s="12" t="n"/>
      <c r="L28" s="11" t="n"/>
      <c r="M28" s="12" t="n"/>
      <c r="N28" s="9" t="n"/>
      <c r="O28" s="9" t="n"/>
      <c r="P28" s="10" t="n"/>
      <c r="Q28" s="11" t="n"/>
      <c r="R28" s="12" t="n"/>
      <c r="S28" s="12" t="n"/>
      <c r="T28" s="13">
        <f>IF(B28="","",B28+3)</f>
        <v/>
      </c>
      <c r="U28" s="13">
        <f>IF(B28="","",B28+5)</f>
        <v/>
      </c>
      <c r="V28" s="13">
        <f>IF(B28="","",B28+10)</f>
        <v/>
      </c>
      <c r="W28" s="14">
        <f>IF(B28="","",(--(B28&lt;&gt;"")+--(C28&lt;&gt;"")+--(D28&lt;&gt;"")+--(E28&lt;&gt;"")+--(F28&lt;&gt;"")+--(G28&lt;&gt;"")+--(H28&lt;&gt;"")+--(I28&lt;&gt;"")+--(N28&lt;&gt;"")+--(O28&lt;&gt;"")+--(P28&lt;&gt;""))/11)</f>
        <v/>
      </c>
    </row>
    <row r="29">
      <c r="A29" s="7">
        <f>IF(B29="","",TEXT(B29,"yyyymmdd")&amp;"-"&amp;TEXT(ROW()-1,"000"))</f>
        <v/>
      </c>
      <c r="B29" s="8" t="n"/>
      <c r="C29" s="9" t="n"/>
      <c r="D29" s="9" t="n"/>
      <c r="E29" s="9" t="n"/>
      <c r="F29" s="9" t="n"/>
      <c r="G29" s="9" t="n"/>
      <c r="H29" s="9" t="n"/>
      <c r="I29" s="10" t="n"/>
      <c r="J29" s="11" t="n"/>
      <c r="K29" s="12" t="n"/>
      <c r="L29" s="11" t="n"/>
      <c r="M29" s="12" t="n"/>
      <c r="N29" s="9" t="n"/>
      <c r="O29" s="9" t="n"/>
      <c r="P29" s="10" t="n"/>
      <c r="Q29" s="11" t="n"/>
      <c r="R29" s="12" t="n"/>
      <c r="S29" s="12" t="n"/>
      <c r="T29" s="13">
        <f>IF(B29="","",B29+3)</f>
        <v/>
      </c>
      <c r="U29" s="13">
        <f>IF(B29="","",B29+5)</f>
        <v/>
      </c>
      <c r="V29" s="13">
        <f>IF(B29="","",B29+10)</f>
        <v/>
      </c>
      <c r="W29" s="14">
        <f>IF(B29="","",(--(B29&lt;&gt;"")+--(C29&lt;&gt;"")+--(D29&lt;&gt;"")+--(E29&lt;&gt;"")+--(F29&lt;&gt;"")+--(G29&lt;&gt;"")+--(H29&lt;&gt;"")+--(I29&lt;&gt;"")+--(N29&lt;&gt;"")+--(O29&lt;&gt;"")+--(P29&lt;&gt;""))/11)</f>
        <v/>
      </c>
    </row>
    <row r="30">
      <c r="A30" s="7">
        <f>IF(B30="","",TEXT(B30,"yyyymmdd")&amp;"-"&amp;TEXT(ROW()-1,"000"))</f>
        <v/>
      </c>
      <c r="B30" s="8" t="n"/>
      <c r="C30" s="9" t="n"/>
      <c r="D30" s="9" t="n"/>
      <c r="E30" s="9" t="n"/>
      <c r="F30" s="9" t="n"/>
      <c r="G30" s="9" t="n"/>
      <c r="H30" s="9" t="n"/>
      <c r="I30" s="10" t="n"/>
      <c r="J30" s="11" t="n"/>
      <c r="K30" s="12" t="n"/>
      <c r="L30" s="11" t="n"/>
      <c r="M30" s="12" t="n"/>
      <c r="N30" s="9" t="n"/>
      <c r="O30" s="9" t="n"/>
      <c r="P30" s="10" t="n"/>
      <c r="Q30" s="11" t="n"/>
      <c r="R30" s="12" t="n"/>
      <c r="S30" s="12" t="n"/>
      <c r="T30" s="13">
        <f>IF(B30="","",B30+3)</f>
        <v/>
      </c>
      <c r="U30" s="13">
        <f>IF(B30="","",B30+5)</f>
        <v/>
      </c>
      <c r="V30" s="13">
        <f>IF(B30="","",B30+10)</f>
        <v/>
      </c>
      <c r="W30" s="14">
        <f>IF(B30="","",(--(B30&lt;&gt;"")+--(C30&lt;&gt;"")+--(D30&lt;&gt;"")+--(E30&lt;&gt;"")+--(F30&lt;&gt;"")+--(G30&lt;&gt;"")+--(H30&lt;&gt;"")+--(I30&lt;&gt;"")+--(N30&lt;&gt;"")+--(O30&lt;&gt;"")+--(P30&lt;&gt;""))/11)</f>
        <v/>
      </c>
    </row>
    <row r="31">
      <c r="A31" s="7">
        <f>IF(B31="","",TEXT(B31,"yyyymmdd")&amp;"-"&amp;TEXT(ROW()-1,"000"))</f>
        <v/>
      </c>
      <c r="B31" s="8" t="n"/>
      <c r="C31" s="9" t="n"/>
      <c r="D31" s="9" t="n"/>
      <c r="E31" s="9" t="n"/>
      <c r="F31" s="9" t="n"/>
      <c r="G31" s="9" t="n"/>
      <c r="H31" s="9" t="n"/>
      <c r="I31" s="10" t="n"/>
      <c r="J31" s="11" t="n"/>
      <c r="K31" s="12" t="n"/>
      <c r="L31" s="11" t="n"/>
      <c r="M31" s="12" t="n"/>
      <c r="N31" s="9" t="n"/>
      <c r="O31" s="9" t="n"/>
      <c r="P31" s="10" t="n"/>
      <c r="Q31" s="11" t="n"/>
      <c r="R31" s="12" t="n"/>
      <c r="S31" s="12" t="n"/>
      <c r="T31" s="13">
        <f>IF(B31="","",B31+3)</f>
        <v/>
      </c>
      <c r="U31" s="13">
        <f>IF(B31="","",B31+5)</f>
        <v/>
      </c>
      <c r="V31" s="13">
        <f>IF(B31="","",B31+10)</f>
        <v/>
      </c>
      <c r="W31" s="14">
        <f>IF(B31="","",(--(B31&lt;&gt;"")+--(C31&lt;&gt;"")+--(D31&lt;&gt;"")+--(E31&lt;&gt;"")+--(F31&lt;&gt;"")+--(G31&lt;&gt;"")+--(H31&lt;&gt;"")+--(I31&lt;&gt;"")+--(N31&lt;&gt;"")+--(O31&lt;&gt;"")+--(P31&lt;&gt;""))/11)</f>
        <v/>
      </c>
    </row>
    <row r="32">
      <c r="A32" s="7">
        <f>IF(B32="","",TEXT(B32,"yyyymmdd")&amp;"-"&amp;TEXT(ROW()-1,"000"))</f>
        <v/>
      </c>
      <c r="B32" s="8" t="n"/>
      <c r="C32" s="9" t="n"/>
      <c r="D32" s="9" t="n"/>
      <c r="E32" s="9" t="n"/>
      <c r="F32" s="9" t="n"/>
      <c r="G32" s="9" t="n"/>
      <c r="H32" s="9" t="n"/>
      <c r="I32" s="10" t="n"/>
      <c r="J32" s="11" t="n"/>
      <c r="K32" s="12" t="n"/>
      <c r="L32" s="11" t="n"/>
      <c r="M32" s="12" t="n"/>
      <c r="N32" s="9" t="n"/>
      <c r="O32" s="9" t="n"/>
      <c r="P32" s="10" t="n"/>
      <c r="Q32" s="11" t="n"/>
      <c r="R32" s="12" t="n"/>
      <c r="S32" s="12" t="n"/>
      <c r="T32" s="13">
        <f>IF(B32="","",B32+3)</f>
        <v/>
      </c>
      <c r="U32" s="13">
        <f>IF(B32="","",B32+5)</f>
        <v/>
      </c>
      <c r="V32" s="13">
        <f>IF(B32="","",B32+10)</f>
        <v/>
      </c>
      <c r="W32" s="14">
        <f>IF(B32="","",(--(B32&lt;&gt;"")+--(C32&lt;&gt;"")+--(D32&lt;&gt;"")+--(E32&lt;&gt;"")+--(F32&lt;&gt;"")+--(G32&lt;&gt;"")+--(H32&lt;&gt;"")+--(I32&lt;&gt;"")+--(N32&lt;&gt;"")+--(O32&lt;&gt;"")+--(P32&lt;&gt;""))/11)</f>
        <v/>
      </c>
    </row>
    <row r="33">
      <c r="A33" s="7">
        <f>IF(B33="","",TEXT(B33,"yyyymmdd")&amp;"-"&amp;TEXT(ROW()-1,"000"))</f>
        <v/>
      </c>
      <c r="B33" s="8" t="n"/>
      <c r="C33" s="9" t="n"/>
      <c r="D33" s="9" t="n"/>
      <c r="E33" s="9" t="n"/>
      <c r="F33" s="9" t="n"/>
      <c r="G33" s="9" t="n"/>
      <c r="H33" s="9" t="n"/>
      <c r="I33" s="10" t="n"/>
      <c r="J33" s="11" t="n"/>
      <c r="K33" s="12" t="n"/>
      <c r="L33" s="11" t="n"/>
      <c r="M33" s="12" t="n"/>
      <c r="N33" s="9" t="n"/>
      <c r="O33" s="9" t="n"/>
      <c r="P33" s="10" t="n"/>
      <c r="Q33" s="11" t="n"/>
      <c r="R33" s="12" t="n"/>
      <c r="S33" s="12" t="n"/>
      <c r="T33" s="13">
        <f>IF(B33="","",B33+3)</f>
        <v/>
      </c>
      <c r="U33" s="13">
        <f>IF(B33="","",B33+5)</f>
        <v/>
      </c>
      <c r="V33" s="13">
        <f>IF(B33="","",B33+10)</f>
        <v/>
      </c>
      <c r="W33" s="14">
        <f>IF(B33="","",(--(B33&lt;&gt;"")+--(C33&lt;&gt;"")+--(D33&lt;&gt;"")+--(E33&lt;&gt;"")+--(F33&lt;&gt;"")+--(G33&lt;&gt;"")+--(H33&lt;&gt;"")+--(I33&lt;&gt;"")+--(N33&lt;&gt;"")+--(O33&lt;&gt;"")+--(P33&lt;&gt;""))/11)</f>
        <v/>
      </c>
    </row>
    <row r="34">
      <c r="A34" s="7">
        <f>IF(B34="","",TEXT(B34,"yyyymmdd")&amp;"-"&amp;TEXT(ROW()-1,"000"))</f>
        <v/>
      </c>
      <c r="B34" s="8" t="n"/>
      <c r="C34" s="9" t="n"/>
      <c r="D34" s="9" t="n"/>
      <c r="E34" s="9" t="n"/>
      <c r="F34" s="9" t="n"/>
      <c r="G34" s="9" t="n"/>
      <c r="H34" s="9" t="n"/>
      <c r="I34" s="10" t="n"/>
      <c r="J34" s="11" t="n"/>
      <c r="K34" s="12" t="n"/>
      <c r="L34" s="11" t="n"/>
      <c r="M34" s="12" t="n"/>
      <c r="N34" s="9" t="n"/>
      <c r="O34" s="9" t="n"/>
      <c r="P34" s="10" t="n"/>
      <c r="Q34" s="11" t="n"/>
      <c r="R34" s="12" t="n"/>
      <c r="S34" s="12" t="n"/>
      <c r="T34" s="13">
        <f>IF(B34="","",B34+3)</f>
        <v/>
      </c>
      <c r="U34" s="13">
        <f>IF(B34="","",B34+5)</f>
        <v/>
      </c>
      <c r="V34" s="13">
        <f>IF(B34="","",B34+10)</f>
        <v/>
      </c>
      <c r="W34" s="14">
        <f>IF(B34="","",(--(B34&lt;&gt;"")+--(C34&lt;&gt;"")+--(D34&lt;&gt;"")+--(E34&lt;&gt;"")+--(F34&lt;&gt;"")+--(G34&lt;&gt;"")+--(H34&lt;&gt;"")+--(I34&lt;&gt;"")+--(N34&lt;&gt;"")+--(O34&lt;&gt;"")+--(P34&lt;&gt;""))/11)</f>
        <v/>
      </c>
    </row>
    <row r="35">
      <c r="A35" s="7">
        <f>IF(B35="","",TEXT(B35,"yyyymmdd")&amp;"-"&amp;TEXT(ROW()-1,"000"))</f>
        <v/>
      </c>
      <c r="B35" s="8" t="n"/>
      <c r="C35" s="9" t="n"/>
      <c r="D35" s="9" t="n"/>
      <c r="E35" s="9" t="n"/>
      <c r="F35" s="9" t="n"/>
      <c r="G35" s="9" t="n"/>
      <c r="H35" s="9" t="n"/>
      <c r="I35" s="10" t="n"/>
      <c r="J35" s="11" t="n"/>
      <c r="K35" s="12" t="n"/>
      <c r="L35" s="11" t="n"/>
      <c r="M35" s="12" t="n"/>
      <c r="N35" s="9" t="n"/>
      <c r="O35" s="9" t="n"/>
      <c r="P35" s="10" t="n"/>
      <c r="Q35" s="11" t="n"/>
      <c r="R35" s="12" t="n"/>
      <c r="S35" s="12" t="n"/>
      <c r="T35" s="13">
        <f>IF(B35="","",B35+3)</f>
        <v/>
      </c>
      <c r="U35" s="13">
        <f>IF(B35="","",B35+5)</f>
        <v/>
      </c>
      <c r="V35" s="13">
        <f>IF(B35="","",B35+10)</f>
        <v/>
      </c>
      <c r="W35" s="14">
        <f>IF(B35="","",(--(B35&lt;&gt;"")+--(C35&lt;&gt;"")+--(D35&lt;&gt;"")+--(E35&lt;&gt;"")+--(F35&lt;&gt;"")+--(G35&lt;&gt;"")+--(H35&lt;&gt;"")+--(I35&lt;&gt;"")+--(N35&lt;&gt;"")+--(O35&lt;&gt;"")+--(P35&lt;&gt;""))/11)</f>
        <v/>
      </c>
    </row>
    <row r="36">
      <c r="A36" s="7">
        <f>IF(B36="","",TEXT(B36,"yyyymmdd")&amp;"-"&amp;TEXT(ROW()-1,"000"))</f>
        <v/>
      </c>
      <c r="B36" s="8" t="n"/>
      <c r="C36" s="9" t="n"/>
      <c r="D36" s="9" t="n"/>
      <c r="E36" s="9" t="n"/>
      <c r="F36" s="9" t="n"/>
      <c r="G36" s="9" t="n"/>
      <c r="H36" s="9" t="n"/>
      <c r="I36" s="10" t="n"/>
      <c r="J36" s="11" t="n"/>
      <c r="K36" s="12" t="n"/>
      <c r="L36" s="11" t="n"/>
      <c r="M36" s="12" t="n"/>
      <c r="N36" s="9" t="n"/>
      <c r="O36" s="9" t="n"/>
      <c r="P36" s="10" t="n"/>
      <c r="Q36" s="11" t="n"/>
      <c r="R36" s="12" t="n"/>
      <c r="S36" s="12" t="n"/>
      <c r="T36" s="13">
        <f>IF(B36="","",B36+3)</f>
        <v/>
      </c>
      <c r="U36" s="13">
        <f>IF(B36="","",B36+5)</f>
        <v/>
      </c>
      <c r="V36" s="13">
        <f>IF(B36="","",B36+10)</f>
        <v/>
      </c>
      <c r="W36" s="14">
        <f>IF(B36="","",(--(B36&lt;&gt;"")+--(C36&lt;&gt;"")+--(D36&lt;&gt;"")+--(E36&lt;&gt;"")+--(F36&lt;&gt;"")+--(G36&lt;&gt;"")+--(H36&lt;&gt;"")+--(I36&lt;&gt;"")+--(N36&lt;&gt;"")+--(O36&lt;&gt;"")+--(P36&lt;&gt;""))/11)</f>
        <v/>
      </c>
    </row>
    <row r="37">
      <c r="A37" s="7">
        <f>IF(B37="","",TEXT(B37,"yyyymmdd")&amp;"-"&amp;TEXT(ROW()-1,"000"))</f>
        <v/>
      </c>
      <c r="B37" s="8" t="n"/>
      <c r="C37" s="9" t="n"/>
      <c r="D37" s="9" t="n"/>
      <c r="E37" s="9" t="n"/>
      <c r="F37" s="9" t="n"/>
      <c r="G37" s="9" t="n"/>
      <c r="H37" s="9" t="n"/>
      <c r="I37" s="10" t="n"/>
      <c r="J37" s="11" t="n"/>
      <c r="K37" s="12" t="n"/>
      <c r="L37" s="11" t="n"/>
      <c r="M37" s="12" t="n"/>
      <c r="N37" s="9" t="n"/>
      <c r="O37" s="9" t="n"/>
      <c r="P37" s="10" t="n"/>
      <c r="Q37" s="11" t="n"/>
      <c r="R37" s="12" t="n"/>
      <c r="S37" s="12" t="n"/>
      <c r="T37" s="13">
        <f>IF(B37="","",B37+3)</f>
        <v/>
      </c>
      <c r="U37" s="13">
        <f>IF(B37="","",B37+5)</f>
        <v/>
      </c>
      <c r="V37" s="13">
        <f>IF(B37="","",B37+10)</f>
        <v/>
      </c>
      <c r="W37" s="14">
        <f>IF(B37="","",(--(B37&lt;&gt;"")+--(C37&lt;&gt;"")+--(D37&lt;&gt;"")+--(E37&lt;&gt;"")+--(F37&lt;&gt;"")+--(G37&lt;&gt;"")+--(H37&lt;&gt;"")+--(I37&lt;&gt;"")+--(N37&lt;&gt;"")+--(O37&lt;&gt;"")+--(P37&lt;&gt;""))/11)</f>
        <v/>
      </c>
    </row>
    <row r="38">
      <c r="A38" s="7">
        <f>IF(B38="","",TEXT(B38,"yyyymmdd")&amp;"-"&amp;TEXT(ROW()-1,"000"))</f>
        <v/>
      </c>
      <c r="B38" s="8" t="n"/>
      <c r="C38" s="9" t="n"/>
      <c r="D38" s="9" t="n"/>
      <c r="E38" s="9" t="n"/>
      <c r="F38" s="9" t="n"/>
      <c r="G38" s="9" t="n"/>
      <c r="H38" s="9" t="n"/>
      <c r="I38" s="10" t="n"/>
      <c r="J38" s="11" t="n"/>
      <c r="K38" s="12" t="n"/>
      <c r="L38" s="11" t="n"/>
      <c r="M38" s="12" t="n"/>
      <c r="N38" s="9" t="n"/>
      <c r="O38" s="9" t="n"/>
      <c r="P38" s="10" t="n"/>
      <c r="Q38" s="11" t="n"/>
      <c r="R38" s="12" t="n"/>
      <c r="S38" s="12" t="n"/>
      <c r="T38" s="13">
        <f>IF(B38="","",B38+3)</f>
        <v/>
      </c>
      <c r="U38" s="13">
        <f>IF(B38="","",B38+5)</f>
        <v/>
      </c>
      <c r="V38" s="13">
        <f>IF(B38="","",B38+10)</f>
        <v/>
      </c>
      <c r="W38" s="14">
        <f>IF(B38="","",(--(B38&lt;&gt;"")+--(C38&lt;&gt;"")+--(D38&lt;&gt;"")+--(E38&lt;&gt;"")+--(F38&lt;&gt;"")+--(G38&lt;&gt;"")+--(H38&lt;&gt;"")+--(I38&lt;&gt;"")+--(N38&lt;&gt;"")+--(O38&lt;&gt;"")+--(P38&lt;&gt;""))/11)</f>
        <v/>
      </c>
    </row>
    <row r="39">
      <c r="A39" s="7">
        <f>IF(B39="","",TEXT(B39,"yyyymmdd")&amp;"-"&amp;TEXT(ROW()-1,"000"))</f>
        <v/>
      </c>
      <c r="B39" s="8" t="n"/>
      <c r="C39" s="9" t="n"/>
      <c r="D39" s="9" t="n"/>
      <c r="E39" s="9" t="n"/>
      <c r="F39" s="9" t="n"/>
      <c r="G39" s="9" t="n"/>
      <c r="H39" s="9" t="n"/>
      <c r="I39" s="10" t="n"/>
      <c r="J39" s="11" t="n"/>
      <c r="K39" s="12" t="n"/>
      <c r="L39" s="11" t="n"/>
      <c r="M39" s="12" t="n"/>
      <c r="N39" s="9" t="n"/>
      <c r="O39" s="9" t="n"/>
      <c r="P39" s="10" t="n"/>
      <c r="Q39" s="11" t="n"/>
      <c r="R39" s="12" t="n"/>
      <c r="S39" s="12" t="n"/>
      <c r="T39" s="13">
        <f>IF(B39="","",B39+3)</f>
        <v/>
      </c>
      <c r="U39" s="13">
        <f>IF(B39="","",B39+5)</f>
        <v/>
      </c>
      <c r="V39" s="13">
        <f>IF(B39="","",B39+10)</f>
        <v/>
      </c>
      <c r="W39" s="14">
        <f>IF(B39="","",(--(B39&lt;&gt;"")+--(C39&lt;&gt;"")+--(D39&lt;&gt;"")+--(E39&lt;&gt;"")+--(F39&lt;&gt;"")+--(G39&lt;&gt;"")+--(H39&lt;&gt;"")+--(I39&lt;&gt;"")+--(N39&lt;&gt;"")+--(O39&lt;&gt;"")+--(P39&lt;&gt;""))/11)</f>
        <v/>
      </c>
    </row>
    <row r="40">
      <c r="A40" s="7">
        <f>IF(B40="","",TEXT(B40,"yyyymmdd")&amp;"-"&amp;TEXT(ROW()-1,"000"))</f>
        <v/>
      </c>
      <c r="B40" s="8" t="n"/>
      <c r="C40" s="9" t="n"/>
      <c r="D40" s="9" t="n"/>
      <c r="E40" s="9" t="n"/>
      <c r="F40" s="9" t="n"/>
      <c r="G40" s="9" t="n"/>
      <c r="H40" s="9" t="n"/>
      <c r="I40" s="10" t="n"/>
      <c r="J40" s="11" t="n"/>
      <c r="K40" s="12" t="n"/>
      <c r="L40" s="11" t="n"/>
      <c r="M40" s="12" t="n"/>
      <c r="N40" s="9" t="n"/>
      <c r="O40" s="9" t="n"/>
      <c r="P40" s="10" t="n"/>
      <c r="Q40" s="11" t="n"/>
      <c r="R40" s="12" t="n"/>
      <c r="S40" s="12" t="n"/>
      <c r="T40" s="13">
        <f>IF(B40="","",B40+3)</f>
        <v/>
      </c>
      <c r="U40" s="13">
        <f>IF(B40="","",B40+5)</f>
        <v/>
      </c>
      <c r="V40" s="13">
        <f>IF(B40="","",B40+10)</f>
        <v/>
      </c>
      <c r="W40" s="14">
        <f>IF(B40="","",(--(B40&lt;&gt;"")+--(C40&lt;&gt;"")+--(D40&lt;&gt;"")+--(E40&lt;&gt;"")+--(F40&lt;&gt;"")+--(G40&lt;&gt;"")+--(H40&lt;&gt;"")+--(I40&lt;&gt;"")+--(N40&lt;&gt;"")+--(O40&lt;&gt;"")+--(P40&lt;&gt;""))/11)</f>
        <v/>
      </c>
    </row>
    <row r="41">
      <c r="A41" s="7">
        <f>IF(B41="","",TEXT(B41,"yyyymmdd")&amp;"-"&amp;TEXT(ROW()-1,"000"))</f>
        <v/>
      </c>
      <c r="B41" s="8" t="n"/>
      <c r="C41" s="9" t="n"/>
      <c r="D41" s="9" t="n"/>
      <c r="E41" s="9" t="n"/>
      <c r="F41" s="9" t="n"/>
      <c r="G41" s="9" t="n"/>
      <c r="H41" s="9" t="n"/>
      <c r="I41" s="10" t="n"/>
      <c r="J41" s="11" t="n"/>
      <c r="K41" s="12" t="n"/>
      <c r="L41" s="11" t="n"/>
      <c r="M41" s="12" t="n"/>
      <c r="N41" s="9" t="n"/>
      <c r="O41" s="9" t="n"/>
      <c r="P41" s="10" t="n"/>
      <c r="Q41" s="11" t="n"/>
      <c r="R41" s="12" t="n"/>
      <c r="S41" s="12" t="n"/>
      <c r="T41" s="13">
        <f>IF(B41="","",B41+3)</f>
        <v/>
      </c>
      <c r="U41" s="13">
        <f>IF(B41="","",B41+5)</f>
        <v/>
      </c>
      <c r="V41" s="13">
        <f>IF(B41="","",B41+10)</f>
        <v/>
      </c>
      <c r="W41" s="14">
        <f>IF(B41="","",(--(B41&lt;&gt;"")+--(C41&lt;&gt;"")+--(D41&lt;&gt;"")+--(E41&lt;&gt;"")+--(F41&lt;&gt;"")+--(G41&lt;&gt;"")+--(H41&lt;&gt;"")+--(I41&lt;&gt;"")+--(N41&lt;&gt;"")+--(O41&lt;&gt;"")+--(P41&lt;&gt;""))/11)</f>
        <v/>
      </c>
    </row>
    <row r="42">
      <c r="A42" s="7">
        <f>IF(B42="","",TEXT(B42,"yyyymmdd")&amp;"-"&amp;TEXT(ROW()-1,"000"))</f>
        <v/>
      </c>
      <c r="B42" s="8" t="n"/>
      <c r="C42" s="9" t="n"/>
      <c r="D42" s="9" t="n"/>
      <c r="E42" s="9" t="n"/>
      <c r="F42" s="9" t="n"/>
      <c r="G42" s="9" t="n"/>
      <c r="H42" s="9" t="n"/>
      <c r="I42" s="10" t="n"/>
      <c r="J42" s="11" t="n"/>
      <c r="K42" s="12" t="n"/>
      <c r="L42" s="11" t="n"/>
      <c r="M42" s="12" t="n"/>
      <c r="N42" s="9" t="n"/>
      <c r="O42" s="9" t="n"/>
      <c r="P42" s="10" t="n"/>
      <c r="Q42" s="11" t="n"/>
      <c r="R42" s="12" t="n"/>
      <c r="S42" s="12" t="n"/>
      <c r="T42" s="13">
        <f>IF(B42="","",B42+3)</f>
        <v/>
      </c>
      <c r="U42" s="13">
        <f>IF(B42="","",B42+5)</f>
        <v/>
      </c>
      <c r="V42" s="13">
        <f>IF(B42="","",B42+10)</f>
        <v/>
      </c>
      <c r="W42" s="14">
        <f>IF(B42="","",(--(B42&lt;&gt;"")+--(C42&lt;&gt;"")+--(D42&lt;&gt;"")+--(E42&lt;&gt;"")+--(F42&lt;&gt;"")+--(G42&lt;&gt;"")+--(H42&lt;&gt;"")+--(I42&lt;&gt;"")+--(N42&lt;&gt;"")+--(O42&lt;&gt;"")+--(P42&lt;&gt;""))/11)</f>
        <v/>
      </c>
    </row>
    <row r="43">
      <c r="A43" s="7">
        <f>IF(B43="","",TEXT(B43,"yyyymmdd")&amp;"-"&amp;TEXT(ROW()-1,"000"))</f>
        <v/>
      </c>
      <c r="B43" s="8" t="n"/>
      <c r="C43" s="9" t="n"/>
      <c r="D43" s="9" t="n"/>
      <c r="E43" s="9" t="n"/>
      <c r="F43" s="9" t="n"/>
      <c r="G43" s="9" t="n"/>
      <c r="H43" s="9" t="n"/>
      <c r="I43" s="10" t="n"/>
      <c r="J43" s="11" t="n"/>
      <c r="K43" s="12" t="n"/>
      <c r="L43" s="11" t="n"/>
      <c r="M43" s="12" t="n"/>
      <c r="N43" s="9" t="n"/>
      <c r="O43" s="9" t="n"/>
      <c r="P43" s="10" t="n"/>
      <c r="Q43" s="11" t="n"/>
      <c r="R43" s="12" t="n"/>
      <c r="S43" s="12" t="n"/>
      <c r="T43" s="13">
        <f>IF(B43="","",B43+3)</f>
        <v/>
      </c>
      <c r="U43" s="13">
        <f>IF(B43="","",B43+5)</f>
        <v/>
      </c>
      <c r="V43" s="13">
        <f>IF(B43="","",B43+10)</f>
        <v/>
      </c>
      <c r="W43" s="14">
        <f>IF(B43="","",(--(B43&lt;&gt;"")+--(C43&lt;&gt;"")+--(D43&lt;&gt;"")+--(E43&lt;&gt;"")+--(F43&lt;&gt;"")+--(G43&lt;&gt;"")+--(H43&lt;&gt;"")+--(I43&lt;&gt;"")+--(N43&lt;&gt;"")+--(O43&lt;&gt;"")+--(P43&lt;&gt;""))/11)</f>
        <v/>
      </c>
    </row>
    <row r="44">
      <c r="A44" s="7">
        <f>IF(B44="","",TEXT(B44,"yyyymmdd")&amp;"-"&amp;TEXT(ROW()-1,"000"))</f>
        <v/>
      </c>
      <c r="B44" s="8" t="n"/>
      <c r="C44" s="9" t="n"/>
      <c r="D44" s="9" t="n"/>
      <c r="E44" s="9" t="n"/>
      <c r="F44" s="9" t="n"/>
      <c r="G44" s="9" t="n"/>
      <c r="H44" s="9" t="n"/>
      <c r="I44" s="10" t="n"/>
      <c r="J44" s="11" t="n"/>
      <c r="K44" s="12" t="n"/>
      <c r="L44" s="11" t="n"/>
      <c r="M44" s="12" t="n"/>
      <c r="N44" s="9" t="n"/>
      <c r="O44" s="9" t="n"/>
      <c r="P44" s="10" t="n"/>
      <c r="Q44" s="11" t="n"/>
      <c r="R44" s="12" t="n"/>
      <c r="S44" s="12" t="n"/>
      <c r="T44" s="13">
        <f>IF(B44="","",B44+3)</f>
        <v/>
      </c>
      <c r="U44" s="13">
        <f>IF(B44="","",B44+5)</f>
        <v/>
      </c>
      <c r="V44" s="13">
        <f>IF(B44="","",B44+10)</f>
        <v/>
      </c>
      <c r="W44" s="14">
        <f>IF(B44="","",(--(B44&lt;&gt;"")+--(C44&lt;&gt;"")+--(D44&lt;&gt;"")+--(E44&lt;&gt;"")+--(F44&lt;&gt;"")+--(G44&lt;&gt;"")+--(H44&lt;&gt;"")+--(I44&lt;&gt;"")+--(N44&lt;&gt;"")+--(O44&lt;&gt;"")+--(P44&lt;&gt;""))/11)</f>
        <v/>
      </c>
    </row>
    <row r="45">
      <c r="A45" s="7">
        <f>IF(B45="","",TEXT(B45,"yyyymmdd")&amp;"-"&amp;TEXT(ROW()-1,"000"))</f>
        <v/>
      </c>
      <c r="B45" s="8" t="n"/>
      <c r="C45" s="9" t="n"/>
      <c r="D45" s="9" t="n"/>
      <c r="E45" s="9" t="n"/>
      <c r="F45" s="9" t="n"/>
      <c r="G45" s="9" t="n"/>
      <c r="H45" s="9" t="n"/>
      <c r="I45" s="10" t="n"/>
      <c r="J45" s="11" t="n"/>
      <c r="K45" s="12" t="n"/>
      <c r="L45" s="11" t="n"/>
      <c r="M45" s="12" t="n"/>
      <c r="N45" s="9" t="n"/>
      <c r="O45" s="9" t="n"/>
      <c r="P45" s="10" t="n"/>
      <c r="Q45" s="11" t="n"/>
      <c r="R45" s="12" t="n"/>
      <c r="S45" s="12" t="n"/>
      <c r="T45" s="13">
        <f>IF(B45="","",B45+3)</f>
        <v/>
      </c>
      <c r="U45" s="13">
        <f>IF(B45="","",B45+5)</f>
        <v/>
      </c>
      <c r="V45" s="13">
        <f>IF(B45="","",B45+10)</f>
        <v/>
      </c>
      <c r="W45" s="14">
        <f>IF(B45="","",(--(B45&lt;&gt;"")+--(C45&lt;&gt;"")+--(D45&lt;&gt;"")+--(E45&lt;&gt;"")+--(F45&lt;&gt;"")+--(G45&lt;&gt;"")+--(H45&lt;&gt;"")+--(I45&lt;&gt;"")+--(N45&lt;&gt;"")+--(O45&lt;&gt;"")+--(P45&lt;&gt;""))/11)</f>
        <v/>
      </c>
    </row>
    <row r="46">
      <c r="A46" s="7">
        <f>IF(B46="","",TEXT(B46,"yyyymmdd")&amp;"-"&amp;TEXT(ROW()-1,"000"))</f>
        <v/>
      </c>
      <c r="B46" s="8" t="n"/>
      <c r="C46" s="9" t="n"/>
      <c r="D46" s="9" t="n"/>
      <c r="E46" s="9" t="n"/>
      <c r="F46" s="9" t="n"/>
      <c r="G46" s="9" t="n"/>
      <c r="H46" s="9" t="n"/>
      <c r="I46" s="10" t="n"/>
      <c r="J46" s="11" t="n"/>
      <c r="K46" s="12" t="n"/>
      <c r="L46" s="11" t="n"/>
      <c r="M46" s="12" t="n"/>
      <c r="N46" s="9" t="n"/>
      <c r="O46" s="9" t="n"/>
      <c r="P46" s="10" t="n"/>
      <c r="Q46" s="11" t="n"/>
      <c r="R46" s="12" t="n"/>
      <c r="S46" s="12" t="n"/>
      <c r="T46" s="13">
        <f>IF(B46="","",B46+3)</f>
        <v/>
      </c>
      <c r="U46" s="13">
        <f>IF(B46="","",B46+5)</f>
        <v/>
      </c>
      <c r="V46" s="13">
        <f>IF(B46="","",B46+10)</f>
        <v/>
      </c>
      <c r="W46" s="14">
        <f>IF(B46="","",(--(B46&lt;&gt;"")+--(C46&lt;&gt;"")+--(D46&lt;&gt;"")+--(E46&lt;&gt;"")+--(F46&lt;&gt;"")+--(G46&lt;&gt;"")+--(H46&lt;&gt;"")+--(I46&lt;&gt;"")+--(N46&lt;&gt;"")+--(O46&lt;&gt;"")+--(P46&lt;&gt;""))/11)</f>
        <v/>
      </c>
    </row>
    <row r="47">
      <c r="A47" s="7">
        <f>IF(B47="","",TEXT(B47,"yyyymmdd")&amp;"-"&amp;TEXT(ROW()-1,"000"))</f>
        <v/>
      </c>
      <c r="B47" s="8" t="n"/>
      <c r="C47" s="9" t="n"/>
      <c r="D47" s="9" t="n"/>
      <c r="E47" s="9" t="n"/>
      <c r="F47" s="9" t="n"/>
      <c r="G47" s="9" t="n"/>
      <c r="H47" s="9" t="n"/>
      <c r="I47" s="10" t="n"/>
      <c r="J47" s="11" t="n"/>
      <c r="K47" s="12" t="n"/>
      <c r="L47" s="11" t="n"/>
      <c r="M47" s="12" t="n"/>
      <c r="N47" s="9" t="n"/>
      <c r="O47" s="9" t="n"/>
      <c r="P47" s="10" t="n"/>
      <c r="Q47" s="11" t="n"/>
      <c r="R47" s="12" t="n"/>
      <c r="S47" s="12" t="n"/>
      <c r="T47" s="13">
        <f>IF(B47="","",B47+3)</f>
        <v/>
      </c>
      <c r="U47" s="13">
        <f>IF(B47="","",B47+5)</f>
        <v/>
      </c>
      <c r="V47" s="13">
        <f>IF(B47="","",B47+10)</f>
        <v/>
      </c>
      <c r="W47" s="14">
        <f>IF(B47="","",(--(B47&lt;&gt;"")+--(C47&lt;&gt;"")+--(D47&lt;&gt;"")+--(E47&lt;&gt;"")+--(F47&lt;&gt;"")+--(G47&lt;&gt;"")+--(H47&lt;&gt;"")+--(I47&lt;&gt;"")+--(N47&lt;&gt;"")+--(O47&lt;&gt;"")+--(P47&lt;&gt;""))/11)</f>
        <v/>
      </c>
    </row>
    <row r="48">
      <c r="A48" s="7">
        <f>IF(B48="","",TEXT(B48,"yyyymmdd")&amp;"-"&amp;TEXT(ROW()-1,"000"))</f>
        <v/>
      </c>
      <c r="B48" s="8" t="n"/>
      <c r="C48" s="9" t="n"/>
      <c r="D48" s="9" t="n"/>
      <c r="E48" s="9" t="n"/>
      <c r="F48" s="9" t="n"/>
      <c r="G48" s="9" t="n"/>
      <c r="H48" s="9" t="n"/>
      <c r="I48" s="10" t="n"/>
      <c r="J48" s="11" t="n"/>
      <c r="K48" s="12" t="n"/>
      <c r="L48" s="11" t="n"/>
      <c r="M48" s="12" t="n"/>
      <c r="N48" s="9" t="n"/>
      <c r="O48" s="9" t="n"/>
      <c r="P48" s="10" t="n"/>
      <c r="Q48" s="11" t="n"/>
      <c r="R48" s="12" t="n"/>
      <c r="S48" s="12" t="n"/>
      <c r="T48" s="13">
        <f>IF(B48="","",B48+3)</f>
        <v/>
      </c>
      <c r="U48" s="13">
        <f>IF(B48="","",B48+5)</f>
        <v/>
      </c>
      <c r="V48" s="13">
        <f>IF(B48="","",B48+10)</f>
        <v/>
      </c>
      <c r="W48" s="14">
        <f>IF(B48="","",(--(B48&lt;&gt;"")+--(C48&lt;&gt;"")+--(D48&lt;&gt;"")+--(E48&lt;&gt;"")+--(F48&lt;&gt;"")+--(G48&lt;&gt;"")+--(H48&lt;&gt;"")+--(I48&lt;&gt;"")+--(N48&lt;&gt;"")+--(O48&lt;&gt;"")+--(P48&lt;&gt;""))/11)</f>
        <v/>
      </c>
    </row>
    <row r="49">
      <c r="A49" s="7">
        <f>IF(B49="","",TEXT(B49,"yyyymmdd")&amp;"-"&amp;TEXT(ROW()-1,"000"))</f>
        <v/>
      </c>
      <c r="B49" s="8" t="n"/>
      <c r="C49" s="9" t="n"/>
      <c r="D49" s="9" t="n"/>
      <c r="E49" s="9" t="n"/>
      <c r="F49" s="9" t="n"/>
      <c r="G49" s="9" t="n"/>
      <c r="H49" s="9" t="n"/>
      <c r="I49" s="10" t="n"/>
      <c r="J49" s="11" t="n"/>
      <c r="K49" s="12" t="n"/>
      <c r="L49" s="11" t="n"/>
      <c r="M49" s="12" t="n"/>
      <c r="N49" s="9" t="n"/>
      <c r="O49" s="9" t="n"/>
      <c r="P49" s="10" t="n"/>
      <c r="Q49" s="11" t="n"/>
      <c r="R49" s="12" t="n"/>
      <c r="S49" s="12" t="n"/>
      <c r="T49" s="13">
        <f>IF(B49="","",B49+3)</f>
        <v/>
      </c>
      <c r="U49" s="13">
        <f>IF(B49="","",B49+5)</f>
        <v/>
      </c>
      <c r="V49" s="13">
        <f>IF(B49="","",B49+10)</f>
        <v/>
      </c>
      <c r="W49" s="14">
        <f>IF(B49="","",(--(B49&lt;&gt;"")+--(C49&lt;&gt;"")+--(D49&lt;&gt;"")+--(E49&lt;&gt;"")+--(F49&lt;&gt;"")+--(G49&lt;&gt;"")+--(H49&lt;&gt;"")+--(I49&lt;&gt;"")+--(N49&lt;&gt;"")+--(O49&lt;&gt;"")+--(P49&lt;&gt;""))/11)</f>
        <v/>
      </c>
    </row>
    <row r="50">
      <c r="A50" s="7">
        <f>IF(B50="","",TEXT(B50,"yyyymmdd")&amp;"-"&amp;TEXT(ROW()-1,"000"))</f>
        <v/>
      </c>
      <c r="B50" s="8" t="n"/>
      <c r="C50" s="9" t="n"/>
      <c r="D50" s="9" t="n"/>
      <c r="E50" s="9" t="n"/>
      <c r="F50" s="9" t="n"/>
      <c r="G50" s="9" t="n"/>
      <c r="H50" s="9" t="n"/>
      <c r="I50" s="10" t="n"/>
      <c r="J50" s="11" t="n"/>
      <c r="K50" s="12" t="n"/>
      <c r="L50" s="11" t="n"/>
      <c r="M50" s="12" t="n"/>
      <c r="N50" s="9" t="n"/>
      <c r="O50" s="9" t="n"/>
      <c r="P50" s="10" t="n"/>
      <c r="Q50" s="11" t="n"/>
      <c r="R50" s="12" t="n"/>
      <c r="S50" s="12" t="n"/>
      <c r="T50" s="13">
        <f>IF(B50="","",B50+3)</f>
        <v/>
      </c>
      <c r="U50" s="13">
        <f>IF(B50="","",B50+5)</f>
        <v/>
      </c>
      <c r="V50" s="13">
        <f>IF(B50="","",B50+10)</f>
        <v/>
      </c>
      <c r="W50" s="14">
        <f>IF(B50="","",(--(B50&lt;&gt;"")+--(C50&lt;&gt;"")+--(D50&lt;&gt;"")+--(E50&lt;&gt;"")+--(F50&lt;&gt;"")+--(G50&lt;&gt;"")+--(H50&lt;&gt;"")+--(I50&lt;&gt;"")+--(N50&lt;&gt;"")+--(O50&lt;&gt;"")+--(P50&lt;&gt;""))/11)</f>
        <v/>
      </c>
    </row>
    <row r="51">
      <c r="A51" s="7">
        <f>IF(B51="","",TEXT(B51,"yyyymmdd")&amp;"-"&amp;TEXT(ROW()-1,"000"))</f>
        <v/>
      </c>
      <c r="B51" s="8" t="n"/>
      <c r="C51" s="9" t="n"/>
      <c r="D51" s="9" t="n"/>
      <c r="E51" s="9" t="n"/>
      <c r="F51" s="9" t="n"/>
      <c r="G51" s="9" t="n"/>
      <c r="H51" s="9" t="n"/>
      <c r="I51" s="10" t="n"/>
      <c r="J51" s="11" t="n"/>
      <c r="K51" s="12" t="n"/>
      <c r="L51" s="11" t="n"/>
      <c r="M51" s="12" t="n"/>
      <c r="N51" s="9" t="n"/>
      <c r="O51" s="9" t="n"/>
      <c r="P51" s="10" t="n"/>
      <c r="Q51" s="11" t="n"/>
      <c r="R51" s="12" t="n"/>
      <c r="S51" s="12" t="n"/>
      <c r="T51" s="13">
        <f>IF(B51="","",B51+3)</f>
        <v/>
      </c>
      <c r="U51" s="13">
        <f>IF(B51="","",B51+5)</f>
        <v/>
      </c>
      <c r="V51" s="13">
        <f>IF(B51="","",B51+10)</f>
        <v/>
      </c>
      <c r="W51" s="14">
        <f>IF(B51="","",(--(B51&lt;&gt;"")+--(C51&lt;&gt;"")+--(D51&lt;&gt;"")+--(E51&lt;&gt;"")+--(F51&lt;&gt;"")+--(G51&lt;&gt;"")+--(H51&lt;&gt;"")+--(I51&lt;&gt;"")+--(N51&lt;&gt;"")+--(O51&lt;&gt;"")+--(P51&lt;&gt;""))/11)</f>
        <v/>
      </c>
    </row>
    <row r="52">
      <c r="A52" s="7">
        <f>IF(B52="","",TEXT(B52,"yyyymmdd")&amp;"-"&amp;TEXT(ROW()-1,"000"))</f>
        <v/>
      </c>
      <c r="B52" s="8" t="n"/>
      <c r="C52" s="9" t="n"/>
      <c r="D52" s="9" t="n"/>
      <c r="E52" s="9" t="n"/>
      <c r="F52" s="9" t="n"/>
      <c r="G52" s="9" t="n"/>
      <c r="H52" s="9" t="n"/>
      <c r="I52" s="10" t="n"/>
      <c r="J52" s="11" t="n"/>
      <c r="K52" s="12" t="n"/>
      <c r="L52" s="11" t="n"/>
      <c r="M52" s="12" t="n"/>
      <c r="N52" s="9" t="n"/>
      <c r="O52" s="9" t="n"/>
      <c r="P52" s="10" t="n"/>
      <c r="Q52" s="11" t="n"/>
      <c r="R52" s="12" t="n"/>
      <c r="S52" s="12" t="n"/>
      <c r="T52" s="13">
        <f>IF(B52="","",B52+3)</f>
        <v/>
      </c>
      <c r="U52" s="13">
        <f>IF(B52="","",B52+5)</f>
        <v/>
      </c>
      <c r="V52" s="13">
        <f>IF(B52="","",B52+10)</f>
        <v/>
      </c>
      <c r="W52" s="14">
        <f>IF(B52="","",(--(B52&lt;&gt;"")+--(C52&lt;&gt;"")+--(D52&lt;&gt;"")+--(E52&lt;&gt;"")+--(F52&lt;&gt;"")+--(G52&lt;&gt;"")+--(H52&lt;&gt;"")+--(I52&lt;&gt;"")+--(N52&lt;&gt;"")+--(O52&lt;&gt;"")+--(P52&lt;&gt;""))/11)</f>
        <v/>
      </c>
    </row>
    <row r="53">
      <c r="A53" s="7">
        <f>IF(B53="","",TEXT(B53,"yyyymmdd")&amp;"-"&amp;TEXT(ROW()-1,"000"))</f>
        <v/>
      </c>
      <c r="B53" s="8" t="n"/>
      <c r="C53" s="9" t="n"/>
      <c r="D53" s="9" t="n"/>
      <c r="E53" s="9" t="n"/>
      <c r="F53" s="9" t="n"/>
      <c r="G53" s="9" t="n"/>
      <c r="H53" s="9" t="n"/>
      <c r="I53" s="10" t="n"/>
      <c r="J53" s="11" t="n"/>
      <c r="K53" s="12" t="n"/>
      <c r="L53" s="11" t="n"/>
      <c r="M53" s="12" t="n"/>
      <c r="N53" s="9" t="n"/>
      <c r="O53" s="9" t="n"/>
      <c r="P53" s="10" t="n"/>
      <c r="Q53" s="11" t="n"/>
      <c r="R53" s="12" t="n"/>
      <c r="S53" s="12" t="n"/>
      <c r="T53" s="13">
        <f>IF(B53="","",B53+3)</f>
        <v/>
      </c>
      <c r="U53" s="13">
        <f>IF(B53="","",B53+5)</f>
        <v/>
      </c>
      <c r="V53" s="13">
        <f>IF(B53="","",B53+10)</f>
        <v/>
      </c>
      <c r="W53" s="14">
        <f>IF(B53="","",(--(B53&lt;&gt;"")+--(C53&lt;&gt;"")+--(D53&lt;&gt;"")+--(E53&lt;&gt;"")+--(F53&lt;&gt;"")+--(G53&lt;&gt;"")+--(H53&lt;&gt;"")+--(I53&lt;&gt;"")+--(N53&lt;&gt;"")+--(O53&lt;&gt;"")+--(P53&lt;&gt;""))/11)</f>
        <v/>
      </c>
    </row>
    <row r="54">
      <c r="A54" s="7">
        <f>IF(B54="","",TEXT(B54,"yyyymmdd")&amp;"-"&amp;TEXT(ROW()-1,"000"))</f>
        <v/>
      </c>
      <c r="B54" s="8" t="n"/>
      <c r="C54" s="9" t="n"/>
      <c r="D54" s="9" t="n"/>
      <c r="E54" s="9" t="n"/>
      <c r="F54" s="9" t="n"/>
      <c r="G54" s="9" t="n"/>
      <c r="H54" s="9" t="n"/>
      <c r="I54" s="10" t="n"/>
      <c r="J54" s="11" t="n"/>
      <c r="K54" s="12" t="n"/>
      <c r="L54" s="11" t="n"/>
      <c r="M54" s="12" t="n"/>
      <c r="N54" s="9" t="n"/>
      <c r="O54" s="9" t="n"/>
      <c r="P54" s="10" t="n"/>
      <c r="Q54" s="11" t="n"/>
      <c r="R54" s="12" t="n"/>
      <c r="S54" s="12" t="n"/>
      <c r="T54" s="13">
        <f>IF(B54="","",B54+3)</f>
        <v/>
      </c>
      <c r="U54" s="13">
        <f>IF(B54="","",B54+5)</f>
        <v/>
      </c>
      <c r="V54" s="13">
        <f>IF(B54="","",B54+10)</f>
        <v/>
      </c>
      <c r="W54" s="14">
        <f>IF(B54="","",(--(B54&lt;&gt;"")+--(C54&lt;&gt;"")+--(D54&lt;&gt;"")+--(E54&lt;&gt;"")+--(F54&lt;&gt;"")+--(G54&lt;&gt;"")+--(H54&lt;&gt;"")+--(I54&lt;&gt;"")+--(N54&lt;&gt;"")+--(O54&lt;&gt;"")+--(P54&lt;&gt;""))/11)</f>
        <v/>
      </c>
    </row>
    <row r="55">
      <c r="A55" s="7">
        <f>IF(B55="","",TEXT(B55,"yyyymmdd")&amp;"-"&amp;TEXT(ROW()-1,"000"))</f>
        <v/>
      </c>
      <c r="B55" s="8" t="n"/>
      <c r="C55" s="9" t="n"/>
      <c r="D55" s="9" t="n"/>
      <c r="E55" s="9" t="n"/>
      <c r="F55" s="9" t="n"/>
      <c r="G55" s="9" t="n"/>
      <c r="H55" s="9" t="n"/>
      <c r="I55" s="10" t="n"/>
      <c r="J55" s="11" t="n"/>
      <c r="K55" s="12" t="n"/>
      <c r="L55" s="11" t="n"/>
      <c r="M55" s="12" t="n"/>
      <c r="N55" s="9" t="n"/>
      <c r="O55" s="9" t="n"/>
      <c r="P55" s="10" t="n"/>
      <c r="Q55" s="11" t="n"/>
      <c r="R55" s="12" t="n"/>
      <c r="S55" s="12" t="n"/>
      <c r="T55" s="13">
        <f>IF(B55="","",B55+3)</f>
        <v/>
      </c>
      <c r="U55" s="13">
        <f>IF(B55="","",B55+5)</f>
        <v/>
      </c>
      <c r="V55" s="13">
        <f>IF(B55="","",B55+10)</f>
        <v/>
      </c>
      <c r="W55" s="14">
        <f>IF(B55="","",(--(B55&lt;&gt;"")+--(C55&lt;&gt;"")+--(D55&lt;&gt;"")+--(E55&lt;&gt;"")+--(F55&lt;&gt;"")+--(G55&lt;&gt;"")+--(H55&lt;&gt;"")+--(I55&lt;&gt;"")+--(N55&lt;&gt;"")+--(O55&lt;&gt;"")+--(P55&lt;&gt;""))/11)</f>
        <v/>
      </c>
    </row>
    <row r="56">
      <c r="A56" s="7">
        <f>IF(B56="","",TEXT(B56,"yyyymmdd")&amp;"-"&amp;TEXT(ROW()-1,"000"))</f>
        <v/>
      </c>
      <c r="B56" s="8" t="n"/>
      <c r="C56" s="9" t="n"/>
      <c r="D56" s="9" t="n"/>
      <c r="E56" s="9" t="n"/>
      <c r="F56" s="9" t="n"/>
      <c r="G56" s="9" t="n"/>
      <c r="H56" s="9" t="n"/>
      <c r="I56" s="10" t="n"/>
      <c r="J56" s="11" t="n"/>
      <c r="K56" s="12" t="n"/>
      <c r="L56" s="11" t="n"/>
      <c r="M56" s="12" t="n"/>
      <c r="N56" s="9" t="n"/>
      <c r="O56" s="9" t="n"/>
      <c r="P56" s="10" t="n"/>
      <c r="Q56" s="11" t="n"/>
      <c r="R56" s="12" t="n"/>
      <c r="S56" s="12" t="n"/>
      <c r="T56" s="13">
        <f>IF(B56="","",B56+3)</f>
        <v/>
      </c>
      <c r="U56" s="13">
        <f>IF(B56="","",B56+5)</f>
        <v/>
      </c>
      <c r="V56" s="13">
        <f>IF(B56="","",B56+10)</f>
        <v/>
      </c>
      <c r="W56" s="14">
        <f>IF(B56="","",(--(B56&lt;&gt;"")+--(C56&lt;&gt;"")+--(D56&lt;&gt;"")+--(E56&lt;&gt;"")+--(F56&lt;&gt;"")+--(G56&lt;&gt;"")+--(H56&lt;&gt;"")+--(I56&lt;&gt;"")+--(N56&lt;&gt;"")+--(O56&lt;&gt;"")+--(P56&lt;&gt;""))/11)</f>
        <v/>
      </c>
    </row>
    <row r="57">
      <c r="A57" s="7">
        <f>IF(B57="","",TEXT(B57,"yyyymmdd")&amp;"-"&amp;TEXT(ROW()-1,"000"))</f>
        <v/>
      </c>
      <c r="B57" s="8" t="n"/>
      <c r="C57" s="9" t="n"/>
      <c r="D57" s="9" t="n"/>
      <c r="E57" s="9" t="n"/>
      <c r="F57" s="9" t="n"/>
      <c r="G57" s="9" t="n"/>
      <c r="H57" s="9" t="n"/>
      <c r="I57" s="10" t="n"/>
      <c r="J57" s="11" t="n"/>
      <c r="K57" s="12" t="n"/>
      <c r="L57" s="11" t="n"/>
      <c r="M57" s="12" t="n"/>
      <c r="N57" s="9" t="n"/>
      <c r="O57" s="9" t="n"/>
      <c r="P57" s="10" t="n"/>
      <c r="Q57" s="11" t="n"/>
      <c r="R57" s="12" t="n"/>
      <c r="S57" s="12" t="n"/>
      <c r="T57" s="13">
        <f>IF(B57="","",B57+3)</f>
        <v/>
      </c>
      <c r="U57" s="13">
        <f>IF(B57="","",B57+5)</f>
        <v/>
      </c>
      <c r="V57" s="13">
        <f>IF(B57="","",B57+10)</f>
        <v/>
      </c>
      <c r="W57" s="14">
        <f>IF(B57="","",(--(B57&lt;&gt;"")+--(C57&lt;&gt;"")+--(D57&lt;&gt;"")+--(E57&lt;&gt;"")+--(F57&lt;&gt;"")+--(G57&lt;&gt;"")+--(H57&lt;&gt;"")+--(I57&lt;&gt;"")+--(N57&lt;&gt;"")+--(O57&lt;&gt;"")+--(P57&lt;&gt;""))/11)</f>
        <v/>
      </c>
    </row>
    <row r="58">
      <c r="A58" s="7">
        <f>IF(B58="","",TEXT(B58,"yyyymmdd")&amp;"-"&amp;TEXT(ROW()-1,"000"))</f>
        <v/>
      </c>
      <c r="B58" s="8" t="n"/>
      <c r="C58" s="9" t="n"/>
      <c r="D58" s="9" t="n"/>
      <c r="E58" s="9" t="n"/>
      <c r="F58" s="9" t="n"/>
      <c r="G58" s="9" t="n"/>
      <c r="H58" s="9" t="n"/>
      <c r="I58" s="10" t="n"/>
      <c r="J58" s="11" t="n"/>
      <c r="K58" s="12" t="n"/>
      <c r="L58" s="11" t="n"/>
      <c r="M58" s="12" t="n"/>
      <c r="N58" s="9" t="n"/>
      <c r="O58" s="9" t="n"/>
      <c r="P58" s="10" t="n"/>
      <c r="Q58" s="11" t="n"/>
      <c r="R58" s="12" t="n"/>
      <c r="S58" s="12" t="n"/>
      <c r="T58" s="13">
        <f>IF(B58="","",B58+3)</f>
        <v/>
      </c>
      <c r="U58" s="13">
        <f>IF(B58="","",B58+5)</f>
        <v/>
      </c>
      <c r="V58" s="13">
        <f>IF(B58="","",B58+10)</f>
        <v/>
      </c>
      <c r="W58" s="14">
        <f>IF(B58="","",(--(B58&lt;&gt;"")+--(C58&lt;&gt;"")+--(D58&lt;&gt;"")+--(E58&lt;&gt;"")+--(F58&lt;&gt;"")+--(G58&lt;&gt;"")+--(H58&lt;&gt;"")+--(I58&lt;&gt;"")+--(N58&lt;&gt;"")+--(O58&lt;&gt;"")+--(P58&lt;&gt;""))/11)</f>
        <v/>
      </c>
    </row>
    <row r="59">
      <c r="A59" s="7">
        <f>IF(B59="","",TEXT(B59,"yyyymmdd")&amp;"-"&amp;TEXT(ROW()-1,"000"))</f>
        <v/>
      </c>
      <c r="B59" s="8" t="n"/>
      <c r="C59" s="9" t="n"/>
      <c r="D59" s="9" t="n"/>
      <c r="E59" s="9" t="n"/>
      <c r="F59" s="9" t="n"/>
      <c r="G59" s="9" t="n"/>
      <c r="H59" s="9" t="n"/>
      <c r="I59" s="10" t="n"/>
      <c r="J59" s="11" t="n"/>
      <c r="K59" s="12" t="n"/>
      <c r="L59" s="11" t="n"/>
      <c r="M59" s="12" t="n"/>
      <c r="N59" s="9" t="n"/>
      <c r="O59" s="9" t="n"/>
      <c r="P59" s="10" t="n"/>
      <c r="Q59" s="11" t="n"/>
      <c r="R59" s="12" t="n"/>
      <c r="S59" s="12" t="n"/>
      <c r="T59" s="13">
        <f>IF(B59="","",B59+3)</f>
        <v/>
      </c>
      <c r="U59" s="13">
        <f>IF(B59="","",B59+5)</f>
        <v/>
      </c>
      <c r="V59" s="13">
        <f>IF(B59="","",B59+10)</f>
        <v/>
      </c>
      <c r="W59" s="14">
        <f>IF(B59="","",(--(B59&lt;&gt;"")+--(C59&lt;&gt;"")+--(D59&lt;&gt;"")+--(E59&lt;&gt;"")+--(F59&lt;&gt;"")+--(G59&lt;&gt;"")+--(H59&lt;&gt;"")+--(I59&lt;&gt;"")+--(N59&lt;&gt;"")+--(O59&lt;&gt;"")+--(P59&lt;&gt;""))/11)</f>
        <v/>
      </c>
    </row>
    <row r="60">
      <c r="A60" s="7">
        <f>IF(B60="","",TEXT(B60,"yyyymmdd")&amp;"-"&amp;TEXT(ROW()-1,"000"))</f>
        <v/>
      </c>
      <c r="B60" s="8" t="n"/>
      <c r="C60" s="9" t="n"/>
      <c r="D60" s="9" t="n"/>
      <c r="E60" s="9" t="n"/>
      <c r="F60" s="9" t="n"/>
      <c r="G60" s="9" t="n"/>
      <c r="H60" s="9" t="n"/>
      <c r="I60" s="10" t="n"/>
      <c r="J60" s="11" t="n"/>
      <c r="K60" s="12" t="n"/>
      <c r="L60" s="11" t="n"/>
      <c r="M60" s="12" t="n"/>
      <c r="N60" s="9" t="n"/>
      <c r="O60" s="9" t="n"/>
      <c r="P60" s="10" t="n"/>
      <c r="Q60" s="11" t="n"/>
      <c r="R60" s="12" t="n"/>
      <c r="S60" s="12" t="n"/>
      <c r="T60" s="13">
        <f>IF(B60="","",B60+3)</f>
        <v/>
      </c>
      <c r="U60" s="13">
        <f>IF(B60="","",B60+5)</f>
        <v/>
      </c>
      <c r="V60" s="13">
        <f>IF(B60="","",B60+10)</f>
        <v/>
      </c>
      <c r="W60" s="14">
        <f>IF(B60="","",(--(B60&lt;&gt;"")+--(C60&lt;&gt;"")+--(D60&lt;&gt;"")+--(E60&lt;&gt;"")+--(F60&lt;&gt;"")+--(G60&lt;&gt;"")+--(H60&lt;&gt;"")+--(I60&lt;&gt;"")+--(N60&lt;&gt;"")+--(O60&lt;&gt;"")+--(P60&lt;&gt;""))/11)</f>
        <v/>
      </c>
    </row>
    <row r="61">
      <c r="A61" s="7">
        <f>IF(B61="","",TEXT(B61,"yyyymmdd")&amp;"-"&amp;TEXT(ROW()-1,"000"))</f>
        <v/>
      </c>
      <c r="B61" s="8" t="n"/>
      <c r="C61" s="9" t="n"/>
      <c r="D61" s="9" t="n"/>
      <c r="E61" s="9" t="n"/>
      <c r="F61" s="9" t="n"/>
      <c r="G61" s="9" t="n"/>
      <c r="H61" s="9" t="n"/>
      <c r="I61" s="10" t="n"/>
      <c r="J61" s="11" t="n"/>
      <c r="K61" s="12" t="n"/>
      <c r="L61" s="11" t="n"/>
      <c r="M61" s="12" t="n"/>
      <c r="N61" s="9" t="n"/>
      <c r="O61" s="9" t="n"/>
      <c r="P61" s="10" t="n"/>
      <c r="Q61" s="11" t="n"/>
      <c r="R61" s="12" t="n"/>
      <c r="S61" s="12" t="n"/>
      <c r="T61" s="13">
        <f>IF(B61="","",B61+3)</f>
        <v/>
      </c>
      <c r="U61" s="13">
        <f>IF(B61="","",B61+5)</f>
        <v/>
      </c>
      <c r="V61" s="13">
        <f>IF(B61="","",B61+10)</f>
        <v/>
      </c>
      <c r="W61" s="14">
        <f>IF(B61="","",(--(B61&lt;&gt;"")+--(C61&lt;&gt;"")+--(D61&lt;&gt;"")+--(E61&lt;&gt;"")+--(F61&lt;&gt;"")+--(G61&lt;&gt;"")+--(H61&lt;&gt;"")+--(I61&lt;&gt;"")+--(N61&lt;&gt;"")+--(O61&lt;&gt;"")+--(P61&lt;&gt;""))/11)</f>
        <v/>
      </c>
    </row>
    <row r="62">
      <c r="A62" s="7">
        <f>IF(B62="","",TEXT(B62,"yyyymmdd")&amp;"-"&amp;TEXT(ROW()-1,"000"))</f>
        <v/>
      </c>
      <c r="B62" s="8" t="n"/>
      <c r="C62" s="9" t="n"/>
      <c r="D62" s="9" t="n"/>
      <c r="E62" s="9" t="n"/>
      <c r="F62" s="9" t="n"/>
      <c r="G62" s="9" t="n"/>
      <c r="H62" s="9" t="n"/>
      <c r="I62" s="10" t="n"/>
      <c r="J62" s="11" t="n"/>
      <c r="K62" s="12" t="n"/>
      <c r="L62" s="11" t="n"/>
      <c r="M62" s="12" t="n"/>
      <c r="N62" s="9" t="n"/>
      <c r="O62" s="9" t="n"/>
      <c r="P62" s="10" t="n"/>
      <c r="Q62" s="11" t="n"/>
      <c r="R62" s="12" t="n"/>
      <c r="S62" s="12" t="n"/>
      <c r="T62" s="13">
        <f>IF(B62="","",B62+3)</f>
        <v/>
      </c>
      <c r="U62" s="13">
        <f>IF(B62="","",B62+5)</f>
        <v/>
      </c>
      <c r="V62" s="13">
        <f>IF(B62="","",B62+10)</f>
        <v/>
      </c>
      <c r="W62" s="14">
        <f>IF(B62="","",(--(B62&lt;&gt;"")+--(C62&lt;&gt;"")+--(D62&lt;&gt;"")+--(E62&lt;&gt;"")+--(F62&lt;&gt;"")+--(G62&lt;&gt;"")+--(H62&lt;&gt;"")+--(I62&lt;&gt;"")+--(N62&lt;&gt;"")+--(O62&lt;&gt;"")+--(P62&lt;&gt;""))/11)</f>
        <v/>
      </c>
    </row>
    <row r="63">
      <c r="A63" s="7">
        <f>IF(B63="","",TEXT(B63,"yyyymmdd")&amp;"-"&amp;TEXT(ROW()-1,"000"))</f>
        <v/>
      </c>
      <c r="B63" s="8" t="n"/>
      <c r="C63" s="9" t="n"/>
      <c r="D63" s="9" t="n"/>
      <c r="E63" s="9" t="n"/>
      <c r="F63" s="9" t="n"/>
      <c r="G63" s="9" t="n"/>
      <c r="H63" s="9" t="n"/>
      <c r="I63" s="10" t="n"/>
      <c r="J63" s="11" t="n"/>
      <c r="K63" s="12" t="n"/>
      <c r="L63" s="11" t="n"/>
      <c r="M63" s="12" t="n"/>
      <c r="N63" s="9" t="n"/>
      <c r="O63" s="9" t="n"/>
      <c r="P63" s="10" t="n"/>
      <c r="Q63" s="11" t="n"/>
      <c r="R63" s="12" t="n"/>
      <c r="S63" s="12" t="n"/>
      <c r="T63" s="13">
        <f>IF(B63="","",B63+3)</f>
        <v/>
      </c>
      <c r="U63" s="13">
        <f>IF(B63="","",B63+5)</f>
        <v/>
      </c>
      <c r="V63" s="13">
        <f>IF(B63="","",B63+10)</f>
        <v/>
      </c>
      <c r="W63" s="14">
        <f>IF(B63="","",(--(B63&lt;&gt;"")+--(C63&lt;&gt;"")+--(D63&lt;&gt;"")+--(E63&lt;&gt;"")+--(F63&lt;&gt;"")+--(G63&lt;&gt;"")+--(H63&lt;&gt;"")+--(I63&lt;&gt;"")+--(N63&lt;&gt;"")+--(O63&lt;&gt;"")+--(P63&lt;&gt;""))/11)</f>
        <v/>
      </c>
    </row>
    <row r="64">
      <c r="A64" s="7">
        <f>IF(B64="","",TEXT(B64,"yyyymmdd")&amp;"-"&amp;TEXT(ROW()-1,"000"))</f>
        <v/>
      </c>
      <c r="B64" s="8" t="n"/>
      <c r="C64" s="9" t="n"/>
      <c r="D64" s="9" t="n"/>
      <c r="E64" s="9" t="n"/>
      <c r="F64" s="9" t="n"/>
      <c r="G64" s="9" t="n"/>
      <c r="H64" s="9" t="n"/>
      <c r="I64" s="10" t="n"/>
      <c r="J64" s="11" t="n"/>
      <c r="K64" s="12" t="n"/>
      <c r="L64" s="11" t="n"/>
      <c r="M64" s="12" t="n"/>
      <c r="N64" s="9" t="n"/>
      <c r="O64" s="9" t="n"/>
      <c r="P64" s="10" t="n"/>
      <c r="Q64" s="11" t="n"/>
      <c r="R64" s="12" t="n"/>
      <c r="S64" s="12" t="n"/>
      <c r="T64" s="13">
        <f>IF(B64="","",B64+3)</f>
        <v/>
      </c>
      <c r="U64" s="13">
        <f>IF(B64="","",B64+5)</f>
        <v/>
      </c>
      <c r="V64" s="13">
        <f>IF(B64="","",B64+10)</f>
        <v/>
      </c>
      <c r="W64" s="14">
        <f>IF(B64="","",(--(B64&lt;&gt;"")+--(C64&lt;&gt;"")+--(D64&lt;&gt;"")+--(E64&lt;&gt;"")+--(F64&lt;&gt;"")+--(G64&lt;&gt;"")+--(H64&lt;&gt;"")+--(I64&lt;&gt;"")+--(N64&lt;&gt;"")+--(O64&lt;&gt;"")+--(P64&lt;&gt;""))/11)</f>
        <v/>
      </c>
    </row>
    <row r="65">
      <c r="A65" s="7">
        <f>IF(B65="","",TEXT(B65,"yyyymmdd")&amp;"-"&amp;TEXT(ROW()-1,"000"))</f>
        <v/>
      </c>
      <c r="B65" s="8" t="n"/>
      <c r="C65" s="9" t="n"/>
      <c r="D65" s="9" t="n"/>
      <c r="E65" s="9" t="n"/>
      <c r="F65" s="9" t="n"/>
      <c r="G65" s="9" t="n"/>
      <c r="H65" s="9" t="n"/>
      <c r="I65" s="10" t="n"/>
      <c r="J65" s="11" t="n"/>
      <c r="K65" s="12" t="n"/>
      <c r="L65" s="11" t="n"/>
      <c r="M65" s="12" t="n"/>
      <c r="N65" s="9" t="n"/>
      <c r="O65" s="9" t="n"/>
      <c r="P65" s="10" t="n"/>
      <c r="Q65" s="11" t="n"/>
      <c r="R65" s="12" t="n"/>
      <c r="S65" s="12" t="n"/>
      <c r="T65" s="13">
        <f>IF(B65="","",B65+3)</f>
        <v/>
      </c>
      <c r="U65" s="13">
        <f>IF(B65="","",B65+5)</f>
        <v/>
      </c>
      <c r="V65" s="13">
        <f>IF(B65="","",B65+10)</f>
        <v/>
      </c>
      <c r="W65" s="14">
        <f>IF(B65="","",(--(B65&lt;&gt;"")+--(C65&lt;&gt;"")+--(D65&lt;&gt;"")+--(E65&lt;&gt;"")+--(F65&lt;&gt;"")+--(G65&lt;&gt;"")+--(H65&lt;&gt;"")+--(I65&lt;&gt;"")+--(N65&lt;&gt;"")+--(O65&lt;&gt;"")+--(P65&lt;&gt;""))/11)</f>
        <v/>
      </c>
    </row>
    <row r="66">
      <c r="A66" s="7">
        <f>IF(B66="","",TEXT(B66,"yyyymmdd")&amp;"-"&amp;TEXT(ROW()-1,"000"))</f>
        <v/>
      </c>
      <c r="B66" s="8" t="n"/>
      <c r="C66" s="9" t="n"/>
      <c r="D66" s="9" t="n"/>
      <c r="E66" s="9" t="n"/>
      <c r="F66" s="9" t="n"/>
      <c r="G66" s="9" t="n"/>
      <c r="H66" s="9" t="n"/>
      <c r="I66" s="10" t="n"/>
      <c r="J66" s="11" t="n"/>
      <c r="K66" s="12" t="n"/>
      <c r="L66" s="11" t="n"/>
      <c r="M66" s="12" t="n"/>
      <c r="N66" s="9" t="n"/>
      <c r="O66" s="9" t="n"/>
      <c r="P66" s="10" t="n"/>
      <c r="Q66" s="11" t="n"/>
      <c r="R66" s="12" t="n"/>
      <c r="S66" s="12" t="n"/>
      <c r="T66" s="13">
        <f>IF(B66="","",B66+3)</f>
        <v/>
      </c>
      <c r="U66" s="13">
        <f>IF(B66="","",B66+5)</f>
        <v/>
      </c>
      <c r="V66" s="13">
        <f>IF(B66="","",B66+10)</f>
        <v/>
      </c>
      <c r="W66" s="14">
        <f>IF(B66="","",(--(B66&lt;&gt;"")+--(C66&lt;&gt;"")+--(D66&lt;&gt;"")+--(E66&lt;&gt;"")+--(F66&lt;&gt;"")+--(G66&lt;&gt;"")+--(H66&lt;&gt;"")+--(I66&lt;&gt;"")+--(N66&lt;&gt;"")+--(O66&lt;&gt;"")+--(P66&lt;&gt;""))/11)</f>
        <v/>
      </c>
    </row>
    <row r="67">
      <c r="A67" s="7">
        <f>IF(B67="","",TEXT(B67,"yyyymmdd")&amp;"-"&amp;TEXT(ROW()-1,"000"))</f>
        <v/>
      </c>
      <c r="B67" s="8" t="n"/>
      <c r="C67" s="9" t="n"/>
      <c r="D67" s="9" t="n"/>
      <c r="E67" s="9" t="n"/>
      <c r="F67" s="9" t="n"/>
      <c r="G67" s="9" t="n"/>
      <c r="H67" s="9" t="n"/>
      <c r="I67" s="10" t="n"/>
      <c r="J67" s="11" t="n"/>
      <c r="K67" s="12" t="n"/>
      <c r="L67" s="11" t="n"/>
      <c r="M67" s="12" t="n"/>
      <c r="N67" s="9" t="n"/>
      <c r="O67" s="9" t="n"/>
      <c r="P67" s="10" t="n"/>
      <c r="Q67" s="11" t="n"/>
      <c r="R67" s="12" t="n"/>
      <c r="S67" s="12" t="n"/>
      <c r="T67" s="13">
        <f>IF(B67="","",B67+3)</f>
        <v/>
      </c>
      <c r="U67" s="13">
        <f>IF(B67="","",B67+5)</f>
        <v/>
      </c>
      <c r="V67" s="13">
        <f>IF(B67="","",B67+10)</f>
        <v/>
      </c>
      <c r="W67" s="14">
        <f>IF(B67="","",(--(B67&lt;&gt;"")+--(C67&lt;&gt;"")+--(D67&lt;&gt;"")+--(E67&lt;&gt;"")+--(F67&lt;&gt;"")+--(G67&lt;&gt;"")+--(H67&lt;&gt;"")+--(I67&lt;&gt;"")+--(N67&lt;&gt;"")+--(O67&lt;&gt;"")+--(P67&lt;&gt;""))/11)</f>
        <v/>
      </c>
    </row>
    <row r="68">
      <c r="A68" s="7">
        <f>IF(B68="","",TEXT(B68,"yyyymmdd")&amp;"-"&amp;TEXT(ROW()-1,"000"))</f>
        <v/>
      </c>
      <c r="B68" s="8" t="n"/>
      <c r="C68" s="9" t="n"/>
      <c r="D68" s="9" t="n"/>
      <c r="E68" s="9" t="n"/>
      <c r="F68" s="9" t="n"/>
      <c r="G68" s="9" t="n"/>
      <c r="H68" s="9" t="n"/>
      <c r="I68" s="10" t="n"/>
      <c r="J68" s="11" t="n"/>
      <c r="K68" s="12" t="n"/>
      <c r="L68" s="11" t="n"/>
      <c r="M68" s="12" t="n"/>
      <c r="N68" s="9" t="n"/>
      <c r="O68" s="9" t="n"/>
      <c r="P68" s="10" t="n"/>
      <c r="Q68" s="11" t="n"/>
      <c r="R68" s="12" t="n"/>
      <c r="S68" s="12" t="n"/>
      <c r="T68" s="13">
        <f>IF(B68="","",B68+3)</f>
        <v/>
      </c>
      <c r="U68" s="13">
        <f>IF(B68="","",B68+5)</f>
        <v/>
      </c>
      <c r="V68" s="13">
        <f>IF(B68="","",B68+10)</f>
        <v/>
      </c>
      <c r="W68" s="14">
        <f>IF(B68="","",(--(B68&lt;&gt;"")+--(C68&lt;&gt;"")+--(D68&lt;&gt;"")+--(E68&lt;&gt;"")+--(F68&lt;&gt;"")+--(G68&lt;&gt;"")+--(H68&lt;&gt;"")+--(I68&lt;&gt;"")+--(N68&lt;&gt;"")+--(O68&lt;&gt;"")+--(P68&lt;&gt;""))/11)</f>
        <v/>
      </c>
    </row>
    <row r="69">
      <c r="A69" s="7">
        <f>IF(B69="","",TEXT(B69,"yyyymmdd")&amp;"-"&amp;TEXT(ROW()-1,"000"))</f>
        <v/>
      </c>
      <c r="B69" s="8" t="n"/>
      <c r="C69" s="9" t="n"/>
      <c r="D69" s="9" t="n"/>
      <c r="E69" s="9" t="n"/>
      <c r="F69" s="9" t="n"/>
      <c r="G69" s="9" t="n"/>
      <c r="H69" s="9" t="n"/>
      <c r="I69" s="10" t="n"/>
      <c r="J69" s="11" t="n"/>
      <c r="K69" s="12" t="n"/>
      <c r="L69" s="11" t="n"/>
      <c r="M69" s="12" t="n"/>
      <c r="N69" s="9" t="n"/>
      <c r="O69" s="9" t="n"/>
      <c r="P69" s="10" t="n"/>
      <c r="Q69" s="11" t="n"/>
      <c r="R69" s="12" t="n"/>
      <c r="S69" s="12" t="n"/>
      <c r="T69" s="13">
        <f>IF(B69="","",B69+3)</f>
        <v/>
      </c>
      <c r="U69" s="13">
        <f>IF(B69="","",B69+5)</f>
        <v/>
      </c>
      <c r="V69" s="13">
        <f>IF(B69="","",B69+10)</f>
        <v/>
      </c>
      <c r="W69" s="14">
        <f>IF(B69="","",(--(B69&lt;&gt;"")+--(C69&lt;&gt;"")+--(D69&lt;&gt;"")+--(E69&lt;&gt;"")+--(F69&lt;&gt;"")+--(G69&lt;&gt;"")+--(H69&lt;&gt;"")+--(I69&lt;&gt;"")+--(N69&lt;&gt;"")+--(O69&lt;&gt;"")+--(P69&lt;&gt;""))/11)</f>
        <v/>
      </c>
    </row>
    <row r="70">
      <c r="A70" s="7">
        <f>IF(B70="","",TEXT(B70,"yyyymmdd")&amp;"-"&amp;TEXT(ROW()-1,"000"))</f>
        <v/>
      </c>
      <c r="B70" s="8" t="n"/>
      <c r="C70" s="9" t="n"/>
      <c r="D70" s="9" t="n"/>
      <c r="E70" s="9" t="n"/>
      <c r="F70" s="9" t="n"/>
      <c r="G70" s="9" t="n"/>
      <c r="H70" s="9" t="n"/>
      <c r="I70" s="10" t="n"/>
      <c r="J70" s="11" t="n"/>
      <c r="K70" s="12" t="n"/>
      <c r="L70" s="11" t="n"/>
      <c r="M70" s="12" t="n"/>
      <c r="N70" s="9" t="n"/>
      <c r="O70" s="9" t="n"/>
      <c r="P70" s="10" t="n"/>
      <c r="Q70" s="11" t="n"/>
      <c r="R70" s="12" t="n"/>
      <c r="S70" s="12" t="n"/>
      <c r="T70" s="13">
        <f>IF(B70="","",B70+3)</f>
        <v/>
      </c>
      <c r="U70" s="13">
        <f>IF(B70="","",B70+5)</f>
        <v/>
      </c>
      <c r="V70" s="13">
        <f>IF(B70="","",B70+10)</f>
        <v/>
      </c>
      <c r="W70" s="14">
        <f>IF(B70="","",(--(B70&lt;&gt;"")+--(C70&lt;&gt;"")+--(D70&lt;&gt;"")+--(E70&lt;&gt;"")+--(F70&lt;&gt;"")+--(G70&lt;&gt;"")+--(H70&lt;&gt;"")+--(I70&lt;&gt;"")+--(N70&lt;&gt;"")+--(O70&lt;&gt;"")+--(P70&lt;&gt;""))/11)</f>
        <v/>
      </c>
    </row>
    <row r="71">
      <c r="A71" s="7">
        <f>IF(B71="","",TEXT(B71,"yyyymmdd")&amp;"-"&amp;TEXT(ROW()-1,"000"))</f>
        <v/>
      </c>
      <c r="B71" s="8" t="n"/>
      <c r="C71" s="9" t="n"/>
      <c r="D71" s="9" t="n"/>
      <c r="E71" s="9" t="n"/>
      <c r="F71" s="9" t="n"/>
      <c r="G71" s="9" t="n"/>
      <c r="H71" s="9" t="n"/>
      <c r="I71" s="10" t="n"/>
      <c r="J71" s="11" t="n"/>
      <c r="K71" s="12" t="n"/>
      <c r="L71" s="11" t="n"/>
      <c r="M71" s="12" t="n"/>
      <c r="N71" s="9" t="n"/>
      <c r="O71" s="9" t="n"/>
      <c r="P71" s="10" t="n"/>
      <c r="Q71" s="11" t="n"/>
      <c r="R71" s="12" t="n"/>
      <c r="S71" s="12" t="n"/>
      <c r="T71" s="13">
        <f>IF(B71="","",B71+3)</f>
        <v/>
      </c>
      <c r="U71" s="13">
        <f>IF(B71="","",B71+5)</f>
        <v/>
      </c>
      <c r="V71" s="13">
        <f>IF(B71="","",B71+10)</f>
        <v/>
      </c>
      <c r="W71" s="14">
        <f>IF(B71="","",(--(B71&lt;&gt;"")+--(C71&lt;&gt;"")+--(D71&lt;&gt;"")+--(E71&lt;&gt;"")+--(F71&lt;&gt;"")+--(G71&lt;&gt;"")+--(H71&lt;&gt;"")+--(I71&lt;&gt;"")+--(N71&lt;&gt;"")+--(O71&lt;&gt;"")+--(P71&lt;&gt;""))/11)</f>
        <v/>
      </c>
    </row>
    <row r="72">
      <c r="A72" s="7">
        <f>IF(B72="","",TEXT(B72,"yyyymmdd")&amp;"-"&amp;TEXT(ROW()-1,"000"))</f>
        <v/>
      </c>
      <c r="B72" s="8" t="n"/>
      <c r="C72" s="9" t="n"/>
      <c r="D72" s="9" t="n"/>
      <c r="E72" s="9" t="n"/>
      <c r="F72" s="9" t="n"/>
      <c r="G72" s="9" t="n"/>
      <c r="H72" s="9" t="n"/>
      <c r="I72" s="10" t="n"/>
      <c r="J72" s="11" t="n"/>
      <c r="K72" s="12" t="n"/>
      <c r="L72" s="11" t="n"/>
      <c r="M72" s="12" t="n"/>
      <c r="N72" s="9" t="n"/>
      <c r="O72" s="9" t="n"/>
      <c r="P72" s="10" t="n"/>
      <c r="Q72" s="11" t="n"/>
      <c r="R72" s="12" t="n"/>
      <c r="S72" s="12" t="n"/>
      <c r="T72" s="13">
        <f>IF(B72="","",B72+3)</f>
        <v/>
      </c>
      <c r="U72" s="13">
        <f>IF(B72="","",B72+5)</f>
        <v/>
      </c>
      <c r="V72" s="13">
        <f>IF(B72="","",B72+10)</f>
        <v/>
      </c>
      <c r="W72" s="14">
        <f>IF(B72="","",(--(B72&lt;&gt;"")+--(C72&lt;&gt;"")+--(D72&lt;&gt;"")+--(E72&lt;&gt;"")+--(F72&lt;&gt;"")+--(G72&lt;&gt;"")+--(H72&lt;&gt;"")+--(I72&lt;&gt;"")+--(N72&lt;&gt;"")+--(O72&lt;&gt;"")+--(P72&lt;&gt;""))/11)</f>
        <v/>
      </c>
    </row>
    <row r="73">
      <c r="A73" s="7">
        <f>IF(B73="","",TEXT(B73,"yyyymmdd")&amp;"-"&amp;TEXT(ROW()-1,"000"))</f>
        <v/>
      </c>
      <c r="B73" s="8" t="n"/>
      <c r="C73" s="9" t="n"/>
      <c r="D73" s="9" t="n"/>
      <c r="E73" s="9" t="n"/>
      <c r="F73" s="9" t="n"/>
      <c r="G73" s="9" t="n"/>
      <c r="H73" s="9" t="n"/>
      <c r="I73" s="10" t="n"/>
      <c r="J73" s="11" t="n"/>
      <c r="K73" s="12" t="n"/>
      <c r="L73" s="11" t="n"/>
      <c r="M73" s="12" t="n"/>
      <c r="N73" s="9" t="n"/>
      <c r="O73" s="9" t="n"/>
      <c r="P73" s="10" t="n"/>
      <c r="Q73" s="11" t="n"/>
      <c r="R73" s="12" t="n"/>
      <c r="S73" s="12" t="n"/>
      <c r="T73" s="13">
        <f>IF(B73="","",B73+3)</f>
        <v/>
      </c>
      <c r="U73" s="13">
        <f>IF(B73="","",B73+5)</f>
        <v/>
      </c>
      <c r="V73" s="13">
        <f>IF(B73="","",B73+10)</f>
        <v/>
      </c>
      <c r="W73" s="14">
        <f>IF(B73="","",(--(B73&lt;&gt;"")+--(C73&lt;&gt;"")+--(D73&lt;&gt;"")+--(E73&lt;&gt;"")+--(F73&lt;&gt;"")+--(G73&lt;&gt;"")+--(H73&lt;&gt;"")+--(I73&lt;&gt;"")+--(N73&lt;&gt;"")+--(O73&lt;&gt;"")+--(P73&lt;&gt;""))/11)</f>
        <v/>
      </c>
    </row>
    <row r="74">
      <c r="A74" s="7">
        <f>IF(B74="","",TEXT(B74,"yyyymmdd")&amp;"-"&amp;TEXT(ROW()-1,"000"))</f>
        <v/>
      </c>
      <c r="B74" s="8" t="n"/>
      <c r="C74" s="9" t="n"/>
      <c r="D74" s="9" t="n"/>
      <c r="E74" s="9" t="n"/>
      <c r="F74" s="9" t="n"/>
      <c r="G74" s="9" t="n"/>
      <c r="H74" s="9" t="n"/>
      <c r="I74" s="10" t="n"/>
      <c r="J74" s="11" t="n"/>
      <c r="K74" s="12" t="n"/>
      <c r="L74" s="11" t="n"/>
      <c r="M74" s="12" t="n"/>
      <c r="N74" s="9" t="n"/>
      <c r="O74" s="9" t="n"/>
      <c r="P74" s="10" t="n"/>
      <c r="Q74" s="11" t="n"/>
      <c r="R74" s="12" t="n"/>
      <c r="S74" s="12" t="n"/>
      <c r="T74" s="13">
        <f>IF(B74="","",B74+3)</f>
        <v/>
      </c>
      <c r="U74" s="13">
        <f>IF(B74="","",B74+5)</f>
        <v/>
      </c>
      <c r="V74" s="13">
        <f>IF(B74="","",B74+10)</f>
        <v/>
      </c>
      <c r="W74" s="14">
        <f>IF(B74="","",(--(B74&lt;&gt;"")+--(C74&lt;&gt;"")+--(D74&lt;&gt;"")+--(E74&lt;&gt;"")+--(F74&lt;&gt;"")+--(G74&lt;&gt;"")+--(H74&lt;&gt;"")+--(I74&lt;&gt;"")+--(N74&lt;&gt;"")+--(O74&lt;&gt;"")+--(P74&lt;&gt;""))/11)</f>
        <v/>
      </c>
    </row>
    <row r="75">
      <c r="A75" s="7">
        <f>IF(B75="","",TEXT(B75,"yyyymmdd")&amp;"-"&amp;TEXT(ROW()-1,"000"))</f>
        <v/>
      </c>
      <c r="B75" s="8" t="n"/>
      <c r="C75" s="9" t="n"/>
      <c r="D75" s="9" t="n"/>
      <c r="E75" s="9" t="n"/>
      <c r="F75" s="9" t="n"/>
      <c r="G75" s="9" t="n"/>
      <c r="H75" s="9" t="n"/>
      <c r="I75" s="10" t="n"/>
      <c r="J75" s="11" t="n"/>
      <c r="K75" s="12" t="n"/>
      <c r="L75" s="11" t="n"/>
      <c r="M75" s="12" t="n"/>
      <c r="N75" s="9" t="n"/>
      <c r="O75" s="9" t="n"/>
      <c r="P75" s="10" t="n"/>
      <c r="Q75" s="11" t="n"/>
      <c r="R75" s="12" t="n"/>
      <c r="S75" s="12" t="n"/>
      <c r="T75" s="13">
        <f>IF(B75="","",B75+3)</f>
        <v/>
      </c>
      <c r="U75" s="13">
        <f>IF(B75="","",B75+5)</f>
        <v/>
      </c>
      <c r="V75" s="13">
        <f>IF(B75="","",B75+10)</f>
        <v/>
      </c>
      <c r="W75" s="14">
        <f>IF(B75="","",(--(B75&lt;&gt;"")+--(C75&lt;&gt;"")+--(D75&lt;&gt;"")+--(E75&lt;&gt;"")+--(F75&lt;&gt;"")+--(G75&lt;&gt;"")+--(H75&lt;&gt;"")+--(I75&lt;&gt;"")+--(N75&lt;&gt;"")+--(O75&lt;&gt;"")+--(P75&lt;&gt;""))/11)</f>
        <v/>
      </c>
    </row>
    <row r="76">
      <c r="A76" s="7">
        <f>IF(B76="","",TEXT(B76,"yyyymmdd")&amp;"-"&amp;TEXT(ROW()-1,"000"))</f>
        <v/>
      </c>
      <c r="B76" s="8" t="n"/>
      <c r="C76" s="9" t="n"/>
      <c r="D76" s="9" t="n"/>
      <c r="E76" s="9" t="n"/>
      <c r="F76" s="9" t="n"/>
      <c r="G76" s="9" t="n"/>
      <c r="H76" s="9" t="n"/>
      <c r="I76" s="10" t="n"/>
      <c r="J76" s="11" t="n"/>
      <c r="K76" s="12" t="n"/>
      <c r="L76" s="11" t="n"/>
      <c r="M76" s="12" t="n"/>
      <c r="N76" s="9" t="n"/>
      <c r="O76" s="9" t="n"/>
      <c r="P76" s="10" t="n"/>
      <c r="Q76" s="11" t="n"/>
      <c r="R76" s="12" t="n"/>
      <c r="S76" s="12" t="n"/>
      <c r="T76" s="13">
        <f>IF(B76="","",B76+3)</f>
        <v/>
      </c>
      <c r="U76" s="13">
        <f>IF(B76="","",B76+5)</f>
        <v/>
      </c>
      <c r="V76" s="13">
        <f>IF(B76="","",B76+10)</f>
        <v/>
      </c>
      <c r="W76" s="14">
        <f>IF(B76="","",(--(B76&lt;&gt;"")+--(C76&lt;&gt;"")+--(D76&lt;&gt;"")+--(E76&lt;&gt;"")+--(F76&lt;&gt;"")+--(G76&lt;&gt;"")+--(H76&lt;&gt;"")+--(I76&lt;&gt;"")+--(N76&lt;&gt;"")+--(O76&lt;&gt;"")+--(P76&lt;&gt;""))/11)</f>
        <v/>
      </c>
    </row>
    <row r="77">
      <c r="A77" s="7">
        <f>IF(B77="","",TEXT(B77,"yyyymmdd")&amp;"-"&amp;TEXT(ROW()-1,"000"))</f>
        <v/>
      </c>
      <c r="B77" s="8" t="n"/>
      <c r="C77" s="9" t="n"/>
      <c r="D77" s="9" t="n"/>
      <c r="E77" s="9" t="n"/>
      <c r="F77" s="9" t="n"/>
      <c r="G77" s="9" t="n"/>
      <c r="H77" s="9" t="n"/>
      <c r="I77" s="10" t="n"/>
      <c r="J77" s="11" t="n"/>
      <c r="K77" s="12" t="n"/>
      <c r="L77" s="11" t="n"/>
      <c r="M77" s="12" t="n"/>
      <c r="N77" s="9" t="n"/>
      <c r="O77" s="9" t="n"/>
      <c r="P77" s="10" t="n"/>
      <c r="Q77" s="11" t="n"/>
      <c r="R77" s="12" t="n"/>
      <c r="S77" s="12" t="n"/>
      <c r="T77" s="13">
        <f>IF(B77="","",B77+3)</f>
        <v/>
      </c>
      <c r="U77" s="13">
        <f>IF(B77="","",B77+5)</f>
        <v/>
      </c>
      <c r="V77" s="13">
        <f>IF(B77="","",B77+10)</f>
        <v/>
      </c>
      <c r="W77" s="14">
        <f>IF(B77="","",(--(B77&lt;&gt;"")+--(C77&lt;&gt;"")+--(D77&lt;&gt;"")+--(E77&lt;&gt;"")+--(F77&lt;&gt;"")+--(G77&lt;&gt;"")+--(H77&lt;&gt;"")+--(I77&lt;&gt;"")+--(N77&lt;&gt;"")+--(O77&lt;&gt;"")+--(P77&lt;&gt;""))/11)</f>
        <v/>
      </c>
    </row>
    <row r="78">
      <c r="A78" s="7">
        <f>IF(B78="","",TEXT(B78,"yyyymmdd")&amp;"-"&amp;TEXT(ROW()-1,"000"))</f>
        <v/>
      </c>
      <c r="B78" s="8" t="n"/>
      <c r="C78" s="9" t="n"/>
      <c r="D78" s="9" t="n"/>
      <c r="E78" s="9" t="n"/>
      <c r="F78" s="9" t="n"/>
      <c r="G78" s="9" t="n"/>
      <c r="H78" s="9" t="n"/>
      <c r="I78" s="10" t="n"/>
      <c r="J78" s="11" t="n"/>
      <c r="K78" s="12" t="n"/>
      <c r="L78" s="11" t="n"/>
      <c r="M78" s="12" t="n"/>
      <c r="N78" s="9" t="n"/>
      <c r="O78" s="9" t="n"/>
      <c r="P78" s="10" t="n"/>
      <c r="Q78" s="11" t="n"/>
      <c r="R78" s="12" t="n"/>
      <c r="S78" s="12" t="n"/>
      <c r="T78" s="13">
        <f>IF(B78="","",B78+3)</f>
        <v/>
      </c>
      <c r="U78" s="13">
        <f>IF(B78="","",B78+5)</f>
        <v/>
      </c>
      <c r="V78" s="13">
        <f>IF(B78="","",B78+10)</f>
        <v/>
      </c>
      <c r="W78" s="14">
        <f>IF(B78="","",(--(B78&lt;&gt;"")+--(C78&lt;&gt;"")+--(D78&lt;&gt;"")+--(E78&lt;&gt;"")+--(F78&lt;&gt;"")+--(G78&lt;&gt;"")+--(H78&lt;&gt;"")+--(I78&lt;&gt;"")+--(N78&lt;&gt;"")+--(O78&lt;&gt;"")+--(P78&lt;&gt;""))/11)</f>
        <v/>
      </c>
    </row>
    <row r="79">
      <c r="A79" s="7">
        <f>IF(B79="","",TEXT(B79,"yyyymmdd")&amp;"-"&amp;TEXT(ROW()-1,"000"))</f>
        <v/>
      </c>
      <c r="B79" s="8" t="n"/>
      <c r="C79" s="9" t="n"/>
      <c r="D79" s="9" t="n"/>
      <c r="E79" s="9" t="n"/>
      <c r="F79" s="9" t="n"/>
      <c r="G79" s="9" t="n"/>
      <c r="H79" s="9" t="n"/>
      <c r="I79" s="10" t="n"/>
      <c r="J79" s="11" t="n"/>
      <c r="K79" s="12" t="n"/>
      <c r="L79" s="11" t="n"/>
      <c r="M79" s="12" t="n"/>
      <c r="N79" s="9" t="n"/>
      <c r="O79" s="9" t="n"/>
      <c r="P79" s="10" t="n"/>
      <c r="Q79" s="11" t="n"/>
      <c r="R79" s="12" t="n"/>
      <c r="S79" s="12" t="n"/>
      <c r="T79" s="13">
        <f>IF(B79="","",B79+3)</f>
        <v/>
      </c>
      <c r="U79" s="13">
        <f>IF(B79="","",B79+5)</f>
        <v/>
      </c>
      <c r="V79" s="13">
        <f>IF(B79="","",B79+10)</f>
        <v/>
      </c>
      <c r="W79" s="14">
        <f>IF(B79="","",(--(B79&lt;&gt;"")+--(C79&lt;&gt;"")+--(D79&lt;&gt;"")+--(E79&lt;&gt;"")+--(F79&lt;&gt;"")+--(G79&lt;&gt;"")+--(H79&lt;&gt;"")+--(I79&lt;&gt;"")+--(N79&lt;&gt;"")+--(O79&lt;&gt;"")+--(P79&lt;&gt;""))/11)</f>
        <v/>
      </c>
    </row>
    <row r="80">
      <c r="A80" s="7">
        <f>IF(B80="","",TEXT(B80,"yyyymmdd")&amp;"-"&amp;TEXT(ROW()-1,"000"))</f>
        <v/>
      </c>
      <c r="B80" s="8" t="n"/>
      <c r="C80" s="9" t="n"/>
      <c r="D80" s="9" t="n"/>
      <c r="E80" s="9" t="n"/>
      <c r="F80" s="9" t="n"/>
      <c r="G80" s="9" t="n"/>
      <c r="H80" s="9" t="n"/>
      <c r="I80" s="10" t="n"/>
      <c r="J80" s="11" t="n"/>
      <c r="K80" s="12" t="n"/>
      <c r="L80" s="11" t="n"/>
      <c r="M80" s="12" t="n"/>
      <c r="N80" s="9" t="n"/>
      <c r="O80" s="9" t="n"/>
      <c r="P80" s="10" t="n"/>
      <c r="Q80" s="11" t="n"/>
      <c r="R80" s="12" t="n"/>
      <c r="S80" s="12" t="n"/>
      <c r="T80" s="13">
        <f>IF(B80="","",B80+3)</f>
        <v/>
      </c>
      <c r="U80" s="13">
        <f>IF(B80="","",B80+5)</f>
        <v/>
      </c>
      <c r="V80" s="13">
        <f>IF(B80="","",B80+10)</f>
        <v/>
      </c>
      <c r="W80" s="14">
        <f>IF(B80="","",(--(B80&lt;&gt;"")+--(C80&lt;&gt;"")+--(D80&lt;&gt;"")+--(E80&lt;&gt;"")+--(F80&lt;&gt;"")+--(G80&lt;&gt;"")+--(H80&lt;&gt;"")+--(I80&lt;&gt;"")+--(N80&lt;&gt;"")+--(O80&lt;&gt;"")+--(P80&lt;&gt;""))/11)</f>
        <v/>
      </c>
    </row>
    <row r="81">
      <c r="A81" s="7">
        <f>IF(B81="","",TEXT(B81,"yyyymmdd")&amp;"-"&amp;TEXT(ROW()-1,"000"))</f>
        <v/>
      </c>
      <c r="B81" s="8" t="n"/>
      <c r="C81" s="9" t="n"/>
      <c r="D81" s="9" t="n"/>
      <c r="E81" s="9" t="n"/>
      <c r="F81" s="9" t="n"/>
      <c r="G81" s="9" t="n"/>
      <c r="H81" s="9" t="n"/>
      <c r="I81" s="10" t="n"/>
      <c r="J81" s="11" t="n"/>
      <c r="K81" s="12" t="n"/>
      <c r="L81" s="11" t="n"/>
      <c r="M81" s="12" t="n"/>
      <c r="N81" s="9" t="n"/>
      <c r="O81" s="9" t="n"/>
      <c r="P81" s="10" t="n"/>
      <c r="Q81" s="11" t="n"/>
      <c r="R81" s="12" t="n"/>
      <c r="S81" s="12" t="n"/>
      <c r="T81" s="13">
        <f>IF(B81="","",B81+3)</f>
        <v/>
      </c>
      <c r="U81" s="13">
        <f>IF(B81="","",B81+5)</f>
        <v/>
      </c>
      <c r="V81" s="13">
        <f>IF(B81="","",B81+10)</f>
        <v/>
      </c>
      <c r="W81" s="14">
        <f>IF(B81="","",(--(B81&lt;&gt;"")+--(C81&lt;&gt;"")+--(D81&lt;&gt;"")+--(E81&lt;&gt;"")+--(F81&lt;&gt;"")+--(G81&lt;&gt;"")+--(H81&lt;&gt;"")+--(I81&lt;&gt;"")+--(N81&lt;&gt;"")+--(O81&lt;&gt;"")+--(P81&lt;&gt;""))/11)</f>
        <v/>
      </c>
    </row>
    <row r="82">
      <c r="A82" s="7">
        <f>IF(B82="","",TEXT(B82,"yyyymmdd")&amp;"-"&amp;TEXT(ROW()-1,"000"))</f>
        <v/>
      </c>
      <c r="B82" s="8" t="n"/>
      <c r="C82" s="9" t="n"/>
      <c r="D82" s="9" t="n"/>
      <c r="E82" s="9" t="n"/>
      <c r="F82" s="9" t="n"/>
      <c r="G82" s="9" t="n"/>
      <c r="H82" s="9" t="n"/>
      <c r="I82" s="10" t="n"/>
      <c r="J82" s="11" t="n"/>
      <c r="K82" s="12" t="n"/>
      <c r="L82" s="11" t="n"/>
      <c r="M82" s="12" t="n"/>
      <c r="N82" s="9" t="n"/>
      <c r="O82" s="9" t="n"/>
      <c r="P82" s="10" t="n"/>
      <c r="Q82" s="11" t="n"/>
      <c r="R82" s="12" t="n"/>
      <c r="S82" s="12" t="n"/>
      <c r="T82" s="13">
        <f>IF(B82="","",B82+3)</f>
        <v/>
      </c>
      <c r="U82" s="13">
        <f>IF(B82="","",B82+5)</f>
        <v/>
      </c>
      <c r="V82" s="13">
        <f>IF(B82="","",B82+10)</f>
        <v/>
      </c>
      <c r="W82" s="14">
        <f>IF(B82="","",(--(B82&lt;&gt;"")+--(C82&lt;&gt;"")+--(D82&lt;&gt;"")+--(E82&lt;&gt;"")+--(F82&lt;&gt;"")+--(G82&lt;&gt;"")+--(H82&lt;&gt;"")+--(I82&lt;&gt;"")+--(N82&lt;&gt;"")+--(O82&lt;&gt;"")+--(P82&lt;&gt;""))/11)</f>
        <v/>
      </c>
    </row>
    <row r="83">
      <c r="A83" s="7">
        <f>IF(B83="","",TEXT(B83,"yyyymmdd")&amp;"-"&amp;TEXT(ROW()-1,"000"))</f>
        <v/>
      </c>
      <c r="B83" s="8" t="n"/>
      <c r="C83" s="9" t="n"/>
      <c r="D83" s="9" t="n"/>
      <c r="E83" s="9" t="n"/>
      <c r="F83" s="9" t="n"/>
      <c r="G83" s="9" t="n"/>
      <c r="H83" s="9" t="n"/>
      <c r="I83" s="10" t="n"/>
      <c r="J83" s="11" t="n"/>
      <c r="K83" s="12" t="n"/>
      <c r="L83" s="11" t="n"/>
      <c r="M83" s="12" t="n"/>
      <c r="N83" s="9" t="n"/>
      <c r="O83" s="9" t="n"/>
      <c r="P83" s="10" t="n"/>
      <c r="Q83" s="11" t="n"/>
      <c r="R83" s="12" t="n"/>
      <c r="S83" s="12" t="n"/>
      <c r="T83" s="13">
        <f>IF(B83="","",B83+3)</f>
        <v/>
      </c>
      <c r="U83" s="13">
        <f>IF(B83="","",B83+5)</f>
        <v/>
      </c>
      <c r="V83" s="13">
        <f>IF(B83="","",B83+10)</f>
        <v/>
      </c>
      <c r="W83" s="14">
        <f>IF(B83="","",(--(B83&lt;&gt;"")+--(C83&lt;&gt;"")+--(D83&lt;&gt;"")+--(E83&lt;&gt;"")+--(F83&lt;&gt;"")+--(G83&lt;&gt;"")+--(H83&lt;&gt;"")+--(I83&lt;&gt;"")+--(N83&lt;&gt;"")+--(O83&lt;&gt;"")+--(P83&lt;&gt;""))/11)</f>
        <v/>
      </c>
    </row>
    <row r="84">
      <c r="A84" s="7">
        <f>IF(B84="","",TEXT(B84,"yyyymmdd")&amp;"-"&amp;TEXT(ROW()-1,"000"))</f>
        <v/>
      </c>
      <c r="B84" s="8" t="n"/>
      <c r="C84" s="9" t="n"/>
      <c r="D84" s="9" t="n"/>
      <c r="E84" s="9" t="n"/>
      <c r="F84" s="9" t="n"/>
      <c r="G84" s="9" t="n"/>
      <c r="H84" s="9" t="n"/>
      <c r="I84" s="10" t="n"/>
      <c r="J84" s="11" t="n"/>
      <c r="K84" s="12" t="n"/>
      <c r="L84" s="11" t="n"/>
      <c r="M84" s="12" t="n"/>
      <c r="N84" s="9" t="n"/>
      <c r="O84" s="9" t="n"/>
      <c r="P84" s="10" t="n"/>
      <c r="Q84" s="11" t="n"/>
      <c r="R84" s="12" t="n"/>
      <c r="S84" s="12" t="n"/>
      <c r="T84" s="13">
        <f>IF(B84="","",B84+3)</f>
        <v/>
      </c>
      <c r="U84" s="13">
        <f>IF(B84="","",B84+5)</f>
        <v/>
      </c>
      <c r="V84" s="13">
        <f>IF(B84="","",B84+10)</f>
        <v/>
      </c>
      <c r="W84" s="14">
        <f>IF(B84="","",(--(B84&lt;&gt;"")+--(C84&lt;&gt;"")+--(D84&lt;&gt;"")+--(E84&lt;&gt;"")+--(F84&lt;&gt;"")+--(G84&lt;&gt;"")+--(H84&lt;&gt;"")+--(I84&lt;&gt;"")+--(N84&lt;&gt;"")+--(O84&lt;&gt;"")+--(P84&lt;&gt;""))/11)</f>
        <v/>
      </c>
    </row>
    <row r="85">
      <c r="A85" s="7">
        <f>IF(B85="","",TEXT(B85,"yyyymmdd")&amp;"-"&amp;TEXT(ROW()-1,"000"))</f>
        <v/>
      </c>
      <c r="B85" s="8" t="n"/>
      <c r="C85" s="9" t="n"/>
      <c r="D85" s="9" t="n"/>
      <c r="E85" s="9" t="n"/>
      <c r="F85" s="9" t="n"/>
      <c r="G85" s="9" t="n"/>
      <c r="H85" s="9" t="n"/>
      <c r="I85" s="10" t="n"/>
      <c r="J85" s="11" t="n"/>
      <c r="K85" s="12" t="n"/>
      <c r="L85" s="11" t="n"/>
      <c r="M85" s="12" t="n"/>
      <c r="N85" s="9" t="n"/>
      <c r="O85" s="9" t="n"/>
      <c r="P85" s="10" t="n"/>
      <c r="Q85" s="11" t="n"/>
      <c r="R85" s="12" t="n"/>
      <c r="S85" s="12" t="n"/>
      <c r="T85" s="13">
        <f>IF(B85="","",B85+3)</f>
        <v/>
      </c>
      <c r="U85" s="13">
        <f>IF(B85="","",B85+5)</f>
        <v/>
      </c>
      <c r="V85" s="13">
        <f>IF(B85="","",B85+10)</f>
        <v/>
      </c>
      <c r="W85" s="14">
        <f>IF(B85="","",(--(B85&lt;&gt;"")+--(C85&lt;&gt;"")+--(D85&lt;&gt;"")+--(E85&lt;&gt;"")+--(F85&lt;&gt;"")+--(G85&lt;&gt;"")+--(H85&lt;&gt;"")+--(I85&lt;&gt;"")+--(N85&lt;&gt;"")+--(O85&lt;&gt;"")+--(P85&lt;&gt;""))/11)</f>
        <v/>
      </c>
    </row>
    <row r="86">
      <c r="A86" s="7">
        <f>IF(B86="","",TEXT(B86,"yyyymmdd")&amp;"-"&amp;TEXT(ROW()-1,"000"))</f>
        <v/>
      </c>
      <c r="B86" s="8" t="n"/>
      <c r="C86" s="9" t="n"/>
      <c r="D86" s="9" t="n"/>
      <c r="E86" s="9" t="n"/>
      <c r="F86" s="9" t="n"/>
      <c r="G86" s="9" t="n"/>
      <c r="H86" s="9" t="n"/>
      <c r="I86" s="10" t="n"/>
      <c r="J86" s="11" t="n"/>
      <c r="K86" s="12" t="n"/>
      <c r="L86" s="11" t="n"/>
      <c r="M86" s="12" t="n"/>
      <c r="N86" s="9" t="n"/>
      <c r="O86" s="9" t="n"/>
      <c r="P86" s="10" t="n"/>
      <c r="Q86" s="11" t="n"/>
      <c r="R86" s="12" t="n"/>
      <c r="S86" s="12" t="n"/>
      <c r="T86" s="13">
        <f>IF(B86="","",B86+3)</f>
        <v/>
      </c>
      <c r="U86" s="13">
        <f>IF(B86="","",B86+5)</f>
        <v/>
      </c>
      <c r="V86" s="13">
        <f>IF(B86="","",B86+10)</f>
        <v/>
      </c>
      <c r="W86" s="14">
        <f>IF(B86="","",(--(B86&lt;&gt;"")+--(C86&lt;&gt;"")+--(D86&lt;&gt;"")+--(E86&lt;&gt;"")+--(F86&lt;&gt;"")+--(G86&lt;&gt;"")+--(H86&lt;&gt;"")+--(I86&lt;&gt;"")+--(N86&lt;&gt;"")+--(O86&lt;&gt;"")+--(P86&lt;&gt;""))/11)</f>
        <v/>
      </c>
    </row>
    <row r="87">
      <c r="A87" s="7">
        <f>IF(B87="","",TEXT(B87,"yyyymmdd")&amp;"-"&amp;TEXT(ROW()-1,"000"))</f>
        <v/>
      </c>
      <c r="B87" s="8" t="n"/>
      <c r="C87" s="9" t="n"/>
      <c r="D87" s="9" t="n"/>
      <c r="E87" s="9" t="n"/>
      <c r="F87" s="9" t="n"/>
      <c r="G87" s="9" t="n"/>
      <c r="H87" s="9" t="n"/>
      <c r="I87" s="10" t="n"/>
      <c r="J87" s="11" t="n"/>
      <c r="K87" s="12" t="n"/>
      <c r="L87" s="11" t="n"/>
      <c r="M87" s="12" t="n"/>
      <c r="N87" s="9" t="n"/>
      <c r="O87" s="9" t="n"/>
      <c r="P87" s="10" t="n"/>
      <c r="Q87" s="11" t="n"/>
      <c r="R87" s="12" t="n"/>
      <c r="S87" s="12" t="n"/>
      <c r="T87" s="13">
        <f>IF(B87="","",B87+3)</f>
        <v/>
      </c>
      <c r="U87" s="13">
        <f>IF(B87="","",B87+5)</f>
        <v/>
      </c>
      <c r="V87" s="13">
        <f>IF(B87="","",B87+10)</f>
        <v/>
      </c>
      <c r="W87" s="14">
        <f>IF(B87="","",(--(B87&lt;&gt;"")+--(C87&lt;&gt;"")+--(D87&lt;&gt;"")+--(E87&lt;&gt;"")+--(F87&lt;&gt;"")+--(G87&lt;&gt;"")+--(H87&lt;&gt;"")+--(I87&lt;&gt;"")+--(N87&lt;&gt;"")+--(O87&lt;&gt;"")+--(P87&lt;&gt;""))/11)</f>
        <v/>
      </c>
    </row>
    <row r="88">
      <c r="A88" s="7">
        <f>IF(B88="","",TEXT(B88,"yyyymmdd")&amp;"-"&amp;TEXT(ROW()-1,"000"))</f>
        <v/>
      </c>
      <c r="B88" s="8" t="n"/>
      <c r="C88" s="9" t="n"/>
      <c r="D88" s="9" t="n"/>
      <c r="E88" s="9" t="n"/>
      <c r="F88" s="9" t="n"/>
      <c r="G88" s="9" t="n"/>
      <c r="H88" s="9" t="n"/>
      <c r="I88" s="10" t="n"/>
      <c r="J88" s="11" t="n"/>
      <c r="K88" s="12" t="n"/>
      <c r="L88" s="11" t="n"/>
      <c r="M88" s="12" t="n"/>
      <c r="N88" s="9" t="n"/>
      <c r="O88" s="9" t="n"/>
      <c r="P88" s="10" t="n"/>
      <c r="Q88" s="11" t="n"/>
      <c r="R88" s="12" t="n"/>
      <c r="S88" s="12" t="n"/>
      <c r="T88" s="13">
        <f>IF(B88="","",B88+3)</f>
        <v/>
      </c>
      <c r="U88" s="13">
        <f>IF(B88="","",B88+5)</f>
        <v/>
      </c>
      <c r="V88" s="13">
        <f>IF(B88="","",B88+10)</f>
        <v/>
      </c>
      <c r="W88" s="14">
        <f>IF(B88="","",(--(B88&lt;&gt;"")+--(C88&lt;&gt;"")+--(D88&lt;&gt;"")+--(E88&lt;&gt;"")+--(F88&lt;&gt;"")+--(G88&lt;&gt;"")+--(H88&lt;&gt;"")+--(I88&lt;&gt;"")+--(N88&lt;&gt;"")+--(O88&lt;&gt;"")+--(P88&lt;&gt;""))/11)</f>
        <v/>
      </c>
    </row>
    <row r="89">
      <c r="A89" s="7">
        <f>IF(B89="","",TEXT(B89,"yyyymmdd")&amp;"-"&amp;TEXT(ROW()-1,"000"))</f>
        <v/>
      </c>
      <c r="B89" s="8" t="n"/>
      <c r="C89" s="9" t="n"/>
      <c r="D89" s="9" t="n"/>
      <c r="E89" s="9" t="n"/>
      <c r="F89" s="9" t="n"/>
      <c r="G89" s="9" t="n"/>
      <c r="H89" s="9" t="n"/>
      <c r="I89" s="10" t="n"/>
      <c r="J89" s="11" t="n"/>
      <c r="K89" s="12" t="n"/>
      <c r="L89" s="11" t="n"/>
      <c r="M89" s="12" t="n"/>
      <c r="N89" s="9" t="n"/>
      <c r="O89" s="9" t="n"/>
      <c r="P89" s="10" t="n"/>
      <c r="Q89" s="11" t="n"/>
      <c r="R89" s="12" t="n"/>
      <c r="S89" s="12" t="n"/>
      <c r="T89" s="13">
        <f>IF(B89="","",B89+3)</f>
        <v/>
      </c>
      <c r="U89" s="13">
        <f>IF(B89="","",B89+5)</f>
        <v/>
      </c>
      <c r="V89" s="13">
        <f>IF(B89="","",B89+10)</f>
        <v/>
      </c>
      <c r="W89" s="14">
        <f>IF(B89="","",(--(B89&lt;&gt;"")+--(C89&lt;&gt;"")+--(D89&lt;&gt;"")+--(E89&lt;&gt;"")+--(F89&lt;&gt;"")+--(G89&lt;&gt;"")+--(H89&lt;&gt;"")+--(I89&lt;&gt;"")+--(N89&lt;&gt;"")+--(O89&lt;&gt;"")+--(P89&lt;&gt;""))/11)</f>
        <v/>
      </c>
    </row>
    <row r="90">
      <c r="A90" s="7">
        <f>IF(B90="","",TEXT(B90,"yyyymmdd")&amp;"-"&amp;TEXT(ROW()-1,"000"))</f>
        <v/>
      </c>
      <c r="B90" s="8" t="n"/>
      <c r="C90" s="9" t="n"/>
      <c r="D90" s="9" t="n"/>
      <c r="E90" s="9" t="n"/>
      <c r="F90" s="9" t="n"/>
      <c r="G90" s="9" t="n"/>
      <c r="H90" s="9" t="n"/>
      <c r="I90" s="10" t="n"/>
      <c r="J90" s="11" t="n"/>
      <c r="K90" s="12" t="n"/>
      <c r="L90" s="11" t="n"/>
      <c r="M90" s="12" t="n"/>
      <c r="N90" s="9" t="n"/>
      <c r="O90" s="9" t="n"/>
      <c r="P90" s="10" t="n"/>
      <c r="Q90" s="11" t="n"/>
      <c r="R90" s="12" t="n"/>
      <c r="S90" s="12" t="n"/>
      <c r="T90" s="13">
        <f>IF(B90="","",B90+3)</f>
        <v/>
      </c>
      <c r="U90" s="13">
        <f>IF(B90="","",B90+5)</f>
        <v/>
      </c>
      <c r="V90" s="13">
        <f>IF(B90="","",B90+10)</f>
        <v/>
      </c>
      <c r="W90" s="14">
        <f>IF(B90="","",(--(B90&lt;&gt;"")+--(C90&lt;&gt;"")+--(D90&lt;&gt;"")+--(E90&lt;&gt;"")+--(F90&lt;&gt;"")+--(G90&lt;&gt;"")+--(H90&lt;&gt;"")+--(I90&lt;&gt;"")+--(N90&lt;&gt;"")+--(O90&lt;&gt;"")+--(P90&lt;&gt;""))/11)</f>
        <v/>
      </c>
    </row>
    <row r="91">
      <c r="A91" s="7">
        <f>IF(B91="","",TEXT(B91,"yyyymmdd")&amp;"-"&amp;TEXT(ROW()-1,"000"))</f>
        <v/>
      </c>
      <c r="B91" s="8" t="n"/>
      <c r="C91" s="9" t="n"/>
      <c r="D91" s="9" t="n"/>
      <c r="E91" s="9" t="n"/>
      <c r="F91" s="9" t="n"/>
      <c r="G91" s="9" t="n"/>
      <c r="H91" s="9" t="n"/>
      <c r="I91" s="10" t="n"/>
      <c r="J91" s="11" t="n"/>
      <c r="K91" s="12" t="n"/>
      <c r="L91" s="11" t="n"/>
      <c r="M91" s="12" t="n"/>
      <c r="N91" s="9" t="n"/>
      <c r="O91" s="9" t="n"/>
      <c r="P91" s="10" t="n"/>
      <c r="Q91" s="11" t="n"/>
      <c r="R91" s="12" t="n"/>
      <c r="S91" s="12" t="n"/>
      <c r="T91" s="13">
        <f>IF(B91="","",B91+3)</f>
        <v/>
      </c>
      <c r="U91" s="13">
        <f>IF(B91="","",B91+5)</f>
        <v/>
      </c>
      <c r="V91" s="13">
        <f>IF(B91="","",B91+10)</f>
        <v/>
      </c>
      <c r="W91" s="14">
        <f>IF(B91="","",(--(B91&lt;&gt;"")+--(C91&lt;&gt;"")+--(D91&lt;&gt;"")+--(E91&lt;&gt;"")+--(F91&lt;&gt;"")+--(G91&lt;&gt;"")+--(H91&lt;&gt;"")+--(I91&lt;&gt;"")+--(N91&lt;&gt;"")+--(O91&lt;&gt;"")+--(P91&lt;&gt;""))/11)</f>
        <v/>
      </c>
    </row>
    <row r="92">
      <c r="A92" s="7">
        <f>IF(B92="","",TEXT(B92,"yyyymmdd")&amp;"-"&amp;TEXT(ROW()-1,"000"))</f>
        <v/>
      </c>
      <c r="B92" s="8" t="n"/>
      <c r="C92" s="9" t="n"/>
      <c r="D92" s="9" t="n"/>
      <c r="E92" s="9" t="n"/>
      <c r="F92" s="9" t="n"/>
      <c r="G92" s="9" t="n"/>
      <c r="H92" s="9" t="n"/>
      <c r="I92" s="10" t="n"/>
      <c r="J92" s="11" t="n"/>
      <c r="K92" s="12" t="n"/>
      <c r="L92" s="11" t="n"/>
      <c r="M92" s="12" t="n"/>
      <c r="N92" s="9" t="n"/>
      <c r="O92" s="9" t="n"/>
      <c r="P92" s="10" t="n"/>
      <c r="Q92" s="11" t="n"/>
      <c r="R92" s="12" t="n"/>
      <c r="S92" s="12" t="n"/>
      <c r="T92" s="13">
        <f>IF(B92="","",B92+3)</f>
        <v/>
      </c>
      <c r="U92" s="13">
        <f>IF(B92="","",B92+5)</f>
        <v/>
      </c>
      <c r="V92" s="13">
        <f>IF(B92="","",B92+10)</f>
        <v/>
      </c>
      <c r="W92" s="14">
        <f>IF(B92="","",(--(B92&lt;&gt;"")+--(C92&lt;&gt;"")+--(D92&lt;&gt;"")+--(E92&lt;&gt;"")+--(F92&lt;&gt;"")+--(G92&lt;&gt;"")+--(H92&lt;&gt;"")+--(I92&lt;&gt;"")+--(N92&lt;&gt;"")+--(O92&lt;&gt;"")+--(P92&lt;&gt;""))/11)</f>
        <v/>
      </c>
    </row>
    <row r="93">
      <c r="A93" s="7">
        <f>IF(B93="","",TEXT(B93,"yyyymmdd")&amp;"-"&amp;TEXT(ROW()-1,"000"))</f>
        <v/>
      </c>
      <c r="B93" s="8" t="n"/>
      <c r="C93" s="9" t="n"/>
      <c r="D93" s="9" t="n"/>
      <c r="E93" s="9" t="n"/>
      <c r="F93" s="9" t="n"/>
      <c r="G93" s="9" t="n"/>
      <c r="H93" s="9" t="n"/>
      <c r="I93" s="10" t="n"/>
      <c r="J93" s="11" t="n"/>
      <c r="K93" s="12" t="n"/>
      <c r="L93" s="11" t="n"/>
      <c r="M93" s="12" t="n"/>
      <c r="N93" s="9" t="n"/>
      <c r="O93" s="9" t="n"/>
      <c r="P93" s="10" t="n"/>
      <c r="Q93" s="11" t="n"/>
      <c r="R93" s="12" t="n"/>
      <c r="S93" s="12" t="n"/>
      <c r="T93" s="13">
        <f>IF(B93="","",B93+3)</f>
        <v/>
      </c>
      <c r="U93" s="13">
        <f>IF(B93="","",B93+5)</f>
        <v/>
      </c>
      <c r="V93" s="13">
        <f>IF(B93="","",B93+10)</f>
        <v/>
      </c>
      <c r="W93" s="14">
        <f>IF(B93="","",(--(B93&lt;&gt;"")+--(C93&lt;&gt;"")+--(D93&lt;&gt;"")+--(E93&lt;&gt;"")+--(F93&lt;&gt;"")+--(G93&lt;&gt;"")+--(H93&lt;&gt;"")+--(I93&lt;&gt;"")+--(N93&lt;&gt;"")+--(O93&lt;&gt;"")+--(P93&lt;&gt;""))/11)</f>
        <v/>
      </c>
    </row>
    <row r="94">
      <c r="A94" s="7">
        <f>IF(B94="","",TEXT(B94,"yyyymmdd")&amp;"-"&amp;TEXT(ROW()-1,"000"))</f>
        <v/>
      </c>
      <c r="B94" s="8" t="n"/>
      <c r="C94" s="9" t="n"/>
      <c r="D94" s="9" t="n"/>
      <c r="E94" s="9" t="n"/>
      <c r="F94" s="9" t="n"/>
      <c r="G94" s="9" t="n"/>
      <c r="H94" s="9" t="n"/>
      <c r="I94" s="10" t="n"/>
      <c r="J94" s="11" t="n"/>
      <c r="K94" s="12" t="n"/>
      <c r="L94" s="11" t="n"/>
      <c r="M94" s="12" t="n"/>
      <c r="N94" s="9" t="n"/>
      <c r="O94" s="9" t="n"/>
      <c r="P94" s="10" t="n"/>
      <c r="Q94" s="11" t="n"/>
      <c r="R94" s="12" t="n"/>
      <c r="S94" s="12" t="n"/>
      <c r="T94" s="13">
        <f>IF(B94="","",B94+3)</f>
        <v/>
      </c>
      <c r="U94" s="13">
        <f>IF(B94="","",B94+5)</f>
        <v/>
      </c>
      <c r="V94" s="13">
        <f>IF(B94="","",B94+10)</f>
        <v/>
      </c>
      <c r="W94" s="14">
        <f>IF(B94="","",(--(B94&lt;&gt;"")+--(C94&lt;&gt;"")+--(D94&lt;&gt;"")+--(E94&lt;&gt;"")+--(F94&lt;&gt;"")+--(G94&lt;&gt;"")+--(H94&lt;&gt;"")+--(I94&lt;&gt;"")+--(N94&lt;&gt;"")+--(O94&lt;&gt;"")+--(P94&lt;&gt;""))/11)</f>
        <v/>
      </c>
    </row>
    <row r="95">
      <c r="A95" s="7">
        <f>IF(B95="","",TEXT(B95,"yyyymmdd")&amp;"-"&amp;TEXT(ROW()-1,"000"))</f>
        <v/>
      </c>
      <c r="B95" s="8" t="n"/>
      <c r="C95" s="9" t="n"/>
      <c r="D95" s="9" t="n"/>
      <c r="E95" s="9" t="n"/>
      <c r="F95" s="9" t="n"/>
      <c r="G95" s="9" t="n"/>
      <c r="H95" s="9" t="n"/>
      <c r="I95" s="10" t="n"/>
      <c r="J95" s="11" t="n"/>
      <c r="K95" s="12" t="n"/>
      <c r="L95" s="11" t="n"/>
      <c r="M95" s="12" t="n"/>
      <c r="N95" s="9" t="n"/>
      <c r="O95" s="9" t="n"/>
      <c r="P95" s="10" t="n"/>
      <c r="Q95" s="11" t="n"/>
      <c r="R95" s="12" t="n"/>
      <c r="S95" s="12" t="n"/>
      <c r="T95" s="13">
        <f>IF(B95="","",B95+3)</f>
        <v/>
      </c>
      <c r="U95" s="13">
        <f>IF(B95="","",B95+5)</f>
        <v/>
      </c>
      <c r="V95" s="13">
        <f>IF(B95="","",B95+10)</f>
        <v/>
      </c>
      <c r="W95" s="14">
        <f>IF(B95="","",(--(B95&lt;&gt;"")+--(C95&lt;&gt;"")+--(D95&lt;&gt;"")+--(E95&lt;&gt;"")+--(F95&lt;&gt;"")+--(G95&lt;&gt;"")+--(H95&lt;&gt;"")+--(I95&lt;&gt;"")+--(N95&lt;&gt;"")+--(O95&lt;&gt;"")+--(P95&lt;&gt;""))/11)</f>
        <v/>
      </c>
    </row>
    <row r="96">
      <c r="A96" s="7">
        <f>IF(B96="","",TEXT(B96,"yyyymmdd")&amp;"-"&amp;TEXT(ROW()-1,"000"))</f>
        <v/>
      </c>
      <c r="B96" s="8" t="n"/>
      <c r="C96" s="9" t="n"/>
      <c r="D96" s="9" t="n"/>
      <c r="E96" s="9" t="n"/>
      <c r="F96" s="9" t="n"/>
      <c r="G96" s="9" t="n"/>
      <c r="H96" s="9" t="n"/>
      <c r="I96" s="10" t="n"/>
      <c r="J96" s="11" t="n"/>
      <c r="K96" s="12" t="n"/>
      <c r="L96" s="11" t="n"/>
      <c r="M96" s="12" t="n"/>
      <c r="N96" s="9" t="n"/>
      <c r="O96" s="9" t="n"/>
      <c r="P96" s="10" t="n"/>
      <c r="Q96" s="11" t="n"/>
      <c r="R96" s="12" t="n"/>
      <c r="S96" s="12" t="n"/>
      <c r="T96" s="13">
        <f>IF(B96="","",B96+3)</f>
        <v/>
      </c>
      <c r="U96" s="13">
        <f>IF(B96="","",B96+5)</f>
        <v/>
      </c>
      <c r="V96" s="13">
        <f>IF(B96="","",B96+10)</f>
        <v/>
      </c>
      <c r="W96" s="14">
        <f>IF(B96="","",(--(B96&lt;&gt;"")+--(C96&lt;&gt;"")+--(D96&lt;&gt;"")+--(E96&lt;&gt;"")+--(F96&lt;&gt;"")+--(G96&lt;&gt;"")+--(H96&lt;&gt;"")+--(I96&lt;&gt;"")+--(N96&lt;&gt;"")+--(O96&lt;&gt;"")+--(P96&lt;&gt;""))/11)</f>
        <v/>
      </c>
    </row>
    <row r="97">
      <c r="A97" s="7">
        <f>IF(B97="","",TEXT(B97,"yyyymmdd")&amp;"-"&amp;TEXT(ROW()-1,"000"))</f>
        <v/>
      </c>
      <c r="B97" s="8" t="n"/>
      <c r="C97" s="9" t="n"/>
      <c r="D97" s="9" t="n"/>
      <c r="E97" s="9" t="n"/>
      <c r="F97" s="9" t="n"/>
      <c r="G97" s="9" t="n"/>
      <c r="H97" s="9" t="n"/>
      <c r="I97" s="10" t="n"/>
      <c r="J97" s="11" t="n"/>
      <c r="K97" s="12" t="n"/>
      <c r="L97" s="11" t="n"/>
      <c r="M97" s="12" t="n"/>
      <c r="N97" s="9" t="n"/>
      <c r="O97" s="9" t="n"/>
      <c r="P97" s="10" t="n"/>
      <c r="Q97" s="11" t="n"/>
      <c r="R97" s="12" t="n"/>
      <c r="S97" s="12" t="n"/>
      <c r="T97" s="13">
        <f>IF(B97="","",B97+3)</f>
        <v/>
      </c>
      <c r="U97" s="13">
        <f>IF(B97="","",B97+5)</f>
        <v/>
      </c>
      <c r="V97" s="13">
        <f>IF(B97="","",B97+10)</f>
        <v/>
      </c>
      <c r="W97" s="14">
        <f>IF(B97="","",(--(B97&lt;&gt;"")+--(C97&lt;&gt;"")+--(D97&lt;&gt;"")+--(E97&lt;&gt;"")+--(F97&lt;&gt;"")+--(G97&lt;&gt;"")+--(H97&lt;&gt;"")+--(I97&lt;&gt;"")+--(N97&lt;&gt;"")+--(O97&lt;&gt;"")+--(P97&lt;&gt;""))/11)</f>
        <v/>
      </c>
    </row>
    <row r="98">
      <c r="A98" s="7">
        <f>IF(B98="","",TEXT(B98,"yyyymmdd")&amp;"-"&amp;TEXT(ROW()-1,"000"))</f>
        <v/>
      </c>
      <c r="B98" s="8" t="n"/>
      <c r="C98" s="9" t="n"/>
      <c r="D98" s="9" t="n"/>
      <c r="E98" s="9" t="n"/>
      <c r="F98" s="9" t="n"/>
      <c r="G98" s="9" t="n"/>
      <c r="H98" s="9" t="n"/>
      <c r="I98" s="10" t="n"/>
      <c r="J98" s="11" t="n"/>
      <c r="K98" s="12" t="n"/>
      <c r="L98" s="11" t="n"/>
      <c r="M98" s="12" t="n"/>
      <c r="N98" s="9" t="n"/>
      <c r="O98" s="9" t="n"/>
      <c r="P98" s="10" t="n"/>
      <c r="Q98" s="11" t="n"/>
      <c r="R98" s="12" t="n"/>
      <c r="S98" s="12" t="n"/>
      <c r="T98" s="13">
        <f>IF(B98="","",B98+3)</f>
        <v/>
      </c>
      <c r="U98" s="13">
        <f>IF(B98="","",B98+5)</f>
        <v/>
      </c>
      <c r="V98" s="13">
        <f>IF(B98="","",B98+10)</f>
        <v/>
      </c>
      <c r="W98" s="14">
        <f>IF(B98="","",(--(B98&lt;&gt;"")+--(C98&lt;&gt;"")+--(D98&lt;&gt;"")+--(E98&lt;&gt;"")+--(F98&lt;&gt;"")+--(G98&lt;&gt;"")+--(H98&lt;&gt;"")+--(I98&lt;&gt;"")+--(N98&lt;&gt;"")+--(O98&lt;&gt;"")+--(P98&lt;&gt;""))/11)</f>
        <v/>
      </c>
    </row>
    <row r="99">
      <c r="A99" s="7">
        <f>IF(B99="","",TEXT(B99,"yyyymmdd")&amp;"-"&amp;TEXT(ROW()-1,"000"))</f>
        <v/>
      </c>
      <c r="B99" s="8" t="n"/>
      <c r="C99" s="9" t="n"/>
      <c r="D99" s="9" t="n"/>
      <c r="E99" s="9" t="n"/>
      <c r="F99" s="9" t="n"/>
      <c r="G99" s="9" t="n"/>
      <c r="H99" s="9" t="n"/>
      <c r="I99" s="10" t="n"/>
      <c r="J99" s="11" t="n"/>
      <c r="K99" s="12" t="n"/>
      <c r="L99" s="11" t="n"/>
      <c r="M99" s="12" t="n"/>
      <c r="N99" s="9" t="n"/>
      <c r="O99" s="9" t="n"/>
      <c r="P99" s="10" t="n"/>
      <c r="Q99" s="11" t="n"/>
      <c r="R99" s="12" t="n"/>
      <c r="S99" s="12" t="n"/>
      <c r="T99" s="13">
        <f>IF(B99="","",B99+3)</f>
        <v/>
      </c>
      <c r="U99" s="13">
        <f>IF(B99="","",B99+5)</f>
        <v/>
      </c>
      <c r="V99" s="13">
        <f>IF(B99="","",B99+10)</f>
        <v/>
      </c>
      <c r="W99" s="14">
        <f>IF(B99="","",(--(B99&lt;&gt;"")+--(C99&lt;&gt;"")+--(D99&lt;&gt;"")+--(E99&lt;&gt;"")+--(F99&lt;&gt;"")+--(G99&lt;&gt;"")+--(H99&lt;&gt;"")+--(I99&lt;&gt;"")+--(N99&lt;&gt;"")+--(O99&lt;&gt;"")+--(P99&lt;&gt;""))/11)</f>
        <v/>
      </c>
    </row>
    <row r="100">
      <c r="A100" s="7">
        <f>IF(B100="","",TEXT(B100,"yyyymmdd")&amp;"-"&amp;TEXT(ROW()-1,"000"))</f>
        <v/>
      </c>
      <c r="B100" s="8" t="n"/>
      <c r="C100" s="9" t="n"/>
      <c r="D100" s="9" t="n"/>
      <c r="E100" s="9" t="n"/>
      <c r="F100" s="9" t="n"/>
      <c r="G100" s="9" t="n"/>
      <c r="H100" s="9" t="n"/>
      <c r="I100" s="10" t="n"/>
      <c r="J100" s="11" t="n"/>
      <c r="K100" s="12" t="n"/>
      <c r="L100" s="11" t="n"/>
      <c r="M100" s="12" t="n"/>
      <c r="N100" s="9" t="n"/>
      <c r="O100" s="9" t="n"/>
      <c r="P100" s="10" t="n"/>
      <c r="Q100" s="11" t="n"/>
      <c r="R100" s="12" t="n"/>
      <c r="S100" s="12" t="n"/>
      <c r="T100" s="13">
        <f>IF(B100="","",B100+3)</f>
        <v/>
      </c>
      <c r="U100" s="13">
        <f>IF(B100="","",B100+5)</f>
        <v/>
      </c>
      <c r="V100" s="13">
        <f>IF(B100="","",B100+10)</f>
        <v/>
      </c>
      <c r="W100" s="14">
        <f>IF(B100="","",(--(B100&lt;&gt;"")+--(C100&lt;&gt;"")+--(D100&lt;&gt;"")+--(E100&lt;&gt;"")+--(F100&lt;&gt;"")+--(G100&lt;&gt;"")+--(H100&lt;&gt;"")+--(I100&lt;&gt;"")+--(N100&lt;&gt;"")+--(O100&lt;&gt;"")+--(P100&lt;&gt;""))/11)</f>
        <v/>
      </c>
    </row>
    <row r="101">
      <c r="A101" s="7">
        <f>IF(B101="","",TEXT(B101,"yyyymmdd")&amp;"-"&amp;TEXT(ROW()-1,"000"))</f>
        <v/>
      </c>
      <c r="B101" s="8" t="n"/>
      <c r="C101" s="9" t="n"/>
      <c r="D101" s="9" t="n"/>
      <c r="E101" s="9" t="n"/>
      <c r="F101" s="9" t="n"/>
      <c r="G101" s="9" t="n"/>
      <c r="H101" s="9" t="n"/>
      <c r="I101" s="10" t="n"/>
      <c r="J101" s="11" t="n"/>
      <c r="K101" s="12" t="n"/>
      <c r="L101" s="11" t="n"/>
      <c r="M101" s="12" t="n"/>
      <c r="N101" s="9" t="n"/>
      <c r="O101" s="9" t="n"/>
      <c r="P101" s="10" t="n"/>
      <c r="Q101" s="11" t="n"/>
      <c r="R101" s="12" t="n"/>
      <c r="S101" s="12" t="n"/>
      <c r="T101" s="13">
        <f>IF(B101="","",B101+3)</f>
        <v/>
      </c>
      <c r="U101" s="13">
        <f>IF(B101="","",B101+5)</f>
        <v/>
      </c>
      <c r="V101" s="13">
        <f>IF(B101="","",B101+10)</f>
        <v/>
      </c>
      <c r="W101" s="14">
        <f>IF(B101="","",(--(B101&lt;&gt;"")+--(C101&lt;&gt;"")+--(D101&lt;&gt;"")+--(E101&lt;&gt;"")+--(F101&lt;&gt;"")+--(G101&lt;&gt;"")+--(H101&lt;&gt;"")+--(I101&lt;&gt;"")+--(N101&lt;&gt;"")+--(O101&lt;&gt;"")+--(P101&lt;&gt;""))/11)</f>
        <v/>
      </c>
    </row>
    <row r="102">
      <c r="A102" s="7">
        <f>IF(B102="","",TEXT(B102,"yyyymmdd")&amp;"-"&amp;TEXT(ROW()-1,"000"))</f>
        <v/>
      </c>
      <c r="B102" s="8" t="n"/>
      <c r="C102" s="9" t="n"/>
      <c r="D102" s="9" t="n"/>
      <c r="E102" s="9" t="n"/>
      <c r="F102" s="9" t="n"/>
      <c r="G102" s="9" t="n"/>
      <c r="H102" s="9" t="n"/>
      <c r="I102" s="10" t="n"/>
      <c r="J102" s="11" t="n"/>
      <c r="K102" s="12" t="n"/>
      <c r="L102" s="11" t="n"/>
      <c r="M102" s="12" t="n"/>
      <c r="N102" s="9" t="n"/>
      <c r="O102" s="9" t="n"/>
      <c r="P102" s="10" t="n"/>
      <c r="Q102" s="11" t="n"/>
      <c r="R102" s="12" t="n"/>
      <c r="S102" s="12" t="n"/>
      <c r="T102" s="13">
        <f>IF(B102="","",B102+3)</f>
        <v/>
      </c>
      <c r="U102" s="13">
        <f>IF(B102="","",B102+5)</f>
        <v/>
      </c>
      <c r="V102" s="13">
        <f>IF(B102="","",B102+10)</f>
        <v/>
      </c>
      <c r="W102" s="14">
        <f>IF(B102="","",(--(B102&lt;&gt;"")+--(C102&lt;&gt;"")+--(D102&lt;&gt;"")+--(E102&lt;&gt;"")+--(F102&lt;&gt;"")+--(G102&lt;&gt;"")+--(H102&lt;&gt;"")+--(I102&lt;&gt;"")+--(N102&lt;&gt;"")+--(O102&lt;&gt;"")+--(P102&lt;&gt;""))/11)</f>
        <v/>
      </c>
    </row>
    <row r="103">
      <c r="A103" s="7">
        <f>IF(B103="","",TEXT(B103,"yyyymmdd")&amp;"-"&amp;TEXT(ROW()-1,"000"))</f>
        <v/>
      </c>
      <c r="B103" s="8" t="n"/>
      <c r="C103" s="9" t="n"/>
      <c r="D103" s="9" t="n"/>
      <c r="E103" s="9" t="n"/>
      <c r="F103" s="9" t="n"/>
      <c r="G103" s="9" t="n"/>
      <c r="H103" s="9" t="n"/>
      <c r="I103" s="10" t="n"/>
      <c r="J103" s="11" t="n"/>
      <c r="K103" s="12" t="n"/>
      <c r="L103" s="11" t="n"/>
      <c r="M103" s="12" t="n"/>
      <c r="N103" s="9" t="n"/>
      <c r="O103" s="9" t="n"/>
      <c r="P103" s="10" t="n"/>
      <c r="Q103" s="11" t="n"/>
      <c r="R103" s="12" t="n"/>
      <c r="S103" s="12" t="n"/>
      <c r="T103" s="13">
        <f>IF(B103="","",B103+3)</f>
        <v/>
      </c>
      <c r="U103" s="13">
        <f>IF(B103="","",B103+5)</f>
        <v/>
      </c>
      <c r="V103" s="13">
        <f>IF(B103="","",B103+10)</f>
        <v/>
      </c>
      <c r="W103" s="14">
        <f>IF(B103="","",(--(B103&lt;&gt;"")+--(C103&lt;&gt;"")+--(D103&lt;&gt;"")+--(E103&lt;&gt;"")+--(F103&lt;&gt;"")+--(G103&lt;&gt;"")+--(H103&lt;&gt;"")+--(I103&lt;&gt;"")+--(N103&lt;&gt;"")+--(O103&lt;&gt;"")+--(P103&lt;&gt;""))/11)</f>
        <v/>
      </c>
    </row>
    <row r="104">
      <c r="A104" s="7">
        <f>IF(B104="","",TEXT(B104,"yyyymmdd")&amp;"-"&amp;TEXT(ROW()-1,"000"))</f>
        <v/>
      </c>
      <c r="B104" s="8" t="n"/>
      <c r="C104" s="9" t="n"/>
      <c r="D104" s="9" t="n"/>
      <c r="E104" s="9" t="n"/>
      <c r="F104" s="9" t="n"/>
      <c r="G104" s="9" t="n"/>
      <c r="H104" s="9" t="n"/>
      <c r="I104" s="10" t="n"/>
      <c r="J104" s="11" t="n"/>
      <c r="K104" s="12" t="n"/>
      <c r="L104" s="11" t="n"/>
      <c r="M104" s="12" t="n"/>
      <c r="N104" s="9" t="n"/>
      <c r="O104" s="9" t="n"/>
      <c r="P104" s="10" t="n"/>
      <c r="Q104" s="11" t="n"/>
      <c r="R104" s="12" t="n"/>
      <c r="S104" s="12" t="n"/>
      <c r="T104" s="13">
        <f>IF(B104="","",B104+3)</f>
        <v/>
      </c>
      <c r="U104" s="13">
        <f>IF(B104="","",B104+5)</f>
        <v/>
      </c>
      <c r="V104" s="13">
        <f>IF(B104="","",B104+10)</f>
        <v/>
      </c>
      <c r="W104" s="14">
        <f>IF(B104="","",(--(B104&lt;&gt;"")+--(C104&lt;&gt;"")+--(D104&lt;&gt;"")+--(E104&lt;&gt;"")+--(F104&lt;&gt;"")+--(G104&lt;&gt;"")+--(H104&lt;&gt;"")+--(I104&lt;&gt;"")+--(N104&lt;&gt;"")+--(O104&lt;&gt;"")+--(P104&lt;&gt;""))/11)</f>
        <v/>
      </c>
    </row>
    <row r="105">
      <c r="A105" s="7">
        <f>IF(B105="","",TEXT(B105,"yyyymmdd")&amp;"-"&amp;TEXT(ROW()-1,"000"))</f>
        <v/>
      </c>
      <c r="B105" s="8" t="n"/>
      <c r="C105" s="9" t="n"/>
      <c r="D105" s="9" t="n"/>
      <c r="E105" s="9" t="n"/>
      <c r="F105" s="9" t="n"/>
      <c r="G105" s="9" t="n"/>
      <c r="H105" s="9" t="n"/>
      <c r="I105" s="10" t="n"/>
      <c r="J105" s="11" t="n"/>
      <c r="K105" s="12" t="n"/>
      <c r="L105" s="11" t="n"/>
      <c r="M105" s="12" t="n"/>
      <c r="N105" s="9" t="n"/>
      <c r="O105" s="9" t="n"/>
      <c r="P105" s="10" t="n"/>
      <c r="Q105" s="11" t="n"/>
      <c r="R105" s="12" t="n"/>
      <c r="S105" s="12" t="n"/>
      <c r="T105" s="13">
        <f>IF(B105="","",B105+3)</f>
        <v/>
      </c>
      <c r="U105" s="13">
        <f>IF(B105="","",B105+5)</f>
        <v/>
      </c>
      <c r="V105" s="13">
        <f>IF(B105="","",B105+10)</f>
        <v/>
      </c>
      <c r="W105" s="14">
        <f>IF(B105="","",(--(B105&lt;&gt;"")+--(C105&lt;&gt;"")+--(D105&lt;&gt;"")+--(E105&lt;&gt;"")+--(F105&lt;&gt;"")+--(G105&lt;&gt;"")+--(H105&lt;&gt;"")+--(I105&lt;&gt;"")+--(N105&lt;&gt;"")+--(O105&lt;&gt;"")+--(P105&lt;&gt;""))/11)</f>
        <v/>
      </c>
    </row>
    <row r="106">
      <c r="A106" s="7">
        <f>IF(B106="","",TEXT(B106,"yyyymmdd")&amp;"-"&amp;TEXT(ROW()-1,"000"))</f>
        <v/>
      </c>
      <c r="B106" s="8" t="n"/>
      <c r="C106" s="9" t="n"/>
      <c r="D106" s="9" t="n"/>
      <c r="E106" s="9" t="n"/>
      <c r="F106" s="9" t="n"/>
      <c r="G106" s="9" t="n"/>
      <c r="H106" s="9" t="n"/>
      <c r="I106" s="10" t="n"/>
      <c r="J106" s="11" t="n"/>
      <c r="K106" s="12" t="n"/>
      <c r="L106" s="11" t="n"/>
      <c r="M106" s="12" t="n"/>
      <c r="N106" s="9" t="n"/>
      <c r="O106" s="9" t="n"/>
      <c r="P106" s="10" t="n"/>
      <c r="Q106" s="11" t="n"/>
      <c r="R106" s="12" t="n"/>
      <c r="S106" s="12" t="n"/>
      <c r="T106" s="13">
        <f>IF(B106="","",B106+3)</f>
        <v/>
      </c>
      <c r="U106" s="13">
        <f>IF(B106="","",B106+5)</f>
        <v/>
      </c>
      <c r="V106" s="13">
        <f>IF(B106="","",B106+10)</f>
        <v/>
      </c>
      <c r="W106" s="14">
        <f>IF(B106="","",(--(B106&lt;&gt;"")+--(C106&lt;&gt;"")+--(D106&lt;&gt;"")+--(E106&lt;&gt;"")+--(F106&lt;&gt;"")+--(G106&lt;&gt;"")+--(H106&lt;&gt;"")+--(I106&lt;&gt;"")+--(N106&lt;&gt;"")+--(O106&lt;&gt;"")+--(P106&lt;&gt;""))/11)</f>
        <v/>
      </c>
    </row>
    <row r="107">
      <c r="A107" s="7">
        <f>IF(B107="","",TEXT(B107,"yyyymmdd")&amp;"-"&amp;TEXT(ROW()-1,"000"))</f>
        <v/>
      </c>
      <c r="B107" s="8" t="n"/>
      <c r="C107" s="9" t="n"/>
      <c r="D107" s="9" t="n"/>
      <c r="E107" s="9" t="n"/>
      <c r="F107" s="9" t="n"/>
      <c r="G107" s="9" t="n"/>
      <c r="H107" s="9" t="n"/>
      <c r="I107" s="10" t="n"/>
      <c r="J107" s="11" t="n"/>
      <c r="K107" s="12" t="n"/>
      <c r="L107" s="11" t="n"/>
      <c r="M107" s="12" t="n"/>
      <c r="N107" s="9" t="n"/>
      <c r="O107" s="9" t="n"/>
      <c r="P107" s="10" t="n"/>
      <c r="Q107" s="11" t="n"/>
      <c r="R107" s="12" t="n"/>
      <c r="S107" s="12" t="n"/>
      <c r="T107" s="13">
        <f>IF(B107="","",B107+3)</f>
        <v/>
      </c>
      <c r="U107" s="13">
        <f>IF(B107="","",B107+5)</f>
        <v/>
      </c>
      <c r="V107" s="13">
        <f>IF(B107="","",B107+10)</f>
        <v/>
      </c>
      <c r="W107" s="14">
        <f>IF(B107="","",(--(B107&lt;&gt;"")+--(C107&lt;&gt;"")+--(D107&lt;&gt;"")+--(E107&lt;&gt;"")+--(F107&lt;&gt;"")+--(G107&lt;&gt;"")+--(H107&lt;&gt;"")+--(I107&lt;&gt;"")+--(N107&lt;&gt;"")+--(O107&lt;&gt;"")+--(P107&lt;&gt;""))/11)</f>
        <v/>
      </c>
    </row>
    <row r="108">
      <c r="A108" s="7">
        <f>IF(B108="","",TEXT(B108,"yyyymmdd")&amp;"-"&amp;TEXT(ROW()-1,"000"))</f>
        <v/>
      </c>
      <c r="B108" s="8" t="n"/>
      <c r="C108" s="9" t="n"/>
      <c r="D108" s="9" t="n"/>
      <c r="E108" s="9" t="n"/>
      <c r="F108" s="9" t="n"/>
      <c r="G108" s="9" t="n"/>
      <c r="H108" s="9" t="n"/>
      <c r="I108" s="10" t="n"/>
      <c r="J108" s="11" t="n"/>
      <c r="K108" s="12" t="n"/>
      <c r="L108" s="11" t="n"/>
      <c r="M108" s="12" t="n"/>
      <c r="N108" s="9" t="n"/>
      <c r="O108" s="9" t="n"/>
      <c r="P108" s="10" t="n"/>
      <c r="Q108" s="11" t="n"/>
      <c r="R108" s="12" t="n"/>
      <c r="S108" s="12" t="n"/>
      <c r="T108" s="13">
        <f>IF(B108="","",B108+3)</f>
        <v/>
      </c>
      <c r="U108" s="13">
        <f>IF(B108="","",B108+5)</f>
        <v/>
      </c>
      <c r="V108" s="13">
        <f>IF(B108="","",B108+10)</f>
        <v/>
      </c>
      <c r="W108" s="14">
        <f>IF(B108="","",(--(B108&lt;&gt;"")+--(C108&lt;&gt;"")+--(D108&lt;&gt;"")+--(E108&lt;&gt;"")+--(F108&lt;&gt;"")+--(G108&lt;&gt;"")+--(H108&lt;&gt;"")+--(I108&lt;&gt;"")+--(N108&lt;&gt;"")+--(O108&lt;&gt;"")+--(P108&lt;&gt;""))/11)</f>
        <v/>
      </c>
    </row>
    <row r="109">
      <c r="A109" s="7">
        <f>IF(B109="","",TEXT(B109,"yyyymmdd")&amp;"-"&amp;TEXT(ROW()-1,"000"))</f>
        <v/>
      </c>
      <c r="B109" s="8" t="n"/>
      <c r="C109" s="9" t="n"/>
      <c r="D109" s="9" t="n"/>
      <c r="E109" s="9" t="n"/>
      <c r="F109" s="9" t="n"/>
      <c r="G109" s="9" t="n"/>
      <c r="H109" s="9" t="n"/>
      <c r="I109" s="10" t="n"/>
      <c r="J109" s="11" t="n"/>
      <c r="K109" s="12" t="n"/>
      <c r="L109" s="11" t="n"/>
      <c r="M109" s="12" t="n"/>
      <c r="N109" s="9" t="n"/>
      <c r="O109" s="9" t="n"/>
      <c r="P109" s="10" t="n"/>
      <c r="Q109" s="11" t="n"/>
      <c r="R109" s="12" t="n"/>
      <c r="S109" s="12" t="n"/>
      <c r="T109" s="13">
        <f>IF(B109="","",B109+3)</f>
        <v/>
      </c>
      <c r="U109" s="13">
        <f>IF(B109="","",B109+5)</f>
        <v/>
      </c>
      <c r="V109" s="13">
        <f>IF(B109="","",B109+10)</f>
        <v/>
      </c>
      <c r="W109" s="14">
        <f>IF(B109="","",(--(B109&lt;&gt;"")+--(C109&lt;&gt;"")+--(D109&lt;&gt;"")+--(E109&lt;&gt;"")+--(F109&lt;&gt;"")+--(G109&lt;&gt;"")+--(H109&lt;&gt;"")+--(I109&lt;&gt;"")+--(N109&lt;&gt;"")+--(O109&lt;&gt;"")+--(P109&lt;&gt;""))/11)</f>
        <v/>
      </c>
    </row>
    <row r="110">
      <c r="A110" s="7">
        <f>IF(B110="","",TEXT(B110,"yyyymmdd")&amp;"-"&amp;TEXT(ROW()-1,"000"))</f>
        <v/>
      </c>
      <c r="B110" s="8" t="n"/>
      <c r="C110" s="9" t="n"/>
      <c r="D110" s="9" t="n"/>
      <c r="E110" s="9" t="n"/>
      <c r="F110" s="9" t="n"/>
      <c r="G110" s="9" t="n"/>
      <c r="H110" s="9" t="n"/>
      <c r="I110" s="10" t="n"/>
      <c r="J110" s="11" t="n"/>
      <c r="K110" s="12" t="n"/>
      <c r="L110" s="11" t="n"/>
      <c r="M110" s="12" t="n"/>
      <c r="N110" s="9" t="n"/>
      <c r="O110" s="9" t="n"/>
      <c r="P110" s="10" t="n"/>
      <c r="Q110" s="11" t="n"/>
      <c r="R110" s="12" t="n"/>
      <c r="S110" s="12" t="n"/>
      <c r="T110" s="13">
        <f>IF(B110="","",B110+3)</f>
        <v/>
      </c>
      <c r="U110" s="13">
        <f>IF(B110="","",B110+5)</f>
        <v/>
      </c>
      <c r="V110" s="13">
        <f>IF(B110="","",B110+10)</f>
        <v/>
      </c>
      <c r="W110" s="14">
        <f>IF(B110="","",(--(B110&lt;&gt;"")+--(C110&lt;&gt;"")+--(D110&lt;&gt;"")+--(E110&lt;&gt;"")+--(F110&lt;&gt;"")+--(G110&lt;&gt;"")+--(H110&lt;&gt;"")+--(I110&lt;&gt;"")+--(N110&lt;&gt;"")+--(O110&lt;&gt;"")+--(P110&lt;&gt;""))/11)</f>
        <v/>
      </c>
    </row>
    <row r="111">
      <c r="A111" s="7">
        <f>IF(B111="","",TEXT(B111,"yyyymmdd")&amp;"-"&amp;TEXT(ROW()-1,"000"))</f>
        <v/>
      </c>
      <c r="B111" s="8" t="n"/>
      <c r="C111" s="9" t="n"/>
      <c r="D111" s="9" t="n"/>
      <c r="E111" s="9" t="n"/>
      <c r="F111" s="9" t="n"/>
      <c r="G111" s="9" t="n"/>
      <c r="H111" s="9" t="n"/>
      <c r="I111" s="10" t="n"/>
      <c r="J111" s="11" t="n"/>
      <c r="K111" s="12" t="n"/>
      <c r="L111" s="11" t="n"/>
      <c r="M111" s="12" t="n"/>
      <c r="N111" s="9" t="n"/>
      <c r="O111" s="9" t="n"/>
      <c r="P111" s="10" t="n"/>
      <c r="Q111" s="11" t="n"/>
      <c r="R111" s="12" t="n"/>
      <c r="S111" s="12" t="n"/>
      <c r="T111" s="13">
        <f>IF(B111="","",B111+3)</f>
        <v/>
      </c>
      <c r="U111" s="13">
        <f>IF(B111="","",B111+5)</f>
        <v/>
      </c>
      <c r="V111" s="13">
        <f>IF(B111="","",B111+10)</f>
        <v/>
      </c>
      <c r="W111" s="14">
        <f>IF(B111="","",(--(B111&lt;&gt;"")+--(C111&lt;&gt;"")+--(D111&lt;&gt;"")+--(E111&lt;&gt;"")+--(F111&lt;&gt;"")+--(G111&lt;&gt;"")+--(H111&lt;&gt;"")+--(I111&lt;&gt;"")+--(N111&lt;&gt;"")+--(O111&lt;&gt;"")+--(P111&lt;&gt;""))/11)</f>
        <v/>
      </c>
    </row>
    <row r="112">
      <c r="A112" s="7">
        <f>IF(B112="","",TEXT(B112,"yyyymmdd")&amp;"-"&amp;TEXT(ROW()-1,"000"))</f>
        <v/>
      </c>
      <c r="B112" s="8" t="n"/>
      <c r="C112" s="9" t="n"/>
      <c r="D112" s="9" t="n"/>
      <c r="E112" s="9" t="n"/>
      <c r="F112" s="9" t="n"/>
      <c r="G112" s="9" t="n"/>
      <c r="H112" s="9" t="n"/>
      <c r="I112" s="10" t="n"/>
      <c r="J112" s="11" t="n"/>
      <c r="K112" s="12" t="n"/>
      <c r="L112" s="11" t="n"/>
      <c r="M112" s="12" t="n"/>
      <c r="N112" s="9" t="n"/>
      <c r="O112" s="9" t="n"/>
      <c r="P112" s="10" t="n"/>
      <c r="Q112" s="11" t="n"/>
      <c r="R112" s="12" t="n"/>
      <c r="S112" s="12" t="n"/>
      <c r="T112" s="13">
        <f>IF(B112="","",B112+3)</f>
        <v/>
      </c>
      <c r="U112" s="13">
        <f>IF(B112="","",B112+5)</f>
        <v/>
      </c>
      <c r="V112" s="13">
        <f>IF(B112="","",B112+10)</f>
        <v/>
      </c>
      <c r="W112" s="14">
        <f>IF(B112="","",(--(B112&lt;&gt;"")+--(C112&lt;&gt;"")+--(D112&lt;&gt;"")+--(E112&lt;&gt;"")+--(F112&lt;&gt;"")+--(G112&lt;&gt;"")+--(H112&lt;&gt;"")+--(I112&lt;&gt;"")+--(N112&lt;&gt;"")+--(O112&lt;&gt;"")+--(P112&lt;&gt;""))/11)</f>
        <v/>
      </c>
    </row>
    <row r="113">
      <c r="A113" s="7">
        <f>IF(B113="","",TEXT(B113,"yyyymmdd")&amp;"-"&amp;TEXT(ROW()-1,"000"))</f>
        <v/>
      </c>
      <c r="B113" s="8" t="n"/>
      <c r="C113" s="9" t="n"/>
      <c r="D113" s="9" t="n"/>
      <c r="E113" s="9" t="n"/>
      <c r="F113" s="9" t="n"/>
      <c r="G113" s="9" t="n"/>
      <c r="H113" s="9" t="n"/>
      <c r="I113" s="10" t="n"/>
      <c r="J113" s="11" t="n"/>
      <c r="K113" s="12" t="n"/>
      <c r="L113" s="11" t="n"/>
      <c r="M113" s="12" t="n"/>
      <c r="N113" s="9" t="n"/>
      <c r="O113" s="9" t="n"/>
      <c r="P113" s="10" t="n"/>
      <c r="Q113" s="11" t="n"/>
      <c r="R113" s="12" t="n"/>
      <c r="S113" s="12" t="n"/>
      <c r="T113" s="13">
        <f>IF(B113="","",B113+3)</f>
        <v/>
      </c>
      <c r="U113" s="13">
        <f>IF(B113="","",B113+5)</f>
        <v/>
      </c>
      <c r="V113" s="13">
        <f>IF(B113="","",B113+10)</f>
        <v/>
      </c>
      <c r="W113" s="14">
        <f>IF(B113="","",(--(B113&lt;&gt;"")+--(C113&lt;&gt;"")+--(D113&lt;&gt;"")+--(E113&lt;&gt;"")+--(F113&lt;&gt;"")+--(G113&lt;&gt;"")+--(H113&lt;&gt;"")+--(I113&lt;&gt;"")+--(N113&lt;&gt;"")+--(O113&lt;&gt;"")+--(P113&lt;&gt;""))/11)</f>
        <v/>
      </c>
    </row>
    <row r="114">
      <c r="A114" s="7">
        <f>IF(B114="","",TEXT(B114,"yyyymmdd")&amp;"-"&amp;TEXT(ROW()-1,"000"))</f>
        <v/>
      </c>
      <c r="B114" s="8" t="n"/>
      <c r="C114" s="9" t="n"/>
      <c r="D114" s="9" t="n"/>
      <c r="E114" s="9" t="n"/>
      <c r="F114" s="9" t="n"/>
      <c r="G114" s="9" t="n"/>
      <c r="H114" s="9" t="n"/>
      <c r="I114" s="10" t="n"/>
      <c r="J114" s="11" t="n"/>
      <c r="K114" s="12" t="n"/>
      <c r="L114" s="11" t="n"/>
      <c r="M114" s="12" t="n"/>
      <c r="N114" s="9" t="n"/>
      <c r="O114" s="9" t="n"/>
      <c r="P114" s="10" t="n"/>
      <c r="Q114" s="11" t="n"/>
      <c r="R114" s="12" t="n"/>
      <c r="S114" s="12" t="n"/>
      <c r="T114" s="13">
        <f>IF(B114="","",B114+3)</f>
        <v/>
      </c>
      <c r="U114" s="13">
        <f>IF(B114="","",B114+5)</f>
        <v/>
      </c>
      <c r="V114" s="13">
        <f>IF(B114="","",B114+10)</f>
        <v/>
      </c>
      <c r="W114" s="14">
        <f>IF(B114="","",(--(B114&lt;&gt;"")+--(C114&lt;&gt;"")+--(D114&lt;&gt;"")+--(E114&lt;&gt;"")+--(F114&lt;&gt;"")+--(G114&lt;&gt;"")+--(H114&lt;&gt;"")+--(I114&lt;&gt;"")+--(N114&lt;&gt;"")+--(O114&lt;&gt;"")+--(P114&lt;&gt;""))/11)</f>
        <v/>
      </c>
    </row>
    <row r="115">
      <c r="A115" s="7">
        <f>IF(B115="","",TEXT(B115,"yyyymmdd")&amp;"-"&amp;TEXT(ROW()-1,"000"))</f>
        <v/>
      </c>
      <c r="B115" s="8" t="n"/>
      <c r="C115" s="9" t="n"/>
      <c r="D115" s="9" t="n"/>
      <c r="E115" s="9" t="n"/>
      <c r="F115" s="9" t="n"/>
      <c r="G115" s="9" t="n"/>
      <c r="H115" s="9" t="n"/>
      <c r="I115" s="10" t="n"/>
      <c r="J115" s="11" t="n"/>
      <c r="K115" s="12" t="n"/>
      <c r="L115" s="11" t="n"/>
      <c r="M115" s="12" t="n"/>
      <c r="N115" s="9" t="n"/>
      <c r="O115" s="9" t="n"/>
      <c r="P115" s="10" t="n"/>
      <c r="Q115" s="11" t="n"/>
      <c r="R115" s="12" t="n"/>
      <c r="S115" s="12" t="n"/>
      <c r="T115" s="13">
        <f>IF(B115="","",B115+3)</f>
        <v/>
      </c>
      <c r="U115" s="13">
        <f>IF(B115="","",B115+5)</f>
        <v/>
      </c>
      <c r="V115" s="13">
        <f>IF(B115="","",B115+10)</f>
        <v/>
      </c>
      <c r="W115" s="14">
        <f>IF(B115="","",(--(B115&lt;&gt;"")+--(C115&lt;&gt;"")+--(D115&lt;&gt;"")+--(E115&lt;&gt;"")+--(F115&lt;&gt;"")+--(G115&lt;&gt;"")+--(H115&lt;&gt;"")+--(I115&lt;&gt;"")+--(N115&lt;&gt;"")+--(O115&lt;&gt;"")+--(P115&lt;&gt;""))/11)</f>
        <v/>
      </c>
    </row>
    <row r="116">
      <c r="A116" s="7">
        <f>IF(B116="","",TEXT(B116,"yyyymmdd")&amp;"-"&amp;TEXT(ROW()-1,"000"))</f>
        <v/>
      </c>
      <c r="B116" s="8" t="n"/>
      <c r="C116" s="9" t="n"/>
      <c r="D116" s="9" t="n"/>
      <c r="E116" s="9" t="n"/>
      <c r="F116" s="9" t="n"/>
      <c r="G116" s="9" t="n"/>
      <c r="H116" s="9" t="n"/>
      <c r="I116" s="10" t="n"/>
      <c r="J116" s="11" t="n"/>
      <c r="K116" s="12" t="n"/>
      <c r="L116" s="11" t="n"/>
      <c r="M116" s="12" t="n"/>
      <c r="N116" s="9" t="n"/>
      <c r="O116" s="9" t="n"/>
      <c r="P116" s="10" t="n"/>
      <c r="Q116" s="11" t="n"/>
      <c r="R116" s="12" t="n"/>
      <c r="S116" s="12" t="n"/>
      <c r="T116" s="13">
        <f>IF(B116="","",B116+3)</f>
        <v/>
      </c>
      <c r="U116" s="13">
        <f>IF(B116="","",B116+5)</f>
        <v/>
      </c>
      <c r="V116" s="13">
        <f>IF(B116="","",B116+10)</f>
        <v/>
      </c>
      <c r="W116" s="14">
        <f>IF(B116="","",(--(B116&lt;&gt;"")+--(C116&lt;&gt;"")+--(D116&lt;&gt;"")+--(E116&lt;&gt;"")+--(F116&lt;&gt;"")+--(G116&lt;&gt;"")+--(H116&lt;&gt;"")+--(I116&lt;&gt;"")+--(N116&lt;&gt;"")+--(O116&lt;&gt;"")+--(P116&lt;&gt;""))/11)</f>
        <v/>
      </c>
    </row>
    <row r="117">
      <c r="A117" s="7">
        <f>IF(B117="","",TEXT(B117,"yyyymmdd")&amp;"-"&amp;TEXT(ROW()-1,"000"))</f>
        <v/>
      </c>
      <c r="B117" s="8" t="n"/>
      <c r="C117" s="9" t="n"/>
      <c r="D117" s="9" t="n"/>
      <c r="E117" s="9" t="n"/>
      <c r="F117" s="9" t="n"/>
      <c r="G117" s="9" t="n"/>
      <c r="H117" s="9" t="n"/>
      <c r="I117" s="10" t="n"/>
      <c r="J117" s="11" t="n"/>
      <c r="K117" s="12" t="n"/>
      <c r="L117" s="11" t="n"/>
      <c r="M117" s="12" t="n"/>
      <c r="N117" s="9" t="n"/>
      <c r="O117" s="9" t="n"/>
      <c r="P117" s="10" t="n"/>
      <c r="Q117" s="11" t="n"/>
      <c r="R117" s="12" t="n"/>
      <c r="S117" s="12" t="n"/>
      <c r="T117" s="13">
        <f>IF(B117="","",B117+3)</f>
        <v/>
      </c>
      <c r="U117" s="13">
        <f>IF(B117="","",B117+5)</f>
        <v/>
      </c>
      <c r="V117" s="13">
        <f>IF(B117="","",B117+10)</f>
        <v/>
      </c>
      <c r="W117" s="14">
        <f>IF(B117="","",(--(B117&lt;&gt;"")+--(C117&lt;&gt;"")+--(D117&lt;&gt;"")+--(E117&lt;&gt;"")+--(F117&lt;&gt;"")+--(G117&lt;&gt;"")+--(H117&lt;&gt;"")+--(I117&lt;&gt;"")+--(N117&lt;&gt;"")+--(O117&lt;&gt;"")+--(P117&lt;&gt;""))/11)</f>
        <v/>
      </c>
    </row>
    <row r="118">
      <c r="A118" s="7">
        <f>IF(B118="","",TEXT(B118,"yyyymmdd")&amp;"-"&amp;TEXT(ROW()-1,"000"))</f>
        <v/>
      </c>
      <c r="B118" s="8" t="n"/>
      <c r="C118" s="9" t="n"/>
      <c r="D118" s="9" t="n"/>
      <c r="E118" s="9" t="n"/>
      <c r="F118" s="9" t="n"/>
      <c r="G118" s="9" t="n"/>
      <c r="H118" s="9" t="n"/>
      <c r="I118" s="10" t="n"/>
      <c r="J118" s="11" t="n"/>
      <c r="K118" s="12" t="n"/>
      <c r="L118" s="11" t="n"/>
      <c r="M118" s="12" t="n"/>
      <c r="N118" s="9" t="n"/>
      <c r="O118" s="9" t="n"/>
      <c r="P118" s="10" t="n"/>
      <c r="Q118" s="11" t="n"/>
      <c r="R118" s="12" t="n"/>
      <c r="S118" s="12" t="n"/>
      <c r="T118" s="13">
        <f>IF(B118="","",B118+3)</f>
        <v/>
      </c>
      <c r="U118" s="13">
        <f>IF(B118="","",B118+5)</f>
        <v/>
      </c>
      <c r="V118" s="13">
        <f>IF(B118="","",B118+10)</f>
        <v/>
      </c>
      <c r="W118" s="14">
        <f>IF(B118="","",(--(B118&lt;&gt;"")+--(C118&lt;&gt;"")+--(D118&lt;&gt;"")+--(E118&lt;&gt;"")+--(F118&lt;&gt;"")+--(G118&lt;&gt;"")+--(H118&lt;&gt;"")+--(I118&lt;&gt;"")+--(N118&lt;&gt;"")+--(O118&lt;&gt;"")+--(P118&lt;&gt;""))/11)</f>
        <v/>
      </c>
    </row>
    <row r="119">
      <c r="A119" s="7">
        <f>IF(B119="","",TEXT(B119,"yyyymmdd")&amp;"-"&amp;TEXT(ROW()-1,"000"))</f>
        <v/>
      </c>
      <c r="B119" s="8" t="n"/>
      <c r="C119" s="9" t="n"/>
      <c r="D119" s="9" t="n"/>
      <c r="E119" s="9" t="n"/>
      <c r="F119" s="9" t="n"/>
      <c r="G119" s="9" t="n"/>
      <c r="H119" s="9" t="n"/>
      <c r="I119" s="10" t="n"/>
      <c r="J119" s="11" t="n"/>
      <c r="K119" s="12" t="n"/>
      <c r="L119" s="11" t="n"/>
      <c r="M119" s="12" t="n"/>
      <c r="N119" s="9" t="n"/>
      <c r="O119" s="9" t="n"/>
      <c r="P119" s="10" t="n"/>
      <c r="Q119" s="11" t="n"/>
      <c r="R119" s="12" t="n"/>
      <c r="S119" s="12" t="n"/>
      <c r="T119" s="13">
        <f>IF(B119="","",B119+3)</f>
        <v/>
      </c>
      <c r="U119" s="13">
        <f>IF(B119="","",B119+5)</f>
        <v/>
      </c>
      <c r="V119" s="13">
        <f>IF(B119="","",B119+10)</f>
        <v/>
      </c>
      <c r="W119" s="14">
        <f>IF(B119="","",(--(B119&lt;&gt;"")+--(C119&lt;&gt;"")+--(D119&lt;&gt;"")+--(E119&lt;&gt;"")+--(F119&lt;&gt;"")+--(G119&lt;&gt;"")+--(H119&lt;&gt;"")+--(I119&lt;&gt;"")+--(N119&lt;&gt;"")+--(O119&lt;&gt;"")+--(P119&lt;&gt;""))/11)</f>
        <v/>
      </c>
    </row>
    <row r="120">
      <c r="A120" s="7">
        <f>IF(B120="","",TEXT(B120,"yyyymmdd")&amp;"-"&amp;TEXT(ROW()-1,"000"))</f>
        <v/>
      </c>
      <c r="B120" s="8" t="n"/>
      <c r="C120" s="9" t="n"/>
      <c r="D120" s="9" t="n"/>
      <c r="E120" s="9" t="n"/>
      <c r="F120" s="9" t="n"/>
      <c r="G120" s="9" t="n"/>
      <c r="H120" s="9" t="n"/>
      <c r="I120" s="10" t="n"/>
      <c r="J120" s="11" t="n"/>
      <c r="K120" s="12" t="n"/>
      <c r="L120" s="11" t="n"/>
      <c r="M120" s="12" t="n"/>
      <c r="N120" s="9" t="n"/>
      <c r="O120" s="9" t="n"/>
      <c r="P120" s="10" t="n"/>
      <c r="Q120" s="11" t="n"/>
      <c r="R120" s="12" t="n"/>
      <c r="S120" s="12" t="n"/>
      <c r="T120" s="13">
        <f>IF(B120="","",B120+3)</f>
        <v/>
      </c>
      <c r="U120" s="13">
        <f>IF(B120="","",B120+5)</f>
        <v/>
      </c>
      <c r="V120" s="13">
        <f>IF(B120="","",B120+10)</f>
        <v/>
      </c>
      <c r="W120" s="14">
        <f>IF(B120="","",(--(B120&lt;&gt;"")+--(C120&lt;&gt;"")+--(D120&lt;&gt;"")+--(E120&lt;&gt;"")+--(F120&lt;&gt;"")+--(G120&lt;&gt;"")+--(H120&lt;&gt;"")+--(I120&lt;&gt;"")+--(N120&lt;&gt;"")+--(O120&lt;&gt;"")+--(P120&lt;&gt;""))/11)</f>
        <v/>
      </c>
    </row>
    <row r="121">
      <c r="A121" s="7">
        <f>IF(B121="","",TEXT(B121,"yyyymmdd")&amp;"-"&amp;TEXT(ROW()-1,"000"))</f>
        <v/>
      </c>
      <c r="B121" s="8" t="n"/>
      <c r="C121" s="9" t="n"/>
      <c r="D121" s="9" t="n"/>
      <c r="E121" s="9" t="n"/>
      <c r="F121" s="9" t="n"/>
      <c r="G121" s="9" t="n"/>
      <c r="H121" s="9" t="n"/>
      <c r="I121" s="10" t="n"/>
      <c r="J121" s="11" t="n"/>
      <c r="K121" s="12" t="n"/>
      <c r="L121" s="11" t="n"/>
      <c r="M121" s="12" t="n"/>
      <c r="N121" s="9" t="n"/>
      <c r="O121" s="9" t="n"/>
      <c r="P121" s="10" t="n"/>
      <c r="Q121" s="11" t="n"/>
      <c r="R121" s="12" t="n"/>
      <c r="S121" s="12" t="n"/>
      <c r="T121" s="13">
        <f>IF(B121="","",B121+3)</f>
        <v/>
      </c>
      <c r="U121" s="13">
        <f>IF(B121="","",B121+5)</f>
        <v/>
      </c>
      <c r="V121" s="13">
        <f>IF(B121="","",B121+10)</f>
        <v/>
      </c>
      <c r="W121" s="14">
        <f>IF(B121="","",(--(B121&lt;&gt;"")+--(C121&lt;&gt;"")+--(D121&lt;&gt;"")+--(E121&lt;&gt;"")+--(F121&lt;&gt;"")+--(G121&lt;&gt;"")+--(H121&lt;&gt;"")+--(I121&lt;&gt;"")+--(N121&lt;&gt;"")+--(O121&lt;&gt;"")+--(P121&lt;&gt;""))/11)</f>
        <v/>
      </c>
    </row>
    <row r="122">
      <c r="A122" s="7">
        <f>IF(B122="","",TEXT(B122,"yyyymmdd")&amp;"-"&amp;TEXT(ROW()-1,"000"))</f>
        <v/>
      </c>
      <c r="B122" s="8" t="n"/>
      <c r="C122" s="9" t="n"/>
      <c r="D122" s="9" t="n"/>
      <c r="E122" s="9" t="n"/>
      <c r="F122" s="9" t="n"/>
      <c r="G122" s="9" t="n"/>
      <c r="H122" s="9" t="n"/>
      <c r="I122" s="10" t="n"/>
      <c r="J122" s="11" t="n"/>
      <c r="K122" s="12" t="n"/>
      <c r="L122" s="11" t="n"/>
      <c r="M122" s="12" t="n"/>
      <c r="N122" s="9" t="n"/>
      <c r="O122" s="9" t="n"/>
      <c r="P122" s="10" t="n"/>
      <c r="Q122" s="11" t="n"/>
      <c r="R122" s="12" t="n"/>
      <c r="S122" s="12" t="n"/>
      <c r="T122" s="13">
        <f>IF(B122="","",B122+3)</f>
        <v/>
      </c>
      <c r="U122" s="13">
        <f>IF(B122="","",B122+5)</f>
        <v/>
      </c>
      <c r="V122" s="13">
        <f>IF(B122="","",B122+10)</f>
        <v/>
      </c>
      <c r="W122" s="14">
        <f>IF(B122="","",(--(B122&lt;&gt;"")+--(C122&lt;&gt;"")+--(D122&lt;&gt;"")+--(E122&lt;&gt;"")+--(F122&lt;&gt;"")+--(G122&lt;&gt;"")+--(H122&lt;&gt;"")+--(I122&lt;&gt;"")+--(N122&lt;&gt;"")+--(O122&lt;&gt;"")+--(P122&lt;&gt;""))/11)</f>
        <v/>
      </c>
    </row>
    <row r="123">
      <c r="A123" s="7">
        <f>IF(B123="","",TEXT(B123,"yyyymmdd")&amp;"-"&amp;TEXT(ROW()-1,"000"))</f>
        <v/>
      </c>
      <c r="B123" s="8" t="n"/>
      <c r="C123" s="9" t="n"/>
      <c r="D123" s="9" t="n"/>
      <c r="E123" s="9" t="n"/>
      <c r="F123" s="9" t="n"/>
      <c r="G123" s="9" t="n"/>
      <c r="H123" s="9" t="n"/>
      <c r="I123" s="10" t="n"/>
      <c r="J123" s="11" t="n"/>
      <c r="K123" s="12" t="n"/>
      <c r="L123" s="11" t="n"/>
      <c r="M123" s="12" t="n"/>
      <c r="N123" s="9" t="n"/>
      <c r="O123" s="9" t="n"/>
      <c r="P123" s="10" t="n"/>
      <c r="Q123" s="11" t="n"/>
      <c r="R123" s="12" t="n"/>
      <c r="S123" s="12" t="n"/>
      <c r="T123" s="13">
        <f>IF(B123="","",B123+3)</f>
        <v/>
      </c>
      <c r="U123" s="13">
        <f>IF(B123="","",B123+5)</f>
        <v/>
      </c>
      <c r="V123" s="13">
        <f>IF(B123="","",B123+10)</f>
        <v/>
      </c>
      <c r="W123" s="14">
        <f>IF(B123="","",(--(B123&lt;&gt;"")+--(C123&lt;&gt;"")+--(D123&lt;&gt;"")+--(E123&lt;&gt;"")+--(F123&lt;&gt;"")+--(G123&lt;&gt;"")+--(H123&lt;&gt;"")+--(I123&lt;&gt;"")+--(N123&lt;&gt;"")+--(O123&lt;&gt;"")+--(P123&lt;&gt;""))/11)</f>
        <v/>
      </c>
    </row>
    <row r="124">
      <c r="A124" s="7">
        <f>IF(B124="","",TEXT(B124,"yyyymmdd")&amp;"-"&amp;TEXT(ROW()-1,"000"))</f>
        <v/>
      </c>
      <c r="B124" s="8" t="n"/>
      <c r="C124" s="9" t="n"/>
      <c r="D124" s="9" t="n"/>
      <c r="E124" s="9" t="n"/>
      <c r="F124" s="9" t="n"/>
      <c r="G124" s="9" t="n"/>
      <c r="H124" s="9" t="n"/>
      <c r="I124" s="10" t="n"/>
      <c r="J124" s="11" t="n"/>
      <c r="K124" s="12" t="n"/>
      <c r="L124" s="11" t="n"/>
      <c r="M124" s="12" t="n"/>
      <c r="N124" s="9" t="n"/>
      <c r="O124" s="9" t="n"/>
      <c r="P124" s="10" t="n"/>
      <c r="Q124" s="11" t="n"/>
      <c r="R124" s="12" t="n"/>
      <c r="S124" s="12" t="n"/>
      <c r="T124" s="13">
        <f>IF(B124="","",B124+3)</f>
        <v/>
      </c>
      <c r="U124" s="13">
        <f>IF(B124="","",B124+5)</f>
        <v/>
      </c>
      <c r="V124" s="13">
        <f>IF(B124="","",B124+10)</f>
        <v/>
      </c>
      <c r="W124" s="14">
        <f>IF(B124="","",(--(B124&lt;&gt;"")+--(C124&lt;&gt;"")+--(D124&lt;&gt;"")+--(E124&lt;&gt;"")+--(F124&lt;&gt;"")+--(G124&lt;&gt;"")+--(H124&lt;&gt;"")+--(I124&lt;&gt;"")+--(N124&lt;&gt;"")+--(O124&lt;&gt;"")+--(P124&lt;&gt;""))/11)</f>
        <v/>
      </c>
    </row>
    <row r="125">
      <c r="A125" s="7">
        <f>IF(B125="","",TEXT(B125,"yyyymmdd")&amp;"-"&amp;TEXT(ROW()-1,"000"))</f>
        <v/>
      </c>
      <c r="B125" s="8" t="n"/>
      <c r="C125" s="9" t="n"/>
      <c r="D125" s="9" t="n"/>
      <c r="E125" s="9" t="n"/>
      <c r="F125" s="9" t="n"/>
      <c r="G125" s="9" t="n"/>
      <c r="H125" s="9" t="n"/>
      <c r="I125" s="10" t="n"/>
      <c r="J125" s="11" t="n"/>
      <c r="K125" s="12" t="n"/>
      <c r="L125" s="11" t="n"/>
      <c r="M125" s="12" t="n"/>
      <c r="N125" s="9" t="n"/>
      <c r="O125" s="9" t="n"/>
      <c r="P125" s="10" t="n"/>
      <c r="Q125" s="11" t="n"/>
      <c r="R125" s="12" t="n"/>
      <c r="S125" s="12" t="n"/>
      <c r="T125" s="13">
        <f>IF(B125="","",B125+3)</f>
        <v/>
      </c>
      <c r="U125" s="13">
        <f>IF(B125="","",B125+5)</f>
        <v/>
      </c>
      <c r="V125" s="13">
        <f>IF(B125="","",B125+10)</f>
        <v/>
      </c>
      <c r="W125" s="14">
        <f>IF(B125="","",(--(B125&lt;&gt;"")+--(C125&lt;&gt;"")+--(D125&lt;&gt;"")+--(E125&lt;&gt;"")+--(F125&lt;&gt;"")+--(G125&lt;&gt;"")+--(H125&lt;&gt;"")+--(I125&lt;&gt;"")+--(N125&lt;&gt;"")+--(O125&lt;&gt;"")+--(P125&lt;&gt;""))/11)</f>
        <v/>
      </c>
    </row>
    <row r="126">
      <c r="A126" s="7">
        <f>IF(B126="","",TEXT(B126,"yyyymmdd")&amp;"-"&amp;TEXT(ROW()-1,"000"))</f>
        <v/>
      </c>
      <c r="B126" s="8" t="n"/>
      <c r="C126" s="9" t="n"/>
      <c r="D126" s="9" t="n"/>
      <c r="E126" s="9" t="n"/>
      <c r="F126" s="9" t="n"/>
      <c r="G126" s="9" t="n"/>
      <c r="H126" s="9" t="n"/>
      <c r="I126" s="10" t="n"/>
      <c r="J126" s="11" t="n"/>
      <c r="K126" s="12" t="n"/>
      <c r="L126" s="11" t="n"/>
      <c r="M126" s="12" t="n"/>
      <c r="N126" s="9" t="n"/>
      <c r="O126" s="9" t="n"/>
      <c r="P126" s="10" t="n"/>
      <c r="Q126" s="11" t="n"/>
      <c r="R126" s="12" t="n"/>
      <c r="S126" s="12" t="n"/>
      <c r="T126" s="13">
        <f>IF(B126="","",B126+3)</f>
        <v/>
      </c>
      <c r="U126" s="13">
        <f>IF(B126="","",B126+5)</f>
        <v/>
      </c>
      <c r="V126" s="13">
        <f>IF(B126="","",B126+10)</f>
        <v/>
      </c>
      <c r="W126" s="14">
        <f>IF(B126="","",(--(B126&lt;&gt;"")+--(C126&lt;&gt;"")+--(D126&lt;&gt;"")+--(E126&lt;&gt;"")+--(F126&lt;&gt;"")+--(G126&lt;&gt;"")+--(H126&lt;&gt;"")+--(I126&lt;&gt;"")+--(N126&lt;&gt;"")+--(O126&lt;&gt;"")+--(P126&lt;&gt;""))/11)</f>
        <v/>
      </c>
    </row>
    <row r="127">
      <c r="A127" s="7">
        <f>IF(B127="","",TEXT(B127,"yyyymmdd")&amp;"-"&amp;TEXT(ROW()-1,"000"))</f>
        <v/>
      </c>
      <c r="B127" s="8" t="n"/>
      <c r="C127" s="9" t="n"/>
      <c r="D127" s="9" t="n"/>
      <c r="E127" s="9" t="n"/>
      <c r="F127" s="9" t="n"/>
      <c r="G127" s="9" t="n"/>
      <c r="H127" s="9" t="n"/>
      <c r="I127" s="10" t="n"/>
      <c r="J127" s="11" t="n"/>
      <c r="K127" s="12" t="n"/>
      <c r="L127" s="11" t="n"/>
      <c r="M127" s="12" t="n"/>
      <c r="N127" s="9" t="n"/>
      <c r="O127" s="9" t="n"/>
      <c r="P127" s="10" t="n"/>
      <c r="Q127" s="11" t="n"/>
      <c r="R127" s="12" t="n"/>
      <c r="S127" s="12" t="n"/>
      <c r="T127" s="13">
        <f>IF(B127="","",B127+3)</f>
        <v/>
      </c>
      <c r="U127" s="13">
        <f>IF(B127="","",B127+5)</f>
        <v/>
      </c>
      <c r="V127" s="13">
        <f>IF(B127="","",B127+10)</f>
        <v/>
      </c>
      <c r="W127" s="14">
        <f>IF(B127="","",(--(B127&lt;&gt;"")+--(C127&lt;&gt;"")+--(D127&lt;&gt;"")+--(E127&lt;&gt;"")+--(F127&lt;&gt;"")+--(G127&lt;&gt;"")+--(H127&lt;&gt;"")+--(I127&lt;&gt;"")+--(N127&lt;&gt;"")+--(O127&lt;&gt;"")+--(P127&lt;&gt;""))/11)</f>
        <v/>
      </c>
    </row>
    <row r="128">
      <c r="A128" s="7">
        <f>IF(B128="","",TEXT(B128,"yyyymmdd")&amp;"-"&amp;TEXT(ROW()-1,"000"))</f>
        <v/>
      </c>
      <c r="B128" s="8" t="n"/>
      <c r="C128" s="9" t="n"/>
      <c r="D128" s="9" t="n"/>
      <c r="E128" s="9" t="n"/>
      <c r="F128" s="9" t="n"/>
      <c r="G128" s="9" t="n"/>
      <c r="H128" s="9" t="n"/>
      <c r="I128" s="10" t="n"/>
      <c r="J128" s="11" t="n"/>
      <c r="K128" s="12" t="n"/>
      <c r="L128" s="11" t="n"/>
      <c r="M128" s="12" t="n"/>
      <c r="N128" s="9" t="n"/>
      <c r="O128" s="9" t="n"/>
      <c r="P128" s="10" t="n"/>
      <c r="Q128" s="11" t="n"/>
      <c r="R128" s="12" t="n"/>
      <c r="S128" s="12" t="n"/>
      <c r="T128" s="13">
        <f>IF(B128="","",B128+3)</f>
        <v/>
      </c>
      <c r="U128" s="13">
        <f>IF(B128="","",B128+5)</f>
        <v/>
      </c>
      <c r="V128" s="13">
        <f>IF(B128="","",B128+10)</f>
        <v/>
      </c>
      <c r="W128" s="14">
        <f>IF(B128="","",(--(B128&lt;&gt;"")+--(C128&lt;&gt;"")+--(D128&lt;&gt;"")+--(E128&lt;&gt;"")+--(F128&lt;&gt;"")+--(G128&lt;&gt;"")+--(H128&lt;&gt;"")+--(I128&lt;&gt;"")+--(N128&lt;&gt;"")+--(O128&lt;&gt;"")+--(P128&lt;&gt;""))/11)</f>
        <v/>
      </c>
    </row>
    <row r="129">
      <c r="A129" s="7">
        <f>IF(B129="","",TEXT(B129,"yyyymmdd")&amp;"-"&amp;TEXT(ROW()-1,"000"))</f>
        <v/>
      </c>
      <c r="B129" s="8" t="n"/>
      <c r="C129" s="9" t="n"/>
      <c r="D129" s="9" t="n"/>
      <c r="E129" s="9" t="n"/>
      <c r="F129" s="9" t="n"/>
      <c r="G129" s="9" t="n"/>
      <c r="H129" s="9" t="n"/>
      <c r="I129" s="10" t="n"/>
      <c r="J129" s="11" t="n"/>
      <c r="K129" s="12" t="n"/>
      <c r="L129" s="11" t="n"/>
      <c r="M129" s="12" t="n"/>
      <c r="N129" s="9" t="n"/>
      <c r="O129" s="9" t="n"/>
      <c r="P129" s="10" t="n"/>
      <c r="Q129" s="11" t="n"/>
      <c r="R129" s="12" t="n"/>
      <c r="S129" s="12" t="n"/>
      <c r="T129" s="13">
        <f>IF(B129="","",B129+3)</f>
        <v/>
      </c>
      <c r="U129" s="13">
        <f>IF(B129="","",B129+5)</f>
        <v/>
      </c>
      <c r="V129" s="13">
        <f>IF(B129="","",B129+10)</f>
        <v/>
      </c>
      <c r="W129" s="14">
        <f>IF(B129="","",(--(B129&lt;&gt;"")+--(C129&lt;&gt;"")+--(D129&lt;&gt;"")+--(E129&lt;&gt;"")+--(F129&lt;&gt;"")+--(G129&lt;&gt;"")+--(H129&lt;&gt;"")+--(I129&lt;&gt;"")+--(N129&lt;&gt;"")+--(O129&lt;&gt;"")+--(P129&lt;&gt;""))/11)</f>
        <v/>
      </c>
    </row>
    <row r="130">
      <c r="A130" s="7">
        <f>IF(B130="","",TEXT(B130,"yyyymmdd")&amp;"-"&amp;TEXT(ROW()-1,"000"))</f>
        <v/>
      </c>
      <c r="B130" s="8" t="n"/>
      <c r="C130" s="9" t="n"/>
      <c r="D130" s="9" t="n"/>
      <c r="E130" s="9" t="n"/>
      <c r="F130" s="9" t="n"/>
      <c r="G130" s="9" t="n"/>
      <c r="H130" s="9" t="n"/>
      <c r="I130" s="10" t="n"/>
      <c r="J130" s="11" t="n"/>
      <c r="K130" s="12" t="n"/>
      <c r="L130" s="11" t="n"/>
      <c r="M130" s="12" t="n"/>
      <c r="N130" s="9" t="n"/>
      <c r="O130" s="9" t="n"/>
      <c r="P130" s="10" t="n"/>
      <c r="Q130" s="11" t="n"/>
      <c r="R130" s="12" t="n"/>
      <c r="S130" s="12" t="n"/>
      <c r="T130" s="13">
        <f>IF(B130="","",B130+3)</f>
        <v/>
      </c>
      <c r="U130" s="13">
        <f>IF(B130="","",B130+5)</f>
        <v/>
      </c>
      <c r="V130" s="13">
        <f>IF(B130="","",B130+10)</f>
        <v/>
      </c>
      <c r="W130" s="14">
        <f>IF(B130="","",(--(B130&lt;&gt;"")+--(C130&lt;&gt;"")+--(D130&lt;&gt;"")+--(E130&lt;&gt;"")+--(F130&lt;&gt;"")+--(G130&lt;&gt;"")+--(H130&lt;&gt;"")+--(I130&lt;&gt;"")+--(N130&lt;&gt;"")+--(O130&lt;&gt;"")+--(P130&lt;&gt;""))/11)</f>
        <v/>
      </c>
    </row>
    <row r="131">
      <c r="A131" s="7">
        <f>IF(B131="","",TEXT(B131,"yyyymmdd")&amp;"-"&amp;TEXT(ROW()-1,"000"))</f>
        <v/>
      </c>
      <c r="B131" s="8" t="n"/>
      <c r="C131" s="9" t="n"/>
      <c r="D131" s="9" t="n"/>
      <c r="E131" s="9" t="n"/>
      <c r="F131" s="9" t="n"/>
      <c r="G131" s="9" t="n"/>
      <c r="H131" s="9" t="n"/>
      <c r="I131" s="10" t="n"/>
      <c r="J131" s="11" t="n"/>
      <c r="K131" s="12" t="n"/>
      <c r="L131" s="11" t="n"/>
      <c r="M131" s="12" t="n"/>
      <c r="N131" s="9" t="n"/>
      <c r="O131" s="9" t="n"/>
      <c r="P131" s="10" t="n"/>
      <c r="Q131" s="11" t="n"/>
      <c r="R131" s="12" t="n"/>
      <c r="S131" s="12" t="n"/>
      <c r="T131" s="13">
        <f>IF(B131="","",B131+3)</f>
        <v/>
      </c>
      <c r="U131" s="13">
        <f>IF(B131="","",B131+5)</f>
        <v/>
      </c>
      <c r="V131" s="13">
        <f>IF(B131="","",B131+10)</f>
        <v/>
      </c>
      <c r="W131" s="14">
        <f>IF(B131="","",(--(B131&lt;&gt;"")+--(C131&lt;&gt;"")+--(D131&lt;&gt;"")+--(E131&lt;&gt;"")+--(F131&lt;&gt;"")+--(G131&lt;&gt;"")+--(H131&lt;&gt;"")+--(I131&lt;&gt;"")+--(N131&lt;&gt;"")+--(O131&lt;&gt;"")+--(P131&lt;&gt;""))/11)</f>
        <v/>
      </c>
    </row>
    <row r="132">
      <c r="A132" s="7">
        <f>IF(B132="","",TEXT(B132,"yyyymmdd")&amp;"-"&amp;TEXT(ROW()-1,"000"))</f>
        <v/>
      </c>
      <c r="B132" s="8" t="n"/>
      <c r="C132" s="9" t="n"/>
      <c r="D132" s="9" t="n"/>
      <c r="E132" s="9" t="n"/>
      <c r="F132" s="9" t="n"/>
      <c r="G132" s="9" t="n"/>
      <c r="H132" s="9" t="n"/>
      <c r="I132" s="10" t="n"/>
      <c r="J132" s="11" t="n"/>
      <c r="K132" s="12" t="n"/>
      <c r="L132" s="11" t="n"/>
      <c r="M132" s="12" t="n"/>
      <c r="N132" s="9" t="n"/>
      <c r="O132" s="9" t="n"/>
      <c r="P132" s="10" t="n"/>
      <c r="Q132" s="11" t="n"/>
      <c r="R132" s="12" t="n"/>
      <c r="S132" s="12" t="n"/>
      <c r="T132" s="13">
        <f>IF(B132="","",B132+3)</f>
        <v/>
      </c>
      <c r="U132" s="13">
        <f>IF(B132="","",B132+5)</f>
        <v/>
      </c>
      <c r="V132" s="13">
        <f>IF(B132="","",B132+10)</f>
        <v/>
      </c>
      <c r="W132" s="14">
        <f>IF(B132="","",(--(B132&lt;&gt;"")+--(C132&lt;&gt;"")+--(D132&lt;&gt;"")+--(E132&lt;&gt;"")+--(F132&lt;&gt;"")+--(G132&lt;&gt;"")+--(H132&lt;&gt;"")+--(I132&lt;&gt;"")+--(N132&lt;&gt;"")+--(O132&lt;&gt;"")+--(P132&lt;&gt;""))/11)</f>
        <v/>
      </c>
    </row>
    <row r="133">
      <c r="A133" s="7">
        <f>IF(B133="","",TEXT(B133,"yyyymmdd")&amp;"-"&amp;TEXT(ROW()-1,"000"))</f>
        <v/>
      </c>
      <c r="B133" s="8" t="n"/>
      <c r="C133" s="9" t="n"/>
      <c r="D133" s="9" t="n"/>
      <c r="E133" s="9" t="n"/>
      <c r="F133" s="9" t="n"/>
      <c r="G133" s="9" t="n"/>
      <c r="H133" s="9" t="n"/>
      <c r="I133" s="10" t="n"/>
      <c r="J133" s="11" t="n"/>
      <c r="K133" s="12" t="n"/>
      <c r="L133" s="11" t="n"/>
      <c r="M133" s="12" t="n"/>
      <c r="N133" s="9" t="n"/>
      <c r="O133" s="9" t="n"/>
      <c r="P133" s="10" t="n"/>
      <c r="Q133" s="11" t="n"/>
      <c r="R133" s="12" t="n"/>
      <c r="S133" s="12" t="n"/>
      <c r="T133" s="13">
        <f>IF(B133="","",B133+3)</f>
        <v/>
      </c>
      <c r="U133" s="13">
        <f>IF(B133="","",B133+5)</f>
        <v/>
      </c>
      <c r="V133" s="13">
        <f>IF(B133="","",B133+10)</f>
        <v/>
      </c>
      <c r="W133" s="14">
        <f>IF(B133="","",(--(B133&lt;&gt;"")+--(C133&lt;&gt;"")+--(D133&lt;&gt;"")+--(E133&lt;&gt;"")+--(F133&lt;&gt;"")+--(G133&lt;&gt;"")+--(H133&lt;&gt;"")+--(I133&lt;&gt;"")+--(N133&lt;&gt;"")+--(O133&lt;&gt;"")+--(P133&lt;&gt;""))/11)</f>
        <v/>
      </c>
    </row>
    <row r="134">
      <c r="A134" s="7">
        <f>IF(B134="","",TEXT(B134,"yyyymmdd")&amp;"-"&amp;TEXT(ROW()-1,"000"))</f>
        <v/>
      </c>
      <c r="B134" s="8" t="n"/>
      <c r="C134" s="9" t="n"/>
      <c r="D134" s="9" t="n"/>
      <c r="E134" s="9" t="n"/>
      <c r="F134" s="9" t="n"/>
      <c r="G134" s="9" t="n"/>
      <c r="H134" s="9" t="n"/>
      <c r="I134" s="10" t="n"/>
      <c r="J134" s="11" t="n"/>
      <c r="K134" s="12" t="n"/>
      <c r="L134" s="11" t="n"/>
      <c r="M134" s="12" t="n"/>
      <c r="N134" s="9" t="n"/>
      <c r="O134" s="9" t="n"/>
      <c r="P134" s="10" t="n"/>
      <c r="Q134" s="11" t="n"/>
      <c r="R134" s="12" t="n"/>
      <c r="S134" s="12" t="n"/>
      <c r="T134" s="13">
        <f>IF(B134="","",B134+3)</f>
        <v/>
      </c>
      <c r="U134" s="13">
        <f>IF(B134="","",B134+5)</f>
        <v/>
      </c>
      <c r="V134" s="13">
        <f>IF(B134="","",B134+10)</f>
        <v/>
      </c>
      <c r="W134" s="14">
        <f>IF(B134="","",(--(B134&lt;&gt;"")+--(C134&lt;&gt;"")+--(D134&lt;&gt;"")+--(E134&lt;&gt;"")+--(F134&lt;&gt;"")+--(G134&lt;&gt;"")+--(H134&lt;&gt;"")+--(I134&lt;&gt;"")+--(N134&lt;&gt;"")+--(O134&lt;&gt;"")+--(P134&lt;&gt;""))/11)</f>
        <v/>
      </c>
    </row>
    <row r="135">
      <c r="A135" s="7">
        <f>IF(B135="","",TEXT(B135,"yyyymmdd")&amp;"-"&amp;TEXT(ROW()-1,"000"))</f>
        <v/>
      </c>
      <c r="B135" s="8" t="n"/>
      <c r="C135" s="9" t="n"/>
      <c r="D135" s="9" t="n"/>
      <c r="E135" s="9" t="n"/>
      <c r="F135" s="9" t="n"/>
      <c r="G135" s="9" t="n"/>
      <c r="H135" s="9" t="n"/>
      <c r="I135" s="10" t="n"/>
      <c r="J135" s="11" t="n"/>
      <c r="K135" s="12" t="n"/>
      <c r="L135" s="11" t="n"/>
      <c r="M135" s="12" t="n"/>
      <c r="N135" s="9" t="n"/>
      <c r="O135" s="9" t="n"/>
      <c r="P135" s="10" t="n"/>
      <c r="Q135" s="11" t="n"/>
      <c r="R135" s="12" t="n"/>
      <c r="S135" s="12" t="n"/>
      <c r="T135" s="13">
        <f>IF(B135="","",B135+3)</f>
        <v/>
      </c>
      <c r="U135" s="13">
        <f>IF(B135="","",B135+5)</f>
        <v/>
      </c>
      <c r="V135" s="13">
        <f>IF(B135="","",B135+10)</f>
        <v/>
      </c>
      <c r="W135" s="14">
        <f>IF(B135="","",(--(B135&lt;&gt;"")+--(C135&lt;&gt;"")+--(D135&lt;&gt;"")+--(E135&lt;&gt;"")+--(F135&lt;&gt;"")+--(G135&lt;&gt;"")+--(H135&lt;&gt;"")+--(I135&lt;&gt;"")+--(N135&lt;&gt;"")+--(O135&lt;&gt;"")+--(P135&lt;&gt;""))/11)</f>
        <v/>
      </c>
    </row>
    <row r="136">
      <c r="A136" s="7">
        <f>IF(B136="","",TEXT(B136,"yyyymmdd")&amp;"-"&amp;TEXT(ROW()-1,"000"))</f>
        <v/>
      </c>
      <c r="B136" s="8" t="n"/>
      <c r="C136" s="9" t="n"/>
      <c r="D136" s="9" t="n"/>
      <c r="E136" s="9" t="n"/>
      <c r="F136" s="9" t="n"/>
      <c r="G136" s="9" t="n"/>
      <c r="H136" s="9" t="n"/>
      <c r="I136" s="10" t="n"/>
      <c r="J136" s="11" t="n"/>
      <c r="K136" s="12" t="n"/>
      <c r="L136" s="11" t="n"/>
      <c r="M136" s="12" t="n"/>
      <c r="N136" s="9" t="n"/>
      <c r="O136" s="9" t="n"/>
      <c r="P136" s="10" t="n"/>
      <c r="Q136" s="11" t="n"/>
      <c r="R136" s="12" t="n"/>
      <c r="S136" s="12" t="n"/>
      <c r="T136" s="13">
        <f>IF(B136="","",B136+3)</f>
        <v/>
      </c>
      <c r="U136" s="13">
        <f>IF(B136="","",B136+5)</f>
        <v/>
      </c>
      <c r="V136" s="13">
        <f>IF(B136="","",B136+10)</f>
        <v/>
      </c>
      <c r="W136" s="14">
        <f>IF(B136="","",(--(B136&lt;&gt;"")+--(C136&lt;&gt;"")+--(D136&lt;&gt;"")+--(E136&lt;&gt;"")+--(F136&lt;&gt;"")+--(G136&lt;&gt;"")+--(H136&lt;&gt;"")+--(I136&lt;&gt;"")+--(N136&lt;&gt;"")+--(O136&lt;&gt;"")+--(P136&lt;&gt;""))/11)</f>
        <v/>
      </c>
    </row>
    <row r="137">
      <c r="A137" s="7">
        <f>IF(B137="","",TEXT(B137,"yyyymmdd")&amp;"-"&amp;TEXT(ROW()-1,"000"))</f>
        <v/>
      </c>
      <c r="B137" s="8" t="n"/>
      <c r="C137" s="9" t="n"/>
      <c r="D137" s="9" t="n"/>
      <c r="E137" s="9" t="n"/>
      <c r="F137" s="9" t="n"/>
      <c r="G137" s="9" t="n"/>
      <c r="H137" s="9" t="n"/>
      <c r="I137" s="10" t="n"/>
      <c r="J137" s="11" t="n"/>
      <c r="K137" s="12" t="n"/>
      <c r="L137" s="11" t="n"/>
      <c r="M137" s="12" t="n"/>
      <c r="N137" s="9" t="n"/>
      <c r="O137" s="9" t="n"/>
      <c r="P137" s="10" t="n"/>
      <c r="Q137" s="11" t="n"/>
      <c r="R137" s="12" t="n"/>
      <c r="S137" s="12" t="n"/>
      <c r="T137" s="13">
        <f>IF(B137="","",B137+3)</f>
        <v/>
      </c>
      <c r="U137" s="13">
        <f>IF(B137="","",B137+5)</f>
        <v/>
      </c>
      <c r="V137" s="13">
        <f>IF(B137="","",B137+10)</f>
        <v/>
      </c>
      <c r="W137" s="14">
        <f>IF(B137="","",(--(B137&lt;&gt;"")+--(C137&lt;&gt;"")+--(D137&lt;&gt;"")+--(E137&lt;&gt;"")+--(F137&lt;&gt;"")+--(G137&lt;&gt;"")+--(H137&lt;&gt;"")+--(I137&lt;&gt;"")+--(N137&lt;&gt;"")+--(O137&lt;&gt;"")+--(P137&lt;&gt;""))/11)</f>
        <v/>
      </c>
    </row>
    <row r="138">
      <c r="A138" s="7">
        <f>IF(B138="","",TEXT(B138,"yyyymmdd")&amp;"-"&amp;TEXT(ROW()-1,"000"))</f>
        <v/>
      </c>
      <c r="B138" s="8" t="n"/>
      <c r="C138" s="9" t="n"/>
      <c r="D138" s="9" t="n"/>
      <c r="E138" s="9" t="n"/>
      <c r="F138" s="9" t="n"/>
      <c r="G138" s="9" t="n"/>
      <c r="H138" s="9" t="n"/>
      <c r="I138" s="10" t="n"/>
      <c r="J138" s="11" t="n"/>
      <c r="K138" s="12" t="n"/>
      <c r="L138" s="11" t="n"/>
      <c r="M138" s="12" t="n"/>
      <c r="N138" s="9" t="n"/>
      <c r="O138" s="9" t="n"/>
      <c r="P138" s="10" t="n"/>
      <c r="Q138" s="11" t="n"/>
      <c r="R138" s="12" t="n"/>
      <c r="S138" s="12" t="n"/>
      <c r="T138" s="13">
        <f>IF(B138="","",B138+3)</f>
        <v/>
      </c>
      <c r="U138" s="13">
        <f>IF(B138="","",B138+5)</f>
        <v/>
      </c>
      <c r="V138" s="13">
        <f>IF(B138="","",B138+10)</f>
        <v/>
      </c>
      <c r="W138" s="14">
        <f>IF(B138="","",(--(B138&lt;&gt;"")+--(C138&lt;&gt;"")+--(D138&lt;&gt;"")+--(E138&lt;&gt;"")+--(F138&lt;&gt;"")+--(G138&lt;&gt;"")+--(H138&lt;&gt;"")+--(I138&lt;&gt;"")+--(N138&lt;&gt;"")+--(O138&lt;&gt;"")+--(P138&lt;&gt;""))/11)</f>
        <v/>
      </c>
    </row>
    <row r="139">
      <c r="A139" s="7">
        <f>IF(B139="","",TEXT(B139,"yyyymmdd")&amp;"-"&amp;TEXT(ROW()-1,"000"))</f>
        <v/>
      </c>
      <c r="B139" s="8" t="n"/>
      <c r="C139" s="9" t="n"/>
      <c r="D139" s="9" t="n"/>
      <c r="E139" s="9" t="n"/>
      <c r="F139" s="9" t="n"/>
      <c r="G139" s="9" t="n"/>
      <c r="H139" s="9" t="n"/>
      <c r="I139" s="10" t="n"/>
      <c r="J139" s="11" t="n"/>
      <c r="K139" s="12" t="n"/>
      <c r="L139" s="11" t="n"/>
      <c r="M139" s="12" t="n"/>
      <c r="N139" s="9" t="n"/>
      <c r="O139" s="9" t="n"/>
      <c r="P139" s="10" t="n"/>
      <c r="Q139" s="11" t="n"/>
      <c r="R139" s="12" t="n"/>
      <c r="S139" s="12" t="n"/>
      <c r="T139" s="13">
        <f>IF(B139="","",B139+3)</f>
        <v/>
      </c>
      <c r="U139" s="13">
        <f>IF(B139="","",B139+5)</f>
        <v/>
      </c>
      <c r="V139" s="13">
        <f>IF(B139="","",B139+10)</f>
        <v/>
      </c>
      <c r="W139" s="14">
        <f>IF(B139="","",(--(B139&lt;&gt;"")+--(C139&lt;&gt;"")+--(D139&lt;&gt;"")+--(E139&lt;&gt;"")+--(F139&lt;&gt;"")+--(G139&lt;&gt;"")+--(H139&lt;&gt;"")+--(I139&lt;&gt;"")+--(N139&lt;&gt;"")+--(O139&lt;&gt;"")+--(P139&lt;&gt;""))/11)</f>
        <v/>
      </c>
    </row>
    <row r="140">
      <c r="A140" s="7">
        <f>IF(B140="","",TEXT(B140,"yyyymmdd")&amp;"-"&amp;TEXT(ROW()-1,"000"))</f>
        <v/>
      </c>
      <c r="B140" s="8" t="n"/>
      <c r="C140" s="9" t="n"/>
      <c r="D140" s="9" t="n"/>
      <c r="E140" s="9" t="n"/>
      <c r="F140" s="9" t="n"/>
      <c r="G140" s="9" t="n"/>
      <c r="H140" s="9" t="n"/>
      <c r="I140" s="10" t="n"/>
      <c r="J140" s="11" t="n"/>
      <c r="K140" s="12" t="n"/>
      <c r="L140" s="11" t="n"/>
      <c r="M140" s="12" t="n"/>
      <c r="N140" s="9" t="n"/>
      <c r="O140" s="9" t="n"/>
      <c r="P140" s="10" t="n"/>
      <c r="Q140" s="11" t="n"/>
      <c r="R140" s="12" t="n"/>
      <c r="S140" s="12" t="n"/>
      <c r="T140" s="13">
        <f>IF(B140="","",B140+3)</f>
        <v/>
      </c>
      <c r="U140" s="13">
        <f>IF(B140="","",B140+5)</f>
        <v/>
      </c>
      <c r="V140" s="13">
        <f>IF(B140="","",B140+10)</f>
        <v/>
      </c>
      <c r="W140" s="14">
        <f>IF(B140="","",(--(B140&lt;&gt;"")+--(C140&lt;&gt;"")+--(D140&lt;&gt;"")+--(E140&lt;&gt;"")+--(F140&lt;&gt;"")+--(G140&lt;&gt;"")+--(H140&lt;&gt;"")+--(I140&lt;&gt;"")+--(N140&lt;&gt;"")+--(O140&lt;&gt;"")+--(P140&lt;&gt;""))/11)</f>
        <v/>
      </c>
    </row>
    <row r="141">
      <c r="A141" s="7">
        <f>IF(B141="","",TEXT(B141,"yyyymmdd")&amp;"-"&amp;TEXT(ROW()-1,"000"))</f>
        <v/>
      </c>
      <c r="B141" s="8" t="n"/>
      <c r="C141" s="9" t="n"/>
      <c r="D141" s="9" t="n"/>
      <c r="E141" s="9" t="n"/>
      <c r="F141" s="9" t="n"/>
      <c r="G141" s="9" t="n"/>
      <c r="H141" s="9" t="n"/>
      <c r="I141" s="10" t="n"/>
      <c r="J141" s="11" t="n"/>
      <c r="K141" s="12" t="n"/>
      <c r="L141" s="11" t="n"/>
      <c r="M141" s="12" t="n"/>
      <c r="N141" s="9" t="n"/>
      <c r="O141" s="9" t="n"/>
      <c r="P141" s="10" t="n"/>
      <c r="Q141" s="11" t="n"/>
      <c r="R141" s="12" t="n"/>
      <c r="S141" s="12" t="n"/>
      <c r="T141" s="13">
        <f>IF(B141="","",B141+3)</f>
        <v/>
      </c>
      <c r="U141" s="13">
        <f>IF(B141="","",B141+5)</f>
        <v/>
      </c>
      <c r="V141" s="13">
        <f>IF(B141="","",B141+10)</f>
        <v/>
      </c>
      <c r="W141" s="14">
        <f>IF(B141="","",(--(B141&lt;&gt;"")+--(C141&lt;&gt;"")+--(D141&lt;&gt;"")+--(E141&lt;&gt;"")+--(F141&lt;&gt;"")+--(G141&lt;&gt;"")+--(H141&lt;&gt;"")+--(I141&lt;&gt;"")+--(N141&lt;&gt;"")+--(O141&lt;&gt;"")+--(P141&lt;&gt;""))/11)</f>
        <v/>
      </c>
    </row>
    <row r="142">
      <c r="A142" s="7">
        <f>IF(B142="","",TEXT(B142,"yyyymmdd")&amp;"-"&amp;TEXT(ROW()-1,"000"))</f>
        <v/>
      </c>
      <c r="B142" s="8" t="n"/>
      <c r="C142" s="9" t="n"/>
      <c r="D142" s="9" t="n"/>
      <c r="E142" s="9" t="n"/>
      <c r="F142" s="9" t="n"/>
      <c r="G142" s="9" t="n"/>
      <c r="H142" s="9" t="n"/>
      <c r="I142" s="10" t="n"/>
      <c r="J142" s="11" t="n"/>
      <c r="K142" s="12" t="n"/>
      <c r="L142" s="11" t="n"/>
      <c r="M142" s="12" t="n"/>
      <c r="N142" s="9" t="n"/>
      <c r="O142" s="9" t="n"/>
      <c r="P142" s="10" t="n"/>
      <c r="Q142" s="11" t="n"/>
      <c r="R142" s="12" t="n"/>
      <c r="S142" s="12" t="n"/>
      <c r="T142" s="13">
        <f>IF(B142="","",B142+3)</f>
        <v/>
      </c>
      <c r="U142" s="13">
        <f>IF(B142="","",B142+5)</f>
        <v/>
      </c>
      <c r="V142" s="13">
        <f>IF(B142="","",B142+10)</f>
        <v/>
      </c>
      <c r="W142" s="14">
        <f>IF(B142="","",(--(B142&lt;&gt;"")+--(C142&lt;&gt;"")+--(D142&lt;&gt;"")+--(E142&lt;&gt;"")+--(F142&lt;&gt;"")+--(G142&lt;&gt;"")+--(H142&lt;&gt;"")+--(I142&lt;&gt;"")+--(N142&lt;&gt;"")+--(O142&lt;&gt;"")+--(P142&lt;&gt;""))/11)</f>
        <v/>
      </c>
    </row>
    <row r="143">
      <c r="A143" s="7">
        <f>IF(B143="","",TEXT(B143,"yyyymmdd")&amp;"-"&amp;TEXT(ROW()-1,"000"))</f>
        <v/>
      </c>
      <c r="B143" s="8" t="n"/>
      <c r="C143" s="9" t="n"/>
      <c r="D143" s="9" t="n"/>
      <c r="E143" s="9" t="n"/>
      <c r="F143" s="9" t="n"/>
      <c r="G143" s="9" t="n"/>
      <c r="H143" s="9" t="n"/>
      <c r="I143" s="10" t="n"/>
      <c r="J143" s="11" t="n"/>
      <c r="K143" s="12" t="n"/>
      <c r="L143" s="11" t="n"/>
      <c r="M143" s="12" t="n"/>
      <c r="N143" s="9" t="n"/>
      <c r="O143" s="9" t="n"/>
      <c r="P143" s="10" t="n"/>
      <c r="Q143" s="11" t="n"/>
      <c r="R143" s="12" t="n"/>
      <c r="S143" s="12" t="n"/>
      <c r="T143" s="13">
        <f>IF(B143="","",B143+3)</f>
        <v/>
      </c>
      <c r="U143" s="13">
        <f>IF(B143="","",B143+5)</f>
        <v/>
      </c>
      <c r="V143" s="13">
        <f>IF(B143="","",B143+10)</f>
        <v/>
      </c>
      <c r="W143" s="14">
        <f>IF(B143="","",(--(B143&lt;&gt;"")+--(C143&lt;&gt;"")+--(D143&lt;&gt;"")+--(E143&lt;&gt;"")+--(F143&lt;&gt;"")+--(G143&lt;&gt;"")+--(H143&lt;&gt;"")+--(I143&lt;&gt;"")+--(N143&lt;&gt;"")+--(O143&lt;&gt;"")+--(P143&lt;&gt;""))/11)</f>
        <v/>
      </c>
    </row>
    <row r="144">
      <c r="A144" s="7">
        <f>IF(B144="","",TEXT(B144,"yyyymmdd")&amp;"-"&amp;TEXT(ROW()-1,"000"))</f>
        <v/>
      </c>
      <c r="B144" s="8" t="n"/>
      <c r="C144" s="9" t="n"/>
      <c r="D144" s="9" t="n"/>
      <c r="E144" s="9" t="n"/>
      <c r="F144" s="9" t="n"/>
      <c r="G144" s="9" t="n"/>
      <c r="H144" s="9" t="n"/>
      <c r="I144" s="10" t="n"/>
      <c r="J144" s="11" t="n"/>
      <c r="K144" s="12" t="n"/>
      <c r="L144" s="11" t="n"/>
      <c r="M144" s="12" t="n"/>
      <c r="N144" s="9" t="n"/>
      <c r="O144" s="9" t="n"/>
      <c r="P144" s="10" t="n"/>
      <c r="Q144" s="11" t="n"/>
      <c r="R144" s="12" t="n"/>
      <c r="S144" s="12" t="n"/>
      <c r="T144" s="13">
        <f>IF(B144="","",B144+3)</f>
        <v/>
      </c>
      <c r="U144" s="13">
        <f>IF(B144="","",B144+5)</f>
        <v/>
      </c>
      <c r="V144" s="13">
        <f>IF(B144="","",B144+10)</f>
        <v/>
      </c>
      <c r="W144" s="14">
        <f>IF(B144="","",(--(B144&lt;&gt;"")+--(C144&lt;&gt;"")+--(D144&lt;&gt;"")+--(E144&lt;&gt;"")+--(F144&lt;&gt;"")+--(G144&lt;&gt;"")+--(H144&lt;&gt;"")+--(I144&lt;&gt;"")+--(N144&lt;&gt;"")+--(O144&lt;&gt;"")+--(P144&lt;&gt;""))/11)</f>
        <v/>
      </c>
    </row>
    <row r="145">
      <c r="A145" s="7">
        <f>IF(B145="","",TEXT(B145,"yyyymmdd")&amp;"-"&amp;TEXT(ROW()-1,"000"))</f>
        <v/>
      </c>
      <c r="B145" s="8" t="n"/>
      <c r="C145" s="9" t="n"/>
      <c r="D145" s="9" t="n"/>
      <c r="E145" s="9" t="n"/>
      <c r="F145" s="9" t="n"/>
      <c r="G145" s="9" t="n"/>
      <c r="H145" s="9" t="n"/>
      <c r="I145" s="10" t="n"/>
      <c r="J145" s="11" t="n"/>
      <c r="K145" s="12" t="n"/>
      <c r="L145" s="11" t="n"/>
      <c r="M145" s="12" t="n"/>
      <c r="N145" s="9" t="n"/>
      <c r="O145" s="9" t="n"/>
      <c r="P145" s="10" t="n"/>
      <c r="Q145" s="11" t="n"/>
      <c r="R145" s="12" t="n"/>
      <c r="S145" s="12" t="n"/>
      <c r="T145" s="13">
        <f>IF(B145="","",B145+3)</f>
        <v/>
      </c>
      <c r="U145" s="13">
        <f>IF(B145="","",B145+5)</f>
        <v/>
      </c>
      <c r="V145" s="13">
        <f>IF(B145="","",B145+10)</f>
        <v/>
      </c>
      <c r="W145" s="14">
        <f>IF(B145="","",(--(B145&lt;&gt;"")+--(C145&lt;&gt;"")+--(D145&lt;&gt;"")+--(E145&lt;&gt;"")+--(F145&lt;&gt;"")+--(G145&lt;&gt;"")+--(H145&lt;&gt;"")+--(I145&lt;&gt;"")+--(N145&lt;&gt;"")+--(O145&lt;&gt;"")+--(P145&lt;&gt;""))/11)</f>
        <v/>
      </c>
    </row>
    <row r="146">
      <c r="A146" s="7">
        <f>IF(B146="","",TEXT(B146,"yyyymmdd")&amp;"-"&amp;TEXT(ROW()-1,"000"))</f>
        <v/>
      </c>
      <c r="B146" s="8" t="n"/>
      <c r="C146" s="9" t="n"/>
      <c r="D146" s="9" t="n"/>
      <c r="E146" s="9" t="n"/>
      <c r="F146" s="9" t="n"/>
      <c r="G146" s="9" t="n"/>
      <c r="H146" s="9" t="n"/>
      <c r="I146" s="10" t="n"/>
      <c r="J146" s="11" t="n"/>
      <c r="K146" s="12" t="n"/>
      <c r="L146" s="11" t="n"/>
      <c r="M146" s="12" t="n"/>
      <c r="N146" s="9" t="n"/>
      <c r="O146" s="9" t="n"/>
      <c r="P146" s="10" t="n"/>
      <c r="Q146" s="11" t="n"/>
      <c r="R146" s="12" t="n"/>
      <c r="S146" s="12" t="n"/>
      <c r="T146" s="13">
        <f>IF(B146="","",B146+3)</f>
        <v/>
      </c>
      <c r="U146" s="13">
        <f>IF(B146="","",B146+5)</f>
        <v/>
      </c>
      <c r="V146" s="13">
        <f>IF(B146="","",B146+10)</f>
        <v/>
      </c>
      <c r="W146" s="14">
        <f>IF(B146="","",(--(B146&lt;&gt;"")+--(C146&lt;&gt;"")+--(D146&lt;&gt;"")+--(E146&lt;&gt;"")+--(F146&lt;&gt;"")+--(G146&lt;&gt;"")+--(H146&lt;&gt;"")+--(I146&lt;&gt;"")+--(N146&lt;&gt;"")+--(O146&lt;&gt;"")+--(P146&lt;&gt;""))/11)</f>
        <v/>
      </c>
    </row>
    <row r="147">
      <c r="A147" s="7">
        <f>IF(B147="","",TEXT(B147,"yyyymmdd")&amp;"-"&amp;TEXT(ROW()-1,"000"))</f>
        <v/>
      </c>
      <c r="B147" s="8" t="n"/>
      <c r="C147" s="9" t="n"/>
      <c r="D147" s="9" t="n"/>
      <c r="E147" s="9" t="n"/>
      <c r="F147" s="9" t="n"/>
      <c r="G147" s="9" t="n"/>
      <c r="H147" s="9" t="n"/>
      <c r="I147" s="10" t="n"/>
      <c r="J147" s="11" t="n"/>
      <c r="K147" s="12" t="n"/>
      <c r="L147" s="11" t="n"/>
      <c r="M147" s="12" t="n"/>
      <c r="N147" s="9" t="n"/>
      <c r="O147" s="9" t="n"/>
      <c r="P147" s="10" t="n"/>
      <c r="Q147" s="11" t="n"/>
      <c r="R147" s="12" t="n"/>
      <c r="S147" s="12" t="n"/>
      <c r="T147" s="13">
        <f>IF(B147="","",B147+3)</f>
        <v/>
      </c>
      <c r="U147" s="13">
        <f>IF(B147="","",B147+5)</f>
        <v/>
      </c>
      <c r="V147" s="13">
        <f>IF(B147="","",B147+10)</f>
        <v/>
      </c>
      <c r="W147" s="14">
        <f>IF(B147="","",(--(B147&lt;&gt;"")+--(C147&lt;&gt;"")+--(D147&lt;&gt;"")+--(E147&lt;&gt;"")+--(F147&lt;&gt;"")+--(G147&lt;&gt;"")+--(H147&lt;&gt;"")+--(I147&lt;&gt;"")+--(N147&lt;&gt;"")+--(O147&lt;&gt;"")+--(P147&lt;&gt;""))/11)</f>
        <v/>
      </c>
    </row>
    <row r="148">
      <c r="A148" s="7">
        <f>IF(B148="","",TEXT(B148,"yyyymmdd")&amp;"-"&amp;TEXT(ROW()-1,"000"))</f>
        <v/>
      </c>
      <c r="B148" s="8" t="n"/>
      <c r="C148" s="9" t="n"/>
      <c r="D148" s="9" t="n"/>
      <c r="E148" s="9" t="n"/>
      <c r="F148" s="9" t="n"/>
      <c r="G148" s="9" t="n"/>
      <c r="H148" s="9" t="n"/>
      <c r="I148" s="10" t="n"/>
      <c r="J148" s="11" t="n"/>
      <c r="K148" s="12" t="n"/>
      <c r="L148" s="11" t="n"/>
      <c r="M148" s="12" t="n"/>
      <c r="N148" s="9" t="n"/>
      <c r="O148" s="9" t="n"/>
      <c r="P148" s="10" t="n"/>
      <c r="Q148" s="11" t="n"/>
      <c r="R148" s="12" t="n"/>
      <c r="S148" s="12" t="n"/>
      <c r="T148" s="13">
        <f>IF(B148="","",B148+3)</f>
        <v/>
      </c>
      <c r="U148" s="13">
        <f>IF(B148="","",B148+5)</f>
        <v/>
      </c>
      <c r="V148" s="13">
        <f>IF(B148="","",B148+10)</f>
        <v/>
      </c>
      <c r="W148" s="14">
        <f>IF(B148="","",(--(B148&lt;&gt;"")+--(C148&lt;&gt;"")+--(D148&lt;&gt;"")+--(E148&lt;&gt;"")+--(F148&lt;&gt;"")+--(G148&lt;&gt;"")+--(H148&lt;&gt;"")+--(I148&lt;&gt;"")+--(N148&lt;&gt;"")+--(O148&lt;&gt;"")+--(P148&lt;&gt;""))/11)</f>
        <v/>
      </c>
    </row>
    <row r="149">
      <c r="A149" s="7">
        <f>IF(B149="","",TEXT(B149,"yyyymmdd")&amp;"-"&amp;TEXT(ROW()-1,"000"))</f>
        <v/>
      </c>
      <c r="B149" s="8" t="n"/>
      <c r="C149" s="9" t="n"/>
      <c r="D149" s="9" t="n"/>
      <c r="E149" s="9" t="n"/>
      <c r="F149" s="9" t="n"/>
      <c r="G149" s="9" t="n"/>
      <c r="H149" s="9" t="n"/>
      <c r="I149" s="10" t="n"/>
      <c r="J149" s="11" t="n"/>
      <c r="K149" s="12" t="n"/>
      <c r="L149" s="11" t="n"/>
      <c r="M149" s="12" t="n"/>
      <c r="N149" s="9" t="n"/>
      <c r="O149" s="9" t="n"/>
      <c r="P149" s="10" t="n"/>
      <c r="Q149" s="11" t="n"/>
      <c r="R149" s="12" t="n"/>
      <c r="S149" s="12" t="n"/>
      <c r="T149" s="13">
        <f>IF(B149="","",B149+3)</f>
        <v/>
      </c>
      <c r="U149" s="13">
        <f>IF(B149="","",B149+5)</f>
        <v/>
      </c>
      <c r="V149" s="13">
        <f>IF(B149="","",B149+10)</f>
        <v/>
      </c>
      <c r="W149" s="14">
        <f>IF(B149="","",(--(B149&lt;&gt;"")+--(C149&lt;&gt;"")+--(D149&lt;&gt;"")+--(E149&lt;&gt;"")+--(F149&lt;&gt;"")+--(G149&lt;&gt;"")+--(H149&lt;&gt;"")+--(I149&lt;&gt;"")+--(N149&lt;&gt;"")+--(O149&lt;&gt;"")+--(P149&lt;&gt;""))/11)</f>
        <v/>
      </c>
    </row>
    <row r="150">
      <c r="A150" s="7">
        <f>IF(B150="","",TEXT(B150,"yyyymmdd")&amp;"-"&amp;TEXT(ROW()-1,"000"))</f>
        <v/>
      </c>
      <c r="B150" s="8" t="n"/>
      <c r="C150" s="9" t="n"/>
      <c r="D150" s="9" t="n"/>
      <c r="E150" s="9" t="n"/>
      <c r="F150" s="9" t="n"/>
      <c r="G150" s="9" t="n"/>
      <c r="H150" s="9" t="n"/>
      <c r="I150" s="10" t="n"/>
      <c r="J150" s="11" t="n"/>
      <c r="K150" s="12" t="n"/>
      <c r="L150" s="11" t="n"/>
      <c r="M150" s="12" t="n"/>
      <c r="N150" s="9" t="n"/>
      <c r="O150" s="9" t="n"/>
      <c r="P150" s="10" t="n"/>
      <c r="Q150" s="11" t="n"/>
      <c r="R150" s="12" t="n"/>
      <c r="S150" s="12" t="n"/>
      <c r="T150" s="13">
        <f>IF(B150="","",B150+3)</f>
        <v/>
      </c>
      <c r="U150" s="13">
        <f>IF(B150="","",B150+5)</f>
        <v/>
      </c>
      <c r="V150" s="13">
        <f>IF(B150="","",B150+10)</f>
        <v/>
      </c>
      <c r="W150" s="14">
        <f>IF(B150="","",(--(B150&lt;&gt;"")+--(C150&lt;&gt;"")+--(D150&lt;&gt;"")+--(E150&lt;&gt;"")+--(F150&lt;&gt;"")+--(G150&lt;&gt;"")+--(H150&lt;&gt;"")+--(I150&lt;&gt;"")+--(N150&lt;&gt;"")+--(O150&lt;&gt;"")+--(P150&lt;&gt;""))/11)</f>
        <v/>
      </c>
    </row>
    <row r="151">
      <c r="A151" s="7">
        <f>IF(B151="","",TEXT(B151,"yyyymmdd")&amp;"-"&amp;TEXT(ROW()-1,"000"))</f>
        <v/>
      </c>
      <c r="B151" s="8" t="n"/>
      <c r="C151" s="9" t="n"/>
      <c r="D151" s="9" t="n"/>
      <c r="E151" s="9" t="n"/>
      <c r="F151" s="9" t="n"/>
      <c r="G151" s="9" t="n"/>
      <c r="H151" s="9" t="n"/>
      <c r="I151" s="10" t="n"/>
      <c r="J151" s="11" t="n"/>
      <c r="K151" s="12" t="n"/>
      <c r="L151" s="11" t="n"/>
      <c r="M151" s="12" t="n"/>
      <c r="N151" s="9" t="n"/>
      <c r="O151" s="9" t="n"/>
      <c r="P151" s="10" t="n"/>
      <c r="Q151" s="11" t="n"/>
      <c r="R151" s="12" t="n"/>
      <c r="S151" s="12" t="n"/>
      <c r="T151" s="13">
        <f>IF(B151="","",B151+3)</f>
        <v/>
      </c>
      <c r="U151" s="13">
        <f>IF(B151="","",B151+5)</f>
        <v/>
      </c>
      <c r="V151" s="13">
        <f>IF(B151="","",B151+10)</f>
        <v/>
      </c>
      <c r="W151" s="14">
        <f>IF(B151="","",(--(B151&lt;&gt;"")+--(C151&lt;&gt;"")+--(D151&lt;&gt;"")+--(E151&lt;&gt;"")+--(F151&lt;&gt;"")+--(G151&lt;&gt;"")+--(H151&lt;&gt;"")+--(I151&lt;&gt;"")+--(N151&lt;&gt;"")+--(O151&lt;&gt;"")+--(P151&lt;&gt;""))/11)</f>
        <v/>
      </c>
    </row>
    <row r="152">
      <c r="A152" s="7">
        <f>IF(B152="","",TEXT(B152,"yyyymmdd")&amp;"-"&amp;TEXT(ROW()-1,"000"))</f>
        <v/>
      </c>
      <c r="B152" s="8" t="n"/>
      <c r="C152" s="9" t="n"/>
      <c r="D152" s="9" t="n"/>
      <c r="E152" s="9" t="n"/>
      <c r="F152" s="9" t="n"/>
      <c r="G152" s="9" t="n"/>
      <c r="H152" s="9" t="n"/>
      <c r="I152" s="10" t="n"/>
      <c r="J152" s="11" t="n"/>
      <c r="K152" s="12" t="n"/>
      <c r="L152" s="11" t="n"/>
      <c r="M152" s="12" t="n"/>
      <c r="N152" s="9" t="n"/>
      <c r="O152" s="9" t="n"/>
      <c r="P152" s="10" t="n"/>
      <c r="Q152" s="11" t="n"/>
      <c r="R152" s="12" t="n"/>
      <c r="S152" s="12" t="n"/>
      <c r="T152" s="13">
        <f>IF(B152="","",B152+3)</f>
        <v/>
      </c>
      <c r="U152" s="13">
        <f>IF(B152="","",B152+5)</f>
        <v/>
      </c>
      <c r="V152" s="13">
        <f>IF(B152="","",B152+10)</f>
        <v/>
      </c>
      <c r="W152" s="14">
        <f>IF(B152="","",(--(B152&lt;&gt;"")+--(C152&lt;&gt;"")+--(D152&lt;&gt;"")+--(E152&lt;&gt;"")+--(F152&lt;&gt;"")+--(G152&lt;&gt;"")+--(H152&lt;&gt;"")+--(I152&lt;&gt;"")+--(N152&lt;&gt;"")+--(O152&lt;&gt;"")+--(P152&lt;&gt;""))/11)</f>
        <v/>
      </c>
    </row>
    <row r="153">
      <c r="A153" s="7">
        <f>IF(B153="","",TEXT(B153,"yyyymmdd")&amp;"-"&amp;TEXT(ROW()-1,"000"))</f>
        <v/>
      </c>
      <c r="B153" s="8" t="n"/>
      <c r="C153" s="9" t="n"/>
      <c r="D153" s="9" t="n"/>
      <c r="E153" s="9" t="n"/>
      <c r="F153" s="9" t="n"/>
      <c r="G153" s="9" t="n"/>
      <c r="H153" s="9" t="n"/>
      <c r="I153" s="10" t="n"/>
      <c r="J153" s="11" t="n"/>
      <c r="K153" s="12" t="n"/>
      <c r="L153" s="11" t="n"/>
      <c r="M153" s="12" t="n"/>
      <c r="N153" s="9" t="n"/>
      <c r="O153" s="9" t="n"/>
      <c r="P153" s="10" t="n"/>
      <c r="Q153" s="11" t="n"/>
      <c r="R153" s="12" t="n"/>
      <c r="S153" s="12" t="n"/>
      <c r="T153" s="13">
        <f>IF(B153="","",B153+3)</f>
        <v/>
      </c>
      <c r="U153" s="13">
        <f>IF(B153="","",B153+5)</f>
        <v/>
      </c>
      <c r="V153" s="13">
        <f>IF(B153="","",B153+10)</f>
        <v/>
      </c>
      <c r="W153" s="14">
        <f>IF(B153="","",(--(B153&lt;&gt;"")+--(C153&lt;&gt;"")+--(D153&lt;&gt;"")+--(E153&lt;&gt;"")+--(F153&lt;&gt;"")+--(G153&lt;&gt;"")+--(H153&lt;&gt;"")+--(I153&lt;&gt;"")+--(N153&lt;&gt;"")+--(O153&lt;&gt;"")+--(P153&lt;&gt;""))/11)</f>
        <v/>
      </c>
    </row>
    <row r="154">
      <c r="A154" s="7">
        <f>IF(B154="","",TEXT(B154,"yyyymmdd")&amp;"-"&amp;TEXT(ROW()-1,"000"))</f>
        <v/>
      </c>
      <c r="B154" s="8" t="n"/>
      <c r="C154" s="9" t="n"/>
      <c r="D154" s="9" t="n"/>
      <c r="E154" s="9" t="n"/>
      <c r="F154" s="9" t="n"/>
      <c r="G154" s="9" t="n"/>
      <c r="H154" s="9" t="n"/>
      <c r="I154" s="10" t="n"/>
      <c r="J154" s="11" t="n"/>
      <c r="K154" s="12" t="n"/>
      <c r="L154" s="11" t="n"/>
      <c r="M154" s="12" t="n"/>
      <c r="N154" s="9" t="n"/>
      <c r="O154" s="9" t="n"/>
      <c r="P154" s="10" t="n"/>
      <c r="Q154" s="11" t="n"/>
      <c r="R154" s="12" t="n"/>
      <c r="S154" s="12" t="n"/>
      <c r="T154" s="13">
        <f>IF(B154="","",B154+3)</f>
        <v/>
      </c>
      <c r="U154" s="13">
        <f>IF(B154="","",B154+5)</f>
        <v/>
      </c>
      <c r="V154" s="13">
        <f>IF(B154="","",B154+10)</f>
        <v/>
      </c>
      <c r="W154" s="14">
        <f>IF(B154="","",(--(B154&lt;&gt;"")+--(C154&lt;&gt;"")+--(D154&lt;&gt;"")+--(E154&lt;&gt;"")+--(F154&lt;&gt;"")+--(G154&lt;&gt;"")+--(H154&lt;&gt;"")+--(I154&lt;&gt;"")+--(N154&lt;&gt;"")+--(O154&lt;&gt;"")+--(P154&lt;&gt;""))/11)</f>
        <v/>
      </c>
    </row>
    <row r="155">
      <c r="A155" s="7">
        <f>IF(B155="","",TEXT(B155,"yyyymmdd")&amp;"-"&amp;TEXT(ROW()-1,"000"))</f>
        <v/>
      </c>
      <c r="B155" s="8" t="n"/>
      <c r="C155" s="9" t="n"/>
      <c r="D155" s="9" t="n"/>
      <c r="E155" s="9" t="n"/>
      <c r="F155" s="9" t="n"/>
      <c r="G155" s="9" t="n"/>
      <c r="H155" s="9" t="n"/>
      <c r="I155" s="10" t="n"/>
      <c r="J155" s="11" t="n"/>
      <c r="K155" s="12" t="n"/>
      <c r="L155" s="11" t="n"/>
      <c r="M155" s="12" t="n"/>
      <c r="N155" s="9" t="n"/>
      <c r="O155" s="9" t="n"/>
      <c r="P155" s="10" t="n"/>
      <c r="Q155" s="11" t="n"/>
      <c r="R155" s="12" t="n"/>
      <c r="S155" s="12" t="n"/>
      <c r="T155" s="13">
        <f>IF(B155="","",B155+3)</f>
        <v/>
      </c>
      <c r="U155" s="13">
        <f>IF(B155="","",B155+5)</f>
        <v/>
      </c>
      <c r="V155" s="13">
        <f>IF(B155="","",B155+10)</f>
        <v/>
      </c>
      <c r="W155" s="14">
        <f>IF(B155="","",(--(B155&lt;&gt;"")+--(C155&lt;&gt;"")+--(D155&lt;&gt;"")+--(E155&lt;&gt;"")+--(F155&lt;&gt;"")+--(G155&lt;&gt;"")+--(H155&lt;&gt;"")+--(I155&lt;&gt;"")+--(N155&lt;&gt;"")+--(O155&lt;&gt;"")+--(P155&lt;&gt;""))/11)</f>
        <v/>
      </c>
    </row>
    <row r="156">
      <c r="A156" s="7">
        <f>IF(B156="","",TEXT(B156,"yyyymmdd")&amp;"-"&amp;TEXT(ROW()-1,"000"))</f>
        <v/>
      </c>
      <c r="B156" s="8" t="n"/>
      <c r="C156" s="9" t="n"/>
      <c r="D156" s="9" t="n"/>
      <c r="E156" s="9" t="n"/>
      <c r="F156" s="9" t="n"/>
      <c r="G156" s="9" t="n"/>
      <c r="H156" s="9" t="n"/>
      <c r="I156" s="10" t="n"/>
      <c r="J156" s="11" t="n"/>
      <c r="K156" s="12" t="n"/>
      <c r="L156" s="11" t="n"/>
      <c r="M156" s="12" t="n"/>
      <c r="N156" s="9" t="n"/>
      <c r="O156" s="9" t="n"/>
      <c r="P156" s="10" t="n"/>
      <c r="Q156" s="11" t="n"/>
      <c r="R156" s="12" t="n"/>
      <c r="S156" s="12" t="n"/>
      <c r="T156" s="13">
        <f>IF(B156="","",B156+3)</f>
        <v/>
      </c>
      <c r="U156" s="13">
        <f>IF(B156="","",B156+5)</f>
        <v/>
      </c>
      <c r="V156" s="13">
        <f>IF(B156="","",B156+10)</f>
        <v/>
      </c>
      <c r="W156" s="14">
        <f>IF(B156="","",(--(B156&lt;&gt;"")+--(C156&lt;&gt;"")+--(D156&lt;&gt;"")+--(E156&lt;&gt;"")+--(F156&lt;&gt;"")+--(G156&lt;&gt;"")+--(H156&lt;&gt;"")+--(I156&lt;&gt;"")+--(N156&lt;&gt;"")+--(O156&lt;&gt;"")+--(P156&lt;&gt;""))/11)</f>
        <v/>
      </c>
    </row>
    <row r="157">
      <c r="A157" s="7">
        <f>IF(B157="","",TEXT(B157,"yyyymmdd")&amp;"-"&amp;TEXT(ROW()-1,"000"))</f>
        <v/>
      </c>
      <c r="B157" s="8" t="n"/>
      <c r="C157" s="9" t="n"/>
      <c r="D157" s="9" t="n"/>
      <c r="E157" s="9" t="n"/>
      <c r="F157" s="9" t="n"/>
      <c r="G157" s="9" t="n"/>
      <c r="H157" s="9" t="n"/>
      <c r="I157" s="10" t="n"/>
      <c r="J157" s="11" t="n"/>
      <c r="K157" s="12" t="n"/>
      <c r="L157" s="11" t="n"/>
      <c r="M157" s="12" t="n"/>
      <c r="N157" s="9" t="n"/>
      <c r="O157" s="9" t="n"/>
      <c r="P157" s="10" t="n"/>
      <c r="Q157" s="11" t="n"/>
      <c r="R157" s="12" t="n"/>
      <c r="S157" s="12" t="n"/>
      <c r="T157" s="13">
        <f>IF(B157="","",B157+3)</f>
        <v/>
      </c>
      <c r="U157" s="13">
        <f>IF(B157="","",B157+5)</f>
        <v/>
      </c>
      <c r="V157" s="13">
        <f>IF(B157="","",B157+10)</f>
        <v/>
      </c>
      <c r="W157" s="14">
        <f>IF(B157="","",(--(B157&lt;&gt;"")+--(C157&lt;&gt;"")+--(D157&lt;&gt;"")+--(E157&lt;&gt;"")+--(F157&lt;&gt;"")+--(G157&lt;&gt;"")+--(H157&lt;&gt;"")+--(I157&lt;&gt;"")+--(N157&lt;&gt;"")+--(O157&lt;&gt;"")+--(P157&lt;&gt;""))/11)</f>
        <v/>
      </c>
    </row>
    <row r="158">
      <c r="A158" s="7">
        <f>IF(B158="","",TEXT(B158,"yyyymmdd")&amp;"-"&amp;TEXT(ROW()-1,"000"))</f>
        <v/>
      </c>
      <c r="B158" s="8" t="n"/>
      <c r="C158" s="9" t="n"/>
      <c r="D158" s="9" t="n"/>
      <c r="E158" s="9" t="n"/>
      <c r="F158" s="9" t="n"/>
      <c r="G158" s="9" t="n"/>
      <c r="H158" s="9" t="n"/>
      <c r="I158" s="10" t="n"/>
      <c r="J158" s="11" t="n"/>
      <c r="K158" s="12" t="n"/>
      <c r="L158" s="11" t="n"/>
      <c r="M158" s="12" t="n"/>
      <c r="N158" s="9" t="n"/>
      <c r="O158" s="9" t="n"/>
      <c r="P158" s="10" t="n"/>
      <c r="Q158" s="11" t="n"/>
      <c r="R158" s="12" t="n"/>
      <c r="S158" s="12" t="n"/>
      <c r="T158" s="13">
        <f>IF(B158="","",B158+3)</f>
        <v/>
      </c>
      <c r="U158" s="13">
        <f>IF(B158="","",B158+5)</f>
        <v/>
      </c>
      <c r="V158" s="13">
        <f>IF(B158="","",B158+10)</f>
        <v/>
      </c>
      <c r="W158" s="14">
        <f>IF(B158="","",(--(B158&lt;&gt;"")+--(C158&lt;&gt;"")+--(D158&lt;&gt;"")+--(E158&lt;&gt;"")+--(F158&lt;&gt;"")+--(G158&lt;&gt;"")+--(H158&lt;&gt;"")+--(I158&lt;&gt;"")+--(N158&lt;&gt;"")+--(O158&lt;&gt;"")+--(P158&lt;&gt;""))/11)</f>
        <v/>
      </c>
    </row>
    <row r="159">
      <c r="A159" s="7">
        <f>IF(B159="","",TEXT(B159,"yyyymmdd")&amp;"-"&amp;TEXT(ROW()-1,"000"))</f>
        <v/>
      </c>
      <c r="B159" s="8" t="n"/>
      <c r="C159" s="9" t="n"/>
      <c r="D159" s="9" t="n"/>
      <c r="E159" s="9" t="n"/>
      <c r="F159" s="9" t="n"/>
      <c r="G159" s="9" t="n"/>
      <c r="H159" s="9" t="n"/>
      <c r="I159" s="10" t="n"/>
      <c r="J159" s="11" t="n"/>
      <c r="K159" s="12" t="n"/>
      <c r="L159" s="11" t="n"/>
      <c r="M159" s="12" t="n"/>
      <c r="N159" s="9" t="n"/>
      <c r="O159" s="9" t="n"/>
      <c r="P159" s="10" t="n"/>
      <c r="Q159" s="11" t="n"/>
      <c r="R159" s="12" t="n"/>
      <c r="S159" s="12" t="n"/>
      <c r="T159" s="13">
        <f>IF(B159="","",B159+3)</f>
        <v/>
      </c>
      <c r="U159" s="13">
        <f>IF(B159="","",B159+5)</f>
        <v/>
      </c>
      <c r="V159" s="13">
        <f>IF(B159="","",B159+10)</f>
        <v/>
      </c>
      <c r="W159" s="14">
        <f>IF(B159="","",(--(B159&lt;&gt;"")+--(C159&lt;&gt;"")+--(D159&lt;&gt;"")+--(E159&lt;&gt;"")+--(F159&lt;&gt;"")+--(G159&lt;&gt;"")+--(H159&lt;&gt;"")+--(I159&lt;&gt;"")+--(N159&lt;&gt;"")+--(O159&lt;&gt;"")+--(P159&lt;&gt;""))/11)</f>
        <v/>
      </c>
    </row>
    <row r="160">
      <c r="A160" s="7">
        <f>IF(B160="","",TEXT(B160,"yyyymmdd")&amp;"-"&amp;TEXT(ROW()-1,"000"))</f>
        <v/>
      </c>
      <c r="B160" s="8" t="n"/>
      <c r="C160" s="9" t="n"/>
      <c r="D160" s="9" t="n"/>
      <c r="E160" s="9" t="n"/>
      <c r="F160" s="9" t="n"/>
      <c r="G160" s="9" t="n"/>
      <c r="H160" s="9" t="n"/>
      <c r="I160" s="10" t="n"/>
      <c r="J160" s="11" t="n"/>
      <c r="K160" s="12" t="n"/>
      <c r="L160" s="11" t="n"/>
      <c r="M160" s="12" t="n"/>
      <c r="N160" s="9" t="n"/>
      <c r="O160" s="9" t="n"/>
      <c r="P160" s="10" t="n"/>
      <c r="Q160" s="11" t="n"/>
      <c r="R160" s="12" t="n"/>
      <c r="S160" s="12" t="n"/>
      <c r="T160" s="13">
        <f>IF(B160="","",B160+3)</f>
        <v/>
      </c>
      <c r="U160" s="13">
        <f>IF(B160="","",B160+5)</f>
        <v/>
      </c>
      <c r="V160" s="13">
        <f>IF(B160="","",B160+10)</f>
        <v/>
      </c>
      <c r="W160" s="14">
        <f>IF(B160="","",(--(B160&lt;&gt;"")+--(C160&lt;&gt;"")+--(D160&lt;&gt;"")+--(E160&lt;&gt;"")+--(F160&lt;&gt;"")+--(G160&lt;&gt;"")+--(H160&lt;&gt;"")+--(I160&lt;&gt;"")+--(N160&lt;&gt;"")+--(O160&lt;&gt;"")+--(P160&lt;&gt;""))/11)</f>
        <v/>
      </c>
    </row>
    <row r="161">
      <c r="A161" s="7">
        <f>IF(B161="","",TEXT(B161,"yyyymmdd")&amp;"-"&amp;TEXT(ROW()-1,"000"))</f>
        <v/>
      </c>
      <c r="B161" s="8" t="n"/>
      <c r="C161" s="9" t="n"/>
      <c r="D161" s="9" t="n"/>
      <c r="E161" s="9" t="n"/>
      <c r="F161" s="9" t="n"/>
      <c r="G161" s="9" t="n"/>
      <c r="H161" s="9" t="n"/>
      <c r="I161" s="10" t="n"/>
      <c r="J161" s="11" t="n"/>
      <c r="K161" s="12" t="n"/>
      <c r="L161" s="11" t="n"/>
      <c r="M161" s="12" t="n"/>
      <c r="N161" s="9" t="n"/>
      <c r="O161" s="9" t="n"/>
      <c r="P161" s="10" t="n"/>
      <c r="Q161" s="11" t="n"/>
      <c r="R161" s="12" t="n"/>
      <c r="S161" s="12" t="n"/>
      <c r="T161" s="13">
        <f>IF(B161="","",B161+3)</f>
        <v/>
      </c>
      <c r="U161" s="13">
        <f>IF(B161="","",B161+5)</f>
        <v/>
      </c>
      <c r="V161" s="13">
        <f>IF(B161="","",B161+10)</f>
        <v/>
      </c>
      <c r="W161" s="14">
        <f>IF(B161="","",(--(B161&lt;&gt;"")+--(C161&lt;&gt;"")+--(D161&lt;&gt;"")+--(E161&lt;&gt;"")+--(F161&lt;&gt;"")+--(G161&lt;&gt;"")+--(H161&lt;&gt;"")+--(I161&lt;&gt;"")+--(N161&lt;&gt;"")+--(O161&lt;&gt;"")+--(P161&lt;&gt;""))/11)</f>
        <v/>
      </c>
    </row>
    <row r="162">
      <c r="A162" s="7">
        <f>IF(B162="","",TEXT(B162,"yyyymmdd")&amp;"-"&amp;TEXT(ROW()-1,"000"))</f>
        <v/>
      </c>
      <c r="B162" s="8" t="n"/>
      <c r="C162" s="9" t="n"/>
      <c r="D162" s="9" t="n"/>
      <c r="E162" s="9" t="n"/>
      <c r="F162" s="9" t="n"/>
      <c r="G162" s="9" t="n"/>
      <c r="H162" s="9" t="n"/>
      <c r="I162" s="10" t="n"/>
      <c r="J162" s="11" t="n"/>
      <c r="K162" s="12" t="n"/>
      <c r="L162" s="11" t="n"/>
      <c r="M162" s="12" t="n"/>
      <c r="N162" s="9" t="n"/>
      <c r="O162" s="9" t="n"/>
      <c r="P162" s="10" t="n"/>
      <c r="Q162" s="11" t="n"/>
      <c r="R162" s="12" t="n"/>
      <c r="S162" s="12" t="n"/>
      <c r="T162" s="13">
        <f>IF(B162="","",B162+3)</f>
        <v/>
      </c>
      <c r="U162" s="13">
        <f>IF(B162="","",B162+5)</f>
        <v/>
      </c>
      <c r="V162" s="13">
        <f>IF(B162="","",B162+10)</f>
        <v/>
      </c>
      <c r="W162" s="14">
        <f>IF(B162="","",(--(B162&lt;&gt;"")+--(C162&lt;&gt;"")+--(D162&lt;&gt;"")+--(E162&lt;&gt;"")+--(F162&lt;&gt;"")+--(G162&lt;&gt;"")+--(H162&lt;&gt;"")+--(I162&lt;&gt;"")+--(N162&lt;&gt;"")+--(O162&lt;&gt;"")+--(P162&lt;&gt;""))/11)</f>
        <v/>
      </c>
    </row>
    <row r="163">
      <c r="A163" s="7">
        <f>IF(B163="","",TEXT(B163,"yyyymmdd")&amp;"-"&amp;TEXT(ROW()-1,"000"))</f>
        <v/>
      </c>
      <c r="B163" s="8" t="n"/>
      <c r="C163" s="9" t="n"/>
      <c r="D163" s="9" t="n"/>
      <c r="E163" s="9" t="n"/>
      <c r="F163" s="9" t="n"/>
      <c r="G163" s="9" t="n"/>
      <c r="H163" s="9" t="n"/>
      <c r="I163" s="10" t="n"/>
      <c r="J163" s="11" t="n"/>
      <c r="K163" s="12" t="n"/>
      <c r="L163" s="11" t="n"/>
      <c r="M163" s="12" t="n"/>
      <c r="N163" s="9" t="n"/>
      <c r="O163" s="9" t="n"/>
      <c r="P163" s="10" t="n"/>
      <c r="Q163" s="11" t="n"/>
      <c r="R163" s="12" t="n"/>
      <c r="S163" s="12" t="n"/>
      <c r="T163" s="13">
        <f>IF(B163="","",B163+3)</f>
        <v/>
      </c>
      <c r="U163" s="13">
        <f>IF(B163="","",B163+5)</f>
        <v/>
      </c>
      <c r="V163" s="13">
        <f>IF(B163="","",B163+10)</f>
        <v/>
      </c>
      <c r="W163" s="14">
        <f>IF(B163="","",(--(B163&lt;&gt;"")+--(C163&lt;&gt;"")+--(D163&lt;&gt;"")+--(E163&lt;&gt;"")+--(F163&lt;&gt;"")+--(G163&lt;&gt;"")+--(H163&lt;&gt;"")+--(I163&lt;&gt;"")+--(N163&lt;&gt;"")+--(O163&lt;&gt;"")+--(P163&lt;&gt;""))/11)</f>
        <v/>
      </c>
    </row>
    <row r="164">
      <c r="A164" s="7">
        <f>IF(B164="","",TEXT(B164,"yyyymmdd")&amp;"-"&amp;TEXT(ROW()-1,"000"))</f>
        <v/>
      </c>
      <c r="B164" s="8" t="n"/>
      <c r="C164" s="9" t="n"/>
      <c r="D164" s="9" t="n"/>
      <c r="E164" s="9" t="n"/>
      <c r="F164" s="9" t="n"/>
      <c r="G164" s="9" t="n"/>
      <c r="H164" s="9" t="n"/>
      <c r="I164" s="10" t="n"/>
      <c r="J164" s="11" t="n"/>
      <c r="K164" s="12" t="n"/>
      <c r="L164" s="11" t="n"/>
      <c r="M164" s="12" t="n"/>
      <c r="N164" s="9" t="n"/>
      <c r="O164" s="9" t="n"/>
      <c r="P164" s="10" t="n"/>
      <c r="Q164" s="11" t="n"/>
      <c r="R164" s="12" t="n"/>
      <c r="S164" s="12" t="n"/>
      <c r="T164" s="13">
        <f>IF(B164="","",B164+3)</f>
        <v/>
      </c>
      <c r="U164" s="13">
        <f>IF(B164="","",B164+5)</f>
        <v/>
      </c>
      <c r="V164" s="13">
        <f>IF(B164="","",B164+10)</f>
        <v/>
      </c>
      <c r="W164" s="14">
        <f>IF(B164="","",(--(B164&lt;&gt;"")+--(C164&lt;&gt;"")+--(D164&lt;&gt;"")+--(E164&lt;&gt;"")+--(F164&lt;&gt;"")+--(G164&lt;&gt;"")+--(H164&lt;&gt;"")+--(I164&lt;&gt;"")+--(N164&lt;&gt;"")+--(O164&lt;&gt;"")+--(P164&lt;&gt;""))/11)</f>
        <v/>
      </c>
    </row>
    <row r="165">
      <c r="A165" s="7">
        <f>IF(B165="","",TEXT(B165,"yyyymmdd")&amp;"-"&amp;TEXT(ROW()-1,"000"))</f>
        <v/>
      </c>
      <c r="B165" s="8" t="n"/>
      <c r="C165" s="9" t="n"/>
      <c r="D165" s="9" t="n"/>
      <c r="E165" s="9" t="n"/>
      <c r="F165" s="9" t="n"/>
      <c r="G165" s="9" t="n"/>
      <c r="H165" s="9" t="n"/>
      <c r="I165" s="10" t="n"/>
      <c r="J165" s="11" t="n"/>
      <c r="K165" s="12" t="n"/>
      <c r="L165" s="11" t="n"/>
      <c r="M165" s="12" t="n"/>
      <c r="N165" s="9" t="n"/>
      <c r="O165" s="9" t="n"/>
      <c r="P165" s="10" t="n"/>
      <c r="Q165" s="11" t="n"/>
      <c r="R165" s="12" t="n"/>
      <c r="S165" s="12" t="n"/>
      <c r="T165" s="13">
        <f>IF(B165="","",B165+3)</f>
        <v/>
      </c>
      <c r="U165" s="13">
        <f>IF(B165="","",B165+5)</f>
        <v/>
      </c>
      <c r="V165" s="13">
        <f>IF(B165="","",B165+10)</f>
        <v/>
      </c>
      <c r="W165" s="14">
        <f>IF(B165="","",(--(B165&lt;&gt;"")+--(C165&lt;&gt;"")+--(D165&lt;&gt;"")+--(E165&lt;&gt;"")+--(F165&lt;&gt;"")+--(G165&lt;&gt;"")+--(H165&lt;&gt;"")+--(I165&lt;&gt;"")+--(N165&lt;&gt;"")+--(O165&lt;&gt;"")+--(P165&lt;&gt;""))/11)</f>
        <v/>
      </c>
    </row>
    <row r="166">
      <c r="A166" s="7">
        <f>IF(B166="","",TEXT(B166,"yyyymmdd")&amp;"-"&amp;TEXT(ROW()-1,"000"))</f>
        <v/>
      </c>
      <c r="B166" s="8" t="n"/>
      <c r="C166" s="9" t="n"/>
      <c r="D166" s="9" t="n"/>
      <c r="E166" s="9" t="n"/>
      <c r="F166" s="9" t="n"/>
      <c r="G166" s="9" t="n"/>
      <c r="H166" s="9" t="n"/>
      <c r="I166" s="10" t="n"/>
      <c r="J166" s="11" t="n"/>
      <c r="K166" s="12" t="n"/>
      <c r="L166" s="11" t="n"/>
      <c r="M166" s="12" t="n"/>
      <c r="N166" s="9" t="n"/>
      <c r="O166" s="9" t="n"/>
      <c r="P166" s="10" t="n"/>
      <c r="Q166" s="11" t="n"/>
      <c r="R166" s="12" t="n"/>
      <c r="S166" s="12" t="n"/>
      <c r="T166" s="13">
        <f>IF(B166="","",B166+3)</f>
        <v/>
      </c>
      <c r="U166" s="13">
        <f>IF(B166="","",B166+5)</f>
        <v/>
      </c>
      <c r="V166" s="13">
        <f>IF(B166="","",B166+10)</f>
        <v/>
      </c>
      <c r="W166" s="14">
        <f>IF(B166="","",(--(B166&lt;&gt;"")+--(C166&lt;&gt;"")+--(D166&lt;&gt;"")+--(E166&lt;&gt;"")+--(F166&lt;&gt;"")+--(G166&lt;&gt;"")+--(H166&lt;&gt;"")+--(I166&lt;&gt;"")+--(N166&lt;&gt;"")+--(O166&lt;&gt;"")+--(P166&lt;&gt;""))/11)</f>
        <v/>
      </c>
    </row>
    <row r="167">
      <c r="A167" s="7">
        <f>IF(B167="","",TEXT(B167,"yyyymmdd")&amp;"-"&amp;TEXT(ROW()-1,"000"))</f>
        <v/>
      </c>
      <c r="B167" s="8" t="n"/>
      <c r="C167" s="9" t="n"/>
      <c r="D167" s="9" t="n"/>
      <c r="E167" s="9" t="n"/>
      <c r="F167" s="9" t="n"/>
      <c r="G167" s="9" t="n"/>
      <c r="H167" s="9" t="n"/>
      <c r="I167" s="10" t="n"/>
      <c r="J167" s="11" t="n"/>
      <c r="K167" s="12" t="n"/>
      <c r="L167" s="11" t="n"/>
      <c r="M167" s="12" t="n"/>
      <c r="N167" s="9" t="n"/>
      <c r="O167" s="9" t="n"/>
      <c r="P167" s="10" t="n"/>
      <c r="Q167" s="11" t="n"/>
      <c r="R167" s="12" t="n"/>
      <c r="S167" s="12" t="n"/>
      <c r="T167" s="13">
        <f>IF(B167="","",B167+3)</f>
        <v/>
      </c>
      <c r="U167" s="13">
        <f>IF(B167="","",B167+5)</f>
        <v/>
      </c>
      <c r="V167" s="13">
        <f>IF(B167="","",B167+10)</f>
        <v/>
      </c>
      <c r="W167" s="14">
        <f>IF(B167="","",(--(B167&lt;&gt;"")+--(C167&lt;&gt;"")+--(D167&lt;&gt;"")+--(E167&lt;&gt;"")+--(F167&lt;&gt;"")+--(G167&lt;&gt;"")+--(H167&lt;&gt;"")+--(I167&lt;&gt;"")+--(N167&lt;&gt;"")+--(O167&lt;&gt;"")+--(P167&lt;&gt;""))/11)</f>
        <v/>
      </c>
    </row>
    <row r="168">
      <c r="A168" s="7">
        <f>IF(B168="","",TEXT(B168,"yyyymmdd")&amp;"-"&amp;TEXT(ROW()-1,"000"))</f>
        <v/>
      </c>
      <c r="B168" s="8" t="n"/>
      <c r="C168" s="9" t="n"/>
      <c r="D168" s="9" t="n"/>
      <c r="E168" s="9" t="n"/>
      <c r="F168" s="9" t="n"/>
      <c r="G168" s="9" t="n"/>
      <c r="H168" s="9" t="n"/>
      <c r="I168" s="10" t="n"/>
      <c r="J168" s="11" t="n"/>
      <c r="K168" s="12" t="n"/>
      <c r="L168" s="11" t="n"/>
      <c r="M168" s="12" t="n"/>
      <c r="N168" s="9" t="n"/>
      <c r="O168" s="9" t="n"/>
      <c r="P168" s="10" t="n"/>
      <c r="Q168" s="11" t="n"/>
      <c r="R168" s="12" t="n"/>
      <c r="S168" s="12" t="n"/>
      <c r="T168" s="13">
        <f>IF(B168="","",B168+3)</f>
        <v/>
      </c>
      <c r="U168" s="13">
        <f>IF(B168="","",B168+5)</f>
        <v/>
      </c>
      <c r="V168" s="13">
        <f>IF(B168="","",B168+10)</f>
        <v/>
      </c>
      <c r="W168" s="14">
        <f>IF(B168="","",(--(B168&lt;&gt;"")+--(C168&lt;&gt;"")+--(D168&lt;&gt;"")+--(E168&lt;&gt;"")+--(F168&lt;&gt;"")+--(G168&lt;&gt;"")+--(H168&lt;&gt;"")+--(I168&lt;&gt;"")+--(N168&lt;&gt;"")+--(O168&lt;&gt;"")+--(P168&lt;&gt;""))/11)</f>
        <v/>
      </c>
    </row>
    <row r="169">
      <c r="A169" s="7">
        <f>IF(B169="","",TEXT(B169,"yyyymmdd")&amp;"-"&amp;TEXT(ROW()-1,"000"))</f>
        <v/>
      </c>
      <c r="B169" s="8" t="n"/>
      <c r="C169" s="9" t="n"/>
      <c r="D169" s="9" t="n"/>
      <c r="E169" s="9" t="n"/>
      <c r="F169" s="9" t="n"/>
      <c r="G169" s="9" t="n"/>
      <c r="H169" s="9" t="n"/>
      <c r="I169" s="10" t="n"/>
      <c r="J169" s="11" t="n"/>
      <c r="K169" s="12" t="n"/>
      <c r="L169" s="11" t="n"/>
      <c r="M169" s="12" t="n"/>
      <c r="N169" s="9" t="n"/>
      <c r="O169" s="9" t="n"/>
      <c r="P169" s="10" t="n"/>
      <c r="Q169" s="11" t="n"/>
      <c r="R169" s="12" t="n"/>
      <c r="S169" s="12" t="n"/>
      <c r="T169" s="13">
        <f>IF(B169="","",B169+3)</f>
        <v/>
      </c>
      <c r="U169" s="13">
        <f>IF(B169="","",B169+5)</f>
        <v/>
      </c>
      <c r="V169" s="13">
        <f>IF(B169="","",B169+10)</f>
        <v/>
      </c>
      <c r="W169" s="14">
        <f>IF(B169="","",(--(B169&lt;&gt;"")+--(C169&lt;&gt;"")+--(D169&lt;&gt;"")+--(E169&lt;&gt;"")+--(F169&lt;&gt;"")+--(G169&lt;&gt;"")+--(H169&lt;&gt;"")+--(I169&lt;&gt;"")+--(N169&lt;&gt;"")+--(O169&lt;&gt;"")+--(P169&lt;&gt;""))/11)</f>
        <v/>
      </c>
    </row>
    <row r="170">
      <c r="A170" s="7">
        <f>IF(B170="","",TEXT(B170,"yyyymmdd")&amp;"-"&amp;TEXT(ROW()-1,"000"))</f>
        <v/>
      </c>
      <c r="B170" s="8" t="n"/>
      <c r="C170" s="9" t="n"/>
      <c r="D170" s="9" t="n"/>
      <c r="E170" s="9" t="n"/>
      <c r="F170" s="9" t="n"/>
      <c r="G170" s="9" t="n"/>
      <c r="H170" s="9" t="n"/>
      <c r="I170" s="10" t="n"/>
      <c r="J170" s="11" t="n"/>
      <c r="K170" s="12" t="n"/>
      <c r="L170" s="11" t="n"/>
      <c r="M170" s="12" t="n"/>
      <c r="N170" s="9" t="n"/>
      <c r="O170" s="9" t="n"/>
      <c r="P170" s="10" t="n"/>
      <c r="Q170" s="11" t="n"/>
      <c r="R170" s="12" t="n"/>
      <c r="S170" s="12" t="n"/>
      <c r="T170" s="13">
        <f>IF(B170="","",B170+3)</f>
        <v/>
      </c>
      <c r="U170" s="13">
        <f>IF(B170="","",B170+5)</f>
        <v/>
      </c>
      <c r="V170" s="13">
        <f>IF(B170="","",B170+10)</f>
        <v/>
      </c>
      <c r="W170" s="14">
        <f>IF(B170="","",(--(B170&lt;&gt;"")+--(C170&lt;&gt;"")+--(D170&lt;&gt;"")+--(E170&lt;&gt;"")+--(F170&lt;&gt;"")+--(G170&lt;&gt;"")+--(H170&lt;&gt;"")+--(I170&lt;&gt;"")+--(N170&lt;&gt;"")+--(O170&lt;&gt;"")+--(P170&lt;&gt;""))/11)</f>
        <v/>
      </c>
    </row>
    <row r="171">
      <c r="A171" s="7">
        <f>IF(B171="","",TEXT(B171,"yyyymmdd")&amp;"-"&amp;TEXT(ROW()-1,"000"))</f>
        <v/>
      </c>
      <c r="B171" s="8" t="n"/>
      <c r="C171" s="9" t="n"/>
      <c r="D171" s="9" t="n"/>
      <c r="E171" s="9" t="n"/>
      <c r="F171" s="9" t="n"/>
      <c r="G171" s="9" t="n"/>
      <c r="H171" s="9" t="n"/>
      <c r="I171" s="10" t="n"/>
      <c r="J171" s="11" t="n"/>
      <c r="K171" s="12" t="n"/>
      <c r="L171" s="11" t="n"/>
      <c r="M171" s="12" t="n"/>
      <c r="N171" s="9" t="n"/>
      <c r="O171" s="9" t="n"/>
      <c r="P171" s="10" t="n"/>
      <c r="Q171" s="11" t="n"/>
      <c r="R171" s="12" t="n"/>
      <c r="S171" s="12" t="n"/>
      <c r="T171" s="13">
        <f>IF(B171="","",B171+3)</f>
        <v/>
      </c>
      <c r="U171" s="13">
        <f>IF(B171="","",B171+5)</f>
        <v/>
      </c>
      <c r="V171" s="13">
        <f>IF(B171="","",B171+10)</f>
        <v/>
      </c>
      <c r="W171" s="14">
        <f>IF(B171="","",(--(B171&lt;&gt;"")+--(C171&lt;&gt;"")+--(D171&lt;&gt;"")+--(E171&lt;&gt;"")+--(F171&lt;&gt;"")+--(G171&lt;&gt;"")+--(H171&lt;&gt;"")+--(I171&lt;&gt;"")+--(N171&lt;&gt;"")+--(O171&lt;&gt;"")+--(P171&lt;&gt;""))/11)</f>
        <v/>
      </c>
    </row>
    <row r="172">
      <c r="A172" s="7">
        <f>IF(B172="","",TEXT(B172,"yyyymmdd")&amp;"-"&amp;TEXT(ROW()-1,"000"))</f>
        <v/>
      </c>
      <c r="B172" s="8" t="n"/>
      <c r="C172" s="9" t="n"/>
      <c r="D172" s="9" t="n"/>
      <c r="E172" s="9" t="n"/>
      <c r="F172" s="9" t="n"/>
      <c r="G172" s="9" t="n"/>
      <c r="H172" s="9" t="n"/>
      <c r="I172" s="10" t="n"/>
      <c r="J172" s="11" t="n"/>
      <c r="K172" s="12" t="n"/>
      <c r="L172" s="11" t="n"/>
      <c r="M172" s="12" t="n"/>
      <c r="N172" s="9" t="n"/>
      <c r="O172" s="9" t="n"/>
      <c r="P172" s="10" t="n"/>
      <c r="Q172" s="11" t="n"/>
      <c r="R172" s="12" t="n"/>
      <c r="S172" s="12" t="n"/>
      <c r="T172" s="13">
        <f>IF(B172="","",B172+3)</f>
        <v/>
      </c>
      <c r="U172" s="13">
        <f>IF(B172="","",B172+5)</f>
        <v/>
      </c>
      <c r="V172" s="13">
        <f>IF(B172="","",B172+10)</f>
        <v/>
      </c>
      <c r="W172" s="14">
        <f>IF(B172="","",(--(B172&lt;&gt;"")+--(C172&lt;&gt;"")+--(D172&lt;&gt;"")+--(E172&lt;&gt;"")+--(F172&lt;&gt;"")+--(G172&lt;&gt;"")+--(H172&lt;&gt;"")+--(I172&lt;&gt;"")+--(N172&lt;&gt;"")+--(O172&lt;&gt;"")+--(P172&lt;&gt;""))/11)</f>
        <v/>
      </c>
    </row>
    <row r="173">
      <c r="A173" s="7">
        <f>IF(B173="","",TEXT(B173,"yyyymmdd")&amp;"-"&amp;TEXT(ROW()-1,"000"))</f>
        <v/>
      </c>
      <c r="B173" s="8" t="n"/>
      <c r="C173" s="9" t="n"/>
      <c r="D173" s="9" t="n"/>
      <c r="E173" s="9" t="n"/>
      <c r="F173" s="9" t="n"/>
      <c r="G173" s="9" t="n"/>
      <c r="H173" s="9" t="n"/>
      <c r="I173" s="10" t="n"/>
      <c r="J173" s="11" t="n"/>
      <c r="K173" s="12" t="n"/>
      <c r="L173" s="11" t="n"/>
      <c r="M173" s="12" t="n"/>
      <c r="N173" s="9" t="n"/>
      <c r="O173" s="9" t="n"/>
      <c r="P173" s="10" t="n"/>
      <c r="Q173" s="11" t="n"/>
      <c r="R173" s="12" t="n"/>
      <c r="S173" s="12" t="n"/>
      <c r="T173" s="13">
        <f>IF(B173="","",B173+3)</f>
        <v/>
      </c>
      <c r="U173" s="13">
        <f>IF(B173="","",B173+5)</f>
        <v/>
      </c>
      <c r="V173" s="13">
        <f>IF(B173="","",B173+10)</f>
        <v/>
      </c>
      <c r="W173" s="14">
        <f>IF(B173="","",(--(B173&lt;&gt;"")+--(C173&lt;&gt;"")+--(D173&lt;&gt;"")+--(E173&lt;&gt;"")+--(F173&lt;&gt;"")+--(G173&lt;&gt;"")+--(H173&lt;&gt;"")+--(I173&lt;&gt;"")+--(N173&lt;&gt;"")+--(O173&lt;&gt;"")+--(P173&lt;&gt;""))/11)</f>
        <v/>
      </c>
    </row>
    <row r="174">
      <c r="A174" s="7">
        <f>IF(B174="","",TEXT(B174,"yyyymmdd")&amp;"-"&amp;TEXT(ROW()-1,"000"))</f>
        <v/>
      </c>
      <c r="B174" s="8" t="n"/>
      <c r="C174" s="9" t="n"/>
      <c r="D174" s="9" t="n"/>
      <c r="E174" s="9" t="n"/>
      <c r="F174" s="9" t="n"/>
      <c r="G174" s="9" t="n"/>
      <c r="H174" s="9" t="n"/>
      <c r="I174" s="10" t="n"/>
      <c r="J174" s="11" t="n"/>
      <c r="K174" s="12" t="n"/>
      <c r="L174" s="11" t="n"/>
      <c r="M174" s="12" t="n"/>
      <c r="N174" s="9" t="n"/>
      <c r="O174" s="9" t="n"/>
      <c r="P174" s="10" t="n"/>
      <c r="Q174" s="11" t="n"/>
      <c r="R174" s="12" t="n"/>
      <c r="S174" s="12" t="n"/>
      <c r="T174" s="13">
        <f>IF(B174="","",B174+3)</f>
        <v/>
      </c>
      <c r="U174" s="13">
        <f>IF(B174="","",B174+5)</f>
        <v/>
      </c>
      <c r="V174" s="13">
        <f>IF(B174="","",B174+10)</f>
        <v/>
      </c>
      <c r="W174" s="14">
        <f>IF(B174="","",(--(B174&lt;&gt;"")+--(C174&lt;&gt;"")+--(D174&lt;&gt;"")+--(E174&lt;&gt;"")+--(F174&lt;&gt;"")+--(G174&lt;&gt;"")+--(H174&lt;&gt;"")+--(I174&lt;&gt;"")+--(N174&lt;&gt;"")+--(O174&lt;&gt;"")+--(P174&lt;&gt;""))/11)</f>
        <v/>
      </c>
    </row>
    <row r="175">
      <c r="A175" s="7">
        <f>IF(B175="","",TEXT(B175,"yyyymmdd")&amp;"-"&amp;TEXT(ROW()-1,"000"))</f>
        <v/>
      </c>
      <c r="B175" s="8" t="n"/>
      <c r="C175" s="9" t="n"/>
      <c r="D175" s="9" t="n"/>
      <c r="E175" s="9" t="n"/>
      <c r="F175" s="9" t="n"/>
      <c r="G175" s="9" t="n"/>
      <c r="H175" s="9" t="n"/>
      <c r="I175" s="10" t="n"/>
      <c r="J175" s="11" t="n"/>
      <c r="K175" s="12" t="n"/>
      <c r="L175" s="11" t="n"/>
      <c r="M175" s="12" t="n"/>
      <c r="N175" s="9" t="n"/>
      <c r="O175" s="9" t="n"/>
      <c r="P175" s="10" t="n"/>
      <c r="Q175" s="11" t="n"/>
      <c r="R175" s="12" t="n"/>
      <c r="S175" s="12" t="n"/>
      <c r="T175" s="13">
        <f>IF(B175="","",B175+3)</f>
        <v/>
      </c>
      <c r="U175" s="13">
        <f>IF(B175="","",B175+5)</f>
        <v/>
      </c>
      <c r="V175" s="13">
        <f>IF(B175="","",B175+10)</f>
        <v/>
      </c>
      <c r="W175" s="14">
        <f>IF(B175="","",(--(B175&lt;&gt;"")+--(C175&lt;&gt;"")+--(D175&lt;&gt;"")+--(E175&lt;&gt;"")+--(F175&lt;&gt;"")+--(G175&lt;&gt;"")+--(H175&lt;&gt;"")+--(I175&lt;&gt;"")+--(N175&lt;&gt;"")+--(O175&lt;&gt;"")+--(P175&lt;&gt;""))/11)</f>
        <v/>
      </c>
    </row>
    <row r="176">
      <c r="A176" s="7">
        <f>IF(B176="","",TEXT(B176,"yyyymmdd")&amp;"-"&amp;TEXT(ROW()-1,"000"))</f>
        <v/>
      </c>
      <c r="B176" s="8" t="n"/>
      <c r="C176" s="9" t="n"/>
      <c r="D176" s="9" t="n"/>
      <c r="E176" s="9" t="n"/>
      <c r="F176" s="9" t="n"/>
      <c r="G176" s="9" t="n"/>
      <c r="H176" s="9" t="n"/>
      <c r="I176" s="10" t="n"/>
      <c r="J176" s="11" t="n"/>
      <c r="K176" s="12" t="n"/>
      <c r="L176" s="11" t="n"/>
      <c r="M176" s="12" t="n"/>
      <c r="N176" s="9" t="n"/>
      <c r="O176" s="9" t="n"/>
      <c r="P176" s="10" t="n"/>
      <c r="Q176" s="11" t="n"/>
      <c r="R176" s="12" t="n"/>
      <c r="S176" s="12" t="n"/>
      <c r="T176" s="13">
        <f>IF(B176="","",B176+3)</f>
        <v/>
      </c>
      <c r="U176" s="13">
        <f>IF(B176="","",B176+5)</f>
        <v/>
      </c>
      <c r="V176" s="13">
        <f>IF(B176="","",B176+10)</f>
        <v/>
      </c>
      <c r="W176" s="14">
        <f>IF(B176="","",(--(B176&lt;&gt;"")+--(C176&lt;&gt;"")+--(D176&lt;&gt;"")+--(E176&lt;&gt;"")+--(F176&lt;&gt;"")+--(G176&lt;&gt;"")+--(H176&lt;&gt;"")+--(I176&lt;&gt;"")+--(N176&lt;&gt;"")+--(O176&lt;&gt;"")+--(P176&lt;&gt;""))/11)</f>
        <v/>
      </c>
    </row>
    <row r="177">
      <c r="A177" s="7">
        <f>IF(B177="","",TEXT(B177,"yyyymmdd")&amp;"-"&amp;TEXT(ROW()-1,"000"))</f>
        <v/>
      </c>
      <c r="B177" s="8" t="n"/>
      <c r="C177" s="9" t="n"/>
      <c r="D177" s="9" t="n"/>
      <c r="E177" s="9" t="n"/>
      <c r="F177" s="9" t="n"/>
      <c r="G177" s="9" t="n"/>
      <c r="H177" s="9" t="n"/>
      <c r="I177" s="10" t="n"/>
      <c r="J177" s="11" t="n"/>
      <c r="K177" s="12" t="n"/>
      <c r="L177" s="11" t="n"/>
      <c r="M177" s="12" t="n"/>
      <c r="N177" s="9" t="n"/>
      <c r="O177" s="9" t="n"/>
      <c r="P177" s="10" t="n"/>
      <c r="Q177" s="11" t="n"/>
      <c r="R177" s="12" t="n"/>
      <c r="S177" s="12" t="n"/>
      <c r="T177" s="13">
        <f>IF(B177="","",B177+3)</f>
        <v/>
      </c>
      <c r="U177" s="13">
        <f>IF(B177="","",B177+5)</f>
        <v/>
      </c>
      <c r="V177" s="13">
        <f>IF(B177="","",B177+10)</f>
        <v/>
      </c>
      <c r="W177" s="14">
        <f>IF(B177="","",(--(B177&lt;&gt;"")+--(C177&lt;&gt;"")+--(D177&lt;&gt;"")+--(E177&lt;&gt;"")+--(F177&lt;&gt;"")+--(G177&lt;&gt;"")+--(H177&lt;&gt;"")+--(I177&lt;&gt;"")+--(N177&lt;&gt;"")+--(O177&lt;&gt;"")+--(P177&lt;&gt;""))/11)</f>
        <v/>
      </c>
    </row>
    <row r="178">
      <c r="A178" s="7">
        <f>IF(B178="","",TEXT(B178,"yyyymmdd")&amp;"-"&amp;TEXT(ROW()-1,"000"))</f>
        <v/>
      </c>
      <c r="B178" s="8" t="n"/>
      <c r="C178" s="9" t="n"/>
      <c r="D178" s="9" t="n"/>
      <c r="E178" s="9" t="n"/>
      <c r="F178" s="9" t="n"/>
      <c r="G178" s="9" t="n"/>
      <c r="H178" s="9" t="n"/>
      <c r="I178" s="10" t="n"/>
      <c r="J178" s="11" t="n"/>
      <c r="K178" s="12" t="n"/>
      <c r="L178" s="11" t="n"/>
      <c r="M178" s="12" t="n"/>
      <c r="N178" s="9" t="n"/>
      <c r="O178" s="9" t="n"/>
      <c r="P178" s="10" t="n"/>
      <c r="Q178" s="11" t="n"/>
      <c r="R178" s="12" t="n"/>
      <c r="S178" s="12" t="n"/>
      <c r="T178" s="13">
        <f>IF(B178="","",B178+3)</f>
        <v/>
      </c>
      <c r="U178" s="13">
        <f>IF(B178="","",B178+5)</f>
        <v/>
      </c>
      <c r="V178" s="13">
        <f>IF(B178="","",B178+10)</f>
        <v/>
      </c>
      <c r="W178" s="14">
        <f>IF(B178="","",(--(B178&lt;&gt;"")+--(C178&lt;&gt;"")+--(D178&lt;&gt;"")+--(E178&lt;&gt;"")+--(F178&lt;&gt;"")+--(G178&lt;&gt;"")+--(H178&lt;&gt;"")+--(I178&lt;&gt;"")+--(N178&lt;&gt;"")+--(O178&lt;&gt;"")+--(P178&lt;&gt;""))/11)</f>
        <v/>
      </c>
    </row>
    <row r="179">
      <c r="A179" s="7">
        <f>IF(B179="","",TEXT(B179,"yyyymmdd")&amp;"-"&amp;TEXT(ROW()-1,"000"))</f>
        <v/>
      </c>
      <c r="B179" s="8" t="n"/>
      <c r="C179" s="9" t="n"/>
      <c r="D179" s="9" t="n"/>
      <c r="E179" s="9" t="n"/>
      <c r="F179" s="9" t="n"/>
      <c r="G179" s="9" t="n"/>
      <c r="H179" s="9" t="n"/>
      <c r="I179" s="10" t="n"/>
      <c r="J179" s="11" t="n"/>
      <c r="K179" s="12" t="n"/>
      <c r="L179" s="11" t="n"/>
      <c r="M179" s="12" t="n"/>
      <c r="N179" s="9" t="n"/>
      <c r="O179" s="9" t="n"/>
      <c r="P179" s="10" t="n"/>
      <c r="Q179" s="11" t="n"/>
      <c r="R179" s="12" t="n"/>
      <c r="S179" s="12" t="n"/>
      <c r="T179" s="13">
        <f>IF(B179="","",B179+3)</f>
        <v/>
      </c>
      <c r="U179" s="13">
        <f>IF(B179="","",B179+5)</f>
        <v/>
      </c>
      <c r="V179" s="13">
        <f>IF(B179="","",B179+10)</f>
        <v/>
      </c>
      <c r="W179" s="14">
        <f>IF(B179="","",(--(B179&lt;&gt;"")+--(C179&lt;&gt;"")+--(D179&lt;&gt;"")+--(E179&lt;&gt;"")+--(F179&lt;&gt;"")+--(G179&lt;&gt;"")+--(H179&lt;&gt;"")+--(I179&lt;&gt;"")+--(N179&lt;&gt;"")+--(O179&lt;&gt;"")+--(P179&lt;&gt;""))/11)</f>
        <v/>
      </c>
    </row>
    <row r="180">
      <c r="A180" s="7">
        <f>IF(B180="","",TEXT(B180,"yyyymmdd")&amp;"-"&amp;TEXT(ROW()-1,"000"))</f>
        <v/>
      </c>
      <c r="B180" s="8" t="n"/>
      <c r="C180" s="9" t="n"/>
      <c r="D180" s="9" t="n"/>
      <c r="E180" s="9" t="n"/>
      <c r="F180" s="9" t="n"/>
      <c r="G180" s="9" t="n"/>
      <c r="H180" s="9" t="n"/>
      <c r="I180" s="10" t="n"/>
      <c r="J180" s="11" t="n"/>
      <c r="K180" s="12" t="n"/>
      <c r="L180" s="11" t="n"/>
      <c r="M180" s="12" t="n"/>
      <c r="N180" s="9" t="n"/>
      <c r="O180" s="9" t="n"/>
      <c r="P180" s="10" t="n"/>
      <c r="Q180" s="11" t="n"/>
      <c r="R180" s="12" t="n"/>
      <c r="S180" s="12" t="n"/>
      <c r="T180" s="13">
        <f>IF(B180="","",B180+3)</f>
        <v/>
      </c>
      <c r="U180" s="13">
        <f>IF(B180="","",B180+5)</f>
        <v/>
      </c>
      <c r="V180" s="13">
        <f>IF(B180="","",B180+10)</f>
        <v/>
      </c>
      <c r="W180" s="14">
        <f>IF(B180="","",(--(B180&lt;&gt;"")+--(C180&lt;&gt;"")+--(D180&lt;&gt;"")+--(E180&lt;&gt;"")+--(F180&lt;&gt;"")+--(G180&lt;&gt;"")+--(H180&lt;&gt;"")+--(I180&lt;&gt;"")+--(N180&lt;&gt;"")+--(O180&lt;&gt;"")+--(P180&lt;&gt;""))/11)</f>
        <v/>
      </c>
    </row>
    <row r="181">
      <c r="A181" s="7">
        <f>IF(B181="","",TEXT(B181,"yyyymmdd")&amp;"-"&amp;TEXT(ROW()-1,"000"))</f>
        <v/>
      </c>
      <c r="B181" s="8" t="n"/>
      <c r="C181" s="9" t="n"/>
      <c r="D181" s="9" t="n"/>
      <c r="E181" s="9" t="n"/>
      <c r="F181" s="9" t="n"/>
      <c r="G181" s="9" t="n"/>
      <c r="H181" s="9" t="n"/>
      <c r="I181" s="10" t="n"/>
      <c r="J181" s="11" t="n"/>
      <c r="K181" s="12" t="n"/>
      <c r="L181" s="11" t="n"/>
      <c r="M181" s="12" t="n"/>
      <c r="N181" s="9" t="n"/>
      <c r="O181" s="9" t="n"/>
      <c r="P181" s="10" t="n"/>
      <c r="Q181" s="11" t="n"/>
      <c r="R181" s="12" t="n"/>
      <c r="S181" s="12" t="n"/>
      <c r="T181" s="13">
        <f>IF(B181="","",B181+3)</f>
        <v/>
      </c>
      <c r="U181" s="13">
        <f>IF(B181="","",B181+5)</f>
        <v/>
      </c>
      <c r="V181" s="13">
        <f>IF(B181="","",B181+10)</f>
        <v/>
      </c>
      <c r="W181" s="14">
        <f>IF(B181="","",(--(B181&lt;&gt;"")+--(C181&lt;&gt;"")+--(D181&lt;&gt;"")+--(E181&lt;&gt;"")+--(F181&lt;&gt;"")+--(G181&lt;&gt;"")+--(H181&lt;&gt;"")+--(I181&lt;&gt;"")+--(N181&lt;&gt;"")+--(O181&lt;&gt;"")+--(P181&lt;&gt;""))/11)</f>
        <v/>
      </c>
    </row>
    <row r="182">
      <c r="A182" s="7">
        <f>IF(B182="","",TEXT(B182,"yyyymmdd")&amp;"-"&amp;TEXT(ROW()-1,"000"))</f>
        <v/>
      </c>
      <c r="B182" s="8" t="n"/>
      <c r="C182" s="9" t="n"/>
      <c r="D182" s="9" t="n"/>
      <c r="E182" s="9" t="n"/>
      <c r="F182" s="9" t="n"/>
      <c r="G182" s="9" t="n"/>
      <c r="H182" s="9" t="n"/>
      <c r="I182" s="10" t="n"/>
      <c r="J182" s="11" t="n"/>
      <c r="K182" s="12" t="n"/>
      <c r="L182" s="11" t="n"/>
      <c r="M182" s="12" t="n"/>
      <c r="N182" s="9" t="n"/>
      <c r="O182" s="9" t="n"/>
      <c r="P182" s="10" t="n"/>
      <c r="Q182" s="11" t="n"/>
      <c r="R182" s="12" t="n"/>
      <c r="S182" s="12" t="n"/>
      <c r="T182" s="13">
        <f>IF(B182="","",B182+3)</f>
        <v/>
      </c>
      <c r="U182" s="13">
        <f>IF(B182="","",B182+5)</f>
        <v/>
      </c>
      <c r="V182" s="13">
        <f>IF(B182="","",B182+10)</f>
        <v/>
      </c>
      <c r="W182" s="14">
        <f>IF(B182="","",(--(B182&lt;&gt;"")+--(C182&lt;&gt;"")+--(D182&lt;&gt;"")+--(E182&lt;&gt;"")+--(F182&lt;&gt;"")+--(G182&lt;&gt;"")+--(H182&lt;&gt;"")+--(I182&lt;&gt;"")+--(N182&lt;&gt;"")+--(O182&lt;&gt;"")+--(P182&lt;&gt;""))/11)</f>
        <v/>
      </c>
    </row>
    <row r="183">
      <c r="A183" s="7">
        <f>IF(B183="","",TEXT(B183,"yyyymmdd")&amp;"-"&amp;TEXT(ROW()-1,"000"))</f>
        <v/>
      </c>
      <c r="B183" s="8" t="n"/>
      <c r="C183" s="9" t="n"/>
      <c r="D183" s="9" t="n"/>
      <c r="E183" s="9" t="n"/>
      <c r="F183" s="9" t="n"/>
      <c r="G183" s="9" t="n"/>
      <c r="H183" s="9" t="n"/>
      <c r="I183" s="10" t="n"/>
      <c r="J183" s="11" t="n"/>
      <c r="K183" s="12" t="n"/>
      <c r="L183" s="11" t="n"/>
      <c r="M183" s="12" t="n"/>
      <c r="N183" s="9" t="n"/>
      <c r="O183" s="9" t="n"/>
      <c r="P183" s="10" t="n"/>
      <c r="Q183" s="11" t="n"/>
      <c r="R183" s="12" t="n"/>
      <c r="S183" s="12" t="n"/>
      <c r="T183" s="13">
        <f>IF(B183="","",B183+3)</f>
        <v/>
      </c>
      <c r="U183" s="13">
        <f>IF(B183="","",B183+5)</f>
        <v/>
      </c>
      <c r="V183" s="13">
        <f>IF(B183="","",B183+10)</f>
        <v/>
      </c>
      <c r="W183" s="14">
        <f>IF(B183="","",(--(B183&lt;&gt;"")+--(C183&lt;&gt;"")+--(D183&lt;&gt;"")+--(E183&lt;&gt;"")+--(F183&lt;&gt;"")+--(G183&lt;&gt;"")+--(H183&lt;&gt;"")+--(I183&lt;&gt;"")+--(N183&lt;&gt;"")+--(O183&lt;&gt;"")+--(P183&lt;&gt;""))/11)</f>
        <v/>
      </c>
    </row>
    <row r="184">
      <c r="A184" s="7">
        <f>IF(B184="","",TEXT(B184,"yyyymmdd")&amp;"-"&amp;TEXT(ROW()-1,"000"))</f>
        <v/>
      </c>
      <c r="B184" s="8" t="n"/>
      <c r="C184" s="9" t="n"/>
      <c r="D184" s="9" t="n"/>
      <c r="E184" s="9" t="n"/>
      <c r="F184" s="9" t="n"/>
      <c r="G184" s="9" t="n"/>
      <c r="H184" s="9" t="n"/>
      <c r="I184" s="10" t="n"/>
      <c r="J184" s="11" t="n"/>
      <c r="K184" s="12" t="n"/>
      <c r="L184" s="11" t="n"/>
      <c r="M184" s="12" t="n"/>
      <c r="N184" s="9" t="n"/>
      <c r="O184" s="9" t="n"/>
      <c r="P184" s="10" t="n"/>
      <c r="Q184" s="11" t="n"/>
      <c r="R184" s="12" t="n"/>
      <c r="S184" s="12" t="n"/>
      <c r="T184" s="13">
        <f>IF(B184="","",B184+3)</f>
        <v/>
      </c>
      <c r="U184" s="13">
        <f>IF(B184="","",B184+5)</f>
        <v/>
      </c>
      <c r="V184" s="13">
        <f>IF(B184="","",B184+10)</f>
        <v/>
      </c>
      <c r="W184" s="14">
        <f>IF(B184="","",(--(B184&lt;&gt;"")+--(C184&lt;&gt;"")+--(D184&lt;&gt;"")+--(E184&lt;&gt;"")+--(F184&lt;&gt;"")+--(G184&lt;&gt;"")+--(H184&lt;&gt;"")+--(I184&lt;&gt;"")+--(N184&lt;&gt;"")+--(O184&lt;&gt;"")+--(P184&lt;&gt;""))/11)</f>
        <v/>
      </c>
    </row>
    <row r="185">
      <c r="A185" s="7">
        <f>IF(B185="","",TEXT(B185,"yyyymmdd")&amp;"-"&amp;TEXT(ROW()-1,"000"))</f>
        <v/>
      </c>
      <c r="B185" s="8" t="n"/>
      <c r="C185" s="9" t="n"/>
      <c r="D185" s="9" t="n"/>
      <c r="E185" s="9" t="n"/>
      <c r="F185" s="9" t="n"/>
      <c r="G185" s="9" t="n"/>
      <c r="H185" s="9" t="n"/>
      <c r="I185" s="10" t="n"/>
      <c r="J185" s="11" t="n"/>
      <c r="K185" s="12" t="n"/>
      <c r="L185" s="11" t="n"/>
      <c r="M185" s="12" t="n"/>
      <c r="N185" s="9" t="n"/>
      <c r="O185" s="9" t="n"/>
      <c r="P185" s="10" t="n"/>
      <c r="Q185" s="11" t="n"/>
      <c r="R185" s="12" t="n"/>
      <c r="S185" s="12" t="n"/>
      <c r="T185" s="13">
        <f>IF(B185="","",B185+3)</f>
        <v/>
      </c>
      <c r="U185" s="13">
        <f>IF(B185="","",B185+5)</f>
        <v/>
      </c>
      <c r="V185" s="13">
        <f>IF(B185="","",B185+10)</f>
        <v/>
      </c>
      <c r="W185" s="14">
        <f>IF(B185="","",(--(B185&lt;&gt;"")+--(C185&lt;&gt;"")+--(D185&lt;&gt;"")+--(E185&lt;&gt;"")+--(F185&lt;&gt;"")+--(G185&lt;&gt;"")+--(H185&lt;&gt;"")+--(I185&lt;&gt;"")+--(N185&lt;&gt;"")+--(O185&lt;&gt;"")+--(P185&lt;&gt;""))/11)</f>
        <v/>
      </c>
    </row>
    <row r="186">
      <c r="A186" s="7">
        <f>IF(B186="","",TEXT(B186,"yyyymmdd")&amp;"-"&amp;TEXT(ROW()-1,"000"))</f>
        <v/>
      </c>
      <c r="B186" s="8" t="n"/>
      <c r="C186" s="9" t="n"/>
      <c r="D186" s="9" t="n"/>
      <c r="E186" s="9" t="n"/>
      <c r="F186" s="9" t="n"/>
      <c r="G186" s="9" t="n"/>
      <c r="H186" s="9" t="n"/>
      <c r="I186" s="10" t="n"/>
      <c r="J186" s="11" t="n"/>
      <c r="K186" s="12" t="n"/>
      <c r="L186" s="11" t="n"/>
      <c r="M186" s="12" t="n"/>
      <c r="N186" s="9" t="n"/>
      <c r="O186" s="9" t="n"/>
      <c r="P186" s="10" t="n"/>
      <c r="Q186" s="11" t="n"/>
      <c r="R186" s="12" t="n"/>
      <c r="S186" s="12" t="n"/>
      <c r="T186" s="13">
        <f>IF(B186="","",B186+3)</f>
        <v/>
      </c>
      <c r="U186" s="13">
        <f>IF(B186="","",B186+5)</f>
        <v/>
      </c>
      <c r="V186" s="13">
        <f>IF(B186="","",B186+10)</f>
        <v/>
      </c>
      <c r="W186" s="14">
        <f>IF(B186="","",(--(B186&lt;&gt;"")+--(C186&lt;&gt;"")+--(D186&lt;&gt;"")+--(E186&lt;&gt;"")+--(F186&lt;&gt;"")+--(G186&lt;&gt;"")+--(H186&lt;&gt;"")+--(I186&lt;&gt;"")+--(N186&lt;&gt;"")+--(O186&lt;&gt;"")+--(P186&lt;&gt;""))/11)</f>
        <v/>
      </c>
    </row>
    <row r="187">
      <c r="A187" s="7">
        <f>IF(B187="","",TEXT(B187,"yyyymmdd")&amp;"-"&amp;TEXT(ROW()-1,"000"))</f>
        <v/>
      </c>
      <c r="B187" s="8" t="n"/>
      <c r="C187" s="9" t="n"/>
      <c r="D187" s="9" t="n"/>
      <c r="E187" s="9" t="n"/>
      <c r="F187" s="9" t="n"/>
      <c r="G187" s="9" t="n"/>
      <c r="H187" s="9" t="n"/>
      <c r="I187" s="10" t="n"/>
      <c r="J187" s="11" t="n"/>
      <c r="K187" s="12" t="n"/>
      <c r="L187" s="11" t="n"/>
      <c r="M187" s="12" t="n"/>
      <c r="N187" s="9" t="n"/>
      <c r="O187" s="9" t="n"/>
      <c r="P187" s="10" t="n"/>
      <c r="Q187" s="11" t="n"/>
      <c r="R187" s="12" t="n"/>
      <c r="S187" s="12" t="n"/>
      <c r="T187" s="13">
        <f>IF(B187="","",B187+3)</f>
        <v/>
      </c>
      <c r="U187" s="13">
        <f>IF(B187="","",B187+5)</f>
        <v/>
      </c>
      <c r="V187" s="13">
        <f>IF(B187="","",B187+10)</f>
        <v/>
      </c>
      <c r="W187" s="14">
        <f>IF(B187="","",(--(B187&lt;&gt;"")+--(C187&lt;&gt;"")+--(D187&lt;&gt;"")+--(E187&lt;&gt;"")+--(F187&lt;&gt;"")+--(G187&lt;&gt;"")+--(H187&lt;&gt;"")+--(I187&lt;&gt;"")+--(N187&lt;&gt;"")+--(O187&lt;&gt;"")+--(P187&lt;&gt;""))/11)</f>
        <v/>
      </c>
    </row>
    <row r="188">
      <c r="A188" s="7">
        <f>IF(B188="","",TEXT(B188,"yyyymmdd")&amp;"-"&amp;TEXT(ROW()-1,"000"))</f>
        <v/>
      </c>
      <c r="B188" s="8" t="n"/>
      <c r="C188" s="9" t="n"/>
      <c r="D188" s="9" t="n"/>
      <c r="E188" s="9" t="n"/>
      <c r="F188" s="9" t="n"/>
      <c r="G188" s="9" t="n"/>
      <c r="H188" s="9" t="n"/>
      <c r="I188" s="10" t="n"/>
      <c r="J188" s="11" t="n"/>
      <c r="K188" s="12" t="n"/>
      <c r="L188" s="11" t="n"/>
      <c r="M188" s="12" t="n"/>
      <c r="N188" s="9" t="n"/>
      <c r="O188" s="9" t="n"/>
      <c r="P188" s="10" t="n"/>
      <c r="Q188" s="11" t="n"/>
      <c r="R188" s="12" t="n"/>
      <c r="S188" s="12" t="n"/>
      <c r="T188" s="13">
        <f>IF(B188="","",B188+3)</f>
        <v/>
      </c>
      <c r="U188" s="13">
        <f>IF(B188="","",B188+5)</f>
        <v/>
      </c>
      <c r="V188" s="13">
        <f>IF(B188="","",B188+10)</f>
        <v/>
      </c>
      <c r="W188" s="14">
        <f>IF(B188="","",(--(B188&lt;&gt;"")+--(C188&lt;&gt;"")+--(D188&lt;&gt;"")+--(E188&lt;&gt;"")+--(F188&lt;&gt;"")+--(G188&lt;&gt;"")+--(H188&lt;&gt;"")+--(I188&lt;&gt;"")+--(N188&lt;&gt;"")+--(O188&lt;&gt;"")+--(P188&lt;&gt;""))/11)</f>
        <v/>
      </c>
    </row>
    <row r="189">
      <c r="A189" s="7">
        <f>IF(B189="","",TEXT(B189,"yyyymmdd")&amp;"-"&amp;TEXT(ROW()-1,"000"))</f>
        <v/>
      </c>
      <c r="B189" s="8" t="n"/>
      <c r="C189" s="9" t="n"/>
      <c r="D189" s="9" t="n"/>
      <c r="E189" s="9" t="n"/>
      <c r="F189" s="9" t="n"/>
      <c r="G189" s="9" t="n"/>
      <c r="H189" s="9" t="n"/>
      <c r="I189" s="10" t="n"/>
      <c r="J189" s="11" t="n"/>
      <c r="K189" s="12" t="n"/>
      <c r="L189" s="11" t="n"/>
      <c r="M189" s="12" t="n"/>
      <c r="N189" s="9" t="n"/>
      <c r="O189" s="9" t="n"/>
      <c r="P189" s="10" t="n"/>
      <c r="Q189" s="11" t="n"/>
      <c r="R189" s="12" t="n"/>
      <c r="S189" s="12" t="n"/>
      <c r="T189" s="13">
        <f>IF(B189="","",B189+3)</f>
        <v/>
      </c>
      <c r="U189" s="13">
        <f>IF(B189="","",B189+5)</f>
        <v/>
      </c>
      <c r="V189" s="13">
        <f>IF(B189="","",B189+10)</f>
        <v/>
      </c>
      <c r="W189" s="14">
        <f>IF(B189="","",(--(B189&lt;&gt;"")+--(C189&lt;&gt;"")+--(D189&lt;&gt;"")+--(E189&lt;&gt;"")+--(F189&lt;&gt;"")+--(G189&lt;&gt;"")+--(H189&lt;&gt;"")+--(I189&lt;&gt;"")+--(N189&lt;&gt;"")+--(O189&lt;&gt;"")+--(P189&lt;&gt;""))/11)</f>
        <v/>
      </c>
    </row>
    <row r="190">
      <c r="A190" s="7">
        <f>IF(B190="","",TEXT(B190,"yyyymmdd")&amp;"-"&amp;TEXT(ROW()-1,"000"))</f>
        <v/>
      </c>
      <c r="B190" s="8" t="n"/>
      <c r="C190" s="9" t="n"/>
      <c r="D190" s="9" t="n"/>
      <c r="E190" s="9" t="n"/>
      <c r="F190" s="9" t="n"/>
      <c r="G190" s="9" t="n"/>
      <c r="H190" s="9" t="n"/>
      <c r="I190" s="10" t="n"/>
      <c r="J190" s="11" t="n"/>
      <c r="K190" s="12" t="n"/>
      <c r="L190" s="11" t="n"/>
      <c r="M190" s="12" t="n"/>
      <c r="N190" s="9" t="n"/>
      <c r="O190" s="9" t="n"/>
      <c r="P190" s="10" t="n"/>
      <c r="Q190" s="11" t="n"/>
      <c r="R190" s="12" t="n"/>
      <c r="S190" s="12" t="n"/>
      <c r="T190" s="13">
        <f>IF(B190="","",B190+3)</f>
        <v/>
      </c>
      <c r="U190" s="13">
        <f>IF(B190="","",B190+5)</f>
        <v/>
      </c>
      <c r="V190" s="13">
        <f>IF(B190="","",B190+10)</f>
        <v/>
      </c>
      <c r="W190" s="14">
        <f>IF(B190="","",(--(B190&lt;&gt;"")+--(C190&lt;&gt;"")+--(D190&lt;&gt;"")+--(E190&lt;&gt;"")+--(F190&lt;&gt;"")+--(G190&lt;&gt;"")+--(H190&lt;&gt;"")+--(I190&lt;&gt;"")+--(N190&lt;&gt;"")+--(O190&lt;&gt;"")+--(P190&lt;&gt;""))/11)</f>
        <v/>
      </c>
    </row>
    <row r="191">
      <c r="A191" s="7">
        <f>IF(B191="","",TEXT(B191,"yyyymmdd")&amp;"-"&amp;TEXT(ROW()-1,"000"))</f>
        <v/>
      </c>
      <c r="B191" s="8" t="n"/>
      <c r="C191" s="9" t="n"/>
      <c r="D191" s="9" t="n"/>
      <c r="E191" s="9" t="n"/>
      <c r="F191" s="9" t="n"/>
      <c r="G191" s="9" t="n"/>
      <c r="H191" s="9" t="n"/>
      <c r="I191" s="10" t="n"/>
      <c r="J191" s="11" t="n"/>
      <c r="K191" s="12" t="n"/>
      <c r="L191" s="11" t="n"/>
      <c r="M191" s="12" t="n"/>
      <c r="N191" s="9" t="n"/>
      <c r="O191" s="9" t="n"/>
      <c r="P191" s="10" t="n"/>
      <c r="Q191" s="11" t="n"/>
      <c r="R191" s="12" t="n"/>
      <c r="S191" s="12" t="n"/>
      <c r="T191" s="13">
        <f>IF(B191="","",B191+3)</f>
        <v/>
      </c>
      <c r="U191" s="13">
        <f>IF(B191="","",B191+5)</f>
        <v/>
      </c>
      <c r="V191" s="13">
        <f>IF(B191="","",B191+10)</f>
        <v/>
      </c>
      <c r="W191" s="14">
        <f>IF(B191="","",(--(B191&lt;&gt;"")+--(C191&lt;&gt;"")+--(D191&lt;&gt;"")+--(E191&lt;&gt;"")+--(F191&lt;&gt;"")+--(G191&lt;&gt;"")+--(H191&lt;&gt;"")+--(I191&lt;&gt;"")+--(N191&lt;&gt;"")+--(O191&lt;&gt;"")+--(P191&lt;&gt;""))/11)</f>
        <v/>
      </c>
    </row>
    <row r="192">
      <c r="A192" s="7">
        <f>IF(B192="","",TEXT(B192,"yyyymmdd")&amp;"-"&amp;TEXT(ROW()-1,"000"))</f>
        <v/>
      </c>
      <c r="B192" s="8" t="n"/>
      <c r="C192" s="9" t="n"/>
      <c r="D192" s="9" t="n"/>
      <c r="E192" s="9" t="n"/>
      <c r="F192" s="9" t="n"/>
      <c r="G192" s="9" t="n"/>
      <c r="H192" s="9" t="n"/>
      <c r="I192" s="10" t="n"/>
      <c r="J192" s="11" t="n"/>
      <c r="K192" s="12" t="n"/>
      <c r="L192" s="11" t="n"/>
      <c r="M192" s="12" t="n"/>
      <c r="N192" s="9" t="n"/>
      <c r="O192" s="9" t="n"/>
      <c r="P192" s="10" t="n"/>
      <c r="Q192" s="11" t="n"/>
      <c r="R192" s="12" t="n"/>
      <c r="S192" s="12" t="n"/>
      <c r="T192" s="13">
        <f>IF(B192="","",B192+3)</f>
        <v/>
      </c>
      <c r="U192" s="13">
        <f>IF(B192="","",B192+5)</f>
        <v/>
      </c>
      <c r="V192" s="13">
        <f>IF(B192="","",B192+10)</f>
        <v/>
      </c>
      <c r="W192" s="14">
        <f>IF(B192="","",(--(B192&lt;&gt;"")+--(C192&lt;&gt;"")+--(D192&lt;&gt;"")+--(E192&lt;&gt;"")+--(F192&lt;&gt;"")+--(G192&lt;&gt;"")+--(H192&lt;&gt;"")+--(I192&lt;&gt;"")+--(N192&lt;&gt;"")+--(O192&lt;&gt;"")+--(P192&lt;&gt;""))/11)</f>
        <v/>
      </c>
    </row>
    <row r="193">
      <c r="A193" s="7">
        <f>IF(B193="","",TEXT(B193,"yyyymmdd")&amp;"-"&amp;TEXT(ROW()-1,"000"))</f>
        <v/>
      </c>
      <c r="B193" s="8" t="n"/>
      <c r="C193" s="9" t="n"/>
      <c r="D193" s="9" t="n"/>
      <c r="E193" s="9" t="n"/>
      <c r="F193" s="9" t="n"/>
      <c r="G193" s="9" t="n"/>
      <c r="H193" s="9" t="n"/>
      <c r="I193" s="10" t="n"/>
      <c r="J193" s="11" t="n"/>
      <c r="K193" s="12" t="n"/>
      <c r="L193" s="11" t="n"/>
      <c r="M193" s="12" t="n"/>
      <c r="N193" s="9" t="n"/>
      <c r="O193" s="9" t="n"/>
      <c r="P193" s="10" t="n"/>
      <c r="Q193" s="11" t="n"/>
      <c r="R193" s="12" t="n"/>
      <c r="S193" s="12" t="n"/>
      <c r="T193" s="13">
        <f>IF(B193="","",B193+3)</f>
        <v/>
      </c>
      <c r="U193" s="13">
        <f>IF(B193="","",B193+5)</f>
        <v/>
      </c>
      <c r="V193" s="13">
        <f>IF(B193="","",B193+10)</f>
        <v/>
      </c>
      <c r="W193" s="14">
        <f>IF(B193="","",(--(B193&lt;&gt;"")+--(C193&lt;&gt;"")+--(D193&lt;&gt;"")+--(E193&lt;&gt;"")+--(F193&lt;&gt;"")+--(G193&lt;&gt;"")+--(H193&lt;&gt;"")+--(I193&lt;&gt;"")+--(N193&lt;&gt;"")+--(O193&lt;&gt;"")+--(P193&lt;&gt;""))/11)</f>
        <v/>
      </c>
    </row>
    <row r="194">
      <c r="A194" s="7">
        <f>IF(B194="","",TEXT(B194,"yyyymmdd")&amp;"-"&amp;TEXT(ROW()-1,"000"))</f>
        <v/>
      </c>
      <c r="B194" s="8" t="n"/>
      <c r="C194" s="9" t="n"/>
      <c r="D194" s="9" t="n"/>
      <c r="E194" s="9" t="n"/>
      <c r="F194" s="9" t="n"/>
      <c r="G194" s="9" t="n"/>
      <c r="H194" s="9" t="n"/>
      <c r="I194" s="10" t="n"/>
      <c r="J194" s="11" t="n"/>
      <c r="K194" s="12" t="n"/>
      <c r="L194" s="11" t="n"/>
      <c r="M194" s="12" t="n"/>
      <c r="N194" s="9" t="n"/>
      <c r="O194" s="9" t="n"/>
      <c r="P194" s="10" t="n"/>
      <c r="Q194" s="11" t="n"/>
      <c r="R194" s="12" t="n"/>
      <c r="S194" s="12" t="n"/>
      <c r="T194" s="13">
        <f>IF(B194="","",B194+3)</f>
        <v/>
      </c>
      <c r="U194" s="13">
        <f>IF(B194="","",B194+5)</f>
        <v/>
      </c>
      <c r="V194" s="13">
        <f>IF(B194="","",B194+10)</f>
        <v/>
      </c>
      <c r="W194" s="14">
        <f>IF(B194="","",(--(B194&lt;&gt;"")+--(C194&lt;&gt;"")+--(D194&lt;&gt;"")+--(E194&lt;&gt;"")+--(F194&lt;&gt;"")+--(G194&lt;&gt;"")+--(H194&lt;&gt;"")+--(I194&lt;&gt;"")+--(N194&lt;&gt;"")+--(O194&lt;&gt;"")+--(P194&lt;&gt;""))/11)</f>
        <v/>
      </c>
    </row>
    <row r="195">
      <c r="A195" s="7">
        <f>IF(B195="","",TEXT(B195,"yyyymmdd")&amp;"-"&amp;TEXT(ROW()-1,"000"))</f>
        <v/>
      </c>
      <c r="B195" s="8" t="n"/>
      <c r="C195" s="9" t="n"/>
      <c r="D195" s="9" t="n"/>
      <c r="E195" s="9" t="n"/>
      <c r="F195" s="9" t="n"/>
      <c r="G195" s="9" t="n"/>
      <c r="H195" s="9" t="n"/>
      <c r="I195" s="10" t="n"/>
      <c r="J195" s="11" t="n"/>
      <c r="K195" s="12" t="n"/>
      <c r="L195" s="11" t="n"/>
      <c r="M195" s="12" t="n"/>
      <c r="N195" s="9" t="n"/>
      <c r="O195" s="9" t="n"/>
      <c r="P195" s="10" t="n"/>
      <c r="Q195" s="11" t="n"/>
      <c r="R195" s="12" t="n"/>
      <c r="S195" s="12" t="n"/>
      <c r="T195" s="13">
        <f>IF(B195="","",B195+3)</f>
        <v/>
      </c>
      <c r="U195" s="13">
        <f>IF(B195="","",B195+5)</f>
        <v/>
      </c>
      <c r="V195" s="13">
        <f>IF(B195="","",B195+10)</f>
        <v/>
      </c>
      <c r="W195" s="14">
        <f>IF(B195="","",(--(B195&lt;&gt;"")+--(C195&lt;&gt;"")+--(D195&lt;&gt;"")+--(E195&lt;&gt;"")+--(F195&lt;&gt;"")+--(G195&lt;&gt;"")+--(H195&lt;&gt;"")+--(I195&lt;&gt;"")+--(N195&lt;&gt;"")+--(O195&lt;&gt;"")+--(P195&lt;&gt;""))/11)</f>
        <v/>
      </c>
    </row>
    <row r="196">
      <c r="A196" s="7">
        <f>IF(B196="","",TEXT(B196,"yyyymmdd")&amp;"-"&amp;TEXT(ROW()-1,"000"))</f>
        <v/>
      </c>
      <c r="B196" s="8" t="n"/>
      <c r="C196" s="9" t="n"/>
      <c r="D196" s="9" t="n"/>
      <c r="E196" s="9" t="n"/>
      <c r="F196" s="9" t="n"/>
      <c r="G196" s="9" t="n"/>
      <c r="H196" s="9" t="n"/>
      <c r="I196" s="10" t="n"/>
      <c r="J196" s="11" t="n"/>
      <c r="K196" s="12" t="n"/>
      <c r="L196" s="11" t="n"/>
      <c r="M196" s="12" t="n"/>
      <c r="N196" s="9" t="n"/>
      <c r="O196" s="9" t="n"/>
      <c r="P196" s="10" t="n"/>
      <c r="Q196" s="11" t="n"/>
      <c r="R196" s="12" t="n"/>
      <c r="S196" s="12" t="n"/>
      <c r="T196" s="13">
        <f>IF(B196="","",B196+3)</f>
        <v/>
      </c>
      <c r="U196" s="13">
        <f>IF(B196="","",B196+5)</f>
        <v/>
      </c>
      <c r="V196" s="13">
        <f>IF(B196="","",B196+10)</f>
        <v/>
      </c>
      <c r="W196" s="14">
        <f>IF(B196="","",(--(B196&lt;&gt;"")+--(C196&lt;&gt;"")+--(D196&lt;&gt;"")+--(E196&lt;&gt;"")+--(F196&lt;&gt;"")+--(G196&lt;&gt;"")+--(H196&lt;&gt;"")+--(I196&lt;&gt;"")+--(N196&lt;&gt;"")+--(O196&lt;&gt;"")+--(P196&lt;&gt;""))/11)</f>
        <v/>
      </c>
    </row>
    <row r="197">
      <c r="A197" s="7">
        <f>IF(B197="","",TEXT(B197,"yyyymmdd")&amp;"-"&amp;TEXT(ROW()-1,"000"))</f>
        <v/>
      </c>
      <c r="B197" s="8" t="n"/>
      <c r="C197" s="9" t="n"/>
      <c r="D197" s="9" t="n"/>
      <c r="E197" s="9" t="n"/>
      <c r="F197" s="9" t="n"/>
      <c r="G197" s="9" t="n"/>
      <c r="H197" s="9" t="n"/>
      <c r="I197" s="10" t="n"/>
      <c r="J197" s="11" t="n"/>
      <c r="K197" s="12" t="n"/>
      <c r="L197" s="11" t="n"/>
      <c r="M197" s="12" t="n"/>
      <c r="N197" s="9" t="n"/>
      <c r="O197" s="9" t="n"/>
      <c r="P197" s="10" t="n"/>
      <c r="Q197" s="11" t="n"/>
      <c r="R197" s="12" t="n"/>
      <c r="S197" s="12" t="n"/>
      <c r="T197" s="13">
        <f>IF(B197="","",B197+3)</f>
        <v/>
      </c>
      <c r="U197" s="13">
        <f>IF(B197="","",B197+5)</f>
        <v/>
      </c>
      <c r="V197" s="13">
        <f>IF(B197="","",B197+10)</f>
        <v/>
      </c>
      <c r="W197" s="14">
        <f>IF(B197="","",(--(B197&lt;&gt;"")+--(C197&lt;&gt;"")+--(D197&lt;&gt;"")+--(E197&lt;&gt;"")+--(F197&lt;&gt;"")+--(G197&lt;&gt;"")+--(H197&lt;&gt;"")+--(I197&lt;&gt;"")+--(N197&lt;&gt;"")+--(O197&lt;&gt;"")+--(P197&lt;&gt;""))/11)</f>
        <v/>
      </c>
    </row>
    <row r="198">
      <c r="A198" s="7">
        <f>IF(B198="","",TEXT(B198,"yyyymmdd")&amp;"-"&amp;TEXT(ROW()-1,"000"))</f>
        <v/>
      </c>
      <c r="B198" s="8" t="n"/>
      <c r="C198" s="9" t="n"/>
      <c r="D198" s="9" t="n"/>
      <c r="E198" s="9" t="n"/>
      <c r="F198" s="9" t="n"/>
      <c r="G198" s="9" t="n"/>
      <c r="H198" s="9" t="n"/>
      <c r="I198" s="10" t="n"/>
      <c r="J198" s="11" t="n"/>
      <c r="K198" s="12" t="n"/>
      <c r="L198" s="11" t="n"/>
      <c r="M198" s="12" t="n"/>
      <c r="N198" s="9" t="n"/>
      <c r="O198" s="9" t="n"/>
      <c r="P198" s="10" t="n"/>
      <c r="Q198" s="11" t="n"/>
      <c r="R198" s="12" t="n"/>
      <c r="S198" s="12" t="n"/>
      <c r="T198" s="13">
        <f>IF(B198="","",B198+3)</f>
        <v/>
      </c>
      <c r="U198" s="13">
        <f>IF(B198="","",B198+5)</f>
        <v/>
      </c>
      <c r="V198" s="13">
        <f>IF(B198="","",B198+10)</f>
        <v/>
      </c>
      <c r="W198" s="14">
        <f>IF(B198="","",(--(B198&lt;&gt;"")+--(C198&lt;&gt;"")+--(D198&lt;&gt;"")+--(E198&lt;&gt;"")+--(F198&lt;&gt;"")+--(G198&lt;&gt;"")+--(H198&lt;&gt;"")+--(I198&lt;&gt;"")+--(N198&lt;&gt;"")+--(O198&lt;&gt;"")+--(P198&lt;&gt;""))/11)</f>
        <v/>
      </c>
    </row>
    <row r="199">
      <c r="A199" s="7">
        <f>IF(B199="","",TEXT(B199,"yyyymmdd")&amp;"-"&amp;TEXT(ROW()-1,"000"))</f>
        <v/>
      </c>
      <c r="B199" s="8" t="n"/>
      <c r="C199" s="9" t="n"/>
      <c r="D199" s="9" t="n"/>
      <c r="E199" s="9" t="n"/>
      <c r="F199" s="9" t="n"/>
      <c r="G199" s="9" t="n"/>
      <c r="H199" s="9" t="n"/>
      <c r="I199" s="10" t="n"/>
      <c r="J199" s="11" t="n"/>
      <c r="K199" s="12" t="n"/>
      <c r="L199" s="11" t="n"/>
      <c r="M199" s="12" t="n"/>
      <c r="N199" s="9" t="n"/>
      <c r="O199" s="9" t="n"/>
      <c r="P199" s="10" t="n"/>
      <c r="Q199" s="11" t="n"/>
      <c r="R199" s="12" t="n"/>
      <c r="S199" s="12" t="n"/>
      <c r="T199" s="13">
        <f>IF(B199="","",B199+3)</f>
        <v/>
      </c>
      <c r="U199" s="13">
        <f>IF(B199="","",B199+5)</f>
        <v/>
      </c>
      <c r="V199" s="13">
        <f>IF(B199="","",B199+10)</f>
        <v/>
      </c>
      <c r="W199" s="14">
        <f>IF(B199="","",(--(B199&lt;&gt;"")+--(C199&lt;&gt;"")+--(D199&lt;&gt;"")+--(E199&lt;&gt;"")+--(F199&lt;&gt;"")+--(G199&lt;&gt;"")+--(H199&lt;&gt;"")+--(I199&lt;&gt;"")+--(N199&lt;&gt;"")+--(O199&lt;&gt;"")+--(P199&lt;&gt;""))/11)</f>
        <v/>
      </c>
    </row>
    <row r="200">
      <c r="A200" s="7">
        <f>IF(B200="","",TEXT(B200,"yyyymmdd")&amp;"-"&amp;TEXT(ROW()-1,"000"))</f>
        <v/>
      </c>
      <c r="B200" s="8" t="n"/>
      <c r="C200" s="9" t="n"/>
      <c r="D200" s="9" t="n"/>
      <c r="E200" s="9" t="n"/>
      <c r="F200" s="9" t="n"/>
      <c r="G200" s="9" t="n"/>
      <c r="H200" s="9" t="n"/>
      <c r="I200" s="10" t="n"/>
      <c r="J200" s="11" t="n"/>
      <c r="K200" s="12" t="n"/>
      <c r="L200" s="11" t="n"/>
      <c r="M200" s="12" t="n"/>
      <c r="N200" s="9" t="n"/>
      <c r="O200" s="9" t="n"/>
      <c r="P200" s="10" t="n"/>
      <c r="Q200" s="11" t="n"/>
      <c r="R200" s="12" t="n"/>
      <c r="S200" s="12" t="n"/>
      <c r="T200" s="13">
        <f>IF(B200="","",B200+3)</f>
        <v/>
      </c>
      <c r="U200" s="13">
        <f>IF(B200="","",B200+5)</f>
        <v/>
      </c>
      <c r="V200" s="13">
        <f>IF(B200="","",B200+10)</f>
        <v/>
      </c>
      <c r="W200" s="14">
        <f>IF(B200="","",(--(B200&lt;&gt;"")+--(C200&lt;&gt;"")+--(D200&lt;&gt;"")+--(E200&lt;&gt;"")+--(F200&lt;&gt;"")+--(G200&lt;&gt;"")+--(H200&lt;&gt;"")+--(I200&lt;&gt;"")+--(N200&lt;&gt;"")+--(O200&lt;&gt;"")+--(P200&lt;&gt;""))/11)</f>
        <v/>
      </c>
    </row>
    <row r="201">
      <c r="A201" s="7">
        <f>IF(B201="","",TEXT(B201,"yyyymmdd")&amp;"-"&amp;TEXT(ROW()-1,"000"))</f>
        <v/>
      </c>
      <c r="B201" s="8" t="n"/>
      <c r="C201" s="9" t="n"/>
      <c r="D201" s="9" t="n"/>
      <c r="E201" s="9" t="n"/>
      <c r="F201" s="9" t="n"/>
      <c r="G201" s="9" t="n"/>
      <c r="H201" s="9" t="n"/>
      <c r="I201" s="10" t="n"/>
      <c r="J201" s="11" t="n"/>
      <c r="K201" s="12" t="n"/>
      <c r="L201" s="11" t="n"/>
      <c r="M201" s="12" t="n"/>
      <c r="N201" s="9" t="n"/>
      <c r="O201" s="9" t="n"/>
      <c r="P201" s="10" t="n"/>
      <c r="Q201" s="11" t="n"/>
      <c r="R201" s="12" t="n"/>
      <c r="S201" s="12" t="n"/>
      <c r="T201" s="13">
        <f>IF(B201="","",B201+3)</f>
        <v/>
      </c>
      <c r="U201" s="13">
        <f>IF(B201="","",B201+5)</f>
        <v/>
      </c>
      <c r="V201" s="13">
        <f>IF(B201="","",B201+10)</f>
        <v/>
      </c>
      <c r="W201" s="14">
        <f>IF(B201="","",(--(B201&lt;&gt;"")+--(C201&lt;&gt;"")+--(D201&lt;&gt;"")+--(E201&lt;&gt;"")+--(F201&lt;&gt;"")+--(G201&lt;&gt;"")+--(H201&lt;&gt;"")+--(I201&lt;&gt;"")+--(N201&lt;&gt;"")+--(O201&lt;&gt;"")+--(P201&lt;&gt;""))/11)</f>
        <v/>
      </c>
    </row>
    <row r="202">
      <c r="A202" s="7">
        <f>IF(B202="","",TEXT(B202,"yyyymmdd")&amp;"-"&amp;TEXT(ROW()-1,"000"))</f>
        <v/>
      </c>
      <c r="B202" s="8" t="n"/>
      <c r="C202" s="9" t="n"/>
      <c r="D202" s="9" t="n"/>
      <c r="E202" s="9" t="n"/>
      <c r="F202" s="9" t="n"/>
      <c r="G202" s="9" t="n"/>
      <c r="H202" s="9" t="n"/>
      <c r="I202" s="10" t="n"/>
      <c r="J202" s="11" t="n"/>
      <c r="K202" s="12" t="n"/>
      <c r="L202" s="11" t="n"/>
      <c r="M202" s="12" t="n"/>
      <c r="N202" s="9" t="n"/>
      <c r="O202" s="9" t="n"/>
      <c r="P202" s="10" t="n"/>
      <c r="Q202" s="11" t="n"/>
      <c r="R202" s="12" t="n"/>
      <c r="S202" s="12" t="n"/>
      <c r="T202" s="13">
        <f>IF(B202="","",B202+3)</f>
        <v/>
      </c>
      <c r="U202" s="13">
        <f>IF(B202="","",B202+5)</f>
        <v/>
      </c>
      <c r="V202" s="13">
        <f>IF(B202="","",B202+10)</f>
        <v/>
      </c>
      <c r="W202" s="14">
        <f>IF(B202="","",(--(B202&lt;&gt;"")+--(C202&lt;&gt;"")+--(D202&lt;&gt;"")+--(E202&lt;&gt;"")+--(F202&lt;&gt;"")+--(G202&lt;&gt;"")+--(H202&lt;&gt;"")+--(I202&lt;&gt;"")+--(N202&lt;&gt;"")+--(O202&lt;&gt;"")+--(P202&lt;&gt;""))/11)</f>
        <v/>
      </c>
    </row>
    <row r="203">
      <c r="A203" s="7">
        <f>IF(B203="","",TEXT(B203,"yyyymmdd")&amp;"-"&amp;TEXT(ROW()-1,"000"))</f>
        <v/>
      </c>
      <c r="B203" s="8" t="n"/>
      <c r="C203" s="9" t="n"/>
      <c r="D203" s="9" t="n"/>
      <c r="E203" s="9" t="n"/>
      <c r="F203" s="9" t="n"/>
      <c r="G203" s="9" t="n"/>
      <c r="H203" s="9" t="n"/>
      <c r="I203" s="10" t="n"/>
      <c r="J203" s="11" t="n"/>
      <c r="K203" s="12" t="n"/>
      <c r="L203" s="11" t="n"/>
      <c r="M203" s="12" t="n"/>
      <c r="N203" s="9" t="n"/>
      <c r="O203" s="9" t="n"/>
      <c r="P203" s="10" t="n"/>
      <c r="Q203" s="11" t="n"/>
      <c r="R203" s="12" t="n"/>
      <c r="S203" s="12" t="n"/>
      <c r="T203" s="13">
        <f>IF(B203="","",B203+3)</f>
        <v/>
      </c>
      <c r="U203" s="13">
        <f>IF(B203="","",B203+5)</f>
        <v/>
      </c>
      <c r="V203" s="13">
        <f>IF(B203="","",B203+10)</f>
        <v/>
      </c>
      <c r="W203" s="14">
        <f>IF(B203="","",(--(B203&lt;&gt;"")+--(C203&lt;&gt;"")+--(D203&lt;&gt;"")+--(E203&lt;&gt;"")+--(F203&lt;&gt;"")+--(G203&lt;&gt;"")+--(H203&lt;&gt;"")+--(I203&lt;&gt;"")+--(N203&lt;&gt;"")+--(O203&lt;&gt;"")+--(P203&lt;&gt;""))/11)</f>
        <v/>
      </c>
    </row>
    <row r="204">
      <c r="A204" s="7">
        <f>IF(B204="","",TEXT(B204,"yyyymmdd")&amp;"-"&amp;TEXT(ROW()-1,"000"))</f>
        <v/>
      </c>
      <c r="B204" s="8" t="n"/>
      <c r="C204" s="9" t="n"/>
      <c r="D204" s="9" t="n"/>
      <c r="E204" s="9" t="n"/>
      <c r="F204" s="9" t="n"/>
      <c r="G204" s="9" t="n"/>
      <c r="H204" s="9" t="n"/>
      <c r="I204" s="10" t="n"/>
      <c r="J204" s="11" t="n"/>
      <c r="K204" s="12" t="n"/>
      <c r="L204" s="11" t="n"/>
      <c r="M204" s="12" t="n"/>
      <c r="N204" s="9" t="n"/>
      <c r="O204" s="9" t="n"/>
      <c r="P204" s="10" t="n"/>
      <c r="Q204" s="11" t="n"/>
      <c r="R204" s="12" t="n"/>
      <c r="S204" s="12" t="n"/>
      <c r="T204" s="13">
        <f>IF(B204="","",B204+3)</f>
        <v/>
      </c>
      <c r="U204" s="13">
        <f>IF(B204="","",B204+5)</f>
        <v/>
      </c>
      <c r="V204" s="13">
        <f>IF(B204="","",B204+10)</f>
        <v/>
      </c>
      <c r="W204" s="14">
        <f>IF(B204="","",(--(B204&lt;&gt;"")+--(C204&lt;&gt;"")+--(D204&lt;&gt;"")+--(E204&lt;&gt;"")+--(F204&lt;&gt;"")+--(G204&lt;&gt;"")+--(H204&lt;&gt;"")+--(I204&lt;&gt;"")+--(N204&lt;&gt;"")+--(O204&lt;&gt;"")+--(P204&lt;&gt;""))/11)</f>
        <v/>
      </c>
    </row>
    <row r="205">
      <c r="A205" s="7">
        <f>IF(B205="","",TEXT(B205,"yyyymmdd")&amp;"-"&amp;TEXT(ROW()-1,"000"))</f>
        <v/>
      </c>
      <c r="B205" s="8" t="n"/>
      <c r="C205" s="9" t="n"/>
      <c r="D205" s="9" t="n"/>
      <c r="E205" s="9" t="n"/>
      <c r="F205" s="9" t="n"/>
      <c r="G205" s="9" t="n"/>
      <c r="H205" s="9" t="n"/>
      <c r="I205" s="10" t="n"/>
      <c r="J205" s="11" t="n"/>
      <c r="K205" s="12" t="n"/>
      <c r="L205" s="11" t="n"/>
      <c r="M205" s="12" t="n"/>
      <c r="N205" s="9" t="n"/>
      <c r="O205" s="9" t="n"/>
      <c r="P205" s="10" t="n"/>
      <c r="Q205" s="11" t="n"/>
      <c r="R205" s="12" t="n"/>
      <c r="S205" s="12" t="n"/>
      <c r="T205" s="13">
        <f>IF(B205="","",B205+3)</f>
        <v/>
      </c>
      <c r="U205" s="13">
        <f>IF(B205="","",B205+5)</f>
        <v/>
      </c>
      <c r="V205" s="13">
        <f>IF(B205="","",B205+10)</f>
        <v/>
      </c>
      <c r="W205" s="14">
        <f>IF(B205="","",(--(B205&lt;&gt;"")+--(C205&lt;&gt;"")+--(D205&lt;&gt;"")+--(E205&lt;&gt;"")+--(F205&lt;&gt;"")+--(G205&lt;&gt;"")+--(H205&lt;&gt;"")+--(I205&lt;&gt;"")+--(N205&lt;&gt;"")+--(O205&lt;&gt;"")+--(P205&lt;&gt;""))/11)</f>
        <v/>
      </c>
    </row>
    <row r="206">
      <c r="A206" s="7">
        <f>IF(B206="","",TEXT(B206,"yyyymmdd")&amp;"-"&amp;TEXT(ROW()-1,"000"))</f>
        <v/>
      </c>
      <c r="B206" s="8" t="n"/>
      <c r="C206" s="9" t="n"/>
      <c r="D206" s="9" t="n"/>
      <c r="E206" s="9" t="n"/>
      <c r="F206" s="9" t="n"/>
      <c r="G206" s="9" t="n"/>
      <c r="H206" s="9" t="n"/>
      <c r="I206" s="10" t="n"/>
      <c r="J206" s="11" t="n"/>
      <c r="K206" s="12" t="n"/>
      <c r="L206" s="11" t="n"/>
      <c r="M206" s="12" t="n"/>
      <c r="N206" s="9" t="n"/>
      <c r="O206" s="9" t="n"/>
      <c r="P206" s="10" t="n"/>
      <c r="Q206" s="11" t="n"/>
      <c r="R206" s="12" t="n"/>
      <c r="S206" s="12" t="n"/>
      <c r="T206" s="13">
        <f>IF(B206="","",B206+3)</f>
        <v/>
      </c>
      <c r="U206" s="13">
        <f>IF(B206="","",B206+5)</f>
        <v/>
      </c>
      <c r="V206" s="13">
        <f>IF(B206="","",B206+10)</f>
        <v/>
      </c>
      <c r="W206" s="14">
        <f>IF(B206="","",(--(B206&lt;&gt;"")+--(C206&lt;&gt;"")+--(D206&lt;&gt;"")+--(E206&lt;&gt;"")+--(F206&lt;&gt;"")+--(G206&lt;&gt;"")+--(H206&lt;&gt;"")+--(I206&lt;&gt;"")+--(N206&lt;&gt;"")+--(O206&lt;&gt;"")+--(P206&lt;&gt;""))/11)</f>
        <v/>
      </c>
    </row>
    <row r="207">
      <c r="A207" s="7">
        <f>IF(B207="","",TEXT(B207,"yyyymmdd")&amp;"-"&amp;TEXT(ROW()-1,"000"))</f>
        <v/>
      </c>
      <c r="B207" s="8" t="n"/>
      <c r="C207" s="9" t="n"/>
      <c r="D207" s="9" t="n"/>
      <c r="E207" s="9" t="n"/>
      <c r="F207" s="9" t="n"/>
      <c r="G207" s="9" t="n"/>
      <c r="H207" s="9" t="n"/>
      <c r="I207" s="10" t="n"/>
      <c r="J207" s="11" t="n"/>
      <c r="K207" s="12" t="n"/>
      <c r="L207" s="11" t="n"/>
      <c r="M207" s="12" t="n"/>
      <c r="N207" s="9" t="n"/>
      <c r="O207" s="9" t="n"/>
      <c r="P207" s="10" t="n"/>
      <c r="Q207" s="11" t="n"/>
      <c r="R207" s="12" t="n"/>
      <c r="S207" s="12" t="n"/>
      <c r="T207" s="13">
        <f>IF(B207="","",B207+3)</f>
        <v/>
      </c>
      <c r="U207" s="13">
        <f>IF(B207="","",B207+5)</f>
        <v/>
      </c>
      <c r="V207" s="13">
        <f>IF(B207="","",B207+10)</f>
        <v/>
      </c>
      <c r="W207" s="14">
        <f>IF(B207="","",(--(B207&lt;&gt;"")+--(C207&lt;&gt;"")+--(D207&lt;&gt;"")+--(E207&lt;&gt;"")+--(F207&lt;&gt;"")+--(G207&lt;&gt;"")+--(H207&lt;&gt;"")+--(I207&lt;&gt;"")+--(N207&lt;&gt;"")+--(O207&lt;&gt;"")+--(P207&lt;&gt;""))/11)</f>
        <v/>
      </c>
    </row>
    <row r="208">
      <c r="A208" s="7">
        <f>IF(B208="","",TEXT(B208,"yyyymmdd")&amp;"-"&amp;TEXT(ROW()-1,"000"))</f>
        <v/>
      </c>
      <c r="B208" s="8" t="n"/>
      <c r="C208" s="9" t="n"/>
      <c r="D208" s="9" t="n"/>
      <c r="E208" s="9" t="n"/>
      <c r="F208" s="9" t="n"/>
      <c r="G208" s="9" t="n"/>
      <c r="H208" s="9" t="n"/>
      <c r="I208" s="10" t="n"/>
      <c r="J208" s="11" t="n"/>
      <c r="K208" s="12" t="n"/>
      <c r="L208" s="11" t="n"/>
      <c r="M208" s="12" t="n"/>
      <c r="N208" s="9" t="n"/>
      <c r="O208" s="9" t="n"/>
      <c r="P208" s="10" t="n"/>
      <c r="Q208" s="11" t="n"/>
      <c r="R208" s="12" t="n"/>
      <c r="S208" s="12" t="n"/>
      <c r="T208" s="13">
        <f>IF(B208="","",B208+3)</f>
        <v/>
      </c>
      <c r="U208" s="13">
        <f>IF(B208="","",B208+5)</f>
        <v/>
      </c>
      <c r="V208" s="13">
        <f>IF(B208="","",B208+10)</f>
        <v/>
      </c>
      <c r="W208" s="14">
        <f>IF(B208="","",(--(B208&lt;&gt;"")+--(C208&lt;&gt;"")+--(D208&lt;&gt;"")+--(E208&lt;&gt;"")+--(F208&lt;&gt;"")+--(G208&lt;&gt;"")+--(H208&lt;&gt;"")+--(I208&lt;&gt;"")+--(N208&lt;&gt;"")+--(O208&lt;&gt;"")+--(P208&lt;&gt;""))/11)</f>
        <v/>
      </c>
    </row>
    <row r="209">
      <c r="A209" s="7">
        <f>IF(B209="","",TEXT(B209,"yyyymmdd")&amp;"-"&amp;TEXT(ROW()-1,"000"))</f>
        <v/>
      </c>
      <c r="B209" s="8" t="n"/>
      <c r="C209" s="9" t="n"/>
      <c r="D209" s="9" t="n"/>
      <c r="E209" s="9" t="n"/>
      <c r="F209" s="9" t="n"/>
      <c r="G209" s="9" t="n"/>
      <c r="H209" s="9" t="n"/>
      <c r="I209" s="10" t="n"/>
      <c r="J209" s="11" t="n"/>
      <c r="K209" s="12" t="n"/>
      <c r="L209" s="11" t="n"/>
      <c r="M209" s="12" t="n"/>
      <c r="N209" s="9" t="n"/>
      <c r="O209" s="9" t="n"/>
      <c r="P209" s="10" t="n"/>
      <c r="Q209" s="11" t="n"/>
      <c r="R209" s="12" t="n"/>
      <c r="S209" s="12" t="n"/>
      <c r="T209" s="13">
        <f>IF(B209="","",B209+3)</f>
        <v/>
      </c>
      <c r="U209" s="13">
        <f>IF(B209="","",B209+5)</f>
        <v/>
      </c>
      <c r="V209" s="13">
        <f>IF(B209="","",B209+10)</f>
        <v/>
      </c>
      <c r="W209" s="14">
        <f>IF(B209="","",(--(B209&lt;&gt;"")+--(C209&lt;&gt;"")+--(D209&lt;&gt;"")+--(E209&lt;&gt;"")+--(F209&lt;&gt;"")+--(G209&lt;&gt;"")+--(H209&lt;&gt;"")+--(I209&lt;&gt;"")+--(N209&lt;&gt;"")+--(O209&lt;&gt;"")+--(P209&lt;&gt;""))/11)</f>
        <v/>
      </c>
    </row>
    <row r="210">
      <c r="A210" s="7">
        <f>IF(B210="","",TEXT(B210,"yyyymmdd")&amp;"-"&amp;TEXT(ROW()-1,"000"))</f>
        <v/>
      </c>
      <c r="B210" s="8" t="n"/>
      <c r="C210" s="9" t="n"/>
      <c r="D210" s="9" t="n"/>
      <c r="E210" s="9" t="n"/>
      <c r="F210" s="9" t="n"/>
      <c r="G210" s="9" t="n"/>
      <c r="H210" s="9" t="n"/>
      <c r="I210" s="10" t="n"/>
      <c r="J210" s="11" t="n"/>
      <c r="K210" s="12" t="n"/>
      <c r="L210" s="11" t="n"/>
      <c r="M210" s="12" t="n"/>
      <c r="N210" s="9" t="n"/>
      <c r="O210" s="9" t="n"/>
      <c r="P210" s="10" t="n"/>
      <c r="Q210" s="11" t="n"/>
      <c r="R210" s="12" t="n"/>
      <c r="S210" s="12" t="n"/>
      <c r="T210" s="13">
        <f>IF(B210="","",B210+3)</f>
        <v/>
      </c>
      <c r="U210" s="13">
        <f>IF(B210="","",B210+5)</f>
        <v/>
      </c>
      <c r="V210" s="13">
        <f>IF(B210="","",B210+10)</f>
        <v/>
      </c>
      <c r="W210" s="14">
        <f>IF(B210="","",(--(B210&lt;&gt;"")+--(C210&lt;&gt;"")+--(D210&lt;&gt;"")+--(E210&lt;&gt;"")+--(F210&lt;&gt;"")+--(G210&lt;&gt;"")+--(H210&lt;&gt;"")+--(I210&lt;&gt;"")+--(N210&lt;&gt;"")+--(O210&lt;&gt;"")+--(P210&lt;&gt;""))/11)</f>
        <v/>
      </c>
    </row>
    <row r="211">
      <c r="A211" s="7">
        <f>IF(B211="","",TEXT(B211,"yyyymmdd")&amp;"-"&amp;TEXT(ROW()-1,"000"))</f>
        <v/>
      </c>
      <c r="B211" s="8" t="n"/>
      <c r="C211" s="9" t="n"/>
      <c r="D211" s="9" t="n"/>
      <c r="E211" s="9" t="n"/>
      <c r="F211" s="9" t="n"/>
      <c r="G211" s="9" t="n"/>
      <c r="H211" s="9" t="n"/>
      <c r="I211" s="10" t="n"/>
      <c r="J211" s="11" t="n"/>
      <c r="K211" s="12" t="n"/>
      <c r="L211" s="11" t="n"/>
      <c r="M211" s="12" t="n"/>
      <c r="N211" s="9" t="n"/>
      <c r="O211" s="9" t="n"/>
      <c r="P211" s="10" t="n"/>
      <c r="Q211" s="11" t="n"/>
      <c r="R211" s="12" t="n"/>
      <c r="S211" s="12" t="n"/>
      <c r="T211" s="13">
        <f>IF(B211="","",B211+3)</f>
        <v/>
      </c>
      <c r="U211" s="13">
        <f>IF(B211="","",B211+5)</f>
        <v/>
      </c>
      <c r="V211" s="13">
        <f>IF(B211="","",B211+10)</f>
        <v/>
      </c>
      <c r="W211" s="14">
        <f>IF(B211="","",(--(B211&lt;&gt;"")+--(C211&lt;&gt;"")+--(D211&lt;&gt;"")+--(E211&lt;&gt;"")+--(F211&lt;&gt;"")+--(G211&lt;&gt;"")+--(H211&lt;&gt;"")+--(I211&lt;&gt;"")+--(N211&lt;&gt;"")+--(O211&lt;&gt;"")+--(P211&lt;&gt;""))/11)</f>
        <v/>
      </c>
    </row>
    <row r="212">
      <c r="A212" s="7">
        <f>IF(B212="","",TEXT(B212,"yyyymmdd")&amp;"-"&amp;TEXT(ROW()-1,"000"))</f>
        <v/>
      </c>
      <c r="B212" s="8" t="n"/>
      <c r="C212" s="9" t="n"/>
      <c r="D212" s="9" t="n"/>
      <c r="E212" s="9" t="n"/>
      <c r="F212" s="9" t="n"/>
      <c r="G212" s="9" t="n"/>
      <c r="H212" s="9" t="n"/>
      <c r="I212" s="10" t="n"/>
      <c r="J212" s="11" t="n"/>
      <c r="K212" s="12" t="n"/>
      <c r="L212" s="11" t="n"/>
      <c r="M212" s="12" t="n"/>
      <c r="N212" s="9" t="n"/>
      <c r="O212" s="9" t="n"/>
      <c r="P212" s="10" t="n"/>
      <c r="Q212" s="11" t="n"/>
      <c r="R212" s="12" t="n"/>
      <c r="S212" s="12" t="n"/>
      <c r="T212" s="13">
        <f>IF(B212="","",B212+3)</f>
        <v/>
      </c>
      <c r="U212" s="13">
        <f>IF(B212="","",B212+5)</f>
        <v/>
      </c>
      <c r="V212" s="13">
        <f>IF(B212="","",B212+10)</f>
        <v/>
      </c>
      <c r="W212" s="14">
        <f>IF(B212="","",(--(B212&lt;&gt;"")+--(C212&lt;&gt;"")+--(D212&lt;&gt;"")+--(E212&lt;&gt;"")+--(F212&lt;&gt;"")+--(G212&lt;&gt;"")+--(H212&lt;&gt;"")+--(I212&lt;&gt;"")+--(N212&lt;&gt;"")+--(O212&lt;&gt;"")+--(P212&lt;&gt;""))/11)</f>
        <v/>
      </c>
    </row>
    <row r="213">
      <c r="A213" s="7">
        <f>IF(B213="","",TEXT(B213,"yyyymmdd")&amp;"-"&amp;TEXT(ROW()-1,"000"))</f>
        <v/>
      </c>
      <c r="B213" s="8" t="n"/>
      <c r="C213" s="9" t="n"/>
      <c r="D213" s="9" t="n"/>
      <c r="E213" s="9" t="n"/>
      <c r="F213" s="9" t="n"/>
      <c r="G213" s="9" t="n"/>
      <c r="H213" s="9" t="n"/>
      <c r="I213" s="10" t="n"/>
      <c r="J213" s="11" t="n"/>
      <c r="K213" s="12" t="n"/>
      <c r="L213" s="11" t="n"/>
      <c r="M213" s="12" t="n"/>
      <c r="N213" s="9" t="n"/>
      <c r="O213" s="9" t="n"/>
      <c r="P213" s="10" t="n"/>
      <c r="Q213" s="11" t="n"/>
      <c r="R213" s="12" t="n"/>
      <c r="S213" s="12" t="n"/>
      <c r="T213" s="13">
        <f>IF(B213="","",B213+3)</f>
        <v/>
      </c>
      <c r="U213" s="13">
        <f>IF(B213="","",B213+5)</f>
        <v/>
      </c>
      <c r="V213" s="13">
        <f>IF(B213="","",B213+10)</f>
        <v/>
      </c>
      <c r="W213" s="14">
        <f>IF(B213="","",(--(B213&lt;&gt;"")+--(C213&lt;&gt;"")+--(D213&lt;&gt;"")+--(E213&lt;&gt;"")+--(F213&lt;&gt;"")+--(G213&lt;&gt;"")+--(H213&lt;&gt;"")+--(I213&lt;&gt;"")+--(N213&lt;&gt;"")+--(O213&lt;&gt;"")+--(P213&lt;&gt;""))/11)</f>
        <v/>
      </c>
    </row>
    <row r="214">
      <c r="A214" s="7">
        <f>IF(B214="","",TEXT(B214,"yyyymmdd")&amp;"-"&amp;TEXT(ROW()-1,"000"))</f>
        <v/>
      </c>
      <c r="B214" s="8" t="n"/>
      <c r="C214" s="9" t="n"/>
      <c r="D214" s="9" t="n"/>
      <c r="E214" s="9" t="n"/>
      <c r="F214" s="9" t="n"/>
      <c r="G214" s="9" t="n"/>
      <c r="H214" s="9" t="n"/>
      <c r="I214" s="10" t="n"/>
      <c r="J214" s="11" t="n"/>
      <c r="K214" s="12" t="n"/>
      <c r="L214" s="11" t="n"/>
      <c r="M214" s="12" t="n"/>
      <c r="N214" s="9" t="n"/>
      <c r="O214" s="9" t="n"/>
      <c r="P214" s="10" t="n"/>
      <c r="Q214" s="11" t="n"/>
      <c r="R214" s="12" t="n"/>
      <c r="S214" s="12" t="n"/>
      <c r="T214" s="13">
        <f>IF(B214="","",B214+3)</f>
        <v/>
      </c>
      <c r="U214" s="13">
        <f>IF(B214="","",B214+5)</f>
        <v/>
      </c>
      <c r="V214" s="13">
        <f>IF(B214="","",B214+10)</f>
        <v/>
      </c>
      <c r="W214" s="14">
        <f>IF(B214="","",(--(B214&lt;&gt;"")+--(C214&lt;&gt;"")+--(D214&lt;&gt;"")+--(E214&lt;&gt;"")+--(F214&lt;&gt;"")+--(G214&lt;&gt;"")+--(H214&lt;&gt;"")+--(I214&lt;&gt;"")+--(N214&lt;&gt;"")+--(O214&lt;&gt;"")+--(P214&lt;&gt;""))/11)</f>
        <v/>
      </c>
    </row>
    <row r="215">
      <c r="A215" s="7">
        <f>IF(B215="","",TEXT(B215,"yyyymmdd")&amp;"-"&amp;TEXT(ROW()-1,"000"))</f>
        <v/>
      </c>
      <c r="B215" s="8" t="n"/>
      <c r="C215" s="9" t="n"/>
      <c r="D215" s="9" t="n"/>
      <c r="E215" s="9" t="n"/>
      <c r="F215" s="9" t="n"/>
      <c r="G215" s="9" t="n"/>
      <c r="H215" s="9" t="n"/>
      <c r="I215" s="10" t="n"/>
      <c r="J215" s="11" t="n"/>
      <c r="K215" s="12" t="n"/>
      <c r="L215" s="11" t="n"/>
      <c r="M215" s="12" t="n"/>
      <c r="N215" s="9" t="n"/>
      <c r="O215" s="9" t="n"/>
      <c r="P215" s="10" t="n"/>
      <c r="Q215" s="11" t="n"/>
      <c r="R215" s="12" t="n"/>
      <c r="S215" s="12" t="n"/>
      <c r="T215" s="13">
        <f>IF(B215="","",B215+3)</f>
        <v/>
      </c>
      <c r="U215" s="13">
        <f>IF(B215="","",B215+5)</f>
        <v/>
      </c>
      <c r="V215" s="13">
        <f>IF(B215="","",B215+10)</f>
        <v/>
      </c>
      <c r="W215" s="14">
        <f>IF(B215="","",(--(B215&lt;&gt;"")+--(C215&lt;&gt;"")+--(D215&lt;&gt;"")+--(E215&lt;&gt;"")+--(F215&lt;&gt;"")+--(G215&lt;&gt;"")+--(H215&lt;&gt;"")+--(I215&lt;&gt;"")+--(N215&lt;&gt;"")+--(O215&lt;&gt;"")+--(P215&lt;&gt;""))/11)</f>
        <v/>
      </c>
    </row>
    <row r="216">
      <c r="A216" s="7">
        <f>IF(B216="","",TEXT(B216,"yyyymmdd")&amp;"-"&amp;TEXT(ROW()-1,"000"))</f>
        <v/>
      </c>
      <c r="B216" s="8" t="n"/>
      <c r="C216" s="9" t="n"/>
      <c r="D216" s="9" t="n"/>
      <c r="E216" s="9" t="n"/>
      <c r="F216" s="9" t="n"/>
      <c r="G216" s="9" t="n"/>
      <c r="H216" s="9" t="n"/>
      <c r="I216" s="10" t="n"/>
      <c r="J216" s="11" t="n"/>
      <c r="K216" s="12" t="n"/>
      <c r="L216" s="11" t="n"/>
      <c r="M216" s="12" t="n"/>
      <c r="N216" s="9" t="n"/>
      <c r="O216" s="9" t="n"/>
      <c r="P216" s="10" t="n"/>
      <c r="Q216" s="11" t="n"/>
      <c r="R216" s="12" t="n"/>
      <c r="S216" s="12" t="n"/>
      <c r="T216" s="13">
        <f>IF(B216="","",B216+3)</f>
        <v/>
      </c>
      <c r="U216" s="13">
        <f>IF(B216="","",B216+5)</f>
        <v/>
      </c>
      <c r="V216" s="13">
        <f>IF(B216="","",B216+10)</f>
        <v/>
      </c>
      <c r="W216" s="14">
        <f>IF(B216="","",(--(B216&lt;&gt;"")+--(C216&lt;&gt;"")+--(D216&lt;&gt;"")+--(E216&lt;&gt;"")+--(F216&lt;&gt;"")+--(G216&lt;&gt;"")+--(H216&lt;&gt;"")+--(I216&lt;&gt;"")+--(N216&lt;&gt;"")+--(O216&lt;&gt;"")+--(P216&lt;&gt;""))/11)</f>
        <v/>
      </c>
    </row>
    <row r="217">
      <c r="A217" s="7">
        <f>IF(B217="","",TEXT(B217,"yyyymmdd")&amp;"-"&amp;TEXT(ROW()-1,"000"))</f>
        <v/>
      </c>
      <c r="B217" s="8" t="n"/>
      <c r="C217" s="9" t="n"/>
      <c r="D217" s="9" t="n"/>
      <c r="E217" s="9" t="n"/>
      <c r="F217" s="9" t="n"/>
      <c r="G217" s="9" t="n"/>
      <c r="H217" s="9" t="n"/>
      <c r="I217" s="10" t="n"/>
      <c r="J217" s="11" t="n"/>
      <c r="K217" s="12" t="n"/>
      <c r="L217" s="11" t="n"/>
      <c r="M217" s="12" t="n"/>
      <c r="N217" s="9" t="n"/>
      <c r="O217" s="9" t="n"/>
      <c r="P217" s="10" t="n"/>
      <c r="Q217" s="11" t="n"/>
      <c r="R217" s="12" t="n"/>
      <c r="S217" s="12" t="n"/>
      <c r="T217" s="13">
        <f>IF(B217="","",B217+3)</f>
        <v/>
      </c>
      <c r="U217" s="13">
        <f>IF(B217="","",B217+5)</f>
        <v/>
      </c>
      <c r="V217" s="13">
        <f>IF(B217="","",B217+10)</f>
        <v/>
      </c>
      <c r="W217" s="14">
        <f>IF(B217="","",(--(B217&lt;&gt;"")+--(C217&lt;&gt;"")+--(D217&lt;&gt;"")+--(E217&lt;&gt;"")+--(F217&lt;&gt;"")+--(G217&lt;&gt;"")+--(H217&lt;&gt;"")+--(I217&lt;&gt;"")+--(N217&lt;&gt;"")+--(O217&lt;&gt;"")+--(P217&lt;&gt;""))/11)</f>
        <v/>
      </c>
    </row>
    <row r="218">
      <c r="A218" s="7">
        <f>IF(B218="","",TEXT(B218,"yyyymmdd")&amp;"-"&amp;TEXT(ROW()-1,"000"))</f>
        <v/>
      </c>
      <c r="B218" s="8" t="n"/>
      <c r="C218" s="9" t="n"/>
      <c r="D218" s="9" t="n"/>
      <c r="E218" s="9" t="n"/>
      <c r="F218" s="9" t="n"/>
      <c r="G218" s="9" t="n"/>
      <c r="H218" s="9" t="n"/>
      <c r="I218" s="10" t="n"/>
      <c r="J218" s="11" t="n"/>
      <c r="K218" s="12" t="n"/>
      <c r="L218" s="11" t="n"/>
      <c r="M218" s="12" t="n"/>
      <c r="N218" s="9" t="n"/>
      <c r="O218" s="9" t="n"/>
      <c r="P218" s="10" t="n"/>
      <c r="Q218" s="11" t="n"/>
      <c r="R218" s="12" t="n"/>
      <c r="S218" s="12" t="n"/>
      <c r="T218" s="13">
        <f>IF(B218="","",B218+3)</f>
        <v/>
      </c>
      <c r="U218" s="13">
        <f>IF(B218="","",B218+5)</f>
        <v/>
      </c>
      <c r="V218" s="13">
        <f>IF(B218="","",B218+10)</f>
        <v/>
      </c>
      <c r="W218" s="14">
        <f>IF(B218="","",(--(B218&lt;&gt;"")+--(C218&lt;&gt;"")+--(D218&lt;&gt;"")+--(E218&lt;&gt;"")+--(F218&lt;&gt;"")+--(G218&lt;&gt;"")+--(H218&lt;&gt;"")+--(I218&lt;&gt;"")+--(N218&lt;&gt;"")+--(O218&lt;&gt;"")+--(P218&lt;&gt;""))/11)</f>
        <v/>
      </c>
    </row>
    <row r="219">
      <c r="A219" s="7">
        <f>IF(B219="","",TEXT(B219,"yyyymmdd")&amp;"-"&amp;TEXT(ROW()-1,"000"))</f>
        <v/>
      </c>
      <c r="B219" s="8" t="n"/>
      <c r="C219" s="9" t="n"/>
      <c r="D219" s="9" t="n"/>
      <c r="E219" s="9" t="n"/>
      <c r="F219" s="9" t="n"/>
      <c r="G219" s="9" t="n"/>
      <c r="H219" s="9" t="n"/>
      <c r="I219" s="10" t="n"/>
      <c r="J219" s="11" t="n"/>
      <c r="K219" s="12" t="n"/>
      <c r="L219" s="11" t="n"/>
      <c r="M219" s="12" t="n"/>
      <c r="N219" s="9" t="n"/>
      <c r="O219" s="9" t="n"/>
      <c r="P219" s="10" t="n"/>
      <c r="Q219" s="11" t="n"/>
      <c r="R219" s="12" t="n"/>
      <c r="S219" s="12" t="n"/>
      <c r="T219" s="13">
        <f>IF(B219="","",B219+3)</f>
        <v/>
      </c>
      <c r="U219" s="13">
        <f>IF(B219="","",B219+5)</f>
        <v/>
      </c>
      <c r="V219" s="13">
        <f>IF(B219="","",B219+10)</f>
        <v/>
      </c>
      <c r="W219" s="14">
        <f>IF(B219="","",(--(B219&lt;&gt;"")+--(C219&lt;&gt;"")+--(D219&lt;&gt;"")+--(E219&lt;&gt;"")+--(F219&lt;&gt;"")+--(G219&lt;&gt;"")+--(H219&lt;&gt;"")+--(I219&lt;&gt;"")+--(N219&lt;&gt;"")+--(O219&lt;&gt;"")+--(P219&lt;&gt;""))/11)</f>
        <v/>
      </c>
    </row>
    <row r="220">
      <c r="A220" s="7">
        <f>IF(B220="","",TEXT(B220,"yyyymmdd")&amp;"-"&amp;TEXT(ROW()-1,"000"))</f>
        <v/>
      </c>
      <c r="B220" s="8" t="n"/>
      <c r="C220" s="9" t="n"/>
      <c r="D220" s="9" t="n"/>
      <c r="E220" s="9" t="n"/>
      <c r="F220" s="9" t="n"/>
      <c r="G220" s="9" t="n"/>
      <c r="H220" s="9" t="n"/>
      <c r="I220" s="10" t="n"/>
      <c r="J220" s="11" t="n"/>
      <c r="K220" s="12" t="n"/>
      <c r="L220" s="11" t="n"/>
      <c r="M220" s="12" t="n"/>
      <c r="N220" s="9" t="n"/>
      <c r="O220" s="9" t="n"/>
      <c r="P220" s="10" t="n"/>
      <c r="Q220" s="11" t="n"/>
      <c r="R220" s="12" t="n"/>
      <c r="S220" s="12" t="n"/>
      <c r="T220" s="13">
        <f>IF(B220="","",B220+3)</f>
        <v/>
      </c>
      <c r="U220" s="13">
        <f>IF(B220="","",B220+5)</f>
        <v/>
      </c>
      <c r="V220" s="13">
        <f>IF(B220="","",B220+10)</f>
        <v/>
      </c>
      <c r="W220" s="14">
        <f>IF(B220="","",(--(B220&lt;&gt;"")+--(C220&lt;&gt;"")+--(D220&lt;&gt;"")+--(E220&lt;&gt;"")+--(F220&lt;&gt;"")+--(G220&lt;&gt;"")+--(H220&lt;&gt;"")+--(I220&lt;&gt;"")+--(N220&lt;&gt;"")+--(O220&lt;&gt;"")+--(P220&lt;&gt;""))/11)</f>
        <v/>
      </c>
    </row>
    <row r="221">
      <c r="A221" s="7">
        <f>IF(B221="","",TEXT(B221,"yyyymmdd")&amp;"-"&amp;TEXT(ROW()-1,"000"))</f>
        <v/>
      </c>
      <c r="B221" s="8" t="n"/>
      <c r="C221" s="9" t="n"/>
      <c r="D221" s="9" t="n"/>
      <c r="E221" s="9" t="n"/>
      <c r="F221" s="9" t="n"/>
      <c r="G221" s="9" t="n"/>
      <c r="H221" s="9" t="n"/>
      <c r="I221" s="10" t="n"/>
      <c r="J221" s="11" t="n"/>
      <c r="K221" s="12" t="n"/>
      <c r="L221" s="11" t="n"/>
      <c r="M221" s="12" t="n"/>
      <c r="N221" s="9" t="n"/>
      <c r="O221" s="9" t="n"/>
      <c r="P221" s="10" t="n"/>
      <c r="Q221" s="11" t="n"/>
      <c r="R221" s="12" t="n"/>
      <c r="S221" s="12" t="n"/>
      <c r="T221" s="13">
        <f>IF(B221="","",B221+3)</f>
        <v/>
      </c>
      <c r="U221" s="13">
        <f>IF(B221="","",B221+5)</f>
        <v/>
      </c>
      <c r="V221" s="13">
        <f>IF(B221="","",B221+10)</f>
        <v/>
      </c>
      <c r="W221" s="14">
        <f>IF(B221="","",(--(B221&lt;&gt;"")+--(C221&lt;&gt;"")+--(D221&lt;&gt;"")+--(E221&lt;&gt;"")+--(F221&lt;&gt;"")+--(G221&lt;&gt;"")+--(H221&lt;&gt;"")+--(I221&lt;&gt;"")+--(N221&lt;&gt;"")+--(O221&lt;&gt;"")+--(P221&lt;&gt;""))/11)</f>
        <v/>
      </c>
    </row>
    <row r="222">
      <c r="A222" s="7">
        <f>IF(B222="","",TEXT(B222,"yyyymmdd")&amp;"-"&amp;TEXT(ROW()-1,"000"))</f>
        <v/>
      </c>
      <c r="B222" s="8" t="n"/>
      <c r="C222" s="9" t="n"/>
      <c r="D222" s="9" t="n"/>
      <c r="E222" s="9" t="n"/>
      <c r="F222" s="9" t="n"/>
      <c r="G222" s="9" t="n"/>
      <c r="H222" s="9" t="n"/>
      <c r="I222" s="10" t="n"/>
      <c r="J222" s="11" t="n"/>
      <c r="K222" s="12" t="n"/>
      <c r="L222" s="11" t="n"/>
      <c r="M222" s="12" t="n"/>
      <c r="N222" s="9" t="n"/>
      <c r="O222" s="9" t="n"/>
      <c r="P222" s="10" t="n"/>
      <c r="Q222" s="11" t="n"/>
      <c r="R222" s="12" t="n"/>
      <c r="S222" s="12" t="n"/>
      <c r="T222" s="13">
        <f>IF(B222="","",B222+3)</f>
        <v/>
      </c>
      <c r="U222" s="13">
        <f>IF(B222="","",B222+5)</f>
        <v/>
      </c>
      <c r="V222" s="13">
        <f>IF(B222="","",B222+10)</f>
        <v/>
      </c>
      <c r="W222" s="14">
        <f>IF(B222="","",(--(B222&lt;&gt;"")+--(C222&lt;&gt;"")+--(D222&lt;&gt;"")+--(E222&lt;&gt;"")+--(F222&lt;&gt;"")+--(G222&lt;&gt;"")+--(H222&lt;&gt;"")+--(I222&lt;&gt;"")+--(N222&lt;&gt;"")+--(O222&lt;&gt;"")+--(P222&lt;&gt;""))/11)</f>
        <v/>
      </c>
    </row>
    <row r="223">
      <c r="A223" s="7">
        <f>IF(B223="","",TEXT(B223,"yyyymmdd")&amp;"-"&amp;TEXT(ROW()-1,"000"))</f>
        <v/>
      </c>
      <c r="B223" s="8" t="n"/>
      <c r="C223" s="9" t="n"/>
      <c r="D223" s="9" t="n"/>
      <c r="E223" s="9" t="n"/>
      <c r="F223" s="9" t="n"/>
      <c r="G223" s="9" t="n"/>
      <c r="H223" s="9" t="n"/>
      <c r="I223" s="10" t="n"/>
      <c r="J223" s="11" t="n"/>
      <c r="K223" s="12" t="n"/>
      <c r="L223" s="11" t="n"/>
      <c r="M223" s="12" t="n"/>
      <c r="N223" s="9" t="n"/>
      <c r="O223" s="9" t="n"/>
      <c r="P223" s="10" t="n"/>
      <c r="Q223" s="11" t="n"/>
      <c r="R223" s="12" t="n"/>
      <c r="S223" s="12" t="n"/>
      <c r="T223" s="13">
        <f>IF(B223="","",B223+3)</f>
        <v/>
      </c>
      <c r="U223" s="13">
        <f>IF(B223="","",B223+5)</f>
        <v/>
      </c>
      <c r="V223" s="13">
        <f>IF(B223="","",B223+10)</f>
        <v/>
      </c>
      <c r="W223" s="14">
        <f>IF(B223="","",(--(B223&lt;&gt;"")+--(C223&lt;&gt;"")+--(D223&lt;&gt;"")+--(E223&lt;&gt;"")+--(F223&lt;&gt;"")+--(G223&lt;&gt;"")+--(H223&lt;&gt;"")+--(I223&lt;&gt;"")+--(N223&lt;&gt;"")+--(O223&lt;&gt;"")+--(P223&lt;&gt;""))/11)</f>
        <v/>
      </c>
    </row>
    <row r="224">
      <c r="A224" s="7">
        <f>IF(B224="","",TEXT(B224,"yyyymmdd")&amp;"-"&amp;TEXT(ROW()-1,"000"))</f>
        <v/>
      </c>
      <c r="B224" s="8" t="n"/>
      <c r="C224" s="9" t="n"/>
      <c r="D224" s="9" t="n"/>
      <c r="E224" s="9" t="n"/>
      <c r="F224" s="9" t="n"/>
      <c r="G224" s="9" t="n"/>
      <c r="H224" s="9" t="n"/>
      <c r="I224" s="10" t="n"/>
      <c r="J224" s="11" t="n"/>
      <c r="K224" s="12" t="n"/>
      <c r="L224" s="11" t="n"/>
      <c r="M224" s="12" t="n"/>
      <c r="N224" s="9" t="n"/>
      <c r="O224" s="9" t="n"/>
      <c r="P224" s="10" t="n"/>
      <c r="Q224" s="11" t="n"/>
      <c r="R224" s="12" t="n"/>
      <c r="S224" s="12" t="n"/>
      <c r="T224" s="13">
        <f>IF(B224="","",B224+3)</f>
        <v/>
      </c>
      <c r="U224" s="13">
        <f>IF(B224="","",B224+5)</f>
        <v/>
      </c>
      <c r="V224" s="13">
        <f>IF(B224="","",B224+10)</f>
        <v/>
      </c>
      <c r="W224" s="14">
        <f>IF(B224="","",(--(B224&lt;&gt;"")+--(C224&lt;&gt;"")+--(D224&lt;&gt;"")+--(E224&lt;&gt;"")+--(F224&lt;&gt;"")+--(G224&lt;&gt;"")+--(H224&lt;&gt;"")+--(I224&lt;&gt;"")+--(N224&lt;&gt;"")+--(O224&lt;&gt;"")+--(P224&lt;&gt;""))/11)</f>
        <v/>
      </c>
    </row>
    <row r="225">
      <c r="A225" s="7">
        <f>IF(B225="","",TEXT(B225,"yyyymmdd")&amp;"-"&amp;TEXT(ROW()-1,"000"))</f>
        <v/>
      </c>
      <c r="B225" s="8" t="n"/>
      <c r="C225" s="9" t="n"/>
      <c r="D225" s="9" t="n"/>
      <c r="E225" s="9" t="n"/>
      <c r="F225" s="9" t="n"/>
      <c r="G225" s="9" t="n"/>
      <c r="H225" s="9" t="n"/>
      <c r="I225" s="10" t="n"/>
      <c r="J225" s="11" t="n"/>
      <c r="K225" s="12" t="n"/>
      <c r="L225" s="11" t="n"/>
      <c r="M225" s="12" t="n"/>
      <c r="N225" s="9" t="n"/>
      <c r="O225" s="9" t="n"/>
      <c r="P225" s="10" t="n"/>
      <c r="Q225" s="11" t="n"/>
      <c r="R225" s="12" t="n"/>
      <c r="S225" s="12" t="n"/>
      <c r="T225" s="13">
        <f>IF(B225="","",B225+3)</f>
        <v/>
      </c>
      <c r="U225" s="13">
        <f>IF(B225="","",B225+5)</f>
        <v/>
      </c>
      <c r="V225" s="13">
        <f>IF(B225="","",B225+10)</f>
        <v/>
      </c>
      <c r="W225" s="14">
        <f>IF(B225="","",(--(B225&lt;&gt;"")+--(C225&lt;&gt;"")+--(D225&lt;&gt;"")+--(E225&lt;&gt;"")+--(F225&lt;&gt;"")+--(G225&lt;&gt;"")+--(H225&lt;&gt;"")+--(I225&lt;&gt;"")+--(N225&lt;&gt;"")+--(O225&lt;&gt;"")+--(P225&lt;&gt;""))/11)</f>
        <v/>
      </c>
    </row>
    <row r="226">
      <c r="A226" s="7">
        <f>IF(B226="","",TEXT(B226,"yyyymmdd")&amp;"-"&amp;TEXT(ROW()-1,"000"))</f>
        <v/>
      </c>
      <c r="B226" s="8" t="n"/>
      <c r="C226" s="9" t="n"/>
      <c r="D226" s="9" t="n"/>
      <c r="E226" s="9" t="n"/>
      <c r="F226" s="9" t="n"/>
      <c r="G226" s="9" t="n"/>
      <c r="H226" s="9" t="n"/>
      <c r="I226" s="10" t="n"/>
      <c r="J226" s="11" t="n"/>
      <c r="K226" s="12" t="n"/>
      <c r="L226" s="11" t="n"/>
      <c r="M226" s="12" t="n"/>
      <c r="N226" s="9" t="n"/>
      <c r="O226" s="9" t="n"/>
      <c r="P226" s="10" t="n"/>
      <c r="Q226" s="11" t="n"/>
      <c r="R226" s="12" t="n"/>
      <c r="S226" s="12" t="n"/>
      <c r="T226" s="13">
        <f>IF(B226="","",B226+3)</f>
        <v/>
      </c>
      <c r="U226" s="13">
        <f>IF(B226="","",B226+5)</f>
        <v/>
      </c>
      <c r="V226" s="13">
        <f>IF(B226="","",B226+10)</f>
        <v/>
      </c>
      <c r="W226" s="14">
        <f>IF(B226="","",(--(B226&lt;&gt;"")+--(C226&lt;&gt;"")+--(D226&lt;&gt;"")+--(E226&lt;&gt;"")+--(F226&lt;&gt;"")+--(G226&lt;&gt;"")+--(H226&lt;&gt;"")+--(I226&lt;&gt;"")+--(N226&lt;&gt;"")+--(O226&lt;&gt;"")+--(P226&lt;&gt;""))/11)</f>
        <v/>
      </c>
    </row>
    <row r="227">
      <c r="A227" s="7">
        <f>IF(B227="","",TEXT(B227,"yyyymmdd")&amp;"-"&amp;TEXT(ROW()-1,"000"))</f>
        <v/>
      </c>
      <c r="B227" s="8" t="n"/>
      <c r="C227" s="9" t="n"/>
      <c r="D227" s="9" t="n"/>
      <c r="E227" s="9" t="n"/>
      <c r="F227" s="9" t="n"/>
      <c r="G227" s="9" t="n"/>
      <c r="H227" s="9" t="n"/>
      <c r="I227" s="10" t="n"/>
      <c r="J227" s="11" t="n"/>
      <c r="K227" s="12" t="n"/>
      <c r="L227" s="11" t="n"/>
      <c r="M227" s="12" t="n"/>
      <c r="N227" s="9" t="n"/>
      <c r="O227" s="9" t="n"/>
      <c r="P227" s="10" t="n"/>
      <c r="Q227" s="11" t="n"/>
      <c r="R227" s="12" t="n"/>
      <c r="S227" s="12" t="n"/>
      <c r="T227" s="13">
        <f>IF(B227="","",B227+3)</f>
        <v/>
      </c>
      <c r="U227" s="13">
        <f>IF(B227="","",B227+5)</f>
        <v/>
      </c>
      <c r="V227" s="13">
        <f>IF(B227="","",B227+10)</f>
        <v/>
      </c>
      <c r="W227" s="14">
        <f>IF(B227="","",(--(B227&lt;&gt;"")+--(C227&lt;&gt;"")+--(D227&lt;&gt;"")+--(E227&lt;&gt;"")+--(F227&lt;&gt;"")+--(G227&lt;&gt;"")+--(H227&lt;&gt;"")+--(I227&lt;&gt;"")+--(N227&lt;&gt;"")+--(O227&lt;&gt;"")+--(P227&lt;&gt;""))/11)</f>
        <v/>
      </c>
    </row>
    <row r="228">
      <c r="A228" s="7">
        <f>IF(B228="","",TEXT(B228,"yyyymmdd")&amp;"-"&amp;TEXT(ROW()-1,"000"))</f>
        <v/>
      </c>
      <c r="B228" s="8" t="n"/>
      <c r="C228" s="9" t="n"/>
      <c r="D228" s="9" t="n"/>
      <c r="E228" s="9" t="n"/>
      <c r="F228" s="9" t="n"/>
      <c r="G228" s="9" t="n"/>
      <c r="H228" s="9" t="n"/>
      <c r="I228" s="10" t="n"/>
      <c r="J228" s="11" t="n"/>
      <c r="K228" s="12" t="n"/>
      <c r="L228" s="11" t="n"/>
      <c r="M228" s="12" t="n"/>
      <c r="N228" s="9" t="n"/>
      <c r="O228" s="9" t="n"/>
      <c r="P228" s="10" t="n"/>
      <c r="Q228" s="11" t="n"/>
      <c r="R228" s="12" t="n"/>
      <c r="S228" s="12" t="n"/>
      <c r="T228" s="13">
        <f>IF(B228="","",B228+3)</f>
        <v/>
      </c>
      <c r="U228" s="13">
        <f>IF(B228="","",B228+5)</f>
        <v/>
      </c>
      <c r="V228" s="13">
        <f>IF(B228="","",B228+10)</f>
        <v/>
      </c>
      <c r="W228" s="14">
        <f>IF(B228="","",(--(B228&lt;&gt;"")+--(C228&lt;&gt;"")+--(D228&lt;&gt;"")+--(E228&lt;&gt;"")+--(F228&lt;&gt;"")+--(G228&lt;&gt;"")+--(H228&lt;&gt;"")+--(I228&lt;&gt;"")+--(N228&lt;&gt;"")+--(O228&lt;&gt;"")+--(P228&lt;&gt;""))/11)</f>
        <v/>
      </c>
    </row>
    <row r="229">
      <c r="A229" s="7">
        <f>IF(B229="","",TEXT(B229,"yyyymmdd")&amp;"-"&amp;TEXT(ROW()-1,"000"))</f>
        <v/>
      </c>
      <c r="B229" s="8" t="n"/>
      <c r="C229" s="9" t="n"/>
      <c r="D229" s="9" t="n"/>
      <c r="E229" s="9" t="n"/>
      <c r="F229" s="9" t="n"/>
      <c r="G229" s="9" t="n"/>
      <c r="H229" s="9" t="n"/>
      <c r="I229" s="10" t="n"/>
      <c r="J229" s="11" t="n"/>
      <c r="K229" s="12" t="n"/>
      <c r="L229" s="11" t="n"/>
      <c r="M229" s="12" t="n"/>
      <c r="N229" s="9" t="n"/>
      <c r="O229" s="9" t="n"/>
      <c r="P229" s="10" t="n"/>
      <c r="Q229" s="11" t="n"/>
      <c r="R229" s="12" t="n"/>
      <c r="S229" s="12" t="n"/>
      <c r="T229" s="13">
        <f>IF(B229="","",B229+3)</f>
        <v/>
      </c>
      <c r="U229" s="13">
        <f>IF(B229="","",B229+5)</f>
        <v/>
      </c>
      <c r="V229" s="13">
        <f>IF(B229="","",B229+10)</f>
        <v/>
      </c>
      <c r="W229" s="14">
        <f>IF(B229="","",(--(B229&lt;&gt;"")+--(C229&lt;&gt;"")+--(D229&lt;&gt;"")+--(E229&lt;&gt;"")+--(F229&lt;&gt;"")+--(G229&lt;&gt;"")+--(H229&lt;&gt;"")+--(I229&lt;&gt;"")+--(N229&lt;&gt;"")+--(O229&lt;&gt;"")+--(P229&lt;&gt;""))/11)</f>
        <v/>
      </c>
    </row>
    <row r="230">
      <c r="A230" s="7">
        <f>IF(B230="","",TEXT(B230,"yyyymmdd")&amp;"-"&amp;TEXT(ROW()-1,"000"))</f>
        <v/>
      </c>
      <c r="B230" s="8" t="n"/>
      <c r="C230" s="9" t="n"/>
      <c r="D230" s="9" t="n"/>
      <c r="E230" s="9" t="n"/>
      <c r="F230" s="9" t="n"/>
      <c r="G230" s="9" t="n"/>
      <c r="H230" s="9" t="n"/>
      <c r="I230" s="10" t="n"/>
      <c r="J230" s="11" t="n"/>
      <c r="K230" s="12" t="n"/>
      <c r="L230" s="11" t="n"/>
      <c r="M230" s="12" t="n"/>
      <c r="N230" s="9" t="n"/>
      <c r="O230" s="9" t="n"/>
      <c r="P230" s="10" t="n"/>
      <c r="Q230" s="11" t="n"/>
      <c r="R230" s="12" t="n"/>
      <c r="S230" s="12" t="n"/>
      <c r="T230" s="13">
        <f>IF(B230="","",B230+3)</f>
        <v/>
      </c>
      <c r="U230" s="13">
        <f>IF(B230="","",B230+5)</f>
        <v/>
      </c>
      <c r="V230" s="13">
        <f>IF(B230="","",B230+10)</f>
        <v/>
      </c>
      <c r="W230" s="14">
        <f>IF(B230="","",(--(B230&lt;&gt;"")+--(C230&lt;&gt;"")+--(D230&lt;&gt;"")+--(E230&lt;&gt;"")+--(F230&lt;&gt;"")+--(G230&lt;&gt;"")+--(H230&lt;&gt;"")+--(I230&lt;&gt;"")+--(N230&lt;&gt;"")+--(O230&lt;&gt;"")+--(P230&lt;&gt;""))/11)</f>
        <v/>
      </c>
    </row>
    <row r="231">
      <c r="A231" s="7">
        <f>IF(B231="","",TEXT(B231,"yyyymmdd")&amp;"-"&amp;TEXT(ROW()-1,"000"))</f>
        <v/>
      </c>
      <c r="B231" s="8" t="n"/>
      <c r="C231" s="9" t="n"/>
      <c r="D231" s="9" t="n"/>
      <c r="E231" s="9" t="n"/>
      <c r="F231" s="9" t="n"/>
      <c r="G231" s="9" t="n"/>
      <c r="H231" s="9" t="n"/>
      <c r="I231" s="10" t="n"/>
      <c r="J231" s="11" t="n"/>
      <c r="K231" s="12" t="n"/>
      <c r="L231" s="11" t="n"/>
      <c r="M231" s="12" t="n"/>
      <c r="N231" s="9" t="n"/>
      <c r="O231" s="9" t="n"/>
      <c r="P231" s="10" t="n"/>
      <c r="Q231" s="11" t="n"/>
      <c r="R231" s="12" t="n"/>
      <c r="S231" s="12" t="n"/>
      <c r="T231" s="13">
        <f>IF(B231="","",B231+3)</f>
        <v/>
      </c>
      <c r="U231" s="13">
        <f>IF(B231="","",B231+5)</f>
        <v/>
      </c>
      <c r="V231" s="13">
        <f>IF(B231="","",B231+10)</f>
        <v/>
      </c>
      <c r="W231" s="14">
        <f>IF(B231="","",(--(B231&lt;&gt;"")+--(C231&lt;&gt;"")+--(D231&lt;&gt;"")+--(E231&lt;&gt;"")+--(F231&lt;&gt;"")+--(G231&lt;&gt;"")+--(H231&lt;&gt;"")+--(I231&lt;&gt;"")+--(N231&lt;&gt;"")+--(O231&lt;&gt;"")+--(P231&lt;&gt;""))/11)</f>
        <v/>
      </c>
    </row>
    <row r="232">
      <c r="A232" s="7">
        <f>IF(B232="","",TEXT(B232,"yyyymmdd")&amp;"-"&amp;TEXT(ROW()-1,"000"))</f>
        <v/>
      </c>
      <c r="B232" s="8" t="n"/>
      <c r="C232" s="9" t="n"/>
      <c r="D232" s="9" t="n"/>
      <c r="E232" s="9" t="n"/>
      <c r="F232" s="9" t="n"/>
      <c r="G232" s="9" t="n"/>
      <c r="H232" s="9" t="n"/>
      <c r="I232" s="10" t="n"/>
      <c r="J232" s="11" t="n"/>
      <c r="K232" s="12" t="n"/>
      <c r="L232" s="11" t="n"/>
      <c r="M232" s="12" t="n"/>
      <c r="N232" s="9" t="n"/>
      <c r="O232" s="9" t="n"/>
      <c r="P232" s="10" t="n"/>
      <c r="Q232" s="11" t="n"/>
      <c r="R232" s="12" t="n"/>
      <c r="S232" s="12" t="n"/>
      <c r="T232" s="13">
        <f>IF(B232="","",B232+3)</f>
        <v/>
      </c>
      <c r="U232" s="13">
        <f>IF(B232="","",B232+5)</f>
        <v/>
      </c>
      <c r="V232" s="13">
        <f>IF(B232="","",B232+10)</f>
        <v/>
      </c>
      <c r="W232" s="14">
        <f>IF(B232="","",(--(B232&lt;&gt;"")+--(C232&lt;&gt;"")+--(D232&lt;&gt;"")+--(E232&lt;&gt;"")+--(F232&lt;&gt;"")+--(G232&lt;&gt;"")+--(H232&lt;&gt;"")+--(I232&lt;&gt;"")+--(N232&lt;&gt;"")+--(O232&lt;&gt;"")+--(P232&lt;&gt;""))/11)</f>
        <v/>
      </c>
    </row>
    <row r="233">
      <c r="A233" s="7">
        <f>IF(B233="","",TEXT(B233,"yyyymmdd")&amp;"-"&amp;TEXT(ROW()-1,"000"))</f>
        <v/>
      </c>
      <c r="B233" s="8" t="n"/>
      <c r="C233" s="9" t="n"/>
      <c r="D233" s="9" t="n"/>
      <c r="E233" s="9" t="n"/>
      <c r="F233" s="9" t="n"/>
      <c r="G233" s="9" t="n"/>
      <c r="H233" s="9" t="n"/>
      <c r="I233" s="10" t="n"/>
      <c r="J233" s="11" t="n"/>
      <c r="K233" s="12" t="n"/>
      <c r="L233" s="11" t="n"/>
      <c r="M233" s="12" t="n"/>
      <c r="N233" s="9" t="n"/>
      <c r="O233" s="9" t="n"/>
      <c r="P233" s="10" t="n"/>
      <c r="Q233" s="11" t="n"/>
      <c r="R233" s="12" t="n"/>
      <c r="S233" s="12" t="n"/>
      <c r="T233" s="13">
        <f>IF(B233="","",B233+3)</f>
        <v/>
      </c>
      <c r="U233" s="13">
        <f>IF(B233="","",B233+5)</f>
        <v/>
      </c>
      <c r="V233" s="13">
        <f>IF(B233="","",B233+10)</f>
        <v/>
      </c>
      <c r="W233" s="14">
        <f>IF(B233="","",(--(B233&lt;&gt;"")+--(C233&lt;&gt;"")+--(D233&lt;&gt;"")+--(E233&lt;&gt;"")+--(F233&lt;&gt;"")+--(G233&lt;&gt;"")+--(H233&lt;&gt;"")+--(I233&lt;&gt;"")+--(N233&lt;&gt;"")+--(O233&lt;&gt;"")+--(P233&lt;&gt;""))/11)</f>
        <v/>
      </c>
    </row>
    <row r="234">
      <c r="A234" s="7">
        <f>IF(B234="","",TEXT(B234,"yyyymmdd")&amp;"-"&amp;TEXT(ROW()-1,"000"))</f>
        <v/>
      </c>
      <c r="B234" s="8" t="n"/>
      <c r="C234" s="9" t="n"/>
      <c r="D234" s="9" t="n"/>
      <c r="E234" s="9" t="n"/>
      <c r="F234" s="9" t="n"/>
      <c r="G234" s="9" t="n"/>
      <c r="H234" s="9" t="n"/>
      <c r="I234" s="10" t="n"/>
      <c r="J234" s="11" t="n"/>
      <c r="K234" s="12" t="n"/>
      <c r="L234" s="11" t="n"/>
      <c r="M234" s="12" t="n"/>
      <c r="N234" s="9" t="n"/>
      <c r="O234" s="9" t="n"/>
      <c r="P234" s="10" t="n"/>
      <c r="Q234" s="11" t="n"/>
      <c r="R234" s="12" t="n"/>
      <c r="S234" s="12" t="n"/>
      <c r="T234" s="13">
        <f>IF(B234="","",B234+3)</f>
        <v/>
      </c>
      <c r="U234" s="13">
        <f>IF(B234="","",B234+5)</f>
        <v/>
      </c>
      <c r="V234" s="13">
        <f>IF(B234="","",B234+10)</f>
        <v/>
      </c>
      <c r="W234" s="14">
        <f>IF(B234="","",(--(B234&lt;&gt;"")+--(C234&lt;&gt;"")+--(D234&lt;&gt;"")+--(E234&lt;&gt;"")+--(F234&lt;&gt;"")+--(G234&lt;&gt;"")+--(H234&lt;&gt;"")+--(I234&lt;&gt;"")+--(N234&lt;&gt;"")+--(O234&lt;&gt;"")+--(P234&lt;&gt;""))/11)</f>
        <v/>
      </c>
    </row>
    <row r="235">
      <c r="A235" s="7">
        <f>IF(B235="","",TEXT(B235,"yyyymmdd")&amp;"-"&amp;TEXT(ROW()-1,"000"))</f>
        <v/>
      </c>
      <c r="B235" s="8" t="n"/>
      <c r="C235" s="9" t="n"/>
      <c r="D235" s="9" t="n"/>
      <c r="E235" s="9" t="n"/>
      <c r="F235" s="9" t="n"/>
      <c r="G235" s="9" t="n"/>
      <c r="H235" s="9" t="n"/>
      <c r="I235" s="10" t="n"/>
      <c r="J235" s="11" t="n"/>
      <c r="K235" s="12" t="n"/>
      <c r="L235" s="11" t="n"/>
      <c r="M235" s="12" t="n"/>
      <c r="N235" s="9" t="n"/>
      <c r="O235" s="9" t="n"/>
      <c r="P235" s="10" t="n"/>
      <c r="Q235" s="11" t="n"/>
      <c r="R235" s="12" t="n"/>
      <c r="S235" s="12" t="n"/>
      <c r="T235" s="13">
        <f>IF(B235="","",B235+3)</f>
        <v/>
      </c>
      <c r="U235" s="13">
        <f>IF(B235="","",B235+5)</f>
        <v/>
      </c>
      <c r="V235" s="13">
        <f>IF(B235="","",B235+10)</f>
        <v/>
      </c>
      <c r="W235" s="14">
        <f>IF(B235="","",(--(B235&lt;&gt;"")+--(C235&lt;&gt;"")+--(D235&lt;&gt;"")+--(E235&lt;&gt;"")+--(F235&lt;&gt;"")+--(G235&lt;&gt;"")+--(H235&lt;&gt;"")+--(I235&lt;&gt;"")+--(N235&lt;&gt;"")+--(O235&lt;&gt;"")+--(P235&lt;&gt;""))/11)</f>
        <v/>
      </c>
    </row>
    <row r="236">
      <c r="A236" s="7">
        <f>IF(B236="","",TEXT(B236,"yyyymmdd")&amp;"-"&amp;TEXT(ROW()-1,"000"))</f>
        <v/>
      </c>
      <c r="B236" s="8" t="n"/>
      <c r="C236" s="9" t="n"/>
      <c r="D236" s="9" t="n"/>
      <c r="E236" s="9" t="n"/>
      <c r="F236" s="9" t="n"/>
      <c r="G236" s="9" t="n"/>
      <c r="H236" s="9" t="n"/>
      <c r="I236" s="10" t="n"/>
      <c r="J236" s="11" t="n"/>
      <c r="K236" s="12" t="n"/>
      <c r="L236" s="11" t="n"/>
      <c r="M236" s="12" t="n"/>
      <c r="N236" s="9" t="n"/>
      <c r="O236" s="9" t="n"/>
      <c r="P236" s="10" t="n"/>
      <c r="Q236" s="11" t="n"/>
      <c r="R236" s="12" t="n"/>
      <c r="S236" s="12" t="n"/>
      <c r="T236" s="13">
        <f>IF(B236="","",B236+3)</f>
        <v/>
      </c>
      <c r="U236" s="13">
        <f>IF(B236="","",B236+5)</f>
        <v/>
      </c>
      <c r="V236" s="13">
        <f>IF(B236="","",B236+10)</f>
        <v/>
      </c>
      <c r="W236" s="14">
        <f>IF(B236="","",(--(B236&lt;&gt;"")+--(C236&lt;&gt;"")+--(D236&lt;&gt;"")+--(E236&lt;&gt;"")+--(F236&lt;&gt;"")+--(G236&lt;&gt;"")+--(H236&lt;&gt;"")+--(I236&lt;&gt;"")+--(N236&lt;&gt;"")+--(O236&lt;&gt;"")+--(P236&lt;&gt;""))/11)</f>
        <v/>
      </c>
    </row>
    <row r="237">
      <c r="A237" s="7">
        <f>IF(B237="","",TEXT(B237,"yyyymmdd")&amp;"-"&amp;TEXT(ROW()-1,"000"))</f>
        <v/>
      </c>
      <c r="B237" s="8" t="n"/>
      <c r="C237" s="9" t="n"/>
      <c r="D237" s="9" t="n"/>
      <c r="E237" s="9" t="n"/>
      <c r="F237" s="9" t="n"/>
      <c r="G237" s="9" t="n"/>
      <c r="H237" s="9" t="n"/>
      <c r="I237" s="10" t="n"/>
      <c r="J237" s="11" t="n"/>
      <c r="K237" s="12" t="n"/>
      <c r="L237" s="11" t="n"/>
      <c r="M237" s="12" t="n"/>
      <c r="N237" s="9" t="n"/>
      <c r="O237" s="9" t="n"/>
      <c r="P237" s="10" t="n"/>
      <c r="Q237" s="11" t="n"/>
      <c r="R237" s="12" t="n"/>
      <c r="S237" s="12" t="n"/>
      <c r="T237" s="13">
        <f>IF(B237="","",B237+3)</f>
        <v/>
      </c>
      <c r="U237" s="13">
        <f>IF(B237="","",B237+5)</f>
        <v/>
      </c>
      <c r="V237" s="13">
        <f>IF(B237="","",B237+10)</f>
        <v/>
      </c>
      <c r="W237" s="14">
        <f>IF(B237="","",(--(B237&lt;&gt;"")+--(C237&lt;&gt;"")+--(D237&lt;&gt;"")+--(E237&lt;&gt;"")+--(F237&lt;&gt;"")+--(G237&lt;&gt;"")+--(H237&lt;&gt;"")+--(I237&lt;&gt;"")+--(N237&lt;&gt;"")+--(O237&lt;&gt;"")+--(P237&lt;&gt;""))/11)</f>
        <v/>
      </c>
    </row>
    <row r="238">
      <c r="A238" s="7">
        <f>IF(B238="","",TEXT(B238,"yyyymmdd")&amp;"-"&amp;TEXT(ROW()-1,"000"))</f>
        <v/>
      </c>
      <c r="B238" s="8" t="n"/>
      <c r="C238" s="9" t="n"/>
      <c r="D238" s="9" t="n"/>
      <c r="E238" s="9" t="n"/>
      <c r="F238" s="9" t="n"/>
      <c r="G238" s="9" t="n"/>
      <c r="H238" s="9" t="n"/>
      <c r="I238" s="10" t="n"/>
      <c r="J238" s="11" t="n"/>
      <c r="K238" s="12" t="n"/>
      <c r="L238" s="11" t="n"/>
      <c r="M238" s="12" t="n"/>
      <c r="N238" s="9" t="n"/>
      <c r="O238" s="9" t="n"/>
      <c r="P238" s="10" t="n"/>
      <c r="Q238" s="11" t="n"/>
      <c r="R238" s="12" t="n"/>
      <c r="S238" s="12" t="n"/>
      <c r="T238" s="13">
        <f>IF(B238="","",B238+3)</f>
        <v/>
      </c>
      <c r="U238" s="13">
        <f>IF(B238="","",B238+5)</f>
        <v/>
      </c>
      <c r="V238" s="13">
        <f>IF(B238="","",B238+10)</f>
        <v/>
      </c>
      <c r="W238" s="14">
        <f>IF(B238="","",(--(B238&lt;&gt;"")+--(C238&lt;&gt;"")+--(D238&lt;&gt;"")+--(E238&lt;&gt;"")+--(F238&lt;&gt;"")+--(G238&lt;&gt;"")+--(H238&lt;&gt;"")+--(I238&lt;&gt;"")+--(N238&lt;&gt;"")+--(O238&lt;&gt;"")+--(P238&lt;&gt;""))/11)</f>
        <v/>
      </c>
    </row>
    <row r="239">
      <c r="A239" s="7">
        <f>IF(B239="","",TEXT(B239,"yyyymmdd")&amp;"-"&amp;TEXT(ROW()-1,"000"))</f>
        <v/>
      </c>
      <c r="B239" s="8" t="n"/>
      <c r="C239" s="9" t="n"/>
      <c r="D239" s="9" t="n"/>
      <c r="E239" s="9" t="n"/>
      <c r="F239" s="9" t="n"/>
      <c r="G239" s="9" t="n"/>
      <c r="H239" s="9" t="n"/>
      <c r="I239" s="10" t="n"/>
      <c r="J239" s="11" t="n"/>
      <c r="K239" s="12" t="n"/>
      <c r="L239" s="11" t="n"/>
      <c r="M239" s="12" t="n"/>
      <c r="N239" s="9" t="n"/>
      <c r="O239" s="9" t="n"/>
      <c r="P239" s="10" t="n"/>
      <c r="Q239" s="11" t="n"/>
      <c r="R239" s="12" t="n"/>
      <c r="S239" s="12" t="n"/>
      <c r="T239" s="13">
        <f>IF(B239="","",B239+3)</f>
        <v/>
      </c>
      <c r="U239" s="13">
        <f>IF(B239="","",B239+5)</f>
        <v/>
      </c>
      <c r="V239" s="13">
        <f>IF(B239="","",B239+10)</f>
        <v/>
      </c>
      <c r="W239" s="14">
        <f>IF(B239="","",(--(B239&lt;&gt;"")+--(C239&lt;&gt;"")+--(D239&lt;&gt;"")+--(E239&lt;&gt;"")+--(F239&lt;&gt;"")+--(G239&lt;&gt;"")+--(H239&lt;&gt;"")+--(I239&lt;&gt;"")+--(N239&lt;&gt;"")+--(O239&lt;&gt;"")+--(P239&lt;&gt;""))/11)</f>
        <v/>
      </c>
    </row>
    <row r="240">
      <c r="A240" s="7">
        <f>IF(B240="","",TEXT(B240,"yyyymmdd")&amp;"-"&amp;TEXT(ROW()-1,"000"))</f>
        <v/>
      </c>
      <c r="B240" s="8" t="n"/>
      <c r="C240" s="9" t="n"/>
      <c r="D240" s="9" t="n"/>
      <c r="E240" s="9" t="n"/>
      <c r="F240" s="9" t="n"/>
      <c r="G240" s="9" t="n"/>
      <c r="H240" s="9" t="n"/>
      <c r="I240" s="10" t="n"/>
      <c r="J240" s="11" t="n"/>
      <c r="K240" s="12" t="n"/>
      <c r="L240" s="11" t="n"/>
      <c r="M240" s="12" t="n"/>
      <c r="N240" s="9" t="n"/>
      <c r="O240" s="9" t="n"/>
      <c r="P240" s="10" t="n"/>
      <c r="Q240" s="11" t="n"/>
      <c r="R240" s="12" t="n"/>
      <c r="S240" s="12" t="n"/>
      <c r="T240" s="13">
        <f>IF(B240="","",B240+3)</f>
        <v/>
      </c>
      <c r="U240" s="13">
        <f>IF(B240="","",B240+5)</f>
        <v/>
      </c>
      <c r="V240" s="13">
        <f>IF(B240="","",B240+10)</f>
        <v/>
      </c>
      <c r="W240" s="14">
        <f>IF(B240="","",(--(B240&lt;&gt;"")+--(C240&lt;&gt;"")+--(D240&lt;&gt;"")+--(E240&lt;&gt;"")+--(F240&lt;&gt;"")+--(G240&lt;&gt;"")+--(H240&lt;&gt;"")+--(I240&lt;&gt;"")+--(N240&lt;&gt;"")+--(O240&lt;&gt;"")+--(P240&lt;&gt;""))/11)</f>
        <v/>
      </c>
    </row>
    <row r="241">
      <c r="A241" s="7">
        <f>IF(B241="","",TEXT(B241,"yyyymmdd")&amp;"-"&amp;TEXT(ROW()-1,"000"))</f>
        <v/>
      </c>
      <c r="B241" s="8" t="n"/>
      <c r="C241" s="9" t="n"/>
      <c r="D241" s="9" t="n"/>
      <c r="E241" s="9" t="n"/>
      <c r="F241" s="9" t="n"/>
      <c r="G241" s="9" t="n"/>
      <c r="H241" s="9" t="n"/>
      <c r="I241" s="10" t="n"/>
      <c r="J241" s="11" t="n"/>
      <c r="K241" s="12" t="n"/>
      <c r="L241" s="11" t="n"/>
      <c r="M241" s="12" t="n"/>
      <c r="N241" s="9" t="n"/>
      <c r="O241" s="9" t="n"/>
      <c r="P241" s="10" t="n"/>
      <c r="Q241" s="11" t="n"/>
      <c r="R241" s="12" t="n"/>
      <c r="S241" s="12" t="n"/>
      <c r="T241" s="13">
        <f>IF(B241="","",B241+3)</f>
        <v/>
      </c>
      <c r="U241" s="13">
        <f>IF(B241="","",B241+5)</f>
        <v/>
      </c>
      <c r="V241" s="13">
        <f>IF(B241="","",B241+10)</f>
        <v/>
      </c>
      <c r="W241" s="14">
        <f>IF(B241="","",(--(B241&lt;&gt;"")+--(C241&lt;&gt;"")+--(D241&lt;&gt;"")+--(E241&lt;&gt;"")+--(F241&lt;&gt;"")+--(G241&lt;&gt;"")+--(H241&lt;&gt;"")+--(I241&lt;&gt;"")+--(N241&lt;&gt;"")+--(O241&lt;&gt;"")+--(P241&lt;&gt;""))/11)</f>
        <v/>
      </c>
    </row>
    <row r="242">
      <c r="A242" s="7">
        <f>IF(B242="","",TEXT(B242,"yyyymmdd")&amp;"-"&amp;TEXT(ROW()-1,"000"))</f>
        <v/>
      </c>
      <c r="B242" s="8" t="n"/>
      <c r="C242" s="9" t="n"/>
      <c r="D242" s="9" t="n"/>
      <c r="E242" s="9" t="n"/>
      <c r="F242" s="9" t="n"/>
      <c r="G242" s="9" t="n"/>
      <c r="H242" s="9" t="n"/>
      <c r="I242" s="10" t="n"/>
      <c r="J242" s="11" t="n"/>
      <c r="K242" s="12" t="n"/>
      <c r="L242" s="11" t="n"/>
      <c r="M242" s="12" t="n"/>
      <c r="N242" s="9" t="n"/>
      <c r="O242" s="9" t="n"/>
      <c r="P242" s="10" t="n"/>
      <c r="Q242" s="11" t="n"/>
      <c r="R242" s="12" t="n"/>
      <c r="S242" s="12" t="n"/>
      <c r="T242" s="13">
        <f>IF(B242="","",B242+3)</f>
        <v/>
      </c>
      <c r="U242" s="13">
        <f>IF(B242="","",B242+5)</f>
        <v/>
      </c>
      <c r="V242" s="13">
        <f>IF(B242="","",B242+10)</f>
        <v/>
      </c>
      <c r="W242" s="14">
        <f>IF(B242="","",(--(B242&lt;&gt;"")+--(C242&lt;&gt;"")+--(D242&lt;&gt;"")+--(E242&lt;&gt;"")+--(F242&lt;&gt;"")+--(G242&lt;&gt;"")+--(H242&lt;&gt;"")+--(I242&lt;&gt;"")+--(N242&lt;&gt;"")+--(O242&lt;&gt;"")+--(P242&lt;&gt;""))/11)</f>
        <v/>
      </c>
    </row>
    <row r="243">
      <c r="A243" s="7">
        <f>IF(B243="","",TEXT(B243,"yyyymmdd")&amp;"-"&amp;TEXT(ROW()-1,"000"))</f>
        <v/>
      </c>
      <c r="B243" s="8" t="n"/>
      <c r="C243" s="9" t="n"/>
      <c r="D243" s="9" t="n"/>
      <c r="E243" s="9" t="n"/>
      <c r="F243" s="9" t="n"/>
      <c r="G243" s="9" t="n"/>
      <c r="H243" s="9" t="n"/>
      <c r="I243" s="10" t="n"/>
      <c r="J243" s="11" t="n"/>
      <c r="K243" s="12" t="n"/>
      <c r="L243" s="11" t="n"/>
      <c r="M243" s="12" t="n"/>
      <c r="N243" s="9" t="n"/>
      <c r="O243" s="9" t="n"/>
      <c r="P243" s="10" t="n"/>
      <c r="Q243" s="11" t="n"/>
      <c r="R243" s="12" t="n"/>
      <c r="S243" s="12" t="n"/>
      <c r="T243" s="13">
        <f>IF(B243="","",B243+3)</f>
        <v/>
      </c>
      <c r="U243" s="13">
        <f>IF(B243="","",B243+5)</f>
        <v/>
      </c>
      <c r="V243" s="13">
        <f>IF(B243="","",B243+10)</f>
        <v/>
      </c>
      <c r="W243" s="14">
        <f>IF(B243="","",(--(B243&lt;&gt;"")+--(C243&lt;&gt;"")+--(D243&lt;&gt;"")+--(E243&lt;&gt;"")+--(F243&lt;&gt;"")+--(G243&lt;&gt;"")+--(H243&lt;&gt;"")+--(I243&lt;&gt;"")+--(N243&lt;&gt;"")+--(O243&lt;&gt;"")+--(P243&lt;&gt;""))/11)</f>
        <v/>
      </c>
    </row>
    <row r="244">
      <c r="A244" s="7">
        <f>IF(B244="","",TEXT(B244,"yyyymmdd")&amp;"-"&amp;TEXT(ROW()-1,"000"))</f>
        <v/>
      </c>
      <c r="B244" s="8" t="n"/>
      <c r="C244" s="9" t="n"/>
      <c r="D244" s="9" t="n"/>
      <c r="E244" s="9" t="n"/>
      <c r="F244" s="9" t="n"/>
      <c r="G244" s="9" t="n"/>
      <c r="H244" s="9" t="n"/>
      <c r="I244" s="10" t="n"/>
      <c r="J244" s="11" t="n"/>
      <c r="K244" s="12" t="n"/>
      <c r="L244" s="11" t="n"/>
      <c r="M244" s="12" t="n"/>
      <c r="N244" s="9" t="n"/>
      <c r="O244" s="9" t="n"/>
      <c r="P244" s="10" t="n"/>
      <c r="Q244" s="11" t="n"/>
      <c r="R244" s="12" t="n"/>
      <c r="S244" s="12" t="n"/>
      <c r="T244" s="13">
        <f>IF(B244="","",B244+3)</f>
        <v/>
      </c>
      <c r="U244" s="13">
        <f>IF(B244="","",B244+5)</f>
        <v/>
      </c>
      <c r="V244" s="13">
        <f>IF(B244="","",B244+10)</f>
        <v/>
      </c>
      <c r="W244" s="14">
        <f>IF(B244="","",(--(B244&lt;&gt;"")+--(C244&lt;&gt;"")+--(D244&lt;&gt;"")+--(E244&lt;&gt;"")+--(F244&lt;&gt;"")+--(G244&lt;&gt;"")+--(H244&lt;&gt;"")+--(I244&lt;&gt;"")+--(N244&lt;&gt;"")+--(O244&lt;&gt;"")+--(P244&lt;&gt;""))/11)</f>
        <v/>
      </c>
    </row>
    <row r="245">
      <c r="A245" s="7">
        <f>IF(B245="","",TEXT(B245,"yyyymmdd")&amp;"-"&amp;TEXT(ROW()-1,"000"))</f>
        <v/>
      </c>
      <c r="B245" s="8" t="n"/>
      <c r="C245" s="9" t="n"/>
      <c r="D245" s="9" t="n"/>
      <c r="E245" s="9" t="n"/>
      <c r="F245" s="9" t="n"/>
      <c r="G245" s="9" t="n"/>
      <c r="H245" s="9" t="n"/>
      <c r="I245" s="10" t="n"/>
      <c r="J245" s="11" t="n"/>
      <c r="K245" s="12" t="n"/>
      <c r="L245" s="11" t="n"/>
      <c r="M245" s="12" t="n"/>
      <c r="N245" s="9" t="n"/>
      <c r="O245" s="9" t="n"/>
      <c r="P245" s="10" t="n"/>
      <c r="Q245" s="11" t="n"/>
      <c r="R245" s="12" t="n"/>
      <c r="S245" s="12" t="n"/>
      <c r="T245" s="13">
        <f>IF(B245="","",B245+3)</f>
        <v/>
      </c>
      <c r="U245" s="13">
        <f>IF(B245="","",B245+5)</f>
        <v/>
      </c>
      <c r="V245" s="13">
        <f>IF(B245="","",B245+10)</f>
        <v/>
      </c>
      <c r="W245" s="14">
        <f>IF(B245="","",(--(B245&lt;&gt;"")+--(C245&lt;&gt;"")+--(D245&lt;&gt;"")+--(E245&lt;&gt;"")+--(F245&lt;&gt;"")+--(G245&lt;&gt;"")+--(H245&lt;&gt;"")+--(I245&lt;&gt;"")+--(N245&lt;&gt;"")+--(O245&lt;&gt;"")+--(P245&lt;&gt;""))/11)</f>
        <v/>
      </c>
    </row>
    <row r="246">
      <c r="A246" s="7">
        <f>IF(B246="","",TEXT(B246,"yyyymmdd")&amp;"-"&amp;TEXT(ROW()-1,"000"))</f>
        <v/>
      </c>
      <c r="B246" s="8" t="n"/>
      <c r="C246" s="9" t="n"/>
      <c r="D246" s="9" t="n"/>
      <c r="E246" s="9" t="n"/>
      <c r="F246" s="9" t="n"/>
      <c r="G246" s="9" t="n"/>
      <c r="H246" s="9" t="n"/>
      <c r="I246" s="10" t="n"/>
      <c r="J246" s="11" t="n"/>
      <c r="K246" s="12" t="n"/>
      <c r="L246" s="11" t="n"/>
      <c r="M246" s="12" t="n"/>
      <c r="N246" s="9" t="n"/>
      <c r="O246" s="9" t="n"/>
      <c r="P246" s="10" t="n"/>
      <c r="Q246" s="11" t="n"/>
      <c r="R246" s="12" t="n"/>
      <c r="S246" s="12" t="n"/>
      <c r="T246" s="13">
        <f>IF(B246="","",B246+3)</f>
        <v/>
      </c>
      <c r="U246" s="13">
        <f>IF(B246="","",B246+5)</f>
        <v/>
      </c>
      <c r="V246" s="13">
        <f>IF(B246="","",B246+10)</f>
        <v/>
      </c>
      <c r="W246" s="14">
        <f>IF(B246="","",(--(B246&lt;&gt;"")+--(C246&lt;&gt;"")+--(D246&lt;&gt;"")+--(E246&lt;&gt;"")+--(F246&lt;&gt;"")+--(G246&lt;&gt;"")+--(H246&lt;&gt;"")+--(I246&lt;&gt;"")+--(N246&lt;&gt;"")+--(O246&lt;&gt;"")+--(P246&lt;&gt;""))/11)</f>
        <v/>
      </c>
    </row>
    <row r="247">
      <c r="A247" s="7">
        <f>IF(B247="","",TEXT(B247,"yyyymmdd")&amp;"-"&amp;TEXT(ROW()-1,"000"))</f>
        <v/>
      </c>
      <c r="B247" s="8" t="n"/>
      <c r="C247" s="9" t="n"/>
      <c r="D247" s="9" t="n"/>
      <c r="E247" s="9" t="n"/>
      <c r="F247" s="9" t="n"/>
      <c r="G247" s="9" t="n"/>
      <c r="H247" s="9" t="n"/>
      <c r="I247" s="10" t="n"/>
      <c r="J247" s="11" t="n"/>
      <c r="K247" s="12" t="n"/>
      <c r="L247" s="11" t="n"/>
      <c r="M247" s="12" t="n"/>
      <c r="N247" s="9" t="n"/>
      <c r="O247" s="9" t="n"/>
      <c r="P247" s="10" t="n"/>
      <c r="Q247" s="11" t="n"/>
      <c r="R247" s="12" t="n"/>
      <c r="S247" s="12" t="n"/>
      <c r="T247" s="13">
        <f>IF(B247="","",B247+3)</f>
        <v/>
      </c>
      <c r="U247" s="13">
        <f>IF(B247="","",B247+5)</f>
        <v/>
      </c>
      <c r="V247" s="13">
        <f>IF(B247="","",B247+10)</f>
        <v/>
      </c>
      <c r="W247" s="14">
        <f>IF(B247="","",(--(B247&lt;&gt;"")+--(C247&lt;&gt;"")+--(D247&lt;&gt;"")+--(E247&lt;&gt;"")+--(F247&lt;&gt;"")+--(G247&lt;&gt;"")+--(H247&lt;&gt;"")+--(I247&lt;&gt;"")+--(N247&lt;&gt;"")+--(O247&lt;&gt;"")+--(P247&lt;&gt;""))/11)</f>
        <v/>
      </c>
    </row>
    <row r="248">
      <c r="A248" s="7">
        <f>IF(B248="","",TEXT(B248,"yyyymmdd")&amp;"-"&amp;TEXT(ROW()-1,"000"))</f>
        <v/>
      </c>
      <c r="B248" s="8" t="n"/>
      <c r="C248" s="9" t="n"/>
      <c r="D248" s="9" t="n"/>
      <c r="E248" s="9" t="n"/>
      <c r="F248" s="9" t="n"/>
      <c r="G248" s="9" t="n"/>
      <c r="H248" s="9" t="n"/>
      <c r="I248" s="10" t="n"/>
      <c r="J248" s="11" t="n"/>
      <c r="K248" s="12" t="n"/>
      <c r="L248" s="11" t="n"/>
      <c r="M248" s="12" t="n"/>
      <c r="N248" s="9" t="n"/>
      <c r="O248" s="9" t="n"/>
      <c r="P248" s="10" t="n"/>
      <c r="Q248" s="11" t="n"/>
      <c r="R248" s="12" t="n"/>
      <c r="S248" s="12" t="n"/>
      <c r="T248" s="13">
        <f>IF(B248="","",B248+3)</f>
        <v/>
      </c>
      <c r="U248" s="13">
        <f>IF(B248="","",B248+5)</f>
        <v/>
      </c>
      <c r="V248" s="13">
        <f>IF(B248="","",B248+10)</f>
        <v/>
      </c>
      <c r="W248" s="14">
        <f>IF(B248="","",(--(B248&lt;&gt;"")+--(C248&lt;&gt;"")+--(D248&lt;&gt;"")+--(E248&lt;&gt;"")+--(F248&lt;&gt;"")+--(G248&lt;&gt;"")+--(H248&lt;&gt;"")+--(I248&lt;&gt;"")+--(N248&lt;&gt;"")+--(O248&lt;&gt;"")+--(P248&lt;&gt;""))/11)</f>
        <v/>
      </c>
    </row>
    <row r="249">
      <c r="A249" s="7">
        <f>IF(B249="","",TEXT(B249,"yyyymmdd")&amp;"-"&amp;TEXT(ROW()-1,"000"))</f>
        <v/>
      </c>
      <c r="B249" s="8" t="n"/>
      <c r="C249" s="9" t="n"/>
      <c r="D249" s="9" t="n"/>
      <c r="E249" s="9" t="n"/>
      <c r="F249" s="9" t="n"/>
      <c r="G249" s="9" t="n"/>
      <c r="H249" s="9" t="n"/>
      <c r="I249" s="10" t="n"/>
      <c r="J249" s="11" t="n"/>
      <c r="K249" s="12" t="n"/>
      <c r="L249" s="11" t="n"/>
      <c r="M249" s="12" t="n"/>
      <c r="N249" s="9" t="n"/>
      <c r="O249" s="9" t="n"/>
      <c r="P249" s="10" t="n"/>
      <c r="Q249" s="11" t="n"/>
      <c r="R249" s="12" t="n"/>
      <c r="S249" s="12" t="n"/>
      <c r="T249" s="13">
        <f>IF(B249="","",B249+3)</f>
        <v/>
      </c>
      <c r="U249" s="13">
        <f>IF(B249="","",B249+5)</f>
        <v/>
      </c>
      <c r="V249" s="13">
        <f>IF(B249="","",B249+10)</f>
        <v/>
      </c>
      <c r="W249" s="14">
        <f>IF(B249="","",(--(B249&lt;&gt;"")+--(C249&lt;&gt;"")+--(D249&lt;&gt;"")+--(E249&lt;&gt;"")+--(F249&lt;&gt;"")+--(G249&lt;&gt;"")+--(H249&lt;&gt;"")+--(I249&lt;&gt;"")+--(N249&lt;&gt;"")+--(O249&lt;&gt;"")+--(P249&lt;&gt;""))/11)</f>
        <v/>
      </c>
    </row>
    <row r="250">
      <c r="A250" s="7">
        <f>IF(B250="","",TEXT(B250,"yyyymmdd")&amp;"-"&amp;TEXT(ROW()-1,"000"))</f>
        <v/>
      </c>
      <c r="B250" s="8" t="n"/>
      <c r="C250" s="9" t="n"/>
      <c r="D250" s="9" t="n"/>
      <c r="E250" s="9" t="n"/>
      <c r="F250" s="9" t="n"/>
      <c r="G250" s="9" t="n"/>
      <c r="H250" s="9" t="n"/>
      <c r="I250" s="10" t="n"/>
      <c r="J250" s="11" t="n"/>
      <c r="K250" s="12" t="n"/>
      <c r="L250" s="11" t="n"/>
      <c r="M250" s="12" t="n"/>
      <c r="N250" s="9" t="n"/>
      <c r="O250" s="9" t="n"/>
      <c r="P250" s="10" t="n"/>
      <c r="Q250" s="11" t="n"/>
      <c r="R250" s="12" t="n"/>
      <c r="S250" s="12" t="n"/>
      <c r="T250" s="13">
        <f>IF(B250="","",B250+3)</f>
        <v/>
      </c>
      <c r="U250" s="13">
        <f>IF(B250="","",B250+5)</f>
        <v/>
      </c>
      <c r="V250" s="13">
        <f>IF(B250="","",B250+10)</f>
        <v/>
      </c>
      <c r="W250" s="14">
        <f>IF(B250="","",(--(B250&lt;&gt;"")+--(C250&lt;&gt;"")+--(D250&lt;&gt;"")+--(E250&lt;&gt;"")+--(F250&lt;&gt;"")+--(G250&lt;&gt;"")+--(H250&lt;&gt;"")+--(I250&lt;&gt;"")+--(N250&lt;&gt;"")+--(O250&lt;&gt;"")+--(P250&lt;&gt;""))/11)</f>
        <v/>
      </c>
    </row>
    <row r="251">
      <c r="A251" s="7">
        <f>IF(B251="","",TEXT(B251,"yyyymmdd")&amp;"-"&amp;TEXT(ROW()-1,"000"))</f>
        <v/>
      </c>
      <c r="B251" s="8" t="n"/>
      <c r="C251" s="9" t="n"/>
      <c r="D251" s="9" t="n"/>
      <c r="E251" s="9" t="n"/>
      <c r="F251" s="9" t="n"/>
      <c r="G251" s="9" t="n"/>
      <c r="H251" s="9" t="n"/>
      <c r="I251" s="10" t="n"/>
      <c r="J251" s="11" t="n"/>
      <c r="K251" s="12" t="n"/>
      <c r="L251" s="11" t="n"/>
      <c r="M251" s="12" t="n"/>
      <c r="N251" s="9" t="n"/>
      <c r="O251" s="9" t="n"/>
      <c r="P251" s="10" t="n"/>
      <c r="Q251" s="11" t="n"/>
      <c r="R251" s="12" t="n"/>
      <c r="S251" s="12" t="n"/>
      <c r="T251" s="13">
        <f>IF(B251="","",B251+3)</f>
        <v/>
      </c>
      <c r="U251" s="13">
        <f>IF(B251="","",B251+5)</f>
        <v/>
      </c>
      <c r="V251" s="13">
        <f>IF(B251="","",B251+10)</f>
        <v/>
      </c>
      <c r="W251" s="14">
        <f>IF(B251="","",(--(B251&lt;&gt;"")+--(C251&lt;&gt;"")+--(D251&lt;&gt;"")+--(E251&lt;&gt;"")+--(F251&lt;&gt;"")+--(G251&lt;&gt;"")+--(H251&lt;&gt;"")+--(I251&lt;&gt;"")+--(N251&lt;&gt;"")+--(O251&lt;&gt;"")+--(P251&lt;&gt;""))/11)</f>
        <v/>
      </c>
    </row>
    <row r="252">
      <c r="A252" s="7">
        <f>IF(B252="","",TEXT(B252,"yyyymmdd")&amp;"-"&amp;TEXT(ROW()-1,"000"))</f>
        <v/>
      </c>
      <c r="B252" s="8" t="n"/>
      <c r="C252" s="9" t="n"/>
      <c r="D252" s="9" t="n"/>
      <c r="E252" s="9" t="n"/>
      <c r="F252" s="9" t="n"/>
      <c r="G252" s="9" t="n"/>
      <c r="H252" s="9" t="n"/>
      <c r="I252" s="10" t="n"/>
      <c r="J252" s="11" t="n"/>
      <c r="K252" s="12" t="n"/>
      <c r="L252" s="11" t="n"/>
      <c r="M252" s="12" t="n"/>
      <c r="N252" s="9" t="n"/>
      <c r="O252" s="9" t="n"/>
      <c r="P252" s="10" t="n"/>
      <c r="Q252" s="11" t="n"/>
      <c r="R252" s="12" t="n"/>
      <c r="S252" s="12" t="n"/>
      <c r="T252" s="13">
        <f>IF(B252="","",B252+3)</f>
        <v/>
      </c>
      <c r="U252" s="13">
        <f>IF(B252="","",B252+5)</f>
        <v/>
      </c>
      <c r="V252" s="13">
        <f>IF(B252="","",B252+10)</f>
        <v/>
      </c>
      <c r="W252" s="14">
        <f>IF(B252="","",(--(B252&lt;&gt;"")+--(C252&lt;&gt;"")+--(D252&lt;&gt;"")+--(E252&lt;&gt;"")+--(F252&lt;&gt;"")+--(G252&lt;&gt;"")+--(H252&lt;&gt;"")+--(I252&lt;&gt;"")+--(N252&lt;&gt;"")+--(O252&lt;&gt;"")+--(P252&lt;&gt;""))/11)</f>
        <v/>
      </c>
    </row>
    <row r="253">
      <c r="A253" s="7">
        <f>IF(B253="","",TEXT(B253,"yyyymmdd")&amp;"-"&amp;TEXT(ROW()-1,"000"))</f>
        <v/>
      </c>
      <c r="B253" s="8" t="n"/>
      <c r="C253" s="9" t="n"/>
      <c r="D253" s="9" t="n"/>
      <c r="E253" s="9" t="n"/>
      <c r="F253" s="9" t="n"/>
      <c r="G253" s="9" t="n"/>
      <c r="H253" s="9" t="n"/>
      <c r="I253" s="10" t="n"/>
      <c r="J253" s="11" t="n"/>
      <c r="K253" s="12" t="n"/>
      <c r="L253" s="11" t="n"/>
      <c r="M253" s="12" t="n"/>
      <c r="N253" s="9" t="n"/>
      <c r="O253" s="9" t="n"/>
      <c r="P253" s="10" t="n"/>
      <c r="Q253" s="11" t="n"/>
      <c r="R253" s="12" t="n"/>
      <c r="S253" s="12" t="n"/>
      <c r="T253" s="13">
        <f>IF(B253="","",B253+3)</f>
        <v/>
      </c>
      <c r="U253" s="13">
        <f>IF(B253="","",B253+5)</f>
        <v/>
      </c>
      <c r="V253" s="13">
        <f>IF(B253="","",B253+10)</f>
        <v/>
      </c>
      <c r="W253" s="14">
        <f>IF(B253="","",(--(B253&lt;&gt;"")+--(C253&lt;&gt;"")+--(D253&lt;&gt;"")+--(E253&lt;&gt;"")+--(F253&lt;&gt;"")+--(G253&lt;&gt;"")+--(H253&lt;&gt;"")+--(I253&lt;&gt;"")+--(N253&lt;&gt;"")+--(O253&lt;&gt;"")+--(P253&lt;&gt;""))/11)</f>
        <v/>
      </c>
    </row>
    <row r="254">
      <c r="A254" s="7">
        <f>IF(B254="","",TEXT(B254,"yyyymmdd")&amp;"-"&amp;TEXT(ROW()-1,"000"))</f>
        <v/>
      </c>
      <c r="B254" s="8" t="n"/>
      <c r="C254" s="9" t="n"/>
      <c r="D254" s="9" t="n"/>
      <c r="E254" s="9" t="n"/>
      <c r="F254" s="9" t="n"/>
      <c r="G254" s="9" t="n"/>
      <c r="H254" s="9" t="n"/>
      <c r="I254" s="10" t="n"/>
      <c r="J254" s="11" t="n"/>
      <c r="K254" s="12" t="n"/>
      <c r="L254" s="11" t="n"/>
      <c r="M254" s="12" t="n"/>
      <c r="N254" s="9" t="n"/>
      <c r="O254" s="9" t="n"/>
      <c r="P254" s="10" t="n"/>
      <c r="Q254" s="11" t="n"/>
      <c r="R254" s="12" t="n"/>
      <c r="S254" s="12" t="n"/>
      <c r="T254" s="13">
        <f>IF(B254="","",B254+3)</f>
        <v/>
      </c>
      <c r="U254" s="13">
        <f>IF(B254="","",B254+5)</f>
        <v/>
      </c>
      <c r="V254" s="13">
        <f>IF(B254="","",B254+10)</f>
        <v/>
      </c>
      <c r="W254" s="14">
        <f>IF(B254="","",(--(B254&lt;&gt;"")+--(C254&lt;&gt;"")+--(D254&lt;&gt;"")+--(E254&lt;&gt;"")+--(F254&lt;&gt;"")+--(G254&lt;&gt;"")+--(H254&lt;&gt;"")+--(I254&lt;&gt;"")+--(N254&lt;&gt;"")+--(O254&lt;&gt;"")+--(P254&lt;&gt;""))/11)</f>
        <v/>
      </c>
    </row>
    <row r="255">
      <c r="A255" s="7">
        <f>IF(B255="","",TEXT(B255,"yyyymmdd")&amp;"-"&amp;TEXT(ROW()-1,"000"))</f>
        <v/>
      </c>
      <c r="B255" s="8" t="n"/>
      <c r="C255" s="9" t="n"/>
      <c r="D255" s="9" t="n"/>
      <c r="E255" s="9" t="n"/>
      <c r="F255" s="9" t="n"/>
      <c r="G255" s="9" t="n"/>
      <c r="H255" s="9" t="n"/>
      <c r="I255" s="10" t="n"/>
      <c r="J255" s="11" t="n"/>
      <c r="K255" s="12" t="n"/>
      <c r="L255" s="11" t="n"/>
      <c r="M255" s="12" t="n"/>
      <c r="N255" s="9" t="n"/>
      <c r="O255" s="9" t="n"/>
      <c r="P255" s="10" t="n"/>
      <c r="Q255" s="11" t="n"/>
      <c r="R255" s="12" t="n"/>
      <c r="S255" s="12" t="n"/>
      <c r="T255" s="13">
        <f>IF(B255="","",B255+3)</f>
        <v/>
      </c>
      <c r="U255" s="13">
        <f>IF(B255="","",B255+5)</f>
        <v/>
      </c>
      <c r="V255" s="13">
        <f>IF(B255="","",B255+10)</f>
        <v/>
      </c>
      <c r="W255" s="14">
        <f>IF(B255="","",(--(B255&lt;&gt;"")+--(C255&lt;&gt;"")+--(D255&lt;&gt;"")+--(E255&lt;&gt;"")+--(F255&lt;&gt;"")+--(G255&lt;&gt;"")+--(H255&lt;&gt;"")+--(I255&lt;&gt;"")+--(N255&lt;&gt;"")+--(O255&lt;&gt;"")+--(P255&lt;&gt;""))/11)</f>
        <v/>
      </c>
    </row>
    <row r="256">
      <c r="A256" s="7">
        <f>IF(B256="","",TEXT(B256,"yyyymmdd")&amp;"-"&amp;TEXT(ROW()-1,"000"))</f>
        <v/>
      </c>
      <c r="B256" s="8" t="n"/>
      <c r="C256" s="9" t="n"/>
      <c r="D256" s="9" t="n"/>
      <c r="E256" s="9" t="n"/>
      <c r="F256" s="9" t="n"/>
      <c r="G256" s="9" t="n"/>
      <c r="H256" s="9" t="n"/>
      <c r="I256" s="10" t="n"/>
      <c r="J256" s="11" t="n"/>
      <c r="K256" s="12" t="n"/>
      <c r="L256" s="11" t="n"/>
      <c r="M256" s="12" t="n"/>
      <c r="N256" s="9" t="n"/>
      <c r="O256" s="9" t="n"/>
      <c r="P256" s="10" t="n"/>
      <c r="Q256" s="11" t="n"/>
      <c r="R256" s="12" t="n"/>
      <c r="S256" s="12" t="n"/>
      <c r="T256" s="13">
        <f>IF(B256="","",B256+3)</f>
        <v/>
      </c>
      <c r="U256" s="13">
        <f>IF(B256="","",B256+5)</f>
        <v/>
      </c>
      <c r="V256" s="13">
        <f>IF(B256="","",B256+10)</f>
        <v/>
      </c>
      <c r="W256" s="14">
        <f>IF(B256="","",(--(B256&lt;&gt;"")+--(C256&lt;&gt;"")+--(D256&lt;&gt;"")+--(E256&lt;&gt;"")+--(F256&lt;&gt;"")+--(G256&lt;&gt;"")+--(H256&lt;&gt;"")+--(I256&lt;&gt;"")+--(N256&lt;&gt;"")+--(O256&lt;&gt;"")+--(P256&lt;&gt;""))/11)</f>
        <v/>
      </c>
    </row>
    <row r="257">
      <c r="A257" s="7">
        <f>IF(B257="","",TEXT(B257,"yyyymmdd")&amp;"-"&amp;TEXT(ROW()-1,"000"))</f>
        <v/>
      </c>
      <c r="B257" s="8" t="n"/>
      <c r="C257" s="9" t="n"/>
      <c r="D257" s="9" t="n"/>
      <c r="E257" s="9" t="n"/>
      <c r="F257" s="9" t="n"/>
      <c r="G257" s="9" t="n"/>
      <c r="H257" s="9" t="n"/>
      <c r="I257" s="10" t="n"/>
      <c r="J257" s="11" t="n"/>
      <c r="K257" s="12" t="n"/>
      <c r="L257" s="11" t="n"/>
      <c r="M257" s="12" t="n"/>
      <c r="N257" s="9" t="n"/>
      <c r="O257" s="9" t="n"/>
      <c r="P257" s="10" t="n"/>
      <c r="Q257" s="11" t="n"/>
      <c r="R257" s="12" t="n"/>
      <c r="S257" s="12" t="n"/>
      <c r="T257" s="13">
        <f>IF(B257="","",B257+3)</f>
        <v/>
      </c>
      <c r="U257" s="13">
        <f>IF(B257="","",B257+5)</f>
        <v/>
      </c>
      <c r="V257" s="13">
        <f>IF(B257="","",B257+10)</f>
        <v/>
      </c>
      <c r="W257" s="14">
        <f>IF(B257="","",(--(B257&lt;&gt;"")+--(C257&lt;&gt;"")+--(D257&lt;&gt;"")+--(E257&lt;&gt;"")+--(F257&lt;&gt;"")+--(G257&lt;&gt;"")+--(H257&lt;&gt;"")+--(I257&lt;&gt;"")+--(N257&lt;&gt;"")+--(O257&lt;&gt;"")+--(P257&lt;&gt;""))/11)</f>
        <v/>
      </c>
    </row>
    <row r="258">
      <c r="A258" s="7">
        <f>IF(B258="","",TEXT(B258,"yyyymmdd")&amp;"-"&amp;TEXT(ROW()-1,"000"))</f>
        <v/>
      </c>
      <c r="B258" s="8" t="n"/>
      <c r="C258" s="9" t="n"/>
      <c r="D258" s="9" t="n"/>
      <c r="E258" s="9" t="n"/>
      <c r="F258" s="9" t="n"/>
      <c r="G258" s="9" t="n"/>
      <c r="H258" s="9" t="n"/>
      <c r="I258" s="10" t="n"/>
      <c r="J258" s="11" t="n"/>
      <c r="K258" s="12" t="n"/>
      <c r="L258" s="11" t="n"/>
      <c r="M258" s="12" t="n"/>
      <c r="N258" s="9" t="n"/>
      <c r="O258" s="9" t="n"/>
      <c r="P258" s="10" t="n"/>
      <c r="Q258" s="11" t="n"/>
      <c r="R258" s="12" t="n"/>
      <c r="S258" s="12" t="n"/>
      <c r="T258" s="13">
        <f>IF(B258="","",B258+3)</f>
        <v/>
      </c>
      <c r="U258" s="13">
        <f>IF(B258="","",B258+5)</f>
        <v/>
      </c>
      <c r="V258" s="13">
        <f>IF(B258="","",B258+10)</f>
        <v/>
      </c>
      <c r="W258" s="14">
        <f>IF(B258="","",(--(B258&lt;&gt;"")+--(C258&lt;&gt;"")+--(D258&lt;&gt;"")+--(E258&lt;&gt;"")+--(F258&lt;&gt;"")+--(G258&lt;&gt;"")+--(H258&lt;&gt;"")+--(I258&lt;&gt;"")+--(N258&lt;&gt;"")+--(O258&lt;&gt;"")+--(P258&lt;&gt;""))/11)</f>
        <v/>
      </c>
    </row>
    <row r="259">
      <c r="A259" s="7">
        <f>IF(B259="","",TEXT(B259,"yyyymmdd")&amp;"-"&amp;TEXT(ROW()-1,"000"))</f>
        <v/>
      </c>
      <c r="B259" s="8" t="n"/>
      <c r="C259" s="9" t="n"/>
      <c r="D259" s="9" t="n"/>
      <c r="E259" s="9" t="n"/>
      <c r="F259" s="9" t="n"/>
      <c r="G259" s="9" t="n"/>
      <c r="H259" s="9" t="n"/>
      <c r="I259" s="10" t="n"/>
      <c r="J259" s="11" t="n"/>
      <c r="K259" s="12" t="n"/>
      <c r="L259" s="11" t="n"/>
      <c r="M259" s="12" t="n"/>
      <c r="N259" s="9" t="n"/>
      <c r="O259" s="9" t="n"/>
      <c r="P259" s="10" t="n"/>
      <c r="Q259" s="11" t="n"/>
      <c r="R259" s="12" t="n"/>
      <c r="S259" s="12" t="n"/>
      <c r="T259" s="13">
        <f>IF(B259="","",B259+3)</f>
        <v/>
      </c>
      <c r="U259" s="13">
        <f>IF(B259="","",B259+5)</f>
        <v/>
      </c>
      <c r="V259" s="13">
        <f>IF(B259="","",B259+10)</f>
        <v/>
      </c>
      <c r="W259" s="14">
        <f>IF(B259="","",(--(B259&lt;&gt;"")+--(C259&lt;&gt;"")+--(D259&lt;&gt;"")+--(E259&lt;&gt;"")+--(F259&lt;&gt;"")+--(G259&lt;&gt;"")+--(H259&lt;&gt;"")+--(I259&lt;&gt;"")+--(N259&lt;&gt;"")+--(O259&lt;&gt;"")+--(P259&lt;&gt;""))/11)</f>
        <v/>
      </c>
    </row>
    <row r="260">
      <c r="A260" s="7">
        <f>IF(B260="","",TEXT(B260,"yyyymmdd")&amp;"-"&amp;TEXT(ROW()-1,"000"))</f>
        <v/>
      </c>
      <c r="B260" s="8" t="n"/>
      <c r="C260" s="9" t="n"/>
      <c r="D260" s="9" t="n"/>
      <c r="E260" s="9" t="n"/>
      <c r="F260" s="9" t="n"/>
      <c r="G260" s="9" t="n"/>
      <c r="H260" s="9" t="n"/>
      <c r="I260" s="10" t="n"/>
      <c r="J260" s="11" t="n"/>
      <c r="K260" s="12" t="n"/>
      <c r="L260" s="11" t="n"/>
      <c r="M260" s="12" t="n"/>
      <c r="N260" s="9" t="n"/>
      <c r="O260" s="9" t="n"/>
      <c r="P260" s="10" t="n"/>
      <c r="Q260" s="11" t="n"/>
      <c r="R260" s="12" t="n"/>
      <c r="S260" s="12" t="n"/>
      <c r="T260" s="13">
        <f>IF(B260="","",B260+3)</f>
        <v/>
      </c>
      <c r="U260" s="13">
        <f>IF(B260="","",B260+5)</f>
        <v/>
      </c>
      <c r="V260" s="13">
        <f>IF(B260="","",B260+10)</f>
        <v/>
      </c>
      <c r="W260" s="14">
        <f>IF(B260="","",(--(B260&lt;&gt;"")+--(C260&lt;&gt;"")+--(D260&lt;&gt;"")+--(E260&lt;&gt;"")+--(F260&lt;&gt;"")+--(G260&lt;&gt;"")+--(H260&lt;&gt;"")+--(I260&lt;&gt;"")+--(N260&lt;&gt;"")+--(O260&lt;&gt;"")+--(P260&lt;&gt;""))/11)</f>
        <v/>
      </c>
    </row>
    <row r="261">
      <c r="A261" s="7">
        <f>IF(B261="","",TEXT(B261,"yyyymmdd")&amp;"-"&amp;TEXT(ROW()-1,"000"))</f>
        <v/>
      </c>
      <c r="B261" s="8" t="n"/>
      <c r="C261" s="9" t="n"/>
      <c r="D261" s="9" t="n"/>
      <c r="E261" s="9" t="n"/>
      <c r="F261" s="9" t="n"/>
      <c r="G261" s="9" t="n"/>
      <c r="H261" s="9" t="n"/>
      <c r="I261" s="10" t="n"/>
      <c r="J261" s="11" t="n"/>
      <c r="K261" s="12" t="n"/>
      <c r="L261" s="11" t="n"/>
      <c r="M261" s="12" t="n"/>
      <c r="N261" s="9" t="n"/>
      <c r="O261" s="9" t="n"/>
      <c r="P261" s="10" t="n"/>
      <c r="Q261" s="11" t="n"/>
      <c r="R261" s="12" t="n"/>
      <c r="S261" s="12" t="n"/>
      <c r="T261" s="13">
        <f>IF(B261="","",B261+3)</f>
        <v/>
      </c>
      <c r="U261" s="13">
        <f>IF(B261="","",B261+5)</f>
        <v/>
      </c>
      <c r="V261" s="13">
        <f>IF(B261="","",B261+10)</f>
        <v/>
      </c>
      <c r="W261" s="14">
        <f>IF(B261="","",(--(B261&lt;&gt;"")+--(C261&lt;&gt;"")+--(D261&lt;&gt;"")+--(E261&lt;&gt;"")+--(F261&lt;&gt;"")+--(G261&lt;&gt;"")+--(H261&lt;&gt;"")+--(I261&lt;&gt;"")+--(N261&lt;&gt;"")+--(O261&lt;&gt;"")+--(P261&lt;&gt;""))/11)</f>
        <v/>
      </c>
    </row>
    <row r="262">
      <c r="A262" s="7">
        <f>IF(B262="","",TEXT(B262,"yyyymmdd")&amp;"-"&amp;TEXT(ROW()-1,"000"))</f>
        <v/>
      </c>
      <c r="B262" s="8" t="n"/>
      <c r="C262" s="9" t="n"/>
      <c r="D262" s="9" t="n"/>
      <c r="E262" s="9" t="n"/>
      <c r="F262" s="9" t="n"/>
      <c r="G262" s="9" t="n"/>
      <c r="H262" s="9" t="n"/>
      <c r="I262" s="10" t="n"/>
      <c r="J262" s="11" t="n"/>
      <c r="K262" s="12" t="n"/>
      <c r="L262" s="11" t="n"/>
      <c r="M262" s="12" t="n"/>
      <c r="N262" s="9" t="n"/>
      <c r="O262" s="9" t="n"/>
      <c r="P262" s="10" t="n"/>
      <c r="Q262" s="11" t="n"/>
      <c r="R262" s="12" t="n"/>
      <c r="S262" s="12" t="n"/>
      <c r="T262" s="13">
        <f>IF(B262="","",B262+3)</f>
        <v/>
      </c>
      <c r="U262" s="13">
        <f>IF(B262="","",B262+5)</f>
        <v/>
      </c>
      <c r="V262" s="13">
        <f>IF(B262="","",B262+10)</f>
        <v/>
      </c>
      <c r="W262" s="14">
        <f>IF(B262="","",(--(B262&lt;&gt;"")+--(C262&lt;&gt;"")+--(D262&lt;&gt;"")+--(E262&lt;&gt;"")+--(F262&lt;&gt;"")+--(G262&lt;&gt;"")+--(H262&lt;&gt;"")+--(I262&lt;&gt;"")+--(N262&lt;&gt;"")+--(O262&lt;&gt;"")+--(P262&lt;&gt;""))/11)</f>
        <v/>
      </c>
    </row>
    <row r="263">
      <c r="A263" s="7">
        <f>IF(B263="","",TEXT(B263,"yyyymmdd")&amp;"-"&amp;TEXT(ROW()-1,"000"))</f>
        <v/>
      </c>
      <c r="B263" s="8" t="n"/>
      <c r="C263" s="9" t="n"/>
      <c r="D263" s="9" t="n"/>
      <c r="E263" s="9" t="n"/>
      <c r="F263" s="9" t="n"/>
      <c r="G263" s="9" t="n"/>
      <c r="H263" s="9" t="n"/>
      <c r="I263" s="10" t="n"/>
      <c r="J263" s="11" t="n"/>
      <c r="K263" s="12" t="n"/>
      <c r="L263" s="11" t="n"/>
      <c r="M263" s="12" t="n"/>
      <c r="N263" s="9" t="n"/>
      <c r="O263" s="9" t="n"/>
      <c r="P263" s="10" t="n"/>
      <c r="Q263" s="11" t="n"/>
      <c r="R263" s="12" t="n"/>
      <c r="S263" s="12" t="n"/>
      <c r="T263" s="13">
        <f>IF(B263="","",B263+3)</f>
        <v/>
      </c>
      <c r="U263" s="13">
        <f>IF(B263="","",B263+5)</f>
        <v/>
      </c>
      <c r="V263" s="13">
        <f>IF(B263="","",B263+10)</f>
        <v/>
      </c>
      <c r="W263" s="14">
        <f>IF(B263="","",(--(B263&lt;&gt;"")+--(C263&lt;&gt;"")+--(D263&lt;&gt;"")+--(E263&lt;&gt;"")+--(F263&lt;&gt;"")+--(G263&lt;&gt;"")+--(H263&lt;&gt;"")+--(I263&lt;&gt;"")+--(N263&lt;&gt;"")+--(O263&lt;&gt;"")+--(P263&lt;&gt;""))/11)</f>
        <v/>
      </c>
    </row>
    <row r="264">
      <c r="A264" s="7">
        <f>IF(B264="","",TEXT(B264,"yyyymmdd")&amp;"-"&amp;TEXT(ROW()-1,"000"))</f>
        <v/>
      </c>
      <c r="B264" s="8" t="n"/>
      <c r="C264" s="9" t="n"/>
      <c r="D264" s="9" t="n"/>
      <c r="E264" s="9" t="n"/>
      <c r="F264" s="9" t="n"/>
      <c r="G264" s="9" t="n"/>
      <c r="H264" s="9" t="n"/>
      <c r="I264" s="10" t="n"/>
      <c r="J264" s="11" t="n"/>
      <c r="K264" s="12" t="n"/>
      <c r="L264" s="11" t="n"/>
      <c r="M264" s="12" t="n"/>
      <c r="N264" s="9" t="n"/>
      <c r="O264" s="9" t="n"/>
      <c r="P264" s="10" t="n"/>
      <c r="Q264" s="11" t="n"/>
      <c r="R264" s="12" t="n"/>
      <c r="S264" s="12" t="n"/>
      <c r="T264" s="13">
        <f>IF(B264="","",B264+3)</f>
        <v/>
      </c>
      <c r="U264" s="13">
        <f>IF(B264="","",B264+5)</f>
        <v/>
      </c>
      <c r="V264" s="13">
        <f>IF(B264="","",B264+10)</f>
        <v/>
      </c>
      <c r="W264" s="14">
        <f>IF(B264="","",(--(B264&lt;&gt;"")+--(C264&lt;&gt;"")+--(D264&lt;&gt;"")+--(E264&lt;&gt;"")+--(F264&lt;&gt;"")+--(G264&lt;&gt;"")+--(H264&lt;&gt;"")+--(I264&lt;&gt;"")+--(N264&lt;&gt;"")+--(O264&lt;&gt;"")+--(P264&lt;&gt;""))/11)</f>
        <v/>
      </c>
    </row>
    <row r="265">
      <c r="A265" s="7">
        <f>IF(B265="","",TEXT(B265,"yyyymmdd")&amp;"-"&amp;TEXT(ROW()-1,"000"))</f>
        <v/>
      </c>
      <c r="B265" s="8" t="n"/>
      <c r="C265" s="9" t="n"/>
      <c r="D265" s="9" t="n"/>
      <c r="E265" s="9" t="n"/>
      <c r="F265" s="9" t="n"/>
      <c r="G265" s="9" t="n"/>
      <c r="H265" s="9" t="n"/>
      <c r="I265" s="10" t="n"/>
      <c r="J265" s="11" t="n"/>
      <c r="K265" s="12" t="n"/>
      <c r="L265" s="11" t="n"/>
      <c r="M265" s="12" t="n"/>
      <c r="N265" s="9" t="n"/>
      <c r="O265" s="9" t="n"/>
      <c r="P265" s="10" t="n"/>
      <c r="Q265" s="11" t="n"/>
      <c r="R265" s="12" t="n"/>
      <c r="S265" s="12" t="n"/>
      <c r="T265" s="13">
        <f>IF(B265="","",B265+3)</f>
        <v/>
      </c>
      <c r="U265" s="13">
        <f>IF(B265="","",B265+5)</f>
        <v/>
      </c>
      <c r="V265" s="13">
        <f>IF(B265="","",B265+10)</f>
        <v/>
      </c>
      <c r="W265" s="14">
        <f>IF(B265="","",(--(B265&lt;&gt;"")+--(C265&lt;&gt;"")+--(D265&lt;&gt;"")+--(E265&lt;&gt;"")+--(F265&lt;&gt;"")+--(G265&lt;&gt;"")+--(H265&lt;&gt;"")+--(I265&lt;&gt;"")+--(N265&lt;&gt;"")+--(O265&lt;&gt;"")+--(P265&lt;&gt;""))/11)</f>
        <v/>
      </c>
    </row>
    <row r="266">
      <c r="A266" s="7">
        <f>IF(B266="","",TEXT(B266,"yyyymmdd")&amp;"-"&amp;TEXT(ROW()-1,"000"))</f>
        <v/>
      </c>
      <c r="B266" s="8" t="n"/>
      <c r="C266" s="9" t="n"/>
      <c r="D266" s="9" t="n"/>
      <c r="E266" s="9" t="n"/>
      <c r="F266" s="9" t="n"/>
      <c r="G266" s="9" t="n"/>
      <c r="H266" s="9" t="n"/>
      <c r="I266" s="10" t="n"/>
      <c r="J266" s="11" t="n"/>
      <c r="K266" s="12" t="n"/>
      <c r="L266" s="11" t="n"/>
      <c r="M266" s="12" t="n"/>
      <c r="N266" s="9" t="n"/>
      <c r="O266" s="9" t="n"/>
      <c r="P266" s="10" t="n"/>
      <c r="Q266" s="11" t="n"/>
      <c r="R266" s="12" t="n"/>
      <c r="S266" s="12" t="n"/>
      <c r="T266" s="13">
        <f>IF(B266="","",B266+3)</f>
        <v/>
      </c>
      <c r="U266" s="13">
        <f>IF(B266="","",B266+5)</f>
        <v/>
      </c>
      <c r="V266" s="13">
        <f>IF(B266="","",B266+10)</f>
        <v/>
      </c>
      <c r="W266" s="14">
        <f>IF(B266="","",(--(B266&lt;&gt;"")+--(C266&lt;&gt;"")+--(D266&lt;&gt;"")+--(E266&lt;&gt;"")+--(F266&lt;&gt;"")+--(G266&lt;&gt;"")+--(H266&lt;&gt;"")+--(I266&lt;&gt;"")+--(N266&lt;&gt;"")+--(O266&lt;&gt;"")+--(P266&lt;&gt;""))/11)</f>
        <v/>
      </c>
    </row>
    <row r="267">
      <c r="A267" s="7">
        <f>IF(B267="","",TEXT(B267,"yyyymmdd")&amp;"-"&amp;TEXT(ROW()-1,"000"))</f>
        <v/>
      </c>
      <c r="B267" s="8" t="n"/>
      <c r="C267" s="9" t="n"/>
      <c r="D267" s="9" t="n"/>
      <c r="E267" s="9" t="n"/>
      <c r="F267" s="9" t="n"/>
      <c r="G267" s="9" t="n"/>
      <c r="H267" s="9" t="n"/>
      <c r="I267" s="10" t="n"/>
      <c r="J267" s="11" t="n"/>
      <c r="K267" s="12" t="n"/>
      <c r="L267" s="11" t="n"/>
      <c r="M267" s="12" t="n"/>
      <c r="N267" s="9" t="n"/>
      <c r="O267" s="9" t="n"/>
      <c r="P267" s="10" t="n"/>
      <c r="Q267" s="11" t="n"/>
      <c r="R267" s="12" t="n"/>
      <c r="S267" s="12" t="n"/>
      <c r="T267" s="13">
        <f>IF(B267="","",B267+3)</f>
        <v/>
      </c>
      <c r="U267" s="13">
        <f>IF(B267="","",B267+5)</f>
        <v/>
      </c>
      <c r="V267" s="13">
        <f>IF(B267="","",B267+10)</f>
        <v/>
      </c>
      <c r="W267" s="14">
        <f>IF(B267="","",(--(B267&lt;&gt;"")+--(C267&lt;&gt;"")+--(D267&lt;&gt;"")+--(E267&lt;&gt;"")+--(F267&lt;&gt;"")+--(G267&lt;&gt;"")+--(H267&lt;&gt;"")+--(I267&lt;&gt;"")+--(N267&lt;&gt;"")+--(O267&lt;&gt;"")+--(P267&lt;&gt;""))/11)</f>
        <v/>
      </c>
    </row>
    <row r="268">
      <c r="A268" s="7">
        <f>IF(B268="","",TEXT(B268,"yyyymmdd")&amp;"-"&amp;TEXT(ROW()-1,"000"))</f>
        <v/>
      </c>
      <c r="B268" s="8" t="n"/>
      <c r="C268" s="9" t="n"/>
      <c r="D268" s="9" t="n"/>
      <c r="E268" s="9" t="n"/>
      <c r="F268" s="9" t="n"/>
      <c r="G268" s="9" t="n"/>
      <c r="H268" s="9" t="n"/>
      <c r="I268" s="10" t="n"/>
      <c r="J268" s="11" t="n"/>
      <c r="K268" s="12" t="n"/>
      <c r="L268" s="11" t="n"/>
      <c r="M268" s="12" t="n"/>
      <c r="N268" s="9" t="n"/>
      <c r="O268" s="9" t="n"/>
      <c r="P268" s="10" t="n"/>
      <c r="Q268" s="11" t="n"/>
      <c r="R268" s="12" t="n"/>
      <c r="S268" s="12" t="n"/>
      <c r="T268" s="13">
        <f>IF(B268="","",B268+3)</f>
        <v/>
      </c>
      <c r="U268" s="13">
        <f>IF(B268="","",B268+5)</f>
        <v/>
      </c>
      <c r="V268" s="13">
        <f>IF(B268="","",B268+10)</f>
        <v/>
      </c>
      <c r="W268" s="14">
        <f>IF(B268="","",(--(B268&lt;&gt;"")+--(C268&lt;&gt;"")+--(D268&lt;&gt;"")+--(E268&lt;&gt;"")+--(F268&lt;&gt;"")+--(G268&lt;&gt;"")+--(H268&lt;&gt;"")+--(I268&lt;&gt;"")+--(N268&lt;&gt;"")+--(O268&lt;&gt;"")+--(P268&lt;&gt;""))/11)</f>
        <v/>
      </c>
    </row>
    <row r="269">
      <c r="A269" s="7">
        <f>IF(B269="","",TEXT(B269,"yyyymmdd")&amp;"-"&amp;TEXT(ROW()-1,"000"))</f>
        <v/>
      </c>
      <c r="B269" s="8" t="n"/>
      <c r="C269" s="9" t="n"/>
      <c r="D269" s="9" t="n"/>
      <c r="E269" s="9" t="n"/>
      <c r="F269" s="9" t="n"/>
      <c r="G269" s="9" t="n"/>
      <c r="H269" s="9" t="n"/>
      <c r="I269" s="10" t="n"/>
      <c r="J269" s="11" t="n"/>
      <c r="K269" s="12" t="n"/>
      <c r="L269" s="11" t="n"/>
      <c r="M269" s="12" t="n"/>
      <c r="N269" s="9" t="n"/>
      <c r="O269" s="9" t="n"/>
      <c r="P269" s="10" t="n"/>
      <c r="Q269" s="11" t="n"/>
      <c r="R269" s="12" t="n"/>
      <c r="S269" s="12" t="n"/>
      <c r="T269" s="13">
        <f>IF(B269="","",B269+3)</f>
        <v/>
      </c>
      <c r="U269" s="13">
        <f>IF(B269="","",B269+5)</f>
        <v/>
      </c>
      <c r="V269" s="13">
        <f>IF(B269="","",B269+10)</f>
        <v/>
      </c>
      <c r="W269" s="14">
        <f>IF(B269="","",(--(B269&lt;&gt;"")+--(C269&lt;&gt;"")+--(D269&lt;&gt;"")+--(E269&lt;&gt;"")+--(F269&lt;&gt;"")+--(G269&lt;&gt;"")+--(H269&lt;&gt;"")+--(I269&lt;&gt;"")+--(N269&lt;&gt;"")+--(O269&lt;&gt;"")+--(P269&lt;&gt;""))/11)</f>
        <v/>
      </c>
    </row>
    <row r="270">
      <c r="A270" s="7">
        <f>IF(B270="","",TEXT(B270,"yyyymmdd")&amp;"-"&amp;TEXT(ROW()-1,"000"))</f>
        <v/>
      </c>
      <c r="B270" s="8" t="n"/>
      <c r="C270" s="9" t="n"/>
      <c r="D270" s="9" t="n"/>
      <c r="E270" s="9" t="n"/>
      <c r="F270" s="9" t="n"/>
      <c r="G270" s="9" t="n"/>
      <c r="H270" s="9" t="n"/>
      <c r="I270" s="10" t="n"/>
      <c r="J270" s="11" t="n"/>
      <c r="K270" s="12" t="n"/>
      <c r="L270" s="11" t="n"/>
      <c r="M270" s="12" t="n"/>
      <c r="N270" s="9" t="n"/>
      <c r="O270" s="9" t="n"/>
      <c r="P270" s="10" t="n"/>
      <c r="Q270" s="11" t="n"/>
      <c r="R270" s="12" t="n"/>
      <c r="S270" s="12" t="n"/>
      <c r="T270" s="13">
        <f>IF(B270="","",B270+3)</f>
        <v/>
      </c>
      <c r="U270" s="13">
        <f>IF(B270="","",B270+5)</f>
        <v/>
      </c>
      <c r="V270" s="13">
        <f>IF(B270="","",B270+10)</f>
        <v/>
      </c>
      <c r="W270" s="14">
        <f>IF(B270="","",(--(B270&lt;&gt;"")+--(C270&lt;&gt;"")+--(D270&lt;&gt;"")+--(E270&lt;&gt;"")+--(F270&lt;&gt;"")+--(G270&lt;&gt;"")+--(H270&lt;&gt;"")+--(I270&lt;&gt;"")+--(N270&lt;&gt;"")+--(O270&lt;&gt;"")+--(P270&lt;&gt;""))/11)</f>
        <v/>
      </c>
    </row>
    <row r="271">
      <c r="A271" s="7">
        <f>IF(B271="","",TEXT(B271,"yyyymmdd")&amp;"-"&amp;TEXT(ROW()-1,"000"))</f>
        <v/>
      </c>
      <c r="B271" s="8" t="n"/>
      <c r="C271" s="9" t="n"/>
      <c r="D271" s="9" t="n"/>
      <c r="E271" s="9" t="n"/>
      <c r="F271" s="9" t="n"/>
      <c r="G271" s="9" t="n"/>
      <c r="H271" s="9" t="n"/>
      <c r="I271" s="10" t="n"/>
      <c r="J271" s="11" t="n"/>
      <c r="K271" s="12" t="n"/>
      <c r="L271" s="11" t="n"/>
      <c r="M271" s="12" t="n"/>
      <c r="N271" s="9" t="n"/>
      <c r="O271" s="9" t="n"/>
      <c r="P271" s="10" t="n"/>
      <c r="Q271" s="11" t="n"/>
      <c r="R271" s="12" t="n"/>
      <c r="S271" s="12" t="n"/>
      <c r="T271" s="13">
        <f>IF(B271="","",B271+3)</f>
        <v/>
      </c>
      <c r="U271" s="13">
        <f>IF(B271="","",B271+5)</f>
        <v/>
      </c>
      <c r="V271" s="13">
        <f>IF(B271="","",B271+10)</f>
        <v/>
      </c>
      <c r="W271" s="14">
        <f>IF(B271="","",(--(B271&lt;&gt;"")+--(C271&lt;&gt;"")+--(D271&lt;&gt;"")+--(E271&lt;&gt;"")+--(F271&lt;&gt;"")+--(G271&lt;&gt;"")+--(H271&lt;&gt;"")+--(I271&lt;&gt;"")+--(N271&lt;&gt;"")+--(O271&lt;&gt;"")+--(P271&lt;&gt;""))/11)</f>
        <v/>
      </c>
    </row>
    <row r="272">
      <c r="A272" s="7">
        <f>IF(B272="","",TEXT(B272,"yyyymmdd")&amp;"-"&amp;TEXT(ROW()-1,"000"))</f>
        <v/>
      </c>
      <c r="B272" s="8" t="n"/>
      <c r="C272" s="9" t="n"/>
      <c r="D272" s="9" t="n"/>
      <c r="E272" s="9" t="n"/>
      <c r="F272" s="9" t="n"/>
      <c r="G272" s="9" t="n"/>
      <c r="H272" s="9" t="n"/>
      <c r="I272" s="10" t="n"/>
      <c r="J272" s="11" t="n"/>
      <c r="K272" s="12" t="n"/>
      <c r="L272" s="11" t="n"/>
      <c r="M272" s="12" t="n"/>
      <c r="N272" s="9" t="n"/>
      <c r="O272" s="9" t="n"/>
      <c r="P272" s="10" t="n"/>
      <c r="Q272" s="11" t="n"/>
      <c r="R272" s="12" t="n"/>
      <c r="S272" s="12" t="n"/>
      <c r="T272" s="13">
        <f>IF(B272="","",B272+3)</f>
        <v/>
      </c>
      <c r="U272" s="13">
        <f>IF(B272="","",B272+5)</f>
        <v/>
      </c>
      <c r="V272" s="13">
        <f>IF(B272="","",B272+10)</f>
        <v/>
      </c>
      <c r="W272" s="14">
        <f>IF(B272="","",(--(B272&lt;&gt;"")+--(C272&lt;&gt;"")+--(D272&lt;&gt;"")+--(E272&lt;&gt;"")+--(F272&lt;&gt;"")+--(G272&lt;&gt;"")+--(H272&lt;&gt;"")+--(I272&lt;&gt;"")+--(N272&lt;&gt;"")+--(O272&lt;&gt;"")+--(P272&lt;&gt;""))/11)</f>
        <v/>
      </c>
    </row>
    <row r="273">
      <c r="A273" s="7">
        <f>IF(B273="","",TEXT(B273,"yyyymmdd")&amp;"-"&amp;TEXT(ROW()-1,"000"))</f>
        <v/>
      </c>
      <c r="B273" s="8" t="n"/>
      <c r="C273" s="9" t="n"/>
      <c r="D273" s="9" t="n"/>
      <c r="E273" s="9" t="n"/>
      <c r="F273" s="9" t="n"/>
      <c r="G273" s="9" t="n"/>
      <c r="H273" s="9" t="n"/>
      <c r="I273" s="10" t="n"/>
      <c r="J273" s="11" t="n"/>
      <c r="K273" s="12" t="n"/>
      <c r="L273" s="11" t="n"/>
      <c r="M273" s="12" t="n"/>
      <c r="N273" s="9" t="n"/>
      <c r="O273" s="9" t="n"/>
      <c r="P273" s="10" t="n"/>
      <c r="Q273" s="11" t="n"/>
      <c r="R273" s="12" t="n"/>
      <c r="S273" s="12" t="n"/>
      <c r="T273" s="13">
        <f>IF(B273="","",B273+3)</f>
        <v/>
      </c>
      <c r="U273" s="13">
        <f>IF(B273="","",B273+5)</f>
        <v/>
      </c>
      <c r="V273" s="13">
        <f>IF(B273="","",B273+10)</f>
        <v/>
      </c>
      <c r="W273" s="14">
        <f>IF(B273="","",(--(B273&lt;&gt;"")+--(C273&lt;&gt;"")+--(D273&lt;&gt;"")+--(E273&lt;&gt;"")+--(F273&lt;&gt;"")+--(G273&lt;&gt;"")+--(H273&lt;&gt;"")+--(I273&lt;&gt;"")+--(N273&lt;&gt;"")+--(O273&lt;&gt;"")+--(P273&lt;&gt;""))/11)</f>
        <v/>
      </c>
    </row>
    <row r="274">
      <c r="A274" s="7">
        <f>IF(B274="","",TEXT(B274,"yyyymmdd")&amp;"-"&amp;TEXT(ROW()-1,"000"))</f>
        <v/>
      </c>
      <c r="B274" s="8" t="n"/>
      <c r="C274" s="9" t="n"/>
      <c r="D274" s="9" t="n"/>
      <c r="E274" s="9" t="n"/>
      <c r="F274" s="9" t="n"/>
      <c r="G274" s="9" t="n"/>
      <c r="H274" s="9" t="n"/>
      <c r="I274" s="10" t="n"/>
      <c r="J274" s="11" t="n"/>
      <c r="K274" s="12" t="n"/>
      <c r="L274" s="11" t="n"/>
      <c r="M274" s="12" t="n"/>
      <c r="N274" s="9" t="n"/>
      <c r="O274" s="9" t="n"/>
      <c r="P274" s="10" t="n"/>
      <c r="Q274" s="11" t="n"/>
      <c r="R274" s="12" t="n"/>
      <c r="S274" s="12" t="n"/>
      <c r="T274" s="13">
        <f>IF(B274="","",B274+3)</f>
        <v/>
      </c>
      <c r="U274" s="13">
        <f>IF(B274="","",B274+5)</f>
        <v/>
      </c>
      <c r="V274" s="13">
        <f>IF(B274="","",B274+10)</f>
        <v/>
      </c>
      <c r="W274" s="14">
        <f>IF(B274="","",(--(B274&lt;&gt;"")+--(C274&lt;&gt;"")+--(D274&lt;&gt;"")+--(E274&lt;&gt;"")+--(F274&lt;&gt;"")+--(G274&lt;&gt;"")+--(H274&lt;&gt;"")+--(I274&lt;&gt;"")+--(N274&lt;&gt;"")+--(O274&lt;&gt;"")+--(P274&lt;&gt;""))/11)</f>
        <v/>
      </c>
    </row>
    <row r="275">
      <c r="A275" s="7">
        <f>IF(B275="","",TEXT(B275,"yyyymmdd")&amp;"-"&amp;TEXT(ROW()-1,"000"))</f>
        <v/>
      </c>
      <c r="B275" s="8" t="n"/>
      <c r="C275" s="9" t="n"/>
      <c r="D275" s="9" t="n"/>
      <c r="E275" s="9" t="n"/>
      <c r="F275" s="9" t="n"/>
      <c r="G275" s="9" t="n"/>
      <c r="H275" s="9" t="n"/>
      <c r="I275" s="10" t="n"/>
      <c r="J275" s="11" t="n"/>
      <c r="K275" s="12" t="n"/>
      <c r="L275" s="11" t="n"/>
      <c r="M275" s="12" t="n"/>
      <c r="N275" s="9" t="n"/>
      <c r="O275" s="9" t="n"/>
      <c r="P275" s="10" t="n"/>
      <c r="Q275" s="11" t="n"/>
      <c r="R275" s="12" t="n"/>
      <c r="S275" s="12" t="n"/>
      <c r="T275" s="13">
        <f>IF(B275="","",B275+3)</f>
        <v/>
      </c>
      <c r="U275" s="13">
        <f>IF(B275="","",B275+5)</f>
        <v/>
      </c>
      <c r="V275" s="13">
        <f>IF(B275="","",B275+10)</f>
        <v/>
      </c>
      <c r="W275" s="14">
        <f>IF(B275="","",(--(B275&lt;&gt;"")+--(C275&lt;&gt;"")+--(D275&lt;&gt;"")+--(E275&lt;&gt;"")+--(F275&lt;&gt;"")+--(G275&lt;&gt;"")+--(H275&lt;&gt;"")+--(I275&lt;&gt;"")+--(N275&lt;&gt;"")+--(O275&lt;&gt;"")+--(P275&lt;&gt;""))/11)</f>
        <v/>
      </c>
    </row>
    <row r="276">
      <c r="A276" s="7">
        <f>IF(B276="","",TEXT(B276,"yyyymmdd")&amp;"-"&amp;TEXT(ROW()-1,"000"))</f>
        <v/>
      </c>
      <c r="B276" s="8" t="n"/>
      <c r="C276" s="9" t="n"/>
      <c r="D276" s="9" t="n"/>
      <c r="E276" s="9" t="n"/>
      <c r="F276" s="9" t="n"/>
      <c r="G276" s="9" t="n"/>
      <c r="H276" s="9" t="n"/>
      <c r="I276" s="10" t="n"/>
      <c r="J276" s="11" t="n"/>
      <c r="K276" s="12" t="n"/>
      <c r="L276" s="11" t="n"/>
      <c r="M276" s="12" t="n"/>
      <c r="N276" s="9" t="n"/>
      <c r="O276" s="9" t="n"/>
      <c r="P276" s="10" t="n"/>
      <c r="Q276" s="11" t="n"/>
      <c r="R276" s="12" t="n"/>
      <c r="S276" s="12" t="n"/>
      <c r="T276" s="13">
        <f>IF(B276="","",B276+3)</f>
        <v/>
      </c>
      <c r="U276" s="13">
        <f>IF(B276="","",B276+5)</f>
        <v/>
      </c>
      <c r="V276" s="13">
        <f>IF(B276="","",B276+10)</f>
        <v/>
      </c>
      <c r="W276" s="14">
        <f>IF(B276="","",(--(B276&lt;&gt;"")+--(C276&lt;&gt;"")+--(D276&lt;&gt;"")+--(E276&lt;&gt;"")+--(F276&lt;&gt;"")+--(G276&lt;&gt;"")+--(H276&lt;&gt;"")+--(I276&lt;&gt;"")+--(N276&lt;&gt;"")+--(O276&lt;&gt;"")+--(P276&lt;&gt;""))/11)</f>
        <v/>
      </c>
    </row>
    <row r="277">
      <c r="A277" s="7">
        <f>IF(B277="","",TEXT(B277,"yyyymmdd")&amp;"-"&amp;TEXT(ROW()-1,"000"))</f>
        <v/>
      </c>
      <c r="B277" s="8" t="n"/>
      <c r="C277" s="9" t="n"/>
      <c r="D277" s="9" t="n"/>
      <c r="E277" s="9" t="n"/>
      <c r="F277" s="9" t="n"/>
      <c r="G277" s="9" t="n"/>
      <c r="H277" s="9" t="n"/>
      <c r="I277" s="10" t="n"/>
      <c r="J277" s="11" t="n"/>
      <c r="K277" s="12" t="n"/>
      <c r="L277" s="11" t="n"/>
      <c r="M277" s="12" t="n"/>
      <c r="N277" s="9" t="n"/>
      <c r="O277" s="9" t="n"/>
      <c r="P277" s="10" t="n"/>
      <c r="Q277" s="11" t="n"/>
      <c r="R277" s="12" t="n"/>
      <c r="S277" s="12" t="n"/>
      <c r="T277" s="13">
        <f>IF(B277="","",B277+3)</f>
        <v/>
      </c>
      <c r="U277" s="13">
        <f>IF(B277="","",B277+5)</f>
        <v/>
      </c>
      <c r="V277" s="13">
        <f>IF(B277="","",B277+10)</f>
        <v/>
      </c>
      <c r="W277" s="14">
        <f>IF(B277="","",(--(B277&lt;&gt;"")+--(C277&lt;&gt;"")+--(D277&lt;&gt;"")+--(E277&lt;&gt;"")+--(F277&lt;&gt;"")+--(G277&lt;&gt;"")+--(H277&lt;&gt;"")+--(I277&lt;&gt;"")+--(N277&lt;&gt;"")+--(O277&lt;&gt;"")+--(P277&lt;&gt;""))/11)</f>
        <v/>
      </c>
    </row>
    <row r="278">
      <c r="A278" s="7">
        <f>IF(B278="","",TEXT(B278,"yyyymmdd")&amp;"-"&amp;TEXT(ROW()-1,"000"))</f>
        <v/>
      </c>
      <c r="B278" s="8" t="n"/>
      <c r="C278" s="9" t="n"/>
      <c r="D278" s="9" t="n"/>
      <c r="E278" s="9" t="n"/>
      <c r="F278" s="9" t="n"/>
      <c r="G278" s="9" t="n"/>
      <c r="H278" s="9" t="n"/>
      <c r="I278" s="10" t="n"/>
      <c r="J278" s="11" t="n"/>
      <c r="K278" s="12" t="n"/>
      <c r="L278" s="11" t="n"/>
      <c r="M278" s="12" t="n"/>
      <c r="N278" s="9" t="n"/>
      <c r="O278" s="9" t="n"/>
      <c r="P278" s="10" t="n"/>
      <c r="Q278" s="11" t="n"/>
      <c r="R278" s="12" t="n"/>
      <c r="S278" s="12" t="n"/>
      <c r="T278" s="13">
        <f>IF(B278="","",B278+3)</f>
        <v/>
      </c>
      <c r="U278" s="13">
        <f>IF(B278="","",B278+5)</f>
        <v/>
      </c>
      <c r="V278" s="13">
        <f>IF(B278="","",B278+10)</f>
        <v/>
      </c>
      <c r="W278" s="14">
        <f>IF(B278="","",(--(B278&lt;&gt;"")+--(C278&lt;&gt;"")+--(D278&lt;&gt;"")+--(E278&lt;&gt;"")+--(F278&lt;&gt;"")+--(G278&lt;&gt;"")+--(H278&lt;&gt;"")+--(I278&lt;&gt;"")+--(N278&lt;&gt;"")+--(O278&lt;&gt;"")+--(P278&lt;&gt;""))/11)</f>
        <v/>
      </c>
    </row>
    <row r="279">
      <c r="A279" s="7">
        <f>IF(B279="","",TEXT(B279,"yyyymmdd")&amp;"-"&amp;TEXT(ROW()-1,"000"))</f>
        <v/>
      </c>
      <c r="B279" s="8" t="n"/>
      <c r="C279" s="9" t="n"/>
      <c r="D279" s="9" t="n"/>
      <c r="E279" s="9" t="n"/>
      <c r="F279" s="9" t="n"/>
      <c r="G279" s="9" t="n"/>
      <c r="H279" s="9" t="n"/>
      <c r="I279" s="10" t="n"/>
      <c r="J279" s="11" t="n"/>
      <c r="K279" s="12" t="n"/>
      <c r="L279" s="11" t="n"/>
      <c r="M279" s="12" t="n"/>
      <c r="N279" s="9" t="n"/>
      <c r="O279" s="9" t="n"/>
      <c r="P279" s="10" t="n"/>
      <c r="Q279" s="11" t="n"/>
      <c r="R279" s="12" t="n"/>
      <c r="S279" s="12" t="n"/>
      <c r="T279" s="13">
        <f>IF(B279="","",B279+3)</f>
        <v/>
      </c>
      <c r="U279" s="13">
        <f>IF(B279="","",B279+5)</f>
        <v/>
      </c>
      <c r="V279" s="13">
        <f>IF(B279="","",B279+10)</f>
        <v/>
      </c>
      <c r="W279" s="14">
        <f>IF(B279="","",(--(B279&lt;&gt;"")+--(C279&lt;&gt;"")+--(D279&lt;&gt;"")+--(E279&lt;&gt;"")+--(F279&lt;&gt;"")+--(G279&lt;&gt;"")+--(H279&lt;&gt;"")+--(I279&lt;&gt;"")+--(N279&lt;&gt;"")+--(O279&lt;&gt;"")+--(P279&lt;&gt;""))/11)</f>
        <v/>
      </c>
    </row>
    <row r="280">
      <c r="A280" s="7">
        <f>IF(B280="","",TEXT(B280,"yyyymmdd")&amp;"-"&amp;TEXT(ROW()-1,"000"))</f>
        <v/>
      </c>
      <c r="B280" s="8" t="n"/>
      <c r="C280" s="9" t="n"/>
      <c r="D280" s="9" t="n"/>
      <c r="E280" s="9" t="n"/>
      <c r="F280" s="9" t="n"/>
      <c r="G280" s="9" t="n"/>
      <c r="H280" s="9" t="n"/>
      <c r="I280" s="10" t="n"/>
      <c r="J280" s="11" t="n"/>
      <c r="K280" s="12" t="n"/>
      <c r="L280" s="11" t="n"/>
      <c r="M280" s="12" t="n"/>
      <c r="N280" s="9" t="n"/>
      <c r="O280" s="9" t="n"/>
      <c r="P280" s="10" t="n"/>
      <c r="Q280" s="11" t="n"/>
      <c r="R280" s="12" t="n"/>
      <c r="S280" s="12" t="n"/>
      <c r="T280" s="13">
        <f>IF(B280="","",B280+3)</f>
        <v/>
      </c>
      <c r="U280" s="13">
        <f>IF(B280="","",B280+5)</f>
        <v/>
      </c>
      <c r="V280" s="13">
        <f>IF(B280="","",B280+10)</f>
        <v/>
      </c>
      <c r="W280" s="14">
        <f>IF(B280="","",(--(B280&lt;&gt;"")+--(C280&lt;&gt;"")+--(D280&lt;&gt;"")+--(E280&lt;&gt;"")+--(F280&lt;&gt;"")+--(G280&lt;&gt;"")+--(H280&lt;&gt;"")+--(I280&lt;&gt;"")+--(N280&lt;&gt;"")+--(O280&lt;&gt;"")+--(P280&lt;&gt;""))/11)</f>
        <v/>
      </c>
    </row>
    <row r="281">
      <c r="A281" s="7">
        <f>IF(B281="","",TEXT(B281,"yyyymmdd")&amp;"-"&amp;TEXT(ROW()-1,"000"))</f>
        <v/>
      </c>
      <c r="B281" s="8" t="n"/>
      <c r="C281" s="9" t="n"/>
      <c r="D281" s="9" t="n"/>
      <c r="E281" s="9" t="n"/>
      <c r="F281" s="9" t="n"/>
      <c r="G281" s="9" t="n"/>
      <c r="H281" s="9" t="n"/>
      <c r="I281" s="10" t="n"/>
      <c r="J281" s="11" t="n"/>
      <c r="K281" s="12" t="n"/>
      <c r="L281" s="11" t="n"/>
      <c r="M281" s="12" t="n"/>
      <c r="N281" s="9" t="n"/>
      <c r="O281" s="9" t="n"/>
      <c r="P281" s="10" t="n"/>
      <c r="Q281" s="11" t="n"/>
      <c r="R281" s="12" t="n"/>
      <c r="S281" s="12" t="n"/>
      <c r="T281" s="13">
        <f>IF(B281="","",B281+3)</f>
        <v/>
      </c>
      <c r="U281" s="13">
        <f>IF(B281="","",B281+5)</f>
        <v/>
      </c>
      <c r="V281" s="13">
        <f>IF(B281="","",B281+10)</f>
        <v/>
      </c>
      <c r="W281" s="14">
        <f>IF(B281="","",(--(B281&lt;&gt;"")+--(C281&lt;&gt;"")+--(D281&lt;&gt;"")+--(E281&lt;&gt;"")+--(F281&lt;&gt;"")+--(G281&lt;&gt;"")+--(H281&lt;&gt;"")+--(I281&lt;&gt;"")+--(N281&lt;&gt;"")+--(O281&lt;&gt;"")+--(P281&lt;&gt;""))/11)</f>
        <v/>
      </c>
    </row>
    <row r="282">
      <c r="A282" s="7">
        <f>IF(B282="","",TEXT(B282,"yyyymmdd")&amp;"-"&amp;TEXT(ROW()-1,"000"))</f>
        <v/>
      </c>
      <c r="B282" s="8" t="n"/>
      <c r="C282" s="9" t="n"/>
      <c r="D282" s="9" t="n"/>
      <c r="E282" s="9" t="n"/>
      <c r="F282" s="9" t="n"/>
      <c r="G282" s="9" t="n"/>
      <c r="H282" s="9" t="n"/>
      <c r="I282" s="10" t="n"/>
      <c r="J282" s="11" t="n"/>
      <c r="K282" s="12" t="n"/>
      <c r="L282" s="11" t="n"/>
      <c r="M282" s="12" t="n"/>
      <c r="N282" s="9" t="n"/>
      <c r="O282" s="9" t="n"/>
      <c r="P282" s="10" t="n"/>
      <c r="Q282" s="11" t="n"/>
      <c r="R282" s="12" t="n"/>
      <c r="S282" s="12" t="n"/>
      <c r="T282" s="13">
        <f>IF(B282="","",B282+3)</f>
        <v/>
      </c>
      <c r="U282" s="13">
        <f>IF(B282="","",B282+5)</f>
        <v/>
      </c>
      <c r="V282" s="13">
        <f>IF(B282="","",B282+10)</f>
        <v/>
      </c>
      <c r="W282" s="14">
        <f>IF(B282="","",(--(B282&lt;&gt;"")+--(C282&lt;&gt;"")+--(D282&lt;&gt;"")+--(E282&lt;&gt;"")+--(F282&lt;&gt;"")+--(G282&lt;&gt;"")+--(H282&lt;&gt;"")+--(I282&lt;&gt;"")+--(N282&lt;&gt;"")+--(O282&lt;&gt;"")+--(P282&lt;&gt;""))/11)</f>
        <v/>
      </c>
    </row>
    <row r="283">
      <c r="A283" s="7">
        <f>IF(B283="","",TEXT(B283,"yyyymmdd")&amp;"-"&amp;TEXT(ROW()-1,"000"))</f>
        <v/>
      </c>
      <c r="B283" s="8" t="n"/>
      <c r="C283" s="9" t="n"/>
      <c r="D283" s="9" t="n"/>
      <c r="E283" s="9" t="n"/>
      <c r="F283" s="9" t="n"/>
      <c r="G283" s="9" t="n"/>
      <c r="H283" s="9" t="n"/>
      <c r="I283" s="10" t="n"/>
      <c r="J283" s="11" t="n"/>
      <c r="K283" s="12" t="n"/>
      <c r="L283" s="11" t="n"/>
      <c r="M283" s="12" t="n"/>
      <c r="N283" s="9" t="n"/>
      <c r="O283" s="9" t="n"/>
      <c r="P283" s="10" t="n"/>
      <c r="Q283" s="11" t="n"/>
      <c r="R283" s="12" t="n"/>
      <c r="S283" s="12" t="n"/>
      <c r="T283" s="13">
        <f>IF(B283="","",B283+3)</f>
        <v/>
      </c>
      <c r="U283" s="13">
        <f>IF(B283="","",B283+5)</f>
        <v/>
      </c>
      <c r="V283" s="13">
        <f>IF(B283="","",B283+10)</f>
        <v/>
      </c>
      <c r="W283" s="14">
        <f>IF(B283="","",(--(B283&lt;&gt;"")+--(C283&lt;&gt;"")+--(D283&lt;&gt;"")+--(E283&lt;&gt;"")+--(F283&lt;&gt;"")+--(G283&lt;&gt;"")+--(H283&lt;&gt;"")+--(I283&lt;&gt;"")+--(N283&lt;&gt;"")+--(O283&lt;&gt;"")+--(P283&lt;&gt;""))/11)</f>
        <v/>
      </c>
    </row>
    <row r="284">
      <c r="A284" s="7">
        <f>IF(B284="","",TEXT(B284,"yyyymmdd")&amp;"-"&amp;TEXT(ROW()-1,"000"))</f>
        <v/>
      </c>
      <c r="B284" s="8" t="n"/>
      <c r="C284" s="9" t="n"/>
      <c r="D284" s="9" t="n"/>
      <c r="E284" s="9" t="n"/>
      <c r="F284" s="9" t="n"/>
      <c r="G284" s="9" t="n"/>
      <c r="H284" s="9" t="n"/>
      <c r="I284" s="10" t="n"/>
      <c r="J284" s="11" t="n"/>
      <c r="K284" s="12" t="n"/>
      <c r="L284" s="11" t="n"/>
      <c r="M284" s="12" t="n"/>
      <c r="N284" s="9" t="n"/>
      <c r="O284" s="9" t="n"/>
      <c r="P284" s="10" t="n"/>
      <c r="Q284" s="11" t="n"/>
      <c r="R284" s="12" t="n"/>
      <c r="S284" s="12" t="n"/>
      <c r="T284" s="13">
        <f>IF(B284="","",B284+3)</f>
        <v/>
      </c>
      <c r="U284" s="13">
        <f>IF(B284="","",B284+5)</f>
        <v/>
      </c>
      <c r="V284" s="13">
        <f>IF(B284="","",B284+10)</f>
        <v/>
      </c>
      <c r="W284" s="14">
        <f>IF(B284="","",(--(B284&lt;&gt;"")+--(C284&lt;&gt;"")+--(D284&lt;&gt;"")+--(E284&lt;&gt;"")+--(F284&lt;&gt;"")+--(G284&lt;&gt;"")+--(H284&lt;&gt;"")+--(I284&lt;&gt;"")+--(N284&lt;&gt;"")+--(O284&lt;&gt;"")+--(P284&lt;&gt;""))/11)</f>
        <v/>
      </c>
    </row>
    <row r="285">
      <c r="A285" s="7">
        <f>IF(B285="","",TEXT(B285,"yyyymmdd")&amp;"-"&amp;TEXT(ROW()-1,"000"))</f>
        <v/>
      </c>
      <c r="B285" s="8" t="n"/>
      <c r="C285" s="9" t="n"/>
      <c r="D285" s="9" t="n"/>
      <c r="E285" s="9" t="n"/>
      <c r="F285" s="9" t="n"/>
      <c r="G285" s="9" t="n"/>
      <c r="H285" s="9" t="n"/>
      <c r="I285" s="10" t="n"/>
      <c r="J285" s="11" t="n"/>
      <c r="K285" s="12" t="n"/>
      <c r="L285" s="11" t="n"/>
      <c r="M285" s="12" t="n"/>
      <c r="N285" s="9" t="n"/>
      <c r="O285" s="9" t="n"/>
      <c r="P285" s="10" t="n"/>
      <c r="Q285" s="11" t="n"/>
      <c r="R285" s="12" t="n"/>
      <c r="S285" s="12" t="n"/>
      <c r="T285" s="13">
        <f>IF(B285="","",B285+3)</f>
        <v/>
      </c>
      <c r="U285" s="13">
        <f>IF(B285="","",B285+5)</f>
        <v/>
      </c>
      <c r="V285" s="13">
        <f>IF(B285="","",B285+10)</f>
        <v/>
      </c>
      <c r="W285" s="14">
        <f>IF(B285="","",(--(B285&lt;&gt;"")+--(C285&lt;&gt;"")+--(D285&lt;&gt;"")+--(E285&lt;&gt;"")+--(F285&lt;&gt;"")+--(G285&lt;&gt;"")+--(H285&lt;&gt;"")+--(I285&lt;&gt;"")+--(N285&lt;&gt;"")+--(O285&lt;&gt;"")+--(P285&lt;&gt;""))/11)</f>
        <v/>
      </c>
    </row>
    <row r="286">
      <c r="A286" s="7">
        <f>IF(B286="","",TEXT(B286,"yyyymmdd")&amp;"-"&amp;TEXT(ROW()-1,"000"))</f>
        <v/>
      </c>
      <c r="B286" s="8" t="n"/>
      <c r="C286" s="9" t="n"/>
      <c r="D286" s="9" t="n"/>
      <c r="E286" s="9" t="n"/>
      <c r="F286" s="9" t="n"/>
      <c r="G286" s="9" t="n"/>
      <c r="H286" s="9" t="n"/>
      <c r="I286" s="10" t="n"/>
      <c r="J286" s="11" t="n"/>
      <c r="K286" s="12" t="n"/>
      <c r="L286" s="11" t="n"/>
      <c r="M286" s="12" t="n"/>
      <c r="N286" s="9" t="n"/>
      <c r="O286" s="9" t="n"/>
      <c r="P286" s="10" t="n"/>
      <c r="Q286" s="11" t="n"/>
      <c r="R286" s="12" t="n"/>
      <c r="S286" s="12" t="n"/>
      <c r="T286" s="13">
        <f>IF(B286="","",B286+3)</f>
        <v/>
      </c>
      <c r="U286" s="13">
        <f>IF(B286="","",B286+5)</f>
        <v/>
      </c>
      <c r="V286" s="13">
        <f>IF(B286="","",B286+10)</f>
        <v/>
      </c>
      <c r="W286" s="14">
        <f>IF(B286="","",(--(B286&lt;&gt;"")+--(C286&lt;&gt;"")+--(D286&lt;&gt;"")+--(E286&lt;&gt;"")+--(F286&lt;&gt;"")+--(G286&lt;&gt;"")+--(H286&lt;&gt;"")+--(I286&lt;&gt;"")+--(N286&lt;&gt;"")+--(O286&lt;&gt;"")+--(P286&lt;&gt;""))/11)</f>
        <v/>
      </c>
    </row>
    <row r="287">
      <c r="A287" s="7">
        <f>IF(B287="","",TEXT(B287,"yyyymmdd")&amp;"-"&amp;TEXT(ROW()-1,"000"))</f>
        <v/>
      </c>
      <c r="B287" s="8" t="n"/>
      <c r="C287" s="9" t="n"/>
      <c r="D287" s="9" t="n"/>
      <c r="E287" s="9" t="n"/>
      <c r="F287" s="9" t="n"/>
      <c r="G287" s="9" t="n"/>
      <c r="H287" s="9" t="n"/>
      <c r="I287" s="10" t="n"/>
      <c r="J287" s="11" t="n"/>
      <c r="K287" s="12" t="n"/>
      <c r="L287" s="11" t="n"/>
      <c r="M287" s="12" t="n"/>
      <c r="N287" s="9" t="n"/>
      <c r="O287" s="9" t="n"/>
      <c r="P287" s="10" t="n"/>
      <c r="Q287" s="11" t="n"/>
      <c r="R287" s="12" t="n"/>
      <c r="S287" s="12" t="n"/>
      <c r="T287" s="13">
        <f>IF(B287="","",B287+3)</f>
        <v/>
      </c>
      <c r="U287" s="13">
        <f>IF(B287="","",B287+5)</f>
        <v/>
      </c>
      <c r="V287" s="13">
        <f>IF(B287="","",B287+10)</f>
        <v/>
      </c>
      <c r="W287" s="14">
        <f>IF(B287="","",(--(B287&lt;&gt;"")+--(C287&lt;&gt;"")+--(D287&lt;&gt;"")+--(E287&lt;&gt;"")+--(F287&lt;&gt;"")+--(G287&lt;&gt;"")+--(H287&lt;&gt;"")+--(I287&lt;&gt;"")+--(N287&lt;&gt;"")+--(O287&lt;&gt;"")+--(P287&lt;&gt;""))/11)</f>
        <v/>
      </c>
    </row>
    <row r="288">
      <c r="A288" s="7">
        <f>IF(B288="","",TEXT(B288,"yyyymmdd")&amp;"-"&amp;TEXT(ROW()-1,"000"))</f>
        <v/>
      </c>
      <c r="B288" s="8" t="n"/>
      <c r="C288" s="9" t="n"/>
      <c r="D288" s="9" t="n"/>
      <c r="E288" s="9" t="n"/>
      <c r="F288" s="9" t="n"/>
      <c r="G288" s="9" t="n"/>
      <c r="H288" s="9" t="n"/>
      <c r="I288" s="10" t="n"/>
      <c r="J288" s="11" t="n"/>
      <c r="K288" s="12" t="n"/>
      <c r="L288" s="11" t="n"/>
      <c r="M288" s="12" t="n"/>
      <c r="N288" s="9" t="n"/>
      <c r="O288" s="9" t="n"/>
      <c r="P288" s="10" t="n"/>
      <c r="Q288" s="11" t="n"/>
      <c r="R288" s="12" t="n"/>
      <c r="S288" s="12" t="n"/>
      <c r="T288" s="13">
        <f>IF(B288="","",B288+3)</f>
        <v/>
      </c>
      <c r="U288" s="13">
        <f>IF(B288="","",B288+5)</f>
        <v/>
      </c>
      <c r="V288" s="13">
        <f>IF(B288="","",B288+10)</f>
        <v/>
      </c>
      <c r="W288" s="14">
        <f>IF(B288="","",(--(B288&lt;&gt;"")+--(C288&lt;&gt;"")+--(D288&lt;&gt;"")+--(E288&lt;&gt;"")+--(F288&lt;&gt;"")+--(G288&lt;&gt;"")+--(H288&lt;&gt;"")+--(I288&lt;&gt;"")+--(N288&lt;&gt;"")+--(O288&lt;&gt;"")+--(P288&lt;&gt;""))/11)</f>
        <v/>
      </c>
    </row>
    <row r="289">
      <c r="A289" s="7">
        <f>IF(B289="","",TEXT(B289,"yyyymmdd")&amp;"-"&amp;TEXT(ROW()-1,"000"))</f>
        <v/>
      </c>
      <c r="B289" s="8" t="n"/>
      <c r="C289" s="9" t="n"/>
      <c r="D289" s="9" t="n"/>
      <c r="E289" s="9" t="n"/>
      <c r="F289" s="9" t="n"/>
      <c r="G289" s="9" t="n"/>
      <c r="H289" s="9" t="n"/>
      <c r="I289" s="10" t="n"/>
      <c r="J289" s="11" t="n"/>
      <c r="K289" s="12" t="n"/>
      <c r="L289" s="11" t="n"/>
      <c r="M289" s="12" t="n"/>
      <c r="N289" s="9" t="n"/>
      <c r="O289" s="9" t="n"/>
      <c r="P289" s="10" t="n"/>
      <c r="Q289" s="11" t="n"/>
      <c r="R289" s="12" t="n"/>
      <c r="S289" s="12" t="n"/>
      <c r="T289" s="13">
        <f>IF(B289="","",B289+3)</f>
        <v/>
      </c>
      <c r="U289" s="13">
        <f>IF(B289="","",B289+5)</f>
        <v/>
      </c>
      <c r="V289" s="13">
        <f>IF(B289="","",B289+10)</f>
        <v/>
      </c>
      <c r="W289" s="14">
        <f>IF(B289="","",(--(B289&lt;&gt;"")+--(C289&lt;&gt;"")+--(D289&lt;&gt;"")+--(E289&lt;&gt;"")+--(F289&lt;&gt;"")+--(G289&lt;&gt;"")+--(H289&lt;&gt;"")+--(I289&lt;&gt;"")+--(N289&lt;&gt;"")+--(O289&lt;&gt;"")+--(P289&lt;&gt;""))/11)</f>
        <v/>
      </c>
    </row>
    <row r="290">
      <c r="A290" s="7">
        <f>IF(B290="","",TEXT(B290,"yyyymmdd")&amp;"-"&amp;TEXT(ROW()-1,"000"))</f>
        <v/>
      </c>
      <c r="B290" s="8" t="n"/>
      <c r="C290" s="9" t="n"/>
      <c r="D290" s="9" t="n"/>
      <c r="E290" s="9" t="n"/>
      <c r="F290" s="9" t="n"/>
      <c r="G290" s="9" t="n"/>
      <c r="H290" s="9" t="n"/>
      <c r="I290" s="10" t="n"/>
      <c r="J290" s="11" t="n"/>
      <c r="K290" s="12" t="n"/>
      <c r="L290" s="11" t="n"/>
      <c r="M290" s="12" t="n"/>
      <c r="N290" s="9" t="n"/>
      <c r="O290" s="9" t="n"/>
      <c r="P290" s="10" t="n"/>
      <c r="Q290" s="11" t="n"/>
      <c r="R290" s="12" t="n"/>
      <c r="S290" s="12" t="n"/>
      <c r="T290" s="13">
        <f>IF(B290="","",B290+3)</f>
        <v/>
      </c>
      <c r="U290" s="13">
        <f>IF(B290="","",B290+5)</f>
        <v/>
      </c>
      <c r="V290" s="13">
        <f>IF(B290="","",B290+10)</f>
        <v/>
      </c>
      <c r="W290" s="14">
        <f>IF(B290="","",(--(B290&lt;&gt;"")+--(C290&lt;&gt;"")+--(D290&lt;&gt;"")+--(E290&lt;&gt;"")+--(F290&lt;&gt;"")+--(G290&lt;&gt;"")+--(H290&lt;&gt;"")+--(I290&lt;&gt;"")+--(N290&lt;&gt;"")+--(O290&lt;&gt;"")+--(P290&lt;&gt;""))/11)</f>
        <v/>
      </c>
    </row>
    <row r="291">
      <c r="A291" s="7">
        <f>IF(B291="","",TEXT(B291,"yyyymmdd")&amp;"-"&amp;TEXT(ROW()-1,"000"))</f>
        <v/>
      </c>
      <c r="B291" s="8" t="n"/>
      <c r="C291" s="9" t="n"/>
      <c r="D291" s="9" t="n"/>
      <c r="E291" s="9" t="n"/>
      <c r="F291" s="9" t="n"/>
      <c r="G291" s="9" t="n"/>
      <c r="H291" s="9" t="n"/>
      <c r="I291" s="10" t="n"/>
      <c r="J291" s="11" t="n"/>
      <c r="K291" s="12" t="n"/>
      <c r="L291" s="11" t="n"/>
      <c r="M291" s="12" t="n"/>
      <c r="N291" s="9" t="n"/>
      <c r="O291" s="9" t="n"/>
      <c r="P291" s="10" t="n"/>
      <c r="Q291" s="11" t="n"/>
      <c r="R291" s="12" t="n"/>
      <c r="S291" s="12" t="n"/>
      <c r="T291" s="13">
        <f>IF(B291="","",B291+3)</f>
        <v/>
      </c>
      <c r="U291" s="13">
        <f>IF(B291="","",B291+5)</f>
        <v/>
      </c>
      <c r="V291" s="13">
        <f>IF(B291="","",B291+10)</f>
        <v/>
      </c>
      <c r="W291" s="14">
        <f>IF(B291="","",(--(B291&lt;&gt;"")+--(C291&lt;&gt;"")+--(D291&lt;&gt;"")+--(E291&lt;&gt;"")+--(F291&lt;&gt;"")+--(G291&lt;&gt;"")+--(H291&lt;&gt;"")+--(I291&lt;&gt;"")+--(N291&lt;&gt;"")+--(O291&lt;&gt;"")+--(P291&lt;&gt;""))/11)</f>
        <v/>
      </c>
    </row>
    <row r="292">
      <c r="A292" s="7">
        <f>IF(B292="","",TEXT(B292,"yyyymmdd")&amp;"-"&amp;TEXT(ROW()-1,"000"))</f>
        <v/>
      </c>
      <c r="B292" s="8" t="n"/>
      <c r="C292" s="9" t="n"/>
      <c r="D292" s="9" t="n"/>
      <c r="E292" s="9" t="n"/>
      <c r="F292" s="9" t="n"/>
      <c r="G292" s="9" t="n"/>
      <c r="H292" s="9" t="n"/>
      <c r="I292" s="10" t="n"/>
      <c r="J292" s="11" t="n"/>
      <c r="K292" s="12" t="n"/>
      <c r="L292" s="11" t="n"/>
      <c r="M292" s="12" t="n"/>
      <c r="N292" s="9" t="n"/>
      <c r="O292" s="9" t="n"/>
      <c r="P292" s="10" t="n"/>
      <c r="Q292" s="11" t="n"/>
      <c r="R292" s="12" t="n"/>
      <c r="S292" s="12" t="n"/>
      <c r="T292" s="13">
        <f>IF(B292="","",B292+3)</f>
        <v/>
      </c>
      <c r="U292" s="13">
        <f>IF(B292="","",B292+5)</f>
        <v/>
      </c>
      <c r="V292" s="13">
        <f>IF(B292="","",B292+10)</f>
        <v/>
      </c>
      <c r="W292" s="14">
        <f>IF(B292="","",(--(B292&lt;&gt;"")+--(C292&lt;&gt;"")+--(D292&lt;&gt;"")+--(E292&lt;&gt;"")+--(F292&lt;&gt;"")+--(G292&lt;&gt;"")+--(H292&lt;&gt;"")+--(I292&lt;&gt;"")+--(N292&lt;&gt;"")+--(O292&lt;&gt;"")+--(P292&lt;&gt;""))/11)</f>
        <v/>
      </c>
    </row>
    <row r="293">
      <c r="A293" s="7">
        <f>IF(B293="","",TEXT(B293,"yyyymmdd")&amp;"-"&amp;TEXT(ROW()-1,"000"))</f>
        <v/>
      </c>
      <c r="B293" s="8" t="n"/>
      <c r="C293" s="9" t="n"/>
      <c r="D293" s="9" t="n"/>
      <c r="E293" s="9" t="n"/>
      <c r="F293" s="9" t="n"/>
      <c r="G293" s="9" t="n"/>
      <c r="H293" s="9" t="n"/>
      <c r="I293" s="10" t="n"/>
      <c r="J293" s="11" t="n"/>
      <c r="K293" s="12" t="n"/>
      <c r="L293" s="11" t="n"/>
      <c r="M293" s="12" t="n"/>
      <c r="N293" s="9" t="n"/>
      <c r="O293" s="9" t="n"/>
      <c r="P293" s="10" t="n"/>
      <c r="Q293" s="11" t="n"/>
      <c r="R293" s="12" t="n"/>
      <c r="S293" s="12" t="n"/>
      <c r="T293" s="13">
        <f>IF(B293="","",B293+3)</f>
        <v/>
      </c>
      <c r="U293" s="13">
        <f>IF(B293="","",B293+5)</f>
        <v/>
      </c>
      <c r="V293" s="13">
        <f>IF(B293="","",B293+10)</f>
        <v/>
      </c>
      <c r="W293" s="14">
        <f>IF(B293="","",(--(B293&lt;&gt;"")+--(C293&lt;&gt;"")+--(D293&lt;&gt;"")+--(E293&lt;&gt;"")+--(F293&lt;&gt;"")+--(G293&lt;&gt;"")+--(H293&lt;&gt;"")+--(I293&lt;&gt;"")+--(N293&lt;&gt;"")+--(O293&lt;&gt;"")+--(P293&lt;&gt;""))/11)</f>
        <v/>
      </c>
    </row>
    <row r="294">
      <c r="A294" s="7">
        <f>IF(B294="","",TEXT(B294,"yyyymmdd")&amp;"-"&amp;TEXT(ROW()-1,"000"))</f>
        <v/>
      </c>
      <c r="B294" s="8" t="n"/>
      <c r="C294" s="9" t="n"/>
      <c r="D294" s="9" t="n"/>
      <c r="E294" s="9" t="n"/>
      <c r="F294" s="9" t="n"/>
      <c r="G294" s="9" t="n"/>
      <c r="H294" s="9" t="n"/>
      <c r="I294" s="10" t="n"/>
      <c r="J294" s="11" t="n"/>
      <c r="K294" s="12" t="n"/>
      <c r="L294" s="11" t="n"/>
      <c r="M294" s="12" t="n"/>
      <c r="N294" s="9" t="n"/>
      <c r="O294" s="9" t="n"/>
      <c r="P294" s="10" t="n"/>
      <c r="Q294" s="11" t="n"/>
      <c r="R294" s="12" t="n"/>
      <c r="S294" s="12" t="n"/>
      <c r="T294" s="13">
        <f>IF(B294="","",B294+3)</f>
        <v/>
      </c>
      <c r="U294" s="13">
        <f>IF(B294="","",B294+5)</f>
        <v/>
      </c>
      <c r="V294" s="13">
        <f>IF(B294="","",B294+10)</f>
        <v/>
      </c>
      <c r="W294" s="14">
        <f>IF(B294="","",(--(B294&lt;&gt;"")+--(C294&lt;&gt;"")+--(D294&lt;&gt;"")+--(E294&lt;&gt;"")+--(F294&lt;&gt;"")+--(G294&lt;&gt;"")+--(H294&lt;&gt;"")+--(I294&lt;&gt;"")+--(N294&lt;&gt;"")+--(O294&lt;&gt;"")+--(P294&lt;&gt;""))/11)</f>
        <v/>
      </c>
    </row>
    <row r="295">
      <c r="A295" s="7">
        <f>IF(B295="","",TEXT(B295,"yyyymmdd")&amp;"-"&amp;TEXT(ROW()-1,"000"))</f>
        <v/>
      </c>
      <c r="B295" s="8" t="n"/>
      <c r="C295" s="9" t="n"/>
      <c r="D295" s="9" t="n"/>
      <c r="E295" s="9" t="n"/>
      <c r="F295" s="9" t="n"/>
      <c r="G295" s="9" t="n"/>
      <c r="H295" s="9" t="n"/>
      <c r="I295" s="10" t="n"/>
      <c r="J295" s="11" t="n"/>
      <c r="K295" s="12" t="n"/>
      <c r="L295" s="11" t="n"/>
      <c r="M295" s="12" t="n"/>
      <c r="N295" s="9" t="n"/>
      <c r="O295" s="9" t="n"/>
      <c r="P295" s="10" t="n"/>
      <c r="Q295" s="11" t="n"/>
      <c r="R295" s="12" t="n"/>
      <c r="S295" s="12" t="n"/>
      <c r="T295" s="13">
        <f>IF(B295="","",B295+3)</f>
        <v/>
      </c>
      <c r="U295" s="13">
        <f>IF(B295="","",B295+5)</f>
        <v/>
      </c>
      <c r="V295" s="13">
        <f>IF(B295="","",B295+10)</f>
        <v/>
      </c>
      <c r="W295" s="14">
        <f>IF(B295="","",(--(B295&lt;&gt;"")+--(C295&lt;&gt;"")+--(D295&lt;&gt;"")+--(E295&lt;&gt;"")+--(F295&lt;&gt;"")+--(G295&lt;&gt;"")+--(H295&lt;&gt;"")+--(I295&lt;&gt;"")+--(N295&lt;&gt;"")+--(O295&lt;&gt;"")+--(P295&lt;&gt;""))/11)</f>
        <v/>
      </c>
    </row>
    <row r="296">
      <c r="A296" s="7">
        <f>IF(B296="","",TEXT(B296,"yyyymmdd")&amp;"-"&amp;TEXT(ROW()-1,"000"))</f>
        <v/>
      </c>
      <c r="B296" s="8" t="n"/>
      <c r="C296" s="9" t="n"/>
      <c r="D296" s="9" t="n"/>
      <c r="E296" s="9" t="n"/>
      <c r="F296" s="9" t="n"/>
      <c r="G296" s="9" t="n"/>
      <c r="H296" s="9" t="n"/>
      <c r="I296" s="10" t="n"/>
      <c r="J296" s="11" t="n"/>
      <c r="K296" s="12" t="n"/>
      <c r="L296" s="11" t="n"/>
      <c r="M296" s="12" t="n"/>
      <c r="N296" s="9" t="n"/>
      <c r="O296" s="9" t="n"/>
      <c r="P296" s="10" t="n"/>
      <c r="Q296" s="11" t="n"/>
      <c r="R296" s="12" t="n"/>
      <c r="S296" s="12" t="n"/>
      <c r="T296" s="13">
        <f>IF(B296="","",B296+3)</f>
        <v/>
      </c>
      <c r="U296" s="13">
        <f>IF(B296="","",B296+5)</f>
        <v/>
      </c>
      <c r="V296" s="13">
        <f>IF(B296="","",B296+10)</f>
        <v/>
      </c>
      <c r="W296" s="14">
        <f>IF(B296="","",(--(B296&lt;&gt;"")+--(C296&lt;&gt;"")+--(D296&lt;&gt;"")+--(E296&lt;&gt;"")+--(F296&lt;&gt;"")+--(G296&lt;&gt;"")+--(H296&lt;&gt;"")+--(I296&lt;&gt;"")+--(N296&lt;&gt;"")+--(O296&lt;&gt;"")+--(P296&lt;&gt;""))/11)</f>
        <v/>
      </c>
    </row>
    <row r="297">
      <c r="A297" s="7">
        <f>IF(B297="","",TEXT(B297,"yyyymmdd")&amp;"-"&amp;TEXT(ROW()-1,"000"))</f>
        <v/>
      </c>
      <c r="B297" s="8" t="n"/>
      <c r="C297" s="9" t="n"/>
      <c r="D297" s="9" t="n"/>
      <c r="E297" s="9" t="n"/>
      <c r="F297" s="9" t="n"/>
      <c r="G297" s="9" t="n"/>
      <c r="H297" s="9" t="n"/>
      <c r="I297" s="10" t="n"/>
      <c r="J297" s="11" t="n"/>
      <c r="K297" s="12" t="n"/>
      <c r="L297" s="11" t="n"/>
      <c r="M297" s="12" t="n"/>
      <c r="N297" s="9" t="n"/>
      <c r="O297" s="9" t="n"/>
      <c r="P297" s="10" t="n"/>
      <c r="Q297" s="11" t="n"/>
      <c r="R297" s="12" t="n"/>
      <c r="S297" s="12" t="n"/>
      <c r="T297" s="13">
        <f>IF(B297="","",B297+3)</f>
        <v/>
      </c>
      <c r="U297" s="13">
        <f>IF(B297="","",B297+5)</f>
        <v/>
      </c>
      <c r="V297" s="13">
        <f>IF(B297="","",B297+10)</f>
        <v/>
      </c>
      <c r="W297" s="14">
        <f>IF(B297="","",(--(B297&lt;&gt;"")+--(C297&lt;&gt;"")+--(D297&lt;&gt;"")+--(E297&lt;&gt;"")+--(F297&lt;&gt;"")+--(G297&lt;&gt;"")+--(H297&lt;&gt;"")+--(I297&lt;&gt;"")+--(N297&lt;&gt;"")+--(O297&lt;&gt;"")+--(P297&lt;&gt;""))/11)</f>
        <v/>
      </c>
    </row>
    <row r="298">
      <c r="A298" s="7">
        <f>IF(B298="","",TEXT(B298,"yyyymmdd")&amp;"-"&amp;TEXT(ROW()-1,"000"))</f>
        <v/>
      </c>
      <c r="B298" s="8" t="n"/>
      <c r="C298" s="9" t="n"/>
      <c r="D298" s="9" t="n"/>
      <c r="E298" s="9" t="n"/>
      <c r="F298" s="9" t="n"/>
      <c r="G298" s="9" t="n"/>
      <c r="H298" s="9" t="n"/>
      <c r="I298" s="10" t="n"/>
      <c r="J298" s="11" t="n"/>
      <c r="K298" s="12" t="n"/>
      <c r="L298" s="11" t="n"/>
      <c r="M298" s="12" t="n"/>
      <c r="N298" s="9" t="n"/>
      <c r="O298" s="9" t="n"/>
      <c r="P298" s="10" t="n"/>
      <c r="Q298" s="11" t="n"/>
      <c r="R298" s="12" t="n"/>
      <c r="S298" s="12" t="n"/>
      <c r="T298" s="13">
        <f>IF(B298="","",B298+3)</f>
        <v/>
      </c>
      <c r="U298" s="13">
        <f>IF(B298="","",B298+5)</f>
        <v/>
      </c>
      <c r="V298" s="13">
        <f>IF(B298="","",B298+10)</f>
        <v/>
      </c>
      <c r="W298" s="14">
        <f>IF(B298="","",(--(B298&lt;&gt;"")+--(C298&lt;&gt;"")+--(D298&lt;&gt;"")+--(E298&lt;&gt;"")+--(F298&lt;&gt;"")+--(G298&lt;&gt;"")+--(H298&lt;&gt;"")+--(I298&lt;&gt;"")+--(N298&lt;&gt;"")+--(O298&lt;&gt;"")+--(P298&lt;&gt;""))/11)</f>
        <v/>
      </c>
    </row>
    <row r="299">
      <c r="A299" s="7">
        <f>IF(B299="","",TEXT(B299,"yyyymmdd")&amp;"-"&amp;TEXT(ROW()-1,"000"))</f>
        <v/>
      </c>
      <c r="B299" s="8" t="n"/>
      <c r="C299" s="9" t="n"/>
      <c r="D299" s="9" t="n"/>
      <c r="E299" s="9" t="n"/>
      <c r="F299" s="9" t="n"/>
      <c r="G299" s="9" t="n"/>
      <c r="H299" s="9" t="n"/>
      <c r="I299" s="10" t="n"/>
      <c r="J299" s="11" t="n"/>
      <c r="K299" s="12" t="n"/>
      <c r="L299" s="11" t="n"/>
      <c r="M299" s="12" t="n"/>
      <c r="N299" s="9" t="n"/>
      <c r="O299" s="9" t="n"/>
      <c r="P299" s="10" t="n"/>
      <c r="Q299" s="11" t="n"/>
      <c r="R299" s="12" t="n"/>
      <c r="S299" s="12" t="n"/>
      <c r="T299" s="13">
        <f>IF(B299="","",B299+3)</f>
        <v/>
      </c>
      <c r="U299" s="13">
        <f>IF(B299="","",B299+5)</f>
        <v/>
      </c>
      <c r="V299" s="13">
        <f>IF(B299="","",B299+10)</f>
        <v/>
      </c>
      <c r="W299" s="14">
        <f>IF(B299="","",(--(B299&lt;&gt;"")+--(C299&lt;&gt;"")+--(D299&lt;&gt;"")+--(E299&lt;&gt;"")+--(F299&lt;&gt;"")+--(G299&lt;&gt;"")+--(H299&lt;&gt;"")+--(I299&lt;&gt;"")+--(N299&lt;&gt;"")+--(O299&lt;&gt;"")+--(P299&lt;&gt;""))/11)</f>
        <v/>
      </c>
    </row>
    <row r="300">
      <c r="A300" s="7">
        <f>IF(B300="","",TEXT(B300,"yyyymmdd")&amp;"-"&amp;TEXT(ROW()-1,"000"))</f>
        <v/>
      </c>
      <c r="B300" s="8" t="n"/>
      <c r="C300" s="9" t="n"/>
      <c r="D300" s="9" t="n"/>
      <c r="E300" s="9" t="n"/>
      <c r="F300" s="9" t="n"/>
      <c r="G300" s="9" t="n"/>
      <c r="H300" s="9" t="n"/>
      <c r="I300" s="10" t="n"/>
      <c r="J300" s="11" t="n"/>
      <c r="K300" s="12" t="n"/>
      <c r="L300" s="11" t="n"/>
      <c r="M300" s="12" t="n"/>
      <c r="N300" s="9" t="n"/>
      <c r="O300" s="9" t="n"/>
      <c r="P300" s="10" t="n"/>
      <c r="Q300" s="11" t="n"/>
      <c r="R300" s="12" t="n"/>
      <c r="S300" s="12" t="n"/>
      <c r="T300" s="13">
        <f>IF(B300="","",B300+3)</f>
        <v/>
      </c>
      <c r="U300" s="13">
        <f>IF(B300="","",B300+5)</f>
        <v/>
      </c>
      <c r="V300" s="13">
        <f>IF(B300="","",B300+10)</f>
        <v/>
      </c>
      <c r="W300" s="14">
        <f>IF(B300="","",(--(B300&lt;&gt;"")+--(C300&lt;&gt;"")+--(D300&lt;&gt;"")+--(E300&lt;&gt;"")+--(F300&lt;&gt;"")+--(G300&lt;&gt;"")+--(H300&lt;&gt;"")+--(I300&lt;&gt;"")+--(N300&lt;&gt;"")+--(O300&lt;&gt;"")+--(P300&lt;&gt;""))/11)</f>
        <v/>
      </c>
    </row>
    <row r="301">
      <c r="A301" s="7">
        <f>IF(B301="","",TEXT(B301,"yyyymmdd")&amp;"-"&amp;TEXT(ROW()-1,"000"))</f>
        <v/>
      </c>
      <c r="B301" s="8" t="n"/>
      <c r="C301" s="9" t="n"/>
      <c r="D301" s="9" t="n"/>
      <c r="E301" s="9" t="n"/>
      <c r="F301" s="9" t="n"/>
      <c r="G301" s="9" t="n"/>
      <c r="H301" s="9" t="n"/>
      <c r="I301" s="10" t="n"/>
      <c r="J301" s="11" t="n"/>
      <c r="K301" s="12" t="n"/>
      <c r="L301" s="11" t="n"/>
      <c r="M301" s="12" t="n"/>
      <c r="N301" s="9" t="n"/>
      <c r="O301" s="9" t="n"/>
      <c r="P301" s="10" t="n"/>
      <c r="Q301" s="11" t="n"/>
      <c r="R301" s="12" t="n"/>
      <c r="S301" s="12" t="n"/>
      <c r="T301" s="13">
        <f>IF(B301="","",B301+3)</f>
        <v/>
      </c>
      <c r="U301" s="13">
        <f>IF(B301="","",B301+5)</f>
        <v/>
      </c>
      <c r="V301" s="13">
        <f>IF(B301="","",B301+10)</f>
        <v/>
      </c>
      <c r="W301" s="14">
        <f>IF(B301="","",(--(B301&lt;&gt;"")+--(C301&lt;&gt;"")+--(D301&lt;&gt;"")+--(E301&lt;&gt;"")+--(F301&lt;&gt;"")+--(G301&lt;&gt;"")+--(H301&lt;&gt;"")+--(I301&lt;&gt;"")+--(N301&lt;&gt;"")+--(O301&lt;&gt;"")+--(P301&lt;&gt;""))/11)</f>
        <v/>
      </c>
    </row>
    <row r="302">
      <c r="A302" s="7">
        <f>IF(B302="","",TEXT(B302,"yyyymmdd")&amp;"-"&amp;TEXT(ROW()-1,"000"))</f>
        <v/>
      </c>
      <c r="B302" s="8" t="n"/>
      <c r="C302" s="9" t="n"/>
      <c r="D302" s="9" t="n"/>
      <c r="E302" s="9" t="n"/>
      <c r="F302" s="9" t="n"/>
      <c r="G302" s="9" t="n"/>
      <c r="H302" s="9" t="n"/>
      <c r="I302" s="10" t="n"/>
      <c r="J302" s="11" t="n"/>
      <c r="K302" s="12" t="n"/>
      <c r="L302" s="11" t="n"/>
      <c r="M302" s="12" t="n"/>
      <c r="N302" s="9" t="n"/>
      <c r="O302" s="9" t="n"/>
      <c r="P302" s="10" t="n"/>
      <c r="Q302" s="11" t="n"/>
      <c r="R302" s="12" t="n"/>
      <c r="S302" s="12" t="n"/>
      <c r="T302" s="13">
        <f>IF(B302="","",B302+3)</f>
        <v/>
      </c>
      <c r="U302" s="13">
        <f>IF(B302="","",B302+5)</f>
        <v/>
      </c>
      <c r="V302" s="13">
        <f>IF(B302="","",B302+10)</f>
        <v/>
      </c>
      <c r="W302" s="14">
        <f>IF(B302="","",(--(B302&lt;&gt;"")+--(C302&lt;&gt;"")+--(D302&lt;&gt;"")+--(E302&lt;&gt;"")+--(F302&lt;&gt;"")+--(G302&lt;&gt;"")+--(H302&lt;&gt;"")+--(I302&lt;&gt;"")+--(N302&lt;&gt;"")+--(O302&lt;&gt;"")+--(P302&lt;&gt;""))/11)</f>
        <v/>
      </c>
    </row>
    <row r="303">
      <c r="A303" s="7">
        <f>IF(B303="","",TEXT(B303,"yyyymmdd")&amp;"-"&amp;TEXT(ROW()-1,"000"))</f>
        <v/>
      </c>
      <c r="B303" s="8" t="n"/>
      <c r="C303" s="9" t="n"/>
      <c r="D303" s="9" t="n"/>
      <c r="E303" s="9" t="n"/>
      <c r="F303" s="9" t="n"/>
      <c r="G303" s="9" t="n"/>
      <c r="H303" s="9" t="n"/>
      <c r="I303" s="10" t="n"/>
      <c r="J303" s="11" t="n"/>
      <c r="K303" s="12" t="n"/>
      <c r="L303" s="11" t="n"/>
      <c r="M303" s="12" t="n"/>
      <c r="N303" s="9" t="n"/>
      <c r="O303" s="9" t="n"/>
      <c r="P303" s="10" t="n"/>
      <c r="Q303" s="11" t="n"/>
      <c r="R303" s="12" t="n"/>
      <c r="S303" s="12" t="n"/>
      <c r="T303" s="13">
        <f>IF(B303="","",B303+3)</f>
        <v/>
      </c>
      <c r="U303" s="13">
        <f>IF(B303="","",B303+5)</f>
        <v/>
      </c>
      <c r="V303" s="13">
        <f>IF(B303="","",B303+10)</f>
        <v/>
      </c>
      <c r="W303" s="14">
        <f>IF(B303="","",(--(B303&lt;&gt;"")+--(C303&lt;&gt;"")+--(D303&lt;&gt;"")+--(E303&lt;&gt;"")+--(F303&lt;&gt;"")+--(G303&lt;&gt;"")+--(H303&lt;&gt;"")+--(I303&lt;&gt;"")+--(N303&lt;&gt;"")+--(O303&lt;&gt;"")+--(P303&lt;&gt;""))/11)</f>
        <v/>
      </c>
    </row>
    <row r="304">
      <c r="A304" s="7">
        <f>IF(B304="","",TEXT(B304,"yyyymmdd")&amp;"-"&amp;TEXT(ROW()-1,"000"))</f>
        <v/>
      </c>
      <c r="B304" s="8" t="n"/>
      <c r="C304" s="9" t="n"/>
      <c r="D304" s="9" t="n"/>
      <c r="E304" s="9" t="n"/>
      <c r="F304" s="9" t="n"/>
      <c r="G304" s="9" t="n"/>
      <c r="H304" s="9" t="n"/>
      <c r="I304" s="10" t="n"/>
      <c r="J304" s="11" t="n"/>
      <c r="K304" s="12" t="n"/>
      <c r="L304" s="11" t="n"/>
      <c r="M304" s="12" t="n"/>
      <c r="N304" s="9" t="n"/>
      <c r="O304" s="9" t="n"/>
      <c r="P304" s="10" t="n"/>
      <c r="Q304" s="11" t="n"/>
      <c r="R304" s="12" t="n"/>
      <c r="S304" s="12" t="n"/>
      <c r="T304" s="13">
        <f>IF(B304="","",B304+3)</f>
        <v/>
      </c>
      <c r="U304" s="13">
        <f>IF(B304="","",B304+5)</f>
        <v/>
      </c>
      <c r="V304" s="13">
        <f>IF(B304="","",B304+10)</f>
        <v/>
      </c>
      <c r="W304" s="14">
        <f>IF(B304="","",(--(B304&lt;&gt;"")+--(C304&lt;&gt;"")+--(D304&lt;&gt;"")+--(E304&lt;&gt;"")+--(F304&lt;&gt;"")+--(G304&lt;&gt;"")+--(H304&lt;&gt;"")+--(I304&lt;&gt;"")+--(N304&lt;&gt;"")+--(O304&lt;&gt;"")+--(P304&lt;&gt;""))/11)</f>
        <v/>
      </c>
    </row>
    <row r="305">
      <c r="A305" s="7">
        <f>IF(B305="","",TEXT(B305,"yyyymmdd")&amp;"-"&amp;TEXT(ROW()-1,"000"))</f>
        <v/>
      </c>
      <c r="B305" s="8" t="n"/>
      <c r="C305" s="9" t="n"/>
      <c r="D305" s="9" t="n"/>
      <c r="E305" s="9" t="n"/>
      <c r="F305" s="9" t="n"/>
      <c r="G305" s="9" t="n"/>
      <c r="H305" s="9" t="n"/>
      <c r="I305" s="10" t="n"/>
      <c r="J305" s="11" t="n"/>
      <c r="K305" s="12" t="n"/>
      <c r="L305" s="11" t="n"/>
      <c r="M305" s="12" t="n"/>
      <c r="N305" s="9" t="n"/>
      <c r="O305" s="9" t="n"/>
      <c r="P305" s="10" t="n"/>
      <c r="Q305" s="11" t="n"/>
      <c r="R305" s="12" t="n"/>
      <c r="S305" s="12" t="n"/>
      <c r="T305" s="13">
        <f>IF(B305="","",B305+3)</f>
        <v/>
      </c>
      <c r="U305" s="13">
        <f>IF(B305="","",B305+5)</f>
        <v/>
      </c>
      <c r="V305" s="13">
        <f>IF(B305="","",B305+10)</f>
        <v/>
      </c>
      <c r="W305" s="14">
        <f>IF(B305="","",(--(B305&lt;&gt;"")+--(C305&lt;&gt;"")+--(D305&lt;&gt;"")+--(E305&lt;&gt;"")+--(F305&lt;&gt;"")+--(G305&lt;&gt;"")+--(H305&lt;&gt;"")+--(I305&lt;&gt;"")+--(N305&lt;&gt;"")+--(O305&lt;&gt;"")+--(P305&lt;&gt;""))/11)</f>
        <v/>
      </c>
    </row>
    <row r="306">
      <c r="A306" s="7">
        <f>IF(B306="","",TEXT(B306,"yyyymmdd")&amp;"-"&amp;TEXT(ROW()-1,"000"))</f>
        <v/>
      </c>
      <c r="B306" s="8" t="n"/>
      <c r="C306" s="9" t="n"/>
      <c r="D306" s="9" t="n"/>
      <c r="E306" s="9" t="n"/>
      <c r="F306" s="9" t="n"/>
      <c r="G306" s="9" t="n"/>
      <c r="H306" s="9" t="n"/>
      <c r="I306" s="10" t="n"/>
      <c r="J306" s="11" t="n"/>
      <c r="K306" s="12" t="n"/>
      <c r="L306" s="11" t="n"/>
      <c r="M306" s="12" t="n"/>
      <c r="N306" s="9" t="n"/>
      <c r="O306" s="9" t="n"/>
      <c r="P306" s="10" t="n"/>
      <c r="Q306" s="11" t="n"/>
      <c r="R306" s="12" t="n"/>
      <c r="S306" s="12" t="n"/>
      <c r="T306" s="13">
        <f>IF(B306="","",B306+3)</f>
        <v/>
      </c>
      <c r="U306" s="13">
        <f>IF(B306="","",B306+5)</f>
        <v/>
      </c>
      <c r="V306" s="13">
        <f>IF(B306="","",B306+10)</f>
        <v/>
      </c>
      <c r="W306" s="14">
        <f>IF(B306="","",(--(B306&lt;&gt;"")+--(C306&lt;&gt;"")+--(D306&lt;&gt;"")+--(E306&lt;&gt;"")+--(F306&lt;&gt;"")+--(G306&lt;&gt;"")+--(H306&lt;&gt;"")+--(I306&lt;&gt;"")+--(N306&lt;&gt;"")+--(O306&lt;&gt;"")+--(P306&lt;&gt;""))/11)</f>
        <v/>
      </c>
    </row>
    <row r="307">
      <c r="A307" s="7">
        <f>IF(B307="","",TEXT(B307,"yyyymmdd")&amp;"-"&amp;TEXT(ROW()-1,"000"))</f>
        <v/>
      </c>
      <c r="B307" s="8" t="n"/>
      <c r="C307" s="9" t="n"/>
      <c r="D307" s="9" t="n"/>
      <c r="E307" s="9" t="n"/>
      <c r="F307" s="9" t="n"/>
      <c r="G307" s="9" t="n"/>
      <c r="H307" s="9" t="n"/>
      <c r="I307" s="10" t="n"/>
      <c r="J307" s="11" t="n"/>
      <c r="K307" s="12" t="n"/>
      <c r="L307" s="11" t="n"/>
      <c r="M307" s="12" t="n"/>
      <c r="N307" s="9" t="n"/>
      <c r="O307" s="9" t="n"/>
      <c r="P307" s="10" t="n"/>
      <c r="Q307" s="11" t="n"/>
      <c r="R307" s="12" t="n"/>
      <c r="S307" s="12" t="n"/>
      <c r="T307" s="13">
        <f>IF(B307="","",B307+3)</f>
        <v/>
      </c>
      <c r="U307" s="13">
        <f>IF(B307="","",B307+5)</f>
        <v/>
      </c>
      <c r="V307" s="13">
        <f>IF(B307="","",B307+10)</f>
        <v/>
      </c>
      <c r="W307" s="14">
        <f>IF(B307="","",(--(B307&lt;&gt;"")+--(C307&lt;&gt;"")+--(D307&lt;&gt;"")+--(E307&lt;&gt;"")+--(F307&lt;&gt;"")+--(G307&lt;&gt;"")+--(H307&lt;&gt;"")+--(I307&lt;&gt;"")+--(N307&lt;&gt;"")+--(O307&lt;&gt;"")+--(P307&lt;&gt;""))/11)</f>
        <v/>
      </c>
    </row>
    <row r="308">
      <c r="A308" s="7">
        <f>IF(B308="","",TEXT(B308,"yyyymmdd")&amp;"-"&amp;TEXT(ROW()-1,"000"))</f>
        <v/>
      </c>
      <c r="B308" s="8" t="n"/>
      <c r="C308" s="9" t="n"/>
      <c r="D308" s="9" t="n"/>
      <c r="E308" s="9" t="n"/>
      <c r="F308" s="9" t="n"/>
      <c r="G308" s="9" t="n"/>
      <c r="H308" s="9" t="n"/>
      <c r="I308" s="10" t="n"/>
      <c r="J308" s="11" t="n"/>
      <c r="K308" s="12" t="n"/>
      <c r="L308" s="11" t="n"/>
      <c r="M308" s="12" t="n"/>
      <c r="N308" s="9" t="n"/>
      <c r="O308" s="9" t="n"/>
      <c r="P308" s="10" t="n"/>
      <c r="Q308" s="11" t="n"/>
      <c r="R308" s="12" t="n"/>
      <c r="S308" s="12" t="n"/>
      <c r="T308" s="13">
        <f>IF(B308="","",B308+3)</f>
        <v/>
      </c>
      <c r="U308" s="13">
        <f>IF(B308="","",B308+5)</f>
        <v/>
      </c>
      <c r="V308" s="13">
        <f>IF(B308="","",B308+10)</f>
        <v/>
      </c>
      <c r="W308" s="14">
        <f>IF(B308="","",(--(B308&lt;&gt;"")+--(C308&lt;&gt;"")+--(D308&lt;&gt;"")+--(E308&lt;&gt;"")+--(F308&lt;&gt;"")+--(G308&lt;&gt;"")+--(H308&lt;&gt;"")+--(I308&lt;&gt;"")+--(N308&lt;&gt;"")+--(O308&lt;&gt;"")+--(P308&lt;&gt;""))/11)</f>
        <v/>
      </c>
    </row>
    <row r="309">
      <c r="A309" s="7">
        <f>IF(B309="","",TEXT(B309,"yyyymmdd")&amp;"-"&amp;TEXT(ROW()-1,"000"))</f>
        <v/>
      </c>
      <c r="B309" s="8" t="n"/>
      <c r="C309" s="9" t="n"/>
      <c r="D309" s="9" t="n"/>
      <c r="E309" s="9" t="n"/>
      <c r="F309" s="9" t="n"/>
      <c r="G309" s="9" t="n"/>
      <c r="H309" s="9" t="n"/>
      <c r="I309" s="10" t="n"/>
      <c r="J309" s="11" t="n"/>
      <c r="K309" s="12" t="n"/>
      <c r="L309" s="11" t="n"/>
      <c r="M309" s="12" t="n"/>
      <c r="N309" s="9" t="n"/>
      <c r="O309" s="9" t="n"/>
      <c r="P309" s="10" t="n"/>
      <c r="Q309" s="11" t="n"/>
      <c r="R309" s="12" t="n"/>
      <c r="S309" s="12" t="n"/>
      <c r="T309" s="13">
        <f>IF(B309="","",B309+3)</f>
        <v/>
      </c>
      <c r="U309" s="13">
        <f>IF(B309="","",B309+5)</f>
        <v/>
      </c>
      <c r="V309" s="13">
        <f>IF(B309="","",B309+10)</f>
        <v/>
      </c>
      <c r="W309" s="14">
        <f>IF(B309="","",(--(B309&lt;&gt;"")+--(C309&lt;&gt;"")+--(D309&lt;&gt;"")+--(E309&lt;&gt;"")+--(F309&lt;&gt;"")+--(G309&lt;&gt;"")+--(H309&lt;&gt;"")+--(I309&lt;&gt;"")+--(N309&lt;&gt;"")+--(O309&lt;&gt;"")+--(P309&lt;&gt;""))/11)</f>
        <v/>
      </c>
    </row>
    <row r="310">
      <c r="A310" s="7">
        <f>IF(B310="","",TEXT(B310,"yyyymmdd")&amp;"-"&amp;TEXT(ROW()-1,"000"))</f>
        <v/>
      </c>
      <c r="B310" s="8" t="n"/>
      <c r="C310" s="9" t="n"/>
      <c r="D310" s="9" t="n"/>
      <c r="E310" s="9" t="n"/>
      <c r="F310" s="9" t="n"/>
      <c r="G310" s="9" t="n"/>
      <c r="H310" s="9" t="n"/>
      <c r="I310" s="10" t="n"/>
      <c r="J310" s="11" t="n"/>
      <c r="K310" s="12" t="n"/>
      <c r="L310" s="11" t="n"/>
      <c r="M310" s="12" t="n"/>
      <c r="N310" s="9" t="n"/>
      <c r="O310" s="9" t="n"/>
      <c r="P310" s="10" t="n"/>
      <c r="Q310" s="11" t="n"/>
      <c r="R310" s="12" t="n"/>
      <c r="S310" s="12" t="n"/>
      <c r="T310" s="13">
        <f>IF(B310="","",B310+3)</f>
        <v/>
      </c>
      <c r="U310" s="13">
        <f>IF(B310="","",B310+5)</f>
        <v/>
      </c>
      <c r="V310" s="13">
        <f>IF(B310="","",B310+10)</f>
        <v/>
      </c>
      <c r="W310" s="14">
        <f>IF(B310="","",(--(B310&lt;&gt;"")+--(C310&lt;&gt;"")+--(D310&lt;&gt;"")+--(E310&lt;&gt;"")+--(F310&lt;&gt;"")+--(G310&lt;&gt;"")+--(H310&lt;&gt;"")+--(I310&lt;&gt;"")+--(N310&lt;&gt;"")+--(O310&lt;&gt;"")+--(P310&lt;&gt;""))/11)</f>
        <v/>
      </c>
    </row>
    <row r="311">
      <c r="A311" s="7">
        <f>IF(B311="","",TEXT(B311,"yyyymmdd")&amp;"-"&amp;TEXT(ROW()-1,"000"))</f>
        <v/>
      </c>
      <c r="B311" s="8" t="n"/>
      <c r="C311" s="9" t="n"/>
      <c r="D311" s="9" t="n"/>
      <c r="E311" s="9" t="n"/>
      <c r="F311" s="9" t="n"/>
      <c r="G311" s="9" t="n"/>
      <c r="H311" s="9" t="n"/>
      <c r="I311" s="10" t="n"/>
      <c r="J311" s="11" t="n"/>
      <c r="K311" s="12" t="n"/>
      <c r="L311" s="11" t="n"/>
      <c r="M311" s="12" t="n"/>
      <c r="N311" s="9" t="n"/>
      <c r="O311" s="9" t="n"/>
      <c r="P311" s="10" t="n"/>
      <c r="Q311" s="11" t="n"/>
      <c r="R311" s="12" t="n"/>
      <c r="S311" s="12" t="n"/>
      <c r="T311" s="13">
        <f>IF(B311="","",B311+3)</f>
        <v/>
      </c>
      <c r="U311" s="13">
        <f>IF(B311="","",B311+5)</f>
        <v/>
      </c>
      <c r="V311" s="13">
        <f>IF(B311="","",B311+10)</f>
        <v/>
      </c>
      <c r="W311" s="14">
        <f>IF(B311="","",(--(B311&lt;&gt;"")+--(C311&lt;&gt;"")+--(D311&lt;&gt;"")+--(E311&lt;&gt;"")+--(F311&lt;&gt;"")+--(G311&lt;&gt;"")+--(H311&lt;&gt;"")+--(I311&lt;&gt;"")+--(N311&lt;&gt;"")+--(O311&lt;&gt;"")+--(P311&lt;&gt;""))/11)</f>
        <v/>
      </c>
    </row>
    <row r="312">
      <c r="A312" s="7">
        <f>IF(B312="","",TEXT(B312,"yyyymmdd")&amp;"-"&amp;TEXT(ROW()-1,"000"))</f>
        <v/>
      </c>
      <c r="B312" s="8" t="n"/>
      <c r="C312" s="9" t="n"/>
      <c r="D312" s="9" t="n"/>
      <c r="E312" s="9" t="n"/>
      <c r="F312" s="9" t="n"/>
      <c r="G312" s="9" t="n"/>
      <c r="H312" s="9" t="n"/>
      <c r="I312" s="10" t="n"/>
      <c r="J312" s="11" t="n"/>
      <c r="K312" s="12" t="n"/>
      <c r="L312" s="11" t="n"/>
      <c r="M312" s="12" t="n"/>
      <c r="N312" s="9" t="n"/>
      <c r="O312" s="9" t="n"/>
      <c r="P312" s="10" t="n"/>
      <c r="Q312" s="11" t="n"/>
      <c r="R312" s="12" t="n"/>
      <c r="S312" s="12" t="n"/>
      <c r="T312" s="13">
        <f>IF(B312="","",B312+3)</f>
        <v/>
      </c>
      <c r="U312" s="13">
        <f>IF(B312="","",B312+5)</f>
        <v/>
      </c>
      <c r="V312" s="13">
        <f>IF(B312="","",B312+10)</f>
        <v/>
      </c>
      <c r="W312" s="14">
        <f>IF(B312="","",(--(B312&lt;&gt;"")+--(C312&lt;&gt;"")+--(D312&lt;&gt;"")+--(E312&lt;&gt;"")+--(F312&lt;&gt;"")+--(G312&lt;&gt;"")+--(H312&lt;&gt;"")+--(I312&lt;&gt;"")+--(N312&lt;&gt;"")+--(O312&lt;&gt;"")+--(P312&lt;&gt;""))/11)</f>
        <v/>
      </c>
    </row>
    <row r="313">
      <c r="A313" s="7">
        <f>IF(B313="","",TEXT(B313,"yyyymmdd")&amp;"-"&amp;TEXT(ROW()-1,"000"))</f>
        <v/>
      </c>
      <c r="B313" s="8" t="n"/>
      <c r="C313" s="9" t="n"/>
      <c r="D313" s="9" t="n"/>
      <c r="E313" s="9" t="n"/>
      <c r="F313" s="9" t="n"/>
      <c r="G313" s="9" t="n"/>
      <c r="H313" s="9" t="n"/>
      <c r="I313" s="10" t="n"/>
      <c r="J313" s="11" t="n"/>
      <c r="K313" s="12" t="n"/>
      <c r="L313" s="11" t="n"/>
      <c r="M313" s="12" t="n"/>
      <c r="N313" s="9" t="n"/>
      <c r="O313" s="9" t="n"/>
      <c r="P313" s="10" t="n"/>
      <c r="Q313" s="11" t="n"/>
      <c r="R313" s="12" t="n"/>
      <c r="S313" s="12" t="n"/>
      <c r="T313" s="13">
        <f>IF(B313="","",B313+3)</f>
        <v/>
      </c>
      <c r="U313" s="13">
        <f>IF(B313="","",B313+5)</f>
        <v/>
      </c>
      <c r="V313" s="13">
        <f>IF(B313="","",B313+10)</f>
        <v/>
      </c>
      <c r="W313" s="14">
        <f>IF(B313="","",(--(B313&lt;&gt;"")+--(C313&lt;&gt;"")+--(D313&lt;&gt;"")+--(E313&lt;&gt;"")+--(F313&lt;&gt;"")+--(G313&lt;&gt;"")+--(H313&lt;&gt;"")+--(I313&lt;&gt;"")+--(N313&lt;&gt;"")+--(O313&lt;&gt;"")+--(P313&lt;&gt;""))/11)</f>
        <v/>
      </c>
    </row>
    <row r="314">
      <c r="A314" s="7">
        <f>IF(B314="","",TEXT(B314,"yyyymmdd")&amp;"-"&amp;TEXT(ROW()-1,"000"))</f>
        <v/>
      </c>
      <c r="B314" s="8" t="n"/>
      <c r="C314" s="9" t="n"/>
      <c r="D314" s="9" t="n"/>
      <c r="E314" s="9" t="n"/>
      <c r="F314" s="9" t="n"/>
      <c r="G314" s="9" t="n"/>
      <c r="H314" s="9" t="n"/>
      <c r="I314" s="10" t="n"/>
      <c r="J314" s="11" t="n"/>
      <c r="K314" s="12" t="n"/>
      <c r="L314" s="11" t="n"/>
      <c r="M314" s="12" t="n"/>
      <c r="N314" s="9" t="n"/>
      <c r="O314" s="9" t="n"/>
      <c r="P314" s="10" t="n"/>
      <c r="Q314" s="11" t="n"/>
      <c r="R314" s="12" t="n"/>
      <c r="S314" s="12" t="n"/>
      <c r="T314" s="13">
        <f>IF(B314="","",B314+3)</f>
        <v/>
      </c>
      <c r="U314" s="13">
        <f>IF(B314="","",B314+5)</f>
        <v/>
      </c>
      <c r="V314" s="13">
        <f>IF(B314="","",B314+10)</f>
        <v/>
      </c>
      <c r="W314" s="14">
        <f>IF(B314="","",(--(B314&lt;&gt;"")+--(C314&lt;&gt;"")+--(D314&lt;&gt;"")+--(E314&lt;&gt;"")+--(F314&lt;&gt;"")+--(G314&lt;&gt;"")+--(H314&lt;&gt;"")+--(I314&lt;&gt;"")+--(N314&lt;&gt;"")+--(O314&lt;&gt;"")+--(P314&lt;&gt;""))/11)</f>
        <v/>
      </c>
    </row>
    <row r="315">
      <c r="A315" s="7">
        <f>IF(B315="","",TEXT(B315,"yyyymmdd")&amp;"-"&amp;TEXT(ROW()-1,"000"))</f>
        <v/>
      </c>
      <c r="B315" s="8" t="n"/>
      <c r="C315" s="9" t="n"/>
      <c r="D315" s="9" t="n"/>
      <c r="E315" s="9" t="n"/>
      <c r="F315" s="9" t="n"/>
      <c r="G315" s="9" t="n"/>
      <c r="H315" s="9" t="n"/>
      <c r="I315" s="10" t="n"/>
      <c r="J315" s="11" t="n"/>
      <c r="K315" s="12" t="n"/>
      <c r="L315" s="11" t="n"/>
      <c r="M315" s="12" t="n"/>
      <c r="N315" s="9" t="n"/>
      <c r="O315" s="9" t="n"/>
      <c r="P315" s="10" t="n"/>
      <c r="Q315" s="11" t="n"/>
      <c r="R315" s="12" t="n"/>
      <c r="S315" s="12" t="n"/>
      <c r="T315" s="13">
        <f>IF(B315="","",B315+3)</f>
        <v/>
      </c>
      <c r="U315" s="13">
        <f>IF(B315="","",B315+5)</f>
        <v/>
      </c>
      <c r="V315" s="13">
        <f>IF(B315="","",B315+10)</f>
        <v/>
      </c>
      <c r="W315" s="14">
        <f>IF(B315="","",(--(B315&lt;&gt;"")+--(C315&lt;&gt;"")+--(D315&lt;&gt;"")+--(E315&lt;&gt;"")+--(F315&lt;&gt;"")+--(G315&lt;&gt;"")+--(H315&lt;&gt;"")+--(I315&lt;&gt;"")+--(N315&lt;&gt;"")+--(O315&lt;&gt;"")+--(P315&lt;&gt;""))/11)</f>
        <v/>
      </c>
    </row>
    <row r="316">
      <c r="A316" s="7">
        <f>IF(B316="","",TEXT(B316,"yyyymmdd")&amp;"-"&amp;TEXT(ROW()-1,"000"))</f>
        <v/>
      </c>
      <c r="B316" s="8" t="n"/>
      <c r="C316" s="9" t="n"/>
      <c r="D316" s="9" t="n"/>
      <c r="E316" s="9" t="n"/>
      <c r="F316" s="9" t="n"/>
      <c r="G316" s="9" t="n"/>
      <c r="H316" s="9" t="n"/>
      <c r="I316" s="10" t="n"/>
      <c r="J316" s="11" t="n"/>
      <c r="K316" s="12" t="n"/>
      <c r="L316" s="11" t="n"/>
      <c r="M316" s="12" t="n"/>
      <c r="N316" s="9" t="n"/>
      <c r="O316" s="9" t="n"/>
      <c r="P316" s="10" t="n"/>
      <c r="Q316" s="11" t="n"/>
      <c r="R316" s="12" t="n"/>
      <c r="S316" s="12" t="n"/>
      <c r="T316" s="13">
        <f>IF(B316="","",B316+3)</f>
        <v/>
      </c>
      <c r="U316" s="13">
        <f>IF(B316="","",B316+5)</f>
        <v/>
      </c>
      <c r="V316" s="13">
        <f>IF(B316="","",B316+10)</f>
        <v/>
      </c>
      <c r="W316" s="14">
        <f>IF(B316="","",(--(B316&lt;&gt;"")+--(C316&lt;&gt;"")+--(D316&lt;&gt;"")+--(E316&lt;&gt;"")+--(F316&lt;&gt;"")+--(G316&lt;&gt;"")+--(H316&lt;&gt;"")+--(I316&lt;&gt;"")+--(N316&lt;&gt;"")+--(O316&lt;&gt;"")+--(P316&lt;&gt;""))/11)</f>
        <v/>
      </c>
    </row>
    <row r="317">
      <c r="A317" s="7">
        <f>IF(B317="","",TEXT(B317,"yyyymmdd")&amp;"-"&amp;TEXT(ROW()-1,"000"))</f>
        <v/>
      </c>
      <c r="B317" s="8" t="n"/>
      <c r="C317" s="9" t="n"/>
      <c r="D317" s="9" t="n"/>
      <c r="E317" s="9" t="n"/>
      <c r="F317" s="9" t="n"/>
      <c r="G317" s="9" t="n"/>
      <c r="H317" s="9" t="n"/>
      <c r="I317" s="10" t="n"/>
      <c r="J317" s="11" t="n"/>
      <c r="K317" s="12" t="n"/>
      <c r="L317" s="11" t="n"/>
      <c r="M317" s="12" t="n"/>
      <c r="N317" s="9" t="n"/>
      <c r="O317" s="9" t="n"/>
      <c r="P317" s="10" t="n"/>
      <c r="Q317" s="11" t="n"/>
      <c r="R317" s="12" t="n"/>
      <c r="S317" s="12" t="n"/>
      <c r="T317" s="13">
        <f>IF(B317="","",B317+3)</f>
        <v/>
      </c>
      <c r="U317" s="13">
        <f>IF(B317="","",B317+5)</f>
        <v/>
      </c>
      <c r="V317" s="13">
        <f>IF(B317="","",B317+10)</f>
        <v/>
      </c>
      <c r="W317" s="14">
        <f>IF(B317="","",(--(B317&lt;&gt;"")+--(C317&lt;&gt;"")+--(D317&lt;&gt;"")+--(E317&lt;&gt;"")+--(F317&lt;&gt;"")+--(G317&lt;&gt;"")+--(H317&lt;&gt;"")+--(I317&lt;&gt;"")+--(N317&lt;&gt;"")+--(O317&lt;&gt;"")+--(P317&lt;&gt;""))/11)</f>
        <v/>
      </c>
    </row>
    <row r="318">
      <c r="A318" s="7">
        <f>IF(B318="","",TEXT(B318,"yyyymmdd")&amp;"-"&amp;TEXT(ROW()-1,"000"))</f>
        <v/>
      </c>
      <c r="B318" s="8" t="n"/>
      <c r="C318" s="9" t="n"/>
      <c r="D318" s="9" t="n"/>
      <c r="E318" s="9" t="n"/>
      <c r="F318" s="9" t="n"/>
      <c r="G318" s="9" t="n"/>
      <c r="H318" s="9" t="n"/>
      <c r="I318" s="10" t="n"/>
      <c r="J318" s="11" t="n"/>
      <c r="K318" s="12" t="n"/>
      <c r="L318" s="11" t="n"/>
      <c r="M318" s="12" t="n"/>
      <c r="N318" s="9" t="n"/>
      <c r="O318" s="9" t="n"/>
      <c r="P318" s="10" t="n"/>
      <c r="Q318" s="11" t="n"/>
      <c r="R318" s="12" t="n"/>
      <c r="S318" s="12" t="n"/>
      <c r="T318" s="13">
        <f>IF(B318="","",B318+3)</f>
        <v/>
      </c>
      <c r="U318" s="13">
        <f>IF(B318="","",B318+5)</f>
        <v/>
      </c>
      <c r="V318" s="13">
        <f>IF(B318="","",B318+10)</f>
        <v/>
      </c>
      <c r="W318" s="14">
        <f>IF(B318="","",(--(B318&lt;&gt;"")+--(C318&lt;&gt;"")+--(D318&lt;&gt;"")+--(E318&lt;&gt;"")+--(F318&lt;&gt;"")+--(G318&lt;&gt;"")+--(H318&lt;&gt;"")+--(I318&lt;&gt;"")+--(N318&lt;&gt;"")+--(O318&lt;&gt;"")+--(P318&lt;&gt;""))/11)</f>
        <v/>
      </c>
    </row>
    <row r="319">
      <c r="A319" s="7">
        <f>IF(B319="","",TEXT(B319,"yyyymmdd")&amp;"-"&amp;TEXT(ROW()-1,"000"))</f>
        <v/>
      </c>
      <c r="B319" s="8" t="n"/>
      <c r="C319" s="9" t="n"/>
      <c r="D319" s="9" t="n"/>
      <c r="E319" s="9" t="n"/>
      <c r="F319" s="9" t="n"/>
      <c r="G319" s="9" t="n"/>
      <c r="H319" s="9" t="n"/>
      <c r="I319" s="10" t="n"/>
      <c r="J319" s="11" t="n"/>
      <c r="K319" s="12" t="n"/>
      <c r="L319" s="11" t="n"/>
      <c r="M319" s="12" t="n"/>
      <c r="N319" s="9" t="n"/>
      <c r="O319" s="9" t="n"/>
      <c r="P319" s="10" t="n"/>
      <c r="Q319" s="11" t="n"/>
      <c r="R319" s="12" t="n"/>
      <c r="S319" s="12" t="n"/>
      <c r="T319" s="13">
        <f>IF(B319="","",B319+3)</f>
        <v/>
      </c>
      <c r="U319" s="13">
        <f>IF(B319="","",B319+5)</f>
        <v/>
      </c>
      <c r="V319" s="13">
        <f>IF(B319="","",B319+10)</f>
        <v/>
      </c>
      <c r="W319" s="14">
        <f>IF(B319="","",(--(B319&lt;&gt;"")+--(C319&lt;&gt;"")+--(D319&lt;&gt;"")+--(E319&lt;&gt;"")+--(F319&lt;&gt;"")+--(G319&lt;&gt;"")+--(H319&lt;&gt;"")+--(I319&lt;&gt;"")+--(N319&lt;&gt;"")+--(O319&lt;&gt;"")+--(P319&lt;&gt;""))/11)</f>
        <v/>
      </c>
    </row>
    <row r="320">
      <c r="A320" s="7">
        <f>IF(B320="","",TEXT(B320,"yyyymmdd")&amp;"-"&amp;TEXT(ROW()-1,"000"))</f>
        <v/>
      </c>
      <c r="B320" s="8" t="n"/>
      <c r="C320" s="9" t="n"/>
      <c r="D320" s="9" t="n"/>
      <c r="E320" s="9" t="n"/>
      <c r="F320" s="9" t="n"/>
      <c r="G320" s="9" t="n"/>
      <c r="H320" s="9" t="n"/>
      <c r="I320" s="10" t="n"/>
      <c r="J320" s="11" t="n"/>
      <c r="K320" s="12" t="n"/>
      <c r="L320" s="11" t="n"/>
      <c r="M320" s="12" t="n"/>
      <c r="N320" s="9" t="n"/>
      <c r="O320" s="9" t="n"/>
      <c r="P320" s="10" t="n"/>
      <c r="Q320" s="11" t="n"/>
      <c r="R320" s="12" t="n"/>
      <c r="S320" s="12" t="n"/>
      <c r="T320" s="13">
        <f>IF(B320="","",B320+3)</f>
        <v/>
      </c>
      <c r="U320" s="13">
        <f>IF(B320="","",B320+5)</f>
        <v/>
      </c>
      <c r="V320" s="13">
        <f>IF(B320="","",B320+10)</f>
        <v/>
      </c>
      <c r="W320" s="14">
        <f>IF(B320="","",(--(B320&lt;&gt;"")+--(C320&lt;&gt;"")+--(D320&lt;&gt;"")+--(E320&lt;&gt;"")+--(F320&lt;&gt;"")+--(G320&lt;&gt;"")+--(H320&lt;&gt;"")+--(I320&lt;&gt;"")+--(N320&lt;&gt;"")+--(O320&lt;&gt;"")+--(P320&lt;&gt;""))/11)</f>
        <v/>
      </c>
    </row>
    <row r="321">
      <c r="A321" s="7">
        <f>IF(B321="","",TEXT(B321,"yyyymmdd")&amp;"-"&amp;TEXT(ROW()-1,"000"))</f>
        <v/>
      </c>
      <c r="B321" s="8" t="n"/>
      <c r="C321" s="9" t="n"/>
      <c r="D321" s="9" t="n"/>
      <c r="E321" s="9" t="n"/>
      <c r="F321" s="9" t="n"/>
      <c r="G321" s="9" t="n"/>
      <c r="H321" s="9" t="n"/>
      <c r="I321" s="10" t="n"/>
      <c r="J321" s="11" t="n"/>
      <c r="K321" s="12" t="n"/>
      <c r="L321" s="11" t="n"/>
      <c r="M321" s="12" t="n"/>
      <c r="N321" s="9" t="n"/>
      <c r="O321" s="9" t="n"/>
      <c r="P321" s="10" t="n"/>
      <c r="Q321" s="11" t="n"/>
      <c r="R321" s="12" t="n"/>
      <c r="S321" s="12" t="n"/>
      <c r="T321" s="13">
        <f>IF(B321="","",B321+3)</f>
        <v/>
      </c>
      <c r="U321" s="13">
        <f>IF(B321="","",B321+5)</f>
        <v/>
      </c>
      <c r="V321" s="13">
        <f>IF(B321="","",B321+10)</f>
        <v/>
      </c>
      <c r="W321" s="14">
        <f>IF(B321="","",(--(B321&lt;&gt;"")+--(C321&lt;&gt;"")+--(D321&lt;&gt;"")+--(E321&lt;&gt;"")+--(F321&lt;&gt;"")+--(G321&lt;&gt;"")+--(H321&lt;&gt;"")+--(I321&lt;&gt;"")+--(N321&lt;&gt;"")+--(O321&lt;&gt;"")+--(P321&lt;&gt;""))/11)</f>
        <v/>
      </c>
    </row>
    <row r="322">
      <c r="A322" s="7">
        <f>IF(B322="","",TEXT(B322,"yyyymmdd")&amp;"-"&amp;TEXT(ROW()-1,"000"))</f>
        <v/>
      </c>
      <c r="B322" s="8" t="n"/>
      <c r="C322" s="9" t="n"/>
      <c r="D322" s="9" t="n"/>
      <c r="E322" s="9" t="n"/>
      <c r="F322" s="9" t="n"/>
      <c r="G322" s="9" t="n"/>
      <c r="H322" s="9" t="n"/>
      <c r="I322" s="10" t="n"/>
      <c r="J322" s="11" t="n"/>
      <c r="K322" s="12" t="n"/>
      <c r="L322" s="11" t="n"/>
      <c r="M322" s="12" t="n"/>
      <c r="N322" s="9" t="n"/>
      <c r="O322" s="9" t="n"/>
      <c r="P322" s="10" t="n"/>
      <c r="Q322" s="11" t="n"/>
      <c r="R322" s="12" t="n"/>
      <c r="S322" s="12" t="n"/>
      <c r="T322" s="13">
        <f>IF(B322="","",B322+3)</f>
        <v/>
      </c>
      <c r="U322" s="13">
        <f>IF(B322="","",B322+5)</f>
        <v/>
      </c>
      <c r="V322" s="13">
        <f>IF(B322="","",B322+10)</f>
        <v/>
      </c>
      <c r="W322" s="14">
        <f>IF(B322="","",(--(B322&lt;&gt;"")+--(C322&lt;&gt;"")+--(D322&lt;&gt;"")+--(E322&lt;&gt;"")+--(F322&lt;&gt;"")+--(G322&lt;&gt;"")+--(H322&lt;&gt;"")+--(I322&lt;&gt;"")+--(N322&lt;&gt;"")+--(O322&lt;&gt;"")+--(P322&lt;&gt;""))/11)</f>
        <v/>
      </c>
    </row>
    <row r="323">
      <c r="A323" s="7">
        <f>IF(B323="","",TEXT(B323,"yyyymmdd")&amp;"-"&amp;TEXT(ROW()-1,"000"))</f>
        <v/>
      </c>
      <c r="B323" s="8" t="n"/>
      <c r="C323" s="9" t="n"/>
      <c r="D323" s="9" t="n"/>
      <c r="E323" s="9" t="n"/>
      <c r="F323" s="9" t="n"/>
      <c r="G323" s="9" t="n"/>
      <c r="H323" s="9" t="n"/>
      <c r="I323" s="10" t="n"/>
      <c r="J323" s="11" t="n"/>
      <c r="K323" s="12" t="n"/>
      <c r="L323" s="11" t="n"/>
      <c r="M323" s="12" t="n"/>
      <c r="N323" s="9" t="n"/>
      <c r="O323" s="9" t="n"/>
      <c r="P323" s="10" t="n"/>
      <c r="Q323" s="11" t="n"/>
      <c r="R323" s="12" t="n"/>
      <c r="S323" s="12" t="n"/>
      <c r="T323" s="13">
        <f>IF(B323="","",B323+3)</f>
        <v/>
      </c>
      <c r="U323" s="13">
        <f>IF(B323="","",B323+5)</f>
        <v/>
      </c>
      <c r="V323" s="13">
        <f>IF(B323="","",B323+10)</f>
        <v/>
      </c>
      <c r="W323" s="14">
        <f>IF(B323="","",(--(B323&lt;&gt;"")+--(C323&lt;&gt;"")+--(D323&lt;&gt;"")+--(E323&lt;&gt;"")+--(F323&lt;&gt;"")+--(G323&lt;&gt;"")+--(H323&lt;&gt;"")+--(I323&lt;&gt;"")+--(N323&lt;&gt;"")+--(O323&lt;&gt;"")+--(P323&lt;&gt;""))/11)</f>
        <v/>
      </c>
    </row>
    <row r="324">
      <c r="A324" s="7">
        <f>IF(B324="","",TEXT(B324,"yyyymmdd")&amp;"-"&amp;TEXT(ROW()-1,"000"))</f>
        <v/>
      </c>
      <c r="B324" s="8" t="n"/>
      <c r="C324" s="9" t="n"/>
      <c r="D324" s="9" t="n"/>
      <c r="E324" s="9" t="n"/>
      <c r="F324" s="9" t="n"/>
      <c r="G324" s="9" t="n"/>
      <c r="H324" s="9" t="n"/>
      <c r="I324" s="10" t="n"/>
      <c r="J324" s="11" t="n"/>
      <c r="K324" s="12" t="n"/>
      <c r="L324" s="11" t="n"/>
      <c r="M324" s="12" t="n"/>
      <c r="N324" s="9" t="n"/>
      <c r="O324" s="9" t="n"/>
      <c r="P324" s="10" t="n"/>
      <c r="Q324" s="11" t="n"/>
      <c r="R324" s="12" t="n"/>
      <c r="S324" s="12" t="n"/>
      <c r="T324" s="13">
        <f>IF(B324="","",B324+3)</f>
        <v/>
      </c>
      <c r="U324" s="13">
        <f>IF(B324="","",B324+5)</f>
        <v/>
      </c>
      <c r="V324" s="13">
        <f>IF(B324="","",B324+10)</f>
        <v/>
      </c>
      <c r="W324" s="14">
        <f>IF(B324="","",(--(B324&lt;&gt;"")+--(C324&lt;&gt;"")+--(D324&lt;&gt;"")+--(E324&lt;&gt;"")+--(F324&lt;&gt;"")+--(G324&lt;&gt;"")+--(H324&lt;&gt;"")+--(I324&lt;&gt;"")+--(N324&lt;&gt;"")+--(O324&lt;&gt;"")+--(P324&lt;&gt;""))/11)</f>
        <v/>
      </c>
    </row>
    <row r="325">
      <c r="A325" s="7">
        <f>IF(B325="","",TEXT(B325,"yyyymmdd")&amp;"-"&amp;TEXT(ROW()-1,"000"))</f>
        <v/>
      </c>
      <c r="B325" s="8" t="n"/>
      <c r="C325" s="9" t="n"/>
      <c r="D325" s="9" t="n"/>
      <c r="E325" s="9" t="n"/>
      <c r="F325" s="9" t="n"/>
      <c r="G325" s="9" t="n"/>
      <c r="H325" s="9" t="n"/>
      <c r="I325" s="10" t="n"/>
      <c r="J325" s="11" t="n"/>
      <c r="K325" s="12" t="n"/>
      <c r="L325" s="11" t="n"/>
      <c r="M325" s="12" t="n"/>
      <c r="N325" s="9" t="n"/>
      <c r="O325" s="9" t="n"/>
      <c r="P325" s="10" t="n"/>
      <c r="Q325" s="11" t="n"/>
      <c r="R325" s="12" t="n"/>
      <c r="S325" s="12" t="n"/>
      <c r="T325" s="13">
        <f>IF(B325="","",B325+3)</f>
        <v/>
      </c>
      <c r="U325" s="13">
        <f>IF(B325="","",B325+5)</f>
        <v/>
      </c>
      <c r="V325" s="13">
        <f>IF(B325="","",B325+10)</f>
        <v/>
      </c>
      <c r="W325" s="14">
        <f>IF(B325="","",(--(B325&lt;&gt;"")+--(C325&lt;&gt;"")+--(D325&lt;&gt;"")+--(E325&lt;&gt;"")+--(F325&lt;&gt;"")+--(G325&lt;&gt;"")+--(H325&lt;&gt;"")+--(I325&lt;&gt;"")+--(N325&lt;&gt;"")+--(O325&lt;&gt;"")+--(P325&lt;&gt;""))/11)</f>
        <v/>
      </c>
    </row>
    <row r="326">
      <c r="A326" s="7">
        <f>IF(B326="","",TEXT(B326,"yyyymmdd")&amp;"-"&amp;TEXT(ROW()-1,"000"))</f>
        <v/>
      </c>
      <c r="B326" s="8" t="n"/>
      <c r="C326" s="9" t="n"/>
      <c r="D326" s="9" t="n"/>
      <c r="E326" s="9" t="n"/>
      <c r="F326" s="9" t="n"/>
      <c r="G326" s="9" t="n"/>
      <c r="H326" s="9" t="n"/>
      <c r="I326" s="10" t="n"/>
      <c r="J326" s="11" t="n"/>
      <c r="K326" s="12" t="n"/>
      <c r="L326" s="11" t="n"/>
      <c r="M326" s="12" t="n"/>
      <c r="N326" s="9" t="n"/>
      <c r="O326" s="9" t="n"/>
      <c r="P326" s="10" t="n"/>
      <c r="Q326" s="11" t="n"/>
      <c r="R326" s="12" t="n"/>
      <c r="S326" s="12" t="n"/>
      <c r="T326" s="13">
        <f>IF(B326="","",B326+3)</f>
        <v/>
      </c>
      <c r="U326" s="13">
        <f>IF(B326="","",B326+5)</f>
        <v/>
      </c>
      <c r="V326" s="13">
        <f>IF(B326="","",B326+10)</f>
        <v/>
      </c>
      <c r="W326" s="14">
        <f>IF(B326="","",(--(B326&lt;&gt;"")+--(C326&lt;&gt;"")+--(D326&lt;&gt;"")+--(E326&lt;&gt;"")+--(F326&lt;&gt;"")+--(G326&lt;&gt;"")+--(H326&lt;&gt;"")+--(I326&lt;&gt;"")+--(N326&lt;&gt;"")+--(O326&lt;&gt;"")+--(P326&lt;&gt;""))/11)</f>
        <v/>
      </c>
    </row>
    <row r="327">
      <c r="A327" s="7">
        <f>IF(B327="","",TEXT(B327,"yyyymmdd")&amp;"-"&amp;TEXT(ROW()-1,"000"))</f>
        <v/>
      </c>
      <c r="B327" s="8" t="n"/>
      <c r="C327" s="9" t="n"/>
      <c r="D327" s="9" t="n"/>
      <c r="E327" s="9" t="n"/>
      <c r="F327" s="9" t="n"/>
      <c r="G327" s="9" t="n"/>
      <c r="H327" s="9" t="n"/>
      <c r="I327" s="10" t="n"/>
      <c r="J327" s="11" t="n"/>
      <c r="K327" s="12" t="n"/>
      <c r="L327" s="11" t="n"/>
      <c r="M327" s="12" t="n"/>
      <c r="N327" s="9" t="n"/>
      <c r="O327" s="9" t="n"/>
      <c r="P327" s="10" t="n"/>
      <c r="Q327" s="11" t="n"/>
      <c r="R327" s="12" t="n"/>
      <c r="S327" s="12" t="n"/>
      <c r="T327" s="13">
        <f>IF(B327="","",B327+3)</f>
        <v/>
      </c>
      <c r="U327" s="13">
        <f>IF(B327="","",B327+5)</f>
        <v/>
      </c>
      <c r="V327" s="13">
        <f>IF(B327="","",B327+10)</f>
        <v/>
      </c>
      <c r="W327" s="14">
        <f>IF(B327="","",(--(B327&lt;&gt;"")+--(C327&lt;&gt;"")+--(D327&lt;&gt;"")+--(E327&lt;&gt;"")+--(F327&lt;&gt;"")+--(G327&lt;&gt;"")+--(H327&lt;&gt;"")+--(I327&lt;&gt;"")+--(N327&lt;&gt;"")+--(O327&lt;&gt;"")+--(P327&lt;&gt;""))/11)</f>
        <v/>
      </c>
    </row>
    <row r="328">
      <c r="A328" s="7">
        <f>IF(B328="","",TEXT(B328,"yyyymmdd")&amp;"-"&amp;TEXT(ROW()-1,"000"))</f>
        <v/>
      </c>
      <c r="B328" s="8" t="n"/>
      <c r="C328" s="9" t="n"/>
      <c r="D328" s="9" t="n"/>
      <c r="E328" s="9" t="n"/>
      <c r="F328" s="9" t="n"/>
      <c r="G328" s="9" t="n"/>
      <c r="H328" s="9" t="n"/>
      <c r="I328" s="10" t="n"/>
      <c r="J328" s="11" t="n"/>
      <c r="K328" s="12" t="n"/>
      <c r="L328" s="11" t="n"/>
      <c r="M328" s="12" t="n"/>
      <c r="N328" s="9" t="n"/>
      <c r="O328" s="9" t="n"/>
      <c r="P328" s="10" t="n"/>
      <c r="Q328" s="11" t="n"/>
      <c r="R328" s="12" t="n"/>
      <c r="S328" s="12" t="n"/>
      <c r="T328" s="13">
        <f>IF(B328="","",B328+3)</f>
        <v/>
      </c>
      <c r="U328" s="13">
        <f>IF(B328="","",B328+5)</f>
        <v/>
      </c>
      <c r="V328" s="13">
        <f>IF(B328="","",B328+10)</f>
        <v/>
      </c>
      <c r="W328" s="14">
        <f>IF(B328="","",(--(B328&lt;&gt;"")+--(C328&lt;&gt;"")+--(D328&lt;&gt;"")+--(E328&lt;&gt;"")+--(F328&lt;&gt;"")+--(G328&lt;&gt;"")+--(H328&lt;&gt;"")+--(I328&lt;&gt;"")+--(N328&lt;&gt;"")+--(O328&lt;&gt;"")+--(P328&lt;&gt;""))/11)</f>
        <v/>
      </c>
    </row>
    <row r="329">
      <c r="A329" s="7">
        <f>IF(B329="","",TEXT(B329,"yyyymmdd")&amp;"-"&amp;TEXT(ROW()-1,"000"))</f>
        <v/>
      </c>
      <c r="B329" s="8" t="n"/>
      <c r="C329" s="9" t="n"/>
      <c r="D329" s="9" t="n"/>
      <c r="E329" s="9" t="n"/>
      <c r="F329" s="9" t="n"/>
      <c r="G329" s="9" t="n"/>
      <c r="H329" s="9" t="n"/>
      <c r="I329" s="10" t="n"/>
      <c r="J329" s="11" t="n"/>
      <c r="K329" s="12" t="n"/>
      <c r="L329" s="11" t="n"/>
      <c r="M329" s="12" t="n"/>
      <c r="N329" s="9" t="n"/>
      <c r="O329" s="9" t="n"/>
      <c r="P329" s="10" t="n"/>
      <c r="Q329" s="11" t="n"/>
      <c r="R329" s="12" t="n"/>
      <c r="S329" s="12" t="n"/>
      <c r="T329" s="13">
        <f>IF(B329="","",B329+3)</f>
        <v/>
      </c>
      <c r="U329" s="13">
        <f>IF(B329="","",B329+5)</f>
        <v/>
      </c>
      <c r="V329" s="13">
        <f>IF(B329="","",B329+10)</f>
        <v/>
      </c>
      <c r="W329" s="14">
        <f>IF(B329="","",(--(B329&lt;&gt;"")+--(C329&lt;&gt;"")+--(D329&lt;&gt;"")+--(E329&lt;&gt;"")+--(F329&lt;&gt;"")+--(G329&lt;&gt;"")+--(H329&lt;&gt;"")+--(I329&lt;&gt;"")+--(N329&lt;&gt;"")+--(O329&lt;&gt;"")+--(P329&lt;&gt;""))/11)</f>
        <v/>
      </c>
    </row>
    <row r="330">
      <c r="A330" s="7">
        <f>IF(B330="","",TEXT(B330,"yyyymmdd")&amp;"-"&amp;TEXT(ROW()-1,"000"))</f>
        <v/>
      </c>
      <c r="B330" s="8" t="n"/>
      <c r="C330" s="9" t="n"/>
      <c r="D330" s="9" t="n"/>
      <c r="E330" s="9" t="n"/>
      <c r="F330" s="9" t="n"/>
      <c r="G330" s="9" t="n"/>
      <c r="H330" s="9" t="n"/>
      <c r="I330" s="10" t="n"/>
      <c r="J330" s="11" t="n"/>
      <c r="K330" s="12" t="n"/>
      <c r="L330" s="11" t="n"/>
      <c r="M330" s="12" t="n"/>
      <c r="N330" s="9" t="n"/>
      <c r="O330" s="9" t="n"/>
      <c r="P330" s="10" t="n"/>
      <c r="Q330" s="11" t="n"/>
      <c r="R330" s="12" t="n"/>
      <c r="S330" s="12" t="n"/>
      <c r="T330" s="13">
        <f>IF(B330="","",B330+3)</f>
        <v/>
      </c>
      <c r="U330" s="13">
        <f>IF(B330="","",B330+5)</f>
        <v/>
      </c>
      <c r="V330" s="13">
        <f>IF(B330="","",B330+10)</f>
        <v/>
      </c>
      <c r="W330" s="14">
        <f>IF(B330="","",(--(B330&lt;&gt;"")+--(C330&lt;&gt;"")+--(D330&lt;&gt;"")+--(E330&lt;&gt;"")+--(F330&lt;&gt;"")+--(G330&lt;&gt;"")+--(H330&lt;&gt;"")+--(I330&lt;&gt;"")+--(N330&lt;&gt;"")+--(O330&lt;&gt;"")+--(P330&lt;&gt;""))/11)</f>
        <v/>
      </c>
    </row>
    <row r="331">
      <c r="A331" s="7">
        <f>IF(B331="","",TEXT(B331,"yyyymmdd")&amp;"-"&amp;TEXT(ROW()-1,"000"))</f>
        <v/>
      </c>
      <c r="B331" s="8" t="n"/>
      <c r="C331" s="9" t="n"/>
      <c r="D331" s="9" t="n"/>
      <c r="E331" s="9" t="n"/>
      <c r="F331" s="9" t="n"/>
      <c r="G331" s="9" t="n"/>
      <c r="H331" s="9" t="n"/>
      <c r="I331" s="10" t="n"/>
      <c r="J331" s="11" t="n"/>
      <c r="K331" s="12" t="n"/>
      <c r="L331" s="11" t="n"/>
      <c r="M331" s="12" t="n"/>
      <c r="N331" s="9" t="n"/>
      <c r="O331" s="9" t="n"/>
      <c r="P331" s="10" t="n"/>
      <c r="Q331" s="11" t="n"/>
      <c r="R331" s="12" t="n"/>
      <c r="S331" s="12" t="n"/>
      <c r="T331" s="13">
        <f>IF(B331="","",B331+3)</f>
        <v/>
      </c>
      <c r="U331" s="13">
        <f>IF(B331="","",B331+5)</f>
        <v/>
      </c>
      <c r="V331" s="13">
        <f>IF(B331="","",B331+10)</f>
        <v/>
      </c>
      <c r="W331" s="14">
        <f>IF(B331="","",(--(B331&lt;&gt;"")+--(C331&lt;&gt;"")+--(D331&lt;&gt;"")+--(E331&lt;&gt;"")+--(F331&lt;&gt;"")+--(G331&lt;&gt;"")+--(H331&lt;&gt;"")+--(I331&lt;&gt;"")+--(N331&lt;&gt;"")+--(O331&lt;&gt;"")+--(P331&lt;&gt;""))/11)</f>
        <v/>
      </c>
    </row>
    <row r="332">
      <c r="A332" s="7">
        <f>IF(B332="","",TEXT(B332,"yyyymmdd")&amp;"-"&amp;TEXT(ROW()-1,"000"))</f>
        <v/>
      </c>
      <c r="B332" s="8" t="n"/>
      <c r="C332" s="9" t="n"/>
      <c r="D332" s="9" t="n"/>
      <c r="E332" s="9" t="n"/>
      <c r="F332" s="9" t="n"/>
      <c r="G332" s="9" t="n"/>
      <c r="H332" s="9" t="n"/>
      <c r="I332" s="10" t="n"/>
      <c r="J332" s="11" t="n"/>
      <c r="K332" s="12" t="n"/>
      <c r="L332" s="11" t="n"/>
      <c r="M332" s="12" t="n"/>
      <c r="N332" s="9" t="n"/>
      <c r="O332" s="9" t="n"/>
      <c r="P332" s="10" t="n"/>
      <c r="Q332" s="11" t="n"/>
      <c r="R332" s="12" t="n"/>
      <c r="S332" s="12" t="n"/>
      <c r="T332" s="13">
        <f>IF(B332="","",B332+3)</f>
        <v/>
      </c>
      <c r="U332" s="13">
        <f>IF(B332="","",B332+5)</f>
        <v/>
      </c>
      <c r="V332" s="13">
        <f>IF(B332="","",B332+10)</f>
        <v/>
      </c>
      <c r="W332" s="14">
        <f>IF(B332="","",(--(B332&lt;&gt;"")+--(C332&lt;&gt;"")+--(D332&lt;&gt;"")+--(E332&lt;&gt;"")+--(F332&lt;&gt;"")+--(G332&lt;&gt;"")+--(H332&lt;&gt;"")+--(I332&lt;&gt;"")+--(N332&lt;&gt;"")+--(O332&lt;&gt;"")+--(P332&lt;&gt;""))/11)</f>
        <v/>
      </c>
    </row>
    <row r="333">
      <c r="A333" s="7">
        <f>IF(B333="","",TEXT(B333,"yyyymmdd")&amp;"-"&amp;TEXT(ROW()-1,"000"))</f>
        <v/>
      </c>
      <c r="B333" s="8" t="n"/>
      <c r="C333" s="9" t="n"/>
      <c r="D333" s="9" t="n"/>
      <c r="E333" s="9" t="n"/>
      <c r="F333" s="9" t="n"/>
      <c r="G333" s="9" t="n"/>
      <c r="H333" s="9" t="n"/>
      <c r="I333" s="10" t="n"/>
      <c r="J333" s="11" t="n"/>
      <c r="K333" s="12" t="n"/>
      <c r="L333" s="11" t="n"/>
      <c r="M333" s="12" t="n"/>
      <c r="N333" s="9" t="n"/>
      <c r="O333" s="9" t="n"/>
      <c r="P333" s="10" t="n"/>
      <c r="Q333" s="11" t="n"/>
      <c r="R333" s="12" t="n"/>
      <c r="S333" s="12" t="n"/>
      <c r="T333" s="13">
        <f>IF(B333="","",B333+3)</f>
        <v/>
      </c>
      <c r="U333" s="13">
        <f>IF(B333="","",B333+5)</f>
        <v/>
      </c>
      <c r="V333" s="13">
        <f>IF(B333="","",B333+10)</f>
        <v/>
      </c>
      <c r="W333" s="14">
        <f>IF(B333="","",(--(B333&lt;&gt;"")+--(C333&lt;&gt;"")+--(D333&lt;&gt;"")+--(E333&lt;&gt;"")+--(F333&lt;&gt;"")+--(G333&lt;&gt;"")+--(H333&lt;&gt;"")+--(I333&lt;&gt;"")+--(N333&lt;&gt;"")+--(O333&lt;&gt;"")+--(P333&lt;&gt;""))/11)</f>
        <v/>
      </c>
    </row>
    <row r="334">
      <c r="A334" s="7">
        <f>IF(B334="","",TEXT(B334,"yyyymmdd")&amp;"-"&amp;TEXT(ROW()-1,"000"))</f>
        <v/>
      </c>
      <c r="B334" s="8" t="n"/>
      <c r="C334" s="9" t="n"/>
      <c r="D334" s="9" t="n"/>
      <c r="E334" s="9" t="n"/>
      <c r="F334" s="9" t="n"/>
      <c r="G334" s="9" t="n"/>
      <c r="H334" s="9" t="n"/>
      <c r="I334" s="10" t="n"/>
      <c r="J334" s="11" t="n"/>
      <c r="K334" s="12" t="n"/>
      <c r="L334" s="11" t="n"/>
      <c r="M334" s="12" t="n"/>
      <c r="N334" s="9" t="n"/>
      <c r="O334" s="9" t="n"/>
      <c r="P334" s="10" t="n"/>
      <c r="Q334" s="11" t="n"/>
      <c r="R334" s="12" t="n"/>
      <c r="S334" s="12" t="n"/>
      <c r="T334" s="13">
        <f>IF(B334="","",B334+3)</f>
        <v/>
      </c>
      <c r="U334" s="13">
        <f>IF(B334="","",B334+5)</f>
        <v/>
      </c>
      <c r="V334" s="13">
        <f>IF(B334="","",B334+10)</f>
        <v/>
      </c>
      <c r="W334" s="14">
        <f>IF(B334="","",(--(B334&lt;&gt;"")+--(C334&lt;&gt;"")+--(D334&lt;&gt;"")+--(E334&lt;&gt;"")+--(F334&lt;&gt;"")+--(G334&lt;&gt;"")+--(H334&lt;&gt;"")+--(I334&lt;&gt;"")+--(N334&lt;&gt;"")+--(O334&lt;&gt;"")+--(P334&lt;&gt;""))/11)</f>
        <v/>
      </c>
    </row>
    <row r="335">
      <c r="A335" s="7">
        <f>IF(B335="","",TEXT(B335,"yyyymmdd")&amp;"-"&amp;TEXT(ROW()-1,"000"))</f>
        <v/>
      </c>
      <c r="B335" s="8" t="n"/>
      <c r="C335" s="9" t="n"/>
      <c r="D335" s="9" t="n"/>
      <c r="E335" s="9" t="n"/>
      <c r="F335" s="9" t="n"/>
      <c r="G335" s="9" t="n"/>
      <c r="H335" s="9" t="n"/>
      <c r="I335" s="10" t="n"/>
      <c r="J335" s="11" t="n"/>
      <c r="K335" s="12" t="n"/>
      <c r="L335" s="11" t="n"/>
      <c r="M335" s="12" t="n"/>
      <c r="N335" s="9" t="n"/>
      <c r="O335" s="9" t="n"/>
      <c r="P335" s="10" t="n"/>
      <c r="Q335" s="11" t="n"/>
      <c r="R335" s="12" t="n"/>
      <c r="S335" s="12" t="n"/>
      <c r="T335" s="13">
        <f>IF(B335="","",B335+3)</f>
        <v/>
      </c>
      <c r="U335" s="13">
        <f>IF(B335="","",B335+5)</f>
        <v/>
      </c>
      <c r="V335" s="13">
        <f>IF(B335="","",B335+10)</f>
        <v/>
      </c>
      <c r="W335" s="14">
        <f>IF(B335="","",(--(B335&lt;&gt;"")+--(C335&lt;&gt;"")+--(D335&lt;&gt;"")+--(E335&lt;&gt;"")+--(F335&lt;&gt;"")+--(G335&lt;&gt;"")+--(H335&lt;&gt;"")+--(I335&lt;&gt;"")+--(N335&lt;&gt;"")+--(O335&lt;&gt;"")+--(P335&lt;&gt;""))/11)</f>
        <v/>
      </c>
    </row>
    <row r="336">
      <c r="A336" s="7">
        <f>IF(B336="","",TEXT(B336,"yyyymmdd")&amp;"-"&amp;TEXT(ROW()-1,"000"))</f>
        <v/>
      </c>
      <c r="B336" s="8" t="n"/>
      <c r="C336" s="9" t="n"/>
      <c r="D336" s="9" t="n"/>
      <c r="E336" s="9" t="n"/>
      <c r="F336" s="9" t="n"/>
      <c r="G336" s="9" t="n"/>
      <c r="H336" s="9" t="n"/>
      <c r="I336" s="10" t="n"/>
      <c r="J336" s="11" t="n"/>
      <c r="K336" s="12" t="n"/>
      <c r="L336" s="11" t="n"/>
      <c r="M336" s="12" t="n"/>
      <c r="N336" s="9" t="n"/>
      <c r="O336" s="9" t="n"/>
      <c r="P336" s="10" t="n"/>
      <c r="Q336" s="11" t="n"/>
      <c r="R336" s="12" t="n"/>
      <c r="S336" s="12" t="n"/>
      <c r="T336" s="13">
        <f>IF(B336="","",B336+3)</f>
        <v/>
      </c>
      <c r="U336" s="13">
        <f>IF(B336="","",B336+5)</f>
        <v/>
      </c>
      <c r="V336" s="13">
        <f>IF(B336="","",B336+10)</f>
        <v/>
      </c>
      <c r="W336" s="14">
        <f>IF(B336="","",(--(B336&lt;&gt;"")+--(C336&lt;&gt;"")+--(D336&lt;&gt;"")+--(E336&lt;&gt;"")+--(F336&lt;&gt;"")+--(G336&lt;&gt;"")+--(H336&lt;&gt;"")+--(I336&lt;&gt;"")+--(N336&lt;&gt;"")+--(O336&lt;&gt;"")+--(P336&lt;&gt;""))/11)</f>
        <v/>
      </c>
    </row>
    <row r="337">
      <c r="A337" s="7">
        <f>IF(B337="","",TEXT(B337,"yyyymmdd")&amp;"-"&amp;TEXT(ROW()-1,"000"))</f>
        <v/>
      </c>
      <c r="B337" s="8" t="n"/>
      <c r="C337" s="9" t="n"/>
      <c r="D337" s="9" t="n"/>
      <c r="E337" s="9" t="n"/>
      <c r="F337" s="9" t="n"/>
      <c r="G337" s="9" t="n"/>
      <c r="H337" s="9" t="n"/>
      <c r="I337" s="10" t="n"/>
      <c r="J337" s="11" t="n"/>
      <c r="K337" s="12" t="n"/>
      <c r="L337" s="11" t="n"/>
      <c r="M337" s="12" t="n"/>
      <c r="N337" s="9" t="n"/>
      <c r="O337" s="9" t="n"/>
      <c r="P337" s="10" t="n"/>
      <c r="Q337" s="11" t="n"/>
      <c r="R337" s="12" t="n"/>
      <c r="S337" s="12" t="n"/>
      <c r="T337" s="13">
        <f>IF(B337="","",B337+3)</f>
        <v/>
      </c>
      <c r="U337" s="13">
        <f>IF(B337="","",B337+5)</f>
        <v/>
      </c>
      <c r="V337" s="13">
        <f>IF(B337="","",B337+10)</f>
        <v/>
      </c>
      <c r="W337" s="14">
        <f>IF(B337="","",(--(B337&lt;&gt;"")+--(C337&lt;&gt;"")+--(D337&lt;&gt;"")+--(E337&lt;&gt;"")+--(F337&lt;&gt;"")+--(G337&lt;&gt;"")+--(H337&lt;&gt;"")+--(I337&lt;&gt;"")+--(N337&lt;&gt;"")+--(O337&lt;&gt;"")+--(P337&lt;&gt;""))/11)</f>
        <v/>
      </c>
    </row>
    <row r="338">
      <c r="A338" s="7">
        <f>IF(B338="","",TEXT(B338,"yyyymmdd")&amp;"-"&amp;TEXT(ROW()-1,"000"))</f>
        <v/>
      </c>
      <c r="B338" s="8" t="n"/>
      <c r="C338" s="9" t="n"/>
      <c r="D338" s="9" t="n"/>
      <c r="E338" s="9" t="n"/>
      <c r="F338" s="9" t="n"/>
      <c r="G338" s="9" t="n"/>
      <c r="H338" s="9" t="n"/>
      <c r="I338" s="10" t="n"/>
      <c r="J338" s="11" t="n"/>
      <c r="K338" s="12" t="n"/>
      <c r="L338" s="11" t="n"/>
      <c r="M338" s="12" t="n"/>
      <c r="N338" s="9" t="n"/>
      <c r="O338" s="9" t="n"/>
      <c r="P338" s="10" t="n"/>
      <c r="Q338" s="11" t="n"/>
      <c r="R338" s="12" t="n"/>
      <c r="S338" s="12" t="n"/>
      <c r="T338" s="13">
        <f>IF(B338="","",B338+3)</f>
        <v/>
      </c>
      <c r="U338" s="13">
        <f>IF(B338="","",B338+5)</f>
        <v/>
      </c>
      <c r="V338" s="13">
        <f>IF(B338="","",B338+10)</f>
        <v/>
      </c>
      <c r="W338" s="14">
        <f>IF(B338="","",(--(B338&lt;&gt;"")+--(C338&lt;&gt;"")+--(D338&lt;&gt;"")+--(E338&lt;&gt;"")+--(F338&lt;&gt;"")+--(G338&lt;&gt;"")+--(H338&lt;&gt;"")+--(I338&lt;&gt;"")+--(N338&lt;&gt;"")+--(O338&lt;&gt;"")+--(P338&lt;&gt;""))/11)</f>
        <v/>
      </c>
    </row>
    <row r="339">
      <c r="A339" s="7">
        <f>IF(B339="","",TEXT(B339,"yyyymmdd")&amp;"-"&amp;TEXT(ROW()-1,"000"))</f>
        <v/>
      </c>
      <c r="B339" s="8" t="n"/>
      <c r="C339" s="9" t="n"/>
      <c r="D339" s="9" t="n"/>
      <c r="E339" s="9" t="n"/>
      <c r="F339" s="9" t="n"/>
      <c r="G339" s="9" t="n"/>
      <c r="H339" s="9" t="n"/>
      <c r="I339" s="10" t="n"/>
      <c r="J339" s="11" t="n"/>
      <c r="K339" s="12" t="n"/>
      <c r="L339" s="11" t="n"/>
      <c r="M339" s="12" t="n"/>
      <c r="N339" s="9" t="n"/>
      <c r="O339" s="9" t="n"/>
      <c r="P339" s="10" t="n"/>
      <c r="Q339" s="11" t="n"/>
      <c r="R339" s="12" t="n"/>
      <c r="S339" s="12" t="n"/>
      <c r="T339" s="13">
        <f>IF(B339="","",B339+3)</f>
        <v/>
      </c>
      <c r="U339" s="13">
        <f>IF(B339="","",B339+5)</f>
        <v/>
      </c>
      <c r="V339" s="13">
        <f>IF(B339="","",B339+10)</f>
        <v/>
      </c>
      <c r="W339" s="14">
        <f>IF(B339="","",(--(B339&lt;&gt;"")+--(C339&lt;&gt;"")+--(D339&lt;&gt;"")+--(E339&lt;&gt;"")+--(F339&lt;&gt;"")+--(G339&lt;&gt;"")+--(H339&lt;&gt;"")+--(I339&lt;&gt;"")+--(N339&lt;&gt;"")+--(O339&lt;&gt;"")+--(P339&lt;&gt;""))/11)</f>
        <v/>
      </c>
    </row>
    <row r="340">
      <c r="A340" s="7">
        <f>IF(B340="","",TEXT(B340,"yyyymmdd")&amp;"-"&amp;TEXT(ROW()-1,"000"))</f>
        <v/>
      </c>
      <c r="B340" s="8" t="n"/>
      <c r="C340" s="9" t="n"/>
      <c r="D340" s="9" t="n"/>
      <c r="E340" s="9" t="n"/>
      <c r="F340" s="9" t="n"/>
      <c r="G340" s="9" t="n"/>
      <c r="H340" s="9" t="n"/>
      <c r="I340" s="10" t="n"/>
      <c r="J340" s="11" t="n"/>
      <c r="K340" s="12" t="n"/>
      <c r="L340" s="11" t="n"/>
      <c r="M340" s="12" t="n"/>
      <c r="N340" s="9" t="n"/>
      <c r="O340" s="9" t="n"/>
      <c r="P340" s="10" t="n"/>
      <c r="Q340" s="11" t="n"/>
      <c r="R340" s="12" t="n"/>
      <c r="S340" s="12" t="n"/>
      <c r="T340" s="13">
        <f>IF(B340="","",B340+3)</f>
        <v/>
      </c>
      <c r="U340" s="13">
        <f>IF(B340="","",B340+5)</f>
        <v/>
      </c>
      <c r="V340" s="13">
        <f>IF(B340="","",B340+10)</f>
        <v/>
      </c>
      <c r="W340" s="14">
        <f>IF(B340="","",(--(B340&lt;&gt;"")+--(C340&lt;&gt;"")+--(D340&lt;&gt;"")+--(E340&lt;&gt;"")+--(F340&lt;&gt;"")+--(G340&lt;&gt;"")+--(H340&lt;&gt;"")+--(I340&lt;&gt;"")+--(N340&lt;&gt;"")+--(O340&lt;&gt;"")+--(P340&lt;&gt;""))/11)</f>
        <v/>
      </c>
    </row>
    <row r="341">
      <c r="A341" s="7">
        <f>IF(B341="","",TEXT(B341,"yyyymmdd")&amp;"-"&amp;TEXT(ROW()-1,"000"))</f>
        <v/>
      </c>
      <c r="B341" s="8" t="n"/>
      <c r="C341" s="9" t="n"/>
      <c r="D341" s="9" t="n"/>
      <c r="E341" s="9" t="n"/>
      <c r="F341" s="9" t="n"/>
      <c r="G341" s="9" t="n"/>
      <c r="H341" s="9" t="n"/>
      <c r="I341" s="10" t="n"/>
      <c r="J341" s="11" t="n"/>
      <c r="K341" s="12" t="n"/>
      <c r="L341" s="11" t="n"/>
      <c r="M341" s="12" t="n"/>
      <c r="N341" s="9" t="n"/>
      <c r="O341" s="9" t="n"/>
      <c r="P341" s="10" t="n"/>
      <c r="Q341" s="11" t="n"/>
      <c r="R341" s="12" t="n"/>
      <c r="S341" s="12" t="n"/>
      <c r="T341" s="13">
        <f>IF(B341="","",B341+3)</f>
        <v/>
      </c>
      <c r="U341" s="13">
        <f>IF(B341="","",B341+5)</f>
        <v/>
      </c>
      <c r="V341" s="13">
        <f>IF(B341="","",B341+10)</f>
        <v/>
      </c>
      <c r="W341" s="14">
        <f>IF(B341="","",(--(B341&lt;&gt;"")+--(C341&lt;&gt;"")+--(D341&lt;&gt;"")+--(E341&lt;&gt;"")+--(F341&lt;&gt;"")+--(G341&lt;&gt;"")+--(H341&lt;&gt;"")+--(I341&lt;&gt;"")+--(N341&lt;&gt;"")+--(O341&lt;&gt;"")+--(P341&lt;&gt;""))/11)</f>
        <v/>
      </c>
    </row>
    <row r="342">
      <c r="A342" s="7">
        <f>IF(B342="","",TEXT(B342,"yyyymmdd")&amp;"-"&amp;TEXT(ROW()-1,"000"))</f>
        <v/>
      </c>
      <c r="B342" s="8" t="n"/>
      <c r="C342" s="9" t="n"/>
      <c r="D342" s="9" t="n"/>
      <c r="E342" s="9" t="n"/>
      <c r="F342" s="9" t="n"/>
      <c r="G342" s="9" t="n"/>
      <c r="H342" s="9" t="n"/>
      <c r="I342" s="10" t="n"/>
      <c r="J342" s="11" t="n"/>
      <c r="K342" s="12" t="n"/>
      <c r="L342" s="11" t="n"/>
      <c r="M342" s="12" t="n"/>
      <c r="N342" s="9" t="n"/>
      <c r="O342" s="9" t="n"/>
      <c r="P342" s="10" t="n"/>
      <c r="Q342" s="11" t="n"/>
      <c r="R342" s="12" t="n"/>
      <c r="S342" s="12" t="n"/>
      <c r="T342" s="13">
        <f>IF(B342="","",B342+3)</f>
        <v/>
      </c>
      <c r="U342" s="13">
        <f>IF(B342="","",B342+5)</f>
        <v/>
      </c>
      <c r="V342" s="13">
        <f>IF(B342="","",B342+10)</f>
        <v/>
      </c>
      <c r="W342" s="14">
        <f>IF(B342="","",(--(B342&lt;&gt;"")+--(C342&lt;&gt;"")+--(D342&lt;&gt;"")+--(E342&lt;&gt;"")+--(F342&lt;&gt;"")+--(G342&lt;&gt;"")+--(H342&lt;&gt;"")+--(I342&lt;&gt;"")+--(N342&lt;&gt;"")+--(O342&lt;&gt;"")+--(P342&lt;&gt;""))/11)</f>
        <v/>
      </c>
    </row>
    <row r="343">
      <c r="A343" s="7">
        <f>IF(B343="","",TEXT(B343,"yyyymmdd")&amp;"-"&amp;TEXT(ROW()-1,"000"))</f>
        <v/>
      </c>
      <c r="B343" s="8" t="n"/>
      <c r="C343" s="9" t="n"/>
      <c r="D343" s="9" t="n"/>
      <c r="E343" s="9" t="n"/>
      <c r="F343" s="9" t="n"/>
      <c r="G343" s="9" t="n"/>
      <c r="H343" s="9" t="n"/>
      <c r="I343" s="10" t="n"/>
      <c r="J343" s="11" t="n"/>
      <c r="K343" s="12" t="n"/>
      <c r="L343" s="11" t="n"/>
      <c r="M343" s="12" t="n"/>
      <c r="N343" s="9" t="n"/>
      <c r="O343" s="9" t="n"/>
      <c r="P343" s="10" t="n"/>
      <c r="Q343" s="11" t="n"/>
      <c r="R343" s="12" t="n"/>
      <c r="S343" s="12" t="n"/>
      <c r="T343" s="13">
        <f>IF(B343="","",B343+3)</f>
        <v/>
      </c>
      <c r="U343" s="13">
        <f>IF(B343="","",B343+5)</f>
        <v/>
      </c>
      <c r="V343" s="13">
        <f>IF(B343="","",B343+10)</f>
        <v/>
      </c>
      <c r="W343" s="14">
        <f>IF(B343="","",(--(B343&lt;&gt;"")+--(C343&lt;&gt;"")+--(D343&lt;&gt;"")+--(E343&lt;&gt;"")+--(F343&lt;&gt;"")+--(G343&lt;&gt;"")+--(H343&lt;&gt;"")+--(I343&lt;&gt;"")+--(N343&lt;&gt;"")+--(O343&lt;&gt;"")+--(P343&lt;&gt;""))/11)</f>
        <v/>
      </c>
    </row>
    <row r="344">
      <c r="A344" s="7">
        <f>IF(B344="","",TEXT(B344,"yyyymmdd")&amp;"-"&amp;TEXT(ROW()-1,"000"))</f>
        <v/>
      </c>
      <c r="B344" s="8" t="n"/>
      <c r="C344" s="9" t="n"/>
      <c r="D344" s="9" t="n"/>
      <c r="E344" s="9" t="n"/>
      <c r="F344" s="9" t="n"/>
      <c r="G344" s="9" t="n"/>
      <c r="H344" s="9" t="n"/>
      <c r="I344" s="10" t="n"/>
      <c r="J344" s="11" t="n"/>
      <c r="K344" s="12" t="n"/>
      <c r="L344" s="11" t="n"/>
      <c r="M344" s="12" t="n"/>
      <c r="N344" s="9" t="n"/>
      <c r="O344" s="9" t="n"/>
      <c r="P344" s="10" t="n"/>
      <c r="Q344" s="11" t="n"/>
      <c r="R344" s="12" t="n"/>
      <c r="S344" s="12" t="n"/>
      <c r="T344" s="13">
        <f>IF(B344="","",B344+3)</f>
        <v/>
      </c>
      <c r="U344" s="13">
        <f>IF(B344="","",B344+5)</f>
        <v/>
      </c>
      <c r="V344" s="13">
        <f>IF(B344="","",B344+10)</f>
        <v/>
      </c>
      <c r="W344" s="14">
        <f>IF(B344="","",(--(B344&lt;&gt;"")+--(C344&lt;&gt;"")+--(D344&lt;&gt;"")+--(E344&lt;&gt;"")+--(F344&lt;&gt;"")+--(G344&lt;&gt;"")+--(H344&lt;&gt;"")+--(I344&lt;&gt;"")+--(N344&lt;&gt;"")+--(O344&lt;&gt;"")+--(P344&lt;&gt;""))/11)</f>
        <v/>
      </c>
    </row>
    <row r="345">
      <c r="A345" s="7">
        <f>IF(B345="","",TEXT(B345,"yyyymmdd")&amp;"-"&amp;TEXT(ROW()-1,"000"))</f>
        <v/>
      </c>
      <c r="B345" s="8" t="n"/>
      <c r="C345" s="9" t="n"/>
      <c r="D345" s="9" t="n"/>
      <c r="E345" s="9" t="n"/>
      <c r="F345" s="9" t="n"/>
      <c r="G345" s="9" t="n"/>
      <c r="H345" s="9" t="n"/>
      <c r="I345" s="10" t="n"/>
      <c r="J345" s="11" t="n"/>
      <c r="K345" s="12" t="n"/>
      <c r="L345" s="11" t="n"/>
      <c r="M345" s="12" t="n"/>
      <c r="N345" s="9" t="n"/>
      <c r="O345" s="9" t="n"/>
      <c r="P345" s="10" t="n"/>
      <c r="Q345" s="11" t="n"/>
      <c r="R345" s="12" t="n"/>
      <c r="S345" s="12" t="n"/>
      <c r="T345" s="13">
        <f>IF(B345="","",B345+3)</f>
        <v/>
      </c>
      <c r="U345" s="13">
        <f>IF(B345="","",B345+5)</f>
        <v/>
      </c>
      <c r="V345" s="13">
        <f>IF(B345="","",B345+10)</f>
        <v/>
      </c>
      <c r="W345" s="14">
        <f>IF(B345="","",(--(B345&lt;&gt;"")+--(C345&lt;&gt;"")+--(D345&lt;&gt;"")+--(E345&lt;&gt;"")+--(F345&lt;&gt;"")+--(G345&lt;&gt;"")+--(H345&lt;&gt;"")+--(I345&lt;&gt;"")+--(N345&lt;&gt;"")+--(O345&lt;&gt;"")+--(P345&lt;&gt;""))/11)</f>
        <v/>
      </c>
    </row>
    <row r="346">
      <c r="A346" s="7">
        <f>IF(B346="","",TEXT(B346,"yyyymmdd")&amp;"-"&amp;TEXT(ROW()-1,"000"))</f>
        <v/>
      </c>
      <c r="B346" s="8" t="n"/>
      <c r="C346" s="9" t="n"/>
      <c r="D346" s="9" t="n"/>
      <c r="E346" s="9" t="n"/>
      <c r="F346" s="9" t="n"/>
      <c r="G346" s="9" t="n"/>
      <c r="H346" s="9" t="n"/>
      <c r="I346" s="10" t="n"/>
      <c r="J346" s="11" t="n"/>
      <c r="K346" s="12" t="n"/>
      <c r="L346" s="11" t="n"/>
      <c r="M346" s="12" t="n"/>
      <c r="N346" s="9" t="n"/>
      <c r="O346" s="9" t="n"/>
      <c r="P346" s="10" t="n"/>
      <c r="Q346" s="11" t="n"/>
      <c r="R346" s="12" t="n"/>
      <c r="S346" s="12" t="n"/>
      <c r="T346" s="13">
        <f>IF(B346="","",B346+3)</f>
        <v/>
      </c>
      <c r="U346" s="13">
        <f>IF(B346="","",B346+5)</f>
        <v/>
      </c>
      <c r="V346" s="13">
        <f>IF(B346="","",B346+10)</f>
        <v/>
      </c>
      <c r="W346" s="14">
        <f>IF(B346="","",(--(B346&lt;&gt;"")+--(C346&lt;&gt;"")+--(D346&lt;&gt;"")+--(E346&lt;&gt;"")+--(F346&lt;&gt;"")+--(G346&lt;&gt;"")+--(H346&lt;&gt;"")+--(I346&lt;&gt;"")+--(N346&lt;&gt;"")+--(O346&lt;&gt;"")+--(P346&lt;&gt;""))/11)</f>
        <v/>
      </c>
    </row>
    <row r="347">
      <c r="A347" s="7">
        <f>IF(B347="","",TEXT(B347,"yyyymmdd")&amp;"-"&amp;TEXT(ROW()-1,"000"))</f>
        <v/>
      </c>
      <c r="B347" s="8" t="n"/>
      <c r="C347" s="9" t="n"/>
      <c r="D347" s="9" t="n"/>
      <c r="E347" s="9" t="n"/>
      <c r="F347" s="9" t="n"/>
      <c r="G347" s="9" t="n"/>
      <c r="H347" s="9" t="n"/>
      <c r="I347" s="10" t="n"/>
      <c r="J347" s="11" t="n"/>
      <c r="K347" s="12" t="n"/>
      <c r="L347" s="11" t="n"/>
      <c r="M347" s="12" t="n"/>
      <c r="N347" s="9" t="n"/>
      <c r="O347" s="9" t="n"/>
      <c r="P347" s="10" t="n"/>
      <c r="Q347" s="11" t="n"/>
      <c r="R347" s="12" t="n"/>
      <c r="S347" s="12" t="n"/>
      <c r="T347" s="13">
        <f>IF(B347="","",B347+3)</f>
        <v/>
      </c>
      <c r="U347" s="13">
        <f>IF(B347="","",B347+5)</f>
        <v/>
      </c>
      <c r="V347" s="13">
        <f>IF(B347="","",B347+10)</f>
        <v/>
      </c>
      <c r="W347" s="14">
        <f>IF(B347="","",(--(B347&lt;&gt;"")+--(C347&lt;&gt;"")+--(D347&lt;&gt;"")+--(E347&lt;&gt;"")+--(F347&lt;&gt;"")+--(G347&lt;&gt;"")+--(H347&lt;&gt;"")+--(I347&lt;&gt;"")+--(N347&lt;&gt;"")+--(O347&lt;&gt;"")+--(P347&lt;&gt;""))/11)</f>
        <v/>
      </c>
    </row>
    <row r="348">
      <c r="A348" s="7">
        <f>IF(B348="","",TEXT(B348,"yyyymmdd")&amp;"-"&amp;TEXT(ROW()-1,"000"))</f>
        <v/>
      </c>
      <c r="B348" s="8" t="n"/>
      <c r="C348" s="9" t="n"/>
      <c r="D348" s="9" t="n"/>
      <c r="E348" s="9" t="n"/>
      <c r="F348" s="9" t="n"/>
      <c r="G348" s="9" t="n"/>
      <c r="H348" s="9" t="n"/>
      <c r="I348" s="10" t="n"/>
      <c r="J348" s="11" t="n"/>
      <c r="K348" s="12" t="n"/>
      <c r="L348" s="11" t="n"/>
      <c r="M348" s="12" t="n"/>
      <c r="N348" s="9" t="n"/>
      <c r="O348" s="9" t="n"/>
      <c r="P348" s="10" t="n"/>
      <c r="Q348" s="11" t="n"/>
      <c r="R348" s="12" t="n"/>
      <c r="S348" s="12" t="n"/>
      <c r="T348" s="13">
        <f>IF(B348="","",B348+3)</f>
        <v/>
      </c>
      <c r="U348" s="13">
        <f>IF(B348="","",B348+5)</f>
        <v/>
      </c>
      <c r="V348" s="13">
        <f>IF(B348="","",B348+10)</f>
        <v/>
      </c>
      <c r="W348" s="14">
        <f>IF(B348="","",(--(B348&lt;&gt;"")+--(C348&lt;&gt;"")+--(D348&lt;&gt;"")+--(E348&lt;&gt;"")+--(F348&lt;&gt;"")+--(G348&lt;&gt;"")+--(H348&lt;&gt;"")+--(I348&lt;&gt;"")+--(N348&lt;&gt;"")+--(O348&lt;&gt;"")+--(P348&lt;&gt;""))/11)</f>
        <v/>
      </c>
    </row>
    <row r="349">
      <c r="A349" s="7">
        <f>IF(B349="","",TEXT(B349,"yyyymmdd")&amp;"-"&amp;TEXT(ROW()-1,"000"))</f>
        <v/>
      </c>
      <c r="B349" s="8" t="n"/>
      <c r="C349" s="9" t="n"/>
      <c r="D349" s="9" t="n"/>
      <c r="E349" s="9" t="n"/>
      <c r="F349" s="9" t="n"/>
      <c r="G349" s="9" t="n"/>
      <c r="H349" s="9" t="n"/>
      <c r="I349" s="10" t="n"/>
      <c r="J349" s="11" t="n"/>
      <c r="K349" s="12" t="n"/>
      <c r="L349" s="11" t="n"/>
      <c r="M349" s="12" t="n"/>
      <c r="N349" s="9" t="n"/>
      <c r="O349" s="9" t="n"/>
      <c r="P349" s="10" t="n"/>
      <c r="Q349" s="11" t="n"/>
      <c r="R349" s="12" t="n"/>
      <c r="S349" s="12" t="n"/>
      <c r="T349" s="13">
        <f>IF(B349="","",B349+3)</f>
        <v/>
      </c>
      <c r="U349" s="13">
        <f>IF(B349="","",B349+5)</f>
        <v/>
      </c>
      <c r="V349" s="13">
        <f>IF(B349="","",B349+10)</f>
        <v/>
      </c>
      <c r="W349" s="14">
        <f>IF(B349="","",(--(B349&lt;&gt;"")+--(C349&lt;&gt;"")+--(D349&lt;&gt;"")+--(E349&lt;&gt;"")+--(F349&lt;&gt;"")+--(G349&lt;&gt;"")+--(H349&lt;&gt;"")+--(I349&lt;&gt;"")+--(N349&lt;&gt;"")+--(O349&lt;&gt;"")+--(P349&lt;&gt;""))/11)</f>
        <v/>
      </c>
    </row>
    <row r="350">
      <c r="A350" s="7">
        <f>IF(B350="","",TEXT(B350,"yyyymmdd")&amp;"-"&amp;TEXT(ROW()-1,"000"))</f>
        <v/>
      </c>
      <c r="B350" s="8" t="n"/>
      <c r="C350" s="9" t="n"/>
      <c r="D350" s="9" t="n"/>
      <c r="E350" s="9" t="n"/>
      <c r="F350" s="9" t="n"/>
      <c r="G350" s="9" t="n"/>
      <c r="H350" s="9" t="n"/>
      <c r="I350" s="10" t="n"/>
      <c r="J350" s="11" t="n"/>
      <c r="K350" s="12" t="n"/>
      <c r="L350" s="11" t="n"/>
      <c r="M350" s="12" t="n"/>
      <c r="N350" s="9" t="n"/>
      <c r="O350" s="9" t="n"/>
      <c r="P350" s="10" t="n"/>
      <c r="Q350" s="11" t="n"/>
      <c r="R350" s="12" t="n"/>
      <c r="S350" s="12" t="n"/>
      <c r="T350" s="13">
        <f>IF(B350="","",B350+3)</f>
        <v/>
      </c>
      <c r="U350" s="13">
        <f>IF(B350="","",B350+5)</f>
        <v/>
      </c>
      <c r="V350" s="13">
        <f>IF(B350="","",B350+10)</f>
        <v/>
      </c>
      <c r="W350" s="14">
        <f>IF(B350="","",(--(B350&lt;&gt;"")+--(C350&lt;&gt;"")+--(D350&lt;&gt;"")+--(E350&lt;&gt;"")+--(F350&lt;&gt;"")+--(G350&lt;&gt;"")+--(H350&lt;&gt;"")+--(I350&lt;&gt;"")+--(N350&lt;&gt;"")+--(O350&lt;&gt;"")+--(P350&lt;&gt;""))/11)</f>
        <v/>
      </c>
    </row>
    <row r="351">
      <c r="A351" s="7">
        <f>IF(B351="","",TEXT(B351,"yyyymmdd")&amp;"-"&amp;TEXT(ROW()-1,"000"))</f>
        <v/>
      </c>
      <c r="B351" s="8" t="n"/>
      <c r="C351" s="9" t="n"/>
      <c r="D351" s="9" t="n"/>
      <c r="E351" s="9" t="n"/>
      <c r="F351" s="9" t="n"/>
      <c r="G351" s="9" t="n"/>
      <c r="H351" s="9" t="n"/>
      <c r="I351" s="10" t="n"/>
      <c r="J351" s="11" t="n"/>
      <c r="K351" s="12" t="n"/>
      <c r="L351" s="11" t="n"/>
      <c r="M351" s="12" t="n"/>
      <c r="N351" s="9" t="n"/>
      <c r="O351" s="9" t="n"/>
      <c r="P351" s="10" t="n"/>
      <c r="Q351" s="11" t="n"/>
      <c r="R351" s="12" t="n"/>
      <c r="S351" s="12" t="n"/>
      <c r="T351" s="13">
        <f>IF(B351="","",B351+3)</f>
        <v/>
      </c>
      <c r="U351" s="13">
        <f>IF(B351="","",B351+5)</f>
        <v/>
      </c>
      <c r="V351" s="13">
        <f>IF(B351="","",B351+10)</f>
        <v/>
      </c>
      <c r="W351" s="14">
        <f>IF(B351="","",(--(B351&lt;&gt;"")+--(C351&lt;&gt;"")+--(D351&lt;&gt;"")+--(E351&lt;&gt;"")+--(F351&lt;&gt;"")+--(G351&lt;&gt;"")+--(H351&lt;&gt;"")+--(I351&lt;&gt;"")+--(N351&lt;&gt;"")+--(O351&lt;&gt;"")+--(P351&lt;&gt;""))/11)</f>
        <v/>
      </c>
    </row>
    <row r="352">
      <c r="A352" s="7">
        <f>IF(B352="","",TEXT(B352,"yyyymmdd")&amp;"-"&amp;TEXT(ROW()-1,"000"))</f>
        <v/>
      </c>
      <c r="B352" s="8" t="n"/>
      <c r="C352" s="9" t="n"/>
      <c r="D352" s="9" t="n"/>
      <c r="E352" s="9" t="n"/>
      <c r="F352" s="9" t="n"/>
      <c r="G352" s="9" t="n"/>
      <c r="H352" s="9" t="n"/>
      <c r="I352" s="10" t="n"/>
      <c r="J352" s="11" t="n"/>
      <c r="K352" s="12" t="n"/>
      <c r="L352" s="11" t="n"/>
      <c r="M352" s="12" t="n"/>
      <c r="N352" s="9" t="n"/>
      <c r="O352" s="9" t="n"/>
      <c r="P352" s="10" t="n"/>
      <c r="Q352" s="11" t="n"/>
      <c r="R352" s="12" t="n"/>
      <c r="S352" s="12" t="n"/>
      <c r="T352" s="13">
        <f>IF(B352="","",B352+3)</f>
        <v/>
      </c>
      <c r="U352" s="13">
        <f>IF(B352="","",B352+5)</f>
        <v/>
      </c>
      <c r="V352" s="13">
        <f>IF(B352="","",B352+10)</f>
        <v/>
      </c>
      <c r="W352" s="14">
        <f>IF(B352="","",(--(B352&lt;&gt;"")+--(C352&lt;&gt;"")+--(D352&lt;&gt;"")+--(E352&lt;&gt;"")+--(F352&lt;&gt;"")+--(G352&lt;&gt;"")+--(H352&lt;&gt;"")+--(I352&lt;&gt;"")+--(N352&lt;&gt;"")+--(O352&lt;&gt;"")+--(P352&lt;&gt;""))/11)</f>
        <v/>
      </c>
    </row>
    <row r="353">
      <c r="A353" s="7">
        <f>IF(B353="","",TEXT(B353,"yyyymmdd")&amp;"-"&amp;TEXT(ROW()-1,"000"))</f>
        <v/>
      </c>
      <c r="B353" s="8" t="n"/>
      <c r="C353" s="9" t="n"/>
      <c r="D353" s="9" t="n"/>
      <c r="E353" s="9" t="n"/>
      <c r="F353" s="9" t="n"/>
      <c r="G353" s="9" t="n"/>
      <c r="H353" s="9" t="n"/>
      <c r="I353" s="10" t="n"/>
      <c r="J353" s="11" t="n"/>
      <c r="K353" s="12" t="n"/>
      <c r="L353" s="11" t="n"/>
      <c r="M353" s="12" t="n"/>
      <c r="N353" s="9" t="n"/>
      <c r="O353" s="9" t="n"/>
      <c r="P353" s="10" t="n"/>
      <c r="Q353" s="11" t="n"/>
      <c r="R353" s="12" t="n"/>
      <c r="S353" s="12" t="n"/>
      <c r="T353" s="13">
        <f>IF(B353="","",B353+3)</f>
        <v/>
      </c>
      <c r="U353" s="13">
        <f>IF(B353="","",B353+5)</f>
        <v/>
      </c>
      <c r="V353" s="13">
        <f>IF(B353="","",B353+10)</f>
        <v/>
      </c>
      <c r="W353" s="14">
        <f>IF(B353="","",(--(B353&lt;&gt;"")+--(C353&lt;&gt;"")+--(D353&lt;&gt;"")+--(E353&lt;&gt;"")+--(F353&lt;&gt;"")+--(G353&lt;&gt;"")+--(H353&lt;&gt;"")+--(I353&lt;&gt;"")+--(N353&lt;&gt;"")+--(O353&lt;&gt;"")+--(P353&lt;&gt;""))/11)</f>
        <v/>
      </c>
    </row>
    <row r="354">
      <c r="A354" s="7">
        <f>IF(B354="","",TEXT(B354,"yyyymmdd")&amp;"-"&amp;TEXT(ROW()-1,"000"))</f>
        <v/>
      </c>
      <c r="B354" s="8" t="n"/>
      <c r="C354" s="9" t="n"/>
      <c r="D354" s="9" t="n"/>
      <c r="E354" s="9" t="n"/>
      <c r="F354" s="9" t="n"/>
      <c r="G354" s="9" t="n"/>
      <c r="H354" s="9" t="n"/>
      <c r="I354" s="10" t="n"/>
      <c r="J354" s="11" t="n"/>
      <c r="K354" s="12" t="n"/>
      <c r="L354" s="11" t="n"/>
      <c r="M354" s="12" t="n"/>
      <c r="N354" s="9" t="n"/>
      <c r="O354" s="9" t="n"/>
      <c r="P354" s="10" t="n"/>
      <c r="Q354" s="11" t="n"/>
      <c r="R354" s="12" t="n"/>
      <c r="S354" s="12" t="n"/>
      <c r="T354" s="13">
        <f>IF(B354="","",B354+3)</f>
        <v/>
      </c>
      <c r="U354" s="13">
        <f>IF(B354="","",B354+5)</f>
        <v/>
      </c>
      <c r="V354" s="13">
        <f>IF(B354="","",B354+10)</f>
        <v/>
      </c>
      <c r="W354" s="14">
        <f>IF(B354="","",(--(B354&lt;&gt;"")+--(C354&lt;&gt;"")+--(D354&lt;&gt;"")+--(E354&lt;&gt;"")+--(F354&lt;&gt;"")+--(G354&lt;&gt;"")+--(H354&lt;&gt;"")+--(I354&lt;&gt;"")+--(N354&lt;&gt;"")+--(O354&lt;&gt;"")+--(P354&lt;&gt;""))/11)</f>
        <v/>
      </c>
    </row>
    <row r="355">
      <c r="A355" s="7">
        <f>IF(B355="","",TEXT(B355,"yyyymmdd")&amp;"-"&amp;TEXT(ROW()-1,"000"))</f>
        <v/>
      </c>
      <c r="B355" s="8" t="n"/>
      <c r="C355" s="9" t="n"/>
      <c r="D355" s="9" t="n"/>
      <c r="E355" s="9" t="n"/>
      <c r="F355" s="9" t="n"/>
      <c r="G355" s="9" t="n"/>
      <c r="H355" s="9" t="n"/>
      <c r="I355" s="10" t="n"/>
      <c r="J355" s="11" t="n"/>
      <c r="K355" s="12" t="n"/>
      <c r="L355" s="11" t="n"/>
      <c r="M355" s="12" t="n"/>
      <c r="N355" s="9" t="n"/>
      <c r="O355" s="9" t="n"/>
      <c r="P355" s="10" t="n"/>
      <c r="Q355" s="11" t="n"/>
      <c r="R355" s="12" t="n"/>
      <c r="S355" s="12" t="n"/>
      <c r="T355" s="13">
        <f>IF(B355="","",B355+3)</f>
        <v/>
      </c>
      <c r="U355" s="13">
        <f>IF(B355="","",B355+5)</f>
        <v/>
      </c>
      <c r="V355" s="13">
        <f>IF(B355="","",B355+10)</f>
        <v/>
      </c>
      <c r="W355" s="14">
        <f>IF(B355="","",(--(B355&lt;&gt;"")+--(C355&lt;&gt;"")+--(D355&lt;&gt;"")+--(E355&lt;&gt;"")+--(F355&lt;&gt;"")+--(G355&lt;&gt;"")+--(H355&lt;&gt;"")+--(I355&lt;&gt;"")+--(N355&lt;&gt;"")+--(O355&lt;&gt;"")+--(P355&lt;&gt;""))/11)</f>
        <v/>
      </c>
    </row>
    <row r="356">
      <c r="A356" s="7">
        <f>IF(B356="","",TEXT(B356,"yyyymmdd")&amp;"-"&amp;TEXT(ROW()-1,"000"))</f>
        <v/>
      </c>
      <c r="B356" s="8" t="n"/>
      <c r="C356" s="9" t="n"/>
      <c r="D356" s="9" t="n"/>
      <c r="E356" s="9" t="n"/>
      <c r="F356" s="9" t="n"/>
      <c r="G356" s="9" t="n"/>
      <c r="H356" s="9" t="n"/>
      <c r="I356" s="10" t="n"/>
      <c r="J356" s="11" t="n"/>
      <c r="K356" s="12" t="n"/>
      <c r="L356" s="11" t="n"/>
      <c r="M356" s="12" t="n"/>
      <c r="N356" s="9" t="n"/>
      <c r="O356" s="9" t="n"/>
      <c r="P356" s="10" t="n"/>
      <c r="Q356" s="11" t="n"/>
      <c r="R356" s="12" t="n"/>
      <c r="S356" s="12" t="n"/>
      <c r="T356" s="13">
        <f>IF(B356="","",B356+3)</f>
        <v/>
      </c>
      <c r="U356" s="13">
        <f>IF(B356="","",B356+5)</f>
        <v/>
      </c>
      <c r="V356" s="13">
        <f>IF(B356="","",B356+10)</f>
        <v/>
      </c>
      <c r="W356" s="14">
        <f>IF(B356="","",(--(B356&lt;&gt;"")+--(C356&lt;&gt;"")+--(D356&lt;&gt;"")+--(E356&lt;&gt;"")+--(F356&lt;&gt;"")+--(G356&lt;&gt;"")+--(H356&lt;&gt;"")+--(I356&lt;&gt;"")+--(N356&lt;&gt;"")+--(O356&lt;&gt;"")+--(P356&lt;&gt;""))/11)</f>
        <v/>
      </c>
    </row>
    <row r="357">
      <c r="A357" s="7">
        <f>IF(B357="","",TEXT(B357,"yyyymmdd")&amp;"-"&amp;TEXT(ROW()-1,"000"))</f>
        <v/>
      </c>
      <c r="B357" s="8" t="n"/>
      <c r="C357" s="9" t="n"/>
      <c r="D357" s="9" t="n"/>
      <c r="E357" s="9" t="n"/>
      <c r="F357" s="9" t="n"/>
      <c r="G357" s="9" t="n"/>
      <c r="H357" s="9" t="n"/>
      <c r="I357" s="10" t="n"/>
      <c r="J357" s="11" t="n"/>
      <c r="K357" s="12" t="n"/>
      <c r="L357" s="11" t="n"/>
      <c r="M357" s="12" t="n"/>
      <c r="N357" s="9" t="n"/>
      <c r="O357" s="9" t="n"/>
      <c r="P357" s="10" t="n"/>
      <c r="Q357" s="11" t="n"/>
      <c r="R357" s="12" t="n"/>
      <c r="S357" s="12" t="n"/>
      <c r="T357" s="13">
        <f>IF(B357="","",B357+3)</f>
        <v/>
      </c>
      <c r="U357" s="13">
        <f>IF(B357="","",B357+5)</f>
        <v/>
      </c>
      <c r="V357" s="13">
        <f>IF(B357="","",B357+10)</f>
        <v/>
      </c>
      <c r="W357" s="14">
        <f>IF(B357="","",(--(B357&lt;&gt;"")+--(C357&lt;&gt;"")+--(D357&lt;&gt;"")+--(E357&lt;&gt;"")+--(F357&lt;&gt;"")+--(G357&lt;&gt;"")+--(H357&lt;&gt;"")+--(I357&lt;&gt;"")+--(N357&lt;&gt;"")+--(O357&lt;&gt;"")+--(P357&lt;&gt;""))/11)</f>
        <v/>
      </c>
    </row>
    <row r="358">
      <c r="A358" s="7">
        <f>IF(B358="","",TEXT(B358,"yyyymmdd")&amp;"-"&amp;TEXT(ROW()-1,"000"))</f>
        <v/>
      </c>
      <c r="B358" s="8" t="n"/>
      <c r="C358" s="9" t="n"/>
      <c r="D358" s="9" t="n"/>
      <c r="E358" s="9" t="n"/>
      <c r="F358" s="9" t="n"/>
      <c r="G358" s="9" t="n"/>
      <c r="H358" s="9" t="n"/>
      <c r="I358" s="10" t="n"/>
      <c r="J358" s="11" t="n"/>
      <c r="K358" s="12" t="n"/>
      <c r="L358" s="11" t="n"/>
      <c r="M358" s="12" t="n"/>
      <c r="N358" s="9" t="n"/>
      <c r="O358" s="9" t="n"/>
      <c r="P358" s="10" t="n"/>
      <c r="Q358" s="11" t="n"/>
      <c r="R358" s="12" t="n"/>
      <c r="S358" s="12" t="n"/>
      <c r="T358" s="13">
        <f>IF(B358="","",B358+3)</f>
        <v/>
      </c>
      <c r="U358" s="13">
        <f>IF(B358="","",B358+5)</f>
        <v/>
      </c>
      <c r="V358" s="13">
        <f>IF(B358="","",B358+10)</f>
        <v/>
      </c>
      <c r="W358" s="14">
        <f>IF(B358="","",(--(B358&lt;&gt;"")+--(C358&lt;&gt;"")+--(D358&lt;&gt;"")+--(E358&lt;&gt;"")+--(F358&lt;&gt;"")+--(G358&lt;&gt;"")+--(H358&lt;&gt;"")+--(I358&lt;&gt;"")+--(N358&lt;&gt;"")+--(O358&lt;&gt;"")+--(P358&lt;&gt;""))/11)</f>
        <v/>
      </c>
    </row>
    <row r="359">
      <c r="A359" s="7">
        <f>IF(B359="","",TEXT(B359,"yyyymmdd")&amp;"-"&amp;TEXT(ROW()-1,"000"))</f>
        <v/>
      </c>
      <c r="B359" s="8" t="n"/>
      <c r="C359" s="9" t="n"/>
      <c r="D359" s="9" t="n"/>
      <c r="E359" s="9" t="n"/>
      <c r="F359" s="9" t="n"/>
      <c r="G359" s="9" t="n"/>
      <c r="H359" s="9" t="n"/>
      <c r="I359" s="10" t="n"/>
      <c r="J359" s="11" t="n"/>
      <c r="K359" s="12" t="n"/>
      <c r="L359" s="11" t="n"/>
      <c r="M359" s="12" t="n"/>
      <c r="N359" s="9" t="n"/>
      <c r="O359" s="9" t="n"/>
      <c r="P359" s="10" t="n"/>
      <c r="Q359" s="11" t="n"/>
      <c r="R359" s="12" t="n"/>
      <c r="S359" s="12" t="n"/>
      <c r="T359" s="13">
        <f>IF(B359="","",B359+3)</f>
        <v/>
      </c>
      <c r="U359" s="13">
        <f>IF(B359="","",B359+5)</f>
        <v/>
      </c>
      <c r="V359" s="13">
        <f>IF(B359="","",B359+10)</f>
        <v/>
      </c>
      <c r="W359" s="14">
        <f>IF(B359="","",(--(B359&lt;&gt;"")+--(C359&lt;&gt;"")+--(D359&lt;&gt;"")+--(E359&lt;&gt;"")+--(F359&lt;&gt;"")+--(G359&lt;&gt;"")+--(H359&lt;&gt;"")+--(I359&lt;&gt;"")+--(N359&lt;&gt;"")+--(O359&lt;&gt;"")+--(P359&lt;&gt;""))/11)</f>
        <v/>
      </c>
    </row>
    <row r="360">
      <c r="A360" s="7">
        <f>IF(B360="","",TEXT(B360,"yyyymmdd")&amp;"-"&amp;TEXT(ROW()-1,"000"))</f>
        <v/>
      </c>
      <c r="B360" s="8" t="n"/>
      <c r="C360" s="9" t="n"/>
      <c r="D360" s="9" t="n"/>
      <c r="E360" s="9" t="n"/>
      <c r="F360" s="9" t="n"/>
      <c r="G360" s="9" t="n"/>
      <c r="H360" s="9" t="n"/>
      <c r="I360" s="10" t="n"/>
      <c r="J360" s="11" t="n"/>
      <c r="K360" s="12" t="n"/>
      <c r="L360" s="11" t="n"/>
      <c r="M360" s="12" t="n"/>
      <c r="N360" s="9" t="n"/>
      <c r="O360" s="9" t="n"/>
      <c r="P360" s="10" t="n"/>
      <c r="Q360" s="11" t="n"/>
      <c r="R360" s="12" t="n"/>
      <c r="S360" s="12" t="n"/>
      <c r="T360" s="13">
        <f>IF(B360="","",B360+3)</f>
        <v/>
      </c>
      <c r="U360" s="13">
        <f>IF(B360="","",B360+5)</f>
        <v/>
      </c>
      <c r="V360" s="13">
        <f>IF(B360="","",B360+10)</f>
        <v/>
      </c>
      <c r="W360" s="14">
        <f>IF(B360="","",(--(B360&lt;&gt;"")+--(C360&lt;&gt;"")+--(D360&lt;&gt;"")+--(E360&lt;&gt;"")+--(F360&lt;&gt;"")+--(G360&lt;&gt;"")+--(H360&lt;&gt;"")+--(I360&lt;&gt;"")+--(N360&lt;&gt;"")+--(O360&lt;&gt;"")+--(P360&lt;&gt;""))/11)</f>
        <v/>
      </c>
    </row>
    <row r="361">
      <c r="A361" s="7">
        <f>IF(B361="","",TEXT(B361,"yyyymmdd")&amp;"-"&amp;TEXT(ROW()-1,"000"))</f>
        <v/>
      </c>
      <c r="B361" s="8" t="n"/>
      <c r="C361" s="9" t="n"/>
      <c r="D361" s="9" t="n"/>
      <c r="E361" s="9" t="n"/>
      <c r="F361" s="9" t="n"/>
      <c r="G361" s="9" t="n"/>
      <c r="H361" s="9" t="n"/>
      <c r="I361" s="10" t="n"/>
      <c r="J361" s="11" t="n"/>
      <c r="K361" s="12" t="n"/>
      <c r="L361" s="11" t="n"/>
      <c r="M361" s="12" t="n"/>
      <c r="N361" s="9" t="n"/>
      <c r="O361" s="9" t="n"/>
      <c r="P361" s="10" t="n"/>
      <c r="Q361" s="11" t="n"/>
      <c r="R361" s="12" t="n"/>
      <c r="S361" s="12" t="n"/>
      <c r="T361" s="13">
        <f>IF(B361="","",B361+3)</f>
        <v/>
      </c>
      <c r="U361" s="13">
        <f>IF(B361="","",B361+5)</f>
        <v/>
      </c>
      <c r="V361" s="13">
        <f>IF(B361="","",B361+10)</f>
        <v/>
      </c>
      <c r="W361" s="14">
        <f>IF(B361="","",(--(B361&lt;&gt;"")+--(C361&lt;&gt;"")+--(D361&lt;&gt;"")+--(E361&lt;&gt;"")+--(F361&lt;&gt;"")+--(G361&lt;&gt;"")+--(H361&lt;&gt;"")+--(I361&lt;&gt;"")+--(N361&lt;&gt;"")+--(O361&lt;&gt;"")+--(P361&lt;&gt;""))/11)</f>
        <v/>
      </c>
    </row>
    <row r="362">
      <c r="A362" s="7">
        <f>IF(B362="","",TEXT(B362,"yyyymmdd")&amp;"-"&amp;TEXT(ROW()-1,"000"))</f>
        <v/>
      </c>
      <c r="B362" s="8" t="n"/>
      <c r="C362" s="9" t="n"/>
      <c r="D362" s="9" t="n"/>
      <c r="E362" s="9" t="n"/>
      <c r="F362" s="9" t="n"/>
      <c r="G362" s="9" t="n"/>
      <c r="H362" s="9" t="n"/>
      <c r="I362" s="10" t="n"/>
      <c r="J362" s="11" t="n"/>
      <c r="K362" s="12" t="n"/>
      <c r="L362" s="11" t="n"/>
      <c r="M362" s="12" t="n"/>
      <c r="N362" s="9" t="n"/>
      <c r="O362" s="9" t="n"/>
      <c r="P362" s="10" t="n"/>
      <c r="Q362" s="11" t="n"/>
      <c r="R362" s="12" t="n"/>
      <c r="S362" s="12" t="n"/>
      <c r="T362" s="13">
        <f>IF(B362="","",B362+3)</f>
        <v/>
      </c>
      <c r="U362" s="13">
        <f>IF(B362="","",B362+5)</f>
        <v/>
      </c>
      <c r="V362" s="13">
        <f>IF(B362="","",B362+10)</f>
        <v/>
      </c>
      <c r="W362" s="14">
        <f>IF(B362="","",(--(B362&lt;&gt;"")+--(C362&lt;&gt;"")+--(D362&lt;&gt;"")+--(E362&lt;&gt;"")+--(F362&lt;&gt;"")+--(G362&lt;&gt;"")+--(H362&lt;&gt;"")+--(I362&lt;&gt;"")+--(N362&lt;&gt;"")+--(O362&lt;&gt;"")+--(P362&lt;&gt;""))/11)</f>
        <v/>
      </c>
    </row>
    <row r="363">
      <c r="A363" s="7">
        <f>IF(B363="","",TEXT(B363,"yyyymmdd")&amp;"-"&amp;TEXT(ROW()-1,"000"))</f>
        <v/>
      </c>
      <c r="B363" s="8" t="n"/>
      <c r="C363" s="9" t="n"/>
      <c r="D363" s="9" t="n"/>
      <c r="E363" s="9" t="n"/>
      <c r="F363" s="9" t="n"/>
      <c r="G363" s="9" t="n"/>
      <c r="H363" s="9" t="n"/>
      <c r="I363" s="10" t="n"/>
      <c r="J363" s="11" t="n"/>
      <c r="K363" s="12" t="n"/>
      <c r="L363" s="11" t="n"/>
      <c r="M363" s="12" t="n"/>
      <c r="N363" s="9" t="n"/>
      <c r="O363" s="9" t="n"/>
      <c r="P363" s="10" t="n"/>
      <c r="Q363" s="11" t="n"/>
      <c r="R363" s="12" t="n"/>
      <c r="S363" s="12" t="n"/>
      <c r="T363" s="13">
        <f>IF(B363="","",B363+3)</f>
        <v/>
      </c>
      <c r="U363" s="13">
        <f>IF(B363="","",B363+5)</f>
        <v/>
      </c>
      <c r="V363" s="13">
        <f>IF(B363="","",B363+10)</f>
        <v/>
      </c>
      <c r="W363" s="14">
        <f>IF(B363="","",(--(B363&lt;&gt;"")+--(C363&lt;&gt;"")+--(D363&lt;&gt;"")+--(E363&lt;&gt;"")+--(F363&lt;&gt;"")+--(G363&lt;&gt;"")+--(H363&lt;&gt;"")+--(I363&lt;&gt;"")+--(N363&lt;&gt;"")+--(O363&lt;&gt;"")+--(P363&lt;&gt;""))/11)</f>
        <v/>
      </c>
    </row>
    <row r="364">
      <c r="A364" s="7">
        <f>IF(B364="","",TEXT(B364,"yyyymmdd")&amp;"-"&amp;TEXT(ROW()-1,"000"))</f>
        <v/>
      </c>
      <c r="B364" s="8" t="n"/>
      <c r="C364" s="9" t="n"/>
      <c r="D364" s="9" t="n"/>
      <c r="E364" s="9" t="n"/>
      <c r="F364" s="9" t="n"/>
      <c r="G364" s="9" t="n"/>
      <c r="H364" s="9" t="n"/>
      <c r="I364" s="10" t="n"/>
      <c r="J364" s="11" t="n"/>
      <c r="K364" s="12" t="n"/>
      <c r="L364" s="11" t="n"/>
      <c r="M364" s="12" t="n"/>
      <c r="N364" s="9" t="n"/>
      <c r="O364" s="9" t="n"/>
      <c r="P364" s="10" t="n"/>
      <c r="Q364" s="11" t="n"/>
      <c r="R364" s="12" t="n"/>
      <c r="S364" s="12" t="n"/>
      <c r="T364" s="13">
        <f>IF(B364="","",B364+3)</f>
        <v/>
      </c>
      <c r="U364" s="13">
        <f>IF(B364="","",B364+5)</f>
        <v/>
      </c>
      <c r="V364" s="13">
        <f>IF(B364="","",B364+10)</f>
        <v/>
      </c>
      <c r="W364" s="14">
        <f>IF(B364="","",(--(B364&lt;&gt;"")+--(C364&lt;&gt;"")+--(D364&lt;&gt;"")+--(E364&lt;&gt;"")+--(F364&lt;&gt;"")+--(G364&lt;&gt;"")+--(H364&lt;&gt;"")+--(I364&lt;&gt;"")+--(N364&lt;&gt;"")+--(O364&lt;&gt;"")+--(P364&lt;&gt;""))/11)</f>
        <v/>
      </c>
    </row>
    <row r="365">
      <c r="A365" s="7">
        <f>IF(B365="","",TEXT(B365,"yyyymmdd")&amp;"-"&amp;TEXT(ROW()-1,"000"))</f>
        <v/>
      </c>
      <c r="B365" s="8" t="n"/>
      <c r="C365" s="9" t="n"/>
      <c r="D365" s="9" t="n"/>
      <c r="E365" s="9" t="n"/>
      <c r="F365" s="9" t="n"/>
      <c r="G365" s="9" t="n"/>
      <c r="H365" s="9" t="n"/>
      <c r="I365" s="10" t="n"/>
      <c r="J365" s="11" t="n"/>
      <c r="K365" s="12" t="n"/>
      <c r="L365" s="11" t="n"/>
      <c r="M365" s="12" t="n"/>
      <c r="N365" s="9" t="n"/>
      <c r="O365" s="9" t="n"/>
      <c r="P365" s="10" t="n"/>
      <c r="Q365" s="11" t="n"/>
      <c r="R365" s="12" t="n"/>
      <c r="S365" s="12" t="n"/>
      <c r="T365" s="13">
        <f>IF(B365="","",B365+3)</f>
        <v/>
      </c>
      <c r="U365" s="13">
        <f>IF(B365="","",B365+5)</f>
        <v/>
      </c>
      <c r="V365" s="13">
        <f>IF(B365="","",B365+10)</f>
        <v/>
      </c>
      <c r="W365" s="14">
        <f>IF(B365="","",(--(B365&lt;&gt;"")+--(C365&lt;&gt;"")+--(D365&lt;&gt;"")+--(E365&lt;&gt;"")+--(F365&lt;&gt;"")+--(G365&lt;&gt;"")+--(H365&lt;&gt;"")+--(I365&lt;&gt;"")+--(N365&lt;&gt;"")+--(O365&lt;&gt;"")+--(P365&lt;&gt;""))/11)</f>
        <v/>
      </c>
    </row>
    <row r="366">
      <c r="A366" s="7">
        <f>IF(B366="","",TEXT(B366,"yyyymmdd")&amp;"-"&amp;TEXT(ROW()-1,"000"))</f>
        <v/>
      </c>
      <c r="B366" s="8" t="n"/>
      <c r="C366" s="9" t="n"/>
      <c r="D366" s="9" t="n"/>
      <c r="E366" s="9" t="n"/>
      <c r="F366" s="9" t="n"/>
      <c r="G366" s="9" t="n"/>
      <c r="H366" s="9" t="n"/>
      <c r="I366" s="10" t="n"/>
      <c r="J366" s="11" t="n"/>
      <c r="K366" s="12" t="n"/>
      <c r="L366" s="11" t="n"/>
      <c r="M366" s="12" t="n"/>
      <c r="N366" s="9" t="n"/>
      <c r="O366" s="9" t="n"/>
      <c r="P366" s="10" t="n"/>
      <c r="Q366" s="11" t="n"/>
      <c r="R366" s="12" t="n"/>
      <c r="S366" s="12" t="n"/>
      <c r="T366" s="13">
        <f>IF(B366="","",B366+3)</f>
        <v/>
      </c>
      <c r="U366" s="13">
        <f>IF(B366="","",B366+5)</f>
        <v/>
      </c>
      <c r="V366" s="13">
        <f>IF(B366="","",B366+10)</f>
        <v/>
      </c>
      <c r="W366" s="14">
        <f>IF(B366="","",(--(B366&lt;&gt;"")+--(C366&lt;&gt;"")+--(D366&lt;&gt;"")+--(E366&lt;&gt;"")+--(F366&lt;&gt;"")+--(G366&lt;&gt;"")+--(H366&lt;&gt;"")+--(I366&lt;&gt;"")+--(N366&lt;&gt;"")+--(O366&lt;&gt;"")+--(P366&lt;&gt;""))/11)</f>
        <v/>
      </c>
    </row>
    <row r="367">
      <c r="A367" s="7">
        <f>IF(B367="","",TEXT(B367,"yyyymmdd")&amp;"-"&amp;TEXT(ROW()-1,"000"))</f>
        <v/>
      </c>
      <c r="B367" s="8" t="n"/>
      <c r="C367" s="9" t="n"/>
      <c r="D367" s="9" t="n"/>
      <c r="E367" s="9" t="n"/>
      <c r="F367" s="9" t="n"/>
      <c r="G367" s="9" t="n"/>
      <c r="H367" s="9" t="n"/>
      <c r="I367" s="10" t="n"/>
      <c r="J367" s="11" t="n"/>
      <c r="K367" s="12" t="n"/>
      <c r="L367" s="11" t="n"/>
      <c r="M367" s="12" t="n"/>
      <c r="N367" s="9" t="n"/>
      <c r="O367" s="9" t="n"/>
      <c r="P367" s="10" t="n"/>
      <c r="Q367" s="11" t="n"/>
      <c r="R367" s="12" t="n"/>
      <c r="S367" s="12" t="n"/>
      <c r="T367" s="13">
        <f>IF(B367="","",B367+3)</f>
        <v/>
      </c>
      <c r="U367" s="13">
        <f>IF(B367="","",B367+5)</f>
        <v/>
      </c>
      <c r="V367" s="13">
        <f>IF(B367="","",B367+10)</f>
        <v/>
      </c>
      <c r="W367" s="14">
        <f>IF(B367="","",(--(B367&lt;&gt;"")+--(C367&lt;&gt;"")+--(D367&lt;&gt;"")+--(E367&lt;&gt;"")+--(F367&lt;&gt;"")+--(G367&lt;&gt;"")+--(H367&lt;&gt;"")+--(I367&lt;&gt;"")+--(N367&lt;&gt;"")+--(O367&lt;&gt;"")+--(P367&lt;&gt;""))/11)</f>
        <v/>
      </c>
    </row>
    <row r="368">
      <c r="A368" s="7">
        <f>IF(B368="","",TEXT(B368,"yyyymmdd")&amp;"-"&amp;TEXT(ROW()-1,"000"))</f>
        <v/>
      </c>
      <c r="B368" s="8" t="n"/>
      <c r="C368" s="9" t="n"/>
      <c r="D368" s="9" t="n"/>
      <c r="E368" s="9" t="n"/>
      <c r="F368" s="9" t="n"/>
      <c r="G368" s="9" t="n"/>
      <c r="H368" s="9" t="n"/>
      <c r="I368" s="10" t="n"/>
      <c r="J368" s="11" t="n"/>
      <c r="K368" s="12" t="n"/>
      <c r="L368" s="11" t="n"/>
      <c r="M368" s="12" t="n"/>
      <c r="N368" s="9" t="n"/>
      <c r="O368" s="9" t="n"/>
      <c r="P368" s="10" t="n"/>
      <c r="Q368" s="11" t="n"/>
      <c r="R368" s="12" t="n"/>
      <c r="S368" s="12" t="n"/>
      <c r="T368" s="13">
        <f>IF(B368="","",B368+3)</f>
        <v/>
      </c>
      <c r="U368" s="13">
        <f>IF(B368="","",B368+5)</f>
        <v/>
      </c>
      <c r="V368" s="13">
        <f>IF(B368="","",B368+10)</f>
        <v/>
      </c>
      <c r="W368" s="14">
        <f>IF(B368="","",(--(B368&lt;&gt;"")+--(C368&lt;&gt;"")+--(D368&lt;&gt;"")+--(E368&lt;&gt;"")+--(F368&lt;&gt;"")+--(G368&lt;&gt;"")+--(H368&lt;&gt;"")+--(I368&lt;&gt;"")+--(N368&lt;&gt;"")+--(O368&lt;&gt;"")+--(P368&lt;&gt;""))/11)</f>
        <v/>
      </c>
    </row>
    <row r="369">
      <c r="A369" s="7">
        <f>IF(B369="","",TEXT(B369,"yyyymmdd")&amp;"-"&amp;TEXT(ROW()-1,"000"))</f>
        <v/>
      </c>
      <c r="B369" s="8" t="n"/>
      <c r="C369" s="9" t="n"/>
      <c r="D369" s="9" t="n"/>
      <c r="E369" s="9" t="n"/>
      <c r="F369" s="9" t="n"/>
      <c r="G369" s="9" t="n"/>
      <c r="H369" s="9" t="n"/>
      <c r="I369" s="10" t="n"/>
      <c r="J369" s="11" t="n"/>
      <c r="K369" s="12" t="n"/>
      <c r="L369" s="11" t="n"/>
      <c r="M369" s="12" t="n"/>
      <c r="N369" s="9" t="n"/>
      <c r="O369" s="9" t="n"/>
      <c r="P369" s="10" t="n"/>
      <c r="Q369" s="11" t="n"/>
      <c r="R369" s="12" t="n"/>
      <c r="S369" s="12" t="n"/>
      <c r="T369" s="13">
        <f>IF(B369="","",B369+3)</f>
        <v/>
      </c>
      <c r="U369" s="13">
        <f>IF(B369="","",B369+5)</f>
        <v/>
      </c>
      <c r="V369" s="13">
        <f>IF(B369="","",B369+10)</f>
        <v/>
      </c>
      <c r="W369" s="14">
        <f>IF(B369="","",(--(B369&lt;&gt;"")+--(C369&lt;&gt;"")+--(D369&lt;&gt;"")+--(E369&lt;&gt;"")+--(F369&lt;&gt;"")+--(G369&lt;&gt;"")+--(H369&lt;&gt;"")+--(I369&lt;&gt;"")+--(N369&lt;&gt;"")+--(O369&lt;&gt;"")+--(P369&lt;&gt;""))/11)</f>
        <v/>
      </c>
    </row>
    <row r="370">
      <c r="A370" s="7">
        <f>IF(B370="","",TEXT(B370,"yyyymmdd")&amp;"-"&amp;TEXT(ROW()-1,"000"))</f>
        <v/>
      </c>
      <c r="B370" s="8" t="n"/>
      <c r="C370" s="9" t="n"/>
      <c r="D370" s="9" t="n"/>
      <c r="E370" s="9" t="n"/>
      <c r="F370" s="9" t="n"/>
      <c r="G370" s="9" t="n"/>
      <c r="H370" s="9" t="n"/>
      <c r="I370" s="10" t="n"/>
      <c r="J370" s="11" t="n"/>
      <c r="K370" s="12" t="n"/>
      <c r="L370" s="11" t="n"/>
      <c r="M370" s="12" t="n"/>
      <c r="N370" s="9" t="n"/>
      <c r="O370" s="9" t="n"/>
      <c r="P370" s="10" t="n"/>
      <c r="Q370" s="11" t="n"/>
      <c r="R370" s="12" t="n"/>
      <c r="S370" s="12" t="n"/>
      <c r="T370" s="13">
        <f>IF(B370="","",B370+3)</f>
        <v/>
      </c>
      <c r="U370" s="13">
        <f>IF(B370="","",B370+5)</f>
        <v/>
      </c>
      <c r="V370" s="13">
        <f>IF(B370="","",B370+10)</f>
        <v/>
      </c>
      <c r="W370" s="14">
        <f>IF(B370="","",(--(B370&lt;&gt;"")+--(C370&lt;&gt;"")+--(D370&lt;&gt;"")+--(E370&lt;&gt;"")+--(F370&lt;&gt;"")+--(G370&lt;&gt;"")+--(H370&lt;&gt;"")+--(I370&lt;&gt;"")+--(N370&lt;&gt;"")+--(O370&lt;&gt;"")+--(P370&lt;&gt;""))/11)</f>
        <v/>
      </c>
    </row>
    <row r="371">
      <c r="A371" s="7">
        <f>IF(B371="","",TEXT(B371,"yyyymmdd")&amp;"-"&amp;TEXT(ROW()-1,"000"))</f>
        <v/>
      </c>
      <c r="B371" s="8" t="n"/>
      <c r="C371" s="9" t="n"/>
      <c r="D371" s="9" t="n"/>
      <c r="E371" s="9" t="n"/>
      <c r="F371" s="9" t="n"/>
      <c r="G371" s="9" t="n"/>
      <c r="H371" s="9" t="n"/>
      <c r="I371" s="10" t="n"/>
      <c r="J371" s="11" t="n"/>
      <c r="K371" s="12" t="n"/>
      <c r="L371" s="11" t="n"/>
      <c r="M371" s="12" t="n"/>
      <c r="N371" s="9" t="n"/>
      <c r="O371" s="9" t="n"/>
      <c r="P371" s="10" t="n"/>
      <c r="Q371" s="11" t="n"/>
      <c r="R371" s="12" t="n"/>
      <c r="S371" s="12" t="n"/>
      <c r="T371" s="13">
        <f>IF(B371="","",B371+3)</f>
        <v/>
      </c>
      <c r="U371" s="13">
        <f>IF(B371="","",B371+5)</f>
        <v/>
      </c>
      <c r="V371" s="13">
        <f>IF(B371="","",B371+10)</f>
        <v/>
      </c>
      <c r="W371" s="14">
        <f>IF(B371="","",(--(B371&lt;&gt;"")+--(C371&lt;&gt;"")+--(D371&lt;&gt;"")+--(E371&lt;&gt;"")+--(F371&lt;&gt;"")+--(G371&lt;&gt;"")+--(H371&lt;&gt;"")+--(I371&lt;&gt;"")+--(N371&lt;&gt;"")+--(O371&lt;&gt;"")+--(P371&lt;&gt;""))/11)</f>
        <v/>
      </c>
    </row>
    <row r="372">
      <c r="A372" s="7">
        <f>IF(B372="","",TEXT(B372,"yyyymmdd")&amp;"-"&amp;TEXT(ROW()-1,"000"))</f>
        <v/>
      </c>
      <c r="B372" s="8" t="n"/>
      <c r="C372" s="9" t="n"/>
      <c r="D372" s="9" t="n"/>
      <c r="E372" s="9" t="n"/>
      <c r="F372" s="9" t="n"/>
      <c r="G372" s="9" t="n"/>
      <c r="H372" s="9" t="n"/>
      <c r="I372" s="10" t="n"/>
      <c r="J372" s="11" t="n"/>
      <c r="K372" s="12" t="n"/>
      <c r="L372" s="11" t="n"/>
      <c r="M372" s="12" t="n"/>
      <c r="N372" s="9" t="n"/>
      <c r="O372" s="9" t="n"/>
      <c r="P372" s="10" t="n"/>
      <c r="Q372" s="11" t="n"/>
      <c r="R372" s="12" t="n"/>
      <c r="S372" s="12" t="n"/>
      <c r="T372" s="13">
        <f>IF(B372="","",B372+3)</f>
        <v/>
      </c>
      <c r="U372" s="13">
        <f>IF(B372="","",B372+5)</f>
        <v/>
      </c>
      <c r="V372" s="13">
        <f>IF(B372="","",B372+10)</f>
        <v/>
      </c>
      <c r="W372" s="14">
        <f>IF(B372="","",(--(B372&lt;&gt;"")+--(C372&lt;&gt;"")+--(D372&lt;&gt;"")+--(E372&lt;&gt;"")+--(F372&lt;&gt;"")+--(G372&lt;&gt;"")+--(H372&lt;&gt;"")+--(I372&lt;&gt;"")+--(N372&lt;&gt;"")+--(O372&lt;&gt;"")+--(P372&lt;&gt;""))/11)</f>
        <v/>
      </c>
    </row>
    <row r="373">
      <c r="A373" s="7">
        <f>IF(B373="","",TEXT(B373,"yyyymmdd")&amp;"-"&amp;TEXT(ROW()-1,"000"))</f>
        <v/>
      </c>
      <c r="B373" s="8" t="n"/>
      <c r="C373" s="9" t="n"/>
      <c r="D373" s="9" t="n"/>
      <c r="E373" s="9" t="n"/>
      <c r="F373" s="9" t="n"/>
      <c r="G373" s="9" t="n"/>
      <c r="H373" s="9" t="n"/>
      <c r="I373" s="10" t="n"/>
      <c r="J373" s="11" t="n"/>
      <c r="K373" s="12" t="n"/>
      <c r="L373" s="11" t="n"/>
      <c r="M373" s="12" t="n"/>
      <c r="N373" s="9" t="n"/>
      <c r="O373" s="9" t="n"/>
      <c r="P373" s="10" t="n"/>
      <c r="Q373" s="11" t="n"/>
      <c r="R373" s="12" t="n"/>
      <c r="S373" s="12" t="n"/>
      <c r="T373" s="13">
        <f>IF(B373="","",B373+3)</f>
        <v/>
      </c>
      <c r="U373" s="13">
        <f>IF(B373="","",B373+5)</f>
        <v/>
      </c>
      <c r="V373" s="13">
        <f>IF(B373="","",B373+10)</f>
        <v/>
      </c>
      <c r="W373" s="14">
        <f>IF(B373="","",(--(B373&lt;&gt;"")+--(C373&lt;&gt;"")+--(D373&lt;&gt;"")+--(E373&lt;&gt;"")+--(F373&lt;&gt;"")+--(G373&lt;&gt;"")+--(H373&lt;&gt;"")+--(I373&lt;&gt;"")+--(N373&lt;&gt;"")+--(O373&lt;&gt;"")+--(P373&lt;&gt;""))/11)</f>
        <v/>
      </c>
    </row>
    <row r="374">
      <c r="A374" s="7">
        <f>IF(B374="","",TEXT(B374,"yyyymmdd")&amp;"-"&amp;TEXT(ROW()-1,"000"))</f>
        <v/>
      </c>
      <c r="B374" s="8" t="n"/>
      <c r="C374" s="9" t="n"/>
      <c r="D374" s="9" t="n"/>
      <c r="E374" s="9" t="n"/>
      <c r="F374" s="9" t="n"/>
      <c r="G374" s="9" t="n"/>
      <c r="H374" s="9" t="n"/>
      <c r="I374" s="10" t="n"/>
      <c r="J374" s="11" t="n"/>
      <c r="K374" s="12" t="n"/>
      <c r="L374" s="11" t="n"/>
      <c r="M374" s="12" t="n"/>
      <c r="N374" s="9" t="n"/>
      <c r="O374" s="9" t="n"/>
      <c r="P374" s="10" t="n"/>
      <c r="Q374" s="11" t="n"/>
      <c r="R374" s="12" t="n"/>
      <c r="S374" s="12" t="n"/>
      <c r="T374" s="13">
        <f>IF(B374="","",B374+3)</f>
        <v/>
      </c>
      <c r="U374" s="13">
        <f>IF(B374="","",B374+5)</f>
        <v/>
      </c>
      <c r="V374" s="13">
        <f>IF(B374="","",B374+10)</f>
        <v/>
      </c>
      <c r="W374" s="14">
        <f>IF(B374="","",(--(B374&lt;&gt;"")+--(C374&lt;&gt;"")+--(D374&lt;&gt;"")+--(E374&lt;&gt;"")+--(F374&lt;&gt;"")+--(G374&lt;&gt;"")+--(H374&lt;&gt;"")+--(I374&lt;&gt;"")+--(N374&lt;&gt;"")+--(O374&lt;&gt;"")+--(P374&lt;&gt;""))/11)</f>
        <v/>
      </c>
    </row>
    <row r="375">
      <c r="A375" s="7">
        <f>IF(B375="","",TEXT(B375,"yyyymmdd")&amp;"-"&amp;TEXT(ROW()-1,"000"))</f>
        <v/>
      </c>
      <c r="B375" s="8" t="n"/>
      <c r="C375" s="9" t="n"/>
      <c r="D375" s="9" t="n"/>
      <c r="E375" s="9" t="n"/>
      <c r="F375" s="9" t="n"/>
      <c r="G375" s="9" t="n"/>
      <c r="H375" s="9" t="n"/>
      <c r="I375" s="10" t="n"/>
      <c r="J375" s="11" t="n"/>
      <c r="K375" s="12" t="n"/>
      <c r="L375" s="11" t="n"/>
      <c r="M375" s="12" t="n"/>
      <c r="N375" s="9" t="n"/>
      <c r="O375" s="9" t="n"/>
      <c r="P375" s="10" t="n"/>
      <c r="Q375" s="11" t="n"/>
      <c r="R375" s="12" t="n"/>
      <c r="S375" s="12" t="n"/>
      <c r="T375" s="13">
        <f>IF(B375="","",B375+3)</f>
        <v/>
      </c>
      <c r="U375" s="13">
        <f>IF(B375="","",B375+5)</f>
        <v/>
      </c>
      <c r="V375" s="13">
        <f>IF(B375="","",B375+10)</f>
        <v/>
      </c>
      <c r="W375" s="14">
        <f>IF(B375="","",(--(B375&lt;&gt;"")+--(C375&lt;&gt;"")+--(D375&lt;&gt;"")+--(E375&lt;&gt;"")+--(F375&lt;&gt;"")+--(G375&lt;&gt;"")+--(H375&lt;&gt;"")+--(I375&lt;&gt;"")+--(N375&lt;&gt;"")+--(O375&lt;&gt;"")+--(P375&lt;&gt;""))/11)</f>
        <v/>
      </c>
    </row>
    <row r="376">
      <c r="A376" s="7">
        <f>IF(B376="","",TEXT(B376,"yyyymmdd")&amp;"-"&amp;TEXT(ROW()-1,"000"))</f>
        <v/>
      </c>
      <c r="B376" s="8" t="n"/>
      <c r="C376" s="9" t="n"/>
      <c r="D376" s="9" t="n"/>
      <c r="E376" s="9" t="n"/>
      <c r="F376" s="9" t="n"/>
      <c r="G376" s="9" t="n"/>
      <c r="H376" s="9" t="n"/>
      <c r="I376" s="10" t="n"/>
      <c r="J376" s="11" t="n"/>
      <c r="K376" s="12" t="n"/>
      <c r="L376" s="11" t="n"/>
      <c r="M376" s="12" t="n"/>
      <c r="N376" s="9" t="n"/>
      <c r="O376" s="9" t="n"/>
      <c r="P376" s="10" t="n"/>
      <c r="Q376" s="11" t="n"/>
      <c r="R376" s="12" t="n"/>
      <c r="S376" s="12" t="n"/>
      <c r="T376" s="13">
        <f>IF(B376="","",B376+3)</f>
        <v/>
      </c>
      <c r="U376" s="13">
        <f>IF(B376="","",B376+5)</f>
        <v/>
      </c>
      <c r="V376" s="13">
        <f>IF(B376="","",B376+10)</f>
        <v/>
      </c>
      <c r="W376" s="14">
        <f>IF(B376="","",(--(B376&lt;&gt;"")+--(C376&lt;&gt;"")+--(D376&lt;&gt;"")+--(E376&lt;&gt;"")+--(F376&lt;&gt;"")+--(G376&lt;&gt;"")+--(H376&lt;&gt;"")+--(I376&lt;&gt;"")+--(N376&lt;&gt;"")+--(O376&lt;&gt;"")+--(P376&lt;&gt;""))/11)</f>
        <v/>
      </c>
    </row>
    <row r="377">
      <c r="A377" s="7">
        <f>IF(B377="","",TEXT(B377,"yyyymmdd")&amp;"-"&amp;TEXT(ROW()-1,"000"))</f>
        <v/>
      </c>
      <c r="B377" s="8" t="n"/>
      <c r="C377" s="9" t="n"/>
      <c r="D377" s="9" t="n"/>
      <c r="E377" s="9" t="n"/>
      <c r="F377" s="9" t="n"/>
      <c r="G377" s="9" t="n"/>
      <c r="H377" s="9" t="n"/>
      <c r="I377" s="10" t="n"/>
      <c r="J377" s="11" t="n"/>
      <c r="K377" s="12" t="n"/>
      <c r="L377" s="11" t="n"/>
      <c r="M377" s="12" t="n"/>
      <c r="N377" s="9" t="n"/>
      <c r="O377" s="9" t="n"/>
      <c r="P377" s="10" t="n"/>
      <c r="Q377" s="11" t="n"/>
      <c r="R377" s="12" t="n"/>
      <c r="S377" s="12" t="n"/>
      <c r="T377" s="13">
        <f>IF(B377="","",B377+3)</f>
        <v/>
      </c>
      <c r="U377" s="13">
        <f>IF(B377="","",B377+5)</f>
        <v/>
      </c>
      <c r="V377" s="13">
        <f>IF(B377="","",B377+10)</f>
        <v/>
      </c>
      <c r="W377" s="14">
        <f>IF(B377="","",(--(B377&lt;&gt;"")+--(C377&lt;&gt;"")+--(D377&lt;&gt;"")+--(E377&lt;&gt;"")+--(F377&lt;&gt;"")+--(G377&lt;&gt;"")+--(H377&lt;&gt;"")+--(I377&lt;&gt;"")+--(N377&lt;&gt;"")+--(O377&lt;&gt;"")+--(P377&lt;&gt;""))/11)</f>
        <v/>
      </c>
    </row>
    <row r="378">
      <c r="A378" s="7">
        <f>IF(B378="","",TEXT(B378,"yyyymmdd")&amp;"-"&amp;TEXT(ROW()-1,"000"))</f>
        <v/>
      </c>
      <c r="B378" s="8" t="n"/>
      <c r="C378" s="9" t="n"/>
      <c r="D378" s="9" t="n"/>
      <c r="E378" s="9" t="n"/>
      <c r="F378" s="9" t="n"/>
      <c r="G378" s="9" t="n"/>
      <c r="H378" s="9" t="n"/>
      <c r="I378" s="10" t="n"/>
      <c r="J378" s="11" t="n"/>
      <c r="K378" s="12" t="n"/>
      <c r="L378" s="11" t="n"/>
      <c r="M378" s="12" t="n"/>
      <c r="N378" s="9" t="n"/>
      <c r="O378" s="9" t="n"/>
      <c r="P378" s="10" t="n"/>
      <c r="Q378" s="11" t="n"/>
      <c r="R378" s="12" t="n"/>
      <c r="S378" s="12" t="n"/>
      <c r="T378" s="13">
        <f>IF(B378="","",B378+3)</f>
        <v/>
      </c>
      <c r="U378" s="13">
        <f>IF(B378="","",B378+5)</f>
        <v/>
      </c>
      <c r="V378" s="13">
        <f>IF(B378="","",B378+10)</f>
        <v/>
      </c>
      <c r="W378" s="14">
        <f>IF(B378="","",(--(B378&lt;&gt;"")+--(C378&lt;&gt;"")+--(D378&lt;&gt;"")+--(E378&lt;&gt;"")+--(F378&lt;&gt;"")+--(G378&lt;&gt;"")+--(H378&lt;&gt;"")+--(I378&lt;&gt;"")+--(N378&lt;&gt;"")+--(O378&lt;&gt;"")+--(P378&lt;&gt;""))/11)</f>
        <v/>
      </c>
    </row>
    <row r="379">
      <c r="A379" s="7">
        <f>IF(B379="","",TEXT(B379,"yyyymmdd")&amp;"-"&amp;TEXT(ROW()-1,"000"))</f>
        <v/>
      </c>
      <c r="B379" s="8" t="n"/>
      <c r="C379" s="9" t="n"/>
      <c r="D379" s="9" t="n"/>
      <c r="E379" s="9" t="n"/>
      <c r="F379" s="9" t="n"/>
      <c r="G379" s="9" t="n"/>
      <c r="H379" s="9" t="n"/>
      <c r="I379" s="10" t="n"/>
      <c r="J379" s="11" t="n"/>
      <c r="K379" s="12" t="n"/>
      <c r="L379" s="11" t="n"/>
      <c r="M379" s="12" t="n"/>
      <c r="N379" s="9" t="n"/>
      <c r="O379" s="9" t="n"/>
      <c r="P379" s="10" t="n"/>
      <c r="Q379" s="11" t="n"/>
      <c r="R379" s="12" t="n"/>
      <c r="S379" s="12" t="n"/>
      <c r="T379" s="13">
        <f>IF(B379="","",B379+3)</f>
        <v/>
      </c>
      <c r="U379" s="13">
        <f>IF(B379="","",B379+5)</f>
        <v/>
      </c>
      <c r="V379" s="13">
        <f>IF(B379="","",B379+10)</f>
        <v/>
      </c>
      <c r="W379" s="14">
        <f>IF(B379="","",(--(B379&lt;&gt;"")+--(C379&lt;&gt;"")+--(D379&lt;&gt;"")+--(E379&lt;&gt;"")+--(F379&lt;&gt;"")+--(G379&lt;&gt;"")+--(H379&lt;&gt;"")+--(I379&lt;&gt;"")+--(N379&lt;&gt;"")+--(O379&lt;&gt;"")+--(P379&lt;&gt;""))/11)</f>
        <v/>
      </c>
    </row>
    <row r="380">
      <c r="A380" s="7">
        <f>IF(B380="","",TEXT(B380,"yyyymmdd")&amp;"-"&amp;TEXT(ROW()-1,"000"))</f>
        <v/>
      </c>
      <c r="B380" s="8" t="n"/>
      <c r="C380" s="9" t="n"/>
      <c r="D380" s="9" t="n"/>
      <c r="E380" s="9" t="n"/>
      <c r="F380" s="9" t="n"/>
      <c r="G380" s="9" t="n"/>
      <c r="H380" s="9" t="n"/>
      <c r="I380" s="10" t="n"/>
      <c r="J380" s="11" t="n"/>
      <c r="K380" s="12" t="n"/>
      <c r="L380" s="11" t="n"/>
      <c r="M380" s="12" t="n"/>
      <c r="N380" s="9" t="n"/>
      <c r="O380" s="9" t="n"/>
      <c r="P380" s="10" t="n"/>
      <c r="Q380" s="11" t="n"/>
      <c r="R380" s="12" t="n"/>
      <c r="S380" s="12" t="n"/>
      <c r="T380" s="13">
        <f>IF(B380="","",B380+3)</f>
        <v/>
      </c>
      <c r="U380" s="13">
        <f>IF(B380="","",B380+5)</f>
        <v/>
      </c>
      <c r="V380" s="13">
        <f>IF(B380="","",B380+10)</f>
        <v/>
      </c>
      <c r="W380" s="14">
        <f>IF(B380="","",(--(B380&lt;&gt;"")+--(C380&lt;&gt;"")+--(D380&lt;&gt;"")+--(E380&lt;&gt;"")+--(F380&lt;&gt;"")+--(G380&lt;&gt;"")+--(H380&lt;&gt;"")+--(I380&lt;&gt;"")+--(N380&lt;&gt;"")+--(O380&lt;&gt;"")+--(P380&lt;&gt;""))/11)</f>
        <v/>
      </c>
    </row>
    <row r="381">
      <c r="A381" s="7">
        <f>IF(B381="","",TEXT(B381,"yyyymmdd")&amp;"-"&amp;TEXT(ROW()-1,"000"))</f>
        <v/>
      </c>
      <c r="B381" s="8" t="n"/>
      <c r="C381" s="9" t="n"/>
      <c r="D381" s="9" t="n"/>
      <c r="E381" s="9" t="n"/>
      <c r="F381" s="9" t="n"/>
      <c r="G381" s="9" t="n"/>
      <c r="H381" s="9" t="n"/>
      <c r="I381" s="10" t="n"/>
      <c r="J381" s="11" t="n"/>
      <c r="K381" s="12" t="n"/>
      <c r="L381" s="11" t="n"/>
      <c r="M381" s="12" t="n"/>
      <c r="N381" s="9" t="n"/>
      <c r="O381" s="9" t="n"/>
      <c r="P381" s="10" t="n"/>
      <c r="Q381" s="11" t="n"/>
      <c r="R381" s="12" t="n"/>
      <c r="S381" s="12" t="n"/>
      <c r="T381" s="13">
        <f>IF(B381="","",B381+3)</f>
        <v/>
      </c>
      <c r="U381" s="13">
        <f>IF(B381="","",B381+5)</f>
        <v/>
      </c>
      <c r="V381" s="13">
        <f>IF(B381="","",B381+10)</f>
        <v/>
      </c>
      <c r="W381" s="14">
        <f>IF(B381="","",(--(B381&lt;&gt;"")+--(C381&lt;&gt;"")+--(D381&lt;&gt;"")+--(E381&lt;&gt;"")+--(F381&lt;&gt;"")+--(G381&lt;&gt;"")+--(H381&lt;&gt;"")+--(I381&lt;&gt;"")+--(N381&lt;&gt;"")+--(O381&lt;&gt;"")+--(P381&lt;&gt;""))/11)</f>
        <v/>
      </c>
    </row>
    <row r="382">
      <c r="A382" s="7">
        <f>IF(B382="","",TEXT(B382,"yyyymmdd")&amp;"-"&amp;TEXT(ROW()-1,"000"))</f>
        <v/>
      </c>
      <c r="B382" s="8" t="n"/>
      <c r="C382" s="9" t="n"/>
      <c r="D382" s="9" t="n"/>
      <c r="E382" s="9" t="n"/>
      <c r="F382" s="9" t="n"/>
      <c r="G382" s="9" t="n"/>
      <c r="H382" s="9" t="n"/>
      <c r="I382" s="10" t="n"/>
      <c r="J382" s="11" t="n"/>
      <c r="K382" s="12" t="n"/>
      <c r="L382" s="11" t="n"/>
      <c r="M382" s="12" t="n"/>
      <c r="N382" s="9" t="n"/>
      <c r="O382" s="9" t="n"/>
      <c r="P382" s="10" t="n"/>
      <c r="Q382" s="11" t="n"/>
      <c r="R382" s="12" t="n"/>
      <c r="S382" s="12" t="n"/>
      <c r="T382" s="13">
        <f>IF(B382="","",B382+3)</f>
        <v/>
      </c>
      <c r="U382" s="13">
        <f>IF(B382="","",B382+5)</f>
        <v/>
      </c>
      <c r="V382" s="13">
        <f>IF(B382="","",B382+10)</f>
        <v/>
      </c>
      <c r="W382" s="14">
        <f>IF(B382="","",(--(B382&lt;&gt;"")+--(C382&lt;&gt;"")+--(D382&lt;&gt;"")+--(E382&lt;&gt;"")+--(F382&lt;&gt;"")+--(G382&lt;&gt;"")+--(H382&lt;&gt;"")+--(I382&lt;&gt;"")+--(N382&lt;&gt;"")+--(O382&lt;&gt;"")+--(P382&lt;&gt;""))/11)</f>
        <v/>
      </c>
    </row>
    <row r="383">
      <c r="A383" s="7">
        <f>IF(B383="","",TEXT(B383,"yyyymmdd")&amp;"-"&amp;TEXT(ROW()-1,"000"))</f>
        <v/>
      </c>
      <c r="B383" s="8" t="n"/>
      <c r="C383" s="9" t="n"/>
      <c r="D383" s="9" t="n"/>
      <c r="E383" s="9" t="n"/>
      <c r="F383" s="9" t="n"/>
      <c r="G383" s="9" t="n"/>
      <c r="H383" s="9" t="n"/>
      <c r="I383" s="10" t="n"/>
      <c r="J383" s="11" t="n"/>
      <c r="K383" s="12" t="n"/>
      <c r="L383" s="11" t="n"/>
      <c r="M383" s="12" t="n"/>
      <c r="N383" s="9" t="n"/>
      <c r="O383" s="9" t="n"/>
      <c r="P383" s="10" t="n"/>
      <c r="Q383" s="11" t="n"/>
      <c r="R383" s="12" t="n"/>
      <c r="S383" s="12" t="n"/>
      <c r="T383" s="13">
        <f>IF(B383="","",B383+3)</f>
        <v/>
      </c>
      <c r="U383" s="13">
        <f>IF(B383="","",B383+5)</f>
        <v/>
      </c>
      <c r="V383" s="13">
        <f>IF(B383="","",B383+10)</f>
        <v/>
      </c>
      <c r="W383" s="14">
        <f>IF(B383="","",(--(B383&lt;&gt;"")+--(C383&lt;&gt;"")+--(D383&lt;&gt;"")+--(E383&lt;&gt;"")+--(F383&lt;&gt;"")+--(G383&lt;&gt;"")+--(H383&lt;&gt;"")+--(I383&lt;&gt;"")+--(N383&lt;&gt;"")+--(O383&lt;&gt;"")+--(P383&lt;&gt;""))/11)</f>
        <v/>
      </c>
    </row>
    <row r="384">
      <c r="A384" s="7">
        <f>IF(B384="","",TEXT(B384,"yyyymmdd")&amp;"-"&amp;TEXT(ROW()-1,"000"))</f>
        <v/>
      </c>
      <c r="B384" s="8" t="n"/>
      <c r="C384" s="9" t="n"/>
      <c r="D384" s="9" t="n"/>
      <c r="E384" s="9" t="n"/>
      <c r="F384" s="9" t="n"/>
      <c r="G384" s="9" t="n"/>
      <c r="H384" s="9" t="n"/>
      <c r="I384" s="10" t="n"/>
      <c r="J384" s="11" t="n"/>
      <c r="K384" s="12" t="n"/>
      <c r="L384" s="11" t="n"/>
      <c r="M384" s="12" t="n"/>
      <c r="N384" s="9" t="n"/>
      <c r="O384" s="9" t="n"/>
      <c r="P384" s="10" t="n"/>
      <c r="Q384" s="11" t="n"/>
      <c r="R384" s="12" t="n"/>
      <c r="S384" s="12" t="n"/>
      <c r="T384" s="13">
        <f>IF(B384="","",B384+3)</f>
        <v/>
      </c>
      <c r="U384" s="13">
        <f>IF(B384="","",B384+5)</f>
        <v/>
      </c>
      <c r="V384" s="13">
        <f>IF(B384="","",B384+10)</f>
        <v/>
      </c>
      <c r="W384" s="14">
        <f>IF(B384="","",(--(B384&lt;&gt;"")+--(C384&lt;&gt;"")+--(D384&lt;&gt;"")+--(E384&lt;&gt;"")+--(F384&lt;&gt;"")+--(G384&lt;&gt;"")+--(H384&lt;&gt;"")+--(I384&lt;&gt;"")+--(N384&lt;&gt;"")+--(O384&lt;&gt;"")+--(P384&lt;&gt;""))/11)</f>
        <v/>
      </c>
    </row>
    <row r="385">
      <c r="A385" s="7">
        <f>IF(B385="","",TEXT(B385,"yyyymmdd")&amp;"-"&amp;TEXT(ROW()-1,"000"))</f>
        <v/>
      </c>
      <c r="B385" s="8" t="n"/>
      <c r="C385" s="9" t="n"/>
      <c r="D385" s="9" t="n"/>
      <c r="E385" s="9" t="n"/>
      <c r="F385" s="9" t="n"/>
      <c r="G385" s="9" t="n"/>
      <c r="H385" s="9" t="n"/>
      <c r="I385" s="10" t="n"/>
      <c r="J385" s="11" t="n"/>
      <c r="K385" s="12" t="n"/>
      <c r="L385" s="11" t="n"/>
      <c r="M385" s="12" t="n"/>
      <c r="N385" s="9" t="n"/>
      <c r="O385" s="9" t="n"/>
      <c r="P385" s="10" t="n"/>
      <c r="Q385" s="11" t="n"/>
      <c r="R385" s="12" t="n"/>
      <c r="S385" s="12" t="n"/>
      <c r="T385" s="13">
        <f>IF(B385="","",B385+3)</f>
        <v/>
      </c>
      <c r="U385" s="13">
        <f>IF(B385="","",B385+5)</f>
        <v/>
      </c>
      <c r="V385" s="13">
        <f>IF(B385="","",B385+10)</f>
        <v/>
      </c>
      <c r="W385" s="14">
        <f>IF(B385="","",(--(B385&lt;&gt;"")+--(C385&lt;&gt;"")+--(D385&lt;&gt;"")+--(E385&lt;&gt;"")+--(F385&lt;&gt;"")+--(G385&lt;&gt;"")+--(H385&lt;&gt;"")+--(I385&lt;&gt;"")+--(N385&lt;&gt;"")+--(O385&lt;&gt;"")+--(P385&lt;&gt;""))/11)</f>
        <v/>
      </c>
    </row>
    <row r="386">
      <c r="A386" s="7">
        <f>IF(B386="","",TEXT(B386,"yyyymmdd")&amp;"-"&amp;TEXT(ROW()-1,"000"))</f>
        <v/>
      </c>
      <c r="B386" s="8" t="n"/>
      <c r="C386" s="9" t="n"/>
      <c r="D386" s="9" t="n"/>
      <c r="E386" s="9" t="n"/>
      <c r="F386" s="9" t="n"/>
      <c r="G386" s="9" t="n"/>
      <c r="H386" s="9" t="n"/>
      <c r="I386" s="10" t="n"/>
      <c r="J386" s="11" t="n"/>
      <c r="K386" s="12" t="n"/>
      <c r="L386" s="11" t="n"/>
      <c r="M386" s="12" t="n"/>
      <c r="N386" s="9" t="n"/>
      <c r="O386" s="9" t="n"/>
      <c r="P386" s="10" t="n"/>
      <c r="Q386" s="11" t="n"/>
      <c r="R386" s="12" t="n"/>
      <c r="S386" s="12" t="n"/>
      <c r="T386" s="13">
        <f>IF(B386="","",B386+3)</f>
        <v/>
      </c>
      <c r="U386" s="13">
        <f>IF(B386="","",B386+5)</f>
        <v/>
      </c>
      <c r="V386" s="13">
        <f>IF(B386="","",B386+10)</f>
        <v/>
      </c>
      <c r="W386" s="14">
        <f>IF(B386="","",(--(B386&lt;&gt;"")+--(C386&lt;&gt;"")+--(D386&lt;&gt;"")+--(E386&lt;&gt;"")+--(F386&lt;&gt;"")+--(G386&lt;&gt;"")+--(H386&lt;&gt;"")+--(I386&lt;&gt;"")+--(N386&lt;&gt;"")+--(O386&lt;&gt;"")+--(P386&lt;&gt;""))/11)</f>
        <v/>
      </c>
    </row>
    <row r="387">
      <c r="A387" s="7">
        <f>IF(B387="","",TEXT(B387,"yyyymmdd")&amp;"-"&amp;TEXT(ROW()-1,"000"))</f>
        <v/>
      </c>
      <c r="B387" s="8" t="n"/>
      <c r="C387" s="9" t="n"/>
      <c r="D387" s="9" t="n"/>
      <c r="E387" s="9" t="n"/>
      <c r="F387" s="9" t="n"/>
      <c r="G387" s="9" t="n"/>
      <c r="H387" s="9" t="n"/>
      <c r="I387" s="10" t="n"/>
      <c r="J387" s="11" t="n"/>
      <c r="K387" s="12" t="n"/>
      <c r="L387" s="11" t="n"/>
      <c r="M387" s="12" t="n"/>
      <c r="N387" s="9" t="n"/>
      <c r="O387" s="9" t="n"/>
      <c r="P387" s="10" t="n"/>
      <c r="Q387" s="11" t="n"/>
      <c r="R387" s="12" t="n"/>
      <c r="S387" s="12" t="n"/>
      <c r="T387" s="13">
        <f>IF(B387="","",B387+3)</f>
        <v/>
      </c>
      <c r="U387" s="13">
        <f>IF(B387="","",B387+5)</f>
        <v/>
      </c>
      <c r="V387" s="13">
        <f>IF(B387="","",B387+10)</f>
        <v/>
      </c>
      <c r="W387" s="14">
        <f>IF(B387="","",(--(B387&lt;&gt;"")+--(C387&lt;&gt;"")+--(D387&lt;&gt;"")+--(E387&lt;&gt;"")+--(F387&lt;&gt;"")+--(G387&lt;&gt;"")+--(H387&lt;&gt;"")+--(I387&lt;&gt;"")+--(N387&lt;&gt;"")+--(O387&lt;&gt;"")+--(P387&lt;&gt;""))/11)</f>
        <v/>
      </c>
    </row>
    <row r="388">
      <c r="A388" s="7">
        <f>IF(B388="","",TEXT(B388,"yyyymmdd")&amp;"-"&amp;TEXT(ROW()-1,"000"))</f>
        <v/>
      </c>
      <c r="B388" s="8" t="n"/>
      <c r="C388" s="9" t="n"/>
      <c r="D388" s="9" t="n"/>
      <c r="E388" s="9" t="n"/>
      <c r="F388" s="9" t="n"/>
      <c r="G388" s="9" t="n"/>
      <c r="H388" s="9" t="n"/>
      <c r="I388" s="10" t="n"/>
      <c r="J388" s="11" t="n"/>
      <c r="K388" s="12" t="n"/>
      <c r="L388" s="11" t="n"/>
      <c r="M388" s="12" t="n"/>
      <c r="N388" s="9" t="n"/>
      <c r="O388" s="9" t="n"/>
      <c r="P388" s="10" t="n"/>
      <c r="Q388" s="11" t="n"/>
      <c r="R388" s="12" t="n"/>
      <c r="S388" s="12" t="n"/>
      <c r="T388" s="13">
        <f>IF(B388="","",B388+3)</f>
        <v/>
      </c>
      <c r="U388" s="13">
        <f>IF(B388="","",B388+5)</f>
        <v/>
      </c>
      <c r="V388" s="13">
        <f>IF(B388="","",B388+10)</f>
        <v/>
      </c>
      <c r="W388" s="14">
        <f>IF(B388="","",(--(B388&lt;&gt;"")+--(C388&lt;&gt;"")+--(D388&lt;&gt;"")+--(E388&lt;&gt;"")+--(F388&lt;&gt;"")+--(G388&lt;&gt;"")+--(H388&lt;&gt;"")+--(I388&lt;&gt;"")+--(N388&lt;&gt;"")+--(O388&lt;&gt;"")+--(P388&lt;&gt;""))/11)</f>
        <v/>
      </c>
    </row>
    <row r="389">
      <c r="A389" s="7">
        <f>IF(B389="","",TEXT(B389,"yyyymmdd")&amp;"-"&amp;TEXT(ROW()-1,"000"))</f>
        <v/>
      </c>
      <c r="B389" s="8" t="n"/>
      <c r="C389" s="9" t="n"/>
      <c r="D389" s="9" t="n"/>
      <c r="E389" s="9" t="n"/>
      <c r="F389" s="9" t="n"/>
      <c r="G389" s="9" t="n"/>
      <c r="H389" s="9" t="n"/>
      <c r="I389" s="10" t="n"/>
      <c r="J389" s="11" t="n"/>
      <c r="K389" s="12" t="n"/>
      <c r="L389" s="11" t="n"/>
      <c r="M389" s="12" t="n"/>
      <c r="N389" s="9" t="n"/>
      <c r="O389" s="9" t="n"/>
      <c r="P389" s="10" t="n"/>
      <c r="Q389" s="11" t="n"/>
      <c r="R389" s="12" t="n"/>
      <c r="S389" s="12" t="n"/>
      <c r="T389" s="13">
        <f>IF(B389="","",B389+3)</f>
        <v/>
      </c>
      <c r="U389" s="13">
        <f>IF(B389="","",B389+5)</f>
        <v/>
      </c>
      <c r="V389" s="13">
        <f>IF(B389="","",B389+10)</f>
        <v/>
      </c>
      <c r="W389" s="14">
        <f>IF(B389="","",(--(B389&lt;&gt;"")+--(C389&lt;&gt;"")+--(D389&lt;&gt;"")+--(E389&lt;&gt;"")+--(F389&lt;&gt;"")+--(G389&lt;&gt;"")+--(H389&lt;&gt;"")+--(I389&lt;&gt;"")+--(N389&lt;&gt;"")+--(O389&lt;&gt;"")+--(P389&lt;&gt;""))/11)</f>
        <v/>
      </c>
    </row>
    <row r="390">
      <c r="A390" s="7">
        <f>IF(B390="","",TEXT(B390,"yyyymmdd")&amp;"-"&amp;TEXT(ROW()-1,"000"))</f>
        <v/>
      </c>
      <c r="B390" s="8" t="n"/>
      <c r="C390" s="9" t="n"/>
      <c r="D390" s="9" t="n"/>
      <c r="E390" s="9" t="n"/>
      <c r="F390" s="9" t="n"/>
      <c r="G390" s="9" t="n"/>
      <c r="H390" s="9" t="n"/>
      <c r="I390" s="10" t="n"/>
      <c r="J390" s="11" t="n"/>
      <c r="K390" s="12" t="n"/>
      <c r="L390" s="11" t="n"/>
      <c r="M390" s="12" t="n"/>
      <c r="N390" s="9" t="n"/>
      <c r="O390" s="9" t="n"/>
      <c r="P390" s="10" t="n"/>
      <c r="Q390" s="11" t="n"/>
      <c r="R390" s="12" t="n"/>
      <c r="S390" s="12" t="n"/>
      <c r="T390" s="13">
        <f>IF(B390="","",B390+3)</f>
        <v/>
      </c>
      <c r="U390" s="13">
        <f>IF(B390="","",B390+5)</f>
        <v/>
      </c>
      <c r="V390" s="13">
        <f>IF(B390="","",B390+10)</f>
        <v/>
      </c>
      <c r="W390" s="14">
        <f>IF(B390="","",(--(B390&lt;&gt;"")+--(C390&lt;&gt;"")+--(D390&lt;&gt;"")+--(E390&lt;&gt;"")+--(F390&lt;&gt;"")+--(G390&lt;&gt;"")+--(H390&lt;&gt;"")+--(I390&lt;&gt;"")+--(N390&lt;&gt;"")+--(O390&lt;&gt;"")+--(P390&lt;&gt;""))/11)</f>
        <v/>
      </c>
    </row>
    <row r="391">
      <c r="A391" s="7">
        <f>IF(B391="","",TEXT(B391,"yyyymmdd")&amp;"-"&amp;TEXT(ROW()-1,"000"))</f>
        <v/>
      </c>
      <c r="B391" s="8" t="n"/>
      <c r="C391" s="9" t="n"/>
      <c r="D391" s="9" t="n"/>
      <c r="E391" s="9" t="n"/>
      <c r="F391" s="9" t="n"/>
      <c r="G391" s="9" t="n"/>
      <c r="H391" s="9" t="n"/>
      <c r="I391" s="10" t="n"/>
      <c r="J391" s="11" t="n"/>
      <c r="K391" s="12" t="n"/>
      <c r="L391" s="11" t="n"/>
      <c r="M391" s="12" t="n"/>
      <c r="N391" s="9" t="n"/>
      <c r="O391" s="9" t="n"/>
      <c r="P391" s="10" t="n"/>
      <c r="Q391" s="11" t="n"/>
      <c r="R391" s="12" t="n"/>
      <c r="S391" s="12" t="n"/>
      <c r="T391" s="13">
        <f>IF(B391="","",B391+3)</f>
        <v/>
      </c>
      <c r="U391" s="13">
        <f>IF(B391="","",B391+5)</f>
        <v/>
      </c>
      <c r="V391" s="13">
        <f>IF(B391="","",B391+10)</f>
        <v/>
      </c>
      <c r="W391" s="14">
        <f>IF(B391="","",(--(B391&lt;&gt;"")+--(C391&lt;&gt;"")+--(D391&lt;&gt;"")+--(E391&lt;&gt;"")+--(F391&lt;&gt;"")+--(G391&lt;&gt;"")+--(H391&lt;&gt;"")+--(I391&lt;&gt;"")+--(N391&lt;&gt;"")+--(O391&lt;&gt;"")+--(P391&lt;&gt;""))/11)</f>
        <v/>
      </c>
    </row>
    <row r="392">
      <c r="A392" s="7">
        <f>IF(B392="","",TEXT(B392,"yyyymmdd")&amp;"-"&amp;TEXT(ROW()-1,"000"))</f>
        <v/>
      </c>
      <c r="B392" s="8" t="n"/>
      <c r="C392" s="9" t="n"/>
      <c r="D392" s="9" t="n"/>
      <c r="E392" s="9" t="n"/>
      <c r="F392" s="9" t="n"/>
      <c r="G392" s="9" t="n"/>
      <c r="H392" s="9" t="n"/>
      <c r="I392" s="10" t="n"/>
      <c r="J392" s="11" t="n"/>
      <c r="K392" s="12" t="n"/>
      <c r="L392" s="11" t="n"/>
      <c r="M392" s="12" t="n"/>
      <c r="N392" s="9" t="n"/>
      <c r="O392" s="9" t="n"/>
      <c r="P392" s="10" t="n"/>
      <c r="Q392" s="11" t="n"/>
      <c r="R392" s="12" t="n"/>
      <c r="S392" s="12" t="n"/>
      <c r="T392" s="13">
        <f>IF(B392="","",B392+3)</f>
        <v/>
      </c>
      <c r="U392" s="13">
        <f>IF(B392="","",B392+5)</f>
        <v/>
      </c>
      <c r="V392" s="13">
        <f>IF(B392="","",B392+10)</f>
        <v/>
      </c>
      <c r="W392" s="14">
        <f>IF(B392="","",(--(B392&lt;&gt;"")+--(C392&lt;&gt;"")+--(D392&lt;&gt;"")+--(E392&lt;&gt;"")+--(F392&lt;&gt;"")+--(G392&lt;&gt;"")+--(H392&lt;&gt;"")+--(I392&lt;&gt;"")+--(N392&lt;&gt;"")+--(O392&lt;&gt;"")+--(P392&lt;&gt;""))/11)</f>
        <v/>
      </c>
    </row>
    <row r="393">
      <c r="A393" s="7">
        <f>IF(B393="","",TEXT(B393,"yyyymmdd")&amp;"-"&amp;TEXT(ROW()-1,"000"))</f>
        <v/>
      </c>
      <c r="B393" s="8" t="n"/>
      <c r="C393" s="9" t="n"/>
      <c r="D393" s="9" t="n"/>
      <c r="E393" s="9" t="n"/>
      <c r="F393" s="9" t="n"/>
      <c r="G393" s="9" t="n"/>
      <c r="H393" s="9" t="n"/>
      <c r="I393" s="10" t="n"/>
      <c r="J393" s="11" t="n"/>
      <c r="K393" s="12" t="n"/>
      <c r="L393" s="11" t="n"/>
      <c r="M393" s="12" t="n"/>
      <c r="N393" s="9" t="n"/>
      <c r="O393" s="9" t="n"/>
      <c r="P393" s="10" t="n"/>
      <c r="Q393" s="11" t="n"/>
      <c r="R393" s="12" t="n"/>
      <c r="S393" s="12" t="n"/>
      <c r="T393" s="13">
        <f>IF(B393="","",B393+3)</f>
        <v/>
      </c>
      <c r="U393" s="13">
        <f>IF(B393="","",B393+5)</f>
        <v/>
      </c>
      <c r="V393" s="13">
        <f>IF(B393="","",B393+10)</f>
        <v/>
      </c>
      <c r="W393" s="14">
        <f>IF(B393="","",(--(B393&lt;&gt;"")+--(C393&lt;&gt;"")+--(D393&lt;&gt;"")+--(E393&lt;&gt;"")+--(F393&lt;&gt;"")+--(G393&lt;&gt;"")+--(H393&lt;&gt;"")+--(I393&lt;&gt;"")+--(N393&lt;&gt;"")+--(O393&lt;&gt;"")+--(P393&lt;&gt;""))/11)</f>
        <v/>
      </c>
    </row>
    <row r="394">
      <c r="A394" s="7">
        <f>IF(B394="","",TEXT(B394,"yyyymmdd")&amp;"-"&amp;TEXT(ROW()-1,"000"))</f>
        <v/>
      </c>
      <c r="B394" s="8" t="n"/>
      <c r="C394" s="9" t="n"/>
      <c r="D394" s="9" t="n"/>
      <c r="E394" s="9" t="n"/>
      <c r="F394" s="9" t="n"/>
      <c r="G394" s="9" t="n"/>
      <c r="H394" s="9" t="n"/>
      <c r="I394" s="10" t="n"/>
      <c r="J394" s="11" t="n"/>
      <c r="K394" s="12" t="n"/>
      <c r="L394" s="11" t="n"/>
      <c r="M394" s="12" t="n"/>
      <c r="N394" s="9" t="n"/>
      <c r="O394" s="9" t="n"/>
      <c r="P394" s="10" t="n"/>
      <c r="Q394" s="11" t="n"/>
      <c r="R394" s="12" t="n"/>
      <c r="S394" s="12" t="n"/>
      <c r="T394" s="13">
        <f>IF(B394="","",B394+3)</f>
        <v/>
      </c>
      <c r="U394" s="13">
        <f>IF(B394="","",B394+5)</f>
        <v/>
      </c>
      <c r="V394" s="13">
        <f>IF(B394="","",B394+10)</f>
        <v/>
      </c>
      <c r="W394" s="14">
        <f>IF(B394="","",(--(B394&lt;&gt;"")+--(C394&lt;&gt;"")+--(D394&lt;&gt;"")+--(E394&lt;&gt;"")+--(F394&lt;&gt;"")+--(G394&lt;&gt;"")+--(H394&lt;&gt;"")+--(I394&lt;&gt;"")+--(N394&lt;&gt;"")+--(O394&lt;&gt;"")+--(P394&lt;&gt;""))/11)</f>
        <v/>
      </c>
    </row>
    <row r="395">
      <c r="A395" s="7">
        <f>IF(B395="","",TEXT(B395,"yyyymmdd")&amp;"-"&amp;TEXT(ROW()-1,"000"))</f>
        <v/>
      </c>
      <c r="B395" s="8" t="n"/>
      <c r="C395" s="9" t="n"/>
      <c r="D395" s="9" t="n"/>
      <c r="E395" s="9" t="n"/>
      <c r="F395" s="9" t="n"/>
      <c r="G395" s="9" t="n"/>
      <c r="H395" s="9" t="n"/>
      <c r="I395" s="10" t="n"/>
      <c r="J395" s="11" t="n"/>
      <c r="K395" s="12" t="n"/>
      <c r="L395" s="11" t="n"/>
      <c r="M395" s="12" t="n"/>
      <c r="N395" s="9" t="n"/>
      <c r="O395" s="9" t="n"/>
      <c r="P395" s="10" t="n"/>
      <c r="Q395" s="11" t="n"/>
      <c r="R395" s="12" t="n"/>
      <c r="S395" s="12" t="n"/>
      <c r="T395" s="13">
        <f>IF(B395="","",B395+3)</f>
        <v/>
      </c>
      <c r="U395" s="13">
        <f>IF(B395="","",B395+5)</f>
        <v/>
      </c>
      <c r="V395" s="13">
        <f>IF(B395="","",B395+10)</f>
        <v/>
      </c>
      <c r="W395" s="14">
        <f>IF(B395="","",(--(B395&lt;&gt;"")+--(C395&lt;&gt;"")+--(D395&lt;&gt;"")+--(E395&lt;&gt;"")+--(F395&lt;&gt;"")+--(G395&lt;&gt;"")+--(H395&lt;&gt;"")+--(I395&lt;&gt;"")+--(N395&lt;&gt;"")+--(O395&lt;&gt;"")+--(P395&lt;&gt;""))/11)</f>
        <v/>
      </c>
    </row>
    <row r="396">
      <c r="A396" s="7">
        <f>IF(B396="","",TEXT(B396,"yyyymmdd")&amp;"-"&amp;TEXT(ROW()-1,"000"))</f>
        <v/>
      </c>
      <c r="B396" s="8" t="n"/>
      <c r="C396" s="9" t="n"/>
      <c r="D396" s="9" t="n"/>
      <c r="E396" s="9" t="n"/>
      <c r="F396" s="9" t="n"/>
      <c r="G396" s="9" t="n"/>
      <c r="H396" s="9" t="n"/>
      <c r="I396" s="10" t="n"/>
      <c r="J396" s="11" t="n"/>
      <c r="K396" s="12" t="n"/>
      <c r="L396" s="11" t="n"/>
      <c r="M396" s="12" t="n"/>
      <c r="N396" s="9" t="n"/>
      <c r="O396" s="9" t="n"/>
      <c r="P396" s="10" t="n"/>
      <c r="Q396" s="11" t="n"/>
      <c r="R396" s="12" t="n"/>
      <c r="S396" s="12" t="n"/>
      <c r="T396" s="13">
        <f>IF(B396="","",B396+3)</f>
        <v/>
      </c>
      <c r="U396" s="13">
        <f>IF(B396="","",B396+5)</f>
        <v/>
      </c>
      <c r="V396" s="13">
        <f>IF(B396="","",B396+10)</f>
        <v/>
      </c>
      <c r="W396" s="14">
        <f>IF(B396="","",(--(B396&lt;&gt;"")+--(C396&lt;&gt;"")+--(D396&lt;&gt;"")+--(E396&lt;&gt;"")+--(F396&lt;&gt;"")+--(G396&lt;&gt;"")+--(H396&lt;&gt;"")+--(I396&lt;&gt;"")+--(N396&lt;&gt;"")+--(O396&lt;&gt;"")+--(P396&lt;&gt;""))/11)</f>
        <v/>
      </c>
    </row>
    <row r="397">
      <c r="A397" s="7">
        <f>IF(B397="","",TEXT(B397,"yyyymmdd")&amp;"-"&amp;TEXT(ROW()-1,"000"))</f>
        <v/>
      </c>
      <c r="B397" s="8" t="n"/>
      <c r="C397" s="9" t="n"/>
      <c r="D397" s="9" t="n"/>
      <c r="E397" s="9" t="n"/>
      <c r="F397" s="9" t="n"/>
      <c r="G397" s="9" t="n"/>
      <c r="H397" s="9" t="n"/>
      <c r="I397" s="10" t="n"/>
      <c r="J397" s="11" t="n"/>
      <c r="K397" s="12" t="n"/>
      <c r="L397" s="11" t="n"/>
      <c r="M397" s="12" t="n"/>
      <c r="N397" s="9" t="n"/>
      <c r="O397" s="9" t="n"/>
      <c r="P397" s="10" t="n"/>
      <c r="Q397" s="11" t="n"/>
      <c r="R397" s="12" t="n"/>
      <c r="S397" s="12" t="n"/>
      <c r="T397" s="13">
        <f>IF(B397="","",B397+3)</f>
        <v/>
      </c>
      <c r="U397" s="13">
        <f>IF(B397="","",B397+5)</f>
        <v/>
      </c>
      <c r="V397" s="13">
        <f>IF(B397="","",B397+10)</f>
        <v/>
      </c>
      <c r="W397" s="14">
        <f>IF(B397="","",(--(B397&lt;&gt;"")+--(C397&lt;&gt;"")+--(D397&lt;&gt;"")+--(E397&lt;&gt;"")+--(F397&lt;&gt;"")+--(G397&lt;&gt;"")+--(H397&lt;&gt;"")+--(I397&lt;&gt;"")+--(N397&lt;&gt;"")+--(O397&lt;&gt;"")+--(P397&lt;&gt;""))/11)</f>
        <v/>
      </c>
    </row>
    <row r="398">
      <c r="A398" s="7">
        <f>IF(B398="","",TEXT(B398,"yyyymmdd")&amp;"-"&amp;TEXT(ROW()-1,"000"))</f>
        <v/>
      </c>
      <c r="B398" s="8" t="n"/>
      <c r="C398" s="9" t="n"/>
      <c r="D398" s="9" t="n"/>
      <c r="E398" s="9" t="n"/>
      <c r="F398" s="9" t="n"/>
      <c r="G398" s="9" t="n"/>
      <c r="H398" s="9" t="n"/>
      <c r="I398" s="10" t="n"/>
      <c r="J398" s="11" t="n"/>
      <c r="K398" s="12" t="n"/>
      <c r="L398" s="11" t="n"/>
      <c r="M398" s="12" t="n"/>
      <c r="N398" s="9" t="n"/>
      <c r="O398" s="9" t="n"/>
      <c r="P398" s="10" t="n"/>
      <c r="Q398" s="11" t="n"/>
      <c r="R398" s="12" t="n"/>
      <c r="S398" s="12" t="n"/>
      <c r="T398" s="13">
        <f>IF(B398="","",B398+3)</f>
        <v/>
      </c>
      <c r="U398" s="13">
        <f>IF(B398="","",B398+5)</f>
        <v/>
      </c>
      <c r="V398" s="13">
        <f>IF(B398="","",B398+10)</f>
        <v/>
      </c>
      <c r="W398" s="14">
        <f>IF(B398="","",(--(B398&lt;&gt;"")+--(C398&lt;&gt;"")+--(D398&lt;&gt;"")+--(E398&lt;&gt;"")+--(F398&lt;&gt;"")+--(G398&lt;&gt;"")+--(H398&lt;&gt;"")+--(I398&lt;&gt;"")+--(N398&lt;&gt;"")+--(O398&lt;&gt;"")+--(P398&lt;&gt;""))/11)</f>
        <v/>
      </c>
    </row>
    <row r="399">
      <c r="A399" s="7">
        <f>IF(B399="","",TEXT(B399,"yyyymmdd")&amp;"-"&amp;TEXT(ROW()-1,"000"))</f>
        <v/>
      </c>
      <c r="B399" s="8" t="n"/>
      <c r="C399" s="9" t="n"/>
      <c r="D399" s="9" t="n"/>
      <c r="E399" s="9" t="n"/>
      <c r="F399" s="9" t="n"/>
      <c r="G399" s="9" t="n"/>
      <c r="H399" s="9" t="n"/>
      <c r="I399" s="10" t="n"/>
      <c r="J399" s="11" t="n"/>
      <c r="K399" s="12" t="n"/>
      <c r="L399" s="11" t="n"/>
      <c r="M399" s="12" t="n"/>
      <c r="N399" s="9" t="n"/>
      <c r="O399" s="9" t="n"/>
      <c r="P399" s="10" t="n"/>
      <c r="Q399" s="11" t="n"/>
      <c r="R399" s="12" t="n"/>
      <c r="S399" s="12" t="n"/>
      <c r="T399" s="13">
        <f>IF(B399="","",B399+3)</f>
        <v/>
      </c>
      <c r="U399" s="13">
        <f>IF(B399="","",B399+5)</f>
        <v/>
      </c>
      <c r="V399" s="13">
        <f>IF(B399="","",B399+10)</f>
        <v/>
      </c>
      <c r="W399" s="14">
        <f>IF(B399="","",(--(B399&lt;&gt;"")+--(C399&lt;&gt;"")+--(D399&lt;&gt;"")+--(E399&lt;&gt;"")+--(F399&lt;&gt;"")+--(G399&lt;&gt;"")+--(H399&lt;&gt;"")+--(I399&lt;&gt;"")+--(N399&lt;&gt;"")+--(O399&lt;&gt;"")+--(P399&lt;&gt;""))/11)</f>
        <v/>
      </c>
    </row>
    <row r="400">
      <c r="A400" s="7">
        <f>IF(B400="","",TEXT(B400,"yyyymmdd")&amp;"-"&amp;TEXT(ROW()-1,"000"))</f>
        <v/>
      </c>
      <c r="B400" s="8" t="n"/>
      <c r="C400" s="9" t="n"/>
      <c r="D400" s="9" t="n"/>
      <c r="E400" s="9" t="n"/>
      <c r="F400" s="9" t="n"/>
      <c r="G400" s="9" t="n"/>
      <c r="H400" s="9" t="n"/>
      <c r="I400" s="10" t="n"/>
      <c r="J400" s="11" t="n"/>
      <c r="K400" s="12" t="n"/>
      <c r="L400" s="11" t="n"/>
      <c r="M400" s="12" t="n"/>
      <c r="N400" s="9" t="n"/>
      <c r="O400" s="9" t="n"/>
      <c r="P400" s="10" t="n"/>
      <c r="Q400" s="11" t="n"/>
      <c r="R400" s="12" t="n"/>
      <c r="S400" s="12" t="n"/>
      <c r="T400" s="13">
        <f>IF(B400="","",B400+3)</f>
        <v/>
      </c>
      <c r="U400" s="13">
        <f>IF(B400="","",B400+5)</f>
        <v/>
      </c>
      <c r="V400" s="13">
        <f>IF(B400="","",B400+10)</f>
        <v/>
      </c>
      <c r="W400" s="14">
        <f>IF(B400="","",(--(B400&lt;&gt;"")+--(C400&lt;&gt;"")+--(D400&lt;&gt;"")+--(E400&lt;&gt;"")+--(F400&lt;&gt;"")+--(G400&lt;&gt;"")+--(H400&lt;&gt;"")+--(I400&lt;&gt;"")+--(N400&lt;&gt;"")+--(O400&lt;&gt;"")+--(P400&lt;&gt;""))/11)</f>
        <v/>
      </c>
    </row>
    <row r="401">
      <c r="A401" s="7">
        <f>IF(B401="","",TEXT(B401,"yyyymmdd")&amp;"-"&amp;TEXT(ROW()-1,"000"))</f>
        <v/>
      </c>
      <c r="B401" s="8" t="n"/>
      <c r="C401" s="9" t="n"/>
      <c r="D401" s="9" t="n"/>
      <c r="E401" s="9" t="n"/>
      <c r="F401" s="9" t="n"/>
      <c r="G401" s="9" t="n"/>
      <c r="H401" s="9" t="n"/>
      <c r="I401" s="10" t="n"/>
      <c r="J401" s="11" t="n"/>
      <c r="K401" s="12" t="n"/>
      <c r="L401" s="11" t="n"/>
      <c r="M401" s="12" t="n"/>
      <c r="N401" s="9" t="n"/>
      <c r="O401" s="9" t="n"/>
      <c r="P401" s="10" t="n"/>
      <c r="Q401" s="11" t="n"/>
      <c r="R401" s="12" t="n"/>
      <c r="S401" s="12" t="n"/>
      <c r="T401" s="13">
        <f>IF(B401="","",B401+3)</f>
        <v/>
      </c>
      <c r="U401" s="13">
        <f>IF(B401="","",B401+5)</f>
        <v/>
      </c>
      <c r="V401" s="13">
        <f>IF(B401="","",B401+10)</f>
        <v/>
      </c>
      <c r="W401" s="14">
        <f>IF(B401="","",(--(B401&lt;&gt;"")+--(C401&lt;&gt;"")+--(D401&lt;&gt;"")+--(E401&lt;&gt;"")+--(F401&lt;&gt;"")+--(G401&lt;&gt;"")+--(H401&lt;&gt;"")+--(I401&lt;&gt;"")+--(N401&lt;&gt;"")+--(O401&lt;&gt;"")+--(P401&lt;&gt;""))/11)</f>
        <v/>
      </c>
    </row>
    <row r="402">
      <c r="A402" s="7">
        <f>IF(B402="","",TEXT(B402,"yyyymmdd")&amp;"-"&amp;TEXT(ROW()-1,"000"))</f>
        <v/>
      </c>
      <c r="B402" s="8" t="n"/>
      <c r="C402" s="9" t="n"/>
      <c r="D402" s="9" t="n"/>
      <c r="E402" s="9" t="n"/>
      <c r="F402" s="9" t="n"/>
      <c r="G402" s="9" t="n"/>
      <c r="H402" s="9" t="n"/>
      <c r="I402" s="10" t="n"/>
      <c r="J402" s="11" t="n"/>
      <c r="K402" s="12" t="n"/>
      <c r="L402" s="11" t="n"/>
      <c r="M402" s="12" t="n"/>
      <c r="N402" s="9" t="n"/>
      <c r="O402" s="9" t="n"/>
      <c r="P402" s="10" t="n"/>
      <c r="Q402" s="11" t="n"/>
      <c r="R402" s="12" t="n"/>
      <c r="S402" s="12" t="n"/>
      <c r="T402" s="13">
        <f>IF(B402="","",B402+3)</f>
        <v/>
      </c>
      <c r="U402" s="13">
        <f>IF(B402="","",B402+5)</f>
        <v/>
      </c>
      <c r="V402" s="13">
        <f>IF(B402="","",B402+10)</f>
        <v/>
      </c>
      <c r="W402" s="14">
        <f>IF(B402="","",(--(B402&lt;&gt;"")+--(C402&lt;&gt;"")+--(D402&lt;&gt;"")+--(E402&lt;&gt;"")+--(F402&lt;&gt;"")+--(G402&lt;&gt;"")+--(H402&lt;&gt;"")+--(I402&lt;&gt;"")+--(N402&lt;&gt;"")+--(O402&lt;&gt;"")+--(P402&lt;&gt;""))/11)</f>
        <v/>
      </c>
    </row>
    <row r="403">
      <c r="A403" s="7">
        <f>IF(B403="","",TEXT(B403,"yyyymmdd")&amp;"-"&amp;TEXT(ROW()-1,"000"))</f>
        <v/>
      </c>
      <c r="B403" s="8" t="n"/>
      <c r="C403" s="9" t="n"/>
      <c r="D403" s="9" t="n"/>
      <c r="E403" s="9" t="n"/>
      <c r="F403" s="9" t="n"/>
      <c r="G403" s="9" t="n"/>
      <c r="H403" s="9" t="n"/>
      <c r="I403" s="10" t="n"/>
      <c r="J403" s="11" t="n"/>
      <c r="K403" s="12" t="n"/>
      <c r="L403" s="11" t="n"/>
      <c r="M403" s="12" t="n"/>
      <c r="N403" s="9" t="n"/>
      <c r="O403" s="9" t="n"/>
      <c r="P403" s="10" t="n"/>
      <c r="Q403" s="11" t="n"/>
      <c r="R403" s="12" t="n"/>
      <c r="S403" s="12" t="n"/>
      <c r="T403" s="13">
        <f>IF(B403="","",B403+3)</f>
        <v/>
      </c>
      <c r="U403" s="13">
        <f>IF(B403="","",B403+5)</f>
        <v/>
      </c>
      <c r="V403" s="13">
        <f>IF(B403="","",B403+10)</f>
        <v/>
      </c>
      <c r="W403" s="14">
        <f>IF(B403="","",(--(B403&lt;&gt;"")+--(C403&lt;&gt;"")+--(D403&lt;&gt;"")+--(E403&lt;&gt;"")+--(F403&lt;&gt;"")+--(G403&lt;&gt;"")+--(H403&lt;&gt;"")+--(I403&lt;&gt;"")+--(N403&lt;&gt;"")+--(O403&lt;&gt;"")+--(P403&lt;&gt;""))/11)</f>
        <v/>
      </c>
    </row>
    <row r="404">
      <c r="A404" s="7">
        <f>IF(B404="","",TEXT(B404,"yyyymmdd")&amp;"-"&amp;TEXT(ROW()-1,"000"))</f>
        <v/>
      </c>
      <c r="B404" s="8" t="n"/>
      <c r="C404" s="9" t="n"/>
      <c r="D404" s="9" t="n"/>
      <c r="E404" s="9" t="n"/>
      <c r="F404" s="9" t="n"/>
      <c r="G404" s="9" t="n"/>
      <c r="H404" s="9" t="n"/>
      <c r="I404" s="10" t="n"/>
      <c r="J404" s="11" t="n"/>
      <c r="K404" s="12" t="n"/>
      <c r="L404" s="11" t="n"/>
      <c r="M404" s="12" t="n"/>
      <c r="N404" s="9" t="n"/>
      <c r="O404" s="9" t="n"/>
      <c r="P404" s="10" t="n"/>
      <c r="Q404" s="11" t="n"/>
      <c r="R404" s="12" t="n"/>
      <c r="S404" s="12" t="n"/>
      <c r="T404" s="13">
        <f>IF(B404="","",B404+3)</f>
        <v/>
      </c>
      <c r="U404" s="13">
        <f>IF(B404="","",B404+5)</f>
        <v/>
      </c>
      <c r="V404" s="13">
        <f>IF(B404="","",B404+10)</f>
        <v/>
      </c>
      <c r="W404" s="14">
        <f>IF(B404="","",(--(B404&lt;&gt;"")+--(C404&lt;&gt;"")+--(D404&lt;&gt;"")+--(E404&lt;&gt;"")+--(F404&lt;&gt;"")+--(G404&lt;&gt;"")+--(H404&lt;&gt;"")+--(I404&lt;&gt;"")+--(N404&lt;&gt;"")+--(O404&lt;&gt;"")+--(P404&lt;&gt;""))/11)</f>
        <v/>
      </c>
    </row>
    <row r="405">
      <c r="A405" s="7">
        <f>IF(B405="","",TEXT(B405,"yyyymmdd")&amp;"-"&amp;TEXT(ROW()-1,"000"))</f>
        <v/>
      </c>
      <c r="B405" s="8" t="n"/>
      <c r="C405" s="9" t="n"/>
      <c r="D405" s="9" t="n"/>
      <c r="E405" s="9" t="n"/>
      <c r="F405" s="9" t="n"/>
      <c r="G405" s="9" t="n"/>
      <c r="H405" s="9" t="n"/>
      <c r="I405" s="10" t="n"/>
      <c r="J405" s="11" t="n"/>
      <c r="K405" s="12" t="n"/>
      <c r="L405" s="11" t="n"/>
      <c r="M405" s="12" t="n"/>
      <c r="N405" s="9" t="n"/>
      <c r="O405" s="9" t="n"/>
      <c r="P405" s="10" t="n"/>
      <c r="Q405" s="11" t="n"/>
      <c r="R405" s="12" t="n"/>
      <c r="S405" s="12" t="n"/>
      <c r="T405" s="13">
        <f>IF(B405="","",B405+3)</f>
        <v/>
      </c>
      <c r="U405" s="13">
        <f>IF(B405="","",B405+5)</f>
        <v/>
      </c>
      <c r="V405" s="13">
        <f>IF(B405="","",B405+10)</f>
        <v/>
      </c>
      <c r="W405" s="14">
        <f>IF(B405="","",(--(B405&lt;&gt;"")+--(C405&lt;&gt;"")+--(D405&lt;&gt;"")+--(E405&lt;&gt;"")+--(F405&lt;&gt;"")+--(G405&lt;&gt;"")+--(H405&lt;&gt;"")+--(I405&lt;&gt;"")+--(N405&lt;&gt;"")+--(O405&lt;&gt;"")+--(P405&lt;&gt;""))/11)</f>
        <v/>
      </c>
    </row>
    <row r="406">
      <c r="A406" s="7">
        <f>IF(B406="","",TEXT(B406,"yyyymmdd")&amp;"-"&amp;TEXT(ROW()-1,"000"))</f>
        <v/>
      </c>
      <c r="B406" s="8" t="n"/>
      <c r="C406" s="9" t="n"/>
      <c r="D406" s="9" t="n"/>
      <c r="E406" s="9" t="n"/>
      <c r="F406" s="9" t="n"/>
      <c r="G406" s="9" t="n"/>
      <c r="H406" s="9" t="n"/>
      <c r="I406" s="10" t="n"/>
      <c r="J406" s="11" t="n"/>
      <c r="K406" s="12" t="n"/>
      <c r="L406" s="11" t="n"/>
      <c r="M406" s="12" t="n"/>
      <c r="N406" s="9" t="n"/>
      <c r="O406" s="9" t="n"/>
      <c r="P406" s="10" t="n"/>
      <c r="Q406" s="11" t="n"/>
      <c r="R406" s="12" t="n"/>
      <c r="S406" s="12" t="n"/>
      <c r="T406" s="13">
        <f>IF(B406="","",B406+3)</f>
        <v/>
      </c>
      <c r="U406" s="13">
        <f>IF(B406="","",B406+5)</f>
        <v/>
      </c>
      <c r="V406" s="13">
        <f>IF(B406="","",B406+10)</f>
        <v/>
      </c>
      <c r="W406" s="14">
        <f>IF(B406="","",(--(B406&lt;&gt;"")+--(C406&lt;&gt;"")+--(D406&lt;&gt;"")+--(E406&lt;&gt;"")+--(F406&lt;&gt;"")+--(G406&lt;&gt;"")+--(H406&lt;&gt;"")+--(I406&lt;&gt;"")+--(N406&lt;&gt;"")+--(O406&lt;&gt;"")+--(P406&lt;&gt;""))/11)</f>
        <v/>
      </c>
    </row>
    <row r="407">
      <c r="A407" s="7">
        <f>IF(B407="","",TEXT(B407,"yyyymmdd")&amp;"-"&amp;TEXT(ROW()-1,"000"))</f>
        <v/>
      </c>
      <c r="B407" s="8" t="n"/>
      <c r="C407" s="9" t="n"/>
      <c r="D407" s="9" t="n"/>
      <c r="E407" s="9" t="n"/>
      <c r="F407" s="9" t="n"/>
      <c r="G407" s="9" t="n"/>
      <c r="H407" s="9" t="n"/>
      <c r="I407" s="10" t="n"/>
      <c r="J407" s="11" t="n"/>
      <c r="K407" s="12" t="n"/>
      <c r="L407" s="11" t="n"/>
      <c r="M407" s="12" t="n"/>
      <c r="N407" s="9" t="n"/>
      <c r="O407" s="9" t="n"/>
      <c r="P407" s="10" t="n"/>
      <c r="Q407" s="11" t="n"/>
      <c r="R407" s="12" t="n"/>
      <c r="S407" s="12" t="n"/>
      <c r="T407" s="13">
        <f>IF(B407="","",B407+3)</f>
        <v/>
      </c>
      <c r="U407" s="13">
        <f>IF(B407="","",B407+5)</f>
        <v/>
      </c>
      <c r="V407" s="13">
        <f>IF(B407="","",B407+10)</f>
        <v/>
      </c>
      <c r="W407" s="14">
        <f>IF(B407="","",(--(B407&lt;&gt;"")+--(C407&lt;&gt;"")+--(D407&lt;&gt;"")+--(E407&lt;&gt;"")+--(F407&lt;&gt;"")+--(G407&lt;&gt;"")+--(H407&lt;&gt;"")+--(I407&lt;&gt;"")+--(N407&lt;&gt;"")+--(O407&lt;&gt;"")+--(P407&lt;&gt;""))/11)</f>
        <v/>
      </c>
    </row>
    <row r="408">
      <c r="A408" s="7">
        <f>IF(B408="","",TEXT(B408,"yyyymmdd")&amp;"-"&amp;TEXT(ROW()-1,"000"))</f>
        <v/>
      </c>
      <c r="B408" s="8" t="n"/>
      <c r="C408" s="9" t="n"/>
      <c r="D408" s="9" t="n"/>
      <c r="E408" s="9" t="n"/>
      <c r="F408" s="9" t="n"/>
      <c r="G408" s="9" t="n"/>
      <c r="H408" s="9" t="n"/>
      <c r="I408" s="10" t="n"/>
      <c r="J408" s="11" t="n"/>
      <c r="K408" s="12" t="n"/>
      <c r="L408" s="11" t="n"/>
      <c r="M408" s="12" t="n"/>
      <c r="N408" s="9" t="n"/>
      <c r="O408" s="9" t="n"/>
      <c r="P408" s="10" t="n"/>
      <c r="Q408" s="11" t="n"/>
      <c r="R408" s="12" t="n"/>
      <c r="S408" s="12" t="n"/>
      <c r="T408" s="13">
        <f>IF(B408="","",B408+3)</f>
        <v/>
      </c>
      <c r="U408" s="13">
        <f>IF(B408="","",B408+5)</f>
        <v/>
      </c>
      <c r="V408" s="13">
        <f>IF(B408="","",B408+10)</f>
        <v/>
      </c>
      <c r="W408" s="14">
        <f>IF(B408="","",(--(B408&lt;&gt;"")+--(C408&lt;&gt;"")+--(D408&lt;&gt;"")+--(E408&lt;&gt;"")+--(F408&lt;&gt;"")+--(G408&lt;&gt;"")+--(H408&lt;&gt;"")+--(I408&lt;&gt;"")+--(N408&lt;&gt;"")+--(O408&lt;&gt;"")+--(P408&lt;&gt;""))/11)</f>
        <v/>
      </c>
    </row>
    <row r="409">
      <c r="A409" s="7">
        <f>IF(B409="","",TEXT(B409,"yyyymmdd")&amp;"-"&amp;TEXT(ROW()-1,"000"))</f>
        <v/>
      </c>
      <c r="B409" s="8" t="n"/>
      <c r="C409" s="9" t="n"/>
      <c r="D409" s="9" t="n"/>
      <c r="E409" s="9" t="n"/>
      <c r="F409" s="9" t="n"/>
      <c r="G409" s="9" t="n"/>
      <c r="H409" s="9" t="n"/>
      <c r="I409" s="10" t="n"/>
      <c r="J409" s="11" t="n"/>
      <c r="K409" s="12" t="n"/>
      <c r="L409" s="11" t="n"/>
      <c r="M409" s="12" t="n"/>
      <c r="N409" s="9" t="n"/>
      <c r="O409" s="9" t="n"/>
      <c r="P409" s="10" t="n"/>
      <c r="Q409" s="11" t="n"/>
      <c r="R409" s="12" t="n"/>
      <c r="S409" s="12" t="n"/>
      <c r="T409" s="13">
        <f>IF(B409="","",B409+3)</f>
        <v/>
      </c>
      <c r="U409" s="13">
        <f>IF(B409="","",B409+5)</f>
        <v/>
      </c>
      <c r="V409" s="13">
        <f>IF(B409="","",B409+10)</f>
        <v/>
      </c>
      <c r="W409" s="14">
        <f>IF(B409="","",(--(B409&lt;&gt;"")+--(C409&lt;&gt;"")+--(D409&lt;&gt;"")+--(E409&lt;&gt;"")+--(F409&lt;&gt;"")+--(G409&lt;&gt;"")+--(H409&lt;&gt;"")+--(I409&lt;&gt;"")+--(N409&lt;&gt;"")+--(O409&lt;&gt;"")+--(P409&lt;&gt;""))/11)</f>
        <v/>
      </c>
    </row>
    <row r="410">
      <c r="A410" s="7">
        <f>IF(B410="","",TEXT(B410,"yyyymmdd")&amp;"-"&amp;TEXT(ROW()-1,"000"))</f>
        <v/>
      </c>
      <c r="B410" s="8" t="n"/>
      <c r="C410" s="9" t="n"/>
      <c r="D410" s="9" t="n"/>
      <c r="E410" s="9" t="n"/>
      <c r="F410" s="9" t="n"/>
      <c r="G410" s="9" t="n"/>
      <c r="H410" s="9" t="n"/>
      <c r="I410" s="10" t="n"/>
      <c r="J410" s="11" t="n"/>
      <c r="K410" s="12" t="n"/>
      <c r="L410" s="11" t="n"/>
      <c r="M410" s="12" t="n"/>
      <c r="N410" s="9" t="n"/>
      <c r="O410" s="9" t="n"/>
      <c r="P410" s="10" t="n"/>
      <c r="Q410" s="11" t="n"/>
      <c r="R410" s="12" t="n"/>
      <c r="S410" s="12" t="n"/>
      <c r="T410" s="13">
        <f>IF(B410="","",B410+3)</f>
        <v/>
      </c>
      <c r="U410" s="13">
        <f>IF(B410="","",B410+5)</f>
        <v/>
      </c>
      <c r="V410" s="13">
        <f>IF(B410="","",B410+10)</f>
        <v/>
      </c>
      <c r="W410" s="14">
        <f>IF(B410="","",(--(B410&lt;&gt;"")+--(C410&lt;&gt;"")+--(D410&lt;&gt;"")+--(E410&lt;&gt;"")+--(F410&lt;&gt;"")+--(G410&lt;&gt;"")+--(H410&lt;&gt;"")+--(I410&lt;&gt;"")+--(N410&lt;&gt;"")+--(O410&lt;&gt;"")+--(P410&lt;&gt;""))/11)</f>
        <v/>
      </c>
    </row>
    <row r="411">
      <c r="A411" s="7">
        <f>IF(B411="","",TEXT(B411,"yyyymmdd")&amp;"-"&amp;TEXT(ROW()-1,"000"))</f>
        <v/>
      </c>
      <c r="B411" s="8" t="n"/>
      <c r="C411" s="9" t="n"/>
      <c r="D411" s="9" t="n"/>
      <c r="E411" s="9" t="n"/>
      <c r="F411" s="9" t="n"/>
      <c r="G411" s="9" t="n"/>
      <c r="H411" s="9" t="n"/>
      <c r="I411" s="10" t="n"/>
      <c r="J411" s="11" t="n"/>
      <c r="K411" s="12" t="n"/>
      <c r="L411" s="11" t="n"/>
      <c r="M411" s="12" t="n"/>
      <c r="N411" s="9" t="n"/>
      <c r="O411" s="9" t="n"/>
      <c r="P411" s="10" t="n"/>
      <c r="Q411" s="11" t="n"/>
      <c r="R411" s="12" t="n"/>
      <c r="S411" s="12" t="n"/>
      <c r="T411" s="13">
        <f>IF(B411="","",B411+3)</f>
        <v/>
      </c>
      <c r="U411" s="13">
        <f>IF(B411="","",B411+5)</f>
        <v/>
      </c>
      <c r="V411" s="13">
        <f>IF(B411="","",B411+10)</f>
        <v/>
      </c>
      <c r="W411" s="14">
        <f>IF(B411="","",(--(B411&lt;&gt;"")+--(C411&lt;&gt;"")+--(D411&lt;&gt;"")+--(E411&lt;&gt;"")+--(F411&lt;&gt;"")+--(G411&lt;&gt;"")+--(H411&lt;&gt;"")+--(I411&lt;&gt;"")+--(N411&lt;&gt;"")+--(O411&lt;&gt;"")+--(P411&lt;&gt;""))/11)</f>
        <v/>
      </c>
    </row>
    <row r="412">
      <c r="A412" s="7">
        <f>IF(B412="","",TEXT(B412,"yyyymmdd")&amp;"-"&amp;TEXT(ROW()-1,"000"))</f>
        <v/>
      </c>
      <c r="B412" s="8" t="n"/>
      <c r="C412" s="9" t="n"/>
      <c r="D412" s="9" t="n"/>
      <c r="E412" s="9" t="n"/>
      <c r="F412" s="9" t="n"/>
      <c r="G412" s="9" t="n"/>
      <c r="H412" s="9" t="n"/>
      <c r="I412" s="10" t="n"/>
      <c r="J412" s="11" t="n"/>
      <c r="K412" s="12" t="n"/>
      <c r="L412" s="11" t="n"/>
      <c r="M412" s="12" t="n"/>
      <c r="N412" s="9" t="n"/>
      <c r="O412" s="9" t="n"/>
      <c r="P412" s="10" t="n"/>
      <c r="Q412" s="11" t="n"/>
      <c r="R412" s="12" t="n"/>
      <c r="S412" s="12" t="n"/>
      <c r="T412" s="13">
        <f>IF(B412="","",B412+3)</f>
        <v/>
      </c>
      <c r="U412" s="13">
        <f>IF(B412="","",B412+5)</f>
        <v/>
      </c>
      <c r="V412" s="13">
        <f>IF(B412="","",B412+10)</f>
        <v/>
      </c>
      <c r="W412" s="14">
        <f>IF(B412="","",(--(B412&lt;&gt;"")+--(C412&lt;&gt;"")+--(D412&lt;&gt;"")+--(E412&lt;&gt;"")+--(F412&lt;&gt;"")+--(G412&lt;&gt;"")+--(H412&lt;&gt;"")+--(I412&lt;&gt;"")+--(N412&lt;&gt;"")+--(O412&lt;&gt;"")+--(P412&lt;&gt;""))/11)</f>
        <v/>
      </c>
    </row>
    <row r="413">
      <c r="A413" s="7">
        <f>IF(B413="","",TEXT(B413,"yyyymmdd")&amp;"-"&amp;TEXT(ROW()-1,"000"))</f>
        <v/>
      </c>
      <c r="B413" s="8" t="n"/>
      <c r="C413" s="9" t="n"/>
      <c r="D413" s="9" t="n"/>
      <c r="E413" s="9" t="n"/>
      <c r="F413" s="9" t="n"/>
      <c r="G413" s="9" t="n"/>
      <c r="H413" s="9" t="n"/>
      <c r="I413" s="10" t="n"/>
      <c r="J413" s="11" t="n"/>
      <c r="K413" s="12" t="n"/>
      <c r="L413" s="11" t="n"/>
      <c r="M413" s="12" t="n"/>
      <c r="N413" s="9" t="n"/>
      <c r="O413" s="9" t="n"/>
      <c r="P413" s="10" t="n"/>
      <c r="Q413" s="11" t="n"/>
      <c r="R413" s="12" t="n"/>
      <c r="S413" s="12" t="n"/>
      <c r="T413" s="13">
        <f>IF(B413="","",B413+3)</f>
        <v/>
      </c>
      <c r="U413" s="13">
        <f>IF(B413="","",B413+5)</f>
        <v/>
      </c>
      <c r="V413" s="13">
        <f>IF(B413="","",B413+10)</f>
        <v/>
      </c>
      <c r="W413" s="14">
        <f>IF(B413="","",(--(B413&lt;&gt;"")+--(C413&lt;&gt;"")+--(D413&lt;&gt;"")+--(E413&lt;&gt;"")+--(F413&lt;&gt;"")+--(G413&lt;&gt;"")+--(H413&lt;&gt;"")+--(I413&lt;&gt;"")+--(N413&lt;&gt;"")+--(O413&lt;&gt;"")+--(P413&lt;&gt;""))/11)</f>
        <v/>
      </c>
    </row>
    <row r="414">
      <c r="A414" s="7">
        <f>IF(B414="","",TEXT(B414,"yyyymmdd")&amp;"-"&amp;TEXT(ROW()-1,"000"))</f>
        <v/>
      </c>
      <c r="B414" s="8" t="n"/>
      <c r="C414" s="9" t="n"/>
      <c r="D414" s="9" t="n"/>
      <c r="E414" s="9" t="n"/>
      <c r="F414" s="9" t="n"/>
      <c r="G414" s="9" t="n"/>
      <c r="H414" s="9" t="n"/>
      <c r="I414" s="10" t="n"/>
      <c r="J414" s="11" t="n"/>
      <c r="K414" s="12" t="n"/>
      <c r="L414" s="11" t="n"/>
      <c r="M414" s="12" t="n"/>
      <c r="N414" s="9" t="n"/>
      <c r="O414" s="9" t="n"/>
      <c r="P414" s="10" t="n"/>
      <c r="Q414" s="11" t="n"/>
      <c r="R414" s="12" t="n"/>
      <c r="S414" s="12" t="n"/>
      <c r="T414" s="13">
        <f>IF(B414="","",B414+3)</f>
        <v/>
      </c>
      <c r="U414" s="13">
        <f>IF(B414="","",B414+5)</f>
        <v/>
      </c>
      <c r="V414" s="13">
        <f>IF(B414="","",B414+10)</f>
        <v/>
      </c>
      <c r="W414" s="14">
        <f>IF(B414="","",(--(B414&lt;&gt;"")+--(C414&lt;&gt;"")+--(D414&lt;&gt;"")+--(E414&lt;&gt;"")+--(F414&lt;&gt;"")+--(G414&lt;&gt;"")+--(H414&lt;&gt;"")+--(I414&lt;&gt;"")+--(N414&lt;&gt;"")+--(O414&lt;&gt;"")+--(P414&lt;&gt;""))/11)</f>
        <v/>
      </c>
    </row>
    <row r="415">
      <c r="A415" s="7">
        <f>IF(B415="","",TEXT(B415,"yyyymmdd")&amp;"-"&amp;TEXT(ROW()-1,"000"))</f>
        <v/>
      </c>
      <c r="B415" s="8" t="n"/>
      <c r="C415" s="9" t="n"/>
      <c r="D415" s="9" t="n"/>
      <c r="E415" s="9" t="n"/>
      <c r="F415" s="9" t="n"/>
      <c r="G415" s="9" t="n"/>
      <c r="H415" s="9" t="n"/>
      <c r="I415" s="10" t="n"/>
      <c r="J415" s="11" t="n"/>
      <c r="K415" s="12" t="n"/>
      <c r="L415" s="11" t="n"/>
      <c r="M415" s="12" t="n"/>
      <c r="N415" s="9" t="n"/>
      <c r="O415" s="9" t="n"/>
      <c r="P415" s="10" t="n"/>
      <c r="Q415" s="11" t="n"/>
      <c r="R415" s="12" t="n"/>
      <c r="S415" s="12" t="n"/>
      <c r="T415" s="13">
        <f>IF(B415="","",B415+3)</f>
        <v/>
      </c>
      <c r="U415" s="13">
        <f>IF(B415="","",B415+5)</f>
        <v/>
      </c>
      <c r="V415" s="13">
        <f>IF(B415="","",B415+10)</f>
        <v/>
      </c>
      <c r="W415" s="14">
        <f>IF(B415="","",(--(B415&lt;&gt;"")+--(C415&lt;&gt;"")+--(D415&lt;&gt;"")+--(E415&lt;&gt;"")+--(F415&lt;&gt;"")+--(G415&lt;&gt;"")+--(H415&lt;&gt;"")+--(I415&lt;&gt;"")+--(N415&lt;&gt;"")+--(O415&lt;&gt;"")+--(P415&lt;&gt;""))/11)</f>
        <v/>
      </c>
    </row>
    <row r="416">
      <c r="A416" s="7">
        <f>IF(B416="","",TEXT(B416,"yyyymmdd")&amp;"-"&amp;TEXT(ROW()-1,"000"))</f>
        <v/>
      </c>
      <c r="B416" s="8" t="n"/>
      <c r="C416" s="9" t="n"/>
      <c r="D416" s="9" t="n"/>
      <c r="E416" s="9" t="n"/>
      <c r="F416" s="9" t="n"/>
      <c r="G416" s="9" t="n"/>
      <c r="H416" s="9" t="n"/>
      <c r="I416" s="10" t="n"/>
      <c r="J416" s="11" t="n"/>
      <c r="K416" s="12" t="n"/>
      <c r="L416" s="11" t="n"/>
      <c r="M416" s="12" t="n"/>
      <c r="N416" s="9" t="n"/>
      <c r="O416" s="9" t="n"/>
      <c r="P416" s="10" t="n"/>
      <c r="Q416" s="11" t="n"/>
      <c r="R416" s="12" t="n"/>
      <c r="S416" s="12" t="n"/>
      <c r="T416" s="13">
        <f>IF(B416="","",B416+3)</f>
        <v/>
      </c>
      <c r="U416" s="13">
        <f>IF(B416="","",B416+5)</f>
        <v/>
      </c>
      <c r="V416" s="13">
        <f>IF(B416="","",B416+10)</f>
        <v/>
      </c>
      <c r="W416" s="14">
        <f>IF(B416="","",(--(B416&lt;&gt;"")+--(C416&lt;&gt;"")+--(D416&lt;&gt;"")+--(E416&lt;&gt;"")+--(F416&lt;&gt;"")+--(G416&lt;&gt;"")+--(H416&lt;&gt;"")+--(I416&lt;&gt;"")+--(N416&lt;&gt;"")+--(O416&lt;&gt;"")+--(P416&lt;&gt;""))/11)</f>
        <v/>
      </c>
    </row>
    <row r="417">
      <c r="A417" s="7">
        <f>IF(B417="","",TEXT(B417,"yyyymmdd")&amp;"-"&amp;TEXT(ROW()-1,"000"))</f>
        <v/>
      </c>
      <c r="B417" s="8" t="n"/>
      <c r="C417" s="9" t="n"/>
      <c r="D417" s="9" t="n"/>
      <c r="E417" s="9" t="n"/>
      <c r="F417" s="9" t="n"/>
      <c r="G417" s="9" t="n"/>
      <c r="H417" s="9" t="n"/>
      <c r="I417" s="10" t="n"/>
      <c r="J417" s="11" t="n"/>
      <c r="K417" s="12" t="n"/>
      <c r="L417" s="11" t="n"/>
      <c r="M417" s="12" t="n"/>
      <c r="N417" s="9" t="n"/>
      <c r="O417" s="9" t="n"/>
      <c r="P417" s="10" t="n"/>
      <c r="Q417" s="11" t="n"/>
      <c r="R417" s="12" t="n"/>
      <c r="S417" s="12" t="n"/>
      <c r="T417" s="13">
        <f>IF(B417="","",B417+3)</f>
        <v/>
      </c>
      <c r="U417" s="13">
        <f>IF(B417="","",B417+5)</f>
        <v/>
      </c>
      <c r="V417" s="13">
        <f>IF(B417="","",B417+10)</f>
        <v/>
      </c>
      <c r="W417" s="14">
        <f>IF(B417="","",(--(B417&lt;&gt;"")+--(C417&lt;&gt;"")+--(D417&lt;&gt;"")+--(E417&lt;&gt;"")+--(F417&lt;&gt;"")+--(G417&lt;&gt;"")+--(H417&lt;&gt;"")+--(I417&lt;&gt;"")+--(N417&lt;&gt;"")+--(O417&lt;&gt;"")+--(P417&lt;&gt;""))/11)</f>
        <v/>
      </c>
    </row>
    <row r="418">
      <c r="A418" s="7">
        <f>IF(B418="","",TEXT(B418,"yyyymmdd")&amp;"-"&amp;TEXT(ROW()-1,"000"))</f>
        <v/>
      </c>
      <c r="B418" s="8" t="n"/>
      <c r="C418" s="9" t="n"/>
      <c r="D418" s="9" t="n"/>
      <c r="E418" s="9" t="n"/>
      <c r="F418" s="9" t="n"/>
      <c r="G418" s="9" t="n"/>
      <c r="H418" s="9" t="n"/>
      <c r="I418" s="10" t="n"/>
      <c r="J418" s="11" t="n"/>
      <c r="K418" s="12" t="n"/>
      <c r="L418" s="11" t="n"/>
      <c r="M418" s="12" t="n"/>
      <c r="N418" s="9" t="n"/>
      <c r="O418" s="9" t="n"/>
      <c r="P418" s="10" t="n"/>
      <c r="Q418" s="11" t="n"/>
      <c r="R418" s="12" t="n"/>
      <c r="S418" s="12" t="n"/>
      <c r="T418" s="13">
        <f>IF(B418="","",B418+3)</f>
        <v/>
      </c>
      <c r="U418" s="13">
        <f>IF(B418="","",B418+5)</f>
        <v/>
      </c>
      <c r="V418" s="13">
        <f>IF(B418="","",B418+10)</f>
        <v/>
      </c>
      <c r="W418" s="14">
        <f>IF(B418="","",(--(B418&lt;&gt;"")+--(C418&lt;&gt;"")+--(D418&lt;&gt;"")+--(E418&lt;&gt;"")+--(F418&lt;&gt;"")+--(G418&lt;&gt;"")+--(H418&lt;&gt;"")+--(I418&lt;&gt;"")+--(N418&lt;&gt;"")+--(O418&lt;&gt;"")+--(P418&lt;&gt;""))/11)</f>
        <v/>
      </c>
    </row>
    <row r="419">
      <c r="A419" s="7">
        <f>IF(B419="","",TEXT(B419,"yyyymmdd")&amp;"-"&amp;TEXT(ROW()-1,"000"))</f>
        <v/>
      </c>
      <c r="B419" s="8" t="n"/>
      <c r="C419" s="9" t="n"/>
      <c r="D419" s="9" t="n"/>
      <c r="E419" s="9" t="n"/>
      <c r="F419" s="9" t="n"/>
      <c r="G419" s="9" t="n"/>
      <c r="H419" s="9" t="n"/>
      <c r="I419" s="10" t="n"/>
      <c r="J419" s="11" t="n"/>
      <c r="K419" s="12" t="n"/>
      <c r="L419" s="11" t="n"/>
      <c r="M419" s="12" t="n"/>
      <c r="N419" s="9" t="n"/>
      <c r="O419" s="9" t="n"/>
      <c r="P419" s="10" t="n"/>
      <c r="Q419" s="11" t="n"/>
      <c r="R419" s="12" t="n"/>
      <c r="S419" s="12" t="n"/>
      <c r="T419" s="13">
        <f>IF(B419="","",B419+3)</f>
        <v/>
      </c>
      <c r="U419" s="13">
        <f>IF(B419="","",B419+5)</f>
        <v/>
      </c>
      <c r="V419" s="13">
        <f>IF(B419="","",B419+10)</f>
        <v/>
      </c>
      <c r="W419" s="14">
        <f>IF(B419="","",(--(B419&lt;&gt;"")+--(C419&lt;&gt;"")+--(D419&lt;&gt;"")+--(E419&lt;&gt;"")+--(F419&lt;&gt;"")+--(G419&lt;&gt;"")+--(H419&lt;&gt;"")+--(I419&lt;&gt;"")+--(N419&lt;&gt;"")+--(O419&lt;&gt;"")+--(P419&lt;&gt;""))/11)</f>
        <v/>
      </c>
    </row>
    <row r="420">
      <c r="A420" s="7">
        <f>IF(B420="","",TEXT(B420,"yyyymmdd")&amp;"-"&amp;TEXT(ROW()-1,"000"))</f>
        <v/>
      </c>
      <c r="B420" s="8" t="n"/>
      <c r="C420" s="9" t="n"/>
      <c r="D420" s="9" t="n"/>
      <c r="E420" s="9" t="n"/>
      <c r="F420" s="9" t="n"/>
      <c r="G420" s="9" t="n"/>
      <c r="H420" s="9" t="n"/>
      <c r="I420" s="10" t="n"/>
      <c r="J420" s="11" t="n"/>
      <c r="K420" s="12" t="n"/>
      <c r="L420" s="11" t="n"/>
      <c r="M420" s="12" t="n"/>
      <c r="N420" s="9" t="n"/>
      <c r="O420" s="9" t="n"/>
      <c r="P420" s="10" t="n"/>
      <c r="Q420" s="11" t="n"/>
      <c r="R420" s="12" t="n"/>
      <c r="S420" s="12" t="n"/>
      <c r="T420" s="13">
        <f>IF(B420="","",B420+3)</f>
        <v/>
      </c>
      <c r="U420" s="13">
        <f>IF(B420="","",B420+5)</f>
        <v/>
      </c>
      <c r="V420" s="13">
        <f>IF(B420="","",B420+10)</f>
        <v/>
      </c>
      <c r="W420" s="14">
        <f>IF(B420="","",(--(B420&lt;&gt;"")+--(C420&lt;&gt;"")+--(D420&lt;&gt;"")+--(E420&lt;&gt;"")+--(F420&lt;&gt;"")+--(G420&lt;&gt;"")+--(H420&lt;&gt;"")+--(I420&lt;&gt;"")+--(N420&lt;&gt;"")+--(O420&lt;&gt;"")+--(P420&lt;&gt;""))/11)</f>
        <v/>
      </c>
    </row>
    <row r="421">
      <c r="A421" s="7">
        <f>IF(B421="","",TEXT(B421,"yyyymmdd")&amp;"-"&amp;TEXT(ROW()-1,"000"))</f>
        <v/>
      </c>
      <c r="B421" s="8" t="n"/>
      <c r="C421" s="9" t="n"/>
      <c r="D421" s="9" t="n"/>
      <c r="E421" s="9" t="n"/>
      <c r="F421" s="9" t="n"/>
      <c r="G421" s="9" t="n"/>
      <c r="H421" s="9" t="n"/>
      <c r="I421" s="10" t="n"/>
      <c r="J421" s="11" t="n"/>
      <c r="K421" s="12" t="n"/>
      <c r="L421" s="11" t="n"/>
      <c r="M421" s="12" t="n"/>
      <c r="N421" s="9" t="n"/>
      <c r="O421" s="9" t="n"/>
      <c r="P421" s="10" t="n"/>
      <c r="Q421" s="11" t="n"/>
      <c r="R421" s="12" t="n"/>
      <c r="S421" s="12" t="n"/>
      <c r="T421" s="13">
        <f>IF(B421="","",B421+3)</f>
        <v/>
      </c>
      <c r="U421" s="13">
        <f>IF(B421="","",B421+5)</f>
        <v/>
      </c>
      <c r="V421" s="13">
        <f>IF(B421="","",B421+10)</f>
        <v/>
      </c>
      <c r="W421" s="14">
        <f>IF(B421="","",(--(B421&lt;&gt;"")+--(C421&lt;&gt;"")+--(D421&lt;&gt;"")+--(E421&lt;&gt;"")+--(F421&lt;&gt;"")+--(G421&lt;&gt;"")+--(H421&lt;&gt;"")+--(I421&lt;&gt;"")+--(N421&lt;&gt;"")+--(O421&lt;&gt;"")+--(P421&lt;&gt;""))/11)</f>
        <v/>
      </c>
    </row>
    <row r="422">
      <c r="A422" s="7">
        <f>IF(B422="","",TEXT(B422,"yyyymmdd")&amp;"-"&amp;TEXT(ROW()-1,"000"))</f>
        <v/>
      </c>
      <c r="B422" s="8" t="n"/>
      <c r="C422" s="9" t="n"/>
      <c r="D422" s="9" t="n"/>
      <c r="E422" s="9" t="n"/>
      <c r="F422" s="9" t="n"/>
      <c r="G422" s="9" t="n"/>
      <c r="H422" s="9" t="n"/>
      <c r="I422" s="10" t="n"/>
      <c r="J422" s="11" t="n"/>
      <c r="K422" s="12" t="n"/>
      <c r="L422" s="11" t="n"/>
      <c r="M422" s="12" t="n"/>
      <c r="N422" s="9" t="n"/>
      <c r="O422" s="9" t="n"/>
      <c r="P422" s="10" t="n"/>
      <c r="Q422" s="11" t="n"/>
      <c r="R422" s="12" t="n"/>
      <c r="S422" s="12" t="n"/>
      <c r="T422" s="13">
        <f>IF(B422="","",B422+3)</f>
        <v/>
      </c>
      <c r="U422" s="13">
        <f>IF(B422="","",B422+5)</f>
        <v/>
      </c>
      <c r="V422" s="13">
        <f>IF(B422="","",B422+10)</f>
        <v/>
      </c>
      <c r="W422" s="14">
        <f>IF(B422="","",(--(B422&lt;&gt;"")+--(C422&lt;&gt;"")+--(D422&lt;&gt;"")+--(E422&lt;&gt;"")+--(F422&lt;&gt;"")+--(G422&lt;&gt;"")+--(H422&lt;&gt;"")+--(I422&lt;&gt;"")+--(N422&lt;&gt;"")+--(O422&lt;&gt;"")+--(P422&lt;&gt;""))/11)</f>
        <v/>
      </c>
    </row>
    <row r="423">
      <c r="A423" s="7">
        <f>IF(B423="","",TEXT(B423,"yyyymmdd")&amp;"-"&amp;TEXT(ROW()-1,"000"))</f>
        <v/>
      </c>
      <c r="B423" s="8" t="n"/>
      <c r="C423" s="9" t="n"/>
      <c r="D423" s="9" t="n"/>
      <c r="E423" s="9" t="n"/>
      <c r="F423" s="9" t="n"/>
      <c r="G423" s="9" t="n"/>
      <c r="H423" s="9" t="n"/>
      <c r="I423" s="10" t="n"/>
      <c r="J423" s="11" t="n"/>
      <c r="K423" s="12" t="n"/>
      <c r="L423" s="11" t="n"/>
      <c r="M423" s="12" t="n"/>
      <c r="N423" s="9" t="n"/>
      <c r="O423" s="9" t="n"/>
      <c r="P423" s="10" t="n"/>
      <c r="Q423" s="11" t="n"/>
      <c r="R423" s="12" t="n"/>
      <c r="S423" s="12" t="n"/>
      <c r="T423" s="13">
        <f>IF(B423="","",B423+3)</f>
        <v/>
      </c>
      <c r="U423" s="13">
        <f>IF(B423="","",B423+5)</f>
        <v/>
      </c>
      <c r="V423" s="13">
        <f>IF(B423="","",B423+10)</f>
        <v/>
      </c>
      <c r="W423" s="14">
        <f>IF(B423="","",(--(B423&lt;&gt;"")+--(C423&lt;&gt;"")+--(D423&lt;&gt;"")+--(E423&lt;&gt;"")+--(F423&lt;&gt;"")+--(G423&lt;&gt;"")+--(H423&lt;&gt;"")+--(I423&lt;&gt;"")+--(N423&lt;&gt;"")+--(O423&lt;&gt;"")+--(P423&lt;&gt;""))/11)</f>
        <v/>
      </c>
    </row>
    <row r="424">
      <c r="A424" s="7">
        <f>IF(B424="","",TEXT(B424,"yyyymmdd")&amp;"-"&amp;TEXT(ROW()-1,"000"))</f>
        <v/>
      </c>
      <c r="B424" s="8" t="n"/>
      <c r="C424" s="9" t="n"/>
      <c r="D424" s="9" t="n"/>
      <c r="E424" s="9" t="n"/>
      <c r="F424" s="9" t="n"/>
      <c r="G424" s="9" t="n"/>
      <c r="H424" s="9" t="n"/>
      <c r="I424" s="10" t="n"/>
      <c r="J424" s="11" t="n"/>
      <c r="K424" s="12" t="n"/>
      <c r="L424" s="11" t="n"/>
      <c r="M424" s="12" t="n"/>
      <c r="N424" s="9" t="n"/>
      <c r="O424" s="9" t="n"/>
      <c r="P424" s="10" t="n"/>
      <c r="Q424" s="11" t="n"/>
      <c r="R424" s="12" t="n"/>
      <c r="S424" s="12" t="n"/>
      <c r="T424" s="13">
        <f>IF(B424="","",B424+3)</f>
        <v/>
      </c>
      <c r="U424" s="13">
        <f>IF(B424="","",B424+5)</f>
        <v/>
      </c>
      <c r="V424" s="13">
        <f>IF(B424="","",B424+10)</f>
        <v/>
      </c>
      <c r="W424" s="14">
        <f>IF(B424="","",(--(B424&lt;&gt;"")+--(C424&lt;&gt;"")+--(D424&lt;&gt;"")+--(E424&lt;&gt;"")+--(F424&lt;&gt;"")+--(G424&lt;&gt;"")+--(H424&lt;&gt;"")+--(I424&lt;&gt;"")+--(N424&lt;&gt;"")+--(O424&lt;&gt;"")+--(P424&lt;&gt;""))/11)</f>
        <v/>
      </c>
    </row>
    <row r="425">
      <c r="A425" s="7">
        <f>IF(B425="","",TEXT(B425,"yyyymmdd")&amp;"-"&amp;TEXT(ROW()-1,"000"))</f>
        <v/>
      </c>
      <c r="B425" s="8" t="n"/>
      <c r="C425" s="9" t="n"/>
      <c r="D425" s="9" t="n"/>
      <c r="E425" s="9" t="n"/>
      <c r="F425" s="9" t="n"/>
      <c r="G425" s="9" t="n"/>
      <c r="H425" s="9" t="n"/>
      <c r="I425" s="10" t="n"/>
      <c r="J425" s="11" t="n"/>
      <c r="K425" s="12" t="n"/>
      <c r="L425" s="11" t="n"/>
      <c r="M425" s="12" t="n"/>
      <c r="N425" s="9" t="n"/>
      <c r="O425" s="9" t="n"/>
      <c r="P425" s="10" t="n"/>
      <c r="Q425" s="11" t="n"/>
      <c r="R425" s="12" t="n"/>
      <c r="S425" s="12" t="n"/>
      <c r="T425" s="13">
        <f>IF(B425="","",B425+3)</f>
        <v/>
      </c>
      <c r="U425" s="13">
        <f>IF(B425="","",B425+5)</f>
        <v/>
      </c>
      <c r="V425" s="13">
        <f>IF(B425="","",B425+10)</f>
        <v/>
      </c>
      <c r="W425" s="14">
        <f>IF(B425="","",(--(B425&lt;&gt;"")+--(C425&lt;&gt;"")+--(D425&lt;&gt;"")+--(E425&lt;&gt;"")+--(F425&lt;&gt;"")+--(G425&lt;&gt;"")+--(H425&lt;&gt;"")+--(I425&lt;&gt;"")+--(N425&lt;&gt;"")+--(O425&lt;&gt;"")+--(P425&lt;&gt;""))/11)</f>
        <v/>
      </c>
    </row>
    <row r="426">
      <c r="A426" s="7">
        <f>IF(B426="","",TEXT(B426,"yyyymmdd")&amp;"-"&amp;TEXT(ROW()-1,"000"))</f>
        <v/>
      </c>
      <c r="B426" s="8" t="n"/>
      <c r="C426" s="9" t="n"/>
      <c r="D426" s="9" t="n"/>
      <c r="E426" s="9" t="n"/>
      <c r="F426" s="9" t="n"/>
      <c r="G426" s="9" t="n"/>
      <c r="H426" s="9" t="n"/>
      <c r="I426" s="10" t="n"/>
      <c r="J426" s="11" t="n"/>
      <c r="K426" s="12" t="n"/>
      <c r="L426" s="11" t="n"/>
      <c r="M426" s="12" t="n"/>
      <c r="N426" s="9" t="n"/>
      <c r="O426" s="9" t="n"/>
      <c r="P426" s="10" t="n"/>
      <c r="Q426" s="11" t="n"/>
      <c r="R426" s="12" t="n"/>
      <c r="S426" s="12" t="n"/>
      <c r="T426" s="13">
        <f>IF(B426="","",B426+3)</f>
        <v/>
      </c>
      <c r="U426" s="13">
        <f>IF(B426="","",B426+5)</f>
        <v/>
      </c>
      <c r="V426" s="13">
        <f>IF(B426="","",B426+10)</f>
        <v/>
      </c>
      <c r="W426" s="14">
        <f>IF(B426="","",(--(B426&lt;&gt;"")+--(C426&lt;&gt;"")+--(D426&lt;&gt;"")+--(E426&lt;&gt;"")+--(F426&lt;&gt;"")+--(G426&lt;&gt;"")+--(H426&lt;&gt;"")+--(I426&lt;&gt;"")+--(N426&lt;&gt;"")+--(O426&lt;&gt;"")+--(P426&lt;&gt;""))/11)</f>
        <v/>
      </c>
    </row>
    <row r="427">
      <c r="A427" s="7">
        <f>IF(B427="","",TEXT(B427,"yyyymmdd")&amp;"-"&amp;TEXT(ROW()-1,"000"))</f>
        <v/>
      </c>
      <c r="B427" s="8" t="n"/>
      <c r="C427" s="9" t="n"/>
      <c r="D427" s="9" t="n"/>
      <c r="E427" s="9" t="n"/>
      <c r="F427" s="9" t="n"/>
      <c r="G427" s="9" t="n"/>
      <c r="H427" s="9" t="n"/>
      <c r="I427" s="10" t="n"/>
      <c r="J427" s="11" t="n"/>
      <c r="K427" s="12" t="n"/>
      <c r="L427" s="11" t="n"/>
      <c r="M427" s="12" t="n"/>
      <c r="N427" s="9" t="n"/>
      <c r="O427" s="9" t="n"/>
      <c r="P427" s="10" t="n"/>
      <c r="Q427" s="11" t="n"/>
      <c r="R427" s="12" t="n"/>
      <c r="S427" s="12" t="n"/>
      <c r="T427" s="13">
        <f>IF(B427="","",B427+3)</f>
        <v/>
      </c>
      <c r="U427" s="13">
        <f>IF(B427="","",B427+5)</f>
        <v/>
      </c>
      <c r="V427" s="13">
        <f>IF(B427="","",B427+10)</f>
        <v/>
      </c>
      <c r="W427" s="14">
        <f>IF(B427="","",(--(B427&lt;&gt;"")+--(C427&lt;&gt;"")+--(D427&lt;&gt;"")+--(E427&lt;&gt;"")+--(F427&lt;&gt;"")+--(G427&lt;&gt;"")+--(H427&lt;&gt;"")+--(I427&lt;&gt;"")+--(N427&lt;&gt;"")+--(O427&lt;&gt;"")+--(P427&lt;&gt;""))/11)</f>
        <v/>
      </c>
    </row>
    <row r="428">
      <c r="A428" s="7">
        <f>IF(B428="","",TEXT(B428,"yyyymmdd")&amp;"-"&amp;TEXT(ROW()-1,"000"))</f>
        <v/>
      </c>
      <c r="B428" s="8" t="n"/>
      <c r="C428" s="9" t="n"/>
      <c r="D428" s="9" t="n"/>
      <c r="E428" s="9" t="n"/>
      <c r="F428" s="9" t="n"/>
      <c r="G428" s="9" t="n"/>
      <c r="H428" s="9" t="n"/>
      <c r="I428" s="10" t="n"/>
      <c r="J428" s="11" t="n"/>
      <c r="K428" s="12" t="n"/>
      <c r="L428" s="11" t="n"/>
      <c r="M428" s="12" t="n"/>
      <c r="N428" s="9" t="n"/>
      <c r="O428" s="9" t="n"/>
      <c r="P428" s="10" t="n"/>
      <c r="Q428" s="11" t="n"/>
      <c r="R428" s="12" t="n"/>
      <c r="S428" s="12" t="n"/>
      <c r="T428" s="13">
        <f>IF(B428="","",B428+3)</f>
        <v/>
      </c>
      <c r="U428" s="13">
        <f>IF(B428="","",B428+5)</f>
        <v/>
      </c>
      <c r="V428" s="13">
        <f>IF(B428="","",B428+10)</f>
        <v/>
      </c>
      <c r="W428" s="14">
        <f>IF(B428="","",(--(B428&lt;&gt;"")+--(C428&lt;&gt;"")+--(D428&lt;&gt;"")+--(E428&lt;&gt;"")+--(F428&lt;&gt;"")+--(G428&lt;&gt;"")+--(H428&lt;&gt;"")+--(I428&lt;&gt;"")+--(N428&lt;&gt;"")+--(O428&lt;&gt;"")+--(P428&lt;&gt;""))/11)</f>
        <v/>
      </c>
    </row>
    <row r="429">
      <c r="A429" s="7">
        <f>IF(B429="","",TEXT(B429,"yyyymmdd")&amp;"-"&amp;TEXT(ROW()-1,"000"))</f>
        <v/>
      </c>
      <c r="B429" s="8" t="n"/>
      <c r="C429" s="9" t="n"/>
      <c r="D429" s="9" t="n"/>
      <c r="E429" s="9" t="n"/>
      <c r="F429" s="9" t="n"/>
      <c r="G429" s="9" t="n"/>
      <c r="H429" s="9" t="n"/>
      <c r="I429" s="10" t="n"/>
      <c r="J429" s="11" t="n"/>
      <c r="K429" s="12" t="n"/>
      <c r="L429" s="11" t="n"/>
      <c r="M429" s="12" t="n"/>
      <c r="N429" s="9" t="n"/>
      <c r="O429" s="9" t="n"/>
      <c r="P429" s="10" t="n"/>
      <c r="Q429" s="11" t="n"/>
      <c r="R429" s="12" t="n"/>
      <c r="S429" s="12" t="n"/>
      <c r="T429" s="13">
        <f>IF(B429="","",B429+3)</f>
        <v/>
      </c>
      <c r="U429" s="13">
        <f>IF(B429="","",B429+5)</f>
        <v/>
      </c>
      <c r="V429" s="13">
        <f>IF(B429="","",B429+10)</f>
        <v/>
      </c>
      <c r="W429" s="14">
        <f>IF(B429="","",(--(B429&lt;&gt;"")+--(C429&lt;&gt;"")+--(D429&lt;&gt;"")+--(E429&lt;&gt;"")+--(F429&lt;&gt;"")+--(G429&lt;&gt;"")+--(H429&lt;&gt;"")+--(I429&lt;&gt;"")+--(N429&lt;&gt;"")+--(O429&lt;&gt;"")+--(P429&lt;&gt;""))/11)</f>
        <v/>
      </c>
    </row>
    <row r="430">
      <c r="A430" s="7">
        <f>IF(B430="","",TEXT(B430,"yyyymmdd")&amp;"-"&amp;TEXT(ROW()-1,"000"))</f>
        <v/>
      </c>
      <c r="B430" s="8" t="n"/>
      <c r="C430" s="9" t="n"/>
      <c r="D430" s="9" t="n"/>
      <c r="E430" s="9" t="n"/>
      <c r="F430" s="9" t="n"/>
      <c r="G430" s="9" t="n"/>
      <c r="H430" s="9" t="n"/>
      <c r="I430" s="10" t="n"/>
      <c r="J430" s="11" t="n"/>
      <c r="K430" s="12" t="n"/>
      <c r="L430" s="11" t="n"/>
      <c r="M430" s="12" t="n"/>
      <c r="N430" s="9" t="n"/>
      <c r="O430" s="9" t="n"/>
      <c r="P430" s="10" t="n"/>
      <c r="Q430" s="11" t="n"/>
      <c r="R430" s="12" t="n"/>
      <c r="S430" s="12" t="n"/>
      <c r="T430" s="13">
        <f>IF(B430="","",B430+3)</f>
        <v/>
      </c>
      <c r="U430" s="13">
        <f>IF(B430="","",B430+5)</f>
        <v/>
      </c>
      <c r="V430" s="13">
        <f>IF(B430="","",B430+10)</f>
        <v/>
      </c>
      <c r="W430" s="14">
        <f>IF(B430="","",(--(B430&lt;&gt;"")+--(C430&lt;&gt;"")+--(D430&lt;&gt;"")+--(E430&lt;&gt;"")+--(F430&lt;&gt;"")+--(G430&lt;&gt;"")+--(H430&lt;&gt;"")+--(I430&lt;&gt;"")+--(N430&lt;&gt;"")+--(O430&lt;&gt;"")+--(P430&lt;&gt;""))/11)</f>
        <v/>
      </c>
    </row>
    <row r="431">
      <c r="A431" s="7">
        <f>IF(B431="","",TEXT(B431,"yyyymmdd")&amp;"-"&amp;TEXT(ROW()-1,"000"))</f>
        <v/>
      </c>
      <c r="B431" s="8" t="n"/>
      <c r="C431" s="9" t="n"/>
      <c r="D431" s="9" t="n"/>
      <c r="E431" s="9" t="n"/>
      <c r="F431" s="9" t="n"/>
      <c r="G431" s="9" t="n"/>
      <c r="H431" s="9" t="n"/>
      <c r="I431" s="10" t="n"/>
      <c r="J431" s="11" t="n"/>
      <c r="K431" s="12" t="n"/>
      <c r="L431" s="11" t="n"/>
      <c r="M431" s="12" t="n"/>
      <c r="N431" s="9" t="n"/>
      <c r="O431" s="9" t="n"/>
      <c r="P431" s="10" t="n"/>
      <c r="Q431" s="11" t="n"/>
      <c r="R431" s="12" t="n"/>
      <c r="S431" s="12" t="n"/>
      <c r="T431" s="13">
        <f>IF(B431="","",B431+3)</f>
        <v/>
      </c>
      <c r="U431" s="13">
        <f>IF(B431="","",B431+5)</f>
        <v/>
      </c>
      <c r="V431" s="13">
        <f>IF(B431="","",B431+10)</f>
        <v/>
      </c>
      <c r="W431" s="14">
        <f>IF(B431="","",(--(B431&lt;&gt;"")+--(C431&lt;&gt;"")+--(D431&lt;&gt;"")+--(E431&lt;&gt;"")+--(F431&lt;&gt;"")+--(G431&lt;&gt;"")+--(H431&lt;&gt;"")+--(I431&lt;&gt;"")+--(N431&lt;&gt;"")+--(O431&lt;&gt;"")+--(P431&lt;&gt;""))/11)</f>
        <v/>
      </c>
    </row>
    <row r="432">
      <c r="A432" s="7">
        <f>IF(B432="","",TEXT(B432,"yyyymmdd")&amp;"-"&amp;TEXT(ROW()-1,"000"))</f>
        <v/>
      </c>
      <c r="B432" s="8" t="n"/>
      <c r="C432" s="9" t="n"/>
      <c r="D432" s="9" t="n"/>
      <c r="E432" s="9" t="n"/>
      <c r="F432" s="9" t="n"/>
      <c r="G432" s="9" t="n"/>
      <c r="H432" s="9" t="n"/>
      <c r="I432" s="10" t="n"/>
      <c r="J432" s="11" t="n"/>
      <c r="K432" s="12" t="n"/>
      <c r="L432" s="11" t="n"/>
      <c r="M432" s="12" t="n"/>
      <c r="N432" s="9" t="n"/>
      <c r="O432" s="9" t="n"/>
      <c r="P432" s="10" t="n"/>
      <c r="Q432" s="11" t="n"/>
      <c r="R432" s="12" t="n"/>
      <c r="S432" s="12" t="n"/>
      <c r="T432" s="13">
        <f>IF(B432="","",B432+3)</f>
        <v/>
      </c>
      <c r="U432" s="13">
        <f>IF(B432="","",B432+5)</f>
        <v/>
      </c>
      <c r="V432" s="13">
        <f>IF(B432="","",B432+10)</f>
        <v/>
      </c>
      <c r="W432" s="14">
        <f>IF(B432="","",(--(B432&lt;&gt;"")+--(C432&lt;&gt;"")+--(D432&lt;&gt;"")+--(E432&lt;&gt;"")+--(F432&lt;&gt;"")+--(G432&lt;&gt;"")+--(H432&lt;&gt;"")+--(I432&lt;&gt;"")+--(N432&lt;&gt;"")+--(O432&lt;&gt;"")+--(P432&lt;&gt;""))/11)</f>
        <v/>
      </c>
    </row>
    <row r="433">
      <c r="A433" s="7">
        <f>IF(B433="","",TEXT(B433,"yyyymmdd")&amp;"-"&amp;TEXT(ROW()-1,"000"))</f>
        <v/>
      </c>
      <c r="B433" s="8" t="n"/>
      <c r="C433" s="9" t="n"/>
      <c r="D433" s="9" t="n"/>
      <c r="E433" s="9" t="n"/>
      <c r="F433" s="9" t="n"/>
      <c r="G433" s="9" t="n"/>
      <c r="H433" s="9" t="n"/>
      <c r="I433" s="10" t="n"/>
      <c r="J433" s="11" t="n"/>
      <c r="K433" s="12" t="n"/>
      <c r="L433" s="11" t="n"/>
      <c r="M433" s="12" t="n"/>
      <c r="N433" s="9" t="n"/>
      <c r="O433" s="9" t="n"/>
      <c r="P433" s="10" t="n"/>
      <c r="Q433" s="11" t="n"/>
      <c r="R433" s="12" t="n"/>
      <c r="S433" s="12" t="n"/>
      <c r="T433" s="13">
        <f>IF(B433="","",B433+3)</f>
        <v/>
      </c>
      <c r="U433" s="13">
        <f>IF(B433="","",B433+5)</f>
        <v/>
      </c>
      <c r="V433" s="13">
        <f>IF(B433="","",B433+10)</f>
        <v/>
      </c>
      <c r="W433" s="14">
        <f>IF(B433="","",(--(B433&lt;&gt;"")+--(C433&lt;&gt;"")+--(D433&lt;&gt;"")+--(E433&lt;&gt;"")+--(F433&lt;&gt;"")+--(G433&lt;&gt;"")+--(H433&lt;&gt;"")+--(I433&lt;&gt;"")+--(N433&lt;&gt;"")+--(O433&lt;&gt;"")+--(P433&lt;&gt;""))/11)</f>
        <v/>
      </c>
    </row>
    <row r="434">
      <c r="A434" s="7">
        <f>IF(B434="","",TEXT(B434,"yyyymmdd")&amp;"-"&amp;TEXT(ROW()-1,"000"))</f>
        <v/>
      </c>
      <c r="B434" s="8" t="n"/>
      <c r="C434" s="9" t="n"/>
      <c r="D434" s="9" t="n"/>
      <c r="E434" s="9" t="n"/>
      <c r="F434" s="9" t="n"/>
      <c r="G434" s="9" t="n"/>
      <c r="H434" s="9" t="n"/>
      <c r="I434" s="10" t="n"/>
      <c r="J434" s="11" t="n"/>
      <c r="K434" s="12" t="n"/>
      <c r="L434" s="11" t="n"/>
      <c r="M434" s="12" t="n"/>
      <c r="N434" s="9" t="n"/>
      <c r="O434" s="9" t="n"/>
      <c r="P434" s="10" t="n"/>
      <c r="Q434" s="11" t="n"/>
      <c r="R434" s="12" t="n"/>
      <c r="S434" s="12" t="n"/>
      <c r="T434" s="13">
        <f>IF(B434="","",B434+3)</f>
        <v/>
      </c>
      <c r="U434" s="13">
        <f>IF(B434="","",B434+5)</f>
        <v/>
      </c>
      <c r="V434" s="13">
        <f>IF(B434="","",B434+10)</f>
        <v/>
      </c>
      <c r="W434" s="14">
        <f>IF(B434="","",(--(B434&lt;&gt;"")+--(C434&lt;&gt;"")+--(D434&lt;&gt;"")+--(E434&lt;&gt;"")+--(F434&lt;&gt;"")+--(G434&lt;&gt;"")+--(H434&lt;&gt;"")+--(I434&lt;&gt;"")+--(N434&lt;&gt;"")+--(O434&lt;&gt;"")+--(P434&lt;&gt;""))/11)</f>
        <v/>
      </c>
    </row>
    <row r="435">
      <c r="A435" s="7">
        <f>IF(B435="","",TEXT(B435,"yyyymmdd")&amp;"-"&amp;TEXT(ROW()-1,"000"))</f>
        <v/>
      </c>
      <c r="B435" s="8" t="n"/>
      <c r="C435" s="9" t="n"/>
      <c r="D435" s="9" t="n"/>
      <c r="E435" s="9" t="n"/>
      <c r="F435" s="9" t="n"/>
      <c r="G435" s="9" t="n"/>
      <c r="H435" s="9" t="n"/>
      <c r="I435" s="10" t="n"/>
      <c r="J435" s="11" t="n"/>
      <c r="K435" s="12" t="n"/>
      <c r="L435" s="11" t="n"/>
      <c r="M435" s="12" t="n"/>
      <c r="N435" s="9" t="n"/>
      <c r="O435" s="9" t="n"/>
      <c r="P435" s="10" t="n"/>
      <c r="Q435" s="11" t="n"/>
      <c r="R435" s="12" t="n"/>
      <c r="S435" s="12" t="n"/>
      <c r="T435" s="13">
        <f>IF(B435="","",B435+3)</f>
        <v/>
      </c>
      <c r="U435" s="13">
        <f>IF(B435="","",B435+5)</f>
        <v/>
      </c>
      <c r="V435" s="13">
        <f>IF(B435="","",B435+10)</f>
        <v/>
      </c>
      <c r="W435" s="14">
        <f>IF(B435="","",(--(B435&lt;&gt;"")+--(C435&lt;&gt;"")+--(D435&lt;&gt;"")+--(E435&lt;&gt;"")+--(F435&lt;&gt;"")+--(G435&lt;&gt;"")+--(H435&lt;&gt;"")+--(I435&lt;&gt;"")+--(N435&lt;&gt;"")+--(O435&lt;&gt;"")+--(P435&lt;&gt;""))/11)</f>
        <v/>
      </c>
    </row>
    <row r="436">
      <c r="A436" s="7">
        <f>IF(B436="","",TEXT(B436,"yyyymmdd")&amp;"-"&amp;TEXT(ROW()-1,"000"))</f>
        <v/>
      </c>
      <c r="B436" s="8" t="n"/>
      <c r="C436" s="9" t="n"/>
      <c r="D436" s="9" t="n"/>
      <c r="E436" s="9" t="n"/>
      <c r="F436" s="9" t="n"/>
      <c r="G436" s="9" t="n"/>
      <c r="H436" s="9" t="n"/>
      <c r="I436" s="10" t="n"/>
      <c r="J436" s="11" t="n"/>
      <c r="K436" s="12" t="n"/>
      <c r="L436" s="11" t="n"/>
      <c r="M436" s="12" t="n"/>
      <c r="N436" s="9" t="n"/>
      <c r="O436" s="9" t="n"/>
      <c r="P436" s="10" t="n"/>
      <c r="Q436" s="11" t="n"/>
      <c r="R436" s="12" t="n"/>
      <c r="S436" s="12" t="n"/>
      <c r="T436" s="13">
        <f>IF(B436="","",B436+3)</f>
        <v/>
      </c>
      <c r="U436" s="13">
        <f>IF(B436="","",B436+5)</f>
        <v/>
      </c>
      <c r="V436" s="13">
        <f>IF(B436="","",B436+10)</f>
        <v/>
      </c>
      <c r="W436" s="14">
        <f>IF(B436="","",(--(B436&lt;&gt;"")+--(C436&lt;&gt;"")+--(D436&lt;&gt;"")+--(E436&lt;&gt;"")+--(F436&lt;&gt;"")+--(G436&lt;&gt;"")+--(H436&lt;&gt;"")+--(I436&lt;&gt;"")+--(N436&lt;&gt;"")+--(O436&lt;&gt;"")+--(P436&lt;&gt;""))/11)</f>
        <v/>
      </c>
    </row>
    <row r="437">
      <c r="A437" s="7">
        <f>IF(B437="","",TEXT(B437,"yyyymmdd")&amp;"-"&amp;TEXT(ROW()-1,"000"))</f>
        <v/>
      </c>
      <c r="B437" s="8" t="n"/>
      <c r="C437" s="9" t="n"/>
      <c r="D437" s="9" t="n"/>
      <c r="E437" s="9" t="n"/>
      <c r="F437" s="9" t="n"/>
      <c r="G437" s="9" t="n"/>
      <c r="H437" s="9" t="n"/>
      <c r="I437" s="10" t="n"/>
      <c r="J437" s="11" t="n"/>
      <c r="K437" s="12" t="n"/>
      <c r="L437" s="11" t="n"/>
      <c r="M437" s="12" t="n"/>
      <c r="N437" s="9" t="n"/>
      <c r="O437" s="9" t="n"/>
      <c r="P437" s="10" t="n"/>
      <c r="Q437" s="11" t="n"/>
      <c r="R437" s="12" t="n"/>
      <c r="S437" s="12" t="n"/>
      <c r="T437" s="13">
        <f>IF(B437="","",B437+3)</f>
        <v/>
      </c>
      <c r="U437" s="13">
        <f>IF(B437="","",B437+5)</f>
        <v/>
      </c>
      <c r="V437" s="13">
        <f>IF(B437="","",B437+10)</f>
        <v/>
      </c>
      <c r="W437" s="14">
        <f>IF(B437="","",(--(B437&lt;&gt;"")+--(C437&lt;&gt;"")+--(D437&lt;&gt;"")+--(E437&lt;&gt;"")+--(F437&lt;&gt;"")+--(G437&lt;&gt;"")+--(H437&lt;&gt;"")+--(I437&lt;&gt;"")+--(N437&lt;&gt;"")+--(O437&lt;&gt;"")+--(P437&lt;&gt;""))/11)</f>
        <v/>
      </c>
    </row>
    <row r="438">
      <c r="A438" s="7">
        <f>IF(B438="","",TEXT(B438,"yyyymmdd")&amp;"-"&amp;TEXT(ROW()-1,"000"))</f>
        <v/>
      </c>
      <c r="B438" s="8" t="n"/>
      <c r="C438" s="9" t="n"/>
      <c r="D438" s="9" t="n"/>
      <c r="E438" s="9" t="n"/>
      <c r="F438" s="9" t="n"/>
      <c r="G438" s="9" t="n"/>
      <c r="H438" s="9" t="n"/>
      <c r="I438" s="10" t="n"/>
      <c r="J438" s="11" t="n"/>
      <c r="K438" s="12" t="n"/>
      <c r="L438" s="11" t="n"/>
      <c r="M438" s="12" t="n"/>
      <c r="N438" s="9" t="n"/>
      <c r="O438" s="9" t="n"/>
      <c r="P438" s="10" t="n"/>
      <c r="Q438" s="11" t="n"/>
      <c r="R438" s="12" t="n"/>
      <c r="S438" s="12" t="n"/>
      <c r="T438" s="13">
        <f>IF(B438="","",B438+3)</f>
        <v/>
      </c>
      <c r="U438" s="13">
        <f>IF(B438="","",B438+5)</f>
        <v/>
      </c>
      <c r="V438" s="13">
        <f>IF(B438="","",B438+10)</f>
        <v/>
      </c>
      <c r="W438" s="14">
        <f>IF(B438="","",(--(B438&lt;&gt;"")+--(C438&lt;&gt;"")+--(D438&lt;&gt;"")+--(E438&lt;&gt;"")+--(F438&lt;&gt;"")+--(G438&lt;&gt;"")+--(H438&lt;&gt;"")+--(I438&lt;&gt;"")+--(N438&lt;&gt;"")+--(O438&lt;&gt;"")+--(P438&lt;&gt;""))/11)</f>
        <v/>
      </c>
    </row>
    <row r="439">
      <c r="A439" s="7">
        <f>IF(B439="","",TEXT(B439,"yyyymmdd")&amp;"-"&amp;TEXT(ROW()-1,"000"))</f>
        <v/>
      </c>
      <c r="B439" s="8" t="n"/>
      <c r="C439" s="9" t="n"/>
      <c r="D439" s="9" t="n"/>
      <c r="E439" s="9" t="n"/>
      <c r="F439" s="9" t="n"/>
      <c r="G439" s="9" t="n"/>
      <c r="H439" s="9" t="n"/>
      <c r="I439" s="10" t="n"/>
      <c r="J439" s="11" t="n"/>
      <c r="K439" s="12" t="n"/>
      <c r="L439" s="11" t="n"/>
      <c r="M439" s="12" t="n"/>
      <c r="N439" s="9" t="n"/>
      <c r="O439" s="9" t="n"/>
      <c r="P439" s="10" t="n"/>
      <c r="Q439" s="11" t="n"/>
      <c r="R439" s="12" t="n"/>
      <c r="S439" s="12" t="n"/>
      <c r="T439" s="13">
        <f>IF(B439="","",B439+3)</f>
        <v/>
      </c>
      <c r="U439" s="13">
        <f>IF(B439="","",B439+5)</f>
        <v/>
      </c>
      <c r="V439" s="13">
        <f>IF(B439="","",B439+10)</f>
        <v/>
      </c>
      <c r="W439" s="14">
        <f>IF(B439="","",(--(B439&lt;&gt;"")+--(C439&lt;&gt;"")+--(D439&lt;&gt;"")+--(E439&lt;&gt;"")+--(F439&lt;&gt;"")+--(G439&lt;&gt;"")+--(H439&lt;&gt;"")+--(I439&lt;&gt;"")+--(N439&lt;&gt;"")+--(O439&lt;&gt;"")+--(P439&lt;&gt;""))/11)</f>
        <v/>
      </c>
    </row>
    <row r="440">
      <c r="A440" s="7">
        <f>IF(B440="","",TEXT(B440,"yyyymmdd")&amp;"-"&amp;TEXT(ROW()-1,"000"))</f>
        <v/>
      </c>
      <c r="B440" s="8" t="n"/>
      <c r="C440" s="9" t="n"/>
      <c r="D440" s="9" t="n"/>
      <c r="E440" s="9" t="n"/>
      <c r="F440" s="9" t="n"/>
      <c r="G440" s="9" t="n"/>
      <c r="H440" s="9" t="n"/>
      <c r="I440" s="10" t="n"/>
      <c r="J440" s="11" t="n"/>
      <c r="K440" s="12" t="n"/>
      <c r="L440" s="11" t="n"/>
      <c r="M440" s="12" t="n"/>
      <c r="N440" s="9" t="n"/>
      <c r="O440" s="9" t="n"/>
      <c r="P440" s="10" t="n"/>
      <c r="Q440" s="11" t="n"/>
      <c r="R440" s="12" t="n"/>
      <c r="S440" s="12" t="n"/>
      <c r="T440" s="13">
        <f>IF(B440="","",B440+3)</f>
        <v/>
      </c>
      <c r="U440" s="13">
        <f>IF(B440="","",B440+5)</f>
        <v/>
      </c>
      <c r="V440" s="13">
        <f>IF(B440="","",B440+10)</f>
        <v/>
      </c>
      <c r="W440" s="14">
        <f>IF(B440="","",(--(B440&lt;&gt;"")+--(C440&lt;&gt;"")+--(D440&lt;&gt;"")+--(E440&lt;&gt;"")+--(F440&lt;&gt;"")+--(G440&lt;&gt;"")+--(H440&lt;&gt;"")+--(I440&lt;&gt;"")+--(N440&lt;&gt;"")+--(O440&lt;&gt;"")+--(P440&lt;&gt;""))/11)</f>
        <v/>
      </c>
    </row>
    <row r="441">
      <c r="A441" s="7">
        <f>IF(B441="","",TEXT(B441,"yyyymmdd")&amp;"-"&amp;TEXT(ROW()-1,"000"))</f>
        <v/>
      </c>
      <c r="B441" s="8" t="n"/>
      <c r="C441" s="9" t="n"/>
      <c r="D441" s="9" t="n"/>
      <c r="E441" s="9" t="n"/>
      <c r="F441" s="9" t="n"/>
      <c r="G441" s="9" t="n"/>
      <c r="H441" s="9" t="n"/>
      <c r="I441" s="10" t="n"/>
      <c r="J441" s="11" t="n"/>
      <c r="K441" s="12" t="n"/>
      <c r="L441" s="11" t="n"/>
      <c r="M441" s="12" t="n"/>
      <c r="N441" s="9" t="n"/>
      <c r="O441" s="9" t="n"/>
      <c r="P441" s="10" t="n"/>
      <c r="Q441" s="11" t="n"/>
      <c r="R441" s="12" t="n"/>
      <c r="S441" s="12" t="n"/>
      <c r="T441" s="13">
        <f>IF(B441="","",B441+3)</f>
        <v/>
      </c>
      <c r="U441" s="13">
        <f>IF(B441="","",B441+5)</f>
        <v/>
      </c>
      <c r="V441" s="13">
        <f>IF(B441="","",B441+10)</f>
        <v/>
      </c>
      <c r="W441" s="14">
        <f>IF(B441="","",(--(B441&lt;&gt;"")+--(C441&lt;&gt;"")+--(D441&lt;&gt;"")+--(E441&lt;&gt;"")+--(F441&lt;&gt;"")+--(G441&lt;&gt;"")+--(H441&lt;&gt;"")+--(I441&lt;&gt;"")+--(N441&lt;&gt;"")+--(O441&lt;&gt;"")+--(P441&lt;&gt;""))/11)</f>
        <v/>
      </c>
    </row>
    <row r="442">
      <c r="A442" s="7">
        <f>IF(B442="","",TEXT(B442,"yyyymmdd")&amp;"-"&amp;TEXT(ROW()-1,"000"))</f>
        <v/>
      </c>
      <c r="B442" s="8" t="n"/>
      <c r="C442" s="9" t="n"/>
      <c r="D442" s="9" t="n"/>
      <c r="E442" s="9" t="n"/>
      <c r="F442" s="9" t="n"/>
      <c r="G442" s="9" t="n"/>
      <c r="H442" s="9" t="n"/>
      <c r="I442" s="10" t="n"/>
      <c r="J442" s="11" t="n"/>
      <c r="K442" s="12" t="n"/>
      <c r="L442" s="11" t="n"/>
      <c r="M442" s="12" t="n"/>
      <c r="N442" s="9" t="n"/>
      <c r="O442" s="9" t="n"/>
      <c r="P442" s="10" t="n"/>
      <c r="Q442" s="11" t="n"/>
      <c r="R442" s="12" t="n"/>
      <c r="S442" s="12" t="n"/>
      <c r="T442" s="13">
        <f>IF(B442="","",B442+3)</f>
        <v/>
      </c>
      <c r="U442" s="13">
        <f>IF(B442="","",B442+5)</f>
        <v/>
      </c>
      <c r="V442" s="13">
        <f>IF(B442="","",B442+10)</f>
        <v/>
      </c>
      <c r="W442" s="14">
        <f>IF(B442="","",(--(B442&lt;&gt;"")+--(C442&lt;&gt;"")+--(D442&lt;&gt;"")+--(E442&lt;&gt;"")+--(F442&lt;&gt;"")+--(G442&lt;&gt;"")+--(H442&lt;&gt;"")+--(I442&lt;&gt;"")+--(N442&lt;&gt;"")+--(O442&lt;&gt;"")+--(P442&lt;&gt;""))/11)</f>
        <v/>
      </c>
    </row>
    <row r="443">
      <c r="A443" s="7">
        <f>IF(B443="","",TEXT(B443,"yyyymmdd")&amp;"-"&amp;TEXT(ROW()-1,"000"))</f>
        <v/>
      </c>
      <c r="B443" s="8" t="n"/>
      <c r="C443" s="9" t="n"/>
      <c r="D443" s="9" t="n"/>
      <c r="E443" s="9" t="n"/>
      <c r="F443" s="9" t="n"/>
      <c r="G443" s="9" t="n"/>
      <c r="H443" s="9" t="n"/>
      <c r="I443" s="10" t="n"/>
      <c r="J443" s="11" t="n"/>
      <c r="K443" s="12" t="n"/>
      <c r="L443" s="11" t="n"/>
      <c r="M443" s="12" t="n"/>
      <c r="N443" s="9" t="n"/>
      <c r="O443" s="9" t="n"/>
      <c r="P443" s="10" t="n"/>
      <c r="Q443" s="11" t="n"/>
      <c r="R443" s="12" t="n"/>
      <c r="S443" s="12" t="n"/>
      <c r="T443" s="13">
        <f>IF(B443="","",B443+3)</f>
        <v/>
      </c>
      <c r="U443" s="13">
        <f>IF(B443="","",B443+5)</f>
        <v/>
      </c>
      <c r="V443" s="13">
        <f>IF(B443="","",B443+10)</f>
        <v/>
      </c>
      <c r="W443" s="14">
        <f>IF(B443="","",(--(B443&lt;&gt;"")+--(C443&lt;&gt;"")+--(D443&lt;&gt;"")+--(E443&lt;&gt;"")+--(F443&lt;&gt;"")+--(G443&lt;&gt;"")+--(H443&lt;&gt;"")+--(I443&lt;&gt;"")+--(N443&lt;&gt;"")+--(O443&lt;&gt;"")+--(P443&lt;&gt;""))/11)</f>
        <v/>
      </c>
    </row>
    <row r="444">
      <c r="A444" s="7">
        <f>IF(B444="","",TEXT(B444,"yyyymmdd")&amp;"-"&amp;TEXT(ROW()-1,"000"))</f>
        <v/>
      </c>
      <c r="B444" s="8" t="n"/>
      <c r="C444" s="9" t="n"/>
      <c r="D444" s="9" t="n"/>
      <c r="E444" s="9" t="n"/>
      <c r="F444" s="9" t="n"/>
      <c r="G444" s="9" t="n"/>
      <c r="H444" s="9" t="n"/>
      <c r="I444" s="10" t="n"/>
      <c r="J444" s="11" t="n"/>
      <c r="K444" s="12" t="n"/>
      <c r="L444" s="11" t="n"/>
      <c r="M444" s="12" t="n"/>
      <c r="N444" s="9" t="n"/>
      <c r="O444" s="9" t="n"/>
      <c r="P444" s="10" t="n"/>
      <c r="Q444" s="11" t="n"/>
      <c r="R444" s="12" t="n"/>
      <c r="S444" s="12" t="n"/>
      <c r="T444" s="13">
        <f>IF(B444="","",B444+3)</f>
        <v/>
      </c>
      <c r="U444" s="13">
        <f>IF(B444="","",B444+5)</f>
        <v/>
      </c>
      <c r="V444" s="13">
        <f>IF(B444="","",B444+10)</f>
        <v/>
      </c>
      <c r="W444" s="14">
        <f>IF(B444="","",(--(B444&lt;&gt;"")+--(C444&lt;&gt;"")+--(D444&lt;&gt;"")+--(E444&lt;&gt;"")+--(F444&lt;&gt;"")+--(G444&lt;&gt;"")+--(H444&lt;&gt;"")+--(I444&lt;&gt;"")+--(N444&lt;&gt;"")+--(O444&lt;&gt;"")+--(P444&lt;&gt;""))/11)</f>
        <v/>
      </c>
    </row>
    <row r="445">
      <c r="A445" s="7">
        <f>IF(B445="","",TEXT(B445,"yyyymmdd")&amp;"-"&amp;TEXT(ROW()-1,"000"))</f>
        <v/>
      </c>
      <c r="B445" s="8" t="n"/>
      <c r="C445" s="9" t="n"/>
      <c r="D445" s="9" t="n"/>
      <c r="E445" s="9" t="n"/>
      <c r="F445" s="9" t="n"/>
      <c r="G445" s="9" t="n"/>
      <c r="H445" s="9" t="n"/>
      <c r="I445" s="10" t="n"/>
      <c r="J445" s="11" t="n"/>
      <c r="K445" s="12" t="n"/>
      <c r="L445" s="11" t="n"/>
      <c r="M445" s="12" t="n"/>
      <c r="N445" s="9" t="n"/>
      <c r="O445" s="9" t="n"/>
      <c r="P445" s="10" t="n"/>
      <c r="Q445" s="11" t="n"/>
      <c r="R445" s="12" t="n"/>
      <c r="S445" s="12" t="n"/>
      <c r="T445" s="13">
        <f>IF(B445="","",B445+3)</f>
        <v/>
      </c>
      <c r="U445" s="13">
        <f>IF(B445="","",B445+5)</f>
        <v/>
      </c>
      <c r="V445" s="13">
        <f>IF(B445="","",B445+10)</f>
        <v/>
      </c>
      <c r="W445" s="14">
        <f>IF(B445="","",(--(B445&lt;&gt;"")+--(C445&lt;&gt;"")+--(D445&lt;&gt;"")+--(E445&lt;&gt;"")+--(F445&lt;&gt;"")+--(G445&lt;&gt;"")+--(H445&lt;&gt;"")+--(I445&lt;&gt;"")+--(N445&lt;&gt;"")+--(O445&lt;&gt;"")+--(P445&lt;&gt;""))/11)</f>
        <v/>
      </c>
    </row>
    <row r="446">
      <c r="A446" s="7">
        <f>IF(B446="","",TEXT(B446,"yyyymmdd")&amp;"-"&amp;TEXT(ROW()-1,"000"))</f>
        <v/>
      </c>
      <c r="B446" s="8" t="n"/>
      <c r="C446" s="9" t="n"/>
      <c r="D446" s="9" t="n"/>
      <c r="E446" s="9" t="n"/>
      <c r="F446" s="9" t="n"/>
      <c r="G446" s="9" t="n"/>
      <c r="H446" s="9" t="n"/>
      <c r="I446" s="10" t="n"/>
      <c r="J446" s="11" t="n"/>
      <c r="K446" s="12" t="n"/>
      <c r="L446" s="11" t="n"/>
      <c r="M446" s="12" t="n"/>
      <c r="N446" s="9" t="n"/>
      <c r="O446" s="9" t="n"/>
      <c r="P446" s="10" t="n"/>
      <c r="Q446" s="11" t="n"/>
      <c r="R446" s="12" t="n"/>
      <c r="S446" s="12" t="n"/>
      <c r="T446" s="13">
        <f>IF(B446="","",B446+3)</f>
        <v/>
      </c>
      <c r="U446" s="13">
        <f>IF(B446="","",B446+5)</f>
        <v/>
      </c>
      <c r="V446" s="13">
        <f>IF(B446="","",B446+10)</f>
        <v/>
      </c>
      <c r="W446" s="14">
        <f>IF(B446="","",(--(B446&lt;&gt;"")+--(C446&lt;&gt;"")+--(D446&lt;&gt;"")+--(E446&lt;&gt;"")+--(F446&lt;&gt;"")+--(G446&lt;&gt;"")+--(H446&lt;&gt;"")+--(I446&lt;&gt;"")+--(N446&lt;&gt;"")+--(O446&lt;&gt;"")+--(P446&lt;&gt;""))/11)</f>
        <v/>
      </c>
    </row>
    <row r="447">
      <c r="A447" s="7">
        <f>IF(B447="","",TEXT(B447,"yyyymmdd")&amp;"-"&amp;TEXT(ROW()-1,"000"))</f>
        <v/>
      </c>
      <c r="B447" s="8" t="n"/>
      <c r="C447" s="9" t="n"/>
      <c r="D447" s="9" t="n"/>
      <c r="E447" s="9" t="n"/>
      <c r="F447" s="9" t="n"/>
      <c r="G447" s="9" t="n"/>
      <c r="H447" s="9" t="n"/>
      <c r="I447" s="10" t="n"/>
      <c r="J447" s="11" t="n"/>
      <c r="K447" s="12" t="n"/>
      <c r="L447" s="11" t="n"/>
      <c r="M447" s="12" t="n"/>
      <c r="N447" s="9" t="n"/>
      <c r="O447" s="9" t="n"/>
      <c r="P447" s="10" t="n"/>
      <c r="Q447" s="11" t="n"/>
      <c r="R447" s="12" t="n"/>
      <c r="S447" s="12" t="n"/>
      <c r="T447" s="13">
        <f>IF(B447="","",B447+3)</f>
        <v/>
      </c>
      <c r="U447" s="13">
        <f>IF(B447="","",B447+5)</f>
        <v/>
      </c>
      <c r="V447" s="13">
        <f>IF(B447="","",B447+10)</f>
        <v/>
      </c>
      <c r="W447" s="14">
        <f>IF(B447="","",(--(B447&lt;&gt;"")+--(C447&lt;&gt;"")+--(D447&lt;&gt;"")+--(E447&lt;&gt;"")+--(F447&lt;&gt;"")+--(G447&lt;&gt;"")+--(H447&lt;&gt;"")+--(I447&lt;&gt;"")+--(N447&lt;&gt;"")+--(O447&lt;&gt;"")+--(P447&lt;&gt;""))/11)</f>
        <v/>
      </c>
    </row>
    <row r="448">
      <c r="A448" s="7">
        <f>IF(B448="","",TEXT(B448,"yyyymmdd")&amp;"-"&amp;TEXT(ROW()-1,"000"))</f>
        <v/>
      </c>
      <c r="B448" s="8" t="n"/>
      <c r="C448" s="9" t="n"/>
      <c r="D448" s="9" t="n"/>
      <c r="E448" s="9" t="n"/>
      <c r="F448" s="9" t="n"/>
      <c r="G448" s="9" t="n"/>
      <c r="H448" s="9" t="n"/>
      <c r="I448" s="10" t="n"/>
      <c r="J448" s="11" t="n"/>
      <c r="K448" s="12" t="n"/>
      <c r="L448" s="11" t="n"/>
      <c r="M448" s="12" t="n"/>
      <c r="N448" s="9" t="n"/>
      <c r="O448" s="9" t="n"/>
      <c r="P448" s="10" t="n"/>
      <c r="Q448" s="11" t="n"/>
      <c r="R448" s="12" t="n"/>
      <c r="S448" s="12" t="n"/>
      <c r="T448" s="13">
        <f>IF(B448="","",B448+3)</f>
        <v/>
      </c>
      <c r="U448" s="13">
        <f>IF(B448="","",B448+5)</f>
        <v/>
      </c>
      <c r="V448" s="13">
        <f>IF(B448="","",B448+10)</f>
        <v/>
      </c>
      <c r="W448" s="14">
        <f>IF(B448="","",(--(B448&lt;&gt;"")+--(C448&lt;&gt;"")+--(D448&lt;&gt;"")+--(E448&lt;&gt;"")+--(F448&lt;&gt;"")+--(G448&lt;&gt;"")+--(H448&lt;&gt;"")+--(I448&lt;&gt;"")+--(N448&lt;&gt;"")+--(O448&lt;&gt;"")+--(P448&lt;&gt;""))/11)</f>
        <v/>
      </c>
    </row>
    <row r="449">
      <c r="A449" s="7">
        <f>IF(B449="","",TEXT(B449,"yyyymmdd")&amp;"-"&amp;TEXT(ROW()-1,"000"))</f>
        <v/>
      </c>
      <c r="B449" s="8" t="n"/>
      <c r="C449" s="9" t="n"/>
      <c r="D449" s="9" t="n"/>
      <c r="E449" s="9" t="n"/>
      <c r="F449" s="9" t="n"/>
      <c r="G449" s="9" t="n"/>
      <c r="H449" s="9" t="n"/>
      <c r="I449" s="10" t="n"/>
      <c r="J449" s="11" t="n"/>
      <c r="K449" s="12" t="n"/>
      <c r="L449" s="11" t="n"/>
      <c r="M449" s="12" t="n"/>
      <c r="N449" s="9" t="n"/>
      <c r="O449" s="9" t="n"/>
      <c r="P449" s="10" t="n"/>
      <c r="Q449" s="11" t="n"/>
      <c r="R449" s="12" t="n"/>
      <c r="S449" s="12" t="n"/>
      <c r="T449" s="13">
        <f>IF(B449="","",B449+3)</f>
        <v/>
      </c>
      <c r="U449" s="13">
        <f>IF(B449="","",B449+5)</f>
        <v/>
      </c>
      <c r="V449" s="13">
        <f>IF(B449="","",B449+10)</f>
        <v/>
      </c>
      <c r="W449" s="14">
        <f>IF(B449="","",(--(B449&lt;&gt;"")+--(C449&lt;&gt;"")+--(D449&lt;&gt;"")+--(E449&lt;&gt;"")+--(F449&lt;&gt;"")+--(G449&lt;&gt;"")+--(H449&lt;&gt;"")+--(I449&lt;&gt;"")+--(N449&lt;&gt;"")+--(O449&lt;&gt;"")+--(P449&lt;&gt;""))/11)</f>
        <v/>
      </c>
    </row>
    <row r="450">
      <c r="A450" s="7">
        <f>IF(B450="","",TEXT(B450,"yyyymmdd")&amp;"-"&amp;TEXT(ROW()-1,"000"))</f>
        <v/>
      </c>
      <c r="B450" s="8" t="n"/>
      <c r="C450" s="9" t="n"/>
      <c r="D450" s="9" t="n"/>
      <c r="E450" s="9" t="n"/>
      <c r="F450" s="9" t="n"/>
      <c r="G450" s="9" t="n"/>
      <c r="H450" s="9" t="n"/>
      <c r="I450" s="10" t="n"/>
      <c r="J450" s="11" t="n"/>
      <c r="K450" s="12" t="n"/>
      <c r="L450" s="11" t="n"/>
      <c r="M450" s="12" t="n"/>
      <c r="N450" s="9" t="n"/>
      <c r="O450" s="9" t="n"/>
      <c r="P450" s="10" t="n"/>
      <c r="Q450" s="11" t="n"/>
      <c r="R450" s="12" t="n"/>
      <c r="S450" s="12" t="n"/>
      <c r="T450" s="13">
        <f>IF(B450="","",B450+3)</f>
        <v/>
      </c>
      <c r="U450" s="13">
        <f>IF(B450="","",B450+5)</f>
        <v/>
      </c>
      <c r="V450" s="13">
        <f>IF(B450="","",B450+10)</f>
        <v/>
      </c>
      <c r="W450" s="14">
        <f>IF(B450="","",(--(B450&lt;&gt;"")+--(C450&lt;&gt;"")+--(D450&lt;&gt;"")+--(E450&lt;&gt;"")+--(F450&lt;&gt;"")+--(G450&lt;&gt;"")+--(H450&lt;&gt;"")+--(I450&lt;&gt;"")+--(N450&lt;&gt;"")+--(O450&lt;&gt;"")+--(P450&lt;&gt;""))/11)</f>
        <v/>
      </c>
    </row>
    <row r="451">
      <c r="A451" s="7">
        <f>IF(B451="","",TEXT(B451,"yyyymmdd")&amp;"-"&amp;TEXT(ROW()-1,"000"))</f>
        <v/>
      </c>
      <c r="B451" s="8" t="n"/>
      <c r="C451" s="9" t="n"/>
      <c r="D451" s="9" t="n"/>
      <c r="E451" s="9" t="n"/>
      <c r="F451" s="9" t="n"/>
      <c r="G451" s="9" t="n"/>
      <c r="H451" s="9" t="n"/>
      <c r="I451" s="10" t="n"/>
      <c r="J451" s="11" t="n"/>
      <c r="K451" s="12" t="n"/>
      <c r="L451" s="11" t="n"/>
      <c r="M451" s="12" t="n"/>
      <c r="N451" s="9" t="n"/>
      <c r="O451" s="9" t="n"/>
      <c r="P451" s="10" t="n"/>
      <c r="Q451" s="11" t="n"/>
      <c r="R451" s="12" t="n"/>
      <c r="S451" s="12" t="n"/>
      <c r="T451" s="13">
        <f>IF(B451="","",B451+3)</f>
        <v/>
      </c>
      <c r="U451" s="13">
        <f>IF(B451="","",B451+5)</f>
        <v/>
      </c>
      <c r="V451" s="13">
        <f>IF(B451="","",B451+10)</f>
        <v/>
      </c>
      <c r="W451" s="14">
        <f>IF(B451="","",(--(B451&lt;&gt;"")+--(C451&lt;&gt;"")+--(D451&lt;&gt;"")+--(E451&lt;&gt;"")+--(F451&lt;&gt;"")+--(G451&lt;&gt;"")+--(H451&lt;&gt;"")+--(I451&lt;&gt;"")+--(N451&lt;&gt;"")+--(O451&lt;&gt;"")+--(P451&lt;&gt;""))/11)</f>
        <v/>
      </c>
    </row>
    <row r="452">
      <c r="A452" s="7">
        <f>IF(B452="","",TEXT(B452,"yyyymmdd")&amp;"-"&amp;TEXT(ROW()-1,"000"))</f>
        <v/>
      </c>
      <c r="B452" s="8" t="n"/>
      <c r="C452" s="9" t="n"/>
      <c r="D452" s="9" t="n"/>
      <c r="E452" s="9" t="n"/>
      <c r="F452" s="9" t="n"/>
      <c r="G452" s="9" t="n"/>
      <c r="H452" s="9" t="n"/>
      <c r="I452" s="10" t="n"/>
      <c r="J452" s="11" t="n"/>
      <c r="K452" s="12" t="n"/>
      <c r="L452" s="11" t="n"/>
      <c r="M452" s="12" t="n"/>
      <c r="N452" s="9" t="n"/>
      <c r="O452" s="9" t="n"/>
      <c r="P452" s="10" t="n"/>
      <c r="Q452" s="11" t="n"/>
      <c r="R452" s="12" t="n"/>
      <c r="S452" s="12" t="n"/>
      <c r="T452" s="13">
        <f>IF(B452="","",B452+3)</f>
        <v/>
      </c>
      <c r="U452" s="13">
        <f>IF(B452="","",B452+5)</f>
        <v/>
      </c>
      <c r="V452" s="13">
        <f>IF(B452="","",B452+10)</f>
        <v/>
      </c>
      <c r="W452" s="14">
        <f>IF(B452="","",(--(B452&lt;&gt;"")+--(C452&lt;&gt;"")+--(D452&lt;&gt;"")+--(E452&lt;&gt;"")+--(F452&lt;&gt;"")+--(G452&lt;&gt;"")+--(H452&lt;&gt;"")+--(I452&lt;&gt;"")+--(N452&lt;&gt;"")+--(O452&lt;&gt;"")+--(P452&lt;&gt;""))/11)</f>
        <v/>
      </c>
    </row>
    <row r="453">
      <c r="A453" s="7">
        <f>IF(B453="","",TEXT(B453,"yyyymmdd")&amp;"-"&amp;TEXT(ROW()-1,"000"))</f>
        <v/>
      </c>
      <c r="B453" s="8" t="n"/>
      <c r="C453" s="9" t="n"/>
      <c r="D453" s="9" t="n"/>
      <c r="E453" s="9" t="n"/>
      <c r="F453" s="9" t="n"/>
      <c r="G453" s="9" t="n"/>
      <c r="H453" s="9" t="n"/>
      <c r="I453" s="10" t="n"/>
      <c r="J453" s="11" t="n"/>
      <c r="K453" s="12" t="n"/>
      <c r="L453" s="11" t="n"/>
      <c r="M453" s="12" t="n"/>
      <c r="N453" s="9" t="n"/>
      <c r="O453" s="9" t="n"/>
      <c r="P453" s="10" t="n"/>
      <c r="Q453" s="11" t="n"/>
      <c r="R453" s="12" t="n"/>
      <c r="S453" s="12" t="n"/>
      <c r="T453" s="13">
        <f>IF(B453="","",B453+3)</f>
        <v/>
      </c>
      <c r="U453" s="13">
        <f>IF(B453="","",B453+5)</f>
        <v/>
      </c>
      <c r="V453" s="13">
        <f>IF(B453="","",B453+10)</f>
        <v/>
      </c>
      <c r="W453" s="14">
        <f>IF(B453="","",(--(B453&lt;&gt;"")+--(C453&lt;&gt;"")+--(D453&lt;&gt;"")+--(E453&lt;&gt;"")+--(F453&lt;&gt;"")+--(G453&lt;&gt;"")+--(H453&lt;&gt;"")+--(I453&lt;&gt;"")+--(N453&lt;&gt;"")+--(O453&lt;&gt;"")+--(P453&lt;&gt;""))/11)</f>
        <v/>
      </c>
    </row>
    <row r="454">
      <c r="A454" s="7">
        <f>IF(B454="","",TEXT(B454,"yyyymmdd")&amp;"-"&amp;TEXT(ROW()-1,"000"))</f>
        <v/>
      </c>
      <c r="B454" s="8" t="n"/>
      <c r="C454" s="9" t="n"/>
      <c r="D454" s="9" t="n"/>
      <c r="E454" s="9" t="n"/>
      <c r="F454" s="9" t="n"/>
      <c r="G454" s="9" t="n"/>
      <c r="H454" s="9" t="n"/>
      <c r="I454" s="10" t="n"/>
      <c r="J454" s="11" t="n"/>
      <c r="K454" s="12" t="n"/>
      <c r="L454" s="11" t="n"/>
      <c r="M454" s="12" t="n"/>
      <c r="N454" s="9" t="n"/>
      <c r="O454" s="9" t="n"/>
      <c r="P454" s="10" t="n"/>
      <c r="Q454" s="11" t="n"/>
      <c r="R454" s="12" t="n"/>
      <c r="S454" s="12" t="n"/>
      <c r="T454" s="13">
        <f>IF(B454="","",B454+3)</f>
        <v/>
      </c>
      <c r="U454" s="13">
        <f>IF(B454="","",B454+5)</f>
        <v/>
      </c>
      <c r="V454" s="13">
        <f>IF(B454="","",B454+10)</f>
        <v/>
      </c>
      <c r="W454" s="14">
        <f>IF(B454="","",(--(B454&lt;&gt;"")+--(C454&lt;&gt;"")+--(D454&lt;&gt;"")+--(E454&lt;&gt;"")+--(F454&lt;&gt;"")+--(G454&lt;&gt;"")+--(H454&lt;&gt;"")+--(I454&lt;&gt;"")+--(N454&lt;&gt;"")+--(O454&lt;&gt;"")+--(P454&lt;&gt;""))/11)</f>
        <v/>
      </c>
    </row>
    <row r="455">
      <c r="A455" s="7">
        <f>IF(B455="","",TEXT(B455,"yyyymmdd")&amp;"-"&amp;TEXT(ROW()-1,"000"))</f>
        <v/>
      </c>
      <c r="B455" s="8" t="n"/>
      <c r="C455" s="9" t="n"/>
      <c r="D455" s="9" t="n"/>
      <c r="E455" s="9" t="n"/>
      <c r="F455" s="9" t="n"/>
      <c r="G455" s="9" t="n"/>
      <c r="H455" s="9" t="n"/>
      <c r="I455" s="10" t="n"/>
      <c r="J455" s="11" t="n"/>
      <c r="K455" s="12" t="n"/>
      <c r="L455" s="11" t="n"/>
      <c r="M455" s="12" t="n"/>
      <c r="N455" s="9" t="n"/>
      <c r="O455" s="9" t="n"/>
      <c r="P455" s="10" t="n"/>
      <c r="Q455" s="11" t="n"/>
      <c r="R455" s="12" t="n"/>
      <c r="S455" s="12" t="n"/>
      <c r="T455" s="13">
        <f>IF(B455="","",B455+3)</f>
        <v/>
      </c>
      <c r="U455" s="13">
        <f>IF(B455="","",B455+5)</f>
        <v/>
      </c>
      <c r="V455" s="13">
        <f>IF(B455="","",B455+10)</f>
        <v/>
      </c>
      <c r="W455" s="14">
        <f>IF(B455="","",(--(B455&lt;&gt;"")+--(C455&lt;&gt;"")+--(D455&lt;&gt;"")+--(E455&lt;&gt;"")+--(F455&lt;&gt;"")+--(G455&lt;&gt;"")+--(H455&lt;&gt;"")+--(I455&lt;&gt;"")+--(N455&lt;&gt;"")+--(O455&lt;&gt;"")+--(P455&lt;&gt;""))/11)</f>
        <v/>
      </c>
    </row>
    <row r="456">
      <c r="A456" s="7">
        <f>IF(B456="","",TEXT(B456,"yyyymmdd")&amp;"-"&amp;TEXT(ROW()-1,"000"))</f>
        <v/>
      </c>
      <c r="B456" s="8" t="n"/>
      <c r="C456" s="9" t="n"/>
      <c r="D456" s="9" t="n"/>
      <c r="E456" s="9" t="n"/>
      <c r="F456" s="9" t="n"/>
      <c r="G456" s="9" t="n"/>
      <c r="H456" s="9" t="n"/>
      <c r="I456" s="10" t="n"/>
      <c r="J456" s="11" t="n"/>
      <c r="K456" s="12" t="n"/>
      <c r="L456" s="11" t="n"/>
      <c r="M456" s="12" t="n"/>
      <c r="N456" s="9" t="n"/>
      <c r="O456" s="9" t="n"/>
      <c r="P456" s="10" t="n"/>
      <c r="Q456" s="11" t="n"/>
      <c r="R456" s="12" t="n"/>
      <c r="S456" s="12" t="n"/>
      <c r="T456" s="13">
        <f>IF(B456="","",B456+3)</f>
        <v/>
      </c>
      <c r="U456" s="13">
        <f>IF(B456="","",B456+5)</f>
        <v/>
      </c>
      <c r="V456" s="13">
        <f>IF(B456="","",B456+10)</f>
        <v/>
      </c>
      <c r="W456" s="14">
        <f>IF(B456="","",(--(B456&lt;&gt;"")+--(C456&lt;&gt;"")+--(D456&lt;&gt;"")+--(E456&lt;&gt;"")+--(F456&lt;&gt;"")+--(G456&lt;&gt;"")+--(H456&lt;&gt;"")+--(I456&lt;&gt;"")+--(N456&lt;&gt;"")+--(O456&lt;&gt;"")+--(P456&lt;&gt;""))/11)</f>
        <v/>
      </c>
    </row>
    <row r="457">
      <c r="A457" s="7">
        <f>IF(B457="","",TEXT(B457,"yyyymmdd")&amp;"-"&amp;TEXT(ROW()-1,"000"))</f>
        <v/>
      </c>
      <c r="B457" s="8" t="n"/>
      <c r="C457" s="9" t="n"/>
      <c r="D457" s="9" t="n"/>
      <c r="E457" s="9" t="n"/>
      <c r="F457" s="9" t="n"/>
      <c r="G457" s="9" t="n"/>
      <c r="H457" s="9" t="n"/>
      <c r="I457" s="10" t="n"/>
      <c r="J457" s="11" t="n"/>
      <c r="K457" s="12" t="n"/>
      <c r="L457" s="11" t="n"/>
      <c r="M457" s="12" t="n"/>
      <c r="N457" s="9" t="n"/>
      <c r="O457" s="9" t="n"/>
      <c r="P457" s="10" t="n"/>
      <c r="Q457" s="11" t="n"/>
      <c r="R457" s="12" t="n"/>
      <c r="S457" s="12" t="n"/>
      <c r="T457" s="13">
        <f>IF(B457="","",B457+3)</f>
        <v/>
      </c>
      <c r="U457" s="13">
        <f>IF(B457="","",B457+5)</f>
        <v/>
      </c>
      <c r="V457" s="13">
        <f>IF(B457="","",B457+10)</f>
        <v/>
      </c>
      <c r="W457" s="14">
        <f>IF(B457="","",(--(B457&lt;&gt;"")+--(C457&lt;&gt;"")+--(D457&lt;&gt;"")+--(E457&lt;&gt;"")+--(F457&lt;&gt;"")+--(G457&lt;&gt;"")+--(H457&lt;&gt;"")+--(I457&lt;&gt;"")+--(N457&lt;&gt;"")+--(O457&lt;&gt;"")+--(P457&lt;&gt;""))/11)</f>
        <v/>
      </c>
    </row>
    <row r="458">
      <c r="A458" s="7">
        <f>IF(B458="","",TEXT(B458,"yyyymmdd")&amp;"-"&amp;TEXT(ROW()-1,"000"))</f>
        <v/>
      </c>
      <c r="B458" s="8" t="n"/>
      <c r="C458" s="9" t="n"/>
      <c r="D458" s="9" t="n"/>
      <c r="E458" s="9" t="n"/>
      <c r="F458" s="9" t="n"/>
      <c r="G458" s="9" t="n"/>
      <c r="H458" s="9" t="n"/>
      <c r="I458" s="10" t="n"/>
      <c r="J458" s="11" t="n"/>
      <c r="K458" s="12" t="n"/>
      <c r="L458" s="11" t="n"/>
      <c r="M458" s="12" t="n"/>
      <c r="N458" s="9" t="n"/>
      <c r="O458" s="9" t="n"/>
      <c r="P458" s="10" t="n"/>
      <c r="Q458" s="11" t="n"/>
      <c r="R458" s="12" t="n"/>
      <c r="S458" s="12" t="n"/>
      <c r="T458" s="13">
        <f>IF(B458="","",B458+3)</f>
        <v/>
      </c>
      <c r="U458" s="13">
        <f>IF(B458="","",B458+5)</f>
        <v/>
      </c>
      <c r="V458" s="13">
        <f>IF(B458="","",B458+10)</f>
        <v/>
      </c>
      <c r="W458" s="14">
        <f>IF(B458="","",(--(B458&lt;&gt;"")+--(C458&lt;&gt;"")+--(D458&lt;&gt;"")+--(E458&lt;&gt;"")+--(F458&lt;&gt;"")+--(G458&lt;&gt;"")+--(H458&lt;&gt;"")+--(I458&lt;&gt;"")+--(N458&lt;&gt;"")+--(O458&lt;&gt;"")+--(P458&lt;&gt;""))/11)</f>
        <v/>
      </c>
    </row>
    <row r="459">
      <c r="A459" s="7">
        <f>IF(B459="","",TEXT(B459,"yyyymmdd")&amp;"-"&amp;TEXT(ROW()-1,"000"))</f>
        <v/>
      </c>
      <c r="B459" s="8" t="n"/>
      <c r="C459" s="9" t="n"/>
      <c r="D459" s="9" t="n"/>
      <c r="E459" s="9" t="n"/>
      <c r="F459" s="9" t="n"/>
      <c r="G459" s="9" t="n"/>
      <c r="H459" s="9" t="n"/>
      <c r="I459" s="10" t="n"/>
      <c r="J459" s="11" t="n"/>
      <c r="K459" s="12" t="n"/>
      <c r="L459" s="11" t="n"/>
      <c r="M459" s="12" t="n"/>
      <c r="N459" s="9" t="n"/>
      <c r="O459" s="9" t="n"/>
      <c r="P459" s="10" t="n"/>
      <c r="Q459" s="11" t="n"/>
      <c r="R459" s="12" t="n"/>
      <c r="S459" s="12" t="n"/>
      <c r="T459" s="13">
        <f>IF(B459="","",B459+3)</f>
        <v/>
      </c>
      <c r="U459" s="13">
        <f>IF(B459="","",B459+5)</f>
        <v/>
      </c>
      <c r="V459" s="13">
        <f>IF(B459="","",B459+10)</f>
        <v/>
      </c>
      <c r="W459" s="14">
        <f>IF(B459="","",(--(B459&lt;&gt;"")+--(C459&lt;&gt;"")+--(D459&lt;&gt;"")+--(E459&lt;&gt;"")+--(F459&lt;&gt;"")+--(G459&lt;&gt;"")+--(H459&lt;&gt;"")+--(I459&lt;&gt;"")+--(N459&lt;&gt;"")+--(O459&lt;&gt;"")+--(P459&lt;&gt;""))/11)</f>
        <v/>
      </c>
    </row>
    <row r="460">
      <c r="A460" s="7">
        <f>IF(B460="","",TEXT(B460,"yyyymmdd")&amp;"-"&amp;TEXT(ROW()-1,"000"))</f>
        <v/>
      </c>
      <c r="B460" s="8" t="n"/>
      <c r="C460" s="9" t="n"/>
      <c r="D460" s="9" t="n"/>
      <c r="E460" s="9" t="n"/>
      <c r="F460" s="9" t="n"/>
      <c r="G460" s="9" t="n"/>
      <c r="H460" s="9" t="n"/>
      <c r="I460" s="10" t="n"/>
      <c r="J460" s="11" t="n"/>
      <c r="K460" s="12" t="n"/>
      <c r="L460" s="11" t="n"/>
      <c r="M460" s="12" t="n"/>
      <c r="N460" s="9" t="n"/>
      <c r="O460" s="9" t="n"/>
      <c r="P460" s="10" t="n"/>
      <c r="Q460" s="11" t="n"/>
      <c r="R460" s="12" t="n"/>
      <c r="S460" s="12" t="n"/>
      <c r="T460" s="13">
        <f>IF(B460="","",B460+3)</f>
        <v/>
      </c>
      <c r="U460" s="13">
        <f>IF(B460="","",B460+5)</f>
        <v/>
      </c>
      <c r="V460" s="13">
        <f>IF(B460="","",B460+10)</f>
        <v/>
      </c>
      <c r="W460" s="14">
        <f>IF(B460="","",(--(B460&lt;&gt;"")+--(C460&lt;&gt;"")+--(D460&lt;&gt;"")+--(E460&lt;&gt;"")+--(F460&lt;&gt;"")+--(G460&lt;&gt;"")+--(H460&lt;&gt;"")+--(I460&lt;&gt;"")+--(N460&lt;&gt;"")+--(O460&lt;&gt;"")+--(P460&lt;&gt;""))/11)</f>
        <v/>
      </c>
    </row>
    <row r="461">
      <c r="A461" s="7">
        <f>IF(B461="","",TEXT(B461,"yyyymmdd")&amp;"-"&amp;TEXT(ROW()-1,"000"))</f>
        <v/>
      </c>
      <c r="B461" s="8" t="n"/>
      <c r="C461" s="9" t="n"/>
      <c r="D461" s="9" t="n"/>
      <c r="E461" s="9" t="n"/>
      <c r="F461" s="9" t="n"/>
      <c r="G461" s="9" t="n"/>
      <c r="H461" s="9" t="n"/>
      <c r="I461" s="10" t="n"/>
      <c r="J461" s="11" t="n"/>
      <c r="K461" s="12" t="n"/>
      <c r="L461" s="11" t="n"/>
      <c r="M461" s="12" t="n"/>
      <c r="N461" s="9" t="n"/>
      <c r="O461" s="9" t="n"/>
      <c r="P461" s="10" t="n"/>
      <c r="Q461" s="11" t="n"/>
      <c r="R461" s="12" t="n"/>
      <c r="S461" s="12" t="n"/>
      <c r="T461" s="13">
        <f>IF(B461="","",B461+3)</f>
        <v/>
      </c>
      <c r="U461" s="13">
        <f>IF(B461="","",B461+5)</f>
        <v/>
      </c>
      <c r="V461" s="13">
        <f>IF(B461="","",B461+10)</f>
        <v/>
      </c>
      <c r="W461" s="14">
        <f>IF(B461="","",(--(B461&lt;&gt;"")+--(C461&lt;&gt;"")+--(D461&lt;&gt;"")+--(E461&lt;&gt;"")+--(F461&lt;&gt;"")+--(G461&lt;&gt;"")+--(H461&lt;&gt;"")+--(I461&lt;&gt;"")+--(N461&lt;&gt;"")+--(O461&lt;&gt;"")+--(P461&lt;&gt;""))/11)</f>
        <v/>
      </c>
    </row>
    <row r="462">
      <c r="A462" s="7">
        <f>IF(B462="","",TEXT(B462,"yyyymmdd")&amp;"-"&amp;TEXT(ROW()-1,"000"))</f>
        <v/>
      </c>
      <c r="B462" s="8" t="n"/>
      <c r="C462" s="9" t="n"/>
      <c r="D462" s="9" t="n"/>
      <c r="E462" s="9" t="n"/>
      <c r="F462" s="9" t="n"/>
      <c r="G462" s="9" t="n"/>
      <c r="H462" s="9" t="n"/>
      <c r="I462" s="10" t="n"/>
      <c r="J462" s="11" t="n"/>
      <c r="K462" s="12" t="n"/>
      <c r="L462" s="11" t="n"/>
      <c r="M462" s="12" t="n"/>
      <c r="N462" s="9" t="n"/>
      <c r="O462" s="9" t="n"/>
      <c r="P462" s="10" t="n"/>
      <c r="Q462" s="11" t="n"/>
      <c r="R462" s="12" t="n"/>
      <c r="S462" s="12" t="n"/>
      <c r="T462" s="13">
        <f>IF(B462="","",B462+3)</f>
        <v/>
      </c>
      <c r="U462" s="13">
        <f>IF(B462="","",B462+5)</f>
        <v/>
      </c>
      <c r="V462" s="13">
        <f>IF(B462="","",B462+10)</f>
        <v/>
      </c>
      <c r="W462" s="14">
        <f>IF(B462="","",(--(B462&lt;&gt;"")+--(C462&lt;&gt;"")+--(D462&lt;&gt;"")+--(E462&lt;&gt;"")+--(F462&lt;&gt;"")+--(G462&lt;&gt;"")+--(H462&lt;&gt;"")+--(I462&lt;&gt;"")+--(N462&lt;&gt;"")+--(O462&lt;&gt;"")+--(P462&lt;&gt;""))/11)</f>
        <v/>
      </c>
    </row>
    <row r="463">
      <c r="A463" s="7">
        <f>IF(B463="","",TEXT(B463,"yyyymmdd")&amp;"-"&amp;TEXT(ROW()-1,"000"))</f>
        <v/>
      </c>
      <c r="B463" s="8" t="n"/>
      <c r="C463" s="9" t="n"/>
      <c r="D463" s="9" t="n"/>
      <c r="E463" s="9" t="n"/>
      <c r="F463" s="9" t="n"/>
      <c r="G463" s="9" t="n"/>
      <c r="H463" s="9" t="n"/>
      <c r="I463" s="10" t="n"/>
      <c r="J463" s="11" t="n"/>
      <c r="K463" s="12" t="n"/>
      <c r="L463" s="11" t="n"/>
      <c r="M463" s="12" t="n"/>
      <c r="N463" s="9" t="n"/>
      <c r="O463" s="9" t="n"/>
      <c r="P463" s="10" t="n"/>
      <c r="Q463" s="11" t="n"/>
      <c r="R463" s="12" t="n"/>
      <c r="S463" s="12" t="n"/>
      <c r="T463" s="13">
        <f>IF(B463="","",B463+3)</f>
        <v/>
      </c>
      <c r="U463" s="13">
        <f>IF(B463="","",B463+5)</f>
        <v/>
      </c>
      <c r="V463" s="13">
        <f>IF(B463="","",B463+10)</f>
        <v/>
      </c>
      <c r="W463" s="14">
        <f>IF(B463="","",(--(B463&lt;&gt;"")+--(C463&lt;&gt;"")+--(D463&lt;&gt;"")+--(E463&lt;&gt;"")+--(F463&lt;&gt;"")+--(G463&lt;&gt;"")+--(H463&lt;&gt;"")+--(I463&lt;&gt;"")+--(N463&lt;&gt;"")+--(O463&lt;&gt;"")+--(P463&lt;&gt;""))/11)</f>
        <v/>
      </c>
    </row>
    <row r="464">
      <c r="A464" s="7">
        <f>IF(B464="","",TEXT(B464,"yyyymmdd")&amp;"-"&amp;TEXT(ROW()-1,"000"))</f>
        <v/>
      </c>
      <c r="B464" s="8" t="n"/>
      <c r="C464" s="9" t="n"/>
      <c r="D464" s="9" t="n"/>
      <c r="E464" s="9" t="n"/>
      <c r="F464" s="9" t="n"/>
      <c r="G464" s="9" t="n"/>
      <c r="H464" s="9" t="n"/>
      <c r="I464" s="10" t="n"/>
      <c r="J464" s="11" t="n"/>
      <c r="K464" s="12" t="n"/>
      <c r="L464" s="11" t="n"/>
      <c r="M464" s="12" t="n"/>
      <c r="N464" s="9" t="n"/>
      <c r="O464" s="9" t="n"/>
      <c r="P464" s="10" t="n"/>
      <c r="Q464" s="11" t="n"/>
      <c r="R464" s="12" t="n"/>
      <c r="S464" s="12" t="n"/>
      <c r="T464" s="13">
        <f>IF(B464="","",B464+3)</f>
        <v/>
      </c>
      <c r="U464" s="13">
        <f>IF(B464="","",B464+5)</f>
        <v/>
      </c>
      <c r="V464" s="13">
        <f>IF(B464="","",B464+10)</f>
        <v/>
      </c>
      <c r="W464" s="14">
        <f>IF(B464="","",(--(B464&lt;&gt;"")+--(C464&lt;&gt;"")+--(D464&lt;&gt;"")+--(E464&lt;&gt;"")+--(F464&lt;&gt;"")+--(G464&lt;&gt;"")+--(H464&lt;&gt;"")+--(I464&lt;&gt;"")+--(N464&lt;&gt;"")+--(O464&lt;&gt;"")+--(P464&lt;&gt;""))/11)</f>
        <v/>
      </c>
    </row>
    <row r="465">
      <c r="A465" s="7">
        <f>IF(B465="","",TEXT(B465,"yyyymmdd")&amp;"-"&amp;TEXT(ROW()-1,"000"))</f>
        <v/>
      </c>
      <c r="B465" s="8" t="n"/>
      <c r="C465" s="9" t="n"/>
      <c r="D465" s="9" t="n"/>
      <c r="E465" s="9" t="n"/>
      <c r="F465" s="9" t="n"/>
      <c r="G465" s="9" t="n"/>
      <c r="H465" s="9" t="n"/>
      <c r="I465" s="10" t="n"/>
      <c r="J465" s="11" t="n"/>
      <c r="K465" s="12" t="n"/>
      <c r="L465" s="11" t="n"/>
      <c r="M465" s="12" t="n"/>
      <c r="N465" s="9" t="n"/>
      <c r="O465" s="9" t="n"/>
      <c r="P465" s="10" t="n"/>
      <c r="Q465" s="11" t="n"/>
      <c r="R465" s="12" t="n"/>
      <c r="S465" s="12" t="n"/>
      <c r="T465" s="13">
        <f>IF(B465="","",B465+3)</f>
        <v/>
      </c>
      <c r="U465" s="13">
        <f>IF(B465="","",B465+5)</f>
        <v/>
      </c>
      <c r="V465" s="13">
        <f>IF(B465="","",B465+10)</f>
        <v/>
      </c>
      <c r="W465" s="14">
        <f>IF(B465="","",(--(B465&lt;&gt;"")+--(C465&lt;&gt;"")+--(D465&lt;&gt;"")+--(E465&lt;&gt;"")+--(F465&lt;&gt;"")+--(G465&lt;&gt;"")+--(H465&lt;&gt;"")+--(I465&lt;&gt;"")+--(N465&lt;&gt;"")+--(O465&lt;&gt;"")+--(P465&lt;&gt;""))/11)</f>
        <v/>
      </c>
    </row>
    <row r="466">
      <c r="A466" s="7">
        <f>IF(B466="","",TEXT(B466,"yyyymmdd")&amp;"-"&amp;TEXT(ROW()-1,"000"))</f>
        <v/>
      </c>
      <c r="B466" s="8" t="n"/>
      <c r="C466" s="9" t="n"/>
      <c r="D466" s="9" t="n"/>
      <c r="E466" s="9" t="n"/>
      <c r="F466" s="9" t="n"/>
      <c r="G466" s="9" t="n"/>
      <c r="H466" s="9" t="n"/>
      <c r="I466" s="10" t="n"/>
      <c r="J466" s="11" t="n"/>
      <c r="K466" s="12" t="n"/>
      <c r="L466" s="11" t="n"/>
      <c r="M466" s="12" t="n"/>
      <c r="N466" s="9" t="n"/>
      <c r="O466" s="9" t="n"/>
      <c r="P466" s="10" t="n"/>
      <c r="Q466" s="11" t="n"/>
      <c r="R466" s="12" t="n"/>
      <c r="S466" s="12" t="n"/>
      <c r="T466" s="13">
        <f>IF(B466="","",B466+3)</f>
        <v/>
      </c>
      <c r="U466" s="13">
        <f>IF(B466="","",B466+5)</f>
        <v/>
      </c>
      <c r="V466" s="13">
        <f>IF(B466="","",B466+10)</f>
        <v/>
      </c>
      <c r="W466" s="14">
        <f>IF(B466="","",(--(B466&lt;&gt;"")+--(C466&lt;&gt;"")+--(D466&lt;&gt;"")+--(E466&lt;&gt;"")+--(F466&lt;&gt;"")+--(G466&lt;&gt;"")+--(H466&lt;&gt;"")+--(I466&lt;&gt;"")+--(N466&lt;&gt;"")+--(O466&lt;&gt;"")+--(P466&lt;&gt;""))/11)</f>
        <v/>
      </c>
    </row>
    <row r="467">
      <c r="A467" s="7">
        <f>IF(B467="","",TEXT(B467,"yyyymmdd")&amp;"-"&amp;TEXT(ROW()-1,"000"))</f>
        <v/>
      </c>
      <c r="B467" s="8" t="n"/>
      <c r="C467" s="9" t="n"/>
      <c r="D467" s="9" t="n"/>
      <c r="E467" s="9" t="n"/>
      <c r="F467" s="9" t="n"/>
      <c r="G467" s="9" t="n"/>
      <c r="H467" s="9" t="n"/>
      <c r="I467" s="10" t="n"/>
      <c r="J467" s="11" t="n"/>
      <c r="K467" s="12" t="n"/>
      <c r="L467" s="11" t="n"/>
      <c r="M467" s="12" t="n"/>
      <c r="N467" s="9" t="n"/>
      <c r="O467" s="9" t="n"/>
      <c r="P467" s="10" t="n"/>
      <c r="Q467" s="11" t="n"/>
      <c r="R467" s="12" t="n"/>
      <c r="S467" s="12" t="n"/>
      <c r="T467" s="13">
        <f>IF(B467="","",B467+3)</f>
        <v/>
      </c>
      <c r="U467" s="13">
        <f>IF(B467="","",B467+5)</f>
        <v/>
      </c>
      <c r="V467" s="13">
        <f>IF(B467="","",B467+10)</f>
        <v/>
      </c>
      <c r="W467" s="14">
        <f>IF(B467="","",(--(B467&lt;&gt;"")+--(C467&lt;&gt;"")+--(D467&lt;&gt;"")+--(E467&lt;&gt;"")+--(F467&lt;&gt;"")+--(G467&lt;&gt;"")+--(H467&lt;&gt;"")+--(I467&lt;&gt;"")+--(N467&lt;&gt;"")+--(O467&lt;&gt;"")+--(P467&lt;&gt;""))/11)</f>
        <v/>
      </c>
    </row>
    <row r="468">
      <c r="A468" s="7">
        <f>IF(B468="","",TEXT(B468,"yyyymmdd")&amp;"-"&amp;TEXT(ROW()-1,"000"))</f>
        <v/>
      </c>
      <c r="B468" s="8" t="n"/>
      <c r="C468" s="9" t="n"/>
      <c r="D468" s="9" t="n"/>
      <c r="E468" s="9" t="n"/>
      <c r="F468" s="9" t="n"/>
      <c r="G468" s="9" t="n"/>
      <c r="H468" s="9" t="n"/>
      <c r="I468" s="10" t="n"/>
      <c r="J468" s="11" t="n"/>
      <c r="K468" s="12" t="n"/>
      <c r="L468" s="11" t="n"/>
      <c r="M468" s="12" t="n"/>
      <c r="N468" s="9" t="n"/>
      <c r="O468" s="9" t="n"/>
      <c r="P468" s="10" t="n"/>
      <c r="Q468" s="11" t="n"/>
      <c r="R468" s="12" t="n"/>
      <c r="S468" s="12" t="n"/>
      <c r="T468" s="13">
        <f>IF(B468="","",B468+3)</f>
        <v/>
      </c>
      <c r="U468" s="13">
        <f>IF(B468="","",B468+5)</f>
        <v/>
      </c>
      <c r="V468" s="13">
        <f>IF(B468="","",B468+10)</f>
        <v/>
      </c>
      <c r="W468" s="14">
        <f>IF(B468="","",(--(B468&lt;&gt;"")+--(C468&lt;&gt;"")+--(D468&lt;&gt;"")+--(E468&lt;&gt;"")+--(F468&lt;&gt;"")+--(G468&lt;&gt;"")+--(H468&lt;&gt;"")+--(I468&lt;&gt;"")+--(N468&lt;&gt;"")+--(O468&lt;&gt;"")+--(P468&lt;&gt;""))/11)</f>
        <v/>
      </c>
    </row>
    <row r="469">
      <c r="A469" s="7">
        <f>IF(B469="","",TEXT(B469,"yyyymmdd")&amp;"-"&amp;TEXT(ROW()-1,"000"))</f>
        <v/>
      </c>
      <c r="B469" s="8" t="n"/>
      <c r="C469" s="9" t="n"/>
      <c r="D469" s="9" t="n"/>
      <c r="E469" s="9" t="n"/>
      <c r="F469" s="9" t="n"/>
      <c r="G469" s="9" t="n"/>
      <c r="H469" s="9" t="n"/>
      <c r="I469" s="10" t="n"/>
      <c r="J469" s="11" t="n"/>
      <c r="K469" s="12" t="n"/>
      <c r="L469" s="11" t="n"/>
      <c r="M469" s="12" t="n"/>
      <c r="N469" s="9" t="n"/>
      <c r="O469" s="9" t="n"/>
      <c r="P469" s="10" t="n"/>
      <c r="Q469" s="11" t="n"/>
      <c r="R469" s="12" t="n"/>
      <c r="S469" s="12" t="n"/>
      <c r="T469" s="13">
        <f>IF(B469="","",B469+3)</f>
        <v/>
      </c>
      <c r="U469" s="13">
        <f>IF(B469="","",B469+5)</f>
        <v/>
      </c>
      <c r="V469" s="13">
        <f>IF(B469="","",B469+10)</f>
        <v/>
      </c>
      <c r="W469" s="14">
        <f>IF(B469="","",(--(B469&lt;&gt;"")+--(C469&lt;&gt;"")+--(D469&lt;&gt;"")+--(E469&lt;&gt;"")+--(F469&lt;&gt;"")+--(G469&lt;&gt;"")+--(H469&lt;&gt;"")+--(I469&lt;&gt;"")+--(N469&lt;&gt;"")+--(O469&lt;&gt;"")+--(P469&lt;&gt;""))/11)</f>
        <v/>
      </c>
    </row>
    <row r="470">
      <c r="A470" s="7">
        <f>IF(B470="","",TEXT(B470,"yyyymmdd")&amp;"-"&amp;TEXT(ROW()-1,"000"))</f>
        <v/>
      </c>
      <c r="B470" s="8" t="n"/>
      <c r="C470" s="9" t="n"/>
      <c r="D470" s="9" t="n"/>
      <c r="E470" s="9" t="n"/>
      <c r="F470" s="9" t="n"/>
      <c r="G470" s="9" t="n"/>
      <c r="H470" s="9" t="n"/>
      <c r="I470" s="10" t="n"/>
      <c r="J470" s="11" t="n"/>
      <c r="K470" s="12" t="n"/>
      <c r="L470" s="11" t="n"/>
      <c r="M470" s="12" t="n"/>
      <c r="N470" s="9" t="n"/>
      <c r="O470" s="9" t="n"/>
      <c r="P470" s="10" t="n"/>
      <c r="Q470" s="11" t="n"/>
      <c r="R470" s="12" t="n"/>
      <c r="S470" s="12" t="n"/>
      <c r="T470" s="13">
        <f>IF(B470="","",B470+3)</f>
        <v/>
      </c>
      <c r="U470" s="13">
        <f>IF(B470="","",B470+5)</f>
        <v/>
      </c>
      <c r="V470" s="13">
        <f>IF(B470="","",B470+10)</f>
        <v/>
      </c>
      <c r="W470" s="14">
        <f>IF(B470="","",(--(B470&lt;&gt;"")+--(C470&lt;&gt;"")+--(D470&lt;&gt;"")+--(E470&lt;&gt;"")+--(F470&lt;&gt;"")+--(G470&lt;&gt;"")+--(H470&lt;&gt;"")+--(I470&lt;&gt;"")+--(N470&lt;&gt;"")+--(O470&lt;&gt;"")+--(P470&lt;&gt;""))/11)</f>
        <v/>
      </c>
    </row>
    <row r="471">
      <c r="A471" s="7">
        <f>IF(B471="","",TEXT(B471,"yyyymmdd")&amp;"-"&amp;TEXT(ROW()-1,"000"))</f>
        <v/>
      </c>
      <c r="B471" s="8" t="n"/>
      <c r="C471" s="9" t="n"/>
      <c r="D471" s="9" t="n"/>
      <c r="E471" s="9" t="n"/>
      <c r="F471" s="9" t="n"/>
      <c r="G471" s="9" t="n"/>
      <c r="H471" s="9" t="n"/>
      <c r="I471" s="10" t="n"/>
      <c r="J471" s="11" t="n"/>
      <c r="K471" s="12" t="n"/>
      <c r="L471" s="11" t="n"/>
      <c r="M471" s="12" t="n"/>
      <c r="N471" s="9" t="n"/>
      <c r="O471" s="9" t="n"/>
      <c r="P471" s="10" t="n"/>
      <c r="Q471" s="11" t="n"/>
      <c r="R471" s="12" t="n"/>
      <c r="S471" s="12" t="n"/>
      <c r="T471" s="13">
        <f>IF(B471="","",B471+3)</f>
        <v/>
      </c>
      <c r="U471" s="13">
        <f>IF(B471="","",B471+5)</f>
        <v/>
      </c>
      <c r="V471" s="13">
        <f>IF(B471="","",B471+10)</f>
        <v/>
      </c>
      <c r="W471" s="14">
        <f>IF(B471="","",(--(B471&lt;&gt;"")+--(C471&lt;&gt;"")+--(D471&lt;&gt;"")+--(E471&lt;&gt;"")+--(F471&lt;&gt;"")+--(G471&lt;&gt;"")+--(H471&lt;&gt;"")+--(I471&lt;&gt;"")+--(N471&lt;&gt;"")+--(O471&lt;&gt;"")+--(P471&lt;&gt;""))/11)</f>
        <v/>
      </c>
    </row>
    <row r="472">
      <c r="A472" s="7">
        <f>IF(B472="","",TEXT(B472,"yyyymmdd")&amp;"-"&amp;TEXT(ROW()-1,"000"))</f>
        <v/>
      </c>
      <c r="B472" s="8" t="n"/>
      <c r="C472" s="9" t="n"/>
      <c r="D472" s="9" t="n"/>
      <c r="E472" s="9" t="n"/>
      <c r="F472" s="9" t="n"/>
      <c r="G472" s="9" t="n"/>
      <c r="H472" s="9" t="n"/>
      <c r="I472" s="10" t="n"/>
      <c r="J472" s="11" t="n"/>
      <c r="K472" s="12" t="n"/>
      <c r="L472" s="11" t="n"/>
      <c r="M472" s="12" t="n"/>
      <c r="N472" s="9" t="n"/>
      <c r="O472" s="9" t="n"/>
      <c r="P472" s="10" t="n"/>
      <c r="Q472" s="11" t="n"/>
      <c r="R472" s="12" t="n"/>
      <c r="S472" s="12" t="n"/>
      <c r="T472" s="13">
        <f>IF(B472="","",B472+3)</f>
        <v/>
      </c>
      <c r="U472" s="13">
        <f>IF(B472="","",B472+5)</f>
        <v/>
      </c>
      <c r="V472" s="13">
        <f>IF(B472="","",B472+10)</f>
        <v/>
      </c>
      <c r="W472" s="14">
        <f>IF(B472="","",(--(B472&lt;&gt;"")+--(C472&lt;&gt;"")+--(D472&lt;&gt;"")+--(E472&lt;&gt;"")+--(F472&lt;&gt;"")+--(G472&lt;&gt;"")+--(H472&lt;&gt;"")+--(I472&lt;&gt;"")+--(N472&lt;&gt;"")+--(O472&lt;&gt;"")+--(P472&lt;&gt;""))/11)</f>
        <v/>
      </c>
    </row>
    <row r="473">
      <c r="A473" s="7">
        <f>IF(B473="","",TEXT(B473,"yyyymmdd")&amp;"-"&amp;TEXT(ROW()-1,"000"))</f>
        <v/>
      </c>
      <c r="B473" s="8" t="n"/>
      <c r="C473" s="9" t="n"/>
      <c r="D473" s="9" t="n"/>
      <c r="E473" s="9" t="n"/>
      <c r="F473" s="9" t="n"/>
      <c r="G473" s="9" t="n"/>
      <c r="H473" s="9" t="n"/>
      <c r="I473" s="10" t="n"/>
      <c r="J473" s="11" t="n"/>
      <c r="K473" s="12" t="n"/>
      <c r="L473" s="11" t="n"/>
      <c r="M473" s="12" t="n"/>
      <c r="N473" s="9" t="n"/>
      <c r="O473" s="9" t="n"/>
      <c r="P473" s="10" t="n"/>
      <c r="Q473" s="11" t="n"/>
      <c r="R473" s="12" t="n"/>
      <c r="S473" s="12" t="n"/>
      <c r="T473" s="13">
        <f>IF(B473="","",B473+3)</f>
        <v/>
      </c>
      <c r="U473" s="13">
        <f>IF(B473="","",B473+5)</f>
        <v/>
      </c>
      <c r="V473" s="13">
        <f>IF(B473="","",B473+10)</f>
        <v/>
      </c>
      <c r="W473" s="14">
        <f>IF(B473="","",(--(B473&lt;&gt;"")+--(C473&lt;&gt;"")+--(D473&lt;&gt;"")+--(E473&lt;&gt;"")+--(F473&lt;&gt;"")+--(G473&lt;&gt;"")+--(H473&lt;&gt;"")+--(I473&lt;&gt;"")+--(N473&lt;&gt;"")+--(O473&lt;&gt;"")+--(P473&lt;&gt;""))/11)</f>
        <v/>
      </c>
    </row>
    <row r="474">
      <c r="A474" s="7">
        <f>IF(B474="","",TEXT(B474,"yyyymmdd")&amp;"-"&amp;TEXT(ROW()-1,"000"))</f>
        <v/>
      </c>
      <c r="B474" s="8" t="n"/>
      <c r="C474" s="9" t="n"/>
      <c r="D474" s="9" t="n"/>
      <c r="E474" s="9" t="n"/>
      <c r="F474" s="9" t="n"/>
      <c r="G474" s="9" t="n"/>
      <c r="H474" s="9" t="n"/>
      <c r="I474" s="10" t="n"/>
      <c r="J474" s="11" t="n"/>
      <c r="K474" s="12" t="n"/>
      <c r="L474" s="11" t="n"/>
      <c r="M474" s="12" t="n"/>
      <c r="N474" s="9" t="n"/>
      <c r="O474" s="9" t="n"/>
      <c r="P474" s="10" t="n"/>
      <c r="Q474" s="11" t="n"/>
      <c r="R474" s="12" t="n"/>
      <c r="S474" s="12" t="n"/>
      <c r="T474" s="13">
        <f>IF(B474="","",B474+3)</f>
        <v/>
      </c>
      <c r="U474" s="13">
        <f>IF(B474="","",B474+5)</f>
        <v/>
      </c>
      <c r="V474" s="13">
        <f>IF(B474="","",B474+10)</f>
        <v/>
      </c>
      <c r="W474" s="14">
        <f>IF(B474="","",(--(B474&lt;&gt;"")+--(C474&lt;&gt;"")+--(D474&lt;&gt;"")+--(E474&lt;&gt;"")+--(F474&lt;&gt;"")+--(G474&lt;&gt;"")+--(H474&lt;&gt;"")+--(I474&lt;&gt;"")+--(N474&lt;&gt;"")+--(O474&lt;&gt;"")+--(P474&lt;&gt;""))/11)</f>
        <v/>
      </c>
    </row>
    <row r="475">
      <c r="A475" s="7">
        <f>IF(B475="","",TEXT(B475,"yyyymmdd")&amp;"-"&amp;TEXT(ROW()-1,"000"))</f>
        <v/>
      </c>
      <c r="B475" s="8" t="n"/>
      <c r="C475" s="9" t="n"/>
      <c r="D475" s="9" t="n"/>
      <c r="E475" s="9" t="n"/>
      <c r="F475" s="9" t="n"/>
      <c r="G475" s="9" t="n"/>
      <c r="H475" s="9" t="n"/>
      <c r="I475" s="10" t="n"/>
      <c r="J475" s="11" t="n"/>
      <c r="K475" s="12" t="n"/>
      <c r="L475" s="11" t="n"/>
      <c r="M475" s="12" t="n"/>
      <c r="N475" s="9" t="n"/>
      <c r="O475" s="9" t="n"/>
      <c r="P475" s="10" t="n"/>
      <c r="Q475" s="11" t="n"/>
      <c r="R475" s="12" t="n"/>
      <c r="S475" s="12" t="n"/>
      <c r="T475" s="13">
        <f>IF(B475="","",B475+3)</f>
        <v/>
      </c>
      <c r="U475" s="13">
        <f>IF(B475="","",B475+5)</f>
        <v/>
      </c>
      <c r="V475" s="13">
        <f>IF(B475="","",B475+10)</f>
        <v/>
      </c>
      <c r="W475" s="14">
        <f>IF(B475="","",(--(B475&lt;&gt;"")+--(C475&lt;&gt;"")+--(D475&lt;&gt;"")+--(E475&lt;&gt;"")+--(F475&lt;&gt;"")+--(G475&lt;&gt;"")+--(H475&lt;&gt;"")+--(I475&lt;&gt;"")+--(N475&lt;&gt;"")+--(O475&lt;&gt;"")+--(P475&lt;&gt;""))/11)</f>
        <v/>
      </c>
    </row>
    <row r="476">
      <c r="A476" s="7">
        <f>IF(B476="","",TEXT(B476,"yyyymmdd")&amp;"-"&amp;TEXT(ROW()-1,"000"))</f>
        <v/>
      </c>
      <c r="B476" s="8" t="n"/>
      <c r="C476" s="9" t="n"/>
      <c r="D476" s="9" t="n"/>
      <c r="E476" s="9" t="n"/>
      <c r="F476" s="9" t="n"/>
      <c r="G476" s="9" t="n"/>
      <c r="H476" s="9" t="n"/>
      <c r="I476" s="10" t="n"/>
      <c r="J476" s="11" t="n"/>
      <c r="K476" s="12" t="n"/>
      <c r="L476" s="11" t="n"/>
      <c r="M476" s="12" t="n"/>
      <c r="N476" s="9" t="n"/>
      <c r="O476" s="9" t="n"/>
      <c r="P476" s="10" t="n"/>
      <c r="Q476" s="11" t="n"/>
      <c r="R476" s="12" t="n"/>
      <c r="S476" s="12" t="n"/>
      <c r="T476" s="13">
        <f>IF(B476="","",B476+3)</f>
        <v/>
      </c>
      <c r="U476" s="13">
        <f>IF(B476="","",B476+5)</f>
        <v/>
      </c>
      <c r="V476" s="13">
        <f>IF(B476="","",B476+10)</f>
        <v/>
      </c>
      <c r="W476" s="14">
        <f>IF(B476="","",(--(B476&lt;&gt;"")+--(C476&lt;&gt;"")+--(D476&lt;&gt;"")+--(E476&lt;&gt;"")+--(F476&lt;&gt;"")+--(G476&lt;&gt;"")+--(H476&lt;&gt;"")+--(I476&lt;&gt;"")+--(N476&lt;&gt;"")+--(O476&lt;&gt;"")+--(P476&lt;&gt;""))/11)</f>
        <v/>
      </c>
    </row>
    <row r="477">
      <c r="A477" s="7">
        <f>IF(B477="","",TEXT(B477,"yyyymmdd")&amp;"-"&amp;TEXT(ROW()-1,"000"))</f>
        <v/>
      </c>
      <c r="B477" s="8" t="n"/>
      <c r="C477" s="9" t="n"/>
      <c r="D477" s="9" t="n"/>
      <c r="E477" s="9" t="n"/>
      <c r="F477" s="9" t="n"/>
      <c r="G477" s="9" t="n"/>
      <c r="H477" s="9" t="n"/>
      <c r="I477" s="10" t="n"/>
      <c r="J477" s="11" t="n"/>
      <c r="K477" s="12" t="n"/>
      <c r="L477" s="11" t="n"/>
      <c r="M477" s="12" t="n"/>
      <c r="N477" s="9" t="n"/>
      <c r="O477" s="9" t="n"/>
      <c r="P477" s="10" t="n"/>
      <c r="Q477" s="11" t="n"/>
      <c r="R477" s="12" t="n"/>
      <c r="S477" s="12" t="n"/>
      <c r="T477" s="13">
        <f>IF(B477="","",B477+3)</f>
        <v/>
      </c>
      <c r="U477" s="13">
        <f>IF(B477="","",B477+5)</f>
        <v/>
      </c>
      <c r="V477" s="13">
        <f>IF(B477="","",B477+10)</f>
        <v/>
      </c>
      <c r="W477" s="14">
        <f>IF(B477="","",(--(B477&lt;&gt;"")+--(C477&lt;&gt;"")+--(D477&lt;&gt;"")+--(E477&lt;&gt;"")+--(F477&lt;&gt;"")+--(G477&lt;&gt;"")+--(H477&lt;&gt;"")+--(I477&lt;&gt;"")+--(N477&lt;&gt;"")+--(O477&lt;&gt;"")+--(P477&lt;&gt;""))/11)</f>
        <v/>
      </c>
    </row>
    <row r="478">
      <c r="A478" s="7">
        <f>IF(B478="","",TEXT(B478,"yyyymmdd")&amp;"-"&amp;TEXT(ROW()-1,"000"))</f>
        <v/>
      </c>
      <c r="B478" s="8" t="n"/>
      <c r="C478" s="9" t="n"/>
      <c r="D478" s="9" t="n"/>
      <c r="E478" s="9" t="n"/>
      <c r="F478" s="9" t="n"/>
      <c r="G478" s="9" t="n"/>
      <c r="H478" s="9" t="n"/>
      <c r="I478" s="10" t="n"/>
      <c r="J478" s="11" t="n"/>
      <c r="K478" s="12" t="n"/>
      <c r="L478" s="11" t="n"/>
      <c r="M478" s="12" t="n"/>
      <c r="N478" s="9" t="n"/>
      <c r="O478" s="9" t="n"/>
      <c r="P478" s="10" t="n"/>
      <c r="Q478" s="11" t="n"/>
      <c r="R478" s="12" t="n"/>
      <c r="S478" s="12" t="n"/>
      <c r="T478" s="13">
        <f>IF(B478="","",B478+3)</f>
        <v/>
      </c>
      <c r="U478" s="13">
        <f>IF(B478="","",B478+5)</f>
        <v/>
      </c>
      <c r="V478" s="13">
        <f>IF(B478="","",B478+10)</f>
        <v/>
      </c>
      <c r="W478" s="14">
        <f>IF(B478="","",(--(B478&lt;&gt;"")+--(C478&lt;&gt;"")+--(D478&lt;&gt;"")+--(E478&lt;&gt;"")+--(F478&lt;&gt;"")+--(G478&lt;&gt;"")+--(H478&lt;&gt;"")+--(I478&lt;&gt;"")+--(N478&lt;&gt;"")+--(O478&lt;&gt;"")+--(P478&lt;&gt;""))/11)</f>
        <v/>
      </c>
    </row>
    <row r="479">
      <c r="A479" s="7">
        <f>IF(B479="","",TEXT(B479,"yyyymmdd")&amp;"-"&amp;TEXT(ROW()-1,"000"))</f>
        <v/>
      </c>
      <c r="B479" s="8" t="n"/>
      <c r="C479" s="9" t="n"/>
      <c r="D479" s="9" t="n"/>
      <c r="E479" s="9" t="n"/>
      <c r="F479" s="9" t="n"/>
      <c r="G479" s="9" t="n"/>
      <c r="H479" s="9" t="n"/>
      <c r="I479" s="10" t="n"/>
      <c r="J479" s="11" t="n"/>
      <c r="K479" s="12" t="n"/>
      <c r="L479" s="11" t="n"/>
      <c r="M479" s="12" t="n"/>
      <c r="N479" s="9" t="n"/>
      <c r="O479" s="9" t="n"/>
      <c r="P479" s="10" t="n"/>
      <c r="Q479" s="11" t="n"/>
      <c r="R479" s="12" t="n"/>
      <c r="S479" s="12" t="n"/>
      <c r="T479" s="13">
        <f>IF(B479="","",B479+3)</f>
        <v/>
      </c>
      <c r="U479" s="13">
        <f>IF(B479="","",B479+5)</f>
        <v/>
      </c>
      <c r="V479" s="13">
        <f>IF(B479="","",B479+10)</f>
        <v/>
      </c>
      <c r="W479" s="14">
        <f>IF(B479="","",(--(B479&lt;&gt;"")+--(C479&lt;&gt;"")+--(D479&lt;&gt;"")+--(E479&lt;&gt;"")+--(F479&lt;&gt;"")+--(G479&lt;&gt;"")+--(H479&lt;&gt;"")+--(I479&lt;&gt;"")+--(N479&lt;&gt;"")+--(O479&lt;&gt;"")+--(P479&lt;&gt;""))/11)</f>
        <v/>
      </c>
    </row>
    <row r="480">
      <c r="A480" s="7">
        <f>IF(B480="","",TEXT(B480,"yyyymmdd")&amp;"-"&amp;TEXT(ROW()-1,"000"))</f>
        <v/>
      </c>
      <c r="B480" s="8" t="n"/>
      <c r="C480" s="9" t="n"/>
      <c r="D480" s="9" t="n"/>
      <c r="E480" s="9" t="n"/>
      <c r="F480" s="9" t="n"/>
      <c r="G480" s="9" t="n"/>
      <c r="H480" s="9" t="n"/>
      <c r="I480" s="10" t="n"/>
      <c r="J480" s="11" t="n"/>
      <c r="K480" s="12" t="n"/>
      <c r="L480" s="11" t="n"/>
      <c r="M480" s="12" t="n"/>
      <c r="N480" s="9" t="n"/>
      <c r="O480" s="9" t="n"/>
      <c r="P480" s="10" t="n"/>
      <c r="Q480" s="11" t="n"/>
      <c r="R480" s="12" t="n"/>
      <c r="S480" s="12" t="n"/>
      <c r="T480" s="13">
        <f>IF(B480="","",B480+3)</f>
        <v/>
      </c>
      <c r="U480" s="13">
        <f>IF(B480="","",B480+5)</f>
        <v/>
      </c>
      <c r="V480" s="13">
        <f>IF(B480="","",B480+10)</f>
        <v/>
      </c>
      <c r="W480" s="14">
        <f>IF(B480="","",(--(B480&lt;&gt;"")+--(C480&lt;&gt;"")+--(D480&lt;&gt;"")+--(E480&lt;&gt;"")+--(F480&lt;&gt;"")+--(G480&lt;&gt;"")+--(H480&lt;&gt;"")+--(I480&lt;&gt;"")+--(N480&lt;&gt;"")+--(O480&lt;&gt;"")+--(P480&lt;&gt;""))/11)</f>
        <v/>
      </c>
    </row>
    <row r="481">
      <c r="A481" s="7">
        <f>IF(B481="","",TEXT(B481,"yyyymmdd")&amp;"-"&amp;TEXT(ROW()-1,"000"))</f>
        <v/>
      </c>
      <c r="B481" s="8" t="n"/>
      <c r="C481" s="9" t="n"/>
      <c r="D481" s="9" t="n"/>
      <c r="E481" s="9" t="n"/>
      <c r="F481" s="9" t="n"/>
      <c r="G481" s="9" t="n"/>
      <c r="H481" s="9" t="n"/>
      <c r="I481" s="10" t="n"/>
      <c r="J481" s="11" t="n"/>
      <c r="K481" s="12" t="n"/>
      <c r="L481" s="11" t="n"/>
      <c r="M481" s="12" t="n"/>
      <c r="N481" s="9" t="n"/>
      <c r="O481" s="9" t="n"/>
      <c r="P481" s="10" t="n"/>
      <c r="Q481" s="11" t="n"/>
      <c r="R481" s="12" t="n"/>
      <c r="S481" s="12" t="n"/>
      <c r="T481" s="13">
        <f>IF(B481="","",B481+3)</f>
        <v/>
      </c>
      <c r="U481" s="13">
        <f>IF(B481="","",B481+5)</f>
        <v/>
      </c>
      <c r="V481" s="13">
        <f>IF(B481="","",B481+10)</f>
        <v/>
      </c>
      <c r="W481" s="14">
        <f>IF(B481="","",(--(B481&lt;&gt;"")+--(C481&lt;&gt;"")+--(D481&lt;&gt;"")+--(E481&lt;&gt;"")+--(F481&lt;&gt;"")+--(G481&lt;&gt;"")+--(H481&lt;&gt;"")+--(I481&lt;&gt;"")+--(N481&lt;&gt;"")+--(O481&lt;&gt;"")+--(P481&lt;&gt;""))/11)</f>
        <v/>
      </c>
    </row>
    <row r="482">
      <c r="A482" s="7">
        <f>IF(B482="","",TEXT(B482,"yyyymmdd")&amp;"-"&amp;TEXT(ROW()-1,"000"))</f>
        <v/>
      </c>
      <c r="B482" s="8" t="n"/>
      <c r="C482" s="9" t="n"/>
      <c r="D482" s="9" t="n"/>
      <c r="E482" s="9" t="n"/>
      <c r="F482" s="9" t="n"/>
      <c r="G482" s="9" t="n"/>
      <c r="H482" s="9" t="n"/>
      <c r="I482" s="10" t="n"/>
      <c r="J482" s="11" t="n"/>
      <c r="K482" s="12" t="n"/>
      <c r="L482" s="11" t="n"/>
      <c r="M482" s="12" t="n"/>
      <c r="N482" s="9" t="n"/>
      <c r="O482" s="9" t="n"/>
      <c r="P482" s="10" t="n"/>
      <c r="Q482" s="11" t="n"/>
      <c r="R482" s="12" t="n"/>
      <c r="S482" s="12" t="n"/>
      <c r="T482" s="13">
        <f>IF(B482="","",B482+3)</f>
        <v/>
      </c>
      <c r="U482" s="13">
        <f>IF(B482="","",B482+5)</f>
        <v/>
      </c>
      <c r="V482" s="13">
        <f>IF(B482="","",B482+10)</f>
        <v/>
      </c>
      <c r="W482" s="14">
        <f>IF(B482="","",(--(B482&lt;&gt;"")+--(C482&lt;&gt;"")+--(D482&lt;&gt;"")+--(E482&lt;&gt;"")+--(F482&lt;&gt;"")+--(G482&lt;&gt;"")+--(H482&lt;&gt;"")+--(I482&lt;&gt;"")+--(N482&lt;&gt;"")+--(O482&lt;&gt;"")+--(P482&lt;&gt;""))/11)</f>
        <v/>
      </c>
    </row>
    <row r="483">
      <c r="A483" s="7">
        <f>IF(B483="","",TEXT(B483,"yyyymmdd")&amp;"-"&amp;TEXT(ROW()-1,"000"))</f>
        <v/>
      </c>
      <c r="B483" s="8" t="n"/>
      <c r="C483" s="9" t="n"/>
      <c r="D483" s="9" t="n"/>
      <c r="E483" s="9" t="n"/>
      <c r="F483" s="9" t="n"/>
      <c r="G483" s="9" t="n"/>
      <c r="H483" s="9" t="n"/>
      <c r="I483" s="10" t="n"/>
      <c r="J483" s="11" t="n"/>
      <c r="K483" s="12" t="n"/>
      <c r="L483" s="11" t="n"/>
      <c r="M483" s="12" t="n"/>
      <c r="N483" s="9" t="n"/>
      <c r="O483" s="9" t="n"/>
      <c r="P483" s="10" t="n"/>
      <c r="Q483" s="11" t="n"/>
      <c r="R483" s="12" t="n"/>
      <c r="S483" s="12" t="n"/>
      <c r="T483" s="13">
        <f>IF(B483="","",B483+3)</f>
        <v/>
      </c>
      <c r="U483" s="13">
        <f>IF(B483="","",B483+5)</f>
        <v/>
      </c>
      <c r="V483" s="13">
        <f>IF(B483="","",B483+10)</f>
        <v/>
      </c>
      <c r="W483" s="14">
        <f>IF(B483="","",(--(B483&lt;&gt;"")+--(C483&lt;&gt;"")+--(D483&lt;&gt;"")+--(E483&lt;&gt;"")+--(F483&lt;&gt;"")+--(G483&lt;&gt;"")+--(H483&lt;&gt;"")+--(I483&lt;&gt;"")+--(N483&lt;&gt;"")+--(O483&lt;&gt;"")+--(P483&lt;&gt;""))/11)</f>
        <v/>
      </c>
    </row>
    <row r="484">
      <c r="A484" s="7">
        <f>IF(B484="","",TEXT(B484,"yyyymmdd")&amp;"-"&amp;TEXT(ROW()-1,"000"))</f>
        <v/>
      </c>
      <c r="B484" s="8" t="n"/>
      <c r="C484" s="9" t="n"/>
      <c r="D484" s="9" t="n"/>
      <c r="E484" s="9" t="n"/>
      <c r="F484" s="9" t="n"/>
      <c r="G484" s="9" t="n"/>
      <c r="H484" s="9" t="n"/>
      <c r="I484" s="10" t="n"/>
      <c r="J484" s="11" t="n"/>
      <c r="K484" s="12" t="n"/>
      <c r="L484" s="11" t="n"/>
      <c r="M484" s="12" t="n"/>
      <c r="N484" s="9" t="n"/>
      <c r="O484" s="9" t="n"/>
      <c r="P484" s="10" t="n"/>
      <c r="Q484" s="11" t="n"/>
      <c r="R484" s="12" t="n"/>
      <c r="S484" s="12" t="n"/>
      <c r="T484" s="13">
        <f>IF(B484="","",B484+3)</f>
        <v/>
      </c>
      <c r="U484" s="13">
        <f>IF(B484="","",B484+5)</f>
        <v/>
      </c>
      <c r="V484" s="13">
        <f>IF(B484="","",B484+10)</f>
        <v/>
      </c>
      <c r="W484" s="14">
        <f>IF(B484="","",(--(B484&lt;&gt;"")+--(C484&lt;&gt;"")+--(D484&lt;&gt;"")+--(E484&lt;&gt;"")+--(F484&lt;&gt;"")+--(G484&lt;&gt;"")+--(H484&lt;&gt;"")+--(I484&lt;&gt;"")+--(N484&lt;&gt;"")+--(O484&lt;&gt;"")+--(P484&lt;&gt;""))/11)</f>
        <v/>
      </c>
    </row>
    <row r="485">
      <c r="A485" s="7">
        <f>IF(B485="","",TEXT(B485,"yyyymmdd")&amp;"-"&amp;TEXT(ROW()-1,"000"))</f>
        <v/>
      </c>
      <c r="B485" s="8" t="n"/>
      <c r="C485" s="9" t="n"/>
      <c r="D485" s="9" t="n"/>
      <c r="E485" s="9" t="n"/>
      <c r="F485" s="9" t="n"/>
      <c r="G485" s="9" t="n"/>
      <c r="H485" s="9" t="n"/>
      <c r="I485" s="10" t="n"/>
      <c r="J485" s="11" t="n"/>
      <c r="K485" s="12" t="n"/>
      <c r="L485" s="11" t="n"/>
      <c r="M485" s="12" t="n"/>
      <c r="N485" s="9" t="n"/>
      <c r="O485" s="9" t="n"/>
      <c r="P485" s="10" t="n"/>
      <c r="Q485" s="11" t="n"/>
      <c r="R485" s="12" t="n"/>
      <c r="S485" s="12" t="n"/>
      <c r="T485" s="13">
        <f>IF(B485="","",B485+3)</f>
        <v/>
      </c>
      <c r="U485" s="13">
        <f>IF(B485="","",B485+5)</f>
        <v/>
      </c>
      <c r="V485" s="13">
        <f>IF(B485="","",B485+10)</f>
        <v/>
      </c>
      <c r="W485" s="14">
        <f>IF(B485="","",(--(B485&lt;&gt;"")+--(C485&lt;&gt;"")+--(D485&lt;&gt;"")+--(E485&lt;&gt;"")+--(F485&lt;&gt;"")+--(G485&lt;&gt;"")+--(H485&lt;&gt;"")+--(I485&lt;&gt;"")+--(N485&lt;&gt;"")+--(O485&lt;&gt;"")+--(P485&lt;&gt;""))/11)</f>
        <v/>
      </c>
    </row>
    <row r="486">
      <c r="A486" s="7">
        <f>IF(B486="","",TEXT(B486,"yyyymmdd")&amp;"-"&amp;TEXT(ROW()-1,"000"))</f>
        <v/>
      </c>
      <c r="B486" s="8" t="n"/>
      <c r="C486" s="9" t="n"/>
      <c r="D486" s="9" t="n"/>
      <c r="E486" s="9" t="n"/>
      <c r="F486" s="9" t="n"/>
      <c r="G486" s="9" t="n"/>
      <c r="H486" s="9" t="n"/>
      <c r="I486" s="10" t="n"/>
      <c r="J486" s="11" t="n"/>
      <c r="K486" s="12" t="n"/>
      <c r="L486" s="11" t="n"/>
      <c r="M486" s="12" t="n"/>
      <c r="N486" s="9" t="n"/>
      <c r="O486" s="9" t="n"/>
      <c r="P486" s="10" t="n"/>
      <c r="Q486" s="11" t="n"/>
      <c r="R486" s="12" t="n"/>
      <c r="S486" s="12" t="n"/>
      <c r="T486" s="13">
        <f>IF(B486="","",B486+3)</f>
        <v/>
      </c>
      <c r="U486" s="13">
        <f>IF(B486="","",B486+5)</f>
        <v/>
      </c>
      <c r="V486" s="13">
        <f>IF(B486="","",B486+10)</f>
        <v/>
      </c>
      <c r="W486" s="14">
        <f>IF(B486="","",(--(B486&lt;&gt;"")+--(C486&lt;&gt;"")+--(D486&lt;&gt;"")+--(E486&lt;&gt;"")+--(F486&lt;&gt;"")+--(G486&lt;&gt;"")+--(H486&lt;&gt;"")+--(I486&lt;&gt;"")+--(N486&lt;&gt;"")+--(O486&lt;&gt;"")+--(P486&lt;&gt;""))/11)</f>
        <v/>
      </c>
    </row>
    <row r="487">
      <c r="A487" s="7">
        <f>IF(B487="","",TEXT(B487,"yyyymmdd")&amp;"-"&amp;TEXT(ROW()-1,"000"))</f>
        <v/>
      </c>
      <c r="B487" s="8" t="n"/>
      <c r="C487" s="9" t="n"/>
      <c r="D487" s="9" t="n"/>
      <c r="E487" s="9" t="n"/>
      <c r="F487" s="9" t="n"/>
      <c r="G487" s="9" t="n"/>
      <c r="H487" s="9" t="n"/>
      <c r="I487" s="10" t="n"/>
      <c r="J487" s="11" t="n"/>
      <c r="K487" s="12" t="n"/>
      <c r="L487" s="11" t="n"/>
      <c r="M487" s="12" t="n"/>
      <c r="N487" s="9" t="n"/>
      <c r="O487" s="9" t="n"/>
      <c r="P487" s="10" t="n"/>
      <c r="Q487" s="11" t="n"/>
      <c r="R487" s="12" t="n"/>
      <c r="S487" s="12" t="n"/>
      <c r="T487" s="13">
        <f>IF(B487="","",B487+3)</f>
        <v/>
      </c>
      <c r="U487" s="13">
        <f>IF(B487="","",B487+5)</f>
        <v/>
      </c>
      <c r="V487" s="13">
        <f>IF(B487="","",B487+10)</f>
        <v/>
      </c>
      <c r="W487" s="14">
        <f>IF(B487="","",(--(B487&lt;&gt;"")+--(C487&lt;&gt;"")+--(D487&lt;&gt;"")+--(E487&lt;&gt;"")+--(F487&lt;&gt;"")+--(G487&lt;&gt;"")+--(H487&lt;&gt;"")+--(I487&lt;&gt;"")+--(N487&lt;&gt;"")+--(O487&lt;&gt;"")+--(P487&lt;&gt;""))/11)</f>
        <v/>
      </c>
    </row>
    <row r="488">
      <c r="A488" s="7">
        <f>IF(B488="","",TEXT(B488,"yyyymmdd")&amp;"-"&amp;TEXT(ROW()-1,"000"))</f>
        <v/>
      </c>
      <c r="B488" s="8" t="n"/>
      <c r="C488" s="9" t="n"/>
      <c r="D488" s="9" t="n"/>
      <c r="E488" s="9" t="n"/>
      <c r="F488" s="9" t="n"/>
      <c r="G488" s="9" t="n"/>
      <c r="H488" s="9" t="n"/>
      <c r="I488" s="10" t="n"/>
      <c r="J488" s="11" t="n"/>
      <c r="K488" s="12" t="n"/>
      <c r="L488" s="11" t="n"/>
      <c r="M488" s="12" t="n"/>
      <c r="N488" s="9" t="n"/>
      <c r="O488" s="9" t="n"/>
      <c r="P488" s="10" t="n"/>
      <c r="Q488" s="11" t="n"/>
      <c r="R488" s="12" t="n"/>
      <c r="S488" s="12" t="n"/>
      <c r="T488" s="13">
        <f>IF(B488="","",B488+3)</f>
        <v/>
      </c>
      <c r="U488" s="13">
        <f>IF(B488="","",B488+5)</f>
        <v/>
      </c>
      <c r="V488" s="13">
        <f>IF(B488="","",B488+10)</f>
        <v/>
      </c>
      <c r="W488" s="14">
        <f>IF(B488="","",(--(B488&lt;&gt;"")+--(C488&lt;&gt;"")+--(D488&lt;&gt;"")+--(E488&lt;&gt;"")+--(F488&lt;&gt;"")+--(G488&lt;&gt;"")+--(H488&lt;&gt;"")+--(I488&lt;&gt;"")+--(N488&lt;&gt;"")+--(O488&lt;&gt;"")+--(P488&lt;&gt;""))/11)</f>
        <v/>
      </c>
    </row>
    <row r="489">
      <c r="A489" s="7">
        <f>IF(B489="","",TEXT(B489,"yyyymmdd")&amp;"-"&amp;TEXT(ROW()-1,"000"))</f>
        <v/>
      </c>
      <c r="B489" s="8" t="n"/>
      <c r="C489" s="9" t="n"/>
      <c r="D489" s="9" t="n"/>
      <c r="E489" s="9" t="n"/>
      <c r="F489" s="9" t="n"/>
      <c r="G489" s="9" t="n"/>
      <c r="H489" s="9" t="n"/>
      <c r="I489" s="10" t="n"/>
      <c r="J489" s="11" t="n"/>
      <c r="K489" s="12" t="n"/>
      <c r="L489" s="11" t="n"/>
      <c r="M489" s="12" t="n"/>
      <c r="N489" s="9" t="n"/>
      <c r="O489" s="9" t="n"/>
      <c r="P489" s="10" t="n"/>
      <c r="Q489" s="11" t="n"/>
      <c r="R489" s="12" t="n"/>
      <c r="S489" s="12" t="n"/>
      <c r="T489" s="13">
        <f>IF(B489="","",B489+3)</f>
        <v/>
      </c>
      <c r="U489" s="13">
        <f>IF(B489="","",B489+5)</f>
        <v/>
      </c>
      <c r="V489" s="13">
        <f>IF(B489="","",B489+10)</f>
        <v/>
      </c>
      <c r="W489" s="14">
        <f>IF(B489="","",(--(B489&lt;&gt;"")+--(C489&lt;&gt;"")+--(D489&lt;&gt;"")+--(E489&lt;&gt;"")+--(F489&lt;&gt;"")+--(G489&lt;&gt;"")+--(H489&lt;&gt;"")+--(I489&lt;&gt;"")+--(N489&lt;&gt;"")+--(O489&lt;&gt;"")+--(P489&lt;&gt;""))/11)</f>
        <v/>
      </c>
    </row>
    <row r="490">
      <c r="A490" s="7">
        <f>IF(B490="","",TEXT(B490,"yyyymmdd")&amp;"-"&amp;TEXT(ROW()-1,"000"))</f>
        <v/>
      </c>
      <c r="B490" s="8" t="n"/>
      <c r="C490" s="9" t="n"/>
      <c r="D490" s="9" t="n"/>
      <c r="E490" s="9" t="n"/>
      <c r="F490" s="9" t="n"/>
      <c r="G490" s="9" t="n"/>
      <c r="H490" s="9" t="n"/>
      <c r="I490" s="10" t="n"/>
      <c r="J490" s="11" t="n"/>
      <c r="K490" s="12" t="n"/>
      <c r="L490" s="11" t="n"/>
      <c r="M490" s="12" t="n"/>
      <c r="N490" s="9" t="n"/>
      <c r="O490" s="9" t="n"/>
      <c r="P490" s="10" t="n"/>
      <c r="Q490" s="11" t="n"/>
      <c r="R490" s="12" t="n"/>
      <c r="S490" s="12" t="n"/>
      <c r="T490" s="13">
        <f>IF(B490="","",B490+3)</f>
        <v/>
      </c>
      <c r="U490" s="13">
        <f>IF(B490="","",B490+5)</f>
        <v/>
      </c>
      <c r="V490" s="13">
        <f>IF(B490="","",B490+10)</f>
        <v/>
      </c>
      <c r="W490" s="14">
        <f>IF(B490="","",(--(B490&lt;&gt;"")+--(C490&lt;&gt;"")+--(D490&lt;&gt;"")+--(E490&lt;&gt;"")+--(F490&lt;&gt;"")+--(G490&lt;&gt;"")+--(H490&lt;&gt;"")+--(I490&lt;&gt;"")+--(N490&lt;&gt;"")+--(O490&lt;&gt;"")+--(P490&lt;&gt;""))/11)</f>
        <v/>
      </c>
    </row>
    <row r="491">
      <c r="A491" s="7">
        <f>IF(B491="","",TEXT(B491,"yyyymmdd")&amp;"-"&amp;TEXT(ROW()-1,"000"))</f>
        <v/>
      </c>
      <c r="B491" s="8" t="n"/>
      <c r="C491" s="9" t="n"/>
      <c r="D491" s="9" t="n"/>
      <c r="E491" s="9" t="n"/>
      <c r="F491" s="9" t="n"/>
      <c r="G491" s="9" t="n"/>
      <c r="H491" s="9" t="n"/>
      <c r="I491" s="10" t="n"/>
      <c r="J491" s="11" t="n"/>
      <c r="K491" s="12" t="n"/>
      <c r="L491" s="11" t="n"/>
      <c r="M491" s="12" t="n"/>
      <c r="N491" s="9" t="n"/>
      <c r="O491" s="9" t="n"/>
      <c r="P491" s="10" t="n"/>
      <c r="Q491" s="11" t="n"/>
      <c r="R491" s="12" t="n"/>
      <c r="S491" s="12" t="n"/>
      <c r="T491" s="13">
        <f>IF(B491="","",B491+3)</f>
        <v/>
      </c>
      <c r="U491" s="13">
        <f>IF(B491="","",B491+5)</f>
        <v/>
      </c>
      <c r="V491" s="13">
        <f>IF(B491="","",B491+10)</f>
        <v/>
      </c>
      <c r="W491" s="14">
        <f>IF(B491="","",(--(B491&lt;&gt;"")+--(C491&lt;&gt;"")+--(D491&lt;&gt;"")+--(E491&lt;&gt;"")+--(F491&lt;&gt;"")+--(G491&lt;&gt;"")+--(H491&lt;&gt;"")+--(I491&lt;&gt;"")+--(N491&lt;&gt;"")+--(O491&lt;&gt;"")+--(P491&lt;&gt;""))/11)</f>
        <v/>
      </c>
    </row>
    <row r="492">
      <c r="A492" s="7">
        <f>IF(B492="","",TEXT(B492,"yyyymmdd")&amp;"-"&amp;TEXT(ROW()-1,"000"))</f>
        <v/>
      </c>
      <c r="B492" s="8" t="n"/>
      <c r="C492" s="9" t="n"/>
      <c r="D492" s="9" t="n"/>
      <c r="E492" s="9" t="n"/>
      <c r="F492" s="9" t="n"/>
      <c r="G492" s="9" t="n"/>
      <c r="H492" s="9" t="n"/>
      <c r="I492" s="10" t="n"/>
      <c r="J492" s="11" t="n"/>
      <c r="K492" s="12" t="n"/>
      <c r="L492" s="11" t="n"/>
      <c r="M492" s="12" t="n"/>
      <c r="N492" s="9" t="n"/>
      <c r="O492" s="9" t="n"/>
      <c r="P492" s="10" t="n"/>
      <c r="Q492" s="11" t="n"/>
      <c r="R492" s="12" t="n"/>
      <c r="S492" s="12" t="n"/>
      <c r="T492" s="13">
        <f>IF(B492="","",B492+3)</f>
        <v/>
      </c>
      <c r="U492" s="13">
        <f>IF(B492="","",B492+5)</f>
        <v/>
      </c>
      <c r="V492" s="13">
        <f>IF(B492="","",B492+10)</f>
        <v/>
      </c>
      <c r="W492" s="14">
        <f>IF(B492="","",(--(B492&lt;&gt;"")+--(C492&lt;&gt;"")+--(D492&lt;&gt;"")+--(E492&lt;&gt;"")+--(F492&lt;&gt;"")+--(G492&lt;&gt;"")+--(H492&lt;&gt;"")+--(I492&lt;&gt;"")+--(N492&lt;&gt;"")+--(O492&lt;&gt;"")+--(P492&lt;&gt;""))/11)</f>
        <v/>
      </c>
    </row>
    <row r="493">
      <c r="A493" s="7">
        <f>IF(B493="","",TEXT(B493,"yyyymmdd")&amp;"-"&amp;TEXT(ROW()-1,"000"))</f>
        <v/>
      </c>
      <c r="B493" s="8" t="n"/>
      <c r="C493" s="9" t="n"/>
      <c r="D493" s="9" t="n"/>
      <c r="E493" s="9" t="n"/>
      <c r="F493" s="9" t="n"/>
      <c r="G493" s="9" t="n"/>
      <c r="H493" s="9" t="n"/>
      <c r="I493" s="10" t="n"/>
      <c r="J493" s="11" t="n"/>
      <c r="K493" s="12" t="n"/>
      <c r="L493" s="11" t="n"/>
      <c r="M493" s="12" t="n"/>
      <c r="N493" s="9" t="n"/>
      <c r="O493" s="9" t="n"/>
      <c r="P493" s="10" t="n"/>
      <c r="Q493" s="11" t="n"/>
      <c r="R493" s="12" t="n"/>
      <c r="S493" s="12" t="n"/>
      <c r="T493" s="13">
        <f>IF(B493="","",B493+3)</f>
        <v/>
      </c>
      <c r="U493" s="13">
        <f>IF(B493="","",B493+5)</f>
        <v/>
      </c>
      <c r="V493" s="13">
        <f>IF(B493="","",B493+10)</f>
        <v/>
      </c>
      <c r="W493" s="14">
        <f>IF(B493="","",(--(B493&lt;&gt;"")+--(C493&lt;&gt;"")+--(D493&lt;&gt;"")+--(E493&lt;&gt;"")+--(F493&lt;&gt;"")+--(G493&lt;&gt;"")+--(H493&lt;&gt;"")+--(I493&lt;&gt;"")+--(N493&lt;&gt;"")+--(O493&lt;&gt;"")+--(P493&lt;&gt;""))/11)</f>
        <v/>
      </c>
    </row>
    <row r="494">
      <c r="A494" s="7">
        <f>IF(B494="","",TEXT(B494,"yyyymmdd")&amp;"-"&amp;TEXT(ROW()-1,"000"))</f>
        <v/>
      </c>
      <c r="B494" s="8" t="n"/>
      <c r="C494" s="9" t="n"/>
      <c r="D494" s="9" t="n"/>
      <c r="E494" s="9" t="n"/>
      <c r="F494" s="9" t="n"/>
      <c r="G494" s="9" t="n"/>
      <c r="H494" s="9" t="n"/>
      <c r="I494" s="10" t="n"/>
      <c r="J494" s="11" t="n"/>
      <c r="K494" s="12" t="n"/>
      <c r="L494" s="11" t="n"/>
      <c r="M494" s="12" t="n"/>
      <c r="N494" s="9" t="n"/>
      <c r="O494" s="9" t="n"/>
      <c r="P494" s="10" t="n"/>
      <c r="Q494" s="11" t="n"/>
      <c r="R494" s="12" t="n"/>
      <c r="S494" s="12" t="n"/>
      <c r="T494" s="13">
        <f>IF(B494="","",B494+3)</f>
        <v/>
      </c>
      <c r="U494" s="13">
        <f>IF(B494="","",B494+5)</f>
        <v/>
      </c>
      <c r="V494" s="13">
        <f>IF(B494="","",B494+10)</f>
        <v/>
      </c>
      <c r="W494" s="14">
        <f>IF(B494="","",(--(B494&lt;&gt;"")+--(C494&lt;&gt;"")+--(D494&lt;&gt;"")+--(E494&lt;&gt;"")+--(F494&lt;&gt;"")+--(G494&lt;&gt;"")+--(H494&lt;&gt;"")+--(I494&lt;&gt;"")+--(N494&lt;&gt;"")+--(O494&lt;&gt;"")+--(P494&lt;&gt;""))/11)</f>
        <v/>
      </c>
    </row>
    <row r="495">
      <c r="A495" s="7">
        <f>IF(B495="","",TEXT(B495,"yyyymmdd")&amp;"-"&amp;TEXT(ROW()-1,"000"))</f>
        <v/>
      </c>
      <c r="B495" s="8" t="n"/>
      <c r="C495" s="9" t="n"/>
      <c r="D495" s="9" t="n"/>
      <c r="E495" s="9" t="n"/>
      <c r="F495" s="9" t="n"/>
      <c r="G495" s="9" t="n"/>
      <c r="H495" s="9" t="n"/>
      <c r="I495" s="10" t="n"/>
      <c r="J495" s="11" t="n"/>
      <c r="K495" s="12" t="n"/>
      <c r="L495" s="11" t="n"/>
      <c r="M495" s="12" t="n"/>
      <c r="N495" s="9" t="n"/>
      <c r="O495" s="9" t="n"/>
      <c r="P495" s="10" t="n"/>
      <c r="Q495" s="11" t="n"/>
      <c r="R495" s="12" t="n"/>
      <c r="S495" s="12" t="n"/>
      <c r="T495" s="13">
        <f>IF(B495="","",B495+3)</f>
        <v/>
      </c>
      <c r="U495" s="13">
        <f>IF(B495="","",B495+5)</f>
        <v/>
      </c>
      <c r="V495" s="13">
        <f>IF(B495="","",B495+10)</f>
        <v/>
      </c>
      <c r="W495" s="14">
        <f>IF(B495="","",(--(B495&lt;&gt;"")+--(C495&lt;&gt;"")+--(D495&lt;&gt;"")+--(E495&lt;&gt;"")+--(F495&lt;&gt;"")+--(G495&lt;&gt;"")+--(H495&lt;&gt;"")+--(I495&lt;&gt;"")+--(N495&lt;&gt;"")+--(O495&lt;&gt;"")+--(P495&lt;&gt;""))/11)</f>
        <v/>
      </c>
    </row>
    <row r="496">
      <c r="A496" s="7">
        <f>IF(B496="","",TEXT(B496,"yyyymmdd")&amp;"-"&amp;TEXT(ROW()-1,"000"))</f>
        <v/>
      </c>
      <c r="B496" s="8" t="n"/>
      <c r="C496" s="9" t="n"/>
      <c r="D496" s="9" t="n"/>
      <c r="E496" s="9" t="n"/>
      <c r="F496" s="9" t="n"/>
      <c r="G496" s="9" t="n"/>
      <c r="H496" s="9" t="n"/>
      <c r="I496" s="10" t="n"/>
      <c r="J496" s="11" t="n"/>
      <c r="K496" s="12" t="n"/>
      <c r="L496" s="11" t="n"/>
      <c r="M496" s="12" t="n"/>
      <c r="N496" s="9" t="n"/>
      <c r="O496" s="9" t="n"/>
      <c r="P496" s="10" t="n"/>
      <c r="Q496" s="11" t="n"/>
      <c r="R496" s="12" t="n"/>
      <c r="S496" s="12" t="n"/>
      <c r="T496" s="13">
        <f>IF(B496="","",B496+3)</f>
        <v/>
      </c>
      <c r="U496" s="13">
        <f>IF(B496="","",B496+5)</f>
        <v/>
      </c>
      <c r="V496" s="13">
        <f>IF(B496="","",B496+10)</f>
        <v/>
      </c>
      <c r="W496" s="14">
        <f>IF(B496="","",(--(B496&lt;&gt;"")+--(C496&lt;&gt;"")+--(D496&lt;&gt;"")+--(E496&lt;&gt;"")+--(F496&lt;&gt;"")+--(G496&lt;&gt;"")+--(H496&lt;&gt;"")+--(I496&lt;&gt;"")+--(N496&lt;&gt;"")+--(O496&lt;&gt;"")+--(P496&lt;&gt;""))/11)</f>
        <v/>
      </c>
    </row>
    <row r="497">
      <c r="A497" s="7">
        <f>IF(B497="","",TEXT(B497,"yyyymmdd")&amp;"-"&amp;TEXT(ROW()-1,"000"))</f>
        <v/>
      </c>
      <c r="B497" s="8" t="n"/>
      <c r="C497" s="9" t="n"/>
      <c r="D497" s="9" t="n"/>
      <c r="E497" s="9" t="n"/>
      <c r="F497" s="9" t="n"/>
      <c r="G497" s="9" t="n"/>
      <c r="H497" s="9" t="n"/>
      <c r="I497" s="10" t="n"/>
      <c r="J497" s="11" t="n"/>
      <c r="K497" s="12" t="n"/>
      <c r="L497" s="11" t="n"/>
      <c r="M497" s="12" t="n"/>
      <c r="N497" s="9" t="n"/>
      <c r="O497" s="9" t="n"/>
      <c r="P497" s="10" t="n"/>
      <c r="Q497" s="11" t="n"/>
      <c r="R497" s="12" t="n"/>
      <c r="S497" s="12" t="n"/>
      <c r="T497" s="13">
        <f>IF(B497="","",B497+3)</f>
        <v/>
      </c>
      <c r="U497" s="13">
        <f>IF(B497="","",B497+5)</f>
        <v/>
      </c>
      <c r="V497" s="13">
        <f>IF(B497="","",B497+10)</f>
        <v/>
      </c>
      <c r="W497" s="14">
        <f>IF(B497="","",(--(B497&lt;&gt;"")+--(C497&lt;&gt;"")+--(D497&lt;&gt;"")+--(E497&lt;&gt;"")+--(F497&lt;&gt;"")+--(G497&lt;&gt;"")+--(H497&lt;&gt;"")+--(I497&lt;&gt;"")+--(N497&lt;&gt;"")+--(O497&lt;&gt;"")+--(P497&lt;&gt;""))/11)</f>
        <v/>
      </c>
    </row>
    <row r="498">
      <c r="A498" s="7">
        <f>IF(B498="","",TEXT(B498,"yyyymmdd")&amp;"-"&amp;TEXT(ROW()-1,"000"))</f>
        <v/>
      </c>
      <c r="B498" s="8" t="n"/>
      <c r="C498" s="9" t="n"/>
      <c r="D498" s="9" t="n"/>
      <c r="E498" s="9" t="n"/>
      <c r="F498" s="9" t="n"/>
      <c r="G498" s="9" t="n"/>
      <c r="H498" s="9" t="n"/>
      <c r="I498" s="10" t="n"/>
      <c r="J498" s="11" t="n"/>
      <c r="K498" s="12" t="n"/>
      <c r="L498" s="11" t="n"/>
      <c r="M498" s="12" t="n"/>
      <c r="N498" s="9" t="n"/>
      <c r="O498" s="9" t="n"/>
      <c r="P498" s="10" t="n"/>
      <c r="Q498" s="11" t="n"/>
      <c r="R498" s="12" t="n"/>
      <c r="S498" s="12" t="n"/>
      <c r="T498" s="13">
        <f>IF(B498="","",B498+3)</f>
        <v/>
      </c>
      <c r="U498" s="13">
        <f>IF(B498="","",B498+5)</f>
        <v/>
      </c>
      <c r="V498" s="13">
        <f>IF(B498="","",B498+10)</f>
        <v/>
      </c>
      <c r="W498" s="14">
        <f>IF(B498="","",(--(B498&lt;&gt;"")+--(C498&lt;&gt;"")+--(D498&lt;&gt;"")+--(E498&lt;&gt;"")+--(F498&lt;&gt;"")+--(G498&lt;&gt;"")+--(H498&lt;&gt;"")+--(I498&lt;&gt;"")+--(N498&lt;&gt;"")+--(O498&lt;&gt;"")+--(P498&lt;&gt;""))/11)</f>
        <v/>
      </c>
    </row>
    <row r="499">
      <c r="A499" s="7">
        <f>IF(B499="","",TEXT(B499,"yyyymmdd")&amp;"-"&amp;TEXT(ROW()-1,"000"))</f>
        <v/>
      </c>
      <c r="B499" s="8" t="n"/>
      <c r="C499" s="9" t="n"/>
      <c r="D499" s="9" t="n"/>
      <c r="E499" s="9" t="n"/>
      <c r="F499" s="9" t="n"/>
      <c r="G499" s="9" t="n"/>
      <c r="H499" s="9" t="n"/>
      <c r="I499" s="10" t="n"/>
      <c r="J499" s="11" t="n"/>
      <c r="K499" s="12" t="n"/>
      <c r="L499" s="11" t="n"/>
      <c r="M499" s="12" t="n"/>
      <c r="N499" s="9" t="n"/>
      <c r="O499" s="9" t="n"/>
      <c r="P499" s="10" t="n"/>
      <c r="Q499" s="11" t="n"/>
      <c r="R499" s="12" t="n"/>
      <c r="S499" s="12" t="n"/>
      <c r="T499" s="13">
        <f>IF(B499="","",B499+3)</f>
        <v/>
      </c>
      <c r="U499" s="13">
        <f>IF(B499="","",B499+5)</f>
        <v/>
      </c>
      <c r="V499" s="13">
        <f>IF(B499="","",B499+10)</f>
        <v/>
      </c>
      <c r="W499" s="14">
        <f>IF(B499="","",(--(B499&lt;&gt;"")+--(C499&lt;&gt;"")+--(D499&lt;&gt;"")+--(E499&lt;&gt;"")+--(F499&lt;&gt;"")+--(G499&lt;&gt;"")+--(H499&lt;&gt;"")+--(I499&lt;&gt;"")+--(N499&lt;&gt;"")+--(O499&lt;&gt;"")+--(P499&lt;&gt;""))/11)</f>
        <v/>
      </c>
    </row>
    <row r="500">
      <c r="A500" s="7">
        <f>IF(B500="","",TEXT(B500,"yyyymmdd")&amp;"-"&amp;TEXT(ROW()-1,"000"))</f>
        <v/>
      </c>
      <c r="B500" s="8" t="n"/>
      <c r="C500" s="9" t="n"/>
      <c r="D500" s="9" t="n"/>
      <c r="E500" s="9" t="n"/>
      <c r="F500" s="9" t="n"/>
      <c r="G500" s="9" t="n"/>
      <c r="H500" s="9" t="n"/>
      <c r="I500" s="10" t="n"/>
      <c r="J500" s="11" t="n"/>
      <c r="K500" s="12" t="n"/>
      <c r="L500" s="11" t="n"/>
      <c r="M500" s="12" t="n"/>
      <c r="N500" s="9" t="n"/>
      <c r="O500" s="9" t="n"/>
      <c r="P500" s="10" t="n"/>
      <c r="Q500" s="11" t="n"/>
      <c r="R500" s="12" t="n"/>
      <c r="S500" s="12" t="n"/>
      <c r="T500" s="13">
        <f>IF(B500="","",B500+3)</f>
        <v/>
      </c>
      <c r="U500" s="13">
        <f>IF(B500="","",B500+5)</f>
        <v/>
      </c>
      <c r="V500" s="13">
        <f>IF(B500="","",B500+10)</f>
        <v/>
      </c>
      <c r="W500" s="14">
        <f>IF(B500="","",(--(B500&lt;&gt;"")+--(C500&lt;&gt;"")+--(D500&lt;&gt;"")+--(E500&lt;&gt;"")+--(F500&lt;&gt;"")+--(G500&lt;&gt;"")+--(H500&lt;&gt;"")+--(I500&lt;&gt;"")+--(N500&lt;&gt;"")+--(O500&lt;&gt;"")+--(P500&lt;&gt;""))/11)</f>
        <v/>
      </c>
    </row>
  </sheetData>
  <autoFilter ref="A1:W500"/>
  <conditionalFormatting sqref="W2:W500">
    <cfRule type="cellIs" priority="1" operator="lessThan" dxfId="0">
      <formula>1</formula>
    </cfRule>
    <cfRule type="cellIs" priority="2" operator="equal" dxfId="1">
      <formula>1</formula>
    </cfRule>
  </conditionalFormatting>
  <dataValidations count="9">
    <dataValidation sqref="E2:E500" showDropDown="0" showInputMessage="0" showErrorMessage="0" allowBlank="1" type="list">
      <formula1>='选项'!$A$2:$A$7</formula1>
    </dataValidation>
    <dataValidation sqref="F2:F500" showDropDown="0" showInputMessage="0" showErrorMessage="0" allowBlank="1" type="list">
      <formula1>='选项'!$B$2:$B$7</formula1>
    </dataValidation>
    <dataValidation sqref="G2:G500" showDropDown="0" showInputMessage="0" showErrorMessage="0" allowBlank="1" type="list">
      <formula1>='选项'!$C$2:$C$5</formula1>
    </dataValidation>
    <dataValidation sqref="H2:H500" showDropDown="0" showInputMessage="0" showErrorMessage="0" allowBlank="1" type="list">
      <formula1>='选项'!$D$2:$D$13</formula1>
    </dataValidation>
    <dataValidation sqref="J2:J500" showDropDown="0" showInputMessage="0" showErrorMessage="0" allowBlank="1" type="list">
      <formula1>='选项'!$E$2:$E$12</formula1>
    </dataValidation>
    <dataValidation sqref="L2:L500" showDropDown="0" showInputMessage="0" showErrorMessage="0" allowBlank="1" type="list">
      <formula1>='选项'!$E$2:$E$12</formula1>
    </dataValidation>
    <dataValidation sqref="N2:N500" showDropDown="0" showInputMessage="0" showErrorMessage="0" allowBlank="1" type="list">
      <formula1>='选项'!$E$2:$E$12</formula1>
    </dataValidation>
    <dataValidation sqref="O2:O500" showDropDown="0" showInputMessage="0" showErrorMessage="0" allowBlank="1" type="list">
      <formula1>='选项'!$F$2:$F$4</formula1>
    </dataValidation>
    <dataValidation sqref="Q2:Q500" showDropDown="0" showInputMessage="0" showErrorMessage="0" allowBlank="1" type="list">
      <formula1>='选项'!$G$2:$G$4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36" customWidth="1" min="3" max="3"/>
    <col width="42" customWidth="1" min="4" max="4"/>
    <col width="42" customWidth="1" min="5" max="5"/>
    <col width="42" customWidth="1" min="6" max="6"/>
    <col width="34" customWidth="1" min="7" max="7"/>
  </cols>
  <sheetData>
    <row r="1">
      <c r="A1" s="2" t="inlineStr">
        <is>
          <t>今日现象</t>
        </is>
      </c>
      <c r="B1" s="2" t="inlineStr">
        <is>
          <t>先看哪些事实</t>
        </is>
      </c>
      <c r="C1" s="2" t="inlineStr">
        <is>
          <t>常见候选解释</t>
        </is>
      </c>
      <c r="D1" s="2" t="inlineStr">
        <is>
          <t>支持解释的证据</t>
        </is>
      </c>
      <c r="E1" s="2" t="inlineStr">
        <is>
          <t>主要反证/疑点</t>
        </is>
      </c>
      <c r="F1" s="2" t="inlineStr">
        <is>
          <t>下一步区分证据</t>
        </is>
      </c>
      <c r="G1" s="2" t="inlineStr">
        <is>
          <t>新手提示</t>
        </is>
      </c>
    </row>
    <row r="2" ht="92" customHeight="1">
      <c r="A2" s="10" t="inlineStr">
        <is>
          <t>放量突破</t>
        </is>
      </c>
      <c r="B2" s="3" t="inlineStr">
        <is>
          <t>是否突破前高/箱体/均线；收盘是否站上；量能相对近5日是否放大；板块是否同步强。</t>
        </is>
      </c>
      <c r="C2" s="12" t="inlineStr">
        <is>
          <t>真突破/启动尝试；情绪冲高；假突破；板块带动被动上涨。</t>
        </is>
      </c>
      <c r="D2" s="12" t="inlineStr">
        <is>
          <t>收盘站稳关键位；涨幅强于板块；成交放大但没有明显冲高回落；板块内有扩散。</t>
        </is>
      </c>
      <c r="E2" s="12" t="inlineStr">
        <is>
          <t>长上影、尾盘回落、板块不跟、前期涨幅已大、次日低开。</t>
        </is>
      </c>
      <c r="F2" s="12" t="inlineStr">
        <is>
          <t>未来1-3天是否跌回突破位；回踩是否缩量；板块是否继续强。</t>
        </is>
      </c>
      <c r="G2" s="3" t="inlineStr">
        <is>
          <t>不要直接写“突破=主升”，至少同时写一个反向解释。</t>
        </is>
      </c>
    </row>
    <row r="3" ht="92" customHeight="1">
      <c r="A3" s="10" t="inlineStr">
        <is>
          <t>缩量回调</t>
        </is>
      </c>
      <c r="B3" s="3" t="inlineStr">
        <is>
          <t>回调幅度；是否接近支撑/均线；量是否明显低于上涨日；板块是否仍强。</t>
        </is>
      </c>
      <c r="C3" s="12" t="inlineStr">
        <is>
          <t>健康回调；退潮初期；高位分歧后的消化。</t>
        </is>
      </c>
      <c r="D3" s="12" t="inlineStr">
        <is>
          <t>跌幅小、量缩、没有跌破关键支撑、强于板块或同步板块。</t>
        </is>
      </c>
      <c r="E3" s="12" t="inlineStr">
        <is>
          <t>连续阴跌、反弹无力、板块核心退潮、跌破支撑后不能修复。</t>
        </is>
      </c>
      <c r="F3" s="12" t="inlineStr">
        <is>
          <t>后续是否放量修复；支撑位是否守住；板块是否转弱。</t>
        </is>
      </c>
      <c r="G3" s="3" t="inlineStr">
        <is>
          <t>回调不是天然机会，先判断它是“消化”还是“转弱”。</t>
        </is>
      </c>
    </row>
    <row r="4" ht="92" customHeight="1">
      <c r="A4" s="10" t="inlineStr">
        <is>
          <t>冲高回落</t>
        </is>
      </c>
      <c r="B4" s="3" t="inlineStr">
        <is>
          <t>最高价与收盘差距；是否放量；位置是低位还是高位；板块是否同步回落。</t>
        </is>
      </c>
      <c r="C4" s="12" t="inlineStr">
        <is>
          <t>高位分歧；情绪冲高；假突破；洗盘消化。</t>
        </is>
      </c>
      <c r="D4" s="12" t="inlineStr">
        <is>
          <t>前期涨幅大、放量、长上影、收盘接近日内低点。</t>
        </is>
      </c>
      <c r="E4" s="12" t="inlineStr">
        <is>
          <t>如果次日快速修复并站回高位，说明分歧未必失败。</t>
        </is>
      </c>
      <c r="F4" s="12" t="inlineStr">
        <is>
          <t>次日是否低开低走；是否跌破当日低点；能否重新站回上影区域。</t>
        </is>
      </c>
      <c r="G4" s="3" t="inlineStr">
        <is>
          <t>不要只看当天红绿，要看“冲高后有没有资金继续接”。</t>
        </is>
      </c>
    </row>
    <row r="5" ht="92" customHeight="1">
      <c r="A5" s="10" t="inlineStr">
        <is>
          <t>高位放量震荡</t>
        </is>
      </c>
      <c r="B5" s="3" t="inlineStr">
        <is>
          <t>短期涨幅；成交额/换手是否放大；日内波动；是否远离均线。</t>
        </is>
      </c>
      <c r="C5" s="12" t="inlineStr">
        <is>
          <t>高位分歧；主升换手；退潮前兆。</t>
        </is>
      </c>
      <c r="D5" s="12" t="inlineStr">
        <is>
          <t>高成交、高波动，但价格重心仍能维持，板块仍强。</t>
        </is>
      </c>
      <c r="E5" s="12" t="inlineStr">
        <is>
          <t>放量滞涨、核心股开始大跌、补涨股乱飞、跌破关键位。</t>
        </is>
      </c>
      <c r="F5" s="12" t="inlineStr">
        <is>
          <t>震荡后向上突破还是跌破平台；量能是否持续异常。</t>
        </is>
      </c>
      <c r="G5" s="3" t="inlineStr">
        <is>
          <t>这是最难判断的区域，允许低置信度。</t>
        </is>
      </c>
    </row>
    <row r="6" ht="92" customHeight="1">
      <c r="A6" s="10" t="inlineStr">
        <is>
          <t>跌破关键位</t>
        </is>
      </c>
      <c r="B6" s="3" t="inlineStr">
        <is>
          <t>跌破的是前低、均线、箱体下沿还是突破位；是否放量；是否受大盘拖累。</t>
        </is>
      </c>
      <c r="C6" s="12" t="inlineStr">
        <is>
          <t>退潮转弱；假跌破；大盘/板块拖累。</t>
        </is>
      </c>
      <c r="D6" s="12" t="inlineStr">
        <is>
          <t>放量跌破、收不回、板块也弱、次日继续弱。</t>
        </is>
      </c>
      <c r="E6" s="12" t="inlineStr">
        <is>
          <t>大盘普跌但个股跌幅小；次日快速收回；板块未退潮。</t>
        </is>
      </c>
      <c r="F6" s="12" t="inlineStr">
        <is>
          <t>能否快速收回关键位；反弹是否有量；板块是否修复。</t>
        </is>
      </c>
      <c r="G6" s="3" t="inlineStr">
        <is>
          <t>跌破不等于必然结束，但必须提高风险权重。</t>
        </is>
      </c>
    </row>
    <row r="7" ht="92" customHeight="1">
      <c r="A7" s="10" t="inlineStr">
        <is>
          <t>回踩支撑不破</t>
        </is>
      </c>
      <c r="B7" s="3" t="inlineStr">
        <is>
          <t>支撑来自哪里；回踩量能；下影线；板块状态；前期上涨质量。</t>
        </is>
      </c>
      <c r="C7" s="12" t="inlineStr">
        <is>
          <t>健康回调；二波尝试前的蓄势；弱反弹失败前的停顿。</t>
        </is>
      </c>
      <c r="D7" s="12" t="inlineStr">
        <is>
          <t>缩量、守住支撑、板块未坏、随后有修复迹象。</t>
        </is>
      </c>
      <c r="E7" s="12" t="inlineStr">
        <is>
          <t>支撑反复被打、反弹无量、板块退潮、只是低位弱反弹。</t>
        </is>
      </c>
      <c r="F7" s="12" t="inlineStr">
        <is>
          <t>是否放量离开支撑；是否重新强于板块；是否跌破支撑。</t>
        </is>
      </c>
      <c r="G7" s="3" t="inlineStr">
        <is>
          <t>支撑位不是神奇价格，关键是支撑附近资金是否愿意接。</t>
        </is>
      </c>
    </row>
    <row r="8" ht="92" customHeight="1">
      <c r="A8" s="10" t="inlineStr">
        <is>
          <t>板块强个股弱</t>
        </is>
      </c>
      <c r="B8" s="3" t="inlineStr">
        <is>
          <t>板块涨幅；个股涨幅；是否有利空；是否前期涨太多；是否非核心。</t>
        </is>
      </c>
      <c r="C8" s="12" t="inlineStr">
        <is>
          <t>个股掉队；补涨未启动；前期核心退潮；利空压制。</t>
        </is>
      </c>
      <c r="D8" s="12" t="inlineStr">
        <is>
          <t>如果前期涨幅大，弱可能是高位分歧；如果低位不跟，可能不是核心。</t>
        </is>
      </c>
      <c r="E8" s="12" t="inlineStr">
        <is>
          <t>次日补涨、公司独立利好、低位蓄势后转强。</t>
        </is>
      </c>
      <c r="F8" s="12" t="inlineStr">
        <is>
          <t>后续是否补涨；是否持续弱于板块；板块回调时是否更弱。</t>
        </is>
      </c>
      <c r="G8" s="3" t="inlineStr">
        <is>
          <t>这类不要急着归因，先记录“它和板块不同步”。</t>
        </is>
      </c>
    </row>
    <row r="9" ht="92" customHeight="1">
      <c r="A9" s="10" t="inlineStr">
        <is>
          <t>板块弱个股抗跌</t>
        </is>
      </c>
      <c r="B9" s="3" t="inlineStr">
        <is>
          <t>板块跌幅；个股跌幅；量能；是否靠近支撑；是否有独立逻辑。</t>
        </is>
      </c>
      <c r="C9" s="12" t="inlineStr">
        <is>
          <t>相对强势；资金抱团；只是没跌到。</t>
        </is>
      </c>
      <c r="D9" s="12" t="inlineStr">
        <is>
          <t>板块跌它不跌，甚至红盘；量能稳定；关键位守住。</t>
        </is>
      </c>
      <c r="E9" s="12" t="inlineStr">
        <is>
          <t>抗跌一天不够；若板块继续弱，个股可能补跌。</t>
        </is>
      </c>
      <c r="F9" s="12" t="inlineStr">
        <is>
          <t>板块修复时它是否率先上涨；板块继续跌时它是否补跌。</t>
        </is>
      </c>
      <c r="G9" s="3" t="inlineStr">
        <is>
          <t>抗跌是强信号，但需要连续性验证。</t>
        </is>
      </c>
    </row>
    <row r="10" ht="92" customHeight="1">
      <c r="A10" s="10" t="inlineStr">
        <is>
          <t>连续加速上涨</t>
        </is>
      </c>
      <c r="B10" s="3" t="inlineStr">
        <is>
          <t>连续涨幅；是否涨停；是否远离均线；成交是否异常；板块是否高潮。</t>
        </is>
      </c>
      <c r="C10" s="12" t="inlineStr">
        <is>
          <t>主升加速；情绪高潮；短期过热。</t>
        </is>
      </c>
      <c r="D10" s="12" t="inlineStr">
        <is>
          <t>板块主线明确、成交活跃、价格重心快速上移。</t>
        </is>
      </c>
      <c r="E10" s="12" t="inlineStr">
        <is>
          <t>涨幅过大、放量滞涨、补涨扩散过热、次日承接差。</t>
        </is>
      </c>
      <c r="F10" s="12" t="inlineStr">
        <is>
          <t>是否出现第一次大分歧；分歧后能否修复。</t>
        </is>
      </c>
      <c r="G10" s="3" t="inlineStr">
        <is>
          <t>这类最容易看懂但最难参与，当前阶段只训练识别。</t>
        </is>
      </c>
    </row>
    <row r="11" ht="92" customHeight="1">
      <c r="A11" s="10" t="inlineStr">
        <is>
          <t>低位反弹</t>
        </is>
      </c>
      <c r="B11" s="3" t="inlineStr">
        <is>
          <t>是否仍在下降趋势；反弹量能；是否突破前高；板块是否强。</t>
        </is>
      </c>
      <c r="C11" s="12" t="inlineStr">
        <is>
          <t>弱反弹；下降趋势逆转尝试；超跌修复。</t>
        </is>
      </c>
      <c r="D11" s="12" t="inlineStr">
        <is>
          <t>放量突破下降趋势/前高，板块也强，后续不跌回。</t>
        </is>
      </c>
      <c r="E11" s="12" t="inlineStr">
        <is>
          <t>只反弹到压力位、量能不足、板块不强、很快回落。</t>
        </is>
      </c>
      <c r="F11" s="12" t="inlineStr">
        <is>
          <t>能否形成更高低点；能否站上关键均线；板块是否延续。</t>
        </is>
      </c>
      <c r="G11" s="3" t="inlineStr">
        <is>
          <t>低位不等于低风险，要区分“反弹”和“逆转”。</t>
        </is>
      </c>
    </row>
    <row r="12" ht="92" customHeight="1">
      <c r="A12" s="10" t="inlineStr">
        <is>
          <t>横盘震荡</t>
        </is>
      </c>
      <c r="B12" s="3" t="inlineStr">
        <is>
          <t>震荡区间；量能变化；上下沿；板块状态；是否在高位还是低位。</t>
        </is>
      </c>
      <c r="C12" s="12" t="inlineStr">
        <is>
          <t>震荡整理；筑底；高位派发；等待方向。</t>
        </is>
      </c>
      <c r="D12" s="12" t="inlineStr">
        <is>
          <t>波动收敛、量能下降、关键位未破、板块没有退潮。</t>
        </is>
      </c>
      <c r="E12" s="12" t="inlineStr">
        <is>
          <t>放量跌破下沿、上冲无力、板块核心走弱。</t>
        </is>
      </c>
      <c r="F12" s="12" t="inlineStr">
        <is>
          <t>突破上沿还是跌破下沿；突破/跌破时量能如何。</t>
        </is>
      </c>
      <c r="G12" s="3" t="inlineStr">
        <is>
          <t>震荡本身不是结论，要记录区间和等待方向。</t>
        </is>
      </c>
    </row>
  </sheetData>
  <autoFilter ref="A1:G5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6" customWidth="1" min="4" max="4"/>
    <col width="18" customWidth="1" min="5" max="5"/>
    <col width="22" customWidth="1" min="6" max="6"/>
    <col width="42" customWidth="1" min="7" max="7"/>
    <col width="12" customWidth="1" min="8" max="8"/>
    <col width="12" customWidth="1" min="9" max="9"/>
    <col width="18" customWidth="1" min="10" max="10"/>
    <col width="18" customWidth="1" min="11" max="11"/>
    <col width="22" customWidth="1" min="12" max="12"/>
    <col width="22" customWidth="1" min="13" max="13"/>
    <col width="16" customWidth="1" min="14" max="14"/>
    <col width="16" customWidth="1" min="15" max="15"/>
    <col width="20" customWidth="1" min="16" max="16"/>
    <col width="42" customWidth="1" min="17" max="17"/>
    <col width="28" customWidth="1" min="18" max="18"/>
    <col width="12" customWidth="1" min="19" max="19"/>
  </cols>
  <sheetData>
    <row r="1">
      <c r="A1" s="15" t="inlineStr">
        <is>
          <t>验证ID</t>
        </is>
      </c>
      <c r="B1" s="15" t="inlineStr">
        <is>
          <t>来源记录ID</t>
        </is>
      </c>
      <c r="C1" s="15" t="inlineStr">
        <is>
          <t>原日期</t>
        </is>
      </c>
      <c r="D1" s="15" t="inlineStr">
        <is>
          <t>股票/代码</t>
        </is>
      </c>
      <c r="E1" s="15" t="inlineStr">
        <is>
          <t>原现象</t>
        </is>
      </c>
      <c r="F1" s="15" t="inlineStr">
        <is>
          <t>原偏向解释</t>
        </is>
      </c>
      <c r="G1" s="15" t="inlineStr">
        <is>
          <t>原下一步区分证据</t>
        </is>
      </c>
      <c r="H1" s="15" t="inlineStr">
        <is>
          <t>验证节点</t>
        </is>
      </c>
      <c r="I1" s="15" t="inlineStr">
        <is>
          <t>验证日期</t>
        </is>
      </c>
      <c r="J1" s="15" t="inlineStr">
        <is>
          <t>验证价格/变化</t>
        </is>
      </c>
      <c r="K1" s="15" t="inlineStr">
        <is>
          <t>后续实际表现</t>
        </is>
      </c>
      <c r="L1" s="15" t="inlineStr">
        <is>
          <t>哪个解释被强化</t>
        </is>
      </c>
      <c r="M1" s="15" t="inlineStr">
        <is>
          <t>哪个解释被削弱</t>
        </is>
      </c>
      <c r="N1" s="15" t="inlineStr">
        <is>
          <t>观察点是否出现</t>
        </is>
      </c>
      <c r="O1" s="15" t="inlineStr">
        <is>
          <t>判断质量</t>
        </is>
      </c>
      <c r="P1" s="15" t="inlineStr">
        <is>
          <t>错误/失败类型</t>
        </is>
      </c>
      <c r="Q1" s="15" t="inlineStr">
        <is>
          <t>学到的规则</t>
        </is>
      </c>
      <c r="R1" s="15" t="inlineStr">
        <is>
          <t>待补知识</t>
        </is>
      </c>
      <c r="S1" s="6" t="inlineStr">
        <is>
          <t>到期状态</t>
        </is>
      </c>
    </row>
    <row r="2">
      <c r="A2" s="16">
        <f>IF(B2="","","V-"&amp;TEXT(ROW()-1,"000"))</f>
        <v/>
      </c>
      <c r="B2" s="17" t="n"/>
      <c r="C2" s="18" t="n"/>
      <c r="D2" s="17" t="n"/>
      <c r="E2" s="17" t="n"/>
      <c r="F2" s="17" t="n"/>
      <c r="G2" s="19" t="n"/>
      <c r="H2" s="17" t="n"/>
      <c r="I2" s="18" t="n"/>
      <c r="J2" s="19" t="n"/>
      <c r="K2" s="17" t="n"/>
      <c r="L2" s="17" t="n"/>
      <c r="M2" s="17" t="n"/>
      <c r="N2" s="17" t="n"/>
      <c r="O2" s="17" t="n"/>
      <c r="P2" s="17" t="n"/>
      <c r="Q2" s="19" t="n"/>
      <c r="R2" s="19" t="n"/>
      <c r="S2" s="7">
        <f>IF(I2="","",IF(TODAY()&gt;=I2,"到期","未到期"))</f>
        <v/>
      </c>
    </row>
    <row r="3">
      <c r="A3" s="16">
        <f>IF(B3="","","V-"&amp;TEXT(ROW()-1,"000"))</f>
        <v/>
      </c>
      <c r="B3" s="17" t="n"/>
      <c r="C3" s="18" t="n"/>
      <c r="D3" s="17" t="n"/>
      <c r="E3" s="17" t="n"/>
      <c r="F3" s="17" t="n"/>
      <c r="G3" s="19" t="n"/>
      <c r="H3" s="17" t="n"/>
      <c r="I3" s="18" t="n"/>
      <c r="J3" s="19" t="n"/>
      <c r="K3" s="17" t="n"/>
      <c r="L3" s="17" t="n"/>
      <c r="M3" s="17" t="n"/>
      <c r="N3" s="17" t="n"/>
      <c r="O3" s="17" t="n"/>
      <c r="P3" s="17" t="n"/>
      <c r="Q3" s="19" t="n"/>
      <c r="R3" s="19" t="n"/>
      <c r="S3" s="7">
        <f>IF(I3="","",IF(TODAY()&gt;=I3,"到期","未到期"))</f>
        <v/>
      </c>
    </row>
    <row r="4">
      <c r="A4" s="16">
        <f>IF(B4="","","V-"&amp;TEXT(ROW()-1,"000"))</f>
        <v/>
      </c>
      <c r="B4" s="17" t="n"/>
      <c r="C4" s="18" t="n"/>
      <c r="D4" s="17" t="n"/>
      <c r="E4" s="17" t="n"/>
      <c r="F4" s="17" t="n"/>
      <c r="G4" s="19" t="n"/>
      <c r="H4" s="17" t="n"/>
      <c r="I4" s="18" t="n"/>
      <c r="J4" s="19" t="n"/>
      <c r="K4" s="17" t="n"/>
      <c r="L4" s="17" t="n"/>
      <c r="M4" s="17" t="n"/>
      <c r="N4" s="17" t="n"/>
      <c r="O4" s="17" t="n"/>
      <c r="P4" s="17" t="n"/>
      <c r="Q4" s="19" t="n"/>
      <c r="R4" s="19" t="n"/>
      <c r="S4" s="7">
        <f>IF(I4="","",IF(TODAY()&gt;=I4,"到期","未到期"))</f>
        <v/>
      </c>
    </row>
    <row r="5">
      <c r="A5" s="16">
        <f>IF(B5="","","V-"&amp;TEXT(ROW()-1,"000"))</f>
        <v/>
      </c>
      <c r="B5" s="17" t="n"/>
      <c r="C5" s="18" t="n"/>
      <c r="D5" s="17" t="n"/>
      <c r="E5" s="17" t="n"/>
      <c r="F5" s="17" t="n"/>
      <c r="G5" s="19" t="n"/>
      <c r="H5" s="17" t="n"/>
      <c r="I5" s="18" t="n"/>
      <c r="J5" s="19" t="n"/>
      <c r="K5" s="17" t="n"/>
      <c r="L5" s="17" t="n"/>
      <c r="M5" s="17" t="n"/>
      <c r="N5" s="17" t="n"/>
      <c r="O5" s="17" t="n"/>
      <c r="P5" s="17" t="n"/>
      <c r="Q5" s="19" t="n"/>
      <c r="R5" s="19" t="n"/>
      <c r="S5" s="7">
        <f>IF(I5="","",IF(TODAY()&gt;=I5,"到期","未到期"))</f>
        <v/>
      </c>
    </row>
    <row r="6">
      <c r="A6" s="16">
        <f>IF(B6="","","V-"&amp;TEXT(ROW()-1,"000"))</f>
        <v/>
      </c>
      <c r="B6" s="17" t="n"/>
      <c r="C6" s="18" t="n"/>
      <c r="D6" s="17" t="n"/>
      <c r="E6" s="17" t="n"/>
      <c r="F6" s="17" t="n"/>
      <c r="G6" s="19" t="n"/>
      <c r="H6" s="17" t="n"/>
      <c r="I6" s="18" t="n"/>
      <c r="J6" s="19" t="n"/>
      <c r="K6" s="17" t="n"/>
      <c r="L6" s="17" t="n"/>
      <c r="M6" s="17" t="n"/>
      <c r="N6" s="17" t="n"/>
      <c r="O6" s="17" t="n"/>
      <c r="P6" s="17" t="n"/>
      <c r="Q6" s="19" t="n"/>
      <c r="R6" s="19" t="n"/>
      <c r="S6" s="7">
        <f>IF(I6="","",IF(TODAY()&gt;=I6,"到期","未到期"))</f>
        <v/>
      </c>
    </row>
    <row r="7">
      <c r="A7" s="16">
        <f>IF(B7="","","V-"&amp;TEXT(ROW()-1,"000"))</f>
        <v/>
      </c>
      <c r="B7" s="17" t="n"/>
      <c r="C7" s="18" t="n"/>
      <c r="D7" s="17" t="n"/>
      <c r="E7" s="17" t="n"/>
      <c r="F7" s="17" t="n"/>
      <c r="G7" s="19" t="n"/>
      <c r="H7" s="17" t="n"/>
      <c r="I7" s="18" t="n"/>
      <c r="J7" s="19" t="n"/>
      <c r="K7" s="17" t="n"/>
      <c r="L7" s="17" t="n"/>
      <c r="M7" s="17" t="n"/>
      <c r="N7" s="17" t="n"/>
      <c r="O7" s="17" t="n"/>
      <c r="P7" s="17" t="n"/>
      <c r="Q7" s="19" t="n"/>
      <c r="R7" s="19" t="n"/>
      <c r="S7" s="7">
        <f>IF(I7="","",IF(TODAY()&gt;=I7,"到期","未到期"))</f>
        <v/>
      </c>
    </row>
    <row r="8">
      <c r="A8" s="16">
        <f>IF(B8="","","V-"&amp;TEXT(ROW()-1,"000"))</f>
        <v/>
      </c>
      <c r="B8" s="17" t="n"/>
      <c r="C8" s="18" t="n"/>
      <c r="D8" s="17" t="n"/>
      <c r="E8" s="17" t="n"/>
      <c r="F8" s="17" t="n"/>
      <c r="G8" s="19" t="n"/>
      <c r="H8" s="17" t="n"/>
      <c r="I8" s="18" t="n"/>
      <c r="J8" s="19" t="n"/>
      <c r="K8" s="17" t="n"/>
      <c r="L8" s="17" t="n"/>
      <c r="M8" s="17" t="n"/>
      <c r="N8" s="17" t="n"/>
      <c r="O8" s="17" t="n"/>
      <c r="P8" s="17" t="n"/>
      <c r="Q8" s="19" t="n"/>
      <c r="R8" s="19" t="n"/>
      <c r="S8" s="7">
        <f>IF(I8="","",IF(TODAY()&gt;=I8,"到期","未到期"))</f>
        <v/>
      </c>
    </row>
    <row r="9">
      <c r="A9" s="16">
        <f>IF(B9="","","V-"&amp;TEXT(ROW()-1,"000"))</f>
        <v/>
      </c>
      <c r="B9" s="17" t="n"/>
      <c r="C9" s="18" t="n"/>
      <c r="D9" s="17" t="n"/>
      <c r="E9" s="17" t="n"/>
      <c r="F9" s="17" t="n"/>
      <c r="G9" s="19" t="n"/>
      <c r="H9" s="17" t="n"/>
      <c r="I9" s="18" t="n"/>
      <c r="J9" s="19" t="n"/>
      <c r="K9" s="17" t="n"/>
      <c r="L9" s="17" t="n"/>
      <c r="M9" s="17" t="n"/>
      <c r="N9" s="17" t="n"/>
      <c r="O9" s="17" t="n"/>
      <c r="P9" s="17" t="n"/>
      <c r="Q9" s="19" t="n"/>
      <c r="R9" s="19" t="n"/>
      <c r="S9" s="7">
        <f>IF(I9="","",IF(TODAY()&gt;=I9,"到期","未到期"))</f>
        <v/>
      </c>
    </row>
    <row r="10">
      <c r="A10" s="16">
        <f>IF(B10="","","V-"&amp;TEXT(ROW()-1,"000"))</f>
        <v/>
      </c>
      <c r="B10" s="17" t="n"/>
      <c r="C10" s="18" t="n"/>
      <c r="D10" s="17" t="n"/>
      <c r="E10" s="17" t="n"/>
      <c r="F10" s="17" t="n"/>
      <c r="G10" s="19" t="n"/>
      <c r="H10" s="17" t="n"/>
      <c r="I10" s="18" t="n"/>
      <c r="J10" s="19" t="n"/>
      <c r="K10" s="17" t="n"/>
      <c r="L10" s="17" t="n"/>
      <c r="M10" s="17" t="n"/>
      <c r="N10" s="17" t="n"/>
      <c r="O10" s="17" t="n"/>
      <c r="P10" s="17" t="n"/>
      <c r="Q10" s="19" t="n"/>
      <c r="R10" s="19" t="n"/>
      <c r="S10" s="7">
        <f>IF(I10="","",IF(TODAY()&gt;=I10,"到期","未到期"))</f>
        <v/>
      </c>
    </row>
    <row r="11">
      <c r="A11" s="16">
        <f>IF(B11="","","V-"&amp;TEXT(ROW()-1,"000"))</f>
        <v/>
      </c>
      <c r="B11" s="17" t="n"/>
      <c r="C11" s="18" t="n"/>
      <c r="D11" s="17" t="n"/>
      <c r="E11" s="17" t="n"/>
      <c r="F11" s="17" t="n"/>
      <c r="G11" s="19" t="n"/>
      <c r="H11" s="17" t="n"/>
      <c r="I11" s="18" t="n"/>
      <c r="J11" s="19" t="n"/>
      <c r="K11" s="17" t="n"/>
      <c r="L11" s="17" t="n"/>
      <c r="M11" s="17" t="n"/>
      <c r="N11" s="17" t="n"/>
      <c r="O11" s="17" t="n"/>
      <c r="P11" s="17" t="n"/>
      <c r="Q11" s="19" t="n"/>
      <c r="R11" s="19" t="n"/>
      <c r="S11" s="7">
        <f>IF(I11="","",IF(TODAY()&gt;=I11,"到期","未到期"))</f>
        <v/>
      </c>
    </row>
    <row r="12">
      <c r="A12" s="16">
        <f>IF(B12="","","V-"&amp;TEXT(ROW()-1,"000"))</f>
        <v/>
      </c>
      <c r="B12" s="17" t="n"/>
      <c r="C12" s="18" t="n"/>
      <c r="D12" s="17" t="n"/>
      <c r="E12" s="17" t="n"/>
      <c r="F12" s="17" t="n"/>
      <c r="G12" s="19" t="n"/>
      <c r="H12" s="17" t="n"/>
      <c r="I12" s="18" t="n"/>
      <c r="J12" s="19" t="n"/>
      <c r="K12" s="17" t="n"/>
      <c r="L12" s="17" t="n"/>
      <c r="M12" s="17" t="n"/>
      <c r="N12" s="17" t="n"/>
      <c r="O12" s="17" t="n"/>
      <c r="P12" s="17" t="n"/>
      <c r="Q12" s="19" t="n"/>
      <c r="R12" s="19" t="n"/>
      <c r="S12" s="7">
        <f>IF(I12="","",IF(TODAY()&gt;=I12,"到期","未到期"))</f>
        <v/>
      </c>
    </row>
    <row r="13">
      <c r="A13" s="16">
        <f>IF(B13="","","V-"&amp;TEXT(ROW()-1,"000"))</f>
        <v/>
      </c>
      <c r="B13" s="17" t="n"/>
      <c r="C13" s="18" t="n"/>
      <c r="D13" s="17" t="n"/>
      <c r="E13" s="17" t="n"/>
      <c r="F13" s="17" t="n"/>
      <c r="G13" s="19" t="n"/>
      <c r="H13" s="17" t="n"/>
      <c r="I13" s="18" t="n"/>
      <c r="J13" s="19" t="n"/>
      <c r="K13" s="17" t="n"/>
      <c r="L13" s="17" t="n"/>
      <c r="M13" s="17" t="n"/>
      <c r="N13" s="17" t="n"/>
      <c r="O13" s="17" t="n"/>
      <c r="P13" s="17" t="n"/>
      <c r="Q13" s="19" t="n"/>
      <c r="R13" s="19" t="n"/>
      <c r="S13" s="7">
        <f>IF(I13="","",IF(TODAY()&gt;=I13,"到期","未到期"))</f>
        <v/>
      </c>
    </row>
    <row r="14">
      <c r="A14" s="16">
        <f>IF(B14="","","V-"&amp;TEXT(ROW()-1,"000"))</f>
        <v/>
      </c>
      <c r="B14" s="17" t="n"/>
      <c r="C14" s="18" t="n"/>
      <c r="D14" s="17" t="n"/>
      <c r="E14" s="17" t="n"/>
      <c r="F14" s="17" t="n"/>
      <c r="G14" s="19" t="n"/>
      <c r="H14" s="17" t="n"/>
      <c r="I14" s="18" t="n"/>
      <c r="J14" s="19" t="n"/>
      <c r="K14" s="17" t="n"/>
      <c r="L14" s="17" t="n"/>
      <c r="M14" s="17" t="n"/>
      <c r="N14" s="17" t="n"/>
      <c r="O14" s="17" t="n"/>
      <c r="P14" s="17" t="n"/>
      <c r="Q14" s="19" t="n"/>
      <c r="R14" s="19" t="n"/>
      <c r="S14" s="7">
        <f>IF(I14="","",IF(TODAY()&gt;=I14,"到期","未到期"))</f>
        <v/>
      </c>
    </row>
    <row r="15">
      <c r="A15" s="16">
        <f>IF(B15="","","V-"&amp;TEXT(ROW()-1,"000"))</f>
        <v/>
      </c>
      <c r="B15" s="17" t="n"/>
      <c r="C15" s="18" t="n"/>
      <c r="D15" s="17" t="n"/>
      <c r="E15" s="17" t="n"/>
      <c r="F15" s="17" t="n"/>
      <c r="G15" s="19" t="n"/>
      <c r="H15" s="17" t="n"/>
      <c r="I15" s="18" t="n"/>
      <c r="J15" s="19" t="n"/>
      <c r="K15" s="17" t="n"/>
      <c r="L15" s="17" t="n"/>
      <c r="M15" s="17" t="n"/>
      <c r="N15" s="17" t="n"/>
      <c r="O15" s="17" t="n"/>
      <c r="P15" s="17" t="n"/>
      <c r="Q15" s="19" t="n"/>
      <c r="R15" s="19" t="n"/>
      <c r="S15" s="7">
        <f>IF(I15="","",IF(TODAY()&gt;=I15,"到期","未到期"))</f>
        <v/>
      </c>
    </row>
    <row r="16">
      <c r="A16" s="16">
        <f>IF(B16="","","V-"&amp;TEXT(ROW()-1,"000"))</f>
        <v/>
      </c>
      <c r="B16" s="17" t="n"/>
      <c r="C16" s="18" t="n"/>
      <c r="D16" s="17" t="n"/>
      <c r="E16" s="17" t="n"/>
      <c r="F16" s="17" t="n"/>
      <c r="G16" s="19" t="n"/>
      <c r="H16" s="17" t="n"/>
      <c r="I16" s="18" t="n"/>
      <c r="J16" s="19" t="n"/>
      <c r="K16" s="17" t="n"/>
      <c r="L16" s="17" t="n"/>
      <c r="M16" s="17" t="n"/>
      <c r="N16" s="17" t="n"/>
      <c r="O16" s="17" t="n"/>
      <c r="P16" s="17" t="n"/>
      <c r="Q16" s="19" t="n"/>
      <c r="R16" s="19" t="n"/>
      <c r="S16" s="7">
        <f>IF(I16="","",IF(TODAY()&gt;=I16,"到期","未到期"))</f>
        <v/>
      </c>
    </row>
    <row r="17">
      <c r="A17" s="16">
        <f>IF(B17="","","V-"&amp;TEXT(ROW()-1,"000"))</f>
        <v/>
      </c>
      <c r="B17" s="17" t="n"/>
      <c r="C17" s="18" t="n"/>
      <c r="D17" s="17" t="n"/>
      <c r="E17" s="17" t="n"/>
      <c r="F17" s="17" t="n"/>
      <c r="G17" s="19" t="n"/>
      <c r="H17" s="17" t="n"/>
      <c r="I17" s="18" t="n"/>
      <c r="J17" s="19" t="n"/>
      <c r="K17" s="17" t="n"/>
      <c r="L17" s="17" t="n"/>
      <c r="M17" s="17" t="n"/>
      <c r="N17" s="17" t="n"/>
      <c r="O17" s="17" t="n"/>
      <c r="P17" s="17" t="n"/>
      <c r="Q17" s="19" t="n"/>
      <c r="R17" s="19" t="n"/>
      <c r="S17" s="7">
        <f>IF(I17="","",IF(TODAY()&gt;=I17,"到期","未到期"))</f>
        <v/>
      </c>
    </row>
    <row r="18">
      <c r="A18" s="16">
        <f>IF(B18="","","V-"&amp;TEXT(ROW()-1,"000"))</f>
        <v/>
      </c>
      <c r="B18" s="17" t="n"/>
      <c r="C18" s="18" t="n"/>
      <c r="D18" s="17" t="n"/>
      <c r="E18" s="17" t="n"/>
      <c r="F18" s="17" t="n"/>
      <c r="G18" s="19" t="n"/>
      <c r="H18" s="17" t="n"/>
      <c r="I18" s="18" t="n"/>
      <c r="J18" s="19" t="n"/>
      <c r="K18" s="17" t="n"/>
      <c r="L18" s="17" t="n"/>
      <c r="M18" s="17" t="n"/>
      <c r="N18" s="17" t="n"/>
      <c r="O18" s="17" t="n"/>
      <c r="P18" s="17" t="n"/>
      <c r="Q18" s="19" t="n"/>
      <c r="R18" s="19" t="n"/>
      <c r="S18" s="7">
        <f>IF(I18="","",IF(TODAY()&gt;=I18,"到期","未到期"))</f>
        <v/>
      </c>
    </row>
    <row r="19">
      <c r="A19" s="16">
        <f>IF(B19="","","V-"&amp;TEXT(ROW()-1,"000"))</f>
        <v/>
      </c>
      <c r="B19" s="17" t="n"/>
      <c r="C19" s="18" t="n"/>
      <c r="D19" s="17" t="n"/>
      <c r="E19" s="17" t="n"/>
      <c r="F19" s="17" t="n"/>
      <c r="G19" s="19" t="n"/>
      <c r="H19" s="17" t="n"/>
      <c r="I19" s="18" t="n"/>
      <c r="J19" s="19" t="n"/>
      <c r="K19" s="17" t="n"/>
      <c r="L19" s="17" t="n"/>
      <c r="M19" s="17" t="n"/>
      <c r="N19" s="17" t="n"/>
      <c r="O19" s="17" t="n"/>
      <c r="P19" s="17" t="n"/>
      <c r="Q19" s="19" t="n"/>
      <c r="R19" s="19" t="n"/>
      <c r="S19" s="7">
        <f>IF(I19="","",IF(TODAY()&gt;=I19,"到期","未到期"))</f>
        <v/>
      </c>
    </row>
    <row r="20">
      <c r="A20" s="16">
        <f>IF(B20="","","V-"&amp;TEXT(ROW()-1,"000"))</f>
        <v/>
      </c>
      <c r="B20" s="17" t="n"/>
      <c r="C20" s="18" t="n"/>
      <c r="D20" s="17" t="n"/>
      <c r="E20" s="17" t="n"/>
      <c r="F20" s="17" t="n"/>
      <c r="G20" s="19" t="n"/>
      <c r="H20" s="17" t="n"/>
      <c r="I20" s="18" t="n"/>
      <c r="J20" s="19" t="n"/>
      <c r="K20" s="17" t="n"/>
      <c r="L20" s="17" t="n"/>
      <c r="M20" s="17" t="n"/>
      <c r="N20" s="17" t="n"/>
      <c r="O20" s="17" t="n"/>
      <c r="P20" s="17" t="n"/>
      <c r="Q20" s="19" t="n"/>
      <c r="R20" s="19" t="n"/>
      <c r="S20" s="7">
        <f>IF(I20="","",IF(TODAY()&gt;=I20,"到期","未到期"))</f>
        <v/>
      </c>
    </row>
    <row r="21">
      <c r="A21" s="16">
        <f>IF(B21="","","V-"&amp;TEXT(ROW()-1,"000"))</f>
        <v/>
      </c>
      <c r="B21" s="17" t="n"/>
      <c r="C21" s="18" t="n"/>
      <c r="D21" s="17" t="n"/>
      <c r="E21" s="17" t="n"/>
      <c r="F21" s="17" t="n"/>
      <c r="G21" s="19" t="n"/>
      <c r="H21" s="17" t="n"/>
      <c r="I21" s="18" t="n"/>
      <c r="J21" s="19" t="n"/>
      <c r="K21" s="17" t="n"/>
      <c r="L21" s="17" t="n"/>
      <c r="M21" s="17" t="n"/>
      <c r="N21" s="17" t="n"/>
      <c r="O21" s="17" t="n"/>
      <c r="P21" s="17" t="n"/>
      <c r="Q21" s="19" t="n"/>
      <c r="R21" s="19" t="n"/>
      <c r="S21" s="7">
        <f>IF(I21="","",IF(TODAY()&gt;=I21,"到期","未到期"))</f>
        <v/>
      </c>
    </row>
    <row r="22">
      <c r="A22" s="16">
        <f>IF(B22="","","V-"&amp;TEXT(ROW()-1,"000"))</f>
        <v/>
      </c>
      <c r="B22" s="17" t="n"/>
      <c r="C22" s="18" t="n"/>
      <c r="D22" s="17" t="n"/>
      <c r="E22" s="17" t="n"/>
      <c r="F22" s="17" t="n"/>
      <c r="G22" s="19" t="n"/>
      <c r="H22" s="17" t="n"/>
      <c r="I22" s="18" t="n"/>
      <c r="J22" s="19" t="n"/>
      <c r="K22" s="17" t="n"/>
      <c r="L22" s="17" t="n"/>
      <c r="M22" s="17" t="n"/>
      <c r="N22" s="17" t="n"/>
      <c r="O22" s="17" t="n"/>
      <c r="P22" s="17" t="n"/>
      <c r="Q22" s="19" t="n"/>
      <c r="R22" s="19" t="n"/>
      <c r="S22" s="7">
        <f>IF(I22="","",IF(TODAY()&gt;=I22,"到期","未到期"))</f>
        <v/>
      </c>
    </row>
    <row r="23">
      <c r="A23" s="16">
        <f>IF(B23="","","V-"&amp;TEXT(ROW()-1,"000"))</f>
        <v/>
      </c>
      <c r="B23" s="17" t="n"/>
      <c r="C23" s="18" t="n"/>
      <c r="D23" s="17" t="n"/>
      <c r="E23" s="17" t="n"/>
      <c r="F23" s="17" t="n"/>
      <c r="G23" s="19" t="n"/>
      <c r="H23" s="17" t="n"/>
      <c r="I23" s="18" t="n"/>
      <c r="J23" s="19" t="n"/>
      <c r="K23" s="17" t="n"/>
      <c r="L23" s="17" t="n"/>
      <c r="M23" s="17" t="n"/>
      <c r="N23" s="17" t="n"/>
      <c r="O23" s="17" t="n"/>
      <c r="P23" s="17" t="n"/>
      <c r="Q23" s="19" t="n"/>
      <c r="R23" s="19" t="n"/>
      <c r="S23" s="7">
        <f>IF(I23="","",IF(TODAY()&gt;=I23,"到期","未到期"))</f>
        <v/>
      </c>
    </row>
    <row r="24">
      <c r="A24" s="16">
        <f>IF(B24="","","V-"&amp;TEXT(ROW()-1,"000"))</f>
        <v/>
      </c>
      <c r="B24" s="17" t="n"/>
      <c r="C24" s="18" t="n"/>
      <c r="D24" s="17" t="n"/>
      <c r="E24" s="17" t="n"/>
      <c r="F24" s="17" t="n"/>
      <c r="G24" s="19" t="n"/>
      <c r="H24" s="17" t="n"/>
      <c r="I24" s="18" t="n"/>
      <c r="J24" s="19" t="n"/>
      <c r="K24" s="17" t="n"/>
      <c r="L24" s="17" t="n"/>
      <c r="M24" s="17" t="n"/>
      <c r="N24" s="17" t="n"/>
      <c r="O24" s="17" t="n"/>
      <c r="P24" s="17" t="n"/>
      <c r="Q24" s="19" t="n"/>
      <c r="R24" s="19" t="n"/>
      <c r="S24" s="7">
        <f>IF(I24="","",IF(TODAY()&gt;=I24,"到期","未到期"))</f>
        <v/>
      </c>
    </row>
    <row r="25">
      <c r="A25" s="16">
        <f>IF(B25="","","V-"&amp;TEXT(ROW()-1,"000"))</f>
        <v/>
      </c>
      <c r="B25" s="17" t="n"/>
      <c r="C25" s="18" t="n"/>
      <c r="D25" s="17" t="n"/>
      <c r="E25" s="17" t="n"/>
      <c r="F25" s="17" t="n"/>
      <c r="G25" s="19" t="n"/>
      <c r="H25" s="17" t="n"/>
      <c r="I25" s="18" t="n"/>
      <c r="J25" s="19" t="n"/>
      <c r="K25" s="17" t="n"/>
      <c r="L25" s="17" t="n"/>
      <c r="M25" s="17" t="n"/>
      <c r="N25" s="17" t="n"/>
      <c r="O25" s="17" t="n"/>
      <c r="P25" s="17" t="n"/>
      <c r="Q25" s="19" t="n"/>
      <c r="R25" s="19" t="n"/>
      <c r="S25" s="7">
        <f>IF(I25="","",IF(TODAY()&gt;=I25,"到期","未到期"))</f>
        <v/>
      </c>
    </row>
    <row r="26">
      <c r="A26" s="16">
        <f>IF(B26="","","V-"&amp;TEXT(ROW()-1,"000"))</f>
        <v/>
      </c>
      <c r="B26" s="17" t="n"/>
      <c r="C26" s="18" t="n"/>
      <c r="D26" s="17" t="n"/>
      <c r="E26" s="17" t="n"/>
      <c r="F26" s="17" t="n"/>
      <c r="G26" s="19" t="n"/>
      <c r="H26" s="17" t="n"/>
      <c r="I26" s="18" t="n"/>
      <c r="J26" s="19" t="n"/>
      <c r="K26" s="17" t="n"/>
      <c r="L26" s="17" t="n"/>
      <c r="M26" s="17" t="n"/>
      <c r="N26" s="17" t="n"/>
      <c r="O26" s="17" t="n"/>
      <c r="P26" s="17" t="n"/>
      <c r="Q26" s="19" t="n"/>
      <c r="R26" s="19" t="n"/>
      <c r="S26" s="7">
        <f>IF(I26="","",IF(TODAY()&gt;=I26,"到期","未到期"))</f>
        <v/>
      </c>
    </row>
    <row r="27">
      <c r="A27" s="16">
        <f>IF(B27="","","V-"&amp;TEXT(ROW()-1,"000"))</f>
        <v/>
      </c>
      <c r="B27" s="17" t="n"/>
      <c r="C27" s="18" t="n"/>
      <c r="D27" s="17" t="n"/>
      <c r="E27" s="17" t="n"/>
      <c r="F27" s="17" t="n"/>
      <c r="G27" s="19" t="n"/>
      <c r="H27" s="17" t="n"/>
      <c r="I27" s="18" t="n"/>
      <c r="J27" s="19" t="n"/>
      <c r="K27" s="17" t="n"/>
      <c r="L27" s="17" t="n"/>
      <c r="M27" s="17" t="n"/>
      <c r="N27" s="17" t="n"/>
      <c r="O27" s="17" t="n"/>
      <c r="P27" s="17" t="n"/>
      <c r="Q27" s="19" t="n"/>
      <c r="R27" s="19" t="n"/>
      <c r="S27" s="7">
        <f>IF(I27="","",IF(TODAY()&gt;=I27,"到期","未到期"))</f>
        <v/>
      </c>
    </row>
    <row r="28">
      <c r="A28" s="16">
        <f>IF(B28="","","V-"&amp;TEXT(ROW()-1,"000"))</f>
        <v/>
      </c>
      <c r="B28" s="17" t="n"/>
      <c r="C28" s="18" t="n"/>
      <c r="D28" s="17" t="n"/>
      <c r="E28" s="17" t="n"/>
      <c r="F28" s="17" t="n"/>
      <c r="G28" s="19" t="n"/>
      <c r="H28" s="17" t="n"/>
      <c r="I28" s="18" t="n"/>
      <c r="J28" s="19" t="n"/>
      <c r="K28" s="17" t="n"/>
      <c r="L28" s="17" t="n"/>
      <c r="M28" s="17" t="n"/>
      <c r="N28" s="17" t="n"/>
      <c r="O28" s="17" t="n"/>
      <c r="P28" s="17" t="n"/>
      <c r="Q28" s="19" t="n"/>
      <c r="R28" s="19" t="n"/>
      <c r="S28" s="7">
        <f>IF(I28="","",IF(TODAY()&gt;=I28,"到期","未到期"))</f>
        <v/>
      </c>
    </row>
    <row r="29">
      <c r="A29" s="16">
        <f>IF(B29="","","V-"&amp;TEXT(ROW()-1,"000"))</f>
        <v/>
      </c>
      <c r="B29" s="17" t="n"/>
      <c r="C29" s="18" t="n"/>
      <c r="D29" s="17" t="n"/>
      <c r="E29" s="17" t="n"/>
      <c r="F29" s="17" t="n"/>
      <c r="G29" s="19" t="n"/>
      <c r="H29" s="17" t="n"/>
      <c r="I29" s="18" t="n"/>
      <c r="J29" s="19" t="n"/>
      <c r="K29" s="17" t="n"/>
      <c r="L29" s="17" t="n"/>
      <c r="M29" s="17" t="n"/>
      <c r="N29" s="17" t="n"/>
      <c r="O29" s="17" t="n"/>
      <c r="P29" s="17" t="n"/>
      <c r="Q29" s="19" t="n"/>
      <c r="R29" s="19" t="n"/>
      <c r="S29" s="7">
        <f>IF(I29="","",IF(TODAY()&gt;=I29,"到期","未到期"))</f>
        <v/>
      </c>
    </row>
    <row r="30">
      <c r="A30" s="16">
        <f>IF(B30="","","V-"&amp;TEXT(ROW()-1,"000"))</f>
        <v/>
      </c>
      <c r="B30" s="17" t="n"/>
      <c r="C30" s="18" t="n"/>
      <c r="D30" s="17" t="n"/>
      <c r="E30" s="17" t="n"/>
      <c r="F30" s="17" t="n"/>
      <c r="G30" s="19" t="n"/>
      <c r="H30" s="17" t="n"/>
      <c r="I30" s="18" t="n"/>
      <c r="J30" s="19" t="n"/>
      <c r="K30" s="17" t="n"/>
      <c r="L30" s="17" t="n"/>
      <c r="M30" s="17" t="n"/>
      <c r="N30" s="17" t="n"/>
      <c r="O30" s="17" t="n"/>
      <c r="P30" s="17" t="n"/>
      <c r="Q30" s="19" t="n"/>
      <c r="R30" s="19" t="n"/>
      <c r="S30" s="7">
        <f>IF(I30="","",IF(TODAY()&gt;=I30,"到期","未到期"))</f>
        <v/>
      </c>
    </row>
    <row r="31">
      <c r="A31" s="16">
        <f>IF(B31="","","V-"&amp;TEXT(ROW()-1,"000"))</f>
        <v/>
      </c>
      <c r="B31" s="17" t="n"/>
      <c r="C31" s="18" t="n"/>
      <c r="D31" s="17" t="n"/>
      <c r="E31" s="17" t="n"/>
      <c r="F31" s="17" t="n"/>
      <c r="G31" s="19" t="n"/>
      <c r="H31" s="17" t="n"/>
      <c r="I31" s="18" t="n"/>
      <c r="J31" s="19" t="n"/>
      <c r="K31" s="17" t="n"/>
      <c r="L31" s="17" t="n"/>
      <c r="M31" s="17" t="n"/>
      <c r="N31" s="17" t="n"/>
      <c r="O31" s="17" t="n"/>
      <c r="P31" s="17" t="n"/>
      <c r="Q31" s="19" t="n"/>
      <c r="R31" s="19" t="n"/>
      <c r="S31" s="7">
        <f>IF(I31="","",IF(TODAY()&gt;=I31,"到期","未到期"))</f>
        <v/>
      </c>
    </row>
    <row r="32">
      <c r="A32" s="16">
        <f>IF(B32="","","V-"&amp;TEXT(ROW()-1,"000"))</f>
        <v/>
      </c>
      <c r="B32" s="17" t="n"/>
      <c r="C32" s="18" t="n"/>
      <c r="D32" s="17" t="n"/>
      <c r="E32" s="17" t="n"/>
      <c r="F32" s="17" t="n"/>
      <c r="G32" s="19" t="n"/>
      <c r="H32" s="17" t="n"/>
      <c r="I32" s="18" t="n"/>
      <c r="J32" s="19" t="n"/>
      <c r="K32" s="17" t="n"/>
      <c r="L32" s="17" t="n"/>
      <c r="M32" s="17" t="n"/>
      <c r="N32" s="17" t="n"/>
      <c r="O32" s="17" t="n"/>
      <c r="P32" s="17" t="n"/>
      <c r="Q32" s="19" t="n"/>
      <c r="R32" s="19" t="n"/>
      <c r="S32" s="7">
        <f>IF(I32="","",IF(TODAY()&gt;=I32,"到期","未到期"))</f>
        <v/>
      </c>
    </row>
    <row r="33">
      <c r="A33" s="16">
        <f>IF(B33="","","V-"&amp;TEXT(ROW()-1,"000"))</f>
        <v/>
      </c>
      <c r="B33" s="17" t="n"/>
      <c r="C33" s="18" t="n"/>
      <c r="D33" s="17" t="n"/>
      <c r="E33" s="17" t="n"/>
      <c r="F33" s="17" t="n"/>
      <c r="G33" s="19" t="n"/>
      <c r="H33" s="17" t="n"/>
      <c r="I33" s="18" t="n"/>
      <c r="J33" s="19" t="n"/>
      <c r="K33" s="17" t="n"/>
      <c r="L33" s="17" t="n"/>
      <c r="M33" s="17" t="n"/>
      <c r="N33" s="17" t="n"/>
      <c r="O33" s="17" t="n"/>
      <c r="P33" s="17" t="n"/>
      <c r="Q33" s="19" t="n"/>
      <c r="R33" s="19" t="n"/>
      <c r="S33" s="7">
        <f>IF(I33="","",IF(TODAY()&gt;=I33,"到期","未到期"))</f>
        <v/>
      </c>
    </row>
    <row r="34">
      <c r="A34" s="16">
        <f>IF(B34="","","V-"&amp;TEXT(ROW()-1,"000"))</f>
        <v/>
      </c>
      <c r="B34" s="17" t="n"/>
      <c r="C34" s="18" t="n"/>
      <c r="D34" s="17" t="n"/>
      <c r="E34" s="17" t="n"/>
      <c r="F34" s="17" t="n"/>
      <c r="G34" s="19" t="n"/>
      <c r="H34" s="17" t="n"/>
      <c r="I34" s="18" t="n"/>
      <c r="J34" s="19" t="n"/>
      <c r="K34" s="17" t="n"/>
      <c r="L34" s="17" t="n"/>
      <c r="M34" s="17" t="n"/>
      <c r="N34" s="17" t="n"/>
      <c r="O34" s="17" t="n"/>
      <c r="P34" s="17" t="n"/>
      <c r="Q34" s="19" t="n"/>
      <c r="R34" s="19" t="n"/>
      <c r="S34" s="7">
        <f>IF(I34="","",IF(TODAY()&gt;=I34,"到期","未到期"))</f>
        <v/>
      </c>
    </row>
    <row r="35">
      <c r="A35" s="16">
        <f>IF(B35="","","V-"&amp;TEXT(ROW()-1,"000"))</f>
        <v/>
      </c>
      <c r="B35" s="17" t="n"/>
      <c r="C35" s="18" t="n"/>
      <c r="D35" s="17" t="n"/>
      <c r="E35" s="17" t="n"/>
      <c r="F35" s="17" t="n"/>
      <c r="G35" s="19" t="n"/>
      <c r="H35" s="17" t="n"/>
      <c r="I35" s="18" t="n"/>
      <c r="J35" s="19" t="n"/>
      <c r="K35" s="17" t="n"/>
      <c r="L35" s="17" t="n"/>
      <c r="M35" s="17" t="n"/>
      <c r="N35" s="17" t="n"/>
      <c r="O35" s="17" t="n"/>
      <c r="P35" s="17" t="n"/>
      <c r="Q35" s="19" t="n"/>
      <c r="R35" s="19" t="n"/>
      <c r="S35" s="7">
        <f>IF(I35="","",IF(TODAY()&gt;=I35,"到期","未到期"))</f>
        <v/>
      </c>
    </row>
    <row r="36">
      <c r="A36" s="16">
        <f>IF(B36="","","V-"&amp;TEXT(ROW()-1,"000"))</f>
        <v/>
      </c>
      <c r="B36" s="17" t="n"/>
      <c r="C36" s="18" t="n"/>
      <c r="D36" s="17" t="n"/>
      <c r="E36" s="17" t="n"/>
      <c r="F36" s="17" t="n"/>
      <c r="G36" s="19" t="n"/>
      <c r="H36" s="17" t="n"/>
      <c r="I36" s="18" t="n"/>
      <c r="J36" s="19" t="n"/>
      <c r="K36" s="17" t="n"/>
      <c r="L36" s="17" t="n"/>
      <c r="M36" s="17" t="n"/>
      <c r="N36" s="17" t="n"/>
      <c r="O36" s="17" t="n"/>
      <c r="P36" s="17" t="n"/>
      <c r="Q36" s="19" t="n"/>
      <c r="R36" s="19" t="n"/>
      <c r="S36" s="7">
        <f>IF(I36="","",IF(TODAY()&gt;=I36,"到期","未到期"))</f>
        <v/>
      </c>
    </row>
    <row r="37">
      <c r="A37" s="16">
        <f>IF(B37="","","V-"&amp;TEXT(ROW()-1,"000"))</f>
        <v/>
      </c>
      <c r="B37" s="17" t="n"/>
      <c r="C37" s="18" t="n"/>
      <c r="D37" s="17" t="n"/>
      <c r="E37" s="17" t="n"/>
      <c r="F37" s="17" t="n"/>
      <c r="G37" s="19" t="n"/>
      <c r="H37" s="17" t="n"/>
      <c r="I37" s="18" t="n"/>
      <c r="J37" s="19" t="n"/>
      <c r="K37" s="17" t="n"/>
      <c r="L37" s="17" t="n"/>
      <c r="M37" s="17" t="n"/>
      <c r="N37" s="17" t="n"/>
      <c r="O37" s="17" t="n"/>
      <c r="P37" s="17" t="n"/>
      <c r="Q37" s="19" t="n"/>
      <c r="R37" s="19" t="n"/>
      <c r="S37" s="7">
        <f>IF(I37="","",IF(TODAY()&gt;=I37,"到期","未到期"))</f>
        <v/>
      </c>
    </row>
    <row r="38">
      <c r="A38" s="16">
        <f>IF(B38="","","V-"&amp;TEXT(ROW()-1,"000"))</f>
        <v/>
      </c>
      <c r="B38" s="17" t="n"/>
      <c r="C38" s="18" t="n"/>
      <c r="D38" s="17" t="n"/>
      <c r="E38" s="17" t="n"/>
      <c r="F38" s="17" t="n"/>
      <c r="G38" s="19" t="n"/>
      <c r="H38" s="17" t="n"/>
      <c r="I38" s="18" t="n"/>
      <c r="J38" s="19" t="n"/>
      <c r="K38" s="17" t="n"/>
      <c r="L38" s="17" t="n"/>
      <c r="M38" s="17" t="n"/>
      <c r="N38" s="17" t="n"/>
      <c r="O38" s="17" t="n"/>
      <c r="P38" s="17" t="n"/>
      <c r="Q38" s="19" t="n"/>
      <c r="R38" s="19" t="n"/>
      <c r="S38" s="7">
        <f>IF(I38="","",IF(TODAY()&gt;=I38,"到期","未到期"))</f>
        <v/>
      </c>
    </row>
    <row r="39">
      <c r="A39" s="16">
        <f>IF(B39="","","V-"&amp;TEXT(ROW()-1,"000"))</f>
        <v/>
      </c>
      <c r="B39" s="17" t="n"/>
      <c r="C39" s="18" t="n"/>
      <c r="D39" s="17" t="n"/>
      <c r="E39" s="17" t="n"/>
      <c r="F39" s="17" t="n"/>
      <c r="G39" s="19" t="n"/>
      <c r="H39" s="17" t="n"/>
      <c r="I39" s="18" t="n"/>
      <c r="J39" s="19" t="n"/>
      <c r="K39" s="17" t="n"/>
      <c r="L39" s="17" t="n"/>
      <c r="M39" s="17" t="n"/>
      <c r="N39" s="17" t="n"/>
      <c r="O39" s="17" t="n"/>
      <c r="P39" s="17" t="n"/>
      <c r="Q39" s="19" t="n"/>
      <c r="R39" s="19" t="n"/>
      <c r="S39" s="7">
        <f>IF(I39="","",IF(TODAY()&gt;=I39,"到期","未到期"))</f>
        <v/>
      </c>
    </row>
    <row r="40">
      <c r="A40" s="16">
        <f>IF(B40="","","V-"&amp;TEXT(ROW()-1,"000"))</f>
        <v/>
      </c>
      <c r="B40" s="17" t="n"/>
      <c r="C40" s="18" t="n"/>
      <c r="D40" s="17" t="n"/>
      <c r="E40" s="17" t="n"/>
      <c r="F40" s="17" t="n"/>
      <c r="G40" s="19" t="n"/>
      <c r="H40" s="17" t="n"/>
      <c r="I40" s="18" t="n"/>
      <c r="J40" s="19" t="n"/>
      <c r="K40" s="17" t="n"/>
      <c r="L40" s="17" t="n"/>
      <c r="M40" s="17" t="n"/>
      <c r="N40" s="17" t="n"/>
      <c r="O40" s="17" t="n"/>
      <c r="P40" s="17" t="n"/>
      <c r="Q40" s="19" t="n"/>
      <c r="R40" s="19" t="n"/>
      <c r="S40" s="7">
        <f>IF(I40="","",IF(TODAY()&gt;=I40,"到期","未到期"))</f>
        <v/>
      </c>
    </row>
    <row r="41">
      <c r="A41" s="16">
        <f>IF(B41="","","V-"&amp;TEXT(ROW()-1,"000"))</f>
        <v/>
      </c>
      <c r="B41" s="17" t="n"/>
      <c r="C41" s="18" t="n"/>
      <c r="D41" s="17" t="n"/>
      <c r="E41" s="17" t="n"/>
      <c r="F41" s="17" t="n"/>
      <c r="G41" s="19" t="n"/>
      <c r="H41" s="17" t="n"/>
      <c r="I41" s="18" t="n"/>
      <c r="J41" s="19" t="n"/>
      <c r="K41" s="17" t="n"/>
      <c r="L41" s="17" t="n"/>
      <c r="M41" s="17" t="n"/>
      <c r="N41" s="17" t="n"/>
      <c r="O41" s="17" t="n"/>
      <c r="P41" s="17" t="n"/>
      <c r="Q41" s="19" t="n"/>
      <c r="R41" s="19" t="n"/>
      <c r="S41" s="7">
        <f>IF(I41="","",IF(TODAY()&gt;=I41,"到期","未到期"))</f>
        <v/>
      </c>
    </row>
    <row r="42">
      <c r="A42" s="16">
        <f>IF(B42="","","V-"&amp;TEXT(ROW()-1,"000"))</f>
        <v/>
      </c>
      <c r="B42" s="17" t="n"/>
      <c r="C42" s="18" t="n"/>
      <c r="D42" s="17" t="n"/>
      <c r="E42" s="17" t="n"/>
      <c r="F42" s="17" t="n"/>
      <c r="G42" s="19" t="n"/>
      <c r="H42" s="17" t="n"/>
      <c r="I42" s="18" t="n"/>
      <c r="J42" s="19" t="n"/>
      <c r="K42" s="17" t="n"/>
      <c r="L42" s="17" t="n"/>
      <c r="M42" s="17" t="n"/>
      <c r="N42" s="17" t="n"/>
      <c r="O42" s="17" t="n"/>
      <c r="P42" s="17" t="n"/>
      <c r="Q42" s="19" t="n"/>
      <c r="R42" s="19" t="n"/>
      <c r="S42" s="7">
        <f>IF(I42="","",IF(TODAY()&gt;=I42,"到期","未到期"))</f>
        <v/>
      </c>
    </row>
    <row r="43">
      <c r="A43" s="16">
        <f>IF(B43="","","V-"&amp;TEXT(ROW()-1,"000"))</f>
        <v/>
      </c>
      <c r="B43" s="17" t="n"/>
      <c r="C43" s="18" t="n"/>
      <c r="D43" s="17" t="n"/>
      <c r="E43" s="17" t="n"/>
      <c r="F43" s="17" t="n"/>
      <c r="G43" s="19" t="n"/>
      <c r="H43" s="17" t="n"/>
      <c r="I43" s="18" t="n"/>
      <c r="J43" s="19" t="n"/>
      <c r="K43" s="17" t="n"/>
      <c r="L43" s="17" t="n"/>
      <c r="M43" s="17" t="n"/>
      <c r="N43" s="17" t="n"/>
      <c r="O43" s="17" t="n"/>
      <c r="P43" s="17" t="n"/>
      <c r="Q43" s="19" t="n"/>
      <c r="R43" s="19" t="n"/>
      <c r="S43" s="7">
        <f>IF(I43="","",IF(TODAY()&gt;=I43,"到期","未到期"))</f>
        <v/>
      </c>
    </row>
    <row r="44">
      <c r="A44" s="16">
        <f>IF(B44="","","V-"&amp;TEXT(ROW()-1,"000"))</f>
        <v/>
      </c>
      <c r="B44" s="17" t="n"/>
      <c r="C44" s="18" t="n"/>
      <c r="D44" s="17" t="n"/>
      <c r="E44" s="17" t="n"/>
      <c r="F44" s="17" t="n"/>
      <c r="G44" s="19" t="n"/>
      <c r="H44" s="17" t="n"/>
      <c r="I44" s="18" t="n"/>
      <c r="J44" s="19" t="n"/>
      <c r="K44" s="17" t="n"/>
      <c r="L44" s="17" t="n"/>
      <c r="M44" s="17" t="n"/>
      <c r="N44" s="17" t="n"/>
      <c r="O44" s="17" t="n"/>
      <c r="P44" s="17" t="n"/>
      <c r="Q44" s="19" t="n"/>
      <c r="R44" s="19" t="n"/>
      <c r="S44" s="7">
        <f>IF(I44="","",IF(TODAY()&gt;=I44,"到期","未到期"))</f>
        <v/>
      </c>
    </row>
    <row r="45">
      <c r="A45" s="16">
        <f>IF(B45="","","V-"&amp;TEXT(ROW()-1,"000"))</f>
        <v/>
      </c>
      <c r="B45" s="17" t="n"/>
      <c r="C45" s="18" t="n"/>
      <c r="D45" s="17" t="n"/>
      <c r="E45" s="17" t="n"/>
      <c r="F45" s="17" t="n"/>
      <c r="G45" s="19" t="n"/>
      <c r="H45" s="17" t="n"/>
      <c r="I45" s="18" t="n"/>
      <c r="J45" s="19" t="n"/>
      <c r="K45" s="17" t="n"/>
      <c r="L45" s="17" t="n"/>
      <c r="M45" s="17" t="n"/>
      <c r="N45" s="17" t="n"/>
      <c r="O45" s="17" t="n"/>
      <c r="P45" s="17" t="n"/>
      <c r="Q45" s="19" t="n"/>
      <c r="R45" s="19" t="n"/>
      <c r="S45" s="7">
        <f>IF(I45="","",IF(TODAY()&gt;=I45,"到期","未到期"))</f>
        <v/>
      </c>
    </row>
    <row r="46">
      <c r="A46" s="16">
        <f>IF(B46="","","V-"&amp;TEXT(ROW()-1,"000"))</f>
        <v/>
      </c>
      <c r="B46" s="17" t="n"/>
      <c r="C46" s="18" t="n"/>
      <c r="D46" s="17" t="n"/>
      <c r="E46" s="17" t="n"/>
      <c r="F46" s="17" t="n"/>
      <c r="G46" s="19" t="n"/>
      <c r="H46" s="17" t="n"/>
      <c r="I46" s="18" t="n"/>
      <c r="J46" s="19" t="n"/>
      <c r="K46" s="17" t="n"/>
      <c r="L46" s="17" t="n"/>
      <c r="M46" s="17" t="n"/>
      <c r="N46" s="17" t="n"/>
      <c r="O46" s="17" t="n"/>
      <c r="P46" s="17" t="n"/>
      <c r="Q46" s="19" t="n"/>
      <c r="R46" s="19" t="n"/>
      <c r="S46" s="7">
        <f>IF(I46="","",IF(TODAY()&gt;=I46,"到期","未到期"))</f>
        <v/>
      </c>
    </row>
    <row r="47">
      <c r="A47" s="16">
        <f>IF(B47="","","V-"&amp;TEXT(ROW()-1,"000"))</f>
        <v/>
      </c>
      <c r="B47" s="17" t="n"/>
      <c r="C47" s="18" t="n"/>
      <c r="D47" s="17" t="n"/>
      <c r="E47" s="17" t="n"/>
      <c r="F47" s="17" t="n"/>
      <c r="G47" s="19" t="n"/>
      <c r="H47" s="17" t="n"/>
      <c r="I47" s="18" t="n"/>
      <c r="J47" s="19" t="n"/>
      <c r="K47" s="17" t="n"/>
      <c r="L47" s="17" t="n"/>
      <c r="M47" s="17" t="n"/>
      <c r="N47" s="17" t="n"/>
      <c r="O47" s="17" t="n"/>
      <c r="P47" s="17" t="n"/>
      <c r="Q47" s="19" t="n"/>
      <c r="R47" s="19" t="n"/>
      <c r="S47" s="7">
        <f>IF(I47="","",IF(TODAY()&gt;=I47,"到期","未到期"))</f>
        <v/>
      </c>
    </row>
    <row r="48">
      <c r="A48" s="16">
        <f>IF(B48="","","V-"&amp;TEXT(ROW()-1,"000"))</f>
        <v/>
      </c>
      <c r="B48" s="17" t="n"/>
      <c r="C48" s="18" t="n"/>
      <c r="D48" s="17" t="n"/>
      <c r="E48" s="17" t="n"/>
      <c r="F48" s="17" t="n"/>
      <c r="G48" s="19" t="n"/>
      <c r="H48" s="17" t="n"/>
      <c r="I48" s="18" t="n"/>
      <c r="J48" s="19" t="n"/>
      <c r="K48" s="17" t="n"/>
      <c r="L48" s="17" t="n"/>
      <c r="M48" s="17" t="n"/>
      <c r="N48" s="17" t="n"/>
      <c r="O48" s="17" t="n"/>
      <c r="P48" s="17" t="n"/>
      <c r="Q48" s="19" t="n"/>
      <c r="R48" s="19" t="n"/>
      <c r="S48" s="7">
        <f>IF(I48="","",IF(TODAY()&gt;=I48,"到期","未到期"))</f>
        <v/>
      </c>
    </row>
    <row r="49">
      <c r="A49" s="16">
        <f>IF(B49="","","V-"&amp;TEXT(ROW()-1,"000"))</f>
        <v/>
      </c>
      <c r="B49" s="17" t="n"/>
      <c r="C49" s="18" t="n"/>
      <c r="D49" s="17" t="n"/>
      <c r="E49" s="17" t="n"/>
      <c r="F49" s="17" t="n"/>
      <c r="G49" s="19" t="n"/>
      <c r="H49" s="17" t="n"/>
      <c r="I49" s="18" t="n"/>
      <c r="J49" s="19" t="n"/>
      <c r="K49" s="17" t="n"/>
      <c r="L49" s="17" t="n"/>
      <c r="M49" s="17" t="n"/>
      <c r="N49" s="17" t="n"/>
      <c r="O49" s="17" t="n"/>
      <c r="P49" s="17" t="n"/>
      <c r="Q49" s="19" t="n"/>
      <c r="R49" s="19" t="n"/>
      <c r="S49" s="7">
        <f>IF(I49="","",IF(TODAY()&gt;=I49,"到期","未到期"))</f>
        <v/>
      </c>
    </row>
    <row r="50">
      <c r="A50" s="16">
        <f>IF(B50="","","V-"&amp;TEXT(ROW()-1,"000"))</f>
        <v/>
      </c>
      <c r="B50" s="17" t="n"/>
      <c r="C50" s="18" t="n"/>
      <c r="D50" s="17" t="n"/>
      <c r="E50" s="17" t="n"/>
      <c r="F50" s="17" t="n"/>
      <c r="G50" s="19" t="n"/>
      <c r="H50" s="17" t="n"/>
      <c r="I50" s="18" t="n"/>
      <c r="J50" s="19" t="n"/>
      <c r="K50" s="17" t="n"/>
      <c r="L50" s="17" t="n"/>
      <c r="M50" s="17" t="n"/>
      <c r="N50" s="17" t="n"/>
      <c r="O50" s="17" t="n"/>
      <c r="P50" s="17" t="n"/>
      <c r="Q50" s="19" t="n"/>
      <c r="R50" s="19" t="n"/>
      <c r="S50" s="7">
        <f>IF(I50="","",IF(TODAY()&gt;=I50,"到期","未到期"))</f>
        <v/>
      </c>
    </row>
    <row r="51">
      <c r="A51" s="16">
        <f>IF(B51="","","V-"&amp;TEXT(ROW()-1,"000"))</f>
        <v/>
      </c>
      <c r="B51" s="17" t="n"/>
      <c r="C51" s="18" t="n"/>
      <c r="D51" s="17" t="n"/>
      <c r="E51" s="17" t="n"/>
      <c r="F51" s="17" t="n"/>
      <c r="G51" s="19" t="n"/>
      <c r="H51" s="17" t="n"/>
      <c r="I51" s="18" t="n"/>
      <c r="J51" s="19" t="n"/>
      <c r="K51" s="17" t="n"/>
      <c r="L51" s="17" t="n"/>
      <c r="M51" s="17" t="n"/>
      <c r="N51" s="17" t="n"/>
      <c r="O51" s="17" t="n"/>
      <c r="P51" s="17" t="n"/>
      <c r="Q51" s="19" t="n"/>
      <c r="R51" s="19" t="n"/>
      <c r="S51" s="7">
        <f>IF(I51="","",IF(TODAY()&gt;=I51,"到期","未到期"))</f>
        <v/>
      </c>
    </row>
    <row r="52">
      <c r="A52" s="16">
        <f>IF(B52="","","V-"&amp;TEXT(ROW()-1,"000"))</f>
        <v/>
      </c>
      <c r="B52" s="17" t="n"/>
      <c r="C52" s="18" t="n"/>
      <c r="D52" s="17" t="n"/>
      <c r="E52" s="17" t="n"/>
      <c r="F52" s="17" t="n"/>
      <c r="G52" s="19" t="n"/>
      <c r="H52" s="17" t="n"/>
      <c r="I52" s="18" t="n"/>
      <c r="J52" s="19" t="n"/>
      <c r="K52" s="17" t="n"/>
      <c r="L52" s="17" t="n"/>
      <c r="M52" s="17" t="n"/>
      <c r="N52" s="17" t="n"/>
      <c r="O52" s="17" t="n"/>
      <c r="P52" s="17" t="n"/>
      <c r="Q52" s="19" t="n"/>
      <c r="R52" s="19" t="n"/>
      <c r="S52" s="7">
        <f>IF(I52="","",IF(TODAY()&gt;=I52,"到期","未到期"))</f>
        <v/>
      </c>
    </row>
    <row r="53">
      <c r="A53" s="16">
        <f>IF(B53="","","V-"&amp;TEXT(ROW()-1,"000"))</f>
        <v/>
      </c>
      <c r="B53" s="17" t="n"/>
      <c r="C53" s="18" t="n"/>
      <c r="D53" s="17" t="n"/>
      <c r="E53" s="17" t="n"/>
      <c r="F53" s="17" t="n"/>
      <c r="G53" s="19" t="n"/>
      <c r="H53" s="17" t="n"/>
      <c r="I53" s="18" t="n"/>
      <c r="J53" s="19" t="n"/>
      <c r="K53" s="17" t="n"/>
      <c r="L53" s="17" t="n"/>
      <c r="M53" s="17" t="n"/>
      <c r="N53" s="17" t="n"/>
      <c r="O53" s="17" t="n"/>
      <c r="P53" s="17" t="n"/>
      <c r="Q53" s="19" t="n"/>
      <c r="R53" s="19" t="n"/>
      <c r="S53" s="7">
        <f>IF(I53="","",IF(TODAY()&gt;=I53,"到期","未到期"))</f>
        <v/>
      </c>
    </row>
    <row r="54">
      <c r="A54" s="16">
        <f>IF(B54="","","V-"&amp;TEXT(ROW()-1,"000"))</f>
        <v/>
      </c>
      <c r="B54" s="17" t="n"/>
      <c r="C54" s="18" t="n"/>
      <c r="D54" s="17" t="n"/>
      <c r="E54" s="17" t="n"/>
      <c r="F54" s="17" t="n"/>
      <c r="G54" s="19" t="n"/>
      <c r="H54" s="17" t="n"/>
      <c r="I54" s="18" t="n"/>
      <c r="J54" s="19" t="n"/>
      <c r="K54" s="17" t="n"/>
      <c r="L54" s="17" t="n"/>
      <c r="M54" s="17" t="n"/>
      <c r="N54" s="17" t="n"/>
      <c r="O54" s="17" t="n"/>
      <c r="P54" s="17" t="n"/>
      <c r="Q54" s="19" t="n"/>
      <c r="R54" s="19" t="n"/>
      <c r="S54" s="7">
        <f>IF(I54="","",IF(TODAY()&gt;=I54,"到期","未到期"))</f>
        <v/>
      </c>
    </row>
    <row r="55">
      <c r="A55" s="16">
        <f>IF(B55="","","V-"&amp;TEXT(ROW()-1,"000"))</f>
        <v/>
      </c>
      <c r="B55" s="17" t="n"/>
      <c r="C55" s="18" t="n"/>
      <c r="D55" s="17" t="n"/>
      <c r="E55" s="17" t="n"/>
      <c r="F55" s="17" t="n"/>
      <c r="G55" s="19" t="n"/>
      <c r="H55" s="17" t="n"/>
      <c r="I55" s="18" t="n"/>
      <c r="J55" s="19" t="n"/>
      <c r="K55" s="17" t="n"/>
      <c r="L55" s="17" t="n"/>
      <c r="M55" s="17" t="n"/>
      <c r="N55" s="17" t="n"/>
      <c r="O55" s="17" t="n"/>
      <c r="P55" s="17" t="n"/>
      <c r="Q55" s="19" t="n"/>
      <c r="R55" s="19" t="n"/>
      <c r="S55" s="7">
        <f>IF(I55="","",IF(TODAY()&gt;=I55,"到期","未到期"))</f>
        <v/>
      </c>
    </row>
    <row r="56">
      <c r="A56" s="16">
        <f>IF(B56="","","V-"&amp;TEXT(ROW()-1,"000"))</f>
        <v/>
      </c>
      <c r="B56" s="17" t="n"/>
      <c r="C56" s="18" t="n"/>
      <c r="D56" s="17" t="n"/>
      <c r="E56" s="17" t="n"/>
      <c r="F56" s="17" t="n"/>
      <c r="G56" s="19" t="n"/>
      <c r="H56" s="17" t="n"/>
      <c r="I56" s="18" t="n"/>
      <c r="J56" s="19" t="n"/>
      <c r="K56" s="17" t="n"/>
      <c r="L56" s="17" t="n"/>
      <c r="M56" s="17" t="n"/>
      <c r="N56" s="17" t="n"/>
      <c r="O56" s="17" t="n"/>
      <c r="P56" s="17" t="n"/>
      <c r="Q56" s="19" t="n"/>
      <c r="R56" s="19" t="n"/>
      <c r="S56" s="7">
        <f>IF(I56="","",IF(TODAY()&gt;=I56,"到期","未到期"))</f>
        <v/>
      </c>
    </row>
    <row r="57">
      <c r="A57" s="16">
        <f>IF(B57="","","V-"&amp;TEXT(ROW()-1,"000"))</f>
        <v/>
      </c>
      <c r="B57" s="17" t="n"/>
      <c r="C57" s="18" t="n"/>
      <c r="D57" s="17" t="n"/>
      <c r="E57" s="17" t="n"/>
      <c r="F57" s="17" t="n"/>
      <c r="G57" s="19" t="n"/>
      <c r="H57" s="17" t="n"/>
      <c r="I57" s="18" t="n"/>
      <c r="J57" s="19" t="n"/>
      <c r="K57" s="17" t="n"/>
      <c r="L57" s="17" t="n"/>
      <c r="M57" s="17" t="n"/>
      <c r="N57" s="17" t="n"/>
      <c r="O57" s="17" t="n"/>
      <c r="P57" s="17" t="n"/>
      <c r="Q57" s="19" t="n"/>
      <c r="R57" s="19" t="n"/>
      <c r="S57" s="7">
        <f>IF(I57="","",IF(TODAY()&gt;=I57,"到期","未到期"))</f>
        <v/>
      </c>
    </row>
    <row r="58">
      <c r="A58" s="16">
        <f>IF(B58="","","V-"&amp;TEXT(ROW()-1,"000"))</f>
        <v/>
      </c>
      <c r="B58" s="17" t="n"/>
      <c r="C58" s="18" t="n"/>
      <c r="D58" s="17" t="n"/>
      <c r="E58" s="17" t="n"/>
      <c r="F58" s="17" t="n"/>
      <c r="G58" s="19" t="n"/>
      <c r="H58" s="17" t="n"/>
      <c r="I58" s="18" t="n"/>
      <c r="J58" s="19" t="n"/>
      <c r="K58" s="17" t="n"/>
      <c r="L58" s="17" t="n"/>
      <c r="M58" s="17" t="n"/>
      <c r="N58" s="17" t="n"/>
      <c r="O58" s="17" t="n"/>
      <c r="P58" s="17" t="n"/>
      <c r="Q58" s="19" t="n"/>
      <c r="R58" s="19" t="n"/>
      <c r="S58" s="7">
        <f>IF(I58="","",IF(TODAY()&gt;=I58,"到期","未到期"))</f>
        <v/>
      </c>
    </row>
    <row r="59">
      <c r="A59" s="16">
        <f>IF(B59="","","V-"&amp;TEXT(ROW()-1,"000"))</f>
        <v/>
      </c>
      <c r="B59" s="17" t="n"/>
      <c r="C59" s="18" t="n"/>
      <c r="D59" s="17" t="n"/>
      <c r="E59" s="17" t="n"/>
      <c r="F59" s="17" t="n"/>
      <c r="G59" s="19" t="n"/>
      <c r="H59" s="17" t="n"/>
      <c r="I59" s="18" t="n"/>
      <c r="J59" s="19" t="n"/>
      <c r="K59" s="17" t="n"/>
      <c r="L59" s="17" t="n"/>
      <c r="M59" s="17" t="n"/>
      <c r="N59" s="17" t="n"/>
      <c r="O59" s="17" t="n"/>
      <c r="P59" s="17" t="n"/>
      <c r="Q59" s="19" t="n"/>
      <c r="R59" s="19" t="n"/>
      <c r="S59" s="7">
        <f>IF(I59="","",IF(TODAY()&gt;=I59,"到期","未到期"))</f>
        <v/>
      </c>
    </row>
    <row r="60">
      <c r="A60" s="16">
        <f>IF(B60="","","V-"&amp;TEXT(ROW()-1,"000"))</f>
        <v/>
      </c>
      <c r="B60" s="17" t="n"/>
      <c r="C60" s="18" t="n"/>
      <c r="D60" s="17" t="n"/>
      <c r="E60" s="17" t="n"/>
      <c r="F60" s="17" t="n"/>
      <c r="G60" s="19" t="n"/>
      <c r="H60" s="17" t="n"/>
      <c r="I60" s="18" t="n"/>
      <c r="J60" s="19" t="n"/>
      <c r="K60" s="17" t="n"/>
      <c r="L60" s="17" t="n"/>
      <c r="M60" s="17" t="n"/>
      <c r="N60" s="17" t="n"/>
      <c r="O60" s="17" t="n"/>
      <c r="P60" s="17" t="n"/>
      <c r="Q60" s="19" t="n"/>
      <c r="R60" s="19" t="n"/>
      <c r="S60" s="7">
        <f>IF(I60="","",IF(TODAY()&gt;=I60,"到期","未到期"))</f>
        <v/>
      </c>
    </row>
    <row r="61">
      <c r="A61" s="16">
        <f>IF(B61="","","V-"&amp;TEXT(ROW()-1,"000"))</f>
        <v/>
      </c>
      <c r="B61" s="17" t="n"/>
      <c r="C61" s="18" t="n"/>
      <c r="D61" s="17" t="n"/>
      <c r="E61" s="17" t="n"/>
      <c r="F61" s="17" t="n"/>
      <c r="G61" s="19" t="n"/>
      <c r="H61" s="17" t="n"/>
      <c r="I61" s="18" t="n"/>
      <c r="J61" s="19" t="n"/>
      <c r="K61" s="17" t="n"/>
      <c r="L61" s="17" t="n"/>
      <c r="M61" s="17" t="n"/>
      <c r="N61" s="17" t="n"/>
      <c r="O61" s="17" t="n"/>
      <c r="P61" s="17" t="n"/>
      <c r="Q61" s="19" t="n"/>
      <c r="R61" s="19" t="n"/>
      <c r="S61" s="7">
        <f>IF(I61="","",IF(TODAY()&gt;=I61,"到期","未到期"))</f>
        <v/>
      </c>
    </row>
    <row r="62">
      <c r="A62" s="16">
        <f>IF(B62="","","V-"&amp;TEXT(ROW()-1,"000"))</f>
        <v/>
      </c>
      <c r="B62" s="17" t="n"/>
      <c r="C62" s="18" t="n"/>
      <c r="D62" s="17" t="n"/>
      <c r="E62" s="17" t="n"/>
      <c r="F62" s="17" t="n"/>
      <c r="G62" s="19" t="n"/>
      <c r="H62" s="17" t="n"/>
      <c r="I62" s="18" t="n"/>
      <c r="J62" s="19" t="n"/>
      <c r="K62" s="17" t="n"/>
      <c r="L62" s="17" t="n"/>
      <c r="M62" s="17" t="n"/>
      <c r="N62" s="17" t="n"/>
      <c r="O62" s="17" t="n"/>
      <c r="P62" s="17" t="n"/>
      <c r="Q62" s="19" t="n"/>
      <c r="R62" s="19" t="n"/>
      <c r="S62" s="7">
        <f>IF(I62="","",IF(TODAY()&gt;=I62,"到期","未到期"))</f>
        <v/>
      </c>
    </row>
    <row r="63">
      <c r="A63" s="16">
        <f>IF(B63="","","V-"&amp;TEXT(ROW()-1,"000"))</f>
        <v/>
      </c>
      <c r="B63" s="17" t="n"/>
      <c r="C63" s="18" t="n"/>
      <c r="D63" s="17" t="n"/>
      <c r="E63" s="17" t="n"/>
      <c r="F63" s="17" t="n"/>
      <c r="G63" s="19" t="n"/>
      <c r="H63" s="17" t="n"/>
      <c r="I63" s="18" t="n"/>
      <c r="J63" s="19" t="n"/>
      <c r="K63" s="17" t="n"/>
      <c r="L63" s="17" t="n"/>
      <c r="M63" s="17" t="n"/>
      <c r="N63" s="17" t="n"/>
      <c r="O63" s="17" t="n"/>
      <c r="P63" s="17" t="n"/>
      <c r="Q63" s="19" t="n"/>
      <c r="R63" s="19" t="n"/>
      <c r="S63" s="7">
        <f>IF(I63="","",IF(TODAY()&gt;=I63,"到期","未到期"))</f>
        <v/>
      </c>
    </row>
    <row r="64">
      <c r="A64" s="16">
        <f>IF(B64="","","V-"&amp;TEXT(ROW()-1,"000"))</f>
        <v/>
      </c>
      <c r="B64" s="17" t="n"/>
      <c r="C64" s="18" t="n"/>
      <c r="D64" s="17" t="n"/>
      <c r="E64" s="17" t="n"/>
      <c r="F64" s="17" t="n"/>
      <c r="G64" s="19" t="n"/>
      <c r="H64" s="17" t="n"/>
      <c r="I64" s="18" t="n"/>
      <c r="J64" s="19" t="n"/>
      <c r="K64" s="17" t="n"/>
      <c r="L64" s="17" t="n"/>
      <c r="M64" s="17" t="n"/>
      <c r="N64" s="17" t="n"/>
      <c r="O64" s="17" t="n"/>
      <c r="P64" s="17" t="n"/>
      <c r="Q64" s="19" t="n"/>
      <c r="R64" s="19" t="n"/>
      <c r="S64" s="7">
        <f>IF(I64="","",IF(TODAY()&gt;=I64,"到期","未到期"))</f>
        <v/>
      </c>
    </row>
    <row r="65">
      <c r="A65" s="16">
        <f>IF(B65="","","V-"&amp;TEXT(ROW()-1,"000"))</f>
        <v/>
      </c>
      <c r="B65" s="17" t="n"/>
      <c r="C65" s="18" t="n"/>
      <c r="D65" s="17" t="n"/>
      <c r="E65" s="17" t="n"/>
      <c r="F65" s="17" t="n"/>
      <c r="G65" s="19" t="n"/>
      <c r="H65" s="17" t="n"/>
      <c r="I65" s="18" t="n"/>
      <c r="J65" s="19" t="n"/>
      <c r="K65" s="17" t="n"/>
      <c r="L65" s="17" t="n"/>
      <c r="M65" s="17" t="n"/>
      <c r="N65" s="17" t="n"/>
      <c r="O65" s="17" t="n"/>
      <c r="P65" s="17" t="n"/>
      <c r="Q65" s="19" t="n"/>
      <c r="R65" s="19" t="n"/>
      <c r="S65" s="7">
        <f>IF(I65="","",IF(TODAY()&gt;=I65,"到期","未到期"))</f>
        <v/>
      </c>
    </row>
    <row r="66">
      <c r="A66" s="16">
        <f>IF(B66="","","V-"&amp;TEXT(ROW()-1,"000"))</f>
        <v/>
      </c>
      <c r="B66" s="17" t="n"/>
      <c r="C66" s="18" t="n"/>
      <c r="D66" s="17" t="n"/>
      <c r="E66" s="17" t="n"/>
      <c r="F66" s="17" t="n"/>
      <c r="G66" s="19" t="n"/>
      <c r="H66" s="17" t="n"/>
      <c r="I66" s="18" t="n"/>
      <c r="J66" s="19" t="n"/>
      <c r="K66" s="17" t="n"/>
      <c r="L66" s="17" t="n"/>
      <c r="M66" s="17" t="n"/>
      <c r="N66" s="17" t="n"/>
      <c r="O66" s="17" t="n"/>
      <c r="P66" s="17" t="n"/>
      <c r="Q66" s="19" t="n"/>
      <c r="R66" s="19" t="n"/>
      <c r="S66" s="7">
        <f>IF(I66="","",IF(TODAY()&gt;=I66,"到期","未到期"))</f>
        <v/>
      </c>
    </row>
    <row r="67">
      <c r="A67" s="16">
        <f>IF(B67="","","V-"&amp;TEXT(ROW()-1,"000"))</f>
        <v/>
      </c>
      <c r="B67" s="17" t="n"/>
      <c r="C67" s="18" t="n"/>
      <c r="D67" s="17" t="n"/>
      <c r="E67" s="17" t="n"/>
      <c r="F67" s="17" t="n"/>
      <c r="G67" s="19" t="n"/>
      <c r="H67" s="17" t="n"/>
      <c r="I67" s="18" t="n"/>
      <c r="J67" s="19" t="n"/>
      <c r="K67" s="17" t="n"/>
      <c r="L67" s="17" t="n"/>
      <c r="M67" s="17" t="n"/>
      <c r="N67" s="17" t="n"/>
      <c r="O67" s="17" t="n"/>
      <c r="P67" s="17" t="n"/>
      <c r="Q67" s="19" t="n"/>
      <c r="R67" s="19" t="n"/>
      <c r="S67" s="7">
        <f>IF(I67="","",IF(TODAY()&gt;=I67,"到期","未到期"))</f>
        <v/>
      </c>
    </row>
    <row r="68">
      <c r="A68" s="16">
        <f>IF(B68="","","V-"&amp;TEXT(ROW()-1,"000"))</f>
        <v/>
      </c>
      <c r="B68" s="17" t="n"/>
      <c r="C68" s="18" t="n"/>
      <c r="D68" s="17" t="n"/>
      <c r="E68" s="17" t="n"/>
      <c r="F68" s="17" t="n"/>
      <c r="G68" s="19" t="n"/>
      <c r="H68" s="17" t="n"/>
      <c r="I68" s="18" t="n"/>
      <c r="J68" s="19" t="n"/>
      <c r="K68" s="17" t="n"/>
      <c r="L68" s="17" t="n"/>
      <c r="M68" s="17" t="n"/>
      <c r="N68" s="17" t="n"/>
      <c r="O68" s="17" t="n"/>
      <c r="P68" s="17" t="n"/>
      <c r="Q68" s="19" t="n"/>
      <c r="R68" s="19" t="n"/>
      <c r="S68" s="7">
        <f>IF(I68="","",IF(TODAY()&gt;=I68,"到期","未到期"))</f>
        <v/>
      </c>
    </row>
    <row r="69">
      <c r="A69" s="16">
        <f>IF(B69="","","V-"&amp;TEXT(ROW()-1,"000"))</f>
        <v/>
      </c>
      <c r="B69" s="17" t="n"/>
      <c r="C69" s="18" t="n"/>
      <c r="D69" s="17" t="n"/>
      <c r="E69" s="17" t="n"/>
      <c r="F69" s="17" t="n"/>
      <c r="G69" s="19" t="n"/>
      <c r="H69" s="17" t="n"/>
      <c r="I69" s="18" t="n"/>
      <c r="J69" s="19" t="n"/>
      <c r="K69" s="17" t="n"/>
      <c r="L69" s="17" t="n"/>
      <c r="M69" s="17" t="n"/>
      <c r="N69" s="17" t="n"/>
      <c r="O69" s="17" t="n"/>
      <c r="P69" s="17" t="n"/>
      <c r="Q69" s="19" t="n"/>
      <c r="R69" s="19" t="n"/>
      <c r="S69" s="7">
        <f>IF(I69="","",IF(TODAY()&gt;=I69,"到期","未到期"))</f>
        <v/>
      </c>
    </row>
    <row r="70">
      <c r="A70" s="16">
        <f>IF(B70="","","V-"&amp;TEXT(ROW()-1,"000"))</f>
        <v/>
      </c>
      <c r="B70" s="17" t="n"/>
      <c r="C70" s="18" t="n"/>
      <c r="D70" s="17" t="n"/>
      <c r="E70" s="17" t="n"/>
      <c r="F70" s="17" t="n"/>
      <c r="G70" s="19" t="n"/>
      <c r="H70" s="17" t="n"/>
      <c r="I70" s="18" t="n"/>
      <c r="J70" s="19" t="n"/>
      <c r="K70" s="17" t="n"/>
      <c r="L70" s="17" t="n"/>
      <c r="M70" s="17" t="n"/>
      <c r="N70" s="17" t="n"/>
      <c r="O70" s="17" t="n"/>
      <c r="P70" s="17" t="n"/>
      <c r="Q70" s="19" t="n"/>
      <c r="R70" s="19" t="n"/>
      <c r="S70" s="7">
        <f>IF(I70="","",IF(TODAY()&gt;=I70,"到期","未到期"))</f>
        <v/>
      </c>
    </row>
    <row r="71">
      <c r="A71" s="16">
        <f>IF(B71="","","V-"&amp;TEXT(ROW()-1,"000"))</f>
        <v/>
      </c>
      <c r="B71" s="17" t="n"/>
      <c r="C71" s="18" t="n"/>
      <c r="D71" s="17" t="n"/>
      <c r="E71" s="17" t="n"/>
      <c r="F71" s="17" t="n"/>
      <c r="G71" s="19" t="n"/>
      <c r="H71" s="17" t="n"/>
      <c r="I71" s="18" t="n"/>
      <c r="J71" s="19" t="n"/>
      <c r="K71" s="17" t="n"/>
      <c r="L71" s="17" t="n"/>
      <c r="M71" s="17" t="n"/>
      <c r="N71" s="17" t="n"/>
      <c r="O71" s="17" t="n"/>
      <c r="P71" s="17" t="n"/>
      <c r="Q71" s="19" t="n"/>
      <c r="R71" s="19" t="n"/>
      <c r="S71" s="7">
        <f>IF(I71="","",IF(TODAY()&gt;=I71,"到期","未到期"))</f>
        <v/>
      </c>
    </row>
    <row r="72">
      <c r="A72" s="16">
        <f>IF(B72="","","V-"&amp;TEXT(ROW()-1,"000"))</f>
        <v/>
      </c>
      <c r="B72" s="17" t="n"/>
      <c r="C72" s="18" t="n"/>
      <c r="D72" s="17" t="n"/>
      <c r="E72" s="17" t="n"/>
      <c r="F72" s="17" t="n"/>
      <c r="G72" s="19" t="n"/>
      <c r="H72" s="17" t="n"/>
      <c r="I72" s="18" t="n"/>
      <c r="J72" s="19" t="n"/>
      <c r="K72" s="17" t="n"/>
      <c r="L72" s="17" t="n"/>
      <c r="M72" s="17" t="n"/>
      <c r="N72" s="17" t="n"/>
      <c r="O72" s="17" t="n"/>
      <c r="P72" s="17" t="n"/>
      <c r="Q72" s="19" t="n"/>
      <c r="R72" s="19" t="n"/>
      <c r="S72" s="7">
        <f>IF(I72="","",IF(TODAY()&gt;=I72,"到期","未到期"))</f>
        <v/>
      </c>
    </row>
    <row r="73">
      <c r="A73" s="16">
        <f>IF(B73="","","V-"&amp;TEXT(ROW()-1,"000"))</f>
        <v/>
      </c>
      <c r="B73" s="17" t="n"/>
      <c r="C73" s="18" t="n"/>
      <c r="D73" s="17" t="n"/>
      <c r="E73" s="17" t="n"/>
      <c r="F73" s="17" t="n"/>
      <c r="G73" s="19" t="n"/>
      <c r="H73" s="17" t="n"/>
      <c r="I73" s="18" t="n"/>
      <c r="J73" s="19" t="n"/>
      <c r="K73" s="17" t="n"/>
      <c r="L73" s="17" t="n"/>
      <c r="M73" s="17" t="n"/>
      <c r="N73" s="17" t="n"/>
      <c r="O73" s="17" t="n"/>
      <c r="P73" s="17" t="n"/>
      <c r="Q73" s="19" t="n"/>
      <c r="R73" s="19" t="n"/>
      <c r="S73" s="7">
        <f>IF(I73="","",IF(TODAY()&gt;=I73,"到期","未到期"))</f>
        <v/>
      </c>
    </row>
    <row r="74">
      <c r="A74" s="16">
        <f>IF(B74="","","V-"&amp;TEXT(ROW()-1,"000"))</f>
        <v/>
      </c>
      <c r="B74" s="17" t="n"/>
      <c r="C74" s="18" t="n"/>
      <c r="D74" s="17" t="n"/>
      <c r="E74" s="17" t="n"/>
      <c r="F74" s="17" t="n"/>
      <c r="G74" s="19" t="n"/>
      <c r="H74" s="17" t="n"/>
      <c r="I74" s="18" t="n"/>
      <c r="J74" s="19" t="n"/>
      <c r="K74" s="17" t="n"/>
      <c r="L74" s="17" t="n"/>
      <c r="M74" s="17" t="n"/>
      <c r="N74" s="17" t="n"/>
      <c r="O74" s="17" t="n"/>
      <c r="P74" s="17" t="n"/>
      <c r="Q74" s="19" t="n"/>
      <c r="R74" s="19" t="n"/>
      <c r="S74" s="7">
        <f>IF(I74="","",IF(TODAY()&gt;=I74,"到期","未到期"))</f>
        <v/>
      </c>
    </row>
    <row r="75">
      <c r="A75" s="16">
        <f>IF(B75="","","V-"&amp;TEXT(ROW()-1,"000"))</f>
        <v/>
      </c>
      <c r="B75" s="17" t="n"/>
      <c r="C75" s="18" t="n"/>
      <c r="D75" s="17" t="n"/>
      <c r="E75" s="17" t="n"/>
      <c r="F75" s="17" t="n"/>
      <c r="G75" s="19" t="n"/>
      <c r="H75" s="17" t="n"/>
      <c r="I75" s="18" t="n"/>
      <c r="J75" s="19" t="n"/>
      <c r="K75" s="17" t="n"/>
      <c r="L75" s="17" t="n"/>
      <c r="M75" s="17" t="n"/>
      <c r="N75" s="17" t="n"/>
      <c r="O75" s="17" t="n"/>
      <c r="P75" s="17" t="n"/>
      <c r="Q75" s="19" t="n"/>
      <c r="R75" s="19" t="n"/>
      <c r="S75" s="7">
        <f>IF(I75="","",IF(TODAY()&gt;=I75,"到期","未到期"))</f>
        <v/>
      </c>
    </row>
    <row r="76">
      <c r="A76" s="16">
        <f>IF(B76="","","V-"&amp;TEXT(ROW()-1,"000"))</f>
        <v/>
      </c>
      <c r="B76" s="17" t="n"/>
      <c r="C76" s="18" t="n"/>
      <c r="D76" s="17" t="n"/>
      <c r="E76" s="17" t="n"/>
      <c r="F76" s="17" t="n"/>
      <c r="G76" s="19" t="n"/>
      <c r="H76" s="17" t="n"/>
      <c r="I76" s="18" t="n"/>
      <c r="J76" s="19" t="n"/>
      <c r="K76" s="17" t="n"/>
      <c r="L76" s="17" t="n"/>
      <c r="M76" s="17" t="n"/>
      <c r="N76" s="17" t="n"/>
      <c r="O76" s="17" t="n"/>
      <c r="P76" s="17" t="n"/>
      <c r="Q76" s="19" t="n"/>
      <c r="R76" s="19" t="n"/>
      <c r="S76" s="7">
        <f>IF(I76="","",IF(TODAY()&gt;=I76,"到期","未到期"))</f>
        <v/>
      </c>
    </row>
    <row r="77">
      <c r="A77" s="16">
        <f>IF(B77="","","V-"&amp;TEXT(ROW()-1,"000"))</f>
        <v/>
      </c>
      <c r="B77" s="17" t="n"/>
      <c r="C77" s="18" t="n"/>
      <c r="D77" s="17" t="n"/>
      <c r="E77" s="17" t="n"/>
      <c r="F77" s="17" t="n"/>
      <c r="G77" s="19" t="n"/>
      <c r="H77" s="17" t="n"/>
      <c r="I77" s="18" t="n"/>
      <c r="J77" s="19" t="n"/>
      <c r="K77" s="17" t="n"/>
      <c r="L77" s="17" t="n"/>
      <c r="M77" s="17" t="n"/>
      <c r="N77" s="17" t="n"/>
      <c r="O77" s="17" t="n"/>
      <c r="P77" s="17" t="n"/>
      <c r="Q77" s="19" t="n"/>
      <c r="R77" s="19" t="n"/>
      <c r="S77" s="7">
        <f>IF(I77="","",IF(TODAY()&gt;=I77,"到期","未到期"))</f>
        <v/>
      </c>
    </row>
    <row r="78">
      <c r="A78" s="16">
        <f>IF(B78="","","V-"&amp;TEXT(ROW()-1,"000"))</f>
        <v/>
      </c>
      <c r="B78" s="17" t="n"/>
      <c r="C78" s="18" t="n"/>
      <c r="D78" s="17" t="n"/>
      <c r="E78" s="17" t="n"/>
      <c r="F78" s="17" t="n"/>
      <c r="G78" s="19" t="n"/>
      <c r="H78" s="17" t="n"/>
      <c r="I78" s="18" t="n"/>
      <c r="J78" s="19" t="n"/>
      <c r="K78" s="17" t="n"/>
      <c r="L78" s="17" t="n"/>
      <c r="M78" s="17" t="n"/>
      <c r="N78" s="17" t="n"/>
      <c r="O78" s="17" t="n"/>
      <c r="P78" s="17" t="n"/>
      <c r="Q78" s="19" t="n"/>
      <c r="R78" s="19" t="n"/>
      <c r="S78" s="7">
        <f>IF(I78="","",IF(TODAY()&gt;=I78,"到期","未到期"))</f>
        <v/>
      </c>
    </row>
    <row r="79">
      <c r="A79" s="16">
        <f>IF(B79="","","V-"&amp;TEXT(ROW()-1,"000"))</f>
        <v/>
      </c>
      <c r="B79" s="17" t="n"/>
      <c r="C79" s="18" t="n"/>
      <c r="D79" s="17" t="n"/>
      <c r="E79" s="17" t="n"/>
      <c r="F79" s="17" t="n"/>
      <c r="G79" s="19" t="n"/>
      <c r="H79" s="17" t="n"/>
      <c r="I79" s="18" t="n"/>
      <c r="J79" s="19" t="n"/>
      <c r="K79" s="17" t="n"/>
      <c r="L79" s="17" t="n"/>
      <c r="M79" s="17" t="n"/>
      <c r="N79" s="17" t="n"/>
      <c r="O79" s="17" t="n"/>
      <c r="P79" s="17" t="n"/>
      <c r="Q79" s="19" t="n"/>
      <c r="R79" s="19" t="n"/>
      <c r="S79" s="7">
        <f>IF(I79="","",IF(TODAY()&gt;=I79,"到期","未到期"))</f>
        <v/>
      </c>
    </row>
    <row r="80">
      <c r="A80" s="16">
        <f>IF(B80="","","V-"&amp;TEXT(ROW()-1,"000"))</f>
        <v/>
      </c>
      <c r="B80" s="17" t="n"/>
      <c r="C80" s="18" t="n"/>
      <c r="D80" s="17" t="n"/>
      <c r="E80" s="17" t="n"/>
      <c r="F80" s="17" t="n"/>
      <c r="G80" s="19" t="n"/>
      <c r="H80" s="17" t="n"/>
      <c r="I80" s="18" t="n"/>
      <c r="J80" s="19" t="n"/>
      <c r="K80" s="17" t="n"/>
      <c r="L80" s="17" t="n"/>
      <c r="M80" s="17" t="n"/>
      <c r="N80" s="17" t="n"/>
      <c r="O80" s="17" t="n"/>
      <c r="P80" s="17" t="n"/>
      <c r="Q80" s="19" t="n"/>
      <c r="R80" s="19" t="n"/>
      <c r="S80" s="7">
        <f>IF(I80="","",IF(TODAY()&gt;=I80,"到期","未到期"))</f>
        <v/>
      </c>
    </row>
    <row r="81">
      <c r="A81" s="16">
        <f>IF(B81="","","V-"&amp;TEXT(ROW()-1,"000"))</f>
        <v/>
      </c>
      <c r="B81" s="17" t="n"/>
      <c r="C81" s="18" t="n"/>
      <c r="D81" s="17" t="n"/>
      <c r="E81" s="17" t="n"/>
      <c r="F81" s="17" t="n"/>
      <c r="G81" s="19" t="n"/>
      <c r="H81" s="17" t="n"/>
      <c r="I81" s="18" t="n"/>
      <c r="J81" s="19" t="n"/>
      <c r="K81" s="17" t="n"/>
      <c r="L81" s="17" t="n"/>
      <c r="M81" s="17" t="n"/>
      <c r="N81" s="17" t="n"/>
      <c r="O81" s="17" t="n"/>
      <c r="P81" s="17" t="n"/>
      <c r="Q81" s="19" t="n"/>
      <c r="R81" s="19" t="n"/>
      <c r="S81" s="7">
        <f>IF(I81="","",IF(TODAY()&gt;=I81,"到期","未到期"))</f>
        <v/>
      </c>
    </row>
    <row r="82">
      <c r="A82" s="16">
        <f>IF(B82="","","V-"&amp;TEXT(ROW()-1,"000"))</f>
        <v/>
      </c>
      <c r="B82" s="17" t="n"/>
      <c r="C82" s="18" t="n"/>
      <c r="D82" s="17" t="n"/>
      <c r="E82" s="17" t="n"/>
      <c r="F82" s="17" t="n"/>
      <c r="G82" s="19" t="n"/>
      <c r="H82" s="17" t="n"/>
      <c r="I82" s="18" t="n"/>
      <c r="J82" s="19" t="n"/>
      <c r="K82" s="17" t="n"/>
      <c r="L82" s="17" t="n"/>
      <c r="M82" s="17" t="n"/>
      <c r="N82" s="17" t="n"/>
      <c r="O82" s="17" t="n"/>
      <c r="P82" s="17" t="n"/>
      <c r="Q82" s="19" t="n"/>
      <c r="R82" s="19" t="n"/>
      <c r="S82" s="7">
        <f>IF(I82="","",IF(TODAY()&gt;=I82,"到期","未到期"))</f>
        <v/>
      </c>
    </row>
    <row r="83">
      <c r="A83" s="16">
        <f>IF(B83="","","V-"&amp;TEXT(ROW()-1,"000"))</f>
        <v/>
      </c>
      <c r="B83" s="17" t="n"/>
      <c r="C83" s="18" t="n"/>
      <c r="D83" s="17" t="n"/>
      <c r="E83" s="17" t="n"/>
      <c r="F83" s="17" t="n"/>
      <c r="G83" s="19" t="n"/>
      <c r="H83" s="17" t="n"/>
      <c r="I83" s="18" t="n"/>
      <c r="J83" s="19" t="n"/>
      <c r="K83" s="17" t="n"/>
      <c r="L83" s="17" t="n"/>
      <c r="M83" s="17" t="n"/>
      <c r="N83" s="17" t="n"/>
      <c r="O83" s="17" t="n"/>
      <c r="P83" s="17" t="n"/>
      <c r="Q83" s="19" t="n"/>
      <c r="R83" s="19" t="n"/>
      <c r="S83" s="7">
        <f>IF(I83="","",IF(TODAY()&gt;=I83,"到期","未到期"))</f>
        <v/>
      </c>
    </row>
    <row r="84">
      <c r="A84" s="16">
        <f>IF(B84="","","V-"&amp;TEXT(ROW()-1,"000"))</f>
        <v/>
      </c>
      <c r="B84" s="17" t="n"/>
      <c r="C84" s="18" t="n"/>
      <c r="D84" s="17" t="n"/>
      <c r="E84" s="17" t="n"/>
      <c r="F84" s="17" t="n"/>
      <c r="G84" s="19" t="n"/>
      <c r="H84" s="17" t="n"/>
      <c r="I84" s="18" t="n"/>
      <c r="J84" s="19" t="n"/>
      <c r="K84" s="17" t="n"/>
      <c r="L84" s="17" t="n"/>
      <c r="M84" s="17" t="n"/>
      <c r="N84" s="17" t="n"/>
      <c r="O84" s="17" t="n"/>
      <c r="P84" s="17" t="n"/>
      <c r="Q84" s="19" t="n"/>
      <c r="R84" s="19" t="n"/>
      <c r="S84" s="7">
        <f>IF(I84="","",IF(TODAY()&gt;=I84,"到期","未到期"))</f>
        <v/>
      </c>
    </row>
    <row r="85">
      <c r="A85" s="16">
        <f>IF(B85="","","V-"&amp;TEXT(ROW()-1,"000"))</f>
        <v/>
      </c>
      <c r="B85" s="17" t="n"/>
      <c r="C85" s="18" t="n"/>
      <c r="D85" s="17" t="n"/>
      <c r="E85" s="17" t="n"/>
      <c r="F85" s="17" t="n"/>
      <c r="G85" s="19" t="n"/>
      <c r="H85" s="17" t="n"/>
      <c r="I85" s="18" t="n"/>
      <c r="J85" s="19" t="n"/>
      <c r="K85" s="17" t="n"/>
      <c r="L85" s="17" t="n"/>
      <c r="M85" s="17" t="n"/>
      <c r="N85" s="17" t="n"/>
      <c r="O85" s="17" t="n"/>
      <c r="P85" s="17" t="n"/>
      <c r="Q85" s="19" t="n"/>
      <c r="R85" s="19" t="n"/>
      <c r="S85" s="7">
        <f>IF(I85="","",IF(TODAY()&gt;=I85,"到期","未到期"))</f>
        <v/>
      </c>
    </row>
    <row r="86">
      <c r="A86" s="16">
        <f>IF(B86="","","V-"&amp;TEXT(ROW()-1,"000"))</f>
        <v/>
      </c>
      <c r="B86" s="17" t="n"/>
      <c r="C86" s="18" t="n"/>
      <c r="D86" s="17" t="n"/>
      <c r="E86" s="17" t="n"/>
      <c r="F86" s="17" t="n"/>
      <c r="G86" s="19" t="n"/>
      <c r="H86" s="17" t="n"/>
      <c r="I86" s="18" t="n"/>
      <c r="J86" s="19" t="n"/>
      <c r="K86" s="17" t="n"/>
      <c r="L86" s="17" t="n"/>
      <c r="M86" s="17" t="n"/>
      <c r="N86" s="17" t="n"/>
      <c r="O86" s="17" t="n"/>
      <c r="P86" s="17" t="n"/>
      <c r="Q86" s="19" t="n"/>
      <c r="R86" s="19" t="n"/>
      <c r="S86" s="7">
        <f>IF(I86="","",IF(TODAY()&gt;=I86,"到期","未到期"))</f>
        <v/>
      </c>
    </row>
    <row r="87">
      <c r="A87" s="16">
        <f>IF(B87="","","V-"&amp;TEXT(ROW()-1,"000"))</f>
        <v/>
      </c>
      <c r="B87" s="17" t="n"/>
      <c r="C87" s="18" t="n"/>
      <c r="D87" s="17" t="n"/>
      <c r="E87" s="17" t="n"/>
      <c r="F87" s="17" t="n"/>
      <c r="G87" s="19" t="n"/>
      <c r="H87" s="17" t="n"/>
      <c r="I87" s="18" t="n"/>
      <c r="J87" s="19" t="n"/>
      <c r="K87" s="17" t="n"/>
      <c r="L87" s="17" t="n"/>
      <c r="M87" s="17" t="n"/>
      <c r="N87" s="17" t="n"/>
      <c r="O87" s="17" t="n"/>
      <c r="P87" s="17" t="n"/>
      <c r="Q87" s="19" t="n"/>
      <c r="R87" s="19" t="n"/>
      <c r="S87" s="7">
        <f>IF(I87="","",IF(TODAY()&gt;=I87,"到期","未到期"))</f>
        <v/>
      </c>
    </row>
    <row r="88">
      <c r="A88" s="16">
        <f>IF(B88="","","V-"&amp;TEXT(ROW()-1,"000"))</f>
        <v/>
      </c>
      <c r="B88" s="17" t="n"/>
      <c r="C88" s="18" t="n"/>
      <c r="D88" s="17" t="n"/>
      <c r="E88" s="17" t="n"/>
      <c r="F88" s="17" t="n"/>
      <c r="G88" s="19" t="n"/>
      <c r="H88" s="17" t="n"/>
      <c r="I88" s="18" t="n"/>
      <c r="J88" s="19" t="n"/>
      <c r="K88" s="17" t="n"/>
      <c r="L88" s="17" t="n"/>
      <c r="M88" s="17" t="n"/>
      <c r="N88" s="17" t="n"/>
      <c r="O88" s="17" t="n"/>
      <c r="P88" s="17" t="n"/>
      <c r="Q88" s="19" t="n"/>
      <c r="R88" s="19" t="n"/>
      <c r="S88" s="7">
        <f>IF(I88="","",IF(TODAY()&gt;=I88,"到期","未到期"))</f>
        <v/>
      </c>
    </row>
    <row r="89">
      <c r="A89" s="16">
        <f>IF(B89="","","V-"&amp;TEXT(ROW()-1,"000"))</f>
        <v/>
      </c>
      <c r="B89" s="17" t="n"/>
      <c r="C89" s="18" t="n"/>
      <c r="D89" s="17" t="n"/>
      <c r="E89" s="17" t="n"/>
      <c r="F89" s="17" t="n"/>
      <c r="G89" s="19" t="n"/>
      <c r="H89" s="17" t="n"/>
      <c r="I89" s="18" t="n"/>
      <c r="J89" s="19" t="n"/>
      <c r="K89" s="17" t="n"/>
      <c r="L89" s="17" t="n"/>
      <c r="M89" s="17" t="n"/>
      <c r="N89" s="17" t="n"/>
      <c r="O89" s="17" t="n"/>
      <c r="P89" s="17" t="n"/>
      <c r="Q89" s="19" t="n"/>
      <c r="R89" s="19" t="n"/>
      <c r="S89" s="7">
        <f>IF(I89="","",IF(TODAY()&gt;=I89,"到期","未到期"))</f>
        <v/>
      </c>
    </row>
    <row r="90">
      <c r="A90" s="16">
        <f>IF(B90="","","V-"&amp;TEXT(ROW()-1,"000"))</f>
        <v/>
      </c>
      <c r="B90" s="17" t="n"/>
      <c r="C90" s="18" t="n"/>
      <c r="D90" s="17" t="n"/>
      <c r="E90" s="17" t="n"/>
      <c r="F90" s="17" t="n"/>
      <c r="G90" s="19" t="n"/>
      <c r="H90" s="17" t="n"/>
      <c r="I90" s="18" t="n"/>
      <c r="J90" s="19" t="n"/>
      <c r="K90" s="17" t="n"/>
      <c r="L90" s="17" t="n"/>
      <c r="M90" s="17" t="n"/>
      <c r="N90" s="17" t="n"/>
      <c r="O90" s="17" t="n"/>
      <c r="P90" s="17" t="n"/>
      <c r="Q90" s="19" t="n"/>
      <c r="R90" s="19" t="n"/>
      <c r="S90" s="7">
        <f>IF(I90="","",IF(TODAY()&gt;=I90,"到期","未到期"))</f>
        <v/>
      </c>
    </row>
    <row r="91">
      <c r="A91" s="16">
        <f>IF(B91="","","V-"&amp;TEXT(ROW()-1,"000"))</f>
        <v/>
      </c>
      <c r="B91" s="17" t="n"/>
      <c r="C91" s="18" t="n"/>
      <c r="D91" s="17" t="n"/>
      <c r="E91" s="17" t="n"/>
      <c r="F91" s="17" t="n"/>
      <c r="G91" s="19" t="n"/>
      <c r="H91" s="17" t="n"/>
      <c r="I91" s="18" t="n"/>
      <c r="J91" s="19" t="n"/>
      <c r="K91" s="17" t="n"/>
      <c r="L91" s="17" t="n"/>
      <c r="M91" s="17" t="n"/>
      <c r="N91" s="17" t="n"/>
      <c r="O91" s="17" t="n"/>
      <c r="P91" s="17" t="n"/>
      <c r="Q91" s="19" t="n"/>
      <c r="R91" s="19" t="n"/>
      <c r="S91" s="7">
        <f>IF(I91="","",IF(TODAY()&gt;=I91,"到期","未到期"))</f>
        <v/>
      </c>
    </row>
    <row r="92">
      <c r="A92" s="16">
        <f>IF(B92="","","V-"&amp;TEXT(ROW()-1,"000"))</f>
        <v/>
      </c>
      <c r="B92" s="17" t="n"/>
      <c r="C92" s="18" t="n"/>
      <c r="D92" s="17" t="n"/>
      <c r="E92" s="17" t="n"/>
      <c r="F92" s="17" t="n"/>
      <c r="G92" s="19" t="n"/>
      <c r="H92" s="17" t="n"/>
      <c r="I92" s="18" t="n"/>
      <c r="J92" s="19" t="n"/>
      <c r="K92" s="17" t="n"/>
      <c r="L92" s="17" t="n"/>
      <c r="M92" s="17" t="n"/>
      <c r="N92" s="17" t="n"/>
      <c r="O92" s="17" t="n"/>
      <c r="P92" s="17" t="n"/>
      <c r="Q92" s="19" t="n"/>
      <c r="R92" s="19" t="n"/>
      <c r="S92" s="7">
        <f>IF(I92="","",IF(TODAY()&gt;=I92,"到期","未到期"))</f>
        <v/>
      </c>
    </row>
    <row r="93">
      <c r="A93" s="16">
        <f>IF(B93="","","V-"&amp;TEXT(ROW()-1,"000"))</f>
        <v/>
      </c>
      <c r="B93" s="17" t="n"/>
      <c r="C93" s="18" t="n"/>
      <c r="D93" s="17" t="n"/>
      <c r="E93" s="17" t="n"/>
      <c r="F93" s="17" t="n"/>
      <c r="G93" s="19" t="n"/>
      <c r="H93" s="17" t="n"/>
      <c r="I93" s="18" t="n"/>
      <c r="J93" s="19" t="n"/>
      <c r="K93" s="17" t="n"/>
      <c r="L93" s="17" t="n"/>
      <c r="M93" s="17" t="n"/>
      <c r="N93" s="17" t="n"/>
      <c r="O93" s="17" t="n"/>
      <c r="P93" s="17" t="n"/>
      <c r="Q93" s="19" t="n"/>
      <c r="R93" s="19" t="n"/>
      <c r="S93" s="7">
        <f>IF(I93="","",IF(TODAY()&gt;=I93,"到期","未到期"))</f>
        <v/>
      </c>
    </row>
    <row r="94">
      <c r="A94" s="16">
        <f>IF(B94="","","V-"&amp;TEXT(ROW()-1,"000"))</f>
        <v/>
      </c>
      <c r="B94" s="17" t="n"/>
      <c r="C94" s="18" t="n"/>
      <c r="D94" s="17" t="n"/>
      <c r="E94" s="17" t="n"/>
      <c r="F94" s="17" t="n"/>
      <c r="G94" s="19" t="n"/>
      <c r="H94" s="17" t="n"/>
      <c r="I94" s="18" t="n"/>
      <c r="J94" s="19" t="n"/>
      <c r="K94" s="17" t="n"/>
      <c r="L94" s="17" t="n"/>
      <c r="M94" s="17" t="n"/>
      <c r="N94" s="17" t="n"/>
      <c r="O94" s="17" t="n"/>
      <c r="P94" s="17" t="n"/>
      <c r="Q94" s="19" t="n"/>
      <c r="R94" s="19" t="n"/>
      <c r="S94" s="7">
        <f>IF(I94="","",IF(TODAY()&gt;=I94,"到期","未到期"))</f>
        <v/>
      </c>
    </row>
    <row r="95">
      <c r="A95" s="16">
        <f>IF(B95="","","V-"&amp;TEXT(ROW()-1,"000"))</f>
        <v/>
      </c>
      <c r="B95" s="17" t="n"/>
      <c r="C95" s="18" t="n"/>
      <c r="D95" s="17" t="n"/>
      <c r="E95" s="17" t="n"/>
      <c r="F95" s="17" t="n"/>
      <c r="G95" s="19" t="n"/>
      <c r="H95" s="17" t="n"/>
      <c r="I95" s="18" t="n"/>
      <c r="J95" s="19" t="n"/>
      <c r="K95" s="17" t="n"/>
      <c r="L95" s="17" t="n"/>
      <c r="M95" s="17" t="n"/>
      <c r="N95" s="17" t="n"/>
      <c r="O95" s="17" t="n"/>
      <c r="P95" s="17" t="n"/>
      <c r="Q95" s="19" t="n"/>
      <c r="R95" s="19" t="n"/>
      <c r="S95" s="7">
        <f>IF(I95="","",IF(TODAY()&gt;=I95,"到期","未到期"))</f>
        <v/>
      </c>
    </row>
    <row r="96">
      <c r="A96" s="16">
        <f>IF(B96="","","V-"&amp;TEXT(ROW()-1,"000"))</f>
        <v/>
      </c>
      <c r="B96" s="17" t="n"/>
      <c r="C96" s="18" t="n"/>
      <c r="D96" s="17" t="n"/>
      <c r="E96" s="17" t="n"/>
      <c r="F96" s="17" t="n"/>
      <c r="G96" s="19" t="n"/>
      <c r="H96" s="17" t="n"/>
      <c r="I96" s="18" t="n"/>
      <c r="J96" s="19" t="n"/>
      <c r="K96" s="17" t="n"/>
      <c r="L96" s="17" t="n"/>
      <c r="M96" s="17" t="n"/>
      <c r="N96" s="17" t="n"/>
      <c r="O96" s="17" t="n"/>
      <c r="P96" s="17" t="n"/>
      <c r="Q96" s="19" t="n"/>
      <c r="R96" s="19" t="n"/>
      <c r="S96" s="7">
        <f>IF(I96="","",IF(TODAY()&gt;=I96,"到期","未到期"))</f>
        <v/>
      </c>
    </row>
    <row r="97">
      <c r="A97" s="16">
        <f>IF(B97="","","V-"&amp;TEXT(ROW()-1,"000"))</f>
        <v/>
      </c>
      <c r="B97" s="17" t="n"/>
      <c r="C97" s="18" t="n"/>
      <c r="D97" s="17" t="n"/>
      <c r="E97" s="17" t="n"/>
      <c r="F97" s="17" t="n"/>
      <c r="G97" s="19" t="n"/>
      <c r="H97" s="17" t="n"/>
      <c r="I97" s="18" t="n"/>
      <c r="J97" s="19" t="n"/>
      <c r="K97" s="17" t="n"/>
      <c r="L97" s="17" t="n"/>
      <c r="M97" s="17" t="n"/>
      <c r="N97" s="17" t="n"/>
      <c r="O97" s="17" t="n"/>
      <c r="P97" s="17" t="n"/>
      <c r="Q97" s="19" t="n"/>
      <c r="R97" s="19" t="n"/>
      <c r="S97" s="7">
        <f>IF(I97="","",IF(TODAY()&gt;=I97,"到期","未到期"))</f>
        <v/>
      </c>
    </row>
    <row r="98">
      <c r="A98" s="16">
        <f>IF(B98="","","V-"&amp;TEXT(ROW()-1,"000"))</f>
        <v/>
      </c>
      <c r="B98" s="17" t="n"/>
      <c r="C98" s="18" t="n"/>
      <c r="D98" s="17" t="n"/>
      <c r="E98" s="17" t="n"/>
      <c r="F98" s="17" t="n"/>
      <c r="G98" s="19" t="n"/>
      <c r="H98" s="17" t="n"/>
      <c r="I98" s="18" t="n"/>
      <c r="J98" s="19" t="n"/>
      <c r="K98" s="17" t="n"/>
      <c r="L98" s="17" t="n"/>
      <c r="M98" s="17" t="n"/>
      <c r="N98" s="17" t="n"/>
      <c r="O98" s="17" t="n"/>
      <c r="P98" s="17" t="n"/>
      <c r="Q98" s="19" t="n"/>
      <c r="R98" s="19" t="n"/>
      <c r="S98" s="7">
        <f>IF(I98="","",IF(TODAY()&gt;=I98,"到期","未到期"))</f>
        <v/>
      </c>
    </row>
    <row r="99">
      <c r="A99" s="16">
        <f>IF(B99="","","V-"&amp;TEXT(ROW()-1,"000"))</f>
        <v/>
      </c>
      <c r="B99" s="17" t="n"/>
      <c r="C99" s="18" t="n"/>
      <c r="D99" s="17" t="n"/>
      <c r="E99" s="17" t="n"/>
      <c r="F99" s="17" t="n"/>
      <c r="G99" s="19" t="n"/>
      <c r="H99" s="17" t="n"/>
      <c r="I99" s="18" t="n"/>
      <c r="J99" s="19" t="n"/>
      <c r="K99" s="17" t="n"/>
      <c r="L99" s="17" t="n"/>
      <c r="M99" s="17" t="n"/>
      <c r="N99" s="17" t="n"/>
      <c r="O99" s="17" t="n"/>
      <c r="P99" s="17" t="n"/>
      <c r="Q99" s="19" t="n"/>
      <c r="R99" s="19" t="n"/>
      <c r="S99" s="7">
        <f>IF(I99="","",IF(TODAY()&gt;=I99,"到期","未到期"))</f>
        <v/>
      </c>
    </row>
    <row r="100">
      <c r="A100" s="16">
        <f>IF(B100="","","V-"&amp;TEXT(ROW()-1,"000"))</f>
        <v/>
      </c>
      <c r="B100" s="17" t="n"/>
      <c r="C100" s="18" t="n"/>
      <c r="D100" s="17" t="n"/>
      <c r="E100" s="17" t="n"/>
      <c r="F100" s="17" t="n"/>
      <c r="G100" s="19" t="n"/>
      <c r="H100" s="17" t="n"/>
      <c r="I100" s="18" t="n"/>
      <c r="J100" s="19" t="n"/>
      <c r="K100" s="17" t="n"/>
      <c r="L100" s="17" t="n"/>
      <c r="M100" s="17" t="n"/>
      <c r="N100" s="17" t="n"/>
      <c r="O100" s="17" t="n"/>
      <c r="P100" s="17" t="n"/>
      <c r="Q100" s="19" t="n"/>
      <c r="R100" s="19" t="n"/>
      <c r="S100" s="7">
        <f>IF(I100="","",IF(TODAY()&gt;=I100,"到期","未到期"))</f>
        <v/>
      </c>
    </row>
    <row r="101">
      <c r="A101" s="16">
        <f>IF(B101="","","V-"&amp;TEXT(ROW()-1,"000"))</f>
        <v/>
      </c>
      <c r="B101" s="17" t="n"/>
      <c r="C101" s="18" t="n"/>
      <c r="D101" s="17" t="n"/>
      <c r="E101" s="17" t="n"/>
      <c r="F101" s="17" t="n"/>
      <c r="G101" s="19" t="n"/>
      <c r="H101" s="17" t="n"/>
      <c r="I101" s="18" t="n"/>
      <c r="J101" s="19" t="n"/>
      <c r="K101" s="17" t="n"/>
      <c r="L101" s="17" t="n"/>
      <c r="M101" s="17" t="n"/>
      <c r="N101" s="17" t="n"/>
      <c r="O101" s="17" t="n"/>
      <c r="P101" s="17" t="n"/>
      <c r="Q101" s="19" t="n"/>
      <c r="R101" s="19" t="n"/>
      <c r="S101" s="7">
        <f>IF(I101="","",IF(TODAY()&gt;=I101,"到期","未到期"))</f>
        <v/>
      </c>
    </row>
    <row r="102">
      <c r="A102" s="16">
        <f>IF(B102="","","V-"&amp;TEXT(ROW()-1,"000"))</f>
        <v/>
      </c>
      <c r="B102" s="17" t="n"/>
      <c r="C102" s="18" t="n"/>
      <c r="D102" s="17" t="n"/>
      <c r="E102" s="17" t="n"/>
      <c r="F102" s="17" t="n"/>
      <c r="G102" s="19" t="n"/>
      <c r="H102" s="17" t="n"/>
      <c r="I102" s="18" t="n"/>
      <c r="J102" s="19" t="n"/>
      <c r="K102" s="17" t="n"/>
      <c r="L102" s="17" t="n"/>
      <c r="M102" s="17" t="n"/>
      <c r="N102" s="17" t="n"/>
      <c r="O102" s="17" t="n"/>
      <c r="P102" s="17" t="n"/>
      <c r="Q102" s="19" t="n"/>
      <c r="R102" s="19" t="n"/>
      <c r="S102" s="7">
        <f>IF(I102="","",IF(TODAY()&gt;=I102,"到期","未到期"))</f>
        <v/>
      </c>
    </row>
    <row r="103">
      <c r="A103" s="16">
        <f>IF(B103="","","V-"&amp;TEXT(ROW()-1,"000"))</f>
        <v/>
      </c>
      <c r="B103" s="17" t="n"/>
      <c r="C103" s="18" t="n"/>
      <c r="D103" s="17" t="n"/>
      <c r="E103" s="17" t="n"/>
      <c r="F103" s="17" t="n"/>
      <c r="G103" s="19" t="n"/>
      <c r="H103" s="17" t="n"/>
      <c r="I103" s="18" t="n"/>
      <c r="J103" s="19" t="n"/>
      <c r="K103" s="17" t="n"/>
      <c r="L103" s="17" t="n"/>
      <c r="M103" s="17" t="n"/>
      <c r="N103" s="17" t="n"/>
      <c r="O103" s="17" t="n"/>
      <c r="P103" s="17" t="n"/>
      <c r="Q103" s="19" t="n"/>
      <c r="R103" s="19" t="n"/>
      <c r="S103" s="7">
        <f>IF(I103="","",IF(TODAY()&gt;=I103,"到期","未到期"))</f>
        <v/>
      </c>
    </row>
    <row r="104">
      <c r="A104" s="16">
        <f>IF(B104="","","V-"&amp;TEXT(ROW()-1,"000"))</f>
        <v/>
      </c>
      <c r="B104" s="17" t="n"/>
      <c r="C104" s="18" t="n"/>
      <c r="D104" s="17" t="n"/>
      <c r="E104" s="17" t="n"/>
      <c r="F104" s="17" t="n"/>
      <c r="G104" s="19" t="n"/>
      <c r="H104" s="17" t="n"/>
      <c r="I104" s="18" t="n"/>
      <c r="J104" s="19" t="n"/>
      <c r="K104" s="17" t="n"/>
      <c r="L104" s="17" t="n"/>
      <c r="M104" s="17" t="n"/>
      <c r="N104" s="17" t="n"/>
      <c r="O104" s="17" t="n"/>
      <c r="P104" s="17" t="n"/>
      <c r="Q104" s="19" t="n"/>
      <c r="R104" s="19" t="n"/>
      <c r="S104" s="7">
        <f>IF(I104="","",IF(TODAY()&gt;=I104,"到期","未到期"))</f>
        <v/>
      </c>
    </row>
    <row r="105">
      <c r="A105" s="16">
        <f>IF(B105="","","V-"&amp;TEXT(ROW()-1,"000"))</f>
        <v/>
      </c>
      <c r="B105" s="17" t="n"/>
      <c r="C105" s="18" t="n"/>
      <c r="D105" s="17" t="n"/>
      <c r="E105" s="17" t="n"/>
      <c r="F105" s="17" t="n"/>
      <c r="G105" s="19" t="n"/>
      <c r="H105" s="17" t="n"/>
      <c r="I105" s="18" t="n"/>
      <c r="J105" s="19" t="n"/>
      <c r="K105" s="17" t="n"/>
      <c r="L105" s="17" t="n"/>
      <c r="M105" s="17" t="n"/>
      <c r="N105" s="17" t="n"/>
      <c r="O105" s="17" t="n"/>
      <c r="P105" s="17" t="n"/>
      <c r="Q105" s="19" t="n"/>
      <c r="R105" s="19" t="n"/>
      <c r="S105" s="7">
        <f>IF(I105="","",IF(TODAY()&gt;=I105,"到期","未到期"))</f>
        <v/>
      </c>
    </row>
    <row r="106">
      <c r="A106" s="16">
        <f>IF(B106="","","V-"&amp;TEXT(ROW()-1,"000"))</f>
        <v/>
      </c>
      <c r="B106" s="17" t="n"/>
      <c r="C106" s="18" t="n"/>
      <c r="D106" s="17" t="n"/>
      <c r="E106" s="17" t="n"/>
      <c r="F106" s="17" t="n"/>
      <c r="G106" s="19" t="n"/>
      <c r="H106" s="17" t="n"/>
      <c r="I106" s="18" t="n"/>
      <c r="J106" s="19" t="n"/>
      <c r="K106" s="17" t="n"/>
      <c r="L106" s="17" t="n"/>
      <c r="M106" s="17" t="n"/>
      <c r="N106" s="17" t="n"/>
      <c r="O106" s="17" t="n"/>
      <c r="P106" s="17" t="n"/>
      <c r="Q106" s="19" t="n"/>
      <c r="R106" s="19" t="n"/>
      <c r="S106" s="7">
        <f>IF(I106="","",IF(TODAY()&gt;=I106,"到期","未到期"))</f>
        <v/>
      </c>
    </row>
    <row r="107">
      <c r="A107" s="16">
        <f>IF(B107="","","V-"&amp;TEXT(ROW()-1,"000"))</f>
        <v/>
      </c>
      <c r="B107" s="17" t="n"/>
      <c r="C107" s="18" t="n"/>
      <c r="D107" s="17" t="n"/>
      <c r="E107" s="17" t="n"/>
      <c r="F107" s="17" t="n"/>
      <c r="G107" s="19" t="n"/>
      <c r="H107" s="17" t="n"/>
      <c r="I107" s="18" t="n"/>
      <c r="J107" s="19" t="n"/>
      <c r="K107" s="17" t="n"/>
      <c r="L107" s="17" t="n"/>
      <c r="M107" s="17" t="n"/>
      <c r="N107" s="17" t="n"/>
      <c r="O107" s="17" t="n"/>
      <c r="P107" s="17" t="n"/>
      <c r="Q107" s="19" t="n"/>
      <c r="R107" s="19" t="n"/>
      <c r="S107" s="7">
        <f>IF(I107="","",IF(TODAY()&gt;=I107,"到期","未到期"))</f>
        <v/>
      </c>
    </row>
    <row r="108">
      <c r="A108" s="16">
        <f>IF(B108="","","V-"&amp;TEXT(ROW()-1,"000"))</f>
        <v/>
      </c>
      <c r="B108" s="17" t="n"/>
      <c r="C108" s="18" t="n"/>
      <c r="D108" s="17" t="n"/>
      <c r="E108" s="17" t="n"/>
      <c r="F108" s="17" t="n"/>
      <c r="G108" s="19" t="n"/>
      <c r="H108" s="17" t="n"/>
      <c r="I108" s="18" t="n"/>
      <c r="J108" s="19" t="n"/>
      <c r="K108" s="17" t="n"/>
      <c r="L108" s="17" t="n"/>
      <c r="M108" s="17" t="n"/>
      <c r="N108" s="17" t="n"/>
      <c r="O108" s="17" t="n"/>
      <c r="P108" s="17" t="n"/>
      <c r="Q108" s="19" t="n"/>
      <c r="R108" s="19" t="n"/>
      <c r="S108" s="7">
        <f>IF(I108="","",IF(TODAY()&gt;=I108,"到期","未到期"))</f>
        <v/>
      </c>
    </row>
    <row r="109">
      <c r="A109" s="16">
        <f>IF(B109="","","V-"&amp;TEXT(ROW()-1,"000"))</f>
        <v/>
      </c>
      <c r="B109" s="17" t="n"/>
      <c r="C109" s="18" t="n"/>
      <c r="D109" s="17" t="n"/>
      <c r="E109" s="17" t="n"/>
      <c r="F109" s="17" t="n"/>
      <c r="G109" s="19" t="n"/>
      <c r="H109" s="17" t="n"/>
      <c r="I109" s="18" t="n"/>
      <c r="J109" s="19" t="n"/>
      <c r="K109" s="17" t="n"/>
      <c r="L109" s="17" t="n"/>
      <c r="M109" s="17" t="n"/>
      <c r="N109" s="17" t="n"/>
      <c r="O109" s="17" t="n"/>
      <c r="P109" s="17" t="n"/>
      <c r="Q109" s="19" t="n"/>
      <c r="R109" s="19" t="n"/>
      <c r="S109" s="7">
        <f>IF(I109="","",IF(TODAY()&gt;=I109,"到期","未到期"))</f>
        <v/>
      </c>
    </row>
    <row r="110">
      <c r="A110" s="16">
        <f>IF(B110="","","V-"&amp;TEXT(ROW()-1,"000"))</f>
        <v/>
      </c>
      <c r="B110" s="17" t="n"/>
      <c r="C110" s="18" t="n"/>
      <c r="D110" s="17" t="n"/>
      <c r="E110" s="17" t="n"/>
      <c r="F110" s="17" t="n"/>
      <c r="G110" s="19" t="n"/>
      <c r="H110" s="17" t="n"/>
      <c r="I110" s="18" t="n"/>
      <c r="J110" s="19" t="n"/>
      <c r="K110" s="17" t="n"/>
      <c r="L110" s="17" t="n"/>
      <c r="M110" s="17" t="n"/>
      <c r="N110" s="17" t="n"/>
      <c r="O110" s="17" t="n"/>
      <c r="P110" s="17" t="n"/>
      <c r="Q110" s="19" t="n"/>
      <c r="R110" s="19" t="n"/>
      <c r="S110" s="7">
        <f>IF(I110="","",IF(TODAY()&gt;=I110,"到期","未到期"))</f>
        <v/>
      </c>
    </row>
    <row r="111">
      <c r="A111" s="16">
        <f>IF(B111="","","V-"&amp;TEXT(ROW()-1,"000"))</f>
        <v/>
      </c>
      <c r="B111" s="17" t="n"/>
      <c r="C111" s="18" t="n"/>
      <c r="D111" s="17" t="n"/>
      <c r="E111" s="17" t="n"/>
      <c r="F111" s="17" t="n"/>
      <c r="G111" s="19" t="n"/>
      <c r="H111" s="17" t="n"/>
      <c r="I111" s="18" t="n"/>
      <c r="J111" s="19" t="n"/>
      <c r="K111" s="17" t="n"/>
      <c r="L111" s="17" t="n"/>
      <c r="M111" s="17" t="n"/>
      <c r="N111" s="17" t="n"/>
      <c r="O111" s="17" t="n"/>
      <c r="P111" s="17" t="n"/>
      <c r="Q111" s="19" t="n"/>
      <c r="R111" s="19" t="n"/>
      <c r="S111" s="7">
        <f>IF(I111="","",IF(TODAY()&gt;=I111,"到期","未到期"))</f>
        <v/>
      </c>
    </row>
    <row r="112">
      <c r="A112" s="16">
        <f>IF(B112="","","V-"&amp;TEXT(ROW()-1,"000"))</f>
        <v/>
      </c>
      <c r="B112" s="17" t="n"/>
      <c r="C112" s="18" t="n"/>
      <c r="D112" s="17" t="n"/>
      <c r="E112" s="17" t="n"/>
      <c r="F112" s="17" t="n"/>
      <c r="G112" s="19" t="n"/>
      <c r="H112" s="17" t="n"/>
      <c r="I112" s="18" t="n"/>
      <c r="J112" s="19" t="n"/>
      <c r="K112" s="17" t="n"/>
      <c r="L112" s="17" t="n"/>
      <c r="M112" s="17" t="n"/>
      <c r="N112" s="17" t="n"/>
      <c r="O112" s="17" t="n"/>
      <c r="P112" s="17" t="n"/>
      <c r="Q112" s="19" t="n"/>
      <c r="R112" s="19" t="n"/>
      <c r="S112" s="7">
        <f>IF(I112="","",IF(TODAY()&gt;=I112,"到期","未到期"))</f>
        <v/>
      </c>
    </row>
    <row r="113">
      <c r="A113" s="16">
        <f>IF(B113="","","V-"&amp;TEXT(ROW()-1,"000"))</f>
        <v/>
      </c>
      <c r="B113" s="17" t="n"/>
      <c r="C113" s="18" t="n"/>
      <c r="D113" s="17" t="n"/>
      <c r="E113" s="17" t="n"/>
      <c r="F113" s="17" t="n"/>
      <c r="G113" s="19" t="n"/>
      <c r="H113" s="17" t="n"/>
      <c r="I113" s="18" t="n"/>
      <c r="J113" s="19" t="n"/>
      <c r="K113" s="17" t="n"/>
      <c r="L113" s="17" t="n"/>
      <c r="M113" s="17" t="n"/>
      <c r="N113" s="17" t="n"/>
      <c r="O113" s="17" t="n"/>
      <c r="P113" s="17" t="n"/>
      <c r="Q113" s="19" t="n"/>
      <c r="R113" s="19" t="n"/>
      <c r="S113" s="7">
        <f>IF(I113="","",IF(TODAY()&gt;=I113,"到期","未到期"))</f>
        <v/>
      </c>
    </row>
    <row r="114">
      <c r="A114" s="16">
        <f>IF(B114="","","V-"&amp;TEXT(ROW()-1,"000"))</f>
        <v/>
      </c>
      <c r="B114" s="17" t="n"/>
      <c r="C114" s="18" t="n"/>
      <c r="D114" s="17" t="n"/>
      <c r="E114" s="17" t="n"/>
      <c r="F114" s="17" t="n"/>
      <c r="G114" s="19" t="n"/>
      <c r="H114" s="17" t="n"/>
      <c r="I114" s="18" t="n"/>
      <c r="J114" s="19" t="n"/>
      <c r="K114" s="17" t="n"/>
      <c r="L114" s="17" t="n"/>
      <c r="M114" s="17" t="n"/>
      <c r="N114" s="17" t="n"/>
      <c r="O114" s="17" t="n"/>
      <c r="P114" s="17" t="n"/>
      <c r="Q114" s="19" t="n"/>
      <c r="R114" s="19" t="n"/>
      <c r="S114" s="7">
        <f>IF(I114="","",IF(TODAY()&gt;=I114,"到期","未到期"))</f>
        <v/>
      </c>
    </row>
    <row r="115">
      <c r="A115" s="16">
        <f>IF(B115="","","V-"&amp;TEXT(ROW()-1,"000"))</f>
        <v/>
      </c>
      <c r="B115" s="17" t="n"/>
      <c r="C115" s="18" t="n"/>
      <c r="D115" s="17" t="n"/>
      <c r="E115" s="17" t="n"/>
      <c r="F115" s="17" t="n"/>
      <c r="G115" s="19" t="n"/>
      <c r="H115" s="17" t="n"/>
      <c r="I115" s="18" t="n"/>
      <c r="J115" s="19" t="n"/>
      <c r="K115" s="17" t="n"/>
      <c r="L115" s="17" t="n"/>
      <c r="M115" s="17" t="n"/>
      <c r="N115" s="17" t="n"/>
      <c r="O115" s="17" t="n"/>
      <c r="P115" s="17" t="n"/>
      <c r="Q115" s="19" t="n"/>
      <c r="R115" s="19" t="n"/>
      <c r="S115" s="7">
        <f>IF(I115="","",IF(TODAY()&gt;=I115,"到期","未到期"))</f>
        <v/>
      </c>
    </row>
    <row r="116">
      <c r="A116" s="16">
        <f>IF(B116="","","V-"&amp;TEXT(ROW()-1,"000"))</f>
        <v/>
      </c>
      <c r="B116" s="17" t="n"/>
      <c r="C116" s="18" t="n"/>
      <c r="D116" s="17" t="n"/>
      <c r="E116" s="17" t="n"/>
      <c r="F116" s="17" t="n"/>
      <c r="G116" s="19" t="n"/>
      <c r="H116" s="17" t="n"/>
      <c r="I116" s="18" t="n"/>
      <c r="J116" s="19" t="n"/>
      <c r="K116" s="17" t="n"/>
      <c r="L116" s="17" t="n"/>
      <c r="M116" s="17" t="n"/>
      <c r="N116" s="17" t="n"/>
      <c r="O116" s="17" t="n"/>
      <c r="P116" s="17" t="n"/>
      <c r="Q116" s="19" t="n"/>
      <c r="R116" s="19" t="n"/>
      <c r="S116" s="7">
        <f>IF(I116="","",IF(TODAY()&gt;=I116,"到期","未到期"))</f>
        <v/>
      </c>
    </row>
    <row r="117">
      <c r="A117" s="16">
        <f>IF(B117="","","V-"&amp;TEXT(ROW()-1,"000"))</f>
        <v/>
      </c>
      <c r="B117" s="17" t="n"/>
      <c r="C117" s="18" t="n"/>
      <c r="D117" s="17" t="n"/>
      <c r="E117" s="17" t="n"/>
      <c r="F117" s="17" t="n"/>
      <c r="G117" s="19" t="n"/>
      <c r="H117" s="17" t="n"/>
      <c r="I117" s="18" t="n"/>
      <c r="J117" s="19" t="n"/>
      <c r="K117" s="17" t="n"/>
      <c r="L117" s="17" t="n"/>
      <c r="M117" s="17" t="n"/>
      <c r="N117" s="17" t="n"/>
      <c r="O117" s="17" t="n"/>
      <c r="P117" s="17" t="n"/>
      <c r="Q117" s="19" t="n"/>
      <c r="R117" s="19" t="n"/>
      <c r="S117" s="7">
        <f>IF(I117="","",IF(TODAY()&gt;=I117,"到期","未到期"))</f>
        <v/>
      </c>
    </row>
    <row r="118">
      <c r="A118" s="16">
        <f>IF(B118="","","V-"&amp;TEXT(ROW()-1,"000"))</f>
        <v/>
      </c>
      <c r="B118" s="17" t="n"/>
      <c r="C118" s="18" t="n"/>
      <c r="D118" s="17" t="n"/>
      <c r="E118" s="17" t="n"/>
      <c r="F118" s="17" t="n"/>
      <c r="G118" s="19" t="n"/>
      <c r="H118" s="17" t="n"/>
      <c r="I118" s="18" t="n"/>
      <c r="J118" s="19" t="n"/>
      <c r="K118" s="17" t="n"/>
      <c r="L118" s="17" t="n"/>
      <c r="M118" s="17" t="n"/>
      <c r="N118" s="17" t="n"/>
      <c r="O118" s="17" t="n"/>
      <c r="P118" s="17" t="n"/>
      <c r="Q118" s="19" t="n"/>
      <c r="R118" s="19" t="n"/>
      <c r="S118" s="7">
        <f>IF(I118="","",IF(TODAY()&gt;=I118,"到期","未到期"))</f>
        <v/>
      </c>
    </row>
    <row r="119">
      <c r="A119" s="16">
        <f>IF(B119="","","V-"&amp;TEXT(ROW()-1,"000"))</f>
        <v/>
      </c>
      <c r="B119" s="17" t="n"/>
      <c r="C119" s="18" t="n"/>
      <c r="D119" s="17" t="n"/>
      <c r="E119" s="17" t="n"/>
      <c r="F119" s="17" t="n"/>
      <c r="G119" s="19" t="n"/>
      <c r="H119" s="17" t="n"/>
      <c r="I119" s="18" t="n"/>
      <c r="J119" s="19" t="n"/>
      <c r="K119" s="17" t="n"/>
      <c r="L119" s="17" t="n"/>
      <c r="M119" s="17" t="n"/>
      <c r="N119" s="17" t="n"/>
      <c r="O119" s="17" t="n"/>
      <c r="P119" s="17" t="n"/>
      <c r="Q119" s="19" t="n"/>
      <c r="R119" s="19" t="n"/>
      <c r="S119" s="7">
        <f>IF(I119="","",IF(TODAY()&gt;=I119,"到期","未到期"))</f>
        <v/>
      </c>
    </row>
    <row r="120">
      <c r="A120" s="16">
        <f>IF(B120="","","V-"&amp;TEXT(ROW()-1,"000"))</f>
        <v/>
      </c>
      <c r="B120" s="17" t="n"/>
      <c r="C120" s="18" t="n"/>
      <c r="D120" s="17" t="n"/>
      <c r="E120" s="17" t="n"/>
      <c r="F120" s="17" t="n"/>
      <c r="G120" s="19" t="n"/>
      <c r="H120" s="17" t="n"/>
      <c r="I120" s="18" t="n"/>
      <c r="J120" s="19" t="n"/>
      <c r="K120" s="17" t="n"/>
      <c r="L120" s="17" t="n"/>
      <c r="M120" s="17" t="n"/>
      <c r="N120" s="17" t="n"/>
      <c r="O120" s="17" t="n"/>
      <c r="P120" s="17" t="n"/>
      <c r="Q120" s="19" t="n"/>
      <c r="R120" s="19" t="n"/>
      <c r="S120" s="7">
        <f>IF(I120="","",IF(TODAY()&gt;=I120,"到期","未到期"))</f>
        <v/>
      </c>
    </row>
    <row r="121">
      <c r="A121" s="16">
        <f>IF(B121="","","V-"&amp;TEXT(ROW()-1,"000"))</f>
        <v/>
      </c>
      <c r="B121" s="17" t="n"/>
      <c r="C121" s="18" t="n"/>
      <c r="D121" s="17" t="n"/>
      <c r="E121" s="17" t="n"/>
      <c r="F121" s="17" t="n"/>
      <c r="G121" s="19" t="n"/>
      <c r="H121" s="17" t="n"/>
      <c r="I121" s="18" t="n"/>
      <c r="J121" s="19" t="n"/>
      <c r="K121" s="17" t="n"/>
      <c r="L121" s="17" t="n"/>
      <c r="M121" s="17" t="n"/>
      <c r="N121" s="17" t="n"/>
      <c r="O121" s="17" t="n"/>
      <c r="P121" s="17" t="n"/>
      <c r="Q121" s="19" t="n"/>
      <c r="R121" s="19" t="n"/>
      <c r="S121" s="7">
        <f>IF(I121="","",IF(TODAY()&gt;=I121,"到期","未到期"))</f>
        <v/>
      </c>
    </row>
    <row r="122">
      <c r="A122" s="16">
        <f>IF(B122="","","V-"&amp;TEXT(ROW()-1,"000"))</f>
        <v/>
      </c>
      <c r="B122" s="17" t="n"/>
      <c r="C122" s="18" t="n"/>
      <c r="D122" s="17" t="n"/>
      <c r="E122" s="17" t="n"/>
      <c r="F122" s="17" t="n"/>
      <c r="G122" s="19" t="n"/>
      <c r="H122" s="17" t="n"/>
      <c r="I122" s="18" t="n"/>
      <c r="J122" s="19" t="n"/>
      <c r="K122" s="17" t="n"/>
      <c r="L122" s="17" t="n"/>
      <c r="M122" s="17" t="n"/>
      <c r="N122" s="17" t="n"/>
      <c r="O122" s="17" t="n"/>
      <c r="P122" s="17" t="n"/>
      <c r="Q122" s="19" t="n"/>
      <c r="R122" s="19" t="n"/>
      <c r="S122" s="7">
        <f>IF(I122="","",IF(TODAY()&gt;=I122,"到期","未到期"))</f>
        <v/>
      </c>
    </row>
    <row r="123">
      <c r="A123" s="16">
        <f>IF(B123="","","V-"&amp;TEXT(ROW()-1,"000"))</f>
        <v/>
      </c>
      <c r="B123" s="17" t="n"/>
      <c r="C123" s="18" t="n"/>
      <c r="D123" s="17" t="n"/>
      <c r="E123" s="17" t="n"/>
      <c r="F123" s="17" t="n"/>
      <c r="G123" s="19" t="n"/>
      <c r="H123" s="17" t="n"/>
      <c r="I123" s="18" t="n"/>
      <c r="J123" s="19" t="n"/>
      <c r="K123" s="17" t="n"/>
      <c r="L123" s="17" t="n"/>
      <c r="M123" s="17" t="n"/>
      <c r="N123" s="17" t="n"/>
      <c r="O123" s="17" t="n"/>
      <c r="P123" s="17" t="n"/>
      <c r="Q123" s="19" t="n"/>
      <c r="R123" s="19" t="n"/>
      <c r="S123" s="7">
        <f>IF(I123="","",IF(TODAY()&gt;=I123,"到期","未到期"))</f>
        <v/>
      </c>
    </row>
    <row r="124">
      <c r="A124" s="16">
        <f>IF(B124="","","V-"&amp;TEXT(ROW()-1,"000"))</f>
        <v/>
      </c>
      <c r="B124" s="17" t="n"/>
      <c r="C124" s="18" t="n"/>
      <c r="D124" s="17" t="n"/>
      <c r="E124" s="17" t="n"/>
      <c r="F124" s="17" t="n"/>
      <c r="G124" s="19" t="n"/>
      <c r="H124" s="17" t="n"/>
      <c r="I124" s="18" t="n"/>
      <c r="J124" s="19" t="n"/>
      <c r="K124" s="17" t="n"/>
      <c r="L124" s="17" t="n"/>
      <c r="M124" s="17" t="n"/>
      <c r="N124" s="17" t="n"/>
      <c r="O124" s="17" t="n"/>
      <c r="P124" s="17" t="n"/>
      <c r="Q124" s="19" t="n"/>
      <c r="R124" s="19" t="n"/>
      <c r="S124" s="7">
        <f>IF(I124="","",IF(TODAY()&gt;=I124,"到期","未到期"))</f>
        <v/>
      </c>
    </row>
    <row r="125">
      <c r="A125" s="16">
        <f>IF(B125="","","V-"&amp;TEXT(ROW()-1,"000"))</f>
        <v/>
      </c>
      <c r="B125" s="17" t="n"/>
      <c r="C125" s="18" t="n"/>
      <c r="D125" s="17" t="n"/>
      <c r="E125" s="17" t="n"/>
      <c r="F125" s="17" t="n"/>
      <c r="G125" s="19" t="n"/>
      <c r="H125" s="17" t="n"/>
      <c r="I125" s="18" t="n"/>
      <c r="J125" s="19" t="n"/>
      <c r="K125" s="17" t="n"/>
      <c r="L125" s="17" t="n"/>
      <c r="M125" s="17" t="n"/>
      <c r="N125" s="17" t="n"/>
      <c r="O125" s="17" t="n"/>
      <c r="P125" s="17" t="n"/>
      <c r="Q125" s="19" t="n"/>
      <c r="R125" s="19" t="n"/>
      <c r="S125" s="7">
        <f>IF(I125="","",IF(TODAY()&gt;=I125,"到期","未到期"))</f>
        <v/>
      </c>
    </row>
    <row r="126">
      <c r="A126" s="16">
        <f>IF(B126="","","V-"&amp;TEXT(ROW()-1,"000"))</f>
        <v/>
      </c>
      <c r="B126" s="17" t="n"/>
      <c r="C126" s="18" t="n"/>
      <c r="D126" s="17" t="n"/>
      <c r="E126" s="17" t="n"/>
      <c r="F126" s="17" t="n"/>
      <c r="G126" s="19" t="n"/>
      <c r="H126" s="17" t="n"/>
      <c r="I126" s="18" t="n"/>
      <c r="J126" s="19" t="n"/>
      <c r="K126" s="17" t="n"/>
      <c r="L126" s="17" t="n"/>
      <c r="M126" s="17" t="n"/>
      <c r="N126" s="17" t="n"/>
      <c r="O126" s="17" t="n"/>
      <c r="P126" s="17" t="n"/>
      <c r="Q126" s="19" t="n"/>
      <c r="R126" s="19" t="n"/>
      <c r="S126" s="7">
        <f>IF(I126="","",IF(TODAY()&gt;=I126,"到期","未到期"))</f>
        <v/>
      </c>
    </row>
    <row r="127">
      <c r="A127" s="16">
        <f>IF(B127="","","V-"&amp;TEXT(ROW()-1,"000"))</f>
        <v/>
      </c>
      <c r="B127" s="17" t="n"/>
      <c r="C127" s="18" t="n"/>
      <c r="D127" s="17" t="n"/>
      <c r="E127" s="17" t="n"/>
      <c r="F127" s="17" t="n"/>
      <c r="G127" s="19" t="n"/>
      <c r="H127" s="17" t="n"/>
      <c r="I127" s="18" t="n"/>
      <c r="J127" s="19" t="n"/>
      <c r="K127" s="17" t="n"/>
      <c r="L127" s="17" t="n"/>
      <c r="M127" s="17" t="n"/>
      <c r="N127" s="17" t="n"/>
      <c r="O127" s="17" t="n"/>
      <c r="P127" s="17" t="n"/>
      <c r="Q127" s="19" t="n"/>
      <c r="R127" s="19" t="n"/>
      <c r="S127" s="7">
        <f>IF(I127="","",IF(TODAY()&gt;=I127,"到期","未到期"))</f>
        <v/>
      </c>
    </row>
    <row r="128">
      <c r="A128" s="16">
        <f>IF(B128="","","V-"&amp;TEXT(ROW()-1,"000"))</f>
        <v/>
      </c>
      <c r="B128" s="17" t="n"/>
      <c r="C128" s="18" t="n"/>
      <c r="D128" s="17" t="n"/>
      <c r="E128" s="17" t="n"/>
      <c r="F128" s="17" t="n"/>
      <c r="G128" s="19" t="n"/>
      <c r="H128" s="17" t="n"/>
      <c r="I128" s="18" t="n"/>
      <c r="J128" s="19" t="n"/>
      <c r="K128" s="17" t="n"/>
      <c r="L128" s="17" t="n"/>
      <c r="M128" s="17" t="n"/>
      <c r="N128" s="17" t="n"/>
      <c r="O128" s="17" t="n"/>
      <c r="P128" s="17" t="n"/>
      <c r="Q128" s="19" t="n"/>
      <c r="R128" s="19" t="n"/>
      <c r="S128" s="7">
        <f>IF(I128="","",IF(TODAY()&gt;=I128,"到期","未到期"))</f>
        <v/>
      </c>
    </row>
    <row r="129">
      <c r="A129" s="16">
        <f>IF(B129="","","V-"&amp;TEXT(ROW()-1,"000"))</f>
        <v/>
      </c>
      <c r="B129" s="17" t="n"/>
      <c r="C129" s="18" t="n"/>
      <c r="D129" s="17" t="n"/>
      <c r="E129" s="17" t="n"/>
      <c r="F129" s="17" t="n"/>
      <c r="G129" s="19" t="n"/>
      <c r="H129" s="17" t="n"/>
      <c r="I129" s="18" t="n"/>
      <c r="J129" s="19" t="n"/>
      <c r="K129" s="17" t="n"/>
      <c r="L129" s="17" t="n"/>
      <c r="M129" s="17" t="n"/>
      <c r="N129" s="17" t="n"/>
      <c r="O129" s="17" t="n"/>
      <c r="P129" s="17" t="n"/>
      <c r="Q129" s="19" t="n"/>
      <c r="R129" s="19" t="n"/>
      <c r="S129" s="7">
        <f>IF(I129="","",IF(TODAY()&gt;=I129,"到期","未到期"))</f>
        <v/>
      </c>
    </row>
    <row r="130">
      <c r="A130" s="16">
        <f>IF(B130="","","V-"&amp;TEXT(ROW()-1,"000"))</f>
        <v/>
      </c>
      <c r="B130" s="17" t="n"/>
      <c r="C130" s="18" t="n"/>
      <c r="D130" s="17" t="n"/>
      <c r="E130" s="17" t="n"/>
      <c r="F130" s="17" t="n"/>
      <c r="G130" s="19" t="n"/>
      <c r="H130" s="17" t="n"/>
      <c r="I130" s="18" t="n"/>
      <c r="J130" s="19" t="n"/>
      <c r="K130" s="17" t="n"/>
      <c r="L130" s="17" t="n"/>
      <c r="M130" s="17" t="n"/>
      <c r="N130" s="17" t="n"/>
      <c r="O130" s="17" t="n"/>
      <c r="P130" s="17" t="n"/>
      <c r="Q130" s="19" t="n"/>
      <c r="R130" s="19" t="n"/>
      <c r="S130" s="7">
        <f>IF(I130="","",IF(TODAY()&gt;=I130,"到期","未到期"))</f>
        <v/>
      </c>
    </row>
    <row r="131">
      <c r="A131" s="16">
        <f>IF(B131="","","V-"&amp;TEXT(ROW()-1,"000"))</f>
        <v/>
      </c>
      <c r="B131" s="17" t="n"/>
      <c r="C131" s="18" t="n"/>
      <c r="D131" s="17" t="n"/>
      <c r="E131" s="17" t="n"/>
      <c r="F131" s="17" t="n"/>
      <c r="G131" s="19" t="n"/>
      <c r="H131" s="17" t="n"/>
      <c r="I131" s="18" t="n"/>
      <c r="J131" s="19" t="n"/>
      <c r="K131" s="17" t="n"/>
      <c r="L131" s="17" t="n"/>
      <c r="M131" s="17" t="n"/>
      <c r="N131" s="17" t="n"/>
      <c r="O131" s="17" t="n"/>
      <c r="P131" s="17" t="n"/>
      <c r="Q131" s="19" t="n"/>
      <c r="R131" s="19" t="n"/>
      <c r="S131" s="7">
        <f>IF(I131="","",IF(TODAY()&gt;=I131,"到期","未到期"))</f>
        <v/>
      </c>
    </row>
    <row r="132">
      <c r="A132" s="16">
        <f>IF(B132="","","V-"&amp;TEXT(ROW()-1,"000"))</f>
        <v/>
      </c>
      <c r="B132" s="17" t="n"/>
      <c r="C132" s="18" t="n"/>
      <c r="D132" s="17" t="n"/>
      <c r="E132" s="17" t="n"/>
      <c r="F132" s="17" t="n"/>
      <c r="G132" s="19" t="n"/>
      <c r="H132" s="17" t="n"/>
      <c r="I132" s="18" t="n"/>
      <c r="J132" s="19" t="n"/>
      <c r="K132" s="17" t="n"/>
      <c r="L132" s="17" t="n"/>
      <c r="M132" s="17" t="n"/>
      <c r="N132" s="17" t="n"/>
      <c r="O132" s="17" t="n"/>
      <c r="P132" s="17" t="n"/>
      <c r="Q132" s="19" t="n"/>
      <c r="R132" s="19" t="n"/>
      <c r="S132" s="7">
        <f>IF(I132="","",IF(TODAY()&gt;=I132,"到期","未到期"))</f>
        <v/>
      </c>
    </row>
    <row r="133">
      <c r="A133" s="16">
        <f>IF(B133="","","V-"&amp;TEXT(ROW()-1,"000"))</f>
        <v/>
      </c>
      <c r="B133" s="17" t="n"/>
      <c r="C133" s="18" t="n"/>
      <c r="D133" s="17" t="n"/>
      <c r="E133" s="17" t="n"/>
      <c r="F133" s="17" t="n"/>
      <c r="G133" s="19" t="n"/>
      <c r="H133" s="17" t="n"/>
      <c r="I133" s="18" t="n"/>
      <c r="J133" s="19" t="n"/>
      <c r="K133" s="17" t="n"/>
      <c r="L133" s="17" t="n"/>
      <c r="M133" s="17" t="n"/>
      <c r="N133" s="17" t="n"/>
      <c r="O133" s="17" t="n"/>
      <c r="P133" s="17" t="n"/>
      <c r="Q133" s="19" t="n"/>
      <c r="R133" s="19" t="n"/>
      <c r="S133" s="7">
        <f>IF(I133="","",IF(TODAY()&gt;=I133,"到期","未到期"))</f>
        <v/>
      </c>
    </row>
    <row r="134">
      <c r="A134" s="16">
        <f>IF(B134="","","V-"&amp;TEXT(ROW()-1,"000"))</f>
        <v/>
      </c>
      <c r="B134" s="17" t="n"/>
      <c r="C134" s="18" t="n"/>
      <c r="D134" s="17" t="n"/>
      <c r="E134" s="17" t="n"/>
      <c r="F134" s="17" t="n"/>
      <c r="G134" s="19" t="n"/>
      <c r="H134" s="17" t="n"/>
      <c r="I134" s="18" t="n"/>
      <c r="J134" s="19" t="n"/>
      <c r="K134" s="17" t="n"/>
      <c r="L134" s="17" t="n"/>
      <c r="M134" s="17" t="n"/>
      <c r="N134" s="17" t="n"/>
      <c r="O134" s="17" t="n"/>
      <c r="P134" s="17" t="n"/>
      <c r="Q134" s="19" t="n"/>
      <c r="R134" s="19" t="n"/>
      <c r="S134" s="7">
        <f>IF(I134="","",IF(TODAY()&gt;=I134,"到期","未到期"))</f>
        <v/>
      </c>
    </row>
    <row r="135">
      <c r="A135" s="16">
        <f>IF(B135="","","V-"&amp;TEXT(ROW()-1,"000"))</f>
        <v/>
      </c>
      <c r="B135" s="17" t="n"/>
      <c r="C135" s="18" t="n"/>
      <c r="D135" s="17" t="n"/>
      <c r="E135" s="17" t="n"/>
      <c r="F135" s="17" t="n"/>
      <c r="G135" s="19" t="n"/>
      <c r="H135" s="17" t="n"/>
      <c r="I135" s="18" t="n"/>
      <c r="J135" s="19" t="n"/>
      <c r="K135" s="17" t="n"/>
      <c r="L135" s="17" t="n"/>
      <c r="M135" s="17" t="n"/>
      <c r="N135" s="17" t="n"/>
      <c r="O135" s="17" t="n"/>
      <c r="P135" s="17" t="n"/>
      <c r="Q135" s="19" t="n"/>
      <c r="R135" s="19" t="n"/>
      <c r="S135" s="7">
        <f>IF(I135="","",IF(TODAY()&gt;=I135,"到期","未到期"))</f>
        <v/>
      </c>
    </row>
    <row r="136">
      <c r="A136" s="16">
        <f>IF(B136="","","V-"&amp;TEXT(ROW()-1,"000"))</f>
        <v/>
      </c>
      <c r="B136" s="17" t="n"/>
      <c r="C136" s="18" t="n"/>
      <c r="D136" s="17" t="n"/>
      <c r="E136" s="17" t="n"/>
      <c r="F136" s="17" t="n"/>
      <c r="G136" s="19" t="n"/>
      <c r="H136" s="17" t="n"/>
      <c r="I136" s="18" t="n"/>
      <c r="J136" s="19" t="n"/>
      <c r="K136" s="17" t="n"/>
      <c r="L136" s="17" t="n"/>
      <c r="M136" s="17" t="n"/>
      <c r="N136" s="17" t="n"/>
      <c r="O136" s="17" t="n"/>
      <c r="P136" s="17" t="n"/>
      <c r="Q136" s="19" t="n"/>
      <c r="R136" s="19" t="n"/>
      <c r="S136" s="7">
        <f>IF(I136="","",IF(TODAY()&gt;=I136,"到期","未到期"))</f>
        <v/>
      </c>
    </row>
    <row r="137">
      <c r="A137" s="16">
        <f>IF(B137="","","V-"&amp;TEXT(ROW()-1,"000"))</f>
        <v/>
      </c>
      <c r="B137" s="17" t="n"/>
      <c r="C137" s="18" t="n"/>
      <c r="D137" s="17" t="n"/>
      <c r="E137" s="17" t="n"/>
      <c r="F137" s="17" t="n"/>
      <c r="G137" s="19" t="n"/>
      <c r="H137" s="17" t="n"/>
      <c r="I137" s="18" t="n"/>
      <c r="J137" s="19" t="n"/>
      <c r="K137" s="17" t="n"/>
      <c r="L137" s="17" t="n"/>
      <c r="M137" s="17" t="n"/>
      <c r="N137" s="17" t="n"/>
      <c r="O137" s="17" t="n"/>
      <c r="P137" s="17" t="n"/>
      <c r="Q137" s="19" t="n"/>
      <c r="R137" s="19" t="n"/>
      <c r="S137" s="7">
        <f>IF(I137="","",IF(TODAY()&gt;=I137,"到期","未到期"))</f>
        <v/>
      </c>
    </row>
    <row r="138">
      <c r="A138" s="16">
        <f>IF(B138="","","V-"&amp;TEXT(ROW()-1,"000"))</f>
        <v/>
      </c>
      <c r="B138" s="17" t="n"/>
      <c r="C138" s="18" t="n"/>
      <c r="D138" s="17" t="n"/>
      <c r="E138" s="17" t="n"/>
      <c r="F138" s="17" t="n"/>
      <c r="G138" s="19" t="n"/>
      <c r="H138" s="17" t="n"/>
      <c r="I138" s="18" t="n"/>
      <c r="J138" s="19" t="n"/>
      <c r="K138" s="17" t="n"/>
      <c r="L138" s="17" t="n"/>
      <c r="M138" s="17" t="n"/>
      <c r="N138" s="17" t="n"/>
      <c r="O138" s="17" t="n"/>
      <c r="P138" s="17" t="n"/>
      <c r="Q138" s="19" t="n"/>
      <c r="R138" s="19" t="n"/>
      <c r="S138" s="7">
        <f>IF(I138="","",IF(TODAY()&gt;=I138,"到期","未到期"))</f>
        <v/>
      </c>
    </row>
    <row r="139">
      <c r="A139" s="16">
        <f>IF(B139="","","V-"&amp;TEXT(ROW()-1,"000"))</f>
        <v/>
      </c>
      <c r="B139" s="17" t="n"/>
      <c r="C139" s="18" t="n"/>
      <c r="D139" s="17" t="n"/>
      <c r="E139" s="17" t="n"/>
      <c r="F139" s="17" t="n"/>
      <c r="G139" s="19" t="n"/>
      <c r="H139" s="17" t="n"/>
      <c r="I139" s="18" t="n"/>
      <c r="J139" s="19" t="n"/>
      <c r="K139" s="17" t="n"/>
      <c r="L139" s="17" t="n"/>
      <c r="M139" s="17" t="n"/>
      <c r="N139" s="17" t="n"/>
      <c r="O139" s="17" t="n"/>
      <c r="P139" s="17" t="n"/>
      <c r="Q139" s="19" t="n"/>
      <c r="R139" s="19" t="n"/>
      <c r="S139" s="7">
        <f>IF(I139="","",IF(TODAY()&gt;=I139,"到期","未到期"))</f>
        <v/>
      </c>
    </row>
    <row r="140">
      <c r="A140" s="16">
        <f>IF(B140="","","V-"&amp;TEXT(ROW()-1,"000"))</f>
        <v/>
      </c>
      <c r="B140" s="17" t="n"/>
      <c r="C140" s="18" t="n"/>
      <c r="D140" s="17" t="n"/>
      <c r="E140" s="17" t="n"/>
      <c r="F140" s="17" t="n"/>
      <c r="G140" s="19" t="n"/>
      <c r="H140" s="17" t="n"/>
      <c r="I140" s="18" t="n"/>
      <c r="J140" s="19" t="n"/>
      <c r="K140" s="17" t="n"/>
      <c r="L140" s="17" t="n"/>
      <c r="M140" s="17" t="n"/>
      <c r="N140" s="17" t="n"/>
      <c r="O140" s="17" t="n"/>
      <c r="P140" s="17" t="n"/>
      <c r="Q140" s="19" t="n"/>
      <c r="R140" s="19" t="n"/>
      <c r="S140" s="7">
        <f>IF(I140="","",IF(TODAY()&gt;=I140,"到期","未到期"))</f>
        <v/>
      </c>
    </row>
    <row r="141">
      <c r="A141" s="16">
        <f>IF(B141="","","V-"&amp;TEXT(ROW()-1,"000"))</f>
        <v/>
      </c>
      <c r="B141" s="17" t="n"/>
      <c r="C141" s="18" t="n"/>
      <c r="D141" s="17" t="n"/>
      <c r="E141" s="17" t="n"/>
      <c r="F141" s="17" t="n"/>
      <c r="G141" s="19" t="n"/>
      <c r="H141" s="17" t="n"/>
      <c r="I141" s="18" t="n"/>
      <c r="J141" s="19" t="n"/>
      <c r="K141" s="17" t="n"/>
      <c r="L141" s="17" t="n"/>
      <c r="M141" s="17" t="n"/>
      <c r="N141" s="17" t="n"/>
      <c r="O141" s="17" t="n"/>
      <c r="P141" s="17" t="n"/>
      <c r="Q141" s="19" t="n"/>
      <c r="R141" s="19" t="n"/>
      <c r="S141" s="7">
        <f>IF(I141="","",IF(TODAY()&gt;=I141,"到期","未到期"))</f>
        <v/>
      </c>
    </row>
    <row r="142">
      <c r="A142" s="16">
        <f>IF(B142="","","V-"&amp;TEXT(ROW()-1,"000"))</f>
        <v/>
      </c>
      <c r="B142" s="17" t="n"/>
      <c r="C142" s="18" t="n"/>
      <c r="D142" s="17" t="n"/>
      <c r="E142" s="17" t="n"/>
      <c r="F142" s="17" t="n"/>
      <c r="G142" s="19" t="n"/>
      <c r="H142" s="17" t="n"/>
      <c r="I142" s="18" t="n"/>
      <c r="J142" s="19" t="n"/>
      <c r="K142" s="17" t="n"/>
      <c r="L142" s="17" t="n"/>
      <c r="M142" s="17" t="n"/>
      <c r="N142" s="17" t="n"/>
      <c r="O142" s="17" t="n"/>
      <c r="P142" s="17" t="n"/>
      <c r="Q142" s="19" t="n"/>
      <c r="R142" s="19" t="n"/>
      <c r="S142" s="7">
        <f>IF(I142="","",IF(TODAY()&gt;=I142,"到期","未到期"))</f>
        <v/>
      </c>
    </row>
    <row r="143">
      <c r="A143" s="16">
        <f>IF(B143="","","V-"&amp;TEXT(ROW()-1,"000"))</f>
        <v/>
      </c>
      <c r="B143" s="17" t="n"/>
      <c r="C143" s="18" t="n"/>
      <c r="D143" s="17" t="n"/>
      <c r="E143" s="17" t="n"/>
      <c r="F143" s="17" t="n"/>
      <c r="G143" s="19" t="n"/>
      <c r="H143" s="17" t="n"/>
      <c r="I143" s="18" t="n"/>
      <c r="J143" s="19" t="n"/>
      <c r="K143" s="17" t="n"/>
      <c r="L143" s="17" t="n"/>
      <c r="M143" s="17" t="n"/>
      <c r="N143" s="17" t="n"/>
      <c r="O143" s="17" t="n"/>
      <c r="P143" s="17" t="n"/>
      <c r="Q143" s="19" t="n"/>
      <c r="R143" s="19" t="n"/>
      <c r="S143" s="7">
        <f>IF(I143="","",IF(TODAY()&gt;=I143,"到期","未到期"))</f>
        <v/>
      </c>
    </row>
    <row r="144">
      <c r="A144" s="16">
        <f>IF(B144="","","V-"&amp;TEXT(ROW()-1,"000"))</f>
        <v/>
      </c>
      <c r="B144" s="17" t="n"/>
      <c r="C144" s="18" t="n"/>
      <c r="D144" s="17" t="n"/>
      <c r="E144" s="17" t="n"/>
      <c r="F144" s="17" t="n"/>
      <c r="G144" s="19" t="n"/>
      <c r="H144" s="17" t="n"/>
      <c r="I144" s="18" t="n"/>
      <c r="J144" s="19" t="n"/>
      <c r="K144" s="17" t="n"/>
      <c r="L144" s="17" t="n"/>
      <c r="M144" s="17" t="n"/>
      <c r="N144" s="17" t="n"/>
      <c r="O144" s="17" t="n"/>
      <c r="P144" s="17" t="n"/>
      <c r="Q144" s="19" t="n"/>
      <c r="R144" s="19" t="n"/>
      <c r="S144" s="7">
        <f>IF(I144="","",IF(TODAY()&gt;=I144,"到期","未到期"))</f>
        <v/>
      </c>
    </row>
    <row r="145">
      <c r="A145" s="16">
        <f>IF(B145="","","V-"&amp;TEXT(ROW()-1,"000"))</f>
        <v/>
      </c>
      <c r="B145" s="17" t="n"/>
      <c r="C145" s="18" t="n"/>
      <c r="D145" s="17" t="n"/>
      <c r="E145" s="17" t="n"/>
      <c r="F145" s="17" t="n"/>
      <c r="G145" s="19" t="n"/>
      <c r="H145" s="17" t="n"/>
      <c r="I145" s="18" t="n"/>
      <c r="J145" s="19" t="n"/>
      <c r="K145" s="17" t="n"/>
      <c r="L145" s="17" t="n"/>
      <c r="M145" s="17" t="n"/>
      <c r="N145" s="17" t="n"/>
      <c r="O145" s="17" t="n"/>
      <c r="P145" s="17" t="n"/>
      <c r="Q145" s="19" t="n"/>
      <c r="R145" s="19" t="n"/>
      <c r="S145" s="7">
        <f>IF(I145="","",IF(TODAY()&gt;=I145,"到期","未到期"))</f>
        <v/>
      </c>
    </row>
    <row r="146">
      <c r="A146" s="16">
        <f>IF(B146="","","V-"&amp;TEXT(ROW()-1,"000"))</f>
        <v/>
      </c>
      <c r="B146" s="17" t="n"/>
      <c r="C146" s="18" t="n"/>
      <c r="D146" s="17" t="n"/>
      <c r="E146" s="17" t="n"/>
      <c r="F146" s="17" t="n"/>
      <c r="G146" s="19" t="n"/>
      <c r="H146" s="17" t="n"/>
      <c r="I146" s="18" t="n"/>
      <c r="J146" s="19" t="n"/>
      <c r="K146" s="17" t="n"/>
      <c r="L146" s="17" t="n"/>
      <c r="M146" s="17" t="n"/>
      <c r="N146" s="17" t="n"/>
      <c r="O146" s="17" t="n"/>
      <c r="P146" s="17" t="n"/>
      <c r="Q146" s="19" t="n"/>
      <c r="R146" s="19" t="n"/>
      <c r="S146" s="7">
        <f>IF(I146="","",IF(TODAY()&gt;=I146,"到期","未到期"))</f>
        <v/>
      </c>
    </row>
    <row r="147">
      <c r="A147" s="16">
        <f>IF(B147="","","V-"&amp;TEXT(ROW()-1,"000"))</f>
        <v/>
      </c>
      <c r="B147" s="17" t="n"/>
      <c r="C147" s="18" t="n"/>
      <c r="D147" s="17" t="n"/>
      <c r="E147" s="17" t="n"/>
      <c r="F147" s="17" t="n"/>
      <c r="G147" s="19" t="n"/>
      <c r="H147" s="17" t="n"/>
      <c r="I147" s="18" t="n"/>
      <c r="J147" s="19" t="n"/>
      <c r="K147" s="17" t="n"/>
      <c r="L147" s="17" t="n"/>
      <c r="M147" s="17" t="n"/>
      <c r="N147" s="17" t="n"/>
      <c r="O147" s="17" t="n"/>
      <c r="P147" s="17" t="n"/>
      <c r="Q147" s="19" t="n"/>
      <c r="R147" s="19" t="n"/>
      <c r="S147" s="7">
        <f>IF(I147="","",IF(TODAY()&gt;=I147,"到期","未到期"))</f>
        <v/>
      </c>
    </row>
    <row r="148">
      <c r="A148" s="16">
        <f>IF(B148="","","V-"&amp;TEXT(ROW()-1,"000"))</f>
        <v/>
      </c>
      <c r="B148" s="17" t="n"/>
      <c r="C148" s="18" t="n"/>
      <c r="D148" s="17" t="n"/>
      <c r="E148" s="17" t="n"/>
      <c r="F148" s="17" t="n"/>
      <c r="G148" s="19" t="n"/>
      <c r="H148" s="17" t="n"/>
      <c r="I148" s="18" t="n"/>
      <c r="J148" s="19" t="n"/>
      <c r="K148" s="17" t="n"/>
      <c r="L148" s="17" t="n"/>
      <c r="M148" s="17" t="n"/>
      <c r="N148" s="17" t="n"/>
      <c r="O148" s="17" t="n"/>
      <c r="P148" s="17" t="n"/>
      <c r="Q148" s="19" t="n"/>
      <c r="R148" s="19" t="n"/>
      <c r="S148" s="7">
        <f>IF(I148="","",IF(TODAY()&gt;=I148,"到期","未到期"))</f>
        <v/>
      </c>
    </row>
    <row r="149">
      <c r="A149" s="16">
        <f>IF(B149="","","V-"&amp;TEXT(ROW()-1,"000"))</f>
        <v/>
      </c>
      <c r="B149" s="17" t="n"/>
      <c r="C149" s="18" t="n"/>
      <c r="D149" s="17" t="n"/>
      <c r="E149" s="17" t="n"/>
      <c r="F149" s="17" t="n"/>
      <c r="G149" s="19" t="n"/>
      <c r="H149" s="17" t="n"/>
      <c r="I149" s="18" t="n"/>
      <c r="J149" s="19" t="n"/>
      <c r="K149" s="17" t="n"/>
      <c r="L149" s="17" t="n"/>
      <c r="M149" s="17" t="n"/>
      <c r="N149" s="17" t="n"/>
      <c r="O149" s="17" t="n"/>
      <c r="P149" s="17" t="n"/>
      <c r="Q149" s="19" t="n"/>
      <c r="R149" s="19" t="n"/>
      <c r="S149" s="7">
        <f>IF(I149="","",IF(TODAY()&gt;=I149,"到期","未到期"))</f>
        <v/>
      </c>
    </row>
    <row r="150">
      <c r="A150" s="16">
        <f>IF(B150="","","V-"&amp;TEXT(ROW()-1,"000"))</f>
        <v/>
      </c>
      <c r="B150" s="17" t="n"/>
      <c r="C150" s="18" t="n"/>
      <c r="D150" s="17" t="n"/>
      <c r="E150" s="17" t="n"/>
      <c r="F150" s="17" t="n"/>
      <c r="G150" s="19" t="n"/>
      <c r="H150" s="17" t="n"/>
      <c r="I150" s="18" t="n"/>
      <c r="J150" s="19" t="n"/>
      <c r="K150" s="17" t="n"/>
      <c r="L150" s="17" t="n"/>
      <c r="M150" s="17" t="n"/>
      <c r="N150" s="17" t="n"/>
      <c r="O150" s="17" t="n"/>
      <c r="P150" s="17" t="n"/>
      <c r="Q150" s="19" t="n"/>
      <c r="R150" s="19" t="n"/>
      <c r="S150" s="7">
        <f>IF(I150="","",IF(TODAY()&gt;=I150,"到期","未到期"))</f>
        <v/>
      </c>
    </row>
    <row r="151">
      <c r="A151" s="16">
        <f>IF(B151="","","V-"&amp;TEXT(ROW()-1,"000"))</f>
        <v/>
      </c>
      <c r="B151" s="17" t="n"/>
      <c r="C151" s="18" t="n"/>
      <c r="D151" s="17" t="n"/>
      <c r="E151" s="17" t="n"/>
      <c r="F151" s="17" t="n"/>
      <c r="G151" s="19" t="n"/>
      <c r="H151" s="17" t="n"/>
      <c r="I151" s="18" t="n"/>
      <c r="J151" s="19" t="n"/>
      <c r="K151" s="17" t="n"/>
      <c r="L151" s="17" t="n"/>
      <c r="M151" s="17" t="n"/>
      <c r="N151" s="17" t="n"/>
      <c r="O151" s="17" t="n"/>
      <c r="P151" s="17" t="n"/>
      <c r="Q151" s="19" t="n"/>
      <c r="R151" s="19" t="n"/>
      <c r="S151" s="7">
        <f>IF(I151="","",IF(TODAY()&gt;=I151,"到期","未到期"))</f>
        <v/>
      </c>
    </row>
    <row r="152">
      <c r="A152" s="16">
        <f>IF(B152="","","V-"&amp;TEXT(ROW()-1,"000"))</f>
        <v/>
      </c>
      <c r="B152" s="17" t="n"/>
      <c r="C152" s="18" t="n"/>
      <c r="D152" s="17" t="n"/>
      <c r="E152" s="17" t="n"/>
      <c r="F152" s="17" t="n"/>
      <c r="G152" s="19" t="n"/>
      <c r="H152" s="17" t="n"/>
      <c r="I152" s="18" t="n"/>
      <c r="J152" s="19" t="n"/>
      <c r="K152" s="17" t="n"/>
      <c r="L152" s="17" t="n"/>
      <c r="M152" s="17" t="n"/>
      <c r="N152" s="17" t="n"/>
      <c r="O152" s="17" t="n"/>
      <c r="P152" s="17" t="n"/>
      <c r="Q152" s="19" t="n"/>
      <c r="R152" s="19" t="n"/>
      <c r="S152" s="7">
        <f>IF(I152="","",IF(TODAY()&gt;=I152,"到期","未到期"))</f>
        <v/>
      </c>
    </row>
    <row r="153">
      <c r="A153" s="16">
        <f>IF(B153="","","V-"&amp;TEXT(ROW()-1,"000"))</f>
        <v/>
      </c>
      <c r="B153" s="17" t="n"/>
      <c r="C153" s="18" t="n"/>
      <c r="D153" s="17" t="n"/>
      <c r="E153" s="17" t="n"/>
      <c r="F153" s="17" t="n"/>
      <c r="G153" s="19" t="n"/>
      <c r="H153" s="17" t="n"/>
      <c r="I153" s="18" t="n"/>
      <c r="J153" s="19" t="n"/>
      <c r="K153" s="17" t="n"/>
      <c r="L153" s="17" t="n"/>
      <c r="M153" s="17" t="n"/>
      <c r="N153" s="17" t="n"/>
      <c r="O153" s="17" t="n"/>
      <c r="P153" s="17" t="n"/>
      <c r="Q153" s="19" t="n"/>
      <c r="R153" s="19" t="n"/>
      <c r="S153" s="7">
        <f>IF(I153="","",IF(TODAY()&gt;=I153,"到期","未到期"))</f>
        <v/>
      </c>
    </row>
    <row r="154">
      <c r="A154" s="16">
        <f>IF(B154="","","V-"&amp;TEXT(ROW()-1,"000"))</f>
        <v/>
      </c>
      <c r="B154" s="17" t="n"/>
      <c r="C154" s="18" t="n"/>
      <c r="D154" s="17" t="n"/>
      <c r="E154" s="17" t="n"/>
      <c r="F154" s="17" t="n"/>
      <c r="G154" s="19" t="n"/>
      <c r="H154" s="17" t="n"/>
      <c r="I154" s="18" t="n"/>
      <c r="J154" s="19" t="n"/>
      <c r="K154" s="17" t="n"/>
      <c r="L154" s="17" t="n"/>
      <c r="M154" s="17" t="n"/>
      <c r="N154" s="17" t="n"/>
      <c r="O154" s="17" t="n"/>
      <c r="P154" s="17" t="n"/>
      <c r="Q154" s="19" t="n"/>
      <c r="R154" s="19" t="n"/>
      <c r="S154" s="7">
        <f>IF(I154="","",IF(TODAY()&gt;=I154,"到期","未到期"))</f>
        <v/>
      </c>
    </row>
    <row r="155">
      <c r="A155" s="16">
        <f>IF(B155="","","V-"&amp;TEXT(ROW()-1,"000"))</f>
        <v/>
      </c>
      <c r="B155" s="17" t="n"/>
      <c r="C155" s="18" t="n"/>
      <c r="D155" s="17" t="n"/>
      <c r="E155" s="17" t="n"/>
      <c r="F155" s="17" t="n"/>
      <c r="G155" s="19" t="n"/>
      <c r="H155" s="17" t="n"/>
      <c r="I155" s="18" t="n"/>
      <c r="J155" s="19" t="n"/>
      <c r="K155" s="17" t="n"/>
      <c r="L155" s="17" t="n"/>
      <c r="M155" s="17" t="n"/>
      <c r="N155" s="17" t="n"/>
      <c r="O155" s="17" t="n"/>
      <c r="P155" s="17" t="n"/>
      <c r="Q155" s="19" t="n"/>
      <c r="R155" s="19" t="n"/>
      <c r="S155" s="7">
        <f>IF(I155="","",IF(TODAY()&gt;=I155,"到期","未到期"))</f>
        <v/>
      </c>
    </row>
    <row r="156">
      <c r="A156" s="16">
        <f>IF(B156="","","V-"&amp;TEXT(ROW()-1,"000"))</f>
        <v/>
      </c>
      <c r="B156" s="17" t="n"/>
      <c r="C156" s="18" t="n"/>
      <c r="D156" s="17" t="n"/>
      <c r="E156" s="17" t="n"/>
      <c r="F156" s="17" t="n"/>
      <c r="G156" s="19" t="n"/>
      <c r="H156" s="17" t="n"/>
      <c r="I156" s="18" t="n"/>
      <c r="J156" s="19" t="n"/>
      <c r="K156" s="17" t="n"/>
      <c r="L156" s="17" t="n"/>
      <c r="M156" s="17" t="n"/>
      <c r="N156" s="17" t="n"/>
      <c r="O156" s="17" t="n"/>
      <c r="P156" s="17" t="n"/>
      <c r="Q156" s="19" t="n"/>
      <c r="R156" s="19" t="n"/>
      <c r="S156" s="7">
        <f>IF(I156="","",IF(TODAY()&gt;=I156,"到期","未到期"))</f>
        <v/>
      </c>
    </row>
    <row r="157">
      <c r="A157" s="16">
        <f>IF(B157="","","V-"&amp;TEXT(ROW()-1,"000"))</f>
        <v/>
      </c>
      <c r="B157" s="17" t="n"/>
      <c r="C157" s="18" t="n"/>
      <c r="D157" s="17" t="n"/>
      <c r="E157" s="17" t="n"/>
      <c r="F157" s="17" t="n"/>
      <c r="G157" s="19" t="n"/>
      <c r="H157" s="17" t="n"/>
      <c r="I157" s="18" t="n"/>
      <c r="J157" s="19" t="n"/>
      <c r="K157" s="17" t="n"/>
      <c r="L157" s="17" t="n"/>
      <c r="M157" s="17" t="n"/>
      <c r="N157" s="17" t="n"/>
      <c r="O157" s="17" t="n"/>
      <c r="P157" s="17" t="n"/>
      <c r="Q157" s="19" t="n"/>
      <c r="R157" s="19" t="n"/>
      <c r="S157" s="7">
        <f>IF(I157="","",IF(TODAY()&gt;=I157,"到期","未到期"))</f>
        <v/>
      </c>
    </row>
    <row r="158">
      <c r="A158" s="16">
        <f>IF(B158="","","V-"&amp;TEXT(ROW()-1,"000"))</f>
        <v/>
      </c>
      <c r="B158" s="17" t="n"/>
      <c r="C158" s="18" t="n"/>
      <c r="D158" s="17" t="n"/>
      <c r="E158" s="17" t="n"/>
      <c r="F158" s="17" t="n"/>
      <c r="G158" s="19" t="n"/>
      <c r="H158" s="17" t="n"/>
      <c r="I158" s="18" t="n"/>
      <c r="J158" s="19" t="n"/>
      <c r="K158" s="17" t="n"/>
      <c r="L158" s="17" t="n"/>
      <c r="M158" s="17" t="n"/>
      <c r="N158" s="17" t="n"/>
      <c r="O158" s="17" t="n"/>
      <c r="P158" s="17" t="n"/>
      <c r="Q158" s="19" t="n"/>
      <c r="R158" s="19" t="n"/>
      <c r="S158" s="7">
        <f>IF(I158="","",IF(TODAY()&gt;=I158,"到期","未到期"))</f>
        <v/>
      </c>
    </row>
    <row r="159">
      <c r="A159" s="16">
        <f>IF(B159="","","V-"&amp;TEXT(ROW()-1,"000"))</f>
        <v/>
      </c>
      <c r="B159" s="17" t="n"/>
      <c r="C159" s="18" t="n"/>
      <c r="D159" s="17" t="n"/>
      <c r="E159" s="17" t="n"/>
      <c r="F159" s="17" t="n"/>
      <c r="G159" s="19" t="n"/>
      <c r="H159" s="17" t="n"/>
      <c r="I159" s="18" t="n"/>
      <c r="J159" s="19" t="n"/>
      <c r="K159" s="17" t="n"/>
      <c r="L159" s="17" t="n"/>
      <c r="M159" s="17" t="n"/>
      <c r="N159" s="17" t="n"/>
      <c r="O159" s="17" t="n"/>
      <c r="P159" s="17" t="n"/>
      <c r="Q159" s="19" t="n"/>
      <c r="R159" s="19" t="n"/>
      <c r="S159" s="7">
        <f>IF(I159="","",IF(TODAY()&gt;=I159,"到期","未到期"))</f>
        <v/>
      </c>
    </row>
    <row r="160">
      <c r="A160" s="16">
        <f>IF(B160="","","V-"&amp;TEXT(ROW()-1,"000"))</f>
        <v/>
      </c>
      <c r="B160" s="17" t="n"/>
      <c r="C160" s="18" t="n"/>
      <c r="D160" s="17" t="n"/>
      <c r="E160" s="17" t="n"/>
      <c r="F160" s="17" t="n"/>
      <c r="G160" s="19" t="n"/>
      <c r="H160" s="17" t="n"/>
      <c r="I160" s="18" t="n"/>
      <c r="J160" s="19" t="n"/>
      <c r="K160" s="17" t="n"/>
      <c r="L160" s="17" t="n"/>
      <c r="M160" s="17" t="n"/>
      <c r="N160" s="17" t="n"/>
      <c r="O160" s="17" t="n"/>
      <c r="P160" s="17" t="n"/>
      <c r="Q160" s="19" t="n"/>
      <c r="R160" s="19" t="n"/>
      <c r="S160" s="7">
        <f>IF(I160="","",IF(TODAY()&gt;=I160,"到期","未到期"))</f>
        <v/>
      </c>
    </row>
    <row r="161">
      <c r="A161" s="16">
        <f>IF(B161="","","V-"&amp;TEXT(ROW()-1,"000"))</f>
        <v/>
      </c>
      <c r="B161" s="17" t="n"/>
      <c r="C161" s="18" t="n"/>
      <c r="D161" s="17" t="n"/>
      <c r="E161" s="17" t="n"/>
      <c r="F161" s="17" t="n"/>
      <c r="G161" s="19" t="n"/>
      <c r="H161" s="17" t="n"/>
      <c r="I161" s="18" t="n"/>
      <c r="J161" s="19" t="n"/>
      <c r="K161" s="17" t="n"/>
      <c r="L161" s="17" t="n"/>
      <c r="M161" s="17" t="n"/>
      <c r="N161" s="17" t="n"/>
      <c r="O161" s="17" t="n"/>
      <c r="P161" s="17" t="n"/>
      <c r="Q161" s="19" t="n"/>
      <c r="R161" s="19" t="n"/>
      <c r="S161" s="7">
        <f>IF(I161="","",IF(TODAY()&gt;=I161,"到期","未到期"))</f>
        <v/>
      </c>
    </row>
    <row r="162">
      <c r="A162" s="16">
        <f>IF(B162="","","V-"&amp;TEXT(ROW()-1,"000"))</f>
        <v/>
      </c>
      <c r="B162" s="17" t="n"/>
      <c r="C162" s="18" t="n"/>
      <c r="D162" s="17" t="n"/>
      <c r="E162" s="17" t="n"/>
      <c r="F162" s="17" t="n"/>
      <c r="G162" s="19" t="n"/>
      <c r="H162" s="17" t="n"/>
      <c r="I162" s="18" t="n"/>
      <c r="J162" s="19" t="n"/>
      <c r="K162" s="17" t="n"/>
      <c r="L162" s="17" t="n"/>
      <c r="M162" s="17" t="n"/>
      <c r="N162" s="17" t="n"/>
      <c r="O162" s="17" t="n"/>
      <c r="P162" s="17" t="n"/>
      <c r="Q162" s="19" t="n"/>
      <c r="R162" s="19" t="n"/>
      <c r="S162" s="7">
        <f>IF(I162="","",IF(TODAY()&gt;=I162,"到期","未到期"))</f>
        <v/>
      </c>
    </row>
    <row r="163">
      <c r="A163" s="16">
        <f>IF(B163="","","V-"&amp;TEXT(ROW()-1,"000"))</f>
        <v/>
      </c>
      <c r="B163" s="17" t="n"/>
      <c r="C163" s="18" t="n"/>
      <c r="D163" s="17" t="n"/>
      <c r="E163" s="17" t="n"/>
      <c r="F163" s="17" t="n"/>
      <c r="G163" s="19" t="n"/>
      <c r="H163" s="17" t="n"/>
      <c r="I163" s="18" t="n"/>
      <c r="J163" s="19" t="n"/>
      <c r="K163" s="17" t="n"/>
      <c r="L163" s="17" t="n"/>
      <c r="M163" s="17" t="n"/>
      <c r="N163" s="17" t="n"/>
      <c r="O163" s="17" t="n"/>
      <c r="P163" s="17" t="n"/>
      <c r="Q163" s="19" t="n"/>
      <c r="R163" s="19" t="n"/>
      <c r="S163" s="7">
        <f>IF(I163="","",IF(TODAY()&gt;=I163,"到期","未到期"))</f>
        <v/>
      </c>
    </row>
    <row r="164">
      <c r="A164" s="16">
        <f>IF(B164="","","V-"&amp;TEXT(ROW()-1,"000"))</f>
        <v/>
      </c>
      <c r="B164" s="17" t="n"/>
      <c r="C164" s="18" t="n"/>
      <c r="D164" s="17" t="n"/>
      <c r="E164" s="17" t="n"/>
      <c r="F164" s="17" t="n"/>
      <c r="G164" s="19" t="n"/>
      <c r="H164" s="17" t="n"/>
      <c r="I164" s="18" t="n"/>
      <c r="J164" s="19" t="n"/>
      <c r="K164" s="17" t="n"/>
      <c r="L164" s="17" t="n"/>
      <c r="M164" s="17" t="n"/>
      <c r="N164" s="17" t="n"/>
      <c r="O164" s="17" t="n"/>
      <c r="P164" s="17" t="n"/>
      <c r="Q164" s="19" t="n"/>
      <c r="R164" s="19" t="n"/>
      <c r="S164" s="7">
        <f>IF(I164="","",IF(TODAY()&gt;=I164,"到期","未到期"))</f>
        <v/>
      </c>
    </row>
    <row r="165">
      <c r="A165" s="16">
        <f>IF(B165="","","V-"&amp;TEXT(ROW()-1,"000"))</f>
        <v/>
      </c>
      <c r="B165" s="17" t="n"/>
      <c r="C165" s="18" t="n"/>
      <c r="D165" s="17" t="n"/>
      <c r="E165" s="17" t="n"/>
      <c r="F165" s="17" t="n"/>
      <c r="G165" s="19" t="n"/>
      <c r="H165" s="17" t="n"/>
      <c r="I165" s="18" t="n"/>
      <c r="J165" s="19" t="n"/>
      <c r="K165" s="17" t="n"/>
      <c r="L165" s="17" t="n"/>
      <c r="M165" s="17" t="n"/>
      <c r="N165" s="17" t="n"/>
      <c r="O165" s="17" t="n"/>
      <c r="P165" s="17" t="n"/>
      <c r="Q165" s="19" t="n"/>
      <c r="R165" s="19" t="n"/>
      <c r="S165" s="7">
        <f>IF(I165="","",IF(TODAY()&gt;=I165,"到期","未到期"))</f>
        <v/>
      </c>
    </row>
    <row r="166">
      <c r="A166" s="16">
        <f>IF(B166="","","V-"&amp;TEXT(ROW()-1,"000"))</f>
        <v/>
      </c>
      <c r="B166" s="17" t="n"/>
      <c r="C166" s="18" t="n"/>
      <c r="D166" s="17" t="n"/>
      <c r="E166" s="17" t="n"/>
      <c r="F166" s="17" t="n"/>
      <c r="G166" s="19" t="n"/>
      <c r="H166" s="17" t="n"/>
      <c r="I166" s="18" t="n"/>
      <c r="J166" s="19" t="n"/>
      <c r="K166" s="17" t="n"/>
      <c r="L166" s="17" t="n"/>
      <c r="M166" s="17" t="n"/>
      <c r="N166" s="17" t="n"/>
      <c r="O166" s="17" t="n"/>
      <c r="P166" s="17" t="n"/>
      <c r="Q166" s="19" t="n"/>
      <c r="R166" s="19" t="n"/>
      <c r="S166" s="7">
        <f>IF(I166="","",IF(TODAY()&gt;=I166,"到期","未到期"))</f>
        <v/>
      </c>
    </row>
    <row r="167">
      <c r="A167" s="16">
        <f>IF(B167="","","V-"&amp;TEXT(ROW()-1,"000"))</f>
        <v/>
      </c>
      <c r="B167" s="17" t="n"/>
      <c r="C167" s="18" t="n"/>
      <c r="D167" s="17" t="n"/>
      <c r="E167" s="17" t="n"/>
      <c r="F167" s="17" t="n"/>
      <c r="G167" s="19" t="n"/>
      <c r="H167" s="17" t="n"/>
      <c r="I167" s="18" t="n"/>
      <c r="J167" s="19" t="n"/>
      <c r="K167" s="17" t="n"/>
      <c r="L167" s="17" t="n"/>
      <c r="M167" s="17" t="n"/>
      <c r="N167" s="17" t="n"/>
      <c r="O167" s="17" t="n"/>
      <c r="P167" s="17" t="n"/>
      <c r="Q167" s="19" t="n"/>
      <c r="R167" s="19" t="n"/>
      <c r="S167" s="7">
        <f>IF(I167="","",IF(TODAY()&gt;=I167,"到期","未到期"))</f>
        <v/>
      </c>
    </row>
    <row r="168">
      <c r="A168" s="16">
        <f>IF(B168="","","V-"&amp;TEXT(ROW()-1,"000"))</f>
        <v/>
      </c>
      <c r="B168" s="17" t="n"/>
      <c r="C168" s="18" t="n"/>
      <c r="D168" s="17" t="n"/>
      <c r="E168" s="17" t="n"/>
      <c r="F168" s="17" t="n"/>
      <c r="G168" s="19" t="n"/>
      <c r="H168" s="17" t="n"/>
      <c r="I168" s="18" t="n"/>
      <c r="J168" s="19" t="n"/>
      <c r="K168" s="17" t="n"/>
      <c r="L168" s="17" t="n"/>
      <c r="M168" s="17" t="n"/>
      <c r="N168" s="17" t="n"/>
      <c r="O168" s="17" t="n"/>
      <c r="P168" s="17" t="n"/>
      <c r="Q168" s="19" t="n"/>
      <c r="R168" s="19" t="n"/>
      <c r="S168" s="7">
        <f>IF(I168="","",IF(TODAY()&gt;=I168,"到期","未到期"))</f>
        <v/>
      </c>
    </row>
    <row r="169">
      <c r="A169" s="16">
        <f>IF(B169="","","V-"&amp;TEXT(ROW()-1,"000"))</f>
        <v/>
      </c>
      <c r="B169" s="17" t="n"/>
      <c r="C169" s="18" t="n"/>
      <c r="D169" s="17" t="n"/>
      <c r="E169" s="17" t="n"/>
      <c r="F169" s="17" t="n"/>
      <c r="G169" s="19" t="n"/>
      <c r="H169" s="17" t="n"/>
      <c r="I169" s="18" t="n"/>
      <c r="J169" s="19" t="n"/>
      <c r="K169" s="17" t="n"/>
      <c r="L169" s="17" t="n"/>
      <c r="M169" s="17" t="n"/>
      <c r="N169" s="17" t="n"/>
      <c r="O169" s="17" t="n"/>
      <c r="P169" s="17" t="n"/>
      <c r="Q169" s="19" t="n"/>
      <c r="R169" s="19" t="n"/>
      <c r="S169" s="7">
        <f>IF(I169="","",IF(TODAY()&gt;=I169,"到期","未到期"))</f>
        <v/>
      </c>
    </row>
    <row r="170">
      <c r="A170" s="16">
        <f>IF(B170="","","V-"&amp;TEXT(ROW()-1,"000"))</f>
        <v/>
      </c>
      <c r="B170" s="17" t="n"/>
      <c r="C170" s="18" t="n"/>
      <c r="D170" s="17" t="n"/>
      <c r="E170" s="17" t="n"/>
      <c r="F170" s="17" t="n"/>
      <c r="G170" s="19" t="n"/>
      <c r="H170" s="17" t="n"/>
      <c r="I170" s="18" t="n"/>
      <c r="J170" s="19" t="n"/>
      <c r="K170" s="17" t="n"/>
      <c r="L170" s="17" t="n"/>
      <c r="M170" s="17" t="n"/>
      <c r="N170" s="17" t="n"/>
      <c r="O170" s="17" t="n"/>
      <c r="P170" s="17" t="n"/>
      <c r="Q170" s="19" t="n"/>
      <c r="R170" s="19" t="n"/>
      <c r="S170" s="7">
        <f>IF(I170="","",IF(TODAY()&gt;=I170,"到期","未到期"))</f>
        <v/>
      </c>
    </row>
    <row r="171">
      <c r="A171" s="16">
        <f>IF(B171="","","V-"&amp;TEXT(ROW()-1,"000"))</f>
        <v/>
      </c>
      <c r="B171" s="17" t="n"/>
      <c r="C171" s="18" t="n"/>
      <c r="D171" s="17" t="n"/>
      <c r="E171" s="17" t="n"/>
      <c r="F171" s="17" t="n"/>
      <c r="G171" s="19" t="n"/>
      <c r="H171" s="17" t="n"/>
      <c r="I171" s="18" t="n"/>
      <c r="J171" s="19" t="n"/>
      <c r="K171" s="17" t="n"/>
      <c r="L171" s="17" t="n"/>
      <c r="M171" s="17" t="n"/>
      <c r="N171" s="17" t="n"/>
      <c r="O171" s="17" t="n"/>
      <c r="P171" s="17" t="n"/>
      <c r="Q171" s="19" t="n"/>
      <c r="R171" s="19" t="n"/>
      <c r="S171" s="7">
        <f>IF(I171="","",IF(TODAY()&gt;=I171,"到期","未到期"))</f>
        <v/>
      </c>
    </row>
    <row r="172">
      <c r="A172" s="16">
        <f>IF(B172="","","V-"&amp;TEXT(ROW()-1,"000"))</f>
        <v/>
      </c>
      <c r="B172" s="17" t="n"/>
      <c r="C172" s="18" t="n"/>
      <c r="D172" s="17" t="n"/>
      <c r="E172" s="17" t="n"/>
      <c r="F172" s="17" t="n"/>
      <c r="G172" s="19" t="n"/>
      <c r="H172" s="17" t="n"/>
      <c r="I172" s="18" t="n"/>
      <c r="J172" s="19" t="n"/>
      <c r="K172" s="17" t="n"/>
      <c r="L172" s="17" t="n"/>
      <c r="M172" s="17" t="n"/>
      <c r="N172" s="17" t="n"/>
      <c r="O172" s="17" t="n"/>
      <c r="P172" s="17" t="n"/>
      <c r="Q172" s="19" t="n"/>
      <c r="R172" s="19" t="n"/>
      <c r="S172" s="7">
        <f>IF(I172="","",IF(TODAY()&gt;=I172,"到期","未到期"))</f>
        <v/>
      </c>
    </row>
    <row r="173">
      <c r="A173" s="16">
        <f>IF(B173="","","V-"&amp;TEXT(ROW()-1,"000"))</f>
        <v/>
      </c>
      <c r="B173" s="17" t="n"/>
      <c r="C173" s="18" t="n"/>
      <c r="D173" s="17" t="n"/>
      <c r="E173" s="17" t="n"/>
      <c r="F173" s="17" t="n"/>
      <c r="G173" s="19" t="n"/>
      <c r="H173" s="17" t="n"/>
      <c r="I173" s="18" t="n"/>
      <c r="J173" s="19" t="n"/>
      <c r="K173" s="17" t="n"/>
      <c r="L173" s="17" t="n"/>
      <c r="M173" s="17" t="n"/>
      <c r="N173" s="17" t="n"/>
      <c r="O173" s="17" t="n"/>
      <c r="P173" s="17" t="n"/>
      <c r="Q173" s="19" t="n"/>
      <c r="R173" s="19" t="n"/>
      <c r="S173" s="7">
        <f>IF(I173="","",IF(TODAY()&gt;=I173,"到期","未到期"))</f>
        <v/>
      </c>
    </row>
    <row r="174">
      <c r="A174" s="16">
        <f>IF(B174="","","V-"&amp;TEXT(ROW()-1,"000"))</f>
        <v/>
      </c>
      <c r="B174" s="17" t="n"/>
      <c r="C174" s="18" t="n"/>
      <c r="D174" s="17" t="n"/>
      <c r="E174" s="17" t="n"/>
      <c r="F174" s="17" t="n"/>
      <c r="G174" s="19" t="n"/>
      <c r="H174" s="17" t="n"/>
      <c r="I174" s="18" t="n"/>
      <c r="J174" s="19" t="n"/>
      <c r="K174" s="17" t="n"/>
      <c r="L174" s="17" t="n"/>
      <c r="M174" s="17" t="n"/>
      <c r="N174" s="17" t="n"/>
      <c r="O174" s="17" t="n"/>
      <c r="P174" s="17" t="n"/>
      <c r="Q174" s="19" t="n"/>
      <c r="R174" s="19" t="n"/>
      <c r="S174" s="7">
        <f>IF(I174="","",IF(TODAY()&gt;=I174,"到期","未到期"))</f>
        <v/>
      </c>
    </row>
    <row r="175">
      <c r="A175" s="16">
        <f>IF(B175="","","V-"&amp;TEXT(ROW()-1,"000"))</f>
        <v/>
      </c>
      <c r="B175" s="17" t="n"/>
      <c r="C175" s="18" t="n"/>
      <c r="D175" s="17" t="n"/>
      <c r="E175" s="17" t="n"/>
      <c r="F175" s="17" t="n"/>
      <c r="G175" s="19" t="n"/>
      <c r="H175" s="17" t="n"/>
      <c r="I175" s="18" t="n"/>
      <c r="J175" s="19" t="n"/>
      <c r="K175" s="17" t="n"/>
      <c r="L175" s="17" t="n"/>
      <c r="M175" s="17" t="n"/>
      <c r="N175" s="17" t="n"/>
      <c r="O175" s="17" t="n"/>
      <c r="P175" s="17" t="n"/>
      <c r="Q175" s="19" t="n"/>
      <c r="R175" s="19" t="n"/>
      <c r="S175" s="7">
        <f>IF(I175="","",IF(TODAY()&gt;=I175,"到期","未到期"))</f>
        <v/>
      </c>
    </row>
    <row r="176">
      <c r="A176" s="16">
        <f>IF(B176="","","V-"&amp;TEXT(ROW()-1,"000"))</f>
        <v/>
      </c>
      <c r="B176" s="17" t="n"/>
      <c r="C176" s="18" t="n"/>
      <c r="D176" s="17" t="n"/>
      <c r="E176" s="17" t="n"/>
      <c r="F176" s="17" t="n"/>
      <c r="G176" s="19" t="n"/>
      <c r="H176" s="17" t="n"/>
      <c r="I176" s="18" t="n"/>
      <c r="J176" s="19" t="n"/>
      <c r="K176" s="17" t="n"/>
      <c r="L176" s="17" t="n"/>
      <c r="M176" s="17" t="n"/>
      <c r="N176" s="17" t="n"/>
      <c r="O176" s="17" t="n"/>
      <c r="P176" s="17" t="n"/>
      <c r="Q176" s="19" t="n"/>
      <c r="R176" s="19" t="n"/>
      <c r="S176" s="7">
        <f>IF(I176="","",IF(TODAY()&gt;=I176,"到期","未到期"))</f>
        <v/>
      </c>
    </row>
    <row r="177">
      <c r="A177" s="16">
        <f>IF(B177="","","V-"&amp;TEXT(ROW()-1,"000"))</f>
        <v/>
      </c>
      <c r="B177" s="17" t="n"/>
      <c r="C177" s="18" t="n"/>
      <c r="D177" s="17" t="n"/>
      <c r="E177" s="17" t="n"/>
      <c r="F177" s="17" t="n"/>
      <c r="G177" s="19" t="n"/>
      <c r="H177" s="17" t="n"/>
      <c r="I177" s="18" t="n"/>
      <c r="J177" s="19" t="n"/>
      <c r="K177" s="17" t="n"/>
      <c r="L177" s="17" t="n"/>
      <c r="M177" s="17" t="n"/>
      <c r="N177" s="17" t="n"/>
      <c r="O177" s="17" t="n"/>
      <c r="P177" s="17" t="n"/>
      <c r="Q177" s="19" t="n"/>
      <c r="R177" s="19" t="n"/>
      <c r="S177" s="7">
        <f>IF(I177="","",IF(TODAY()&gt;=I177,"到期","未到期"))</f>
        <v/>
      </c>
    </row>
    <row r="178">
      <c r="A178" s="16">
        <f>IF(B178="","","V-"&amp;TEXT(ROW()-1,"000"))</f>
        <v/>
      </c>
      <c r="B178" s="17" t="n"/>
      <c r="C178" s="18" t="n"/>
      <c r="D178" s="17" t="n"/>
      <c r="E178" s="17" t="n"/>
      <c r="F178" s="17" t="n"/>
      <c r="G178" s="19" t="n"/>
      <c r="H178" s="17" t="n"/>
      <c r="I178" s="18" t="n"/>
      <c r="J178" s="19" t="n"/>
      <c r="K178" s="17" t="n"/>
      <c r="L178" s="17" t="n"/>
      <c r="M178" s="17" t="n"/>
      <c r="N178" s="17" t="n"/>
      <c r="O178" s="17" t="n"/>
      <c r="P178" s="17" t="n"/>
      <c r="Q178" s="19" t="n"/>
      <c r="R178" s="19" t="n"/>
      <c r="S178" s="7">
        <f>IF(I178="","",IF(TODAY()&gt;=I178,"到期","未到期"))</f>
        <v/>
      </c>
    </row>
    <row r="179">
      <c r="A179" s="16">
        <f>IF(B179="","","V-"&amp;TEXT(ROW()-1,"000"))</f>
        <v/>
      </c>
      <c r="B179" s="17" t="n"/>
      <c r="C179" s="18" t="n"/>
      <c r="D179" s="17" t="n"/>
      <c r="E179" s="17" t="n"/>
      <c r="F179" s="17" t="n"/>
      <c r="G179" s="19" t="n"/>
      <c r="H179" s="17" t="n"/>
      <c r="I179" s="18" t="n"/>
      <c r="J179" s="19" t="n"/>
      <c r="K179" s="17" t="n"/>
      <c r="L179" s="17" t="n"/>
      <c r="M179" s="17" t="n"/>
      <c r="N179" s="17" t="n"/>
      <c r="O179" s="17" t="n"/>
      <c r="P179" s="17" t="n"/>
      <c r="Q179" s="19" t="n"/>
      <c r="R179" s="19" t="n"/>
      <c r="S179" s="7">
        <f>IF(I179="","",IF(TODAY()&gt;=I179,"到期","未到期"))</f>
        <v/>
      </c>
    </row>
    <row r="180">
      <c r="A180" s="16">
        <f>IF(B180="","","V-"&amp;TEXT(ROW()-1,"000"))</f>
        <v/>
      </c>
      <c r="B180" s="17" t="n"/>
      <c r="C180" s="18" t="n"/>
      <c r="D180" s="17" t="n"/>
      <c r="E180" s="17" t="n"/>
      <c r="F180" s="17" t="n"/>
      <c r="G180" s="19" t="n"/>
      <c r="H180" s="17" t="n"/>
      <c r="I180" s="18" t="n"/>
      <c r="J180" s="19" t="n"/>
      <c r="K180" s="17" t="n"/>
      <c r="L180" s="17" t="n"/>
      <c r="M180" s="17" t="n"/>
      <c r="N180" s="17" t="n"/>
      <c r="O180" s="17" t="n"/>
      <c r="P180" s="17" t="n"/>
      <c r="Q180" s="19" t="n"/>
      <c r="R180" s="19" t="n"/>
      <c r="S180" s="7">
        <f>IF(I180="","",IF(TODAY()&gt;=I180,"到期","未到期"))</f>
        <v/>
      </c>
    </row>
    <row r="181">
      <c r="A181" s="16">
        <f>IF(B181="","","V-"&amp;TEXT(ROW()-1,"000"))</f>
        <v/>
      </c>
      <c r="B181" s="17" t="n"/>
      <c r="C181" s="18" t="n"/>
      <c r="D181" s="17" t="n"/>
      <c r="E181" s="17" t="n"/>
      <c r="F181" s="17" t="n"/>
      <c r="G181" s="19" t="n"/>
      <c r="H181" s="17" t="n"/>
      <c r="I181" s="18" t="n"/>
      <c r="J181" s="19" t="n"/>
      <c r="K181" s="17" t="n"/>
      <c r="L181" s="17" t="n"/>
      <c r="M181" s="17" t="n"/>
      <c r="N181" s="17" t="n"/>
      <c r="O181" s="17" t="n"/>
      <c r="P181" s="17" t="n"/>
      <c r="Q181" s="19" t="n"/>
      <c r="R181" s="19" t="n"/>
      <c r="S181" s="7">
        <f>IF(I181="","",IF(TODAY()&gt;=I181,"到期","未到期"))</f>
        <v/>
      </c>
    </row>
    <row r="182">
      <c r="A182" s="16">
        <f>IF(B182="","","V-"&amp;TEXT(ROW()-1,"000"))</f>
        <v/>
      </c>
      <c r="B182" s="17" t="n"/>
      <c r="C182" s="18" t="n"/>
      <c r="D182" s="17" t="n"/>
      <c r="E182" s="17" t="n"/>
      <c r="F182" s="17" t="n"/>
      <c r="G182" s="19" t="n"/>
      <c r="H182" s="17" t="n"/>
      <c r="I182" s="18" t="n"/>
      <c r="J182" s="19" t="n"/>
      <c r="K182" s="17" t="n"/>
      <c r="L182" s="17" t="n"/>
      <c r="M182" s="17" t="n"/>
      <c r="N182" s="17" t="n"/>
      <c r="O182" s="17" t="n"/>
      <c r="P182" s="17" t="n"/>
      <c r="Q182" s="19" t="n"/>
      <c r="R182" s="19" t="n"/>
      <c r="S182" s="7">
        <f>IF(I182="","",IF(TODAY()&gt;=I182,"到期","未到期"))</f>
        <v/>
      </c>
    </row>
    <row r="183">
      <c r="A183" s="16">
        <f>IF(B183="","","V-"&amp;TEXT(ROW()-1,"000"))</f>
        <v/>
      </c>
      <c r="B183" s="17" t="n"/>
      <c r="C183" s="18" t="n"/>
      <c r="D183" s="17" t="n"/>
      <c r="E183" s="17" t="n"/>
      <c r="F183" s="17" t="n"/>
      <c r="G183" s="19" t="n"/>
      <c r="H183" s="17" t="n"/>
      <c r="I183" s="18" t="n"/>
      <c r="J183" s="19" t="n"/>
      <c r="K183" s="17" t="n"/>
      <c r="L183" s="17" t="n"/>
      <c r="M183" s="17" t="n"/>
      <c r="N183" s="17" t="n"/>
      <c r="O183" s="17" t="n"/>
      <c r="P183" s="17" t="n"/>
      <c r="Q183" s="19" t="n"/>
      <c r="R183" s="19" t="n"/>
      <c r="S183" s="7">
        <f>IF(I183="","",IF(TODAY()&gt;=I183,"到期","未到期"))</f>
        <v/>
      </c>
    </row>
    <row r="184">
      <c r="A184" s="16">
        <f>IF(B184="","","V-"&amp;TEXT(ROW()-1,"000"))</f>
        <v/>
      </c>
      <c r="B184" s="17" t="n"/>
      <c r="C184" s="18" t="n"/>
      <c r="D184" s="17" t="n"/>
      <c r="E184" s="17" t="n"/>
      <c r="F184" s="17" t="n"/>
      <c r="G184" s="19" t="n"/>
      <c r="H184" s="17" t="n"/>
      <c r="I184" s="18" t="n"/>
      <c r="J184" s="19" t="n"/>
      <c r="K184" s="17" t="n"/>
      <c r="L184" s="17" t="n"/>
      <c r="M184" s="17" t="n"/>
      <c r="N184" s="17" t="n"/>
      <c r="O184" s="17" t="n"/>
      <c r="P184" s="17" t="n"/>
      <c r="Q184" s="19" t="n"/>
      <c r="R184" s="19" t="n"/>
      <c r="S184" s="7">
        <f>IF(I184="","",IF(TODAY()&gt;=I184,"到期","未到期"))</f>
        <v/>
      </c>
    </row>
    <row r="185">
      <c r="A185" s="16">
        <f>IF(B185="","","V-"&amp;TEXT(ROW()-1,"000"))</f>
        <v/>
      </c>
      <c r="B185" s="17" t="n"/>
      <c r="C185" s="18" t="n"/>
      <c r="D185" s="17" t="n"/>
      <c r="E185" s="17" t="n"/>
      <c r="F185" s="17" t="n"/>
      <c r="G185" s="19" t="n"/>
      <c r="H185" s="17" t="n"/>
      <c r="I185" s="18" t="n"/>
      <c r="J185" s="19" t="n"/>
      <c r="K185" s="17" t="n"/>
      <c r="L185" s="17" t="n"/>
      <c r="M185" s="17" t="n"/>
      <c r="N185" s="17" t="n"/>
      <c r="O185" s="17" t="n"/>
      <c r="P185" s="17" t="n"/>
      <c r="Q185" s="19" t="n"/>
      <c r="R185" s="19" t="n"/>
      <c r="S185" s="7">
        <f>IF(I185="","",IF(TODAY()&gt;=I185,"到期","未到期"))</f>
        <v/>
      </c>
    </row>
    <row r="186">
      <c r="A186" s="16">
        <f>IF(B186="","","V-"&amp;TEXT(ROW()-1,"000"))</f>
        <v/>
      </c>
      <c r="B186" s="17" t="n"/>
      <c r="C186" s="18" t="n"/>
      <c r="D186" s="17" t="n"/>
      <c r="E186" s="17" t="n"/>
      <c r="F186" s="17" t="n"/>
      <c r="G186" s="19" t="n"/>
      <c r="H186" s="17" t="n"/>
      <c r="I186" s="18" t="n"/>
      <c r="J186" s="19" t="n"/>
      <c r="K186" s="17" t="n"/>
      <c r="L186" s="17" t="n"/>
      <c r="M186" s="17" t="n"/>
      <c r="N186" s="17" t="n"/>
      <c r="O186" s="17" t="n"/>
      <c r="P186" s="17" t="n"/>
      <c r="Q186" s="19" t="n"/>
      <c r="R186" s="19" t="n"/>
      <c r="S186" s="7">
        <f>IF(I186="","",IF(TODAY()&gt;=I186,"到期","未到期"))</f>
        <v/>
      </c>
    </row>
    <row r="187">
      <c r="A187" s="16">
        <f>IF(B187="","","V-"&amp;TEXT(ROW()-1,"000"))</f>
        <v/>
      </c>
      <c r="B187" s="17" t="n"/>
      <c r="C187" s="18" t="n"/>
      <c r="D187" s="17" t="n"/>
      <c r="E187" s="17" t="n"/>
      <c r="F187" s="17" t="n"/>
      <c r="G187" s="19" t="n"/>
      <c r="H187" s="17" t="n"/>
      <c r="I187" s="18" t="n"/>
      <c r="J187" s="19" t="n"/>
      <c r="K187" s="17" t="n"/>
      <c r="L187" s="17" t="n"/>
      <c r="M187" s="17" t="n"/>
      <c r="N187" s="17" t="n"/>
      <c r="O187" s="17" t="n"/>
      <c r="P187" s="17" t="n"/>
      <c r="Q187" s="19" t="n"/>
      <c r="R187" s="19" t="n"/>
      <c r="S187" s="7">
        <f>IF(I187="","",IF(TODAY()&gt;=I187,"到期","未到期"))</f>
        <v/>
      </c>
    </row>
    <row r="188">
      <c r="A188" s="16">
        <f>IF(B188="","","V-"&amp;TEXT(ROW()-1,"000"))</f>
        <v/>
      </c>
      <c r="B188" s="17" t="n"/>
      <c r="C188" s="18" t="n"/>
      <c r="D188" s="17" t="n"/>
      <c r="E188" s="17" t="n"/>
      <c r="F188" s="17" t="n"/>
      <c r="G188" s="19" t="n"/>
      <c r="H188" s="17" t="n"/>
      <c r="I188" s="18" t="n"/>
      <c r="J188" s="19" t="n"/>
      <c r="K188" s="17" t="n"/>
      <c r="L188" s="17" t="n"/>
      <c r="M188" s="17" t="n"/>
      <c r="N188" s="17" t="n"/>
      <c r="O188" s="17" t="n"/>
      <c r="P188" s="17" t="n"/>
      <c r="Q188" s="19" t="n"/>
      <c r="R188" s="19" t="n"/>
      <c r="S188" s="7">
        <f>IF(I188="","",IF(TODAY()&gt;=I188,"到期","未到期"))</f>
        <v/>
      </c>
    </row>
    <row r="189">
      <c r="A189" s="16">
        <f>IF(B189="","","V-"&amp;TEXT(ROW()-1,"000"))</f>
        <v/>
      </c>
      <c r="B189" s="17" t="n"/>
      <c r="C189" s="18" t="n"/>
      <c r="D189" s="17" t="n"/>
      <c r="E189" s="17" t="n"/>
      <c r="F189" s="17" t="n"/>
      <c r="G189" s="19" t="n"/>
      <c r="H189" s="17" t="n"/>
      <c r="I189" s="18" t="n"/>
      <c r="J189" s="19" t="n"/>
      <c r="K189" s="17" t="n"/>
      <c r="L189" s="17" t="n"/>
      <c r="M189" s="17" t="n"/>
      <c r="N189" s="17" t="n"/>
      <c r="O189" s="17" t="n"/>
      <c r="P189" s="17" t="n"/>
      <c r="Q189" s="19" t="n"/>
      <c r="R189" s="19" t="n"/>
      <c r="S189" s="7">
        <f>IF(I189="","",IF(TODAY()&gt;=I189,"到期","未到期"))</f>
        <v/>
      </c>
    </row>
    <row r="190">
      <c r="A190" s="16">
        <f>IF(B190="","","V-"&amp;TEXT(ROW()-1,"000"))</f>
        <v/>
      </c>
      <c r="B190" s="17" t="n"/>
      <c r="C190" s="18" t="n"/>
      <c r="D190" s="17" t="n"/>
      <c r="E190" s="17" t="n"/>
      <c r="F190" s="17" t="n"/>
      <c r="G190" s="19" t="n"/>
      <c r="H190" s="17" t="n"/>
      <c r="I190" s="18" t="n"/>
      <c r="J190" s="19" t="n"/>
      <c r="K190" s="17" t="n"/>
      <c r="L190" s="17" t="n"/>
      <c r="M190" s="17" t="n"/>
      <c r="N190" s="17" t="n"/>
      <c r="O190" s="17" t="n"/>
      <c r="P190" s="17" t="n"/>
      <c r="Q190" s="19" t="n"/>
      <c r="R190" s="19" t="n"/>
      <c r="S190" s="7">
        <f>IF(I190="","",IF(TODAY()&gt;=I190,"到期","未到期"))</f>
        <v/>
      </c>
    </row>
    <row r="191">
      <c r="A191" s="16">
        <f>IF(B191="","","V-"&amp;TEXT(ROW()-1,"000"))</f>
        <v/>
      </c>
      <c r="B191" s="17" t="n"/>
      <c r="C191" s="18" t="n"/>
      <c r="D191" s="17" t="n"/>
      <c r="E191" s="17" t="n"/>
      <c r="F191" s="17" t="n"/>
      <c r="G191" s="19" t="n"/>
      <c r="H191" s="17" t="n"/>
      <c r="I191" s="18" t="n"/>
      <c r="J191" s="19" t="n"/>
      <c r="K191" s="17" t="n"/>
      <c r="L191" s="17" t="n"/>
      <c r="M191" s="17" t="n"/>
      <c r="N191" s="17" t="n"/>
      <c r="O191" s="17" t="n"/>
      <c r="P191" s="17" t="n"/>
      <c r="Q191" s="19" t="n"/>
      <c r="R191" s="19" t="n"/>
      <c r="S191" s="7">
        <f>IF(I191="","",IF(TODAY()&gt;=I191,"到期","未到期"))</f>
        <v/>
      </c>
    </row>
    <row r="192">
      <c r="A192" s="16">
        <f>IF(B192="","","V-"&amp;TEXT(ROW()-1,"000"))</f>
        <v/>
      </c>
      <c r="B192" s="17" t="n"/>
      <c r="C192" s="18" t="n"/>
      <c r="D192" s="17" t="n"/>
      <c r="E192" s="17" t="n"/>
      <c r="F192" s="17" t="n"/>
      <c r="G192" s="19" t="n"/>
      <c r="H192" s="17" t="n"/>
      <c r="I192" s="18" t="n"/>
      <c r="J192" s="19" t="n"/>
      <c r="K192" s="17" t="n"/>
      <c r="L192" s="17" t="n"/>
      <c r="M192" s="17" t="n"/>
      <c r="N192" s="17" t="n"/>
      <c r="O192" s="17" t="n"/>
      <c r="P192" s="17" t="n"/>
      <c r="Q192" s="19" t="n"/>
      <c r="R192" s="19" t="n"/>
      <c r="S192" s="7">
        <f>IF(I192="","",IF(TODAY()&gt;=I192,"到期","未到期"))</f>
        <v/>
      </c>
    </row>
    <row r="193">
      <c r="A193" s="16">
        <f>IF(B193="","","V-"&amp;TEXT(ROW()-1,"000"))</f>
        <v/>
      </c>
      <c r="B193" s="17" t="n"/>
      <c r="C193" s="18" t="n"/>
      <c r="D193" s="17" t="n"/>
      <c r="E193" s="17" t="n"/>
      <c r="F193" s="17" t="n"/>
      <c r="G193" s="19" t="n"/>
      <c r="H193" s="17" t="n"/>
      <c r="I193" s="18" t="n"/>
      <c r="J193" s="19" t="n"/>
      <c r="K193" s="17" t="n"/>
      <c r="L193" s="17" t="n"/>
      <c r="M193" s="17" t="n"/>
      <c r="N193" s="17" t="n"/>
      <c r="O193" s="17" t="n"/>
      <c r="P193" s="17" t="n"/>
      <c r="Q193" s="19" t="n"/>
      <c r="R193" s="19" t="n"/>
      <c r="S193" s="7">
        <f>IF(I193="","",IF(TODAY()&gt;=I193,"到期","未到期"))</f>
        <v/>
      </c>
    </row>
    <row r="194">
      <c r="A194" s="16">
        <f>IF(B194="","","V-"&amp;TEXT(ROW()-1,"000"))</f>
        <v/>
      </c>
      <c r="B194" s="17" t="n"/>
      <c r="C194" s="18" t="n"/>
      <c r="D194" s="17" t="n"/>
      <c r="E194" s="17" t="n"/>
      <c r="F194" s="17" t="n"/>
      <c r="G194" s="19" t="n"/>
      <c r="H194" s="17" t="n"/>
      <c r="I194" s="18" t="n"/>
      <c r="J194" s="19" t="n"/>
      <c r="K194" s="17" t="n"/>
      <c r="L194" s="17" t="n"/>
      <c r="M194" s="17" t="n"/>
      <c r="N194" s="17" t="n"/>
      <c r="O194" s="17" t="n"/>
      <c r="P194" s="17" t="n"/>
      <c r="Q194" s="19" t="n"/>
      <c r="R194" s="19" t="n"/>
      <c r="S194" s="7">
        <f>IF(I194="","",IF(TODAY()&gt;=I194,"到期","未到期"))</f>
        <v/>
      </c>
    </row>
    <row r="195">
      <c r="A195" s="16">
        <f>IF(B195="","","V-"&amp;TEXT(ROW()-1,"000"))</f>
        <v/>
      </c>
      <c r="B195" s="17" t="n"/>
      <c r="C195" s="18" t="n"/>
      <c r="D195" s="17" t="n"/>
      <c r="E195" s="17" t="n"/>
      <c r="F195" s="17" t="n"/>
      <c r="G195" s="19" t="n"/>
      <c r="H195" s="17" t="n"/>
      <c r="I195" s="18" t="n"/>
      <c r="J195" s="19" t="n"/>
      <c r="K195" s="17" t="n"/>
      <c r="L195" s="17" t="n"/>
      <c r="M195" s="17" t="n"/>
      <c r="N195" s="17" t="n"/>
      <c r="O195" s="17" t="n"/>
      <c r="P195" s="17" t="n"/>
      <c r="Q195" s="19" t="n"/>
      <c r="R195" s="19" t="n"/>
      <c r="S195" s="7">
        <f>IF(I195="","",IF(TODAY()&gt;=I195,"到期","未到期"))</f>
        <v/>
      </c>
    </row>
    <row r="196">
      <c r="A196" s="16">
        <f>IF(B196="","","V-"&amp;TEXT(ROW()-1,"000"))</f>
        <v/>
      </c>
      <c r="B196" s="17" t="n"/>
      <c r="C196" s="18" t="n"/>
      <c r="D196" s="17" t="n"/>
      <c r="E196" s="17" t="n"/>
      <c r="F196" s="17" t="n"/>
      <c r="G196" s="19" t="n"/>
      <c r="H196" s="17" t="n"/>
      <c r="I196" s="18" t="n"/>
      <c r="J196" s="19" t="n"/>
      <c r="K196" s="17" t="n"/>
      <c r="L196" s="17" t="n"/>
      <c r="M196" s="17" t="n"/>
      <c r="N196" s="17" t="n"/>
      <c r="O196" s="17" t="n"/>
      <c r="P196" s="17" t="n"/>
      <c r="Q196" s="19" t="n"/>
      <c r="R196" s="19" t="n"/>
      <c r="S196" s="7">
        <f>IF(I196="","",IF(TODAY()&gt;=I196,"到期","未到期"))</f>
        <v/>
      </c>
    </row>
    <row r="197">
      <c r="A197" s="16">
        <f>IF(B197="","","V-"&amp;TEXT(ROW()-1,"000"))</f>
        <v/>
      </c>
      <c r="B197" s="17" t="n"/>
      <c r="C197" s="18" t="n"/>
      <c r="D197" s="17" t="n"/>
      <c r="E197" s="17" t="n"/>
      <c r="F197" s="17" t="n"/>
      <c r="G197" s="19" t="n"/>
      <c r="H197" s="17" t="n"/>
      <c r="I197" s="18" t="n"/>
      <c r="J197" s="19" t="n"/>
      <c r="K197" s="17" t="n"/>
      <c r="L197" s="17" t="n"/>
      <c r="M197" s="17" t="n"/>
      <c r="N197" s="17" t="n"/>
      <c r="O197" s="17" t="n"/>
      <c r="P197" s="17" t="n"/>
      <c r="Q197" s="19" t="n"/>
      <c r="R197" s="19" t="n"/>
      <c r="S197" s="7">
        <f>IF(I197="","",IF(TODAY()&gt;=I197,"到期","未到期"))</f>
        <v/>
      </c>
    </row>
    <row r="198">
      <c r="A198" s="16">
        <f>IF(B198="","","V-"&amp;TEXT(ROW()-1,"000"))</f>
        <v/>
      </c>
      <c r="B198" s="17" t="n"/>
      <c r="C198" s="18" t="n"/>
      <c r="D198" s="17" t="n"/>
      <c r="E198" s="17" t="n"/>
      <c r="F198" s="17" t="n"/>
      <c r="G198" s="19" t="n"/>
      <c r="H198" s="17" t="n"/>
      <c r="I198" s="18" t="n"/>
      <c r="J198" s="19" t="n"/>
      <c r="K198" s="17" t="n"/>
      <c r="L198" s="17" t="n"/>
      <c r="M198" s="17" t="n"/>
      <c r="N198" s="17" t="n"/>
      <c r="O198" s="17" t="n"/>
      <c r="P198" s="17" t="n"/>
      <c r="Q198" s="19" t="n"/>
      <c r="R198" s="19" t="n"/>
      <c r="S198" s="7">
        <f>IF(I198="","",IF(TODAY()&gt;=I198,"到期","未到期"))</f>
        <v/>
      </c>
    </row>
    <row r="199">
      <c r="A199" s="16">
        <f>IF(B199="","","V-"&amp;TEXT(ROW()-1,"000"))</f>
        <v/>
      </c>
      <c r="B199" s="17" t="n"/>
      <c r="C199" s="18" t="n"/>
      <c r="D199" s="17" t="n"/>
      <c r="E199" s="17" t="n"/>
      <c r="F199" s="17" t="n"/>
      <c r="G199" s="19" t="n"/>
      <c r="H199" s="17" t="n"/>
      <c r="I199" s="18" t="n"/>
      <c r="J199" s="19" t="n"/>
      <c r="K199" s="17" t="n"/>
      <c r="L199" s="17" t="n"/>
      <c r="M199" s="17" t="n"/>
      <c r="N199" s="17" t="n"/>
      <c r="O199" s="17" t="n"/>
      <c r="P199" s="17" t="n"/>
      <c r="Q199" s="19" t="n"/>
      <c r="R199" s="19" t="n"/>
      <c r="S199" s="7">
        <f>IF(I199="","",IF(TODAY()&gt;=I199,"到期","未到期"))</f>
        <v/>
      </c>
    </row>
    <row r="200">
      <c r="A200" s="16">
        <f>IF(B200="","","V-"&amp;TEXT(ROW()-1,"000"))</f>
        <v/>
      </c>
      <c r="B200" s="17" t="n"/>
      <c r="C200" s="18" t="n"/>
      <c r="D200" s="17" t="n"/>
      <c r="E200" s="17" t="n"/>
      <c r="F200" s="17" t="n"/>
      <c r="G200" s="19" t="n"/>
      <c r="H200" s="17" t="n"/>
      <c r="I200" s="18" t="n"/>
      <c r="J200" s="19" t="n"/>
      <c r="K200" s="17" t="n"/>
      <c r="L200" s="17" t="n"/>
      <c r="M200" s="17" t="n"/>
      <c r="N200" s="17" t="n"/>
      <c r="O200" s="17" t="n"/>
      <c r="P200" s="17" t="n"/>
      <c r="Q200" s="19" t="n"/>
      <c r="R200" s="19" t="n"/>
      <c r="S200" s="7">
        <f>IF(I200="","",IF(TODAY()&gt;=I200,"到期","未到期"))</f>
        <v/>
      </c>
    </row>
    <row r="201">
      <c r="A201" s="16">
        <f>IF(B201="","","V-"&amp;TEXT(ROW()-1,"000"))</f>
        <v/>
      </c>
      <c r="B201" s="17" t="n"/>
      <c r="C201" s="18" t="n"/>
      <c r="D201" s="17" t="n"/>
      <c r="E201" s="17" t="n"/>
      <c r="F201" s="17" t="n"/>
      <c r="G201" s="19" t="n"/>
      <c r="H201" s="17" t="n"/>
      <c r="I201" s="18" t="n"/>
      <c r="J201" s="19" t="n"/>
      <c r="K201" s="17" t="n"/>
      <c r="L201" s="17" t="n"/>
      <c r="M201" s="17" t="n"/>
      <c r="N201" s="17" t="n"/>
      <c r="O201" s="17" t="n"/>
      <c r="P201" s="17" t="n"/>
      <c r="Q201" s="19" t="n"/>
      <c r="R201" s="19" t="n"/>
      <c r="S201" s="7">
        <f>IF(I201="","",IF(TODAY()&gt;=I201,"到期","未到期"))</f>
        <v/>
      </c>
    </row>
    <row r="202">
      <c r="A202" s="16">
        <f>IF(B202="","","V-"&amp;TEXT(ROW()-1,"000"))</f>
        <v/>
      </c>
      <c r="B202" s="17" t="n"/>
      <c r="C202" s="18" t="n"/>
      <c r="D202" s="17" t="n"/>
      <c r="E202" s="17" t="n"/>
      <c r="F202" s="17" t="n"/>
      <c r="G202" s="19" t="n"/>
      <c r="H202" s="17" t="n"/>
      <c r="I202" s="18" t="n"/>
      <c r="J202" s="19" t="n"/>
      <c r="K202" s="17" t="n"/>
      <c r="L202" s="17" t="n"/>
      <c r="M202" s="17" t="n"/>
      <c r="N202" s="17" t="n"/>
      <c r="O202" s="17" t="n"/>
      <c r="P202" s="17" t="n"/>
      <c r="Q202" s="19" t="n"/>
      <c r="R202" s="19" t="n"/>
      <c r="S202" s="7">
        <f>IF(I202="","",IF(TODAY()&gt;=I202,"到期","未到期"))</f>
        <v/>
      </c>
    </row>
    <row r="203">
      <c r="A203" s="16">
        <f>IF(B203="","","V-"&amp;TEXT(ROW()-1,"000"))</f>
        <v/>
      </c>
      <c r="B203" s="17" t="n"/>
      <c r="C203" s="18" t="n"/>
      <c r="D203" s="17" t="n"/>
      <c r="E203" s="17" t="n"/>
      <c r="F203" s="17" t="n"/>
      <c r="G203" s="19" t="n"/>
      <c r="H203" s="17" t="n"/>
      <c r="I203" s="18" t="n"/>
      <c r="J203" s="19" t="n"/>
      <c r="K203" s="17" t="n"/>
      <c r="L203" s="17" t="n"/>
      <c r="M203" s="17" t="n"/>
      <c r="N203" s="17" t="n"/>
      <c r="O203" s="17" t="n"/>
      <c r="P203" s="17" t="n"/>
      <c r="Q203" s="19" t="n"/>
      <c r="R203" s="19" t="n"/>
      <c r="S203" s="7">
        <f>IF(I203="","",IF(TODAY()&gt;=I203,"到期","未到期"))</f>
        <v/>
      </c>
    </row>
    <row r="204">
      <c r="A204" s="16">
        <f>IF(B204="","","V-"&amp;TEXT(ROW()-1,"000"))</f>
        <v/>
      </c>
      <c r="B204" s="17" t="n"/>
      <c r="C204" s="18" t="n"/>
      <c r="D204" s="17" t="n"/>
      <c r="E204" s="17" t="n"/>
      <c r="F204" s="17" t="n"/>
      <c r="G204" s="19" t="n"/>
      <c r="H204" s="17" t="n"/>
      <c r="I204" s="18" t="n"/>
      <c r="J204" s="19" t="n"/>
      <c r="K204" s="17" t="n"/>
      <c r="L204" s="17" t="n"/>
      <c r="M204" s="17" t="n"/>
      <c r="N204" s="17" t="n"/>
      <c r="O204" s="17" t="n"/>
      <c r="P204" s="17" t="n"/>
      <c r="Q204" s="19" t="n"/>
      <c r="R204" s="19" t="n"/>
      <c r="S204" s="7">
        <f>IF(I204="","",IF(TODAY()&gt;=I204,"到期","未到期"))</f>
        <v/>
      </c>
    </row>
    <row r="205">
      <c r="A205" s="16">
        <f>IF(B205="","","V-"&amp;TEXT(ROW()-1,"000"))</f>
        <v/>
      </c>
      <c r="B205" s="17" t="n"/>
      <c r="C205" s="18" t="n"/>
      <c r="D205" s="17" t="n"/>
      <c r="E205" s="17" t="n"/>
      <c r="F205" s="17" t="n"/>
      <c r="G205" s="19" t="n"/>
      <c r="H205" s="17" t="n"/>
      <c r="I205" s="18" t="n"/>
      <c r="J205" s="19" t="n"/>
      <c r="K205" s="17" t="n"/>
      <c r="L205" s="17" t="n"/>
      <c r="M205" s="17" t="n"/>
      <c r="N205" s="17" t="n"/>
      <c r="O205" s="17" t="n"/>
      <c r="P205" s="17" t="n"/>
      <c r="Q205" s="19" t="n"/>
      <c r="R205" s="19" t="n"/>
      <c r="S205" s="7">
        <f>IF(I205="","",IF(TODAY()&gt;=I205,"到期","未到期"))</f>
        <v/>
      </c>
    </row>
    <row r="206">
      <c r="A206" s="16">
        <f>IF(B206="","","V-"&amp;TEXT(ROW()-1,"000"))</f>
        <v/>
      </c>
      <c r="B206" s="17" t="n"/>
      <c r="C206" s="18" t="n"/>
      <c r="D206" s="17" t="n"/>
      <c r="E206" s="17" t="n"/>
      <c r="F206" s="17" t="n"/>
      <c r="G206" s="19" t="n"/>
      <c r="H206" s="17" t="n"/>
      <c r="I206" s="18" t="n"/>
      <c r="J206" s="19" t="n"/>
      <c r="K206" s="17" t="n"/>
      <c r="L206" s="17" t="n"/>
      <c r="M206" s="17" t="n"/>
      <c r="N206" s="17" t="n"/>
      <c r="O206" s="17" t="n"/>
      <c r="P206" s="17" t="n"/>
      <c r="Q206" s="19" t="n"/>
      <c r="R206" s="19" t="n"/>
      <c r="S206" s="7">
        <f>IF(I206="","",IF(TODAY()&gt;=I206,"到期","未到期"))</f>
        <v/>
      </c>
    </row>
    <row r="207">
      <c r="A207" s="16">
        <f>IF(B207="","","V-"&amp;TEXT(ROW()-1,"000"))</f>
        <v/>
      </c>
      <c r="B207" s="17" t="n"/>
      <c r="C207" s="18" t="n"/>
      <c r="D207" s="17" t="n"/>
      <c r="E207" s="17" t="n"/>
      <c r="F207" s="17" t="n"/>
      <c r="G207" s="19" t="n"/>
      <c r="H207" s="17" t="n"/>
      <c r="I207" s="18" t="n"/>
      <c r="J207" s="19" t="n"/>
      <c r="K207" s="17" t="n"/>
      <c r="L207" s="17" t="n"/>
      <c r="M207" s="17" t="n"/>
      <c r="N207" s="17" t="n"/>
      <c r="O207" s="17" t="n"/>
      <c r="P207" s="17" t="n"/>
      <c r="Q207" s="19" t="n"/>
      <c r="R207" s="19" t="n"/>
      <c r="S207" s="7">
        <f>IF(I207="","",IF(TODAY()&gt;=I207,"到期","未到期"))</f>
        <v/>
      </c>
    </row>
    <row r="208">
      <c r="A208" s="16">
        <f>IF(B208="","","V-"&amp;TEXT(ROW()-1,"000"))</f>
        <v/>
      </c>
      <c r="B208" s="17" t="n"/>
      <c r="C208" s="18" t="n"/>
      <c r="D208" s="17" t="n"/>
      <c r="E208" s="17" t="n"/>
      <c r="F208" s="17" t="n"/>
      <c r="G208" s="19" t="n"/>
      <c r="H208" s="17" t="n"/>
      <c r="I208" s="18" t="n"/>
      <c r="J208" s="19" t="n"/>
      <c r="K208" s="17" t="n"/>
      <c r="L208" s="17" t="n"/>
      <c r="M208" s="17" t="n"/>
      <c r="N208" s="17" t="n"/>
      <c r="O208" s="17" t="n"/>
      <c r="P208" s="17" t="n"/>
      <c r="Q208" s="19" t="n"/>
      <c r="R208" s="19" t="n"/>
      <c r="S208" s="7">
        <f>IF(I208="","",IF(TODAY()&gt;=I208,"到期","未到期"))</f>
        <v/>
      </c>
    </row>
    <row r="209">
      <c r="A209" s="16">
        <f>IF(B209="","","V-"&amp;TEXT(ROW()-1,"000"))</f>
        <v/>
      </c>
      <c r="B209" s="17" t="n"/>
      <c r="C209" s="18" t="n"/>
      <c r="D209" s="17" t="n"/>
      <c r="E209" s="17" t="n"/>
      <c r="F209" s="17" t="n"/>
      <c r="G209" s="19" t="n"/>
      <c r="H209" s="17" t="n"/>
      <c r="I209" s="18" t="n"/>
      <c r="J209" s="19" t="n"/>
      <c r="K209" s="17" t="n"/>
      <c r="L209" s="17" t="n"/>
      <c r="M209" s="17" t="n"/>
      <c r="N209" s="17" t="n"/>
      <c r="O209" s="17" t="n"/>
      <c r="P209" s="17" t="n"/>
      <c r="Q209" s="19" t="n"/>
      <c r="R209" s="19" t="n"/>
      <c r="S209" s="7">
        <f>IF(I209="","",IF(TODAY()&gt;=I209,"到期","未到期"))</f>
        <v/>
      </c>
    </row>
    <row r="210">
      <c r="A210" s="16">
        <f>IF(B210="","","V-"&amp;TEXT(ROW()-1,"000"))</f>
        <v/>
      </c>
      <c r="B210" s="17" t="n"/>
      <c r="C210" s="18" t="n"/>
      <c r="D210" s="17" t="n"/>
      <c r="E210" s="17" t="n"/>
      <c r="F210" s="17" t="n"/>
      <c r="G210" s="19" t="n"/>
      <c r="H210" s="17" t="n"/>
      <c r="I210" s="18" t="n"/>
      <c r="J210" s="19" t="n"/>
      <c r="K210" s="17" t="n"/>
      <c r="L210" s="17" t="n"/>
      <c r="M210" s="17" t="n"/>
      <c r="N210" s="17" t="n"/>
      <c r="O210" s="17" t="n"/>
      <c r="P210" s="17" t="n"/>
      <c r="Q210" s="19" t="n"/>
      <c r="R210" s="19" t="n"/>
      <c r="S210" s="7">
        <f>IF(I210="","",IF(TODAY()&gt;=I210,"到期","未到期"))</f>
        <v/>
      </c>
    </row>
    <row r="211">
      <c r="A211" s="16">
        <f>IF(B211="","","V-"&amp;TEXT(ROW()-1,"000"))</f>
        <v/>
      </c>
      <c r="B211" s="17" t="n"/>
      <c r="C211" s="18" t="n"/>
      <c r="D211" s="17" t="n"/>
      <c r="E211" s="17" t="n"/>
      <c r="F211" s="17" t="n"/>
      <c r="G211" s="19" t="n"/>
      <c r="H211" s="17" t="n"/>
      <c r="I211" s="18" t="n"/>
      <c r="J211" s="19" t="n"/>
      <c r="K211" s="17" t="n"/>
      <c r="L211" s="17" t="n"/>
      <c r="M211" s="17" t="n"/>
      <c r="N211" s="17" t="n"/>
      <c r="O211" s="17" t="n"/>
      <c r="P211" s="17" t="n"/>
      <c r="Q211" s="19" t="n"/>
      <c r="R211" s="19" t="n"/>
      <c r="S211" s="7">
        <f>IF(I211="","",IF(TODAY()&gt;=I211,"到期","未到期"))</f>
        <v/>
      </c>
    </row>
    <row r="212">
      <c r="A212" s="16">
        <f>IF(B212="","","V-"&amp;TEXT(ROW()-1,"000"))</f>
        <v/>
      </c>
      <c r="B212" s="17" t="n"/>
      <c r="C212" s="18" t="n"/>
      <c r="D212" s="17" t="n"/>
      <c r="E212" s="17" t="n"/>
      <c r="F212" s="17" t="n"/>
      <c r="G212" s="19" t="n"/>
      <c r="H212" s="17" t="n"/>
      <c r="I212" s="18" t="n"/>
      <c r="J212" s="19" t="n"/>
      <c r="K212" s="17" t="n"/>
      <c r="L212" s="17" t="n"/>
      <c r="M212" s="17" t="n"/>
      <c r="N212" s="17" t="n"/>
      <c r="O212" s="17" t="n"/>
      <c r="P212" s="17" t="n"/>
      <c r="Q212" s="19" t="n"/>
      <c r="R212" s="19" t="n"/>
      <c r="S212" s="7">
        <f>IF(I212="","",IF(TODAY()&gt;=I212,"到期","未到期"))</f>
        <v/>
      </c>
    </row>
    <row r="213">
      <c r="A213" s="16">
        <f>IF(B213="","","V-"&amp;TEXT(ROW()-1,"000"))</f>
        <v/>
      </c>
      <c r="B213" s="17" t="n"/>
      <c r="C213" s="18" t="n"/>
      <c r="D213" s="17" t="n"/>
      <c r="E213" s="17" t="n"/>
      <c r="F213" s="17" t="n"/>
      <c r="G213" s="19" t="n"/>
      <c r="H213" s="17" t="n"/>
      <c r="I213" s="18" t="n"/>
      <c r="J213" s="19" t="n"/>
      <c r="K213" s="17" t="n"/>
      <c r="L213" s="17" t="n"/>
      <c r="M213" s="17" t="n"/>
      <c r="N213" s="17" t="n"/>
      <c r="O213" s="17" t="n"/>
      <c r="P213" s="17" t="n"/>
      <c r="Q213" s="19" t="n"/>
      <c r="R213" s="19" t="n"/>
      <c r="S213" s="7">
        <f>IF(I213="","",IF(TODAY()&gt;=I213,"到期","未到期"))</f>
        <v/>
      </c>
    </row>
    <row r="214">
      <c r="A214" s="16">
        <f>IF(B214="","","V-"&amp;TEXT(ROW()-1,"000"))</f>
        <v/>
      </c>
      <c r="B214" s="17" t="n"/>
      <c r="C214" s="18" t="n"/>
      <c r="D214" s="17" t="n"/>
      <c r="E214" s="17" t="n"/>
      <c r="F214" s="17" t="n"/>
      <c r="G214" s="19" t="n"/>
      <c r="H214" s="17" t="n"/>
      <c r="I214" s="18" t="n"/>
      <c r="J214" s="19" t="n"/>
      <c r="K214" s="17" t="n"/>
      <c r="L214" s="17" t="n"/>
      <c r="M214" s="17" t="n"/>
      <c r="N214" s="17" t="n"/>
      <c r="O214" s="17" t="n"/>
      <c r="P214" s="17" t="n"/>
      <c r="Q214" s="19" t="n"/>
      <c r="R214" s="19" t="n"/>
      <c r="S214" s="7">
        <f>IF(I214="","",IF(TODAY()&gt;=I214,"到期","未到期"))</f>
        <v/>
      </c>
    </row>
    <row r="215">
      <c r="A215" s="16">
        <f>IF(B215="","","V-"&amp;TEXT(ROW()-1,"000"))</f>
        <v/>
      </c>
      <c r="B215" s="17" t="n"/>
      <c r="C215" s="18" t="n"/>
      <c r="D215" s="17" t="n"/>
      <c r="E215" s="17" t="n"/>
      <c r="F215" s="17" t="n"/>
      <c r="G215" s="19" t="n"/>
      <c r="H215" s="17" t="n"/>
      <c r="I215" s="18" t="n"/>
      <c r="J215" s="19" t="n"/>
      <c r="K215" s="17" t="n"/>
      <c r="L215" s="17" t="n"/>
      <c r="M215" s="17" t="n"/>
      <c r="N215" s="17" t="n"/>
      <c r="O215" s="17" t="n"/>
      <c r="P215" s="17" t="n"/>
      <c r="Q215" s="19" t="n"/>
      <c r="R215" s="19" t="n"/>
      <c r="S215" s="7">
        <f>IF(I215="","",IF(TODAY()&gt;=I215,"到期","未到期"))</f>
        <v/>
      </c>
    </row>
    <row r="216">
      <c r="A216" s="16">
        <f>IF(B216="","","V-"&amp;TEXT(ROW()-1,"000"))</f>
        <v/>
      </c>
      <c r="B216" s="17" t="n"/>
      <c r="C216" s="18" t="n"/>
      <c r="D216" s="17" t="n"/>
      <c r="E216" s="17" t="n"/>
      <c r="F216" s="17" t="n"/>
      <c r="G216" s="19" t="n"/>
      <c r="H216" s="17" t="n"/>
      <c r="I216" s="18" t="n"/>
      <c r="J216" s="19" t="n"/>
      <c r="K216" s="17" t="n"/>
      <c r="L216" s="17" t="n"/>
      <c r="M216" s="17" t="n"/>
      <c r="N216" s="17" t="n"/>
      <c r="O216" s="17" t="n"/>
      <c r="P216" s="17" t="n"/>
      <c r="Q216" s="19" t="n"/>
      <c r="R216" s="19" t="n"/>
      <c r="S216" s="7">
        <f>IF(I216="","",IF(TODAY()&gt;=I216,"到期","未到期"))</f>
        <v/>
      </c>
    </row>
    <row r="217">
      <c r="A217" s="16">
        <f>IF(B217="","","V-"&amp;TEXT(ROW()-1,"000"))</f>
        <v/>
      </c>
      <c r="B217" s="17" t="n"/>
      <c r="C217" s="18" t="n"/>
      <c r="D217" s="17" t="n"/>
      <c r="E217" s="17" t="n"/>
      <c r="F217" s="17" t="n"/>
      <c r="G217" s="19" t="n"/>
      <c r="H217" s="17" t="n"/>
      <c r="I217" s="18" t="n"/>
      <c r="J217" s="19" t="n"/>
      <c r="K217" s="17" t="n"/>
      <c r="L217" s="17" t="n"/>
      <c r="M217" s="17" t="n"/>
      <c r="N217" s="17" t="n"/>
      <c r="O217" s="17" t="n"/>
      <c r="P217" s="17" t="n"/>
      <c r="Q217" s="19" t="n"/>
      <c r="R217" s="19" t="n"/>
      <c r="S217" s="7">
        <f>IF(I217="","",IF(TODAY()&gt;=I217,"到期","未到期"))</f>
        <v/>
      </c>
    </row>
    <row r="218">
      <c r="A218" s="16">
        <f>IF(B218="","","V-"&amp;TEXT(ROW()-1,"000"))</f>
        <v/>
      </c>
      <c r="B218" s="17" t="n"/>
      <c r="C218" s="18" t="n"/>
      <c r="D218" s="17" t="n"/>
      <c r="E218" s="17" t="n"/>
      <c r="F218" s="17" t="n"/>
      <c r="G218" s="19" t="n"/>
      <c r="H218" s="17" t="n"/>
      <c r="I218" s="18" t="n"/>
      <c r="J218" s="19" t="n"/>
      <c r="K218" s="17" t="n"/>
      <c r="L218" s="17" t="n"/>
      <c r="M218" s="17" t="n"/>
      <c r="N218" s="17" t="n"/>
      <c r="O218" s="17" t="n"/>
      <c r="P218" s="17" t="n"/>
      <c r="Q218" s="19" t="n"/>
      <c r="R218" s="19" t="n"/>
      <c r="S218" s="7">
        <f>IF(I218="","",IF(TODAY()&gt;=I218,"到期","未到期"))</f>
        <v/>
      </c>
    </row>
    <row r="219">
      <c r="A219" s="16">
        <f>IF(B219="","","V-"&amp;TEXT(ROW()-1,"000"))</f>
        <v/>
      </c>
      <c r="B219" s="17" t="n"/>
      <c r="C219" s="18" t="n"/>
      <c r="D219" s="17" t="n"/>
      <c r="E219" s="17" t="n"/>
      <c r="F219" s="17" t="n"/>
      <c r="G219" s="19" t="n"/>
      <c r="H219" s="17" t="n"/>
      <c r="I219" s="18" t="n"/>
      <c r="J219" s="19" t="n"/>
      <c r="K219" s="17" t="n"/>
      <c r="L219" s="17" t="n"/>
      <c r="M219" s="17" t="n"/>
      <c r="N219" s="17" t="n"/>
      <c r="O219" s="17" t="n"/>
      <c r="P219" s="17" t="n"/>
      <c r="Q219" s="19" t="n"/>
      <c r="R219" s="19" t="n"/>
      <c r="S219" s="7">
        <f>IF(I219="","",IF(TODAY()&gt;=I219,"到期","未到期"))</f>
        <v/>
      </c>
    </row>
    <row r="220">
      <c r="A220" s="16">
        <f>IF(B220="","","V-"&amp;TEXT(ROW()-1,"000"))</f>
        <v/>
      </c>
      <c r="B220" s="17" t="n"/>
      <c r="C220" s="18" t="n"/>
      <c r="D220" s="17" t="n"/>
      <c r="E220" s="17" t="n"/>
      <c r="F220" s="17" t="n"/>
      <c r="G220" s="19" t="n"/>
      <c r="H220" s="17" t="n"/>
      <c r="I220" s="18" t="n"/>
      <c r="J220" s="19" t="n"/>
      <c r="K220" s="17" t="n"/>
      <c r="L220" s="17" t="n"/>
      <c r="M220" s="17" t="n"/>
      <c r="N220" s="17" t="n"/>
      <c r="O220" s="17" t="n"/>
      <c r="P220" s="17" t="n"/>
      <c r="Q220" s="19" t="n"/>
      <c r="R220" s="19" t="n"/>
      <c r="S220" s="7">
        <f>IF(I220="","",IF(TODAY()&gt;=I220,"到期","未到期"))</f>
        <v/>
      </c>
    </row>
    <row r="221">
      <c r="A221" s="16">
        <f>IF(B221="","","V-"&amp;TEXT(ROW()-1,"000"))</f>
        <v/>
      </c>
      <c r="B221" s="17" t="n"/>
      <c r="C221" s="18" t="n"/>
      <c r="D221" s="17" t="n"/>
      <c r="E221" s="17" t="n"/>
      <c r="F221" s="17" t="n"/>
      <c r="G221" s="19" t="n"/>
      <c r="H221" s="17" t="n"/>
      <c r="I221" s="18" t="n"/>
      <c r="J221" s="19" t="n"/>
      <c r="K221" s="17" t="n"/>
      <c r="L221" s="17" t="n"/>
      <c r="M221" s="17" t="n"/>
      <c r="N221" s="17" t="n"/>
      <c r="O221" s="17" t="n"/>
      <c r="P221" s="17" t="n"/>
      <c r="Q221" s="19" t="n"/>
      <c r="R221" s="19" t="n"/>
      <c r="S221" s="7">
        <f>IF(I221="","",IF(TODAY()&gt;=I221,"到期","未到期"))</f>
        <v/>
      </c>
    </row>
    <row r="222">
      <c r="A222" s="16">
        <f>IF(B222="","","V-"&amp;TEXT(ROW()-1,"000"))</f>
        <v/>
      </c>
      <c r="B222" s="17" t="n"/>
      <c r="C222" s="18" t="n"/>
      <c r="D222" s="17" t="n"/>
      <c r="E222" s="17" t="n"/>
      <c r="F222" s="17" t="n"/>
      <c r="G222" s="19" t="n"/>
      <c r="H222" s="17" t="n"/>
      <c r="I222" s="18" t="n"/>
      <c r="J222" s="19" t="n"/>
      <c r="K222" s="17" t="n"/>
      <c r="L222" s="17" t="n"/>
      <c r="M222" s="17" t="n"/>
      <c r="N222" s="17" t="n"/>
      <c r="O222" s="17" t="n"/>
      <c r="P222" s="17" t="n"/>
      <c r="Q222" s="19" t="n"/>
      <c r="R222" s="19" t="n"/>
      <c r="S222" s="7">
        <f>IF(I222="","",IF(TODAY()&gt;=I222,"到期","未到期"))</f>
        <v/>
      </c>
    </row>
    <row r="223">
      <c r="A223" s="16">
        <f>IF(B223="","","V-"&amp;TEXT(ROW()-1,"000"))</f>
        <v/>
      </c>
      <c r="B223" s="17" t="n"/>
      <c r="C223" s="18" t="n"/>
      <c r="D223" s="17" t="n"/>
      <c r="E223" s="17" t="n"/>
      <c r="F223" s="17" t="n"/>
      <c r="G223" s="19" t="n"/>
      <c r="H223" s="17" t="n"/>
      <c r="I223" s="18" t="n"/>
      <c r="J223" s="19" t="n"/>
      <c r="K223" s="17" t="n"/>
      <c r="L223" s="17" t="n"/>
      <c r="M223" s="17" t="n"/>
      <c r="N223" s="17" t="n"/>
      <c r="O223" s="17" t="n"/>
      <c r="P223" s="17" t="n"/>
      <c r="Q223" s="19" t="n"/>
      <c r="R223" s="19" t="n"/>
      <c r="S223" s="7">
        <f>IF(I223="","",IF(TODAY()&gt;=I223,"到期","未到期"))</f>
        <v/>
      </c>
    </row>
    <row r="224">
      <c r="A224" s="16">
        <f>IF(B224="","","V-"&amp;TEXT(ROW()-1,"000"))</f>
        <v/>
      </c>
      <c r="B224" s="17" t="n"/>
      <c r="C224" s="18" t="n"/>
      <c r="D224" s="17" t="n"/>
      <c r="E224" s="17" t="n"/>
      <c r="F224" s="17" t="n"/>
      <c r="G224" s="19" t="n"/>
      <c r="H224" s="17" t="n"/>
      <c r="I224" s="18" t="n"/>
      <c r="J224" s="19" t="n"/>
      <c r="K224" s="17" t="n"/>
      <c r="L224" s="17" t="n"/>
      <c r="M224" s="17" t="n"/>
      <c r="N224" s="17" t="n"/>
      <c r="O224" s="17" t="n"/>
      <c r="P224" s="17" t="n"/>
      <c r="Q224" s="19" t="n"/>
      <c r="R224" s="19" t="n"/>
      <c r="S224" s="7">
        <f>IF(I224="","",IF(TODAY()&gt;=I224,"到期","未到期"))</f>
        <v/>
      </c>
    </row>
    <row r="225">
      <c r="A225" s="16">
        <f>IF(B225="","","V-"&amp;TEXT(ROW()-1,"000"))</f>
        <v/>
      </c>
      <c r="B225" s="17" t="n"/>
      <c r="C225" s="18" t="n"/>
      <c r="D225" s="17" t="n"/>
      <c r="E225" s="17" t="n"/>
      <c r="F225" s="17" t="n"/>
      <c r="G225" s="19" t="n"/>
      <c r="H225" s="17" t="n"/>
      <c r="I225" s="18" t="n"/>
      <c r="J225" s="19" t="n"/>
      <c r="K225" s="17" t="n"/>
      <c r="L225" s="17" t="n"/>
      <c r="M225" s="17" t="n"/>
      <c r="N225" s="17" t="n"/>
      <c r="O225" s="17" t="n"/>
      <c r="P225" s="17" t="n"/>
      <c r="Q225" s="19" t="n"/>
      <c r="R225" s="19" t="n"/>
      <c r="S225" s="7">
        <f>IF(I225="","",IF(TODAY()&gt;=I225,"到期","未到期"))</f>
        <v/>
      </c>
    </row>
    <row r="226">
      <c r="A226" s="16">
        <f>IF(B226="","","V-"&amp;TEXT(ROW()-1,"000"))</f>
        <v/>
      </c>
      <c r="B226" s="17" t="n"/>
      <c r="C226" s="18" t="n"/>
      <c r="D226" s="17" t="n"/>
      <c r="E226" s="17" t="n"/>
      <c r="F226" s="17" t="n"/>
      <c r="G226" s="19" t="n"/>
      <c r="H226" s="17" t="n"/>
      <c r="I226" s="18" t="n"/>
      <c r="J226" s="19" t="n"/>
      <c r="K226" s="17" t="n"/>
      <c r="L226" s="17" t="n"/>
      <c r="M226" s="17" t="n"/>
      <c r="N226" s="17" t="n"/>
      <c r="O226" s="17" t="n"/>
      <c r="P226" s="17" t="n"/>
      <c r="Q226" s="19" t="n"/>
      <c r="R226" s="19" t="n"/>
      <c r="S226" s="7">
        <f>IF(I226="","",IF(TODAY()&gt;=I226,"到期","未到期"))</f>
        <v/>
      </c>
    </row>
    <row r="227">
      <c r="A227" s="16">
        <f>IF(B227="","","V-"&amp;TEXT(ROW()-1,"000"))</f>
        <v/>
      </c>
      <c r="B227" s="17" t="n"/>
      <c r="C227" s="18" t="n"/>
      <c r="D227" s="17" t="n"/>
      <c r="E227" s="17" t="n"/>
      <c r="F227" s="17" t="n"/>
      <c r="G227" s="19" t="n"/>
      <c r="H227" s="17" t="n"/>
      <c r="I227" s="18" t="n"/>
      <c r="J227" s="19" t="n"/>
      <c r="K227" s="17" t="n"/>
      <c r="L227" s="17" t="n"/>
      <c r="M227" s="17" t="n"/>
      <c r="N227" s="17" t="n"/>
      <c r="O227" s="17" t="n"/>
      <c r="P227" s="17" t="n"/>
      <c r="Q227" s="19" t="n"/>
      <c r="R227" s="19" t="n"/>
      <c r="S227" s="7">
        <f>IF(I227="","",IF(TODAY()&gt;=I227,"到期","未到期"))</f>
        <v/>
      </c>
    </row>
    <row r="228">
      <c r="A228" s="16">
        <f>IF(B228="","","V-"&amp;TEXT(ROW()-1,"000"))</f>
        <v/>
      </c>
      <c r="B228" s="17" t="n"/>
      <c r="C228" s="18" t="n"/>
      <c r="D228" s="17" t="n"/>
      <c r="E228" s="17" t="n"/>
      <c r="F228" s="17" t="n"/>
      <c r="G228" s="19" t="n"/>
      <c r="H228" s="17" t="n"/>
      <c r="I228" s="18" t="n"/>
      <c r="J228" s="19" t="n"/>
      <c r="K228" s="17" t="n"/>
      <c r="L228" s="17" t="n"/>
      <c r="M228" s="17" t="n"/>
      <c r="N228" s="17" t="n"/>
      <c r="O228" s="17" t="n"/>
      <c r="P228" s="17" t="n"/>
      <c r="Q228" s="19" t="n"/>
      <c r="R228" s="19" t="n"/>
      <c r="S228" s="7">
        <f>IF(I228="","",IF(TODAY()&gt;=I228,"到期","未到期"))</f>
        <v/>
      </c>
    </row>
    <row r="229">
      <c r="A229" s="16">
        <f>IF(B229="","","V-"&amp;TEXT(ROW()-1,"000"))</f>
        <v/>
      </c>
      <c r="B229" s="17" t="n"/>
      <c r="C229" s="18" t="n"/>
      <c r="D229" s="17" t="n"/>
      <c r="E229" s="17" t="n"/>
      <c r="F229" s="17" t="n"/>
      <c r="G229" s="19" t="n"/>
      <c r="H229" s="17" t="n"/>
      <c r="I229" s="18" t="n"/>
      <c r="J229" s="19" t="n"/>
      <c r="K229" s="17" t="n"/>
      <c r="L229" s="17" t="n"/>
      <c r="M229" s="17" t="n"/>
      <c r="N229" s="17" t="n"/>
      <c r="O229" s="17" t="n"/>
      <c r="P229" s="17" t="n"/>
      <c r="Q229" s="19" t="n"/>
      <c r="R229" s="19" t="n"/>
      <c r="S229" s="7">
        <f>IF(I229="","",IF(TODAY()&gt;=I229,"到期","未到期"))</f>
        <v/>
      </c>
    </row>
    <row r="230">
      <c r="A230" s="16">
        <f>IF(B230="","","V-"&amp;TEXT(ROW()-1,"000"))</f>
        <v/>
      </c>
      <c r="B230" s="17" t="n"/>
      <c r="C230" s="18" t="n"/>
      <c r="D230" s="17" t="n"/>
      <c r="E230" s="17" t="n"/>
      <c r="F230" s="17" t="n"/>
      <c r="G230" s="19" t="n"/>
      <c r="H230" s="17" t="n"/>
      <c r="I230" s="18" t="n"/>
      <c r="J230" s="19" t="n"/>
      <c r="K230" s="17" t="n"/>
      <c r="L230" s="17" t="n"/>
      <c r="M230" s="17" t="n"/>
      <c r="N230" s="17" t="n"/>
      <c r="O230" s="17" t="n"/>
      <c r="P230" s="17" t="n"/>
      <c r="Q230" s="19" t="n"/>
      <c r="R230" s="19" t="n"/>
      <c r="S230" s="7">
        <f>IF(I230="","",IF(TODAY()&gt;=I230,"到期","未到期"))</f>
        <v/>
      </c>
    </row>
    <row r="231">
      <c r="A231" s="16">
        <f>IF(B231="","","V-"&amp;TEXT(ROW()-1,"000"))</f>
        <v/>
      </c>
      <c r="B231" s="17" t="n"/>
      <c r="C231" s="18" t="n"/>
      <c r="D231" s="17" t="n"/>
      <c r="E231" s="17" t="n"/>
      <c r="F231" s="17" t="n"/>
      <c r="G231" s="19" t="n"/>
      <c r="H231" s="17" t="n"/>
      <c r="I231" s="18" t="n"/>
      <c r="J231" s="19" t="n"/>
      <c r="K231" s="17" t="n"/>
      <c r="L231" s="17" t="n"/>
      <c r="M231" s="17" t="n"/>
      <c r="N231" s="17" t="n"/>
      <c r="O231" s="17" t="n"/>
      <c r="P231" s="17" t="n"/>
      <c r="Q231" s="19" t="n"/>
      <c r="R231" s="19" t="n"/>
      <c r="S231" s="7">
        <f>IF(I231="","",IF(TODAY()&gt;=I231,"到期","未到期"))</f>
        <v/>
      </c>
    </row>
    <row r="232">
      <c r="A232" s="16">
        <f>IF(B232="","","V-"&amp;TEXT(ROW()-1,"000"))</f>
        <v/>
      </c>
      <c r="B232" s="17" t="n"/>
      <c r="C232" s="18" t="n"/>
      <c r="D232" s="17" t="n"/>
      <c r="E232" s="17" t="n"/>
      <c r="F232" s="17" t="n"/>
      <c r="G232" s="19" t="n"/>
      <c r="H232" s="17" t="n"/>
      <c r="I232" s="18" t="n"/>
      <c r="J232" s="19" t="n"/>
      <c r="K232" s="17" t="n"/>
      <c r="L232" s="17" t="n"/>
      <c r="M232" s="17" t="n"/>
      <c r="N232" s="17" t="n"/>
      <c r="O232" s="17" t="n"/>
      <c r="P232" s="17" t="n"/>
      <c r="Q232" s="19" t="n"/>
      <c r="R232" s="19" t="n"/>
      <c r="S232" s="7">
        <f>IF(I232="","",IF(TODAY()&gt;=I232,"到期","未到期"))</f>
        <v/>
      </c>
    </row>
    <row r="233">
      <c r="A233" s="16">
        <f>IF(B233="","","V-"&amp;TEXT(ROW()-1,"000"))</f>
        <v/>
      </c>
      <c r="B233" s="17" t="n"/>
      <c r="C233" s="18" t="n"/>
      <c r="D233" s="17" t="n"/>
      <c r="E233" s="17" t="n"/>
      <c r="F233" s="17" t="n"/>
      <c r="G233" s="19" t="n"/>
      <c r="H233" s="17" t="n"/>
      <c r="I233" s="18" t="n"/>
      <c r="J233" s="19" t="n"/>
      <c r="K233" s="17" t="n"/>
      <c r="L233" s="17" t="n"/>
      <c r="M233" s="17" t="n"/>
      <c r="N233" s="17" t="n"/>
      <c r="O233" s="17" t="n"/>
      <c r="P233" s="17" t="n"/>
      <c r="Q233" s="19" t="n"/>
      <c r="R233" s="19" t="n"/>
      <c r="S233" s="7">
        <f>IF(I233="","",IF(TODAY()&gt;=I233,"到期","未到期"))</f>
        <v/>
      </c>
    </row>
    <row r="234">
      <c r="A234" s="16">
        <f>IF(B234="","","V-"&amp;TEXT(ROW()-1,"000"))</f>
        <v/>
      </c>
      <c r="B234" s="17" t="n"/>
      <c r="C234" s="18" t="n"/>
      <c r="D234" s="17" t="n"/>
      <c r="E234" s="17" t="n"/>
      <c r="F234" s="17" t="n"/>
      <c r="G234" s="19" t="n"/>
      <c r="H234" s="17" t="n"/>
      <c r="I234" s="18" t="n"/>
      <c r="J234" s="19" t="n"/>
      <c r="K234" s="17" t="n"/>
      <c r="L234" s="17" t="n"/>
      <c r="M234" s="17" t="n"/>
      <c r="N234" s="17" t="n"/>
      <c r="O234" s="17" t="n"/>
      <c r="P234" s="17" t="n"/>
      <c r="Q234" s="19" t="n"/>
      <c r="R234" s="19" t="n"/>
      <c r="S234" s="7">
        <f>IF(I234="","",IF(TODAY()&gt;=I234,"到期","未到期"))</f>
        <v/>
      </c>
    </row>
    <row r="235">
      <c r="A235" s="16">
        <f>IF(B235="","","V-"&amp;TEXT(ROW()-1,"000"))</f>
        <v/>
      </c>
      <c r="B235" s="17" t="n"/>
      <c r="C235" s="18" t="n"/>
      <c r="D235" s="17" t="n"/>
      <c r="E235" s="17" t="n"/>
      <c r="F235" s="17" t="n"/>
      <c r="G235" s="19" t="n"/>
      <c r="H235" s="17" t="n"/>
      <c r="I235" s="18" t="n"/>
      <c r="J235" s="19" t="n"/>
      <c r="K235" s="17" t="n"/>
      <c r="L235" s="17" t="n"/>
      <c r="M235" s="17" t="n"/>
      <c r="N235" s="17" t="n"/>
      <c r="O235" s="17" t="n"/>
      <c r="P235" s="17" t="n"/>
      <c r="Q235" s="19" t="n"/>
      <c r="R235" s="19" t="n"/>
      <c r="S235" s="7">
        <f>IF(I235="","",IF(TODAY()&gt;=I235,"到期","未到期"))</f>
        <v/>
      </c>
    </row>
    <row r="236">
      <c r="A236" s="16">
        <f>IF(B236="","","V-"&amp;TEXT(ROW()-1,"000"))</f>
        <v/>
      </c>
      <c r="B236" s="17" t="n"/>
      <c r="C236" s="18" t="n"/>
      <c r="D236" s="17" t="n"/>
      <c r="E236" s="17" t="n"/>
      <c r="F236" s="17" t="n"/>
      <c r="G236" s="19" t="n"/>
      <c r="H236" s="17" t="n"/>
      <c r="I236" s="18" t="n"/>
      <c r="J236" s="19" t="n"/>
      <c r="K236" s="17" t="n"/>
      <c r="L236" s="17" t="n"/>
      <c r="M236" s="17" t="n"/>
      <c r="N236" s="17" t="n"/>
      <c r="O236" s="17" t="n"/>
      <c r="P236" s="17" t="n"/>
      <c r="Q236" s="19" t="n"/>
      <c r="R236" s="19" t="n"/>
      <c r="S236" s="7">
        <f>IF(I236="","",IF(TODAY()&gt;=I236,"到期","未到期"))</f>
        <v/>
      </c>
    </row>
    <row r="237">
      <c r="A237" s="16">
        <f>IF(B237="","","V-"&amp;TEXT(ROW()-1,"000"))</f>
        <v/>
      </c>
      <c r="B237" s="17" t="n"/>
      <c r="C237" s="18" t="n"/>
      <c r="D237" s="17" t="n"/>
      <c r="E237" s="17" t="n"/>
      <c r="F237" s="17" t="n"/>
      <c r="G237" s="19" t="n"/>
      <c r="H237" s="17" t="n"/>
      <c r="I237" s="18" t="n"/>
      <c r="J237" s="19" t="n"/>
      <c r="K237" s="17" t="n"/>
      <c r="L237" s="17" t="n"/>
      <c r="M237" s="17" t="n"/>
      <c r="N237" s="17" t="n"/>
      <c r="O237" s="17" t="n"/>
      <c r="P237" s="17" t="n"/>
      <c r="Q237" s="19" t="n"/>
      <c r="R237" s="19" t="n"/>
      <c r="S237" s="7">
        <f>IF(I237="","",IF(TODAY()&gt;=I237,"到期","未到期"))</f>
        <v/>
      </c>
    </row>
    <row r="238">
      <c r="A238" s="16">
        <f>IF(B238="","","V-"&amp;TEXT(ROW()-1,"000"))</f>
        <v/>
      </c>
      <c r="B238" s="17" t="n"/>
      <c r="C238" s="18" t="n"/>
      <c r="D238" s="17" t="n"/>
      <c r="E238" s="17" t="n"/>
      <c r="F238" s="17" t="n"/>
      <c r="G238" s="19" t="n"/>
      <c r="H238" s="17" t="n"/>
      <c r="I238" s="18" t="n"/>
      <c r="J238" s="19" t="n"/>
      <c r="K238" s="17" t="n"/>
      <c r="L238" s="17" t="n"/>
      <c r="M238" s="17" t="n"/>
      <c r="N238" s="17" t="n"/>
      <c r="O238" s="17" t="n"/>
      <c r="P238" s="17" t="n"/>
      <c r="Q238" s="19" t="n"/>
      <c r="R238" s="19" t="n"/>
      <c r="S238" s="7">
        <f>IF(I238="","",IF(TODAY()&gt;=I238,"到期","未到期"))</f>
        <v/>
      </c>
    </row>
    <row r="239">
      <c r="A239" s="16">
        <f>IF(B239="","","V-"&amp;TEXT(ROW()-1,"000"))</f>
        <v/>
      </c>
      <c r="B239" s="17" t="n"/>
      <c r="C239" s="18" t="n"/>
      <c r="D239" s="17" t="n"/>
      <c r="E239" s="17" t="n"/>
      <c r="F239" s="17" t="n"/>
      <c r="G239" s="19" t="n"/>
      <c r="H239" s="17" t="n"/>
      <c r="I239" s="18" t="n"/>
      <c r="J239" s="19" t="n"/>
      <c r="K239" s="17" t="n"/>
      <c r="L239" s="17" t="n"/>
      <c r="M239" s="17" t="n"/>
      <c r="N239" s="17" t="n"/>
      <c r="O239" s="17" t="n"/>
      <c r="P239" s="17" t="n"/>
      <c r="Q239" s="19" t="n"/>
      <c r="R239" s="19" t="n"/>
      <c r="S239" s="7">
        <f>IF(I239="","",IF(TODAY()&gt;=I239,"到期","未到期"))</f>
        <v/>
      </c>
    </row>
    <row r="240">
      <c r="A240" s="16">
        <f>IF(B240="","","V-"&amp;TEXT(ROW()-1,"000"))</f>
        <v/>
      </c>
      <c r="B240" s="17" t="n"/>
      <c r="C240" s="18" t="n"/>
      <c r="D240" s="17" t="n"/>
      <c r="E240" s="17" t="n"/>
      <c r="F240" s="17" t="n"/>
      <c r="G240" s="19" t="n"/>
      <c r="H240" s="17" t="n"/>
      <c r="I240" s="18" t="n"/>
      <c r="J240" s="19" t="n"/>
      <c r="K240" s="17" t="n"/>
      <c r="L240" s="17" t="n"/>
      <c r="M240" s="17" t="n"/>
      <c r="N240" s="17" t="n"/>
      <c r="O240" s="17" t="n"/>
      <c r="P240" s="17" t="n"/>
      <c r="Q240" s="19" t="n"/>
      <c r="R240" s="19" t="n"/>
      <c r="S240" s="7">
        <f>IF(I240="","",IF(TODAY()&gt;=I240,"到期","未到期"))</f>
        <v/>
      </c>
    </row>
    <row r="241">
      <c r="A241" s="16">
        <f>IF(B241="","","V-"&amp;TEXT(ROW()-1,"000"))</f>
        <v/>
      </c>
      <c r="B241" s="17" t="n"/>
      <c r="C241" s="18" t="n"/>
      <c r="D241" s="17" t="n"/>
      <c r="E241" s="17" t="n"/>
      <c r="F241" s="17" t="n"/>
      <c r="G241" s="19" t="n"/>
      <c r="H241" s="17" t="n"/>
      <c r="I241" s="18" t="n"/>
      <c r="J241" s="19" t="n"/>
      <c r="K241" s="17" t="n"/>
      <c r="L241" s="17" t="n"/>
      <c r="M241" s="17" t="n"/>
      <c r="N241" s="17" t="n"/>
      <c r="O241" s="17" t="n"/>
      <c r="P241" s="17" t="n"/>
      <c r="Q241" s="19" t="n"/>
      <c r="R241" s="19" t="n"/>
      <c r="S241" s="7">
        <f>IF(I241="","",IF(TODAY()&gt;=I241,"到期","未到期"))</f>
        <v/>
      </c>
    </row>
    <row r="242">
      <c r="A242" s="16">
        <f>IF(B242="","","V-"&amp;TEXT(ROW()-1,"000"))</f>
        <v/>
      </c>
      <c r="B242" s="17" t="n"/>
      <c r="C242" s="18" t="n"/>
      <c r="D242" s="17" t="n"/>
      <c r="E242" s="17" t="n"/>
      <c r="F242" s="17" t="n"/>
      <c r="G242" s="19" t="n"/>
      <c r="H242" s="17" t="n"/>
      <c r="I242" s="18" t="n"/>
      <c r="J242" s="19" t="n"/>
      <c r="K242" s="17" t="n"/>
      <c r="L242" s="17" t="n"/>
      <c r="M242" s="17" t="n"/>
      <c r="N242" s="17" t="n"/>
      <c r="O242" s="17" t="n"/>
      <c r="P242" s="17" t="n"/>
      <c r="Q242" s="19" t="n"/>
      <c r="R242" s="19" t="n"/>
      <c r="S242" s="7">
        <f>IF(I242="","",IF(TODAY()&gt;=I242,"到期","未到期"))</f>
        <v/>
      </c>
    </row>
    <row r="243">
      <c r="A243" s="16">
        <f>IF(B243="","","V-"&amp;TEXT(ROW()-1,"000"))</f>
        <v/>
      </c>
      <c r="B243" s="17" t="n"/>
      <c r="C243" s="18" t="n"/>
      <c r="D243" s="17" t="n"/>
      <c r="E243" s="17" t="n"/>
      <c r="F243" s="17" t="n"/>
      <c r="G243" s="19" t="n"/>
      <c r="H243" s="17" t="n"/>
      <c r="I243" s="18" t="n"/>
      <c r="J243" s="19" t="n"/>
      <c r="K243" s="17" t="n"/>
      <c r="L243" s="17" t="n"/>
      <c r="M243" s="17" t="n"/>
      <c r="N243" s="17" t="n"/>
      <c r="O243" s="17" t="n"/>
      <c r="P243" s="17" t="n"/>
      <c r="Q243" s="19" t="n"/>
      <c r="R243" s="19" t="n"/>
      <c r="S243" s="7">
        <f>IF(I243="","",IF(TODAY()&gt;=I243,"到期","未到期"))</f>
        <v/>
      </c>
    </row>
    <row r="244">
      <c r="A244" s="16">
        <f>IF(B244="","","V-"&amp;TEXT(ROW()-1,"000"))</f>
        <v/>
      </c>
      <c r="B244" s="17" t="n"/>
      <c r="C244" s="18" t="n"/>
      <c r="D244" s="17" t="n"/>
      <c r="E244" s="17" t="n"/>
      <c r="F244" s="17" t="n"/>
      <c r="G244" s="19" t="n"/>
      <c r="H244" s="17" t="n"/>
      <c r="I244" s="18" t="n"/>
      <c r="J244" s="19" t="n"/>
      <c r="K244" s="17" t="n"/>
      <c r="L244" s="17" t="n"/>
      <c r="M244" s="17" t="n"/>
      <c r="N244" s="17" t="n"/>
      <c r="O244" s="17" t="n"/>
      <c r="P244" s="17" t="n"/>
      <c r="Q244" s="19" t="n"/>
      <c r="R244" s="19" t="n"/>
      <c r="S244" s="7">
        <f>IF(I244="","",IF(TODAY()&gt;=I244,"到期","未到期"))</f>
        <v/>
      </c>
    </row>
    <row r="245">
      <c r="A245" s="16">
        <f>IF(B245="","","V-"&amp;TEXT(ROW()-1,"000"))</f>
        <v/>
      </c>
      <c r="B245" s="17" t="n"/>
      <c r="C245" s="18" t="n"/>
      <c r="D245" s="17" t="n"/>
      <c r="E245" s="17" t="n"/>
      <c r="F245" s="17" t="n"/>
      <c r="G245" s="19" t="n"/>
      <c r="H245" s="17" t="n"/>
      <c r="I245" s="18" t="n"/>
      <c r="J245" s="19" t="n"/>
      <c r="K245" s="17" t="n"/>
      <c r="L245" s="17" t="n"/>
      <c r="M245" s="17" t="n"/>
      <c r="N245" s="17" t="n"/>
      <c r="O245" s="17" t="n"/>
      <c r="P245" s="17" t="n"/>
      <c r="Q245" s="19" t="n"/>
      <c r="R245" s="19" t="n"/>
      <c r="S245" s="7">
        <f>IF(I245="","",IF(TODAY()&gt;=I245,"到期","未到期"))</f>
        <v/>
      </c>
    </row>
    <row r="246">
      <c r="A246" s="16">
        <f>IF(B246="","","V-"&amp;TEXT(ROW()-1,"000"))</f>
        <v/>
      </c>
      <c r="B246" s="17" t="n"/>
      <c r="C246" s="18" t="n"/>
      <c r="D246" s="17" t="n"/>
      <c r="E246" s="17" t="n"/>
      <c r="F246" s="17" t="n"/>
      <c r="G246" s="19" t="n"/>
      <c r="H246" s="17" t="n"/>
      <c r="I246" s="18" t="n"/>
      <c r="J246" s="19" t="n"/>
      <c r="K246" s="17" t="n"/>
      <c r="L246" s="17" t="n"/>
      <c r="M246" s="17" t="n"/>
      <c r="N246" s="17" t="n"/>
      <c r="O246" s="17" t="n"/>
      <c r="P246" s="17" t="n"/>
      <c r="Q246" s="19" t="n"/>
      <c r="R246" s="19" t="n"/>
      <c r="S246" s="7">
        <f>IF(I246="","",IF(TODAY()&gt;=I246,"到期","未到期"))</f>
        <v/>
      </c>
    </row>
    <row r="247">
      <c r="A247" s="16">
        <f>IF(B247="","","V-"&amp;TEXT(ROW()-1,"000"))</f>
        <v/>
      </c>
      <c r="B247" s="17" t="n"/>
      <c r="C247" s="18" t="n"/>
      <c r="D247" s="17" t="n"/>
      <c r="E247" s="17" t="n"/>
      <c r="F247" s="17" t="n"/>
      <c r="G247" s="19" t="n"/>
      <c r="H247" s="17" t="n"/>
      <c r="I247" s="18" t="n"/>
      <c r="J247" s="19" t="n"/>
      <c r="K247" s="17" t="n"/>
      <c r="L247" s="17" t="n"/>
      <c r="M247" s="17" t="n"/>
      <c r="N247" s="17" t="n"/>
      <c r="O247" s="17" t="n"/>
      <c r="P247" s="17" t="n"/>
      <c r="Q247" s="19" t="n"/>
      <c r="R247" s="19" t="n"/>
      <c r="S247" s="7">
        <f>IF(I247="","",IF(TODAY()&gt;=I247,"到期","未到期"))</f>
        <v/>
      </c>
    </row>
    <row r="248">
      <c r="A248" s="16">
        <f>IF(B248="","","V-"&amp;TEXT(ROW()-1,"000"))</f>
        <v/>
      </c>
      <c r="B248" s="17" t="n"/>
      <c r="C248" s="18" t="n"/>
      <c r="D248" s="17" t="n"/>
      <c r="E248" s="17" t="n"/>
      <c r="F248" s="17" t="n"/>
      <c r="G248" s="19" t="n"/>
      <c r="H248" s="17" t="n"/>
      <c r="I248" s="18" t="n"/>
      <c r="J248" s="19" t="n"/>
      <c r="K248" s="17" t="n"/>
      <c r="L248" s="17" t="n"/>
      <c r="M248" s="17" t="n"/>
      <c r="N248" s="17" t="n"/>
      <c r="O248" s="17" t="n"/>
      <c r="P248" s="17" t="n"/>
      <c r="Q248" s="19" t="n"/>
      <c r="R248" s="19" t="n"/>
      <c r="S248" s="7">
        <f>IF(I248="","",IF(TODAY()&gt;=I248,"到期","未到期"))</f>
        <v/>
      </c>
    </row>
    <row r="249">
      <c r="A249" s="16">
        <f>IF(B249="","","V-"&amp;TEXT(ROW()-1,"000"))</f>
        <v/>
      </c>
      <c r="B249" s="17" t="n"/>
      <c r="C249" s="18" t="n"/>
      <c r="D249" s="17" t="n"/>
      <c r="E249" s="17" t="n"/>
      <c r="F249" s="17" t="n"/>
      <c r="G249" s="19" t="n"/>
      <c r="H249" s="17" t="n"/>
      <c r="I249" s="18" t="n"/>
      <c r="J249" s="19" t="n"/>
      <c r="K249" s="17" t="n"/>
      <c r="L249" s="17" t="n"/>
      <c r="M249" s="17" t="n"/>
      <c r="N249" s="17" t="n"/>
      <c r="O249" s="17" t="n"/>
      <c r="P249" s="17" t="n"/>
      <c r="Q249" s="19" t="n"/>
      <c r="R249" s="19" t="n"/>
      <c r="S249" s="7">
        <f>IF(I249="","",IF(TODAY()&gt;=I249,"到期","未到期"))</f>
        <v/>
      </c>
    </row>
    <row r="250">
      <c r="A250" s="16">
        <f>IF(B250="","","V-"&amp;TEXT(ROW()-1,"000"))</f>
        <v/>
      </c>
      <c r="B250" s="17" t="n"/>
      <c r="C250" s="18" t="n"/>
      <c r="D250" s="17" t="n"/>
      <c r="E250" s="17" t="n"/>
      <c r="F250" s="17" t="n"/>
      <c r="G250" s="19" t="n"/>
      <c r="H250" s="17" t="n"/>
      <c r="I250" s="18" t="n"/>
      <c r="J250" s="19" t="n"/>
      <c r="K250" s="17" t="n"/>
      <c r="L250" s="17" t="n"/>
      <c r="M250" s="17" t="n"/>
      <c r="N250" s="17" t="n"/>
      <c r="O250" s="17" t="n"/>
      <c r="P250" s="17" t="n"/>
      <c r="Q250" s="19" t="n"/>
      <c r="R250" s="19" t="n"/>
      <c r="S250" s="7">
        <f>IF(I250="","",IF(TODAY()&gt;=I250,"到期","未到期"))</f>
        <v/>
      </c>
    </row>
    <row r="251">
      <c r="A251" s="16">
        <f>IF(B251="","","V-"&amp;TEXT(ROW()-1,"000"))</f>
        <v/>
      </c>
      <c r="B251" s="17" t="n"/>
      <c r="C251" s="18" t="n"/>
      <c r="D251" s="17" t="n"/>
      <c r="E251" s="17" t="n"/>
      <c r="F251" s="17" t="n"/>
      <c r="G251" s="19" t="n"/>
      <c r="H251" s="17" t="n"/>
      <c r="I251" s="18" t="n"/>
      <c r="J251" s="19" t="n"/>
      <c r="K251" s="17" t="n"/>
      <c r="L251" s="17" t="n"/>
      <c r="M251" s="17" t="n"/>
      <c r="N251" s="17" t="n"/>
      <c r="O251" s="17" t="n"/>
      <c r="P251" s="17" t="n"/>
      <c r="Q251" s="19" t="n"/>
      <c r="R251" s="19" t="n"/>
      <c r="S251" s="7">
        <f>IF(I251="","",IF(TODAY()&gt;=I251,"到期","未到期"))</f>
        <v/>
      </c>
    </row>
    <row r="252">
      <c r="A252" s="16">
        <f>IF(B252="","","V-"&amp;TEXT(ROW()-1,"000"))</f>
        <v/>
      </c>
      <c r="B252" s="17" t="n"/>
      <c r="C252" s="18" t="n"/>
      <c r="D252" s="17" t="n"/>
      <c r="E252" s="17" t="n"/>
      <c r="F252" s="17" t="n"/>
      <c r="G252" s="19" t="n"/>
      <c r="H252" s="17" t="n"/>
      <c r="I252" s="18" t="n"/>
      <c r="J252" s="19" t="n"/>
      <c r="K252" s="17" t="n"/>
      <c r="L252" s="17" t="n"/>
      <c r="M252" s="17" t="n"/>
      <c r="N252" s="17" t="n"/>
      <c r="O252" s="17" t="n"/>
      <c r="P252" s="17" t="n"/>
      <c r="Q252" s="19" t="n"/>
      <c r="R252" s="19" t="n"/>
      <c r="S252" s="7">
        <f>IF(I252="","",IF(TODAY()&gt;=I252,"到期","未到期"))</f>
        <v/>
      </c>
    </row>
    <row r="253">
      <c r="A253" s="16">
        <f>IF(B253="","","V-"&amp;TEXT(ROW()-1,"000"))</f>
        <v/>
      </c>
      <c r="B253" s="17" t="n"/>
      <c r="C253" s="18" t="n"/>
      <c r="D253" s="17" t="n"/>
      <c r="E253" s="17" t="n"/>
      <c r="F253" s="17" t="n"/>
      <c r="G253" s="19" t="n"/>
      <c r="H253" s="17" t="n"/>
      <c r="I253" s="18" t="n"/>
      <c r="J253" s="19" t="n"/>
      <c r="K253" s="17" t="n"/>
      <c r="L253" s="17" t="n"/>
      <c r="M253" s="17" t="n"/>
      <c r="N253" s="17" t="n"/>
      <c r="O253" s="17" t="n"/>
      <c r="P253" s="17" t="n"/>
      <c r="Q253" s="19" t="n"/>
      <c r="R253" s="19" t="n"/>
      <c r="S253" s="7">
        <f>IF(I253="","",IF(TODAY()&gt;=I253,"到期","未到期"))</f>
        <v/>
      </c>
    </row>
    <row r="254">
      <c r="A254" s="16">
        <f>IF(B254="","","V-"&amp;TEXT(ROW()-1,"000"))</f>
        <v/>
      </c>
      <c r="B254" s="17" t="n"/>
      <c r="C254" s="18" t="n"/>
      <c r="D254" s="17" t="n"/>
      <c r="E254" s="17" t="n"/>
      <c r="F254" s="17" t="n"/>
      <c r="G254" s="19" t="n"/>
      <c r="H254" s="17" t="n"/>
      <c r="I254" s="18" t="n"/>
      <c r="J254" s="19" t="n"/>
      <c r="K254" s="17" t="n"/>
      <c r="L254" s="17" t="n"/>
      <c r="M254" s="17" t="n"/>
      <c r="N254" s="17" t="n"/>
      <c r="O254" s="17" t="n"/>
      <c r="P254" s="17" t="n"/>
      <c r="Q254" s="19" t="n"/>
      <c r="R254" s="19" t="n"/>
      <c r="S254" s="7">
        <f>IF(I254="","",IF(TODAY()&gt;=I254,"到期","未到期"))</f>
        <v/>
      </c>
    </row>
    <row r="255">
      <c r="A255" s="16">
        <f>IF(B255="","","V-"&amp;TEXT(ROW()-1,"000"))</f>
        <v/>
      </c>
      <c r="B255" s="17" t="n"/>
      <c r="C255" s="18" t="n"/>
      <c r="D255" s="17" t="n"/>
      <c r="E255" s="17" t="n"/>
      <c r="F255" s="17" t="n"/>
      <c r="G255" s="19" t="n"/>
      <c r="H255" s="17" t="n"/>
      <c r="I255" s="18" t="n"/>
      <c r="J255" s="19" t="n"/>
      <c r="K255" s="17" t="n"/>
      <c r="L255" s="17" t="n"/>
      <c r="M255" s="17" t="n"/>
      <c r="N255" s="17" t="n"/>
      <c r="O255" s="17" t="n"/>
      <c r="P255" s="17" t="n"/>
      <c r="Q255" s="19" t="n"/>
      <c r="R255" s="19" t="n"/>
      <c r="S255" s="7">
        <f>IF(I255="","",IF(TODAY()&gt;=I255,"到期","未到期"))</f>
        <v/>
      </c>
    </row>
    <row r="256">
      <c r="A256" s="16">
        <f>IF(B256="","","V-"&amp;TEXT(ROW()-1,"000"))</f>
        <v/>
      </c>
      <c r="B256" s="17" t="n"/>
      <c r="C256" s="18" t="n"/>
      <c r="D256" s="17" t="n"/>
      <c r="E256" s="17" t="n"/>
      <c r="F256" s="17" t="n"/>
      <c r="G256" s="19" t="n"/>
      <c r="H256" s="17" t="n"/>
      <c r="I256" s="18" t="n"/>
      <c r="J256" s="19" t="n"/>
      <c r="K256" s="17" t="n"/>
      <c r="L256" s="17" t="n"/>
      <c r="M256" s="17" t="n"/>
      <c r="N256" s="17" t="n"/>
      <c r="O256" s="17" t="n"/>
      <c r="P256" s="17" t="n"/>
      <c r="Q256" s="19" t="n"/>
      <c r="R256" s="19" t="n"/>
      <c r="S256" s="7">
        <f>IF(I256="","",IF(TODAY()&gt;=I256,"到期","未到期"))</f>
        <v/>
      </c>
    </row>
    <row r="257">
      <c r="A257" s="16">
        <f>IF(B257="","","V-"&amp;TEXT(ROW()-1,"000"))</f>
        <v/>
      </c>
      <c r="B257" s="17" t="n"/>
      <c r="C257" s="18" t="n"/>
      <c r="D257" s="17" t="n"/>
      <c r="E257" s="17" t="n"/>
      <c r="F257" s="17" t="n"/>
      <c r="G257" s="19" t="n"/>
      <c r="H257" s="17" t="n"/>
      <c r="I257" s="18" t="n"/>
      <c r="J257" s="19" t="n"/>
      <c r="K257" s="17" t="n"/>
      <c r="L257" s="17" t="n"/>
      <c r="M257" s="17" t="n"/>
      <c r="N257" s="17" t="n"/>
      <c r="O257" s="17" t="n"/>
      <c r="P257" s="17" t="n"/>
      <c r="Q257" s="19" t="n"/>
      <c r="R257" s="19" t="n"/>
      <c r="S257" s="7">
        <f>IF(I257="","",IF(TODAY()&gt;=I257,"到期","未到期"))</f>
        <v/>
      </c>
    </row>
    <row r="258">
      <c r="A258" s="16">
        <f>IF(B258="","","V-"&amp;TEXT(ROW()-1,"000"))</f>
        <v/>
      </c>
      <c r="B258" s="17" t="n"/>
      <c r="C258" s="18" t="n"/>
      <c r="D258" s="17" t="n"/>
      <c r="E258" s="17" t="n"/>
      <c r="F258" s="17" t="n"/>
      <c r="G258" s="19" t="n"/>
      <c r="H258" s="17" t="n"/>
      <c r="I258" s="18" t="n"/>
      <c r="J258" s="19" t="n"/>
      <c r="K258" s="17" t="n"/>
      <c r="L258" s="17" t="n"/>
      <c r="M258" s="17" t="n"/>
      <c r="N258" s="17" t="n"/>
      <c r="O258" s="17" t="n"/>
      <c r="P258" s="17" t="n"/>
      <c r="Q258" s="19" t="n"/>
      <c r="R258" s="19" t="n"/>
      <c r="S258" s="7">
        <f>IF(I258="","",IF(TODAY()&gt;=I258,"到期","未到期"))</f>
        <v/>
      </c>
    </row>
    <row r="259">
      <c r="A259" s="16">
        <f>IF(B259="","","V-"&amp;TEXT(ROW()-1,"000"))</f>
        <v/>
      </c>
      <c r="B259" s="17" t="n"/>
      <c r="C259" s="18" t="n"/>
      <c r="D259" s="17" t="n"/>
      <c r="E259" s="17" t="n"/>
      <c r="F259" s="17" t="n"/>
      <c r="G259" s="19" t="n"/>
      <c r="H259" s="17" t="n"/>
      <c r="I259" s="18" t="n"/>
      <c r="J259" s="19" t="n"/>
      <c r="K259" s="17" t="n"/>
      <c r="L259" s="17" t="n"/>
      <c r="M259" s="17" t="n"/>
      <c r="N259" s="17" t="n"/>
      <c r="O259" s="17" t="n"/>
      <c r="P259" s="17" t="n"/>
      <c r="Q259" s="19" t="n"/>
      <c r="R259" s="19" t="n"/>
      <c r="S259" s="7">
        <f>IF(I259="","",IF(TODAY()&gt;=I259,"到期","未到期"))</f>
        <v/>
      </c>
    </row>
    <row r="260">
      <c r="A260" s="16">
        <f>IF(B260="","","V-"&amp;TEXT(ROW()-1,"000"))</f>
        <v/>
      </c>
      <c r="B260" s="17" t="n"/>
      <c r="C260" s="18" t="n"/>
      <c r="D260" s="17" t="n"/>
      <c r="E260" s="17" t="n"/>
      <c r="F260" s="17" t="n"/>
      <c r="G260" s="19" t="n"/>
      <c r="H260" s="17" t="n"/>
      <c r="I260" s="18" t="n"/>
      <c r="J260" s="19" t="n"/>
      <c r="K260" s="17" t="n"/>
      <c r="L260" s="17" t="n"/>
      <c r="M260" s="17" t="n"/>
      <c r="N260" s="17" t="n"/>
      <c r="O260" s="17" t="n"/>
      <c r="P260" s="17" t="n"/>
      <c r="Q260" s="19" t="n"/>
      <c r="R260" s="19" t="n"/>
      <c r="S260" s="7">
        <f>IF(I260="","",IF(TODAY()&gt;=I260,"到期","未到期"))</f>
        <v/>
      </c>
    </row>
    <row r="261">
      <c r="A261" s="16">
        <f>IF(B261="","","V-"&amp;TEXT(ROW()-1,"000"))</f>
        <v/>
      </c>
      <c r="B261" s="17" t="n"/>
      <c r="C261" s="18" t="n"/>
      <c r="D261" s="17" t="n"/>
      <c r="E261" s="17" t="n"/>
      <c r="F261" s="17" t="n"/>
      <c r="G261" s="19" t="n"/>
      <c r="H261" s="17" t="n"/>
      <c r="I261" s="18" t="n"/>
      <c r="J261" s="19" t="n"/>
      <c r="K261" s="17" t="n"/>
      <c r="L261" s="17" t="n"/>
      <c r="M261" s="17" t="n"/>
      <c r="N261" s="17" t="n"/>
      <c r="O261" s="17" t="n"/>
      <c r="P261" s="17" t="n"/>
      <c r="Q261" s="19" t="n"/>
      <c r="R261" s="19" t="n"/>
      <c r="S261" s="7">
        <f>IF(I261="","",IF(TODAY()&gt;=I261,"到期","未到期"))</f>
        <v/>
      </c>
    </row>
    <row r="262">
      <c r="A262" s="16">
        <f>IF(B262="","","V-"&amp;TEXT(ROW()-1,"000"))</f>
        <v/>
      </c>
      <c r="B262" s="17" t="n"/>
      <c r="C262" s="18" t="n"/>
      <c r="D262" s="17" t="n"/>
      <c r="E262" s="17" t="n"/>
      <c r="F262" s="17" t="n"/>
      <c r="G262" s="19" t="n"/>
      <c r="H262" s="17" t="n"/>
      <c r="I262" s="18" t="n"/>
      <c r="J262" s="19" t="n"/>
      <c r="K262" s="17" t="n"/>
      <c r="L262" s="17" t="n"/>
      <c r="M262" s="17" t="n"/>
      <c r="N262" s="17" t="n"/>
      <c r="O262" s="17" t="n"/>
      <c r="P262" s="17" t="n"/>
      <c r="Q262" s="19" t="n"/>
      <c r="R262" s="19" t="n"/>
      <c r="S262" s="7">
        <f>IF(I262="","",IF(TODAY()&gt;=I262,"到期","未到期"))</f>
        <v/>
      </c>
    </row>
    <row r="263">
      <c r="A263" s="16">
        <f>IF(B263="","","V-"&amp;TEXT(ROW()-1,"000"))</f>
        <v/>
      </c>
      <c r="B263" s="17" t="n"/>
      <c r="C263" s="18" t="n"/>
      <c r="D263" s="17" t="n"/>
      <c r="E263" s="17" t="n"/>
      <c r="F263" s="17" t="n"/>
      <c r="G263" s="19" t="n"/>
      <c r="H263" s="17" t="n"/>
      <c r="I263" s="18" t="n"/>
      <c r="J263" s="19" t="n"/>
      <c r="K263" s="17" t="n"/>
      <c r="L263" s="17" t="n"/>
      <c r="M263" s="17" t="n"/>
      <c r="N263" s="17" t="n"/>
      <c r="O263" s="17" t="n"/>
      <c r="P263" s="17" t="n"/>
      <c r="Q263" s="19" t="n"/>
      <c r="R263" s="19" t="n"/>
      <c r="S263" s="7">
        <f>IF(I263="","",IF(TODAY()&gt;=I263,"到期","未到期"))</f>
        <v/>
      </c>
    </row>
    <row r="264">
      <c r="A264" s="16">
        <f>IF(B264="","","V-"&amp;TEXT(ROW()-1,"000"))</f>
        <v/>
      </c>
      <c r="B264" s="17" t="n"/>
      <c r="C264" s="18" t="n"/>
      <c r="D264" s="17" t="n"/>
      <c r="E264" s="17" t="n"/>
      <c r="F264" s="17" t="n"/>
      <c r="G264" s="19" t="n"/>
      <c r="H264" s="17" t="n"/>
      <c r="I264" s="18" t="n"/>
      <c r="J264" s="19" t="n"/>
      <c r="K264" s="17" t="n"/>
      <c r="L264" s="17" t="n"/>
      <c r="M264" s="17" t="n"/>
      <c r="N264" s="17" t="n"/>
      <c r="O264" s="17" t="n"/>
      <c r="P264" s="17" t="n"/>
      <c r="Q264" s="19" t="n"/>
      <c r="R264" s="19" t="n"/>
      <c r="S264" s="7">
        <f>IF(I264="","",IF(TODAY()&gt;=I264,"到期","未到期"))</f>
        <v/>
      </c>
    </row>
    <row r="265">
      <c r="A265" s="16">
        <f>IF(B265="","","V-"&amp;TEXT(ROW()-1,"000"))</f>
        <v/>
      </c>
      <c r="B265" s="17" t="n"/>
      <c r="C265" s="18" t="n"/>
      <c r="D265" s="17" t="n"/>
      <c r="E265" s="17" t="n"/>
      <c r="F265" s="17" t="n"/>
      <c r="G265" s="19" t="n"/>
      <c r="H265" s="17" t="n"/>
      <c r="I265" s="18" t="n"/>
      <c r="J265" s="19" t="n"/>
      <c r="K265" s="17" t="n"/>
      <c r="L265" s="17" t="n"/>
      <c r="M265" s="17" t="n"/>
      <c r="N265" s="17" t="n"/>
      <c r="O265" s="17" t="n"/>
      <c r="P265" s="17" t="n"/>
      <c r="Q265" s="19" t="n"/>
      <c r="R265" s="19" t="n"/>
      <c r="S265" s="7">
        <f>IF(I265="","",IF(TODAY()&gt;=I265,"到期","未到期"))</f>
        <v/>
      </c>
    </row>
    <row r="266">
      <c r="A266" s="16">
        <f>IF(B266="","","V-"&amp;TEXT(ROW()-1,"000"))</f>
        <v/>
      </c>
      <c r="B266" s="17" t="n"/>
      <c r="C266" s="18" t="n"/>
      <c r="D266" s="17" t="n"/>
      <c r="E266" s="17" t="n"/>
      <c r="F266" s="17" t="n"/>
      <c r="G266" s="19" t="n"/>
      <c r="H266" s="17" t="n"/>
      <c r="I266" s="18" t="n"/>
      <c r="J266" s="19" t="n"/>
      <c r="K266" s="17" t="n"/>
      <c r="L266" s="17" t="n"/>
      <c r="M266" s="17" t="n"/>
      <c r="N266" s="17" t="n"/>
      <c r="O266" s="17" t="n"/>
      <c r="P266" s="17" t="n"/>
      <c r="Q266" s="19" t="n"/>
      <c r="R266" s="19" t="n"/>
      <c r="S266" s="7">
        <f>IF(I266="","",IF(TODAY()&gt;=I266,"到期","未到期"))</f>
        <v/>
      </c>
    </row>
    <row r="267">
      <c r="A267" s="16">
        <f>IF(B267="","","V-"&amp;TEXT(ROW()-1,"000"))</f>
        <v/>
      </c>
      <c r="B267" s="17" t="n"/>
      <c r="C267" s="18" t="n"/>
      <c r="D267" s="17" t="n"/>
      <c r="E267" s="17" t="n"/>
      <c r="F267" s="17" t="n"/>
      <c r="G267" s="19" t="n"/>
      <c r="H267" s="17" t="n"/>
      <c r="I267" s="18" t="n"/>
      <c r="J267" s="19" t="n"/>
      <c r="K267" s="17" t="n"/>
      <c r="L267" s="17" t="n"/>
      <c r="M267" s="17" t="n"/>
      <c r="N267" s="17" t="n"/>
      <c r="O267" s="17" t="n"/>
      <c r="P267" s="17" t="n"/>
      <c r="Q267" s="19" t="n"/>
      <c r="R267" s="19" t="n"/>
      <c r="S267" s="7">
        <f>IF(I267="","",IF(TODAY()&gt;=I267,"到期","未到期"))</f>
        <v/>
      </c>
    </row>
    <row r="268">
      <c r="A268" s="16">
        <f>IF(B268="","","V-"&amp;TEXT(ROW()-1,"000"))</f>
        <v/>
      </c>
      <c r="B268" s="17" t="n"/>
      <c r="C268" s="18" t="n"/>
      <c r="D268" s="17" t="n"/>
      <c r="E268" s="17" t="n"/>
      <c r="F268" s="17" t="n"/>
      <c r="G268" s="19" t="n"/>
      <c r="H268" s="17" t="n"/>
      <c r="I268" s="18" t="n"/>
      <c r="J268" s="19" t="n"/>
      <c r="K268" s="17" t="n"/>
      <c r="L268" s="17" t="n"/>
      <c r="M268" s="17" t="n"/>
      <c r="N268" s="17" t="n"/>
      <c r="O268" s="17" t="n"/>
      <c r="P268" s="17" t="n"/>
      <c r="Q268" s="19" t="n"/>
      <c r="R268" s="19" t="n"/>
      <c r="S268" s="7">
        <f>IF(I268="","",IF(TODAY()&gt;=I268,"到期","未到期"))</f>
        <v/>
      </c>
    </row>
    <row r="269">
      <c r="A269" s="16">
        <f>IF(B269="","","V-"&amp;TEXT(ROW()-1,"000"))</f>
        <v/>
      </c>
      <c r="B269" s="17" t="n"/>
      <c r="C269" s="18" t="n"/>
      <c r="D269" s="17" t="n"/>
      <c r="E269" s="17" t="n"/>
      <c r="F269" s="17" t="n"/>
      <c r="G269" s="19" t="n"/>
      <c r="H269" s="17" t="n"/>
      <c r="I269" s="18" t="n"/>
      <c r="J269" s="19" t="n"/>
      <c r="K269" s="17" t="n"/>
      <c r="L269" s="17" t="n"/>
      <c r="M269" s="17" t="n"/>
      <c r="N269" s="17" t="n"/>
      <c r="O269" s="17" t="n"/>
      <c r="P269" s="17" t="n"/>
      <c r="Q269" s="19" t="n"/>
      <c r="R269" s="19" t="n"/>
      <c r="S269" s="7">
        <f>IF(I269="","",IF(TODAY()&gt;=I269,"到期","未到期"))</f>
        <v/>
      </c>
    </row>
    <row r="270">
      <c r="A270" s="16">
        <f>IF(B270="","","V-"&amp;TEXT(ROW()-1,"000"))</f>
        <v/>
      </c>
      <c r="B270" s="17" t="n"/>
      <c r="C270" s="18" t="n"/>
      <c r="D270" s="17" t="n"/>
      <c r="E270" s="17" t="n"/>
      <c r="F270" s="17" t="n"/>
      <c r="G270" s="19" t="n"/>
      <c r="H270" s="17" t="n"/>
      <c r="I270" s="18" t="n"/>
      <c r="J270" s="19" t="n"/>
      <c r="K270" s="17" t="n"/>
      <c r="L270" s="17" t="n"/>
      <c r="M270" s="17" t="n"/>
      <c r="N270" s="17" t="n"/>
      <c r="O270" s="17" t="n"/>
      <c r="P270" s="17" t="n"/>
      <c r="Q270" s="19" t="n"/>
      <c r="R270" s="19" t="n"/>
      <c r="S270" s="7">
        <f>IF(I270="","",IF(TODAY()&gt;=I270,"到期","未到期"))</f>
        <v/>
      </c>
    </row>
    <row r="271">
      <c r="A271" s="16">
        <f>IF(B271="","","V-"&amp;TEXT(ROW()-1,"000"))</f>
        <v/>
      </c>
      <c r="B271" s="17" t="n"/>
      <c r="C271" s="18" t="n"/>
      <c r="D271" s="17" t="n"/>
      <c r="E271" s="17" t="n"/>
      <c r="F271" s="17" t="n"/>
      <c r="G271" s="19" t="n"/>
      <c r="H271" s="17" t="n"/>
      <c r="I271" s="18" t="n"/>
      <c r="J271" s="19" t="n"/>
      <c r="K271" s="17" t="n"/>
      <c r="L271" s="17" t="n"/>
      <c r="M271" s="17" t="n"/>
      <c r="N271" s="17" t="n"/>
      <c r="O271" s="17" t="n"/>
      <c r="P271" s="17" t="n"/>
      <c r="Q271" s="19" t="n"/>
      <c r="R271" s="19" t="n"/>
      <c r="S271" s="7">
        <f>IF(I271="","",IF(TODAY()&gt;=I271,"到期","未到期"))</f>
        <v/>
      </c>
    </row>
    <row r="272">
      <c r="A272" s="16">
        <f>IF(B272="","","V-"&amp;TEXT(ROW()-1,"000"))</f>
        <v/>
      </c>
      <c r="B272" s="17" t="n"/>
      <c r="C272" s="18" t="n"/>
      <c r="D272" s="17" t="n"/>
      <c r="E272" s="17" t="n"/>
      <c r="F272" s="17" t="n"/>
      <c r="G272" s="19" t="n"/>
      <c r="H272" s="17" t="n"/>
      <c r="I272" s="18" t="n"/>
      <c r="J272" s="19" t="n"/>
      <c r="K272" s="17" t="n"/>
      <c r="L272" s="17" t="n"/>
      <c r="M272" s="17" t="n"/>
      <c r="N272" s="17" t="n"/>
      <c r="O272" s="17" t="n"/>
      <c r="P272" s="17" t="n"/>
      <c r="Q272" s="19" t="n"/>
      <c r="R272" s="19" t="n"/>
      <c r="S272" s="7">
        <f>IF(I272="","",IF(TODAY()&gt;=I272,"到期","未到期"))</f>
        <v/>
      </c>
    </row>
    <row r="273">
      <c r="A273" s="16">
        <f>IF(B273="","","V-"&amp;TEXT(ROW()-1,"000"))</f>
        <v/>
      </c>
      <c r="B273" s="17" t="n"/>
      <c r="C273" s="18" t="n"/>
      <c r="D273" s="17" t="n"/>
      <c r="E273" s="17" t="n"/>
      <c r="F273" s="17" t="n"/>
      <c r="G273" s="19" t="n"/>
      <c r="H273" s="17" t="n"/>
      <c r="I273" s="18" t="n"/>
      <c r="J273" s="19" t="n"/>
      <c r="K273" s="17" t="n"/>
      <c r="L273" s="17" t="n"/>
      <c r="M273" s="17" t="n"/>
      <c r="N273" s="17" t="n"/>
      <c r="O273" s="17" t="n"/>
      <c r="P273" s="17" t="n"/>
      <c r="Q273" s="19" t="n"/>
      <c r="R273" s="19" t="n"/>
      <c r="S273" s="7">
        <f>IF(I273="","",IF(TODAY()&gt;=I273,"到期","未到期"))</f>
        <v/>
      </c>
    </row>
    <row r="274">
      <c r="A274" s="16">
        <f>IF(B274="","","V-"&amp;TEXT(ROW()-1,"000"))</f>
        <v/>
      </c>
      <c r="B274" s="17" t="n"/>
      <c r="C274" s="18" t="n"/>
      <c r="D274" s="17" t="n"/>
      <c r="E274" s="17" t="n"/>
      <c r="F274" s="17" t="n"/>
      <c r="G274" s="19" t="n"/>
      <c r="H274" s="17" t="n"/>
      <c r="I274" s="18" t="n"/>
      <c r="J274" s="19" t="n"/>
      <c r="K274" s="17" t="n"/>
      <c r="L274" s="17" t="n"/>
      <c r="M274" s="17" t="n"/>
      <c r="N274" s="17" t="n"/>
      <c r="O274" s="17" t="n"/>
      <c r="P274" s="17" t="n"/>
      <c r="Q274" s="19" t="n"/>
      <c r="R274" s="19" t="n"/>
      <c r="S274" s="7">
        <f>IF(I274="","",IF(TODAY()&gt;=I274,"到期","未到期"))</f>
        <v/>
      </c>
    </row>
    <row r="275">
      <c r="A275" s="16">
        <f>IF(B275="","","V-"&amp;TEXT(ROW()-1,"000"))</f>
        <v/>
      </c>
      <c r="B275" s="17" t="n"/>
      <c r="C275" s="18" t="n"/>
      <c r="D275" s="17" t="n"/>
      <c r="E275" s="17" t="n"/>
      <c r="F275" s="17" t="n"/>
      <c r="G275" s="19" t="n"/>
      <c r="H275" s="17" t="n"/>
      <c r="I275" s="18" t="n"/>
      <c r="J275" s="19" t="n"/>
      <c r="K275" s="17" t="n"/>
      <c r="L275" s="17" t="n"/>
      <c r="M275" s="17" t="n"/>
      <c r="N275" s="17" t="n"/>
      <c r="O275" s="17" t="n"/>
      <c r="P275" s="17" t="n"/>
      <c r="Q275" s="19" t="n"/>
      <c r="R275" s="19" t="n"/>
      <c r="S275" s="7">
        <f>IF(I275="","",IF(TODAY()&gt;=I275,"到期","未到期"))</f>
        <v/>
      </c>
    </row>
    <row r="276">
      <c r="A276" s="16">
        <f>IF(B276="","","V-"&amp;TEXT(ROW()-1,"000"))</f>
        <v/>
      </c>
      <c r="B276" s="17" t="n"/>
      <c r="C276" s="18" t="n"/>
      <c r="D276" s="17" t="n"/>
      <c r="E276" s="17" t="n"/>
      <c r="F276" s="17" t="n"/>
      <c r="G276" s="19" t="n"/>
      <c r="H276" s="17" t="n"/>
      <c r="I276" s="18" t="n"/>
      <c r="J276" s="19" t="n"/>
      <c r="K276" s="17" t="n"/>
      <c r="L276" s="17" t="n"/>
      <c r="M276" s="17" t="n"/>
      <c r="N276" s="17" t="n"/>
      <c r="O276" s="17" t="n"/>
      <c r="P276" s="17" t="n"/>
      <c r="Q276" s="19" t="n"/>
      <c r="R276" s="19" t="n"/>
      <c r="S276" s="7">
        <f>IF(I276="","",IF(TODAY()&gt;=I276,"到期","未到期"))</f>
        <v/>
      </c>
    </row>
    <row r="277">
      <c r="A277" s="16">
        <f>IF(B277="","","V-"&amp;TEXT(ROW()-1,"000"))</f>
        <v/>
      </c>
      <c r="B277" s="17" t="n"/>
      <c r="C277" s="18" t="n"/>
      <c r="D277" s="17" t="n"/>
      <c r="E277" s="17" t="n"/>
      <c r="F277" s="17" t="n"/>
      <c r="G277" s="19" t="n"/>
      <c r="H277" s="17" t="n"/>
      <c r="I277" s="18" t="n"/>
      <c r="J277" s="19" t="n"/>
      <c r="K277" s="17" t="n"/>
      <c r="L277" s="17" t="n"/>
      <c r="M277" s="17" t="n"/>
      <c r="N277" s="17" t="n"/>
      <c r="O277" s="17" t="n"/>
      <c r="P277" s="17" t="n"/>
      <c r="Q277" s="19" t="n"/>
      <c r="R277" s="19" t="n"/>
      <c r="S277" s="7">
        <f>IF(I277="","",IF(TODAY()&gt;=I277,"到期","未到期"))</f>
        <v/>
      </c>
    </row>
    <row r="278">
      <c r="A278" s="16">
        <f>IF(B278="","","V-"&amp;TEXT(ROW()-1,"000"))</f>
        <v/>
      </c>
      <c r="B278" s="17" t="n"/>
      <c r="C278" s="18" t="n"/>
      <c r="D278" s="17" t="n"/>
      <c r="E278" s="17" t="n"/>
      <c r="F278" s="17" t="n"/>
      <c r="G278" s="19" t="n"/>
      <c r="H278" s="17" t="n"/>
      <c r="I278" s="18" t="n"/>
      <c r="J278" s="19" t="n"/>
      <c r="K278" s="17" t="n"/>
      <c r="L278" s="17" t="n"/>
      <c r="M278" s="17" t="n"/>
      <c r="N278" s="17" t="n"/>
      <c r="O278" s="17" t="n"/>
      <c r="P278" s="17" t="n"/>
      <c r="Q278" s="19" t="n"/>
      <c r="R278" s="19" t="n"/>
      <c r="S278" s="7">
        <f>IF(I278="","",IF(TODAY()&gt;=I278,"到期","未到期"))</f>
        <v/>
      </c>
    </row>
    <row r="279">
      <c r="A279" s="16">
        <f>IF(B279="","","V-"&amp;TEXT(ROW()-1,"000"))</f>
        <v/>
      </c>
      <c r="B279" s="17" t="n"/>
      <c r="C279" s="18" t="n"/>
      <c r="D279" s="17" t="n"/>
      <c r="E279" s="17" t="n"/>
      <c r="F279" s="17" t="n"/>
      <c r="G279" s="19" t="n"/>
      <c r="H279" s="17" t="n"/>
      <c r="I279" s="18" t="n"/>
      <c r="J279" s="19" t="n"/>
      <c r="K279" s="17" t="n"/>
      <c r="L279" s="17" t="n"/>
      <c r="M279" s="17" t="n"/>
      <c r="N279" s="17" t="n"/>
      <c r="O279" s="17" t="n"/>
      <c r="P279" s="17" t="n"/>
      <c r="Q279" s="19" t="n"/>
      <c r="R279" s="19" t="n"/>
      <c r="S279" s="7">
        <f>IF(I279="","",IF(TODAY()&gt;=I279,"到期","未到期"))</f>
        <v/>
      </c>
    </row>
    <row r="280">
      <c r="A280" s="16">
        <f>IF(B280="","","V-"&amp;TEXT(ROW()-1,"000"))</f>
        <v/>
      </c>
      <c r="B280" s="17" t="n"/>
      <c r="C280" s="18" t="n"/>
      <c r="D280" s="17" t="n"/>
      <c r="E280" s="17" t="n"/>
      <c r="F280" s="17" t="n"/>
      <c r="G280" s="19" t="n"/>
      <c r="H280" s="17" t="n"/>
      <c r="I280" s="18" t="n"/>
      <c r="J280" s="19" t="n"/>
      <c r="K280" s="17" t="n"/>
      <c r="L280" s="17" t="n"/>
      <c r="M280" s="17" t="n"/>
      <c r="N280" s="17" t="n"/>
      <c r="O280" s="17" t="n"/>
      <c r="P280" s="17" t="n"/>
      <c r="Q280" s="19" t="n"/>
      <c r="R280" s="19" t="n"/>
      <c r="S280" s="7">
        <f>IF(I280="","",IF(TODAY()&gt;=I280,"到期","未到期"))</f>
        <v/>
      </c>
    </row>
    <row r="281">
      <c r="A281" s="16">
        <f>IF(B281="","","V-"&amp;TEXT(ROW()-1,"000"))</f>
        <v/>
      </c>
      <c r="B281" s="17" t="n"/>
      <c r="C281" s="18" t="n"/>
      <c r="D281" s="17" t="n"/>
      <c r="E281" s="17" t="n"/>
      <c r="F281" s="17" t="n"/>
      <c r="G281" s="19" t="n"/>
      <c r="H281" s="17" t="n"/>
      <c r="I281" s="18" t="n"/>
      <c r="J281" s="19" t="n"/>
      <c r="K281" s="17" t="n"/>
      <c r="L281" s="17" t="n"/>
      <c r="M281" s="17" t="n"/>
      <c r="N281" s="17" t="n"/>
      <c r="O281" s="17" t="n"/>
      <c r="P281" s="17" t="n"/>
      <c r="Q281" s="19" t="n"/>
      <c r="R281" s="19" t="n"/>
      <c r="S281" s="7">
        <f>IF(I281="","",IF(TODAY()&gt;=I281,"到期","未到期"))</f>
        <v/>
      </c>
    </row>
    <row r="282">
      <c r="A282" s="16">
        <f>IF(B282="","","V-"&amp;TEXT(ROW()-1,"000"))</f>
        <v/>
      </c>
      <c r="B282" s="17" t="n"/>
      <c r="C282" s="18" t="n"/>
      <c r="D282" s="17" t="n"/>
      <c r="E282" s="17" t="n"/>
      <c r="F282" s="17" t="n"/>
      <c r="G282" s="19" t="n"/>
      <c r="H282" s="17" t="n"/>
      <c r="I282" s="18" t="n"/>
      <c r="J282" s="19" t="n"/>
      <c r="K282" s="17" t="n"/>
      <c r="L282" s="17" t="n"/>
      <c r="M282" s="17" t="n"/>
      <c r="N282" s="17" t="n"/>
      <c r="O282" s="17" t="n"/>
      <c r="P282" s="17" t="n"/>
      <c r="Q282" s="19" t="n"/>
      <c r="R282" s="19" t="n"/>
      <c r="S282" s="7">
        <f>IF(I282="","",IF(TODAY()&gt;=I282,"到期","未到期"))</f>
        <v/>
      </c>
    </row>
    <row r="283">
      <c r="A283" s="16">
        <f>IF(B283="","","V-"&amp;TEXT(ROW()-1,"000"))</f>
        <v/>
      </c>
      <c r="B283" s="17" t="n"/>
      <c r="C283" s="18" t="n"/>
      <c r="D283" s="17" t="n"/>
      <c r="E283" s="17" t="n"/>
      <c r="F283" s="17" t="n"/>
      <c r="G283" s="19" t="n"/>
      <c r="H283" s="17" t="n"/>
      <c r="I283" s="18" t="n"/>
      <c r="J283" s="19" t="n"/>
      <c r="K283" s="17" t="n"/>
      <c r="L283" s="17" t="n"/>
      <c r="M283" s="17" t="n"/>
      <c r="N283" s="17" t="n"/>
      <c r="O283" s="17" t="n"/>
      <c r="P283" s="17" t="n"/>
      <c r="Q283" s="19" t="n"/>
      <c r="R283" s="19" t="n"/>
      <c r="S283" s="7">
        <f>IF(I283="","",IF(TODAY()&gt;=I283,"到期","未到期"))</f>
        <v/>
      </c>
    </row>
    <row r="284">
      <c r="A284" s="16">
        <f>IF(B284="","","V-"&amp;TEXT(ROW()-1,"000"))</f>
        <v/>
      </c>
      <c r="B284" s="17" t="n"/>
      <c r="C284" s="18" t="n"/>
      <c r="D284" s="17" t="n"/>
      <c r="E284" s="17" t="n"/>
      <c r="F284" s="17" t="n"/>
      <c r="G284" s="19" t="n"/>
      <c r="H284" s="17" t="n"/>
      <c r="I284" s="18" t="n"/>
      <c r="J284" s="19" t="n"/>
      <c r="K284" s="17" t="n"/>
      <c r="L284" s="17" t="n"/>
      <c r="M284" s="17" t="n"/>
      <c r="N284" s="17" t="n"/>
      <c r="O284" s="17" t="n"/>
      <c r="P284" s="17" t="n"/>
      <c r="Q284" s="19" t="n"/>
      <c r="R284" s="19" t="n"/>
      <c r="S284" s="7">
        <f>IF(I284="","",IF(TODAY()&gt;=I284,"到期","未到期"))</f>
        <v/>
      </c>
    </row>
    <row r="285">
      <c r="A285" s="16">
        <f>IF(B285="","","V-"&amp;TEXT(ROW()-1,"000"))</f>
        <v/>
      </c>
      <c r="B285" s="17" t="n"/>
      <c r="C285" s="18" t="n"/>
      <c r="D285" s="17" t="n"/>
      <c r="E285" s="17" t="n"/>
      <c r="F285" s="17" t="n"/>
      <c r="G285" s="19" t="n"/>
      <c r="H285" s="17" t="n"/>
      <c r="I285" s="18" t="n"/>
      <c r="J285" s="19" t="n"/>
      <c r="K285" s="17" t="n"/>
      <c r="L285" s="17" t="n"/>
      <c r="M285" s="17" t="n"/>
      <c r="N285" s="17" t="n"/>
      <c r="O285" s="17" t="n"/>
      <c r="P285" s="17" t="n"/>
      <c r="Q285" s="19" t="n"/>
      <c r="R285" s="19" t="n"/>
      <c r="S285" s="7">
        <f>IF(I285="","",IF(TODAY()&gt;=I285,"到期","未到期"))</f>
        <v/>
      </c>
    </row>
    <row r="286">
      <c r="A286" s="16">
        <f>IF(B286="","","V-"&amp;TEXT(ROW()-1,"000"))</f>
        <v/>
      </c>
      <c r="B286" s="17" t="n"/>
      <c r="C286" s="18" t="n"/>
      <c r="D286" s="17" t="n"/>
      <c r="E286" s="17" t="n"/>
      <c r="F286" s="17" t="n"/>
      <c r="G286" s="19" t="n"/>
      <c r="H286" s="17" t="n"/>
      <c r="I286" s="18" t="n"/>
      <c r="J286" s="19" t="n"/>
      <c r="K286" s="17" t="n"/>
      <c r="L286" s="17" t="n"/>
      <c r="M286" s="17" t="n"/>
      <c r="N286" s="17" t="n"/>
      <c r="O286" s="17" t="n"/>
      <c r="P286" s="17" t="n"/>
      <c r="Q286" s="19" t="n"/>
      <c r="R286" s="19" t="n"/>
      <c r="S286" s="7">
        <f>IF(I286="","",IF(TODAY()&gt;=I286,"到期","未到期"))</f>
        <v/>
      </c>
    </row>
    <row r="287">
      <c r="A287" s="16">
        <f>IF(B287="","","V-"&amp;TEXT(ROW()-1,"000"))</f>
        <v/>
      </c>
      <c r="B287" s="17" t="n"/>
      <c r="C287" s="18" t="n"/>
      <c r="D287" s="17" t="n"/>
      <c r="E287" s="17" t="n"/>
      <c r="F287" s="17" t="n"/>
      <c r="G287" s="19" t="n"/>
      <c r="H287" s="17" t="n"/>
      <c r="I287" s="18" t="n"/>
      <c r="J287" s="19" t="n"/>
      <c r="K287" s="17" t="n"/>
      <c r="L287" s="17" t="n"/>
      <c r="M287" s="17" t="n"/>
      <c r="N287" s="17" t="n"/>
      <c r="O287" s="17" t="n"/>
      <c r="P287" s="17" t="n"/>
      <c r="Q287" s="19" t="n"/>
      <c r="R287" s="19" t="n"/>
      <c r="S287" s="7">
        <f>IF(I287="","",IF(TODAY()&gt;=I287,"到期","未到期"))</f>
        <v/>
      </c>
    </row>
    <row r="288">
      <c r="A288" s="16">
        <f>IF(B288="","","V-"&amp;TEXT(ROW()-1,"000"))</f>
        <v/>
      </c>
      <c r="B288" s="17" t="n"/>
      <c r="C288" s="18" t="n"/>
      <c r="D288" s="17" t="n"/>
      <c r="E288" s="17" t="n"/>
      <c r="F288" s="17" t="n"/>
      <c r="G288" s="19" t="n"/>
      <c r="H288" s="17" t="n"/>
      <c r="I288" s="18" t="n"/>
      <c r="J288" s="19" t="n"/>
      <c r="K288" s="17" t="n"/>
      <c r="L288" s="17" t="n"/>
      <c r="M288" s="17" t="n"/>
      <c r="N288" s="17" t="n"/>
      <c r="O288" s="17" t="n"/>
      <c r="P288" s="17" t="n"/>
      <c r="Q288" s="19" t="n"/>
      <c r="R288" s="19" t="n"/>
      <c r="S288" s="7">
        <f>IF(I288="","",IF(TODAY()&gt;=I288,"到期","未到期"))</f>
        <v/>
      </c>
    </row>
    <row r="289">
      <c r="A289" s="16">
        <f>IF(B289="","","V-"&amp;TEXT(ROW()-1,"000"))</f>
        <v/>
      </c>
      <c r="B289" s="17" t="n"/>
      <c r="C289" s="18" t="n"/>
      <c r="D289" s="17" t="n"/>
      <c r="E289" s="17" t="n"/>
      <c r="F289" s="17" t="n"/>
      <c r="G289" s="19" t="n"/>
      <c r="H289" s="17" t="n"/>
      <c r="I289" s="18" t="n"/>
      <c r="J289" s="19" t="n"/>
      <c r="K289" s="17" t="n"/>
      <c r="L289" s="17" t="n"/>
      <c r="M289" s="17" t="n"/>
      <c r="N289" s="17" t="n"/>
      <c r="O289" s="17" t="n"/>
      <c r="P289" s="17" t="n"/>
      <c r="Q289" s="19" t="n"/>
      <c r="R289" s="19" t="n"/>
      <c r="S289" s="7">
        <f>IF(I289="","",IF(TODAY()&gt;=I289,"到期","未到期"))</f>
        <v/>
      </c>
    </row>
    <row r="290">
      <c r="A290" s="16">
        <f>IF(B290="","","V-"&amp;TEXT(ROW()-1,"000"))</f>
        <v/>
      </c>
      <c r="B290" s="17" t="n"/>
      <c r="C290" s="18" t="n"/>
      <c r="D290" s="17" t="n"/>
      <c r="E290" s="17" t="n"/>
      <c r="F290" s="17" t="n"/>
      <c r="G290" s="19" t="n"/>
      <c r="H290" s="17" t="n"/>
      <c r="I290" s="18" t="n"/>
      <c r="J290" s="19" t="n"/>
      <c r="K290" s="17" t="n"/>
      <c r="L290" s="17" t="n"/>
      <c r="M290" s="17" t="n"/>
      <c r="N290" s="17" t="n"/>
      <c r="O290" s="17" t="n"/>
      <c r="P290" s="17" t="n"/>
      <c r="Q290" s="19" t="n"/>
      <c r="R290" s="19" t="n"/>
      <c r="S290" s="7">
        <f>IF(I290="","",IF(TODAY()&gt;=I290,"到期","未到期"))</f>
        <v/>
      </c>
    </row>
    <row r="291">
      <c r="A291" s="16">
        <f>IF(B291="","","V-"&amp;TEXT(ROW()-1,"000"))</f>
        <v/>
      </c>
      <c r="B291" s="17" t="n"/>
      <c r="C291" s="18" t="n"/>
      <c r="D291" s="17" t="n"/>
      <c r="E291" s="17" t="n"/>
      <c r="F291" s="17" t="n"/>
      <c r="G291" s="19" t="n"/>
      <c r="H291" s="17" t="n"/>
      <c r="I291" s="18" t="n"/>
      <c r="J291" s="19" t="n"/>
      <c r="K291" s="17" t="n"/>
      <c r="L291" s="17" t="n"/>
      <c r="M291" s="17" t="n"/>
      <c r="N291" s="17" t="n"/>
      <c r="O291" s="17" t="n"/>
      <c r="P291" s="17" t="n"/>
      <c r="Q291" s="19" t="n"/>
      <c r="R291" s="19" t="n"/>
      <c r="S291" s="7">
        <f>IF(I291="","",IF(TODAY()&gt;=I291,"到期","未到期"))</f>
        <v/>
      </c>
    </row>
    <row r="292">
      <c r="A292" s="16">
        <f>IF(B292="","","V-"&amp;TEXT(ROW()-1,"000"))</f>
        <v/>
      </c>
      <c r="B292" s="17" t="n"/>
      <c r="C292" s="18" t="n"/>
      <c r="D292" s="17" t="n"/>
      <c r="E292" s="17" t="n"/>
      <c r="F292" s="17" t="n"/>
      <c r="G292" s="19" t="n"/>
      <c r="H292" s="17" t="n"/>
      <c r="I292" s="18" t="n"/>
      <c r="J292" s="19" t="n"/>
      <c r="K292" s="17" t="n"/>
      <c r="L292" s="17" t="n"/>
      <c r="M292" s="17" t="n"/>
      <c r="N292" s="17" t="n"/>
      <c r="O292" s="17" t="n"/>
      <c r="P292" s="17" t="n"/>
      <c r="Q292" s="19" t="n"/>
      <c r="R292" s="19" t="n"/>
      <c r="S292" s="7">
        <f>IF(I292="","",IF(TODAY()&gt;=I292,"到期","未到期"))</f>
        <v/>
      </c>
    </row>
    <row r="293">
      <c r="A293" s="16">
        <f>IF(B293="","","V-"&amp;TEXT(ROW()-1,"000"))</f>
        <v/>
      </c>
      <c r="B293" s="17" t="n"/>
      <c r="C293" s="18" t="n"/>
      <c r="D293" s="17" t="n"/>
      <c r="E293" s="17" t="n"/>
      <c r="F293" s="17" t="n"/>
      <c r="G293" s="19" t="n"/>
      <c r="H293" s="17" t="n"/>
      <c r="I293" s="18" t="n"/>
      <c r="J293" s="19" t="n"/>
      <c r="K293" s="17" t="n"/>
      <c r="L293" s="17" t="n"/>
      <c r="M293" s="17" t="n"/>
      <c r="N293" s="17" t="n"/>
      <c r="O293" s="17" t="n"/>
      <c r="P293" s="17" t="n"/>
      <c r="Q293" s="19" t="n"/>
      <c r="R293" s="19" t="n"/>
      <c r="S293" s="7">
        <f>IF(I293="","",IF(TODAY()&gt;=I293,"到期","未到期"))</f>
        <v/>
      </c>
    </row>
    <row r="294">
      <c r="A294" s="16">
        <f>IF(B294="","","V-"&amp;TEXT(ROW()-1,"000"))</f>
        <v/>
      </c>
      <c r="B294" s="17" t="n"/>
      <c r="C294" s="18" t="n"/>
      <c r="D294" s="17" t="n"/>
      <c r="E294" s="17" t="n"/>
      <c r="F294" s="17" t="n"/>
      <c r="G294" s="19" t="n"/>
      <c r="H294" s="17" t="n"/>
      <c r="I294" s="18" t="n"/>
      <c r="J294" s="19" t="n"/>
      <c r="K294" s="17" t="n"/>
      <c r="L294" s="17" t="n"/>
      <c r="M294" s="17" t="n"/>
      <c r="N294" s="17" t="n"/>
      <c r="O294" s="17" t="n"/>
      <c r="P294" s="17" t="n"/>
      <c r="Q294" s="19" t="n"/>
      <c r="R294" s="19" t="n"/>
      <c r="S294" s="7">
        <f>IF(I294="","",IF(TODAY()&gt;=I294,"到期","未到期"))</f>
        <v/>
      </c>
    </row>
    <row r="295">
      <c r="A295" s="16">
        <f>IF(B295="","","V-"&amp;TEXT(ROW()-1,"000"))</f>
        <v/>
      </c>
      <c r="B295" s="17" t="n"/>
      <c r="C295" s="18" t="n"/>
      <c r="D295" s="17" t="n"/>
      <c r="E295" s="17" t="n"/>
      <c r="F295" s="17" t="n"/>
      <c r="G295" s="19" t="n"/>
      <c r="H295" s="17" t="n"/>
      <c r="I295" s="18" t="n"/>
      <c r="J295" s="19" t="n"/>
      <c r="K295" s="17" t="n"/>
      <c r="L295" s="17" t="n"/>
      <c r="M295" s="17" t="n"/>
      <c r="N295" s="17" t="n"/>
      <c r="O295" s="17" t="n"/>
      <c r="P295" s="17" t="n"/>
      <c r="Q295" s="19" t="n"/>
      <c r="R295" s="19" t="n"/>
      <c r="S295" s="7">
        <f>IF(I295="","",IF(TODAY()&gt;=I295,"到期","未到期"))</f>
        <v/>
      </c>
    </row>
    <row r="296">
      <c r="A296" s="16">
        <f>IF(B296="","","V-"&amp;TEXT(ROW()-1,"000"))</f>
        <v/>
      </c>
      <c r="B296" s="17" t="n"/>
      <c r="C296" s="18" t="n"/>
      <c r="D296" s="17" t="n"/>
      <c r="E296" s="17" t="n"/>
      <c r="F296" s="17" t="n"/>
      <c r="G296" s="19" t="n"/>
      <c r="H296" s="17" t="n"/>
      <c r="I296" s="18" t="n"/>
      <c r="J296" s="19" t="n"/>
      <c r="K296" s="17" t="n"/>
      <c r="L296" s="17" t="n"/>
      <c r="M296" s="17" t="n"/>
      <c r="N296" s="17" t="n"/>
      <c r="O296" s="17" t="n"/>
      <c r="P296" s="17" t="n"/>
      <c r="Q296" s="19" t="n"/>
      <c r="R296" s="19" t="n"/>
      <c r="S296" s="7">
        <f>IF(I296="","",IF(TODAY()&gt;=I296,"到期","未到期"))</f>
        <v/>
      </c>
    </row>
    <row r="297">
      <c r="A297" s="16">
        <f>IF(B297="","","V-"&amp;TEXT(ROW()-1,"000"))</f>
        <v/>
      </c>
      <c r="B297" s="17" t="n"/>
      <c r="C297" s="18" t="n"/>
      <c r="D297" s="17" t="n"/>
      <c r="E297" s="17" t="n"/>
      <c r="F297" s="17" t="n"/>
      <c r="G297" s="19" t="n"/>
      <c r="H297" s="17" t="n"/>
      <c r="I297" s="18" t="n"/>
      <c r="J297" s="19" t="n"/>
      <c r="K297" s="17" t="n"/>
      <c r="L297" s="17" t="n"/>
      <c r="M297" s="17" t="n"/>
      <c r="N297" s="17" t="n"/>
      <c r="O297" s="17" t="n"/>
      <c r="P297" s="17" t="n"/>
      <c r="Q297" s="19" t="n"/>
      <c r="R297" s="19" t="n"/>
      <c r="S297" s="7">
        <f>IF(I297="","",IF(TODAY()&gt;=I297,"到期","未到期"))</f>
        <v/>
      </c>
    </row>
    <row r="298">
      <c r="A298" s="16">
        <f>IF(B298="","","V-"&amp;TEXT(ROW()-1,"000"))</f>
        <v/>
      </c>
      <c r="B298" s="17" t="n"/>
      <c r="C298" s="18" t="n"/>
      <c r="D298" s="17" t="n"/>
      <c r="E298" s="17" t="n"/>
      <c r="F298" s="17" t="n"/>
      <c r="G298" s="19" t="n"/>
      <c r="H298" s="17" t="n"/>
      <c r="I298" s="18" t="n"/>
      <c r="J298" s="19" t="n"/>
      <c r="K298" s="17" t="n"/>
      <c r="L298" s="17" t="n"/>
      <c r="M298" s="17" t="n"/>
      <c r="N298" s="17" t="n"/>
      <c r="O298" s="17" t="n"/>
      <c r="P298" s="17" t="n"/>
      <c r="Q298" s="19" t="n"/>
      <c r="R298" s="19" t="n"/>
      <c r="S298" s="7">
        <f>IF(I298="","",IF(TODAY()&gt;=I298,"到期","未到期"))</f>
        <v/>
      </c>
    </row>
    <row r="299">
      <c r="A299" s="16">
        <f>IF(B299="","","V-"&amp;TEXT(ROW()-1,"000"))</f>
        <v/>
      </c>
      <c r="B299" s="17" t="n"/>
      <c r="C299" s="18" t="n"/>
      <c r="D299" s="17" t="n"/>
      <c r="E299" s="17" t="n"/>
      <c r="F299" s="17" t="n"/>
      <c r="G299" s="19" t="n"/>
      <c r="H299" s="17" t="n"/>
      <c r="I299" s="18" t="n"/>
      <c r="J299" s="19" t="n"/>
      <c r="K299" s="17" t="n"/>
      <c r="L299" s="17" t="n"/>
      <c r="M299" s="17" t="n"/>
      <c r="N299" s="17" t="n"/>
      <c r="O299" s="17" t="n"/>
      <c r="P299" s="17" t="n"/>
      <c r="Q299" s="19" t="n"/>
      <c r="R299" s="19" t="n"/>
      <c r="S299" s="7">
        <f>IF(I299="","",IF(TODAY()&gt;=I299,"到期","未到期"))</f>
        <v/>
      </c>
    </row>
    <row r="300">
      <c r="A300" s="16">
        <f>IF(B300="","","V-"&amp;TEXT(ROW()-1,"000"))</f>
        <v/>
      </c>
      <c r="B300" s="17" t="n"/>
      <c r="C300" s="18" t="n"/>
      <c r="D300" s="17" t="n"/>
      <c r="E300" s="17" t="n"/>
      <c r="F300" s="17" t="n"/>
      <c r="G300" s="19" t="n"/>
      <c r="H300" s="17" t="n"/>
      <c r="I300" s="18" t="n"/>
      <c r="J300" s="19" t="n"/>
      <c r="K300" s="17" t="n"/>
      <c r="L300" s="17" t="n"/>
      <c r="M300" s="17" t="n"/>
      <c r="N300" s="17" t="n"/>
      <c r="O300" s="17" t="n"/>
      <c r="P300" s="17" t="n"/>
      <c r="Q300" s="19" t="n"/>
      <c r="R300" s="19" t="n"/>
      <c r="S300" s="7">
        <f>IF(I300="","",IF(TODAY()&gt;=I300,"到期","未到期"))</f>
        <v/>
      </c>
    </row>
    <row r="301">
      <c r="A301" s="16">
        <f>IF(B301="","","V-"&amp;TEXT(ROW()-1,"000"))</f>
        <v/>
      </c>
      <c r="B301" s="17" t="n"/>
      <c r="C301" s="18" t="n"/>
      <c r="D301" s="17" t="n"/>
      <c r="E301" s="17" t="n"/>
      <c r="F301" s="17" t="n"/>
      <c r="G301" s="19" t="n"/>
      <c r="H301" s="17" t="n"/>
      <c r="I301" s="18" t="n"/>
      <c r="J301" s="19" t="n"/>
      <c r="K301" s="17" t="n"/>
      <c r="L301" s="17" t="n"/>
      <c r="M301" s="17" t="n"/>
      <c r="N301" s="17" t="n"/>
      <c r="O301" s="17" t="n"/>
      <c r="P301" s="17" t="n"/>
      <c r="Q301" s="19" t="n"/>
      <c r="R301" s="19" t="n"/>
      <c r="S301" s="7">
        <f>IF(I301="","",IF(TODAY()&gt;=I301,"到期","未到期"))</f>
        <v/>
      </c>
    </row>
    <row r="302">
      <c r="A302" s="16">
        <f>IF(B302="","","V-"&amp;TEXT(ROW()-1,"000"))</f>
        <v/>
      </c>
      <c r="B302" s="17" t="n"/>
      <c r="C302" s="18" t="n"/>
      <c r="D302" s="17" t="n"/>
      <c r="E302" s="17" t="n"/>
      <c r="F302" s="17" t="n"/>
      <c r="G302" s="19" t="n"/>
      <c r="H302" s="17" t="n"/>
      <c r="I302" s="18" t="n"/>
      <c r="J302" s="19" t="n"/>
      <c r="K302" s="17" t="n"/>
      <c r="L302" s="17" t="n"/>
      <c r="M302" s="17" t="n"/>
      <c r="N302" s="17" t="n"/>
      <c r="O302" s="17" t="n"/>
      <c r="P302" s="17" t="n"/>
      <c r="Q302" s="19" t="n"/>
      <c r="R302" s="19" t="n"/>
      <c r="S302" s="7">
        <f>IF(I302="","",IF(TODAY()&gt;=I302,"到期","未到期"))</f>
        <v/>
      </c>
    </row>
    <row r="303">
      <c r="A303" s="16">
        <f>IF(B303="","","V-"&amp;TEXT(ROW()-1,"000"))</f>
        <v/>
      </c>
      <c r="B303" s="17" t="n"/>
      <c r="C303" s="18" t="n"/>
      <c r="D303" s="17" t="n"/>
      <c r="E303" s="17" t="n"/>
      <c r="F303" s="17" t="n"/>
      <c r="G303" s="19" t="n"/>
      <c r="H303" s="17" t="n"/>
      <c r="I303" s="18" t="n"/>
      <c r="J303" s="19" t="n"/>
      <c r="K303" s="17" t="n"/>
      <c r="L303" s="17" t="n"/>
      <c r="M303" s="17" t="n"/>
      <c r="N303" s="17" t="n"/>
      <c r="O303" s="17" t="n"/>
      <c r="P303" s="17" t="n"/>
      <c r="Q303" s="19" t="n"/>
      <c r="R303" s="19" t="n"/>
      <c r="S303" s="7">
        <f>IF(I303="","",IF(TODAY()&gt;=I303,"到期","未到期"))</f>
        <v/>
      </c>
    </row>
    <row r="304">
      <c r="A304" s="16">
        <f>IF(B304="","","V-"&amp;TEXT(ROW()-1,"000"))</f>
        <v/>
      </c>
      <c r="B304" s="17" t="n"/>
      <c r="C304" s="18" t="n"/>
      <c r="D304" s="17" t="n"/>
      <c r="E304" s="17" t="n"/>
      <c r="F304" s="17" t="n"/>
      <c r="G304" s="19" t="n"/>
      <c r="H304" s="17" t="n"/>
      <c r="I304" s="18" t="n"/>
      <c r="J304" s="19" t="n"/>
      <c r="K304" s="17" t="n"/>
      <c r="L304" s="17" t="n"/>
      <c r="M304" s="17" t="n"/>
      <c r="N304" s="17" t="n"/>
      <c r="O304" s="17" t="n"/>
      <c r="P304" s="17" t="n"/>
      <c r="Q304" s="19" t="n"/>
      <c r="R304" s="19" t="n"/>
      <c r="S304" s="7">
        <f>IF(I304="","",IF(TODAY()&gt;=I304,"到期","未到期"))</f>
        <v/>
      </c>
    </row>
    <row r="305">
      <c r="A305" s="16">
        <f>IF(B305="","","V-"&amp;TEXT(ROW()-1,"000"))</f>
        <v/>
      </c>
      <c r="B305" s="17" t="n"/>
      <c r="C305" s="18" t="n"/>
      <c r="D305" s="17" t="n"/>
      <c r="E305" s="17" t="n"/>
      <c r="F305" s="17" t="n"/>
      <c r="G305" s="19" t="n"/>
      <c r="H305" s="17" t="n"/>
      <c r="I305" s="18" t="n"/>
      <c r="J305" s="19" t="n"/>
      <c r="K305" s="17" t="n"/>
      <c r="L305" s="17" t="n"/>
      <c r="M305" s="17" t="n"/>
      <c r="N305" s="17" t="n"/>
      <c r="O305" s="17" t="n"/>
      <c r="P305" s="17" t="n"/>
      <c r="Q305" s="19" t="n"/>
      <c r="R305" s="19" t="n"/>
      <c r="S305" s="7">
        <f>IF(I305="","",IF(TODAY()&gt;=I305,"到期","未到期"))</f>
        <v/>
      </c>
    </row>
    <row r="306">
      <c r="A306" s="16">
        <f>IF(B306="","","V-"&amp;TEXT(ROW()-1,"000"))</f>
        <v/>
      </c>
      <c r="B306" s="17" t="n"/>
      <c r="C306" s="18" t="n"/>
      <c r="D306" s="17" t="n"/>
      <c r="E306" s="17" t="n"/>
      <c r="F306" s="17" t="n"/>
      <c r="G306" s="19" t="n"/>
      <c r="H306" s="17" t="n"/>
      <c r="I306" s="18" t="n"/>
      <c r="J306" s="19" t="n"/>
      <c r="K306" s="17" t="n"/>
      <c r="L306" s="17" t="n"/>
      <c r="M306" s="17" t="n"/>
      <c r="N306" s="17" t="n"/>
      <c r="O306" s="17" t="n"/>
      <c r="P306" s="17" t="n"/>
      <c r="Q306" s="19" t="n"/>
      <c r="R306" s="19" t="n"/>
      <c r="S306" s="7">
        <f>IF(I306="","",IF(TODAY()&gt;=I306,"到期","未到期"))</f>
        <v/>
      </c>
    </row>
    <row r="307">
      <c r="A307" s="16">
        <f>IF(B307="","","V-"&amp;TEXT(ROW()-1,"000"))</f>
        <v/>
      </c>
      <c r="B307" s="17" t="n"/>
      <c r="C307" s="18" t="n"/>
      <c r="D307" s="17" t="n"/>
      <c r="E307" s="17" t="n"/>
      <c r="F307" s="17" t="n"/>
      <c r="G307" s="19" t="n"/>
      <c r="H307" s="17" t="n"/>
      <c r="I307" s="18" t="n"/>
      <c r="J307" s="19" t="n"/>
      <c r="K307" s="17" t="n"/>
      <c r="L307" s="17" t="n"/>
      <c r="M307" s="17" t="n"/>
      <c r="N307" s="17" t="n"/>
      <c r="O307" s="17" t="n"/>
      <c r="P307" s="17" t="n"/>
      <c r="Q307" s="19" t="n"/>
      <c r="R307" s="19" t="n"/>
      <c r="S307" s="7">
        <f>IF(I307="","",IF(TODAY()&gt;=I307,"到期","未到期"))</f>
        <v/>
      </c>
    </row>
    <row r="308">
      <c r="A308" s="16">
        <f>IF(B308="","","V-"&amp;TEXT(ROW()-1,"000"))</f>
        <v/>
      </c>
      <c r="B308" s="17" t="n"/>
      <c r="C308" s="18" t="n"/>
      <c r="D308" s="17" t="n"/>
      <c r="E308" s="17" t="n"/>
      <c r="F308" s="17" t="n"/>
      <c r="G308" s="19" t="n"/>
      <c r="H308" s="17" t="n"/>
      <c r="I308" s="18" t="n"/>
      <c r="J308" s="19" t="n"/>
      <c r="K308" s="17" t="n"/>
      <c r="L308" s="17" t="n"/>
      <c r="M308" s="17" t="n"/>
      <c r="N308" s="17" t="n"/>
      <c r="O308" s="17" t="n"/>
      <c r="P308" s="17" t="n"/>
      <c r="Q308" s="19" t="n"/>
      <c r="R308" s="19" t="n"/>
      <c r="S308" s="7">
        <f>IF(I308="","",IF(TODAY()&gt;=I308,"到期","未到期"))</f>
        <v/>
      </c>
    </row>
    <row r="309">
      <c r="A309" s="16">
        <f>IF(B309="","","V-"&amp;TEXT(ROW()-1,"000"))</f>
        <v/>
      </c>
      <c r="B309" s="17" t="n"/>
      <c r="C309" s="18" t="n"/>
      <c r="D309" s="17" t="n"/>
      <c r="E309" s="17" t="n"/>
      <c r="F309" s="17" t="n"/>
      <c r="G309" s="19" t="n"/>
      <c r="H309" s="17" t="n"/>
      <c r="I309" s="18" t="n"/>
      <c r="J309" s="19" t="n"/>
      <c r="K309" s="17" t="n"/>
      <c r="L309" s="17" t="n"/>
      <c r="M309" s="17" t="n"/>
      <c r="N309" s="17" t="n"/>
      <c r="O309" s="17" t="n"/>
      <c r="P309" s="17" t="n"/>
      <c r="Q309" s="19" t="n"/>
      <c r="R309" s="19" t="n"/>
      <c r="S309" s="7">
        <f>IF(I309="","",IF(TODAY()&gt;=I309,"到期","未到期"))</f>
        <v/>
      </c>
    </row>
    <row r="310">
      <c r="A310" s="16">
        <f>IF(B310="","","V-"&amp;TEXT(ROW()-1,"000"))</f>
        <v/>
      </c>
      <c r="B310" s="17" t="n"/>
      <c r="C310" s="18" t="n"/>
      <c r="D310" s="17" t="n"/>
      <c r="E310" s="17" t="n"/>
      <c r="F310" s="17" t="n"/>
      <c r="G310" s="19" t="n"/>
      <c r="H310" s="17" t="n"/>
      <c r="I310" s="18" t="n"/>
      <c r="J310" s="19" t="n"/>
      <c r="K310" s="17" t="n"/>
      <c r="L310" s="17" t="n"/>
      <c r="M310" s="17" t="n"/>
      <c r="N310" s="17" t="n"/>
      <c r="O310" s="17" t="n"/>
      <c r="P310" s="17" t="n"/>
      <c r="Q310" s="19" t="n"/>
      <c r="R310" s="19" t="n"/>
      <c r="S310" s="7">
        <f>IF(I310="","",IF(TODAY()&gt;=I310,"到期","未到期"))</f>
        <v/>
      </c>
    </row>
    <row r="311">
      <c r="A311" s="16">
        <f>IF(B311="","","V-"&amp;TEXT(ROW()-1,"000"))</f>
        <v/>
      </c>
      <c r="B311" s="17" t="n"/>
      <c r="C311" s="18" t="n"/>
      <c r="D311" s="17" t="n"/>
      <c r="E311" s="17" t="n"/>
      <c r="F311" s="17" t="n"/>
      <c r="G311" s="19" t="n"/>
      <c r="H311" s="17" t="n"/>
      <c r="I311" s="18" t="n"/>
      <c r="J311" s="19" t="n"/>
      <c r="K311" s="17" t="n"/>
      <c r="L311" s="17" t="n"/>
      <c r="M311" s="17" t="n"/>
      <c r="N311" s="17" t="n"/>
      <c r="O311" s="17" t="n"/>
      <c r="P311" s="17" t="n"/>
      <c r="Q311" s="19" t="n"/>
      <c r="R311" s="19" t="n"/>
      <c r="S311" s="7">
        <f>IF(I311="","",IF(TODAY()&gt;=I311,"到期","未到期"))</f>
        <v/>
      </c>
    </row>
    <row r="312">
      <c r="A312" s="16">
        <f>IF(B312="","","V-"&amp;TEXT(ROW()-1,"000"))</f>
        <v/>
      </c>
      <c r="B312" s="17" t="n"/>
      <c r="C312" s="18" t="n"/>
      <c r="D312" s="17" t="n"/>
      <c r="E312" s="17" t="n"/>
      <c r="F312" s="17" t="n"/>
      <c r="G312" s="19" t="n"/>
      <c r="H312" s="17" t="n"/>
      <c r="I312" s="18" t="n"/>
      <c r="J312" s="19" t="n"/>
      <c r="K312" s="17" t="n"/>
      <c r="L312" s="17" t="n"/>
      <c r="M312" s="17" t="n"/>
      <c r="N312" s="17" t="n"/>
      <c r="O312" s="17" t="n"/>
      <c r="P312" s="17" t="n"/>
      <c r="Q312" s="19" t="n"/>
      <c r="R312" s="19" t="n"/>
      <c r="S312" s="7">
        <f>IF(I312="","",IF(TODAY()&gt;=I312,"到期","未到期"))</f>
        <v/>
      </c>
    </row>
    <row r="313">
      <c r="A313" s="16">
        <f>IF(B313="","","V-"&amp;TEXT(ROW()-1,"000"))</f>
        <v/>
      </c>
      <c r="B313" s="17" t="n"/>
      <c r="C313" s="18" t="n"/>
      <c r="D313" s="17" t="n"/>
      <c r="E313" s="17" t="n"/>
      <c r="F313" s="17" t="n"/>
      <c r="G313" s="19" t="n"/>
      <c r="H313" s="17" t="n"/>
      <c r="I313" s="18" t="n"/>
      <c r="J313" s="19" t="n"/>
      <c r="K313" s="17" t="n"/>
      <c r="L313" s="17" t="n"/>
      <c r="M313" s="17" t="n"/>
      <c r="N313" s="17" t="n"/>
      <c r="O313" s="17" t="n"/>
      <c r="P313" s="17" t="n"/>
      <c r="Q313" s="19" t="n"/>
      <c r="R313" s="19" t="n"/>
      <c r="S313" s="7">
        <f>IF(I313="","",IF(TODAY()&gt;=I313,"到期","未到期"))</f>
        <v/>
      </c>
    </row>
    <row r="314">
      <c r="A314" s="16">
        <f>IF(B314="","","V-"&amp;TEXT(ROW()-1,"000"))</f>
        <v/>
      </c>
      <c r="B314" s="17" t="n"/>
      <c r="C314" s="18" t="n"/>
      <c r="D314" s="17" t="n"/>
      <c r="E314" s="17" t="n"/>
      <c r="F314" s="17" t="n"/>
      <c r="G314" s="19" t="n"/>
      <c r="H314" s="17" t="n"/>
      <c r="I314" s="18" t="n"/>
      <c r="J314" s="19" t="n"/>
      <c r="K314" s="17" t="n"/>
      <c r="L314" s="17" t="n"/>
      <c r="M314" s="17" t="n"/>
      <c r="N314" s="17" t="n"/>
      <c r="O314" s="17" t="n"/>
      <c r="P314" s="17" t="n"/>
      <c r="Q314" s="19" t="n"/>
      <c r="R314" s="19" t="n"/>
      <c r="S314" s="7">
        <f>IF(I314="","",IF(TODAY()&gt;=I314,"到期","未到期"))</f>
        <v/>
      </c>
    </row>
    <row r="315">
      <c r="A315" s="16">
        <f>IF(B315="","","V-"&amp;TEXT(ROW()-1,"000"))</f>
        <v/>
      </c>
      <c r="B315" s="17" t="n"/>
      <c r="C315" s="18" t="n"/>
      <c r="D315" s="17" t="n"/>
      <c r="E315" s="17" t="n"/>
      <c r="F315" s="17" t="n"/>
      <c r="G315" s="19" t="n"/>
      <c r="H315" s="17" t="n"/>
      <c r="I315" s="18" t="n"/>
      <c r="J315" s="19" t="n"/>
      <c r="K315" s="17" t="n"/>
      <c r="L315" s="17" t="n"/>
      <c r="M315" s="17" t="n"/>
      <c r="N315" s="17" t="n"/>
      <c r="O315" s="17" t="n"/>
      <c r="P315" s="17" t="n"/>
      <c r="Q315" s="19" t="n"/>
      <c r="R315" s="19" t="n"/>
      <c r="S315" s="7">
        <f>IF(I315="","",IF(TODAY()&gt;=I315,"到期","未到期"))</f>
        <v/>
      </c>
    </row>
    <row r="316">
      <c r="A316" s="16">
        <f>IF(B316="","","V-"&amp;TEXT(ROW()-1,"000"))</f>
        <v/>
      </c>
      <c r="B316" s="17" t="n"/>
      <c r="C316" s="18" t="n"/>
      <c r="D316" s="17" t="n"/>
      <c r="E316" s="17" t="n"/>
      <c r="F316" s="17" t="n"/>
      <c r="G316" s="19" t="n"/>
      <c r="H316" s="17" t="n"/>
      <c r="I316" s="18" t="n"/>
      <c r="J316" s="19" t="n"/>
      <c r="K316" s="17" t="n"/>
      <c r="L316" s="17" t="n"/>
      <c r="M316" s="17" t="n"/>
      <c r="N316" s="17" t="n"/>
      <c r="O316" s="17" t="n"/>
      <c r="P316" s="17" t="n"/>
      <c r="Q316" s="19" t="n"/>
      <c r="R316" s="19" t="n"/>
      <c r="S316" s="7">
        <f>IF(I316="","",IF(TODAY()&gt;=I316,"到期","未到期"))</f>
        <v/>
      </c>
    </row>
    <row r="317">
      <c r="A317" s="16">
        <f>IF(B317="","","V-"&amp;TEXT(ROW()-1,"000"))</f>
        <v/>
      </c>
      <c r="B317" s="17" t="n"/>
      <c r="C317" s="18" t="n"/>
      <c r="D317" s="17" t="n"/>
      <c r="E317" s="17" t="n"/>
      <c r="F317" s="17" t="n"/>
      <c r="G317" s="19" t="n"/>
      <c r="H317" s="17" t="n"/>
      <c r="I317" s="18" t="n"/>
      <c r="J317" s="19" t="n"/>
      <c r="K317" s="17" t="n"/>
      <c r="L317" s="17" t="n"/>
      <c r="M317" s="17" t="n"/>
      <c r="N317" s="17" t="n"/>
      <c r="O317" s="17" t="n"/>
      <c r="P317" s="17" t="n"/>
      <c r="Q317" s="19" t="n"/>
      <c r="R317" s="19" t="n"/>
      <c r="S317" s="7">
        <f>IF(I317="","",IF(TODAY()&gt;=I317,"到期","未到期"))</f>
        <v/>
      </c>
    </row>
    <row r="318">
      <c r="A318" s="16">
        <f>IF(B318="","","V-"&amp;TEXT(ROW()-1,"000"))</f>
        <v/>
      </c>
      <c r="B318" s="17" t="n"/>
      <c r="C318" s="18" t="n"/>
      <c r="D318" s="17" t="n"/>
      <c r="E318" s="17" t="n"/>
      <c r="F318" s="17" t="n"/>
      <c r="G318" s="19" t="n"/>
      <c r="H318" s="17" t="n"/>
      <c r="I318" s="18" t="n"/>
      <c r="J318" s="19" t="n"/>
      <c r="K318" s="17" t="n"/>
      <c r="L318" s="17" t="n"/>
      <c r="M318" s="17" t="n"/>
      <c r="N318" s="17" t="n"/>
      <c r="O318" s="17" t="n"/>
      <c r="P318" s="17" t="n"/>
      <c r="Q318" s="19" t="n"/>
      <c r="R318" s="19" t="n"/>
      <c r="S318" s="7">
        <f>IF(I318="","",IF(TODAY()&gt;=I318,"到期","未到期"))</f>
        <v/>
      </c>
    </row>
    <row r="319">
      <c r="A319" s="16">
        <f>IF(B319="","","V-"&amp;TEXT(ROW()-1,"000"))</f>
        <v/>
      </c>
      <c r="B319" s="17" t="n"/>
      <c r="C319" s="18" t="n"/>
      <c r="D319" s="17" t="n"/>
      <c r="E319" s="17" t="n"/>
      <c r="F319" s="17" t="n"/>
      <c r="G319" s="19" t="n"/>
      <c r="H319" s="17" t="n"/>
      <c r="I319" s="18" t="n"/>
      <c r="J319" s="19" t="n"/>
      <c r="K319" s="17" t="n"/>
      <c r="L319" s="17" t="n"/>
      <c r="M319" s="17" t="n"/>
      <c r="N319" s="17" t="n"/>
      <c r="O319" s="17" t="n"/>
      <c r="P319" s="17" t="n"/>
      <c r="Q319" s="19" t="n"/>
      <c r="R319" s="19" t="n"/>
      <c r="S319" s="7">
        <f>IF(I319="","",IF(TODAY()&gt;=I319,"到期","未到期"))</f>
        <v/>
      </c>
    </row>
    <row r="320">
      <c r="A320" s="16">
        <f>IF(B320="","","V-"&amp;TEXT(ROW()-1,"000"))</f>
        <v/>
      </c>
      <c r="B320" s="17" t="n"/>
      <c r="C320" s="18" t="n"/>
      <c r="D320" s="17" t="n"/>
      <c r="E320" s="17" t="n"/>
      <c r="F320" s="17" t="n"/>
      <c r="G320" s="19" t="n"/>
      <c r="H320" s="17" t="n"/>
      <c r="I320" s="18" t="n"/>
      <c r="J320" s="19" t="n"/>
      <c r="K320" s="17" t="n"/>
      <c r="L320" s="17" t="n"/>
      <c r="M320" s="17" t="n"/>
      <c r="N320" s="17" t="n"/>
      <c r="O320" s="17" t="n"/>
      <c r="P320" s="17" t="n"/>
      <c r="Q320" s="19" t="n"/>
      <c r="R320" s="19" t="n"/>
      <c r="S320" s="7">
        <f>IF(I320="","",IF(TODAY()&gt;=I320,"到期","未到期"))</f>
        <v/>
      </c>
    </row>
    <row r="321">
      <c r="A321" s="16">
        <f>IF(B321="","","V-"&amp;TEXT(ROW()-1,"000"))</f>
        <v/>
      </c>
      <c r="B321" s="17" t="n"/>
      <c r="C321" s="18" t="n"/>
      <c r="D321" s="17" t="n"/>
      <c r="E321" s="17" t="n"/>
      <c r="F321" s="17" t="n"/>
      <c r="G321" s="19" t="n"/>
      <c r="H321" s="17" t="n"/>
      <c r="I321" s="18" t="n"/>
      <c r="J321" s="19" t="n"/>
      <c r="K321" s="17" t="n"/>
      <c r="L321" s="17" t="n"/>
      <c r="M321" s="17" t="n"/>
      <c r="N321" s="17" t="n"/>
      <c r="O321" s="17" t="n"/>
      <c r="P321" s="17" t="n"/>
      <c r="Q321" s="19" t="n"/>
      <c r="R321" s="19" t="n"/>
      <c r="S321" s="7">
        <f>IF(I321="","",IF(TODAY()&gt;=I321,"到期","未到期"))</f>
        <v/>
      </c>
    </row>
    <row r="322">
      <c r="A322" s="16">
        <f>IF(B322="","","V-"&amp;TEXT(ROW()-1,"000"))</f>
        <v/>
      </c>
      <c r="B322" s="17" t="n"/>
      <c r="C322" s="18" t="n"/>
      <c r="D322" s="17" t="n"/>
      <c r="E322" s="17" t="n"/>
      <c r="F322" s="17" t="n"/>
      <c r="G322" s="19" t="n"/>
      <c r="H322" s="17" t="n"/>
      <c r="I322" s="18" t="n"/>
      <c r="J322" s="19" t="n"/>
      <c r="K322" s="17" t="n"/>
      <c r="L322" s="17" t="n"/>
      <c r="M322" s="17" t="n"/>
      <c r="N322" s="17" t="n"/>
      <c r="O322" s="17" t="n"/>
      <c r="P322" s="17" t="n"/>
      <c r="Q322" s="19" t="n"/>
      <c r="R322" s="19" t="n"/>
      <c r="S322" s="7">
        <f>IF(I322="","",IF(TODAY()&gt;=I322,"到期","未到期"))</f>
        <v/>
      </c>
    </row>
    <row r="323">
      <c r="A323" s="16">
        <f>IF(B323="","","V-"&amp;TEXT(ROW()-1,"000"))</f>
        <v/>
      </c>
      <c r="B323" s="17" t="n"/>
      <c r="C323" s="18" t="n"/>
      <c r="D323" s="17" t="n"/>
      <c r="E323" s="17" t="n"/>
      <c r="F323" s="17" t="n"/>
      <c r="G323" s="19" t="n"/>
      <c r="H323" s="17" t="n"/>
      <c r="I323" s="18" t="n"/>
      <c r="J323" s="19" t="n"/>
      <c r="K323" s="17" t="n"/>
      <c r="L323" s="17" t="n"/>
      <c r="M323" s="17" t="n"/>
      <c r="N323" s="17" t="n"/>
      <c r="O323" s="17" t="n"/>
      <c r="P323" s="17" t="n"/>
      <c r="Q323" s="19" t="n"/>
      <c r="R323" s="19" t="n"/>
      <c r="S323" s="7">
        <f>IF(I323="","",IF(TODAY()&gt;=I323,"到期","未到期"))</f>
        <v/>
      </c>
    </row>
    <row r="324">
      <c r="A324" s="16">
        <f>IF(B324="","","V-"&amp;TEXT(ROW()-1,"000"))</f>
        <v/>
      </c>
      <c r="B324" s="17" t="n"/>
      <c r="C324" s="18" t="n"/>
      <c r="D324" s="17" t="n"/>
      <c r="E324" s="17" t="n"/>
      <c r="F324" s="17" t="n"/>
      <c r="G324" s="19" t="n"/>
      <c r="H324" s="17" t="n"/>
      <c r="I324" s="18" t="n"/>
      <c r="J324" s="19" t="n"/>
      <c r="K324" s="17" t="n"/>
      <c r="L324" s="17" t="n"/>
      <c r="M324" s="17" t="n"/>
      <c r="N324" s="17" t="n"/>
      <c r="O324" s="17" t="n"/>
      <c r="P324" s="17" t="n"/>
      <c r="Q324" s="19" t="n"/>
      <c r="R324" s="19" t="n"/>
      <c r="S324" s="7">
        <f>IF(I324="","",IF(TODAY()&gt;=I324,"到期","未到期"))</f>
        <v/>
      </c>
    </row>
    <row r="325">
      <c r="A325" s="16">
        <f>IF(B325="","","V-"&amp;TEXT(ROW()-1,"000"))</f>
        <v/>
      </c>
      <c r="B325" s="17" t="n"/>
      <c r="C325" s="18" t="n"/>
      <c r="D325" s="17" t="n"/>
      <c r="E325" s="17" t="n"/>
      <c r="F325" s="17" t="n"/>
      <c r="G325" s="19" t="n"/>
      <c r="H325" s="17" t="n"/>
      <c r="I325" s="18" t="n"/>
      <c r="J325" s="19" t="n"/>
      <c r="K325" s="17" t="n"/>
      <c r="L325" s="17" t="n"/>
      <c r="M325" s="17" t="n"/>
      <c r="N325" s="17" t="n"/>
      <c r="O325" s="17" t="n"/>
      <c r="P325" s="17" t="n"/>
      <c r="Q325" s="19" t="n"/>
      <c r="R325" s="19" t="n"/>
      <c r="S325" s="7">
        <f>IF(I325="","",IF(TODAY()&gt;=I325,"到期","未到期"))</f>
        <v/>
      </c>
    </row>
    <row r="326">
      <c r="A326" s="16">
        <f>IF(B326="","","V-"&amp;TEXT(ROW()-1,"000"))</f>
        <v/>
      </c>
      <c r="B326" s="17" t="n"/>
      <c r="C326" s="18" t="n"/>
      <c r="D326" s="17" t="n"/>
      <c r="E326" s="17" t="n"/>
      <c r="F326" s="17" t="n"/>
      <c r="G326" s="19" t="n"/>
      <c r="H326" s="17" t="n"/>
      <c r="I326" s="18" t="n"/>
      <c r="J326" s="19" t="n"/>
      <c r="K326" s="17" t="n"/>
      <c r="L326" s="17" t="n"/>
      <c r="M326" s="17" t="n"/>
      <c r="N326" s="17" t="n"/>
      <c r="O326" s="17" t="n"/>
      <c r="P326" s="17" t="n"/>
      <c r="Q326" s="19" t="n"/>
      <c r="R326" s="19" t="n"/>
      <c r="S326" s="7">
        <f>IF(I326="","",IF(TODAY()&gt;=I326,"到期","未到期"))</f>
        <v/>
      </c>
    </row>
    <row r="327">
      <c r="A327" s="16">
        <f>IF(B327="","","V-"&amp;TEXT(ROW()-1,"000"))</f>
        <v/>
      </c>
      <c r="B327" s="17" t="n"/>
      <c r="C327" s="18" t="n"/>
      <c r="D327" s="17" t="n"/>
      <c r="E327" s="17" t="n"/>
      <c r="F327" s="17" t="n"/>
      <c r="G327" s="19" t="n"/>
      <c r="H327" s="17" t="n"/>
      <c r="I327" s="18" t="n"/>
      <c r="J327" s="19" t="n"/>
      <c r="K327" s="17" t="n"/>
      <c r="L327" s="17" t="n"/>
      <c r="M327" s="17" t="n"/>
      <c r="N327" s="17" t="n"/>
      <c r="O327" s="17" t="n"/>
      <c r="P327" s="17" t="n"/>
      <c r="Q327" s="19" t="n"/>
      <c r="R327" s="19" t="n"/>
      <c r="S327" s="7">
        <f>IF(I327="","",IF(TODAY()&gt;=I327,"到期","未到期"))</f>
        <v/>
      </c>
    </row>
    <row r="328">
      <c r="A328" s="16">
        <f>IF(B328="","","V-"&amp;TEXT(ROW()-1,"000"))</f>
        <v/>
      </c>
      <c r="B328" s="17" t="n"/>
      <c r="C328" s="18" t="n"/>
      <c r="D328" s="17" t="n"/>
      <c r="E328" s="17" t="n"/>
      <c r="F328" s="17" t="n"/>
      <c r="G328" s="19" t="n"/>
      <c r="H328" s="17" t="n"/>
      <c r="I328" s="18" t="n"/>
      <c r="J328" s="19" t="n"/>
      <c r="K328" s="17" t="n"/>
      <c r="L328" s="17" t="n"/>
      <c r="M328" s="17" t="n"/>
      <c r="N328" s="17" t="n"/>
      <c r="O328" s="17" t="n"/>
      <c r="P328" s="17" t="n"/>
      <c r="Q328" s="19" t="n"/>
      <c r="R328" s="19" t="n"/>
      <c r="S328" s="7">
        <f>IF(I328="","",IF(TODAY()&gt;=I328,"到期","未到期"))</f>
        <v/>
      </c>
    </row>
    <row r="329">
      <c r="A329" s="16">
        <f>IF(B329="","","V-"&amp;TEXT(ROW()-1,"000"))</f>
        <v/>
      </c>
      <c r="B329" s="17" t="n"/>
      <c r="C329" s="18" t="n"/>
      <c r="D329" s="17" t="n"/>
      <c r="E329" s="17" t="n"/>
      <c r="F329" s="17" t="n"/>
      <c r="G329" s="19" t="n"/>
      <c r="H329" s="17" t="n"/>
      <c r="I329" s="18" t="n"/>
      <c r="J329" s="19" t="n"/>
      <c r="K329" s="17" t="n"/>
      <c r="L329" s="17" t="n"/>
      <c r="M329" s="17" t="n"/>
      <c r="N329" s="17" t="n"/>
      <c r="O329" s="17" t="n"/>
      <c r="P329" s="17" t="n"/>
      <c r="Q329" s="19" t="n"/>
      <c r="R329" s="19" t="n"/>
      <c r="S329" s="7">
        <f>IF(I329="","",IF(TODAY()&gt;=I329,"到期","未到期"))</f>
        <v/>
      </c>
    </row>
    <row r="330">
      <c r="A330" s="16">
        <f>IF(B330="","","V-"&amp;TEXT(ROW()-1,"000"))</f>
        <v/>
      </c>
      <c r="B330" s="17" t="n"/>
      <c r="C330" s="18" t="n"/>
      <c r="D330" s="17" t="n"/>
      <c r="E330" s="17" t="n"/>
      <c r="F330" s="17" t="n"/>
      <c r="G330" s="19" t="n"/>
      <c r="H330" s="17" t="n"/>
      <c r="I330" s="18" t="n"/>
      <c r="J330" s="19" t="n"/>
      <c r="K330" s="17" t="n"/>
      <c r="L330" s="17" t="n"/>
      <c r="M330" s="17" t="n"/>
      <c r="N330" s="17" t="n"/>
      <c r="O330" s="17" t="n"/>
      <c r="P330" s="17" t="n"/>
      <c r="Q330" s="19" t="n"/>
      <c r="R330" s="19" t="n"/>
      <c r="S330" s="7">
        <f>IF(I330="","",IF(TODAY()&gt;=I330,"到期","未到期"))</f>
        <v/>
      </c>
    </row>
    <row r="331">
      <c r="A331" s="16">
        <f>IF(B331="","","V-"&amp;TEXT(ROW()-1,"000"))</f>
        <v/>
      </c>
      <c r="B331" s="17" t="n"/>
      <c r="C331" s="18" t="n"/>
      <c r="D331" s="17" t="n"/>
      <c r="E331" s="17" t="n"/>
      <c r="F331" s="17" t="n"/>
      <c r="G331" s="19" t="n"/>
      <c r="H331" s="17" t="n"/>
      <c r="I331" s="18" t="n"/>
      <c r="J331" s="19" t="n"/>
      <c r="K331" s="17" t="n"/>
      <c r="L331" s="17" t="n"/>
      <c r="M331" s="17" t="n"/>
      <c r="N331" s="17" t="n"/>
      <c r="O331" s="17" t="n"/>
      <c r="P331" s="17" t="n"/>
      <c r="Q331" s="19" t="n"/>
      <c r="R331" s="19" t="n"/>
      <c r="S331" s="7">
        <f>IF(I331="","",IF(TODAY()&gt;=I331,"到期","未到期"))</f>
        <v/>
      </c>
    </row>
    <row r="332">
      <c r="A332" s="16">
        <f>IF(B332="","","V-"&amp;TEXT(ROW()-1,"000"))</f>
        <v/>
      </c>
      <c r="B332" s="17" t="n"/>
      <c r="C332" s="18" t="n"/>
      <c r="D332" s="17" t="n"/>
      <c r="E332" s="17" t="n"/>
      <c r="F332" s="17" t="n"/>
      <c r="G332" s="19" t="n"/>
      <c r="H332" s="17" t="n"/>
      <c r="I332" s="18" t="n"/>
      <c r="J332" s="19" t="n"/>
      <c r="K332" s="17" t="n"/>
      <c r="L332" s="17" t="n"/>
      <c r="M332" s="17" t="n"/>
      <c r="N332" s="17" t="n"/>
      <c r="O332" s="17" t="n"/>
      <c r="P332" s="17" t="n"/>
      <c r="Q332" s="19" t="n"/>
      <c r="R332" s="19" t="n"/>
      <c r="S332" s="7">
        <f>IF(I332="","",IF(TODAY()&gt;=I332,"到期","未到期"))</f>
        <v/>
      </c>
    </row>
    <row r="333">
      <c r="A333" s="16">
        <f>IF(B333="","","V-"&amp;TEXT(ROW()-1,"000"))</f>
        <v/>
      </c>
      <c r="B333" s="17" t="n"/>
      <c r="C333" s="18" t="n"/>
      <c r="D333" s="17" t="n"/>
      <c r="E333" s="17" t="n"/>
      <c r="F333" s="17" t="n"/>
      <c r="G333" s="19" t="n"/>
      <c r="H333" s="17" t="n"/>
      <c r="I333" s="18" t="n"/>
      <c r="J333" s="19" t="n"/>
      <c r="K333" s="17" t="n"/>
      <c r="L333" s="17" t="n"/>
      <c r="M333" s="17" t="n"/>
      <c r="N333" s="17" t="n"/>
      <c r="O333" s="17" t="n"/>
      <c r="P333" s="17" t="n"/>
      <c r="Q333" s="19" t="n"/>
      <c r="R333" s="19" t="n"/>
      <c r="S333" s="7">
        <f>IF(I333="","",IF(TODAY()&gt;=I333,"到期","未到期"))</f>
        <v/>
      </c>
    </row>
    <row r="334">
      <c r="A334" s="16">
        <f>IF(B334="","","V-"&amp;TEXT(ROW()-1,"000"))</f>
        <v/>
      </c>
      <c r="B334" s="17" t="n"/>
      <c r="C334" s="18" t="n"/>
      <c r="D334" s="17" t="n"/>
      <c r="E334" s="17" t="n"/>
      <c r="F334" s="17" t="n"/>
      <c r="G334" s="19" t="n"/>
      <c r="H334" s="17" t="n"/>
      <c r="I334" s="18" t="n"/>
      <c r="J334" s="19" t="n"/>
      <c r="K334" s="17" t="n"/>
      <c r="L334" s="17" t="n"/>
      <c r="M334" s="17" t="n"/>
      <c r="N334" s="17" t="n"/>
      <c r="O334" s="17" t="n"/>
      <c r="P334" s="17" t="n"/>
      <c r="Q334" s="19" t="n"/>
      <c r="R334" s="19" t="n"/>
      <c r="S334" s="7">
        <f>IF(I334="","",IF(TODAY()&gt;=I334,"到期","未到期"))</f>
        <v/>
      </c>
    </row>
    <row r="335">
      <c r="A335" s="16">
        <f>IF(B335="","","V-"&amp;TEXT(ROW()-1,"000"))</f>
        <v/>
      </c>
      <c r="B335" s="17" t="n"/>
      <c r="C335" s="18" t="n"/>
      <c r="D335" s="17" t="n"/>
      <c r="E335" s="17" t="n"/>
      <c r="F335" s="17" t="n"/>
      <c r="G335" s="19" t="n"/>
      <c r="H335" s="17" t="n"/>
      <c r="I335" s="18" t="n"/>
      <c r="J335" s="19" t="n"/>
      <c r="K335" s="17" t="n"/>
      <c r="L335" s="17" t="n"/>
      <c r="M335" s="17" t="n"/>
      <c r="N335" s="17" t="n"/>
      <c r="O335" s="17" t="n"/>
      <c r="P335" s="17" t="n"/>
      <c r="Q335" s="19" t="n"/>
      <c r="R335" s="19" t="n"/>
      <c r="S335" s="7">
        <f>IF(I335="","",IF(TODAY()&gt;=I335,"到期","未到期"))</f>
        <v/>
      </c>
    </row>
    <row r="336">
      <c r="A336" s="16">
        <f>IF(B336="","","V-"&amp;TEXT(ROW()-1,"000"))</f>
        <v/>
      </c>
      <c r="B336" s="17" t="n"/>
      <c r="C336" s="18" t="n"/>
      <c r="D336" s="17" t="n"/>
      <c r="E336" s="17" t="n"/>
      <c r="F336" s="17" t="n"/>
      <c r="G336" s="19" t="n"/>
      <c r="H336" s="17" t="n"/>
      <c r="I336" s="18" t="n"/>
      <c r="J336" s="19" t="n"/>
      <c r="K336" s="17" t="n"/>
      <c r="L336" s="17" t="n"/>
      <c r="M336" s="17" t="n"/>
      <c r="N336" s="17" t="n"/>
      <c r="O336" s="17" t="n"/>
      <c r="P336" s="17" t="n"/>
      <c r="Q336" s="19" t="n"/>
      <c r="R336" s="19" t="n"/>
      <c r="S336" s="7">
        <f>IF(I336="","",IF(TODAY()&gt;=I336,"到期","未到期"))</f>
        <v/>
      </c>
    </row>
    <row r="337">
      <c r="A337" s="16">
        <f>IF(B337="","","V-"&amp;TEXT(ROW()-1,"000"))</f>
        <v/>
      </c>
      <c r="B337" s="17" t="n"/>
      <c r="C337" s="18" t="n"/>
      <c r="D337" s="17" t="n"/>
      <c r="E337" s="17" t="n"/>
      <c r="F337" s="17" t="n"/>
      <c r="G337" s="19" t="n"/>
      <c r="H337" s="17" t="n"/>
      <c r="I337" s="18" t="n"/>
      <c r="J337" s="19" t="n"/>
      <c r="K337" s="17" t="n"/>
      <c r="L337" s="17" t="n"/>
      <c r="M337" s="17" t="n"/>
      <c r="N337" s="17" t="n"/>
      <c r="O337" s="17" t="n"/>
      <c r="P337" s="17" t="n"/>
      <c r="Q337" s="19" t="n"/>
      <c r="R337" s="19" t="n"/>
      <c r="S337" s="7">
        <f>IF(I337="","",IF(TODAY()&gt;=I337,"到期","未到期"))</f>
        <v/>
      </c>
    </row>
    <row r="338">
      <c r="A338" s="16">
        <f>IF(B338="","","V-"&amp;TEXT(ROW()-1,"000"))</f>
        <v/>
      </c>
      <c r="B338" s="17" t="n"/>
      <c r="C338" s="18" t="n"/>
      <c r="D338" s="17" t="n"/>
      <c r="E338" s="17" t="n"/>
      <c r="F338" s="17" t="n"/>
      <c r="G338" s="19" t="n"/>
      <c r="H338" s="17" t="n"/>
      <c r="I338" s="18" t="n"/>
      <c r="J338" s="19" t="n"/>
      <c r="K338" s="17" t="n"/>
      <c r="L338" s="17" t="n"/>
      <c r="M338" s="17" t="n"/>
      <c r="N338" s="17" t="n"/>
      <c r="O338" s="17" t="n"/>
      <c r="P338" s="17" t="n"/>
      <c r="Q338" s="19" t="n"/>
      <c r="R338" s="19" t="n"/>
      <c r="S338" s="7">
        <f>IF(I338="","",IF(TODAY()&gt;=I338,"到期","未到期"))</f>
        <v/>
      </c>
    </row>
    <row r="339">
      <c r="A339" s="16">
        <f>IF(B339="","","V-"&amp;TEXT(ROW()-1,"000"))</f>
        <v/>
      </c>
      <c r="B339" s="17" t="n"/>
      <c r="C339" s="18" t="n"/>
      <c r="D339" s="17" t="n"/>
      <c r="E339" s="17" t="n"/>
      <c r="F339" s="17" t="n"/>
      <c r="G339" s="19" t="n"/>
      <c r="H339" s="17" t="n"/>
      <c r="I339" s="18" t="n"/>
      <c r="J339" s="19" t="n"/>
      <c r="K339" s="17" t="n"/>
      <c r="L339" s="17" t="n"/>
      <c r="M339" s="17" t="n"/>
      <c r="N339" s="17" t="n"/>
      <c r="O339" s="17" t="n"/>
      <c r="P339" s="17" t="n"/>
      <c r="Q339" s="19" t="n"/>
      <c r="R339" s="19" t="n"/>
      <c r="S339" s="7">
        <f>IF(I339="","",IF(TODAY()&gt;=I339,"到期","未到期"))</f>
        <v/>
      </c>
    </row>
    <row r="340">
      <c r="A340" s="16">
        <f>IF(B340="","","V-"&amp;TEXT(ROW()-1,"000"))</f>
        <v/>
      </c>
      <c r="B340" s="17" t="n"/>
      <c r="C340" s="18" t="n"/>
      <c r="D340" s="17" t="n"/>
      <c r="E340" s="17" t="n"/>
      <c r="F340" s="17" t="n"/>
      <c r="G340" s="19" t="n"/>
      <c r="H340" s="17" t="n"/>
      <c r="I340" s="18" t="n"/>
      <c r="J340" s="19" t="n"/>
      <c r="K340" s="17" t="n"/>
      <c r="L340" s="17" t="n"/>
      <c r="M340" s="17" t="n"/>
      <c r="N340" s="17" t="n"/>
      <c r="O340" s="17" t="n"/>
      <c r="P340" s="17" t="n"/>
      <c r="Q340" s="19" t="n"/>
      <c r="R340" s="19" t="n"/>
      <c r="S340" s="7">
        <f>IF(I340="","",IF(TODAY()&gt;=I340,"到期","未到期"))</f>
        <v/>
      </c>
    </row>
    <row r="341">
      <c r="A341" s="16">
        <f>IF(B341="","","V-"&amp;TEXT(ROW()-1,"000"))</f>
        <v/>
      </c>
      <c r="B341" s="17" t="n"/>
      <c r="C341" s="18" t="n"/>
      <c r="D341" s="17" t="n"/>
      <c r="E341" s="17" t="n"/>
      <c r="F341" s="17" t="n"/>
      <c r="G341" s="19" t="n"/>
      <c r="H341" s="17" t="n"/>
      <c r="I341" s="18" t="n"/>
      <c r="J341" s="19" t="n"/>
      <c r="K341" s="17" t="n"/>
      <c r="L341" s="17" t="n"/>
      <c r="M341" s="17" t="n"/>
      <c r="N341" s="17" t="n"/>
      <c r="O341" s="17" t="n"/>
      <c r="P341" s="17" t="n"/>
      <c r="Q341" s="19" t="n"/>
      <c r="R341" s="19" t="n"/>
      <c r="S341" s="7">
        <f>IF(I341="","",IF(TODAY()&gt;=I341,"到期","未到期"))</f>
        <v/>
      </c>
    </row>
    <row r="342">
      <c r="A342" s="16">
        <f>IF(B342="","","V-"&amp;TEXT(ROW()-1,"000"))</f>
        <v/>
      </c>
      <c r="B342" s="17" t="n"/>
      <c r="C342" s="18" t="n"/>
      <c r="D342" s="17" t="n"/>
      <c r="E342" s="17" t="n"/>
      <c r="F342" s="17" t="n"/>
      <c r="G342" s="19" t="n"/>
      <c r="H342" s="17" t="n"/>
      <c r="I342" s="18" t="n"/>
      <c r="J342" s="19" t="n"/>
      <c r="K342" s="17" t="n"/>
      <c r="L342" s="17" t="n"/>
      <c r="M342" s="17" t="n"/>
      <c r="N342" s="17" t="n"/>
      <c r="O342" s="17" t="n"/>
      <c r="P342" s="17" t="n"/>
      <c r="Q342" s="19" t="n"/>
      <c r="R342" s="19" t="n"/>
      <c r="S342" s="7">
        <f>IF(I342="","",IF(TODAY()&gt;=I342,"到期","未到期"))</f>
        <v/>
      </c>
    </row>
    <row r="343">
      <c r="A343" s="16">
        <f>IF(B343="","","V-"&amp;TEXT(ROW()-1,"000"))</f>
        <v/>
      </c>
      <c r="B343" s="17" t="n"/>
      <c r="C343" s="18" t="n"/>
      <c r="D343" s="17" t="n"/>
      <c r="E343" s="17" t="n"/>
      <c r="F343" s="17" t="n"/>
      <c r="G343" s="19" t="n"/>
      <c r="H343" s="17" t="n"/>
      <c r="I343" s="18" t="n"/>
      <c r="J343" s="19" t="n"/>
      <c r="K343" s="17" t="n"/>
      <c r="L343" s="17" t="n"/>
      <c r="M343" s="17" t="n"/>
      <c r="N343" s="17" t="n"/>
      <c r="O343" s="17" t="n"/>
      <c r="P343" s="17" t="n"/>
      <c r="Q343" s="19" t="n"/>
      <c r="R343" s="19" t="n"/>
      <c r="S343" s="7">
        <f>IF(I343="","",IF(TODAY()&gt;=I343,"到期","未到期"))</f>
        <v/>
      </c>
    </row>
    <row r="344">
      <c r="A344" s="16">
        <f>IF(B344="","","V-"&amp;TEXT(ROW()-1,"000"))</f>
        <v/>
      </c>
      <c r="B344" s="17" t="n"/>
      <c r="C344" s="18" t="n"/>
      <c r="D344" s="17" t="n"/>
      <c r="E344" s="17" t="n"/>
      <c r="F344" s="17" t="n"/>
      <c r="G344" s="19" t="n"/>
      <c r="H344" s="17" t="n"/>
      <c r="I344" s="18" t="n"/>
      <c r="J344" s="19" t="n"/>
      <c r="K344" s="17" t="n"/>
      <c r="L344" s="17" t="n"/>
      <c r="M344" s="17" t="n"/>
      <c r="N344" s="17" t="n"/>
      <c r="O344" s="17" t="n"/>
      <c r="P344" s="17" t="n"/>
      <c r="Q344" s="19" t="n"/>
      <c r="R344" s="19" t="n"/>
      <c r="S344" s="7">
        <f>IF(I344="","",IF(TODAY()&gt;=I344,"到期","未到期"))</f>
        <v/>
      </c>
    </row>
    <row r="345">
      <c r="A345" s="16">
        <f>IF(B345="","","V-"&amp;TEXT(ROW()-1,"000"))</f>
        <v/>
      </c>
      <c r="B345" s="17" t="n"/>
      <c r="C345" s="18" t="n"/>
      <c r="D345" s="17" t="n"/>
      <c r="E345" s="17" t="n"/>
      <c r="F345" s="17" t="n"/>
      <c r="G345" s="19" t="n"/>
      <c r="H345" s="17" t="n"/>
      <c r="I345" s="18" t="n"/>
      <c r="J345" s="19" t="n"/>
      <c r="K345" s="17" t="n"/>
      <c r="L345" s="17" t="n"/>
      <c r="M345" s="17" t="n"/>
      <c r="N345" s="17" t="n"/>
      <c r="O345" s="17" t="n"/>
      <c r="P345" s="17" t="n"/>
      <c r="Q345" s="19" t="n"/>
      <c r="R345" s="19" t="n"/>
      <c r="S345" s="7">
        <f>IF(I345="","",IF(TODAY()&gt;=I345,"到期","未到期"))</f>
        <v/>
      </c>
    </row>
    <row r="346">
      <c r="A346" s="16">
        <f>IF(B346="","","V-"&amp;TEXT(ROW()-1,"000"))</f>
        <v/>
      </c>
      <c r="B346" s="17" t="n"/>
      <c r="C346" s="18" t="n"/>
      <c r="D346" s="17" t="n"/>
      <c r="E346" s="17" t="n"/>
      <c r="F346" s="17" t="n"/>
      <c r="G346" s="19" t="n"/>
      <c r="H346" s="17" t="n"/>
      <c r="I346" s="18" t="n"/>
      <c r="J346" s="19" t="n"/>
      <c r="K346" s="17" t="n"/>
      <c r="L346" s="17" t="n"/>
      <c r="M346" s="17" t="n"/>
      <c r="N346" s="17" t="n"/>
      <c r="O346" s="17" t="n"/>
      <c r="P346" s="17" t="n"/>
      <c r="Q346" s="19" t="n"/>
      <c r="R346" s="19" t="n"/>
      <c r="S346" s="7">
        <f>IF(I346="","",IF(TODAY()&gt;=I346,"到期","未到期"))</f>
        <v/>
      </c>
    </row>
    <row r="347">
      <c r="A347" s="16">
        <f>IF(B347="","","V-"&amp;TEXT(ROW()-1,"000"))</f>
        <v/>
      </c>
      <c r="B347" s="17" t="n"/>
      <c r="C347" s="18" t="n"/>
      <c r="D347" s="17" t="n"/>
      <c r="E347" s="17" t="n"/>
      <c r="F347" s="17" t="n"/>
      <c r="G347" s="19" t="n"/>
      <c r="H347" s="17" t="n"/>
      <c r="I347" s="18" t="n"/>
      <c r="J347" s="19" t="n"/>
      <c r="K347" s="17" t="n"/>
      <c r="L347" s="17" t="n"/>
      <c r="M347" s="17" t="n"/>
      <c r="N347" s="17" t="n"/>
      <c r="O347" s="17" t="n"/>
      <c r="P347" s="17" t="n"/>
      <c r="Q347" s="19" t="n"/>
      <c r="R347" s="19" t="n"/>
      <c r="S347" s="7">
        <f>IF(I347="","",IF(TODAY()&gt;=I347,"到期","未到期"))</f>
        <v/>
      </c>
    </row>
    <row r="348">
      <c r="A348" s="16">
        <f>IF(B348="","","V-"&amp;TEXT(ROW()-1,"000"))</f>
        <v/>
      </c>
      <c r="B348" s="17" t="n"/>
      <c r="C348" s="18" t="n"/>
      <c r="D348" s="17" t="n"/>
      <c r="E348" s="17" t="n"/>
      <c r="F348" s="17" t="n"/>
      <c r="G348" s="19" t="n"/>
      <c r="H348" s="17" t="n"/>
      <c r="I348" s="18" t="n"/>
      <c r="J348" s="19" t="n"/>
      <c r="K348" s="17" t="n"/>
      <c r="L348" s="17" t="n"/>
      <c r="M348" s="17" t="n"/>
      <c r="N348" s="17" t="n"/>
      <c r="O348" s="17" t="n"/>
      <c r="P348" s="17" t="n"/>
      <c r="Q348" s="19" t="n"/>
      <c r="R348" s="19" t="n"/>
      <c r="S348" s="7">
        <f>IF(I348="","",IF(TODAY()&gt;=I348,"到期","未到期"))</f>
        <v/>
      </c>
    </row>
    <row r="349">
      <c r="A349" s="16">
        <f>IF(B349="","","V-"&amp;TEXT(ROW()-1,"000"))</f>
        <v/>
      </c>
      <c r="B349" s="17" t="n"/>
      <c r="C349" s="18" t="n"/>
      <c r="D349" s="17" t="n"/>
      <c r="E349" s="17" t="n"/>
      <c r="F349" s="17" t="n"/>
      <c r="G349" s="19" t="n"/>
      <c r="H349" s="17" t="n"/>
      <c r="I349" s="18" t="n"/>
      <c r="J349" s="19" t="n"/>
      <c r="K349" s="17" t="n"/>
      <c r="L349" s="17" t="n"/>
      <c r="M349" s="17" t="n"/>
      <c r="N349" s="17" t="n"/>
      <c r="O349" s="17" t="n"/>
      <c r="P349" s="17" t="n"/>
      <c r="Q349" s="19" t="n"/>
      <c r="R349" s="19" t="n"/>
      <c r="S349" s="7">
        <f>IF(I349="","",IF(TODAY()&gt;=I349,"到期","未到期"))</f>
        <v/>
      </c>
    </row>
    <row r="350">
      <c r="A350" s="16">
        <f>IF(B350="","","V-"&amp;TEXT(ROW()-1,"000"))</f>
        <v/>
      </c>
      <c r="B350" s="17" t="n"/>
      <c r="C350" s="18" t="n"/>
      <c r="D350" s="17" t="n"/>
      <c r="E350" s="17" t="n"/>
      <c r="F350" s="17" t="n"/>
      <c r="G350" s="19" t="n"/>
      <c r="H350" s="17" t="n"/>
      <c r="I350" s="18" t="n"/>
      <c r="J350" s="19" t="n"/>
      <c r="K350" s="17" t="n"/>
      <c r="L350" s="17" t="n"/>
      <c r="M350" s="17" t="n"/>
      <c r="N350" s="17" t="n"/>
      <c r="O350" s="17" t="n"/>
      <c r="P350" s="17" t="n"/>
      <c r="Q350" s="19" t="n"/>
      <c r="R350" s="19" t="n"/>
      <c r="S350" s="7">
        <f>IF(I350="","",IF(TODAY()&gt;=I350,"到期","未到期"))</f>
        <v/>
      </c>
    </row>
    <row r="351">
      <c r="A351" s="16">
        <f>IF(B351="","","V-"&amp;TEXT(ROW()-1,"000"))</f>
        <v/>
      </c>
      <c r="B351" s="17" t="n"/>
      <c r="C351" s="18" t="n"/>
      <c r="D351" s="17" t="n"/>
      <c r="E351" s="17" t="n"/>
      <c r="F351" s="17" t="n"/>
      <c r="G351" s="19" t="n"/>
      <c r="H351" s="17" t="n"/>
      <c r="I351" s="18" t="n"/>
      <c r="J351" s="19" t="n"/>
      <c r="K351" s="17" t="n"/>
      <c r="L351" s="17" t="n"/>
      <c r="M351" s="17" t="n"/>
      <c r="N351" s="17" t="n"/>
      <c r="O351" s="17" t="n"/>
      <c r="P351" s="17" t="n"/>
      <c r="Q351" s="19" t="n"/>
      <c r="R351" s="19" t="n"/>
      <c r="S351" s="7">
        <f>IF(I351="","",IF(TODAY()&gt;=I351,"到期","未到期"))</f>
        <v/>
      </c>
    </row>
    <row r="352">
      <c r="A352" s="16">
        <f>IF(B352="","","V-"&amp;TEXT(ROW()-1,"000"))</f>
        <v/>
      </c>
      <c r="B352" s="17" t="n"/>
      <c r="C352" s="18" t="n"/>
      <c r="D352" s="17" t="n"/>
      <c r="E352" s="17" t="n"/>
      <c r="F352" s="17" t="n"/>
      <c r="G352" s="19" t="n"/>
      <c r="H352" s="17" t="n"/>
      <c r="I352" s="18" t="n"/>
      <c r="J352" s="19" t="n"/>
      <c r="K352" s="17" t="n"/>
      <c r="L352" s="17" t="n"/>
      <c r="M352" s="17" t="n"/>
      <c r="N352" s="17" t="n"/>
      <c r="O352" s="17" t="n"/>
      <c r="P352" s="17" t="n"/>
      <c r="Q352" s="19" t="n"/>
      <c r="R352" s="19" t="n"/>
      <c r="S352" s="7">
        <f>IF(I352="","",IF(TODAY()&gt;=I352,"到期","未到期"))</f>
        <v/>
      </c>
    </row>
    <row r="353">
      <c r="A353" s="16">
        <f>IF(B353="","","V-"&amp;TEXT(ROW()-1,"000"))</f>
        <v/>
      </c>
      <c r="B353" s="17" t="n"/>
      <c r="C353" s="18" t="n"/>
      <c r="D353" s="17" t="n"/>
      <c r="E353" s="17" t="n"/>
      <c r="F353" s="17" t="n"/>
      <c r="G353" s="19" t="n"/>
      <c r="H353" s="17" t="n"/>
      <c r="I353" s="18" t="n"/>
      <c r="J353" s="19" t="n"/>
      <c r="K353" s="17" t="n"/>
      <c r="L353" s="17" t="n"/>
      <c r="M353" s="17" t="n"/>
      <c r="N353" s="17" t="n"/>
      <c r="O353" s="17" t="n"/>
      <c r="P353" s="17" t="n"/>
      <c r="Q353" s="19" t="n"/>
      <c r="R353" s="19" t="n"/>
      <c r="S353" s="7">
        <f>IF(I353="","",IF(TODAY()&gt;=I353,"到期","未到期"))</f>
        <v/>
      </c>
    </row>
    <row r="354">
      <c r="A354" s="16">
        <f>IF(B354="","","V-"&amp;TEXT(ROW()-1,"000"))</f>
        <v/>
      </c>
      <c r="B354" s="17" t="n"/>
      <c r="C354" s="18" t="n"/>
      <c r="D354" s="17" t="n"/>
      <c r="E354" s="17" t="n"/>
      <c r="F354" s="17" t="n"/>
      <c r="G354" s="19" t="n"/>
      <c r="H354" s="17" t="n"/>
      <c r="I354" s="18" t="n"/>
      <c r="J354" s="19" t="n"/>
      <c r="K354" s="17" t="n"/>
      <c r="L354" s="17" t="n"/>
      <c r="M354" s="17" t="n"/>
      <c r="N354" s="17" t="n"/>
      <c r="O354" s="17" t="n"/>
      <c r="P354" s="17" t="n"/>
      <c r="Q354" s="19" t="n"/>
      <c r="R354" s="19" t="n"/>
      <c r="S354" s="7">
        <f>IF(I354="","",IF(TODAY()&gt;=I354,"到期","未到期"))</f>
        <v/>
      </c>
    </row>
    <row r="355">
      <c r="A355" s="16">
        <f>IF(B355="","","V-"&amp;TEXT(ROW()-1,"000"))</f>
        <v/>
      </c>
      <c r="B355" s="17" t="n"/>
      <c r="C355" s="18" t="n"/>
      <c r="D355" s="17" t="n"/>
      <c r="E355" s="17" t="n"/>
      <c r="F355" s="17" t="n"/>
      <c r="G355" s="19" t="n"/>
      <c r="H355" s="17" t="n"/>
      <c r="I355" s="18" t="n"/>
      <c r="J355" s="19" t="n"/>
      <c r="K355" s="17" t="n"/>
      <c r="L355" s="17" t="n"/>
      <c r="M355" s="17" t="n"/>
      <c r="N355" s="17" t="n"/>
      <c r="O355" s="17" t="n"/>
      <c r="P355" s="17" t="n"/>
      <c r="Q355" s="19" t="n"/>
      <c r="R355" s="19" t="n"/>
      <c r="S355" s="7">
        <f>IF(I355="","",IF(TODAY()&gt;=I355,"到期","未到期"))</f>
        <v/>
      </c>
    </row>
    <row r="356">
      <c r="A356" s="16">
        <f>IF(B356="","","V-"&amp;TEXT(ROW()-1,"000"))</f>
        <v/>
      </c>
      <c r="B356" s="17" t="n"/>
      <c r="C356" s="18" t="n"/>
      <c r="D356" s="17" t="n"/>
      <c r="E356" s="17" t="n"/>
      <c r="F356" s="17" t="n"/>
      <c r="G356" s="19" t="n"/>
      <c r="H356" s="17" t="n"/>
      <c r="I356" s="18" t="n"/>
      <c r="J356" s="19" t="n"/>
      <c r="K356" s="17" t="n"/>
      <c r="L356" s="17" t="n"/>
      <c r="M356" s="17" t="n"/>
      <c r="N356" s="17" t="n"/>
      <c r="O356" s="17" t="n"/>
      <c r="P356" s="17" t="n"/>
      <c r="Q356" s="19" t="n"/>
      <c r="R356" s="19" t="n"/>
      <c r="S356" s="7">
        <f>IF(I356="","",IF(TODAY()&gt;=I356,"到期","未到期"))</f>
        <v/>
      </c>
    </row>
    <row r="357">
      <c r="A357" s="16">
        <f>IF(B357="","","V-"&amp;TEXT(ROW()-1,"000"))</f>
        <v/>
      </c>
      <c r="B357" s="17" t="n"/>
      <c r="C357" s="18" t="n"/>
      <c r="D357" s="17" t="n"/>
      <c r="E357" s="17" t="n"/>
      <c r="F357" s="17" t="n"/>
      <c r="G357" s="19" t="n"/>
      <c r="H357" s="17" t="n"/>
      <c r="I357" s="18" t="n"/>
      <c r="J357" s="19" t="n"/>
      <c r="K357" s="17" t="n"/>
      <c r="L357" s="17" t="n"/>
      <c r="M357" s="17" t="n"/>
      <c r="N357" s="17" t="n"/>
      <c r="O357" s="17" t="n"/>
      <c r="P357" s="17" t="n"/>
      <c r="Q357" s="19" t="n"/>
      <c r="R357" s="19" t="n"/>
      <c r="S357" s="7">
        <f>IF(I357="","",IF(TODAY()&gt;=I357,"到期","未到期"))</f>
        <v/>
      </c>
    </row>
    <row r="358">
      <c r="A358" s="16">
        <f>IF(B358="","","V-"&amp;TEXT(ROW()-1,"000"))</f>
        <v/>
      </c>
      <c r="B358" s="17" t="n"/>
      <c r="C358" s="18" t="n"/>
      <c r="D358" s="17" t="n"/>
      <c r="E358" s="17" t="n"/>
      <c r="F358" s="17" t="n"/>
      <c r="G358" s="19" t="n"/>
      <c r="H358" s="17" t="n"/>
      <c r="I358" s="18" t="n"/>
      <c r="J358" s="19" t="n"/>
      <c r="K358" s="17" t="n"/>
      <c r="L358" s="17" t="n"/>
      <c r="M358" s="17" t="n"/>
      <c r="N358" s="17" t="n"/>
      <c r="O358" s="17" t="n"/>
      <c r="P358" s="17" t="n"/>
      <c r="Q358" s="19" t="n"/>
      <c r="R358" s="19" t="n"/>
      <c r="S358" s="7">
        <f>IF(I358="","",IF(TODAY()&gt;=I358,"到期","未到期"))</f>
        <v/>
      </c>
    </row>
    <row r="359">
      <c r="A359" s="16">
        <f>IF(B359="","","V-"&amp;TEXT(ROW()-1,"000"))</f>
        <v/>
      </c>
      <c r="B359" s="17" t="n"/>
      <c r="C359" s="18" t="n"/>
      <c r="D359" s="17" t="n"/>
      <c r="E359" s="17" t="n"/>
      <c r="F359" s="17" t="n"/>
      <c r="G359" s="19" t="n"/>
      <c r="H359" s="17" t="n"/>
      <c r="I359" s="18" t="n"/>
      <c r="J359" s="19" t="n"/>
      <c r="K359" s="17" t="n"/>
      <c r="L359" s="17" t="n"/>
      <c r="M359" s="17" t="n"/>
      <c r="N359" s="17" t="n"/>
      <c r="O359" s="17" t="n"/>
      <c r="P359" s="17" t="n"/>
      <c r="Q359" s="19" t="n"/>
      <c r="R359" s="19" t="n"/>
      <c r="S359" s="7">
        <f>IF(I359="","",IF(TODAY()&gt;=I359,"到期","未到期"))</f>
        <v/>
      </c>
    </row>
    <row r="360">
      <c r="A360" s="16">
        <f>IF(B360="","","V-"&amp;TEXT(ROW()-1,"000"))</f>
        <v/>
      </c>
      <c r="B360" s="17" t="n"/>
      <c r="C360" s="18" t="n"/>
      <c r="D360" s="17" t="n"/>
      <c r="E360" s="17" t="n"/>
      <c r="F360" s="17" t="n"/>
      <c r="G360" s="19" t="n"/>
      <c r="H360" s="17" t="n"/>
      <c r="I360" s="18" t="n"/>
      <c r="J360" s="19" t="n"/>
      <c r="K360" s="17" t="n"/>
      <c r="L360" s="17" t="n"/>
      <c r="M360" s="17" t="n"/>
      <c r="N360" s="17" t="n"/>
      <c r="O360" s="17" t="n"/>
      <c r="P360" s="17" t="n"/>
      <c r="Q360" s="19" t="n"/>
      <c r="R360" s="19" t="n"/>
      <c r="S360" s="7">
        <f>IF(I360="","",IF(TODAY()&gt;=I360,"到期","未到期"))</f>
        <v/>
      </c>
    </row>
    <row r="361">
      <c r="A361" s="16">
        <f>IF(B361="","","V-"&amp;TEXT(ROW()-1,"000"))</f>
        <v/>
      </c>
      <c r="B361" s="17" t="n"/>
      <c r="C361" s="18" t="n"/>
      <c r="D361" s="17" t="n"/>
      <c r="E361" s="17" t="n"/>
      <c r="F361" s="17" t="n"/>
      <c r="G361" s="19" t="n"/>
      <c r="H361" s="17" t="n"/>
      <c r="I361" s="18" t="n"/>
      <c r="J361" s="19" t="n"/>
      <c r="K361" s="17" t="n"/>
      <c r="L361" s="17" t="n"/>
      <c r="M361" s="17" t="n"/>
      <c r="N361" s="17" t="n"/>
      <c r="O361" s="17" t="n"/>
      <c r="P361" s="17" t="n"/>
      <c r="Q361" s="19" t="n"/>
      <c r="R361" s="19" t="n"/>
      <c r="S361" s="7">
        <f>IF(I361="","",IF(TODAY()&gt;=I361,"到期","未到期"))</f>
        <v/>
      </c>
    </row>
    <row r="362">
      <c r="A362" s="16">
        <f>IF(B362="","","V-"&amp;TEXT(ROW()-1,"000"))</f>
        <v/>
      </c>
      <c r="B362" s="17" t="n"/>
      <c r="C362" s="18" t="n"/>
      <c r="D362" s="17" t="n"/>
      <c r="E362" s="17" t="n"/>
      <c r="F362" s="17" t="n"/>
      <c r="G362" s="19" t="n"/>
      <c r="H362" s="17" t="n"/>
      <c r="I362" s="18" t="n"/>
      <c r="J362" s="19" t="n"/>
      <c r="K362" s="17" t="n"/>
      <c r="L362" s="17" t="n"/>
      <c r="M362" s="17" t="n"/>
      <c r="N362" s="17" t="n"/>
      <c r="O362" s="17" t="n"/>
      <c r="P362" s="17" t="n"/>
      <c r="Q362" s="19" t="n"/>
      <c r="R362" s="19" t="n"/>
      <c r="S362" s="7">
        <f>IF(I362="","",IF(TODAY()&gt;=I362,"到期","未到期"))</f>
        <v/>
      </c>
    </row>
    <row r="363">
      <c r="A363" s="16">
        <f>IF(B363="","","V-"&amp;TEXT(ROW()-1,"000"))</f>
        <v/>
      </c>
      <c r="B363" s="17" t="n"/>
      <c r="C363" s="18" t="n"/>
      <c r="D363" s="17" t="n"/>
      <c r="E363" s="17" t="n"/>
      <c r="F363" s="17" t="n"/>
      <c r="G363" s="19" t="n"/>
      <c r="H363" s="17" t="n"/>
      <c r="I363" s="18" t="n"/>
      <c r="J363" s="19" t="n"/>
      <c r="K363" s="17" t="n"/>
      <c r="L363" s="17" t="n"/>
      <c r="M363" s="17" t="n"/>
      <c r="N363" s="17" t="n"/>
      <c r="O363" s="17" t="n"/>
      <c r="P363" s="17" t="n"/>
      <c r="Q363" s="19" t="n"/>
      <c r="R363" s="19" t="n"/>
      <c r="S363" s="7">
        <f>IF(I363="","",IF(TODAY()&gt;=I363,"到期","未到期"))</f>
        <v/>
      </c>
    </row>
    <row r="364">
      <c r="A364" s="16">
        <f>IF(B364="","","V-"&amp;TEXT(ROW()-1,"000"))</f>
        <v/>
      </c>
      <c r="B364" s="17" t="n"/>
      <c r="C364" s="18" t="n"/>
      <c r="D364" s="17" t="n"/>
      <c r="E364" s="17" t="n"/>
      <c r="F364" s="17" t="n"/>
      <c r="G364" s="19" t="n"/>
      <c r="H364" s="17" t="n"/>
      <c r="I364" s="18" t="n"/>
      <c r="J364" s="19" t="n"/>
      <c r="K364" s="17" t="n"/>
      <c r="L364" s="17" t="n"/>
      <c r="M364" s="17" t="n"/>
      <c r="N364" s="17" t="n"/>
      <c r="O364" s="17" t="n"/>
      <c r="P364" s="17" t="n"/>
      <c r="Q364" s="19" t="n"/>
      <c r="R364" s="19" t="n"/>
      <c r="S364" s="7">
        <f>IF(I364="","",IF(TODAY()&gt;=I364,"到期","未到期"))</f>
        <v/>
      </c>
    </row>
    <row r="365">
      <c r="A365" s="16">
        <f>IF(B365="","","V-"&amp;TEXT(ROW()-1,"000"))</f>
        <v/>
      </c>
      <c r="B365" s="17" t="n"/>
      <c r="C365" s="18" t="n"/>
      <c r="D365" s="17" t="n"/>
      <c r="E365" s="17" t="n"/>
      <c r="F365" s="17" t="n"/>
      <c r="G365" s="19" t="n"/>
      <c r="H365" s="17" t="n"/>
      <c r="I365" s="18" t="n"/>
      <c r="J365" s="19" t="n"/>
      <c r="K365" s="17" t="n"/>
      <c r="L365" s="17" t="n"/>
      <c r="M365" s="17" t="n"/>
      <c r="N365" s="17" t="n"/>
      <c r="O365" s="17" t="n"/>
      <c r="P365" s="17" t="n"/>
      <c r="Q365" s="19" t="n"/>
      <c r="R365" s="19" t="n"/>
      <c r="S365" s="7">
        <f>IF(I365="","",IF(TODAY()&gt;=I365,"到期","未到期"))</f>
        <v/>
      </c>
    </row>
    <row r="366">
      <c r="A366" s="16">
        <f>IF(B366="","","V-"&amp;TEXT(ROW()-1,"000"))</f>
        <v/>
      </c>
      <c r="B366" s="17" t="n"/>
      <c r="C366" s="18" t="n"/>
      <c r="D366" s="17" t="n"/>
      <c r="E366" s="17" t="n"/>
      <c r="F366" s="17" t="n"/>
      <c r="G366" s="19" t="n"/>
      <c r="H366" s="17" t="n"/>
      <c r="I366" s="18" t="n"/>
      <c r="J366" s="19" t="n"/>
      <c r="K366" s="17" t="n"/>
      <c r="L366" s="17" t="n"/>
      <c r="M366" s="17" t="n"/>
      <c r="N366" s="17" t="n"/>
      <c r="O366" s="17" t="n"/>
      <c r="P366" s="17" t="n"/>
      <c r="Q366" s="19" t="n"/>
      <c r="R366" s="19" t="n"/>
      <c r="S366" s="7">
        <f>IF(I366="","",IF(TODAY()&gt;=I366,"到期","未到期"))</f>
        <v/>
      </c>
    </row>
    <row r="367">
      <c r="A367" s="16">
        <f>IF(B367="","","V-"&amp;TEXT(ROW()-1,"000"))</f>
        <v/>
      </c>
      <c r="B367" s="17" t="n"/>
      <c r="C367" s="18" t="n"/>
      <c r="D367" s="17" t="n"/>
      <c r="E367" s="17" t="n"/>
      <c r="F367" s="17" t="n"/>
      <c r="G367" s="19" t="n"/>
      <c r="H367" s="17" t="n"/>
      <c r="I367" s="18" t="n"/>
      <c r="J367" s="19" t="n"/>
      <c r="K367" s="17" t="n"/>
      <c r="L367" s="17" t="n"/>
      <c r="M367" s="17" t="n"/>
      <c r="N367" s="17" t="n"/>
      <c r="O367" s="17" t="n"/>
      <c r="P367" s="17" t="n"/>
      <c r="Q367" s="19" t="n"/>
      <c r="R367" s="19" t="n"/>
      <c r="S367" s="7">
        <f>IF(I367="","",IF(TODAY()&gt;=I367,"到期","未到期"))</f>
        <v/>
      </c>
    </row>
    <row r="368">
      <c r="A368" s="16">
        <f>IF(B368="","","V-"&amp;TEXT(ROW()-1,"000"))</f>
        <v/>
      </c>
      <c r="B368" s="17" t="n"/>
      <c r="C368" s="18" t="n"/>
      <c r="D368" s="17" t="n"/>
      <c r="E368" s="17" t="n"/>
      <c r="F368" s="17" t="n"/>
      <c r="G368" s="19" t="n"/>
      <c r="H368" s="17" t="n"/>
      <c r="I368" s="18" t="n"/>
      <c r="J368" s="19" t="n"/>
      <c r="K368" s="17" t="n"/>
      <c r="L368" s="17" t="n"/>
      <c r="M368" s="17" t="n"/>
      <c r="N368" s="17" t="n"/>
      <c r="O368" s="17" t="n"/>
      <c r="P368" s="17" t="n"/>
      <c r="Q368" s="19" t="n"/>
      <c r="R368" s="19" t="n"/>
      <c r="S368" s="7">
        <f>IF(I368="","",IF(TODAY()&gt;=I368,"到期","未到期"))</f>
        <v/>
      </c>
    </row>
    <row r="369">
      <c r="A369" s="16">
        <f>IF(B369="","","V-"&amp;TEXT(ROW()-1,"000"))</f>
        <v/>
      </c>
      <c r="B369" s="17" t="n"/>
      <c r="C369" s="18" t="n"/>
      <c r="D369" s="17" t="n"/>
      <c r="E369" s="17" t="n"/>
      <c r="F369" s="17" t="n"/>
      <c r="G369" s="19" t="n"/>
      <c r="H369" s="17" t="n"/>
      <c r="I369" s="18" t="n"/>
      <c r="J369" s="19" t="n"/>
      <c r="K369" s="17" t="n"/>
      <c r="L369" s="17" t="n"/>
      <c r="M369" s="17" t="n"/>
      <c r="N369" s="17" t="n"/>
      <c r="O369" s="17" t="n"/>
      <c r="P369" s="17" t="n"/>
      <c r="Q369" s="19" t="n"/>
      <c r="R369" s="19" t="n"/>
      <c r="S369" s="7">
        <f>IF(I369="","",IF(TODAY()&gt;=I369,"到期","未到期"))</f>
        <v/>
      </c>
    </row>
    <row r="370">
      <c r="A370" s="16">
        <f>IF(B370="","","V-"&amp;TEXT(ROW()-1,"000"))</f>
        <v/>
      </c>
      <c r="B370" s="17" t="n"/>
      <c r="C370" s="18" t="n"/>
      <c r="D370" s="17" t="n"/>
      <c r="E370" s="17" t="n"/>
      <c r="F370" s="17" t="n"/>
      <c r="G370" s="19" t="n"/>
      <c r="H370" s="17" t="n"/>
      <c r="I370" s="18" t="n"/>
      <c r="J370" s="19" t="n"/>
      <c r="K370" s="17" t="n"/>
      <c r="L370" s="17" t="n"/>
      <c r="M370" s="17" t="n"/>
      <c r="N370" s="17" t="n"/>
      <c r="O370" s="17" t="n"/>
      <c r="P370" s="17" t="n"/>
      <c r="Q370" s="19" t="n"/>
      <c r="R370" s="19" t="n"/>
      <c r="S370" s="7">
        <f>IF(I370="","",IF(TODAY()&gt;=I370,"到期","未到期"))</f>
        <v/>
      </c>
    </row>
    <row r="371">
      <c r="A371" s="16">
        <f>IF(B371="","","V-"&amp;TEXT(ROW()-1,"000"))</f>
        <v/>
      </c>
      <c r="B371" s="17" t="n"/>
      <c r="C371" s="18" t="n"/>
      <c r="D371" s="17" t="n"/>
      <c r="E371" s="17" t="n"/>
      <c r="F371" s="17" t="n"/>
      <c r="G371" s="19" t="n"/>
      <c r="H371" s="17" t="n"/>
      <c r="I371" s="18" t="n"/>
      <c r="J371" s="19" t="n"/>
      <c r="K371" s="17" t="n"/>
      <c r="L371" s="17" t="n"/>
      <c r="M371" s="17" t="n"/>
      <c r="N371" s="17" t="n"/>
      <c r="O371" s="17" t="n"/>
      <c r="P371" s="17" t="n"/>
      <c r="Q371" s="19" t="n"/>
      <c r="R371" s="19" t="n"/>
      <c r="S371" s="7">
        <f>IF(I371="","",IF(TODAY()&gt;=I371,"到期","未到期"))</f>
        <v/>
      </c>
    </row>
    <row r="372">
      <c r="A372" s="16">
        <f>IF(B372="","","V-"&amp;TEXT(ROW()-1,"000"))</f>
        <v/>
      </c>
      <c r="B372" s="17" t="n"/>
      <c r="C372" s="18" t="n"/>
      <c r="D372" s="17" t="n"/>
      <c r="E372" s="17" t="n"/>
      <c r="F372" s="17" t="n"/>
      <c r="G372" s="19" t="n"/>
      <c r="H372" s="17" t="n"/>
      <c r="I372" s="18" t="n"/>
      <c r="J372" s="19" t="n"/>
      <c r="K372" s="17" t="n"/>
      <c r="L372" s="17" t="n"/>
      <c r="M372" s="17" t="n"/>
      <c r="N372" s="17" t="n"/>
      <c r="O372" s="17" t="n"/>
      <c r="P372" s="17" t="n"/>
      <c r="Q372" s="19" t="n"/>
      <c r="R372" s="19" t="n"/>
      <c r="S372" s="7">
        <f>IF(I372="","",IF(TODAY()&gt;=I372,"到期","未到期"))</f>
        <v/>
      </c>
    </row>
    <row r="373">
      <c r="A373" s="16">
        <f>IF(B373="","","V-"&amp;TEXT(ROW()-1,"000"))</f>
        <v/>
      </c>
      <c r="B373" s="17" t="n"/>
      <c r="C373" s="18" t="n"/>
      <c r="D373" s="17" t="n"/>
      <c r="E373" s="17" t="n"/>
      <c r="F373" s="17" t="n"/>
      <c r="G373" s="19" t="n"/>
      <c r="H373" s="17" t="n"/>
      <c r="I373" s="18" t="n"/>
      <c r="J373" s="19" t="n"/>
      <c r="K373" s="17" t="n"/>
      <c r="L373" s="17" t="n"/>
      <c r="M373" s="17" t="n"/>
      <c r="N373" s="17" t="n"/>
      <c r="O373" s="17" t="n"/>
      <c r="P373" s="17" t="n"/>
      <c r="Q373" s="19" t="n"/>
      <c r="R373" s="19" t="n"/>
      <c r="S373" s="7">
        <f>IF(I373="","",IF(TODAY()&gt;=I373,"到期","未到期"))</f>
        <v/>
      </c>
    </row>
    <row r="374">
      <c r="A374" s="16">
        <f>IF(B374="","","V-"&amp;TEXT(ROW()-1,"000"))</f>
        <v/>
      </c>
      <c r="B374" s="17" t="n"/>
      <c r="C374" s="18" t="n"/>
      <c r="D374" s="17" t="n"/>
      <c r="E374" s="17" t="n"/>
      <c r="F374" s="17" t="n"/>
      <c r="G374" s="19" t="n"/>
      <c r="H374" s="17" t="n"/>
      <c r="I374" s="18" t="n"/>
      <c r="J374" s="19" t="n"/>
      <c r="K374" s="17" t="n"/>
      <c r="L374" s="17" t="n"/>
      <c r="M374" s="17" t="n"/>
      <c r="N374" s="17" t="n"/>
      <c r="O374" s="17" t="n"/>
      <c r="P374" s="17" t="n"/>
      <c r="Q374" s="19" t="n"/>
      <c r="R374" s="19" t="n"/>
      <c r="S374" s="7">
        <f>IF(I374="","",IF(TODAY()&gt;=I374,"到期","未到期"))</f>
        <v/>
      </c>
    </row>
    <row r="375">
      <c r="A375" s="16">
        <f>IF(B375="","","V-"&amp;TEXT(ROW()-1,"000"))</f>
        <v/>
      </c>
      <c r="B375" s="17" t="n"/>
      <c r="C375" s="18" t="n"/>
      <c r="D375" s="17" t="n"/>
      <c r="E375" s="17" t="n"/>
      <c r="F375" s="17" t="n"/>
      <c r="G375" s="19" t="n"/>
      <c r="H375" s="17" t="n"/>
      <c r="I375" s="18" t="n"/>
      <c r="J375" s="19" t="n"/>
      <c r="K375" s="17" t="n"/>
      <c r="L375" s="17" t="n"/>
      <c r="M375" s="17" t="n"/>
      <c r="N375" s="17" t="n"/>
      <c r="O375" s="17" t="n"/>
      <c r="P375" s="17" t="n"/>
      <c r="Q375" s="19" t="n"/>
      <c r="R375" s="19" t="n"/>
      <c r="S375" s="7">
        <f>IF(I375="","",IF(TODAY()&gt;=I375,"到期","未到期"))</f>
        <v/>
      </c>
    </row>
    <row r="376">
      <c r="A376" s="16">
        <f>IF(B376="","","V-"&amp;TEXT(ROW()-1,"000"))</f>
        <v/>
      </c>
      <c r="B376" s="17" t="n"/>
      <c r="C376" s="18" t="n"/>
      <c r="D376" s="17" t="n"/>
      <c r="E376" s="17" t="n"/>
      <c r="F376" s="17" t="n"/>
      <c r="G376" s="19" t="n"/>
      <c r="H376" s="17" t="n"/>
      <c r="I376" s="18" t="n"/>
      <c r="J376" s="19" t="n"/>
      <c r="K376" s="17" t="n"/>
      <c r="L376" s="17" t="n"/>
      <c r="M376" s="17" t="n"/>
      <c r="N376" s="17" t="n"/>
      <c r="O376" s="17" t="n"/>
      <c r="P376" s="17" t="n"/>
      <c r="Q376" s="19" t="n"/>
      <c r="R376" s="19" t="n"/>
      <c r="S376" s="7">
        <f>IF(I376="","",IF(TODAY()&gt;=I376,"到期","未到期"))</f>
        <v/>
      </c>
    </row>
    <row r="377">
      <c r="A377" s="16">
        <f>IF(B377="","","V-"&amp;TEXT(ROW()-1,"000"))</f>
        <v/>
      </c>
      <c r="B377" s="17" t="n"/>
      <c r="C377" s="18" t="n"/>
      <c r="D377" s="17" t="n"/>
      <c r="E377" s="17" t="n"/>
      <c r="F377" s="17" t="n"/>
      <c r="G377" s="19" t="n"/>
      <c r="H377" s="17" t="n"/>
      <c r="I377" s="18" t="n"/>
      <c r="J377" s="19" t="n"/>
      <c r="K377" s="17" t="n"/>
      <c r="L377" s="17" t="n"/>
      <c r="M377" s="17" t="n"/>
      <c r="N377" s="17" t="n"/>
      <c r="O377" s="17" t="n"/>
      <c r="P377" s="17" t="n"/>
      <c r="Q377" s="19" t="n"/>
      <c r="R377" s="19" t="n"/>
      <c r="S377" s="7">
        <f>IF(I377="","",IF(TODAY()&gt;=I377,"到期","未到期"))</f>
        <v/>
      </c>
    </row>
    <row r="378">
      <c r="A378" s="16">
        <f>IF(B378="","","V-"&amp;TEXT(ROW()-1,"000"))</f>
        <v/>
      </c>
      <c r="B378" s="17" t="n"/>
      <c r="C378" s="18" t="n"/>
      <c r="D378" s="17" t="n"/>
      <c r="E378" s="17" t="n"/>
      <c r="F378" s="17" t="n"/>
      <c r="G378" s="19" t="n"/>
      <c r="H378" s="17" t="n"/>
      <c r="I378" s="18" t="n"/>
      <c r="J378" s="19" t="n"/>
      <c r="K378" s="17" t="n"/>
      <c r="L378" s="17" t="n"/>
      <c r="M378" s="17" t="n"/>
      <c r="N378" s="17" t="n"/>
      <c r="O378" s="17" t="n"/>
      <c r="P378" s="17" t="n"/>
      <c r="Q378" s="19" t="n"/>
      <c r="R378" s="19" t="n"/>
      <c r="S378" s="7">
        <f>IF(I378="","",IF(TODAY()&gt;=I378,"到期","未到期"))</f>
        <v/>
      </c>
    </row>
    <row r="379">
      <c r="A379" s="16">
        <f>IF(B379="","","V-"&amp;TEXT(ROW()-1,"000"))</f>
        <v/>
      </c>
      <c r="B379" s="17" t="n"/>
      <c r="C379" s="18" t="n"/>
      <c r="D379" s="17" t="n"/>
      <c r="E379" s="17" t="n"/>
      <c r="F379" s="17" t="n"/>
      <c r="G379" s="19" t="n"/>
      <c r="H379" s="17" t="n"/>
      <c r="I379" s="18" t="n"/>
      <c r="J379" s="19" t="n"/>
      <c r="K379" s="17" t="n"/>
      <c r="L379" s="17" t="n"/>
      <c r="M379" s="17" t="n"/>
      <c r="N379" s="17" t="n"/>
      <c r="O379" s="17" t="n"/>
      <c r="P379" s="17" t="n"/>
      <c r="Q379" s="19" t="n"/>
      <c r="R379" s="19" t="n"/>
      <c r="S379" s="7">
        <f>IF(I379="","",IF(TODAY()&gt;=I379,"到期","未到期"))</f>
        <v/>
      </c>
    </row>
    <row r="380">
      <c r="A380" s="16">
        <f>IF(B380="","","V-"&amp;TEXT(ROW()-1,"000"))</f>
        <v/>
      </c>
      <c r="B380" s="17" t="n"/>
      <c r="C380" s="18" t="n"/>
      <c r="D380" s="17" t="n"/>
      <c r="E380" s="17" t="n"/>
      <c r="F380" s="17" t="n"/>
      <c r="G380" s="19" t="n"/>
      <c r="H380" s="17" t="n"/>
      <c r="I380" s="18" t="n"/>
      <c r="J380" s="19" t="n"/>
      <c r="K380" s="17" t="n"/>
      <c r="L380" s="17" t="n"/>
      <c r="M380" s="17" t="n"/>
      <c r="N380" s="17" t="n"/>
      <c r="O380" s="17" t="n"/>
      <c r="P380" s="17" t="n"/>
      <c r="Q380" s="19" t="n"/>
      <c r="R380" s="19" t="n"/>
      <c r="S380" s="7">
        <f>IF(I380="","",IF(TODAY()&gt;=I380,"到期","未到期"))</f>
        <v/>
      </c>
    </row>
    <row r="381">
      <c r="A381" s="16">
        <f>IF(B381="","","V-"&amp;TEXT(ROW()-1,"000"))</f>
        <v/>
      </c>
      <c r="B381" s="17" t="n"/>
      <c r="C381" s="18" t="n"/>
      <c r="D381" s="17" t="n"/>
      <c r="E381" s="17" t="n"/>
      <c r="F381" s="17" t="n"/>
      <c r="G381" s="19" t="n"/>
      <c r="H381" s="17" t="n"/>
      <c r="I381" s="18" t="n"/>
      <c r="J381" s="19" t="n"/>
      <c r="K381" s="17" t="n"/>
      <c r="L381" s="17" t="n"/>
      <c r="M381" s="17" t="n"/>
      <c r="N381" s="17" t="n"/>
      <c r="O381" s="17" t="n"/>
      <c r="P381" s="17" t="n"/>
      <c r="Q381" s="19" t="n"/>
      <c r="R381" s="19" t="n"/>
      <c r="S381" s="7">
        <f>IF(I381="","",IF(TODAY()&gt;=I381,"到期","未到期"))</f>
        <v/>
      </c>
    </row>
    <row r="382">
      <c r="A382" s="16">
        <f>IF(B382="","","V-"&amp;TEXT(ROW()-1,"000"))</f>
        <v/>
      </c>
      <c r="B382" s="17" t="n"/>
      <c r="C382" s="18" t="n"/>
      <c r="D382" s="17" t="n"/>
      <c r="E382" s="17" t="n"/>
      <c r="F382" s="17" t="n"/>
      <c r="G382" s="19" t="n"/>
      <c r="H382" s="17" t="n"/>
      <c r="I382" s="18" t="n"/>
      <c r="J382" s="19" t="n"/>
      <c r="K382" s="17" t="n"/>
      <c r="L382" s="17" t="n"/>
      <c r="M382" s="17" t="n"/>
      <c r="N382" s="17" t="n"/>
      <c r="O382" s="17" t="n"/>
      <c r="P382" s="17" t="n"/>
      <c r="Q382" s="19" t="n"/>
      <c r="R382" s="19" t="n"/>
      <c r="S382" s="7">
        <f>IF(I382="","",IF(TODAY()&gt;=I382,"到期","未到期"))</f>
        <v/>
      </c>
    </row>
    <row r="383">
      <c r="A383" s="16">
        <f>IF(B383="","","V-"&amp;TEXT(ROW()-1,"000"))</f>
        <v/>
      </c>
      <c r="B383" s="17" t="n"/>
      <c r="C383" s="18" t="n"/>
      <c r="D383" s="17" t="n"/>
      <c r="E383" s="17" t="n"/>
      <c r="F383" s="17" t="n"/>
      <c r="G383" s="19" t="n"/>
      <c r="H383" s="17" t="n"/>
      <c r="I383" s="18" t="n"/>
      <c r="J383" s="19" t="n"/>
      <c r="K383" s="17" t="n"/>
      <c r="L383" s="17" t="n"/>
      <c r="M383" s="17" t="n"/>
      <c r="N383" s="17" t="n"/>
      <c r="O383" s="17" t="n"/>
      <c r="P383" s="17" t="n"/>
      <c r="Q383" s="19" t="n"/>
      <c r="R383" s="19" t="n"/>
      <c r="S383" s="7">
        <f>IF(I383="","",IF(TODAY()&gt;=I383,"到期","未到期"))</f>
        <v/>
      </c>
    </row>
    <row r="384">
      <c r="A384" s="16">
        <f>IF(B384="","","V-"&amp;TEXT(ROW()-1,"000"))</f>
        <v/>
      </c>
      <c r="B384" s="17" t="n"/>
      <c r="C384" s="18" t="n"/>
      <c r="D384" s="17" t="n"/>
      <c r="E384" s="17" t="n"/>
      <c r="F384" s="17" t="n"/>
      <c r="G384" s="19" t="n"/>
      <c r="H384" s="17" t="n"/>
      <c r="I384" s="18" t="n"/>
      <c r="J384" s="19" t="n"/>
      <c r="K384" s="17" t="n"/>
      <c r="L384" s="17" t="n"/>
      <c r="M384" s="17" t="n"/>
      <c r="N384" s="17" t="n"/>
      <c r="O384" s="17" t="n"/>
      <c r="P384" s="17" t="n"/>
      <c r="Q384" s="19" t="n"/>
      <c r="R384" s="19" t="n"/>
      <c r="S384" s="7">
        <f>IF(I384="","",IF(TODAY()&gt;=I384,"到期","未到期"))</f>
        <v/>
      </c>
    </row>
    <row r="385">
      <c r="A385" s="16">
        <f>IF(B385="","","V-"&amp;TEXT(ROW()-1,"000"))</f>
        <v/>
      </c>
      <c r="B385" s="17" t="n"/>
      <c r="C385" s="18" t="n"/>
      <c r="D385" s="17" t="n"/>
      <c r="E385" s="17" t="n"/>
      <c r="F385" s="17" t="n"/>
      <c r="G385" s="19" t="n"/>
      <c r="H385" s="17" t="n"/>
      <c r="I385" s="18" t="n"/>
      <c r="J385" s="19" t="n"/>
      <c r="K385" s="17" t="n"/>
      <c r="L385" s="17" t="n"/>
      <c r="M385" s="17" t="n"/>
      <c r="N385" s="17" t="n"/>
      <c r="O385" s="17" t="n"/>
      <c r="P385" s="17" t="n"/>
      <c r="Q385" s="19" t="n"/>
      <c r="R385" s="19" t="n"/>
      <c r="S385" s="7">
        <f>IF(I385="","",IF(TODAY()&gt;=I385,"到期","未到期"))</f>
        <v/>
      </c>
    </row>
    <row r="386">
      <c r="A386" s="16">
        <f>IF(B386="","","V-"&amp;TEXT(ROW()-1,"000"))</f>
        <v/>
      </c>
      <c r="B386" s="17" t="n"/>
      <c r="C386" s="18" t="n"/>
      <c r="D386" s="17" t="n"/>
      <c r="E386" s="17" t="n"/>
      <c r="F386" s="17" t="n"/>
      <c r="G386" s="19" t="n"/>
      <c r="H386" s="17" t="n"/>
      <c r="I386" s="18" t="n"/>
      <c r="J386" s="19" t="n"/>
      <c r="K386" s="17" t="n"/>
      <c r="L386" s="17" t="n"/>
      <c r="M386" s="17" t="n"/>
      <c r="N386" s="17" t="n"/>
      <c r="O386" s="17" t="n"/>
      <c r="P386" s="17" t="n"/>
      <c r="Q386" s="19" t="n"/>
      <c r="R386" s="19" t="n"/>
      <c r="S386" s="7">
        <f>IF(I386="","",IF(TODAY()&gt;=I386,"到期","未到期"))</f>
        <v/>
      </c>
    </row>
    <row r="387">
      <c r="A387" s="16">
        <f>IF(B387="","","V-"&amp;TEXT(ROW()-1,"000"))</f>
        <v/>
      </c>
      <c r="B387" s="17" t="n"/>
      <c r="C387" s="18" t="n"/>
      <c r="D387" s="17" t="n"/>
      <c r="E387" s="17" t="n"/>
      <c r="F387" s="17" t="n"/>
      <c r="G387" s="19" t="n"/>
      <c r="H387" s="17" t="n"/>
      <c r="I387" s="18" t="n"/>
      <c r="J387" s="19" t="n"/>
      <c r="K387" s="17" t="n"/>
      <c r="L387" s="17" t="n"/>
      <c r="M387" s="17" t="n"/>
      <c r="N387" s="17" t="n"/>
      <c r="O387" s="17" t="n"/>
      <c r="P387" s="17" t="n"/>
      <c r="Q387" s="19" t="n"/>
      <c r="R387" s="19" t="n"/>
      <c r="S387" s="7">
        <f>IF(I387="","",IF(TODAY()&gt;=I387,"到期","未到期"))</f>
        <v/>
      </c>
    </row>
    <row r="388">
      <c r="A388" s="16">
        <f>IF(B388="","","V-"&amp;TEXT(ROW()-1,"000"))</f>
        <v/>
      </c>
      <c r="B388" s="17" t="n"/>
      <c r="C388" s="18" t="n"/>
      <c r="D388" s="17" t="n"/>
      <c r="E388" s="17" t="n"/>
      <c r="F388" s="17" t="n"/>
      <c r="G388" s="19" t="n"/>
      <c r="H388" s="17" t="n"/>
      <c r="I388" s="18" t="n"/>
      <c r="J388" s="19" t="n"/>
      <c r="K388" s="17" t="n"/>
      <c r="L388" s="17" t="n"/>
      <c r="M388" s="17" t="n"/>
      <c r="N388" s="17" t="n"/>
      <c r="O388" s="17" t="n"/>
      <c r="P388" s="17" t="n"/>
      <c r="Q388" s="19" t="n"/>
      <c r="R388" s="19" t="n"/>
      <c r="S388" s="7">
        <f>IF(I388="","",IF(TODAY()&gt;=I388,"到期","未到期"))</f>
        <v/>
      </c>
    </row>
    <row r="389">
      <c r="A389" s="16">
        <f>IF(B389="","","V-"&amp;TEXT(ROW()-1,"000"))</f>
        <v/>
      </c>
      <c r="B389" s="17" t="n"/>
      <c r="C389" s="18" t="n"/>
      <c r="D389" s="17" t="n"/>
      <c r="E389" s="17" t="n"/>
      <c r="F389" s="17" t="n"/>
      <c r="G389" s="19" t="n"/>
      <c r="H389" s="17" t="n"/>
      <c r="I389" s="18" t="n"/>
      <c r="J389" s="19" t="n"/>
      <c r="K389" s="17" t="n"/>
      <c r="L389" s="17" t="n"/>
      <c r="M389" s="17" t="n"/>
      <c r="N389" s="17" t="n"/>
      <c r="O389" s="17" t="n"/>
      <c r="P389" s="17" t="n"/>
      <c r="Q389" s="19" t="n"/>
      <c r="R389" s="19" t="n"/>
      <c r="S389" s="7">
        <f>IF(I389="","",IF(TODAY()&gt;=I389,"到期","未到期"))</f>
        <v/>
      </c>
    </row>
    <row r="390">
      <c r="A390" s="16">
        <f>IF(B390="","","V-"&amp;TEXT(ROW()-1,"000"))</f>
        <v/>
      </c>
      <c r="B390" s="17" t="n"/>
      <c r="C390" s="18" t="n"/>
      <c r="D390" s="17" t="n"/>
      <c r="E390" s="17" t="n"/>
      <c r="F390" s="17" t="n"/>
      <c r="G390" s="19" t="n"/>
      <c r="H390" s="17" t="n"/>
      <c r="I390" s="18" t="n"/>
      <c r="J390" s="19" t="n"/>
      <c r="K390" s="17" t="n"/>
      <c r="L390" s="17" t="n"/>
      <c r="M390" s="17" t="n"/>
      <c r="N390" s="17" t="n"/>
      <c r="O390" s="17" t="n"/>
      <c r="P390" s="17" t="n"/>
      <c r="Q390" s="19" t="n"/>
      <c r="R390" s="19" t="n"/>
      <c r="S390" s="7">
        <f>IF(I390="","",IF(TODAY()&gt;=I390,"到期","未到期"))</f>
        <v/>
      </c>
    </row>
    <row r="391">
      <c r="A391" s="16">
        <f>IF(B391="","","V-"&amp;TEXT(ROW()-1,"000"))</f>
        <v/>
      </c>
      <c r="B391" s="17" t="n"/>
      <c r="C391" s="18" t="n"/>
      <c r="D391" s="17" t="n"/>
      <c r="E391" s="17" t="n"/>
      <c r="F391" s="17" t="n"/>
      <c r="G391" s="19" t="n"/>
      <c r="H391" s="17" t="n"/>
      <c r="I391" s="18" t="n"/>
      <c r="J391" s="19" t="n"/>
      <c r="K391" s="17" t="n"/>
      <c r="L391" s="17" t="n"/>
      <c r="M391" s="17" t="n"/>
      <c r="N391" s="17" t="n"/>
      <c r="O391" s="17" t="n"/>
      <c r="P391" s="17" t="n"/>
      <c r="Q391" s="19" t="n"/>
      <c r="R391" s="19" t="n"/>
      <c r="S391" s="7">
        <f>IF(I391="","",IF(TODAY()&gt;=I391,"到期","未到期"))</f>
        <v/>
      </c>
    </row>
    <row r="392">
      <c r="A392" s="16">
        <f>IF(B392="","","V-"&amp;TEXT(ROW()-1,"000"))</f>
        <v/>
      </c>
      <c r="B392" s="17" t="n"/>
      <c r="C392" s="18" t="n"/>
      <c r="D392" s="17" t="n"/>
      <c r="E392" s="17" t="n"/>
      <c r="F392" s="17" t="n"/>
      <c r="G392" s="19" t="n"/>
      <c r="H392" s="17" t="n"/>
      <c r="I392" s="18" t="n"/>
      <c r="J392" s="19" t="n"/>
      <c r="K392" s="17" t="n"/>
      <c r="L392" s="17" t="n"/>
      <c r="M392" s="17" t="n"/>
      <c r="N392" s="17" t="n"/>
      <c r="O392" s="17" t="n"/>
      <c r="P392" s="17" t="n"/>
      <c r="Q392" s="19" t="n"/>
      <c r="R392" s="19" t="n"/>
      <c r="S392" s="7">
        <f>IF(I392="","",IF(TODAY()&gt;=I392,"到期","未到期"))</f>
        <v/>
      </c>
    </row>
    <row r="393">
      <c r="A393" s="16">
        <f>IF(B393="","","V-"&amp;TEXT(ROW()-1,"000"))</f>
        <v/>
      </c>
      <c r="B393" s="17" t="n"/>
      <c r="C393" s="18" t="n"/>
      <c r="D393" s="17" t="n"/>
      <c r="E393" s="17" t="n"/>
      <c r="F393" s="17" t="n"/>
      <c r="G393" s="19" t="n"/>
      <c r="H393" s="17" t="n"/>
      <c r="I393" s="18" t="n"/>
      <c r="J393" s="19" t="n"/>
      <c r="K393" s="17" t="n"/>
      <c r="L393" s="17" t="n"/>
      <c r="M393" s="17" t="n"/>
      <c r="N393" s="17" t="n"/>
      <c r="O393" s="17" t="n"/>
      <c r="P393" s="17" t="n"/>
      <c r="Q393" s="19" t="n"/>
      <c r="R393" s="19" t="n"/>
      <c r="S393" s="7">
        <f>IF(I393="","",IF(TODAY()&gt;=I393,"到期","未到期"))</f>
        <v/>
      </c>
    </row>
    <row r="394">
      <c r="A394" s="16">
        <f>IF(B394="","","V-"&amp;TEXT(ROW()-1,"000"))</f>
        <v/>
      </c>
      <c r="B394" s="17" t="n"/>
      <c r="C394" s="18" t="n"/>
      <c r="D394" s="17" t="n"/>
      <c r="E394" s="17" t="n"/>
      <c r="F394" s="17" t="n"/>
      <c r="G394" s="19" t="n"/>
      <c r="H394" s="17" t="n"/>
      <c r="I394" s="18" t="n"/>
      <c r="J394" s="19" t="n"/>
      <c r="K394" s="17" t="n"/>
      <c r="L394" s="17" t="n"/>
      <c r="M394" s="17" t="n"/>
      <c r="N394" s="17" t="n"/>
      <c r="O394" s="17" t="n"/>
      <c r="P394" s="17" t="n"/>
      <c r="Q394" s="19" t="n"/>
      <c r="R394" s="19" t="n"/>
      <c r="S394" s="7">
        <f>IF(I394="","",IF(TODAY()&gt;=I394,"到期","未到期"))</f>
        <v/>
      </c>
    </row>
    <row r="395">
      <c r="A395" s="16">
        <f>IF(B395="","","V-"&amp;TEXT(ROW()-1,"000"))</f>
        <v/>
      </c>
      <c r="B395" s="17" t="n"/>
      <c r="C395" s="18" t="n"/>
      <c r="D395" s="17" t="n"/>
      <c r="E395" s="17" t="n"/>
      <c r="F395" s="17" t="n"/>
      <c r="G395" s="19" t="n"/>
      <c r="H395" s="17" t="n"/>
      <c r="I395" s="18" t="n"/>
      <c r="J395" s="19" t="n"/>
      <c r="K395" s="17" t="n"/>
      <c r="L395" s="17" t="n"/>
      <c r="M395" s="17" t="n"/>
      <c r="N395" s="17" t="n"/>
      <c r="O395" s="17" t="n"/>
      <c r="P395" s="17" t="n"/>
      <c r="Q395" s="19" t="n"/>
      <c r="R395" s="19" t="n"/>
      <c r="S395" s="7">
        <f>IF(I395="","",IF(TODAY()&gt;=I395,"到期","未到期"))</f>
        <v/>
      </c>
    </row>
    <row r="396">
      <c r="A396" s="16">
        <f>IF(B396="","","V-"&amp;TEXT(ROW()-1,"000"))</f>
        <v/>
      </c>
      <c r="B396" s="17" t="n"/>
      <c r="C396" s="18" t="n"/>
      <c r="D396" s="17" t="n"/>
      <c r="E396" s="17" t="n"/>
      <c r="F396" s="17" t="n"/>
      <c r="G396" s="19" t="n"/>
      <c r="H396" s="17" t="n"/>
      <c r="I396" s="18" t="n"/>
      <c r="J396" s="19" t="n"/>
      <c r="K396" s="17" t="n"/>
      <c r="L396" s="17" t="n"/>
      <c r="M396" s="17" t="n"/>
      <c r="N396" s="17" t="n"/>
      <c r="O396" s="17" t="n"/>
      <c r="P396" s="17" t="n"/>
      <c r="Q396" s="19" t="n"/>
      <c r="R396" s="19" t="n"/>
      <c r="S396" s="7">
        <f>IF(I396="","",IF(TODAY()&gt;=I396,"到期","未到期"))</f>
        <v/>
      </c>
    </row>
    <row r="397">
      <c r="A397" s="16">
        <f>IF(B397="","","V-"&amp;TEXT(ROW()-1,"000"))</f>
        <v/>
      </c>
      <c r="B397" s="17" t="n"/>
      <c r="C397" s="18" t="n"/>
      <c r="D397" s="17" t="n"/>
      <c r="E397" s="17" t="n"/>
      <c r="F397" s="17" t="n"/>
      <c r="G397" s="19" t="n"/>
      <c r="H397" s="17" t="n"/>
      <c r="I397" s="18" t="n"/>
      <c r="J397" s="19" t="n"/>
      <c r="K397" s="17" t="n"/>
      <c r="L397" s="17" t="n"/>
      <c r="M397" s="17" t="n"/>
      <c r="N397" s="17" t="n"/>
      <c r="O397" s="17" t="n"/>
      <c r="P397" s="17" t="n"/>
      <c r="Q397" s="19" t="n"/>
      <c r="R397" s="19" t="n"/>
      <c r="S397" s="7">
        <f>IF(I397="","",IF(TODAY()&gt;=I397,"到期","未到期"))</f>
        <v/>
      </c>
    </row>
    <row r="398">
      <c r="A398" s="16">
        <f>IF(B398="","","V-"&amp;TEXT(ROW()-1,"000"))</f>
        <v/>
      </c>
      <c r="B398" s="17" t="n"/>
      <c r="C398" s="18" t="n"/>
      <c r="D398" s="17" t="n"/>
      <c r="E398" s="17" t="n"/>
      <c r="F398" s="17" t="n"/>
      <c r="G398" s="19" t="n"/>
      <c r="H398" s="17" t="n"/>
      <c r="I398" s="18" t="n"/>
      <c r="J398" s="19" t="n"/>
      <c r="K398" s="17" t="n"/>
      <c r="L398" s="17" t="n"/>
      <c r="M398" s="17" t="n"/>
      <c r="N398" s="17" t="n"/>
      <c r="O398" s="17" t="n"/>
      <c r="P398" s="17" t="n"/>
      <c r="Q398" s="19" t="n"/>
      <c r="R398" s="19" t="n"/>
      <c r="S398" s="7">
        <f>IF(I398="","",IF(TODAY()&gt;=I398,"到期","未到期"))</f>
        <v/>
      </c>
    </row>
    <row r="399">
      <c r="A399" s="16">
        <f>IF(B399="","","V-"&amp;TEXT(ROW()-1,"000"))</f>
        <v/>
      </c>
      <c r="B399" s="17" t="n"/>
      <c r="C399" s="18" t="n"/>
      <c r="D399" s="17" t="n"/>
      <c r="E399" s="17" t="n"/>
      <c r="F399" s="17" t="n"/>
      <c r="G399" s="19" t="n"/>
      <c r="H399" s="17" t="n"/>
      <c r="I399" s="18" t="n"/>
      <c r="J399" s="19" t="n"/>
      <c r="K399" s="17" t="n"/>
      <c r="L399" s="17" t="n"/>
      <c r="M399" s="17" t="n"/>
      <c r="N399" s="17" t="n"/>
      <c r="O399" s="17" t="n"/>
      <c r="P399" s="17" t="n"/>
      <c r="Q399" s="19" t="n"/>
      <c r="R399" s="19" t="n"/>
      <c r="S399" s="7">
        <f>IF(I399="","",IF(TODAY()&gt;=I399,"到期","未到期"))</f>
        <v/>
      </c>
    </row>
    <row r="400">
      <c r="A400" s="16">
        <f>IF(B400="","","V-"&amp;TEXT(ROW()-1,"000"))</f>
        <v/>
      </c>
      <c r="B400" s="17" t="n"/>
      <c r="C400" s="18" t="n"/>
      <c r="D400" s="17" t="n"/>
      <c r="E400" s="17" t="n"/>
      <c r="F400" s="17" t="n"/>
      <c r="G400" s="19" t="n"/>
      <c r="H400" s="17" t="n"/>
      <c r="I400" s="18" t="n"/>
      <c r="J400" s="19" t="n"/>
      <c r="K400" s="17" t="n"/>
      <c r="L400" s="17" t="n"/>
      <c r="M400" s="17" t="n"/>
      <c r="N400" s="17" t="n"/>
      <c r="O400" s="17" t="n"/>
      <c r="P400" s="17" t="n"/>
      <c r="Q400" s="19" t="n"/>
      <c r="R400" s="19" t="n"/>
      <c r="S400" s="7">
        <f>IF(I400="","",IF(TODAY()&gt;=I400,"到期","未到期"))</f>
        <v/>
      </c>
    </row>
    <row r="401">
      <c r="A401" s="16">
        <f>IF(B401="","","V-"&amp;TEXT(ROW()-1,"000"))</f>
        <v/>
      </c>
      <c r="B401" s="17" t="n"/>
      <c r="C401" s="18" t="n"/>
      <c r="D401" s="17" t="n"/>
      <c r="E401" s="17" t="n"/>
      <c r="F401" s="17" t="n"/>
      <c r="G401" s="19" t="n"/>
      <c r="H401" s="17" t="n"/>
      <c r="I401" s="18" t="n"/>
      <c r="J401" s="19" t="n"/>
      <c r="K401" s="17" t="n"/>
      <c r="L401" s="17" t="n"/>
      <c r="M401" s="17" t="n"/>
      <c r="N401" s="17" t="n"/>
      <c r="O401" s="17" t="n"/>
      <c r="P401" s="17" t="n"/>
      <c r="Q401" s="19" t="n"/>
      <c r="R401" s="19" t="n"/>
      <c r="S401" s="7">
        <f>IF(I401="","",IF(TODAY()&gt;=I401,"到期","未到期"))</f>
        <v/>
      </c>
    </row>
    <row r="402">
      <c r="A402" s="16">
        <f>IF(B402="","","V-"&amp;TEXT(ROW()-1,"000"))</f>
        <v/>
      </c>
      <c r="B402" s="17" t="n"/>
      <c r="C402" s="18" t="n"/>
      <c r="D402" s="17" t="n"/>
      <c r="E402" s="17" t="n"/>
      <c r="F402" s="17" t="n"/>
      <c r="G402" s="19" t="n"/>
      <c r="H402" s="17" t="n"/>
      <c r="I402" s="18" t="n"/>
      <c r="J402" s="19" t="n"/>
      <c r="K402" s="17" t="n"/>
      <c r="L402" s="17" t="n"/>
      <c r="M402" s="17" t="n"/>
      <c r="N402" s="17" t="n"/>
      <c r="O402" s="17" t="n"/>
      <c r="P402" s="17" t="n"/>
      <c r="Q402" s="19" t="n"/>
      <c r="R402" s="19" t="n"/>
      <c r="S402" s="7">
        <f>IF(I402="","",IF(TODAY()&gt;=I402,"到期","未到期"))</f>
        <v/>
      </c>
    </row>
    <row r="403">
      <c r="A403" s="16">
        <f>IF(B403="","","V-"&amp;TEXT(ROW()-1,"000"))</f>
        <v/>
      </c>
      <c r="B403" s="17" t="n"/>
      <c r="C403" s="18" t="n"/>
      <c r="D403" s="17" t="n"/>
      <c r="E403" s="17" t="n"/>
      <c r="F403" s="17" t="n"/>
      <c r="G403" s="19" t="n"/>
      <c r="H403" s="17" t="n"/>
      <c r="I403" s="18" t="n"/>
      <c r="J403" s="19" t="n"/>
      <c r="K403" s="17" t="n"/>
      <c r="L403" s="17" t="n"/>
      <c r="M403" s="17" t="n"/>
      <c r="N403" s="17" t="n"/>
      <c r="O403" s="17" t="n"/>
      <c r="P403" s="17" t="n"/>
      <c r="Q403" s="19" t="n"/>
      <c r="R403" s="19" t="n"/>
      <c r="S403" s="7">
        <f>IF(I403="","",IF(TODAY()&gt;=I403,"到期","未到期"))</f>
        <v/>
      </c>
    </row>
    <row r="404">
      <c r="A404" s="16">
        <f>IF(B404="","","V-"&amp;TEXT(ROW()-1,"000"))</f>
        <v/>
      </c>
      <c r="B404" s="17" t="n"/>
      <c r="C404" s="18" t="n"/>
      <c r="D404" s="17" t="n"/>
      <c r="E404" s="17" t="n"/>
      <c r="F404" s="17" t="n"/>
      <c r="G404" s="19" t="n"/>
      <c r="H404" s="17" t="n"/>
      <c r="I404" s="18" t="n"/>
      <c r="J404" s="19" t="n"/>
      <c r="K404" s="17" t="n"/>
      <c r="L404" s="17" t="n"/>
      <c r="M404" s="17" t="n"/>
      <c r="N404" s="17" t="n"/>
      <c r="O404" s="17" t="n"/>
      <c r="P404" s="17" t="n"/>
      <c r="Q404" s="19" t="n"/>
      <c r="R404" s="19" t="n"/>
      <c r="S404" s="7">
        <f>IF(I404="","",IF(TODAY()&gt;=I404,"到期","未到期"))</f>
        <v/>
      </c>
    </row>
    <row r="405">
      <c r="A405" s="16">
        <f>IF(B405="","","V-"&amp;TEXT(ROW()-1,"000"))</f>
        <v/>
      </c>
      <c r="B405" s="17" t="n"/>
      <c r="C405" s="18" t="n"/>
      <c r="D405" s="17" t="n"/>
      <c r="E405" s="17" t="n"/>
      <c r="F405" s="17" t="n"/>
      <c r="G405" s="19" t="n"/>
      <c r="H405" s="17" t="n"/>
      <c r="I405" s="18" t="n"/>
      <c r="J405" s="19" t="n"/>
      <c r="K405" s="17" t="n"/>
      <c r="L405" s="17" t="n"/>
      <c r="M405" s="17" t="n"/>
      <c r="N405" s="17" t="n"/>
      <c r="O405" s="17" t="n"/>
      <c r="P405" s="17" t="n"/>
      <c r="Q405" s="19" t="n"/>
      <c r="R405" s="19" t="n"/>
      <c r="S405" s="7">
        <f>IF(I405="","",IF(TODAY()&gt;=I405,"到期","未到期"))</f>
        <v/>
      </c>
    </row>
    <row r="406">
      <c r="A406" s="16">
        <f>IF(B406="","","V-"&amp;TEXT(ROW()-1,"000"))</f>
        <v/>
      </c>
      <c r="B406" s="17" t="n"/>
      <c r="C406" s="18" t="n"/>
      <c r="D406" s="17" t="n"/>
      <c r="E406" s="17" t="n"/>
      <c r="F406" s="17" t="n"/>
      <c r="G406" s="19" t="n"/>
      <c r="H406" s="17" t="n"/>
      <c r="I406" s="18" t="n"/>
      <c r="J406" s="19" t="n"/>
      <c r="K406" s="17" t="n"/>
      <c r="L406" s="17" t="n"/>
      <c r="M406" s="17" t="n"/>
      <c r="N406" s="17" t="n"/>
      <c r="O406" s="17" t="n"/>
      <c r="P406" s="17" t="n"/>
      <c r="Q406" s="19" t="n"/>
      <c r="R406" s="19" t="n"/>
      <c r="S406" s="7">
        <f>IF(I406="","",IF(TODAY()&gt;=I406,"到期","未到期"))</f>
        <v/>
      </c>
    </row>
    <row r="407">
      <c r="A407" s="16">
        <f>IF(B407="","","V-"&amp;TEXT(ROW()-1,"000"))</f>
        <v/>
      </c>
      <c r="B407" s="17" t="n"/>
      <c r="C407" s="18" t="n"/>
      <c r="D407" s="17" t="n"/>
      <c r="E407" s="17" t="n"/>
      <c r="F407" s="17" t="n"/>
      <c r="G407" s="19" t="n"/>
      <c r="H407" s="17" t="n"/>
      <c r="I407" s="18" t="n"/>
      <c r="J407" s="19" t="n"/>
      <c r="K407" s="17" t="n"/>
      <c r="L407" s="17" t="n"/>
      <c r="M407" s="17" t="n"/>
      <c r="N407" s="17" t="n"/>
      <c r="O407" s="17" t="n"/>
      <c r="P407" s="17" t="n"/>
      <c r="Q407" s="19" t="n"/>
      <c r="R407" s="19" t="n"/>
      <c r="S407" s="7">
        <f>IF(I407="","",IF(TODAY()&gt;=I407,"到期","未到期"))</f>
        <v/>
      </c>
    </row>
    <row r="408">
      <c r="A408" s="16">
        <f>IF(B408="","","V-"&amp;TEXT(ROW()-1,"000"))</f>
        <v/>
      </c>
      <c r="B408" s="17" t="n"/>
      <c r="C408" s="18" t="n"/>
      <c r="D408" s="17" t="n"/>
      <c r="E408" s="17" t="n"/>
      <c r="F408" s="17" t="n"/>
      <c r="G408" s="19" t="n"/>
      <c r="H408" s="17" t="n"/>
      <c r="I408" s="18" t="n"/>
      <c r="J408" s="19" t="n"/>
      <c r="K408" s="17" t="n"/>
      <c r="L408" s="17" t="n"/>
      <c r="M408" s="17" t="n"/>
      <c r="N408" s="17" t="n"/>
      <c r="O408" s="17" t="n"/>
      <c r="P408" s="17" t="n"/>
      <c r="Q408" s="19" t="n"/>
      <c r="R408" s="19" t="n"/>
      <c r="S408" s="7">
        <f>IF(I408="","",IF(TODAY()&gt;=I408,"到期","未到期"))</f>
        <v/>
      </c>
    </row>
    <row r="409">
      <c r="A409" s="16">
        <f>IF(B409="","","V-"&amp;TEXT(ROW()-1,"000"))</f>
        <v/>
      </c>
      <c r="B409" s="17" t="n"/>
      <c r="C409" s="18" t="n"/>
      <c r="D409" s="17" t="n"/>
      <c r="E409" s="17" t="n"/>
      <c r="F409" s="17" t="n"/>
      <c r="G409" s="19" t="n"/>
      <c r="H409" s="17" t="n"/>
      <c r="I409" s="18" t="n"/>
      <c r="J409" s="19" t="n"/>
      <c r="K409" s="17" t="n"/>
      <c r="L409" s="17" t="n"/>
      <c r="M409" s="17" t="n"/>
      <c r="N409" s="17" t="n"/>
      <c r="O409" s="17" t="n"/>
      <c r="P409" s="17" t="n"/>
      <c r="Q409" s="19" t="n"/>
      <c r="R409" s="19" t="n"/>
      <c r="S409" s="7">
        <f>IF(I409="","",IF(TODAY()&gt;=I409,"到期","未到期"))</f>
        <v/>
      </c>
    </row>
    <row r="410">
      <c r="A410" s="16">
        <f>IF(B410="","","V-"&amp;TEXT(ROW()-1,"000"))</f>
        <v/>
      </c>
      <c r="B410" s="17" t="n"/>
      <c r="C410" s="18" t="n"/>
      <c r="D410" s="17" t="n"/>
      <c r="E410" s="17" t="n"/>
      <c r="F410" s="17" t="n"/>
      <c r="G410" s="19" t="n"/>
      <c r="H410" s="17" t="n"/>
      <c r="I410" s="18" t="n"/>
      <c r="J410" s="19" t="n"/>
      <c r="K410" s="17" t="n"/>
      <c r="L410" s="17" t="n"/>
      <c r="M410" s="17" t="n"/>
      <c r="N410" s="17" t="n"/>
      <c r="O410" s="17" t="n"/>
      <c r="P410" s="17" t="n"/>
      <c r="Q410" s="19" t="n"/>
      <c r="R410" s="19" t="n"/>
      <c r="S410" s="7">
        <f>IF(I410="","",IF(TODAY()&gt;=I410,"到期","未到期"))</f>
        <v/>
      </c>
    </row>
    <row r="411">
      <c r="A411" s="16">
        <f>IF(B411="","","V-"&amp;TEXT(ROW()-1,"000"))</f>
        <v/>
      </c>
      <c r="B411" s="17" t="n"/>
      <c r="C411" s="18" t="n"/>
      <c r="D411" s="17" t="n"/>
      <c r="E411" s="17" t="n"/>
      <c r="F411" s="17" t="n"/>
      <c r="G411" s="19" t="n"/>
      <c r="H411" s="17" t="n"/>
      <c r="I411" s="18" t="n"/>
      <c r="J411" s="19" t="n"/>
      <c r="K411" s="17" t="n"/>
      <c r="L411" s="17" t="n"/>
      <c r="M411" s="17" t="n"/>
      <c r="N411" s="17" t="n"/>
      <c r="O411" s="17" t="n"/>
      <c r="P411" s="17" t="n"/>
      <c r="Q411" s="19" t="n"/>
      <c r="R411" s="19" t="n"/>
      <c r="S411" s="7">
        <f>IF(I411="","",IF(TODAY()&gt;=I411,"到期","未到期"))</f>
        <v/>
      </c>
    </row>
    <row r="412">
      <c r="A412" s="16">
        <f>IF(B412="","","V-"&amp;TEXT(ROW()-1,"000"))</f>
        <v/>
      </c>
      <c r="B412" s="17" t="n"/>
      <c r="C412" s="18" t="n"/>
      <c r="D412" s="17" t="n"/>
      <c r="E412" s="17" t="n"/>
      <c r="F412" s="17" t="n"/>
      <c r="G412" s="19" t="n"/>
      <c r="H412" s="17" t="n"/>
      <c r="I412" s="18" t="n"/>
      <c r="J412" s="19" t="n"/>
      <c r="K412" s="17" t="n"/>
      <c r="L412" s="17" t="n"/>
      <c r="M412" s="17" t="n"/>
      <c r="N412" s="17" t="n"/>
      <c r="O412" s="17" t="n"/>
      <c r="P412" s="17" t="n"/>
      <c r="Q412" s="19" t="n"/>
      <c r="R412" s="19" t="n"/>
      <c r="S412" s="7">
        <f>IF(I412="","",IF(TODAY()&gt;=I412,"到期","未到期"))</f>
        <v/>
      </c>
    </row>
    <row r="413">
      <c r="A413" s="16">
        <f>IF(B413="","","V-"&amp;TEXT(ROW()-1,"000"))</f>
        <v/>
      </c>
      <c r="B413" s="17" t="n"/>
      <c r="C413" s="18" t="n"/>
      <c r="D413" s="17" t="n"/>
      <c r="E413" s="17" t="n"/>
      <c r="F413" s="17" t="n"/>
      <c r="G413" s="19" t="n"/>
      <c r="H413" s="17" t="n"/>
      <c r="I413" s="18" t="n"/>
      <c r="J413" s="19" t="n"/>
      <c r="K413" s="17" t="n"/>
      <c r="L413" s="17" t="n"/>
      <c r="M413" s="17" t="n"/>
      <c r="N413" s="17" t="n"/>
      <c r="O413" s="17" t="n"/>
      <c r="P413" s="17" t="n"/>
      <c r="Q413" s="19" t="n"/>
      <c r="R413" s="19" t="n"/>
      <c r="S413" s="7">
        <f>IF(I413="","",IF(TODAY()&gt;=I413,"到期","未到期"))</f>
        <v/>
      </c>
    </row>
    <row r="414">
      <c r="A414" s="16">
        <f>IF(B414="","","V-"&amp;TEXT(ROW()-1,"000"))</f>
        <v/>
      </c>
      <c r="B414" s="17" t="n"/>
      <c r="C414" s="18" t="n"/>
      <c r="D414" s="17" t="n"/>
      <c r="E414" s="17" t="n"/>
      <c r="F414" s="17" t="n"/>
      <c r="G414" s="19" t="n"/>
      <c r="H414" s="17" t="n"/>
      <c r="I414" s="18" t="n"/>
      <c r="J414" s="19" t="n"/>
      <c r="K414" s="17" t="n"/>
      <c r="L414" s="17" t="n"/>
      <c r="M414" s="17" t="n"/>
      <c r="N414" s="17" t="n"/>
      <c r="O414" s="17" t="n"/>
      <c r="P414" s="17" t="n"/>
      <c r="Q414" s="19" t="n"/>
      <c r="R414" s="19" t="n"/>
      <c r="S414" s="7">
        <f>IF(I414="","",IF(TODAY()&gt;=I414,"到期","未到期"))</f>
        <v/>
      </c>
    </row>
    <row r="415">
      <c r="A415" s="16">
        <f>IF(B415="","","V-"&amp;TEXT(ROW()-1,"000"))</f>
        <v/>
      </c>
      <c r="B415" s="17" t="n"/>
      <c r="C415" s="18" t="n"/>
      <c r="D415" s="17" t="n"/>
      <c r="E415" s="17" t="n"/>
      <c r="F415" s="17" t="n"/>
      <c r="G415" s="19" t="n"/>
      <c r="H415" s="17" t="n"/>
      <c r="I415" s="18" t="n"/>
      <c r="J415" s="19" t="n"/>
      <c r="K415" s="17" t="n"/>
      <c r="L415" s="17" t="n"/>
      <c r="M415" s="17" t="n"/>
      <c r="N415" s="17" t="n"/>
      <c r="O415" s="17" t="n"/>
      <c r="P415" s="17" t="n"/>
      <c r="Q415" s="19" t="n"/>
      <c r="R415" s="19" t="n"/>
      <c r="S415" s="7">
        <f>IF(I415="","",IF(TODAY()&gt;=I415,"到期","未到期"))</f>
        <v/>
      </c>
    </row>
    <row r="416">
      <c r="A416" s="16">
        <f>IF(B416="","","V-"&amp;TEXT(ROW()-1,"000"))</f>
        <v/>
      </c>
      <c r="B416" s="17" t="n"/>
      <c r="C416" s="18" t="n"/>
      <c r="D416" s="17" t="n"/>
      <c r="E416" s="17" t="n"/>
      <c r="F416" s="17" t="n"/>
      <c r="G416" s="19" t="n"/>
      <c r="H416" s="17" t="n"/>
      <c r="I416" s="18" t="n"/>
      <c r="J416" s="19" t="n"/>
      <c r="K416" s="17" t="n"/>
      <c r="L416" s="17" t="n"/>
      <c r="M416" s="17" t="n"/>
      <c r="N416" s="17" t="n"/>
      <c r="O416" s="17" t="n"/>
      <c r="P416" s="17" t="n"/>
      <c r="Q416" s="19" t="n"/>
      <c r="R416" s="19" t="n"/>
      <c r="S416" s="7">
        <f>IF(I416="","",IF(TODAY()&gt;=I416,"到期","未到期"))</f>
        <v/>
      </c>
    </row>
    <row r="417">
      <c r="A417" s="16">
        <f>IF(B417="","","V-"&amp;TEXT(ROW()-1,"000"))</f>
        <v/>
      </c>
      <c r="B417" s="17" t="n"/>
      <c r="C417" s="18" t="n"/>
      <c r="D417" s="17" t="n"/>
      <c r="E417" s="17" t="n"/>
      <c r="F417" s="17" t="n"/>
      <c r="G417" s="19" t="n"/>
      <c r="H417" s="17" t="n"/>
      <c r="I417" s="18" t="n"/>
      <c r="J417" s="19" t="n"/>
      <c r="K417" s="17" t="n"/>
      <c r="L417" s="17" t="n"/>
      <c r="M417" s="17" t="n"/>
      <c r="N417" s="17" t="n"/>
      <c r="O417" s="17" t="n"/>
      <c r="P417" s="17" t="n"/>
      <c r="Q417" s="19" t="n"/>
      <c r="R417" s="19" t="n"/>
      <c r="S417" s="7">
        <f>IF(I417="","",IF(TODAY()&gt;=I417,"到期","未到期"))</f>
        <v/>
      </c>
    </row>
    <row r="418">
      <c r="A418" s="16">
        <f>IF(B418="","","V-"&amp;TEXT(ROW()-1,"000"))</f>
        <v/>
      </c>
      <c r="B418" s="17" t="n"/>
      <c r="C418" s="18" t="n"/>
      <c r="D418" s="17" t="n"/>
      <c r="E418" s="17" t="n"/>
      <c r="F418" s="17" t="n"/>
      <c r="G418" s="19" t="n"/>
      <c r="H418" s="17" t="n"/>
      <c r="I418" s="18" t="n"/>
      <c r="J418" s="19" t="n"/>
      <c r="K418" s="17" t="n"/>
      <c r="L418" s="17" t="n"/>
      <c r="M418" s="17" t="n"/>
      <c r="N418" s="17" t="n"/>
      <c r="O418" s="17" t="n"/>
      <c r="P418" s="17" t="n"/>
      <c r="Q418" s="19" t="n"/>
      <c r="R418" s="19" t="n"/>
      <c r="S418" s="7">
        <f>IF(I418="","",IF(TODAY()&gt;=I418,"到期","未到期"))</f>
        <v/>
      </c>
    </row>
    <row r="419">
      <c r="A419" s="16">
        <f>IF(B419="","","V-"&amp;TEXT(ROW()-1,"000"))</f>
        <v/>
      </c>
      <c r="B419" s="17" t="n"/>
      <c r="C419" s="18" t="n"/>
      <c r="D419" s="17" t="n"/>
      <c r="E419" s="17" t="n"/>
      <c r="F419" s="17" t="n"/>
      <c r="G419" s="19" t="n"/>
      <c r="H419" s="17" t="n"/>
      <c r="I419" s="18" t="n"/>
      <c r="J419" s="19" t="n"/>
      <c r="K419" s="17" t="n"/>
      <c r="L419" s="17" t="n"/>
      <c r="M419" s="17" t="n"/>
      <c r="N419" s="17" t="n"/>
      <c r="O419" s="17" t="n"/>
      <c r="P419" s="17" t="n"/>
      <c r="Q419" s="19" t="n"/>
      <c r="R419" s="19" t="n"/>
      <c r="S419" s="7">
        <f>IF(I419="","",IF(TODAY()&gt;=I419,"到期","未到期"))</f>
        <v/>
      </c>
    </row>
    <row r="420">
      <c r="A420" s="16">
        <f>IF(B420="","","V-"&amp;TEXT(ROW()-1,"000"))</f>
        <v/>
      </c>
      <c r="B420" s="17" t="n"/>
      <c r="C420" s="18" t="n"/>
      <c r="D420" s="17" t="n"/>
      <c r="E420" s="17" t="n"/>
      <c r="F420" s="17" t="n"/>
      <c r="G420" s="19" t="n"/>
      <c r="H420" s="17" t="n"/>
      <c r="I420" s="18" t="n"/>
      <c r="J420" s="19" t="n"/>
      <c r="K420" s="17" t="n"/>
      <c r="L420" s="17" t="n"/>
      <c r="M420" s="17" t="n"/>
      <c r="N420" s="17" t="n"/>
      <c r="O420" s="17" t="n"/>
      <c r="P420" s="17" t="n"/>
      <c r="Q420" s="19" t="n"/>
      <c r="R420" s="19" t="n"/>
      <c r="S420" s="7">
        <f>IF(I420="","",IF(TODAY()&gt;=I420,"到期","未到期"))</f>
        <v/>
      </c>
    </row>
    <row r="421">
      <c r="A421" s="16">
        <f>IF(B421="","","V-"&amp;TEXT(ROW()-1,"000"))</f>
        <v/>
      </c>
      <c r="B421" s="17" t="n"/>
      <c r="C421" s="18" t="n"/>
      <c r="D421" s="17" t="n"/>
      <c r="E421" s="17" t="n"/>
      <c r="F421" s="17" t="n"/>
      <c r="G421" s="19" t="n"/>
      <c r="H421" s="17" t="n"/>
      <c r="I421" s="18" t="n"/>
      <c r="J421" s="19" t="n"/>
      <c r="K421" s="17" t="n"/>
      <c r="L421" s="17" t="n"/>
      <c r="M421" s="17" t="n"/>
      <c r="N421" s="17" t="n"/>
      <c r="O421" s="17" t="n"/>
      <c r="P421" s="17" t="n"/>
      <c r="Q421" s="19" t="n"/>
      <c r="R421" s="19" t="n"/>
      <c r="S421" s="7">
        <f>IF(I421="","",IF(TODAY()&gt;=I421,"到期","未到期"))</f>
        <v/>
      </c>
    </row>
    <row r="422">
      <c r="A422" s="16">
        <f>IF(B422="","","V-"&amp;TEXT(ROW()-1,"000"))</f>
        <v/>
      </c>
      <c r="B422" s="17" t="n"/>
      <c r="C422" s="18" t="n"/>
      <c r="D422" s="17" t="n"/>
      <c r="E422" s="17" t="n"/>
      <c r="F422" s="17" t="n"/>
      <c r="G422" s="19" t="n"/>
      <c r="H422" s="17" t="n"/>
      <c r="I422" s="18" t="n"/>
      <c r="J422" s="19" t="n"/>
      <c r="K422" s="17" t="n"/>
      <c r="L422" s="17" t="n"/>
      <c r="M422" s="17" t="n"/>
      <c r="N422" s="17" t="n"/>
      <c r="O422" s="17" t="n"/>
      <c r="P422" s="17" t="n"/>
      <c r="Q422" s="19" t="n"/>
      <c r="R422" s="19" t="n"/>
      <c r="S422" s="7">
        <f>IF(I422="","",IF(TODAY()&gt;=I422,"到期","未到期"))</f>
        <v/>
      </c>
    </row>
    <row r="423">
      <c r="A423" s="16">
        <f>IF(B423="","","V-"&amp;TEXT(ROW()-1,"000"))</f>
        <v/>
      </c>
      <c r="B423" s="17" t="n"/>
      <c r="C423" s="18" t="n"/>
      <c r="D423" s="17" t="n"/>
      <c r="E423" s="17" t="n"/>
      <c r="F423" s="17" t="n"/>
      <c r="G423" s="19" t="n"/>
      <c r="H423" s="17" t="n"/>
      <c r="I423" s="18" t="n"/>
      <c r="J423" s="19" t="n"/>
      <c r="K423" s="17" t="n"/>
      <c r="L423" s="17" t="n"/>
      <c r="M423" s="17" t="n"/>
      <c r="N423" s="17" t="n"/>
      <c r="O423" s="17" t="n"/>
      <c r="P423" s="17" t="n"/>
      <c r="Q423" s="19" t="n"/>
      <c r="R423" s="19" t="n"/>
      <c r="S423" s="7">
        <f>IF(I423="","",IF(TODAY()&gt;=I423,"到期","未到期"))</f>
        <v/>
      </c>
    </row>
    <row r="424">
      <c r="A424" s="16">
        <f>IF(B424="","","V-"&amp;TEXT(ROW()-1,"000"))</f>
        <v/>
      </c>
      <c r="B424" s="17" t="n"/>
      <c r="C424" s="18" t="n"/>
      <c r="D424" s="17" t="n"/>
      <c r="E424" s="17" t="n"/>
      <c r="F424" s="17" t="n"/>
      <c r="G424" s="19" t="n"/>
      <c r="H424" s="17" t="n"/>
      <c r="I424" s="18" t="n"/>
      <c r="J424" s="19" t="n"/>
      <c r="K424" s="17" t="n"/>
      <c r="L424" s="17" t="n"/>
      <c r="M424" s="17" t="n"/>
      <c r="N424" s="17" t="n"/>
      <c r="O424" s="17" t="n"/>
      <c r="P424" s="17" t="n"/>
      <c r="Q424" s="19" t="n"/>
      <c r="R424" s="19" t="n"/>
      <c r="S424" s="7">
        <f>IF(I424="","",IF(TODAY()&gt;=I424,"到期","未到期"))</f>
        <v/>
      </c>
    </row>
    <row r="425">
      <c r="A425" s="16">
        <f>IF(B425="","","V-"&amp;TEXT(ROW()-1,"000"))</f>
        <v/>
      </c>
      <c r="B425" s="17" t="n"/>
      <c r="C425" s="18" t="n"/>
      <c r="D425" s="17" t="n"/>
      <c r="E425" s="17" t="n"/>
      <c r="F425" s="17" t="n"/>
      <c r="G425" s="19" t="n"/>
      <c r="H425" s="17" t="n"/>
      <c r="I425" s="18" t="n"/>
      <c r="J425" s="19" t="n"/>
      <c r="K425" s="17" t="n"/>
      <c r="L425" s="17" t="n"/>
      <c r="M425" s="17" t="n"/>
      <c r="N425" s="17" t="n"/>
      <c r="O425" s="17" t="n"/>
      <c r="P425" s="17" t="n"/>
      <c r="Q425" s="19" t="n"/>
      <c r="R425" s="19" t="n"/>
      <c r="S425" s="7">
        <f>IF(I425="","",IF(TODAY()&gt;=I425,"到期","未到期"))</f>
        <v/>
      </c>
    </row>
    <row r="426">
      <c r="A426" s="16">
        <f>IF(B426="","","V-"&amp;TEXT(ROW()-1,"000"))</f>
        <v/>
      </c>
      <c r="B426" s="17" t="n"/>
      <c r="C426" s="18" t="n"/>
      <c r="D426" s="17" t="n"/>
      <c r="E426" s="17" t="n"/>
      <c r="F426" s="17" t="n"/>
      <c r="G426" s="19" t="n"/>
      <c r="H426" s="17" t="n"/>
      <c r="I426" s="18" t="n"/>
      <c r="J426" s="19" t="n"/>
      <c r="K426" s="17" t="n"/>
      <c r="L426" s="17" t="n"/>
      <c r="M426" s="17" t="n"/>
      <c r="N426" s="17" t="n"/>
      <c r="O426" s="17" t="n"/>
      <c r="P426" s="17" t="n"/>
      <c r="Q426" s="19" t="n"/>
      <c r="R426" s="19" t="n"/>
      <c r="S426" s="7">
        <f>IF(I426="","",IF(TODAY()&gt;=I426,"到期","未到期"))</f>
        <v/>
      </c>
    </row>
    <row r="427">
      <c r="A427" s="16">
        <f>IF(B427="","","V-"&amp;TEXT(ROW()-1,"000"))</f>
        <v/>
      </c>
      <c r="B427" s="17" t="n"/>
      <c r="C427" s="18" t="n"/>
      <c r="D427" s="17" t="n"/>
      <c r="E427" s="17" t="n"/>
      <c r="F427" s="17" t="n"/>
      <c r="G427" s="19" t="n"/>
      <c r="H427" s="17" t="n"/>
      <c r="I427" s="18" t="n"/>
      <c r="J427" s="19" t="n"/>
      <c r="K427" s="17" t="n"/>
      <c r="L427" s="17" t="n"/>
      <c r="M427" s="17" t="n"/>
      <c r="N427" s="17" t="n"/>
      <c r="O427" s="17" t="n"/>
      <c r="P427" s="17" t="n"/>
      <c r="Q427" s="19" t="n"/>
      <c r="R427" s="19" t="n"/>
      <c r="S427" s="7">
        <f>IF(I427="","",IF(TODAY()&gt;=I427,"到期","未到期"))</f>
        <v/>
      </c>
    </row>
    <row r="428">
      <c r="A428" s="16">
        <f>IF(B428="","","V-"&amp;TEXT(ROW()-1,"000"))</f>
        <v/>
      </c>
      <c r="B428" s="17" t="n"/>
      <c r="C428" s="18" t="n"/>
      <c r="D428" s="17" t="n"/>
      <c r="E428" s="17" t="n"/>
      <c r="F428" s="17" t="n"/>
      <c r="G428" s="19" t="n"/>
      <c r="H428" s="17" t="n"/>
      <c r="I428" s="18" t="n"/>
      <c r="J428" s="19" t="n"/>
      <c r="K428" s="17" t="n"/>
      <c r="L428" s="17" t="n"/>
      <c r="M428" s="17" t="n"/>
      <c r="N428" s="17" t="n"/>
      <c r="O428" s="17" t="n"/>
      <c r="P428" s="17" t="n"/>
      <c r="Q428" s="19" t="n"/>
      <c r="R428" s="19" t="n"/>
      <c r="S428" s="7">
        <f>IF(I428="","",IF(TODAY()&gt;=I428,"到期","未到期"))</f>
        <v/>
      </c>
    </row>
    <row r="429">
      <c r="A429" s="16">
        <f>IF(B429="","","V-"&amp;TEXT(ROW()-1,"000"))</f>
        <v/>
      </c>
      <c r="B429" s="17" t="n"/>
      <c r="C429" s="18" t="n"/>
      <c r="D429" s="17" t="n"/>
      <c r="E429" s="17" t="n"/>
      <c r="F429" s="17" t="n"/>
      <c r="G429" s="19" t="n"/>
      <c r="H429" s="17" t="n"/>
      <c r="I429" s="18" t="n"/>
      <c r="J429" s="19" t="n"/>
      <c r="K429" s="17" t="n"/>
      <c r="L429" s="17" t="n"/>
      <c r="M429" s="17" t="n"/>
      <c r="N429" s="17" t="n"/>
      <c r="O429" s="17" t="n"/>
      <c r="P429" s="17" t="n"/>
      <c r="Q429" s="19" t="n"/>
      <c r="R429" s="19" t="n"/>
      <c r="S429" s="7">
        <f>IF(I429="","",IF(TODAY()&gt;=I429,"到期","未到期"))</f>
        <v/>
      </c>
    </row>
    <row r="430">
      <c r="A430" s="16">
        <f>IF(B430="","","V-"&amp;TEXT(ROW()-1,"000"))</f>
        <v/>
      </c>
      <c r="B430" s="17" t="n"/>
      <c r="C430" s="18" t="n"/>
      <c r="D430" s="17" t="n"/>
      <c r="E430" s="17" t="n"/>
      <c r="F430" s="17" t="n"/>
      <c r="G430" s="19" t="n"/>
      <c r="H430" s="17" t="n"/>
      <c r="I430" s="18" t="n"/>
      <c r="J430" s="19" t="n"/>
      <c r="K430" s="17" t="n"/>
      <c r="L430" s="17" t="n"/>
      <c r="M430" s="17" t="n"/>
      <c r="N430" s="17" t="n"/>
      <c r="O430" s="17" t="n"/>
      <c r="P430" s="17" t="n"/>
      <c r="Q430" s="19" t="n"/>
      <c r="R430" s="19" t="n"/>
      <c r="S430" s="7">
        <f>IF(I430="","",IF(TODAY()&gt;=I430,"到期","未到期"))</f>
        <v/>
      </c>
    </row>
    <row r="431">
      <c r="A431" s="16">
        <f>IF(B431="","","V-"&amp;TEXT(ROW()-1,"000"))</f>
        <v/>
      </c>
      <c r="B431" s="17" t="n"/>
      <c r="C431" s="18" t="n"/>
      <c r="D431" s="17" t="n"/>
      <c r="E431" s="17" t="n"/>
      <c r="F431" s="17" t="n"/>
      <c r="G431" s="19" t="n"/>
      <c r="H431" s="17" t="n"/>
      <c r="I431" s="18" t="n"/>
      <c r="J431" s="19" t="n"/>
      <c r="K431" s="17" t="n"/>
      <c r="L431" s="17" t="n"/>
      <c r="M431" s="17" t="n"/>
      <c r="N431" s="17" t="n"/>
      <c r="O431" s="17" t="n"/>
      <c r="P431" s="17" t="n"/>
      <c r="Q431" s="19" t="n"/>
      <c r="R431" s="19" t="n"/>
      <c r="S431" s="7">
        <f>IF(I431="","",IF(TODAY()&gt;=I431,"到期","未到期"))</f>
        <v/>
      </c>
    </row>
    <row r="432">
      <c r="A432" s="16">
        <f>IF(B432="","","V-"&amp;TEXT(ROW()-1,"000"))</f>
        <v/>
      </c>
      <c r="B432" s="17" t="n"/>
      <c r="C432" s="18" t="n"/>
      <c r="D432" s="17" t="n"/>
      <c r="E432" s="17" t="n"/>
      <c r="F432" s="17" t="n"/>
      <c r="G432" s="19" t="n"/>
      <c r="H432" s="17" t="n"/>
      <c r="I432" s="18" t="n"/>
      <c r="J432" s="19" t="n"/>
      <c r="K432" s="17" t="n"/>
      <c r="L432" s="17" t="n"/>
      <c r="M432" s="17" t="n"/>
      <c r="N432" s="17" t="n"/>
      <c r="O432" s="17" t="n"/>
      <c r="P432" s="17" t="n"/>
      <c r="Q432" s="19" t="n"/>
      <c r="R432" s="19" t="n"/>
      <c r="S432" s="7">
        <f>IF(I432="","",IF(TODAY()&gt;=I432,"到期","未到期"))</f>
        <v/>
      </c>
    </row>
    <row r="433">
      <c r="A433" s="16">
        <f>IF(B433="","","V-"&amp;TEXT(ROW()-1,"000"))</f>
        <v/>
      </c>
      <c r="B433" s="17" t="n"/>
      <c r="C433" s="18" t="n"/>
      <c r="D433" s="17" t="n"/>
      <c r="E433" s="17" t="n"/>
      <c r="F433" s="17" t="n"/>
      <c r="G433" s="19" t="n"/>
      <c r="H433" s="17" t="n"/>
      <c r="I433" s="18" t="n"/>
      <c r="J433" s="19" t="n"/>
      <c r="K433" s="17" t="n"/>
      <c r="L433" s="17" t="n"/>
      <c r="M433" s="17" t="n"/>
      <c r="N433" s="17" t="n"/>
      <c r="O433" s="17" t="n"/>
      <c r="P433" s="17" t="n"/>
      <c r="Q433" s="19" t="n"/>
      <c r="R433" s="19" t="n"/>
      <c r="S433" s="7">
        <f>IF(I433="","",IF(TODAY()&gt;=I433,"到期","未到期"))</f>
        <v/>
      </c>
    </row>
    <row r="434">
      <c r="A434" s="16">
        <f>IF(B434="","","V-"&amp;TEXT(ROW()-1,"000"))</f>
        <v/>
      </c>
      <c r="B434" s="17" t="n"/>
      <c r="C434" s="18" t="n"/>
      <c r="D434" s="17" t="n"/>
      <c r="E434" s="17" t="n"/>
      <c r="F434" s="17" t="n"/>
      <c r="G434" s="19" t="n"/>
      <c r="H434" s="17" t="n"/>
      <c r="I434" s="18" t="n"/>
      <c r="J434" s="19" t="n"/>
      <c r="K434" s="17" t="n"/>
      <c r="L434" s="17" t="n"/>
      <c r="M434" s="17" t="n"/>
      <c r="N434" s="17" t="n"/>
      <c r="O434" s="17" t="n"/>
      <c r="P434" s="17" t="n"/>
      <c r="Q434" s="19" t="n"/>
      <c r="R434" s="19" t="n"/>
      <c r="S434" s="7">
        <f>IF(I434="","",IF(TODAY()&gt;=I434,"到期","未到期"))</f>
        <v/>
      </c>
    </row>
    <row r="435">
      <c r="A435" s="16">
        <f>IF(B435="","","V-"&amp;TEXT(ROW()-1,"000"))</f>
        <v/>
      </c>
      <c r="B435" s="17" t="n"/>
      <c r="C435" s="18" t="n"/>
      <c r="D435" s="17" t="n"/>
      <c r="E435" s="17" t="n"/>
      <c r="F435" s="17" t="n"/>
      <c r="G435" s="19" t="n"/>
      <c r="H435" s="17" t="n"/>
      <c r="I435" s="18" t="n"/>
      <c r="J435" s="19" t="n"/>
      <c r="K435" s="17" t="n"/>
      <c r="L435" s="17" t="n"/>
      <c r="M435" s="17" t="n"/>
      <c r="N435" s="17" t="n"/>
      <c r="O435" s="17" t="n"/>
      <c r="P435" s="17" t="n"/>
      <c r="Q435" s="19" t="n"/>
      <c r="R435" s="19" t="n"/>
      <c r="S435" s="7">
        <f>IF(I435="","",IF(TODAY()&gt;=I435,"到期","未到期"))</f>
        <v/>
      </c>
    </row>
    <row r="436">
      <c r="A436" s="16">
        <f>IF(B436="","","V-"&amp;TEXT(ROW()-1,"000"))</f>
        <v/>
      </c>
      <c r="B436" s="17" t="n"/>
      <c r="C436" s="18" t="n"/>
      <c r="D436" s="17" t="n"/>
      <c r="E436" s="17" t="n"/>
      <c r="F436" s="17" t="n"/>
      <c r="G436" s="19" t="n"/>
      <c r="H436" s="17" t="n"/>
      <c r="I436" s="18" t="n"/>
      <c r="J436" s="19" t="n"/>
      <c r="K436" s="17" t="n"/>
      <c r="L436" s="17" t="n"/>
      <c r="M436" s="17" t="n"/>
      <c r="N436" s="17" t="n"/>
      <c r="O436" s="17" t="n"/>
      <c r="P436" s="17" t="n"/>
      <c r="Q436" s="19" t="n"/>
      <c r="R436" s="19" t="n"/>
      <c r="S436" s="7">
        <f>IF(I436="","",IF(TODAY()&gt;=I436,"到期","未到期"))</f>
        <v/>
      </c>
    </row>
    <row r="437">
      <c r="A437" s="16">
        <f>IF(B437="","","V-"&amp;TEXT(ROW()-1,"000"))</f>
        <v/>
      </c>
      <c r="B437" s="17" t="n"/>
      <c r="C437" s="18" t="n"/>
      <c r="D437" s="17" t="n"/>
      <c r="E437" s="17" t="n"/>
      <c r="F437" s="17" t="n"/>
      <c r="G437" s="19" t="n"/>
      <c r="H437" s="17" t="n"/>
      <c r="I437" s="18" t="n"/>
      <c r="J437" s="19" t="n"/>
      <c r="K437" s="17" t="n"/>
      <c r="L437" s="17" t="n"/>
      <c r="M437" s="17" t="n"/>
      <c r="N437" s="17" t="n"/>
      <c r="O437" s="17" t="n"/>
      <c r="P437" s="17" t="n"/>
      <c r="Q437" s="19" t="n"/>
      <c r="R437" s="19" t="n"/>
      <c r="S437" s="7">
        <f>IF(I437="","",IF(TODAY()&gt;=I437,"到期","未到期"))</f>
        <v/>
      </c>
    </row>
    <row r="438">
      <c r="A438" s="16">
        <f>IF(B438="","","V-"&amp;TEXT(ROW()-1,"000"))</f>
        <v/>
      </c>
      <c r="B438" s="17" t="n"/>
      <c r="C438" s="18" t="n"/>
      <c r="D438" s="17" t="n"/>
      <c r="E438" s="17" t="n"/>
      <c r="F438" s="17" t="n"/>
      <c r="G438" s="19" t="n"/>
      <c r="H438" s="17" t="n"/>
      <c r="I438" s="18" t="n"/>
      <c r="J438" s="19" t="n"/>
      <c r="K438" s="17" t="n"/>
      <c r="L438" s="17" t="n"/>
      <c r="M438" s="17" t="n"/>
      <c r="N438" s="17" t="n"/>
      <c r="O438" s="17" t="n"/>
      <c r="P438" s="17" t="n"/>
      <c r="Q438" s="19" t="n"/>
      <c r="R438" s="19" t="n"/>
      <c r="S438" s="7">
        <f>IF(I438="","",IF(TODAY()&gt;=I438,"到期","未到期"))</f>
        <v/>
      </c>
    </row>
    <row r="439">
      <c r="A439" s="16">
        <f>IF(B439="","","V-"&amp;TEXT(ROW()-1,"000"))</f>
        <v/>
      </c>
      <c r="B439" s="17" t="n"/>
      <c r="C439" s="18" t="n"/>
      <c r="D439" s="17" t="n"/>
      <c r="E439" s="17" t="n"/>
      <c r="F439" s="17" t="n"/>
      <c r="G439" s="19" t="n"/>
      <c r="H439" s="17" t="n"/>
      <c r="I439" s="18" t="n"/>
      <c r="J439" s="19" t="n"/>
      <c r="K439" s="17" t="n"/>
      <c r="L439" s="17" t="n"/>
      <c r="M439" s="17" t="n"/>
      <c r="N439" s="17" t="n"/>
      <c r="O439" s="17" t="n"/>
      <c r="P439" s="17" t="n"/>
      <c r="Q439" s="19" t="n"/>
      <c r="R439" s="19" t="n"/>
      <c r="S439" s="7">
        <f>IF(I439="","",IF(TODAY()&gt;=I439,"到期","未到期"))</f>
        <v/>
      </c>
    </row>
    <row r="440">
      <c r="A440" s="16">
        <f>IF(B440="","","V-"&amp;TEXT(ROW()-1,"000"))</f>
        <v/>
      </c>
      <c r="B440" s="17" t="n"/>
      <c r="C440" s="18" t="n"/>
      <c r="D440" s="17" t="n"/>
      <c r="E440" s="17" t="n"/>
      <c r="F440" s="17" t="n"/>
      <c r="G440" s="19" t="n"/>
      <c r="H440" s="17" t="n"/>
      <c r="I440" s="18" t="n"/>
      <c r="J440" s="19" t="n"/>
      <c r="K440" s="17" t="n"/>
      <c r="L440" s="17" t="n"/>
      <c r="M440" s="17" t="n"/>
      <c r="N440" s="17" t="n"/>
      <c r="O440" s="17" t="n"/>
      <c r="P440" s="17" t="n"/>
      <c r="Q440" s="19" t="n"/>
      <c r="R440" s="19" t="n"/>
      <c r="S440" s="7">
        <f>IF(I440="","",IF(TODAY()&gt;=I440,"到期","未到期"))</f>
        <v/>
      </c>
    </row>
    <row r="441">
      <c r="A441" s="16">
        <f>IF(B441="","","V-"&amp;TEXT(ROW()-1,"000"))</f>
        <v/>
      </c>
      <c r="B441" s="17" t="n"/>
      <c r="C441" s="18" t="n"/>
      <c r="D441" s="17" t="n"/>
      <c r="E441" s="17" t="n"/>
      <c r="F441" s="17" t="n"/>
      <c r="G441" s="19" t="n"/>
      <c r="H441" s="17" t="n"/>
      <c r="I441" s="18" t="n"/>
      <c r="J441" s="19" t="n"/>
      <c r="K441" s="17" t="n"/>
      <c r="L441" s="17" t="n"/>
      <c r="M441" s="17" t="n"/>
      <c r="N441" s="17" t="n"/>
      <c r="O441" s="17" t="n"/>
      <c r="P441" s="17" t="n"/>
      <c r="Q441" s="19" t="n"/>
      <c r="R441" s="19" t="n"/>
      <c r="S441" s="7">
        <f>IF(I441="","",IF(TODAY()&gt;=I441,"到期","未到期"))</f>
        <v/>
      </c>
    </row>
    <row r="442">
      <c r="A442" s="16">
        <f>IF(B442="","","V-"&amp;TEXT(ROW()-1,"000"))</f>
        <v/>
      </c>
      <c r="B442" s="17" t="n"/>
      <c r="C442" s="18" t="n"/>
      <c r="D442" s="17" t="n"/>
      <c r="E442" s="17" t="n"/>
      <c r="F442" s="17" t="n"/>
      <c r="G442" s="19" t="n"/>
      <c r="H442" s="17" t="n"/>
      <c r="I442" s="18" t="n"/>
      <c r="J442" s="19" t="n"/>
      <c r="K442" s="17" t="n"/>
      <c r="L442" s="17" t="n"/>
      <c r="M442" s="17" t="n"/>
      <c r="N442" s="17" t="n"/>
      <c r="O442" s="17" t="n"/>
      <c r="P442" s="17" t="n"/>
      <c r="Q442" s="19" t="n"/>
      <c r="R442" s="19" t="n"/>
      <c r="S442" s="7">
        <f>IF(I442="","",IF(TODAY()&gt;=I442,"到期","未到期"))</f>
        <v/>
      </c>
    </row>
    <row r="443">
      <c r="A443" s="16">
        <f>IF(B443="","","V-"&amp;TEXT(ROW()-1,"000"))</f>
        <v/>
      </c>
      <c r="B443" s="17" t="n"/>
      <c r="C443" s="18" t="n"/>
      <c r="D443" s="17" t="n"/>
      <c r="E443" s="17" t="n"/>
      <c r="F443" s="17" t="n"/>
      <c r="G443" s="19" t="n"/>
      <c r="H443" s="17" t="n"/>
      <c r="I443" s="18" t="n"/>
      <c r="J443" s="19" t="n"/>
      <c r="K443" s="17" t="n"/>
      <c r="L443" s="17" t="n"/>
      <c r="M443" s="17" t="n"/>
      <c r="N443" s="17" t="n"/>
      <c r="O443" s="17" t="n"/>
      <c r="P443" s="17" t="n"/>
      <c r="Q443" s="19" t="n"/>
      <c r="R443" s="19" t="n"/>
      <c r="S443" s="7">
        <f>IF(I443="","",IF(TODAY()&gt;=I443,"到期","未到期"))</f>
        <v/>
      </c>
    </row>
    <row r="444">
      <c r="A444" s="16">
        <f>IF(B444="","","V-"&amp;TEXT(ROW()-1,"000"))</f>
        <v/>
      </c>
      <c r="B444" s="17" t="n"/>
      <c r="C444" s="18" t="n"/>
      <c r="D444" s="17" t="n"/>
      <c r="E444" s="17" t="n"/>
      <c r="F444" s="17" t="n"/>
      <c r="G444" s="19" t="n"/>
      <c r="H444" s="17" t="n"/>
      <c r="I444" s="18" t="n"/>
      <c r="J444" s="19" t="n"/>
      <c r="K444" s="17" t="n"/>
      <c r="L444" s="17" t="n"/>
      <c r="M444" s="17" t="n"/>
      <c r="N444" s="17" t="n"/>
      <c r="O444" s="17" t="n"/>
      <c r="P444" s="17" t="n"/>
      <c r="Q444" s="19" t="n"/>
      <c r="R444" s="19" t="n"/>
      <c r="S444" s="7">
        <f>IF(I444="","",IF(TODAY()&gt;=I444,"到期","未到期"))</f>
        <v/>
      </c>
    </row>
    <row r="445">
      <c r="A445" s="16">
        <f>IF(B445="","","V-"&amp;TEXT(ROW()-1,"000"))</f>
        <v/>
      </c>
      <c r="B445" s="17" t="n"/>
      <c r="C445" s="18" t="n"/>
      <c r="D445" s="17" t="n"/>
      <c r="E445" s="17" t="n"/>
      <c r="F445" s="17" t="n"/>
      <c r="G445" s="19" t="n"/>
      <c r="H445" s="17" t="n"/>
      <c r="I445" s="18" t="n"/>
      <c r="J445" s="19" t="n"/>
      <c r="K445" s="17" t="n"/>
      <c r="L445" s="17" t="n"/>
      <c r="M445" s="17" t="n"/>
      <c r="N445" s="17" t="n"/>
      <c r="O445" s="17" t="n"/>
      <c r="P445" s="17" t="n"/>
      <c r="Q445" s="19" t="n"/>
      <c r="R445" s="19" t="n"/>
      <c r="S445" s="7">
        <f>IF(I445="","",IF(TODAY()&gt;=I445,"到期","未到期"))</f>
        <v/>
      </c>
    </row>
    <row r="446">
      <c r="A446" s="16">
        <f>IF(B446="","","V-"&amp;TEXT(ROW()-1,"000"))</f>
        <v/>
      </c>
      <c r="B446" s="17" t="n"/>
      <c r="C446" s="18" t="n"/>
      <c r="D446" s="17" t="n"/>
      <c r="E446" s="17" t="n"/>
      <c r="F446" s="17" t="n"/>
      <c r="G446" s="19" t="n"/>
      <c r="H446" s="17" t="n"/>
      <c r="I446" s="18" t="n"/>
      <c r="J446" s="19" t="n"/>
      <c r="K446" s="17" t="n"/>
      <c r="L446" s="17" t="n"/>
      <c r="M446" s="17" t="n"/>
      <c r="N446" s="17" t="n"/>
      <c r="O446" s="17" t="n"/>
      <c r="P446" s="17" t="n"/>
      <c r="Q446" s="19" t="n"/>
      <c r="R446" s="19" t="n"/>
      <c r="S446" s="7">
        <f>IF(I446="","",IF(TODAY()&gt;=I446,"到期","未到期"))</f>
        <v/>
      </c>
    </row>
    <row r="447">
      <c r="A447" s="16">
        <f>IF(B447="","","V-"&amp;TEXT(ROW()-1,"000"))</f>
        <v/>
      </c>
      <c r="B447" s="17" t="n"/>
      <c r="C447" s="18" t="n"/>
      <c r="D447" s="17" t="n"/>
      <c r="E447" s="17" t="n"/>
      <c r="F447" s="17" t="n"/>
      <c r="G447" s="19" t="n"/>
      <c r="H447" s="17" t="n"/>
      <c r="I447" s="18" t="n"/>
      <c r="J447" s="19" t="n"/>
      <c r="K447" s="17" t="n"/>
      <c r="L447" s="17" t="n"/>
      <c r="M447" s="17" t="n"/>
      <c r="N447" s="17" t="n"/>
      <c r="O447" s="17" t="n"/>
      <c r="P447" s="17" t="n"/>
      <c r="Q447" s="19" t="n"/>
      <c r="R447" s="19" t="n"/>
      <c r="S447" s="7">
        <f>IF(I447="","",IF(TODAY()&gt;=I447,"到期","未到期"))</f>
        <v/>
      </c>
    </row>
    <row r="448">
      <c r="A448" s="16">
        <f>IF(B448="","","V-"&amp;TEXT(ROW()-1,"000"))</f>
        <v/>
      </c>
      <c r="B448" s="17" t="n"/>
      <c r="C448" s="18" t="n"/>
      <c r="D448" s="17" t="n"/>
      <c r="E448" s="17" t="n"/>
      <c r="F448" s="17" t="n"/>
      <c r="G448" s="19" t="n"/>
      <c r="H448" s="17" t="n"/>
      <c r="I448" s="18" t="n"/>
      <c r="J448" s="19" t="n"/>
      <c r="K448" s="17" t="n"/>
      <c r="L448" s="17" t="n"/>
      <c r="M448" s="17" t="n"/>
      <c r="N448" s="17" t="n"/>
      <c r="O448" s="17" t="n"/>
      <c r="P448" s="17" t="n"/>
      <c r="Q448" s="19" t="n"/>
      <c r="R448" s="19" t="n"/>
      <c r="S448" s="7">
        <f>IF(I448="","",IF(TODAY()&gt;=I448,"到期","未到期"))</f>
        <v/>
      </c>
    </row>
    <row r="449">
      <c r="A449" s="16">
        <f>IF(B449="","","V-"&amp;TEXT(ROW()-1,"000"))</f>
        <v/>
      </c>
      <c r="B449" s="17" t="n"/>
      <c r="C449" s="18" t="n"/>
      <c r="D449" s="17" t="n"/>
      <c r="E449" s="17" t="n"/>
      <c r="F449" s="17" t="n"/>
      <c r="G449" s="19" t="n"/>
      <c r="H449" s="17" t="n"/>
      <c r="I449" s="18" t="n"/>
      <c r="J449" s="19" t="n"/>
      <c r="K449" s="17" t="n"/>
      <c r="L449" s="17" t="n"/>
      <c r="M449" s="17" t="n"/>
      <c r="N449" s="17" t="n"/>
      <c r="O449" s="17" t="n"/>
      <c r="P449" s="17" t="n"/>
      <c r="Q449" s="19" t="n"/>
      <c r="R449" s="19" t="n"/>
      <c r="S449" s="7">
        <f>IF(I449="","",IF(TODAY()&gt;=I449,"到期","未到期"))</f>
        <v/>
      </c>
    </row>
    <row r="450">
      <c r="A450" s="16">
        <f>IF(B450="","","V-"&amp;TEXT(ROW()-1,"000"))</f>
        <v/>
      </c>
      <c r="B450" s="17" t="n"/>
      <c r="C450" s="18" t="n"/>
      <c r="D450" s="17" t="n"/>
      <c r="E450" s="17" t="n"/>
      <c r="F450" s="17" t="n"/>
      <c r="G450" s="19" t="n"/>
      <c r="H450" s="17" t="n"/>
      <c r="I450" s="18" t="n"/>
      <c r="J450" s="19" t="n"/>
      <c r="K450" s="17" t="n"/>
      <c r="L450" s="17" t="n"/>
      <c r="M450" s="17" t="n"/>
      <c r="N450" s="17" t="n"/>
      <c r="O450" s="17" t="n"/>
      <c r="P450" s="17" t="n"/>
      <c r="Q450" s="19" t="n"/>
      <c r="R450" s="19" t="n"/>
      <c r="S450" s="7">
        <f>IF(I450="","",IF(TODAY()&gt;=I450,"到期","未到期"))</f>
        <v/>
      </c>
    </row>
    <row r="451">
      <c r="A451" s="16">
        <f>IF(B451="","","V-"&amp;TEXT(ROW()-1,"000"))</f>
        <v/>
      </c>
      <c r="B451" s="17" t="n"/>
      <c r="C451" s="18" t="n"/>
      <c r="D451" s="17" t="n"/>
      <c r="E451" s="17" t="n"/>
      <c r="F451" s="17" t="n"/>
      <c r="G451" s="19" t="n"/>
      <c r="H451" s="17" t="n"/>
      <c r="I451" s="18" t="n"/>
      <c r="J451" s="19" t="n"/>
      <c r="K451" s="17" t="n"/>
      <c r="L451" s="17" t="n"/>
      <c r="M451" s="17" t="n"/>
      <c r="N451" s="17" t="n"/>
      <c r="O451" s="17" t="n"/>
      <c r="P451" s="17" t="n"/>
      <c r="Q451" s="19" t="n"/>
      <c r="R451" s="19" t="n"/>
      <c r="S451" s="7">
        <f>IF(I451="","",IF(TODAY()&gt;=I451,"到期","未到期"))</f>
        <v/>
      </c>
    </row>
    <row r="452">
      <c r="A452" s="16">
        <f>IF(B452="","","V-"&amp;TEXT(ROW()-1,"000"))</f>
        <v/>
      </c>
      <c r="B452" s="17" t="n"/>
      <c r="C452" s="18" t="n"/>
      <c r="D452" s="17" t="n"/>
      <c r="E452" s="17" t="n"/>
      <c r="F452" s="17" t="n"/>
      <c r="G452" s="19" t="n"/>
      <c r="H452" s="17" t="n"/>
      <c r="I452" s="18" t="n"/>
      <c r="J452" s="19" t="n"/>
      <c r="K452" s="17" t="n"/>
      <c r="L452" s="17" t="n"/>
      <c r="M452" s="17" t="n"/>
      <c r="N452" s="17" t="n"/>
      <c r="O452" s="17" t="n"/>
      <c r="P452" s="17" t="n"/>
      <c r="Q452" s="19" t="n"/>
      <c r="R452" s="19" t="n"/>
      <c r="S452" s="7">
        <f>IF(I452="","",IF(TODAY()&gt;=I452,"到期","未到期"))</f>
        <v/>
      </c>
    </row>
    <row r="453">
      <c r="A453" s="16">
        <f>IF(B453="","","V-"&amp;TEXT(ROW()-1,"000"))</f>
        <v/>
      </c>
      <c r="B453" s="17" t="n"/>
      <c r="C453" s="18" t="n"/>
      <c r="D453" s="17" t="n"/>
      <c r="E453" s="17" t="n"/>
      <c r="F453" s="17" t="n"/>
      <c r="G453" s="19" t="n"/>
      <c r="H453" s="17" t="n"/>
      <c r="I453" s="18" t="n"/>
      <c r="J453" s="19" t="n"/>
      <c r="K453" s="17" t="n"/>
      <c r="L453" s="17" t="n"/>
      <c r="M453" s="17" t="n"/>
      <c r="N453" s="17" t="n"/>
      <c r="O453" s="17" t="n"/>
      <c r="P453" s="17" t="n"/>
      <c r="Q453" s="19" t="n"/>
      <c r="R453" s="19" t="n"/>
      <c r="S453" s="7">
        <f>IF(I453="","",IF(TODAY()&gt;=I453,"到期","未到期"))</f>
        <v/>
      </c>
    </row>
    <row r="454">
      <c r="A454" s="16">
        <f>IF(B454="","","V-"&amp;TEXT(ROW()-1,"000"))</f>
        <v/>
      </c>
      <c r="B454" s="17" t="n"/>
      <c r="C454" s="18" t="n"/>
      <c r="D454" s="17" t="n"/>
      <c r="E454" s="17" t="n"/>
      <c r="F454" s="17" t="n"/>
      <c r="G454" s="19" t="n"/>
      <c r="H454" s="17" t="n"/>
      <c r="I454" s="18" t="n"/>
      <c r="J454" s="19" t="n"/>
      <c r="K454" s="17" t="n"/>
      <c r="L454" s="17" t="n"/>
      <c r="M454" s="17" t="n"/>
      <c r="N454" s="17" t="n"/>
      <c r="O454" s="17" t="n"/>
      <c r="P454" s="17" t="n"/>
      <c r="Q454" s="19" t="n"/>
      <c r="R454" s="19" t="n"/>
      <c r="S454" s="7">
        <f>IF(I454="","",IF(TODAY()&gt;=I454,"到期","未到期"))</f>
        <v/>
      </c>
    </row>
    <row r="455">
      <c r="A455" s="16">
        <f>IF(B455="","","V-"&amp;TEXT(ROW()-1,"000"))</f>
        <v/>
      </c>
      <c r="B455" s="17" t="n"/>
      <c r="C455" s="18" t="n"/>
      <c r="D455" s="17" t="n"/>
      <c r="E455" s="17" t="n"/>
      <c r="F455" s="17" t="n"/>
      <c r="G455" s="19" t="n"/>
      <c r="H455" s="17" t="n"/>
      <c r="I455" s="18" t="n"/>
      <c r="J455" s="19" t="n"/>
      <c r="K455" s="17" t="n"/>
      <c r="L455" s="17" t="n"/>
      <c r="M455" s="17" t="n"/>
      <c r="N455" s="17" t="n"/>
      <c r="O455" s="17" t="n"/>
      <c r="P455" s="17" t="n"/>
      <c r="Q455" s="19" t="n"/>
      <c r="R455" s="19" t="n"/>
      <c r="S455" s="7">
        <f>IF(I455="","",IF(TODAY()&gt;=I455,"到期","未到期"))</f>
        <v/>
      </c>
    </row>
    <row r="456">
      <c r="A456" s="16">
        <f>IF(B456="","","V-"&amp;TEXT(ROW()-1,"000"))</f>
        <v/>
      </c>
      <c r="B456" s="17" t="n"/>
      <c r="C456" s="18" t="n"/>
      <c r="D456" s="17" t="n"/>
      <c r="E456" s="17" t="n"/>
      <c r="F456" s="17" t="n"/>
      <c r="G456" s="19" t="n"/>
      <c r="H456" s="17" t="n"/>
      <c r="I456" s="18" t="n"/>
      <c r="J456" s="19" t="n"/>
      <c r="K456" s="17" t="n"/>
      <c r="L456" s="17" t="n"/>
      <c r="M456" s="17" t="n"/>
      <c r="N456" s="17" t="n"/>
      <c r="O456" s="17" t="n"/>
      <c r="P456" s="17" t="n"/>
      <c r="Q456" s="19" t="n"/>
      <c r="R456" s="19" t="n"/>
      <c r="S456" s="7">
        <f>IF(I456="","",IF(TODAY()&gt;=I456,"到期","未到期"))</f>
        <v/>
      </c>
    </row>
    <row r="457">
      <c r="A457" s="16">
        <f>IF(B457="","","V-"&amp;TEXT(ROW()-1,"000"))</f>
        <v/>
      </c>
      <c r="B457" s="17" t="n"/>
      <c r="C457" s="18" t="n"/>
      <c r="D457" s="17" t="n"/>
      <c r="E457" s="17" t="n"/>
      <c r="F457" s="17" t="n"/>
      <c r="G457" s="19" t="n"/>
      <c r="H457" s="17" t="n"/>
      <c r="I457" s="18" t="n"/>
      <c r="J457" s="19" t="n"/>
      <c r="K457" s="17" t="n"/>
      <c r="L457" s="17" t="n"/>
      <c r="M457" s="17" t="n"/>
      <c r="N457" s="17" t="n"/>
      <c r="O457" s="17" t="n"/>
      <c r="P457" s="17" t="n"/>
      <c r="Q457" s="19" t="n"/>
      <c r="R457" s="19" t="n"/>
      <c r="S457" s="7">
        <f>IF(I457="","",IF(TODAY()&gt;=I457,"到期","未到期"))</f>
        <v/>
      </c>
    </row>
    <row r="458">
      <c r="A458" s="16">
        <f>IF(B458="","","V-"&amp;TEXT(ROW()-1,"000"))</f>
        <v/>
      </c>
      <c r="B458" s="17" t="n"/>
      <c r="C458" s="18" t="n"/>
      <c r="D458" s="17" t="n"/>
      <c r="E458" s="17" t="n"/>
      <c r="F458" s="17" t="n"/>
      <c r="G458" s="19" t="n"/>
      <c r="H458" s="17" t="n"/>
      <c r="I458" s="18" t="n"/>
      <c r="J458" s="19" t="n"/>
      <c r="K458" s="17" t="n"/>
      <c r="L458" s="17" t="n"/>
      <c r="M458" s="17" t="n"/>
      <c r="N458" s="17" t="n"/>
      <c r="O458" s="17" t="n"/>
      <c r="P458" s="17" t="n"/>
      <c r="Q458" s="19" t="n"/>
      <c r="R458" s="19" t="n"/>
      <c r="S458" s="7">
        <f>IF(I458="","",IF(TODAY()&gt;=I458,"到期","未到期"))</f>
        <v/>
      </c>
    </row>
    <row r="459">
      <c r="A459" s="16">
        <f>IF(B459="","","V-"&amp;TEXT(ROW()-1,"000"))</f>
        <v/>
      </c>
      <c r="B459" s="17" t="n"/>
      <c r="C459" s="18" t="n"/>
      <c r="D459" s="17" t="n"/>
      <c r="E459" s="17" t="n"/>
      <c r="F459" s="17" t="n"/>
      <c r="G459" s="19" t="n"/>
      <c r="H459" s="17" t="n"/>
      <c r="I459" s="18" t="n"/>
      <c r="J459" s="19" t="n"/>
      <c r="K459" s="17" t="n"/>
      <c r="L459" s="17" t="n"/>
      <c r="M459" s="17" t="n"/>
      <c r="N459" s="17" t="n"/>
      <c r="O459" s="17" t="n"/>
      <c r="P459" s="17" t="n"/>
      <c r="Q459" s="19" t="n"/>
      <c r="R459" s="19" t="n"/>
      <c r="S459" s="7">
        <f>IF(I459="","",IF(TODAY()&gt;=I459,"到期","未到期"))</f>
        <v/>
      </c>
    </row>
    <row r="460">
      <c r="A460" s="16">
        <f>IF(B460="","","V-"&amp;TEXT(ROW()-1,"000"))</f>
        <v/>
      </c>
      <c r="B460" s="17" t="n"/>
      <c r="C460" s="18" t="n"/>
      <c r="D460" s="17" t="n"/>
      <c r="E460" s="17" t="n"/>
      <c r="F460" s="17" t="n"/>
      <c r="G460" s="19" t="n"/>
      <c r="H460" s="17" t="n"/>
      <c r="I460" s="18" t="n"/>
      <c r="J460" s="19" t="n"/>
      <c r="K460" s="17" t="n"/>
      <c r="L460" s="17" t="n"/>
      <c r="M460" s="17" t="n"/>
      <c r="N460" s="17" t="n"/>
      <c r="O460" s="17" t="n"/>
      <c r="P460" s="17" t="n"/>
      <c r="Q460" s="19" t="n"/>
      <c r="R460" s="19" t="n"/>
      <c r="S460" s="7">
        <f>IF(I460="","",IF(TODAY()&gt;=I460,"到期","未到期"))</f>
        <v/>
      </c>
    </row>
    <row r="461">
      <c r="A461" s="16">
        <f>IF(B461="","","V-"&amp;TEXT(ROW()-1,"000"))</f>
        <v/>
      </c>
      <c r="B461" s="17" t="n"/>
      <c r="C461" s="18" t="n"/>
      <c r="D461" s="17" t="n"/>
      <c r="E461" s="17" t="n"/>
      <c r="F461" s="17" t="n"/>
      <c r="G461" s="19" t="n"/>
      <c r="H461" s="17" t="n"/>
      <c r="I461" s="18" t="n"/>
      <c r="J461" s="19" t="n"/>
      <c r="K461" s="17" t="n"/>
      <c r="L461" s="17" t="n"/>
      <c r="M461" s="17" t="n"/>
      <c r="N461" s="17" t="n"/>
      <c r="O461" s="17" t="n"/>
      <c r="P461" s="17" t="n"/>
      <c r="Q461" s="19" t="n"/>
      <c r="R461" s="19" t="n"/>
      <c r="S461" s="7">
        <f>IF(I461="","",IF(TODAY()&gt;=I461,"到期","未到期"))</f>
        <v/>
      </c>
    </row>
    <row r="462">
      <c r="A462" s="16">
        <f>IF(B462="","","V-"&amp;TEXT(ROW()-1,"000"))</f>
        <v/>
      </c>
      <c r="B462" s="17" t="n"/>
      <c r="C462" s="18" t="n"/>
      <c r="D462" s="17" t="n"/>
      <c r="E462" s="17" t="n"/>
      <c r="F462" s="17" t="n"/>
      <c r="G462" s="19" t="n"/>
      <c r="H462" s="17" t="n"/>
      <c r="I462" s="18" t="n"/>
      <c r="J462" s="19" t="n"/>
      <c r="K462" s="17" t="n"/>
      <c r="L462" s="17" t="n"/>
      <c r="M462" s="17" t="n"/>
      <c r="N462" s="17" t="n"/>
      <c r="O462" s="17" t="n"/>
      <c r="P462" s="17" t="n"/>
      <c r="Q462" s="19" t="n"/>
      <c r="R462" s="19" t="n"/>
      <c r="S462" s="7">
        <f>IF(I462="","",IF(TODAY()&gt;=I462,"到期","未到期"))</f>
        <v/>
      </c>
    </row>
    <row r="463">
      <c r="A463" s="16">
        <f>IF(B463="","","V-"&amp;TEXT(ROW()-1,"000"))</f>
        <v/>
      </c>
      <c r="B463" s="17" t="n"/>
      <c r="C463" s="18" t="n"/>
      <c r="D463" s="17" t="n"/>
      <c r="E463" s="17" t="n"/>
      <c r="F463" s="17" t="n"/>
      <c r="G463" s="19" t="n"/>
      <c r="H463" s="17" t="n"/>
      <c r="I463" s="18" t="n"/>
      <c r="J463" s="19" t="n"/>
      <c r="K463" s="17" t="n"/>
      <c r="L463" s="17" t="n"/>
      <c r="M463" s="17" t="n"/>
      <c r="N463" s="17" t="n"/>
      <c r="O463" s="17" t="n"/>
      <c r="P463" s="17" t="n"/>
      <c r="Q463" s="19" t="n"/>
      <c r="R463" s="19" t="n"/>
      <c r="S463" s="7">
        <f>IF(I463="","",IF(TODAY()&gt;=I463,"到期","未到期"))</f>
        <v/>
      </c>
    </row>
    <row r="464">
      <c r="A464" s="16">
        <f>IF(B464="","","V-"&amp;TEXT(ROW()-1,"000"))</f>
        <v/>
      </c>
      <c r="B464" s="17" t="n"/>
      <c r="C464" s="18" t="n"/>
      <c r="D464" s="17" t="n"/>
      <c r="E464" s="17" t="n"/>
      <c r="F464" s="17" t="n"/>
      <c r="G464" s="19" t="n"/>
      <c r="H464" s="17" t="n"/>
      <c r="I464" s="18" t="n"/>
      <c r="J464" s="19" t="n"/>
      <c r="K464" s="17" t="n"/>
      <c r="L464" s="17" t="n"/>
      <c r="M464" s="17" t="n"/>
      <c r="N464" s="17" t="n"/>
      <c r="O464" s="17" t="n"/>
      <c r="P464" s="17" t="n"/>
      <c r="Q464" s="19" t="n"/>
      <c r="R464" s="19" t="n"/>
      <c r="S464" s="7">
        <f>IF(I464="","",IF(TODAY()&gt;=I464,"到期","未到期"))</f>
        <v/>
      </c>
    </row>
    <row r="465">
      <c r="A465" s="16">
        <f>IF(B465="","","V-"&amp;TEXT(ROW()-1,"000"))</f>
        <v/>
      </c>
      <c r="B465" s="17" t="n"/>
      <c r="C465" s="18" t="n"/>
      <c r="D465" s="17" t="n"/>
      <c r="E465" s="17" t="n"/>
      <c r="F465" s="17" t="n"/>
      <c r="G465" s="19" t="n"/>
      <c r="H465" s="17" t="n"/>
      <c r="I465" s="18" t="n"/>
      <c r="J465" s="19" t="n"/>
      <c r="K465" s="17" t="n"/>
      <c r="L465" s="17" t="n"/>
      <c r="M465" s="17" t="n"/>
      <c r="N465" s="17" t="n"/>
      <c r="O465" s="17" t="n"/>
      <c r="P465" s="17" t="n"/>
      <c r="Q465" s="19" t="n"/>
      <c r="R465" s="19" t="n"/>
      <c r="S465" s="7">
        <f>IF(I465="","",IF(TODAY()&gt;=I465,"到期","未到期"))</f>
        <v/>
      </c>
    </row>
    <row r="466">
      <c r="A466" s="16">
        <f>IF(B466="","","V-"&amp;TEXT(ROW()-1,"000"))</f>
        <v/>
      </c>
      <c r="B466" s="17" t="n"/>
      <c r="C466" s="18" t="n"/>
      <c r="D466" s="17" t="n"/>
      <c r="E466" s="17" t="n"/>
      <c r="F466" s="17" t="n"/>
      <c r="G466" s="19" t="n"/>
      <c r="H466" s="17" t="n"/>
      <c r="I466" s="18" t="n"/>
      <c r="J466" s="19" t="n"/>
      <c r="K466" s="17" t="n"/>
      <c r="L466" s="17" t="n"/>
      <c r="M466" s="17" t="n"/>
      <c r="N466" s="17" t="n"/>
      <c r="O466" s="17" t="n"/>
      <c r="P466" s="17" t="n"/>
      <c r="Q466" s="19" t="n"/>
      <c r="R466" s="19" t="n"/>
      <c r="S466" s="7">
        <f>IF(I466="","",IF(TODAY()&gt;=I466,"到期","未到期"))</f>
        <v/>
      </c>
    </row>
    <row r="467">
      <c r="A467" s="16">
        <f>IF(B467="","","V-"&amp;TEXT(ROW()-1,"000"))</f>
        <v/>
      </c>
      <c r="B467" s="17" t="n"/>
      <c r="C467" s="18" t="n"/>
      <c r="D467" s="17" t="n"/>
      <c r="E467" s="17" t="n"/>
      <c r="F467" s="17" t="n"/>
      <c r="G467" s="19" t="n"/>
      <c r="H467" s="17" t="n"/>
      <c r="I467" s="18" t="n"/>
      <c r="J467" s="19" t="n"/>
      <c r="K467" s="17" t="n"/>
      <c r="L467" s="17" t="n"/>
      <c r="M467" s="17" t="n"/>
      <c r="N467" s="17" t="n"/>
      <c r="O467" s="17" t="n"/>
      <c r="P467" s="17" t="n"/>
      <c r="Q467" s="19" t="n"/>
      <c r="R467" s="19" t="n"/>
      <c r="S467" s="7">
        <f>IF(I467="","",IF(TODAY()&gt;=I467,"到期","未到期"))</f>
        <v/>
      </c>
    </row>
    <row r="468">
      <c r="A468" s="16">
        <f>IF(B468="","","V-"&amp;TEXT(ROW()-1,"000"))</f>
        <v/>
      </c>
      <c r="B468" s="17" t="n"/>
      <c r="C468" s="18" t="n"/>
      <c r="D468" s="17" t="n"/>
      <c r="E468" s="17" t="n"/>
      <c r="F468" s="17" t="n"/>
      <c r="G468" s="19" t="n"/>
      <c r="H468" s="17" t="n"/>
      <c r="I468" s="18" t="n"/>
      <c r="J468" s="19" t="n"/>
      <c r="K468" s="17" t="n"/>
      <c r="L468" s="17" t="n"/>
      <c r="M468" s="17" t="n"/>
      <c r="N468" s="17" t="n"/>
      <c r="O468" s="17" t="n"/>
      <c r="P468" s="17" t="n"/>
      <c r="Q468" s="19" t="n"/>
      <c r="R468" s="19" t="n"/>
      <c r="S468" s="7">
        <f>IF(I468="","",IF(TODAY()&gt;=I468,"到期","未到期"))</f>
        <v/>
      </c>
    </row>
    <row r="469">
      <c r="A469" s="16">
        <f>IF(B469="","","V-"&amp;TEXT(ROW()-1,"000"))</f>
        <v/>
      </c>
      <c r="B469" s="17" t="n"/>
      <c r="C469" s="18" t="n"/>
      <c r="D469" s="17" t="n"/>
      <c r="E469" s="17" t="n"/>
      <c r="F469" s="17" t="n"/>
      <c r="G469" s="19" t="n"/>
      <c r="H469" s="17" t="n"/>
      <c r="I469" s="18" t="n"/>
      <c r="J469" s="19" t="n"/>
      <c r="K469" s="17" t="n"/>
      <c r="L469" s="17" t="n"/>
      <c r="M469" s="17" t="n"/>
      <c r="N469" s="17" t="n"/>
      <c r="O469" s="17" t="n"/>
      <c r="P469" s="17" t="n"/>
      <c r="Q469" s="19" t="n"/>
      <c r="R469" s="19" t="n"/>
      <c r="S469" s="7">
        <f>IF(I469="","",IF(TODAY()&gt;=I469,"到期","未到期"))</f>
        <v/>
      </c>
    </row>
    <row r="470">
      <c r="A470" s="16">
        <f>IF(B470="","","V-"&amp;TEXT(ROW()-1,"000"))</f>
        <v/>
      </c>
      <c r="B470" s="17" t="n"/>
      <c r="C470" s="18" t="n"/>
      <c r="D470" s="17" t="n"/>
      <c r="E470" s="17" t="n"/>
      <c r="F470" s="17" t="n"/>
      <c r="G470" s="19" t="n"/>
      <c r="H470" s="17" t="n"/>
      <c r="I470" s="18" t="n"/>
      <c r="J470" s="19" t="n"/>
      <c r="K470" s="17" t="n"/>
      <c r="L470" s="17" t="n"/>
      <c r="M470" s="17" t="n"/>
      <c r="N470" s="17" t="n"/>
      <c r="O470" s="17" t="n"/>
      <c r="P470" s="17" t="n"/>
      <c r="Q470" s="19" t="n"/>
      <c r="R470" s="19" t="n"/>
      <c r="S470" s="7">
        <f>IF(I470="","",IF(TODAY()&gt;=I470,"到期","未到期"))</f>
        <v/>
      </c>
    </row>
    <row r="471">
      <c r="A471" s="16">
        <f>IF(B471="","","V-"&amp;TEXT(ROW()-1,"000"))</f>
        <v/>
      </c>
      <c r="B471" s="17" t="n"/>
      <c r="C471" s="18" t="n"/>
      <c r="D471" s="17" t="n"/>
      <c r="E471" s="17" t="n"/>
      <c r="F471" s="17" t="n"/>
      <c r="G471" s="19" t="n"/>
      <c r="H471" s="17" t="n"/>
      <c r="I471" s="18" t="n"/>
      <c r="J471" s="19" t="n"/>
      <c r="K471" s="17" t="n"/>
      <c r="L471" s="17" t="n"/>
      <c r="M471" s="17" t="n"/>
      <c r="N471" s="17" t="n"/>
      <c r="O471" s="17" t="n"/>
      <c r="P471" s="17" t="n"/>
      <c r="Q471" s="19" t="n"/>
      <c r="R471" s="19" t="n"/>
      <c r="S471" s="7">
        <f>IF(I471="","",IF(TODAY()&gt;=I471,"到期","未到期"))</f>
        <v/>
      </c>
    </row>
    <row r="472">
      <c r="A472" s="16">
        <f>IF(B472="","","V-"&amp;TEXT(ROW()-1,"000"))</f>
        <v/>
      </c>
      <c r="B472" s="17" t="n"/>
      <c r="C472" s="18" t="n"/>
      <c r="D472" s="17" t="n"/>
      <c r="E472" s="17" t="n"/>
      <c r="F472" s="17" t="n"/>
      <c r="G472" s="19" t="n"/>
      <c r="H472" s="17" t="n"/>
      <c r="I472" s="18" t="n"/>
      <c r="J472" s="19" t="n"/>
      <c r="K472" s="17" t="n"/>
      <c r="L472" s="17" t="n"/>
      <c r="M472" s="17" t="n"/>
      <c r="N472" s="17" t="n"/>
      <c r="O472" s="17" t="n"/>
      <c r="P472" s="17" t="n"/>
      <c r="Q472" s="19" t="n"/>
      <c r="R472" s="19" t="n"/>
      <c r="S472" s="7">
        <f>IF(I472="","",IF(TODAY()&gt;=I472,"到期","未到期"))</f>
        <v/>
      </c>
    </row>
    <row r="473">
      <c r="A473" s="16">
        <f>IF(B473="","","V-"&amp;TEXT(ROW()-1,"000"))</f>
        <v/>
      </c>
      <c r="B473" s="17" t="n"/>
      <c r="C473" s="18" t="n"/>
      <c r="D473" s="17" t="n"/>
      <c r="E473" s="17" t="n"/>
      <c r="F473" s="17" t="n"/>
      <c r="G473" s="19" t="n"/>
      <c r="H473" s="17" t="n"/>
      <c r="I473" s="18" t="n"/>
      <c r="J473" s="19" t="n"/>
      <c r="K473" s="17" t="n"/>
      <c r="L473" s="17" t="n"/>
      <c r="M473" s="17" t="n"/>
      <c r="N473" s="17" t="n"/>
      <c r="O473" s="17" t="n"/>
      <c r="P473" s="17" t="n"/>
      <c r="Q473" s="19" t="n"/>
      <c r="R473" s="19" t="n"/>
      <c r="S473" s="7">
        <f>IF(I473="","",IF(TODAY()&gt;=I473,"到期","未到期"))</f>
        <v/>
      </c>
    </row>
    <row r="474">
      <c r="A474" s="16">
        <f>IF(B474="","","V-"&amp;TEXT(ROW()-1,"000"))</f>
        <v/>
      </c>
      <c r="B474" s="17" t="n"/>
      <c r="C474" s="18" t="n"/>
      <c r="D474" s="17" t="n"/>
      <c r="E474" s="17" t="n"/>
      <c r="F474" s="17" t="n"/>
      <c r="G474" s="19" t="n"/>
      <c r="H474" s="17" t="n"/>
      <c r="I474" s="18" t="n"/>
      <c r="J474" s="19" t="n"/>
      <c r="K474" s="17" t="n"/>
      <c r="L474" s="17" t="n"/>
      <c r="M474" s="17" t="n"/>
      <c r="N474" s="17" t="n"/>
      <c r="O474" s="17" t="n"/>
      <c r="P474" s="17" t="n"/>
      <c r="Q474" s="19" t="n"/>
      <c r="R474" s="19" t="n"/>
      <c r="S474" s="7">
        <f>IF(I474="","",IF(TODAY()&gt;=I474,"到期","未到期"))</f>
        <v/>
      </c>
    </row>
    <row r="475">
      <c r="A475" s="16">
        <f>IF(B475="","","V-"&amp;TEXT(ROW()-1,"000"))</f>
        <v/>
      </c>
      <c r="B475" s="17" t="n"/>
      <c r="C475" s="18" t="n"/>
      <c r="D475" s="17" t="n"/>
      <c r="E475" s="17" t="n"/>
      <c r="F475" s="17" t="n"/>
      <c r="G475" s="19" t="n"/>
      <c r="H475" s="17" t="n"/>
      <c r="I475" s="18" t="n"/>
      <c r="J475" s="19" t="n"/>
      <c r="K475" s="17" t="n"/>
      <c r="L475" s="17" t="n"/>
      <c r="M475" s="17" t="n"/>
      <c r="N475" s="17" t="n"/>
      <c r="O475" s="17" t="n"/>
      <c r="P475" s="17" t="n"/>
      <c r="Q475" s="19" t="n"/>
      <c r="R475" s="19" t="n"/>
      <c r="S475" s="7">
        <f>IF(I475="","",IF(TODAY()&gt;=I475,"到期","未到期"))</f>
        <v/>
      </c>
    </row>
    <row r="476">
      <c r="A476" s="16">
        <f>IF(B476="","","V-"&amp;TEXT(ROW()-1,"000"))</f>
        <v/>
      </c>
      <c r="B476" s="17" t="n"/>
      <c r="C476" s="18" t="n"/>
      <c r="D476" s="17" t="n"/>
      <c r="E476" s="17" t="n"/>
      <c r="F476" s="17" t="n"/>
      <c r="G476" s="19" t="n"/>
      <c r="H476" s="17" t="n"/>
      <c r="I476" s="18" t="n"/>
      <c r="J476" s="19" t="n"/>
      <c r="K476" s="17" t="n"/>
      <c r="L476" s="17" t="n"/>
      <c r="M476" s="17" t="n"/>
      <c r="N476" s="17" t="n"/>
      <c r="O476" s="17" t="n"/>
      <c r="P476" s="17" t="n"/>
      <c r="Q476" s="19" t="n"/>
      <c r="R476" s="19" t="n"/>
      <c r="S476" s="7">
        <f>IF(I476="","",IF(TODAY()&gt;=I476,"到期","未到期"))</f>
        <v/>
      </c>
    </row>
    <row r="477">
      <c r="A477" s="16">
        <f>IF(B477="","","V-"&amp;TEXT(ROW()-1,"000"))</f>
        <v/>
      </c>
      <c r="B477" s="17" t="n"/>
      <c r="C477" s="18" t="n"/>
      <c r="D477" s="17" t="n"/>
      <c r="E477" s="17" t="n"/>
      <c r="F477" s="17" t="n"/>
      <c r="G477" s="19" t="n"/>
      <c r="H477" s="17" t="n"/>
      <c r="I477" s="18" t="n"/>
      <c r="J477" s="19" t="n"/>
      <c r="K477" s="17" t="n"/>
      <c r="L477" s="17" t="n"/>
      <c r="M477" s="17" t="n"/>
      <c r="N477" s="17" t="n"/>
      <c r="O477" s="17" t="n"/>
      <c r="P477" s="17" t="n"/>
      <c r="Q477" s="19" t="n"/>
      <c r="R477" s="19" t="n"/>
      <c r="S477" s="7">
        <f>IF(I477="","",IF(TODAY()&gt;=I477,"到期","未到期"))</f>
        <v/>
      </c>
    </row>
    <row r="478">
      <c r="A478" s="16">
        <f>IF(B478="","","V-"&amp;TEXT(ROW()-1,"000"))</f>
        <v/>
      </c>
      <c r="B478" s="17" t="n"/>
      <c r="C478" s="18" t="n"/>
      <c r="D478" s="17" t="n"/>
      <c r="E478" s="17" t="n"/>
      <c r="F478" s="17" t="n"/>
      <c r="G478" s="19" t="n"/>
      <c r="H478" s="17" t="n"/>
      <c r="I478" s="18" t="n"/>
      <c r="J478" s="19" t="n"/>
      <c r="K478" s="17" t="n"/>
      <c r="L478" s="17" t="n"/>
      <c r="M478" s="17" t="n"/>
      <c r="N478" s="17" t="n"/>
      <c r="O478" s="17" t="n"/>
      <c r="P478" s="17" t="n"/>
      <c r="Q478" s="19" t="n"/>
      <c r="R478" s="19" t="n"/>
      <c r="S478" s="7">
        <f>IF(I478="","",IF(TODAY()&gt;=I478,"到期","未到期"))</f>
        <v/>
      </c>
    </row>
    <row r="479">
      <c r="A479" s="16">
        <f>IF(B479="","","V-"&amp;TEXT(ROW()-1,"000"))</f>
        <v/>
      </c>
      <c r="B479" s="17" t="n"/>
      <c r="C479" s="18" t="n"/>
      <c r="D479" s="17" t="n"/>
      <c r="E479" s="17" t="n"/>
      <c r="F479" s="17" t="n"/>
      <c r="G479" s="19" t="n"/>
      <c r="H479" s="17" t="n"/>
      <c r="I479" s="18" t="n"/>
      <c r="J479" s="19" t="n"/>
      <c r="K479" s="17" t="n"/>
      <c r="L479" s="17" t="n"/>
      <c r="M479" s="17" t="n"/>
      <c r="N479" s="17" t="n"/>
      <c r="O479" s="17" t="n"/>
      <c r="P479" s="17" t="n"/>
      <c r="Q479" s="19" t="n"/>
      <c r="R479" s="19" t="n"/>
      <c r="S479" s="7">
        <f>IF(I479="","",IF(TODAY()&gt;=I479,"到期","未到期"))</f>
        <v/>
      </c>
    </row>
    <row r="480">
      <c r="A480" s="16">
        <f>IF(B480="","","V-"&amp;TEXT(ROW()-1,"000"))</f>
        <v/>
      </c>
      <c r="B480" s="17" t="n"/>
      <c r="C480" s="18" t="n"/>
      <c r="D480" s="17" t="n"/>
      <c r="E480" s="17" t="n"/>
      <c r="F480" s="17" t="n"/>
      <c r="G480" s="19" t="n"/>
      <c r="H480" s="17" t="n"/>
      <c r="I480" s="18" t="n"/>
      <c r="J480" s="19" t="n"/>
      <c r="K480" s="17" t="n"/>
      <c r="L480" s="17" t="n"/>
      <c r="M480" s="17" t="n"/>
      <c r="N480" s="17" t="n"/>
      <c r="O480" s="17" t="n"/>
      <c r="P480" s="17" t="n"/>
      <c r="Q480" s="19" t="n"/>
      <c r="R480" s="19" t="n"/>
      <c r="S480" s="7">
        <f>IF(I480="","",IF(TODAY()&gt;=I480,"到期","未到期"))</f>
        <v/>
      </c>
    </row>
    <row r="481">
      <c r="A481" s="16">
        <f>IF(B481="","","V-"&amp;TEXT(ROW()-1,"000"))</f>
        <v/>
      </c>
      <c r="B481" s="17" t="n"/>
      <c r="C481" s="18" t="n"/>
      <c r="D481" s="17" t="n"/>
      <c r="E481" s="17" t="n"/>
      <c r="F481" s="17" t="n"/>
      <c r="G481" s="19" t="n"/>
      <c r="H481" s="17" t="n"/>
      <c r="I481" s="18" t="n"/>
      <c r="J481" s="19" t="n"/>
      <c r="K481" s="17" t="n"/>
      <c r="L481" s="17" t="n"/>
      <c r="M481" s="17" t="n"/>
      <c r="N481" s="17" t="n"/>
      <c r="O481" s="17" t="n"/>
      <c r="P481" s="17" t="n"/>
      <c r="Q481" s="19" t="n"/>
      <c r="R481" s="19" t="n"/>
      <c r="S481" s="7">
        <f>IF(I481="","",IF(TODAY()&gt;=I481,"到期","未到期"))</f>
        <v/>
      </c>
    </row>
    <row r="482">
      <c r="A482" s="16">
        <f>IF(B482="","","V-"&amp;TEXT(ROW()-1,"000"))</f>
        <v/>
      </c>
      <c r="B482" s="17" t="n"/>
      <c r="C482" s="18" t="n"/>
      <c r="D482" s="17" t="n"/>
      <c r="E482" s="17" t="n"/>
      <c r="F482" s="17" t="n"/>
      <c r="G482" s="19" t="n"/>
      <c r="H482" s="17" t="n"/>
      <c r="I482" s="18" t="n"/>
      <c r="J482" s="19" t="n"/>
      <c r="K482" s="17" t="n"/>
      <c r="L482" s="17" t="n"/>
      <c r="M482" s="17" t="n"/>
      <c r="N482" s="17" t="n"/>
      <c r="O482" s="17" t="n"/>
      <c r="P482" s="17" t="n"/>
      <c r="Q482" s="19" t="n"/>
      <c r="R482" s="19" t="n"/>
      <c r="S482" s="7">
        <f>IF(I482="","",IF(TODAY()&gt;=I482,"到期","未到期"))</f>
        <v/>
      </c>
    </row>
    <row r="483">
      <c r="A483" s="16">
        <f>IF(B483="","","V-"&amp;TEXT(ROW()-1,"000"))</f>
        <v/>
      </c>
      <c r="B483" s="17" t="n"/>
      <c r="C483" s="18" t="n"/>
      <c r="D483" s="17" t="n"/>
      <c r="E483" s="17" t="n"/>
      <c r="F483" s="17" t="n"/>
      <c r="G483" s="19" t="n"/>
      <c r="H483" s="17" t="n"/>
      <c r="I483" s="18" t="n"/>
      <c r="J483" s="19" t="n"/>
      <c r="K483" s="17" t="n"/>
      <c r="L483" s="17" t="n"/>
      <c r="M483" s="17" t="n"/>
      <c r="N483" s="17" t="n"/>
      <c r="O483" s="17" t="n"/>
      <c r="P483" s="17" t="n"/>
      <c r="Q483" s="19" t="n"/>
      <c r="R483" s="19" t="n"/>
      <c r="S483" s="7">
        <f>IF(I483="","",IF(TODAY()&gt;=I483,"到期","未到期"))</f>
        <v/>
      </c>
    </row>
    <row r="484">
      <c r="A484" s="16">
        <f>IF(B484="","","V-"&amp;TEXT(ROW()-1,"000"))</f>
        <v/>
      </c>
      <c r="B484" s="17" t="n"/>
      <c r="C484" s="18" t="n"/>
      <c r="D484" s="17" t="n"/>
      <c r="E484" s="17" t="n"/>
      <c r="F484" s="17" t="n"/>
      <c r="G484" s="19" t="n"/>
      <c r="H484" s="17" t="n"/>
      <c r="I484" s="18" t="n"/>
      <c r="J484" s="19" t="n"/>
      <c r="K484" s="17" t="n"/>
      <c r="L484" s="17" t="n"/>
      <c r="M484" s="17" t="n"/>
      <c r="N484" s="17" t="n"/>
      <c r="O484" s="17" t="n"/>
      <c r="P484" s="17" t="n"/>
      <c r="Q484" s="19" t="n"/>
      <c r="R484" s="19" t="n"/>
      <c r="S484" s="7">
        <f>IF(I484="","",IF(TODAY()&gt;=I484,"到期","未到期"))</f>
        <v/>
      </c>
    </row>
    <row r="485">
      <c r="A485" s="16">
        <f>IF(B485="","","V-"&amp;TEXT(ROW()-1,"000"))</f>
        <v/>
      </c>
      <c r="B485" s="17" t="n"/>
      <c r="C485" s="18" t="n"/>
      <c r="D485" s="17" t="n"/>
      <c r="E485" s="17" t="n"/>
      <c r="F485" s="17" t="n"/>
      <c r="G485" s="19" t="n"/>
      <c r="H485" s="17" t="n"/>
      <c r="I485" s="18" t="n"/>
      <c r="J485" s="19" t="n"/>
      <c r="K485" s="17" t="n"/>
      <c r="L485" s="17" t="n"/>
      <c r="M485" s="17" t="n"/>
      <c r="N485" s="17" t="n"/>
      <c r="O485" s="17" t="n"/>
      <c r="P485" s="17" t="n"/>
      <c r="Q485" s="19" t="n"/>
      <c r="R485" s="19" t="n"/>
      <c r="S485" s="7">
        <f>IF(I485="","",IF(TODAY()&gt;=I485,"到期","未到期"))</f>
        <v/>
      </c>
    </row>
    <row r="486">
      <c r="A486" s="16">
        <f>IF(B486="","","V-"&amp;TEXT(ROW()-1,"000"))</f>
        <v/>
      </c>
      <c r="B486" s="17" t="n"/>
      <c r="C486" s="18" t="n"/>
      <c r="D486" s="17" t="n"/>
      <c r="E486" s="17" t="n"/>
      <c r="F486" s="17" t="n"/>
      <c r="G486" s="19" t="n"/>
      <c r="H486" s="17" t="n"/>
      <c r="I486" s="18" t="n"/>
      <c r="J486" s="19" t="n"/>
      <c r="K486" s="17" t="n"/>
      <c r="L486" s="17" t="n"/>
      <c r="M486" s="17" t="n"/>
      <c r="N486" s="17" t="n"/>
      <c r="O486" s="17" t="n"/>
      <c r="P486" s="17" t="n"/>
      <c r="Q486" s="19" t="n"/>
      <c r="R486" s="19" t="n"/>
      <c r="S486" s="7">
        <f>IF(I486="","",IF(TODAY()&gt;=I486,"到期","未到期"))</f>
        <v/>
      </c>
    </row>
    <row r="487">
      <c r="A487" s="16">
        <f>IF(B487="","","V-"&amp;TEXT(ROW()-1,"000"))</f>
        <v/>
      </c>
      <c r="B487" s="17" t="n"/>
      <c r="C487" s="18" t="n"/>
      <c r="D487" s="17" t="n"/>
      <c r="E487" s="17" t="n"/>
      <c r="F487" s="17" t="n"/>
      <c r="G487" s="19" t="n"/>
      <c r="H487" s="17" t="n"/>
      <c r="I487" s="18" t="n"/>
      <c r="J487" s="19" t="n"/>
      <c r="K487" s="17" t="n"/>
      <c r="L487" s="17" t="n"/>
      <c r="M487" s="17" t="n"/>
      <c r="N487" s="17" t="n"/>
      <c r="O487" s="17" t="n"/>
      <c r="P487" s="17" t="n"/>
      <c r="Q487" s="19" t="n"/>
      <c r="R487" s="19" t="n"/>
      <c r="S487" s="7">
        <f>IF(I487="","",IF(TODAY()&gt;=I487,"到期","未到期"))</f>
        <v/>
      </c>
    </row>
    <row r="488">
      <c r="A488" s="16">
        <f>IF(B488="","","V-"&amp;TEXT(ROW()-1,"000"))</f>
        <v/>
      </c>
      <c r="B488" s="17" t="n"/>
      <c r="C488" s="18" t="n"/>
      <c r="D488" s="17" t="n"/>
      <c r="E488" s="17" t="n"/>
      <c r="F488" s="17" t="n"/>
      <c r="G488" s="19" t="n"/>
      <c r="H488" s="17" t="n"/>
      <c r="I488" s="18" t="n"/>
      <c r="J488" s="19" t="n"/>
      <c r="K488" s="17" t="n"/>
      <c r="L488" s="17" t="n"/>
      <c r="M488" s="17" t="n"/>
      <c r="N488" s="17" t="n"/>
      <c r="O488" s="17" t="n"/>
      <c r="P488" s="17" t="n"/>
      <c r="Q488" s="19" t="n"/>
      <c r="R488" s="19" t="n"/>
      <c r="S488" s="7">
        <f>IF(I488="","",IF(TODAY()&gt;=I488,"到期","未到期"))</f>
        <v/>
      </c>
    </row>
    <row r="489">
      <c r="A489" s="16">
        <f>IF(B489="","","V-"&amp;TEXT(ROW()-1,"000"))</f>
        <v/>
      </c>
      <c r="B489" s="17" t="n"/>
      <c r="C489" s="18" t="n"/>
      <c r="D489" s="17" t="n"/>
      <c r="E489" s="17" t="n"/>
      <c r="F489" s="17" t="n"/>
      <c r="G489" s="19" t="n"/>
      <c r="H489" s="17" t="n"/>
      <c r="I489" s="18" t="n"/>
      <c r="J489" s="19" t="n"/>
      <c r="K489" s="17" t="n"/>
      <c r="L489" s="17" t="n"/>
      <c r="M489" s="17" t="n"/>
      <c r="N489" s="17" t="n"/>
      <c r="O489" s="17" t="n"/>
      <c r="P489" s="17" t="n"/>
      <c r="Q489" s="19" t="n"/>
      <c r="R489" s="19" t="n"/>
      <c r="S489" s="7">
        <f>IF(I489="","",IF(TODAY()&gt;=I489,"到期","未到期"))</f>
        <v/>
      </c>
    </row>
    <row r="490">
      <c r="A490" s="16">
        <f>IF(B490="","","V-"&amp;TEXT(ROW()-1,"000"))</f>
        <v/>
      </c>
      <c r="B490" s="17" t="n"/>
      <c r="C490" s="18" t="n"/>
      <c r="D490" s="17" t="n"/>
      <c r="E490" s="17" t="n"/>
      <c r="F490" s="17" t="n"/>
      <c r="G490" s="19" t="n"/>
      <c r="H490" s="17" t="n"/>
      <c r="I490" s="18" t="n"/>
      <c r="J490" s="19" t="n"/>
      <c r="K490" s="17" t="n"/>
      <c r="L490" s="17" t="n"/>
      <c r="M490" s="17" t="n"/>
      <c r="N490" s="17" t="n"/>
      <c r="O490" s="17" t="n"/>
      <c r="P490" s="17" t="n"/>
      <c r="Q490" s="19" t="n"/>
      <c r="R490" s="19" t="n"/>
      <c r="S490" s="7">
        <f>IF(I490="","",IF(TODAY()&gt;=I490,"到期","未到期"))</f>
        <v/>
      </c>
    </row>
    <row r="491">
      <c r="A491" s="16">
        <f>IF(B491="","","V-"&amp;TEXT(ROW()-1,"000"))</f>
        <v/>
      </c>
      <c r="B491" s="17" t="n"/>
      <c r="C491" s="18" t="n"/>
      <c r="D491" s="17" t="n"/>
      <c r="E491" s="17" t="n"/>
      <c r="F491" s="17" t="n"/>
      <c r="G491" s="19" t="n"/>
      <c r="H491" s="17" t="n"/>
      <c r="I491" s="18" t="n"/>
      <c r="J491" s="19" t="n"/>
      <c r="K491" s="17" t="n"/>
      <c r="L491" s="17" t="n"/>
      <c r="M491" s="17" t="n"/>
      <c r="N491" s="17" t="n"/>
      <c r="O491" s="17" t="n"/>
      <c r="P491" s="17" t="n"/>
      <c r="Q491" s="19" t="n"/>
      <c r="R491" s="19" t="n"/>
      <c r="S491" s="7">
        <f>IF(I491="","",IF(TODAY()&gt;=I491,"到期","未到期"))</f>
        <v/>
      </c>
    </row>
    <row r="492">
      <c r="A492" s="16">
        <f>IF(B492="","","V-"&amp;TEXT(ROW()-1,"000"))</f>
        <v/>
      </c>
      <c r="B492" s="17" t="n"/>
      <c r="C492" s="18" t="n"/>
      <c r="D492" s="17" t="n"/>
      <c r="E492" s="17" t="n"/>
      <c r="F492" s="17" t="n"/>
      <c r="G492" s="19" t="n"/>
      <c r="H492" s="17" t="n"/>
      <c r="I492" s="18" t="n"/>
      <c r="J492" s="19" t="n"/>
      <c r="K492" s="17" t="n"/>
      <c r="L492" s="17" t="n"/>
      <c r="M492" s="17" t="n"/>
      <c r="N492" s="17" t="n"/>
      <c r="O492" s="17" t="n"/>
      <c r="P492" s="17" t="n"/>
      <c r="Q492" s="19" t="n"/>
      <c r="R492" s="19" t="n"/>
      <c r="S492" s="7">
        <f>IF(I492="","",IF(TODAY()&gt;=I492,"到期","未到期"))</f>
        <v/>
      </c>
    </row>
    <row r="493">
      <c r="A493" s="16">
        <f>IF(B493="","","V-"&amp;TEXT(ROW()-1,"000"))</f>
        <v/>
      </c>
      <c r="B493" s="17" t="n"/>
      <c r="C493" s="18" t="n"/>
      <c r="D493" s="17" t="n"/>
      <c r="E493" s="17" t="n"/>
      <c r="F493" s="17" t="n"/>
      <c r="G493" s="19" t="n"/>
      <c r="H493" s="17" t="n"/>
      <c r="I493" s="18" t="n"/>
      <c r="J493" s="19" t="n"/>
      <c r="K493" s="17" t="n"/>
      <c r="L493" s="17" t="n"/>
      <c r="M493" s="17" t="n"/>
      <c r="N493" s="17" t="n"/>
      <c r="O493" s="17" t="n"/>
      <c r="P493" s="17" t="n"/>
      <c r="Q493" s="19" t="n"/>
      <c r="R493" s="19" t="n"/>
      <c r="S493" s="7">
        <f>IF(I493="","",IF(TODAY()&gt;=I493,"到期","未到期"))</f>
        <v/>
      </c>
    </row>
    <row r="494">
      <c r="A494" s="16">
        <f>IF(B494="","","V-"&amp;TEXT(ROW()-1,"000"))</f>
        <v/>
      </c>
      <c r="B494" s="17" t="n"/>
      <c r="C494" s="18" t="n"/>
      <c r="D494" s="17" t="n"/>
      <c r="E494" s="17" t="n"/>
      <c r="F494" s="17" t="n"/>
      <c r="G494" s="19" t="n"/>
      <c r="H494" s="17" t="n"/>
      <c r="I494" s="18" t="n"/>
      <c r="J494" s="19" t="n"/>
      <c r="K494" s="17" t="n"/>
      <c r="L494" s="17" t="n"/>
      <c r="M494" s="17" t="n"/>
      <c r="N494" s="17" t="n"/>
      <c r="O494" s="17" t="n"/>
      <c r="P494" s="17" t="n"/>
      <c r="Q494" s="19" t="n"/>
      <c r="R494" s="19" t="n"/>
      <c r="S494" s="7">
        <f>IF(I494="","",IF(TODAY()&gt;=I494,"到期","未到期"))</f>
        <v/>
      </c>
    </row>
    <row r="495">
      <c r="A495" s="16">
        <f>IF(B495="","","V-"&amp;TEXT(ROW()-1,"000"))</f>
        <v/>
      </c>
      <c r="B495" s="17" t="n"/>
      <c r="C495" s="18" t="n"/>
      <c r="D495" s="17" t="n"/>
      <c r="E495" s="17" t="n"/>
      <c r="F495" s="17" t="n"/>
      <c r="G495" s="19" t="n"/>
      <c r="H495" s="17" t="n"/>
      <c r="I495" s="18" t="n"/>
      <c r="J495" s="19" t="n"/>
      <c r="K495" s="17" t="n"/>
      <c r="L495" s="17" t="n"/>
      <c r="M495" s="17" t="n"/>
      <c r="N495" s="17" t="n"/>
      <c r="O495" s="17" t="n"/>
      <c r="P495" s="17" t="n"/>
      <c r="Q495" s="19" t="n"/>
      <c r="R495" s="19" t="n"/>
      <c r="S495" s="7">
        <f>IF(I495="","",IF(TODAY()&gt;=I495,"到期","未到期"))</f>
        <v/>
      </c>
    </row>
    <row r="496">
      <c r="A496" s="16">
        <f>IF(B496="","","V-"&amp;TEXT(ROW()-1,"000"))</f>
        <v/>
      </c>
      <c r="B496" s="17" t="n"/>
      <c r="C496" s="18" t="n"/>
      <c r="D496" s="17" t="n"/>
      <c r="E496" s="17" t="n"/>
      <c r="F496" s="17" t="n"/>
      <c r="G496" s="19" t="n"/>
      <c r="H496" s="17" t="n"/>
      <c r="I496" s="18" t="n"/>
      <c r="J496" s="19" t="n"/>
      <c r="K496" s="17" t="n"/>
      <c r="L496" s="17" t="n"/>
      <c r="M496" s="17" t="n"/>
      <c r="N496" s="17" t="n"/>
      <c r="O496" s="17" t="n"/>
      <c r="P496" s="17" t="n"/>
      <c r="Q496" s="19" t="n"/>
      <c r="R496" s="19" t="n"/>
      <c r="S496" s="7">
        <f>IF(I496="","",IF(TODAY()&gt;=I496,"到期","未到期"))</f>
        <v/>
      </c>
    </row>
    <row r="497">
      <c r="A497" s="16">
        <f>IF(B497="","","V-"&amp;TEXT(ROW()-1,"000"))</f>
        <v/>
      </c>
      <c r="B497" s="17" t="n"/>
      <c r="C497" s="18" t="n"/>
      <c r="D497" s="17" t="n"/>
      <c r="E497" s="17" t="n"/>
      <c r="F497" s="17" t="n"/>
      <c r="G497" s="19" t="n"/>
      <c r="H497" s="17" t="n"/>
      <c r="I497" s="18" t="n"/>
      <c r="J497" s="19" t="n"/>
      <c r="K497" s="17" t="n"/>
      <c r="L497" s="17" t="n"/>
      <c r="M497" s="17" t="n"/>
      <c r="N497" s="17" t="n"/>
      <c r="O497" s="17" t="n"/>
      <c r="P497" s="17" t="n"/>
      <c r="Q497" s="19" t="n"/>
      <c r="R497" s="19" t="n"/>
      <c r="S497" s="7">
        <f>IF(I497="","",IF(TODAY()&gt;=I497,"到期","未到期"))</f>
        <v/>
      </c>
    </row>
    <row r="498">
      <c r="A498" s="16">
        <f>IF(B498="","","V-"&amp;TEXT(ROW()-1,"000"))</f>
        <v/>
      </c>
      <c r="B498" s="17" t="n"/>
      <c r="C498" s="18" t="n"/>
      <c r="D498" s="17" t="n"/>
      <c r="E498" s="17" t="n"/>
      <c r="F498" s="17" t="n"/>
      <c r="G498" s="19" t="n"/>
      <c r="H498" s="17" t="n"/>
      <c r="I498" s="18" t="n"/>
      <c r="J498" s="19" t="n"/>
      <c r="K498" s="17" t="n"/>
      <c r="L498" s="17" t="n"/>
      <c r="M498" s="17" t="n"/>
      <c r="N498" s="17" t="n"/>
      <c r="O498" s="17" t="n"/>
      <c r="P498" s="17" t="n"/>
      <c r="Q498" s="19" t="n"/>
      <c r="R498" s="19" t="n"/>
      <c r="S498" s="7">
        <f>IF(I498="","",IF(TODAY()&gt;=I498,"到期","未到期"))</f>
        <v/>
      </c>
    </row>
    <row r="499">
      <c r="A499" s="16">
        <f>IF(B499="","","V-"&amp;TEXT(ROW()-1,"000"))</f>
        <v/>
      </c>
      <c r="B499" s="17" t="n"/>
      <c r="C499" s="18" t="n"/>
      <c r="D499" s="17" t="n"/>
      <c r="E499" s="17" t="n"/>
      <c r="F499" s="17" t="n"/>
      <c r="G499" s="19" t="n"/>
      <c r="H499" s="17" t="n"/>
      <c r="I499" s="18" t="n"/>
      <c r="J499" s="19" t="n"/>
      <c r="K499" s="17" t="n"/>
      <c r="L499" s="17" t="n"/>
      <c r="M499" s="17" t="n"/>
      <c r="N499" s="17" t="n"/>
      <c r="O499" s="17" t="n"/>
      <c r="P499" s="17" t="n"/>
      <c r="Q499" s="19" t="n"/>
      <c r="R499" s="19" t="n"/>
      <c r="S499" s="7">
        <f>IF(I499="","",IF(TODAY()&gt;=I499,"到期","未到期"))</f>
        <v/>
      </c>
    </row>
    <row r="500">
      <c r="A500" s="16">
        <f>IF(B500="","","V-"&amp;TEXT(ROW()-1,"000"))</f>
        <v/>
      </c>
      <c r="B500" s="17" t="n"/>
      <c r="C500" s="18" t="n"/>
      <c r="D500" s="17" t="n"/>
      <c r="E500" s="17" t="n"/>
      <c r="F500" s="17" t="n"/>
      <c r="G500" s="19" t="n"/>
      <c r="H500" s="17" t="n"/>
      <c r="I500" s="18" t="n"/>
      <c r="J500" s="19" t="n"/>
      <c r="K500" s="17" t="n"/>
      <c r="L500" s="17" t="n"/>
      <c r="M500" s="17" t="n"/>
      <c r="N500" s="17" t="n"/>
      <c r="O500" s="17" t="n"/>
      <c r="P500" s="17" t="n"/>
      <c r="Q500" s="19" t="n"/>
      <c r="R500" s="19" t="n"/>
      <c r="S500" s="7">
        <f>IF(I500="","",IF(TODAY()&gt;=I500,"到期","未到期"))</f>
        <v/>
      </c>
    </row>
  </sheetData>
  <autoFilter ref="A1:S500"/>
  <conditionalFormatting sqref="S2:S500">
    <cfRule type="expression" priority="1" dxfId="0">
      <formula>$S2="到期"</formula>
    </cfRule>
  </conditionalFormatting>
  <dataValidations count="7">
    <dataValidation sqref="H2:H500" showDropDown="0" showInputMessage="0" showErrorMessage="0" allowBlank="1" type="list">
      <formula1>='选项'!$H$2:$H$5</formula1>
    </dataValidation>
    <dataValidation sqref="K2:K500" showDropDown="0" showInputMessage="0" showErrorMessage="0" allowBlank="1" type="list">
      <formula1>='选项'!$I$2:$I$9</formula1>
    </dataValidation>
    <dataValidation sqref="L2:L500" showDropDown="0" showInputMessage="0" showErrorMessage="0" allowBlank="1" type="list">
      <formula1>='选项'!$J$2:$J$5</formula1>
    </dataValidation>
    <dataValidation sqref="M2:M500" showDropDown="0" showInputMessage="0" showErrorMessage="0" allowBlank="1" type="list">
      <formula1>='选项'!$J$2:$J$5</formula1>
    </dataValidation>
    <dataValidation sqref="N2:N500" showDropDown="0" showInputMessage="0" showErrorMessage="0" allowBlank="1" type="list">
      <formula1>='选项'!$K$2:$K$5</formula1>
    </dataValidation>
    <dataValidation sqref="O2:O500" showDropDown="0" showInputMessage="0" showErrorMessage="0" allowBlank="1" type="list">
      <formula1>='选项'!$L$2:$L$7</formula1>
    </dataValidation>
    <dataValidation sqref="P2:P500" showDropDown="0" showInputMessage="0" showErrorMessage="0" allowBlank="1" type="list">
      <formula1>='选项'!$M$2:$M$9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0" customWidth="1" min="3" max="3"/>
  </cols>
  <sheetData>
    <row r="1">
      <c r="A1" s="20" t="inlineStr">
        <is>
          <t>训练看板</t>
        </is>
      </c>
      <c r="B1" s="23" t="n"/>
      <c r="C1" s="24" t="n"/>
    </row>
    <row r="2">
      <c r="A2" s="4" t="inlineStr">
        <is>
          <t>指标</t>
        </is>
      </c>
      <c r="B2" s="4" t="inlineStr">
        <is>
          <t>当前统计</t>
        </is>
      </c>
      <c r="C2" s="4" t="inlineStr">
        <is>
          <t>解释</t>
        </is>
      </c>
    </row>
    <row r="3" ht="36" customHeight="1">
      <c r="A3" s="9" t="inlineStr">
        <is>
          <t>观察记录数</t>
        </is>
      </c>
      <c r="B3" s="7">
        <f>COUNTA(每日观察!B2:B500)</f>
        <v/>
      </c>
      <c r="C3" s="21" t="inlineStr">
        <is>
          <t>不是越多越好，先保证稳定记录。</t>
        </is>
      </c>
    </row>
    <row r="4" ht="36" customHeight="1">
      <c r="A4" s="9" t="inlineStr">
        <is>
          <t>最低闭环完成数</t>
        </is>
      </c>
      <c r="B4" s="7">
        <f>COUNTIF(每日观察!W2:W500,1)</f>
        <v/>
      </c>
      <c r="C4" s="21" t="inlineStr">
        <is>
          <t>绿色列全部完成才计入。</t>
        </is>
      </c>
    </row>
    <row r="5" ht="36" customHeight="1">
      <c r="A5" s="9" t="inlineStr">
        <is>
          <t>最低闭环完成率</t>
        </is>
      </c>
      <c r="B5" s="22">
        <f>IFERROR(B4/B3,"")</f>
        <v/>
      </c>
      <c r="C5" s="21" t="inlineStr">
        <is>
          <t>低于80%说明模板仍然太重。</t>
        </is>
      </c>
    </row>
    <row r="6" ht="36" customHeight="1">
      <c r="A6" s="9" t="inlineStr">
        <is>
          <t>无法判断次数</t>
        </is>
      </c>
      <c r="B6" s="7">
        <f>COUNTIF(每日观察!N2:N500,"无法判断")</f>
        <v/>
      </c>
      <c r="C6" s="21" t="inlineStr">
        <is>
          <t>允许存在，但需要在“需要补的知识”里留下问题。</t>
        </is>
      </c>
    </row>
    <row r="7" ht="36" customHeight="1">
      <c r="A7" s="9" t="inlineStr">
        <is>
          <t>高置信度次数</t>
        </is>
      </c>
      <c r="B7" s="7">
        <f>COUNTIF(每日观察!O2:O500,"高")</f>
        <v/>
      </c>
      <c r="C7" s="21" t="inlineStr">
        <is>
          <t>高置信度过多可能代表过度确定。</t>
        </is>
      </c>
    </row>
    <row r="8" ht="36" customHeight="1">
      <c r="A8" s="9" t="inlineStr">
        <is>
          <t>验证记录数</t>
        </is>
      </c>
      <c r="B8" s="7">
        <f>COUNTA(事后验证!B2:B500)</f>
        <v/>
      </c>
      <c r="C8" s="21" t="inlineStr">
        <is>
          <t>到期后补验证，形成反馈。</t>
        </is>
      </c>
    </row>
    <row r="9" ht="36" customHeight="1">
      <c r="A9" s="9" t="inlineStr">
        <is>
          <t>过程合理次数</t>
        </is>
      </c>
      <c r="B9" s="7">
        <f>COUNTIF(事后验证!O2:O500,"过程合理")</f>
        <v/>
      </c>
      <c r="C9" s="21" t="inlineStr">
        <is>
          <t>重点看过程质量，不只看涨跌。</t>
        </is>
      </c>
    </row>
    <row r="10" ht="36" customHeight="1">
      <c r="A10" s="9" t="inlineStr">
        <is>
          <t>漏掉反证次数</t>
        </is>
      </c>
      <c r="B10" s="7">
        <f>COUNTIF(事后验证!O2:O500,"漏掉反证")</f>
        <v/>
      </c>
      <c r="C10" s="21" t="inlineStr">
        <is>
          <t>这是最重要的改进信号之一。</t>
        </is>
      </c>
    </row>
    <row r="11" ht="36" customHeight="1">
      <c r="A11" s="9" t="inlineStr">
        <is>
          <t>过度确定次数</t>
        </is>
      </c>
      <c r="B11" s="7">
        <f>COUNTIF(事后验证!O2:O500,"过度确定")</f>
        <v/>
      </c>
      <c r="C11" s="21" t="inlineStr">
        <is>
          <t>训练目标是暂定解释，不是确定预言。</t>
        </is>
      </c>
    </row>
    <row r="12" ht="36" customHeight="1">
      <c r="A12" s="9" t="inlineStr">
        <is>
          <t>概率失败次数</t>
        </is>
      </c>
      <c r="B12" s="7">
        <f>COUNTIF(事后验证!O2:O500,"概率失败")</f>
        <v/>
      </c>
      <c r="C12" s="21" t="inlineStr">
        <is>
          <t>过程合理但结果不利，不要强行找唯一根因。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" t="inlineStr">
        <is>
          <t>大盘状态</t>
        </is>
      </c>
      <c r="B1" s="2" t="inlineStr">
        <is>
          <t>板块状态</t>
        </is>
      </c>
      <c r="C1" s="2" t="inlineStr">
        <is>
          <t>个股相对板块</t>
        </is>
      </c>
      <c r="D1" s="2" t="inlineStr">
        <is>
          <t>今日最明显现象</t>
        </is>
      </c>
      <c r="E1" s="2" t="inlineStr">
        <is>
          <t>候选解释</t>
        </is>
      </c>
      <c r="F1" s="2" t="inlineStr">
        <is>
          <t>置信度</t>
        </is>
      </c>
      <c r="G1" s="2" t="inlineStr">
        <is>
          <t>看懂程度</t>
        </is>
      </c>
      <c r="H1" s="2" t="inlineStr">
        <is>
          <t>验证节点</t>
        </is>
      </c>
      <c r="I1" s="2" t="inlineStr">
        <is>
          <t>后续实际表现</t>
        </is>
      </c>
      <c r="J1" s="2" t="inlineStr">
        <is>
          <t>解释变化</t>
        </is>
      </c>
      <c r="K1" s="2" t="inlineStr">
        <is>
          <t>观察点是否出现</t>
        </is>
      </c>
      <c r="L1" s="2" t="inlineStr">
        <is>
          <t>判断质量</t>
        </is>
      </c>
      <c r="M1" s="2" t="inlineStr">
        <is>
          <t>错误/失败类型</t>
        </is>
      </c>
    </row>
    <row r="2">
      <c r="A2" s="3" t="inlineStr">
        <is>
          <t>上升</t>
        </is>
      </c>
      <c r="B2" s="3" t="inlineStr">
        <is>
          <t>主线强势</t>
        </is>
      </c>
      <c r="C2" s="3" t="inlineStr">
        <is>
          <t>强于板块</t>
        </is>
      </c>
      <c r="D2" s="3" t="inlineStr">
        <is>
          <t>放量突破</t>
        </is>
      </c>
      <c r="E2" s="3" t="inlineStr">
        <is>
          <t>真突破/启动尝试</t>
        </is>
      </c>
      <c r="F2" s="3" t="inlineStr">
        <is>
          <t>低</t>
        </is>
      </c>
      <c r="G2" s="3" t="inlineStr">
        <is>
          <t>看懂</t>
        </is>
      </c>
      <c r="H2" s="3" t="inlineStr">
        <is>
          <t>3日</t>
        </is>
      </c>
      <c r="I2" s="3" t="inlineStr">
        <is>
          <t>向上延续</t>
        </is>
      </c>
      <c r="J2" s="3" t="inlineStr">
        <is>
          <t>强化</t>
        </is>
      </c>
      <c r="K2" s="3" t="inlineStr">
        <is>
          <t>出现</t>
        </is>
      </c>
      <c r="L2" s="3" t="inlineStr">
        <is>
          <t>过程合理</t>
        </is>
      </c>
      <c r="M2" s="3" t="inlineStr">
        <is>
          <t>把反弹当启动</t>
        </is>
      </c>
    </row>
    <row r="3">
      <c r="A3" s="3" t="inlineStr">
        <is>
          <t>震荡偏强</t>
        </is>
      </c>
      <c r="B3" s="3" t="inlineStr">
        <is>
          <t>轮动强势</t>
        </is>
      </c>
      <c r="C3" s="3" t="inlineStr">
        <is>
          <t>同步板块</t>
        </is>
      </c>
      <c r="D3" s="3" t="inlineStr">
        <is>
          <t>缩量回调</t>
        </is>
      </c>
      <c r="E3" s="3" t="inlineStr">
        <is>
          <t>情绪冲高</t>
        </is>
      </c>
      <c r="F3" s="3" t="inlineStr">
        <is>
          <t>中</t>
        </is>
      </c>
      <c r="G3" s="3" t="inlineStr">
        <is>
          <t>不确定</t>
        </is>
      </c>
      <c r="H3" s="3" t="inlineStr">
        <is>
          <t>5日</t>
        </is>
      </c>
      <c r="I3" s="3" t="inlineStr">
        <is>
          <t>震荡消化</t>
        </is>
      </c>
      <c r="J3" s="3" t="inlineStr">
        <is>
          <t>削弱</t>
        </is>
      </c>
      <c r="K3" s="3" t="inlineStr">
        <is>
          <t>未出现</t>
        </is>
      </c>
      <c r="L3" s="3" t="inlineStr">
        <is>
          <t>证据不足</t>
        </is>
      </c>
      <c r="M3" s="3" t="inlineStr">
        <is>
          <t>把分歧当退潮</t>
        </is>
      </c>
    </row>
    <row r="4">
      <c r="A4" s="3" t="inlineStr">
        <is>
          <t>震荡</t>
        </is>
      </c>
      <c r="B4" s="3" t="inlineStr">
        <is>
          <t>首日异动</t>
        </is>
      </c>
      <c r="C4" s="3" t="inlineStr">
        <is>
          <t>弱于板块</t>
        </is>
      </c>
      <c r="D4" s="3" t="inlineStr">
        <is>
          <t>冲高回落</t>
        </is>
      </c>
      <c r="E4" s="3" t="inlineStr">
        <is>
          <t>假突破</t>
        </is>
      </c>
      <c r="F4" s="3" t="inlineStr">
        <is>
          <t>高</t>
        </is>
      </c>
      <c r="G4" s="3" t="inlineStr">
        <is>
          <t>看不懂</t>
        </is>
      </c>
      <c r="H4" s="3" t="inlineStr">
        <is>
          <t>10日</t>
        </is>
      </c>
      <c r="I4" s="3" t="inlineStr">
        <is>
          <t>冲高回落</t>
        </is>
      </c>
      <c r="J4" s="3" t="inlineStr">
        <is>
          <t>证伪</t>
        </is>
      </c>
      <c r="K4" s="3" t="inlineStr">
        <is>
          <t>部分出现</t>
        </is>
      </c>
      <c r="L4" s="3" t="inlineStr">
        <is>
          <t>漏掉反证</t>
        </is>
      </c>
      <c r="M4" s="3" t="inlineStr">
        <is>
          <t>把退潮当回调</t>
        </is>
      </c>
    </row>
    <row r="5">
      <c r="A5" s="3" t="inlineStr">
        <is>
          <t>震荡偏弱</t>
        </is>
      </c>
      <c r="B5" s="3" t="inlineStr">
        <is>
          <t>震荡</t>
        </is>
      </c>
      <c r="C5" s="3" t="inlineStr">
        <is>
          <t>不确定</t>
        </is>
      </c>
      <c r="D5" s="3" t="inlineStr">
        <is>
          <t>高位放量震荡</t>
        </is>
      </c>
      <c r="E5" s="3" t="inlineStr">
        <is>
          <t>主升延续</t>
        </is>
      </c>
      <c r="H5" s="3" t="inlineStr">
        <is>
          <t>自定义</t>
        </is>
      </c>
      <c r="I5" s="3" t="inlineStr">
        <is>
          <t>跌回平台</t>
        </is>
      </c>
      <c r="J5" s="3" t="inlineStr">
        <is>
          <t>仍不确定</t>
        </is>
      </c>
      <c r="K5" s="3" t="inlineStr">
        <is>
          <t>不适用</t>
        </is>
      </c>
      <c r="L5" s="3" t="inlineStr">
        <is>
          <t>过度确定</t>
        </is>
      </c>
      <c r="M5" s="3" t="inlineStr">
        <is>
          <t>把补涨当核心</t>
        </is>
      </c>
    </row>
    <row r="6">
      <c r="A6" s="3" t="inlineStr">
        <is>
          <t>下降</t>
        </is>
      </c>
      <c r="B6" s="3" t="inlineStr">
        <is>
          <t>退潮</t>
        </is>
      </c>
      <c r="D6" s="3" t="inlineStr">
        <is>
          <t>跌破关键位</t>
        </is>
      </c>
      <c r="E6" s="3" t="inlineStr">
        <is>
          <t>高位分歧</t>
        </is>
      </c>
      <c r="I6" s="3" t="inlineStr">
        <is>
          <t>跌破支撑</t>
        </is>
      </c>
      <c r="L6" s="3" t="inlineStr">
        <is>
          <t>概率失败</t>
        </is>
      </c>
      <c r="M6" s="3" t="inlineStr">
        <is>
          <t>忽略板块环境</t>
        </is>
      </c>
    </row>
    <row r="7">
      <c r="A7" s="3" t="inlineStr">
        <is>
          <t>不确定</t>
        </is>
      </c>
      <c r="B7" s="3" t="inlineStr">
        <is>
          <t>不确定</t>
        </is>
      </c>
      <c r="D7" s="3" t="inlineStr">
        <is>
          <t>回踩支撑不破</t>
        </is>
      </c>
      <c r="E7" s="3" t="inlineStr">
        <is>
          <t>健康回调</t>
        </is>
      </c>
      <c r="I7" s="3" t="inlineStr">
        <is>
          <t>修复转强</t>
        </is>
      </c>
      <c r="L7" s="3" t="inlineStr">
        <is>
          <t>无法评价</t>
        </is>
      </c>
      <c r="M7" s="3" t="inlineStr">
        <is>
          <t>忽略量价反证</t>
        </is>
      </c>
    </row>
    <row r="8">
      <c r="D8" s="3" t="inlineStr">
        <is>
          <t>板块强个股弱</t>
        </is>
      </c>
      <c r="E8" s="3" t="inlineStr">
        <is>
          <t>退潮转弱</t>
        </is>
      </c>
      <c r="I8" s="3" t="inlineStr">
        <is>
          <t>继续转弱</t>
        </is>
      </c>
      <c r="M8" s="3" t="inlineStr">
        <is>
          <t>概率结果失败</t>
        </is>
      </c>
    </row>
    <row r="9">
      <c r="D9" s="3" t="inlineStr">
        <is>
          <t>板块弱个股抗跌</t>
        </is>
      </c>
      <c r="E9" s="3" t="inlineStr">
        <is>
          <t>板块带动被动上涨</t>
        </is>
      </c>
      <c r="I9" s="3" t="inlineStr">
        <is>
          <t>无法判断</t>
        </is>
      </c>
      <c r="M9" s="3" t="inlineStr">
        <is>
          <t>无明显错误</t>
        </is>
      </c>
    </row>
    <row r="10">
      <c r="D10" s="3" t="inlineStr">
        <is>
          <t>连续加速上涨</t>
        </is>
      </c>
      <c r="E10" s="3" t="inlineStr">
        <is>
          <t>弱反弹</t>
        </is>
      </c>
    </row>
    <row r="11">
      <c r="D11" s="3" t="inlineStr">
        <is>
          <t>低位反弹</t>
        </is>
      </c>
      <c r="E11" s="3" t="inlineStr">
        <is>
          <t>震荡整理</t>
        </is>
      </c>
    </row>
    <row r="12">
      <c r="D12" s="3" t="inlineStr">
        <is>
          <t>横盘震荡</t>
        </is>
      </c>
      <c r="E12" s="3" t="inlineStr">
        <is>
          <t>无法判断</t>
        </is>
      </c>
    </row>
    <row r="13">
      <c r="D13" s="3" t="inlineStr">
        <is>
          <t>无明显现象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2026-07-09T03:28:53Z</dcterms:created>
  <dcterms:modified xsi:type="dcterms:W3CDTF">2026-07-09T03:29:16Z</dcterms:modified>
</cp:coreProperties>
</file>