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板块观察" sheetId="2" state="visible" r:id="rId2"/>
    <sheet name="每日复盘" sheetId="3" state="visible" r:id="rId3"/>
    <sheet name="事后验证" sheetId="4" state="visible" r:id="rId4"/>
    <sheet name="模拟交易" sheetId="5" state="visible" r:id="rId5"/>
    <sheet name="汇总看板" sheetId="6" state="visible" r:id="rId6"/>
    <sheet name="选项" sheetId="7" state="hidden" r:id="rId7"/>
  </sheets>
  <definedNames>
    <definedName name="_xlnm._FilterDatabase" localSheetId="1" hidden="1">'板块观察'!$A$1:$U$1</definedName>
    <definedName name="_xlnm._FilterDatabase" localSheetId="2" hidden="1">'每日复盘'!$A$1:$AD$1</definedName>
    <definedName name="_xlnm._FilterDatabase" localSheetId="3" hidden="1">'事后验证'!$A$1:$N$1</definedName>
    <definedName name="_xlnm._FilterDatabase" localSheetId="4" hidden="1">'模拟交易'!$A$1:$Q$1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1F4E78"/>
      <sz val="16"/>
    </font>
    <font>
      <b val="1"/>
      <color rgb="00FFFFFF"/>
    </font>
    <font>
      <b val="1"/>
      <color rgb="001F4E78"/>
    </font>
    <font>
      <b val="1"/>
      <color rgb="0037562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0" borderId="0" pivotButton="0" quotePrefix="0" xfId="0"/>
    <xf numFmtId="0" fontId="5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绿色列 = 最小闭环必填项</t>
      </text>
    </comment>
    <comment ref="B1" authorId="0" shapeId="0">
      <text>
        <t>绿色列 = 最小闭环必填项</t>
      </text>
    </comment>
    <comment ref="C1" authorId="0" shapeId="0">
      <text>
        <t>绿色列 = 最小闭环必填项</t>
      </text>
    </comment>
    <comment ref="F1" authorId="0" shapeId="0">
      <text>
        <t>绿色列 = 最小闭环必填项</t>
      </text>
    </comment>
    <comment ref="H1" authorId="0" shapeId="0">
      <text>
        <t>绿色列 = 最小闭环必填项</t>
      </text>
    </comment>
    <comment ref="I1" authorId="0" shapeId="0">
      <text>
        <t>绿色列 = 最小闭环必填项</t>
      </text>
    </comment>
    <comment ref="J1" authorId="0" shapeId="0">
      <text>
        <t>绿色列 = 最小闭环必填项</t>
      </text>
    </comment>
    <comment ref="K1" authorId="0" shapeId="0">
      <text>
        <t>绿色列 = 最小闭环必填项</t>
      </text>
    </comment>
    <comment ref="L1" authorId="0" shapeId="0">
      <text>
        <t>绿色列 = 最小闭环必填项</t>
      </text>
    </comment>
    <comment ref="M1" authorId="0" shapeId="0">
      <text>
        <t>绿色列 = 最小闭环必填项</t>
      </text>
    </comment>
    <comment ref="O1" authorId="0" shapeId="0">
      <text>
        <t>绿色列 = 最小闭环必填项</t>
      </text>
    </comment>
    <comment ref="P1" authorId="0" shapeId="0">
      <text>
        <t>绿色列 = 最小闭环必填项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绿色列 = 最小闭环必填项</t>
      </text>
    </comment>
    <comment ref="B1" authorId="0" shapeId="0">
      <text>
        <t>绿色列 = 最小闭环必填项</t>
      </text>
    </comment>
    <comment ref="E1" authorId="0" shapeId="0">
      <text>
        <t>绿色列 = 最小闭环必填项</t>
      </text>
    </comment>
    <comment ref="G1" authorId="0" shapeId="0">
      <text>
        <t>绿色列 = 最小闭环必填项</t>
      </text>
    </comment>
    <comment ref="J1" authorId="0" shapeId="0">
      <text>
        <t>绿色列 = 最小闭环必填项</t>
      </text>
    </comment>
    <comment ref="K1" authorId="0" shapeId="0">
      <text>
        <t>绿色列 = 最小闭环必填项</t>
      </text>
    </comment>
    <comment ref="L1" authorId="0" shapeId="0">
      <text>
        <t>绿色列 = 最小闭环必填项</t>
      </text>
    </comment>
    <comment ref="M1" authorId="0" shapeId="0">
      <text>
        <t>绿色列 = 最小闭环必填项</t>
      </text>
    </comment>
    <comment ref="N1" authorId="0" shapeId="0">
      <text>
        <t>绿色列 = 最小闭环必填项</t>
      </text>
    </comment>
    <comment ref="R1" authorId="0" shapeId="0">
      <text>
        <t>绿色列 = 最小闭环必填项</t>
      </text>
    </comment>
    <comment ref="S1" authorId="0" shapeId="0">
      <text>
        <t>绿色列 = 最小闭环必填项</t>
      </text>
    </comment>
    <comment ref="T1" authorId="0" shapeId="0">
      <text>
        <t>绿色列 = 最小闭环必填项</t>
      </text>
    </comment>
    <comment ref="U1" authorId="0" shapeId="0">
      <text>
        <t>绿色列 = 最小闭环必填项</t>
      </text>
    </comment>
    <comment ref="V1" authorId="0" shapeId="0">
      <text>
        <t>绿色列 = 最小闭环必填项</t>
      </text>
    </comment>
    <comment ref="W1" authorId="0" shapeId="0">
      <text>
        <t>绿色列 = 最小闭环必填项</t>
      </text>
    </comment>
    <comment ref="X1" authorId="0" shapeId="0">
      <text>
        <t>绿色列 = 最小闭环必填项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绿色列 = 最小闭环必填项</t>
      </text>
    </comment>
    <comment ref="B1" authorId="0" shapeId="0">
      <text>
        <t>绿色列 = 最小闭环必填项</t>
      </text>
    </comment>
    <comment ref="F1" authorId="0" shapeId="0">
      <text>
        <t>绿色列 = 最小闭环必填项</t>
      </text>
    </comment>
    <comment ref="G1" authorId="0" shapeId="0">
      <text>
        <t>绿色列 = 最小闭环必填项</t>
      </text>
    </comment>
    <comment ref="H1" authorId="0" shapeId="0">
      <text>
        <t>绿色列 = 最小闭环必填项</t>
      </text>
    </comment>
    <comment ref="I1" authorId="0" shapeId="0">
      <text>
        <t>绿色列 = 最小闭环必填项</t>
      </text>
    </comment>
    <comment ref="J1" authorId="0" shapeId="0">
      <text>
        <t>绿色列 = 最小闭环必填项</t>
      </text>
    </comment>
    <comment ref="K1" authorId="0" shapeId="0">
      <text>
        <t>绿色列 = 最小闭环必填项</t>
      </text>
    </comment>
    <comment ref="L1" authorId="0" shapeId="0">
      <text>
        <t>绿色列 = 最小闭环必填项</t>
      </text>
    </comment>
    <comment ref="M1" authorId="0" shapeId="0">
      <text>
        <t>绿色列 = 最小闭环必填项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股票复盘训练模板</t>
        </is>
      </c>
      <c r="B1" s="2" t="n"/>
    </row>
    <row r="2">
      <c r="A2" s="2" t="inlineStr">
        <is>
          <t>使用流程</t>
        </is>
      </c>
      <c r="B2" s="2" t="inlineStr">
        <is>
          <t>先在“板块观察”记录大盘和3个候选强板块；再在“每日复盘”填写个股，并用板块记录ID联动板块评分和阶段；到期后补“事后验证”；触发模拟买卖时补“模拟交易”。</t>
        </is>
      </c>
    </row>
    <row r="3">
      <c r="A3" s="2" t="inlineStr">
        <is>
          <t>核心原则</t>
        </is>
      </c>
      <c r="B3" s="2" t="inlineStr">
        <is>
          <t>模板不替你判断强弱和趋势，只帮你把大盘、板块、个股串起来，并自动计算完整度、板块综合分、验证日期和交易收益。</t>
        </is>
      </c>
    </row>
    <row r="4">
      <c r="A4" s="2" t="inlineStr">
        <is>
          <t>建议频率</t>
        </is>
      </c>
      <c r="B4" s="2" t="inlineStr">
        <is>
          <t>每天 3 个板块，每个板块 1-2 只股票；先坚持低负担记录，再逐步提高判断质量。</t>
        </is>
      </c>
    </row>
    <row r="5">
      <c r="A5" s="2" t="inlineStr">
        <is>
          <t>板块评分</t>
        </is>
      </c>
      <c r="B5" s="2" t="inlineStr">
        <is>
          <t>相对大盘、近3/5日持续、内部扩散、领涨股、回调抗跌各填0-2分；7分以上重点观察，5-6分候选，4分以下降级观察。</t>
        </is>
      </c>
    </row>
    <row r="7">
      <c r="A7" s="11" t="inlineStr">
        <is>
          <t>最小闭环标识</t>
        </is>
      </c>
      <c r="B7" s="12" t="inlineStr">
        <is>
          <t>绿色列为每天最低必填项。只要完成“板块观察”绿色列 + “每日复盘”绿色列，就算当天最低训练完成。</t>
        </is>
      </c>
    </row>
    <row r="8">
      <c r="A8" s="11" t="inlineStr">
        <is>
          <t>到期验证规则</t>
        </is>
      </c>
      <c r="B8" s="12" t="inlineStr">
        <is>
          <t>3日/5日/10日验证到期时，再补“事后验证”绿色列；没有到期记录时当天不用补。</t>
        </is>
      </c>
    </row>
    <row r="9">
      <c r="A9" s="11" t="inlineStr">
        <is>
          <t>建议负荷</t>
        </is>
      </c>
      <c r="B9" s="12" t="inlineStr">
        <is>
          <t>前2周每天填3个板块、1只重点股票；先保证闭环，不追求数量。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U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8" customWidth="1" min="16" max="16"/>
    <col width="28" customWidth="1" min="17" max="17"/>
    <col width="28" customWidth="1" min="18" max="18"/>
    <col width="24" customWidth="1" min="19" max="19"/>
    <col width="12" customWidth="1" min="20" max="20"/>
    <col width="24" customWidth="1" min="21" max="21"/>
  </cols>
  <sheetData>
    <row r="1">
      <c r="A1" s="13" t="inlineStr">
        <is>
          <t>记录ID</t>
        </is>
      </c>
      <c r="B1" s="13" t="inlineStr">
        <is>
          <t>日期</t>
        </is>
      </c>
      <c r="C1" s="13" t="inlineStr">
        <is>
          <t>大盘状态</t>
        </is>
      </c>
      <c r="D1" s="3" t="inlineStr">
        <is>
          <t>大盘涨跌%</t>
        </is>
      </c>
      <c r="E1" s="3" t="inlineStr">
        <is>
          <t>市场量能</t>
        </is>
      </c>
      <c r="F1" s="13" t="inlineStr">
        <is>
          <t>板块名称</t>
        </is>
      </c>
      <c r="G1" s="3" t="inlineStr">
        <is>
          <t>板块类型</t>
        </is>
      </c>
      <c r="H1" s="13" t="inlineStr">
        <is>
          <t>板块今日涨跌%</t>
        </is>
      </c>
      <c r="I1" s="13" t="inlineStr">
        <is>
          <t>相对大盘评分</t>
        </is>
      </c>
      <c r="J1" s="13" t="inlineStr">
        <is>
          <t>近3/5日持续评分</t>
        </is>
      </c>
      <c r="K1" s="13" t="inlineStr">
        <is>
          <t>内部扩散评分</t>
        </is>
      </c>
      <c r="L1" s="13" t="inlineStr">
        <is>
          <t>领涨股评分</t>
        </is>
      </c>
      <c r="M1" s="13" t="inlineStr">
        <is>
          <t>回调抗跌评分</t>
        </is>
      </c>
      <c r="N1" s="3" t="inlineStr">
        <is>
          <t>综合分</t>
        </is>
      </c>
      <c r="O1" s="13" t="inlineStr">
        <is>
          <t>板块阶段</t>
        </is>
      </c>
      <c r="P1" s="13" t="inlineStr">
        <is>
          <t>领涨股</t>
        </is>
      </c>
      <c r="Q1" s="3" t="inlineStr">
        <is>
          <t>健康回调股</t>
        </is>
      </c>
      <c r="R1" s="3" t="inlineStr">
        <is>
          <t>补涨股</t>
        </is>
      </c>
      <c r="S1" s="3" t="inlineStr">
        <is>
          <t>观察结论</t>
        </is>
      </c>
      <c r="T1" s="3" t="inlineStr">
        <is>
          <t>完整度</t>
        </is>
      </c>
      <c r="U1" s="3" t="inlineStr">
        <is>
          <t>备注</t>
        </is>
      </c>
    </row>
    <row r="2">
      <c r="A2" s="12" t="n"/>
      <c r="B2" s="12" t="n"/>
      <c r="C2" s="12" t="n"/>
      <c r="D2" s="4" t="n"/>
      <c r="E2" s="2" t="n"/>
      <c r="F2" s="12" t="n"/>
      <c r="G2" s="2" t="n"/>
      <c r="H2" s="14" t="n"/>
      <c r="I2" s="12" t="n"/>
      <c r="J2" s="12" t="n"/>
      <c r="K2" s="12" t="n"/>
      <c r="L2" s="12" t="n"/>
      <c r="M2" s="12" t="n"/>
      <c r="N2" s="2">
        <f>IF(A2="","",SUM(I2:M2))</f>
        <v/>
      </c>
      <c r="O2" s="12" t="n"/>
      <c r="P2" s="12" t="n"/>
      <c r="Q2" s="2" t="n"/>
      <c r="R2" s="2" t="n"/>
      <c r="S2" s="2" t="n"/>
      <c r="T2" s="5">
        <f>IF(A2="","",(COUNTA(A2:M2)+COUNTA(O2:S2))/18)</f>
        <v/>
      </c>
      <c r="U2" s="2" t="n"/>
    </row>
    <row r="3">
      <c r="A3" s="12" t="n"/>
      <c r="B3" s="12" t="n"/>
      <c r="C3" s="12" t="n"/>
      <c r="D3" s="4" t="n"/>
      <c r="E3" s="2" t="n"/>
      <c r="F3" s="12" t="n"/>
      <c r="G3" s="2" t="n"/>
      <c r="H3" s="14" t="n"/>
      <c r="I3" s="12" t="n"/>
      <c r="J3" s="12" t="n"/>
      <c r="K3" s="12" t="n"/>
      <c r="L3" s="12" t="n"/>
      <c r="M3" s="12" t="n"/>
      <c r="N3" s="2">
        <f>IF(A3="","",SUM(I3:M3))</f>
        <v/>
      </c>
      <c r="O3" s="12" t="n"/>
      <c r="P3" s="12" t="n"/>
      <c r="Q3" s="2" t="n"/>
      <c r="R3" s="2" t="n"/>
      <c r="S3" s="2" t="n"/>
      <c r="T3" s="5">
        <f>IF(A3="","",(COUNTA(A3:M3)+COUNTA(O3:S3))/18)</f>
        <v/>
      </c>
      <c r="U3" s="2" t="n"/>
    </row>
    <row r="4">
      <c r="A4" s="12" t="n"/>
      <c r="B4" s="12" t="n"/>
      <c r="C4" s="12" t="n"/>
      <c r="D4" s="4" t="n"/>
      <c r="E4" s="2" t="n"/>
      <c r="F4" s="12" t="n"/>
      <c r="G4" s="2" t="n"/>
      <c r="H4" s="14" t="n"/>
      <c r="I4" s="12" t="n"/>
      <c r="J4" s="12" t="n"/>
      <c r="K4" s="12" t="n"/>
      <c r="L4" s="12" t="n"/>
      <c r="M4" s="12" t="n"/>
      <c r="N4" s="2">
        <f>IF(A4="","",SUM(I4:M4))</f>
        <v/>
      </c>
      <c r="O4" s="12" t="n"/>
      <c r="P4" s="12" t="n"/>
      <c r="Q4" s="2" t="n"/>
      <c r="R4" s="2" t="n"/>
      <c r="S4" s="2" t="n"/>
      <c r="T4" s="5">
        <f>IF(A4="","",(COUNTA(A4:M4)+COUNTA(O4:S4))/18)</f>
        <v/>
      </c>
      <c r="U4" s="2" t="n"/>
    </row>
    <row r="5">
      <c r="A5" s="12" t="n"/>
      <c r="B5" s="12" t="n"/>
      <c r="C5" s="12" t="n"/>
      <c r="D5" s="4" t="n"/>
      <c r="E5" s="2" t="n"/>
      <c r="F5" s="12" t="n"/>
      <c r="G5" s="2" t="n"/>
      <c r="H5" s="14" t="n"/>
      <c r="I5" s="12" t="n"/>
      <c r="J5" s="12" t="n"/>
      <c r="K5" s="12" t="n"/>
      <c r="L5" s="12" t="n"/>
      <c r="M5" s="12" t="n"/>
      <c r="N5" s="2">
        <f>IF(A5="","",SUM(I5:M5))</f>
        <v/>
      </c>
      <c r="O5" s="12" t="n"/>
      <c r="P5" s="12" t="n"/>
      <c r="Q5" s="2" t="n"/>
      <c r="R5" s="2" t="n"/>
      <c r="S5" s="2" t="n"/>
      <c r="T5" s="5">
        <f>IF(A5="","",(COUNTA(A5:M5)+COUNTA(O5:S5))/18)</f>
        <v/>
      </c>
      <c r="U5" s="2" t="n"/>
    </row>
    <row r="6">
      <c r="A6" s="12" t="n"/>
      <c r="B6" s="12" t="n"/>
      <c r="C6" s="12" t="n"/>
      <c r="D6" s="4" t="n"/>
      <c r="E6" s="2" t="n"/>
      <c r="F6" s="12" t="n"/>
      <c r="G6" s="2" t="n"/>
      <c r="H6" s="14" t="n"/>
      <c r="I6" s="12" t="n"/>
      <c r="J6" s="12" t="n"/>
      <c r="K6" s="12" t="n"/>
      <c r="L6" s="12" t="n"/>
      <c r="M6" s="12" t="n"/>
      <c r="N6" s="2">
        <f>IF(A6="","",SUM(I6:M6))</f>
        <v/>
      </c>
      <c r="O6" s="12" t="n"/>
      <c r="P6" s="12" t="n"/>
      <c r="Q6" s="2" t="n"/>
      <c r="R6" s="2" t="n"/>
      <c r="S6" s="2" t="n"/>
      <c r="T6" s="5">
        <f>IF(A6="","",(COUNTA(A6:M6)+COUNTA(O6:S6))/18)</f>
        <v/>
      </c>
      <c r="U6" s="2" t="n"/>
    </row>
    <row r="7">
      <c r="A7" s="12" t="n"/>
      <c r="B7" s="12" t="n"/>
      <c r="C7" s="12" t="n"/>
      <c r="D7" s="4" t="n"/>
      <c r="E7" s="2" t="n"/>
      <c r="F7" s="12" t="n"/>
      <c r="G7" s="2" t="n"/>
      <c r="H7" s="14" t="n"/>
      <c r="I7" s="12" t="n"/>
      <c r="J7" s="12" t="n"/>
      <c r="K7" s="12" t="n"/>
      <c r="L7" s="12" t="n"/>
      <c r="M7" s="12" t="n"/>
      <c r="N7" s="2">
        <f>IF(A7="","",SUM(I7:M7))</f>
        <v/>
      </c>
      <c r="O7" s="12" t="n"/>
      <c r="P7" s="12" t="n"/>
      <c r="Q7" s="2" t="n"/>
      <c r="R7" s="2" t="n"/>
      <c r="S7" s="2" t="n"/>
      <c r="T7" s="5">
        <f>IF(A7="","",(COUNTA(A7:M7)+COUNTA(O7:S7))/18)</f>
        <v/>
      </c>
      <c r="U7" s="2" t="n"/>
    </row>
    <row r="8">
      <c r="A8" s="12" t="n"/>
      <c r="B8" s="12" t="n"/>
      <c r="C8" s="12" t="n"/>
      <c r="D8" s="4" t="n"/>
      <c r="E8" s="2" t="n"/>
      <c r="F8" s="12" t="n"/>
      <c r="G8" s="2" t="n"/>
      <c r="H8" s="14" t="n"/>
      <c r="I8" s="12" t="n"/>
      <c r="J8" s="12" t="n"/>
      <c r="K8" s="12" t="n"/>
      <c r="L8" s="12" t="n"/>
      <c r="M8" s="12" t="n"/>
      <c r="N8" s="2">
        <f>IF(A8="","",SUM(I8:M8))</f>
        <v/>
      </c>
      <c r="O8" s="12" t="n"/>
      <c r="P8" s="12" t="n"/>
      <c r="Q8" s="2" t="n"/>
      <c r="R8" s="2" t="n"/>
      <c r="S8" s="2" t="n"/>
      <c r="T8" s="5">
        <f>IF(A8="","",(COUNTA(A8:M8)+COUNTA(O8:S8))/18)</f>
        <v/>
      </c>
      <c r="U8" s="2" t="n"/>
    </row>
    <row r="9">
      <c r="A9" s="12" t="n"/>
      <c r="B9" s="12" t="n"/>
      <c r="C9" s="12" t="n"/>
      <c r="D9" s="4" t="n"/>
      <c r="E9" s="2" t="n"/>
      <c r="F9" s="12" t="n"/>
      <c r="G9" s="2" t="n"/>
      <c r="H9" s="14" t="n"/>
      <c r="I9" s="12" t="n"/>
      <c r="J9" s="12" t="n"/>
      <c r="K9" s="12" t="n"/>
      <c r="L9" s="12" t="n"/>
      <c r="M9" s="12" t="n"/>
      <c r="N9" s="2">
        <f>IF(A9="","",SUM(I9:M9))</f>
        <v/>
      </c>
      <c r="O9" s="12" t="n"/>
      <c r="P9" s="12" t="n"/>
      <c r="Q9" s="2" t="n"/>
      <c r="R9" s="2" t="n"/>
      <c r="S9" s="2" t="n"/>
      <c r="T9" s="5">
        <f>IF(A9="","",(COUNTA(A9:M9)+COUNTA(O9:S9))/18)</f>
        <v/>
      </c>
      <c r="U9" s="2" t="n"/>
    </row>
    <row r="10">
      <c r="A10" s="12" t="n"/>
      <c r="B10" s="12" t="n"/>
      <c r="C10" s="12" t="n"/>
      <c r="D10" s="4" t="n"/>
      <c r="E10" s="2" t="n"/>
      <c r="F10" s="12" t="n"/>
      <c r="G10" s="2" t="n"/>
      <c r="H10" s="14" t="n"/>
      <c r="I10" s="12" t="n"/>
      <c r="J10" s="12" t="n"/>
      <c r="K10" s="12" t="n"/>
      <c r="L10" s="12" t="n"/>
      <c r="M10" s="12" t="n"/>
      <c r="N10" s="2">
        <f>IF(A10="","",SUM(I10:M10))</f>
        <v/>
      </c>
      <c r="O10" s="12" t="n"/>
      <c r="P10" s="12" t="n"/>
      <c r="Q10" s="2" t="n"/>
      <c r="R10" s="2" t="n"/>
      <c r="S10" s="2" t="n"/>
      <c r="T10" s="5">
        <f>IF(A10="","",(COUNTA(A10:M10)+COUNTA(O10:S10))/18)</f>
        <v/>
      </c>
      <c r="U10" s="2" t="n"/>
    </row>
    <row r="11">
      <c r="A11" s="12" t="n"/>
      <c r="B11" s="12" t="n"/>
      <c r="C11" s="12" t="n"/>
      <c r="D11" s="4" t="n"/>
      <c r="E11" s="2" t="n"/>
      <c r="F11" s="12" t="n"/>
      <c r="G11" s="2" t="n"/>
      <c r="H11" s="14" t="n"/>
      <c r="I11" s="12" t="n"/>
      <c r="J11" s="12" t="n"/>
      <c r="K11" s="12" t="n"/>
      <c r="L11" s="12" t="n"/>
      <c r="M11" s="12" t="n"/>
      <c r="N11" s="2">
        <f>IF(A11="","",SUM(I11:M11))</f>
        <v/>
      </c>
      <c r="O11" s="12" t="n"/>
      <c r="P11" s="12" t="n"/>
      <c r="Q11" s="2" t="n"/>
      <c r="R11" s="2" t="n"/>
      <c r="S11" s="2" t="n"/>
      <c r="T11" s="5">
        <f>IF(A11="","",(COUNTA(A11:M11)+COUNTA(O11:S11))/18)</f>
        <v/>
      </c>
      <c r="U11" s="2" t="n"/>
    </row>
    <row r="12">
      <c r="A12" s="12" t="n"/>
      <c r="B12" s="12" t="n"/>
      <c r="C12" s="12" t="n"/>
      <c r="D12" s="4" t="n"/>
      <c r="E12" s="2" t="n"/>
      <c r="F12" s="12" t="n"/>
      <c r="G12" s="2" t="n"/>
      <c r="H12" s="14" t="n"/>
      <c r="I12" s="12" t="n"/>
      <c r="J12" s="12" t="n"/>
      <c r="K12" s="12" t="n"/>
      <c r="L12" s="12" t="n"/>
      <c r="M12" s="12" t="n"/>
      <c r="N12" s="2">
        <f>IF(A12="","",SUM(I12:M12))</f>
        <v/>
      </c>
      <c r="O12" s="12" t="n"/>
      <c r="P12" s="12" t="n"/>
      <c r="Q12" s="2" t="n"/>
      <c r="R12" s="2" t="n"/>
      <c r="S12" s="2" t="n"/>
      <c r="T12" s="5">
        <f>IF(A12="","",(COUNTA(A12:M12)+COUNTA(O12:S12))/18)</f>
        <v/>
      </c>
      <c r="U12" s="2" t="n"/>
    </row>
    <row r="13">
      <c r="A13" s="12" t="n"/>
      <c r="B13" s="12" t="n"/>
      <c r="C13" s="12" t="n"/>
      <c r="D13" s="4" t="n"/>
      <c r="E13" s="2" t="n"/>
      <c r="F13" s="12" t="n"/>
      <c r="G13" s="2" t="n"/>
      <c r="H13" s="14" t="n"/>
      <c r="I13" s="12" t="n"/>
      <c r="J13" s="12" t="n"/>
      <c r="K13" s="12" t="n"/>
      <c r="L13" s="12" t="n"/>
      <c r="M13" s="12" t="n"/>
      <c r="N13" s="2">
        <f>IF(A13="","",SUM(I13:M13))</f>
        <v/>
      </c>
      <c r="O13" s="12" t="n"/>
      <c r="P13" s="12" t="n"/>
      <c r="Q13" s="2" t="n"/>
      <c r="R13" s="2" t="n"/>
      <c r="S13" s="2" t="n"/>
      <c r="T13" s="5">
        <f>IF(A13="","",(COUNTA(A13:M13)+COUNTA(O13:S13))/18)</f>
        <v/>
      </c>
      <c r="U13" s="2" t="n"/>
    </row>
    <row r="14">
      <c r="A14" s="12" t="n"/>
      <c r="B14" s="12" t="n"/>
      <c r="C14" s="12" t="n"/>
      <c r="D14" s="4" t="n"/>
      <c r="E14" s="2" t="n"/>
      <c r="F14" s="12" t="n"/>
      <c r="G14" s="2" t="n"/>
      <c r="H14" s="14" t="n"/>
      <c r="I14" s="12" t="n"/>
      <c r="J14" s="12" t="n"/>
      <c r="K14" s="12" t="n"/>
      <c r="L14" s="12" t="n"/>
      <c r="M14" s="12" t="n"/>
      <c r="N14" s="2">
        <f>IF(A14="","",SUM(I14:M14))</f>
        <v/>
      </c>
      <c r="O14" s="12" t="n"/>
      <c r="P14" s="12" t="n"/>
      <c r="Q14" s="2" t="n"/>
      <c r="R14" s="2" t="n"/>
      <c r="S14" s="2" t="n"/>
      <c r="T14" s="5">
        <f>IF(A14="","",(COUNTA(A14:M14)+COUNTA(O14:S14))/18)</f>
        <v/>
      </c>
      <c r="U14" s="2" t="n"/>
    </row>
    <row r="15">
      <c r="A15" s="12" t="n"/>
      <c r="B15" s="12" t="n"/>
      <c r="C15" s="12" t="n"/>
      <c r="D15" s="4" t="n"/>
      <c r="E15" s="2" t="n"/>
      <c r="F15" s="12" t="n"/>
      <c r="G15" s="2" t="n"/>
      <c r="H15" s="14" t="n"/>
      <c r="I15" s="12" t="n"/>
      <c r="J15" s="12" t="n"/>
      <c r="K15" s="12" t="n"/>
      <c r="L15" s="12" t="n"/>
      <c r="M15" s="12" t="n"/>
      <c r="N15" s="2">
        <f>IF(A15="","",SUM(I15:M15))</f>
        <v/>
      </c>
      <c r="O15" s="12" t="n"/>
      <c r="P15" s="12" t="n"/>
      <c r="Q15" s="2" t="n"/>
      <c r="R15" s="2" t="n"/>
      <c r="S15" s="2" t="n"/>
      <c r="T15" s="5">
        <f>IF(A15="","",(COUNTA(A15:M15)+COUNTA(O15:S15))/18)</f>
        <v/>
      </c>
      <c r="U15" s="2" t="n"/>
    </row>
    <row r="16">
      <c r="A16" s="12" t="n"/>
      <c r="B16" s="12" t="n"/>
      <c r="C16" s="12" t="n"/>
      <c r="D16" s="4" t="n"/>
      <c r="E16" s="2" t="n"/>
      <c r="F16" s="12" t="n"/>
      <c r="G16" s="2" t="n"/>
      <c r="H16" s="14" t="n"/>
      <c r="I16" s="12" t="n"/>
      <c r="J16" s="12" t="n"/>
      <c r="K16" s="12" t="n"/>
      <c r="L16" s="12" t="n"/>
      <c r="M16" s="12" t="n"/>
      <c r="N16" s="2">
        <f>IF(A16="","",SUM(I16:M16))</f>
        <v/>
      </c>
      <c r="O16" s="12" t="n"/>
      <c r="P16" s="12" t="n"/>
      <c r="Q16" s="2" t="n"/>
      <c r="R16" s="2" t="n"/>
      <c r="S16" s="2" t="n"/>
      <c r="T16" s="5">
        <f>IF(A16="","",(COUNTA(A16:M16)+COUNTA(O16:S16))/18)</f>
        <v/>
      </c>
      <c r="U16" s="2" t="n"/>
    </row>
    <row r="17">
      <c r="A17" s="12" t="n"/>
      <c r="B17" s="12" t="n"/>
      <c r="C17" s="12" t="n"/>
      <c r="D17" s="4" t="n"/>
      <c r="E17" s="2" t="n"/>
      <c r="F17" s="12" t="n"/>
      <c r="G17" s="2" t="n"/>
      <c r="H17" s="14" t="n"/>
      <c r="I17" s="12" t="n"/>
      <c r="J17" s="12" t="n"/>
      <c r="K17" s="12" t="n"/>
      <c r="L17" s="12" t="n"/>
      <c r="M17" s="12" t="n"/>
      <c r="N17" s="2">
        <f>IF(A17="","",SUM(I17:M17))</f>
        <v/>
      </c>
      <c r="O17" s="12" t="n"/>
      <c r="P17" s="12" t="n"/>
      <c r="Q17" s="2" t="n"/>
      <c r="R17" s="2" t="n"/>
      <c r="S17" s="2" t="n"/>
      <c r="T17" s="5">
        <f>IF(A17="","",(COUNTA(A17:M17)+COUNTA(O17:S17))/18)</f>
        <v/>
      </c>
      <c r="U17" s="2" t="n"/>
    </row>
    <row r="18">
      <c r="A18" s="12" t="n"/>
      <c r="B18" s="12" t="n"/>
      <c r="C18" s="12" t="n"/>
      <c r="D18" s="4" t="n"/>
      <c r="E18" s="2" t="n"/>
      <c r="F18" s="12" t="n"/>
      <c r="G18" s="2" t="n"/>
      <c r="H18" s="14" t="n"/>
      <c r="I18" s="12" t="n"/>
      <c r="J18" s="12" t="n"/>
      <c r="K18" s="12" t="n"/>
      <c r="L18" s="12" t="n"/>
      <c r="M18" s="12" t="n"/>
      <c r="N18" s="2">
        <f>IF(A18="","",SUM(I18:M18))</f>
        <v/>
      </c>
      <c r="O18" s="12" t="n"/>
      <c r="P18" s="12" t="n"/>
      <c r="Q18" s="2" t="n"/>
      <c r="R18" s="2" t="n"/>
      <c r="S18" s="2" t="n"/>
      <c r="T18" s="5">
        <f>IF(A18="","",(COUNTA(A18:M18)+COUNTA(O18:S18))/18)</f>
        <v/>
      </c>
      <c r="U18" s="2" t="n"/>
    </row>
    <row r="19">
      <c r="A19" s="12" t="n"/>
      <c r="B19" s="12" t="n"/>
      <c r="C19" s="12" t="n"/>
      <c r="D19" s="4" t="n"/>
      <c r="E19" s="2" t="n"/>
      <c r="F19" s="12" t="n"/>
      <c r="G19" s="2" t="n"/>
      <c r="H19" s="14" t="n"/>
      <c r="I19" s="12" t="n"/>
      <c r="J19" s="12" t="n"/>
      <c r="K19" s="12" t="n"/>
      <c r="L19" s="12" t="n"/>
      <c r="M19" s="12" t="n"/>
      <c r="N19" s="2">
        <f>IF(A19="","",SUM(I19:M19))</f>
        <v/>
      </c>
      <c r="O19" s="12" t="n"/>
      <c r="P19" s="12" t="n"/>
      <c r="Q19" s="2" t="n"/>
      <c r="R19" s="2" t="n"/>
      <c r="S19" s="2" t="n"/>
      <c r="T19" s="5">
        <f>IF(A19="","",(COUNTA(A19:M19)+COUNTA(O19:S19))/18)</f>
        <v/>
      </c>
      <c r="U19" s="2" t="n"/>
    </row>
    <row r="20">
      <c r="A20" s="12" t="n"/>
      <c r="B20" s="12" t="n"/>
      <c r="C20" s="12" t="n"/>
      <c r="D20" s="4" t="n"/>
      <c r="E20" s="2" t="n"/>
      <c r="F20" s="12" t="n"/>
      <c r="G20" s="2" t="n"/>
      <c r="H20" s="14" t="n"/>
      <c r="I20" s="12" t="n"/>
      <c r="J20" s="12" t="n"/>
      <c r="K20" s="12" t="n"/>
      <c r="L20" s="12" t="n"/>
      <c r="M20" s="12" t="n"/>
      <c r="N20" s="2">
        <f>IF(A20="","",SUM(I20:M20))</f>
        <v/>
      </c>
      <c r="O20" s="12" t="n"/>
      <c r="P20" s="12" t="n"/>
      <c r="Q20" s="2" t="n"/>
      <c r="R20" s="2" t="n"/>
      <c r="S20" s="2" t="n"/>
      <c r="T20" s="5">
        <f>IF(A20="","",(COUNTA(A20:M20)+COUNTA(O20:S20))/18)</f>
        <v/>
      </c>
      <c r="U20" s="2" t="n"/>
    </row>
    <row r="21">
      <c r="A21" s="12" t="n"/>
      <c r="B21" s="12" t="n"/>
      <c r="C21" s="12" t="n"/>
      <c r="D21" s="4" t="n"/>
      <c r="E21" s="2" t="n"/>
      <c r="F21" s="12" t="n"/>
      <c r="G21" s="2" t="n"/>
      <c r="H21" s="14" t="n"/>
      <c r="I21" s="12" t="n"/>
      <c r="J21" s="12" t="n"/>
      <c r="K21" s="12" t="n"/>
      <c r="L21" s="12" t="n"/>
      <c r="M21" s="12" t="n"/>
      <c r="N21" s="2">
        <f>IF(A21="","",SUM(I21:M21))</f>
        <v/>
      </c>
      <c r="O21" s="12" t="n"/>
      <c r="P21" s="12" t="n"/>
      <c r="Q21" s="2" t="n"/>
      <c r="R21" s="2" t="n"/>
      <c r="S21" s="2" t="n"/>
      <c r="T21" s="5">
        <f>IF(A21="","",(COUNTA(A21:M21)+COUNTA(O21:S21))/18)</f>
        <v/>
      </c>
      <c r="U21" s="2" t="n"/>
    </row>
    <row r="22">
      <c r="A22" s="12" t="n"/>
      <c r="B22" s="12" t="n"/>
      <c r="C22" s="12" t="n"/>
      <c r="D22" s="4" t="n"/>
      <c r="E22" s="2" t="n"/>
      <c r="F22" s="12" t="n"/>
      <c r="G22" s="2" t="n"/>
      <c r="H22" s="14" t="n"/>
      <c r="I22" s="12" t="n"/>
      <c r="J22" s="12" t="n"/>
      <c r="K22" s="12" t="n"/>
      <c r="L22" s="12" t="n"/>
      <c r="M22" s="12" t="n"/>
      <c r="N22" s="2">
        <f>IF(A22="","",SUM(I22:M22))</f>
        <v/>
      </c>
      <c r="O22" s="12" t="n"/>
      <c r="P22" s="12" t="n"/>
      <c r="Q22" s="2" t="n"/>
      <c r="R22" s="2" t="n"/>
      <c r="S22" s="2" t="n"/>
      <c r="T22" s="5">
        <f>IF(A22="","",(COUNTA(A22:M22)+COUNTA(O22:S22))/18)</f>
        <v/>
      </c>
      <c r="U22" s="2" t="n"/>
    </row>
    <row r="23">
      <c r="A23" s="12" t="n"/>
      <c r="B23" s="12" t="n"/>
      <c r="C23" s="12" t="n"/>
      <c r="D23" s="4" t="n"/>
      <c r="E23" s="2" t="n"/>
      <c r="F23" s="12" t="n"/>
      <c r="G23" s="2" t="n"/>
      <c r="H23" s="14" t="n"/>
      <c r="I23" s="12" t="n"/>
      <c r="J23" s="12" t="n"/>
      <c r="K23" s="12" t="n"/>
      <c r="L23" s="12" t="n"/>
      <c r="M23" s="12" t="n"/>
      <c r="N23" s="2">
        <f>IF(A23="","",SUM(I23:M23))</f>
        <v/>
      </c>
      <c r="O23" s="12" t="n"/>
      <c r="P23" s="12" t="n"/>
      <c r="Q23" s="2" t="n"/>
      <c r="R23" s="2" t="n"/>
      <c r="S23" s="2" t="n"/>
      <c r="T23" s="5">
        <f>IF(A23="","",(COUNTA(A23:M23)+COUNTA(O23:S23))/18)</f>
        <v/>
      </c>
      <c r="U23" s="2" t="n"/>
    </row>
    <row r="24">
      <c r="A24" s="12" t="n"/>
      <c r="B24" s="12" t="n"/>
      <c r="C24" s="12" t="n"/>
      <c r="D24" s="4" t="n"/>
      <c r="E24" s="2" t="n"/>
      <c r="F24" s="12" t="n"/>
      <c r="G24" s="2" t="n"/>
      <c r="H24" s="14" t="n"/>
      <c r="I24" s="12" t="n"/>
      <c r="J24" s="12" t="n"/>
      <c r="K24" s="12" t="n"/>
      <c r="L24" s="12" t="n"/>
      <c r="M24" s="12" t="n"/>
      <c r="N24" s="2">
        <f>IF(A24="","",SUM(I24:M24))</f>
        <v/>
      </c>
      <c r="O24" s="12" t="n"/>
      <c r="P24" s="12" t="n"/>
      <c r="Q24" s="2" t="n"/>
      <c r="R24" s="2" t="n"/>
      <c r="S24" s="2" t="n"/>
      <c r="T24" s="5">
        <f>IF(A24="","",(COUNTA(A24:M24)+COUNTA(O24:S24))/18)</f>
        <v/>
      </c>
      <c r="U24" s="2" t="n"/>
    </row>
    <row r="25">
      <c r="A25" s="12" t="n"/>
      <c r="B25" s="12" t="n"/>
      <c r="C25" s="12" t="n"/>
      <c r="D25" s="4" t="n"/>
      <c r="E25" s="2" t="n"/>
      <c r="F25" s="12" t="n"/>
      <c r="G25" s="2" t="n"/>
      <c r="H25" s="14" t="n"/>
      <c r="I25" s="12" t="n"/>
      <c r="J25" s="12" t="n"/>
      <c r="K25" s="12" t="n"/>
      <c r="L25" s="12" t="n"/>
      <c r="M25" s="12" t="n"/>
      <c r="N25" s="2">
        <f>IF(A25="","",SUM(I25:M25))</f>
        <v/>
      </c>
      <c r="O25" s="12" t="n"/>
      <c r="P25" s="12" t="n"/>
      <c r="Q25" s="2" t="n"/>
      <c r="R25" s="2" t="n"/>
      <c r="S25" s="2" t="n"/>
      <c r="T25" s="5">
        <f>IF(A25="","",(COUNTA(A25:M25)+COUNTA(O25:S25))/18)</f>
        <v/>
      </c>
      <c r="U25" s="2" t="n"/>
    </row>
    <row r="26">
      <c r="A26" s="12" t="n"/>
      <c r="B26" s="12" t="n"/>
      <c r="C26" s="12" t="n"/>
      <c r="D26" s="4" t="n"/>
      <c r="E26" s="2" t="n"/>
      <c r="F26" s="12" t="n"/>
      <c r="G26" s="2" t="n"/>
      <c r="H26" s="14" t="n"/>
      <c r="I26" s="12" t="n"/>
      <c r="J26" s="12" t="n"/>
      <c r="K26" s="12" t="n"/>
      <c r="L26" s="12" t="n"/>
      <c r="M26" s="12" t="n"/>
      <c r="N26" s="2">
        <f>IF(A26="","",SUM(I26:M26))</f>
        <v/>
      </c>
      <c r="O26" s="12" t="n"/>
      <c r="P26" s="12" t="n"/>
      <c r="Q26" s="2" t="n"/>
      <c r="R26" s="2" t="n"/>
      <c r="S26" s="2" t="n"/>
      <c r="T26" s="5">
        <f>IF(A26="","",(COUNTA(A26:M26)+COUNTA(O26:S26))/18)</f>
        <v/>
      </c>
      <c r="U26" s="2" t="n"/>
    </row>
    <row r="27">
      <c r="A27" s="12" t="n"/>
      <c r="B27" s="12" t="n"/>
      <c r="C27" s="12" t="n"/>
      <c r="D27" s="4" t="n"/>
      <c r="E27" s="2" t="n"/>
      <c r="F27" s="12" t="n"/>
      <c r="G27" s="2" t="n"/>
      <c r="H27" s="14" t="n"/>
      <c r="I27" s="12" t="n"/>
      <c r="J27" s="12" t="n"/>
      <c r="K27" s="12" t="n"/>
      <c r="L27" s="12" t="n"/>
      <c r="M27" s="12" t="n"/>
      <c r="N27" s="2">
        <f>IF(A27="","",SUM(I27:M27))</f>
        <v/>
      </c>
      <c r="O27" s="12" t="n"/>
      <c r="P27" s="12" t="n"/>
      <c r="Q27" s="2" t="n"/>
      <c r="R27" s="2" t="n"/>
      <c r="S27" s="2" t="n"/>
      <c r="T27" s="5">
        <f>IF(A27="","",(COUNTA(A27:M27)+COUNTA(O27:S27))/18)</f>
        <v/>
      </c>
      <c r="U27" s="2" t="n"/>
    </row>
    <row r="28">
      <c r="A28" s="12" t="n"/>
      <c r="B28" s="12" t="n"/>
      <c r="C28" s="12" t="n"/>
      <c r="D28" s="4" t="n"/>
      <c r="E28" s="2" t="n"/>
      <c r="F28" s="12" t="n"/>
      <c r="G28" s="2" t="n"/>
      <c r="H28" s="14" t="n"/>
      <c r="I28" s="12" t="n"/>
      <c r="J28" s="12" t="n"/>
      <c r="K28" s="12" t="n"/>
      <c r="L28" s="12" t="n"/>
      <c r="M28" s="12" t="n"/>
      <c r="N28" s="2">
        <f>IF(A28="","",SUM(I28:M28))</f>
        <v/>
      </c>
      <c r="O28" s="12" t="n"/>
      <c r="P28" s="12" t="n"/>
      <c r="Q28" s="2" t="n"/>
      <c r="R28" s="2" t="n"/>
      <c r="S28" s="2" t="n"/>
      <c r="T28" s="5">
        <f>IF(A28="","",(COUNTA(A28:M28)+COUNTA(O28:S28))/18)</f>
        <v/>
      </c>
      <c r="U28" s="2" t="n"/>
    </row>
    <row r="29">
      <c r="A29" s="12" t="n"/>
      <c r="B29" s="12" t="n"/>
      <c r="C29" s="12" t="n"/>
      <c r="D29" s="4" t="n"/>
      <c r="E29" s="2" t="n"/>
      <c r="F29" s="12" t="n"/>
      <c r="G29" s="2" t="n"/>
      <c r="H29" s="14" t="n"/>
      <c r="I29" s="12" t="n"/>
      <c r="J29" s="12" t="n"/>
      <c r="K29" s="12" t="n"/>
      <c r="L29" s="12" t="n"/>
      <c r="M29" s="12" t="n"/>
      <c r="N29" s="2">
        <f>IF(A29="","",SUM(I29:M29))</f>
        <v/>
      </c>
      <c r="O29" s="12" t="n"/>
      <c r="P29" s="12" t="n"/>
      <c r="Q29" s="2" t="n"/>
      <c r="R29" s="2" t="n"/>
      <c r="S29" s="2" t="n"/>
      <c r="T29" s="5">
        <f>IF(A29="","",(COUNTA(A29:M29)+COUNTA(O29:S29))/18)</f>
        <v/>
      </c>
      <c r="U29" s="2" t="n"/>
    </row>
    <row r="30">
      <c r="A30" s="12" t="n"/>
      <c r="B30" s="12" t="n"/>
      <c r="C30" s="12" t="n"/>
      <c r="D30" s="4" t="n"/>
      <c r="E30" s="2" t="n"/>
      <c r="F30" s="12" t="n"/>
      <c r="G30" s="2" t="n"/>
      <c r="H30" s="14" t="n"/>
      <c r="I30" s="12" t="n"/>
      <c r="J30" s="12" t="n"/>
      <c r="K30" s="12" t="n"/>
      <c r="L30" s="12" t="n"/>
      <c r="M30" s="12" t="n"/>
      <c r="N30" s="2">
        <f>IF(A30="","",SUM(I30:M30))</f>
        <v/>
      </c>
      <c r="O30" s="12" t="n"/>
      <c r="P30" s="12" t="n"/>
      <c r="Q30" s="2" t="n"/>
      <c r="R30" s="2" t="n"/>
      <c r="S30" s="2" t="n"/>
      <c r="T30" s="5">
        <f>IF(A30="","",(COUNTA(A30:M30)+COUNTA(O30:S30))/18)</f>
        <v/>
      </c>
      <c r="U30" s="2" t="n"/>
    </row>
    <row r="31">
      <c r="A31" s="12" t="n"/>
      <c r="B31" s="12" t="n"/>
      <c r="C31" s="12" t="n"/>
      <c r="D31" s="4" t="n"/>
      <c r="E31" s="2" t="n"/>
      <c r="F31" s="12" t="n"/>
      <c r="G31" s="2" t="n"/>
      <c r="H31" s="14" t="n"/>
      <c r="I31" s="12" t="n"/>
      <c r="J31" s="12" t="n"/>
      <c r="K31" s="12" t="n"/>
      <c r="L31" s="12" t="n"/>
      <c r="M31" s="12" t="n"/>
      <c r="N31" s="2">
        <f>IF(A31="","",SUM(I31:M31))</f>
        <v/>
      </c>
      <c r="O31" s="12" t="n"/>
      <c r="P31" s="12" t="n"/>
      <c r="Q31" s="2" t="n"/>
      <c r="R31" s="2" t="n"/>
      <c r="S31" s="2" t="n"/>
      <c r="T31" s="5">
        <f>IF(A31="","",(COUNTA(A31:M31)+COUNTA(O31:S31))/18)</f>
        <v/>
      </c>
      <c r="U31" s="2" t="n"/>
    </row>
    <row r="32">
      <c r="A32" s="12" t="n"/>
      <c r="B32" s="12" t="n"/>
      <c r="C32" s="12" t="n"/>
      <c r="D32" s="4" t="n"/>
      <c r="E32" s="2" t="n"/>
      <c r="F32" s="12" t="n"/>
      <c r="G32" s="2" t="n"/>
      <c r="H32" s="14" t="n"/>
      <c r="I32" s="12" t="n"/>
      <c r="J32" s="12" t="n"/>
      <c r="K32" s="12" t="n"/>
      <c r="L32" s="12" t="n"/>
      <c r="M32" s="12" t="n"/>
      <c r="N32" s="2">
        <f>IF(A32="","",SUM(I32:M32))</f>
        <v/>
      </c>
      <c r="O32" s="12" t="n"/>
      <c r="P32" s="12" t="n"/>
      <c r="Q32" s="2" t="n"/>
      <c r="R32" s="2" t="n"/>
      <c r="S32" s="2" t="n"/>
      <c r="T32" s="5">
        <f>IF(A32="","",(COUNTA(A32:M32)+COUNTA(O32:S32))/18)</f>
        <v/>
      </c>
      <c r="U32" s="2" t="n"/>
    </row>
    <row r="33">
      <c r="A33" s="12" t="n"/>
      <c r="B33" s="12" t="n"/>
      <c r="C33" s="12" t="n"/>
      <c r="D33" s="4" t="n"/>
      <c r="E33" s="2" t="n"/>
      <c r="F33" s="12" t="n"/>
      <c r="G33" s="2" t="n"/>
      <c r="H33" s="14" t="n"/>
      <c r="I33" s="12" t="n"/>
      <c r="J33" s="12" t="n"/>
      <c r="K33" s="12" t="n"/>
      <c r="L33" s="12" t="n"/>
      <c r="M33" s="12" t="n"/>
      <c r="N33" s="2">
        <f>IF(A33="","",SUM(I33:M33))</f>
        <v/>
      </c>
      <c r="O33" s="12" t="n"/>
      <c r="P33" s="12" t="n"/>
      <c r="Q33" s="2" t="n"/>
      <c r="R33" s="2" t="n"/>
      <c r="S33" s="2" t="n"/>
      <c r="T33" s="5">
        <f>IF(A33="","",(COUNTA(A33:M33)+COUNTA(O33:S33))/18)</f>
        <v/>
      </c>
      <c r="U33" s="2" t="n"/>
    </row>
    <row r="34">
      <c r="A34" s="12" t="n"/>
      <c r="B34" s="12" t="n"/>
      <c r="C34" s="12" t="n"/>
      <c r="D34" s="4" t="n"/>
      <c r="E34" s="2" t="n"/>
      <c r="F34" s="12" t="n"/>
      <c r="G34" s="2" t="n"/>
      <c r="H34" s="14" t="n"/>
      <c r="I34" s="12" t="n"/>
      <c r="J34" s="12" t="n"/>
      <c r="K34" s="12" t="n"/>
      <c r="L34" s="12" t="n"/>
      <c r="M34" s="12" t="n"/>
      <c r="N34" s="2">
        <f>IF(A34="","",SUM(I34:M34))</f>
        <v/>
      </c>
      <c r="O34" s="12" t="n"/>
      <c r="P34" s="12" t="n"/>
      <c r="Q34" s="2" t="n"/>
      <c r="R34" s="2" t="n"/>
      <c r="S34" s="2" t="n"/>
      <c r="T34" s="5">
        <f>IF(A34="","",(COUNTA(A34:M34)+COUNTA(O34:S34))/18)</f>
        <v/>
      </c>
      <c r="U34" s="2" t="n"/>
    </row>
    <row r="35">
      <c r="A35" s="12" t="n"/>
      <c r="B35" s="12" t="n"/>
      <c r="C35" s="12" t="n"/>
      <c r="D35" s="4" t="n"/>
      <c r="E35" s="2" t="n"/>
      <c r="F35" s="12" t="n"/>
      <c r="G35" s="2" t="n"/>
      <c r="H35" s="14" t="n"/>
      <c r="I35" s="12" t="n"/>
      <c r="J35" s="12" t="n"/>
      <c r="K35" s="12" t="n"/>
      <c r="L35" s="12" t="n"/>
      <c r="M35" s="12" t="n"/>
      <c r="N35" s="2">
        <f>IF(A35="","",SUM(I35:M35))</f>
        <v/>
      </c>
      <c r="O35" s="12" t="n"/>
      <c r="P35" s="12" t="n"/>
      <c r="Q35" s="2" t="n"/>
      <c r="R35" s="2" t="n"/>
      <c r="S35" s="2" t="n"/>
      <c r="T35" s="5">
        <f>IF(A35="","",(COUNTA(A35:M35)+COUNTA(O35:S35))/18)</f>
        <v/>
      </c>
      <c r="U35" s="2" t="n"/>
    </row>
    <row r="36">
      <c r="A36" s="12" t="n"/>
      <c r="B36" s="12" t="n"/>
      <c r="C36" s="12" t="n"/>
      <c r="D36" s="4" t="n"/>
      <c r="E36" s="2" t="n"/>
      <c r="F36" s="12" t="n"/>
      <c r="G36" s="2" t="n"/>
      <c r="H36" s="14" t="n"/>
      <c r="I36" s="12" t="n"/>
      <c r="J36" s="12" t="n"/>
      <c r="K36" s="12" t="n"/>
      <c r="L36" s="12" t="n"/>
      <c r="M36" s="12" t="n"/>
      <c r="N36" s="2">
        <f>IF(A36="","",SUM(I36:M36))</f>
        <v/>
      </c>
      <c r="O36" s="12" t="n"/>
      <c r="P36" s="12" t="n"/>
      <c r="Q36" s="2" t="n"/>
      <c r="R36" s="2" t="n"/>
      <c r="S36" s="2" t="n"/>
      <c r="T36" s="5">
        <f>IF(A36="","",(COUNTA(A36:M36)+COUNTA(O36:S36))/18)</f>
        <v/>
      </c>
      <c r="U36" s="2" t="n"/>
    </row>
    <row r="37">
      <c r="A37" s="12" t="n"/>
      <c r="B37" s="12" t="n"/>
      <c r="C37" s="12" t="n"/>
      <c r="D37" s="4" t="n"/>
      <c r="E37" s="2" t="n"/>
      <c r="F37" s="12" t="n"/>
      <c r="G37" s="2" t="n"/>
      <c r="H37" s="14" t="n"/>
      <c r="I37" s="12" t="n"/>
      <c r="J37" s="12" t="n"/>
      <c r="K37" s="12" t="n"/>
      <c r="L37" s="12" t="n"/>
      <c r="M37" s="12" t="n"/>
      <c r="N37" s="2">
        <f>IF(A37="","",SUM(I37:M37))</f>
        <v/>
      </c>
      <c r="O37" s="12" t="n"/>
      <c r="P37" s="12" t="n"/>
      <c r="Q37" s="2" t="n"/>
      <c r="R37" s="2" t="n"/>
      <c r="S37" s="2" t="n"/>
      <c r="T37" s="5">
        <f>IF(A37="","",(COUNTA(A37:M37)+COUNTA(O37:S37))/18)</f>
        <v/>
      </c>
      <c r="U37" s="2" t="n"/>
    </row>
    <row r="38">
      <c r="A38" s="12" t="n"/>
      <c r="B38" s="12" t="n"/>
      <c r="C38" s="12" t="n"/>
      <c r="D38" s="4" t="n"/>
      <c r="E38" s="2" t="n"/>
      <c r="F38" s="12" t="n"/>
      <c r="G38" s="2" t="n"/>
      <c r="H38" s="14" t="n"/>
      <c r="I38" s="12" t="n"/>
      <c r="J38" s="12" t="n"/>
      <c r="K38" s="12" t="n"/>
      <c r="L38" s="12" t="n"/>
      <c r="M38" s="12" t="n"/>
      <c r="N38" s="2">
        <f>IF(A38="","",SUM(I38:M38))</f>
        <v/>
      </c>
      <c r="O38" s="12" t="n"/>
      <c r="P38" s="12" t="n"/>
      <c r="Q38" s="2" t="n"/>
      <c r="R38" s="2" t="n"/>
      <c r="S38" s="2" t="n"/>
      <c r="T38" s="5">
        <f>IF(A38="","",(COUNTA(A38:M38)+COUNTA(O38:S38))/18)</f>
        <v/>
      </c>
      <c r="U38" s="2" t="n"/>
    </row>
    <row r="39">
      <c r="A39" s="12" t="n"/>
      <c r="B39" s="12" t="n"/>
      <c r="C39" s="12" t="n"/>
      <c r="D39" s="4" t="n"/>
      <c r="E39" s="2" t="n"/>
      <c r="F39" s="12" t="n"/>
      <c r="G39" s="2" t="n"/>
      <c r="H39" s="14" t="n"/>
      <c r="I39" s="12" t="n"/>
      <c r="J39" s="12" t="n"/>
      <c r="K39" s="12" t="n"/>
      <c r="L39" s="12" t="n"/>
      <c r="M39" s="12" t="n"/>
      <c r="N39" s="2">
        <f>IF(A39="","",SUM(I39:M39))</f>
        <v/>
      </c>
      <c r="O39" s="12" t="n"/>
      <c r="P39" s="12" t="n"/>
      <c r="Q39" s="2" t="n"/>
      <c r="R39" s="2" t="n"/>
      <c r="S39" s="2" t="n"/>
      <c r="T39" s="5">
        <f>IF(A39="","",(COUNTA(A39:M39)+COUNTA(O39:S39))/18)</f>
        <v/>
      </c>
      <c r="U39" s="2" t="n"/>
    </row>
    <row r="40">
      <c r="A40" s="12" t="n"/>
      <c r="B40" s="12" t="n"/>
      <c r="C40" s="12" t="n"/>
      <c r="D40" s="4" t="n"/>
      <c r="E40" s="2" t="n"/>
      <c r="F40" s="12" t="n"/>
      <c r="G40" s="2" t="n"/>
      <c r="H40" s="14" t="n"/>
      <c r="I40" s="12" t="n"/>
      <c r="J40" s="12" t="n"/>
      <c r="K40" s="12" t="n"/>
      <c r="L40" s="12" t="n"/>
      <c r="M40" s="12" t="n"/>
      <c r="N40" s="2">
        <f>IF(A40="","",SUM(I40:M40))</f>
        <v/>
      </c>
      <c r="O40" s="12" t="n"/>
      <c r="P40" s="12" t="n"/>
      <c r="Q40" s="2" t="n"/>
      <c r="R40" s="2" t="n"/>
      <c r="S40" s="2" t="n"/>
      <c r="T40" s="5">
        <f>IF(A40="","",(COUNTA(A40:M40)+COUNTA(O40:S40))/18)</f>
        <v/>
      </c>
      <c r="U40" s="2" t="n"/>
    </row>
    <row r="41">
      <c r="A41" s="12" t="n"/>
      <c r="B41" s="12" t="n"/>
      <c r="C41" s="12" t="n"/>
      <c r="D41" s="4" t="n"/>
      <c r="E41" s="2" t="n"/>
      <c r="F41" s="12" t="n"/>
      <c r="G41" s="2" t="n"/>
      <c r="H41" s="14" t="n"/>
      <c r="I41" s="12" t="n"/>
      <c r="J41" s="12" t="n"/>
      <c r="K41" s="12" t="n"/>
      <c r="L41" s="12" t="n"/>
      <c r="M41" s="12" t="n"/>
      <c r="N41" s="2">
        <f>IF(A41="","",SUM(I41:M41))</f>
        <v/>
      </c>
      <c r="O41" s="12" t="n"/>
      <c r="P41" s="12" t="n"/>
      <c r="Q41" s="2" t="n"/>
      <c r="R41" s="2" t="n"/>
      <c r="S41" s="2" t="n"/>
      <c r="T41" s="5">
        <f>IF(A41="","",(COUNTA(A41:M41)+COUNTA(O41:S41))/18)</f>
        <v/>
      </c>
      <c r="U41" s="2" t="n"/>
    </row>
    <row r="42">
      <c r="A42" s="12" t="n"/>
      <c r="B42" s="12" t="n"/>
      <c r="C42" s="12" t="n"/>
      <c r="D42" s="4" t="n"/>
      <c r="E42" s="2" t="n"/>
      <c r="F42" s="12" t="n"/>
      <c r="G42" s="2" t="n"/>
      <c r="H42" s="14" t="n"/>
      <c r="I42" s="12" t="n"/>
      <c r="J42" s="12" t="n"/>
      <c r="K42" s="12" t="n"/>
      <c r="L42" s="12" t="n"/>
      <c r="M42" s="12" t="n"/>
      <c r="N42" s="2">
        <f>IF(A42="","",SUM(I42:M42))</f>
        <v/>
      </c>
      <c r="O42" s="12" t="n"/>
      <c r="P42" s="12" t="n"/>
      <c r="Q42" s="2" t="n"/>
      <c r="R42" s="2" t="n"/>
      <c r="S42" s="2" t="n"/>
      <c r="T42" s="5">
        <f>IF(A42="","",(COUNTA(A42:M42)+COUNTA(O42:S42))/18)</f>
        <v/>
      </c>
      <c r="U42" s="2" t="n"/>
    </row>
    <row r="43">
      <c r="A43" s="12" t="n"/>
      <c r="B43" s="12" t="n"/>
      <c r="C43" s="12" t="n"/>
      <c r="D43" s="4" t="n"/>
      <c r="E43" s="2" t="n"/>
      <c r="F43" s="12" t="n"/>
      <c r="G43" s="2" t="n"/>
      <c r="H43" s="14" t="n"/>
      <c r="I43" s="12" t="n"/>
      <c r="J43" s="12" t="n"/>
      <c r="K43" s="12" t="n"/>
      <c r="L43" s="12" t="n"/>
      <c r="M43" s="12" t="n"/>
      <c r="N43" s="2">
        <f>IF(A43="","",SUM(I43:M43))</f>
        <v/>
      </c>
      <c r="O43" s="12" t="n"/>
      <c r="P43" s="12" t="n"/>
      <c r="Q43" s="2" t="n"/>
      <c r="R43" s="2" t="n"/>
      <c r="S43" s="2" t="n"/>
      <c r="T43" s="5">
        <f>IF(A43="","",(COUNTA(A43:M43)+COUNTA(O43:S43))/18)</f>
        <v/>
      </c>
      <c r="U43" s="2" t="n"/>
    </row>
    <row r="44">
      <c r="A44" s="12" t="n"/>
      <c r="B44" s="12" t="n"/>
      <c r="C44" s="12" t="n"/>
      <c r="D44" s="4" t="n"/>
      <c r="E44" s="2" t="n"/>
      <c r="F44" s="12" t="n"/>
      <c r="G44" s="2" t="n"/>
      <c r="H44" s="14" t="n"/>
      <c r="I44" s="12" t="n"/>
      <c r="J44" s="12" t="n"/>
      <c r="K44" s="12" t="n"/>
      <c r="L44" s="12" t="n"/>
      <c r="M44" s="12" t="n"/>
      <c r="N44" s="2">
        <f>IF(A44="","",SUM(I44:M44))</f>
        <v/>
      </c>
      <c r="O44" s="12" t="n"/>
      <c r="P44" s="12" t="n"/>
      <c r="Q44" s="2" t="n"/>
      <c r="R44" s="2" t="n"/>
      <c r="S44" s="2" t="n"/>
      <c r="T44" s="5">
        <f>IF(A44="","",(COUNTA(A44:M44)+COUNTA(O44:S44))/18)</f>
        <v/>
      </c>
      <c r="U44" s="2" t="n"/>
    </row>
    <row r="45">
      <c r="A45" s="12" t="n"/>
      <c r="B45" s="12" t="n"/>
      <c r="C45" s="12" t="n"/>
      <c r="D45" s="4" t="n"/>
      <c r="E45" s="2" t="n"/>
      <c r="F45" s="12" t="n"/>
      <c r="G45" s="2" t="n"/>
      <c r="H45" s="14" t="n"/>
      <c r="I45" s="12" t="n"/>
      <c r="J45" s="12" t="n"/>
      <c r="K45" s="12" t="n"/>
      <c r="L45" s="12" t="n"/>
      <c r="M45" s="12" t="n"/>
      <c r="N45" s="2">
        <f>IF(A45="","",SUM(I45:M45))</f>
        <v/>
      </c>
      <c r="O45" s="12" t="n"/>
      <c r="P45" s="12" t="n"/>
      <c r="Q45" s="2" t="n"/>
      <c r="R45" s="2" t="n"/>
      <c r="S45" s="2" t="n"/>
      <c r="T45" s="5">
        <f>IF(A45="","",(COUNTA(A45:M45)+COUNTA(O45:S45))/18)</f>
        <v/>
      </c>
      <c r="U45" s="2" t="n"/>
    </row>
    <row r="46">
      <c r="A46" s="12" t="n"/>
      <c r="B46" s="12" t="n"/>
      <c r="C46" s="12" t="n"/>
      <c r="D46" s="4" t="n"/>
      <c r="E46" s="2" t="n"/>
      <c r="F46" s="12" t="n"/>
      <c r="G46" s="2" t="n"/>
      <c r="H46" s="14" t="n"/>
      <c r="I46" s="12" t="n"/>
      <c r="J46" s="12" t="n"/>
      <c r="K46" s="12" t="n"/>
      <c r="L46" s="12" t="n"/>
      <c r="M46" s="12" t="n"/>
      <c r="N46" s="2">
        <f>IF(A46="","",SUM(I46:M46))</f>
        <v/>
      </c>
      <c r="O46" s="12" t="n"/>
      <c r="P46" s="12" t="n"/>
      <c r="Q46" s="2" t="n"/>
      <c r="R46" s="2" t="n"/>
      <c r="S46" s="2" t="n"/>
      <c r="T46" s="5">
        <f>IF(A46="","",(COUNTA(A46:M46)+COUNTA(O46:S46))/18)</f>
        <v/>
      </c>
      <c r="U46" s="2" t="n"/>
    </row>
    <row r="47">
      <c r="A47" s="12" t="n"/>
      <c r="B47" s="12" t="n"/>
      <c r="C47" s="12" t="n"/>
      <c r="D47" s="4" t="n"/>
      <c r="E47" s="2" t="n"/>
      <c r="F47" s="12" t="n"/>
      <c r="G47" s="2" t="n"/>
      <c r="H47" s="14" t="n"/>
      <c r="I47" s="12" t="n"/>
      <c r="J47" s="12" t="n"/>
      <c r="K47" s="12" t="n"/>
      <c r="L47" s="12" t="n"/>
      <c r="M47" s="12" t="n"/>
      <c r="N47" s="2">
        <f>IF(A47="","",SUM(I47:M47))</f>
        <v/>
      </c>
      <c r="O47" s="12" t="n"/>
      <c r="P47" s="12" t="n"/>
      <c r="Q47" s="2" t="n"/>
      <c r="R47" s="2" t="n"/>
      <c r="S47" s="2" t="n"/>
      <c r="T47" s="5">
        <f>IF(A47="","",(COUNTA(A47:M47)+COUNTA(O47:S47))/18)</f>
        <v/>
      </c>
      <c r="U47" s="2" t="n"/>
    </row>
    <row r="48">
      <c r="A48" s="12" t="n"/>
      <c r="B48" s="12" t="n"/>
      <c r="C48" s="12" t="n"/>
      <c r="D48" s="4" t="n"/>
      <c r="E48" s="2" t="n"/>
      <c r="F48" s="12" t="n"/>
      <c r="G48" s="2" t="n"/>
      <c r="H48" s="14" t="n"/>
      <c r="I48" s="12" t="n"/>
      <c r="J48" s="12" t="n"/>
      <c r="K48" s="12" t="n"/>
      <c r="L48" s="12" t="n"/>
      <c r="M48" s="12" t="n"/>
      <c r="N48" s="2">
        <f>IF(A48="","",SUM(I48:M48))</f>
        <v/>
      </c>
      <c r="O48" s="12" t="n"/>
      <c r="P48" s="12" t="n"/>
      <c r="Q48" s="2" t="n"/>
      <c r="R48" s="2" t="n"/>
      <c r="S48" s="2" t="n"/>
      <c r="T48" s="5">
        <f>IF(A48="","",(COUNTA(A48:M48)+COUNTA(O48:S48))/18)</f>
        <v/>
      </c>
      <c r="U48" s="2" t="n"/>
    </row>
    <row r="49">
      <c r="A49" s="12" t="n"/>
      <c r="B49" s="12" t="n"/>
      <c r="C49" s="12" t="n"/>
      <c r="D49" s="4" t="n"/>
      <c r="E49" s="2" t="n"/>
      <c r="F49" s="12" t="n"/>
      <c r="G49" s="2" t="n"/>
      <c r="H49" s="14" t="n"/>
      <c r="I49" s="12" t="n"/>
      <c r="J49" s="12" t="n"/>
      <c r="K49" s="12" t="n"/>
      <c r="L49" s="12" t="n"/>
      <c r="M49" s="12" t="n"/>
      <c r="N49" s="2">
        <f>IF(A49="","",SUM(I49:M49))</f>
        <v/>
      </c>
      <c r="O49" s="12" t="n"/>
      <c r="P49" s="12" t="n"/>
      <c r="Q49" s="2" t="n"/>
      <c r="R49" s="2" t="n"/>
      <c r="S49" s="2" t="n"/>
      <c r="T49" s="5">
        <f>IF(A49="","",(COUNTA(A49:M49)+COUNTA(O49:S49))/18)</f>
        <v/>
      </c>
      <c r="U49" s="2" t="n"/>
    </row>
    <row r="50">
      <c r="A50" s="12" t="n"/>
      <c r="B50" s="12" t="n"/>
      <c r="C50" s="12" t="n"/>
      <c r="D50" s="4" t="n"/>
      <c r="E50" s="2" t="n"/>
      <c r="F50" s="12" t="n"/>
      <c r="G50" s="2" t="n"/>
      <c r="H50" s="14" t="n"/>
      <c r="I50" s="12" t="n"/>
      <c r="J50" s="12" t="n"/>
      <c r="K50" s="12" t="n"/>
      <c r="L50" s="12" t="n"/>
      <c r="M50" s="12" t="n"/>
      <c r="N50" s="2">
        <f>IF(A50="","",SUM(I50:M50))</f>
        <v/>
      </c>
      <c r="O50" s="12" t="n"/>
      <c r="P50" s="12" t="n"/>
      <c r="Q50" s="2" t="n"/>
      <c r="R50" s="2" t="n"/>
      <c r="S50" s="2" t="n"/>
      <c r="T50" s="5">
        <f>IF(A50="","",(COUNTA(A50:M50)+COUNTA(O50:S50))/18)</f>
        <v/>
      </c>
      <c r="U50" s="2" t="n"/>
    </row>
    <row r="51">
      <c r="A51" s="12" t="n"/>
      <c r="B51" s="12" t="n"/>
      <c r="C51" s="12" t="n"/>
      <c r="D51" s="4" t="n"/>
      <c r="E51" s="2" t="n"/>
      <c r="F51" s="12" t="n"/>
      <c r="G51" s="2" t="n"/>
      <c r="H51" s="14" t="n"/>
      <c r="I51" s="12" t="n"/>
      <c r="J51" s="12" t="n"/>
      <c r="K51" s="12" t="n"/>
      <c r="L51" s="12" t="n"/>
      <c r="M51" s="12" t="n"/>
      <c r="N51" s="2">
        <f>IF(A51="","",SUM(I51:M51))</f>
        <v/>
      </c>
      <c r="O51" s="12" t="n"/>
      <c r="P51" s="12" t="n"/>
      <c r="Q51" s="2" t="n"/>
      <c r="R51" s="2" t="n"/>
      <c r="S51" s="2" t="n"/>
      <c r="T51" s="5">
        <f>IF(A51="","",(COUNTA(A51:M51)+COUNTA(O51:S51))/18)</f>
        <v/>
      </c>
      <c r="U51" s="2" t="n"/>
    </row>
    <row r="52">
      <c r="A52" s="12" t="n"/>
      <c r="B52" s="12" t="n"/>
      <c r="C52" s="12" t="n"/>
      <c r="D52" s="4" t="n"/>
      <c r="E52" s="2" t="n"/>
      <c r="F52" s="12" t="n"/>
      <c r="G52" s="2" t="n"/>
      <c r="H52" s="14" t="n"/>
      <c r="I52" s="12" t="n"/>
      <c r="J52" s="12" t="n"/>
      <c r="K52" s="12" t="n"/>
      <c r="L52" s="12" t="n"/>
      <c r="M52" s="12" t="n"/>
      <c r="N52" s="2">
        <f>IF(A52="","",SUM(I52:M52))</f>
        <v/>
      </c>
      <c r="O52" s="12" t="n"/>
      <c r="P52" s="12" t="n"/>
      <c r="Q52" s="2" t="n"/>
      <c r="R52" s="2" t="n"/>
      <c r="S52" s="2" t="n"/>
      <c r="T52" s="5">
        <f>IF(A52="","",(COUNTA(A52:M52)+COUNTA(O52:S52))/18)</f>
        <v/>
      </c>
      <c r="U52" s="2" t="n"/>
    </row>
    <row r="53">
      <c r="A53" s="12" t="n"/>
      <c r="B53" s="12" t="n"/>
      <c r="C53" s="12" t="n"/>
      <c r="D53" s="4" t="n"/>
      <c r="E53" s="2" t="n"/>
      <c r="F53" s="12" t="n"/>
      <c r="G53" s="2" t="n"/>
      <c r="H53" s="14" t="n"/>
      <c r="I53" s="12" t="n"/>
      <c r="J53" s="12" t="n"/>
      <c r="K53" s="12" t="n"/>
      <c r="L53" s="12" t="n"/>
      <c r="M53" s="12" t="n"/>
      <c r="N53" s="2">
        <f>IF(A53="","",SUM(I53:M53))</f>
        <v/>
      </c>
      <c r="O53" s="12" t="n"/>
      <c r="P53" s="12" t="n"/>
      <c r="Q53" s="2" t="n"/>
      <c r="R53" s="2" t="n"/>
      <c r="S53" s="2" t="n"/>
      <c r="T53" s="5">
        <f>IF(A53="","",(COUNTA(A53:M53)+COUNTA(O53:S53))/18)</f>
        <v/>
      </c>
      <c r="U53" s="2" t="n"/>
    </row>
    <row r="54">
      <c r="A54" s="12" t="n"/>
      <c r="B54" s="12" t="n"/>
      <c r="C54" s="12" t="n"/>
      <c r="D54" s="4" t="n"/>
      <c r="E54" s="2" t="n"/>
      <c r="F54" s="12" t="n"/>
      <c r="G54" s="2" t="n"/>
      <c r="H54" s="14" t="n"/>
      <c r="I54" s="12" t="n"/>
      <c r="J54" s="12" t="n"/>
      <c r="K54" s="12" t="n"/>
      <c r="L54" s="12" t="n"/>
      <c r="M54" s="12" t="n"/>
      <c r="N54" s="2">
        <f>IF(A54="","",SUM(I54:M54))</f>
        <v/>
      </c>
      <c r="O54" s="12" t="n"/>
      <c r="P54" s="12" t="n"/>
      <c r="Q54" s="2" t="n"/>
      <c r="R54" s="2" t="n"/>
      <c r="S54" s="2" t="n"/>
      <c r="T54" s="5">
        <f>IF(A54="","",(COUNTA(A54:M54)+COUNTA(O54:S54))/18)</f>
        <v/>
      </c>
      <c r="U54" s="2" t="n"/>
    </row>
    <row r="55">
      <c r="A55" s="12" t="n"/>
      <c r="B55" s="12" t="n"/>
      <c r="C55" s="12" t="n"/>
      <c r="D55" s="4" t="n"/>
      <c r="E55" s="2" t="n"/>
      <c r="F55" s="12" t="n"/>
      <c r="G55" s="2" t="n"/>
      <c r="H55" s="14" t="n"/>
      <c r="I55" s="12" t="n"/>
      <c r="J55" s="12" t="n"/>
      <c r="K55" s="12" t="n"/>
      <c r="L55" s="12" t="n"/>
      <c r="M55" s="12" t="n"/>
      <c r="N55" s="2">
        <f>IF(A55="","",SUM(I55:M55))</f>
        <v/>
      </c>
      <c r="O55" s="12" t="n"/>
      <c r="P55" s="12" t="n"/>
      <c r="Q55" s="2" t="n"/>
      <c r="R55" s="2" t="n"/>
      <c r="S55" s="2" t="n"/>
      <c r="T55" s="5">
        <f>IF(A55="","",(COUNTA(A55:M55)+COUNTA(O55:S55))/18)</f>
        <v/>
      </c>
      <c r="U55" s="2" t="n"/>
    </row>
    <row r="56">
      <c r="A56" s="12" t="n"/>
      <c r="B56" s="12" t="n"/>
      <c r="C56" s="12" t="n"/>
      <c r="D56" s="4" t="n"/>
      <c r="E56" s="2" t="n"/>
      <c r="F56" s="12" t="n"/>
      <c r="G56" s="2" t="n"/>
      <c r="H56" s="14" t="n"/>
      <c r="I56" s="12" t="n"/>
      <c r="J56" s="12" t="n"/>
      <c r="K56" s="12" t="n"/>
      <c r="L56" s="12" t="n"/>
      <c r="M56" s="12" t="n"/>
      <c r="N56" s="2">
        <f>IF(A56="","",SUM(I56:M56))</f>
        <v/>
      </c>
      <c r="O56" s="12" t="n"/>
      <c r="P56" s="12" t="n"/>
      <c r="Q56" s="2" t="n"/>
      <c r="R56" s="2" t="n"/>
      <c r="S56" s="2" t="n"/>
      <c r="T56" s="5">
        <f>IF(A56="","",(COUNTA(A56:M56)+COUNTA(O56:S56))/18)</f>
        <v/>
      </c>
      <c r="U56" s="2" t="n"/>
    </row>
    <row r="57">
      <c r="A57" s="12" t="n"/>
      <c r="B57" s="12" t="n"/>
      <c r="C57" s="12" t="n"/>
      <c r="D57" s="4" t="n"/>
      <c r="E57" s="2" t="n"/>
      <c r="F57" s="12" t="n"/>
      <c r="G57" s="2" t="n"/>
      <c r="H57" s="14" t="n"/>
      <c r="I57" s="12" t="n"/>
      <c r="J57" s="12" t="n"/>
      <c r="K57" s="12" t="n"/>
      <c r="L57" s="12" t="n"/>
      <c r="M57" s="12" t="n"/>
      <c r="N57" s="2">
        <f>IF(A57="","",SUM(I57:M57))</f>
        <v/>
      </c>
      <c r="O57" s="12" t="n"/>
      <c r="P57" s="12" t="n"/>
      <c r="Q57" s="2" t="n"/>
      <c r="R57" s="2" t="n"/>
      <c r="S57" s="2" t="n"/>
      <c r="T57" s="5">
        <f>IF(A57="","",(COUNTA(A57:M57)+COUNTA(O57:S57))/18)</f>
        <v/>
      </c>
      <c r="U57" s="2" t="n"/>
    </row>
    <row r="58">
      <c r="A58" s="12" t="n"/>
      <c r="B58" s="12" t="n"/>
      <c r="C58" s="12" t="n"/>
      <c r="D58" s="4" t="n"/>
      <c r="E58" s="2" t="n"/>
      <c r="F58" s="12" t="n"/>
      <c r="G58" s="2" t="n"/>
      <c r="H58" s="14" t="n"/>
      <c r="I58" s="12" t="n"/>
      <c r="J58" s="12" t="n"/>
      <c r="K58" s="12" t="n"/>
      <c r="L58" s="12" t="n"/>
      <c r="M58" s="12" t="n"/>
      <c r="N58" s="2">
        <f>IF(A58="","",SUM(I58:M58))</f>
        <v/>
      </c>
      <c r="O58" s="12" t="n"/>
      <c r="P58" s="12" t="n"/>
      <c r="Q58" s="2" t="n"/>
      <c r="R58" s="2" t="n"/>
      <c r="S58" s="2" t="n"/>
      <c r="T58" s="5">
        <f>IF(A58="","",(COUNTA(A58:M58)+COUNTA(O58:S58))/18)</f>
        <v/>
      </c>
      <c r="U58" s="2" t="n"/>
    </row>
    <row r="59">
      <c r="A59" s="12" t="n"/>
      <c r="B59" s="12" t="n"/>
      <c r="C59" s="12" t="n"/>
      <c r="D59" s="4" t="n"/>
      <c r="E59" s="2" t="n"/>
      <c r="F59" s="12" t="n"/>
      <c r="G59" s="2" t="n"/>
      <c r="H59" s="14" t="n"/>
      <c r="I59" s="12" t="n"/>
      <c r="J59" s="12" t="n"/>
      <c r="K59" s="12" t="n"/>
      <c r="L59" s="12" t="n"/>
      <c r="M59" s="12" t="n"/>
      <c r="N59" s="2">
        <f>IF(A59="","",SUM(I59:M59))</f>
        <v/>
      </c>
      <c r="O59" s="12" t="n"/>
      <c r="P59" s="12" t="n"/>
      <c r="Q59" s="2" t="n"/>
      <c r="R59" s="2" t="n"/>
      <c r="S59" s="2" t="n"/>
      <c r="T59" s="5">
        <f>IF(A59="","",(COUNTA(A59:M59)+COUNTA(O59:S59))/18)</f>
        <v/>
      </c>
      <c r="U59" s="2" t="n"/>
    </row>
    <row r="60">
      <c r="A60" s="12" t="n"/>
      <c r="B60" s="12" t="n"/>
      <c r="C60" s="12" t="n"/>
      <c r="D60" s="4" t="n"/>
      <c r="E60" s="2" t="n"/>
      <c r="F60" s="12" t="n"/>
      <c r="G60" s="2" t="n"/>
      <c r="H60" s="14" t="n"/>
      <c r="I60" s="12" t="n"/>
      <c r="J60" s="12" t="n"/>
      <c r="K60" s="12" t="n"/>
      <c r="L60" s="12" t="n"/>
      <c r="M60" s="12" t="n"/>
      <c r="N60" s="2">
        <f>IF(A60="","",SUM(I60:M60))</f>
        <v/>
      </c>
      <c r="O60" s="12" t="n"/>
      <c r="P60" s="12" t="n"/>
      <c r="Q60" s="2" t="n"/>
      <c r="R60" s="2" t="n"/>
      <c r="S60" s="2" t="n"/>
      <c r="T60" s="5">
        <f>IF(A60="","",(COUNTA(A60:M60)+COUNTA(O60:S60))/18)</f>
        <v/>
      </c>
      <c r="U60" s="2" t="n"/>
    </row>
    <row r="61">
      <c r="A61" s="12" t="n"/>
      <c r="B61" s="12" t="n"/>
      <c r="C61" s="12" t="n"/>
      <c r="D61" s="4" t="n"/>
      <c r="E61" s="2" t="n"/>
      <c r="F61" s="12" t="n"/>
      <c r="G61" s="2" t="n"/>
      <c r="H61" s="14" t="n"/>
      <c r="I61" s="12" t="n"/>
      <c r="J61" s="12" t="n"/>
      <c r="K61" s="12" t="n"/>
      <c r="L61" s="12" t="n"/>
      <c r="M61" s="12" t="n"/>
      <c r="N61" s="2">
        <f>IF(A61="","",SUM(I61:M61))</f>
        <v/>
      </c>
      <c r="O61" s="12" t="n"/>
      <c r="P61" s="12" t="n"/>
      <c r="Q61" s="2" t="n"/>
      <c r="R61" s="2" t="n"/>
      <c r="S61" s="2" t="n"/>
      <c r="T61" s="5">
        <f>IF(A61="","",(COUNTA(A61:M61)+COUNTA(O61:S61))/18)</f>
        <v/>
      </c>
      <c r="U61" s="2" t="n"/>
    </row>
    <row r="62">
      <c r="A62" s="12" t="n"/>
      <c r="B62" s="12" t="n"/>
      <c r="C62" s="12" t="n"/>
      <c r="D62" s="4" t="n"/>
      <c r="E62" s="2" t="n"/>
      <c r="F62" s="12" t="n"/>
      <c r="G62" s="2" t="n"/>
      <c r="H62" s="14" t="n"/>
      <c r="I62" s="12" t="n"/>
      <c r="J62" s="12" t="n"/>
      <c r="K62" s="12" t="n"/>
      <c r="L62" s="12" t="n"/>
      <c r="M62" s="12" t="n"/>
      <c r="N62" s="2">
        <f>IF(A62="","",SUM(I62:M62))</f>
        <v/>
      </c>
      <c r="O62" s="12" t="n"/>
      <c r="P62" s="12" t="n"/>
      <c r="Q62" s="2" t="n"/>
      <c r="R62" s="2" t="n"/>
      <c r="S62" s="2" t="n"/>
      <c r="T62" s="5">
        <f>IF(A62="","",(COUNTA(A62:M62)+COUNTA(O62:S62))/18)</f>
        <v/>
      </c>
      <c r="U62" s="2" t="n"/>
    </row>
    <row r="63">
      <c r="A63" s="12" t="n"/>
      <c r="B63" s="12" t="n"/>
      <c r="C63" s="12" t="n"/>
      <c r="D63" s="4" t="n"/>
      <c r="E63" s="2" t="n"/>
      <c r="F63" s="12" t="n"/>
      <c r="G63" s="2" t="n"/>
      <c r="H63" s="14" t="n"/>
      <c r="I63" s="12" t="n"/>
      <c r="J63" s="12" t="n"/>
      <c r="K63" s="12" t="n"/>
      <c r="L63" s="12" t="n"/>
      <c r="M63" s="12" t="n"/>
      <c r="N63" s="2">
        <f>IF(A63="","",SUM(I63:M63))</f>
        <v/>
      </c>
      <c r="O63" s="12" t="n"/>
      <c r="P63" s="12" t="n"/>
      <c r="Q63" s="2" t="n"/>
      <c r="R63" s="2" t="n"/>
      <c r="S63" s="2" t="n"/>
      <c r="T63" s="5">
        <f>IF(A63="","",(COUNTA(A63:M63)+COUNTA(O63:S63))/18)</f>
        <v/>
      </c>
      <c r="U63" s="2" t="n"/>
    </row>
    <row r="64">
      <c r="A64" s="12" t="n"/>
      <c r="B64" s="12" t="n"/>
      <c r="C64" s="12" t="n"/>
      <c r="D64" s="4" t="n"/>
      <c r="E64" s="2" t="n"/>
      <c r="F64" s="12" t="n"/>
      <c r="G64" s="2" t="n"/>
      <c r="H64" s="14" t="n"/>
      <c r="I64" s="12" t="n"/>
      <c r="J64" s="12" t="n"/>
      <c r="K64" s="12" t="n"/>
      <c r="L64" s="12" t="n"/>
      <c r="M64" s="12" t="n"/>
      <c r="N64" s="2">
        <f>IF(A64="","",SUM(I64:M64))</f>
        <v/>
      </c>
      <c r="O64" s="12" t="n"/>
      <c r="P64" s="12" t="n"/>
      <c r="Q64" s="2" t="n"/>
      <c r="R64" s="2" t="n"/>
      <c r="S64" s="2" t="n"/>
      <c r="T64" s="5">
        <f>IF(A64="","",(COUNTA(A64:M64)+COUNTA(O64:S64))/18)</f>
        <v/>
      </c>
      <c r="U64" s="2" t="n"/>
    </row>
    <row r="65">
      <c r="A65" s="12" t="n"/>
      <c r="B65" s="12" t="n"/>
      <c r="C65" s="12" t="n"/>
      <c r="D65" s="4" t="n"/>
      <c r="E65" s="2" t="n"/>
      <c r="F65" s="12" t="n"/>
      <c r="G65" s="2" t="n"/>
      <c r="H65" s="14" t="n"/>
      <c r="I65" s="12" t="n"/>
      <c r="J65" s="12" t="n"/>
      <c r="K65" s="12" t="n"/>
      <c r="L65" s="12" t="n"/>
      <c r="M65" s="12" t="n"/>
      <c r="N65" s="2">
        <f>IF(A65="","",SUM(I65:M65))</f>
        <v/>
      </c>
      <c r="O65" s="12" t="n"/>
      <c r="P65" s="12" t="n"/>
      <c r="Q65" s="2" t="n"/>
      <c r="R65" s="2" t="n"/>
      <c r="S65" s="2" t="n"/>
      <c r="T65" s="5">
        <f>IF(A65="","",(COUNTA(A65:M65)+COUNTA(O65:S65))/18)</f>
        <v/>
      </c>
      <c r="U65" s="2" t="n"/>
    </row>
    <row r="66">
      <c r="A66" s="12" t="n"/>
      <c r="B66" s="12" t="n"/>
      <c r="C66" s="12" t="n"/>
      <c r="D66" s="4" t="n"/>
      <c r="E66" s="2" t="n"/>
      <c r="F66" s="12" t="n"/>
      <c r="G66" s="2" t="n"/>
      <c r="H66" s="14" t="n"/>
      <c r="I66" s="12" t="n"/>
      <c r="J66" s="12" t="n"/>
      <c r="K66" s="12" t="n"/>
      <c r="L66" s="12" t="n"/>
      <c r="M66" s="12" t="n"/>
      <c r="N66" s="2">
        <f>IF(A66="","",SUM(I66:M66))</f>
        <v/>
      </c>
      <c r="O66" s="12" t="n"/>
      <c r="P66" s="12" t="n"/>
      <c r="Q66" s="2" t="n"/>
      <c r="R66" s="2" t="n"/>
      <c r="S66" s="2" t="n"/>
      <c r="T66" s="5">
        <f>IF(A66="","",(COUNTA(A66:M66)+COUNTA(O66:S66))/18)</f>
        <v/>
      </c>
      <c r="U66" s="2" t="n"/>
    </row>
    <row r="67">
      <c r="A67" s="12" t="n"/>
      <c r="B67" s="12" t="n"/>
      <c r="C67" s="12" t="n"/>
      <c r="D67" s="4" t="n"/>
      <c r="E67" s="2" t="n"/>
      <c r="F67" s="12" t="n"/>
      <c r="G67" s="2" t="n"/>
      <c r="H67" s="14" t="n"/>
      <c r="I67" s="12" t="n"/>
      <c r="J67" s="12" t="n"/>
      <c r="K67" s="12" t="n"/>
      <c r="L67" s="12" t="n"/>
      <c r="M67" s="12" t="n"/>
      <c r="N67" s="2">
        <f>IF(A67="","",SUM(I67:M67))</f>
        <v/>
      </c>
      <c r="O67" s="12" t="n"/>
      <c r="P67" s="12" t="n"/>
      <c r="Q67" s="2" t="n"/>
      <c r="R67" s="2" t="n"/>
      <c r="S67" s="2" t="n"/>
      <c r="T67" s="5">
        <f>IF(A67="","",(COUNTA(A67:M67)+COUNTA(O67:S67))/18)</f>
        <v/>
      </c>
      <c r="U67" s="2" t="n"/>
    </row>
    <row r="68">
      <c r="A68" s="12" t="n"/>
      <c r="B68" s="12" t="n"/>
      <c r="C68" s="12" t="n"/>
      <c r="D68" s="4" t="n"/>
      <c r="E68" s="2" t="n"/>
      <c r="F68" s="12" t="n"/>
      <c r="G68" s="2" t="n"/>
      <c r="H68" s="14" t="n"/>
      <c r="I68" s="12" t="n"/>
      <c r="J68" s="12" t="n"/>
      <c r="K68" s="12" t="n"/>
      <c r="L68" s="12" t="n"/>
      <c r="M68" s="12" t="n"/>
      <c r="N68" s="2">
        <f>IF(A68="","",SUM(I68:M68))</f>
        <v/>
      </c>
      <c r="O68" s="12" t="n"/>
      <c r="P68" s="12" t="n"/>
      <c r="Q68" s="2" t="n"/>
      <c r="R68" s="2" t="n"/>
      <c r="S68" s="2" t="n"/>
      <c r="T68" s="5">
        <f>IF(A68="","",(COUNTA(A68:M68)+COUNTA(O68:S68))/18)</f>
        <v/>
      </c>
      <c r="U68" s="2" t="n"/>
    </row>
    <row r="69">
      <c r="A69" s="12" t="n"/>
      <c r="B69" s="12" t="n"/>
      <c r="C69" s="12" t="n"/>
      <c r="D69" s="4" t="n"/>
      <c r="E69" s="2" t="n"/>
      <c r="F69" s="12" t="n"/>
      <c r="G69" s="2" t="n"/>
      <c r="H69" s="14" t="n"/>
      <c r="I69" s="12" t="n"/>
      <c r="J69" s="12" t="n"/>
      <c r="K69" s="12" t="n"/>
      <c r="L69" s="12" t="n"/>
      <c r="M69" s="12" t="n"/>
      <c r="N69" s="2">
        <f>IF(A69="","",SUM(I69:M69))</f>
        <v/>
      </c>
      <c r="O69" s="12" t="n"/>
      <c r="P69" s="12" t="n"/>
      <c r="Q69" s="2" t="n"/>
      <c r="R69" s="2" t="n"/>
      <c r="S69" s="2" t="n"/>
      <c r="T69" s="5">
        <f>IF(A69="","",(COUNTA(A69:M69)+COUNTA(O69:S69))/18)</f>
        <v/>
      </c>
      <c r="U69" s="2" t="n"/>
    </row>
    <row r="70">
      <c r="A70" s="12" t="n"/>
      <c r="B70" s="12" t="n"/>
      <c r="C70" s="12" t="n"/>
      <c r="D70" s="4" t="n"/>
      <c r="E70" s="2" t="n"/>
      <c r="F70" s="12" t="n"/>
      <c r="G70" s="2" t="n"/>
      <c r="H70" s="14" t="n"/>
      <c r="I70" s="12" t="n"/>
      <c r="J70" s="12" t="n"/>
      <c r="K70" s="12" t="n"/>
      <c r="L70" s="12" t="n"/>
      <c r="M70" s="12" t="n"/>
      <c r="N70" s="2">
        <f>IF(A70="","",SUM(I70:M70))</f>
        <v/>
      </c>
      <c r="O70" s="12" t="n"/>
      <c r="P70" s="12" t="n"/>
      <c r="Q70" s="2" t="n"/>
      <c r="R70" s="2" t="n"/>
      <c r="S70" s="2" t="n"/>
      <c r="T70" s="5">
        <f>IF(A70="","",(COUNTA(A70:M70)+COUNTA(O70:S70))/18)</f>
        <v/>
      </c>
      <c r="U70" s="2" t="n"/>
    </row>
    <row r="71">
      <c r="A71" s="12" t="n"/>
      <c r="B71" s="12" t="n"/>
      <c r="C71" s="12" t="n"/>
      <c r="D71" s="4" t="n"/>
      <c r="E71" s="2" t="n"/>
      <c r="F71" s="12" t="n"/>
      <c r="G71" s="2" t="n"/>
      <c r="H71" s="14" t="n"/>
      <c r="I71" s="12" t="n"/>
      <c r="J71" s="12" t="n"/>
      <c r="K71" s="12" t="n"/>
      <c r="L71" s="12" t="n"/>
      <c r="M71" s="12" t="n"/>
      <c r="N71" s="2">
        <f>IF(A71="","",SUM(I71:M71))</f>
        <v/>
      </c>
      <c r="O71" s="12" t="n"/>
      <c r="P71" s="12" t="n"/>
      <c r="Q71" s="2" t="n"/>
      <c r="R71" s="2" t="n"/>
      <c r="S71" s="2" t="n"/>
      <c r="T71" s="5">
        <f>IF(A71="","",(COUNTA(A71:M71)+COUNTA(O71:S71))/18)</f>
        <v/>
      </c>
      <c r="U71" s="2" t="n"/>
    </row>
    <row r="72">
      <c r="A72" s="12" t="n"/>
      <c r="B72" s="12" t="n"/>
      <c r="C72" s="12" t="n"/>
      <c r="D72" s="4" t="n"/>
      <c r="E72" s="2" t="n"/>
      <c r="F72" s="12" t="n"/>
      <c r="G72" s="2" t="n"/>
      <c r="H72" s="14" t="n"/>
      <c r="I72" s="12" t="n"/>
      <c r="J72" s="12" t="n"/>
      <c r="K72" s="12" t="n"/>
      <c r="L72" s="12" t="n"/>
      <c r="M72" s="12" t="n"/>
      <c r="N72" s="2">
        <f>IF(A72="","",SUM(I72:M72))</f>
        <v/>
      </c>
      <c r="O72" s="12" t="n"/>
      <c r="P72" s="12" t="n"/>
      <c r="Q72" s="2" t="n"/>
      <c r="R72" s="2" t="n"/>
      <c r="S72" s="2" t="n"/>
      <c r="T72" s="5">
        <f>IF(A72="","",(COUNTA(A72:M72)+COUNTA(O72:S72))/18)</f>
        <v/>
      </c>
      <c r="U72" s="2" t="n"/>
    </row>
    <row r="73">
      <c r="A73" s="12" t="n"/>
      <c r="B73" s="12" t="n"/>
      <c r="C73" s="12" t="n"/>
      <c r="D73" s="4" t="n"/>
      <c r="E73" s="2" t="n"/>
      <c r="F73" s="12" t="n"/>
      <c r="G73" s="2" t="n"/>
      <c r="H73" s="14" t="n"/>
      <c r="I73" s="12" t="n"/>
      <c r="J73" s="12" t="n"/>
      <c r="K73" s="12" t="n"/>
      <c r="L73" s="12" t="n"/>
      <c r="M73" s="12" t="n"/>
      <c r="N73" s="2">
        <f>IF(A73="","",SUM(I73:M73))</f>
        <v/>
      </c>
      <c r="O73" s="12" t="n"/>
      <c r="P73" s="12" t="n"/>
      <c r="Q73" s="2" t="n"/>
      <c r="R73" s="2" t="n"/>
      <c r="S73" s="2" t="n"/>
      <c r="T73" s="5">
        <f>IF(A73="","",(COUNTA(A73:M73)+COUNTA(O73:S73))/18)</f>
        <v/>
      </c>
      <c r="U73" s="2" t="n"/>
    </row>
    <row r="74">
      <c r="A74" s="12" t="n"/>
      <c r="B74" s="12" t="n"/>
      <c r="C74" s="12" t="n"/>
      <c r="D74" s="4" t="n"/>
      <c r="E74" s="2" t="n"/>
      <c r="F74" s="12" t="n"/>
      <c r="G74" s="2" t="n"/>
      <c r="H74" s="14" t="n"/>
      <c r="I74" s="12" t="n"/>
      <c r="J74" s="12" t="n"/>
      <c r="K74" s="12" t="n"/>
      <c r="L74" s="12" t="n"/>
      <c r="M74" s="12" t="n"/>
      <c r="N74" s="2">
        <f>IF(A74="","",SUM(I74:M74))</f>
        <v/>
      </c>
      <c r="O74" s="12" t="n"/>
      <c r="P74" s="12" t="n"/>
      <c r="Q74" s="2" t="n"/>
      <c r="R74" s="2" t="n"/>
      <c r="S74" s="2" t="n"/>
      <c r="T74" s="5">
        <f>IF(A74="","",(COUNTA(A74:M74)+COUNTA(O74:S74))/18)</f>
        <v/>
      </c>
      <c r="U74" s="2" t="n"/>
    </row>
    <row r="75">
      <c r="A75" s="12" t="n"/>
      <c r="B75" s="12" t="n"/>
      <c r="C75" s="12" t="n"/>
      <c r="D75" s="4" t="n"/>
      <c r="E75" s="2" t="n"/>
      <c r="F75" s="12" t="n"/>
      <c r="G75" s="2" t="n"/>
      <c r="H75" s="14" t="n"/>
      <c r="I75" s="12" t="n"/>
      <c r="J75" s="12" t="n"/>
      <c r="K75" s="12" t="n"/>
      <c r="L75" s="12" t="n"/>
      <c r="M75" s="12" t="n"/>
      <c r="N75" s="2">
        <f>IF(A75="","",SUM(I75:M75))</f>
        <v/>
      </c>
      <c r="O75" s="12" t="n"/>
      <c r="P75" s="12" t="n"/>
      <c r="Q75" s="2" t="n"/>
      <c r="R75" s="2" t="n"/>
      <c r="S75" s="2" t="n"/>
      <c r="T75" s="5">
        <f>IF(A75="","",(COUNTA(A75:M75)+COUNTA(O75:S75))/18)</f>
        <v/>
      </c>
      <c r="U75" s="2" t="n"/>
    </row>
    <row r="76">
      <c r="A76" s="12" t="n"/>
      <c r="B76" s="12" t="n"/>
      <c r="C76" s="12" t="n"/>
      <c r="D76" s="4" t="n"/>
      <c r="E76" s="2" t="n"/>
      <c r="F76" s="12" t="n"/>
      <c r="G76" s="2" t="n"/>
      <c r="H76" s="14" t="n"/>
      <c r="I76" s="12" t="n"/>
      <c r="J76" s="12" t="n"/>
      <c r="K76" s="12" t="n"/>
      <c r="L76" s="12" t="n"/>
      <c r="M76" s="12" t="n"/>
      <c r="N76" s="2">
        <f>IF(A76="","",SUM(I76:M76))</f>
        <v/>
      </c>
      <c r="O76" s="12" t="n"/>
      <c r="P76" s="12" t="n"/>
      <c r="Q76" s="2" t="n"/>
      <c r="R76" s="2" t="n"/>
      <c r="S76" s="2" t="n"/>
      <c r="T76" s="5">
        <f>IF(A76="","",(COUNTA(A76:M76)+COUNTA(O76:S76))/18)</f>
        <v/>
      </c>
      <c r="U76" s="2" t="n"/>
    </row>
    <row r="77">
      <c r="A77" s="12" t="n"/>
      <c r="B77" s="12" t="n"/>
      <c r="C77" s="12" t="n"/>
      <c r="D77" s="4" t="n"/>
      <c r="E77" s="2" t="n"/>
      <c r="F77" s="12" t="n"/>
      <c r="G77" s="2" t="n"/>
      <c r="H77" s="14" t="n"/>
      <c r="I77" s="12" t="n"/>
      <c r="J77" s="12" t="n"/>
      <c r="K77" s="12" t="n"/>
      <c r="L77" s="12" t="n"/>
      <c r="M77" s="12" t="n"/>
      <c r="N77" s="2">
        <f>IF(A77="","",SUM(I77:M77))</f>
        <v/>
      </c>
      <c r="O77" s="12" t="n"/>
      <c r="P77" s="12" t="n"/>
      <c r="Q77" s="2" t="n"/>
      <c r="R77" s="2" t="n"/>
      <c r="S77" s="2" t="n"/>
      <c r="T77" s="5">
        <f>IF(A77="","",(COUNTA(A77:M77)+COUNTA(O77:S77))/18)</f>
        <v/>
      </c>
      <c r="U77" s="2" t="n"/>
    </row>
    <row r="78">
      <c r="A78" s="12" t="n"/>
      <c r="B78" s="12" t="n"/>
      <c r="C78" s="12" t="n"/>
      <c r="D78" s="4" t="n"/>
      <c r="E78" s="2" t="n"/>
      <c r="F78" s="12" t="n"/>
      <c r="G78" s="2" t="n"/>
      <c r="H78" s="14" t="n"/>
      <c r="I78" s="12" t="n"/>
      <c r="J78" s="12" t="n"/>
      <c r="K78" s="12" t="n"/>
      <c r="L78" s="12" t="n"/>
      <c r="M78" s="12" t="n"/>
      <c r="N78" s="2">
        <f>IF(A78="","",SUM(I78:M78))</f>
        <v/>
      </c>
      <c r="O78" s="12" t="n"/>
      <c r="P78" s="12" t="n"/>
      <c r="Q78" s="2" t="n"/>
      <c r="R78" s="2" t="n"/>
      <c r="S78" s="2" t="n"/>
      <c r="T78" s="5">
        <f>IF(A78="","",(COUNTA(A78:M78)+COUNTA(O78:S78))/18)</f>
        <v/>
      </c>
      <c r="U78" s="2" t="n"/>
    </row>
    <row r="79">
      <c r="A79" s="12" t="n"/>
      <c r="B79" s="12" t="n"/>
      <c r="C79" s="12" t="n"/>
      <c r="D79" s="4" t="n"/>
      <c r="E79" s="2" t="n"/>
      <c r="F79" s="12" t="n"/>
      <c r="G79" s="2" t="n"/>
      <c r="H79" s="14" t="n"/>
      <c r="I79" s="12" t="n"/>
      <c r="J79" s="12" t="n"/>
      <c r="K79" s="12" t="n"/>
      <c r="L79" s="12" t="n"/>
      <c r="M79" s="12" t="n"/>
      <c r="N79" s="2">
        <f>IF(A79="","",SUM(I79:M79))</f>
        <v/>
      </c>
      <c r="O79" s="12" t="n"/>
      <c r="P79" s="12" t="n"/>
      <c r="Q79" s="2" t="n"/>
      <c r="R79" s="2" t="n"/>
      <c r="S79" s="2" t="n"/>
      <c r="T79" s="5">
        <f>IF(A79="","",(COUNTA(A79:M79)+COUNTA(O79:S79))/18)</f>
        <v/>
      </c>
      <c r="U79" s="2" t="n"/>
    </row>
    <row r="80">
      <c r="A80" s="12" t="n"/>
      <c r="B80" s="12" t="n"/>
      <c r="C80" s="12" t="n"/>
      <c r="D80" s="4" t="n"/>
      <c r="E80" s="2" t="n"/>
      <c r="F80" s="12" t="n"/>
      <c r="G80" s="2" t="n"/>
      <c r="H80" s="14" t="n"/>
      <c r="I80" s="12" t="n"/>
      <c r="J80" s="12" t="n"/>
      <c r="K80" s="12" t="n"/>
      <c r="L80" s="12" t="n"/>
      <c r="M80" s="12" t="n"/>
      <c r="N80" s="2">
        <f>IF(A80="","",SUM(I80:M80))</f>
        <v/>
      </c>
      <c r="O80" s="12" t="n"/>
      <c r="P80" s="12" t="n"/>
      <c r="Q80" s="2" t="n"/>
      <c r="R80" s="2" t="n"/>
      <c r="S80" s="2" t="n"/>
      <c r="T80" s="5">
        <f>IF(A80="","",(COUNTA(A80:M80)+COUNTA(O80:S80))/18)</f>
        <v/>
      </c>
      <c r="U80" s="2" t="n"/>
    </row>
    <row r="81">
      <c r="A81" s="12" t="n"/>
      <c r="B81" s="12" t="n"/>
      <c r="C81" s="12" t="n"/>
      <c r="D81" s="4" t="n"/>
      <c r="E81" s="2" t="n"/>
      <c r="F81" s="12" t="n"/>
      <c r="G81" s="2" t="n"/>
      <c r="H81" s="14" t="n"/>
      <c r="I81" s="12" t="n"/>
      <c r="J81" s="12" t="n"/>
      <c r="K81" s="12" t="n"/>
      <c r="L81" s="12" t="n"/>
      <c r="M81" s="12" t="n"/>
      <c r="N81" s="2">
        <f>IF(A81="","",SUM(I81:M81))</f>
        <v/>
      </c>
      <c r="O81" s="12" t="n"/>
      <c r="P81" s="12" t="n"/>
      <c r="Q81" s="2" t="n"/>
      <c r="R81" s="2" t="n"/>
      <c r="S81" s="2" t="n"/>
      <c r="T81" s="5">
        <f>IF(A81="","",(COUNTA(A81:M81)+COUNTA(O81:S81))/18)</f>
        <v/>
      </c>
      <c r="U81" s="2" t="n"/>
    </row>
    <row r="82">
      <c r="A82" s="12" t="n"/>
      <c r="B82" s="12" t="n"/>
      <c r="C82" s="12" t="n"/>
      <c r="D82" s="4" t="n"/>
      <c r="E82" s="2" t="n"/>
      <c r="F82" s="12" t="n"/>
      <c r="G82" s="2" t="n"/>
      <c r="H82" s="14" t="n"/>
      <c r="I82" s="12" t="n"/>
      <c r="J82" s="12" t="n"/>
      <c r="K82" s="12" t="n"/>
      <c r="L82" s="12" t="n"/>
      <c r="M82" s="12" t="n"/>
      <c r="N82" s="2">
        <f>IF(A82="","",SUM(I82:M82))</f>
        <v/>
      </c>
      <c r="O82" s="12" t="n"/>
      <c r="P82" s="12" t="n"/>
      <c r="Q82" s="2" t="n"/>
      <c r="R82" s="2" t="n"/>
      <c r="S82" s="2" t="n"/>
      <c r="T82" s="5">
        <f>IF(A82="","",(COUNTA(A82:M82)+COUNTA(O82:S82))/18)</f>
        <v/>
      </c>
      <c r="U82" s="2" t="n"/>
    </row>
    <row r="83">
      <c r="A83" s="12" t="n"/>
      <c r="B83" s="12" t="n"/>
      <c r="C83" s="12" t="n"/>
      <c r="D83" s="4" t="n"/>
      <c r="E83" s="2" t="n"/>
      <c r="F83" s="12" t="n"/>
      <c r="G83" s="2" t="n"/>
      <c r="H83" s="14" t="n"/>
      <c r="I83" s="12" t="n"/>
      <c r="J83" s="12" t="n"/>
      <c r="K83" s="12" t="n"/>
      <c r="L83" s="12" t="n"/>
      <c r="M83" s="12" t="n"/>
      <c r="N83" s="2">
        <f>IF(A83="","",SUM(I83:M83))</f>
        <v/>
      </c>
      <c r="O83" s="12" t="n"/>
      <c r="P83" s="12" t="n"/>
      <c r="Q83" s="2" t="n"/>
      <c r="R83" s="2" t="n"/>
      <c r="S83" s="2" t="n"/>
      <c r="T83" s="5">
        <f>IF(A83="","",(COUNTA(A83:M83)+COUNTA(O83:S83))/18)</f>
        <v/>
      </c>
      <c r="U83" s="2" t="n"/>
    </row>
    <row r="84">
      <c r="A84" s="12" t="n"/>
      <c r="B84" s="12" t="n"/>
      <c r="C84" s="12" t="n"/>
      <c r="D84" s="4" t="n"/>
      <c r="E84" s="2" t="n"/>
      <c r="F84" s="12" t="n"/>
      <c r="G84" s="2" t="n"/>
      <c r="H84" s="14" t="n"/>
      <c r="I84" s="12" t="n"/>
      <c r="J84" s="12" t="n"/>
      <c r="K84" s="12" t="n"/>
      <c r="L84" s="12" t="n"/>
      <c r="M84" s="12" t="n"/>
      <c r="N84" s="2">
        <f>IF(A84="","",SUM(I84:M84))</f>
        <v/>
      </c>
      <c r="O84" s="12" t="n"/>
      <c r="P84" s="12" t="n"/>
      <c r="Q84" s="2" t="n"/>
      <c r="R84" s="2" t="n"/>
      <c r="S84" s="2" t="n"/>
      <c r="T84" s="5">
        <f>IF(A84="","",(COUNTA(A84:M84)+COUNTA(O84:S84))/18)</f>
        <v/>
      </c>
      <c r="U84" s="2" t="n"/>
    </row>
    <row r="85">
      <c r="A85" s="12" t="n"/>
      <c r="B85" s="12" t="n"/>
      <c r="C85" s="12" t="n"/>
      <c r="D85" s="4" t="n"/>
      <c r="E85" s="2" t="n"/>
      <c r="F85" s="12" t="n"/>
      <c r="G85" s="2" t="n"/>
      <c r="H85" s="14" t="n"/>
      <c r="I85" s="12" t="n"/>
      <c r="J85" s="12" t="n"/>
      <c r="K85" s="12" t="n"/>
      <c r="L85" s="12" t="n"/>
      <c r="M85" s="12" t="n"/>
      <c r="N85" s="2">
        <f>IF(A85="","",SUM(I85:M85))</f>
        <v/>
      </c>
      <c r="O85" s="12" t="n"/>
      <c r="P85" s="12" t="n"/>
      <c r="Q85" s="2" t="n"/>
      <c r="R85" s="2" t="n"/>
      <c r="S85" s="2" t="n"/>
      <c r="T85" s="5">
        <f>IF(A85="","",(COUNTA(A85:M85)+COUNTA(O85:S85))/18)</f>
        <v/>
      </c>
      <c r="U85" s="2" t="n"/>
    </row>
    <row r="86">
      <c r="A86" s="12" t="n"/>
      <c r="B86" s="12" t="n"/>
      <c r="C86" s="12" t="n"/>
      <c r="D86" s="4" t="n"/>
      <c r="E86" s="2" t="n"/>
      <c r="F86" s="12" t="n"/>
      <c r="G86" s="2" t="n"/>
      <c r="H86" s="14" t="n"/>
      <c r="I86" s="12" t="n"/>
      <c r="J86" s="12" t="n"/>
      <c r="K86" s="12" t="n"/>
      <c r="L86" s="12" t="n"/>
      <c r="M86" s="12" t="n"/>
      <c r="N86" s="2">
        <f>IF(A86="","",SUM(I86:M86))</f>
        <v/>
      </c>
      <c r="O86" s="12" t="n"/>
      <c r="P86" s="12" t="n"/>
      <c r="Q86" s="2" t="n"/>
      <c r="R86" s="2" t="n"/>
      <c r="S86" s="2" t="n"/>
      <c r="T86" s="5">
        <f>IF(A86="","",(COUNTA(A86:M86)+COUNTA(O86:S86))/18)</f>
        <v/>
      </c>
      <c r="U86" s="2" t="n"/>
    </row>
    <row r="87">
      <c r="A87" s="12" t="n"/>
      <c r="B87" s="12" t="n"/>
      <c r="C87" s="12" t="n"/>
      <c r="D87" s="4" t="n"/>
      <c r="E87" s="2" t="n"/>
      <c r="F87" s="12" t="n"/>
      <c r="G87" s="2" t="n"/>
      <c r="H87" s="14" t="n"/>
      <c r="I87" s="12" t="n"/>
      <c r="J87" s="12" t="n"/>
      <c r="K87" s="12" t="n"/>
      <c r="L87" s="12" t="n"/>
      <c r="M87" s="12" t="n"/>
      <c r="N87" s="2">
        <f>IF(A87="","",SUM(I87:M87))</f>
        <v/>
      </c>
      <c r="O87" s="12" t="n"/>
      <c r="P87" s="12" t="n"/>
      <c r="Q87" s="2" t="n"/>
      <c r="R87" s="2" t="n"/>
      <c r="S87" s="2" t="n"/>
      <c r="T87" s="5">
        <f>IF(A87="","",(COUNTA(A87:M87)+COUNTA(O87:S87))/18)</f>
        <v/>
      </c>
      <c r="U87" s="2" t="n"/>
    </row>
    <row r="88">
      <c r="A88" s="12" t="n"/>
      <c r="B88" s="12" t="n"/>
      <c r="C88" s="12" t="n"/>
      <c r="D88" s="4" t="n"/>
      <c r="E88" s="2" t="n"/>
      <c r="F88" s="12" t="n"/>
      <c r="G88" s="2" t="n"/>
      <c r="H88" s="14" t="n"/>
      <c r="I88" s="12" t="n"/>
      <c r="J88" s="12" t="n"/>
      <c r="K88" s="12" t="n"/>
      <c r="L88" s="12" t="n"/>
      <c r="M88" s="12" t="n"/>
      <c r="N88" s="2">
        <f>IF(A88="","",SUM(I88:M88))</f>
        <v/>
      </c>
      <c r="O88" s="12" t="n"/>
      <c r="P88" s="12" t="n"/>
      <c r="Q88" s="2" t="n"/>
      <c r="R88" s="2" t="n"/>
      <c r="S88" s="2" t="n"/>
      <c r="T88" s="5">
        <f>IF(A88="","",(COUNTA(A88:M88)+COUNTA(O88:S88))/18)</f>
        <v/>
      </c>
      <c r="U88" s="2" t="n"/>
    </row>
    <row r="89">
      <c r="A89" s="12" t="n"/>
      <c r="B89" s="12" t="n"/>
      <c r="C89" s="12" t="n"/>
      <c r="D89" s="4" t="n"/>
      <c r="E89" s="2" t="n"/>
      <c r="F89" s="12" t="n"/>
      <c r="G89" s="2" t="n"/>
      <c r="H89" s="14" t="n"/>
      <c r="I89" s="12" t="n"/>
      <c r="J89" s="12" t="n"/>
      <c r="K89" s="12" t="n"/>
      <c r="L89" s="12" t="n"/>
      <c r="M89" s="12" t="n"/>
      <c r="N89" s="2">
        <f>IF(A89="","",SUM(I89:M89))</f>
        <v/>
      </c>
      <c r="O89" s="12" t="n"/>
      <c r="P89" s="12" t="n"/>
      <c r="Q89" s="2" t="n"/>
      <c r="R89" s="2" t="n"/>
      <c r="S89" s="2" t="n"/>
      <c r="T89" s="5">
        <f>IF(A89="","",(COUNTA(A89:M89)+COUNTA(O89:S89))/18)</f>
        <v/>
      </c>
      <c r="U89" s="2" t="n"/>
    </row>
    <row r="90">
      <c r="A90" s="12" t="n"/>
      <c r="B90" s="12" t="n"/>
      <c r="C90" s="12" t="n"/>
      <c r="D90" s="4" t="n"/>
      <c r="E90" s="2" t="n"/>
      <c r="F90" s="12" t="n"/>
      <c r="G90" s="2" t="n"/>
      <c r="H90" s="14" t="n"/>
      <c r="I90" s="12" t="n"/>
      <c r="J90" s="12" t="n"/>
      <c r="K90" s="12" t="n"/>
      <c r="L90" s="12" t="n"/>
      <c r="M90" s="12" t="n"/>
      <c r="N90" s="2">
        <f>IF(A90="","",SUM(I90:M90))</f>
        <v/>
      </c>
      <c r="O90" s="12" t="n"/>
      <c r="P90" s="12" t="n"/>
      <c r="Q90" s="2" t="n"/>
      <c r="R90" s="2" t="n"/>
      <c r="S90" s="2" t="n"/>
      <c r="T90" s="5">
        <f>IF(A90="","",(COUNTA(A90:M90)+COUNTA(O90:S90))/18)</f>
        <v/>
      </c>
      <c r="U90" s="2" t="n"/>
    </row>
    <row r="91">
      <c r="A91" s="12" t="n"/>
      <c r="B91" s="12" t="n"/>
      <c r="C91" s="12" t="n"/>
      <c r="D91" s="4" t="n"/>
      <c r="E91" s="2" t="n"/>
      <c r="F91" s="12" t="n"/>
      <c r="G91" s="2" t="n"/>
      <c r="H91" s="14" t="n"/>
      <c r="I91" s="12" t="n"/>
      <c r="J91" s="12" t="n"/>
      <c r="K91" s="12" t="n"/>
      <c r="L91" s="12" t="n"/>
      <c r="M91" s="12" t="n"/>
      <c r="N91" s="2">
        <f>IF(A91="","",SUM(I91:M91))</f>
        <v/>
      </c>
      <c r="O91" s="12" t="n"/>
      <c r="P91" s="12" t="n"/>
      <c r="Q91" s="2" t="n"/>
      <c r="R91" s="2" t="n"/>
      <c r="S91" s="2" t="n"/>
      <c r="T91" s="5">
        <f>IF(A91="","",(COUNTA(A91:M91)+COUNTA(O91:S91))/18)</f>
        <v/>
      </c>
      <c r="U91" s="2" t="n"/>
    </row>
    <row r="92">
      <c r="A92" s="12" t="n"/>
      <c r="B92" s="12" t="n"/>
      <c r="C92" s="12" t="n"/>
      <c r="D92" s="4" t="n"/>
      <c r="E92" s="2" t="n"/>
      <c r="F92" s="12" t="n"/>
      <c r="G92" s="2" t="n"/>
      <c r="H92" s="14" t="n"/>
      <c r="I92" s="12" t="n"/>
      <c r="J92" s="12" t="n"/>
      <c r="K92" s="12" t="n"/>
      <c r="L92" s="12" t="n"/>
      <c r="M92" s="12" t="n"/>
      <c r="N92" s="2">
        <f>IF(A92="","",SUM(I92:M92))</f>
        <v/>
      </c>
      <c r="O92" s="12" t="n"/>
      <c r="P92" s="12" t="n"/>
      <c r="Q92" s="2" t="n"/>
      <c r="R92" s="2" t="n"/>
      <c r="S92" s="2" t="n"/>
      <c r="T92" s="5">
        <f>IF(A92="","",(COUNTA(A92:M92)+COUNTA(O92:S92))/18)</f>
        <v/>
      </c>
      <c r="U92" s="2" t="n"/>
    </row>
    <row r="93">
      <c r="A93" s="12" t="n"/>
      <c r="B93" s="12" t="n"/>
      <c r="C93" s="12" t="n"/>
      <c r="D93" s="4" t="n"/>
      <c r="E93" s="2" t="n"/>
      <c r="F93" s="12" t="n"/>
      <c r="G93" s="2" t="n"/>
      <c r="H93" s="14" t="n"/>
      <c r="I93" s="12" t="n"/>
      <c r="J93" s="12" t="n"/>
      <c r="K93" s="12" t="n"/>
      <c r="L93" s="12" t="n"/>
      <c r="M93" s="12" t="n"/>
      <c r="N93" s="2">
        <f>IF(A93="","",SUM(I93:M93))</f>
        <v/>
      </c>
      <c r="O93" s="12" t="n"/>
      <c r="P93" s="12" t="n"/>
      <c r="Q93" s="2" t="n"/>
      <c r="R93" s="2" t="n"/>
      <c r="S93" s="2" t="n"/>
      <c r="T93" s="5">
        <f>IF(A93="","",(COUNTA(A93:M93)+COUNTA(O93:S93))/18)</f>
        <v/>
      </c>
      <c r="U93" s="2" t="n"/>
    </row>
    <row r="94">
      <c r="A94" s="12" t="n"/>
      <c r="B94" s="12" t="n"/>
      <c r="C94" s="12" t="n"/>
      <c r="D94" s="4" t="n"/>
      <c r="E94" s="2" t="n"/>
      <c r="F94" s="12" t="n"/>
      <c r="G94" s="2" t="n"/>
      <c r="H94" s="14" t="n"/>
      <c r="I94" s="12" t="n"/>
      <c r="J94" s="12" t="n"/>
      <c r="K94" s="12" t="n"/>
      <c r="L94" s="12" t="n"/>
      <c r="M94" s="12" t="n"/>
      <c r="N94" s="2">
        <f>IF(A94="","",SUM(I94:M94))</f>
        <v/>
      </c>
      <c r="O94" s="12" t="n"/>
      <c r="P94" s="12" t="n"/>
      <c r="Q94" s="2" t="n"/>
      <c r="R94" s="2" t="n"/>
      <c r="S94" s="2" t="n"/>
      <c r="T94" s="5">
        <f>IF(A94="","",(COUNTA(A94:M94)+COUNTA(O94:S94))/18)</f>
        <v/>
      </c>
      <c r="U94" s="2" t="n"/>
    </row>
    <row r="95">
      <c r="A95" s="12" t="n"/>
      <c r="B95" s="12" t="n"/>
      <c r="C95" s="12" t="n"/>
      <c r="D95" s="4" t="n"/>
      <c r="E95" s="2" t="n"/>
      <c r="F95" s="12" t="n"/>
      <c r="G95" s="2" t="n"/>
      <c r="H95" s="14" t="n"/>
      <c r="I95" s="12" t="n"/>
      <c r="J95" s="12" t="n"/>
      <c r="K95" s="12" t="n"/>
      <c r="L95" s="12" t="n"/>
      <c r="M95" s="12" t="n"/>
      <c r="N95" s="2">
        <f>IF(A95="","",SUM(I95:M95))</f>
        <v/>
      </c>
      <c r="O95" s="12" t="n"/>
      <c r="P95" s="12" t="n"/>
      <c r="Q95" s="2" t="n"/>
      <c r="R95" s="2" t="n"/>
      <c r="S95" s="2" t="n"/>
      <c r="T95" s="5">
        <f>IF(A95="","",(COUNTA(A95:M95)+COUNTA(O95:S95))/18)</f>
        <v/>
      </c>
      <c r="U95" s="2" t="n"/>
    </row>
    <row r="96">
      <c r="A96" s="12" t="n"/>
      <c r="B96" s="12" t="n"/>
      <c r="C96" s="12" t="n"/>
      <c r="D96" s="4" t="n"/>
      <c r="E96" s="2" t="n"/>
      <c r="F96" s="12" t="n"/>
      <c r="G96" s="2" t="n"/>
      <c r="H96" s="14" t="n"/>
      <c r="I96" s="12" t="n"/>
      <c r="J96" s="12" t="n"/>
      <c r="K96" s="12" t="n"/>
      <c r="L96" s="12" t="n"/>
      <c r="M96" s="12" t="n"/>
      <c r="N96" s="2">
        <f>IF(A96="","",SUM(I96:M96))</f>
        <v/>
      </c>
      <c r="O96" s="12" t="n"/>
      <c r="P96" s="12" t="n"/>
      <c r="Q96" s="2" t="n"/>
      <c r="R96" s="2" t="n"/>
      <c r="S96" s="2" t="n"/>
      <c r="T96" s="5">
        <f>IF(A96="","",(COUNTA(A96:M96)+COUNTA(O96:S96))/18)</f>
        <v/>
      </c>
      <c r="U96" s="2" t="n"/>
    </row>
    <row r="97">
      <c r="A97" s="12" t="n"/>
      <c r="B97" s="12" t="n"/>
      <c r="C97" s="12" t="n"/>
      <c r="D97" s="4" t="n"/>
      <c r="E97" s="2" t="n"/>
      <c r="F97" s="12" t="n"/>
      <c r="G97" s="2" t="n"/>
      <c r="H97" s="14" t="n"/>
      <c r="I97" s="12" t="n"/>
      <c r="J97" s="12" t="n"/>
      <c r="K97" s="12" t="n"/>
      <c r="L97" s="12" t="n"/>
      <c r="M97" s="12" t="n"/>
      <c r="N97" s="2">
        <f>IF(A97="","",SUM(I97:M97))</f>
        <v/>
      </c>
      <c r="O97" s="12" t="n"/>
      <c r="P97" s="12" t="n"/>
      <c r="Q97" s="2" t="n"/>
      <c r="R97" s="2" t="n"/>
      <c r="S97" s="2" t="n"/>
      <c r="T97" s="5">
        <f>IF(A97="","",(COUNTA(A97:M97)+COUNTA(O97:S97))/18)</f>
        <v/>
      </c>
      <c r="U97" s="2" t="n"/>
    </row>
    <row r="98">
      <c r="A98" s="12" t="n"/>
      <c r="B98" s="12" t="n"/>
      <c r="C98" s="12" t="n"/>
      <c r="D98" s="4" t="n"/>
      <c r="E98" s="2" t="n"/>
      <c r="F98" s="12" t="n"/>
      <c r="G98" s="2" t="n"/>
      <c r="H98" s="14" t="n"/>
      <c r="I98" s="12" t="n"/>
      <c r="J98" s="12" t="n"/>
      <c r="K98" s="12" t="n"/>
      <c r="L98" s="12" t="n"/>
      <c r="M98" s="12" t="n"/>
      <c r="N98" s="2">
        <f>IF(A98="","",SUM(I98:M98))</f>
        <v/>
      </c>
      <c r="O98" s="12" t="n"/>
      <c r="P98" s="12" t="n"/>
      <c r="Q98" s="2" t="n"/>
      <c r="R98" s="2" t="n"/>
      <c r="S98" s="2" t="n"/>
      <c r="T98" s="5">
        <f>IF(A98="","",(COUNTA(A98:M98)+COUNTA(O98:S98))/18)</f>
        <v/>
      </c>
      <c r="U98" s="2" t="n"/>
    </row>
    <row r="99">
      <c r="A99" s="12" t="n"/>
      <c r="B99" s="12" t="n"/>
      <c r="C99" s="12" t="n"/>
      <c r="D99" s="4" t="n"/>
      <c r="E99" s="2" t="n"/>
      <c r="F99" s="12" t="n"/>
      <c r="G99" s="2" t="n"/>
      <c r="H99" s="14" t="n"/>
      <c r="I99" s="12" t="n"/>
      <c r="J99" s="12" t="n"/>
      <c r="K99" s="12" t="n"/>
      <c r="L99" s="12" t="n"/>
      <c r="M99" s="12" t="n"/>
      <c r="N99" s="2">
        <f>IF(A99="","",SUM(I99:M99))</f>
        <v/>
      </c>
      <c r="O99" s="12" t="n"/>
      <c r="P99" s="12" t="n"/>
      <c r="Q99" s="2" t="n"/>
      <c r="R99" s="2" t="n"/>
      <c r="S99" s="2" t="n"/>
      <c r="T99" s="5">
        <f>IF(A99="","",(COUNTA(A99:M99)+COUNTA(O99:S99))/18)</f>
        <v/>
      </c>
      <c r="U99" s="2" t="n"/>
    </row>
    <row r="100">
      <c r="A100" s="12" t="n"/>
      <c r="B100" s="12" t="n"/>
      <c r="C100" s="12" t="n"/>
      <c r="D100" s="4" t="n"/>
      <c r="E100" s="2" t="n"/>
      <c r="F100" s="12" t="n"/>
      <c r="G100" s="2" t="n"/>
      <c r="H100" s="14" t="n"/>
      <c r="I100" s="12" t="n"/>
      <c r="J100" s="12" t="n"/>
      <c r="K100" s="12" t="n"/>
      <c r="L100" s="12" t="n"/>
      <c r="M100" s="12" t="n"/>
      <c r="N100" s="2">
        <f>IF(A100="","",SUM(I100:M100))</f>
        <v/>
      </c>
      <c r="O100" s="12" t="n"/>
      <c r="P100" s="12" t="n"/>
      <c r="Q100" s="2" t="n"/>
      <c r="R100" s="2" t="n"/>
      <c r="S100" s="2" t="n"/>
      <c r="T100" s="5">
        <f>IF(A100="","",(COUNTA(A100:M100)+COUNTA(O100:S100))/18)</f>
        <v/>
      </c>
      <c r="U100" s="2" t="n"/>
    </row>
    <row r="101">
      <c r="A101" s="12" t="n"/>
      <c r="B101" s="12" t="n"/>
      <c r="C101" s="12" t="n"/>
      <c r="D101" s="4" t="n"/>
      <c r="E101" s="2" t="n"/>
      <c r="F101" s="12" t="n"/>
      <c r="G101" s="2" t="n"/>
      <c r="H101" s="14" t="n"/>
      <c r="I101" s="12" t="n"/>
      <c r="J101" s="12" t="n"/>
      <c r="K101" s="12" t="n"/>
      <c r="L101" s="12" t="n"/>
      <c r="M101" s="12" t="n"/>
      <c r="N101" s="2">
        <f>IF(A101="","",SUM(I101:M101))</f>
        <v/>
      </c>
      <c r="O101" s="12" t="n"/>
      <c r="P101" s="12" t="n"/>
      <c r="Q101" s="2" t="n"/>
      <c r="R101" s="2" t="n"/>
      <c r="S101" s="2" t="n"/>
      <c r="T101" s="5">
        <f>IF(A101="","",(COUNTA(A101:M101)+COUNTA(O101:S101))/18)</f>
        <v/>
      </c>
      <c r="U101" s="2" t="n"/>
    </row>
    <row r="102">
      <c r="A102" s="12" t="n"/>
      <c r="B102" s="12" t="n"/>
      <c r="C102" s="12" t="n"/>
      <c r="D102" s="4" t="n"/>
      <c r="E102" s="2" t="n"/>
      <c r="F102" s="12" t="n"/>
      <c r="G102" s="2" t="n"/>
      <c r="H102" s="14" t="n"/>
      <c r="I102" s="12" t="n"/>
      <c r="J102" s="12" t="n"/>
      <c r="K102" s="12" t="n"/>
      <c r="L102" s="12" t="n"/>
      <c r="M102" s="12" t="n"/>
      <c r="N102" s="2">
        <f>IF(A102="","",SUM(I102:M102))</f>
        <v/>
      </c>
      <c r="O102" s="12" t="n"/>
      <c r="P102" s="12" t="n"/>
      <c r="Q102" s="2" t="n"/>
      <c r="R102" s="2" t="n"/>
      <c r="S102" s="2" t="n"/>
      <c r="T102" s="5">
        <f>IF(A102="","",(COUNTA(A102:M102)+COUNTA(O102:S102))/18)</f>
        <v/>
      </c>
      <c r="U102" s="2" t="n"/>
    </row>
    <row r="103">
      <c r="A103" s="12" t="n"/>
      <c r="B103" s="12" t="n"/>
      <c r="C103" s="12" t="n"/>
      <c r="D103" s="4" t="n"/>
      <c r="E103" s="2" t="n"/>
      <c r="F103" s="12" t="n"/>
      <c r="G103" s="2" t="n"/>
      <c r="H103" s="14" t="n"/>
      <c r="I103" s="12" t="n"/>
      <c r="J103" s="12" t="n"/>
      <c r="K103" s="12" t="n"/>
      <c r="L103" s="12" t="n"/>
      <c r="M103" s="12" t="n"/>
      <c r="N103" s="2">
        <f>IF(A103="","",SUM(I103:M103))</f>
        <v/>
      </c>
      <c r="O103" s="12" t="n"/>
      <c r="P103" s="12" t="n"/>
      <c r="Q103" s="2" t="n"/>
      <c r="R103" s="2" t="n"/>
      <c r="S103" s="2" t="n"/>
      <c r="T103" s="5">
        <f>IF(A103="","",(COUNTA(A103:M103)+COUNTA(O103:S103))/18)</f>
        <v/>
      </c>
      <c r="U103" s="2" t="n"/>
    </row>
    <row r="104">
      <c r="A104" s="12" t="n"/>
      <c r="B104" s="12" t="n"/>
      <c r="C104" s="12" t="n"/>
      <c r="D104" s="4" t="n"/>
      <c r="E104" s="2" t="n"/>
      <c r="F104" s="12" t="n"/>
      <c r="G104" s="2" t="n"/>
      <c r="H104" s="14" t="n"/>
      <c r="I104" s="12" t="n"/>
      <c r="J104" s="12" t="n"/>
      <c r="K104" s="12" t="n"/>
      <c r="L104" s="12" t="n"/>
      <c r="M104" s="12" t="n"/>
      <c r="N104" s="2">
        <f>IF(A104="","",SUM(I104:M104))</f>
        <v/>
      </c>
      <c r="O104" s="12" t="n"/>
      <c r="P104" s="12" t="n"/>
      <c r="Q104" s="2" t="n"/>
      <c r="R104" s="2" t="n"/>
      <c r="S104" s="2" t="n"/>
      <c r="T104" s="5">
        <f>IF(A104="","",(COUNTA(A104:M104)+COUNTA(O104:S104))/18)</f>
        <v/>
      </c>
      <c r="U104" s="2" t="n"/>
    </row>
    <row r="105">
      <c r="A105" s="12" t="n"/>
      <c r="B105" s="12" t="n"/>
      <c r="C105" s="12" t="n"/>
      <c r="D105" s="4" t="n"/>
      <c r="E105" s="2" t="n"/>
      <c r="F105" s="12" t="n"/>
      <c r="G105" s="2" t="n"/>
      <c r="H105" s="14" t="n"/>
      <c r="I105" s="12" t="n"/>
      <c r="J105" s="12" t="n"/>
      <c r="K105" s="12" t="n"/>
      <c r="L105" s="12" t="n"/>
      <c r="M105" s="12" t="n"/>
      <c r="N105" s="2">
        <f>IF(A105="","",SUM(I105:M105))</f>
        <v/>
      </c>
      <c r="O105" s="12" t="n"/>
      <c r="P105" s="12" t="n"/>
      <c r="Q105" s="2" t="n"/>
      <c r="R105" s="2" t="n"/>
      <c r="S105" s="2" t="n"/>
      <c r="T105" s="5">
        <f>IF(A105="","",(COUNTA(A105:M105)+COUNTA(O105:S105))/18)</f>
        <v/>
      </c>
      <c r="U105" s="2" t="n"/>
    </row>
    <row r="106">
      <c r="A106" s="12" t="n"/>
      <c r="B106" s="12" t="n"/>
      <c r="C106" s="12" t="n"/>
      <c r="D106" s="4" t="n"/>
      <c r="E106" s="2" t="n"/>
      <c r="F106" s="12" t="n"/>
      <c r="G106" s="2" t="n"/>
      <c r="H106" s="14" t="n"/>
      <c r="I106" s="12" t="n"/>
      <c r="J106" s="12" t="n"/>
      <c r="K106" s="12" t="n"/>
      <c r="L106" s="12" t="n"/>
      <c r="M106" s="12" t="n"/>
      <c r="N106" s="2">
        <f>IF(A106="","",SUM(I106:M106))</f>
        <v/>
      </c>
      <c r="O106" s="12" t="n"/>
      <c r="P106" s="12" t="n"/>
      <c r="Q106" s="2" t="n"/>
      <c r="R106" s="2" t="n"/>
      <c r="S106" s="2" t="n"/>
      <c r="T106" s="5">
        <f>IF(A106="","",(COUNTA(A106:M106)+COUNTA(O106:S106))/18)</f>
        <v/>
      </c>
      <c r="U106" s="2" t="n"/>
    </row>
    <row r="107">
      <c r="A107" s="12" t="n"/>
      <c r="B107" s="12" t="n"/>
      <c r="C107" s="12" t="n"/>
      <c r="D107" s="4" t="n"/>
      <c r="E107" s="2" t="n"/>
      <c r="F107" s="12" t="n"/>
      <c r="G107" s="2" t="n"/>
      <c r="H107" s="14" t="n"/>
      <c r="I107" s="12" t="n"/>
      <c r="J107" s="12" t="n"/>
      <c r="K107" s="12" t="n"/>
      <c r="L107" s="12" t="n"/>
      <c r="M107" s="12" t="n"/>
      <c r="N107" s="2">
        <f>IF(A107="","",SUM(I107:M107))</f>
        <v/>
      </c>
      <c r="O107" s="12" t="n"/>
      <c r="P107" s="12" t="n"/>
      <c r="Q107" s="2" t="n"/>
      <c r="R107" s="2" t="n"/>
      <c r="S107" s="2" t="n"/>
      <c r="T107" s="5">
        <f>IF(A107="","",(COUNTA(A107:M107)+COUNTA(O107:S107))/18)</f>
        <v/>
      </c>
      <c r="U107" s="2" t="n"/>
    </row>
    <row r="108">
      <c r="A108" s="12" t="n"/>
      <c r="B108" s="12" t="n"/>
      <c r="C108" s="12" t="n"/>
      <c r="D108" s="4" t="n"/>
      <c r="E108" s="2" t="n"/>
      <c r="F108" s="12" t="n"/>
      <c r="G108" s="2" t="n"/>
      <c r="H108" s="14" t="n"/>
      <c r="I108" s="12" t="n"/>
      <c r="J108" s="12" t="n"/>
      <c r="K108" s="12" t="n"/>
      <c r="L108" s="12" t="n"/>
      <c r="M108" s="12" t="n"/>
      <c r="N108" s="2">
        <f>IF(A108="","",SUM(I108:M108))</f>
        <v/>
      </c>
      <c r="O108" s="12" t="n"/>
      <c r="P108" s="12" t="n"/>
      <c r="Q108" s="2" t="n"/>
      <c r="R108" s="2" t="n"/>
      <c r="S108" s="2" t="n"/>
      <c r="T108" s="5">
        <f>IF(A108="","",(COUNTA(A108:M108)+COUNTA(O108:S108))/18)</f>
        <v/>
      </c>
      <c r="U108" s="2" t="n"/>
    </row>
    <row r="109">
      <c r="A109" s="12" t="n"/>
      <c r="B109" s="12" t="n"/>
      <c r="C109" s="12" t="n"/>
      <c r="D109" s="4" t="n"/>
      <c r="E109" s="2" t="n"/>
      <c r="F109" s="12" t="n"/>
      <c r="G109" s="2" t="n"/>
      <c r="H109" s="14" t="n"/>
      <c r="I109" s="12" t="n"/>
      <c r="J109" s="12" t="n"/>
      <c r="K109" s="12" t="n"/>
      <c r="L109" s="12" t="n"/>
      <c r="M109" s="12" t="n"/>
      <c r="N109" s="2">
        <f>IF(A109="","",SUM(I109:M109))</f>
        <v/>
      </c>
      <c r="O109" s="12" t="n"/>
      <c r="P109" s="12" t="n"/>
      <c r="Q109" s="2" t="n"/>
      <c r="R109" s="2" t="n"/>
      <c r="S109" s="2" t="n"/>
      <c r="T109" s="5">
        <f>IF(A109="","",(COUNTA(A109:M109)+COUNTA(O109:S109))/18)</f>
        <v/>
      </c>
      <c r="U109" s="2" t="n"/>
    </row>
    <row r="110">
      <c r="A110" s="12" t="n"/>
      <c r="B110" s="12" t="n"/>
      <c r="C110" s="12" t="n"/>
      <c r="D110" s="4" t="n"/>
      <c r="E110" s="2" t="n"/>
      <c r="F110" s="12" t="n"/>
      <c r="G110" s="2" t="n"/>
      <c r="H110" s="14" t="n"/>
      <c r="I110" s="12" t="n"/>
      <c r="J110" s="12" t="n"/>
      <c r="K110" s="12" t="n"/>
      <c r="L110" s="12" t="n"/>
      <c r="M110" s="12" t="n"/>
      <c r="N110" s="2">
        <f>IF(A110="","",SUM(I110:M110))</f>
        <v/>
      </c>
      <c r="O110" s="12" t="n"/>
      <c r="P110" s="12" t="n"/>
      <c r="Q110" s="2" t="n"/>
      <c r="R110" s="2" t="n"/>
      <c r="S110" s="2" t="n"/>
      <c r="T110" s="5">
        <f>IF(A110="","",(COUNTA(A110:M110)+COUNTA(O110:S110))/18)</f>
        <v/>
      </c>
      <c r="U110" s="2" t="n"/>
    </row>
    <row r="111">
      <c r="A111" s="12" t="n"/>
      <c r="B111" s="12" t="n"/>
      <c r="C111" s="12" t="n"/>
      <c r="D111" s="4" t="n"/>
      <c r="E111" s="2" t="n"/>
      <c r="F111" s="12" t="n"/>
      <c r="G111" s="2" t="n"/>
      <c r="H111" s="14" t="n"/>
      <c r="I111" s="12" t="n"/>
      <c r="J111" s="12" t="n"/>
      <c r="K111" s="12" t="n"/>
      <c r="L111" s="12" t="n"/>
      <c r="M111" s="12" t="n"/>
      <c r="N111" s="2">
        <f>IF(A111="","",SUM(I111:M111))</f>
        <v/>
      </c>
      <c r="O111" s="12" t="n"/>
      <c r="P111" s="12" t="n"/>
      <c r="Q111" s="2" t="n"/>
      <c r="R111" s="2" t="n"/>
      <c r="S111" s="2" t="n"/>
      <c r="T111" s="5">
        <f>IF(A111="","",(COUNTA(A111:M111)+COUNTA(O111:S111))/18)</f>
        <v/>
      </c>
      <c r="U111" s="2" t="n"/>
    </row>
    <row r="112">
      <c r="A112" s="12" t="n"/>
      <c r="B112" s="12" t="n"/>
      <c r="C112" s="12" t="n"/>
      <c r="D112" s="4" t="n"/>
      <c r="E112" s="2" t="n"/>
      <c r="F112" s="12" t="n"/>
      <c r="G112" s="2" t="n"/>
      <c r="H112" s="14" t="n"/>
      <c r="I112" s="12" t="n"/>
      <c r="J112" s="12" t="n"/>
      <c r="K112" s="12" t="n"/>
      <c r="L112" s="12" t="n"/>
      <c r="M112" s="12" t="n"/>
      <c r="N112" s="2">
        <f>IF(A112="","",SUM(I112:M112))</f>
        <v/>
      </c>
      <c r="O112" s="12" t="n"/>
      <c r="P112" s="12" t="n"/>
      <c r="Q112" s="2" t="n"/>
      <c r="R112" s="2" t="n"/>
      <c r="S112" s="2" t="n"/>
      <c r="T112" s="5">
        <f>IF(A112="","",(COUNTA(A112:M112)+COUNTA(O112:S112))/18)</f>
        <v/>
      </c>
      <c r="U112" s="2" t="n"/>
    </row>
    <row r="113">
      <c r="A113" s="12" t="n"/>
      <c r="B113" s="12" t="n"/>
      <c r="C113" s="12" t="n"/>
      <c r="D113" s="4" t="n"/>
      <c r="E113" s="2" t="n"/>
      <c r="F113" s="12" t="n"/>
      <c r="G113" s="2" t="n"/>
      <c r="H113" s="14" t="n"/>
      <c r="I113" s="12" t="n"/>
      <c r="J113" s="12" t="n"/>
      <c r="K113" s="12" t="n"/>
      <c r="L113" s="12" t="n"/>
      <c r="M113" s="12" t="n"/>
      <c r="N113" s="2">
        <f>IF(A113="","",SUM(I113:M113))</f>
        <v/>
      </c>
      <c r="O113" s="12" t="n"/>
      <c r="P113" s="12" t="n"/>
      <c r="Q113" s="2" t="n"/>
      <c r="R113" s="2" t="n"/>
      <c r="S113" s="2" t="n"/>
      <c r="T113" s="5">
        <f>IF(A113="","",(COUNTA(A113:M113)+COUNTA(O113:S113))/18)</f>
        <v/>
      </c>
      <c r="U113" s="2" t="n"/>
    </row>
    <row r="114">
      <c r="A114" s="12" t="n"/>
      <c r="B114" s="12" t="n"/>
      <c r="C114" s="12" t="n"/>
      <c r="D114" s="4" t="n"/>
      <c r="E114" s="2" t="n"/>
      <c r="F114" s="12" t="n"/>
      <c r="G114" s="2" t="n"/>
      <c r="H114" s="14" t="n"/>
      <c r="I114" s="12" t="n"/>
      <c r="J114" s="12" t="n"/>
      <c r="K114" s="12" t="n"/>
      <c r="L114" s="12" t="n"/>
      <c r="M114" s="12" t="n"/>
      <c r="N114" s="2">
        <f>IF(A114="","",SUM(I114:M114))</f>
        <v/>
      </c>
      <c r="O114" s="12" t="n"/>
      <c r="P114" s="12" t="n"/>
      <c r="Q114" s="2" t="n"/>
      <c r="R114" s="2" t="n"/>
      <c r="S114" s="2" t="n"/>
      <c r="T114" s="5">
        <f>IF(A114="","",(COUNTA(A114:M114)+COUNTA(O114:S114))/18)</f>
        <v/>
      </c>
      <c r="U114" s="2" t="n"/>
    </row>
    <row r="115">
      <c r="A115" s="12" t="n"/>
      <c r="B115" s="12" t="n"/>
      <c r="C115" s="12" t="n"/>
      <c r="D115" s="4" t="n"/>
      <c r="E115" s="2" t="n"/>
      <c r="F115" s="12" t="n"/>
      <c r="G115" s="2" t="n"/>
      <c r="H115" s="14" t="n"/>
      <c r="I115" s="12" t="n"/>
      <c r="J115" s="12" t="n"/>
      <c r="K115" s="12" t="n"/>
      <c r="L115" s="12" t="n"/>
      <c r="M115" s="12" t="n"/>
      <c r="N115" s="2">
        <f>IF(A115="","",SUM(I115:M115))</f>
        <v/>
      </c>
      <c r="O115" s="12" t="n"/>
      <c r="P115" s="12" t="n"/>
      <c r="Q115" s="2" t="n"/>
      <c r="R115" s="2" t="n"/>
      <c r="S115" s="2" t="n"/>
      <c r="T115" s="5">
        <f>IF(A115="","",(COUNTA(A115:M115)+COUNTA(O115:S115))/18)</f>
        <v/>
      </c>
      <c r="U115" s="2" t="n"/>
    </row>
    <row r="116">
      <c r="A116" s="12" t="n"/>
      <c r="B116" s="12" t="n"/>
      <c r="C116" s="12" t="n"/>
      <c r="D116" s="4" t="n"/>
      <c r="E116" s="2" t="n"/>
      <c r="F116" s="12" t="n"/>
      <c r="G116" s="2" t="n"/>
      <c r="H116" s="14" t="n"/>
      <c r="I116" s="12" t="n"/>
      <c r="J116" s="12" t="n"/>
      <c r="K116" s="12" t="n"/>
      <c r="L116" s="12" t="n"/>
      <c r="M116" s="12" t="n"/>
      <c r="N116" s="2">
        <f>IF(A116="","",SUM(I116:M116))</f>
        <v/>
      </c>
      <c r="O116" s="12" t="n"/>
      <c r="P116" s="12" t="n"/>
      <c r="Q116" s="2" t="n"/>
      <c r="R116" s="2" t="n"/>
      <c r="S116" s="2" t="n"/>
      <c r="T116" s="5">
        <f>IF(A116="","",(COUNTA(A116:M116)+COUNTA(O116:S116))/18)</f>
        <v/>
      </c>
      <c r="U116" s="2" t="n"/>
    </row>
    <row r="117">
      <c r="A117" s="12" t="n"/>
      <c r="B117" s="12" t="n"/>
      <c r="C117" s="12" t="n"/>
      <c r="D117" s="4" t="n"/>
      <c r="E117" s="2" t="n"/>
      <c r="F117" s="12" t="n"/>
      <c r="G117" s="2" t="n"/>
      <c r="H117" s="14" t="n"/>
      <c r="I117" s="12" t="n"/>
      <c r="J117" s="12" t="n"/>
      <c r="K117" s="12" t="n"/>
      <c r="L117" s="12" t="n"/>
      <c r="M117" s="12" t="n"/>
      <c r="N117" s="2">
        <f>IF(A117="","",SUM(I117:M117))</f>
        <v/>
      </c>
      <c r="O117" s="12" t="n"/>
      <c r="P117" s="12" t="n"/>
      <c r="Q117" s="2" t="n"/>
      <c r="R117" s="2" t="n"/>
      <c r="S117" s="2" t="n"/>
      <c r="T117" s="5">
        <f>IF(A117="","",(COUNTA(A117:M117)+COUNTA(O117:S117))/18)</f>
        <v/>
      </c>
      <c r="U117" s="2" t="n"/>
    </row>
    <row r="118">
      <c r="A118" s="12" t="n"/>
      <c r="B118" s="12" t="n"/>
      <c r="C118" s="12" t="n"/>
      <c r="D118" s="4" t="n"/>
      <c r="E118" s="2" t="n"/>
      <c r="F118" s="12" t="n"/>
      <c r="G118" s="2" t="n"/>
      <c r="H118" s="14" t="n"/>
      <c r="I118" s="12" t="n"/>
      <c r="J118" s="12" t="n"/>
      <c r="K118" s="12" t="n"/>
      <c r="L118" s="12" t="n"/>
      <c r="M118" s="12" t="n"/>
      <c r="N118" s="2">
        <f>IF(A118="","",SUM(I118:M118))</f>
        <v/>
      </c>
      <c r="O118" s="12" t="n"/>
      <c r="P118" s="12" t="n"/>
      <c r="Q118" s="2" t="n"/>
      <c r="R118" s="2" t="n"/>
      <c r="S118" s="2" t="n"/>
      <c r="T118" s="5">
        <f>IF(A118="","",(COUNTA(A118:M118)+COUNTA(O118:S118))/18)</f>
        <v/>
      </c>
      <c r="U118" s="2" t="n"/>
    </row>
    <row r="119">
      <c r="A119" s="12" t="n"/>
      <c r="B119" s="12" t="n"/>
      <c r="C119" s="12" t="n"/>
      <c r="D119" s="4" t="n"/>
      <c r="E119" s="2" t="n"/>
      <c r="F119" s="12" t="n"/>
      <c r="G119" s="2" t="n"/>
      <c r="H119" s="14" t="n"/>
      <c r="I119" s="12" t="n"/>
      <c r="J119" s="12" t="n"/>
      <c r="K119" s="12" t="n"/>
      <c r="L119" s="12" t="n"/>
      <c r="M119" s="12" t="n"/>
      <c r="N119" s="2">
        <f>IF(A119="","",SUM(I119:M119))</f>
        <v/>
      </c>
      <c r="O119" s="12" t="n"/>
      <c r="P119" s="12" t="n"/>
      <c r="Q119" s="2" t="n"/>
      <c r="R119" s="2" t="n"/>
      <c r="S119" s="2" t="n"/>
      <c r="T119" s="5">
        <f>IF(A119="","",(COUNTA(A119:M119)+COUNTA(O119:S119))/18)</f>
        <v/>
      </c>
      <c r="U119" s="2" t="n"/>
    </row>
    <row r="120">
      <c r="A120" s="12" t="n"/>
      <c r="B120" s="12" t="n"/>
      <c r="C120" s="12" t="n"/>
      <c r="D120" s="4" t="n"/>
      <c r="E120" s="2" t="n"/>
      <c r="F120" s="12" t="n"/>
      <c r="G120" s="2" t="n"/>
      <c r="H120" s="14" t="n"/>
      <c r="I120" s="12" t="n"/>
      <c r="J120" s="12" t="n"/>
      <c r="K120" s="12" t="n"/>
      <c r="L120" s="12" t="n"/>
      <c r="M120" s="12" t="n"/>
      <c r="N120" s="2">
        <f>IF(A120="","",SUM(I120:M120))</f>
        <v/>
      </c>
      <c r="O120" s="12" t="n"/>
      <c r="P120" s="12" t="n"/>
      <c r="Q120" s="2" t="n"/>
      <c r="R120" s="2" t="n"/>
      <c r="S120" s="2" t="n"/>
      <c r="T120" s="5">
        <f>IF(A120="","",(COUNTA(A120:M120)+COUNTA(O120:S120))/18)</f>
        <v/>
      </c>
      <c r="U120" s="2" t="n"/>
    </row>
    <row r="121">
      <c r="A121" s="12" t="n"/>
      <c r="B121" s="12" t="n"/>
      <c r="C121" s="12" t="n"/>
      <c r="D121" s="4" t="n"/>
      <c r="E121" s="2" t="n"/>
      <c r="F121" s="12" t="n"/>
      <c r="G121" s="2" t="n"/>
      <c r="H121" s="14" t="n"/>
      <c r="I121" s="12" t="n"/>
      <c r="J121" s="12" t="n"/>
      <c r="K121" s="12" t="n"/>
      <c r="L121" s="12" t="n"/>
      <c r="M121" s="12" t="n"/>
      <c r="N121" s="2">
        <f>IF(A121="","",SUM(I121:M121))</f>
        <v/>
      </c>
      <c r="O121" s="12" t="n"/>
      <c r="P121" s="12" t="n"/>
      <c r="Q121" s="2" t="n"/>
      <c r="R121" s="2" t="n"/>
      <c r="S121" s="2" t="n"/>
      <c r="T121" s="5">
        <f>IF(A121="","",(COUNTA(A121:M121)+COUNTA(O121:S121))/18)</f>
        <v/>
      </c>
      <c r="U121" s="2" t="n"/>
    </row>
    <row r="122">
      <c r="A122" s="12" t="n"/>
      <c r="B122" s="12" t="n"/>
      <c r="C122" s="12" t="n"/>
      <c r="D122" s="4" t="n"/>
      <c r="E122" s="2" t="n"/>
      <c r="F122" s="12" t="n"/>
      <c r="G122" s="2" t="n"/>
      <c r="H122" s="14" t="n"/>
      <c r="I122" s="12" t="n"/>
      <c r="J122" s="12" t="n"/>
      <c r="K122" s="12" t="n"/>
      <c r="L122" s="12" t="n"/>
      <c r="M122" s="12" t="n"/>
      <c r="N122" s="2">
        <f>IF(A122="","",SUM(I122:M122))</f>
        <v/>
      </c>
      <c r="O122" s="12" t="n"/>
      <c r="P122" s="12" t="n"/>
      <c r="Q122" s="2" t="n"/>
      <c r="R122" s="2" t="n"/>
      <c r="S122" s="2" t="n"/>
      <c r="T122" s="5">
        <f>IF(A122="","",(COUNTA(A122:M122)+COUNTA(O122:S122))/18)</f>
        <v/>
      </c>
      <c r="U122" s="2" t="n"/>
    </row>
    <row r="123">
      <c r="A123" s="12" t="n"/>
      <c r="B123" s="12" t="n"/>
      <c r="C123" s="12" t="n"/>
      <c r="D123" s="4" t="n"/>
      <c r="E123" s="2" t="n"/>
      <c r="F123" s="12" t="n"/>
      <c r="G123" s="2" t="n"/>
      <c r="H123" s="14" t="n"/>
      <c r="I123" s="12" t="n"/>
      <c r="J123" s="12" t="n"/>
      <c r="K123" s="12" t="n"/>
      <c r="L123" s="12" t="n"/>
      <c r="M123" s="12" t="n"/>
      <c r="N123" s="2">
        <f>IF(A123="","",SUM(I123:M123))</f>
        <v/>
      </c>
      <c r="O123" s="12" t="n"/>
      <c r="P123" s="12" t="n"/>
      <c r="Q123" s="2" t="n"/>
      <c r="R123" s="2" t="n"/>
      <c r="S123" s="2" t="n"/>
      <c r="T123" s="5">
        <f>IF(A123="","",(COUNTA(A123:M123)+COUNTA(O123:S123))/18)</f>
        <v/>
      </c>
      <c r="U123" s="2" t="n"/>
    </row>
    <row r="124">
      <c r="A124" s="12" t="n"/>
      <c r="B124" s="12" t="n"/>
      <c r="C124" s="12" t="n"/>
      <c r="D124" s="4" t="n"/>
      <c r="E124" s="2" t="n"/>
      <c r="F124" s="12" t="n"/>
      <c r="G124" s="2" t="n"/>
      <c r="H124" s="14" t="n"/>
      <c r="I124" s="12" t="n"/>
      <c r="J124" s="12" t="n"/>
      <c r="K124" s="12" t="n"/>
      <c r="L124" s="12" t="n"/>
      <c r="M124" s="12" t="n"/>
      <c r="N124" s="2">
        <f>IF(A124="","",SUM(I124:M124))</f>
        <v/>
      </c>
      <c r="O124" s="12" t="n"/>
      <c r="P124" s="12" t="n"/>
      <c r="Q124" s="2" t="n"/>
      <c r="R124" s="2" t="n"/>
      <c r="S124" s="2" t="n"/>
      <c r="T124" s="5">
        <f>IF(A124="","",(COUNTA(A124:M124)+COUNTA(O124:S124))/18)</f>
        <v/>
      </c>
      <c r="U124" s="2" t="n"/>
    </row>
    <row r="125">
      <c r="A125" s="12" t="n"/>
      <c r="B125" s="12" t="n"/>
      <c r="C125" s="12" t="n"/>
      <c r="D125" s="4" t="n"/>
      <c r="E125" s="2" t="n"/>
      <c r="F125" s="12" t="n"/>
      <c r="G125" s="2" t="n"/>
      <c r="H125" s="14" t="n"/>
      <c r="I125" s="12" t="n"/>
      <c r="J125" s="12" t="n"/>
      <c r="K125" s="12" t="n"/>
      <c r="L125" s="12" t="n"/>
      <c r="M125" s="12" t="n"/>
      <c r="N125" s="2">
        <f>IF(A125="","",SUM(I125:M125))</f>
        <v/>
      </c>
      <c r="O125" s="12" t="n"/>
      <c r="P125" s="12" t="n"/>
      <c r="Q125" s="2" t="n"/>
      <c r="R125" s="2" t="n"/>
      <c r="S125" s="2" t="n"/>
      <c r="T125" s="5">
        <f>IF(A125="","",(COUNTA(A125:M125)+COUNTA(O125:S125))/18)</f>
        <v/>
      </c>
      <c r="U125" s="2" t="n"/>
    </row>
    <row r="126">
      <c r="A126" s="12" t="n"/>
      <c r="B126" s="12" t="n"/>
      <c r="C126" s="12" t="n"/>
      <c r="D126" s="4" t="n"/>
      <c r="E126" s="2" t="n"/>
      <c r="F126" s="12" t="n"/>
      <c r="G126" s="2" t="n"/>
      <c r="H126" s="14" t="n"/>
      <c r="I126" s="12" t="n"/>
      <c r="J126" s="12" t="n"/>
      <c r="K126" s="12" t="n"/>
      <c r="L126" s="12" t="n"/>
      <c r="M126" s="12" t="n"/>
      <c r="N126" s="2">
        <f>IF(A126="","",SUM(I126:M126))</f>
        <v/>
      </c>
      <c r="O126" s="12" t="n"/>
      <c r="P126" s="12" t="n"/>
      <c r="Q126" s="2" t="n"/>
      <c r="R126" s="2" t="n"/>
      <c r="S126" s="2" t="n"/>
      <c r="T126" s="5">
        <f>IF(A126="","",(COUNTA(A126:M126)+COUNTA(O126:S126))/18)</f>
        <v/>
      </c>
      <c r="U126" s="2" t="n"/>
    </row>
    <row r="127">
      <c r="A127" s="12" t="n"/>
      <c r="B127" s="12" t="n"/>
      <c r="C127" s="12" t="n"/>
      <c r="D127" s="4" t="n"/>
      <c r="E127" s="2" t="n"/>
      <c r="F127" s="12" t="n"/>
      <c r="G127" s="2" t="n"/>
      <c r="H127" s="14" t="n"/>
      <c r="I127" s="12" t="n"/>
      <c r="J127" s="12" t="n"/>
      <c r="K127" s="12" t="n"/>
      <c r="L127" s="12" t="n"/>
      <c r="M127" s="12" t="n"/>
      <c r="N127" s="2">
        <f>IF(A127="","",SUM(I127:M127))</f>
        <v/>
      </c>
      <c r="O127" s="12" t="n"/>
      <c r="P127" s="12" t="n"/>
      <c r="Q127" s="2" t="n"/>
      <c r="R127" s="2" t="n"/>
      <c r="S127" s="2" t="n"/>
      <c r="T127" s="5">
        <f>IF(A127="","",(COUNTA(A127:M127)+COUNTA(O127:S127))/18)</f>
        <v/>
      </c>
      <c r="U127" s="2" t="n"/>
    </row>
    <row r="128">
      <c r="A128" s="12" t="n"/>
      <c r="B128" s="12" t="n"/>
      <c r="C128" s="12" t="n"/>
      <c r="D128" s="4" t="n"/>
      <c r="E128" s="2" t="n"/>
      <c r="F128" s="12" t="n"/>
      <c r="G128" s="2" t="n"/>
      <c r="H128" s="14" t="n"/>
      <c r="I128" s="12" t="n"/>
      <c r="J128" s="12" t="n"/>
      <c r="K128" s="12" t="n"/>
      <c r="L128" s="12" t="n"/>
      <c r="M128" s="12" t="n"/>
      <c r="N128" s="2">
        <f>IF(A128="","",SUM(I128:M128))</f>
        <v/>
      </c>
      <c r="O128" s="12" t="n"/>
      <c r="P128" s="12" t="n"/>
      <c r="Q128" s="2" t="n"/>
      <c r="R128" s="2" t="n"/>
      <c r="S128" s="2" t="n"/>
      <c r="T128" s="5">
        <f>IF(A128="","",(COUNTA(A128:M128)+COUNTA(O128:S128))/18)</f>
        <v/>
      </c>
      <c r="U128" s="2" t="n"/>
    </row>
    <row r="129">
      <c r="A129" s="12" t="n"/>
      <c r="B129" s="12" t="n"/>
      <c r="C129" s="12" t="n"/>
      <c r="D129" s="4" t="n"/>
      <c r="E129" s="2" t="n"/>
      <c r="F129" s="12" t="n"/>
      <c r="G129" s="2" t="n"/>
      <c r="H129" s="14" t="n"/>
      <c r="I129" s="12" t="n"/>
      <c r="J129" s="12" t="n"/>
      <c r="K129" s="12" t="n"/>
      <c r="L129" s="12" t="n"/>
      <c r="M129" s="12" t="n"/>
      <c r="N129" s="2">
        <f>IF(A129="","",SUM(I129:M129))</f>
        <v/>
      </c>
      <c r="O129" s="12" t="n"/>
      <c r="P129" s="12" t="n"/>
      <c r="Q129" s="2" t="n"/>
      <c r="R129" s="2" t="n"/>
      <c r="S129" s="2" t="n"/>
      <c r="T129" s="5">
        <f>IF(A129="","",(COUNTA(A129:M129)+COUNTA(O129:S129))/18)</f>
        <v/>
      </c>
      <c r="U129" s="2" t="n"/>
    </row>
    <row r="130">
      <c r="A130" s="12" t="n"/>
      <c r="B130" s="12" t="n"/>
      <c r="C130" s="12" t="n"/>
      <c r="D130" s="4" t="n"/>
      <c r="E130" s="2" t="n"/>
      <c r="F130" s="12" t="n"/>
      <c r="G130" s="2" t="n"/>
      <c r="H130" s="14" t="n"/>
      <c r="I130" s="12" t="n"/>
      <c r="J130" s="12" t="n"/>
      <c r="K130" s="12" t="n"/>
      <c r="L130" s="12" t="n"/>
      <c r="M130" s="12" t="n"/>
      <c r="N130" s="2">
        <f>IF(A130="","",SUM(I130:M130))</f>
        <v/>
      </c>
      <c r="O130" s="12" t="n"/>
      <c r="P130" s="12" t="n"/>
      <c r="Q130" s="2" t="n"/>
      <c r="R130" s="2" t="n"/>
      <c r="S130" s="2" t="n"/>
      <c r="T130" s="5">
        <f>IF(A130="","",(COUNTA(A130:M130)+COUNTA(O130:S130))/18)</f>
        <v/>
      </c>
      <c r="U130" s="2" t="n"/>
    </row>
    <row r="131">
      <c r="A131" s="12" t="n"/>
      <c r="B131" s="12" t="n"/>
      <c r="C131" s="12" t="n"/>
      <c r="D131" s="4" t="n"/>
      <c r="E131" s="2" t="n"/>
      <c r="F131" s="12" t="n"/>
      <c r="G131" s="2" t="n"/>
      <c r="H131" s="14" t="n"/>
      <c r="I131" s="12" t="n"/>
      <c r="J131" s="12" t="n"/>
      <c r="K131" s="12" t="n"/>
      <c r="L131" s="12" t="n"/>
      <c r="M131" s="12" t="n"/>
      <c r="N131" s="2">
        <f>IF(A131="","",SUM(I131:M131))</f>
        <v/>
      </c>
      <c r="O131" s="12" t="n"/>
      <c r="P131" s="12" t="n"/>
      <c r="Q131" s="2" t="n"/>
      <c r="R131" s="2" t="n"/>
      <c r="S131" s="2" t="n"/>
      <c r="T131" s="5">
        <f>IF(A131="","",(COUNTA(A131:M131)+COUNTA(O131:S131))/18)</f>
        <v/>
      </c>
      <c r="U131" s="2" t="n"/>
    </row>
    <row r="132">
      <c r="A132" s="12" t="n"/>
      <c r="B132" s="12" t="n"/>
      <c r="C132" s="12" t="n"/>
      <c r="D132" s="4" t="n"/>
      <c r="E132" s="2" t="n"/>
      <c r="F132" s="12" t="n"/>
      <c r="G132" s="2" t="n"/>
      <c r="H132" s="14" t="n"/>
      <c r="I132" s="12" t="n"/>
      <c r="J132" s="12" t="n"/>
      <c r="K132" s="12" t="n"/>
      <c r="L132" s="12" t="n"/>
      <c r="M132" s="12" t="n"/>
      <c r="N132" s="2">
        <f>IF(A132="","",SUM(I132:M132))</f>
        <v/>
      </c>
      <c r="O132" s="12" t="n"/>
      <c r="P132" s="12" t="n"/>
      <c r="Q132" s="2" t="n"/>
      <c r="R132" s="2" t="n"/>
      <c r="S132" s="2" t="n"/>
      <c r="T132" s="5">
        <f>IF(A132="","",(COUNTA(A132:M132)+COUNTA(O132:S132))/18)</f>
        <v/>
      </c>
      <c r="U132" s="2" t="n"/>
    </row>
    <row r="133">
      <c r="A133" s="12" t="n"/>
      <c r="B133" s="12" t="n"/>
      <c r="C133" s="12" t="n"/>
      <c r="D133" s="4" t="n"/>
      <c r="E133" s="2" t="n"/>
      <c r="F133" s="12" t="n"/>
      <c r="G133" s="2" t="n"/>
      <c r="H133" s="14" t="n"/>
      <c r="I133" s="12" t="n"/>
      <c r="J133" s="12" t="n"/>
      <c r="K133" s="12" t="n"/>
      <c r="L133" s="12" t="n"/>
      <c r="M133" s="12" t="n"/>
      <c r="N133" s="2">
        <f>IF(A133="","",SUM(I133:M133))</f>
        <v/>
      </c>
      <c r="O133" s="12" t="n"/>
      <c r="P133" s="12" t="n"/>
      <c r="Q133" s="2" t="n"/>
      <c r="R133" s="2" t="n"/>
      <c r="S133" s="2" t="n"/>
      <c r="T133" s="5">
        <f>IF(A133="","",(COUNTA(A133:M133)+COUNTA(O133:S133))/18)</f>
        <v/>
      </c>
      <c r="U133" s="2" t="n"/>
    </row>
    <row r="134">
      <c r="A134" s="12" t="n"/>
      <c r="B134" s="12" t="n"/>
      <c r="C134" s="12" t="n"/>
      <c r="D134" s="4" t="n"/>
      <c r="E134" s="2" t="n"/>
      <c r="F134" s="12" t="n"/>
      <c r="G134" s="2" t="n"/>
      <c r="H134" s="14" t="n"/>
      <c r="I134" s="12" t="n"/>
      <c r="J134" s="12" t="n"/>
      <c r="K134" s="12" t="n"/>
      <c r="L134" s="12" t="n"/>
      <c r="M134" s="12" t="n"/>
      <c r="N134" s="2">
        <f>IF(A134="","",SUM(I134:M134))</f>
        <v/>
      </c>
      <c r="O134" s="12" t="n"/>
      <c r="P134" s="12" t="n"/>
      <c r="Q134" s="2" t="n"/>
      <c r="R134" s="2" t="n"/>
      <c r="S134" s="2" t="n"/>
      <c r="T134" s="5">
        <f>IF(A134="","",(COUNTA(A134:M134)+COUNTA(O134:S134))/18)</f>
        <v/>
      </c>
      <c r="U134" s="2" t="n"/>
    </row>
    <row r="135">
      <c r="A135" s="12" t="n"/>
      <c r="B135" s="12" t="n"/>
      <c r="C135" s="12" t="n"/>
      <c r="D135" s="4" t="n"/>
      <c r="E135" s="2" t="n"/>
      <c r="F135" s="12" t="n"/>
      <c r="G135" s="2" t="n"/>
      <c r="H135" s="14" t="n"/>
      <c r="I135" s="12" t="n"/>
      <c r="J135" s="12" t="n"/>
      <c r="K135" s="12" t="n"/>
      <c r="L135" s="12" t="n"/>
      <c r="M135" s="12" t="n"/>
      <c r="N135" s="2">
        <f>IF(A135="","",SUM(I135:M135))</f>
        <v/>
      </c>
      <c r="O135" s="12" t="n"/>
      <c r="P135" s="12" t="n"/>
      <c r="Q135" s="2" t="n"/>
      <c r="R135" s="2" t="n"/>
      <c r="S135" s="2" t="n"/>
      <c r="T135" s="5">
        <f>IF(A135="","",(COUNTA(A135:M135)+COUNTA(O135:S135))/18)</f>
        <v/>
      </c>
      <c r="U135" s="2" t="n"/>
    </row>
    <row r="136">
      <c r="A136" s="12" t="n"/>
      <c r="B136" s="12" t="n"/>
      <c r="C136" s="12" t="n"/>
      <c r="D136" s="4" t="n"/>
      <c r="E136" s="2" t="n"/>
      <c r="F136" s="12" t="n"/>
      <c r="G136" s="2" t="n"/>
      <c r="H136" s="14" t="n"/>
      <c r="I136" s="12" t="n"/>
      <c r="J136" s="12" t="n"/>
      <c r="K136" s="12" t="n"/>
      <c r="L136" s="12" t="n"/>
      <c r="M136" s="12" t="n"/>
      <c r="N136" s="2">
        <f>IF(A136="","",SUM(I136:M136))</f>
        <v/>
      </c>
      <c r="O136" s="12" t="n"/>
      <c r="P136" s="12" t="n"/>
      <c r="Q136" s="2" t="n"/>
      <c r="R136" s="2" t="n"/>
      <c r="S136" s="2" t="n"/>
      <c r="T136" s="5">
        <f>IF(A136="","",(COUNTA(A136:M136)+COUNTA(O136:S136))/18)</f>
        <v/>
      </c>
      <c r="U136" s="2" t="n"/>
    </row>
    <row r="137">
      <c r="A137" s="12" t="n"/>
      <c r="B137" s="12" t="n"/>
      <c r="C137" s="12" t="n"/>
      <c r="D137" s="4" t="n"/>
      <c r="E137" s="2" t="n"/>
      <c r="F137" s="12" t="n"/>
      <c r="G137" s="2" t="n"/>
      <c r="H137" s="14" t="n"/>
      <c r="I137" s="12" t="n"/>
      <c r="J137" s="12" t="n"/>
      <c r="K137" s="12" t="n"/>
      <c r="L137" s="12" t="n"/>
      <c r="M137" s="12" t="n"/>
      <c r="N137" s="2">
        <f>IF(A137="","",SUM(I137:M137))</f>
        <v/>
      </c>
      <c r="O137" s="12" t="n"/>
      <c r="P137" s="12" t="n"/>
      <c r="Q137" s="2" t="n"/>
      <c r="R137" s="2" t="n"/>
      <c r="S137" s="2" t="n"/>
      <c r="T137" s="5">
        <f>IF(A137="","",(COUNTA(A137:M137)+COUNTA(O137:S137))/18)</f>
        <v/>
      </c>
      <c r="U137" s="2" t="n"/>
    </row>
    <row r="138">
      <c r="A138" s="12" t="n"/>
      <c r="B138" s="12" t="n"/>
      <c r="C138" s="12" t="n"/>
      <c r="D138" s="4" t="n"/>
      <c r="E138" s="2" t="n"/>
      <c r="F138" s="12" t="n"/>
      <c r="G138" s="2" t="n"/>
      <c r="H138" s="14" t="n"/>
      <c r="I138" s="12" t="n"/>
      <c r="J138" s="12" t="n"/>
      <c r="K138" s="12" t="n"/>
      <c r="L138" s="12" t="n"/>
      <c r="M138" s="12" t="n"/>
      <c r="N138" s="2">
        <f>IF(A138="","",SUM(I138:M138))</f>
        <v/>
      </c>
      <c r="O138" s="12" t="n"/>
      <c r="P138" s="12" t="n"/>
      <c r="Q138" s="2" t="n"/>
      <c r="R138" s="2" t="n"/>
      <c r="S138" s="2" t="n"/>
      <c r="T138" s="5">
        <f>IF(A138="","",(COUNTA(A138:M138)+COUNTA(O138:S138))/18)</f>
        <v/>
      </c>
      <c r="U138" s="2" t="n"/>
    </row>
    <row r="139">
      <c r="A139" s="12" t="n"/>
      <c r="B139" s="12" t="n"/>
      <c r="C139" s="12" t="n"/>
      <c r="D139" s="4" t="n"/>
      <c r="E139" s="2" t="n"/>
      <c r="F139" s="12" t="n"/>
      <c r="G139" s="2" t="n"/>
      <c r="H139" s="14" t="n"/>
      <c r="I139" s="12" t="n"/>
      <c r="J139" s="12" t="n"/>
      <c r="K139" s="12" t="n"/>
      <c r="L139" s="12" t="n"/>
      <c r="M139" s="12" t="n"/>
      <c r="N139" s="2">
        <f>IF(A139="","",SUM(I139:M139))</f>
        <v/>
      </c>
      <c r="O139" s="12" t="n"/>
      <c r="P139" s="12" t="n"/>
      <c r="Q139" s="2" t="n"/>
      <c r="R139" s="2" t="n"/>
      <c r="S139" s="2" t="n"/>
      <c r="T139" s="5">
        <f>IF(A139="","",(COUNTA(A139:M139)+COUNTA(O139:S139))/18)</f>
        <v/>
      </c>
      <c r="U139" s="2" t="n"/>
    </row>
    <row r="140">
      <c r="A140" s="12" t="n"/>
      <c r="B140" s="12" t="n"/>
      <c r="C140" s="12" t="n"/>
      <c r="D140" s="4" t="n"/>
      <c r="E140" s="2" t="n"/>
      <c r="F140" s="12" t="n"/>
      <c r="G140" s="2" t="n"/>
      <c r="H140" s="14" t="n"/>
      <c r="I140" s="12" t="n"/>
      <c r="J140" s="12" t="n"/>
      <c r="K140" s="12" t="n"/>
      <c r="L140" s="12" t="n"/>
      <c r="M140" s="12" t="n"/>
      <c r="N140" s="2">
        <f>IF(A140="","",SUM(I140:M140))</f>
        <v/>
      </c>
      <c r="O140" s="12" t="n"/>
      <c r="P140" s="12" t="n"/>
      <c r="Q140" s="2" t="n"/>
      <c r="R140" s="2" t="n"/>
      <c r="S140" s="2" t="n"/>
      <c r="T140" s="5">
        <f>IF(A140="","",(COUNTA(A140:M140)+COUNTA(O140:S140))/18)</f>
        <v/>
      </c>
      <c r="U140" s="2" t="n"/>
    </row>
    <row r="141">
      <c r="A141" s="12" t="n"/>
      <c r="B141" s="12" t="n"/>
      <c r="C141" s="12" t="n"/>
      <c r="D141" s="4" t="n"/>
      <c r="E141" s="2" t="n"/>
      <c r="F141" s="12" t="n"/>
      <c r="G141" s="2" t="n"/>
      <c r="H141" s="14" t="n"/>
      <c r="I141" s="12" t="n"/>
      <c r="J141" s="12" t="n"/>
      <c r="K141" s="12" t="n"/>
      <c r="L141" s="12" t="n"/>
      <c r="M141" s="12" t="n"/>
      <c r="N141" s="2">
        <f>IF(A141="","",SUM(I141:M141))</f>
        <v/>
      </c>
      <c r="O141" s="12" t="n"/>
      <c r="P141" s="12" t="n"/>
      <c r="Q141" s="2" t="n"/>
      <c r="R141" s="2" t="n"/>
      <c r="S141" s="2" t="n"/>
      <c r="T141" s="5">
        <f>IF(A141="","",(COUNTA(A141:M141)+COUNTA(O141:S141))/18)</f>
        <v/>
      </c>
      <c r="U141" s="2" t="n"/>
    </row>
    <row r="142">
      <c r="A142" s="12" t="n"/>
      <c r="B142" s="12" t="n"/>
      <c r="C142" s="12" t="n"/>
      <c r="D142" s="4" t="n"/>
      <c r="E142" s="2" t="n"/>
      <c r="F142" s="12" t="n"/>
      <c r="G142" s="2" t="n"/>
      <c r="H142" s="14" t="n"/>
      <c r="I142" s="12" t="n"/>
      <c r="J142" s="12" t="n"/>
      <c r="K142" s="12" t="n"/>
      <c r="L142" s="12" t="n"/>
      <c r="M142" s="12" t="n"/>
      <c r="N142" s="2">
        <f>IF(A142="","",SUM(I142:M142))</f>
        <v/>
      </c>
      <c r="O142" s="12" t="n"/>
      <c r="P142" s="12" t="n"/>
      <c r="Q142" s="2" t="n"/>
      <c r="R142" s="2" t="n"/>
      <c r="S142" s="2" t="n"/>
      <c r="T142" s="5">
        <f>IF(A142="","",(COUNTA(A142:M142)+COUNTA(O142:S142))/18)</f>
        <v/>
      </c>
      <c r="U142" s="2" t="n"/>
    </row>
    <row r="143">
      <c r="A143" s="12" t="n"/>
      <c r="B143" s="12" t="n"/>
      <c r="C143" s="12" t="n"/>
      <c r="D143" s="4" t="n"/>
      <c r="E143" s="2" t="n"/>
      <c r="F143" s="12" t="n"/>
      <c r="G143" s="2" t="n"/>
      <c r="H143" s="14" t="n"/>
      <c r="I143" s="12" t="n"/>
      <c r="J143" s="12" t="n"/>
      <c r="K143" s="12" t="n"/>
      <c r="L143" s="12" t="n"/>
      <c r="M143" s="12" t="n"/>
      <c r="N143" s="2">
        <f>IF(A143="","",SUM(I143:M143))</f>
        <v/>
      </c>
      <c r="O143" s="12" t="n"/>
      <c r="P143" s="12" t="n"/>
      <c r="Q143" s="2" t="n"/>
      <c r="R143" s="2" t="n"/>
      <c r="S143" s="2" t="n"/>
      <c r="T143" s="5">
        <f>IF(A143="","",(COUNTA(A143:M143)+COUNTA(O143:S143))/18)</f>
        <v/>
      </c>
      <c r="U143" s="2" t="n"/>
    </row>
    <row r="144">
      <c r="A144" s="12" t="n"/>
      <c r="B144" s="12" t="n"/>
      <c r="C144" s="12" t="n"/>
      <c r="D144" s="4" t="n"/>
      <c r="E144" s="2" t="n"/>
      <c r="F144" s="12" t="n"/>
      <c r="G144" s="2" t="n"/>
      <c r="H144" s="14" t="n"/>
      <c r="I144" s="12" t="n"/>
      <c r="J144" s="12" t="n"/>
      <c r="K144" s="12" t="n"/>
      <c r="L144" s="12" t="n"/>
      <c r="M144" s="12" t="n"/>
      <c r="N144" s="2">
        <f>IF(A144="","",SUM(I144:M144))</f>
        <v/>
      </c>
      <c r="O144" s="12" t="n"/>
      <c r="P144" s="12" t="n"/>
      <c r="Q144" s="2" t="n"/>
      <c r="R144" s="2" t="n"/>
      <c r="S144" s="2" t="n"/>
      <c r="T144" s="5">
        <f>IF(A144="","",(COUNTA(A144:M144)+COUNTA(O144:S144))/18)</f>
        <v/>
      </c>
      <c r="U144" s="2" t="n"/>
    </row>
    <row r="145">
      <c r="A145" s="12" t="n"/>
      <c r="B145" s="12" t="n"/>
      <c r="C145" s="12" t="n"/>
      <c r="D145" s="4" t="n"/>
      <c r="E145" s="2" t="n"/>
      <c r="F145" s="12" t="n"/>
      <c r="G145" s="2" t="n"/>
      <c r="H145" s="14" t="n"/>
      <c r="I145" s="12" t="n"/>
      <c r="J145" s="12" t="n"/>
      <c r="K145" s="12" t="n"/>
      <c r="L145" s="12" t="n"/>
      <c r="M145" s="12" t="n"/>
      <c r="N145" s="2">
        <f>IF(A145="","",SUM(I145:M145))</f>
        <v/>
      </c>
      <c r="O145" s="12" t="n"/>
      <c r="P145" s="12" t="n"/>
      <c r="Q145" s="2" t="n"/>
      <c r="R145" s="2" t="n"/>
      <c r="S145" s="2" t="n"/>
      <c r="T145" s="5">
        <f>IF(A145="","",(COUNTA(A145:M145)+COUNTA(O145:S145))/18)</f>
        <v/>
      </c>
      <c r="U145" s="2" t="n"/>
    </row>
    <row r="146">
      <c r="A146" s="12" t="n"/>
      <c r="B146" s="12" t="n"/>
      <c r="C146" s="12" t="n"/>
      <c r="D146" s="4" t="n"/>
      <c r="E146" s="2" t="n"/>
      <c r="F146" s="12" t="n"/>
      <c r="G146" s="2" t="n"/>
      <c r="H146" s="14" t="n"/>
      <c r="I146" s="12" t="n"/>
      <c r="J146" s="12" t="n"/>
      <c r="K146" s="12" t="n"/>
      <c r="L146" s="12" t="n"/>
      <c r="M146" s="12" t="n"/>
      <c r="N146" s="2">
        <f>IF(A146="","",SUM(I146:M146))</f>
        <v/>
      </c>
      <c r="O146" s="12" t="n"/>
      <c r="P146" s="12" t="n"/>
      <c r="Q146" s="2" t="n"/>
      <c r="R146" s="2" t="n"/>
      <c r="S146" s="2" t="n"/>
      <c r="T146" s="5">
        <f>IF(A146="","",(COUNTA(A146:M146)+COUNTA(O146:S146))/18)</f>
        <v/>
      </c>
      <c r="U146" s="2" t="n"/>
    </row>
    <row r="147">
      <c r="A147" s="12" t="n"/>
      <c r="B147" s="12" t="n"/>
      <c r="C147" s="12" t="n"/>
      <c r="D147" s="4" t="n"/>
      <c r="E147" s="2" t="n"/>
      <c r="F147" s="12" t="n"/>
      <c r="G147" s="2" t="n"/>
      <c r="H147" s="14" t="n"/>
      <c r="I147" s="12" t="n"/>
      <c r="J147" s="12" t="n"/>
      <c r="K147" s="12" t="n"/>
      <c r="L147" s="12" t="n"/>
      <c r="M147" s="12" t="n"/>
      <c r="N147" s="2">
        <f>IF(A147="","",SUM(I147:M147))</f>
        <v/>
      </c>
      <c r="O147" s="12" t="n"/>
      <c r="P147" s="12" t="n"/>
      <c r="Q147" s="2" t="n"/>
      <c r="R147" s="2" t="n"/>
      <c r="S147" s="2" t="n"/>
      <c r="T147" s="5">
        <f>IF(A147="","",(COUNTA(A147:M147)+COUNTA(O147:S147))/18)</f>
        <v/>
      </c>
      <c r="U147" s="2" t="n"/>
    </row>
    <row r="148">
      <c r="A148" s="12" t="n"/>
      <c r="B148" s="12" t="n"/>
      <c r="C148" s="12" t="n"/>
      <c r="D148" s="4" t="n"/>
      <c r="E148" s="2" t="n"/>
      <c r="F148" s="12" t="n"/>
      <c r="G148" s="2" t="n"/>
      <c r="H148" s="14" t="n"/>
      <c r="I148" s="12" t="n"/>
      <c r="J148" s="12" t="n"/>
      <c r="K148" s="12" t="n"/>
      <c r="L148" s="12" t="n"/>
      <c r="M148" s="12" t="n"/>
      <c r="N148" s="2">
        <f>IF(A148="","",SUM(I148:M148))</f>
        <v/>
      </c>
      <c r="O148" s="12" t="n"/>
      <c r="P148" s="12" t="n"/>
      <c r="Q148" s="2" t="n"/>
      <c r="R148" s="2" t="n"/>
      <c r="S148" s="2" t="n"/>
      <c r="T148" s="5">
        <f>IF(A148="","",(COUNTA(A148:M148)+COUNTA(O148:S148))/18)</f>
        <v/>
      </c>
      <c r="U148" s="2" t="n"/>
    </row>
    <row r="149">
      <c r="A149" s="12" t="n"/>
      <c r="B149" s="12" t="n"/>
      <c r="C149" s="12" t="n"/>
      <c r="D149" s="4" t="n"/>
      <c r="E149" s="2" t="n"/>
      <c r="F149" s="12" t="n"/>
      <c r="G149" s="2" t="n"/>
      <c r="H149" s="14" t="n"/>
      <c r="I149" s="12" t="n"/>
      <c r="J149" s="12" t="n"/>
      <c r="K149" s="12" t="n"/>
      <c r="L149" s="12" t="n"/>
      <c r="M149" s="12" t="n"/>
      <c r="N149" s="2">
        <f>IF(A149="","",SUM(I149:M149))</f>
        <v/>
      </c>
      <c r="O149" s="12" t="n"/>
      <c r="P149" s="12" t="n"/>
      <c r="Q149" s="2" t="n"/>
      <c r="R149" s="2" t="n"/>
      <c r="S149" s="2" t="n"/>
      <c r="T149" s="5">
        <f>IF(A149="","",(COUNTA(A149:M149)+COUNTA(O149:S149))/18)</f>
        <v/>
      </c>
      <c r="U149" s="2" t="n"/>
    </row>
    <row r="150">
      <c r="A150" s="12" t="n"/>
      <c r="B150" s="12" t="n"/>
      <c r="C150" s="12" t="n"/>
      <c r="D150" s="4" t="n"/>
      <c r="E150" s="2" t="n"/>
      <c r="F150" s="12" t="n"/>
      <c r="G150" s="2" t="n"/>
      <c r="H150" s="14" t="n"/>
      <c r="I150" s="12" t="n"/>
      <c r="J150" s="12" t="n"/>
      <c r="K150" s="12" t="n"/>
      <c r="L150" s="12" t="n"/>
      <c r="M150" s="12" t="n"/>
      <c r="N150" s="2">
        <f>IF(A150="","",SUM(I150:M150))</f>
        <v/>
      </c>
      <c r="O150" s="12" t="n"/>
      <c r="P150" s="12" t="n"/>
      <c r="Q150" s="2" t="n"/>
      <c r="R150" s="2" t="n"/>
      <c r="S150" s="2" t="n"/>
      <c r="T150" s="5">
        <f>IF(A150="","",(COUNTA(A150:M150)+COUNTA(O150:S150))/18)</f>
        <v/>
      </c>
      <c r="U150" s="2" t="n"/>
    </row>
    <row r="151">
      <c r="A151" s="12" t="n"/>
      <c r="B151" s="12" t="n"/>
      <c r="C151" s="12" t="n"/>
      <c r="D151" s="4" t="n"/>
      <c r="E151" s="2" t="n"/>
      <c r="F151" s="12" t="n"/>
      <c r="G151" s="2" t="n"/>
      <c r="H151" s="14" t="n"/>
      <c r="I151" s="12" t="n"/>
      <c r="J151" s="12" t="n"/>
      <c r="K151" s="12" t="n"/>
      <c r="L151" s="12" t="n"/>
      <c r="M151" s="12" t="n"/>
      <c r="N151" s="2">
        <f>IF(A151="","",SUM(I151:M151))</f>
        <v/>
      </c>
      <c r="O151" s="12" t="n"/>
      <c r="P151" s="12" t="n"/>
      <c r="Q151" s="2" t="n"/>
      <c r="R151" s="2" t="n"/>
      <c r="S151" s="2" t="n"/>
      <c r="T151" s="5">
        <f>IF(A151="","",(COUNTA(A151:M151)+COUNTA(O151:S151))/18)</f>
        <v/>
      </c>
      <c r="U151" s="2" t="n"/>
    </row>
    <row r="152">
      <c r="A152" s="12" t="n"/>
      <c r="B152" s="12" t="n"/>
      <c r="C152" s="12" t="n"/>
      <c r="D152" s="4" t="n"/>
      <c r="E152" s="2" t="n"/>
      <c r="F152" s="12" t="n"/>
      <c r="G152" s="2" t="n"/>
      <c r="H152" s="14" t="n"/>
      <c r="I152" s="12" t="n"/>
      <c r="J152" s="12" t="n"/>
      <c r="K152" s="12" t="n"/>
      <c r="L152" s="12" t="n"/>
      <c r="M152" s="12" t="n"/>
      <c r="N152" s="2">
        <f>IF(A152="","",SUM(I152:M152))</f>
        <v/>
      </c>
      <c r="O152" s="12" t="n"/>
      <c r="P152" s="12" t="n"/>
      <c r="Q152" s="2" t="n"/>
      <c r="R152" s="2" t="n"/>
      <c r="S152" s="2" t="n"/>
      <c r="T152" s="5">
        <f>IF(A152="","",(COUNTA(A152:M152)+COUNTA(O152:S152))/18)</f>
        <v/>
      </c>
      <c r="U152" s="2" t="n"/>
    </row>
    <row r="153">
      <c r="A153" s="12" t="n"/>
      <c r="B153" s="12" t="n"/>
      <c r="C153" s="12" t="n"/>
      <c r="D153" s="4" t="n"/>
      <c r="E153" s="2" t="n"/>
      <c r="F153" s="12" t="n"/>
      <c r="G153" s="2" t="n"/>
      <c r="H153" s="14" t="n"/>
      <c r="I153" s="12" t="n"/>
      <c r="J153" s="12" t="n"/>
      <c r="K153" s="12" t="n"/>
      <c r="L153" s="12" t="n"/>
      <c r="M153" s="12" t="n"/>
      <c r="N153" s="2">
        <f>IF(A153="","",SUM(I153:M153))</f>
        <v/>
      </c>
      <c r="O153" s="12" t="n"/>
      <c r="P153" s="12" t="n"/>
      <c r="Q153" s="2" t="n"/>
      <c r="R153" s="2" t="n"/>
      <c r="S153" s="2" t="n"/>
      <c r="T153" s="5">
        <f>IF(A153="","",(COUNTA(A153:M153)+COUNTA(O153:S153))/18)</f>
        <v/>
      </c>
      <c r="U153" s="2" t="n"/>
    </row>
    <row r="154">
      <c r="A154" s="12" t="n"/>
      <c r="B154" s="12" t="n"/>
      <c r="C154" s="12" t="n"/>
      <c r="D154" s="4" t="n"/>
      <c r="E154" s="2" t="n"/>
      <c r="F154" s="12" t="n"/>
      <c r="G154" s="2" t="n"/>
      <c r="H154" s="14" t="n"/>
      <c r="I154" s="12" t="n"/>
      <c r="J154" s="12" t="n"/>
      <c r="K154" s="12" t="n"/>
      <c r="L154" s="12" t="n"/>
      <c r="M154" s="12" t="n"/>
      <c r="N154" s="2">
        <f>IF(A154="","",SUM(I154:M154))</f>
        <v/>
      </c>
      <c r="O154" s="12" t="n"/>
      <c r="P154" s="12" t="n"/>
      <c r="Q154" s="2" t="n"/>
      <c r="R154" s="2" t="n"/>
      <c r="S154" s="2" t="n"/>
      <c r="T154" s="5">
        <f>IF(A154="","",(COUNTA(A154:M154)+COUNTA(O154:S154))/18)</f>
        <v/>
      </c>
      <c r="U154" s="2" t="n"/>
    </row>
    <row r="155">
      <c r="A155" s="12" t="n"/>
      <c r="B155" s="12" t="n"/>
      <c r="C155" s="12" t="n"/>
      <c r="D155" s="4" t="n"/>
      <c r="E155" s="2" t="n"/>
      <c r="F155" s="12" t="n"/>
      <c r="G155" s="2" t="n"/>
      <c r="H155" s="14" t="n"/>
      <c r="I155" s="12" t="n"/>
      <c r="J155" s="12" t="n"/>
      <c r="K155" s="12" t="n"/>
      <c r="L155" s="12" t="n"/>
      <c r="M155" s="12" t="n"/>
      <c r="N155" s="2">
        <f>IF(A155="","",SUM(I155:M155))</f>
        <v/>
      </c>
      <c r="O155" s="12" t="n"/>
      <c r="P155" s="12" t="n"/>
      <c r="Q155" s="2" t="n"/>
      <c r="R155" s="2" t="n"/>
      <c r="S155" s="2" t="n"/>
      <c r="T155" s="5">
        <f>IF(A155="","",(COUNTA(A155:M155)+COUNTA(O155:S155))/18)</f>
        <v/>
      </c>
      <c r="U155" s="2" t="n"/>
    </row>
    <row r="156">
      <c r="A156" s="12" t="n"/>
      <c r="B156" s="12" t="n"/>
      <c r="C156" s="12" t="n"/>
      <c r="D156" s="4" t="n"/>
      <c r="E156" s="2" t="n"/>
      <c r="F156" s="12" t="n"/>
      <c r="G156" s="2" t="n"/>
      <c r="H156" s="14" t="n"/>
      <c r="I156" s="12" t="n"/>
      <c r="J156" s="12" t="n"/>
      <c r="K156" s="12" t="n"/>
      <c r="L156" s="12" t="n"/>
      <c r="M156" s="12" t="n"/>
      <c r="N156" s="2">
        <f>IF(A156="","",SUM(I156:M156))</f>
        <v/>
      </c>
      <c r="O156" s="12" t="n"/>
      <c r="P156" s="12" t="n"/>
      <c r="Q156" s="2" t="n"/>
      <c r="R156" s="2" t="n"/>
      <c r="S156" s="2" t="n"/>
      <c r="T156" s="5">
        <f>IF(A156="","",(COUNTA(A156:M156)+COUNTA(O156:S156))/18)</f>
        <v/>
      </c>
      <c r="U156" s="2" t="n"/>
    </row>
    <row r="157">
      <c r="A157" s="12" t="n"/>
      <c r="B157" s="12" t="n"/>
      <c r="C157" s="12" t="n"/>
      <c r="D157" s="4" t="n"/>
      <c r="E157" s="2" t="n"/>
      <c r="F157" s="12" t="n"/>
      <c r="G157" s="2" t="n"/>
      <c r="H157" s="14" t="n"/>
      <c r="I157" s="12" t="n"/>
      <c r="J157" s="12" t="n"/>
      <c r="K157" s="12" t="n"/>
      <c r="L157" s="12" t="n"/>
      <c r="M157" s="12" t="n"/>
      <c r="N157" s="2">
        <f>IF(A157="","",SUM(I157:M157))</f>
        <v/>
      </c>
      <c r="O157" s="12" t="n"/>
      <c r="P157" s="12" t="n"/>
      <c r="Q157" s="2" t="n"/>
      <c r="R157" s="2" t="n"/>
      <c r="S157" s="2" t="n"/>
      <c r="T157" s="5">
        <f>IF(A157="","",(COUNTA(A157:M157)+COUNTA(O157:S157))/18)</f>
        <v/>
      </c>
      <c r="U157" s="2" t="n"/>
    </row>
    <row r="158">
      <c r="A158" s="12" t="n"/>
      <c r="B158" s="12" t="n"/>
      <c r="C158" s="12" t="n"/>
      <c r="D158" s="4" t="n"/>
      <c r="E158" s="2" t="n"/>
      <c r="F158" s="12" t="n"/>
      <c r="G158" s="2" t="n"/>
      <c r="H158" s="14" t="n"/>
      <c r="I158" s="12" t="n"/>
      <c r="J158" s="12" t="n"/>
      <c r="K158" s="12" t="n"/>
      <c r="L158" s="12" t="n"/>
      <c r="M158" s="12" t="n"/>
      <c r="N158" s="2">
        <f>IF(A158="","",SUM(I158:M158))</f>
        <v/>
      </c>
      <c r="O158" s="12" t="n"/>
      <c r="P158" s="12" t="n"/>
      <c r="Q158" s="2" t="n"/>
      <c r="R158" s="2" t="n"/>
      <c r="S158" s="2" t="n"/>
      <c r="T158" s="5">
        <f>IF(A158="","",(COUNTA(A158:M158)+COUNTA(O158:S158))/18)</f>
        <v/>
      </c>
      <c r="U158" s="2" t="n"/>
    </row>
    <row r="159">
      <c r="A159" s="12" t="n"/>
      <c r="B159" s="12" t="n"/>
      <c r="C159" s="12" t="n"/>
      <c r="D159" s="4" t="n"/>
      <c r="E159" s="2" t="n"/>
      <c r="F159" s="12" t="n"/>
      <c r="G159" s="2" t="n"/>
      <c r="H159" s="14" t="n"/>
      <c r="I159" s="12" t="n"/>
      <c r="J159" s="12" t="n"/>
      <c r="K159" s="12" t="n"/>
      <c r="L159" s="12" t="n"/>
      <c r="M159" s="12" t="n"/>
      <c r="N159" s="2">
        <f>IF(A159="","",SUM(I159:M159))</f>
        <v/>
      </c>
      <c r="O159" s="12" t="n"/>
      <c r="P159" s="12" t="n"/>
      <c r="Q159" s="2" t="n"/>
      <c r="R159" s="2" t="n"/>
      <c r="S159" s="2" t="n"/>
      <c r="T159" s="5">
        <f>IF(A159="","",(COUNTA(A159:M159)+COUNTA(O159:S159))/18)</f>
        <v/>
      </c>
      <c r="U159" s="2" t="n"/>
    </row>
    <row r="160">
      <c r="A160" s="12" t="n"/>
      <c r="B160" s="12" t="n"/>
      <c r="C160" s="12" t="n"/>
      <c r="D160" s="4" t="n"/>
      <c r="E160" s="2" t="n"/>
      <c r="F160" s="12" t="n"/>
      <c r="G160" s="2" t="n"/>
      <c r="H160" s="14" t="n"/>
      <c r="I160" s="12" t="n"/>
      <c r="J160" s="12" t="n"/>
      <c r="K160" s="12" t="n"/>
      <c r="L160" s="12" t="n"/>
      <c r="M160" s="12" t="n"/>
      <c r="N160" s="2">
        <f>IF(A160="","",SUM(I160:M160))</f>
        <v/>
      </c>
      <c r="O160" s="12" t="n"/>
      <c r="P160" s="12" t="n"/>
      <c r="Q160" s="2" t="n"/>
      <c r="R160" s="2" t="n"/>
      <c r="S160" s="2" t="n"/>
      <c r="T160" s="5">
        <f>IF(A160="","",(COUNTA(A160:M160)+COUNTA(O160:S160))/18)</f>
        <v/>
      </c>
      <c r="U160" s="2" t="n"/>
    </row>
    <row r="161">
      <c r="A161" s="12" t="n"/>
      <c r="B161" s="12" t="n"/>
      <c r="C161" s="12" t="n"/>
      <c r="D161" s="4" t="n"/>
      <c r="E161" s="2" t="n"/>
      <c r="F161" s="12" t="n"/>
      <c r="G161" s="2" t="n"/>
      <c r="H161" s="14" t="n"/>
      <c r="I161" s="12" t="n"/>
      <c r="J161" s="12" t="n"/>
      <c r="K161" s="12" t="n"/>
      <c r="L161" s="12" t="n"/>
      <c r="M161" s="12" t="n"/>
      <c r="N161" s="2">
        <f>IF(A161="","",SUM(I161:M161))</f>
        <v/>
      </c>
      <c r="O161" s="12" t="n"/>
      <c r="P161" s="12" t="n"/>
      <c r="Q161" s="2" t="n"/>
      <c r="R161" s="2" t="n"/>
      <c r="S161" s="2" t="n"/>
      <c r="T161" s="5">
        <f>IF(A161="","",(COUNTA(A161:M161)+COUNTA(O161:S161))/18)</f>
        <v/>
      </c>
      <c r="U161" s="2" t="n"/>
    </row>
    <row r="162">
      <c r="A162" s="12" t="n"/>
      <c r="B162" s="12" t="n"/>
      <c r="C162" s="12" t="n"/>
      <c r="D162" s="4" t="n"/>
      <c r="E162" s="2" t="n"/>
      <c r="F162" s="12" t="n"/>
      <c r="G162" s="2" t="n"/>
      <c r="H162" s="14" t="n"/>
      <c r="I162" s="12" t="n"/>
      <c r="J162" s="12" t="n"/>
      <c r="K162" s="12" t="n"/>
      <c r="L162" s="12" t="n"/>
      <c r="M162" s="12" t="n"/>
      <c r="N162" s="2">
        <f>IF(A162="","",SUM(I162:M162))</f>
        <v/>
      </c>
      <c r="O162" s="12" t="n"/>
      <c r="P162" s="12" t="n"/>
      <c r="Q162" s="2" t="n"/>
      <c r="R162" s="2" t="n"/>
      <c r="S162" s="2" t="n"/>
      <c r="T162" s="5">
        <f>IF(A162="","",(COUNTA(A162:M162)+COUNTA(O162:S162))/18)</f>
        <v/>
      </c>
      <c r="U162" s="2" t="n"/>
    </row>
    <row r="163">
      <c r="A163" s="12" t="n"/>
      <c r="B163" s="12" t="n"/>
      <c r="C163" s="12" t="n"/>
      <c r="D163" s="4" t="n"/>
      <c r="E163" s="2" t="n"/>
      <c r="F163" s="12" t="n"/>
      <c r="G163" s="2" t="n"/>
      <c r="H163" s="14" t="n"/>
      <c r="I163" s="12" t="n"/>
      <c r="J163" s="12" t="n"/>
      <c r="K163" s="12" t="n"/>
      <c r="L163" s="12" t="n"/>
      <c r="M163" s="12" t="n"/>
      <c r="N163" s="2">
        <f>IF(A163="","",SUM(I163:M163))</f>
        <v/>
      </c>
      <c r="O163" s="12" t="n"/>
      <c r="P163" s="12" t="n"/>
      <c r="Q163" s="2" t="n"/>
      <c r="R163" s="2" t="n"/>
      <c r="S163" s="2" t="n"/>
      <c r="T163" s="5">
        <f>IF(A163="","",(COUNTA(A163:M163)+COUNTA(O163:S163))/18)</f>
        <v/>
      </c>
      <c r="U163" s="2" t="n"/>
    </row>
    <row r="164">
      <c r="A164" s="12" t="n"/>
      <c r="B164" s="12" t="n"/>
      <c r="C164" s="12" t="n"/>
      <c r="D164" s="4" t="n"/>
      <c r="E164" s="2" t="n"/>
      <c r="F164" s="12" t="n"/>
      <c r="G164" s="2" t="n"/>
      <c r="H164" s="14" t="n"/>
      <c r="I164" s="12" t="n"/>
      <c r="J164" s="12" t="n"/>
      <c r="K164" s="12" t="n"/>
      <c r="L164" s="12" t="n"/>
      <c r="M164" s="12" t="n"/>
      <c r="N164" s="2">
        <f>IF(A164="","",SUM(I164:M164))</f>
        <v/>
      </c>
      <c r="O164" s="12" t="n"/>
      <c r="P164" s="12" t="n"/>
      <c r="Q164" s="2" t="n"/>
      <c r="R164" s="2" t="n"/>
      <c r="S164" s="2" t="n"/>
      <c r="T164" s="5">
        <f>IF(A164="","",(COUNTA(A164:M164)+COUNTA(O164:S164))/18)</f>
        <v/>
      </c>
      <c r="U164" s="2" t="n"/>
    </row>
    <row r="165">
      <c r="A165" s="12" t="n"/>
      <c r="B165" s="12" t="n"/>
      <c r="C165" s="12" t="n"/>
      <c r="D165" s="4" t="n"/>
      <c r="E165" s="2" t="n"/>
      <c r="F165" s="12" t="n"/>
      <c r="G165" s="2" t="n"/>
      <c r="H165" s="14" t="n"/>
      <c r="I165" s="12" t="n"/>
      <c r="J165" s="12" t="n"/>
      <c r="K165" s="12" t="n"/>
      <c r="L165" s="12" t="n"/>
      <c r="M165" s="12" t="n"/>
      <c r="N165" s="2">
        <f>IF(A165="","",SUM(I165:M165))</f>
        <v/>
      </c>
      <c r="O165" s="12" t="n"/>
      <c r="P165" s="12" t="n"/>
      <c r="Q165" s="2" t="n"/>
      <c r="R165" s="2" t="n"/>
      <c r="S165" s="2" t="n"/>
      <c r="T165" s="5">
        <f>IF(A165="","",(COUNTA(A165:M165)+COUNTA(O165:S165))/18)</f>
        <v/>
      </c>
      <c r="U165" s="2" t="n"/>
    </row>
    <row r="166">
      <c r="A166" s="12" t="n"/>
      <c r="B166" s="12" t="n"/>
      <c r="C166" s="12" t="n"/>
      <c r="D166" s="4" t="n"/>
      <c r="E166" s="2" t="n"/>
      <c r="F166" s="12" t="n"/>
      <c r="G166" s="2" t="n"/>
      <c r="H166" s="14" t="n"/>
      <c r="I166" s="12" t="n"/>
      <c r="J166" s="12" t="n"/>
      <c r="K166" s="12" t="n"/>
      <c r="L166" s="12" t="n"/>
      <c r="M166" s="12" t="n"/>
      <c r="N166" s="2">
        <f>IF(A166="","",SUM(I166:M166))</f>
        <v/>
      </c>
      <c r="O166" s="12" t="n"/>
      <c r="P166" s="12" t="n"/>
      <c r="Q166" s="2" t="n"/>
      <c r="R166" s="2" t="n"/>
      <c r="S166" s="2" t="n"/>
      <c r="T166" s="5">
        <f>IF(A166="","",(COUNTA(A166:M166)+COUNTA(O166:S166))/18)</f>
        <v/>
      </c>
      <c r="U166" s="2" t="n"/>
    </row>
    <row r="167">
      <c r="A167" s="12" t="n"/>
      <c r="B167" s="12" t="n"/>
      <c r="C167" s="12" t="n"/>
      <c r="D167" s="4" t="n"/>
      <c r="E167" s="2" t="n"/>
      <c r="F167" s="12" t="n"/>
      <c r="G167" s="2" t="n"/>
      <c r="H167" s="14" t="n"/>
      <c r="I167" s="12" t="n"/>
      <c r="J167" s="12" t="n"/>
      <c r="K167" s="12" t="n"/>
      <c r="L167" s="12" t="n"/>
      <c r="M167" s="12" t="n"/>
      <c r="N167" s="2">
        <f>IF(A167="","",SUM(I167:M167))</f>
        <v/>
      </c>
      <c r="O167" s="12" t="n"/>
      <c r="P167" s="12" t="n"/>
      <c r="Q167" s="2" t="n"/>
      <c r="R167" s="2" t="n"/>
      <c r="S167" s="2" t="n"/>
      <c r="T167" s="5">
        <f>IF(A167="","",(COUNTA(A167:M167)+COUNTA(O167:S167))/18)</f>
        <v/>
      </c>
      <c r="U167" s="2" t="n"/>
    </row>
    <row r="168">
      <c r="A168" s="12" t="n"/>
      <c r="B168" s="12" t="n"/>
      <c r="C168" s="12" t="n"/>
      <c r="D168" s="4" t="n"/>
      <c r="E168" s="2" t="n"/>
      <c r="F168" s="12" t="n"/>
      <c r="G168" s="2" t="n"/>
      <c r="H168" s="14" t="n"/>
      <c r="I168" s="12" t="n"/>
      <c r="J168" s="12" t="n"/>
      <c r="K168" s="12" t="n"/>
      <c r="L168" s="12" t="n"/>
      <c r="M168" s="12" t="n"/>
      <c r="N168" s="2">
        <f>IF(A168="","",SUM(I168:M168))</f>
        <v/>
      </c>
      <c r="O168" s="12" t="n"/>
      <c r="P168" s="12" t="n"/>
      <c r="Q168" s="2" t="n"/>
      <c r="R168" s="2" t="n"/>
      <c r="S168" s="2" t="n"/>
      <c r="T168" s="5">
        <f>IF(A168="","",(COUNTA(A168:M168)+COUNTA(O168:S168))/18)</f>
        <v/>
      </c>
      <c r="U168" s="2" t="n"/>
    </row>
    <row r="169">
      <c r="A169" s="12" t="n"/>
      <c r="B169" s="12" t="n"/>
      <c r="C169" s="12" t="n"/>
      <c r="D169" s="4" t="n"/>
      <c r="E169" s="2" t="n"/>
      <c r="F169" s="12" t="n"/>
      <c r="G169" s="2" t="n"/>
      <c r="H169" s="14" t="n"/>
      <c r="I169" s="12" t="n"/>
      <c r="J169" s="12" t="n"/>
      <c r="K169" s="12" t="n"/>
      <c r="L169" s="12" t="n"/>
      <c r="M169" s="12" t="n"/>
      <c r="N169" s="2">
        <f>IF(A169="","",SUM(I169:M169))</f>
        <v/>
      </c>
      <c r="O169" s="12" t="n"/>
      <c r="P169" s="12" t="n"/>
      <c r="Q169" s="2" t="n"/>
      <c r="R169" s="2" t="n"/>
      <c r="S169" s="2" t="n"/>
      <c r="T169" s="5">
        <f>IF(A169="","",(COUNTA(A169:M169)+COUNTA(O169:S169))/18)</f>
        <v/>
      </c>
      <c r="U169" s="2" t="n"/>
    </row>
    <row r="170">
      <c r="A170" s="12" t="n"/>
      <c r="B170" s="12" t="n"/>
      <c r="C170" s="12" t="n"/>
      <c r="D170" s="4" t="n"/>
      <c r="E170" s="2" t="n"/>
      <c r="F170" s="12" t="n"/>
      <c r="G170" s="2" t="n"/>
      <c r="H170" s="14" t="n"/>
      <c r="I170" s="12" t="n"/>
      <c r="J170" s="12" t="n"/>
      <c r="K170" s="12" t="n"/>
      <c r="L170" s="12" t="n"/>
      <c r="M170" s="12" t="n"/>
      <c r="N170" s="2">
        <f>IF(A170="","",SUM(I170:M170))</f>
        <v/>
      </c>
      <c r="O170" s="12" t="n"/>
      <c r="P170" s="12" t="n"/>
      <c r="Q170" s="2" t="n"/>
      <c r="R170" s="2" t="n"/>
      <c r="S170" s="2" t="n"/>
      <c r="T170" s="5">
        <f>IF(A170="","",(COUNTA(A170:M170)+COUNTA(O170:S170))/18)</f>
        <v/>
      </c>
      <c r="U170" s="2" t="n"/>
    </row>
    <row r="171">
      <c r="A171" s="12" t="n"/>
      <c r="B171" s="12" t="n"/>
      <c r="C171" s="12" t="n"/>
      <c r="D171" s="4" t="n"/>
      <c r="E171" s="2" t="n"/>
      <c r="F171" s="12" t="n"/>
      <c r="G171" s="2" t="n"/>
      <c r="H171" s="14" t="n"/>
      <c r="I171" s="12" t="n"/>
      <c r="J171" s="12" t="n"/>
      <c r="K171" s="12" t="n"/>
      <c r="L171" s="12" t="n"/>
      <c r="M171" s="12" t="n"/>
      <c r="N171" s="2">
        <f>IF(A171="","",SUM(I171:M171))</f>
        <v/>
      </c>
      <c r="O171" s="12" t="n"/>
      <c r="P171" s="12" t="n"/>
      <c r="Q171" s="2" t="n"/>
      <c r="R171" s="2" t="n"/>
      <c r="S171" s="2" t="n"/>
      <c r="T171" s="5">
        <f>IF(A171="","",(COUNTA(A171:M171)+COUNTA(O171:S171))/18)</f>
        <v/>
      </c>
      <c r="U171" s="2" t="n"/>
    </row>
    <row r="172">
      <c r="A172" s="12" t="n"/>
      <c r="B172" s="12" t="n"/>
      <c r="C172" s="12" t="n"/>
      <c r="D172" s="4" t="n"/>
      <c r="E172" s="2" t="n"/>
      <c r="F172" s="12" t="n"/>
      <c r="G172" s="2" t="n"/>
      <c r="H172" s="14" t="n"/>
      <c r="I172" s="12" t="n"/>
      <c r="J172" s="12" t="n"/>
      <c r="K172" s="12" t="n"/>
      <c r="L172" s="12" t="n"/>
      <c r="M172" s="12" t="n"/>
      <c r="N172" s="2">
        <f>IF(A172="","",SUM(I172:M172))</f>
        <v/>
      </c>
      <c r="O172" s="12" t="n"/>
      <c r="P172" s="12" t="n"/>
      <c r="Q172" s="2" t="n"/>
      <c r="R172" s="2" t="n"/>
      <c r="S172" s="2" t="n"/>
      <c r="T172" s="5">
        <f>IF(A172="","",(COUNTA(A172:M172)+COUNTA(O172:S172))/18)</f>
        <v/>
      </c>
      <c r="U172" s="2" t="n"/>
    </row>
    <row r="173">
      <c r="A173" s="12" t="n"/>
      <c r="B173" s="12" t="n"/>
      <c r="C173" s="12" t="n"/>
      <c r="D173" s="4" t="n"/>
      <c r="E173" s="2" t="n"/>
      <c r="F173" s="12" t="n"/>
      <c r="G173" s="2" t="n"/>
      <c r="H173" s="14" t="n"/>
      <c r="I173" s="12" t="n"/>
      <c r="J173" s="12" t="n"/>
      <c r="K173" s="12" t="n"/>
      <c r="L173" s="12" t="n"/>
      <c r="M173" s="12" t="n"/>
      <c r="N173" s="2">
        <f>IF(A173="","",SUM(I173:M173))</f>
        <v/>
      </c>
      <c r="O173" s="12" t="n"/>
      <c r="P173" s="12" t="n"/>
      <c r="Q173" s="2" t="n"/>
      <c r="R173" s="2" t="n"/>
      <c r="S173" s="2" t="n"/>
      <c r="T173" s="5">
        <f>IF(A173="","",(COUNTA(A173:M173)+COUNTA(O173:S173))/18)</f>
        <v/>
      </c>
      <c r="U173" s="2" t="n"/>
    </row>
    <row r="174">
      <c r="A174" s="12" t="n"/>
      <c r="B174" s="12" t="n"/>
      <c r="C174" s="12" t="n"/>
      <c r="D174" s="4" t="n"/>
      <c r="E174" s="2" t="n"/>
      <c r="F174" s="12" t="n"/>
      <c r="G174" s="2" t="n"/>
      <c r="H174" s="14" t="n"/>
      <c r="I174" s="12" t="n"/>
      <c r="J174" s="12" t="n"/>
      <c r="K174" s="12" t="n"/>
      <c r="L174" s="12" t="n"/>
      <c r="M174" s="12" t="n"/>
      <c r="N174" s="2">
        <f>IF(A174="","",SUM(I174:M174))</f>
        <v/>
      </c>
      <c r="O174" s="12" t="n"/>
      <c r="P174" s="12" t="n"/>
      <c r="Q174" s="2" t="n"/>
      <c r="R174" s="2" t="n"/>
      <c r="S174" s="2" t="n"/>
      <c r="T174" s="5">
        <f>IF(A174="","",(COUNTA(A174:M174)+COUNTA(O174:S174))/18)</f>
        <v/>
      </c>
      <c r="U174" s="2" t="n"/>
    </row>
    <row r="175">
      <c r="A175" s="12" t="n"/>
      <c r="B175" s="12" t="n"/>
      <c r="C175" s="12" t="n"/>
      <c r="D175" s="4" t="n"/>
      <c r="E175" s="2" t="n"/>
      <c r="F175" s="12" t="n"/>
      <c r="G175" s="2" t="n"/>
      <c r="H175" s="14" t="n"/>
      <c r="I175" s="12" t="n"/>
      <c r="J175" s="12" t="n"/>
      <c r="K175" s="12" t="n"/>
      <c r="L175" s="12" t="n"/>
      <c r="M175" s="12" t="n"/>
      <c r="N175" s="2">
        <f>IF(A175="","",SUM(I175:M175))</f>
        <v/>
      </c>
      <c r="O175" s="12" t="n"/>
      <c r="P175" s="12" t="n"/>
      <c r="Q175" s="2" t="n"/>
      <c r="R175" s="2" t="n"/>
      <c r="S175" s="2" t="n"/>
      <c r="T175" s="5">
        <f>IF(A175="","",(COUNTA(A175:M175)+COUNTA(O175:S175))/18)</f>
        <v/>
      </c>
      <c r="U175" s="2" t="n"/>
    </row>
    <row r="176">
      <c r="A176" s="12" t="n"/>
      <c r="B176" s="12" t="n"/>
      <c r="C176" s="12" t="n"/>
      <c r="D176" s="4" t="n"/>
      <c r="E176" s="2" t="n"/>
      <c r="F176" s="12" t="n"/>
      <c r="G176" s="2" t="n"/>
      <c r="H176" s="14" t="n"/>
      <c r="I176" s="12" t="n"/>
      <c r="J176" s="12" t="n"/>
      <c r="K176" s="12" t="n"/>
      <c r="L176" s="12" t="n"/>
      <c r="M176" s="12" t="n"/>
      <c r="N176" s="2">
        <f>IF(A176="","",SUM(I176:M176))</f>
        <v/>
      </c>
      <c r="O176" s="12" t="n"/>
      <c r="P176" s="12" t="n"/>
      <c r="Q176" s="2" t="n"/>
      <c r="R176" s="2" t="n"/>
      <c r="S176" s="2" t="n"/>
      <c r="T176" s="5">
        <f>IF(A176="","",(COUNTA(A176:M176)+COUNTA(O176:S176))/18)</f>
        <v/>
      </c>
      <c r="U176" s="2" t="n"/>
    </row>
    <row r="177">
      <c r="A177" s="12" t="n"/>
      <c r="B177" s="12" t="n"/>
      <c r="C177" s="12" t="n"/>
      <c r="D177" s="4" t="n"/>
      <c r="E177" s="2" t="n"/>
      <c r="F177" s="12" t="n"/>
      <c r="G177" s="2" t="n"/>
      <c r="H177" s="14" t="n"/>
      <c r="I177" s="12" t="n"/>
      <c r="J177" s="12" t="n"/>
      <c r="K177" s="12" t="n"/>
      <c r="L177" s="12" t="n"/>
      <c r="M177" s="12" t="n"/>
      <c r="N177" s="2">
        <f>IF(A177="","",SUM(I177:M177))</f>
        <v/>
      </c>
      <c r="O177" s="12" t="n"/>
      <c r="P177" s="12" t="n"/>
      <c r="Q177" s="2" t="n"/>
      <c r="R177" s="2" t="n"/>
      <c r="S177" s="2" t="n"/>
      <c r="T177" s="5">
        <f>IF(A177="","",(COUNTA(A177:M177)+COUNTA(O177:S177))/18)</f>
        <v/>
      </c>
      <c r="U177" s="2" t="n"/>
    </row>
    <row r="178">
      <c r="A178" s="12" t="n"/>
      <c r="B178" s="12" t="n"/>
      <c r="C178" s="12" t="n"/>
      <c r="D178" s="4" t="n"/>
      <c r="E178" s="2" t="n"/>
      <c r="F178" s="12" t="n"/>
      <c r="G178" s="2" t="n"/>
      <c r="H178" s="14" t="n"/>
      <c r="I178" s="12" t="n"/>
      <c r="J178" s="12" t="n"/>
      <c r="K178" s="12" t="n"/>
      <c r="L178" s="12" t="n"/>
      <c r="M178" s="12" t="n"/>
      <c r="N178" s="2">
        <f>IF(A178="","",SUM(I178:M178))</f>
        <v/>
      </c>
      <c r="O178" s="12" t="n"/>
      <c r="P178" s="12" t="n"/>
      <c r="Q178" s="2" t="n"/>
      <c r="R178" s="2" t="n"/>
      <c r="S178" s="2" t="n"/>
      <c r="T178" s="5">
        <f>IF(A178="","",(COUNTA(A178:M178)+COUNTA(O178:S178))/18)</f>
        <v/>
      </c>
      <c r="U178" s="2" t="n"/>
    </row>
    <row r="179">
      <c r="A179" s="12" t="n"/>
      <c r="B179" s="12" t="n"/>
      <c r="C179" s="12" t="n"/>
      <c r="D179" s="4" t="n"/>
      <c r="E179" s="2" t="n"/>
      <c r="F179" s="12" t="n"/>
      <c r="G179" s="2" t="n"/>
      <c r="H179" s="14" t="n"/>
      <c r="I179" s="12" t="n"/>
      <c r="J179" s="12" t="n"/>
      <c r="K179" s="12" t="n"/>
      <c r="L179" s="12" t="n"/>
      <c r="M179" s="12" t="n"/>
      <c r="N179" s="2">
        <f>IF(A179="","",SUM(I179:M179))</f>
        <v/>
      </c>
      <c r="O179" s="12" t="n"/>
      <c r="P179" s="12" t="n"/>
      <c r="Q179" s="2" t="n"/>
      <c r="R179" s="2" t="n"/>
      <c r="S179" s="2" t="n"/>
      <c r="T179" s="5">
        <f>IF(A179="","",(COUNTA(A179:M179)+COUNTA(O179:S179))/18)</f>
        <v/>
      </c>
      <c r="U179" s="2" t="n"/>
    </row>
    <row r="180">
      <c r="A180" s="12" t="n"/>
      <c r="B180" s="12" t="n"/>
      <c r="C180" s="12" t="n"/>
      <c r="D180" s="4" t="n"/>
      <c r="E180" s="2" t="n"/>
      <c r="F180" s="12" t="n"/>
      <c r="G180" s="2" t="n"/>
      <c r="H180" s="14" t="n"/>
      <c r="I180" s="12" t="n"/>
      <c r="J180" s="12" t="n"/>
      <c r="K180" s="12" t="n"/>
      <c r="L180" s="12" t="n"/>
      <c r="M180" s="12" t="n"/>
      <c r="N180" s="2">
        <f>IF(A180="","",SUM(I180:M180))</f>
        <v/>
      </c>
      <c r="O180" s="12" t="n"/>
      <c r="P180" s="12" t="n"/>
      <c r="Q180" s="2" t="n"/>
      <c r="R180" s="2" t="n"/>
      <c r="S180" s="2" t="n"/>
      <c r="T180" s="5">
        <f>IF(A180="","",(COUNTA(A180:M180)+COUNTA(O180:S180))/18)</f>
        <v/>
      </c>
      <c r="U180" s="2" t="n"/>
    </row>
    <row r="181">
      <c r="A181" s="12" t="n"/>
      <c r="B181" s="12" t="n"/>
      <c r="C181" s="12" t="n"/>
      <c r="D181" s="4" t="n"/>
      <c r="E181" s="2" t="n"/>
      <c r="F181" s="12" t="n"/>
      <c r="G181" s="2" t="n"/>
      <c r="H181" s="14" t="n"/>
      <c r="I181" s="12" t="n"/>
      <c r="J181" s="12" t="n"/>
      <c r="K181" s="12" t="n"/>
      <c r="L181" s="12" t="n"/>
      <c r="M181" s="12" t="n"/>
      <c r="N181" s="2">
        <f>IF(A181="","",SUM(I181:M181))</f>
        <v/>
      </c>
      <c r="O181" s="12" t="n"/>
      <c r="P181" s="12" t="n"/>
      <c r="Q181" s="2" t="n"/>
      <c r="R181" s="2" t="n"/>
      <c r="S181" s="2" t="n"/>
      <c r="T181" s="5">
        <f>IF(A181="","",(COUNTA(A181:M181)+COUNTA(O181:S181))/18)</f>
        <v/>
      </c>
      <c r="U181" s="2" t="n"/>
    </row>
    <row r="182">
      <c r="A182" s="12" t="n"/>
      <c r="B182" s="12" t="n"/>
      <c r="C182" s="12" t="n"/>
      <c r="D182" s="4" t="n"/>
      <c r="E182" s="2" t="n"/>
      <c r="F182" s="12" t="n"/>
      <c r="G182" s="2" t="n"/>
      <c r="H182" s="14" t="n"/>
      <c r="I182" s="12" t="n"/>
      <c r="J182" s="12" t="n"/>
      <c r="K182" s="12" t="n"/>
      <c r="L182" s="12" t="n"/>
      <c r="M182" s="12" t="n"/>
      <c r="N182" s="2">
        <f>IF(A182="","",SUM(I182:M182))</f>
        <v/>
      </c>
      <c r="O182" s="12" t="n"/>
      <c r="P182" s="12" t="n"/>
      <c r="Q182" s="2" t="n"/>
      <c r="R182" s="2" t="n"/>
      <c r="S182" s="2" t="n"/>
      <c r="T182" s="5">
        <f>IF(A182="","",(COUNTA(A182:M182)+COUNTA(O182:S182))/18)</f>
        <v/>
      </c>
      <c r="U182" s="2" t="n"/>
    </row>
    <row r="183">
      <c r="A183" s="12" t="n"/>
      <c r="B183" s="12" t="n"/>
      <c r="C183" s="12" t="n"/>
      <c r="D183" s="4" t="n"/>
      <c r="E183" s="2" t="n"/>
      <c r="F183" s="12" t="n"/>
      <c r="G183" s="2" t="n"/>
      <c r="H183" s="14" t="n"/>
      <c r="I183" s="12" t="n"/>
      <c r="J183" s="12" t="n"/>
      <c r="K183" s="12" t="n"/>
      <c r="L183" s="12" t="n"/>
      <c r="M183" s="12" t="n"/>
      <c r="N183" s="2">
        <f>IF(A183="","",SUM(I183:M183))</f>
        <v/>
      </c>
      <c r="O183" s="12" t="n"/>
      <c r="P183" s="12" t="n"/>
      <c r="Q183" s="2" t="n"/>
      <c r="R183" s="2" t="n"/>
      <c r="S183" s="2" t="n"/>
      <c r="T183" s="5">
        <f>IF(A183="","",(COUNTA(A183:M183)+COUNTA(O183:S183))/18)</f>
        <v/>
      </c>
      <c r="U183" s="2" t="n"/>
    </row>
    <row r="184">
      <c r="A184" s="12" t="n"/>
      <c r="B184" s="12" t="n"/>
      <c r="C184" s="12" t="n"/>
      <c r="D184" s="4" t="n"/>
      <c r="E184" s="2" t="n"/>
      <c r="F184" s="12" t="n"/>
      <c r="G184" s="2" t="n"/>
      <c r="H184" s="14" t="n"/>
      <c r="I184" s="12" t="n"/>
      <c r="J184" s="12" t="n"/>
      <c r="K184" s="12" t="n"/>
      <c r="L184" s="12" t="n"/>
      <c r="M184" s="12" t="n"/>
      <c r="N184" s="2">
        <f>IF(A184="","",SUM(I184:M184))</f>
        <v/>
      </c>
      <c r="O184" s="12" t="n"/>
      <c r="P184" s="12" t="n"/>
      <c r="Q184" s="2" t="n"/>
      <c r="R184" s="2" t="n"/>
      <c r="S184" s="2" t="n"/>
      <c r="T184" s="5">
        <f>IF(A184="","",(COUNTA(A184:M184)+COUNTA(O184:S184))/18)</f>
        <v/>
      </c>
      <c r="U184" s="2" t="n"/>
    </row>
    <row r="185">
      <c r="A185" s="12" t="n"/>
      <c r="B185" s="12" t="n"/>
      <c r="C185" s="12" t="n"/>
      <c r="D185" s="4" t="n"/>
      <c r="E185" s="2" t="n"/>
      <c r="F185" s="12" t="n"/>
      <c r="G185" s="2" t="n"/>
      <c r="H185" s="14" t="n"/>
      <c r="I185" s="12" t="n"/>
      <c r="J185" s="12" t="n"/>
      <c r="K185" s="12" t="n"/>
      <c r="L185" s="12" t="n"/>
      <c r="M185" s="12" t="n"/>
      <c r="N185" s="2">
        <f>IF(A185="","",SUM(I185:M185))</f>
        <v/>
      </c>
      <c r="O185" s="12" t="n"/>
      <c r="P185" s="12" t="n"/>
      <c r="Q185" s="2" t="n"/>
      <c r="R185" s="2" t="n"/>
      <c r="S185" s="2" t="n"/>
      <c r="T185" s="5">
        <f>IF(A185="","",(COUNTA(A185:M185)+COUNTA(O185:S185))/18)</f>
        <v/>
      </c>
      <c r="U185" s="2" t="n"/>
    </row>
    <row r="186">
      <c r="A186" s="12" t="n"/>
      <c r="B186" s="12" t="n"/>
      <c r="C186" s="12" t="n"/>
      <c r="D186" s="4" t="n"/>
      <c r="E186" s="2" t="n"/>
      <c r="F186" s="12" t="n"/>
      <c r="G186" s="2" t="n"/>
      <c r="H186" s="14" t="n"/>
      <c r="I186" s="12" t="n"/>
      <c r="J186" s="12" t="n"/>
      <c r="K186" s="12" t="n"/>
      <c r="L186" s="12" t="n"/>
      <c r="M186" s="12" t="n"/>
      <c r="N186" s="2">
        <f>IF(A186="","",SUM(I186:M186))</f>
        <v/>
      </c>
      <c r="O186" s="12" t="n"/>
      <c r="P186" s="12" t="n"/>
      <c r="Q186" s="2" t="n"/>
      <c r="R186" s="2" t="n"/>
      <c r="S186" s="2" t="n"/>
      <c r="T186" s="5">
        <f>IF(A186="","",(COUNTA(A186:M186)+COUNTA(O186:S186))/18)</f>
        <v/>
      </c>
      <c r="U186" s="2" t="n"/>
    </row>
    <row r="187">
      <c r="A187" s="12" t="n"/>
      <c r="B187" s="12" t="n"/>
      <c r="C187" s="12" t="n"/>
      <c r="D187" s="4" t="n"/>
      <c r="E187" s="2" t="n"/>
      <c r="F187" s="12" t="n"/>
      <c r="G187" s="2" t="n"/>
      <c r="H187" s="14" t="n"/>
      <c r="I187" s="12" t="n"/>
      <c r="J187" s="12" t="n"/>
      <c r="K187" s="12" t="n"/>
      <c r="L187" s="12" t="n"/>
      <c r="M187" s="12" t="n"/>
      <c r="N187" s="2">
        <f>IF(A187="","",SUM(I187:M187))</f>
        <v/>
      </c>
      <c r="O187" s="12" t="n"/>
      <c r="P187" s="12" t="n"/>
      <c r="Q187" s="2" t="n"/>
      <c r="R187" s="2" t="n"/>
      <c r="S187" s="2" t="n"/>
      <c r="T187" s="5">
        <f>IF(A187="","",(COUNTA(A187:M187)+COUNTA(O187:S187))/18)</f>
        <v/>
      </c>
      <c r="U187" s="2" t="n"/>
    </row>
    <row r="188">
      <c r="A188" s="12" t="n"/>
      <c r="B188" s="12" t="n"/>
      <c r="C188" s="12" t="n"/>
      <c r="D188" s="4" t="n"/>
      <c r="E188" s="2" t="n"/>
      <c r="F188" s="12" t="n"/>
      <c r="G188" s="2" t="n"/>
      <c r="H188" s="14" t="n"/>
      <c r="I188" s="12" t="n"/>
      <c r="J188" s="12" t="n"/>
      <c r="K188" s="12" t="n"/>
      <c r="L188" s="12" t="n"/>
      <c r="M188" s="12" t="n"/>
      <c r="N188" s="2">
        <f>IF(A188="","",SUM(I188:M188))</f>
        <v/>
      </c>
      <c r="O188" s="12" t="n"/>
      <c r="P188" s="12" t="n"/>
      <c r="Q188" s="2" t="n"/>
      <c r="R188" s="2" t="n"/>
      <c r="S188" s="2" t="n"/>
      <c r="T188" s="5">
        <f>IF(A188="","",(COUNTA(A188:M188)+COUNTA(O188:S188))/18)</f>
        <v/>
      </c>
      <c r="U188" s="2" t="n"/>
    </row>
    <row r="189">
      <c r="A189" s="12" t="n"/>
      <c r="B189" s="12" t="n"/>
      <c r="C189" s="12" t="n"/>
      <c r="D189" s="4" t="n"/>
      <c r="E189" s="2" t="n"/>
      <c r="F189" s="12" t="n"/>
      <c r="G189" s="2" t="n"/>
      <c r="H189" s="14" t="n"/>
      <c r="I189" s="12" t="n"/>
      <c r="J189" s="12" t="n"/>
      <c r="K189" s="12" t="n"/>
      <c r="L189" s="12" t="n"/>
      <c r="M189" s="12" t="n"/>
      <c r="N189" s="2">
        <f>IF(A189="","",SUM(I189:M189))</f>
        <v/>
      </c>
      <c r="O189" s="12" t="n"/>
      <c r="P189" s="12" t="n"/>
      <c r="Q189" s="2" t="n"/>
      <c r="R189" s="2" t="n"/>
      <c r="S189" s="2" t="n"/>
      <c r="T189" s="5">
        <f>IF(A189="","",(COUNTA(A189:M189)+COUNTA(O189:S189))/18)</f>
        <v/>
      </c>
      <c r="U189" s="2" t="n"/>
    </row>
    <row r="190">
      <c r="A190" s="12" t="n"/>
      <c r="B190" s="12" t="n"/>
      <c r="C190" s="12" t="n"/>
      <c r="D190" s="4" t="n"/>
      <c r="E190" s="2" t="n"/>
      <c r="F190" s="12" t="n"/>
      <c r="G190" s="2" t="n"/>
      <c r="H190" s="14" t="n"/>
      <c r="I190" s="12" t="n"/>
      <c r="J190" s="12" t="n"/>
      <c r="K190" s="12" t="n"/>
      <c r="L190" s="12" t="n"/>
      <c r="M190" s="12" t="n"/>
      <c r="N190" s="2">
        <f>IF(A190="","",SUM(I190:M190))</f>
        <v/>
      </c>
      <c r="O190" s="12" t="n"/>
      <c r="P190" s="12" t="n"/>
      <c r="Q190" s="2" t="n"/>
      <c r="R190" s="2" t="n"/>
      <c r="S190" s="2" t="n"/>
      <c r="T190" s="5">
        <f>IF(A190="","",(COUNTA(A190:M190)+COUNTA(O190:S190))/18)</f>
        <v/>
      </c>
      <c r="U190" s="2" t="n"/>
    </row>
    <row r="191">
      <c r="A191" s="12" t="n"/>
      <c r="B191" s="12" t="n"/>
      <c r="C191" s="12" t="n"/>
      <c r="D191" s="4" t="n"/>
      <c r="E191" s="2" t="n"/>
      <c r="F191" s="12" t="n"/>
      <c r="G191" s="2" t="n"/>
      <c r="H191" s="14" t="n"/>
      <c r="I191" s="12" t="n"/>
      <c r="J191" s="12" t="n"/>
      <c r="K191" s="12" t="n"/>
      <c r="L191" s="12" t="n"/>
      <c r="M191" s="12" t="n"/>
      <c r="N191" s="2">
        <f>IF(A191="","",SUM(I191:M191))</f>
        <v/>
      </c>
      <c r="O191" s="12" t="n"/>
      <c r="P191" s="12" t="n"/>
      <c r="Q191" s="2" t="n"/>
      <c r="R191" s="2" t="n"/>
      <c r="S191" s="2" t="n"/>
      <c r="T191" s="5">
        <f>IF(A191="","",(COUNTA(A191:M191)+COUNTA(O191:S191))/18)</f>
        <v/>
      </c>
      <c r="U191" s="2" t="n"/>
    </row>
    <row r="192">
      <c r="A192" s="12" t="n"/>
      <c r="B192" s="12" t="n"/>
      <c r="C192" s="12" t="n"/>
      <c r="D192" s="4" t="n"/>
      <c r="E192" s="2" t="n"/>
      <c r="F192" s="12" t="n"/>
      <c r="G192" s="2" t="n"/>
      <c r="H192" s="14" t="n"/>
      <c r="I192" s="12" t="n"/>
      <c r="J192" s="12" t="n"/>
      <c r="K192" s="12" t="n"/>
      <c r="L192" s="12" t="n"/>
      <c r="M192" s="12" t="n"/>
      <c r="N192" s="2">
        <f>IF(A192="","",SUM(I192:M192))</f>
        <v/>
      </c>
      <c r="O192" s="12" t="n"/>
      <c r="P192" s="12" t="n"/>
      <c r="Q192" s="2" t="n"/>
      <c r="R192" s="2" t="n"/>
      <c r="S192" s="2" t="n"/>
      <c r="T192" s="5">
        <f>IF(A192="","",(COUNTA(A192:M192)+COUNTA(O192:S192))/18)</f>
        <v/>
      </c>
      <c r="U192" s="2" t="n"/>
    </row>
    <row r="193">
      <c r="A193" s="12" t="n"/>
      <c r="B193" s="12" t="n"/>
      <c r="C193" s="12" t="n"/>
      <c r="D193" s="4" t="n"/>
      <c r="E193" s="2" t="n"/>
      <c r="F193" s="12" t="n"/>
      <c r="G193" s="2" t="n"/>
      <c r="H193" s="14" t="n"/>
      <c r="I193" s="12" t="n"/>
      <c r="J193" s="12" t="n"/>
      <c r="K193" s="12" t="n"/>
      <c r="L193" s="12" t="n"/>
      <c r="M193" s="12" t="n"/>
      <c r="N193" s="2">
        <f>IF(A193="","",SUM(I193:M193))</f>
        <v/>
      </c>
      <c r="O193" s="12" t="n"/>
      <c r="P193" s="12" t="n"/>
      <c r="Q193" s="2" t="n"/>
      <c r="R193" s="2" t="n"/>
      <c r="S193" s="2" t="n"/>
      <c r="T193" s="5">
        <f>IF(A193="","",(COUNTA(A193:M193)+COUNTA(O193:S193))/18)</f>
        <v/>
      </c>
      <c r="U193" s="2" t="n"/>
    </row>
    <row r="194">
      <c r="A194" s="12" t="n"/>
      <c r="B194" s="12" t="n"/>
      <c r="C194" s="12" t="n"/>
      <c r="D194" s="4" t="n"/>
      <c r="E194" s="2" t="n"/>
      <c r="F194" s="12" t="n"/>
      <c r="G194" s="2" t="n"/>
      <c r="H194" s="14" t="n"/>
      <c r="I194" s="12" t="n"/>
      <c r="J194" s="12" t="n"/>
      <c r="K194" s="12" t="n"/>
      <c r="L194" s="12" t="n"/>
      <c r="M194" s="12" t="n"/>
      <c r="N194" s="2">
        <f>IF(A194="","",SUM(I194:M194))</f>
        <v/>
      </c>
      <c r="O194" s="12" t="n"/>
      <c r="P194" s="12" t="n"/>
      <c r="Q194" s="2" t="n"/>
      <c r="R194" s="2" t="n"/>
      <c r="S194" s="2" t="n"/>
      <c r="T194" s="5">
        <f>IF(A194="","",(COUNTA(A194:M194)+COUNTA(O194:S194))/18)</f>
        <v/>
      </c>
      <c r="U194" s="2" t="n"/>
    </row>
    <row r="195">
      <c r="A195" s="12" t="n"/>
      <c r="B195" s="12" t="n"/>
      <c r="C195" s="12" t="n"/>
      <c r="D195" s="4" t="n"/>
      <c r="E195" s="2" t="n"/>
      <c r="F195" s="12" t="n"/>
      <c r="G195" s="2" t="n"/>
      <c r="H195" s="14" t="n"/>
      <c r="I195" s="12" t="n"/>
      <c r="J195" s="12" t="n"/>
      <c r="K195" s="12" t="n"/>
      <c r="L195" s="12" t="n"/>
      <c r="M195" s="12" t="n"/>
      <c r="N195" s="2">
        <f>IF(A195="","",SUM(I195:M195))</f>
        <v/>
      </c>
      <c r="O195" s="12" t="n"/>
      <c r="P195" s="12" t="n"/>
      <c r="Q195" s="2" t="n"/>
      <c r="R195" s="2" t="n"/>
      <c r="S195" s="2" t="n"/>
      <c r="T195" s="5">
        <f>IF(A195="","",(COUNTA(A195:M195)+COUNTA(O195:S195))/18)</f>
        <v/>
      </c>
      <c r="U195" s="2" t="n"/>
    </row>
    <row r="196">
      <c r="A196" s="12" t="n"/>
      <c r="B196" s="12" t="n"/>
      <c r="C196" s="12" t="n"/>
      <c r="D196" s="4" t="n"/>
      <c r="E196" s="2" t="n"/>
      <c r="F196" s="12" t="n"/>
      <c r="G196" s="2" t="n"/>
      <c r="H196" s="14" t="n"/>
      <c r="I196" s="12" t="n"/>
      <c r="J196" s="12" t="n"/>
      <c r="K196" s="12" t="n"/>
      <c r="L196" s="12" t="n"/>
      <c r="M196" s="12" t="n"/>
      <c r="N196" s="2">
        <f>IF(A196="","",SUM(I196:M196))</f>
        <v/>
      </c>
      <c r="O196" s="12" t="n"/>
      <c r="P196" s="12" t="n"/>
      <c r="Q196" s="2" t="n"/>
      <c r="R196" s="2" t="n"/>
      <c r="S196" s="2" t="n"/>
      <c r="T196" s="5">
        <f>IF(A196="","",(COUNTA(A196:M196)+COUNTA(O196:S196))/18)</f>
        <v/>
      </c>
      <c r="U196" s="2" t="n"/>
    </row>
    <row r="197">
      <c r="A197" s="12" t="n"/>
      <c r="B197" s="12" t="n"/>
      <c r="C197" s="12" t="n"/>
      <c r="D197" s="4" t="n"/>
      <c r="E197" s="2" t="n"/>
      <c r="F197" s="12" t="n"/>
      <c r="G197" s="2" t="n"/>
      <c r="H197" s="14" t="n"/>
      <c r="I197" s="12" t="n"/>
      <c r="J197" s="12" t="n"/>
      <c r="K197" s="12" t="n"/>
      <c r="L197" s="12" t="n"/>
      <c r="M197" s="12" t="n"/>
      <c r="N197" s="2">
        <f>IF(A197="","",SUM(I197:M197))</f>
        <v/>
      </c>
      <c r="O197" s="12" t="n"/>
      <c r="P197" s="12" t="n"/>
      <c r="Q197" s="2" t="n"/>
      <c r="R197" s="2" t="n"/>
      <c r="S197" s="2" t="n"/>
      <c r="T197" s="5">
        <f>IF(A197="","",(COUNTA(A197:M197)+COUNTA(O197:S197))/18)</f>
        <v/>
      </c>
      <c r="U197" s="2" t="n"/>
    </row>
    <row r="198">
      <c r="A198" s="12" t="n"/>
      <c r="B198" s="12" t="n"/>
      <c r="C198" s="12" t="n"/>
      <c r="D198" s="4" t="n"/>
      <c r="E198" s="2" t="n"/>
      <c r="F198" s="12" t="n"/>
      <c r="G198" s="2" t="n"/>
      <c r="H198" s="14" t="n"/>
      <c r="I198" s="12" t="n"/>
      <c r="J198" s="12" t="n"/>
      <c r="K198" s="12" t="n"/>
      <c r="L198" s="12" t="n"/>
      <c r="M198" s="12" t="n"/>
      <c r="N198" s="2">
        <f>IF(A198="","",SUM(I198:M198))</f>
        <v/>
      </c>
      <c r="O198" s="12" t="n"/>
      <c r="P198" s="12" t="n"/>
      <c r="Q198" s="2" t="n"/>
      <c r="R198" s="2" t="n"/>
      <c r="S198" s="2" t="n"/>
      <c r="T198" s="5">
        <f>IF(A198="","",(COUNTA(A198:M198)+COUNTA(O198:S198))/18)</f>
        <v/>
      </c>
      <c r="U198" s="2" t="n"/>
    </row>
    <row r="199">
      <c r="A199" s="12" t="n"/>
      <c r="B199" s="12" t="n"/>
      <c r="C199" s="12" t="n"/>
      <c r="D199" s="4" t="n"/>
      <c r="E199" s="2" t="n"/>
      <c r="F199" s="12" t="n"/>
      <c r="G199" s="2" t="n"/>
      <c r="H199" s="14" t="n"/>
      <c r="I199" s="12" t="n"/>
      <c r="J199" s="12" t="n"/>
      <c r="K199" s="12" t="n"/>
      <c r="L199" s="12" t="n"/>
      <c r="M199" s="12" t="n"/>
      <c r="N199" s="2">
        <f>IF(A199="","",SUM(I199:M199))</f>
        <v/>
      </c>
      <c r="O199" s="12" t="n"/>
      <c r="P199" s="12" t="n"/>
      <c r="Q199" s="2" t="n"/>
      <c r="R199" s="2" t="n"/>
      <c r="S199" s="2" t="n"/>
      <c r="T199" s="5">
        <f>IF(A199="","",(COUNTA(A199:M199)+COUNTA(O199:S199))/18)</f>
        <v/>
      </c>
      <c r="U199" s="2" t="n"/>
    </row>
    <row r="200">
      <c r="A200" s="12" t="n"/>
      <c r="B200" s="12" t="n"/>
      <c r="C200" s="12" t="n"/>
      <c r="D200" s="4" t="n"/>
      <c r="E200" s="2" t="n"/>
      <c r="F200" s="12" t="n"/>
      <c r="G200" s="2" t="n"/>
      <c r="H200" s="14" t="n"/>
      <c r="I200" s="12" t="n"/>
      <c r="J200" s="12" t="n"/>
      <c r="K200" s="12" t="n"/>
      <c r="L200" s="12" t="n"/>
      <c r="M200" s="12" t="n"/>
      <c r="N200" s="2">
        <f>IF(A200="","",SUM(I200:M200))</f>
        <v/>
      </c>
      <c r="O200" s="12" t="n"/>
      <c r="P200" s="12" t="n"/>
      <c r="Q200" s="2" t="n"/>
      <c r="R200" s="2" t="n"/>
      <c r="S200" s="2" t="n"/>
      <c r="T200" s="5">
        <f>IF(A200="","",(COUNTA(A200:M200)+COUNTA(O200:S200))/18)</f>
        <v/>
      </c>
      <c r="U200" s="2" t="n"/>
    </row>
    <row r="201">
      <c r="A201" s="12" t="n"/>
      <c r="B201" s="12" t="n"/>
      <c r="C201" s="12" t="n"/>
      <c r="D201" s="4" t="n"/>
      <c r="E201" s="2" t="n"/>
      <c r="F201" s="12" t="n"/>
      <c r="G201" s="2" t="n"/>
      <c r="H201" s="14" t="n"/>
      <c r="I201" s="12" t="n"/>
      <c r="J201" s="12" t="n"/>
      <c r="K201" s="12" t="n"/>
      <c r="L201" s="12" t="n"/>
      <c r="M201" s="12" t="n"/>
      <c r="N201" s="2">
        <f>IF(A201="","",SUM(I201:M201))</f>
        <v/>
      </c>
      <c r="O201" s="12" t="n"/>
      <c r="P201" s="12" t="n"/>
      <c r="Q201" s="2" t="n"/>
      <c r="R201" s="2" t="n"/>
      <c r="S201" s="2" t="n"/>
      <c r="T201" s="5">
        <f>IF(A201="","",(COUNTA(A201:M201)+COUNTA(O201:S201))/18)</f>
        <v/>
      </c>
      <c r="U201" s="2" t="n"/>
    </row>
    <row r="202">
      <c r="A202" s="12" t="n"/>
      <c r="B202" s="12" t="n"/>
      <c r="C202" s="12" t="n"/>
      <c r="D202" s="4" t="n"/>
      <c r="E202" s="2" t="n"/>
      <c r="F202" s="12" t="n"/>
      <c r="G202" s="2" t="n"/>
      <c r="H202" s="14" t="n"/>
      <c r="I202" s="12" t="n"/>
      <c r="J202" s="12" t="n"/>
      <c r="K202" s="12" t="n"/>
      <c r="L202" s="12" t="n"/>
      <c r="M202" s="12" t="n"/>
      <c r="N202" s="2">
        <f>IF(A202="","",SUM(I202:M202))</f>
        <v/>
      </c>
      <c r="O202" s="12" t="n"/>
      <c r="P202" s="12" t="n"/>
      <c r="Q202" s="2" t="n"/>
      <c r="R202" s="2" t="n"/>
      <c r="S202" s="2" t="n"/>
      <c r="T202" s="5">
        <f>IF(A202="","",(COUNTA(A202:M202)+COUNTA(O202:S202))/18)</f>
        <v/>
      </c>
      <c r="U202" s="2" t="n"/>
    </row>
    <row r="203">
      <c r="A203" s="12" t="n"/>
      <c r="B203" s="12" t="n"/>
      <c r="C203" s="12" t="n"/>
      <c r="D203" s="4" t="n"/>
      <c r="E203" s="2" t="n"/>
      <c r="F203" s="12" t="n"/>
      <c r="G203" s="2" t="n"/>
      <c r="H203" s="14" t="n"/>
      <c r="I203" s="12" t="n"/>
      <c r="J203" s="12" t="n"/>
      <c r="K203" s="12" t="n"/>
      <c r="L203" s="12" t="n"/>
      <c r="M203" s="12" t="n"/>
      <c r="N203" s="2">
        <f>IF(A203="","",SUM(I203:M203))</f>
        <v/>
      </c>
      <c r="O203" s="12" t="n"/>
      <c r="P203" s="12" t="n"/>
      <c r="Q203" s="2" t="n"/>
      <c r="R203" s="2" t="n"/>
      <c r="S203" s="2" t="n"/>
      <c r="T203" s="5">
        <f>IF(A203="","",(COUNTA(A203:M203)+COUNTA(O203:S203))/18)</f>
        <v/>
      </c>
      <c r="U203" s="2" t="n"/>
    </row>
    <row r="204">
      <c r="A204" s="12" t="n"/>
      <c r="B204" s="12" t="n"/>
      <c r="C204" s="12" t="n"/>
      <c r="D204" s="4" t="n"/>
      <c r="E204" s="2" t="n"/>
      <c r="F204" s="12" t="n"/>
      <c r="G204" s="2" t="n"/>
      <c r="H204" s="14" t="n"/>
      <c r="I204" s="12" t="n"/>
      <c r="J204" s="12" t="n"/>
      <c r="K204" s="12" t="n"/>
      <c r="L204" s="12" t="n"/>
      <c r="M204" s="12" t="n"/>
      <c r="N204" s="2">
        <f>IF(A204="","",SUM(I204:M204))</f>
        <v/>
      </c>
      <c r="O204" s="12" t="n"/>
      <c r="P204" s="12" t="n"/>
      <c r="Q204" s="2" t="n"/>
      <c r="R204" s="2" t="n"/>
      <c r="S204" s="2" t="n"/>
      <c r="T204" s="5">
        <f>IF(A204="","",(COUNTA(A204:M204)+COUNTA(O204:S204))/18)</f>
        <v/>
      </c>
      <c r="U204" s="2" t="n"/>
    </row>
    <row r="205">
      <c r="A205" s="12" t="n"/>
      <c r="B205" s="12" t="n"/>
      <c r="C205" s="12" t="n"/>
      <c r="D205" s="4" t="n"/>
      <c r="E205" s="2" t="n"/>
      <c r="F205" s="12" t="n"/>
      <c r="G205" s="2" t="n"/>
      <c r="H205" s="14" t="n"/>
      <c r="I205" s="12" t="n"/>
      <c r="J205" s="12" t="n"/>
      <c r="K205" s="12" t="n"/>
      <c r="L205" s="12" t="n"/>
      <c r="M205" s="12" t="n"/>
      <c r="N205" s="2">
        <f>IF(A205="","",SUM(I205:M205))</f>
        <v/>
      </c>
      <c r="O205" s="12" t="n"/>
      <c r="P205" s="12" t="n"/>
      <c r="Q205" s="2" t="n"/>
      <c r="R205" s="2" t="n"/>
      <c r="S205" s="2" t="n"/>
      <c r="T205" s="5">
        <f>IF(A205="","",(COUNTA(A205:M205)+COUNTA(O205:S205))/18)</f>
        <v/>
      </c>
      <c r="U205" s="2" t="n"/>
    </row>
    <row r="206">
      <c r="A206" s="12" t="n"/>
      <c r="B206" s="12" t="n"/>
      <c r="C206" s="12" t="n"/>
      <c r="D206" s="4" t="n"/>
      <c r="E206" s="2" t="n"/>
      <c r="F206" s="12" t="n"/>
      <c r="G206" s="2" t="n"/>
      <c r="H206" s="14" t="n"/>
      <c r="I206" s="12" t="n"/>
      <c r="J206" s="12" t="n"/>
      <c r="K206" s="12" t="n"/>
      <c r="L206" s="12" t="n"/>
      <c r="M206" s="12" t="n"/>
      <c r="N206" s="2">
        <f>IF(A206="","",SUM(I206:M206))</f>
        <v/>
      </c>
      <c r="O206" s="12" t="n"/>
      <c r="P206" s="12" t="n"/>
      <c r="Q206" s="2" t="n"/>
      <c r="R206" s="2" t="n"/>
      <c r="S206" s="2" t="n"/>
      <c r="T206" s="5">
        <f>IF(A206="","",(COUNTA(A206:M206)+COUNTA(O206:S206))/18)</f>
        <v/>
      </c>
      <c r="U206" s="2" t="n"/>
    </row>
    <row r="207">
      <c r="A207" s="12" t="n"/>
      <c r="B207" s="12" t="n"/>
      <c r="C207" s="12" t="n"/>
      <c r="D207" s="4" t="n"/>
      <c r="E207" s="2" t="n"/>
      <c r="F207" s="12" t="n"/>
      <c r="G207" s="2" t="n"/>
      <c r="H207" s="14" t="n"/>
      <c r="I207" s="12" t="n"/>
      <c r="J207" s="12" t="n"/>
      <c r="K207" s="12" t="n"/>
      <c r="L207" s="12" t="n"/>
      <c r="M207" s="12" t="n"/>
      <c r="N207" s="2">
        <f>IF(A207="","",SUM(I207:M207))</f>
        <v/>
      </c>
      <c r="O207" s="12" t="n"/>
      <c r="P207" s="12" t="n"/>
      <c r="Q207" s="2" t="n"/>
      <c r="R207" s="2" t="n"/>
      <c r="S207" s="2" t="n"/>
      <c r="T207" s="5">
        <f>IF(A207="","",(COUNTA(A207:M207)+COUNTA(O207:S207))/18)</f>
        <v/>
      </c>
      <c r="U207" s="2" t="n"/>
    </row>
    <row r="208">
      <c r="A208" s="12" t="n"/>
      <c r="B208" s="12" t="n"/>
      <c r="C208" s="12" t="n"/>
      <c r="D208" s="4" t="n"/>
      <c r="E208" s="2" t="n"/>
      <c r="F208" s="12" t="n"/>
      <c r="G208" s="2" t="n"/>
      <c r="H208" s="14" t="n"/>
      <c r="I208" s="12" t="n"/>
      <c r="J208" s="12" t="n"/>
      <c r="K208" s="12" t="n"/>
      <c r="L208" s="12" t="n"/>
      <c r="M208" s="12" t="n"/>
      <c r="N208" s="2">
        <f>IF(A208="","",SUM(I208:M208))</f>
        <v/>
      </c>
      <c r="O208" s="12" t="n"/>
      <c r="P208" s="12" t="n"/>
      <c r="Q208" s="2" t="n"/>
      <c r="R208" s="2" t="n"/>
      <c r="S208" s="2" t="n"/>
      <c r="T208" s="5">
        <f>IF(A208="","",(COUNTA(A208:M208)+COUNTA(O208:S208))/18)</f>
        <v/>
      </c>
      <c r="U208" s="2" t="n"/>
    </row>
    <row r="209">
      <c r="A209" s="12" t="n"/>
      <c r="B209" s="12" t="n"/>
      <c r="C209" s="12" t="n"/>
      <c r="D209" s="4" t="n"/>
      <c r="E209" s="2" t="n"/>
      <c r="F209" s="12" t="n"/>
      <c r="G209" s="2" t="n"/>
      <c r="H209" s="14" t="n"/>
      <c r="I209" s="12" t="n"/>
      <c r="J209" s="12" t="n"/>
      <c r="K209" s="12" t="n"/>
      <c r="L209" s="12" t="n"/>
      <c r="M209" s="12" t="n"/>
      <c r="N209" s="2">
        <f>IF(A209="","",SUM(I209:M209))</f>
        <v/>
      </c>
      <c r="O209" s="12" t="n"/>
      <c r="P209" s="12" t="n"/>
      <c r="Q209" s="2" t="n"/>
      <c r="R209" s="2" t="n"/>
      <c r="S209" s="2" t="n"/>
      <c r="T209" s="5">
        <f>IF(A209="","",(COUNTA(A209:M209)+COUNTA(O209:S209))/18)</f>
        <v/>
      </c>
      <c r="U209" s="2" t="n"/>
    </row>
    <row r="210">
      <c r="A210" s="12" t="n"/>
      <c r="B210" s="12" t="n"/>
      <c r="C210" s="12" t="n"/>
      <c r="D210" s="4" t="n"/>
      <c r="E210" s="2" t="n"/>
      <c r="F210" s="12" t="n"/>
      <c r="G210" s="2" t="n"/>
      <c r="H210" s="14" t="n"/>
      <c r="I210" s="12" t="n"/>
      <c r="J210" s="12" t="n"/>
      <c r="K210" s="12" t="n"/>
      <c r="L210" s="12" t="n"/>
      <c r="M210" s="12" t="n"/>
      <c r="N210" s="2">
        <f>IF(A210="","",SUM(I210:M210))</f>
        <v/>
      </c>
      <c r="O210" s="12" t="n"/>
      <c r="P210" s="12" t="n"/>
      <c r="Q210" s="2" t="n"/>
      <c r="R210" s="2" t="n"/>
      <c r="S210" s="2" t="n"/>
      <c r="T210" s="5">
        <f>IF(A210="","",(COUNTA(A210:M210)+COUNTA(O210:S210))/18)</f>
        <v/>
      </c>
      <c r="U210" s="2" t="n"/>
    </row>
    <row r="211">
      <c r="A211" s="12" t="n"/>
      <c r="B211" s="12" t="n"/>
      <c r="C211" s="12" t="n"/>
      <c r="D211" s="4" t="n"/>
      <c r="E211" s="2" t="n"/>
      <c r="F211" s="12" t="n"/>
      <c r="G211" s="2" t="n"/>
      <c r="H211" s="14" t="n"/>
      <c r="I211" s="12" t="n"/>
      <c r="J211" s="12" t="n"/>
      <c r="K211" s="12" t="n"/>
      <c r="L211" s="12" t="n"/>
      <c r="M211" s="12" t="n"/>
      <c r="N211" s="2">
        <f>IF(A211="","",SUM(I211:M211))</f>
        <v/>
      </c>
      <c r="O211" s="12" t="n"/>
      <c r="P211" s="12" t="n"/>
      <c r="Q211" s="2" t="n"/>
      <c r="R211" s="2" t="n"/>
      <c r="S211" s="2" t="n"/>
      <c r="T211" s="5">
        <f>IF(A211="","",(COUNTA(A211:M211)+COUNTA(O211:S211))/18)</f>
        <v/>
      </c>
      <c r="U211" s="2" t="n"/>
    </row>
    <row r="212">
      <c r="A212" s="12" t="n"/>
      <c r="B212" s="12" t="n"/>
      <c r="C212" s="12" t="n"/>
      <c r="D212" s="4" t="n"/>
      <c r="E212" s="2" t="n"/>
      <c r="F212" s="12" t="n"/>
      <c r="G212" s="2" t="n"/>
      <c r="H212" s="14" t="n"/>
      <c r="I212" s="12" t="n"/>
      <c r="J212" s="12" t="n"/>
      <c r="K212" s="12" t="n"/>
      <c r="L212" s="12" t="n"/>
      <c r="M212" s="12" t="n"/>
      <c r="N212" s="2">
        <f>IF(A212="","",SUM(I212:M212))</f>
        <v/>
      </c>
      <c r="O212" s="12" t="n"/>
      <c r="P212" s="12" t="n"/>
      <c r="Q212" s="2" t="n"/>
      <c r="R212" s="2" t="n"/>
      <c r="S212" s="2" t="n"/>
      <c r="T212" s="5">
        <f>IF(A212="","",(COUNTA(A212:M212)+COUNTA(O212:S212))/18)</f>
        <v/>
      </c>
      <c r="U212" s="2" t="n"/>
    </row>
    <row r="213">
      <c r="A213" s="12" t="n"/>
      <c r="B213" s="12" t="n"/>
      <c r="C213" s="12" t="n"/>
      <c r="D213" s="4" t="n"/>
      <c r="E213" s="2" t="n"/>
      <c r="F213" s="12" t="n"/>
      <c r="G213" s="2" t="n"/>
      <c r="H213" s="14" t="n"/>
      <c r="I213" s="12" t="n"/>
      <c r="J213" s="12" t="n"/>
      <c r="K213" s="12" t="n"/>
      <c r="L213" s="12" t="n"/>
      <c r="M213" s="12" t="n"/>
      <c r="N213" s="2">
        <f>IF(A213="","",SUM(I213:M213))</f>
        <v/>
      </c>
      <c r="O213" s="12" t="n"/>
      <c r="P213" s="12" t="n"/>
      <c r="Q213" s="2" t="n"/>
      <c r="R213" s="2" t="n"/>
      <c r="S213" s="2" t="n"/>
      <c r="T213" s="5">
        <f>IF(A213="","",(COUNTA(A213:M213)+COUNTA(O213:S213))/18)</f>
        <v/>
      </c>
      <c r="U213" s="2" t="n"/>
    </row>
    <row r="214">
      <c r="A214" s="12" t="n"/>
      <c r="B214" s="12" t="n"/>
      <c r="C214" s="12" t="n"/>
      <c r="D214" s="4" t="n"/>
      <c r="E214" s="2" t="n"/>
      <c r="F214" s="12" t="n"/>
      <c r="G214" s="2" t="n"/>
      <c r="H214" s="14" t="n"/>
      <c r="I214" s="12" t="n"/>
      <c r="J214" s="12" t="n"/>
      <c r="K214" s="12" t="n"/>
      <c r="L214" s="12" t="n"/>
      <c r="M214" s="12" t="n"/>
      <c r="N214" s="2">
        <f>IF(A214="","",SUM(I214:M214))</f>
        <v/>
      </c>
      <c r="O214" s="12" t="n"/>
      <c r="P214" s="12" t="n"/>
      <c r="Q214" s="2" t="n"/>
      <c r="R214" s="2" t="n"/>
      <c r="S214" s="2" t="n"/>
      <c r="T214" s="5">
        <f>IF(A214="","",(COUNTA(A214:M214)+COUNTA(O214:S214))/18)</f>
        <v/>
      </c>
      <c r="U214" s="2" t="n"/>
    </row>
    <row r="215">
      <c r="A215" s="12" t="n"/>
      <c r="B215" s="12" t="n"/>
      <c r="C215" s="12" t="n"/>
      <c r="D215" s="4" t="n"/>
      <c r="E215" s="2" t="n"/>
      <c r="F215" s="12" t="n"/>
      <c r="G215" s="2" t="n"/>
      <c r="H215" s="14" t="n"/>
      <c r="I215" s="12" t="n"/>
      <c r="J215" s="12" t="n"/>
      <c r="K215" s="12" t="n"/>
      <c r="L215" s="12" t="n"/>
      <c r="M215" s="12" t="n"/>
      <c r="N215" s="2">
        <f>IF(A215="","",SUM(I215:M215))</f>
        <v/>
      </c>
      <c r="O215" s="12" t="n"/>
      <c r="P215" s="12" t="n"/>
      <c r="Q215" s="2" t="n"/>
      <c r="R215" s="2" t="n"/>
      <c r="S215" s="2" t="n"/>
      <c r="T215" s="5">
        <f>IF(A215="","",(COUNTA(A215:M215)+COUNTA(O215:S215))/18)</f>
        <v/>
      </c>
      <c r="U215" s="2" t="n"/>
    </row>
    <row r="216">
      <c r="A216" s="12" t="n"/>
      <c r="B216" s="12" t="n"/>
      <c r="C216" s="12" t="n"/>
      <c r="D216" s="4" t="n"/>
      <c r="E216" s="2" t="n"/>
      <c r="F216" s="12" t="n"/>
      <c r="G216" s="2" t="n"/>
      <c r="H216" s="14" t="n"/>
      <c r="I216" s="12" t="n"/>
      <c r="J216" s="12" t="n"/>
      <c r="K216" s="12" t="n"/>
      <c r="L216" s="12" t="n"/>
      <c r="M216" s="12" t="n"/>
      <c r="N216" s="2">
        <f>IF(A216="","",SUM(I216:M216))</f>
        <v/>
      </c>
      <c r="O216" s="12" t="n"/>
      <c r="P216" s="12" t="n"/>
      <c r="Q216" s="2" t="n"/>
      <c r="R216" s="2" t="n"/>
      <c r="S216" s="2" t="n"/>
      <c r="T216" s="5">
        <f>IF(A216="","",(COUNTA(A216:M216)+COUNTA(O216:S216))/18)</f>
        <v/>
      </c>
      <c r="U216" s="2" t="n"/>
    </row>
    <row r="217">
      <c r="A217" s="12" t="n"/>
      <c r="B217" s="12" t="n"/>
      <c r="C217" s="12" t="n"/>
      <c r="D217" s="4" t="n"/>
      <c r="E217" s="2" t="n"/>
      <c r="F217" s="12" t="n"/>
      <c r="G217" s="2" t="n"/>
      <c r="H217" s="14" t="n"/>
      <c r="I217" s="12" t="n"/>
      <c r="J217" s="12" t="n"/>
      <c r="K217" s="12" t="n"/>
      <c r="L217" s="12" t="n"/>
      <c r="M217" s="12" t="n"/>
      <c r="N217" s="2">
        <f>IF(A217="","",SUM(I217:M217))</f>
        <v/>
      </c>
      <c r="O217" s="12" t="n"/>
      <c r="P217" s="12" t="n"/>
      <c r="Q217" s="2" t="n"/>
      <c r="R217" s="2" t="n"/>
      <c r="S217" s="2" t="n"/>
      <c r="T217" s="5">
        <f>IF(A217="","",(COUNTA(A217:M217)+COUNTA(O217:S217))/18)</f>
        <v/>
      </c>
      <c r="U217" s="2" t="n"/>
    </row>
    <row r="218">
      <c r="A218" s="12" t="n"/>
      <c r="B218" s="12" t="n"/>
      <c r="C218" s="12" t="n"/>
      <c r="D218" s="4" t="n"/>
      <c r="E218" s="2" t="n"/>
      <c r="F218" s="12" t="n"/>
      <c r="G218" s="2" t="n"/>
      <c r="H218" s="14" t="n"/>
      <c r="I218" s="12" t="n"/>
      <c r="J218" s="12" t="n"/>
      <c r="K218" s="12" t="n"/>
      <c r="L218" s="12" t="n"/>
      <c r="M218" s="12" t="n"/>
      <c r="N218" s="2">
        <f>IF(A218="","",SUM(I218:M218))</f>
        <v/>
      </c>
      <c r="O218" s="12" t="n"/>
      <c r="P218" s="12" t="n"/>
      <c r="Q218" s="2" t="n"/>
      <c r="R218" s="2" t="n"/>
      <c r="S218" s="2" t="n"/>
      <c r="T218" s="5">
        <f>IF(A218="","",(COUNTA(A218:M218)+COUNTA(O218:S218))/18)</f>
        <v/>
      </c>
      <c r="U218" s="2" t="n"/>
    </row>
    <row r="219">
      <c r="A219" s="12" t="n"/>
      <c r="B219" s="12" t="n"/>
      <c r="C219" s="12" t="n"/>
      <c r="D219" s="4" t="n"/>
      <c r="E219" s="2" t="n"/>
      <c r="F219" s="12" t="n"/>
      <c r="G219" s="2" t="n"/>
      <c r="H219" s="14" t="n"/>
      <c r="I219" s="12" t="n"/>
      <c r="J219" s="12" t="n"/>
      <c r="K219" s="12" t="n"/>
      <c r="L219" s="12" t="n"/>
      <c r="M219" s="12" t="n"/>
      <c r="N219" s="2">
        <f>IF(A219="","",SUM(I219:M219))</f>
        <v/>
      </c>
      <c r="O219" s="12" t="n"/>
      <c r="P219" s="12" t="n"/>
      <c r="Q219" s="2" t="n"/>
      <c r="R219" s="2" t="n"/>
      <c r="S219" s="2" t="n"/>
      <c r="T219" s="5">
        <f>IF(A219="","",(COUNTA(A219:M219)+COUNTA(O219:S219))/18)</f>
        <v/>
      </c>
      <c r="U219" s="2" t="n"/>
    </row>
    <row r="220">
      <c r="A220" s="12" t="n"/>
      <c r="B220" s="12" t="n"/>
      <c r="C220" s="12" t="n"/>
      <c r="D220" s="4" t="n"/>
      <c r="E220" s="2" t="n"/>
      <c r="F220" s="12" t="n"/>
      <c r="G220" s="2" t="n"/>
      <c r="H220" s="14" t="n"/>
      <c r="I220" s="12" t="n"/>
      <c r="J220" s="12" t="n"/>
      <c r="K220" s="12" t="n"/>
      <c r="L220" s="12" t="n"/>
      <c r="M220" s="12" t="n"/>
      <c r="N220" s="2">
        <f>IF(A220="","",SUM(I220:M220))</f>
        <v/>
      </c>
      <c r="O220" s="12" t="n"/>
      <c r="P220" s="12" t="n"/>
      <c r="Q220" s="2" t="n"/>
      <c r="R220" s="2" t="n"/>
      <c r="S220" s="2" t="n"/>
      <c r="T220" s="5">
        <f>IF(A220="","",(COUNTA(A220:M220)+COUNTA(O220:S220))/18)</f>
        <v/>
      </c>
      <c r="U220" s="2" t="n"/>
    </row>
    <row r="221">
      <c r="A221" s="12" t="n"/>
      <c r="B221" s="12" t="n"/>
      <c r="C221" s="12" t="n"/>
      <c r="D221" s="4" t="n"/>
      <c r="E221" s="2" t="n"/>
      <c r="F221" s="12" t="n"/>
      <c r="G221" s="2" t="n"/>
      <c r="H221" s="14" t="n"/>
      <c r="I221" s="12" t="n"/>
      <c r="J221" s="12" t="n"/>
      <c r="K221" s="12" t="n"/>
      <c r="L221" s="12" t="n"/>
      <c r="M221" s="12" t="n"/>
      <c r="N221" s="2">
        <f>IF(A221="","",SUM(I221:M221))</f>
        <v/>
      </c>
      <c r="O221" s="12" t="n"/>
      <c r="P221" s="12" t="n"/>
      <c r="Q221" s="2" t="n"/>
      <c r="R221" s="2" t="n"/>
      <c r="S221" s="2" t="n"/>
      <c r="T221" s="5">
        <f>IF(A221="","",(COUNTA(A221:M221)+COUNTA(O221:S221))/18)</f>
        <v/>
      </c>
      <c r="U221" s="2" t="n"/>
    </row>
    <row r="222">
      <c r="A222" s="12" t="n"/>
      <c r="B222" s="12" t="n"/>
      <c r="C222" s="12" t="n"/>
      <c r="D222" s="4" t="n"/>
      <c r="E222" s="2" t="n"/>
      <c r="F222" s="12" t="n"/>
      <c r="G222" s="2" t="n"/>
      <c r="H222" s="14" t="n"/>
      <c r="I222" s="12" t="n"/>
      <c r="J222" s="12" t="n"/>
      <c r="K222" s="12" t="n"/>
      <c r="L222" s="12" t="n"/>
      <c r="M222" s="12" t="n"/>
      <c r="N222" s="2">
        <f>IF(A222="","",SUM(I222:M222))</f>
        <v/>
      </c>
      <c r="O222" s="12" t="n"/>
      <c r="P222" s="12" t="n"/>
      <c r="Q222" s="2" t="n"/>
      <c r="R222" s="2" t="n"/>
      <c r="S222" s="2" t="n"/>
      <c r="T222" s="5">
        <f>IF(A222="","",(COUNTA(A222:M222)+COUNTA(O222:S222))/18)</f>
        <v/>
      </c>
      <c r="U222" s="2" t="n"/>
    </row>
    <row r="223">
      <c r="A223" s="12" t="n"/>
      <c r="B223" s="12" t="n"/>
      <c r="C223" s="12" t="n"/>
      <c r="D223" s="4" t="n"/>
      <c r="E223" s="2" t="n"/>
      <c r="F223" s="12" t="n"/>
      <c r="G223" s="2" t="n"/>
      <c r="H223" s="14" t="n"/>
      <c r="I223" s="12" t="n"/>
      <c r="J223" s="12" t="n"/>
      <c r="K223" s="12" t="n"/>
      <c r="L223" s="12" t="n"/>
      <c r="M223" s="12" t="n"/>
      <c r="N223" s="2">
        <f>IF(A223="","",SUM(I223:M223))</f>
        <v/>
      </c>
      <c r="O223" s="12" t="n"/>
      <c r="P223" s="12" t="n"/>
      <c r="Q223" s="2" t="n"/>
      <c r="R223" s="2" t="n"/>
      <c r="S223" s="2" t="n"/>
      <c r="T223" s="5">
        <f>IF(A223="","",(COUNTA(A223:M223)+COUNTA(O223:S223))/18)</f>
        <v/>
      </c>
      <c r="U223" s="2" t="n"/>
    </row>
    <row r="224">
      <c r="A224" s="12" t="n"/>
      <c r="B224" s="12" t="n"/>
      <c r="C224" s="12" t="n"/>
      <c r="D224" s="4" t="n"/>
      <c r="E224" s="2" t="n"/>
      <c r="F224" s="12" t="n"/>
      <c r="G224" s="2" t="n"/>
      <c r="H224" s="14" t="n"/>
      <c r="I224" s="12" t="n"/>
      <c r="J224" s="12" t="n"/>
      <c r="K224" s="12" t="n"/>
      <c r="L224" s="12" t="n"/>
      <c r="M224" s="12" t="n"/>
      <c r="N224" s="2">
        <f>IF(A224="","",SUM(I224:M224))</f>
        <v/>
      </c>
      <c r="O224" s="12" t="n"/>
      <c r="P224" s="12" t="n"/>
      <c r="Q224" s="2" t="n"/>
      <c r="R224" s="2" t="n"/>
      <c r="S224" s="2" t="n"/>
      <c r="T224" s="5">
        <f>IF(A224="","",(COUNTA(A224:M224)+COUNTA(O224:S224))/18)</f>
        <v/>
      </c>
      <c r="U224" s="2" t="n"/>
    </row>
    <row r="225">
      <c r="A225" s="12" t="n"/>
      <c r="B225" s="12" t="n"/>
      <c r="C225" s="12" t="n"/>
      <c r="D225" s="4" t="n"/>
      <c r="E225" s="2" t="n"/>
      <c r="F225" s="12" t="n"/>
      <c r="G225" s="2" t="n"/>
      <c r="H225" s="14" t="n"/>
      <c r="I225" s="12" t="n"/>
      <c r="J225" s="12" t="n"/>
      <c r="K225" s="12" t="n"/>
      <c r="L225" s="12" t="n"/>
      <c r="M225" s="12" t="n"/>
      <c r="N225" s="2">
        <f>IF(A225="","",SUM(I225:M225))</f>
        <v/>
      </c>
      <c r="O225" s="12" t="n"/>
      <c r="P225" s="12" t="n"/>
      <c r="Q225" s="2" t="n"/>
      <c r="R225" s="2" t="n"/>
      <c r="S225" s="2" t="n"/>
      <c r="T225" s="5">
        <f>IF(A225="","",(COUNTA(A225:M225)+COUNTA(O225:S225))/18)</f>
        <v/>
      </c>
      <c r="U225" s="2" t="n"/>
    </row>
    <row r="226">
      <c r="A226" s="12" t="n"/>
      <c r="B226" s="12" t="n"/>
      <c r="C226" s="12" t="n"/>
      <c r="D226" s="4" t="n"/>
      <c r="E226" s="2" t="n"/>
      <c r="F226" s="12" t="n"/>
      <c r="G226" s="2" t="n"/>
      <c r="H226" s="14" t="n"/>
      <c r="I226" s="12" t="n"/>
      <c r="J226" s="12" t="n"/>
      <c r="K226" s="12" t="n"/>
      <c r="L226" s="12" t="n"/>
      <c r="M226" s="12" t="n"/>
      <c r="N226" s="2">
        <f>IF(A226="","",SUM(I226:M226))</f>
        <v/>
      </c>
      <c r="O226" s="12" t="n"/>
      <c r="P226" s="12" t="n"/>
      <c r="Q226" s="2" t="n"/>
      <c r="R226" s="2" t="n"/>
      <c r="S226" s="2" t="n"/>
      <c r="T226" s="5">
        <f>IF(A226="","",(COUNTA(A226:M226)+COUNTA(O226:S226))/18)</f>
        <v/>
      </c>
      <c r="U226" s="2" t="n"/>
    </row>
    <row r="227">
      <c r="A227" s="12" t="n"/>
      <c r="B227" s="12" t="n"/>
      <c r="C227" s="12" t="n"/>
      <c r="D227" s="4" t="n"/>
      <c r="E227" s="2" t="n"/>
      <c r="F227" s="12" t="n"/>
      <c r="G227" s="2" t="n"/>
      <c r="H227" s="14" t="n"/>
      <c r="I227" s="12" t="n"/>
      <c r="J227" s="12" t="n"/>
      <c r="K227" s="12" t="n"/>
      <c r="L227" s="12" t="n"/>
      <c r="M227" s="12" t="n"/>
      <c r="N227" s="2">
        <f>IF(A227="","",SUM(I227:M227))</f>
        <v/>
      </c>
      <c r="O227" s="12" t="n"/>
      <c r="P227" s="12" t="n"/>
      <c r="Q227" s="2" t="n"/>
      <c r="R227" s="2" t="n"/>
      <c r="S227" s="2" t="n"/>
      <c r="T227" s="5">
        <f>IF(A227="","",(COUNTA(A227:M227)+COUNTA(O227:S227))/18)</f>
        <v/>
      </c>
      <c r="U227" s="2" t="n"/>
    </row>
    <row r="228">
      <c r="A228" s="12" t="n"/>
      <c r="B228" s="12" t="n"/>
      <c r="C228" s="12" t="n"/>
      <c r="D228" s="4" t="n"/>
      <c r="E228" s="2" t="n"/>
      <c r="F228" s="12" t="n"/>
      <c r="G228" s="2" t="n"/>
      <c r="H228" s="14" t="n"/>
      <c r="I228" s="12" t="n"/>
      <c r="J228" s="12" t="n"/>
      <c r="K228" s="12" t="n"/>
      <c r="L228" s="12" t="n"/>
      <c r="M228" s="12" t="n"/>
      <c r="N228" s="2">
        <f>IF(A228="","",SUM(I228:M228))</f>
        <v/>
      </c>
      <c r="O228" s="12" t="n"/>
      <c r="P228" s="12" t="n"/>
      <c r="Q228" s="2" t="n"/>
      <c r="R228" s="2" t="n"/>
      <c r="S228" s="2" t="n"/>
      <c r="T228" s="5">
        <f>IF(A228="","",(COUNTA(A228:M228)+COUNTA(O228:S228))/18)</f>
        <v/>
      </c>
      <c r="U228" s="2" t="n"/>
    </row>
    <row r="229">
      <c r="A229" s="12" t="n"/>
      <c r="B229" s="12" t="n"/>
      <c r="C229" s="12" t="n"/>
      <c r="D229" s="4" t="n"/>
      <c r="E229" s="2" t="n"/>
      <c r="F229" s="12" t="n"/>
      <c r="G229" s="2" t="n"/>
      <c r="H229" s="14" t="n"/>
      <c r="I229" s="12" t="n"/>
      <c r="J229" s="12" t="n"/>
      <c r="K229" s="12" t="n"/>
      <c r="L229" s="12" t="n"/>
      <c r="M229" s="12" t="n"/>
      <c r="N229" s="2">
        <f>IF(A229="","",SUM(I229:M229))</f>
        <v/>
      </c>
      <c r="O229" s="12" t="n"/>
      <c r="P229" s="12" t="n"/>
      <c r="Q229" s="2" t="n"/>
      <c r="R229" s="2" t="n"/>
      <c r="S229" s="2" t="n"/>
      <c r="T229" s="5">
        <f>IF(A229="","",(COUNTA(A229:M229)+COUNTA(O229:S229))/18)</f>
        <v/>
      </c>
      <c r="U229" s="2" t="n"/>
    </row>
    <row r="230">
      <c r="A230" s="12" t="n"/>
      <c r="B230" s="12" t="n"/>
      <c r="C230" s="12" t="n"/>
      <c r="D230" s="4" t="n"/>
      <c r="E230" s="2" t="n"/>
      <c r="F230" s="12" t="n"/>
      <c r="G230" s="2" t="n"/>
      <c r="H230" s="14" t="n"/>
      <c r="I230" s="12" t="n"/>
      <c r="J230" s="12" t="n"/>
      <c r="K230" s="12" t="n"/>
      <c r="L230" s="12" t="n"/>
      <c r="M230" s="12" t="n"/>
      <c r="N230" s="2">
        <f>IF(A230="","",SUM(I230:M230))</f>
        <v/>
      </c>
      <c r="O230" s="12" t="n"/>
      <c r="P230" s="12" t="n"/>
      <c r="Q230" s="2" t="n"/>
      <c r="R230" s="2" t="n"/>
      <c r="S230" s="2" t="n"/>
      <c r="T230" s="5">
        <f>IF(A230="","",(COUNTA(A230:M230)+COUNTA(O230:S230))/18)</f>
        <v/>
      </c>
      <c r="U230" s="2" t="n"/>
    </row>
    <row r="231">
      <c r="A231" s="12" t="n"/>
      <c r="B231" s="12" t="n"/>
      <c r="C231" s="12" t="n"/>
      <c r="D231" s="4" t="n"/>
      <c r="E231" s="2" t="n"/>
      <c r="F231" s="12" t="n"/>
      <c r="G231" s="2" t="n"/>
      <c r="H231" s="14" t="n"/>
      <c r="I231" s="12" t="n"/>
      <c r="J231" s="12" t="n"/>
      <c r="K231" s="12" t="n"/>
      <c r="L231" s="12" t="n"/>
      <c r="M231" s="12" t="n"/>
      <c r="N231" s="2">
        <f>IF(A231="","",SUM(I231:M231))</f>
        <v/>
      </c>
      <c r="O231" s="12" t="n"/>
      <c r="P231" s="12" t="n"/>
      <c r="Q231" s="2" t="n"/>
      <c r="R231" s="2" t="n"/>
      <c r="S231" s="2" t="n"/>
      <c r="T231" s="5">
        <f>IF(A231="","",(COUNTA(A231:M231)+COUNTA(O231:S231))/18)</f>
        <v/>
      </c>
      <c r="U231" s="2" t="n"/>
    </row>
    <row r="232">
      <c r="A232" s="12" t="n"/>
      <c r="B232" s="12" t="n"/>
      <c r="C232" s="12" t="n"/>
      <c r="D232" s="4" t="n"/>
      <c r="E232" s="2" t="n"/>
      <c r="F232" s="12" t="n"/>
      <c r="G232" s="2" t="n"/>
      <c r="H232" s="14" t="n"/>
      <c r="I232" s="12" t="n"/>
      <c r="J232" s="12" t="n"/>
      <c r="K232" s="12" t="n"/>
      <c r="L232" s="12" t="n"/>
      <c r="M232" s="12" t="n"/>
      <c r="N232" s="2">
        <f>IF(A232="","",SUM(I232:M232))</f>
        <v/>
      </c>
      <c r="O232" s="12" t="n"/>
      <c r="P232" s="12" t="n"/>
      <c r="Q232" s="2" t="n"/>
      <c r="R232" s="2" t="n"/>
      <c r="S232" s="2" t="n"/>
      <c r="T232" s="5">
        <f>IF(A232="","",(COUNTA(A232:M232)+COUNTA(O232:S232))/18)</f>
        <v/>
      </c>
      <c r="U232" s="2" t="n"/>
    </row>
    <row r="233">
      <c r="A233" s="12" t="n"/>
      <c r="B233" s="12" t="n"/>
      <c r="C233" s="12" t="n"/>
      <c r="D233" s="4" t="n"/>
      <c r="E233" s="2" t="n"/>
      <c r="F233" s="12" t="n"/>
      <c r="G233" s="2" t="n"/>
      <c r="H233" s="14" t="n"/>
      <c r="I233" s="12" t="n"/>
      <c r="J233" s="12" t="n"/>
      <c r="K233" s="12" t="n"/>
      <c r="L233" s="12" t="n"/>
      <c r="M233" s="12" t="n"/>
      <c r="N233" s="2">
        <f>IF(A233="","",SUM(I233:M233))</f>
        <v/>
      </c>
      <c r="O233" s="12" t="n"/>
      <c r="P233" s="12" t="n"/>
      <c r="Q233" s="2" t="n"/>
      <c r="R233" s="2" t="n"/>
      <c r="S233" s="2" t="n"/>
      <c r="T233" s="5">
        <f>IF(A233="","",(COUNTA(A233:M233)+COUNTA(O233:S233))/18)</f>
        <v/>
      </c>
      <c r="U233" s="2" t="n"/>
    </row>
    <row r="234">
      <c r="A234" s="12" t="n"/>
      <c r="B234" s="12" t="n"/>
      <c r="C234" s="12" t="n"/>
      <c r="D234" s="4" t="n"/>
      <c r="E234" s="2" t="n"/>
      <c r="F234" s="12" t="n"/>
      <c r="G234" s="2" t="n"/>
      <c r="H234" s="14" t="n"/>
      <c r="I234" s="12" t="n"/>
      <c r="J234" s="12" t="n"/>
      <c r="K234" s="12" t="n"/>
      <c r="L234" s="12" t="n"/>
      <c r="M234" s="12" t="n"/>
      <c r="N234" s="2">
        <f>IF(A234="","",SUM(I234:M234))</f>
        <v/>
      </c>
      <c r="O234" s="12" t="n"/>
      <c r="P234" s="12" t="n"/>
      <c r="Q234" s="2" t="n"/>
      <c r="R234" s="2" t="n"/>
      <c r="S234" s="2" t="n"/>
      <c r="T234" s="5">
        <f>IF(A234="","",(COUNTA(A234:M234)+COUNTA(O234:S234))/18)</f>
        <v/>
      </c>
      <c r="U234" s="2" t="n"/>
    </row>
    <row r="235">
      <c r="A235" s="12" t="n"/>
      <c r="B235" s="12" t="n"/>
      <c r="C235" s="12" t="n"/>
      <c r="D235" s="4" t="n"/>
      <c r="E235" s="2" t="n"/>
      <c r="F235" s="12" t="n"/>
      <c r="G235" s="2" t="n"/>
      <c r="H235" s="14" t="n"/>
      <c r="I235" s="12" t="n"/>
      <c r="J235" s="12" t="n"/>
      <c r="K235" s="12" t="n"/>
      <c r="L235" s="12" t="n"/>
      <c r="M235" s="12" t="n"/>
      <c r="N235" s="2">
        <f>IF(A235="","",SUM(I235:M235))</f>
        <v/>
      </c>
      <c r="O235" s="12" t="n"/>
      <c r="P235" s="12" t="n"/>
      <c r="Q235" s="2" t="n"/>
      <c r="R235" s="2" t="n"/>
      <c r="S235" s="2" t="n"/>
      <c r="T235" s="5">
        <f>IF(A235="","",(COUNTA(A235:M235)+COUNTA(O235:S235))/18)</f>
        <v/>
      </c>
      <c r="U235" s="2" t="n"/>
    </row>
    <row r="236">
      <c r="A236" s="12" t="n"/>
      <c r="B236" s="12" t="n"/>
      <c r="C236" s="12" t="n"/>
      <c r="D236" s="4" t="n"/>
      <c r="E236" s="2" t="n"/>
      <c r="F236" s="12" t="n"/>
      <c r="G236" s="2" t="n"/>
      <c r="H236" s="14" t="n"/>
      <c r="I236" s="12" t="n"/>
      <c r="J236" s="12" t="n"/>
      <c r="K236" s="12" t="n"/>
      <c r="L236" s="12" t="n"/>
      <c r="M236" s="12" t="n"/>
      <c r="N236" s="2">
        <f>IF(A236="","",SUM(I236:M236))</f>
        <v/>
      </c>
      <c r="O236" s="12" t="n"/>
      <c r="P236" s="12" t="n"/>
      <c r="Q236" s="2" t="n"/>
      <c r="R236" s="2" t="n"/>
      <c r="S236" s="2" t="n"/>
      <c r="T236" s="5">
        <f>IF(A236="","",(COUNTA(A236:M236)+COUNTA(O236:S236))/18)</f>
        <v/>
      </c>
      <c r="U236" s="2" t="n"/>
    </row>
    <row r="237">
      <c r="A237" s="12" t="n"/>
      <c r="B237" s="12" t="n"/>
      <c r="C237" s="12" t="n"/>
      <c r="D237" s="4" t="n"/>
      <c r="E237" s="2" t="n"/>
      <c r="F237" s="12" t="n"/>
      <c r="G237" s="2" t="n"/>
      <c r="H237" s="14" t="n"/>
      <c r="I237" s="12" t="n"/>
      <c r="J237" s="12" t="n"/>
      <c r="K237" s="12" t="n"/>
      <c r="L237" s="12" t="n"/>
      <c r="M237" s="12" t="n"/>
      <c r="N237" s="2">
        <f>IF(A237="","",SUM(I237:M237))</f>
        <v/>
      </c>
      <c r="O237" s="12" t="n"/>
      <c r="P237" s="12" t="n"/>
      <c r="Q237" s="2" t="n"/>
      <c r="R237" s="2" t="n"/>
      <c r="S237" s="2" t="n"/>
      <c r="T237" s="5">
        <f>IF(A237="","",(COUNTA(A237:M237)+COUNTA(O237:S237))/18)</f>
        <v/>
      </c>
      <c r="U237" s="2" t="n"/>
    </row>
    <row r="238">
      <c r="A238" s="12" t="n"/>
      <c r="B238" s="12" t="n"/>
      <c r="C238" s="12" t="n"/>
      <c r="D238" s="4" t="n"/>
      <c r="E238" s="2" t="n"/>
      <c r="F238" s="12" t="n"/>
      <c r="G238" s="2" t="n"/>
      <c r="H238" s="14" t="n"/>
      <c r="I238" s="12" t="n"/>
      <c r="J238" s="12" t="n"/>
      <c r="K238" s="12" t="n"/>
      <c r="L238" s="12" t="n"/>
      <c r="M238" s="12" t="n"/>
      <c r="N238" s="2">
        <f>IF(A238="","",SUM(I238:M238))</f>
        <v/>
      </c>
      <c r="O238" s="12" t="n"/>
      <c r="P238" s="12" t="n"/>
      <c r="Q238" s="2" t="n"/>
      <c r="R238" s="2" t="n"/>
      <c r="S238" s="2" t="n"/>
      <c r="T238" s="5">
        <f>IF(A238="","",(COUNTA(A238:M238)+COUNTA(O238:S238))/18)</f>
        <v/>
      </c>
      <c r="U238" s="2" t="n"/>
    </row>
    <row r="239">
      <c r="A239" s="12" t="n"/>
      <c r="B239" s="12" t="n"/>
      <c r="C239" s="12" t="n"/>
      <c r="D239" s="4" t="n"/>
      <c r="E239" s="2" t="n"/>
      <c r="F239" s="12" t="n"/>
      <c r="G239" s="2" t="n"/>
      <c r="H239" s="14" t="n"/>
      <c r="I239" s="12" t="n"/>
      <c r="J239" s="12" t="n"/>
      <c r="K239" s="12" t="n"/>
      <c r="L239" s="12" t="n"/>
      <c r="M239" s="12" t="n"/>
      <c r="N239" s="2">
        <f>IF(A239="","",SUM(I239:M239))</f>
        <v/>
      </c>
      <c r="O239" s="12" t="n"/>
      <c r="P239" s="12" t="n"/>
      <c r="Q239" s="2" t="n"/>
      <c r="R239" s="2" t="n"/>
      <c r="S239" s="2" t="n"/>
      <c r="T239" s="5">
        <f>IF(A239="","",(COUNTA(A239:M239)+COUNTA(O239:S239))/18)</f>
        <v/>
      </c>
      <c r="U239" s="2" t="n"/>
    </row>
    <row r="240">
      <c r="A240" s="12" t="n"/>
      <c r="B240" s="12" t="n"/>
      <c r="C240" s="12" t="n"/>
      <c r="D240" s="4" t="n"/>
      <c r="E240" s="2" t="n"/>
      <c r="F240" s="12" t="n"/>
      <c r="G240" s="2" t="n"/>
      <c r="H240" s="14" t="n"/>
      <c r="I240" s="12" t="n"/>
      <c r="J240" s="12" t="n"/>
      <c r="K240" s="12" t="n"/>
      <c r="L240" s="12" t="n"/>
      <c r="M240" s="12" t="n"/>
      <c r="N240" s="2">
        <f>IF(A240="","",SUM(I240:M240))</f>
        <v/>
      </c>
      <c r="O240" s="12" t="n"/>
      <c r="P240" s="12" t="n"/>
      <c r="Q240" s="2" t="n"/>
      <c r="R240" s="2" t="n"/>
      <c r="S240" s="2" t="n"/>
      <c r="T240" s="5">
        <f>IF(A240="","",(COUNTA(A240:M240)+COUNTA(O240:S240))/18)</f>
        <v/>
      </c>
      <c r="U240" s="2" t="n"/>
    </row>
    <row r="241">
      <c r="A241" s="12" t="n"/>
      <c r="B241" s="12" t="n"/>
      <c r="C241" s="12" t="n"/>
      <c r="D241" s="4" t="n"/>
      <c r="E241" s="2" t="n"/>
      <c r="F241" s="12" t="n"/>
      <c r="G241" s="2" t="n"/>
      <c r="H241" s="14" t="n"/>
      <c r="I241" s="12" t="n"/>
      <c r="J241" s="12" t="n"/>
      <c r="K241" s="12" t="n"/>
      <c r="L241" s="12" t="n"/>
      <c r="M241" s="12" t="n"/>
      <c r="N241" s="2">
        <f>IF(A241="","",SUM(I241:M241))</f>
        <v/>
      </c>
      <c r="O241" s="12" t="n"/>
      <c r="P241" s="12" t="n"/>
      <c r="Q241" s="2" t="n"/>
      <c r="R241" s="2" t="n"/>
      <c r="S241" s="2" t="n"/>
      <c r="T241" s="5">
        <f>IF(A241="","",(COUNTA(A241:M241)+COUNTA(O241:S241))/18)</f>
        <v/>
      </c>
      <c r="U241" s="2" t="n"/>
    </row>
    <row r="242">
      <c r="A242" s="12" t="n"/>
      <c r="B242" s="12" t="n"/>
      <c r="C242" s="12" t="n"/>
      <c r="D242" s="4" t="n"/>
      <c r="E242" s="2" t="n"/>
      <c r="F242" s="12" t="n"/>
      <c r="G242" s="2" t="n"/>
      <c r="H242" s="14" t="n"/>
      <c r="I242" s="12" t="n"/>
      <c r="J242" s="12" t="n"/>
      <c r="K242" s="12" t="n"/>
      <c r="L242" s="12" t="n"/>
      <c r="M242" s="12" t="n"/>
      <c r="N242" s="2">
        <f>IF(A242="","",SUM(I242:M242))</f>
        <v/>
      </c>
      <c r="O242" s="12" t="n"/>
      <c r="P242" s="12" t="n"/>
      <c r="Q242" s="2" t="n"/>
      <c r="R242" s="2" t="n"/>
      <c r="S242" s="2" t="n"/>
      <c r="T242" s="5">
        <f>IF(A242="","",(COUNTA(A242:M242)+COUNTA(O242:S242))/18)</f>
        <v/>
      </c>
      <c r="U242" s="2" t="n"/>
    </row>
    <row r="243">
      <c r="A243" s="12" t="n"/>
      <c r="B243" s="12" t="n"/>
      <c r="C243" s="12" t="n"/>
      <c r="D243" s="4" t="n"/>
      <c r="E243" s="2" t="n"/>
      <c r="F243" s="12" t="n"/>
      <c r="G243" s="2" t="n"/>
      <c r="H243" s="14" t="n"/>
      <c r="I243" s="12" t="n"/>
      <c r="J243" s="12" t="n"/>
      <c r="K243" s="12" t="n"/>
      <c r="L243" s="12" t="n"/>
      <c r="M243" s="12" t="n"/>
      <c r="N243" s="2">
        <f>IF(A243="","",SUM(I243:M243))</f>
        <v/>
      </c>
      <c r="O243" s="12" t="n"/>
      <c r="P243" s="12" t="n"/>
      <c r="Q243" s="2" t="n"/>
      <c r="R243" s="2" t="n"/>
      <c r="S243" s="2" t="n"/>
      <c r="T243" s="5">
        <f>IF(A243="","",(COUNTA(A243:M243)+COUNTA(O243:S243))/18)</f>
        <v/>
      </c>
      <c r="U243" s="2" t="n"/>
    </row>
    <row r="244">
      <c r="A244" s="12" t="n"/>
      <c r="B244" s="12" t="n"/>
      <c r="C244" s="12" t="n"/>
      <c r="D244" s="4" t="n"/>
      <c r="E244" s="2" t="n"/>
      <c r="F244" s="12" t="n"/>
      <c r="G244" s="2" t="n"/>
      <c r="H244" s="14" t="n"/>
      <c r="I244" s="12" t="n"/>
      <c r="J244" s="12" t="n"/>
      <c r="K244" s="12" t="n"/>
      <c r="L244" s="12" t="n"/>
      <c r="M244" s="12" t="n"/>
      <c r="N244" s="2">
        <f>IF(A244="","",SUM(I244:M244))</f>
        <v/>
      </c>
      <c r="O244" s="12" t="n"/>
      <c r="P244" s="12" t="n"/>
      <c r="Q244" s="2" t="n"/>
      <c r="R244" s="2" t="n"/>
      <c r="S244" s="2" t="n"/>
      <c r="T244" s="5">
        <f>IF(A244="","",(COUNTA(A244:M244)+COUNTA(O244:S244))/18)</f>
        <v/>
      </c>
      <c r="U244" s="2" t="n"/>
    </row>
    <row r="245">
      <c r="A245" s="12" t="n"/>
      <c r="B245" s="12" t="n"/>
      <c r="C245" s="12" t="n"/>
      <c r="D245" s="4" t="n"/>
      <c r="E245" s="2" t="n"/>
      <c r="F245" s="12" t="n"/>
      <c r="G245" s="2" t="n"/>
      <c r="H245" s="14" t="n"/>
      <c r="I245" s="12" t="n"/>
      <c r="J245" s="12" t="n"/>
      <c r="K245" s="12" t="n"/>
      <c r="L245" s="12" t="n"/>
      <c r="M245" s="12" t="n"/>
      <c r="N245" s="2">
        <f>IF(A245="","",SUM(I245:M245))</f>
        <v/>
      </c>
      <c r="O245" s="12" t="n"/>
      <c r="P245" s="12" t="n"/>
      <c r="Q245" s="2" t="n"/>
      <c r="R245" s="2" t="n"/>
      <c r="S245" s="2" t="n"/>
      <c r="T245" s="5">
        <f>IF(A245="","",(COUNTA(A245:M245)+COUNTA(O245:S245))/18)</f>
        <v/>
      </c>
      <c r="U245" s="2" t="n"/>
    </row>
    <row r="246">
      <c r="A246" s="12" t="n"/>
      <c r="B246" s="12" t="n"/>
      <c r="C246" s="12" t="n"/>
      <c r="D246" s="4" t="n"/>
      <c r="E246" s="2" t="n"/>
      <c r="F246" s="12" t="n"/>
      <c r="G246" s="2" t="n"/>
      <c r="H246" s="14" t="n"/>
      <c r="I246" s="12" t="n"/>
      <c r="J246" s="12" t="n"/>
      <c r="K246" s="12" t="n"/>
      <c r="L246" s="12" t="n"/>
      <c r="M246" s="12" t="n"/>
      <c r="N246" s="2">
        <f>IF(A246="","",SUM(I246:M246))</f>
        <v/>
      </c>
      <c r="O246" s="12" t="n"/>
      <c r="P246" s="12" t="n"/>
      <c r="Q246" s="2" t="n"/>
      <c r="R246" s="2" t="n"/>
      <c r="S246" s="2" t="n"/>
      <c r="T246" s="5">
        <f>IF(A246="","",(COUNTA(A246:M246)+COUNTA(O246:S246))/18)</f>
        <v/>
      </c>
      <c r="U246" s="2" t="n"/>
    </row>
    <row r="247">
      <c r="A247" s="12" t="n"/>
      <c r="B247" s="12" t="n"/>
      <c r="C247" s="12" t="n"/>
      <c r="D247" s="4" t="n"/>
      <c r="E247" s="2" t="n"/>
      <c r="F247" s="12" t="n"/>
      <c r="G247" s="2" t="n"/>
      <c r="H247" s="14" t="n"/>
      <c r="I247" s="12" t="n"/>
      <c r="J247" s="12" t="n"/>
      <c r="K247" s="12" t="n"/>
      <c r="L247" s="12" t="n"/>
      <c r="M247" s="12" t="n"/>
      <c r="N247" s="2">
        <f>IF(A247="","",SUM(I247:M247))</f>
        <v/>
      </c>
      <c r="O247" s="12" t="n"/>
      <c r="P247" s="12" t="n"/>
      <c r="Q247" s="2" t="n"/>
      <c r="R247" s="2" t="n"/>
      <c r="S247" s="2" t="n"/>
      <c r="T247" s="5">
        <f>IF(A247="","",(COUNTA(A247:M247)+COUNTA(O247:S247))/18)</f>
        <v/>
      </c>
      <c r="U247" s="2" t="n"/>
    </row>
    <row r="248">
      <c r="A248" s="12" t="n"/>
      <c r="B248" s="12" t="n"/>
      <c r="C248" s="12" t="n"/>
      <c r="D248" s="4" t="n"/>
      <c r="E248" s="2" t="n"/>
      <c r="F248" s="12" t="n"/>
      <c r="G248" s="2" t="n"/>
      <c r="H248" s="14" t="n"/>
      <c r="I248" s="12" t="n"/>
      <c r="J248" s="12" t="n"/>
      <c r="K248" s="12" t="n"/>
      <c r="L248" s="12" t="n"/>
      <c r="M248" s="12" t="n"/>
      <c r="N248" s="2">
        <f>IF(A248="","",SUM(I248:M248))</f>
        <v/>
      </c>
      <c r="O248" s="12" t="n"/>
      <c r="P248" s="12" t="n"/>
      <c r="Q248" s="2" t="n"/>
      <c r="R248" s="2" t="n"/>
      <c r="S248" s="2" t="n"/>
      <c r="T248" s="5">
        <f>IF(A248="","",(COUNTA(A248:M248)+COUNTA(O248:S248))/18)</f>
        <v/>
      </c>
      <c r="U248" s="2" t="n"/>
    </row>
    <row r="249">
      <c r="A249" s="12" t="n"/>
      <c r="B249" s="12" t="n"/>
      <c r="C249" s="12" t="n"/>
      <c r="D249" s="4" t="n"/>
      <c r="E249" s="2" t="n"/>
      <c r="F249" s="12" t="n"/>
      <c r="G249" s="2" t="n"/>
      <c r="H249" s="14" t="n"/>
      <c r="I249" s="12" t="n"/>
      <c r="J249" s="12" t="n"/>
      <c r="K249" s="12" t="n"/>
      <c r="L249" s="12" t="n"/>
      <c r="M249" s="12" t="n"/>
      <c r="N249" s="2">
        <f>IF(A249="","",SUM(I249:M249))</f>
        <v/>
      </c>
      <c r="O249" s="12" t="n"/>
      <c r="P249" s="12" t="n"/>
      <c r="Q249" s="2" t="n"/>
      <c r="R249" s="2" t="n"/>
      <c r="S249" s="2" t="n"/>
      <c r="T249" s="5">
        <f>IF(A249="","",(COUNTA(A249:M249)+COUNTA(O249:S249))/18)</f>
        <v/>
      </c>
      <c r="U249" s="2" t="n"/>
    </row>
    <row r="250">
      <c r="A250" s="12" t="n"/>
      <c r="B250" s="12" t="n"/>
      <c r="C250" s="12" t="n"/>
      <c r="D250" s="4" t="n"/>
      <c r="E250" s="2" t="n"/>
      <c r="F250" s="12" t="n"/>
      <c r="G250" s="2" t="n"/>
      <c r="H250" s="14" t="n"/>
      <c r="I250" s="12" t="n"/>
      <c r="J250" s="12" t="n"/>
      <c r="K250" s="12" t="n"/>
      <c r="L250" s="12" t="n"/>
      <c r="M250" s="12" t="n"/>
      <c r="N250" s="2">
        <f>IF(A250="","",SUM(I250:M250))</f>
        <v/>
      </c>
      <c r="O250" s="12" t="n"/>
      <c r="P250" s="12" t="n"/>
      <c r="Q250" s="2" t="n"/>
      <c r="R250" s="2" t="n"/>
      <c r="S250" s="2" t="n"/>
      <c r="T250" s="5">
        <f>IF(A250="","",(COUNTA(A250:M250)+COUNTA(O250:S250))/18)</f>
        <v/>
      </c>
      <c r="U250" s="2" t="n"/>
    </row>
    <row r="251">
      <c r="A251" s="12" t="n"/>
      <c r="B251" s="12" t="n"/>
      <c r="C251" s="12" t="n"/>
      <c r="D251" s="4" t="n"/>
      <c r="E251" s="2" t="n"/>
      <c r="F251" s="12" t="n"/>
      <c r="G251" s="2" t="n"/>
      <c r="H251" s="14" t="n"/>
      <c r="I251" s="12" t="n"/>
      <c r="J251" s="12" t="n"/>
      <c r="K251" s="12" t="n"/>
      <c r="L251" s="12" t="n"/>
      <c r="M251" s="12" t="n"/>
      <c r="N251" s="2">
        <f>IF(A251="","",SUM(I251:M251))</f>
        <v/>
      </c>
      <c r="O251" s="12" t="n"/>
      <c r="P251" s="12" t="n"/>
      <c r="Q251" s="2" t="n"/>
      <c r="R251" s="2" t="n"/>
      <c r="S251" s="2" t="n"/>
      <c r="T251" s="5">
        <f>IF(A251="","",(COUNTA(A251:M251)+COUNTA(O251:S251))/18)</f>
        <v/>
      </c>
      <c r="U251" s="2" t="n"/>
    </row>
    <row r="252">
      <c r="A252" s="12" t="n"/>
      <c r="B252" s="12" t="n"/>
      <c r="C252" s="12" t="n"/>
      <c r="D252" s="4" t="n"/>
      <c r="E252" s="2" t="n"/>
      <c r="F252" s="12" t="n"/>
      <c r="G252" s="2" t="n"/>
      <c r="H252" s="14" t="n"/>
      <c r="I252" s="12" t="n"/>
      <c r="J252" s="12" t="n"/>
      <c r="K252" s="12" t="n"/>
      <c r="L252" s="12" t="n"/>
      <c r="M252" s="12" t="n"/>
      <c r="N252" s="2">
        <f>IF(A252="","",SUM(I252:M252))</f>
        <v/>
      </c>
      <c r="O252" s="12" t="n"/>
      <c r="P252" s="12" t="n"/>
      <c r="Q252" s="2" t="n"/>
      <c r="R252" s="2" t="n"/>
      <c r="S252" s="2" t="n"/>
      <c r="T252" s="5">
        <f>IF(A252="","",(COUNTA(A252:M252)+COUNTA(O252:S252))/18)</f>
        <v/>
      </c>
      <c r="U252" s="2" t="n"/>
    </row>
    <row r="253">
      <c r="A253" s="12" t="n"/>
      <c r="B253" s="12" t="n"/>
      <c r="C253" s="12" t="n"/>
      <c r="D253" s="4" t="n"/>
      <c r="E253" s="2" t="n"/>
      <c r="F253" s="12" t="n"/>
      <c r="G253" s="2" t="n"/>
      <c r="H253" s="14" t="n"/>
      <c r="I253" s="12" t="n"/>
      <c r="J253" s="12" t="n"/>
      <c r="K253" s="12" t="n"/>
      <c r="L253" s="12" t="n"/>
      <c r="M253" s="12" t="n"/>
      <c r="N253" s="2">
        <f>IF(A253="","",SUM(I253:M253))</f>
        <v/>
      </c>
      <c r="O253" s="12" t="n"/>
      <c r="P253" s="12" t="n"/>
      <c r="Q253" s="2" t="n"/>
      <c r="R253" s="2" t="n"/>
      <c r="S253" s="2" t="n"/>
      <c r="T253" s="5">
        <f>IF(A253="","",(COUNTA(A253:M253)+COUNTA(O253:S253))/18)</f>
        <v/>
      </c>
      <c r="U253" s="2" t="n"/>
    </row>
    <row r="254">
      <c r="A254" s="12" t="n"/>
      <c r="B254" s="12" t="n"/>
      <c r="C254" s="12" t="n"/>
      <c r="D254" s="4" t="n"/>
      <c r="E254" s="2" t="n"/>
      <c r="F254" s="12" t="n"/>
      <c r="G254" s="2" t="n"/>
      <c r="H254" s="14" t="n"/>
      <c r="I254" s="12" t="n"/>
      <c r="J254" s="12" t="n"/>
      <c r="K254" s="12" t="n"/>
      <c r="L254" s="12" t="n"/>
      <c r="M254" s="12" t="n"/>
      <c r="N254" s="2">
        <f>IF(A254="","",SUM(I254:M254))</f>
        <v/>
      </c>
      <c r="O254" s="12" t="n"/>
      <c r="P254" s="12" t="n"/>
      <c r="Q254" s="2" t="n"/>
      <c r="R254" s="2" t="n"/>
      <c r="S254" s="2" t="n"/>
      <c r="T254" s="5">
        <f>IF(A254="","",(COUNTA(A254:M254)+COUNTA(O254:S254))/18)</f>
        <v/>
      </c>
      <c r="U254" s="2" t="n"/>
    </row>
    <row r="255">
      <c r="A255" s="12" t="n"/>
      <c r="B255" s="12" t="n"/>
      <c r="C255" s="12" t="n"/>
      <c r="D255" s="4" t="n"/>
      <c r="E255" s="2" t="n"/>
      <c r="F255" s="12" t="n"/>
      <c r="G255" s="2" t="n"/>
      <c r="H255" s="14" t="n"/>
      <c r="I255" s="12" t="n"/>
      <c r="J255" s="12" t="n"/>
      <c r="K255" s="12" t="n"/>
      <c r="L255" s="12" t="n"/>
      <c r="M255" s="12" t="n"/>
      <c r="N255" s="2">
        <f>IF(A255="","",SUM(I255:M255))</f>
        <v/>
      </c>
      <c r="O255" s="12" t="n"/>
      <c r="P255" s="12" t="n"/>
      <c r="Q255" s="2" t="n"/>
      <c r="R255" s="2" t="n"/>
      <c r="S255" s="2" t="n"/>
      <c r="T255" s="5">
        <f>IF(A255="","",(COUNTA(A255:M255)+COUNTA(O255:S255))/18)</f>
        <v/>
      </c>
      <c r="U255" s="2" t="n"/>
    </row>
    <row r="256">
      <c r="A256" s="12" t="n"/>
      <c r="B256" s="12" t="n"/>
      <c r="C256" s="12" t="n"/>
      <c r="D256" s="4" t="n"/>
      <c r="E256" s="2" t="n"/>
      <c r="F256" s="12" t="n"/>
      <c r="G256" s="2" t="n"/>
      <c r="H256" s="14" t="n"/>
      <c r="I256" s="12" t="n"/>
      <c r="J256" s="12" t="n"/>
      <c r="K256" s="12" t="n"/>
      <c r="L256" s="12" t="n"/>
      <c r="M256" s="12" t="n"/>
      <c r="N256" s="2">
        <f>IF(A256="","",SUM(I256:M256))</f>
        <v/>
      </c>
      <c r="O256" s="12" t="n"/>
      <c r="P256" s="12" t="n"/>
      <c r="Q256" s="2" t="n"/>
      <c r="R256" s="2" t="n"/>
      <c r="S256" s="2" t="n"/>
      <c r="T256" s="5">
        <f>IF(A256="","",(COUNTA(A256:M256)+COUNTA(O256:S256))/18)</f>
        <v/>
      </c>
      <c r="U256" s="2" t="n"/>
    </row>
    <row r="257">
      <c r="A257" s="12" t="n"/>
      <c r="B257" s="12" t="n"/>
      <c r="C257" s="12" t="n"/>
      <c r="D257" s="4" t="n"/>
      <c r="E257" s="2" t="n"/>
      <c r="F257" s="12" t="n"/>
      <c r="G257" s="2" t="n"/>
      <c r="H257" s="14" t="n"/>
      <c r="I257" s="12" t="n"/>
      <c r="J257" s="12" t="n"/>
      <c r="K257" s="12" t="n"/>
      <c r="L257" s="12" t="n"/>
      <c r="M257" s="12" t="n"/>
      <c r="N257" s="2">
        <f>IF(A257="","",SUM(I257:M257))</f>
        <v/>
      </c>
      <c r="O257" s="12" t="n"/>
      <c r="P257" s="12" t="n"/>
      <c r="Q257" s="2" t="n"/>
      <c r="R257" s="2" t="n"/>
      <c r="S257" s="2" t="n"/>
      <c r="T257" s="5">
        <f>IF(A257="","",(COUNTA(A257:M257)+COUNTA(O257:S257))/18)</f>
        <v/>
      </c>
      <c r="U257" s="2" t="n"/>
    </row>
    <row r="258">
      <c r="A258" s="12" t="n"/>
      <c r="B258" s="12" t="n"/>
      <c r="C258" s="12" t="n"/>
      <c r="D258" s="4" t="n"/>
      <c r="E258" s="2" t="n"/>
      <c r="F258" s="12" t="n"/>
      <c r="G258" s="2" t="n"/>
      <c r="H258" s="14" t="n"/>
      <c r="I258" s="12" t="n"/>
      <c r="J258" s="12" t="n"/>
      <c r="K258" s="12" t="n"/>
      <c r="L258" s="12" t="n"/>
      <c r="M258" s="12" t="n"/>
      <c r="N258" s="2">
        <f>IF(A258="","",SUM(I258:M258))</f>
        <v/>
      </c>
      <c r="O258" s="12" t="n"/>
      <c r="P258" s="12" t="n"/>
      <c r="Q258" s="2" t="n"/>
      <c r="R258" s="2" t="n"/>
      <c r="S258" s="2" t="n"/>
      <c r="T258" s="5">
        <f>IF(A258="","",(COUNTA(A258:M258)+COUNTA(O258:S258))/18)</f>
        <v/>
      </c>
      <c r="U258" s="2" t="n"/>
    </row>
    <row r="259">
      <c r="A259" s="12" t="n"/>
      <c r="B259" s="12" t="n"/>
      <c r="C259" s="12" t="n"/>
      <c r="D259" s="4" t="n"/>
      <c r="E259" s="2" t="n"/>
      <c r="F259" s="12" t="n"/>
      <c r="G259" s="2" t="n"/>
      <c r="H259" s="14" t="n"/>
      <c r="I259" s="12" t="n"/>
      <c r="J259" s="12" t="n"/>
      <c r="K259" s="12" t="n"/>
      <c r="L259" s="12" t="n"/>
      <c r="M259" s="12" t="n"/>
      <c r="N259" s="2">
        <f>IF(A259="","",SUM(I259:M259))</f>
        <v/>
      </c>
      <c r="O259" s="12" t="n"/>
      <c r="P259" s="12" t="n"/>
      <c r="Q259" s="2" t="n"/>
      <c r="R259" s="2" t="n"/>
      <c r="S259" s="2" t="n"/>
      <c r="T259" s="5">
        <f>IF(A259="","",(COUNTA(A259:M259)+COUNTA(O259:S259))/18)</f>
        <v/>
      </c>
      <c r="U259" s="2" t="n"/>
    </row>
    <row r="260">
      <c r="A260" s="12" t="n"/>
      <c r="B260" s="12" t="n"/>
      <c r="C260" s="12" t="n"/>
      <c r="D260" s="4" t="n"/>
      <c r="E260" s="2" t="n"/>
      <c r="F260" s="12" t="n"/>
      <c r="G260" s="2" t="n"/>
      <c r="H260" s="14" t="n"/>
      <c r="I260" s="12" t="n"/>
      <c r="J260" s="12" t="n"/>
      <c r="K260" s="12" t="n"/>
      <c r="L260" s="12" t="n"/>
      <c r="M260" s="12" t="n"/>
      <c r="N260" s="2">
        <f>IF(A260="","",SUM(I260:M260))</f>
        <v/>
      </c>
      <c r="O260" s="12" t="n"/>
      <c r="P260" s="12" t="n"/>
      <c r="Q260" s="2" t="n"/>
      <c r="R260" s="2" t="n"/>
      <c r="S260" s="2" t="n"/>
      <c r="T260" s="5">
        <f>IF(A260="","",(COUNTA(A260:M260)+COUNTA(O260:S260))/18)</f>
        <v/>
      </c>
      <c r="U260" s="2" t="n"/>
    </row>
    <row r="261">
      <c r="A261" s="12" t="n"/>
      <c r="B261" s="12" t="n"/>
      <c r="C261" s="12" t="n"/>
      <c r="D261" s="4" t="n"/>
      <c r="E261" s="2" t="n"/>
      <c r="F261" s="12" t="n"/>
      <c r="G261" s="2" t="n"/>
      <c r="H261" s="14" t="n"/>
      <c r="I261" s="12" t="n"/>
      <c r="J261" s="12" t="n"/>
      <c r="K261" s="12" t="n"/>
      <c r="L261" s="12" t="n"/>
      <c r="M261" s="12" t="n"/>
      <c r="N261" s="2">
        <f>IF(A261="","",SUM(I261:M261))</f>
        <v/>
      </c>
      <c r="O261" s="12" t="n"/>
      <c r="P261" s="12" t="n"/>
      <c r="Q261" s="2" t="n"/>
      <c r="R261" s="2" t="n"/>
      <c r="S261" s="2" t="n"/>
      <c r="T261" s="5">
        <f>IF(A261="","",(COUNTA(A261:M261)+COUNTA(O261:S261))/18)</f>
        <v/>
      </c>
      <c r="U261" s="2" t="n"/>
    </row>
    <row r="262">
      <c r="A262" s="12" t="n"/>
      <c r="B262" s="12" t="n"/>
      <c r="C262" s="12" t="n"/>
      <c r="D262" s="4" t="n"/>
      <c r="E262" s="2" t="n"/>
      <c r="F262" s="12" t="n"/>
      <c r="G262" s="2" t="n"/>
      <c r="H262" s="14" t="n"/>
      <c r="I262" s="12" t="n"/>
      <c r="J262" s="12" t="n"/>
      <c r="K262" s="12" t="n"/>
      <c r="L262" s="12" t="n"/>
      <c r="M262" s="12" t="n"/>
      <c r="N262" s="2">
        <f>IF(A262="","",SUM(I262:M262))</f>
        <v/>
      </c>
      <c r="O262" s="12" t="n"/>
      <c r="P262" s="12" t="n"/>
      <c r="Q262" s="2" t="n"/>
      <c r="R262" s="2" t="n"/>
      <c r="S262" s="2" t="n"/>
      <c r="T262" s="5">
        <f>IF(A262="","",(COUNTA(A262:M262)+COUNTA(O262:S262))/18)</f>
        <v/>
      </c>
      <c r="U262" s="2" t="n"/>
    </row>
    <row r="263">
      <c r="A263" s="12" t="n"/>
      <c r="B263" s="12" t="n"/>
      <c r="C263" s="12" t="n"/>
      <c r="D263" s="4" t="n"/>
      <c r="E263" s="2" t="n"/>
      <c r="F263" s="12" t="n"/>
      <c r="G263" s="2" t="n"/>
      <c r="H263" s="14" t="n"/>
      <c r="I263" s="12" t="n"/>
      <c r="J263" s="12" t="n"/>
      <c r="K263" s="12" t="n"/>
      <c r="L263" s="12" t="n"/>
      <c r="M263" s="12" t="n"/>
      <c r="N263" s="2">
        <f>IF(A263="","",SUM(I263:M263))</f>
        <v/>
      </c>
      <c r="O263" s="12" t="n"/>
      <c r="P263" s="12" t="n"/>
      <c r="Q263" s="2" t="n"/>
      <c r="R263" s="2" t="n"/>
      <c r="S263" s="2" t="n"/>
      <c r="T263" s="5">
        <f>IF(A263="","",(COUNTA(A263:M263)+COUNTA(O263:S263))/18)</f>
        <v/>
      </c>
      <c r="U263" s="2" t="n"/>
    </row>
    <row r="264">
      <c r="A264" s="12" t="n"/>
      <c r="B264" s="12" t="n"/>
      <c r="C264" s="12" t="n"/>
      <c r="D264" s="4" t="n"/>
      <c r="E264" s="2" t="n"/>
      <c r="F264" s="12" t="n"/>
      <c r="G264" s="2" t="n"/>
      <c r="H264" s="14" t="n"/>
      <c r="I264" s="12" t="n"/>
      <c r="J264" s="12" t="n"/>
      <c r="K264" s="12" t="n"/>
      <c r="L264" s="12" t="n"/>
      <c r="M264" s="12" t="n"/>
      <c r="N264" s="2">
        <f>IF(A264="","",SUM(I264:M264))</f>
        <v/>
      </c>
      <c r="O264" s="12" t="n"/>
      <c r="P264" s="12" t="n"/>
      <c r="Q264" s="2" t="n"/>
      <c r="R264" s="2" t="n"/>
      <c r="S264" s="2" t="n"/>
      <c r="T264" s="5">
        <f>IF(A264="","",(COUNTA(A264:M264)+COUNTA(O264:S264))/18)</f>
        <v/>
      </c>
      <c r="U264" s="2" t="n"/>
    </row>
    <row r="265">
      <c r="A265" s="12" t="n"/>
      <c r="B265" s="12" t="n"/>
      <c r="C265" s="12" t="n"/>
      <c r="D265" s="4" t="n"/>
      <c r="E265" s="2" t="n"/>
      <c r="F265" s="12" t="n"/>
      <c r="G265" s="2" t="n"/>
      <c r="H265" s="14" t="n"/>
      <c r="I265" s="12" t="n"/>
      <c r="J265" s="12" t="n"/>
      <c r="K265" s="12" t="n"/>
      <c r="L265" s="12" t="n"/>
      <c r="M265" s="12" t="n"/>
      <c r="N265" s="2">
        <f>IF(A265="","",SUM(I265:M265))</f>
        <v/>
      </c>
      <c r="O265" s="12" t="n"/>
      <c r="P265" s="12" t="n"/>
      <c r="Q265" s="2" t="n"/>
      <c r="R265" s="2" t="n"/>
      <c r="S265" s="2" t="n"/>
      <c r="T265" s="5">
        <f>IF(A265="","",(COUNTA(A265:M265)+COUNTA(O265:S265))/18)</f>
        <v/>
      </c>
      <c r="U265" s="2" t="n"/>
    </row>
    <row r="266">
      <c r="A266" s="12" t="n"/>
      <c r="B266" s="12" t="n"/>
      <c r="C266" s="12" t="n"/>
      <c r="D266" s="4" t="n"/>
      <c r="E266" s="2" t="n"/>
      <c r="F266" s="12" t="n"/>
      <c r="G266" s="2" t="n"/>
      <c r="H266" s="14" t="n"/>
      <c r="I266" s="12" t="n"/>
      <c r="J266" s="12" t="n"/>
      <c r="K266" s="12" t="n"/>
      <c r="L266" s="12" t="n"/>
      <c r="M266" s="12" t="n"/>
      <c r="N266" s="2">
        <f>IF(A266="","",SUM(I266:M266))</f>
        <v/>
      </c>
      <c r="O266" s="12" t="n"/>
      <c r="P266" s="12" t="n"/>
      <c r="Q266" s="2" t="n"/>
      <c r="R266" s="2" t="n"/>
      <c r="S266" s="2" t="n"/>
      <c r="T266" s="5">
        <f>IF(A266="","",(COUNTA(A266:M266)+COUNTA(O266:S266))/18)</f>
        <v/>
      </c>
      <c r="U266" s="2" t="n"/>
    </row>
    <row r="267">
      <c r="A267" s="12" t="n"/>
      <c r="B267" s="12" t="n"/>
      <c r="C267" s="12" t="n"/>
      <c r="D267" s="4" t="n"/>
      <c r="E267" s="2" t="n"/>
      <c r="F267" s="12" t="n"/>
      <c r="G267" s="2" t="n"/>
      <c r="H267" s="14" t="n"/>
      <c r="I267" s="12" t="n"/>
      <c r="J267" s="12" t="n"/>
      <c r="K267" s="12" t="n"/>
      <c r="L267" s="12" t="n"/>
      <c r="M267" s="12" t="n"/>
      <c r="N267" s="2">
        <f>IF(A267="","",SUM(I267:M267))</f>
        <v/>
      </c>
      <c r="O267" s="12" t="n"/>
      <c r="P267" s="12" t="n"/>
      <c r="Q267" s="2" t="n"/>
      <c r="R267" s="2" t="n"/>
      <c r="S267" s="2" t="n"/>
      <c r="T267" s="5">
        <f>IF(A267="","",(COUNTA(A267:M267)+COUNTA(O267:S267))/18)</f>
        <v/>
      </c>
      <c r="U267" s="2" t="n"/>
    </row>
    <row r="268">
      <c r="A268" s="12" t="n"/>
      <c r="B268" s="12" t="n"/>
      <c r="C268" s="12" t="n"/>
      <c r="D268" s="4" t="n"/>
      <c r="E268" s="2" t="n"/>
      <c r="F268" s="12" t="n"/>
      <c r="G268" s="2" t="n"/>
      <c r="H268" s="14" t="n"/>
      <c r="I268" s="12" t="n"/>
      <c r="J268" s="12" t="n"/>
      <c r="K268" s="12" t="n"/>
      <c r="L268" s="12" t="n"/>
      <c r="M268" s="12" t="n"/>
      <c r="N268" s="2">
        <f>IF(A268="","",SUM(I268:M268))</f>
        <v/>
      </c>
      <c r="O268" s="12" t="n"/>
      <c r="P268" s="12" t="n"/>
      <c r="Q268" s="2" t="n"/>
      <c r="R268" s="2" t="n"/>
      <c r="S268" s="2" t="n"/>
      <c r="T268" s="5">
        <f>IF(A268="","",(COUNTA(A268:M268)+COUNTA(O268:S268))/18)</f>
        <v/>
      </c>
      <c r="U268" s="2" t="n"/>
    </row>
    <row r="269">
      <c r="A269" s="12" t="n"/>
      <c r="B269" s="12" t="n"/>
      <c r="C269" s="12" t="n"/>
      <c r="D269" s="4" t="n"/>
      <c r="E269" s="2" t="n"/>
      <c r="F269" s="12" t="n"/>
      <c r="G269" s="2" t="n"/>
      <c r="H269" s="14" t="n"/>
      <c r="I269" s="12" t="n"/>
      <c r="J269" s="12" t="n"/>
      <c r="K269" s="12" t="n"/>
      <c r="L269" s="12" t="n"/>
      <c r="M269" s="12" t="n"/>
      <c r="N269" s="2">
        <f>IF(A269="","",SUM(I269:M269))</f>
        <v/>
      </c>
      <c r="O269" s="12" t="n"/>
      <c r="P269" s="12" t="n"/>
      <c r="Q269" s="2" t="n"/>
      <c r="R269" s="2" t="n"/>
      <c r="S269" s="2" t="n"/>
      <c r="T269" s="5">
        <f>IF(A269="","",(COUNTA(A269:M269)+COUNTA(O269:S269))/18)</f>
        <v/>
      </c>
      <c r="U269" s="2" t="n"/>
    </row>
    <row r="270">
      <c r="A270" s="12" t="n"/>
      <c r="B270" s="12" t="n"/>
      <c r="C270" s="12" t="n"/>
      <c r="D270" s="4" t="n"/>
      <c r="E270" s="2" t="n"/>
      <c r="F270" s="12" t="n"/>
      <c r="G270" s="2" t="n"/>
      <c r="H270" s="14" t="n"/>
      <c r="I270" s="12" t="n"/>
      <c r="J270" s="12" t="n"/>
      <c r="K270" s="12" t="n"/>
      <c r="L270" s="12" t="n"/>
      <c r="M270" s="12" t="n"/>
      <c r="N270" s="2">
        <f>IF(A270="","",SUM(I270:M270))</f>
        <v/>
      </c>
      <c r="O270" s="12" t="n"/>
      <c r="P270" s="12" t="n"/>
      <c r="Q270" s="2" t="n"/>
      <c r="R270" s="2" t="n"/>
      <c r="S270" s="2" t="n"/>
      <c r="T270" s="5">
        <f>IF(A270="","",(COUNTA(A270:M270)+COUNTA(O270:S270))/18)</f>
        <v/>
      </c>
      <c r="U270" s="2" t="n"/>
    </row>
    <row r="271">
      <c r="A271" s="12" t="n"/>
      <c r="B271" s="12" t="n"/>
      <c r="C271" s="12" t="n"/>
      <c r="D271" s="4" t="n"/>
      <c r="E271" s="2" t="n"/>
      <c r="F271" s="12" t="n"/>
      <c r="G271" s="2" t="n"/>
      <c r="H271" s="14" t="n"/>
      <c r="I271" s="12" t="n"/>
      <c r="J271" s="12" t="n"/>
      <c r="K271" s="12" t="n"/>
      <c r="L271" s="12" t="n"/>
      <c r="M271" s="12" t="n"/>
      <c r="N271" s="2">
        <f>IF(A271="","",SUM(I271:M271))</f>
        <v/>
      </c>
      <c r="O271" s="12" t="n"/>
      <c r="P271" s="12" t="n"/>
      <c r="Q271" s="2" t="n"/>
      <c r="R271" s="2" t="n"/>
      <c r="S271" s="2" t="n"/>
      <c r="T271" s="5">
        <f>IF(A271="","",(COUNTA(A271:M271)+COUNTA(O271:S271))/18)</f>
        <v/>
      </c>
      <c r="U271" s="2" t="n"/>
    </row>
    <row r="272">
      <c r="A272" s="12" t="n"/>
      <c r="B272" s="12" t="n"/>
      <c r="C272" s="12" t="n"/>
      <c r="D272" s="4" t="n"/>
      <c r="E272" s="2" t="n"/>
      <c r="F272" s="12" t="n"/>
      <c r="G272" s="2" t="n"/>
      <c r="H272" s="14" t="n"/>
      <c r="I272" s="12" t="n"/>
      <c r="J272" s="12" t="n"/>
      <c r="K272" s="12" t="n"/>
      <c r="L272" s="12" t="n"/>
      <c r="M272" s="12" t="n"/>
      <c r="N272" s="2">
        <f>IF(A272="","",SUM(I272:M272))</f>
        <v/>
      </c>
      <c r="O272" s="12" t="n"/>
      <c r="P272" s="12" t="n"/>
      <c r="Q272" s="2" t="n"/>
      <c r="R272" s="2" t="n"/>
      <c r="S272" s="2" t="n"/>
      <c r="T272" s="5">
        <f>IF(A272="","",(COUNTA(A272:M272)+COUNTA(O272:S272))/18)</f>
        <v/>
      </c>
      <c r="U272" s="2" t="n"/>
    </row>
    <row r="273">
      <c r="A273" s="12" t="n"/>
      <c r="B273" s="12" t="n"/>
      <c r="C273" s="12" t="n"/>
      <c r="D273" s="4" t="n"/>
      <c r="E273" s="2" t="n"/>
      <c r="F273" s="12" t="n"/>
      <c r="G273" s="2" t="n"/>
      <c r="H273" s="14" t="n"/>
      <c r="I273" s="12" t="n"/>
      <c r="J273" s="12" t="n"/>
      <c r="K273" s="12" t="n"/>
      <c r="L273" s="12" t="n"/>
      <c r="M273" s="12" t="n"/>
      <c r="N273" s="2">
        <f>IF(A273="","",SUM(I273:M273))</f>
        <v/>
      </c>
      <c r="O273" s="12" t="n"/>
      <c r="P273" s="12" t="n"/>
      <c r="Q273" s="2" t="n"/>
      <c r="R273" s="2" t="n"/>
      <c r="S273" s="2" t="n"/>
      <c r="T273" s="5">
        <f>IF(A273="","",(COUNTA(A273:M273)+COUNTA(O273:S273))/18)</f>
        <v/>
      </c>
      <c r="U273" s="2" t="n"/>
    </row>
    <row r="274">
      <c r="A274" s="12" t="n"/>
      <c r="B274" s="12" t="n"/>
      <c r="C274" s="12" t="n"/>
      <c r="D274" s="4" t="n"/>
      <c r="E274" s="2" t="n"/>
      <c r="F274" s="12" t="n"/>
      <c r="G274" s="2" t="n"/>
      <c r="H274" s="14" t="n"/>
      <c r="I274" s="12" t="n"/>
      <c r="J274" s="12" t="n"/>
      <c r="K274" s="12" t="n"/>
      <c r="L274" s="12" t="n"/>
      <c r="M274" s="12" t="n"/>
      <c r="N274" s="2">
        <f>IF(A274="","",SUM(I274:M274))</f>
        <v/>
      </c>
      <c r="O274" s="12" t="n"/>
      <c r="P274" s="12" t="n"/>
      <c r="Q274" s="2" t="n"/>
      <c r="R274" s="2" t="n"/>
      <c r="S274" s="2" t="n"/>
      <c r="T274" s="5">
        <f>IF(A274="","",(COUNTA(A274:M274)+COUNTA(O274:S274))/18)</f>
        <v/>
      </c>
      <c r="U274" s="2" t="n"/>
    </row>
    <row r="275">
      <c r="A275" s="12" t="n"/>
      <c r="B275" s="12" t="n"/>
      <c r="C275" s="12" t="n"/>
      <c r="D275" s="4" t="n"/>
      <c r="E275" s="2" t="n"/>
      <c r="F275" s="12" t="n"/>
      <c r="G275" s="2" t="n"/>
      <c r="H275" s="14" t="n"/>
      <c r="I275" s="12" t="n"/>
      <c r="J275" s="12" t="n"/>
      <c r="K275" s="12" t="n"/>
      <c r="L275" s="12" t="n"/>
      <c r="M275" s="12" t="n"/>
      <c r="N275" s="2">
        <f>IF(A275="","",SUM(I275:M275))</f>
        <v/>
      </c>
      <c r="O275" s="12" t="n"/>
      <c r="P275" s="12" t="n"/>
      <c r="Q275" s="2" t="n"/>
      <c r="R275" s="2" t="n"/>
      <c r="S275" s="2" t="n"/>
      <c r="T275" s="5">
        <f>IF(A275="","",(COUNTA(A275:M275)+COUNTA(O275:S275))/18)</f>
        <v/>
      </c>
      <c r="U275" s="2" t="n"/>
    </row>
    <row r="276">
      <c r="A276" s="12" t="n"/>
      <c r="B276" s="12" t="n"/>
      <c r="C276" s="12" t="n"/>
      <c r="D276" s="4" t="n"/>
      <c r="E276" s="2" t="n"/>
      <c r="F276" s="12" t="n"/>
      <c r="G276" s="2" t="n"/>
      <c r="H276" s="14" t="n"/>
      <c r="I276" s="12" t="n"/>
      <c r="J276" s="12" t="n"/>
      <c r="K276" s="12" t="n"/>
      <c r="L276" s="12" t="n"/>
      <c r="M276" s="12" t="n"/>
      <c r="N276" s="2">
        <f>IF(A276="","",SUM(I276:M276))</f>
        <v/>
      </c>
      <c r="O276" s="12" t="n"/>
      <c r="P276" s="12" t="n"/>
      <c r="Q276" s="2" t="n"/>
      <c r="R276" s="2" t="n"/>
      <c r="S276" s="2" t="n"/>
      <c r="T276" s="5">
        <f>IF(A276="","",(COUNTA(A276:M276)+COUNTA(O276:S276))/18)</f>
        <v/>
      </c>
      <c r="U276" s="2" t="n"/>
    </row>
    <row r="277">
      <c r="A277" s="12" t="n"/>
      <c r="B277" s="12" t="n"/>
      <c r="C277" s="12" t="n"/>
      <c r="D277" s="4" t="n"/>
      <c r="E277" s="2" t="n"/>
      <c r="F277" s="12" t="n"/>
      <c r="G277" s="2" t="n"/>
      <c r="H277" s="14" t="n"/>
      <c r="I277" s="12" t="n"/>
      <c r="J277" s="12" t="n"/>
      <c r="K277" s="12" t="n"/>
      <c r="L277" s="12" t="n"/>
      <c r="M277" s="12" t="n"/>
      <c r="N277" s="2">
        <f>IF(A277="","",SUM(I277:M277))</f>
        <v/>
      </c>
      <c r="O277" s="12" t="n"/>
      <c r="P277" s="12" t="n"/>
      <c r="Q277" s="2" t="n"/>
      <c r="R277" s="2" t="n"/>
      <c r="S277" s="2" t="n"/>
      <c r="T277" s="5">
        <f>IF(A277="","",(COUNTA(A277:M277)+COUNTA(O277:S277))/18)</f>
        <v/>
      </c>
      <c r="U277" s="2" t="n"/>
    </row>
    <row r="278">
      <c r="A278" s="12" t="n"/>
      <c r="B278" s="12" t="n"/>
      <c r="C278" s="12" t="n"/>
      <c r="D278" s="4" t="n"/>
      <c r="E278" s="2" t="n"/>
      <c r="F278" s="12" t="n"/>
      <c r="G278" s="2" t="n"/>
      <c r="H278" s="14" t="n"/>
      <c r="I278" s="12" t="n"/>
      <c r="J278" s="12" t="n"/>
      <c r="K278" s="12" t="n"/>
      <c r="L278" s="12" t="n"/>
      <c r="M278" s="12" t="n"/>
      <c r="N278" s="2">
        <f>IF(A278="","",SUM(I278:M278))</f>
        <v/>
      </c>
      <c r="O278" s="12" t="n"/>
      <c r="P278" s="12" t="n"/>
      <c r="Q278" s="2" t="n"/>
      <c r="R278" s="2" t="n"/>
      <c r="S278" s="2" t="n"/>
      <c r="T278" s="5">
        <f>IF(A278="","",(COUNTA(A278:M278)+COUNTA(O278:S278))/18)</f>
        <v/>
      </c>
      <c r="U278" s="2" t="n"/>
    </row>
    <row r="279">
      <c r="A279" s="12" t="n"/>
      <c r="B279" s="12" t="n"/>
      <c r="C279" s="12" t="n"/>
      <c r="D279" s="4" t="n"/>
      <c r="E279" s="2" t="n"/>
      <c r="F279" s="12" t="n"/>
      <c r="G279" s="2" t="n"/>
      <c r="H279" s="14" t="n"/>
      <c r="I279" s="12" t="n"/>
      <c r="J279" s="12" t="n"/>
      <c r="K279" s="12" t="n"/>
      <c r="L279" s="12" t="n"/>
      <c r="M279" s="12" t="n"/>
      <c r="N279" s="2">
        <f>IF(A279="","",SUM(I279:M279))</f>
        <v/>
      </c>
      <c r="O279" s="12" t="n"/>
      <c r="P279" s="12" t="n"/>
      <c r="Q279" s="2" t="n"/>
      <c r="R279" s="2" t="n"/>
      <c r="S279" s="2" t="n"/>
      <c r="T279" s="5">
        <f>IF(A279="","",(COUNTA(A279:M279)+COUNTA(O279:S279))/18)</f>
        <v/>
      </c>
      <c r="U279" s="2" t="n"/>
    </row>
    <row r="280">
      <c r="A280" s="12" t="n"/>
      <c r="B280" s="12" t="n"/>
      <c r="C280" s="12" t="n"/>
      <c r="D280" s="4" t="n"/>
      <c r="E280" s="2" t="n"/>
      <c r="F280" s="12" t="n"/>
      <c r="G280" s="2" t="n"/>
      <c r="H280" s="14" t="n"/>
      <c r="I280" s="12" t="n"/>
      <c r="J280" s="12" t="n"/>
      <c r="K280" s="12" t="n"/>
      <c r="L280" s="12" t="n"/>
      <c r="M280" s="12" t="n"/>
      <c r="N280" s="2">
        <f>IF(A280="","",SUM(I280:M280))</f>
        <v/>
      </c>
      <c r="O280" s="12" t="n"/>
      <c r="P280" s="12" t="n"/>
      <c r="Q280" s="2" t="n"/>
      <c r="R280" s="2" t="n"/>
      <c r="S280" s="2" t="n"/>
      <c r="T280" s="5">
        <f>IF(A280="","",(COUNTA(A280:M280)+COUNTA(O280:S280))/18)</f>
        <v/>
      </c>
      <c r="U280" s="2" t="n"/>
    </row>
    <row r="281">
      <c r="A281" s="12" t="n"/>
      <c r="B281" s="12" t="n"/>
      <c r="C281" s="12" t="n"/>
      <c r="D281" s="4" t="n"/>
      <c r="E281" s="2" t="n"/>
      <c r="F281" s="12" t="n"/>
      <c r="G281" s="2" t="n"/>
      <c r="H281" s="14" t="n"/>
      <c r="I281" s="12" t="n"/>
      <c r="J281" s="12" t="n"/>
      <c r="K281" s="12" t="n"/>
      <c r="L281" s="12" t="n"/>
      <c r="M281" s="12" t="n"/>
      <c r="N281" s="2">
        <f>IF(A281="","",SUM(I281:M281))</f>
        <v/>
      </c>
      <c r="O281" s="12" t="n"/>
      <c r="P281" s="12" t="n"/>
      <c r="Q281" s="2" t="n"/>
      <c r="R281" s="2" t="n"/>
      <c r="S281" s="2" t="n"/>
      <c r="T281" s="5">
        <f>IF(A281="","",(COUNTA(A281:M281)+COUNTA(O281:S281))/18)</f>
        <v/>
      </c>
      <c r="U281" s="2" t="n"/>
    </row>
    <row r="282">
      <c r="A282" s="12" t="n"/>
      <c r="B282" s="12" t="n"/>
      <c r="C282" s="12" t="n"/>
      <c r="D282" s="4" t="n"/>
      <c r="E282" s="2" t="n"/>
      <c r="F282" s="12" t="n"/>
      <c r="G282" s="2" t="n"/>
      <c r="H282" s="14" t="n"/>
      <c r="I282" s="12" t="n"/>
      <c r="J282" s="12" t="n"/>
      <c r="K282" s="12" t="n"/>
      <c r="L282" s="12" t="n"/>
      <c r="M282" s="12" t="n"/>
      <c r="N282" s="2">
        <f>IF(A282="","",SUM(I282:M282))</f>
        <v/>
      </c>
      <c r="O282" s="12" t="n"/>
      <c r="P282" s="12" t="n"/>
      <c r="Q282" s="2" t="n"/>
      <c r="R282" s="2" t="n"/>
      <c r="S282" s="2" t="n"/>
      <c r="T282" s="5">
        <f>IF(A282="","",(COUNTA(A282:M282)+COUNTA(O282:S282))/18)</f>
        <v/>
      </c>
      <c r="U282" s="2" t="n"/>
    </row>
    <row r="283">
      <c r="A283" s="12" t="n"/>
      <c r="B283" s="12" t="n"/>
      <c r="C283" s="12" t="n"/>
      <c r="D283" s="4" t="n"/>
      <c r="E283" s="2" t="n"/>
      <c r="F283" s="12" t="n"/>
      <c r="G283" s="2" t="n"/>
      <c r="H283" s="14" t="n"/>
      <c r="I283" s="12" t="n"/>
      <c r="J283" s="12" t="n"/>
      <c r="K283" s="12" t="n"/>
      <c r="L283" s="12" t="n"/>
      <c r="M283" s="12" t="n"/>
      <c r="N283" s="2">
        <f>IF(A283="","",SUM(I283:M283))</f>
        <v/>
      </c>
      <c r="O283" s="12" t="n"/>
      <c r="P283" s="12" t="n"/>
      <c r="Q283" s="2" t="n"/>
      <c r="R283" s="2" t="n"/>
      <c r="S283" s="2" t="n"/>
      <c r="T283" s="5">
        <f>IF(A283="","",(COUNTA(A283:M283)+COUNTA(O283:S283))/18)</f>
        <v/>
      </c>
      <c r="U283" s="2" t="n"/>
    </row>
    <row r="284">
      <c r="A284" s="12" t="n"/>
      <c r="B284" s="12" t="n"/>
      <c r="C284" s="12" t="n"/>
      <c r="D284" s="4" t="n"/>
      <c r="E284" s="2" t="n"/>
      <c r="F284" s="12" t="n"/>
      <c r="G284" s="2" t="n"/>
      <c r="H284" s="14" t="n"/>
      <c r="I284" s="12" t="n"/>
      <c r="J284" s="12" t="n"/>
      <c r="K284" s="12" t="n"/>
      <c r="L284" s="12" t="n"/>
      <c r="M284" s="12" t="n"/>
      <c r="N284" s="2">
        <f>IF(A284="","",SUM(I284:M284))</f>
        <v/>
      </c>
      <c r="O284" s="12" t="n"/>
      <c r="P284" s="12" t="n"/>
      <c r="Q284" s="2" t="n"/>
      <c r="R284" s="2" t="n"/>
      <c r="S284" s="2" t="n"/>
      <c r="T284" s="5">
        <f>IF(A284="","",(COUNTA(A284:M284)+COUNTA(O284:S284))/18)</f>
        <v/>
      </c>
      <c r="U284" s="2" t="n"/>
    </row>
    <row r="285">
      <c r="A285" s="12" t="n"/>
      <c r="B285" s="12" t="n"/>
      <c r="C285" s="12" t="n"/>
      <c r="D285" s="4" t="n"/>
      <c r="E285" s="2" t="n"/>
      <c r="F285" s="12" t="n"/>
      <c r="G285" s="2" t="n"/>
      <c r="H285" s="14" t="n"/>
      <c r="I285" s="12" t="n"/>
      <c r="J285" s="12" t="n"/>
      <c r="K285" s="12" t="n"/>
      <c r="L285" s="12" t="n"/>
      <c r="M285" s="12" t="n"/>
      <c r="N285" s="2">
        <f>IF(A285="","",SUM(I285:M285))</f>
        <v/>
      </c>
      <c r="O285" s="12" t="n"/>
      <c r="P285" s="12" t="n"/>
      <c r="Q285" s="2" t="n"/>
      <c r="R285" s="2" t="n"/>
      <c r="S285" s="2" t="n"/>
      <c r="T285" s="5">
        <f>IF(A285="","",(COUNTA(A285:M285)+COUNTA(O285:S285))/18)</f>
        <v/>
      </c>
      <c r="U285" s="2" t="n"/>
    </row>
    <row r="286">
      <c r="A286" s="12" t="n"/>
      <c r="B286" s="12" t="n"/>
      <c r="C286" s="12" t="n"/>
      <c r="D286" s="4" t="n"/>
      <c r="E286" s="2" t="n"/>
      <c r="F286" s="12" t="n"/>
      <c r="G286" s="2" t="n"/>
      <c r="H286" s="14" t="n"/>
      <c r="I286" s="12" t="n"/>
      <c r="J286" s="12" t="n"/>
      <c r="K286" s="12" t="n"/>
      <c r="L286" s="12" t="n"/>
      <c r="M286" s="12" t="n"/>
      <c r="N286" s="2">
        <f>IF(A286="","",SUM(I286:M286))</f>
        <v/>
      </c>
      <c r="O286" s="12" t="n"/>
      <c r="P286" s="12" t="n"/>
      <c r="Q286" s="2" t="n"/>
      <c r="R286" s="2" t="n"/>
      <c r="S286" s="2" t="n"/>
      <c r="T286" s="5">
        <f>IF(A286="","",(COUNTA(A286:M286)+COUNTA(O286:S286))/18)</f>
        <v/>
      </c>
      <c r="U286" s="2" t="n"/>
    </row>
    <row r="287">
      <c r="A287" s="12" t="n"/>
      <c r="B287" s="12" t="n"/>
      <c r="C287" s="12" t="n"/>
      <c r="D287" s="4" t="n"/>
      <c r="E287" s="2" t="n"/>
      <c r="F287" s="12" t="n"/>
      <c r="G287" s="2" t="n"/>
      <c r="H287" s="14" t="n"/>
      <c r="I287" s="12" t="n"/>
      <c r="J287" s="12" t="n"/>
      <c r="K287" s="12" t="n"/>
      <c r="L287" s="12" t="n"/>
      <c r="M287" s="12" t="n"/>
      <c r="N287" s="2">
        <f>IF(A287="","",SUM(I287:M287))</f>
        <v/>
      </c>
      <c r="O287" s="12" t="n"/>
      <c r="P287" s="12" t="n"/>
      <c r="Q287" s="2" t="n"/>
      <c r="R287" s="2" t="n"/>
      <c r="S287" s="2" t="n"/>
      <c r="T287" s="5">
        <f>IF(A287="","",(COUNTA(A287:M287)+COUNTA(O287:S287))/18)</f>
        <v/>
      </c>
      <c r="U287" s="2" t="n"/>
    </row>
    <row r="288">
      <c r="A288" s="12" t="n"/>
      <c r="B288" s="12" t="n"/>
      <c r="C288" s="12" t="n"/>
      <c r="D288" s="4" t="n"/>
      <c r="E288" s="2" t="n"/>
      <c r="F288" s="12" t="n"/>
      <c r="G288" s="2" t="n"/>
      <c r="H288" s="14" t="n"/>
      <c r="I288" s="12" t="n"/>
      <c r="J288" s="12" t="n"/>
      <c r="K288" s="12" t="n"/>
      <c r="L288" s="12" t="n"/>
      <c r="M288" s="12" t="n"/>
      <c r="N288" s="2">
        <f>IF(A288="","",SUM(I288:M288))</f>
        <v/>
      </c>
      <c r="O288" s="12" t="n"/>
      <c r="P288" s="12" t="n"/>
      <c r="Q288" s="2" t="n"/>
      <c r="R288" s="2" t="n"/>
      <c r="S288" s="2" t="n"/>
      <c r="T288" s="5">
        <f>IF(A288="","",(COUNTA(A288:M288)+COUNTA(O288:S288))/18)</f>
        <v/>
      </c>
      <c r="U288" s="2" t="n"/>
    </row>
    <row r="289">
      <c r="A289" s="12" t="n"/>
      <c r="B289" s="12" t="n"/>
      <c r="C289" s="12" t="n"/>
      <c r="D289" s="4" t="n"/>
      <c r="E289" s="2" t="n"/>
      <c r="F289" s="12" t="n"/>
      <c r="G289" s="2" t="n"/>
      <c r="H289" s="14" t="n"/>
      <c r="I289" s="12" t="n"/>
      <c r="J289" s="12" t="n"/>
      <c r="K289" s="12" t="n"/>
      <c r="L289" s="12" t="n"/>
      <c r="M289" s="12" t="n"/>
      <c r="N289" s="2">
        <f>IF(A289="","",SUM(I289:M289))</f>
        <v/>
      </c>
      <c r="O289" s="12" t="n"/>
      <c r="P289" s="12" t="n"/>
      <c r="Q289" s="2" t="n"/>
      <c r="R289" s="2" t="n"/>
      <c r="S289" s="2" t="n"/>
      <c r="T289" s="5">
        <f>IF(A289="","",(COUNTA(A289:M289)+COUNTA(O289:S289))/18)</f>
        <v/>
      </c>
      <c r="U289" s="2" t="n"/>
    </row>
    <row r="290">
      <c r="A290" s="12" t="n"/>
      <c r="B290" s="12" t="n"/>
      <c r="C290" s="12" t="n"/>
      <c r="D290" s="4" t="n"/>
      <c r="E290" s="2" t="n"/>
      <c r="F290" s="12" t="n"/>
      <c r="G290" s="2" t="n"/>
      <c r="H290" s="14" t="n"/>
      <c r="I290" s="12" t="n"/>
      <c r="J290" s="12" t="n"/>
      <c r="K290" s="12" t="n"/>
      <c r="L290" s="12" t="n"/>
      <c r="M290" s="12" t="n"/>
      <c r="N290" s="2">
        <f>IF(A290="","",SUM(I290:M290))</f>
        <v/>
      </c>
      <c r="O290" s="12" t="n"/>
      <c r="P290" s="12" t="n"/>
      <c r="Q290" s="2" t="n"/>
      <c r="R290" s="2" t="n"/>
      <c r="S290" s="2" t="n"/>
      <c r="T290" s="5">
        <f>IF(A290="","",(COUNTA(A290:M290)+COUNTA(O290:S290))/18)</f>
        <v/>
      </c>
      <c r="U290" s="2" t="n"/>
    </row>
    <row r="291">
      <c r="A291" s="12" t="n"/>
      <c r="B291" s="12" t="n"/>
      <c r="C291" s="12" t="n"/>
      <c r="D291" s="4" t="n"/>
      <c r="E291" s="2" t="n"/>
      <c r="F291" s="12" t="n"/>
      <c r="G291" s="2" t="n"/>
      <c r="H291" s="14" t="n"/>
      <c r="I291" s="12" t="n"/>
      <c r="J291" s="12" t="n"/>
      <c r="K291" s="12" t="n"/>
      <c r="L291" s="12" t="n"/>
      <c r="M291" s="12" t="n"/>
      <c r="N291" s="2">
        <f>IF(A291="","",SUM(I291:M291))</f>
        <v/>
      </c>
      <c r="O291" s="12" t="n"/>
      <c r="P291" s="12" t="n"/>
      <c r="Q291" s="2" t="n"/>
      <c r="R291" s="2" t="n"/>
      <c r="S291" s="2" t="n"/>
      <c r="T291" s="5">
        <f>IF(A291="","",(COUNTA(A291:M291)+COUNTA(O291:S291))/18)</f>
        <v/>
      </c>
      <c r="U291" s="2" t="n"/>
    </row>
    <row r="292">
      <c r="A292" s="12" t="n"/>
      <c r="B292" s="12" t="n"/>
      <c r="C292" s="12" t="n"/>
      <c r="D292" s="4" t="n"/>
      <c r="E292" s="2" t="n"/>
      <c r="F292" s="12" t="n"/>
      <c r="G292" s="2" t="n"/>
      <c r="H292" s="14" t="n"/>
      <c r="I292" s="12" t="n"/>
      <c r="J292" s="12" t="n"/>
      <c r="K292" s="12" t="n"/>
      <c r="L292" s="12" t="n"/>
      <c r="M292" s="12" t="n"/>
      <c r="N292" s="2">
        <f>IF(A292="","",SUM(I292:M292))</f>
        <v/>
      </c>
      <c r="O292" s="12" t="n"/>
      <c r="P292" s="12" t="n"/>
      <c r="Q292" s="2" t="n"/>
      <c r="R292" s="2" t="n"/>
      <c r="S292" s="2" t="n"/>
      <c r="T292" s="5">
        <f>IF(A292="","",(COUNTA(A292:M292)+COUNTA(O292:S292))/18)</f>
        <v/>
      </c>
      <c r="U292" s="2" t="n"/>
    </row>
    <row r="293">
      <c r="A293" s="12" t="n"/>
      <c r="B293" s="12" t="n"/>
      <c r="C293" s="12" t="n"/>
      <c r="D293" s="4" t="n"/>
      <c r="E293" s="2" t="n"/>
      <c r="F293" s="12" t="n"/>
      <c r="G293" s="2" t="n"/>
      <c r="H293" s="14" t="n"/>
      <c r="I293" s="12" t="n"/>
      <c r="J293" s="12" t="n"/>
      <c r="K293" s="12" t="n"/>
      <c r="L293" s="12" t="n"/>
      <c r="M293" s="12" t="n"/>
      <c r="N293" s="2">
        <f>IF(A293="","",SUM(I293:M293))</f>
        <v/>
      </c>
      <c r="O293" s="12" t="n"/>
      <c r="P293" s="12" t="n"/>
      <c r="Q293" s="2" t="n"/>
      <c r="R293" s="2" t="n"/>
      <c r="S293" s="2" t="n"/>
      <c r="T293" s="5">
        <f>IF(A293="","",(COUNTA(A293:M293)+COUNTA(O293:S293))/18)</f>
        <v/>
      </c>
      <c r="U293" s="2" t="n"/>
    </row>
    <row r="294">
      <c r="A294" s="12" t="n"/>
      <c r="B294" s="12" t="n"/>
      <c r="C294" s="12" t="n"/>
      <c r="D294" s="4" t="n"/>
      <c r="E294" s="2" t="n"/>
      <c r="F294" s="12" t="n"/>
      <c r="G294" s="2" t="n"/>
      <c r="H294" s="14" t="n"/>
      <c r="I294" s="12" t="n"/>
      <c r="J294" s="12" t="n"/>
      <c r="K294" s="12" t="n"/>
      <c r="L294" s="12" t="n"/>
      <c r="M294" s="12" t="n"/>
      <c r="N294" s="2">
        <f>IF(A294="","",SUM(I294:M294))</f>
        <v/>
      </c>
      <c r="O294" s="12" t="n"/>
      <c r="P294" s="12" t="n"/>
      <c r="Q294" s="2" t="n"/>
      <c r="R294" s="2" t="n"/>
      <c r="S294" s="2" t="n"/>
      <c r="T294" s="5">
        <f>IF(A294="","",(COUNTA(A294:M294)+COUNTA(O294:S294))/18)</f>
        <v/>
      </c>
      <c r="U294" s="2" t="n"/>
    </row>
    <row r="295">
      <c r="A295" s="12" t="n"/>
      <c r="B295" s="12" t="n"/>
      <c r="C295" s="12" t="n"/>
      <c r="D295" s="4" t="n"/>
      <c r="E295" s="2" t="n"/>
      <c r="F295" s="12" t="n"/>
      <c r="G295" s="2" t="n"/>
      <c r="H295" s="14" t="n"/>
      <c r="I295" s="12" t="n"/>
      <c r="J295" s="12" t="n"/>
      <c r="K295" s="12" t="n"/>
      <c r="L295" s="12" t="n"/>
      <c r="M295" s="12" t="n"/>
      <c r="N295" s="2">
        <f>IF(A295="","",SUM(I295:M295))</f>
        <v/>
      </c>
      <c r="O295" s="12" t="n"/>
      <c r="P295" s="12" t="n"/>
      <c r="Q295" s="2" t="n"/>
      <c r="R295" s="2" t="n"/>
      <c r="S295" s="2" t="n"/>
      <c r="T295" s="5">
        <f>IF(A295="","",(COUNTA(A295:M295)+COUNTA(O295:S295))/18)</f>
        <v/>
      </c>
      <c r="U295" s="2" t="n"/>
    </row>
    <row r="296">
      <c r="A296" s="12" t="n"/>
      <c r="B296" s="12" t="n"/>
      <c r="C296" s="12" t="n"/>
      <c r="D296" s="4" t="n"/>
      <c r="E296" s="2" t="n"/>
      <c r="F296" s="12" t="n"/>
      <c r="G296" s="2" t="n"/>
      <c r="H296" s="14" t="n"/>
      <c r="I296" s="12" t="n"/>
      <c r="J296" s="12" t="n"/>
      <c r="K296" s="12" t="n"/>
      <c r="L296" s="12" t="n"/>
      <c r="M296" s="12" t="n"/>
      <c r="N296" s="2">
        <f>IF(A296="","",SUM(I296:M296))</f>
        <v/>
      </c>
      <c r="O296" s="12" t="n"/>
      <c r="P296" s="12" t="n"/>
      <c r="Q296" s="2" t="n"/>
      <c r="R296" s="2" t="n"/>
      <c r="S296" s="2" t="n"/>
      <c r="T296" s="5">
        <f>IF(A296="","",(COUNTA(A296:M296)+COUNTA(O296:S296))/18)</f>
        <v/>
      </c>
      <c r="U296" s="2" t="n"/>
    </row>
    <row r="297">
      <c r="A297" s="12" t="n"/>
      <c r="B297" s="12" t="n"/>
      <c r="C297" s="12" t="n"/>
      <c r="D297" s="4" t="n"/>
      <c r="E297" s="2" t="n"/>
      <c r="F297" s="12" t="n"/>
      <c r="G297" s="2" t="n"/>
      <c r="H297" s="14" t="n"/>
      <c r="I297" s="12" t="n"/>
      <c r="J297" s="12" t="n"/>
      <c r="K297" s="12" t="n"/>
      <c r="L297" s="12" t="n"/>
      <c r="M297" s="12" t="n"/>
      <c r="N297" s="2">
        <f>IF(A297="","",SUM(I297:M297))</f>
        <v/>
      </c>
      <c r="O297" s="12" t="n"/>
      <c r="P297" s="12" t="n"/>
      <c r="Q297" s="2" t="n"/>
      <c r="R297" s="2" t="n"/>
      <c r="S297" s="2" t="n"/>
      <c r="T297" s="5">
        <f>IF(A297="","",(COUNTA(A297:M297)+COUNTA(O297:S297))/18)</f>
        <v/>
      </c>
      <c r="U297" s="2" t="n"/>
    </row>
    <row r="298">
      <c r="A298" s="12" t="n"/>
      <c r="B298" s="12" t="n"/>
      <c r="C298" s="12" t="n"/>
      <c r="D298" s="4" t="n"/>
      <c r="E298" s="2" t="n"/>
      <c r="F298" s="12" t="n"/>
      <c r="G298" s="2" t="n"/>
      <c r="H298" s="14" t="n"/>
      <c r="I298" s="12" t="n"/>
      <c r="J298" s="12" t="n"/>
      <c r="K298" s="12" t="n"/>
      <c r="L298" s="12" t="n"/>
      <c r="M298" s="12" t="n"/>
      <c r="N298" s="2">
        <f>IF(A298="","",SUM(I298:M298))</f>
        <v/>
      </c>
      <c r="O298" s="12" t="n"/>
      <c r="P298" s="12" t="n"/>
      <c r="Q298" s="2" t="n"/>
      <c r="R298" s="2" t="n"/>
      <c r="S298" s="2" t="n"/>
      <c r="T298" s="5">
        <f>IF(A298="","",(COUNTA(A298:M298)+COUNTA(O298:S298))/18)</f>
        <v/>
      </c>
      <c r="U298" s="2" t="n"/>
    </row>
    <row r="299">
      <c r="A299" s="12" t="n"/>
      <c r="B299" s="12" t="n"/>
      <c r="C299" s="12" t="n"/>
      <c r="D299" s="4" t="n"/>
      <c r="E299" s="2" t="n"/>
      <c r="F299" s="12" t="n"/>
      <c r="G299" s="2" t="n"/>
      <c r="H299" s="14" t="n"/>
      <c r="I299" s="12" t="n"/>
      <c r="J299" s="12" t="n"/>
      <c r="K299" s="12" t="n"/>
      <c r="L299" s="12" t="n"/>
      <c r="M299" s="12" t="n"/>
      <c r="N299" s="2">
        <f>IF(A299="","",SUM(I299:M299))</f>
        <v/>
      </c>
      <c r="O299" s="12" t="n"/>
      <c r="P299" s="12" t="n"/>
      <c r="Q299" s="2" t="n"/>
      <c r="R299" s="2" t="n"/>
      <c r="S299" s="2" t="n"/>
      <c r="T299" s="5">
        <f>IF(A299="","",(COUNTA(A299:M299)+COUNTA(O299:S299))/18)</f>
        <v/>
      </c>
      <c r="U299" s="2" t="n"/>
    </row>
    <row r="300">
      <c r="A300" s="12" t="n"/>
      <c r="B300" s="12" t="n"/>
      <c r="C300" s="12" t="n"/>
      <c r="D300" s="4" t="n"/>
      <c r="E300" s="2" t="n"/>
      <c r="F300" s="12" t="n"/>
      <c r="G300" s="2" t="n"/>
      <c r="H300" s="14" t="n"/>
      <c r="I300" s="12" t="n"/>
      <c r="J300" s="12" t="n"/>
      <c r="K300" s="12" t="n"/>
      <c r="L300" s="12" t="n"/>
      <c r="M300" s="12" t="n"/>
      <c r="N300" s="2">
        <f>IF(A300="","",SUM(I300:M300))</f>
        <v/>
      </c>
      <c r="O300" s="12" t="n"/>
      <c r="P300" s="12" t="n"/>
      <c r="Q300" s="2" t="n"/>
      <c r="R300" s="2" t="n"/>
      <c r="S300" s="2" t="n"/>
      <c r="T300" s="5">
        <f>IF(A300="","",(COUNTA(A300:M300)+COUNTA(O300:S300))/18)</f>
        <v/>
      </c>
      <c r="U300" s="2" t="n"/>
    </row>
    <row r="301">
      <c r="A301" s="12" t="n"/>
      <c r="B301" s="12" t="n"/>
      <c r="C301" s="12" t="n"/>
      <c r="D301" s="4" t="n"/>
      <c r="E301" s="2" t="n"/>
      <c r="F301" s="12" t="n"/>
      <c r="G301" s="2" t="n"/>
      <c r="H301" s="14" t="n"/>
      <c r="I301" s="12" t="n"/>
      <c r="J301" s="12" t="n"/>
      <c r="K301" s="12" t="n"/>
      <c r="L301" s="12" t="n"/>
      <c r="M301" s="12" t="n"/>
      <c r="N301" s="2">
        <f>IF(A301="","",SUM(I301:M301))</f>
        <v/>
      </c>
      <c r="O301" s="12" t="n"/>
      <c r="P301" s="12" t="n"/>
      <c r="Q301" s="2" t="n"/>
      <c r="R301" s="2" t="n"/>
      <c r="S301" s="2" t="n"/>
      <c r="T301" s="5">
        <f>IF(A301="","",(COUNTA(A301:M301)+COUNTA(O301:S301))/18)</f>
        <v/>
      </c>
      <c r="U301" s="2" t="n"/>
    </row>
    <row r="302">
      <c r="A302" s="12" t="n"/>
      <c r="B302" s="12" t="n"/>
      <c r="C302" s="12" t="n"/>
      <c r="D302" s="4" t="n"/>
      <c r="E302" s="2" t="n"/>
      <c r="F302" s="12" t="n"/>
      <c r="G302" s="2" t="n"/>
      <c r="H302" s="14" t="n"/>
      <c r="I302" s="12" t="n"/>
      <c r="J302" s="12" t="n"/>
      <c r="K302" s="12" t="n"/>
      <c r="L302" s="12" t="n"/>
      <c r="M302" s="12" t="n"/>
      <c r="N302" s="2">
        <f>IF(A302="","",SUM(I302:M302))</f>
        <v/>
      </c>
      <c r="O302" s="12" t="n"/>
      <c r="P302" s="12" t="n"/>
      <c r="Q302" s="2" t="n"/>
      <c r="R302" s="2" t="n"/>
      <c r="S302" s="2" t="n"/>
      <c r="T302" s="5">
        <f>IF(A302="","",(COUNTA(A302:M302)+COUNTA(O302:S302))/18)</f>
        <v/>
      </c>
      <c r="U302" s="2" t="n"/>
    </row>
    <row r="303">
      <c r="A303" s="12" t="n"/>
      <c r="B303" s="12" t="n"/>
      <c r="C303" s="12" t="n"/>
      <c r="D303" s="4" t="n"/>
      <c r="E303" s="2" t="n"/>
      <c r="F303" s="12" t="n"/>
      <c r="G303" s="2" t="n"/>
      <c r="H303" s="14" t="n"/>
      <c r="I303" s="12" t="n"/>
      <c r="J303" s="12" t="n"/>
      <c r="K303" s="12" t="n"/>
      <c r="L303" s="12" t="n"/>
      <c r="M303" s="12" t="n"/>
      <c r="N303" s="2">
        <f>IF(A303="","",SUM(I303:M303))</f>
        <v/>
      </c>
      <c r="O303" s="12" t="n"/>
      <c r="P303" s="12" t="n"/>
      <c r="Q303" s="2" t="n"/>
      <c r="R303" s="2" t="n"/>
      <c r="S303" s="2" t="n"/>
      <c r="T303" s="5">
        <f>IF(A303="","",(COUNTA(A303:M303)+COUNTA(O303:S303))/18)</f>
        <v/>
      </c>
      <c r="U303" s="2" t="n"/>
    </row>
    <row r="304">
      <c r="A304" s="12" t="n"/>
      <c r="B304" s="12" t="n"/>
      <c r="C304" s="12" t="n"/>
      <c r="D304" s="4" t="n"/>
      <c r="E304" s="2" t="n"/>
      <c r="F304" s="12" t="n"/>
      <c r="G304" s="2" t="n"/>
      <c r="H304" s="14" t="n"/>
      <c r="I304" s="12" t="n"/>
      <c r="J304" s="12" t="n"/>
      <c r="K304" s="12" t="n"/>
      <c r="L304" s="12" t="n"/>
      <c r="M304" s="12" t="n"/>
      <c r="N304" s="2">
        <f>IF(A304="","",SUM(I304:M304))</f>
        <v/>
      </c>
      <c r="O304" s="12" t="n"/>
      <c r="P304" s="12" t="n"/>
      <c r="Q304" s="2" t="n"/>
      <c r="R304" s="2" t="n"/>
      <c r="S304" s="2" t="n"/>
      <c r="T304" s="5">
        <f>IF(A304="","",(COUNTA(A304:M304)+COUNTA(O304:S304))/18)</f>
        <v/>
      </c>
      <c r="U304" s="2" t="n"/>
    </row>
    <row r="305">
      <c r="A305" s="12" t="n"/>
      <c r="B305" s="12" t="n"/>
      <c r="C305" s="12" t="n"/>
      <c r="D305" s="4" t="n"/>
      <c r="E305" s="2" t="n"/>
      <c r="F305" s="12" t="n"/>
      <c r="G305" s="2" t="n"/>
      <c r="H305" s="14" t="n"/>
      <c r="I305" s="12" t="n"/>
      <c r="J305" s="12" t="n"/>
      <c r="K305" s="12" t="n"/>
      <c r="L305" s="12" t="n"/>
      <c r="M305" s="12" t="n"/>
      <c r="N305" s="2">
        <f>IF(A305="","",SUM(I305:M305))</f>
        <v/>
      </c>
      <c r="O305" s="12" t="n"/>
      <c r="P305" s="12" t="n"/>
      <c r="Q305" s="2" t="n"/>
      <c r="R305" s="2" t="n"/>
      <c r="S305" s="2" t="n"/>
      <c r="T305" s="5">
        <f>IF(A305="","",(COUNTA(A305:M305)+COUNTA(O305:S305))/18)</f>
        <v/>
      </c>
      <c r="U305" s="2" t="n"/>
    </row>
    <row r="306">
      <c r="A306" s="12" t="n"/>
      <c r="B306" s="12" t="n"/>
      <c r="C306" s="12" t="n"/>
      <c r="D306" s="4" t="n"/>
      <c r="E306" s="2" t="n"/>
      <c r="F306" s="12" t="n"/>
      <c r="G306" s="2" t="n"/>
      <c r="H306" s="14" t="n"/>
      <c r="I306" s="12" t="n"/>
      <c r="J306" s="12" t="n"/>
      <c r="K306" s="12" t="n"/>
      <c r="L306" s="12" t="n"/>
      <c r="M306" s="12" t="n"/>
      <c r="N306" s="2">
        <f>IF(A306="","",SUM(I306:M306))</f>
        <v/>
      </c>
      <c r="O306" s="12" t="n"/>
      <c r="P306" s="12" t="n"/>
      <c r="Q306" s="2" t="n"/>
      <c r="R306" s="2" t="n"/>
      <c r="S306" s="2" t="n"/>
      <c r="T306" s="5">
        <f>IF(A306="","",(COUNTA(A306:M306)+COUNTA(O306:S306))/18)</f>
        <v/>
      </c>
      <c r="U306" s="2" t="n"/>
    </row>
    <row r="307">
      <c r="A307" s="12" t="n"/>
      <c r="B307" s="12" t="n"/>
      <c r="C307" s="12" t="n"/>
      <c r="D307" s="4" t="n"/>
      <c r="E307" s="2" t="n"/>
      <c r="F307" s="12" t="n"/>
      <c r="G307" s="2" t="n"/>
      <c r="H307" s="14" t="n"/>
      <c r="I307" s="12" t="n"/>
      <c r="J307" s="12" t="n"/>
      <c r="K307" s="12" t="n"/>
      <c r="L307" s="12" t="n"/>
      <c r="M307" s="12" t="n"/>
      <c r="N307" s="2">
        <f>IF(A307="","",SUM(I307:M307))</f>
        <v/>
      </c>
      <c r="O307" s="12" t="n"/>
      <c r="P307" s="12" t="n"/>
      <c r="Q307" s="2" t="n"/>
      <c r="R307" s="2" t="n"/>
      <c r="S307" s="2" t="n"/>
      <c r="T307" s="5">
        <f>IF(A307="","",(COUNTA(A307:M307)+COUNTA(O307:S307))/18)</f>
        <v/>
      </c>
      <c r="U307" s="2" t="n"/>
    </row>
    <row r="308">
      <c r="A308" s="12" t="n"/>
      <c r="B308" s="12" t="n"/>
      <c r="C308" s="12" t="n"/>
      <c r="D308" s="4" t="n"/>
      <c r="E308" s="2" t="n"/>
      <c r="F308" s="12" t="n"/>
      <c r="G308" s="2" t="n"/>
      <c r="H308" s="14" t="n"/>
      <c r="I308" s="12" t="n"/>
      <c r="J308" s="12" t="n"/>
      <c r="K308" s="12" t="n"/>
      <c r="L308" s="12" t="n"/>
      <c r="M308" s="12" t="n"/>
      <c r="N308" s="2">
        <f>IF(A308="","",SUM(I308:M308))</f>
        <v/>
      </c>
      <c r="O308" s="12" t="n"/>
      <c r="P308" s="12" t="n"/>
      <c r="Q308" s="2" t="n"/>
      <c r="R308" s="2" t="n"/>
      <c r="S308" s="2" t="n"/>
      <c r="T308" s="5">
        <f>IF(A308="","",(COUNTA(A308:M308)+COUNTA(O308:S308))/18)</f>
        <v/>
      </c>
      <c r="U308" s="2" t="n"/>
    </row>
    <row r="309">
      <c r="A309" s="12" t="n"/>
      <c r="B309" s="12" t="n"/>
      <c r="C309" s="12" t="n"/>
      <c r="D309" s="4" t="n"/>
      <c r="E309" s="2" t="n"/>
      <c r="F309" s="12" t="n"/>
      <c r="G309" s="2" t="n"/>
      <c r="H309" s="14" t="n"/>
      <c r="I309" s="12" t="n"/>
      <c r="J309" s="12" t="n"/>
      <c r="K309" s="12" t="n"/>
      <c r="L309" s="12" t="n"/>
      <c r="M309" s="12" t="n"/>
      <c r="N309" s="2">
        <f>IF(A309="","",SUM(I309:M309))</f>
        <v/>
      </c>
      <c r="O309" s="12" t="n"/>
      <c r="P309" s="12" t="n"/>
      <c r="Q309" s="2" t="n"/>
      <c r="R309" s="2" t="n"/>
      <c r="S309" s="2" t="n"/>
      <c r="T309" s="5">
        <f>IF(A309="","",(COUNTA(A309:M309)+COUNTA(O309:S309))/18)</f>
        <v/>
      </c>
      <c r="U309" s="2" t="n"/>
    </row>
    <row r="310">
      <c r="A310" s="12" t="n"/>
      <c r="B310" s="12" t="n"/>
      <c r="C310" s="12" t="n"/>
      <c r="D310" s="4" t="n"/>
      <c r="E310" s="2" t="n"/>
      <c r="F310" s="12" t="n"/>
      <c r="G310" s="2" t="n"/>
      <c r="H310" s="14" t="n"/>
      <c r="I310" s="12" t="n"/>
      <c r="J310" s="12" t="n"/>
      <c r="K310" s="12" t="n"/>
      <c r="L310" s="12" t="n"/>
      <c r="M310" s="12" t="n"/>
      <c r="N310" s="2">
        <f>IF(A310="","",SUM(I310:M310))</f>
        <v/>
      </c>
      <c r="O310" s="12" t="n"/>
      <c r="P310" s="12" t="n"/>
      <c r="Q310" s="2" t="n"/>
      <c r="R310" s="2" t="n"/>
      <c r="S310" s="2" t="n"/>
      <c r="T310" s="5">
        <f>IF(A310="","",(COUNTA(A310:M310)+COUNTA(O310:S310))/18)</f>
        <v/>
      </c>
      <c r="U310" s="2" t="n"/>
    </row>
    <row r="311">
      <c r="A311" s="12" t="n"/>
      <c r="B311" s="12" t="n"/>
      <c r="C311" s="12" t="n"/>
      <c r="D311" s="4" t="n"/>
      <c r="E311" s="2" t="n"/>
      <c r="F311" s="12" t="n"/>
      <c r="G311" s="2" t="n"/>
      <c r="H311" s="14" t="n"/>
      <c r="I311" s="12" t="n"/>
      <c r="J311" s="12" t="n"/>
      <c r="K311" s="12" t="n"/>
      <c r="L311" s="12" t="n"/>
      <c r="M311" s="12" t="n"/>
      <c r="N311" s="2">
        <f>IF(A311="","",SUM(I311:M311))</f>
        <v/>
      </c>
      <c r="O311" s="12" t="n"/>
      <c r="P311" s="12" t="n"/>
      <c r="Q311" s="2" t="n"/>
      <c r="R311" s="2" t="n"/>
      <c r="S311" s="2" t="n"/>
      <c r="T311" s="5">
        <f>IF(A311="","",(COUNTA(A311:M311)+COUNTA(O311:S311))/18)</f>
        <v/>
      </c>
      <c r="U311" s="2" t="n"/>
    </row>
    <row r="312">
      <c r="A312" s="12" t="n"/>
      <c r="B312" s="12" t="n"/>
      <c r="C312" s="12" t="n"/>
      <c r="D312" s="4" t="n"/>
      <c r="E312" s="2" t="n"/>
      <c r="F312" s="12" t="n"/>
      <c r="G312" s="2" t="n"/>
      <c r="H312" s="14" t="n"/>
      <c r="I312" s="12" t="n"/>
      <c r="J312" s="12" t="n"/>
      <c r="K312" s="12" t="n"/>
      <c r="L312" s="12" t="n"/>
      <c r="M312" s="12" t="n"/>
      <c r="N312" s="2">
        <f>IF(A312="","",SUM(I312:M312))</f>
        <v/>
      </c>
      <c r="O312" s="12" t="n"/>
      <c r="P312" s="12" t="n"/>
      <c r="Q312" s="2" t="n"/>
      <c r="R312" s="2" t="n"/>
      <c r="S312" s="2" t="n"/>
      <c r="T312" s="5">
        <f>IF(A312="","",(COUNTA(A312:M312)+COUNTA(O312:S312))/18)</f>
        <v/>
      </c>
      <c r="U312" s="2" t="n"/>
    </row>
    <row r="313">
      <c r="A313" s="12" t="n"/>
      <c r="B313" s="12" t="n"/>
      <c r="C313" s="12" t="n"/>
      <c r="D313" s="4" t="n"/>
      <c r="E313" s="2" t="n"/>
      <c r="F313" s="12" t="n"/>
      <c r="G313" s="2" t="n"/>
      <c r="H313" s="14" t="n"/>
      <c r="I313" s="12" t="n"/>
      <c r="J313" s="12" t="n"/>
      <c r="K313" s="12" t="n"/>
      <c r="L313" s="12" t="n"/>
      <c r="M313" s="12" t="n"/>
      <c r="N313" s="2">
        <f>IF(A313="","",SUM(I313:M313))</f>
        <v/>
      </c>
      <c r="O313" s="12" t="n"/>
      <c r="P313" s="12" t="n"/>
      <c r="Q313" s="2" t="n"/>
      <c r="R313" s="2" t="n"/>
      <c r="S313" s="2" t="n"/>
      <c r="T313" s="5">
        <f>IF(A313="","",(COUNTA(A313:M313)+COUNTA(O313:S313))/18)</f>
        <v/>
      </c>
      <c r="U313" s="2" t="n"/>
    </row>
    <row r="314">
      <c r="A314" s="12" t="n"/>
      <c r="B314" s="12" t="n"/>
      <c r="C314" s="12" t="n"/>
      <c r="D314" s="4" t="n"/>
      <c r="E314" s="2" t="n"/>
      <c r="F314" s="12" t="n"/>
      <c r="G314" s="2" t="n"/>
      <c r="H314" s="14" t="n"/>
      <c r="I314" s="12" t="n"/>
      <c r="J314" s="12" t="n"/>
      <c r="K314" s="12" t="n"/>
      <c r="L314" s="12" t="n"/>
      <c r="M314" s="12" t="n"/>
      <c r="N314" s="2">
        <f>IF(A314="","",SUM(I314:M314))</f>
        <v/>
      </c>
      <c r="O314" s="12" t="n"/>
      <c r="P314" s="12" t="n"/>
      <c r="Q314" s="2" t="n"/>
      <c r="R314" s="2" t="n"/>
      <c r="S314" s="2" t="n"/>
      <c r="T314" s="5">
        <f>IF(A314="","",(COUNTA(A314:M314)+COUNTA(O314:S314))/18)</f>
        <v/>
      </c>
      <c r="U314" s="2" t="n"/>
    </row>
    <row r="315">
      <c r="A315" s="12" t="n"/>
      <c r="B315" s="12" t="n"/>
      <c r="C315" s="12" t="n"/>
      <c r="D315" s="4" t="n"/>
      <c r="E315" s="2" t="n"/>
      <c r="F315" s="12" t="n"/>
      <c r="G315" s="2" t="n"/>
      <c r="H315" s="14" t="n"/>
      <c r="I315" s="12" t="n"/>
      <c r="J315" s="12" t="n"/>
      <c r="K315" s="12" t="n"/>
      <c r="L315" s="12" t="n"/>
      <c r="M315" s="12" t="n"/>
      <c r="N315" s="2">
        <f>IF(A315="","",SUM(I315:M315))</f>
        <v/>
      </c>
      <c r="O315" s="12" t="n"/>
      <c r="P315" s="12" t="n"/>
      <c r="Q315" s="2" t="n"/>
      <c r="R315" s="2" t="n"/>
      <c r="S315" s="2" t="n"/>
      <c r="T315" s="5">
        <f>IF(A315="","",(COUNTA(A315:M315)+COUNTA(O315:S315))/18)</f>
        <v/>
      </c>
      <c r="U315" s="2" t="n"/>
    </row>
    <row r="316">
      <c r="A316" s="12" t="n"/>
      <c r="B316" s="12" t="n"/>
      <c r="C316" s="12" t="n"/>
      <c r="D316" s="4" t="n"/>
      <c r="E316" s="2" t="n"/>
      <c r="F316" s="12" t="n"/>
      <c r="G316" s="2" t="n"/>
      <c r="H316" s="14" t="n"/>
      <c r="I316" s="12" t="n"/>
      <c r="J316" s="12" t="n"/>
      <c r="K316" s="12" t="n"/>
      <c r="L316" s="12" t="n"/>
      <c r="M316" s="12" t="n"/>
      <c r="N316" s="2">
        <f>IF(A316="","",SUM(I316:M316))</f>
        <v/>
      </c>
      <c r="O316" s="12" t="n"/>
      <c r="P316" s="12" t="n"/>
      <c r="Q316" s="2" t="n"/>
      <c r="R316" s="2" t="n"/>
      <c r="S316" s="2" t="n"/>
      <c r="T316" s="5">
        <f>IF(A316="","",(COUNTA(A316:M316)+COUNTA(O316:S316))/18)</f>
        <v/>
      </c>
      <c r="U316" s="2" t="n"/>
    </row>
    <row r="317">
      <c r="A317" s="12" t="n"/>
      <c r="B317" s="12" t="n"/>
      <c r="C317" s="12" t="n"/>
      <c r="D317" s="4" t="n"/>
      <c r="E317" s="2" t="n"/>
      <c r="F317" s="12" t="n"/>
      <c r="G317" s="2" t="n"/>
      <c r="H317" s="14" t="n"/>
      <c r="I317" s="12" t="n"/>
      <c r="J317" s="12" t="n"/>
      <c r="K317" s="12" t="n"/>
      <c r="L317" s="12" t="n"/>
      <c r="M317" s="12" t="n"/>
      <c r="N317" s="2">
        <f>IF(A317="","",SUM(I317:M317))</f>
        <v/>
      </c>
      <c r="O317" s="12" t="n"/>
      <c r="P317" s="12" t="n"/>
      <c r="Q317" s="2" t="n"/>
      <c r="R317" s="2" t="n"/>
      <c r="S317" s="2" t="n"/>
      <c r="T317" s="5">
        <f>IF(A317="","",(COUNTA(A317:M317)+COUNTA(O317:S317))/18)</f>
        <v/>
      </c>
      <c r="U317" s="2" t="n"/>
    </row>
    <row r="318">
      <c r="A318" s="12" t="n"/>
      <c r="B318" s="12" t="n"/>
      <c r="C318" s="12" t="n"/>
      <c r="D318" s="4" t="n"/>
      <c r="E318" s="2" t="n"/>
      <c r="F318" s="12" t="n"/>
      <c r="G318" s="2" t="n"/>
      <c r="H318" s="14" t="n"/>
      <c r="I318" s="12" t="n"/>
      <c r="J318" s="12" t="n"/>
      <c r="K318" s="12" t="n"/>
      <c r="L318" s="12" t="n"/>
      <c r="M318" s="12" t="n"/>
      <c r="N318" s="2">
        <f>IF(A318="","",SUM(I318:M318))</f>
        <v/>
      </c>
      <c r="O318" s="12" t="n"/>
      <c r="P318" s="12" t="n"/>
      <c r="Q318" s="2" t="n"/>
      <c r="R318" s="2" t="n"/>
      <c r="S318" s="2" t="n"/>
      <c r="T318" s="5">
        <f>IF(A318="","",(COUNTA(A318:M318)+COUNTA(O318:S318))/18)</f>
        <v/>
      </c>
      <c r="U318" s="2" t="n"/>
    </row>
    <row r="319">
      <c r="A319" s="12" t="n"/>
      <c r="B319" s="12" t="n"/>
      <c r="C319" s="12" t="n"/>
      <c r="D319" s="4" t="n"/>
      <c r="E319" s="2" t="n"/>
      <c r="F319" s="12" t="n"/>
      <c r="G319" s="2" t="n"/>
      <c r="H319" s="14" t="n"/>
      <c r="I319" s="12" t="n"/>
      <c r="J319" s="12" t="n"/>
      <c r="K319" s="12" t="n"/>
      <c r="L319" s="12" t="n"/>
      <c r="M319" s="12" t="n"/>
      <c r="N319" s="2">
        <f>IF(A319="","",SUM(I319:M319))</f>
        <v/>
      </c>
      <c r="O319" s="12" t="n"/>
      <c r="P319" s="12" t="n"/>
      <c r="Q319" s="2" t="n"/>
      <c r="R319" s="2" t="n"/>
      <c r="S319" s="2" t="n"/>
      <c r="T319" s="5">
        <f>IF(A319="","",(COUNTA(A319:M319)+COUNTA(O319:S319))/18)</f>
        <v/>
      </c>
      <c r="U319" s="2" t="n"/>
    </row>
    <row r="320">
      <c r="A320" s="12" t="n"/>
      <c r="B320" s="12" t="n"/>
      <c r="C320" s="12" t="n"/>
      <c r="D320" s="4" t="n"/>
      <c r="E320" s="2" t="n"/>
      <c r="F320" s="12" t="n"/>
      <c r="G320" s="2" t="n"/>
      <c r="H320" s="14" t="n"/>
      <c r="I320" s="12" t="n"/>
      <c r="J320" s="12" t="n"/>
      <c r="K320" s="12" t="n"/>
      <c r="L320" s="12" t="n"/>
      <c r="M320" s="12" t="n"/>
      <c r="N320" s="2">
        <f>IF(A320="","",SUM(I320:M320))</f>
        <v/>
      </c>
      <c r="O320" s="12" t="n"/>
      <c r="P320" s="12" t="n"/>
      <c r="Q320" s="2" t="n"/>
      <c r="R320" s="2" t="n"/>
      <c r="S320" s="2" t="n"/>
      <c r="T320" s="5">
        <f>IF(A320="","",(COUNTA(A320:M320)+COUNTA(O320:S320))/18)</f>
        <v/>
      </c>
      <c r="U320" s="2" t="n"/>
    </row>
    <row r="321">
      <c r="A321" s="12" t="n"/>
      <c r="B321" s="12" t="n"/>
      <c r="C321" s="12" t="n"/>
      <c r="D321" s="4" t="n"/>
      <c r="E321" s="2" t="n"/>
      <c r="F321" s="12" t="n"/>
      <c r="G321" s="2" t="n"/>
      <c r="H321" s="14" t="n"/>
      <c r="I321" s="12" t="n"/>
      <c r="J321" s="12" t="n"/>
      <c r="K321" s="12" t="n"/>
      <c r="L321" s="12" t="n"/>
      <c r="M321" s="12" t="n"/>
      <c r="N321" s="2">
        <f>IF(A321="","",SUM(I321:M321))</f>
        <v/>
      </c>
      <c r="O321" s="12" t="n"/>
      <c r="P321" s="12" t="n"/>
      <c r="Q321" s="2" t="n"/>
      <c r="R321" s="2" t="n"/>
      <c r="S321" s="2" t="n"/>
      <c r="T321" s="5">
        <f>IF(A321="","",(COUNTA(A321:M321)+COUNTA(O321:S321))/18)</f>
        <v/>
      </c>
      <c r="U321" s="2" t="n"/>
    </row>
    <row r="322">
      <c r="A322" s="12" t="n"/>
      <c r="B322" s="12" t="n"/>
      <c r="C322" s="12" t="n"/>
      <c r="D322" s="4" t="n"/>
      <c r="E322" s="2" t="n"/>
      <c r="F322" s="12" t="n"/>
      <c r="G322" s="2" t="n"/>
      <c r="H322" s="14" t="n"/>
      <c r="I322" s="12" t="n"/>
      <c r="J322" s="12" t="n"/>
      <c r="K322" s="12" t="n"/>
      <c r="L322" s="12" t="n"/>
      <c r="M322" s="12" t="n"/>
      <c r="N322" s="2">
        <f>IF(A322="","",SUM(I322:M322))</f>
        <v/>
      </c>
      <c r="O322" s="12" t="n"/>
      <c r="P322" s="12" t="n"/>
      <c r="Q322" s="2" t="n"/>
      <c r="R322" s="2" t="n"/>
      <c r="S322" s="2" t="n"/>
      <c r="T322" s="5">
        <f>IF(A322="","",(COUNTA(A322:M322)+COUNTA(O322:S322))/18)</f>
        <v/>
      </c>
      <c r="U322" s="2" t="n"/>
    </row>
    <row r="323">
      <c r="A323" s="12" t="n"/>
      <c r="B323" s="12" t="n"/>
      <c r="C323" s="12" t="n"/>
      <c r="D323" s="4" t="n"/>
      <c r="E323" s="2" t="n"/>
      <c r="F323" s="12" t="n"/>
      <c r="G323" s="2" t="n"/>
      <c r="H323" s="14" t="n"/>
      <c r="I323" s="12" t="n"/>
      <c r="J323" s="12" t="n"/>
      <c r="K323" s="12" t="n"/>
      <c r="L323" s="12" t="n"/>
      <c r="M323" s="12" t="n"/>
      <c r="N323" s="2">
        <f>IF(A323="","",SUM(I323:M323))</f>
        <v/>
      </c>
      <c r="O323" s="12" t="n"/>
      <c r="P323" s="12" t="n"/>
      <c r="Q323" s="2" t="n"/>
      <c r="R323" s="2" t="n"/>
      <c r="S323" s="2" t="n"/>
      <c r="T323" s="5">
        <f>IF(A323="","",(COUNTA(A323:M323)+COUNTA(O323:S323))/18)</f>
        <v/>
      </c>
      <c r="U323" s="2" t="n"/>
    </row>
    <row r="324">
      <c r="A324" s="12" t="n"/>
      <c r="B324" s="12" t="n"/>
      <c r="C324" s="12" t="n"/>
      <c r="D324" s="4" t="n"/>
      <c r="E324" s="2" t="n"/>
      <c r="F324" s="12" t="n"/>
      <c r="G324" s="2" t="n"/>
      <c r="H324" s="14" t="n"/>
      <c r="I324" s="12" t="n"/>
      <c r="J324" s="12" t="n"/>
      <c r="K324" s="12" t="n"/>
      <c r="L324" s="12" t="n"/>
      <c r="M324" s="12" t="n"/>
      <c r="N324" s="2">
        <f>IF(A324="","",SUM(I324:M324))</f>
        <v/>
      </c>
      <c r="O324" s="12" t="n"/>
      <c r="P324" s="12" t="n"/>
      <c r="Q324" s="2" t="n"/>
      <c r="R324" s="2" t="n"/>
      <c r="S324" s="2" t="n"/>
      <c r="T324" s="5">
        <f>IF(A324="","",(COUNTA(A324:M324)+COUNTA(O324:S324))/18)</f>
        <v/>
      </c>
      <c r="U324" s="2" t="n"/>
    </row>
    <row r="325">
      <c r="A325" s="12" t="n"/>
      <c r="B325" s="12" t="n"/>
      <c r="C325" s="12" t="n"/>
      <c r="D325" s="4" t="n"/>
      <c r="E325" s="2" t="n"/>
      <c r="F325" s="12" t="n"/>
      <c r="G325" s="2" t="n"/>
      <c r="H325" s="14" t="n"/>
      <c r="I325" s="12" t="n"/>
      <c r="J325" s="12" t="n"/>
      <c r="K325" s="12" t="n"/>
      <c r="L325" s="12" t="n"/>
      <c r="M325" s="12" t="n"/>
      <c r="N325" s="2">
        <f>IF(A325="","",SUM(I325:M325))</f>
        <v/>
      </c>
      <c r="O325" s="12" t="n"/>
      <c r="P325" s="12" t="n"/>
      <c r="Q325" s="2" t="n"/>
      <c r="R325" s="2" t="n"/>
      <c r="S325" s="2" t="n"/>
      <c r="T325" s="5">
        <f>IF(A325="","",(COUNTA(A325:M325)+COUNTA(O325:S325))/18)</f>
        <v/>
      </c>
      <c r="U325" s="2" t="n"/>
    </row>
    <row r="326">
      <c r="A326" s="12" t="n"/>
      <c r="B326" s="12" t="n"/>
      <c r="C326" s="12" t="n"/>
      <c r="D326" s="4" t="n"/>
      <c r="E326" s="2" t="n"/>
      <c r="F326" s="12" t="n"/>
      <c r="G326" s="2" t="n"/>
      <c r="H326" s="14" t="n"/>
      <c r="I326" s="12" t="n"/>
      <c r="J326" s="12" t="n"/>
      <c r="K326" s="12" t="n"/>
      <c r="L326" s="12" t="n"/>
      <c r="M326" s="12" t="n"/>
      <c r="N326" s="2">
        <f>IF(A326="","",SUM(I326:M326))</f>
        <v/>
      </c>
      <c r="O326" s="12" t="n"/>
      <c r="P326" s="12" t="n"/>
      <c r="Q326" s="2" t="n"/>
      <c r="R326" s="2" t="n"/>
      <c r="S326" s="2" t="n"/>
      <c r="T326" s="5">
        <f>IF(A326="","",(COUNTA(A326:M326)+COUNTA(O326:S326))/18)</f>
        <v/>
      </c>
      <c r="U326" s="2" t="n"/>
    </row>
    <row r="327">
      <c r="A327" s="12" t="n"/>
      <c r="B327" s="12" t="n"/>
      <c r="C327" s="12" t="n"/>
      <c r="D327" s="4" t="n"/>
      <c r="E327" s="2" t="n"/>
      <c r="F327" s="12" t="n"/>
      <c r="G327" s="2" t="n"/>
      <c r="H327" s="14" t="n"/>
      <c r="I327" s="12" t="n"/>
      <c r="J327" s="12" t="n"/>
      <c r="K327" s="12" t="n"/>
      <c r="L327" s="12" t="n"/>
      <c r="M327" s="12" t="n"/>
      <c r="N327" s="2">
        <f>IF(A327="","",SUM(I327:M327))</f>
        <v/>
      </c>
      <c r="O327" s="12" t="n"/>
      <c r="P327" s="12" t="n"/>
      <c r="Q327" s="2" t="n"/>
      <c r="R327" s="2" t="n"/>
      <c r="S327" s="2" t="n"/>
      <c r="T327" s="5">
        <f>IF(A327="","",(COUNTA(A327:M327)+COUNTA(O327:S327))/18)</f>
        <v/>
      </c>
      <c r="U327" s="2" t="n"/>
    </row>
    <row r="328">
      <c r="A328" s="12" t="n"/>
      <c r="B328" s="12" t="n"/>
      <c r="C328" s="12" t="n"/>
      <c r="D328" s="4" t="n"/>
      <c r="E328" s="2" t="n"/>
      <c r="F328" s="12" t="n"/>
      <c r="G328" s="2" t="n"/>
      <c r="H328" s="14" t="n"/>
      <c r="I328" s="12" t="n"/>
      <c r="J328" s="12" t="n"/>
      <c r="K328" s="12" t="n"/>
      <c r="L328" s="12" t="n"/>
      <c r="M328" s="12" t="n"/>
      <c r="N328" s="2">
        <f>IF(A328="","",SUM(I328:M328))</f>
        <v/>
      </c>
      <c r="O328" s="12" t="n"/>
      <c r="P328" s="12" t="n"/>
      <c r="Q328" s="2" t="n"/>
      <c r="R328" s="2" t="n"/>
      <c r="S328" s="2" t="n"/>
      <c r="T328" s="5">
        <f>IF(A328="","",(COUNTA(A328:M328)+COUNTA(O328:S328))/18)</f>
        <v/>
      </c>
      <c r="U328" s="2" t="n"/>
    </row>
    <row r="329">
      <c r="A329" s="12" t="n"/>
      <c r="B329" s="12" t="n"/>
      <c r="C329" s="12" t="n"/>
      <c r="D329" s="4" t="n"/>
      <c r="E329" s="2" t="n"/>
      <c r="F329" s="12" t="n"/>
      <c r="G329" s="2" t="n"/>
      <c r="H329" s="14" t="n"/>
      <c r="I329" s="12" t="n"/>
      <c r="J329" s="12" t="n"/>
      <c r="K329" s="12" t="n"/>
      <c r="L329" s="12" t="n"/>
      <c r="M329" s="12" t="n"/>
      <c r="N329" s="2">
        <f>IF(A329="","",SUM(I329:M329))</f>
        <v/>
      </c>
      <c r="O329" s="12" t="n"/>
      <c r="P329" s="12" t="n"/>
      <c r="Q329" s="2" t="n"/>
      <c r="R329" s="2" t="n"/>
      <c r="S329" s="2" t="n"/>
      <c r="T329" s="5">
        <f>IF(A329="","",(COUNTA(A329:M329)+COUNTA(O329:S329))/18)</f>
        <v/>
      </c>
      <c r="U329" s="2" t="n"/>
    </row>
    <row r="330">
      <c r="A330" s="12" t="n"/>
      <c r="B330" s="12" t="n"/>
      <c r="C330" s="12" t="n"/>
      <c r="D330" s="4" t="n"/>
      <c r="E330" s="2" t="n"/>
      <c r="F330" s="12" t="n"/>
      <c r="G330" s="2" t="n"/>
      <c r="H330" s="14" t="n"/>
      <c r="I330" s="12" t="n"/>
      <c r="J330" s="12" t="n"/>
      <c r="K330" s="12" t="n"/>
      <c r="L330" s="12" t="n"/>
      <c r="M330" s="12" t="n"/>
      <c r="N330" s="2">
        <f>IF(A330="","",SUM(I330:M330))</f>
        <v/>
      </c>
      <c r="O330" s="12" t="n"/>
      <c r="P330" s="12" t="n"/>
      <c r="Q330" s="2" t="n"/>
      <c r="R330" s="2" t="n"/>
      <c r="S330" s="2" t="n"/>
      <c r="T330" s="5">
        <f>IF(A330="","",(COUNTA(A330:M330)+COUNTA(O330:S330))/18)</f>
        <v/>
      </c>
      <c r="U330" s="2" t="n"/>
    </row>
    <row r="331">
      <c r="A331" s="12" t="n"/>
      <c r="B331" s="12" t="n"/>
      <c r="C331" s="12" t="n"/>
      <c r="D331" s="4" t="n"/>
      <c r="E331" s="2" t="n"/>
      <c r="F331" s="12" t="n"/>
      <c r="G331" s="2" t="n"/>
      <c r="H331" s="14" t="n"/>
      <c r="I331" s="12" t="n"/>
      <c r="J331" s="12" t="n"/>
      <c r="K331" s="12" t="n"/>
      <c r="L331" s="12" t="n"/>
      <c r="M331" s="12" t="n"/>
      <c r="N331" s="2">
        <f>IF(A331="","",SUM(I331:M331))</f>
        <v/>
      </c>
      <c r="O331" s="12" t="n"/>
      <c r="P331" s="12" t="n"/>
      <c r="Q331" s="2" t="n"/>
      <c r="R331" s="2" t="n"/>
      <c r="S331" s="2" t="n"/>
      <c r="T331" s="5">
        <f>IF(A331="","",(COUNTA(A331:M331)+COUNTA(O331:S331))/18)</f>
        <v/>
      </c>
      <c r="U331" s="2" t="n"/>
    </row>
    <row r="332">
      <c r="A332" s="12" t="n"/>
      <c r="B332" s="12" t="n"/>
      <c r="C332" s="12" t="n"/>
      <c r="D332" s="4" t="n"/>
      <c r="E332" s="2" t="n"/>
      <c r="F332" s="12" t="n"/>
      <c r="G332" s="2" t="n"/>
      <c r="H332" s="14" t="n"/>
      <c r="I332" s="12" t="n"/>
      <c r="J332" s="12" t="n"/>
      <c r="K332" s="12" t="n"/>
      <c r="L332" s="12" t="n"/>
      <c r="M332" s="12" t="n"/>
      <c r="N332" s="2">
        <f>IF(A332="","",SUM(I332:M332))</f>
        <v/>
      </c>
      <c r="O332" s="12" t="n"/>
      <c r="P332" s="12" t="n"/>
      <c r="Q332" s="2" t="n"/>
      <c r="R332" s="2" t="n"/>
      <c r="S332" s="2" t="n"/>
      <c r="T332" s="5">
        <f>IF(A332="","",(COUNTA(A332:M332)+COUNTA(O332:S332))/18)</f>
        <v/>
      </c>
      <c r="U332" s="2" t="n"/>
    </row>
    <row r="333">
      <c r="A333" s="12" t="n"/>
      <c r="B333" s="12" t="n"/>
      <c r="C333" s="12" t="n"/>
      <c r="D333" s="4" t="n"/>
      <c r="E333" s="2" t="n"/>
      <c r="F333" s="12" t="n"/>
      <c r="G333" s="2" t="n"/>
      <c r="H333" s="14" t="n"/>
      <c r="I333" s="12" t="n"/>
      <c r="J333" s="12" t="n"/>
      <c r="K333" s="12" t="n"/>
      <c r="L333" s="12" t="n"/>
      <c r="M333" s="12" t="n"/>
      <c r="N333" s="2">
        <f>IF(A333="","",SUM(I333:M333))</f>
        <v/>
      </c>
      <c r="O333" s="12" t="n"/>
      <c r="P333" s="12" t="n"/>
      <c r="Q333" s="2" t="n"/>
      <c r="R333" s="2" t="n"/>
      <c r="S333" s="2" t="n"/>
      <c r="T333" s="5">
        <f>IF(A333="","",(COUNTA(A333:M333)+COUNTA(O333:S333))/18)</f>
        <v/>
      </c>
      <c r="U333" s="2" t="n"/>
    </row>
    <row r="334">
      <c r="A334" s="12" t="n"/>
      <c r="B334" s="12" t="n"/>
      <c r="C334" s="12" t="n"/>
      <c r="D334" s="4" t="n"/>
      <c r="E334" s="2" t="n"/>
      <c r="F334" s="12" t="n"/>
      <c r="G334" s="2" t="n"/>
      <c r="H334" s="14" t="n"/>
      <c r="I334" s="12" t="n"/>
      <c r="J334" s="12" t="n"/>
      <c r="K334" s="12" t="n"/>
      <c r="L334" s="12" t="n"/>
      <c r="M334" s="12" t="n"/>
      <c r="N334" s="2">
        <f>IF(A334="","",SUM(I334:M334))</f>
        <v/>
      </c>
      <c r="O334" s="12" t="n"/>
      <c r="P334" s="12" t="n"/>
      <c r="Q334" s="2" t="n"/>
      <c r="R334" s="2" t="n"/>
      <c r="S334" s="2" t="n"/>
      <c r="T334" s="5">
        <f>IF(A334="","",(COUNTA(A334:M334)+COUNTA(O334:S334))/18)</f>
        <v/>
      </c>
      <c r="U334" s="2" t="n"/>
    </row>
    <row r="335">
      <c r="A335" s="12" t="n"/>
      <c r="B335" s="12" t="n"/>
      <c r="C335" s="12" t="n"/>
      <c r="D335" s="4" t="n"/>
      <c r="E335" s="2" t="n"/>
      <c r="F335" s="12" t="n"/>
      <c r="G335" s="2" t="n"/>
      <c r="H335" s="14" t="n"/>
      <c r="I335" s="12" t="n"/>
      <c r="J335" s="12" t="n"/>
      <c r="K335" s="12" t="n"/>
      <c r="L335" s="12" t="n"/>
      <c r="M335" s="12" t="n"/>
      <c r="N335" s="2">
        <f>IF(A335="","",SUM(I335:M335))</f>
        <v/>
      </c>
      <c r="O335" s="12" t="n"/>
      <c r="P335" s="12" t="n"/>
      <c r="Q335" s="2" t="n"/>
      <c r="R335" s="2" t="n"/>
      <c r="S335" s="2" t="n"/>
      <c r="T335" s="5">
        <f>IF(A335="","",(COUNTA(A335:M335)+COUNTA(O335:S335))/18)</f>
        <v/>
      </c>
      <c r="U335" s="2" t="n"/>
    </row>
    <row r="336">
      <c r="A336" s="12" t="n"/>
      <c r="B336" s="12" t="n"/>
      <c r="C336" s="12" t="n"/>
      <c r="D336" s="4" t="n"/>
      <c r="E336" s="2" t="n"/>
      <c r="F336" s="12" t="n"/>
      <c r="G336" s="2" t="n"/>
      <c r="H336" s="14" t="n"/>
      <c r="I336" s="12" t="n"/>
      <c r="J336" s="12" t="n"/>
      <c r="K336" s="12" t="n"/>
      <c r="L336" s="12" t="n"/>
      <c r="M336" s="12" t="n"/>
      <c r="N336" s="2">
        <f>IF(A336="","",SUM(I336:M336))</f>
        <v/>
      </c>
      <c r="O336" s="12" t="n"/>
      <c r="P336" s="12" t="n"/>
      <c r="Q336" s="2" t="n"/>
      <c r="R336" s="2" t="n"/>
      <c r="S336" s="2" t="n"/>
      <c r="T336" s="5">
        <f>IF(A336="","",(COUNTA(A336:M336)+COUNTA(O336:S336))/18)</f>
        <v/>
      </c>
      <c r="U336" s="2" t="n"/>
    </row>
    <row r="337">
      <c r="A337" s="12" t="n"/>
      <c r="B337" s="12" t="n"/>
      <c r="C337" s="12" t="n"/>
      <c r="D337" s="4" t="n"/>
      <c r="E337" s="2" t="n"/>
      <c r="F337" s="12" t="n"/>
      <c r="G337" s="2" t="n"/>
      <c r="H337" s="14" t="n"/>
      <c r="I337" s="12" t="n"/>
      <c r="J337" s="12" t="n"/>
      <c r="K337" s="12" t="n"/>
      <c r="L337" s="12" t="n"/>
      <c r="M337" s="12" t="n"/>
      <c r="N337" s="2">
        <f>IF(A337="","",SUM(I337:M337))</f>
        <v/>
      </c>
      <c r="O337" s="12" t="n"/>
      <c r="P337" s="12" t="n"/>
      <c r="Q337" s="2" t="n"/>
      <c r="R337" s="2" t="n"/>
      <c r="S337" s="2" t="n"/>
      <c r="T337" s="5">
        <f>IF(A337="","",(COUNTA(A337:M337)+COUNTA(O337:S337))/18)</f>
        <v/>
      </c>
      <c r="U337" s="2" t="n"/>
    </row>
    <row r="338">
      <c r="A338" s="12" t="n"/>
      <c r="B338" s="12" t="n"/>
      <c r="C338" s="12" t="n"/>
      <c r="D338" s="4" t="n"/>
      <c r="E338" s="2" t="n"/>
      <c r="F338" s="12" t="n"/>
      <c r="G338" s="2" t="n"/>
      <c r="H338" s="14" t="n"/>
      <c r="I338" s="12" t="n"/>
      <c r="J338" s="12" t="n"/>
      <c r="K338" s="12" t="n"/>
      <c r="L338" s="12" t="n"/>
      <c r="M338" s="12" t="n"/>
      <c r="N338" s="2">
        <f>IF(A338="","",SUM(I338:M338))</f>
        <v/>
      </c>
      <c r="O338" s="12" t="n"/>
      <c r="P338" s="12" t="n"/>
      <c r="Q338" s="2" t="n"/>
      <c r="R338" s="2" t="n"/>
      <c r="S338" s="2" t="n"/>
      <c r="T338" s="5">
        <f>IF(A338="","",(COUNTA(A338:M338)+COUNTA(O338:S338))/18)</f>
        <v/>
      </c>
      <c r="U338" s="2" t="n"/>
    </row>
    <row r="339">
      <c r="A339" s="12" t="n"/>
      <c r="B339" s="12" t="n"/>
      <c r="C339" s="12" t="n"/>
      <c r="D339" s="4" t="n"/>
      <c r="E339" s="2" t="n"/>
      <c r="F339" s="12" t="n"/>
      <c r="G339" s="2" t="n"/>
      <c r="H339" s="14" t="n"/>
      <c r="I339" s="12" t="n"/>
      <c r="J339" s="12" t="n"/>
      <c r="K339" s="12" t="n"/>
      <c r="L339" s="12" t="n"/>
      <c r="M339" s="12" t="n"/>
      <c r="N339" s="2">
        <f>IF(A339="","",SUM(I339:M339))</f>
        <v/>
      </c>
      <c r="O339" s="12" t="n"/>
      <c r="P339" s="12" t="n"/>
      <c r="Q339" s="2" t="n"/>
      <c r="R339" s="2" t="n"/>
      <c r="S339" s="2" t="n"/>
      <c r="T339" s="5">
        <f>IF(A339="","",(COUNTA(A339:M339)+COUNTA(O339:S339))/18)</f>
        <v/>
      </c>
      <c r="U339" s="2" t="n"/>
    </row>
    <row r="340">
      <c r="A340" s="12" t="n"/>
      <c r="B340" s="12" t="n"/>
      <c r="C340" s="12" t="n"/>
      <c r="D340" s="4" t="n"/>
      <c r="E340" s="2" t="n"/>
      <c r="F340" s="12" t="n"/>
      <c r="G340" s="2" t="n"/>
      <c r="H340" s="14" t="n"/>
      <c r="I340" s="12" t="n"/>
      <c r="J340" s="12" t="n"/>
      <c r="K340" s="12" t="n"/>
      <c r="L340" s="12" t="n"/>
      <c r="M340" s="12" t="n"/>
      <c r="N340" s="2">
        <f>IF(A340="","",SUM(I340:M340))</f>
        <v/>
      </c>
      <c r="O340" s="12" t="n"/>
      <c r="P340" s="12" t="n"/>
      <c r="Q340" s="2" t="n"/>
      <c r="R340" s="2" t="n"/>
      <c r="S340" s="2" t="n"/>
      <c r="T340" s="5">
        <f>IF(A340="","",(COUNTA(A340:M340)+COUNTA(O340:S340))/18)</f>
        <v/>
      </c>
      <c r="U340" s="2" t="n"/>
    </row>
    <row r="341">
      <c r="A341" s="12" t="n"/>
      <c r="B341" s="12" t="n"/>
      <c r="C341" s="12" t="n"/>
      <c r="D341" s="4" t="n"/>
      <c r="E341" s="2" t="n"/>
      <c r="F341" s="12" t="n"/>
      <c r="G341" s="2" t="n"/>
      <c r="H341" s="14" t="n"/>
      <c r="I341" s="12" t="n"/>
      <c r="J341" s="12" t="n"/>
      <c r="K341" s="12" t="n"/>
      <c r="L341" s="12" t="n"/>
      <c r="M341" s="12" t="n"/>
      <c r="N341" s="2">
        <f>IF(A341="","",SUM(I341:M341))</f>
        <v/>
      </c>
      <c r="O341" s="12" t="n"/>
      <c r="P341" s="12" t="n"/>
      <c r="Q341" s="2" t="n"/>
      <c r="R341" s="2" t="n"/>
      <c r="S341" s="2" t="n"/>
      <c r="T341" s="5">
        <f>IF(A341="","",(COUNTA(A341:M341)+COUNTA(O341:S341))/18)</f>
        <v/>
      </c>
      <c r="U341" s="2" t="n"/>
    </row>
    <row r="342">
      <c r="A342" s="12" t="n"/>
      <c r="B342" s="12" t="n"/>
      <c r="C342" s="12" t="n"/>
      <c r="D342" s="4" t="n"/>
      <c r="E342" s="2" t="n"/>
      <c r="F342" s="12" t="n"/>
      <c r="G342" s="2" t="n"/>
      <c r="H342" s="14" t="n"/>
      <c r="I342" s="12" t="n"/>
      <c r="J342" s="12" t="n"/>
      <c r="K342" s="12" t="n"/>
      <c r="L342" s="12" t="n"/>
      <c r="M342" s="12" t="n"/>
      <c r="N342" s="2">
        <f>IF(A342="","",SUM(I342:M342))</f>
        <v/>
      </c>
      <c r="O342" s="12" t="n"/>
      <c r="P342" s="12" t="n"/>
      <c r="Q342" s="2" t="n"/>
      <c r="R342" s="2" t="n"/>
      <c r="S342" s="2" t="n"/>
      <c r="T342" s="5">
        <f>IF(A342="","",(COUNTA(A342:M342)+COUNTA(O342:S342))/18)</f>
        <v/>
      </c>
      <c r="U342" s="2" t="n"/>
    </row>
    <row r="343">
      <c r="A343" s="12" t="n"/>
      <c r="B343" s="12" t="n"/>
      <c r="C343" s="12" t="n"/>
      <c r="D343" s="4" t="n"/>
      <c r="E343" s="2" t="n"/>
      <c r="F343" s="12" t="n"/>
      <c r="G343" s="2" t="n"/>
      <c r="H343" s="14" t="n"/>
      <c r="I343" s="12" t="n"/>
      <c r="J343" s="12" t="n"/>
      <c r="K343" s="12" t="n"/>
      <c r="L343" s="12" t="n"/>
      <c r="M343" s="12" t="n"/>
      <c r="N343" s="2">
        <f>IF(A343="","",SUM(I343:M343))</f>
        <v/>
      </c>
      <c r="O343" s="12" t="n"/>
      <c r="P343" s="12" t="n"/>
      <c r="Q343" s="2" t="n"/>
      <c r="R343" s="2" t="n"/>
      <c r="S343" s="2" t="n"/>
      <c r="T343" s="5">
        <f>IF(A343="","",(COUNTA(A343:M343)+COUNTA(O343:S343))/18)</f>
        <v/>
      </c>
      <c r="U343" s="2" t="n"/>
    </row>
    <row r="344">
      <c r="A344" s="12" t="n"/>
      <c r="B344" s="12" t="n"/>
      <c r="C344" s="12" t="n"/>
      <c r="D344" s="4" t="n"/>
      <c r="E344" s="2" t="n"/>
      <c r="F344" s="12" t="n"/>
      <c r="G344" s="2" t="n"/>
      <c r="H344" s="14" t="n"/>
      <c r="I344" s="12" t="n"/>
      <c r="J344" s="12" t="n"/>
      <c r="K344" s="12" t="n"/>
      <c r="L344" s="12" t="n"/>
      <c r="M344" s="12" t="n"/>
      <c r="N344" s="2">
        <f>IF(A344="","",SUM(I344:M344))</f>
        <v/>
      </c>
      <c r="O344" s="12" t="n"/>
      <c r="P344" s="12" t="n"/>
      <c r="Q344" s="2" t="n"/>
      <c r="R344" s="2" t="n"/>
      <c r="S344" s="2" t="n"/>
      <c r="T344" s="5">
        <f>IF(A344="","",(COUNTA(A344:M344)+COUNTA(O344:S344))/18)</f>
        <v/>
      </c>
      <c r="U344" s="2" t="n"/>
    </row>
    <row r="345">
      <c r="A345" s="12" t="n"/>
      <c r="B345" s="12" t="n"/>
      <c r="C345" s="12" t="n"/>
      <c r="D345" s="4" t="n"/>
      <c r="E345" s="2" t="n"/>
      <c r="F345" s="12" t="n"/>
      <c r="G345" s="2" t="n"/>
      <c r="H345" s="14" t="n"/>
      <c r="I345" s="12" t="n"/>
      <c r="J345" s="12" t="n"/>
      <c r="K345" s="12" t="n"/>
      <c r="L345" s="12" t="n"/>
      <c r="M345" s="12" t="n"/>
      <c r="N345" s="2">
        <f>IF(A345="","",SUM(I345:M345))</f>
        <v/>
      </c>
      <c r="O345" s="12" t="n"/>
      <c r="P345" s="12" t="n"/>
      <c r="Q345" s="2" t="n"/>
      <c r="R345" s="2" t="n"/>
      <c r="S345" s="2" t="n"/>
      <c r="T345" s="5">
        <f>IF(A345="","",(COUNTA(A345:M345)+COUNTA(O345:S345))/18)</f>
        <v/>
      </c>
      <c r="U345" s="2" t="n"/>
    </row>
    <row r="346">
      <c r="A346" s="12" t="n"/>
      <c r="B346" s="12" t="n"/>
      <c r="C346" s="12" t="n"/>
      <c r="D346" s="4" t="n"/>
      <c r="E346" s="2" t="n"/>
      <c r="F346" s="12" t="n"/>
      <c r="G346" s="2" t="n"/>
      <c r="H346" s="14" t="n"/>
      <c r="I346" s="12" t="n"/>
      <c r="J346" s="12" t="n"/>
      <c r="K346" s="12" t="n"/>
      <c r="L346" s="12" t="n"/>
      <c r="M346" s="12" t="n"/>
      <c r="N346" s="2">
        <f>IF(A346="","",SUM(I346:M346))</f>
        <v/>
      </c>
      <c r="O346" s="12" t="n"/>
      <c r="P346" s="12" t="n"/>
      <c r="Q346" s="2" t="n"/>
      <c r="R346" s="2" t="n"/>
      <c r="S346" s="2" t="n"/>
      <c r="T346" s="5">
        <f>IF(A346="","",(COUNTA(A346:M346)+COUNTA(O346:S346))/18)</f>
        <v/>
      </c>
      <c r="U346" s="2" t="n"/>
    </row>
    <row r="347">
      <c r="A347" s="12" t="n"/>
      <c r="B347" s="12" t="n"/>
      <c r="C347" s="12" t="n"/>
      <c r="D347" s="4" t="n"/>
      <c r="E347" s="2" t="n"/>
      <c r="F347" s="12" t="n"/>
      <c r="G347" s="2" t="n"/>
      <c r="H347" s="14" t="n"/>
      <c r="I347" s="12" t="n"/>
      <c r="J347" s="12" t="n"/>
      <c r="K347" s="12" t="n"/>
      <c r="L347" s="12" t="n"/>
      <c r="M347" s="12" t="n"/>
      <c r="N347" s="2">
        <f>IF(A347="","",SUM(I347:M347))</f>
        <v/>
      </c>
      <c r="O347" s="12" t="n"/>
      <c r="P347" s="12" t="n"/>
      <c r="Q347" s="2" t="n"/>
      <c r="R347" s="2" t="n"/>
      <c r="S347" s="2" t="n"/>
      <c r="T347" s="5">
        <f>IF(A347="","",(COUNTA(A347:M347)+COUNTA(O347:S347))/18)</f>
        <v/>
      </c>
      <c r="U347" s="2" t="n"/>
    </row>
    <row r="348">
      <c r="A348" s="12" t="n"/>
      <c r="B348" s="12" t="n"/>
      <c r="C348" s="12" t="n"/>
      <c r="D348" s="4" t="n"/>
      <c r="E348" s="2" t="n"/>
      <c r="F348" s="12" t="n"/>
      <c r="G348" s="2" t="n"/>
      <c r="H348" s="14" t="n"/>
      <c r="I348" s="12" t="n"/>
      <c r="J348" s="12" t="n"/>
      <c r="K348" s="12" t="n"/>
      <c r="L348" s="12" t="n"/>
      <c r="M348" s="12" t="n"/>
      <c r="N348" s="2">
        <f>IF(A348="","",SUM(I348:M348))</f>
        <v/>
      </c>
      <c r="O348" s="12" t="n"/>
      <c r="P348" s="12" t="n"/>
      <c r="Q348" s="2" t="n"/>
      <c r="R348" s="2" t="n"/>
      <c r="S348" s="2" t="n"/>
      <c r="T348" s="5">
        <f>IF(A348="","",(COUNTA(A348:M348)+COUNTA(O348:S348))/18)</f>
        <v/>
      </c>
      <c r="U348" s="2" t="n"/>
    </row>
    <row r="349">
      <c r="A349" s="12" t="n"/>
      <c r="B349" s="12" t="n"/>
      <c r="C349" s="12" t="n"/>
      <c r="D349" s="4" t="n"/>
      <c r="E349" s="2" t="n"/>
      <c r="F349" s="12" t="n"/>
      <c r="G349" s="2" t="n"/>
      <c r="H349" s="14" t="n"/>
      <c r="I349" s="12" t="n"/>
      <c r="J349" s="12" t="n"/>
      <c r="K349" s="12" t="n"/>
      <c r="L349" s="12" t="n"/>
      <c r="M349" s="12" t="n"/>
      <c r="N349" s="2">
        <f>IF(A349="","",SUM(I349:M349))</f>
        <v/>
      </c>
      <c r="O349" s="12" t="n"/>
      <c r="P349" s="12" t="n"/>
      <c r="Q349" s="2" t="n"/>
      <c r="R349" s="2" t="n"/>
      <c r="S349" s="2" t="n"/>
      <c r="T349" s="5">
        <f>IF(A349="","",(COUNTA(A349:M349)+COUNTA(O349:S349))/18)</f>
        <v/>
      </c>
      <c r="U349" s="2" t="n"/>
    </row>
    <row r="350">
      <c r="A350" s="12" t="n"/>
      <c r="B350" s="12" t="n"/>
      <c r="C350" s="12" t="n"/>
      <c r="D350" s="4" t="n"/>
      <c r="E350" s="2" t="n"/>
      <c r="F350" s="12" t="n"/>
      <c r="G350" s="2" t="n"/>
      <c r="H350" s="14" t="n"/>
      <c r="I350" s="12" t="n"/>
      <c r="J350" s="12" t="n"/>
      <c r="K350" s="12" t="n"/>
      <c r="L350" s="12" t="n"/>
      <c r="M350" s="12" t="n"/>
      <c r="N350" s="2">
        <f>IF(A350="","",SUM(I350:M350))</f>
        <v/>
      </c>
      <c r="O350" s="12" t="n"/>
      <c r="P350" s="12" t="n"/>
      <c r="Q350" s="2" t="n"/>
      <c r="R350" s="2" t="n"/>
      <c r="S350" s="2" t="n"/>
      <c r="T350" s="5">
        <f>IF(A350="","",(COUNTA(A350:M350)+COUNTA(O350:S350))/18)</f>
        <v/>
      </c>
      <c r="U350" s="2" t="n"/>
    </row>
    <row r="351">
      <c r="A351" s="12" t="n"/>
      <c r="B351" s="12" t="n"/>
      <c r="C351" s="12" t="n"/>
      <c r="D351" s="4" t="n"/>
      <c r="E351" s="2" t="n"/>
      <c r="F351" s="12" t="n"/>
      <c r="G351" s="2" t="n"/>
      <c r="H351" s="14" t="n"/>
      <c r="I351" s="12" t="n"/>
      <c r="J351" s="12" t="n"/>
      <c r="K351" s="12" t="n"/>
      <c r="L351" s="12" t="n"/>
      <c r="M351" s="12" t="n"/>
      <c r="N351" s="2">
        <f>IF(A351="","",SUM(I351:M351))</f>
        <v/>
      </c>
      <c r="O351" s="12" t="n"/>
      <c r="P351" s="12" t="n"/>
      <c r="Q351" s="2" t="n"/>
      <c r="R351" s="2" t="n"/>
      <c r="S351" s="2" t="n"/>
      <c r="T351" s="5">
        <f>IF(A351="","",(COUNTA(A351:M351)+COUNTA(O351:S351))/18)</f>
        <v/>
      </c>
      <c r="U351" s="2" t="n"/>
    </row>
    <row r="352">
      <c r="A352" s="12" t="n"/>
      <c r="B352" s="12" t="n"/>
      <c r="C352" s="12" t="n"/>
      <c r="D352" s="4" t="n"/>
      <c r="E352" s="2" t="n"/>
      <c r="F352" s="12" t="n"/>
      <c r="G352" s="2" t="n"/>
      <c r="H352" s="14" t="n"/>
      <c r="I352" s="12" t="n"/>
      <c r="J352" s="12" t="n"/>
      <c r="K352" s="12" t="n"/>
      <c r="L352" s="12" t="n"/>
      <c r="M352" s="12" t="n"/>
      <c r="N352" s="2">
        <f>IF(A352="","",SUM(I352:M352))</f>
        <v/>
      </c>
      <c r="O352" s="12" t="n"/>
      <c r="P352" s="12" t="n"/>
      <c r="Q352" s="2" t="n"/>
      <c r="R352" s="2" t="n"/>
      <c r="S352" s="2" t="n"/>
      <c r="T352" s="5">
        <f>IF(A352="","",(COUNTA(A352:M352)+COUNTA(O352:S352))/18)</f>
        <v/>
      </c>
      <c r="U352" s="2" t="n"/>
    </row>
    <row r="353">
      <c r="A353" s="12" t="n"/>
      <c r="B353" s="12" t="n"/>
      <c r="C353" s="12" t="n"/>
      <c r="D353" s="4" t="n"/>
      <c r="E353" s="2" t="n"/>
      <c r="F353" s="12" t="n"/>
      <c r="G353" s="2" t="n"/>
      <c r="H353" s="14" t="n"/>
      <c r="I353" s="12" t="n"/>
      <c r="J353" s="12" t="n"/>
      <c r="K353" s="12" t="n"/>
      <c r="L353" s="12" t="n"/>
      <c r="M353" s="12" t="n"/>
      <c r="N353" s="2">
        <f>IF(A353="","",SUM(I353:M353))</f>
        <v/>
      </c>
      <c r="O353" s="12" t="n"/>
      <c r="P353" s="12" t="n"/>
      <c r="Q353" s="2" t="n"/>
      <c r="R353" s="2" t="n"/>
      <c r="S353" s="2" t="n"/>
      <c r="T353" s="5">
        <f>IF(A353="","",(COUNTA(A353:M353)+COUNTA(O353:S353))/18)</f>
        <v/>
      </c>
      <c r="U353" s="2" t="n"/>
    </row>
    <row r="354">
      <c r="A354" s="12" t="n"/>
      <c r="B354" s="12" t="n"/>
      <c r="C354" s="12" t="n"/>
      <c r="D354" s="4" t="n"/>
      <c r="E354" s="2" t="n"/>
      <c r="F354" s="12" t="n"/>
      <c r="G354" s="2" t="n"/>
      <c r="H354" s="14" t="n"/>
      <c r="I354" s="12" t="n"/>
      <c r="J354" s="12" t="n"/>
      <c r="K354" s="12" t="n"/>
      <c r="L354" s="12" t="n"/>
      <c r="M354" s="12" t="n"/>
      <c r="N354" s="2">
        <f>IF(A354="","",SUM(I354:M354))</f>
        <v/>
      </c>
      <c r="O354" s="12" t="n"/>
      <c r="P354" s="12" t="n"/>
      <c r="Q354" s="2" t="n"/>
      <c r="R354" s="2" t="n"/>
      <c r="S354" s="2" t="n"/>
      <c r="T354" s="5">
        <f>IF(A354="","",(COUNTA(A354:M354)+COUNTA(O354:S354))/18)</f>
        <v/>
      </c>
      <c r="U354" s="2" t="n"/>
    </row>
    <row r="355">
      <c r="A355" s="12" t="n"/>
      <c r="B355" s="12" t="n"/>
      <c r="C355" s="12" t="n"/>
      <c r="D355" s="4" t="n"/>
      <c r="E355" s="2" t="n"/>
      <c r="F355" s="12" t="n"/>
      <c r="G355" s="2" t="n"/>
      <c r="H355" s="14" t="n"/>
      <c r="I355" s="12" t="n"/>
      <c r="J355" s="12" t="n"/>
      <c r="K355" s="12" t="n"/>
      <c r="L355" s="12" t="n"/>
      <c r="M355" s="12" t="n"/>
      <c r="N355" s="2">
        <f>IF(A355="","",SUM(I355:M355))</f>
        <v/>
      </c>
      <c r="O355" s="12" t="n"/>
      <c r="P355" s="12" t="n"/>
      <c r="Q355" s="2" t="n"/>
      <c r="R355" s="2" t="n"/>
      <c r="S355" s="2" t="n"/>
      <c r="T355" s="5">
        <f>IF(A355="","",(COUNTA(A355:M355)+COUNTA(O355:S355))/18)</f>
        <v/>
      </c>
      <c r="U355" s="2" t="n"/>
    </row>
    <row r="356">
      <c r="A356" s="12" t="n"/>
      <c r="B356" s="12" t="n"/>
      <c r="C356" s="12" t="n"/>
      <c r="D356" s="4" t="n"/>
      <c r="E356" s="2" t="n"/>
      <c r="F356" s="12" t="n"/>
      <c r="G356" s="2" t="n"/>
      <c r="H356" s="14" t="n"/>
      <c r="I356" s="12" t="n"/>
      <c r="J356" s="12" t="n"/>
      <c r="K356" s="12" t="n"/>
      <c r="L356" s="12" t="n"/>
      <c r="M356" s="12" t="n"/>
      <c r="N356" s="2">
        <f>IF(A356="","",SUM(I356:M356))</f>
        <v/>
      </c>
      <c r="O356" s="12" t="n"/>
      <c r="P356" s="12" t="n"/>
      <c r="Q356" s="2" t="n"/>
      <c r="R356" s="2" t="n"/>
      <c r="S356" s="2" t="n"/>
      <c r="T356" s="5">
        <f>IF(A356="","",(COUNTA(A356:M356)+COUNTA(O356:S356))/18)</f>
        <v/>
      </c>
      <c r="U356" s="2" t="n"/>
    </row>
    <row r="357">
      <c r="A357" s="12" t="n"/>
      <c r="B357" s="12" t="n"/>
      <c r="C357" s="12" t="n"/>
      <c r="D357" s="4" t="n"/>
      <c r="E357" s="2" t="n"/>
      <c r="F357" s="12" t="n"/>
      <c r="G357" s="2" t="n"/>
      <c r="H357" s="14" t="n"/>
      <c r="I357" s="12" t="n"/>
      <c r="J357" s="12" t="n"/>
      <c r="K357" s="12" t="n"/>
      <c r="L357" s="12" t="n"/>
      <c r="M357" s="12" t="n"/>
      <c r="N357" s="2">
        <f>IF(A357="","",SUM(I357:M357))</f>
        <v/>
      </c>
      <c r="O357" s="12" t="n"/>
      <c r="P357" s="12" t="n"/>
      <c r="Q357" s="2" t="n"/>
      <c r="R357" s="2" t="n"/>
      <c r="S357" s="2" t="n"/>
      <c r="T357" s="5">
        <f>IF(A357="","",(COUNTA(A357:M357)+COUNTA(O357:S357))/18)</f>
        <v/>
      </c>
      <c r="U357" s="2" t="n"/>
    </row>
    <row r="358">
      <c r="A358" s="12" t="n"/>
      <c r="B358" s="12" t="n"/>
      <c r="C358" s="12" t="n"/>
      <c r="D358" s="4" t="n"/>
      <c r="E358" s="2" t="n"/>
      <c r="F358" s="12" t="n"/>
      <c r="G358" s="2" t="n"/>
      <c r="H358" s="14" t="n"/>
      <c r="I358" s="12" t="n"/>
      <c r="J358" s="12" t="n"/>
      <c r="K358" s="12" t="n"/>
      <c r="L358" s="12" t="n"/>
      <c r="M358" s="12" t="n"/>
      <c r="N358" s="2">
        <f>IF(A358="","",SUM(I358:M358))</f>
        <v/>
      </c>
      <c r="O358" s="12" t="n"/>
      <c r="P358" s="12" t="n"/>
      <c r="Q358" s="2" t="n"/>
      <c r="R358" s="2" t="n"/>
      <c r="S358" s="2" t="n"/>
      <c r="T358" s="5">
        <f>IF(A358="","",(COUNTA(A358:M358)+COUNTA(O358:S358))/18)</f>
        <v/>
      </c>
      <c r="U358" s="2" t="n"/>
    </row>
    <row r="359">
      <c r="A359" s="12" t="n"/>
      <c r="B359" s="12" t="n"/>
      <c r="C359" s="12" t="n"/>
      <c r="D359" s="4" t="n"/>
      <c r="E359" s="2" t="n"/>
      <c r="F359" s="12" t="n"/>
      <c r="G359" s="2" t="n"/>
      <c r="H359" s="14" t="n"/>
      <c r="I359" s="12" t="n"/>
      <c r="J359" s="12" t="n"/>
      <c r="K359" s="12" t="n"/>
      <c r="L359" s="12" t="n"/>
      <c r="M359" s="12" t="n"/>
      <c r="N359" s="2">
        <f>IF(A359="","",SUM(I359:M359))</f>
        <v/>
      </c>
      <c r="O359" s="12" t="n"/>
      <c r="P359" s="12" t="n"/>
      <c r="Q359" s="2" t="n"/>
      <c r="R359" s="2" t="n"/>
      <c r="S359" s="2" t="n"/>
      <c r="T359" s="5">
        <f>IF(A359="","",(COUNTA(A359:M359)+COUNTA(O359:S359))/18)</f>
        <v/>
      </c>
      <c r="U359" s="2" t="n"/>
    </row>
    <row r="360">
      <c r="A360" s="12" t="n"/>
      <c r="B360" s="12" t="n"/>
      <c r="C360" s="12" t="n"/>
      <c r="D360" s="4" t="n"/>
      <c r="E360" s="2" t="n"/>
      <c r="F360" s="12" t="n"/>
      <c r="G360" s="2" t="n"/>
      <c r="H360" s="14" t="n"/>
      <c r="I360" s="12" t="n"/>
      <c r="J360" s="12" t="n"/>
      <c r="K360" s="12" t="n"/>
      <c r="L360" s="12" t="n"/>
      <c r="M360" s="12" t="n"/>
      <c r="N360" s="2">
        <f>IF(A360="","",SUM(I360:M360))</f>
        <v/>
      </c>
      <c r="O360" s="12" t="n"/>
      <c r="P360" s="12" t="n"/>
      <c r="Q360" s="2" t="n"/>
      <c r="R360" s="2" t="n"/>
      <c r="S360" s="2" t="n"/>
      <c r="T360" s="5">
        <f>IF(A360="","",(COUNTA(A360:M360)+COUNTA(O360:S360))/18)</f>
        <v/>
      </c>
      <c r="U360" s="2" t="n"/>
    </row>
    <row r="361">
      <c r="A361" s="12" t="n"/>
      <c r="B361" s="12" t="n"/>
      <c r="C361" s="12" t="n"/>
      <c r="D361" s="4" t="n"/>
      <c r="E361" s="2" t="n"/>
      <c r="F361" s="12" t="n"/>
      <c r="G361" s="2" t="n"/>
      <c r="H361" s="14" t="n"/>
      <c r="I361" s="12" t="n"/>
      <c r="J361" s="12" t="n"/>
      <c r="K361" s="12" t="n"/>
      <c r="L361" s="12" t="n"/>
      <c r="M361" s="12" t="n"/>
      <c r="N361" s="2">
        <f>IF(A361="","",SUM(I361:M361))</f>
        <v/>
      </c>
      <c r="O361" s="12" t="n"/>
      <c r="P361" s="12" t="n"/>
      <c r="Q361" s="2" t="n"/>
      <c r="R361" s="2" t="n"/>
      <c r="S361" s="2" t="n"/>
      <c r="T361" s="5">
        <f>IF(A361="","",(COUNTA(A361:M361)+COUNTA(O361:S361))/18)</f>
        <v/>
      </c>
      <c r="U361" s="2" t="n"/>
    </row>
    <row r="362">
      <c r="A362" s="12" t="n"/>
      <c r="B362" s="12" t="n"/>
      <c r="C362" s="12" t="n"/>
      <c r="D362" s="4" t="n"/>
      <c r="E362" s="2" t="n"/>
      <c r="F362" s="12" t="n"/>
      <c r="G362" s="2" t="n"/>
      <c r="H362" s="14" t="n"/>
      <c r="I362" s="12" t="n"/>
      <c r="J362" s="12" t="n"/>
      <c r="K362" s="12" t="n"/>
      <c r="L362" s="12" t="n"/>
      <c r="M362" s="12" t="n"/>
      <c r="N362" s="2">
        <f>IF(A362="","",SUM(I362:M362))</f>
        <v/>
      </c>
      <c r="O362" s="12" t="n"/>
      <c r="P362" s="12" t="n"/>
      <c r="Q362" s="2" t="n"/>
      <c r="R362" s="2" t="n"/>
      <c r="S362" s="2" t="n"/>
      <c r="T362" s="5">
        <f>IF(A362="","",(COUNTA(A362:M362)+COUNTA(O362:S362))/18)</f>
        <v/>
      </c>
      <c r="U362" s="2" t="n"/>
    </row>
    <row r="363">
      <c r="A363" s="12" t="n"/>
      <c r="B363" s="12" t="n"/>
      <c r="C363" s="12" t="n"/>
      <c r="D363" s="4" t="n"/>
      <c r="E363" s="2" t="n"/>
      <c r="F363" s="12" t="n"/>
      <c r="G363" s="2" t="n"/>
      <c r="H363" s="14" t="n"/>
      <c r="I363" s="12" t="n"/>
      <c r="J363" s="12" t="n"/>
      <c r="K363" s="12" t="n"/>
      <c r="L363" s="12" t="n"/>
      <c r="M363" s="12" t="n"/>
      <c r="N363" s="2">
        <f>IF(A363="","",SUM(I363:M363))</f>
        <v/>
      </c>
      <c r="O363" s="12" t="n"/>
      <c r="P363" s="12" t="n"/>
      <c r="Q363" s="2" t="n"/>
      <c r="R363" s="2" t="n"/>
      <c r="S363" s="2" t="n"/>
      <c r="T363" s="5">
        <f>IF(A363="","",(COUNTA(A363:M363)+COUNTA(O363:S363))/18)</f>
        <v/>
      </c>
      <c r="U363" s="2" t="n"/>
    </row>
    <row r="364">
      <c r="A364" s="12" t="n"/>
      <c r="B364" s="12" t="n"/>
      <c r="C364" s="12" t="n"/>
      <c r="D364" s="4" t="n"/>
      <c r="E364" s="2" t="n"/>
      <c r="F364" s="12" t="n"/>
      <c r="G364" s="2" t="n"/>
      <c r="H364" s="14" t="n"/>
      <c r="I364" s="12" t="n"/>
      <c r="J364" s="12" t="n"/>
      <c r="K364" s="12" t="n"/>
      <c r="L364" s="12" t="n"/>
      <c r="M364" s="12" t="n"/>
      <c r="N364" s="2">
        <f>IF(A364="","",SUM(I364:M364))</f>
        <v/>
      </c>
      <c r="O364" s="12" t="n"/>
      <c r="P364" s="12" t="n"/>
      <c r="Q364" s="2" t="n"/>
      <c r="R364" s="2" t="n"/>
      <c r="S364" s="2" t="n"/>
      <c r="T364" s="5">
        <f>IF(A364="","",(COUNTA(A364:M364)+COUNTA(O364:S364))/18)</f>
        <v/>
      </c>
      <c r="U364" s="2" t="n"/>
    </row>
    <row r="365">
      <c r="A365" s="12" t="n"/>
      <c r="B365" s="12" t="n"/>
      <c r="C365" s="12" t="n"/>
      <c r="D365" s="4" t="n"/>
      <c r="E365" s="2" t="n"/>
      <c r="F365" s="12" t="n"/>
      <c r="G365" s="2" t="n"/>
      <c r="H365" s="14" t="n"/>
      <c r="I365" s="12" t="n"/>
      <c r="J365" s="12" t="n"/>
      <c r="K365" s="12" t="n"/>
      <c r="L365" s="12" t="n"/>
      <c r="M365" s="12" t="n"/>
      <c r="N365" s="2">
        <f>IF(A365="","",SUM(I365:M365))</f>
        <v/>
      </c>
      <c r="O365" s="12" t="n"/>
      <c r="P365" s="12" t="n"/>
      <c r="Q365" s="2" t="n"/>
      <c r="R365" s="2" t="n"/>
      <c r="S365" s="2" t="n"/>
      <c r="T365" s="5">
        <f>IF(A365="","",(COUNTA(A365:M365)+COUNTA(O365:S365))/18)</f>
        <v/>
      </c>
      <c r="U365" s="2" t="n"/>
    </row>
    <row r="366">
      <c r="A366" s="12" t="n"/>
      <c r="B366" s="12" t="n"/>
      <c r="C366" s="12" t="n"/>
      <c r="D366" s="4" t="n"/>
      <c r="E366" s="2" t="n"/>
      <c r="F366" s="12" t="n"/>
      <c r="G366" s="2" t="n"/>
      <c r="H366" s="14" t="n"/>
      <c r="I366" s="12" t="n"/>
      <c r="J366" s="12" t="n"/>
      <c r="K366" s="12" t="n"/>
      <c r="L366" s="12" t="n"/>
      <c r="M366" s="12" t="n"/>
      <c r="N366" s="2">
        <f>IF(A366="","",SUM(I366:M366))</f>
        <v/>
      </c>
      <c r="O366" s="12" t="n"/>
      <c r="P366" s="12" t="n"/>
      <c r="Q366" s="2" t="n"/>
      <c r="R366" s="2" t="n"/>
      <c r="S366" s="2" t="n"/>
      <c r="T366" s="5">
        <f>IF(A366="","",(COUNTA(A366:M366)+COUNTA(O366:S366))/18)</f>
        <v/>
      </c>
      <c r="U366" s="2" t="n"/>
    </row>
    <row r="367">
      <c r="A367" s="12" t="n"/>
      <c r="B367" s="12" t="n"/>
      <c r="C367" s="12" t="n"/>
      <c r="D367" s="4" t="n"/>
      <c r="E367" s="2" t="n"/>
      <c r="F367" s="12" t="n"/>
      <c r="G367" s="2" t="n"/>
      <c r="H367" s="14" t="n"/>
      <c r="I367" s="12" t="n"/>
      <c r="J367" s="12" t="n"/>
      <c r="K367" s="12" t="n"/>
      <c r="L367" s="12" t="n"/>
      <c r="M367" s="12" t="n"/>
      <c r="N367" s="2">
        <f>IF(A367="","",SUM(I367:M367))</f>
        <v/>
      </c>
      <c r="O367" s="12" t="n"/>
      <c r="P367" s="12" t="n"/>
      <c r="Q367" s="2" t="n"/>
      <c r="R367" s="2" t="n"/>
      <c r="S367" s="2" t="n"/>
      <c r="T367" s="5">
        <f>IF(A367="","",(COUNTA(A367:M367)+COUNTA(O367:S367))/18)</f>
        <v/>
      </c>
      <c r="U367" s="2" t="n"/>
    </row>
    <row r="368">
      <c r="A368" s="12" t="n"/>
      <c r="B368" s="12" t="n"/>
      <c r="C368" s="12" t="n"/>
      <c r="D368" s="4" t="n"/>
      <c r="E368" s="2" t="n"/>
      <c r="F368" s="12" t="n"/>
      <c r="G368" s="2" t="n"/>
      <c r="H368" s="14" t="n"/>
      <c r="I368" s="12" t="n"/>
      <c r="J368" s="12" t="n"/>
      <c r="K368" s="12" t="n"/>
      <c r="L368" s="12" t="n"/>
      <c r="M368" s="12" t="n"/>
      <c r="N368" s="2">
        <f>IF(A368="","",SUM(I368:M368))</f>
        <v/>
      </c>
      <c r="O368" s="12" t="n"/>
      <c r="P368" s="12" t="n"/>
      <c r="Q368" s="2" t="n"/>
      <c r="R368" s="2" t="n"/>
      <c r="S368" s="2" t="n"/>
      <c r="T368" s="5">
        <f>IF(A368="","",(COUNTA(A368:M368)+COUNTA(O368:S368))/18)</f>
        <v/>
      </c>
      <c r="U368" s="2" t="n"/>
    </row>
    <row r="369">
      <c r="A369" s="12" t="n"/>
      <c r="B369" s="12" t="n"/>
      <c r="C369" s="12" t="n"/>
      <c r="D369" s="4" t="n"/>
      <c r="E369" s="2" t="n"/>
      <c r="F369" s="12" t="n"/>
      <c r="G369" s="2" t="n"/>
      <c r="H369" s="14" t="n"/>
      <c r="I369" s="12" t="n"/>
      <c r="J369" s="12" t="n"/>
      <c r="K369" s="12" t="n"/>
      <c r="L369" s="12" t="n"/>
      <c r="M369" s="12" t="n"/>
      <c r="N369" s="2">
        <f>IF(A369="","",SUM(I369:M369))</f>
        <v/>
      </c>
      <c r="O369" s="12" t="n"/>
      <c r="P369" s="12" t="n"/>
      <c r="Q369" s="2" t="n"/>
      <c r="R369" s="2" t="n"/>
      <c r="S369" s="2" t="n"/>
      <c r="T369" s="5">
        <f>IF(A369="","",(COUNTA(A369:M369)+COUNTA(O369:S369))/18)</f>
        <v/>
      </c>
      <c r="U369" s="2" t="n"/>
    </row>
    <row r="370">
      <c r="A370" s="12" t="n"/>
      <c r="B370" s="12" t="n"/>
      <c r="C370" s="12" t="n"/>
      <c r="D370" s="4" t="n"/>
      <c r="E370" s="2" t="n"/>
      <c r="F370" s="12" t="n"/>
      <c r="G370" s="2" t="n"/>
      <c r="H370" s="14" t="n"/>
      <c r="I370" s="12" t="n"/>
      <c r="J370" s="12" t="n"/>
      <c r="K370" s="12" t="n"/>
      <c r="L370" s="12" t="n"/>
      <c r="M370" s="12" t="n"/>
      <c r="N370" s="2">
        <f>IF(A370="","",SUM(I370:M370))</f>
        <v/>
      </c>
      <c r="O370" s="12" t="n"/>
      <c r="P370" s="12" t="n"/>
      <c r="Q370" s="2" t="n"/>
      <c r="R370" s="2" t="n"/>
      <c r="S370" s="2" t="n"/>
      <c r="T370" s="5">
        <f>IF(A370="","",(COUNTA(A370:M370)+COUNTA(O370:S370))/18)</f>
        <v/>
      </c>
      <c r="U370" s="2" t="n"/>
    </row>
    <row r="371">
      <c r="A371" s="12" t="n"/>
      <c r="B371" s="12" t="n"/>
      <c r="C371" s="12" t="n"/>
      <c r="D371" s="4" t="n"/>
      <c r="E371" s="2" t="n"/>
      <c r="F371" s="12" t="n"/>
      <c r="G371" s="2" t="n"/>
      <c r="H371" s="14" t="n"/>
      <c r="I371" s="12" t="n"/>
      <c r="J371" s="12" t="n"/>
      <c r="K371" s="12" t="n"/>
      <c r="L371" s="12" t="n"/>
      <c r="M371" s="12" t="n"/>
      <c r="N371" s="2">
        <f>IF(A371="","",SUM(I371:M371))</f>
        <v/>
      </c>
      <c r="O371" s="12" t="n"/>
      <c r="P371" s="12" t="n"/>
      <c r="Q371" s="2" t="n"/>
      <c r="R371" s="2" t="n"/>
      <c r="S371" s="2" t="n"/>
      <c r="T371" s="5">
        <f>IF(A371="","",(COUNTA(A371:M371)+COUNTA(O371:S371))/18)</f>
        <v/>
      </c>
      <c r="U371" s="2" t="n"/>
    </row>
    <row r="372">
      <c r="A372" s="12" t="n"/>
      <c r="B372" s="12" t="n"/>
      <c r="C372" s="12" t="n"/>
      <c r="D372" s="4" t="n"/>
      <c r="E372" s="2" t="n"/>
      <c r="F372" s="12" t="n"/>
      <c r="G372" s="2" t="n"/>
      <c r="H372" s="14" t="n"/>
      <c r="I372" s="12" t="n"/>
      <c r="J372" s="12" t="n"/>
      <c r="K372" s="12" t="n"/>
      <c r="L372" s="12" t="n"/>
      <c r="M372" s="12" t="n"/>
      <c r="N372" s="2">
        <f>IF(A372="","",SUM(I372:M372))</f>
        <v/>
      </c>
      <c r="O372" s="12" t="n"/>
      <c r="P372" s="12" t="n"/>
      <c r="Q372" s="2" t="n"/>
      <c r="R372" s="2" t="n"/>
      <c r="S372" s="2" t="n"/>
      <c r="T372" s="5">
        <f>IF(A372="","",(COUNTA(A372:M372)+COUNTA(O372:S372))/18)</f>
        <v/>
      </c>
      <c r="U372" s="2" t="n"/>
    </row>
    <row r="373">
      <c r="A373" s="12" t="n"/>
      <c r="B373" s="12" t="n"/>
      <c r="C373" s="12" t="n"/>
      <c r="D373" s="4" t="n"/>
      <c r="E373" s="2" t="n"/>
      <c r="F373" s="12" t="n"/>
      <c r="G373" s="2" t="n"/>
      <c r="H373" s="14" t="n"/>
      <c r="I373" s="12" t="n"/>
      <c r="J373" s="12" t="n"/>
      <c r="K373" s="12" t="n"/>
      <c r="L373" s="12" t="n"/>
      <c r="M373" s="12" t="n"/>
      <c r="N373" s="2">
        <f>IF(A373="","",SUM(I373:M373))</f>
        <v/>
      </c>
      <c r="O373" s="12" t="n"/>
      <c r="P373" s="12" t="n"/>
      <c r="Q373" s="2" t="n"/>
      <c r="R373" s="2" t="n"/>
      <c r="S373" s="2" t="n"/>
      <c r="T373" s="5">
        <f>IF(A373="","",(COUNTA(A373:M373)+COUNTA(O373:S373))/18)</f>
        <v/>
      </c>
      <c r="U373" s="2" t="n"/>
    </row>
    <row r="374">
      <c r="A374" s="12" t="n"/>
      <c r="B374" s="12" t="n"/>
      <c r="C374" s="12" t="n"/>
      <c r="D374" s="4" t="n"/>
      <c r="E374" s="2" t="n"/>
      <c r="F374" s="12" t="n"/>
      <c r="G374" s="2" t="n"/>
      <c r="H374" s="14" t="n"/>
      <c r="I374" s="12" t="n"/>
      <c r="J374" s="12" t="n"/>
      <c r="K374" s="12" t="n"/>
      <c r="L374" s="12" t="n"/>
      <c r="M374" s="12" t="n"/>
      <c r="N374" s="2">
        <f>IF(A374="","",SUM(I374:M374))</f>
        <v/>
      </c>
      <c r="O374" s="12" t="n"/>
      <c r="P374" s="12" t="n"/>
      <c r="Q374" s="2" t="n"/>
      <c r="R374" s="2" t="n"/>
      <c r="S374" s="2" t="n"/>
      <c r="T374" s="5">
        <f>IF(A374="","",(COUNTA(A374:M374)+COUNTA(O374:S374))/18)</f>
        <v/>
      </c>
      <c r="U374" s="2" t="n"/>
    </row>
    <row r="375">
      <c r="A375" s="12" t="n"/>
      <c r="B375" s="12" t="n"/>
      <c r="C375" s="12" t="n"/>
      <c r="D375" s="4" t="n"/>
      <c r="E375" s="2" t="n"/>
      <c r="F375" s="12" t="n"/>
      <c r="G375" s="2" t="n"/>
      <c r="H375" s="14" t="n"/>
      <c r="I375" s="12" t="n"/>
      <c r="J375" s="12" t="n"/>
      <c r="K375" s="12" t="n"/>
      <c r="L375" s="12" t="n"/>
      <c r="M375" s="12" t="n"/>
      <c r="N375" s="2">
        <f>IF(A375="","",SUM(I375:M375))</f>
        <v/>
      </c>
      <c r="O375" s="12" t="n"/>
      <c r="P375" s="12" t="n"/>
      <c r="Q375" s="2" t="n"/>
      <c r="R375" s="2" t="n"/>
      <c r="S375" s="2" t="n"/>
      <c r="T375" s="5">
        <f>IF(A375="","",(COUNTA(A375:M375)+COUNTA(O375:S375))/18)</f>
        <v/>
      </c>
      <c r="U375" s="2" t="n"/>
    </row>
    <row r="376">
      <c r="A376" s="12" t="n"/>
      <c r="B376" s="12" t="n"/>
      <c r="C376" s="12" t="n"/>
      <c r="D376" s="4" t="n"/>
      <c r="E376" s="2" t="n"/>
      <c r="F376" s="12" t="n"/>
      <c r="G376" s="2" t="n"/>
      <c r="H376" s="14" t="n"/>
      <c r="I376" s="12" t="n"/>
      <c r="J376" s="12" t="n"/>
      <c r="K376" s="12" t="n"/>
      <c r="L376" s="12" t="n"/>
      <c r="M376" s="12" t="n"/>
      <c r="N376" s="2">
        <f>IF(A376="","",SUM(I376:M376))</f>
        <v/>
      </c>
      <c r="O376" s="12" t="n"/>
      <c r="P376" s="12" t="n"/>
      <c r="Q376" s="2" t="n"/>
      <c r="R376" s="2" t="n"/>
      <c r="S376" s="2" t="n"/>
      <c r="T376" s="5">
        <f>IF(A376="","",(COUNTA(A376:M376)+COUNTA(O376:S376))/18)</f>
        <v/>
      </c>
      <c r="U376" s="2" t="n"/>
    </row>
    <row r="377">
      <c r="A377" s="12" t="n"/>
      <c r="B377" s="12" t="n"/>
      <c r="C377" s="12" t="n"/>
      <c r="D377" s="4" t="n"/>
      <c r="E377" s="2" t="n"/>
      <c r="F377" s="12" t="n"/>
      <c r="G377" s="2" t="n"/>
      <c r="H377" s="14" t="n"/>
      <c r="I377" s="12" t="n"/>
      <c r="J377" s="12" t="n"/>
      <c r="K377" s="12" t="n"/>
      <c r="L377" s="12" t="n"/>
      <c r="M377" s="12" t="n"/>
      <c r="N377" s="2">
        <f>IF(A377="","",SUM(I377:M377))</f>
        <v/>
      </c>
      <c r="O377" s="12" t="n"/>
      <c r="P377" s="12" t="n"/>
      <c r="Q377" s="2" t="n"/>
      <c r="R377" s="2" t="n"/>
      <c r="S377" s="2" t="n"/>
      <c r="T377" s="5">
        <f>IF(A377="","",(COUNTA(A377:M377)+COUNTA(O377:S377))/18)</f>
        <v/>
      </c>
      <c r="U377" s="2" t="n"/>
    </row>
    <row r="378">
      <c r="A378" s="12" t="n"/>
      <c r="B378" s="12" t="n"/>
      <c r="C378" s="12" t="n"/>
      <c r="D378" s="4" t="n"/>
      <c r="E378" s="2" t="n"/>
      <c r="F378" s="12" t="n"/>
      <c r="G378" s="2" t="n"/>
      <c r="H378" s="14" t="n"/>
      <c r="I378" s="12" t="n"/>
      <c r="J378" s="12" t="n"/>
      <c r="K378" s="12" t="n"/>
      <c r="L378" s="12" t="n"/>
      <c r="M378" s="12" t="n"/>
      <c r="N378" s="2">
        <f>IF(A378="","",SUM(I378:M378))</f>
        <v/>
      </c>
      <c r="O378" s="12" t="n"/>
      <c r="P378" s="12" t="n"/>
      <c r="Q378" s="2" t="n"/>
      <c r="R378" s="2" t="n"/>
      <c r="S378" s="2" t="n"/>
      <c r="T378" s="5">
        <f>IF(A378="","",(COUNTA(A378:M378)+COUNTA(O378:S378))/18)</f>
        <v/>
      </c>
      <c r="U378" s="2" t="n"/>
    </row>
    <row r="379">
      <c r="A379" s="12" t="n"/>
      <c r="B379" s="12" t="n"/>
      <c r="C379" s="12" t="n"/>
      <c r="D379" s="4" t="n"/>
      <c r="E379" s="2" t="n"/>
      <c r="F379" s="12" t="n"/>
      <c r="G379" s="2" t="n"/>
      <c r="H379" s="14" t="n"/>
      <c r="I379" s="12" t="n"/>
      <c r="J379" s="12" t="n"/>
      <c r="K379" s="12" t="n"/>
      <c r="L379" s="12" t="n"/>
      <c r="M379" s="12" t="n"/>
      <c r="N379" s="2">
        <f>IF(A379="","",SUM(I379:M379))</f>
        <v/>
      </c>
      <c r="O379" s="12" t="n"/>
      <c r="P379" s="12" t="n"/>
      <c r="Q379" s="2" t="n"/>
      <c r="R379" s="2" t="n"/>
      <c r="S379" s="2" t="n"/>
      <c r="T379" s="5">
        <f>IF(A379="","",(COUNTA(A379:M379)+COUNTA(O379:S379))/18)</f>
        <v/>
      </c>
      <c r="U379" s="2" t="n"/>
    </row>
    <row r="380">
      <c r="A380" s="12" t="n"/>
      <c r="B380" s="12" t="n"/>
      <c r="C380" s="12" t="n"/>
      <c r="D380" s="4" t="n"/>
      <c r="E380" s="2" t="n"/>
      <c r="F380" s="12" t="n"/>
      <c r="G380" s="2" t="n"/>
      <c r="H380" s="14" t="n"/>
      <c r="I380" s="12" t="n"/>
      <c r="J380" s="12" t="n"/>
      <c r="K380" s="12" t="n"/>
      <c r="L380" s="12" t="n"/>
      <c r="M380" s="12" t="n"/>
      <c r="N380" s="2">
        <f>IF(A380="","",SUM(I380:M380))</f>
        <v/>
      </c>
      <c r="O380" s="12" t="n"/>
      <c r="P380" s="12" t="n"/>
      <c r="Q380" s="2" t="n"/>
      <c r="R380" s="2" t="n"/>
      <c r="S380" s="2" t="n"/>
      <c r="T380" s="5">
        <f>IF(A380="","",(COUNTA(A380:M380)+COUNTA(O380:S380))/18)</f>
        <v/>
      </c>
      <c r="U380" s="2" t="n"/>
    </row>
    <row r="381">
      <c r="A381" s="12" t="n"/>
      <c r="B381" s="12" t="n"/>
      <c r="C381" s="12" t="n"/>
      <c r="D381" s="4" t="n"/>
      <c r="E381" s="2" t="n"/>
      <c r="F381" s="12" t="n"/>
      <c r="G381" s="2" t="n"/>
      <c r="H381" s="14" t="n"/>
      <c r="I381" s="12" t="n"/>
      <c r="J381" s="12" t="n"/>
      <c r="K381" s="12" t="n"/>
      <c r="L381" s="12" t="n"/>
      <c r="M381" s="12" t="n"/>
      <c r="N381" s="2">
        <f>IF(A381="","",SUM(I381:M381))</f>
        <v/>
      </c>
      <c r="O381" s="12" t="n"/>
      <c r="P381" s="12" t="n"/>
      <c r="Q381" s="2" t="n"/>
      <c r="R381" s="2" t="n"/>
      <c r="S381" s="2" t="n"/>
      <c r="T381" s="5">
        <f>IF(A381="","",(COUNTA(A381:M381)+COUNTA(O381:S381))/18)</f>
        <v/>
      </c>
      <c r="U381" s="2" t="n"/>
    </row>
    <row r="382">
      <c r="A382" s="12" t="n"/>
      <c r="B382" s="12" t="n"/>
      <c r="C382" s="12" t="n"/>
      <c r="D382" s="4" t="n"/>
      <c r="E382" s="2" t="n"/>
      <c r="F382" s="12" t="n"/>
      <c r="G382" s="2" t="n"/>
      <c r="H382" s="14" t="n"/>
      <c r="I382" s="12" t="n"/>
      <c r="J382" s="12" t="n"/>
      <c r="K382" s="12" t="n"/>
      <c r="L382" s="12" t="n"/>
      <c r="M382" s="12" t="n"/>
      <c r="N382" s="2">
        <f>IF(A382="","",SUM(I382:M382))</f>
        <v/>
      </c>
      <c r="O382" s="12" t="n"/>
      <c r="P382" s="12" t="n"/>
      <c r="Q382" s="2" t="n"/>
      <c r="R382" s="2" t="n"/>
      <c r="S382" s="2" t="n"/>
      <c r="T382" s="5">
        <f>IF(A382="","",(COUNTA(A382:M382)+COUNTA(O382:S382))/18)</f>
        <v/>
      </c>
      <c r="U382" s="2" t="n"/>
    </row>
    <row r="383">
      <c r="A383" s="12" t="n"/>
      <c r="B383" s="12" t="n"/>
      <c r="C383" s="12" t="n"/>
      <c r="D383" s="4" t="n"/>
      <c r="E383" s="2" t="n"/>
      <c r="F383" s="12" t="n"/>
      <c r="G383" s="2" t="n"/>
      <c r="H383" s="14" t="n"/>
      <c r="I383" s="12" t="n"/>
      <c r="J383" s="12" t="n"/>
      <c r="K383" s="12" t="n"/>
      <c r="L383" s="12" t="n"/>
      <c r="M383" s="12" t="n"/>
      <c r="N383" s="2">
        <f>IF(A383="","",SUM(I383:M383))</f>
        <v/>
      </c>
      <c r="O383" s="12" t="n"/>
      <c r="P383" s="12" t="n"/>
      <c r="Q383" s="2" t="n"/>
      <c r="R383" s="2" t="n"/>
      <c r="S383" s="2" t="n"/>
      <c r="T383" s="5">
        <f>IF(A383="","",(COUNTA(A383:M383)+COUNTA(O383:S383))/18)</f>
        <v/>
      </c>
      <c r="U383" s="2" t="n"/>
    </row>
    <row r="384">
      <c r="A384" s="12" t="n"/>
      <c r="B384" s="12" t="n"/>
      <c r="C384" s="12" t="n"/>
      <c r="D384" s="4" t="n"/>
      <c r="E384" s="2" t="n"/>
      <c r="F384" s="12" t="n"/>
      <c r="G384" s="2" t="n"/>
      <c r="H384" s="14" t="n"/>
      <c r="I384" s="12" t="n"/>
      <c r="J384" s="12" t="n"/>
      <c r="K384" s="12" t="n"/>
      <c r="L384" s="12" t="n"/>
      <c r="M384" s="12" t="n"/>
      <c r="N384" s="2">
        <f>IF(A384="","",SUM(I384:M384))</f>
        <v/>
      </c>
      <c r="O384" s="12" t="n"/>
      <c r="P384" s="12" t="n"/>
      <c r="Q384" s="2" t="n"/>
      <c r="R384" s="2" t="n"/>
      <c r="S384" s="2" t="n"/>
      <c r="T384" s="5">
        <f>IF(A384="","",(COUNTA(A384:M384)+COUNTA(O384:S384))/18)</f>
        <v/>
      </c>
      <c r="U384" s="2" t="n"/>
    </row>
    <row r="385">
      <c r="A385" s="12" t="n"/>
      <c r="B385" s="12" t="n"/>
      <c r="C385" s="12" t="n"/>
      <c r="D385" s="4" t="n"/>
      <c r="E385" s="2" t="n"/>
      <c r="F385" s="12" t="n"/>
      <c r="G385" s="2" t="n"/>
      <c r="H385" s="14" t="n"/>
      <c r="I385" s="12" t="n"/>
      <c r="J385" s="12" t="n"/>
      <c r="K385" s="12" t="n"/>
      <c r="L385" s="12" t="n"/>
      <c r="M385" s="12" t="n"/>
      <c r="N385" s="2">
        <f>IF(A385="","",SUM(I385:M385))</f>
        <v/>
      </c>
      <c r="O385" s="12" t="n"/>
      <c r="P385" s="12" t="n"/>
      <c r="Q385" s="2" t="n"/>
      <c r="R385" s="2" t="n"/>
      <c r="S385" s="2" t="n"/>
      <c r="T385" s="5">
        <f>IF(A385="","",(COUNTA(A385:M385)+COUNTA(O385:S385))/18)</f>
        <v/>
      </c>
      <c r="U385" s="2" t="n"/>
    </row>
    <row r="386">
      <c r="A386" s="12" t="n"/>
      <c r="B386" s="12" t="n"/>
      <c r="C386" s="12" t="n"/>
      <c r="D386" s="4" t="n"/>
      <c r="E386" s="2" t="n"/>
      <c r="F386" s="12" t="n"/>
      <c r="G386" s="2" t="n"/>
      <c r="H386" s="14" t="n"/>
      <c r="I386" s="12" t="n"/>
      <c r="J386" s="12" t="n"/>
      <c r="K386" s="12" t="n"/>
      <c r="L386" s="12" t="n"/>
      <c r="M386" s="12" t="n"/>
      <c r="N386" s="2">
        <f>IF(A386="","",SUM(I386:M386))</f>
        <v/>
      </c>
      <c r="O386" s="12" t="n"/>
      <c r="P386" s="12" t="n"/>
      <c r="Q386" s="2" t="n"/>
      <c r="R386" s="2" t="n"/>
      <c r="S386" s="2" t="n"/>
      <c r="T386" s="5">
        <f>IF(A386="","",(COUNTA(A386:M386)+COUNTA(O386:S386))/18)</f>
        <v/>
      </c>
      <c r="U386" s="2" t="n"/>
    </row>
    <row r="387">
      <c r="A387" s="12" t="n"/>
      <c r="B387" s="12" t="n"/>
      <c r="C387" s="12" t="n"/>
      <c r="D387" s="4" t="n"/>
      <c r="E387" s="2" t="n"/>
      <c r="F387" s="12" t="n"/>
      <c r="G387" s="2" t="n"/>
      <c r="H387" s="14" t="n"/>
      <c r="I387" s="12" t="n"/>
      <c r="J387" s="12" t="n"/>
      <c r="K387" s="12" t="n"/>
      <c r="L387" s="12" t="n"/>
      <c r="M387" s="12" t="n"/>
      <c r="N387" s="2">
        <f>IF(A387="","",SUM(I387:M387))</f>
        <v/>
      </c>
      <c r="O387" s="12" t="n"/>
      <c r="P387" s="12" t="n"/>
      <c r="Q387" s="2" t="n"/>
      <c r="R387" s="2" t="n"/>
      <c r="S387" s="2" t="n"/>
      <c r="T387" s="5">
        <f>IF(A387="","",(COUNTA(A387:M387)+COUNTA(O387:S387))/18)</f>
        <v/>
      </c>
      <c r="U387" s="2" t="n"/>
    </row>
    <row r="388">
      <c r="A388" s="12" t="n"/>
      <c r="B388" s="12" t="n"/>
      <c r="C388" s="12" t="n"/>
      <c r="D388" s="4" t="n"/>
      <c r="E388" s="2" t="n"/>
      <c r="F388" s="12" t="n"/>
      <c r="G388" s="2" t="n"/>
      <c r="H388" s="14" t="n"/>
      <c r="I388" s="12" t="n"/>
      <c r="J388" s="12" t="n"/>
      <c r="K388" s="12" t="n"/>
      <c r="L388" s="12" t="n"/>
      <c r="M388" s="12" t="n"/>
      <c r="N388" s="2">
        <f>IF(A388="","",SUM(I388:M388))</f>
        <v/>
      </c>
      <c r="O388" s="12" t="n"/>
      <c r="P388" s="12" t="n"/>
      <c r="Q388" s="2" t="n"/>
      <c r="R388" s="2" t="n"/>
      <c r="S388" s="2" t="n"/>
      <c r="T388" s="5">
        <f>IF(A388="","",(COUNTA(A388:M388)+COUNTA(O388:S388))/18)</f>
        <v/>
      </c>
      <c r="U388" s="2" t="n"/>
    </row>
    <row r="389">
      <c r="A389" s="12" t="n"/>
      <c r="B389" s="12" t="n"/>
      <c r="C389" s="12" t="n"/>
      <c r="D389" s="4" t="n"/>
      <c r="E389" s="2" t="n"/>
      <c r="F389" s="12" t="n"/>
      <c r="G389" s="2" t="n"/>
      <c r="H389" s="14" t="n"/>
      <c r="I389" s="12" t="n"/>
      <c r="J389" s="12" t="n"/>
      <c r="K389" s="12" t="n"/>
      <c r="L389" s="12" t="n"/>
      <c r="M389" s="12" t="n"/>
      <c r="N389" s="2">
        <f>IF(A389="","",SUM(I389:M389))</f>
        <v/>
      </c>
      <c r="O389" s="12" t="n"/>
      <c r="P389" s="12" t="n"/>
      <c r="Q389" s="2" t="n"/>
      <c r="R389" s="2" t="n"/>
      <c r="S389" s="2" t="n"/>
      <c r="T389" s="5">
        <f>IF(A389="","",(COUNTA(A389:M389)+COUNTA(O389:S389))/18)</f>
        <v/>
      </c>
      <c r="U389" s="2" t="n"/>
    </row>
    <row r="390">
      <c r="A390" s="12" t="n"/>
      <c r="B390" s="12" t="n"/>
      <c r="C390" s="12" t="n"/>
      <c r="D390" s="4" t="n"/>
      <c r="E390" s="2" t="n"/>
      <c r="F390" s="12" t="n"/>
      <c r="G390" s="2" t="n"/>
      <c r="H390" s="14" t="n"/>
      <c r="I390" s="12" t="n"/>
      <c r="J390" s="12" t="n"/>
      <c r="K390" s="12" t="n"/>
      <c r="L390" s="12" t="n"/>
      <c r="M390" s="12" t="n"/>
      <c r="N390" s="2">
        <f>IF(A390="","",SUM(I390:M390))</f>
        <v/>
      </c>
      <c r="O390" s="12" t="n"/>
      <c r="P390" s="12" t="n"/>
      <c r="Q390" s="2" t="n"/>
      <c r="R390" s="2" t="n"/>
      <c r="S390" s="2" t="n"/>
      <c r="T390" s="5">
        <f>IF(A390="","",(COUNTA(A390:M390)+COUNTA(O390:S390))/18)</f>
        <v/>
      </c>
      <c r="U390" s="2" t="n"/>
    </row>
    <row r="391">
      <c r="A391" s="12" t="n"/>
      <c r="B391" s="12" t="n"/>
      <c r="C391" s="12" t="n"/>
      <c r="D391" s="4" t="n"/>
      <c r="E391" s="2" t="n"/>
      <c r="F391" s="12" t="n"/>
      <c r="G391" s="2" t="n"/>
      <c r="H391" s="14" t="n"/>
      <c r="I391" s="12" t="n"/>
      <c r="J391" s="12" t="n"/>
      <c r="K391" s="12" t="n"/>
      <c r="L391" s="12" t="n"/>
      <c r="M391" s="12" t="n"/>
      <c r="N391" s="2">
        <f>IF(A391="","",SUM(I391:M391))</f>
        <v/>
      </c>
      <c r="O391" s="12" t="n"/>
      <c r="P391" s="12" t="n"/>
      <c r="Q391" s="2" t="n"/>
      <c r="R391" s="2" t="n"/>
      <c r="S391" s="2" t="n"/>
      <c r="T391" s="5">
        <f>IF(A391="","",(COUNTA(A391:M391)+COUNTA(O391:S391))/18)</f>
        <v/>
      </c>
      <c r="U391" s="2" t="n"/>
    </row>
    <row r="392">
      <c r="A392" s="12" t="n"/>
      <c r="B392" s="12" t="n"/>
      <c r="C392" s="12" t="n"/>
      <c r="D392" s="4" t="n"/>
      <c r="E392" s="2" t="n"/>
      <c r="F392" s="12" t="n"/>
      <c r="G392" s="2" t="n"/>
      <c r="H392" s="14" t="n"/>
      <c r="I392" s="12" t="n"/>
      <c r="J392" s="12" t="n"/>
      <c r="K392" s="12" t="n"/>
      <c r="L392" s="12" t="n"/>
      <c r="M392" s="12" t="n"/>
      <c r="N392" s="2">
        <f>IF(A392="","",SUM(I392:M392))</f>
        <v/>
      </c>
      <c r="O392" s="12" t="n"/>
      <c r="P392" s="12" t="n"/>
      <c r="Q392" s="2" t="n"/>
      <c r="R392" s="2" t="n"/>
      <c r="S392" s="2" t="n"/>
      <c r="T392" s="5">
        <f>IF(A392="","",(COUNTA(A392:M392)+COUNTA(O392:S392))/18)</f>
        <v/>
      </c>
      <c r="U392" s="2" t="n"/>
    </row>
    <row r="393">
      <c r="A393" s="12" t="n"/>
      <c r="B393" s="12" t="n"/>
      <c r="C393" s="12" t="n"/>
      <c r="D393" s="4" t="n"/>
      <c r="E393" s="2" t="n"/>
      <c r="F393" s="12" t="n"/>
      <c r="G393" s="2" t="n"/>
      <c r="H393" s="14" t="n"/>
      <c r="I393" s="12" t="n"/>
      <c r="J393" s="12" t="n"/>
      <c r="K393" s="12" t="n"/>
      <c r="L393" s="12" t="n"/>
      <c r="M393" s="12" t="n"/>
      <c r="N393" s="2">
        <f>IF(A393="","",SUM(I393:M393))</f>
        <v/>
      </c>
      <c r="O393" s="12" t="n"/>
      <c r="P393" s="12" t="n"/>
      <c r="Q393" s="2" t="n"/>
      <c r="R393" s="2" t="n"/>
      <c r="S393" s="2" t="n"/>
      <c r="T393" s="5">
        <f>IF(A393="","",(COUNTA(A393:M393)+COUNTA(O393:S393))/18)</f>
        <v/>
      </c>
      <c r="U393" s="2" t="n"/>
    </row>
    <row r="394">
      <c r="A394" s="12" t="n"/>
      <c r="B394" s="12" t="n"/>
      <c r="C394" s="12" t="n"/>
      <c r="D394" s="4" t="n"/>
      <c r="E394" s="2" t="n"/>
      <c r="F394" s="12" t="n"/>
      <c r="G394" s="2" t="n"/>
      <c r="H394" s="14" t="n"/>
      <c r="I394" s="12" t="n"/>
      <c r="J394" s="12" t="n"/>
      <c r="K394" s="12" t="n"/>
      <c r="L394" s="12" t="n"/>
      <c r="M394" s="12" t="n"/>
      <c r="N394" s="2">
        <f>IF(A394="","",SUM(I394:M394))</f>
        <v/>
      </c>
      <c r="O394" s="12" t="n"/>
      <c r="P394" s="12" t="n"/>
      <c r="Q394" s="2" t="n"/>
      <c r="R394" s="2" t="n"/>
      <c r="S394" s="2" t="n"/>
      <c r="T394" s="5">
        <f>IF(A394="","",(COUNTA(A394:M394)+COUNTA(O394:S394))/18)</f>
        <v/>
      </c>
      <c r="U394" s="2" t="n"/>
    </row>
    <row r="395">
      <c r="A395" s="12" t="n"/>
      <c r="B395" s="12" t="n"/>
      <c r="C395" s="12" t="n"/>
      <c r="D395" s="4" t="n"/>
      <c r="E395" s="2" t="n"/>
      <c r="F395" s="12" t="n"/>
      <c r="G395" s="2" t="n"/>
      <c r="H395" s="14" t="n"/>
      <c r="I395" s="12" t="n"/>
      <c r="J395" s="12" t="n"/>
      <c r="K395" s="12" t="n"/>
      <c r="L395" s="12" t="n"/>
      <c r="M395" s="12" t="n"/>
      <c r="N395" s="2">
        <f>IF(A395="","",SUM(I395:M395))</f>
        <v/>
      </c>
      <c r="O395" s="12" t="n"/>
      <c r="P395" s="12" t="n"/>
      <c r="Q395" s="2" t="n"/>
      <c r="R395" s="2" t="n"/>
      <c r="S395" s="2" t="n"/>
      <c r="T395" s="5">
        <f>IF(A395="","",(COUNTA(A395:M395)+COUNTA(O395:S395))/18)</f>
        <v/>
      </c>
      <c r="U395" s="2" t="n"/>
    </row>
    <row r="396">
      <c r="A396" s="12" t="n"/>
      <c r="B396" s="12" t="n"/>
      <c r="C396" s="12" t="n"/>
      <c r="D396" s="4" t="n"/>
      <c r="E396" s="2" t="n"/>
      <c r="F396" s="12" t="n"/>
      <c r="G396" s="2" t="n"/>
      <c r="H396" s="14" t="n"/>
      <c r="I396" s="12" t="n"/>
      <c r="J396" s="12" t="n"/>
      <c r="K396" s="12" t="n"/>
      <c r="L396" s="12" t="n"/>
      <c r="M396" s="12" t="n"/>
      <c r="N396" s="2">
        <f>IF(A396="","",SUM(I396:M396))</f>
        <v/>
      </c>
      <c r="O396" s="12" t="n"/>
      <c r="P396" s="12" t="n"/>
      <c r="Q396" s="2" t="n"/>
      <c r="R396" s="2" t="n"/>
      <c r="S396" s="2" t="n"/>
      <c r="T396" s="5">
        <f>IF(A396="","",(COUNTA(A396:M396)+COUNTA(O396:S396))/18)</f>
        <v/>
      </c>
      <c r="U396" s="2" t="n"/>
    </row>
    <row r="397">
      <c r="A397" s="12" t="n"/>
      <c r="B397" s="12" t="n"/>
      <c r="C397" s="12" t="n"/>
      <c r="D397" s="4" t="n"/>
      <c r="E397" s="2" t="n"/>
      <c r="F397" s="12" t="n"/>
      <c r="G397" s="2" t="n"/>
      <c r="H397" s="14" t="n"/>
      <c r="I397" s="12" t="n"/>
      <c r="J397" s="12" t="n"/>
      <c r="K397" s="12" t="n"/>
      <c r="L397" s="12" t="n"/>
      <c r="M397" s="12" t="n"/>
      <c r="N397" s="2">
        <f>IF(A397="","",SUM(I397:M397))</f>
        <v/>
      </c>
      <c r="O397" s="12" t="n"/>
      <c r="P397" s="12" t="n"/>
      <c r="Q397" s="2" t="n"/>
      <c r="R397" s="2" t="n"/>
      <c r="S397" s="2" t="n"/>
      <c r="T397" s="5">
        <f>IF(A397="","",(COUNTA(A397:M397)+COUNTA(O397:S397))/18)</f>
        <v/>
      </c>
      <c r="U397" s="2" t="n"/>
    </row>
    <row r="398">
      <c r="A398" s="12" t="n"/>
      <c r="B398" s="12" t="n"/>
      <c r="C398" s="12" t="n"/>
      <c r="D398" s="4" t="n"/>
      <c r="E398" s="2" t="n"/>
      <c r="F398" s="12" t="n"/>
      <c r="G398" s="2" t="n"/>
      <c r="H398" s="14" t="n"/>
      <c r="I398" s="12" t="n"/>
      <c r="J398" s="12" t="n"/>
      <c r="K398" s="12" t="n"/>
      <c r="L398" s="12" t="n"/>
      <c r="M398" s="12" t="n"/>
      <c r="N398" s="2">
        <f>IF(A398="","",SUM(I398:M398))</f>
        <v/>
      </c>
      <c r="O398" s="12" t="n"/>
      <c r="P398" s="12" t="n"/>
      <c r="Q398" s="2" t="n"/>
      <c r="R398" s="2" t="n"/>
      <c r="S398" s="2" t="n"/>
      <c r="T398" s="5">
        <f>IF(A398="","",(COUNTA(A398:M398)+COUNTA(O398:S398))/18)</f>
        <v/>
      </c>
      <c r="U398" s="2" t="n"/>
    </row>
    <row r="399">
      <c r="A399" s="12" t="n"/>
      <c r="B399" s="12" t="n"/>
      <c r="C399" s="12" t="n"/>
      <c r="D399" s="4" t="n"/>
      <c r="E399" s="2" t="n"/>
      <c r="F399" s="12" t="n"/>
      <c r="G399" s="2" t="n"/>
      <c r="H399" s="14" t="n"/>
      <c r="I399" s="12" t="n"/>
      <c r="J399" s="12" t="n"/>
      <c r="K399" s="12" t="n"/>
      <c r="L399" s="12" t="n"/>
      <c r="M399" s="12" t="n"/>
      <c r="N399" s="2">
        <f>IF(A399="","",SUM(I399:M399))</f>
        <v/>
      </c>
      <c r="O399" s="12" t="n"/>
      <c r="P399" s="12" t="n"/>
      <c r="Q399" s="2" t="n"/>
      <c r="R399" s="2" t="n"/>
      <c r="S399" s="2" t="n"/>
      <c r="T399" s="5">
        <f>IF(A399="","",(COUNTA(A399:M399)+COUNTA(O399:S399))/18)</f>
        <v/>
      </c>
      <c r="U399" s="2" t="n"/>
    </row>
    <row r="400">
      <c r="A400" s="12" t="n"/>
      <c r="B400" s="12" t="n"/>
      <c r="C400" s="12" t="n"/>
      <c r="D400" s="4" t="n"/>
      <c r="E400" s="2" t="n"/>
      <c r="F400" s="12" t="n"/>
      <c r="G400" s="2" t="n"/>
      <c r="H400" s="14" t="n"/>
      <c r="I400" s="12" t="n"/>
      <c r="J400" s="12" t="n"/>
      <c r="K400" s="12" t="n"/>
      <c r="L400" s="12" t="n"/>
      <c r="M400" s="12" t="n"/>
      <c r="N400" s="2">
        <f>IF(A400="","",SUM(I400:M400))</f>
        <v/>
      </c>
      <c r="O400" s="12" t="n"/>
      <c r="P400" s="12" t="n"/>
      <c r="Q400" s="2" t="n"/>
      <c r="R400" s="2" t="n"/>
      <c r="S400" s="2" t="n"/>
      <c r="T400" s="5">
        <f>IF(A400="","",(COUNTA(A400:M400)+COUNTA(O400:S400))/18)</f>
        <v/>
      </c>
      <c r="U400" s="2" t="n"/>
    </row>
    <row r="401">
      <c r="A401" s="12" t="n"/>
      <c r="B401" s="12" t="n"/>
      <c r="C401" s="12" t="n"/>
      <c r="D401" s="4" t="n"/>
      <c r="E401" s="2" t="n"/>
      <c r="F401" s="12" t="n"/>
      <c r="G401" s="2" t="n"/>
      <c r="H401" s="14" t="n"/>
      <c r="I401" s="12" t="n"/>
      <c r="J401" s="12" t="n"/>
      <c r="K401" s="12" t="n"/>
      <c r="L401" s="12" t="n"/>
      <c r="M401" s="12" t="n"/>
      <c r="N401" s="2">
        <f>IF(A401="","",SUM(I401:M401))</f>
        <v/>
      </c>
      <c r="O401" s="12" t="n"/>
      <c r="P401" s="12" t="n"/>
      <c r="Q401" s="2" t="n"/>
      <c r="R401" s="2" t="n"/>
      <c r="S401" s="2" t="n"/>
      <c r="T401" s="5">
        <f>IF(A401="","",(COUNTA(A401:M401)+COUNTA(O401:S401))/18)</f>
        <v/>
      </c>
      <c r="U401" s="2" t="n"/>
    </row>
    <row r="402">
      <c r="A402" s="12" t="n"/>
      <c r="B402" s="12" t="n"/>
      <c r="C402" s="12" t="n"/>
      <c r="D402" s="4" t="n"/>
      <c r="E402" s="2" t="n"/>
      <c r="F402" s="12" t="n"/>
      <c r="G402" s="2" t="n"/>
      <c r="H402" s="14" t="n"/>
      <c r="I402" s="12" t="n"/>
      <c r="J402" s="12" t="n"/>
      <c r="K402" s="12" t="n"/>
      <c r="L402" s="12" t="n"/>
      <c r="M402" s="12" t="n"/>
      <c r="N402" s="2">
        <f>IF(A402="","",SUM(I402:M402))</f>
        <v/>
      </c>
      <c r="O402" s="12" t="n"/>
      <c r="P402" s="12" t="n"/>
      <c r="Q402" s="2" t="n"/>
      <c r="R402" s="2" t="n"/>
      <c r="S402" s="2" t="n"/>
      <c r="T402" s="5">
        <f>IF(A402="","",(COUNTA(A402:M402)+COUNTA(O402:S402))/18)</f>
        <v/>
      </c>
      <c r="U402" s="2" t="n"/>
    </row>
    <row r="403">
      <c r="A403" s="12" t="n"/>
      <c r="B403" s="12" t="n"/>
      <c r="C403" s="12" t="n"/>
      <c r="D403" s="4" t="n"/>
      <c r="E403" s="2" t="n"/>
      <c r="F403" s="12" t="n"/>
      <c r="G403" s="2" t="n"/>
      <c r="H403" s="14" t="n"/>
      <c r="I403" s="12" t="n"/>
      <c r="J403" s="12" t="n"/>
      <c r="K403" s="12" t="n"/>
      <c r="L403" s="12" t="n"/>
      <c r="M403" s="12" t="n"/>
      <c r="N403" s="2">
        <f>IF(A403="","",SUM(I403:M403))</f>
        <v/>
      </c>
      <c r="O403" s="12" t="n"/>
      <c r="P403" s="12" t="n"/>
      <c r="Q403" s="2" t="n"/>
      <c r="R403" s="2" t="n"/>
      <c r="S403" s="2" t="n"/>
      <c r="T403" s="5">
        <f>IF(A403="","",(COUNTA(A403:M403)+COUNTA(O403:S403))/18)</f>
        <v/>
      </c>
      <c r="U403" s="2" t="n"/>
    </row>
    <row r="404">
      <c r="A404" s="12" t="n"/>
      <c r="B404" s="12" t="n"/>
      <c r="C404" s="12" t="n"/>
      <c r="D404" s="4" t="n"/>
      <c r="E404" s="2" t="n"/>
      <c r="F404" s="12" t="n"/>
      <c r="G404" s="2" t="n"/>
      <c r="H404" s="14" t="n"/>
      <c r="I404" s="12" t="n"/>
      <c r="J404" s="12" t="n"/>
      <c r="K404" s="12" t="n"/>
      <c r="L404" s="12" t="n"/>
      <c r="M404" s="12" t="n"/>
      <c r="N404" s="2">
        <f>IF(A404="","",SUM(I404:M404))</f>
        <v/>
      </c>
      <c r="O404" s="12" t="n"/>
      <c r="P404" s="12" t="n"/>
      <c r="Q404" s="2" t="n"/>
      <c r="R404" s="2" t="n"/>
      <c r="S404" s="2" t="n"/>
      <c r="T404" s="5">
        <f>IF(A404="","",(COUNTA(A404:M404)+COUNTA(O404:S404))/18)</f>
        <v/>
      </c>
      <c r="U404" s="2" t="n"/>
    </row>
    <row r="405">
      <c r="A405" s="12" t="n"/>
      <c r="B405" s="12" t="n"/>
      <c r="C405" s="12" t="n"/>
      <c r="D405" s="4" t="n"/>
      <c r="E405" s="2" t="n"/>
      <c r="F405" s="12" t="n"/>
      <c r="G405" s="2" t="n"/>
      <c r="H405" s="14" t="n"/>
      <c r="I405" s="12" t="n"/>
      <c r="J405" s="12" t="n"/>
      <c r="K405" s="12" t="n"/>
      <c r="L405" s="12" t="n"/>
      <c r="M405" s="12" t="n"/>
      <c r="N405" s="2">
        <f>IF(A405="","",SUM(I405:M405))</f>
        <v/>
      </c>
      <c r="O405" s="12" t="n"/>
      <c r="P405" s="12" t="n"/>
      <c r="Q405" s="2" t="n"/>
      <c r="R405" s="2" t="n"/>
      <c r="S405" s="2" t="n"/>
      <c r="T405" s="5">
        <f>IF(A405="","",(COUNTA(A405:M405)+COUNTA(O405:S405))/18)</f>
        <v/>
      </c>
      <c r="U405" s="2" t="n"/>
    </row>
    <row r="406">
      <c r="A406" s="12" t="n"/>
      <c r="B406" s="12" t="n"/>
      <c r="C406" s="12" t="n"/>
      <c r="D406" s="4" t="n"/>
      <c r="E406" s="2" t="n"/>
      <c r="F406" s="12" t="n"/>
      <c r="G406" s="2" t="n"/>
      <c r="H406" s="14" t="n"/>
      <c r="I406" s="12" t="n"/>
      <c r="J406" s="12" t="n"/>
      <c r="K406" s="12" t="n"/>
      <c r="L406" s="12" t="n"/>
      <c r="M406" s="12" t="n"/>
      <c r="N406" s="2">
        <f>IF(A406="","",SUM(I406:M406))</f>
        <v/>
      </c>
      <c r="O406" s="12" t="n"/>
      <c r="P406" s="12" t="n"/>
      <c r="Q406" s="2" t="n"/>
      <c r="R406" s="2" t="n"/>
      <c r="S406" s="2" t="n"/>
      <c r="T406" s="5">
        <f>IF(A406="","",(COUNTA(A406:M406)+COUNTA(O406:S406))/18)</f>
        <v/>
      </c>
      <c r="U406" s="2" t="n"/>
    </row>
    <row r="407">
      <c r="A407" s="12" t="n"/>
      <c r="B407" s="12" t="n"/>
      <c r="C407" s="12" t="n"/>
      <c r="D407" s="4" t="n"/>
      <c r="E407" s="2" t="n"/>
      <c r="F407" s="12" t="n"/>
      <c r="G407" s="2" t="n"/>
      <c r="H407" s="14" t="n"/>
      <c r="I407" s="12" t="n"/>
      <c r="J407" s="12" t="n"/>
      <c r="K407" s="12" t="n"/>
      <c r="L407" s="12" t="n"/>
      <c r="M407" s="12" t="n"/>
      <c r="N407" s="2">
        <f>IF(A407="","",SUM(I407:M407))</f>
        <v/>
      </c>
      <c r="O407" s="12" t="n"/>
      <c r="P407" s="12" t="n"/>
      <c r="Q407" s="2" t="n"/>
      <c r="R407" s="2" t="n"/>
      <c r="S407" s="2" t="n"/>
      <c r="T407" s="5">
        <f>IF(A407="","",(COUNTA(A407:M407)+COUNTA(O407:S407))/18)</f>
        <v/>
      </c>
      <c r="U407" s="2" t="n"/>
    </row>
    <row r="408">
      <c r="A408" s="12" t="n"/>
      <c r="B408" s="12" t="n"/>
      <c r="C408" s="12" t="n"/>
      <c r="D408" s="4" t="n"/>
      <c r="E408" s="2" t="n"/>
      <c r="F408" s="12" t="n"/>
      <c r="G408" s="2" t="n"/>
      <c r="H408" s="14" t="n"/>
      <c r="I408" s="12" t="n"/>
      <c r="J408" s="12" t="n"/>
      <c r="K408" s="12" t="n"/>
      <c r="L408" s="12" t="n"/>
      <c r="M408" s="12" t="n"/>
      <c r="N408" s="2">
        <f>IF(A408="","",SUM(I408:M408))</f>
        <v/>
      </c>
      <c r="O408" s="12" t="n"/>
      <c r="P408" s="12" t="n"/>
      <c r="Q408" s="2" t="n"/>
      <c r="R408" s="2" t="n"/>
      <c r="S408" s="2" t="n"/>
      <c r="T408" s="5">
        <f>IF(A408="","",(COUNTA(A408:M408)+COUNTA(O408:S408))/18)</f>
        <v/>
      </c>
      <c r="U408" s="2" t="n"/>
    </row>
    <row r="409">
      <c r="A409" s="12" t="n"/>
      <c r="B409" s="12" t="n"/>
      <c r="C409" s="12" t="n"/>
      <c r="D409" s="4" t="n"/>
      <c r="E409" s="2" t="n"/>
      <c r="F409" s="12" t="n"/>
      <c r="G409" s="2" t="n"/>
      <c r="H409" s="14" t="n"/>
      <c r="I409" s="12" t="n"/>
      <c r="J409" s="12" t="n"/>
      <c r="K409" s="12" t="n"/>
      <c r="L409" s="12" t="n"/>
      <c r="M409" s="12" t="n"/>
      <c r="N409" s="2">
        <f>IF(A409="","",SUM(I409:M409))</f>
        <v/>
      </c>
      <c r="O409" s="12" t="n"/>
      <c r="P409" s="12" t="n"/>
      <c r="Q409" s="2" t="n"/>
      <c r="R409" s="2" t="n"/>
      <c r="S409" s="2" t="n"/>
      <c r="T409" s="5">
        <f>IF(A409="","",(COUNTA(A409:M409)+COUNTA(O409:S409))/18)</f>
        <v/>
      </c>
      <c r="U409" s="2" t="n"/>
    </row>
    <row r="410">
      <c r="A410" s="12" t="n"/>
      <c r="B410" s="12" t="n"/>
      <c r="C410" s="12" t="n"/>
      <c r="D410" s="4" t="n"/>
      <c r="E410" s="2" t="n"/>
      <c r="F410" s="12" t="n"/>
      <c r="G410" s="2" t="n"/>
      <c r="H410" s="14" t="n"/>
      <c r="I410" s="12" t="n"/>
      <c r="J410" s="12" t="n"/>
      <c r="K410" s="12" t="n"/>
      <c r="L410" s="12" t="n"/>
      <c r="M410" s="12" t="n"/>
      <c r="N410" s="2">
        <f>IF(A410="","",SUM(I410:M410))</f>
        <v/>
      </c>
      <c r="O410" s="12" t="n"/>
      <c r="P410" s="12" t="n"/>
      <c r="Q410" s="2" t="n"/>
      <c r="R410" s="2" t="n"/>
      <c r="S410" s="2" t="n"/>
      <c r="T410" s="5">
        <f>IF(A410="","",(COUNTA(A410:M410)+COUNTA(O410:S410))/18)</f>
        <v/>
      </c>
      <c r="U410" s="2" t="n"/>
    </row>
    <row r="411">
      <c r="A411" s="12" t="n"/>
      <c r="B411" s="12" t="n"/>
      <c r="C411" s="12" t="n"/>
      <c r="D411" s="4" t="n"/>
      <c r="E411" s="2" t="n"/>
      <c r="F411" s="12" t="n"/>
      <c r="G411" s="2" t="n"/>
      <c r="H411" s="14" t="n"/>
      <c r="I411" s="12" t="n"/>
      <c r="J411" s="12" t="n"/>
      <c r="K411" s="12" t="n"/>
      <c r="L411" s="12" t="n"/>
      <c r="M411" s="12" t="n"/>
      <c r="N411" s="2">
        <f>IF(A411="","",SUM(I411:M411))</f>
        <v/>
      </c>
      <c r="O411" s="12" t="n"/>
      <c r="P411" s="12" t="n"/>
      <c r="Q411" s="2" t="n"/>
      <c r="R411" s="2" t="n"/>
      <c r="S411" s="2" t="n"/>
      <c r="T411" s="5">
        <f>IF(A411="","",(COUNTA(A411:M411)+COUNTA(O411:S411))/18)</f>
        <v/>
      </c>
      <c r="U411" s="2" t="n"/>
    </row>
    <row r="412">
      <c r="A412" s="12" t="n"/>
      <c r="B412" s="12" t="n"/>
      <c r="C412" s="12" t="n"/>
      <c r="D412" s="4" t="n"/>
      <c r="E412" s="2" t="n"/>
      <c r="F412" s="12" t="n"/>
      <c r="G412" s="2" t="n"/>
      <c r="H412" s="14" t="n"/>
      <c r="I412" s="12" t="n"/>
      <c r="J412" s="12" t="n"/>
      <c r="K412" s="12" t="n"/>
      <c r="L412" s="12" t="n"/>
      <c r="M412" s="12" t="n"/>
      <c r="N412" s="2">
        <f>IF(A412="","",SUM(I412:M412))</f>
        <v/>
      </c>
      <c r="O412" s="12" t="n"/>
      <c r="P412" s="12" t="n"/>
      <c r="Q412" s="2" t="n"/>
      <c r="R412" s="2" t="n"/>
      <c r="S412" s="2" t="n"/>
      <c r="T412" s="5">
        <f>IF(A412="","",(COUNTA(A412:M412)+COUNTA(O412:S412))/18)</f>
        <v/>
      </c>
      <c r="U412" s="2" t="n"/>
    </row>
    <row r="413">
      <c r="A413" s="12" t="n"/>
      <c r="B413" s="12" t="n"/>
      <c r="C413" s="12" t="n"/>
      <c r="D413" s="4" t="n"/>
      <c r="E413" s="2" t="n"/>
      <c r="F413" s="12" t="n"/>
      <c r="G413" s="2" t="n"/>
      <c r="H413" s="14" t="n"/>
      <c r="I413" s="12" t="n"/>
      <c r="J413" s="12" t="n"/>
      <c r="K413" s="12" t="n"/>
      <c r="L413" s="12" t="n"/>
      <c r="M413" s="12" t="n"/>
      <c r="N413" s="2">
        <f>IF(A413="","",SUM(I413:M413))</f>
        <v/>
      </c>
      <c r="O413" s="12" t="n"/>
      <c r="P413" s="12" t="n"/>
      <c r="Q413" s="2" t="n"/>
      <c r="R413" s="2" t="n"/>
      <c r="S413" s="2" t="n"/>
      <c r="T413" s="5">
        <f>IF(A413="","",(COUNTA(A413:M413)+COUNTA(O413:S413))/18)</f>
        <v/>
      </c>
      <c r="U413" s="2" t="n"/>
    </row>
    <row r="414">
      <c r="A414" s="12" t="n"/>
      <c r="B414" s="12" t="n"/>
      <c r="C414" s="12" t="n"/>
      <c r="D414" s="4" t="n"/>
      <c r="E414" s="2" t="n"/>
      <c r="F414" s="12" t="n"/>
      <c r="G414" s="2" t="n"/>
      <c r="H414" s="14" t="n"/>
      <c r="I414" s="12" t="n"/>
      <c r="J414" s="12" t="n"/>
      <c r="K414" s="12" t="n"/>
      <c r="L414" s="12" t="n"/>
      <c r="M414" s="12" t="n"/>
      <c r="N414" s="2">
        <f>IF(A414="","",SUM(I414:M414))</f>
        <v/>
      </c>
      <c r="O414" s="12" t="n"/>
      <c r="P414" s="12" t="n"/>
      <c r="Q414" s="2" t="n"/>
      <c r="R414" s="2" t="n"/>
      <c r="S414" s="2" t="n"/>
      <c r="T414" s="5">
        <f>IF(A414="","",(COUNTA(A414:M414)+COUNTA(O414:S414))/18)</f>
        <v/>
      </c>
      <c r="U414" s="2" t="n"/>
    </row>
    <row r="415">
      <c r="A415" s="12" t="n"/>
      <c r="B415" s="12" t="n"/>
      <c r="C415" s="12" t="n"/>
      <c r="D415" s="4" t="n"/>
      <c r="E415" s="2" t="n"/>
      <c r="F415" s="12" t="n"/>
      <c r="G415" s="2" t="n"/>
      <c r="H415" s="14" t="n"/>
      <c r="I415" s="12" t="n"/>
      <c r="J415" s="12" t="n"/>
      <c r="K415" s="12" t="n"/>
      <c r="L415" s="12" t="n"/>
      <c r="M415" s="12" t="n"/>
      <c r="N415" s="2">
        <f>IF(A415="","",SUM(I415:M415))</f>
        <v/>
      </c>
      <c r="O415" s="12" t="n"/>
      <c r="P415" s="12" t="n"/>
      <c r="Q415" s="2" t="n"/>
      <c r="R415" s="2" t="n"/>
      <c r="S415" s="2" t="n"/>
      <c r="T415" s="5">
        <f>IF(A415="","",(COUNTA(A415:M415)+COUNTA(O415:S415))/18)</f>
        <v/>
      </c>
      <c r="U415" s="2" t="n"/>
    </row>
    <row r="416">
      <c r="A416" s="12" t="n"/>
      <c r="B416" s="12" t="n"/>
      <c r="C416" s="12" t="n"/>
      <c r="D416" s="4" t="n"/>
      <c r="E416" s="2" t="n"/>
      <c r="F416" s="12" t="n"/>
      <c r="G416" s="2" t="n"/>
      <c r="H416" s="14" t="n"/>
      <c r="I416" s="12" t="n"/>
      <c r="J416" s="12" t="n"/>
      <c r="K416" s="12" t="n"/>
      <c r="L416" s="12" t="n"/>
      <c r="M416" s="12" t="n"/>
      <c r="N416" s="2">
        <f>IF(A416="","",SUM(I416:M416))</f>
        <v/>
      </c>
      <c r="O416" s="12" t="n"/>
      <c r="P416" s="12" t="n"/>
      <c r="Q416" s="2" t="n"/>
      <c r="R416" s="2" t="n"/>
      <c r="S416" s="2" t="n"/>
      <c r="T416" s="5">
        <f>IF(A416="","",(COUNTA(A416:M416)+COUNTA(O416:S416))/18)</f>
        <v/>
      </c>
      <c r="U416" s="2" t="n"/>
    </row>
    <row r="417">
      <c r="A417" s="12" t="n"/>
      <c r="B417" s="12" t="n"/>
      <c r="C417" s="12" t="n"/>
      <c r="D417" s="4" t="n"/>
      <c r="E417" s="2" t="n"/>
      <c r="F417" s="12" t="n"/>
      <c r="G417" s="2" t="n"/>
      <c r="H417" s="14" t="n"/>
      <c r="I417" s="12" t="n"/>
      <c r="J417" s="12" t="n"/>
      <c r="K417" s="12" t="n"/>
      <c r="L417" s="12" t="n"/>
      <c r="M417" s="12" t="n"/>
      <c r="N417" s="2">
        <f>IF(A417="","",SUM(I417:M417))</f>
        <v/>
      </c>
      <c r="O417" s="12" t="n"/>
      <c r="P417" s="12" t="n"/>
      <c r="Q417" s="2" t="n"/>
      <c r="R417" s="2" t="n"/>
      <c r="S417" s="2" t="n"/>
      <c r="T417" s="5">
        <f>IF(A417="","",(COUNTA(A417:M417)+COUNTA(O417:S417))/18)</f>
        <v/>
      </c>
      <c r="U417" s="2" t="n"/>
    </row>
    <row r="418">
      <c r="A418" s="12" t="n"/>
      <c r="B418" s="12" t="n"/>
      <c r="C418" s="12" t="n"/>
      <c r="D418" s="4" t="n"/>
      <c r="E418" s="2" t="n"/>
      <c r="F418" s="12" t="n"/>
      <c r="G418" s="2" t="n"/>
      <c r="H418" s="14" t="n"/>
      <c r="I418" s="12" t="n"/>
      <c r="J418" s="12" t="n"/>
      <c r="K418" s="12" t="n"/>
      <c r="L418" s="12" t="n"/>
      <c r="M418" s="12" t="n"/>
      <c r="N418" s="2">
        <f>IF(A418="","",SUM(I418:M418))</f>
        <v/>
      </c>
      <c r="O418" s="12" t="n"/>
      <c r="P418" s="12" t="n"/>
      <c r="Q418" s="2" t="n"/>
      <c r="R418" s="2" t="n"/>
      <c r="S418" s="2" t="n"/>
      <c r="T418" s="5">
        <f>IF(A418="","",(COUNTA(A418:M418)+COUNTA(O418:S418))/18)</f>
        <v/>
      </c>
      <c r="U418" s="2" t="n"/>
    </row>
    <row r="419">
      <c r="A419" s="12" t="n"/>
      <c r="B419" s="12" t="n"/>
      <c r="C419" s="12" t="n"/>
      <c r="D419" s="4" t="n"/>
      <c r="E419" s="2" t="n"/>
      <c r="F419" s="12" t="n"/>
      <c r="G419" s="2" t="n"/>
      <c r="H419" s="14" t="n"/>
      <c r="I419" s="12" t="n"/>
      <c r="J419" s="12" t="n"/>
      <c r="K419" s="12" t="n"/>
      <c r="L419" s="12" t="n"/>
      <c r="M419" s="12" t="n"/>
      <c r="N419" s="2">
        <f>IF(A419="","",SUM(I419:M419))</f>
        <v/>
      </c>
      <c r="O419" s="12" t="n"/>
      <c r="P419" s="12" t="n"/>
      <c r="Q419" s="2" t="n"/>
      <c r="R419" s="2" t="n"/>
      <c r="S419" s="2" t="n"/>
      <c r="T419" s="5">
        <f>IF(A419="","",(COUNTA(A419:M419)+COUNTA(O419:S419))/18)</f>
        <v/>
      </c>
      <c r="U419" s="2" t="n"/>
    </row>
    <row r="420">
      <c r="A420" s="12" t="n"/>
      <c r="B420" s="12" t="n"/>
      <c r="C420" s="12" t="n"/>
      <c r="D420" s="4" t="n"/>
      <c r="E420" s="2" t="n"/>
      <c r="F420" s="12" t="n"/>
      <c r="G420" s="2" t="n"/>
      <c r="H420" s="14" t="n"/>
      <c r="I420" s="12" t="n"/>
      <c r="J420" s="12" t="n"/>
      <c r="K420" s="12" t="n"/>
      <c r="L420" s="12" t="n"/>
      <c r="M420" s="12" t="n"/>
      <c r="N420" s="2">
        <f>IF(A420="","",SUM(I420:M420))</f>
        <v/>
      </c>
      <c r="O420" s="12" t="n"/>
      <c r="P420" s="12" t="n"/>
      <c r="Q420" s="2" t="n"/>
      <c r="R420" s="2" t="n"/>
      <c r="S420" s="2" t="n"/>
      <c r="T420" s="5">
        <f>IF(A420="","",(COUNTA(A420:M420)+COUNTA(O420:S420))/18)</f>
        <v/>
      </c>
      <c r="U420" s="2" t="n"/>
    </row>
    <row r="421">
      <c r="A421" s="12" t="n"/>
      <c r="B421" s="12" t="n"/>
      <c r="C421" s="12" t="n"/>
      <c r="D421" s="4" t="n"/>
      <c r="E421" s="2" t="n"/>
      <c r="F421" s="12" t="n"/>
      <c r="G421" s="2" t="n"/>
      <c r="H421" s="14" t="n"/>
      <c r="I421" s="12" t="n"/>
      <c r="J421" s="12" t="n"/>
      <c r="K421" s="12" t="n"/>
      <c r="L421" s="12" t="n"/>
      <c r="M421" s="12" t="n"/>
      <c r="N421" s="2">
        <f>IF(A421="","",SUM(I421:M421))</f>
        <v/>
      </c>
      <c r="O421" s="12" t="n"/>
      <c r="P421" s="12" t="n"/>
      <c r="Q421" s="2" t="n"/>
      <c r="R421" s="2" t="n"/>
      <c r="S421" s="2" t="n"/>
      <c r="T421" s="5">
        <f>IF(A421="","",(COUNTA(A421:M421)+COUNTA(O421:S421))/18)</f>
        <v/>
      </c>
      <c r="U421" s="2" t="n"/>
    </row>
    <row r="422">
      <c r="A422" s="12" t="n"/>
      <c r="B422" s="12" t="n"/>
      <c r="C422" s="12" t="n"/>
      <c r="D422" s="4" t="n"/>
      <c r="E422" s="2" t="n"/>
      <c r="F422" s="12" t="n"/>
      <c r="G422" s="2" t="n"/>
      <c r="H422" s="14" t="n"/>
      <c r="I422" s="12" t="n"/>
      <c r="J422" s="12" t="n"/>
      <c r="K422" s="12" t="n"/>
      <c r="L422" s="12" t="n"/>
      <c r="M422" s="12" t="n"/>
      <c r="N422" s="2">
        <f>IF(A422="","",SUM(I422:M422))</f>
        <v/>
      </c>
      <c r="O422" s="12" t="n"/>
      <c r="P422" s="12" t="n"/>
      <c r="Q422" s="2" t="n"/>
      <c r="R422" s="2" t="n"/>
      <c r="S422" s="2" t="n"/>
      <c r="T422" s="5">
        <f>IF(A422="","",(COUNTA(A422:M422)+COUNTA(O422:S422))/18)</f>
        <v/>
      </c>
      <c r="U422" s="2" t="n"/>
    </row>
    <row r="423">
      <c r="A423" s="12" t="n"/>
      <c r="B423" s="12" t="n"/>
      <c r="C423" s="12" t="n"/>
      <c r="D423" s="4" t="n"/>
      <c r="E423" s="2" t="n"/>
      <c r="F423" s="12" t="n"/>
      <c r="G423" s="2" t="n"/>
      <c r="H423" s="14" t="n"/>
      <c r="I423" s="12" t="n"/>
      <c r="J423" s="12" t="n"/>
      <c r="K423" s="12" t="n"/>
      <c r="L423" s="12" t="n"/>
      <c r="M423" s="12" t="n"/>
      <c r="N423" s="2">
        <f>IF(A423="","",SUM(I423:M423))</f>
        <v/>
      </c>
      <c r="O423" s="12" t="n"/>
      <c r="P423" s="12" t="n"/>
      <c r="Q423" s="2" t="n"/>
      <c r="R423" s="2" t="n"/>
      <c r="S423" s="2" t="n"/>
      <c r="T423" s="5">
        <f>IF(A423="","",(COUNTA(A423:M423)+COUNTA(O423:S423))/18)</f>
        <v/>
      </c>
      <c r="U423" s="2" t="n"/>
    </row>
    <row r="424">
      <c r="A424" s="12" t="n"/>
      <c r="B424" s="12" t="n"/>
      <c r="C424" s="12" t="n"/>
      <c r="D424" s="4" t="n"/>
      <c r="E424" s="2" t="n"/>
      <c r="F424" s="12" t="n"/>
      <c r="G424" s="2" t="n"/>
      <c r="H424" s="14" t="n"/>
      <c r="I424" s="12" t="n"/>
      <c r="J424" s="12" t="n"/>
      <c r="K424" s="12" t="n"/>
      <c r="L424" s="12" t="n"/>
      <c r="M424" s="12" t="n"/>
      <c r="N424" s="2">
        <f>IF(A424="","",SUM(I424:M424))</f>
        <v/>
      </c>
      <c r="O424" s="12" t="n"/>
      <c r="P424" s="12" t="n"/>
      <c r="Q424" s="2" t="n"/>
      <c r="R424" s="2" t="n"/>
      <c r="S424" s="2" t="n"/>
      <c r="T424" s="5">
        <f>IF(A424="","",(COUNTA(A424:M424)+COUNTA(O424:S424))/18)</f>
        <v/>
      </c>
      <c r="U424" s="2" t="n"/>
    </row>
    <row r="425">
      <c r="A425" s="12" t="n"/>
      <c r="B425" s="12" t="n"/>
      <c r="C425" s="12" t="n"/>
      <c r="D425" s="4" t="n"/>
      <c r="E425" s="2" t="n"/>
      <c r="F425" s="12" t="n"/>
      <c r="G425" s="2" t="n"/>
      <c r="H425" s="14" t="n"/>
      <c r="I425" s="12" t="n"/>
      <c r="J425" s="12" t="n"/>
      <c r="K425" s="12" t="n"/>
      <c r="L425" s="12" t="n"/>
      <c r="M425" s="12" t="n"/>
      <c r="N425" s="2">
        <f>IF(A425="","",SUM(I425:M425))</f>
        <v/>
      </c>
      <c r="O425" s="12" t="n"/>
      <c r="P425" s="12" t="n"/>
      <c r="Q425" s="2" t="n"/>
      <c r="R425" s="2" t="n"/>
      <c r="S425" s="2" t="n"/>
      <c r="T425" s="5">
        <f>IF(A425="","",(COUNTA(A425:M425)+COUNTA(O425:S425))/18)</f>
        <v/>
      </c>
      <c r="U425" s="2" t="n"/>
    </row>
    <row r="426">
      <c r="A426" s="12" t="n"/>
      <c r="B426" s="12" t="n"/>
      <c r="C426" s="12" t="n"/>
      <c r="D426" s="4" t="n"/>
      <c r="E426" s="2" t="n"/>
      <c r="F426" s="12" t="n"/>
      <c r="G426" s="2" t="n"/>
      <c r="H426" s="14" t="n"/>
      <c r="I426" s="12" t="n"/>
      <c r="J426" s="12" t="n"/>
      <c r="K426" s="12" t="n"/>
      <c r="L426" s="12" t="n"/>
      <c r="M426" s="12" t="n"/>
      <c r="N426" s="2">
        <f>IF(A426="","",SUM(I426:M426))</f>
        <v/>
      </c>
      <c r="O426" s="12" t="n"/>
      <c r="P426" s="12" t="n"/>
      <c r="Q426" s="2" t="n"/>
      <c r="R426" s="2" t="n"/>
      <c r="S426" s="2" t="n"/>
      <c r="T426" s="5">
        <f>IF(A426="","",(COUNTA(A426:M426)+COUNTA(O426:S426))/18)</f>
        <v/>
      </c>
      <c r="U426" s="2" t="n"/>
    </row>
    <row r="427">
      <c r="A427" s="12" t="n"/>
      <c r="B427" s="12" t="n"/>
      <c r="C427" s="12" t="n"/>
      <c r="D427" s="4" t="n"/>
      <c r="E427" s="2" t="n"/>
      <c r="F427" s="12" t="n"/>
      <c r="G427" s="2" t="n"/>
      <c r="H427" s="14" t="n"/>
      <c r="I427" s="12" t="n"/>
      <c r="J427" s="12" t="n"/>
      <c r="K427" s="12" t="n"/>
      <c r="L427" s="12" t="n"/>
      <c r="M427" s="12" t="n"/>
      <c r="N427" s="2">
        <f>IF(A427="","",SUM(I427:M427))</f>
        <v/>
      </c>
      <c r="O427" s="12" t="n"/>
      <c r="P427" s="12" t="n"/>
      <c r="Q427" s="2" t="n"/>
      <c r="R427" s="2" t="n"/>
      <c r="S427" s="2" t="n"/>
      <c r="T427" s="5">
        <f>IF(A427="","",(COUNTA(A427:M427)+COUNTA(O427:S427))/18)</f>
        <v/>
      </c>
      <c r="U427" s="2" t="n"/>
    </row>
    <row r="428">
      <c r="A428" s="12" t="n"/>
      <c r="B428" s="12" t="n"/>
      <c r="C428" s="12" t="n"/>
      <c r="D428" s="4" t="n"/>
      <c r="E428" s="2" t="n"/>
      <c r="F428" s="12" t="n"/>
      <c r="G428" s="2" t="n"/>
      <c r="H428" s="14" t="n"/>
      <c r="I428" s="12" t="n"/>
      <c r="J428" s="12" t="n"/>
      <c r="K428" s="12" t="n"/>
      <c r="L428" s="12" t="n"/>
      <c r="M428" s="12" t="n"/>
      <c r="N428" s="2">
        <f>IF(A428="","",SUM(I428:M428))</f>
        <v/>
      </c>
      <c r="O428" s="12" t="n"/>
      <c r="P428" s="12" t="n"/>
      <c r="Q428" s="2" t="n"/>
      <c r="R428" s="2" t="n"/>
      <c r="S428" s="2" t="n"/>
      <c r="T428" s="5">
        <f>IF(A428="","",(COUNTA(A428:M428)+COUNTA(O428:S428))/18)</f>
        <v/>
      </c>
      <c r="U428" s="2" t="n"/>
    </row>
    <row r="429">
      <c r="A429" s="12" t="n"/>
      <c r="B429" s="12" t="n"/>
      <c r="C429" s="12" t="n"/>
      <c r="D429" s="4" t="n"/>
      <c r="E429" s="2" t="n"/>
      <c r="F429" s="12" t="n"/>
      <c r="G429" s="2" t="n"/>
      <c r="H429" s="14" t="n"/>
      <c r="I429" s="12" t="n"/>
      <c r="J429" s="12" t="n"/>
      <c r="K429" s="12" t="n"/>
      <c r="L429" s="12" t="n"/>
      <c r="M429" s="12" t="n"/>
      <c r="N429" s="2">
        <f>IF(A429="","",SUM(I429:M429))</f>
        <v/>
      </c>
      <c r="O429" s="12" t="n"/>
      <c r="P429" s="12" t="n"/>
      <c r="Q429" s="2" t="n"/>
      <c r="R429" s="2" t="n"/>
      <c r="S429" s="2" t="n"/>
      <c r="T429" s="5">
        <f>IF(A429="","",(COUNTA(A429:M429)+COUNTA(O429:S429))/18)</f>
        <v/>
      </c>
      <c r="U429" s="2" t="n"/>
    </row>
    <row r="430">
      <c r="A430" s="12" t="n"/>
      <c r="B430" s="12" t="n"/>
      <c r="C430" s="12" t="n"/>
      <c r="D430" s="4" t="n"/>
      <c r="E430" s="2" t="n"/>
      <c r="F430" s="12" t="n"/>
      <c r="G430" s="2" t="n"/>
      <c r="H430" s="14" t="n"/>
      <c r="I430" s="12" t="n"/>
      <c r="J430" s="12" t="n"/>
      <c r="K430" s="12" t="n"/>
      <c r="L430" s="12" t="n"/>
      <c r="M430" s="12" t="n"/>
      <c r="N430" s="2">
        <f>IF(A430="","",SUM(I430:M430))</f>
        <v/>
      </c>
      <c r="O430" s="12" t="n"/>
      <c r="P430" s="12" t="n"/>
      <c r="Q430" s="2" t="n"/>
      <c r="R430" s="2" t="n"/>
      <c r="S430" s="2" t="n"/>
      <c r="T430" s="5">
        <f>IF(A430="","",(COUNTA(A430:M430)+COUNTA(O430:S430))/18)</f>
        <v/>
      </c>
      <c r="U430" s="2" t="n"/>
    </row>
    <row r="431">
      <c r="A431" s="12" t="n"/>
      <c r="B431" s="12" t="n"/>
      <c r="C431" s="12" t="n"/>
      <c r="D431" s="4" t="n"/>
      <c r="E431" s="2" t="n"/>
      <c r="F431" s="12" t="n"/>
      <c r="G431" s="2" t="n"/>
      <c r="H431" s="14" t="n"/>
      <c r="I431" s="12" t="n"/>
      <c r="J431" s="12" t="n"/>
      <c r="K431" s="12" t="n"/>
      <c r="L431" s="12" t="n"/>
      <c r="M431" s="12" t="n"/>
      <c r="N431" s="2">
        <f>IF(A431="","",SUM(I431:M431))</f>
        <v/>
      </c>
      <c r="O431" s="12" t="n"/>
      <c r="P431" s="12" t="n"/>
      <c r="Q431" s="2" t="n"/>
      <c r="R431" s="2" t="n"/>
      <c r="S431" s="2" t="n"/>
      <c r="T431" s="5">
        <f>IF(A431="","",(COUNTA(A431:M431)+COUNTA(O431:S431))/18)</f>
        <v/>
      </c>
      <c r="U431" s="2" t="n"/>
    </row>
    <row r="432">
      <c r="A432" s="12" t="n"/>
      <c r="B432" s="12" t="n"/>
      <c r="C432" s="12" t="n"/>
      <c r="D432" s="4" t="n"/>
      <c r="E432" s="2" t="n"/>
      <c r="F432" s="12" t="n"/>
      <c r="G432" s="2" t="n"/>
      <c r="H432" s="14" t="n"/>
      <c r="I432" s="12" t="n"/>
      <c r="J432" s="12" t="n"/>
      <c r="K432" s="12" t="n"/>
      <c r="L432" s="12" t="n"/>
      <c r="M432" s="12" t="n"/>
      <c r="N432" s="2">
        <f>IF(A432="","",SUM(I432:M432))</f>
        <v/>
      </c>
      <c r="O432" s="12" t="n"/>
      <c r="P432" s="12" t="n"/>
      <c r="Q432" s="2" t="n"/>
      <c r="R432" s="2" t="n"/>
      <c r="S432" s="2" t="n"/>
      <c r="T432" s="5">
        <f>IF(A432="","",(COUNTA(A432:M432)+COUNTA(O432:S432))/18)</f>
        <v/>
      </c>
      <c r="U432" s="2" t="n"/>
    </row>
    <row r="433">
      <c r="A433" s="12" t="n"/>
      <c r="B433" s="12" t="n"/>
      <c r="C433" s="12" t="n"/>
      <c r="D433" s="4" t="n"/>
      <c r="E433" s="2" t="n"/>
      <c r="F433" s="12" t="n"/>
      <c r="G433" s="2" t="n"/>
      <c r="H433" s="14" t="n"/>
      <c r="I433" s="12" t="n"/>
      <c r="J433" s="12" t="n"/>
      <c r="K433" s="12" t="n"/>
      <c r="L433" s="12" t="n"/>
      <c r="M433" s="12" t="n"/>
      <c r="N433" s="2">
        <f>IF(A433="","",SUM(I433:M433))</f>
        <v/>
      </c>
      <c r="O433" s="12" t="n"/>
      <c r="P433" s="12" t="n"/>
      <c r="Q433" s="2" t="n"/>
      <c r="R433" s="2" t="n"/>
      <c r="S433" s="2" t="n"/>
      <c r="T433" s="5">
        <f>IF(A433="","",(COUNTA(A433:M433)+COUNTA(O433:S433))/18)</f>
        <v/>
      </c>
      <c r="U433" s="2" t="n"/>
    </row>
    <row r="434">
      <c r="A434" s="12" t="n"/>
      <c r="B434" s="12" t="n"/>
      <c r="C434" s="12" t="n"/>
      <c r="D434" s="4" t="n"/>
      <c r="E434" s="2" t="n"/>
      <c r="F434" s="12" t="n"/>
      <c r="G434" s="2" t="n"/>
      <c r="H434" s="14" t="n"/>
      <c r="I434" s="12" t="n"/>
      <c r="J434" s="12" t="n"/>
      <c r="K434" s="12" t="n"/>
      <c r="L434" s="12" t="n"/>
      <c r="M434" s="12" t="n"/>
      <c r="N434" s="2">
        <f>IF(A434="","",SUM(I434:M434))</f>
        <v/>
      </c>
      <c r="O434" s="12" t="n"/>
      <c r="P434" s="12" t="n"/>
      <c r="Q434" s="2" t="n"/>
      <c r="R434" s="2" t="n"/>
      <c r="S434" s="2" t="n"/>
      <c r="T434" s="5">
        <f>IF(A434="","",(COUNTA(A434:M434)+COUNTA(O434:S434))/18)</f>
        <v/>
      </c>
      <c r="U434" s="2" t="n"/>
    </row>
    <row r="435">
      <c r="A435" s="12" t="n"/>
      <c r="B435" s="12" t="n"/>
      <c r="C435" s="12" t="n"/>
      <c r="D435" s="4" t="n"/>
      <c r="E435" s="2" t="n"/>
      <c r="F435" s="12" t="n"/>
      <c r="G435" s="2" t="n"/>
      <c r="H435" s="14" t="n"/>
      <c r="I435" s="12" t="n"/>
      <c r="J435" s="12" t="n"/>
      <c r="K435" s="12" t="n"/>
      <c r="L435" s="12" t="n"/>
      <c r="M435" s="12" t="n"/>
      <c r="N435" s="2">
        <f>IF(A435="","",SUM(I435:M435))</f>
        <v/>
      </c>
      <c r="O435" s="12" t="n"/>
      <c r="P435" s="12" t="n"/>
      <c r="Q435" s="2" t="n"/>
      <c r="R435" s="2" t="n"/>
      <c r="S435" s="2" t="n"/>
      <c r="T435" s="5">
        <f>IF(A435="","",(COUNTA(A435:M435)+COUNTA(O435:S435))/18)</f>
        <v/>
      </c>
      <c r="U435" s="2" t="n"/>
    </row>
    <row r="436">
      <c r="A436" s="12" t="n"/>
      <c r="B436" s="12" t="n"/>
      <c r="C436" s="12" t="n"/>
      <c r="D436" s="4" t="n"/>
      <c r="E436" s="2" t="n"/>
      <c r="F436" s="12" t="n"/>
      <c r="G436" s="2" t="n"/>
      <c r="H436" s="14" t="n"/>
      <c r="I436" s="12" t="n"/>
      <c r="J436" s="12" t="n"/>
      <c r="K436" s="12" t="n"/>
      <c r="L436" s="12" t="n"/>
      <c r="M436" s="12" t="n"/>
      <c r="N436" s="2">
        <f>IF(A436="","",SUM(I436:M436))</f>
        <v/>
      </c>
      <c r="O436" s="12" t="n"/>
      <c r="P436" s="12" t="n"/>
      <c r="Q436" s="2" t="n"/>
      <c r="R436" s="2" t="n"/>
      <c r="S436" s="2" t="n"/>
      <c r="T436" s="5">
        <f>IF(A436="","",(COUNTA(A436:M436)+COUNTA(O436:S436))/18)</f>
        <v/>
      </c>
      <c r="U436" s="2" t="n"/>
    </row>
    <row r="437">
      <c r="A437" s="12" t="n"/>
      <c r="B437" s="12" t="n"/>
      <c r="C437" s="12" t="n"/>
      <c r="D437" s="4" t="n"/>
      <c r="E437" s="2" t="n"/>
      <c r="F437" s="12" t="n"/>
      <c r="G437" s="2" t="n"/>
      <c r="H437" s="14" t="n"/>
      <c r="I437" s="12" t="n"/>
      <c r="J437" s="12" t="n"/>
      <c r="K437" s="12" t="n"/>
      <c r="L437" s="12" t="n"/>
      <c r="M437" s="12" t="n"/>
      <c r="N437" s="2">
        <f>IF(A437="","",SUM(I437:M437))</f>
        <v/>
      </c>
      <c r="O437" s="12" t="n"/>
      <c r="P437" s="12" t="n"/>
      <c r="Q437" s="2" t="n"/>
      <c r="R437" s="2" t="n"/>
      <c r="S437" s="2" t="n"/>
      <c r="T437" s="5">
        <f>IF(A437="","",(COUNTA(A437:M437)+COUNTA(O437:S437))/18)</f>
        <v/>
      </c>
      <c r="U437" s="2" t="n"/>
    </row>
    <row r="438">
      <c r="A438" s="12" t="n"/>
      <c r="B438" s="12" t="n"/>
      <c r="C438" s="12" t="n"/>
      <c r="D438" s="4" t="n"/>
      <c r="E438" s="2" t="n"/>
      <c r="F438" s="12" t="n"/>
      <c r="G438" s="2" t="n"/>
      <c r="H438" s="14" t="n"/>
      <c r="I438" s="12" t="n"/>
      <c r="J438" s="12" t="n"/>
      <c r="K438" s="12" t="n"/>
      <c r="L438" s="12" t="n"/>
      <c r="M438" s="12" t="n"/>
      <c r="N438" s="2">
        <f>IF(A438="","",SUM(I438:M438))</f>
        <v/>
      </c>
      <c r="O438" s="12" t="n"/>
      <c r="P438" s="12" t="n"/>
      <c r="Q438" s="2" t="n"/>
      <c r="R438" s="2" t="n"/>
      <c r="S438" s="2" t="n"/>
      <c r="T438" s="5">
        <f>IF(A438="","",(COUNTA(A438:M438)+COUNTA(O438:S438))/18)</f>
        <v/>
      </c>
      <c r="U438" s="2" t="n"/>
    </row>
    <row r="439">
      <c r="A439" s="12" t="n"/>
      <c r="B439" s="12" t="n"/>
      <c r="C439" s="12" t="n"/>
      <c r="D439" s="4" t="n"/>
      <c r="E439" s="2" t="n"/>
      <c r="F439" s="12" t="n"/>
      <c r="G439" s="2" t="n"/>
      <c r="H439" s="14" t="n"/>
      <c r="I439" s="12" t="n"/>
      <c r="J439" s="12" t="n"/>
      <c r="K439" s="12" t="n"/>
      <c r="L439" s="12" t="n"/>
      <c r="M439" s="12" t="n"/>
      <c r="N439" s="2">
        <f>IF(A439="","",SUM(I439:M439))</f>
        <v/>
      </c>
      <c r="O439" s="12" t="n"/>
      <c r="P439" s="12" t="n"/>
      <c r="Q439" s="2" t="n"/>
      <c r="R439" s="2" t="n"/>
      <c r="S439" s="2" t="n"/>
      <c r="T439" s="5">
        <f>IF(A439="","",(COUNTA(A439:M439)+COUNTA(O439:S439))/18)</f>
        <v/>
      </c>
      <c r="U439" s="2" t="n"/>
    </row>
    <row r="440">
      <c r="A440" s="12" t="n"/>
      <c r="B440" s="12" t="n"/>
      <c r="C440" s="12" t="n"/>
      <c r="D440" s="4" t="n"/>
      <c r="E440" s="2" t="n"/>
      <c r="F440" s="12" t="n"/>
      <c r="G440" s="2" t="n"/>
      <c r="H440" s="14" t="n"/>
      <c r="I440" s="12" t="n"/>
      <c r="J440" s="12" t="n"/>
      <c r="K440" s="12" t="n"/>
      <c r="L440" s="12" t="n"/>
      <c r="M440" s="12" t="n"/>
      <c r="N440" s="2">
        <f>IF(A440="","",SUM(I440:M440))</f>
        <v/>
      </c>
      <c r="O440" s="12" t="n"/>
      <c r="P440" s="12" t="n"/>
      <c r="Q440" s="2" t="n"/>
      <c r="R440" s="2" t="n"/>
      <c r="S440" s="2" t="n"/>
      <c r="T440" s="5">
        <f>IF(A440="","",(COUNTA(A440:M440)+COUNTA(O440:S440))/18)</f>
        <v/>
      </c>
      <c r="U440" s="2" t="n"/>
    </row>
    <row r="441">
      <c r="A441" s="12" t="n"/>
      <c r="B441" s="12" t="n"/>
      <c r="C441" s="12" t="n"/>
      <c r="D441" s="4" t="n"/>
      <c r="E441" s="2" t="n"/>
      <c r="F441" s="12" t="n"/>
      <c r="G441" s="2" t="n"/>
      <c r="H441" s="14" t="n"/>
      <c r="I441" s="12" t="n"/>
      <c r="J441" s="12" t="n"/>
      <c r="K441" s="12" t="n"/>
      <c r="L441" s="12" t="n"/>
      <c r="M441" s="12" t="n"/>
      <c r="N441" s="2">
        <f>IF(A441="","",SUM(I441:M441))</f>
        <v/>
      </c>
      <c r="O441" s="12" t="n"/>
      <c r="P441" s="12" t="n"/>
      <c r="Q441" s="2" t="n"/>
      <c r="R441" s="2" t="n"/>
      <c r="S441" s="2" t="n"/>
      <c r="T441" s="5">
        <f>IF(A441="","",(COUNTA(A441:M441)+COUNTA(O441:S441))/18)</f>
        <v/>
      </c>
      <c r="U441" s="2" t="n"/>
    </row>
    <row r="442">
      <c r="A442" s="12" t="n"/>
      <c r="B442" s="12" t="n"/>
      <c r="C442" s="12" t="n"/>
      <c r="D442" s="4" t="n"/>
      <c r="E442" s="2" t="n"/>
      <c r="F442" s="12" t="n"/>
      <c r="G442" s="2" t="n"/>
      <c r="H442" s="14" t="n"/>
      <c r="I442" s="12" t="n"/>
      <c r="J442" s="12" t="n"/>
      <c r="K442" s="12" t="n"/>
      <c r="L442" s="12" t="n"/>
      <c r="M442" s="12" t="n"/>
      <c r="N442" s="2">
        <f>IF(A442="","",SUM(I442:M442))</f>
        <v/>
      </c>
      <c r="O442" s="12" t="n"/>
      <c r="P442" s="12" t="n"/>
      <c r="Q442" s="2" t="n"/>
      <c r="R442" s="2" t="n"/>
      <c r="S442" s="2" t="n"/>
      <c r="T442" s="5">
        <f>IF(A442="","",(COUNTA(A442:M442)+COUNTA(O442:S442))/18)</f>
        <v/>
      </c>
      <c r="U442" s="2" t="n"/>
    </row>
    <row r="443">
      <c r="A443" s="12" t="n"/>
      <c r="B443" s="12" t="n"/>
      <c r="C443" s="12" t="n"/>
      <c r="D443" s="4" t="n"/>
      <c r="E443" s="2" t="n"/>
      <c r="F443" s="12" t="n"/>
      <c r="G443" s="2" t="n"/>
      <c r="H443" s="14" t="n"/>
      <c r="I443" s="12" t="n"/>
      <c r="J443" s="12" t="n"/>
      <c r="K443" s="12" t="n"/>
      <c r="L443" s="12" t="n"/>
      <c r="M443" s="12" t="n"/>
      <c r="N443" s="2">
        <f>IF(A443="","",SUM(I443:M443))</f>
        <v/>
      </c>
      <c r="O443" s="12" t="n"/>
      <c r="P443" s="12" t="n"/>
      <c r="Q443" s="2" t="n"/>
      <c r="R443" s="2" t="n"/>
      <c r="S443" s="2" t="n"/>
      <c r="T443" s="5">
        <f>IF(A443="","",(COUNTA(A443:M443)+COUNTA(O443:S443))/18)</f>
        <v/>
      </c>
      <c r="U443" s="2" t="n"/>
    </row>
    <row r="444">
      <c r="A444" s="12" t="n"/>
      <c r="B444" s="12" t="n"/>
      <c r="C444" s="12" t="n"/>
      <c r="D444" s="4" t="n"/>
      <c r="E444" s="2" t="n"/>
      <c r="F444" s="12" t="n"/>
      <c r="G444" s="2" t="n"/>
      <c r="H444" s="14" t="n"/>
      <c r="I444" s="12" t="n"/>
      <c r="J444" s="12" t="n"/>
      <c r="K444" s="12" t="n"/>
      <c r="L444" s="12" t="n"/>
      <c r="M444" s="12" t="n"/>
      <c r="N444" s="2">
        <f>IF(A444="","",SUM(I444:M444))</f>
        <v/>
      </c>
      <c r="O444" s="12" t="n"/>
      <c r="P444" s="12" t="n"/>
      <c r="Q444" s="2" t="n"/>
      <c r="R444" s="2" t="n"/>
      <c r="S444" s="2" t="n"/>
      <c r="T444" s="5">
        <f>IF(A444="","",(COUNTA(A444:M444)+COUNTA(O444:S444))/18)</f>
        <v/>
      </c>
      <c r="U444" s="2" t="n"/>
    </row>
    <row r="445">
      <c r="A445" s="12" t="n"/>
      <c r="B445" s="12" t="n"/>
      <c r="C445" s="12" t="n"/>
      <c r="D445" s="4" t="n"/>
      <c r="E445" s="2" t="n"/>
      <c r="F445" s="12" t="n"/>
      <c r="G445" s="2" t="n"/>
      <c r="H445" s="14" t="n"/>
      <c r="I445" s="12" t="n"/>
      <c r="J445" s="12" t="n"/>
      <c r="K445" s="12" t="n"/>
      <c r="L445" s="12" t="n"/>
      <c r="M445" s="12" t="n"/>
      <c r="N445" s="2">
        <f>IF(A445="","",SUM(I445:M445))</f>
        <v/>
      </c>
      <c r="O445" s="12" t="n"/>
      <c r="P445" s="12" t="n"/>
      <c r="Q445" s="2" t="n"/>
      <c r="R445" s="2" t="n"/>
      <c r="S445" s="2" t="n"/>
      <c r="T445" s="5">
        <f>IF(A445="","",(COUNTA(A445:M445)+COUNTA(O445:S445))/18)</f>
        <v/>
      </c>
      <c r="U445" s="2" t="n"/>
    </row>
    <row r="446">
      <c r="A446" s="12" t="n"/>
      <c r="B446" s="12" t="n"/>
      <c r="C446" s="12" t="n"/>
      <c r="D446" s="4" t="n"/>
      <c r="E446" s="2" t="n"/>
      <c r="F446" s="12" t="n"/>
      <c r="G446" s="2" t="n"/>
      <c r="H446" s="14" t="n"/>
      <c r="I446" s="12" t="n"/>
      <c r="J446" s="12" t="n"/>
      <c r="K446" s="12" t="n"/>
      <c r="L446" s="12" t="n"/>
      <c r="M446" s="12" t="n"/>
      <c r="N446" s="2">
        <f>IF(A446="","",SUM(I446:M446))</f>
        <v/>
      </c>
      <c r="O446" s="12" t="n"/>
      <c r="P446" s="12" t="n"/>
      <c r="Q446" s="2" t="n"/>
      <c r="R446" s="2" t="n"/>
      <c r="S446" s="2" t="n"/>
      <c r="T446" s="5">
        <f>IF(A446="","",(COUNTA(A446:M446)+COUNTA(O446:S446))/18)</f>
        <v/>
      </c>
      <c r="U446" s="2" t="n"/>
    </row>
    <row r="447">
      <c r="A447" s="12" t="n"/>
      <c r="B447" s="12" t="n"/>
      <c r="C447" s="12" t="n"/>
      <c r="D447" s="4" t="n"/>
      <c r="E447" s="2" t="n"/>
      <c r="F447" s="12" t="n"/>
      <c r="G447" s="2" t="n"/>
      <c r="H447" s="14" t="n"/>
      <c r="I447" s="12" t="n"/>
      <c r="J447" s="12" t="n"/>
      <c r="K447" s="12" t="n"/>
      <c r="L447" s="12" t="n"/>
      <c r="M447" s="12" t="n"/>
      <c r="N447" s="2">
        <f>IF(A447="","",SUM(I447:M447))</f>
        <v/>
      </c>
      <c r="O447" s="12" t="n"/>
      <c r="P447" s="12" t="n"/>
      <c r="Q447" s="2" t="n"/>
      <c r="R447" s="2" t="n"/>
      <c r="S447" s="2" t="n"/>
      <c r="T447" s="5">
        <f>IF(A447="","",(COUNTA(A447:M447)+COUNTA(O447:S447))/18)</f>
        <v/>
      </c>
      <c r="U447" s="2" t="n"/>
    </row>
    <row r="448">
      <c r="A448" s="12" t="n"/>
      <c r="B448" s="12" t="n"/>
      <c r="C448" s="12" t="n"/>
      <c r="D448" s="4" t="n"/>
      <c r="E448" s="2" t="n"/>
      <c r="F448" s="12" t="n"/>
      <c r="G448" s="2" t="n"/>
      <c r="H448" s="14" t="n"/>
      <c r="I448" s="12" t="n"/>
      <c r="J448" s="12" t="n"/>
      <c r="K448" s="12" t="n"/>
      <c r="L448" s="12" t="n"/>
      <c r="M448" s="12" t="n"/>
      <c r="N448" s="2">
        <f>IF(A448="","",SUM(I448:M448))</f>
        <v/>
      </c>
      <c r="O448" s="12" t="n"/>
      <c r="P448" s="12" t="n"/>
      <c r="Q448" s="2" t="n"/>
      <c r="R448" s="2" t="n"/>
      <c r="S448" s="2" t="n"/>
      <c r="T448" s="5">
        <f>IF(A448="","",(COUNTA(A448:M448)+COUNTA(O448:S448))/18)</f>
        <v/>
      </c>
      <c r="U448" s="2" t="n"/>
    </row>
    <row r="449">
      <c r="A449" s="12" t="n"/>
      <c r="B449" s="12" t="n"/>
      <c r="C449" s="12" t="n"/>
      <c r="D449" s="4" t="n"/>
      <c r="E449" s="2" t="n"/>
      <c r="F449" s="12" t="n"/>
      <c r="G449" s="2" t="n"/>
      <c r="H449" s="14" t="n"/>
      <c r="I449" s="12" t="n"/>
      <c r="J449" s="12" t="n"/>
      <c r="K449" s="12" t="n"/>
      <c r="L449" s="12" t="n"/>
      <c r="M449" s="12" t="n"/>
      <c r="N449" s="2">
        <f>IF(A449="","",SUM(I449:M449))</f>
        <v/>
      </c>
      <c r="O449" s="12" t="n"/>
      <c r="P449" s="12" t="n"/>
      <c r="Q449" s="2" t="n"/>
      <c r="R449" s="2" t="n"/>
      <c r="S449" s="2" t="n"/>
      <c r="T449" s="5">
        <f>IF(A449="","",(COUNTA(A449:M449)+COUNTA(O449:S449))/18)</f>
        <v/>
      </c>
      <c r="U449" s="2" t="n"/>
    </row>
    <row r="450">
      <c r="A450" s="12" t="n"/>
      <c r="B450" s="12" t="n"/>
      <c r="C450" s="12" t="n"/>
      <c r="D450" s="4" t="n"/>
      <c r="E450" s="2" t="n"/>
      <c r="F450" s="12" t="n"/>
      <c r="G450" s="2" t="n"/>
      <c r="H450" s="14" t="n"/>
      <c r="I450" s="12" t="n"/>
      <c r="J450" s="12" t="n"/>
      <c r="K450" s="12" t="n"/>
      <c r="L450" s="12" t="n"/>
      <c r="M450" s="12" t="n"/>
      <c r="N450" s="2">
        <f>IF(A450="","",SUM(I450:M450))</f>
        <v/>
      </c>
      <c r="O450" s="12" t="n"/>
      <c r="P450" s="12" t="n"/>
      <c r="Q450" s="2" t="n"/>
      <c r="R450" s="2" t="n"/>
      <c r="S450" s="2" t="n"/>
      <c r="T450" s="5">
        <f>IF(A450="","",(COUNTA(A450:M450)+COUNTA(O450:S450))/18)</f>
        <v/>
      </c>
      <c r="U450" s="2" t="n"/>
    </row>
    <row r="451">
      <c r="A451" s="12" t="n"/>
      <c r="B451" s="12" t="n"/>
      <c r="C451" s="12" t="n"/>
      <c r="D451" s="4" t="n"/>
      <c r="E451" s="2" t="n"/>
      <c r="F451" s="12" t="n"/>
      <c r="G451" s="2" t="n"/>
      <c r="H451" s="14" t="n"/>
      <c r="I451" s="12" t="n"/>
      <c r="J451" s="12" t="n"/>
      <c r="K451" s="12" t="n"/>
      <c r="L451" s="12" t="n"/>
      <c r="M451" s="12" t="n"/>
      <c r="N451" s="2">
        <f>IF(A451="","",SUM(I451:M451))</f>
        <v/>
      </c>
      <c r="O451" s="12" t="n"/>
      <c r="P451" s="12" t="n"/>
      <c r="Q451" s="2" t="n"/>
      <c r="R451" s="2" t="n"/>
      <c r="S451" s="2" t="n"/>
      <c r="T451" s="5">
        <f>IF(A451="","",(COUNTA(A451:M451)+COUNTA(O451:S451))/18)</f>
        <v/>
      </c>
      <c r="U451" s="2" t="n"/>
    </row>
    <row r="452">
      <c r="A452" s="12" t="n"/>
      <c r="B452" s="12" t="n"/>
      <c r="C452" s="12" t="n"/>
      <c r="D452" s="4" t="n"/>
      <c r="E452" s="2" t="n"/>
      <c r="F452" s="12" t="n"/>
      <c r="G452" s="2" t="n"/>
      <c r="H452" s="14" t="n"/>
      <c r="I452" s="12" t="n"/>
      <c r="J452" s="12" t="n"/>
      <c r="K452" s="12" t="n"/>
      <c r="L452" s="12" t="n"/>
      <c r="M452" s="12" t="n"/>
      <c r="N452" s="2">
        <f>IF(A452="","",SUM(I452:M452))</f>
        <v/>
      </c>
      <c r="O452" s="12" t="n"/>
      <c r="P452" s="12" t="n"/>
      <c r="Q452" s="2" t="n"/>
      <c r="R452" s="2" t="n"/>
      <c r="S452" s="2" t="n"/>
      <c r="T452" s="5">
        <f>IF(A452="","",(COUNTA(A452:M452)+COUNTA(O452:S452))/18)</f>
        <v/>
      </c>
      <c r="U452" s="2" t="n"/>
    </row>
    <row r="453">
      <c r="A453" s="12" t="n"/>
      <c r="B453" s="12" t="n"/>
      <c r="C453" s="12" t="n"/>
      <c r="D453" s="4" t="n"/>
      <c r="E453" s="2" t="n"/>
      <c r="F453" s="12" t="n"/>
      <c r="G453" s="2" t="n"/>
      <c r="H453" s="14" t="n"/>
      <c r="I453" s="12" t="n"/>
      <c r="J453" s="12" t="n"/>
      <c r="K453" s="12" t="n"/>
      <c r="L453" s="12" t="n"/>
      <c r="M453" s="12" t="n"/>
      <c r="N453" s="2">
        <f>IF(A453="","",SUM(I453:M453))</f>
        <v/>
      </c>
      <c r="O453" s="12" t="n"/>
      <c r="P453" s="12" t="n"/>
      <c r="Q453" s="2" t="n"/>
      <c r="R453" s="2" t="n"/>
      <c r="S453" s="2" t="n"/>
      <c r="T453" s="5">
        <f>IF(A453="","",(COUNTA(A453:M453)+COUNTA(O453:S453))/18)</f>
        <v/>
      </c>
      <c r="U453" s="2" t="n"/>
    </row>
    <row r="454">
      <c r="A454" s="12" t="n"/>
      <c r="B454" s="12" t="n"/>
      <c r="C454" s="12" t="n"/>
      <c r="D454" s="4" t="n"/>
      <c r="E454" s="2" t="n"/>
      <c r="F454" s="12" t="n"/>
      <c r="G454" s="2" t="n"/>
      <c r="H454" s="14" t="n"/>
      <c r="I454" s="12" t="n"/>
      <c r="J454" s="12" t="n"/>
      <c r="K454" s="12" t="n"/>
      <c r="L454" s="12" t="n"/>
      <c r="M454" s="12" t="n"/>
      <c r="N454" s="2">
        <f>IF(A454="","",SUM(I454:M454))</f>
        <v/>
      </c>
      <c r="O454" s="12" t="n"/>
      <c r="P454" s="12" t="n"/>
      <c r="Q454" s="2" t="n"/>
      <c r="R454" s="2" t="n"/>
      <c r="S454" s="2" t="n"/>
      <c r="T454" s="5">
        <f>IF(A454="","",(COUNTA(A454:M454)+COUNTA(O454:S454))/18)</f>
        <v/>
      </c>
      <c r="U454" s="2" t="n"/>
    </row>
    <row r="455">
      <c r="A455" s="12" t="n"/>
      <c r="B455" s="12" t="n"/>
      <c r="C455" s="12" t="n"/>
      <c r="D455" s="4" t="n"/>
      <c r="E455" s="2" t="n"/>
      <c r="F455" s="12" t="n"/>
      <c r="G455" s="2" t="n"/>
      <c r="H455" s="14" t="n"/>
      <c r="I455" s="12" t="n"/>
      <c r="J455" s="12" t="n"/>
      <c r="K455" s="12" t="n"/>
      <c r="L455" s="12" t="n"/>
      <c r="M455" s="12" t="n"/>
      <c r="N455" s="2">
        <f>IF(A455="","",SUM(I455:M455))</f>
        <v/>
      </c>
      <c r="O455" s="12" t="n"/>
      <c r="P455" s="12" t="n"/>
      <c r="Q455" s="2" t="n"/>
      <c r="R455" s="2" t="n"/>
      <c r="S455" s="2" t="n"/>
      <c r="T455" s="5">
        <f>IF(A455="","",(COUNTA(A455:M455)+COUNTA(O455:S455))/18)</f>
        <v/>
      </c>
      <c r="U455" s="2" t="n"/>
    </row>
    <row r="456">
      <c r="A456" s="12" t="n"/>
      <c r="B456" s="12" t="n"/>
      <c r="C456" s="12" t="n"/>
      <c r="D456" s="4" t="n"/>
      <c r="E456" s="2" t="n"/>
      <c r="F456" s="12" t="n"/>
      <c r="G456" s="2" t="n"/>
      <c r="H456" s="14" t="n"/>
      <c r="I456" s="12" t="n"/>
      <c r="J456" s="12" t="n"/>
      <c r="K456" s="12" t="n"/>
      <c r="L456" s="12" t="n"/>
      <c r="M456" s="12" t="n"/>
      <c r="N456" s="2">
        <f>IF(A456="","",SUM(I456:M456))</f>
        <v/>
      </c>
      <c r="O456" s="12" t="n"/>
      <c r="P456" s="12" t="n"/>
      <c r="Q456" s="2" t="n"/>
      <c r="R456" s="2" t="n"/>
      <c r="S456" s="2" t="n"/>
      <c r="T456" s="5">
        <f>IF(A456="","",(COUNTA(A456:M456)+COUNTA(O456:S456))/18)</f>
        <v/>
      </c>
      <c r="U456" s="2" t="n"/>
    </row>
    <row r="457">
      <c r="A457" s="12" t="n"/>
      <c r="B457" s="12" t="n"/>
      <c r="C457" s="12" t="n"/>
      <c r="D457" s="4" t="n"/>
      <c r="E457" s="2" t="n"/>
      <c r="F457" s="12" t="n"/>
      <c r="G457" s="2" t="n"/>
      <c r="H457" s="14" t="n"/>
      <c r="I457" s="12" t="n"/>
      <c r="J457" s="12" t="n"/>
      <c r="K457" s="12" t="n"/>
      <c r="L457" s="12" t="n"/>
      <c r="M457" s="12" t="n"/>
      <c r="N457" s="2">
        <f>IF(A457="","",SUM(I457:M457))</f>
        <v/>
      </c>
      <c r="O457" s="12" t="n"/>
      <c r="P457" s="12" t="n"/>
      <c r="Q457" s="2" t="n"/>
      <c r="R457" s="2" t="n"/>
      <c r="S457" s="2" t="n"/>
      <c r="T457" s="5">
        <f>IF(A457="","",(COUNTA(A457:M457)+COUNTA(O457:S457))/18)</f>
        <v/>
      </c>
      <c r="U457" s="2" t="n"/>
    </row>
    <row r="458">
      <c r="A458" s="12" t="n"/>
      <c r="B458" s="12" t="n"/>
      <c r="C458" s="12" t="n"/>
      <c r="D458" s="4" t="n"/>
      <c r="E458" s="2" t="n"/>
      <c r="F458" s="12" t="n"/>
      <c r="G458" s="2" t="n"/>
      <c r="H458" s="14" t="n"/>
      <c r="I458" s="12" t="n"/>
      <c r="J458" s="12" t="n"/>
      <c r="K458" s="12" t="n"/>
      <c r="L458" s="12" t="n"/>
      <c r="M458" s="12" t="n"/>
      <c r="N458" s="2">
        <f>IF(A458="","",SUM(I458:M458))</f>
        <v/>
      </c>
      <c r="O458" s="12" t="n"/>
      <c r="P458" s="12" t="n"/>
      <c r="Q458" s="2" t="n"/>
      <c r="R458" s="2" t="n"/>
      <c r="S458" s="2" t="n"/>
      <c r="T458" s="5">
        <f>IF(A458="","",(COUNTA(A458:M458)+COUNTA(O458:S458))/18)</f>
        <v/>
      </c>
      <c r="U458" s="2" t="n"/>
    </row>
    <row r="459">
      <c r="A459" s="12" t="n"/>
      <c r="B459" s="12" t="n"/>
      <c r="C459" s="12" t="n"/>
      <c r="D459" s="4" t="n"/>
      <c r="E459" s="2" t="n"/>
      <c r="F459" s="12" t="n"/>
      <c r="G459" s="2" t="n"/>
      <c r="H459" s="14" t="n"/>
      <c r="I459" s="12" t="n"/>
      <c r="J459" s="12" t="n"/>
      <c r="K459" s="12" t="n"/>
      <c r="L459" s="12" t="n"/>
      <c r="M459" s="12" t="n"/>
      <c r="N459" s="2">
        <f>IF(A459="","",SUM(I459:M459))</f>
        <v/>
      </c>
      <c r="O459" s="12" t="n"/>
      <c r="P459" s="12" t="n"/>
      <c r="Q459" s="2" t="n"/>
      <c r="R459" s="2" t="n"/>
      <c r="S459" s="2" t="n"/>
      <c r="T459" s="5">
        <f>IF(A459="","",(COUNTA(A459:M459)+COUNTA(O459:S459))/18)</f>
        <v/>
      </c>
      <c r="U459" s="2" t="n"/>
    </row>
    <row r="460">
      <c r="A460" s="12" t="n"/>
      <c r="B460" s="12" t="n"/>
      <c r="C460" s="12" t="n"/>
      <c r="D460" s="4" t="n"/>
      <c r="E460" s="2" t="n"/>
      <c r="F460" s="12" t="n"/>
      <c r="G460" s="2" t="n"/>
      <c r="H460" s="14" t="n"/>
      <c r="I460" s="12" t="n"/>
      <c r="J460" s="12" t="n"/>
      <c r="K460" s="12" t="n"/>
      <c r="L460" s="12" t="n"/>
      <c r="M460" s="12" t="n"/>
      <c r="N460" s="2">
        <f>IF(A460="","",SUM(I460:M460))</f>
        <v/>
      </c>
      <c r="O460" s="12" t="n"/>
      <c r="P460" s="12" t="n"/>
      <c r="Q460" s="2" t="n"/>
      <c r="R460" s="2" t="n"/>
      <c r="S460" s="2" t="n"/>
      <c r="T460" s="5">
        <f>IF(A460="","",(COUNTA(A460:M460)+COUNTA(O460:S460))/18)</f>
        <v/>
      </c>
      <c r="U460" s="2" t="n"/>
    </row>
    <row r="461">
      <c r="A461" s="12" t="n"/>
      <c r="B461" s="12" t="n"/>
      <c r="C461" s="12" t="n"/>
      <c r="D461" s="4" t="n"/>
      <c r="E461" s="2" t="n"/>
      <c r="F461" s="12" t="n"/>
      <c r="G461" s="2" t="n"/>
      <c r="H461" s="14" t="n"/>
      <c r="I461" s="12" t="n"/>
      <c r="J461" s="12" t="n"/>
      <c r="K461" s="12" t="n"/>
      <c r="L461" s="12" t="n"/>
      <c r="M461" s="12" t="n"/>
      <c r="N461" s="2">
        <f>IF(A461="","",SUM(I461:M461))</f>
        <v/>
      </c>
      <c r="O461" s="12" t="n"/>
      <c r="P461" s="12" t="n"/>
      <c r="Q461" s="2" t="n"/>
      <c r="R461" s="2" t="n"/>
      <c r="S461" s="2" t="n"/>
      <c r="T461" s="5">
        <f>IF(A461="","",(COUNTA(A461:M461)+COUNTA(O461:S461))/18)</f>
        <v/>
      </c>
      <c r="U461" s="2" t="n"/>
    </row>
    <row r="462">
      <c r="A462" s="12" t="n"/>
      <c r="B462" s="12" t="n"/>
      <c r="C462" s="12" t="n"/>
      <c r="D462" s="4" t="n"/>
      <c r="E462" s="2" t="n"/>
      <c r="F462" s="12" t="n"/>
      <c r="G462" s="2" t="n"/>
      <c r="H462" s="14" t="n"/>
      <c r="I462" s="12" t="n"/>
      <c r="J462" s="12" t="n"/>
      <c r="K462" s="12" t="n"/>
      <c r="L462" s="12" t="n"/>
      <c r="M462" s="12" t="n"/>
      <c r="N462" s="2">
        <f>IF(A462="","",SUM(I462:M462))</f>
        <v/>
      </c>
      <c r="O462" s="12" t="n"/>
      <c r="P462" s="12" t="n"/>
      <c r="Q462" s="2" t="n"/>
      <c r="R462" s="2" t="n"/>
      <c r="S462" s="2" t="n"/>
      <c r="T462" s="5">
        <f>IF(A462="","",(COUNTA(A462:M462)+COUNTA(O462:S462))/18)</f>
        <v/>
      </c>
      <c r="U462" s="2" t="n"/>
    </row>
    <row r="463">
      <c r="A463" s="12" t="n"/>
      <c r="B463" s="12" t="n"/>
      <c r="C463" s="12" t="n"/>
      <c r="D463" s="4" t="n"/>
      <c r="E463" s="2" t="n"/>
      <c r="F463" s="12" t="n"/>
      <c r="G463" s="2" t="n"/>
      <c r="H463" s="14" t="n"/>
      <c r="I463" s="12" t="n"/>
      <c r="J463" s="12" t="n"/>
      <c r="K463" s="12" t="n"/>
      <c r="L463" s="12" t="n"/>
      <c r="M463" s="12" t="n"/>
      <c r="N463" s="2">
        <f>IF(A463="","",SUM(I463:M463))</f>
        <v/>
      </c>
      <c r="O463" s="12" t="n"/>
      <c r="P463" s="12" t="n"/>
      <c r="Q463" s="2" t="n"/>
      <c r="R463" s="2" t="n"/>
      <c r="S463" s="2" t="n"/>
      <c r="T463" s="5">
        <f>IF(A463="","",(COUNTA(A463:M463)+COUNTA(O463:S463))/18)</f>
        <v/>
      </c>
      <c r="U463" s="2" t="n"/>
    </row>
    <row r="464">
      <c r="A464" s="12" t="n"/>
      <c r="B464" s="12" t="n"/>
      <c r="C464" s="12" t="n"/>
      <c r="D464" s="4" t="n"/>
      <c r="E464" s="2" t="n"/>
      <c r="F464" s="12" t="n"/>
      <c r="G464" s="2" t="n"/>
      <c r="H464" s="14" t="n"/>
      <c r="I464" s="12" t="n"/>
      <c r="J464" s="12" t="n"/>
      <c r="K464" s="12" t="n"/>
      <c r="L464" s="12" t="n"/>
      <c r="M464" s="12" t="n"/>
      <c r="N464" s="2">
        <f>IF(A464="","",SUM(I464:M464))</f>
        <v/>
      </c>
      <c r="O464" s="12" t="n"/>
      <c r="P464" s="12" t="n"/>
      <c r="Q464" s="2" t="n"/>
      <c r="R464" s="2" t="n"/>
      <c r="S464" s="2" t="n"/>
      <c r="T464" s="5">
        <f>IF(A464="","",(COUNTA(A464:M464)+COUNTA(O464:S464))/18)</f>
        <v/>
      </c>
      <c r="U464" s="2" t="n"/>
    </row>
    <row r="465">
      <c r="A465" s="12" t="n"/>
      <c r="B465" s="12" t="n"/>
      <c r="C465" s="12" t="n"/>
      <c r="D465" s="4" t="n"/>
      <c r="E465" s="2" t="n"/>
      <c r="F465" s="12" t="n"/>
      <c r="G465" s="2" t="n"/>
      <c r="H465" s="14" t="n"/>
      <c r="I465" s="12" t="n"/>
      <c r="J465" s="12" t="n"/>
      <c r="K465" s="12" t="n"/>
      <c r="L465" s="12" t="n"/>
      <c r="M465" s="12" t="n"/>
      <c r="N465" s="2">
        <f>IF(A465="","",SUM(I465:M465))</f>
        <v/>
      </c>
      <c r="O465" s="12" t="n"/>
      <c r="P465" s="12" t="n"/>
      <c r="Q465" s="2" t="n"/>
      <c r="R465" s="2" t="n"/>
      <c r="S465" s="2" t="n"/>
      <c r="T465" s="5">
        <f>IF(A465="","",(COUNTA(A465:M465)+COUNTA(O465:S465))/18)</f>
        <v/>
      </c>
      <c r="U465" s="2" t="n"/>
    </row>
    <row r="466">
      <c r="A466" s="12" t="n"/>
      <c r="B466" s="12" t="n"/>
      <c r="C466" s="12" t="n"/>
      <c r="D466" s="4" t="n"/>
      <c r="E466" s="2" t="n"/>
      <c r="F466" s="12" t="n"/>
      <c r="G466" s="2" t="n"/>
      <c r="H466" s="14" t="n"/>
      <c r="I466" s="12" t="n"/>
      <c r="J466" s="12" t="n"/>
      <c r="K466" s="12" t="n"/>
      <c r="L466" s="12" t="n"/>
      <c r="M466" s="12" t="n"/>
      <c r="N466" s="2">
        <f>IF(A466="","",SUM(I466:M466))</f>
        <v/>
      </c>
      <c r="O466" s="12" t="n"/>
      <c r="P466" s="12" t="n"/>
      <c r="Q466" s="2" t="n"/>
      <c r="R466" s="2" t="n"/>
      <c r="S466" s="2" t="n"/>
      <c r="T466" s="5">
        <f>IF(A466="","",(COUNTA(A466:M466)+COUNTA(O466:S466))/18)</f>
        <v/>
      </c>
      <c r="U466" s="2" t="n"/>
    </row>
    <row r="467">
      <c r="A467" s="12" t="n"/>
      <c r="B467" s="12" t="n"/>
      <c r="C467" s="12" t="n"/>
      <c r="D467" s="4" t="n"/>
      <c r="E467" s="2" t="n"/>
      <c r="F467" s="12" t="n"/>
      <c r="G467" s="2" t="n"/>
      <c r="H467" s="14" t="n"/>
      <c r="I467" s="12" t="n"/>
      <c r="J467" s="12" t="n"/>
      <c r="K467" s="12" t="n"/>
      <c r="L467" s="12" t="n"/>
      <c r="M467" s="12" t="n"/>
      <c r="N467" s="2">
        <f>IF(A467="","",SUM(I467:M467))</f>
        <v/>
      </c>
      <c r="O467" s="12" t="n"/>
      <c r="P467" s="12" t="n"/>
      <c r="Q467" s="2" t="n"/>
      <c r="R467" s="2" t="n"/>
      <c r="S467" s="2" t="n"/>
      <c r="T467" s="5">
        <f>IF(A467="","",(COUNTA(A467:M467)+COUNTA(O467:S467))/18)</f>
        <v/>
      </c>
      <c r="U467" s="2" t="n"/>
    </row>
    <row r="468">
      <c r="A468" s="12" t="n"/>
      <c r="B468" s="12" t="n"/>
      <c r="C468" s="12" t="n"/>
      <c r="D468" s="4" t="n"/>
      <c r="E468" s="2" t="n"/>
      <c r="F468" s="12" t="n"/>
      <c r="G468" s="2" t="n"/>
      <c r="H468" s="14" t="n"/>
      <c r="I468" s="12" t="n"/>
      <c r="J468" s="12" t="n"/>
      <c r="K468" s="12" t="n"/>
      <c r="L468" s="12" t="n"/>
      <c r="M468" s="12" t="n"/>
      <c r="N468" s="2">
        <f>IF(A468="","",SUM(I468:M468))</f>
        <v/>
      </c>
      <c r="O468" s="12" t="n"/>
      <c r="P468" s="12" t="n"/>
      <c r="Q468" s="2" t="n"/>
      <c r="R468" s="2" t="n"/>
      <c r="S468" s="2" t="n"/>
      <c r="T468" s="5">
        <f>IF(A468="","",(COUNTA(A468:M468)+COUNTA(O468:S468))/18)</f>
        <v/>
      </c>
      <c r="U468" s="2" t="n"/>
    </row>
    <row r="469">
      <c r="A469" s="12" t="n"/>
      <c r="B469" s="12" t="n"/>
      <c r="C469" s="12" t="n"/>
      <c r="D469" s="4" t="n"/>
      <c r="E469" s="2" t="n"/>
      <c r="F469" s="12" t="n"/>
      <c r="G469" s="2" t="n"/>
      <c r="H469" s="14" t="n"/>
      <c r="I469" s="12" t="n"/>
      <c r="J469" s="12" t="n"/>
      <c r="K469" s="12" t="n"/>
      <c r="L469" s="12" t="n"/>
      <c r="M469" s="12" t="n"/>
      <c r="N469" s="2">
        <f>IF(A469="","",SUM(I469:M469))</f>
        <v/>
      </c>
      <c r="O469" s="12" t="n"/>
      <c r="P469" s="12" t="n"/>
      <c r="Q469" s="2" t="n"/>
      <c r="R469" s="2" t="n"/>
      <c r="S469" s="2" t="n"/>
      <c r="T469" s="5">
        <f>IF(A469="","",(COUNTA(A469:M469)+COUNTA(O469:S469))/18)</f>
        <v/>
      </c>
      <c r="U469" s="2" t="n"/>
    </row>
    <row r="470">
      <c r="A470" s="12" t="n"/>
      <c r="B470" s="12" t="n"/>
      <c r="C470" s="12" t="n"/>
      <c r="D470" s="4" t="n"/>
      <c r="E470" s="2" t="n"/>
      <c r="F470" s="12" t="n"/>
      <c r="G470" s="2" t="n"/>
      <c r="H470" s="14" t="n"/>
      <c r="I470" s="12" t="n"/>
      <c r="J470" s="12" t="n"/>
      <c r="K470" s="12" t="n"/>
      <c r="L470" s="12" t="n"/>
      <c r="M470" s="12" t="n"/>
      <c r="N470" s="2">
        <f>IF(A470="","",SUM(I470:M470))</f>
        <v/>
      </c>
      <c r="O470" s="12" t="n"/>
      <c r="P470" s="12" t="n"/>
      <c r="Q470" s="2" t="n"/>
      <c r="R470" s="2" t="n"/>
      <c r="S470" s="2" t="n"/>
      <c r="T470" s="5">
        <f>IF(A470="","",(COUNTA(A470:M470)+COUNTA(O470:S470))/18)</f>
        <v/>
      </c>
      <c r="U470" s="2" t="n"/>
    </row>
    <row r="471">
      <c r="A471" s="12" t="n"/>
      <c r="B471" s="12" t="n"/>
      <c r="C471" s="12" t="n"/>
      <c r="D471" s="4" t="n"/>
      <c r="E471" s="2" t="n"/>
      <c r="F471" s="12" t="n"/>
      <c r="G471" s="2" t="n"/>
      <c r="H471" s="14" t="n"/>
      <c r="I471" s="12" t="n"/>
      <c r="J471" s="12" t="n"/>
      <c r="K471" s="12" t="n"/>
      <c r="L471" s="12" t="n"/>
      <c r="M471" s="12" t="n"/>
      <c r="N471" s="2">
        <f>IF(A471="","",SUM(I471:M471))</f>
        <v/>
      </c>
      <c r="O471" s="12" t="n"/>
      <c r="P471" s="12" t="n"/>
      <c r="Q471" s="2" t="n"/>
      <c r="R471" s="2" t="n"/>
      <c r="S471" s="2" t="n"/>
      <c r="T471" s="5">
        <f>IF(A471="","",(COUNTA(A471:M471)+COUNTA(O471:S471))/18)</f>
        <v/>
      </c>
      <c r="U471" s="2" t="n"/>
    </row>
    <row r="472">
      <c r="A472" s="12" t="n"/>
      <c r="B472" s="12" t="n"/>
      <c r="C472" s="12" t="n"/>
      <c r="D472" s="4" t="n"/>
      <c r="E472" s="2" t="n"/>
      <c r="F472" s="12" t="n"/>
      <c r="G472" s="2" t="n"/>
      <c r="H472" s="14" t="n"/>
      <c r="I472" s="12" t="n"/>
      <c r="J472" s="12" t="n"/>
      <c r="K472" s="12" t="n"/>
      <c r="L472" s="12" t="n"/>
      <c r="M472" s="12" t="n"/>
      <c r="N472" s="2">
        <f>IF(A472="","",SUM(I472:M472))</f>
        <v/>
      </c>
      <c r="O472" s="12" t="n"/>
      <c r="P472" s="12" t="n"/>
      <c r="Q472" s="2" t="n"/>
      <c r="R472" s="2" t="n"/>
      <c r="S472" s="2" t="n"/>
      <c r="T472" s="5">
        <f>IF(A472="","",(COUNTA(A472:M472)+COUNTA(O472:S472))/18)</f>
        <v/>
      </c>
      <c r="U472" s="2" t="n"/>
    </row>
    <row r="473">
      <c r="A473" s="12" t="n"/>
      <c r="B473" s="12" t="n"/>
      <c r="C473" s="12" t="n"/>
      <c r="D473" s="4" t="n"/>
      <c r="E473" s="2" t="n"/>
      <c r="F473" s="12" t="n"/>
      <c r="G473" s="2" t="n"/>
      <c r="H473" s="14" t="n"/>
      <c r="I473" s="12" t="n"/>
      <c r="J473" s="12" t="n"/>
      <c r="K473" s="12" t="n"/>
      <c r="L473" s="12" t="n"/>
      <c r="M473" s="12" t="n"/>
      <c r="N473" s="2">
        <f>IF(A473="","",SUM(I473:M473))</f>
        <v/>
      </c>
      <c r="O473" s="12" t="n"/>
      <c r="P473" s="12" t="n"/>
      <c r="Q473" s="2" t="n"/>
      <c r="R473" s="2" t="n"/>
      <c r="S473" s="2" t="n"/>
      <c r="T473" s="5">
        <f>IF(A473="","",(COUNTA(A473:M473)+COUNTA(O473:S473))/18)</f>
        <v/>
      </c>
      <c r="U473" s="2" t="n"/>
    </row>
    <row r="474">
      <c r="A474" s="12" t="n"/>
      <c r="B474" s="12" t="n"/>
      <c r="C474" s="12" t="n"/>
      <c r="D474" s="4" t="n"/>
      <c r="E474" s="2" t="n"/>
      <c r="F474" s="12" t="n"/>
      <c r="G474" s="2" t="n"/>
      <c r="H474" s="14" t="n"/>
      <c r="I474" s="12" t="n"/>
      <c r="J474" s="12" t="n"/>
      <c r="K474" s="12" t="n"/>
      <c r="L474" s="12" t="n"/>
      <c r="M474" s="12" t="n"/>
      <c r="N474" s="2">
        <f>IF(A474="","",SUM(I474:M474))</f>
        <v/>
      </c>
      <c r="O474" s="12" t="n"/>
      <c r="P474" s="12" t="n"/>
      <c r="Q474" s="2" t="n"/>
      <c r="R474" s="2" t="n"/>
      <c r="S474" s="2" t="n"/>
      <c r="T474" s="5">
        <f>IF(A474="","",(COUNTA(A474:M474)+COUNTA(O474:S474))/18)</f>
        <v/>
      </c>
      <c r="U474" s="2" t="n"/>
    </row>
    <row r="475">
      <c r="A475" s="12" t="n"/>
      <c r="B475" s="12" t="n"/>
      <c r="C475" s="12" t="n"/>
      <c r="D475" s="4" t="n"/>
      <c r="E475" s="2" t="n"/>
      <c r="F475" s="12" t="n"/>
      <c r="G475" s="2" t="n"/>
      <c r="H475" s="14" t="n"/>
      <c r="I475" s="12" t="n"/>
      <c r="J475" s="12" t="n"/>
      <c r="K475" s="12" t="n"/>
      <c r="L475" s="12" t="n"/>
      <c r="M475" s="12" t="n"/>
      <c r="N475" s="2">
        <f>IF(A475="","",SUM(I475:M475))</f>
        <v/>
      </c>
      <c r="O475" s="12" t="n"/>
      <c r="P475" s="12" t="n"/>
      <c r="Q475" s="2" t="n"/>
      <c r="R475" s="2" t="n"/>
      <c r="S475" s="2" t="n"/>
      <c r="T475" s="5">
        <f>IF(A475="","",(COUNTA(A475:M475)+COUNTA(O475:S475))/18)</f>
        <v/>
      </c>
      <c r="U475" s="2" t="n"/>
    </row>
    <row r="476">
      <c r="A476" s="12" t="n"/>
      <c r="B476" s="12" t="n"/>
      <c r="C476" s="12" t="n"/>
      <c r="D476" s="4" t="n"/>
      <c r="E476" s="2" t="n"/>
      <c r="F476" s="12" t="n"/>
      <c r="G476" s="2" t="n"/>
      <c r="H476" s="14" t="n"/>
      <c r="I476" s="12" t="n"/>
      <c r="J476" s="12" t="n"/>
      <c r="K476" s="12" t="n"/>
      <c r="L476" s="12" t="n"/>
      <c r="M476" s="12" t="n"/>
      <c r="N476" s="2">
        <f>IF(A476="","",SUM(I476:M476))</f>
        <v/>
      </c>
      <c r="O476" s="12" t="n"/>
      <c r="P476" s="12" t="n"/>
      <c r="Q476" s="2" t="n"/>
      <c r="R476" s="2" t="n"/>
      <c r="S476" s="2" t="n"/>
      <c r="T476" s="5">
        <f>IF(A476="","",(COUNTA(A476:M476)+COUNTA(O476:S476))/18)</f>
        <v/>
      </c>
      <c r="U476" s="2" t="n"/>
    </row>
    <row r="477">
      <c r="A477" s="12" t="n"/>
      <c r="B477" s="12" t="n"/>
      <c r="C477" s="12" t="n"/>
      <c r="D477" s="4" t="n"/>
      <c r="E477" s="2" t="n"/>
      <c r="F477" s="12" t="n"/>
      <c r="G477" s="2" t="n"/>
      <c r="H477" s="14" t="n"/>
      <c r="I477" s="12" t="n"/>
      <c r="J477" s="12" t="n"/>
      <c r="K477" s="12" t="n"/>
      <c r="L477" s="12" t="n"/>
      <c r="M477" s="12" t="n"/>
      <c r="N477" s="2">
        <f>IF(A477="","",SUM(I477:M477))</f>
        <v/>
      </c>
      <c r="O477" s="12" t="n"/>
      <c r="P477" s="12" t="n"/>
      <c r="Q477" s="2" t="n"/>
      <c r="R477" s="2" t="n"/>
      <c r="S477" s="2" t="n"/>
      <c r="T477" s="5">
        <f>IF(A477="","",(COUNTA(A477:M477)+COUNTA(O477:S477))/18)</f>
        <v/>
      </c>
      <c r="U477" s="2" t="n"/>
    </row>
    <row r="478">
      <c r="A478" s="12" t="n"/>
      <c r="B478" s="12" t="n"/>
      <c r="C478" s="12" t="n"/>
      <c r="D478" s="4" t="n"/>
      <c r="E478" s="2" t="n"/>
      <c r="F478" s="12" t="n"/>
      <c r="G478" s="2" t="n"/>
      <c r="H478" s="14" t="n"/>
      <c r="I478" s="12" t="n"/>
      <c r="J478" s="12" t="n"/>
      <c r="K478" s="12" t="n"/>
      <c r="L478" s="12" t="n"/>
      <c r="M478" s="12" t="n"/>
      <c r="N478" s="2">
        <f>IF(A478="","",SUM(I478:M478))</f>
        <v/>
      </c>
      <c r="O478" s="12" t="n"/>
      <c r="P478" s="12" t="n"/>
      <c r="Q478" s="2" t="n"/>
      <c r="R478" s="2" t="n"/>
      <c r="S478" s="2" t="n"/>
      <c r="T478" s="5">
        <f>IF(A478="","",(COUNTA(A478:M478)+COUNTA(O478:S478))/18)</f>
        <v/>
      </c>
      <c r="U478" s="2" t="n"/>
    </row>
    <row r="479">
      <c r="A479" s="12" t="n"/>
      <c r="B479" s="12" t="n"/>
      <c r="C479" s="12" t="n"/>
      <c r="D479" s="4" t="n"/>
      <c r="E479" s="2" t="n"/>
      <c r="F479" s="12" t="n"/>
      <c r="G479" s="2" t="n"/>
      <c r="H479" s="14" t="n"/>
      <c r="I479" s="12" t="n"/>
      <c r="J479" s="12" t="n"/>
      <c r="K479" s="12" t="n"/>
      <c r="L479" s="12" t="n"/>
      <c r="M479" s="12" t="n"/>
      <c r="N479" s="2">
        <f>IF(A479="","",SUM(I479:M479))</f>
        <v/>
      </c>
      <c r="O479" s="12" t="n"/>
      <c r="P479" s="12" t="n"/>
      <c r="Q479" s="2" t="n"/>
      <c r="R479" s="2" t="n"/>
      <c r="S479" s="2" t="n"/>
      <c r="T479" s="5">
        <f>IF(A479="","",(COUNTA(A479:M479)+COUNTA(O479:S479))/18)</f>
        <v/>
      </c>
      <c r="U479" s="2" t="n"/>
    </row>
    <row r="480">
      <c r="A480" s="12" t="n"/>
      <c r="B480" s="12" t="n"/>
      <c r="C480" s="12" t="n"/>
      <c r="D480" s="4" t="n"/>
      <c r="E480" s="2" t="n"/>
      <c r="F480" s="12" t="n"/>
      <c r="G480" s="2" t="n"/>
      <c r="H480" s="14" t="n"/>
      <c r="I480" s="12" t="n"/>
      <c r="J480" s="12" t="n"/>
      <c r="K480" s="12" t="n"/>
      <c r="L480" s="12" t="n"/>
      <c r="M480" s="12" t="n"/>
      <c r="N480" s="2">
        <f>IF(A480="","",SUM(I480:M480))</f>
        <v/>
      </c>
      <c r="O480" s="12" t="n"/>
      <c r="P480" s="12" t="n"/>
      <c r="Q480" s="2" t="n"/>
      <c r="R480" s="2" t="n"/>
      <c r="S480" s="2" t="n"/>
      <c r="T480" s="5">
        <f>IF(A480="","",(COUNTA(A480:M480)+COUNTA(O480:S480))/18)</f>
        <v/>
      </c>
      <c r="U480" s="2" t="n"/>
    </row>
    <row r="481">
      <c r="A481" s="12" t="n"/>
      <c r="B481" s="12" t="n"/>
      <c r="C481" s="12" t="n"/>
      <c r="D481" s="4" t="n"/>
      <c r="E481" s="2" t="n"/>
      <c r="F481" s="12" t="n"/>
      <c r="G481" s="2" t="n"/>
      <c r="H481" s="14" t="n"/>
      <c r="I481" s="12" t="n"/>
      <c r="J481" s="12" t="n"/>
      <c r="K481" s="12" t="n"/>
      <c r="L481" s="12" t="n"/>
      <c r="M481" s="12" t="n"/>
      <c r="N481" s="2">
        <f>IF(A481="","",SUM(I481:M481))</f>
        <v/>
      </c>
      <c r="O481" s="12" t="n"/>
      <c r="P481" s="12" t="n"/>
      <c r="Q481" s="2" t="n"/>
      <c r="R481" s="2" t="n"/>
      <c r="S481" s="2" t="n"/>
      <c r="T481" s="5">
        <f>IF(A481="","",(COUNTA(A481:M481)+COUNTA(O481:S481))/18)</f>
        <v/>
      </c>
      <c r="U481" s="2" t="n"/>
    </row>
    <row r="482">
      <c r="A482" s="12" t="n"/>
      <c r="B482" s="12" t="n"/>
      <c r="C482" s="12" t="n"/>
      <c r="D482" s="4" t="n"/>
      <c r="E482" s="2" t="n"/>
      <c r="F482" s="12" t="n"/>
      <c r="G482" s="2" t="n"/>
      <c r="H482" s="14" t="n"/>
      <c r="I482" s="12" t="n"/>
      <c r="J482" s="12" t="n"/>
      <c r="K482" s="12" t="n"/>
      <c r="L482" s="12" t="n"/>
      <c r="M482" s="12" t="n"/>
      <c r="N482" s="2">
        <f>IF(A482="","",SUM(I482:M482))</f>
        <v/>
      </c>
      <c r="O482" s="12" t="n"/>
      <c r="P482" s="12" t="n"/>
      <c r="Q482" s="2" t="n"/>
      <c r="R482" s="2" t="n"/>
      <c r="S482" s="2" t="n"/>
      <c r="T482" s="5">
        <f>IF(A482="","",(COUNTA(A482:M482)+COUNTA(O482:S482))/18)</f>
        <v/>
      </c>
      <c r="U482" s="2" t="n"/>
    </row>
    <row r="483">
      <c r="A483" s="12" t="n"/>
      <c r="B483" s="12" t="n"/>
      <c r="C483" s="12" t="n"/>
      <c r="D483" s="4" t="n"/>
      <c r="E483" s="2" t="n"/>
      <c r="F483" s="12" t="n"/>
      <c r="G483" s="2" t="n"/>
      <c r="H483" s="14" t="n"/>
      <c r="I483" s="12" t="n"/>
      <c r="J483" s="12" t="n"/>
      <c r="K483" s="12" t="n"/>
      <c r="L483" s="12" t="n"/>
      <c r="M483" s="12" t="n"/>
      <c r="N483" s="2">
        <f>IF(A483="","",SUM(I483:M483))</f>
        <v/>
      </c>
      <c r="O483" s="12" t="n"/>
      <c r="P483" s="12" t="n"/>
      <c r="Q483" s="2" t="n"/>
      <c r="R483" s="2" t="n"/>
      <c r="S483" s="2" t="n"/>
      <c r="T483" s="5">
        <f>IF(A483="","",(COUNTA(A483:M483)+COUNTA(O483:S483))/18)</f>
        <v/>
      </c>
      <c r="U483" s="2" t="n"/>
    </row>
    <row r="484">
      <c r="A484" s="12" t="n"/>
      <c r="B484" s="12" t="n"/>
      <c r="C484" s="12" t="n"/>
      <c r="D484" s="4" t="n"/>
      <c r="E484" s="2" t="n"/>
      <c r="F484" s="12" t="n"/>
      <c r="G484" s="2" t="n"/>
      <c r="H484" s="14" t="n"/>
      <c r="I484" s="12" t="n"/>
      <c r="J484" s="12" t="n"/>
      <c r="K484" s="12" t="n"/>
      <c r="L484" s="12" t="n"/>
      <c r="M484" s="12" t="n"/>
      <c r="N484" s="2">
        <f>IF(A484="","",SUM(I484:M484))</f>
        <v/>
      </c>
      <c r="O484" s="12" t="n"/>
      <c r="P484" s="12" t="n"/>
      <c r="Q484" s="2" t="n"/>
      <c r="R484" s="2" t="n"/>
      <c r="S484" s="2" t="n"/>
      <c r="T484" s="5">
        <f>IF(A484="","",(COUNTA(A484:M484)+COUNTA(O484:S484))/18)</f>
        <v/>
      </c>
      <c r="U484" s="2" t="n"/>
    </row>
    <row r="485">
      <c r="A485" s="12" t="n"/>
      <c r="B485" s="12" t="n"/>
      <c r="C485" s="12" t="n"/>
      <c r="D485" s="4" t="n"/>
      <c r="E485" s="2" t="n"/>
      <c r="F485" s="12" t="n"/>
      <c r="G485" s="2" t="n"/>
      <c r="H485" s="14" t="n"/>
      <c r="I485" s="12" t="n"/>
      <c r="J485" s="12" t="n"/>
      <c r="K485" s="12" t="n"/>
      <c r="L485" s="12" t="n"/>
      <c r="M485" s="12" t="n"/>
      <c r="N485" s="2">
        <f>IF(A485="","",SUM(I485:M485))</f>
        <v/>
      </c>
      <c r="O485" s="12" t="n"/>
      <c r="P485" s="12" t="n"/>
      <c r="Q485" s="2" t="n"/>
      <c r="R485" s="2" t="n"/>
      <c r="S485" s="2" t="n"/>
      <c r="T485" s="5">
        <f>IF(A485="","",(COUNTA(A485:M485)+COUNTA(O485:S485))/18)</f>
        <v/>
      </c>
      <c r="U485" s="2" t="n"/>
    </row>
    <row r="486">
      <c r="A486" s="12" t="n"/>
      <c r="B486" s="12" t="n"/>
      <c r="C486" s="12" t="n"/>
      <c r="D486" s="4" t="n"/>
      <c r="E486" s="2" t="n"/>
      <c r="F486" s="12" t="n"/>
      <c r="G486" s="2" t="n"/>
      <c r="H486" s="14" t="n"/>
      <c r="I486" s="12" t="n"/>
      <c r="J486" s="12" t="n"/>
      <c r="K486" s="12" t="n"/>
      <c r="L486" s="12" t="n"/>
      <c r="M486" s="12" t="n"/>
      <c r="N486" s="2">
        <f>IF(A486="","",SUM(I486:M486))</f>
        <v/>
      </c>
      <c r="O486" s="12" t="n"/>
      <c r="P486" s="12" t="n"/>
      <c r="Q486" s="2" t="n"/>
      <c r="R486" s="2" t="n"/>
      <c r="S486" s="2" t="n"/>
      <c r="T486" s="5">
        <f>IF(A486="","",(COUNTA(A486:M486)+COUNTA(O486:S486))/18)</f>
        <v/>
      </c>
      <c r="U486" s="2" t="n"/>
    </row>
    <row r="487">
      <c r="A487" s="12" t="n"/>
      <c r="B487" s="12" t="n"/>
      <c r="C487" s="12" t="n"/>
      <c r="D487" s="4" t="n"/>
      <c r="E487" s="2" t="n"/>
      <c r="F487" s="12" t="n"/>
      <c r="G487" s="2" t="n"/>
      <c r="H487" s="14" t="n"/>
      <c r="I487" s="12" t="n"/>
      <c r="J487" s="12" t="n"/>
      <c r="K487" s="12" t="n"/>
      <c r="L487" s="12" t="n"/>
      <c r="M487" s="12" t="n"/>
      <c r="N487" s="2">
        <f>IF(A487="","",SUM(I487:M487))</f>
        <v/>
      </c>
      <c r="O487" s="12" t="n"/>
      <c r="P487" s="12" t="n"/>
      <c r="Q487" s="2" t="n"/>
      <c r="R487" s="2" t="n"/>
      <c r="S487" s="2" t="n"/>
      <c r="T487" s="5">
        <f>IF(A487="","",(COUNTA(A487:M487)+COUNTA(O487:S487))/18)</f>
        <v/>
      </c>
      <c r="U487" s="2" t="n"/>
    </row>
    <row r="488">
      <c r="A488" s="12" t="n"/>
      <c r="B488" s="12" t="n"/>
      <c r="C488" s="12" t="n"/>
      <c r="D488" s="4" t="n"/>
      <c r="E488" s="2" t="n"/>
      <c r="F488" s="12" t="n"/>
      <c r="G488" s="2" t="n"/>
      <c r="H488" s="14" t="n"/>
      <c r="I488" s="12" t="n"/>
      <c r="J488" s="12" t="n"/>
      <c r="K488" s="12" t="n"/>
      <c r="L488" s="12" t="n"/>
      <c r="M488" s="12" t="n"/>
      <c r="N488" s="2">
        <f>IF(A488="","",SUM(I488:M488))</f>
        <v/>
      </c>
      <c r="O488" s="12" t="n"/>
      <c r="P488" s="12" t="n"/>
      <c r="Q488" s="2" t="n"/>
      <c r="R488" s="2" t="n"/>
      <c r="S488" s="2" t="n"/>
      <c r="T488" s="5">
        <f>IF(A488="","",(COUNTA(A488:M488)+COUNTA(O488:S488))/18)</f>
        <v/>
      </c>
      <c r="U488" s="2" t="n"/>
    </row>
    <row r="489">
      <c r="A489" s="12" t="n"/>
      <c r="B489" s="12" t="n"/>
      <c r="C489" s="12" t="n"/>
      <c r="D489" s="4" t="n"/>
      <c r="E489" s="2" t="n"/>
      <c r="F489" s="12" t="n"/>
      <c r="G489" s="2" t="n"/>
      <c r="H489" s="14" t="n"/>
      <c r="I489" s="12" t="n"/>
      <c r="J489" s="12" t="n"/>
      <c r="K489" s="12" t="n"/>
      <c r="L489" s="12" t="n"/>
      <c r="M489" s="12" t="n"/>
      <c r="N489" s="2">
        <f>IF(A489="","",SUM(I489:M489))</f>
        <v/>
      </c>
      <c r="O489" s="12" t="n"/>
      <c r="P489" s="12" t="n"/>
      <c r="Q489" s="2" t="n"/>
      <c r="R489" s="2" t="n"/>
      <c r="S489" s="2" t="n"/>
      <c r="T489" s="5">
        <f>IF(A489="","",(COUNTA(A489:M489)+COUNTA(O489:S489))/18)</f>
        <v/>
      </c>
      <c r="U489" s="2" t="n"/>
    </row>
    <row r="490">
      <c r="A490" s="12" t="n"/>
      <c r="B490" s="12" t="n"/>
      <c r="C490" s="12" t="n"/>
      <c r="D490" s="4" t="n"/>
      <c r="E490" s="2" t="n"/>
      <c r="F490" s="12" t="n"/>
      <c r="G490" s="2" t="n"/>
      <c r="H490" s="14" t="n"/>
      <c r="I490" s="12" t="n"/>
      <c r="J490" s="12" t="n"/>
      <c r="K490" s="12" t="n"/>
      <c r="L490" s="12" t="n"/>
      <c r="M490" s="12" t="n"/>
      <c r="N490" s="2">
        <f>IF(A490="","",SUM(I490:M490))</f>
        <v/>
      </c>
      <c r="O490" s="12" t="n"/>
      <c r="P490" s="12" t="n"/>
      <c r="Q490" s="2" t="n"/>
      <c r="R490" s="2" t="n"/>
      <c r="S490" s="2" t="n"/>
      <c r="T490" s="5">
        <f>IF(A490="","",(COUNTA(A490:M490)+COUNTA(O490:S490))/18)</f>
        <v/>
      </c>
      <c r="U490" s="2" t="n"/>
    </row>
    <row r="491">
      <c r="A491" s="12" t="n"/>
      <c r="B491" s="12" t="n"/>
      <c r="C491" s="12" t="n"/>
      <c r="D491" s="4" t="n"/>
      <c r="E491" s="2" t="n"/>
      <c r="F491" s="12" t="n"/>
      <c r="G491" s="2" t="n"/>
      <c r="H491" s="14" t="n"/>
      <c r="I491" s="12" t="n"/>
      <c r="J491" s="12" t="n"/>
      <c r="K491" s="12" t="n"/>
      <c r="L491" s="12" t="n"/>
      <c r="M491" s="12" t="n"/>
      <c r="N491" s="2">
        <f>IF(A491="","",SUM(I491:M491))</f>
        <v/>
      </c>
      <c r="O491" s="12" t="n"/>
      <c r="P491" s="12" t="n"/>
      <c r="Q491" s="2" t="n"/>
      <c r="R491" s="2" t="n"/>
      <c r="S491" s="2" t="n"/>
      <c r="T491" s="5">
        <f>IF(A491="","",(COUNTA(A491:M491)+COUNTA(O491:S491))/18)</f>
        <v/>
      </c>
      <c r="U491" s="2" t="n"/>
    </row>
    <row r="492">
      <c r="A492" s="12" t="n"/>
      <c r="B492" s="12" t="n"/>
      <c r="C492" s="12" t="n"/>
      <c r="D492" s="4" t="n"/>
      <c r="E492" s="2" t="n"/>
      <c r="F492" s="12" t="n"/>
      <c r="G492" s="2" t="n"/>
      <c r="H492" s="14" t="n"/>
      <c r="I492" s="12" t="n"/>
      <c r="J492" s="12" t="n"/>
      <c r="K492" s="12" t="n"/>
      <c r="L492" s="12" t="n"/>
      <c r="M492" s="12" t="n"/>
      <c r="N492" s="2">
        <f>IF(A492="","",SUM(I492:M492))</f>
        <v/>
      </c>
      <c r="O492" s="12" t="n"/>
      <c r="P492" s="12" t="n"/>
      <c r="Q492" s="2" t="n"/>
      <c r="R492" s="2" t="n"/>
      <c r="S492" s="2" t="n"/>
      <c r="T492" s="5">
        <f>IF(A492="","",(COUNTA(A492:M492)+COUNTA(O492:S492))/18)</f>
        <v/>
      </c>
      <c r="U492" s="2" t="n"/>
    </row>
    <row r="493">
      <c r="A493" s="12" t="n"/>
      <c r="B493" s="12" t="n"/>
      <c r="C493" s="12" t="n"/>
      <c r="D493" s="4" t="n"/>
      <c r="E493" s="2" t="n"/>
      <c r="F493" s="12" t="n"/>
      <c r="G493" s="2" t="n"/>
      <c r="H493" s="14" t="n"/>
      <c r="I493" s="12" t="n"/>
      <c r="J493" s="12" t="n"/>
      <c r="K493" s="12" t="n"/>
      <c r="L493" s="12" t="n"/>
      <c r="M493" s="12" t="n"/>
      <c r="N493" s="2">
        <f>IF(A493="","",SUM(I493:M493))</f>
        <v/>
      </c>
      <c r="O493" s="12" t="n"/>
      <c r="P493" s="12" t="n"/>
      <c r="Q493" s="2" t="n"/>
      <c r="R493" s="2" t="n"/>
      <c r="S493" s="2" t="n"/>
      <c r="T493" s="5">
        <f>IF(A493="","",(COUNTA(A493:M493)+COUNTA(O493:S493))/18)</f>
        <v/>
      </c>
      <c r="U493" s="2" t="n"/>
    </row>
    <row r="494">
      <c r="A494" s="12" t="n"/>
      <c r="B494" s="12" t="n"/>
      <c r="C494" s="12" t="n"/>
      <c r="D494" s="4" t="n"/>
      <c r="E494" s="2" t="n"/>
      <c r="F494" s="12" t="n"/>
      <c r="G494" s="2" t="n"/>
      <c r="H494" s="14" t="n"/>
      <c r="I494" s="12" t="n"/>
      <c r="J494" s="12" t="n"/>
      <c r="K494" s="12" t="n"/>
      <c r="L494" s="12" t="n"/>
      <c r="M494" s="12" t="n"/>
      <c r="N494" s="2">
        <f>IF(A494="","",SUM(I494:M494))</f>
        <v/>
      </c>
      <c r="O494" s="12" t="n"/>
      <c r="P494" s="12" t="n"/>
      <c r="Q494" s="2" t="n"/>
      <c r="R494" s="2" t="n"/>
      <c r="S494" s="2" t="n"/>
      <c r="T494" s="5">
        <f>IF(A494="","",(COUNTA(A494:M494)+COUNTA(O494:S494))/18)</f>
        <v/>
      </c>
      <c r="U494" s="2" t="n"/>
    </row>
    <row r="495">
      <c r="A495" s="12" t="n"/>
      <c r="B495" s="12" t="n"/>
      <c r="C495" s="12" t="n"/>
      <c r="D495" s="4" t="n"/>
      <c r="E495" s="2" t="n"/>
      <c r="F495" s="12" t="n"/>
      <c r="G495" s="2" t="n"/>
      <c r="H495" s="14" t="n"/>
      <c r="I495" s="12" t="n"/>
      <c r="J495" s="12" t="n"/>
      <c r="K495" s="12" t="n"/>
      <c r="L495" s="12" t="n"/>
      <c r="M495" s="12" t="n"/>
      <c r="N495" s="2">
        <f>IF(A495="","",SUM(I495:M495))</f>
        <v/>
      </c>
      <c r="O495" s="12" t="n"/>
      <c r="P495" s="12" t="n"/>
      <c r="Q495" s="2" t="n"/>
      <c r="R495" s="2" t="n"/>
      <c r="S495" s="2" t="n"/>
      <c r="T495" s="5">
        <f>IF(A495="","",(COUNTA(A495:M495)+COUNTA(O495:S495))/18)</f>
        <v/>
      </c>
      <c r="U495" s="2" t="n"/>
    </row>
    <row r="496">
      <c r="A496" s="12" t="n"/>
      <c r="B496" s="12" t="n"/>
      <c r="C496" s="12" t="n"/>
      <c r="D496" s="4" t="n"/>
      <c r="E496" s="2" t="n"/>
      <c r="F496" s="12" t="n"/>
      <c r="G496" s="2" t="n"/>
      <c r="H496" s="14" t="n"/>
      <c r="I496" s="12" t="n"/>
      <c r="J496" s="12" t="n"/>
      <c r="K496" s="12" t="n"/>
      <c r="L496" s="12" t="n"/>
      <c r="M496" s="12" t="n"/>
      <c r="N496" s="2">
        <f>IF(A496="","",SUM(I496:M496))</f>
        <v/>
      </c>
      <c r="O496" s="12" t="n"/>
      <c r="P496" s="12" t="n"/>
      <c r="Q496" s="2" t="n"/>
      <c r="R496" s="2" t="n"/>
      <c r="S496" s="2" t="n"/>
      <c r="T496" s="5">
        <f>IF(A496="","",(COUNTA(A496:M496)+COUNTA(O496:S496))/18)</f>
        <v/>
      </c>
      <c r="U496" s="2" t="n"/>
    </row>
    <row r="497">
      <c r="A497" s="12" t="n"/>
      <c r="B497" s="12" t="n"/>
      <c r="C497" s="12" t="n"/>
      <c r="D497" s="4" t="n"/>
      <c r="E497" s="2" t="n"/>
      <c r="F497" s="12" t="n"/>
      <c r="G497" s="2" t="n"/>
      <c r="H497" s="14" t="n"/>
      <c r="I497" s="12" t="n"/>
      <c r="J497" s="12" t="n"/>
      <c r="K497" s="12" t="n"/>
      <c r="L497" s="12" t="n"/>
      <c r="M497" s="12" t="n"/>
      <c r="N497" s="2">
        <f>IF(A497="","",SUM(I497:M497))</f>
        <v/>
      </c>
      <c r="O497" s="12" t="n"/>
      <c r="P497" s="12" t="n"/>
      <c r="Q497" s="2" t="n"/>
      <c r="R497" s="2" t="n"/>
      <c r="S497" s="2" t="n"/>
      <c r="T497" s="5">
        <f>IF(A497="","",(COUNTA(A497:M497)+COUNTA(O497:S497))/18)</f>
        <v/>
      </c>
      <c r="U497" s="2" t="n"/>
    </row>
    <row r="498">
      <c r="A498" s="12" t="n"/>
      <c r="B498" s="12" t="n"/>
      <c r="C498" s="12" t="n"/>
      <c r="D498" s="4" t="n"/>
      <c r="E498" s="2" t="n"/>
      <c r="F498" s="12" t="n"/>
      <c r="G498" s="2" t="n"/>
      <c r="H498" s="14" t="n"/>
      <c r="I498" s="12" t="n"/>
      <c r="J498" s="12" t="n"/>
      <c r="K498" s="12" t="n"/>
      <c r="L498" s="12" t="n"/>
      <c r="M498" s="12" t="n"/>
      <c r="N498" s="2">
        <f>IF(A498="","",SUM(I498:M498))</f>
        <v/>
      </c>
      <c r="O498" s="12" t="n"/>
      <c r="P498" s="12" t="n"/>
      <c r="Q498" s="2" t="n"/>
      <c r="R498" s="2" t="n"/>
      <c r="S498" s="2" t="n"/>
      <c r="T498" s="5">
        <f>IF(A498="","",(COUNTA(A498:M498)+COUNTA(O498:S498))/18)</f>
        <v/>
      </c>
      <c r="U498" s="2" t="n"/>
    </row>
    <row r="499">
      <c r="A499" s="12" t="n"/>
      <c r="B499" s="12" t="n"/>
      <c r="C499" s="12" t="n"/>
      <c r="D499" s="4" t="n"/>
      <c r="E499" s="2" t="n"/>
      <c r="F499" s="12" t="n"/>
      <c r="G499" s="2" t="n"/>
      <c r="H499" s="14" t="n"/>
      <c r="I499" s="12" t="n"/>
      <c r="J499" s="12" t="n"/>
      <c r="K499" s="12" t="n"/>
      <c r="L499" s="12" t="n"/>
      <c r="M499" s="12" t="n"/>
      <c r="N499" s="2">
        <f>IF(A499="","",SUM(I499:M499))</f>
        <v/>
      </c>
      <c r="O499" s="12" t="n"/>
      <c r="P499" s="12" t="n"/>
      <c r="Q499" s="2" t="n"/>
      <c r="R499" s="2" t="n"/>
      <c r="S499" s="2" t="n"/>
      <c r="T499" s="5">
        <f>IF(A499="","",(COUNTA(A499:M499)+COUNTA(O499:S499))/18)</f>
        <v/>
      </c>
      <c r="U499" s="2" t="n"/>
    </row>
    <row r="500">
      <c r="A500" s="12" t="n"/>
      <c r="B500" s="12" t="n"/>
      <c r="C500" s="12" t="n"/>
      <c r="D500" s="4" t="n"/>
      <c r="E500" s="2" t="n"/>
      <c r="F500" s="12" t="n"/>
      <c r="G500" s="2" t="n"/>
      <c r="H500" s="14" t="n"/>
      <c r="I500" s="12" t="n"/>
      <c r="J500" s="12" t="n"/>
      <c r="K500" s="12" t="n"/>
      <c r="L500" s="12" t="n"/>
      <c r="M500" s="12" t="n"/>
      <c r="N500" s="2">
        <f>IF(A500="","",SUM(I500:M500))</f>
        <v/>
      </c>
      <c r="O500" s="12" t="n"/>
      <c r="P500" s="12" t="n"/>
      <c r="Q500" s="2" t="n"/>
      <c r="R500" s="2" t="n"/>
      <c r="S500" s="2" t="n"/>
      <c r="T500" s="5">
        <f>IF(A500="","",(COUNTA(A500:M500)+COUNTA(O500:S500))/18)</f>
        <v/>
      </c>
      <c r="U500" s="2" t="n"/>
    </row>
    <row r="501">
      <c r="A501" s="12" t="n"/>
      <c r="B501" s="12" t="n"/>
      <c r="C501" s="12" t="n"/>
      <c r="D501" s="4" t="n"/>
      <c r="E501" s="2" t="n"/>
      <c r="F501" s="12" t="n"/>
      <c r="G501" s="2" t="n"/>
      <c r="H501" s="14" t="n"/>
      <c r="I501" s="12" t="n"/>
      <c r="J501" s="12" t="n"/>
      <c r="K501" s="12" t="n"/>
      <c r="L501" s="12" t="n"/>
      <c r="M501" s="12" t="n"/>
      <c r="N501" s="2">
        <f>IF(A501="","",SUM(I501:M501))</f>
        <v/>
      </c>
      <c r="O501" s="12" t="n"/>
      <c r="P501" s="12" t="n"/>
      <c r="Q501" s="2" t="n"/>
      <c r="R501" s="2" t="n"/>
      <c r="S501" s="2" t="n"/>
      <c r="T501" s="5">
        <f>IF(A501="","",(COUNTA(A501:M501)+COUNTA(O501:S501))/18)</f>
        <v/>
      </c>
      <c r="U501" s="2" t="n"/>
    </row>
  </sheetData>
  <autoFilter ref="A1:U1"/>
  <conditionalFormatting sqref="N2:N501">
    <cfRule type="cellIs" priority="1" operator="greaterThanOrEqual" dxfId="0">
      <formula>7</formula>
    </cfRule>
    <cfRule type="cellIs" priority="2" operator="between" dxfId="1">
      <formula>5</formula>
      <formula>6</formula>
    </cfRule>
    <cfRule type="cellIs" priority="3" operator="lessThan" dxfId="2">
      <formula>5</formula>
    </cfRule>
  </conditionalFormatting>
  <conditionalFormatting sqref="T2:T501">
    <cfRule type="cellIs" priority="4" operator="lessThan" dxfId="2">
      <formula>0.85</formula>
    </cfRule>
    <cfRule type="cellIs" priority="5" operator="between" dxfId="1">
      <formula>0.85</formula>
      <formula>0.99</formula>
    </cfRule>
    <cfRule type="cellIs" priority="6" operator="greaterThanOrEqual" dxfId="0">
      <formula>1</formula>
    </cfRule>
  </conditionalFormatting>
  <dataValidations count="5">
    <dataValidation sqref="C2:C501" showDropDown="0" showInputMessage="0" showErrorMessage="0" allowBlank="1" type="list">
      <formula1>=选项!$B$1:$F$1</formula1>
    </dataValidation>
    <dataValidation sqref="E2:E501" showDropDown="0" showInputMessage="0" showErrorMessage="0" allowBlank="1" type="list">
      <formula1>=选项!$B$2:$E$2</formula1>
    </dataValidation>
    <dataValidation sqref="G2:G501" showDropDown="0" showInputMessage="0" showErrorMessage="0" allowBlank="1" type="list">
      <formula1>=选项!$B$3:$C$3</formula1>
    </dataValidation>
    <dataValidation sqref="I2:I501 J2:J501 K2:K501 L2:L501 M2:M501" showDropDown="0" showInputMessage="0" showErrorMessage="0" allowBlank="1" errorTitle="评分范围错误" error="评分只能填写 0、1、2" type="whole" operator="between">
      <formula1>0</formula1>
      <formula2>2</formula2>
    </dataValidation>
    <dataValidation sqref="O2:O501" showDropDown="0" showInputMessage="0" showErrorMessage="0" allowBlank="1" type="list">
      <formula1>=选项!$B$4:$H$4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A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24" customWidth="1" min="20" max="20"/>
    <col width="24" customWidth="1" min="21" max="21"/>
    <col width="24" customWidth="1" min="22" max="22"/>
    <col width="2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24" customWidth="1" min="30" max="30"/>
  </cols>
  <sheetData>
    <row r="1">
      <c r="A1" s="13" t="inlineStr">
        <is>
          <t>记录ID</t>
        </is>
      </c>
      <c r="B1" s="13" t="inlineStr">
        <is>
          <t>日期</t>
        </is>
      </c>
      <c r="C1" s="3" t="inlineStr">
        <is>
          <t>大盘状态</t>
        </is>
      </c>
      <c r="D1" s="3" t="inlineStr">
        <is>
          <t>大盘涨跌%</t>
        </is>
      </c>
      <c r="E1" s="13" t="inlineStr">
        <is>
          <t>股票</t>
        </is>
      </c>
      <c r="F1" s="3" t="inlineStr">
        <is>
          <t>板块</t>
        </is>
      </c>
      <c r="G1" s="13" t="inlineStr">
        <is>
          <t>板块记录ID</t>
        </is>
      </c>
      <c r="H1" s="3" t="inlineStr">
        <is>
          <t>板块综合分</t>
        </is>
      </c>
      <c r="I1" s="3" t="inlineStr">
        <is>
          <t>板块阶段</t>
        </is>
      </c>
      <c r="J1" s="13" t="inlineStr">
        <is>
          <t>个股类型</t>
        </is>
      </c>
      <c r="K1" s="13" t="inlineStr">
        <is>
          <t>个股相对板块</t>
        </is>
      </c>
      <c r="L1" s="13" t="inlineStr">
        <is>
          <t>当前价</t>
        </is>
      </c>
      <c r="M1" s="13" t="inlineStr">
        <is>
          <t>今日涨跌%</t>
        </is>
      </c>
      <c r="N1" s="13" t="inlineStr">
        <is>
          <t>个股结构</t>
        </is>
      </c>
      <c r="O1" s="3" t="inlineStr">
        <is>
          <t>5/20日线</t>
        </is>
      </c>
      <c r="P1" s="3" t="inlineStr">
        <is>
          <t>MACD</t>
        </is>
      </c>
      <c r="Q1" s="3" t="inlineStr">
        <is>
          <t>成交量</t>
        </is>
      </c>
      <c r="R1" s="13" t="inlineStr">
        <is>
          <t>支撑位</t>
        </is>
      </c>
      <c r="S1" s="13" t="inlineStr">
        <is>
          <t>压力位</t>
        </is>
      </c>
      <c r="T1" s="13" t="inlineStr">
        <is>
          <t>强走势</t>
        </is>
      </c>
      <c r="U1" s="13" t="inlineStr">
        <is>
          <t>中性走势</t>
        </is>
      </c>
      <c r="V1" s="13" t="inlineStr">
        <is>
          <t>弱走势</t>
        </is>
      </c>
      <c r="W1" s="13" t="inlineStr">
        <is>
          <t>失效条件</t>
        </is>
      </c>
      <c r="X1" s="13" t="inlineStr">
        <is>
          <t>模拟动作</t>
        </is>
      </c>
      <c r="Y1" s="3" t="inlineStr">
        <is>
          <t>状态色</t>
        </is>
      </c>
      <c r="Z1" s="3" t="inlineStr">
        <is>
          <t>完整度</t>
        </is>
      </c>
      <c r="AA1" s="3" t="inlineStr">
        <is>
          <t>3日验证日</t>
        </is>
      </c>
      <c r="AB1" s="3" t="inlineStr">
        <is>
          <t>5日验证日</t>
        </is>
      </c>
      <c r="AC1" s="3" t="inlineStr">
        <is>
          <t>10日验证日</t>
        </is>
      </c>
      <c r="AD1" s="3" t="inlineStr">
        <is>
          <t>备注</t>
        </is>
      </c>
    </row>
    <row r="2">
      <c r="A2" s="12" t="n"/>
      <c r="B2" s="12" t="n"/>
      <c r="C2" s="2" t="n"/>
      <c r="D2" s="4" t="n"/>
      <c r="E2" s="12" t="n"/>
      <c r="F2" s="2" t="n"/>
      <c r="G2" s="12" t="n"/>
      <c r="H2" s="2">
        <f>IF(G2="","",IFERROR(VLOOKUP(G2,板块观察!A:U,14,FALSE),""))</f>
        <v/>
      </c>
      <c r="I2" s="2">
        <f>IF(G2="","",IFERROR(VLOOKUP(G2,板块观察!A:U,15,FALSE),""))</f>
        <v/>
      </c>
      <c r="J2" s="12" t="n"/>
      <c r="K2" s="12" t="n"/>
      <c r="L2" s="12" t="n"/>
      <c r="M2" s="14" t="n"/>
      <c r="N2" s="12" t="n"/>
      <c r="O2" s="2" t="n"/>
      <c r="P2" s="2" t="n"/>
      <c r="Q2" s="2" t="n"/>
      <c r="R2" s="12" t="n"/>
      <c r="S2" s="12" t="n"/>
      <c r="T2" s="12" t="n"/>
      <c r="U2" s="12" t="n"/>
      <c r="V2" s="12" t="n"/>
      <c r="W2" s="12" t="n"/>
      <c r="X2" s="12" t="n"/>
      <c r="Y2" s="2" t="n"/>
      <c r="Z2" s="5">
        <f>IF(A2="","",(COUNTA(A2:G2)+COUNTA(J2:Y2))/23)</f>
        <v/>
      </c>
      <c r="AA2" s="2">
        <f>IF(B2="","",WORKDAY(B2,3))</f>
        <v/>
      </c>
      <c r="AB2" s="2">
        <f>IF(B2="","",WORKDAY(B2,5))</f>
        <v/>
      </c>
      <c r="AC2" s="2">
        <f>IF(B2="","",WORKDAY(B2,10))</f>
        <v/>
      </c>
      <c r="AD2" s="2" t="n"/>
    </row>
    <row r="3">
      <c r="A3" s="12" t="n"/>
      <c r="B3" s="12" t="n"/>
      <c r="C3" s="2" t="n"/>
      <c r="D3" s="4" t="n"/>
      <c r="E3" s="12" t="n"/>
      <c r="F3" s="2" t="n"/>
      <c r="G3" s="12" t="n"/>
      <c r="H3" s="2">
        <f>IF(G3="","",IFERROR(VLOOKUP(G3,板块观察!A:U,14,FALSE),""))</f>
        <v/>
      </c>
      <c r="I3" s="2">
        <f>IF(G3="","",IFERROR(VLOOKUP(G3,板块观察!A:U,15,FALSE),""))</f>
        <v/>
      </c>
      <c r="J3" s="12" t="n"/>
      <c r="K3" s="12" t="n"/>
      <c r="L3" s="12" t="n"/>
      <c r="M3" s="14" t="n"/>
      <c r="N3" s="12" t="n"/>
      <c r="O3" s="2" t="n"/>
      <c r="P3" s="2" t="n"/>
      <c r="Q3" s="2" t="n"/>
      <c r="R3" s="12" t="n"/>
      <c r="S3" s="12" t="n"/>
      <c r="T3" s="12" t="n"/>
      <c r="U3" s="12" t="n"/>
      <c r="V3" s="12" t="n"/>
      <c r="W3" s="12" t="n"/>
      <c r="X3" s="12" t="n"/>
      <c r="Y3" s="2" t="n"/>
      <c r="Z3" s="5">
        <f>IF(A3="","",(COUNTA(A3:G3)+COUNTA(J3:Y3))/23)</f>
        <v/>
      </c>
      <c r="AA3" s="2">
        <f>IF(B3="","",WORKDAY(B3,3))</f>
        <v/>
      </c>
      <c r="AB3" s="2">
        <f>IF(B3="","",WORKDAY(B3,5))</f>
        <v/>
      </c>
      <c r="AC3" s="2">
        <f>IF(B3="","",WORKDAY(B3,10))</f>
        <v/>
      </c>
      <c r="AD3" s="2" t="n"/>
    </row>
    <row r="4">
      <c r="A4" s="12" t="n"/>
      <c r="B4" s="12" t="n"/>
      <c r="C4" s="2" t="n"/>
      <c r="D4" s="4" t="n"/>
      <c r="E4" s="12" t="n"/>
      <c r="F4" s="2" t="n"/>
      <c r="G4" s="12" t="n"/>
      <c r="H4" s="2">
        <f>IF(G4="","",IFERROR(VLOOKUP(G4,板块观察!A:U,14,FALSE),""))</f>
        <v/>
      </c>
      <c r="I4" s="2">
        <f>IF(G4="","",IFERROR(VLOOKUP(G4,板块观察!A:U,15,FALSE),""))</f>
        <v/>
      </c>
      <c r="J4" s="12" t="n"/>
      <c r="K4" s="12" t="n"/>
      <c r="L4" s="12" t="n"/>
      <c r="M4" s="14" t="n"/>
      <c r="N4" s="12" t="n"/>
      <c r="O4" s="2" t="n"/>
      <c r="P4" s="2" t="n"/>
      <c r="Q4" s="2" t="n"/>
      <c r="R4" s="12" t="n"/>
      <c r="S4" s="12" t="n"/>
      <c r="T4" s="12" t="n"/>
      <c r="U4" s="12" t="n"/>
      <c r="V4" s="12" t="n"/>
      <c r="W4" s="12" t="n"/>
      <c r="X4" s="12" t="n"/>
      <c r="Y4" s="2" t="n"/>
      <c r="Z4" s="5">
        <f>IF(A4="","",(COUNTA(A4:G4)+COUNTA(J4:Y4))/23)</f>
        <v/>
      </c>
      <c r="AA4" s="2">
        <f>IF(B4="","",WORKDAY(B4,3))</f>
        <v/>
      </c>
      <c r="AB4" s="2">
        <f>IF(B4="","",WORKDAY(B4,5))</f>
        <v/>
      </c>
      <c r="AC4" s="2">
        <f>IF(B4="","",WORKDAY(B4,10))</f>
        <v/>
      </c>
      <c r="AD4" s="2" t="n"/>
    </row>
    <row r="5">
      <c r="A5" s="12" t="n"/>
      <c r="B5" s="12" t="n"/>
      <c r="C5" s="2" t="n"/>
      <c r="D5" s="4" t="n"/>
      <c r="E5" s="12" t="n"/>
      <c r="F5" s="2" t="n"/>
      <c r="G5" s="12" t="n"/>
      <c r="H5" s="2">
        <f>IF(G5="","",IFERROR(VLOOKUP(G5,板块观察!A:U,14,FALSE),""))</f>
        <v/>
      </c>
      <c r="I5" s="2">
        <f>IF(G5="","",IFERROR(VLOOKUP(G5,板块观察!A:U,15,FALSE),""))</f>
        <v/>
      </c>
      <c r="J5" s="12" t="n"/>
      <c r="K5" s="12" t="n"/>
      <c r="L5" s="12" t="n"/>
      <c r="M5" s="14" t="n"/>
      <c r="N5" s="12" t="n"/>
      <c r="O5" s="2" t="n"/>
      <c r="P5" s="2" t="n"/>
      <c r="Q5" s="2" t="n"/>
      <c r="R5" s="12" t="n"/>
      <c r="S5" s="12" t="n"/>
      <c r="T5" s="12" t="n"/>
      <c r="U5" s="12" t="n"/>
      <c r="V5" s="12" t="n"/>
      <c r="W5" s="12" t="n"/>
      <c r="X5" s="12" t="n"/>
      <c r="Y5" s="2" t="n"/>
      <c r="Z5" s="5">
        <f>IF(A5="","",(COUNTA(A5:G5)+COUNTA(J5:Y5))/23)</f>
        <v/>
      </c>
      <c r="AA5" s="2">
        <f>IF(B5="","",WORKDAY(B5,3))</f>
        <v/>
      </c>
      <c r="AB5" s="2">
        <f>IF(B5="","",WORKDAY(B5,5))</f>
        <v/>
      </c>
      <c r="AC5" s="2">
        <f>IF(B5="","",WORKDAY(B5,10))</f>
        <v/>
      </c>
      <c r="AD5" s="2" t="n"/>
    </row>
    <row r="6">
      <c r="A6" s="12" t="n"/>
      <c r="B6" s="12" t="n"/>
      <c r="C6" s="2" t="n"/>
      <c r="D6" s="4" t="n"/>
      <c r="E6" s="12" t="n"/>
      <c r="F6" s="2" t="n"/>
      <c r="G6" s="12" t="n"/>
      <c r="H6" s="2">
        <f>IF(G6="","",IFERROR(VLOOKUP(G6,板块观察!A:U,14,FALSE),""))</f>
        <v/>
      </c>
      <c r="I6" s="2">
        <f>IF(G6="","",IFERROR(VLOOKUP(G6,板块观察!A:U,15,FALSE),""))</f>
        <v/>
      </c>
      <c r="J6" s="12" t="n"/>
      <c r="K6" s="12" t="n"/>
      <c r="L6" s="12" t="n"/>
      <c r="M6" s="14" t="n"/>
      <c r="N6" s="12" t="n"/>
      <c r="O6" s="2" t="n"/>
      <c r="P6" s="2" t="n"/>
      <c r="Q6" s="2" t="n"/>
      <c r="R6" s="12" t="n"/>
      <c r="S6" s="12" t="n"/>
      <c r="T6" s="12" t="n"/>
      <c r="U6" s="12" t="n"/>
      <c r="V6" s="12" t="n"/>
      <c r="W6" s="12" t="n"/>
      <c r="X6" s="12" t="n"/>
      <c r="Y6" s="2" t="n"/>
      <c r="Z6" s="5">
        <f>IF(A6="","",(COUNTA(A6:G6)+COUNTA(J6:Y6))/23)</f>
        <v/>
      </c>
      <c r="AA6" s="2">
        <f>IF(B6="","",WORKDAY(B6,3))</f>
        <v/>
      </c>
      <c r="AB6" s="2">
        <f>IF(B6="","",WORKDAY(B6,5))</f>
        <v/>
      </c>
      <c r="AC6" s="2">
        <f>IF(B6="","",WORKDAY(B6,10))</f>
        <v/>
      </c>
      <c r="AD6" s="2" t="n"/>
    </row>
    <row r="7">
      <c r="A7" s="12" t="n"/>
      <c r="B7" s="12" t="n"/>
      <c r="C7" s="2" t="n"/>
      <c r="D7" s="4" t="n"/>
      <c r="E7" s="12" t="n"/>
      <c r="F7" s="2" t="n"/>
      <c r="G7" s="12" t="n"/>
      <c r="H7" s="2">
        <f>IF(G7="","",IFERROR(VLOOKUP(G7,板块观察!A:U,14,FALSE),""))</f>
        <v/>
      </c>
      <c r="I7" s="2">
        <f>IF(G7="","",IFERROR(VLOOKUP(G7,板块观察!A:U,15,FALSE),""))</f>
        <v/>
      </c>
      <c r="J7" s="12" t="n"/>
      <c r="K7" s="12" t="n"/>
      <c r="L7" s="12" t="n"/>
      <c r="M7" s="14" t="n"/>
      <c r="N7" s="12" t="n"/>
      <c r="O7" s="2" t="n"/>
      <c r="P7" s="2" t="n"/>
      <c r="Q7" s="2" t="n"/>
      <c r="R7" s="12" t="n"/>
      <c r="S7" s="12" t="n"/>
      <c r="T7" s="12" t="n"/>
      <c r="U7" s="12" t="n"/>
      <c r="V7" s="12" t="n"/>
      <c r="W7" s="12" t="n"/>
      <c r="X7" s="12" t="n"/>
      <c r="Y7" s="2" t="n"/>
      <c r="Z7" s="5">
        <f>IF(A7="","",(COUNTA(A7:G7)+COUNTA(J7:Y7))/23)</f>
        <v/>
      </c>
      <c r="AA7" s="2">
        <f>IF(B7="","",WORKDAY(B7,3))</f>
        <v/>
      </c>
      <c r="AB7" s="2">
        <f>IF(B7="","",WORKDAY(B7,5))</f>
        <v/>
      </c>
      <c r="AC7" s="2">
        <f>IF(B7="","",WORKDAY(B7,10))</f>
        <v/>
      </c>
      <c r="AD7" s="2" t="n"/>
    </row>
    <row r="8">
      <c r="A8" s="12" t="n"/>
      <c r="B8" s="12" t="n"/>
      <c r="C8" s="2" t="n"/>
      <c r="D8" s="4" t="n"/>
      <c r="E8" s="12" t="n"/>
      <c r="F8" s="2" t="n"/>
      <c r="G8" s="12" t="n"/>
      <c r="H8" s="2">
        <f>IF(G8="","",IFERROR(VLOOKUP(G8,板块观察!A:U,14,FALSE),""))</f>
        <v/>
      </c>
      <c r="I8" s="2">
        <f>IF(G8="","",IFERROR(VLOOKUP(G8,板块观察!A:U,15,FALSE),""))</f>
        <v/>
      </c>
      <c r="J8" s="12" t="n"/>
      <c r="K8" s="12" t="n"/>
      <c r="L8" s="12" t="n"/>
      <c r="M8" s="14" t="n"/>
      <c r="N8" s="12" t="n"/>
      <c r="O8" s="2" t="n"/>
      <c r="P8" s="2" t="n"/>
      <c r="Q8" s="2" t="n"/>
      <c r="R8" s="12" t="n"/>
      <c r="S8" s="12" t="n"/>
      <c r="T8" s="12" t="n"/>
      <c r="U8" s="12" t="n"/>
      <c r="V8" s="12" t="n"/>
      <c r="W8" s="12" t="n"/>
      <c r="X8" s="12" t="n"/>
      <c r="Y8" s="2" t="n"/>
      <c r="Z8" s="5">
        <f>IF(A8="","",(COUNTA(A8:G8)+COUNTA(J8:Y8))/23)</f>
        <v/>
      </c>
      <c r="AA8" s="2">
        <f>IF(B8="","",WORKDAY(B8,3))</f>
        <v/>
      </c>
      <c r="AB8" s="2">
        <f>IF(B8="","",WORKDAY(B8,5))</f>
        <v/>
      </c>
      <c r="AC8" s="2">
        <f>IF(B8="","",WORKDAY(B8,10))</f>
        <v/>
      </c>
      <c r="AD8" s="2" t="n"/>
    </row>
    <row r="9">
      <c r="A9" s="12" t="n"/>
      <c r="B9" s="12" t="n"/>
      <c r="C9" s="2" t="n"/>
      <c r="D9" s="4" t="n"/>
      <c r="E9" s="12" t="n"/>
      <c r="F9" s="2" t="n"/>
      <c r="G9" s="12" t="n"/>
      <c r="H9" s="2">
        <f>IF(G9="","",IFERROR(VLOOKUP(G9,板块观察!A:U,14,FALSE),""))</f>
        <v/>
      </c>
      <c r="I9" s="2">
        <f>IF(G9="","",IFERROR(VLOOKUP(G9,板块观察!A:U,15,FALSE),""))</f>
        <v/>
      </c>
      <c r="J9" s="12" t="n"/>
      <c r="K9" s="12" t="n"/>
      <c r="L9" s="12" t="n"/>
      <c r="M9" s="14" t="n"/>
      <c r="N9" s="12" t="n"/>
      <c r="O9" s="2" t="n"/>
      <c r="P9" s="2" t="n"/>
      <c r="Q9" s="2" t="n"/>
      <c r="R9" s="12" t="n"/>
      <c r="S9" s="12" t="n"/>
      <c r="T9" s="12" t="n"/>
      <c r="U9" s="12" t="n"/>
      <c r="V9" s="12" t="n"/>
      <c r="W9" s="12" t="n"/>
      <c r="X9" s="12" t="n"/>
      <c r="Y9" s="2" t="n"/>
      <c r="Z9" s="5">
        <f>IF(A9="","",(COUNTA(A9:G9)+COUNTA(J9:Y9))/23)</f>
        <v/>
      </c>
      <c r="AA9" s="2">
        <f>IF(B9="","",WORKDAY(B9,3))</f>
        <v/>
      </c>
      <c r="AB9" s="2">
        <f>IF(B9="","",WORKDAY(B9,5))</f>
        <v/>
      </c>
      <c r="AC9" s="2">
        <f>IF(B9="","",WORKDAY(B9,10))</f>
        <v/>
      </c>
      <c r="AD9" s="2" t="n"/>
    </row>
    <row r="10">
      <c r="A10" s="12" t="n"/>
      <c r="B10" s="12" t="n"/>
      <c r="C10" s="2" t="n"/>
      <c r="D10" s="4" t="n"/>
      <c r="E10" s="12" t="n"/>
      <c r="F10" s="2" t="n"/>
      <c r="G10" s="12" t="n"/>
      <c r="H10" s="2">
        <f>IF(G10="","",IFERROR(VLOOKUP(G10,板块观察!A:U,14,FALSE),""))</f>
        <v/>
      </c>
      <c r="I10" s="2">
        <f>IF(G10="","",IFERROR(VLOOKUP(G10,板块观察!A:U,15,FALSE),""))</f>
        <v/>
      </c>
      <c r="J10" s="12" t="n"/>
      <c r="K10" s="12" t="n"/>
      <c r="L10" s="12" t="n"/>
      <c r="M10" s="14" t="n"/>
      <c r="N10" s="12" t="n"/>
      <c r="O10" s="2" t="n"/>
      <c r="P10" s="2" t="n"/>
      <c r="Q10" s="2" t="n"/>
      <c r="R10" s="12" t="n"/>
      <c r="S10" s="12" t="n"/>
      <c r="T10" s="12" t="n"/>
      <c r="U10" s="12" t="n"/>
      <c r="V10" s="12" t="n"/>
      <c r="W10" s="12" t="n"/>
      <c r="X10" s="12" t="n"/>
      <c r="Y10" s="2" t="n"/>
      <c r="Z10" s="5">
        <f>IF(A10="","",(COUNTA(A10:G10)+COUNTA(J10:Y10))/23)</f>
        <v/>
      </c>
      <c r="AA10" s="2">
        <f>IF(B10="","",WORKDAY(B10,3))</f>
        <v/>
      </c>
      <c r="AB10" s="2">
        <f>IF(B10="","",WORKDAY(B10,5))</f>
        <v/>
      </c>
      <c r="AC10" s="2">
        <f>IF(B10="","",WORKDAY(B10,10))</f>
        <v/>
      </c>
      <c r="AD10" s="2" t="n"/>
    </row>
    <row r="11">
      <c r="A11" s="12" t="n"/>
      <c r="B11" s="12" t="n"/>
      <c r="C11" s="2" t="n"/>
      <c r="D11" s="4" t="n"/>
      <c r="E11" s="12" t="n"/>
      <c r="F11" s="2" t="n"/>
      <c r="G11" s="12" t="n"/>
      <c r="H11" s="2">
        <f>IF(G11="","",IFERROR(VLOOKUP(G11,板块观察!A:U,14,FALSE),""))</f>
        <v/>
      </c>
      <c r="I11" s="2">
        <f>IF(G11="","",IFERROR(VLOOKUP(G11,板块观察!A:U,15,FALSE),""))</f>
        <v/>
      </c>
      <c r="J11" s="12" t="n"/>
      <c r="K11" s="12" t="n"/>
      <c r="L11" s="12" t="n"/>
      <c r="M11" s="14" t="n"/>
      <c r="N11" s="12" t="n"/>
      <c r="O11" s="2" t="n"/>
      <c r="P11" s="2" t="n"/>
      <c r="Q11" s="2" t="n"/>
      <c r="R11" s="12" t="n"/>
      <c r="S11" s="12" t="n"/>
      <c r="T11" s="12" t="n"/>
      <c r="U11" s="12" t="n"/>
      <c r="V11" s="12" t="n"/>
      <c r="W11" s="12" t="n"/>
      <c r="X11" s="12" t="n"/>
      <c r="Y11" s="2" t="n"/>
      <c r="Z11" s="5">
        <f>IF(A11="","",(COUNTA(A11:G11)+COUNTA(J11:Y11))/23)</f>
        <v/>
      </c>
      <c r="AA11" s="2">
        <f>IF(B11="","",WORKDAY(B11,3))</f>
        <v/>
      </c>
      <c r="AB11" s="2">
        <f>IF(B11="","",WORKDAY(B11,5))</f>
        <v/>
      </c>
      <c r="AC11" s="2">
        <f>IF(B11="","",WORKDAY(B11,10))</f>
        <v/>
      </c>
      <c r="AD11" s="2" t="n"/>
    </row>
    <row r="12">
      <c r="A12" s="12" t="n"/>
      <c r="B12" s="12" t="n"/>
      <c r="C12" s="2" t="n"/>
      <c r="D12" s="4" t="n"/>
      <c r="E12" s="12" t="n"/>
      <c r="F12" s="2" t="n"/>
      <c r="G12" s="12" t="n"/>
      <c r="H12" s="2">
        <f>IF(G12="","",IFERROR(VLOOKUP(G12,板块观察!A:U,14,FALSE),""))</f>
        <v/>
      </c>
      <c r="I12" s="2">
        <f>IF(G12="","",IFERROR(VLOOKUP(G12,板块观察!A:U,15,FALSE),""))</f>
        <v/>
      </c>
      <c r="J12" s="12" t="n"/>
      <c r="K12" s="12" t="n"/>
      <c r="L12" s="12" t="n"/>
      <c r="M12" s="14" t="n"/>
      <c r="N12" s="12" t="n"/>
      <c r="O12" s="2" t="n"/>
      <c r="P12" s="2" t="n"/>
      <c r="Q12" s="2" t="n"/>
      <c r="R12" s="12" t="n"/>
      <c r="S12" s="12" t="n"/>
      <c r="T12" s="12" t="n"/>
      <c r="U12" s="12" t="n"/>
      <c r="V12" s="12" t="n"/>
      <c r="W12" s="12" t="n"/>
      <c r="X12" s="12" t="n"/>
      <c r="Y12" s="2" t="n"/>
      <c r="Z12" s="5">
        <f>IF(A12="","",(COUNTA(A12:G12)+COUNTA(J12:Y12))/23)</f>
        <v/>
      </c>
      <c r="AA12" s="2">
        <f>IF(B12="","",WORKDAY(B12,3))</f>
        <v/>
      </c>
      <c r="AB12" s="2">
        <f>IF(B12="","",WORKDAY(B12,5))</f>
        <v/>
      </c>
      <c r="AC12" s="2">
        <f>IF(B12="","",WORKDAY(B12,10))</f>
        <v/>
      </c>
      <c r="AD12" s="2" t="n"/>
    </row>
    <row r="13">
      <c r="A13" s="12" t="n"/>
      <c r="B13" s="12" t="n"/>
      <c r="C13" s="2" t="n"/>
      <c r="D13" s="4" t="n"/>
      <c r="E13" s="12" t="n"/>
      <c r="F13" s="2" t="n"/>
      <c r="G13" s="12" t="n"/>
      <c r="H13" s="2">
        <f>IF(G13="","",IFERROR(VLOOKUP(G13,板块观察!A:U,14,FALSE),""))</f>
        <v/>
      </c>
      <c r="I13" s="2">
        <f>IF(G13="","",IFERROR(VLOOKUP(G13,板块观察!A:U,15,FALSE),""))</f>
        <v/>
      </c>
      <c r="J13" s="12" t="n"/>
      <c r="K13" s="12" t="n"/>
      <c r="L13" s="12" t="n"/>
      <c r="M13" s="14" t="n"/>
      <c r="N13" s="12" t="n"/>
      <c r="O13" s="2" t="n"/>
      <c r="P13" s="2" t="n"/>
      <c r="Q13" s="2" t="n"/>
      <c r="R13" s="12" t="n"/>
      <c r="S13" s="12" t="n"/>
      <c r="T13" s="12" t="n"/>
      <c r="U13" s="12" t="n"/>
      <c r="V13" s="12" t="n"/>
      <c r="W13" s="12" t="n"/>
      <c r="X13" s="12" t="n"/>
      <c r="Y13" s="2" t="n"/>
      <c r="Z13" s="5">
        <f>IF(A13="","",(COUNTA(A13:G13)+COUNTA(J13:Y13))/23)</f>
        <v/>
      </c>
      <c r="AA13" s="2">
        <f>IF(B13="","",WORKDAY(B13,3))</f>
        <v/>
      </c>
      <c r="AB13" s="2">
        <f>IF(B13="","",WORKDAY(B13,5))</f>
        <v/>
      </c>
      <c r="AC13" s="2">
        <f>IF(B13="","",WORKDAY(B13,10))</f>
        <v/>
      </c>
      <c r="AD13" s="2" t="n"/>
    </row>
    <row r="14">
      <c r="A14" s="12" t="n"/>
      <c r="B14" s="12" t="n"/>
      <c r="C14" s="2" t="n"/>
      <c r="D14" s="4" t="n"/>
      <c r="E14" s="12" t="n"/>
      <c r="F14" s="2" t="n"/>
      <c r="G14" s="12" t="n"/>
      <c r="H14" s="2">
        <f>IF(G14="","",IFERROR(VLOOKUP(G14,板块观察!A:U,14,FALSE),""))</f>
        <v/>
      </c>
      <c r="I14" s="2">
        <f>IF(G14="","",IFERROR(VLOOKUP(G14,板块观察!A:U,15,FALSE),""))</f>
        <v/>
      </c>
      <c r="J14" s="12" t="n"/>
      <c r="K14" s="12" t="n"/>
      <c r="L14" s="12" t="n"/>
      <c r="M14" s="14" t="n"/>
      <c r="N14" s="12" t="n"/>
      <c r="O14" s="2" t="n"/>
      <c r="P14" s="2" t="n"/>
      <c r="Q14" s="2" t="n"/>
      <c r="R14" s="12" t="n"/>
      <c r="S14" s="12" t="n"/>
      <c r="T14" s="12" t="n"/>
      <c r="U14" s="12" t="n"/>
      <c r="V14" s="12" t="n"/>
      <c r="W14" s="12" t="n"/>
      <c r="X14" s="12" t="n"/>
      <c r="Y14" s="2" t="n"/>
      <c r="Z14" s="5">
        <f>IF(A14="","",(COUNTA(A14:G14)+COUNTA(J14:Y14))/23)</f>
        <v/>
      </c>
      <c r="AA14" s="2">
        <f>IF(B14="","",WORKDAY(B14,3))</f>
        <v/>
      </c>
      <c r="AB14" s="2">
        <f>IF(B14="","",WORKDAY(B14,5))</f>
        <v/>
      </c>
      <c r="AC14" s="2">
        <f>IF(B14="","",WORKDAY(B14,10))</f>
        <v/>
      </c>
      <c r="AD14" s="2" t="n"/>
    </row>
    <row r="15">
      <c r="A15" s="12" t="n"/>
      <c r="B15" s="12" t="n"/>
      <c r="C15" s="2" t="n"/>
      <c r="D15" s="4" t="n"/>
      <c r="E15" s="12" t="n"/>
      <c r="F15" s="2" t="n"/>
      <c r="G15" s="12" t="n"/>
      <c r="H15" s="2">
        <f>IF(G15="","",IFERROR(VLOOKUP(G15,板块观察!A:U,14,FALSE),""))</f>
        <v/>
      </c>
      <c r="I15" s="2">
        <f>IF(G15="","",IFERROR(VLOOKUP(G15,板块观察!A:U,15,FALSE),""))</f>
        <v/>
      </c>
      <c r="J15" s="12" t="n"/>
      <c r="K15" s="12" t="n"/>
      <c r="L15" s="12" t="n"/>
      <c r="M15" s="14" t="n"/>
      <c r="N15" s="12" t="n"/>
      <c r="O15" s="2" t="n"/>
      <c r="P15" s="2" t="n"/>
      <c r="Q15" s="2" t="n"/>
      <c r="R15" s="12" t="n"/>
      <c r="S15" s="12" t="n"/>
      <c r="T15" s="12" t="n"/>
      <c r="U15" s="12" t="n"/>
      <c r="V15" s="12" t="n"/>
      <c r="W15" s="12" t="n"/>
      <c r="X15" s="12" t="n"/>
      <c r="Y15" s="2" t="n"/>
      <c r="Z15" s="5">
        <f>IF(A15="","",(COUNTA(A15:G15)+COUNTA(J15:Y15))/23)</f>
        <v/>
      </c>
      <c r="AA15" s="2">
        <f>IF(B15="","",WORKDAY(B15,3))</f>
        <v/>
      </c>
      <c r="AB15" s="2">
        <f>IF(B15="","",WORKDAY(B15,5))</f>
        <v/>
      </c>
      <c r="AC15" s="2">
        <f>IF(B15="","",WORKDAY(B15,10))</f>
        <v/>
      </c>
      <c r="AD15" s="2" t="n"/>
    </row>
    <row r="16">
      <c r="A16" s="12" t="n"/>
      <c r="B16" s="12" t="n"/>
      <c r="C16" s="2" t="n"/>
      <c r="D16" s="4" t="n"/>
      <c r="E16" s="12" t="n"/>
      <c r="F16" s="2" t="n"/>
      <c r="G16" s="12" t="n"/>
      <c r="H16" s="2">
        <f>IF(G16="","",IFERROR(VLOOKUP(G16,板块观察!A:U,14,FALSE),""))</f>
        <v/>
      </c>
      <c r="I16" s="2">
        <f>IF(G16="","",IFERROR(VLOOKUP(G16,板块观察!A:U,15,FALSE),""))</f>
        <v/>
      </c>
      <c r="J16" s="12" t="n"/>
      <c r="K16" s="12" t="n"/>
      <c r="L16" s="12" t="n"/>
      <c r="M16" s="14" t="n"/>
      <c r="N16" s="12" t="n"/>
      <c r="O16" s="2" t="n"/>
      <c r="P16" s="2" t="n"/>
      <c r="Q16" s="2" t="n"/>
      <c r="R16" s="12" t="n"/>
      <c r="S16" s="12" t="n"/>
      <c r="T16" s="12" t="n"/>
      <c r="U16" s="12" t="n"/>
      <c r="V16" s="12" t="n"/>
      <c r="W16" s="12" t="n"/>
      <c r="X16" s="12" t="n"/>
      <c r="Y16" s="2" t="n"/>
      <c r="Z16" s="5">
        <f>IF(A16="","",(COUNTA(A16:G16)+COUNTA(J16:Y16))/23)</f>
        <v/>
      </c>
      <c r="AA16" s="2">
        <f>IF(B16="","",WORKDAY(B16,3))</f>
        <v/>
      </c>
      <c r="AB16" s="2">
        <f>IF(B16="","",WORKDAY(B16,5))</f>
        <v/>
      </c>
      <c r="AC16" s="2">
        <f>IF(B16="","",WORKDAY(B16,10))</f>
        <v/>
      </c>
      <c r="AD16" s="2" t="n"/>
    </row>
    <row r="17">
      <c r="A17" s="12" t="n"/>
      <c r="B17" s="12" t="n"/>
      <c r="C17" s="2" t="n"/>
      <c r="D17" s="4" t="n"/>
      <c r="E17" s="12" t="n"/>
      <c r="F17" s="2" t="n"/>
      <c r="G17" s="12" t="n"/>
      <c r="H17" s="2">
        <f>IF(G17="","",IFERROR(VLOOKUP(G17,板块观察!A:U,14,FALSE),""))</f>
        <v/>
      </c>
      <c r="I17" s="2">
        <f>IF(G17="","",IFERROR(VLOOKUP(G17,板块观察!A:U,15,FALSE),""))</f>
        <v/>
      </c>
      <c r="J17" s="12" t="n"/>
      <c r="K17" s="12" t="n"/>
      <c r="L17" s="12" t="n"/>
      <c r="M17" s="14" t="n"/>
      <c r="N17" s="12" t="n"/>
      <c r="O17" s="2" t="n"/>
      <c r="P17" s="2" t="n"/>
      <c r="Q17" s="2" t="n"/>
      <c r="R17" s="12" t="n"/>
      <c r="S17" s="12" t="n"/>
      <c r="T17" s="12" t="n"/>
      <c r="U17" s="12" t="n"/>
      <c r="V17" s="12" t="n"/>
      <c r="W17" s="12" t="n"/>
      <c r="X17" s="12" t="n"/>
      <c r="Y17" s="2" t="n"/>
      <c r="Z17" s="5">
        <f>IF(A17="","",(COUNTA(A17:G17)+COUNTA(J17:Y17))/23)</f>
        <v/>
      </c>
      <c r="AA17" s="2">
        <f>IF(B17="","",WORKDAY(B17,3))</f>
        <v/>
      </c>
      <c r="AB17" s="2">
        <f>IF(B17="","",WORKDAY(B17,5))</f>
        <v/>
      </c>
      <c r="AC17" s="2">
        <f>IF(B17="","",WORKDAY(B17,10))</f>
        <v/>
      </c>
      <c r="AD17" s="2" t="n"/>
    </row>
    <row r="18">
      <c r="A18" s="12" t="n"/>
      <c r="B18" s="12" t="n"/>
      <c r="C18" s="2" t="n"/>
      <c r="D18" s="4" t="n"/>
      <c r="E18" s="12" t="n"/>
      <c r="F18" s="2" t="n"/>
      <c r="G18" s="12" t="n"/>
      <c r="H18" s="2">
        <f>IF(G18="","",IFERROR(VLOOKUP(G18,板块观察!A:U,14,FALSE),""))</f>
        <v/>
      </c>
      <c r="I18" s="2">
        <f>IF(G18="","",IFERROR(VLOOKUP(G18,板块观察!A:U,15,FALSE),""))</f>
        <v/>
      </c>
      <c r="J18" s="12" t="n"/>
      <c r="K18" s="12" t="n"/>
      <c r="L18" s="12" t="n"/>
      <c r="M18" s="14" t="n"/>
      <c r="N18" s="12" t="n"/>
      <c r="O18" s="2" t="n"/>
      <c r="P18" s="2" t="n"/>
      <c r="Q18" s="2" t="n"/>
      <c r="R18" s="12" t="n"/>
      <c r="S18" s="12" t="n"/>
      <c r="T18" s="12" t="n"/>
      <c r="U18" s="12" t="n"/>
      <c r="V18" s="12" t="n"/>
      <c r="W18" s="12" t="n"/>
      <c r="X18" s="12" t="n"/>
      <c r="Y18" s="2" t="n"/>
      <c r="Z18" s="5">
        <f>IF(A18="","",(COUNTA(A18:G18)+COUNTA(J18:Y18))/23)</f>
        <v/>
      </c>
      <c r="AA18" s="2">
        <f>IF(B18="","",WORKDAY(B18,3))</f>
        <v/>
      </c>
      <c r="AB18" s="2">
        <f>IF(B18="","",WORKDAY(B18,5))</f>
        <v/>
      </c>
      <c r="AC18" s="2">
        <f>IF(B18="","",WORKDAY(B18,10))</f>
        <v/>
      </c>
      <c r="AD18" s="2" t="n"/>
    </row>
    <row r="19">
      <c r="A19" s="12" t="n"/>
      <c r="B19" s="12" t="n"/>
      <c r="C19" s="2" t="n"/>
      <c r="D19" s="4" t="n"/>
      <c r="E19" s="12" t="n"/>
      <c r="F19" s="2" t="n"/>
      <c r="G19" s="12" t="n"/>
      <c r="H19" s="2">
        <f>IF(G19="","",IFERROR(VLOOKUP(G19,板块观察!A:U,14,FALSE),""))</f>
        <v/>
      </c>
      <c r="I19" s="2">
        <f>IF(G19="","",IFERROR(VLOOKUP(G19,板块观察!A:U,15,FALSE),""))</f>
        <v/>
      </c>
      <c r="J19" s="12" t="n"/>
      <c r="K19" s="12" t="n"/>
      <c r="L19" s="12" t="n"/>
      <c r="M19" s="14" t="n"/>
      <c r="N19" s="12" t="n"/>
      <c r="O19" s="2" t="n"/>
      <c r="P19" s="2" t="n"/>
      <c r="Q19" s="2" t="n"/>
      <c r="R19" s="12" t="n"/>
      <c r="S19" s="12" t="n"/>
      <c r="T19" s="12" t="n"/>
      <c r="U19" s="12" t="n"/>
      <c r="V19" s="12" t="n"/>
      <c r="W19" s="12" t="n"/>
      <c r="X19" s="12" t="n"/>
      <c r="Y19" s="2" t="n"/>
      <c r="Z19" s="5">
        <f>IF(A19="","",(COUNTA(A19:G19)+COUNTA(J19:Y19))/23)</f>
        <v/>
      </c>
      <c r="AA19" s="2">
        <f>IF(B19="","",WORKDAY(B19,3))</f>
        <v/>
      </c>
      <c r="AB19" s="2">
        <f>IF(B19="","",WORKDAY(B19,5))</f>
        <v/>
      </c>
      <c r="AC19" s="2">
        <f>IF(B19="","",WORKDAY(B19,10))</f>
        <v/>
      </c>
      <c r="AD19" s="2" t="n"/>
    </row>
    <row r="20">
      <c r="A20" s="12" t="n"/>
      <c r="B20" s="12" t="n"/>
      <c r="C20" s="2" t="n"/>
      <c r="D20" s="4" t="n"/>
      <c r="E20" s="12" t="n"/>
      <c r="F20" s="2" t="n"/>
      <c r="G20" s="12" t="n"/>
      <c r="H20" s="2">
        <f>IF(G20="","",IFERROR(VLOOKUP(G20,板块观察!A:U,14,FALSE),""))</f>
        <v/>
      </c>
      <c r="I20" s="2">
        <f>IF(G20="","",IFERROR(VLOOKUP(G20,板块观察!A:U,15,FALSE),""))</f>
        <v/>
      </c>
      <c r="J20" s="12" t="n"/>
      <c r="K20" s="12" t="n"/>
      <c r="L20" s="12" t="n"/>
      <c r="M20" s="14" t="n"/>
      <c r="N20" s="12" t="n"/>
      <c r="O20" s="2" t="n"/>
      <c r="P20" s="2" t="n"/>
      <c r="Q20" s="2" t="n"/>
      <c r="R20" s="12" t="n"/>
      <c r="S20" s="12" t="n"/>
      <c r="T20" s="12" t="n"/>
      <c r="U20" s="12" t="n"/>
      <c r="V20" s="12" t="n"/>
      <c r="W20" s="12" t="n"/>
      <c r="X20" s="12" t="n"/>
      <c r="Y20" s="2" t="n"/>
      <c r="Z20" s="5">
        <f>IF(A20="","",(COUNTA(A20:G20)+COUNTA(J20:Y20))/23)</f>
        <v/>
      </c>
      <c r="AA20" s="2">
        <f>IF(B20="","",WORKDAY(B20,3))</f>
        <v/>
      </c>
      <c r="AB20" s="2">
        <f>IF(B20="","",WORKDAY(B20,5))</f>
        <v/>
      </c>
      <c r="AC20" s="2">
        <f>IF(B20="","",WORKDAY(B20,10))</f>
        <v/>
      </c>
      <c r="AD20" s="2" t="n"/>
    </row>
    <row r="21">
      <c r="A21" s="12" t="n"/>
      <c r="B21" s="12" t="n"/>
      <c r="C21" s="2" t="n"/>
      <c r="D21" s="4" t="n"/>
      <c r="E21" s="12" t="n"/>
      <c r="F21" s="2" t="n"/>
      <c r="G21" s="12" t="n"/>
      <c r="H21" s="2">
        <f>IF(G21="","",IFERROR(VLOOKUP(G21,板块观察!A:U,14,FALSE),""))</f>
        <v/>
      </c>
      <c r="I21" s="2">
        <f>IF(G21="","",IFERROR(VLOOKUP(G21,板块观察!A:U,15,FALSE),""))</f>
        <v/>
      </c>
      <c r="J21" s="12" t="n"/>
      <c r="K21" s="12" t="n"/>
      <c r="L21" s="12" t="n"/>
      <c r="M21" s="14" t="n"/>
      <c r="N21" s="12" t="n"/>
      <c r="O21" s="2" t="n"/>
      <c r="P21" s="2" t="n"/>
      <c r="Q21" s="2" t="n"/>
      <c r="R21" s="12" t="n"/>
      <c r="S21" s="12" t="n"/>
      <c r="T21" s="12" t="n"/>
      <c r="U21" s="12" t="n"/>
      <c r="V21" s="12" t="n"/>
      <c r="W21" s="12" t="n"/>
      <c r="X21" s="12" t="n"/>
      <c r="Y21" s="2" t="n"/>
      <c r="Z21" s="5">
        <f>IF(A21="","",(COUNTA(A21:G21)+COUNTA(J21:Y21))/23)</f>
        <v/>
      </c>
      <c r="AA21" s="2">
        <f>IF(B21="","",WORKDAY(B21,3))</f>
        <v/>
      </c>
      <c r="AB21" s="2">
        <f>IF(B21="","",WORKDAY(B21,5))</f>
        <v/>
      </c>
      <c r="AC21" s="2">
        <f>IF(B21="","",WORKDAY(B21,10))</f>
        <v/>
      </c>
      <c r="AD21" s="2" t="n"/>
    </row>
    <row r="22">
      <c r="A22" s="12" t="n"/>
      <c r="B22" s="12" t="n"/>
      <c r="C22" s="2" t="n"/>
      <c r="D22" s="4" t="n"/>
      <c r="E22" s="12" t="n"/>
      <c r="F22" s="2" t="n"/>
      <c r="G22" s="12" t="n"/>
      <c r="H22" s="2">
        <f>IF(G22="","",IFERROR(VLOOKUP(G22,板块观察!A:U,14,FALSE),""))</f>
        <v/>
      </c>
      <c r="I22" s="2">
        <f>IF(G22="","",IFERROR(VLOOKUP(G22,板块观察!A:U,15,FALSE),""))</f>
        <v/>
      </c>
      <c r="J22" s="12" t="n"/>
      <c r="K22" s="12" t="n"/>
      <c r="L22" s="12" t="n"/>
      <c r="M22" s="14" t="n"/>
      <c r="N22" s="12" t="n"/>
      <c r="O22" s="2" t="n"/>
      <c r="P22" s="2" t="n"/>
      <c r="Q22" s="2" t="n"/>
      <c r="R22" s="12" t="n"/>
      <c r="S22" s="12" t="n"/>
      <c r="T22" s="12" t="n"/>
      <c r="U22" s="12" t="n"/>
      <c r="V22" s="12" t="n"/>
      <c r="W22" s="12" t="n"/>
      <c r="X22" s="12" t="n"/>
      <c r="Y22" s="2" t="n"/>
      <c r="Z22" s="5">
        <f>IF(A22="","",(COUNTA(A22:G22)+COUNTA(J22:Y22))/23)</f>
        <v/>
      </c>
      <c r="AA22" s="2">
        <f>IF(B22="","",WORKDAY(B22,3))</f>
        <v/>
      </c>
      <c r="AB22" s="2">
        <f>IF(B22="","",WORKDAY(B22,5))</f>
        <v/>
      </c>
      <c r="AC22" s="2">
        <f>IF(B22="","",WORKDAY(B22,10))</f>
        <v/>
      </c>
      <c r="AD22" s="2" t="n"/>
    </row>
    <row r="23">
      <c r="A23" s="12" t="n"/>
      <c r="B23" s="12" t="n"/>
      <c r="C23" s="2" t="n"/>
      <c r="D23" s="4" t="n"/>
      <c r="E23" s="12" t="n"/>
      <c r="F23" s="2" t="n"/>
      <c r="G23" s="12" t="n"/>
      <c r="H23" s="2">
        <f>IF(G23="","",IFERROR(VLOOKUP(G23,板块观察!A:U,14,FALSE),""))</f>
        <v/>
      </c>
      <c r="I23" s="2">
        <f>IF(G23="","",IFERROR(VLOOKUP(G23,板块观察!A:U,15,FALSE),""))</f>
        <v/>
      </c>
      <c r="J23" s="12" t="n"/>
      <c r="K23" s="12" t="n"/>
      <c r="L23" s="12" t="n"/>
      <c r="M23" s="14" t="n"/>
      <c r="N23" s="12" t="n"/>
      <c r="O23" s="2" t="n"/>
      <c r="P23" s="2" t="n"/>
      <c r="Q23" s="2" t="n"/>
      <c r="R23" s="12" t="n"/>
      <c r="S23" s="12" t="n"/>
      <c r="T23" s="12" t="n"/>
      <c r="U23" s="12" t="n"/>
      <c r="V23" s="12" t="n"/>
      <c r="W23" s="12" t="n"/>
      <c r="X23" s="12" t="n"/>
      <c r="Y23" s="2" t="n"/>
      <c r="Z23" s="5">
        <f>IF(A23="","",(COUNTA(A23:G23)+COUNTA(J23:Y23))/23)</f>
        <v/>
      </c>
      <c r="AA23" s="2">
        <f>IF(B23="","",WORKDAY(B23,3))</f>
        <v/>
      </c>
      <c r="AB23" s="2">
        <f>IF(B23="","",WORKDAY(B23,5))</f>
        <v/>
      </c>
      <c r="AC23" s="2">
        <f>IF(B23="","",WORKDAY(B23,10))</f>
        <v/>
      </c>
      <c r="AD23" s="2" t="n"/>
    </row>
    <row r="24">
      <c r="A24" s="12" t="n"/>
      <c r="B24" s="12" t="n"/>
      <c r="C24" s="2" t="n"/>
      <c r="D24" s="4" t="n"/>
      <c r="E24" s="12" t="n"/>
      <c r="F24" s="2" t="n"/>
      <c r="G24" s="12" t="n"/>
      <c r="H24" s="2">
        <f>IF(G24="","",IFERROR(VLOOKUP(G24,板块观察!A:U,14,FALSE),""))</f>
        <v/>
      </c>
      <c r="I24" s="2">
        <f>IF(G24="","",IFERROR(VLOOKUP(G24,板块观察!A:U,15,FALSE),""))</f>
        <v/>
      </c>
      <c r="J24" s="12" t="n"/>
      <c r="K24" s="12" t="n"/>
      <c r="L24" s="12" t="n"/>
      <c r="M24" s="14" t="n"/>
      <c r="N24" s="12" t="n"/>
      <c r="O24" s="2" t="n"/>
      <c r="P24" s="2" t="n"/>
      <c r="Q24" s="2" t="n"/>
      <c r="R24" s="12" t="n"/>
      <c r="S24" s="12" t="n"/>
      <c r="T24" s="12" t="n"/>
      <c r="U24" s="12" t="n"/>
      <c r="V24" s="12" t="n"/>
      <c r="W24" s="12" t="n"/>
      <c r="X24" s="12" t="n"/>
      <c r="Y24" s="2" t="n"/>
      <c r="Z24" s="5">
        <f>IF(A24="","",(COUNTA(A24:G24)+COUNTA(J24:Y24))/23)</f>
        <v/>
      </c>
      <c r="AA24" s="2">
        <f>IF(B24="","",WORKDAY(B24,3))</f>
        <v/>
      </c>
      <c r="AB24" s="2">
        <f>IF(B24="","",WORKDAY(B24,5))</f>
        <v/>
      </c>
      <c r="AC24" s="2">
        <f>IF(B24="","",WORKDAY(B24,10))</f>
        <v/>
      </c>
      <c r="AD24" s="2" t="n"/>
    </row>
    <row r="25">
      <c r="A25" s="12" t="n"/>
      <c r="B25" s="12" t="n"/>
      <c r="C25" s="2" t="n"/>
      <c r="D25" s="4" t="n"/>
      <c r="E25" s="12" t="n"/>
      <c r="F25" s="2" t="n"/>
      <c r="G25" s="12" t="n"/>
      <c r="H25" s="2">
        <f>IF(G25="","",IFERROR(VLOOKUP(G25,板块观察!A:U,14,FALSE),""))</f>
        <v/>
      </c>
      <c r="I25" s="2">
        <f>IF(G25="","",IFERROR(VLOOKUP(G25,板块观察!A:U,15,FALSE),""))</f>
        <v/>
      </c>
      <c r="J25" s="12" t="n"/>
      <c r="K25" s="12" t="n"/>
      <c r="L25" s="12" t="n"/>
      <c r="M25" s="14" t="n"/>
      <c r="N25" s="12" t="n"/>
      <c r="O25" s="2" t="n"/>
      <c r="P25" s="2" t="n"/>
      <c r="Q25" s="2" t="n"/>
      <c r="R25" s="12" t="n"/>
      <c r="S25" s="12" t="n"/>
      <c r="T25" s="12" t="n"/>
      <c r="U25" s="12" t="n"/>
      <c r="V25" s="12" t="n"/>
      <c r="W25" s="12" t="n"/>
      <c r="X25" s="12" t="n"/>
      <c r="Y25" s="2" t="n"/>
      <c r="Z25" s="5">
        <f>IF(A25="","",(COUNTA(A25:G25)+COUNTA(J25:Y25))/23)</f>
        <v/>
      </c>
      <c r="AA25" s="2">
        <f>IF(B25="","",WORKDAY(B25,3))</f>
        <v/>
      </c>
      <c r="AB25" s="2">
        <f>IF(B25="","",WORKDAY(B25,5))</f>
        <v/>
      </c>
      <c r="AC25" s="2">
        <f>IF(B25="","",WORKDAY(B25,10))</f>
        <v/>
      </c>
      <c r="AD25" s="2" t="n"/>
    </row>
    <row r="26">
      <c r="A26" s="12" t="n"/>
      <c r="B26" s="12" t="n"/>
      <c r="C26" s="2" t="n"/>
      <c r="D26" s="4" t="n"/>
      <c r="E26" s="12" t="n"/>
      <c r="F26" s="2" t="n"/>
      <c r="G26" s="12" t="n"/>
      <c r="H26" s="2">
        <f>IF(G26="","",IFERROR(VLOOKUP(G26,板块观察!A:U,14,FALSE),""))</f>
        <v/>
      </c>
      <c r="I26" s="2">
        <f>IF(G26="","",IFERROR(VLOOKUP(G26,板块观察!A:U,15,FALSE),""))</f>
        <v/>
      </c>
      <c r="J26" s="12" t="n"/>
      <c r="K26" s="12" t="n"/>
      <c r="L26" s="12" t="n"/>
      <c r="M26" s="14" t="n"/>
      <c r="N26" s="12" t="n"/>
      <c r="O26" s="2" t="n"/>
      <c r="P26" s="2" t="n"/>
      <c r="Q26" s="2" t="n"/>
      <c r="R26" s="12" t="n"/>
      <c r="S26" s="12" t="n"/>
      <c r="T26" s="12" t="n"/>
      <c r="U26" s="12" t="n"/>
      <c r="V26" s="12" t="n"/>
      <c r="W26" s="12" t="n"/>
      <c r="X26" s="12" t="n"/>
      <c r="Y26" s="2" t="n"/>
      <c r="Z26" s="5">
        <f>IF(A26="","",(COUNTA(A26:G26)+COUNTA(J26:Y26))/23)</f>
        <v/>
      </c>
      <c r="AA26" s="2">
        <f>IF(B26="","",WORKDAY(B26,3))</f>
        <v/>
      </c>
      <c r="AB26" s="2">
        <f>IF(B26="","",WORKDAY(B26,5))</f>
        <v/>
      </c>
      <c r="AC26" s="2">
        <f>IF(B26="","",WORKDAY(B26,10))</f>
        <v/>
      </c>
      <c r="AD26" s="2" t="n"/>
    </row>
    <row r="27">
      <c r="A27" s="12" t="n"/>
      <c r="B27" s="12" t="n"/>
      <c r="C27" s="2" t="n"/>
      <c r="D27" s="4" t="n"/>
      <c r="E27" s="12" t="n"/>
      <c r="F27" s="2" t="n"/>
      <c r="G27" s="12" t="n"/>
      <c r="H27" s="2">
        <f>IF(G27="","",IFERROR(VLOOKUP(G27,板块观察!A:U,14,FALSE),""))</f>
        <v/>
      </c>
      <c r="I27" s="2">
        <f>IF(G27="","",IFERROR(VLOOKUP(G27,板块观察!A:U,15,FALSE),""))</f>
        <v/>
      </c>
      <c r="J27" s="12" t="n"/>
      <c r="K27" s="12" t="n"/>
      <c r="L27" s="12" t="n"/>
      <c r="M27" s="14" t="n"/>
      <c r="N27" s="12" t="n"/>
      <c r="O27" s="2" t="n"/>
      <c r="P27" s="2" t="n"/>
      <c r="Q27" s="2" t="n"/>
      <c r="R27" s="12" t="n"/>
      <c r="S27" s="12" t="n"/>
      <c r="T27" s="12" t="n"/>
      <c r="U27" s="12" t="n"/>
      <c r="V27" s="12" t="n"/>
      <c r="W27" s="12" t="n"/>
      <c r="X27" s="12" t="n"/>
      <c r="Y27" s="2" t="n"/>
      <c r="Z27" s="5">
        <f>IF(A27="","",(COUNTA(A27:G27)+COUNTA(J27:Y27))/23)</f>
        <v/>
      </c>
      <c r="AA27" s="2">
        <f>IF(B27="","",WORKDAY(B27,3))</f>
        <v/>
      </c>
      <c r="AB27" s="2">
        <f>IF(B27="","",WORKDAY(B27,5))</f>
        <v/>
      </c>
      <c r="AC27" s="2">
        <f>IF(B27="","",WORKDAY(B27,10))</f>
        <v/>
      </c>
      <c r="AD27" s="2" t="n"/>
    </row>
    <row r="28">
      <c r="A28" s="12" t="n"/>
      <c r="B28" s="12" t="n"/>
      <c r="C28" s="2" t="n"/>
      <c r="D28" s="4" t="n"/>
      <c r="E28" s="12" t="n"/>
      <c r="F28" s="2" t="n"/>
      <c r="G28" s="12" t="n"/>
      <c r="H28" s="2">
        <f>IF(G28="","",IFERROR(VLOOKUP(G28,板块观察!A:U,14,FALSE),""))</f>
        <v/>
      </c>
      <c r="I28" s="2">
        <f>IF(G28="","",IFERROR(VLOOKUP(G28,板块观察!A:U,15,FALSE),""))</f>
        <v/>
      </c>
      <c r="J28" s="12" t="n"/>
      <c r="K28" s="12" t="n"/>
      <c r="L28" s="12" t="n"/>
      <c r="M28" s="14" t="n"/>
      <c r="N28" s="12" t="n"/>
      <c r="O28" s="2" t="n"/>
      <c r="P28" s="2" t="n"/>
      <c r="Q28" s="2" t="n"/>
      <c r="R28" s="12" t="n"/>
      <c r="S28" s="12" t="n"/>
      <c r="T28" s="12" t="n"/>
      <c r="U28" s="12" t="n"/>
      <c r="V28" s="12" t="n"/>
      <c r="W28" s="12" t="n"/>
      <c r="X28" s="12" t="n"/>
      <c r="Y28" s="2" t="n"/>
      <c r="Z28" s="5">
        <f>IF(A28="","",(COUNTA(A28:G28)+COUNTA(J28:Y28))/23)</f>
        <v/>
      </c>
      <c r="AA28" s="2">
        <f>IF(B28="","",WORKDAY(B28,3))</f>
        <v/>
      </c>
      <c r="AB28" s="2">
        <f>IF(B28="","",WORKDAY(B28,5))</f>
        <v/>
      </c>
      <c r="AC28" s="2">
        <f>IF(B28="","",WORKDAY(B28,10))</f>
        <v/>
      </c>
      <c r="AD28" s="2" t="n"/>
    </row>
    <row r="29">
      <c r="A29" s="12" t="n"/>
      <c r="B29" s="12" t="n"/>
      <c r="C29" s="2" t="n"/>
      <c r="D29" s="4" t="n"/>
      <c r="E29" s="12" t="n"/>
      <c r="F29" s="2" t="n"/>
      <c r="G29" s="12" t="n"/>
      <c r="H29" s="2">
        <f>IF(G29="","",IFERROR(VLOOKUP(G29,板块观察!A:U,14,FALSE),""))</f>
        <v/>
      </c>
      <c r="I29" s="2">
        <f>IF(G29="","",IFERROR(VLOOKUP(G29,板块观察!A:U,15,FALSE),""))</f>
        <v/>
      </c>
      <c r="J29" s="12" t="n"/>
      <c r="K29" s="12" t="n"/>
      <c r="L29" s="12" t="n"/>
      <c r="M29" s="14" t="n"/>
      <c r="N29" s="12" t="n"/>
      <c r="O29" s="2" t="n"/>
      <c r="P29" s="2" t="n"/>
      <c r="Q29" s="2" t="n"/>
      <c r="R29" s="12" t="n"/>
      <c r="S29" s="12" t="n"/>
      <c r="T29" s="12" t="n"/>
      <c r="U29" s="12" t="n"/>
      <c r="V29" s="12" t="n"/>
      <c r="W29" s="12" t="n"/>
      <c r="X29" s="12" t="n"/>
      <c r="Y29" s="2" t="n"/>
      <c r="Z29" s="5">
        <f>IF(A29="","",(COUNTA(A29:G29)+COUNTA(J29:Y29))/23)</f>
        <v/>
      </c>
      <c r="AA29" s="2">
        <f>IF(B29="","",WORKDAY(B29,3))</f>
        <v/>
      </c>
      <c r="AB29" s="2">
        <f>IF(B29="","",WORKDAY(B29,5))</f>
        <v/>
      </c>
      <c r="AC29" s="2">
        <f>IF(B29="","",WORKDAY(B29,10))</f>
        <v/>
      </c>
      <c r="AD29" s="2" t="n"/>
    </row>
    <row r="30">
      <c r="A30" s="12" t="n"/>
      <c r="B30" s="12" t="n"/>
      <c r="C30" s="2" t="n"/>
      <c r="D30" s="4" t="n"/>
      <c r="E30" s="12" t="n"/>
      <c r="F30" s="2" t="n"/>
      <c r="G30" s="12" t="n"/>
      <c r="H30" s="2">
        <f>IF(G30="","",IFERROR(VLOOKUP(G30,板块观察!A:U,14,FALSE),""))</f>
        <v/>
      </c>
      <c r="I30" s="2">
        <f>IF(G30="","",IFERROR(VLOOKUP(G30,板块观察!A:U,15,FALSE),""))</f>
        <v/>
      </c>
      <c r="J30" s="12" t="n"/>
      <c r="K30" s="12" t="n"/>
      <c r="L30" s="12" t="n"/>
      <c r="M30" s="14" t="n"/>
      <c r="N30" s="12" t="n"/>
      <c r="O30" s="2" t="n"/>
      <c r="P30" s="2" t="n"/>
      <c r="Q30" s="2" t="n"/>
      <c r="R30" s="12" t="n"/>
      <c r="S30" s="12" t="n"/>
      <c r="T30" s="12" t="n"/>
      <c r="U30" s="12" t="n"/>
      <c r="V30" s="12" t="n"/>
      <c r="W30" s="12" t="n"/>
      <c r="X30" s="12" t="n"/>
      <c r="Y30" s="2" t="n"/>
      <c r="Z30" s="5">
        <f>IF(A30="","",(COUNTA(A30:G30)+COUNTA(J30:Y30))/23)</f>
        <v/>
      </c>
      <c r="AA30" s="2">
        <f>IF(B30="","",WORKDAY(B30,3))</f>
        <v/>
      </c>
      <c r="AB30" s="2">
        <f>IF(B30="","",WORKDAY(B30,5))</f>
        <v/>
      </c>
      <c r="AC30" s="2">
        <f>IF(B30="","",WORKDAY(B30,10))</f>
        <v/>
      </c>
      <c r="AD30" s="2" t="n"/>
    </row>
    <row r="31">
      <c r="A31" s="12" t="n"/>
      <c r="B31" s="12" t="n"/>
      <c r="C31" s="2" t="n"/>
      <c r="D31" s="4" t="n"/>
      <c r="E31" s="12" t="n"/>
      <c r="F31" s="2" t="n"/>
      <c r="G31" s="12" t="n"/>
      <c r="H31" s="2">
        <f>IF(G31="","",IFERROR(VLOOKUP(G31,板块观察!A:U,14,FALSE),""))</f>
        <v/>
      </c>
      <c r="I31" s="2">
        <f>IF(G31="","",IFERROR(VLOOKUP(G31,板块观察!A:U,15,FALSE),""))</f>
        <v/>
      </c>
      <c r="J31" s="12" t="n"/>
      <c r="K31" s="12" t="n"/>
      <c r="L31" s="12" t="n"/>
      <c r="M31" s="14" t="n"/>
      <c r="N31" s="12" t="n"/>
      <c r="O31" s="2" t="n"/>
      <c r="P31" s="2" t="n"/>
      <c r="Q31" s="2" t="n"/>
      <c r="R31" s="12" t="n"/>
      <c r="S31" s="12" t="n"/>
      <c r="T31" s="12" t="n"/>
      <c r="U31" s="12" t="n"/>
      <c r="V31" s="12" t="n"/>
      <c r="W31" s="12" t="n"/>
      <c r="X31" s="12" t="n"/>
      <c r="Y31" s="2" t="n"/>
      <c r="Z31" s="5">
        <f>IF(A31="","",(COUNTA(A31:G31)+COUNTA(J31:Y31))/23)</f>
        <v/>
      </c>
      <c r="AA31" s="2">
        <f>IF(B31="","",WORKDAY(B31,3))</f>
        <v/>
      </c>
      <c r="AB31" s="2">
        <f>IF(B31="","",WORKDAY(B31,5))</f>
        <v/>
      </c>
      <c r="AC31" s="2">
        <f>IF(B31="","",WORKDAY(B31,10))</f>
        <v/>
      </c>
      <c r="AD31" s="2" t="n"/>
    </row>
    <row r="32">
      <c r="A32" s="12" t="n"/>
      <c r="B32" s="12" t="n"/>
      <c r="C32" s="2" t="n"/>
      <c r="D32" s="4" t="n"/>
      <c r="E32" s="12" t="n"/>
      <c r="F32" s="2" t="n"/>
      <c r="G32" s="12" t="n"/>
      <c r="H32" s="2">
        <f>IF(G32="","",IFERROR(VLOOKUP(G32,板块观察!A:U,14,FALSE),""))</f>
        <v/>
      </c>
      <c r="I32" s="2">
        <f>IF(G32="","",IFERROR(VLOOKUP(G32,板块观察!A:U,15,FALSE),""))</f>
        <v/>
      </c>
      <c r="J32" s="12" t="n"/>
      <c r="K32" s="12" t="n"/>
      <c r="L32" s="12" t="n"/>
      <c r="M32" s="14" t="n"/>
      <c r="N32" s="12" t="n"/>
      <c r="O32" s="2" t="n"/>
      <c r="P32" s="2" t="n"/>
      <c r="Q32" s="2" t="n"/>
      <c r="R32" s="12" t="n"/>
      <c r="S32" s="12" t="n"/>
      <c r="T32" s="12" t="n"/>
      <c r="U32" s="12" t="n"/>
      <c r="V32" s="12" t="n"/>
      <c r="W32" s="12" t="n"/>
      <c r="X32" s="12" t="n"/>
      <c r="Y32" s="2" t="n"/>
      <c r="Z32" s="5">
        <f>IF(A32="","",(COUNTA(A32:G32)+COUNTA(J32:Y32))/23)</f>
        <v/>
      </c>
      <c r="AA32" s="2">
        <f>IF(B32="","",WORKDAY(B32,3))</f>
        <v/>
      </c>
      <c r="AB32" s="2">
        <f>IF(B32="","",WORKDAY(B32,5))</f>
        <v/>
      </c>
      <c r="AC32" s="2">
        <f>IF(B32="","",WORKDAY(B32,10))</f>
        <v/>
      </c>
      <c r="AD32" s="2" t="n"/>
    </row>
    <row r="33">
      <c r="A33" s="12" t="n"/>
      <c r="B33" s="12" t="n"/>
      <c r="C33" s="2" t="n"/>
      <c r="D33" s="4" t="n"/>
      <c r="E33" s="12" t="n"/>
      <c r="F33" s="2" t="n"/>
      <c r="G33" s="12" t="n"/>
      <c r="H33" s="2">
        <f>IF(G33="","",IFERROR(VLOOKUP(G33,板块观察!A:U,14,FALSE),""))</f>
        <v/>
      </c>
      <c r="I33" s="2">
        <f>IF(G33="","",IFERROR(VLOOKUP(G33,板块观察!A:U,15,FALSE),""))</f>
        <v/>
      </c>
      <c r="J33" s="12" t="n"/>
      <c r="K33" s="12" t="n"/>
      <c r="L33" s="12" t="n"/>
      <c r="M33" s="14" t="n"/>
      <c r="N33" s="12" t="n"/>
      <c r="O33" s="2" t="n"/>
      <c r="P33" s="2" t="n"/>
      <c r="Q33" s="2" t="n"/>
      <c r="R33" s="12" t="n"/>
      <c r="S33" s="12" t="n"/>
      <c r="T33" s="12" t="n"/>
      <c r="U33" s="12" t="n"/>
      <c r="V33" s="12" t="n"/>
      <c r="W33" s="12" t="n"/>
      <c r="X33" s="12" t="n"/>
      <c r="Y33" s="2" t="n"/>
      <c r="Z33" s="5">
        <f>IF(A33="","",(COUNTA(A33:G33)+COUNTA(J33:Y33))/23)</f>
        <v/>
      </c>
      <c r="AA33" s="2">
        <f>IF(B33="","",WORKDAY(B33,3))</f>
        <v/>
      </c>
      <c r="AB33" s="2">
        <f>IF(B33="","",WORKDAY(B33,5))</f>
        <v/>
      </c>
      <c r="AC33" s="2">
        <f>IF(B33="","",WORKDAY(B33,10))</f>
        <v/>
      </c>
      <c r="AD33" s="2" t="n"/>
    </row>
    <row r="34">
      <c r="A34" s="12" t="n"/>
      <c r="B34" s="12" t="n"/>
      <c r="C34" s="2" t="n"/>
      <c r="D34" s="4" t="n"/>
      <c r="E34" s="12" t="n"/>
      <c r="F34" s="2" t="n"/>
      <c r="G34" s="12" t="n"/>
      <c r="H34" s="2">
        <f>IF(G34="","",IFERROR(VLOOKUP(G34,板块观察!A:U,14,FALSE),""))</f>
        <v/>
      </c>
      <c r="I34" s="2">
        <f>IF(G34="","",IFERROR(VLOOKUP(G34,板块观察!A:U,15,FALSE),""))</f>
        <v/>
      </c>
      <c r="J34" s="12" t="n"/>
      <c r="K34" s="12" t="n"/>
      <c r="L34" s="12" t="n"/>
      <c r="M34" s="14" t="n"/>
      <c r="N34" s="12" t="n"/>
      <c r="O34" s="2" t="n"/>
      <c r="P34" s="2" t="n"/>
      <c r="Q34" s="2" t="n"/>
      <c r="R34" s="12" t="n"/>
      <c r="S34" s="12" t="n"/>
      <c r="T34" s="12" t="n"/>
      <c r="U34" s="12" t="n"/>
      <c r="V34" s="12" t="n"/>
      <c r="W34" s="12" t="n"/>
      <c r="X34" s="12" t="n"/>
      <c r="Y34" s="2" t="n"/>
      <c r="Z34" s="5">
        <f>IF(A34="","",(COUNTA(A34:G34)+COUNTA(J34:Y34))/23)</f>
        <v/>
      </c>
      <c r="AA34" s="2">
        <f>IF(B34="","",WORKDAY(B34,3))</f>
        <v/>
      </c>
      <c r="AB34" s="2">
        <f>IF(B34="","",WORKDAY(B34,5))</f>
        <v/>
      </c>
      <c r="AC34" s="2">
        <f>IF(B34="","",WORKDAY(B34,10))</f>
        <v/>
      </c>
      <c r="AD34" s="2" t="n"/>
    </row>
    <row r="35">
      <c r="A35" s="12" t="n"/>
      <c r="B35" s="12" t="n"/>
      <c r="C35" s="2" t="n"/>
      <c r="D35" s="4" t="n"/>
      <c r="E35" s="12" t="n"/>
      <c r="F35" s="2" t="n"/>
      <c r="G35" s="12" t="n"/>
      <c r="H35" s="2">
        <f>IF(G35="","",IFERROR(VLOOKUP(G35,板块观察!A:U,14,FALSE),""))</f>
        <v/>
      </c>
      <c r="I35" s="2">
        <f>IF(G35="","",IFERROR(VLOOKUP(G35,板块观察!A:U,15,FALSE),""))</f>
        <v/>
      </c>
      <c r="J35" s="12" t="n"/>
      <c r="K35" s="12" t="n"/>
      <c r="L35" s="12" t="n"/>
      <c r="M35" s="14" t="n"/>
      <c r="N35" s="12" t="n"/>
      <c r="O35" s="2" t="n"/>
      <c r="P35" s="2" t="n"/>
      <c r="Q35" s="2" t="n"/>
      <c r="R35" s="12" t="n"/>
      <c r="S35" s="12" t="n"/>
      <c r="T35" s="12" t="n"/>
      <c r="U35" s="12" t="n"/>
      <c r="V35" s="12" t="n"/>
      <c r="W35" s="12" t="n"/>
      <c r="X35" s="12" t="n"/>
      <c r="Y35" s="2" t="n"/>
      <c r="Z35" s="5">
        <f>IF(A35="","",(COUNTA(A35:G35)+COUNTA(J35:Y35))/23)</f>
        <v/>
      </c>
      <c r="AA35" s="2">
        <f>IF(B35="","",WORKDAY(B35,3))</f>
        <v/>
      </c>
      <c r="AB35" s="2">
        <f>IF(B35="","",WORKDAY(B35,5))</f>
        <v/>
      </c>
      <c r="AC35" s="2">
        <f>IF(B35="","",WORKDAY(B35,10))</f>
        <v/>
      </c>
      <c r="AD35" s="2" t="n"/>
    </row>
    <row r="36">
      <c r="A36" s="12" t="n"/>
      <c r="B36" s="12" t="n"/>
      <c r="C36" s="2" t="n"/>
      <c r="D36" s="4" t="n"/>
      <c r="E36" s="12" t="n"/>
      <c r="F36" s="2" t="n"/>
      <c r="G36" s="12" t="n"/>
      <c r="H36" s="2">
        <f>IF(G36="","",IFERROR(VLOOKUP(G36,板块观察!A:U,14,FALSE),""))</f>
        <v/>
      </c>
      <c r="I36" s="2">
        <f>IF(G36="","",IFERROR(VLOOKUP(G36,板块观察!A:U,15,FALSE),""))</f>
        <v/>
      </c>
      <c r="J36" s="12" t="n"/>
      <c r="K36" s="12" t="n"/>
      <c r="L36" s="12" t="n"/>
      <c r="M36" s="14" t="n"/>
      <c r="N36" s="12" t="n"/>
      <c r="O36" s="2" t="n"/>
      <c r="P36" s="2" t="n"/>
      <c r="Q36" s="2" t="n"/>
      <c r="R36" s="12" t="n"/>
      <c r="S36" s="12" t="n"/>
      <c r="T36" s="12" t="n"/>
      <c r="U36" s="12" t="n"/>
      <c r="V36" s="12" t="n"/>
      <c r="W36" s="12" t="n"/>
      <c r="X36" s="12" t="n"/>
      <c r="Y36" s="2" t="n"/>
      <c r="Z36" s="5">
        <f>IF(A36="","",(COUNTA(A36:G36)+COUNTA(J36:Y36))/23)</f>
        <v/>
      </c>
      <c r="AA36" s="2">
        <f>IF(B36="","",WORKDAY(B36,3))</f>
        <v/>
      </c>
      <c r="AB36" s="2">
        <f>IF(B36="","",WORKDAY(B36,5))</f>
        <v/>
      </c>
      <c r="AC36" s="2">
        <f>IF(B36="","",WORKDAY(B36,10))</f>
        <v/>
      </c>
      <c r="AD36" s="2" t="n"/>
    </row>
    <row r="37">
      <c r="A37" s="12" t="n"/>
      <c r="B37" s="12" t="n"/>
      <c r="C37" s="2" t="n"/>
      <c r="D37" s="4" t="n"/>
      <c r="E37" s="12" t="n"/>
      <c r="F37" s="2" t="n"/>
      <c r="G37" s="12" t="n"/>
      <c r="H37" s="2">
        <f>IF(G37="","",IFERROR(VLOOKUP(G37,板块观察!A:U,14,FALSE),""))</f>
        <v/>
      </c>
      <c r="I37" s="2">
        <f>IF(G37="","",IFERROR(VLOOKUP(G37,板块观察!A:U,15,FALSE),""))</f>
        <v/>
      </c>
      <c r="J37" s="12" t="n"/>
      <c r="K37" s="12" t="n"/>
      <c r="L37" s="12" t="n"/>
      <c r="M37" s="14" t="n"/>
      <c r="N37" s="12" t="n"/>
      <c r="O37" s="2" t="n"/>
      <c r="P37" s="2" t="n"/>
      <c r="Q37" s="2" t="n"/>
      <c r="R37" s="12" t="n"/>
      <c r="S37" s="12" t="n"/>
      <c r="T37" s="12" t="n"/>
      <c r="U37" s="12" t="n"/>
      <c r="V37" s="12" t="n"/>
      <c r="W37" s="12" t="n"/>
      <c r="X37" s="12" t="n"/>
      <c r="Y37" s="2" t="n"/>
      <c r="Z37" s="5">
        <f>IF(A37="","",(COUNTA(A37:G37)+COUNTA(J37:Y37))/23)</f>
        <v/>
      </c>
      <c r="AA37" s="2">
        <f>IF(B37="","",WORKDAY(B37,3))</f>
        <v/>
      </c>
      <c r="AB37" s="2">
        <f>IF(B37="","",WORKDAY(B37,5))</f>
        <v/>
      </c>
      <c r="AC37" s="2">
        <f>IF(B37="","",WORKDAY(B37,10))</f>
        <v/>
      </c>
      <c r="AD37" s="2" t="n"/>
    </row>
    <row r="38">
      <c r="A38" s="12" t="n"/>
      <c r="B38" s="12" t="n"/>
      <c r="C38" s="2" t="n"/>
      <c r="D38" s="4" t="n"/>
      <c r="E38" s="12" t="n"/>
      <c r="F38" s="2" t="n"/>
      <c r="G38" s="12" t="n"/>
      <c r="H38" s="2">
        <f>IF(G38="","",IFERROR(VLOOKUP(G38,板块观察!A:U,14,FALSE),""))</f>
        <v/>
      </c>
      <c r="I38" s="2">
        <f>IF(G38="","",IFERROR(VLOOKUP(G38,板块观察!A:U,15,FALSE),""))</f>
        <v/>
      </c>
      <c r="J38" s="12" t="n"/>
      <c r="K38" s="12" t="n"/>
      <c r="L38" s="12" t="n"/>
      <c r="M38" s="14" t="n"/>
      <c r="N38" s="12" t="n"/>
      <c r="O38" s="2" t="n"/>
      <c r="P38" s="2" t="n"/>
      <c r="Q38" s="2" t="n"/>
      <c r="R38" s="12" t="n"/>
      <c r="S38" s="12" t="n"/>
      <c r="T38" s="12" t="n"/>
      <c r="U38" s="12" t="n"/>
      <c r="V38" s="12" t="n"/>
      <c r="W38" s="12" t="n"/>
      <c r="X38" s="12" t="n"/>
      <c r="Y38" s="2" t="n"/>
      <c r="Z38" s="5">
        <f>IF(A38="","",(COUNTA(A38:G38)+COUNTA(J38:Y38))/23)</f>
        <v/>
      </c>
      <c r="AA38" s="2">
        <f>IF(B38="","",WORKDAY(B38,3))</f>
        <v/>
      </c>
      <c r="AB38" s="2">
        <f>IF(B38="","",WORKDAY(B38,5))</f>
        <v/>
      </c>
      <c r="AC38" s="2">
        <f>IF(B38="","",WORKDAY(B38,10))</f>
        <v/>
      </c>
      <c r="AD38" s="2" t="n"/>
    </row>
    <row r="39">
      <c r="A39" s="12" t="n"/>
      <c r="B39" s="12" t="n"/>
      <c r="C39" s="2" t="n"/>
      <c r="D39" s="4" t="n"/>
      <c r="E39" s="12" t="n"/>
      <c r="F39" s="2" t="n"/>
      <c r="G39" s="12" t="n"/>
      <c r="H39" s="2">
        <f>IF(G39="","",IFERROR(VLOOKUP(G39,板块观察!A:U,14,FALSE),""))</f>
        <v/>
      </c>
      <c r="I39" s="2">
        <f>IF(G39="","",IFERROR(VLOOKUP(G39,板块观察!A:U,15,FALSE),""))</f>
        <v/>
      </c>
      <c r="J39" s="12" t="n"/>
      <c r="K39" s="12" t="n"/>
      <c r="L39" s="12" t="n"/>
      <c r="M39" s="14" t="n"/>
      <c r="N39" s="12" t="n"/>
      <c r="O39" s="2" t="n"/>
      <c r="P39" s="2" t="n"/>
      <c r="Q39" s="2" t="n"/>
      <c r="R39" s="12" t="n"/>
      <c r="S39" s="12" t="n"/>
      <c r="T39" s="12" t="n"/>
      <c r="U39" s="12" t="n"/>
      <c r="V39" s="12" t="n"/>
      <c r="W39" s="12" t="n"/>
      <c r="X39" s="12" t="n"/>
      <c r="Y39" s="2" t="n"/>
      <c r="Z39" s="5">
        <f>IF(A39="","",(COUNTA(A39:G39)+COUNTA(J39:Y39))/23)</f>
        <v/>
      </c>
      <c r="AA39" s="2">
        <f>IF(B39="","",WORKDAY(B39,3))</f>
        <v/>
      </c>
      <c r="AB39" s="2">
        <f>IF(B39="","",WORKDAY(B39,5))</f>
        <v/>
      </c>
      <c r="AC39" s="2">
        <f>IF(B39="","",WORKDAY(B39,10))</f>
        <v/>
      </c>
      <c r="AD39" s="2" t="n"/>
    </row>
    <row r="40">
      <c r="A40" s="12" t="n"/>
      <c r="B40" s="12" t="n"/>
      <c r="C40" s="2" t="n"/>
      <c r="D40" s="4" t="n"/>
      <c r="E40" s="12" t="n"/>
      <c r="F40" s="2" t="n"/>
      <c r="G40" s="12" t="n"/>
      <c r="H40" s="2">
        <f>IF(G40="","",IFERROR(VLOOKUP(G40,板块观察!A:U,14,FALSE),""))</f>
        <v/>
      </c>
      <c r="I40" s="2">
        <f>IF(G40="","",IFERROR(VLOOKUP(G40,板块观察!A:U,15,FALSE),""))</f>
        <v/>
      </c>
      <c r="J40" s="12" t="n"/>
      <c r="K40" s="12" t="n"/>
      <c r="L40" s="12" t="n"/>
      <c r="M40" s="14" t="n"/>
      <c r="N40" s="12" t="n"/>
      <c r="O40" s="2" t="n"/>
      <c r="P40" s="2" t="n"/>
      <c r="Q40" s="2" t="n"/>
      <c r="R40" s="12" t="n"/>
      <c r="S40" s="12" t="n"/>
      <c r="T40" s="12" t="n"/>
      <c r="U40" s="12" t="n"/>
      <c r="V40" s="12" t="n"/>
      <c r="W40" s="12" t="n"/>
      <c r="X40" s="12" t="n"/>
      <c r="Y40" s="2" t="n"/>
      <c r="Z40" s="5">
        <f>IF(A40="","",(COUNTA(A40:G40)+COUNTA(J40:Y40))/23)</f>
        <v/>
      </c>
      <c r="AA40" s="2">
        <f>IF(B40="","",WORKDAY(B40,3))</f>
        <v/>
      </c>
      <c r="AB40" s="2">
        <f>IF(B40="","",WORKDAY(B40,5))</f>
        <v/>
      </c>
      <c r="AC40" s="2">
        <f>IF(B40="","",WORKDAY(B40,10))</f>
        <v/>
      </c>
      <c r="AD40" s="2" t="n"/>
    </row>
    <row r="41">
      <c r="A41" s="12" t="n"/>
      <c r="B41" s="12" t="n"/>
      <c r="C41" s="2" t="n"/>
      <c r="D41" s="4" t="n"/>
      <c r="E41" s="12" t="n"/>
      <c r="F41" s="2" t="n"/>
      <c r="G41" s="12" t="n"/>
      <c r="H41" s="2">
        <f>IF(G41="","",IFERROR(VLOOKUP(G41,板块观察!A:U,14,FALSE),""))</f>
        <v/>
      </c>
      <c r="I41" s="2">
        <f>IF(G41="","",IFERROR(VLOOKUP(G41,板块观察!A:U,15,FALSE),""))</f>
        <v/>
      </c>
      <c r="J41" s="12" t="n"/>
      <c r="K41" s="12" t="n"/>
      <c r="L41" s="12" t="n"/>
      <c r="M41" s="14" t="n"/>
      <c r="N41" s="12" t="n"/>
      <c r="O41" s="2" t="n"/>
      <c r="P41" s="2" t="n"/>
      <c r="Q41" s="2" t="n"/>
      <c r="R41" s="12" t="n"/>
      <c r="S41" s="12" t="n"/>
      <c r="T41" s="12" t="n"/>
      <c r="U41" s="12" t="n"/>
      <c r="V41" s="12" t="n"/>
      <c r="W41" s="12" t="n"/>
      <c r="X41" s="12" t="n"/>
      <c r="Y41" s="2" t="n"/>
      <c r="Z41" s="5">
        <f>IF(A41="","",(COUNTA(A41:G41)+COUNTA(J41:Y41))/23)</f>
        <v/>
      </c>
      <c r="AA41" s="2">
        <f>IF(B41="","",WORKDAY(B41,3))</f>
        <v/>
      </c>
      <c r="AB41" s="2">
        <f>IF(B41="","",WORKDAY(B41,5))</f>
        <v/>
      </c>
      <c r="AC41" s="2">
        <f>IF(B41="","",WORKDAY(B41,10))</f>
        <v/>
      </c>
      <c r="AD41" s="2" t="n"/>
    </row>
    <row r="42">
      <c r="A42" s="12" t="n"/>
      <c r="B42" s="12" t="n"/>
      <c r="C42" s="2" t="n"/>
      <c r="D42" s="4" t="n"/>
      <c r="E42" s="12" t="n"/>
      <c r="F42" s="2" t="n"/>
      <c r="G42" s="12" t="n"/>
      <c r="H42" s="2">
        <f>IF(G42="","",IFERROR(VLOOKUP(G42,板块观察!A:U,14,FALSE),""))</f>
        <v/>
      </c>
      <c r="I42" s="2">
        <f>IF(G42="","",IFERROR(VLOOKUP(G42,板块观察!A:U,15,FALSE),""))</f>
        <v/>
      </c>
      <c r="J42" s="12" t="n"/>
      <c r="K42" s="12" t="n"/>
      <c r="L42" s="12" t="n"/>
      <c r="M42" s="14" t="n"/>
      <c r="N42" s="12" t="n"/>
      <c r="O42" s="2" t="n"/>
      <c r="P42" s="2" t="n"/>
      <c r="Q42" s="2" t="n"/>
      <c r="R42" s="12" t="n"/>
      <c r="S42" s="12" t="n"/>
      <c r="T42" s="12" t="n"/>
      <c r="U42" s="12" t="n"/>
      <c r="V42" s="12" t="n"/>
      <c r="W42" s="12" t="n"/>
      <c r="X42" s="12" t="n"/>
      <c r="Y42" s="2" t="n"/>
      <c r="Z42" s="5">
        <f>IF(A42="","",(COUNTA(A42:G42)+COUNTA(J42:Y42))/23)</f>
        <v/>
      </c>
      <c r="AA42" s="2">
        <f>IF(B42="","",WORKDAY(B42,3))</f>
        <v/>
      </c>
      <c r="AB42" s="2">
        <f>IF(B42="","",WORKDAY(B42,5))</f>
        <v/>
      </c>
      <c r="AC42" s="2">
        <f>IF(B42="","",WORKDAY(B42,10))</f>
        <v/>
      </c>
      <c r="AD42" s="2" t="n"/>
    </row>
    <row r="43">
      <c r="A43" s="12" t="n"/>
      <c r="B43" s="12" t="n"/>
      <c r="C43" s="2" t="n"/>
      <c r="D43" s="4" t="n"/>
      <c r="E43" s="12" t="n"/>
      <c r="F43" s="2" t="n"/>
      <c r="G43" s="12" t="n"/>
      <c r="H43" s="2">
        <f>IF(G43="","",IFERROR(VLOOKUP(G43,板块观察!A:U,14,FALSE),""))</f>
        <v/>
      </c>
      <c r="I43" s="2">
        <f>IF(G43="","",IFERROR(VLOOKUP(G43,板块观察!A:U,15,FALSE),""))</f>
        <v/>
      </c>
      <c r="J43" s="12" t="n"/>
      <c r="K43" s="12" t="n"/>
      <c r="L43" s="12" t="n"/>
      <c r="M43" s="14" t="n"/>
      <c r="N43" s="12" t="n"/>
      <c r="O43" s="2" t="n"/>
      <c r="P43" s="2" t="n"/>
      <c r="Q43" s="2" t="n"/>
      <c r="R43" s="12" t="n"/>
      <c r="S43" s="12" t="n"/>
      <c r="T43" s="12" t="n"/>
      <c r="U43" s="12" t="n"/>
      <c r="V43" s="12" t="n"/>
      <c r="W43" s="12" t="n"/>
      <c r="X43" s="12" t="n"/>
      <c r="Y43" s="2" t="n"/>
      <c r="Z43" s="5">
        <f>IF(A43="","",(COUNTA(A43:G43)+COUNTA(J43:Y43))/23)</f>
        <v/>
      </c>
      <c r="AA43" s="2">
        <f>IF(B43="","",WORKDAY(B43,3))</f>
        <v/>
      </c>
      <c r="AB43" s="2">
        <f>IF(B43="","",WORKDAY(B43,5))</f>
        <v/>
      </c>
      <c r="AC43" s="2">
        <f>IF(B43="","",WORKDAY(B43,10))</f>
        <v/>
      </c>
      <c r="AD43" s="2" t="n"/>
    </row>
    <row r="44">
      <c r="A44" s="12" t="n"/>
      <c r="B44" s="12" t="n"/>
      <c r="C44" s="2" t="n"/>
      <c r="D44" s="4" t="n"/>
      <c r="E44" s="12" t="n"/>
      <c r="F44" s="2" t="n"/>
      <c r="G44" s="12" t="n"/>
      <c r="H44" s="2">
        <f>IF(G44="","",IFERROR(VLOOKUP(G44,板块观察!A:U,14,FALSE),""))</f>
        <v/>
      </c>
      <c r="I44" s="2">
        <f>IF(G44="","",IFERROR(VLOOKUP(G44,板块观察!A:U,15,FALSE),""))</f>
        <v/>
      </c>
      <c r="J44" s="12" t="n"/>
      <c r="K44" s="12" t="n"/>
      <c r="L44" s="12" t="n"/>
      <c r="M44" s="14" t="n"/>
      <c r="N44" s="12" t="n"/>
      <c r="O44" s="2" t="n"/>
      <c r="P44" s="2" t="n"/>
      <c r="Q44" s="2" t="n"/>
      <c r="R44" s="12" t="n"/>
      <c r="S44" s="12" t="n"/>
      <c r="T44" s="12" t="n"/>
      <c r="U44" s="12" t="n"/>
      <c r="V44" s="12" t="n"/>
      <c r="W44" s="12" t="n"/>
      <c r="X44" s="12" t="n"/>
      <c r="Y44" s="2" t="n"/>
      <c r="Z44" s="5">
        <f>IF(A44="","",(COUNTA(A44:G44)+COUNTA(J44:Y44))/23)</f>
        <v/>
      </c>
      <c r="AA44" s="2">
        <f>IF(B44="","",WORKDAY(B44,3))</f>
        <v/>
      </c>
      <c r="AB44" s="2">
        <f>IF(B44="","",WORKDAY(B44,5))</f>
        <v/>
      </c>
      <c r="AC44" s="2">
        <f>IF(B44="","",WORKDAY(B44,10))</f>
        <v/>
      </c>
      <c r="AD44" s="2" t="n"/>
    </row>
    <row r="45">
      <c r="A45" s="12" t="n"/>
      <c r="B45" s="12" t="n"/>
      <c r="C45" s="2" t="n"/>
      <c r="D45" s="4" t="n"/>
      <c r="E45" s="12" t="n"/>
      <c r="F45" s="2" t="n"/>
      <c r="G45" s="12" t="n"/>
      <c r="H45" s="2">
        <f>IF(G45="","",IFERROR(VLOOKUP(G45,板块观察!A:U,14,FALSE),""))</f>
        <v/>
      </c>
      <c r="I45" s="2">
        <f>IF(G45="","",IFERROR(VLOOKUP(G45,板块观察!A:U,15,FALSE),""))</f>
        <v/>
      </c>
      <c r="J45" s="12" t="n"/>
      <c r="K45" s="12" t="n"/>
      <c r="L45" s="12" t="n"/>
      <c r="M45" s="14" t="n"/>
      <c r="N45" s="12" t="n"/>
      <c r="O45" s="2" t="n"/>
      <c r="P45" s="2" t="n"/>
      <c r="Q45" s="2" t="n"/>
      <c r="R45" s="12" t="n"/>
      <c r="S45" s="12" t="n"/>
      <c r="T45" s="12" t="n"/>
      <c r="U45" s="12" t="n"/>
      <c r="V45" s="12" t="n"/>
      <c r="W45" s="12" t="n"/>
      <c r="X45" s="12" t="n"/>
      <c r="Y45" s="2" t="n"/>
      <c r="Z45" s="5">
        <f>IF(A45="","",(COUNTA(A45:G45)+COUNTA(J45:Y45))/23)</f>
        <v/>
      </c>
      <c r="AA45" s="2">
        <f>IF(B45="","",WORKDAY(B45,3))</f>
        <v/>
      </c>
      <c r="AB45" s="2">
        <f>IF(B45="","",WORKDAY(B45,5))</f>
        <v/>
      </c>
      <c r="AC45" s="2">
        <f>IF(B45="","",WORKDAY(B45,10))</f>
        <v/>
      </c>
      <c r="AD45" s="2" t="n"/>
    </row>
    <row r="46">
      <c r="A46" s="12" t="n"/>
      <c r="B46" s="12" t="n"/>
      <c r="C46" s="2" t="n"/>
      <c r="D46" s="4" t="n"/>
      <c r="E46" s="12" t="n"/>
      <c r="F46" s="2" t="n"/>
      <c r="G46" s="12" t="n"/>
      <c r="H46" s="2">
        <f>IF(G46="","",IFERROR(VLOOKUP(G46,板块观察!A:U,14,FALSE),""))</f>
        <v/>
      </c>
      <c r="I46" s="2">
        <f>IF(G46="","",IFERROR(VLOOKUP(G46,板块观察!A:U,15,FALSE),""))</f>
        <v/>
      </c>
      <c r="J46" s="12" t="n"/>
      <c r="K46" s="12" t="n"/>
      <c r="L46" s="12" t="n"/>
      <c r="M46" s="14" t="n"/>
      <c r="N46" s="12" t="n"/>
      <c r="O46" s="2" t="n"/>
      <c r="P46" s="2" t="n"/>
      <c r="Q46" s="2" t="n"/>
      <c r="R46" s="12" t="n"/>
      <c r="S46" s="12" t="n"/>
      <c r="T46" s="12" t="n"/>
      <c r="U46" s="12" t="n"/>
      <c r="V46" s="12" t="n"/>
      <c r="W46" s="12" t="n"/>
      <c r="X46" s="12" t="n"/>
      <c r="Y46" s="2" t="n"/>
      <c r="Z46" s="5">
        <f>IF(A46="","",(COUNTA(A46:G46)+COUNTA(J46:Y46))/23)</f>
        <v/>
      </c>
      <c r="AA46" s="2">
        <f>IF(B46="","",WORKDAY(B46,3))</f>
        <v/>
      </c>
      <c r="AB46" s="2">
        <f>IF(B46="","",WORKDAY(B46,5))</f>
        <v/>
      </c>
      <c r="AC46" s="2">
        <f>IF(B46="","",WORKDAY(B46,10))</f>
        <v/>
      </c>
      <c r="AD46" s="2" t="n"/>
    </row>
    <row r="47">
      <c r="A47" s="12" t="n"/>
      <c r="B47" s="12" t="n"/>
      <c r="C47" s="2" t="n"/>
      <c r="D47" s="4" t="n"/>
      <c r="E47" s="12" t="n"/>
      <c r="F47" s="2" t="n"/>
      <c r="G47" s="12" t="n"/>
      <c r="H47" s="2">
        <f>IF(G47="","",IFERROR(VLOOKUP(G47,板块观察!A:U,14,FALSE),""))</f>
        <v/>
      </c>
      <c r="I47" s="2">
        <f>IF(G47="","",IFERROR(VLOOKUP(G47,板块观察!A:U,15,FALSE),""))</f>
        <v/>
      </c>
      <c r="J47" s="12" t="n"/>
      <c r="K47" s="12" t="n"/>
      <c r="L47" s="12" t="n"/>
      <c r="M47" s="14" t="n"/>
      <c r="N47" s="12" t="n"/>
      <c r="O47" s="2" t="n"/>
      <c r="P47" s="2" t="n"/>
      <c r="Q47" s="2" t="n"/>
      <c r="R47" s="12" t="n"/>
      <c r="S47" s="12" t="n"/>
      <c r="T47" s="12" t="n"/>
      <c r="U47" s="12" t="n"/>
      <c r="V47" s="12" t="n"/>
      <c r="W47" s="12" t="n"/>
      <c r="X47" s="12" t="n"/>
      <c r="Y47" s="2" t="n"/>
      <c r="Z47" s="5">
        <f>IF(A47="","",(COUNTA(A47:G47)+COUNTA(J47:Y47))/23)</f>
        <v/>
      </c>
      <c r="AA47" s="2">
        <f>IF(B47="","",WORKDAY(B47,3))</f>
        <v/>
      </c>
      <c r="AB47" s="2">
        <f>IF(B47="","",WORKDAY(B47,5))</f>
        <v/>
      </c>
      <c r="AC47" s="2">
        <f>IF(B47="","",WORKDAY(B47,10))</f>
        <v/>
      </c>
      <c r="AD47" s="2" t="n"/>
    </row>
    <row r="48">
      <c r="A48" s="12" t="n"/>
      <c r="B48" s="12" t="n"/>
      <c r="C48" s="2" t="n"/>
      <c r="D48" s="4" t="n"/>
      <c r="E48" s="12" t="n"/>
      <c r="F48" s="2" t="n"/>
      <c r="G48" s="12" t="n"/>
      <c r="H48" s="2">
        <f>IF(G48="","",IFERROR(VLOOKUP(G48,板块观察!A:U,14,FALSE),""))</f>
        <v/>
      </c>
      <c r="I48" s="2">
        <f>IF(G48="","",IFERROR(VLOOKUP(G48,板块观察!A:U,15,FALSE),""))</f>
        <v/>
      </c>
      <c r="J48" s="12" t="n"/>
      <c r="K48" s="12" t="n"/>
      <c r="L48" s="12" t="n"/>
      <c r="M48" s="14" t="n"/>
      <c r="N48" s="12" t="n"/>
      <c r="O48" s="2" t="n"/>
      <c r="P48" s="2" t="n"/>
      <c r="Q48" s="2" t="n"/>
      <c r="R48" s="12" t="n"/>
      <c r="S48" s="12" t="n"/>
      <c r="T48" s="12" t="n"/>
      <c r="U48" s="12" t="n"/>
      <c r="V48" s="12" t="n"/>
      <c r="W48" s="12" t="n"/>
      <c r="X48" s="12" t="n"/>
      <c r="Y48" s="2" t="n"/>
      <c r="Z48" s="5">
        <f>IF(A48="","",(COUNTA(A48:G48)+COUNTA(J48:Y48))/23)</f>
        <v/>
      </c>
      <c r="AA48" s="2">
        <f>IF(B48="","",WORKDAY(B48,3))</f>
        <v/>
      </c>
      <c r="AB48" s="2">
        <f>IF(B48="","",WORKDAY(B48,5))</f>
        <v/>
      </c>
      <c r="AC48" s="2">
        <f>IF(B48="","",WORKDAY(B48,10))</f>
        <v/>
      </c>
      <c r="AD48" s="2" t="n"/>
    </row>
    <row r="49">
      <c r="A49" s="12" t="n"/>
      <c r="B49" s="12" t="n"/>
      <c r="C49" s="2" t="n"/>
      <c r="D49" s="4" t="n"/>
      <c r="E49" s="12" t="n"/>
      <c r="F49" s="2" t="n"/>
      <c r="G49" s="12" t="n"/>
      <c r="H49" s="2">
        <f>IF(G49="","",IFERROR(VLOOKUP(G49,板块观察!A:U,14,FALSE),""))</f>
        <v/>
      </c>
      <c r="I49" s="2">
        <f>IF(G49="","",IFERROR(VLOOKUP(G49,板块观察!A:U,15,FALSE),""))</f>
        <v/>
      </c>
      <c r="J49" s="12" t="n"/>
      <c r="K49" s="12" t="n"/>
      <c r="L49" s="12" t="n"/>
      <c r="M49" s="14" t="n"/>
      <c r="N49" s="12" t="n"/>
      <c r="O49" s="2" t="n"/>
      <c r="P49" s="2" t="n"/>
      <c r="Q49" s="2" t="n"/>
      <c r="R49" s="12" t="n"/>
      <c r="S49" s="12" t="n"/>
      <c r="T49" s="12" t="n"/>
      <c r="U49" s="12" t="n"/>
      <c r="V49" s="12" t="n"/>
      <c r="W49" s="12" t="n"/>
      <c r="X49" s="12" t="n"/>
      <c r="Y49" s="2" t="n"/>
      <c r="Z49" s="5">
        <f>IF(A49="","",(COUNTA(A49:G49)+COUNTA(J49:Y49))/23)</f>
        <v/>
      </c>
      <c r="AA49" s="2">
        <f>IF(B49="","",WORKDAY(B49,3))</f>
        <v/>
      </c>
      <c r="AB49" s="2">
        <f>IF(B49="","",WORKDAY(B49,5))</f>
        <v/>
      </c>
      <c r="AC49" s="2">
        <f>IF(B49="","",WORKDAY(B49,10))</f>
        <v/>
      </c>
      <c r="AD49" s="2" t="n"/>
    </row>
    <row r="50">
      <c r="A50" s="12" t="n"/>
      <c r="B50" s="12" t="n"/>
      <c r="C50" s="2" t="n"/>
      <c r="D50" s="4" t="n"/>
      <c r="E50" s="12" t="n"/>
      <c r="F50" s="2" t="n"/>
      <c r="G50" s="12" t="n"/>
      <c r="H50" s="2">
        <f>IF(G50="","",IFERROR(VLOOKUP(G50,板块观察!A:U,14,FALSE),""))</f>
        <v/>
      </c>
      <c r="I50" s="2">
        <f>IF(G50="","",IFERROR(VLOOKUP(G50,板块观察!A:U,15,FALSE),""))</f>
        <v/>
      </c>
      <c r="J50" s="12" t="n"/>
      <c r="K50" s="12" t="n"/>
      <c r="L50" s="12" t="n"/>
      <c r="M50" s="14" t="n"/>
      <c r="N50" s="12" t="n"/>
      <c r="O50" s="2" t="n"/>
      <c r="P50" s="2" t="n"/>
      <c r="Q50" s="2" t="n"/>
      <c r="R50" s="12" t="n"/>
      <c r="S50" s="12" t="n"/>
      <c r="T50" s="12" t="n"/>
      <c r="U50" s="12" t="n"/>
      <c r="V50" s="12" t="n"/>
      <c r="W50" s="12" t="n"/>
      <c r="X50" s="12" t="n"/>
      <c r="Y50" s="2" t="n"/>
      <c r="Z50" s="5">
        <f>IF(A50="","",(COUNTA(A50:G50)+COUNTA(J50:Y50))/23)</f>
        <v/>
      </c>
      <c r="AA50" s="2">
        <f>IF(B50="","",WORKDAY(B50,3))</f>
        <v/>
      </c>
      <c r="AB50" s="2">
        <f>IF(B50="","",WORKDAY(B50,5))</f>
        <v/>
      </c>
      <c r="AC50" s="2">
        <f>IF(B50="","",WORKDAY(B50,10))</f>
        <v/>
      </c>
      <c r="AD50" s="2" t="n"/>
    </row>
    <row r="51">
      <c r="A51" s="12" t="n"/>
      <c r="B51" s="12" t="n"/>
      <c r="C51" s="2" t="n"/>
      <c r="D51" s="4" t="n"/>
      <c r="E51" s="12" t="n"/>
      <c r="F51" s="2" t="n"/>
      <c r="G51" s="12" t="n"/>
      <c r="H51" s="2">
        <f>IF(G51="","",IFERROR(VLOOKUP(G51,板块观察!A:U,14,FALSE),""))</f>
        <v/>
      </c>
      <c r="I51" s="2">
        <f>IF(G51="","",IFERROR(VLOOKUP(G51,板块观察!A:U,15,FALSE),""))</f>
        <v/>
      </c>
      <c r="J51" s="12" t="n"/>
      <c r="K51" s="12" t="n"/>
      <c r="L51" s="12" t="n"/>
      <c r="M51" s="14" t="n"/>
      <c r="N51" s="12" t="n"/>
      <c r="O51" s="2" t="n"/>
      <c r="P51" s="2" t="n"/>
      <c r="Q51" s="2" t="n"/>
      <c r="R51" s="12" t="n"/>
      <c r="S51" s="12" t="n"/>
      <c r="T51" s="12" t="n"/>
      <c r="U51" s="12" t="n"/>
      <c r="V51" s="12" t="n"/>
      <c r="W51" s="12" t="n"/>
      <c r="X51" s="12" t="n"/>
      <c r="Y51" s="2" t="n"/>
      <c r="Z51" s="5">
        <f>IF(A51="","",(COUNTA(A51:G51)+COUNTA(J51:Y51))/23)</f>
        <v/>
      </c>
      <c r="AA51" s="2">
        <f>IF(B51="","",WORKDAY(B51,3))</f>
        <v/>
      </c>
      <c r="AB51" s="2">
        <f>IF(B51="","",WORKDAY(B51,5))</f>
        <v/>
      </c>
      <c r="AC51" s="2">
        <f>IF(B51="","",WORKDAY(B51,10))</f>
        <v/>
      </c>
      <c r="AD51" s="2" t="n"/>
    </row>
    <row r="52">
      <c r="A52" s="12" t="n"/>
      <c r="B52" s="12" t="n"/>
      <c r="C52" s="2" t="n"/>
      <c r="D52" s="4" t="n"/>
      <c r="E52" s="12" t="n"/>
      <c r="F52" s="2" t="n"/>
      <c r="G52" s="12" t="n"/>
      <c r="H52" s="2">
        <f>IF(G52="","",IFERROR(VLOOKUP(G52,板块观察!A:U,14,FALSE),""))</f>
        <v/>
      </c>
      <c r="I52" s="2">
        <f>IF(G52="","",IFERROR(VLOOKUP(G52,板块观察!A:U,15,FALSE),""))</f>
        <v/>
      </c>
      <c r="J52" s="12" t="n"/>
      <c r="K52" s="12" t="n"/>
      <c r="L52" s="12" t="n"/>
      <c r="M52" s="14" t="n"/>
      <c r="N52" s="12" t="n"/>
      <c r="O52" s="2" t="n"/>
      <c r="P52" s="2" t="n"/>
      <c r="Q52" s="2" t="n"/>
      <c r="R52" s="12" t="n"/>
      <c r="S52" s="12" t="n"/>
      <c r="T52" s="12" t="n"/>
      <c r="U52" s="12" t="n"/>
      <c r="V52" s="12" t="n"/>
      <c r="W52" s="12" t="n"/>
      <c r="X52" s="12" t="n"/>
      <c r="Y52" s="2" t="n"/>
      <c r="Z52" s="5">
        <f>IF(A52="","",(COUNTA(A52:G52)+COUNTA(J52:Y52))/23)</f>
        <v/>
      </c>
      <c r="AA52" s="2">
        <f>IF(B52="","",WORKDAY(B52,3))</f>
        <v/>
      </c>
      <c r="AB52" s="2">
        <f>IF(B52="","",WORKDAY(B52,5))</f>
        <v/>
      </c>
      <c r="AC52" s="2">
        <f>IF(B52="","",WORKDAY(B52,10))</f>
        <v/>
      </c>
      <c r="AD52" s="2" t="n"/>
    </row>
    <row r="53">
      <c r="A53" s="12" t="n"/>
      <c r="B53" s="12" t="n"/>
      <c r="C53" s="2" t="n"/>
      <c r="D53" s="4" t="n"/>
      <c r="E53" s="12" t="n"/>
      <c r="F53" s="2" t="n"/>
      <c r="G53" s="12" t="n"/>
      <c r="H53" s="2">
        <f>IF(G53="","",IFERROR(VLOOKUP(G53,板块观察!A:U,14,FALSE),""))</f>
        <v/>
      </c>
      <c r="I53" s="2">
        <f>IF(G53="","",IFERROR(VLOOKUP(G53,板块观察!A:U,15,FALSE),""))</f>
        <v/>
      </c>
      <c r="J53" s="12" t="n"/>
      <c r="K53" s="12" t="n"/>
      <c r="L53" s="12" t="n"/>
      <c r="M53" s="14" t="n"/>
      <c r="N53" s="12" t="n"/>
      <c r="O53" s="2" t="n"/>
      <c r="P53" s="2" t="n"/>
      <c r="Q53" s="2" t="n"/>
      <c r="R53" s="12" t="n"/>
      <c r="S53" s="12" t="n"/>
      <c r="T53" s="12" t="n"/>
      <c r="U53" s="12" t="n"/>
      <c r="V53" s="12" t="n"/>
      <c r="W53" s="12" t="n"/>
      <c r="X53" s="12" t="n"/>
      <c r="Y53" s="2" t="n"/>
      <c r="Z53" s="5">
        <f>IF(A53="","",(COUNTA(A53:G53)+COUNTA(J53:Y53))/23)</f>
        <v/>
      </c>
      <c r="AA53" s="2">
        <f>IF(B53="","",WORKDAY(B53,3))</f>
        <v/>
      </c>
      <c r="AB53" s="2">
        <f>IF(B53="","",WORKDAY(B53,5))</f>
        <v/>
      </c>
      <c r="AC53" s="2">
        <f>IF(B53="","",WORKDAY(B53,10))</f>
        <v/>
      </c>
      <c r="AD53" s="2" t="n"/>
    </row>
    <row r="54">
      <c r="A54" s="12" t="n"/>
      <c r="B54" s="12" t="n"/>
      <c r="C54" s="2" t="n"/>
      <c r="D54" s="4" t="n"/>
      <c r="E54" s="12" t="n"/>
      <c r="F54" s="2" t="n"/>
      <c r="G54" s="12" t="n"/>
      <c r="H54" s="2">
        <f>IF(G54="","",IFERROR(VLOOKUP(G54,板块观察!A:U,14,FALSE),""))</f>
        <v/>
      </c>
      <c r="I54" s="2">
        <f>IF(G54="","",IFERROR(VLOOKUP(G54,板块观察!A:U,15,FALSE),""))</f>
        <v/>
      </c>
      <c r="J54" s="12" t="n"/>
      <c r="K54" s="12" t="n"/>
      <c r="L54" s="12" t="n"/>
      <c r="M54" s="14" t="n"/>
      <c r="N54" s="12" t="n"/>
      <c r="O54" s="2" t="n"/>
      <c r="P54" s="2" t="n"/>
      <c r="Q54" s="2" t="n"/>
      <c r="R54" s="12" t="n"/>
      <c r="S54" s="12" t="n"/>
      <c r="T54" s="12" t="n"/>
      <c r="U54" s="12" t="n"/>
      <c r="V54" s="12" t="n"/>
      <c r="W54" s="12" t="n"/>
      <c r="X54" s="12" t="n"/>
      <c r="Y54" s="2" t="n"/>
      <c r="Z54" s="5">
        <f>IF(A54="","",(COUNTA(A54:G54)+COUNTA(J54:Y54))/23)</f>
        <v/>
      </c>
      <c r="AA54" s="2">
        <f>IF(B54="","",WORKDAY(B54,3))</f>
        <v/>
      </c>
      <c r="AB54" s="2">
        <f>IF(B54="","",WORKDAY(B54,5))</f>
        <v/>
      </c>
      <c r="AC54" s="2">
        <f>IF(B54="","",WORKDAY(B54,10))</f>
        <v/>
      </c>
      <c r="AD54" s="2" t="n"/>
    </row>
    <row r="55">
      <c r="A55" s="12" t="n"/>
      <c r="B55" s="12" t="n"/>
      <c r="C55" s="2" t="n"/>
      <c r="D55" s="4" t="n"/>
      <c r="E55" s="12" t="n"/>
      <c r="F55" s="2" t="n"/>
      <c r="G55" s="12" t="n"/>
      <c r="H55" s="2">
        <f>IF(G55="","",IFERROR(VLOOKUP(G55,板块观察!A:U,14,FALSE),""))</f>
        <v/>
      </c>
      <c r="I55" s="2">
        <f>IF(G55="","",IFERROR(VLOOKUP(G55,板块观察!A:U,15,FALSE),""))</f>
        <v/>
      </c>
      <c r="J55" s="12" t="n"/>
      <c r="K55" s="12" t="n"/>
      <c r="L55" s="12" t="n"/>
      <c r="M55" s="14" t="n"/>
      <c r="N55" s="12" t="n"/>
      <c r="O55" s="2" t="n"/>
      <c r="P55" s="2" t="n"/>
      <c r="Q55" s="2" t="n"/>
      <c r="R55" s="12" t="n"/>
      <c r="S55" s="12" t="n"/>
      <c r="T55" s="12" t="n"/>
      <c r="U55" s="12" t="n"/>
      <c r="V55" s="12" t="n"/>
      <c r="W55" s="12" t="n"/>
      <c r="X55" s="12" t="n"/>
      <c r="Y55" s="2" t="n"/>
      <c r="Z55" s="5">
        <f>IF(A55="","",(COUNTA(A55:G55)+COUNTA(J55:Y55))/23)</f>
        <v/>
      </c>
      <c r="AA55" s="2">
        <f>IF(B55="","",WORKDAY(B55,3))</f>
        <v/>
      </c>
      <c r="AB55" s="2">
        <f>IF(B55="","",WORKDAY(B55,5))</f>
        <v/>
      </c>
      <c r="AC55" s="2">
        <f>IF(B55="","",WORKDAY(B55,10))</f>
        <v/>
      </c>
      <c r="AD55" s="2" t="n"/>
    </row>
    <row r="56">
      <c r="A56" s="12" t="n"/>
      <c r="B56" s="12" t="n"/>
      <c r="C56" s="2" t="n"/>
      <c r="D56" s="4" t="n"/>
      <c r="E56" s="12" t="n"/>
      <c r="F56" s="2" t="n"/>
      <c r="G56" s="12" t="n"/>
      <c r="H56" s="2">
        <f>IF(G56="","",IFERROR(VLOOKUP(G56,板块观察!A:U,14,FALSE),""))</f>
        <v/>
      </c>
      <c r="I56" s="2">
        <f>IF(G56="","",IFERROR(VLOOKUP(G56,板块观察!A:U,15,FALSE),""))</f>
        <v/>
      </c>
      <c r="J56" s="12" t="n"/>
      <c r="K56" s="12" t="n"/>
      <c r="L56" s="12" t="n"/>
      <c r="M56" s="14" t="n"/>
      <c r="N56" s="12" t="n"/>
      <c r="O56" s="2" t="n"/>
      <c r="P56" s="2" t="n"/>
      <c r="Q56" s="2" t="n"/>
      <c r="R56" s="12" t="n"/>
      <c r="S56" s="12" t="n"/>
      <c r="T56" s="12" t="n"/>
      <c r="U56" s="12" t="n"/>
      <c r="V56" s="12" t="n"/>
      <c r="W56" s="12" t="n"/>
      <c r="X56" s="12" t="n"/>
      <c r="Y56" s="2" t="n"/>
      <c r="Z56" s="5">
        <f>IF(A56="","",(COUNTA(A56:G56)+COUNTA(J56:Y56))/23)</f>
        <v/>
      </c>
      <c r="AA56" s="2">
        <f>IF(B56="","",WORKDAY(B56,3))</f>
        <v/>
      </c>
      <c r="AB56" s="2">
        <f>IF(B56="","",WORKDAY(B56,5))</f>
        <v/>
      </c>
      <c r="AC56" s="2">
        <f>IF(B56="","",WORKDAY(B56,10))</f>
        <v/>
      </c>
      <c r="AD56" s="2" t="n"/>
    </row>
    <row r="57">
      <c r="A57" s="12" t="n"/>
      <c r="B57" s="12" t="n"/>
      <c r="C57" s="2" t="n"/>
      <c r="D57" s="4" t="n"/>
      <c r="E57" s="12" t="n"/>
      <c r="F57" s="2" t="n"/>
      <c r="G57" s="12" t="n"/>
      <c r="H57" s="2">
        <f>IF(G57="","",IFERROR(VLOOKUP(G57,板块观察!A:U,14,FALSE),""))</f>
        <v/>
      </c>
      <c r="I57" s="2">
        <f>IF(G57="","",IFERROR(VLOOKUP(G57,板块观察!A:U,15,FALSE),""))</f>
        <v/>
      </c>
      <c r="J57" s="12" t="n"/>
      <c r="K57" s="12" t="n"/>
      <c r="L57" s="12" t="n"/>
      <c r="M57" s="14" t="n"/>
      <c r="N57" s="12" t="n"/>
      <c r="O57" s="2" t="n"/>
      <c r="P57" s="2" t="n"/>
      <c r="Q57" s="2" t="n"/>
      <c r="R57" s="12" t="n"/>
      <c r="S57" s="12" t="n"/>
      <c r="T57" s="12" t="n"/>
      <c r="U57" s="12" t="n"/>
      <c r="V57" s="12" t="n"/>
      <c r="W57" s="12" t="n"/>
      <c r="X57" s="12" t="n"/>
      <c r="Y57" s="2" t="n"/>
      <c r="Z57" s="5">
        <f>IF(A57="","",(COUNTA(A57:G57)+COUNTA(J57:Y57))/23)</f>
        <v/>
      </c>
      <c r="AA57" s="2">
        <f>IF(B57="","",WORKDAY(B57,3))</f>
        <v/>
      </c>
      <c r="AB57" s="2">
        <f>IF(B57="","",WORKDAY(B57,5))</f>
        <v/>
      </c>
      <c r="AC57" s="2">
        <f>IF(B57="","",WORKDAY(B57,10))</f>
        <v/>
      </c>
      <c r="AD57" s="2" t="n"/>
    </row>
    <row r="58">
      <c r="A58" s="12" t="n"/>
      <c r="B58" s="12" t="n"/>
      <c r="C58" s="2" t="n"/>
      <c r="D58" s="4" t="n"/>
      <c r="E58" s="12" t="n"/>
      <c r="F58" s="2" t="n"/>
      <c r="G58" s="12" t="n"/>
      <c r="H58" s="2">
        <f>IF(G58="","",IFERROR(VLOOKUP(G58,板块观察!A:U,14,FALSE),""))</f>
        <v/>
      </c>
      <c r="I58" s="2">
        <f>IF(G58="","",IFERROR(VLOOKUP(G58,板块观察!A:U,15,FALSE),""))</f>
        <v/>
      </c>
      <c r="J58" s="12" t="n"/>
      <c r="K58" s="12" t="n"/>
      <c r="L58" s="12" t="n"/>
      <c r="M58" s="14" t="n"/>
      <c r="N58" s="12" t="n"/>
      <c r="O58" s="2" t="n"/>
      <c r="P58" s="2" t="n"/>
      <c r="Q58" s="2" t="n"/>
      <c r="R58" s="12" t="n"/>
      <c r="S58" s="12" t="n"/>
      <c r="T58" s="12" t="n"/>
      <c r="U58" s="12" t="n"/>
      <c r="V58" s="12" t="n"/>
      <c r="W58" s="12" t="n"/>
      <c r="X58" s="12" t="n"/>
      <c r="Y58" s="2" t="n"/>
      <c r="Z58" s="5">
        <f>IF(A58="","",(COUNTA(A58:G58)+COUNTA(J58:Y58))/23)</f>
        <v/>
      </c>
      <c r="AA58" s="2">
        <f>IF(B58="","",WORKDAY(B58,3))</f>
        <v/>
      </c>
      <c r="AB58" s="2">
        <f>IF(B58="","",WORKDAY(B58,5))</f>
        <v/>
      </c>
      <c r="AC58" s="2">
        <f>IF(B58="","",WORKDAY(B58,10))</f>
        <v/>
      </c>
      <c r="AD58" s="2" t="n"/>
    </row>
    <row r="59">
      <c r="A59" s="12" t="n"/>
      <c r="B59" s="12" t="n"/>
      <c r="C59" s="2" t="n"/>
      <c r="D59" s="4" t="n"/>
      <c r="E59" s="12" t="n"/>
      <c r="F59" s="2" t="n"/>
      <c r="G59" s="12" t="n"/>
      <c r="H59" s="2">
        <f>IF(G59="","",IFERROR(VLOOKUP(G59,板块观察!A:U,14,FALSE),""))</f>
        <v/>
      </c>
      <c r="I59" s="2">
        <f>IF(G59="","",IFERROR(VLOOKUP(G59,板块观察!A:U,15,FALSE),""))</f>
        <v/>
      </c>
      <c r="J59" s="12" t="n"/>
      <c r="K59" s="12" t="n"/>
      <c r="L59" s="12" t="n"/>
      <c r="M59" s="14" t="n"/>
      <c r="N59" s="12" t="n"/>
      <c r="O59" s="2" t="n"/>
      <c r="P59" s="2" t="n"/>
      <c r="Q59" s="2" t="n"/>
      <c r="R59" s="12" t="n"/>
      <c r="S59" s="12" t="n"/>
      <c r="T59" s="12" t="n"/>
      <c r="U59" s="12" t="n"/>
      <c r="V59" s="12" t="n"/>
      <c r="W59" s="12" t="n"/>
      <c r="X59" s="12" t="n"/>
      <c r="Y59" s="2" t="n"/>
      <c r="Z59" s="5">
        <f>IF(A59="","",(COUNTA(A59:G59)+COUNTA(J59:Y59))/23)</f>
        <v/>
      </c>
      <c r="AA59" s="2">
        <f>IF(B59="","",WORKDAY(B59,3))</f>
        <v/>
      </c>
      <c r="AB59" s="2">
        <f>IF(B59="","",WORKDAY(B59,5))</f>
        <v/>
      </c>
      <c r="AC59" s="2">
        <f>IF(B59="","",WORKDAY(B59,10))</f>
        <v/>
      </c>
      <c r="AD59" s="2" t="n"/>
    </row>
    <row r="60">
      <c r="A60" s="12" t="n"/>
      <c r="B60" s="12" t="n"/>
      <c r="C60" s="2" t="n"/>
      <c r="D60" s="4" t="n"/>
      <c r="E60" s="12" t="n"/>
      <c r="F60" s="2" t="n"/>
      <c r="G60" s="12" t="n"/>
      <c r="H60" s="2">
        <f>IF(G60="","",IFERROR(VLOOKUP(G60,板块观察!A:U,14,FALSE),""))</f>
        <v/>
      </c>
      <c r="I60" s="2">
        <f>IF(G60="","",IFERROR(VLOOKUP(G60,板块观察!A:U,15,FALSE),""))</f>
        <v/>
      </c>
      <c r="J60" s="12" t="n"/>
      <c r="K60" s="12" t="n"/>
      <c r="L60" s="12" t="n"/>
      <c r="M60" s="14" t="n"/>
      <c r="N60" s="12" t="n"/>
      <c r="O60" s="2" t="n"/>
      <c r="P60" s="2" t="n"/>
      <c r="Q60" s="2" t="n"/>
      <c r="R60" s="12" t="n"/>
      <c r="S60" s="12" t="n"/>
      <c r="T60" s="12" t="n"/>
      <c r="U60" s="12" t="n"/>
      <c r="V60" s="12" t="n"/>
      <c r="W60" s="12" t="n"/>
      <c r="X60" s="12" t="n"/>
      <c r="Y60" s="2" t="n"/>
      <c r="Z60" s="5">
        <f>IF(A60="","",(COUNTA(A60:G60)+COUNTA(J60:Y60))/23)</f>
        <v/>
      </c>
      <c r="AA60" s="2">
        <f>IF(B60="","",WORKDAY(B60,3))</f>
        <v/>
      </c>
      <c r="AB60" s="2">
        <f>IF(B60="","",WORKDAY(B60,5))</f>
        <v/>
      </c>
      <c r="AC60" s="2">
        <f>IF(B60="","",WORKDAY(B60,10))</f>
        <v/>
      </c>
      <c r="AD60" s="2" t="n"/>
    </row>
    <row r="61">
      <c r="A61" s="12" t="n"/>
      <c r="B61" s="12" t="n"/>
      <c r="C61" s="2" t="n"/>
      <c r="D61" s="4" t="n"/>
      <c r="E61" s="12" t="n"/>
      <c r="F61" s="2" t="n"/>
      <c r="G61" s="12" t="n"/>
      <c r="H61" s="2">
        <f>IF(G61="","",IFERROR(VLOOKUP(G61,板块观察!A:U,14,FALSE),""))</f>
        <v/>
      </c>
      <c r="I61" s="2">
        <f>IF(G61="","",IFERROR(VLOOKUP(G61,板块观察!A:U,15,FALSE),""))</f>
        <v/>
      </c>
      <c r="J61" s="12" t="n"/>
      <c r="K61" s="12" t="n"/>
      <c r="L61" s="12" t="n"/>
      <c r="M61" s="14" t="n"/>
      <c r="N61" s="12" t="n"/>
      <c r="O61" s="2" t="n"/>
      <c r="P61" s="2" t="n"/>
      <c r="Q61" s="2" t="n"/>
      <c r="R61" s="12" t="n"/>
      <c r="S61" s="12" t="n"/>
      <c r="T61" s="12" t="n"/>
      <c r="U61" s="12" t="n"/>
      <c r="V61" s="12" t="n"/>
      <c r="W61" s="12" t="n"/>
      <c r="X61" s="12" t="n"/>
      <c r="Y61" s="2" t="n"/>
      <c r="Z61" s="5">
        <f>IF(A61="","",(COUNTA(A61:G61)+COUNTA(J61:Y61))/23)</f>
        <v/>
      </c>
      <c r="AA61" s="2">
        <f>IF(B61="","",WORKDAY(B61,3))</f>
        <v/>
      </c>
      <c r="AB61" s="2">
        <f>IF(B61="","",WORKDAY(B61,5))</f>
        <v/>
      </c>
      <c r="AC61" s="2">
        <f>IF(B61="","",WORKDAY(B61,10))</f>
        <v/>
      </c>
      <c r="AD61" s="2" t="n"/>
    </row>
    <row r="62">
      <c r="A62" s="12" t="n"/>
      <c r="B62" s="12" t="n"/>
      <c r="C62" s="2" t="n"/>
      <c r="D62" s="4" t="n"/>
      <c r="E62" s="12" t="n"/>
      <c r="F62" s="2" t="n"/>
      <c r="G62" s="12" t="n"/>
      <c r="H62" s="2">
        <f>IF(G62="","",IFERROR(VLOOKUP(G62,板块观察!A:U,14,FALSE),""))</f>
        <v/>
      </c>
      <c r="I62" s="2">
        <f>IF(G62="","",IFERROR(VLOOKUP(G62,板块观察!A:U,15,FALSE),""))</f>
        <v/>
      </c>
      <c r="J62" s="12" t="n"/>
      <c r="K62" s="12" t="n"/>
      <c r="L62" s="12" t="n"/>
      <c r="M62" s="14" t="n"/>
      <c r="N62" s="12" t="n"/>
      <c r="O62" s="2" t="n"/>
      <c r="P62" s="2" t="n"/>
      <c r="Q62" s="2" t="n"/>
      <c r="R62" s="12" t="n"/>
      <c r="S62" s="12" t="n"/>
      <c r="T62" s="12" t="n"/>
      <c r="U62" s="12" t="n"/>
      <c r="V62" s="12" t="n"/>
      <c r="W62" s="12" t="n"/>
      <c r="X62" s="12" t="n"/>
      <c r="Y62" s="2" t="n"/>
      <c r="Z62" s="5">
        <f>IF(A62="","",(COUNTA(A62:G62)+COUNTA(J62:Y62))/23)</f>
        <v/>
      </c>
      <c r="AA62" s="2">
        <f>IF(B62="","",WORKDAY(B62,3))</f>
        <v/>
      </c>
      <c r="AB62" s="2">
        <f>IF(B62="","",WORKDAY(B62,5))</f>
        <v/>
      </c>
      <c r="AC62" s="2">
        <f>IF(B62="","",WORKDAY(B62,10))</f>
        <v/>
      </c>
      <c r="AD62" s="2" t="n"/>
    </row>
    <row r="63">
      <c r="A63" s="12" t="n"/>
      <c r="B63" s="12" t="n"/>
      <c r="C63" s="2" t="n"/>
      <c r="D63" s="4" t="n"/>
      <c r="E63" s="12" t="n"/>
      <c r="F63" s="2" t="n"/>
      <c r="G63" s="12" t="n"/>
      <c r="H63" s="2">
        <f>IF(G63="","",IFERROR(VLOOKUP(G63,板块观察!A:U,14,FALSE),""))</f>
        <v/>
      </c>
      <c r="I63" s="2">
        <f>IF(G63="","",IFERROR(VLOOKUP(G63,板块观察!A:U,15,FALSE),""))</f>
        <v/>
      </c>
      <c r="J63" s="12" t="n"/>
      <c r="K63" s="12" t="n"/>
      <c r="L63" s="12" t="n"/>
      <c r="M63" s="14" t="n"/>
      <c r="N63" s="12" t="n"/>
      <c r="O63" s="2" t="n"/>
      <c r="P63" s="2" t="n"/>
      <c r="Q63" s="2" t="n"/>
      <c r="R63" s="12" t="n"/>
      <c r="S63" s="12" t="n"/>
      <c r="T63" s="12" t="n"/>
      <c r="U63" s="12" t="n"/>
      <c r="V63" s="12" t="n"/>
      <c r="W63" s="12" t="n"/>
      <c r="X63" s="12" t="n"/>
      <c r="Y63" s="2" t="n"/>
      <c r="Z63" s="5">
        <f>IF(A63="","",(COUNTA(A63:G63)+COUNTA(J63:Y63))/23)</f>
        <v/>
      </c>
      <c r="AA63" s="2">
        <f>IF(B63="","",WORKDAY(B63,3))</f>
        <v/>
      </c>
      <c r="AB63" s="2">
        <f>IF(B63="","",WORKDAY(B63,5))</f>
        <v/>
      </c>
      <c r="AC63" s="2">
        <f>IF(B63="","",WORKDAY(B63,10))</f>
        <v/>
      </c>
      <c r="AD63" s="2" t="n"/>
    </row>
    <row r="64">
      <c r="A64" s="12" t="n"/>
      <c r="B64" s="12" t="n"/>
      <c r="C64" s="2" t="n"/>
      <c r="D64" s="4" t="n"/>
      <c r="E64" s="12" t="n"/>
      <c r="F64" s="2" t="n"/>
      <c r="G64" s="12" t="n"/>
      <c r="H64" s="2">
        <f>IF(G64="","",IFERROR(VLOOKUP(G64,板块观察!A:U,14,FALSE),""))</f>
        <v/>
      </c>
      <c r="I64" s="2">
        <f>IF(G64="","",IFERROR(VLOOKUP(G64,板块观察!A:U,15,FALSE),""))</f>
        <v/>
      </c>
      <c r="J64" s="12" t="n"/>
      <c r="K64" s="12" t="n"/>
      <c r="L64" s="12" t="n"/>
      <c r="M64" s="14" t="n"/>
      <c r="N64" s="12" t="n"/>
      <c r="O64" s="2" t="n"/>
      <c r="P64" s="2" t="n"/>
      <c r="Q64" s="2" t="n"/>
      <c r="R64" s="12" t="n"/>
      <c r="S64" s="12" t="n"/>
      <c r="T64" s="12" t="n"/>
      <c r="U64" s="12" t="n"/>
      <c r="V64" s="12" t="n"/>
      <c r="W64" s="12" t="n"/>
      <c r="X64" s="12" t="n"/>
      <c r="Y64" s="2" t="n"/>
      <c r="Z64" s="5">
        <f>IF(A64="","",(COUNTA(A64:G64)+COUNTA(J64:Y64))/23)</f>
        <v/>
      </c>
      <c r="AA64" s="2">
        <f>IF(B64="","",WORKDAY(B64,3))</f>
        <v/>
      </c>
      <c r="AB64" s="2">
        <f>IF(B64="","",WORKDAY(B64,5))</f>
        <v/>
      </c>
      <c r="AC64" s="2">
        <f>IF(B64="","",WORKDAY(B64,10))</f>
        <v/>
      </c>
      <c r="AD64" s="2" t="n"/>
    </row>
    <row r="65">
      <c r="A65" s="12" t="n"/>
      <c r="B65" s="12" t="n"/>
      <c r="C65" s="2" t="n"/>
      <c r="D65" s="4" t="n"/>
      <c r="E65" s="12" t="n"/>
      <c r="F65" s="2" t="n"/>
      <c r="G65" s="12" t="n"/>
      <c r="H65" s="2">
        <f>IF(G65="","",IFERROR(VLOOKUP(G65,板块观察!A:U,14,FALSE),""))</f>
        <v/>
      </c>
      <c r="I65" s="2">
        <f>IF(G65="","",IFERROR(VLOOKUP(G65,板块观察!A:U,15,FALSE),""))</f>
        <v/>
      </c>
      <c r="J65" s="12" t="n"/>
      <c r="K65" s="12" t="n"/>
      <c r="L65" s="12" t="n"/>
      <c r="M65" s="14" t="n"/>
      <c r="N65" s="12" t="n"/>
      <c r="O65" s="2" t="n"/>
      <c r="P65" s="2" t="n"/>
      <c r="Q65" s="2" t="n"/>
      <c r="R65" s="12" t="n"/>
      <c r="S65" s="12" t="n"/>
      <c r="T65" s="12" t="n"/>
      <c r="U65" s="12" t="n"/>
      <c r="V65" s="12" t="n"/>
      <c r="W65" s="12" t="n"/>
      <c r="X65" s="12" t="n"/>
      <c r="Y65" s="2" t="n"/>
      <c r="Z65" s="5">
        <f>IF(A65="","",(COUNTA(A65:G65)+COUNTA(J65:Y65))/23)</f>
        <v/>
      </c>
      <c r="AA65" s="2">
        <f>IF(B65="","",WORKDAY(B65,3))</f>
        <v/>
      </c>
      <c r="AB65" s="2">
        <f>IF(B65="","",WORKDAY(B65,5))</f>
        <v/>
      </c>
      <c r="AC65" s="2">
        <f>IF(B65="","",WORKDAY(B65,10))</f>
        <v/>
      </c>
      <c r="AD65" s="2" t="n"/>
    </row>
    <row r="66">
      <c r="A66" s="12" t="n"/>
      <c r="B66" s="12" t="n"/>
      <c r="C66" s="2" t="n"/>
      <c r="D66" s="4" t="n"/>
      <c r="E66" s="12" t="n"/>
      <c r="F66" s="2" t="n"/>
      <c r="G66" s="12" t="n"/>
      <c r="H66" s="2">
        <f>IF(G66="","",IFERROR(VLOOKUP(G66,板块观察!A:U,14,FALSE),""))</f>
        <v/>
      </c>
      <c r="I66" s="2">
        <f>IF(G66="","",IFERROR(VLOOKUP(G66,板块观察!A:U,15,FALSE),""))</f>
        <v/>
      </c>
      <c r="J66" s="12" t="n"/>
      <c r="K66" s="12" t="n"/>
      <c r="L66" s="12" t="n"/>
      <c r="M66" s="14" t="n"/>
      <c r="N66" s="12" t="n"/>
      <c r="O66" s="2" t="n"/>
      <c r="P66" s="2" t="n"/>
      <c r="Q66" s="2" t="n"/>
      <c r="R66" s="12" t="n"/>
      <c r="S66" s="12" t="n"/>
      <c r="T66" s="12" t="n"/>
      <c r="U66" s="12" t="n"/>
      <c r="V66" s="12" t="n"/>
      <c r="W66" s="12" t="n"/>
      <c r="X66" s="12" t="n"/>
      <c r="Y66" s="2" t="n"/>
      <c r="Z66" s="5">
        <f>IF(A66="","",(COUNTA(A66:G66)+COUNTA(J66:Y66))/23)</f>
        <v/>
      </c>
      <c r="AA66" s="2">
        <f>IF(B66="","",WORKDAY(B66,3))</f>
        <v/>
      </c>
      <c r="AB66" s="2">
        <f>IF(B66="","",WORKDAY(B66,5))</f>
        <v/>
      </c>
      <c r="AC66" s="2">
        <f>IF(B66="","",WORKDAY(B66,10))</f>
        <v/>
      </c>
      <c r="AD66" s="2" t="n"/>
    </row>
    <row r="67">
      <c r="A67" s="12" t="n"/>
      <c r="B67" s="12" t="n"/>
      <c r="C67" s="2" t="n"/>
      <c r="D67" s="4" t="n"/>
      <c r="E67" s="12" t="n"/>
      <c r="F67" s="2" t="n"/>
      <c r="G67" s="12" t="n"/>
      <c r="H67" s="2">
        <f>IF(G67="","",IFERROR(VLOOKUP(G67,板块观察!A:U,14,FALSE),""))</f>
        <v/>
      </c>
      <c r="I67" s="2">
        <f>IF(G67="","",IFERROR(VLOOKUP(G67,板块观察!A:U,15,FALSE),""))</f>
        <v/>
      </c>
      <c r="J67" s="12" t="n"/>
      <c r="K67" s="12" t="n"/>
      <c r="L67" s="12" t="n"/>
      <c r="M67" s="14" t="n"/>
      <c r="N67" s="12" t="n"/>
      <c r="O67" s="2" t="n"/>
      <c r="P67" s="2" t="n"/>
      <c r="Q67" s="2" t="n"/>
      <c r="R67" s="12" t="n"/>
      <c r="S67" s="12" t="n"/>
      <c r="T67" s="12" t="n"/>
      <c r="U67" s="12" t="n"/>
      <c r="V67" s="12" t="n"/>
      <c r="W67" s="12" t="n"/>
      <c r="X67" s="12" t="n"/>
      <c r="Y67" s="2" t="n"/>
      <c r="Z67" s="5">
        <f>IF(A67="","",(COUNTA(A67:G67)+COUNTA(J67:Y67))/23)</f>
        <v/>
      </c>
      <c r="AA67" s="2">
        <f>IF(B67="","",WORKDAY(B67,3))</f>
        <v/>
      </c>
      <c r="AB67" s="2">
        <f>IF(B67="","",WORKDAY(B67,5))</f>
        <v/>
      </c>
      <c r="AC67" s="2">
        <f>IF(B67="","",WORKDAY(B67,10))</f>
        <v/>
      </c>
      <c r="AD67" s="2" t="n"/>
    </row>
    <row r="68">
      <c r="A68" s="12" t="n"/>
      <c r="B68" s="12" t="n"/>
      <c r="C68" s="2" t="n"/>
      <c r="D68" s="4" t="n"/>
      <c r="E68" s="12" t="n"/>
      <c r="F68" s="2" t="n"/>
      <c r="G68" s="12" t="n"/>
      <c r="H68" s="2">
        <f>IF(G68="","",IFERROR(VLOOKUP(G68,板块观察!A:U,14,FALSE),""))</f>
        <v/>
      </c>
      <c r="I68" s="2">
        <f>IF(G68="","",IFERROR(VLOOKUP(G68,板块观察!A:U,15,FALSE),""))</f>
        <v/>
      </c>
      <c r="J68" s="12" t="n"/>
      <c r="K68" s="12" t="n"/>
      <c r="L68" s="12" t="n"/>
      <c r="M68" s="14" t="n"/>
      <c r="N68" s="12" t="n"/>
      <c r="O68" s="2" t="n"/>
      <c r="P68" s="2" t="n"/>
      <c r="Q68" s="2" t="n"/>
      <c r="R68" s="12" t="n"/>
      <c r="S68" s="12" t="n"/>
      <c r="T68" s="12" t="n"/>
      <c r="U68" s="12" t="n"/>
      <c r="V68" s="12" t="n"/>
      <c r="W68" s="12" t="n"/>
      <c r="X68" s="12" t="n"/>
      <c r="Y68" s="2" t="n"/>
      <c r="Z68" s="5">
        <f>IF(A68="","",(COUNTA(A68:G68)+COUNTA(J68:Y68))/23)</f>
        <v/>
      </c>
      <c r="AA68" s="2">
        <f>IF(B68="","",WORKDAY(B68,3))</f>
        <v/>
      </c>
      <c r="AB68" s="2">
        <f>IF(B68="","",WORKDAY(B68,5))</f>
        <v/>
      </c>
      <c r="AC68" s="2">
        <f>IF(B68="","",WORKDAY(B68,10))</f>
        <v/>
      </c>
      <c r="AD68" s="2" t="n"/>
    </row>
    <row r="69">
      <c r="A69" s="12" t="n"/>
      <c r="B69" s="12" t="n"/>
      <c r="C69" s="2" t="n"/>
      <c r="D69" s="4" t="n"/>
      <c r="E69" s="12" t="n"/>
      <c r="F69" s="2" t="n"/>
      <c r="G69" s="12" t="n"/>
      <c r="H69" s="2">
        <f>IF(G69="","",IFERROR(VLOOKUP(G69,板块观察!A:U,14,FALSE),""))</f>
        <v/>
      </c>
      <c r="I69" s="2">
        <f>IF(G69="","",IFERROR(VLOOKUP(G69,板块观察!A:U,15,FALSE),""))</f>
        <v/>
      </c>
      <c r="J69" s="12" t="n"/>
      <c r="K69" s="12" t="n"/>
      <c r="L69" s="12" t="n"/>
      <c r="M69" s="14" t="n"/>
      <c r="N69" s="12" t="n"/>
      <c r="O69" s="2" t="n"/>
      <c r="P69" s="2" t="n"/>
      <c r="Q69" s="2" t="n"/>
      <c r="R69" s="12" t="n"/>
      <c r="S69" s="12" t="n"/>
      <c r="T69" s="12" t="n"/>
      <c r="U69" s="12" t="n"/>
      <c r="V69" s="12" t="n"/>
      <c r="W69" s="12" t="n"/>
      <c r="X69" s="12" t="n"/>
      <c r="Y69" s="2" t="n"/>
      <c r="Z69" s="5">
        <f>IF(A69="","",(COUNTA(A69:G69)+COUNTA(J69:Y69))/23)</f>
        <v/>
      </c>
      <c r="AA69" s="2">
        <f>IF(B69="","",WORKDAY(B69,3))</f>
        <v/>
      </c>
      <c r="AB69" s="2">
        <f>IF(B69="","",WORKDAY(B69,5))</f>
        <v/>
      </c>
      <c r="AC69" s="2">
        <f>IF(B69="","",WORKDAY(B69,10))</f>
        <v/>
      </c>
      <c r="AD69" s="2" t="n"/>
    </row>
    <row r="70">
      <c r="A70" s="12" t="n"/>
      <c r="B70" s="12" t="n"/>
      <c r="C70" s="2" t="n"/>
      <c r="D70" s="4" t="n"/>
      <c r="E70" s="12" t="n"/>
      <c r="F70" s="2" t="n"/>
      <c r="G70" s="12" t="n"/>
      <c r="H70" s="2">
        <f>IF(G70="","",IFERROR(VLOOKUP(G70,板块观察!A:U,14,FALSE),""))</f>
        <v/>
      </c>
      <c r="I70" s="2">
        <f>IF(G70="","",IFERROR(VLOOKUP(G70,板块观察!A:U,15,FALSE),""))</f>
        <v/>
      </c>
      <c r="J70" s="12" t="n"/>
      <c r="K70" s="12" t="n"/>
      <c r="L70" s="12" t="n"/>
      <c r="M70" s="14" t="n"/>
      <c r="N70" s="12" t="n"/>
      <c r="O70" s="2" t="n"/>
      <c r="P70" s="2" t="n"/>
      <c r="Q70" s="2" t="n"/>
      <c r="R70" s="12" t="n"/>
      <c r="S70" s="12" t="n"/>
      <c r="T70" s="12" t="n"/>
      <c r="U70" s="12" t="n"/>
      <c r="V70" s="12" t="n"/>
      <c r="W70" s="12" t="n"/>
      <c r="X70" s="12" t="n"/>
      <c r="Y70" s="2" t="n"/>
      <c r="Z70" s="5">
        <f>IF(A70="","",(COUNTA(A70:G70)+COUNTA(J70:Y70))/23)</f>
        <v/>
      </c>
      <c r="AA70" s="2">
        <f>IF(B70="","",WORKDAY(B70,3))</f>
        <v/>
      </c>
      <c r="AB70" s="2">
        <f>IF(B70="","",WORKDAY(B70,5))</f>
        <v/>
      </c>
      <c r="AC70" s="2">
        <f>IF(B70="","",WORKDAY(B70,10))</f>
        <v/>
      </c>
      <c r="AD70" s="2" t="n"/>
    </row>
    <row r="71">
      <c r="A71" s="12" t="n"/>
      <c r="B71" s="12" t="n"/>
      <c r="C71" s="2" t="n"/>
      <c r="D71" s="4" t="n"/>
      <c r="E71" s="12" t="n"/>
      <c r="F71" s="2" t="n"/>
      <c r="G71" s="12" t="n"/>
      <c r="H71" s="2">
        <f>IF(G71="","",IFERROR(VLOOKUP(G71,板块观察!A:U,14,FALSE),""))</f>
        <v/>
      </c>
      <c r="I71" s="2">
        <f>IF(G71="","",IFERROR(VLOOKUP(G71,板块观察!A:U,15,FALSE),""))</f>
        <v/>
      </c>
      <c r="J71" s="12" t="n"/>
      <c r="K71" s="12" t="n"/>
      <c r="L71" s="12" t="n"/>
      <c r="M71" s="14" t="n"/>
      <c r="N71" s="12" t="n"/>
      <c r="O71" s="2" t="n"/>
      <c r="P71" s="2" t="n"/>
      <c r="Q71" s="2" t="n"/>
      <c r="R71" s="12" t="n"/>
      <c r="S71" s="12" t="n"/>
      <c r="T71" s="12" t="n"/>
      <c r="U71" s="12" t="n"/>
      <c r="V71" s="12" t="n"/>
      <c r="W71" s="12" t="n"/>
      <c r="X71" s="12" t="n"/>
      <c r="Y71" s="2" t="n"/>
      <c r="Z71" s="5">
        <f>IF(A71="","",(COUNTA(A71:G71)+COUNTA(J71:Y71))/23)</f>
        <v/>
      </c>
      <c r="AA71" s="2">
        <f>IF(B71="","",WORKDAY(B71,3))</f>
        <v/>
      </c>
      <c r="AB71" s="2">
        <f>IF(B71="","",WORKDAY(B71,5))</f>
        <v/>
      </c>
      <c r="AC71" s="2">
        <f>IF(B71="","",WORKDAY(B71,10))</f>
        <v/>
      </c>
      <c r="AD71" s="2" t="n"/>
    </row>
    <row r="72">
      <c r="A72" s="12" t="n"/>
      <c r="B72" s="12" t="n"/>
      <c r="C72" s="2" t="n"/>
      <c r="D72" s="4" t="n"/>
      <c r="E72" s="12" t="n"/>
      <c r="F72" s="2" t="n"/>
      <c r="G72" s="12" t="n"/>
      <c r="H72" s="2">
        <f>IF(G72="","",IFERROR(VLOOKUP(G72,板块观察!A:U,14,FALSE),""))</f>
        <v/>
      </c>
      <c r="I72" s="2">
        <f>IF(G72="","",IFERROR(VLOOKUP(G72,板块观察!A:U,15,FALSE),""))</f>
        <v/>
      </c>
      <c r="J72" s="12" t="n"/>
      <c r="K72" s="12" t="n"/>
      <c r="L72" s="12" t="n"/>
      <c r="M72" s="14" t="n"/>
      <c r="N72" s="12" t="n"/>
      <c r="O72" s="2" t="n"/>
      <c r="P72" s="2" t="n"/>
      <c r="Q72" s="2" t="n"/>
      <c r="R72" s="12" t="n"/>
      <c r="S72" s="12" t="n"/>
      <c r="T72" s="12" t="n"/>
      <c r="U72" s="12" t="n"/>
      <c r="V72" s="12" t="n"/>
      <c r="W72" s="12" t="n"/>
      <c r="X72" s="12" t="n"/>
      <c r="Y72" s="2" t="n"/>
      <c r="Z72" s="5">
        <f>IF(A72="","",(COUNTA(A72:G72)+COUNTA(J72:Y72))/23)</f>
        <v/>
      </c>
      <c r="AA72" s="2">
        <f>IF(B72="","",WORKDAY(B72,3))</f>
        <v/>
      </c>
      <c r="AB72" s="2">
        <f>IF(B72="","",WORKDAY(B72,5))</f>
        <v/>
      </c>
      <c r="AC72" s="2">
        <f>IF(B72="","",WORKDAY(B72,10))</f>
        <v/>
      </c>
      <c r="AD72" s="2" t="n"/>
    </row>
    <row r="73">
      <c r="A73" s="12" t="n"/>
      <c r="B73" s="12" t="n"/>
      <c r="C73" s="2" t="n"/>
      <c r="D73" s="4" t="n"/>
      <c r="E73" s="12" t="n"/>
      <c r="F73" s="2" t="n"/>
      <c r="G73" s="12" t="n"/>
      <c r="H73" s="2">
        <f>IF(G73="","",IFERROR(VLOOKUP(G73,板块观察!A:U,14,FALSE),""))</f>
        <v/>
      </c>
      <c r="I73" s="2">
        <f>IF(G73="","",IFERROR(VLOOKUP(G73,板块观察!A:U,15,FALSE),""))</f>
        <v/>
      </c>
      <c r="J73" s="12" t="n"/>
      <c r="K73" s="12" t="n"/>
      <c r="L73" s="12" t="n"/>
      <c r="M73" s="14" t="n"/>
      <c r="N73" s="12" t="n"/>
      <c r="O73" s="2" t="n"/>
      <c r="P73" s="2" t="n"/>
      <c r="Q73" s="2" t="n"/>
      <c r="R73" s="12" t="n"/>
      <c r="S73" s="12" t="n"/>
      <c r="T73" s="12" t="n"/>
      <c r="U73" s="12" t="n"/>
      <c r="V73" s="12" t="n"/>
      <c r="W73" s="12" t="n"/>
      <c r="X73" s="12" t="n"/>
      <c r="Y73" s="2" t="n"/>
      <c r="Z73" s="5">
        <f>IF(A73="","",(COUNTA(A73:G73)+COUNTA(J73:Y73))/23)</f>
        <v/>
      </c>
      <c r="AA73" s="2">
        <f>IF(B73="","",WORKDAY(B73,3))</f>
        <v/>
      </c>
      <c r="AB73" s="2">
        <f>IF(B73="","",WORKDAY(B73,5))</f>
        <v/>
      </c>
      <c r="AC73" s="2">
        <f>IF(B73="","",WORKDAY(B73,10))</f>
        <v/>
      </c>
      <c r="AD73" s="2" t="n"/>
    </row>
    <row r="74">
      <c r="A74" s="12" t="n"/>
      <c r="B74" s="12" t="n"/>
      <c r="C74" s="2" t="n"/>
      <c r="D74" s="4" t="n"/>
      <c r="E74" s="12" t="n"/>
      <c r="F74" s="2" t="n"/>
      <c r="G74" s="12" t="n"/>
      <c r="H74" s="2">
        <f>IF(G74="","",IFERROR(VLOOKUP(G74,板块观察!A:U,14,FALSE),""))</f>
        <v/>
      </c>
      <c r="I74" s="2">
        <f>IF(G74="","",IFERROR(VLOOKUP(G74,板块观察!A:U,15,FALSE),""))</f>
        <v/>
      </c>
      <c r="J74" s="12" t="n"/>
      <c r="K74" s="12" t="n"/>
      <c r="L74" s="12" t="n"/>
      <c r="M74" s="14" t="n"/>
      <c r="N74" s="12" t="n"/>
      <c r="O74" s="2" t="n"/>
      <c r="P74" s="2" t="n"/>
      <c r="Q74" s="2" t="n"/>
      <c r="R74" s="12" t="n"/>
      <c r="S74" s="12" t="n"/>
      <c r="T74" s="12" t="n"/>
      <c r="U74" s="12" t="n"/>
      <c r="V74" s="12" t="n"/>
      <c r="W74" s="12" t="n"/>
      <c r="X74" s="12" t="n"/>
      <c r="Y74" s="2" t="n"/>
      <c r="Z74" s="5">
        <f>IF(A74="","",(COUNTA(A74:G74)+COUNTA(J74:Y74))/23)</f>
        <v/>
      </c>
      <c r="AA74" s="2">
        <f>IF(B74="","",WORKDAY(B74,3))</f>
        <v/>
      </c>
      <c r="AB74" s="2">
        <f>IF(B74="","",WORKDAY(B74,5))</f>
        <v/>
      </c>
      <c r="AC74" s="2">
        <f>IF(B74="","",WORKDAY(B74,10))</f>
        <v/>
      </c>
      <c r="AD74" s="2" t="n"/>
    </row>
    <row r="75">
      <c r="A75" s="12" t="n"/>
      <c r="B75" s="12" t="n"/>
      <c r="C75" s="2" t="n"/>
      <c r="D75" s="4" t="n"/>
      <c r="E75" s="12" t="n"/>
      <c r="F75" s="2" t="n"/>
      <c r="G75" s="12" t="n"/>
      <c r="H75" s="2">
        <f>IF(G75="","",IFERROR(VLOOKUP(G75,板块观察!A:U,14,FALSE),""))</f>
        <v/>
      </c>
      <c r="I75" s="2">
        <f>IF(G75="","",IFERROR(VLOOKUP(G75,板块观察!A:U,15,FALSE),""))</f>
        <v/>
      </c>
      <c r="J75" s="12" t="n"/>
      <c r="K75" s="12" t="n"/>
      <c r="L75" s="12" t="n"/>
      <c r="M75" s="14" t="n"/>
      <c r="N75" s="12" t="n"/>
      <c r="O75" s="2" t="n"/>
      <c r="P75" s="2" t="n"/>
      <c r="Q75" s="2" t="n"/>
      <c r="R75" s="12" t="n"/>
      <c r="S75" s="12" t="n"/>
      <c r="T75" s="12" t="n"/>
      <c r="U75" s="12" t="n"/>
      <c r="V75" s="12" t="n"/>
      <c r="W75" s="12" t="n"/>
      <c r="X75" s="12" t="n"/>
      <c r="Y75" s="2" t="n"/>
      <c r="Z75" s="5">
        <f>IF(A75="","",(COUNTA(A75:G75)+COUNTA(J75:Y75))/23)</f>
        <v/>
      </c>
      <c r="AA75" s="2">
        <f>IF(B75="","",WORKDAY(B75,3))</f>
        <v/>
      </c>
      <c r="AB75" s="2">
        <f>IF(B75="","",WORKDAY(B75,5))</f>
        <v/>
      </c>
      <c r="AC75" s="2">
        <f>IF(B75="","",WORKDAY(B75,10))</f>
        <v/>
      </c>
      <c r="AD75" s="2" t="n"/>
    </row>
    <row r="76">
      <c r="A76" s="12" t="n"/>
      <c r="B76" s="12" t="n"/>
      <c r="C76" s="2" t="n"/>
      <c r="D76" s="4" t="n"/>
      <c r="E76" s="12" t="n"/>
      <c r="F76" s="2" t="n"/>
      <c r="G76" s="12" t="n"/>
      <c r="H76" s="2">
        <f>IF(G76="","",IFERROR(VLOOKUP(G76,板块观察!A:U,14,FALSE),""))</f>
        <v/>
      </c>
      <c r="I76" s="2">
        <f>IF(G76="","",IFERROR(VLOOKUP(G76,板块观察!A:U,15,FALSE),""))</f>
        <v/>
      </c>
      <c r="J76" s="12" t="n"/>
      <c r="K76" s="12" t="n"/>
      <c r="L76" s="12" t="n"/>
      <c r="M76" s="14" t="n"/>
      <c r="N76" s="12" t="n"/>
      <c r="O76" s="2" t="n"/>
      <c r="P76" s="2" t="n"/>
      <c r="Q76" s="2" t="n"/>
      <c r="R76" s="12" t="n"/>
      <c r="S76" s="12" t="n"/>
      <c r="T76" s="12" t="n"/>
      <c r="U76" s="12" t="n"/>
      <c r="V76" s="12" t="n"/>
      <c r="W76" s="12" t="n"/>
      <c r="X76" s="12" t="n"/>
      <c r="Y76" s="2" t="n"/>
      <c r="Z76" s="5">
        <f>IF(A76="","",(COUNTA(A76:G76)+COUNTA(J76:Y76))/23)</f>
        <v/>
      </c>
      <c r="AA76" s="2">
        <f>IF(B76="","",WORKDAY(B76,3))</f>
        <v/>
      </c>
      <c r="AB76" s="2">
        <f>IF(B76="","",WORKDAY(B76,5))</f>
        <v/>
      </c>
      <c r="AC76" s="2">
        <f>IF(B76="","",WORKDAY(B76,10))</f>
        <v/>
      </c>
      <c r="AD76" s="2" t="n"/>
    </row>
    <row r="77">
      <c r="A77" s="12" t="n"/>
      <c r="B77" s="12" t="n"/>
      <c r="C77" s="2" t="n"/>
      <c r="D77" s="4" t="n"/>
      <c r="E77" s="12" t="n"/>
      <c r="F77" s="2" t="n"/>
      <c r="G77" s="12" t="n"/>
      <c r="H77" s="2">
        <f>IF(G77="","",IFERROR(VLOOKUP(G77,板块观察!A:U,14,FALSE),""))</f>
        <v/>
      </c>
      <c r="I77" s="2">
        <f>IF(G77="","",IFERROR(VLOOKUP(G77,板块观察!A:U,15,FALSE),""))</f>
        <v/>
      </c>
      <c r="J77" s="12" t="n"/>
      <c r="K77" s="12" t="n"/>
      <c r="L77" s="12" t="n"/>
      <c r="M77" s="14" t="n"/>
      <c r="N77" s="12" t="n"/>
      <c r="O77" s="2" t="n"/>
      <c r="P77" s="2" t="n"/>
      <c r="Q77" s="2" t="n"/>
      <c r="R77" s="12" t="n"/>
      <c r="S77" s="12" t="n"/>
      <c r="T77" s="12" t="n"/>
      <c r="U77" s="12" t="n"/>
      <c r="V77" s="12" t="n"/>
      <c r="W77" s="12" t="n"/>
      <c r="X77" s="12" t="n"/>
      <c r="Y77" s="2" t="n"/>
      <c r="Z77" s="5">
        <f>IF(A77="","",(COUNTA(A77:G77)+COUNTA(J77:Y77))/23)</f>
        <v/>
      </c>
      <c r="AA77" s="2">
        <f>IF(B77="","",WORKDAY(B77,3))</f>
        <v/>
      </c>
      <c r="AB77" s="2">
        <f>IF(B77="","",WORKDAY(B77,5))</f>
        <v/>
      </c>
      <c r="AC77" s="2">
        <f>IF(B77="","",WORKDAY(B77,10))</f>
        <v/>
      </c>
      <c r="AD77" s="2" t="n"/>
    </row>
    <row r="78">
      <c r="A78" s="12" t="n"/>
      <c r="B78" s="12" t="n"/>
      <c r="C78" s="2" t="n"/>
      <c r="D78" s="4" t="n"/>
      <c r="E78" s="12" t="n"/>
      <c r="F78" s="2" t="n"/>
      <c r="G78" s="12" t="n"/>
      <c r="H78" s="2">
        <f>IF(G78="","",IFERROR(VLOOKUP(G78,板块观察!A:U,14,FALSE),""))</f>
        <v/>
      </c>
      <c r="I78" s="2">
        <f>IF(G78="","",IFERROR(VLOOKUP(G78,板块观察!A:U,15,FALSE),""))</f>
        <v/>
      </c>
      <c r="J78" s="12" t="n"/>
      <c r="K78" s="12" t="n"/>
      <c r="L78" s="12" t="n"/>
      <c r="M78" s="14" t="n"/>
      <c r="N78" s="12" t="n"/>
      <c r="O78" s="2" t="n"/>
      <c r="P78" s="2" t="n"/>
      <c r="Q78" s="2" t="n"/>
      <c r="R78" s="12" t="n"/>
      <c r="S78" s="12" t="n"/>
      <c r="T78" s="12" t="n"/>
      <c r="U78" s="12" t="n"/>
      <c r="V78" s="12" t="n"/>
      <c r="W78" s="12" t="n"/>
      <c r="X78" s="12" t="n"/>
      <c r="Y78" s="2" t="n"/>
      <c r="Z78" s="5">
        <f>IF(A78="","",(COUNTA(A78:G78)+COUNTA(J78:Y78))/23)</f>
        <v/>
      </c>
      <c r="AA78" s="2">
        <f>IF(B78="","",WORKDAY(B78,3))</f>
        <v/>
      </c>
      <c r="AB78" s="2">
        <f>IF(B78="","",WORKDAY(B78,5))</f>
        <v/>
      </c>
      <c r="AC78" s="2">
        <f>IF(B78="","",WORKDAY(B78,10))</f>
        <v/>
      </c>
      <c r="AD78" s="2" t="n"/>
    </row>
    <row r="79">
      <c r="A79" s="12" t="n"/>
      <c r="B79" s="12" t="n"/>
      <c r="C79" s="2" t="n"/>
      <c r="D79" s="4" t="n"/>
      <c r="E79" s="12" t="n"/>
      <c r="F79" s="2" t="n"/>
      <c r="G79" s="12" t="n"/>
      <c r="H79" s="2">
        <f>IF(G79="","",IFERROR(VLOOKUP(G79,板块观察!A:U,14,FALSE),""))</f>
        <v/>
      </c>
      <c r="I79" s="2">
        <f>IF(G79="","",IFERROR(VLOOKUP(G79,板块观察!A:U,15,FALSE),""))</f>
        <v/>
      </c>
      <c r="J79" s="12" t="n"/>
      <c r="K79" s="12" t="n"/>
      <c r="L79" s="12" t="n"/>
      <c r="M79" s="14" t="n"/>
      <c r="N79" s="12" t="n"/>
      <c r="O79" s="2" t="n"/>
      <c r="P79" s="2" t="n"/>
      <c r="Q79" s="2" t="n"/>
      <c r="R79" s="12" t="n"/>
      <c r="S79" s="12" t="n"/>
      <c r="T79" s="12" t="n"/>
      <c r="U79" s="12" t="n"/>
      <c r="V79" s="12" t="n"/>
      <c r="W79" s="12" t="n"/>
      <c r="X79" s="12" t="n"/>
      <c r="Y79" s="2" t="n"/>
      <c r="Z79" s="5">
        <f>IF(A79="","",(COUNTA(A79:G79)+COUNTA(J79:Y79))/23)</f>
        <v/>
      </c>
      <c r="AA79" s="2">
        <f>IF(B79="","",WORKDAY(B79,3))</f>
        <v/>
      </c>
      <c r="AB79" s="2">
        <f>IF(B79="","",WORKDAY(B79,5))</f>
        <v/>
      </c>
      <c r="AC79" s="2">
        <f>IF(B79="","",WORKDAY(B79,10))</f>
        <v/>
      </c>
      <c r="AD79" s="2" t="n"/>
    </row>
    <row r="80">
      <c r="A80" s="12" t="n"/>
      <c r="B80" s="12" t="n"/>
      <c r="C80" s="2" t="n"/>
      <c r="D80" s="4" t="n"/>
      <c r="E80" s="12" t="n"/>
      <c r="F80" s="2" t="n"/>
      <c r="G80" s="12" t="n"/>
      <c r="H80" s="2">
        <f>IF(G80="","",IFERROR(VLOOKUP(G80,板块观察!A:U,14,FALSE),""))</f>
        <v/>
      </c>
      <c r="I80" s="2">
        <f>IF(G80="","",IFERROR(VLOOKUP(G80,板块观察!A:U,15,FALSE),""))</f>
        <v/>
      </c>
      <c r="J80" s="12" t="n"/>
      <c r="K80" s="12" t="n"/>
      <c r="L80" s="12" t="n"/>
      <c r="M80" s="14" t="n"/>
      <c r="N80" s="12" t="n"/>
      <c r="O80" s="2" t="n"/>
      <c r="P80" s="2" t="n"/>
      <c r="Q80" s="2" t="n"/>
      <c r="R80" s="12" t="n"/>
      <c r="S80" s="12" t="n"/>
      <c r="T80" s="12" t="n"/>
      <c r="U80" s="12" t="n"/>
      <c r="V80" s="12" t="n"/>
      <c r="W80" s="12" t="n"/>
      <c r="X80" s="12" t="n"/>
      <c r="Y80" s="2" t="n"/>
      <c r="Z80" s="5">
        <f>IF(A80="","",(COUNTA(A80:G80)+COUNTA(J80:Y80))/23)</f>
        <v/>
      </c>
      <c r="AA80" s="2">
        <f>IF(B80="","",WORKDAY(B80,3))</f>
        <v/>
      </c>
      <c r="AB80" s="2">
        <f>IF(B80="","",WORKDAY(B80,5))</f>
        <v/>
      </c>
      <c r="AC80" s="2">
        <f>IF(B80="","",WORKDAY(B80,10))</f>
        <v/>
      </c>
      <c r="AD80" s="2" t="n"/>
    </row>
    <row r="81">
      <c r="A81" s="12" t="n"/>
      <c r="B81" s="12" t="n"/>
      <c r="C81" s="2" t="n"/>
      <c r="D81" s="4" t="n"/>
      <c r="E81" s="12" t="n"/>
      <c r="F81" s="2" t="n"/>
      <c r="G81" s="12" t="n"/>
      <c r="H81" s="2">
        <f>IF(G81="","",IFERROR(VLOOKUP(G81,板块观察!A:U,14,FALSE),""))</f>
        <v/>
      </c>
      <c r="I81" s="2">
        <f>IF(G81="","",IFERROR(VLOOKUP(G81,板块观察!A:U,15,FALSE),""))</f>
        <v/>
      </c>
      <c r="J81" s="12" t="n"/>
      <c r="K81" s="12" t="n"/>
      <c r="L81" s="12" t="n"/>
      <c r="M81" s="14" t="n"/>
      <c r="N81" s="12" t="n"/>
      <c r="O81" s="2" t="n"/>
      <c r="P81" s="2" t="n"/>
      <c r="Q81" s="2" t="n"/>
      <c r="R81" s="12" t="n"/>
      <c r="S81" s="12" t="n"/>
      <c r="T81" s="12" t="n"/>
      <c r="U81" s="12" t="n"/>
      <c r="V81" s="12" t="n"/>
      <c r="W81" s="12" t="n"/>
      <c r="X81" s="12" t="n"/>
      <c r="Y81" s="2" t="n"/>
      <c r="Z81" s="5">
        <f>IF(A81="","",(COUNTA(A81:G81)+COUNTA(J81:Y81))/23)</f>
        <v/>
      </c>
      <c r="AA81" s="2">
        <f>IF(B81="","",WORKDAY(B81,3))</f>
        <v/>
      </c>
      <c r="AB81" s="2">
        <f>IF(B81="","",WORKDAY(B81,5))</f>
        <v/>
      </c>
      <c r="AC81" s="2">
        <f>IF(B81="","",WORKDAY(B81,10))</f>
        <v/>
      </c>
      <c r="AD81" s="2" t="n"/>
    </row>
    <row r="82">
      <c r="A82" s="12" t="n"/>
      <c r="B82" s="12" t="n"/>
      <c r="C82" s="2" t="n"/>
      <c r="D82" s="4" t="n"/>
      <c r="E82" s="12" t="n"/>
      <c r="F82" s="2" t="n"/>
      <c r="G82" s="12" t="n"/>
      <c r="H82" s="2">
        <f>IF(G82="","",IFERROR(VLOOKUP(G82,板块观察!A:U,14,FALSE),""))</f>
        <v/>
      </c>
      <c r="I82" s="2">
        <f>IF(G82="","",IFERROR(VLOOKUP(G82,板块观察!A:U,15,FALSE),""))</f>
        <v/>
      </c>
      <c r="J82" s="12" t="n"/>
      <c r="K82" s="12" t="n"/>
      <c r="L82" s="12" t="n"/>
      <c r="M82" s="14" t="n"/>
      <c r="N82" s="12" t="n"/>
      <c r="O82" s="2" t="n"/>
      <c r="P82" s="2" t="n"/>
      <c r="Q82" s="2" t="n"/>
      <c r="R82" s="12" t="n"/>
      <c r="S82" s="12" t="n"/>
      <c r="T82" s="12" t="n"/>
      <c r="U82" s="12" t="n"/>
      <c r="V82" s="12" t="n"/>
      <c r="W82" s="12" t="n"/>
      <c r="X82" s="12" t="n"/>
      <c r="Y82" s="2" t="n"/>
      <c r="Z82" s="5">
        <f>IF(A82="","",(COUNTA(A82:G82)+COUNTA(J82:Y82))/23)</f>
        <v/>
      </c>
      <c r="AA82" s="2">
        <f>IF(B82="","",WORKDAY(B82,3))</f>
        <v/>
      </c>
      <c r="AB82" s="2">
        <f>IF(B82="","",WORKDAY(B82,5))</f>
        <v/>
      </c>
      <c r="AC82" s="2">
        <f>IF(B82="","",WORKDAY(B82,10))</f>
        <v/>
      </c>
      <c r="AD82" s="2" t="n"/>
    </row>
    <row r="83">
      <c r="A83" s="12" t="n"/>
      <c r="B83" s="12" t="n"/>
      <c r="C83" s="2" t="n"/>
      <c r="D83" s="4" t="n"/>
      <c r="E83" s="12" t="n"/>
      <c r="F83" s="2" t="n"/>
      <c r="G83" s="12" t="n"/>
      <c r="H83" s="2">
        <f>IF(G83="","",IFERROR(VLOOKUP(G83,板块观察!A:U,14,FALSE),""))</f>
        <v/>
      </c>
      <c r="I83" s="2">
        <f>IF(G83="","",IFERROR(VLOOKUP(G83,板块观察!A:U,15,FALSE),""))</f>
        <v/>
      </c>
      <c r="J83" s="12" t="n"/>
      <c r="K83" s="12" t="n"/>
      <c r="L83" s="12" t="n"/>
      <c r="M83" s="14" t="n"/>
      <c r="N83" s="12" t="n"/>
      <c r="O83" s="2" t="n"/>
      <c r="P83" s="2" t="n"/>
      <c r="Q83" s="2" t="n"/>
      <c r="R83" s="12" t="n"/>
      <c r="S83" s="12" t="n"/>
      <c r="T83" s="12" t="n"/>
      <c r="U83" s="12" t="n"/>
      <c r="V83" s="12" t="n"/>
      <c r="W83" s="12" t="n"/>
      <c r="X83" s="12" t="n"/>
      <c r="Y83" s="2" t="n"/>
      <c r="Z83" s="5">
        <f>IF(A83="","",(COUNTA(A83:G83)+COUNTA(J83:Y83))/23)</f>
        <v/>
      </c>
      <c r="AA83" s="2">
        <f>IF(B83="","",WORKDAY(B83,3))</f>
        <v/>
      </c>
      <c r="AB83" s="2">
        <f>IF(B83="","",WORKDAY(B83,5))</f>
        <v/>
      </c>
      <c r="AC83" s="2">
        <f>IF(B83="","",WORKDAY(B83,10))</f>
        <v/>
      </c>
      <c r="AD83" s="2" t="n"/>
    </row>
    <row r="84">
      <c r="A84" s="12" t="n"/>
      <c r="B84" s="12" t="n"/>
      <c r="C84" s="2" t="n"/>
      <c r="D84" s="4" t="n"/>
      <c r="E84" s="12" t="n"/>
      <c r="F84" s="2" t="n"/>
      <c r="G84" s="12" t="n"/>
      <c r="H84" s="2">
        <f>IF(G84="","",IFERROR(VLOOKUP(G84,板块观察!A:U,14,FALSE),""))</f>
        <v/>
      </c>
      <c r="I84" s="2">
        <f>IF(G84="","",IFERROR(VLOOKUP(G84,板块观察!A:U,15,FALSE),""))</f>
        <v/>
      </c>
      <c r="J84" s="12" t="n"/>
      <c r="K84" s="12" t="n"/>
      <c r="L84" s="12" t="n"/>
      <c r="M84" s="14" t="n"/>
      <c r="N84" s="12" t="n"/>
      <c r="O84" s="2" t="n"/>
      <c r="P84" s="2" t="n"/>
      <c r="Q84" s="2" t="n"/>
      <c r="R84" s="12" t="n"/>
      <c r="S84" s="12" t="n"/>
      <c r="T84" s="12" t="n"/>
      <c r="U84" s="12" t="n"/>
      <c r="V84" s="12" t="n"/>
      <c r="W84" s="12" t="n"/>
      <c r="X84" s="12" t="n"/>
      <c r="Y84" s="2" t="n"/>
      <c r="Z84" s="5">
        <f>IF(A84="","",(COUNTA(A84:G84)+COUNTA(J84:Y84))/23)</f>
        <v/>
      </c>
      <c r="AA84" s="2">
        <f>IF(B84="","",WORKDAY(B84,3))</f>
        <v/>
      </c>
      <c r="AB84" s="2">
        <f>IF(B84="","",WORKDAY(B84,5))</f>
        <v/>
      </c>
      <c r="AC84" s="2">
        <f>IF(B84="","",WORKDAY(B84,10))</f>
        <v/>
      </c>
      <c r="AD84" s="2" t="n"/>
    </row>
    <row r="85">
      <c r="A85" s="12" t="n"/>
      <c r="B85" s="12" t="n"/>
      <c r="C85" s="2" t="n"/>
      <c r="D85" s="4" t="n"/>
      <c r="E85" s="12" t="n"/>
      <c r="F85" s="2" t="n"/>
      <c r="G85" s="12" t="n"/>
      <c r="H85" s="2">
        <f>IF(G85="","",IFERROR(VLOOKUP(G85,板块观察!A:U,14,FALSE),""))</f>
        <v/>
      </c>
      <c r="I85" s="2">
        <f>IF(G85="","",IFERROR(VLOOKUP(G85,板块观察!A:U,15,FALSE),""))</f>
        <v/>
      </c>
      <c r="J85" s="12" t="n"/>
      <c r="K85" s="12" t="n"/>
      <c r="L85" s="12" t="n"/>
      <c r="M85" s="14" t="n"/>
      <c r="N85" s="12" t="n"/>
      <c r="O85" s="2" t="n"/>
      <c r="P85" s="2" t="n"/>
      <c r="Q85" s="2" t="n"/>
      <c r="R85" s="12" t="n"/>
      <c r="S85" s="12" t="n"/>
      <c r="T85" s="12" t="n"/>
      <c r="U85" s="12" t="n"/>
      <c r="V85" s="12" t="n"/>
      <c r="W85" s="12" t="n"/>
      <c r="X85" s="12" t="n"/>
      <c r="Y85" s="2" t="n"/>
      <c r="Z85" s="5">
        <f>IF(A85="","",(COUNTA(A85:G85)+COUNTA(J85:Y85))/23)</f>
        <v/>
      </c>
      <c r="AA85" s="2">
        <f>IF(B85="","",WORKDAY(B85,3))</f>
        <v/>
      </c>
      <c r="AB85" s="2">
        <f>IF(B85="","",WORKDAY(B85,5))</f>
        <v/>
      </c>
      <c r="AC85" s="2">
        <f>IF(B85="","",WORKDAY(B85,10))</f>
        <v/>
      </c>
      <c r="AD85" s="2" t="n"/>
    </row>
    <row r="86">
      <c r="A86" s="12" t="n"/>
      <c r="B86" s="12" t="n"/>
      <c r="C86" s="2" t="n"/>
      <c r="D86" s="4" t="n"/>
      <c r="E86" s="12" t="n"/>
      <c r="F86" s="2" t="n"/>
      <c r="G86" s="12" t="n"/>
      <c r="H86" s="2">
        <f>IF(G86="","",IFERROR(VLOOKUP(G86,板块观察!A:U,14,FALSE),""))</f>
        <v/>
      </c>
      <c r="I86" s="2">
        <f>IF(G86="","",IFERROR(VLOOKUP(G86,板块观察!A:U,15,FALSE),""))</f>
        <v/>
      </c>
      <c r="J86" s="12" t="n"/>
      <c r="K86" s="12" t="n"/>
      <c r="L86" s="12" t="n"/>
      <c r="M86" s="14" t="n"/>
      <c r="N86" s="12" t="n"/>
      <c r="O86" s="2" t="n"/>
      <c r="P86" s="2" t="n"/>
      <c r="Q86" s="2" t="n"/>
      <c r="R86" s="12" t="n"/>
      <c r="S86" s="12" t="n"/>
      <c r="T86" s="12" t="n"/>
      <c r="U86" s="12" t="n"/>
      <c r="V86" s="12" t="n"/>
      <c r="W86" s="12" t="n"/>
      <c r="X86" s="12" t="n"/>
      <c r="Y86" s="2" t="n"/>
      <c r="Z86" s="5">
        <f>IF(A86="","",(COUNTA(A86:G86)+COUNTA(J86:Y86))/23)</f>
        <v/>
      </c>
      <c r="AA86" s="2">
        <f>IF(B86="","",WORKDAY(B86,3))</f>
        <v/>
      </c>
      <c r="AB86" s="2">
        <f>IF(B86="","",WORKDAY(B86,5))</f>
        <v/>
      </c>
      <c r="AC86" s="2">
        <f>IF(B86="","",WORKDAY(B86,10))</f>
        <v/>
      </c>
      <c r="AD86" s="2" t="n"/>
    </row>
    <row r="87">
      <c r="A87" s="12" t="n"/>
      <c r="B87" s="12" t="n"/>
      <c r="C87" s="2" t="n"/>
      <c r="D87" s="4" t="n"/>
      <c r="E87" s="12" t="n"/>
      <c r="F87" s="2" t="n"/>
      <c r="G87" s="12" t="n"/>
      <c r="H87" s="2">
        <f>IF(G87="","",IFERROR(VLOOKUP(G87,板块观察!A:U,14,FALSE),""))</f>
        <v/>
      </c>
      <c r="I87" s="2">
        <f>IF(G87="","",IFERROR(VLOOKUP(G87,板块观察!A:U,15,FALSE),""))</f>
        <v/>
      </c>
      <c r="J87" s="12" t="n"/>
      <c r="K87" s="12" t="n"/>
      <c r="L87" s="12" t="n"/>
      <c r="M87" s="14" t="n"/>
      <c r="N87" s="12" t="n"/>
      <c r="O87" s="2" t="n"/>
      <c r="P87" s="2" t="n"/>
      <c r="Q87" s="2" t="n"/>
      <c r="R87" s="12" t="n"/>
      <c r="S87" s="12" t="n"/>
      <c r="T87" s="12" t="n"/>
      <c r="U87" s="12" t="n"/>
      <c r="V87" s="12" t="n"/>
      <c r="W87" s="12" t="n"/>
      <c r="X87" s="12" t="n"/>
      <c r="Y87" s="2" t="n"/>
      <c r="Z87" s="5">
        <f>IF(A87="","",(COUNTA(A87:G87)+COUNTA(J87:Y87))/23)</f>
        <v/>
      </c>
      <c r="AA87" s="2">
        <f>IF(B87="","",WORKDAY(B87,3))</f>
        <v/>
      </c>
      <c r="AB87" s="2">
        <f>IF(B87="","",WORKDAY(B87,5))</f>
        <v/>
      </c>
      <c r="AC87" s="2">
        <f>IF(B87="","",WORKDAY(B87,10))</f>
        <v/>
      </c>
      <c r="AD87" s="2" t="n"/>
    </row>
    <row r="88">
      <c r="A88" s="12" t="n"/>
      <c r="B88" s="12" t="n"/>
      <c r="C88" s="2" t="n"/>
      <c r="D88" s="4" t="n"/>
      <c r="E88" s="12" t="n"/>
      <c r="F88" s="2" t="n"/>
      <c r="G88" s="12" t="n"/>
      <c r="H88" s="2">
        <f>IF(G88="","",IFERROR(VLOOKUP(G88,板块观察!A:U,14,FALSE),""))</f>
        <v/>
      </c>
      <c r="I88" s="2">
        <f>IF(G88="","",IFERROR(VLOOKUP(G88,板块观察!A:U,15,FALSE),""))</f>
        <v/>
      </c>
      <c r="J88" s="12" t="n"/>
      <c r="K88" s="12" t="n"/>
      <c r="L88" s="12" t="n"/>
      <c r="M88" s="14" t="n"/>
      <c r="N88" s="12" t="n"/>
      <c r="O88" s="2" t="n"/>
      <c r="P88" s="2" t="n"/>
      <c r="Q88" s="2" t="n"/>
      <c r="R88" s="12" t="n"/>
      <c r="S88" s="12" t="n"/>
      <c r="T88" s="12" t="n"/>
      <c r="U88" s="12" t="n"/>
      <c r="V88" s="12" t="n"/>
      <c r="W88" s="12" t="n"/>
      <c r="X88" s="12" t="n"/>
      <c r="Y88" s="2" t="n"/>
      <c r="Z88" s="5">
        <f>IF(A88="","",(COUNTA(A88:G88)+COUNTA(J88:Y88))/23)</f>
        <v/>
      </c>
      <c r="AA88" s="2">
        <f>IF(B88="","",WORKDAY(B88,3))</f>
        <v/>
      </c>
      <c r="AB88" s="2">
        <f>IF(B88="","",WORKDAY(B88,5))</f>
        <v/>
      </c>
      <c r="AC88" s="2">
        <f>IF(B88="","",WORKDAY(B88,10))</f>
        <v/>
      </c>
      <c r="AD88" s="2" t="n"/>
    </row>
    <row r="89">
      <c r="A89" s="12" t="n"/>
      <c r="B89" s="12" t="n"/>
      <c r="C89" s="2" t="n"/>
      <c r="D89" s="4" t="n"/>
      <c r="E89" s="12" t="n"/>
      <c r="F89" s="2" t="n"/>
      <c r="G89" s="12" t="n"/>
      <c r="H89" s="2">
        <f>IF(G89="","",IFERROR(VLOOKUP(G89,板块观察!A:U,14,FALSE),""))</f>
        <v/>
      </c>
      <c r="I89" s="2">
        <f>IF(G89="","",IFERROR(VLOOKUP(G89,板块观察!A:U,15,FALSE),""))</f>
        <v/>
      </c>
      <c r="J89" s="12" t="n"/>
      <c r="K89" s="12" t="n"/>
      <c r="L89" s="12" t="n"/>
      <c r="M89" s="14" t="n"/>
      <c r="N89" s="12" t="n"/>
      <c r="O89" s="2" t="n"/>
      <c r="P89" s="2" t="n"/>
      <c r="Q89" s="2" t="n"/>
      <c r="R89" s="12" t="n"/>
      <c r="S89" s="12" t="n"/>
      <c r="T89" s="12" t="n"/>
      <c r="U89" s="12" t="n"/>
      <c r="V89" s="12" t="n"/>
      <c r="W89" s="12" t="n"/>
      <c r="X89" s="12" t="n"/>
      <c r="Y89" s="2" t="n"/>
      <c r="Z89" s="5">
        <f>IF(A89="","",(COUNTA(A89:G89)+COUNTA(J89:Y89))/23)</f>
        <v/>
      </c>
      <c r="AA89" s="2">
        <f>IF(B89="","",WORKDAY(B89,3))</f>
        <v/>
      </c>
      <c r="AB89" s="2">
        <f>IF(B89="","",WORKDAY(B89,5))</f>
        <v/>
      </c>
      <c r="AC89" s="2">
        <f>IF(B89="","",WORKDAY(B89,10))</f>
        <v/>
      </c>
      <c r="AD89" s="2" t="n"/>
    </row>
    <row r="90">
      <c r="A90" s="12" t="n"/>
      <c r="B90" s="12" t="n"/>
      <c r="C90" s="2" t="n"/>
      <c r="D90" s="4" t="n"/>
      <c r="E90" s="12" t="n"/>
      <c r="F90" s="2" t="n"/>
      <c r="G90" s="12" t="n"/>
      <c r="H90" s="2">
        <f>IF(G90="","",IFERROR(VLOOKUP(G90,板块观察!A:U,14,FALSE),""))</f>
        <v/>
      </c>
      <c r="I90" s="2">
        <f>IF(G90="","",IFERROR(VLOOKUP(G90,板块观察!A:U,15,FALSE),""))</f>
        <v/>
      </c>
      <c r="J90" s="12" t="n"/>
      <c r="K90" s="12" t="n"/>
      <c r="L90" s="12" t="n"/>
      <c r="M90" s="14" t="n"/>
      <c r="N90" s="12" t="n"/>
      <c r="O90" s="2" t="n"/>
      <c r="P90" s="2" t="n"/>
      <c r="Q90" s="2" t="n"/>
      <c r="R90" s="12" t="n"/>
      <c r="S90" s="12" t="n"/>
      <c r="T90" s="12" t="n"/>
      <c r="U90" s="12" t="n"/>
      <c r="V90" s="12" t="n"/>
      <c r="W90" s="12" t="n"/>
      <c r="X90" s="12" t="n"/>
      <c r="Y90" s="2" t="n"/>
      <c r="Z90" s="5">
        <f>IF(A90="","",(COUNTA(A90:G90)+COUNTA(J90:Y90))/23)</f>
        <v/>
      </c>
      <c r="AA90" s="2">
        <f>IF(B90="","",WORKDAY(B90,3))</f>
        <v/>
      </c>
      <c r="AB90" s="2">
        <f>IF(B90="","",WORKDAY(B90,5))</f>
        <v/>
      </c>
      <c r="AC90" s="2">
        <f>IF(B90="","",WORKDAY(B90,10))</f>
        <v/>
      </c>
      <c r="AD90" s="2" t="n"/>
    </row>
    <row r="91">
      <c r="A91" s="12" t="n"/>
      <c r="B91" s="12" t="n"/>
      <c r="C91" s="2" t="n"/>
      <c r="D91" s="4" t="n"/>
      <c r="E91" s="12" t="n"/>
      <c r="F91" s="2" t="n"/>
      <c r="G91" s="12" t="n"/>
      <c r="H91" s="2">
        <f>IF(G91="","",IFERROR(VLOOKUP(G91,板块观察!A:U,14,FALSE),""))</f>
        <v/>
      </c>
      <c r="I91" s="2">
        <f>IF(G91="","",IFERROR(VLOOKUP(G91,板块观察!A:U,15,FALSE),""))</f>
        <v/>
      </c>
      <c r="J91" s="12" t="n"/>
      <c r="K91" s="12" t="n"/>
      <c r="L91" s="12" t="n"/>
      <c r="M91" s="14" t="n"/>
      <c r="N91" s="12" t="n"/>
      <c r="O91" s="2" t="n"/>
      <c r="P91" s="2" t="n"/>
      <c r="Q91" s="2" t="n"/>
      <c r="R91" s="12" t="n"/>
      <c r="S91" s="12" t="n"/>
      <c r="T91" s="12" t="n"/>
      <c r="U91" s="12" t="n"/>
      <c r="V91" s="12" t="n"/>
      <c r="W91" s="12" t="n"/>
      <c r="X91" s="12" t="n"/>
      <c r="Y91" s="2" t="n"/>
      <c r="Z91" s="5">
        <f>IF(A91="","",(COUNTA(A91:G91)+COUNTA(J91:Y91))/23)</f>
        <v/>
      </c>
      <c r="AA91" s="2">
        <f>IF(B91="","",WORKDAY(B91,3))</f>
        <v/>
      </c>
      <c r="AB91" s="2">
        <f>IF(B91="","",WORKDAY(B91,5))</f>
        <v/>
      </c>
      <c r="AC91" s="2">
        <f>IF(B91="","",WORKDAY(B91,10))</f>
        <v/>
      </c>
      <c r="AD91" s="2" t="n"/>
    </row>
    <row r="92">
      <c r="A92" s="12" t="n"/>
      <c r="B92" s="12" t="n"/>
      <c r="C92" s="2" t="n"/>
      <c r="D92" s="4" t="n"/>
      <c r="E92" s="12" t="n"/>
      <c r="F92" s="2" t="n"/>
      <c r="G92" s="12" t="n"/>
      <c r="H92" s="2">
        <f>IF(G92="","",IFERROR(VLOOKUP(G92,板块观察!A:U,14,FALSE),""))</f>
        <v/>
      </c>
      <c r="I92" s="2">
        <f>IF(G92="","",IFERROR(VLOOKUP(G92,板块观察!A:U,15,FALSE),""))</f>
        <v/>
      </c>
      <c r="J92" s="12" t="n"/>
      <c r="K92" s="12" t="n"/>
      <c r="L92" s="12" t="n"/>
      <c r="M92" s="14" t="n"/>
      <c r="N92" s="12" t="n"/>
      <c r="O92" s="2" t="n"/>
      <c r="P92" s="2" t="n"/>
      <c r="Q92" s="2" t="n"/>
      <c r="R92" s="12" t="n"/>
      <c r="S92" s="12" t="n"/>
      <c r="T92" s="12" t="n"/>
      <c r="U92" s="12" t="n"/>
      <c r="V92" s="12" t="n"/>
      <c r="W92" s="12" t="n"/>
      <c r="X92" s="12" t="n"/>
      <c r="Y92" s="2" t="n"/>
      <c r="Z92" s="5">
        <f>IF(A92="","",(COUNTA(A92:G92)+COUNTA(J92:Y92))/23)</f>
        <v/>
      </c>
      <c r="AA92" s="2">
        <f>IF(B92="","",WORKDAY(B92,3))</f>
        <v/>
      </c>
      <c r="AB92" s="2">
        <f>IF(B92="","",WORKDAY(B92,5))</f>
        <v/>
      </c>
      <c r="AC92" s="2">
        <f>IF(B92="","",WORKDAY(B92,10))</f>
        <v/>
      </c>
      <c r="AD92" s="2" t="n"/>
    </row>
    <row r="93">
      <c r="A93" s="12" t="n"/>
      <c r="B93" s="12" t="n"/>
      <c r="C93" s="2" t="n"/>
      <c r="D93" s="4" t="n"/>
      <c r="E93" s="12" t="n"/>
      <c r="F93" s="2" t="n"/>
      <c r="G93" s="12" t="n"/>
      <c r="H93" s="2">
        <f>IF(G93="","",IFERROR(VLOOKUP(G93,板块观察!A:U,14,FALSE),""))</f>
        <v/>
      </c>
      <c r="I93" s="2">
        <f>IF(G93="","",IFERROR(VLOOKUP(G93,板块观察!A:U,15,FALSE),""))</f>
        <v/>
      </c>
      <c r="J93" s="12" t="n"/>
      <c r="K93" s="12" t="n"/>
      <c r="L93" s="12" t="n"/>
      <c r="M93" s="14" t="n"/>
      <c r="N93" s="12" t="n"/>
      <c r="O93" s="2" t="n"/>
      <c r="P93" s="2" t="n"/>
      <c r="Q93" s="2" t="n"/>
      <c r="R93" s="12" t="n"/>
      <c r="S93" s="12" t="n"/>
      <c r="T93" s="12" t="n"/>
      <c r="U93" s="12" t="n"/>
      <c r="V93" s="12" t="n"/>
      <c r="W93" s="12" t="n"/>
      <c r="X93" s="12" t="n"/>
      <c r="Y93" s="2" t="n"/>
      <c r="Z93" s="5">
        <f>IF(A93="","",(COUNTA(A93:G93)+COUNTA(J93:Y93))/23)</f>
        <v/>
      </c>
      <c r="AA93" s="2">
        <f>IF(B93="","",WORKDAY(B93,3))</f>
        <v/>
      </c>
      <c r="AB93" s="2">
        <f>IF(B93="","",WORKDAY(B93,5))</f>
        <v/>
      </c>
      <c r="AC93" s="2">
        <f>IF(B93="","",WORKDAY(B93,10))</f>
        <v/>
      </c>
      <c r="AD93" s="2" t="n"/>
    </row>
    <row r="94">
      <c r="A94" s="12" t="n"/>
      <c r="B94" s="12" t="n"/>
      <c r="C94" s="2" t="n"/>
      <c r="D94" s="4" t="n"/>
      <c r="E94" s="12" t="n"/>
      <c r="F94" s="2" t="n"/>
      <c r="G94" s="12" t="n"/>
      <c r="H94" s="2">
        <f>IF(G94="","",IFERROR(VLOOKUP(G94,板块观察!A:U,14,FALSE),""))</f>
        <v/>
      </c>
      <c r="I94" s="2">
        <f>IF(G94="","",IFERROR(VLOOKUP(G94,板块观察!A:U,15,FALSE),""))</f>
        <v/>
      </c>
      <c r="J94" s="12" t="n"/>
      <c r="K94" s="12" t="n"/>
      <c r="L94" s="12" t="n"/>
      <c r="M94" s="14" t="n"/>
      <c r="N94" s="12" t="n"/>
      <c r="O94" s="2" t="n"/>
      <c r="P94" s="2" t="n"/>
      <c r="Q94" s="2" t="n"/>
      <c r="R94" s="12" t="n"/>
      <c r="S94" s="12" t="n"/>
      <c r="T94" s="12" t="n"/>
      <c r="U94" s="12" t="n"/>
      <c r="V94" s="12" t="n"/>
      <c r="W94" s="12" t="n"/>
      <c r="X94" s="12" t="n"/>
      <c r="Y94" s="2" t="n"/>
      <c r="Z94" s="5">
        <f>IF(A94="","",(COUNTA(A94:G94)+COUNTA(J94:Y94))/23)</f>
        <v/>
      </c>
      <c r="AA94" s="2">
        <f>IF(B94="","",WORKDAY(B94,3))</f>
        <v/>
      </c>
      <c r="AB94" s="2">
        <f>IF(B94="","",WORKDAY(B94,5))</f>
        <v/>
      </c>
      <c r="AC94" s="2">
        <f>IF(B94="","",WORKDAY(B94,10))</f>
        <v/>
      </c>
      <c r="AD94" s="2" t="n"/>
    </row>
    <row r="95">
      <c r="A95" s="12" t="n"/>
      <c r="B95" s="12" t="n"/>
      <c r="C95" s="2" t="n"/>
      <c r="D95" s="4" t="n"/>
      <c r="E95" s="12" t="n"/>
      <c r="F95" s="2" t="n"/>
      <c r="G95" s="12" t="n"/>
      <c r="H95" s="2">
        <f>IF(G95="","",IFERROR(VLOOKUP(G95,板块观察!A:U,14,FALSE),""))</f>
        <v/>
      </c>
      <c r="I95" s="2">
        <f>IF(G95="","",IFERROR(VLOOKUP(G95,板块观察!A:U,15,FALSE),""))</f>
        <v/>
      </c>
      <c r="J95" s="12" t="n"/>
      <c r="K95" s="12" t="n"/>
      <c r="L95" s="12" t="n"/>
      <c r="M95" s="14" t="n"/>
      <c r="N95" s="12" t="n"/>
      <c r="O95" s="2" t="n"/>
      <c r="P95" s="2" t="n"/>
      <c r="Q95" s="2" t="n"/>
      <c r="R95" s="12" t="n"/>
      <c r="S95" s="12" t="n"/>
      <c r="T95" s="12" t="n"/>
      <c r="U95" s="12" t="n"/>
      <c r="V95" s="12" t="n"/>
      <c r="W95" s="12" t="n"/>
      <c r="X95" s="12" t="n"/>
      <c r="Y95" s="2" t="n"/>
      <c r="Z95" s="5">
        <f>IF(A95="","",(COUNTA(A95:G95)+COUNTA(J95:Y95))/23)</f>
        <v/>
      </c>
      <c r="AA95" s="2">
        <f>IF(B95="","",WORKDAY(B95,3))</f>
        <v/>
      </c>
      <c r="AB95" s="2">
        <f>IF(B95="","",WORKDAY(B95,5))</f>
        <v/>
      </c>
      <c r="AC95" s="2">
        <f>IF(B95="","",WORKDAY(B95,10))</f>
        <v/>
      </c>
      <c r="AD95" s="2" t="n"/>
    </row>
    <row r="96">
      <c r="A96" s="12" t="n"/>
      <c r="B96" s="12" t="n"/>
      <c r="C96" s="2" t="n"/>
      <c r="D96" s="4" t="n"/>
      <c r="E96" s="12" t="n"/>
      <c r="F96" s="2" t="n"/>
      <c r="G96" s="12" t="n"/>
      <c r="H96" s="2">
        <f>IF(G96="","",IFERROR(VLOOKUP(G96,板块观察!A:U,14,FALSE),""))</f>
        <v/>
      </c>
      <c r="I96" s="2">
        <f>IF(G96="","",IFERROR(VLOOKUP(G96,板块观察!A:U,15,FALSE),""))</f>
        <v/>
      </c>
      <c r="J96" s="12" t="n"/>
      <c r="K96" s="12" t="n"/>
      <c r="L96" s="12" t="n"/>
      <c r="M96" s="14" t="n"/>
      <c r="N96" s="12" t="n"/>
      <c r="O96" s="2" t="n"/>
      <c r="P96" s="2" t="n"/>
      <c r="Q96" s="2" t="n"/>
      <c r="R96" s="12" t="n"/>
      <c r="S96" s="12" t="n"/>
      <c r="T96" s="12" t="n"/>
      <c r="U96" s="12" t="n"/>
      <c r="V96" s="12" t="n"/>
      <c r="W96" s="12" t="n"/>
      <c r="X96" s="12" t="n"/>
      <c r="Y96" s="2" t="n"/>
      <c r="Z96" s="5">
        <f>IF(A96="","",(COUNTA(A96:G96)+COUNTA(J96:Y96))/23)</f>
        <v/>
      </c>
      <c r="AA96" s="2">
        <f>IF(B96="","",WORKDAY(B96,3))</f>
        <v/>
      </c>
      <c r="AB96" s="2">
        <f>IF(B96="","",WORKDAY(B96,5))</f>
        <v/>
      </c>
      <c r="AC96" s="2">
        <f>IF(B96="","",WORKDAY(B96,10))</f>
        <v/>
      </c>
      <c r="AD96" s="2" t="n"/>
    </row>
    <row r="97">
      <c r="A97" s="12" t="n"/>
      <c r="B97" s="12" t="n"/>
      <c r="C97" s="2" t="n"/>
      <c r="D97" s="4" t="n"/>
      <c r="E97" s="12" t="n"/>
      <c r="F97" s="2" t="n"/>
      <c r="G97" s="12" t="n"/>
      <c r="H97" s="2">
        <f>IF(G97="","",IFERROR(VLOOKUP(G97,板块观察!A:U,14,FALSE),""))</f>
        <v/>
      </c>
      <c r="I97" s="2">
        <f>IF(G97="","",IFERROR(VLOOKUP(G97,板块观察!A:U,15,FALSE),""))</f>
        <v/>
      </c>
      <c r="J97" s="12" t="n"/>
      <c r="K97" s="12" t="n"/>
      <c r="L97" s="12" t="n"/>
      <c r="M97" s="14" t="n"/>
      <c r="N97" s="12" t="n"/>
      <c r="O97" s="2" t="n"/>
      <c r="P97" s="2" t="n"/>
      <c r="Q97" s="2" t="n"/>
      <c r="R97" s="12" t="n"/>
      <c r="S97" s="12" t="n"/>
      <c r="T97" s="12" t="n"/>
      <c r="U97" s="12" t="n"/>
      <c r="V97" s="12" t="n"/>
      <c r="W97" s="12" t="n"/>
      <c r="X97" s="12" t="n"/>
      <c r="Y97" s="2" t="n"/>
      <c r="Z97" s="5">
        <f>IF(A97="","",(COUNTA(A97:G97)+COUNTA(J97:Y97))/23)</f>
        <v/>
      </c>
      <c r="AA97" s="2">
        <f>IF(B97="","",WORKDAY(B97,3))</f>
        <v/>
      </c>
      <c r="AB97" s="2">
        <f>IF(B97="","",WORKDAY(B97,5))</f>
        <v/>
      </c>
      <c r="AC97" s="2">
        <f>IF(B97="","",WORKDAY(B97,10))</f>
        <v/>
      </c>
      <c r="AD97" s="2" t="n"/>
    </row>
    <row r="98">
      <c r="A98" s="12" t="n"/>
      <c r="B98" s="12" t="n"/>
      <c r="C98" s="2" t="n"/>
      <c r="D98" s="4" t="n"/>
      <c r="E98" s="12" t="n"/>
      <c r="F98" s="2" t="n"/>
      <c r="G98" s="12" t="n"/>
      <c r="H98" s="2">
        <f>IF(G98="","",IFERROR(VLOOKUP(G98,板块观察!A:U,14,FALSE),""))</f>
        <v/>
      </c>
      <c r="I98" s="2">
        <f>IF(G98="","",IFERROR(VLOOKUP(G98,板块观察!A:U,15,FALSE),""))</f>
        <v/>
      </c>
      <c r="J98" s="12" t="n"/>
      <c r="K98" s="12" t="n"/>
      <c r="L98" s="12" t="n"/>
      <c r="M98" s="14" t="n"/>
      <c r="N98" s="12" t="n"/>
      <c r="O98" s="2" t="n"/>
      <c r="P98" s="2" t="n"/>
      <c r="Q98" s="2" t="n"/>
      <c r="R98" s="12" t="n"/>
      <c r="S98" s="12" t="n"/>
      <c r="T98" s="12" t="n"/>
      <c r="U98" s="12" t="n"/>
      <c r="V98" s="12" t="n"/>
      <c r="W98" s="12" t="n"/>
      <c r="X98" s="12" t="n"/>
      <c r="Y98" s="2" t="n"/>
      <c r="Z98" s="5">
        <f>IF(A98="","",(COUNTA(A98:G98)+COUNTA(J98:Y98))/23)</f>
        <v/>
      </c>
      <c r="AA98" s="2">
        <f>IF(B98="","",WORKDAY(B98,3))</f>
        <v/>
      </c>
      <c r="AB98" s="2">
        <f>IF(B98="","",WORKDAY(B98,5))</f>
        <v/>
      </c>
      <c r="AC98" s="2">
        <f>IF(B98="","",WORKDAY(B98,10))</f>
        <v/>
      </c>
      <c r="AD98" s="2" t="n"/>
    </row>
    <row r="99">
      <c r="A99" s="12" t="n"/>
      <c r="B99" s="12" t="n"/>
      <c r="C99" s="2" t="n"/>
      <c r="D99" s="4" t="n"/>
      <c r="E99" s="12" t="n"/>
      <c r="F99" s="2" t="n"/>
      <c r="G99" s="12" t="n"/>
      <c r="H99" s="2">
        <f>IF(G99="","",IFERROR(VLOOKUP(G99,板块观察!A:U,14,FALSE),""))</f>
        <v/>
      </c>
      <c r="I99" s="2">
        <f>IF(G99="","",IFERROR(VLOOKUP(G99,板块观察!A:U,15,FALSE),""))</f>
        <v/>
      </c>
      <c r="J99" s="12" t="n"/>
      <c r="K99" s="12" t="n"/>
      <c r="L99" s="12" t="n"/>
      <c r="M99" s="14" t="n"/>
      <c r="N99" s="12" t="n"/>
      <c r="O99" s="2" t="n"/>
      <c r="P99" s="2" t="n"/>
      <c r="Q99" s="2" t="n"/>
      <c r="R99" s="12" t="n"/>
      <c r="S99" s="12" t="n"/>
      <c r="T99" s="12" t="n"/>
      <c r="U99" s="12" t="n"/>
      <c r="V99" s="12" t="n"/>
      <c r="W99" s="12" t="n"/>
      <c r="X99" s="12" t="n"/>
      <c r="Y99" s="2" t="n"/>
      <c r="Z99" s="5">
        <f>IF(A99="","",(COUNTA(A99:G99)+COUNTA(J99:Y99))/23)</f>
        <v/>
      </c>
      <c r="AA99" s="2">
        <f>IF(B99="","",WORKDAY(B99,3))</f>
        <v/>
      </c>
      <c r="AB99" s="2">
        <f>IF(B99="","",WORKDAY(B99,5))</f>
        <v/>
      </c>
      <c r="AC99" s="2">
        <f>IF(B99="","",WORKDAY(B99,10))</f>
        <v/>
      </c>
      <c r="AD99" s="2" t="n"/>
    </row>
    <row r="100">
      <c r="A100" s="12" t="n"/>
      <c r="B100" s="12" t="n"/>
      <c r="C100" s="2" t="n"/>
      <c r="D100" s="4" t="n"/>
      <c r="E100" s="12" t="n"/>
      <c r="F100" s="2" t="n"/>
      <c r="G100" s="12" t="n"/>
      <c r="H100" s="2">
        <f>IF(G100="","",IFERROR(VLOOKUP(G100,板块观察!A:U,14,FALSE),""))</f>
        <v/>
      </c>
      <c r="I100" s="2">
        <f>IF(G100="","",IFERROR(VLOOKUP(G100,板块观察!A:U,15,FALSE),""))</f>
        <v/>
      </c>
      <c r="J100" s="12" t="n"/>
      <c r="K100" s="12" t="n"/>
      <c r="L100" s="12" t="n"/>
      <c r="M100" s="14" t="n"/>
      <c r="N100" s="12" t="n"/>
      <c r="O100" s="2" t="n"/>
      <c r="P100" s="2" t="n"/>
      <c r="Q100" s="2" t="n"/>
      <c r="R100" s="12" t="n"/>
      <c r="S100" s="12" t="n"/>
      <c r="T100" s="12" t="n"/>
      <c r="U100" s="12" t="n"/>
      <c r="V100" s="12" t="n"/>
      <c r="W100" s="12" t="n"/>
      <c r="X100" s="12" t="n"/>
      <c r="Y100" s="2" t="n"/>
      <c r="Z100" s="5">
        <f>IF(A100="","",(COUNTA(A100:G100)+COUNTA(J100:Y100))/23)</f>
        <v/>
      </c>
      <c r="AA100" s="2">
        <f>IF(B100="","",WORKDAY(B100,3))</f>
        <v/>
      </c>
      <c r="AB100" s="2">
        <f>IF(B100="","",WORKDAY(B100,5))</f>
        <v/>
      </c>
      <c r="AC100" s="2">
        <f>IF(B100="","",WORKDAY(B100,10))</f>
        <v/>
      </c>
      <c r="AD100" s="2" t="n"/>
    </row>
    <row r="101">
      <c r="A101" s="12" t="n"/>
      <c r="B101" s="12" t="n"/>
      <c r="C101" s="2" t="n"/>
      <c r="D101" s="4" t="n"/>
      <c r="E101" s="12" t="n"/>
      <c r="F101" s="2" t="n"/>
      <c r="G101" s="12" t="n"/>
      <c r="H101" s="2">
        <f>IF(G101="","",IFERROR(VLOOKUP(G101,板块观察!A:U,14,FALSE),""))</f>
        <v/>
      </c>
      <c r="I101" s="2">
        <f>IF(G101="","",IFERROR(VLOOKUP(G101,板块观察!A:U,15,FALSE),""))</f>
        <v/>
      </c>
      <c r="J101" s="12" t="n"/>
      <c r="K101" s="12" t="n"/>
      <c r="L101" s="12" t="n"/>
      <c r="M101" s="14" t="n"/>
      <c r="N101" s="12" t="n"/>
      <c r="O101" s="2" t="n"/>
      <c r="P101" s="2" t="n"/>
      <c r="Q101" s="2" t="n"/>
      <c r="R101" s="12" t="n"/>
      <c r="S101" s="12" t="n"/>
      <c r="T101" s="12" t="n"/>
      <c r="U101" s="12" t="n"/>
      <c r="V101" s="12" t="n"/>
      <c r="W101" s="12" t="n"/>
      <c r="X101" s="12" t="n"/>
      <c r="Y101" s="2" t="n"/>
      <c r="Z101" s="5">
        <f>IF(A101="","",(COUNTA(A101:G101)+COUNTA(J101:Y101))/23)</f>
        <v/>
      </c>
      <c r="AA101" s="2">
        <f>IF(B101="","",WORKDAY(B101,3))</f>
        <v/>
      </c>
      <c r="AB101" s="2">
        <f>IF(B101="","",WORKDAY(B101,5))</f>
        <v/>
      </c>
      <c r="AC101" s="2">
        <f>IF(B101="","",WORKDAY(B101,10))</f>
        <v/>
      </c>
      <c r="AD101" s="2" t="n"/>
    </row>
    <row r="102">
      <c r="A102" s="12" t="n"/>
      <c r="B102" s="12" t="n"/>
      <c r="C102" s="2" t="n"/>
      <c r="D102" s="4" t="n"/>
      <c r="E102" s="12" t="n"/>
      <c r="F102" s="2" t="n"/>
      <c r="G102" s="12" t="n"/>
      <c r="H102" s="2">
        <f>IF(G102="","",IFERROR(VLOOKUP(G102,板块观察!A:U,14,FALSE),""))</f>
        <v/>
      </c>
      <c r="I102" s="2">
        <f>IF(G102="","",IFERROR(VLOOKUP(G102,板块观察!A:U,15,FALSE),""))</f>
        <v/>
      </c>
      <c r="J102" s="12" t="n"/>
      <c r="K102" s="12" t="n"/>
      <c r="L102" s="12" t="n"/>
      <c r="M102" s="14" t="n"/>
      <c r="N102" s="12" t="n"/>
      <c r="O102" s="2" t="n"/>
      <c r="P102" s="2" t="n"/>
      <c r="Q102" s="2" t="n"/>
      <c r="R102" s="12" t="n"/>
      <c r="S102" s="12" t="n"/>
      <c r="T102" s="12" t="n"/>
      <c r="U102" s="12" t="n"/>
      <c r="V102" s="12" t="n"/>
      <c r="W102" s="12" t="n"/>
      <c r="X102" s="12" t="n"/>
      <c r="Y102" s="2" t="n"/>
      <c r="Z102" s="5">
        <f>IF(A102="","",(COUNTA(A102:G102)+COUNTA(J102:Y102))/23)</f>
        <v/>
      </c>
      <c r="AA102" s="2">
        <f>IF(B102="","",WORKDAY(B102,3))</f>
        <v/>
      </c>
      <c r="AB102" s="2">
        <f>IF(B102="","",WORKDAY(B102,5))</f>
        <v/>
      </c>
      <c r="AC102" s="2">
        <f>IF(B102="","",WORKDAY(B102,10))</f>
        <v/>
      </c>
      <c r="AD102" s="2" t="n"/>
    </row>
    <row r="103">
      <c r="A103" s="12" t="n"/>
      <c r="B103" s="12" t="n"/>
      <c r="C103" s="2" t="n"/>
      <c r="D103" s="4" t="n"/>
      <c r="E103" s="12" t="n"/>
      <c r="F103" s="2" t="n"/>
      <c r="G103" s="12" t="n"/>
      <c r="H103" s="2">
        <f>IF(G103="","",IFERROR(VLOOKUP(G103,板块观察!A:U,14,FALSE),""))</f>
        <v/>
      </c>
      <c r="I103" s="2">
        <f>IF(G103="","",IFERROR(VLOOKUP(G103,板块观察!A:U,15,FALSE),""))</f>
        <v/>
      </c>
      <c r="J103" s="12" t="n"/>
      <c r="K103" s="12" t="n"/>
      <c r="L103" s="12" t="n"/>
      <c r="M103" s="14" t="n"/>
      <c r="N103" s="12" t="n"/>
      <c r="O103" s="2" t="n"/>
      <c r="P103" s="2" t="n"/>
      <c r="Q103" s="2" t="n"/>
      <c r="R103" s="12" t="n"/>
      <c r="S103" s="12" t="n"/>
      <c r="T103" s="12" t="n"/>
      <c r="U103" s="12" t="n"/>
      <c r="V103" s="12" t="n"/>
      <c r="W103" s="12" t="n"/>
      <c r="X103" s="12" t="n"/>
      <c r="Y103" s="2" t="n"/>
      <c r="Z103" s="5">
        <f>IF(A103="","",(COUNTA(A103:G103)+COUNTA(J103:Y103))/23)</f>
        <v/>
      </c>
      <c r="AA103" s="2">
        <f>IF(B103="","",WORKDAY(B103,3))</f>
        <v/>
      </c>
      <c r="AB103" s="2">
        <f>IF(B103="","",WORKDAY(B103,5))</f>
        <v/>
      </c>
      <c r="AC103" s="2">
        <f>IF(B103="","",WORKDAY(B103,10))</f>
        <v/>
      </c>
      <c r="AD103" s="2" t="n"/>
    </row>
    <row r="104">
      <c r="A104" s="12" t="n"/>
      <c r="B104" s="12" t="n"/>
      <c r="C104" s="2" t="n"/>
      <c r="D104" s="4" t="n"/>
      <c r="E104" s="12" t="n"/>
      <c r="F104" s="2" t="n"/>
      <c r="G104" s="12" t="n"/>
      <c r="H104" s="2">
        <f>IF(G104="","",IFERROR(VLOOKUP(G104,板块观察!A:U,14,FALSE),""))</f>
        <v/>
      </c>
      <c r="I104" s="2">
        <f>IF(G104="","",IFERROR(VLOOKUP(G104,板块观察!A:U,15,FALSE),""))</f>
        <v/>
      </c>
      <c r="J104" s="12" t="n"/>
      <c r="K104" s="12" t="n"/>
      <c r="L104" s="12" t="n"/>
      <c r="M104" s="14" t="n"/>
      <c r="N104" s="12" t="n"/>
      <c r="O104" s="2" t="n"/>
      <c r="P104" s="2" t="n"/>
      <c r="Q104" s="2" t="n"/>
      <c r="R104" s="12" t="n"/>
      <c r="S104" s="12" t="n"/>
      <c r="T104" s="12" t="n"/>
      <c r="U104" s="12" t="n"/>
      <c r="V104" s="12" t="n"/>
      <c r="W104" s="12" t="n"/>
      <c r="X104" s="12" t="n"/>
      <c r="Y104" s="2" t="n"/>
      <c r="Z104" s="5">
        <f>IF(A104="","",(COUNTA(A104:G104)+COUNTA(J104:Y104))/23)</f>
        <v/>
      </c>
      <c r="AA104" s="2">
        <f>IF(B104="","",WORKDAY(B104,3))</f>
        <v/>
      </c>
      <c r="AB104" s="2">
        <f>IF(B104="","",WORKDAY(B104,5))</f>
        <v/>
      </c>
      <c r="AC104" s="2">
        <f>IF(B104="","",WORKDAY(B104,10))</f>
        <v/>
      </c>
      <c r="AD104" s="2" t="n"/>
    </row>
    <row r="105">
      <c r="A105" s="12" t="n"/>
      <c r="B105" s="12" t="n"/>
      <c r="C105" s="2" t="n"/>
      <c r="D105" s="4" t="n"/>
      <c r="E105" s="12" t="n"/>
      <c r="F105" s="2" t="n"/>
      <c r="G105" s="12" t="n"/>
      <c r="H105" s="2">
        <f>IF(G105="","",IFERROR(VLOOKUP(G105,板块观察!A:U,14,FALSE),""))</f>
        <v/>
      </c>
      <c r="I105" s="2">
        <f>IF(G105="","",IFERROR(VLOOKUP(G105,板块观察!A:U,15,FALSE),""))</f>
        <v/>
      </c>
      <c r="J105" s="12" t="n"/>
      <c r="K105" s="12" t="n"/>
      <c r="L105" s="12" t="n"/>
      <c r="M105" s="14" t="n"/>
      <c r="N105" s="12" t="n"/>
      <c r="O105" s="2" t="n"/>
      <c r="P105" s="2" t="n"/>
      <c r="Q105" s="2" t="n"/>
      <c r="R105" s="12" t="n"/>
      <c r="S105" s="12" t="n"/>
      <c r="T105" s="12" t="n"/>
      <c r="U105" s="12" t="n"/>
      <c r="V105" s="12" t="n"/>
      <c r="W105" s="12" t="n"/>
      <c r="X105" s="12" t="n"/>
      <c r="Y105" s="2" t="n"/>
      <c r="Z105" s="5">
        <f>IF(A105="","",(COUNTA(A105:G105)+COUNTA(J105:Y105))/23)</f>
        <v/>
      </c>
      <c r="AA105" s="2">
        <f>IF(B105="","",WORKDAY(B105,3))</f>
        <v/>
      </c>
      <c r="AB105" s="2">
        <f>IF(B105="","",WORKDAY(B105,5))</f>
        <v/>
      </c>
      <c r="AC105" s="2">
        <f>IF(B105="","",WORKDAY(B105,10))</f>
        <v/>
      </c>
      <c r="AD105" s="2" t="n"/>
    </row>
    <row r="106">
      <c r="A106" s="12" t="n"/>
      <c r="B106" s="12" t="n"/>
      <c r="C106" s="2" t="n"/>
      <c r="D106" s="4" t="n"/>
      <c r="E106" s="12" t="n"/>
      <c r="F106" s="2" t="n"/>
      <c r="G106" s="12" t="n"/>
      <c r="H106" s="2">
        <f>IF(G106="","",IFERROR(VLOOKUP(G106,板块观察!A:U,14,FALSE),""))</f>
        <v/>
      </c>
      <c r="I106" s="2">
        <f>IF(G106="","",IFERROR(VLOOKUP(G106,板块观察!A:U,15,FALSE),""))</f>
        <v/>
      </c>
      <c r="J106" s="12" t="n"/>
      <c r="K106" s="12" t="n"/>
      <c r="L106" s="12" t="n"/>
      <c r="M106" s="14" t="n"/>
      <c r="N106" s="12" t="n"/>
      <c r="O106" s="2" t="n"/>
      <c r="P106" s="2" t="n"/>
      <c r="Q106" s="2" t="n"/>
      <c r="R106" s="12" t="n"/>
      <c r="S106" s="12" t="n"/>
      <c r="T106" s="12" t="n"/>
      <c r="U106" s="12" t="n"/>
      <c r="V106" s="12" t="n"/>
      <c r="W106" s="12" t="n"/>
      <c r="X106" s="12" t="n"/>
      <c r="Y106" s="2" t="n"/>
      <c r="Z106" s="5">
        <f>IF(A106="","",(COUNTA(A106:G106)+COUNTA(J106:Y106))/23)</f>
        <v/>
      </c>
      <c r="AA106" s="2">
        <f>IF(B106="","",WORKDAY(B106,3))</f>
        <v/>
      </c>
      <c r="AB106" s="2">
        <f>IF(B106="","",WORKDAY(B106,5))</f>
        <v/>
      </c>
      <c r="AC106" s="2">
        <f>IF(B106="","",WORKDAY(B106,10))</f>
        <v/>
      </c>
      <c r="AD106" s="2" t="n"/>
    </row>
    <row r="107">
      <c r="A107" s="12" t="n"/>
      <c r="B107" s="12" t="n"/>
      <c r="C107" s="2" t="n"/>
      <c r="D107" s="4" t="n"/>
      <c r="E107" s="12" t="n"/>
      <c r="F107" s="2" t="n"/>
      <c r="G107" s="12" t="n"/>
      <c r="H107" s="2">
        <f>IF(G107="","",IFERROR(VLOOKUP(G107,板块观察!A:U,14,FALSE),""))</f>
        <v/>
      </c>
      <c r="I107" s="2">
        <f>IF(G107="","",IFERROR(VLOOKUP(G107,板块观察!A:U,15,FALSE),""))</f>
        <v/>
      </c>
      <c r="J107" s="12" t="n"/>
      <c r="K107" s="12" t="n"/>
      <c r="L107" s="12" t="n"/>
      <c r="M107" s="14" t="n"/>
      <c r="N107" s="12" t="n"/>
      <c r="O107" s="2" t="n"/>
      <c r="P107" s="2" t="n"/>
      <c r="Q107" s="2" t="n"/>
      <c r="R107" s="12" t="n"/>
      <c r="S107" s="12" t="n"/>
      <c r="T107" s="12" t="n"/>
      <c r="U107" s="12" t="n"/>
      <c r="V107" s="12" t="n"/>
      <c r="W107" s="12" t="n"/>
      <c r="X107" s="12" t="n"/>
      <c r="Y107" s="2" t="n"/>
      <c r="Z107" s="5">
        <f>IF(A107="","",(COUNTA(A107:G107)+COUNTA(J107:Y107))/23)</f>
        <v/>
      </c>
      <c r="AA107" s="2">
        <f>IF(B107="","",WORKDAY(B107,3))</f>
        <v/>
      </c>
      <c r="AB107" s="2">
        <f>IF(B107="","",WORKDAY(B107,5))</f>
        <v/>
      </c>
      <c r="AC107" s="2">
        <f>IF(B107="","",WORKDAY(B107,10))</f>
        <v/>
      </c>
      <c r="AD107" s="2" t="n"/>
    </row>
    <row r="108">
      <c r="A108" s="12" t="n"/>
      <c r="B108" s="12" t="n"/>
      <c r="C108" s="2" t="n"/>
      <c r="D108" s="4" t="n"/>
      <c r="E108" s="12" t="n"/>
      <c r="F108" s="2" t="n"/>
      <c r="G108" s="12" t="n"/>
      <c r="H108" s="2">
        <f>IF(G108="","",IFERROR(VLOOKUP(G108,板块观察!A:U,14,FALSE),""))</f>
        <v/>
      </c>
      <c r="I108" s="2">
        <f>IF(G108="","",IFERROR(VLOOKUP(G108,板块观察!A:U,15,FALSE),""))</f>
        <v/>
      </c>
      <c r="J108" s="12" t="n"/>
      <c r="K108" s="12" t="n"/>
      <c r="L108" s="12" t="n"/>
      <c r="M108" s="14" t="n"/>
      <c r="N108" s="12" t="n"/>
      <c r="O108" s="2" t="n"/>
      <c r="P108" s="2" t="n"/>
      <c r="Q108" s="2" t="n"/>
      <c r="R108" s="12" t="n"/>
      <c r="S108" s="12" t="n"/>
      <c r="T108" s="12" t="n"/>
      <c r="U108" s="12" t="n"/>
      <c r="V108" s="12" t="n"/>
      <c r="W108" s="12" t="n"/>
      <c r="X108" s="12" t="n"/>
      <c r="Y108" s="2" t="n"/>
      <c r="Z108" s="5">
        <f>IF(A108="","",(COUNTA(A108:G108)+COUNTA(J108:Y108))/23)</f>
        <v/>
      </c>
      <c r="AA108" s="2">
        <f>IF(B108="","",WORKDAY(B108,3))</f>
        <v/>
      </c>
      <c r="AB108" s="2">
        <f>IF(B108="","",WORKDAY(B108,5))</f>
        <v/>
      </c>
      <c r="AC108" s="2">
        <f>IF(B108="","",WORKDAY(B108,10))</f>
        <v/>
      </c>
      <c r="AD108" s="2" t="n"/>
    </row>
    <row r="109">
      <c r="A109" s="12" t="n"/>
      <c r="B109" s="12" t="n"/>
      <c r="C109" s="2" t="n"/>
      <c r="D109" s="4" t="n"/>
      <c r="E109" s="12" t="n"/>
      <c r="F109" s="2" t="n"/>
      <c r="G109" s="12" t="n"/>
      <c r="H109" s="2">
        <f>IF(G109="","",IFERROR(VLOOKUP(G109,板块观察!A:U,14,FALSE),""))</f>
        <v/>
      </c>
      <c r="I109" s="2">
        <f>IF(G109="","",IFERROR(VLOOKUP(G109,板块观察!A:U,15,FALSE),""))</f>
        <v/>
      </c>
      <c r="J109" s="12" t="n"/>
      <c r="K109" s="12" t="n"/>
      <c r="L109" s="12" t="n"/>
      <c r="M109" s="14" t="n"/>
      <c r="N109" s="12" t="n"/>
      <c r="O109" s="2" t="n"/>
      <c r="P109" s="2" t="n"/>
      <c r="Q109" s="2" t="n"/>
      <c r="R109" s="12" t="n"/>
      <c r="S109" s="12" t="n"/>
      <c r="T109" s="12" t="n"/>
      <c r="U109" s="12" t="n"/>
      <c r="V109" s="12" t="n"/>
      <c r="W109" s="12" t="n"/>
      <c r="X109" s="12" t="n"/>
      <c r="Y109" s="2" t="n"/>
      <c r="Z109" s="5">
        <f>IF(A109="","",(COUNTA(A109:G109)+COUNTA(J109:Y109))/23)</f>
        <v/>
      </c>
      <c r="AA109" s="2">
        <f>IF(B109="","",WORKDAY(B109,3))</f>
        <v/>
      </c>
      <c r="AB109" s="2">
        <f>IF(B109="","",WORKDAY(B109,5))</f>
        <v/>
      </c>
      <c r="AC109" s="2">
        <f>IF(B109="","",WORKDAY(B109,10))</f>
        <v/>
      </c>
      <c r="AD109" s="2" t="n"/>
    </row>
    <row r="110">
      <c r="A110" s="12" t="n"/>
      <c r="B110" s="12" t="n"/>
      <c r="C110" s="2" t="n"/>
      <c r="D110" s="4" t="n"/>
      <c r="E110" s="12" t="n"/>
      <c r="F110" s="2" t="n"/>
      <c r="G110" s="12" t="n"/>
      <c r="H110" s="2">
        <f>IF(G110="","",IFERROR(VLOOKUP(G110,板块观察!A:U,14,FALSE),""))</f>
        <v/>
      </c>
      <c r="I110" s="2">
        <f>IF(G110="","",IFERROR(VLOOKUP(G110,板块观察!A:U,15,FALSE),""))</f>
        <v/>
      </c>
      <c r="J110" s="12" t="n"/>
      <c r="K110" s="12" t="n"/>
      <c r="L110" s="12" t="n"/>
      <c r="M110" s="14" t="n"/>
      <c r="N110" s="12" t="n"/>
      <c r="O110" s="2" t="n"/>
      <c r="P110" s="2" t="n"/>
      <c r="Q110" s="2" t="n"/>
      <c r="R110" s="12" t="n"/>
      <c r="S110" s="12" t="n"/>
      <c r="T110" s="12" t="n"/>
      <c r="U110" s="12" t="n"/>
      <c r="V110" s="12" t="n"/>
      <c r="W110" s="12" t="n"/>
      <c r="X110" s="12" t="n"/>
      <c r="Y110" s="2" t="n"/>
      <c r="Z110" s="5">
        <f>IF(A110="","",(COUNTA(A110:G110)+COUNTA(J110:Y110))/23)</f>
        <v/>
      </c>
      <c r="AA110" s="2">
        <f>IF(B110="","",WORKDAY(B110,3))</f>
        <v/>
      </c>
      <c r="AB110" s="2">
        <f>IF(B110="","",WORKDAY(B110,5))</f>
        <v/>
      </c>
      <c r="AC110" s="2">
        <f>IF(B110="","",WORKDAY(B110,10))</f>
        <v/>
      </c>
      <c r="AD110" s="2" t="n"/>
    </row>
    <row r="111">
      <c r="A111" s="12" t="n"/>
      <c r="B111" s="12" t="n"/>
      <c r="C111" s="2" t="n"/>
      <c r="D111" s="4" t="n"/>
      <c r="E111" s="12" t="n"/>
      <c r="F111" s="2" t="n"/>
      <c r="G111" s="12" t="n"/>
      <c r="H111" s="2">
        <f>IF(G111="","",IFERROR(VLOOKUP(G111,板块观察!A:U,14,FALSE),""))</f>
        <v/>
      </c>
      <c r="I111" s="2">
        <f>IF(G111="","",IFERROR(VLOOKUP(G111,板块观察!A:U,15,FALSE),""))</f>
        <v/>
      </c>
      <c r="J111" s="12" t="n"/>
      <c r="K111" s="12" t="n"/>
      <c r="L111" s="12" t="n"/>
      <c r="M111" s="14" t="n"/>
      <c r="N111" s="12" t="n"/>
      <c r="O111" s="2" t="n"/>
      <c r="P111" s="2" t="n"/>
      <c r="Q111" s="2" t="n"/>
      <c r="R111" s="12" t="n"/>
      <c r="S111" s="12" t="n"/>
      <c r="T111" s="12" t="n"/>
      <c r="U111" s="12" t="n"/>
      <c r="V111" s="12" t="n"/>
      <c r="W111" s="12" t="n"/>
      <c r="X111" s="12" t="n"/>
      <c r="Y111" s="2" t="n"/>
      <c r="Z111" s="5">
        <f>IF(A111="","",(COUNTA(A111:G111)+COUNTA(J111:Y111))/23)</f>
        <v/>
      </c>
      <c r="AA111" s="2">
        <f>IF(B111="","",WORKDAY(B111,3))</f>
        <v/>
      </c>
      <c r="AB111" s="2">
        <f>IF(B111="","",WORKDAY(B111,5))</f>
        <v/>
      </c>
      <c r="AC111" s="2">
        <f>IF(B111="","",WORKDAY(B111,10))</f>
        <v/>
      </c>
      <c r="AD111" s="2" t="n"/>
    </row>
    <row r="112">
      <c r="A112" s="12" t="n"/>
      <c r="B112" s="12" t="n"/>
      <c r="C112" s="2" t="n"/>
      <c r="D112" s="4" t="n"/>
      <c r="E112" s="12" t="n"/>
      <c r="F112" s="2" t="n"/>
      <c r="G112" s="12" t="n"/>
      <c r="H112" s="2">
        <f>IF(G112="","",IFERROR(VLOOKUP(G112,板块观察!A:U,14,FALSE),""))</f>
        <v/>
      </c>
      <c r="I112" s="2">
        <f>IF(G112="","",IFERROR(VLOOKUP(G112,板块观察!A:U,15,FALSE),""))</f>
        <v/>
      </c>
      <c r="J112" s="12" t="n"/>
      <c r="K112" s="12" t="n"/>
      <c r="L112" s="12" t="n"/>
      <c r="M112" s="14" t="n"/>
      <c r="N112" s="12" t="n"/>
      <c r="O112" s="2" t="n"/>
      <c r="P112" s="2" t="n"/>
      <c r="Q112" s="2" t="n"/>
      <c r="R112" s="12" t="n"/>
      <c r="S112" s="12" t="n"/>
      <c r="T112" s="12" t="n"/>
      <c r="U112" s="12" t="n"/>
      <c r="V112" s="12" t="n"/>
      <c r="W112" s="12" t="n"/>
      <c r="X112" s="12" t="n"/>
      <c r="Y112" s="2" t="n"/>
      <c r="Z112" s="5">
        <f>IF(A112="","",(COUNTA(A112:G112)+COUNTA(J112:Y112))/23)</f>
        <v/>
      </c>
      <c r="AA112" s="2">
        <f>IF(B112="","",WORKDAY(B112,3))</f>
        <v/>
      </c>
      <c r="AB112" s="2">
        <f>IF(B112="","",WORKDAY(B112,5))</f>
        <v/>
      </c>
      <c r="AC112" s="2">
        <f>IF(B112="","",WORKDAY(B112,10))</f>
        <v/>
      </c>
      <c r="AD112" s="2" t="n"/>
    </row>
    <row r="113">
      <c r="A113" s="12" t="n"/>
      <c r="B113" s="12" t="n"/>
      <c r="C113" s="2" t="n"/>
      <c r="D113" s="4" t="n"/>
      <c r="E113" s="12" t="n"/>
      <c r="F113" s="2" t="n"/>
      <c r="G113" s="12" t="n"/>
      <c r="H113" s="2">
        <f>IF(G113="","",IFERROR(VLOOKUP(G113,板块观察!A:U,14,FALSE),""))</f>
        <v/>
      </c>
      <c r="I113" s="2">
        <f>IF(G113="","",IFERROR(VLOOKUP(G113,板块观察!A:U,15,FALSE),""))</f>
        <v/>
      </c>
      <c r="J113" s="12" t="n"/>
      <c r="K113" s="12" t="n"/>
      <c r="L113" s="12" t="n"/>
      <c r="M113" s="14" t="n"/>
      <c r="N113" s="12" t="n"/>
      <c r="O113" s="2" t="n"/>
      <c r="P113" s="2" t="n"/>
      <c r="Q113" s="2" t="n"/>
      <c r="R113" s="12" t="n"/>
      <c r="S113" s="12" t="n"/>
      <c r="T113" s="12" t="n"/>
      <c r="U113" s="12" t="n"/>
      <c r="V113" s="12" t="n"/>
      <c r="W113" s="12" t="n"/>
      <c r="X113" s="12" t="n"/>
      <c r="Y113" s="2" t="n"/>
      <c r="Z113" s="5">
        <f>IF(A113="","",(COUNTA(A113:G113)+COUNTA(J113:Y113))/23)</f>
        <v/>
      </c>
      <c r="AA113" s="2">
        <f>IF(B113="","",WORKDAY(B113,3))</f>
        <v/>
      </c>
      <c r="AB113" s="2">
        <f>IF(B113="","",WORKDAY(B113,5))</f>
        <v/>
      </c>
      <c r="AC113" s="2">
        <f>IF(B113="","",WORKDAY(B113,10))</f>
        <v/>
      </c>
      <c r="AD113" s="2" t="n"/>
    </row>
    <row r="114">
      <c r="A114" s="12" t="n"/>
      <c r="B114" s="12" t="n"/>
      <c r="C114" s="2" t="n"/>
      <c r="D114" s="4" t="n"/>
      <c r="E114" s="12" t="n"/>
      <c r="F114" s="2" t="n"/>
      <c r="G114" s="12" t="n"/>
      <c r="H114" s="2">
        <f>IF(G114="","",IFERROR(VLOOKUP(G114,板块观察!A:U,14,FALSE),""))</f>
        <v/>
      </c>
      <c r="I114" s="2">
        <f>IF(G114="","",IFERROR(VLOOKUP(G114,板块观察!A:U,15,FALSE),""))</f>
        <v/>
      </c>
      <c r="J114" s="12" t="n"/>
      <c r="K114" s="12" t="n"/>
      <c r="L114" s="12" t="n"/>
      <c r="M114" s="14" t="n"/>
      <c r="N114" s="12" t="n"/>
      <c r="O114" s="2" t="n"/>
      <c r="P114" s="2" t="n"/>
      <c r="Q114" s="2" t="n"/>
      <c r="R114" s="12" t="n"/>
      <c r="S114" s="12" t="n"/>
      <c r="T114" s="12" t="n"/>
      <c r="U114" s="12" t="n"/>
      <c r="V114" s="12" t="n"/>
      <c r="W114" s="12" t="n"/>
      <c r="X114" s="12" t="n"/>
      <c r="Y114" s="2" t="n"/>
      <c r="Z114" s="5">
        <f>IF(A114="","",(COUNTA(A114:G114)+COUNTA(J114:Y114))/23)</f>
        <v/>
      </c>
      <c r="AA114" s="2">
        <f>IF(B114="","",WORKDAY(B114,3))</f>
        <v/>
      </c>
      <c r="AB114" s="2">
        <f>IF(B114="","",WORKDAY(B114,5))</f>
        <v/>
      </c>
      <c r="AC114" s="2">
        <f>IF(B114="","",WORKDAY(B114,10))</f>
        <v/>
      </c>
      <c r="AD114" s="2" t="n"/>
    </row>
    <row r="115">
      <c r="A115" s="12" t="n"/>
      <c r="B115" s="12" t="n"/>
      <c r="C115" s="2" t="n"/>
      <c r="D115" s="4" t="n"/>
      <c r="E115" s="12" t="n"/>
      <c r="F115" s="2" t="n"/>
      <c r="G115" s="12" t="n"/>
      <c r="H115" s="2">
        <f>IF(G115="","",IFERROR(VLOOKUP(G115,板块观察!A:U,14,FALSE),""))</f>
        <v/>
      </c>
      <c r="I115" s="2">
        <f>IF(G115="","",IFERROR(VLOOKUP(G115,板块观察!A:U,15,FALSE),""))</f>
        <v/>
      </c>
      <c r="J115" s="12" t="n"/>
      <c r="K115" s="12" t="n"/>
      <c r="L115" s="12" t="n"/>
      <c r="M115" s="14" t="n"/>
      <c r="N115" s="12" t="n"/>
      <c r="O115" s="2" t="n"/>
      <c r="P115" s="2" t="n"/>
      <c r="Q115" s="2" t="n"/>
      <c r="R115" s="12" t="n"/>
      <c r="S115" s="12" t="n"/>
      <c r="T115" s="12" t="n"/>
      <c r="U115" s="12" t="n"/>
      <c r="V115" s="12" t="n"/>
      <c r="W115" s="12" t="n"/>
      <c r="X115" s="12" t="n"/>
      <c r="Y115" s="2" t="n"/>
      <c r="Z115" s="5">
        <f>IF(A115="","",(COUNTA(A115:G115)+COUNTA(J115:Y115))/23)</f>
        <v/>
      </c>
      <c r="AA115" s="2">
        <f>IF(B115="","",WORKDAY(B115,3))</f>
        <v/>
      </c>
      <c r="AB115" s="2">
        <f>IF(B115="","",WORKDAY(B115,5))</f>
        <v/>
      </c>
      <c r="AC115" s="2">
        <f>IF(B115="","",WORKDAY(B115,10))</f>
        <v/>
      </c>
      <c r="AD115" s="2" t="n"/>
    </row>
    <row r="116">
      <c r="A116" s="12" t="n"/>
      <c r="B116" s="12" t="n"/>
      <c r="C116" s="2" t="n"/>
      <c r="D116" s="4" t="n"/>
      <c r="E116" s="12" t="n"/>
      <c r="F116" s="2" t="n"/>
      <c r="G116" s="12" t="n"/>
      <c r="H116" s="2">
        <f>IF(G116="","",IFERROR(VLOOKUP(G116,板块观察!A:U,14,FALSE),""))</f>
        <v/>
      </c>
      <c r="I116" s="2">
        <f>IF(G116="","",IFERROR(VLOOKUP(G116,板块观察!A:U,15,FALSE),""))</f>
        <v/>
      </c>
      <c r="J116" s="12" t="n"/>
      <c r="K116" s="12" t="n"/>
      <c r="L116" s="12" t="n"/>
      <c r="M116" s="14" t="n"/>
      <c r="N116" s="12" t="n"/>
      <c r="O116" s="2" t="n"/>
      <c r="P116" s="2" t="n"/>
      <c r="Q116" s="2" t="n"/>
      <c r="R116" s="12" t="n"/>
      <c r="S116" s="12" t="n"/>
      <c r="T116" s="12" t="n"/>
      <c r="U116" s="12" t="n"/>
      <c r="V116" s="12" t="n"/>
      <c r="W116" s="12" t="n"/>
      <c r="X116" s="12" t="n"/>
      <c r="Y116" s="2" t="n"/>
      <c r="Z116" s="5">
        <f>IF(A116="","",(COUNTA(A116:G116)+COUNTA(J116:Y116))/23)</f>
        <v/>
      </c>
      <c r="AA116" s="2">
        <f>IF(B116="","",WORKDAY(B116,3))</f>
        <v/>
      </c>
      <c r="AB116" s="2">
        <f>IF(B116="","",WORKDAY(B116,5))</f>
        <v/>
      </c>
      <c r="AC116" s="2">
        <f>IF(B116="","",WORKDAY(B116,10))</f>
        <v/>
      </c>
      <c r="AD116" s="2" t="n"/>
    </row>
    <row r="117">
      <c r="A117" s="12" t="n"/>
      <c r="B117" s="12" t="n"/>
      <c r="C117" s="2" t="n"/>
      <c r="D117" s="4" t="n"/>
      <c r="E117" s="12" t="n"/>
      <c r="F117" s="2" t="n"/>
      <c r="G117" s="12" t="n"/>
      <c r="H117" s="2">
        <f>IF(G117="","",IFERROR(VLOOKUP(G117,板块观察!A:U,14,FALSE),""))</f>
        <v/>
      </c>
      <c r="I117" s="2">
        <f>IF(G117="","",IFERROR(VLOOKUP(G117,板块观察!A:U,15,FALSE),""))</f>
        <v/>
      </c>
      <c r="J117" s="12" t="n"/>
      <c r="K117" s="12" t="n"/>
      <c r="L117" s="12" t="n"/>
      <c r="M117" s="14" t="n"/>
      <c r="N117" s="12" t="n"/>
      <c r="O117" s="2" t="n"/>
      <c r="P117" s="2" t="n"/>
      <c r="Q117" s="2" t="n"/>
      <c r="R117" s="12" t="n"/>
      <c r="S117" s="12" t="n"/>
      <c r="T117" s="12" t="n"/>
      <c r="U117" s="12" t="n"/>
      <c r="V117" s="12" t="n"/>
      <c r="W117" s="12" t="n"/>
      <c r="X117" s="12" t="n"/>
      <c r="Y117" s="2" t="n"/>
      <c r="Z117" s="5">
        <f>IF(A117="","",(COUNTA(A117:G117)+COUNTA(J117:Y117))/23)</f>
        <v/>
      </c>
      <c r="AA117" s="2">
        <f>IF(B117="","",WORKDAY(B117,3))</f>
        <v/>
      </c>
      <c r="AB117" s="2">
        <f>IF(B117="","",WORKDAY(B117,5))</f>
        <v/>
      </c>
      <c r="AC117" s="2">
        <f>IF(B117="","",WORKDAY(B117,10))</f>
        <v/>
      </c>
      <c r="AD117" s="2" t="n"/>
    </row>
    <row r="118">
      <c r="A118" s="12" t="n"/>
      <c r="B118" s="12" t="n"/>
      <c r="C118" s="2" t="n"/>
      <c r="D118" s="4" t="n"/>
      <c r="E118" s="12" t="n"/>
      <c r="F118" s="2" t="n"/>
      <c r="G118" s="12" t="n"/>
      <c r="H118" s="2">
        <f>IF(G118="","",IFERROR(VLOOKUP(G118,板块观察!A:U,14,FALSE),""))</f>
        <v/>
      </c>
      <c r="I118" s="2">
        <f>IF(G118="","",IFERROR(VLOOKUP(G118,板块观察!A:U,15,FALSE),""))</f>
        <v/>
      </c>
      <c r="J118" s="12" t="n"/>
      <c r="K118" s="12" t="n"/>
      <c r="L118" s="12" t="n"/>
      <c r="M118" s="14" t="n"/>
      <c r="N118" s="12" t="n"/>
      <c r="O118" s="2" t="n"/>
      <c r="P118" s="2" t="n"/>
      <c r="Q118" s="2" t="n"/>
      <c r="R118" s="12" t="n"/>
      <c r="S118" s="12" t="n"/>
      <c r="T118" s="12" t="n"/>
      <c r="U118" s="12" t="n"/>
      <c r="V118" s="12" t="n"/>
      <c r="W118" s="12" t="n"/>
      <c r="X118" s="12" t="n"/>
      <c r="Y118" s="2" t="n"/>
      <c r="Z118" s="5">
        <f>IF(A118="","",(COUNTA(A118:G118)+COUNTA(J118:Y118))/23)</f>
        <v/>
      </c>
      <c r="AA118" s="2">
        <f>IF(B118="","",WORKDAY(B118,3))</f>
        <v/>
      </c>
      <c r="AB118" s="2">
        <f>IF(B118="","",WORKDAY(B118,5))</f>
        <v/>
      </c>
      <c r="AC118" s="2">
        <f>IF(B118="","",WORKDAY(B118,10))</f>
        <v/>
      </c>
      <c r="AD118" s="2" t="n"/>
    </row>
    <row r="119">
      <c r="A119" s="12" t="n"/>
      <c r="B119" s="12" t="n"/>
      <c r="C119" s="2" t="n"/>
      <c r="D119" s="4" t="n"/>
      <c r="E119" s="12" t="n"/>
      <c r="F119" s="2" t="n"/>
      <c r="G119" s="12" t="n"/>
      <c r="H119" s="2">
        <f>IF(G119="","",IFERROR(VLOOKUP(G119,板块观察!A:U,14,FALSE),""))</f>
        <v/>
      </c>
      <c r="I119" s="2">
        <f>IF(G119="","",IFERROR(VLOOKUP(G119,板块观察!A:U,15,FALSE),""))</f>
        <v/>
      </c>
      <c r="J119" s="12" t="n"/>
      <c r="K119" s="12" t="n"/>
      <c r="L119" s="12" t="n"/>
      <c r="M119" s="14" t="n"/>
      <c r="N119" s="12" t="n"/>
      <c r="O119" s="2" t="n"/>
      <c r="P119" s="2" t="n"/>
      <c r="Q119" s="2" t="n"/>
      <c r="R119" s="12" t="n"/>
      <c r="S119" s="12" t="n"/>
      <c r="T119" s="12" t="n"/>
      <c r="U119" s="12" t="n"/>
      <c r="V119" s="12" t="n"/>
      <c r="W119" s="12" t="n"/>
      <c r="X119" s="12" t="n"/>
      <c r="Y119" s="2" t="n"/>
      <c r="Z119" s="5">
        <f>IF(A119="","",(COUNTA(A119:G119)+COUNTA(J119:Y119))/23)</f>
        <v/>
      </c>
      <c r="AA119" s="2">
        <f>IF(B119="","",WORKDAY(B119,3))</f>
        <v/>
      </c>
      <c r="AB119" s="2">
        <f>IF(B119="","",WORKDAY(B119,5))</f>
        <v/>
      </c>
      <c r="AC119" s="2">
        <f>IF(B119="","",WORKDAY(B119,10))</f>
        <v/>
      </c>
      <c r="AD119" s="2" t="n"/>
    </row>
    <row r="120">
      <c r="A120" s="12" t="n"/>
      <c r="B120" s="12" t="n"/>
      <c r="C120" s="2" t="n"/>
      <c r="D120" s="4" t="n"/>
      <c r="E120" s="12" t="n"/>
      <c r="F120" s="2" t="n"/>
      <c r="G120" s="12" t="n"/>
      <c r="H120" s="2">
        <f>IF(G120="","",IFERROR(VLOOKUP(G120,板块观察!A:U,14,FALSE),""))</f>
        <v/>
      </c>
      <c r="I120" s="2">
        <f>IF(G120="","",IFERROR(VLOOKUP(G120,板块观察!A:U,15,FALSE),""))</f>
        <v/>
      </c>
      <c r="J120" s="12" t="n"/>
      <c r="K120" s="12" t="n"/>
      <c r="L120" s="12" t="n"/>
      <c r="M120" s="14" t="n"/>
      <c r="N120" s="12" t="n"/>
      <c r="O120" s="2" t="n"/>
      <c r="P120" s="2" t="n"/>
      <c r="Q120" s="2" t="n"/>
      <c r="R120" s="12" t="n"/>
      <c r="S120" s="12" t="n"/>
      <c r="T120" s="12" t="n"/>
      <c r="U120" s="12" t="n"/>
      <c r="V120" s="12" t="n"/>
      <c r="W120" s="12" t="n"/>
      <c r="X120" s="12" t="n"/>
      <c r="Y120" s="2" t="n"/>
      <c r="Z120" s="5">
        <f>IF(A120="","",(COUNTA(A120:G120)+COUNTA(J120:Y120))/23)</f>
        <v/>
      </c>
      <c r="AA120" s="2">
        <f>IF(B120="","",WORKDAY(B120,3))</f>
        <v/>
      </c>
      <c r="AB120" s="2">
        <f>IF(B120="","",WORKDAY(B120,5))</f>
        <v/>
      </c>
      <c r="AC120" s="2">
        <f>IF(B120="","",WORKDAY(B120,10))</f>
        <v/>
      </c>
      <c r="AD120" s="2" t="n"/>
    </row>
    <row r="121">
      <c r="A121" s="12" t="n"/>
      <c r="B121" s="12" t="n"/>
      <c r="C121" s="2" t="n"/>
      <c r="D121" s="4" t="n"/>
      <c r="E121" s="12" t="n"/>
      <c r="F121" s="2" t="n"/>
      <c r="G121" s="12" t="n"/>
      <c r="H121" s="2">
        <f>IF(G121="","",IFERROR(VLOOKUP(G121,板块观察!A:U,14,FALSE),""))</f>
        <v/>
      </c>
      <c r="I121" s="2">
        <f>IF(G121="","",IFERROR(VLOOKUP(G121,板块观察!A:U,15,FALSE),""))</f>
        <v/>
      </c>
      <c r="J121" s="12" t="n"/>
      <c r="K121" s="12" t="n"/>
      <c r="L121" s="12" t="n"/>
      <c r="M121" s="14" t="n"/>
      <c r="N121" s="12" t="n"/>
      <c r="O121" s="2" t="n"/>
      <c r="P121" s="2" t="n"/>
      <c r="Q121" s="2" t="n"/>
      <c r="R121" s="12" t="n"/>
      <c r="S121" s="12" t="n"/>
      <c r="T121" s="12" t="n"/>
      <c r="U121" s="12" t="n"/>
      <c r="V121" s="12" t="n"/>
      <c r="W121" s="12" t="n"/>
      <c r="X121" s="12" t="n"/>
      <c r="Y121" s="2" t="n"/>
      <c r="Z121" s="5">
        <f>IF(A121="","",(COUNTA(A121:G121)+COUNTA(J121:Y121))/23)</f>
        <v/>
      </c>
      <c r="AA121" s="2">
        <f>IF(B121="","",WORKDAY(B121,3))</f>
        <v/>
      </c>
      <c r="AB121" s="2">
        <f>IF(B121="","",WORKDAY(B121,5))</f>
        <v/>
      </c>
      <c r="AC121" s="2">
        <f>IF(B121="","",WORKDAY(B121,10))</f>
        <v/>
      </c>
      <c r="AD121" s="2" t="n"/>
    </row>
    <row r="122">
      <c r="A122" s="12" t="n"/>
      <c r="B122" s="12" t="n"/>
      <c r="C122" s="2" t="n"/>
      <c r="D122" s="4" t="n"/>
      <c r="E122" s="12" t="n"/>
      <c r="F122" s="2" t="n"/>
      <c r="G122" s="12" t="n"/>
      <c r="H122" s="2">
        <f>IF(G122="","",IFERROR(VLOOKUP(G122,板块观察!A:U,14,FALSE),""))</f>
        <v/>
      </c>
      <c r="I122" s="2">
        <f>IF(G122="","",IFERROR(VLOOKUP(G122,板块观察!A:U,15,FALSE),""))</f>
        <v/>
      </c>
      <c r="J122" s="12" t="n"/>
      <c r="K122" s="12" t="n"/>
      <c r="L122" s="12" t="n"/>
      <c r="M122" s="14" t="n"/>
      <c r="N122" s="12" t="n"/>
      <c r="O122" s="2" t="n"/>
      <c r="P122" s="2" t="n"/>
      <c r="Q122" s="2" t="n"/>
      <c r="R122" s="12" t="n"/>
      <c r="S122" s="12" t="n"/>
      <c r="T122" s="12" t="n"/>
      <c r="U122" s="12" t="n"/>
      <c r="V122" s="12" t="n"/>
      <c r="W122" s="12" t="n"/>
      <c r="X122" s="12" t="n"/>
      <c r="Y122" s="2" t="n"/>
      <c r="Z122" s="5">
        <f>IF(A122="","",(COUNTA(A122:G122)+COUNTA(J122:Y122))/23)</f>
        <v/>
      </c>
      <c r="AA122" s="2">
        <f>IF(B122="","",WORKDAY(B122,3))</f>
        <v/>
      </c>
      <c r="AB122" s="2">
        <f>IF(B122="","",WORKDAY(B122,5))</f>
        <v/>
      </c>
      <c r="AC122" s="2">
        <f>IF(B122="","",WORKDAY(B122,10))</f>
        <v/>
      </c>
      <c r="AD122" s="2" t="n"/>
    </row>
    <row r="123">
      <c r="A123" s="12" t="n"/>
      <c r="B123" s="12" t="n"/>
      <c r="C123" s="2" t="n"/>
      <c r="D123" s="4" t="n"/>
      <c r="E123" s="12" t="n"/>
      <c r="F123" s="2" t="n"/>
      <c r="G123" s="12" t="n"/>
      <c r="H123" s="2">
        <f>IF(G123="","",IFERROR(VLOOKUP(G123,板块观察!A:U,14,FALSE),""))</f>
        <v/>
      </c>
      <c r="I123" s="2">
        <f>IF(G123="","",IFERROR(VLOOKUP(G123,板块观察!A:U,15,FALSE),""))</f>
        <v/>
      </c>
      <c r="J123" s="12" t="n"/>
      <c r="K123" s="12" t="n"/>
      <c r="L123" s="12" t="n"/>
      <c r="M123" s="14" t="n"/>
      <c r="N123" s="12" t="n"/>
      <c r="O123" s="2" t="n"/>
      <c r="P123" s="2" t="n"/>
      <c r="Q123" s="2" t="n"/>
      <c r="R123" s="12" t="n"/>
      <c r="S123" s="12" t="n"/>
      <c r="T123" s="12" t="n"/>
      <c r="U123" s="12" t="n"/>
      <c r="V123" s="12" t="n"/>
      <c r="W123" s="12" t="n"/>
      <c r="X123" s="12" t="n"/>
      <c r="Y123" s="2" t="n"/>
      <c r="Z123" s="5">
        <f>IF(A123="","",(COUNTA(A123:G123)+COUNTA(J123:Y123))/23)</f>
        <v/>
      </c>
      <c r="AA123" s="2">
        <f>IF(B123="","",WORKDAY(B123,3))</f>
        <v/>
      </c>
      <c r="AB123" s="2">
        <f>IF(B123="","",WORKDAY(B123,5))</f>
        <v/>
      </c>
      <c r="AC123" s="2">
        <f>IF(B123="","",WORKDAY(B123,10))</f>
        <v/>
      </c>
      <c r="AD123" s="2" t="n"/>
    </row>
    <row r="124">
      <c r="A124" s="12" t="n"/>
      <c r="B124" s="12" t="n"/>
      <c r="C124" s="2" t="n"/>
      <c r="D124" s="4" t="n"/>
      <c r="E124" s="12" t="n"/>
      <c r="F124" s="2" t="n"/>
      <c r="G124" s="12" t="n"/>
      <c r="H124" s="2">
        <f>IF(G124="","",IFERROR(VLOOKUP(G124,板块观察!A:U,14,FALSE),""))</f>
        <v/>
      </c>
      <c r="I124" s="2">
        <f>IF(G124="","",IFERROR(VLOOKUP(G124,板块观察!A:U,15,FALSE),""))</f>
        <v/>
      </c>
      <c r="J124" s="12" t="n"/>
      <c r="K124" s="12" t="n"/>
      <c r="L124" s="12" t="n"/>
      <c r="M124" s="14" t="n"/>
      <c r="N124" s="12" t="n"/>
      <c r="O124" s="2" t="n"/>
      <c r="P124" s="2" t="n"/>
      <c r="Q124" s="2" t="n"/>
      <c r="R124" s="12" t="n"/>
      <c r="S124" s="12" t="n"/>
      <c r="T124" s="12" t="n"/>
      <c r="U124" s="12" t="n"/>
      <c r="V124" s="12" t="n"/>
      <c r="W124" s="12" t="n"/>
      <c r="X124" s="12" t="n"/>
      <c r="Y124" s="2" t="n"/>
      <c r="Z124" s="5">
        <f>IF(A124="","",(COUNTA(A124:G124)+COUNTA(J124:Y124))/23)</f>
        <v/>
      </c>
      <c r="AA124" s="2">
        <f>IF(B124="","",WORKDAY(B124,3))</f>
        <v/>
      </c>
      <c r="AB124" s="2">
        <f>IF(B124="","",WORKDAY(B124,5))</f>
        <v/>
      </c>
      <c r="AC124" s="2">
        <f>IF(B124="","",WORKDAY(B124,10))</f>
        <v/>
      </c>
      <c r="AD124" s="2" t="n"/>
    </row>
    <row r="125">
      <c r="A125" s="12" t="n"/>
      <c r="B125" s="12" t="n"/>
      <c r="C125" s="2" t="n"/>
      <c r="D125" s="4" t="n"/>
      <c r="E125" s="12" t="n"/>
      <c r="F125" s="2" t="n"/>
      <c r="G125" s="12" t="n"/>
      <c r="H125" s="2">
        <f>IF(G125="","",IFERROR(VLOOKUP(G125,板块观察!A:U,14,FALSE),""))</f>
        <v/>
      </c>
      <c r="I125" s="2">
        <f>IF(G125="","",IFERROR(VLOOKUP(G125,板块观察!A:U,15,FALSE),""))</f>
        <v/>
      </c>
      <c r="J125" s="12" t="n"/>
      <c r="K125" s="12" t="n"/>
      <c r="L125" s="12" t="n"/>
      <c r="M125" s="14" t="n"/>
      <c r="N125" s="12" t="n"/>
      <c r="O125" s="2" t="n"/>
      <c r="P125" s="2" t="n"/>
      <c r="Q125" s="2" t="n"/>
      <c r="R125" s="12" t="n"/>
      <c r="S125" s="12" t="n"/>
      <c r="T125" s="12" t="n"/>
      <c r="U125" s="12" t="n"/>
      <c r="V125" s="12" t="n"/>
      <c r="W125" s="12" t="n"/>
      <c r="X125" s="12" t="n"/>
      <c r="Y125" s="2" t="n"/>
      <c r="Z125" s="5">
        <f>IF(A125="","",(COUNTA(A125:G125)+COUNTA(J125:Y125))/23)</f>
        <v/>
      </c>
      <c r="AA125" s="2">
        <f>IF(B125="","",WORKDAY(B125,3))</f>
        <v/>
      </c>
      <c r="AB125" s="2">
        <f>IF(B125="","",WORKDAY(B125,5))</f>
        <v/>
      </c>
      <c r="AC125" s="2">
        <f>IF(B125="","",WORKDAY(B125,10))</f>
        <v/>
      </c>
      <c r="AD125" s="2" t="n"/>
    </row>
    <row r="126">
      <c r="A126" s="12" t="n"/>
      <c r="B126" s="12" t="n"/>
      <c r="C126" s="2" t="n"/>
      <c r="D126" s="4" t="n"/>
      <c r="E126" s="12" t="n"/>
      <c r="F126" s="2" t="n"/>
      <c r="G126" s="12" t="n"/>
      <c r="H126" s="2">
        <f>IF(G126="","",IFERROR(VLOOKUP(G126,板块观察!A:U,14,FALSE),""))</f>
        <v/>
      </c>
      <c r="I126" s="2">
        <f>IF(G126="","",IFERROR(VLOOKUP(G126,板块观察!A:U,15,FALSE),""))</f>
        <v/>
      </c>
      <c r="J126" s="12" t="n"/>
      <c r="K126" s="12" t="n"/>
      <c r="L126" s="12" t="n"/>
      <c r="M126" s="14" t="n"/>
      <c r="N126" s="12" t="n"/>
      <c r="O126" s="2" t="n"/>
      <c r="P126" s="2" t="n"/>
      <c r="Q126" s="2" t="n"/>
      <c r="R126" s="12" t="n"/>
      <c r="S126" s="12" t="n"/>
      <c r="T126" s="12" t="n"/>
      <c r="U126" s="12" t="n"/>
      <c r="V126" s="12" t="n"/>
      <c r="W126" s="12" t="n"/>
      <c r="X126" s="12" t="n"/>
      <c r="Y126" s="2" t="n"/>
      <c r="Z126" s="5">
        <f>IF(A126="","",(COUNTA(A126:G126)+COUNTA(J126:Y126))/23)</f>
        <v/>
      </c>
      <c r="AA126" s="2">
        <f>IF(B126="","",WORKDAY(B126,3))</f>
        <v/>
      </c>
      <c r="AB126" s="2">
        <f>IF(B126="","",WORKDAY(B126,5))</f>
        <v/>
      </c>
      <c r="AC126" s="2">
        <f>IF(B126="","",WORKDAY(B126,10))</f>
        <v/>
      </c>
      <c r="AD126" s="2" t="n"/>
    </row>
    <row r="127">
      <c r="A127" s="12" t="n"/>
      <c r="B127" s="12" t="n"/>
      <c r="C127" s="2" t="n"/>
      <c r="D127" s="4" t="n"/>
      <c r="E127" s="12" t="n"/>
      <c r="F127" s="2" t="n"/>
      <c r="G127" s="12" t="n"/>
      <c r="H127" s="2">
        <f>IF(G127="","",IFERROR(VLOOKUP(G127,板块观察!A:U,14,FALSE),""))</f>
        <v/>
      </c>
      <c r="I127" s="2">
        <f>IF(G127="","",IFERROR(VLOOKUP(G127,板块观察!A:U,15,FALSE),""))</f>
        <v/>
      </c>
      <c r="J127" s="12" t="n"/>
      <c r="K127" s="12" t="n"/>
      <c r="L127" s="12" t="n"/>
      <c r="M127" s="14" t="n"/>
      <c r="N127" s="12" t="n"/>
      <c r="O127" s="2" t="n"/>
      <c r="P127" s="2" t="n"/>
      <c r="Q127" s="2" t="n"/>
      <c r="R127" s="12" t="n"/>
      <c r="S127" s="12" t="n"/>
      <c r="T127" s="12" t="n"/>
      <c r="U127" s="12" t="n"/>
      <c r="V127" s="12" t="n"/>
      <c r="W127" s="12" t="n"/>
      <c r="X127" s="12" t="n"/>
      <c r="Y127" s="2" t="n"/>
      <c r="Z127" s="5">
        <f>IF(A127="","",(COUNTA(A127:G127)+COUNTA(J127:Y127))/23)</f>
        <v/>
      </c>
      <c r="AA127" s="2">
        <f>IF(B127="","",WORKDAY(B127,3))</f>
        <v/>
      </c>
      <c r="AB127" s="2">
        <f>IF(B127="","",WORKDAY(B127,5))</f>
        <v/>
      </c>
      <c r="AC127" s="2">
        <f>IF(B127="","",WORKDAY(B127,10))</f>
        <v/>
      </c>
      <c r="AD127" s="2" t="n"/>
    </row>
    <row r="128">
      <c r="A128" s="12" t="n"/>
      <c r="B128" s="12" t="n"/>
      <c r="C128" s="2" t="n"/>
      <c r="D128" s="4" t="n"/>
      <c r="E128" s="12" t="n"/>
      <c r="F128" s="2" t="n"/>
      <c r="G128" s="12" t="n"/>
      <c r="H128" s="2">
        <f>IF(G128="","",IFERROR(VLOOKUP(G128,板块观察!A:U,14,FALSE),""))</f>
        <v/>
      </c>
      <c r="I128" s="2">
        <f>IF(G128="","",IFERROR(VLOOKUP(G128,板块观察!A:U,15,FALSE),""))</f>
        <v/>
      </c>
      <c r="J128" s="12" t="n"/>
      <c r="K128" s="12" t="n"/>
      <c r="L128" s="12" t="n"/>
      <c r="M128" s="14" t="n"/>
      <c r="N128" s="12" t="n"/>
      <c r="O128" s="2" t="n"/>
      <c r="P128" s="2" t="n"/>
      <c r="Q128" s="2" t="n"/>
      <c r="R128" s="12" t="n"/>
      <c r="S128" s="12" t="n"/>
      <c r="T128" s="12" t="n"/>
      <c r="U128" s="12" t="n"/>
      <c r="V128" s="12" t="n"/>
      <c r="W128" s="12" t="n"/>
      <c r="X128" s="12" t="n"/>
      <c r="Y128" s="2" t="n"/>
      <c r="Z128" s="5">
        <f>IF(A128="","",(COUNTA(A128:G128)+COUNTA(J128:Y128))/23)</f>
        <v/>
      </c>
      <c r="AA128" s="2">
        <f>IF(B128="","",WORKDAY(B128,3))</f>
        <v/>
      </c>
      <c r="AB128" s="2">
        <f>IF(B128="","",WORKDAY(B128,5))</f>
        <v/>
      </c>
      <c r="AC128" s="2">
        <f>IF(B128="","",WORKDAY(B128,10))</f>
        <v/>
      </c>
      <c r="AD128" s="2" t="n"/>
    </row>
    <row r="129">
      <c r="A129" s="12" t="n"/>
      <c r="B129" s="12" t="n"/>
      <c r="C129" s="2" t="n"/>
      <c r="D129" s="4" t="n"/>
      <c r="E129" s="12" t="n"/>
      <c r="F129" s="2" t="n"/>
      <c r="G129" s="12" t="n"/>
      <c r="H129" s="2">
        <f>IF(G129="","",IFERROR(VLOOKUP(G129,板块观察!A:U,14,FALSE),""))</f>
        <v/>
      </c>
      <c r="I129" s="2">
        <f>IF(G129="","",IFERROR(VLOOKUP(G129,板块观察!A:U,15,FALSE),""))</f>
        <v/>
      </c>
      <c r="J129" s="12" t="n"/>
      <c r="K129" s="12" t="n"/>
      <c r="L129" s="12" t="n"/>
      <c r="M129" s="14" t="n"/>
      <c r="N129" s="12" t="n"/>
      <c r="O129" s="2" t="n"/>
      <c r="P129" s="2" t="n"/>
      <c r="Q129" s="2" t="n"/>
      <c r="R129" s="12" t="n"/>
      <c r="S129" s="12" t="n"/>
      <c r="T129" s="12" t="n"/>
      <c r="U129" s="12" t="n"/>
      <c r="V129" s="12" t="n"/>
      <c r="W129" s="12" t="n"/>
      <c r="X129" s="12" t="n"/>
      <c r="Y129" s="2" t="n"/>
      <c r="Z129" s="5">
        <f>IF(A129="","",(COUNTA(A129:G129)+COUNTA(J129:Y129))/23)</f>
        <v/>
      </c>
      <c r="AA129" s="2">
        <f>IF(B129="","",WORKDAY(B129,3))</f>
        <v/>
      </c>
      <c r="AB129" s="2">
        <f>IF(B129="","",WORKDAY(B129,5))</f>
        <v/>
      </c>
      <c r="AC129" s="2">
        <f>IF(B129="","",WORKDAY(B129,10))</f>
        <v/>
      </c>
      <c r="AD129" s="2" t="n"/>
    </row>
    <row r="130">
      <c r="A130" s="12" t="n"/>
      <c r="B130" s="12" t="n"/>
      <c r="C130" s="2" t="n"/>
      <c r="D130" s="4" t="n"/>
      <c r="E130" s="12" t="n"/>
      <c r="F130" s="2" t="n"/>
      <c r="G130" s="12" t="n"/>
      <c r="H130" s="2">
        <f>IF(G130="","",IFERROR(VLOOKUP(G130,板块观察!A:U,14,FALSE),""))</f>
        <v/>
      </c>
      <c r="I130" s="2">
        <f>IF(G130="","",IFERROR(VLOOKUP(G130,板块观察!A:U,15,FALSE),""))</f>
        <v/>
      </c>
      <c r="J130" s="12" t="n"/>
      <c r="K130" s="12" t="n"/>
      <c r="L130" s="12" t="n"/>
      <c r="M130" s="14" t="n"/>
      <c r="N130" s="12" t="n"/>
      <c r="O130" s="2" t="n"/>
      <c r="P130" s="2" t="n"/>
      <c r="Q130" s="2" t="n"/>
      <c r="R130" s="12" t="n"/>
      <c r="S130" s="12" t="n"/>
      <c r="T130" s="12" t="n"/>
      <c r="U130" s="12" t="n"/>
      <c r="V130" s="12" t="n"/>
      <c r="W130" s="12" t="n"/>
      <c r="X130" s="12" t="n"/>
      <c r="Y130" s="2" t="n"/>
      <c r="Z130" s="5">
        <f>IF(A130="","",(COUNTA(A130:G130)+COUNTA(J130:Y130))/23)</f>
        <v/>
      </c>
      <c r="AA130" s="2">
        <f>IF(B130="","",WORKDAY(B130,3))</f>
        <v/>
      </c>
      <c r="AB130" s="2">
        <f>IF(B130="","",WORKDAY(B130,5))</f>
        <v/>
      </c>
      <c r="AC130" s="2">
        <f>IF(B130="","",WORKDAY(B130,10))</f>
        <v/>
      </c>
      <c r="AD130" s="2" t="n"/>
    </row>
    <row r="131">
      <c r="A131" s="12" t="n"/>
      <c r="B131" s="12" t="n"/>
      <c r="C131" s="2" t="n"/>
      <c r="D131" s="4" t="n"/>
      <c r="E131" s="12" t="n"/>
      <c r="F131" s="2" t="n"/>
      <c r="G131" s="12" t="n"/>
      <c r="H131" s="2">
        <f>IF(G131="","",IFERROR(VLOOKUP(G131,板块观察!A:U,14,FALSE),""))</f>
        <v/>
      </c>
      <c r="I131" s="2">
        <f>IF(G131="","",IFERROR(VLOOKUP(G131,板块观察!A:U,15,FALSE),""))</f>
        <v/>
      </c>
      <c r="J131" s="12" t="n"/>
      <c r="K131" s="12" t="n"/>
      <c r="L131" s="12" t="n"/>
      <c r="M131" s="14" t="n"/>
      <c r="N131" s="12" t="n"/>
      <c r="O131" s="2" t="n"/>
      <c r="P131" s="2" t="n"/>
      <c r="Q131" s="2" t="n"/>
      <c r="R131" s="12" t="n"/>
      <c r="S131" s="12" t="n"/>
      <c r="T131" s="12" t="n"/>
      <c r="U131" s="12" t="n"/>
      <c r="V131" s="12" t="n"/>
      <c r="W131" s="12" t="n"/>
      <c r="X131" s="12" t="n"/>
      <c r="Y131" s="2" t="n"/>
      <c r="Z131" s="5">
        <f>IF(A131="","",(COUNTA(A131:G131)+COUNTA(J131:Y131))/23)</f>
        <v/>
      </c>
      <c r="AA131" s="2">
        <f>IF(B131="","",WORKDAY(B131,3))</f>
        <v/>
      </c>
      <c r="AB131" s="2">
        <f>IF(B131="","",WORKDAY(B131,5))</f>
        <v/>
      </c>
      <c r="AC131" s="2">
        <f>IF(B131="","",WORKDAY(B131,10))</f>
        <v/>
      </c>
      <c r="AD131" s="2" t="n"/>
    </row>
    <row r="132">
      <c r="A132" s="12" t="n"/>
      <c r="B132" s="12" t="n"/>
      <c r="C132" s="2" t="n"/>
      <c r="D132" s="4" t="n"/>
      <c r="E132" s="12" t="n"/>
      <c r="F132" s="2" t="n"/>
      <c r="G132" s="12" t="n"/>
      <c r="H132" s="2">
        <f>IF(G132="","",IFERROR(VLOOKUP(G132,板块观察!A:U,14,FALSE),""))</f>
        <v/>
      </c>
      <c r="I132" s="2">
        <f>IF(G132="","",IFERROR(VLOOKUP(G132,板块观察!A:U,15,FALSE),""))</f>
        <v/>
      </c>
      <c r="J132" s="12" t="n"/>
      <c r="K132" s="12" t="n"/>
      <c r="L132" s="12" t="n"/>
      <c r="M132" s="14" t="n"/>
      <c r="N132" s="12" t="n"/>
      <c r="O132" s="2" t="n"/>
      <c r="P132" s="2" t="n"/>
      <c r="Q132" s="2" t="n"/>
      <c r="R132" s="12" t="n"/>
      <c r="S132" s="12" t="n"/>
      <c r="T132" s="12" t="n"/>
      <c r="U132" s="12" t="n"/>
      <c r="V132" s="12" t="n"/>
      <c r="W132" s="12" t="n"/>
      <c r="X132" s="12" t="n"/>
      <c r="Y132" s="2" t="n"/>
      <c r="Z132" s="5">
        <f>IF(A132="","",(COUNTA(A132:G132)+COUNTA(J132:Y132))/23)</f>
        <v/>
      </c>
      <c r="AA132" s="2">
        <f>IF(B132="","",WORKDAY(B132,3))</f>
        <v/>
      </c>
      <c r="AB132" s="2">
        <f>IF(B132="","",WORKDAY(B132,5))</f>
        <v/>
      </c>
      <c r="AC132" s="2">
        <f>IF(B132="","",WORKDAY(B132,10))</f>
        <v/>
      </c>
      <c r="AD132" s="2" t="n"/>
    </row>
    <row r="133">
      <c r="A133" s="12" t="n"/>
      <c r="B133" s="12" t="n"/>
      <c r="C133" s="2" t="n"/>
      <c r="D133" s="4" t="n"/>
      <c r="E133" s="12" t="n"/>
      <c r="F133" s="2" t="n"/>
      <c r="G133" s="12" t="n"/>
      <c r="H133" s="2">
        <f>IF(G133="","",IFERROR(VLOOKUP(G133,板块观察!A:U,14,FALSE),""))</f>
        <v/>
      </c>
      <c r="I133" s="2">
        <f>IF(G133="","",IFERROR(VLOOKUP(G133,板块观察!A:U,15,FALSE),""))</f>
        <v/>
      </c>
      <c r="J133" s="12" t="n"/>
      <c r="K133" s="12" t="n"/>
      <c r="L133" s="12" t="n"/>
      <c r="M133" s="14" t="n"/>
      <c r="N133" s="12" t="n"/>
      <c r="O133" s="2" t="n"/>
      <c r="P133" s="2" t="n"/>
      <c r="Q133" s="2" t="n"/>
      <c r="R133" s="12" t="n"/>
      <c r="S133" s="12" t="n"/>
      <c r="T133" s="12" t="n"/>
      <c r="U133" s="12" t="n"/>
      <c r="V133" s="12" t="n"/>
      <c r="W133" s="12" t="n"/>
      <c r="X133" s="12" t="n"/>
      <c r="Y133" s="2" t="n"/>
      <c r="Z133" s="5">
        <f>IF(A133="","",(COUNTA(A133:G133)+COUNTA(J133:Y133))/23)</f>
        <v/>
      </c>
      <c r="AA133" s="2">
        <f>IF(B133="","",WORKDAY(B133,3))</f>
        <v/>
      </c>
      <c r="AB133" s="2">
        <f>IF(B133="","",WORKDAY(B133,5))</f>
        <v/>
      </c>
      <c r="AC133" s="2">
        <f>IF(B133="","",WORKDAY(B133,10))</f>
        <v/>
      </c>
      <c r="AD133" s="2" t="n"/>
    </row>
    <row r="134">
      <c r="A134" s="12" t="n"/>
      <c r="B134" s="12" t="n"/>
      <c r="C134" s="2" t="n"/>
      <c r="D134" s="4" t="n"/>
      <c r="E134" s="12" t="n"/>
      <c r="F134" s="2" t="n"/>
      <c r="G134" s="12" t="n"/>
      <c r="H134" s="2">
        <f>IF(G134="","",IFERROR(VLOOKUP(G134,板块观察!A:U,14,FALSE),""))</f>
        <v/>
      </c>
      <c r="I134" s="2">
        <f>IF(G134="","",IFERROR(VLOOKUP(G134,板块观察!A:U,15,FALSE),""))</f>
        <v/>
      </c>
      <c r="J134" s="12" t="n"/>
      <c r="K134" s="12" t="n"/>
      <c r="L134" s="12" t="n"/>
      <c r="M134" s="14" t="n"/>
      <c r="N134" s="12" t="n"/>
      <c r="O134" s="2" t="n"/>
      <c r="P134" s="2" t="n"/>
      <c r="Q134" s="2" t="n"/>
      <c r="R134" s="12" t="n"/>
      <c r="S134" s="12" t="n"/>
      <c r="T134" s="12" t="n"/>
      <c r="U134" s="12" t="n"/>
      <c r="V134" s="12" t="n"/>
      <c r="W134" s="12" t="n"/>
      <c r="X134" s="12" t="n"/>
      <c r="Y134" s="2" t="n"/>
      <c r="Z134" s="5">
        <f>IF(A134="","",(COUNTA(A134:G134)+COUNTA(J134:Y134))/23)</f>
        <v/>
      </c>
      <c r="AA134" s="2">
        <f>IF(B134="","",WORKDAY(B134,3))</f>
        <v/>
      </c>
      <c r="AB134" s="2">
        <f>IF(B134="","",WORKDAY(B134,5))</f>
        <v/>
      </c>
      <c r="AC134" s="2">
        <f>IF(B134="","",WORKDAY(B134,10))</f>
        <v/>
      </c>
      <c r="AD134" s="2" t="n"/>
    </row>
    <row r="135">
      <c r="A135" s="12" t="n"/>
      <c r="B135" s="12" t="n"/>
      <c r="C135" s="2" t="n"/>
      <c r="D135" s="4" t="n"/>
      <c r="E135" s="12" t="n"/>
      <c r="F135" s="2" t="n"/>
      <c r="G135" s="12" t="n"/>
      <c r="H135" s="2">
        <f>IF(G135="","",IFERROR(VLOOKUP(G135,板块观察!A:U,14,FALSE),""))</f>
        <v/>
      </c>
      <c r="I135" s="2">
        <f>IF(G135="","",IFERROR(VLOOKUP(G135,板块观察!A:U,15,FALSE),""))</f>
        <v/>
      </c>
      <c r="J135" s="12" t="n"/>
      <c r="K135" s="12" t="n"/>
      <c r="L135" s="12" t="n"/>
      <c r="M135" s="14" t="n"/>
      <c r="N135" s="12" t="n"/>
      <c r="O135" s="2" t="n"/>
      <c r="P135" s="2" t="n"/>
      <c r="Q135" s="2" t="n"/>
      <c r="R135" s="12" t="n"/>
      <c r="S135" s="12" t="n"/>
      <c r="T135" s="12" t="n"/>
      <c r="U135" s="12" t="n"/>
      <c r="V135" s="12" t="n"/>
      <c r="W135" s="12" t="n"/>
      <c r="X135" s="12" t="n"/>
      <c r="Y135" s="2" t="n"/>
      <c r="Z135" s="5">
        <f>IF(A135="","",(COUNTA(A135:G135)+COUNTA(J135:Y135))/23)</f>
        <v/>
      </c>
      <c r="AA135" s="2">
        <f>IF(B135="","",WORKDAY(B135,3))</f>
        <v/>
      </c>
      <c r="AB135" s="2">
        <f>IF(B135="","",WORKDAY(B135,5))</f>
        <v/>
      </c>
      <c r="AC135" s="2">
        <f>IF(B135="","",WORKDAY(B135,10))</f>
        <v/>
      </c>
      <c r="AD135" s="2" t="n"/>
    </row>
    <row r="136">
      <c r="A136" s="12" t="n"/>
      <c r="B136" s="12" t="n"/>
      <c r="C136" s="2" t="n"/>
      <c r="D136" s="4" t="n"/>
      <c r="E136" s="12" t="n"/>
      <c r="F136" s="2" t="n"/>
      <c r="G136" s="12" t="n"/>
      <c r="H136" s="2">
        <f>IF(G136="","",IFERROR(VLOOKUP(G136,板块观察!A:U,14,FALSE),""))</f>
        <v/>
      </c>
      <c r="I136" s="2">
        <f>IF(G136="","",IFERROR(VLOOKUP(G136,板块观察!A:U,15,FALSE),""))</f>
        <v/>
      </c>
      <c r="J136" s="12" t="n"/>
      <c r="K136" s="12" t="n"/>
      <c r="L136" s="12" t="n"/>
      <c r="M136" s="14" t="n"/>
      <c r="N136" s="12" t="n"/>
      <c r="O136" s="2" t="n"/>
      <c r="P136" s="2" t="n"/>
      <c r="Q136" s="2" t="n"/>
      <c r="R136" s="12" t="n"/>
      <c r="S136" s="12" t="n"/>
      <c r="T136" s="12" t="n"/>
      <c r="U136" s="12" t="n"/>
      <c r="V136" s="12" t="n"/>
      <c r="W136" s="12" t="n"/>
      <c r="X136" s="12" t="n"/>
      <c r="Y136" s="2" t="n"/>
      <c r="Z136" s="5">
        <f>IF(A136="","",(COUNTA(A136:G136)+COUNTA(J136:Y136))/23)</f>
        <v/>
      </c>
      <c r="AA136" s="2">
        <f>IF(B136="","",WORKDAY(B136,3))</f>
        <v/>
      </c>
      <c r="AB136" s="2">
        <f>IF(B136="","",WORKDAY(B136,5))</f>
        <v/>
      </c>
      <c r="AC136" s="2">
        <f>IF(B136="","",WORKDAY(B136,10))</f>
        <v/>
      </c>
      <c r="AD136" s="2" t="n"/>
    </row>
    <row r="137">
      <c r="A137" s="12" t="n"/>
      <c r="B137" s="12" t="n"/>
      <c r="C137" s="2" t="n"/>
      <c r="D137" s="4" t="n"/>
      <c r="E137" s="12" t="n"/>
      <c r="F137" s="2" t="n"/>
      <c r="G137" s="12" t="n"/>
      <c r="H137" s="2">
        <f>IF(G137="","",IFERROR(VLOOKUP(G137,板块观察!A:U,14,FALSE),""))</f>
        <v/>
      </c>
      <c r="I137" s="2">
        <f>IF(G137="","",IFERROR(VLOOKUP(G137,板块观察!A:U,15,FALSE),""))</f>
        <v/>
      </c>
      <c r="J137" s="12" t="n"/>
      <c r="K137" s="12" t="n"/>
      <c r="L137" s="12" t="n"/>
      <c r="M137" s="14" t="n"/>
      <c r="N137" s="12" t="n"/>
      <c r="O137" s="2" t="n"/>
      <c r="P137" s="2" t="n"/>
      <c r="Q137" s="2" t="n"/>
      <c r="R137" s="12" t="n"/>
      <c r="S137" s="12" t="n"/>
      <c r="T137" s="12" t="n"/>
      <c r="U137" s="12" t="n"/>
      <c r="V137" s="12" t="n"/>
      <c r="W137" s="12" t="n"/>
      <c r="X137" s="12" t="n"/>
      <c r="Y137" s="2" t="n"/>
      <c r="Z137" s="5">
        <f>IF(A137="","",(COUNTA(A137:G137)+COUNTA(J137:Y137))/23)</f>
        <v/>
      </c>
      <c r="AA137" s="2">
        <f>IF(B137="","",WORKDAY(B137,3))</f>
        <v/>
      </c>
      <c r="AB137" s="2">
        <f>IF(B137="","",WORKDAY(B137,5))</f>
        <v/>
      </c>
      <c r="AC137" s="2">
        <f>IF(B137="","",WORKDAY(B137,10))</f>
        <v/>
      </c>
      <c r="AD137" s="2" t="n"/>
    </row>
    <row r="138">
      <c r="A138" s="12" t="n"/>
      <c r="B138" s="12" t="n"/>
      <c r="C138" s="2" t="n"/>
      <c r="D138" s="4" t="n"/>
      <c r="E138" s="12" t="n"/>
      <c r="F138" s="2" t="n"/>
      <c r="G138" s="12" t="n"/>
      <c r="H138" s="2">
        <f>IF(G138="","",IFERROR(VLOOKUP(G138,板块观察!A:U,14,FALSE),""))</f>
        <v/>
      </c>
      <c r="I138" s="2">
        <f>IF(G138="","",IFERROR(VLOOKUP(G138,板块观察!A:U,15,FALSE),""))</f>
        <v/>
      </c>
      <c r="J138" s="12" t="n"/>
      <c r="K138" s="12" t="n"/>
      <c r="L138" s="12" t="n"/>
      <c r="M138" s="14" t="n"/>
      <c r="N138" s="12" t="n"/>
      <c r="O138" s="2" t="n"/>
      <c r="P138" s="2" t="n"/>
      <c r="Q138" s="2" t="n"/>
      <c r="R138" s="12" t="n"/>
      <c r="S138" s="12" t="n"/>
      <c r="T138" s="12" t="n"/>
      <c r="U138" s="12" t="n"/>
      <c r="V138" s="12" t="n"/>
      <c r="W138" s="12" t="n"/>
      <c r="X138" s="12" t="n"/>
      <c r="Y138" s="2" t="n"/>
      <c r="Z138" s="5">
        <f>IF(A138="","",(COUNTA(A138:G138)+COUNTA(J138:Y138))/23)</f>
        <v/>
      </c>
      <c r="AA138" s="2">
        <f>IF(B138="","",WORKDAY(B138,3))</f>
        <v/>
      </c>
      <c r="AB138" s="2">
        <f>IF(B138="","",WORKDAY(B138,5))</f>
        <v/>
      </c>
      <c r="AC138" s="2">
        <f>IF(B138="","",WORKDAY(B138,10))</f>
        <v/>
      </c>
      <c r="AD138" s="2" t="n"/>
    </row>
    <row r="139">
      <c r="A139" s="12" t="n"/>
      <c r="B139" s="12" t="n"/>
      <c r="C139" s="2" t="n"/>
      <c r="D139" s="4" t="n"/>
      <c r="E139" s="12" t="n"/>
      <c r="F139" s="2" t="n"/>
      <c r="G139" s="12" t="n"/>
      <c r="H139" s="2">
        <f>IF(G139="","",IFERROR(VLOOKUP(G139,板块观察!A:U,14,FALSE),""))</f>
        <v/>
      </c>
      <c r="I139" s="2">
        <f>IF(G139="","",IFERROR(VLOOKUP(G139,板块观察!A:U,15,FALSE),""))</f>
        <v/>
      </c>
      <c r="J139" s="12" t="n"/>
      <c r="K139" s="12" t="n"/>
      <c r="L139" s="12" t="n"/>
      <c r="M139" s="14" t="n"/>
      <c r="N139" s="12" t="n"/>
      <c r="O139" s="2" t="n"/>
      <c r="P139" s="2" t="n"/>
      <c r="Q139" s="2" t="n"/>
      <c r="R139" s="12" t="n"/>
      <c r="S139" s="12" t="n"/>
      <c r="T139" s="12" t="n"/>
      <c r="U139" s="12" t="n"/>
      <c r="V139" s="12" t="n"/>
      <c r="W139" s="12" t="n"/>
      <c r="X139" s="12" t="n"/>
      <c r="Y139" s="2" t="n"/>
      <c r="Z139" s="5">
        <f>IF(A139="","",(COUNTA(A139:G139)+COUNTA(J139:Y139))/23)</f>
        <v/>
      </c>
      <c r="AA139" s="2">
        <f>IF(B139="","",WORKDAY(B139,3))</f>
        <v/>
      </c>
      <c r="AB139" s="2">
        <f>IF(B139="","",WORKDAY(B139,5))</f>
        <v/>
      </c>
      <c r="AC139" s="2">
        <f>IF(B139="","",WORKDAY(B139,10))</f>
        <v/>
      </c>
      <c r="AD139" s="2" t="n"/>
    </row>
    <row r="140">
      <c r="A140" s="12" t="n"/>
      <c r="B140" s="12" t="n"/>
      <c r="C140" s="2" t="n"/>
      <c r="D140" s="4" t="n"/>
      <c r="E140" s="12" t="n"/>
      <c r="F140" s="2" t="n"/>
      <c r="G140" s="12" t="n"/>
      <c r="H140" s="2">
        <f>IF(G140="","",IFERROR(VLOOKUP(G140,板块观察!A:U,14,FALSE),""))</f>
        <v/>
      </c>
      <c r="I140" s="2">
        <f>IF(G140="","",IFERROR(VLOOKUP(G140,板块观察!A:U,15,FALSE),""))</f>
        <v/>
      </c>
      <c r="J140" s="12" t="n"/>
      <c r="K140" s="12" t="n"/>
      <c r="L140" s="12" t="n"/>
      <c r="M140" s="14" t="n"/>
      <c r="N140" s="12" t="n"/>
      <c r="O140" s="2" t="n"/>
      <c r="P140" s="2" t="n"/>
      <c r="Q140" s="2" t="n"/>
      <c r="R140" s="12" t="n"/>
      <c r="S140" s="12" t="n"/>
      <c r="T140" s="12" t="n"/>
      <c r="U140" s="12" t="n"/>
      <c r="V140" s="12" t="n"/>
      <c r="W140" s="12" t="n"/>
      <c r="X140" s="12" t="n"/>
      <c r="Y140" s="2" t="n"/>
      <c r="Z140" s="5">
        <f>IF(A140="","",(COUNTA(A140:G140)+COUNTA(J140:Y140))/23)</f>
        <v/>
      </c>
      <c r="AA140" s="2">
        <f>IF(B140="","",WORKDAY(B140,3))</f>
        <v/>
      </c>
      <c r="AB140" s="2">
        <f>IF(B140="","",WORKDAY(B140,5))</f>
        <v/>
      </c>
      <c r="AC140" s="2">
        <f>IF(B140="","",WORKDAY(B140,10))</f>
        <v/>
      </c>
      <c r="AD140" s="2" t="n"/>
    </row>
    <row r="141">
      <c r="A141" s="12" t="n"/>
      <c r="B141" s="12" t="n"/>
      <c r="C141" s="2" t="n"/>
      <c r="D141" s="4" t="n"/>
      <c r="E141" s="12" t="n"/>
      <c r="F141" s="2" t="n"/>
      <c r="G141" s="12" t="n"/>
      <c r="H141" s="2">
        <f>IF(G141="","",IFERROR(VLOOKUP(G141,板块观察!A:U,14,FALSE),""))</f>
        <v/>
      </c>
      <c r="I141" s="2">
        <f>IF(G141="","",IFERROR(VLOOKUP(G141,板块观察!A:U,15,FALSE),""))</f>
        <v/>
      </c>
      <c r="J141" s="12" t="n"/>
      <c r="K141" s="12" t="n"/>
      <c r="L141" s="12" t="n"/>
      <c r="M141" s="14" t="n"/>
      <c r="N141" s="12" t="n"/>
      <c r="O141" s="2" t="n"/>
      <c r="P141" s="2" t="n"/>
      <c r="Q141" s="2" t="n"/>
      <c r="R141" s="12" t="n"/>
      <c r="S141" s="12" t="n"/>
      <c r="T141" s="12" t="n"/>
      <c r="U141" s="12" t="n"/>
      <c r="V141" s="12" t="n"/>
      <c r="W141" s="12" t="n"/>
      <c r="X141" s="12" t="n"/>
      <c r="Y141" s="2" t="n"/>
      <c r="Z141" s="5">
        <f>IF(A141="","",(COUNTA(A141:G141)+COUNTA(J141:Y141))/23)</f>
        <v/>
      </c>
      <c r="AA141" s="2">
        <f>IF(B141="","",WORKDAY(B141,3))</f>
        <v/>
      </c>
      <c r="AB141" s="2">
        <f>IF(B141="","",WORKDAY(B141,5))</f>
        <v/>
      </c>
      <c r="AC141" s="2">
        <f>IF(B141="","",WORKDAY(B141,10))</f>
        <v/>
      </c>
      <c r="AD141" s="2" t="n"/>
    </row>
    <row r="142">
      <c r="A142" s="12" t="n"/>
      <c r="B142" s="12" t="n"/>
      <c r="C142" s="2" t="n"/>
      <c r="D142" s="4" t="n"/>
      <c r="E142" s="12" t="n"/>
      <c r="F142" s="2" t="n"/>
      <c r="G142" s="12" t="n"/>
      <c r="H142" s="2">
        <f>IF(G142="","",IFERROR(VLOOKUP(G142,板块观察!A:U,14,FALSE),""))</f>
        <v/>
      </c>
      <c r="I142" s="2">
        <f>IF(G142="","",IFERROR(VLOOKUP(G142,板块观察!A:U,15,FALSE),""))</f>
        <v/>
      </c>
      <c r="J142" s="12" t="n"/>
      <c r="K142" s="12" t="n"/>
      <c r="L142" s="12" t="n"/>
      <c r="M142" s="14" t="n"/>
      <c r="N142" s="12" t="n"/>
      <c r="O142" s="2" t="n"/>
      <c r="P142" s="2" t="n"/>
      <c r="Q142" s="2" t="n"/>
      <c r="R142" s="12" t="n"/>
      <c r="S142" s="12" t="n"/>
      <c r="T142" s="12" t="n"/>
      <c r="U142" s="12" t="n"/>
      <c r="V142" s="12" t="n"/>
      <c r="W142" s="12" t="n"/>
      <c r="X142" s="12" t="n"/>
      <c r="Y142" s="2" t="n"/>
      <c r="Z142" s="5">
        <f>IF(A142="","",(COUNTA(A142:G142)+COUNTA(J142:Y142))/23)</f>
        <v/>
      </c>
      <c r="AA142" s="2">
        <f>IF(B142="","",WORKDAY(B142,3))</f>
        <v/>
      </c>
      <c r="AB142" s="2">
        <f>IF(B142="","",WORKDAY(B142,5))</f>
        <v/>
      </c>
      <c r="AC142" s="2">
        <f>IF(B142="","",WORKDAY(B142,10))</f>
        <v/>
      </c>
      <c r="AD142" s="2" t="n"/>
    </row>
    <row r="143">
      <c r="A143" s="12" t="n"/>
      <c r="B143" s="12" t="n"/>
      <c r="C143" s="2" t="n"/>
      <c r="D143" s="4" t="n"/>
      <c r="E143" s="12" t="n"/>
      <c r="F143" s="2" t="n"/>
      <c r="G143" s="12" t="n"/>
      <c r="H143" s="2">
        <f>IF(G143="","",IFERROR(VLOOKUP(G143,板块观察!A:U,14,FALSE),""))</f>
        <v/>
      </c>
      <c r="I143" s="2">
        <f>IF(G143="","",IFERROR(VLOOKUP(G143,板块观察!A:U,15,FALSE),""))</f>
        <v/>
      </c>
      <c r="J143" s="12" t="n"/>
      <c r="K143" s="12" t="n"/>
      <c r="L143" s="12" t="n"/>
      <c r="M143" s="14" t="n"/>
      <c r="N143" s="12" t="n"/>
      <c r="O143" s="2" t="n"/>
      <c r="P143" s="2" t="n"/>
      <c r="Q143" s="2" t="n"/>
      <c r="R143" s="12" t="n"/>
      <c r="S143" s="12" t="n"/>
      <c r="T143" s="12" t="n"/>
      <c r="U143" s="12" t="n"/>
      <c r="V143" s="12" t="n"/>
      <c r="W143" s="12" t="n"/>
      <c r="X143" s="12" t="n"/>
      <c r="Y143" s="2" t="n"/>
      <c r="Z143" s="5">
        <f>IF(A143="","",(COUNTA(A143:G143)+COUNTA(J143:Y143))/23)</f>
        <v/>
      </c>
      <c r="AA143" s="2">
        <f>IF(B143="","",WORKDAY(B143,3))</f>
        <v/>
      </c>
      <c r="AB143" s="2">
        <f>IF(B143="","",WORKDAY(B143,5))</f>
        <v/>
      </c>
      <c r="AC143" s="2">
        <f>IF(B143="","",WORKDAY(B143,10))</f>
        <v/>
      </c>
      <c r="AD143" s="2" t="n"/>
    </row>
    <row r="144">
      <c r="A144" s="12" t="n"/>
      <c r="B144" s="12" t="n"/>
      <c r="C144" s="2" t="n"/>
      <c r="D144" s="4" t="n"/>
      <c r="E144" s="12" t="n"/>
      <c r="F144" s="2" t="n"/>
      <c r="G144" s="12" t="n"/>
      <c r="H144" s="2">
        <f>IF(G144="","",IFERROR(VLOOKUP(G144,板块观察!A:U,14,FALSE),""))</f>
        <v/>
      </c>
      <c r="I144" s="2">
        <f>IF(G144="","",IFERROR(VLOOKUP(G144,板块观察!A:U,15,FALSE),""))</f>
        <v/>
      </c>
      <c r="J144" s="12" t="n"/>
      <c r="K144" s="12" t="n"/>
      <c r="L144" s="12" t="n"/>
      <c r="M144" s="14" t="n"/>
      <c r="N144" s="12" t="n"/>
      <c r="O144" s="2" t="n"/>
      <c r="P144" s="2" t="n"/>
      <c r="Q144" s="2" t="n"/>
      <c r="R144" s="12" t="n"/>
      <c r="S144" s="12" t="n"/>
      <c r="T144" s="12" t="n"/>
      <c r="U144" s="12" t="n"/>
      <c r="V144" s="12" t="n"/>
      <c r="W144" s="12" t="n"/>
      <c r="X144" s="12" t="n"/>
      <c r="Y144" s="2" t="n"/>
      <c r="Z144" s="5">
        <f>IF(A144="","",(COUNTA(A144:G144)+COUNTA(J144:Y144))/23)</f>
        <v/>
      </c>
      <c r="AA144" s="2">
        <f>IF(B144="","",WORKDAY(B144,3))</f>
        <v/>
      </c>
      <c r="AB144" s="2">
        <f>IF(B144="","",WORKDAY(B144,5))</f>
        <v/>
      </c>
      <c r="AC144" s="2">
        <f>IF(B144="","",WORKDAY(B144,10))</f>
        <v/>
      </c>
      <c r="AD144" s="2" t="n"/>
    </row>
    <row r="145">
      <c r="A145" s="12" t="n"/>
      <c r="B145" s="12" t="n"/>
      <c r="C145" s="2" t="n"/>
      <c r="D145" s="4" t="n"/>
      <c r="E145" s="12" t="n"/>
      <c r="F145" s="2" t="n"/>
      <c r="G145" s="12" t="n"/>
      <c r="H145" s="2">
        <f>IF(G145="","",IFERROR(VLOOKUP(G145,板块观察!A:U,14,FALSE),""))</f>
        <v/>
      </c>
      <c r="I145" s="2">
        <f>IF(G145="","",IFERROR(VLOOKUP(G145,板块观察!A:U,15,FALSE),""))</f>
        <v/>
      </c>
      <c r="J145" s="12" t="n"/>
      <c r="K145" s="12" t="n"/>
      <c r="L145" s="12" t="n"/>
      <c r="M145" s="14" t="n"/>
      <c r="N145" s="12" t="n"/>
      <c r="O145" s="2" t="n"/>
      <c r="P145" s="2" t="n"/>
      <c r="Q145" s="2" t="n"/>
      <c r="R145" s="12" t="n"/>
      <c r="S145" s="12" t="n"/>
      <c r="T145" s="12" t="n"/>
      <c r="U145" s="12" t="n"/>
      <c r="V145" s="12" t="n"/>
      <c r="W145" s="12" t="n"/>
      <c r="X145" s="12" t="n"/>
      <c r="Y145" s="2" t="n"/>
      <c r="Z145" s="5">
        <f>IF(A145="","",(COUNTA(A145:G145)+COUNTA(J145:Y145))/23)</f>
        <v/>
      </c>
      <c r="AA145" s="2">
        <f>IF(B145="","",WORKDAY(B145,3))</f>
        <v/>
      </c>
      <c r="AB145" s="2">
        <f>IF(B145="","",WORKDAY(B145,5))</f>
        <v/>
      </c>
      <c r="AC145" s="2">
        <f>IF(B145="","",WORKDAY(B145,10))</f>
        <v/>
      </c>
      <c r="AD145" s="2" t="n"/>
    </row>
    <row r="146">
      <c r="A146" s="12" t="n"/>
      <c r="B146" s="12" t="n"/>
      <c r="C146" s="2" t="n"/>
      <c r="D146" s="4" t="n"/>
      <c r="E146" s="12" t="n"/>
      <c r="F146" s="2" t="n"/>
      <c r="G146" s="12" t="n"/>
      <c r="H146" s="2">
        <f>IF(G146="","",IFERROR(VLOOKUP(G146,板块观察!A:U,14,FALSE),""))</f>
        <v/>
      </c>
      <c r="I146" s="2">
        <f>IF(G146="","",IFERROR(VLOOKUP(G146,板块观察!A:U,15,FALSE),""))</f>
        <v/>
      </c>
      <c r="J146" s="12" t="n"/>
      <c r="K146" s="12" t="n"/>
      <c r="L146" s="12" t="n"/>
      <c r="M146" s="14" t="n"/>
      <c r="N146" s="12" t="n"/>
      <c r="O146" s="2" t="n"/>
      <c r="P146" s="2" t="n"/>
      <c r="Q146" s="2" t="n"/>
      <c r="R146" s="12" t="n"/>
      <c r="S146" s="12" t="n"/>
      <c r="T146" s="12" t="n"/>
      <c r="U146" s="12" t="n"/>
      <c r="V146" s="12" t="n"/>
      <c r="W146" s="12" t="n"/>
      <c r="X146" s="12" t="n"/>
      <c r="Y146" s="2" t="n"/>
      <c r="Z146" s="5">
        <f>IF(A146="","",(COUNTA(A146:G146)+COUNTA(J146:Y146))/23)</f>
        <v/>
      </c>
      <c r="AA146" s="2">
        <f>IF(B146="","",WORKDAY(B146,3))</f>
        <v/>
      </c>
      <c r="AB146" s="2">
        <f>IF(B146="","",WORKDAY(B146,5))</f>
        <v/>
      </c>
      <c r="AC146" s="2">
        <f>IF(B146="","",WORKDAY(B146,10))</f>
        <v/>
      </c>
      <c r="AD146" s="2" t="n"/>
    </row>
    <row r="147">
      <c r="A147" s="12" t="n"/>
      <c r="B147" s="12" t="n"/>
      <c r="C147" s="2" t="n"/>
      <c r="D147" s="4" t="n"/>
      <c r="E147" s="12" t="n"/>
      <c r="F147" s="2" t="n"/>
      <c r="G147" s="12" t="n"/>
      <c r="H147" s="2">
        <f>IF(G147="","",IFERROR(VLOOKUP(G147,板块观察!A:U,14,FALSE),""))</f>
        <v/>
      </c>
      <c r="I147" s="2">
        <f>IF(G147="","",IFERROR(VLOOKUP(G147,板块观察!A:U,15,FALSE),""))</f>
        <v/>
      </c>
      <c r="J147" s="12" t="n"/>
      <c r="K147" s="12" t="n"/>
      <c r="L147" s="12" t="n"/>
      <c r="M147" s="14" t="n"/>
      <c r="N147" s="12" t="n"/>
      <c r="O147" s="2" t="n"/>
      <c r="P147" s="2" t="n"/>
      <c r="Q147" s="2" t="n"/>
      <c r="R147" s="12" t="n"/>
      <c r="S147" s="12" t="n"/>
      <c r="T147" s="12" t="n"/>
      <c r="U147" s="12" t="n"/>
      <c r="V147" s="12" t="n"/>
      <c r="W147" s="12" t="n"/>
      <c r="X147" s="12" t="n"/>
      <c r="Y147" s="2" t="n"/>
      <c r="Z147" s="5">
        <f>IF(A147="","",(COUNTA(A147:G147)+COUNTA(J147:Y147))/23)</f>
        <v/>
      </c>
      <c r="AA147" s="2">
        <f>IF(B147="","",WORKDAY(B147,3))</f>
        <v/>
      </c>
      <c r="AB147" s="2">
        <f>IF(B147="","",WORKDAY(B147,5))</f>
        <v/>
      </c>
      <c r="AC147" s="2">
        <f>IF(B147="","",WORKDAY(B147,10))</f>
        <v/>
      </c>
      <c r="AD147" s="2" t="n"/>
    </row>
    <row r="148">
      <c r="A148" s="12" t="n"/>
      <c r="B148" s="12" t="n"/>
      <c r="C148" s="2" t="n"/>
      <c r="D148" s="4" t="n"/>
      <c r="E148" s="12" t="n"/>
      <c r="F148" s="2" t="n"/>
      <c r="G148" s="12" t="n"/>
      <c r="H148" s="2">
        <f>IF(G148="","",IFERROR(VLOOKUP(G148,板块观察!A:U,14,FALSE),""))</f>
        <v/>
      </c>
      <c r="I148" s="2">
        <f>IF(G148="","",IFERROR(VLOOKUP(G148,板块观察!A:U,15,FALSE),""))</f>
        <v/>
      </c>
      <c r="J148" s="12" t="n"/>
      <c r="K148" s="12" t="n"/>
      <c r="L148" s="12" t="n"/>
      <c r="M148" s="14" t="n"/>
      <c r="N148" s="12" t="n"/>
      <c r="O148" s="2" t="n"/>
      <c r="P148" s="2" t="n"/>
      <c r="Q148" s="2" t="n"/>
      <c r="R148" s="12" t="n"/>
      <c r="S148" s="12" t="n"/>
      <c r="T148" s="12" t="n"/>
      <c r="U148" s="12" t="n"/>
      <c r="V148" s="12" t="n"/>
      <c r="W148" s="12" t="n"/>
      <c r="X148" s="12" t="n"/>
      <c r="Y148" s="2" t="n"/>
      <c r="Z148" s="5">
        <f>IF(A148="","",(COUNTA(A148:G148)+COUNTA(J148:Y148))/23)</f>
        <v/>
      </c>
      <c r="AA148" s="2">
        <f>IF(B148="","",WORKDAY(B148,3))</f>
        <v/>
      </c>
      <c r="AB148" s="2">
        <f>IF(B148="","",WORKDAY(B148,5))</f>
        <v/>
      </c>
      <c r="AC148" s="2">
        <f>IF(B148="","",WORKDAY(B148,10))</f>
        <v/>
      </c>
      <c r="AD148" s="2" t="n"/>
    </row>
    <row r="149">
      <c r="A149" s="12" t="n"/>
      <c r="B149" s="12" t="n"/>
      <c r="C149" s="2" t="n"/>
      <c r="D149" s="4" t="n"/>
      <c r="E149" s="12" t="n"/>
      <c r="F149" s="2" t="n"/>
      <c r="G149" s="12" t="n"/>
      <c r="H149" s="2">
        <f>IF(G149="","",IFERROR(VLOOKUP(G149,板块观察!A:U,14,FALSE),""))</f>
        <v/>
      </c>
      <c r="I149" s="2">
        <f>IF(G149="","",IFERROR(VLOOKUP(G149,板块观察!A:U,15,FALSE),""))</f>
        <v/>
      </c>
      <c r="J149" s="12" t="n"/>
      <c r="K149" s="12" t="n"/>
      <c r="L149" s="12" t="n"/>
      <c r="M149" s="14" t="n"/>
      <c r="N149" s="12" t="n"/>
      <c r="O149" s="2" t="n"/>
      <c r="P149" s="2" t="n"/>
      <c r="Q149" s="2" t="n"/>
      <c r="R149" s="12" t="n"/>
      <c r="S149" s="12" t="n"/>
      <c r="T149" s="12" t="n"/>
      <c r="U149" s="12" t="n"/>
      <c r="V149" s="12" t="n"/>
      <c r="W149" s="12" t="n"/>
      <c r="X149" s="12" t="n"/>
      <c r="Y149" s="2" t="n"/>
      <c r="Z149" s="5">
        <f>IF(A149="","",(COUNTA(A149:G149)+COUNTA(J149:Y149))/23)</f>
        <v/>
      </c>
      <c r="AA149" s="2">
        <f>IF(B149="","",WORKDAY(B149,3))</f>
        <v/>
      </c>
      <c r="AB149" s="2">
        <f>IF(B149="","",WORKDAY(B149,5))</f>
        <v/>
      </c>
      <c r="AC149" s="2">
        <f>IF(B149="","",WORKDAY(B149,10))</f>
        <v/>
      </c>
      <c r="AD149" s="2" t="n"/>
    </row>
    <row r="150">
      <c r="A150" s="12" t="n"/>
      <c r="B150" s="12" t="n"/>
      <c r="C150" s="2" t="n"/>
      <c r="D150" s="4" t="n"/>
      <c r="E150" s="12" t="n"/>
      <c r="F150" s="2" t="n"/>
      <c r="G150" s="12" t="n"/>
      <c r="H150" s="2">
        <f>IF(G150="","",IFERROR(VLOOKUP(G150,板块观察!A:U,14,FALSE),""))</f>
        <v/>
      </c>
      <c r="I150" s="2">
        <f>IF(G150="","",IFERROR(VLOOKUP(G150,板块观察!A:U,15,FALSE),""))</f>
        <v/>
      </c>
      <c r="J150" s="12" t="n"/>
      <c r="K150" s="12" t="n"/>
      <c r="L150" s="12" t="n"/>
      <c r="M150" s="14" t="n"/>
      <c r="N150" s="12" t="n"/>
      <c r="O150" s="2" t="n"/>
      <c r="P150" s="2" t="n"/>
      <c r="Q150" s="2" t="n"/>
      <c r="R150" s="12" t="n"/>
      <c r="S150" s="12" t="n"/>
      <c r="T150" s="12" t="n"/>
      <c r="U150" s="12" t="n"/>
      <c r="V150" s="12" t="n"/>
      <c r="W150" s="12" t="n"/>
      <c r="X150" s="12" t="n"/>
      <c r="Y150" s="2" t="n"/>
      <c r="Z150" s="5">
        <f>IF(A150="","",(COUNTA(A150:G150)+COUNTA(J150:Y150))/23)</f>
        <v/>
      </c>
      <c r="AA150" s="2">
        <f>IF(B150="","",WORKDAY(B150,3))</f>
        <v/>
      </c>
      <c r="AB150" s="2">
        <f>IF(B150="","",WORKDAY(B150,5))</f>
        <v/>
      </c>
      <c r="AC150" s="2">
        <f>IF(B150="","",WORKDAY(B150,10))</f>
        <v/>
      </c>
      <c r="AD150" s="2" t="n"/>
    </row>
    <row r="151">
      <c r="A151" s="12" t="n"/>
      <c r="B151" s="12" t="n"/>
      <c r="C151" s="2" t="n"/>
      <c r="D151" s="4" t="n"/>
      <c r="E151" s="12" t="n"/>
      <c r="F151" s="2" t="n"/>
      <c r="G151" s="12" t="n"/>
      <c r="H151" s="2">
        <f>IF(G151="","",IFERROR(VLOOKUP(G151,板块观察!A:U,14,FALSE),""))</f>
        <v/>
      </c>
      <c r="I151" s="2">
        <f>IF(G151="","",IFERROR(VLOOKUP(G151,板块观察!A:U,15,FALSE),""))</f>
        <v/>
      </c>
      <c r="J151" s="12" t="n"/>
      <c r="K151" s="12" t="n"/>
      <c r="L151" s="12" t="n"/>
      <c r="M151" s="14" t="n"/>
      <c r="N151" s="12" t="n"/>
      <c r="O151" s="2" t="n"/>
      <c r="P151" s="2" t="n"/>
      <c r="Q151" s="2" t="n"/>
      <c r="R151" s="12" t="n"/>
      <c r="S151" s="12" t="n"/>
      <c r="T151" s="12" t="n"/>
      <c r="U151" s="12" t="n"/>
      <c r="V151" s="12" t="n"/>
      <c r="W151" s="12" t="n"/>
      <c r="X151" s="12" t="n"/>
      <c r="Y151" s="2" t="n"/>
      <c r="Z151" s="5">
        <f>IF(A151="","",(COUNTA(A151:G151)+COUNTA(J151:Y151))/23)</f>
        <v/>
      </c>
      <c r="AA151" s="2">
        <f>IF(B151="","",WORKDAY(B151,3))</f>
        <v/>
      </c>
      <c r="AB151" s="2">
        <f>IF(B151="","",WORKDAY(B151,5))</f>
        <v/>
      </c>
      <c r="AC151" s="2">
        <f>IF(B151="","",WORKDAY(B151,10))</f>
        <v/>
      </c>
      <c r="AD151" s="2" t="n"/>
    </row>
    <row r="152">
      <c r="A152" s="12" t="n"/>
      <c r="B152" s="12" t="n"/>
      <c r="C152" s="2" t="n"/>
      <c r="D152" s="4" t="n"/>
      <c r="E152" s="12" t="n"/>
      <c r="F152" s="2" t="n"/>
      <c r="G152" s="12" t="n"/>
      <c r="H152" s="2">
        <f>IF(G152="","",IFERROR(VLOOKUP(G152,板块观察!A:U,14,FALSE),""))</f>
        <v/>
      </c>
      <c r="I152" s="2">
        <f>IF(G152="","",IFERROR(VLOOKUP(G152,板块观察!A:U,15,FALSE),""))</f>
        <v/>
      </c>
      <c r="J152" s="12" t="n"/>
      <c r="K152" s="12" t="n"/>
      <c r="L152" s="12" t="n"/>
      <c r="M152" s="14" t="n"/>
      <c r="N152" s="12" t="n"/>
      <c r="O152" s="2" t="n"/>
      <c r="P152" s="2" t="n"/>
      <c r="Q152" s="2" t="n"/>
      <c r="R152" s="12" t="n"/>
      <c r="S152" s="12" t="n"/>
      <c r="T152" s="12" t="n"/>
      <c r="U152" s="12" t="n"/>
      <c r="V152" s="12" t="n"/>
      <c r="W152" s="12" t="n"/>
      <c r="X152" s="12" t="n"/>
      <c r="Y152" s="2" t="n"/>
      <c r="Z152" s="5">
        <f>IF(A152="","",(COUNTA(A152:G152)+COUNTA(J152:Y152))/23)</f>
        <v/>
      </c>
      <c r="AA152" s="2">
        <f>IF(B152="","",WORKDAY(B152,3))</f>
        <v/>
      </c>
      <c r="AB152" s="2">
        <f>IF(B152="","",WORKDAY(B152,5))</f>
        <v/>
      </c>
      <c r="AC152" s="2">
        <f>IF(B152="","",WORKDAY(B152,10))</f>
        <v/>
      </c>
      <c r="AD152" s="2" t="n"/>
    </row>
    <row r="153">
      <c r="A153" s="12" t="n"/>
      <c r="B153" s="12" t="n"/>
      <c r="C153" s="2" t="n"/>
      <c r="D153" s="4" t="n"/>
      <c r="E153" s="12" t="n"/>
      <c r="F153" s="2" t="n"/>
      <c r="G153" s="12" t="n"/>
      <c r="H153" s="2">
        <f>IF(G153="","",IFERROR(VLOOKUP(G153,板块观察!A:U,14,FALSE),""))</f>
        <v/>
      </c>
      <c r="I153" s="2">
        <f>IF(G153="","",IFERROR(VLOOKUP(G153,板块观察!A:U,15,FALSE),""))</f>
        <v/>
      </c>
      <c r="J153" s="12" t="n"/>
      <c r="K153" s="12" t="n"/>
      <c r="L153" s="12" t="n"/>
      <c r="M153" s="14" t="n"/>
      <c r="N153" s="12" t="n"/>
      <c r="O153" s="2" t="n"/>
      <c r="P153" s="2" t="n"/>
      <c r="Q153" s="2" t="n"/>
      <c r="R153" s="12" t="n"/>
      <c r="S153" s="12" t="n"/>
      <c r="T153" s="12" t="n"/>
      <c r="U153" s="12" t="n"/>
      <c r="V153" s="12" t="n"/>
      <c r="W153" s="12" t="n"/>
      <c r="X153" s="12" t="n"/>
      <c r="Y153" s="2" t="n"/>
      <c r="Z153" s="5">
        <f>IF(A153="","",(COUNTA(A153:G153)+COUNTA(J153:Y153))/23)</f>
        <v/>
      </c>
      <c r="AA153" s="2">
        <f>IF(B153="","",WORKDAY(B153,3))</f>
        <v/>
      </c>
      <c r="AB153" s="2">
        <f>IF(B153="","",WORKDAY(B153,5))</f>
        <v/>
      </c>
      <c r="AC153" s="2">
        <f>IF(B153="","",WORKDAY(B153,10))</f>
        <v/>
      </c>
      <c r="AD153" s="2" t="n"/>
    </row>
    <row r="154">
      <c r="A154" s="12" t="n"/>
      <c r="B154" s="12" t="n"/>
      <c r="C154" s="2" t="n"/>
      <c r="D154" s="4" t="n"/>
      <c r="E154" s="12" t="n"/>
      <c r="F154" s="2" t="n"/>
      <c r="G154" s="12" t="n"/>
      <c r="H154" s="2">
        <f>IF(G154="","",IFERROR(VLOOKUP(G154,板块观察!A:U,14,FALSE),""))</f>
        <v/>
      </c>
      <c r="I154" s="2">
        <f>IF(G154="","",IFERROR(VLOOKUP(G154,板块观察!A:U,15,FALSE),""))</f>
        <v/>
      </c>
      <c r="J154" s="12" t="n"/>
      <c r="K154" s="12" t="n"/>
      <c r="L154" s="12" t="n"/>
      <c r="M154" s="14" t="n"/>
      <c r="N154" s="12" t="n"/>
      <c r="O154" s="2" t="n"/>
      <c r="P154" s="2" t="n"/>
      <c r="Q154" s="2" t="n"/>
      <c r="R154" s="12" t="n"/>
      <c r="S154" s="12" t="n"/>
      <c r="T154" s="12" t="n"/>
      <c r="U154" s="12" t="n"/>
      <c r="V154" s="12" t="n"/>
      <c r="W154" s="12" t="n"/>
      <c r="X154" s="12" t="n"/>
      <c r="Y154" s="2" t="n"/>
      <c r="Z154" s="5">
        <f>IF(A154="","",(COUNTA(A154:G154)+COUNTA(J154:Y154))/23)</f>
        <v/>
      </c>
      <c r="AA154" s="2">
        <f>IF(B154="","",WORKDAY(B154,3))</f>
        <v/>
      </c>
      <c r="AB154" s="2">
        <f>IF(B154="","",WORKDAY(B154,5))</f>
        <v/>
      </c>
      <c r="AC154" s="2">
        <f>IF(B154="","",WORKDAY(B154,10))</f>
        <v/>
      </c>
      <c r="AD154" s="2" t="n"/>
    </row>
    <row r="155">
      <c r="A155" s="12" t="n"/>
      <c r="B155" s="12" t="n"/>
      <c r="C155" s="2" t="n"/>
      <c r="D155" s="4" t="n"/>
      <c r="E155" s="12" t="n"/>
      <c r="F155" s="2" t="n"/>
      <c r="G155" s="12" t="n"/>
      <c r="H155" s="2">
        <f>IF(G155="","",IFERROR(VLOOKUP(G155,板块观察!A:U,14,FALSE),""))</f>
        <v/>
      </c>
      <c r="I155" s="2">
        <f>IF(G155="","",IFERROR(VLOOKUP(G155,板块观察!A:U,15,FALSE),""))</f>
        <v/>
      </c>
      <c r="J155" s="12" t="n"/>
      <c r="K155" s="12" t="n"/>
      <c r="L155" s="12" t="n"/>
      <c r="M155" s="14" t="n"/>
      <c r="N155" s="12" t="n"/>
      <c r="O155" s="2" t="n"/>
      <c r="P155" s="2" t="n"/>
      <c r="Q155" s="2" t="n"/>
      <c r="R155" s="12" t="n"/>
      <c r="S155" s="12" t="n"/>
      <c r="T155" s="12" t="n"/>
      <c r="U155" s="12" t="n"/>
      <c r="V155" s="12" t="n"/>
      <c r="W155" s="12" t="n"/>
      <c r="X155" s="12" t="n"/>
      <c r="Y155" s="2" t="n"/>
      <c r="Z155" s="5">
        <f>IF(A155="","",(COUNTA(A155:G155)+COUNTA(J155:Y155))/23)</f>
        <v/>
      </c>
      <c r="AA155" s="2">
        <f>IF(B155="","",WORKDAY(B155,3))</f>
        <v/>
      </c>
      <c r="AB155" s="2">
        <f>IF(B155="","",WORKDAY(B155,5))</f>
        <v/>
      </c>
      <c r="AC155" s="2">
        <f>IF(B155="","",WORKDAY(B155,10))</f>
        <v/>
      </c>
      <c r="AD155" s="2" t="n"/>
    </row>
    <row r="156">
      <c r="A156" s="12" t="n"/>
      <c r="B156" s="12" t="n"/>
      <c r="C156" s="2" t="n"/>
      <c r="D156" s="4" t="n"/>
      <c r="E156" s="12" t="n"/>
      <c r="F156" s="2" t="n"/>
      <c r="G156" s="12" t="n"/>
      <c r="H156" s="2">
        <f>IF(G156="","",IFERROR(VLOOKUP(G156,板块观察!A:U,14,FALSE),""))</f>
        <v/>
      </c>
      <c r="I156" s="2">
        <f>IF(G156="","",IFERROR(VLOOKUP(G156,板块观察!A:U,15,FALSE),""))</f>
        <v/>
      </c>
      <c r="J156" s="12" t="n"/>
      <c r="K156" s="12" t="n"/>
      <c r="L156" s="12" t="n"/>
      <c r="M156" s="14" t="n"/>
      <c r="N156" s="12" t="n"/>
      <c r="O156" s="2" t="n"/>
      <c r="P156" s="2" t="n"/>
      <c r="Q156" s="2" t="n"/>
      <c r="R156" s="12" t="n"/>
      <c r="S156" s="12" t="n"/>
      <c r="T156" s="12" t="n"/>
      <c r="U156" s="12" t="n"/>
      <c r="V156" s="12" t="n"/>
      <c r="W156" s="12" t="n"/>
      <c r="X156" s="12" t="n"/>
      <c r="Y156" s="2" t="n"/>
      <c r="Z156" s="5">
        <f>IF(A156="","",(COUNTA(A156:G156)+COUNTA(J156:Y156))/23)</f>
        <v/>
      </c>
      <c r="AA156" s="2">
        <f>IF(B156="","",WORKDAY(B156,3))</f>
        <v/>
      </c>
      <c r="AB156" s="2">
        <f>IF(B156="","",WORKDAY(B156,5))</f>
        <v/>
      </c>
      <c r="AC156" s="2">
        <f>IF(B156="","",WORKDAY(B156,10))</f>
        <v/>
      </c>
      <c r="AD156" s="2" t="n"/>
    </row>
    <row r="157">
      <c r="A157" s="12" t="n"/>
      <c r="B157" s="12" t="n"/>
      <c r="C157" s="2" t="n"/>
      <c r="D157" s="4" t="n"/>
      <c r="E157" s="12" t="n"/>
      <c r="F157" s="2" t="n"/>
      <c r="G157" s="12" t="n"/>
      <c r="H157" s="2">
        <f>IF(G157="","",IFERROR(VLOOKUP(G157,板块观察!A:U,14,FALSE),""))</f>
        <v/>
      </c>
      <c r="I157" s="2">
        <f>IF(G157="","",IFERROR(VLOOKUP(G157,板块观察!A:U,15,FALSE),""))</f>
        <v/>
      </c>
      <c r="J157" s="12" t="n"/>
      <c r="K157" s="12" t="n"/>
      <c r="L157" s="12" t="n"/>
      <c r="M157" s="14" t="n"/>
      <c r="N157" s="12" t="n"/>
      <c r="O157" s="2" t="n"/>
      <c r="P157" s="2" t="n"/>
      <c r="Q157" s="2" t="n"/>
      <c r="R157" s="12" t="n"/>
      <c r="S157" s="12" t="n"/>
      <c r="T157" s="12" t="n"/>
      <c r="U157" s="12" t="n"/>
      <c r="V157" s="12" t="n"/>
      <c r="W157" s="12" t="n"/>
      <c r="X157" s="12" t="n"/>
      <c r="Y157" s="2" t="n"/>
      <c r="Z157" s="5">
        <f>IF(A157="","",(COUNTA(A157:G157)+COUNTA(J157:Y157))/23)</f>
        <v/>
      </c>
      <c r="AA157" s="2">
        <f>IF(B157="","",WORKDAY(B157,3))</f>
        <v/>
      </c>
      <c r="AB157" s="2">
        <f>IF(B157="","",WORKDAY(B157,5))</f>
        <v/>
      </c>
      <c r="AC157" s="2">
        <f>IF(B157="","",WORKDAY(B157,10))</f>
        <v/>
      </c>
      <c r="AD157" s="2" t="n"/>
    </row>
    <row r="158">
      <c r="A158" s="12" t="n"/>
      <c r="B158" s="12" t="n"/>
      <c r="C158" s="2" t="n"/>
      <c r="D158" s="4" t="n"/>
      <c r="E158" s="12" t="n"/>
      <c r="F158" s="2" t="n"/>
      <c r="G158" s="12" t="n"/>
      <c r="H158" s="2">
        <f>IF(G158="","",IFERROR(VLOOKUP(G158,板块观察!A:U,14,FALSE),""))</f>
        <v/>
      </c>
      <c r="I158" s="2">
        <f>IF(G158="","",IFERROR(VLOOKUP(G158,板块观察!A:U,15,FALSE),""))</f>
        <v/>
      </c>
      <c r="J158" s="12" t="n"/>
      <c r="K158" s="12" t="n"/>
      <c r="L158" s="12" t="n"/>
      <c r="M158" s="14" t="n"/>
      <c r="N158" s="12" t="n"/>
      <c r="O158" s="2" t="n"/>
      <c r="P158" s="2" t="n"/>
      <c r="Q158" s="2" t="n"/>
      <c r="R158" s="12" t="n"/>
      <c r="S158" s="12" t="n"/>
      <c r="T158" s="12" t="n"/>
      <c r="U158" s="12" t="n"/>
      <c r="V158" s="12" t="n"/>
      <c r="W158" s="12" t="n"/>
      <c r="X158" s="12" t="n"/>
      <c r="Y158" s="2" t="n"/>
      <c r="Z158" s="5">
        <f>IF(A158="","",(COUNTA(A158:G158)+COUNTA(J158:Y158))/23)</f>
        <v/>
      </c>
      <c r="AA158" s="2">
        <f>IF(B158="","",WORKDAY(B158,3))</f>
        <v/>
      </c>
      <c r="AB158" s="2">
        <f>IF(B158="","",WORKDAY(B158,5))</f>
        <v/>
      </c>
      <c r="AC158" s="2">
        <f>IF(B158="","",WORKDAY(B158,10))</f>
        <v/>
      </c>
      <c r="AD158" s="2" t="n"/>
    </row>
    <row r="159">
      <c r="A159" s="12" t="n"/>
      <c r="B159" s="12" t="n"/>
      <c r="C159" s="2" t="n"/>
      <c r="D159" s="4" t="n"/>
      <c r="E159" s="12" t="n"/>
      <c r="F159" s="2" t="n"/>
      <c r="G159" s="12" t="n"/>
      <c r="H159" s="2">
        <f>IF(G159="","",IFERROR(VLOOKUP(G159,板块观察!A:U,14,FALSE),""))</f>
        <v/>
      </c>
      <c r="I159" s="2">
        <f>IF(G159="","",IFERROR(VLOOKUP(G159,板块观察!A:U,15,FALSE),""))</f>
        <v/>
      </c>
      <c r="J159" s="12" t="n"/>
      <c r="K159" s="12" t="n"/>
      <c r="L159" s="12" t="n"/>
      <c r="M159" s="14" t="n"/>
      <c r="N159" s="12" t="n"/>
      <c r="O159" s="2" t="n"/>
      <c r="P159" s="2" t="n"/>
      <c r="Q159" s="2" t="n"/>
      <c r="R159" s="12" t="n"/>
      <c r="S159" s="12" t="n"/>
      <c r="T159" s="12" t="n"/>
      <c r="U159" s="12" t="n"/>
      <c r="V159" s="12" t="n"/>
      <c r="W159" s="12" t="n"/>
      <c r="X159" s="12" t="n"/>
      <c r="Y159" s="2" t="n"/>
      <c r="Z159" s="5">
        <f>IF(A159="","",(COUNTA(A159:G159)+COUNTA(J159:Y159))/23)</f>
        <v/>
      </c>
      <c r="AA159" s="2">
        <f>IF(B159="","",WORKDAY(B159,3))</f>
        <v/>
      </c>
      <c r="AB159" s="2">
        <f>IF(B159="","",WORKDAY(B159,5))</f>
        <v/>
      </c>
      <c r="AC159" s="2">
        <f>IF(B159="","",WORKDAY(B159,10))</f>
        <v/>
      </c>
      <c r="AD159" s="2" t="n"/>
    </row>
    <row r="160">
      <c r="A160" s="12" t="n"/>
      <c r="B160" s="12" t="n"/>
      <c r="C160" s="2" t="n"/>
      <c r="D160" s="4" t="n"/>
      <c r="E160" s="12" t="n"/>
      <c r="F160" s="2" t="n"/>
      <c r="G160" s="12" t="n"/>
      <c r="H160" s="2">
        <f>IF(G160="","",IFERROR(VLOOKUP(G160,板块观察!A:U,14,FALSE),""))</f>
        <v/>
      </c>
      <c r="I160" s="2">
        <f>IF(G160="","",IFERROR(VLOOKUP(G160,板块观察!A:U,15,FALSE),""))</f>
        <v/>
      </c>
      <c r="J160" s="12" t="n"/>
      <c r="K160" s="12" t="n"/>
      <c r="L160" s="12" t="n"/>
      <c r="M160" s="14" t="n"/>
      <c r="N160" s="12" t="n"/>
      <c r="O160" s="2" t="n"/>
      <c r="P160" s="2" t="n"/>
      <c r="Q160" s="2" t="n"/>
      <c r="R160" s="12" t="n"/>
      <c r="S160" s="12" t="n"/>
      <c r="T160" s="12" t="n"/>
      <c r="U160" s="12" t="n"/>
      <c r="V160" s="12" t="n"/>
      <c r="W160" s="12" t="n"/>
      <c r="X160" s="12" t="n"/>
      <c r="Y160" s="2" t="n"/>
      <c r="Z160" s="5">
        <f>IF(A160="","",(COUNTA(A160:G160)+COUNTA(J160:Y160))/23)</f>
        <v/>
      </c>
      <c r="AA160" s="2">
        <f>IF(B160="","",WORKDAY(B160,3))</f>
        <v/>
      </c>
      <c r="AB160" s="2">
        <f>IF(B160="","",WORKDAY(B160,5))</f>
        <v/>
      </c>
      <c r="AC160" s="2">
        <f>IF(B160="","",WORKDAY(B160,10))</f>
        <v/>
      </c>
      <c r="AD160" s="2" t="n"/>
    </row>
    <row r="161">
      <c r="A161" s="12" t="n"/>
      <c r="B161" s="12" t="n"/>
      <c r="C161" s="2" t="n"/>
      <c r="D161" s="4" t="n"/>
      <c r="E161" s="12" t="n"/>
      <c r="F161" s="2" t="n"/>
      <c r="G161" s="12" t="n"/>
      <c r="H161" s="2">
        <f>IF(G161="","",IFERROR(VLOOKUP(G161,板块观察!A:U,14,FALSE),""))</f>
        <v/>
      </c>
      <c r="I161" s="2">
        <f>IF(G161="","",IFERROR(VLOOKUP(G161,板块观察!A:U,15,FALSE),""))</f>
        <v/>
      </c>
      <c r="J161" s="12" t="n"/>
      <c r="K161" s="12" t="n"/>
      <c r="L161" s="12" t="n"/>
      <c r="M161" s="14" t="n"/>
      <c r="N161" s="12" t="n"/>
      <c r="O161" s="2" t="n"/>
      <c r="P161" s="2" t="n"/>
      <c r="Q161" s="2" t="n"/>
      <c r="R161" s="12" t="n"/>
      <c r="S161" s="12" t="n"/>
      <c r="T161" s="12" t="n"/>
      <c r="U161" s="12" t="n"/>
      <c r="V161" s="12" t="n"/>
      <c r="W161" s="12" t="n"/>
      <c r="X161" s="12" t="n"/>
      <c r="Y161" s="2" t="n"/>
      <c r="Z161" s="5">
        <f>IF(A161="","",(COUNTA(A161:G161)+COUNTA(J161:Y161))/23)</f>
        <v/>
      </c>
      <c r="AA161" s="2">
        <f>IF(B161="","",WORKDAY(B161,3))</f>
        <v/>
      </c>
      <c r="AB161" s="2">
        <f>IF(B161="","",WORKDAY(B161,5))</f>
        <v/>
      </c>
      <c r="AC161" s="2">
        <f>IF(B161="","",WORKDAY(B161,10))</f>
        <v/>
      </c>
      <c r="AD161" s="2" t="n"/>
    </row>
    <row r="162">
      <c r="A162" s="12" t="n"/>
      <c r="B162" s="12" t="n"/>
      <c r="C162" s="2" t="n"/>
      <c r="D162" s="4" t="n"/>
      <c r="E162" s="12" t="n"/>
      <c r="F162" s="2" t="n"/>
      <c r="G162" s="12" t="n"/>
      <c r="H162" s="2">
        <f>IF(G162="","",IFERROR(VLOOKUP(G162,板块观察!A:U,14,FALSE),""))</f>
        <v/>
      </c>
      <c r="I162" s="2">
        <f>IF(G162="","",IFERROR(VLOOKUP(G162,板块观察!A:U,15,FALSE),""))</f>
        <v/>
      </c>
      <c r="J162" s="12" t="n"/>
      <c r="K162" s="12" t="n"/>
      <c r="L162" s="12" t="n"/>
      <c r="M162" s="14" t="n"/>
      <c r="N162" s="12" t="n"/>
      <c r="O162" s="2" t="n"/>
      <c r="P162" s="2" t="n"/>
      <c r="Q162" s="2" t="n"/>
      <c r="R162" s="12" t="n"/>
      <c r="S162" s="12" t="n"/>
      <c r="T162" s="12" t="n"/>
      <c r="U162" s="12" t="n"/>
      <c r="V162" s="12" t="n"/>
      <c r="W162" s="12" t="n"/>
      <c r="X162" s="12" t="n"/>
      <c r="Y162" s="2" t="n"/>
      <c r="Z162" s="5">
        <f>IF(A162="","",(COUNTA(A162:G162)+COUNTA(J162:Y162))/23)</f>
        <v/>
      </c>
      <c r="AA162" s="2">
        <f>IF(B162="","",WORKDAY(B162,3))</f>
        <v/>
      </c>
      <c r="AB162" s="2">
        <f>IF(B162="","",WORKDAY(B162,5))</f>
        <v/>
      </c>
      <c r="AC162" s="2">
        <f>IF(B162="","",WORKDAY(B162,10))</f>
        <v/>
      </c>
      <c r="AD162" s="2" t="n"/>
    </row>
    <row r="163">
      <c r="A163" s="12" t="n"/>
      <c r="B163" s="12" t="n"/>
      <c r="C163" s="2" t="n"/>
      <c r="D163" s="4" t="n"/>
      <c r="E163" s="12" t="n"/>
      <c r="F163" s="2" t="n"/>
      <c r="G163" s="12" t="n"/>
      <c r="H163" s="2">
        <f>IF(G163="","",IFERROR(VLOOKUP(G163,板块观察!A:U,14,FALSE),""))</f>
        <v/>
      </c>
      <c r="I163" s="2">
        <f>IF(G163="","",IFERROR(VLOOKUP(G163,板块观察!A:U,15,FALSE),""))</f>
        <v/>
      </c>
      <c r="J163" s="12" t="n"/>
      <c r="K163" s="12" t="n"/>
      <c r="L163" s="12" t="n"/>
      <c r="M163" s="14" t="n"/>
      <c r="N163" s="12" t="n"/>
      <c r="O163" s="2" t="n"/>
      <c r="P163" s="2" t="n"/>
      <c r="Q163" s="2" t="n"/>
      <c r="R163" s="12" t="n"/>
      <c r="S163" s="12" t="n"/>
      <c r="T163" s="12" t="n"/>
      <c r="U163" s="12" t="n"/>
      <c r="V163" s="12" t="n"/>
      <c r="W163" s="12" t="n"/>
      <c r="X163" s="12" t="n"/>
      <c r="Y163" s="2" t="n"/>
      <c r="Z163" s="5">
        <f>IF(A163="","",(COUNTA(A163:G163)+COUNTA(J163:Y163))/23)</f>
        <v/>
      </c>
      <c r="AA163" s="2">
        <f>IF(B163="","",WORKDAY(B163,3))</f>
        <v/>
      </c>
      <c r="AB163" s="2">
        <f>IF(B163="","",WORKDAY(B163,5))</f>
        <v/>
      </c>
      <c r="AC163" s="2">
        <f>IF(B163="","",WORKDAY(B163,10))</f>
        <v/>
      </c>
      <c r="AD163" s="2" t="n"/>
    </row>
    <row r="164">
      <c r="A164" s="12" t="n"/>
      <c r="B164" s="12" t="n"/>
      <c r="C164" s="2" t="n"/>
      <c r="D164" s="4" t="n"/>
      <c r="E164" s="12" t="n"/>
      <c r="F164" s="2" t="n"/>
      <c r="G164" s="12" t="n"/>
      <c r="H164" s="2">
        <f>IF(G164="","",IFERROR(VLOOKUP(G164,板块观察!A:U,14,FALSE),""))</f>
        <v/>
      </c>
      <c r="I164" s="2">
        <f>IF(G164="","",IFERROR(VLOOKUP(G164,板块观察!A:U,15,FALSE),""))</f>
        <v/>
      </c>
      <c r="J164" s="12" t="n"/>
      <c r="K164" s="12" t="n"/>
      <c r="L164" s="12" t="n"/>
      <c r="M164" s="14" t="n"/>
      <c r="N164" s="12" t="n"/>
      <c r="O164" s="2" t="n"/>
      <c r="P164" s="2" t="n"/>
      <c r="Q164" s="2" t="n"/>
      <c r="R164" s="12" t="n"/>
      <c r="S164" s="12" t="n"/>
      <c r="T164" s="12" t="n"/>
      <c r="U164" s="12" t="n"/>
      <c r="V164" s="12" t="n"/>
      <c r="W164" s="12" t="n"/>
      <c r="X164" s="12" t="n"/>
      <c r="Y164" s="2" t="n"/>
      <c r="Z164" s="5">
        <f>IF(A164="","",(COUNTA(A164:G164)+COUNTA(J164:Y164))/23)</f>
        <v/>
      </c>
      <c r="AA164" s="2">
        <f>IF(B164="","",WORKDAY(B164,3))</f>
        <v/>
      </c>
      <c r="AB164" s="2">
        <f>IF(B164="","",WORKDAY(B164,5))</f>
        <v/>
      </c>
      <c r="AC164" s="2">
        <f>IF(B164="","",WORKDAY(B164,10))</f>
        <v/>
      </c>
      <c r="AD164" s="2" t="n"/>
    </row>
    <row r="165">
      <c r="A165" s="12" t="n"/>
      <c r="B165" s="12" t="n"/>
      <c r="C165" s="2" t="n"/>
      <c r="D165" s="4" t="n"/>
      <c r="E165" s="12" t="n"/>
      <c r="F165" s="2" t="n"/>
      <c r="G165" s="12" t="n"/>
      <c r="H165" s="2">
        <f>IF(G165="","",IFERROR(VLOOKUP(G165,板块观察!A:U,14,FALSE),""))</f>
        <v/>
      </c>
      <c r="I165" s="2">
        <f>IF(G165="","",IFERROR(VLOOKUP(G165,板块观察!A:U,15,FALSE),""))</f>
        <v/>
      </c>
      <c r="J165" s="12" t="n"/>
      <c r="K165" s="12" t="n"/>
      <c r="L165" s="12" t="n"/>
      <c r="M165" s="14" t="n"/>
      <c r="N165" s="12" t="n"/>
      <c r="O165" s="2" t="n"/>
      <c r="P165" s="2" t="n"/>
      <c r="Q165" s="2" t="n"/>
      <c r="R165" s="12" t="n"/>
      <c r="S165" s="12" t="n"/>
      <c r="T165" s="12" t="n"/>
      <c r="U165" s="12" t="n"/>
      <c r="V165" s="12" t="n"/>
      <c r="W165" s="12" t="n"/>
      <c r="X165" s="12" t="n"/>
      <c r="Y165" s="2" t="n"/>
      <c r="Z165" s="5">
        <f>IF(A165="","",(COUNTA(A165:G165)+COUNTA(J165:Y165))/23)</f>
        <v/>
      </c>
      <c r="AA165" s="2">
        <f>IF(B165="","",WORKDAY(B165,3))</f>
        <v/>
      </c>
      <c r="AB165" s="2">
        <f>IF(B165="","",WORKDAY(B165,5))</f>
        <v/>
      </c>
      <c r="AC165" s="2">
        <f>IF(B165="","",WORKDAY(B165,10))</f>
        <v/>
      </c>
      <c r="AD165" s="2" t="n"/>
    </row>
    <row r="166">
      <c r="A166" s="12" t="n"/>
      <c r="B166" s="12" t="n"/>
      <c r="C166" s="2" t="n"/>
      <c r="D166" s="4" t="n"/>
      <c r="E166" s="12" t="n"/>
      <c r="F166" s="2" t="n"/>
      <c r="G166" s="12" t="n"/>
      <c r="H166" s="2">
        <f>IF(G166="","",IFERROR(VLOOKUP(G166,板块观察!A:U,14,FALSE),""))</f>
        <v/>
      </c>
      <c r="I166" s="2">
        <f>IF(G166="","",IFERROR(VLOOKUP(G166,板块观察!A:U,15,FALSE),""))</f>
        <v/>
      </c>
      <c r="J166" s="12" t="n"/>
      <c r="K166" s="12" t="n"/>
      <c r="L166" s="12" t="n"/>
      <c r="M166" s="14" t="n"/>
      <c r="N166" s="12" t="n"/>
      <c r="O166" s="2" t="n"/>
      <c r="P166" s="2" t="n"/>
      <c r="Q166" s="2" t="n"/>
      <c r="R166" s="12" t="n"/>
      <c r="S166" s="12" t="n"/>
      <c r="T166" s="12" t="n"/>
      <c r="U166" s="12" t="n"/>
      <c r="V166" s="12" t="n"/>
      <c r="W166" s="12" t="n"/>
      <c r="X166" s="12" t="n"/>
      <c r="Y166" s="2" t="n"/>
      <c r="Z166" s="5">
        <f>IF(A166="","",(COUNTA(A166:G166)+COUNTA(J166:Y166))/23)</f>
        <v/>
      </c>
      <c r="AA166" s="2">
        <f>IF(B166="","",WORKDAY(B166,3))</f>
        <v/>
      </c>
      <c r="AB166" s="2">
        <f>IF(B166="","",WORKDAY(B166,5))</f>
        <v/>
      </c>
      <c r="AC166" s="2">
        <f>IF(B166="","",WORKDAY(B166,10))</f>
        <v/>
      </c>
      <c r="AD166" s="2" t="n"/>
    </row>
    <row r="167">
      <c r="A167" s="12" t="n"/>
      <c r="B167" s="12" t="n"/>
      <c r="C167" s="2" t="n"/>
      <c r="D167" s="4" t="n"/>
      <c r="E167" s="12" t="n"/>
      <c r="F167" s="2" t="n"/>
      <c r="G167" s="12" t="n"/>
      <c r="H167" s="2">
        <f>IF(G167="","",IFERROR(VLOOKUP(G167,板块观察!A:U,14,FALSE),""))</f>
        <v/>
      </c>
      <c r="I167" s="2">
        <f>IF(G167="","",IFERROR(VLOOKUP(G167,板块观察!A:U,15,FALSE),""))</f>
        <v/>
      </c>
      <c r="J167" s="12" t="n"/>
      <c r="K167" s="12" t="n"/>
      <c r="L167" s="12" t="n"/>
      <c r="M167" s="14" t="n"/>
      <c r="N167" s="12" t="n"/>
      <c r="O167" s="2" t="n"/>
      <c r="P167" s="2" t="n"/>
      <c r="Q167" s="2" t="n"/>
      <c r="R167" s="12" t="n"/>
      <c r="S167" s="12" t="n"/>
      <c r="T167" s="12" t="n"/>
      <c r="U167" s="12" t="n"/>
      <c r="V167" s="12" t="n"/>
      <c r="W167" s="12" t="n"/>
      <c r="X167" s="12" t="n"/>
      <c r="Y167" s="2" t="n"/>
      <c r="Z167" s="5">
        <f>IF(A167="","",(COUNTA(A167:G167)+COUNTA(J167:Y167))/23)</f>
        <v/>
      </c>
      <c r="AA167" s="2">
        <f>IF(B167="","",WORKDAY(B167,3))</f>
        <v/>
      </c>
      <c r="AB167" s="2">
        <f>IF(B167="","",WORKDAY(B167,5))</f>
        <v/>
      </c>
      <c r="AC167" s="2">
        <f>IF(B167="","",WORKDAY(B167,10))</f>
        <v/>
      </c>
      <c r="AD167" s="2" t="n"/>
    </row>
    <row r="168">
      <c r="A168" s="12" t="n"/>
      <c r="B168" s="12" t="n"/>
      <c r="C168" s="2" t="n"/>
      <c r="D168" s="4" t="n"/>
      <c r="E168" s="12" t="n"/>
      <c r="F168" s="2" t="n"/>
      <c r="G168" s="12" t="n"/>
      <c r="H168" s="2">
        <f>IF(G168="","",IFERROR(VLOOKUP(G168,板块观察!A:U,14,FALSE),""))</f>
        <v/>
      </c>
      <c r="I168" s="2">
        <f>IF(G168="","",IFERROR(VLOOKUP(G168,板块观察!A:U,15,FALSE),""))</f>
        <v/>
      </c>
      <c r="J168" s="12" t="n"/>
      <c r="K168" s="12" t="n"/>
      <c r="L168" s="12" t="n"/>
      <c r="M168" s="14" t="n"/>
      <c r="N168" s="12" t="n"/>
      <c r="O168" s="2" t="n"/>
      <c r="P168" s="2" t="n"/>
      <c r="Q168" s="2" t="n"/>
      <c r="R168" s="12" t="n"/>
      <c r="S168" s="12" t="n"/>
      <c r="T168" s="12" t="n"/>
      <c r="U168" s="12" t="n"/>
      <c r="V168" s="12" t="n"/>
      <c r="W168" s="12" t="n"/>
      <c r="X168" s="12" t="n"/>
      <c r="Y168" s="2" t="n"/>
      <c r="Z168" s="5">
        <f>IF(A168="","",(COUNTA(A168:G168)+COUNTA(J168:Y168))/23)</f>
        <v/>
      </c>
      <c r="AA168" s="2">
        <f>IF(B168="","",WORKDAY(B168,3))</f>
        <v/>
      </c>
      <c r="AB168" s="2">
        <f>IF(B168="","",WORKDAY(B168,5))</f>
        <v/>
      </c>
      <c r="AC168" s="2">
        <f>IF(B168="","",WORKDAY(B168,10))</f>
        <v/>
      </c>
      <c r="AD168" s="2" t="n"/>
    </row>
    <row r="169">
      <c r="A169" s="12" t="n"/>
      <c r="B169" s="12" t="n"/>
      <c r="C169" s="2" t="n"/>
      <c r="D169" s="4" t="n"/>
      <c r="E169" s="12" t="n"/>
      <c r="F169" s="2" t="n"/>
      <c r="G169" s="12" t="n"/>
      <c r="H169" s="2">
        <f>IF(G169="","",IFERROR(VLOOKUP(G169,板块观察!A:U,14,FALSE),""))</f>
        <v/>
      </c>
      <c r="I169" s="2">
        <f>IF(G169="","",IFERROR(VLOOKUP(G169,板块观察!A:U,15,FALSE),""))</f>
        <v/>
      </c>
      <c r="J169" s="12" t="n"/>
      <c r="K169" s="12" t="n"/>
      <c r="L169" s="12" t="n"/>
      <c r="M169" s="14" t="n"/>
      <c r="N169" s="12" t="n"/>
      <c r="O169" s="2" t="n"/>
      <c r="P169" s="2" t="n"/>
      <c r="Q169" s="2" t="n"/>
      <c r="R169" s="12" t="n"/>
      <c r="S169" s="12" t="n"/>
      <c r="T169" s="12" t="n"/>
      <c r="U169" s="12" t="n"/>
      <c r="V169" s="12" t="n"/>
      <c r="W169" s="12" t="n"/>
      <c r="X169" s="12" t="n"/>
      <c r="Y169" s="2" t="n"/>
      <c r="Z169" s="5">
        <f>IF(A169="","",(COUNTA(A169:G169)+COUNTA(J169:Y169))/23)</f>
        <v/>
      </c>
      <c r="AA169" s="2">
        <f>IF(B169="","",WORKDAY(B169,3))</f>
        <v/>
      </c>
      <c r="AB169" s="2">
        <f>IF(B169="","",WORKDAY(B169,5))</f>
        <v/>
      </c>
      <c r="AC169" s="2">
        <f>IF(B169="","",WORKDAY(B169,10))</f>
        <v/>
      </c>
      <c r="AD169" s="2" t="n"/>
    </row>
    <row r="170">
      <c r="A170" s="12" t="n"/>
      <c r="B170" s="12" t="n"/>
      <c r="C170" s="2" t="n"/>
      <c r="D170" s="4" t="n"/>
      <c r="E170" s="12" t="n"/>
      <c r="F170" s="2" t="n"/>
      <c r="G170" s="12" t="n"/>
      <c r="H170" s="2">
        <f>IF(G170="","",IFERROR(VLOOKUP(G170,板块观察!A:U,14,FALSE),""))</f>
        <v/>
      </c>
      <c r="I170" s="2">
        <f>IF(G170="","",IFERROR(VLOOKUP(G170,板块观察!A:U,15,FALSE),""))</f>
        <v/>
      </c>
      <c r="J170" s="12" t="n"/>
      <c r="K170" s="12" t="n"/>
      <c r="L170" s="12" t="n"/>
      <c r="M170" s="14" t="n"/>
      <c r="N170" s="12" t="n"/>
      <c r="O170" s="2" t="n"/>
      <c r="P170" s="2" t="n"/>
      <c r="Q170" s="2" t="n"/>
      <c r="R170" s="12" t="n"/>
      <c r="S170" s="12" t="n"/>
      <c r="T170" s="12" t="n"/>
      <c r="U170" s="12" t="n"/>
      <c r="V170" s="12" t="n"/>
      <c r="W170" s="12" t="n"/>
      <c r="X170" s="12" t="n"/>
      <c r="Y170" s="2" t="n"/>
      <c r="Z170" s="5">
        <f>IF(A170="","",(COUNTA(A170:G170)+COUNTA(J170:Y170))/23)</f>
        <v/>
      </c>
      <c r="AA170" s="2">
        <f>IF(B170="","",WORKDAY(B170,3))</f>
        <v/>
      </c>
      <c r="AB170" s="2">
        <f>IF(B170="","",WORKDAY(B170,5))</f>
        <v/>
      </c>
      <c r="AC170" s="2">
        <f>IF(B170="","",WORKDAY(B170,10))</f>
        <v/>
      </c>
      <c r="AD170" s="2" t="n"/>
    </row>
    <row r="171">
      <c r="A171" s="12" t="n"/>
      <c r="B171" s="12" t="n"/>
      <c r="C171" s="2" t="n"/>
      <c r="D171" s="4" t="n"/>
      <c r="E171" s="12" t="n"/>
      <c r="F171" s="2" t="n"/>
      <c r="G171" s="12" t="n"/>
      <c r="H171" s="2">
        <f>IF(G171="","",IFERROR(VLOOKUP(G171,板块观察!A:U,14,FALSE),""))</f>
        <v/>
      </c>
      <c r="I171" s="2">
        <f>IF(G171="","",IFERROR(VLOOKUP(G171,板块观察!A:U,15,FALSE),""))</f>
        <v/>
      </c>
      <c r="J171" s="12" t="n"/>
      <c r="K171" s="12" t="n"/>
      <c r="L171" s="12" t="n"/>
      <c r="M171" s="14" t="n"/>
      <c r="N171" s="12" t="n"/>
      <c r="O171" s="2" t="n"/>
      <c r="P171" s="2" t="n"/>
      <c r="Q171" s="2" t="n"/>
      <c r="R171" s="12" t="n"/>
      <c r="S171" s="12" t="n"/>
      <c r="T171" s="12" t="n"/>
      <c r="U171" s="12" t="n"/>
      <c r="V171" s="12" t="n"/>
      <c r="W171" s="12" t="n"/>
      <c r="X171" s="12" t="n"/>
      <c r="Y171" s="2" t="n"/>
      <c r="Z171" s="5">
        <f>IF(A171="","",(COUNTA(A171:G171)+COUNTA(J171:Y171))/23)</f>
        <v/>
      </c>
      <c r="AA171" s="2">
        <f>IF(B171="","",WORKDAY(B171,3))</f>
        <v/>
      </c>
      <c r="AB171" s="2">
        <f>IF(B171="","",WORKDAY(B171,5))</f>
        <v/>
      </c>
      <c r="AC171" s="2">
        <f>IF(B171="","",WORKDAY(B171,10))</f>
        <v/>
      </c>
      <c r="AD171" s="2" t="n"/>
    </row>
    <row r="172">
      <c r="A172" s="12" t="n"/>
      <c r="B172" s="12" t="n"/>
      <c r="C172" s="2" t="n"/>
      <c r="D172" s="4" t="n"/>
      <c r="E172" s="12" t="n"/>
      <c r="F172" s="2" t="n"/>
      <c r="G172" s="12" t="n"/>
      <c r="H172" s="2">
        <f>IF(G172="","",IFERROR(VLOOKUP(G172,板块观察!A:U,14,FALSE),""))</f>
        <v/>
      </c>
      <c r="I172" s="2">
        <f>IF(G172="","",IFERROR(VLOOKUP(G172,板块观察!A:U,15,FALSE),""))</f>
        <v/>
      </c>
      <c r="J172" s="12" t="n"/>
      <c r="K172" s="12" t="n"/>
      <c r="L172" s="12" t="n"/>
      <c r="M172" s="14" t="n"/>
      <c r="N172" s="12" t="n"/>
      <c r="O172" s="2" t="n"/>
      <c r="P172" s="2" t="n"/>
      <c r="Q172" s="2" t="n"/>
      <c r="R172" s="12" t="n"/>
      <c r="S172" s="12" t="n"/>
      <c r="T172" s="12" t="n"/>
      <c r="U172" s="12" t="n"/>
      <c r="V172" s="12" t="n"/>
      <c r="W172" s="12" t="n"/>
      <c r="X172" s="12" t="n"/>
      <c r="Y172" s="2" t="n"/>
      <c r="Z172" s="5">
        <f>IF(A172="","",(COUNTA(A172:G172)+COUNTA(J172:Y172))/23)</f>
        <v/>
      </c>
      <c r="AA172" s="2">
        <f>IF(B172="","",WORKDAY(B172,3))</f>
        <v/>
      </c>
      <c r="AB172" s="2">
        <f>IF(B172="","",WORKDAY(B172,5))</f>
        <v/>
      </c>
      <c r="AC172" s="2">
        <f>IF(B172="","",WORKDAY(B172,10))</f>
        <v/>
      </c>
      <c r="AD172" s="2" t="n"/>
    </row>
    <row r="173">
      <c r="A173" s="12" t="n"/>
      <c r="B173" s="12" t="n"/>
      <c r="C173" s="2" t="n"/>
      <c r="D173" s="4" t="n"/>
      <c r="E173" s="12" t="n"/>
      <c r="F173" s="2" t="n"/>
      <c r="G173" s="12" t="n"/>
      <c r="H173" s="2">
        <f>IF(G173="","",IFERROR(VLOOKUP(G173,板块观察!A:U,14,FALSE),""))</f>
        <v/>
      </c>
      <c r="I173" s="2">
        <f>IF(G173="","",IFERROR(VLOOKUP(G173,板块观察!A:U,15,FALSE),""))</f>
        <v/>
      </c>
      <c r="J173" s="12" t="n"/>
      <c r="K173" s="12" t="n"/>
      <c r="L173" s="12" t="n"/>
      <c r="M173" s="14" t="n"/>
      <c r="N173" s="12" t="n"/>
      <c r="O173" s="2" t="n"/>
      <c r="P173" s="2" t="n"/>
      <c r="Q173" s="2" t="n"/>
      <c r="R173" s="12" t="n"/>
      <c r="S173" s="12" t="n"/>
      <c r="T173" s="12" t="n"/>
      <c r="U173" s="12" t="n"/>
      <c r="V173" s="12" t="n"/>
      <c r="W173" s="12" t="n"/>
      <c r="X173" s="12" t="n"/>
      <c r="Y173" s="2" t="n"/>
      <c r="Z173" s="5">
        <f>IF(A173="","",(COUNTA(A173:G173)+COUNTA(J173:Y173))/23)</f>
        <v/>
      </c>
      <c r="AA173" s="2">
        <f>IF(B173="","",WORKDAY(B173,3))</f>
        <v/>
      </c>
      <c r="AB173" s="2">
        <f>IF(B173="","",WORKDAY(B173,5))</f>
        <v/>
      </c>
      <c r="AC173" s="2">
        <f>IF(B173="","",WORKDAY(B173,10))</f>
        <v/>
      </c>
      <c r="AD173" s="2" t="n"/>
    </row>
    <row r="174">
      <c r="A174" s="12" t="n"/>
      <c r="B174" s="12" t="n"/>
      <c r="C174" s="2" t="n"/>
      <c r="D174" s="4" t="n"/>
      <c r="E174" s="12" t="n"/>
      <c r="F174" s="2" t="n"/>
      <c r="G174" s="12" t="n"/>
      <c r="H174" s="2">
        <f>IF(G174="","",IFERROR(VLOOKUP(G174,板块观察!A:U,14,FALSE),""))</f>
        <v/>
      </c>
      <c r="I174" s="2">
        <f>IF(G174="","",IFERROR(VLOOKUP(G174,板块观察!A:U,15,FALSE),""))</f>
        <v/>
      </c>
      <c r="J174" s="12" t="n"/>
      <c r="K174" s="12" t="n"/>
      <c r="L174" s="12" t="n"/>
      <c r="M174" s="14" t="n"/>
      <c r="N174" s="12" t="n"/>
      <c r="O174" s="2" t="n"/>
      <c r="P174" s="2" t="n"/>
      <c r="Q174" s="2" t="n"/>
      <c r="R174" s="12" t="n"/>
      <c r="S174" s="12" t="n"/>
      <c r="T174" s="12" t="n"/>
      <c r="U174" s="12" t="n"/>
      <c r="V174" s="12" t="n"/>
      <c r="W174" s="12" t="n"/>
      <c r="X174" s="12" t="n"/>
      <c r="Y174" s="2" t="n"/>
      <c r="Z174" s="5">
        <f>IF(A174="","",(COUNTA(A174:G174)+COUNTA(J174:Y174))/23)</f>
        <v/>
      </c>
      <c r="AA174" s="2">
        <f>IF(B174="","",WORKDAY(B174,3))</f>
        <v/>
      </c>
      <c r="AB174" s="2">
        <f>IF(B174="","",WORKDAY(B174,5))</f>
        <v/>
      </c>
      <c r="AC174" s="2">
        <f>IF(B174="","",WORKDAY(B174,10))</f>
        <v/>
      </c>
      <c r="AD174" s="2" t="n"/>
    </row>
    <row r="175">
      <c r="A175" s="12" t="n"/>
      <c r="B175" s="12" t="n"/>
      <c r="C175" s="2" t="n"/>
      <c r="D175" s="4" t="n"/>
      <c r="E175" s="12" t="n"/>
      <c r="F175" s="2" t="n"/>
      <c r="G175" s="12" t="n"/>
      <c r="H175" s="2">
        <f>IF(G175="","",IFERROR(VLOOKUP(G175,板块观察!A:U,14,FALSE),""))</f>
        <v/>
      </c>
      <c r="I175" s="2">
        <f>IF(G175="","",IFERROR(VLOOKUP(G175,板块观察!A:U,15,FALSE),""))</f>
        <v/>
      </c>
      <c r="J175" s="12" t="n"/>
      <c r="K175" s="12" t="n"/>
      <c r="L175" s="12" t="n"/>
      <c r="M175" s="14" t="n"/>
      <c r="N175" s="12" t="n"/>
      <c r="O175" s="2" t="n"/>
      <c r="P175" s="2" t="n"/>
      <c r="Q175" s="2" t="n"/>
      <c r="R175" s="12" t="n"/>
      <c r="S175" s="12" t="n"/>
      <c r="T175" s="12" t="n"/>
      <c r="U175" s="12" t="n"/>
      <c r="V175" s="12" t="n"/>
      <c r="W175" s="12" t="n"/>
      <c r="X175" s="12" t="n"/>
      <c r="Y175" s="2" t="n"/>
      <c r="Z175" s="5">
        <f>IF(A175="","",(COUNTA(A175:G175)+COUNTA(J175:Y175))/23)</f>
        <v/>
      </c>
      <c r="AA175" s="2">
        <f>IF(B175="","",WORKDAY(B175,3))</f>
        <v/>
      </c>
      <c r="AB175" s="2">
        <f>IF(B175="","",WORKDAY(B175,5))</f>
        <v/>
      </c>
      <c r="AC175" s="2">
        <f>IF(B175="","",WORKDAY(B175,10))</f>
        <v/>
      </c>
      <c r="AD175" s="2" t="n"/>
    </row>
    <row r="176">
      <c r="A176" s="12" t="n"/>
      <c r="B176" s="12" t="n"/>
      <c r="C176" s="2" t="n"/>
      <c r="D176" s="4" t="n"/>
      <c r="E176" s="12" t="n"/>
      <c r="F176" s="2" t="n"/>
      <c r="G176" s="12" t="n"/>
      <c r="H176" s="2">
        <f>IF(G176="","",IFERROR(VLOOKUP(G176,板块观察!A:U,14,FALSE),""))</f>
        <v/>
      </c>
      <c r="I176" s="2">
        <f>IF(G176="","",IFERROR(VLOOKUP(G176,板块观察!A:U,15,FALSE),""))</f>
        <v/>
      </c>
      <c r="J176" s="12" t="n"/>
      <c r="K176" s="12" t="n"/>
      <c r="L176" s="12" t="n"/>
      <c r="M176" s="14" t="n"/>
      <c r="N176" s="12" t="n"/>
      <c r="O176" s="2" t="n"/>
      <c r="P176" s="2" t="n"/>
      <c r="Q176" s="2" t="n"/>
      <c r="R176" s="12" t="n"/>
      <c r="S176" s="12" t="n"/>
      <c r="T176" s="12" t="n"/>
      <c r="U176" s="12" t="n"/>
      <c r="V176" s="12" t="n"/>
      <c r="W176" s="12" t="n"/>
      <c r="X176" s="12" t="n"/>
      <c r="Y176" s="2" t="n"/>
      <c r="Z176" s="5">
        <f>IF(A176="","",(COUNTA(A176:G176)+COUNTA(J176:Y176))/23)</f>
        <v/>
      </c>
      <c r="AA176" s="2">
        <f>IF(B176="","",WORKDAY(B176,3))</f>
        <v/>
      </c>
      <c r="AB176" s="2">
        <f>IF(B176="","",WORKDAY(B176,5))</f>
        <v/>
      </c>
      <c r="AC176" s="2">
        <f>IF(B176="","",WORKDAY(B176,10))</f>
        <v/>
      </c>
      <c r="AD176" s="2" t="n"/>
    </row>
    <row r="177">
      <c r="A177" s="12" t="n"/>
      <c r="B177" s="12" t="n"/>
      <c r="C177" s="2" t="n"/>
      <c r="D177" s="4" t="n"/>
      <c r="E177" s="12" t="n"/>
      <c r="F177" s="2" t="n"/>
      <c r="G177" s="12" t="n"/>
      <c r="H177" s="2">
        <f>IF(G177="","",IFERROR(VLOOKUP(G177,板块观察!A:U,14,FALSE),""))</f>
        <v/>
      </c>
      <c r="I177" s="2">
        <f>IF(G177="","",IFERROR(VLOOKUP(G177,板块观察!A:U,15,FALSE),""))</f>
        <v/>
      </c>
      <c r="J177" s="12" t="n"/>
      <c r="K177" s="12" t="n"/>
      <c r="L177" s="12" t="n"/>
      <c r="M177" s="14" t="n"/>
      <c r="N177" s="12" t="n"/>
      <c r="O177" s="2" t="n"/>
      <c r="P177" s="2" t="n"/>
      <c r="Q177" s="2" t="n"/>
      <c r="R177" s="12" t="n"/>
      <c r="S177" s="12" t="n"/>
      <c r="T177" s="12" t="n"/>
      <c r="U177" s="12" t="n"/>
      <c r="V177" s="12" t="n"/>
      <c r="W177" s="12" t="n"/>
      <c r="X177" s="12" t="n"/>
      <c r="Y177" s="2" t="n"/>
      <c r="Z177" s="5">
        <f>IF(A177="","",(COUNTA(A177:G177)+COUNTA(J177:Y177))/23)</f>
        <v/>
      </c>
      <c r="AA177" s="2">
        <f>IF(B177="","",WORKDAY(B177,3))</f>
        <v/>
      </c>
      <c r="AB177" s="2">
        <f>IF(B177="","",WORKDAY(B177,5))</f>
        <v/>
      </c>
      <c r="AC177" s="2">
        <f>IF(B177="","",WORKDAY(B177,10))</f>
        <v/>
      </c>
      <c r="AD177" s="2" t="n"/>
    </row>
    <row r="178">
      <c r="A178" s="12" t="n"/>
      <c r="B178" s="12" t="n"/>
      <c r="C178" s="2" t="n"/>
      <c r="D178" s="4" t="n"/>
      <c r="E178" s="12" t="n"/>
      <c r="F178" s="2" t="n"/>
      <c r="G178" s="12" t="n"/>
      <c r="H178" s="2">
        <f>IF(G178="","",IFERROR(VLOOKUP(G178,板块观察!A:U,14,FALSE),""))</f>
        <v/>
      </c>
      <c r="I178" s="2">
        <f>IF(G178="","",IFERROR(VLOOKUP(G178,板块观察!A:U,15,FALSE),""))</f>
        <v/>
      </c>
      <c r="J178" s="12" t="n"/>
      <c r="K178" s="12" t="n"/>
      <c r="L178" s="12" t="n"/>
      <c r="M178" s="14" t="n"/>
      <c r="N178" s="12" t="n"/>
      <c r="O178" s="2" t="n"/>
      <c r="P178" s="2" t="n"/>
      <c r="Q178" s="2" t="n"/>
      <c r="R178" s="12" t="n"/>
      <c r="S178" s="12" t="n"/>
      <c r="T178" s="12" t="n"/>
      <c r="U178" s="12" t="n"/>
      <c r="V178" s="12" t="n"/>
      <c r="W178" s="12" t="n"/>
      <c r="X178" s="12" t="n"/>
      <c r="Y178" s="2" t="n"/>
      <c r="Z178" s="5">
        <f>IF(A178="","",(COUNTA(A178:G178)+COUNTA(J178:Y178))/23)</f>
        <v/>
      </c>
      <c r="AA178" s="2">
        <f>IF(B178="","",WORKDAY(B178,3))</f>
        <v/>
      </c>
      <c r="AB178" s="2">
        <f>IF(B178="","",WORKDAY(B178,5))</f>
        <v/>
      </c>
      <c r="AC178" s="2">
        <f>IF(B178="","",WORKDAY(B178,10))</f>
        <v/>
      </c>
      <c r="AD178" s="2" t="n"/>
    </row>
    <row r="179">
      <c r="A179" s="12" t="n"/>
      <c r="B179" s="12" t="n"/>
      <c r="C179" s="2" t="n"/>
      <c r="D179" s="4" t="n"/>
      <c r="E179" s="12" t="n"/>
      <c r="F179" s="2" t="n"/>
      <c r="G179" s="12" t="n"/>
      <c r="H179" s="2">
        <f>IF(G179="","",IFERROR(VLOOKUP(G179,板块观察!A:U,14,FALSE),""))</f>
        <v/>
      </c>
      <c r="I179" s="2">
        <f>IF(G179="","",IFERROR(VLOOKUP(G179,板块观察!A:U,15,FALSE),""))</f>
        <v/>
      </c>
      <c r="J179" s="12" t="n"/>
      <c r="K179" s="12" t="n"/>
      <c r="L179" s="12" t="n"/>
      <c r="M179" s="14" t="n"/>
      <c r="N179" s="12" t="n"/>
      <c r="O179" s="2" t="n"/>
      <c r="P179" s="2" t="n"/>
      <c r="Q179" s="2" t="n"/>
      <c r="R179" s="12" t="n"/>
      <c r="S179" s="12" t="n"/>
      <c r="T179" s="12" t="n"/>
      <c r="U179" s="12" t="n"/>
      <c r="V179" s="12" t="n"/>
      <c r="W179" s="12" t="n"/>
      <c r="X179" s="12" t="n"/>
      <c r="Y179" s="2" t="n"/>
      <c r="Z179" s="5">
        <f>IF(A179="","",(COUNTA(A179:G179)+COUNTA(J179:Y179))/23)</f>
        <v/>
      </c>
      <c r="AA179" s="2">
        <f>IF(B179="","",WORKDAY(B179,3))</f>
        <v/>
      </c>
      <c r="AB179" s="2">
        <f>IF(B179="","",WORKDAY(B179,5))</f>
        <v/>
      </c>
      <c r="AC179" s="2">
        <f>IF(B179="","",WORKDAY(B179,10))</f>
        <v/>
      </c>
      <c r="AD179" s="2" t="n"/>
    </row>
    <row r="180">
      <c r="A180" s="12" t="n"/>
      <c r="B180" s="12" t="n"/>
      <c r="C180" s="2" t="n"/>
      <c r="D180" s="4" t="n"/>
      <c r="E180" s="12" t="n"/>
      <c r="F180" s="2" t="n"/>
      <c r="G180" s="12" t="n"/>
      <c r="H180" s="2">
        <f>IF(G180="","",IFERROR(VLOOKUP(G180,板块观察!A:U,14,FALSE),""))</f>
        <v/>
      </c>
      <c r="I180" s="2">
        <f>IF(G180="","",IFERROR(VLOOKUP(G180,板块观察!A:U,15,FALSE),""))</f>
        <v/>
      </c>
      <c r="J180" s="12" t="n"/>
      <c r="K180" s="12" t="n"/>
      <c r="L180" s="12" t="n"/>
      <c r="M180" s="14" t="n"/>
      <c r="N180" s="12" t="n"/>
      <c r="O180" s="2" t="n"/>
      <c r="P180" s="2" t="n"/>
      <c r="Q180" s="2" t="n"/>
      <c r="R180" s="12" t="n"/>
      <c r="S180" s="12" t="n"/>
      <c r="T180" s="12" t="n"/>
      <c r="U180" s="12" t="n"/>
      <c r="V180" s="12" t="n"/>
      <c r="W180" s="12" t="n"/>
      <c r="X180" s="12" t="n"/>
      <c r="Y180" s="2" t="n"/>
      <c r="Z180" s="5">
        <f>IF(A180="","",(COUNTA(A180:G180)+COUNTA(J180:Y180))/23)</f>
        <v/>
      </c>
      <c r="AA180" s="2">
        <f>IF(B180="","",WORKDAY(B180,3))</f>
        <v/>
      </c>
      <c r="AB180" s="2">
        <f>IF(B180="","",WORKDAY(B180,5))</f>
        <v/>
      </c>
      <c r="AC180" s="2">
        <f>IF(B180="","",WORKDAY(B180,10))</f>
        <v/>
      </c>
      <c r="AD180" s="2" t="n"/>
    </row>
    <row r="181">
      <c r="A181" s="12" t="n"/>
      <c r="B181" s="12" t="n"/>
      <c r="C181" s="2" t="n"/>
      <c r="D181" s="4" t="n"/>
      <c r="E181" s="12" t="n"/>
      <c r="F181" s="2" t="n"/>
      <c r="G181" s="12" t="n"/>
      <c r="H181" s="2">
        <f>IF(G181="","",IFERROR(VLOOKUP(G181,板块观察!A:U,14,FALSE),""))</f>
        <v/>
      </c>
      <c r="I181" s="2">
        <f>IF(G181="","",IFERROR(VLOOKUP(G181,板块观察!A:U,15,FALSE),""))</f>
        <v/>
      </c>
      <c r="J181" s="12" t="n"/>
      <c r="K181" s="12" t="n"/>
      <c r="L181" s="12" t="n"/>
      <c r="M181" s="14" t="n"/>
      <c r="N181" s="12" t="n"/>
      <c r="O181" s="2" t="n"/>
      <c r="P181" s="2" t="n"/>
      <c r="Q181" s="2" t="n"/>
      <c r="R181" s="12" t="n"/>
      <c r="S181" s="12" t="n"/>
      <c r="T181" s="12" t="n"/>
      <c r="U181" s="12" t="n"/>
      <c r="V181" s="12" t="n"/>
      <c r="W181" s="12" t="n"/>
      <c r="X181" s="12" t="n"/>
      <c r="Y181" s="2" t="n"/>
      <c r="Z181" s="5">
        <f>IF(A181="","",(COUNTA(A181:G181)+COUNTA(J181:Y181))/23)</f>
        <v/>
      </c>
      <c r="AA181" s="2">
        <f>IF(B181="","",WORKDAY(B181,3))</f>
        <v/>
      </c>
      <c r="AB181" s="2">
        <f>IF(B181="","",WORKDAY(B181,5))</f>
        <v/>
      </c>
      <c r="AC181" s="2">
        <f>IF(B181="","",WORKDAY(B181,10))</f>
        <v/>
      </c>
      <c r="AD181" s="2" t="n"/>
    </row>
    <row r="182">
      <c r="A182" s="12" t="n"/>
      <c r="B182" s="12" t="n"/>
      <c r="C182" s="2" t="n"/>
      <c r="D182" s="4" t="n"/>
      <c r="E182" s="12" t="n"/>
      <c r="F182" s="2" t="n"/>
      <c r="G182" s="12" t="n"/>
      <c r="H182" s="2">
        <f>IF(G182="","",IFERROR(VLOOKUP(G182,板块观察!A:U,14,FALSE),""))</f>
        <v/>
      </c>
      <c r="I182" s="2">
        <f>IF(G182="","",IFERROR(VLOOKUP(G182,板块观察!A:U,15,FALSE),""))</f>
        <v/>
      </c>
      <c r="J182" s="12" t="n"/>
      <c r="K182" s="12" t="n"/>
      <c r="L182" s="12" t="n"/>
      <c r="M182" s="14" t="n"/>
      <c r="N182" s="12" t="n"/>
      <c r="O182" s="2" t="n"/>
      <c r="P182" s="2" t="n"/>
      <c r="Q182" s="2" t="n"/>
      <c r="R182" s="12" t="n"/>
      <c r="S182" s="12" t="n"/>
      <c r="T182" s="12" t="n"/>
      <c r="U182" s="12" t="n"/>
      <c r="V182" s="12" t="n"/>
      <c r="W182" s="12" t="n"/>
      <c r="X182" s="12" t="n"/>
      <c r="Y182" s="2" t="n"/>
      <c r="Z182" s="5">
        <f>IF(A182="","",(COUNTA(A182:G182)+COUNTA(J182:Y182))/23)</f>
        <v/>
      </c>
      <c r="AA182" s="2">
        <f>IF(B182="","",WORKDAY(B182,3))</f>
        <v/>
      </c>
      <c r="AB182" s="2">
        <f>IF(B182="","",WORKDAY(B182,5))</f>
        <v/>
      </c>
      <c r="AC182" s="2">
        <f>IF(B182="","",WORKDAY(B182,10))</f>
        <v/>
      </c>
      <c r="AD182" s="2" t="n"/>
    </row>
    <row r="183">
      <c r="A183" s="12" t="n"/>
      <c r="B183" s="12" t="n"/>
      <c r="C183" s="2" t="n"/>
      <c r="D183" s="4" t="n"/>
      <c r="E183" s="12" t="n"/>
      <c r="F183" s="2" t="n"/>
      <c r="G183" s="12" t="n"/>
      <c r="H183" s="2">
        <f>IF(G183="","",IFERROR(VLOOKUP(G183,板块观察!A:U,14,FALSE),""))</f>
        <v/>
      </c>
      <c r="I183" s="2">
        <f>IF(G183="","",IFERROR(VLOOKUP(G183,板块观察!A:U,15,FALSE),""))</f>
        <v/>
      </c>
      <c r="J183" s="12" t="n"/>
      <c r="K183" s="12" t="n"/>
      <c r="L183" s="12" t="n"/>
      <c r="M183" s="14" t="n"/>
      <c r="N183" s="12" t="n"/>
      <c r="O183" s="2" t="n"/>
      <c r="P183" s="2" t="n"/>
      <c r="Q183" s="2" t="n"/>
      <c r="R183" s="12" t="n"/>
      <c r="S183" s="12" t="n"/>
      <c r="T183" s="12" t="n"/>
      <c r="U183" s="12" t="n"/>
      <c r="V183" s="12" t="n"/>
      <c r="W183" s="12" t="n"/>
      <c r="X183" s="12" t="n"/>
      <c r="Y183" s="2" t="n"/>
      <c r="Z183" s="5">
        <f>IF(A183="","",(COUNTA(A183:G183)+COUNTA(J183:Y183))/23)</f>
        <v/>
      </c>
      <c r="AA183" s="2">
        <f>IF(B183="","",WORKDAY(B183,3))</f>
        <v/>
      </c>
      <c r="AB183" s="2">
        <f>IF(B183="","",WORKDAY(B183,5))</f>
        <v/>
      </c>
      <c r="AC183" s="2">
        <f>IF(B183="","",WORKDAY(B183,10))</f>
        <v/>
      </c>
      <c r="AD183" s="2" t="n"/>
    </row>
    <row r="184">
      <c r="A184" s="12" t="n"/>
      <c r="B184" s="12" t="n"/>
      <c r="C184" s="2" t="n"/>
      <c r="D184" s="4" t="n"/>
      <c r="E184" s="12" t="n"/>
      <c r="F184" s="2" t="n"/>
      <c r="G184" s="12" t="n"/>
      <c r="H184" s="2">
        <f>IF(G184="","",IFERROR(VLOOKUP(G184,板块观察!A:U,14,FALSE),""))</f>
        <v/>
      </c>
      <c r="I184" s="2">
        <f>IF(G184="","",IFERROR(VLOOKUP(G184,板块观察!A:U,15,FALSE),""))</f>
        <v/>
      </c>
      <c r="J184" s="12" t="n"/>
      <c r="K184" s="12" t="n"/>
      <c r="L184" s="12" t="n"/>
      <c r="M184" s="14" t="n"/>
      <c r="N184" s="12" t="n"/>
      <c r="O184" s="2" t="n"/>
      <c r="P184" s="2" t="n"/>
      <c r="Q184" s="2" t="n"/>
      <c r="R184" s="12" t="n"/>
      <c r="S184" s="12" t="n"/>
      <c r="T184" s="12" t="n"/>
      <c r="U184" s="12" t="n"/>
      <c r="V184" s="12" t="n"/>
      <c r="W184" s="12" t="n"/>
      <c r="X184" s="12" t="n"/>
      <c r="Y184" s="2" t="n"/>
      <c r="Z184" s="5">
        <f>IF(A184="","",(COUNTA(A184:G184)+COUNTA(J184:Y184))/23)</f>
        <v/>
      </c>
      <c r="AA184" s="2">
        <f>IF(B184="","",WORKDAY(B184,3))</f>
        <v/>
      </c>
      <c r="AB184" s="2">
        <f>IF(B184="","",WORKDAY(B184,5))</f>
        <v/>
      </c>
      <c r="AC184" s="2">
        <f>IF(B184="","",WORKDAY(B184,10))</f>
        <v/>
      </c>
      <c r="AD184" s="2" t="n"/>
    </row>
    <row r="185">
      <c r="A185" s="12" t="n"/>
      <c r="B185" s="12" t="n"/>
      <c r="C185" s="2" t="n"/>
      <c r="D185" s="4" t="n"/>
      <c r="E185" s="12" t="n"/>
      <c r="F185" s="2" t="n"/>
      <c r="G185" s="12" t="n"/>
      <c r="H185" s="2">
        <f>IF(G185="","",IFERROR(VLOOKUP(G185,板块观察!A:U,14,FALSE),""))</f>
        <v/>
      </c>
      <c r="I185" s="2">
        <f>IF(G185="","",IFERROR(VLOOKUP(G185,板块观察!A:U,15,FALSE),""))</f>
        <v/>
      </c>
      <c r="J185" s="12" t="n"/>
      <c r="K185" s="12" t="n"/>
      <c r="L185" s="12" t="n"/>
      <c r="M185" s="14" t="n"/>
      <c r="N185" s="12" t="n"/>
      <c r="O185" s="2" t="n"/>
      <c r="P185" s="2" t="n"/>
      <c r="Q185" s="2" t="n"/>
      <c r="R185" s="12" t="n"/>
      <c r="S185" s="12" t="n"/>
      <c r="T185" s="12" t="n"/>
      <c r="U185" s="12" t="n"/>
      <c r="V185" s="12" t="n"/>
      <c r="W185" s="12" t="n"/>
      <c r="X185" s="12" t="n"/>
      <c r="Y185" s="2" t="n"/>
      <c r="Z185" s="5">
        <f>IF(A185="","",(COUNTA(A185:G185)+COUNTA(J185:Y185))/23)</f>
        <v/>
      </c>
      <c r="AA185" s="2">
        <f>IF(B185="","",WORKDAY(B185,3))</f>
        <v/>
      </c>
      <c r="AB185" s="2">
        <f>IF(B185="","",WORKDAY(B185,5))</f>
        <v/>
      </c>
      <c r="AC185" s="2">
        <f>IF(B185="","",WORKDAY(B185,10))</f>
        <v/>
      </c>
      <c r="AD185" s="2" t="n"/>
    </row>
    <row r="186">
      <c r="A186" s="12" t="n"/>
      <c r="B186" s="12" t="n"/>
      <c r="C186" s="2" t="n"/>
      <c r="D186" s="4" t="n"/>
      <c r="E186" s="12" t="n"/>
      <c r="F186" s="2" t="n"/>
      <c r="G186" s="12" t="n"/>
      <c r="H186" s="2">
        <f>IF(G186="","",IFERROR(VLOOKUP(G186,板块观察!A:U,14,FALSE),""))</f>
        <v/>
      </c>
      <c r="I186" s="2">
        <f>IF(G186="","",IFERROR(VLOOKUP(G186,板块观察!A:U,15,FALSE),""))</f>
        <v/>
      </c>
      <c r="J186" s="12" t="n"/>
      <c r="K186" s="12" t="n"/>
      <c r="L186" s="12" t="n"/>
      <c r="M186" s="14" t="n"/>
      <c r="N186" s="12" t="n"/>
      <c r="O186" s="2" t="n"/>
      <c r="P186" s="2" t="n"/>
      <c r="Q186" s="2" t="n"/>
      <c r="R186" s="12" t="n"/>
      <c r="S186" s="12" t="n"/>
      <c r="T186" s="12" t="n"/>
      <c r="U186" s="12" t="n"/>
      <c r="V186" s="12" t="n"/>
      <c r="W186" s="12" t="n"/>
      <c r="X186" s="12" t="n"/>
      <c r="Y186" s="2" t="n"/>
      <c r="Z186" s="5">
        <f>IF(A186="","",(COUNTA(A186:G186)+COUNTA(J186:Y186))/23)</f>
        <v/>
      </c>
      <c r="AA186" s="2">
        <f>IF(B186="","",WORKDAY(B186,3))</f>
        <v/>
      </c>
      <c r="AB186" s="2">
        <f>IF(B186="","",WORKDAY(B186,5))</f>
        <v/>
      </c>
      <c r="AC186" s="2">
        <f>IF(B186="","",WORKDAY(B186,10))</f>
        <v/>
      </c>
      <c r="AD186" s="2" t="n"/>
    </row>
    <row r="187">
      <c r="A187" s="12" t="n"/>
      <c r="B187" s="12" t="n"/>
      <c r="C187" s="2" t="n"/>
      <c r="D187" s="4" t="n"/>
      <c r="E187" s="12" t="n"/>
      <c r="F187" s="2" t="n"/>
      <c r="G187" s="12" t="n"/>
      <c r="H187" s="2">
        <f>IF(G187="","",IFERROR(VLOOKUP(G187,板块观察!A:U,14,FALSE),""))</f>
        <v/>
      </c>
      <c r="I187" s="2">
        <f>IF(G187="","",IFERROR(VLOOKUP(G187,板块观察!A:U,15,FALSE),""))</f>
        <v/>
      </c>
      <c r="J187" s="12" t="n"/>
      <c r="K187" s="12" t="n"/>
      <c r="L187" s="12" t="n"/>
      <c r="M187" s="14" t="n"/>
      <c r="N187" s="12" t="n"/>
      <c r="O187" s="2" t="n"/>
      <c r="P187" s="2" t="n"/>
      <c r="Q187" s="2" t="n"/>
      <c r="R187" s="12" t="n"/>
      <c r="S187" s="12" t="n"/>
      <c r="T187" s="12" t="n"/>
      <c r="U187" s="12" t="n"/>
      <c r="V187" s="12" t="n"/>
      <c r="W187" s="12" t="n"/>
      <c r="X187" s="12" t="n"/>
      <c r="Y187" s="2" t="n"/>
      <c r="Z187" s="5">
        <f>IF(A187="","",(COUNTA(A187:G187)+COUNTA(J187:Y187))/23)</f>
        <v/>
      </c>
      <c r="AA187" s="2">
        <f>IF(B187="","",WORKDAY(B187,3))</f>
        <v/>
      </c>
      <c r="AB187" s="2">
        <f>IF(B187="","",WORKDAY(B187,5))</f>
        <v/>
      </c>
      <c r="AC187" s="2">
        <f>IF(B187="","",WORKDAY(B187,10))</f>
        <v/>
      </c>
      <c r="AD187" s="2" t="n"/>
    </row>
    <row r="188">
      <c r="A188" s="12" t="n"/>
      <c r="B188" s="12" t="n"/>
      <c r="C188" s="2" t="n"/>
      <c r="D188" s="4" t="n"/>
      <c r="E188" s="12" t="n"/>
      <c r="F188" s="2" t="n"/>
      <c r="G188" s="12" t="n"/>
      <c r="H188" s="2">
        <f>IF(G188="","",IFERROR(VLOOKUP(G188,板块观察!A:U,14,FALSE),""))</f>
        <v/>
      </c>
      <c r="I188" s="2">
        <f>IF(G188="","",IFERROR(VLOOKUP(G188,板块观察!A:U,15,FALSE),""))</f>
        <v/>
      </c>
      <c r="J188" s="12" t="n"/>
      <c r="K188" s="12" t="n"/>
      <c r="L188" s="12" t="n"/>
      <c r="M188" s="14" t="n"/>
      <c r="N188" s="12" t="n"/>
      <c r="O188" s="2" t="n"/>
      <c r="P188" s="2" t="n"/>
      <c r="Q188" s="2" t="n"/>
      <c r="R188" s="12" t="n"/>
      <c r="S188" s="12" t="n"/>
      <c r="T188" s="12" t="n"/>
      <c r="U188" s="12" t="n"/>
      <c r="V188" s="12" t="n"/>
      <c r="W188" s="12" t="n"/>
      <c r="X188" s="12" t="n"/>
      <c r="Y188" s="2" t="n"/>
      <c r="Z188" s="5">
        <f>IF(A188="","",(COUNTA(A188:G188)+COUNTA(J188:Y188))/23)</f>
        <v/>
      </c>
      <c r="AA188" s="2">
        <f>IF(B188="","",WORKDAY(B188,3))</f>
        <v/>
      </c>
      <c r="AB188" s="2">
        <f>IF(B188="","",WORKDAY(B188,5))</f>
        <v/>
      </c>
      <c r="AC188" s="2">
        <f>IF(B188="","",WORKDAY(B188,10))</f>
        <v/>
      </c>
      <c r="AD188" s="2" t="n"/>
    </row>
    <row r="189">
      <c r="A189" s="12" t="n"/>
      <c r="B189" s="12" t="n"/>
      <c r="C189" s="2" t="n"/>
      <c r="D189" s="4" t="n"/>
      <c r="E189" s="12" t="n"/>
      <c r="F189" s="2" t="n"/>
      <c r="G189" s="12" t="n"/>
      <c r="H189" s="2">
        <f>IF(G189="","",IFERROR(VLOOKUP(G189,板块观察!A:U,14,FALSE),""))</f>
        <v/>
      </c>
      <c r="I189" s="2">
        <f>IF(G189="","",IFERROR(VLOOKUP(G189,板块观察!A:U,15,FALSE),""))</f>
        <v/>
      </c>
      <c r="J189" s="12" t="n"/>
      <c r="K189" s="12" t="n"/>
      <c r="L189" s="12" t="n"/>
      <c r="M189" s="14" t="n"/>
      <c r="N189" s="12" t="n"/>
      <c r="O189" s="2" t="n"/>
      <c r="P189" s="2" t="n"/>
      <c r="Q189" s="2" t="n"/>
      <c r="R189" s="12" t="n"/>
      <c r="S189" s="12" t="n"/>
      <c r="T189" s="12" t="n"/>
      <c r="U189" s="12" t="n"/>
      <c r="V189" s="12" t="n"/>
      <c r="W189" s="12" t="n"/>
      <c r="X189" s="12" t="n"/>
      <c r="Y189" s="2" t="n"/>
      <c r="Z189" s="5">
        <f>IF(A189="","",(COUNTA(A189:G189)+COUNTA(J189:Y189))/23)</f>
        <v/>
      </c>
      <c r="AA189" s="2">
        <f>IF(B189="","",WORKDAY(B189,3))</f>
        <v/>
      </c>
      <c r="AB189" s="2">
        <f>IF(B189="","",WORKDAY(B189,5))</f>
        <v/>
      </c>
      <c r="AC189" s="2">
        <f>IF(B189="","",WORKDAY(B189,10))</f>
        <v/>
      </c>
      <c r="AD189" s="2" t="n"/>
    </row>
    <row r="190">
      <c r="A190" s="12" t="n"/>
      <c r="B190" s="12" t="n"/>
      <c r="C190" s="2" t="n"/>
      <c r="D190" s="4" t="n"/>
      <c r="E190" s="12" t="n"/>
      <c r="F190" s="2" t="n"/>
      <c r="G190" s="12" t="n"/>
      <c r="H190" s="2">
        <f>IF(G190="","",IFERROR(VLOOKUP(G190,板块观察!A:U,14,FALSE),""))</f>
        <v/>
      </c>
      <c r="I190" s="2">
        <f>IF(G190="","",IFERROR(VLOOKUP(G190,板块观察!A:U,15,FALSE),""))</f>
        <v/>
      </c>
      <c r="J190" s="12" t="n"/>
      <c r="K190" s="12" t="n"/>
      <c r="L190" s="12" t="n"/>
      <c r="M190" s="14" t="n"/>
      <c r="N190" s="12" t="n"/>
      <c r="O190" s="2" t="n"/>
      <c r="P190" s="2" t="n"/>
      <c r="Q190" s="2" t="n"/>
      <c r="R190" s="12" t="n"/>
      <c r="S190" s="12" t="n"/>
      <c r="T190" s="12" t="n"/>
      <c r="U190" s="12" t="n"/>
      <c r="V190" s="12" t="n"/>
      <c r="W190" s="12" t="n"/>
      <c r="X190" s="12" t="n"/>
      <c r="Y190" s="2" t="n"/>
      <c r="Z190" s="5">
        <f>IF(A190="","",(COUNTA(A190:G190)+COUNTA(J190:Y190))/23)</f>
        <v/>
      </c>
      <c r="AA190" s="2">
        <f>IF(B190="","",WORKDAY(B190,3))</f>
        <v/>
      </c>
      <c r="AB190" s="2">
        <f>IF(B190="","",WORKDAY(B190,5))</f>
        <v/>
      </c>
      <c r="AC190" s="2">
        <f>IF(B190="","",WORKDAY(B190,10))</f>
        <v/>
      </c>
      <c r="AD190" s="2" t="n"/>
    </row>
    <row r="191">
      <c r="A191" s="12" t="n"/>
      <c r="B191" s="12" t="n"/>
      <c r="C191" s="2" t="n"/>
      <c r="D191" s="4" t="n"/>
      <c r="E191" s="12" t="n"/>
      <c r="F191" s="2" t="n"/>
      <c r="G191" s="12" t="n"/>
      <c r="H191" s="2">
        <f>IF(G191="","",IFERROR(VLOOKUP(G191,板块观察!A:U,14,FALSE),""))</f>
        <v/>
      </c>
      <c r="I191" s="2">
        <f>IF(G191="","",IFERROR(VLOOKUP(G191,板块观察!A:U,15,FALSE),""))</f>
        <v/>
      </c>
      <c r="J191" s="12" t="n"/>
      <c r="K191" s="12" t="n"/>
      <c r="L191" s="12" t="n"/>
      <c r="M191" s="14" t="n"/>
      <c r="N191" s="12" t="n"/>
      <c r="O191" s="2" t="n"/>
      <c r="P191" s="2" t="n"/>
      <c r="Q191" s="2" t="n"/>
      <c r="R191" s="12" t="n"/>
      <c r="S191" s="12" t="n"/>
      <c r="T191" s="12" t="n"/>
      <c r="U191" s="12" t="n"/>
      <c r="V191" s="12" t="n"/>
      <c r="W191" s="12" t="n"/>
      <c r="X191" s="12" t="n"/>
      <c r="Y191" s="2" t="n"/>
      <c r="Z191" s="5">
        <f>IF(A191="","",(COUNTA(A191:G191)+COUNTA(J191:Y191))/23)</f>
        <v/>
      </c>
      <c r="AA191" s="2">
        <f>IF(B191="","",WORKDAY(B191,3))</f>
        <v/>
      </c>
      <c r="AB191" s="2">
        <f>IF(B191="","",WORKDAY(B191,5))</f>
        <v/>
      </c>
      <c r="AC191" s="2">
        <f>IF(B191="","",WORKDAY(B191,10))</f>
        <v/>
      </c>
      <c r="AD191" s="2" t="n"/>
    </row>
    <row r="192">
      <c r="A192" s="12" t="n"/>
      <c r="B192" s="12" t="n"/>
      <c r="C192" s="2" t="n"/>
      <c r="D192" s="4" t="n"/>
      <c r="E192" s="12" t="n"/>
      <c r="F192" s="2" t="n"/>
      <c r="G192" s="12" t="n"/>
      <c r="H192" s="2">
        <f>IF(G192="","",IFERROR(VLOOKUP(G192,板块观察!A:U,14,FALSE),""))</f>
        <v/>
      </c>
      <c r="I192" s="2">
        <f>IF(G192="","",IFERROR(VLOOKUP(G192,板块观察!A:U,15,FALSE),""))</f>
        <v/>
      </c>
      <c r="J192" s="12" t="n"/>
      <c r="K192" s="12" t="n"/>
      <c r="L192" s="12" t="n"/>
      <c r="M192" s="14" t="n"/>
      <c r="N192" s="12" t="n"/>
      <c r="O192" s="2" t="n"/>
      <c r="P192" s="2" t="n"/>
      <c r="Q192" s="2" t="n"/>
      <c r="R192" s="12" t="n"/>
      <c r="S192" s="12" t="n"/>
      <c r="T192" s="12" t="n"/>
      <c r="U192" s="12" t="n"/>
      <c r="V192" s="12" t="n"/>
      <c r="W192" s="12" t="n"/>
      <c r="X192" s="12" t="n"/>
      <c r="Y192" s="2" t="n"/>
      <c r="Z192" s="5">
        <f>IF(A192="","",(COUNTA(A192:G192)+COUNTA(J192:Y192))/23)</f>
        <v/>
      </c>
      <c r="AA192" s="2">
        <f>IF(B192="","",WORKDAY(B192,3))</f>
        <v/>
      </c>
      <c r="AB192" s="2">
        <f>IF(B192="","",WORKDAY(B192,5))</f>
        <v/>
      </c>
      <c r="AC192" s="2">
        <f>IF(B192="","",WORKDAY(B192,10))</f>
        <v/>
      </c>
      <c r="AD192" s="2" t="n"/>
    </row>
    <row r="193">
      <c r="A193" s="12" t="n"/>
      <c r="B193" s="12" t="n"/>
      <c r="C193" s="2" t="n"/>
      <c r="D193" s="4" t="n"/>
      <c r="E193" s="12" t="n"/>
      <c r="F193" s="2" t="n"/>
      <c r="G193" s="12" t="n"/>
      <c r="H193" s="2">
        <f>IF(G193="","",IFERROR(VLOOKUP(G193,板块观察!A:U,14,FALSE),""))</f>
        <v/>
      </c>
      <c r="I193" s="2">
        <f>IF(G193="","",IFERROR(VLOOKUP(G193,板块观察!A:U,15,FALSE),""))</f>
        <v/>
      </c>
      <c r="J193" s="12" t="n"/>
      <c r="K193" s="12" t="n"/>
      <c r="L193" s="12" t="n"/>
      <c r="M193" s="14" t="n"/>
      <c r="N193" s="12" t="n"/>
      <c r="O193" s="2" t="n"/>
      <c r="P193" s="2" t="n"/>
      <c r="Q193" s="2" t="n"/>
      <c r="R193" s="12" t="n"/>
      <c r="S193" s="12" t="n"/>
      <c r="T193" s="12" t="n"/>
      <c r="U193" s="12" t="n"/>
      <c r="V193" s="12" t="n"/>
      <c r="W193" s="12" t="n"/>
      <c r="X193" s="12" t="n"/>
      <c r="Y193" s="2" t="n"/>
      <c r="Z193" s="5">
        <f>IF(A193="","",(COUNTA(A193:G193)+COUNTA(J193:Y193))/23)</f>
        <v/>
      </c>
      <c r="AA193" s="2">
        <f>IF(B193="","",WORKDAY(B193,3))</f>
        <v/>
      </c>
      <c r="AB193" s="2">
        <f>IF(B193="","",WORKDAY(B193,5))</f>
        <v/>
      </c>
      <c r="AC193" s="2">
        <f>IF(B193="","",WORKDAY(B193,10))</f>
        <v/>
      </c>
      <c r="AD193" s="2" t="n"/>
    </row>
    <row r="194">
      <c r="A194" s="12" t="n"/>
      <c r="B194" s="12" t="n"/>
      <c r="C194" s="2" t="n"/>
      <c r="D194" s="4" t="n"/>
      <c r="E194" s="12" t="n"/>
      <c r="F194" s="2" t="n"/>
      <c r="G194" s="12" t="n"/>
      <c r="H194" s="2">
        <f>IF(G194="","",IFERROR(VLOOKUP(G194,板块观察!A:U,14,FALSE),""))</f>
        <v/>
      </c>
      <c r="I194" s="2">
        <f>IF(G194="","",IFERROR(VLOOKUP(G194,板块观察!A:U,15,FALSE),""))</f>
        <v/>
      </c>
      <c r="J194" s="12" t="n"/>
      <c r="K194" s="12" t="n"/>
      <c r="L194" s="12" t="n"/>
      <c r="M194" s="14" t="n"/>
      <c r="N194" s="12" t="n"/>
      <c r="O194" s="2" t="n"/>
      <c r="P194" s="2" t="n"/>
      <c r="Q194" s="2" t="n"/>
      <c r="R194" s="12" t="n"/>
      <c r="S194" s="12" t="n"/>
      <c r="T194" s="12" t="n"/>
      <c r="U194" s="12" t="n"/>
      <c r="V194" s="12" t="n"/>
      <c r="W194" s="12" t="n"/>
      <c r="X194" s="12" t="n"/>
      <c r="Y194" s="2" t="n"/>
      <c r="Z194" s="5">
        <f>IF(A194="","",(COUNTA(A194:G194)+COUNTA(J194:Y194))/23)</f>
        <v/>
      </c>
      <c r="AA194" s="2">
        <f>IF(B194="","",WORKDAY(B194,3))</f>
        <v/>
      </c>
      <c r="AB194" s="2">
        <f>IF(B194="","",WORKDAY(B194,5))</f>
        <v/>
      </c>
      <c r="AC194" s="2">
        <f>IF(B194="","",WORKDAY(B194,10))</f>
        <v/>
      </c>
      <c r="AD194" s="2" t="n"/>
    </row>
    <row r="195">
      <c r="A195" s="12" t="n"/>
      <c r="B195" s="12" t="n"/>
      <c r="C195" s="2" t="n"/>
      <c r="D195" s="4" t="n"/>
      <c r="E195" s="12" t="n"/>
      <c r="F195" s="2" t="n"/>
      <c r="G195" s="12" t="n"/>
      <c r="H195" s="2">
        <f>IF(G195="","",IFERROR(VLOOKUP(G195,板块观察!A:U,14,FALSE),""))</f>
        <v/>
      </c>
      <c r="I195" s="2">
        <f>IF(G195="","",IFERROR(VLOOKUP(G195,板块观察!A:U,15,FALSE),""))</f>
        <v/>
      </c>
      <c r="J195" s="12" t="n"/>
      <c r="K195" s="12" t="n"/>
      <c r="L195" s="12" t="n"/>
      <c r="M195" s="14" t="n"/>
      <c r="N195" s="12" t="n"/>
      <c r="O195" s="2" t="n"/>
      <c r="P195" s="2" t="n"/>
      <c r="Q195" s="2" t="n"/>
      <c r="R195" s="12" t="n"/>
      <c r="S195" s="12" t="n"/>
      <c r="T195" s="12" t="n"/>
      <c r="U195" s="12" t="n"/>
      <c r="V195" s="12" t="n"/>
      <c r="W195" s="12" t="n"/>
      <c r="X195" s="12" t="n"/>
      <c r="Y195" s="2" t="n"/>
      <c r="Z195" s="5">
        <f>IF(A195="","",(COUNTA(A195:G195)+COUNTA(J195:Y195))/23)</f>
        <v/>
      </c>
      <c r="AA195" s="2">
        <f>IF(B195="","",WORKDAY(B195,3))</f>
        <v/>
      </c>
      <c r="AB195" s="2">
        <f>IF(B195="","",WORKDAY(B195,5))</f>
        <v/>
      </c>
      <c r="AC195" s="2">
        <f>IF(B195="","",WORKDAY(B195,10))</f>
        <v/>
      </c>
      <c r="AD195" s="2" t="n"/>
    </row>
    <row r="196">
      <c r="A196" s="12" t="n"/>
      <c r="B196" s="12" t="n"/>
      <c r="C196" s="2" t="n"/>
      <c r="D196" s="4" t="n"/>
      <c r="E196" s="12" t="n"/>
      <c r="F196" s="2" t="n"/>
      <c r="G196" s="12" t="n"/>
      <c r="H196" s="2">
        <f>IF(G196="","",IFERROR(VLOOKUP(G196,板块观察!A:U,14,FALSE),""))</f>
        <v/>
      </c>
      <c r="I196" s="2">
        <f>IF(G196="","",IFERROR(VLOOKUP(G196,板块观察!A:U,15,FALSE),""))</f>
        <v/>
      </c>
      <c r="J196" s="12" t="n"/>
      <c r="K196" s="12" t="n"/>
      <c r="L196" s="12" t="n"/>
      <c r="M196" s="14" t="n"/>
      <c r="N196" s="12" t="n"/>
      <c r="O196" s="2" t="n"/>
      <c r="P196" s="2" t="n"/>
      <c r="Q196" s="2" t="n"/>
      <c r="R196" s="12" t="n"/>
      <c r="S196" s="12" t="n"/>
      <c r="T196" s="12" t="n"/>
      <c r="U196" s="12" t="n"/>
      <c r="V196" s="12" t="n"/>
      <c r="W196" s="12" t="n"/>
      <c r="X196" s="12" t="n"/>
      <c r="Y196" s="2" t="n"/>
      <c r="Z196" s="5">
        <f>IF(A196="","",(COUNTA(A196:G196)+COUNTA(J196:Y196))/23)</f>
        <v/>
      </c>
      <c r="AA196" s="2">
        <f>IF(B196="","",WORKDAY(B196,3))</f>
        <v/>
      </c>
      <c r="AB196" s="2">
        <f>IF(B196="","",WORKDAY(B196,5))</f>
        <v/>
      </c>
      <c r="AC196" s="2">
        <f>IF(B196="","",WORKDAY(B196,10))</f>
        <v/>
      </c>
      <c r="AD196" s="2" t="n"/>
    </row>
    <row r="197">
      <c r="A197" s="12" t="n"/>
      <c r="B197" s="12" t="n"/>
      <c r="C197" s="2" t="n"/>
      <c r="D197" s="4" t="n"/>
      <c r="E197" s="12" t="n"/>
      <c r="F197" s="2" t="n"/>
      <c r="G197" s="12" t="n"/>
      <c r="H197" s="2">
        <f>IF(G197="","",IFERROR(VLOOKUP(G197,板块观察!A:U,14,FALSE),""))</f>
        <v/>
      </c>
      <c r="I197" s="2">
        <f>IF(G197="","",IFERROR(VLOOKUP(G197,板块观察!A:U,15,FALSE),""))</f>
        <v/>
      </c>
      <c r="J197" s="12" t="n"/>
      <c r="K197" s="12" t="n"/>
      <c r="L197" s="12" t="n"/>
      <c r="M197" s="14" t="n"/>
      <c r="N197" s="12" t="n"/>
      <c r="O197" s="2" t="n"/>
      <c r="P197" s="2" t="n"/>
      <c r="Q197" s="2" t="n"/>
      <c r="R197" s="12" t="n"/>
      <c r="S197" s="12" t="n"/>
      <c r="T197" s="12" t="n"/>
      <c r="U197" s="12" t="n"/>
      <c r="V197" s="12" t="n"/>
      <c r="W197" s="12" t="n"/>
      <c r="X197" s="12" t="n"/>
      <c r="Y197" s="2" t="n"/>
      <c r="Z197" s="5">
        <f>IF(A197="","",(COUNTA(A197:G197)+COUNTA(J197:Y197))/23)</f>
        <v/>
      </c>
      <c r="AA197" s="2">
        <f>IF(B197="","",WORKDAY(B197,3))</f>
        <v/>
      </c>
      <c r="AB197" s="2">
        <f>IF(B197="","",WORKDAY(B197,5))</f>
        <v/>
      </c>
      <c r="AC197" s="2">
        <f>IF(B197="","",WORKDAY(B197,10))</f>
        <v/>
      </c>
      <c r="AD197" s="2" t="n"/>
    </row>
    <row r="198">
      <c r="A198" s="12" t="n"/>
      <c r="B198" s="12" t="n"/>
      <c r="C198" s="2" t="n"/>
      <c r="D198" s="4" t="n"/>
      <c r="E198" s="12" t="n"/>
      <c r="F198" s="2" t="n"/>
      <c r="G198" s="12" t="n"/>
      <c r="H198" s="2">
        <f>IF(G198="","",IFERROR(VLOOKUP(G198,板块观察!A:U,14,FALSE),""))</f>
        <v/>
      </c>
      <c r="I198" s="2">
        <f>IF(G198="","",IFERROR(VLOOKUP(G198,板块观察!A:U,15,FALSE),""))</f>
        <v/>
      </c>
      <c r="J198" s="12" t="n"/>
      <c r="K198" s="12" t="n"/>
      <c r="L198" s="12" t="n"/>
      <c r="M198" s="14" t="n"/>
      <c r="N198" s="12" t="n"/>
      <c r="O198" s="2" t="n"/>
      <c r="P198" s="2" t="n"/>
      <c r="Q198" s="2" t="n"/>
      <c r="R198" s="12" t="n"/>
      <c r="S198" s="12" t="n"/>
      <c r="T198" s="12" t="n"/>
      <c r="U198" s="12" t="n"/>
      <c r="V198" s="12" t="n"/>
      <c r="W198" s="12" t="n"/>
      <c r="X198" s="12" t="n"/>
      <c r="Y198" s="2" t="n"/>
      <c r="Z198" s="5">
        <f>IF(A198="","",(COUNTA(A198:G198)+COUNTA(J198:Y198))/23)</f>
        <v/>
      </c>
      <c r="AA198" s="2">
        <f>IF(B198="","",WORKDAY(B198,3))</f>
        <v/>
      </c>
      <c r="AB198" s="2">
        <f>IF(B198="","",WORKDAY(B198,5))</f>
        <v/>
      </c>
      <c r="AC198" s="2">
        <f>IF(B198="","",WORKDAY(B198,10))</f>
        <v/>
      </c>
      <c r="AD198" s="2" t="n"/>
    </row>
    <row r="199">
      <c r="A199" s="12" t="n"/>
      <c r="B199" s="12" t="n"/>
      <c r="C199" s="2" t="n"/>
      <c r="D199" s="4" t="n"/>
      <c r="E199" s="12" t="n"/>
      <c r="F199" s="2" t="n"/>
      <c r="G199" s="12" t="n"/>
      <c r="H199" s="2">
        <f>IF(G199="","",IFERROR(VLOOKUP(G199,板块观察!A:U,14,FALSE),""))</f>
        <v/>
      </c>
      <c r="I199" s="2">
        <f>IF(G199="","",IFERROR(VLOOKUP(G199,板块观察!A:U,15,FALSE),""))</f>
        <v/>
      </c>
      <c r="J199" s="12" t="n"/>
      <c r="K199" s="12" t="n"/>
      <c r="L199" s="12" t="n"/>
      <c r="M199" s="14" t="n"/>
      <c r="N199" s="12" t="n"/>
      <c r="O199" s="2" t="n"/>
      <c r="P199" s="2" t="n"/>
      <c r="Q199" s="2" t="n"/>
      <c r="R199" s="12" t="n"/>
      <c r="S199" s="12" t="n"/>
      <c r="T199" s="12" t="n"/>
      <c r="U199" s="12" t="n"/>
      <c r="V199" s="12" t="n"/>
      <c r="W199" s="12" t="n"/>
      <c r="X199" s="12" t="n"/>
      <c r="Y199" s="2" t="n"/>
      <c r="Z199" s="5">
        <f>IF(A199="","",(COUNTA(A199:G199)+COUNTA(J199:Y199))/23)</f>
        <v/>
      </c>
      <c r="AA199" s="2">
        <f>IF(B199="","",WORKDAY(B199,3))</f>
        <v/>
      </c>
      <c r="AB199" s="2">
        <f>IF(B199="","",WORKDAY(B199,5))</f>
        <v/>
      </c>
      <c r="AC199" s="2">
        <f>IF(B199="","",WORKDAY(B199,10))</f>
        <v/>
      </c>
      <c r="AD199" s="2" t="n"/>
    </row>
    <row r="200">
      <c r="A200" s="12" t="n"/>
      <c r="B200" s="12" t="n"/>
      <c r="C200" s="2" t="n"/>
      <c r="D200" s="4" t="n"/>
      <c r="E200" s="12" t="n"/>
      <c r="F200" s="2" t="n"/>
      <c r="G200" s="12" t="n"/>
      <c r="H200" s="2">
        <f>IF(G200="","",IFERROR(VLOOKUP(G200,板块观察!A:U,14,FALSE),""))</f>
        <v/>
      </c>
      <c r="I200" s="2">
        <f>IF(G200="","",IFERROR(VLOOKUP(G200,板块观察!A:U,15,FALSE),""))</f>
        <v/>
      </c>
      <c r="J200" s="12" t="n"/>
      <c r="K200" s="12" t="n"/>
      <c r="L200" s="12" t="n"/>
      <c r="M200" s="14" t="n"/>
      <c r="N200" s="12" t="n"/>
      <c r="O200" s="2" t="n"/>
      <c r="P200" s="2" t="n"/>
      <c r="Q200" s="2" t="n"/>
      <c r="R200" s="12" t="n"/>
      <c r="S200" s="12" t="n"/>
      <c r="T200" s="12" t="n"/>
      <c r="U200" s="12" t="n"/>
      <c r="V200" s="12" t="n"/>
      <c r="W200" s="12" t="n"/>
      <c r="X200" s="12" t="n"/>
      <c r="Y200" s="2" t="n"/>
      <c r="Z200" s="5">
        <f>IF(A200="","",(COUNTA(A200:G200)+COUNTA(J200:Y200))/23)</f>
        <v/>
      </c>
      <c r="AA200" s="2">
        <f>IF(B200="","",WORKDAY(B200,3))</f>
        <v/>
      </c>
      <c r="AB200" s="2">
        <f>IF(B200="","",WORKDAY(B200,5))</f>
        <v/>
      </c>
      <c r="AC200" s="2">
        <f>IF(B200="","",WORKDAY(B200,10))</f>
        <v/>
      </c>
      <c r="AD200" s="2" t="n"/>
    </row>
    <row r="201">
      <c r="A201" s="12" t="n"/>
      <c r="B201" s="12" t="n"/>
      <c r="C201" s="2" t="n"/>
      <c r="D201" s="4" t="n"/>
      <c r="E201" s="12" t="n"/>
      <c r="F201" s="2" t="n"/>
      <c r="G201" s="12" t="n"/>
      <c r="H201" s="2">
        <f>IF(G201="","",IFERROR(VLOOKUP(G201,板块观察!A:U,14,FALSE),""))</f>
        <v/>
      </c>
      <c r="I201" s="2">
        <f>IF(G201="","",IFERROR(VLOOKUP(G201,板块观察!A:U,15,FALSE),""))</f>
        <v/>
      </c>
      <c r="J201" s="12" t="n"/>
      <c r="K201" s="12" t="n"/>
      <c r="L201" s="12" t="n"/>
      <c r="M201" s="14" t="n"/>
      <c r="N201" s="12" t="n"/>
      <c r="O201" s="2" t="n"/>
      <c r="P201" s="2" t="n"/>
      <c r="Q201" s="2" t="n"/>
      <c r="R201" s="12" t="n"/>
      <c r="S201" s="12" t="n"/>
      <c r="T201" s="12" t="n"/>
      <c r="U201" s="12" t="n"/>
      <c r="V201" s="12" t="n"/>
      <c r="W201" s="12" t="n"/>
      <c r="X201" s="12" t="n"/>
      <c r="Y201" s="2" t="n"/>
      <c r="Z201" s="5">
        <f>IF(A201="","",(COUNTA(A201:G201)+COUNTA(J201:Y201))/23)</f>
        <v/>
      </c>
      <c r="AA201" s="2">
        <f>IF(B201="","",WORKDAY(B201,3))</f>
        <v/>
      </c>
      <c r="AB201" s="2">
        <f>IF(B201="","",WORKDAY(B201,5))</f>
        <v/>
      </c>
      <c r="AC201" s="2">
        <f>IF(B201="","",WORKDAY(B201,10))</f>
        <v/>
      </c>
      <c r="AD201" s="2" t="n"/>
    </row>
    <row r="202">
      <c r="A202" s="12" t="n"/>
      <c r="B202" s="12" t="n"/>
      <c r="C202" s="2" t="n"/>
      <c r="D202" s="4" t="n"/>
      <c r="E202" s="12" t="n"/>
      <c r="F202" s="2" t="n"/>
      <c r="G202" s="12" t="n"/>
      <c r="H202" s="2">
        <f>IF(G202="","",IFERROR(VLOOKUP(G202,板块观察!A:U,14,FALSE),""))</f>
        <v/>
      </c>
      <c r="I202" s="2">
        <f>IF(G202="","",IFERROR(VLOOKUP(G202,板块观察!A:U,15,FALSE),""))</f>
        <v/>
      </c>
      <c r="J202" s="12" t="n"/>
      <c r="K202" s="12" t="n"/>
      <c r="L202" s="12" t="n"/>
      <c r="M202" s="14" t="n"/>
      <c r="N202" s="12" t="n"/>
      <c r="O202" s="2" t="n"/>
      <c r="P202" s="2" t="n"/>
      <c r="Q202" s="2" t="n"/>
      <c r="R202" s="12" t="n"/>
      <c r="S202" s="12" t="n"/>
      <c r="T202" s="12" t="n"/>
      <c r="U202" s="12" t="n"/>
      <c r="V202" s="12" t="n"/>
      <c r="W202" s="12" t="n"/>
      <c r="X202" s="12" t="n"/>
      <c r="Y202" s="2" t="n"/>
      <c r="Z202" s="5">
        <f>IF(A202="","",(COUNTA(A202:G202)+COUNTA(J202:Y202))/23)</f>
        <v/>
      </c>
      <c r="AA202" s="2">
        <f>IF(B202="","",WORKDAY(B202,3))</f>
        <v/>
      </c>
      <c r="AB202" s="2">
        <f>IF(B202="","",WORKDAY(B202,5))</f>
        <v/>
      </c>
      <c r="AC202" s="2">
        <f>IF(B202="","",WORKDAY(B202,10))</f>
        <v/>
      </c>
      <c r="AD202" s="2" t="n"/>
    </row>
    <row r="203">
      <c r="A203" s="12" t="n"/>
      <c r="B203" s="12" t="n"/>
      <c r="C203" s="2" t="n"/>
      <c r="D203" s="4" t="n"/>
      <c r="E203" s="12" t="n"/>
      <c r="F203" s="2" t="n"/>
      <c r="G203" s="12" t="n"/>
      <c r="H203" s="2">
        <f>IF(G203="","",IFERROR(VLOOKUP(G203,板块观察!A:U,14,FALSE),""))</f>
        <v/>
      </c>
      <c r="I203" s="2">
        <f>IF(G203="","",IFERROR(VLOOKUP(G203,板块观察!A:U,15,FALSE),""))</f>
        <v/>
      </c>
      <c r="J203" s="12" t="n"/>
      <c r="K203" s="12" t="n"/>
      <c r="L203" s="12" t="n"/>
      <c r="M203" s="14" t="n"/>
      <c r="N203" s="12" t="n"/>
      <c r="O203" s="2" t="n"/>
      <c r="P203" s="2" t="n"/>
      <c r="Q203" s="2" t="n"/>
      <c r="R203" s="12" t="n"/>
      <c r="S203" s="12" t="n"/>
      <c r="T203" s="12" t="n"/>
      <c r="U203" s="12" t="n"/>
      <c r="V203" s="12" t="n"/>
      <c r="W203" s="12" t="n"/>
      <c r="X203" s="12" t="n"/>
      <c r="Y203" s="2" t="n"/>
      <c r="Z203" s="5">
        <f>IF(A203="","",(COUNTA(A203:G203)+COUNTA(J203:Y203))/23)</f>
        <v/>
      </c>
      <c r="AA203" s="2">
        <f>IF(B203="","",WORKDAY(B203,3))</f>
        <v/>
      </c>
      <c r="AB203" s="2">
        <f>IF(B203="","",WORKDAY(B203,5))</f>
        <v/>
      </c>
      <c r="AC203" s="2">
        <f>IF(B203="","",WORKDAY(B203,10))</f>
        <v/>
      </c>
      <c r="AD203" s="2" t="n"/>
    </row>
    <row r="204">
      <c r="A204" s="12" t="n"/>
      <c r="B204" s="12" t="n"/>
      <c r="C204" s="2" t="n"/>
      <c r="D204" s="4" t="n"/>
      <c r="E204" s="12" t="n"/>
      <c r="F204" s="2" t="n"/>
      <c r="G204" s="12" t="n"/>
      <c r="H204" s="2">
        <f>IF(G204="","",IFERROR(VLOOKUP(G204,板块观察!A:U,14,FALSE),""))</f>
        <v/>
      </c>
      <c r="I204" s="2">
        <f>IF(G204="","",IFERROR(VLOOKUP(G204,板块观察!A:U,15,FALSE),""))</f>
        <v/>
      </c>
      <c r="J204" s="12" t="n"/>
      <c r="K204" s="12" t="n"/>
      <c r="L204" s="12" t="n"/>
      <c r="M204" s="14" t="n"/>
      <c r="N204" s="12" t="n"/>
      <c r="O204" s="2" t="n"/>
      <c r="P204" s="2" t="n"/>
      <c r="Q204" s="2" t="n"/>
      <c r="R204" s="12" t="n"/>
      <c r="S204" s="12" t="n"/>
      <c r="T204" s="12" t="n"/>
      <c r="U204" s="12" t="n"/>
      <c r="V204" s="12" t="n"/>
      <c r="W204" s="12" t="n"/>
      <c r="X204" s="12" t="n"/>
      <c r="Y204" s="2" t="n"/>
      <c r="Z204" s="5">
        <f>IF(A204="","",(COUNTA(A204:G204)+COUNTA(J204:Y204))/23)</f>
        <v/>
      </c>
      <c r="AA204" s="2">
        <f>IF(B204="","",WORKDAY(B204,3))</f>
        <v/>
      </c>
      <c r="AB204" s="2">
        <f>IF(B204="","",WORKDAY(B204,5))</f>
        <v/>
      </c>
      <c r="AC204" s="2">
        <f>IF(B204="","",WORKDAY(B204,10))</f>
        <v/>
      </c>
      <c r="AD204" s="2" t="n"/>
    </row>
    <row r="205">
      <c r="A205" s="12" t="n"/>
      <c r="B205" s="12" t="n"/>
      <c r="C205" s="2" t="n"/>
      <c r="D205" s="4" t="n"/>
      <c r="E205" s="12" t="n"/>
      <c r="F205" s="2" t="n"/>
      <c r="G205" s="12" t="n"/>
      <c r="H205" s="2">
        <f>IF(G205="","",IFERROR(VLOOKUP(G205,板块观察!A:U,14,FALSE),""))</f>
        <v/>
      </c>
      <c r="I205" s="2">
        <f>IF(G205="","",IFERROR(VLOOKUP(G205,板块观察!A:U,15,FALSE),""))</f>
        <v/>
      </c>
      <c r="J205" s="12" t="n"/>
      <c r="K205" s="12" t="n"/>
      <c r="L205" s="12" t="n"/>
      <c r="M205" s="14" t="n"/>
      <c r="N205" s="12" t="n"/>
      <c r="O205" s="2" t="n"/>
      <c r="P205" s="2" t="n"/>
      <c r="Q205" s="2" t="n"/>
      <c r="R205" s="12" t="n"/>
      <c r="S205" s="12" t="n"/>
      <c r="T205" s="12" t="n"/>
      <c r="U205" s="12" t="n"/>
      <c r="V205" s="12" t="n"/>
      <c r="W205" s="12" t="n"/>
      <c r="X205" s="12" t="n"/>
      <c r="Y205" s="2" t="n"/>
      <c r="Z205" s="5">
        <f>IF(A205="","",(COUNTA(A205:G205)+COUNTA(J205:Y205))/23)</f>
        <v/>
      </c>
      <c r="AA205" s="2">
        <f>IF(B205="","",WORKDAY(B205,3))</f>
        <v/>
      </c>
      <c r="AB205" s="2">
        <f>IF(B205="","",WORKDAY(B205,5))</f>
        <v/>
      </c>
      <c r="AC205" s="2">
        <f>IF(B205="","",WORKDAY(B205,10))</f>
        <v/>
      </c>
      <c r="AD205" s="2" t="n"/>
    </row>
    <row r="206">
      <c r="A206" s="12" t="n"/>
      <c r="B206" s="12" t="n"/>
      <c r="C206" s="2" t="n"/>
      <c r="D206" s="4" t="n"/>
      <c r="E206" s="12" t="n"/>
      <c r="F206" s="2" t="n"/>
      <c r="G206" s="12" t="n"/>
      <c r="H206" s="2">
        <f>IF(G206="","",IFERROR(VLOOKUP(G206,板块观察!A:U,14,FALSE),""))</f>
        <v/>
      </c>
      <c r="I206" s="2">
        <f>IF(G206="","",IFERROR(VLOOKUP(G206,板块观察!A:U,15,FALSE),""))</f>
        <v/>
      </c>
      <c r="J206" s="12" t="n"/>
      <c r="K206" s="12" t="n"/>
      <c r="L206" s="12" t="n"/>
      <c r="M206" s="14" t="n"/>
      <c r="N206" s="12" t="n"/>
      <c r="O206" s="2" t="n"/>
      <c r="P206" s="2" t="n"/>
      <c r="Q206" s="2" t="n"/>
      <c r="R206" s="12" t="n"/>
      <c r="S206" s="12" t="n"/>
      <c r="T206" s="12" t="n"/>
      <c r="U206" s="12" t="n"/>
      <c r="V206" s="12" t="n"/>
      <c r="W206" s="12" t="n"/>
      <c r="X206" s="12" t="n"/>
      <c r="Y206" s="2" t="n"/>
      <c r="Z206" s="5">
        <f>IF(A206="","",(COUNTA(A206:G206)+COUNTA(J206:Y206))/23)</f>
        <v/>
      </c>
      <c r="AA206" s="2">
        <f>IF(B206="","",WORKDAY(B206,3))</f>
        <v/>
      </c>
      <c r="AB206" s="2">
        <f>IF(B206="","",WORKDAY(B206,5))</f>
        <v/>
      </c>
      <c r="AC206" s="2">
        <f>IF(B206="","",WORKDAY(B206,10))</f>
        <v/>
      </c>
      <c r="AD206" s="2" t="n"/>
    </row>
    <row r="207">
      <c r="A207" s="12" t="n"/>
      <c r="B207" s="12" t="n"/>
      <c r="C207" s="2" t="n"/>
      <c r="D207" s="4" t="n"/>
      <c r="E207" s="12" t="n"/>
      <c r="F207" s="2" t="n"/>
      <c r="G207" s="12" t="n"/>
      <c r="H207" s="2">
        <f>IF(G207="","",IFERROR(VLOOKUP(G207,板块观察!A:U,14,FALSE),""))</f>
        <v/>
      </c>
      <c r="I207" s="2">
        <f>IF(G207="","",IFERROR(VLOOKUP(G207,板块观察!A:U,15,FALSE),""))</f>
        <v/>
      </c>
      <c r="J207" s="12" t="n"/>
      <c r="K207" s="12" t="n"/>
      <c r="L207" s="12" t="n"/>
      <c r="M207" s="14" t="n"/>
      <c r="N207" s="12" t="n"/>
      <c r="O207" s="2" t="n"/>
      <c r="P207" s="2" t="n"/>
      <c r="Q207" s="2" t="n"/>
      <c r="R207" s="12" t="n"/>
      <c r="S207" s="12" t="n"/>
      <c r="T207" s="12" t="n"/>
      <c r="U207" s="12" t="n"/>
      <c r="V207" s="12" t="n"/>
      <c r="W207" s="12" t="n"/>
      <c r="X207" s="12" t="n"/>
      <c r="Y207" s="2" t="n"/>
      <c r="Z207" s="5">
        <f>IF(A207="","",(COUNTA(A207:G207)+COUNTA(J207:Y207))/23)</f>
        <v/>
      </c>
      <c r="AA207" s="2">
        <f>IF(B207="","",WORKDAY(B207,3))</f>
        <v/>
      </c>
      <c r="AB207" s="2">
        <f>IF(B207="","",WORKDAY(B207,5))</f>
        <v/>
      </c>
      <c r="AC207" s="2">
        <f>IF(B207="","",WORKDAY(B207,10))</f>
        <v/>
      </c>
      <c r="AD207" s="2" t="n"/>
    </row>
    <row r="208">
      <c r="A208" s="12" t="n"/>
      <c r="B208" s="12" t="n"/>
      <c r="C208" s="2" t="n"/>
      <c r="D208" s="4" t="n"/>
      <c r="E208" s="12" t="n"/>
      <c r="F208" s="2" t="n"/>
      <c r="G208" s="12" t="n"/>
      <c r="H208" s="2">
        <f>IF(G208="","",IFERROR(VLOOKUP(G208,板块观察!A:U,14,FALSE),""))</f>
        <v/>
      </c>
      <c r="I208" s="2">
        <f>IF(G208="","",IFERROR(VLOOKUP(G208,板块观察!A:U,15,FALSE),""))</f>
        <v/>
      </c>
      <c r="J208" s="12" t="n"/>
      <c r="K208" s="12" t="n"/>
      <c r="L208" s="12" t="n"/>
      <c r="M208" s="14" t="n"/>
      <c r="N208" s="12" t="n"/>
      <c r="O208" s="2" t="n"/>
      <c r="P208" s="2" t="n"/>
      <c r="Q208" s="2" t="n"/>
      <c r="R208" s="12" t="n"/>
      <c r="S208" s="12" t="n"/>
      <c r="T208" s="12" t="n"/>
      <c r="U208" s="12" t="n"/>
      <c r="V208" s="12" t="n"/>
      <c r="W208" s="12" t="n"/>
      <c r="X208" s="12" t="n"/>
      <c r="Y208" s="2" t="n"/>
      <c r="Z208" s="5">
        <f>IF(A208="","",(COUNTA(A208:G208)+COUNTA(J208:Y208))/23)</f>
        <v/>
      </c>
      <c r="AA208" s="2">
        <f>IF(B208="","",WORKDAY(B208,3))</f>
        <v/>
      </c>
      <c r="AB208" s="2">
        <f>IF(B208="","",WORKDAY(B208,5))</f>
        <v/>
      </c>
      <c r="AC208" s="2">
        <f>IF(B208="","",WORKDAY(B208,10))</f>
        <v/>
      </c>
      <c r="AD208" s="2" t="n"/>
    </row>
    <row r="209">
      <c r="A209" s="12" t="n"/>
      <c r="B209" s="12" t="n"/>
      <c r="C209" s="2" t="n"/>
      <c r="D209" s="4" t="n"/>
      <c r="E209" s="12" t="n"/>
      <c r="F209" s="2" t="n"/>
      <c r="G209" s="12" t="n"/>
      <c r="H209" s="2">
        <f>IF(G209="","",IFERROR(VLOOKUP(G209,板块观察!A:U,14,FALSE),""))</f>
        <v/>
      </c>
      <c r="I209" s="2">
        <f>IF(G209="","",IFERROR(VLOOKUP(G209,板块观察!A:U,15,FALSE),""))</f>
        <v/>
      </c>
      <c r="J209" s="12" t="n"/>
      <c r="K209" s="12" t="n"/>
      <c r="L209" s="12" t="n"/>
      <c r="M209" s="14" t="n"/>
      <c r="N209" s="12" t="n"/>
      <c r="O209" s="2" t="n"/>
      <c r="P209" s="2" t="n"/>
      <c r="Q209" s="2" t="n"/>
      <c r="R209" s="12" t="n"/>
      <c r="S209" s="12" t="n"/>
      <c r="T209" s="12" t="n"/>
      <c r="U209" s="12" t="n"/>
      <c r="V209" s="12" t="n"/>
      <c r="W209" s="12" t="n"/>
      <c r="X209" s="12" t="n"/>
      <c r="Y209" s="2" t="n"/>
      <c r="Z209" s="5">
        <f>IF(A209="","",(COUNTA(A209:G209)+COUNTA(J209:Y209))/23)</f>
        <v/>
      </c>
      <c r="AA209" s="2">
        <f>IF(B209="","",WORKDAY(B209,3))</f>
        <v/>
      </c>
      <c r="AB209" s="2">
        <f>IF(B209="","",WORKDAY(B209,5))</f>
        <v/>
      </c>
      <c r="AC209" s="2">
        <f>IF(B209="","",WORKDAY(B209,10))</f>
        <v/>
      </c>
      <c r="AD209" s="2" t="n"/>
    </row>
    <row r="210">
      <c r="A210" s="12" t="n"/>
      <c r="B210" s="12" t="n"/>
      <c r="C210" s="2" t="n"/>
      <c r="D210" s="4" t="n"/>
      <c r="E210" s="12" t="n"/>
      <c r="F210" s="2" t="n"/>
      <c r="G210" s="12" t="n"/>
      <c r="H210" s="2">
        <f>IF(G210="","",IFERROR(VLOOKUP(G210,板块观察!A:U,14,FALSE),""))</f>
        <v/>
      </c>
      <c r="I210" s="2">
        <f>IF(G210="","",IFERROR(VLOOKUP(G210,板块观察!A:U,15,FALSE),""))</f>
        <v/>
      </c>
      <c r="J210" s="12" t="n"/>
      <c r="K210" s="12" t="n"/>
      <c r="L210" s="12" t="n"/>
      <c r="M210" s="14" t="n"/>
      <c r="N210" s="12" t="n"/>
      <c r="O210" s="2" t="n"/>
      <c r="P210" s="2" t="n"/>
      <c r="Q210" s="2" t="n"/>
      <c r="R210" s="12" t="n"/>
      <c r="S210" s="12" t="n"/>
      <c r="T210" s="12" t="n"/>
      <c r="U210" s="12" t="n"/>
      <c r="V210" s="12" t="n"/>
      <c r="W210" s="12" t="n"/>
      <c r="X210" s="12" t="n"/>
      <c r="Y210" s="2" t="n"/>
      <c r="Z210" s="5">
        <f>IF(A210="","",(COUNTA(A210:G210)+COUNTA(J210:Y210))/23)</f>
        <v/>
      </c>
      <c r="AA210" s="2">
        <f>IF(B210="","",WORKDAY(B210,3))</f>
        <v/>
      </c>
      <c r="AB210" s="2">
        <f>IF(B210="","",WORKDAY(B210,5))</f>
        <v/>
      </c>
      <c r="AC210" s="2">
        <f>IF(B210="","",WORKDAY(B210,10))</f>
        <v/>
      </c>
      <c r="AD210" s="2" t="n"/>
    </row>
    <row r="211">
      <c r="A211" s="12" t="n"/>
      <c r="B211" s="12" t="n"/>
      <c r="C211" s="2" t="n"/>
      <c r="D211" s="4" t="n"/>
      <c r="E211" s="12" t="n"/>
      <c r="F211" s="2" t="n"/>
      <c r="G211" s="12" t="n"/>
      <c r="H211" s="2">
        <f>IF(G211="","",IFERROR(VLOOKUP(G211,板块观察!A:U,14,FALSE),""))</f>
        <v/>
      </c>
      <c r="I211" s="2">
        <f>IF(G211="","",IFERROR(VLOOKUP(G211,板块观察!A:U,15,FALSE),""))</f>
        <v/>
      </c>
      <c r="J211" s="12" t="n"/>
      <c r="K211" s="12" t="n"/>
      <c r="L211" s="12" t="n"/>
      <c r="M211" s="14" t="n"/>
      <c r="N211" s="12" t="n"/>
      <c r="O211" s="2" t="n"/>
      <c r="P211" s="2" t="n"/>
      <c r="Q211" s="2" t="n"/>
      <c r="R211" s="12" t="n"/>
      <c r="S211" s="12" t="n"/>
      <c r="T211" s="12" t="n"/>
      <c r="U211" s="12" t="n"/>
      <c r="V211" s="12" t="n"/>
      <c r="W211" s="12" t="n"/>
      <c r="X211" s="12" t="n"/>
      <c r="Y211" s="2" t="n"/>
      <c r="Z211" s="5">
        <f>IF(A211="","",(COUNTA(A211:G211)+COUNTA(J211:Y211))/23)</f>
        <v/>
      </c>
      <c r="AA211" s="2">
        <f>IF(B211="","",WORKDAY(B211,3))</f>
        <v/>
      </c>
      <c r="AB211" s="2">
        <f>IF(B211="","",WORKDAY(B211,5))</f>
        <v/>
      </c>
      <c r="AC211" s="2">
        <f>IF(B211="","",WORKDAY(B211,10))</f>
        <v/>
      </c>
      <c r="AD211" s="2" t="n"/>
    </row>
    <row r="212">
      <c r="A212" s="12" t="n"/>
      <c r="B212" s="12" t="n"/>
      <c r="C212" s="2" t="n"/>
      <c r="D212" s="4" t="n"/>
      <c r="E212" s="12" t="n"/>
      <c r="F212" s="2" t="n"/>
      <c r="G212" s="12" t="n"/>
      <c r="H212" s="2">
        <f>IF(G212="","",IFERROR(VLOOKUP(G212,板块观察!A:U,14,FALSE),""))</f>
        <v/>
      </c>
      <c r="I212" s="2">
        <f>IF(G212="","",IFERROR(VLOOKUP(G212,板块观察!A:U,15,FALSE),""))</f>
        <v/>
      </c>
      <c r="J212" s="12" t="n"/>
      <c r="K212" s="12" t="n"/>
      <c r="L212" s="12" t="n"/>
      <c r="M212" s="14" t="n"/>
      <c r="N212" s="12" t="n"/>
      <c r="O212" s="2" t="n"/>
      <c r="P212" s="2" t="n"/>
      <c r="Q212" s="2" t="n"/>
      <c r="R212" s="12" t="n"/>
      <c r="S212" s="12" t="n"/>
      <c r="T212" s="12" t="n"/>
      <c r="U212" s="12" t="n"/>
      <c r="V212" s="12" t="n"/>
      <c r="W212" s="12" t="n"/>
      <c r="X212" s="12" t="n"/>
      <c r="Y212" s="2" t="n"/>
      <c r="Z212" s="5">
        <f>IF(A212="","",(COUNTA(A212:G212)+COUNTA(J212:Y212))/23)</f>
        <v/>
      </c>
      <c r="AA212" s="2">
        <f>IF(B212="","",WORKDAY(B212,3))</f>
        <v/>
      </c>
      <c r="AB212" s="2">
        <f>IF(B212="","",WORKDAY(B212,5))</f>
        <v/>
      </c>
      <c r="AC212" s="2">
        <f>IF(B212="","",WORKDAY(B212,10))</f>
        <v/>
      </c>
      <c r="AD212" s="2" t="n"/>
    </row>
    <row r="213">
      <c r="A213" s="12" t="n"/>
      <c r="B213" s="12" t="n"/>
      <c r="C213" s="2" t="n"/>
      <c r="D213" s="4" t="n"/>
      <c r="E213" s="12" t="n"/>
      <c r="F213" s="2" t="n"/>
      <c r="G213" s="12" t="n"/>
      <c r="H213" s="2">
        <f>IF(G213="","",IFERROR(VLOOKUP(G213,板块观察!A:U,14,FALSE),""))</f>
        <v/>
      </c>
      <c r="I213" s="2">
        <f>IF(G213="","",IFERROR(VLOOKUP(G213,板块观察!A:U,15,FALSE),""))</f>
        <v/>
      </c>
      <c r="J213" s="12" t="n"/>
      <c r="K213" s="12" t="n"/>
      <c r="L213" s="12" t="n"/>
      <c r="M213" s="14" t="n"/>
      <c r="N213" s="12" t="n"/>
      <c r="O213" s="2" t="n"/>
      <c r="P213" s="2" t="n"/>
      <c r="Q213" s="2" t="n"/>
      <c r="R213" s="12" t="n"/>
      <c r="S213" s="12" t="n"/>
      <c r="T213" s="12" t="n"/>
      <c r="U213" s="12" t="n"/>
      <c r="V213" s="12" t="n"/>
      <c r="W213" s="12" t="n"/>
      <c r="X213" s="12" t="n"/>
      <c r="Y213" s="2" t="n"/>
      <c r="Z213" s="5">
        <f>IF(A213="","",(COUNTA(A213:G213)+COUNTA(J213:Y213))/23)</f>
        <v/>
      </c>
      <c r="AA213" s="2">
        <f>IF(B213="","",WORKDAY(B213,3))</f>
        <v/>
      </c>
      <c r="AB213" s="2">
        <f>IF(B213="","",WORKDAY(B213,5))</f>
        <v/>
      </c>
      <c r="AC213" s="2">
        <f>IF(B213="","",WORKDAY(B213,10))</f>
        <v/>
      </c>
      <c r="AD213" s="2" t="n"/>
    </row>
    <row r="214">
      <c r="A214" s="12" t="n"/>
      <c r="B214" s="12" t="n"/>
      <c r="C214" s="2" t="n"/>
      <c r="D214" s="4" t="n"/>
      <c r="E214" s="12" t="n"/>
      <c r="F214" s="2" t="n"/>
      <c r="G214" s="12" t="n"/>
      <c r="H214" s="2">
        <f>IF(G214="","",IFERROR(VLOOKUP(G214,板块观察!A:U,14,FALSE),""))</f>
        <v/>
      </c>
      <c r="I214" s="2">
        <f>IF(G214="","",IFERROR(VLOOKUP(G214,板块观察!A:U,15,FALSE),""))</f>
        <v/>
      </c>
      <c r="J214" s="12" t="n"/>
      <c r="K214" s="12" t="n"/>
      <c r="L214" s="12" t="n"/>
      <c r="M214" s="14" t="n"/>
      <c r="N214" s="12" t="n"/>
      <c r="O214" s="2" t="n"/>
      <c r="P214" s="2" t="n"/>
      <c r="Q214" s="2" t="n"/>
      <c r="R214" s="12" t="n"/>
      <c r="S214" s="12" t="n"/>
      <c r="T214" s="12" t="n"/>
      <c r="U214" s="12" t="n"/>
      <c r="V214" s="12" t="n"/>
      <c r="W214" s="12" t="n"/>
      <c r="X214" s="12" t="n"/>
      <c r="Y214" s="2" t="n"/>
      <c r="Z214" s="5">
        <f>IF(A214="","",(COUNTA(A214:G214)+COUNTA(J214:Y214))/23)</f>
        <v/>
      </c>
      <c r="AA214" s="2">
        <f>IF(B214="","",WORKDAY(B214,3))</f>
        <v/>
      </c>
      <c r="AB214" s="2">
        <f>IF(B214="","",WORKDAY(B214,5))</f>
        <v/>
      </c>
      <c r="AC214" s="2">
        <f>IF(B214="","",WORKDAY(B214,10))</f>
        <v/>
      </c>
      <c r="AD214" s="2" t="n"/>
    </row>
    <row r="215">
      <c r="A215" s="12" t="n"/>
      <c r="B215" s="12" t="n"/>
      <c r="C215" s="2" t="n"/>
      <c r="D215" s="4" t="n"/>
      <c r="E215" s="12" t="n"/>
      <c r="F215" s="2" t="n"/>
      <c r="G215" s="12" t="n"/>
      <c r="H215" s="2">
        <f>IF(G215="","",IFERROR(VLOOKUP(G215,板块观察!A:U,14,FALSE),""))</f>
        <v/>
      </c>
      <c r="I215" s="2">
        <f>IF(G215="","",IFERROR(VLOOKUP(G215,板块观察!A:U,15,FALSE),""))</f>
        <v/>
      </c>
      <c r="J215" s="12" t="n"/>
      <c r="K215" s="12" t="n"/>
      <c r="L215" s="12" t="n"/>
      <c r="M215" s="14" t="n"/>
      <c r="N215" s="12" t="n"/>
      <c r="O215" s="2" t="n"/>
      <c r="P215" s="2" t="n"/>
      <c r="Q215" s="2" t="n"/>
      <c r="R215" s="12" t="n"/>
      <c r="S215" s="12" t="n"/>
      <c r="T215" s="12" t="n"/>
      <c r="U215" s="12" t="n"/>
      <c r="V215" s="12" t="n"/>
      <c r="W215" s="12" t="n"/>
      <c r="X215" s="12" t="n"/>
      <c r="Y215" s="2" t="n"/>
      <c r="Z215" s="5">
        <f>IF(A215="","",(COUNTA(A215:G215)+COUNTA(J215:Y215))/23)</f>
        <v/>
      </c>
      <c r="AA215" s="2">
        <f>IF(B215="","",WORKDAY(B215,3))</f>
        <v/>
      </c>
      <c r="AB215" s="2">
        <f>IF(B215="","",WORKDAY(B215,5))</f>
        <v/>
      </c>
      <c r="AC215" s="2">
        <f>IF(B215="","",WORKDAY(B215,10))</f>
        <v/>
      </c>
      <c r="AD215" s="2" t="n"/>
    </row>
    <row r="216">
      <c r="A216" s="12" t="n"/>
      <c r="B216" s="12" t="n"/>
      <c r="C216" s="2" t="n"/>
      <c r="D216" s="4" t="n"/>
      <c r="E216" s="12" t="n"/>
      <c r="F216" s="2" t="n"/>
      <c r="G216" s="12" t="n"/>
      <c r="H216" s="2">
        <f>IF(G216="","",IFERROR(VLOOKUP(G216,板块观察!A:U,14,FALSE),""))</f>
        <v/>
      </c>
      <c r="I216" s="2">
        <f>IF(G216="","",IFERROR(VLOOKUP(G216,板块观察!A:U,15,FALSE),""))</f>
        <v/>
      </c>
      <c r="J216" s="12" t="n"/>
      <c r="K216" s="12" t="n"/>
      <c r="L216" s="12" t="n"/>
      <c r="M216" s="14" t="n"/>
      <c r="N216" s="12" t="n"/>
      <c r="O216" s="2" t="n"/>
      <c r="P216" s="2" t="n"/>
      <c r="Q216" s="2" t="n"/>
      <c r="R216" s="12" t="n"/>
      <c r="S216" s="12" t="n"/>
      <c r="T216" s="12" t="n"/>
      <c r="U216" s="12" t="n"/>
      <c r="V216" s="12" t="n"/>
      <c r="W216" s="12" t="n"/>
      <c r="X216" s="12" t="n"/>
      <c r="Y216" s="2" t="n"/>
      <c r="Z216" s="5">
        <f>IF(A216="","",(COUNTA(A216:G216)+COUNTA(J216:Y216))/23)</f>
        <v/>
      </c>
      <c r="AA216" s="2">
        <f>IF(B216="","",WORKDAY(B216,3))</f>
        <v/>
      </c>
      <c r="AB216" s="2">
        <f>IF(B216="","",WORKDAY(B216,5))</f>
        <v/>
      </c>
      <c r="AC216" s="2">
        <f>IF(B216="","",WORKDAY(B216,10))</f>
        <v/>
      </c>
      <c r="AD216" s="2" t="n"/>
    </row>
    <row r="217">
      <c r="A217" s="12" t="n"/>
      <c r="B217" s="12" t="n"/>
      <c r="C217" s="2" t="n"/>
      <c r="D217" s="4" t="n"/>
      <c r="E217" s="12" t="n"/>
      <c r="F217" s="2" t="n"/>
      <c r="G217" s="12" t="n"/>
      <c r="H217" s="2">
        <f>IF(G217="","",IFERROR(VLOOKUP(G217,板块观察!A:U,14,FALSE),""))</f>
        <v/>
      </c>
      <c r="I217" s="2">
        <f>IF(G217="","",IFERROR(VLOOKUP(G217,板块观察!A:U,15,FALSE),""))</f>
        <v/>
      </c>
      <c r="J217" s="12" t="n"/>
      <c r="K217" s="12" t="n"/>
      <c r="L217" s="12" t="n"/>
      <c r="M217" s="14" t="n"/>
      <c r="N217" s="12" t="n"/>
      <c r="O217" s="2" t="n"/>
      <c r="P217" s="2" t="n"/>
      <c r="Q217" s="2" t="n"/>
      <c r="R217" s="12" t="n"/>
      <c r="S217" s="12" t="n"/>
      <c r="T217" s="12" t="n"/>
      <c r="U217" s="12" t="n"/>
      <c r="V217" s="12" t="n"/>
      <c r="W217" s="12" t="n"/>
      <c r="X217" s="12" t="n"/>
      <c r="Y217" s="2" t="n"/>
      <c r="Z217" s="5">
        <f>IF(A217="","",(COUNTA(A217:G217)+COUNTA(J217:Y217))/23)</f>
        <v/>
      </c>
      <c r="AA217" s="2">
        <f>IF(B217="","",WORKDAY(B217,3))</f>
        <v/>
      </c>
      <c r="AB217" s="2">
        <f>IF(B217="","",WORKDAY(B217,5))</f>
        <v/>
      </c>
      <c r="AC217" s="2">
        <f>IF(B217="","",WORKDAY(B217,10))</f>
        <v/>
      </c>
      <c r="AD217" s="2" t="n"/>
    </row>
    <row r="218">
      <c r="A218" s="12" t="n"/>
      <c r="B218" s="12" t="n"/>
      <c r="C218" s="2" t="n"/>
      <c r="D218" s="4" t="n"/>
      <c r="E218" s="12" t="n"/>
      <c r="F218" s="2" t="n"/>
      <c r="G218" s="12" t="n"/>
      <c r="H218" s="2">
        <f>IF(G218="","",IFERROR(VLOOKUP(G218,板块观察!A:U,14,FALSE),""))</f>
        <v/>
      </c>
      <c r="I218" s="2">
        <f>IF(G218="","",IFERROR(VLOOKUP(G218,板块观察!A:U,15,FALSE),""))</f>
        <v/>
      </c>
      <c r="J218" s="12" t="n"/>
      <c r="K218" s="12" t="n"/>
      <c r="L218" s="12" t="n"/>
      <c r="M218" s="14" t="n"/>
      <c r="N218" s="12" t="n"/>
      <c r="O218" s="2" t="n"/>
      <c r="P218" s="2" t="n"/>
      <c r="Q218" s="2" t="n"/>
      <c r="R218" s="12" t="n"/>
      <c r="S218" s="12" t="n"/>
      <c r="T218" s="12" t="n"/>
      <c r="U218" s="12" t="n"/>
      <c r="V218" s="12" t="n"/>
      <c r="W218" s="12" t="n"/>
      <c r="X218" s="12" t="n"/>
      <c r="Y218" s="2" t="n"/>
      <c r="Z218" s="5">
        <f>IF(A218="","",(COUNTA(A218:G218)+COUNTA(J218:Y218))/23)</f>
        <v/>
      </c>
      <c r="AA218" s="2">
        <f>IF(B218="","",WORKDAY(B218,3))</f>
        <v/>
      </c>
      <c r="AB218" s="2">
        <f>IF(B218="","",WORKDAY(B218,5))</f>
        <v/>
      </c>
      <c r="AC218" s="2">
        <f>IF(B218="","",WORKDAY(B218,10))</f>
        <v/>
      </c>
      <c r="AD218" s="2" t="n"/>
    </row>
    <row r="219">
      <c r="A219" s="12" t="n"/>
      <c r="B219" s="12" t="n"/>
      <c r="C219" s="2" t="n"/>
      <c r="D219" s="4" t="n"/>
      <c r="E219" s="12" t="n"/>
      <c r="F219" s="2" t="n"/>
      <c r="G219" s="12" t="n"/>
      <c r="H219" s="2">
        <f>IF(G219="","",IFERROR(VLOOKUP(G219,板块观察!A:U,14,FALSE),""))</f>
        <v/>
      </c>
      <c r="I219" s="2">
        <f>IF(G219="","",IFERROR(VLOOKUP(G219,板块观察!A:U,15,FALSE),""))</f>
        <v/>
      </c>
      <c r="J219" s="12" t="n"/>
      <c r="K219" s="12" t="n"/>
      <c r="L219" s="12" t="n"/>
      <c r="M219" s="14" t="n"/>
      <c r="N219" s="12" t="n"/>
      <c r="O219" s="2" t="n"/>
      <c r="P219" s="2" t="n"/>
      <c r="Q219" s="2" t="n"/>
      <c r="R219" s="12" t="n"/>
      <c r="S219" s="12" t="n"/>
      <c r="T219" s="12" t="n"/>
      <c r="U219" s="12" t="n"/>
      <c r="V219" s="12" t="n"/>
      <c r="W219" s="12" t="n"/>
      <c r="X219" s="12" t="n"/>
      <c r="Y219" s="2" t="n"/>
      <c r="Z219" s="5">
        <f>IF(A219="","",(COUNTA(A219:G219)+COUNTA(J219:Y219))/23)</f>
        <v/>
      </c>
      <c r="AA219" s="2">
        <f>IF(B219="","",WORKDAY(B219,3))</f>
        <v/>
      </c>
      <c r="AB219" s="2">
        <f>IF(B219="","",WORKDAY(B219,5))</f>
        <v/>
      </c>
      <c r="AC219" s="2">
        <f>IF(B219="","",WORKDAY(B219,10))</f>
        <v/>
      </c>
      <c r="AD219" s="2" t="n"/>
    </row>
    <row r="220">
      <c r="A220" s="12" t="n"/>
      <c r="B220" s="12" t="n"/>
      <c r="C220" s="2" t="n"/>
      <c r="D220" s="4" t="n"/>
      <c r="E220" s="12" t="n"/>
      <c r="F220" s="2" t="n"/>
      <c r="G220" s="12" t="n"/>
      <c r="H220" s="2">
        <f>IF(G220="","",IFERROR(VLOOKUP(G220,板块观察!A:U,14,FALSE),""))</f>
        <v/>
      </c>
      <c r="I220" s="2">
        <f>IF(G220="","",IFERROR(VLOOKUP(G220,板块观察!A:U,15,FALSE),""))</f>
        <v/>
      </c>
      <c r="J220" s="12" t="n"/>
      <c r="K220" s="12" t="n"/>
      <c r="L220" s="12" t="n"/>
      <c r="M220" s="14" t="n"/>
      <c r="N220" s="12" t="n"/>
      <c r="O220" s="2" t="n"/>
      <c r="P220" s="2" t="n"/>
      <c r="Q220" s="2" t="n"/>
      <c r="R220" s="12" t="n"/>
      <c r="S220" s="12" t="n"/>
      <c r="T220" s="12" t="n"/>
      <c r="U220" s="12" t="n"/>
      <c r="V220" s="12" t="n"/>
      <c r="W220" s="12" t="n"/>
      <c r="X220" s="12" t="n"/>
      <c r="Y220" s="2" t="n"/>
      <c r="Z220" s="5">
        <f>IF(A220="","",(COUNTA(A220:G220)+COUNTA(J220:Y220))/23)</f>
        <v/>
      </c>
      <c r="AA220" s="2">
        <f>IF(B220="","",WORKDAY(B220,3))</f>
        <v/>
      </c>
      <c r="AB220" s="2">
        <f>IF(B220="","",WORKDAY(B220,5))</f>
        <v/>
      </c>
      <c r="AC220" s="2">
        <f>IF(B220="","",WORKDAY(B220,10))</f>
        <v/>
      </c>
      <c r="AD220" s="2" t="n"/>
    </row>
    <row r="221">
      <c r="A221" s="12" t="n"/>
      <c r="B221" s="12" t="n"/>
      <c r="C221" s="2" t="n"/>
      <c r="D221" s="4" t="n"/>
      <c r="E221" s="12" t="n"/>
      <c r="F221" s="2" t="n"/>
      <c r="G221" s="12" t="n"/>
      <c r="H221" s="2">
        <f>IF(G221="","",IFERROR(VLOOKUP(G221,板块观察!A:U,14,FALSE),""))</f>
        <v/>
      </c>
      <c r="I221" s="2">
        <f>IF(G221="","",IFERROR(VLOOKUP(G221,板块观察!A:U,15,FALSE),""))</f>
        <v/>
      </c>
      <c r="J221" s="12" t="n"/>
      <c r="K221" s="12" t="n"/>
      <c r="L221" s="12" t="n"/>
      <c r="M221" s="14" t="n"/>
      <c r="N221" s="12" t="n"/>
      <c r="O221" s="2" t="n"/>
      <c r="P221" s="2" t="n"/>
      <c r="Q221" s="2" t="n"/>
      <c r="R221" s="12" t="n"/>
      <c r="S221" s="12" t="n"/>
      <c r="T221" s="12" t="n"/>
      <c r="U221" s="12" t="n"/>
      <c r="V221" s="12" t="n"/>
      <c r="W221" s="12" t="n"/>
      <c r="X221" s="12" t="n"/>
      <c r="Y221" s="2" t="n"/>
      <c r="Z221" s="5">
        <f>IF(A221="","",(COUNTA(A221:G221)+COUNTA(J221:Y221))/23)</f>
        <v/>
      </c>
      <c r="AA221" s="2">
        <f>IF(B221="","",WORKDAY(B221,3))</f>
        <v/>
      </c>
      <c r="AB221" s="2">
        <f>IF(B221="","",WORKDAY(B221,5))</f>
        <v/>
      </c>
      <c r="AC221" s="2">
        <f>IF(B221="","",WORKDAY(B221,10))</f>
        <v/>
      </c>
      <c r="AD221" s="2" t="n"/>
    </row>
    <row r="222">
      <c r="A222" s="12" t="n"/>
      <c r="B222" s="12" t="n"/>
      <c r="C222" s="2" t="n"/>
      <c r="D222" s="4" t="n"/>
      <c r="E222" s="12" t="n"/>
      <c r="F222" s="2" t="n"/>
      <c r="G222" s="12" t="n"/>
      <c r="H222" s="2">
        <f>IF(G222="","",IFERROR(VLOOKUP(G222,板块观察!A:U,14,FALSE),""))</f>
        <v/>
      </c>
      <c r="I222" s="2">
        <f>IF(G222="","",IFERROR(VLOOKUP(G222,板块观察!A:U,15,FALSE),""))</f>
        <v/>
      </c>
      <c r="J222" s="12" t="n"/>
      <c r="K222" s="12" t="n"/>
      <c r="L222" s="12" t="n"/>
      <c r="M222" s="14" t="n"/>
      <c r="N222" s="12" t="n"/>
      <c r="O222" s="2" t="n"/>
      <c r="P222" s="2" t="n"/>
      <c r="Q222" s="2" t="n"/>
      <c r="R222" s="12" t="n"/>
      <c r="S222" s="12" t="n"/>
      <c r="T222" s="12" t="n"/>
      <c r="U222" s="12" t="n"/>
      <c r="V222" s="12" t="n"/>
      <c r="W222" s="12" t="n"/>
      <c r="X222" s="12" t="n"/>
      <c r="Y222" s="2" t="n"/>
      <c r="Z222" s="5">
        <f>IF(A222="","",(COUNTA(A222:G222)+COUNTA(J222:Y222))/23)</f>
        <v/>
      </c>
      <c r="AA222" s="2">
        <f>IF(B222="","",WORKDAY(B222,3))</f>
        <v/>
      </c>
      <c r="AB222" s="2">
        <f>IF(B222="","",WORKDAY(B222,5))</f>
        <v/>
      </c>
      <c r="AC222" s="2">
        <f>IF(B222="","",WORKDAY(B222,10))</f>
        <v/>
      </c>
      <c r="AD222" s="2" t="n"/>
    </row>
    <row r="223">
      <c r="A223" s="12" t="n"/>
      <c r="B223" s="12" t="n"/>
      <c r="C223" s="2" t="n"/>
      <c r="D223" s="4" t="n"/>
      <c r="E223" s="12" t="n"/>
      <c r="F223" s="2" t="n"/>
      <c r="G223" s="12" t="n"/>
      <c r="H223" s="2">
        <f>IF(G223="","",IFERROR(VLOOKUP(G223,板块观察!A:U,14,FALSE),""))</f>
        <v/>
      </c>
      <c r="I223" s="2">
        <f>IF(G223="","",IFERROR(VLOOKUP(G223,板块观察!A:U,15,FALSE),""))</f>
        <v/>
      </c>
      <c r="J223" s="12" t="n"/>
      <c r="K223" s="12" t="n"/>
      <c r="L223" s="12" t="n"/>
      <c r="M223" s="14" t="n"/>
      <c r="N223" s="12" t="n"/>
      <c r="O223" s="2" t="n"/>
      <c r="P223" s="2" t="n"/>
      <c r="Q223" s="2" t="n"/>
      <c r="R223" s="12" t="n"/>
      <c r="S223" s="12" t="n"/>
      <c r="T223" s="12" t="n"/>
      <c r="U223" s="12" t="n"/>
      <c r="V223" s="12" t="n"/>
      <c r="W223" s="12" t="n"/>
      <c r="X223" s="12" t="n"/>
      <c r="Y223" s="2" t="n"/>
      <c r="Z223" s="5">
        <f>IF(A223="","",(COUNTA(A223:G223)+COUNTA(J223:Y223))/23)</f>
        <v/>
      </c>
      <c r="AA223" s="2">
        <f>IF(B223="","",WORKDAY(B223,3))</f>
        <v/>
      </c>
      <c r="AB223" s="2">
        <f>IF(B223="","",WORKDAY(B223,5))</f>
        <v/>
      </c>
      <c r="AC223" s="2">
        <f>IF(B223="","",WORKDAY(B223,10))</f>
        <v/>
      </c>
      <c r="AD223" s="2" t="n"/>
    </row>
    <row r="224">
      <c r="A224" s="12" t="n"/>
      <c r="B224" s="12" t="n"/>
      <c r="C224" s="2" t="n"/>
      <c r="D224" s="4" t="n"/>
      <c r="E224" s="12" t="n"/>
      <c r="F224" s="2" t="n"/>
      <c r="G224" s="12" t="n"/>
      <c r="H224" s="2">
        <f>IF(G224="","",IFERROR(VLOOKUP(G224,板块观察!A:U,14,FALSE),""))</f>
        <v/>
      </c>
      <c r="I224" s="2">
        <f>IF(G224="","",IFERROR(VLOOKUP(G224,板块观察!A:U,15,FALSE),""))</f>
        <v/>
      </c>
      <c r="J224" s="12" t="n"/>
      <c r="K224" s="12" t="n"/>
      <c r="L224" s="12" t="n"/>
      <c r="M224" s="14" t="n"/>
      <c r="N224" s="12" t="n"/>
      <c r="O224" s="2" t="n"/>
      <c r="P224" s="2" t="n"/>
      <c r="Q224" s="2" t="n"/>
      <c r="R224" s="12" t="n"/>
      <c r="S224" s="12" t="n"/>
      <c r="T224" s="12" t="n"/>
      <c r="U224" s="12" t="n"/>
      <c r="V224" s="12" t="n"/>
      <c r="W224" s="12" t="n"/>
      <c r="X224" s="12" t="n"/>
      <c r="Y224" s="2" t="n"/>
      <c r="Z224" s="5">
        <f>IF(A224="","",(COUNTA(A224:G224)+COUNTA(J224:Y224))/23)</f>
        <v/>
      </c>
      <c r="AA224" s="2">
        <f>IF(B224="","",WORKDAY(B224,3))</f>
        <v/>
      </c>
      <c r="AB224" s="2">
        <f>IF(B224="","",WORKDAY(B224,5))</f>
        <v/>
      </c>
      <c r="AC224" s="2">
        <f>IF(B224="","",WORKDAY(B224,10))</f>
        <v/>
      </c>
      <c r="AD224" s="2" t="n"/>
    </row>
    <row r="225">
      <c r="A225" s="12" t="n"/>
      <c r="B225" s="12" t="n"/>
      <c r="C225" s="2" t="n"/>
      <c r="D225" s="4" t="n"/>
      <c r="E225" s="12" t="n"/>
      <c r="F225" s="2" t="n"/>
      <c r="G225" s="12" t="n"/>
      <c r="H225" s="2">
        <f>IF(G225="","",IFERROR(VLOOKUP(G225,板块观察!A:U,14,FALSE),""))</f>
        <v/>
      </c>
      <c r="I225" s="2">
        <f>IF(G225="","",IFERROR(VLOOKUP(G225,板块观察!A:U,15,FALSE),""))</f>
        <v/>
      </c>
      <c r="J225" s="12" t="n"/>
      <c r="K225" s="12" t="n"/>
      <c r="L225" s="12" t="n"/>
      <c r="M225" s="14" t="n"/>
      <c r="N225" s="12" t="n"/>
      <c r="O225" s="2" t="n"/>
      <c r="P225" s="2" t="n"/>
      <c r="Q225" s="2" t="n"/>
      <c r="R225" s="12" t="n"/>
      <c r="S225" s="12" t="n"/>
      <c r="T225" s="12" t="n"/>
      <c r="U225" s="12" t="n"/>
      <c r="V225" s="12" t="n"/>
      <c r="W225" s="12" t="n"/>
      <c r="X225" s="12" t="n"/>
      <c r="Y225" s="2" t="n"/>
      <c r="Z225" s="5">
        <f>IF(A225="","",(COUNTA(A225:G225)+COUNTA(J225:Y225))/23)</f>
        <v/>
      </c>
      <c r="AA225" s="2">
        <f>IF(B225="","",WORKDAY(B225,3))</f>
        <v/>
      </c>
      <c r="AB225" s="2">
        <f>IF(B225="","",WORKDAY(B225,5))</f>
        <v/>
      </c>
      <c r="AC225" s="2">
        <f>IF(B225="","",WORKDAY(B225,10))</f>
        <v/>
      </c>
      <c r="AD225" s="2" t="n"/>
    </row>
    <row r="226">
      <c r="A226" s="12" t="n"/>
      <c r="B226" s="12" t="n"/>
      <c r="C226" s="2" t="n"/>
      <c r="D226" s="4" t="n"/>
      <c r="E226" s="12" t="n"/>
      <c r="F226" s="2" t="n"/>
      <c r="G226" s="12" t="n"/>
      <c r="H226" s="2">
        <f>IF(G226="","",IFERROR(VLOOKUP(G226,板块观察!A:U,14,FALSE),""))</f>
        <v/>
      </c>
      <c r="I226" s="2">
        <f>IF(G226="","",IFERROR(VLOOKUP(G226,板块观察!A:U,15,FALSE),""))</f>
        <v/>
      </c>
      <c r="J226" s="12" t="n"/>
      <c r="K226" s="12" t="n"/>
      <c r="L226" s="12" t="n"/>
      <c r="M226" s="14" t="n"/>
      <c r="N226" s="12" t="n"/>
      <c r="O226" s="2" t="n"/>
      <c r="P226" s="2" t="n"/>
      <c r="Q226" s="2" t="n"/>
      <c r="R226" s="12" t="n"/>
      <c r="S226" s="12" t="n"/>
      <c r="T226" s="12" t="n"/>
      <c r="U226" s="12" t="n"/>
      <c r="V226" s="12" t="n"/>
      <c r="W226" s="12" t="n"/>
      <c r="X226" s="12" t="n"/>
      <c r="Y226" s="2" t="n"/>
      <c r="Z226" s="5">
        <f>IF(A226="","",(COUNTA(A226:G226)+COUNTA(J226:Y226))/23)</f>
        <v/>
      </c>
      <c r="AA226" s="2">
        <f>IF(B226="","",WORKDAY(B226,3))</f>
        <v/>
      </c>
      <c r="AB226" s="2">
        <f>IF(B226="","",WORKDAY(B226,5))</f>
        <v/>
      </c>
      <c r="AC226" s="2">
        <f>IF(B226="","",WORKDAY(B226,10))</f>
        <v/>
      </c>
      <c r="AD226" s="2" t="n"/>
    </row>
    <row r="227">
      <c r="A227" s="12" t="n"/>
      <c r="B227" s="12" t="n"/>
      <c r="C227" s="2" t="n"/>
      <c r="D227" s="4" t="n"/>
      <c r="E227" s="12" t="n"/>
      <c r="F227" s="2" t="n"/>
      <c r="G227" s="12" t="n"/>
      <c r="H227" s="2">
        <f>IF(G227="","",IFERROR(VLOOKUP(G227,板块观察!A:U,14,FALSE),""))</f>
        <v/>
      </c>
      <c r="I227" s="2">
        <f>IF(G227="","",IFERROR(VLOOKUP(G227,板块观察!A:U,15,FALSE),""))</f>
        <v/>
      </c>
      <c r="J227" s="12" t="n"/>
      <c r="K227" s="12" t="n"/>
      <c r="L227" s="12" t="n"/>
      <c r="M227" s="14" t="n"/>
      <c r="N227" s="12" t="n"/>
      <c r="O227" s="2" t="n"/>
      <c r="P227" s="2" t="n"/>
      <c r="Q227" s="2" t="n"/>
      <c r="R227" s="12" t="n"/>
      <c r="S227" s="12" t="n"/>
      <c r="T227" s="12" t="n"/>
      <c r="U227" s="12" t="n"/>
      <c r="V227" s="12" t="n"/>
      <c r="W227" s="12" t="n"/>
      <c r="X227" s="12" t="n"/>
      <c r="Y227" s="2" t="n"/>
      <c r="Z227" s="5">
        <f>IF(A227="","",(COUNTA(A227:G227)+COUNTA(J227:Y227))/23)</f>
        <v/>
      </c>
      <c r="AA227" s="2">
        <f>IF(B227="","",WORKDAY(B227,3))</f>
        <v/>
      </c>
      <c r="AB227" s="2">
        <f>IF(B227="","",WORKDAY(B227,5))</f>
        <v/>
      </c>
      <c r="AC227" s="2">
        <f>IF(B227="","",WORKDAY(B227,10))</f>
        <v/>
      </c>
      <c r="AD227" s="2" t="n"/>
    </row>
    <row r="228">
      <c r="A228" s="12" t="n"/>
      <c r="B228" s="12" t="n"/>
      <c r="C228" s="2" t="n"/>
      <c r="D228" s="4" t="n"/>
      <c r="E228" s="12" t="n"/>
      <c r="F228" s="2" t="n"/>
      <c r="G228" s="12" t="n"/>
      <c r="H228" s="2">
        <f>IF(G228="","",IFERROR(VLOOKUP(G228,板块观察!A:U,14,FALSE),""))</f>
        <v/>
      </c>
      <c r="I228" s="2">
        <f>IF(G228="","",IFERROR(VLOOKUP(G228,板块观察!A:U,15,FALSE),""))</f>
        <v/>
      </c>
      <c r="J228" s="12" t="n"/>
      <c r="K228" s="12" t="n"/>
      <c r="L228" s="12" t="n"/>
      <c r="M228" s="14" t="n"/>
      <c r="N228" s="12" t="n"/>
      <c r="O228" s="2" t="n"/>
      <c r="P228" s="2" t="n"/>
      <c r="Q228" s="2" t="n"/>
      <c r="R228" s="12" t="n"/>
      <c r="S228" s="12" t="n"/>
      <c r="T228" s="12" t="n"/>
      <c r="U228" s="12" t="n"/>
      <c r="V228" s="12" t="n"/>
      <c r="W228" s="12" t="n"/>
      <c r="X228" s="12" t="n"/>
      <c r="Y228" s="2" t="n"/>
      <c r="Z228" s="5">
        <f>IF(A228="","",(COUNTA(A228:G228)+COUNTA(J228:Y228))/23)</f>
        <v/>
      </c>
      <c r="AA228" s="2">
        <f>IF(B228="","",WORKDAY(B228,3))</f>
        <v/>
      </c>
      <c r="AB228" s="2">
        <f>IF(B228="","",WORKDAY(B228,5))</f>
        <v/>
      </c>
      <c r="AC228" s="2">
        <f>IF(B228="","",WORKDAY(B228,10))</f>
        <v/>
      </c>
      <c r="AD228" s="2" t="n"/>
    </row>
    <row r="229">
      <c r="A229" s="12" t="n"/>
      <c r="B229" s="12" t="n"/>
      <c r="C229" s="2" t="n"/>
      <c r="D229" s="4" t="n"/>
      <c r="E229" s="12" t="n"/>
      <c r="F229" s="2" t="n"/>
      <c r="G229" s="12" t="n"/>
      <c r="H229" s="2">
        <f>IF(G229="","",IFERROR(VLOOKUP(G229,板块观察!A:U,14,FALSE),""))</f>
        <v/>
      </c>
      <c r="I229" s="2">
        <f>IF(G229="","",IFERROR(VLOOKUP(G229,板块观察!A:U,15,FALSE),""))</f>
        <v/>
      </c>
      <c r="J229" s="12" t="n"/>
      <c r="K229" s="12" t="n"/>
      <c r="L229" s="12" t="n"/>
      <c r="M229" s="14" t="n"/>
      <c r="N229" s="12" t="n"/>
      <c r="O229" s="2" t="n"/>
      <c r="P229" s="2" t="n"/>
      <c r="Q229" s="2" t="n"/>
      <c r="R229" s="12" t="n"/>
      <c r="S229" s="12" t="n"/>
      <c r="T229" s="12" t="n"/>
      <c r="U229" s="12" t="n"/>
      <c r="V229" s="12" t="n"/>
      <c r="W229" s="12" t="n"/>
      <c r="X229" s="12" t="n"/>
      <c r="Y229" s="2" t="n"/>
      <c r="Z229" s="5">
        <f>IF(A229="","",(COUNTA(A229:G229)+COUNTA(J229:Y229))/23)</f>
        <v/>
      </c>
      <c r="AA229" s="2">
        <f>IF(B229="","",WORKDAY(B229,3))</f>
        <v/>
      </c>
      <c r="AB229" s="2">
        <f>IF(B229="","",WORKDAY(B229,5))</f>
        <v/>
      </c>
      <c r="AC229" s="2">
        <f>IF(B229="","",WORKDAY(B229,10))</f>
        <v/>
      </c>
      <c r="AD229" s="2" t="n"/>
    </row>
    <row r="230">
      <c r="A230" s="12" t="n"/>
      <c r="B230" s="12" t="n"/>
      <c r="C230" s="2" t="n"/>
      <c r="D230" s="4" t="n"/>
      <c r="E230" s="12" t="n"/>
      <c r="F230" s="2" t="n"/>
      <c r="G230" s="12" t="n"/>
      <c r="H230" s="2">
        <f>IF(G230="","",IFERROR(VLOOKUP(G230,板块观察!A:U,14,FALSE),""))</f>
        <v/>
      </c>
      <c r="I230" s="2">
        <f>IF(G230="","",IFERROR(VLOOKUP(G230,板块观察!A:U,15,FALSE),""))</f>
        <v/>
      </c>
      <c r="J230" s="12" t="n"/>
      <c r="K230" s="12" t="n"/>
      <c r="L230" s="12" t="n"/>
      <c r="M230" s="14" t="n"/>
      <c r="N230" s="12" t="n"/>
      <c r="O230" s="2" t="n"/>
      <c r="P230" s="2" t="n"/>
      <c r="Q230" s="2" t="n"/>
      <c r="R230" s="12" t="n"/>
      <c r="S230" s="12" t="n"/>
      <c r="T230" s="12" t="n"/>
      <c r="U230" s="12" t="n"/>
      <c r="V230" s="12" t="n"/>
      <c r="W230" s="12" t="n"/>
      <c r="X230" s="12" t="n"/>
      <c r="Y230" s="2" t="n"/>
      <c r="Z230" s="5">
        <f>IF(A230="","",(COUNTA(A230:G230)+COUNTA(J230:Y230))/23)</f>
        <v/>
      </c>
      <c r="AA230" s="2">
        <f>IF(B230="","",WORKDAY(B230,3))</f>
        <v/>
      </c>
      <c r="AB230" s="2">
        <f>IF(B230="","",WORKDAY(B230,5))</f>
        <v/>
      </c>
      <c r="AC230" s="2">
        <f>IF(B230="","",WORKDAY(B230,10))</f>
        <v/>
      </c>
      <c r="AD230" s="2" t="n"/>
    </row>
    <row r="231">
      <c r="A231" s="12" t="n"/>
      <c r="B231" s="12" t="n"/>
      <c r="C231" s="2" t="n"/>
      <c r="D231" s="4" t="n"/>
      <c r="E231" s="12" t="n"/>
      <c r="F231" s="2" t="n"/>
      <c r="G231" s="12" t="n"/>
      <c r="H231" s="2">
        <f>IF(G231="","",IFERROR(VLOOKUP(G231,板块观察!A:U,14,FALSE),""))</f>
        <v/>
      </c>
      <c r="I231" s="2">
        <f>IF(G231="","",IFERROR(VLOOKUP(G231,板块观察!A:U,15,FALSE),""))</f>
        <v/>
      </c>
      <c r="J231" s="12" t="n"/>
      <c r="K231" s="12" t="n"/>
      <c r="L231" s="12" t="n"/>
      <c r="M231" s="14" t="n"/>
      <c r="N231" s="12" t="n"/>
      <c r="O231" s="2" t="n"/>
      <c r="P231" s="2" t="n"/>
      <c r="Q231" s="2" t="n"/>
      <c r="R231" s="12" t="n"/>
      <c r="S231" s="12" t="n"/>
      <c r="T231" s="12" t="n"/>
      <c r="U231" s="12" t="n"/>
      <c r="V231" s="12" t="n"/>
      <c r="W231" s="12" t="n"/>
      <c r="X231" s="12" t="n"/>
      <c r="Y231" s="2" t="n"/>
      <c r="Z231" s="5">
        <f>IF(A231="","",(COUNTA(A231:G231)+COUNTA(J231:Y231))/23)</f>
        <v/>
      </c>
      <c r="AA231" s="2">
        <f>IF(B231="","",WORKDAY(B231,3))</f>
        <v/>
      </c>
      <c r="AB231" s="2">
        <f>IF(B231="","",WORKDAY(B231,5))</f>
        <v/>
      </c>
      <c r="AC231" s="2">
        <f>IF(B231="","",WORKDAY(B231,10))</f>
        <v/>
      </c>
      <c r="AD231" s="2" t="n"/>
    </row>
    <row r="232">
      <c r="A232" s="12" t="n"/>
      <c r="B232" s="12" t="n"/>
      <c r="C232" s="2" t="n"/>
      <c r="D232" s="4" t="n"/>
      <c r="E232" s="12" t="n"/>
      <c r="F232" s="2" t="n"/>
      <c r="G232" s="12" t="n"/>
      <c r="H232" s="2">
        <f>IF(G232="","",IFERROR(VLOOKUP(G232,板块观察!A:U,14,FALSE),""))</f>
        <v/>
      </c>
      <c r="I232" s="2">
        <f>IF(G232="","",IFERROR(VLOOKUP(G232,板块观察!A:U,15,FALSE),""))</f>
        <v/>
      </c>
      <c r="J232" s="12" t="n"/>
      <c r="K232" s="12" t="n"/>
      <c r="L232" s="12" t="n"/>
      <c r="M232" s="14" t="n"/>
      <c r="N232" s="12" t="n"/>
      <c r="O232" s="2" t="n"/>
      <c r="P232" s="2" t="n"/>
      <c r="Q232" s="2" t="n"/>
      <c r="R232" s="12" t="n"/>
      <c r="S232" s="12" t="n"/>
      <c r="T232" s="12" t="n"/>
      <c r="U232" s="12" t="n"/>
      <c r="V232" s="12" t="n"/>
      <c r="W232" s="12" t="n"/>
      <c r="X232" s="12" t="n"/>
      <c r="Y232" s="2" t="n"/>
      <c r="Z232" s="5">
        <f>IF(A232="","",(COUNTA(A232:G232)+COUNTA(J232:Y232))/23)</f>
        <v/>
      </c>
      <c r="AA232" s="2">
        <f>IF(B232="","",WORKDAY(B232,3))</f>
        <v/>
      </c>
      <c r="AB232" s="2">
        <f>IF(B232="","",WORKDAY(B232,5))</f>
        <v/>
      </c>
      <c r="AC232" s="2">
        <f>IF(B232="","",WORKDAY(B232,10))</f>
        <v/>
      </c>
      <c r="AD232" s="2" t="n"/>
    </row>
    <row r="233">
      <c r="A233" s="12" t="n"/>
      <c r="B233" s="12" t="n"/>
      <c r="C233" s="2" t="n"/>
      <c r="D233" s="4" t="n"/>
      <c r="E233" s="12" t="n"/>
      <c r="F233" s="2" t="n"/>
      <c r="G233" s="12" t="n"/>
      <c r="H233" s="2">
        <f>IF(G233="","",IFERROR(VLOOKUP(G233,板块观察!A:U,14,FALSE),""))</f>
        <v/>
      </c>
      <c r="I233" s="2">
        <f>IF(G233="","",IFERROR(VLOOKUP(G233,板块观察!A:U,15,FALSE),""))</f>
        <v/>
      </c>
      <c r="J233" s="12" t="n"/>
      <c r="K233" s="12" t="n"/>
      <c r="L233" s="12" t="n"/>
      <c r="M233" s="14" t="n"/>
      <c r="N233" s="12" t="n"/>
      <c r="O233" s="2" t="n"/>
      <c r="P233" s="2" t="n"/>
      <c r="Q233" s="2" t="n"/>
      <c r="R233" s="12" t="n"/>
      <c r="S233" s="12" t="n"/>
      <c r="T233" s="12" t="n"/>
      <c r="U233" s="12" t="n"/>
      <c r="V233" s="12" t="n"/>
      <c r="W233" s="12" t="n"/>
      <c r="X233" s="12" t="n"/>
      <c r="Y233" s="2" t="n"/>
      <c r="Z233" s="5">
        <f>IF(A233="","",(COUNTA(A233:G233)+COUNTA(J233:Y233))/23)</f>
        <v/>
      </c>
      <c r="AA233" s="2">
        <f>IF(B233="","",WORKDAY(B233,3))</f>
        <v/>
      </c>
      <c r="AB233" s="2">
        <f>IF(B233="","",WORKDAY(B233,5))</f>
        <v/>
      </c>
      <c r="AC233" s="2">
        <f>IF(B233="","",WORKDAY(B233,10))</f>
        <v/>
      </c>
      <c r="AD233" s="2" t="n"/>
    </row>
    <row r="234">
      <c r="A234" s="12" t="n"/>
      <c r="B234" s="12" t="n"/>
      <c r="C234" s="2" t="n"/>
      <c r="D234" s="4" t="n"/>
      <c r="E234" s="12" t="n"/>
      <c r="F234" s="2" t="n"/>
      <c r="G234" s="12" t="n"/>
      <c r="H234" s="2">
        <f>IF(G234="","",IFERROR(VLOOKUP(G234,板块观察!A:U,14,FALSE),""))</f>
        <v/>
      </c>
      <c r="I234" s="2">
        <f>IF(G234="","",IFERROR(VLOOKUP(G234,板块观察!A:U,15,FALSE),""))</f>
        <v/>
      </c>
      <c r="J234" s="12" t="n"/>
      <c r="K234" s="12" t="n"/>
      <c r="L234" s="12" t="n"/>
      <c r="M234" s="14" t="n"/>
      <c r="N234" s="12" t="n"/>
      <c r="O234" s="2" t="n"/>
      <c r="P234" s="2" t="n"/>
      <c r="Q234" s="2" t="n"/>
      <c r="R234" s="12" t="n"/>
      <c r="S234" s="12" t="n"/>
      <c r="T234" s="12" t="n"/>
      <c r="U234" s="12" t="n"/>
      <c r="V234" s="12" t="n"/>
      <c r="W234" s="12" t="n"/>
      <c r="X234" s="12" t="n"/>
      <c r="Y234" s="2" t="n"/>
      <c r="Z234" s="5">
        <f>IF(A234="","",(COUNTA(A234:G234)+COUNTA(J234:Y234))/23)</f>
        <v/>
      </c>
      <c r="AA234" s="2">
        <f>IF(B234="","",WORKDAY(B234,3))</f>
        <v/>
      </c>
      <c r="AB234" s="2">
        <f>IF(B234="","",WORKDAY(B234,5))</f>
        <v/>
      </c>
      <c r="AC234" s="2">
        <f>IF(B234="","",WORKDAY(B234,10))</f>
        <v/>
      </c>
      <c r="AD234" s="2" t="n"/>
    </row>
    <row r="235">
      <c r="A235" s="12" t="n"/>
      <c r="B235" s="12" t="n"/>
      <c r="C235" s="2" t="n"/>
      <c r="D235" s="4" t="n"/>
      <c r="E235" s="12" t="n"/>
      <c r="F235" s="2" t="n"/>
      <c r="G235" s="12" t="n"/>
      <c r="H235" s="2">
        <f>IF(G235="","",IFERROR(VLOOKUP(G235,板块观察!A:U,14,FALSE),""))</f>
        <v/>
      </c>
      <c r="I235" s="2">
        <f>IF(G235="","",IFERROR(VLOOKUP(G235,板块观察!A:U,15,FALSE),""))</f>
        <v/>
      </c>
      <c r="J235" s="12" t="n"/>
      <c r="K235" s="12" t="n"/>
      <c r="L235" s="12" t="n"/>
      <c r="M235" s="14" t="n"/>
      <c r="N235" s="12" t="n"/>
      <c r="O235" s="2" t="n"/>
      <c r="P235" s="2" t="n"/>
      <c r="Q235" s="2" t="n"/>
      <c r="R235" s="12" t="n"/>
      <c r="S235" s="12" t="n"/>
      <c r="T235" s="12" t="n"/>
      <c r="U235" s="12" t="n"/>
      <c r="V235" s="12" t="n"/>
      <c r="W235" s="12" t="n"/>
      <c r="X235" s="12" t="n"/>
      <c r="Y235" s="2" t="n"/>
      <c r="Z235" s="5">
        <f>IF(A235="","",(COUNTA(A235:G235)+COUNTA(J235:Y235))/23)</f>
        <v/>
      </c>
      <c r="AA235" s="2">
        <f>IF(B235="","",WORKDAY(B235,3))</f>
        <v/>
      </c>
      <c r="AB235" s="2">
        <f>IF(B235="","",WORKDAY(B235,5))</f>
        <v/>
      </c>
      <c r="AC235" s="2">
        <f>IF(B235="","",WORKDAY(B235,10))</f>
        <v/>
      </c>
      <c r="AD235" s="2" t="n"/>
    </row>
    <row r="236">
      <c r="A236" s="12" t="n"/>
      <c r="B236" s="12" t="n"/>
      <c r="C236" s="2" t="n"/>
      <c r="D236" s="4" t="n"/>
      <c r="E236" s="12" t="n"/>
      <c r="F236" s="2" t="n"/>
      <c r="G236" s="12" t="n"/>
      <c r="H236" s="2">
        <f>IF(G236="","",IFERROR(VLOOKUP(G236,板块观察!A:U,14,FALSE),""))</f>
        <v/>
      </c>
      <c r="I236" s="2">
        <f>IF(G236="","",IFERROR(VLOOKUP(G236,板块观察!A:U,15,FALSE),""))</f>
        <v/>
      </c>
      <c r="J236" s="12" t="n"/>
      <c r="K236" s="12" t="n"/>
      <c r="L236" s="12" t="n"/>
      <c r="M236" s="14" t="n"/>
      <c r="N236" s="12" t="n"/>
      <c r="O236" s="2" t="n"/>
      <c r="P236" s="2" t="n"/>
      <c r="Q236" s="2" t="n"/>
      <c r="R236" s="12" t="n"/>
      <c r="S236" s="12" t="n"/>
      <c r="T236" s="12" t="n"/>
      <c r="U236" s="12" t="n"/>
      <c r="V236" s="12" t="n"/>
      <c r="W236" s="12" t="n"/>
      <c r="X236" s="12" t="n"/>
      <c r="Y236" s="2" t="n"/>
      <c r="Z236" s="5">
        <f>IF(A236="","",(COUNTA(A236:G236)+COUNTA(J236:Y236))/23)</f>
        <v/>
      </c>
      <c r="AA236" s="2">
        <f>IF(B236="","",WORKDAY(B236,3))</f>
        <v/>
      </c>
      <c r="AB236" s="2">
        <f>IF(B236="","",WORKDAY(B236,5))</f>
        <v/>
      </c>
      <c r="AC236" s="2">
        <f>IF(B236="","",WORKDAY(B236,10))</f>
        <v/>
      </c>
      <c r="AD236" s="2" t="n"/>
    </row>
    <row r="237">
      <c r="A237" s="12" t="n"/>
      <c r="B237" s="12" t="n"/>
      <c r="C237" s="2" t="n"/>
      <c r="D237" s="4" t="n"/>
      <c r="E237" s="12" t="n"/>
      <c r="F237" s="2" t="n"/>
      <c r="G237" s="12" t="n"/>
      <c r="H237" s="2">
        <f>IF(G237="","",IFERROR(VLOOKUP(G237,板块观察!A:U,14,FALSE),""))</f>
        <v/>
      </c>
      <c r="I237" s="2">
        <f>IF(G237="","",IFERROR(VLOOKUP(G237,板块观察!A:U,15,FALSE),""))</f>
        <v/>
      </c>
      <c r="J237" s="12" t="n"/>
      <c r="K237" s="12" t="n"/>
      <c r="L237" s="12" t="n"/>
      <c r="M237" s="14" t="n"/>
      <c r="N237" s="12" t="n"/>
      <c r="O237" s="2" t="n"/>
      <c r="P237" s="2" t="n"/>
      <c r="Q237" s="2" t="n"/>
      <c r="R237" s="12" t="n"/>
      <c r="S237" s="12" t="n"/>
      <c r="T237" s="12" t="n"/>
      <c r="U237" s="12" t="n"/>
      <c r="V237" s="12" t="n"/>
      <c r="W237" s="12" t="n"/>
      <c r="X237" s="12" t="n"/>
      <c r="Y237" s="2" t="n"/>
      <c r="Z237" s="5">
        <f>IF(A237="","",(COUNTA(A237:G237)+COUNTA(J237:Y237))/23)</f>
        <v/>
      </c>
      <c r="AA237" s="2">
        <f>IF(B237="","",WORKDAY(B237,3))</f>
        <v/>
      </c>
      <c r="AB237" s="2">
        <f>IF(B237="","",WORKDAY(B237,5))</f>
        <v/>
      </c>
      <c r="AC237" s="2">
        <f>IF(B237="","",WORKDAY(B237,10))</f>
        <v/>
      </c>
      <c r="AD237" s="2" t="n"/>
    </row>
    <row r="238">
      <c r="A238" s="12" t="n"/>
      <c r="B238" s="12" t="n"/>
      <c r="C238" s="2" t="n"/>
      <c r="D238" s="4" t="n"/>
      <c r="E238" s="12" t="n"/>
      <c r="F238" s="2" t="n"/>
      <c r="G238" s="12" t="n"/>
      <c r="H238" s="2">
        <f>IF(G238="","",IFERROR(VLOOKUP(G238,板块观察!A:U,14,FALSE),""))</f>
        <v/>
      </c>
      <c r="I238" s="2">
        <f>IF(G238="","",IFERROR(VLOOKUP(G238,板块观察!A:U,15,FALSE),""))</f>
        <v/>
      </c>
      <c r="J238" s="12" t="n"/>
      <c r="K238" s="12" t="n"/>
      <c r="L238" s="12" t="n"/>
      <c r="M238" s="14" t="n"/>
      <c r="N238" s="12" t="n"/>
      <c r="O238" s="2" t="n"/>
      <c r="P238" s="2" t="n"/>
      <c r="Q238" s="2" t="n"/>
      <c r="R238" s="12" t="n"/>
      <c r="S238" s="12" t="n"/>
      <c r="T238" s="12" t="n"/>
      <c r="U238" s="12" t="n"/>
      <c r="V238" s="12" t="n"/>
      <c r="W238" s="12" t="n"/>
      <c r="X238" s="12" t="n"/>
      <c r="Y238" s="2" t="n"/>
      <c r="Z238" s="5">
        <f>IF(A238="","",(COUNTA(A238:G238)+COUNTA(J238:Y238))/23)</f>
        <v/>
      </c>
      <c r="AA238" s="2">
        <f>IF(B238="","",WORKDAY(B238,3))</f>
        <v/>
      </c>
      <c r="AB238" s="2">
        <f>IF(B238="","",WORKDAY(B238,5))</f>
        <v/>
      </c>
      <c r="AC238" s="2">
        <f>IF(B238="","",WORKDAY(B238,10))</f>
        <v/>
      </c>
      <c r="AD238" s="2" t="n"/>
    </row>
    <row r="239">
      <c r="A239" s="12" t="n"/>
      <c r="B239" s="12" t="n"/>
      <c r="C239" s="2" t="n"/>
      <c r="D239" s="4" t="n"/>
      <c r="E239" s="12" t="n"/>
      <c r="F239" s="2" t="n"/>
      <c r="G239" s="12" t="n"/>
      <c r="H239" s="2">
        <f>IF(G239="","",IFERROR(VLOOKUP(G239,板块观察!A:U,14,FALSE),""))</f>
        <v/>
      </c>
      <c r="I239" s="2">
        <f>IF(G239="","",IFERROR(VLOOKUP(G239,板块观察!A:U,15,FALSE),""))</f>
        <v/>
      </c>
      <c r="J239" s="12" t="n"/>
      <c r="K239" s="12" t="n"/>
      <c r="L239" s="12" t="n"/>
      <c r="M239" s="14" t="n"/>
      <c r="N239" s="12" t="n"/>
      <c r="O239" s="2" t="n"/>
      <c r="P239" s="2" t="n"/>
      <c r="Q239" s="2" t="n"/>
      <c r="R239" s="12" t="n"/>
      <c r="S239" s="12" t="n"/>
      <c r="T239" s="12" t="n"/>
      <c r="U239" s="12" t="n"/>
      <c r="V239" s="12" t="n"/>
      <c r="W239" s="12" t="n"/>
      <c r="X239" s="12" t="n"/>
      <c r="Y239" s="2" t="n"/>
      <c r="Z239" s="5">
        <f>IF(A239="","",(COUNTA(A239:G239)+COUNTA(J239:Y239))/23)</f>
        <v/>
      </c>
      <c r="AA239" s="2">
        <f>IF(B239="","",WORKDAY(B239,3))</f>
        <v/>
      </c>
      <c r="AB239" s="2">
        <f>IF(B239="","",WORKDAY(B239,5))</f>
        <v/>
      </c>
      <c r="AC239" s="2">
        <f>IF(B239="","",WORKDAY(B239,10))</f>
        <v/>
      </c>
      <c r="AD239" s="2" t="n"/>
    </row>
    <row r="240">
      <c r="A240" s="12" t="n"/>
      <c r="B240" s="12" t="n"/>
      <c r="C240" s="2" t="n"/>
      <c r="D240" s="4" t="n"/>
      <c r="E240" s="12" t="n"/>
      <c r="F240" s="2" t="n"/>
      <c r="G240" s="12" t="n"/>
      <c r="H240" s="2">
        <f>IF(G240="","",IFERROR(VLOOKUP(G240,板块观察!A:U,14,FALSE),""))</f>
        <v/>
      </c>
      <c r="I240" s="2">
        <f>IF(G240="","",IFERROR(VLOOKUP(G240,板块观察!A:U,15,FALSE),""))</f>
        <v/>
      </c>
      <c r="J240" s="12" t="n"/>
      <c r="K240" s="12" t="n"/>
      <c r="L240" s="12" t="n"/>
      <c r="M240" s="14" t="n"/>
      <c r="N240" s="12" t="n"/>
      <c r="O240" s="2" t="n"/>
      <c r="P240" s="2" t="n"/>
      <c r="Q240" s="2" t="n"/>
      <c r="R240" s="12" t="n"/>
      <c r="S240" s="12" t="n"/>
      <c r="T240" s="12" t="n"/>
      <c r="U240" s="12" t="n"/>
      <c r="V240" s="12" t="n"/>
      <c r="W240" s="12" t="n"/>
      <c r="X240" s="12" t="n"/>
      <c r="Y240" s="2" t="n"/>
      <c r="Z240" s="5">
        <f>IF(A240="","",(COUNTA(A240:G240)+COUNTA(J240:Y240))/23)</f>
        <v/>
      </c>
      <c r="AA240" s="2">
        <f>IF(B240="","",WORKDAY(B240,3))</f>
        <v/>
      </c>
      <c r="AB240" s="2">
        <f>IF(B240="","",WORKDAY(B240,5))</f>
        <v/>
      </c>
      <c r="AC240" s="2">
        <f>IF(B240="","",WORKDAY(B240,10))</f>
        <v/>
      </c>
      <c r="AD240" s="2" t="n"/>
    </row>
    <row r="241">
      <c r="A241" s="12" t="n"/>
      <c r="B241" s="12" t="n"/>
      <c r="C241" s="2" t="n"/>
      <c r="D241" s="4" t="n"/>
      <c r="E241" s="12" t="n"/>
      <c r="F241" s="2" t="n"/>
      <c r="G241" s="12" t="n"/>
      <c r="H241" s="2">
        <f>IF(G241="","",IFERROR(VLOOKUP(G241,板块观察!A:U,14,FALSE),""))</f>
        <v/>
      </c>
      <c r="I241" s="2">
        <f>IF(G241="","",IFERROR(VLOOKUP(G241,板块观察!A:U,15,FALSE),""))</f>
        <v/>
      </c>
      <c r="J241" s="12" t="n"/>
      <c r="K241" s="12" t="n"/>
      <c r="L241" s="12" t="n"/>
      <c r="M241" s="14" t="n"/>
      <c r="N241" s="12" t="n"/>
      <c r="O241" s="2" t="n"/>
      <c r="P241" s="2" t="n"/>
      <c r="Q241" s="2" t="n"/>
      <c r="R241" s="12" t="n"/>
      <c r="S241" s="12" t="n"/>
      <c r="T241" s="12" t="n"/>
      <c r="U241" s="12" t="n"/>
      <c r="V241" s="12" t="n"/>
      <c r="W241" s="12" t="n"/>
      <c r="X241" s="12" t="n"/>
      <c r="Y241" s="2" t="n"/>
      <c r="Z241" s="5">
        <f>IF(A241="","",(COUNTA(A241:G241)+COUNTA(J241:Y241))/23)</f>
        <v/>
      </c>
      <c r="AA241" s="2">
        <f>IF(B241="","",WORKDAY(B241,3))</f>
        <v/>
      </c>
      <c r="AB241" s="2">
        <f>IF(B241="","",WORKDAY(B241,5))</f>
        <v/>
      </c>
      <c r="AC241" s="2">
        <f>IF(B241="","",WORKDAY(B241,10))</f>
        <v/>
      </c>
      <c r="AD241" s="2" t="n"/>
    </row>
    <row r="242">
      <c r="A242" s="12" t="n"/>
      <c r="B242" s="12" t="n"/>
      <c r="C242" s="2" t="n"/>
      <c r="D242" s="4" t="n"/>
      <c r="E242" s="12" t="n"/>
      <c r="F242" s="2" t="n"/>
      <c r="G242" s="12" t="n"/>
      <c r="H242" s="2">
        <f>IF(G242="","",IFERROR(VLOOKUP(G242,板块观察!A:U,14,FALSE),""))</f>
        <v/>
      </c>
      <c r="I242" s="2">
        <f>IF(G242="","",IFERROR(VLOOKUP(G242,板块观察!A:U,15,FALSE),""))</f>
        <v/>
      </c>
      <c r="J242" s="12" t="n"/>
      <c r="K242" s="12" t="n"/>
      <c r="L242" s="12" t="n"/>
      <c r="M242" s="14" t="n"/>
      <c r="N242" s="12" t="n"/>
      <c r="O242" s="2" t="n"/>
      <c r="P242" s="2" t="n"/>
      <c r="Q242" s="2" t="n"/>
      <c r="R242" s="12" t="n"/>
      <c r="S242" s="12" t="n"/>
      <c r="T242" s="12" t="n"/>
      <c r="U242" s="12" t="n"/>
      <c r="V242" s="12" t="n"/>
      <c r="W242" s="12" t="n"/>
      <c r="X242" s="12" t="n"/>
      <c r="Y242" s="2" t="n"/>
      <c r="Z242" s="5">
        <f>IF(A242="","",(COUNTA(A242:G242)+COUNTA(J242:Y242))/23)</f>
        <v/>
      </c>
      <c r="AA242" s="2">
        <f>IF(B242="","",WORKDAY(B242,3))</f>
        <v/>
      </c>
      <c r="AB242" s="2">
        <f>IF(B242="","",WORKDAY(B242,5))</f>
        <v/>
      </c>
      <c r="AC242" s="2">
        <f>IF(B242="","",WORKDAY(B242,10))</f>
        <v/>
      </c>
      <c r="AD242" s="2" t="n"/>
    </row>
    <row r="243">
      <c r="A243" s="12" t="n"/>
      <c r="B243" s="12" t="n"/>
      <c r="C243" s="2" t="n"/>
      <c r="D243" s="4" t="n"/>
      <c r="E243" s="12" t="n"/>
      <c r="F243" s="2" t="n"/>
      <c r="G243" s="12" t="n"/>
      <c r="H243" s="2">
        <f>IF(G243="","",IFERROR(VLOOKUP(G243,板块观察!A:U,14,FALSE),""))</f>
        <v/>
      </c>
      <c r="I243" s="2">
        <f>IF(G243="","",IFERROR(VLOOKUP(G243,板块观察!A:U,15,FALSE),""))</f>
        <v/>
      </c>
      <c r="J243" s="12" t="n"/>
      <c r="K243" s="12" t="n"/>
      <c r="L243" s="12" t="n"/>
      <c r="M243" s="14" t="n"/>
      <c r="N243" s="12" t="n"/>
      <c r="O243" s="2" t="n"/>
      <c r="P243" s="2" t="n"/>
      <c r="Q243" s="2" t="n"/>
      <c r="R243" s="12" t="n"/>
      <c r="S243" s="12" t="n"/>
      <c r="T243" s="12" t="n"/>
      <c r="U243" s="12" t="n"/>
      <c r="V243" s="12" t="n"/>
      <c r="W243" s="12" t="n"/>
      <c r="X243" s="12" t="n"/>
      <c r="Y243" s="2" t="n"/>
      <c r="Z243" s="5">
        <f>IF(A243="","",(COUNTA(A243:G243)+COUNTA(J243:Y243))/23)</f>
        <v/>
      </c>
      <c r="AA243" s="2">
        <f>IF(B243="","",WORKDAY(B243,3))</f>
        <v/>
      </c>
      <c r="AB243" s="2">
        <f>IF(B243="","",WORKDAY(B243,5))</f>
        <v/>
      </c>
      <c r="AC243" s="2">
        <f>IF(B243="","",WORKDAY(B243,10))</f>
        <v/>
      </c>
      <c r="AD243" s="2" t="n"/>
    </row>
    <row r="244">
      <c r="A244" s="12" t="n"/>
      <c r="B244" s="12" t="n"/>
      <c r="C244" s="2" t="n"/>
      <c r="D244" s="4" t="n"/>
      <c r="E244" s="12" t="n"/>
      <c r="F244" s="2" t="n"/>
      <c r="G244" s="12" t="n"/>
      <c r="H244" s="2">
        <f>IF(G244="","",IFERROR(VLOOKUP(G244,板块观察!A:U,14,FALSE),""))</f>
        <v/>
      </c>
      <c r="I244" s="2">
        <f>IF(G244="","",IFERROR(VLOOKUP(G244,板块观察!A:U,15,FALSE),""))</f>
        <v/>
      </c>
      <c r="J244" s="12" t="n"/>
      <c r="K244" s="12" t="n"/>
      <c r="L244" s="12" t="n"/>
      <c r="M244" s="14" t="n"/>
      <c r="N244" s="12" t="n"/>
      <c r="O244" s="2" t="n"/>
      <c r="P244" s="2" t="n"/>
      <c r="Q244" s="2" t="n"/>
      <c r="R244" s="12" t="n"/>
      <c r="S244" s="12" t="n"/>
      <c r="T244" s="12" t="n"/>
      <c r="U244" s="12" t="n"/>
      <c r="V244" s="12" t="n"/>
      <c r="W244" s="12" t="n"/>
      <c r="X244" s="12" t="n"/>
      <c r="Y244" s="2" t="n"/>
      <c r="Z244" s="5">
        <f>IF(A244="","",(COUNTA(A244:G244)+COUNTA(J244:Y244))/23)</f>
        <v/>
      </c>
      <c r="AA244" s="2">
        <f>IF(B244="","",WORKDAY(B244,3))</f>
        <v/>
      </c>
      <c r="AB244" s="2">
        <f>IF(B244="","",WORKDAY(B244,5))</f>
        <v/>
      </c>
      <c r="AC244" s="2">
        <f>IF(B244="","",WORKDAY(B244,10))</f>
        <v/>
      </c>
      <c r="AD244" s="2" t="n"/>
    </row>
    <row r="245">
      <c r="A245" s="12" t="n"/>
      <c r="B245" s="12" t="n"/>
      <c r="C245" s="2" t="n"/>
      <c r="D245" s="4" t="n"/>
      <c r="E245" s="12" t="n"/>
      <c r="F245" s="2" t="n"/>
      <c r="G245" s="12" t="n"/>
      <c r="H245" s="2">
        <f>IF(G245="","",IFERROR(VLOOKUP(G245,板块观察!A:U,14,FALSE),""))</f>
        <v/>
      </c>
      <c r="I245" s="2">
        <f>IF(G245="","",IFERROR(VLOOKUP(G245,板块观察!A:U,15,FALSE),""))</f>
        <v/>
      </c>
      <c r="J245" s="12" t="n"/>
      <c r="K245" s="12" t="n"/>
      <c r="L245" s="12" t="n"/>
      <c r="M245" s="14" t="n"/>
      <c r="N245" s="12" t="n"/>
      <c r="O245" s="2" t="n"/>
      <c r="P245" s="2" t="n"/>
      <c r="Q245" s="2" t="n"/>
      <c r="R245" s="12" t="n"/>
      <c r="S245" s="12" t="n"/>
      <c r="T245" s="12" t="n"/>
      <c r="U245" s="12" t="n"/>
      <c r="V245" s="12" t="n"/>
      <c r="W245" s="12" t="n"/>
      <c r="X245" s="12" t="n"/>
      <c r="Y245" s="2" t="n"/>
      <c r="Z245" s="5">
        <f>IF(A245="","",(COUNTA(A245:G245)+COUNTA(J245:Y245))/23)</f>
        <v/>
      </c>
      <c r="AA245" s="2">
        <f>IF(B245="","",WORKDAY(B245,3))</f>
        <v/>
      </c>
      <c r="AB245" s="2">
        <f>IF(B245="","",WORKDAY(B245,5))</f>
        <v/>
      </c>
      <c r="AC245" s="2">
        <f>IF(B245="","",WORKDAY(B245,10))</f>
        <v/>
      </c>
      <c r="AD245" s="2" t="n"/>
    </row>
    <row r="246">
      <c r="A246" s="12" t="n"/>
      <c r="B246" s="12" t="n"/>
      <c r="C246" s="2" t="n"/>
      <c r="D246" s="4" t="n"/>
      <c r="E246" s="12" t="n"/>
      <c r="F246" s="2" t="n"/>
      <c r="G246" s="12" t="n"/>
      <c r="H246" s="2">
        <f>IF(G246="","",IFERROR(VLOOKUP(G246,板块观察!A:U,14,FALSE),""))</f>
        <v/>
      </c>
      <c r="I246" s="2">
        <f>IF(G246="","",IFERROR(VLOOKUP(G246,板块观察!A:U,15,FALSE),""))</f>
        <v/>
      </c>
      <c r="J246" s="12" t="n"/>
      <c r="K246" s="12" t="n"/>
      <c r="L246" s="12" t="n"/>
      <c r="M246" s="14" t="n"/>
      <c r="N246" s="12" t="n"/>
      <c r="O246" s="2" t="n"/>
      <c r="P246" s="2" t="n"/>
      <c r="Q246" s="2" t="n"/>
      <c r="R246" s="12" t="n"/>
      <c r="S246" s="12" t="n"/>
      <c r="T246" s="12" t="n"/>
      <c r="U246" s="12" t="n"/>
      <c r="V246" s="12" t="n"/>
      <c r="W246" s="12" t="n"/>
      <c r="X246" s="12" t="n"/>
      <c r="Y246" s="2" t="n"/>
      <c r="Z246" s="5">
        <f>IF(A246="","",(COUNTA(A246:G246)+COUNTA(J246:Y246))/23)</f>
        <v/>
      </c>
      <c r="AA246" s="2">
        <f>IF(B246="","",WORKDAY(B246,3))</f>
        <v/>
      </c>
      <c r="AB246" s="2">
        <f>IF(B246="","",WORKDAY(B246,5))</f>
        <v/>
      </c>
      <c r="AC246" s="2">
        <f>IF(B246="","",WORKDAY(B246,10))</f>
        <v/>
      </c>
      <c r="AD246" s="2" t="n"/>
    </row>
    <row r="247">
      <c r="A247" s="12" t="n"/>
      <c r="B247" s="12" t="n"/>
      <c r="C247" s="2" t="n"/>
      <c r="D247" s="4" t="n"/>
      <c r="E247" s="12" t="n"/>
      <c r="F247" s="2" t="n"/>
      <c r="G247" s="12" t="n"/>
      <c r="H247" s="2">
        <f>IF(G247="","",IFERROR(VLOOKUP(G247,板块观察!A:U,14,FALSE),""))</f>
        <v/>
      </c>
      <c r="I247" s="2">
        <f>IF(G247="","",IFERROR(VLOOKUP(G247,板块观察!A:U,15,FALSE),""))</f>
        <v/>
      </c>
      <c r="J247" s="12" t="n"/>
      <c r="K247" s="12" t="n"/>
      <c r="L247" s="12" t="n"/>
      <c r="M247" s="14" t="n"/>
      <c r="N247" s="12" t="n"/>
      <c r="O247" s="2" t="n"/>
      <c r="P247" s="2" t="n"/>
      <c r="Q247" s="2" t="n"/>
      <c r="R247" s="12" t="n"/>
      <c r="S247" s="12" t="n"/>
      <c r="T247" s="12" t="n"/>
      <c r="U247" s="12" t="n"/>
      <c r="V247" s="12" t="n"/>
      <c r="W247" s="12" t="n"/>
      <c r="X247" s="12" t="n"/>
      <c r="Y247" s="2" t="n"/>
      <c r="Z247" s="5">
        <f>IF(A247="","",(COUNTA(A247:G247)+COUNTA(J247:Y247))/23)</f>
        <v/>
      </c>
      <c r="AA247" s="2">
        <f>IF(B247="","",WORKDAY(B247,3))</f>
        <v/>
      </c>
      <c r="AB247" s="2">
        <f>IF(B247="","",WORKDAY(B247,5))</f>
        <v/>
      </c>
      <c r="AC247" s="2">
        <f>IF(B247="","",WORKDAY(B247,10))</f>
        <v/>
      </c>
      <c r="AD247" s="2" t="n"/>
    </row>
    <row r="248">
      <c r="A248" s="12" t="n"/>
      <c r="B248" s="12" t="n"/>
      <c r="C248" s="2" t="n"/>
      <c r="D248" s="4" t="n"/>
      <c r="E248" s="12" t="n"/>
      <c r="F248" s="2" t="n"/>
      <c r="G248" s="12" t="n"/>
      <c r="H248" s="2">
        <f>IF(G248="","",IFERROR(VLOOKUP(G248,板块观察!A:U,14,FALSE),""))</f>
        <v/>
      </c>
      <c r="I248" s="2">
        <f>IF(G248="","",IFERROR(VLOOKUP(G248,板块观察!A:U,15,FALSE),""))</f>
        <v/>
      </c>
      <c r="J248" s="12" t="n"/>
      <c r="K248" s="12" t="n"/>
      <c r="L248" s="12" t="n"/>
      <c r="M248" s="14" t="n"/>
      <c r="N248" s="12" t="n"/>
      <c r="O248" s="2" t="n"/>
      <c r="P248" s="2" t="n"/>
      <c r="Q248" s="2" t="n"/>
      <c r="R248" s="12" t="n"/>
      <c r="S248" s="12" t="n"/>
      <c r="T248" s="12" t="n"/>
      <c r="U248" s="12" t="n"/>
      <c r="V248" s="12" t="n"/>
      <c r="W248" s="12" t="n"/>
      <c r="X248" s="12" t="n"/>
      <c r="Y248" s="2" t="n"/>
      <c r="Z248" s="5">
        <f>IF(A248="","",(COUNTA(A248:G248)+COUNTA(J248:Y248))/23)</f>
        <v/>
      </c>
      <c r="AA248" s="2">
        <f>IF(B248="","",WORKDAY(B248,3))</f>
        <v/>
      </c>
      <c r="AB248" s="2">
        <f>IF(B248="","",WORKDAY(B248,5))</f>
        <v/>
      </c>
      <c r="AC248" s="2">
        <f>IF(B248="","",WORKDAY(B248,10))</f>
        <v/>
      </c>
      <c r="AD248" s="2" t="n"/>
    </row>
    <row r="249">
      <c r="A249" s="12" t="n"/>
      <c r="B249" s="12" t="n"/>
      <c r="C249" s="2" t="n"/>
      <c r="D249" s="4" t="n"/>
      <c r="E249" s="12" t="n"/>
      <c r="F249" s="2" t="n"/>
      <c r="G249" s="12" t="n"/>
      <c r="H249" s="2">
        <f>IF(G249="","",IFERROR(VLOOKUP(G249,板块观察!A:U,14,FALSE),""))</f>
        <v/>
      </c>
      <c r="I249" s="2">
        <f>IF(G249="","",IFERROR(VLOOKUP(G249,板块观察!A:U,15,FALSE),""))</f>
        <v/>
      </c>
      <c r="J249" s="12" t="n"/>
      <c r="K249" s="12" t="n"/>
      <c r="L249" s="12" t="n"/>
      <c r="M249" s="14" t="n"/>
      <c r="N249" s="12" t="n"/>
      <c r="O249" s="2" t="n"/>
      <c r="P249" s="2" t="n"/>
      <c r="Q249" s="2" t="n"/>
      <c r="R249" s="12" t="n"/>
      <c r="S249" s="12" t="n"/>
      <c r="T249" s="12" t="n"/>
      <c r="U249" s="12" t="n"/>
      <c r="V249" s="12" t="n"/>
      <c r="W249" s="12" t="n"/>
      <c r="X249" s="12" t="n"/>
      <c r="Y249" s="2" t="n"/>
      <c r="Z249" s="5">
        <f>IF(A249="","",(COUNTA(A249:G249)+COUNTA(J249:Y249))/23)</f>
        <v/>
      </c>
      <c r="AA249" s="2">
        <f>IF(B249="","",WORKDAY(B249,3))</f>
        <v/>
      </c>
      <c r="AB249" s="2">
        <f>IF(B249="","",WORKDAY(B249,5))</f>
        <v/>
      </c>
      <c r="AC249" s="2">
        <f>IF(B249="","",WORKDAY(B249,10))</f>
        <v/>
      </c>
      <c r="AD249" s="2" t="n"/>
    </row>
    <row r="250">
      <c r="A250" s="12" t="n"/>
      <c r="B250" s="12" t="n"/>
      <c r="C250" s="2" t="n"/>
      <c r="D250" s="4" t="n"/>
      <c r="E250" s="12" t="n"/>
      <c r="F250" s="2" t="n"/>
      <c r="G250" s="12" t="n"/>
      <c r="H250" s="2">
        <f>IF(G250="","",IFERROR(VLOOKUP(G250,板块观察!A:U,14,FALSE),""))</f>
        <v/>
      </c>
      <c r="I250" s="2">
        <f>IF(G250="","",IFERROR(VLOOKUP(G250,板块观察!A:U,15,FALSE),""))</f>
        <v/>
      </c>
      <c r="J250" s="12" t="n"/>
      <c r="K250" s="12" t="n"/>
      <c r="L250" s="12" t="n"/>
      <c r="M250" s="14" t="n"/>
      <c r="N250" s="12" t="n"/>
      <c r="O250" s="2" t="n"/>
      <c r="P250" s="2" t="n"/>
      <c r="Q250" s="2" t="n"/>
      <c r="R250" s="12" t="n"/>
      <c r="S250" s="12" t="n"/>
      <c r="T250" s="12" t="n"/>
      <c r="U250" s="12" t="n"/>
      <c r="V250" s="12" t="n"/>
      <c r="W250" s="12" t="n"/>
      <c r="X250" s="12" t="n"/>
      <c r="Y250" s="2" t="n"/>
      <c r="Z250" s="5">
        <f>IF(A250="","",(COUNTA(A250:G250)+COUNTA(J250:Y250))/23)</f>
        <v/>
      </c>
      <c r="AA250" s="2">
        <f>IF(B250="","",WORKDAY(B250,3))</f>
        <v/>
      </c>
      <c r="AB250" s="2">
        <f>IF(B250="","",WORKDAY(B250,5))</f>
        <v/>
      </c>
      <c r="AC250" s="2">
        <f>IF(B250="","",WORKDAY(B250,10))</f>
        <v/>
      </c>
      <c r="AD250" s="2" t="n"/>
    </row>
    <row r="251">
      <c r="A251" s="12" t="n"/>
      <c r="B251" s="12" t="n"/>
      <c r="C251" s="2" t="n"/>
      <c r="D251" s="4" t="n"/>
      <c r="E251" s="12" t="n"/>
      <c r="F251" s="2" t="n"/>
      <c r="G251" s="12" t="n"/>
      <c r="H251" s="2">
        <f>IF(G251="","",IFERROR(VLOOKUP(G251,板块观察!A:U,14,FALSE),""))</f>
        <v/>
      </c>
      <c r="I251" s="2">
        <f>IF(G251="","",IFERROR(VLOOKUP(G251,板块观察!A:U,15,FALSE),""))</f>
        <v/>
      </c>
      <c r="J251" s="12" t="n"/>
      <c r="K251" s="12" t="n"/>
      <c r="L251" s="12" t="n"/>
      <c r="M251" s="14" t="n"/>
      <c r="N251" s="12" t="n"/>
      <c r="O251" s="2" t="n"/>
      <c r="P251" s="2" t="n"/>
      <c r="Q251" s="2" t="n"/>
      <c r="R251" s="12" t="n"/>
      <c r="S251" s="12" t="n"/>
      <c r="T251" s="12" t="n"/>
      <c r="U251" s="12" t="n"/>
      <c r="V251" s="12" t="n"/>
      <c r="W251" s="12" t="n"/>
      <c r="X251" s="12" t="n"/>
      <c r="Y251" s="2" t="n"/>
      <c r="Z251" s="5">
        <f>IF(A251="","",(COUNTA(A251:G251)+COUNTA(J251:Y251))/23)</f>
        <v/>
      </c>
      <c r="AA251" s="2">
        <f>IF(B251="","",WORKDAY(B251,3))</f>
        <v/>
      </c>
      <c r="AB251" s="2">
        <f>IF(B251="","",WORKDAY(B251,5))</f>
        <v/>
      </c>
      <c r="AC251" s="2">
        <f>IF(B251="","",WORKDAY(B251,10))</f>
        <v/>
      </c>
      <c r="AD251" s="2" t="n"/>
    </row>
    <row r="252">
      <c r="A252" s="12" t="n"/>
      <c r="B252" s="12" t="n"/>
      <c r="C252" s="2" t="n"/>
      <c r="D252" s="4" t="n"/>
      <c r="E252" s="12" t="n"/>
      <c r="F252" s="2" t="n"/>
      <c r="G252" s="12" t="n"/>
      <c r="H252" s="2">
        <f>IF(G252="","",IFERROR(VLOOKUP(G252,板块观察!A:U,14,FALSE),""))</f>
        <v/>
      </c>
      <c r="I252" s="2">
        <f>IF(G252="","",IFERROR(VLOOKUP(G252,板块观察!A:U,15,FALSE),""))</f>
        <v/>
      </c>
      <c r="J252" s="12" t="n"/>
      <c r="K252" s="12" t="n"/>
      <c r="L252" s="12" t="n"/>
      <c r="M252" s="14" t="n"/>
      <c r="N252" s="12" t="n"/>
      <c r="O252" s="2" t="n"/>
      <c r="P252" s="2" t="n"/>
      <c r="Q252" s="2" t="n"/>
      <c r="R252" s="12" t="n"/>
      <c r="S252" s="12" t="n"/>
      <c r="T252" s="12" t="n"/>
      <c r="U252" s="12" t="n"/>
      <c r="V252" s="12" t="n"/>
      <c r="W252" s="12" t="n"/>
      <c r="X252" s="12" t="n"/>
      <c r="Y252" s="2" t="n"/>
      <c r="Z252" s="5">
        <f>IF(A252="","",(COUNTA(A252:G252)+COUNTA(J252:Y252))/23)</f>
        <v/>
      </c>
      <c r="AA252" s="2">
        <f>IF(B252="","",WORKDAY(B252,3))</f>
        <v/>
      </c>
      <c r="AB252" s="2">
        <f>IF(B252="","",WORKDAY(B252,5))</f>
        <v/>
      </c>
      <c r="AC252" s="2">
        <f>IF(B252="","",WORKDAY(B252,10))</f>
        <v/>
      </c>
      <c r="AD252" s="2" t="n"/>
    </row>
    <row r="253">
      <c r="A253" s="12" t="n"/>
      <c r="B253" s="12" t="n"/>
      <c r="C253" s="2" t="n"/>
      <c r="D253" s="4" t="n"/>
      <c r="E253" s="12" t="n"/>
      <c r="F253" s="2" t="n"/>
      <c r="G253" s="12" t="n"/>
      <c r="H253" s="2">
        <f>IF(G253="","",IFERROR(VLOOKUP(G253,板块观察!A:U,14,FALSE),""))</f>
        <v/>
      </c>
      <c r="I253" s="2">
        <f>IF(G253="","",IFERROR(VLOOKUP(G253,板块观察!A:U,15,FALSE),""))</f>
        <v/>
      </c>
      <c r="J253" s="12" t="n"/>
      <c r="K253" s="12" t="n"/>
      <c r="L253" s="12" t="n"/>
      <c r="M253" s="14" t="n"/>
      <c r="N253" s="12" t="n"/>
      <c r="O253" s="2" t="n"/>
      <c r="P253" s="2" t="n"/>
      <c r="Q253" s="2" t="n"/>
      <c r="R253" s="12" t="n"/>
      <c r="S253" s="12" t="n"/>
      <c r="T253" s="12" t="n"/>
      <c r="U253" s="12" t="n"/>
      <c r="V253" s="12" t="n"/>
      <c r="W253" s="12" t="n"/>
      <c r="X253" s="12" t="n"/>
      <c r="Y253" s="2" t="n"/>
      <c r="Z253" s="5">
        <f>IF(A253="","",(COUNTA(A253:G253)+COUNTA(J253:Y253))/23)</f>
        <v/>
      </c>
      <c r="AA253" s="2">
        <f>IF(B253="","",WORKDAY(B253,3))</f>
        <v/>
      </c>
      <c r="AB253" s="2">
        <f>IF(B253="","",WORKDAY(B253,5))</f>
        <v/>
      </c>
      <c r="AC253" s="2">
        <f>IF(B253="","",WORKDAY(B253,10))</f>
        <v/>
      </c>
      <c r="AD253" s="2" t="n"/>
    </row>
    <row r="254">
      <c r="A254" s="12" t="n"/>
      <c r="B254" s="12" t="n"/>
      <c r="C254" s="2" t="n"/>
      <c r="D254" s="4" t="n"/>
      <c r="E254" s="12" t="n"/>
      <c r="F254" s="2" t="n"/>
      <c r="G254" s="12" t="n"/>
      <c r="H254" s="2">
        <f>IF(G254="","",IFERROR(VLOOKUP(G254,板块观察!A:U,14,FALSE),""))</f>
        <v/>
      </c>
      <c r="I254" s="2">
        <f>IF(G254="","",IFERROR(VLOOKUP(G254,板块观察!A:U,15,FALSE),""))</f>
        <v/>
      </c>
      <c r="J254" s="12" t="n"/>
      <c r="K254" s="12" t="n"/>
      <c r="L254" s="12" t="n"/>
      <c r="M254" s="14" t="n"/>
      <c r="N254" s="12" t="n"/>
      <c r="O254" s="2" t="n"/>
      <c r="P254" s="2" t="n"/>
      <c r="Q254" s="2" t="n"/>
      <c r="R254" s="12" t="n"/>
      <c r="S254" s="12" t="n"/>
      <c r="T254" s="12" t="n"/>
      <c r="U254" s="12" t="n"/>
      <c r="V254" s="12" t="n"/>
      <c r="W254" s="12" t="n"/>
      <c r="X254" s="12" t="n"/>
      <c r="Y254" s="2" t="n"/>
      <c r="Z254" s="5">
        <f>IF(A254="","",(COUNTA(A254:G254)+COUNTA(J254:Y254))/23)</f>
        <v/>
      </c>
      <c r="AA254" s="2">
        <f>IF(B254="","",WORKDAY(B254,3))</f>
        <v/>
      </c>
      <c r="AB254" s="2">
        <f>IF(B254="","",WORKDAY(B254,5))</f>
        <v/>
      </c>
      <c r="AC254" s="2">
        <f>IF(B254="","",WORKDAY(B254,10))</f>
        <v/>
      </c>
      <c r="AD254" s="2" t="n"/>
    </row>
    <row r="255">
      <c r="A255" s="12" t="n"/>
      <c r="B255" s="12" t="n"/>
      <c r="C255" s="2" t="n"/>
      <c r="D255" s="4" t="n"/>
      <c r="E255" s="12" t="n"/>
      <c r="F255" s="2" t="n"/>
      <c r="G255" s="12" t="n"/>
      <c r="H255" s="2">
        <f>IF(G255="","",IFERROR(VLOOKUP(G255,板块观察!A:U,14,FALSE),""))</f>
        <v/>
      </c>
      <c r="I255" s="2">
        <f>IF(G255="","",IFERROR(VLOOKUP(G255,板块观察!A:U,15,FALSE),""))</f>
        <v/>
      </c>
      <c r="J255" s="12" t="n"/>
      <c r="K255" s="12" t="n"/>
      <c r="L255" s="12" t="n"/>
      <c r="M255" s="14" t="n"/>
      <c r="N255" s="12" t="n"/>
      <c r="O255" s="2" t="n"/>
      <c r="P255" s="2" t="n"/>
      <c r="Q255" s="2" t="n"/>
      <c r="R255" s="12" t="n"/>
      <c r="S255" s="12" t="n"/>
      <c r="T255" s="12" t="n"/>
      <c r="U255" s="12" t="n"/>
      <c r="V255" s="12" t="n"/>
      <c r="W255" s="12" t="n"/>
      <c r="X255" s="12" t="n"/>
      <c r="Y255" s="2" t="n"/>
      <c r="Z255" s="5">
        <f>IF(A255="","",(COUNTA(A255:G255)+COUNTA(J255:Y255))/23)</f>
        <v/>
      </c>
      <c r="AA255" s="2">
        <f>IF(B255="","",WORKDAY(B255,3))</f>
        <v/>
      </c>
      <c r="AB255" s="2">
        <f>IF(B255="","",WORKDAY(B255,5))</f>
        <v/>
      </c>
      <c r="AC255" s="2">
        <f>IF(B255="","",WORKDAY(B255,10))</f>
        <v/>
      </c>
      <c r="AD255" s="2" t="n"/>
    </row>
    <row r="256">
      <c r="A256" s="12" t="n"/>
      <c r="B256" s="12" t="n"/>
      <c r="C256" s="2" t="n"/>
      <c r="D256" s="4" t="n"/>
      <c r="E256" s="12" t="n"/>
      <c r="F256" s="2" t="n"/>
      <c r="G256" s="12" t="n"/>
      <c r="H256" s="2">
        <f>IF(G256="","",IFERROR(VLOOKUP(G256,板块观察!A:U,14,FALSE),""))</f>
        <v/>
      </c>
      <c r="I256" s="2">
        <f>IF(G256="","",IFERROR(VLOOKUP(G256,板块观察!A:U,15,FALSE),""))</f>
        <v/>
      </c>
      <c r="J256" s="12" t="n"/>
      <c r="K256" s="12" t="n"/>
      <c r="L256" s="12" t="n"/>
      <c r="M256" s="14" t="n"/>
      <c r="N256" s="12" t="n"/>
      <c r="O256" s="2" t="n"/>
      <c r="P256" s="2" t="n"/>
      <c r="Q256" s="2" t="n"/>
      <c r="R256" s="12" t="n"/>
      <c r="S256" s="12" t="n"/>
      <c r="T256" s="12" t="n"/>
      <c r="U256" s="12" t="n"/>
      <c r="V256" s="12" t="n"/>
      <c r="W256" s="12" t="n"/>
      <c r="X256" s="12" t="n"/>
      <c r="Y256" s="2" t="n"/>
      <c r="Z256" s="5">
        <f>IF(A256="","",(COUNTA(A256:G256)+COUNTA(J256:Y256))/23)</f>
        <v/>
      </c>
      <c r="AA256" s="2">
        <f>IF(B256="","",WORKDAY(B256,3))</f>
        <v/>
      </c>
      <c r="AB256" s="2">
        <f>IF(B256="","",WORKDAY(B256,5))</f>
        <v/>
      </c>
      <c r="AC256" s="2">
        <f>IF(B256="","",WORKDAY(B256,10))</f>
        <v/>
      </c>
      <c r="AD256" s="2" t="n"/>
    </row>
    <row r="257">
      <c r="A257" s="12" t="n"/>
      <c r="B257" s="12" t="n"/>
      <c r="C257" s="2" t="n"/>
      <c r="D257" s="4" t="n"/>
      <c r="E257" s="12" t="n"/>
      <c r="F257" s="2" t="n"/>
      <c r="G257" s="12" t="n"/>
      <c r="H257" s="2">
        <f>IF(G257="","",IFERROR(VLOOKUP(G257,板块观察!A:U,14,FALSE),""))</f>
        <v/>
      </c>
      <c r="I257" s="2">
        <f>IF(G257="","",IFERROR(VLOOKUP(G257,板块观察!A:U,15,FALSE),""))</f>
        <v/>
      </c>
      <c r="J257" s="12" t="n"/>
      <c r="K257" s="12" t="n"/>
      <c r="L257" s="12" t="n"/>
      <c r="M257" s="14" t="n"/>
      <c r="N257" s="12" t="n"/>
      <c r="O257" s="2" t="n"/>
      <c r="P257" s="2" t="n"/>
      <c r="Q257" s="2" t="n"/>
      <c r="R257" s="12" t="n"/>
      <c r="S257" s="12" t="n"/>
      <c r="T257" s="12" t="n"/>
      <c r="U257" s="12" t="n"/>
      <c r="V257" s="12" t="n"/>
      <c r="W257" s="12" t="n"/>
      <c r="X257" s="12" t="n"/>
      <c r="Y257" s="2" t="n"/>
      <c r="Z257" s="5">
        <f>IF(A257="","",(COUNTA(A257:G257)+COUNTA(J257:Y257))/23)</f>
        <v/>
      </c>
      <c r="AA257" s="2">
        <f>IF(B257="","",WORKDAY(B257,3))</f>
        <v/>
      </c>
      <c r="AB257" s="2">
        <f>IF(B257="","",WORKDAY(B257,5))</f>
        <v/>
      </c>
      <c r="AC257" s="2">
        <f>IF(B257="","",WORKDAY(B257,10))</f>
        <v/>
      </c>
      <c r="AD257" s="2" t="n"/>
    </row>
    <row r="258">
      <c r="A258" s="12" t="n"/>
      <c r="B258" s="12" t="n"/>
      <c r="C258" s="2" t="n"/>
      <c r="D258" s="4" t="n"/>
      <c r="E258" s="12" t="n"/>
      <c r="F258" s="2" t="n"/>
      <c r="G258" s="12" t="n"/>
      <c r="H258" s="2">
        <f>IF(G258="","",IFERROR(VLOOKUP(G258,板块观察!A:U,14,FALSE),""))</f>
        <v/>
      </c>
      <c r="I258" s="2">
        <f>IF(G258="","",IFERROR(VLOOKUP(G258,板块观察!A:U,15,FALSE),""))</f>
        <v/>
      </c>
      <c r="J258" s="12" t="n"/>
      <c r="K258" s="12" t="n"/>
      <c r="L258" s="12" t="n"/>
      <c r="M258" s="14" t="n"/>
      <c r="N258" s="12" t="n"/>
      <c r="O258" s="2" t="n"/>
      <c r="P258" s="2" t="n"/>
      <c r="Q258" s="2" t="n"/>
      <c r="R258" s="12" t="n"/>
      <c r="S258" s="12" t="n"/>
      <c r="T258" s="12" t="n"/>
      <c r="U258" s="12" t="n"/>
      <c r="V258" s="12" t="n"/>
      <c r="W258" s="12" t="n"/>
      <c r="X258" s="12" t="n"/>
      <c r="Y258" s="2" t="n"/>
      <c r="Z258" s="5">
        <f>IF(A258="","",(COUNTA(A258:G258)+COUNTA(J258:Y258))/23)</f>
        <v/>
      </c>
      <c r="AA258" s="2">
        <f>IF(B258="","",WORKDAY(B258,3))</f>
        <v/>
      </c>
      <c r="AB258" s="2">
        <f>IF(B258="","",WORKDAY(B258,5))</f>
        <v/>
      </c>
      <c r="AC258" s="2">
        <f>IF(B258="","",WORKDAY(B258,10))</f>
        <v/>
      </c>
      <c r="AD258" s="2" t="n"/>
    </row>
    <row r="259">
      <c r="A259" s="12" t="n"/>
      <c r="B259" s="12" t="n"/>
      <c r="C259" s="2" t="n"/>
      <c r="D259" s="4" t="n"/>
      <c r="E259" s="12" t="n"/>
      <c r="F259" s="2" t="n"/>
      <c r="G259" s="12" t="n"/>
      <c r="H259" s="2">
        <f>IF(G259="","",IFERROR(VLOOKUP(G259,板块观察!A:U,14,FALSE),""))</f>
        <v/>
      </c>
      <c r="I259" s="2">
        <f>IF(G259="","",IFERROR(VLOOKUP(G259,板块观察!A:U,15,FALSE),""))</f>
        <v/>
      </c>
      <c r="J259" s="12" t="n"/>
      <c r="K259" s="12" t="n"/>
      <c r="L259" s="12" t="n"/>
      <c r="M259" s="14" t="n"/>
      <c r="N259" s="12" t="n"/>
      <c r="O259" s="2" t="n"/>
      <c r="P259" s="2" t="n"/>
      <c r="Q259" s="2" t="n"/>
      <c r="R259" s="12" t="n"/>
      <c r="S259" s="12" t="n"/>
      <c r="T259" s="12" t="n"/>
      <c r="U259" s="12" t="n"/>
      <c r="V259" s="12" t="n"/>
      <c r="W259" s="12" t="n"/>
      <c r="X259" s="12" t="n"/>
      <c r="Y259" s="2" t="n"/>
      <c r="Z259" s="5">
        <f>IF(A259="","",(COUNTA(A259:G259)+COUNTA(J259:Y259))/23)</f>
        <v/>
      </c>
      <c r="AA259" s="2">
        <f>IF(B259="","",WORKDAY(B259,3))</f>
        <v/>
      </c>
      <c r="AB259" s="2">
        <f>IF(B259="","",WORKDAY(B259,5))</f>
        <v/>
      </c>
      <c r="AC259" s="2">
        <f>IF(B259="","",WORKDAY(B259,10))</f>
        <v/>
      </c>
      <c r="AD259" s="2" t="n"/>
    </row>
    <row r="260">
      <c r="A260" s="12" t="n"/>
      <c r="B260" s="12" t="n"/>
      <c r="C260" s="2" t="n"/>
      <c r="D260" s="4" t="n"/>
      <c r="E260" s="12" t="n"/>
      <c r="F260" s="2" t="n"/>
      <c r="G260" s="12" t="n"/>
      <c r="H260" s="2">
        <f>IF(G260="","",IFERROR(VLOOKUP(G260,板块观察!A:U,14,FALSE),""))</f>
        <v/>
      </c>
      <c r="I260" s="2">
        <f>IF(G260="","",IFERROR(VLOOKUP(G260,板块观察!A:U,15,FALSE),""))</f>
        <v/>
      </c>
      <c r="J260" s="12" t="n"/>
      <c r="K260" s="12" t="n"/>
      <c r="L260" s="12" t="n"/>
      <c r="M260" s="14" t="n"/>
      <c r="N260" s="12" t="n"/>
      <c r="O260" s="2" t="n"/>
      <c r="P260" s="2" t="n"/>
      <c r="Q260" s="2" t="n"/>
      <c r="R260" s="12" t="n"/>
      <c r="S260" s="12" t="n"/>
      <c r="T260" s="12" t="n"/>
      <c r="U260" s="12" t="n"/>
      <c r="V260" s="12" t="n"/>
      <c r="W260" s="12" t="n"/>
      <c r="X260" s="12" t="n"/>
      <c r="Y260" s="2" t="n"/>
      <c r="Z260" s="5">
        <f>IF(A260="","",(COUNTA(A260:G260)+COUNTA(J260:Y260))/23)</f>
        <v/>
      </c>
      <c r="AA260" s="2">
        <f>IF(B260="","",WORKDAY(B260,3))</f>
        <v/>
      </c>
      <c r="AB260" s="2">
        <f>IF(B260="","",WORKDAY(B260,5))</f>
        <v/>
      </c>
      <c r="AC260" s="2">
        <f>IF(B260="","",WORKDAY(B260,10))</f>
        <v/>
      </c>
      <c r="AD260" s="2" t="n"/>
    </row>
    <row r="261">
      <c r="A261" s="12" t="n"/>
      <c r="B261" s="12" t="n"/>
      <c r="C261" s="2" t="n"/>
      <c r="D261" s="4" t="n"/>
      <c r="E261" s="12" t="n"/>
      <c r="F261" s="2" t="n"/>
      <c r="G261" s="12" t="n"/>
      <c r="H261" s="2">
        <f>IF(G261="","",IFERROR(VLOOKUP(G261,板块观察!A:U,14,FALSE),""))</f>
        <v/>
      </c>
      <c r="I261" s="2">
        <f>IF(G261="","",IFERROR(VLOOKUP(G261,板块观察!A:U,15,FALSE),""))</f>
        <v/>
      </c>
      <c r="J261" s="12" t="n"/>
      <c r="K261" s="12" t="n"/>
      <c r="L261" s="12" t="n"/>
      <c r="M261" s="14" t="n"/>
      <c r="N261" s="12" t="n"/>
      <c r="O261" s="2" t="n"/>
      <c r="P261" s="2" t="n"/>
      <c r="Q261" s="2" t="n"/>
      <c r="R261" s="12" t="n"/>
      <c r="S261" s="12" t="n"/>
      <c r="T261" s="12" t="n"/>
      <c r="U261" s="12" t="n"/>
      <c r="V261" s="12" t="n"/>
      <c r="W261" s="12" t="n"/>
      <c r="X261" s="12" t="n"/>
      <c r="Y261" s="2" t="n"/>
      <c r="Z261" s="5">
        <f>IF(A261="","",(COUNTA(A261:G261)+COUNTA(J261:Y261))/23)</f>
        <v/>
      </c>
      <c r="AA261" s="2">
        <f>IF(B261="","",WORKDAY(B261,3))</f>
        <v/>
      </c>
      <c r="AB261" s="2">
        <f>IF(B261="","",WORKDAY(B261,5))</f>
        <v/>
      </c>
      <c r="AC261" s="2">
        <f>IF(B261="","",WORKDAY(B261,10))</f>
        <v/>
      </c>
      <c r="AD261" s="2" t="n"/>
    </row>
    <row r="262">
      <c r="A262" s="12" t="n"/>
      <c r="B262" s="12" t="n"/>
      <c r="C262" s="2" t="n"/>
      <c r="D262" s="4" t="n"/>
      <c r="E262" s="12" t="n"/>
      <c r="F262" s="2" t="n"/>
      <c r="G262" s="12" t="n"/>
      <c r="H262" s="2">
        <f>IF(G262="","",IFERROR(VLOOKUP(G262,板块观察!A:U,14,FALSE),""))</f>
        <v/>
      </c>
      <c r="I262" s="2">
        <f>IF(G262="","",IFERROR(VLOOKUP(G262,板块观察!A:U,15,FALSE),""))</f>
        <v/>
      </c>
      <c r="J262" s="12" t="n"/>
      <c r="K262" s="12" t="n"/>
      <c r="L262" s="12" t="n"/>
      <c r="M262" s="14" t="n"/>
      <c r="N262" s="12" t="n"/>
      <c r="O262" s="2" t="n"/>
      <c r="P262" s="2" t="n"/>
      <c r="Q262" s="2" t="n"/>
      <c r="R262" s="12" t="n"/>
      <c r="S262" s="12" t="n"/>
      <c r="T262" s="12" t="n"/>
      <c r="U262" s="12" t="n"/>
      <c r="V262" s="12" t="n"/>
      <c r="W262" s="12" t="n"/>
      <c r="X262" s="12" t="n"/>
      <c r="Y262" s="2" t="n"/>
      <c r="Z262" s="5">
        <f>IF(A262="","",(COUNTA(A262:G262)+COUNTA(J262:Y262))/23)</f>
        <v/>
      </c>
      <c r="AA262" s="2">
        <f>IF(B262="","",WORKDAY(B262,3))</f>
        <v/>
      </c>
      <c r="AB262" s="2">
        <f>IF(B262="","",WORKDAY(B262,5))</f>
        <v/>
      </c>
      <c r="AC262" s="2">
        <f>IF(B262="","",WORKDAY(B262,10))</f>
        <v/>
      </c>
      <c r="AD262" s="2" t="n"/>
    </row>
    <row r="263">
      <c r="A263" s="12" t="n"/>
      <c r="B263" s="12" t="n"/>
      <c r="C263" s="2" t="n"/>
      <c r="D263" s="4" t="n"/>
      <c r="E263" s="12" t="n"/>
      <c r="F263" s="2" t="n"/>
      <c r="G263" s="12" t="n"/>
      <c r="H263" s="2">
        <f>IF(G263="","",IFERROR(VLOOKUP(G263,板块观察!A:U,14,FALSE),""))</f>
        <v/>
      </c>
      <c r="I263" s="2">
        <f>IF(G263="","",IFERROR(VLOOKUP(G263,板块观察!A:U,15,FALSE),""))</f>
        <v/>
      </c>
      <c r="J263" s="12" t="n"/>
      <c r="K263" s="12" t="n"/>
      <c r="L263" s="12" t="n"/>
      <c r="M263" s="14" t="n"/>
      <c r="N263" s="12" t="n"/>
      <c r="O263" s="2" t="n"/>
      <c r="P263" s="2" t="n"/>
      <c r="Q263" s="2" t="n"/>
      <c r="R263" s="12" t="n"/>
      <c r="S263" s="12" t="n"/>
      <c r="T263" s="12" t="n"/>
      <c r="U263" s="12" t="n"/>
      <c r="V263" s="12" t="n"/>
      <c r="W263" s="12" t="n"/>
      <c r="X263" s="12" t="n"/>
      <c r="Y263" s="2" t="n"/>
      <c r="Z263" s="5">
        <f>IF(A263="","",(COUNTA(A263:G263)+COUNTA(J263:Y263))/23)</f>
        <v/>
      </c>
      <c r="AA263" s="2">
        <f>IF(B263="","",WORKDAY(B263,3))</f>
        <v/>
      </c>
      <c r="AB263" s="2">
        <f>IF(B263="","",WORKDAY(B263,5))</f>
        <v/>
      </c>
      <c r="AC263" s="2">
        <f>IF(B263="","",WORKDAY(B263,10))</f>
        <v/>
      </c>
      <c r="AD263" s="2" t="n"/>
    </row>
    <row r="264">
      <c r="A264" s="12" t="n"/>
      <c r="B264" s="12" t="n"/>
      <c r="C264" s="2" t="n"/>
      <c r="D264" s="4" t="n"/>
      <c r="E264" s="12" t="n"/>
      <c r="F264" s="2" t="n"/>
      <c r="G264" s="12" t="n"/>
      <c r="H264" s="2">
        <f>IF(G264="","",IFERROR(VLOOKUP(G264,板块观察!A:U,14,FALSE),""))</f>
        <v/>
      </c>
      <c r="I264" s="2">
        <f>IF(G264="","",IFERROR(VLOOKUP(G264,板块观察!A:U,15,FALSE),""))</f>
        <v/>
      </c>
      <c r="J264" s="12" t="n"/>
      <c r="K264" s="12" t="n"/>
      <c r="L264" s="12" t="n"/>
      <c r="M264" s="14" t="n"/>
      <c r="N264" s="12" t="n"/>
      <c r="O264" s="2" t="n"/>
      <c r="P264" s="2" t="n"/>
      <c r="Q264" s="2" t="n"/>
      <c r="R264" s="12" t="n"/>
      <c r="S264" s="12" t="n"/>
      <c r="T264" s="12" t="n"/>
      <c r="U264" s="12" t="n"/>
      <c r="V264" s="12" t="n"/>
      <c r="W264" s="12" t="n"/>
      <c r="X264" s="12" t="n"/>
      <c r="Y264" s="2" t="n"/>
      <c r="Z264" s="5">
        <f>IF(A264="","",(COUNTA(A264:G264)+COUNTA(J264:Y264))/23)</f>
        <v/>
      </c>
      <c r="AA264" s="2">
        <f>IF(B264="","",WORKDAY(B264,3))</f>
        <v/>
      </c>
      <c r="AB264" s="2">
        <f>IF(B264="","",WORKDAY(B264,5))</f>
        <v/>
      </c>
      <c r="AC264" s="2">
        <f>IF(B264="","",WORKDAY(B264,10))</f>
        <v/>
      </c>
      <c r="AD264" s="2" t="n"/>
    </row>
    <row r="265">
      <c r="A265" s="12" t="n"/>
      <c r="B265" s="12" t="n"/>
      <c r="C265" s="2" t="n"/>
      <c r="D265" s="4" t="n"/>
      <c r="E265" s="12" t="n"/>
      <c r="F265" s="2" t="n"/>
      <c r="G265" s="12" t="n"/>
      <c r="H265" s="2">
        <f>IF(G265="","",IFERROR(VLOOKUP(G265,板块观察!A:U,14,FALSE),""))</f>
        <v/>
      </c>
      <c r="I265" s="2">
        <f>IF(G265="","",IFERROR(VLOOKUP(G265,板块观察!A:U,15,FALSE),""))</f>
        <v/>
      </c>
      <c r="J265" s="12" t="n"/>
      <c r="K265" s="12" t="n"/>
      <c r="L265" s="12" t="n"/>
      <c r="M265" s="14" t="n"/>
      <c r="N265" s="12" t="n"/>
      <c r="O265" s="2" t="n"/>
      <c r="P265" s="2" t="n"/>
      <c r="Q265" s="2" t="n"/>
      <c r="R265" s="12" t="n"/>
      <c r="S265" s="12" t="n"/>
      <c r="T265" s="12" t="n"/>
      <c r="U265" s="12" t="n"/>
      <c r="V265" s="12" t="n"/>
      <c r="W265" s="12" t="n"/>
      <c r="X265" s="12" t="n"/>
      <c r="Y265" s="2" t="n"/>
      <c r="Z265" s="5">
        <f>IF(A265="","",(COUNTA(A265:G265)+COUNTA(J265:Y265))/23)</f>
        <v/>
      </c>
      <c r="AA265" s="2">
        <f>IF(B265="","",WORKDAY(B265,3))</f>
        <v/>
      </c>
      <c r="AB265" s="2">
        <f>IF(B265="","",WORKDAY(B265,5))</f>
        <v/>
      </c>
      <c r="AC265" s="2">
        <f>IF(B265="","",WORKDAY(B265,10))</f>
        <v/>
      </c>
      <c r="AD265" s="2" t="n"/>
    </row>
    <row r="266">
      <c r="A266" s="12" t="n"/>
      <c r="B266" s="12" t="n"/>
      <c r="C266" s="2" t="n"/>
      <c r="D266" s="4" t="n"/>
      <c r="E266" s="12" t="n"/>
      <c r="F266" s="2" t="n"/>
      <c r="G266" s="12" t="n"/>
      <c r="H266" s="2">
        <f>IF(G266="","",IFERROR(VLOOKUP(G266,板块观察!A:U,14,FALSE),""))</f>
        <v/>
      </c>
      <c r="I266" s="2">
        <f>IF(G266="","",IFERROR(VLOOKUP(G266,板块观察!A:U,15,FALSE),""))</f>
        <v/>
      </c>
      <c r="J266" s="12" t="n"/>
      <c r="K266" s="12" t="n"/>
      <c r="L266" s="12" t="n"/>
      <c r="M266" s="14" t="n"/>
      <c r="N266" s="12" t="n"/>
      <c r="O266" s="2" t="n"/>
      <c r="P266" s="2" t="n"/>
      <c r="Q266" s="2" t="n"/>
      <c r="R266" s="12" t="n"/>
      <c r="S266" s="12" t="n"/>
      <c r="T266" s="12" t="n"/>
      <c r="U266" s="12" t="n"/>
      <c r="V266" s="12" t="n"/>
      <c r="W266" s="12" t="n"/>
      <c r="X266" s="12" t="n"/>
      <c r="Y266" s="2" t="n"/>
      <c r="Z266" s="5">
        <f>IF(A266="","",(COUNTA(A266:G266)+COUNTA(J266:Y266))/23)</f>
        <v/>
      </c>
      <c r="AA266" s="2">
        <f>IF(B266="","",WORKDAY(B266,3))</f>
        <v/>
      </c>
      <c r="AB266" s="2">
        <f>IF(B266="","",WORKDAY(B266,5))</f>
        <v/>
      </c>
      <c r="AC266" s="2">
        <f>IF(B266="","",WORKDAY(B266,10))</f>
        <v/>
      </c>
      <c r="AD266" s="2" t="n"/>
    </row>
    <row r="267">
      <c r="A267" s="12" t="n"/>
      <c r="B267" s="12" t="n"/>
      <c r="C267" s="2" t="n"/>
      <c r="D267" s="4" t="n"/>
      <c r="E267" s="12" t="n"/>
      <c r="F267" s="2" t="n"/>
      <c r="G267" s="12" t="n"/>
      <c r="H267" s="2">
        <f>IF(G267="","",IFERROR(VLOOKUP(G267,板块观察!A:U,14,FALSE),""))</f>
        <v/>
      </c>
      <c r="I267" s="2">
        <f>IF(G267="","",IFERROR(VLOOKUP(G267,板块观察!A:U,15,FALSE),""))</f>
        <v/>
      </c>
      <c r="J267" s="12" t="n"/>
      <c r="K267" s="12" t="n"/>
      <c r="L267" s="12" t="n"/>
      <c r="M267" s="14" t="n"/>
      <c r="N267" s="12" t="n"/>
      <c r="O267" s="2" t="n"/>
      <c r="P267" s="2" t="n"/>
      <c r="Q267" s="2" t="n"/>
      <c r="R267" s="12" t="n"/>
      <c r="S267" s="12" t="n"/>
      <c r="T267" s="12" t="n"/>
      <c r="U267" s="12" t="n"/>
      <c r="V267" s="12" t="n"/>
      <c r="W267" s="12" t="n"/>
      <c r="X267" s="12" t="n"/>
      <c r="Y267" s="2" t="n"/>
      <c r="Z267" s="5">
        <f>IF(A267="","",(COUNTA(A267:G267)+COUNTA(J267:Y267))/23)</f>
        <v/>
      </c>
      <c r="AA267" s="2">
        <f>IF(B267="","",WORKDAY(B267,3))</f>
        <v/>
      </c>
      <c r="AB267" s="2">
        <f>IF(B267="","",WORKDAY(B267,5))</f>
        <v/>
      </c>
      <c r="AC267" s="2">
        <f>IF(B267="","",WORKDAY(B267,10))</f>
        <v/>
      </c>
      <c r="AD267" s="2" t="n"/>
    </row>
    <row r="268">
      <c r="A268" s="12" t="n"/>
      <c r="B268" s="12" t="n"/>
      <c r="C268" s="2" t="n"/>
      <c r="D268" s="4" t="n"/>
      <c r="E268" s="12" t="n"/>
      <c r="F268" s="2" t="n"/>
      <c r="G268" s="12" t="n"/>
      <c r="H268" s="2">
        <f>IF(G268="","",IFERROR(VLOOKUP(G268,板块观察!A:U,14,FALSE),""))</f>
        <v/>
      </c>
      <c r="I268" s="2">
        <f>IF(G268="","",IFERROR(VLOOKUP(G268,板块观察!A:U,15,FALSE),""))</f>
        <v/>
      </c>
      <c r="J268" s="12" t="n"/>
      <c r="K268" s="12" t="n"/>
      <c r="L268" s="12" t="n"/>
      <c r="M268" s="14" t="n"/>
      <c r="N268" s="12" t="n"/>
      <c r="O268" s="2" t="n"/>
      <c r="P268" s="2" t="n"/>
      <c r="Q268" s="2" t="n"/>
      <c r="R268" s="12" t="n"/>
      <c r="S268" s="12" t="n"/>
      <c r="T268" s="12" t="n"/>
      <c r="U268" s="12" t="n"/>
      <c r="V268" s="12" t="n"/>
      <c r="W268" s="12" t="n"/>
      <c r="X268" s="12" t="n"/>
      <c r="Y268" s="2" t="n"/>
      <c r="Z268" s="5">
        <f>IF(A268="","",(COUNTA(A268:G268)+COUNTA(J268:Y268))/23)</f>
        <v/>
      </c>
      <c r="AA268" s="2">
        <f>IF(B268="","",WORKDAY(B268,3))</f>
        <v/>
      </c>
      <c r="AB268" s="2">
        <f>IF(B268="","",WORKDAY(B268,5))</f>
        <v/>
      </c>
      <c r="AC268" s="2">
        <f>IF(B268="","",WORKDAY(B268,10))</f>
        <v/>
      </c>
      <c r="AD268" s="2" t="n"/>
    </row>
    <row r="269">
      <c r="A269" s="12" t="n"/>
      <c r="B269" s="12" t="n"/>
      <c r="C269" s="2" t="n"/>
      <c r="D269" s="4" t="n"/>
      <c r="E269" s="12" t="n"/>
      <c r="F269" s="2" t="n"/>
      <c r="G269" s="12" t="n"/>
      <c r="H269" s="2">
        <f>IF(G269="","",IFERROR(VLOOKUP(G269,板块观察!A:U,14,FALSE),""))</f>
        <v/>
      </c>
      <c r="I269" s="2">
        <f>IF(G269="","",IFERROR(VLOOKUP(G269,板块观察!A:U,15,FALSE),""))</f>
        <v/>
      </c>
      <c r="J269" s="12" t="n"/>
      <c r="K269" s="12" t="n"/>
      <c r="L269" s="12" t="n"/>
      <c r="M269" s="14" t="n"/>
      <c r="N269" s="12" t="n"/>
      <c r="O269" s="2" t="n"/>
      <c r="P269" s="2" t="n"/>
      <c r="Q269" s="2" t="n"/>
      <c r="R269" s="12" t="n"/>
      <c r="S269" s="12" t="n"/>
      <c r="T269" s="12" t="n"/>
      <c r="U269" s="12" t="n"/>
      <c r="V269" s="12" t="n"/>
      <c r="W269" s="12" t="n"/>
      <c r="X269" s="12" t="n"/>
      <c r="Y269" s="2" t="n"/>
      <c r="Z269" s="5">
        <f>IF(A269="","",(COUNTA(A269:G269)+COUNTA(J269:Y269))/23)</f>
        <v/>
      </c>
      <c r="AA269" s="2">
        <f>IF(B269="","",WORKDAY(B269,3))</f>
        <v/>
      </c>
      <c r="AB269" s="2">
        <f>IF(B269="","",WORKDAY(B269,5))</f>
        <v/>
      </c>
      <c r="AC269" s="2">
        <f>IF(B269="","",WORKDAY(B269,10))</f>
        <v/>
      </c>
      <c r="AD269" s="2" t="n"/>
    </row>
    <row r="270">
      <c r="A270" s="12" t="n"/>
      <c r="B270" s="12" t="n"/>
      <c r="C270" s="2" t="n"/>
      <c r="D270" s="4" t="n"/>
      <c r="E270" s="12" t="n"/>
      <c r="F270" s="2" t="n"/>
      <c r="G270" s="12" t="n"/>
      <c r="H270" s="2">
        <f>IF(G270="","",IFERROR(VLOOKUP(G270,板块观察!A:U,14,FALSE),""))</f>
        <v/>
      </c>
      <c r="I270" s="2">
        <f>IF(G270="","",IFERROR(VLOOKUP(G270,板块观察!A:U,15,FALSE),""))</f>
        <v/>
      </c>
      <c r="J270" s="12" t="n"/>
      <c r="K270" s="12" t="n"/>
      <c r="L270" s="12" t="n"/>
      <c r="M270" s="14" t="n"/>
      <c r="N270" s="12" t="n"/>
      <c r="O270" s="2" t="n"/>
      <c r="P270" s="2" t="n"/>
      <c r="Q270" s="2" t="n"/>
      <c r="R270" s="12" t="n"/>
      <c r="S270" s="12" t="n"/>
      <c r="T270" s="12" t="n"/>
      <c r="U270" s="12" t="n"/>
      <c r="V270" s="12" t="n"/>
      <c r="W270" s="12" t="n"/>
      <c r="X270" s="12" t="n"/>
      <c r="Y270" s="2" t="n"/>
      <c r="Z270" s="5">
        <f>IF(A270="","",(COUNTA(A270:G270)+COUNTA(J270:Y270))/23)</f>
        <v/>
      </c>
      <c r="AA270" s="2">
        <f>IF(B270="","",WORKDAY(B270,3))</f>
        <v/>
      </c>
      <c r="AB270" s="2">
        <f>IF(B270="","",WORKDAY(B270,5))</f>
        <v/>
      </c>
      <c r="AC270" s="2">
        <f>IF(B270="","",WORKDAY(B270,10))</f>
        <v/>
      </c>
      <c r="AD270" s="2" t="n"/>
    </row>
    <row r="271">
      <c r="A271" s="12" t="n"/>
      <c r="B271" s="12" t="n"/>
      <c r="C271" s="2" t="n"/>
      <c r="D271" s="4" t="n"/>
      <c r="E271" s="12" t="n"/>
      <c r="F271" s="2" t="n"/>
      <c r="G271" s="12" t="n"/>
      <c r="H271" s="2">
        <f>IF(G271="","",IFERROR(VLOOKUP(G271,板块观察!A:U,14,FALSE),""))</f>
        <v/>
      </c>
      <c r="I271" s="2">
        <f>IF(G271="","",IFERROR(VLOOKUP(G271,板块观察!A:U,15,FALSE),""))</f>
        <v/>
      </c>
      <c r="J271" s="12" t="n"/>
      <c r="K271" s="12" t="n"/>
      <c r="L271" s="12" t="n"/>
      <c r="M271" s="14" t="n"/>
      <c r="N271" s="12" t="n"/>
      <c r="O271" s="2" t="n"/>
      <c r="P271" s="2" t="n"/>
      <c r="Q271" s="2" t="n"/>
      <c r="R271" s="12" t="n"/>
      <c r="S271" s="12" t="n"/>
      <c r="T271" s="12" t="n"/>
      <c r="U271" s="12" t="n"/>
      <c r="V271" s="12" t="n"/>
      <c r="W271" s="12" t="n"/>
      <c r="X271" s="12" t="n"/>
      <c r="Y271" s="2" t="n"/>
      <c r="Z271" s="5">
        <f>IF(A271="","",(COUNTA(A271:G271)+COUNTA(J271:Y271))/23)</f>
        <v/>
      </c>
      <c r="AA271" s="2">
        <f>IF(B271="","",WORKDAY(B271,3))</f>
        <v/>
      </c>
      <c r="AB271" s="2">
        <f>IF(B271="","",WORKDAY(B271,5))</f>
        <v/>
      </c>
      <c r="AC271" s="2">
        <f>IF(B271="","",WORKDAY(B271,10))</f>
        <v/>
      </c>
      <c r="AD271" s="2" t="n"/>
    </row>
    <row r="272">
      <c r="A272" s="12" t="n"/>
      <c r="B272" s="12" t="n"/>
      <c r="C272" s="2" t="n"/>
      <c r="D272" s="4" t="n"/>
      <c r="E272" s="12" t="n"/>
      <c r="F272" s="2" t="n"/>
      <c r="G272" s="12" t="n"/>
      <c r="H272" s="2">
        <f>IF(G272="","",IFERROR(VLOOKUP(G272,板块观察!A:U,14,FALSE),""))</f>
        <v/>
      </c>
      <c r="I272" s="2">
        <f>IF(G272="","",IFERROR(VLOOKUP(G272,板块观察!A:U,15,FALSE),""))</f>
        <v/>
      </c>
      <c r="J272" s="12" t="n"/>
      <c r="K272" s="12" t="n"/>
      <c r="L272" s="12" t="n"/>
      <c r="M272" s="14" t="n"/>
      <c r="N272" s="12" t="n"/>
      <c r="O272" s="2" t="n"/>
      <c r="P272" s="2" t="n"/>
      <c r="Q272" s="2" t="n"/>
      <c r="R272" s="12" t="n"/>
      <c r="S272" s="12" t="n"/>
      <c r="T272" s="12" t="n"/>
      <c r="U272" s="12" t="n"/>
      <c r="V272" s="12" t="n"/>
      <c r="W272" s="12" t="n"/>
      <c r="X272" s="12" t="n"/>
      <c r="Y272" s="2" t="n"/>
      <c r="Z272" s="5">
        <f>IF(A272="","",(COUNTA(A272:G272)+COUNTA(J272:Y272))/23)</f>
        <v/>
      </c>
      <c r="AA272" s="2">
        <f>IF(B272="","",WORKDAY(B272,3))</f>
        <v/>
      </c>
      <c r="AB272" s="2">
        <f>IF(B272="","",WORKDAY(B272,5))</f>
        <v/>
      </c>
      <c r="AC272" s="2">
        <f>IF(B272="","",WORKDAY(B272,10))</f>
        <v/>
      </c>
      <c r="AD272" s="2" t="n"/>
    </row>
    <row r="273">
      <c r="A273" s="12" t="n"/>
      <c r="B273" s="12" t="n"/>
      <c r="C273" s="2" t="n"/>
      <c r="D273" s="4" t="n"/>
      <c r="E273" s="12" t="n"/>
      <c r="F273" s="2" t="n"/>
      <c r="G273" s="12" t="n"/>
      <c r="H273" s="2">
        <f>IF(G273="","",IFERROR(VLOOKUP(G273,板块观察!A:U,14,FALSE),""))</f>
        <v/>
      </c>
      <c r="I273" s="2">
        <f>IF(G273="","",IFERROR(VLOOKUP(G273,板块观察!A:U,15,FALSE),""))</f>
        <v/>
      </c>
      <c r="J273" s="12" t="n"/>
      <c r="K273" s="12" t="n"/>
      <c r="L273" s="12" t="n"/>
      <c r="M273" s="14" t="n"/>
      <c r="N273" s="12" t="n"/>
      <c r="O273" s="2" t="n"/>
      <c r="P273" s="2" t="n"/>
      <c r="Q273" s="2" t="n"/>
      <c r="R273" s="12" t="n"/>
      <c r="S273" s="12" t="n"/>
      <c r="T273" s="12" t="n"/>
      <c r="U273" s="12" t="n"/>
      <c r="V273" s="12" t="n"/>
      <c r="W273" s="12" t="n"/>
      <c r="X273" s="12" t="n"/>
      <c r="Y273" s="2" t="n"/>
      <c r="Z273" s="5">
        <f>IF(A273="","",(COUNTA(A273:G273)+COUNTA(J273:Y273))/23)</f>
        <v/>
      </c>
      <c r="AA273" s="2">
        <f>IF(B273="","",WORKDAY(B273,3))</f>
        <v/>
      </c>
      <c r="AB273" s="2">
        <f>IF(B273="","",WORKDAY(B273,5))</f>
        <v/>
      </c>
      <c r="AC273" s="2">
        <f>IF(B273="","",WORKDAY(B273,10))</f>
        <v/>
      </c>
      <c r="AD273" s="2" t="n"/>
    </row>
    <row r="274">
      <c r="A274" s="12" t="n"/>
      <c r="B274" s="12" t="n"/>
      <c r="C274" s="2" t="n"/>
      <c r="D274" s="4" t="n"/>
      <c r="E274" s="12" t="n"/>
      <c r="F274" s="2" t="n"/>
      <c r="G274" s="12" t="n"/>
      <c r="H274" s="2">
        <f>IF(G274="","",IFERROR(VLOOKUP(G274,板块观察!A:U,14,FALSE),""))</f>
        <v/>
      </c>
      <c r="I274" s="2">
        <f>IF(G274="","",IFERROR(VLOOKUP(G274,板块观察!A:U,15,FALSE),""))</f>
        <v/>
      </c>
      <c r="J274" s="12" t="n"/>
      <c r="K274" s="12" t="n"/>
      <c r="L274" s="12" t="n"/>
      <c r="M274" s="14" t="n"/>
      <c r="N274" s="12" t="n"/>
      <c r="O274" s="2" t="n"/>
      <c r="P274" s="2" t="n"/>
      <c r="Q274" s="2" t="n"/>
      <c r="R274" s="12" t="n"/>
      <c r="S274" s="12" t="n"/>
      <c r="T274" s="12" t="n"/>
      <c r="U274" s="12" t="n"/>
      <c r="V274" s="12" t="n"/>
      <c r="W274" s="12" t="n"/>
      <c r="X274" s="12" t="n"/>
      <c r="Y274" s="2" t="n"/>
      <c r="Z274" s="5">
        <f>IF(A274="","",(COUNTA(A274:G274)+COUNTA(J274:Y274))/23)</f>
        <v/>
      </c>
      <c r="AA274" s="2">
        <f>IF(B274="","",WORKDAY(B274,3))</f>
        <v/>
      </c>
      <c r="AB274" s="2">
        <f>IF(B274="","",WORKDAY(B274,5))</f>
        <v/>
      </c>
      <c r="AC274" s="2">
        <f>IF(B274="","",WORKDAY(B274,10))</f>
        <v/>
      </c>
      <c r="AD274" s="2" t="n"/>
    </row>
    <row r="275">
      <c r="A275" s="12" t="n"/>
      <c r="B275" s="12" t="n"/>
      <c r="C275" s="2" t="n"/>
      <c r="D275" s="4" t="n"/>
      <c r="E275" s="12" t="n"/>
      <c r="F275" s="2" t="n"/>
      <c r="G275" s="12" t="n"/>
      <c r="H275" s="2">
        <f>IF(G275="","",IFERROR(VLOOKUP(G275,板块观察!A:U,14,FALSE),""))</f>
        <v/>
      </c>
      <c r="I275" s="2">
        <f>IF(G275="","",IFERROR(VLOOKUP(G275,板块观察!A:U,15,FALSE),""))</f>
        <v/>
      </c>
      <c r="J275" s="12" t="n"/>
      <c r="K275" s="12" t="n"/>
      <c r="L275" s="12" t="n"/>
      <c r="M275" s="14" t="n"/>
      <c r="N275" s="12" t="n"/>
      <c r="O275" s="2" t="n"/>
      <c r="P275" s="2" t="n"/>
      <c r="Q275" s="2" t="n"/>
      <c r="R275" s="12" t="n"/>
      <c r="S275" s="12" t="n"/>
      <c r="T275" s="12" t="n"/>
      <c r="U275" s="12" t="n"/>
      <c r="V275" s="12" t="n"/>
      <c r="W275" s="12" t="n"/>
      <c r="X275" s="12" t="n"/>
      <c r="Y275" s="2" t="n"/>
      <c r="Z275" s="5">
        <f>IF(A275="","",(COUNTA(A275:G275)+COUNTA(J275:Y275))/23)</f>
        <v/>
      </c>
      <c r="AA275" s="2">
        <f>IF(B275="","",WORKDAY(B275,3))</f>
        <v/>
      </c>
      <c r="AB275" s="2">
        <f>IF(B275="","",WORKDAY(B275,5))</f>
        <v/>
      </c>
      <c r="AC275" s="2">
        <f>IF(B275="","",WORKDAY(B275,10))</f>
        <v/>
      </c>
      <c r="AD275" s="2" t="n"/>
    </row>
    <row r="276">
      <c r="A276" s="12" t="n"/>
      <c r="B276" s="12" t="n"/>
      <c r="C276" s="2" t="n"/>
      <c r="D276" s="4" t="n"/>
      <c r="E276" s="12" t="n"/>
      <c r="F276" s="2" t="n"/>
      <c r="G276" s="12" t="n"/>
      <c r="H276" s="2">
        <f>IF(G276="","",IFERROR(VLOOKUP(G276,板块观察!A:U,14,FALSE),""))</f>
        <v/>
      </c>
      <c r="I276" s="2">
        <f>IF(G276="","",IFERROR(VLOOKUP(G276,板块观察!A:U,15,FALSE),""))</f>
        <v/>
      </c>
      <c r="J276" s="12" t="n"/>
      <c r="K276" s="12" t="n"/>
      <c r="L276" s="12" t="n"/>
      <c r="M276" s="14" t="n"/>
      <c r="N276" s="12" t="n"/>
      <c r="O276" s="2" t="n"/>
      <c r="P276" s="2" t="n"/>
      <c r="Q276" s="2" t="n"/>
      <c r="R276" s="12" t="n"/>
      <c r="S276" s="12" t="n"/>
      <c r="T276" s="12" t="n"/>
      <c r="U276" s="12" t="n"/>
      <c r="V276" s="12" t="n"/>
      <c r="W276" s="12" t="n"/>
      <c r="X276" s="12" t="n"/>
      <c r="Y276" s="2" t="n"/>
      <c r="Z276" s="5">
        <f>IF(A276="","",(COUNTA(A276:G276)+COUNTA(J276:Y276))/23)</f>
        <v/>
      </c>
      <c r="AA276" s="2">
        <f>IF(B276="","",WORKDAY(B276,3))</f>
        <v/>
      </c>
      <c r="AB276" s="2">
        <f>IF(B276="","",WORKDAY(B276,5))</f>
        <v/>
      </c>
      <c r="AC276" s="2">
        <f>IF(B276="","",WORKDAY(B276,10))</f>
        <v/>
      </c>
      <c r="AD276" s="2" t="n"/>
    </row>
    <row r="277">
      <c r="A277" s="12" t="n"/>
      <c r="B277" s="12" t="n"/>
      <c r="C277" s="2" t="n"/>
      <c r="D277" s="4" t="n"/>
      <c r="E277" s="12" t="n"/>
      <c r="F277" s="2" t="n"/>
      <c r="G277" s="12" t="n"/>
      <c r="H277" s="2">
        <f>IF(G277="","",IFERROR(VLOOKUP(G277,板块观察!A:U,14,FALSE),""))</f>
        <v/>
      </c>
      <c r="I277" s="2">
        <f>IF(G277="","",IFERROR(VLOOKUP(G277,板块观察!A:U,15,FALSE),""))</f>
        <v/>
      </c>
      <c r="J277" s="12" t="n"/>
      <c r="K277" s="12" t="n"/>
      <c r="L277" s="12" t="n"/>
      <c r="M277" s="14" t="n"/>
      <c r="N277" s="12" t="n"/>
      <c r="O277" s="2" t="n"/>
      <c r="P277" s="2" t="n"/>
      <c r="Q277" s="2" t="n"/>
      <c r="R277" s="12" t="n"/>
      <c r="S277" s="12" t="n"/>
      <c r="T277" s="12" t="n"/>
      <c r="U277" s="12" t="n"/>
      <c r="V277" s="12" t="n"/>
      <c r="W277" s="12" t="n"/>
      <c r="X277" s="12" t="n"/>
      <c r="Y277" s="2" t="n"/>
      <c r="Z277" s="5">
        <f>IF(A277="","",(COUNTA(A277:G277)+COUNTA(J277:Y277))/23)</f>
        <v/>
      </c>
      <c r="AA277" s="2">
        <f>IF(B277="","",WORKDAY(B277,3))</f>
        <v/>
      </c>
      <c r="AB277" s="2">
        <f>IF(B277="","",WORKDAY(B277,5))</f>
        <v/>
      </c>
      <c r="AC277" s="2">
        <f>IF(B277="","",WORKDAY(B277,10))</f>
        <v/>
      </c>
      <c r="AD277" s="2" t="n"/>
    </row>
    <row r="278">
      <c r="A278" s="12" t="n"/>
      <c r="B278" s="12" t="n"/>
      <c r="C278" s="2" t="n"/>
      <c r="D278" s="4" t="n"/>
      <c r="E278" s="12" t="n"/>
      <c r="F278" s="2" t="n"/>
      <c r="G278" s="12" t="n"/>
      <c r="H278" s="2">
        <f>IF(G278="","",IFERROR(VLOOKUP(G278,板块观察!A:U,14,FALSE),""))</f>
        <v/>
      </c>
      <c r="I278" s="2">
        <f>IF(G278="","",IFERROR(VLOOKUP(G278,板块观察!A:U,15,FALSE),""))</f>
        <v/>
      </c>
      <c r="J278" s="12" t="n"/>
      <c r="K278" s="12" t="n"/>
      <c r="L278" s="12" t="n"/>
      <c r="M278" s="14" t="n"/>
      <c r="N278" s="12" t="n"/>
      <c r="O278" s="2" t="n"/>
      <c r="P278" s="2" t="n"/>
      <c r="Q278" s="2" t="n"/>
      <c r="R278" s="12" t="n"/>
      <c r="S278" s="12" t="n"/>
      <c r="T278" s="12" t="n"/>
      <c r="U278" s="12" t="n"/>
      <c r="V278" s="12" t="n"/>
      <c r="W278" s="12" t="n"/>
      <c r="X278" s="12" t="n"/>
      <c r="Y278" s="2" t="n"/>
      <c r="Z278" s="5">
        <f>IF(A278="","",(COUNTA(A278:G278)+COUNTA(J278:Y278))/23)</f>
        <v/>
      </c>
      <c r="AA278" s="2">
        <f>IF(B278="","",WORKDAY(B278,3))</f>
        <v/>
      </c>
      <c r="AB278" s="2">
        <f>IF(B278="","",WORKDAY(B278,5))</f>
        <v/>
      </c>
      <c r="AC278" s="2">
        <f>IF(B278="","",WORKDAY(B278,10))</f>
        <v/>
      </c>
      <c r="AD278" s="2" t="n"/>
    </row>
    <row r="279">
      <c r="A279" s="12" t="n"/>
      <c r="B279" s="12" t="n"/>
      <c r="C279" s="2" t="n"/>
      <c r="D279" s="4" t="n"/>
      <c r="E279" s="12" t="n"/>
      <c r="F279" s="2" t="n"/>
      <c r="G279" s="12" t="n"/>
      <c r="H279" s="2">
        <f>IF(G279="","",IFERROR(VLOOKUP(G279,板块观察!A:U,14,FALSE),""))</f>
        <v/>
      </c>
      <c r="I279" s="2">
        <f>IF(G279="","",IFERROR(VLOOKUP(G279,板块观察!A:U,15,FALSE),""))</f>
        <v/>
      </c>
      <c r="J279" s="12" t="n"/>
      <c r="K279" s="12" t="n"/>
      <c r="L279" s="12" t="n"/>
      <c r="M279" s="14" t="n"/>
      <c r="N279" s="12" t="n"/>
      <c r="O279" s="2" t="n"/>
      <c r="P279" s="2" t="n"/>
      <c r="Q279" s="2" t="n"/>
      <c r="R279" s="12" t="n"/>
      <c r="S279" s="12" t="n"/>
      <c r="T279" s="12" t="n"/>
      <c r="U279" s="12" t="n"/>
      <c r="V279" s="12" t="n"/>
      <c r="W279" s="12" t="n"/>
      <c r="X279" s="12" t="n"/>
      <c r="Y279" s="2" t="n"/>
      <c r="Z279" s="5">
        <f>IF(A279="","",(COUNTA(A279:G279)+COUNTA(J279:Y279))/23)</f>
        <v/>
      </c>
      <c r="AA279" s="2">
        <f>IF(B279="","",WORKDAY(B279,3))</f>
        <v/>
      </c>
      <c r="AB279" s="2">
        <f>IF(B279="","",WORKDAY(B279,5))</f>
        <v/>
      </c>
      <c r="AC279" s="2">
        <f>IF(B279="","",WORKDAY(B279,10))</f>
        <v/>
      </c>
      <c r="AD279" s="2" t="n"/>
    </row>
    <row r="280">
      <c r="A280" s="12" t="n"/>
      <c r="B280" s="12" t="n"/>
      <c r="C280" s="2" t="n"/>
      <c r="D280" s="4" t="n"/>
      <c r="E280" s="12" t="n"/>
      <c r="F280" s="2" t="n"/>
      <c r="G280" s="12" t="n"/>
      <c r="H280" s="2">
        <f>IF(G280="","",IFERROR(VLOOKUP(G280,板块观察!A:U,14,FALSE),""))</f>
        <v/>
      </c>
      <c r="I280" s="2">
        <f>IF(G280="","",IFERROR(VLOOKUP(G280,板块观察!A:U,15,FALSE),""))</f>
        <v/>
      </c>
      <c r="J280" s="12" t="n"/>
      <c r="K280" s="12" t="n"/>
      <c r="L280" s="12" t="n"/>
      <c r="M280" s="14" t="n"/>
      <c r="N280" s="12" t="n"/>
      <c r="O280" s="2" t="n"/>
      <c r="P280" s="2" t="n"/>
      <c r="Q280" s="2" t="n"/>
      <c r="R280" s="12" t="n"/>
      <c r="S280" s="12" t="n"/>
      <c r="T280" s="12" t="n"/>
      <c r="U280" s="12" t="n"/>
      <c r="V280" s="12" t="n"/>
      <c r="W280" s="12" t="n"/>
      <c r="X280" s="12" t="n"/>
      <c r="Y280" s="2" t="n"/>
      <c r="Z280" s="5">
        <f>IF(A280="","",(COUNTA(A280:G280)+COUNTA(J280:Y280))/23)</f>
        <v/>
      </c>
      <c r="AA280" s="2">
        <f>IF(B280="","",WORKDAY(B280,3))</f>
        <v/>
      </c>
      <c r="AB280" s="2">
        <f>IF(B280="","",WORKDAY(B280,5))</f>
        <v/>
      </c>
      <c r="AC280" s="2">
        <f>IF(B280="","",WORKDAY(B280,10))</f>
        <v/>
      </c>
      <c r="AD280" s="2" t="n"/>
    </row>
    <row r="281">
      <c r="A281" s="12" t="n"/>
      <c r="B281" s="12" t="n"/>
      <c r="C281" s="2" t="n"/>
      <c r="D281" s="4" t="n"/>
      <c r="E281" s="12" t="n"/>
      <c r="F281" s="2" t="n"/>
      <c r="G281" s="12" t="n"/>
      <c r="H281" s="2">
        <f>IF(G281="","",IFERROR(VLOOKUP(G281,板块观察!A:U,14,FALSE),""))</f>
        <v/>
      </c>
      <c r="I281" s="2">
        <f>IF(G281="","",IFERROR(VLOOKUP(G281,板块观察!A:U,15,FALSE),""))</f>
        <v/>
      </c>
      <c r="J281" s="12" t="n"/>
      <c r="K281" s="12" t="n"/>
      <c r="L281" s="12" t="n"/>
      <c r="M281" s="14" t="n"/>
      <c r="N281" s="12" t="n"/>
      <c r="O281" s="2" t="n"/>
      <c r="P281" s="2" t="n"/>
      <c r="Q281" s="2" t="n"/>
      <c r="R281" s="12" t="n"/>
      <c r="S281" s="12" t="n"/>
      <c r="T281" s="12" t="n"/>
      <c r="U281" s="12" t="n"/>
      <c r="V281" s="12" t="n"/>
      <c r="W281" s="12" t="n"/>
      <c r="X281" s="12" t="n"/>
      <c r="Y281" s="2" t="n"/>
      <c r="Z281" s="5">
        <f>IF(A281="","",(COUNTA(A281:G281)+COUNTA(J281:Y281))/23)</f>
        <v/>
      </c>
      <c r="AA281" s="2">
        <f>IF(B281="","",WORKDAY(B281,3))</f>
        <v/>
      </c>
      <c r="AB281" s="2">
        <f>IF(B281="","",WORKDAY(B281,5))</f>
        <v/>
      </c>
      <c r="AC281" s="2">
        <f>IF(B281="","",WORKDAY(B281,10))</f>
        <v/>
      </c>
      <c r="AD281" s="2" t="n"/>
    </row>
    <row r="282">
      <c r="A282" s="12" t="n"/>
      <c r="B282" s="12" t="n"/>
      <c r="C282" s="2" t="n"/>
      <c r="D282" s="4" t="n"/>
      <c r="E282" s="12" t="n"/>
      <c r="F282" s="2" t="n"/>
      <c r="G282" s="12" t="n"/>
      <c r="H282" s="2">
        <f>IF(G282="","",IFERROR(VLOOKUP(G282,板块观察!A:U,14,FALSE),""))</f>
        <v/>
      </c>
      <c r="I282" s="2">
        <f>IF(G282="","",IFERROR(VLOOKUP(G282,板块观察!A:U,15,FALSE),""))</f>
        <v/>
      </c>
      <c r="J282" s="12" t="n"/>
      <c r="K282" s="12" t="n"/>
      <c r="L282" s="12" t="n"/>
      <c r="M282" s="14" t="n"/>
      <c r="N282" s="12" t="n"/>
      <c r="O282" s="2" t="n"/>
      <c r="P282" s="2" t="n"/>
      <c r="Q282" s="2" t="n"/>
      <c r="R282" s="12" t="n"/>
      <c r="S282" s="12" t="n"/>
      <c r="T282" s="12" t="n"/>
      <c r="U282" s="12" t="n"/>
      <c r="V282" s="12" t="n"/>
      <c r="W282" s="12" t="n"/>
      <c r="X282" s="12" t="n"/>
      <c r="Y282" s="2" t="n"/>
      <c r="Z282" s="5">
        <f>IF(A282="","",(COUNTA(A282:G282)+COUNTA(J282:Y282))/23)</f>
        <v/>
      </c>
      <c r="AA282" s="2">
        <f>IF(B282="","",WORKDAY(B282,3))</f>
        <v/>
      </c>
      <c r="AB282" s="2">
        <f>IF(B282="","",WORKDAY(B282,5))</f>
        <v/>
      </c>
      <c r="AC282" s="2">
        <f>IF(B282="","",WORKDAY(B282,10))</f>
        <v/>
      </c>
      <c r="AD282" s="2" t="n"/>
    </row>
    <row r="283">
      <c r="A283" s="12" t="n"/>
      <c r="B283" s="12" t="n"/>
      <c r="C283" s="2" t="n"/>
      <c r="D283" s="4" t="n"/>
      <c r="E283" s="12" t="n"/>
      <c r="F283" s="2" t="n"/>
      <c r="G283" s="12" t="n"/>
      <c r="H283" s="2">
        <f>IF(G283="","",IFERROR(VLOOKUP(G283,板块观察!A:U,14,FALSE),""))</f>
        <v/>
      </c>
      <c r="I283" s="2">
        <f>IF(G283="","",IFERROR(VLOOKUP(G283,板块观察!A:U,15,FALSE),""))</f>
        <v/>
      </c>
      <c r="J283" s="12" t="n"/>
      <c r="K283" s="12" t="n"/>
      <c r="L283" s="12" t="n"/>
      <c r="M283" s="14" t="n"/>
      <c r="N283" s="12" t="n"/>
      <c r="O283" s="2" t="n"/>
      <c r="P283" s="2" t="n"/>
      <c r="Q283" s="2" t="n"/>
      <c r="R283" s="12" t="n"/>
      <c r="S283" s="12" t="n"/>
      <c r="T283" s="12" t="n"/>
      <c r="U283" s="12" t="n"/>
      <c r="V283" s="12" t="n"/>
      <c r="W283" s="12" t="n"/>
      <c r="X283" s="12" t="n"/>
      <c r="Y283" s="2" t="n"/>
      <c r="Z283" s="5">
        <f>IF(A283="","",(COUNTA(A283:G283)+COUNTA(J283:Y283))/23)</f>
        <v/>
      </c>
      <c r="AA283" s="2">
        <f>IF(B283="","",WORKDAY(B283,3))</f>
        <v/>
      </c>
      <c r="AB283" s="2">
        <f>IF(B283="","",WORKDAY(B283,5))</f>
        <v/>
      </c>
      <c r="AC283" s="2">
        <f>IF(B283="","",WORKDAY(B283,10))</f>
        <v/>
      </c>
      <c r="AD283" s="2" t="n"/>
    </row>
    <row r="284">
      <c r="A284" s="12" t="n"/>
      <c r="B284" s="12" t="n"/>
      <c r="C284" s="2" t="n"/>
      <c r="D284" s="4" t="n"/>
      <c r="E284" s="12" t="n"/>
      <c r="F284" s="2" t="n"/>
      <c r="G284" s="12" t="n"/>
      <c r="H284" s="2">
        <f>IF(G284="","",IFERROR(VLOOKUP(G284,板块观察!A:U,14,FALSE),""))</f>
        <v/>
      </c>
      <c r="I284" s="2">
        <f>IF(G284="","",IFERROR(VLOOKUP(G284,板块观察!A:U,15,FALSE),""))</f>
        <v/>
      </c>
      <c r="J284" s="12" t="n"/>
      <c r="K284" s="12" t="n"/>
      <c r="L284" s="12" t="n"/>
      <c r="M284" s="14" t="n"/>
      <c r="N284" s="12" t="n"/>
      <c r="O284" s="2" t="n"/>
      <c r="P284" s="2" t="n"/>
      <c r="Q284" s="2" t="n"/>
      <c r="R284" s="12" t="n"/>
      <c r="S284" s="12" t="n"/>
      <c r="T284" s="12" t="n"/>
      <c r="U284" s="12" t="n"/>
      <c r="V284" s="12" t="n"/>
      <c r="W284" s="12" t="n"/>
      <c r="X284" s="12" t="n"/>
      <c r="Y284" s="2" t="n"/>
      <c r="Z284" s="5">
        <f>IF(A284="","",(COUNTA(A284:G284)+COUNTA(J284:Y284))/23)</f>
        <v/>
      </c>
      <c r="AA284" s="2">
        <f>IF(B284="","",WORKDAY(B284,3))</f>
        <v/>
      </c>
      <c r="AB284" s="2">
        <f>IF(B284="","",WORKDAY(B284,5))</f>
        <v/>
      </c>
      <c r="AC284" s="2">
        <f>IF(B284="","",WORKDAY(B284,10))</f>
        <v/>
      </c>
      <c r="AD284" s="2" t="n"/>
    </row>
    <row r="285">
      <c r="A285" s="12" t="n"/>
      <c r="B285" s="12" t="n"/>
      <c r="C285" s="2" t="n"/>
      <c r="D285" s="4" t="n"/>
      <c r="E285" s="12" t="n"/>
      <c r="F285" s="2" t="n"/>
      <c r="G285" s="12" t="n"/>
      <c r="H285" s="2">
        <f>IF(G285="","",IFERROR(VLOOKUP(G285,板块观察!A:U,14,FALSE),""))</f>
        <v/>
      </c>
      <c r="I285" s="2">
        <f>IF(G285="","",IFERROR(VLOOKUP(G285,板块观察!A:U,15,FALSE),""))</f>
        <v/>
      </c>
      <c r="J285" s="12" t="n"/>
      <c r="K285" s="12" t="n"/>
      <c r="L285" s="12" t="n"/>
      <c r="M285" s="14" t="n"/>
      <c r="N285" s="12" t="n"/>
      <c r="O285" s="2" t="n"/>
      <c r="P285" s="2" t="n"/>
      <c r="Q285" s="2" t="n"/>
      <c r="R285" s="12" t="n"/>
      <c r="S285" s="12" t="n"/>
      <c r="T285" s="12" t="n"/>
      <c r="U285" s="12" t="n"/>
      <c r="V285" s="12" t="n"/>
      <c r="W285" s="12" t="n"/>
      <c r="X285" s="12" t="n"/>
      <c r="Y285" s="2" t="n"/>
      <c r="Z285" s="5">
        <f>IF(A285="","",(COUNTA(A285:G285)+COUNTA(J285:Y285))/23)</f>
        <v/>
      </c>
      <c r="AA285" s="2">
        <f>IF(B285="","",WORKDAY(B285,3))</f>
        <v/>
      </c>
      <c r="AB285" s="2">
        <f>IF(B285="","",WORKDAY(B285,5))</f>
        <v/>
      </c>
      <c r="AC285" s="2">
        <f>IF(B285="","",WORKDAY(B285,10))</f>
        <v/>
      </c>
      <c r="AD285" s="2" t="n"/>
    </row>
    <row r="286">
      <c r="A286" s="12" t="n"/>
      <c r="B286" s="12" t="n"/>
      <c r="C286" s="2" t="n"/>
      <c r="D286" s="4" t="n"/>
      <c r="E286" s="12" t="n"/>
      <c r="F286" s="2" t="n"/>
      <c r="G286" s="12" t="n"/>
      <c r="H286" s="2">
        <f>IF(G286="","",IFERROR(VLOOKUP(G286,板块观察!A:U,14,FALSE),""))</f>
        <v/>
      </c>
      <c r="I286" s="2">
        <f>IF(G286="","",IFERROR(VLOOKUP(G286,板块观察!A:U,15,FALSE),""))</f>
        <v/>
      </c>
      <c r="J286" s="12" t="n"/>
      <c r="K286" s="12" t="n"/>
      <c r="L286" s="12" t="n"/>
      <c r="M286" s="14" t="n"/>
      <c r="N286" s="12" t="n"/>
      <c r="O286" s="2" t="n"/>
      <c r="P286" s="2" t="n"/>
      <c r="Q286" s="2" t="n"/>
      <c r="R286" s="12" t="n"/>
      <c r="S286" s="12" t="n"/>
      <c r="T286" s="12" t="n"/>
      <c r="U286" s="12" t="n"/>
      <c r="V286" s="12" t="n"/>
      <c r="W286" s="12" t="n"/>
      <c r="X286" s="12" t="n"/>
      <c r="Y286" s="2" t="n"/>
      <c r="Z286" s="5">
        <f>IF(A286="","",(COUNTA(A286:G286)+COUNTA(J286:Y286))/23)</f>
        <v/>
      </c>
      <c r="AA286" s="2">
        <f>IF(B286="","",WORKDAY(B286,3))</f>
        <v/>
      </c>
      <c r="AB286" s="2">
        <f>IF(B286="","",WORKDAY(B286,5))</f>
        <v/>
      </c>
      <c r="AC286" s="2">
        <f>IF(B286="","",WORKDAY(B286,10))</f>
        <v/>
      </c>
      <c r="AD286" s="2" t="n"/>
    </row>
    <row r="287">
      <c r="A287" s="12" t="n"/>
      <c r="B287" s="12" t="n"/>
      <c r="C287" s="2" t="n"/>
      <c r="D287" s="4" t="n"/>
      <c r="E287" s="12" t="n"/>
      <c r="F287" s="2" t="n"/>
      <c r="G287" s="12" t="n"/>
      <c r="H287" s="2">
        <f>IF(G287="","",IFERROR(VLOOKUP(G287,板块观察!A:U,14,FALSE),""))</f>
        <v/>
      </c>
      <c r="I287" s="2">
        <f>IF(G287="","",IFERROR(VLOOKUP(G287,板块观察!A:U,15,FALSE),""))</f>
        <v/>
      </c>
      <c r="J287" s="12" t="n"/>
      <c r="K287" s="12" t="n"/>
      <c r="L287" s="12" t="n"/>
      <c r="M287" s="14" t="n"/>
      <c r="N287" s="12" t="n"/>
      <c r="O287" s="2" t="n"/>
      <c r="P287" s="2" t="n"/>
      <c r="Q287" s="2" t="n"/>
      <c r="R287" s="12" t="n"/>
      <c r="S287" s="12" t="n"/>
      <c r="T287" s="12" t="n"/>
      <c r="U287" s="12" t="n"/>
      <c r="V287" s="12" t="n"/>
      <c r="W287" s="12" t="n"/>
      <c r="X287" s="12" t="n"/>
      <c r="Y287" s="2" t="n"/>
      <c r="Z287" s="5">
        <f>IF(A287="","",(COUNTA(A287:G287)+COUNTA(J287:Y287))/23)</f>
        <v/>
      </c>
      <c r="AA287" s="2">
        <f>IF(B287="","",WORKDAY(B287,3))</f>
        <v/>
      </c>
      <c r="AB287" s="2">
        <f>IF(B287="","",WORKDAY(B287,5))</f>
        <v/>
      </c>
      <c r="AC287" s="2">
        <f>IF(B287="","",WORKDAY(B287,10))</f>
        <v/>
      </c>
      <c r="AD287" s="2" t="n"/>
    </row>
    <row r="288">
      <c r="A288" s="12" t="n"/>
      <c r="B288" s="12" t="n"/>
      <c r="C288" s="2" t="n"/>
      <c r="D288" s="4" t="n"/>
      <c r="E288" s="12" t="n"/>
      <c r="F288" s="2" t="n"/>
      <c r="G288" s="12" t="n"/>
      <c r="H288" s="2">
        <f>IF(G288="","",IFERROR(VLOOKUP(G288,板块观察!A:U,14,FALSE),""))</f>
        <v/>
      </c>
      <c r="I288" s="2">
        <f>IF(G288="","",IFERROR(VLOOKUP(G288,板块观察!A:U,15,FALSE),""))</f>
        <v/>
      </c>
      <c r="J288" s="12" t="n"/>
      <c r="K288" s="12" t="n"/>
      <c r="L288" s="12" t="n"/>
      <c r="M288" s="14" t="n"/>
      <c r="N288" s="12" t="n"/>
      <c r="O288" s="2" t="n"/>
      <c r="P288" s="2" t="n"/>
      <c r="Q288" s="2" t="n"/>
      <c r="R288" s="12" t="n"/>
      <c r="S288" s="12" t="n"/>
      <c r="T288" s="12" t="n"/>
      <c r="U288" s="12" t="n"/>
      <c r="V288" s="12" t="n"/>
      <c r="W288" s="12" t="n"/>
      <c r="X288" s="12" t="n"/>
      <c r="Y288" s="2" t="n"/>
      <c r="Z288" s="5">
        <f>IF(A288="","",(COUNTA(A288:G288)+COUNTA(J288:Y288))/23)</f>
        <v/>
      </c>
      <c r="AA288" s="2">
        <f>IF(B288="","",WORKDAY(B288,3))</f>
        <v/>
      </c>
      <c r="AB288" s="2">
        <f>IF(B288="","",WORKDAY(B288,5))</f>
        <v/>
      </c>
      <c r="AC288" s="2">
        <f>IF(B288="","",WORKDAY(B288,10))</f>
        <v/>
      </c>
      <c r="AD288" s="2" t="n"/>
    </row>
    <row r="289">
      <c r="A289" s="12" t="n"/>
      <c r="B289" s="12" t="n"/>
      <c r="C289" s="2" t="n"/>
      <c r="D289" s="4" t="n"/>
      <c r="E289" s="12" t="n"/>
      <c r="F289" s="2" t="n"/>
      <c r="G289" s="12" t="n"/>
      <c r="H289" s="2">
        <f>IF(G289="","",IFERROR(VLOOKUP(G289,板块观察!A:U,14,FALSE),""))</f>
        <v/>
      </c>
      <c r="I289" s="2">
        <f>IF(G289="","",IFERROR(VLOOKUP(G289,板块观察!A:U,15,FALSE),""))</f>
        <v/>
      </c>
      <c r="J289" s="12" t="n"/>
      <c r="K289" s="12" t="n"/>
      <c r="L289" s="12" t="n"/>
      <c r="M289" s="14" t="n"/>
      <c r="N289" s="12" t="n"/>
      <c r="O289" s="2" t="n"/>
      <c r="P289" s="2" t="n"/>
      <c r="Q289" s="2" t="n"/>
      <c r="R289" s="12" t="n"/>
      <c r="S289" s="12" t="n"/>
      <c r="T289" s="12" t="n"/>
      <c r="U289" s="12" t="n"/>
      <c r="V289" s="12" t="n"/>
      <c r="W289" s="12" t="n"/>
      <c r="X289" s="12" t="n"/>
      <c r="Y289" s="2" t="n"/>
      <c r="Z289" s="5">
        <f>IF(A289="","",(COUNTA(A289:G289)+COUNTA(J289:Y289))/23)</f>
        <v/>
      </c>
      <c r="AA289" s="2">
        <f>IF(B289="","",WORKDAY(B289,3))</f>
        <v/>
      </c>
      <c r="AB289" s="2">
        <f>IF(B289="","",WORKDAY(B289,5))</f>
        <v/>
      </c>
      <c r="AC289" s="2">
        <f>IF(B289="","",WORKDAY(B289,10))</f>
        <v/>
      </c>
      <c r="AD289" s="2" t="n"/>
    </row>
    <row r="290">
      <c r="A290" s="12" t="n"/>
      <c r="B290" s="12" t="n"/>
      <c r="C290" s="2" t="n"/>
      <c r="D290" s="4" t="n"/>
      <c r="E290" s="12" t="n"/>
      <c r="F290" s="2" t="n"/>
      <c r="G290" s="12" t="n"/>
      <c r="H290" s="2">
        <f>IF(G290="","",IFERROR(VLOOKUP(G290,板块观察!A:U,14,FALSE),""))</f>
        <v/>
      </c>
      <c r="I290" s="2">
        <f>IF(G290="","",IFERROR(VLOOKUP(G290,板块观察!A:U,15,FALSE),""))</f>
        <v/>
      </c>
      <c r="J290" s="12" t="n"/>
      <c r="K290" s="12" t="n"/>
      <c r="L290" s="12" t="n"/>
      <c r="M290" s="14" t="n"/>
      <c r="N290" s="12" t="n"/>
      <c r="O290" s="2" t="n"/>
      <c r="P290" s="2" t="n"/>
      <c r="Q290" s="2" t="n"/>
      <c r="R290" s="12" t="n"/>
      <c r="S290" s="12" t="n"/>
      <c r="T290" s="12" t="n"/>
      <c r="U290" s="12" t="n"/>
      <c r="V290" s="12" t="n"/>
      <c r="W290" s="12" t="n"/>
      <c r="X290" s="12" t="n"/>
      <c r="Y290" s="2" t="n"/>
      <c r="Z290" s="5">
        <f>IF(A290="","",(COUNTA(A290:G290)+COUNTA(J290:Y290))/23)</f>
        <v/>
      </c>
      <c r="AA290" s="2">
        <f>IF(B290="","",WORKDAY(B290,3))</f>
        <v/>
      </c>
      <c r="AB290" s="2">
        <f>IF(B290="","",WORKDAY(B290,5))</f>
        <v/>
      </c>
      <c r="AC290" s="2">
        <f>IF(B290="","",WORKDAY(B290,10))</f>
        <v/>
      </c>
      <c r="AD290" s="2" t="n"/>
    </row>
    <row r="291">
      <c r="A291" s="12" t="n"/>
      <c r="B291" s="12" t="n"/>
      <c r="C291" s="2" t="n"/>
      <c r="D291" s="4" t="n"/>
      <c r="E291" s="12" t="n"/>
      <c r="F291" s="2" t="n"/>
      <c r="G291" s="12" t="n"/>
      <c r="H291" s="2">
        <f>IF(G291="","",IFERROR(VLOOKUP(G291,板块观察!A:U,14,FALSE),""))</f>
        <v/>
      </c>
      <c r="I291" s="2">
        <f>IF(G291="","",IFERROR(VLOOKUP(G291,板块观察!A:U,15,FALSE),""))</f>
        <v/>
      </c>
      <c r="J291" s="12" t="n"/>
      <c r="K291" s="12" t="n"/>
      <c r="L291" s="12" t="n"/>
      <c r="M291" s="14" t="n"/>
      <c r="N291" s="12" t="n"/>
      <c r="O291" s="2" t="n"/>
      <c r="P291" s="2" t="n"/>
      <c r="Q291" s="2" t="n"/>
      <c r="R291" s="12" t="n"/>
      <c r="S291" s="12" t="n"/>
      <c r="T291" s="12" t="n"/>
      <c r="U291" s="12" t="n"/>
      <c r="V291" s="12" t="n"/>
      <c r="W291" s="12" t="n"/>
      <c r="X291" s="12" t="n"/>
      <c r="Y291" s="2" t="n"/>
      <c r="Z291" s="5">
        <f>IF(A291="","",(COUNTA(A291:G291)+COUNTA(J291:Y291))/23)</f>
        <v/>
      </c>
      <c r="AA291" s="2">
        <f>IF(B291="","",WORKDAY(B291,3))</f>
        <v/>
      </c>
      <c r="AB291" s="2">
        <f>IF(B291="","",WORKDAY(B291,5))</f>
        <v/>
      </c>
      <c r="AC291" s="2">
        <f>IF(B291="","",WORKDAY(B291,10))</f>
        <v/>
      </c>
      <c r="AD291" s="2" t="n"/>
    </row>
    <row r="292">
      <c r="A292" s="12" t="n"/>
      <c r="B292" s="12" t="n"/>
      <c r="C292" s="2" t="n"/>
      <c r="D292" s="4" t="n"/>
      <c r="E292" s="12" t="n"/>
      <c r="F292" s="2" t="n"/>
      <c r="G292" s="12" t="n"/>
      <c r="H292" s="2">
        <f>IF(G292="","",IFERROR(VLOOKUP(G292,板块观察!A:U,14,FALSE),""))</f>
        <v/>
      </c>
      <c r="I292" s="2">
        <f>IF(G292="","",IFERROR(VLOOKUP(G292,板块观察!A:U,15,FALSE),""))</f>
        <v/>
      </c>
      <c r="J292" s="12" t="n"/>
      <c r="K292" s="12" t="n"/>
      <c r="L292" s="12" t="n"/>
      <c r="M292" s="14" t="n"/>
      <c r="N292" s="12" t="n"/>
      <c r="O292" s="2" t="n"/>
      <c r="P292" s="2" t="n"/>
      <c r="Q292" s="2" t="n"/>
      <c r="R292" s="12" t="n"/>
      <c r="S292" s="12" t="n"/>
      <c r="T292" s="12" t="n"/>
      <c r="U292" s="12" t="n"/>
      <c r="V292" s="12" t="n"/>
      <c r="W292" s="12" t="n"/>
      <c r="X292" s="12" t="n"/>
      <c r="Y292" s="2" t="n"/>
      <c r="Z292" s="5">
        <f>IF(A292="","",(COUNTA(A292:G292)+COUNTA(J292:Y292))/23)</f>
        <v/>
      </c>
      <c r="AA292" s="2">
        <f>IF(B292="","",WORKDAY(B292,3))</f>
        <v/>
      </c>
      <c r="AB292" s="2">
        <f>IF(B292="","",WORKDAY(B292,5))</f>
        <v/>
      </c>
      <c r="AC292" s="2">
        <f>IF(B292="","",WORKDAY(B292,10))</f>
        <v/>
      </c>
      <c r="AD292" s="2" t="n"/>
    </row>
    <row r="293">
      <c r="A293" s="12" t="n"/>
      <c r="B293" s="12" t="n"/>
      <c r="C293" s="2" t="n"/>
      <c r="D293" s="4" t="n"/>
      <c r="E293" s="12" t="n"/>
      <c r="F293" s="2" t="n"/>
      <c r="G293" s="12" t="n"/>
      <c r="H293" s="2">
        <f>IF(G293="","",IFERROR(VLOOKUP(G293,板块观察!A:U,14,FALSE),""))</f>
        <v/>
      </c>
      <c r="I293" s="2">
        <f>IF(G293="","",IFERROR(VLOOKUP(G293,板块观察!A:U,15,FALSE),""))</f>
        <v/>
      </c>
      <c r="J293" s="12" t="n"/>
      <c r="K293" s="12" t="n"/>
      <c r="L293" s="12" t="n"/>
      <c r="M293" s="14" t="n"/>
      <c r="N293" s="12" t="n"/>
      <c r="O293" s="2" t="n"/>
      <c r="P293" s="2" t="n"/>
      <c r="Q293" s="2" t="n"/>
      <c r="R293" s="12" t="n"/>
      <c r="S293" s="12" t="n"/>
      <c r="T293" s="12" t="n"/>
      <c r="U293" s="12" t="n"/>
      <c r="V293" s="12" t="n"/>
      <c r="W293" s="12" t="n"/>
      <c r="X293" s="12" t="n"/>
      <c r="Y293" s="2" t="n"/>
      <c r="Z293" s="5">
        <f>IF(A293="","",(COUNTA(A293:G293)+COUNTA(J293:Y293))/23)</f>
        <v/>
      </c>
      <c r="AA293" s="2">
        <f>IF(B293="","",WORKDAY(B293,3))</f>
        <v/>
      </c>
      <c r="AB293" s="2">
        <f>IF(B293="","",WORKDAY(B293,5))</f>
        <v/>
      </c>
      <c r="AC293" s="2">
        <f>IF(B293="","",WORKDAY(B293,10))</f>
        <v/>
      </c>
      <c r="AD293" s="2" t="n"/>
    </row>
    <row r="294">
      <c r="A294" s="12" t="n"/>
      <c r="B294" s="12" t="n"/>
      <c r="C294" s="2" t="n"/>
      <c r="D294" s="4" t="n"/>
      <c r="E294" s="12" t="n"/>
      <c r="F294" s="2" t="n"/>
      <c r="G294" s="12" t="n"/>
      <c r="H294" s="2">
        <f>IF(G294="","",IFERROR(VLOOKUP(G294,板块观察!A:U,14,FALSE),""))</f>
        <v/>
      </c>
      <c r="I294" s="2">
        <f>IF(G294="","",IFERROR(VLOOKUP(G294,板块观察!A:U,15,FALSE),""))</f>
        <v/>
      </c>
      <c r="J294" s="12" t="n"/>
      <c r="K294" s="12" t="n"/>
      <c r="L294" s="12" t="n"/>
      <c r="M294" s="14" t="n"/>
      <c r="N294" s="12" t="n"/>
      <c r="O294" s="2" t="n"/>
      <c r="P294" s="2" t="n"/>
      <c r="Q294" s="2" t="n"/>
      <c r="R294" s="12" t="n"/>
      <c r="S294" s="12" t="n"/>
      <c r="T294" s="12" t="n"/>
      <c r="U294" s="12" t="n"/>
      <c r="V294" s="12" t="n"/>
      <c r="W294" s="12" t="n"/>
      <c r="X294" s="12" t="n"/>
      <c r="Y294" s="2" t="n"/>
      <c r="Z294" s="5">
        <f>IF(A294="","",(COUNTA(A294:G294)+COUNTA(J294:Y294))/23)</f>
        <v/>
      </c>
      <c r="AA294" s="2">
        <f>IF(B294="","",WORKDAY(B294,3))</f>
        <v/>
      </c>
      <c r="AB294" s="2">
        <f>IF(B294="","",WORKDAY(B294,5))</f>
        <v/>
      </c>
      <c r="AC294" s="2">
        <f>IF(B294="","",WORKDAY(B294,10))</f>
        <v/>
      </c>
      <c r="AD294" s="2" t="n"/>
    </row>
    <row r="295">
      <c r="A295" s="12" t="n"/>
      <c r="B295" s="12" t="n"/>
      <c r="C295" s="2" t="n"/>
      <c r="D295" s="4" t="n"/>
      <c r="E295" s="12" t="n"/>
      <c r="F295" s="2" t="n"/>
      <c r="G295" s="12" t="n"/>
      <c r="H295" s="2">
        <f>IF(G295="","",IFERROR(VLOOKUP(G295,板块观察!A:U,14,FALSE),""))</f>
        <v/>
      </c>
      <c r="I295" s="2">
        <f>IF(G295="","",IFERROR(VLOOKUP(G295,板块观察!A:U,15,FALSE),""))</f>
        <v/>
      </c>
      <c r="J295" s="12" t="n"/>
      <c r="K295" s="12" t="n"/>
      <c r="L295" s="12" t="n"/>
      <c r="M295" s="14" t="n"/>
      <c r="N295" s="12" t="n"/>
      <c r="O295" s="2" t="n"/>
      <c r="P295" s="2" t="n"/>
      <c r="Q295" s="2" t="n"/>
      <c r="R295" s="12" t="n"/>
      <c r="S295" s="12" t="n"/>
      <c r="T295" s="12" t="n"/>
      <c r="U295" s="12" t="n"/>
      <c r="V295" s="12" t="n"/>
      <c r="W295" s="12" t="n"/>
      <c r="X295" s="12" t="n"/>
      <c r="Y295" s="2" t="n"/>
      <c r="Z295" s="5">
        <f>IF(A295="","",(COUNTA(A295:G295)+COUNTA(J295:Y295))/23)</f>
        <v/>
      </c>
      <c r="AA295" s="2">
        <f>IF(B295="","",WORKDAY(B295,3))</f>
        <v/>
      </c>
      <c r="AB295" s="2">
        <f>IF(B295="","",WORKDAY(B295,5))</f>
        <v/>
      </c>
      <c r="AC295" s="2">
        <f>IF(B295="","",WORKDAY(B295,10))</f>
        <v/>
      </c>
      <c r="AD295" s="2" t="n"/>
    </row>
    <row r="296">
      <c r="A296" s="12" t="n"/>
      <c r="B296" s="12" t="n"/>
      <c r="C296" s="2" t="n"/>
      <c r="D296" s="4" t="n"/>
      <c r="E296" s="12" t="n"/>
      <c r="F296" s="2" t="n"/>
      <c r="G296" s="12" t="n"/>
      <c r="H296" s="2">
        <f>IF(G296="","",IFERROR(VLOOKUP(G296,板块观察!A:U,14,FALSE),""))</f>
        <v/>
      </c>
      <c r="I296" s="2">
        <f>IF(G296="","",IFERROR(VLOOKUP(G296,板块观察!A:U,15,FALSE),""))</f>
        <v/>
      </c>
      <c r="J296" s="12" t="n"/>
      <c r="K296" s="12" t="n"/>
      <c r="L296" s="12" t="n"/>
      <c r="M296" s="14" t="n"/>
      <c r="N296" s="12" t="n"/>
      <c r="O296" s="2" t="n"/>
      <c r="P296" s="2" t="n"/>
      <c r="Q296" s="2" t="n"/>
      <c r="R296" s="12" t="n"/>
      <c r="S296" s="12" t="n"/>
      <c r="T296" s="12" t="n"/>
      <c r="U296" s="12" t="n"/>
      <c r="V296" s="12" t="n"/>
      <c r="W296" s="12" t="n"/>
      <c r="X296" s="12" t="n"/>
      <c r="Y296" s="2" t="n"/>
      <c r="Z296" s="5">
        <f>IF(A296="","",(COUNTA(A296:G296)+COUNTA(J296:Y296))/23)</f>
        <v/>
      </c>
      <c r="AA296" s="2">
        <f>IF(B296="","",WORKDAY(B296,3))</f>
        <v/>
      </c>
      <c r="AB296" s="2">
        <f>IF(B296="","",WORKDAY(B296,5))</f>
        <v/>
      </c>
      <c r="AC296" s="2">
        <f>IF(B296="","",WORKDAY(B296,10))</f>
        <v/>
      </c>
      <c r="AD296" s="2" t="n"/>
    </row>
    <row r="297">
      <c r="A297" s="12" t="n"/>
      <c r="B297" s="12" t="n"/>
      <c r="C297" s="2" t="n"/>
      <c r="D297" s="4" t="n"/>
      <c r="E297" s="12" t="n"/>
      <c r="F297" s="2" t="n"/>
      <c r="G297" s="12" t="n"/>
      <c r="H297" s="2">
        <f>IF(G297="","",IFERROR(VLOOKUP(G297,板块观察!A:U,14,FALSE),""))</f>
        <v/>
      </c>
      <c r="I297" s="2">
        <f>IF(G297="","",IFERROR(VLOOKUP(G297,板块观察!A:U,15,FALSE),""))</f>
        <v/>
      </c>
      <c r="J297" s="12" t="n"/>
      <c r="K297" s="12" t="n"/>
      <c r="L297" s="12" t="n"/>
      <c r="M297" s="14" t="n"/>
      <c r="N297" s="12" t="n"/>
      <c r="O297" s="2" t="n"/>
      <c r="P297" s="2" t="n"/>
      <c r="Q297" s="2" t="n"/>
      <c r="R297" s="12" t="n"/>
      <c r="S297" s="12" t="n"/>
      <c r="T297" s="12" t="n"/>
      <c r="U297" s="12" t="n"/>
      <c r="V297" s="12" t="n"/>
      <c r="W297" s="12" t="n"/>
      <c r="X297" s="12" t="n"/>
      <c r="Y297" s="2" t="n"/>
      <c r="Z297" s="5">
        <f>IF(A297="","",(COUNTA(A297:G297)+COUNTA(J297:Y297))/23)</f>
        <v/>
      </c>
      <c r="AA297" s="2">
        <f>IF(B297="","",WORKDAY(B297,3))</f>
        <v/>
      </c>
      <c r="AB297" s="2">
        <f>IF(B297="","",WORKDAY(B297,5))</f>
        <v/>
      </c>
      <c r="AC297" s="2">
        <f>IF(B297="","",WORKDAY(B297,10))</f>
        <v/>
      </c>
      <c r="AD297" s="2" t="n"/>
    </row>
    <row r="298">
      <c r="A298" s="12" t="n"/>
      <c r="B298" s="12" t="n"/>
      <c r="C298" s="2" t="n"/>
      <c r="D298" s="4" t="n"/>
      <c r="E298" s="12" t="n"/>
      <c r="F298" s="2" t="n"/>
      <c r="G298" s="12" t="n"/>
      <c r="H298" s="2">
        <f>IF(G298="","",IFERROR(VLOOKUP(G298,板块观察!A:U,14,FALSE),""))</f>
        <v/>
      </c>
      <c r="I298" s="2">
        <f>IF(G298="","",IFERROR(VLOOKUP(G298,板块观察!A:U,15,FALSE),""))</f>
        <v/>
      </c>
      <c r="J298" s="12" t="n"/>
      <c r="K298" s="12" t="n"/>
      <c r="L298" s="12" t="n"/>
      <c r="M298" s="14" t="n"/>
      <c r="N298" s="12" t="n"/>
      <c r="O298" s="2" t="n"/>
      <c r="P298" s="2" t="n"/>
      <c r="Q298" s="2" t="n"/>
      <c r="R298" s="12" t="n"/>
      <c r="S298" s="12" t="n"/>
      <c r="T298" s="12" t="n"/>
      <c r="U298" s="12" t="n"/>
      <c r="V298" s="12" t="n"/>
      <c r="W298" s="12" t="n"/>
      <c r="X298" s="12" t="n"/>
      <c r="Y298" s="2" t="n"/>
      <c r="Z298" s="5">
        <f>IF(A298="","",(COUNTA(A298:G298)+COUNTA(J298:Y298))/23)</f>
        <v/>
      </c>
      <c r="AA298" s="2">
        <f>IF(B298="","",WORKDAY(B298,3))</f>
        <v/>
      </c>
      <c r="AB298" s="2">
        <f>IF(B298="","",WORKDAY(B298,5))</f>
        <v/>
      </c>
      <c r="AC298" s="2">
        <f>IF(B298="","",WORKDAY(B298,10))</f>
        <v/>
      </c>
      <c r="AD298" s="2" t="n"/>
    </row>
    <row r="299">
      <c r="A299" s="12" t="n"/>
      <c r="B299" s="12" t="n"/>
      <c r="C299" s="2" t="n"/>
      <c r="D299" s="4" t="n"/>
      <c r="E299" s="12" t="n"/>
      <c r="F299" s="2" t="n"/>
      <c r="G299" s="12" t="n"/>
      <c r="H299" s="2">
        <f>IF(G299="","",IFERROR(VLOOKUP(G299,板块观察!A:U,14,FALSE),""))</f>
        <v/>
      </c>
      <c r="I299" s="2">
        <f>IF(G299="","",IFERROR(VLOOKUP(G299,板块观察!A:U,15,FALSE),""))</f>
        <v/>
      </c>
      <c r="J299" s="12" t="n"/>
      <c r="K299" s="12" t="n"/>
      <c r="L299" s="12" t="n"/>
      <c r="M299" s="14" t="n"/>
      <c r="N299" s="12" t="n"/>
      <c r="O299" s="2" t="n"/>
      <c r="P299" s="2" t="n"/>
      <c r="Q299" s="2" t="n"/>
      <c r="R299" s="12" t="n"/>
      <c r="S299" s="12" t="n"/>
      <c r="T299" s="12" t="n"/>
      <c r="U299" s="12" t="n"/>
      <c r="V299" s="12" t="n"/>
      <c r="W299" s="12" t="n"/>
      <c r="X299" s="12" t="n"/>
      <c r="Y299" s="2" t="n"/>
      <c r="Z299" s="5">
        <f>IF(A299="","",(COUNTA(A299:G299)+COUNTA(J299:Y299))/23)</f>
        <v/>
      </c>
      <c r="AA299" s="2">
        <f>IF(B299="","",WORKDAY(B299,3))</f>
        <v/>
      </c>
      <c r="AB299" s="2">
        <f>IF(B299="","",WORKDAY(B299,5))</f>
        <v/>
      </c>
      <c r="AC299" s="2">
        <f>IF(B299="","",WORKDAY(B299,10))</f>
        <v/>
      </c>
      <c r="AD299" s="2" t="n"/>
    </row>
    <row r="300">
      <c r="A300" s="12" t="n"/>
      <c r="B300" s="12" t="n"/>
      <c r="C300" s="2" t="n"/>
      <c r="D300" s="4" t="n"/>
      <c r="E300" s="12" t="n"/>
      <c r="F300" s="2" t="n"/>
      <c r="G300" s="12" t="n"/>
      <c r="H300" s="2">
        <f>IF(G300="","",IFERROR(VLOOKUP(G300,板块观察!A:U,14,FALSE),""))</f>
        <v/>
      </c>
      <c r="I300" s="2">
        <f>IF(G300="","",IFERROR(VLOOKUP(G300,板块观察!A:U,15,FALSE),""))</f>
        <v/>
      </c>
      <c r="J300" s="12" t="n"/>
      <c r="K300" s="12" t="n"/>
      <c r="L300" s="12" t="n"/>
      <c r="M300" s="14" t="n"/>
      <c r="N300" s="12" t="n"/>
      <c r="O300" s="2" t="n"/>
      <c r="P300" s="2" t="n"/>
      <c r="Q300" s="2" t="n"/>
      <c r="R300" s="12" t="n"/>
      <c r="S300" s="12" t="n"/>
      <c r="T300" s="12" t="n"/>
      <c r="U300" s="12" t="n"/>
      <c r="V300" s="12" t="n"/>
      <c r="W300" s="12" t="n"/>
      <c r="X300" s="12" t="n"/>
      <c r="Y300" s="2" t="n"/>
      <c r="Z300" s="5">
        <f>IF(A300="","",(COUNTA(A300:G300)+COUNTA(J300:Y300))/23)</f>
        <v/>
      </c>
      <c r="AA300" s="2">
        <f>IF(B300="","",WORKDAY(B300,3))</f>
        <v/>
      </c>
      <c r="AB300" s="2">
        <f>IF(B300="","",WORKDAY(B300,5))</f>
        <v/>
      </c>
      <c r="AC300" s="2">
        <f>IF(B300="","",WORKDAY(B300,10))</f>
        <v/>
      </c>
      <c r="AD300" s="2" t="n"/>
    </row>
    <row r="301">
      <c r="A301" s="12" t="n"/>
      <c r="B301" s="12" t="n"/>
      <c r="C301" s="2" t="n"/>
      <c r="D301" s="4" t="n"/>
      <c r="E301" s="12" t="n"/>
      <c r="F301" s="2" t="n"/>
      <c r="G301" s="12" t="n"/>
      <c r="H301" s="2">
        <f>IF(G301="","",IFERROR(VLOOKUP(G301,板块观察!A:U,14,FALSE),""))</f>
        <v/>
      </c>
      <c r="I301" s="2">
        <f>IF(G301="","",IFERROR(VLOOKUP(G301,板块观察!A:U,15,FALSE),""))</f>
        <v/>
      </c>
      <c r="J301" s="12" t="n"/>
      <c r="K301" s="12" t="n"/>
      <c r="L301" s="12" t="n"/>
      <c r="M301" s="14" t="n"/>
      <c r="N301" s="12" t="n"/>
      <c r="O301" s="2" t="n"/>
      <c r="P301" s="2" t="n"/>
      <c r="Q301" s="2" t="n"/>
      <c r="R301" s="12" t="n"/>
      <c r="S301" s="12" t="n"/>
      <c r="T301" s="12" t="n"/>
      <c r="U301" s="12" t="n"/>
      <c r="V301" s="12" t="n"/>
      <c r="W301" s="12" t="n"/>
      <c r="X301" s="12" t="n"/>
      <c r="Y301" s="2" t="n"/>
      <c r="Z301" s="5">
        <f>IF(A301="","",(COUNTA(A301:G301)+COUNTA(J301:Y301))/23)</f>
        <v/>
      </c>
      <c r="AA301" s="2">
        <f>IF(B301="","",WORKDAY(B301,3))</f>
        <v/>
      </c>
      <c r="AB301" s="2">
        <f>IF(B301="","",WORKDAY(B301,5))</f>
        <v/>
      </c>
      <c r="AC301" s="2">
        <f>IF(B301="","",WORKDAY(B301,10))</f>
        <v/>
      </c>
      <c r="AD301" s="2" t="n"/>
    </row>
    <row r="302">
      <c r="A302" s="12" t="n"/>
      <c r="B302" s="12" t="n"/>
      <c r="C302" s="2" t="n"/>
      <c r="D302" s="4" t="n"/>
      <c r="E302" s="12" t="n"/>
      <c r="F302" s="2" t="n"/>
      <c r="G302" s="12" t="n"/>
      <c r="H302" s="2">
        <f>IF(G302="","",IFERROR(VLOOKUP(G302,板块观察!A:U,14,FALSE),""))</f>
        <v/>
      </c>
      <c r="I302" s="2">
        <f>IF(G302="","",IFERROR(VLOOKUP(G302,板块观察!A:U,15,FALSE),""))</f>
        <v/>
      </c>
      <c r="J302" s="12" t="n"/>
      <c r="K302" s="12" t="n"/>
      <c r="L302" s="12" t="n"/>
      <c r="M302" s="14" t="n"/>
      <c r="N302" s="12" t="n"/>
      <c r="O302" s="2" t="n"/>
      <c r="P302" s="2" t="n"/>
      <c r="Q302" s="2" t="n"/>
      <c r="R302" s="12" t="n"/>
      <c r="S302" s="12" t="n"/>
      <c r="T302" s="12" t="n"/>
      <c r="U302" s="12" t="n"/>
      <c r="V302" s="12" t="n"/>
      <c r="W302" s="12" t="n"/>
      <c r="X302" s="12" t="n"/>
      <c r="Y302" s="2" t="n"/>
      <c r="Z302" s="5">
        <f>IF(A302="","",(COUNTA(A302:G302)+COUNTA(J302:Y302))/23)</f>
        <v/>
      </c>
      <c r="AA302" s="2">
        <f>IF(B302="","",WORKDAY(B302,3))</f>
        <v/>
      </c>
      <c r="AB302" s="2">
        <f>IF(B302="","",WORKDAY(B302,5))</f>
        <v/>
      </c>
      <c r="AC302" s="2">
        <f>IF(B302="","",WORKDAY(B302,10))</f>
        <v/>
      </c>
      <c r="AD302" s="2" t="n"/>
    </row>
    <row r="303">
      <c r="A303" s="12" t="n"/>
      <c r="B303" s="12" t="n"/>
      <c r="C303" s="2" t="n"/>
      <c r="D303" s="4" t="n"/>
      <c r="E303" s="12" t="n"/>
      <c r="F303" s="2" t="n"/>
      <c r="G303" s="12" t="n"/>
      <c r="H303" s="2">
        <f>IF(G303="","",IFERROR(VLOOKUP(G303,板块观察!A:U,14,FALSE),""))</f>
        <v/>
      </c>
      <c r="I303" s="2">
        <f>IF(G303="","",IFERROR(VLOOKUP(G303,板块观察!A:U,15,FALSE),""))</f>
        <v/>
      </c>
      <c r="J303" s="12" t="n"/>
      <c r="K303" s="12" t="n"/>
      <c r="L303" s="12" t="n"/>
      <c r="M303" s="14" t="n"/>
      <c r="N303" s="12" t="n"/>
      <c r="O303" s="2" t="n"/>
      <c r="P303" s="2" t="n"/>
      <c r="Q303" s="2" t="n"/>
      <c r="R303" s="12" t="n"/>
      <c r="S303" s="12" t="n"/>
      <c r="T303" s="12" t="n"/>
      <c r="U303" s="12" t="n"/>
      <c r="V303" s="12" t="n"/>
      <c r="W303" s="12" t="n"/>
      <c r="X303" s="12" t="n"/>
      <c r="Y303" s="2" t="n"/>
      <c r="Z303" s="5">
        <f>IF(A303="","",(COUNTA(A303:G303)+COUNTA(J303:Y303))/23)</f>
        <v/>
      </c>
      <c r="AA303" s="2">
        <f>IF(B303="","",WORKDAY(B303,3))</f>
        <v/>
      </c>
      <c r="AB303" s="2">
        <f>IF(B303="","",WORKDAY(B303,5))</f>
        <v/>
      </c>
      <c r="AC303" s="2">
        <f>IF(B303="","",WORKDAY(B303,10))</f>
        <v/>
      </c>
      <c r="AD303" s="2" t="n"/>
    </row>
    <row r="304">
      <c r="A304" s="12" t="n"/>
      <c r="B304" s="12" t="n"/>
      <c r="C304" s="2" t="n"/>
      <c r="D304" s="4" t="n"/>
      <c r="E304" s="12" t="n"/>
      <c r="F304" s="2" t="n"/>
      <c r="G304" s="12" t="n"/>
      <c r="H304" s="2">
        <f>IF(G304="","",IFERROR(VLOOKUP(G304,板块观察!A:U,14,FALSE),""))</f>
        <v/>
      </c>
      <c r="I304" s="2">
        <f>IF(G304="","",IFERROR(VLOOKUP(G304,板块观察!A:U,15,FALSE),""))</f>
        <v/>
      </c>
      <c r="J304" s="12" t="n"/>
      <c r="K304" s="12" t="n"/>
      <c r="L304" s="12" t="n"/>
      <c r="M304" s="14" t="n"/>
      <c r="N304" s="12" t="n"/>
      <c r="O304" s="2" t="n"/>
      <c r="P304" s="2" t="n"/>
      <c r="Q304" s="2" t="n"/>
      <c r="R304" s="12" t="n"/>
      <c r="S304" s="12" t="n"/>
      <c r="T304" s="12" t="n"/>
      <c r="U304" s="12" t="n"/>
      <c r="V304" s="12" t="n"/>
      <c r="W304" s="12" t="n"/>
      <c r="X304" s="12" t="n"/>
      <c r="Y304" s="2" t="n"/>
      <c r="Z304" s="5">
        <f>IF(A304="","",(COUNTA(A304:G304)+COUNTA(J304:Y304))/23)</f>
        <v/>
      </c>
      <c r="AA304" s="2">
        <f>IF(B304="","",WORKDAY(B304,3))</f>
        <v/>
      </c>
      <c r="AB304" s="2">
        <f>IF(B304="","",WORKDAY(B304,5))</f>
        <v/>
      </c>
      <c r="AC304" s="2">
        <f>IF(B304="","",WORKDAY(B304,10))</f>
        <v/>
      </c>
      <c r="AD304" s="2" t="n"/>
    </row>
    <row r="305">
      <c r="A305" s="12" t="n"/>
      <c r="B305" s="12" t="n"/>
      <c r="C305" s="2" t="n"/>
      <c r="D305" s="4" t="n"/>
      <c r="E305" s="12" t="n"/>
      <c r="F305" s="2" t="n"/>
      <c r="G305" s="12" t="n"/>
      <c r="H305" s="2">
        <f>IF(G305="","",IFERROR(VLOOKUP(G305,板块观察!A:U,14,FALSE),""))</f>
        <v/>
      </c>
      <c r="I305" s="2">
        <f>IF(G305="","",IFERROR(VLOOKUP(G305,板块观察!A:U,15,FALSE),""))</f>
        <v/>
      </c>
      <c r="J305" s="12" t="n"/>
      <c r="K305" s="12" t="n"/>
      <c r="L305" s="12" t="n"/>
      <c r="M305" s="14" t="n"/>
      <c r="N305" s="12" t="n"/>
      <c r="O305" s="2" t="n"/>
      <c r="P305" s="2" t="n"/>
      <c r="Q305" s="2" t="n"/>
      <c r="R305" s="12" t="n"/>
      <c r="S305" s="12" t="n"/>
      <c r="T305" s="12" t="n"/>
      <c r="U305" s="12" t="n"/>
      <c r="V305" s="12" t="n"/>
      <c r="W305" s="12" t="n"/>
      <c r="X305" s="12" t="n"/>
      <c r="Y305" s="2" t="n"/>
      <c r="Z305" s="5">
        <f>IF(A305="","",(COUNTA(A305:G305)+COUNTA(J305:Y305))/23)</f>
        <v/>
      </c>
      <c r="AA305" s="2">
        <f>IF(B305="","",WORKDAY(B305,3))</f>
        <v/>
      </c>
      <c r="AB305" s="2">
        <f>IF(B305="","",WORKDAY(B305,5))</f>
        <v/>
      </c>
      <c r="AC305" s="2">
        <f>IF(B305="","",WORKDAY(B305,10))</f>
        <v/>
      </c>
      <c r="AD305" s="2" t="n"/>
    </row>
    <row r="306">
      <c r="A306" s="12" t="n"/>
      <c r="B306" s="12" t="n"/>
      <c r="C306" s="2" t="n"/>
      <c r="D306" s="4" t="n"/>
      <c r="E306" s="12" t="n"/>
      <c r="F306" s="2" t="n"/>
      <c r="G306" s="12" t="n"/>
      <c r="H306" s="2">
        <f>IF(G306="","",IFERROR(VLOOKUP(G306,板块观察!A:U,14,FALSE),""))</f>
        <v/>
      </c>
      <c r="I306" s="2">
        <f>IF(G306="","",IFERROR(VLOOKUP(G306,板块观察!A:U,15,FALSE),""))</f>
        <v/>
      </c>
      <c r="J306" s="12" t="n"/>
      <c r="K306" s="12" t="n"/>
      <c r="L306" s="12" t="n"/>
      <c r="M306" s="14" t="n"/>
      <c r="N306" s="12" t="n"/>
      <c r="O306" s="2" t="n"/>
      <c r="P306" s="2" t="n"/>
      <c r="Q306" s="2" t="n"/>
      <c r="R306" s="12" t="n"/>
      <c r="S306" s="12" t="n"/>
      <c r="T306" s="12" t="n"/>
      <c r="U306" s="12" t="n"/>
      <c r="V306" s="12" t="n"/>
      <c r="W306" s="12" t="n"/>
      <c r="X306" s="12" t="n"/>
      <c r="Y306" s="2" t="n"/>
      <c r="Z306" s="5">
        <f>IF(A306="","",(COUNTA(A306:G306)+COUNTA(J306:Y306))/23)</f>
        <v/>
      </c>
      <c r="AA306" s="2">
        <f>IF(B306="","",WORKDAY(B306,3))</f>
        <v/>
      </c>
      <c r="AB306" s="2">
        <f>IF(B306="","",WORKDAY(B306,5))</f>
        <v/>
      </c>
      <c r="AC306" s="2">
        <f>IF(B306="","",WORKDAY(B306,10))</f>
        <v/>
      </c>
      <c r="AD306" s="2" t="n"/>
    </row>
    <row r="307">
      <c r="A307" s="12" t="n"/>
      <c r="B307" s="12" t="n"/>
      <c r="C307" s="2" t="n"/>
      <c r="D307" s="4" t="n"/>
      <c r="E307" s="12" t="n"/>
      <c r="F307" s="2" t="n"/>
      <c r="G307" s="12" t="n"/>
      <c r="H307" s="2">
        <f>IF(G307="","",IFERROR(VLOOKUP(G307,板块观察!A:U,14,FALSE),""))</f>
        <v/>
      </c>
      <c r="I307" s="2">
        <f>IF(G307="","",IFERROR(VLOOKUP(G307,板块观察!A:U,15,FALSE),""))</f>
        <v/>
      </c>
      <c r="J307" s="12" t="n"/>
      <c r="K307" s="12" t="n"/>
      <c r="L307" s="12" t="n"/>
      <c r="M307" s="14" t="n"/>
      <c r="N307" s="12" t="n"/>
      <c r="O307" s="2" t="n"/>
      <c r="P307" s="2" t="n"/>
      <c r="Q307" s="2" t="n"/>
      <c r="R307" s="12" t="n"/>
      <c r="S307" s="12" t="n"/>
      <c r="T307" s="12" t="n"/>
      <c r="U307" s="12" t="n"/>
      <c r="V307" s="12" t="n"/>
      <c r="W307" s="12" t="n"/>
      <c r="X307" s="12" t="n"/>
      <c r="Y307" s="2" t="n"/>
      <c r="Z307" s="5">
        <f>IF(A307="","",(COUNTA(A307:G307)+COUNTA(J307:Y307))/23)</f>
        <v/>
      </c>
      <c r="AA307" s="2">
        <f>IF(B307="","",WORKDAY(B307,3))</f>
        <v/>
      </c>
      <c r="AB307" s="2">
        <f>IF(B307="","",WORKDAY(B307,5))</f>
        <v/>
      </c>
      <c r="AC307" s="2">
        <f>IF(B307="","",WORKDAY(B307,10))</f>
        <v/>
      </c>
      <c r="AD307" s="2" t="n"/>
    </row>
    <row r="308">
      <c r="A308" s="12" t="n"/>
      <c r="B308" s="12" t="n"/>
      <c r="C308" s="2" t="n"/>
      <c r="D308" s="4" t="n"/>
      <c r="E308" s="12" t="n"/>
      <c r="F308" s="2" t="n"/>
      <c r="G308" s="12" t="n"/>
      <c r="H308" s="2">
        <f>IF(G308="","",IFERROR(VLOOKUP(G308,板块观察!A:U,14,FALSE),""))</f>
        <v/>
      </c>
      <c r="I308" s="2">
        <f>IF(G308="","",IFERROR(VLOOKUP(G308,板块观察!A:U,15,FALSE),""))</f>
        <v/>
      </c>
      <c r="J308" s="12" t="n"/>
      <c r="K308" s="12" t="n"/>
      <c r="L308" s="12" t="n"/>
      <c r="M308" s="14" t="n"/>
      <c r="N308" s="12" t="n"/>
      <c r="O308" s="2" t="n"/>
      <c r="P308" s="2" t="n"/>
      <c r="Q308" s="2" t="n"/>
      <c r="R308" s="12" t="n"/>
      <c r="S308" s="12" t="n"/>
      <c r="T308" s="12" t="n"/>
      <c r="U308" s="12" t="n"/>
      <c r="V308" s="12" t="n"/>
      <c r="W308" s="12" t="n"/>
      <c r="X308" s="12" t="n"/>
      <c r="Y308" s="2" t="n"/>
      <c r="Z308" s="5">
        <f>IF(A308="","",(COUNTA(A308:G308)+COUNTA(J308:Y308))/23)</f>
        <v/>
      </c>
      <c r="AA308" s="2">
        <f>IF(B308="","",WORKDAY(B308,3))</f>
        <v/>
      </c>
      <c r="AB308" s="2">
        <f>IF(B308="","",WORKDAY(B308,5))</f>
        <v/>
      </c>
      <c r="AC308" s="2">
        <f>IF(B308="","",WORKDAY(B308,10))</f>
        <v/>
      </c>
      <c r="AD308" s="2" t="n"/>
    </row>
    <row r="309">
      <c r="A309" s="12" t="n"/>
      <c r="B309" s="12" t="n"/>
      <c r="C309" s="2" t="n"/>
      <c r="D309" s="4" t="n"/>
      <c r="E309" s="12" t="n"/>
      <c r="F309" s="2" t="n"/>
      <c r="G309" s="12" t="n"/>
      <c r="H309" s="2">
        <f>IF(G309="","",IFERROR(VLOOKUP(G309,板块观察!A:U,14,FALSE),""))</f>
        <v/>
      </c>
      <c r="I309" s="2">
        <f>IF(G309="","",IFERROR(VLOOKUP(G309,板块观察!A:U,15,FALSE),""))</f>
        <v/>
      </c>
      <c r="J309" s="12" t="n"/>
      <c r="K309" s="12" t="n"/>
      <c r="L309" s="12" t="n"/>
      <c r="M309" s="14" t="n"/>
      <c r="N309" s="12" t="n"/>
      <c r="O309" s="2" t="n"/>
      <c r="P309" s="2" t="n"/>
      <c r="Q309" s="2" t="n"/>
      <c r="R309" s="12" t="n"/>
      <c r="S309" s="12" t="n"/>
      <c r="T309" s="12" t="n"/>
      <c r="U309" s="12" t="n"/>
      <c r="V309" s="12" t="n"/>
      <c r="W309" s="12" t="n"/>
      <c r="X309" s="12" t="n"/>
      <c r="Y309" s="2" t="n"/>
      <c r="Z309" s="5">
        <f>IF(A309="","",(COUNTA(A309:G309)+COUNTA(J309:Y309))/23)</f>
        <v/>
      </c>
      <c r="AA309" s="2">
        <f>IF(B309="","",WORKDAY(B309,3))</f>
        <v/>
      </c>
      <c r="AB309" s="2">
        <f>IF(B309="","",WORKDAY(B309,5))</f>
        <v/>
      </c>
      <c r="AC309" s="2">
        <f>IF(B309="","",WORKDAY(B309,10))</f>
        <v/>
      </c>
      <c r="AD309" s="2" t="n"/>
    </row>
    <row r="310">
      <c r="A310" s="12" t="n"/>
      <c r="B310" s="12" t="n"/>
      <c r="C310" s="2" t="n"/>
      <c r="D310" s="4" t="n"/>
      <c r="E310" s="12" t="n"/>
      <c r="F310" s="2" t="n"/>
      <c r="G310" s="12" t="n"/>
      <c r="H310" s="2">
        <f>IF(G310="","",IFERROR(VLOOKUP(G310,板块观察!A:U,14,FALSE),""))</f>
        <v/>
      </c>
      <c r="I310" s="2">
        <f>IF(G310="","",IFERROR(VLOOKUP(G310,板块观察!A:U,15,FALSE),""))</f>
        <v/>
      </c>
      <c r="J310" s="12" t="n"/>
      <c r="K310" s="12" t="n"/>
      <c r="L310" s="12" t="n"/>
      <c r="M310" s="14" t="n"/>
      <c r="N310" s="12" t="n"/>
      <c r="O310" s="2" t="n"/>
      <c r="P310" s="2" t="n"/>
      <c r="Q310" s="2" t="n"/>
      <c r="R310" s="12" t="n"/>
      <c r="S310" s="12" t="n"/>
      <c r="T310" s="12" t="n"/>
      <c r="U310" s="12" t="n"/>
      <c r="V310" s="12" t="n"/>
      <c r="W310" s="12" t="n"/>
      <c r="X310" s="12" t="n"/>
      <c r="Y310" s="2" t="n"/>
      <c r="Z310" s="5">
        <f>IF(A310="","",(COUNTA(A310:G310)+COUNTA(J310:Y310))/23)</f>
        <v/>
      </c>
      <c r="AA310" s="2">
        <f>IF(B310="","",WORKDAY(B310,3))</f>
        <v/>
      </c>
      <c r="AB310" s="2">
        <f>IF(B310="","",WORKDAY(B310,5))</f>
        <v/>
      </c>
      <c r="AC310" s="2">
        <f>IF(B310="","",WORKDAY(B310,10))</f>
        <v/>
      </c>
      <c r="AD310" s="2" t="n"/>
    </row>
    <row r="311">
      <c r="A311" s="12" t="n"/>
      <c r="B311" s="12" t="n"/>
      <c r="C311" s="2" t="n"/>
      <c r="D311" s="4" t="n"/>
      <c r="E311" s="12" t="n"/>
      <c r="F311" s="2" t="n"/>
      <c r="G311" s="12" t="n"/>
      <c r="H311" s="2">
        <f>IF(G311="","",IFERROR(VLOOKUP(G311,板块观察!A:U,14,FALSE),""))</f>
        <v/>
      </c>
      <c r="I311" s="2">
        <f>IF(G311="","",IFERROR(VLOOKUP(G311,板块观察!A:U,15,FALSE),""))</f>
        <v/>
      </c>
      <c r="J311" s="12" t="n"/>
      <c r="K311" s="12" t="n"/>
      <c r="L311" s="12" t="n"/>
      <c r="M311" s="14" t="n"/>
      <c r="N311" s="12" t="n"/>
      <c r="O311" s="2" t="n"/>
      <c r="P311" s="2" t="n"/>
      <c r="Q311" s="2" t="n"/>
      <c r="R311" s="12" t="n"/>
      <c r="S311" s="12" t="n"/>
      <c r="T311" s="12" t="n"/>
      <c r="U311" s="12" t="n"/>
      <c r="V311" s="12" t="n"/>
      <c r="W311" s="12" t="n"/>
      <c r="X311" s="12" t="n"/>
      <c r="Y311" s="2" t="n"/>
      <c r="Z311" s="5">
        <f>IF(A311="","",(COUNTA(A311:G311)+COUNTA(J311:Y311))/23)</f>
        <v/>
      </c>
      <c r="AA311" s="2">
        <f>IF(B311="","",WORKDAY(B311,3))</f>
        <v/>
      </c>
      <c r="AB311" s="2">
        <f>IF(B311="","",WORKDAY(B311,5))</f>
        <v/>
      </c>
      <c r="AC311" s="2">
        <f>IF(B311="","",WORKDAY(B311,10))</f>
        <v/>
      </c>
      <c r="AD311" s="2" t="n"/>
    </row>
    <row r="312">
      <c r="A312" s="12" t="n"/>
      <c r="B312" s="12" t="n"/>
      <c r="C312" s="2" t="n"/>
      <c r="D312" s="4" t="n"/>
      <c r="E312" s="12" t="n"/>
      <c r="F312" s="2" t="n"/>
      <c r="G312" s="12" t="n"/>
      <c r="H312" s="2">
        <f>IF(G312="","",IFERROR(VLOOKUP(G312,板块观察!A:U,14,FALSE),""))</f>
        <v/>
      </c>
      <c r="I312" s="2">
        <f>IF(G312="","",IFERROR(VLOOKUP(G312,板块观察!A:U,15,FALSE),""))</f>
        <v/>
      </c>
      <c r="J312" s="12" t="n"/>
      <c r="K312" s="12" t="n"/>
      <c r="L312" s="12" t="n"/>
      <c r="M312" s="14" t="n"/>
      <c r="N312" s="12" t="n"/>
      <c r="O312" s="2" t="n"/>
      <c r="P312" s="2" t="n"/>
      <c r="Q312" s="2" t="n"/>
      <c r="R312" s="12" t="n"/>
      <c r="S312" s="12" t="n"/>
      <c r="T312" s="12" t="n"/>
      <c r="U312" s="12" t="n"/>
      <c r="V312" s="12" t="n"/>
      <c r="W312" s="12" t="n"/>
      <c r="X312" s="12" t="n"/>
      <c r="Y312" s="2" t="n"/>
      <c r="Z312" s="5">
        <f>IF(A312="","",(COUNTA(A312:G312)+COUNTA(J312:Y312))/23)</f>
        <v/>
      </c>
      <c r="AA312" s="2">
        <f>IF(B312="","",WORKDAY(B312,3))</f>
        <v/>
      </c>
      <c r="AB312" s="2">
        <f>IF(B312="","",WORKDAY(B312,5))</f>
        <v/>
      </c>
      <c r="AC312" s="2">
        <f>IF(B312="","",WORKDAY(B312,10))</f>
        <v/>
      </c>
      <c r="AD312" s="2" t="n"/>
    </row>
    <row r="313">
      <c r="A313" s="12" t="n"/>
      <c r="B313" s="12" t="n"/>
      <c r="C313" s="2" t="n"/>
      <c r="D313" s="4" t="n"/>
      <c r="E313" s="12" t="n"/>
      <c r="F313" s="2" t="n"/>
      <c r="G313" s="12" t="n"/>
      <c r="H313" s="2">
        <f>IF(G313="","",IFERROR(VLOOKUP(G313,板块观察!A:U,14,FALSE),""))</f>
        <v/>
      </c>
      <c r="I313" s="2">
        <f>IF(G313="","",IFERROR(VLOOKUP(G313,板块观察!A:U,15,FALSE),""))</f>
        <v/>
      </c>
      <c r="J313" s="12" t="n"/>
      <c r="K313" s="12" t="n"/>
      <c r="L313" s="12" t="n"/>
      <c r="M313" s="14" t="n"/>
      <c r="N313" s="12" t="n"/>
      <c r="O313" s="2" t="n"/>
      <c r="P313" s="2" t="n"/>
      <c r="Q313" s="2" t="n"/>
      <c r="R313" s="12" t="n"/>
      <c r="S313" s="12" t="n"/>
      <c r="T313" s="12" t="n"/>
      <c r="U313" s="12" t="n"/>
      <c r="V313" s="12" t="n"/>
      <c r="W313" s="12" t="n"/>
      <c r="X313" s="12" t="n"/>
      <c r="Y313" s="2" t="n"/>
      <c r="Z313" s="5">
        <f>IF(A313="","",(COUNTA(A313:G313)+COUNTA(J313:Y313))/23)</f>
        <v/>
      </c>
      <c r="AA313" s="2">
        <f>IF(B313="","",WORKDAY(B313,3))</f>
        <v/>
      </c>
      <c r="AB313" s="2">
        <f>IF(B313="","",WORKDAY(B313,5))</f>
        <v/>
      </c>
      <c r="AC313" s="2">
        <f>IF(B313="","",WORKDAY(B313,10))</f>
        <v/>
      </c>
      <c r="AD313" s="2" t="n"/>
    </row>
    <row r="314">
      <c r="A314" s="12" t="n"/>
      <c r="B314" s="12" t="n"/>
      <c r="C314" s="2" t="n"/>
      <c r="D314" s="4" t="n"/>
      <c r="E314" s="12" t="n"/>
      <c r="F314" s="2" t="n"/>
      <c r="G314" s="12" t="n"/>
      <c r="H314" s="2">
        <f>IF(G314="","",IFERROR(VLOOKUP(G314,板块观察!A:U,14,FALSE),""))</f>
        <v/>
      </c>
      <c r="I314" s="2">
        <f>IF(G314="","",IFERROR(VLOOKUP(G314,板块观察!A:U,15,FALSE),""))</f>
        <v/>
      </c>
      <c r="J314" s="12" t="n"/>
      <c r="K314" s="12" t="n"/>
      <c r="L314" s="12" t="n"/>
      <c r="M314" s="14" t="n"/>
      <c r="N314" s="12" t="n"/>
      <c r="O314" s="2" t="n"/>
      <c r="P314" s="2" t="n"/>
      <c r="Q314" s="2" t="n"/>
      <c r="R314" s="12" t="n"/>
      <c r="S314" s="12" t="n"/>
      <c r="T314" s="12" t="n"/>
      <c r="U314" s="12" t="n"/>
      <c r="V314" s="12" t="n"/>
      <c r="W314" s="12" t="n"/>
      <c r="X314" s="12" t="n"/>
      <c r="Y314" s="2" t="n"/>
      <c r="Z314" s="5">
        <f>IF(A314="","",(COUNTA(A314:G314)+COUNTA(J314:Y314))/23)</f>
        <v/>
      </c>
      <c r="AA314" s="2">
        <f>IF(B314="","",WORKDAY(B314,3))</f>
        <v/>
      </c>
      <c r="AB314" s="2">
        <f>IF(B314="","",WORKDAY(B314,5))</f>
        <v/>
      </c>
      <c r="AC314" s="2">
        <f>IF(B314="","",WORKDAY(B314,10))</f>
        <v/>
      </c>
      <c r="AD314" s="2" t="n"/>
    </row>
    <row r="315">
      <c r="A315" s="12" t="n"/>
      <c r="B315" s="12" t="n"/>
      <c r="C315" s="2" t="n"/>
      <c r="D315" s="4" t="n"/>
      <c r="E315" s="12" t="n"/>
      <c r="F315" s="2" t="n"/>
      <c r="G315" s="12" t="n"/>
      <c r="H315" s="2">
        <f>IF(G315="","",IFERROR(VLOOKUP(G315,板块观察!A:U,14,FALSE),""))</f>
        <v/>
      </c>
      <c r="I315" s="2">
        <f>IF(G315="","",IFERROR(VLOOKUP(G315,板块观察!A:U,15,FALSE),""))</f>
        <v/>
      </c>
      <c r="J315" s="12" t="n"/>
      <c r="K315" s="12" t="n"/>
      <c r="L315" s="12" t="n"/>
      <c r="M315" s="14" t="n"/>
      <c r="N315" s="12" t="n"/>
      <c r="O315" s="2" t="n"/>
      <c r="P315" s="2" t="n"/>
      <c r="Q315" s="2" t="n"/>
      <c r="R315" s="12" t="n"/>
      <c r="S315" s="12" t="n"/>
      <c r="T315" s="12" t="n"/>
      <c r="U315" s="12" t="n"/>
      <c r="V315" s="12" t="n"/>
      <c r="W315" s="12" t="n"/>
      <c r="X315" s="12" t="n"/>
      <c r="Y315" s="2" t="n"/>
      <c r="Z315" s="5">
        <f>IF(A315="","",(COUNTA(A315:G315)+COUNTA(J315:Y315))/23)</f>
        <v/>
      </c>
      <c r="AA315" s="2">
        <f>IF(B315="","",WORKDAY(B315,3))</f>
        <v/>
      </c>
      <c r="AB315" s="2">
        <f>IF(B315="","",WORKDAY(B315,5))</f>
        <v/>
      </c>
      <c r="AC315" s="2">
        <f>IF(B315="","",WORKDAY(B315,10))</f>
        <v/>
      </c>
      <c r="AD315" s="2" t="n"/>
    </row>
    <row r="316">
      <c r="A316" s="12" t="n"/>
      <c r="B316" s="12" t="n"/>
      <c r="C316" s="2" t="n"/>
      <c r="D316" s="4" t="n"/>
      <c r="E316" s="12" t="n"/>
      <c r="F316" s="2" t="n"/>
      <c r="G316" s="12" t="n"/>
      <c r="H316" s="2">
        <f>IF(G316="","",IFERROR(VLOOKUP(G316,板块观察!A:U,14,FALSE),""))</f>
        <v/>
      </c>
      <c r="I316" s="2">
        <f>IF(G316="","",IFERROR(VLOOKUP(G316,板块观察!A:U,15,FALSE),""))</f>
        <v/>
      </c>
      <c r="J316" s="12" t="n"/>
      <c r="K316" s="12" t="n"/>
      <c r="L316" s="12" t="n"/>
      <c r="M316" s="14" t="n"/>
      <c r="N316" s="12" t="n"/>
      <c r="O316" s="2" t="n"/>
      <c r="P316" s="2" t="n"/>
      <c r="Q316" s="2" t="n"/>
      <c r="R316" s="12" t="n"/>
      <c r="S316" s="12" t="n"/>
      <c r="T316" s="12" t="n"/>
      <c r="U316" s="12" t="n"/>
      <c r="V316" s="12" t="n"/>
      <c r="W316" s="12" t="n"/>
      <c r="X316" s="12" t="n"/>
      <c r="Y316" s="2" t="n"/>
      <c r="Z316" s="5">
        <f>IF(A316="","",(COUNTA(A316:G316)+COUNTA(J316:Y316))/23)</f>
        <v/>
      </c>
      <c r="AA316" s="2">
        <f>IF(B316="","",WORKDAY(B316,3))</f>
        <v/>
      </c>
      <c r="AB316" s="2">
        <f>IF(B316="","",WORKDAY(B316,5))</f>
        <v/>
      </c>
      <c r="AC316" s="2">
        <f>IF(B316="","",WORKDAY(B316,10))</f>
        <v/>
      </c>
      <c r="AD316" s="2" t="n"/>
    </row>
    <row r="317">
      <c r="A317" s="12" t="n"/>
      <c r="B317" s="12" t="n"/>
      <c r="C317" s="2" t="n"/>
      <c r="D317" s="4" t="n"/>
      <c r="E317" s="12" t="n"/>
      <c r="F317" s="2" t="n"/>
      <c r="G317" s="12" t="n"/>
      <c r="H317" s="2">
        <f>IF(G317="","",IFERROR(VLOOKUP(G317,板块观察!A:U,14,FALSE),""))</f>
        <v/>
      </c>
      <c r="I317" s="2">
        <f>IF(G317="","",IFERROR(VLOOKUP(G317,板块观察!A:U,15,FALSE),""))</f>
        <v/>
      </c>
      <c r="J317" s="12" t="n"/>
      <c r="K317" s="12" t="n"/>
      <c r="L317" s="12" t="n"/>
      <c r="M317" s="14" t="n"/>
      <c r="N317" s="12" t="n"/>
      <c r="O317" s="2" t="n"/>
      <c r="P317" s="2" t="n"/>
      <c r="Q317" s="2" t="n"/>
      <c r="R317" s="12" t="n"/>
      <c r="S317" s="12" t="n"/>
      <c r="T317" s="12" t="n"/>
      <c r="U317" s="12" t="n"/>
      <c r="V317" s="12" t="n"/>
      <c r="W317" s="12" t="n"/>
      <c r="X317" s="12" t="n"/>
      <c r="Y317" s="2" t="n"/>
      <c r="Z317" s="5">
        <f>IF(A317="","",(COUNTA(A317:G317)+COUNTA(J317:Y317))/23)</f>
        <v/>
      </c>
      <c r="AA317" s="2">
        <f>IF(B317="","",WORKDAY(B317,3))</f>
        <v/>
      </c>
      <c r="AB317" s="2">
        <f>IF(B317="","",WORKDAY(B317,5))</f>
        <v/>
      </c>
      <c r="AC317" s="2">
        <f>IF(B317="","",WORKDAY(B317,10))</f>
        <v/>
      </c>
      <c r="AD317" s="2" t="n"/>
    </row>
    <row r="318">
      <c r="A318" s="12" t="n"/>
      <c r="B318" s="12" t="n"/>
      <c r="C318" s="2" t="n"/>
      <c r="D318" s="4" t="n"/>
      <c r="E318" s="12" t="n"/>
      <c r="F318" s="2" t="n"/>
      <c r="G318" s="12" t="n"/>
      <c r="H318" s="2">
        <f>IF(G318="","",IFERROR(VLOOKUP(G318,板块观察!A:U,14,FALSE),""))</f>
        <v/>
      </c>
      <c r="I318" s="2">
        <f>IF(G318="","",IFERROR(VLOOKUP(G318,板块观察!A:U,15,FALSE),""))</f>
        <v/>
      </c>
      <c r="J318" s="12" t="n"/>
      <c r="K318" s="12" t="n"/>
      <c r="L318" s="12" t="n"/>
      <c r="M318" s="14" t="n"/>
      <c r="N318" s="12" t="n"/>
      <c r="O318" s="2" t="n"/>
      <c r="P318" s="2" t="n"/>
      <c r="Q318" s="2" t="n"/>
      <c r="R318" s="12" t="n"/>
      <c r="S318" s="12" t="n"/>
      <c r="T318" s="12" t="n"/>
      <c r="U318" s="12" t="n"/>
      <c r="V318" s="12" t="n"/>
      <c r="W318" s="12" t="n"/>
      <c r="X318" s="12" t="n"/>
      <c r="Y318" s="2" t="n"/>
      <c r="Z318" s="5">
        <f>IF(A318="","",(COUNTA(A318:G318)+COUNTA(J318:Y318))/23)</f>
        <v/>
      </c>
      <c r="AA318" s="2">
        <f>IF(B318="","",WORKDAY(B318,3))</f>
        <v/>
      </c>
      <c r="AB318" s="2">
        <f>IF(B318="","",WORKDAY(B318,5))</f>
        <v/>
      </c>
      <c r="AC318" s="2">
        <f>IF(B318="","",WORKDAY(B318,10))</f>
        <v/>
      </c>
      <c r="AD318" s="2" t="n"/>
    </row>
    <row r="319">
      <c r="A319" s="12" t="n"/>
      <c r="B319" s="12" t="n"/>
      <c r="C319" s="2" t="n"/>
      <c r="D319" s="4" t="n"/>
      <c r="E319" s="12" t="n"/>
      <c r="F319" s="2" t="n"/>
      <c r="G319" s="12" t="n"/>
      <c r="H319" s="2">
        <f>IF(G319="","",IFERROR(VLOOKUP(G319,板块观察!A:U,14,FALSE),""))</f>
        <v/>
      </c>
      <c r="I319" s="2">
        <f>IF(G319="","",IFERROR(VLOOKUP(G319,板块观察!A:U,15,FALSE),""))</f>
        <v/>
      </c>
      <c r="J319" s="12" t="n"/>
      <c r="K319" s="12" t="n"/>
      <c r="L319" s="12" t="n"/>
      <c r="M319" s="14" t="n"/>
      <c r="N319" s="12" t="n"/>
      <c r="O319" s="2" t="n"/>
      <c r="P319" s="2" t="n"/>
      <c r="Q319" s="2" t="n"/>
      <c r="R319" s="12" t="n"/>
      <c r="S319" s="12" t="n"/>
      <c r="T319" s="12" t="n"/>
      <c r="U319" s="12" t="n"/>
      <c r="V319" s="12" t="n"/>
      <c r="W319" s="12" t="n"/>
      <c r="X319" s="12" t="n"/>
      <c r="Y319" s="2" t="n"/>
      <c r="Z319" s="5">
        <f>IF(A319="","",(COUNTA(A319:G319)+COUNTA(J319:Y319))/23)</f>
        <v/>
      </c>
      <c r="AA319" s="2">
        <f>IF(B319="","",WORKDAY(B319,3))</f>
        <v/>
      </c>
      <c r="AB319" s="2">
        <f>IF(B319="","",WORKDAY(B319,5))</f>
        <v/>
      </c>
      <c r="AC319" s="2">
        <f>IF(B319="","",WORKDAY(B319,10))</f>
        <v/>
      </c>
      <c r="AD319" s="2" t="n"/>
    </row>
    <row r="320">
      <c r="A320" s="12" t="n"/>
      <c r="B320" s="12" t="n"/>
      <c r="C320" s="2" t="n"/>
      <c r="D320" s="4" t="n"/>
      <c r="E320" s="12" t="n"/>
      <c r="F320" s="2" t="n"/>
      <c r="G320" s="12" t="n"/>
      <c r="H320" s="2">
        <f>IF(G320="","",IFERROR(VLOOKUP(G320,板块观察!A:U,14,FALSE),""))</f>
        <v/>
      </c>
      <c r="I320" s="2">
        <f>IF(G320="","",IFERROR(VLOOKUP(G320,板块观察!A:U,15,FALSE),""))</f>
        <v/>
      </c>
      <c r="J320" s="12" t="n"/>
      <c r="K320" s="12" t="n"/>
      <c r="L320" s="12" t="n"/>
      <c r="M320" s="14" t="n"/>
      <c r="N320" s="12" t="n"/>
      <c r="O320" s="2" t="n"/>
      <c r="P320" s="2" t="n"/>
      <c r="Q320" s="2" t="n"/>
      <c r="R320" s="12" t="n"/>
      <c r="S320" s="12" t="n"/>
      <c r="T320" s="12" t="n"/>
      <c r="U320" s="12" t="n"/>
      <c r="V320" s="12" t="n"/>
      <c r="W320" s="12" t="n"/>
      <c r="X320" s="12" t="n"/>
      <c r="Y320" s="2" t="n"/>
      <c r="Z320" s="5">
        <f>IF(A320="","",(COUNTA(A320:G320)+COUNTA(J320:Y320))/23)</f>
        <v/>
      </c>
      <c r="AA320" s="2">
        <f>IF(B320="","",WORKDAY(B320,3))</f>
        <v/>
      </c>
      <c r="AB320" s="2">
        <f>IF(B320="","",WORKDAY(B320,5))</f>
        <v/>
      </c>
      <c r="AC320" s="2">
        <f>IF(B320="","",WORKDAY(B320,10))</f>
        <v/>
      </c>
      <c r="AD320" s="2" t="n"/>
    </row>
    <row r="321">
      <c r="A321" s="12" t="n"/>
      <c r="B321" s="12" t="n"/>
      <c r="C321" s="2" t="n"/>
      <c r="D321" s="4" t="n"/>
      <c r="E321" s="12" t="n"/>
      <c r="F321" s="2" t="n"/>
      <c r="G321" s="12" t="n"/>
      <c r="H321" s="2">
        <f>IF(G321="","",IFERROR(VLOOKUP(G321,板块观察!A:U,14,FALSE),""))</f>
        <v/>
      </c>
      <c r="I321" s="2">
        <f>IF(G321="","",IFERROR(VLOOKUP(G321,板块观察!A:U,15,FALSE),""))</f>
        <v/>
      </c>
      <c r="J321" s="12" t="n"/>
      <c r="K321" s="12" t="n"/>
      <c r="L321" s="12" t="n"/>
      <c r="M321" s="14" t="n"/>
      <c r="N321" s="12" t="n"/>
      <c r="O321" s="2" t="n"/>
      <c r="P321" s="2" t="n"/>
      <c r="Q321" s="2" t="n"/>
      <c r="R321" s="12" t="n"/>
      <c r="S321" s="12" t="n"/>
      <c r="T321" s="12" t="n"/>
      <c r="U321" s="12" t="n"/>
      <c r="V321" s="12" t="n"/>
      <c r="W321" s="12" t="n"/>
      <c r="X321" s="12" t="n"/>
      <c r="Y321" s="2" t="n"/>
      <c r="Z321" s="5">
        <f>IF(A321="","",(COUNTA(A321:G321)+COUNTA(J321:Y321))/23)</f>
        <v/>
      </c>
      <c r="AA321" s="2">
        <f>IF(B321="","",WORKDAY(B321,3))</f>
        <v/>
      </c>
      <c r="AB321" s="2">
        <f>IF(B321="","",WORKDAY(B321,5))</f>
        <v/>
      </c>
      <c r="AC321" s="2">
        <f>IF(B321="","",WORKDAY(B321,10))</f>
        <v/>
      </c>
      <c r="AD321" s="2" t="n"/>
    </row>
    <row r="322">
      <c r="A322" s="12" t="n"/>
      <c r="B322" s="12" t="n"/>
      <c r="C322" s="2" t="n"/>
      <c r="D322" s="4" t="n"/>
      <c r="E322" s="12" t="n"/>
      <c r="F322" s="2" t="n"/>
      <c r="G322" s="12" t="n"/>
      <c r="H322" s="2">
        <f>IF(G322="","",IFERROR(VLOOKUP(G322,板块观察!A:U,14,FALSE),""))</f>
        <v/>
      </c>
      <c r="I322" s="2">
        <f>IF(G322="","",IFERROR(VLOOKUP(G322,板块观察!A:U,15,FALSE),""))</f>
        <v/>
      </c>
      <c r="J322" s="12" t="n"/>
      <c r="K322" s="12" t="n"/>
      <c r="L322" s="12" t="n"/>
      <c r="M322" s="14" t="n"/>
      <c r="N322" s="12" t="n"/>
      <c r="O322" s="2" t="n"/>
      <c r="P322" s="2" t="n"/>
      <c r="Q322" s="2" t="n"/>
      <c r="R322" s="12" t="n"/>
      <c r="S322" s="12" t="n"/>
      <c r="T322" s="12" t="n"/>
      <c r="U322" s="12" t="n"/>
      <c r="V322" s="12" t="n"/>
      <c r="W322" s="12" t="n"/>
      <c r="X322" s="12" t="n"/>
      <c r="Y322" s="2" t="n"/>
      <c r="Z322" s="5">
        <f>IF(A322="","",(COUNTA(A322:G322)+COUNTA(J322:Y322))/23)</f>
        <v/>
      </c>
      <c r="AA322" s="2">
        <f>IF(B322="","",WORKDAY(B322,3))</f>
        <v/>
      </c>
      <c r="AB322" s="2">
        <f>IF(B322="","",WORKDAY(B322,5))</f>
        <v/>
      </c>
      <c r="AC322" s="2">
        <f>IF(B322="","",WORKDAY(B322,10))</f>
        <v/>
      </c>
      <c r="AD322" s="2" t="n"/>
    </row>
    <row r="323">
      <c r="A323" s="12" t="n"/>
      <c r="B323" s="12" t="n"/>
      <c r="C323" s="2" t="n"/>
      <c r="D323" s="4" t="n"/>
      <c r="E323" s="12" t="n"/>
      <c r="F323" s="2" t="n"/>
      <c r="G323" s="12" t="n"/>
      <c r="H323" s="2">
        <f>IF(G323="","",IFERROR(VLOOKUP(G323,板块观察!A:U,14,FALSE),""))</f>
        <v/>
      </c>
      <c r="I323" s="2">
        <f>IF(G323="","",IFERROR(VLOOKUP(G323,板块观察!A:U,15,FALSE),""))</f>
        <v/>
      </c>
      <c r="J323" s="12" t="n"/>
      <c r="K323" s="12" t="n"/>
      <c r="L323" s="12" t="n"/>
      <c r="M323" s="14" t="n"/>
      <c r="N323" s="12" t="n"/>
      <c r="O323" s="2" t="n"/>
      <c r="P323" s="2" t="n"/>
      <c r="Q323" s="2" t="n"/>
      <c r="R323" s="12" t="n"/>
      <c r="S323" s="12" t="n"/>
      <c r="T323" s="12" t="n"/>
      <c r="U323" s="12" t="n"/>
      <c r="V323" s="12" t="n"/>
      <c r="W323" s="12" t="n"/>
      <c r="X323" s="12" t="n"/>
      <c r="Y323" s="2" t="n"/>
      <c r="Z323" s="5">
        <f>IF(A323="","",(COUNTA(A323:G323)+COUNTA(J323:Y323))/23)</f>
        <v/>
      </c>
      <c r="AA323" s="2">
        <f>IF(B323="","",WORKDAY(B323,3))</f>
        <v/>
      </c>
      <c r="AB323" s="2">
        <f>IF(B323="","",WORKDAY(B323,5))</f>
        <v/>
      </c>
      <c r="AC323" s="2">
        <f>IF(B323="","",WORKDAY(B323,10))</f>
        <v/>
      </c>
      <c r="AD323" s="2" t="n"/>
    </row>
    <row r="324">
      <c r="A324" s="12" t="n"/>
      <c r="B324" s="12" t="n"/>
      <c r="C324" s="2" t="n"/>
      <c r="D324" s="4" t="n"/>
      <c r="E324" s="12" t="n"/>
      <c r="F324" s="2" t="n"/>
      <c r="G324" s="12" t="n"/>
      <c r="H324" s="2">
        <f>IF(G324="","",IFERROR(VLOOKUP(G324,板块观察!A:U,14,FALSE),""))</f>
        <v/>
      </c>
      <c r="I324" s="2">
        <f>IF(G324="","",IFERROR(VLOOKUP(G324,板块观察!A:U,15,FALSE),""))</f>
        <v/>
      </c>
      <c r="J324" s="12" t="n"/>
      <c r="K324" s="12" t="n"/>
      <c r="L324" s="12" t="n"/>
      <c r="M324" s="14" t="n"/>
      <c r="N324" s="12" t="n"/>
      <c r="O324" s="2" t="n"/>
      <c r="P324" s="2" t="n"/>
      <c r="Q324" s="2" t="n"/>
      <c r="R324" s="12" t="n"/>
      <c r="S324" s="12" t="n"/>
      <c r="T324" s="12" t="n"/>
      <c r="U324" s="12" t="n"/>
      <c r="V324" s="12" t="n"/>
      <c r="W324" s="12" t="n"/>
      <c r="X324" s="12" t="n"/>
      <c r="Y324" s="2" t="n"/>
      <c r="Z324" s="5">
        <f>IF(A324="","",(COUNTA(A324:G324)+COUNTA(J324:Y324))/23)</f>
        <v/>
      </c>
      <c r="AA324" s="2">
        <f>IF(B324="","",WORKDAY(B324,3))</f>
        <v/>
      </c>
      <c r="AB324" s="2">
        <f>IF(B324="","",WORKDAY(B324,5))</f>
        <v/>
      </c>
      <c r="AC324" s="2">
        <f>IF(B324="","",WORKDAY(B324,10))</f>
        <v/>
      </c>
      <c r="AD324" s="2" t="n"/>
    </row>
    <row r="325">
      <c r="A325" s="12" t="n"/>
      <c r="B325" s="12" t="n"/>
      <c r="C325" s="2" t="n"/>
      <c r="D325" s="4" t="n"/>
      <c r="E325" s="12" t="n"/>
      <c r="F325" s="2" t="n"/>
      <c r="G325" s="12" t="n"/>
      <c r="H325" s="2">
        <f>IF(G325="","",IFERROR(VLOOKUP(G325,板块观察!A:U,14,FALSE),""))</f>
        <v/>
      </c>
      <c r="I325" s="2">
        <f>IF(G325="","",IFERROR(VLOOKUP(G325,板块观察!A:U,15,FALSE),""))</f>
        <v/>
      </c>
      <c r="J325" s="12" t="n"/>
      <c r="K325" s="12" t="n"/>
      <c r="L325" s="12" t="n"/>
      <c r="M325" s="14" t="n"/>
      <c r="N325" s="12" t="n"/>
      <c r="O325" s="2" t="n"/>
      <c r="P325" s="2" t="n"/>
      <c r="Q325" s="2" t="n"/>
      <c r="R325" s="12" t="n"/>
      <c r="S325" s="12" t="n"/>
      <c r="T325" s="12" t="n"/>
      <c r="U325" s="12" t="n"/>
      <c r="V325" s="12" t="n"/>
      <c r="W325" s="12" t="n"/>
      <c r="X325" s="12" t="n"/>
      <c r="Y325" s="2" t="n"/>
      <c r="Z325" s="5">
        <f>IF(A325="","",(COUNTA(A325:G325)+COUNTA(J325:Y325))/23)</f>
        <v/>
      </c>
      <c r="AA325" s="2">
        <f>IF(B325="","",WORKDAY(B325,3))</f>
        <v/>
      </c>
      <c r="AB325" s="2">
        <f>IF(B325="","",WORKDAY(B325,5))</f>
        <v/>
      </c>
      <c r="AC325" s="2">
        <f>IF(B325="","",WORKDAY(B325,10))</f>
        <v/>
      </c>
      <c r="AD325" s="2" t="n"/>
    </row>
    <row r="326">
      <c r="A326" s="12" t="n"/>
      <c r="B326" s="12" t="n"/>
      <c r="C326" s="2" t="n"/>
      <c r="D326" s="4" t="n"/>
      <c r="E326" s="12" t="n"/>
      <c r="F326" s="2" t="n"/>
      <c r="G326" s="12" t="n"/>
      <c r="H326" s="2">
        <f>IF(G326="","",IFERROR(VLOOKUP(G326,板块观察!A:U,14,FALSE),""))</f>
        <v/>
      </c>
      <c r="I326" s="2">
        <f>IF(G326="","",IFERROR(VLOOKUP(G326,板块观察!A:U,15,FALSE),""))</f>
        <v/>
      </c>
      <c r="J326" s="12" t="n"/>
      <c r="K326" s="12" t="n"/>
      <c r="L326" s="12" t="n"/>
      <c r="M326" s="14" t="n"/>
      <c r="N326" s="12" t="n"/>
      <c r="O326" s="2" t="n"/>
      <c r="P326" s="2" t="n"/>
      <c r="Q326" s="2" t="n"/>
      <c r="R326" s="12" t="n"/>
      <c r="S326" s="12" t="n"/>
      <c r="T326" s="12" t="n"/>
      <c r="U326" s="12" t="n"/>
      <c r="V326" s="12" t="n"/>
      <c r="W326" s="12" t="n"/>
      <c r="X326" s="12" t="n"/>
      <c r="Y326" s="2" t="n"/>
      <c r="Z326" s="5">
        <f>IF(A326="","",(COUNTA(A326:G326)+COUNTA(J326:Y326))/23)</f>
        <v/>
      </c>
      <c r="AA326" s="2">
        <f>IF(B326="","",WORKDAY(B326,3))</f>
        <v/>
      </c>
      <c r="AB326" s="2">
        <f>IF(B326="","",WORKDAY(B326,5))</f>
        <v/>
      </c>
      <c r="AC326" s="2">
        <f>IF(B326="","",WORKDAY(B326,10))</f>
        <v/>
      </c>
      <c r="AD326" s="2" t="n"/>
    </row>
    <row r="327">
      <c r="A327" s="12" t="n"/>
      <c r="B327" s="12" t="n"/>
      <c r="C327" s="2" t="n"/>
      <c r="D327" s="4" t="n"/>
      <c r="E327" s="12" t="n"/>
      <c r="F327" s="2" t="n"/>
      <c r="G327" s="12" t="n"/>
      <c r="H327" s="2">
        <f>IF(G327="","",IFERROR(VLOOKUP(G327,板块观察!A:U,14,FALSE),""))</f>
        <v/>
      </c>
      <c r="I327" s="2">
        <f>IF(G327="","",IFERROR(VLOOKUP(G327,板块观察!A:U,15,FALSE),""))</f>
        <v/>
      </c>
      <c r="J327" s="12" t="n"/>
      <c r="K327" s="12" t="n"/>
      <c r="L327" s="12" t="n"/>
      <c r="M327" s="14" t="n"/>
      <c r="N327" s="12" t="n"/>
      <c r="O327" s="2" t="n"/>
      <c r="P327" s="2" t="n"/>
      <c r="Q327" s="2" t="n"/>
      <c r="R327" s="12" t="n"/>
      <c r="S327" s="12" t="n"/>
      <c r="T327" s="12" t="n"/>
      <c r="U327" s="12" t="n"/>
      <c r="V327" s="12" t="n"/>
      <c r="W327" s="12" t="n"/>
      <c r="X327" s="12" t="n"/>
      <c r="Y327" s="2" t="n"/>
      <c r="Z327" s="5">
        <f>IF(A327="","",(COUNTA(A327:G327)+COUNTA(J327:Y327))/23)</f>
        <v/>
      </c>
      <c r="AA327" s="2">
        <f>IF(B327="","",WORKDAY(B327,3))</f>
        <v/>
      </c>
      <c r="AB327" s="2">
        <f>IF(B327="","",WORKDAY(B327,5))</f>
        <v/>
      </c>
      <c r="AC327" s="2">
        <f>IF(B327="","",WORKDAY(B327,10))</f>
        <v/>
      </c>
      <c r="AD327" s="2" t="n"/>
    </row>
    <row r="328">
      <c r="A328" s="12" t="n"/>
      <c r="B328" s="12" t="n"/>
      <c r="C328" s="2" t="n"/>
      <c r="D328" s="4" t="n"/>
      <c r="E328" s="12" t="n"/>
      <c r="F328" s="2" t="n"/>
      <c r="G328" s="12" t="n"/>
      <c r="H328" s="2">
        <f>IF(G328="","",IFERROR(VLOOKUP(G328,板块观察!A:U,14,FALSE),""))</f>
        <v/>
      </c>
      <c r="I328" s="2">
        <f>IF(G328="","",IFERROR(VLOOKUP(G328,板块观察!A:U,15,FALSE),""))</f>
        <v/>
      </c>
      <c r="J328" s="12" t="n"/>
      <c r="K328" s="12" t="n"/>
      <c r="L328" s="12" t="n"/>
      <c r="M328" s="14" t="n"/>
      <c r="N328" s="12" t="n"/>
      <c r="O328" s="2" t="n"/>
      <c r="P328" s="2" t="n"/>
      <c r="Q328" s="2" t="n"/>
      <c r="R328" s="12" t="n"/>
      <c r="S328" s="12" t="n"/>
      <c r="T328" s="12" t="n"/>
      <c r="U328" s="12" t="n"/>
      <c r="V328" s="12" t="n"/>
      <c r="W328" s="12" t="n"/>
      <c r="X328" s="12" t="n"/>
      <c r="Y328" s="2" t="n"/>
      <c r="Z328" s="5">
        <f>IF(A328="","",(COUNTA(A328:G328)+COUNTA(J328:Y328))/23)</f>
        <v/>
      </c>
      <c r="AA328" s="2">
        <f>IF(B328="","",WORKDAY(B328,3))</f>
        <v/>
      </c>
      <c r="AB328" s="2">
        <f>IF(B328="","",WORKDAY(B328,5))</f>
        <v/>
      </c>
      <c r="AC328" s="2">
        <f>IF(B328="","",WORKDAY(B328,10))</f>
        <v/>
      </c>
      <c r="AD328" s="2" t="n"/>
    </row>
    <row r="329">
      <c r="A329" s="12" t="n"/>
      <c r="B329" s="12" t="n"/>
      <c r="C329" s="2" t="n"/>
      <c r="D329" s="4" t="n"/>
      <c r="E329" s="12" t="n"/>
      <c r="F329" s="2" t="n"/>
      <c r="G329" s="12" t="n"/>
      <c r="H329" s="2">
        <f>IF(G329="","",IFERROR(VLOOKUP(G329,板块观察!A:U,14,FALSE),""))</f>
        <v/>
      </c>
      <c r="I329" s="2">
        <f>IF(G329="","",IFERROR(VLOOKUP(G329,板块观察!A:U,15,FALSE),""))</f>
        <v/>
      </c>
      <c r="J329" s="12" t="n"/>
      <c r="K329" s="12" t="n"/>
      <c r="L329" s="12" t="n"/>
      <c r="M329" s="14" t="n"/>
      <c r="N329" s="12" t="n"/>
      <c r="O329" s="2" t="n"/>
      <c r="P329" s="2" t="n"/>
      <c r="Q329" s="2" t="n"/>
      <c r="R329" s="12" t="n"/>
      <c r="S329" s="12" t="n"/>
      <c r="T329" s="12" t="n"/>
      <c r="U329" s="12" t="n"/>
      <c r="V329" s="12" t="n"/>
      <c r="W329" s="12" t="n"/>
      <c r="X329" s="12" t="n"/>
      <c r="Y329" s="2" t="n"/>
      <c r="Z329" s="5">
        <f>IF(A329="","",(COUNTA(A329:G329)+COUNTA(J329:Y329))/23)</f>
        <v/>
      </c>
      <c r="AA329" s="2">
        <f>IF(B329="","",WORKDAY(B329,3))</f>
        <v/>
      </c>
      <c r="AB329" s="2">
        <f>IF(B329="","",WORKDAY(B329,5))</f>
        <v/>
      </c>
      <c r="AC329" s="2">
        <f>IF(B329="","",WORKDAY(B329,10))</f>
        <v/>
      </c>
      <c r="AD329" s="2" t="n"/>
    </row>
    <row r="330">
      <c r="A330" s="12" t="n"/>
      <c r="B330" s="12" t="n"/>
      <c r="C330" s="2" t="n"/>
      <c r="D330" s="4" t="n"/>
      <c r="E330" s="12" t="n"/>
      <c r="F330" s="2" t="n"/>
      <c r="G330" s="12" t="n"/>
      <c r="H330" s="2">
        <f>IF(G330="","",IFERROR(VLOOKUP(G330,板块观察!A:U,14,FALSE),""))</f>
        <v/>
      </c>
      <c r="I330" s="2">
        <f>IF(G330="","",IFERROR(VLOOKUP(G330,板块观察!A:U,15,FALSE),""))</f>
        <v/>
      </c>
      <c r="J330" s="12" t="n"/>
      <c r="K330" s="12" t="n"/>
      <c r="L330" s="12" t="n"/>
      <c r="M330" s="14" t="n"/>
      <c r="N330" s="12" t="n"/>
      <c r="O330" s="2" t="n"/>
      <c r="P330" s="2" t="n"/>
      <c r="Q330" s="2" t="n"/>
      <c r="R330" s="12" t="n"/>
      <c r="S330" s="12" t="n"/>
      <c r="T330" s="12" t="n"/>
      <c r="U330" s="12" t="n"/>
      <c r="V330" s="12" t="n"/>
      <c r="W330" s="12" t="n"/>
      <c r="X330" s="12" t="n"/>
      <c r="Y330" s="2" t="n"/>
      <c r="Z330" s="5">
        <f>IF(A330="","",(COUNTA(A330:G330)+COUNTA(J330:Y330))/23)</f>
        <v/>
      </c>
      <c r="AA330" s="2">
        <f>IF(B330="","",WORKDAY(B330,3))</f>
        <v/>
      </c>
      <c r="AB330" s="2">
        <f>IF(B330="","",WORKDAY(B330,5))</f>
        <v/>
      </c>
      <c r="AC330" s="2">
        <f>IF(B330="","",WORKDAY(B330,10))</f>
        <v/>
      </c>
      <c r="AD330" s="2" t="n"/>
    </row>
    <row r="331">
      <c r="A331" s="12" t="n"/>
      <c r="B331" s="12" t="n"/>
      <c r="C331" s="2" t="n"/>
      <c r="D331" s="4" t="n"/>
      <c r="E331" s="12" t="n"/>
      <c r="F331" s="2" t="n"/>
      <c r="G331" s="12" t="n"/>
      <c r="H331" s="2">
        <f>IF(G331="","",IFERROR(VLOOKUP(G331,板块观察!A:U,14,FALSE),""))</f>
        <v/>
      </c>
      <c r="I331" s="2">
        <f>IF(G331="","",IFERROR(VLOOKUP(G331,板块观察!A:U,15,FALSE),""))</f>
        <v/>
      </c>
      <c r="J331" s="12" t="n"/>
      <c r="K331" s="12" t="n"/>
      <c r="L331" s="12" t="n"/>
      <c r="M331" s="14" t="n"/>
      <c r="N331" s="12" t="n"/>
      <c r="O331" s="2" t="n"/>
      <c r="P331" s="2" t="n"/>
      <c r="Q331" s="2" t="n"/>
      <c r="R331" s="12" t="n"/>
      <c r="S331" s="12" t="n"/>
      <c r="T331" s="12" t="n"/>
      <c r="U331" s="12" t="n"/>
      <c r="V331" s="12" t="n"/>
      <c r="W331" s="12" t="n"/>
      <c r="X331" s="12" t="n"/>
      <c r="Y331" s="2" t="n"/>
      <c r="Z331" s="5">
        <f>IF(A331="","",(COUNTA(A331:G331)+COUNTA(J331:Y331))/23)</f>
        <v/>
      </c>
      <c r="AA331" s="2">
        <f>IF(B331="","",WORKDAY(B331,3))</f>
        <v/>
      </c>
      <c r="AB331" s="2">
        <f>IF(B331="","",WORKDAY(B331,5))</f>
        <v/>
      </c>
      <c r="AC331" s="2">
        <f>IF(B331="","",WORKDAY(B331,10))</f>
        <v/>
      </c>
      <c r="AD331" s="2" t="n"/>
    </row>
    <row r="332">
      <c r="A332" s="12" t="n"/>
      <c r="B332" s="12" t="n"/>
      <c r="C332" s="2" t="n"/>
      <c r="D332" s="4" t="n"/>
      <c r="E332" s="12" t="n"/>
      <c r="F332" s="2" t="n"/>
      <c r="G332" s="12" t="n"/>
      <c r="H332" s="2">
        <f>IF(G332="","",IFERROR(VLOOKUP(G332,板块观察!A:U,14,FALSE),""))</f>
        <v/>
      </c>
      <c r="I332" s="2">
        <f>IF(G332="","",IFERROR(VLOOKUP(G332,板块观察!A:U,15,FALSE),""))</f>
        <v/>
      </c>
      <c r="J332" s="12" t="n"/>
      <c r="K332" s="12" t="n"/>
      <c r="L332" s="12" t="n"/>
      <c r="M332" s="14" t="n"/>
      <c r="N332" s="12" t="n"/>
      <c r="O332" s="2" t="n"/>
      <c r="P332" s="2" t="n"/>
      <c r="Q332" s="2" t="n"/>
      <c r="R332" s="12" t="n"/>
      <c r="S332" s="12" t="n"/>
      <c r="T332" s="12" t="n"/>
      <c r="U332" s="12" t="n"/>
      <c r="V332" s="12" t="n"/>
      <c r="W332" s="12" t="n"/>
      <c r="X332" s="12" t="n"/>
      <c r="Y332" s="2" t="n"/>
      <c r="Z332" s="5">
        <f>IF(A332="","",(COUNTA(A332:G332)+COUNTA(J332:Y332))/23)</f>
        <v/>
      </c>
      <c r="AA332" s="2">
        <f>IF(B332="","",WORKDAY(B332,3))</f>
        <v/>
      </c>
      <c r="AB332" s="2">
        <f>IF(B332="","",WORKDAY(B332,5))</f>
        <v/>
      </c>
      <c r="AC332" s="2">
        <f>IF(B332="","",WORKDAY(B332,10))</f>
        <v/>
      </c>
      <c r="AD332" s="2" t="n"/>
    </row>
    <row r="333">
      <c r="A333" s="12" t="n"/>
      <c r="B333" s="12" t="n"/>
      <c r="C333" s="2" t="n"/>
      <c r="D333" s="4" t="n"/>
      <c r="E333" s="12" t="n"/>
      <c r="F333" s="2" t="n"/>
      <c r="G333" s="12" t="n"/>
      <c r="H333" s="2">
        <f>IF(G333="","",IFERROR(VLOOKUP(G333,板块观察!A:U,14,FALSE),""))</f>
        <v/>
      </c>
      <c r="I333" s="2">
        <f>IF(G333="","",IFERROR(VLOOKUP(G333,板块观察!A:U,15,FALSE),""))</f>
        <v/>
      </c>
      <c r="J333" s="12" t="n"/>
      <c r="K333" s="12" t="n"/>
      <c r="L333" s="12" t="n"/>
      <c r="M333" s="14" t="n"/>
      <c r="N333" s="12" t="n"/>
      <c r="O333" s="2" t="n"/>
      <c r="P333" s="2" t="n"/>
      <c r="Q333" s="2" t="n"/>
      <c r="R333" s="12" t="n"/>
      <c r="S333" s="12" t="n"/>
      <c r="T333" s="12" t="n"/>
      <c r="U333" s="12" t="n"/>
      <c r="V333" s="12" t="n"/>
      <c r="W333" s="12" t="n"/>
      <c r="X333" s="12" t="n"/>
      <c r="Y333" s="2" t="n"/>
      <c r="Z333" s="5">
        <f>IF(A333="","",(COUNTA(A333:G333)+COUNTA(J333:Y333))/23)</f>
        <v/>
      </c>
      <c r="AA333" s="2">
        <f>IF(B333="","",WORKDAY(B333,3))</f>
        <v/>
      </c>
      <c r="AB333" s="2">
        <f>IF(B333="","",WORKDAY(B333,5))</f>
        <v/>
      </c>
      <c r="AC333" s="2">
        <f>IF(B333="","",WORKDAY(B333,10))</f>
        <v/>
      </c>
      <c r="AD333" s="2" t="n"/>
    </row>
    <row r="334">
      <c r="A334" s="12" t="n"/>
      <c r="B334" s="12" t="n"/>
      <c r="C334" s="2" t="n"/>
      <c r="D334" s="4" t="n"/>
      <c r="E334" s="12" t="n"/>
      <c r="F334" s="2" t="n"/>
      <c r="G334" s="12" t="n"/>
      <c r="H334" s="2">
        <f>IF(G334="","",IFERROR(VLOOKUP(G334,板块观察!A:U,14,FALSE),""))</f>
        <v/>
      </c>
      <c r="I334" s="2">
        <f>IF(G334="","",IFERROR(VLOOKUP(G334,板块观察!A:U,15,FALSE),""))</f>
        <v/>
      </c>
      <c r="J334" s="12" t="n"/>
      <c r="K334" s="12" t="n"/>
      <c r="L334" s="12" t="n"/>
      <c r="M334" s="14" t="n"/>
      <c r="N334" s="12" t="n"/>
      <c r="O334" s="2" t="n"/>
      <c r="P334" s="2" t="n"/>
      <c r="Q334" s="2" t="n"/>
      <c r="R334" s="12" t="n"/>
      <c r="S334" s="12" t="n"/>
      <c r="T334" s="12" t="n"/>
      <c r="U334" s="12" t="n"/>
      <c r="V334" s="12" t="n"/>
      <c r="W334" s="12" t="n"/>
      <c r="X334" s="12" t="n"/>
      <c r="Y334" s="2" t="n"/>
      <c r="Z334" s="5">
        <f>IF(A334="","",(COUNTA(A334:G334)+COUNTA(J334:Y334))/23)</f>
        <v/>
      </c>
      <c r="AA334" s="2">
        <f>IF(B334="","",WORKDAY(B334,3))</f>
        <v/>
      </c>
      <c r="AB334" s="2">
        <f>IF(B334="","",WORKDAY(B334,5))</f>
        <v/>
      </c>
      <c r="AC334" s="2">
        <f>IF(B334="","",WORKDAY(B334,10))</f>
        <v/>
      </c>
      <c r="AD334" s="2" t="n"/>
    </row>
    <row r="335">
      <c r="A335" s="12" t="n"/>
      <c r="B335" s="12" t="n"/>
      <c r="C335" s="2" t="n"/>
      <c r="D335" s="4" t="n"/>
      <c r="E335" s="12" t="n"/>
      <c r="F335" s="2" t="n"/>
      <c r="G335" s="12" t="n"/>
      <c r="H335" s="2">
        <f>IF(G335="","",IFERROR(VLOOKUP(G335,板块观察!A:U,14,FALSE),""))</f>
        <v/>
      </c>
      <c r="I335" s="2">
        <f>IF(G335="","",IFERROR(VLOOKUP(G335,板块观察!A:U,15,FALSE),""))</f>
        <v/>
      </c>
      <c r="J335" s="12" t="n"/>
      <c r="K335" s="12" t="n"/>
      <c r="L335" s="12" t="n"/>
      <c r="M335" s="14" t="n"/>
      <c r="N335" s="12" t="n"/>
      <c r="O335" s="2" t="n"/>
      <c r="P335" s="2" t="n"/>
      <c r="Q335" s="2" t="n"/>
      <c r="R335" s="12" t="n"/>
      <c r="S335" s="12" t="n"/>
      <c r="T335" s="12" t="n"/>
      <c r="U335" s="12" t="n"/>
      <c r="V335" s="12" t="n"/>
      <c r="W335" s="12" t="n"/>
      <c r="X335" s="12" t="n"/>
      <c r="Y335" s="2" t="n"/>
      <c r="Z335" s="5">
        <f>IF(A335="","",(COUNTA(A335:G335)+COUNTA(J335:Y335))/23)</f>
        <v/>
      </c>
      <c r="AA335" s="2">
        <f>IF(B335="","",WORKDAY(B335,3))</f>
        <v/>
      </c>
      <c r="AB335" s="2">
        <f>IF(B335="","",WORKDAY(B335,5))</f>
        <v/>
      </c>
      <c r="AC335" s="2">
        <f>IF(B335="","",WORKDAY(B335,10))</f>
        <v/>
      </c>
      <c r="AD335" s="2" t="n"/>
    </row>
    <row r="336">
      <c r="A336" s="12" t="n"/>
      <c r="B336" s="12" t="n"/>
      <c r="C336" s="2" t="n"/>
      <c r="D336" s="4" t="n"/>
      <c r="E336" s="12" t="n"/>
      <c r="F336" s="2" t="n"/>
      <c r="G336" s="12" t="n"/>
      <c r="H336" s="2">
        <f>IF(G336="","",IFERROR(VLOOKUP(G336,板块观察!A:U,14,FALSE),""))</f>
        <v/>
      </c>
      <c r="I336" s="2">
        <f>IF(G336="","",IFERROR(VLOOKUP(G336,板块观察!A:U,15,FALSE),""))</f>
        <v/>
      </c>
      <c r="J336" s="12" t="n"/>
      <c r="K336" s="12" t="n"/>
      <c r="L336" s="12" t="n"/>
      <c r="M336" s="14" t="n"/>
      <c r="N336" s="12" t="n"/>
      <c r="O336" s="2" t="n"/>
      <c r="P336" s="2" t="n"/>
      <c r="Q336" s="2" t="n"/>
      <c r="R336" s="12" t="n"/>
      <c r="S336" s="12" t="n"/>
      <c r="T336" s="12" t="n"/>
      <c r="U336" s="12" t="n"/>
      <c r="V336" s="12" t="n"/>
      <c r="W336" s="12" t="n"/>
      <c r="X336" s="12" t="n"/>
      <c r="Y336" s="2" t="n"/>
      <c r="Z336" s="5">
        <f>IF(A336="","",(COUNTA(A336:G336)+COUNTA(J336:Y336))/23)</f>
        <v/>
      </c>
      <c r="AA336" s="2">
        <f>IF(B336="","",WORKDAY(B336,3))</f>
        <v/>
      </c>
      <c r="AB336" s="2">
        <f>IF(B336="","",WORKDAY(B336,5))</f>
        <v/>
      </c>
      <c r="AC336" s="2">
        <f>IF(B336="","",WORKDAY(B336,10))</f>
        <v/>
      </c>
      <c r="AD336" s="2" t="n"/>
    </row>
    <row r="337">
      <c r="A337" s="12" t="n"/>
      <c r="B337" s="12" t="n"/>
      <c r="C337" s="2" t="n"/>
      <c r="D337" s="4" t="n"/>
      <c r="E337" s="12" t="n"/>
      <c r="F337" s="2" t="n"/>
      <c r="G337" s="12" t="n"/>
      <c r="H337" s="2">
        <f>IF(G337="","",IFERROR(VLOOKUP(G337,板块观察!A:U,14,FALSE),""))</f>
        <v/>
      </c>
      <c r="I337" s="2">
        <f>IF(G337="","",IFERROR(VLOOKUP(G337,板块观察!A:U,15,FALSE),""))</f>
        <v/>
      </c>
      <c r="J337" s="12" t="n"/>
      <c r="K337" s="12" t="n"/>
      <c r="L337" s="12" t="n"/>
      <c r="M337" s="14" t="n"/>
      <c r="N337" s="12" t="n"/>
      <c r="O337" s="2" t="n"/>
      <c r="P337" s="2" t="n"/>
      <c r="Q337" s="2" t="n"/>
      <c r="R337" s="12" t="n"/>
      <c r="S337" s="12" t="n"/>
      <c r="T337" s="12" t="n"/>
      <c r="U337" s="12" t="n"/>
      <c r="V337" s="12" t="n"/>
      <c r="W337" s="12" t="n"/>
      <c r="X337" s="12" t="n"/>
      <c r="Y337" s="2" t="n"/>
      <c r="Z337" s="5">
        <f>IF(A337="","",(COUNTA(A337:G337)+COUNTA(J337:Y337))/23)</f>
        <v/>
      </c>
      <c r="AA337" s="2">
        <f>IF(B337="","",WORKDAY(B337,3))</f>
        <v/>
      </c>
      <c r="AB337" s="2">
        <f>IF(B337="","",WORKDAY(B337,5))</f>
        <v/>
      </c>
      <c r="AC337" s="2">
        <f>IF(B337="","",WORKDAY(B337,10))</f>
        <v/>
      </c>
      <c r="AD337" s="2" t="n"/>
    </row>
    <row r="338">
      <c r="A338" s="12" t="n"/>
      <c r="B338" s="12" t="n"/>
      <c r="C338" s="2" t="n"/>
      <c r="D338" s="4" t="n"/>
      <c r="E338" s="12" t="n"/>
      <c r="F338" s="2" t="n"/>
      <c r="G338" s="12" t="n"/>
      <c r="H338" s="2">
        <f>IF(G338="","",IFERROR(VLOOKUP(G338,板块观察!A:U,14,FALSE),""))</f>
        <v/>
      </c>
      <c r="I338" s="2">
        <f>IF(G338="","",IFERROR(VLOOKUP(G338,板块观察!A:U,15,FALSE),""))</f>
        <v/>
      </c>
      <c r="J338" s="12" t="n"/>
      <c r="K338" s="12" t="n"/>
      <c r="L338" s="12" t="n"/>
      <c r="M338" s="14" t="n"/>
      <c r="N338" s="12" t="n"/>
      <c r="O338" s="2" t="n"/>
      <c r="P338" s="2" t="n"/>
      <c r="Q338" s="2" t="n"/>
      <c r="R338" s="12" t="n"/>
      <c r="S338" s="12" t="n"/>
      <c r="T338" s="12" t="n"/>
      <c r="U338" s="12" t="n"/>
      <c r="V338" s="12" t="n"/>
      <c r="W338" s="12" t="n"/>
      <c r="X338" s="12" t="n"/>
      <c r="Y338" s="2" t="n"/>
      <c r="Z338" s="5">
        <f>IF(A338="","",(COUNTA(A338:G338)+COUNTA(J338:Y338))/23)</f>
        <v/>
      </c>
      <c r="AA338" s="2">
        <f>IF(B338="","",WORKDAY(B338,3))</f>
        <v/>
      </c>
      <c r="AB338" s="2">
        <f>IF(B338="","",WORKDAY(B338,5))</f>
        <v/>
      </c>
      <c r="AC338" s="2">
        <f>IF(B338="","",WORKDAY(B338,10))</f>
        <v/>
      </c>
      <c r="AD338" s="2" t="n"/>
    </row>
    <row r="339">
      <c r="A339" s="12" t="n"/>
      <c r="B339" s="12" t="n"/>
      <c r="C339" s="2" t="n"/>
      <c r="D339" s="4" t="n"/>
      <c r="E339" s="12" t="n"/>
      <c r="F339" s="2" t="n"/>
      <c r="G339" s="12" t="n"/>
      <c r="H339" s="2">
        <f>IF(G339="","",IFERROR(VLOOKUP(G339,板块观察!A:U,14,FALSE),""))</f>
        <v/>
      </c>
      <c r="I339" s="2">
        <f>IF(G339="","",IFERROR(VLOOKUP(G339,板块观察!A:U,15,FALSE),""))</f>
        <v/>
      </c>
      <c r="J339" s="12" t="n"/>
      <c r="K339" s="12" t="n"/>
      <c r="L339" s="12" t="n"/>
      <c r="M339" s="14" t="n"/>
      <c r="N339" s="12" t="n"/>
      <c r="O339" s="2" t="n"/>
      <c r="P339" s="2" t="n"/>
      <c r="Q339" s="2" t="n"/>
      <c r="R339" s="12" t="n"/>
      <c r="S339" s="12" t="n"/>
      <c r="T339" s="12" t="n"/>
      <c r="U339" s="12" t="n"/>
      <c r="V339" s="12" t="n"/>
      <c r="W339" s="12" t="n"/>
      <c r="X339" s="12" t="n"/>
      <c r="Y339" s="2" t="n"/>
      <c r="Z339" s="5">
        <f>IF(A339="","",(COUNTA(A339:G339)+COUNTA(J339:Y339))/23)</f>
        <v/>
      </c>
      <c r="AA339" s="2">
        <f>IF(B339="","",WORKDAY(B339,3))</f>
        <v/>
      </c>
      <c r="AB339" s="2">
        <f>IF(B339="","",WORKDAY(B339,5))</f>
        <v/>
      </c>
      <c r="AC339" s="2">
        <f>IF(B339="","",WORKDAY(B339,10))</f>
        <v/>
      </c>
      <c r="AD339" s="2" t="n"/>
    </row>
    <row r="340">
      <c r="A340" s="12" t="n"/>
      <c r="B340" s="12" t="n"/>
      <c r="C340" s="2" t="n"/>
      <c r="D340" s="4" t="n"/>
      <c r="E340" s="12" t="n"/>
      <c r="F340" s="2" t="n"/>
      <c r="G340" s="12" t="n"/>
      <c r="H340" s="2">
        <f>IF(G340="","",IFERROR(VLOOKUP(G340,板块观察!A:U,14,FALSE),""))</f>
        <v/>
      </c>
      <c r="I340" s="2">
        <f>IF(G340="","",IFERROR(VLOOKUP(G340,板块观察!A:U,15,FALSE),""))</f>
        <v/>
      </c>
      <c r="J340" s="12" t="n"/>
      <c r="K340" s="12" t="n"/>
      <c r="L340" s="12" t="n"/>
      <c r="M340" s="14" t="n"/>
      <c r="N340" s="12" t="n"/>
      <c r="O340" s="2" t="n"/>
      <c r="P340" s="2" t="n"/>
      <c r="Q340" s="2" t="n"/>
      <c r="R340" s="12" t="n"/>
      <c r="S340" s="12" t="n"/>
      <c r="T340" s="12" t="n"/>
      <c r="U340" s="12" t="n"/>
      <c r="V340" s="12" t="n"/>
      <c r="W340" s="12" t="n"/>
      <c r="X340" s="12" t="n"/>
      <c r="Y340" s="2" t="n"/>
      <c r="Z340" s="5">
        <f>IF(A340="","",(COUNTA(A340:G340)+COUNTA(J340:Y340))/23)</f>
        <v/>
      </c>
      <c r="AA340" s="2">
        <f>IF(B340="","",WORKDAY(B340,3))</f>
        <v/>
      </c>
      <c r="AB340" s="2">
        <f>IF(B340="","",WORKDAY(B340,5))</f>
        <v/>
      </c>
      <c r="AC340" s="2">
        <f>IF(B340="","",WORKDAY(B340,10))</f>
        <v/>
      </c>
      <c r="AD340" s="2" t="n"/>
    </row>
    <row r="341">
      <c r="A341" s="12" t="n"/>
      <c r="B341" s="12" t="n"/>
      <c r="C341" s="2" t="n"/>
      <c r="D341" s="4" t="n"/>
      <c r="E341" s="12" t="n"/>
      <c r="F341" s="2" t="n"/>
      <c r="G341" s="12" t="n"/>
      <c r="H341" s="2">
        <f>IF(G341="","",IFERROR(VLOOKUP(G341,板块观察!A:U,14,FALSE),""))</f>
        <v/>
      </c>
      <c r="I341" s="2">
        <f>IF(G341="","",IFERROR(VLOOKUP(G341,板块观察!A:U,15,FALSE),""))</f>
        <v/>
      </c>
      <c r="J341" s="12" t="n"/>
      <c r="K341" s="12" t="n"/>
      <c r="L341" s="12" t="n"/>
      <c r="M341" s="14" t="n"/>
      <c r="N341" s="12" t="n"/>
      <c r="O341" s="2" t="n"/>
      <c r="P341" s="2" t="n"/>
      <c r="Q341" s="2" t="n"/>
      <c r="R341" s="12" t="n"/>
      <c r="S341" s="12" t="n"/>
      <c r="T341" s="12" t="n"/>
      <c r="U341" s="12" t="n"/>
      <c r="V341" s="12" t="n"/>
      <c r="W341" s="12" t="n"/>
      <c r="X341" s="12" t="n"/>
      <c r="Y341" s="2" t="n"/>
      <c r="Z341" s="5">
        <f>IF(A341="","",(COUNTA(A341:G341)+COUNTA(J341:Y341))/23)</f>
        <v/>
      </c>
      <c r="AA341" s="2">
        <f>IF(B341="","",WORKDAY(B341,3))</f>
        <v/>
      </c>
      <c r="AB341" s="2">
        <f>IF(B341="","",WORKDAY(B341,5))</f>
        <v/>
      </c>
      <c r="AC341" s="2">
        <f>IF(B341="","",WORKDAY(B341,10))</f>
        <v/>
      </c>
      <c r="AD341" s="2" t="n"/>
    </row>
    <row r="342">
      <c r="A342" s="12" t="n"/>
      <c r="B342" s="12" t="n"/>
      <c r="C342" s="2" t="n"/>
      <c r="D342" s="4" t="n"/>
      <c r="E342" s="12" t="n"/>
      <c r="F342" s="2" t="n"/>
      <c r="G342" s="12" t="n"/>
      <c r="H342" s="2">
        <f>IF(G342="","",IFERROR(VLOOKUP(G342,板块观察!A:U,14,FALSE),""))</f>
        <v/>
      </c>
      <c r="I342" s="2">
        <f>IF(G342="","",IFERROR(VLOOKUP(G342,板块观察!A:U,15,FALSE),""))</f>
        <v/>
      </c>
      <c r="J342" s="12" t="n"/>
      <c r="K342" s="12" t="n"/>
      <c r="L342" s="12" t="n"/>
      <c r="M342" s="14" t="n"/>
      <c r="N342" s="12" t="n"/>
      <c r="O342" s="2" t="n"/>
      <c r="P342" s="2" t="n"/>
      <c r="Q342" s="2" t="n"/>
      <c r="R342" s="12" t="n"/>
      <c r="S342" s="12" t="n"/>
      <c r="T342" s="12" t="n"/>
      <c r="U342" s="12" t="n"/>
      <c r="V342" s="12" t="n"/>
      <c r="W342" s="12" t="n"/>
      <c r="X342" s="12" t="n"/>
      <c r="Y342" s="2" t="n"/>
      <c r="Z342" s="5">
        <f>IF(A342="","",(COUNTA(A342:G342)+COUNTA(J342:Y342))/23)</f>
        <v/>
      </c>
      <c r="AA342" s="2">
        <f>IF(B342="","",WORKDAY(B342,3))</f>
        <v/>
      </c>
      <c r="AB342" s="2">
        <f>IF(B342="","",WORKDAY(B342,5))</f>
        <v/>
      </c>
      <c r="AC342" s="2">
        <f>IF(B342="","",WORKDAY(B342,10))</f>
        <v/>
      </c>
      <c r="AD342" s="2" t="n"/>
    </row>
    <row r="343">
      <c r="A343" s="12" t="n"/>
      <c r="B343" s="12" t="n"/>
      <c r="C343" s="2" t="n"/>
      <c r="D343" s="4" t="n"/>
      <c r="E343" s="12" t="n"/>
      <c r="F343" s="2" t="n"/>
      <c r="G343" s="12" t="n"/>
      <c r="H343" s="2">
        <f>IF(G343="","",IFERROR(VLOOKUP(G343,板块观察!A:U,14,FALSE),""))</f>
        <v/>
      </c>
      <c r="I343" s="2">
        <f>IF(G343="","",IFERROR(VLOOKUP(G343,板块观察!A:U,15,FALSE),""))</f>
        <v/>
      </c>
      <c r="J343" s="12" t="n"/>
      <c r="K343" s="12" t="n"/>
      <c r="L343" s="12" t="n"/>
      <c r="M343" s="14" t="n"/>
      <c r="N343" s="12" t="n"/>
      <c r="O343" s="2" t="n"/>
      <c r="P343" s="2" t="n"/>
      <c r="Q343" s="2" t="n"/>
      <c r="R343" s="12" t="n"/>
      <c r="S343" s="12" t="n"/>
      <c r="T343" s="12" t="n"/>
      <c r="U343" s="12" t="n"/>
      <c r="V343" s="12" t="n"/>
      <c r="W343" s="12" t="n"/>
      <c r="X343" s="12" t="n"/>
      <c r="Y343" s="2" t="n"/>
      <c r="Z343" s="5">
        <f>IF(A343="","",(COUNTA(A343:G343)+COUNTA(J343:Y343))/23)</f>
        <v/>
      </c>
      <c r="AA343" s="2">
        <f>IF(B343="","",WORKDAY(B343,3))</f>
        <v/>
      </c>
      <c r="AB343" s="2">
        <f>IF(B343="","",WORKDAY(B343,5))</f>
        <v/>
      </c>
      <c r="AC343" s="2">
        <f>IF(B343="","",WORKDAY(B343,10))</f>
        <v/>
      </c>
      <c r="AD343" s="2" t="n"/>
    </row>
    <row r="344">
      <c r="A344" s="12" t="n"/>
      <c r="B344" s="12" t="n"/>
      <c r="C344" s="2" t="n"/>
      <c r="D344" s="4" t="n"/>
      <c r="E344" s="12" t="n"/>
      <c r="F344" s="2" t="n"/>
      <c r="G344" s="12" t="n"/>
      <c r="H344" s="2">
        <f>IF(G344="","",IFERROR(VLOOKUP(G344,板块观察!A:U,14,FALSE),""))</f>
        <v/>
      </c>
      <c r="I344" s="2">
        <f>IF(G344="","",IFERROR(VLOOKUP(G344,板块观察!A:U,15,FALSE),""))</f>
        <v/>
      </c>
      <c r="J344" s="12" t="n"/>
      <c r="K344" s="12" t="n"/>
      <c r="L344" s="12" t="n"/>
      <c r="M344" s="14" t="n"/>
      <c r="N344" s="12" t="n"/>
      <c r="O344" s="2" t="n"/>
      <c r="P344" s="2" t="n"/>
      <c r="Q344" s="2" t="n"/>
      <c r="R344" s="12" t="n"/>
      <c r="S344" s="12" t="n"/>
      <c r="T344" s="12" t="n"/>
      <c r="U344" s="12" t="n"/>
      <c r="V344" s="12" t="n"/>
      <c r="W344" s="12" t="n"/>
      <c r="X344" s="12" t="n"/>
      <c r="Y344" s="2" t="n"/>
      <c r="Z344" s="5">
        <f>IF(A344="","",(COUNTA(A344:G344)+COUNTA(J344:Y344))/23)</f>
        <v/>
      </c>
      <c r="AA344" s="2">
        <f>IF(B344="","",WORKDAY(B344,3))</f>
        <v/>
      </c>
      <c r="AB344" s="2">
        <f>IF(B344="","",WORKDAY(B344,5))</f>
        <v/>
      </c>
      <c r="AC344" s="2">
        <f>IF(B344="","",WORKDAY(B344,10))</f>
        <v/>
      </c>
      <c r="AD344" s="2" t="n"/>
    </row>
    <row r="345">
      <c r="A345" s="12" t="n"/>
      <c r="B345" s="12" t="n"/>
      <c r="C345" s="2" t="n"/>
      <c r="D345" s="4" t="n"/>
      <c r="E345" s="12" t="n"/>
      <c r="F345" s="2" t="n"/>
      <c r="G345" s="12" t="n"/>
      <c r="H345" s="2">
        <f>IF(G345="","",IFERROR(VLOOKUP(G345,板块观察!A:U,14,FALSE),""))</f>
        <v/>
      </c>
      <c r="I345" s="2">
        <f>IF(G345="","",IFERROR(VLOOKUP(G345,板块观察!A:U,15,FALSE),""))</f>
        <v/>
      </c>
      <c r="J345" s="12" t="n"/>
      <c r="K345" s="12" t="n"/>
      <c r="L345" s="12" t="n"/>
      <c r="M345" s="14" t="n"/>
      <c r="N345" s="12" t="n"/>
      <c r="O345" s="2" t="n"/>
      <c r="P345" s="2" t="n"/>
      <c r="Q345" s="2" t="n"/>
      <c r="R345" s="12" t="n"/>
      <c r="S345" s="12" t="n"/>
      <c r="T345" s="12" t="n"/>
      <c r="U345" s="12" t="n"/>
      <c r="V345" s="12" t="n"/>
      <c r="W345" s="12" t="n"/>
      <c r="X345" s="12" t="n"/>
      <c r="Y345" s="2" t="n"/>
      <c r="Z345" s="5">
        <f>IF(A345="","",(COUNTA(A345:G345)+COUNTA(J345:Y345))/23)</f>
        <v/>
      </c>
      <c r="AA345" s="2">
        <f>IF(B345="","",WORKDAY(B345,3))</f>
        <v/>
      </c>
      <c r="AB345" s="2">
        <f>IF(B345="","",WORKDAY(B345,5))</f>
        <v/>
      </c>
      <c r="AC345" s="2">
        <f>IF(B345="","",WORKDAY(B345,10))</f>
        <v/>
      </c>
      <c r="AD345" s="2" t="n"/>
    </row>
    <row r="346">
      <c r="A346" s="12" t="n"/>
      <c r="B346" s="12" t="n"/>
      <c r="C346" s="2" t="n"/>
      <c r="D346" s="4" t="n"/>
      <c r="E346" s="12" t="n"/>
      <c r="F346" s="2" t="n"/>
      <c r="G346" s="12" t="n"/>
      <c r="H346" s="2">
        <f>IF(G346="","",IFERROR(VLOOKUP(G346,板块观察!A:U,14,FALSE),""))</f>
        <v/>
      </c>
      <c r="I346" s="2">
        <f>IF(G346="","",IFERROR(VLOOKUP(G346,板块观察!A:U,15,FALSE),""))</f>
        <v/>
      </c>
      <c r="J346" s="12" t="n"/>
      <c r="K346" s="12" t="n"/>
      <c r="L346" s="12" t="n"/>
      <c r="M346" s="14" t="n"/>
      <c r="N346" s="12" t="n"/>
      <c r="O346" s="2" t="n"/>
      <c r="P346" s="2" t="n"/>
      <c r="Q346" s="2" t="n"/>
      <c r="R346" s="12" t="n"/>
      <c r="S346" s="12" t="n"/>
      <c r="T346" s="12" t="n"/>
      <c r="U346" s="12" t="n"/>
      <c r="V346" s="12" t="n"/>
      <c r="W346" s="12" t="n"/>
      <c r="X346" s="12" t="n"/>
      <c r="Y346" s="2" t="n"/>
      <c r="Z346" s="5">
        <f>IF(A346="","",(COUNTA(A346:G346)+COUNTA(J346:Y346))/23)</f>
        <v/>
      </c>
      <c r="AA346" s="2">
        <f>IF(B346="","",WORKDAY(B346,3))</f>
        <v/>
      </c>
      <c r="AB346" s="2">
        <f>IF(B346="","",WORKDAY(B346,5))</f>
        <v/>
      </c>
      <c r="AC346" s="2">
        <f>IF(B346="","",WORKDAY(B346,10))</f>
        <v/>
      </c>
      <c r="AD346" s="2" t="n"/>
    </row>
    <row r="347">
      <c r="A347" s="12" t="n"/>
      <c r="B347" s="12" t="n"/>
      <c r="C347" s="2" t="n"/>
      <c r="D347" s="4" t="n"/>
      <c r="E347" s="12" t="n"/>
      <c r="F347" s="2" t="n"/>
      <c r="G347" s="12" t="n"/>
      <c r="H347" s="2">
        <f>IF(G347="","",IFERROR(VLOOKUP(G347,板块观察!A:U,14,FALSE),""))</f>
        <v/>
      </c>
      <c r="I347" s="2">
        <f>IF(G347="","",IFERROR(VLOOKUP(G347,板块观察!A:U,15,FALSE),""))</f>
        <v/>
      </c>
      <c r="J347" s="12" t="n"/>
      <c r="K347" s="12" t="n"/>
      <c r="L347" s="12" t="n"/>
      <c r="M347" s="14" t="n"/>
      <c r="N347" s="12" t="n"/>
      <c r="O347" s="2" t="n"/>
      <c r="P347" s="2" t="n"/>
      <c r="Q347" s="2" t="n"/>
      <c r="R347" s="12" t="n"/>
      <c r="S347" s="12" t="n"/>
      <c r="T347" s="12" t="n"/>
      <c r="U347" s="12" t="n"/>
      <c r="V347" s="12" t="n"/>
      <c r="W347" s="12" t="n"/>
      <c r="X347" s="12" t="n"/>
      <c r="Y347" s="2" t="n"/>
      <c r="Z347" s="5">
        <f>IF(A347="","",(COUNTA(A347:G347)+COUNTA(J347:Y347))/23)</f>
        <v/>
      </c>
      <c r="AA347" s="2">
        <f>IF(B347="","",WORKDAY(B347,3))</f>
        <v/>
      </c>
      <c r="AB347" s="2">
        <f>IF(B347="","",WORKDAY(B347,5))</f>
        <v/>
      </c>
      <c r="AC347" s="2">
        <f>IF(B347="","",WORKDAY(B347,10))</f>
        <v/>
      </c>
      <c r="AD347" s="2" t="n"/>
    </row>
    <row r="348">
      <c r="A348" s="12" t="n"/>
      <c r="B348" s="12" t="n"/>
      <c r="C348" s="2" t="n"/>
      <c r="D348" s="4" t="n"/>
      <c r="E348" s="12" t="n"/>
      <c r="F348" s="2" t="n"/>
      <c r="G348" s="12" t="n"/>
      <c r="H348" s="2">
        <f>IF(G348="","",IFERROR(VLOOKUP(G348,板块观察!A:U,14,FALSE),""))</f>
        <v/>
      </c>
      <c r="I348" s="2">
        <f>IF(G348="","",IFERROR(VLOOKUP(G348,板块观察!A:U,15,FALSE),""))</f>
        <v/>
      </c>
      <c r="J348" s="12" t="n"/>
      <c r="K348" s="12" t="n"/>
      <c r="L348" s="12" t="n"/>
      <c r="M348" s="14" t="n"/>
      <c r="N348" s="12" t="n"/>
      <c r="O348" s="2" t="n"/>
      <c r="P348" s="2" t="n"/>
      <c r="Q348" s="2" t="n"/>
      <c r="R348" s="12" t="n"/>
      <c r="S348" s="12" t="n"/>
      <c r="T348" s="12" t="n"/>
      <c r="U348" s="12" t="n"/>
      <c r="V348" s="12" t="n"/>
      <c r="W348" s="12" t="n"/>
      <c r="X348" s="12" t="n"/>
      <c r="Y348" s="2" t="n"/>
      <c r="Z348" s="5">
        <f>IF(A348="","",(COUNTA(A348:G348)+COUNTA(J348:Y348))/23)</f>
        <v/>
      </c>
      <c r="AA348" s="2">
        <f>IF(B348="","",WORKDAY(B348,3))</f>
        <v/>
      </c>
      <c r="AB348" s="2">
        <f>IF(B348="","",WORKDAY(B348,5))</f>
        <v/>
      </c>
      <c r="AC348" s="2">
        <f>IF(B348="","",WORKDAY(B348,10))</f>
        <v/>
      </c>
      <c r="AD348" s="2" t="n"/>
    </row>
    <row r="349">
      <c r="A349" s="12" t="n"/>
      <c r="B349" s="12" t="n"/>
      <c r="C349" s="2" t="n"/>
      <c r="D349" s="4" t="n"/>
      <c r="E349" s="12" t="n"/>
      <c r="F349" s="2" t="n"/>
      <c r="G349" s="12" t="n"/>
      <c r="H349" s="2">
        <f>IF(G349="","",IFERROR(VLOOKUP(G349,板块观察!A:U,14,FALSE),""))</f>
        <v/>
      </c>
      <c r="I349" s="2">
        <f>IF(G349="","",IFERROR(VLOOKUP(G349,板块观察!A:U,15,FALSE),""))</f>
        <v/>
      </c>
      <c r="J349" s="12" t="n"/>
      <c r="K349" s="12" t="n"/>
      <c r="L349" s="12" t="n"/>
      <c r="M349" s="14" t="n"/>
      <c r="N349" s="12" t="n"/>
      <c r="O349" s="2" t="n"/>
      <c r="P349" s="2" t="n"/>
      <c r="Q349" s="2" t="n"/>
      <c r="R349" s="12" t="n"/>
      <c r="S349" s="12" t="n"/>
      <c r="T349" s="12" t="n"/>
      <c r="U349" s="12" t="n"/>
      <c r="V349" s="12" t="n"/>
      <c r="W349" s="12" t="n"/>
      <c r="X349" s="12" t="n"/>
      <c r="Y349" s="2" t="n"/>
      <c r="Z349" s="5">
        <f>IF(A349="","",(COUNTA(A349:G349)+COUNTA(J349:Y349))/23)</f>
        <v/>
      </c>
      <c r="AA349" s="2">
        <f>IF(B349="","",WORKDAY(B349,3))</f>
        <v/>
      </c>
      <c r="AB349" s="2">
        <f>IF(B349="","",WORKDAY(B349,5))</f>
        <v/>
      </c>
      <c r="AC349" s="2">
        <f>IF(B349="","",WORKDAY(B349,10))</f>
        <v/>
      </c>
      <c r="AD349" s="2" t="n"/>
    </row>
    <row r="350">
      <c r="A350" s="12" t="n"/>
      <c r="B350" s="12" t="n"/>
      <c r="C350" s="2" t="n"/>
      <c r="D350" s="4" t="n"/>
      <c r="E350" s="12" t="n"/>
      <c r="F350" s="2" t="n"/>
      <c r="G350" s="12" t="n"/>
      <c r="H350" s="2">
        <f>IF(G350="","",IFERROR(VLOOKUP(G350,板块观察!A:U,14,FALSE),""))</f>
        <v/>
      </c>
      <c r="I350" s="2">
        <f>IF(G350="","",IFERROR(VLOOKUP(G350,板块观察!A:U,15,FALSE),""))</f>
        <v/>
      </c>
      <c r="J350" s="12" t="n"/>
      <c r="K350" s="12" t="n"/>
      <c r="L350" s="12" t="n"/>
      <c r="M350" s="14" t="n"/>
      <c r="N350" s="12" t="n"/>
      <c r="O350" s="2" t="n"/>
      <c r="P350" s="2" t="n"/>
      <c r="Q350" s="2" t="n"/>
      <c r="R350" s="12" t="n"/>
      <c r="S350" s="12" t="n"/>
      <c r="T350" s="12" t="n"/>
      <c r="U350" s="12" t="n"/>
      <c r="V350" s="12" t="n"/>
      <c r="W350" s="12" t="n"/>
      <c r="X350" s="12" t="n"/>
      <c r="Y350" s="2" t="n"/>
      <c r="Z350" s="5">
        <f>IF(A350="","",(COUNTA(A350:G350)+COUNTA(J350:Y350))/23)</f>
        <v/>
      </c>
      <c r="AA350" s="2">
        <f>IF(B350="","",WORKDAY(B350,3))</f>
        <v/>
      </c>
      <c r="AB350" s="2">
        <f>IF(B350="","",WORKDAY(B350,5))</f>
        <v/>
      </c>
      <c r="AC350" s="2">
        <f>IF(B350="","",WORKDAY(B350,10))</f>
        <v/>
      </c>
      <c r="AD350" s="2" t="n"/>
    </row>
    <row r="351">
      <c r="A351" s="12" t="n"/>
      <c r="B351" s="12" t="n"/>
      <c r="C351" s="2" t="n"/>
      <c r="D351" s="4" t="n"/>
      <c r="E351" s="12" t="n"/>
      <c r="F351" s="2" t="n"/>
      <c r="G351" s="12" t="n"/>
      <c r="H351" s="2">
        <f>IF(G351="","",IFERROR(VLOOKUP(G351,板块观察!A:U,14,FALSE),""))</f>
        <v/>
      </c>
      <c r="I351" s="2">
        <f>IF(G351="","",IFERROR(VLOOKUP(G351,板块观察!A:U,15,FALSE),""))</f>
        <v/>
      </c>
      <c r="J351" s="12" t="n"/>
      <c r="K351" s="12" t="n"/>
      <c r="L351" s="12" t="n"/>
      <c r="M351" s="14" t="n"/>
      <c r="N351" s="12" t="n"/>
      <c r="O351" s="2" t="n"/>
      <c r="P351" s="2" t="n"/>
      <c r="Q351" s="2" t="n"/>
      <c r="R351" s="12" t="n"/>
      <c r="S351" s="12" t="n"/>
      <c r="T351" s="12" t="n"/>
      <c r="U351" s="12" t="n"/>
      <c r="V351" s="12" t="n"/>
      <c r="W351" s="12" t="n"/>
      <c r="X351" s="12" t="n"/>
      <c r="Y351" s="2" t="n"/>
      <c r="Z351" s="5">
        <f>IF(A351="","",(COUNTA(A351:G351)+COUNTA(J351:Y351))/23)</f>
        <v/>
      </c>
      <c r="AA351" s="2">
        <f>IF(B351="","",WORKDAY(B351,3))</f>
        <v/>
      </c>
      <c r="AB351" s="2">
        <f>IF(B351="","",WORKDAY(B351,5))</f>
        <v/>
      </c>
      <c r="AC351" s="2">
        <f>IF(B351="","",WORKDAY(B351,10))</f>
        <v/>
      </c>
      <c r="AD351" s="2" t="n"/>
    </row>
    <row r="352">
      <c r="A352" s="12" t="n"/>
      <c r="B352" s="12" t="n"/>
      <c r="C352" s="2" t="n"/>
      <c r="D352" s="4" t="n"/>
      <c r="E352" s="12" t="n"/>
      <c r="F352" s="2" t="n"/>
      <c r="G352" s="12" t="n"/>
      <c r="H352" s="2">
        <f>IF(G352="","",IFERROR(VLOOKUP(G352,板块观察!A:U,14,FALSE),""))</f>
        <v/>
      </c>
      <c r="I352" s="2">
        <f>IF(G352="","",IFERROR(VLOOKUP(G352,板块观察!A:U,15,FALSE),""))</f>
        <v/>
      </c>
      <c r="J352" s="12" t="n"/>
      <c r="K352" s="12" t="n"/>
      <c r="L352" s="12" t="n"/>
      <c r="M352" s="14" t="n"/>
      <c r="N352" s="12" t="n"/>
      <c r="O352" s="2" t="n"/>
      <c r="P352" s="2" t="n"/>
      <c r="Q352" s="2" t="n"/>
      <c r="R352" s="12" t="n"/>
      <c r="S352" s="12" t="n"/>
      <c r="T352" s="12" t="n"/>
      <c r="U352" s="12" t="n"/>
      <c r="V352" s="12" t="n"/>
      <c r="W352" s="12" t="n"/>
      <c r="X352" s="12" t="n"/>
      <c r="Y352" s="2" t="n"/>
      <c r="Z352" s="5">
        <f>IF(A352="","",(COUNTA(A352:G352)+COUNTA(J352:Y352))/23)</f>
        <v/>
      </c>
      <c r="AA352" s="2">
        <f>IF(B352="","",WORKDAY(B352,3))</f>
        <v/>
      </c>
      <c r="AB352" s="2">
        <f>IF(B352="","",WORKDAY(B352,5))</f>
        <v/>
      </c>
      <c r="AC352" s="2">
        <f>IF(B352="","",WORKDAY(B352,10))</f>
        <v/>
      </c>
      <c r="AD352" s="2" t="n"/>
    </row>
    <row r="353">
      <c r="A353" s="12" t="n"/>
      <c r="B353" s="12" t="n"/>
      <c r="C353" s="2" t="n"/>
      <c r="D353" s="4" t="n"/>
      <c r="E353" s="12" t="n"/>
      <c r="F353" s="2" t="n"/>
      <c r="G353" s="12" t="n"/>
      <c r="H353" s="2">
        <f>IF(G353="","",IFERROR(VLOOKUP(G353,板块观察!A:U,14,FALSE),""))</f>
        <v/>
      </c>
      <c r="I353" s="2">
        <f>IF(G353="","",IFERROR(VLOOKUP(G353,板块观察!A:U,15,FALSE),""))</f>
        <v/>
      </c>
      <c r="J353" s="12" t="n"/>
      <c r="K353" s="12" t="n"/>
      <c r="L353" s="12" t="n"/>
      <c r="M353" s="14" t="n"/>
      <c r="N353" s="12" t="n"/>
      <c r="O353" s="2" t="n"/>
      <c r="P353" s="2" t="n"/>
      <c r="Q353" s="2" t="n"/>
      <c r="R353" s="12" t="n"/>
      <c r="S353" s="12" t="n"/>
      <c r="T353" s="12" t="n"/>
      <c r="U353" s="12" t="n"/>
      <c r="V353" s="12" t="n"/>
      <c r="W353" s="12" t="n"/>
      <c r="X353" s="12" t="n"/>
      <c r="Y353" s="2" t="n"/>
      <c r="Z353" s="5">
        <f>IF(A353="","",(COUNTA(A353:G353)+COUNTA(J353:Y353))/23)</f>
        <v/>
      </c>
      <c r="AA353" s="2">
        <f>IF(B353="","",WORKDAY(B353,3))</f>
        <v/>
      </c>
      <c r="AB353" s="2">
        <f>IF(B353="","",WORKDAY(B353,5))</f>
        <v/>
      </c>
      <c r="AC353" s="2">
        <f>IF(B353="","",WORKDAY(B353,10))</f>
        <v/>
      </c>
      <c r="AD353" s="2" t="n"/>
    </row>
    <row r="354">
      <c r="A354" s="12" t="n"/>
      <c r="B354" s="12" t="n"/>
      <c r="C354" s="2" t="n"/>
      <c r="D354" s="4" t="n"/>
      <c r="E354" s="12" t="n"/>
      <c r="F354" s="2" t="n"/>
      <c r="G354" s="12" t="n"/>
      <c r="H354" s="2">
        <f>IF(G354="","",IFERROR(VLOOKUP(G354,板块观察!A:U,14,FALSE),""))</f>
        <v/>
      </c>
      <c r="I354" s="2">
        <f>IF(G354="","",IFERROR(VLOOKUP(G354,板块观察!A:U,15,FALSE),""))</f>
        <v/>
      </c>
      <c r="J354" s="12" t="n"/>
      <c r="K354" s="12" t="n"/>
      <c r="L354" s="12" t="n"/>
      <c r="M354" s="14" t="n"/>
      <c r="N354" s="12" t="n"/>
      <c r="O354" s="2" t="n"/>
      <c r="P354" s="2" t="n"/>
      <c r="Q354" s="2" t="n"/>
      <c r="R354" s="12" t="n"/>
      <c r="S354" s="12" t="n"/>
      <c r="T354" s="12" t="n"/>
      <c r="U354" s="12" t="n"/>
      <c r="V354" s="12" t="n"/>
      <c r="W354" s="12" t="n"/>
      <c r="X354" s="12" t="n"/>
      <c r="Y354" s="2" t="n"/>
      <c r="Z354" s="5">
        <f>IF(A354="","",(COUNTA(A354:G354)+COUNTA(J354:Y354))/23)</f>
        <v/>
      </c>
      <c r="AA354" s="2">
        <f>IF(B354="","",WORKDAY(B354,3))</f>
        <v/>
      </c>
      <c r="AB354" s="2">
        <f>IF(B354="","",WORKDAY(B354,5))</f>
        <v/>
      </c>
      <c r="AC354" s="2">
        <f>IF(B354="","",WORKDAY(B354,10))</f>
        <v/>
      </c>
      <c r="AD354" s="2" t="n"/>
    </row>
    <row r="355">
      <c r="A355" s="12" t="n"/>
      <c r="B355" s="12" t="n"/>
      <c r="C355" s="2" t="n"/>
      <c r="D355" s="4" t="n"/>
      <c r="E355" s="12" t="n"/>
      <c r="F355" s="2" t="n"/>
      <c r="G355" s="12" t="n"/>
      <c r="H355" s="2">
        <f>IF(G355="","",IFERROR(VLOOKUP(G355,板块观察!A:U,14,FALSE),""))</f>
        <v/>
      </c>
      <c r="I355" s="2">
        <f>IF(G355="","",IFERROR(VLOOKUP(G355,板块观察!A:U,15,FALSE),""))</f>
        <v/>
      </c>
      <c r="J355" s="12" t="n"/>
      <c r="K355" s="12" t="n"/>
      <c r="L355" s="12" t="n"/>
      <c r="M355" s="14" t="n"/>
      <c r="N355" s="12" t="n"/>
      <c r="O355" s="2" t="n"/>
      <c r="P355" s="2" t="n"/>
      <c r="Q355" s="2" t="n"/>
      <c r="R355" s="12" t="n"/>
      <c r="S355" s="12" t="n"/>
      <c r="T355" s="12" t="n"/>
      <c r="U355" s="12" t="n"/>
      <c r="V355" s="12" t="n"/>
      <c r="W355" s="12" t="n"/>
      <c r="X355" s="12" t="n"/>
      <c r="Y355" s="2" t="n"/>
      <c r="Z355" s="5">
        <f>IF(A355="","",(COUNTA(A355:G355)+COUNTA(J355:Y355))/23)</f>
        <v/>
      </c>
      <c r="AA355" s="2">
        <f>IF(B355="","",WORKDAY(B355,3))</f>
        <v/>
      </c>
      <c r="AB355" s="2">
        <f>IF(B355="","",WORKDAY(B355,5))</f>
        <v/>
      </c>
      <c r="AC355" s="2">
        <f>IF(B355="","",WORKDAY(B355,10))</f>
        <v/>
      </c>
      <c r="AD355" s="2" t="n"/>
    </row>
    <row r="356">
      <c r="A356" s="12" t="n"/>
      <c r="B356" s="12" t="n"/>
      <c r="C356" s="2" t="n"/>
      <c r="D356" s="4" t="n"/>
      <c r="E356" s="12" t="n"/>
      <c r="F356" s="2" t="n"/>
      <c r="G356" s="12" t="n"/>
      <c r="H356" s="2">
        <f>IF(G356="","",IFERROR(VLOOKUP(G356,板块观察!A:U,14,FALSE),""))</f>
        <v/>
      </c>
      <c r="I356" s="2">
        <f>IF(G356="","",IFERROR(VLOOKUP(G356,板块观察!A:U,15,FALSE),""))</f>
        <v/>
      </c>
      <c r="J356" s="12" t="n"/>
      <c r="K356" s="12" t="n"/>
      <c r="L356" s="12" t="n"/>
      <c r="M356" s="14" t="n"/>
      <c r="N356" s="12" t="n"/>
      <c r="O356" s="2" t="n"/>
      <c r="P356" s="2" t="n"/>
      <c r="Q356" s="2" t="n"/>
      <c r="R356" s="12" t="n"/>
      <c r="S356" s="12" t="n"/>
      <c r="T356" s="12" t="n"/>
      <c r="U356" s="12" t="n"/>
      <c r="V356" s="12" t="n"/>
      <c r="W356" s="12" t="n"/>
      <c r="X356" s="12" t="n"/>
      <c r="Y356" s="2" t="n"/>
      <c r="Z356" s="5">
        <f>IF(A356="","",(COUNTA(A356:G356)+COUNTA(J356:Y356))/23)</f>
        <v/>
      </c>
      <c r="AA356" s="2">
        <f>IF(B356="","",WORKDAY(B356,3))</f>
        <v/>
      </c>
      <c r="AB356" s="2">
        <f>IF(B356="","",WORKDAY(B356,5))</f>
        <v/>
      </c>
      <c r="AC356" s="2">
        <f>IF(B356="","",WORKDAY(B356,10))</f>
        <v/>
      </c>
      <c r="AD356" s="2" t="n"/>
    </row>
    <row r="357">
      <c r="A357" s="12" t="n"/>
      <c r="B357" s="12" t="n"/>
      <c r="C357" s="2" t="n"/>
      <c r="D357" s="4" t="n"/>
      <c r="E357" s="12" t="n"/>
      <c r="F357" s="2" t="n"/>
      <c r="G357" s="12" t="n"/>
      <c r="H357" s="2">
        <f>IF(G357="","",IFERROR(VLOOKUP(G357,板块观察!A:U,14,FALSE),""))</f>
        <v/>
      </c>
      <c r="I357" s="2">
        <f>IF(G357="","",IFERROR(VLOOKUP(G357,板块观察!A:U,15,FALSE),""))</f>
        <v/>
      </c>
      <c r="J357" s="12" t="n"/>
      <c r="K357" s="12" t="n"/>
      <c r="L357" s="12" t="n"/>
      <c r="M357" s="14" t="n"/>
      <c r="N357" s="12" t="n"/>
      <c r="O357" s="2" t="n"/>
      <c r="P357" s="2" t="n"/>
      <c r="Q357" s="2" t="n"/>
      <c r="R357" s="12" t="n"/>
      <c r="S357" s="12" t="n"/>
      <c r="T357" s="12" t="n"/>
      <c r="U357" s="12" t="n"/>
      <c r="V357" s="12" t="n"/>
      <c r="W357" s="12" t="n"/>
      <c r="X357" s="12" t="n"/>
      <c r="Y357" s="2" t="n"/>
      <c r="Z357" s="5">
        <f>IF(A357="","",(COUNTA(A357:G357)+COUNTA(J357:Y357))/23)</f>
        <v/>
      </c>
      <c r="AA357" s="2">
        <f>IF(B357="","",WORKDAY(B357,3))</f>
        <v/>
      </c>
      <c r="AB357" s="2">
        <f>IF(B357="","",WORKDAY(B357,5))</f>
        <v/>
      </c>
      <c r="AC357" s="2">
        <f>IF(B357="","",WORKDAY(B357,10))</f>
        <v/>
      </c>
      <c r="AD357" s="2" t="n"/>
    </row>
    <row r="358">
      <c r="A358" s="12" t="n"/>
      <c r="B358" s="12" t="n"/>
      <c r="C358" s="2" t="n"/>
      <c r="D358" s="4" t="n"/>
      <c r="E358" s="12" t="n"/>
      <c r="F358" s="2" t="n"/>
      <c r="G358" s="12" t="n"/>
      <c r="H358" s="2">
        <f>IF(G358="","",IFERROR(VLOOKUP(G358,板块观察!A:U,14,FALSE),""))</f>
        <v/>
      </c>
      <c r="I358" s="2">
        <f>IF(G358="","",IFERROR(VLOOKUP(G358,板块观察!A:U,15,FALSE),""))</f>
        <v/>
      </c>
      <c r="J358" s="12" t="n"/>
      <c r="K358" s="12" t="n"/>
      <c r="L358" s="12" t="n"/>
      <c r="M358" s="14" t="n"/>
      <c r="N358" s="12" t="n"/>
      <c r="O358" s="2" t="n"/>
      <c r="P358" s="2" t="n"/>
      <c r="Q358" s="2" t="n"/>
      <c r="R358" s="12" t="n"/>
      <c r="S358" s="12" t="n"/>
      <c r="T358" s="12" t="n"/>
      <c r="U358" s="12" t="n"/>
      <c r="V358" s="12" t="n"/>
      <c r="W358" s="12" t="n"/>
      <c r="X358" s="12" t="n"/>
      <c r="Y358" s="2" t="n"/>
      <c r="Z358" s="5">
        <f>IF(A358="","",(COUNTA(A358:G358)+COUNTA(J358:Y358))/23)</f>
        <v/>
      </c>
      <c r="AA358" s="2">
        <f>IF(B358="","",WORKDAY(B358,3))</f>
        <v/>
      </c>
      <c r="AB358" s="2">
        <f>IF(B358="","",WORKDAY(B358,5))</f>
        <v/>
      </c>
      <c r="AC358" s="2">
        <f>IF(B358="","",WORKDAY(B358,10))</f>
        <v/>
      </c>
      <c r="AD358" s="2" t="n"/>
    </row>
    <row r="359">
      <c r="A359" s="12" t="n"/>
      <c r="B359" s="12" t="n"/>
      <c r="C359" s="2" t="n"/>
      <c r="D359" s="4" t="n"/>
      <c r="E359" s="12" t="n"/>
      <c r="F359" s="2" t="n"/>
      <c r="G359" s="12" t="n"/>
      <c r="H359" s="2">
        <f>IF(G359="","",IFERROR(VLOOKUP(G359,板块观察!A:U,14,FALSE),""))</f>
        <v/>
      </c>
      <c r="I359" s="2">
        <f>IF(G359="","",IFERROR(VLOOKUP(G359,板块观察!A:U,15,FALSE),""))</f>
        <v/>
      </c>
      <c r="J359" s="12" t="n"/>
      <c r="K359" s="12" t="n"/>
      <c r="L359" s="12" t="n"/>
      <c r="M359" s="14" t="n"/>
      <c r="N359" s="12" t="n"/>
      <c r="O359" s="2" t="n"/>
      <c r="P359" s="2" t="n"/>
      <c r="Q359" s="2" t="n"/>
      <c r="R359" s="12" t="n"/>
      <c r="S359" s="12" t="n"/>
      <c r="T359" s="12" t="n"/>
      <c r="U359" s="12" t="n"/>
      <c r="V359" s="12" t="n"/>
      <c r="W359" s="12" t="n"/>
      <c r="X359" s="12" t="n"/>
      <c r="Y359" s="2" t="n"/>
      <c r="Z359" s="5">
        <f>IF(A359="","",(COUNTA(A359:G359)+COUNTA(J359:Y359))/23)</f>
        <v/>
      </c>
      <c r="AA359" s="2">
        <f>IF(B359="","",WORKDAY(B359,3))</f>
        <v/>
      </c>
      <c r="AB359" s="2">
        <f>IF(B359="","",WORKDAY(B359,5))</f>
        <v/>
      </c>
      <c r="AC359" s="2">
        <f>IF(B359="","",WORKDAY(B359,10))</f>
        <v/>
      </c>
      <c r="AD359" s="2" t="n"/>
    </row>
    <row r="360">
      <c r="A360" s="12" t="n"/>
      <c r="B360" s="12" t="n"/>
      <c r="C360" s="2" t="n"/>
      <c r="D360" s="4" t="n"/>
      <c r="E360" s="12" t="n"/>
      <c r="F360" s="2" t="n"/>
      <c r="G360" s="12" t="n"/>
      <c r="H360" s="2">
        <f>IF(G360="","",IFERROR(VLOOKUP(G360,板块观察!A:U,14,FALSE),""))</f>
        <v/>
      </c>
      <c r="I360" s="2">
        <f>IF(G360="","",IFERROR(VLOOKUP(G360,板块观察!A:U,15,FALSE),""))</f>
        <v/>
      </c>
      <c r="J360" s="12" t="n"/>
      <c r="K360" s="12" t="n"/>
      <c r="L360" s="12" t="n"/>
      <c r="M360" s="14" t="n"/>
      <c r="N360" s="12" t="n"/>
      <c r="O360" s="2" t="n"/>
      <c r="P360" s="2" t="n"/>
      <c r="Q360" s="2" t="n"/>
      <c r="R360" s="12" t="n"/>
      <c r="S360" s="12" t="n"/>
      <c r="T360" s="12" t="n"/>
      <c r="U360" s="12" t="n"/>
      <c r="V360" s="12" t="n"/>
      <c r="W360" s="12" t="n"/>
      <c r="X360" s="12" t="n"/>
      <c r="Y360" s="2" t="n"/>
      <c r="Z360" s="5">
        <f>IF(A360="","",(COUNTA(A360:G360)+COUNTA(J360:Y360))/23)</f>
        <v/>
      </c>
      <c r="AA360" s="2">
        <f>IF(B360="","",WORKDAY(B360,3))</f>
        <v/>
      </c>
      <c r="AB360" s="2">
        <f>IF(B360="","",WORKDAY(B360,5))</f>
        <v/>
      </c>
      <c r="AC360" s="2">
        <f>IF(B360="","",WORKDAY(B360,10))</f>
        <v/>
      </c>
      <c r="AD360" s="2" t="n"/>
    </row>
    <row r="361">
      <c r="A361" s="12" t="n"/>
      <c r="B361" s="12" t="n"/>
      <c r="C361" s="2" t="n"/>
      <c r="D361" s="4" t="n"/>
      <c r="E361" s="12" t="n"/>
      <c r="F361" s="2" t="n"/>
      <c r="G361" s="12" t="n"/>
      <c r="H361" s="2">
        <f>IF(G361="","",IFERROR(VLOOKUP(G361,板块观察!A:U,14,FALSE),""))</f>
        <v/>
      </c>
      <c r="I361" s="2">
        <f>IF(G361="","",IFERROR(VLOOKUP(G361,板块观察!A:U,15,FALSE),""))</f>
        <v/>
      </c>
      <c r="J361" s="12" t="n"/>
      <c r="K361" s="12" t="n"/>
      <c r="L361" s="12" t="n"/>
      <c r="M361" s="14" t="n"/>
      <c r="N361" s="12" t="n"/>
      <c r="O361" s="2" t="n"/>
      <c r="P361" s="2" t="n"/>
      <c r="Q361" s="2" t="n"/>
      <c r="R361" s="12" t="n"/>
      <c r="S361" s="12" t="n"/>
      <c r="T361" s="12" t="n"/>
      <c r="U361" s="12" t="n"/>
      <c r="V361" s="12" t="n"/>
      <c r="W361" s="12" t="n"/>
      <c r="X361" s="12" t="n"/>
      <c r="Y361" s="2" t="n"/>
      <c r="Z361" s="5">
        <f>IF(A361="","",(COUNTA(A361:G361)+COUNTA(J361:Y361))/23)</f>
        <v/>
      </c>
      <c r="AA361" s="2">
        <f>IF(B361="","",WORKDAY(B361,3))</f>
        <v/>
      </c>
      <c r="AB361" s="2">
        <f>IF(B361="","",WORKDAY(B361,5))</f>
        <v/>
      </c>
      <c r="AC361" s="2">
        <f>IF(B361="","",WORKDAY(B361,10))</f>
        <v/>
      </c>
      <c r="AD361" s="2" t="n"/>
    </row>
    <row r="362">
      <c r="A362" s="12" t="n"/>
      <c r="B362" s="12" t="n"/>
      <c r="C362" s="2" t="n"/>
      <c r="D362" s="4" t="n"/>
      <c r="E362" s="12" t="n"/>
      <c r="F362" s="2" t="n"/>
      <c r="G362" s="12" t="n"/>
      <c r="H362" s="2">
        <f>IF(G362="","",IFERROR(VLOOKUP(G362,板块观察!A:U,14,FALSE),""))</f>
        <v/>
      </c>
      <c r="I362" s="2">
        <f>IF(G362="","",IFERROR(VLOOKUP(G362,板块观察!A:U,15,FALSE),""))</f>
        <v/>
      </c>
      <c r="J362" s="12" t="n"/>
      <c r="K362" s="12" t="n"/>
      <c r="L362" s="12" t="n"/>
      <c r="M362" s="14" t="n"/>
      <c r="N362" s="12" t="n"/>
      <c r="O362" s="2" t="n"/>
      <c r="P362" s="2" t="n"/>
      <c r="Q362" s="2" t="n"/>
      <c r="R362" s="12" t="n"/>
      <c r="S362" s="12" t="n"/>
      <c r="T362" s="12" t="n"/>
      <c r="U362" s="12" t="n"/>
      <c r="V362" s="12" t="n"/>
      <c r="W362" s="12" t="n"/>
      <c r="X362" s="12" t="n"/>
      <c r="Y362" s="2" t="n"/>
      <c r="Z362" s="5">
        <f>IF(A362="","",(COUNTA(A362:G362)+COUNTA(J362:Y362))/23)</f>
        <v/>
      </c>
      <c r="AA362" s="2">
        <f>IF(B362="","",WORKDAY(B362,3))</f>
        <v/>
      </c>
      <c r="AB362" s="2">
        <f>IF(B362="","",WORKDAY(B362,5))</f>
        <v/>
      </c>
      <c r="AC362" s="2">
        <f>IF(B362="","",WORKDAY(B362,10))</f>
        <v/>
      </c>
      <c r="AD362" s="2" t="n"/>
    </row>
    <row r="363">
      <c r="A363" s="12" t="n"/>
      <c r="B363" s="12" t="n"/>
      <c r="C363" s="2" t="n"/>
      <c r="D363" s="4" t="n"/>
      <c r="E363" s="12" t="n"/>
      <c r="F363" s="2" t="n"/>
      <c r="G363" s="12" t="n"/>
      <c r="H363" s="2">
        <f>IF(G363="","",IFERROR(VLOOKUP(G363,板块观察!A:U,14,FALSE),""))</f>
        <v/>
      </c>
      <c r="I363" s="2">
        <f>IF(G363="","",IFERROR(VLOOKUP(G363,板块观察!A:U,15,FALSE),""))</f>
        <v/>
      </c>
      <c r="J363" s="12" t="n"/>
      <c r="K363" s="12" t="n"/>
      <c r="L363" s="12" t="n"/>
      <c r="M363" s="14" t="n"/>
      <c r="N363" s="12" t="n"/>
      <c r="O363" s="2" t="n"/>
      <c r="P363" s="2" t="n"/>
      <c r="Q363" s="2" t="n"/>
      <c r="R363" s="12" t="n"/>
      <c r="S363" s="12" t="n"/>
      <c r="T363" s="12" t="n"/>
      <c r="U363" s="12" t="n"/>
      <c r="V363" s="12" t="n"/>
      <c r="W363" s="12" t="n"/>
      <c r="X363" s="12" t="n"/>
      <c r="Y363" s="2" t="n"/>
      <c r="Z363" s="5">
        <f>IF(A363="","",(COUNTA(A363:G363)+COUNTA(J363:Y363))/23)</f>
        <v/>
      </c>
      <c r="AA363" s="2">
        <f>IF(B363="","",WORKDAY(B363,3))</f>
        <v/>
      </c>
      <c r="AB363" s="2">
        <f>IF(B363="","",WORKDAY(B363,5))</f>
        <v/>
      </c>
      <c r="AC363" s="2">
        <f>IF(B363="","",WORKDAY(B363,10))</f>
        <v/>
      </c>
      <c r="AD363" s="2" t="n"/>
    </row>
    <row r="364">
      <c r="A364" s="12" t="n"/>
      <c r="B364" s="12" t="n"/>
      <c r="C364" s="2" t="n"/>
      <c r="D364" s="4" t="n"/>
      <c r="E364" s="12" t="n"/>
      <c r="F364" s="2" t="n"/>
      <c r="G364" s="12" t="n"/>
      <c r="H364" s="2">
        <f>IF(G364="","",IFERROR(VLOOKUP(G364,板块观察!A:U,14,FALSE),""))</f>
        <v/>
      </c>
      <c r="I364" s="2">
        <f>IF(G364="","",IFERROR(VLOOKUP(G364,板块观察!A:U,15,FALSE),""))</f>
        <v/>
      </c>
      <c r="J364" s="12" t="n"/>
      <c r="K364" s="12" t="n"/>
      <c r="L364" s="12" t="n"/>
      <c r="M364" s="14" t="n"/>
      <c r="N364" s="12" t="n"/>
      <c r="O364" s="2" t="n"/>
      <c r="P364" s="2" t="n"/>
      <c r="Q364" s="2" t="n"/>
      <c r="R364" s="12" t="n"/>
      <c r="S364" s="12" t="n"/>
      <c r="T364" s="12" t="n"/>
      <c r="U364" s="12" t="n"/>
      <c r="V364" s="12" t="n"/>
      <c r="W364" s="12" t="n"/>
      <c r="X364" s="12" t="n"/>
      <c r="Y364" s="2" t="n"/>
      <c r="Z364" s="5">
        <f>IF(A364="","",(COUNTA(A364:G364)+COUNTA(J364:Y364))/23)</f>
        <v/>
      </c>
      <c r="AA364" s="2">
        <f>IF(B364="","",WORKDAY(B364,3))</f>
        <v/>
      </c>
      <c r="AB364" s="2">
        <f>IF(B364="","",WORKDAY(B364,5))</f>
        <v/>
      </c>
      <c r="AC364" s="2">
        <f>IF(B364="","",WORKDAY(B364,10))</f>
        <v/>
      </c>
      <c r="AD364" s="2" t="n"/>
    </row>
    <row r="365">
      <c r="A365" s="12" t="n"/>
      <c r="B365" s="12" t="n"/>
      <c r="C365" s="2" t="n"/>
      <c r="D365" s="4" t="n"/>
      <c r="E365" s="12" t="n"/>
      <c r="F365" s="2" t="n"/>
      <c r="G365" s="12" t="n"/>
      <c r="H365" s="2">
        <f>IF(G365="","",IFERROR(VLOOKUP(G365,板块观察!A:U,14,FALSE),""))</f>
        <v/>
      </c>
      <c r="I365" s="2">
        <f>IF(G365="","",IFERROR(VLOOKUP(G365,板块观察!A:U,15,FALSE),""))</f>
        <v/>
      </c>
      <c r="J365" s="12" t="n"/>
      <c r="K365" s="12" t="n"/>
      <c r="L365" s="12" t="n"/>
      <c r="M365" s="14" t="n"/>
      <c r="N365" s="12" t="n"/>
      <c r="O365" s="2" t="n"/>
      <c r="P365" s="2" t="n"/>
      <c r="Q365" s="2" t="n"/>
      <c r="R365" s="12" t="n"/>
      <c r="S365" s="12" t="n"/>
      <c r="T365" s="12" t="n"/>
      <c r="U365" s="12" t="n"/>
      <c r="V365" s="12" t="n"/>
      <c r="W365" s="12" t="n"/>
      <c r="X365" s="12" t="n"/>
      <c r="Y365" s="2" t="n"/>
      <c r="Z365" s="5">
        <f>IF(A365="","",(COUNTA(A365:G365)+COUNTA(J365:Y365))/23)</f>
        <v/>
      </c>
      <c r="AA365" s="2">
        <f>IF(B365="","",WORKDAY(B365,3))</f>
        <v/>
      </c>
      <c r="AB365" s="2">
        <f>IF(B365="","",WORKDAY(B365,5))</f>
        <v/>
      </c>
      <c r="AC365" s="2">
        <f>IF(B365="","",WORKDAY(B365,10))</f>
        <v/>
      </c>
      <c r="AD365" s="2" t="n"/>
    </row>
    <row r="366">
      <c r="A366" s="12" t="n"/>
      <c r="B366" s="12" t="n"/>
      <c r="C366" s="2" t="n"/>
      <c r="D366" s="4" t="n"/>
      <c r="E366" s="12" t="n"/>
      <c r="F366" s="2" t="n"/>
      <c r="G366" s="12" t="n"/>
      <c r="H366" s="2">
        <f>IF(G366="","",IFERROR(VLOOKUP(G366,板块观察!A:U,14,FALSE),""))</f>
        <v/>
      </c>
      <c r="I366" s="2">
        <f>IF(G366="","",IFERROR(VLOOKUP(G366,板块观察!A:U,15,FALSE),""))</f>
        <v/>
      </c>
      <c r="J366" s="12" t="n"/>
      <c r="K366" s="12" t="n"/>
      <c r="L366" s="12" t="n"/>
      <c r="M366" s="14" t="n"/>
      <c r="N366" s="12" t="n"/>
      <c r="O366" s="2" t="n"/>
      <c r="P366" s="2" t="n"/>
      <c r="Q366" s="2" t="n"/>
      <c r="R366" s="12" t="n"/>
      <c r="S366" s="12" t="n"/>
      <c r="T366" s="12" t="n"/>
      <c r="U366" s="12" t="n"/>
      <c r="V366" s="12" t="n"/>
      <c r="W366" s="12" t="n"/>
      <c r="X366" s="12" t="n"/>
      <c r="Y366" s="2" t="n"/>
      <c r="Z366" s="5">
        <f>IF(A366="","",(COUNTA(A366:G366)+COUNTA(J366:Y366))/23)</f>
        <v/>
      </c>
      <c r="AA366" s="2">
        <f>IF(B366="","",WORKDAY(B366,3))</f>
        <v/>
      </c>
      <c r="AB366" s="2">
        <f>IF(B366="","",WORKDAY(B366,5))</f>
        <v/>
      </c>
      <c r="AC366" s="2">
        <f>IF(B366="","",WORKDAY(B366,10))</f>
        <v/>
      </c>
      <c r="AD366" s="2" t="n"/>
    </row>
    <row r="367">
      <c r="A367" s="12" t="n"/>
      <c r="B367" s="12" t="n"/>
      <c r="C367" s="2" t="n"/>
      <c r="D367" s="4" t="n"/>
      <c r="E367" s="12" t="n"/>
      <c r="F367" s="2" t="n"/>
      <c r="G367" s="12" t="n"/>
      <c r="H367" s="2">
        <f>IF(G367="","",IFERROR(VLOOKUP(G367,板块观察!A:U,14,FALSE),""))</f>
        <v/>
      </c>
      <c r="I367" s="2">
        <f>IF(G367="","",IFERROR(VLOOKUP(G367,板块观察!A:U,15,FALSE),""))</f>
        <v/>
      </c>
      <c r="J367" s="12" t="n"/>
      <c r="K367" s="12" t="n"/>
      <c r="L367" s="12" t="n"/>
      <c r="M367" s="14" t="n"/>
      <c r="N367" s="12" t="n"/>
      <c r="O367" s="2" t="n"/>
      <c r="P367" s="2" t="n"/>
      <c r="Q367" s="2" t="n"/>
      <c r="R367" s="12" t="n"/>
      <c r="S367" s="12" t="n"/>
      <c r="T367" s="12" t="n"/>
      <c r="U367" s="12" t="n"/>
      <c r="V367" s="12" t="n"/>
      <c r="W367" s="12" t="n"/>
      <c r="X367" s="12" t="n"/>
      <c r="Y367" s="2" t="n"/>
      <c r="Z367" s="5">
        <f>IF(A367="","",(COUNTA(A367:G367)+COUNTA(J367:Y367))/23)</f>
        <v/>
      </c>
      <c r="AA367" s="2">
        <f>IF(B367="","",WORKDAY(B367,3))</f>
        <v/>
      </c>
      <c r="AB367" s="2">
        <f>IF(B367="","",WORKDAY(B367,5))</f>
        <v/>
      </c>
      <c r="AC367" s="2">
        <f>IF(B367="","",WORKDAY(B367,10))</f>
        <v/>
      </c>
      <c r="AD367" s="2" t="n"/>
    </row>
    <row r="368">
      <c r="A368" s="12" t="n"/>
      <c r="B368" s="12" t="n"/>
      <c r="C368" s="2" t="n"/>
      <c r="D368" s="4" t="n"/>
      <c r="E368" s="12" t="n"/>
      <c r="F368" s="2" t="n"/>
      <c r="G368" s="12" t="n"/>
      <c r="H368" s="2">
        <f>IF(G368="","",IFERROR(VLOOKUP(G368,板块观察!A:U,14,FALSE),""))</f>
        <v/>
      </c>
      <c r="I368" s="2">
        <f>IF(G368="","",IFERROR(VLOOKUP(G368,板块观察!A:U,15,FALSE),""))</f>
        <v/>
      </c>
      <c r="J368" s="12" t="n"/>
      <c r="K368" s="12" t="n"/>
      <c r="L368" s="12" t="n"/>
      <c r="M368" s="14" t="n"/>
      <c r="N368" s="12" t="n"/>
      <c r="O368" s="2" t="n"/>
      <c r="P368" s="2" t="n"/>
      <c r="Q368" s="2" t="n"/>
      <c r="R368" s="12" t="n"/>
      <c r="S368" s="12" t="n"/>
      <c r="T368" s="12" t="n"/>
      <c r="U368" s="12" t="n"/>
      <c r="V368" s="12" t="n"/>
      <c r="W368" s="12" t="n"/>
      <c r="X368" s="12" t="n"/>
      <c r="Y368" s="2" t="n"/>
      <c r="Z368" s="5">
        <f>IF(A368="","",(COUNTA(A368:G368)+COUNTA(J368:Y368))/23)</f>
        <v/>
      </c>
      <c r="AA368" s="2">
        <f>IF(B368="","",WORKDAY(B368,3))</f>
        <v/>
      </c>
      <c r="AB368" s="2">
        <f>IF(B368="","",WORKDAY(B368,5))</f>
        <v/>
      </c>
      <c r="AC368" s="2">
        <f>IF(B368="","",WORKDAY(B368,10))</f>
        <v/>
      </c>
      <c r="AD368" s="2" t="n"/>
    </row>
    <row r="369">
      <c r="A369" s="12" t="n"/>
      <c r="B369" s="12" t="n"/>
      <c r="C369" s="2" t="n"/>
      <c r="D369" s="4" t="n"/>
      <c r="E369" s="12" t="n"/>
      <c r="F369" s="2" t="n"/>
      <c r="G369" s="12" t="n"/>
      <c r="H369" s="2">
        <f>IF(G369="","",IFERROR(VLOOKUP(G369,板块观察!A:U,14,FALSE),""))</f>
        <v/>
      </c>
      <c r="I369" s="2">
        <f>IF(G369="","",IFERROR(VLOOKUP(G369,板块观察!A:U,15,FALSE),""))</f>
        <v/>
      </c>
      <c r="J369" s="12" t="n"/>
      <c r="K369" s="12" t="n"/>
      <c r="L369" s="12" t="n"/>
      <c r="M369" s="14" t="n"/>
      <c r="N369" s="12" t="n"/>
      <c r="O369" s="2" t="n"/>
      <c r="P369" s="2" t="n"/>
      <c r="Q369" s="2" t="n"/>
      <c r="R369" s="12" t="n"/>
      <c r="S369" s="12" t="n"/>
      <c r="T369" s="12" t="n"/>
      <c r="U369" s="12" t="n"/>
      <c r="V369" s="12" t="n"/>
      <c r="W369" s="12" t="n"/>
      <c r="X369" s="12" t="n"/>
      <c r="Y369" s="2" t="n"/>
      <c r="Z369" s="5">
        <f>IF(A369="","",(COUNTA(A369:G369)+COUNTA(J369:Y369))/23)</f>
        <v/>
      </c>
      <c r="AA369" s="2">
        <f>IF(B369="","",WORKDAY(B369,3))</f>
        <v/>
      </c>
      <c r="AB369" s="2">
        <f>IF(B369="","",WORKDAY(B369,5))</f>
        <v/>
      </c>
      <c r="AC369" s="2">
        <f>IF(B369="","",WORKDAY(B369,10))</f>
        <v/>
      </c>
      <c r="AD369" s="2" t="n"/>
    </row>
    <row r="370">
      <c r="A370" s="12" t="n"/>
      <c r="B370" s="12" t="n"/>
      <c r="C370" s="2" t="n"/>
      <c r="D370" s="4" t="n"/>
      <c r="E370" s="12" t="n"/>
      <c r="F370" s="2" t="n"/>
      <c r="G370" s="12" t="n"/>
      <c r="H370" s="2">
        <f>IF(G370="","",IFERROR(VLOOKUP(G370,板块观察!A:U,14,FALSE),""))</f>
        <v/>
      </c>
      <c r="I370" s="2">
        <f>IF(G370="","",IFERROR(VLOOKUP(G370,板块观察!A:U,15,FALSE),""))</f>
        <v/>
      </c>
      <c r="J370" s="12" t="n"/>
      <c r="K370" s="12" t="n"/>
      <c r="L370" s="12" t="n"/>
      <c r="M370" s="14" t="n"/>
      <c r="N370" s="12" t="n"/>
      <c r="O370" s="2" t="n"/>
      <c r="P370" s="2" t="n"/>
      <c r="Q370" s="2" t="n"/>
      <c r="R370" s="12" t="n"/>
      <c r="S370" s="12" t="n"/>
      <c r="T370" s="12" t="n"/>
      <c r="U370" s="12" t="n"/>
      <c r="V370" s="12" t="n"/>
      <c r="W370" s="12" t="n"/>
      <c r="X370" s="12" t="n"/>
      <c r="Y370" s="2" t="n"/>
      <c r="Z370" s="5">
        <f>IF(A370="","",(COUNTA(A370:G370)+COUNTA(J370:Y370))/23)</f>
        <v/>
      </c>
      <c r="AA370" s="2">
        <f>IF(B370="","",WORKDAY(B370,3))</f>
        <v/>
      </c>
      <c r="AB370" s="2">
        <f>IF(B370="","",WORKDAY(B370,5))</f>
        <v/>
      </c>
      <c r="AC370" s="2">
        <f>IF(B370="","",WORKDAY(B370,10))</f>
        <v/>
      </c>
      <c r="AD370" s="2" t="n"/>
    </row>
    <row r="371">
      <c r="A371" s="12" t="n"/>
      <c r="B371" s="12" t="n"/>
      <c r="C371" s="2" t="n"/>
      <c r="D371" s="4" t="n"/>
      <c r="E371" s="12" t="n"/>
      <c r="F371" s="2" t="n"/>
      <c r="G371" s="12" t="n"/>
      <c r="H371" s="2">
        <f>IF(G371="","",IFERROR(VLOOKUP(G371,板块观察!A:U,14,FALSE),""))</f>
        <v/>
      </c>
      <c r="I371" s="2">
        <f>IF(G371="","",IFERROR(VLOOKUP(G371,板块观察!A:U,15,FALSE),""))</f>
        <v/>
      </c>
      <c r="J371" s="12" t="n"/>
      <c r="K371" s="12" t="n"/>
      <c r="L371" s="12" t="n"/>
      <c r="M371" s="14" t="n"/>
      <c r="N371" s="12" t="n"/>
      <c r="O371" s="2" t="n"/>
      <c r="P371" s="2" t="n"/>
      <c r="Q371" s="2" t="n"/>
      <c r="R371" s="12" t="n"/>
      <c r="S371" s="12" t="n"/>
      <c r="T371" s="12" t="n"/>
      <c r="U371" s="12" t="n"/>
      <c r="V371" s="12" t="n"/>
      <c r="W371" s="12" t="n"/>
      <c r="X371" s="12" t="n"/>
      <c r="Y371" s="2" t="n"/>
      <c r="Z371" s="5">
        <f>IF(A371="","",(COUNTA(A371:G371)+COUNTA(J371:Y371))/23)</f>
        <v/>
      </c>
      <c r="AA371" s="2">
        <f>IF(B371="","",WORKDAY(B371,3))</f>
        <v/>
      </c>
      <c r="AB371" s="2">
        <f>IF(B371="","",WORKDAY(B371,5))</f>
        <v/>
      </c>
      <c r="AC371" s="2">
        <f>IF(B371="","",WORKDAY(B371,10))</f>
        <v/>
      </c>
      <c r="AD371" s="2" t="n"/>
    </row>
    <row r="372">
      <c r="A372" s="12" t="n"/>
      <c r="B372" s="12" t="n"/>
      <c r="C372" s="2" t="n"/>
      <c r="D372" s="4" t="n"/>
      <c r="E372" s="12" t="n"/>
      <c r="F372" s="2" t="n"/>
      <c r="G372" s="12" t="n"/>
      <c r="H372" s="2">
        <f>IF(G372="","",IFERROR(VLOOKUP(G372,板块观察!A:U,14,FALSE),""))</f>
        <v/>
      </c>
      <c r="I372" s="2">
        <f>IF(G372="","",IFERROR(VLOOKUP(G372,板块观察!A:U,15,FALSE),""))</f>
        <v/>
      </c>
      <c r="J372" s="12" t="n"/>
      <c r="K372" s="12" t="n"/>
      <c r="L372" s="12" t="n"/>
      <c r="M372" s="14" t="n"/>
      <c r="N372" s="12" t="n"/>
      <c r="O372" s="2" t="n"/>
      <c r="P372" s="2" t="n"/>
      <c r="Q372" s="2" t="n"/>
      <c r="R372" s="12" t="n"/>
      <c r="S372" s="12" t="n"/>
      <c r="T372" s="12" t="n"/>
      <c r="U372" s="12" t="n"/>
      <c r="V372" s="12" t="n"/>
      <c r="W372" s="12" t="n"/>
      <c r="X372" s="12" t="n"/>
      <c r="Y372" s="2" t="n"/>
      <c r="Z372" s="5">
        <f>IF(A372="","",(COUNTA(A372:G372)+COUNTA(J372:Y372))/23)</f>
        <v/>
      </c>
      <c r="AA372" s="2">
        <f>IF(B372="","",WORKDAY(B372,3))</f>
        <v/>
      </c>
      <c r="AB372" s="2">
        <f>IF(B372="","",WORKDAY(B372,5))</f>
        <v/>
      </c>
      <c r="AC372" s="2">
        <f>IF(B372="","",WORKDAY(B372,10))</f>
        <v/>
      </c>
      <c r="AD372" s="2" t="n"/>
    </row>
    <row r="373">
      <c r="A373" s="12" t="n"/>
      <c r="B373" s="12" t="n"/>
      <c r="C373" s="2" t="n"/>
      <c r="D373" s="4" t="n"/>
      <c r="E373" s="12" t="n"/>
      <c r="F373" s="2" t="n"/>
      <c r="G373" s="12" t="n"/>
      <c r="H373" s="2">
        <f>IF(G373="","",IFERROR(VLOOKUP(G373,板块观察!A:U,14,FALSE),""))</f>
        <v/>
      </c>
      <c r="I373" s="2">
        <f>IF(G373="","",IFERROR(VLOOKUP(G373,板块观察!A:U,15,FALSE),""))</f>
        <v/>
      </c>
      <c r="J373" s="12" t="n"/>
      <c r="K373" s="12" t="n"/>
      <c r="L373" s="12" t="n"/>
      <c r="M373" s="14" t="n"/>
      <c r="N373" s="12" t="n"/>
      <c r="O373" s="2" t="n"/>
      <c r="P373" s="2" t="n"/>
      <c r="Q373" s="2" t="n"/>
      <c r="R373" s="12" t="n"/>
      <c r="S373" s="12" t="n"/>
      <c r="T373" s="12" t="n"/>
      <c r="U373" s="12" t="n"/>
      <c r="V373" s="12" t="n"/>
      <c r="W373" s="12" t="n"/>
      <c r="X373" s="12" t="n"/>
      <c r="Y373" s="2" t="n"/>
      <c r="Z373" s="5">
        <f>IF(A373="","",(COUNTA(A373:G373)+COUNTA(J373:Y373))/23)</f>
        <v/>
      </c>
      <c r="AA373" s="2">
        <f>IF(B373="","",WORKDAY(B373,3))</f>
        <v/>
      </c>
      <c r="AB373" s="2">
        <f>IF(B373="","",WORKDAY(B373,5))</f>
        <v/>
      </c>
      <c r="AC373" s="2">
        <f>IF(B373="","",WORKDAY(B373,10))</f>
        <v/>
      </c>
      <c r="AD373" s="2" t="n"/>
    </row>
    <row r="374">
      <c r="A374" s="12" t="n"/>
      <c r="B374" s="12" t="n"/>
      <c r="C374" s="2" t="n"/>
      <c r="D374" s="4" t="n"/>
      <c r="E374" s="12" t="n"/>
      <c r="F374" s="2" t="n"/>
      <c r="G374" s="12" t="n"/>
      <c r="H374" s="2">
        <f>IF(G374="","",IFERROR(VLOOKUP(G374,板块观察!A:U,14,FALSE),""))</f>
        <v/>
      </c>
      <c r="I374" s="2">
        <f>IF(G374="","",IFERROR(VLOOKUP(G374,板块观察!A:U,15,FALSE),""))</f>
        <v/>
      </c>
      <c r="J374" s="12" t="n"/>
      <c r="K374" s="12" t="n"/>
      <c r="L374" s="12" t="n"/>
      <c r="M374" s="14" t="n"/>
      <c r="N374" s="12" t="n"/>
      <c r="O374" s="2" t="n"/>
      <c r="P374" s="2" t="n"/>
      <c r="Q374" s="2" t="n"/>
      <c r="R374" s="12" t="n"/>
      <c r="S374" s="12" t="n"/>
      <c r="T374" s="12" t="n"/>
      <c r="U374" s="12" t="n"/>
      <c r="V374" s="12" t="n"/>
      <c r="W374" s="12" t="n"/>
      <c r="X374" s="12" t="n"/>
      <c r="Y374" s="2" t="n"/>
      <c r="Z374" s="5">
        <f>IF(A374="","",(COUNTA(A374:G374)+COUNTA(J374:Y374))/23)</f>
        <v/>
      </c>
      <c r="AA374" s="2">
        <f>IF(B374="","",WORKDAY(B374,3))</f>
        <v/>
      </c>
      <c r="AB374" s="2">
        <f>IF(B374="","",WORKDAY(B374,5))</f>
        <v/>
      </c>
      <c r="AC374" s="2">
        <f>IF(B374="","",WORKDAY(B374,10))</f>
        <v/>
      </c>
      <c r="AD374" s="2" t="n"/>
    </row>
    <row r="375">
      <c r="A375" s="12" t="n"/>
      <c r="B375" s="12" t="n"/>
      <c r="C375" s="2" t="n"/>
      <c r="D375" s="4" t="n"/>
      <c r="E375" s="12" t="n"/>
      <c r="F375" s="2" t="n"/>
      <c r="G375" s="12" t="n"/>
      <c r="H375" s="2">
        <f>IF(G375="","",IFERROR(VLOOKUP(G375,板块观察!A:U,14,FALSE),""))</f>
        <v/>
      </c>
      <c r="I375" s="2">
        <f>IF(G375="","",IFERROR(VLOOKUP(G375,板块观察!A:U,15,FALSE),""))</f>
        <v/>
      </c>
      <c r="J375" s="12" t="n"/>
      <c r="K375" s="12" t="n"/>
      <c r="L375" s="12" t="n"/>
      <c r="M375" s="14" t="n"/>
      <c r="N375" s="12" t="n"/>
      <c r="O375" s="2" t="n"/>
      <c r="P375" s="2" t="n"/>
      <c r="Q375" s="2" t="n"/>
      <c r="R375" s="12" t="n"/>
      <c r="S375" s="12" t="n"/>
      <c r="T375" s="12" t="n"/>
      <c r="U375" s="12" t="n"/>
      <c r="V375" s="12" t="n"/>
      <c r="W375" s="12" t="n"/>
      <c r="X375" s="12" t="n"/>
      <c r="Y375" s="2" t="n"/>
      <c r="Z375" s="5">
        <f>IF(A375="","",(COUNTA(A375:G375)+COUNTA(J375:Y375))/23)</f>
        <v/>
      </c>
      <c r="AA375" s="2">
        <f>IF(B375="","",WORKDAY(B375,3))</f>
        <v/>
      </c>
      <c r="AB375" s="2">
        <f>IF(B375="","",WORKDAY(B375,5))</f>
        <v/>
      </c>
      <c r="AC375" s="2">
        <f>IF(B375="","",WORKDAY(B375,10))</f>
        <v/>
      </c>
      <c r="AD375" s="2" t="n"/>
    </row>
    <row r="376">
      <c r="A376" s="12" t="n"/>
      <c r="B376" s="12" t="n"/>
      <c r="C376" s="2" t="n"/>
      <c r="D376" s="4" t="n"/>
      <c r="E376" s="12" t="n"/>
      <c r="F376" s="2" t="n"/>
      <c r="G376" s="12" t="n"/>
      <c r="H376" s="2">
        <f>IF(G376="","",IFERROR(VLOOKUP(G376,板块观察!A:U,14,FALSE),""))</f>
        <v/>
      </c>
      <c r="I376" s="2">
        <f>IF(G376="","",IFERROR(VLOOKUP(G376,板块观察!A:U,15,FALSE),""))</f>
        <v/>
      </c>
      <c r="J376" s="12" t="n"/>
      <c r="K376" s="12" t="n"/>
      <c r="L376" s="12" t="n"/>
      <c r="M376" s="14" t="n"/>
      <c r="N376" s="12" t="n"/>
      <c r="O376" s="2" t="n"/>
      <c r="P376" s="2" t="n"/>
      <c r="Q376" s="2" t="n"/>
      <c r="R376" s="12" t="n"/>
      <c r="S376" s="12" t="n"/>
      <c r="T376" s="12" t="n"/>
      <c r="U376" s="12" t="n"/>
      <c r="V376" s="12" t="n"/>
      <c r="W376" s="12" t="n"/>
      <c r="X376" s="12" t="n"/>
      <c r="Y376" s="2" t="n"/>
      <c r="Z376" s="5">
        <f>IF(A376="","",(COUNTA(A376:G376)+COUNTA(J376:Y376))/23)</f>
        <v/>
      </c>
      <c r="AA376" s="2">
        <f>IF(B376="","",WORKDAY(B376,3))</f>
        <v/>
      </c>
      <c r="AB376" s="2">
        <f>IF(B376="","",WORKDAY(B376,5))</f>
        <v/>
      </c>
      <c r="AC376" s="2">
        <f>IF(B376="","",WORKDAY(B376,10))</f>
        <v/>
      </c>
      <c r="AD376" s="2" t="n"/>
    </row>
    <row r="377">
      <c r="A377" s="12" t="n"/>
      <c r="B377" s="12" t="n"/>
      <c r="C377" s="2" t="n"/>
      <c r="D377" s="4" t="n"/>
      <c r="E377" s="12" t="n"/>
      <c r="F377" s="2" t="n"/>
      <c r="G377" s="12" t="n"/>
      <c r="H377" s="2">
        <f>IF(G377="","",IFERROR(VLOOKUP(G377,板块观察!A:U,14,FALSE),""))</f>
        <v/>
      </c>
      <c r="I377" s="2">
        <f>IF(G377="","",IFERROR(VLOOKUP(G377,板块观察!A:U,15,FALSE),""))</f>
        <v/>
      </c>
      <c r="J377" s="12" t="n"/>
      <c r="K377" s="12" t="n"/>
      <c r="L377" s="12" t="n"/>
      <c r="M377" s="14" t="n"/>
      <c r="N377" s="12" t="n"/>
      <c r="O377" s="2" t="n"/>
      <c r="P377" s="2" t="n"/>
      <c r="Q377" s="2" t="n"/>
      <c r="R377" s="12" t="n"/>
      <c r="S377" s="12" t="n"/>
      <c r="T377" s="12" t="n"/>
      <c r="U377" s="12" t="n"/>
      <c r="V377" s="12" t="n"/>
      <c r="W377" s="12" t="n"/>
      <c r="X377" s="12" t="n"/>
      <c r="Y377" s="2" t="n"/>
      <c r="Z377" s="5">
        <f>IF(A377="","",(COUNTA(A377:G377)+COUNTA(J377:Y377))/23)</f>
        <v/>
      </c>
      <c r="AA377" s="2">
        <f>IF(B377="","",WORKDAY(B377,3))</f>
        <v/>
      </c>
      <c r="AB377" s="2">
        <f>IF(B377="","",WORKDAY(B377,5))</f>
        <v/>
      </c>
      <c r="AC377" s="2">
        <f>IF(B377="","",WORKDAY(B377,10))</f>
        <v/>
      </c>
      <c r="AD377" s="2" t="n"/>
    </row>
    <row r="378">
      <c r="A378" s="12" t="n"/>
      <c r="B378" s="12" t="n"/>
      <c r="C378" s="2" t="n"/>
      <c r="D378" s="4" t="n"/>
      <c r="E378" s="12" t="n"/>
      <c r="F378" s="2" t="n"/>
      <c r="G378" s="12" t="n"/>
      <c r="H378" s="2">
        <f>IF(G378="","",IFERROR(VLOOKUP(G378,板块观察!A:U,14,FALSE),""))</f>
        <v/>
      </c>
      <c r="I378" s="2">
        <f>IF(G378="","",IFERROR(VLOOKUP(G378,板块观察!A:U,15,FALSE),""))</f>
        <v/>
      </c>
      <c r="J378" s="12" t="n"/>
      <c r="K378" s="12" t="n"/>
      <c r="L378" s="12" t="n"/>
      <c r="M378" s="14" t="n"/>
      <c r="N378" s="12" t="n"/>
      <c r="O378" s="2" t="n"/>
      <c r="P378" s="2" t="n"/>
      <c r="Q378" s="2" t="n"/>
      <c r="R378" s="12" t="n"/>
      <c r="S378" s="12" t="n"/>
      <c r="T378" s="12" t="n"/>
      <c r="U378" s="12" t="n"/>
      <c r="V378" s="12" t="n"/>
      <c r="W378" s="12" t="n"/>
      <c r="X378" s="12" t="n"/>
      <c r="Y378" s="2" t="n"/>
      <c r="Z378" s="5">
        <f>IF(A378="","",(COUNTA(A378:G378)+COUNTA(J378:Y378))/23)</f>
        <v/>
      </c>
      <c r="AA378" s="2">
        <f>IF(B378="","",WORKDAY(B378,3))</f>
        <v/>
      </c>
      <c r="AB378" s="2">
        <f>IF(B378="","",WORKDAY(B378,5))</f>
        <v/>
      </c>
      <c r="AC378" s="2">
        <f>IF(B378="","",WORKDAY(B378,10))</f>
        <v/>
      </c>
      <c r="AD378" s="2" t="n"/>
    </row>
    <row r="379">
      <c r="A379" s="12" t="n"/>
      <c r="B379" s="12" t="n"/>
      <c r="C379" s="2" t="n"/>
      <c r="D379" s="4" t="n"/>
      <c r="E379" s="12" t="n"/>
      <c r="F379" s="2" t="n"/>
      <c r="G379" s="12" t="n"/>
      <c r="H379" s="2">
        <f>IF(G379="","",IFERROR(VLOOKUP(G379,板块观察!A:U,14,FALSE),""))</f>
        <v/>
      </c>
      <c r="I379" s="2">
        <f>IF(G379="","",IFERROR(VLOOKUP(G379,板块观察!A:U,15,FALSE),""))</f>
        <v/>
      </c>
      <c r="J379" s="12" t="n"/>
      <c r="K379" s="12" t="n"/>
      <c r="L379" s="12" t="n"/>
      <c r="M379" s="14" t="n"/>
      <c r="N379" s="12" t="n"/>
      <c r="O379" s="2" t="n"/>
      <c r="P379" s="2" t="n"/>
      <c r="Q379" s="2" t="n"/>
      <c r="R379" s="12" t="n"/>
      <c r="S379" s="12" t="n"/>
      <c r="T379" s="12" t="n"/>
      <c r="U379" s="12" t="n"/>
      <c r="V379" s="12" t="n"/>
      <c r="W379" s="12" t="n"/>
      <c r="X379" s="12" t="n"/>
      <c r="Y379" s="2" t="n"/>
      <c r="Z379" s="5">
        <f>IF(A379="","",(COUNTA(A379:G379)+COUNTA(J379:Y379))/23)</f>
        <v/>
      </c>
      <c r="AA379" s="2">
        <f>IF(B379="","",WORKDAY(B379,3))</f>
        <v/>
      </c>
      <c r="AB379" s="2">
        <f>IF(B379="","",WORKDAY(B379,5))</f>
        <v/>
      </c>
      <c r="AC379" s="2">
        <f>IF(B379="","",WORKDAY(B379,10))</f>
        <v/>
      </c>
      <c r="AD379" s="2" t="n"/>
    </row>
    <row r="380">
      <c r="A380" s="12" t="n"/>
      <c r="B380" s="12" t="n"/>
      <c r="C380" s="2" t="n"/>
      <c r="D380" s="4" t="n"/>
      <c r="E380" s="12" t="n"/>
      <c r="F380" s="2" t="n"/>
      <c r="G380" s="12" t="n"/>
      <c r="H380" s="2">
        <f>IF(G380="","",IFERROR(VLOOKUP(G380,板块观察!A:U,14,FALSE),""))</f>
        <v/>
      </c>
      <c r="I380" s="2">
        <f>IF(G380="","",IFERROR(VLOOKUP(G380,板块观察!A:U,15,FALSE),""))</f>
        <v/>
      </c>
      <c r="J380" s="12" t="n"/>
      <c r="K380" s="12" t="n"/>
      <c r="L380" s="12" t="n"/>
      <c r="M380" s="14" t="n"/>
      <c r="N380" s="12" t="n"/>
      <c r="O380" s="2" t="n"/>
      <c r="P380" s="2" t="n"/>
      <c r="Q380" s="2" t="n"/>
      <c r="R380" s="12" t="n"/>
      <c r="S380" s="12" t="n"/>
      <c r="T380" s="12" t="n"/>
      <c r="U380" s="12" t="n"/>
      <c r="V380" s="12" t="n"/>
      <c r="W380" s="12" t="n"/>
      <c r="X380" s="12" t="n"/>
      <c r="Y380" s="2" t="n"/>
      <c r="Z380" s="5">
        <f>IF(A380="","",(COUNTA(A380:G380)+COUNTA(J380:Y380))/23)</f>
        <v/>
      </c>
      <c r="AA380" s="2">
        <f>IF(B380="","",WORKDAY(B380,3))</f>
        <v/>
      </c>
      <c r="AB380" s="2">
        <f>IF(B380="","",WORKDAY(B380,5))</f>
        <v/>
      </c>
      <c r="AC380" s="2">
        <f>IF(B380="","",WORKDAY(B380,10))</f>
        <v/>
      </c>
      <c r="AD380" s="2" t="n"/>
    </row>
    <row r="381">
      <c r="A381" s="12" t="n"/>
      <c r="B381" s="12" t="n"/>
      <c r="C381" s="2" t="n"/>
      <c r="D381" s="4" t="n"/>
      <c r="E381" s="12" t="n"/>
      <c r="F381" s="2" t="n"/>
      <c r="G381" s="12" t="n"/>
      <c r="H381" s="2">
        <f>IF(G381="","",IFERROR(VLOOKUP(G381,板块观察!A:U,14,FALSE),""))</f>
        <v/>
      </c>
      <c r="I381" s="2">
        <f>IF(G381="","",IFERROR(VLOOKUP(G381,板块观察!A:U,15,FALSE),""))</f>
        <v/>
      </c>
      <c r="J381" s="12" t="n"/>
      <c r="K381" s="12" t="n"/>
      <c r="L381" s="12" t="n"/>
      <c r="M381" s="14" t="n"/>
      <c r="N381" s="12" t="n"/>
      <c r="O381" s="2" t="n"/>
      <c r="P381" s="2" t="n"/>
      <c r="Q381" s="2" t="n"/>
      <c r="R381" s="12" t="n"/>
      <c r="S381" s="12" t="n"/>
      <c r="T381" s="12" t="n"/>
      <c r="U381" s="12" t="n"/>
      <c r="V381" s="12" t="n"/>
      <c r="W381" s="12" t="n"/>
      <c r="X381" s="12" t="n"/>
      <c r="Y381" s="2" t="n"/>
      <c r="Z381" s="5">
        <f>IF(A381="","",(COUNTA(A381:G381)+COUNTA(J381:Y381))/23)</f>
        <v/>
      </c>
      <c r="AA381" s="2">
        <f>IF(B381="","",WORKDAY(B381,3))</f>
        <v/>
      </c>
      <c r="AB381" s="2">
        <f>IF(B381="","",WORKDAY(B381,5))</f>
        <v/>
      </c>
      <c r="AC381" s="2">
        <f>IF(B381="","",WORKDAY(B381,10))</f>
        <v/>
      </c>
      <c r="AD381" s="2" t="n"/>
    </row>
    <row r="382">
      <c r="A382" s="12" t="n"/>
      <c r="B382" s="12" t="n"/>
      <c r="C382" s="2" t="n"/>
      <c r="D382" s="4" t="n"/>
      <c r="E382" s="12" t="n"/>
      <c r="F382" s="2" t="n"/>
      <c r="G382" s="12" t="n"/>
      <c r="H382" s="2">
        <f>IF(G382="","",IFERROR(VLOOKUP(G382,板块观察!A:U,14,FALSE),""))</f>
        <v/>
      </c>
      <c r="I382" s="2">
        <f>IF(G382="","",IFERROR(VLOOKUP(G382,板块观察!A:U,15,FALSE),""))</f>
        <v/>
      </c>
      <c r="J382" s="12" t="n"/>
      <c r="K382" s="12" t="n"/>
      <c r="L382" s="12" t="n"/>
      <c r="M382" s="14" t="n"/>
      <c r="N382" s="12" t="n"/>
      <c r="O382" s="2" t="n"/>
      <c r="P382" s="2" t="n"/>
      <c r="Q382" s="2" t="n"/>
      <c r="R382" s="12" t="n"/>
      <c r="S382" s="12" t="n"/>
      <c r="T382" s="12" t="n"/>
      <c r="U382" s="12" t="n"/>
      <c r="V382" s="12" t="n"/>
      <c r="W382" s="12" t="n"/>
      <c r="X382" s="12" t="n"/>
      <c r="Y382" s="2" t="n"/>
      <c r="Z382" s="5">
        <f>IF(A382="","",(COUNTA(A382:G382)+COUNTA(J382:Y382))/23)</f>
        <v/>
      </c>
      <c r="AA382" s="2">
        <f>IF(B382="","",WORKDAY(B382,3))</f>
        <v/>
      </c>
      <c r="AB382" s="2">
        <f>IF(B382="","",WORKDAY(B382,5))</f>
        <v/>
      </c>
      <c r="AC382" s="2">
        <f>IF(B382="","",WORKDAY(B382,10))</f>
        <v/>
      </c>
      <c r="AD382" s="2" t="n"/>
    </row>
    <row r="383">
      <c r="A383" s="12" t="n"/>
      <c r="B383" s="12" t="n"/>
      <c r="C383" s="2" t="n"/>
      <c r="D383" s="4" t="n"/>
      <c r="E383" s="12" t="n"/>
      <c r="F383" s="2" t="n"/>
      <c r="G383" s="12" t="n"/>
      <c r="H383" s="2">
        <f>IF(G383="","",IFERROR(VLOOKUP(G383,板块观察!A:U,14,FALSE),""))</f>
        <v/>
      </c>
      <c r="I383" s="2">
        <f>IF(G383="","",IFERROR(VLOOKUP(G383,板块观察!A:U,15,FALSE),""))</f>
        <v/>
      </c>
      <c r="J383" s="12" t="n"/>
      <c r="K383" s="12" t="n"/>
      <c r="L383" s="12" t="n"/>
      <c r="M383" s="14" t="n"/>
      <c r="N383" s="12" t="n"/>
      <c r="O383" s="2" t="n"/>
      <c r="P383" s="2" t="n"/>
      <c r="Q383" s="2" t="n"/>
      <c r="R383" s="12" t="n"/>
      <c r="S383" s="12" t="n"/>
      <c r="T383" s="12" t="n"/>
      <c r="U383" s="12" t="n"/>
      <c r="V383" s="12" t="n"/>
      <c r="W383" s="12" t="n"/>
      <c r="X383" s="12" t="n"/>
      <c r="Y383" s="2" t="n"/>
      <c r="Z383" s="5">
        <f>IF(A383="","",(COUNTA(A383:G383)+COUNTA(J383:Y383))/23)</f>
        <v/>
      </c>
      <c r="AA383" s="2">
        <f>IF(B383="","",WORKDAY(B383,3))</f>
        <v/>
      </c>
      <c r="AB383" s="2">
        <f>IF(B383="","",WORKDAY(B383,5))</f>
        <v/>
      </c>
      <c r="AC383" s="2">
        <f>IF(B383="","",WORKDAY(B383,10))</f>
        <v/>
      </c>
      <c r="AD383" s="2" t="n"/>
    </row>
    <row r="384">
      <c r="A384" s="12" t="n"/>
      <c r="B384" s="12" t="n"/>
      <c r="C384" s="2" t="n"/>
      <c r="D384" s="4" t="n"/>
      <c r="E384" s="12" t="n"/>
      <c r="F384" s="2" t="n"/>
      <c r="G384" s="12" t="n"/>
      <c r="H384" s="2">
        <f>IF(G384="","",IFERROR(VLOOKUP(G384,板块观察!A:U,14,FALSE),""))</f>
        <v/>
      </c>
      <c r="I384" s="2">
        <f>IF(G384="","",IFERROR(VLOOKUP(G384,板块观察!A:U,15,FALSE),""))</f>
        <v/>
      </c>
      <c r="J384" s="12" t="n"/>
      <c r="K384" s="12" t="n"/>
      <c r="L384" s="12" t="n"/>
      <c r="M384" s="14" t="n"/>
      <c r="N384" s="12" t="n"/>
      <c r="O384" s="2" t="n"/>
      <c r="P384" s="2" t="n"/>
      <c r="Q384" s="2" t="n"/>
      <c r="R384" s="12" t="n"/>
      <c r="S384" s="12" t="n"/>
      <c r="T384" s="12" t="n"/>
      <c r="U384" s="12" t="n"/>
      <c r="V384" s="12" t="n"/>
      <c r="W384" s="12" t="n"/>
      <c r="X384" s="12" t="n"/>
      <c r="Y384" s="2" t="n"/>
      <c r="Z384" s="5">
        <f>IF(A384="","",(COUNTA(A384:G384)+COUNTA(J384:Y384))/23)</f>
        <v/>
      </c>
      <c r="AA384" s="2">
        <f>IF(B384="","",WORKDAY(B384,3))</f>
        <v/>
      </c>
      <c r="AB384" s="2">
        <f>IF(B384="","",WORKDAY(B384,5))</f>
        <v/>
      </c>
      <c r="AC384" s="2">
        <f>IF(B384="","",WORKDAY(B384,10))</f>
        <v/>
      </c>
      <c r="AD384" s="2" t="n"/>
    </row>
    <row r="385">
      <c r="A385" s="12" t="n"/>
      <c r="B385" s="12" t="n"/>
      <c r="C385" s="2" t="n"/>
      <c r="D385" s="4" t="n"/>
      <c r="E385" s="12" t="n"/>
      <c r="F385" s="2" t="n"/>
      <c r="G385" s="12" t="n"/>
      <c r="H385" s="2">
        <f>IF(G385="","",IFERROR(VLOOKUP(G385,板块观察!A:U,14,FALSE),""))</f>
        <v/>
      </c>
      <c r="I385" s="2">
        <f>IF(G385="","",IFERROR(VLOOKUP(G385,板块观察!A:U,15,FALSE),""))</f>
        <v/>
      </c>
      <c r="J385" s="12" t="n"/>
      <c r="K385" s="12" t="n"/>
      <c r="L385" s="12" t="n"/>
      <c r="M385" s="14" t="n"/>
      <c r="N385" s="12" t="n"/>
      <c r="O385" s="2" t="n"/>
      <c r="P385" s="2" t="n"/>
      <c r="Q385" s="2" t="n"/>
      <c r="R385" s="12" t="n"/>
      <c r="S385" s="12" t="n"/>
      <c r="T385" s="12" t="n"/>
      <c r="U385" s="12" t="n"/>
      <c r="V385" s="12" t="n"/>
      <c r="W385" s="12" t="n"/>
      <c r="X385" s="12" t="n"/>
      <c r="Y385" s="2" t="n"/>
      <c r="Z385" s="5">
        <f>IF(A385="","",(COUNTA(A385:G385)+COUNTA(J385:Y385))/23)</f>
        <v/>
      </c>
      <c r="AA385" s="2">
        <f>IF(B385="","",WORKDAY(B385,3))</f>
        <v/>
      </c>
      <c r="AB385" s="2">
        <f>IF(B385="","",WORKDAY(B385,5))</f>
        <v/>
      </c>
      <c r="AC385" s="2">
        <f>IF(B385="","",WORKDAY(B385,10))</f>
        <v/>
      </c>
      <c r="AD385" s="2" t="n"/>
    </row>
    <row r="386">
      <c r="A386" s="12" t="n"/>
      <c r="B386" s="12" t="n"/>
      <c r="C386" s="2" t="n"/>
      <c r="D386" s="4" t="n"/>
      <c r="E386" s="12" t="n"/>
      <c r="F386" s="2" t="n"/>
      <c r="G386" s="12" t="n"/>
      <c r="H386" s="2">
        <f>IF(G386="","",IFERROR(VLOOKUP(G386,板块观察!A:U,14,FALSE),""))</f>
        <v/>
      </c>
      <c r="I386" s="2">
        <f>IF(G386="","",IFERROR(VLOOKUP(G386,板块观察!A:U,15,FALSE),""))</f>
        <v/>
      </c>
      <c r="J386" s="12" t="n"/>
      <c r="K386" s="12" t="n"/>
      <c r="L386" s="12" t="n"/>
      <c r="M386" s="14" t="n"/>
      <c r="N386" s="12" t="n"/>
      <c r="O386" s="2" t="n"/>
      <c r="P386" s="2" t="n"/>
      <c r="Q386" s="2" t="n"/>
      <c r="R386" s="12" t="n"/>
      <c r="S386" s="12" t="n"/>
      <c r="T386" s="12" t="n"/>
      <c r="U386" s="12" t="n"/>
      <c r="V386" s="12" t="n"/>
      <c r="W386" s="12" t="n"/>
      <c r="X386" s="12" t="n"/>
      <c r="Y386" s="2" t="n"/>
      <c r="Z386" s="5">
        <f>IF(A386="","",(COUNTA(A386:G386)+COUNTA(J386:Y386))/23)</f>
        <v/>
      </c>
      <c r="AA386" s="2">
        <f>IF(B386="","",WORKDAY(B386,3))</f>
        <v/>
      </c>
      <c r="AB386" s="2">
        <f>IF(B386="","",WORKDAY(B386,5))</f>
        <v/>
      </c>
      <c r="AC386" s="2">
        <f>IF(B386="","",WORKDAY(B386,10))</f>
        <v/>
      </c>
      <c r="AD386" s="2" t="n"/>
    </row>
    <row r="387">
      <c r="A387" s="12" t="n"/>
      <c r="B387" s="12" t="n"/>
      <c r="C387" s="2" t="n"/>
      <c r="D387" s="4" t="n"/>
      <c r="E387" s="12" t="n"/>
      <c r="F387" s="2" t="n"/>
      <c r="G387" s="12" t="n"/>
      <c r="H387" s="2">
        <f>IF(G387="","",IFERROR(VLOOKUP(G387,板块观察!A:U,14,FALSE),""))</f>
        <v/>
      </c>
      <c r="I387" s="2">
        <f>IF(G387="","",IFERROR(VLOOKUP(G387,板块观察!A:U,15,FALSE),""))</f>
        <v/>
      </c>
      <c r="J387" s="12" t="n"/>
      <c r="K387" s="12" t="n"/>
      <c r="L387" s="12" t="n"/>
      <c r="M387" s="14" t="n"/>
      <c r="N387" s="12" t="n"/>
      <c r="O387" s="2" t="n"/>
      <c r="P387" s="2" t="n"/>
      <c r="Q387" s="2" t="n"/>
      <c r="R387" s="12" t="n"/>
      <c r="S387" s="12" t="n"/>
      <c r="T387" s="12" t="n"/>
      <c r="U387" s="12" t="n"/>
      <c r="V387" s="12" t="n"/>
      <c r="W387" s="12" t="n"/>
      <c r="X387" s="12" t="n"/>
      <c r="Y387" s="2" t="n"/>
      <c r="Z387" s="5">
        <f>IF(A387="","",(COUNTA(A387:G387)+COUNTA(J387:Y387))/23)</f>
        <v/>
      </c>
      <c r="AA387" s="2">
        <f>IF(B387="","",WORKDAY(B387,3))</f>
        <v/>
      </c>
      <c r="AB387" s="2">
        <f>IF(B387="","",WORKDAY(B387,5))</f>
        <v/>
      </c>
      <c r="AC387" s="2">
        <f>IF(B387="","",WORKDAY(B387,10))</f>
        <v/>
      </c>
      <c r="AD387" s="2" t="n"/>
    </row>
    <row r="388">
      <c r="A388" s="12" t="n"/>
      <c r="B388" s="12" t="n"/>
      <c r="C388" s="2" t="n"/>
      <c r="D388" s="4" t="n"/>
      <c r="E388" s="12" t="n"/>
      <c r="F388" s="2" t="n"/>
      <c r="G388" s="12" t="n"/>
      <c r="H388" s="2">
        <f>IF(G388="","",IFERROR(VLOOKUP(G388,板块观察!A:U,14,FALSE),""))</f>
        <v/>
      </c>
      <c r="I388" s="2">
        <f>IF(G388="","",IFERROR(VLOOKUP(G388,板块观察!A:U,15,FALSE),""))</f>
        <v/>
      </c>
      <c r="J388" s="12" t="n"/>
      <c r="K388" s="12" t="n"/>
      <c r="L388" s="12" t="n"/>
      <c r="M388" s="14" t="n"/>
      <c r="N388" s="12" t="n"/>
      <c r="O388" s="2" t="n"/>
      <c r="P388" s="2" t="n"/>
      <c r="Q388" s="2" t="n"/>
      <c r="R388" s="12" t="n"/>
      <c r="S388" s="12" t="n"/>
      <c r="T388" s="12" t="n"/>
      <c r="U388" s="12" t="n"/>
      <c r="V388" s="12" t="n"/>
      <c r="W388" s="12" t="n"/>
      <c r="X388" s="12" t="n"/>
      <c r="Y388" s="2" t="n"/>
      <c r="Z388" s="5">
        <f>IF(A388="","",(COUNTA(A388:G388)+COUNTA(J388:Y388))/23)</f>
        <v/>
      </c>
      <c r="AA388" s="2">
        <f>IF(B388="","",WORKDAY(B388,3))</f>
        <v/>
      </c>
      <c r="AB388" s="2">
        <f>IF(B388="","",WORKDAY(B388,5))</f>
        <v/>
      </c>
      <c r="AC388" s="2">
        <f>IF(B388="","",WORKDAY(B388,10))</f>
        <v/>
      </c>
      <c r="AD388" s="2" t="n"/>
    </row>
    <row r="389">
      <c r="A389" s="12" t="n"/>
      <c r="B389" s="12" t="n"/>
      <c r="C389" s="2" t="n"/>
      <c r="D389" s="4" t="n"/>
      <c r="E389" s="12" t="n"/>
      <c r="F389" s="2" t="n"/>
      <c r="G389" s="12" t="n"/>
      <c r="H389" s="2">
        <f>IF(G389="","",IFERROR(VLOOKUP(G389,板块观察!A:U,14,FALSE),""))</f>
        <v/>
      </c>
      <c r="I389" s="2">
        <f>IF(G389="","",IFERROR(VLOOKUP(G389,板块观察!A:U,15,FALSE),""))</f>
        <v/>
      </c>
      <c r="J389" s="12" t="n"/>
      <c r="K389" s="12" t="n"/>
      <c r="L389" s="12" t="n"/>
      <c r="M389" s="14" t="n"/>
      <c r="N389" s="12" t="n"/>
      <c r="O389" s="2" t="n"/>
      <c r="P389" s="2" t="n"/>
      <c r="Q389" s="2" t="n"/>
      <c r="R389" s="12" t="n"/>
      <c r="S389" s="12" t="n"/>
      <c r="T389" s="12" t="n"/>
      <c r="U389" s="12" t="n"/>
      <c r="V389" s="12" t="n"/>
      <c r="W389" s="12" t="n"/>
      <c r="X389" s="12" t="n"/>
      <c r="Y389" s="2" t="n"/>
      <c r="Z389" s="5">
        <f>IF(A389="","",(COUNTA(A389:G389)+COUNTA(J389:Y389))/23)</f>
        <v/>
      </c>
      <c r="AA389" s="2">
        <f>IF(B389="","",WORKDAY(B389,3))</f>
        <v/>
      </c>
      <c r="AB389" s="2">
        <f>IF(B389="","",WORKDAY(B389,5))</f>
        <v/>
      </c>
      <c r="AC389" s="2">
        <f>IF(B389="","",WORKDAY(B389,10))</f>
        <v/>
      </c>
      <c r="AD389" s="2" t="n"/>
    </row>
    <row r="390">
      <c r="A390" s="12" t="n"/>
      <c r="B390" s="12" t="n"/>
      <c r="C390" s="2" t="n"/>
      <c r="D390" s="4" t="n"/>
      <c r="E390" s="12" t="n"/>
      <c r="F390" s="2" t="n"/>
      <c r="G390" s="12" t="n"/>
      <c r="H390" s="2">
        <f>IF(G390="","",IFERROR(VLOOKUP(G390,板块观察!A:U,14,FALSE),""))</f>
        <v/>
      </c>
      <c r="I390" s="2">
        <f>IF(G390="","",IFERROR(VLOOKUP(G390,板块观察!A:U,15,FALSE),""))</f>
        <v/>
      </c>
      <c r="J390" s="12" t="n"/>
      <c r="K390" s="12" t="n"/>
      <c r="L390" s="12" t="n"/>
      <c r="M390" s="14" t="n"/>
      <c r="N390" s="12" t="n"/>
      <c r="O390" s="2" t="n"/>
      <c r="P390" s="2" t="n"/>
      <c r="Q390" s="2" t="n"/>
      <c r="R390" s="12" t="n"/>
      <c r="S390" s="12" t="n"/>
      <c r="T390" s="12" t="n"/>
      <c r="U390" s="12" t="n"/>
      <c r="V390" s="12" t="n"/>
      <c r="W390" s="12" t="n"/>
      <c r="X390" s="12" t="n"/>
      <c r="Y390" s="2" t="n"/>
      <c r="Z390" s="5">
        <f>IF(A390="","",(COUNTA(A390:G390)+COUNTA(J390:Y390))/23)</f>
        <v/>
      </c>
      <c r="AA390" s="2">
        <f>IF(B390="","",WORKDAY(B390,3))</f>
        <v/>
      </c>
      <c r="AB390" s="2">
        <f>IF(B390="","",WORKDAY(B390,5))</f>
        <v/>
      </c>
      <c r="AC390" s="2">
        <f>IF(B390="","",WORKDAY(B390,10))</f>
        <v/>
      </c>
      <c r="AD390" s="2" t="n"/>
    </row>
    <row r="391">
      <c r="A391" s="12" t="n"/>
      <c r="B391" s="12" t="n"/>
      <c r="C391" s="2" t="n"/>
      <c r="D391" s="4" t="n"/>
      <c r="E391" s="12" t="n"/>
      <c r="F391" s="2" t="n"/>
      <c r="G391" s="12" t="n"/>
      <c r="H391" s="2">
        <f>IF(G391="","",IFERROR(VLOOKUP(G391,板块观察!A:U,14,FALSE),""))</f>
        <v/>
      </c>
      <c r="I391" s="2">
        <f>IF(G391="","",IFERROR(VLOOKUP(G391,板块观察!A:U,15,FALSE),""))</f>
        <v/>
      </c>
      <c r="J391" s="12" t="n"/>
      <c r="K391" s="12" t="n"/>
      <c r="L391" s="12" t="n"/>
      <c r="M391" s="14" t="n"/>
      <c r="N391" s="12" t="n"/>
      <c r="O391" s="2" t="n"/>
      <c r="P391" s="2" t="n"/>
      <c r="Q391" s="2" t="n"/>
      <c r="R391" s="12" t="n"/>
      <c r="S391" s="12" t="n"/>
      <c r="T391" s="12" t="n"/>
      <c r="U391" s="12" t="n"/>
      <c r="V391" s="12" t="n"/>
      <c r="W391" s="12" t="n"/>
      <c r="X391" s="12" t="n"/>
      <c r="Y391" s="2" t="n"/>
      <c r="Z391" s="5">
        <f>IF(A391="","",(COUNTA(A391:G391)+COUNTA(J391:Y391))/23)</f>
        <v/>
      </c>
      <c r="AA391" s="2">
        <f>IF(B391="","",WORKDAY(B391,3))</f>
        <v/>
      </c>
      <c r="AB391" s="2">
        <f>IF(B391="","",WORKDAY(B391,5))</f>
        <v/>
      </c>
      <c r="AC391" s="2">
        <f>IF(B391="","",WORKDAY(B391,10))</f>
        <v/>
      </c>
      <c r="AD391" s="2" t="n"/>
    </row>
    <row r="392">
      <c r="A392" s="12" t="n"/>
      <c r="B392" s="12" t="n"/>
      <c r="C392" s="2" t="n"/>
      <c r="D392" s="4" t="n"/>
      <c r="E392" s="12" t="n"/>
      <c r="F392" s="2" t="n"/>
      <c r="G392" s="12" t="n"/>
      <c r="H392" s="2">
        <f>IF(G392="","",IFERROR(VLOOKUP(G392,板块观察!A:U,14,FALSE),""))</f>
        <v/>
      </c>
      <c r="I392" s="2">
        <f>IF(G392="","",IFERROR(VLOOKUP(G392,板块观察!A:U,15,FALSE),""))</f>
        <v/>
      </c>
      <c r="J392" s="12" t="n"/>
      <c r="K392" s="12" t="n"/>
      <c r="L392" s="12" t="n"/>
      <c r="M392" s="14" t="n"/>
      <c r="N392" s="12" t="n"/>
      <c r="O392" s="2" t="n"/>
      <c r="P392" s="2" t="n"/>
      <c r="Q392" s="2" t="n"/>
      <c r="R392" s="12" t="n"/>
      <c r="S392" s="12" t="n"/>
      <c r="T392" s="12" t="n"/>
      <c r="U392" s="12" t="n"/>
      <c r="V392" s="12" t="n"/>
      <c r="W392" s="12" t="n"/>
      <c r="X392" s="12" t="n"/>
      <c r="Y392" s="2" t="n"/>
      <c r="Z392" s="5">
        <f>IF(A392="","",(COUNTA(A392:G392)+COUNTA(J392:Y392))/23)</f>
        <v/>
      </c>
      <c r="AA392" s="2">
        <f>IF(B392="","",WORKDAY(B392,3))</f>
        <v/>
      </c>
      <c r="AB392" s="2">
        <f>IF(B392="","",WORKDAY(B392,5))</f>
        <v/>
      </c>
      <c r="AC392" s="2">
        <f>IF(B392="","",WORKDAY(B392,10))</f>
        <v/>
      </c>
      <c r="AD392" s="2" t="n"/>
    </row>
    <row r="393">
      <c r="A393" s="12" t="n"/>
      <c r="B393" s="12" t="n"/>
      <c r="C393" s="2" t="n"/>
      <c r="D393" s="4" t="n"/>
      <c r="E393" s="12" t="n"/>
      <c r="F393" s="2" t="n"/>
      <c r="G393" s="12" t="n"/>
      <c r="H393" s="2">
        <f>IF(G393="","",IFERROR(VLOOKUP(G393,板块观察!A:U,14,FALSE),""))</f>
        <v/>
      </c>
      <c r="I393" s="2">
        <f>IF(G393="","",IFERROR(VLOOKUP(G393,板块观察!A:U,15,FALSE),""))</f>
        <v/>
      </c>
      <c r="J393" s="12" t="n"/>
      <c r="K393" s="12" t="n"/>
      <c r="L393" s="12" t="n"/>
      <c r="M393" s="14" t="n"/>
      <c r="N393" s="12" t="n"/>
      <c r="O393" s="2" t="n"/>
      <c r="P393" s="2" t="n"/>
      <c r="Q393" s="2" t="n"/>
      <c r="R393" s="12" t="n"/>
      <c r="S393" s="12" t="n"/>
      <c r="T393" s="12" t="n"/>
      <c r="U393" s="12" t="n"/>
      <c r="V393" s="12" t="n"/>
      <c r="W393" s="12" t="n"/>
      <c r="X393" s="12" t="n"/>
      <c r="Y393" s="2" t="n"/>
      <c r="Z393" s="5">
        <f>IF(A393="","",(COUNTA(A393:G393)+COUNTA(J393:Y393))/23)</f>
        <v/>
      </c>
      <c r="AA393" s="2">
        <f>IF(B393="","",WORKDAY(B393,3))</f>
        <v/>
      </c>
      <c r="AB393" s="2">
        <f>IF(B393="","",WORKDAY(B393,5))</f>
        <v/>
      </c>
      <c r="AC393" s="2">
        <f>IF(B393="","",WORKDAY(B393,10))</f>
        <v/>
      </c>
      <c r="AD393" s="2" t="n"/>
    </row>
    <row r="394">
      <c r="A394" s="12" t="n"/>
      <c r="B394" s="12" t="n"/>
      <c r="C394" s="2" t="n"/>
      <c r="D394" s="4" t="n"/>
      <c r="E394" s="12" t="n"/>
      <c r="F394" s="2" t="n"/>
      <c r="G394" s="12" t="n"/>
      <c r="H394" s="2">
        <f>IF(G394="","",IFERROR(VLOOKUP(G394,板块观察!A:U,14,FALSE),""))</f>
        <v/>
      </c>
      <c r="I394" s="2">
        <f>IF(G394="","",IFERROR(VLOOKUP(G394,板块观察!A:U,15,FALSE),""))</f>
        <v/>
      </c>
      <c r="J394" s="12" t="n"/>
      <c r="K394" s="12" t="n"/>
      <c r="L394" s="12" t="n"/>
      <c r="M394" s="14" t="n"/>
      <c r="N394" s="12" t="n"/>
      <c r="O394" s="2" t="n"/>
      <c r="P394" s="2" t="n"/>
      <c r="Q394" s="2" t="n"/>
      <c r="R394" s="12" t="n"/>
      <c r="S394" s="12" t="n"/>
      <c r="T394" s="12" t="n"/>
      <c r="U394" s="12" t="n"/>
      <c r="V394" s="12" t="n"/>
      <c r="W394" s="12" t="n"/>
      <c r="X394" s="12" t="n"/>
      <c r="Y394" s="2" t="n"/>
      <c r="Z394" s="5">
        <f>IF(A394="","",(COUNTA(A394:G394)+COUNTA(J394:Y394))/23)</f>
        <v/>
      </c>
      <c r="AA394" s="2">
        <f>IF(B394="","",WORKDAY(B394,3))</f>
        <v/>
      </c>
      <c r="AB394" s="2">
        <f>IF(B394="","",WORKDAY(B394,5))</f>
        <v/>
      </c>
      <c r="AC394" s="2">
        <f>IF(B394="","",WORKDAY(B394,10))</f>
        <v/>
      </c>
      <c r="AD394" s="2" t="n"/>
    </row>
    <row r="395">
      <c r="A395" s="12" t="n"/>
      <c r="B395" s="12" t="n"/>
      <c r="C395" s="2" t="n"/>
      <c r="D395" s="4" t="n"/>
      <c r="E395" s="12" t="n"/>
      <c r="F395" s="2" t="n"/>
      <c r="G395" s="12" t="n"/>
      <c r="H395" s="2">
        <f>IF(G395="","",IFERROR(VLOOKUP(G395,板块观察!A:U,14,FALSE),""))</f>
        <v/>
      </c>
      <c r="I395" s="2">
        <f>IF(G395="","",IFERROR(VLOOKUP(G395,板块观察!A:U,15,FALSE),""))</f>
        <v/>
      </c>
      <c r="J395" s="12" t="n"/>
      <c r="K395" s="12" t="n"/>
      <c r="L395" s="12" t="n"/>
      <c r="M395" s="14" t="n"/>
      <c r="N395" s="12" t="n"/>
      <c r="O395" s="2" t="n"/>
      <c r="P395" s="2" t="n"/>
      <c r="Q395" s="2" t="n"/>
      <c r="R395" s="12" t="n"/>
      <c r="S395" s="12" t="n"/>
      <c r="T395" s="12" t="n"/>
      <c r="U395" s="12" t="n"/>
      <c r="V395" s="12" t="n"/>
      <c r="W395" s="12" t="n"/>
      <c r="X395" s="12" t="n"/>
      <c r="Y395" s="2" t="n"/>
      <c r="Z395" s="5">
        <f>IF(A395="","",(COUNTA(A395:G395)+COUNTA(J395:Y395))/23)</f>
        <v/>
      </c>
      <c r="AA395" s="2">
        <f>IF(B395="","",WORKDAY(B395,3))</f>
        <v/>
      </c>
      <c r="AB395" s="2">
        <f>IF(B395="","",WORKDAY(B395,5))</f>
        <v/>
      </c>
      <c r="AC395" s="2">
        <f>IF(B395="","",WORKDAY(B395,10))</f>
        <v/>
      </c>
      <c r="AD395" s="2" t="n"/>
    </row>
    <row r="396">
      <c r="A396" s="12" t="n"/>
      <c r="B396" s="12" t="n"/>
      <c r="C396" s="2" t="n"/>
      <c r="D396" s="4" t="n"/>
      <c r="E396" s="12" t="n"/>
      <c r="F396" s="2" t="n"/>
      <c r="G396" s="12" t="n"/>
      <c r="H396" s="2">
        <f>IF(G396="","",IFERROR(VLOOKUP(G396,板块观察!A:U,14,FALSE),""))</f>
        <v/>
      </c>
      <c r="I396" s="2">
        <f>IF(G396="","",IFERROR(VLOOKUP(G396,板块观察!A:U,15,FALSE),""))</f>
        <v/>
      </c>
      <c r="J396" s="12" t="n"/>
      <c r="K396" s="12" t="n"/>
      <c r="L396" s="12" t="n"/>
      <c r="M396" s="14" t="n"/>
      <c r="N396" s="12" t="n"/>
      <c r="O396" s="2" t="n"/>
      <c r="P396" s="2" t="n"/>
      <c r="Q396" s="2" t="n"/>
      <c r="R396" s="12" t="n"/>
      <c r="S396" s="12" t="n"/>
      <c r="T396" s="12" t="n"/>
      <c r="U396" s="12" t="n"/>
      <c r="V396" s="12" t="n"/>
      <c r="W396" s="12" t="n"/>
      <c r="X396" s="12" t="n"/>
      <c r="Y396" s="2" t="n"/>
      <c r="Z396" s="5">
        <f>IF(A396="","",(COUNTA(A396:G396)+COUNTA(J396:Y396))/23)</f>
        <v/>
      </c>
      <c r="AA396" s="2">
        <f>IF(B396="","",WORKDAY(B396,3))</f>
        <v/>
      </c>
      <c r="AB396" s="2">
        <f>IF(B396="","",WORKDAY(B396,5))</f>
        <v/>
      </c>
      <c r="AC396" s="2">
        <f>IF(B396="","",WORKDAY(B396,10))</f>
        <v/>
      </c>
      <c r="AD396" s="2" t="n"/>
    </row>
    <row r="397">
      <c r="A397" s="12" t="n"/>
      <c r="B397" s="12" t="n"/>
      <c r="C397" s="2" t="n"/>
      <c r="D397" s="4" t="n"/>
      <c r="E397" s="12" t="n"/>
      <c r="F397" s="2" t="n"/>
      <c r="G397" s="12" t="n"/>
      <c r="H397" s="2">
        <f>IF(G397="","",IFERROR(VLOOKUP(G397,板块观察!A:U,14,FALSE),""))</f>
        <v/>
      </c>
      <c r="I397" s="2">
        <f>IF(G397="","",IFERROR(VLOOKUP(G397,板块观察!A:U,15,FALSE),""))</f>
        <v/>
      </c>
      <c r="J397" s="12" t="n"/>
      <c r="K397" s="12" t="n"/>
      <c r="L397" s="12" t="n"/>
      <c r="M397" s="14" t="n"/>
      <c r="N397" s="12" t="n"/>
      <c r="O397" s="2" t="n"/>
      <c r="P397" s="2" t="n"/>
      <c r="Q397" s="2" t="n"/>
      <c r="R397" s="12" t="n"/>
      <c r="S397" s="12" t="n"/>
      <c r="T397" s="12" t="n"/>
      <c r="U397" s="12" t="n"/>
      <c r="V397" s="12" t="n"/>
      <c r="W397" s="12" t="n"/>
      <c r="X397" s="12" t="n"/>
      <c r="Y397" s="2" t="n"/>
      <c r="Z397" s="5">
        <f>IF(A397="","",(COUNTA(A397:G397)+COUNTA(J397:Y397))/23)</f>
        <v/>
      </c>
      <c r="AA397" s="2">
        <f>IF(B397="","",WORKDAY(B397,3))</f>
        <v/>
      </c>
      <c r="AB397" s="2">
        <f>IF(B397="","",WORKDAY(B397,5))</f>
        <v/>
      </c>
      <c r="AC397" s="2">
        <f>IF(B397="","",WORKDAY(B397,10))</f>
        <v/>
      </c>
      <c r="AD397" s="2" t="n"/>
    </row>
    <row r="398">
      <c r="A398" s="12" t="n"/>
      <c r="B398" s="12" t="n"/>
      <c r="C398" s="2" t="n"/>
      <c r="D398" s="4" t="n"/>
      <c r="E398" s="12" t="n"/>
      <c r="F398" s="2" t="n"/>
      <c r="G398" s="12" t="n"/>
      <c r="H398" s="2">
        <f>IF(G398="","",IFERROR(VLOOKUP(G398,板块观察!A:U,14,FALSE),""))</f>
        <v/>
      </c>
      <c r="I398" s="2">
        <f>IF(G398="","",IFERROR(VLOOKUP(G398,板块观察!A:U,15,FALSE),""))</f>
        <v/>
      </c>
      <c r="J398" s="12" t="n"/>
      <c r="K398" s="12" t="n"/>
      <c r="L398" s="12" t="n"/>
      <c r="M398" s="14" t="n"/>
      <c r="N398" s="12" t="n"/>
      <c r="O398" s="2" t="n"/>
      <c r="P398" s="2" t="n"/>
      <c r="Q398" s="2" t="n"/>
      <c r="R398" s="12" t="n"/>
      <c r="S398" s="12" t="n"/>
      <c r="T398" s="12" t="n"/>
      <c r="U398" s="12" t="n"/>
      <c r="V398" s="12" t="n"/>
      <c r="W398" s="12" t="n"/>
      <c r="X398" s="12" t="n"/>
      <c r="Y398" s="2" t="n"/>
      <c r="Z398" s="5">
        <f>IF(A398="","",(COUNTA(A398:G398)+COUNTA(J398:Y398))/23)</f>
        <v/>
      </c>
      <c r="AA398" s="2">
        <f>IF(B398="","",WORKDAY(B398,3))</f>
        <v/>
      </c>
      <c r="AB398" s="2">
        <f>IF(B398="","",WORKDAY(B398,5))</f>
        <v/>
      </c>
      <c r="AC398" s="2">
        <f>IF(B398="","",WORKDAY(B398,10))</f>
        <v/>
      </c>
      <c r="AD398" s="2" t="n"/>
    </row>
    <row r="399">
      <c r="A399" s="12" t="n"/>
      <c r="B399" s="12" t="n"/>
      <c r="C399" s="2" t="n"/>
      <c r="D399" s="4" t="n"/>
      <c r="E399" s="12" t="n"/>
      <c r="F399" s="2" t="n"/>
      <c r="G399" s="12" t="n"/>
      <c r="H399" s="2">
        <f>IF(G399="","",IFERROR(VLOOKUP(G399,板块观察!A:U,14,FALSE),""))</f>
        <v/>
      </c>
      <c r="I399" s="2">
        <f>IF(G399="","",IFERROR(VLOOKUP(G399,板块观察!A:U,15,FALSE),""))</f>
        <v/>
      </c>
      <c r="J399" s="12" t="n"/>
      <c r="K399" s="12" t="n"/>
      <c r="L399" s="12" t="n"/>
      <c r="M399" s="14" t="n"/>
      <c r="N399" s="12" t="n"/>
      <c r="O399" s="2" t="n"/>
      <c r="P399" s="2" t="n"/>
      <c r="Q399" s="2" t="n"/>
      <c r="R399" s="12" t="n"/>
      <c r="S399" s="12" t="n"/>
      <c r="T399" s="12" t="n"/>
      <c r="U399" s="12" t="n"/>
      <c r="V399" s="12" t="n"/>
      <c r="W399" s="12" t="n"/>
      <c r="X399" s="12" t="n"/>
      <c r="Y399" s="2" t="n"/>
      <c r="Z399" s="5">
        <f>IF(A399="","",(COUNTA(A399:G399)+COUNTA(J399:Y399))/23)</f>
        <v/>
      </c>
      <c r="AA399" s="2">
        <f>IF(B399="","",WORKDAY(B399,3))</f>
        <v/>
      </c>
      <c r="AB399" s="2">
        <f>IF(B399="","",WORKDAY(B399,5))</f>
        <v/>
      </c>
      <c r="AC399" s="2">
        <f>IF(B399="","",WORKDAY(B399,10))</f>
        <v/>
      </c>
      <c r="AD399" s="2" t="n"/>
    </row>
    <row r="400">
      <c r="A400" s="12" t="n"/>
      <c r="B400" s="12" t="n"/>
      <c r="C400" s="2" t="n"/>
      <c r="D400" s="4" t="n"/>
      <c r="E400" s="12" t="n"/>
      <c r="F400" s="2" t="n"/>
      <c r="G400" s="12" t="n"/>
      <c r="H400" s="2">
        <f>IF(G400="","",IFERROR(VLOOKUP(G400,板块观察!A:U,14,FALSE),""))</f>
        <v/>
      </c>
      <c r="I400" s="2">
        <f>IF(G400="","",IFERROR(VLOOKUP(G400,板块观察!A:U,15,FALSE),""))</f>
        <v/>
      </c>
      <c r="J400" s="12" t="n"/>
      <c r="K400" s="12" t="n"/>
      <c r="L400" s="12" t="n"/>
      <c r="M400" s="14" t="n"/>
      <c r="N400" s="12" t="n"/>
      <c r="O400" s="2" t="n"/>
      <c r="P400" s="2" t="n"/>
      <c r="Q400" s="2" t="n"/>
      <c r="R400" s="12" t="n"/>
      <c r="S400" s="12" t="n"/>
      <c r="T400" s="12" t="n"/>
      <c r="U400" s="12" t="n"/>
      <c r="V400" s="12" t="n"/>
      <c r="W400" s="12" t="n"/>
      <c r="X400" s="12" t="n"/>
      <c r="Y400" s="2" t="n"/>
      <c r="Z400" s="5">
        <f>IF(A400="","",(COUNTA(A400:G400)+COUNTA(J400:Y400))/23)</f>
        <v/>
      </c>
      <c r="AA400" s="2">
        <f>IF(B400="","",WORKDAY(B400,3))</f>
        <v/>
      </c>
      <c r="AB400" s="2">
        <f>IF(B400="","",WORKDAY(B400,5))</f>
        <v/>
      </c>
      <c r="AC400" s="2">
        <f>IF(B400="","",WORKDAY(B400,10))</f>
        <v/>
      </c>
      <c r="AD400" s="2" t="n"/>
    </row>
    <row r="401">
      <c r="A401" s="12" t="n"/>
      <c r="B401" s="12" t="n"/>
      <c r="C401" s="2" t="n"/>
      <c r="D401" s="4" t="n"/>
      <c r="E401" s="12" t="n"/>
      <c r="F401" s="2" t="n"/>
      <c r="G401" s="12" t="n"/>
      <c r="H401" s="2">
        <f>IF(G401="","",IFERROR(VLOOKUP(G401,板块观察!A:U,14,FALSE),""))</f>
        <v/>
      </c>
      <c r="I401" s="2">
        <f>IF(G401="","",IFERROR(VLOOKUP(G401,板块观察!A:U,15,FALSE),""))</f>
        <v/>
      </c>
      <c r="J401" s="12" t="n"/>
      <c r="K401" s="12" t="n"/>
      <c r="L401" s="12" t="n"/>
      <c r="M401" s="14" t="n"/>
      <c r="N401" s="12" t="n"/>
      <c r="O401" s="2" t="n"/>
      <c r="P401" s="2" t="n"/>
      <c r="Q401" s="2" t="n"/>
      <c r="R401" s="12" t="n"/>
      <c r="S401" s="12" t="n"/>
      <c r="T401" s="12" t="n"/>
      <c r="U401" s="12" t="n"/>
      <c r="V401" s="12" t="n"/>
      <c r="W401" s="12" t="n"/>
      <c r="X401" s="12" t="n"/>
      <c r="Y401" s="2" t="n"/>
      <c r="Z401" s="5">
        <f>IF(A401="","",(COUNTA(A401:G401)+COUNTA(J401:Y401))/23)</f>
        <v/>
      </c>
      <c r="AA401" s="2">
        <f>IF(B401="","",WORKDAY(B401,3))</f>
        <v/>
      </c>
      <c r="AB401" s="2">
        <f>IF(B401="","",WORKDAY(B401,5))</f>
        <v/>
      </c>
      <c r="AC401" s="2">
        <f>IF(B401="","",WORKDAY(B401,10))</f>
        <v/>
      </c>
      <c r="AD401" s="2" t="n"/>
    </row>
    <row r="402">
      <c r="A402" s="12" t="n"/>
      <c r="B402" s="12" t="n"/>
      <c r="C402" s="2" t="n"/>
      <c r="D402" s="4" t="n"/>
      <c r="E402" s="12" t="n"/>
      <c r="F402" s="2" t="n"/>
      <c r="G402" s="12" t="n"/>
      <c r="H402" s="2">
        <f>IF(G402="","",IFERROR(VLOOKUP(G402,板块观察!A:U,14,FALSE),""))</f>
        <v/>
      </c>
      <c r="I402" s="2">
        <f>IF(G402="","",IFERROR(VLOOKUP(G402,板块观察!A:U,15,FALSE),""))</f>
        <v/>
      </c>
      <c r="J402" s="12" t="n"/>
      <c r="K402" s="12" t="n"/>
      <c r="L402" s="12" t="n"/>
      <c r="M402" s="14" t="n"/>
      <c r="N402" s="12" t="n"/>
      <c r="O402" s="2" t="n"/>
      <c r="P402" s="2" t="n"/>
      <c r="Q402" s="2" t="n"/>
      <c r="R402" s="12" t="n"/>
      <c r="S402" s="12" t="n"/>
      <c r="T402" s="12" t="n"/>
      <c r="U402" s="12" t="n"/>
      <c r="V402" s="12" t="n"/>
      <c r="W402" s="12" t="n"/>
      <c r="X402" s="12" t="n"/>
      <c r="Y402" s="2" t="n"/>
      <c r="Z402" s="5">
        <f>IF(A402="","",(COUNTA(A402:G402)+COUNTA(J402:Y402))/23)</f>
        <v/>
      </c>
      <c r="AA402" s="2">
        <f>IF(B402="","",WORKDAY(B402,3))</f>
        <v/>
      </c>
      <c r="AB402" s="2">
        <f>IF(B402="","",WORKDAY(B402,5))</f>
        <v/>
      </c>
      <c r="AC402" s="2">
        <f>IF(B402="","",WORKDAY(B402,10))</f>
        <v/>
      </c>
      <c r="AD402" s="2" t="n"/>
    </row>
    <row r="403">
      <c r="A403" s="12" t="n"/>
      <c r="B403" s="12" t="n"/>
      <c r="C403" s="2" t="n"/>
      <c r="D403" s="4" t="n"/>
      <c r="E403" s="12" t="n"/>
      <c r="F403" s="2" t="n"/>
      <c r="G403" s="12" t="n"/>
      <c r="H403" s="2">
        <f>IF(G403="","",IFERROR(VLOOKUP(G403,板块观察!A:U,14,FALSE),""))</f>
        <v/>
      </c>
      <c r="I403" s="2">
        <f>IF(G403="","",IFERROR(VLOOKUP(G403,板块观察!A:U,15,FALSE),""))</f>
        <v/>
      </c>
      <c r="J403" s="12" t="n"/>
      <c r="K403" s="12" t="n"/>
      <c r="L403" s="12" t="n"/>
      <c r="M403" s="14" t="n"/>
      <c r="N403" s="12" t="n"/>
      <c r="O403" s="2" t="n"/>
      <c r="P403" s="2" t="n"/>
      <c r="Q403" s="2" t="n"/>
      <c r="R403" s="12" t="n"/>
      <c r="S403" s="12" t="n"/>
      <c r="T403" s="12" t="n"/>
      <c r="U403" s="12" t="n"/>
      <c r="V403" s="12" t="n"/>
      <c r="W403" s="12" t="n"/>
      <c r="X403" s="12" t="n"/>
      <c r="Y403" s="2" t="n"/>
      <c r="Z403" s="5">
        <f>IF(A403="","",(COUNTA(A403:G403)+COUNTA(J403:Y403))/23)</f>
        <v/>
      </c>
      <c r="AA403" s="2">
        <f>IF(B403="","",WORKDAY(B403,3))</f>
        <v/>
      </c>
      <c r="AB403" s="2">
        <f>IF(B403="","",WORKDAY(B403,5))</f>
        <v/>
      </c>
      <c r="AC403" s="2">
        <f>IF(B403="","",WORKDAY(B403,10))</f>
        <v/>
      </c>
      <c r="AD403" s="2" t="n"/>
    </row>
    <row r="404">
      <c r="A404" s="12" t="n"/>
      <c r="B404" s="12" t="n"/>
      <c r="C404" s="2" t="n"/>
      <c r="D404" s="4" t="n"/>
      <c r="E404" s="12" t="n"/>
      <c r="F404" s="2" t="n"/>
      <c r="G404" s="12" t="n"/>
      <c r="H404" s="2">
        <f>IF(G404="","",IFERROR(VLOOKUP(G404,板块观察!A:U,14,FALSE),""))</f>
        <v/>
      </c>
      <c r="I404" s="2">
        <f>IF(G404="","",IFERROR(VLOOKUP(G404,板块观察!A:U,15,FALSE),""))</f>
        <v/>
      </c>
      <c r="J404" s="12" t="n"/>
      <c r="K404" s="12" t="n"/>
      <c r="L404" s="12" t="n"/>
      <c r="M404" s="14" t="n"/>
      <c r="N404" s="12" t="n"/>
      <c r="O404" s="2" t="n"/>
      <c r="P404" s="2" t="n"/>
      <c r="Q404" s="2" t="n"/>
      <c r="R404" s="12" t="n"/>
      <c r="S404" s="12" t="n"/>
      <c r="T404" s="12" t="n"/>
      <c r="U404" s="12" t="n"/>
      <c r="V404" s="12" t="n"/>
      <c r="W404" s="12" t="n"/>
      <c r="X404" s="12" t="n"/>
      <c r="Y404" s="2" t="n"/>
      <c r="Z404" s="5">
        <f>IF(A404="","",(COUNTA(A404:G404)+COUNTA(J404:Y404))/23)</f>
        <v/>
      </c>
      <c r="AA404" s="2">
        <f>IF(B404="","",WORKDAY(B404,3))</f>
        <v/>
      </c>
      <c r="AB404" s="2">
        <f>IF(B404="","",WORKDAY(B404,5))</f>
        <v/>
      </c>
      <c r="AC404" s="2">
        <f>IF(B404="","",WORKDAY(B404,10))</f>
        <v/>
      </c>
      <c r="AD404" s="2" t="n"/>
    </row>
    <row r="405">
      <c r="A405" s="12" t="n"/>
      <c r="B405" s="12" t="n"/>
      <c r="C405" s="2" t="n"/>
      <c r="D405" s="4" t="n"/>
      <c r="E405" s="12" t="n"/>
      <c r="F405" s="2" t="n"/>
      <c r="G405" s="12" t="n"/>
      <c r="H405" s="2">
        <f>IF(G405="","",IFERROR(VLOOKUP(G405,板块观察!A:U,14,FALSE),""))</f>
        <v/>
      </c>
      <c r="I405" s="2">
        <f>IF(G405="","",IFERROR(VLOOKUP(G405,板块观察!A:U,15,FALSE),""))</f>
        <v/>
      </c>
      <c r="J405" s="12" t="n"/>
      <c r="K405" s="12" t="n"/>
      <c r="L405" s="12" t="n"/>
      <c r="M405" s="14" t="n"/>
      <c r="N405" s="12" t="n"/>
      <c r="O405" s="2" t="n"/>
      <c r="P405" s="2" t="n"/>
      <c r="Q405" s="2" t="n"/>
      <c r="R405" s="12" t="n"/>
      <c r="S405" s="12" t="n"/>
      <c r="T405" s="12" t="n"/>
      <c r="U405" s="12" t="n"/>
      <c r="V405" s="12" t="n"/>
      <c r="W405" s="12" t="n"/>
      <c r="X405" s="12" t="n"/>
      <c r="Y405" s="2" t="n"/>
      <c r="Z405" s="5">
        <f>IF(A405="","",(COUNTA(A405:G405)+COUNTA(J405:Y405))/23)</f>
        <v/>
      </c>
      <c r="AA405" s="2">
        <f>IF(B405="","",WORKDAY(B405,3))</f>
        <v/>
      </c>
      <c r="AB405" s="2">
        <f>IF(B405="","",WORKDAY(B405,5))</f>
        <v/>
      </c>
      <c r="AC405" s="2">
        <f>IF(B405="","",WORKDAY(B405,10))</f>
        <v/>
      </c>
      <c r="AD405" s="2" t="n"/>
    </row>
    <row r="406">
      <c r="A406" s="12" t="n"/>
      <c r="B406" s="12" t="n"/>
      <c r="C406" s="2" t="n"/>
      <c r="D406" s="4" t="n"/>
      <c r="E406" s="12" t="n"/>
      <c r="F406" s="2" t="n"/>
      <c r="G406" s="12" t="n"/>
      <c r="H406" s="2">
        <f>IF(G406="","",IFERROR(VLOOKUP(G406,板块观察!A:U,14,FALSE),""))</f>
        <v/>
      </c>
      <c r="I406" s="2">
        <f>IF(G406="","",IFERROR(VLOOKUP(G406,板块观察!A:U,15,FALSE),""))</f>
        <v/>
      </c>
      <c r="J406" s="12" t="n"/>
      <c r="K406" s="12" t="n"/>
      <c r="L406" s="12" t="n"/>
      <c r="M406" s="14" t="n"/>
      <c r="N406" s="12" t="n"/>
      <c r="O406" s="2" t="n"/>
      <c r="P406" s="2" t="n"/>
      <c r="Q406" s="2" t="n"/>
      <c r="R406" s="12" t="n"/>
      <c r="S406" s="12" t="n"/>
      <c r="T406" s="12" t="n"/>
      <c r="U406" s="12" t="n"/>
      <c r="V406" s="12" t="n"/>
      <c r="W406" s="12" t="n"/>
      <c r="X406" s="12" t="n"/>
      <c r="Y406" s="2" t="n"/>
      <c r="Z406" s="5">
        <f>IF(A406="","",(COUNTA(A406:G406)+COUNTA(J406:Y406))/23)</f>
        <v/>
      </c>
      <c r="AA406" s="2">
        <f>IF(B406="","",WORKDAY(B406,3))</f>
        <v/>
      </c>
      <c r="AB406" s="2">
        <f>IF(B406="","",WORKDAY(B406,5))</f>
        <v/>
      </c>
      <c r="AC406" s="2">
        <f>IF(B406="","",WORKDAY(B406,10))</f>
        <v/>
      </c>
      <c r="AD406" s="2" t="n"/>
    </row>
    <row r="407">
      <c r="A407" s="12" t="n"/>
      <c r="B407" s="12" t="n"/>
      <c r="C407" s="2" t="n"/>
      <c r="D407" s="4" t="n"/>
      <c r="E407" s="12" t="n"/>
      <c r="F407" s="2" t="n"/>
      <c r="G407" s="12" t="n"/>
      <c r="H407" s="2">
        <f>IF(G407="","",IFERROR(VLOOKUP(G407,板块观察!A:U,14,FALSE),""))</f>
        <v/>
      </c>
      <c r="I407" s="2">
        <f>IF(G407="","",IFERROR(VLOOKUP(G407,板块观察!A:U,15,FALSE),""))</f>
        <v/>
      </c>
      <c r="J407" s="12" t="n"/>
      <c r="K407" s="12" t="n"/>
      <c r="L407" s="12" t="n"/>
      <c r="M407" s="14" t="n"/>
      <c r="N407" s="12" t="n"/>
      <c r="O407" s="2" t="n"/>
      <c r="P407" s="2" t="n"/>
      <c r="Q407" s="2" t="n"/>
      <c r="R407" s="12" t="n"/>
      <c r="S407" s="12" t="n"/>
      <c r="T407" s="12" t="n"/>
      <c r="U407" s="12" t="n"/>
      <c r="V407" s="12" t="n"/>
      <c r="W407" s="12" t="n"/>
      <c r="X407" s="12" t="n"/>
      <c r="Y407" s="2" t="n"/>
      <c r="Z407" s="5">
        <f>IF(A407="","",(COUNTA(A407:G407)+COUNTA(J407:Y407))/23)</f>
        <v/>
      </c>
      <c r="AA407" s="2">
        <f>IF(B407="","",WORKDAY(B407,3))</f>
        <v/>
      </c>
      <c r="AB407" s="2">
        <f>IF(B407="","",WORKDAY(B407,5))</f>
        <v/>
      </c>
      <c r="AC407" s="2">
        <f>IF(B407="","",WORKDAY(B407,10))</f>
        <v/>
      </c>
      <c r="AD407" s="2" t="n"/>
    </row>
    <row r="408">
      <c r="A408" s="12" t="n"/>
      <c r="B408" s="12" t="n"/>
      <c r="C408" s="2" t="n"/>
      <c r="D408" s="4" t="n"/>
      <c r="E408" s="12" t="n"/>
      <c r="F408" s="2" t="n"/>
      <c r="G408" s="12" t="n"/>
      <c r="H408" s="2">
        <f>IF(G408="","",IFERROR(VLOOKUP(G408,板块观察!A:U,14,FALSE),""))</f>
        <v/>
      </c>
      <c r="I408" s="2">
        <f>IF(G408="","",IFERROR(VLOOKUP(G408,板块观察!A:U,15,FALSE),""))</f>
        <v/>
      </c>
      <c r="J408" s="12" t="n"/>
      <c r="K408" s="12" t="n"/>
      <c r="L408" s="12" t="n"/>
      <c r="M408" s="14" t="n"/>
      <c r="N408" s="12" t="n"/>
      <c r="O408" s="2" t="n"/>
      <c r="P408" s="2" t="n"/>
      <c r="Q408" s="2" t="n"/>
      <c r="R408" s="12" t="n"/>
      <c r="S408" s="12" t="n"/>
      <c r="T408" s="12" t="n"/>
      <c r="U408" s="12" t="n"/>
      <c r="V408" s="12" t="n"/>
      <c r="W408" s="12" t="n"/>
      <c r="X408" s="12" t="n"/>
      <c r="Y408" s="2" t="n"/>
      <c r="Z408" s="5">
        <f>IF(A408="","",(COUNTA(A408:G408)+COUNTA(J408:Y408))/23)</f>
        <v/>
      </c>
      <c r="AA408" s="2">
        <f>IF(B408="","",WORKDAY(B408,3))</f>
        <v/>
      </c>
      <c r="AB408" s="2">
        <f>IF(B408="","",WORKDAY(B408,5))</f>
        <v/>
      </c>
      <c r="AC408" s="2">
        <f>IF(B408="","",WORKDAY(B408,10))</f>
        <v/>
      </c>
      <c r="AD408" s="2" t="n"/>
    </row>
    <row r="409">
      <c r="A409" s="12" t="n"/>
      <c r="B409" s="12" t="n"/>
      <c r="C409" s="2" t="n"/>
      <c r="D409" s="4" t="n"/>
      <c r="E409" s="12" t="n"/>
      <c r="F409" s="2" t="n"/>
      <c r="G409" s="12" t="n"/>
      <c r="H409" s="2">
        <f>IF(G409="","",IFERROR(VLOOKUP(G409,板块观察!A:U,14,FALSE),""))</f>
        <v/>
      </c>
      <c r="I409" s="2">
        <f>IF(G409="","",IFERROR(VLOOKUP(G409,板块观察!A:U,15,FALSE),""))</f>
        <v/>
      </c>
      <c r="J409" s="12" t="n"/>
      <c r="K409" s="12" t="n"/>
      <c r="L409" s="12" t="n"/>
      <c r="M409" s="14" t="n"/>
      <c r="N409" s="12" t="n"/>
      <c r="O409" s="2" t="n"/>
      <c r="P409" s="2" t="n"/>
      <c r="Q409" s="2" t="n"/>
      <c r="R409" s="12" t="n"/>
      <c r="S409" s="12" t="n"/>
      <c r="T409" s="12" t="n"/>
      <c r="U409" s="12" t="n"/>
      <c r="V409" s="12" t="n"/>
      <c r="W409" s="12" t="n"/>
      <c r="X409" s="12" t="n"/>
      <c r="Y409" s="2" t="n"/>
      <c r="Z409" s="5">
        <f>IF(A409="","",(COUNTA(A409:G409)+COUNTA(J409:Y409))/23)</f>
        <v/>
      </c>
      <c r="AA409" s="2">
        <f>IF(B409="","",WORKDAY(B409,3))</f>
        <v/>
      </c>
      <c r="AB409" s="2">
        <f>IF(B409="","",WORKDAY(B409,5))</f>
        <v/>
      </c>
      <c r="AC409" s="2">
        <f>IF(B409="","",WORKDAY(B409,10))</f>
        <v/>
      </c>
      <c r="AD409" s="2" t="n"/>
    </row>
    <row r="410">
      <c r="A410" s="12" t="n"/>
      <c r="B410" s="12" t="n"/>
      <c r="C410" s="2" t="n"/>
      <c r="D410" s="4" t="n"/>
      <c r="E410" s="12" t="n"/>
      <c r="F410" s="2" t="n"/>
      <c r="G410" s="12" t="n"/>
      <c r="H410" s="2">
        <f>IF(G410="","",IFERROR(VLOOKUP(G410,板块观察!A:U,14,FALSE),""))</f>
        <v/>
      </c>
      <c r="I410" s="2">
        <f>IF(G410="","",IFERROR(VLOOKUP(G410,板块观察!A:U,15,FALSE),""))</f>
        <v/>
      </c>
      <c r="J410" s="12" t="n"/>
      <c r="K410" s="12" t="n"/>
      <c r="L410" s="12" t="n"/>
      <c r="M410" s="14" t="n"/>
      <c r="N410" s="12" t="n"/>
      <c r="O410" s="2" t="n"/>
      <c r="P410" s="2" t="n"/>
      <c r="Q410" s="2" t="n"/>
      <c r="R410" s="12" t="n"/>
      <c r="S410" s="12" t="n"/>
      <c r="T410" s="12" t="n"/>
      <c r="U410" s="12" t="n"/>
      <c r="V410" s="12" t="n"/>
      <c r="W410" s="12" t="n"/>
      <c r="X410" s="12" t="n"/>
      <c r="Y410" s="2" t="n"/>
      <c r="Z410" s="5">
        <f>IF(A410="","",(COUNTA(A410:G410)+COUNTA(J410:Y410))/23)</f>
        <v/>
      </c>
      <c r="AA410" s="2">
        <f>IF(B410="","",WORKDAY(B410,3))</f>
        <v/>
      </c>
      <c r="AB410" s="2">
        <f>IF(B410="","",WORKDAY(B410,5))</f>
        <v/>
      </c>
      <c r="AC410" s="2">
        <f>IF(B410="","",WORKDAY(B410,10))</f>
        <v/>
      </c>
      <c r="AD410" s="2" t="n"/>
    </row>
    <row r="411">
      <c r="A411" s="12" t="n"/>
      <c r="B411" s="12" t="n"/>
      <c r="C411" s="2" t="n"/>
      <c r="D411" s="4" t="n"/>
      <c r="E411" s="12" t="n"/>
      <c r="F411" s="2" t="n"/>
      <c r="G411" s="12" t="n"/>
      <c r="H411" s="2">
        <f>IF(G411="","",IFERROR(VLOOKUP(G411,板块观察!A:U,14,FALSE),""))</f>
        <v/>
      </c>
      <c r="I411" s="2">
        <f>IF(G411="","",IFERROR(VLOOKUP(G411,板块观察!A:U,15,FALSE),""))</f>
        <v/>
      </c>
      <c r="J411" s="12" t="n"/>
      <c r="K411" s="12" t="n"/>
      <c r="L411" s="12" t="n"/>
      <c r="M411" s="14" t="n"/>
      <c r="N411" s="12" t="n"/>
      <c r="O411" s="2" t="n"/>
      <c r="P411" s="2" t="n"/>
      <c r="Q411" s="2" t="n"/>
      <c r="R411" s="12" t="n"/>
      <c r="S411" s="12" t="n"/>
      <c r="T411" s="12" t="n"/>
      <c r="U411" s="12" t="n"/>
      <c r="V411" s="12" t="n"/>
      <c r="W411" s="12" t="n"/>
      <c r="X411" s="12" t="n"/>
      <c r="Y411" s="2" t="n"/>
      <c r="Z411" s="5">
        <f>IF(A411="","",(COUNTA(A411:G411)+COUNTA(J411:Y411))/23)</f>
        <v/>
      </c>
      <c r="AA411" s="2">
        <f>IF(B411="","",WORKDAY(B411,3))</f>
        <v/>
      </c>
      <c r="AB411" s="2">
        <f>IF(B411="","",WORKDAY(B411,5))</f>
        <v/>
      </c>
      <c r="AC411" s="2">
        <f>IF(B411="","",WORKDAY(B411,10))</f>
        <v/>
      </c>
      <c r="AD411" s="2" t="n"/>
    </row>
    <row r="412">
      <c r="A412" s="12" t="n"/>
      <c r="B412" s="12" t="n"/>
      <c r="C412" s="2" t="n"/>
      <c r="D412" s="4" t="n"/>
      <c r="E412" s="12" t="n"/>
      <c r="F412" s="2" t="n"/>
      <c r="G412" s="12" t="n"/>
      <c r="H412" s="2">
        <f>IF(G412="","",IFERROR(VLOOKUP(G412,板块观察!A:U,14,FALSE),""))</f>
        <v/>
      </c>
      <c r="I412" s="2">
        <f>IF(G412="","",IFERROR(VLOOKUP(G412,板块观察!A:U,15,FALSE),""))</f>
        <v/>
      </c>
      <c r="J412" s="12" t="n"/>
      <c r="K412" s="12" t="n"/>
      <c r="L412" s="12" t="n"/>
      <c r="M412" s="14" t="n"/>
      <c r="N412" s="12" t="n"/>
      <c r="O412" s="2" t="n"/>
      <c r="P412" s="2" t="n"/>
      <c r="Q412" s="2" t="n"/>
      <c r="R412" s="12" t="n"/>
      <c r="S412" s="12" t="n"/>
      <c r="T412" s="12" t="n"/>
      <c r="U412" s="12" t="n"/>
      <c r="V412" s="12" t="n"/>
      <c r="W412" s="12" t="n"/>
      <c r="X412" s="12" t="n"/>
      <c r="Y412" s="2" t="n"/>
      <c r="Z412" s="5">
        <f>IF(A412="","",(COUNTA(A412:G412)+COUNTA(J412:Y412))/23)</f>
        <v/>
      </c>
      <c r="AA412" s="2">
        <f>IF(B412="","",WORKDAY(B412,3))</f>
        <v/>
      </c>
      <c r="AB412" s="2">
        <f>IF(B412="","",WORKDAY(B412,5))</f>
        <v/>
      </c>
      <c r="AC412" s="2">
        <f>IF(B412="","",WORKDAY(B412,10))</f>
        <v/>
      </c>
      <c r="AD412" s="2" t="n"/>
    </row>
    <row r="413">
      <c r="A413" s="12" t="n"/>
      <c r="B413" s="12" t="n"/>
      <c r="C413" s="2" t="n"/>
      <c r="D413" s="4" t="n"/>
      <c r="E413" s="12" t="n"/>
      <c r="F413" s="2" t="n"/>
      <c r="G413" s="12" t="n"/>
      <c r="H413" s="2">
        <f>IF(G413="","",IFERROR(VLOOKUP(G413,板块观察!A:U,14,FALSE),""))</f>
        <v/>
      </c>
      <c r="I413" s="2">
        <f>IF(G413="","",IFERROR(VLOOKUP(G413,板块观察!A:U,15,FALSE),""))</f>
        <v/>
      </c>
      <c r="J413" s="12" t="n"/>
      <c r="K413" s="12" t="n"/>
      <c r="L413" s="12" t="n"/>
      <c r="M413" s="14" t="n"/>
      <c r="N413" s="12" t="n"/>
      <c r="O413" s="2" t="n"/>
      <c r="P413" s="2" t="n"/>
      <c r="Q413" s="2" t="n"/>
      <c r="R413" s="12" t="n"/>
      <c r="S413" s="12" t="n"/>
      <c r="T413" s="12" t="n"/>
      <c r="U413" s="12" t="n"/>
      <c r="V413" s="12" t="n"/>
      <c r="W413" s="12" t="n"/>
      <c r="X413" s="12" t="n"/>
      <c r="Y413" s="2" t="n"/>
      <c r="Z413" s="5">
        <f>IF(A413="","",(COUNTA(A413:G413)+COUNTA(J413:Y413))/23)</f>
        <v/>
      </c>
      <c r="AA413" s="2">
        <f>IF(B413="","",WORKDAY(B413,3))</f>
        <v/>
      </c>
      <c r="AB413" s="2">
        <f>IF(B413="","",WORKDAY(B413,5))</f>
        <v/>
      </c>
      <c r="AC413" s="2">
        <f>IF(B413="","",WORKDAY(B413,10))</f>
        <v/>
      </c>
      <c r="AD413" s="2" t="n"/>
    </row>
    <row r="414">
      <c r="A414" s="12" t="n"/>
      <c r="B414" s="12" t="n"/>
      <c r="C414" s="2" t="n"/>
      <c r="D414" s="4" t="n"/>
      <c r="E414" s="12" t="n"/>
      <c r="F414" s="2" t="n"/>
      <c r="G414" s="12" t="n"/>
      <c r="H414" s="2">
        <f>IF(G414="","",IFERROR(VLOOKUP(G414,板块观察!A:U,14,FALSE),""))</f>
        <v/>
      </c>
      <c r="I414" s="2">
        <f>IF(G414="","",IFERROR(VLOOKUP(G414,板块观察!A:U,15,FALSE),""))</f>
        <v/>
      </c>
      <c r="J414" s="12" t="n"/>
      <c r="K414" s="12" t="n"/>
      <c r="L414" s="12" t="n"/>
      <c r="M414" s="14" t="n"/>
      <c r="N414" s="12" t="n"/>
      <c r="O414" s="2" t="n"/>
      <c r="P414" s="2" t="n"/>
      <c r="Q414" s="2" t="n"/>
      <c r="R414" s="12" t="n"/>
      <c r="S414" s="12" t="n"/>
      <c r="T414" s="12" t="n"/>
      <c r="U414" s="12" t="n"/>
      <c r="V414" s="12" t="n"/>
      <c r="W414" s="12" t="n"/>
      <c r="X414" s="12" t="n"/>
      <c r="Y414" s="2" t="n"/>
      <c r="Z414" s="5">
        <f>IF(A414="","",(COUNTA(A414:G414)+COUNTA(J414:Y414))/23)</f>
        <v/>
      </c>
      <c r="AA414" s="2">
        <f>IF(B414="","",WORKDAY(B414,3))</f>
        <v/>
      </c>
      <c r="AB414" s="2">
        <f>IF(B414="","",WORKDAY(B414,5))</f>
        <v/>
      </c>
      <c r="AC414" s="2">
        <f>IF(B414="","",WORKDAY(B414,10))</f>
        <v/>
      </c>
      <c r="AD414" s="2" t="n"/>
    </row>
    <row r="415">
      <c r="A415" s="12" t="n"/>
      <c r="B415" s="12" t="n"/>
      <c r="C415" s="2" t="n"/>
      <c r="D415" s="4" t="n"/>
      <c r="E415" s="12" t="n"/>
      <c r="F415" s="2" t="n"/>
      <c r="G415" s="12" t="n"/>
      <c r="H415" s="2">
        <f>IF(G415="","",IFERROR(VLOOKUP(G415,板块观察!A:U,14,FALSE),""))</f>
        <v/>
      </c>
      <c r="I415" s="2">
        <f>IF(G415="","",IFERROR(VLOOKUP(G415,板块观察!A:U,15,FALSE),""))</f>
        <v/>
      </c>
      <c r="J415" s="12" t="n"/>
      <c r="K415" s="12" t="n"/>
      <c r="L415" s="12" t="n"/>
      <c r="M415" s="14" t="n"/>
      <c r="N415" s="12" t="n"/>
      <c r="O415" s="2" t="n"/>
      <c r="P415" s="2" t="n"/>
      <c r="Q415" s="2" t="n"/>
      <c r="R415" s="12" t="n"/>
      <c r="S415" s="12" t="n"/>
      <c r="T415" s="12" t="n"/>
      <c r="U415" s="12" t="n"/>
      <c r="V415" s="12" t="n"/>
      <c r="W415" s="12" t="n"/>
      <c r="X415" s="12" t="n"/>
      <c r="Y415" s="2" t="n"/>
      <c r="Z415" s="5">
        <f>IF(A415="","",(COUNTA(A415:G415)+COUNTA(J415:Y415))/23)</f>
        <v/>
      </c>
      <c r="AA415" s="2">
        <f>IF(B415="","",WORKDAY(B415,3))</f>
        <v/>
      </c>
      <c r="AB415" s="2">
        <f>IF(B415="","",WORKDAY(B415,5))</f>
        <v/>
      </c>
      <c r="AC415" s="2">
        <f>IF(B415="","",WORKDAY(B415,10))</f>
        <v/>
      </c>
      <c r="AD415" s="2" t="n"/>
    </row>
    <row r="416">
      <c r="A416" s="12" t="n"/>
      <c r="B416" s="12" t="n"/>
      <c r="C416" s="2" t="n"/>
      <c r="D416" s="4" t="n"/>
      <c r="E416" s="12" t="n"/>
      <c r="F416" s="2" t="n"/>
      <c r="G416" s="12" t="n"/>
      <c r="H416" s="2">
        <f>IF(G416="","",IFERROR(VLOOKUP(G416,板块观察!A:U,14,FALSE),""))</f>
        <v/>
      </c>
      <c r="I416" s="2">
        <f>IF(G416="","",IFERROR(VLOOKUP(G416,板块观察!A:U,15,FALSE),""))</f>
        <v/>
      </c>
      <c r="J416" s="12" t="n"/>
      <c r="K416" s="12" t="n"/>
      <c r="L416" s="12" t="n"/>
      <c r="M416" s="14" t="n"/>
      <c r="N416" s="12" t="n"/>
      <c r="O416" s="2" t="n"/>
      <c r="P416" s="2" t="n"/>
      <c r="Q416" s="2" t="n"/>
      <c r="R416" s="12" t="n"/>
      <c r="S416" s="12" t="n"/>
      <c r="T416" s="12" t="n"/>
      <c r="U416" s="12" t="n"/>
      <c r="V416" s="12" t="n"/>
      <c r="W416" s="12" t="n"/>
      <c r="X416" s="12" t="n"/>
      <c r="Y416" s="2" t="n"/>
      <c r="Z416" s="5">
        <f>IF(A416="","",(COUNTA(A416:G416)+COUNTA(J416:Y416))/23)</f>
        <v/>
      </c>
      <c r="AA416" s="2">
        <f>IF(B416="","",WORKDAY(B416,3))</f>
        <v/>
      </c>
      <c r="AB416" s="2">
        <f>IF(B416="","",WORKDAY(B416,5))</f>
        <v/>
      </c>
      <c r="AC416" s="2">
        <f>IF(B416="","",WORKDAY(B416,10))</f>
        <v/>
      </c>
      <c r="AD416" s="2" t="n"/>
    </row>
    <row r="417">
      <c r="A417" s="12" t="n"/>
      <c r="B417" s="12" t="n"/>
      <c r="C417" s="2" t="n"/>
      <c r="D417" s="4" t="n"/>
      <c r="E417" s="12" t="n"/>
      <c r="F417" s="2" t="n"/>
      <c r="G417" s="12" t="n"/>
      <c r="H417" s="2">
        <f>IF(G417="","",IFERROR(VLOOKUP(G417,板块观察!A:U,14,FALSE),""))</f>
        <v/>
      </c>
      <c r="I417" s="2">
        <f>IF(G417="","",IFERROR(VLOOKUP(G417,板块观察!A:U,15,FALSE),""))</f>
        <v/>
      </c>
      <c r="J417" s="12" t="n"/>
      <c r="K417" s="12" t="n"/>
      <c r="L417" s="12" t="n"/>
      <c r="M417" s="14" t="n"/>
      <c r="N417" s="12" t="n"/>
      <c r="O417" s="2" t="n"/>
      <c r="P417" s="2" t="n"/>
      <c r="Q417" s="2" t="n"/>
      <c r="R417" s="12" t="n"/>
      <c r="S417" s="12" t="n"/>
      <c r="T417" s="12" t="n"/>
      <c r="U417" s="12" t="n"/>
      <c r="V417" s="12" t="n"/>
      <c r="W417" s="12" t="n"/>
      <c r="X417" s="12" t="n"/>
      <c r="Y417" s="2" t="n"/>
      <c r="Z417" s="5">
        <f>IF(A417="","",(COUNTA(A417:G417)+COUNTA(J417:Y417))/23)</f>
        <v/>
      </c>
      <c r="AA417" s="2">
        <f>IF(B417="","",WORKDAY(B417,3))</f>
        <v/>
      </c>
      <c r="AB417" s="2">
        <f>IF(B417="","",WORKDAY(B417,5))</f>
        <v/>
      </c>
      <c r="AC417" s="2">
        <f>IF(B417="","",WORKDAY(B417,10))</f>
        <v/>
      </c>
      <c r="AD417" s="2" t="n"/>
    </row>
    <row r="418">
      <c r="A418" s="12" t="n"/>
      <c r="B418" s="12" t="n"/>
      <c r="C418" s="2" t="n"/>
      <c r="D418" s="4" t="n"/>
      <c r="E418" s="12" t="n"/>
      <c r="F418" s="2" t="n"/>
      <c r="G418" s="12" t="n"/>
      <c r="H418" s="2">
        <f>IF(G418="","",IFERROR(VLOOKUP(G418,板块观察!A:U,14,FALSE),""))</f>
        <v/>
      </c>
      <c r="I418" s="2">
        <f>IF(G418="","",IFERROR(VLOOKUP(G418,板块观察!A:U,15,FALSE),""))</f>
        <v/>
      </c>
      <c r="J418" s="12" t="n"/>
      <c r="K418" s="12" t="n"/>
      <c r="L418" s="12" t="n"/>
      <c r="M418" s="14" t="n"/>
      <c r="N418" s="12" t="n"/>
      <c r="O418" s="2" t="n"/>
      <c r="P418" s="2" t="n"/>
      <c r="Q418" s="2" t="n"/>
      <c r="R418" s="12" t="n"/>
      <c r="S418" s="12" t="n"/>
      <c r="T418" s="12" t="n"/>
      <c r="U418" s="12" t="n"/>
      <c r="V418" s="12" t="n"/>
      <c r="W418" s="12" t="n"/>
      <c r="X418" s="12" t="n"/>
      <c r="Y418" s="2" t="n"/>
      <c r="Z418" s="5">
        <f>IF(A418="","",(COUNTA(A418:G418)+COUNTA(J418:Y418))/23)</f>
        <v/>
      </c>
      <c r="AA418" s="2">
        <f>IF(B418="","",WORKDAY(B418,3))</f>
        <v/>
      </c>
      <c r="AB418" s="2">
        <f>IF(B418="","",WORKDAY(B418,5))</f>
        <v/>
      </c>
      <c r="AC418" s="2">
        <f>IF(B418="","",WORKDAY(B418,10))</f>
        <v/>
      </c>
      <c r="AD418" s="2" t="n"/>
    </row>
    <row r="419">
      <c r="A419" s="12" t="n"/>
      <c r="B419" s="12" t="n"/>
      <c r="C419" s="2" t="n"/>
      <c r="D419" s="4" t="n"/>
      <c r="E419" s="12" t="n"/>
      <c r="F419" s="2" t="n"/>
      <c r="G419" s="12" t="n"/>
      <c r="H419" s="2">
        <f>IF(G419="","",IFERROR(VLOOKUP(G419,板块观察!A:U,14,FALSE),""))</f>
        <v/>
      </c>
      <c r="I419" s="2">
        <f>IF(G419="","",IFERROR(VLOOKUP(G419,板块观察!A:U,15,FALSE),""))</f>
        <v/>
      </c>
      <c r="J419" s="12" t="n"/>
      <c r="K419" s="12" t="n"/>
      <c r="L419" s="12" t="n"/>
      <c r="M419" s="14" t="n"/>
      <c r="N419" s="12" t="n"/>
      <c r="O419" s="2" t="n"/>
      <c r="P419" s="2" t="n"/>
      <c r="Q419" s="2" t="n"/>
      <c r="R419" s="12" t="n"/>
      <c r="S419" s="12" t="n"/>
      <c r="T419" s="12" t="n"/>
      <c r="U419" s="12" t="n"/>
      <c r="V419" s="12" t="n"/>
      <c r="W419" s="12" t="n"/>
      <c r="X419" s="12" t="n"/>
      <c r="Y419" s="2" t="n"/>
      <c r="Z419" s="5">
        <f>IF(A419="","",(COUNTA(A419:G419)+COUNTA(J419:Y419))/23)</f>
        <v/>
      </c>
      <c r="AA419" s="2">
        <f>IF(B419="","",WORKDAY(B419,3))</f>
        <v/>
      </c>
      <c r="AB419" s="2">
        <f>IF(B419="","",WORKDAY(B419,5))</f>
        <v/>
      </c>
      <c r="AC419" s="2">
        <f>IF(B419="","",WORKDAY(B419,10))</f>
        <v/>
      </c>
      <c r="AD419" s="2" t="n"/>
    </row>
    <row r="420">
      <c r="A420" s="12" t="n"/>
      <c r="B420" s="12" t="n"/>
      <c r="C420" s="2" t="n"/>
      <c r="D420" s="4" t="n"/>
      <c r="E420" s="12" t="n"/>
      <c r="F420" s="2" t="n"/>
      <c r="G420" s="12" t="n"/>
      <c r="H420" s="2">
        <f>IF(G420="","",IFERROR(VLOOKUP(G420,板块观察!A:U,14,FALSE),""))</f>
        <v/>
      </c>
      <c r="I420" s="2">
        <f>IF(G420="","",IFERROR(VLOOKUP(G420,板块观察!A:U,15,FALSE),""))</f>
        <v/>
      </c>
      <c r="J420" s="12" t="n"/>
      <c r="K420" s="12" t="n"/>
      <c r="L420" s="12" t="n"/>
      <c r="M420" s="14" t="n"/>
      <c r="N420" s="12" t="n"/>
      <c r="O420" s="2" t="n"/>
      <c r="P420" s="2" t="n"/>
      <c r="Q420" s="2" t="n"/>
      <c r="R420" s="12" t="n"/>
      <c r="S420" s="12" t="n"/>
      <c r="T420" s="12" t="n"/>
      <c r="U420" s="12" t="n"/>
      <c r="V420" s="12" t="n"/>
      <c r="W420" s="12" t="n"/>
      <c r="X420" s="12" t="n"/>
      <c r="Y420" s="2" t="n"/>
      <c r="Z420" s="5">
        <f>IF(A420="","",(COUNTA(A420:G420)+COUNTA(J420:Y420))/23)</f>
        <v/>
      </c>
      <c r="AA420" s="2">
        <f>IF(B420="","",WORKDAY(B420,3))</f>
        <v/>
      </c>
      <c r="AB420" s="2">
        <f>IF(B420="","",WORKDAY(B420,5))</f>
        <v/>
      </c>
      <c r="AC420" s="2">
        <f>IF(B420="","",WORKDAY(B420,10))</f>
        <v/>
      </c>
      <c r="AD420" s="2" t="n"/>
    </row>
    <row r="421">
      <c r="A421" s="12" t="n"/>
      <c r="B421" s="12" t="n"/>
      <c r="C421" s="2" t="n"/>
      <c r="D421" s="4" t="n"/>
      <c r="E421" s="12" t="n"/>
      <c r="F421" s="2" t="n"/>
      <c r="G421" s="12" t="n"/>
      <c r="H421" s="2">
        <f>IF(G421="","",IFERROR(VLOOKUP(G421,板块观察!A:U,14,FALSE),""))</f>
        <v/>
      </c>
      <c r="I421" s="2">
        <f>IF(G421="","",IFERROR(VLOOKUP(G421,板块观察!A:U,15,FALSE),""))</f>
        <v/>
      </c>
      <c r="J421" s="12" t="n"/>
      <c r="K421" s="12" t="n"/>
      <c r="L421" s="12" t="n"/>
      <c r="M421" s="14" t="n"/>
      <c r="N421" s="12" t="n"/>
      <c r="O421" s="2" t="n"/>
      <c r="P421" s="2" t="n"/>
      <c r="Q421" s="2" t="n"/>
      <c r="R421" s="12" t="n"/>
      <c r="S421" s="12" t="n"/>
      <c r="T421" s="12" t="n"/>
      <c r="U421" s="12" t="n"/>
      <c r="V421" s="12" t="n"/>
      <c r="W421" s="12" t="n"/>
      <c r="X421" s="12" t="n"/>
      <c r="Y421" s="2" t="n"/>
      <c r="Z421" s="5">
        <f>IF(A421="","",(COUNTA(A421:G421)+COUNTA(J421:Y421))/23)</f>
        <v/>
      </c>
      <c r="AA421" s="2">
        <f>IF(B421="","",WORKDAY(B421,3))</f>
        <v/>
      </c>
      <c r="AB421" s="2">
        <f>IF(B421="","",WORKDAY(B421,5))</f>
        <v/>
      </c>
      <c r="AC421" s="2">
        <f>IF(B421="","",WORKDAY(B421,10))</f>
        <v/>
      </c>
      <c r="AD421" s="2" t="n"/>
    </row>
    <row r="422">
      <c r="A422" s="12" t="n"/>
      <c r="B422" s="12" t="n"/>
      <c r="C422" s="2" t="n"/>
      <c r="D422" s="4" t="n"/>
      <c r="E422" s="12" t="n"/>
      <c r="F422" s="2" t="n"/>
      <c r="G422" s="12" t="n"/>
      <c r="H422" s="2">
        <f>IF(G422="","",IFERROR(VLOOKUP(G422,板块观察!A:U,14,FALSE),""))</f>
        <v/>
      </c>
      <c r="I422" s="2">
        <f>IF(G422="","",IFERROR(VLOOKUP(G422,板块观察!A:U,15,FALSE),""))</f>
        <v/>
      </c>
      <c r="J422" s="12" t="n"/>
      <c r="K422" s="12" t="n"/>
      <c r="L422" s="12" t="n"/>
      <c r="M422" s="14" t="n"/>
      <c r="N422" s="12" t="n"/>
      <c r="O422" s="2" t="n"/>
      <c r="P422" s="2" t="n"/>
      <c r="Q422" s="2" t="n"/>
      <c r="R422" s="12" t="n"/>
      <c r="S422" s="12" t="n"/>
      <c r="T422" s="12" t="n"/>
      <c r="U422" s="12" t="n"/>
      <c r="V422" s="12" t="n"/>
      <c r="W422" s="12" t="n"/>
      <c r="X422" s="12" t="n"/>
      <c r="Y422" s="2" t="n"/>
      <c r="Z422" s="5">
        <f>IF(A422="","",(COUNTA(A422:G422)+COUNTA(J422:Y422))/23)</f>
        <v/>
      </c>
      <c r="AA422" s="2">
        <f>IF(B422="","",WORKDAY(B422,3))</f>
        <v/>
      </c>
      <c r="AB422" s="2">
        <f>IF(B422="","",WORKDAY(B422,5))</f>
        <v/>
      </c>
      <c r="AC422" s="2">
        <f>IF(B422="","",WORKDAY(B422,10))</f>
        <v/>
      </c>
      <c r="AD422" s="2" t="n"/>
    </row>
    <row r="423">
      <c r="A423" s="12" t="n"/>
      <c r="B423" s="12" t="n"/>
      <c r="C423" s="2" t="n"/>
      <c r="D423" s="4" t="n"/>
      <c r="E423" s="12" t="n"/>
      <c r="F423" s="2" t="n"/>
      <c r="G423" s="12" t="n"/>
      <c r="H423" s="2">
        <f>IF(G423="","",IFERROR(VLOOKUP(G423,板块观察!A:U,14,FALSE),""))</f>
        <v/>
      </c>
      <c r="I423" s="2">
        <f>IF(G423="","",IFERROR(VLOOKUP(G423,板块观察!A:U,15,FALSE),""))</f>
        <v/>
      </c>
      <c r="J423" s="12" t="n"/>
      <c r="K423" s="12" t="n"/>
      <c r="L423" s="12" t="n"/>
      <c r="M423" s="14" t="n"/>
      <c r="N423" s="12" t="n"/>
      <c r="O423" s="2" t="n"/>
      <c r="P423" s="2" t="n"/>
      <c r="Q423" s="2" t="n"/>
      <c r="R423" s="12" t="n"/>
      <c r="S423" s="12" t="n"/>
      <c r="T423" s="12" t="n"/>
      <c r="U423" s="12" t="n"/>
      <c r="V423" s="12" t="n"/>
      <c r="W423" s="12" t="n"/>
      <c r="X423" s="12" t="n"/>
      <c r="Y423" s="2" t="n"/>
      <c r="Z423" s="5">
        <f>IF(A423="","",(COUNTA(A423:G423)+COUNTA(J423:Y423))/23)</f>
        <v/>
      </c>
      <c r="AA423" s="2">
        <f>IF(B423="","",WORKDAY(B423,3))</f>
        <v/>
      </c>
      <c r="AB423" s="2">
        <f>IF(B423="","",WORKDAY(B423,5))</f>
        <v/>
      </c>
      <c r="AC423" s="2">
        <f>IF(B423="","",WORKDAY(B423,10))</f>
        <v/>
      </c>
      <c r="AD423" s="2" t="n"/>
    </row>
    <row r="424">
      <c r="A424" s="12" t="n"/>
      <c r="B424" s="12" t="n"/>
      <c r="C424" s="2" t="n"/>
      <c r="D424" s="4" t="n"/>
      <c r="E424" s="12" t="n"/>
      <c r="F424" s="2" t="n"/>
      <c r="G424" s="12" t="n"/>
      <c r="H424" s="2">
        <f>IF(G424="","",IFERROR(VLOOKUP(G424,板块观察!A:U,14,FALSE),""))</f>
        <v/>
      </c>
      <c r="I424" s="2">
        <f>IF(G424="","",IFERROR(VLOOKUP(G424,板块观察!A:U,15,FALSE),""))</f>
        <v/>
      </c>
      <c r="J424" s="12" t="n"/>
      <c r="K424" s="12" t="n"/>
      <c r="L424" s="12" t="n"/>
      <c r="M424" s="14" t="n"/>
      <c r="N424" s="12" t="n"/>
      <c r="O424" s="2" t="n"/>
      <c r="P424" s="2" t="n"/>
      <c r="Q424" s="2" t="n"/>
      <c r="R424" s="12" t="n"/>
      <c r="S424" s="12" t="n"/>
      <c r="T424" s="12" t="n"/>
      <c r="U424" s="12" t="n"/>
      <c r="V424" s="12" t="n"/>
      <c r="W424" s="12" t="n"/>
      <c r="X424" s="12" t="n"/>
      <c r="Y424" s="2" t="n"/>
      <c r="Z424" s="5">
        <f>IF(A424="","",(COUNTA(A424:G424)+COUNTA(J424:Y424))/23)</f>
        <v/>
      </c>
      <c r="AA424" s="2">
        <f>IF(B424="","",WORKDAY(B424,3))</f>
        <v/>
      </c>
      <c r="AB424" s="2">
        <f>IF(B424="","",WORKDAY(B424,5))</f>
        <v/>
      </c>
      <c r="AC424" s="2">
        <f>IF(B424="","",WORKDAY(B424,10))</f>
        <v/>
      </c>
      <c r="AD424" s="2" t="n"/>
    </row>
    <row r="425">
      <c r="A425" s="12" t="n"/>
      <c r="B425" s="12" t="n"/>
      <c r="C425" s="2" t="n"/>
      <c r="D425" s="4" t="n"/>
      <c r="E425" s="12" t="n"/>
      <c r="F425" s="2" t="n"/>
      <c r="G425" s="12" t="n"/>
      <c r="H425" s="2">
        <f>IF(G425="","",IFERROR(VLOOKUP(G425,板块观察!A:U,14,FALSE),""))</f>
        <v/>
      </c>
      <c r="I425" s="2">
        <f>IF(G425="","",IFERROR(VLOOKUP(G425,板块观察!A:U,15,FALSE),""))</f>
        <v/>
      </c>
      <c r="J425" s="12" t="n"/>
      <c r="K425" s="12" t="n"/>
      <c r="L425" s="12" t="n"/>
      <c r="M425" s="14" t="n"/>
      <c r="N425" s="12" t="n"/>
      <c r="O425" s="2" t="n"/>
      <c r="P425" s="2" t="n"/>
      <c r="Q425" s="2" t="n"/>
      <c r="R425" s="12" t="n"/>
      <c r="S425" s="12" t="n"/>
      <c r="T425" s="12" t="n"/>
      <c r="U425" s="12" t="n"/>
      <c r="V425" s="12" t="n"/>
      <c r="W425" s="12" t="n"/>
      <c r="X425" s="12" t="n"/>
      <c r="Y425" s="2" t="n"/>
      <c r="Z425" s="5">
        <f>IF(A425="","",(COUNTA(A425:G425)+COUNTA(J425:Y425))/23)</f>
        <v/>
      </c>
      <c r="AA425" s="2">
        <f>IF(B425="","",WORKDAY(B425,3))</f>
        <v/>
      </c>
      <c r="AB425" s="2">
        <f>IF(B425="","",WORKDAY(B425,5))</f>
        <v/>
      </c>
      <c r="AC425" s="2">
        <f>IF(B425="","",WORKDAY(B425,10))</f>
        <v/>
      </c>
      <c r="AD425" s="2" t="n"/>
    </row>
    <row r="426">
      <c r="A426" s="12" t="n"/>
      <c r="B426" s="12" t="n"/>
      <c r="C426" s="2" t="n"/>
      <c r="D426" s="4" t="n"/>
      <c r="E426" s="12" t="n"/>
      <c r="F426" s="2" t="n"/>
      <c r="G426" s="12" t="n"/>
      <c r="H426" s="2">
        <f>IF(G426="","",IFERROR(VLOOKUP(G426,板块观察!A:U,14,FALSE),""))</f>
        <v/>
      </c>
      <c r="I426" s="2">
        <f>IF(G426="","",IFERROR(VLOOKUP(G426,板块观察!A:U,15,FALSE),""))</f>
        <v/>
      </c>
      <c r="J426" s="12" t="n"/>
      <c r="K426" s="12" t="n"/>
      <c r="L426" s="12" t="n"/>
      <c r="M426" s="14" t="n"/>
      <c r="N426" s="12" t="n"/>
      <c r="O426" s="2" t="n"/>
      <c r="P426" s="2" t="n"/>
      <c r="Q426" s="2" t="n"/>
      <c r="R426" s="12" t="n"/>
      <c r="S426" s="12" t="n"/>
      <c r="T426" s="12" t="n"/>
      <c r="U426" s="12" t="n"/>
      <c r="V426" s="12" t="n"/>
      <c r="W426" s="12" t="n"/>
      <c r="X426" s="12" t="n"/>
      <c r="Y426" s="2" t="n"/>
      <c r="Z426" s="5">
        <f>IF(A426="","",(COUNTA(A426:G426)+COUNTA(J426:Y426))/23)</f>
        <v/>
      </c>
      <c r="AA426" s="2">
        <f>IF(B426="","",WORKDAY(B426,3))</f>
        <v/>
      </c>
      <c r="AB426" s="2">
        <f>IF(B426="","",WORKDAY(B426,5))</f>
        <v/>
      </c>
      <c r="AC426" s="2">
        <f>IF(B426="","",WORKDAY(B426,10))</f>
        <v/>
      </c>
      <c r="AD426" s="2" t="n"/>
    </row>
    <row r="427">
      <c r="A427" s="12" t="n"/>
      <c r="B427" s="12" t="n"/>
      <c r="C427" s="2" t="n"/>
      <c r="D427" s="4" t="n"/>
      <c r="E427" s="12" t="n"/>
      <c r="F427" s="2" t="n"/>
      <c r="G427" s="12" t="n"/>
      <c r="H427" s="2">
        <f>IF(G427="","",IFERROR(VLOOKUP(G427,板块观察!A:U,14,FALSE),""))</f>
        <v/>
      </c>
      <c r="I427" s="2">
        <f>IF(G427="","",IFERROR(VLOOKUP(G427,板块观察!A:U,15,FALSE),""))</f>
        <v/>
      </c>
      <c r="J427" s="12" t="n"/>
      <c r="K427" s="12" t="n"/>
      <c r="L427" s="12" t="n"/>
      <c r="M427" s="14" t="n"/>
      <c r="N427" s="12" t="n"/>
      <c r="O427" s="2" t="n"/>
      <c r="P427" s="2" t="n"/>
      <c r="Q427" s="2" t="n"/>
      <c r="R427" s="12" t="n"/>
      <c r="S427" s="12" t="n"/>
      <c r="T427" s="12" t="n"/>
      <c r="U427" s="12" t="n"/>
      <c r="V427" s="12" t="n"/>
      <c r="W427" s="12" t="n"/>
      <c r="X427" s="12" t="n"/>
      <c r="Y427" s="2" t="n"/>
      <c r="Z427" s="5">
        <f>IF(A427="","",(COUNTA(A427:G427)+COUNTA(J427:Y427))/23)</f>
        <v/>
      </c>
      <c r="AA427" s="2">
        <f>IF(B427="","",WORKDAY(B427,3))</f>
        <v/>
      </c>
      <c r="AB427" s="2">
        <f>IF(B427="","",WORKDAY(B427,5))</f>
        <v/>
      </c>
      <c r="AC427" s="2">
        <f>IF(B427="","",WORKDAY(B427,10))</f>
        <v/>
      </c>
      <c r="AD427" s="2" t="n"/>
    </row>
    <row r="428">
      <c r="A428" s="12" t="n"/>
      <c r="B428" s="12" t="n"/>
      <c r="C428" s="2" t="n"/>
      <c r="D428" s="4" t="n"/>
      <c r="E428" s="12" t="n"/>
      <c r="F428" s="2" t="n"/>
      <c r="G428" s="12" t="n"/>
      <c r="H428" s="2">
        <f>IF(G428="","",IFERROR(VLOOKUP(G428,板块观察!A:U,14,FALSE),""))</f>
        <v/>
      </c>
      <c r="I428" s="2">
        <f>IF(G428="","",IFERROR(VLOOKUP(G428,板块观察!A:U,15,FALSE),""))</f>
        <v/>
      </c>
      <c r="J428" s="12" t="n"/>
      <c r="K428" s="12" t="n"/>
      <c r="L428" s="12" t="n"/>
      <c r="M428" s="14" t="n"/>
      <c r="N428" s="12" t="n"/>
      <c r="O428" s="2" t="n"/>
      <c r="P428" s="2" t="n"/>
      <c r="Q428" s="2" t="n"/>
      <c r="R428" s="12" t="n"/>
      <c r="S428" s="12" t="n"/>
      <c r="T428" s="12" t="n"/>
      <c r="U428" s="12" t="n"/>
      <c r="V428" s="12" t="n"/>
      <c r="W428" s="12" t="n"/>
      <c r="X428" s="12" t="n"/>
      <c r="Y428" s="2" t="n"/>
      <c r="Z428" s="5">
        <f>IF(A428="","",(COUNTA(A428:G428)+COUNTA(J428:Y428))/23)</f>
        <v/>
      </c>
      <c r="AA428" s="2">
        <f>IF(B428="","",WORKDAY(B428,3))</f>
        <v/>
      </c>
      <c r="AB428" s="2">
        <f>IF(B428="","",WORKDAY(B428,5))</f>
        <v/>
      </c>
      <c r="AC428" s="2">
        <f>IF(B428="","",WORKDAY(B428,10))</f>
        <v/>
      </c>
      <c r="AD428" s="2" t="n"/>
    </row>
    <row r="429">
      <c r="A429" s="12" t="n"/>
      <c r="B429" s="12" t="n"/>
      <c r="C429" s="2" t="n"/>
      <c r="D429" s="4" t="n"/>
      <c r="E429" s="12" t="n"/>
      <c r="F429" s="2" t="n"/>
      <c r="G429" s="12" t="n"/>
      <c r="H429" s="2">
        <f>IF(G429="","",IFERROR(VLOOKUP(G429,板块观察!A:U,14,FALSE),""))</f>
        <v/>
      </c>
      <c r="I429" s="2">
        <f>IF(G429="","",IFERROR(VLOOKUP(G429,板块观察!A:U,15,FALSE),""))</f>
        <v/>
      </c>
      <c r="J429" s="12" t="n"/>
      <c r="K429" s="12" t="n"/>
      <c r="L429" s="12" t="n"/>
      <c r="M429" s="14" t="n"/>
      <c r="N429" s="12" t="n"/>
      <c r="O429" s="2" t="n"/>
      <c r="P429" s="2" t="n"/>
      <c r="Q429" s="2" t="n"/>
      <c r="R429" s="12" t="n"/>
      <c r="S429" s="12" t="n"/>
      <c r="T429" s="12" t="n"/>
      <c r="U429" s="12" t="n"/>
      <c r="V429" s="12" t="n"/>
      <c r="W429" s="12" t="n"/>
      <c r="X429" s="12" t="n"/>
      <c r="Y429" s="2" t="n"/>
      <c r="Z429" s="5">
        <f>IF(A429="","",(COUNTA(A429:G429)+COUNTA(J429:Y429))/23)</f>
        <v/>
      </c>
      <c r="AA429" s="2">
        <f>IF(B429="","",WORKDAY(B429,3))</f>
        <v/>
      </c>
      <c r="AB429" s="2">
        <f>IF(B429="","",WORKDAY(B429,5))</f>
        <v/>
      </c>
      <c r="AC429" s="2">
        <f>IF(B429="","",WORKDAY(B429,10))</f>
        <v/>
      </c>
      <c r="AD429" s="2" t="n"/>
    </row>
    <row r="430">
      <c r="A430" s="12" t="n"/>
      <c r="B430" s="12" t="n"/>
      <c r="C430" s="2" t="n"/>
      <c r="D430" s="4" t="n"/>
      <c r="E430" s="12" t="n"/>
      <c r="F430" s="2" t="n"/>
      <c r="G430" s="12" t="n"/>
      <c r="H430" s="2">
        <f>IF(G430="","",IFERROR(VLOOKUP(G430,板块观察!A:U,14,FALSE),""))</f>
        <v/>
      </c>
      <c r="I430" s="2">
        <f>IF(G430="","",IFERROR(VLOOKUP(G430,板块观察!A:U,15,FALSE),""))</f>
        <v/>
      </c>
      <c r="J430" s="12" t="n"/>
      <c r="K430" s="12" t="n"/>
      <c r="L430" s="12" t="n"/>
      <c r="M430" s="14" t="n"/>
      <c r="N430" s="12" t="n"/>
      <c r="O430" s="2" t="n"/>
      <c r="P430" s="2" t="n"/>
      <c r="Q430" s="2" t="n"/>
      <c r="R430" s="12" t="n"/>
      <c r="S430" s="12" t="n"/>
      <c r="T430" s="12" t="n"/>
      <c r="U430" s="12" t="n"/>
      <c r="V430" s="12" t="n"/>
      <c r="W430" s="12" t="n"/>
      <c r="X430" s="12" t="n"/>
      <c r="Y430" s="2" t="n"/>
      <c r="Z430" s="5">
        <f>IF(A430="","",(COUNTA(A430:G430)+COUNTA(J430:Y430))/23)</f>
        <v/>
      </c>
      <c r="AA430" s="2">
        <f>IF(B430="","",WORKDAY(B430,3))</f>
        <v/>
      </c>
      <c r="AB430" s="2">
        <f>IF(B430="","",WORKDAY(B430,5))</f>
        <v/>
      </c>
      <c r="AC430" s="2">
        <f>IF(B430="","",WORKDAY(B430,10))</f>
        <v/>
      </c>
      <c r="AD430" s="2" t="n"/>
    </row>
    <row r="431">
      <c r="A431" s="12" t="n"/>
      <c r="B431" s="12" t="n"/>
      <c r="C431" s="2" t="n"/>
      <c r="D431" s="4" t="n"/>
      <c r="E431" s="12" t="n"/>
      <c r="F431" s="2" t="n"/>
      <c r="G431" s="12" t="n"/>
      <c r="H431" s="2">
        <f>IF(G431="","",IFERROR(VLOOKUP(G431,板块观察!A:U,14,FALSE),""))</f>
        <v/>
      </c>
      <c r="I431" s="2">
        <f>IF(G431="","",IFERROR(VLOOKUP(G431,板块观察!A:U,15,FALSE),""))</f>
        <v/>
      </c>
      <c r="J431" s="12" t="n"/>
      <c r="K431" s="12" t="n"/>
      <c r="L431" s="12" t="n"/>
      <c r="M431" s="14" t="n"/>
      <c r="N431" s="12" t="n"/>
      <c r="O431" s="2" t="n"/>
      <c r="P431" s="2" t="n"/>
      <c r="Q431" s="2" t="n"/>
      <c r="R431" s="12" t="n"/>
      <c r="S431" s="12" t="n"/>
      <c r="T431" s="12" t="n"/>
      <c r="U431" s="12" t="n"/>
      <c r="V431" s="12" t="n"/>
      <c r="W431" s="12" t="n"/>
      <c r="X431" s="12" t="n"/>
      <c r="Y431" s="2" t="n"/>
      <c r="Z431" s="5">
        <f>IF(A431="","",(COUNTA(A431:G431)+COUNTA(J431:Y431))/23)</f>
        <v/>
      </c>
      <c r="AA431" s="2">
        <f>IF(B431="","",WORKDAY(B431,3))</f>
        <v/>
      </c>
      <c r="AB431" s="2">
        <f>IF(B431="","",WORKDAY(B431,5))</f>
        <v/>
      </c>
      <c r="AC431" s="2">
        <f>IF(B431="","",WORKDAY(B431,10))</f>
        <v/>
      </c>
      <c r="AD431" s="2" t="n"/>
    </row>
    <row r="432">
      <c r="A432" s="12" t="n"/>
      <c r="B432" s="12" t="n"/>
      <c r="C432" s="2" t="n"/>
      <c r="D432" s="4" t="n"/>
      <c r="E432" s="12" t="n"/>
      <c r="F432" s="2" t="n"/>
      <c r="G432" s="12" t="n"/>
      <c r="H432" s="2">
        <f>IF(G432="","",IFERROR(VLOOKUP(G432,板块观察!A:U,14,FALSE),""))</f>
        <v/>
      </c>
      <c r="I432" s="2">
        <f>IF(G432="","",IFERROR(VLOOKUP(G432,板块观察!A:U,15,FALSE),""))</f>
        <v/>
      </c>
      <c r="J432" s="12" t="n"/>
      <c r="K432" s="12" t="n"/>
      <c r="L432" s="12" t="n"/>
      <c r="M432" s="14" t="n"/>
      <c r="N432" s="12" t="n"/>
      <c r="O432" s="2" t="n"/>
      <c r="P432" s="2" t="n"/>
      <c r="Q432" s="2" t="n"/>
      <c r="R432" s="12" t="n"/>
      <c r="S432" s="12" t="n"/>
      <c r="T432" s="12" t="n"/>
      <c r="U432" s="12" t="n"/>
      <c r="V432" s="12" t="n"/>
      <c r="W432" s="12" t="n"/>
      <c r="X432" s="12" t="n"/>
      <c r="Y432" s="2" t="n"/>
      <c r="Z432" s="5">
        <f>IF(A432="","",(COUNTA(A432:G432)+COUNTA(J432:Y432))/23)</f>
        <v/>
      </c>
      <c r="AA432" s="2">
        <f>IF(B432="","",WORKDAY(B432,3))</f>
        <v/>
      </c>
      <c r="AB432" s="2">
        <f>IF(B432="","",WORKDAY(B432,5))</f>
        <v/>
      </c>
      <c r="AC432" s="2">
        <f>IF(B432="","",WORKDAY(B432,10))</f>
        <v/>
      </c>
      <c r="AD432" s="2" t="n"/>
    </row>
    <row r="433">
      <c r="A433" s="12" t="n"/>
      <c r="B433" s="12" t="n"/>
      <c r="C433" s="2" t="n"/>
      <c r="D433" s="4" t="n"/>
      <c r="E433" s="12" t="n"/>
      <c r="F433" s="2" t="n"/>
      <c r="G433" s="12" t="n"/>
      <c r="H433" s="2">
        <f>IF(G433="","",IFERROR(VLOOKUP(G433,板块观察!A:U,14,FALSE),""))</f>
        <v/>
      </c>
      <c r="I433" s="2">
        <f>IF(G433="","",IFERROR(VLOOKUP(G433,板块观察!A:U,15,FALSE),""))</f>
        <v/>
      </c>
      <c r="J433" s="12" t="n"/>
      <c r="K433" s="12" t="n"/>
      <c r="L433" s="12" t="n"/>
      <c r="M433" s="14" t="n"/>
      <c r="N433" s="12" t="n"/>
      <c r="O433" s="2" t="n"/>
      <c r="P433" s="2" t="n"/>
      <c r="Q433" s="2" t="n"/>
      <c r="R433" s="12" t="n"/>
      <c r="S433" s="12" t="n"/>
      <c r="T433" s="12" t="n"/>
      <c r="U433" s="12" t="n"/>
      <c r="V433" s="12" t="n"/>
      <c r="W433" s="12" t="n"/>
      <c r="X433" s="12" t="n"/>
      <c r="Y433" s="2" t="n"/>
      <c r="Z433" s="5">
        <f>IF(A433="","",(COUNTA(A433:G433)+COUNTA(J433:Y433))/23)</f>
        <v/>
      </c>
      <c r="AA433" s="2">
        <f>IF(B433="","",WORKDAY(B433,3))</f>
        <v/>
      </c>
      <c r="AB433" s="2">
        <f>IF(B433="","",WORKDAY(B433,5))</f>
        <v/>
      </c>
      <c r="AC433" s="2">
        <f>IF(B433="","",WORKDAY(B433,10))</f>
        <v/>
      </c>
      <c r="AD433" s="2" t="n"/>
    </row>
    <row r="434">
      <c r="A434" s="12" t="n"/>
      <c r="B434" s="12" t="n"/>
      <c r="C434" s="2" t="n"/>
      <c r="D434" s="4" t="n"/>
      <c r="E434" s="12" t="n"/>
      <c r="F434" s="2" t="n"/>
      <c r="G434" s="12" t="n"/>
      <c r="H434" s="2">
        <f>IF(G434="","",IFERROR(VLOOKUP(G434,板块观察!A:U,14,FALSE),""))</f>
        <v/>
      </c>
      <c r="I434" s="2">
        <f>IF(G434="","",IFERROR(VLOOKUP(G434,板块观察!A:U,15,FALSE),""))</f>
        <v/>
      </c>
      <c r="J434" s="12" t="n"/>
      <c r="K434" s="12" t="n"/>
      <c r="L434" s="12" t="n"/>
      <c r="M434" s="14" t="n"/>
      <c r="N434" s="12" t="n"/>
      <c r="O434" s="2" t="n"/>
      <c r="P434" s="2" t="n"/>
      <c r="Q434" s="2" t="n"/>
      <c r="R434" s="12" t="n"/>
      <c r="S434" s="12" t="n"/>
      <c r="T434" s="12" t="n"/>
      <c r="U434" s="12" t="n"/>
      <c r="V434" s="12" t="n"/>
      <c r="W434" s="12" t="n"/>
      <c r="X434" s="12" t="n"/>
      <c r="Y434" s="2" t="n"/>
      <c r="Z434" s="5">
        <f>IF(A434="","",(COUNTA(A434:G434)+COUNTA(J434:Y434))/23)</f>
        <v/>
      </c>
      <c r="AA434" s="2">
        <f>IF(B434="","",WORKDAY(B434,3))</f>
        <v/>
      </c>
      <c r="AB434" s="2">
        <f>IF(B434="","",WORKDAY(B434,5))</f>
        <v/>
      </c>
      <c r="AC434" s="2">
        <f>IF(B434="","",WORKDAY(B434,10))</f>
        <v/>
      </c>
      <c r="AD434" s="2" t="n"/>
    </row>
    <row r="435">
      <c r="A435" s="12" t="n"/>
      <c r="B435" s="12" t="n"/>
      <c r="C435" s="2" t="n"/>
      <c r="D435" s="4" t="n"/>
      <c r="E435" s="12" t="n"/>
      <c r="F435" s="2" t="n"/>
      <c r="G435" s="12" t="n"/>
      <c r="H435" s="2">
        <f>IF(G435="","",IFERROR(VLOOKUP(G435,板块观察!A:U,14,FALSE),""))</f>
        <v/>
      </c>
      <c r="I435" s="2">
        <f>IF(G435="","",IFERROR(VLOOKUP(G435,板块观察!A:U,15,FALSE),""))</f>
        <v/>
      </c>
      <c r="J435" s="12" t="n"/>
      <c r="K435" s="12" t="n"/>
      <c r="L435" s="12" t="n"/>
      <c r="M435" s="14" t="n"/>
      <c r="N435" s="12" t="n"/>
      <c r="O435" s="2" t="n"/>
      <c r="P435" s="2" t="n"/>
      <c r="Q435" s="2" t="n"/>
      <c r="R435" s="12" t="n"/>
      <c r="S435" s="12" t="n"/>
      <c r="T435" s="12" t="n"/>
      <c r="U435" s="12" t="n"/>
      <c r="V435" s="12" t="n"/>
      <c r="W435" s="12" t="n"/>
      <c r="X435" s="12" t="n"/>
      <c r="Y435" s="2" t="n"/>
      <c r="Z435" s="5">
        <f>IF(A435="","",(COUNTA(A435:G435)+COUNTA(J435:Y435))/23)</f>
        <v/>
      </c>
      <c r="AA435" s="2">
        <f>IF(B435="","",WORKDAY(B435,3))</f>
        <v/>
      </c>
      <c r="AB435" s="2">
        <f>IF(B435="","",WORKDAY(B435,5))</f>
        <v/>
      </c>
      <c r="AC435" s="2">
        <f>IF(B435="","",WORKDAY(B435,10))</f>
        <v/>
      </c>
      <c r="AD435" s="2" t="n"/>
    </row>
    <row r="436">
      <c r="A436" s="12" t="n"/>
      <c r="B436" s="12" t="n"/>
      <c r="C436" s="2" t="n"/>
      <c r="D436" s="4" t="n"/>
      <c r="E436" s="12" t="n"/>
      <c r="F436" s="2" t="n"/>
      <c r="G436" s="12" t="n"/>
      <c r="H436" s="2">
        <f>IF(G436="","",IFERROR(VLOOKUP(G436,板块观察!A:U,14,FALSE),""))</f>
        <v/>
      </c>
      <c r="I436" s="2">
        <f>IF(G436="","",IFERROR(VLOOKUP(G436,板块观察!A:U,15,FALSE),""))</f>
        <v/>
      </c>
      <c r="J436" s="12" t="n"/>
      <c r="K436" s="12" t="n"/>
      <c r="L436" s="12" t="n"/>
      <c r="M436" s="14" t="n"/>
      <c r="N436" s="12" t="n"/>
      <c r="O436" s="2" t="n"/>
      <c r="P436" s="2" t="n"/>
      <c r="Q436" s="2" t="n"/>
      <c r="R436" s="12" t="n"/>
      <c r="S436" s="12" t="n"/>
      <c r="T436" s="12" t="n"/>
      <c r="U436" s="12" t="n"/>
      <c r="V436" s="12" t="n"/>
      <c r="W436" s="12" t="n"/>
      <c r="X436" s="12" t="n"/>
      <c r="Y436" s="2" t="n"/>
      <c r="Z436" s="5">
        <f>IF(A436="","",(COUNTA(A436:G436)+COUNTA(J436:Y436))/23)</f>
        <v/>
      </c>
      <c r="AA436" s="2">
        <f>IF(B436="","",WORKDAY(B436,3))</f>
        <v/>
      </c>
      <c r="AB436" s="2">
        <f>IF(B436="","",WORKDAY(B436,5))</f>
        <v/>
      </c>
      <c r="AC436" s="2">
        <f>IF(B436="","",WORKDAY(B436,10))</f>
        <v/>
      </c>
      <c r="AD436" s="2" t="n"/>
    </row>
    <row r="437">
      <c r="A437" s="12" t="n"/>
      <c r="B437" s="12" t="n"/>
      <c r="C437" s="2" t="n"/>
      <c r="D437" s="4" t="n"/>
      <c r="E437" s="12" t="n"/>
      <c r="F437" s="2" t="n"/>
      <c r="G437" s="12" t="n"/>
      <c r="H437" s="2">
        <f>IF(G437="","",IFERROR(VLOOKUP(G437,板块观察!A:U,14,FALSE),""))</f>
        <v/>
      </c>
      <c r="I437" s="2">
        <f>IF(G437="","",IFERROR(VLOOKUP(G437,板块观察!A:U,15,FALSE),""))</f>
        <v/>
      </c>
      <c r="J437" s="12" t="n"/>
      <c r="K437" s="12" t="n"/>
      <c r="L437" s="12" t="n"/>
      <c r="M437" s="14" t="n"/>
      <c r="N437" s="12" t="n"/>
      <c r="O437" s="2" t="n"/>
      <c r="P437" s="2" t="n"/>
      <c r="Q437" s="2" t="n"/>
      <c r="R437" s="12" t="n"/>
      <c r="S437" s="12" t="n"/>
      <c r="T437" s="12" t="n"/>
      <c r="U437" s="12" t="n"/>
      <c r="V437" s="12" t="n"/>
      <c r="W437" s="12" t="n"/>
      <c r="X437" s="12" t="n"/>
      <c r="Y437" s="2" t="n"/>
      <c r="Z437" s="5">
        <f>IF(A437="","",(COUNTA(A437:G437)+COUNTA(J437:Y437))/23)</f>
        <v/>
      </c>
      <c r="AA437" s="2">
        <f>IF(B437="","",WORKDAY(B437,3))</f>
        <v/>
      </c>
      <c r="AB437" s="2">
        <f>IF(B437="","",WORKDAY(B437,5))</f>
        <v/>
      </c>
      <c r="AC437" s="2">
        <f>IF(B437="","",WORKDAY(B437,10))</f>
        <v/>
      </c>
      <c r="AD437" s="2" t="n"/>
    </row>
    <row r="438">
      <c r="A438" s="12" t="n"/>
      <c r="B438" s="12" t="n"/>
      <c r="C438" s="2" t="n"/>
      <c r="D438" s="4" t="n"/>
      <c r="E438" s="12" t="n"/>
      <c r="F438" s="2" t="n"/>
      <c r="G438" s="12" t="n"/>
      <c r="H438" s="2">
        <f>IF(G438="","",IFERROR(VLOOKUP(G438,板块观察!A:U,14,FALSE),""))</f>
        <v/>
      </c>
      <c r="I438" s="2">
        <f>IF(G438="","",IFERROR(VLOOKUP(G438,板块观察!A:U,15,FALSE),""))</f>
        <v/>
      </c>
      <c r="J438" s="12" t="n"/>
      <c r="K438" s="12" t="n"/>
      <c r="L438" s="12" t="n"/>
      <c r="M438" s="14" t="n"/>
      <c r="N438" s="12" t="n"/>
      <c r="O438" s="2" t="n"/>
      <c r="P438" s="2" t="n"/>
      <c r="Q438" s="2" t="n"/>
      <c r="R438" s="12" t="n"/>
      <c r="S438" s="12" t="n"/>
      <c r="T438" s="12" t="n"/>
      <c r="U438" s="12" t="n"/>
      <c r="V438" s="12" t="n"/>
      <c r="W438" s="12" t="n"/>
      <c r="X438" s="12" t="n"/>
      <c r="Y438" s="2" t="n"/>
      <c r="Z438" s="5">
        <f>IF(A438="","",(COUNTA(A438:G438)+COUNTA(J438:Y438))/23)</f>
        <v/>
      </c>
      <c r="AA438" s="2">
        <f>IF(B438="","",WORKDAY(B438,3))</f>
        <v/>
      </c>
      <c r="AB438" s="2">
        <f>IF(B438="","",WORKDAY(B438,5))</f>
        <v/>
      </c>
      <c r="AC438" s="2">
        <f>IF(B438="","",WORKDAY(B438,10))</f>
        <v/>
      </c>
      <c r="AD438" s="2" t="n"/>
    </row>
    <row r="439">
      <c r="A439" s="12" t="n"/>
      <c r="B439" s="12" t="n"/>
      <c r="C439" s="2" t="n"/>
      <c r="D439" s="4" t="n"/>
      <c r="E439" s="12" t="n"/>
      <c r="F439" s="2" t="n"/>
      <c r="G439" s="12" t="n"/>
      <c r="H439" s="2">
        <f>IF(G439="","",IFERROR(VLOOKUP(G439,板块观察!A:U,14,FALSE),""))</f>
        <v/>
      </c>
      <c r="I439" s="2">
        <f>IF(G439="","",IFERROR(VLOOKUP(G439,板块观察!A:U,15,FALSE),""))</f>
        <v/>
      </c>
      <c r="J439" s="12" t="n"/>
      <c r="K439" s="12" t="n"/>
      <c r="L439" s="12" t="n"/>
      <c r="M439" s="14" t="n"/>
      <c r="N439" s="12" t="n"/>
      <c r="O439" s="2" t="n"/>
      <c r="P439" s="2" t="n"/>
      <c r="Q439" s="2" t="n"/>
      <c r="R439" s="12" t="n"/>
      <c r="S439" s="12" t="n"/>
      <c r="T439" s="12" t="n"/>
      <c r="U439" s="12" t="n"/>
      <c r="V439" s="12" t="n"/>
      <c r="W439" s="12" t="n"/>
      <c r="X439" s="12" t="n"/>
      <c r="Y439" s="2" t="n"/>
      <c r="Z439" s="5">
        <f>IF(A439="","",(COUNTA(A439:G439)+COUNTA(J439:Y439))/23)</f>
        <v/>
      </c>
      <c r="AA439" s="2">
        <f>IF(B439="","",WORKDAY(B439,3))</f>
        <v/>
      </c>
      <c r="AB439" s="2">
        <f>IF(B439="","",WORKDAY(B439,5))</f>
        <v/>
      </c>
      <c r="AC439" s="2">
        <f>IF(B439="","",WORKDAY(B439,10))</f>
        <v/>
      </c>
      <c r="AD439" s="2" t="n"/>
    </row>
    <row r="440">
      <c r="A440" s="12" t="n"/>
      <c r="B440" s="12" t="n"/>
      <c r="C440" s="2" t="n"/>
      <c r="D440" s="4" t="n"/>
      <c r="E440" s="12" t="n"/>
      <c r="F440" s="2" t="n"/>
      <c r="G440" s="12" t="n"/>
      <c r="H440" s="2">
        <f>IF(G440="","",IFERROR(VLOOKUP(G440,板块观察!A:U,14,FALSE),""))</f>
        <v/>
      </c>
      <c r="I440" s="2">
        <f>IF(G440="","",IFERROR(VLOOKUP(G440,板块观察!A:U,15,FALSE),""))</f>
        <v/>
      </c>
      <c r="J440" s="12" t="n"/>
      <c r="K440" s="12" t="n"/>
      <c r="L440" s="12" t="n"/>
      <c r="M440" s="14" t="n"/>
      <c r="N440" s="12" t="n"/>
      <c r="O440" s="2" t="n"/>
      <c r="P440" s="2" t="n"/>
      <c r="Q440" s="2" t="n"/>
      <c r="R440" s="12" t="n"/>
      <c r="S440" s="12" t="n"/>
      <c r="T440" s="12" t="n"/>
      <c r="U440" s="12" t="n"/>
      <c r="V440" s="12" t="n"/>
      <c r="W440" s="12" t="n"/>
      <c r="X440" s="12" t="n"/>
      <c r="Y440" s="2" t="n"/>
      <c r="Z440" s="5">
        <f>IF(A440="","",(COUNTA(A440:G440)+COUNTA(J440:Y440))/23)</f>
        <v/>
      </c>
      <c r="AA440" s="2">
        <f>IF(B440="","",WORKDAY(B440,3))</f>
        <v/>
      </c>
      <c r="AB440" s="2">
        <f>IF(B440="","",WORKDAY(B440,5))</f>
        <v/>
      </c>
      <c r="AC440" s="2">
        <f>IF(B440="","",WORKDAY(B440,10))</f>
        <v/>
      </c>
      <c r="AD440" s="2" t="n"/>
    </row>
    <row r="441">
      <c r="A441" s="12" t="n"/>
      <c r="B441" s="12" t="n"/>
      <c r="C441" s="2" t="n"/>
      <c r="D441" s="4" t="n"/>
      <c r="E441" s="12" t="n"/>
      <c r="F441" s="2" t="n"/>
      <c r="G441" s="12" t="n"/>
      <c r="H441" s="2">
        <f>IF(G441="","",IFERROR(VLOOKUP(G441,板块观察!A:U,14,FALSE),""))</f>
        <v/>
      </c>
      <c r="I441" s="2">
        <f>IF(G441="","",IFERROR(VLOOKUP(G441,板块观察!A:U,15,FALSE),""))</f>
        <v/>
      </c>
      <c r="J441" s="12" t="n"/>
      <c r="K441" s="12" t="n"/>
      <c r="L441" s="12" t="n"/>
      <c r="M441" s="14" t="n"/>
      <c r="N441" s="12" t="n"/>
      <c r="O441" s="2" t="n"/>
      <c r="P441" s="2" t="n"/>
      <c r="Q441" s="2" t="n"/>
      <c r="R441" s="12" t="n"/>
      <c r="S441" s="12" t="n"/>
      <c r="T441" s="12" t="n"/>
      <c r="U441" s="12" t="n"/>
      <c r="V441" s="12" t="n"/>
      <c r="W441" s="12" t="n"/>
      <c r="X441" s="12" t="n"/>
      <c r="Y441" s="2" t="n"/>
      <c r="Z441" s="5">
        <f>IF(A441="","",(COUNTA(A441:G441)+COUNTA(J441:Y441))/23)</f>
        <v/>
      </c>
      <c r="AA441" s="2">
        <f>IF(B441="","",WORKDAY(B441,3))</f>
        <v/>
      </c>
      <c r="AB441" s="2">
        <f>IF(B441="","",WORKDAY(B441,5))</f>
        <v/>
      </c>
      <c r="AC441" s="2">
        <f>IF(B441="","",WORKDAY(B441,10))</f>
        <v/>
      </c>
      <c r="AD441" s="2" t="n"/>
    </row>
    <row r="442">
      <c r="A442" s="12" t="n"/>
      <c r="B442" s="12" t="n"/>
      <c r="C442" s="2" t="n"/>
      <c r="D442" s="4" t="n"/>
      <c r="E442" s="12" t="n"/>
      <c r="F442" s="2" t="n"/>
      <c r="G442" s="12" t="n"/>
      <c r="H442" s="2">
        <f>IF(G442="","",IFERROR(VLOOKUP(G442,板块观察!A:U,14,FALSE),""))</f>
        <v/>
      </c>
      <c r="I442" s="2">
        <f>IF(G442="","",IFERROR(VLOOKUP(G442,板块观察!A:U,15,FALSE),""))</f>
        <v/>
      </c>
      <c r="J442" s="12" t="n"/>
      <c r="K442" s="12" t="n"/>
      <c r="L442" s="12" t="n"/>
      <c r="M442" s="14" t="n"/>
      <c r="N442" s="12" t="n"/>
      <c r="O442" s="2" t="n"/>
      <c r="P442" s="2" t="n"/>
      <c r="Q442" s="2" t="n"/>
      <c r="R442" s="12" t="n"/>
      <c r="S442" s="12" t="n"/>
      <c r="T442" s="12" t="n"/>
      <c r="U442" s="12" t="n"/>
      <c r="V442" s="12" t="n"/>
      <c r="W442" s="12" t="n"/>
      <c r="X442" s="12" t="n"/>
      <c r="Y442" s="2" t="n"/>
      <c r="Z442" s="5">
        <f>IF(A442="","",(COUNTA(A442:G442)+COUNTA(J442:Y442))/23)</f>
        <v/>
      </c>
      <c r="AA442" s="2">
        <f>IF(B442="","",WORKDAY(B442,3))</f>
        <v/>
      </c>
      <c r="AB442" s="2">
        <f>IF(B442="","",WORKDAY(B442,5))</f>
        <v/>
      </c>
      <c r="AC442" s="2">
        <f>IF(B442="","",WORKDAY(B442,10))</f>
        <v/>
      </c>
      <c r="AD442" s="2" t="n"/>
    </row>
    <row r="443">
      <c r="A443" s="12" t="n"/>
      <c r="B443" s="12" t="n"/>
      <c r="C443" s="2" t="n"/>
      <c r="D443" s="4" t="n"/>
      <c r="E443" s="12" t="n"/>
      <c r="F443" s="2" t="n"/>
      <c r="G443" s="12" t="n"/>
      <c r="H443" s="2">
        <f>IF(G443="","",IFERROR(VLOOKUP(G443,板块观察!A:U,14,FALSE),""))</f>
        <v/>
      </c>
      <c r="I443" s="2">
        <f>IF(G443="","",IFERROR(VLOOKUP(G443,板块观察!A:U,15,FALSE),""))</f>
        <v/>
      </c>
      <c r="J443" s="12" t="n"/>
      <c r="K443" s="12" t="n"/>
      <c r="L443" s="12" t="n"/>
      <c r="M443" s="14" t="n"/>
      <c r="N443" s="12" t="n"/>
      <c r="O443" s="2" t="n"/>
      <c r="P443" s="2" t="n"/>
      <c r="Q443" s="2" t="n"/>
      <c r="R443" s="12" t="n"/>
      <c r="S443" s="12" t="n"/>
      <c r="T443" s="12" t="n"/>
      <c r="U443" s="12" t="n"/>
      <c r="V443" s="12" t="n"/>
      <c r="W443" s="12" t="n"/>
      <c r="X443" s="12" t="n"/>
      <c r="Y443" s="2" t="n"/>
      <c r="Z443" s="5">
        <f>IF(A443="","",(COUNTA(A443:G443)+COUNTA(J443:Y443))/23)</f>
        <v/>
      </c>
      <c r="AA443" s="2">
        <f>IF(B443="","",WORKDAY(B443,3))</f>
        <v/>
      </c>
      <c r="AB443" s="2">
        <f>IF(B443="","",WORKDAY(B443,5))</f>
        <v/>
      </c>
      <c r="AC443" s="2">
        <f>IF(B443="","",WORKDAY(B443,10))</f>
        <v/>
      </c>
      <c r="AD443" s="2" t="n"/>
    </row>
    <row r="444">
      <c r="A444" s="12" t="n"/>
      <c r="B444" s="12" t="n"/>
      <c r="C444" s="2" t="n"/>
      <c r="D444" s="4" t="n"/>
      <c r="E444" s="12" t="n"/>
      <c r="F444" s="2" t="n"/>
      <c r="G444" s="12" t="n"/>
      <c r="H444" s="2">
        <f>IF(G444="","",IFERROR(VLOOKUP(G444,板块观察!A:U,14,FALSE),""))</f>
        <v/>
      </c>
      <c r="I444" s="2">
        <f>IF(G444="","",IFERROR(VLOOKUP(G444,板块观察!A:U,15,FALSE),""))</f>
        <v/>
      </c>
      <c r="J444" s="12" t="n"/>
      <c r="K444" s="12" t="n"/>
      <c r="L444" s="12" t="n"/>
      <c r="M444" s="14" t="n"/>
      <c r="N444" s="12" t="n"/>
      <c r="O444" s="2" t="n"/>
      <c r="P444" s="2" t="n"/>
      <c r="Q444" s="2" t="n"/>
      <c r="R444" s="12" t="n"/>
      <c r="S444" s="12" t="n"/>
      <c r="T444" s="12" t="n"/>
      <c r="U444" s="12" t="n"/>
      <c r="V444" s="12" t="n"/>
      <c r="W444" s="12" t="n"/>
      <c r="X444" s="12" t="n"/>
      <c r="Y444" s="2" t="n"/>
      <c r="Z444" s="5">
        <f>IF(A444="","",(COUNTA(A444:G444)+COUNTA(J444:Y444))/23)</f>
        <v/>
      </c>
      <c r="AA444" s="2">
        <f>IF(B444="","",WORKDAY(B444,3))</f>
        <v/>
      </c>
      <c r="AB444" s="2">
        <f>IF(B444="","",WORKDAY(B444,5))</f>
        <v/>
      </c>
      <c r="AC444" s="2">
        <f>IF(B444="","",WORKDAY(B444,10))</f>
        <v/>
      </c>
      <c r="AD444" s="2" t="n"/>
    </row>
    <row r="445">
      <c r="A445" s="12" t="n"/>
      <c r="B445" s="12" t="n"/>
      <c r="C445" s="2" t="n"/>
      <c r="D445" s="4" t="n"/>
      <c r="E445" s="12" t="n"/>
      <c r="F445" s="2" t="n"/>
      <c r="G445" s="12" t="n"/>
      <c r="H445" s="2">
        <f>IF(G445="","",IFERROR(VLOOKUP(G445,板块观察!A:U,14,FALSE),""))</f>
        <v/>
      </c>
      <c r="I445" s="2">
        <f>IF(G445="","",IFERROR(VLOOKUP(G445,板块观察!A:U,15,FALSE),""))</f>
        <v/>
      </c>
      <c r="J445" s="12" t="n"/>
      <c r="K445" s="12" t="n"/>
      <c r="L445" s="12" t="n"/>
      <c r="M445" s="14" t="n"/>
      <c r="N445" s="12" t="n"/>
      <c r="O445" s="2" t="n"/>
      <c r="P445" s="2" t="n"/>
      <c r="Q445" s="2" t="n"/>
      <c r="R445" s="12" t="n"/>
      <c r="S445" s="12" t="n"/>
      <c r="T445" s="12" t="n"/>
      <c r="U445" s="12" t="n"/>
      <c r="V445" s="12" t="n"/>
      <c r="W445" s="12" t="n"/>
      <c r="X445" s="12" t="n"/>
      <c r="Y445" s="2" t="n"/>
      <c r="Z445" s="5">
        <f>IF(A445="","",(COUNTA(A445:G445)+COUNTA(J445:Y445))/23)</f>
        <v/>
      </c>
      <c r="AA445" s="2">
        <f>IF(B445="","",WORKDAY(B445,3))</f>
        <v/>
      </c>
      <c r="AB445" s="2">
        <f>IF(B445="","",WORKDAY(B445,5))</f>
        <v/>
      </c>
      <c r="AC445" s="2">
        <f>IF(B445="","",WORKDAY(B445,10))</f>
        <v/>
      </c>
      <c r="AD445" s="2" t="n"/>
    </row>
    <row r="446">
      <c r="A446" s="12" t="n"/>
      <c r="B446" s="12" t="n"/>
      <c r="C446" s="2" t="n"/>
      <c r="D446" s="4" t="n"/>
      <c r="E446" s="12" t="n"/>
      <c r="F446" s="2" t="n"/>
      <c r="G446" s="12" t="n"/>
      <c r="H446" s="2">
        <f>IF(G446="","",IFERROR(VLOOKUP(G446,板块观察!A:U,14,FALSE),""))</f>
        <v/>
      </c>
      <c r="I446" s="2">
        <f>IF(G446="","",IFERROR(VLOOKUP(G446,板块观察!A:U,15,FALSE),""))</f>
        <v/>
      </c>
      <c r="J446" s="12" t="n"/>
      <c r="K446" s="12" t="n"/>
      <c r="L446" s="12" t="n"/>
      <c r="M446" s="14" t="n"/>
      <c r="N446" s="12" t="n"/>
      <c r="O446" s="2" t="n"/>
      <c r="P446" s="2" t="n"/>
      <c r="Q446" s="2" t="n"/>
      <c r="R446" s="12" t="n"/>
      <c r="S446" s="12" t="n"/>
      <c r="T446" s="12" t="n"/>
      <c r="U446" s="12" t="n"/>
      <c r="V446" s="12" t="n"/>
      <c r="W446" s="12" t="n"/>
      <c r="X446" s="12" t="n"/>
      <c r="Y446" s="2" t="n"/>
      <c r="Z446" s="5">
        <f>IF(A446="","",(COUNTA(A446:G446)+COUNTA(J446:Y446))/23)</f>
        <v/>
      </c>
      <c r="AA446" s="2">
        <f>IF(B446="","",WORKDAY(B446,3))</f>
        <v/>
      </c>
      <c r="AB446" s="2">
        <f>IF(B446="","",WORKDAY(B446,5))</f>
        <v/>
      </c>
      <c r="AC446" s="2">
        <f>IF(B446="","",WORKDAY(B446,10))</f>
        <v/>
      </c>
      <c r="AD446" s="2" t="n"/>
    </row>
    <row r="447">
      <c r="A447" s="12" t="n"/>
      <c r="B447" s="12" t="n"/>
      <c r="C447" s="2" t="n"/>
      <c r="D447" s="4" t="n"/>
      <c r="E447" s="12" t="n"/>
      <c r="F447" s="2" t="n"/>
      <c r="G447" s="12" t="n"/>
      <c r="H447" s="2">
        <f>IF(G447="","",IFERROR(VLOOKUP(G447,板块观察!A:U,14,FALSE),""))</f>
        <v/>
      </c>
      <c r="I447" s="2">
        <f>IF(G447="","",IFERROR(VLOOKUP(G447,板块观察!A:U,15,FALSE),""))</f>
        <v/>
      </c>
      <c r="J447" s="12" t="n"/>
      <c r="K447" s="12" t="n"/>
      <c r="L447" s="12" t="n"/>
      <c r="M447" s="14" t="n"/>
      <c r="N447" s="12" t="n"/>
      <c r="O447" s="2" t="n"/>
      <c r="P447" s="2" t="n"/>
      <c r="Q447" s="2" t="n"/>
      <c r="R447" s="12" t="n"/>
      <c r="S447" s="12" t="n"/>
      <c r="T447" s="12" t="n"/>
      <c r="U447" s="12" t="n"/>
      <c r="V447" s="12" t="n"/>
      <c r="W447" s="12" t="n"/>
      <c r="X447" s="12" t="n"/>
      <c r="Y447" s="2" t="n"/>
      <c r="Z447" s="5">
        <f>IF(A447="","",(COUNTA(A447:G447)+COUNTA(J447:Y447))/23)</f>
        <v/>
      </c>
      <c r="AA447" s="2">
        <f>IF(B447="","",WORKDAY(B447,3))</f>
        <v/>
      </c>
      <c r="AB447" s="2">
        <f>IF(B447="","",WORKDAY(B447,5))</f>
        <v/>
      </c>
      <c r="AC447" s="2">
        <f>IF(B447="","",WORKDAY(B447,10))</f>
        <v/>
      </c>
      <c r="AD447" s="2" t="n"/>
    </row>
    <row r="448">
      <c r="A448" s="12" t="n"/>
      <c r="B448" s="12" t="n"/>
      <c r="C448" s="2" t="n"/>
      <c r="D448" s="4" t="n"/>
      <c r="E448" s="12" t="n"/>
      <c r="F448" s="2" t="n"/>
      <c r="G448" s="12" t="n"/>
      <c r="H448" s="2">
        <f>IF(G448="","",IFERROR(VLOOKUP(G448,板块观察!A:U,14,FALSE),""))</f>
        <v/>
      </c>
      <c r="I448" s="2">
        <f>IF(G448="","",IFERROR(VLOOKUP(G448,板块观察!A:U,15,FALSE),""))</f>
        <v/>
      </c>
      <c r="J448" s="12" t="n"/>
      <c r="K448" s="12" t="n"/>
      <c r="L448" s="12" t="n"/>
      <c r="M448" s="14" t="n"/>
      <c r="N448" s="12" t="n"/>
      <c r="O448" s="2" t="n"/>
      <c r="P448" s="2" t="n"/>
      <c r="Q448" s="2" t="n"/>
      <c r="R448" s="12" t="n"/>
      <c r="S448" s="12" t="n"/>
      <c r="T448" s="12" t="n"/>
      <c r="U448" s="12" t="n"/>
      <c r="V448" s="12" t="n"/>
      <c r="W448" s="12" t="n"/>
      <c r="X448" s="12" t="n"/>
      <c r="Y448" s="2" t="n"/>
      <c r="Z448" s="5">
        <f>IF(A448="","",(COUNTA(A448:G448)+COUNTA(J448:Y448))/23)</f>
        <v/>
      </c>
      <c r="AA448" s="2">
        <f>IF(B448="","",WORKDAY(B448,3))</f>
        <v/>
      </c>
      <c r="AB448" s="2">
        <f>IF(B448="","",WORKDAY(B448,5))</f>
        <v/>
      </c>
      <c r="AC448" s="2">
        <f>IF(B448="","",WORKDAY(B448,10))</f>
        <v/>
      </c>
      <c r="AD448" s="2" t="n"/>
    </row>
    <row r="449">
      <c r="A449" s="12" t="n"/>
      <c r="B449" s="12" t="n"/>
      <c r="C449" s="2" t="n"/>
      <c r="D449" s="4" t="n"/>
      <c r="E449" s="12" t="n"/>
      <c r="F449" s="2" t="n"/>
      <c r="G449" s="12" t="n"/>
      <c r="H449" s="2">
        <f>IF(G449="","",IFERROR(VLOOKUP(G449,板块观察!A:U,14,FALSE),""))</f>
        <v/>
      </c>
      <c r="I449" s="2">
        <f>IF(G449="","",IFERROR(VLOOKUP(G449,板块观察!A:U,15,FALSE),""))</f>
        <v/>
      </c>
      <c r="J449" s="12" t="n"/>
      <c r="K449" s="12" t="n"/>
      <c r="L449" s="12" t="n"/>
      <c r="M449" s="14" t="n"/>
      <c r="N449" s="12" t="n"/>
      <c r="O449" s="2" t="n"/>
      <c r="P449" s="2" t="n"/>
      <c r="Q449" s="2" t="n"/>
      <c r="R449" s="12" t="n"/>
      <c r="S449" s="12" t="n"/>
      <c r="T449" s="12" t="n"/>
      <c r="U449" s="12" t="n"/>
      <c r="V449" s="12" t="n"/>
      <c r="W449" s="12" t="n"/>
      <c r="X449" s="12" t="n"/>
      <c r="Y449" s="2" t="n"/>
      <c r="Z449" s="5">
        <f>IF(A449="","",(COUNTA(A449:G449)+COUNTA(J449:Y449))/23)</f>
        <v/>
      </c>
      <c r="AA449" s="2">
        <f>IF(B449="","",WORKDAY(B449,3))</f>
        <v/>
      </c>
      <c r="AB449" s="2">
        <f>IF(B449="","",WORKDAY(B449,5))</f>
        <v/>
      </c>
      <c r="AC449" s="2">
        <f>IF(B449="","",WORKDAY(B449,10))</f>
        <v/>
      </c>
      <c r="AD449" s="2" t="n"/>
    </row>
    <row r="450">
      <c r="A450" s="12" t="n"/>
      <c r="B450" s="12" t="n"/>
      <c r="C450" s="2" t="n"/>
      <c r="D450" s="4" t="n"/>
      <c r="E450" s="12" t="n"/>
      <c r="F450" s="2" t="n"/>
      <c r="G450" s="12" t="n"/>
      <c r="H450" s="2">
        <f>IF(G450="","",IFERROR(VLOOKUP(G450,板块观察!A:U,14,FALSE),""))</f>
        <v/>
      </c>
      <c r="I450" s="2">
        <f>IF(G450="","",IFERROR(VLOOKUP(G450,板块观察!A:U,15,FALSE),""))</f>
        <v/>
      </c>
      <c r="J450" s="12" t="n"/>
      <c r="K450" s="12" t="n"/>
      <c r="L450" s="12" t="n"/>
      <c r="M450" s="14" t="n"/>
      <c r="N450" s="12" t="n"/>
      <c r="O450" s="2" t="n"/>
      <c r="P450" s="2" t="n"/>
      <c r="Q450" s="2" t="n"/>
      <c r="R450" s="12" t="n"/>
      <c r="S450" s="12" t="n"/>
      <c r="T450" s="12" t="n"/>
      <c r="U450" s="12" t="n"/>
      <c r="V450" s="12" t="n"/>
      <c r="W450" s="12" t="n"/>
      <c r="X450" s="12" t="n"/>
      <c r="Y450" s="2" t="n"/>
      <c r="Z450" s="5">
        <f>IF(A450="","",(COUNTA(A450:G450)+COUNTA(J450:Y450))/23)</f>
        <v/>
      </c>
      <c r="AA450" s="2">
        <f>IF(B450="","",WORKDAY(B450,3))</f>
        <v/>
      </c>
      <c r="AB450" s="2">
        <f>IF(B450="","",WORKDAY(B450,5))</f>
        <v/>
      </c>
      <c r="AC450" s="2">
        <f>IF(B450="","",WORKDAY(B450,10))</f>
        <v/>
      </c>
      <c r="AD450" s="2" t="n"/>
    </row>
    <row r="451">
      <c r="A451" s="12" t="n"/>
      <c r="B451" s="12" t="n"/>
      <c r="C451" s="2" t="n"/>
      <c r="D451" s="4" t="n"/>
      <c r="E451" s="12" t="n"/>
      <c r="F451" s="2" t="n"/>
      <c r="G451" s="12" t="n"/>
      <c r="H451" s="2">
        <f>IF(G451="","",IFERROR(VLOOKUP(G451,板块观察!A:U,14,FALSE),""))</f>
        <v/>
      </c>
      <c r="I451" s="2">
        <f>IF(G451="","",IFERROR(VLOOKUP(G451,板块观察!A:U,15,FALSE),""))</f>
        <v/>
      </c>
      <c r="J451" s="12" t="n"/>
      <c r="K451" s="12" t="n"/>
      <c r="L451" s="12" t="n"/>
      <c r="M451" s="14" t="n"/>
      <c r="N451" s="12" t="n"/>
      <c r="O451" s="2" t="n"/>
      <c r="P451" s="2" t="n"/>
      <c r="Q451" s="2" t="n"/>
      <c r="R451" s="12" t="n"/>
      <c r="S451" s="12" t="n"/>
      <c r="T451" s="12" t="n"/>
      <c r="U451" s="12" t="n"/>
      <c r="V451" s="12" t="n"/>
      <c r="W451" s="12" t="n"/>
      <c r="X451" s="12" t="n"/>
      <c r="Y451" s="2" t="n"/>
      <c r="Z451" s="5">
        <f>IF(A451="","",(COUNTA(A451:G451)+COUNTA(J451:Y451))/23)</f>
        <v/>
      </c>
      <c r="AA451" s="2">
        <f>IF(B451="","",WORKDAY(B451,3))</f>
        <v/>
      </c>
      <c r="AB451" s="2">
        <f>IF(B451="","",WORKDAY(B451,5))</f>
        <v/>
      </c>
      <c r="AC451" s="2">
        <f>IF(B451="","",WORKDAY(B451,10))</f>
        <v/>
      </c>
      <c r="AD451" s="2" t="n"/>
    </row>
    <row r="452">
      <c r="A452" s="12" t="n"/>
      <c r="B452" s="12" t="n"/>
      <c r="C452" s="2" t="n"/>
      <c r="D452" s="4" t="n"/>
      <c r="E452" s="12" t="n"/>
      <c r="F452" s="2" t="n"/>
      <c r="G452" s="12" t="n"/>
      <c r="H452" s="2">
        <f>IF(G452="","",IFERROR(VLOOKUP(G452,板块观察!A:U,14,FALSE),""))</f>
        <v/>
      </c>
      <c r="I452" s="2">
        <f>IF(G452="","",IFERROR(VLOOKUP(G452,板块观察!A:U,15,FALSE),""))</f>
        <v/>
      </c>
      <c r="J452" s="12" t="n"/>
      <c r="K452" s="12" t="n"/>
      <c r="L452" s="12" t="n"/>
      <c r="M452" s="14" t="n"/>
      <c r="N452" s="12" t="n"/>
      <c r="O452" s="2" t="n"/>
      <c r="P452" s="2" t="n"/>
      <c r="Q452" s="2" t="n"/>
      <c r="R452" s="12" t="n"/>
      <c r="S452" s="12" t="n"/>
      <c r="T452" s="12" t="n"/>
      <c r="U452" s="12" t="n"/>
      <c r="V452" s="12" t="n"/>
      <c r="W452" s="12" t="n"/>
      <c r="X452" s="12" t="n"/>
      <c r="Y452" s="2" t="n"/>
      <c r="Z452" s="5">
        <f>IF(A452="","",(COUNTA(A452:G452)+COUNTA(J452:Y452))/23)</f>
        <v/>
      </c>
      <c r="AA452" s="2">
        <f>IF(B452="","",WORKDAY(B452,3))</f>
        <v/>
      </c>
      <c r="AB452" s="2">
        <f>IF(B452="","",WORKDAY(B452,5))</f>
        <v/>
      </c>
      <c r="AC452" s="2">
        <f>IF(B452="","",WORKDAY(B452,10))</f>
        <v/>
      </c>
      <c r="AD452" s="2" t="n"/>
    </row>
    <row r="453">
      <c r="A453" s="12" t="n"/>
      <c r="B453" s="12" t="n"/>
      <c r="C453" s="2" t="n"/>
      <c r="D453" s="4" t="n"/>
      <c r="E453" s="12" t="n"/>
      <c r="F453" s="2" t="n"/>
      <c r="G453" s="12" t="n"/>
      <c r="H453" s="2">
        <f>IF(G453="","",IFERROR(VLOOKUP(G453,板块观察!A:U,14,FALSE),""))</f>
        <v/>
      </c>
      <c r="I453" s="2">
        <f>IF(G453="","",IFERROR(VLOOKUP(G453,板块观察!A:U,15,FALSE),""))</f>
        <v/>
      </c>
      <c r="J453" s="12" t="n"/>
      <c r="K453" s="12" t="n"/>
      <c r="L453" s="12" t="n"/>
      <c r="M453" s="14" t="n"/>
      <c r="N453" s="12" t="n"/>
      <c r="O453" s="2" t="n"/>
      <c r="P453" s="2" t="n"/>
      <c r="Q453" s="2" t="n"/>
      <c r="R453" s="12" t="n"/>
      <c r="S453" s="12" t="n"/>
      <c r="T453" s="12" t="n"/>
      <c r="U453" s="12" t="n"/>
      <c r="V453" s="12" t="n"/>
      <c r="W453" s="12" t="n"/>
      <c r="X453" s="12" t="n"/>
      <c r="Y453" s="2" t="n"/>
      <c r="Z453" s="5">
        <f>IF(A453="","",(COUNTA(A453:G453)+COUNTA(J453:Y453))/23)</f>
        <v/>
      </c>
      <c r="AA453" s="2">
        <f>IF(B453="","",WORKDAY(B453,3))</f>
        <v/>
      </c>
      <c r="AB453" s="2">
        <f>IF(B453="","",WORKDAY(B453,5))</f>
        <v/>
      </c>
      <c r="AC453" s="2">
        <f>IF(B453="","",WORKDAY(B453,10))</f>
        <v/>
      </c>
      <c r="AD453" s="2" t="n"/>
    </row>
    <row r="454">
      <c r="A454" s="12" t="n"/>
      <c r="B454" s="12" t="n"/>
      <c r="C454" s="2" t="n"/>
      <c r="D454" s="4" t="n"/>
      <c r="E454" s="12" t="n"/>
      <c r="F454" s="2" t="n"/>
      <c r="G454" s="12" t="n"/>
      <c r="H454" s="2">
        <f>IF(G454="","",IFERROR(VLOOKUP(G454,板块观察!A:U,14,FALSE),""))</f>
        <v/>
      </c>
      <c r="I454" s="2">
        <f>IF(G454="","",IFERROR(VLOOKUP(G454,板块观察!A:U,15,FALSE),""))</f>
        <v/>
      </c>
      <c r="J454" s="12" t="n"/>
      <c r="K454" s="12" t="n"/>
      <c r="L454" s="12" t="n"/>
      <c r="M454" s="14" t="n"/>
      <c r="N454" s="12" t="n"/>
      <c r="O454" s="2" t="n"/>
      <c r="P454" s="2" t="n"/>
      <c r="Q454" s="2" t="n"/>
      <c r="R454" s="12" t="n"/>
      <c r="S454" s="12" t="n"/>
      <c r="T454" s="12" t="n"/>
      <c r="U454" s="12" t="n"/>
      <c r="V454" s="12" t="n"/>
      <c r="W454" s="12" t="n"/>
      <c r="X454" s="12" t="n"/>
      <c r="Y454" s="2" t="n"/>
      <c r="Z454" s="5">
        <f>IF(A454="","",(COUNTA(A454:G454)+COUNTA(J454:Y454))/23)</f>
        <v/>
      </c>
      <c r="AA454" s="2">
        <f>IF(B454="","",WORKDAY(B454,3))</f>
        <v/>
      </c>
      <c r="AB454" s="2">
        <f>IF(B454="","",WORKDAY(B454,5))</f>
        <v/>
      </c>
      <c r="AC454" s="2">
        <f>IF(B454="","",WORKDAY(B454,10))</f>
        <v/>
      </c>
      <c r="AD454" s="2" t="n"/>
    </row>
    <row r="455">
      <c r="A455" s="12" t="n"/>
      <c r="B455" s="12" t="n"/>
      <c r="C455" s="2" t="n"/>
      <c r="D455" s="4" t="n"/>
      <c r="E455" s="12" t="n"/>
      <c r="F455" s="2" t="n"/>
      <c r="G455" s="12" t="n"/>
      <c r="H455" s="2">
        <f>IF(G455="","",IFERROR(VLOOKUP(G455,板块观察!A:U,14,FALSE),""))</f>
        <v/>
      </c>
      <c r="I455" s="2">
        <f>IF(G455="","",IFERROR(VLOOKUP(G455,板块观察!A:U,15,FALSE),""))</f>
        <v/>
      </c>
      <c r="J455" s="12" t="n"/>
      <c r="K455" s="12" t="n"/>
      <c r="L455" s="12" t="n"/>
      <c r="M455" s="14" t="n"/>
      <c r="N455" s="12" t="n"/>
      <c r="O455" s="2" t="n"/>
      <c r="P455" s="2" t="n"/>
      <c r="Q455" s="2" t="n"/>
      <c r="R455" s="12" t="n"/>
      <c r="S455" s="12" t="n"/>
      <c r="T455" s="12" t="n"/>
      <c r="U455" s="12" t="n"/>
      <c r="V455" s="12" t="n"/>
      <c r="W455" s="12" t="n"/>
      <c r="X455" s="12" t="n"/>
      <c r="Y455" s="2" t="n"/>
      <c r="Z455" s="5">
        <f>IF(A455="","",(COUNTA(A455:G455)+COUNTA(J455:Y455))/23)</f>
        <v/>
      </c>
      <c r="AA455" s="2">
        <f>IF(B455="","",WORKDAY(B455,3))</f>
        <v/>
      </c>
      <c r="AB455" s="2">
        <f>IF(B455="","",WORKDAY(B455,5))</f>
        <v/>
      </c>
      <c r="AC455" s="2">
        <f>IF(B455="","",WORKDAY(B455,10))</f>
        <v/>
      </c>
      <c r="AD455" s="2" t="n"/>
    </row>
    <row r="456">
      <c r="A456" s="12" t="n"/>
      <c r="B456" s="12" t="n"/>
      <c r="C456" s="2" t="n"/>
      <c r="D456" s="4" t="n"/>
      <c r="E456" s="12" t="n"/>
      <c r="F456" s="2" t="n"/>
      <c r="G456" s="12" t="n"/>
      <c r="H456" s="2">
        <f>IF(G456="","",IFERROR(VLOOKUP(G456,板块观察!A:U,14,FALSE),""))</f>
        <v/>
      </c>
      <c r="I456" s="2">
        <f>IF(G456="","",IFERROR(VLOOKUP(G456,板块观察!A:U,15,FALSE),""))</f>
        <v/>
      </c>
      <c r="J456" s="12" t="n"/>
      <c r="K456" s="12" t="n"/>
      <c r="L456" s="12" t="n"/>
      <c r="M456" s="14" t="n"/>
      <c r="N456" s="12" t="n"/>
      <c r="O456" s="2" t="n"/>
      <c r="P456" s="2" t="n"/>
      <c r="Q456" s="2" t="n"/>
      <c r="R456" s="12" t="n"/>
      <c r="S456" s="12" t="n"/>
      <c r="T456" s="12" t="n"/>
      <c r="U456" s="12" t="n"/>
      <c r="V456" s="12" t="n"/>
      <c r="W456" s="12" t="n"/>
      <c r="X456" s="12" t="n"/>
      <c r="Y456" s="2" t="n"/>
      <c r="Z456" s="5">
        <f>IF(A456="","",(COUNTA(A456:G456)+COUNTA(J456:Y456))/23)</f>
        <v/>
      </c>
      <c r="AA456" s="2">
        <f>IF(B456="","",WORKDAY(B456,3))</f>
        <v/>
      </c>
      <c r="AB456" s="2">
        <f>IF(B456="","",WORKDAY(B456,5))</f>
        <v/>
      </c>
      <c r="AC456" s="2">
        <f>IF(B456="","",WORKDAY(B456,10))</f>
        <v/>
      </c>
      <c r="AD456" s="2" t="n"/>
    </row>
    <row r="457">
      <c r="A457" s="12" t="n"/>
      <c r="B457" s="12" t="n"/>
      <c r="C457" s="2" t="n"/>
      <c r="D457" s="4" t="n"/>
      <c r="E457" s="12" t="n"/>
      <c r="F457" s="2" t="n"/>
      <c r="G457" s="12" t="n"/>
      <c r="H457" s="2">
        <f>IF(G457="","",IFERROR(VLOOKUP(G457,板块观察!A:U,14,FALSE),""))</f>
        <v/>
      </c>
      <c r="I457" s="2">
        <f>IF(G457="","",IFERROR(VLOOKUP(G457,板块观察!A:U,15,FALSE),""))</f>
        <v/>
      </c>
      <c r="J457" s="12" t="n"/>
      <c r="K457" s="12" t="n"/>
      <c r="L457" s="12" t="n"/>
      <c r="M457" s="14" t="n"/>
      <c r="N457" s="12" t="n"/>
      <c r="O457" s="2" t="n"/>
      <c r="P457" s="2" t="n"/>
      <c r="Q457" s="2" t="n"/>
      <c r="R457" s="12" t="n"/>
      <c r="S457" s="12" t="n"/>
      <c r="T457" s="12" t="n"/>
      <c r="U457" s="12" t="n"/>
      <c r="V457" s="12" t="n"/>
      <c r="W457" s="12" t="n"/>
      <c r="X457" s="12" t="n"/>
      <c r="Y457" s="2" t="n"/>
      <c r="Z457" s="5">
        <f>IF(A457="","",(COUNTA(A457:G457)+COUNTA(J457:Y457))/23)</f>
        <v/>
      </c>
      <c r="AA457" s="2">
        <f>IF(B457="","",WORKDAY(B457,3))</f>
        <v/>
      </c>
      <c r="AB457" s="2">
        <f>IF(B457="","",WORKDAY(B457,5))</f>
        <v/>
      </c>
      <c r="AC457" s="2">
        <f>IF(B457="","",WORKDAY(B457,10))</f>
        <v/>
      </c>
      <c r="AD457" s="2" t="n"/>
    </row>
    <row r="458">
      <c r="A458" s="12" t="n"/>
      <c r="B458" s="12" t="n"/>
      <c r="C458" s="2" t="n"/>
      <c r="D458" s="4" t="n"/>
      <c r="E458" s="12" t="n"/>
      <c r="F458" s="2" t="n"/>
      <c r="G458" s="12" t="n"/>
      <c r="H458" s="2">
        <f>IF(G458="","",IFERROR(VLOOKUP(G458,板块观察!A:U,14,FALSE),""))</f>
        <v/>
      </c>
      <c r="I458" s="2">
        <f>IF(G458="","",IFERROR(VLOOKUP(G458,板块观察!A:U,15,FALSE),""))</f>
        <v/>
      </c>
      <c r="J458" s="12" t="n"/>
      <c r="K458" s="12" t="n"/>
      <c r="L458" s="12" t="n"/>
      <c r="M458" s="14" t="n"/>
      <c r="N458" s="12" t="n"/>
      <c r="O458" s="2" t="n"/>
      <c r="P458" s="2" t="n"/>
      <c r="Q458" s="2" t="n"/>
      <c r="R458" s="12" t="n"/>
      <c r="S458" s="12" t="n"/>
      <c r="T458" s="12" t="n"/>
      <c r="U458" s="12" t="n"/>
      <c r="V458" s="12" t="n"/>
      <c r="W458" s="12" t="n"/>
      <c r="X458" s="12" t="n"/>
      <c r="Y458" s="2" t="n"/>
      <c r="Z458" s="5">
        <f>IF(A458="","",(COUNTA(A458:G458)+COUNTA(J458:Y458))/23)</f>
        <v/>
      </c>
      <c r="AA458" s="2">
        <f>IF(B458="","",WORKDAY(B458,3))</f>
        <v/>
      </c>
      <c r="AB458" s="2">
        <f>IF(B458="","",WORKDAY(B458,5))</f>
        <v/>
      </c>
      <c r="AC458" s="2">
        <f>IF(B458="","",WORKDAY(B458,10))</f>
        <v/>
      </c>
      <c r="AD458" s="2" t="n"/>
    </row>
    <row r="459">
      <c r="A459" s="12" t="n"/>
      <c r="B459" s="12" t="n"/>
      <c r="C459" s="2" t="n"/>
      <c r="D459" s="4" t="n"/>
      <c r="E459" s="12" t="n"/>
      <c r="F459" s="2" t="n"/>
      <c r="G459" s="12" t="n"/>
      <c r="H459" s="2">
        <f>IF(G459="","",IFERROR(VLOOKUP(G459,板块观察!A:U,14,FALSE),""))</f>
        <v/>
      </c>
      <c r="I459" s="2">
        <f>IF(G459="","",IFERROR(VLOOKUP(G459,板块观察!A:U,15,FALSE),""))</f>
        <v/>
      </c>
      <c r="J459" s="12" t="n"/>
      <c r="K459" s="12" t="n"/>
      <c r="L459" s="12" t="n"/>
      <c r="M459" s="14" t="n"/>
      <c r="N459" s="12" t="n"/>
      <c r="O459" s="2" t="n"/>
      <c r="P459" s="2" t="n"/>
      <c r="Q459" s="2" t="n"/>
      <c r="R459" s="12" t="n"/>
      <c r="S459" s="12" t="n"/>
      <c r="T459" s="12" t="n"/>
      <c r="U459" s="12" t="n"/>
      <c r="V459" s="12" t="n"/>
      <c r="W459" s="12" t="n"/>
      <c r="X459" s="12" t="n"/>
      <c r="Y459" s="2" t="n"/>
      <c r="Z459" s="5">
        <f>IF(A459="","",(COUNTA(A459:G459)+COUNTA(J459:Y459))/23)</f>
        <v/>
      </c>
      <c r="AA459" s="2">
        <f>IF(B459="","",WORKDAY(B459,3))</f>
        <v/>
      </c>
      <c r="AB459" s="2">
        <f>IF(B459="","",WORKDAY(B459,5))</f>
        <v/>
      </c>
      <c r="AC459" s="2">
        <f>IF(B459="","",WORKDAY(B459,10))</f>
        <v/>
      </c>
      <c r="AD459" s="2" t="n"/>
    </row>
    <row r="460">
      <c r="A460" s="12" t="n"/>
      <c r="B460" s="12" t="n"/>
      <c r="C460" s="2" t="n"/>
      <c r="D460" s="4" t="n"/>
      <c r="E460" s="12" t="n"/>
      <c r="F460" s="2" t="n"/>
      <c r="G460" s="12" t="n"/>
      <c r="H460" s="2">
        <f>IF(G460="","",IFERROR(VLOOKUP(G460,板块观察!A:U,14,FALSE),""))</f>
        <v/>
      </c>
      <c r="I460" s="2">
        <f>IF(G460="","",IFERROR(VLOOKUP(G460,板块观察!A:U,15,FALSE),""))</f>
        <v/>
      </c>
      <c r="J460" s="12" t="n"/>
      <c r="K460" s="12" t="n"/>
      <c r="L460" s="12" t="n"/>
      <c r="M460" s="14" t="n"/>
      <c r="N460" s="12" t="n"/>
      <c r="O460" s="2" t="n"/>
      <c r="P460" s="2" t="n"/>
      <c r="Q460" s="2" t="n"/>
      <c r="R460" s="12" t="n"/>
      <c r="S460" s="12" t="n"/>
      <c r="T460" s="12" t="n"/>
      <c r="U460" s="12" t="n"/>
      <c r="V460" s="12" t="n"/>
      <c r="W460" s="12" t="n"/>
      <c r="X460" s="12" t="n"/>
      <c r="Y460" s="2" t="n"/>
      <c r="Z460" s="5">
        <f>IF(A460="","",(COUNTA(A460:G460)+COUNTA(J460:Y460))/23)</f>
        <v/>
      </c>
      <c r="AA460" s="2">
        <f>IF(B460="","",WORKDAY(B460,3))</f>
        <v/>
      </c>
      <c r="AB460" s="2">
        <f>IF(B460="","",WORKDAY(B460,5))</f>
        <v/>
      </c>
      <c r="AC460" s="2">
        <f>IF(B460="","",WORKDAY(B460,10))</f>
        <v/>
      </c>
      <c r="AD460" s="2" t="n"/>
    </row>
    <row r="461">
      <c r="A461" s="12" t="n"/>
      <c r="B461" s="12" t="n"/>
      <c r="C461" s="2" t="n"/>
      <c r="D461" s="4" t="n"/>
      <c r="E461" s="12" t="n"/>
      <c r="F461" s="2" t="n"/>
      <c r="G461" s="12" t="n"/>
      <c r="H461" s="2">
        <f>IF(G461="","",IFERROR(VLOOKUP(G461,板块观察!A:U,14,FALSE),""))</f>
        <v/>
      </c>
      <c r="I461" s="2">
        <f>IF(G461="","",IFERROR(VLOOKUP(G461,板块观察!A:U,15,FALSE),""))</f>
        <v/>
      </c>
      <c r="J461" s="12" t="n"/>
      <c r="K461" s="12" t="n"/>
      <c r="L461" s="12" t="n"/>
      <c r="M461" s="14" t="n"/>
      <c r="N461" s="12" t="n"/>
      <c r="O461" s="2" t="n"/>
      <c r="P461" s="2" t="n"/>
      <c r="Q461" s="2" t="n"/>
      <c r="R461" s="12" t="n"/>
      <c r="S461" s="12" t="n"/>
      <c r="T461" s="12" t="n"/>
      <c r="U461" s="12" t="n"/>
      <c r="V461" s="12" t="n"/>
      <c r="W461" s="12" t="n"/>
      <c r="X461" s="12" t="n"/>
      <c r="Y461" s="2" t="n"/>
      <c r="Z461" s="5">
        <f>IF(A461="","",(COUNTA(A461:G461)+COUNTA(J461:Y461))/23)</f>
        <v/>
      </c>
      <c r="AA461" s="2">
        <f>IF(B461="","",WORKDAY(B461,3))</f>
        <v/>
      </c>
      <c r="AB461" s="2">
        <f>IF(B461="","",WORKDAY(B461,5))</f>
        <v/>
      </c>
      <c r="AC461" s="2">
        <f>IF(B461="","",WORKDAY(B461,10))</f>
        <v/>
      </c>
      <c r="AD461" s="2" t="n"/>
    </row>
    <row r="462">
      <c r="A462" s="12" t="n"/>
      <c r="B462" s="12" t="n"/>
      <c r="C462" s="2" t="n"/>
      <c r="D462" s="4" t="n"/>
      <c r="E462" s="12" t="n"/>
      <c r="F462" s="2" t="n"/>
      <c r="G462" s="12" t="n"/>
      <c r="H462" s="2">
        <f>IF(G462="","",IFERROR(VLOOKUP(G462,板块观察!A:U,14,FALSE),""))</f>
        <v/>
      </c>
      <c r="I462" s="2">
        <f>IF(G462="","",IFERROR(VLOOKUP(G462,板块观察!A:U,15,FALSE),""))</f>
        <v/>
      </c>
      <c r="J462" s="12" t="n"/>
      <c r="K462" s="12" t="n"/>
      <c r="L462" s="12" t="n"/>
      <c r="M462" s="14" t="n"/>
      <c r="N462" s="12" t="n"/>
      <c r="O462" s="2" t="n"/>
      <c r="P462" s="2" t="n"/>
      <c r="Q462" s="2" t="n"/>
      <c r="R462" s="12" t="n"/>
      <c r="S462" s="12" t="n"/>
      <c r="T462" s="12" t="n"/>
      <c r="U462" s="12" t="n"/>
      <c r="V462" s="12" t="n"/>
      <c r="W462" s="12" t="n"/>
      <c r="X462" s="12" t="n"/>
      <c r="Y462" s="2" t="n"/>
      <c r="Z462" s="5">
        <f>IF(A462="","",(COUNTA(A462:G462)+COUNTA(J462:Y462))/23)</f>
        <v/>
      </c>
      <c r="AA462" s="2">
        <f>IF(B462="","",WORKDAY(B462,3))</f>
        <v/>
      </c>
      <c r="AB462" s="2">
        <f>IF(B462="","",WORKDAY(B462,5))</f>
        <v/>
      </c>
      <c r="AC462" s="2">
        <f>IF(B462="","",WORKDAY(B462,10))</f>
        <v/>
      </c>
      <c r="AD462" s="2" t="n"/>
    </row>
    <row r="463">
      <c r="A463" s="12" t="n"/>
      <c r="B463" s="12" t="n"/>
      <c r="C463" s="2" t="n"/>
      <c r="D463" s="4" t="n"/>
      <c r="E463" s="12" t="n"/>
      <c r="F463" s="2" t="n"/>
      <c r="G463" s="12" t="n"/>
      <c r="H463" s="2">
        <f>IF(G463="","",IFERROR(VLOOKUP(G463,板块观察!A:U,14,FALSE),""))</f>
        <v/>
      </c>
      <c r="I463" s="2">
        <f>IF(G463="","",IFERROR(VLOOKUP(G463,板块观察!A:U,15,FALSE),""))</f>
        <v/>
      </c>
      <c r="J463" s="12" t="n"/>
      <c r="K463" s="12" t="n"/>
      <c r="L463" s="12" t="n"/>
      <c r="M463" s="14" t="n"/>
      <c r="N463" s="12" t="n"/>
      <c r="O463" s="2" t="n"/>
      <c r="P463" s="2" t="n"/>
      <c r="Q463" s="2" t="n"/>
      <c r="R463" s="12" t="n"/>
      <c r="S463" s="12" t="n"/>
      <c r="T463" s="12" t="n"/>
      <c r="U463" s="12" t="n"/>
      <c r="V463" s="12" t="n"/>
      <c r="W463" s="12" t="n"/>
      <c r="X463" s="12" t="n"/>
      <c r="Y463" s="2" t="n"/>
      <c r="Z463" s="5">
        <f>IF(A463="","",(COUNTA(A463:G463)+COUNTA(J463:Y463))/23)</f>
        <v/>
      </c>
      <c r="AA463" s="2">
        <f>IF(B463="","",WORKDAY(B463,3))</f>
        <v/>
      </c>
      <c r="AB463" s="2">
        <f>IF(B463="","",WORKDAY(B463,5))</f>
        <v/>
      </c>
      <c r="AC463" s="2">
        <f>IF(B463="","",WORKDAY(B463,10))</f>
        <v/>
      </c>
      <c r="AD463" s="2" t="n"/>
    </row>
    <row r="464">
      <c r="A464" s="12" t="n"/>
      <c r="B464" s="12" t="n"/>
      <c r="C464" s="2" t="n"/>
      <c r="D464" s="4" t="n"/>
      <c r="E464" s="12" t="n"/>
      <c r="F464" s="2" t="n"/>
      <c r="G464" s="12" t="n"/>
      <c r="H464" s="2">
        <f>IF(G464="","",IFERROR(VLOOKUP(G464,板块观察!A:U,14,FALSE),""))</f>
        <v/>
      </c>
      <c r="I464" s="2">
        <f>IF(G464="","",IFERROR(VLOOKUP(G464,板块观察!A:U,15,FALSE),""))</f>
        <v/>
      </c>
      <c r="J464" s="12" t="n"/>
      <c r="K464" s="12" t="n"/>
      <c r="L464" s="12" t="n"/>
      <c r="M464" s="14" t="n"/>
      <c r="N464" s="12" t="n"/>
      <c r="O464" s="2" t="n"/>
      <c r="P464" s="2" t="n"/>
      <c r="Q464" s="2" t="n"/>
      <c r="R464" s="12" t="n"/>
      <c r="S464" s="12" t="n"/>
      <c r="T464" s="12" t="n"/>
      <c r="U464" s="12" t="n"/>
      <c r="V464" s="12" t="n"/>
      <c r="W464" s="12" t="n"/>
      <c r="X464" s="12" t="n"/>
      <c r="Y464" s="2" t="n"/>
      <c r="Z464" s="5">
        <f>IF(A464="","",(COUNTA(A464:G464)+COUNTA(J464:Y464))/23)</f>
        <v/>
      </c>
      <c r="AA464" s="2">
        <f>IF(B464="","",WORKDAY(B464,3))</f>
        <v/>
      </c>
      <c r="AB464" s="2">
        <f>IF(B464="","",WORKDAY(B464,5))</f>
        <v/>
      </c>
      <c r="AC464" s="2">
        <f>IF(B464="","",WORKDAY(B464,10))</f>
        <v/>
      </c>
      <c r="AD464" s="2" t="n"/>
    </row>
    <row r="465">
      <c r="A465" s="12" t="n"/>
      <c r="B465" s="12" t="n"/>
      <c r="C465" s="2" t="n"/>
      <c r="D465" s="4" t="n"/>
      <c r="E465" s="12" t="n"/>
      <c r="F465" s="2" t="n"/>
      <c r="G465" s="12" t="n"/>
      <c r="H465" s="2">
        <f>IF(G465="","",IFERROR(VLOOKUP(G465,板块观察!A:U,14,FALSE),""))</f>
        <v/>
      </c>
      <c r="I465" s="2">
        <f>IF(G465="","",IFERROR(VLOOKUP(G465,板块观察!A:U,15,FALSE),""))</f>
        <v/>
      </c>
      <c r="J465" s="12" t="n"/>
      <c r="K465" s="12" t="n"/>
      <c r="L465" s="12" t="n"/>
      <c r="M465" s="14" t="n"/>
      <c r="N465" s="12" t="n"/>
      <c r="O465" s="2" t="n"/>
      <c r="P465" s="2" t="n"/>
      <c r="Q465" s="2" t="n"/>
      <c r="R465" s="12" t="n"/>
      <c r="S465" s="12" t="n"/>
      <c r="T465" s="12" t="n"/>
      <c r="U465" s="12" t="n"/>
      <c r="V465" s="12" t="n"/>
      <c r="W465" s="12" t="n"/>
      <c r="X465" s="12" t="n"/>
      <c r="Y465" s="2" t="n"/>
      <c r="Z465" s="5">
        <f>IF(A465="","",(COUNTA(A465:G465)+COUNTA(J465:Y465))/23)</f>
        <v/>
      </c>
      <c r="AA465" s="2">
        <f>IF(B465="","",WORKDAY(B465,3))</f>
        <v/>
      </c>
      <c r="AB465" s="2">
        <f>IF(B465="","",WORKDAY(B465,5))</f>
        <v/>
      </c>
      <c r="AC465" s="2">
        <f>IF(B465="","",WORKDAY(B465,10))</f>
        <v/>
      </c>
      <c r="AD465" s="2" t="n"/>
    </row>
    <row r="466">
      <c r="A466" s="12" t="n"/>
      <c r="B466" s="12" t="n"/>
      <c r="C466" s="2" t="n"/>
      <c r="D466" s="4" t="n"/>
      <c r="E466" s="12" t="n"/>
      <c r="F466" s="2" t="n"/>
      <c r="G466" s="12" t="n"/>
      <c r="H466" s="2">
        <f>IF(G466="","",IFERROR(VLOOKUP(G466,板块观察!A:U,14,FALSE),""))</f>
        <v/>
      </c>
      <c r="I466" s="2">
        <f>IF(G466="","",IFERROR(VLOOKUP(G466,板块观察!A:U,15,FALSE),""))</f>
        <v/>
      </c>
      <c r="J466" s="12" t="n"/>
      <c r="K466" s="12" t="n"/>
      <c r="L466" s="12" t="n"/>
      <c r="M466" s="14" t="n"/>
      <c r="N466" s="12" t="n"/>
      <c r="O466" s="2" t="n"/>
      <c r="P466" s="2" t="n"/>
      <c r="Q466" s="2" t="n"/>
      <c r="R466" s="12" t="n"/>
      <c r="S466" s="12" t="n"/>
      <c r="T466" s="12" t="n"/>
      <c r="U466" s="12" t="n"/>
      <c r="V466" s="12" t="n"/>
      <c r="W466" s="12" t="n"/>
      <c r="X466" s="12" t="n"/>
      <c r="Y466" s="2" t="n"/>
      <c r="Z466" s="5">
        <f>IF(A466="","",(COUNTA(A466:G466)+COUNTA(J466:Y466))/23)</f>
        <v/>
      </c>
      <c r="AA466" s="2">
        <f>IF(B466="","",WORKDAY(B466,3))</f>
        <v/>
      </c>
      <c r="AB466" s="2">
        <f>IF(B466="","",WORKDAY(B466,5))</f>
        <v/>
      </c>
      <c r="AC466" s="2">
        <f>IF(B466="","",WORKDAY(B466,10))</f>
        <v/>
      </c>
      <c r="AD466" s="2" t="n"/>
    </row>
    <row r="467">
      <c r="A467" s="12" t="n"/>
      <c r="B467" s="12" t="n"/>
      <c r="C467" s="2" t="n"/>
      <c r="D467" s="4" t="n"/>
      <c r="E467" s="12" t="n"/>
      <c r="F467" s="2" t="n"/>
      <c r="G467" s="12" t="n"/>
      <c r="H467" s="2">
        <f>IF(G467="","",IFERROR(VLOOKUP(G467,板块观察!A:U,14,FALSE),""))</f>
        <v/>
      </c>
      <c r="I467" s="2">
        <f>IF(G467="","",IFERROR(VLOOKUP(G467,板块观察!A:U,15,FALSE),""))</f>
        <v/>
      </c>
      <c r="J467" s="12" t="n"/>
      <c r="K467" s="12" t="n"/>
      <c r="L467" s="12" t="n"/>
      <c r="M467" s="14" t="n"/>
      <c r="N467" s="12" t="n"/>
      <c r="O467" s="2" t="n"/>
      <c r="P467" s="2" t="n"/>
      <c r="Q467" s="2" t="n"/>
      <c r="R467" s="12" t="n"/>
      <c r="S467" s="12" t="n"/>
      <c r="T467" s="12" t="n"/>
      <c r="U467" s="12" t="n"/>
      <c r="V467" s="12" t="n"/>
      <c r="W467" s="12" t="n"/>
      <c r="X467" s="12" t="n"/>
      <c r="Y467" s="2" t="n"/>
      <c r="Z467" s="5">
        <f>IF(A467="","",(COUNTA(A467:G467)+COUNTA(J467:Y467))/23)</f>
        <v/>
      </c>
      <c r="AA467" s="2">
        <f>IF(B467="","",WORKDAY(B467,3))</f>
        <v/>
      </c>
      <c r="AB467" s="2">
        <f>IF(B467="","",WORKDAY(B467,5))</f>
        <v/>
      </c>
      <c r="AC467" s="2">
        <f>IF(B467="","",WORKDAY(B467,10))</f>
        <v/>
      </c>
      <c r="AD467" s="2" t="n"/>
    </row>
    <row r="468">
      <c r="A468" s="12" t="n"/>
      <c r="B468" s="12" t="n"/>
      <c r="C468" s="2" t="n"/>
      <c r="D468" s="4" t="n"/>
      <c r="E468" s="12" t="n"/>
      <c r="F468" s="2" t="n"/>
      <c r="G468" s="12" t="n"/>
      <c r="H468" s="2">
        <f>IF(G468="","",IFERROR(VLOOKUP(G468,板块观察!A:U,14,FALSE),""))</f>
        <v/>
      </c>
      <c r="I468" s="2">
        <f>IF(G468="","",IFERROR(VLOOKUP(G468,板块观察!A:U,15,FALSE),""))</f>
        <v/>
      </c>
      <c r="J468" s="12" t="n"/>
      <c r="K468" s="12" t="n"/>
      <c r="L468" s="12" t="n"/>
      <c r="M468" s="14" t="n"/>
      <c r="N468" s="12" t="n"/>
      <c r="O468" s="2" t="n"/>
      <c r="P468" s="2" t="n"/>
      <c r="Q468" s="2" t="n"/>
      <c r="R468" s="12" t="n"/>
      <c r="S468" s="12" t="n"/>
      <c r="T468" s="12" t="n"/>
      <c r="U468" s="12" t="n"/>
      <c r="V468" s="12" t="n"/>
      <c r="W468" s="12" t="n"/>
      <c r="X468" s="12" t="n"/>
      <c r="Y468" s="2" t="n"/>
      <c r="Z468" s="5">
        <f>IF(A468="","",(COUNTA(A468:G468)+COUNTA(J468:Y468))/23)</f>
        <v/>
      </c>
      <c r="AA468" s="2">
        <f>IF(B468="","",WORKDAY(B468,3))</f>
        <v/>
      </c>
      <c r="AB468" s="2">
        <f>IF(B468="","",WORKDAY(B468,5))</f>
        <v/>
      </c>
      <c r="AC468" s="2">
        <f>IF(B468="","",WORKDAY(B468,10))</f>
        <v/>
      </c>
      <c r="AD468" s="2" t="n"/>
    </row>
    <row r="469">
      <c r="A469" s="12" t="n"/>
      <c r="B469" s="12" t="n"/>
      <c r="C469" s="2" t="n"/>
      <c r="D469" s="4" t="n"/>
      <c r="E469" s="12" t="n"/>
      <c r="F469" s="2" t="n"/>
      <c r="G469" s="12" t="n"/>
      <c r="H469" s="2">
        <f>IF(G469="","",IFERROR(VLOOKUP(G469,板块观察!A:U,14,FALSE),""))</f>
        <v/>
      </c>
      <c r="I469" s="2">
        <f>IF(G469="","",IFERROR(VLOOKUP(G469,板块观察!A:U,15,FALSE),""))</f>
        <v/>
      </c>
      <c r="J469" s="12" t="n"/>
      <c r="K469" s="12" t="n"/>
      <c r="L469" s="12" t="n"/>
      <c r="M469" s="14" t="n"/>
      <c r="N469" s="12" t="n"/>
      <c r="O469" s="2" t="n"/>
      <c r="P469" s="2" t="n"/>
      <c r="Q469" s="2" t="n"/>
      <c r="R469" s="12" t="n"/>
      <c r="S469" s="12" t="n"/>
      <c r="T469" s="12" t="n"/>
      <c r="U469" s="12" t="n"/>
      <c r="V469" s="12" t="n"/>
      <c r="W469" s="12" t="n"/>
      <c r="X469" s="12" t="n"/>
      <c r="Y469" s="2" t="n"/>
      <c r="Z469" s="5">
        <f>IF(A469="","",(COUNTA(A469:G469)+COUNTA(J469:Y469))/23)</f>
        <v/>
      </c>
      <c r="AA469" s="2">
        <f>IF(B469="","",WORKDAY(B469,3))</f>
        <v/>
      </c>
      <c r="AB469" s="2">
        <f>IF(B469="","",WORKDAY(B469,5))</f>
        <v/>
      </c>
      <c r="AC469" s="2">
        <f>IF(B469="","",WORKDAY(B469,10))</f>
        <v/>
      </c>
      <c r="AD469" s="2" t="n"/>
    </row>
    <row r="470">
      <c r="A470" s="12" t="n"/>
      <c r="B470" s="12" t="n"/>
      <c r="C470" s="2" t="n"/>
      <c r="D470" s="4" t="n"/>
      <c r="E470" s="12" t="n"/>
      <c r="F470" s="2" t="n"/>
      <c r="G470" s="12" t="n"/>
      <c r="H470" s="2">
        <f>IF(G470="","",IFERROR(VLOOKUP(G470,板块观察!A:U,14,FALSE),""))</f>
        <v/>
      </c>
      <c r="I470" s="2">
        <f>IF(G470="","",IFERROR(VLOOKUP(G470,板块观察!A:U,15,FALSE),""))</f>
        <v/>
      </c>
      <c r="J470" s="12" t="n"/>
      <c r="K470" s="12" t="n"/>
      <c r="L470" s="12" t="n"/>
      <c r="M470" s="14" t="n"/>
      <c r="N470" s="12" t="n"/>
      <c r="O470" s="2" t="n"/>
      <c r="P470" s="2" t="n"/>
      <c r="Q470" s="2" t="n"/>
      <c r="R470" s="12" t="n"/>
      <c r="S470" s="12" t="n"/>
      <c r="T470" s="12" t="n"/>
      <c r="U470" s="12" t="n"/>
      <c r="V470" s="12" t="n"/>
      <c r="W470" s="12" t="n"/>
      <c r="X470" s="12" t="n"/>
      <c r="Y470" s="2" t="n"/>
      <c r="Z470" s="5">
        <f>IF(A470="","",(COUNTA(A470:G470)+COUNTA(J470:Y470))/23)</f>
        <v/>
      </c>
      <c r="AA470" s="2">
        <f>IF(B470="","",WORKDAY(B470,3))</f>
        <v/>
      </c>
      <c r="AB470" s="2">
        <f>IF(B470="","",WORKDAY(B470,5))</f>
        <v/>
      </c>
      <c r="AC470" s="2">
        <f>IF(B470="","",WORKDAY(B470,10))</f>
        <v/>
      </c>
      <c r="AD470" s="2" t="n"/>
    </row>
    <row r="471">
      <c r="A471" s="12" t="n"/>
      <c r="B471" s="12" t="n"/>
      <c r="C471" s="2" t="n"/>
      <c r="D471" s="4" t="n"/>
      <c r="E471" s="12" t="n"/>
      <c r="F471" s="2" t="n"/>
      <c r="G471" s="12" t="n"/>
      <c r="H471" s="2">
        <f>IF(G471="","",IFERROR(VLOOKUP(G471,板块观察!A:U,14,FALSE),""))</f>
        <v/>
      </c>
      <c r="I471" s="2">
        <f>IF(G471="","",IFERROR(VLOOKUP(G471,板块观察!A:U,15,FALSE),""))</f>
        <v/>
      </c>
      <c r="J471" s="12" t="n"/>
      <c r="K471" s="12" t="n"/>
      <c r="L471" s="12" t="n"/>
      <c r="M471" s="14" t="n"/>
      <c r="N471" s="12" t="n"/>
      <c r="O471" s="2" t="n"/>
      <c r="P471" s="2" t="n"/>
      <c r="Q471" s="2" t="n"/>
      <c r="R471" s="12" t="n"/>
      <c r="S471" s="12" t="n"/>
      <c r="T471" s="12" t="n"/>
      <c r="U471" s="12" t="n"/>
      <c r="V471" s="12" t="n"/>
      <c r="W471" s="12" t="n"/>
      <c r="X471" s="12" t="n"/>
      <c r="Y471" s="2" t="n"/>
      <c r="Z471" s="5">
        <f>IF(A471="","",(COUNTA(A471:G471)+COUNTA(J471:Y471))/23)</f>
        <v/>
      </c>
      <c r="AA471" s="2">
        <f>IF(B471="","",WORKDAY(B471,3))</f>
        <v/>
      </c>
      <c r="AB471" s="2">
        <f>IF(B471="","",WORKDAY(B471,5))</f>
        <v/>
      </c>
      <c r="AC471" s="2">
        <f>IF(B471="","",WORKDAY(B471,10))</f>
        <v/>
      </c>
      <c r="AD471" s="2" t="n"/>
    </row>
    <row r="472">
      <c r="A472" s="12" t="n"/>
      <c r="B472" s="12" t="n"/>
      <c r="C472" s="2" t="n"/>
      <c r="D472" s="4" t="n"/>
      <c r="E472" s="12" t="n"/>
      <c r="F472" s="2" t="n"/>
      <c r="G472" s="12" t="n"/>
      <c r="H472" s="2">
        <f>IF(G472="","",IFERROR(VLOOKUP(G472,板块观察!A:U,14,FALSE),""))</f>
        <v/>
      </c>
      <c r="I472" s="2">
        <f>IF(G472="","",IFERROR(VLOOKUP(G472,板块观察!A:U,15,FALSE),""))</f>
        <v/>
      </c>
      <c r="J472" s="12" t="n"/>
      <c r="K472" s="12" t="n"/>
      <c r="L472" s="12" t="n"/>
      <c r="M472" s="14" t="n"/>
      <c r="N472" s="12" t="n"/>
      <c r="O472" s="2" t="n"/>
      <c r="P472" s="2" t="n"/>
      <c r="Q472" s="2" t="n"/>
      <c r="R472" s="12" t="n"/>
      <c r="S472" s="12" t="n"/>
      <c r="T472" s="12" t="n"/>
      <c r="U472" s="12" t="n"/>
      <c r="V472" s="12" t="n"/>
      <c r="W472" s="12" t="n"/>
      <c r="X472" s="12" t="n"/>
      <c r="Y472" s="2" t="n"/>
      <c r="Z472" s="5">
        <f>IF(A472="","",(COUNTA(A472:G472)+COUNTA(J472:Y472))/23)</f>
        <v/>
      </c>
      <c r="AA472" s="2">
        <f>IF(B472="","",WORKDAY(B472,3))</f>
        <v/>
      </c>
      <c r="AB472" s="2">
        <f>IF(B472="","",WORKDAY(B472,5))</f>
        <v/>
      </c>
      <c r="AC472" s="2">
        <f>IF(B472="","",WORKDAY(B472,10))</f>
        <v/>
      </c>
      <c r="AD472" s="2" t="n"/>
    </row>
    <row r="473">
      <c r="A473" s="12" t="n"/>
      <c r="B473" s="12" t="n"/>
      <c r="C473" s="2" t="n"/>
      <c r="D473" s="4" t="n"/>
      <c r="E473" s="12" t="n"/>
      <c r="F473" s="2" t="n"/>
      <c r="G473" s="12" t="n"/>
      <c r="H473" s="2">
        <f>IF(G473="","",IFERROR(VLOOKUP(G473,板块观察!A:U,14,FALSE),""))</f>
        <v/>
      </c>
      <c r="I473" s="2">
        <f>IF(G473="","",IFERROR(VLOOKUP(G473,板块观察!A:U,15,FALSE),""))</f>
        <v/>
      </c>
      <c r="J473" s="12" t="n"/>
      <c r="K473" s="12" t="n"/>
      <c r="L473" s="12" t="n"/>
      <c r="M473" s="14" t="n"/>
      <c r="N473" s="12" t="n"/>
      <c r="O473" s="2" t="n"/>
      <c r="P473" s="2" t="n"/>
      <c r="Q473" s="2" t="n"/>
      <c r="R473" s="12" t="n"/>
      <c r="S473" s="12" t="n"/>
      <c r="T473" s="12" t="n"/>
      <c r="U473" s="12" t="n"/>
      <c r="V473" s="12" t="n"/>
      <c r="W473" s="12" t="n"/>
      <c r="X473" s="12" t="n"/>
      <c r="Y473" s="2" t="n"/>
      <c r="Z473" s="5">
        <f>IF(A473="","",(COUNTA(A473:G473)+COUNTA(J473:Y473))/23)</f>
        <v/>
      </c>
      <c r="AA473" s="2">
        <f>IF(B473="","",WORKDAY(B473,3))</f>
        <v/>
      </c>
      <c r="AB473" s="2">
        <f>IF(B473="","",WORKDAY(B473,5))</f>
        <v/>
      </c>
      <c r="AC473" s="2">
        <f>IF(B473="","",WORKDAY(B473,10))</f>
        <v/>
      </c>
      <c r="AD473" s="2" t="n"/>
    </row>
    <row r="474">
      <c r="A474" s="12" t="n"/>
      <c r="B474" s="12" t="n"/>
      <c r="C474" s="2" t="n"/>
      <c r="D474" s="4" t="n"/>
      <c r="E474" s="12" t="n"/>
      <c r="F474" s="2" t="n"/>
      <c r="G474" s="12" t="n"/>
      <c r="H474" s="2">
        <f>IF(G474="","",IFERROR(VLOOKUP(G474,板块观察!A:U,14,FALSE),""))</f>
        <v/>
      </c>
      <c r="I474" s="2">
        <f>IF(G474="","",IFERROR(VLOOKUP(G474,板块观察!A:U,15,FALSE),""))</f>
        <v/>
      </c>
      <c r="J474" s="12" t="n"/>
      <c r="K474" s="12" t="n"/>
      <c r="L474" s="12" t="n"/>
      <c r="M474" s="14" t="n"/>
      <c r="N474" s="12" t="n"/>
      <c r="O474" s="2" t="n"/>
      <c r="P474" s="2" t="n"/>
      <c r="Q474" s="2" t="n"/>
      <c r="R474" s="12" t="n"/>
      <c r="S474" s="12" t="n"/>
      <c r="T474" s="12" t="n"/>
      <c r="U474" s="12" t="n"/>
      <c r="V474" s="12" t="n"/>
      <c r="W474" s="12" t="n"/>
      <c r="X474" s="12" t="n"/>
      <c r="Y474" s="2" t="n"/>
      <c r="Z474" s="5">
        <f>IF(A474="","",(COUNTA(A474:G474)+COUNTA(J474:Y474))/23)</f>
        <v/>
      </c>
      <c r="AA474" s="2">
        <f>IF(B474="","",WORKDAY(B474,3))</f>
        <v/>
      </c>
      <c r="AB474" s="2">
        <f>IF(B474="","",WORKDAY(B474,5))</f>
        <v/>
      </c>
      <c r="AC474" s="2">
        <f>IF(B474="","",WORKDAY(B474,10))</f>
        <v/>
      </c>
      <c r="AD474" s="2" t="n"/>
    </row>
    <row r="475">
      <c r="A475" s="12" t="n"/>
      <c r="B475" s="12" t="n"/>
      <c r="C475" s="2" t="n"/>
      <c r="D475" s="4" t="n"/>
      <c r="E475" s="12" t="n"/>
      <c r="F475" s="2" t="n"/>
      <c r="G475" s="12" t="n"/>
      <c r="H475" s="2">
        <f>IF(G475="","",IFERROR(VLOOKUP(G475,板块观察!A:U,14,FALSE),""))</f>
        <v/>
      </c>
      <c r="I475" s="2">
        <f>IF(G475="","",IFERROR(VLOOKUP(G475,板块观察!A:U,15,FALSE),""))</f>
        <v/>
      </c>
      <c r="J475" s="12" t="n"/>
      <c r="K475" s="12" t="n"/>
      <c r="L475" s="12" t="n"/>
      <c r="M475" s="14" t="n"/>
      <c r="N475" s="12" t="n"/>
      <c r="O475" s="2" t="n"/>
      <c r="P475" s="2" t="n"/>
      <c r="Q475" s="2" t="n"/>
      <c r="R475" s="12" t="n"/>
      <c r="S475" s="12" t="n"/>
      <c r="T475" s="12" t="n"/>
      <c r="U475" s="12" t="n"/>
      <c r="V475" s="12" t="n"/>
      <c r="W475" s="12" t="n"/>
      <c r="X475" s="12" t="n"/>
      <c r="Y475" s="2" t="n"/>
      <c r="Z475" s="5">
        <f>IF(A475="","",(COUNTA(A475:G475)+COUNTA(J475:Y475))/23)</f>
        <v/>
      </c>
      <c r="AA475" s="2">
        <f>IF(B475="","",WORKDAY(B475,3))</f>
        <v/>
      </c>
      <c r="AB475" s="2">
        <f>IF(B475="","",WORKDAY(B475,5))</f>
        <v/>
      </c>
      <c r="AC475" s="2">
        <f>IF(B475="","",WORKDAY(B475,10))</f>
        <v/>
      </c>
      <c r="AD475" s="2" t="n"/>
    </row>
    <row r="476">
      <c r="A476" s="12" t="n"/>
      <c r="B476" s="12" t="n"/>
      <c r="C476" s="2" t="n"/>
      <c r="D476" s="4" t="n"/>
      <c r="E476" s="12" t="n"/>
      <c r="F476" s="2" t="n"/>
      <c r="G476" s="12" t="n"/>
      <c r="H476" s="2">
        <f>IF(G476="","",IFERROR(VLOOKUP(G476,板块观察!A:U,14,FALSE),""))</f>
        <v/>
      </c>
      <c r="I476" s="2">
        <f>IF(G476="","",IFERROR(VLOOKUP(G476,板块观察!A:U,15,FALSE),""))</f>
        <v/>
      </c>
      <c r="J476" s="12" t="n"/>
      <c r="K476" s="12" t="n"/>
      <c r="L476" s="12" t="n"/>
      <c r="M476" s="14" t="n"/>
      <c r="N476" s="12" t="n"/>
      <c r="O476" s="2" t="n"/>
      <c r="P476" s="2" t="n"/>
      <c r="Q476" s="2" t="n"/>
      <c r="R476" s="12" t="n"/>
      <c r="S476" s="12" t="n"/>
      <c r="T476" s="12" t="n"/>
      <c r="U476" s="12" t="n"/>
      <c r="V476" s="12" t="n"/>
      <c r="W476" s="12" t="n"/>
      <c r="X476" s="12" t="n"/>
      <c r="Y476" s="2" t="n"/>
      <c r="Z476" s="5">
        <f>IF(A476="","",(COUNTA(A476:G476)+COUNTA(J476:Y476))/23)</f>
        <v/>
      </c>
      <c r="AA476" s="2">
        <f>IF(B476="","",WORKDAY(B476,3))</f>
        <v/>
      </c>
      <c r="AB476" s="2">
        <f>IF(B476="","",WORKDAY(B476,5))</f>
        <v/>
      </c>
      <c r="AC476" s="2">
        <f>IF(B476="","",WORKDAY(B476,10))</f>
        <v/>
      </c>
      <c r="AD476" s="2" t="n"/>
    </row>
    <row r="477">
      <c r="A477" s="12" t="n"/>
      <c r="B477" s="12" t="n"/>
      <c r="C477" s="2" t="n"/>
      <c r="D477" s="4" t="n"/>
      <c r="E477" s="12" t="n"/>
      <c r="F477" s="2" t="n"/>
      <c r="G477" s="12" t="n"/>
      <c r="H477" s="2">
        <f>IF(G477="","",IFERROR(VLOOKUP(G477,板块观察!A:U,14,FALSE),""))</f>
        <v/>
      </c>
      <c r="I477" s="2">
        <f>IF(G477="","",IFERROR(VLOOKUP(G477,板块观察!A:U,15,FALSE),""))</f>
        <v/>
      </c>
      <c r="J477" s="12" t="n"/>
      <c r="K477" s="12" t="n"/>
      <c r="L477" s="12" t="n"/>
      <c r="M477" s="14" t="n"/>
      <c r="N477" s="12" t="n"/>
      <c r="O477" s="2" t="n"/>
      <c r="P477" s="2" t="n"/>
      <c r="Q477" s="2" t="n"/>
      <c r="R477" s="12" t="n"/>
      <c r="S477" s="12" t="n"/>
      <c r="T477" s="12" t="n"/>
      <c r="U477" s="12" t="n"/>
      <c r="V477" s="12" t="n"/>
      <c r="W477" s="12" t="n"/>
      <c r="X477" s="12" t="n"/>
      <c r="Y477" s="2" t="n"/>
      <c r="Z477" s="5">
        <f>IF(A477="","",(COUNTA(A477:G477)+COUNTA(J477:Y477))/23)</f>
        <v/>
      </c>
      <c r="AA477" s="2">
        <f>IF(B477="","",WORKDAY(B477,3))</f>
        <v/>
      </c>
      <c r="AB477" s="2">
        <f>IF(B477="","",WORKDAY(B477,5))</f>
        <v/>
      </c>
      <c r="AC477" s="2">
        <f>IF(B477="","",WORKDAY(B477,10))</f>
        <v/>
      </c>
      <c r="AD477" s="2" t="n"/>
    </row>
    <row r="478">
      <c r="A478" s="12" t="n"/>
      <c r="B478" s="12" t="n"/>
      <c r="C478" s="2" t="n"/>
      <c r="D478" s="4" t="n"/>
      <c r="E478" s="12" t="n"/>
      <c r="F478" s="2" t="n"/>
      <c r="G478" s="12" t="n"/>
      <c r="H478" s="2">
        <f>IF(G478="","",IFERROR(VLOOKUP(G478,板块观察!A:U,14,FALSE),""))</f>
        <v/>
      </c>
      <c r="I478" s="2">
        <f>IF(G478="","",IFERROR(VLOOKUP(G478,板块观察!A:U,15,FALSE),""))</f>
        <v/>
      </c>
      <c r="J478" s="12" t="n"/>
      <c r="K478" s="12" t="n"/>
      <c r="L478" s="12" t="n"/>
      <c r="M478" s="14" t="n"/>
      <c r="N478" s="12" t="n"/>
      <c r="O478" s="2" t="n"/>
      <c r="P478" s="2" t="n"/>
      <c r="Q478" s="2" t="n"/>
      <c r="R478" s="12" t="n"/>
      <c r="S478" s="12" t="n"/>
      <c r="T478" s="12" t="n"/>
      <c r="U478" s="12" t="n"/>
      <c r="V478" s="12" t="n"/>
      <c r="W478" s="12" t="n"/>
      <c r="X478" s="12" t="n"/>
      <c r="Y478" s="2" t="n"/>
      <c r="Z478" s="5">
        <f>IF(A478="","",(COUNTA(A478:G478)+COUNTA(J478:Y478))/23)</f>
        <v/>
      </c>
      <c r="AA478" s="2">
        <f>IF(B478="","",WORKDAY(B478,3))</f>
        <v/>
      </c>
      <c r="AB478" s="2">
        <f>IF(B478="","",WORKDAY(B478,5))</f>
        <v/>
      </c>
      <c r="AC478" s="2">
        <f>IF(B478="","",WORKDAY(B478,10))</f>
        <v/>
      </c>
      <c r="AD478" s="2" t="n"/>
    </row>
    <row r="479">
      <c r="A479" s="12" t="n"/>
      <c r="B479" s="12" t="n"/>
      <c r="C479" s="2" t="n"/>
      <c r="D479" s="4" t="n"/>
      <c r="E479" s="12" t="n"/>
      <c r="F479" s="2" t="n"/>
      <c r="G479" s="12" t="n"/>
      <c r="H479" s="2">
        <f>IF(G479="","",IFERROR(VLOOKUP(G479,板块观察!A:U,14,FALSE),""))</f>
        <v/>
      </c>
      <c r="I479" s="2">
        <f>IF(G479="","",IFERROR(VLOOKUP(G479,板块观察!A:U,15,FALSE),""))</f>
        <v/>
      </c>
      <c r="J479" s="12" t="n"/>
      <c r="K479" s="12" t="n"/>
      <c r="L479" s="12" t="n"/>
      <c r="M479" s="14" t="n"/>
      <c r="N479" s="12" t="n"/>
      <c r="O479" s="2" t="n"/>
      <c r="P479" s="2" t="n"/>
      <c r="Q479" s="2" t="n"/>
      <c r="R479" s="12" t="n"/>
      <c r="S479" s="12" t="n"/>
      <c r="T479" s="12" t="n"/>
      <c r="U479" s="12" t="n"/>
      <c r="V479" s="12" t="n"/>
      <c r="W479" s="12" t="n"/>
      <c r="X479" s="12" t="n"/>
      <c r="Y479" s="2" t="n"/>
      <c r="Z479" s="5">
        <f>IF(A479="","",(COUNTA(A479:G479)+COUNTA(J479:Y479))/23)</f>
        <v/>
      </c>
      <c r="AA479" s="2">
        <f>IF(B479="","",WORKDAY(B479,3))</f>
        <v/>
      </c>
      <c r="AB479" s="2">
        <f>IF(B479="","",WORKDAY(B479,5))</f>
        <v/>
      </c>
      <c r="AC479" s="2">
        <f>IF(B479="","",WORKDAY(B479,10))</f>
        <v/>
      </c>
      <c r="AD479" s="2" t="n"/>
    </row>
    <row r="480">
      <c r="A480" s="12" t="n"/>
      <c r="B480" s="12" t="n"/>
      <c r="C480" s="2" t="n"/>
      <c r="D480" s="4" t="n"/>
      <c r="E480" s="12" t="n"/>
      <c r="F480" s="2" t="n"/>
      <c r="G480" s="12" t="n"/>
      <c r="H480" s="2">
        <f>IF(G480="","",IFERROR(VLOOKUP(G480,板块观察!A:U,14,FALSE),""))</f>
        <v/>
      </c>
      <c r="I480" s="2">
        <f>IF(G480="","",IFERROR(VLOOKUP(G480,板块观察!A:U,15,FALSE),""))</f>
        <v/>
      </c>
      <c r="J480" s="12" t="n"/>
      <c r="K480" s="12" t="n"/>
      <c r="L480" s="12" t="n"/>
      <c r="M480" s="14" t="n"/>
      <c r="N480" s="12" t="n"/>
      <c r="O480" s="2" t="n"/>
      <c r="P480" s="2" t="n"/>
      <c r="Q480" s="2" t="n"/>
      <c r="R480" s="12" t="n"/>
      <c r="S480" s="12" t="n"/>
      <c r="T480" s="12" t="n"/>
      <c r="U480" s="12" t="n"/>
      <c r="V480" s="12" t="n"/>
      <c r="W480" s="12" t="n"/>
      <c r="X480" s="12" t="n"/>
      <c r="Y480" s="2" t="n"/>
      <c r="Z480" s="5">
        <f>IF(A480="","",(COUNTA(A480:G480)+COUNTA(J480:Y480))/23)</f>
        <v/>
      </c>
      <c r="AA480" s="2">
        <f>IF(B480="","",WORKDAY(B480,3))</f>
        <v/>
      </c>
      <c r="AB480" s="2">
        <f>IF(B480="","",WORKDAY(B480,5))</f>
        <v/>
      </c>
      <c r="AC480" s="2">
        <f>IF(B480="","",WORKDAY(B480,10))</f>
        <v/>
      </c>
      <c r="AD480" s="2" t="n"/>
    </row>
    <row r="481">
      <c r="A481" s="12" t="n"/>
      <c r="B481" s="12" t="n"/>
      <c r="C481" s="2" t="n"/>
      <c r="D481" s="4" t="n"/>
      <c r="E481" s="12" t="n"/>
      <c r="F481" s="2" t="n"/>
      <c r="G481" s="12" t="n"/>
      <c r="H481" s="2">
        <f>IF(G481="","",IFERROR(VLOOKUP(G481,板块观察!A:U,14,FALSE),""))</f>
        <v/>
      </c>
      <c r="I481" s="2">
        <f>IF(G481="","",IFERROR(VLOOKUP(G481,板块观察!A:U,15,FALSE),""))</f>
        <v/>
      </c>
      <c r="J481" s="12" t="n"/>
      <c r="K481" s="12" t="n"/>
      <c r="L481" s="12" t="n"/>
      <c r="M481" s="14" t="n"/>
      <c r="N481" s="12" t="n"/>
      <c r="O481" s="2" t="n"/>
      <c r="P481" s="2" t="n"/>
      <c r="Q481" s="2" t="n"/>
      <c r="R481" s="12" t="n"/>
      <c r="S481" s="12" t="n"/>
      <c r="T481" s="12" t="n"/>
      <c r="U481" s="12" t="n"/>
      <c r="V481" s="12" t="n"/>
      <c r="W481" s="12" t="n"/>
      <c r="X481" s="12" t="n"/>
      <c r="Y481" s="2" t="n"/>
      <c r="Z481" s="5">
        <f>IF(A481="","",(COUNTA(A481:G481)+COUNTA(J481:Y481))/23)</f>
        <v/>
      </c>
      <c r="AA481" s="2">
        <f>IF(B481="","",WORKDAY(B481,3))</f>
        <v/>
      </c>
      <c r="AB481" s="2">
        <f>IF(B481="","",WORKDAY(B481,5))</f>
        <v/>
      </c>
      <c r="AC481" s="2">
        <f>IF(B481="","",WORKDAY(B481,10))</f>
        <v/>
      </c>
      <c r="AD481" s="2" t="n"/>
    </row>
    <row r="482">
      <c r="A482" s="12" t="n"/>
      <c r="B482" s="12" t="n"/>
      <c r="C482" s="2" t="n"/>
      <c r="D482" s="4" t="n"/>
      <c r="E482" s="12" t="n"/>
      <c r="F482" s="2" t="n"/>
      <c r="G482" s="12" t="n"/>
      <c r="H482" s="2">
        <f>IF(G482="","",IFERROR(VLOOKUP(G482,板块观察!A:U,14,FALSE),""))</f>
        <v/>
      </c>
      <c r="I482" s="2">
        <f>IF(G482="","",IFERROR(VLOOKUP(G482,板块观察!A:U,15,FALSE),""))</f>
        <v/>
      </c>
      <c r="J482" s="12" t="n"/>
      <c r="K482" s="12" t="n"/>
      <c r="L482" s="12" t="n"/>
      <c r="M482" s="14" t="n"/>
      <c r="N482" s="12" t="n"/>
      <c r="O482" s="2" t="n"/>
      <c r="P482" s="2" t="n"/>
      <c r="Q482" s="2" t="n"/>
      <c r="R482" s="12" t="n"/>
      <c r="S482" s="12" t="n"/>
      <c r="T482" s="12" t="n"/>
      <c r="U482" s="12" t="n"/>
      <c r="V482" s="12" t="n"/>
      <c r="W482" s="12" t="n"/>
      <c r="X482" s="12" t="n"/>
      <c r="Y482" s="2" t="n"/>
      <c r="Z482" s="5">
        <f>IF(A482="","",(COUNTA(A482:G482)+COUNTA(J482:Y482))/23)</f>
        <v/>
      </c>
      <c r="AA482" s="2">
        <f>IF(B482="","",WORKDAY(B482,3))</f>
        <v/>
      </c>
      <c r="AB482" s="2">
        <f>IF(B482="","",WORKDAY(B482,5))</f>
        <v/>
      </c>
      <c r="AC482" s="2">
        <f>IF(B482="","",WORKDAY(B482,10))</f>
        <v/>
      </c>
      <c r="AD482" s="2" t="n"/>
    </row>
    <row r="483">
      <c r="A483" s="12" t="n"/>
      <c r="B483" s="12" t="n"/>
      <c r="C483" s="2" t="n"/>
      <c r="D483" s="4" t="n"/>
      <c r="E483" s="12" t="n"/>
      <c r="F483" s="2" t="n"/>
      <c r="G483" s="12" t="n"/>
      <c r="H483" s="2">
        <f>IF(G483="","",IFERROR(VLOOKUP(G483,板块观察!A:U,14,FALSE),""))</f>
        <v/>
      </c>
      <c r="I483" s="2">
        <f>IF(G483="","",IFERROR(VLOOKUP(G483,板块观察!A:U,15,FALSE),""))</f>
        <v/>
      </c>
      <c r="J483" s="12" t="n"/>
      <c r="K483" s="12" t="n"/>
      <c r="L483" s="12" t="n"/>
      <c r="M483" s="14" t="n"/>
      <c r="N483" s="12" t="n"/>
      <c r="O483" s="2" t="n"/>
      <c r="P483" s="2" t="n"/>
      <c r="Q483" s="2" t="n"/>
      <c r="R483" s="12" t="n"/>
      <c r="S483" s="12" t="n"/>
      <c r="T483" s="12" t="n"/>
      <c r="U483" s="12" t="n"/>
      <c r="V483" s="12" t="n"/>
      <c r="W483" s="12" t="n"/>
      <c r="X483" s="12" t="n"/>
      <c r="Y483" s="2" t="n"/>
      <c r="Z483" s="5">
        <f>IF(A483="","",(COUNTA(A483:G483)+COUNTA(J483:Y483))/23)</f>
        <v/>
      </c>
      <c r="AA483" s="2">
        <f>IF(B483="","",WORKDAY(B483,3))</f>
        <v/>
      </c>
      <c r="AB483" s="2">
        <f>IF(B483="","",WORKDAY(B483,5))</f>
        <v/>
      </c>
      <c r="AC483" s="2">
        <f>IF(B483="","",WORKDAY(B483,10))</f>
        <v/>
      </c>
      <c r="AD483" s="2" t="n"/>
    </row>
    <row r="484">
      <c r="A484" s="12" t="n"/>
      <c r="B484" s="12" t="n"/>
      <c r="C484" s="2" t="n"/>
      <c r="D484" s="4" t="n"/>
      <c r="E484" s="12" t="n"/>
      <c r="F484" s="2" t="n"/>
      <c r="G484" s="12" t="n"/>
      <c r="H484" s="2">
        <f>IF(G484="","",IFERROR(VLOOKUP(G484,板块观察!A:U,14,FALSE),""))</f>
        <v/>
      </c>
      <c r="I484" s="2">
        <f>IF(G484="","",IFERROR(VLOOKUP(G484,板块观察!A:U,15,FALSE),""))</f>
        <v/>
      </c>
      <c r="J484" s="12" t="n"/>
      <c r="K484" s="12" t="n"/>
      <c r="L484" s="12" t="n"/>
      <c r="M484" s="14" t="n"/>
      <c r="N484" s="12" t="n"/>
      <c r="O484" s="2" t="n"/>
      <c r="P484" s="2" t="n"/>
      <c r="Q484" s="2" t="n"/>
      <c r="R484" s="12" t="n"/>
      <c r="S484" s="12" t="n"/>
      <c r="T484" s="12" t="n"/>
      <c r="U484" s="12" t="n"/>
      <c r="V484" s="12" t="n"/>
      <c r="W484" s="12" t="n"/>
      <c r="X484" s="12" t="n"/>
      <c r="Y484" s="2" t="n"/>
      <c r="Z484" s="5">
        <f>IF(A484="","",(COUNTA(A484:G484)+COUNTA(J484:Y484))/23)</f>
        <v/>
      </c>
      <c r="AA484" s="2">
        <f>IF(B484="","",WORKDAY(B484,3))</f>
        <v/>
      </c>
      <c r="AB484" s="2">
        <f>IF(B484="","",WORKDAY(B484,5))</f>
        <v/>
      </c>
      <c r="AC484" s="2">
        <f>IF(B484="","",WORKDAY(B484,10))</f>
        <v/>
      </c>
      <c r="AD484" s="2" t="n"/>
    </row>
    <row r="485">
      <c r="A485" s="12" t="n"/>
      <c r="B485" s="12" t="n"/>
      <c r="C485" s="2" t="n"/>
      <c r="D485" s="4" t="n"/>
      <c r="E485" s="12" t="n"/>
      <c r="F485" s="2" t="n"/>
      <c r="G485" s="12" t="n"/>
      <c r="H485" s="2">
        <f>IF(G485="","",IFERROR(VLOOKUP(G485,板块观察!A:U,14,FALSE),""))</f>
        <v/>
      </c>
      <c r="I485" s="2">
        <f>IF(G485="","",IFERROR(VLOOKUP(G485,板块观察!A:U,15,FALSE),""))</f>
        <v/>
      </c>
      <c r="J485" s="12" t="n"/>
      <c r="K485" s="12" t="n"/>
      <c r="L485" s="12" t="n"/>
      <c r="M485" s="14" t="n"/>
      <c r="N485" s="12" t="n"/>
      <c r="O485" s="2" t="n"/>
      <c r="P485" s="2" t="n"/>
      <c r="Q485" s="2" t="n"/>
      <c r="R485" s="12" t="n"/>
      <c r="S485" s="12" t="n"/>
      <c r="T485" s="12" t="n"/>
      <c r="U485" s="12" t="n"/>
      <c r="V485" s="12" t="n"/>
      <c r="W485" s="12" t="n"/>
      <c r="X485" s="12" t="n"/>
      <c r="Y485" s="2" t="n"/>
      <c r="Z485" s="5">
        <f>IF(A485="","",(COUNTA(A485:G485)+COUNTA(J485:Y485))/23)</f>
        <v/>
      </c>
      <c r="AA485" s="2">
        <f>IF(B485="","",WORKDAY(B485,3))</f>
        <v/>
      </c>
      <c r="AB485" s="2">
        <f>IF(B485="","",WORKDAY(B485,5))</f>
        <v/>
      </c>
      <c r="AC485" s="2">
        <f>IF(B485="","",WORKDAY(B485,10))</f>
        <v/>
      </c>
      <c r="AD485" s="2" t="n"/>
    </row>
    <row r="486">
      <c r="A486" s="12" t="n"/>
      <c r="B486" s="12" t="n"/>
      <c r="C486" s="2" t="n"/>
      <c r="D486" s="4" t="n"/>
      <c r="E486" s="12" t="n"/>
      <c r="F486" s="2" t="n"/>
      <c r="G486" s="12" t="n"/>
      <c r="H486" s="2">
        <f>IF(G486="","",IFERROR(VLOOKUP(G486,板块观察!A:U,14,FALSE),""))</f>
        <v/>
      </c>
      <c r="I486" s="2">
        <f>IF(G486="","",IFERROR(VLOOKUP(G486,板块观察!A:U,15,FALSE),""))</f>
        <v/>
      </c>
      <c r="J486" s="12" t="n"/>
      <c r="K486" s="12" t="n"/>
      <c r="L486" s="12" t="n"/>
      <c r="M486" s="14" t="n"/>
      <c r="N486" s="12" t="n"/>
      <c r="O486" s="2" t="n"/>
      <c r="P486" s="2" t="n"/>
      <c r="Q486" s="2" t="n"/>
      <c r="R486" s="12" t="n"/>
      <c r="S486" s="12" t="n"/>
      <c r="T486" s="12" t="n"/>
      <c r="U486" s="12" t="n"/>
      <c r="V486" s="12" t="n"/>
      <c r="W486" s="12" t="n"/>
      <c r="X486" s="12" t="n"/>
      <c r="Y486" s="2" t="n"/>
      <c r="Z486" s="5">
        <f>IF(A486="","",(COUNTA(A486:G486)+COUNTA(J486:Y486))/23)</f>
        <v/>
      </c>
      <c r="AA486" s="2">
        <f>IF(B486="","",WORKDAY(B486,3))</f>
        <v/>
      </c>
      <c r="AB486" s="2">
        <f>IF(B486="","",WORKDAY(B486,5))</f>
        <v/>
      </c>
      <c r="AC486" s="2">
        <f>IF(B486="","",WORKDAY(B486,10))</f>
        <v/>
      </c>
      <c r="AD486" s="2" t="n"/>
    </row>
    <row r="487">
      <c r="A487" s="12" t="n"/>
      <c r="B487" s="12" t="n"/>
      <c r="C487" s="2" t="n"/>
      <c r="D487" s="4" t="n"/>
      <c r="E487" s="12" t="n"/>
      <c r="F487" s="2" t="n"/>
      <c r="G487" s="12" t="n"/>
      <c r="H487" s="2">
        <f>IF(G487="","",IFERROR(VLOOKUP(G487,板块观察!A:U,14,FALSE),""))</f>
        <v/>
      </c>
      <c r="I487" s="2">
        <f>IF(G487="","",IFERROR(VLOOKUP(G487,板块观察!A:U,15,FALSE),""))</f>
        <v/>
      </c>
      <c r="J487" s="12" t="n"/>
      <c r="K487" s="12" t="n"/>
      <c r="L487" s="12" t="n"/>
      <c r="M487" s="14" t="n"/>
      <c r="N487" s="12" t="n"/>
      <c r="O487" s="2" t="n"/>
      <c r="P487" s="2" t="n"/>
      <c r="Q487" s="2" t="n"/>
      <c r="R487" s="12" t="n"/>
      <c r="S487" s="12" t="n"/>
      <c r="T487" s="12" t="n"/>
      <c r="U487" s="12" t="n"/>
      <c r="V487" s="12" t="n"/>
      <c r="W487" s="12" t="n"/>
      <c r="X487" s="12" t="n"/>
      <c r="Y487" s="2" t="n"/>
      <c r="Z487" s="5">
        <f>IF(A487="","",(COUNTA(A487:G487)+COUNTA(J487:Y487))/23)</f>
        <v/>
      </c>
      <c r="AA487" s="2">
        <f>IF(B487="","",WORKDAY(B487,3))</f>
        <v/>
      </c>
      <c r="AB487" s="2">
        <f>IF(B487="","",WORKDAY(B487,5))</f>
        <v/>
      </c>
      <c r="AC487" s="2">
        <f>IF(B487="","",WORKDAY(B487,10))</f>
        <v/>
      </c>
      <c r="AD487" s="2" t="n"/>
    </row>
    <row r="488">
      <c r="A488" s="12" t="n"/>
      <c r="B488" s="12" t="n"/>
      <c r="C488" s="2" t="n"/>
      <c r="D488" s="4" t="n"/>
      <c r="E488" s="12" t="n"/>
      <c r="F488" s="2" t="n"/>
      <c r="G488" s="12" t="n"/>
      <c r="H488" s="2">
        <f>IF(G488="","",IFERROR(VLOOKUP(G488,板块观察!A:U,14,FALSE),""))</f>
        <v/>
      </c>
      <c r="I488" s="2">
        <f>IF(G488="","",IFERROR(VLOOKUP(G488,板块观察!A:U,15,FALSE),""))</f>
        <v/>
      </c>
      <c r="J488" s="12" t="n"/>
      <c r="K488" s="12" t="n"/>
      <c r="L488" s="12" t="n"/>
      <c r="M488" s="14" t="n"/>
      <c r="N488" s="12" t="n"/>
      <c r="O488" s="2" t="n"/>
      <c r="P488" s="2" t="n"/>
      <c r="Q488" s="2" t="n"/>
      <c r="R488" s="12" t="n"/>
      <c r="S488" s="12" t="n"/>
      <c r="T488" s="12" t="n"/>
      <c r="U488" s="12" t="n"/>
      <c r="V488" s="12" t="n"/>
      <c r="W488" s="12" t="n"/>
      <c r="X488" s="12" t="n"/>
      <c r="Y488" s="2" t="n"/>
      <c r="Z488" s="5">
        <f>IF(A488="","",(COUNTA(A488:G488)+COUNTA(J488:Y488))/23)</f>
        <v/>
      </c>
      <c r="AA488" s="2">
        <f>IF(B488="","",WORKDAY(B488,3))</f>
        <v/>
      </c>
      <c r="AB488" s="2">
        <f>IF(B488="","",WORKDAY(B488,5))</f>
        <v/>
      </c>
      <c r="AC488" s="2">
        <f>IF(B488="","",WORKDAY(B488,10))</f>
        <v/>
      </c>
      <c r="AD488" s="2" t="n"/>
    </row>
    <row r="489">
      <c r="A489" s="12" t="n"/>
      <c r="B489" s="12" t="n"/>
      <c r="C489" s="2" t="n"/>
      <c r="D489" s="4" t="n"/>
      <c r="E489" s="12" t="n"/>
      <c r="F489" s="2" t="n"/>
      <c r="G489" s="12" t="n"/>
      <c r="H489" s="2">
        <f>IF(G489="","",IFERROR(VLOOKUP(G489,板块观察!A:U,14,FALSE),""))</f>
        <v/>
      </c>
      <c r="I489" s="2">
        <f>IF(G489="","",IFERROR(VLOOKUP(G489,板块观察!A:U,15,FALSE),""))</f>
        <v/>
      </c>
      <c r="J489" s="12" t="n"/>
      <c r="K489" s="12" t="n"/>
      <c r="L489" s="12" t="n"/>
      <c r="M489" s="14" t="n"/>
      <c r="N489" s="12" t="n"/>
      <c r="O489" s="2" t="n"/>
      <c r="P489" s="2" t="n"/>
      <c r="Q489" s="2" t="n"/>
      <c r="R489" s="12" t="n"/>
      <c r="S489" s="12" t="n"/>
      <c r="T489" s="12" t="n"/>
      <c r="U489" s="12" t="n"/>
      <c r="V489" s="12" t="n"/>
      <c r="W489" s="12" t="n"/>
      <c r="X489" s="12" t="n"/>
      <c r="Y489" s="2" t="n"/>
      <c r="Z489" s="5">
        <f>IF(A489="","",(COUNTA(A489:G489)+COUNTA(J489:Y489))/23)</f>
        <v/>
      </c>
      <c r="AA489" s="2">
        <f>IF(B489="","",WORKDAY(B489,3))</f>
        <v/>
      </c>
      <c r="AB489" s="2">
        <f>IF(B489="","",WORKDAY(B489,5))</f>
        <v/>
      </c>
      <c r="AC489" s="2">
        <f>IF(B489="","",WORKDAY(B489,10))</f>
        <v/>
      </c>
      <c r="AD489" s="2" t="n"/>
    </row>
    <row r="490">
      <c r="A490" s="12" t="n"/>
      <c r="B490" s="12" t="n"/>
      <c r="C490" s="2" t="n"/>
      <c r="D490" s="4" t="n"/>
      <c r="E490" s="12" t="n"/>
      <c r="F490" s="2" t="n"/>
      <c r="G490" s="12" t="n"/>
      <c r="H490" s="2">
        <f>IF(G490="","",IFERROR(VLOOKUP(G490,板块观察!A:U,14,FALSE),""))</f>
        <v/>
      </c>
      <c r="I490" s="2">
        <f>IF(G490="","",IFERROR(VLOOKUP(G490,板块观察!A:U,15,FALSE),""))</f>
        <v/>
      </c>
      <c r="J490" s="12" t="n"/>
      <c r="K490" s="12" t="n"/>
      <c r="L490" s="12" t="n"/>
      <c r="M490" s="14" t="n"/>
      <c r="N490" s="12" t="n"/>
      <c r="O490" s="2" t="n"/>
      <c r="P490" s="2" t="n"/>
      <c r="Q490" s="2" t="n"/>
      <c r="R490" s="12" t="n"/>
      <c r="S490" s="12" t="n"/>
      <c r="T490" s="12" t="n"/>
      <c r="U490" s="12" t="n"/>
      <c r="V490" s="12" t="n"/>
      <c r="W490" s="12" t="n"/>
      <c r="X490" s="12" t="n"/>
      <c r="Y490" s="2" t="n"/>
      <c r="Z490" s="5">
        <f>IF(A490="","",(COUNTA(A490:G490)+COUNTA(J490:Y490))/23)</f>
        <v/>
      </c>
      <c r="AA490" s="2">
        <f>IF(B490="","",WORKDAY(B490,3))</f>
        <v/>
      </c>
      <c r="AB490" s="2">
        <f>IF(B490="","",WORKDAY(B490,5))</f>
        <v/>
      </c>
      <c r="AC490" s="2">
        <f>IF(B490="","",WORKDAY(B490,10))</f>
        <v/>
      </c>
      <c r="AD490" s="2" t="n"/>
    </row>
    <row r="491">
      <c r="A491" s="12" t="n"/>
      <c r="B491" s="12" t="n"/>
      <c r="C491" s="2" t="n"/>
      <c r="D491" s="4" t="n"/>
      <c r="E491" s="12" t="n"/>
      <c r="F491" s="2" t="n"/>
      <c r="G491" s="12" t="n"/>
      <c r="H491" s="2">
        <f>IF(G491="","",IFERROR(VLOOKUP(G491,板块观察!A:U,14,FALSE),""))</f>
        <v/>
      </c>
      <c r="I491" s="2">
        <f>IF(G491="","",IFERROR(VLOOKUP(G491,板块观察!A:U,15,FALSE),""))</f>
        <v/>
      </c>
      <c r="J491" s="12" t="n"/>
      <c r="K491" s="12" t="n"/>
      <c r="L491" s="12" t="n"/>
      <c r="M491" s="14" t="n"/>
      <c r="N491" s="12" t="n"/>
      <c r="O491" s="2" t="n"/>
      <c r="P491" s="2" t="n"/>
      <c r="Q491" s="2" t="n"/>
      <c r="R491" s="12" t="n"/>
      <c r="S491" s="12" t="n"/>
      <c r="T491" s="12" t="n"/>
      <c r="U491" s="12" t="n"/>
      <c r="V491" s="12" t="n"/>
      <c r="W491" s="12" t="n"/>
      <c r="X491" s="12" t="n"/>
      <c r="Y491" s="2" t="n"/>
      <c r="Z491" s="5">
        <f>IF(A491="","",(COUNTA(A491:G491)+COUNTA(J491:Y491))/23)</f>
        <v/>
      </c>
      <c r="AA491" s="2">
        <f>IF(B491="","",WORKDAY(B491,3))</f>
        <v/>
      </c>
      <c r="AB491" s="2">
        <f>IF(B491="","",WORKDAY(B491,5))</f>
        <v/>
      </c>
      <c r="AC491" s="2">
        <f>IF(B491="","",WORKDAY(B491,10))</f>
        <v/>
      </c>
      <c r="AD491" s="2" t="n"/>
    </row>
    <row r="492">
      <c r="A492" s="12" t="n"/>
      <c r="B492" s="12" t="n"/>
      <c r="C492" s="2" t="n"/>
      <c r="D492" s="4" t="n"/>
      <c r="E492" s="12" t="n"/>
      <c r="F492" s="2" t="n"/>
      <c r="G492" s="12" t="n"/>
      <c r="H492" s="2">
        <f>IF(G492="","",IFERROR(VLOOKUP(G492,板块观察!A:U,14,FALSE),""))</f>
        <v/>
      </c>
      <c r="I492" s="2">
        <f>IF(G492="","",IFERROR(VLOOKUP(G492,板块观察!A:U,15,FALSE),""))</f>
        <v/>
      </c>
      <c r="J492" s="12" t="n"/>
      <c r="K492" s="12" t="n"/>
      <c r="L492" s="12" t="n"/>
      <c r="M492" s="14" t="n"/>
      <c r="N492" s="12" t="n"/>
      <c r="O492" s="2" t="n"/>
      <c r="P492" s="2" t="n"/>
      <c r="Q492" s="2" t="n"/>
      <c r="R492" s="12" t="n"/>
      <c r="S492" s="12" t="n"/>
      <c r="T492" s="12" t="n"/>
      <c r="U492" s="12" t="n"/>
      <c r="V492" s="12" t="n"/>
      <c r="W492" s="12" t="n"/>
      <c r="X492" s="12" t="n"/>
      <c r="Y492" s="2" t="n"/>
      <c r="Z492" s="5">
        <f>IF(A492="","",(COUNTA(A492:G492)+COUNTA(J492:Y492))/23)</f>
        <v/>
      </c>
      <c r="AA492" s="2">
        <f>IF(B492="","",WORKDAY(B492,3))</f>
        <v/>
      </c>
      <c r="AB492" s="2">
        <f>IF(B492="","",WORKDAY(B492,5))</f>
        <v/>
      </c>
      <c r="AC492" s="2">
        <f>IF(B492="","",WORKDAY(B492,10))</f>
        <v/>
      </c>
      <c r="AD492" s="2" t="n"/>
    </row>
    <row r="493">
      <c r="A493" s="12" t="n"/>
      <c r="B493" s="12" t="n"/>
      <c r="C493" s="2" t="n"/>
      <c r="D493" s="4" t="n"/>
      <c r="E493" s="12" t="n"/>
      <c r="F493" s="2" t="n"/>
      <c r="G493" s="12" t="n"/>
      <c r="H493" s="2">
        <f>IF(G493="","",IFERROR(VLOOKUP(G493,板块观察!A:U,14,FALSE),""))</f>
        <v/>
      </c>
      <c r="I493" s="2">
        <f>IF(G493="","",IFERROR(VLOOKUP(G493,板块观察!A:U,15,FALSE),""))</f>
        <v/>
      </c>
      <c r="J493" s="12" t="n"/>
      <c r="K493" s="12" t="n"/>
      <c r="L493" s="12" t="n"/>
      <c r="M493" s="14" t="n"/>
      <c r="N493" s="12" t="n"/>
      <c r="O493" s="2" t="n"/>
      <c r="P493" s="2" t="n"/>
      <c r="Q493" s="2" t="n"/>
      <c r="R493" s="12" t="n"/>
      <c r="S493" s="12" t="n"/>
      <c r="T493" s="12" t="n"/>
      <c r="U493" s="12" t="n"/>
      <c r="V493" s="12" t="n"/>
      <c r="W493" s="12" t="n"/>
      <c r="X493" s="12" t="n"/>
      <c r="Y493" s="2" t="n"/>
      <c r="Z493" s="5">
        <f>IF(A493="","",(COUNTA(A493:G493)+COUNTA(J493:Y493))/23)</f>
        <v/>
      </c>
      <c r="AA493" s="2">
        <f>IF(B493="","",WORKDAY(B493,3))</f>
        <v/>
      </c>
      <c r="AB493" s="2">
        <f>IF(B493="","",WORKDAY(B493,5))</f>
        <v/>
      </c>
      <c r="AC493" s="2">
        <f>IF(B493="","",WORKDAY(B493,10))</f>
        <v/>
      </c>
      <c r="AD493" s="2" t="n"/>
    </row>
    <row r="494">
      <c r="A494" s="12" t="n"/>
      <c r="B494" s="12" t="n"/>
      <c r="C494" s="2" t="n"/>
      <c r="D494" s="4" t="n"/>
      <c r="E494" s="12" t="n"/>
      <c r="F494" s="2" t="n"/>
      <c r="G494" s="12" t="n"/>
      <c r="H494" s="2">
        <f>IF(G494="","",IFERROR(VLOOKUP(G494,板块观察!A:U,14,FALSE),""))</f>
        <v/>
      </c>
      <c r="I494" s="2">
        <f>IF(G494="","",IFERROR(VLOOKUP(G494,板块观察!A:U,15,FALSE),""))</f>
        <v/>
      </c>
      <c r="J494" s="12" t="n"/>
      <c r="K494" s="12" t="n"/>
      <c r="L494" s="12" t="n"/>
      <c r="M494" s="14" t="n"/>
      <c r="N494" s="12" t="n"/>
      <c r="O494" s="2" t="n"/>
      <c r="P494" s="2" t="n"/>
      <c r="Q494" s="2" t="n"/>
      <c r="R494" s="12" t="n"/>
      <c r="S494" s="12" t="n"/>
      <c r="T494" s="12" t="n"/>
      <c r="U494" s="12" t="n"/>
      <c r="V494" s="12" t="n"/>
      <c r="W494" s="12" t="n"/>
      <c r="X494" s="12" t="n"/>
      <c r="Y494" s="2" t="n"/>
      <c r="Z494" s="5">
        <f>IF(A494="","",(COUNTA(A494:G494)+COUNTA(J494:Y494))/23)</f>
        <v/>
      </c>
      <c r="AA494" s="2">
        <f>IF(B494="","",WORKDAY(B494,3))</f>
        <v/>
      </c>
      <c r="AB494" s="2">
        <f>IF(B494="","",WORKDAY(B494,5))</f>
        <v/>
      </c>
      <c r="AC494" s="2">
        <f>IF(B494="","",WORKDAY(B494,10))</f>
        <v/>
      </c>
      <c r="AD494" s="2" t="n"/>
    </row>
    <row r="495">
      <c r="A495" s="12" t="n"/>
      <c r="B495" s="12" t="n"/>
      <c r="C495" s="2" t="n"/>
      <c r="D495" s="4" t="n"/>
      <c r="E495" s="12" t="n"/>
      <c r="F495" s="2" t="n"/>
      <c r="G495" s="12" t="n"/>
      <c r="H495" s="2">
        <f>IF(G495="","",IFERROR(VLOOKUP(G495,板块观察!A:U,14,FALSE),""))</f>
        <v/>
      </c>
      <c r="I495" s="2">
        <f>IF(G495="","",IFERROR(VLOOKUP(G495,板块观察!A:U,15,FALSE),""))</f>
        <v/>
      </c>
      <c r="J495" s="12" t="n"/>
      <c r="K495" s="12" t="n"/>
      <c r="L495" s="12" t="n"/>
      <c r="M495" s="14" t="n"/>
      <c r="N495" s="12" t="n"/>
      <c r="O495" s="2" t="n"/>
      <c r="P495" s="2" t="n"/>
      <c r="Q495" s="2" t="n"/>
      <c r="R495" s="12" t="n"/>
      <c r="S495" s="12" t="n"/>
      <c r="T495" s="12" t="n"/>
      <c r="U495" s="12" t="n"/>
      <c r="V495" s="12" t="n"/>
      <c r="W495" s="12" t="n"/>
      <c r="X495" s="12" t="n"/>
      <c r="Y495" s="2" t="n"/>
      <c r="Z495" s="5">
        <f>IF(A495="","",(COUNTA(A495:G495)+COUNTA(J495:Y495))/23)</f>
        <v/>
      </c>
      <c r="AA495" s="2">
        <f>IF(B495="","",WORKDAY(B495,3))</f>
        <v/>
      </c>
      <c r="AB495" s="2">
        <f>IF(B495="","",WORKDAY(B495,5))</f>
        <v/>
      </c>
      <c r="AC495" s="2">
        <f>IF(B495="","",WORKDAY(B495,10))</f>
        <v/>
      </c>
      <c r="AD495" s="2" t="n"/>
    </row>
    <row r="496">
      <c r="A496" s="12" t="n"/>
      <c r="B496" s="12" t="n"/>
      <c r="C496" s="2" t="n"/>
      <c r="D496" s="4" t="n"/>
      <c r="E496" s="12" t="n"/>
      <c r="F496" s="2" t="n"/>
      <c r="G496" s="12" t="n"/>
      <c r="H496" s="2">
        <f>IF(G496="","",IFERROR(VLOOKUP(G496,板块观察!A:U,14,FALSE),""))</f>
        <v/>
      </c>
      <c r="I496" s="2">
        <f>IF(G496="","",IFERROR(VLOOKUP(G496,板块观察!A:U,15,FALSE),""))</f>
        <v/>
      </c>
      <c r="J496" s="12" t="n"/>
      <c r="K496" s="12" t="n"/>
      <c r="L496" s="12" t="n"/>
      <c r="M496" s="14" t="n"/>
      <c r="N496" s="12" t="n"/>
      <c r="O496" s="2" t="n"/>
      <c r="P496" s="2" t="n"/>
      <c r="Q496" s="2" t="n"/>
      <c r="R496" s="12" t="n"/>
      <c r="S496" s="12" t="n"/>
      <c r="T496" s="12" t="n"/>
      <c r="U496" s="12" t="n"/>
      <c r="V496" s="12" t="n"/>
      <c r="W496" s="12" t="n"/>
      <c r="X496" s="12" t="n"/>
      <c r="Y496" s="2" t="n"/>
      <c r="Z496" s="5">
        <f>IF(A496="","",(COUNTA(A496:G496)+COUNTA(J496:Y496))/23)</f>
        <v/>
      </c>
      <c r="AA496" s="2">
        <f>IF(B496="","",WORKDAY(B496,3))</f>
        <v/>
      </c>
      <c r="AB496" s="2">
        <f>IF(B496="","",WORKDAY(B496,5))</f>
        <v/>
      </c>
      <c r="AC496" s="2">
        <f>IF(B496="","",WORKDAY(B496,10))</f>
        <v/>
      </c>
      <c r="AD496" s="2" t="n"/>
    </row>
    <row r="497">
      <c r="A497" s="12" t="n"/>
      <c r="B497" s="12" t="n"/>
      <c r="C497" s="2" t="n"/>
      <c r="D497" s="4" t="n"/>
      <c r="E497" s="12" t="n"/>
      <c r="F497" s="2" t="n"/>
      <c r="G497" s="12" t="n"/>
      <c r="H497" s="2">
        <f>IF(G497="","",IFERROR(VLOOKUP(G497,板块观察!A:U,14,FALSE),""))</f>
        <v/>
      </c>
      <c r="I497" s="2">
        <f>IF(G497="","",IFERROR(VLOOKUP(G497,板块观察!A:U,15,FALSE),""))</f>
        <v/>
      </c>
      <c r="J497" s="12" t="n"/>
      <c r="K497" s="12" t="n"/>
      <c r="L497" s="12" t="n"/>
      <c r="M497" s="14" t="n"/>
      <c r="N497" s="12" t="n"/>
      <c r="O497" s="2" t="n"/>
      <c r="P497" s="2" t="n"/>
      <c r="Q497" s="2" t="n"/>
      <c r="R497" s="12" t="n"/>
      <c r="S497" s="12" t="n"/>
      <c r="T497" s="12" t="n"/>
      <c r="U497" s="12" t="n"/>
      <c r="V497" s="12" t="n"/>
      <c r="W497" s="12" t="n"/>
      <c r="X497" s="12" t="n"/>
      <c r="Y497" s="2" t="n"/>
      <c r="Z497" s="5">
        <f>IF(A497="","",(COUNTA(A497:G497)+COUNTA(J497:Y497))/23)</f>
        <v/>
      </c>
      <c r="AA497" s="2">
        <f>IF(B497="","",WORKDAY(B497,3))</f>
        <v/>
      </c>
      <c r="AB497" s="2">
        <f>IF(B497="","",WORKDAY(B497,5))</f>
        <v/>
      </c>
      <c r="AC497" s="2">
        <f>IF(B497="","",WORKDAY(B497,10))</f>
        <v/>
      </c>
      <c r="AD497" s="2" t="n"/>
    </row>
    <row r="498">
      <c r="A498" s="12" t="n"/>
      <c r="B498" s="12" t="n"/>
      <c r="C498" s="2" t="n"/>
      <c r="D498" s="4" t="n"/>
      <c r="E498" s="12" t="n"/>
      <c r="F498" s="2" t="n"/>
      <c r="G498" s="12" t="n"/>
      <c r="H498" s="2">
        <f>IF(G498="","",IFERROR(VLOOKUP(G498,板块观察!A:U,14,FALSE),""))</f>
        <v/>
      </c>
      <c r="I498" s="2">
        <f>IF(G498="","",IFERROR(VLOOKUP(G498,板块观察!A:U,15,FALSE),""))</f>
        <v/>
      </c>
      <c r="J498" s="12" t="n"/>
      <c r="K498" s="12" t="n"/>
      <c r="L498" s="12" t="n"/>
      <c r="M498" s="14" t="n"/>
      <c r="N498" s="12" t="n"/>
      <c r="O498" s="2" t="n"/>
      <c r="P498" s="2" t="n"/>
      <c r="Q498" s="2" t="n"/>
      <c r="R498" s="12" t="n"/>
      <c r="S498" s="12" t="n"/>
      <c r="T498" s="12" t="n"/>
      <c r="U498" s="12" t="n"/>
      <c r="V498" s="12" t="n"/>
      <c r="W498" s="12" t="n"/>
      <c r="X498" s="12" t="n"/>
      <c r="Y498" s="2" t="n"/>
      <c r="Z498" s="5">
        <f>IF(A498="","",(COUNTA(A498:G498)+COUNTA(J498:Y498))/23)</f>
        <v/>
      </c>
      <c r="AA498" s="2">
        <f>IF(B498="","",WORKDAY(B498,3))</f>
        <v/>
      </c>
      <c r="AB498" s="2">
        <f>IF(B498="","",WORKDAY(B498,5))</f>
        <v/>
      </c>
      <c r="AC498" s="2">
        <f>IF(B498="","",WORKDAY(B498,10))</f>
        <v/>
      </c>
      <c r="AD498" s="2" t="n"/>
    </row>
    <row r="499">
      <c r="A499" s="12" t="n"/>
      <c r="B499" s="12" t="n"/>
      <c r="C499" s="2" t="n"/>
      <c r="D499" s="4" t="n"/>
      <c r="E499" s="12" t="n"/>
      <c r="F499" s="2" t="n"/>
      <c r="G499" s="12" t="n"/>
      <c r="H499" s="2">
        <f>IF(G499="","",IFERROR(VLOOKUP(G499,板块观察!A:U,14,FALSE),""))</f>
        <v/>
      </c>
      <c r="I499" s="2">
        <f>IF(G499="","",IFERROR(VLOOKUP(G499,板块观察!A:U,15,FALSE),""))</f>
        <v/>
      </c>
      <c r="J499" s="12" t="n"/>
      <c r="K499" s="12" t="n"/>
      <c r="L499" s="12" t="n"/>
      <c r="M499" s="14" t="n"/>
      <c r="N499" s="12" t="n"/>
      <c r="O499" s="2" t="n"/>
      <c r="P499" s="2" t="n"/>
      <c r="Q499" s="2" t="n"/>
      <c r="R499" s="12" t="n"/>
      <c r="S499" s="12" t="n"/>
      <c r="T499" s="12" t="n"/>
      <c r="U499" s="12" t="n"/>
      <c r="V499" s="12" t="n"/>
      <c r="W499" s="12" t="n"/>
      <c r="X499" s="12" t="n"/>
      <c r="Y499" s="2" t="n"/>
      <c r="Z499" s="5">
        <f>IF(A499="","",(COUNTA(A499:G499)+COUNTA(J499:Y499))/23)</f>
        <v/>
      </c>
      <c r="AA499" s="2">
        <f>IF(B499="","",WORKDAY(B499,3))</f>
        <v/>
      </c>
      <c r="AB499" s="2">
        <f>IF(B499="","",WORKDAY(B499,5))</f>
        <v/>
      </c>
      <c r="AC499" s="2">
        <f>IF(B499="","",WORKDAY(B499,10))</f>
        <v/>
      </c>
      <c r="AD499" s="2" t="n"/>
    </row>
    <row r="500">
      <c r="A500" s="12" t="n"/>
      <c r="B500" s="12" t="n"/>
      <c r="C500" s="2" t="n"/>
      <c r="D500" s="4" t="n"/>
      <c r="E500" s="12" t="n"/>
      <c r="F500" s="2" t="n"/>
      <c r="G500" s="12" t="n"/>
      <c r="H500" s="2">
        <f>IF(G500="","",IFERROR(VLOOKUP(G500,板块观察!A:U,14,FALSE),""))</f>
        <v/>
      </c>
      <c r="I500" s="2">
        <f>IF(G500="","",IFERROR(VLOOKUP(G500,板块观察!A:U,15,FALSE),""))</f>
        <v/>
      </c>
      <c r="J500" s="12" t="n"/>
      <c r="K500" s="12" t="n"/>
      <c r="L500" s="12" t="n"/>
      <c r="M500" s="14" t="n"/>
      <c r="N500" s="12" t="n"/>
      <c r="O500" s="2" t="n"/>
      <c r="P500" s="2" t="n"/>
      <c r="Q500" s="2" t="n"/>
      <c r="R500" s="12" t="n"/>
      <c r="S500" s="12" t="n"/>
      <c r="T500" s="12" t="n"/>
      <c r="U500" s="12" t="n"/>
      <c r="V500" s="12" t="n"/>
      <c r="W500" s="12" t="n"/>
      <c r="X500" s="12" t="n"/>
      <c r="Y500" s="2" t="n"/>
      <c r="Z500" s="5">
        <f>IF(A500="","",(COUNTA(A500:G500)+COUNTA(J500:Y500))/23)</f>
        <v/>
      </c>
      <c r="AA500" s="2">
        <f>IF(B500="","",WORKDAY(B500,3))</f>
        <v/>
      </c>
      <c r="AB500" s="2">
        <f>IF(B500="","",WORKDAY(B500,5))</f>
        <v/>
      </c>
      <c r="AC500" s="2">
        <f>IF(B500="","",WORKDAY(B500,10))</f>
        <v/>
      </c>
      <c r="AD500" s="2" t="n"/>
    </row>
    <row r="501">
      <c r="A501" s="12" t="n"/>
      <c r="B501" s="12" t="n"/>
      <c r="C501" s="2" t="n"/>
      <c r="D501" s="4" t="n"/>
      <c r="E501" s="12" t="n"/>
      <c r="F501" s="2" t="n"/>
      <c r="G501" s="12" t="n"/>
      <c r="H501" s="2">
        <f>IF(G501="","",IFERROR(VLOOKUP(G501,板块观察!A:U,14,FALSE),""))</f>
        <v/>
      </c>
      <c r="I501" s="2">
        <f>IF(G501="","",IFERROR(VLOOKUP(G501,板块观察!A:U,15,FALSE),""))</f>
        <v/>
      </c>
      <c r="J501" s="12" t="n"/>
      <c r="K501" s="12" t="n"/>
      <c r="L501" s="12" t="n"/>
      <c r="M501" s="14" t="n"/>
      <c r="N501" s="12" t="n"/>
      <c r="O501" s="2" t="n"/>
      <c r="P501" s="2" t="n"/>
      <c r="Q501" s="2" t="n"/>
      <c r="R501" s="12" t="n"/>
      <c r="S501" s="12" t="n"/>
      <c r="T501" s="12" t="n"/>
      <c r="U501" s="12" t="n"/>
      <c r="V501" s="12" t="n"/>
      <c r="W501" s="12" t="n"/>
      <c r="X501" s="12" t="n"/>
      <c r="Y501" s="2" t="n"/>
      <c r="Z501" s="5">
        <f>IF(A501="","",(COUNTA(A501:G501)+COUNTA(J501:Y501))/23)</f>
        <v/>
      </c>
      <c r="AA501" s="2">
        <f>IF(B501="","",WORKDAY(B501,3))</f>
        <v/>
      </c>
      <c r="AB501" s="2">
        <f>IF(B501="","",WORKDAY(B501,5))</f>
        <v/>
      </c>
      <c r="AC501" s="2">
        <f>IF(B501="","",WORKDAY(B501,10))</f>
        <v/>
      </c>
      <c r="AD501" s="2" t="n"/>
    </row>
  </sheetData>
  <autoFilter ref="A1:AD1"/>
  <conditionalFormatting sqref="Y2:Y501">
    <cfRule type="expression" priority="1" dxfId="0">
      <formula>LEFT($Y2,1)="绿"</formula>
    </cfRule>
    <cfRule type="expression" priority="2" dxfId="1">
      <formula>LEFT($Y2,1)="黄"</formula>
    </cfRule>
    <cfRule type="expression" priority="3" dxfId="2">
      <formula>LEFT($Y2,1)="红"</formula>
    </cfRule>
    <cfRule type="expression" priority="4" dxfId="3">
      <formula>LEFT($Y2,1)="灰"</formula>
    </cfRule>
  </conditionalFormatting>
  <conditionalFormatting sqref="Z2:Z501">
    <cfRule type="cellIs" priority="5" operator="lessThan" dxfId="2">
      <formula>0.85</formula>
    </cfRule>
    <cfRule type="cellIs" priority="6" operator="between" dxfId="1">
      <formula>0.85</formula>
      <formula>0.99</formula>
    </cfRule>
    <cfRule type="cellIs" priority="7" operator="greaterThanOrEqual" dxfId="0">
      <formula>1</formula>
    </cfRule>
  </conditionalFormatting>
  <dataValidations count="9">
    <dataValidation sqref="C2:C501" showDropDown="0" showInputMessage="0" showErrorMessage="0" allowBlank="1" type="list">
      <formula1>=选项!$B$1:$F$1</formula1>
    </dataValidation>
    <dataValidation sqref="J2:J501" showDropDown="0" showInputMessage="0" showErrorMessage="0" allowBlank="1" type="list">
      <formula1>=选项!$B$6:$G$6</formula1>
    </dataValidation>
    <dataValidation sqref="K2:K501" showDropDown="0" showInputMessage="0" showErrorMessage="0" allowBlank="1" type="list">
      <formula1>=选项!$B$7:$E$7</formula1>
    </dataValidation>
    <dataValidation sqref="N2:N501" showDropDown="0" showInputMessage="0" showErrorMessage="0" allowBlank="1" type="list">
      <formula1>=选项!$B$8:$J$8</formula1>
    </dataValidation>
    <dataValidation sqref="O2:O501" showDropDown="0" showInputMessage="0" showErrorMessage="0" allowBlank="1" type="list">
      <formula1>=选项!$B$9:$D$9</formula1>
    </dataValidation>
    <dataValidation sqref="P2:P501" showDropDown="0" showInputMessage="0" showErrorMessage="0" allowBlank="1" type="list">
      <formula1>=选项!$B$10:$I$10</formula1>
    </dataValidation>
    <dataValidation sqref="Q2:Q501" showDropDown="0" showInputMessage="0" showErrorMessage="0" allowBlank="1" type="list">
      <formula1>=选项!$B$11:$H$11</formula1>
    </dataValidation>
    <dataValidation sqref="X2:X501" showDropDown="0" showInputMessage="0" showErrorMessage="0" allowBlank="1" type="list">
      <formula1>=选项!$B$12:$H$12</formula1>
    </dataValidation>
    <dataValidation sqref="Y2:Y501" showDropDown="0" showInputMessage="0" showErrorMessage="0" allowBlank="1" type="list">
      <formula1>=选项!$B$13:$E$13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A9D18E"/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8" customWidth="1" min="13" max="13"/>
    <col width="12" customWidth="1" min="14" max="14"/>
  </cols>
  <sheetData>
    <row r="1">
      <c r="A1" s="13" t="inlineStr">
        <is>
          <t>验证ID</t>
        </is>
      </c>
      <c r="B1" s="13" t="inlineStr">
        <is>
          <t>来源记录ID</t>
        </is>
      </c>
      <c r="C1" s="3" t="inlineStr">
        <is>
          <t>股票</t>
        </is>
      </c>
      <c r="D1" s="3" t="inlineStr">
        <is>
          <t>原复盘日期</t>
        </is>
      </c>
      <c r="E1" s="3" t="inlineStr">
        <is>
          <t>原个股结构</t>
        </is>
      </c>
      <c r="F1" s="13" t="inlineStr">
        <is>
          <t>验证节点</t>
        </is>
      </c>
      <c r="G1" s="13" t="inlineStr">
        <is>
          <t>验证日期</t>
        </is>
      </c>
      <c r="H1" s="13" t="inlineStr">
        <is>
          <t>验证价格</t>
        </is>
      </c>
      <c r="I1" s="13" t="inlineStr">
        <is>
          <t>实际走势归类</t>
        </is>
      </c>
      <c r="J1" s="13" t="inlineStr">
        <is>
          <t>是否触发失效</t>
        </is>
      </c>
      <c r="K1" s="13" t="inlineStr">
        <is>
          <t>判断结果</t>
        </is>
      </c>
      <c r="L1" s="13" t="inlineStr">
        <is>
          <t>错误归因</t>
        </is>
      </c>
      <c r="M1" s="13" t="inlineStr">
        <is>
          <t>修正建议</t>
        </is>
      </c>
      <c r="N1" s="3" t="inlineStr">
        <is>
          <t>到期状态</t>
        </is>
      </c>
    </row>
    <row r="2">
      <c r="A2" s="12" t="n"/>
      <c r="B2" s="12" t="n"/>
      <c r="C2" s="2" t="n"/>
      <c r="D2" s="2" t="n"/>
      <c r="E2" s="2" t="n"/>
      <c r="F2" s="12" t="n"/>
      <c r="G2" s="12" t="n"/>
      <c r="H2" s="12" t="n"/>
      <c r="I2" s="12" t="n"/>
      <c r="J2" s="12" t="n"/>
      <c r="K2" s="12" t="n"/>
      <c r="L2" s="12" t="n"/>
      <c r="M2" s="12" t="n"/>
      <c r="N2" s="2">
        <f>IF(G2="","",IF(TODAY()&gt;=G2,"到期","未到期"))</f>
        <v/>
      </c>
    </row>
    <row r="3">
      <c r="A3" s="12" t="n"/>
      <c r="B3" s="12" t="n"/>
      <c r="C3" s="2" t="n"/>
      <c r="D3" s="2" t="n"/>
      <c r="E3" s="2" t="n"/>
      <c r="F3" s="12" t="n"/>
      <c r="G3" s="12" t="n"/>
      <c r="H3" s="12" t="n"/>
      <c r="I3" s="12" t="n"/>
      <c r="J3" s="12" t="n"/>
      <c r="K3" s="12" t="n"/>
      <c r="L3" s="12" t="n"/>
      <c r="M3" s="12" t="n"/>
      <c r="N3" s="2">
        <f>IF(G3="","",IF(TODAY()&gt;=G3,"到期","未到期"))</f>
        <v/>
      </c>
    </row>
    <row r="4">
      <c r="A4" s="12" t="n"/>
      <c r="B4" s="12" t="n"/>
      <c r="C4" s="2" t="n"/>
      <c r="D4" s="2" t="n"/>
      <c r="E4" s="2" t="n"/>
      <c r="F4" s="12" t="n"/>
      <c r="G4" s="12" t="n"/>
      <c r="H4" s="12" t="n"/>
      <c r="I4" s="12" t="n"/>
      <c r="J4" s="12" t="n"/>
      <c r="K4" s="12" t="n"/>
      <c r="L4" s="12" t="n"/>
      <c r="M4" s="12" t="n"/>
      <c r="N4" s="2">
        <f>IF(G4="","",IF(TODAY()&gt;=G4,"到期","未到期"))</f>
        <v/>
      </c>
    </row>
    <row r="5">
      <c r="A5" s="12" t="n"/>
      <c r="B5" s="12" t="n"/>
      <c r="C5" s="2" t="n"/>
      <c r="D5" s="2" t="n"/>
      <c r="E5" s="2" t="n"/>
      <c r="F5" s="12" t="n"/>
      <c r="G5" s="12" t="n"/>
      <c r="H5" s="12" t="n"/>
      <c r="I5" s="12" t="n"/>
      <c r="J5" s="12" t="n"/>
      <c r="K5" s="12" t="n"/>
      <c r="L5" s="12" t="n"/>
      <c r="M5" s="12" t="n"/>
      <c r="N5" s="2">
        <f>IF(G5="","",IF(TODAY()&gt;=G5,"到期","未到期"))</f>
        <v/>
      </c>
    </row>
    <row r="6">
      <c r="A6" s="12" t="n"/>
      <c r="B6" s="12" t="n"/>
      <c r="C6" s="2" t="n"/>
      <c r="D6" s="2" t="n"/>
      <c r="E6" s="2" t="n"/>
      <c r="F6" s="12" t="n"/>
      <c r="G6" s="12" t="n"/>
      <c r="H6" s="12" t="n"/>
      <c r="I6" s="12" t="n"/>
      <c r="J6" s="12" t="n"/>
      <c r="K6" s="12" t="n"/>
      <c r="L6" s="12" t="n"/>
      <c r="M6" s="12" t="n"/>
      <c r="N6" s="2">
        <f>IF(G6="","",IF(TODAY()&gt;=G6,"到期","未到期"))</f>
        <v/>
      </c>
    </row>
    <row r="7">
      <c r="A7" s="12" t="n"/>
      <c r="B7" s="12" t="n"/>
      <c r="C7" s="2" t="n"/>
      <c r="D7" s="2" t="n"/>
      <c r="E7" s="2" t="n"/>
      <c r="F7" s="12" t="n"/>
      <c r="G7" s="12" t="n"/>
      <c r="H7" s="12" t="n"/>
      <c r="I7" s="12" t="n"/>
      <c r="J7" s="12" t="n"/>
      <c r="K7" s="12" t="n"/>
      <c r="L7" s="12" t="n"/>
      <c r="M7" s="12" t="n"/>
      <c r="N7" s="2">
        <f>IF(G7="","",IF(TODAY()&gt;=G7,"到期","未到期"))</f>
        <v/>
      </c>
    </row>
    <row r="8">
      <c r="A8" s="12" t="n"/>
      <c r="B8" s="12" t="n"/>
      <c r="C8" s="2" t="n"/>
      <c r="D8" s="2" t="n"/>
      <c r="E8" s="2" t="n"/>
      <c r="F8" s="12" t="n"/>
      <c r="G8" s="12" t="n"/>
      <c r="H8" s="12" t="n"/>
      <c r="I8" s="12" t="n"/>
      <c r="J8" s="12" t="n"/>
      <c r="K8" s="12" t="n"/>
      <c r="L8" s="12" t="n"/>
      <c r="M8" s="12" t="n"/>
      <c r="N8" s="2">
        <f>IF(G8="","",IF(TODAY()&gt;=G8,"到期","未到期"))</f>
        <v/>
      </c>
    </row>
    <row r="9">
      <c r="A9" s="12" t="n"/>
      <c r="B9" s="12" t="n"/>
      <c r="C9" s="2" t="n"/>
      <c r="D9" s="2" t="n"/>
      <c r="E9" s="2" t="n"/>
      <c r="F9" s="12" t="n"/>
      <c r="G9" s="12" t="n"/>
      <c r="H9" s="12" t="n"/>
      <c r="I9" s="12" t="n"/>
      <c r="J9" s="12" t="n"/>
      <c r="K9" s="12" t="n"/>
      <c r="L9" s="12" t="n"/>
      <c r="M9" s="12" t="n"/>
      <c r="N9" s="2">
        <f>IF(G9="","",IF(TODAY()&gt;=G9,"到期","未到期"))</f>
        <v/>
      </c>
    </row>
    <row r="10">
      <c r="A10" s="12" t="n"/>
      <c r="B10" s="12" t="n"/>
      <c r="C10" s="2" t="n"/>
      <c r="D10" s="2" t="n"/>
      <c r="E10" s="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2">
        <f>IF(G10="","",IF(TODAY()&gt;=G10,"到期","未到期"))</f>
        <v/>
      </c>
    </row>
    <row r="11">
      <c r="A11" s="12" t="n"/>
      <c r="B11" s="12" t="n"/>
      <c r="C11" s="2" t="n"/>
      <c r="D11" s="2" t="n"/>
      <c r="E11" s="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2">
        <f>IF(G11="","",IF(TODAY()&gt;=G11,"到期","未到期"))</f>
        <v/>
      </c>
    </row>
    <row r="12">
      <c r="A12" s="12" t="n"/>
      <c r="B12" s="12" t="n"/>
      <c r="C12" s="2" t="n"/>
      <c r="D12" s="2" t="n"/>
      <c r="E12" s="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2">
        <f>IF(G12="","",IF(TODAY()&gt;=G12,"到期","未到期"))</f>
        <v/>
      </c>
    </row>
    <row r="13">
      <c r="A13" s="12" t="n"/>
      <c r="B13" s="12" t="n"/>
      <c r="C13" s="2" t="n"/>
      <c r="D13" s="2" t="n"/>
      <c r="E13" s="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2">
        <f>IF(G13="","",IF(TODAY()&gt;=G13,"到期","未到期"))</f>
        <v/>
      </c>
    </row>
    <row r="14">
      <c r="A14" s="12" t="n"/>
      <c r="B14" s="12" t="n"/>
      <c r="C14" s="2" t="n"/>
      <c r="D14" s="2" t="n"/>
      <c r="E14" s="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2">
        <f>IF(G14="","",IF(TODAY()&gt;=G14,"到期","未到期"))</f>
        <v/>
      </c>
    </row>
    <row r="15">
      <c r="A15" s="12" t="n"/>
      <c r="B15" s="12" t="n"/>
      <c r="C15" s="2" t="n"/>
      <c r="D15" s="2" t="n"/>
      <c r="E15" s="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2">
        <f>IF(G15="","",IF(TODAY()&gt;=G15,"到期","未到期"))</f>
        <v/>
      </c>
    </row>
    <row r="16">
      <c r="A16" s="12" t="n"/>
      <c r="B16" s="12" t="n"/>
      <c r="C16" s="2" t="n"/>
      <c r="D16" s="2" t="n"/>
      <c r="E16" s="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2">
        <f>IF(G16="","",IF(TODAY()&gt;=G16,"到期","未到期"))</f>
        <v/>
      </c>
    </row>
    <row r="17">
      <c r="A17" s="12" t="n"/>
      <c r="B17" s="12" t="n"/>
      <c r="C17" s="2" t="n"/>
      <c r="D17" s="2" t="n"/>
      <c r="E17" s="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2">
        <f>IF(G17="","",IF(TODAY()&gt;=G17,"到期","未到期"))</f>
        <v/>
      </c>
    </row>
    <row r="18">
      <c r="A18" s="12" t="n"/>
      <c r="B18" s="12" t="n"/>
      <c r="C18" s="2" t="n"/>
      <c r="D18" s="2" t="n"/>
      <c r="E18" s="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2">
        <f>IF(G18="","",IF(TODAY()&gt;=G18,"到期","未到期"))</f>
        <v/>
      </c>
    </row>
    <row r="19">
      <c r="A19" s="12" t="n"/>
      <c r="B19" s="12" t="n"/>
      <c r="C19" s="2" t="n"/>
      <c r="D19" s="2" t="n"/>
      <c r="E19" s="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2">
        <f>IF(G19="","",IF(TODAY()&gt;=G19,"到期","未到期"))</f>
        <v/>
      </c>
    </row>
    <row r="20">
      <c r="A20" s="12" t="n"/>
      <c r="B20" s="12" t="n"/>
      <c r="C20" s="2" t="n"/>
      <c r="D20" s="2" t="n"/>
      <c r="E20" s="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2">
        <f>IF(G20="","",IF(TODAY()&gt;=G20,"到期","未到期"))</f>
        <v/>
      </c>
    </row>
    <row r="21">
      <c r="A21" s="12" t="n"/>
      <c r="B21" s="12" t="n"/>
      <c r="C21" s="2" t="n"/>
      <c r="D21" s="2" t="n"/>
      <c r="E21" s="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2">
        <f>IF(G21="","",IF(TODAY()&gt;=G21,"到期","未到期"))</f>
        <v/>
      </c>
    </row>
    <row r="22">
      <c r="A22" s="12" t="n"/>
      <c r="B22" s="12" t="n"/>
      <c r="C22" s="2" t="n"/>
      <c r="D22" s="2" t="n"/>
      <c r="E22" s="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2">
        <f>IF(G22="","",IF(TODAY()&gt;=G22,"到期","未到期"))</f>
        <v/>
      </c>
    </row>
    <row r="23">
      <c r="A23" s="12" t="n"/>
      <c r="B23" s="12" t="n"/>
      <c r="C23" s="2" t="n"/>
      <c r="D23" s="2" t="n"/>
      <c r="E23" s="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2">
        <f>IF(G23="","",IF(TODAY()&gt;=G23,"到期","未到期"))</f>
        <v/>
      </c>
    </row>
    <row r="24">
      <c r="A24" s="12" t="n"/>
      <c r="B24" s="12" t="n"/>
      <c r="C24" s="2" t="n"/>
      <c r="D24" s="2" t="n"/>
      <c r="E24" s="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2">
        <f>IF(G24="","",IF(TODAY()&gt;=G24,"到期","未到期"))</f>
        <v/>
      </c>
    </row>
    <row r="25">
      <c r="A25" s="12" t="n"/>
      <c r="B25" s="12" t="n"/>
      <c r="C25" s="2" t="n"/>
      <c r="D25" s="2" t="n"/>
      <c r="E25" s="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2">
        <f>IF(G25="","",IF(TODAY()&gt;=G25,"到期","未到期"))</f>
        <v/>
      </c>
    </row>
    <row r="26">
      <c r="A26" s="12" t="n"/>
      <c r="B26" s="12" t="n"/>
      <c r="C26" s="2" t="n"/>
      <c r="D26" s="2" t="n"/>
      <c r="E26" s="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2">
        <f>IF(G26="","",IF(TODAY()&gt;=G26,"到期","未到期"))</f>
        <v/>
      </c>
    </row>
    <row r="27">
      <c r="A27" s="12" t="n"/>
      <c r="B27" s="12" t="n"/>
      <c r="C27" s="2" t="n"/>
      <c r="D27" s="2" t="n"/>
      <c r="E27" s="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2">
        <f>IF(G27="","",IF(TODAY()&gt;=G27,"到期","未到期"))</f>
        <v/>
      </c>
    </row>
    <row r="28">
      <c r="A28" s="12" t="n"/>
      <c r="B28" s="12" t="n"/>
      <c r="C28" s="2" t="n"/>
      <c r="D28" s="2" t="n"/>
      <c r="E28" s="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2">
        <f>IF(G28="","",IF(TODAY()&gt;=G28,"到期","未到期"))</f>
        <v/>
      </c>
    </row>
    <row r="29">
      <c r="A29" s="12" t="n"/>
      <c r="B29" s="12" t="n"/>
      <c r="C29" s="2" t="n"/>
      <c r="D29" s="2" t="n"/>
      <c r="E29" s="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2">
        <f>IF(G29="","",IF(TODAY()&gt;=G29,"到期","未到期"))</f>
        <v/>
      </c>
    </row>
    <row r="30">
      <c r="A30" s="12" t="n"/>
      <c r="B30" s="12" t="n"/>
      <c r="C30" s="2" t="n"/>
      <c r="D30" s="2" t="n"/>
      <c r="E30" s="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2">
        <f>IF(G30="","",IF(TODAY()&gt;=G30,"到期","未到期"))</f>
        <v/>
      </c>
    </row>
    <row r="31">
      <c r="A31" s="12" t="n"/>
      <c r="B31" s="12" t="n"/>
      <c r="C31" s="2" t="n"/>
      <c r="D31" s="2" t="n"/>
      <c r="E31" s="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2">
        <f>IF(G31="","",IF(TODAY()&gt;=G31,"到期","未到期"))</f>
        <v/>
      </c>
    </row>
    <row r="32">
      <c r="A32" s="12" t="n"/>
      <c r="B32" s="12" t="n"/>
      <c r="C32" s="2" t="n"/>
      <c r="D32" s="2" t="n"/>
      <c r="E32" s="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2">
        <f>IF(G32="","",IF(TODAY()&gt;=G32,"到期","未到期"))</f>
        <v/>
      </c>
    </row>
    <row r="33">
      <c r="A33" s="12" t="n"/>
      <c r="B33" s="12" t="n"/>
      <c r="C33" s="2" t="n"/>
      <c r="D33" s="2" t="n"/>
      <c r="E33" s="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2">
        <f>IF(G33="","",IF(TODAY()&gt;=G33,"到期","未到期"))</f>
        <v/>
      </c>
    </row>
    <row r="34">
      <c r="A34" s="12" t="n"/>
      <c r="B34" s="12" t="n"/>
      <c r="C34" s="2" t="n"/>
      <c r="D34" s="2" t="n"/>
      <c r="E34" s="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2">
        <f>IF(G34="","",IF(TODAY()&gt;=G34,"到期","未到期"))</f>
        <v/>
      </c>
    </row>
    <row r="35">
      <c r="A35" s="12" t="n"/>
      <c r="B35" s="12" t="n"/>
      <c r="C35" s="2" t="n"/>
      <c r="D35" s="2" t="n"/>
      <c r="E35" s="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2">
        <f>IF(G35="","",IF(TODAY()&gt;=G35,"到期","未到期"))</f>
        <v/>
      </c>
    </row>
    <row r="36">
      <c r="A36" s="12" t="n"/>
      <c r="B36" s="12" t="n"/>
      <c r="C36" s="2" t="n"/>
      <c r="D36" s="2" t="n"/>
      <c r="E36" s="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2">
        <f>IF(G36="","",IF(TODAY()&gt;=G36,"到期","未到期"))</f>
        <v/>
      </c>
    </row>
    <row r="37">
      <c r="A37" s="12" t="n"/>
      <c r="B37" s="12" t="n"/>
      <c r="C37" s="2" t="n"/>
      <c r="D37" s="2" t="n"/>
      <c r="E37" s="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2">
        <f>IF(G37="","",IF(TODAY()&gt;=G37,"到期","未到期"))</f>
        <v/>
      </c>
    </row>
    <row r="38">
      <c r="A38" s="12" t="n"/>
      <c r="B38" s="12" t="n"/>
      <c r="C38" s="2" t="n"/>
      <c r="D38" s="2" t="n"/>
      <c r="E38" s="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2">
        <f>IF(G38="","",IF(TODAY()&gt;=G38,"到期","未到期"))</f>
        <v/>
      </c>
    </row>
    <row r="39">
      <c r="A39" s="12" t="n"/>
      <c r="B39" s="12" t="n"/>
      <c r="C39" s="2" t="n"/>
      <c r="D39" s="2" t="n"/>
      <c r="E39" s="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2">
        <f>IF(G39="","",IF(TODAY()&gt;=G39,"到期","未到期"))</f>
        <v/>
      </c>
    </row>
    <row r="40">
      <c r="A40" s="12" t="n"/>
      <c r="B40" s="12" t="n"/>
      <c r="C40" s="2" t="n"/>
      <c r="D40" s="2" t="n"/>
      <c r="E40" s="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2">
        <f>IF(G40="","",IF(TODAY()&gt;=G40,"到期","未到期"))</f>
        <v/>
      </c>
    </row>
    <row r="41">
      <c r="A41" s="12" t="n"/>
      <c r="B41" s="12" t="n"/>
      <c r="C41" s="2" t="n"/>
      <c r="D41" s="2" t="n"/>
      <c r="E41" s="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2">
        <f>IF(G41="","",IF(TODAY()&gt;=G41,"到期","未到期"))</f>
        <v/>
      </c>
    </row>
    <row r="42">
      <c r="A42" s="12" t="n"/>
      <c r="B42" s="12" t="n"/>
      <c r="C42" s="2" t="n"/>
      <c r="D42" s="2" t="n"/>
      <c r="E42" s="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2">
        <f>IF(G42="","",IF(TODAY()&gt;=G42,"到期","未到期"))</f>
        <v/>
      </c>
    </row>
    <row r="43">
      <c r="A43" s="12" t="n"/>
      <c r="B43" s="12" t="n"/>
      <c r="C43" s="2" t="n"/>
      <c r="D43" s="2" t="n"/>
      <c r="E43" s="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2">
        <f>IF(G43="","",IF(TODAY()&gt;=G43,"到期","未到期"))</f>
        <v/>
      </c>
    </row>
    <row r="44">
      <c r="A44" s="12" t="n"/>
      <c r="B44" s="12" t="n"/>
      <c r="C44" s="2" t="n"/>
      <c r="D44" s="2" t="n"/>
      <c r="E44" s="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2">
        <f>IF(G44="","",IF(TODAY()&gt;=G44,"到期","未到期"))</f>
        <v/>
      </c>
    </row>
    <row r="45">
      <c r="A45" s="12" t="n"/>
      <c r="B45" s="12" t="n"/>
      <c r="C45" s="2" t="n"/>
      <c r="D45" s="2" t="n"/>
      <c r="E45" s="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2">
        <f>IF(G45="","",IF(TODAY()&gt;=G45,"到期","未到期"))</f>
        <v/>
      </c>
    </row>
    <row r="46">
      <c r="A46" s="12" t="n"/>
      <c r="B46" s="12" t="n"/>
      <c r="C46" s="2" t="n"/>
      <c r="D46" s="2" t="n"/>
      <c r="E46" s="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2">
        <f>IF(G46="","",IF(TODAY()&gt;=G46,"到期","未到期"))</f>
        <v/>
      </c>
    </row>
    <row r="47">
      <c r="A47" s="12" t="n"/>
      <c r="B47" s="12" t="n"/>
      <c r="C47" s="2" t="n"/>
      <c r="D47" s="2" t="n"/>
      <c r="E47" s="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2">
        <f>IF(G47="","",IF(TODAY()&gt;=G47,"到期","未到期"))</f>
        <v/>
      </c>
    </row>
    <row r="48">
      <c r="A48" s="12" t="n"/>
      <c r="B48" s="12" t="n"/>
      <c r="C48" s="2" t="n"/>
      <c r="D48" s="2" t="n"/>
      <c r="E48" s="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2">
        <f>IF(G48="","",IF(TODAY()&gt;=G48,"到期","未到期"))</f>
        <v/>
      </c>
    </row>
    <row r="49">
      <c r="A49" s="12" t="n"/>
      <c r="B49" s="12" t="n"/>
      <c r="C49" s="2" t="n"/>
      <c r="D49" s="2" t="n"/>
      <c r="E49" s="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2">
        <f>IF(G49="","",IF(TODAY()&gt;=G49,"到期","未到期"))</f>
        <v/>
      </c>
    </row>
    <row r="50">
      <c r="A50" s="12" t="n"/>
      <c r="B50" s="12" t="n"/>
      <c r="C50" s="2" t="n"/>
      <c r="D50" s="2" t="n"/>
      <c r="E50" s="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2">
        <f>IF(G50="","",IF(TODAY()&gt;=G50,"到期","未到期"))</f>
        <v/>
      </c>
    </row>
    <row r="51">
      <c r="A51" s="12" t="n"/>
      <c r="B51" s="12" t="n"/>
      <c r="C51" s="2" t="n"/>
      <c r="D51" s="2" t="n"/>
      <c r="E51" s="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2">
        <f>IF(G51="","",IF(TODAY()&gt;=G51,"到期","未到期"))</f>
        <v/>
      </c>
    </row>
    <row r="52">
      <c r="A52" s="12" t="n"/>
      <c r="B52" s="12" t="n"/>
      <c r="C52" s="2" t="n"/>
      <c r="D52" s="2" t="n"/>
      <c r="E52" s="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2">
        <f>IF(G52="","",IF(TODAY()&gt;=G52,"到期","未到期"))</f>
        <v/>
      </c>
    </row>
    <row r="53">
      <c r="A53" s="12" t="n"/>
      <c r="B53" s="12" t="n"/>
      <c r="C53" s="2" t="n"/>
      <c r="D53" s="2" t="n"/>
      <c r="E53" s="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2">
        <f>IF(G53="","",IF(TODAY()&gt;=G53,"到期","未到期"))</f>
        <v/>
      </c>
    </row>
    <row r="54">
      <c r="A54" s="12" t="n"/>
      <c r="B54" s="12" t="n"/>
      <c r="C54" s="2" t="n"/>
      <c r="D54" s="2" t="n"/>
      <c r="E54" s="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2">
        <f>IF(G54="","",IF(TODAY()&gt;=G54,"到期","未到期"))</f>
        <v/>
      </c>
    </row>
    <row r="55">
      <c r="A55" s="12" t="n"/>
      <c r="B55" s="12" t="n"/>
      <c r="C55" s="2" t="n"/>
      <c r="D55" s="2" t="n"/>
      <c r="E55" s="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2">
        <f>IF(G55="","",IF(TODAY()&gt;=G55,"到期","未到期"))</f>
        <v/>
      </c>
    </row>
    <row r="56">
      <c r="A56" s="12" t="n"/>
      <c r="B56" s="12" t="n"/>
      <c r="C56" s="2" t="n"/>
      <c r="D56" s="2" t="n"/>
      <c r="E56" s="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2">
        <f>IF(G56="","",IF(TODAY()&gt;=G56,"到期","未到期"))</f>
        <v/>
      </c>
    </row>
    <row r="57">
      <c r="A57" s="12" t="n"/>
      <c r="B57" s="12" t="n"/>
      <c r="C57" s="2" t="n"/>
      <c r="D57" s="2" t="n"/>
      <c r="E57" s="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2">
        <f>IF(G57="","",IF(TODAY()&gt;=G57,"到期","未到期"))</f>
        <v/>
      </c>
    </row>
    <row r="58">
      <c r="A58" s="12" t="n"/>
      <c r="B58" s="12" t="n"/>
      <c r="C58" s="2" t="n"/>
      <c r="D58" s="2" t="n"/>
      <c r="E58" s="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2">
        <f>IF(G58="","",IF(TODAY()&gt;=G58,"到期","未到期"))</f>
        <v/>
      </c>
    </row>
    <row r="59">
      <c r="A59" s="12" t="n"/>
      <c r="B59" s="12" t="n"/>
      <c r="C59" s="2" t="n"/>
      <c r="D59" s="2" t="n"/>
      <c r="E59" s="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2">
        <f>IF(G59="","",IF(TODAY()&gt;=G59,"到期","未到期"))</f>
        <v/>
      </c>
    </row>
    <row r="60">
      <c r="A60" s="12" t="n"/>
      <c r="B60" s="12" t="n"/>
      <c r="C60" s="2" t="n"/>
      <c r="D60" s="2" t="n"/>
      <c r="E60" s="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2">
        <f>IF(G60="","",IF(TODAY()&gt;=G60,"到期","未到期"))</f>
        <v/>
      </c>
    </row>
    <row r="61">
      <c r="A61" s="12" t="n"/>
      <c r="B61" s="12" t="n"/>
      <c r="C61" s="2" t="n"/>
      <c r="D61" s="2" t="n"/>
      <c r="E61" s="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2">
        <f>IF(G61="","",IF(TODAY()&gt;=G61,"到期","未到期"))</f>
        <v/>
      </c>
    </row>
    <row r="62">
      <c r="A62" s="12" t="n"/>
      <c r="B62" s="12" t="n"/>
      <c r="C62" s="2" t="n"/>
      <c r="D62" s="2" t="n"/>
      <c r="E62" s="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2">
        <f>IF(G62="","",IF(TODAY()&gt;=G62,"到期","未到期"))</f>
        <v/>
      </c>
    </row>
    <row r="63">
      <c r="A63" s="12" t="n"/>
      <c r="B63" s="12" t="n"/>
      <c r="C63" s="2" t="n"/>
      <c r="D63" s="2" t="n"/>
      <c r="E63" s="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2">
        <f>IF(G63="","",IF(TODAY()&gt;=G63,"到期","未到期"))</f>
        <v/>
      </c>
    </row>
    <row r="64">
      <c r="A64" s="12" t="n"/>
      <c r="B64" s="12" t="n"/>
      <c r="C64" s="2" t="n"/>
      <c r="D64" s="2" t="n"/>
      <c r="E64" s="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2">
        <f>IF(G64="","",IF(TODAY()&gt;=G64,"到期","未到期"))</f>
        <v/>
      </c>
    </row>
    <row r="65">
      <c r="A65" s="12" t="n"/>
      <c r="B65" s="12" t="n"/>
      <c r="C65" s="2" t="n"/>
      <c r="D65" s="2" t="n"/>
      <c r="E65" s="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2">
        <f>IF(G65="","",IF(TODAY()&gt;=G65,"到期","未到期"))</f>
        <v/>
      </c>
    </row>
    <row r="66">
      <c r="A66" s="12" t="n"/>
      <c r="B66" s="12" t="n"/>
      <c r="C66" s="2" t="n"/>
      <c r="D66" s="2" t="n"/>
      <c r="E66" s="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2">
        <f>IF(G66="","",IF(TODAY()&gt;=G66,"到期","未到期"))</f>
        <v/>
      </c>
    </row>
    <row r="67">
      <c r="A67" s="12" t="n"/>
      <c r="B67" s="12" t="n"/>
      <c r="C67" s="2" t="n"/>
      <c r="D67" s="2" t="n"/>
      <c r="E67" s="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2">
        <f>IF(G67="","",IF(TODAY()&gt;=G67,"到期","未到期"))</f>
        <v/>
      </c>
    </row>
    <row r="68">
      <c r="A68" s="12" t="n"/>
      <c r="B68" s="12" t="n"/>
      <c r="C68" s="2" t="n"/>
      <c r="D68" s="2" t="n"/>
      <c r="E68" s="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2">
        <f>IF(G68="","",IF(TODAY()&gt;=G68,"到期","未到期"))</f>
        <v/>
      </c>
    </row>
    <row r="69">
      <c r="A69" s="12" t="n"/>
      <c r="B69" s="12" t="n"/>
      <c r="C69" s="2" t="n"/>
      <c r="D69" s="2" t="n"/>
      <c r="E69" s="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2">
        <f>IF(G69="","",IF(TODAY()&gt;=G69,"到期","未到期"))</f>
        <v/>
      </c>
    </row>
    <row r="70">
      <c r="A70" s="12" t="n"/>
      <c r="B70" s="12" t="n"/>
      <c r="C70" s="2" t="n"/>
      <c r="D70" s="2" t="n"/>
      <c r="E70" s="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2">
        <f>IF(G70="","",IF(TODAY()&gt;=G70,"到期","未到期"))</f>
        <v/>
      </c>
    </row>
    <row r="71">
      <c r="A71" s="12" t="n"/>
      <c r="B71" s="12" t="n"/>
      <c r="C71" s="2" t="n"/>
      <c r="D71" s="2" t="n"/>
      <c r="E71" s="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2">
        <f>IF(G71="","",IF(TODAY()&gt;=G71,"到期","未到期"))</f>
        <v/>
      </c>
    </row>
    <row r="72">
      <c r="A72" s="12" t="n"/>
      <c r="B72" s="12" t="n"/>
      <c r="C72" s="2" t="n"/>
      <c r="D72" s="2" t="n"/>
      <c r="E72" s="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2">
        <f>IF(G72="","",IF(TODAY()&gt;=G72,"到期","未到期"))</f>
        <v/>
      </c>
    </row>
    <row r="73">
      <c r="A73" s="12" t="n"/>
      <c r="B73" s="12" t="n"/>
      <c r="C73" s="2" t="n"/>
      <c r="D73" s="2" t="n"/>
      <c r="E73" s="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2">
        <f>IF(G73="","",IF(TODAY()&gt;=G73,"到期","未到期"))</f>
        <v/>
      </c>
    </row>
    <row r="74">
      <c r="A74" s="12" t="n"/>
      <c r="B74" s="12" t="n"/>
      <c r="C74" s="2" t="n"/>
      <c r="D74" s="2" t="n"/>
      <c r="E74" s="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2">
        <f>IF(G74="","",IF(TODAY()&gt;=G74,"到期","未到期"))</f>
        <v/>
      </c>
    </row>
    <row r="75">
      <c r="A75" s="12" t="n"/>
      <c r="B75" s="12" t="n"/>
      <c r="C75" s="2" t="n"/>
      <c r="D75" s="2" t="n"/>
      <c r="E75" s="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2">
        <f>IF(G75="","",IF(TODAY()&gt;=G75,"到期","未到期"))</f>
        <v/>
      </c>
    </row>
    <row r="76">
      <c r="A76" s="12" t="n"/>
      <c r="B76" s="12" t="n"/>
      <c r="C76" s="2" t="n"/>
      <c r="D76" s="2" t="n"/>
      <c r="E76" s="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2">
        <f>IF(G76="","",IF(TODAY()&gt;=G76,"到期","未到期"))</f>
        <v/>
      </c>
    </row>
    <row r="77">
      <c r="A77" s="12" t="n"/>
      <c r="B77" s="12" t="n"/>
      <c r="C77" s="2" t="n"/>
      <c r="D77" s="2" t="n"/>
      <c r="E77" s="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2">
        <f>IF(G77="","",IF(TODAY()&gt;=G77,"到期","未到期"))</f>
        <v/>
      </c>
    </row>
    <row r="78">
      <c r="A78" s="12" t="n"/>
      <c r="B78" s="12" t="n"/>
      <c r="C78" s="2" t="n"/>
      <c r="D78" s="2" t="n"/>
      <c r="E78" s="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2">
        <f>IF(G78="","",IF(TODAY()&gt;=G78,"到期","未到期"))</f>
        <v/>
      </c>
    </row>
    <row r="79">
      <c r="A79" s="12" t="n"/>
      <c r="B79" s="12" t="n"/>
      <c r="C79" s="2" t="n"/>
      <c r="D79" s="2" t="n"/>
      <c r="E79" s="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2">
        <f>IF(G79="","",IF(TODAY()&gt;=G79,"到期","未到期"))</f>
        <v/>
      </c>
    </row>
    <row r="80">
      <c r="A80" s="12" t="n"/>
      <c r="B80" s="12" t="n"/>
      <c r="C80" s="2" t="n"/>
      <c r="D80" s="2" t="n"/>
      <c r="E80" s="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2">
        <f>IF(G80="","",IF(TODAY()&gt;=G80,"到期","未到期"))</f>
        <v/>
      </c>
    </row>
    <row r="81">
      <c r="A81" s="12" t="n"/>
      <c r="B81" s="12" t="n"/>
      <c r="C81" s="2" t="n"/>
      <c r="D81" s="2" t="n"/>
      <c r="E81" s="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2">
        <f>IF(G81="","",IF(TODAY()&gt;=G81,"到期","未到期"))</f>
        <v/>
      </c>
    </row>
    <row r="82">
      <c r="A82" s="12" t="n"/>
      <c r="B82" s="12" t="n"/>
      <c r="C82" s="2" t="n"/>
      <c r="D82" s="2" t="n"/>
      <c r="E82" s="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2">
        <f>IF(G82="","",IF(TODAY()&gt;=G82,"到期","未到期"))</f>
        <v/>
      </c>
    </row>
    <row r="83">
      <c r="A83" s="12" t="n"/>
      <c r="B83" s="12" t="n"/>
      <c r="C83" s="2" t="n"/>
      <c r="D83" s="2" t="n"/>
      <c r="E83" s="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2">
        <f>IF(G83="","",IF(TODAY()&gt;=G83,"到期","未到期"))</f>
        <v/>
      </c>
    </row>
    <row r="84">
      <c r="A84" s="12" t="n"/>
      <c r="B84" s="12" t="n"/>
      <c r="C84" s="2" t="n"/>
      <c r="D84" s="2" t="n"/>
      <c r="E84" s="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2">
        <f>IF(G84="","",IF(TODAY()&gt;=G84,"到期","未到期"))</f>
        <v/>
      </c>
    </row>
    <row r="85">
      <c r="A85" s="12" t="n"/>
      <c r="B85" s="12" t="n"/>
      <c r="C85" s="2" t="n"/>
      <c r="D85" s="2" t="n"/>
      <c r="E85" s="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2">
        <f>IF(G85="","",IF(TODAY()&gt;=G85,"到期","未到期"))</f>
        <v/>
      </c>
    </row>
    <row r="86">
      <c r="A86" s="12" t="n"/>
      <c r="B86" s="12" t="n"/>
      <c r="C86" s="2" t="n"/>
      <c r="D86" s="2" t="n"/>
      <c r="E86" s="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2">
        <f>IF(G86="","",IF(TODAY()&gt;=G86,"到期","未到期"))</f>
        <v/>
      </c>
    </row>
    <row r="87">
      <c r="A87" s="12" t="n"/>
      <c r="B87" s="12" t="n"/>
      <c r="C87" s="2" t="n"/>
      <c r="D87" s="2" t="n"/>
      <c r="E87" s="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2">
        <f>IF(G87="","",IF(TODAY()&gt;=G87,"到期","未到期"))</f>
        <v/>
      </c>
    </row>
    <row r="88">
      <c r="A88" s="12" t="n"/>
      <c r="B88" s="12" t="n"/>
      <c r="C88" s="2" t="n"/>
      <c r="D88" s="2" t="n"/>
      <c r="E88" s="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2">
        <f>IF(G88="","",IF(TODAY()&gt;=G88,"到期","未到期"))</f>
        <v/>
      </c>
    </row>
    <row r="89">
      <c r="A89" s="12" t="n"/>
      <c r="B89" s="12" t="n"/>
      <c r="C89" s="2" t="n"/>
      <c r="D89" s="2" t="n"/>
      <c r="E89" s="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2">
        <f>IF(G89="","",IF(TODAY()&gt;=G89,"到期","未到期"))</f>
        <v/>
      </c>
    </row>
    <row r="90">
      <c r="A90" s="12" t="n"/>
      <c r="B90" s="12" t="n"/>
      <c r="C90" s="2" t="n"/>
      <c r="D90" s="2" t="n"/>
      <c r="E90" s="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2">
        <f>IF(G90="","",IF(TODAY()&gt;=G90,"到期","未到期"))</f>
        <v/>
      </c>
    </row>
    <row r="91">
      <c r="A91" s="12" t="n"/>
      <c r="B91" s="12" t="n"/>
      <c r="C91" s="2" t="n"/>
      <c r="D91" s="2" t="n"/>
      <c r="E91" s="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2">
        <f>IF(G91="","",IF(TODAY()&gt;=G91,"到期","未到期"))</f>
        <v/>
      </c>
    </row>
    <row r="92">
      <c r="A92" s="12" t="n"/>
      <c r="B92" s="12" t="n"/>
      <c r="C92" s="2" t="n"/>
      <c r="D92" s="2" t="n"/>
      <c r="E92" s="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2">
        <f>IF(G92="","",IF(TODAY()&gt;=G92,"到期","未到期"))</f>
        <v/>
      </c>
    </row>
    <row r="93">
      <c r="A93" s="12" t="n"/>
      <c r="B93" s="12" t="n"/>
      <c r="C93" s="2" t="n"/>
      <c r="D93" s="2" t="n"/>
      <c r="E93" s="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2">
        <f>IF(G93="","",IF(TODAY()&gt;=G93,"到期","未到期"))</f>
        <v/>
      </c>
    </row>
    <row r="94">
      <c r="A94" s="12" t="n"/>
      <c r="B94" s="12" t="n"/>
      <c r="C94" s="2" t="n"/>
      <c r="D94" s="2" t="n"/>
      <c r="E94" s="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2">
        <f>IF(G94="","",IF(TODAY()&gt;=G94,"到期","未到期"))</f>
        <v/>
      </c>
    </row>
    <row r="95">
      <c r="A95" s="12" t="n"/>
      <c r="B95" s="12" t="n"/>
      <c r="C95" s="2" t="n"/>
      <c r="D95" s="2" t="n"/>
      <c r="E95" s="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2">
        <f>IF(G95="","",IF(TODAY()&gt;=G95,"到期","未到期"))</f>
        <v/>
      </c>
    </row>
    <row r="96">
      <c r="A96" s="12" t="n"/>
      <c r="B96" s="12" t="n"/>
      <c r="C96" s="2" t="n"/>
      <c r="D96" s="2" t="n"/>
      <c r="E96" s="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2">
        <f>IF(G96="","",IF(TODAY()&gt;=G96,"到期","未到期"))</f>
        <v/>
      </c>
    </row>
    <row r="97">
      <c r="A97" s="12" t="n"/>
      <c r="B97" s="12" t="n"/>
      <c r="C97" s="2" t="n"/>
      <c r="D97" s="2" t="n"/>
      <c r="E97" s="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2">
        <f>IF(G97="","",IF(TODAY()&gt;=G97,"到期","未到期"))</f>
        <v/>
      </c>
    </row>
    <row r="98">
      <c r="A98" s="12" t="n"/>
      <c r="B98" s="12" t="n"/>
      <c r="C98" s="2" t="n"/>
      <c r="D98" s="2" t="n"/>
      <c r="E98" s="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2">
        <f>IF(G98="","",IF(TODAY()&gt;=G98,"到期","未到期"))</f>
        <v/>
      </c>
    </row>
    <row r="99">
      <c r="A99" s="12" t="n"/>
      <c r="B99" s="12" t="n"/>
      <c r="C99" s="2" t="n"/>
      <c r="D99" s="2" t="n"/>
      <c r="E99" s="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2">
        <f>IF(G99="","",IF(TODAY()&gt;=G99,"到期","未到期"))</f>
        <v/>
      </c>
    </row>
    <row r="100">
      <c r="A100" s="12" t="n"/>
      <c r="B100" s="12" t="n"/>
      <c r="C100" s="2" t="n"/>
      <c r="D100" s="2" t="n"/>
      <c r="E100" s="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2">
        <f>IF(G100="","",IF(TODAY()&gt;=G100,"到期","未到期"))</f>
        <v/>
      </c>
    </row>
    <row r="101">
      <c r="A101" s="12" t="n"/>
      <c r="B101" s="12" t="n"/>
      <c r="C101" s="2" t="n"/>
      <c r="D101" s="2" t="n"/>
      <c r="E101" s="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2">
        <f>IF(G101="","",IF(TODAY()&gt;=G101,"到期","未到期"))</f>
        <v/>
      </c>
    </row>
    <row r="102">
      <c r="A102" s="12" t="n"/>
      <c r="B102" s="12" t="n"/>
      <c r="C102" s="2" t="n"/>
      <c r="D102" s="2" t="n"/>
      <c r="E102" s="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2">
        <f>IF(G102="","",IF(TODAY()&gt;=G102,"到期","未到期"))</f>
        <v/>
      </c>
    </row>
    <row r="103">
      <c r="A103" s="12" t="n"/>
      <c r="B103" s="12" t="n"/>
      <c r="C103" s="2" t="n"/>
      <c r="D103" s="2" t="n"/>
      <c r="E103" s="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2">
        <f>IF(G103="","",IF(TODAY()&gt;=G103,"到期","未到期"))</f>
        <v/>
      </c>
    </row>
    <row r="104">
      <c r="A104" s="12" t="n"/>
      <c r="B104" s="12" t="n"/>
      <c r="C104" s="2" t="n"/>
      <c r="D104" s="2" t="n"/>
      <c r="E104" s="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2">
        <f>IF(G104="","",IF(TODAY()&gt;=G104,"到期","未到期"))</f>
        <v/>
      </c>
    </row>
    <row r="105">
      <c r="A105" s="12" t="n"/>
      <c r="B105" s="12" t="n"/>
      <c r="C105" s="2" t="n"/>
      <c r="D105" s="2" t="n"/>
      <c r="E105" s="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2">
        <f>IF(G105="","",IF(TODAY()&gt;=G105,"到期","未到期"))</f>
        <v/>
      </c>
    </row>
    <row r="106">
      <c r="A106" s="12" t="n"/>
      <c r="B106" s="12" t="n"/>
      <c r="C106" s="2" t="n"/>
      <c r="D106" s="2" t="n"/>
      <c r="E106" s="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2">
        <f>IF(G106="","",IF(TODAY()&gt;=G106,"到期","未到期"))</f>
        <v/>
      </c>
    </row>
    <row r="107">
      <c r="A107" s="12" t="n"/>
      <c r="B107" s="12" t="n"/>
      <c r="C107" s="2" t="n"/>
      <c r="D107" s="2" t="n"/>
      <c r="E107" s="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2">
        <f>IF(G107="","",IF(TODAY()&gt;=G107,"到期","未到期"))</f>
        <v/>
      </c>
    </row>
    <row r="108">
      <c r="A108" s="12" t="n"/>
      <c r="B108" s="12" t="n"/>
      <c r="C108" s="2" t="n"/>
      <c r="D108" s="2" t="n"/>
      <c r="E108" s="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2">
        <f>IF(G108="","",IF(TODAY()&gt;=G108,"到期","未到期"))</f>
        <v/>
      </c>
    </row>
    <row r="109">
      <c r="A109" s="12" t="n"/>
      <c r="B109" s="12" t="n"/>
      <c r="C109" s="2" t="n"/>
      <c r="D109" s="2" t="n"/>
      <c r="E109" s="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2">
        <f>IF(G109="","",IF(TODAY()&gt;=G109,"到期","未到期"))</f>
        <v/>
      </c>
    </row>
    <row r="110">
      <c r="A110" s="12" t="n"/>
      <c r="B110" s="12" t="n"/>
      <c r="C110" s="2" t="n"/>
      <c r="D110" s="2" t="n"/>
      <c r="E110" s="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2">
        <f>IF(G110="","",IF(TODAY()&gt;=G110,"到期","未到期"))</f>
        <v/>
      </c>
    </row>
    <row r="111">
      <c r="A111" s="12" t="n"/>
      <c r="B111" s="12" t="n"/>
      <c r="C111" s="2" t="n"/>
      <c r="D111" s="2" t="n"/>
      <c r="E111" s="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2">
        <f>IF(G111="","",IF(TODAY()&gt;=G111,"到期","未到期"))</f>
        <v/>
      </c>
    </row>
    <row r="112">
      <c r="A112" s="12" t="n"/>
      <c r="B112" s="12" t="n"/>
      <c r="C112" s="2" t="n"/>
      <c r="D112" s="2" t="n"/>
      <c r="E112" s="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2">
        <f>IF(G112="","",IF(TODAY()&gt;=G112,"到期","未到期"))</f>
        <v/>
      </c>
    </row>
    <row r="113">
      <c r="A113" s="12" t="n"/>
      <c r="B113" s="12" t="n"/>
      <c r="C113" s="2" t="n"/>
      <c r="D113" s="2" t="n"/>
      <c r="E113" s="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2">
        <f>IF(G113="","",IF(TODAY()&gt;=G113,"到期","未到期"))</f>
        <v/>
      </c>
    </row>
    <row r="114">
      <c r="A114" s="12" t="n"/>
      <c r="B114" s="12" t="n"/>
      <c r="C114" s="2" t="n"/>
      <c r="D114" s="2" t="n"/>
      <c r="E114" s="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2">
        <f>IF(G114="","",IF(TODAY()&gt;=G114,"到期","未到期"))</f>
        <v/>
      </c>
    </row>
    <row r="115">
      <c r="A115" s="12" t="n"/>
      <c r="B115" s="12" t="n"/>
      <c r="C115" s="2" t="n"/>
      <c r="D115" s="2" t="n"/>
      <c r="E115" s="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2">
        <f>IF(G115="","",IF(TODAY()&gt;=G115,"到期","未到期"))</f>
        <v/>
      </c>
    </row>
    <row r="116">
      <c r="A116" s="12" t="n"/>
      <c r="B116" s="12" t="n"/>
      <c r="C116" s="2" t="n"/>
      <c r="D116" s="2" t="n"/>
      <c r="E116" s="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2">
        <f>IF(G116="","",IF(TODAY()&gt;=G116,"到期","未到期"))</f>
        <v/>
      </c>
    </row>
    <row r="117">
      <c r="A117" s="12" t="n"/>
      <c r="B117" s="12" t="n"/>
      <c r="C117" s="2" t="n"/>
      <c r="D117" s="2" t="n"/>
      <c r="E117" s="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2">
        <f>IF(G117="","",IF(TODAY()&gt;=G117,"到期","未到期"))</f>
        <v/>
      </c>
    </row>
    <row r="118">
      <c r="A118" s="12" t="n"/>
      <c r="B118" s="12" t="n"/>
      <c r="C118" s="2" t="n"/>
      <c r="D118" s="2" t="n"/>
      <c r="E118" s="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2">
        <f>IF(G118="","",IF(TODAY()&gt;=G118,"到期","未到期"))</f>
        <v/>
      </c>
    </row>
    <row r="119">
      <c r="A119" s="12" t="n"/>
      <c r="B119" s="12" t="n"/>
      <c r="C119" s="2" t="n"/>
      <c r="D119" s="2" t="n"/>
      <c r="E119" s="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2">
        <f>IF(G119="","",IF(TODAY()&gt;=G119,"到期","未到期"))</f>
        <v/>
      </c>
    </row>
    <row r="120">
      <c r="A120" s="12" t="n"/>
      <c r="B120" s="12" t="n"/>
      <c r="C120" s="2" t="n"/>
      <c r="D120" s="2" t="n"/>
      <c r="E120" s="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2">
        <f>IF(G120="","",IF(TODAY()&gt;=G120,"到期","未到期"))</f>
        <v/>
      </c>
    </row>
    <row r="121">
      <c r="A121" s="12" t="n"/>
      <c r="B121" s="12" t="n"/>
      <c r="C121" s="2" t="n"/>
      <c r="D121" s="2" t="n"/>
      <c r="E121" s="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2">
        <f>IF(G121="","",IF(TODAY()&gt;=G121,"到期","未到期"))</f>
        <v/>
      </c>
    </row>
    <row r="122">
      <c r="A122" s="12" t="n"/>
      <c r="B122" s="12" t="n"/>
      <c r="C122" s="2" t="n"/>
      <c r="D122" s="2" t="n"/>
      <c r="E122" s="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2">
        <f>IF(G122="","",IF(TODAY()&gt;=G122,"到期","未到期"))</f>
        <v/>
      </c>
    </row>
    <row r="123">
      <c r="A123" s="12" t="n"/>
      <c r="B123" s="12" t="n"/>
      <c r="C123" s="2" t="n"/>
      <c r="D123" s="2" t="n"/>
      <c r="E123" s="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2">
        <f>IF(G123="","",IF(TODAY()&gt;=G123,"到期","未到期"))</f>
        <v/>
      </c>
    </row>
    <row r="124">
      <c r="A124" s="12" t="n"/>
      <c r="B124" s="12" t="n"/>
      <c r="C124" s="2" t="n"/>
      <c r="D124" s="2" t="n"/>
      <c r="E124" s="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2">
        <f>IF(G124="","",IF(TODAY()&gt;=G124,"到期","未到期"))</f>
        <v/>
      </c>
    </row>
    <row r="125">
      <c r="A125" s="12" t="n"/>
      <c r="B125" s="12" t="n"/>
      <c r="C125" s="2" t="n"/>
      <c r="D125" s="2" t="n"/>
      <c r="E125" s="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2">
        <f>IF(G125="","",IF(TODAY()&gt;=G125,"到期","未到期"))</f>
        <v/>
      </c>
    </row>
    <row r="126">
      <c r="A126" s="12" t="n"/>
      <c r="B126" s="12" t="n"/>
      <c r="C126" s="2" t="n"/>
      <c r="D126" s="2" t="n"/>
      <c r="E126" s="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2">
        <f>IF(G126="","",IF(TODAY()&gt;=G126,"到期","未到期"))</f>
        <v/>
      </c>
    </row>
    <row r="127">
      <c r="A127" s="12" t="n"/>
      <c r="B127" s="12" t="n"/>
      <c r="C127" s="2" t="n"/>
      <c r="D127" s="2" t="n"/>
      <c r="E127" s="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2">
        <f>IF(G127="","",IF(TODAY()&gt;=G127,"到期","未到期"))</f>
        <v/>
      </c>
    </row>
    <row r="128">
      <c r="A128" s="12" t="n"/>
      <c r="B128" s="12" t="n"/>
      <c r="C128" s="2" t="n"/>
      <c r="D128" s="2" t="n"/>
      <c r="E128" s="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2">
        <f>IF(G128="","",IF(TODAY()&gt;=G128,"到期","未到期"))</f>
        <v/>
      </c>
    </row>
    <row r="129">
      <c r="A129" s="12" t="n"/>
      <c r="B129" s="12" t="n"/>
      <c r="C129" s="2" t="n"/>
      <c r="D129" s="2" t="n"/>
      <c r="E129" s="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2">
        <f>IF(G129="","",IF(TODAY()&gt;=G129,"到期","未到期"))</f>
        <v/>
      </c>
    </row>
    <row r="130">
      <c r="A130" s="12" t="n"/>
      <c r="B130" s="12" t="n"/>
      <c r="C130" s="2" t="n"/>
      <c r="D130" s="2" t="n"/>
      <c r="E130" s="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2">
        <f>IF(G130="","",IF(TODAY()&gt;=G130,"到期","未到期"))</f>
        <v/>
      </c>
    </row>
    <row r="131">
      <c r="A131" s="12" t="n"/>
      <c r="B131" s="12" t="n"/>
      <c r="C131" s="2" t="n"/>
      <c r="D131" s="2" t="n"/>
      <c r="E131" s="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2">
        <f>IF(G131="","",IF(TODAY()&gt;=G131,"到期","未到期"))</f>
        <v/>
      </c>
    </row>
    <row r="132">
      <c r="A132" s="12" t="n"/>
      <c r="B132" s="12" t="n"/>
      <c r="C132" s="2" t="n"/>
      <c r="D132" s="2" t="n"/>
      <c r="E132" s="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2">
        <f>IF(G132="","",IF(TODAY()&gt;=G132,"到期","未到期"))</f>
        <v/>
      </c>
    </row>
    <row r="133">
      <c r="A133" s="12" t="n"/>
      <c r="B133" s="12" t="n"/>
      <c r="C133" s="2" t="n"/>
      <c r="D133" s="2" t="n"/>
      <c r="E133" s="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2">
        <f>IF(G133="","",IF(TODAY()&gt;=G133,"到期","未到期"))</f>
        <v/>
      </c>
    </row>
    <row r="134">
      <c r="A134" s="12" t="n"/>
      <c r="B134" s="12" t="n"/>
      <c r="C134" s="2" t="n"/>
      <c r="D134" s="2" t="n"/>
      <c r="E134" s="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2">
        <f>IF(G134="","",IF(TODAY()&gt;=G134,"到期","未到期"))</f>
        <v/>
      </c>
    </row>
    <row r="135">
      <c r="A135" s="12" t="n"/>
      <c r="B135" s="12" t="n"/>
      <c r="C135" s="2" t="n"/>
      <c r="D135" s="2" t="n"/>
      <c r="E135" s="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2">
        <f>IF(G135="","",IF(TODAY()&gt;=G135,"到期","未到期"))</f>
        <v/>
      </c>
    </row>
    <row r="136">
      <c r="A136" s="12" t="n"/>
      <c r="B136" s="12" t="n"/>
      <c r="C136" s="2" t="n"/>
      <c r="D136" s="2" t="n"/>
      <c r="E136" s="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2">
        <f>IF(G136="","",IF(TODAY()&gt;=G136,"到期","未到期"))</f>
        <v/>
      </c>
    </row>
    <row r="137">
      <c r="A137" s="12" t="n"/>
      <c r="B137" s="12" t="n"/>
      <c r="C137" s="2" t="n"/>
      <c r="D137" s="2" t="n"/>
      <c r="E137" s="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2">
        <f>IF(G137="","",IF(TODAY()&gt;=G137,"到期","未到期"))</f>
        <v/>
      </c>
    </row>
    <row r="138">
      <c r="A138" s="12" t="n"/>
      <c r="B138" s="12" t="n"/>
      <c r="C138" s="2" t="n"/>
      <c r="D138" s="2" t="n"/>
      <c r="E138" s="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2">
        <f>IF(G138="","",IF(TODAY()&gt;=G138,"到期","未到期"))</f>
        <v/>
      </c>
    </row>
    <row r="139">
      <c r="A139" s="12" t="n"/>
      <c r="B139" s="12" t="n"/>
      <c r="C139" s="2" t="n"/>
      <c r="D139" s="2" t="n"/>
      <c r="E139" s="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2">
        <f>IF(G139="","",IF(TODAY()&gt;=G139,"到期","未到期"))</f>
        <v/>
      </c>
    </row>
    <row r="140">
      <c r="A140" s="12" t="n"/>
      <c r="B140" s="12" t="n"/>
      <c r="C140" s="2" t="n"/>
      <c r="D140" s="2" t="n"/>
      <c r="E140" s="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2">
        <f>IF(G140="","",IF(TODAY()&gt;=G140,"到期","未到期"))</f>
        <v/>
      </c>
    </row>
    <row r="141">
      <c r="A141" s="12" t="n"/>
      <c r="B141" s="12" t="n"/>
      <c r="C141" s="2" t="n"/>
      <c r="D141" s="2" t="n"/>
      <c r="E141" s="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2">
        <f>IF(G141="","",IF(TODAY()&gt;=G141,"到期","未到期"))</f>
        <v/>
      </c>
    </row>
    <row r="142">
      <c r="A142" s="12" t="n"/>
      <c r="B142" s="12" t="n"/>
      <c r="C142" s="2" t="n"/>
      <c r="D142" s="2" t="n"/>
      <c r="E142" s="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2">
        <f>IF(G142="","",IF(TODAY()&gt;=G142,"到期","未到期"))</f>
        <v/>
      </c>
    </row>
    <row r="143">
      <c r="A143" s="12" t="n"/>
      <c r="B143" s="12" t="n"/>
      <c r="C143" s="2" t="n"/>
      <c r="D143" s="2" t="n"/>
      <c r="E143" s="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2">
        <f>IF(G143="","",IF(TODAY()&gt;=G143,"到期","未到期"))</f>
        <v/>
      </c>
    </row>
    <row r="144">
      <c r="A144" s="12" t="n"/>
      <c r="B144" s="12" t="n"/>
      <c r="C144" s="2" t="n"/>
      <c r="D144" s="2" t="n"/>
      <c r="E144" s="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2">
        <f>IF(G144="","",IF(TODAY()&gt;=G144,"到期","未到期"))</f>
        <v/>
      </c>
    </row>
    <row r="145">
      <c r="A145" s="12" t="n"/>
      <c r="B145" s="12" t="n"/>
      <c r="C145" s="2" t="n"/>
      <c r="D145" s="2" t="n"/>
      <c r="E145" s="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2">
        <f>IF(G145="","",IF(TODAY()&gt;=G145,"到期","未到期"))</f>
        <v/>
      </c>
    </row>
    <row r="146">
      <c r="A146" s="12" t="n"/>
      <c r="B146" s="12" t="n"/>
      <c r="C146" s="2" t="n"/>
      <c r="D146" s="2" t="n"/>
      <c r="E146" s="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2">
        <f>IF(G146="","",IF(TODAY()&gt;=G146,"到期","未到期"))</f>
        <v/>
      </c>
    </row>
    <row r="147">
      <c r="A147" s="12" t="n"/>
      <c r="B147" s="12" t="n"/>
      <c r="C147" s="2" t="n"/>
      <c r="D147" s="2" t="n"/>
      <c r="E147" s="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2">
        <f>IF(G147="","",IF(TODAY()&gt;=G147,"到期","未到期"))</f>
        <v/>
      </c>
    </row>
    <row r="148">
      <c r="A148" s="12" t="n"/>
      <c r="B148" s="12" t="n"/>
      <c r="C148" s="2" t="n"/>
      <c r="D148" s="2" t="n"/>
      <c r="E148" s="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2">
        <f>IF(G148="","",IF(TODAY()&gt;=G148,"到期","未到期"))</f>
        <v/>
      </c>
    </row>
    <row r="149">
      <c r="A149" s="12" t="n"/>
      <c r="B149" s="12" t="n"/>
      <c r="C149" s="2" t="n"/>
      <c r="D149" s="2" t="n"/>
      <c r="E149" s="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2">
        <f>IF(G149="","",IF(TODAY()&gt;=G149,"到期","未到期"))</f>
        <v/>
      </c>
    </row>
    <row r="150">
      <c r="A150" s="12" t="n"/>
      <c r="B150" s="12" t="n"/>
      <c r="C150" s="2" t="n"/>
      <c r="D150" s="2" t="n"/>
      <c r="E150" s="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2">
        <f>IF(G150="","",IF(TODAY()&gt;=G150,"到期","未到期"))</f>
        <v/>
      </c>
    </row>
    <row r="151">
      <c r="A151" s="12" t="n"/>
      <c r="B151" s="12" t="n"/>
      <c r="C151" s="2" t="n"/>
      <c r="D151" s="2" t="n"/>
      <c r="E151" s="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2">
        <f>IF(G151="","",IF(TODAY()&gt;=G151,"到期","未到期"))</f>
        <v/>
      </c>
    </row>
    <row r="152">
      <c r="A152" s="12" t="n"/>
      <c r="B152" s="12" t="n"/>
      <c r="C152" s="2" t="n"/>
      <c r="D152" s="2" t="n"/>
      <c r="E152" s="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2">
        <f>IF(G152="","",IF(TODAY()&gt;=G152,"到期","未到期"))</f>
        <v/>
      </c>
    </row>
    <row r="153">
      <c r="A153" s="12" t="n"/>
      <c r="B153" s="12" t="n"/>
      <c r="C153" s="2" t="n"/>
      <c r="D153" s="2" t="n"/>
      <c r="E153" s="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2">
        <f>IF(G153="","",IF(TODAY()&gt;=G153,"到期","未到期"))</f>
        <v/>
      </c>
    </row>
    <row r="154">
      <c r="A154" s="12" t="n"/>
      <c r="B154" s="12" t="n"/>
      <c r="C154" s="2" t="n"/>
      <c r="D154" s="2" t="n"/>
      <c r="E154" s="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2">
        <f>IF(G154="","",IF(TODAY()&gt;=G154,"到期","未到期"))</f>
        <v/>
      </c>
    </row>
    <row r="155">
      <c r="A155" s="12" t="n"/>
      <c r="B155" s="12" t="n"/>
      <c r="C155" s="2" t="n"/>
      <c r="D155" s="2" t="n"/>
      <c r="E155" s="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2">
        <f>IF(G155="","",IF(TODAY()&gt;=G155,"到期","未到期"))</f>
        <v/>
      </c>
    </row>
    <row r="156">
      <c r="A156" s="12" t="n"/>
      <c r="B156" s="12" t="n"/>
      <c r="C156" s="2" t="n"/>
      <c r="D156" s="2" t="n"/>
      <c r="E156" s="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2">
        <f>IF(G156="","",IF(TODAY()&gt;=G156,"到期","未到期"))</f>
        <v/>
      </c>
    </row>
    <row r="157">
      <c r="A157" s="12" t="n"/>
      <c r="B157" s="12" t="n"/>
      <c r="C157" s="2" t="n"/>
      <c r="D157" s="2" t="n"/>
      <c r="E157" s="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2">
        <f>IF(G157="","",IF(TODAY()&gt;=G157,"到期","未到期"))</f>
        <v/>
      </c>
    </row>
    <row r="158">
      <c r="A158" s="12" t="n"/>
      <c r="B158" s="12" t="n"/>
      <c r="C158" s="2" t="n"/>
      <c r="D158" s="2" t="n"/>
      <c r="E158" s="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2">
        <f>IF(G158="","",IF(TODAY()&gt;=G158,"到期","未到期"))</f>
        <v/>
      </c>
    </row>
    <row r="159">
      <c r="A159" s="12" t="n"/>
      <c r="B159" s="12" t="n"/>
      <c r="C159" s="2" t="n"/>
      <c r="D159" s="2" t="n"/>
      <c r="E159" s="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2">
        <f>IF(G159="","",IF(TODAY()&gt;=G159,"到期","未到期"))</f>
        <v/>
      </c>
    </row>
    <row r="160">
      <c r="A160" s="12" t="n"/>
      <c r="B160" s="12" t="n"/>
      <c r="C160" s="2" t="n"/>
      <c r="D160" s="2" t="n"/>
      <c r="E160" s="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2">
        <f>IF(G160="","",IF(TODAY()&gt;=G160,"到期","未到期"))</f>
        <v/>
      </c>
    </row>
    <row r="161">
      <c r="A161" s="12" t="n"/>
      <c r="B161" s="12" t="n"/>
      <c r="C161" s="2" t="n"/>
      <c r="D161" s="2" t="n"/>
      <c r="E161" s="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2">
        <f>IF(G161="","",IF(TODAY()&gt;=G161,"到期","未到期"))</f>
        <v/>
      </c>
    </row>
    <row r="162">
      <c r="A162" s="12" t="n"/>
      <c r="B162" s="12" t="n"/>
      <c r="C162" s="2" t="n"/>
      <c r="D162" s="2" t="n"/>
      <c r="E162" s="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2">
        <f>IF(G162="","",IF(TODAY()&gt;=G162,"到期","未到期"))</f>
        <v/>
      </c>
    </row>
    <row r="163">
      <c r="A163" s="12" t="n"/>
      <c r="B163" s="12" t="n"/>
      <c r="C163" s="2" t="n"/>
      <c r="D163" s="2" t="n"/>
      <c r="E163" s="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2">
        <f>IF(G163="","",IF(TODAY()&gt;=G163,"到期","未到期"))</f>
        <v/>
      </c>
    </row>
    <row r="164">
      <c r="A164" s="12" t="n"/>
      <c r="B164" s="12" t="n"/>
      <c r="C164" s="2" t="n"/>
      <c r="D164" s="2" t="n"/>
      <c r="E164" s="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2">
        <f>IF(G164="","",IF(TODAY()&gt;=G164,"到期","未到期"))</f>
        <v/>
      </c>
    </row>
    <row r="165">
      <c r="A165" s="12" t="n"/>
      <c r="B165" s="12" t="n"/>
      <c r="C165" s="2" t="n"/>
      <c r="D165" s="2" t="n"/>
      <c r="E165" s="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2">
        <f>IF(G165="","",IF(TODAY()&gt;=G165,"到期","未到期"))</f>
        <v/>
      </c>
    </row>
    <row r="166">
      <c r="A166" s="12" t="n"/>
      <c r="B166" s="12" t="n"/>
      <c r="C166" s="2" t="n"/>
      <c r="D166" s="2" t="n"/>
      <c r="E166" s="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2">
        <f>IF(G166="","",IF(TODAY()&gt;=G166,"到期","未到期"))</f>
        <v/>
      </c>
    </row>
    <row r="167">
      <c r="A167" s="12" t="n"/>
      <c r="B167" s="12" t="n"/>
      <c r="C167" s="2" t="n"/>
      <c r="D167" s="2" t="n"/>
      <c r="E167" s="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2">
        <f>IF(G167="","",IF(TODAY()&gt;=G167,"到期","未到期"))</f>
        <v/>
      </c>
    </row>
    <row r="168">
      <c r="A168" s="12" t="n"/>
      <c r="B168" s="12" t="n"/>
      <c r="C168" s="2" t="n"/>
      <c r="D168" s="2" t="n"/>
      <c r="E168" s="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2">
        <f>IF(G168="","",IF(TODAY()&gt;=G168,"到期","未到期"))</f>
        <v/>
      </c>
    </row>
    <row r="169">
      <c r="A169" s="12" t="n"/>
      <c r="B169" s="12" t="n"/>
      <c r="C169" s="2" t="n"/>
      <c r="D169" s="2" t="n"/>
      <c r="E169" s="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2">
        <f>IF(G169="","",IF(TODAY()&gt;=G169,"到期","未到期"))</f>
        <v/>
      </c>
    </row>
    <row r="170">
      <c r="A170" s="12" t="n"/>
      <c r="B170" s="12" t="n"/>
      <c r="C170" s="2" t="n"/>
      <c r="D170" s="2" t="n"/>
      <c r="E170" s="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2">
        <f>IF(G170="","",IF(TODAY()&gt;=G170,"到期","未到期"))</f>
        <v/>
      </c>
    </row>
    <row r="171">
      <c r="A171" s="12" t="n"/>
      <c r="B171" s="12" t="n"/>
      <c r="C171" s="2" t="n"/>
      <c r="D171" s="2" t="n"/>
      <c r="E171" s="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2">
        <f>IF(G171="","",IF(TODAY()&gt;=G171,"到期","未到期"))</f>
        <v/>
      </c>
    </row>
    <row r="172">
      <c r="A172" s="12" t="n"/>
      <c r="B172" s="12" t="n"/>
      <c r="C172" s="2" t="n"/>
      <c r="D172" s="2" t="n"/>
      <c r="E172" s="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2">
        <f>IF(G172="","",IF(TODAY()&gt;=G172,"到期","未到期"))</f>
        <v/>
      </c>
    </row>
    <row r="173">
      <c r="A173" s="12" t="n"/>
      <c r="B173" s="12" t="n"/>
      <c r="C173" s="2" t="n"/>
      <c r="D173" s="2" t="n"/>
      <c r="E173" s="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2">
        <f>IF(G173="","",IF(TODAY()&gt;=G173,"到期","未到期"))</f>
        <v/>
      </c>
    </row>
    <row r="174">
      <c r="A174" s="12" t="n"/>
      <c r="B174" s="12" t="n"/>
      <c r="C174" s="2" t="n"/>
      <c r="D174" s="2" t="n"/>
      <c r="E174" s="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2">
        <f>IF(G174="","",IF(TODAY()&gt;=G174,"到期","未到期"))</f>
        <v/>
      </c>
    </row>
    <row r="175">
      <c r="A175" s="12" t="n"/>
      <c r="B175" s="12" t="n"/>
      <c r="C175" s="2" t="n"/>
      <c r="D175" s="2" t="n"/>
      <c r="E175" s="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2">
        <f>IF(G175="","",IF(TODAY()&gt;=G175,"到期","未到期"))</f>
        <v/>
      </c>
    </row>
    <row r="176">
      <c r="A176" s="12" t="n"/>
      <c r="B176" s="12" t="n"/>
      <c r="C176" s="2" t="n"/>
      <c r="D176" s="2" t="n"/>
      <c r="E176" s="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2">
        <f>IF(G176="","",IF(TODAY()&gt;=G176,"到期","未到期"))</f>
        <v/>
      </c>
    </row>
    <row r="177">
      <c r="A177" s="12" t="n"/>
      <c r="B177" s="12" t="n"/>
      <c r="C177" s="2" t="n"/>
      <c r="D177" s="2" t="n"/>
      <c r="E177" s="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2">
        <f>IF(G177="","",IF(TODAY()&gt;=G177,"到期","未到期"))</f>
        <v/>
      </c>
    </row>
    <row r="178">
      <c r="A178" s="12" t="n"/>
      <c r="B178" s="12" t="n"/>
      <c r="C178" s="2" t="n"/>
      <c r="D178" s="2" t="n"/>
      <c r="E178" s="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2">
        <f>IF(G178="","",IF(TODAY()&gt;=G178,"到期","未到期"))</f>
        <v/>
      </c>
    </row>
    <row r="179">
      <c r="A179" s="12" t="n"/>
      <c r="B179" s="12" t="n"/>
      <c r="C179" s="2" t="n"/>
      <c r="D179" s="2" t="n"/>
      <c r="E179" s="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2">
        <f>IF(G179="","",IF(TODAY()&gt;=G179,"到期","未到期"))</f>
        <v/>
      </c>
    </row>
    <row r="180">
      <c r="A180" s="12" t="n"/>
      <c r="B180" s="12" t="n"/>
      <c r="C180" s="2" t="n"/>
      <c r="D180" s="2" t="n"/>
      <c r="E180" s="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2">
        <f>IF(G180="","",IF(TODAY()&gt;=G180,"到期","未到期"))</f>
        <v/>
      </c>
    </row>
    <row r="181">
      <c r="A181" s="12" t="n"/>
      <c r="B181" s="12" t="n"/>
      <c r="C181" s="2" t="n"/>
      <c r="D181" s="2" t="n"/>
      <c r="E181" s="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2">
        <f>IF(G181="","",IF(TODAY()&gt;=G181,"到期","未到期"))</f>
        <v/>
      </c>
    </row>
    <row r="182">
      <c r="A182" s="12" t="n"/>
      <c r="B182" s="12" t="n"/>
      <c r="C182" s="2" t="n"/>
      <c r="D182" s="2" t="n"/>
      <c r="E182" s="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2">
        <f>IF(G182="","",IF(TODAY()&gt;=G182,"到期","未到期"))</f>
        <v/>
      </c>
    </row>
    <row r="183">
      <c r="A183" s="12" t="n"/>
      <c r="B183" s="12" t="n"/>
      <c r="C183" s="2" t="n"/>
      <c r="D183" s="2" t="n"/>
      <c r="E183" s="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2">
        <f>IF(G183="","",IF(TODAY()&gt;=G183,"到期","未到期"))</f>
        <v/>
      </c>
    </row>
    <row r="184">
      <c r="A184" s="12" t="n"/>
      <c r="B184" s="12" t="n"/>
      <c r="C184" s="2" t="n"/>
      <c r="D184" s="2" t="n"/>
      <c r="E184" s="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2">
        <f>IF(G184="","",IF(TODAY()&gt;=G184,"到期","未到期"))</f>
        <v/>
      </c>
    </row>
    <row r="185">
      <c r="A185" s="12" t="n"/>
      <c r="B185" s="12" t="n"/>
      <c r="C185" s="2" t="n"/>
      <c r="D185" s="2" t="n"/>
      <c r="E185" s="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2">
        <f>IF(G185="","",IF(TODAY()&gt;=G185,"到期","未到期"))</f>
        <v/>
      </c>
    </row>
    <row r="186">
      <c r="A186" s="12" t="n"/>
      <c r="B186" s="12" t="n"/>
      <c r="C186" s="2" t="n"/>
      <c r="D186" s="2" t="n"/>
      <c r="E186" s="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2">
        <f>IF(G186="","",IF(TODAY()&gt;=G186,"到期","未到期"))</f>
        <v/>
      </c>
    </row>
    <row r="187">
      <c r="A187" s="12" t="n"/>
      <c r="B187" s="12" t="n"/>
      <c r="C187" s="2" t="n"/>
      <c r="D187" s="2" t="n"/>
      <c r="E187" s="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2">
        <f>IF(G187="","",IF(TODAY()&gt;=G187,"到期","未到期"))</f>
        <v/>
      </c>
    </row>
    <row r="188">
      <c r="A188" s="12" t="n"/>
      <c r="B188" s="12" t="n"/>
      <c r="C188" s="2" t="n"/>
      <c r="D188" s="2" t="n"/>
      <c r="E188" s="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2">
        <f>IF(G188="","",IF(TODAY()&gt;=G188,"到期","未到期"))</f>
        <v/>
      </c>
    </row>
    <row r="189">
      <c r="A189" s="12" t="n"/>
      <c r="B189" s="12" t="n"/>
      <c r="C189" s="2" t="n"/>
      <c r="D189" s="2" t="n"/>
      <c r="E189" s="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2">
        <f>IF(G189="","",IF(TODAY()&gt;=G189,"到期","未到期"))</f>
        <v/>
      </c>
    </row>
    <row r="190">
      <c r="A190" s="12" t="n"/>
      <c r="B190" s="12" t="n"/>
      <c r="C190" s="2" t="n"/>
      <c r="D190" s="2" t="n"/>
      <c r="E190" s="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2">
        <f>IF(G190="","",IF(TODAY()&gt;=G190,"到期","未到期"))</f>
        <v/>
      </c>
    </row>
    <row r="191">
      <c r="A191" s="12" t="n"/>
      <c r="B191" s="12" t="n"/>
      <c r="C191" s="2" t="n"/>
      <c r="D191" s="2" t="n"/>
      <c r="E191" s="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2">
        <f>IF(G191="","",IF(TODAY()&gt;=G191,"到期","未到期"))</f>
        <v/>
      </c>
    </row>
    <row r="192">
      <c r="A192" s="12" t="n"/>
      <c r="B192" s="12" t="n"/>
      <c r="C192" s="2" t="n"/>
      <c r="D192" s="2" t="n"/>
      <c r="E192" s="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2">
        <f>IF(G192="","",IF(TODAY()&gt;=G192,"到期","未到期"))</f>
        <v/>
      </c>
    </row>
    <row r="193">
      <c r="A193" s="12" t="n"/>
      <c r="B193" s="12" t="n"/>
      <c r="C193" s="2" t="n"/>
      <c r="D193" s="2" t="n"/>
      <c r="E193" s="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2">
        <f>IF(G193="","",IF(TODAY()&gt;=G193,"到期","未到期"))</f>
        <v/>
      </c>
    </row>
    <row r="194">
      <c r="A194" s="12" t="n"/>
      <c r="B194" s="12" t="n"/>
      <c r="C194" s="2" t="n"/>
      <c r="D194" s="2" t="n"/>
      <c r="E194" s="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2">
        <f>IF(G194="","",IF(TODAY()&gt;=G194,"到期","未到期"))</f>
        <v/>
      </c>
    </row>
    <row r="195">
      <c r="A195" s="12" t="n"/>
      <c r="B195" s="12" t="n"/>
      <c r="C195" s="2" t="n"/>
      <c r="D195" s="2" t="n"/>
      <c r="E195" s="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2">
        <f>IF(G195="","",IF(TODAY()&gt;=G195,"到期","未到期"))</f>
        <v/>
      </c>
    </row>
    <row r="196">
      <c r="A196" s="12" t="n"/>
      <c r="B196" s="12" t="n"/>
      <c r="C196" s="2" t="n"/>
      <c r="D196" s="2" t="n"/>
      <c r="E196" s="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2">
        <f>IF(G196="","",IF(TODAY()&gt;=G196,"到期","未到期"))</f>
        <v/>
      </c>
    </row>
    <row r="197">
      <c r="A197" s="12" t="n"/>
      <c r="B197" s="12" t="n"/>
      <c r="C197" s="2" t="n"/>
      <c r="D197" s="2" t="n"/>
      <c r="E197" s="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2">
        <f>IF(G197="","",IF(TODAY()&gt;=G197,"到期","未到期"))</f>
        <v/>
      </c>
    </row>
    <row r="198">
      <c r="A198" s="12" t="n"/>
      <c r="B198" s="12" t="n"/>
      <c r="C198" s="2" t="n"/>
      <c r="D198" s="2" t="n"/>
      <c r="E198" s="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2">
        <f>IF(G198="","",IF(TODAY()&gt;=G198,"到期","未到期"))</f>
        <v/>
      </c>
    </row>
    <row r="199">
      <c r="A199" s="12" t="n"/>
      <c r="B199" s="12" t="n"/>
      <c r="C199" s="2" t="n"/>
      <c r="D199" s="2" t="n"/>
      <c r="E199" s="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2">
        <f>IF(G199="","",IF(TODAY()&gt;=G199,"到期","未到期"))</f>
        <v/>
      </c>
    </row>
    <row r="200">
      <c r="A200" s="12" t="n"/>
      <c r="B200" s="12" t="n"/>
      <c r="C200" s="2" t="n"/>
      <c r="D200" s="2" t="n"/>
      <c r="E200" s="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2">
        <f>IF(G200="","",IF(TODAY()&gt;=G200,"到期","未到期"))</f>
        <v/>
      </c>
    </row>
    <row r="201">
      <c r="A201" s="12" t="n"/>
      <c r="B201" s="12" t="n"/>
      <c r="C201" s="2" t="n"/>
      <c r="D201" s="2" t="n"/>
      <c r="E201" s="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2">
        <f>IF(G201="","",IF(TODAY()&gt;=G201,"到期","未到期"))</f>
        <v/>
      </c>
    </row>
    <row r="202">
      <c r="A202" s="12" t="n"/>
      <c r="B202" s="12" t="n"/>
      <c r="C202" s="2" t="n"/>
      <c r="D202" s="2" t="n"/>
      <c r="E202" s="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2">
        <f>IF(G202="","",IF(TODAY()&gt;=G202,"到期","未到期"))</f>
        <v/>
      </c>
    </row>
    <row r="203">
      <c r="A203" s="12" t="n"/>
      <c r="B203" s="12" t="n"/>
      <c r="C203" s="2" t="n"/>
      <c r="D203" s="2" t="n"/>
      <c r="E203" s="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2">
        <f>IF(G203="","",IF(TODAY()&gt;=G203,"到期","未到期"))</f>
        <v/>
      </c>
    </row>
    <row r="204">
      <c r="A204" s="12" t="n"/>
      <c r="B204" s="12" t="n"/>
      <c r="C204" s="2" t="n"/>
      <c r="D204" s="2" t="n"/>
      <c r="E204" s="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2">
        <f>IF(G204="","",IF(TODAY()&gt;=G204,"到期","未到期"))</f>
        <v/>
      </c>
    </row>
    <row r="205">
      <c r="A205" s="12" t="n"/>
      <c r="B205" s="12" t="n"/>
      <c r="C205" s="2" t="n"/>
      <c r="D205" s="2" t="n"/>
      <c r="E205" s="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2">
        <f>IF(G205="","",IF(TODAY()&gt;=G205,"到期","未到期"))</f>
        <v/>
      </c>
    </row>
    <row r="206">
      <c r="A206" s="12" t="n"/>
      <c r="B206" s="12" t="n"/>
      <c r="C206" s="2" t="n"/>
      <c r="D206" s="2" t="n"/>
      <c r="E206" s="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2">
        <f>IF(G206="","",IF(TODAY()&gt;=G206,"到期","未到期"))</f>
        <v/>
      </c>
    </row>
    <row r="207">
      <c r="A207" s="12" t="n"/>
      <c r="B207" s="12" t="n"/>
      <c r="C207" s="2" t="n"/>
      <c r="D207" s="2" t="n"/>
      <c r="E207" s="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2">
        <f>IF(G207="","",IF(TODAY()&gt;=G207,"到期","未到期"))</f>
        <v/>
      </c>
    </row>
    <row r="208">
      <c r="A208" s="12" t="n"/>
      <c r="B208" s="12" t="n"/>
      <c r="C208" s="2" t="n"/>
      <c r="D208" s="2" t="n"/>
      <c r="E208" s="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2">
        <f>IF(G208="","",IF(TODAY()&gt;=G208,"到期","未到期"))</f>
        <v/>
      </c>
    </row>
    <row r="209">
      <c r="A209" s="12" t="n"/>
      <c r="B209" s="12" t="n"/>
      <c r="C209" s="2" t="n"/>
      <c r="D209" s="2" t="n"/>
      <c r="E209" s="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2">
        <f>IF(G209="","",IF(TODAY()&gt;=G209,"到期","未到期"))</f>
        <v/>
      </c>
    </row>
    <row r="210">
      <c r="A210" s="12" t="n"/>
      <c r="B210" s="12" t="n"/>
      <c r="C210" s="2" t="n"/>
      <c r="D210" s="2" t="n"/>
      <c r="E210" s="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2">
        <f>IF(G210="","",IF(TODAY()&gt;=G210,"到期","未到期"))</f>
        <v/>
      </c>
    </row>
    <row r="211">
      <c r="A211" s="12" t="n"/>
      <c r="B211" s="12" t="n"/>
      <c r="C211" s="2" t="n"/>
      <c r="D211" s="2" t="n"/>
      <c r="E211" s="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2">
        <f>IF(G211="","",IF(TODAY()&gt;=G211,"到期","未到期"))</f>
        <v/>
      </c>
    </row>
    <row r="212">
      <c r="A212" s="12" t="n"/>
      <c r="B212" s="12" t="n"/>
      <c r="C212" s="2" t="n"/>
      <c r="D212" s="2" t="n"/>
      <c r="E212" s="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2">
        <f>IF(G212="","",IF(TODAY()&gt;=G212,"到期","未到期"))</f>
        <v/>
      </c>
    </row>
    <row r="213">
      <c r="A213" s="12" t="n"/>
      <c r="B213" s="12" t="n"/>
      <c r="C213" s="2" t="n"/>
      <c r="D213" s="2" t="n"/>
      <c r="E213" s="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2">
        <f>IF(G213="","",IF(TODAY()&gt;=G213,"到期","未到期"))</f>
        <v/>
      </c>
    </row>
    <row r="214">
      <c r="A214" s="12" t="n"/>
      <c r="B214" s="12" t="n"/>
      <c r="C214" s="2" t="n"/>
      <c r="D214" s="2" t="n"/>
      <c r="E214" s="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2">
        <f>IF(G214="","",IF(TODAY()&gt;=G214,"到期","未到期"))</f>
        <v/>
      </c>
    </row>
    <row r="215">
      <c r="A215" s="12" t="n"/>
      <c r="B215" s="12" t="n"/>
      <c r="C215" s="2" t="n"/>
      <c r="D215" s="2" t="n"/>
      <c r="E215" s="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2">
        <f>IF(G215="","",IF(TODAY()&gt;=G215,"到期","未到期"))</f>
        <v/>
      </c>
    </row>
    <row r="216">
      <c r="A216" s="12" t="n"/>
      <c r="B216" s="12" t="n"/>
      <c r="C216" s="2" t="n"/>
      <c r="D216" s="2" t="n"/>
      <c r="E216" s="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2">
        <f>IF(G216="","",IF(TODAY()&gt;=G216,"到期","未到期"))</f>
        <v/>
      </c>
    </row>
    <row r="217">
      <c r="A217" s="12" t="n"/>
      <c r="B217" s="12" t="n"/>
      <c r="C217" s="2" t="n"/>
      <c r="D217" s="2" t="n"/>
      <c r="E217" s="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2">
        <f>IF(G217="","",IF(TODAY()&gt;=G217,"到期","未到期"))</f>
        <v/>
      </c>
    </row>
    <row r="218">
      <c r="A218" s="12" t="n"/>
      <c r="B218" s="12" t="n"/>
      <c r="C218" s="2" t="n"/>
      <c r="D218" s="2" t="n"/>
      <c r="E218" s="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2">
        <f>IF(G218="","",IF(TODAY()&gt;=G218,"到期","未到期"))</f>
        <v/>
      </c>
    </row>
    <row r="219">
      <c r="A219" s="12" t="n"/>
      <c r="B219" s="12" t="n"/>
      <c r="C219" s="2" t="n"/>
      <c r="D219" s="2" t="n"/>
      <c r="E219" s="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2">
        <f>IF(G219="","",IF(TODAY()&gt;=G219,"到期","未到期"))</f>
        <v/>
      </c>
    </row>
    <row r="220">
      <c r="A220" s="12" t="n"/>
      <c r="B220" s="12" t="n"/>
      <c r="C220" s="2" t="n"/>
      <c r="D220" s="2" t="n"/>
      <c r="E220" s="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2">
        <f>IF(G220="","",IF(TODAY()&gt;=G220,"到期","未到期"))</f>
        <v/>
      </c>
    </row>
    <row r="221">
      <c r="A221" s="12" t="n"/>
      <c r="B221" s="12" t="n"/>
      <c r="C221" s="2" t="n"/>
      <c r="D221" s="2" t="n"/>
      <c r="E221" s="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2">
        <f>IF(G221="","",IF(TODAY()&gt;=G221,"到期","未到期"))</f>
        <v/>
      </c>
    </row>
    <row r="222">
      <c r="A222" s="12" t="n"/>
      <c r="B222" s="12" t="n"/>
      <c r="C222" s="2" t="n"/>
      <c r="D222" s="2" t="n"/>
      <c r="E222" s="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2">
        <f>IF(G222="","",IF(TODAY()&gt;=G222,"到期","未到期"))</f>
        <v/>
      </c>
    </row>
    <row r="223">
      <c r="A223" s="12" t="n"/>
      <c r="B223" s="12" t="n"/>
      <c r="C223" s="2" t="n"/>
      <c r="D223" s="2" t="n"/>
      <c r="E223" s="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2">
        <f>IF(G223="","",IF(TODAY()&gt;=G223,"到期","未到期"))</f>
        <v/>
      </c>
    </row>
    <row r="224">
      <c r="A224" s="12" t="n"/>
      <c r="B224" s="12" t="n"/>
      <c r="C224" s="2" t="n"/>
      <c r="D224" s="2" t="n"/>
      <c r="E224" s="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2">
        <f>IF(G224="","",IF(TODAY()&gt;=G224,"到期","未到期"))</f>
        <v/>
      </c>
    </row>
    <row r="225">
      <c r="A225" s="12" t="n"/>
      <c r="B225" s="12" t="n"/>
      <c r="C225" s="2" t="n"/>
      <c r="D225" s="2" t="n"/>
      <c r="E225" s="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2">
        <f>IF(G225="","",IF(TODAY()&gt;=G225,"到期","未到期"))</f>
        <v/>
      </c>
    </row>
    <row r="226">
      <c r="A226" s="12" t="n"/>
      <c r="B226" s="12" t="n"/>
      <c r="C226" s="2" t="n"/>
      <c r="D226" s="2" t="n"/>
      <c r="E226" s="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2">
        <f>IF(G226="","",IF(TODAY()&gt;=G226,"到期","未到期"))</f>
        <v/>
      </c>
    </row>
    <row r="227">
      <c r="A227" s="12" t="n"/>
      <c r="B227" s="12" t="n"/>
      <c r="C227" s="2" t="n"/>
      <c r="D227" s="2" t="n"/>
      <c r="E227" s="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2">
        <f>IF(G227="","",IF(TODAY()&gt;=G227,"到期","未到期"))</f>
        <v/>
      </c>
    </row>
    <row r="228">
      <c r="A228" s="12" t="n"/>
      <c r="B228" s="12" t="n"/>
      <c r="C228" s="2" t="n"/>
      <c r="D228" s="2" t="n"/>
      <c r="E228" s="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2">
        <f>IF(G228="","",IF(TODAY()&gt;=G228,"到期","未到期"))</f>
        <v/>
      </c>
    </row>
    <row r="229">
      <c r="A229" s="12" t="n"/>
      <c r="B229" s="12" t="n"/>
      <c r="C229" s="2" t="n"/>
      <c r="D229" s="2" t="n"/>
      <c r="E229" s="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2">
        <f>IF(G229="","",IF(TODAY()&gt;=G229,"到期","未到期"))</f>
        <v/>
      </c>
    </row>
    <row r="230">
      <c r="A230" s="12" t="n"/>
      <c r="B230" s="12" t="n"/>
      <c r="C230" s="2" t="n"/>
      <c r="D230" s="2" t="n"/>
      <c r="E230" s="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2">
        <f>IF(G230="","",IF(TODAY()&gt;=G230,"到期","未到期"))</f>
        <v/>
      </c>
    </row>
    <row r="231">
      <c r="A231" s="12" t="n"/>
      <c r="B231" s="12" t="n"/>
      <c r="C231" s="2" t="n"/>
      <c r="D231" s="2" t="n"/>
      <c r="E231" s="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2">
        <f>IF(G231="","",IF(TODAY()&gt;=G231,"到期","未到期"))</f>
        <v/>
      </c>
    </row>
    <row r="232">
      <c r="A232" s="12" t="n"/>
      <c r="B232" s="12" t="n"/>
      <c r="C232" s="2" t="n"/>
      <c r="D232" s="2" t="n"/>
      <c r="E232" s="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2">
        <f>IF(G232="","",IF(TODAY()&gt;=G232,"到期","未到期"))</f>
        <v/>
      </c>
    </row>
    <row r="233">
      <c r="A233" s="12" t="n"/>
      <c r="B233" s="12" t="n"/>
      <c r="C233" s="2" t="n"/>
      <c r="D233" s="2" t="n"/>
      <c r="E233" s="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2">
        <f>IF(G233="","",IF(TODAY()&gt;=G233,"到期","未到期"))</f>
        <v/>
      </c>
    </row>
    <row r="234">
      <c r="A234" s="12" t="n"/>
      <c r="B234" s="12" t="n"/>
      <c r="C234" s="2" t="n"/>
      <c r="D234" s="2" t="n"/>
      <c r="E234" s="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2">
        <f>IF(G234="","",IF(TODAY()&gt;=G234,"到期","未到期"))</f>
        <v/>
      </c>
    </row>
    <row r="235">
      <c r="A235" s="12" t="n"/>
      <c r="B235" s="12" t="n"/>
      <c r="C235" s="2" t="n"/>
      <c r="D235" s="2" t="n"/>
      <c r="E235" s="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2">
        <f>IF(G235="","",IF(TODAY()&gt;=G235,"到期","未到期"))</f>
        <v/>
      </c>
    </row>
    <row r="236">
      <c r="A236" s="12" t="n"/>
      <c r="B236" s="12" t="n"/>
      <c r="C236" s="2" t="n"/>
      <c r="D236" s="2" t="n"/>
      <c r="E236" s="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2">
        <f>IF(G236="","",IF(TODAY()&gt;=G236,"到期","未到期"))</f>
        <v/>
      </c>
    </row>
    <row r="237">
      <c r="A237" s="12" t="n"/>
      <c r="B237" s="12" t="n"/>
      <c r="C237" s="2" t="n"/>
      <c r="D237" s="2" t="n"/>
      <c r="E237" s="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2">
        <f>IF(G237="","",IF(TODAY()&gt;=G237,"到期","未到期"))</f>
        <v/>
      </c>
    </row>
    <row r="238">
      <c r="A238" s="12" t="n"/>
      <c r="B238" s="12" t="n"/>
      <c r="C238" s="2" t="n"/>
      <c r="D238" s="2" t="n"/>
      <c r="E238" s="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2">
        <f>IF(G238="","",IF(TODAY()&gt;=G238,"到期","未到期"))</f>
        <v/>
      </c>
    </row>
    <row r="239">
      <c r="A239" s="12" t="n"/>
      <c r="B239" s="12" t="n"/>
      <c r="C239" s="2" t="n"/>
      <c r="D239" s="2" t="n"/>
      <c r="E239" s="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2">
        <f>IF(G239="","",IF(TODAY()&gt;=G239,"到期","未到期"))</f>
        <v/>
      </c>
    </row>
    <row r="240">
      <c r="A240" s="12" t="n"/>
      <c r="B240" s="12" t="n"/>
      <c r="C240" s="2" t="n"/>
      <c r="D240" s="2" t="n"/>
      <c r="E240" s="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2">
        <f>IF(G240="","",IF(TODAY()&gt;=G240,"到期","未到期"))</f>
        <v/>
      </c>
    </row>
    <row r="241">
      <c r="A241" s="12" t="n"/>
      <c r="B241" s="12" t="n"/>
      <c r="C241" s="2" t="n"/>
      <c r="D241" s="2" t="n"/>
      <c r="E241" s="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2">
        <f>IF(G241="","",IF(TODAY()&gt;=G241,"到期","未到期"))</f>
        <v/>
      </c>
    </row>
    <row r="242">
      <c r="A242" s="12" t="n"/>
      <c r="B242" s="12" t="n"/>
      <c r="C242" s="2" t="n"/>
      <c r="D242" s="2" t="n"/>
      <c r="E242" s="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2">
        <f>IF(G242="","",IF(TODAY()&gt;=G242,"到期","未到期"))</f>
        <v/>
      </c>
    </row>
    <row r="243">
      <c r="A243" s="12" t="n"/>
      <c r="B243" s="12" t="n"/>
      <c r="C243" s="2" t="n"/>
      <c r="D243" s="2" t="n"/>
      <c r="E243" s="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2">
        <f>IF(G243="","",IF(TODAY()&gt;=G243,"到期","未到期"))</f>
        <v/>
      </c>
    </row>
    <row r="244">
      <c r="A244" s="12" t="n"/>
      <c r="B244" s="12" t="n"/>
      <c r="C244" s="2" t="n"/>
      <c r="D244" s="2" t="n"/>
      <c r="E244" s="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2">
        <f>IF(G244="","",IF(TODAY()&gt;=G244,"到期","未到期"))</f>
        <v/>
      </c>
    </row>
    <row r="245">
      <c r="A245" s="12" t="n"/>
      <c r="B245" s="12" t="n"/>
      <c r="C245" s="2" t="n"/>
      <c r="D245" s="2" t="n"/>
      <c r="E245" s="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2">
        <f>IF(G245="","",IF(TODAY()&gt;=G245,"到期","未到期"))</f>
        <v/>
      </c>
    </row>
    <row r="246">
      <c r="A246" s="12" t="n"/>
      <c r="B246" s="12" t="n"/>
      <c r="C246" s="2" t="n"/>
      <c r="D246" s="2" t="n"/>
      <c r="E246" s="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2">
        <f>IF(G246="","",IF(TODAY()&gt;=G246,"到期","未到期"))</f>
        <v/>
      </c>
    </row>
    <row r="247">
      <c r="A247" s="12" t="n"/>
      <c r="B247" s="12" t="n"/>
      <c r="C247" s="2" t="n"/>
      <c r="D247" s="2" t="n"/>
      <c r="E247" s="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2">
        <f>IF(G247="","",IF(TODAY()&gt;=G247,"到期","未到期"))</f>
        <v/>
      </c>
    </row>
    <row r="248">
      <c r="A248" s="12" t="n"/>
      <c r="B248" s="12" t="n"/>
      <c r="C248" s="2" t="n"/>
      <c r="D248" s="2" t="n"/>
      <c r="E248" s="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2">
        <f>IF(G248="","",IF(TODAY()&gt;=G248,"到期","未到期"))</f>
        <v/>
      </c>
    </row>
    <row r="249">
      <c r="A249" s="12" t="n"/>
      <c r="B249" s="12" t="n"/>
      <c r="C249" s="2" t="n"/>
      <c r="D249" s="2" t="n"/>
      <c r="E249" s="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2">
        <f>IF(G249="","",IF(TODAY()&gt;=G249,"到期","未到期"))</f>
        <v/>
      </c>
    </row>
    <row r="250">
      <c r="A250" s="12" t="n"/>
      <c r="B250" s="12" t="n"/>
      <c r="C250" s="2" t="n"/>
      <c r="D250" s="2" t="n"/>
      <c r="E250" s="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2">
        <f>IF(G250="","",IF(TODAY()&gt;=G250,"到期","未到期"))</f>
        <v/>
      </c>
    </row>
    <row r="251">
      <c r="A251" s="12" t="n"/>
      <c r="B251" s="12" t="n"/>
      <c r="C251" s="2" t="n"/>
      <c r="D251" s="2" t="n"/>
      <c r="E251" s="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2">
        <f>IF(G251="","",IF(TODAY()&gt;=G251,"到期","未到期"))</f>
        <v/>
      </c>
    </row>
    <row r="252">
      <c r="A252" s="12" t="n"/>
      <c r="B252" s="12" t="n"/>
      <c r="C252" s="2" t="n"/>
      <c r="D252" s="2" t="n"/>
      <c r="E252" s="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2">
        <f>IF(G252="","",IF(TODAY()&gt;=G252,"到期","未到期"))</f>
        <v/>
      </c>
    </row>
    <row r="253">
      <c r="A253" s="12" t="n"/>
      <c r="B253" s="12" t="n"/>
      <c r="C253" s="2" t="n"/>
      <c r="D253" s="2" t="n"/>
      <c r="E253" s="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2">
        <f>IF(G253="","",IF(TODAY()&gt;=G253,"到期","未到期"))</f>
        <v/>
      </c>
    </row>
    <row r="254">
      <c r="A254" s="12" t="n"/>
      <c r="B254" s="12" t="n"/>
      <c r="C254" s="2" t="n"/>
      <c r="D254" s="2" t="n"/>
      <c r="E254" s="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2">
        <f>IF(G254="","",IF(TODAY()&gt;=G254,"到期","未到期"))</f>
        <v/>
      </c>
    </row>
    <row r="255">
      <c r="A255" s="12" t="n"/>
      <c r="B255" s="12" t="n"/>
      <c r="C255" s="2" t="n"/>
      <c r="D255" s="2" t="n"/>
      <c r="E255" s="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2">
        <f>IF(G255="","",IF(TODAY()&gt;=G255,"到期","未到期"))</f>
        <v/>
      </c>
    </row>
    <row r="256">
      <c r="A256" s="12" t="n"/>
      <c r="B256" s="12" t="n"/>
      <c r="C256" s="2" t="n"/>
      <c r="D256" s="2" t="n"/>
      <c r="E256" s="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2">
        <f>IF(G256="","",IF(TODAY()&gt;=G256,"到期","未到期"))</f>
        <v/>
      </c>
    </row>
    <row r="257">
      <c r="A257" s="12" t="n"/>
      <c r="B257" s="12" t="n"/>
      <c r="C257" s="2" t="n"/>
      <c r="D257" s="2" t="n"/>
      <c r="E257" s="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2">
        <f>IF(G257="","",IF(TODAY()&gt;=G257,"到期","未到期"))</f>
        <v/>
      </c>
    </row>
    <row r="258">
      <c r="A258" s="12" t="n"/>
      <c r="B258" s="12" t="n"/>
      <c r="C258" s="2" t="n"/>
      <c r="D258" s="2" t="n"/>
      <c r="E258" s="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2">
        <f>IF(G258="","",IF(TODAY()&gt;=G258,"到期","未到期"))</f>
        <v/>
      </c>
    </row>
    <row r="259">
      <c r="A259" s="12" t="n"/>
      <c r="B259" s="12" t="n"/>
      <c r="C259" s="2" t="n"/>
      <c r="D259" s="2" t="n"/>
      <c r="E259" s="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2">
        <f>IF(G259="","",IF(TODAY()&gt;=G259,"到期","未到期"))</f>
        <v/>
      </c>
    </row>
    <row r="260">
      <c r="A260" s="12" t="n"/>
      <c r="B260" s="12" t="n"/>
      <c r="C260" s="2" t="n"/>
      <c r="D260" s="2" t="n"/>
      <c r="E260" s="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2">
        <f>IF(G260="","",IF(TODAY()&gt;=G260,"到期","未到期"))</f>
        <v/>
      </c>
    </row>
    <row r="261">
      <c r="A261" s="12" t="n"/>
      <c r="B261" s="12" t="n"/>
      <c r="C261" s="2" t="n"/>
      <c r="D261" s="2" t="n"/>
      <c r="E261" s="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2">
        <f>IF(G261="","",IF(TODAY()&gt;=G261,"到期","未到期"))</f>
        <v/>
      </c>
    </row>
    <row r="262">
      <c r="A262" s="12" t="n"/>
      <c r="B262" s="12" t="n"/>
      <c r="C262" s="2" t="n"/>
      <c r="D262" s="2" t="n"/>
      <c r="E262" s="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2">
        <f>IF(G262="","",IF(TODAY()&gt;=G262,"到期","未到期"))</f>
        <v/>
      </c>
    </row>
    <row r="263">
      <c r="A263" s="12" t="n"/>
      <c r="B263" s="12" t="n"/>
      <c r="C263" s="2" t="n"/>
      <c r="D263" s="2" t="n"/>
      <c r="E263" s="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2">
        <f>IF(G263="","",IF(TODAY()&gt;=G263,"到期","未到期"))</f>
        <v/>
      </c>
    </row>
    <row r="264">
      <c r="A264" s="12" t="n"/>
      <c r="B264" s="12" t="n"/>
      <c r="C264" s="2" t="n"/>
      <c r="D264" s="2" t="n"/>
      <c r="E264" s="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2">
        <f>IF(G264="","",IF(TODAY()&gt;=G264,"到期","未到期"))</f>
        <v/>
      </c>
    </row>
    <row r="265">
      <c r="A265" s="12" t="n"/>
      <c r="B265" s="12" t="n"/>
      <c r="C265" s="2" t="n"/>
      <c r="D265" s="2" t="n"/>
      <c r="E265" s="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2">
        <f>IF(G265="","",IF(TODAY()&gt;=G265,"到期","未到期"))</f>
        <v/>
      </c>
    </row>
    <row r="266">
      <c r="A266" s="12" t="n"/>
      <c r="B266" s="12" t="n"/>
      <c r="C266" s="2" t="n"/>
      <c r="D266" s="2" t="n"/>
      <c r="E266" s="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2">
        <f>IF(G266="","",IF(TODAY()&gt;=G266,"到期","未到期"))</f>
        <v/>
      </c>
    </row>
    <row r="267">
      <c r="A267" s="12" t="n"/>
      <c r="B267" s="12" t="n"/>
      <c r="C267" s="2" t="n"/>
      <c r="D267" s="2" t="n"/>
      <c r="E267" s="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2">
        <f>IF(G267="","",IF(TODAY()&gt;=G267,"到期","未到期"))</f>
        <v/>
      </c>
    </row>
    <row r="268">
      <c r="A268" s="12" t="n"/>
      <c r="B268" s="12" t="n"/>
      <c r="C268" s="2" t="n"/>
      <c r="D268" s="2" t="n"/>
      <c r="E268" s="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2">
        <f>IF(G268="","",IF(TODAY()&gt;=G268,"到期","未到期"))</f>
        <v/>
      </c>
    </row>
    <row r="269">
      <c r="A269" s="12" t="n"/>
      <c r="B269" s="12" t="n"/>
      <c r="C269" s="2" t="n"/>
      <c r="D269" s="2" t="n"/>
      <c r="E269" s="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2">
        <f>IF(G269="","",IF(TODAY()&gt;=G269,"到期","未到期"))</f>
        <v/>
      </c>
    </row>
    <row r="270">
      <c r="A270" s="12" t="n"/>
      <c r="B270" s="12" t="n"/>
      <c r="C270" s="2" t="n"/>
      <c r="D270" s="2" t="n"/>
      <c r="E270" s="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2">
        <f>IF(G270="","",IF(TODAY()&gt;=G270,"到期","未到期"))</f>
        <v/>
      </c>
    </row>
    <row r="271">
      <c r="A271" s="12" t="n"/>
      <c r="B271" s="12" t="n"/>
      <c r="C271" s="2" t="n"/>
      <c r="D271" s="2" t="n"/>
      <c r="E271" s="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2">
        <f>IF(G271="","",IF(TODAY()&gt;=G271,"到期","未到期"))</f>
        <v/>
      </c>
    </row>
    <row r="272">
      <c r="A272" s="12" t="n"/>
      <c r="B272" s="12" t="n"/>
      <c r="C272" s="2" t="n"/>
      <c r="D272" s="2" t="n"/>
      <c r="E272" s="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2">
        <f>IF(G272="","",IF(TODAY()&gt;=G272,"到期","未到期"))</f>
        <v/>
      </c>
    </row>
    <row r="273">
      <c r="A273" s="12" t="n"/>
      <c r="B273" s="12" t="n"/>
      <c r="C273" s="2" t="n"/>
      <c r="D273" s="2" t="n"/>
      <c r="E273" s="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2">
        <f>IF(G273="","",IF(TODAY()&gt;=G273,"到期","未到期"))</f>
        <v/>
      </c>
    </row>
    <row r="274">
      <c r="A274" s="12" t="n"/>
      <c r="B274" s="12" t="n"/>
      <c r="C274" s="2" t="n"/>
      <c r="D274" s="2" t="n"/>
      <c r="E274" s="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2">
        <f>IF(G274="","",IF(TODAY()&gt;=G274,"到期","未到期"))</f>
        <v/>
      </c>
    </row>
    <row r="275">
      <c r="A275" s="12" t="n"/>
      <c r="B275" s="12" t="n"/>
      <c r="C275" s="2" t="n"/>
      <c r="D275" s="2" t="n"/>
      <c r="E275" s="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2">
        <f>IF(G275="","",IF(TODAY()&gt;=G275,"到期","未到期"))</f>
        <v/>
      </c>
    </row>
    <row r="276">
      <c r="A276" s="12" t="n"/>
      <c r="B276" s="12" t="n"/>
      <c r="C276" s="2" t="n"/>
      <c r="D276" s="2" t="n"/>
      <c r="E276" s="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2">
        <f>IF(G276="","",IF(TODAY()&gt;=G276,"到期","未到期"))</f>
        <v/>
      </c>
    </row>
    <row r="277">
      <c r="A277" s="12" t="n"/>
      <c r="B277" s="12" t="n"/>
      <c r="C277" s="2" t="n"/>
      <c r="D277" s="2" t="n"/>
      <c r="E277" s="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2">
        <f>IF(G277="","",IF(TODAY()&gt;=G277,"到期","未到期"))</f>
        <v/>
      </c>
    </row>
    <row r="278">
      <c r="A278" s="12" t="n"/>
      <c r="B278" s="12" t="n"/>
      <c r="C278" s="2" t="n"/>
      <c r="D278" s="2" t="n"/>
      <c r="E278" s="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2">
        <f>IF(G278="","",IF(TODAY()&gt;=G278,"到期","未到期"))</f>
        <v/>
      </c>
    </row>
    <row r="279">
      <c r="A279" s="12" t="n"/>
      <c r="B279" s="12" t="n"/>
      <c r="C279" s="2" t="n"/>
      <c r="D279" s="2" t="n"/>
      <c r="E279" s="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2">
        <f>IF(G279="","",IF(TODAY()&gt;=G279,"到期","未到期"))</f>
        <v/>
      </c>
    </row>
    <row r="280">
      <c r="A280" s="12" t="n"/>
      <c r="B280" s="12" t="n"/>
      <c r="C280" s="2" t="n"/>
      <c r="D280" s="2" t="n"/>
      <c r="E280" s="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2">
        <f>IF(G280="","",IF(TODAY()&gt;=G280,"到期","未到期"))</f>
        <v/>
      </c>
    </row>
    <row r="281">
      <c r="A281" s="12" t="n"/>
      <c r="B281" s="12" t="n"/>
      <c r="C281" s="2" t="n"/>
      <c r="D281" s="2" t="n"/>
      <c r="E281" s="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2">
        <f>IF(G281="","",IF(TODAY()&gt;=G281,"到期","未到期"))</f>
        <v/>
      </c>
    </row>
    <row r="282">
      <c r="A282" s="12" t="n"/>
      <c r="B282" s="12" t="n"/>
      <c r="C282" s="2" t="n"/>
      <c r="D282" s="2" t="n"/>
      <c r="E282" s="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2">
        <f>IF(G282="","",IF(TODAY()&gt;=G282,"到期","未到期"))</f>
        <v/>
      </c>
    </row>
    <row r="283">
      <c r="A283" s="12" t="n"/>
      <c r="B283" s="12" t="n"/>
      <c r="C283" s="2" t="n"/>
      <c r="D283" s="2" t="n"/>
      <c r="E283" s="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2">
        <f>IF(G283="","",IF(TODAY()&gt;=G283,"到期","未到期"))</f>
        <v/>
      </c>
    </row>
    <row r="284">
      <c r="A284" s="12" t="n"/>
      <c r="B284" s="12" t="n"/>
      <c r="C284" s="2" t="n"/>
      <c r="D284" s="2" t="n"/>
      <c r="E284" s="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2">
        <f>IF(G284="","",IF(TODAY()&gt;=G284,"到期","未到期"))</f>
        <v/>
      </c>
    </row>
    <row r="285">
      <c r="A285" s="12" t="n"/>
      <c r="B285" s="12" t="n"/>
      <c r="C285" s="2" t="n"/>
      <c r="D285" s="2" t="n"/>
      <c r="E285" s="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2">
        <f>IF(G285="","",IF(TODAY()&gt;=G285,"到期","未到期"))</f>
        <v/>
      </c>
    </row>
    <row r="286">
      <c r="A286" s="12" t="n"/>
      <c r="B286" s="12" t="n"/>
      <c r="C286" s="2" t="n"/>
      <c r="D286" s="2" t="n"/>
      <c r="E286" s="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2">
        <f>IF(G286="","",IF(TODAY()&gt;=G286,"到期","未到期"))</f>
        <v/>
      </c>
    </row>
    <row r="287">
      <c r="A287" s="12" t="n"/>
      <c r="B287" s="12" t="n"/>
      <c r="C287" s="2" t="n"/>
      <c r="D287" s="2" t="n"/>
      <c r="E287" s="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2">
        <f>IF(G287="","",IF(TODAY()&gt;=G287,"到期","未到期"))</f>
        <v/>
      </c>
    </row>
    <row r="288">
      <c r="A288" s="12" t="n"/>
      <c r="B288" s="12" t="n"/>
      <c r="C288" s="2" t="n"/>
      <c r="D288" s="2" t="n"/>
      <c r="E288" s="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2">
        <f>IF(G288="","",IF(TODAY()&gt;=G288,"到期","未到期"))</f>
        <v/>
      </c>
    </row>
    <row r="289">
      <c r="A289" s="12" t="n"/>
      <c r="B289" s="12" t="n"/>
      <c r="C289" s="2" t="n"/>
      <c r="D289" s="2" t="n"/>
      <c r="E289" s="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2">
        <f>IF(G289="","",IF(TODAY()&gt;=G289,"到期","未到期"))</f>
        <v/>
      </c>
    </row>
    <row r="290">
      <c r="A290" s="12" t="n"/>
      <c r="B290" s="12" t="n"/>
      <c r="C290" s="2" t="n"/>
      <c r="D290" s="2" t="n"/>
      <c r="E290" s="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2">
        <f>IF(G290="","",IF(TODAY()&gt;=G290,"到期","未到期"))</f>
        <v/>
      </c>
    </row>
    <row r="291">
      <c r="A291" s="12" t="n"/>
      <c r="B291" s="12" t="n"/>
      <c r="C291" s="2" t="n"/>
      <c r="D291" s="2" t="n"/>
      <c r="E291" s="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2">
        <f>IF(G291="","",IF(TODAY()&gt;=G291,"到期","未到期"))</f>
        <v/>
      </c>
    </row>
    <row r="292">
      <c r="A292" s="12" t="n"/>
      <c r="B292" s="12" t="n"/>
      <c r="C292" s="2" t="n"/>
      <c r="D292" s="2" t="n"/>
      <c r="E292" s="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2">
        <f>IF(G292="","",IF(TODAY()&gt;=G292,"到期","未到期"))</f>
        <v/>
      </c>
    </row>
    <row r="293">
      <c r="A293" s="12" t="n"/>
      <c r="B293" s="12" t="n"/>
      <c r="C293" s="2" t="n"/>
      <c r="D293" s="2" t="n"/>
      <c r="E293" s="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2">
        <f>IF(G293="","",IF(TODAY()&gt;=G293,"到期","未到期"))</f>
        <v/>
      </c>
    </row>
    <row r="294">
      <c r="A294" s="12" t="n"/>
      <c r="B294" s="12" t="n"/>
      <c r="C294" s="2" t="n"/>
      <c r="D294" s="2" t="n"/>
      <c r="E294" s="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2">
        <f>IF(G294="","",IF(TODAY()&gt;=G294,"到期","未到期"))</f>
        <v/>
      </c>
    </row>
    <row r="295">
      <c r="A295" s="12" t="n"/>
      <c r="B295" s="12" t="n"/>
      <c r="C295" s="2" t="n"/>
      <c r="D295" s="2" t="n"/>
      <c r="E295" s="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2">
        <f>IF(G295="","",IF(TODAY()&gt;=G295,"到期","未到期"))</f>
        <v/>
      </c>
    </row>
    <row r="296">
      <c r="A296" s="12" t="n"/>
      <c r="B296" s="12" t="n"/>
      <c r="C296" s="2" t="n"/>
      <c r="D296" s="2" t="n"/>
      <c r="E296" s="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2">
        <f>IF(G296="","",IF(TODAY()&gt;=G296,"到期","未到期"))</f>
        <v/>
      </c>
    </row>
    <row r="297">
      <c r="A297" s="12" t="n"/>
      <c r="B297" s="12" t="n"/>
      <c r="C297" s="2" t="n"/>
      <c r="D297" s="2" t="n"/>
      <c r="E297" s="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2">
        <f>IF(G297="","",IF(TODAY()&gt;=G297,"到期","未到期"))</f>
        <v/>
      </c>
    </row>
    <row r="298">
      <c r="A298" s="12" t="n"/>
      <c r="B298" s="12" t="n"/>
      <c r="C298" s="2" t="n"/>
      <c r="D298" s="2" t="n"/>
      <c r="E298" s="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2">
        <f>IF(G298="","",IF(TODAY()&gt;=G298,"到期","未到期"))</f>
        <v/>
      </c>
    </row>
    <row r="299">
      <c r="A299" s="12" t="n"/>
      <c r="B299" s="12" t="n"/>
      <c r="C299" s="2" t="n"/>
      <c r="D299" s="2" t="n"/>
      <c r="E299" s="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2">
        <f>IF(G299="","",IF(TODAY()&gt;=G299,"到期","未到期"))</f>
        <v/>
      </c>
    </row>
    <row r="300">
      <c r="A300" s="12" t="n"/>
      <c r="B300" s="12" t="n"/>
      <c r="C300" s="2" t="n"/>
      <c r="D300" s="2" t="n"/>
      <c r="E300" s="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2">
        <f>IF(G300="","",IF(TODAY()&gt;=G300,"到期","未到期"))</f>
        <v/>
      </c>
    </row>
    <row r="301">
      <c r="A301" s="12" t="n"/>
      <c r="B301" s="12" t="n"/>
      <c r="C301" s="2" t="n"/>
      <c r="D301" s="2" t="n"/>
      <c r="E301" s="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2">
        <f>IF(G301="","",IF(TODAY()&gt;=G301,"到期","未到期"))</f>
        <v/>
      </c>
    </row>
    <row r="302">
      <c r="A302" s="12" t="n"/>
      <c r="B302" s="12" t="n"/>
      <c r="C302" s="2" t="n"/>
      <c r="D302" s="2" t="n"/>
      <c r="E302" s="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2">
        <f>IF(G302="","",IF(TODAY()&gt;=G302,"到期","未到期"))</f>
        <v/>
      </c>
    </row>
    <row r="303">
      <c r="A303" s="12" t="n"/>
      <c r="B303" s="12" t="n"/>
      <c r="C303" s="2" t="n"/>
      <c r="D303" s="2" t="n"/>
      <c r="E303" s="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2">
        <f>IF(G303="","",IF(TODAY()&gt;=G303,"到期","未到期"))</f>
        <v/>
      </c>
    </row>
    <row r="304">
      <c r="A304" s="12" t="n"/>
      <c r="B304" s="12" t="n"/>
      <c r="C304" s="2" t="n"/>
      <c r="D304" s="2" t="n"/>
      <c r="E304" s="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2">
        <f>IF(G304="","",IF(TODAY()&gt;=G304,"到期","未到期"))</f>
        <v/>
      </c>
    </row>
    <row r="305">
      <c r="A305" s="12" t="n"/>
      <c r="B305" s="12" t="n"/>
      <c r="C305" s="2" t="n"/>
      <c r="D305" s="2" t="n"/>
      <c r="E305" s="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2">
        <f>IF(G305="","",IF(TODAY()&gt;=G305,"到期","未到期"))</f>
        <v/>
      </c>
    </row>
    <row r="306">
      <c r="A306" s="12" t="n"/>
      <c r="B306" s="12" t="n"/>
      <c r="C306" s="2" t="n"/>
      <c r="D306" s="2" t="n"/>
      <c r="E306" s="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2">
        <f>IF(G306="","",IF(TODAY()&gt;=G306,"到期","未到期"))</f>
        <v/>
      </c>
    </row>
    <row r="307">
      <c r="A307" s="12" t="n"/>
      <c r="B307" s="12" t="n"/>
      <c r="C307" s="2" t="n"/>
      <c r="D307" s="2" t="n"/>
      <c r="E307" s="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2">
        <f>IF(G307="","",IF(TODAY()&gt;=G307,"到期","未到期"))</f>
        <v/>
      </c>
    </row>
    <row r="308">
      <c r="A308" s="12" t="n"/>
      <c r="B308" s="12" t="n"/>
      <c r="C308" s="2" t="n"/>
      <c r="D308" s="2" t="n"/>
      <c r="E308" s="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2">
        <f>IF(G308="","",IF(TODAY()&gt;=G308,"到期","未到期"))</f>
        <v/>
      </c>
    </row>
    <row r="309">
      <c r="A309" s="12" t="n"/>
      <c r="B309" s="12" t="n"/>
      <c r="C309" s="2" t="n"/>
      <c r="D309" s="2" t="n"/>
      <c r="E309" s="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2">
        <f>IF(G309="","",IF(TODAY()&gt;=G309,"到期","未到期"))</f>
        <v/>
      </c>
    </row>
    <row r="310">
      <c r="A310" s="12" t="n"/>
      <c r="B310" s="12" t="n"/>
      <c r="C310" s="2" t="n"/>
      <c r="D310" s="2" t="n"/>
      <c r="E310" s="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2">
        <f>IF(G310="","",IF(TODAY()&gt;=G310,"到期","未到期"))</f>
        <v/>
      </c>
    </row>
    <row r="311">
      <c r="A311" s="12" t="n"/>
      <c r="B311" s="12" t="n"/>
      <c r="C311" s="2" t="n"/>
      <c r="D311" s="2" t="n"/>
      <c r="E311" s="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2">
        <f>IF(G311="","",IF(TODAY()&gt;=G311,"到期","未到期"))</f>
        <v/>
      </c>
    </row>
    <row r="312">
      <c r="A312" s="12" t="n"/>
      <c r="B312" s="12" t="n"/>
      <c r="C312" s="2" t="n"/>
      <c r="D312" s="2" t="n"/>
      <c r="E312" s="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2">
        <f>IF(G312="","",IF(TODAY()&gt;=G312,"到期","未到期"))</f>
        <v/>
      </c>
    </row>
    <row r="313">
      <c r="A313" s="12" t="n"/>
      <c r="B313" s="12" t="n"/>
      <c r="C313" s="2" t="n"/>
      <c r="D313" s="2" t="n"/>
      <c r="E313" s="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2">
        <f>IF(G313="","",IF(TODAY()&gt;=G313,"到期","未到期"))</f>
        <v/>
      </c>
    </row>
    <row r="314">
      <c r="A314" s="12" t="n"/>
      <c r="B314" s="12" t="n"/>
      <c r="C314" s="2" t="n"/>
      <c r="D314" s="2" t="n"/>
      <c r="E314" s="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2">
        <f>IF(G314="","",IF(TODAY()&gt;=G314,"到期","未到期"))</f>
        <v/>
      </c>
    </row>
    <row r="315">
      <c r="A315" s="12" t="n"/>
      <c r="B315" s="12" t="n"/>
      <c r="C315" s="2" t="n"/>
      <c r="D315" s="2" t="n"/>
      <c r="E315" s="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2">
        <f>IF(G315="","",IF(TODAY()&gt;=G315,"到期","未到期"))</f>
        <v/>
      </c>
    </row>
    <row r="316">
      <c r="A316" s="12" t="n"/>
      <c r="B316" s="12" t="n"/>
      <c r="C316" s="2" t="n"/>
      <c r="D316" s="2" t="n"/>
      <c r="E316" s="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2">
        <f>IF(G316="","",IF(TODAY()&gt;=G316,"到期","未到期"))</f>
        <v/>
      </c>
    </row>
    <row r="317">
      <c r="A317" s="12" t="n"/>
      <c r="B317" s="12" t="n"/>
      <c r="C317" s="2" t="n"/>
      <c r="D317" s="2" t="n"/>
      <c r="E317" s="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2">
        <f>IF(G317="","",IF(TODAY()&gt;=G317,"到期","未到期"))</f>
        <v/>
      </c>
    </row>
    <row r="318">
      <c r="A318" s="12" t="n"/>
      <c r="B318" s="12" t="n"/>
      <c r="C318" s="2" t="n"/>
      <c r="D318" s="2" t="n"/>
      <c r="E318" s="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2">
        <f>IF(G318="","",IF(TODAY()&gt;=G318,"到期","未到期"))</f>
        <v/>
      </c>
    </row>
    <row r="319">
      <c r="A319" s="12" t="n"/>
      <c r="B319" s="12" t="n"/>
      <c r="C319" s="2" t="n"/>
      <c r="D319" s="2" t="n"/>
      <c r="E319" s="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2">
        <f>IF(G319="","",IF(TODAY()&gt;=G319,"到期","未到期"))</f>
        <v/>
      </c>
    </row>
    <row r="320">
      <c r="A320" s="12" t="n"/>
      <c r="B320" s="12" t="n"/>
      <c r="C320" s="2" t="n"/>
      <c r="D320" s="2" t="n"/>
      <c r="E320" s="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2">
        <f>IF(G320="","",IF(TODAY()&gt;=G320,"到期","未到期"))</f>
        <v/>
      </c>
    </row>
    <row r="321">
      <c r="A321" s="12" t="n"/>
      <c r="B321" s="12" t="n"/>
      <c r="C321" s="2" t="n"/>
      <c r="D321" s="2" t="n"/>
      <c r="E321" s="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2">
        <f>IF(G321="","",IF(TODAY()&gt;=G321,"到期","未到期"))</f>
        <v/>
      </c>
    </row>
    <row r="322">
      <c r="A322" s="12" t="n"/>
      <c r="B322" s="12" t="n"/>
      <c r="C322" s="2" t="n"/>
      <c r="D322" s="2" t="n"/>
      <c r="E322" s="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2">
        <f>IF(G322="","",IF(TODAY()&gt;=G322,"到期","未到期"))</f>
        <v/>
      </c>
    </row>
    <row r="323">
      <c r="A323" s="12" t="n"/>
      <c r="B323" s="12" t="n"/>
      <c r="C323" s="2" t="n"/>
      <c r="D323" s="2" t="n"/>
      <c r="E323" s="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2">
        <f>IF(G323="","",IF(TODAY()&gt;=G323,"到期","未到期"))</f>
        <v/>
      </c>
    </row>
    <row r="324">
      <c r="A324" s="12" t="n"/>
      <c r="B324" s="12" t="n"/>
      <c r="C324" s="2" t="n"/>
      <c r="D324" s="2" t="n"/>
      <c r="E324" s="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2">
        <f>IF(G324="","",IF(TODAY()&gt;=G324,"到期","未到期"))</f>
        <v/>
      </c>
    </row>
    <row r="325">
      <c r="A325" s="12" t="n"/>
      <c r="B325" s="12" t="n"/>
      <c r="C325" s="2" t="n"/>
      <c r="D325" s="2" t="n"/>
      <c r="E325" s="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2">
        <f>IF(G325="","",IF(TODAY()&gt;=G325,"到期","未到期"))</f>
        <v/>
      </c>
    </row>
    <row r="326">
      <c r="A326" s="12" t="n"/>
      <c r="B326" s="12" t="n"/>
      <c r="C326" s="2" t="n"/>
      <c r="D326" s="2" t="n"/>
      <c r="E326" s="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2">
        <f>IF(G326="","",IF(TODAY()&gt;=G326,"到期","未到期"))</f>
        <v/>
      </c>
    </row>
    <row r="327">
      <c r="A327" s="12" t="n"/>
      <c r="B327" s="12" t="n"/>
      <c r="C327" s="2" t="n"/>
      <c r="D327" s="2" t="n"/>
      <c r="E327" s="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2">
        <f>IF(G327="","",IF(TODAY()&gt;=G327,"到期","未到期"))</f>
        <v/>
      </c>
    </row>
    <row r="328">
      <c r="A328" s="12" t="n"/>
      <c r="B328" s="12" t="n"/>
      <c r="C328" s="2" t="n"/>
      <c r="D328" s="2" t="n"/>
      <c r="E328" s="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2">
        <f>IF(G328="","",IF(TODAY()&gt;=G328,"到期","未到期"))</f>
        <v/>
      </c>
    </row>
    <row r="329">
      <c r="A329" s="12" t="n"/>
      <c r="B329" s="12" t="n"/>
      <c r="C329" s="2" t="n"/>
      <c r="D329" s="2" t="n"/>
      <c r="E329" s="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2">
        <f>IF(G329="","",IF(TODAY()&gt;=G329,"到期","未到期"))</f>
        <v/>
      </c>
    </row>
    <row r="330">
      <c r="A330" s="12" t="n"/>
      <c r="B330" s="12" t="n"/>
      <c r="C330" s="2" t="n"/>
      <c r="D330" s="2" t="n"/>
      <c r="E330" s="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2">
        <f>IF(G330="","",IF(TODAY()&gt;=G330,"到期","未到期"))</f>
        <v/>
      </c>
    </row>
    <row r="331">
      <c r="A331" s="12" t="n"/>
      <c r="B331" s="12" t="n"/>
      <c r="C331" s="2" t="n"/>
      <c r="D331" s="2" t="n"/>
      <c r="E331" s="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2">
        <f>IF(G331="","",IF(TODAY()&gt;=G331,"到期","未到期"))</f>
        <v/>
      </c>
    </row>
    <row r="332">
      <c r="A332" s="12" t="n"/>
      <c r="B332" s="12" t="n"/>
      <c r="C332" s="2" t="n"/>
      <c r="D332" s="2" t="n"/>
      <c r="E332" s="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2">
        <f>IF(G332="","",IF(TODAY()&gt;=G332,"到期","未到期"))</f>
        <v/>
      </c>
    </row>
    <row r="333">
      <c r="A333" s="12" t="n"/>
      <c r="B333" s="12" t="n"/>
      <c r="C333" s="2" t="n"/>
      <c r="D333" s="2" t="n"/>
      <c r="E333" s="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2">
        <f>IF(G333="","",IF(TODAY()&gt;=G333,"到期","未到期"))</f>
        <v/>
      </c>
    </row>
    <row r="334">
      <c r="A334" s="12" t="n"/>
      <c r="B334" s="12" t="n"/>
      <c r="C334" s="2" t="n"/>
      <c r="D334" s="2" t="n"/>
      <c r="E334" s="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2">
        <f>IF(G334="","",IF(TODAY()&gt;=G334,"到期","未到期"))</f>
        <v/>
      </c>
    </row>
    <row r="335">
      <c r="A335" s="12" t="n"/>
      <c r="B335" s="12" t="n"/>
      <c r="C335" s="2" t="n"/>
      <c r="D335" s="2" t="n"/>
      <c r="E335" s="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2">
        <f>IF(G335="","",IF(TODAY()&gt;=G335,"到期","未到期"))</f>
        <v/>
      </c>
    </row>
    <row r="336">
      <c r="A336" s="12" t="n"/>
      <c r="B336" s="12" t="n"/>
      <c r="C336" s="2" t="n"/>
      <c r="D336" s="2" t="n"/>
      <c r="E336" s="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2">
        <f>IF(G336="","",IF(TODAY()&gt;=G336,"到期","未到期"))</f>
        <v/>
      </c>
    </row>
    <row r="337">
      <c r="A337" s="12" t="n"/>
      <c r="B337" s="12" t="n"/>
      <c r="C337" s="2" t="n"/>
      <c r="D337" s="2" t="n"/>
      <c r="E337" s="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2">
        <f>IF(G337="","",IF(TODAY()&gt;=G337,"到期","未到期"))</f>
        <v/>
      </c>
    </row>
    <row r="338">
      <c r="A338" s="12" t="n"/>
      <c r="B338" s="12" t="n"/>
      <c r="C338" s="2" t="n"/>
      <c r="D338" s="2" t="n"/>
      <c r="E338" s="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2">
        <f>IF(G338="","",IF(TODAY()&gt;=G338,"到期","未到期"))</f>
        <v/>
      </c>
    </row>
    <row r="339">
      <c r="A339" s="12" t="n"/>
      <c r="B339" s="12" t="n"/>
      <c r="C339" s="2" t="n"/>
      <c r="D339" s="2" t="n"/>
      <c r="E339" s="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2">
        <f>IF(G339="","",IF(TODAY()&gt;=G339,"到期","未到期"))</f>
        <v/>
      </c>
    </row>
    <row r="340">
      <c r="A340" s="12" t="n"/>
      <c r="B340" s="12" t="n"/>
      <c r="C340" s="2" t="n"/>
      <c r="D340" s="2" t="n"/>
      <c r="E340" s="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2">
        <f>IF(G340="","",IF(TODAY()&gt;=G340,"到期","未到期"))</f>
        <v/>
      </c>
    </row>
    <row r="341">
      <c r="A341" s="12" t="n"/>
      <c r="B341" s="12" t="n"/>
      <c r="C341" s="2" t="n"/>
      <c r="D341" s="2" t="n"/>
      <c r="E341" s="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2">
        <f>IF(G341="","",IF(TODAY()&gt;=G341,"到期","未到期"))</f>
        <v/>
      </c>
    </row>
    <row r="342">
      <c r="A342" s="12" t="n"/>
      <c r="B342" s="12" t="n"/>
      <c r="C342" s="2" t="n"/>
      <c r="D342" s="2" t="n"/>
      <c r="E342" s="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2">
        <f>IF(G342="","",IF(TODAY()&gt;=G342,"到期","未到期"))</f>
        <v/>
      </c>
    </row>
    <row r="343">
      <c r="A343" s="12" t="n"/>
      <c r="B343" s="12" t="n"/>
      <c r="C343" s="2" t="n"/>
      <c r="D343" s="2" t="n"/>
      <c r="E343" s="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2">
        <f>IF(G343="","",IF(TODAY()&gt;=G343,"到期","未到期"))</f>
        <v/>
      </c>
    </row>
    <row r="344">
      <c r="A344" s="12" t="n"/>
      <c r="B344" s="12" t="n"/>
      <c r="C344" s="2" t="n"/>
      <c r="D344" s="2" t="n"/>
      <c r="E344" s="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2">
        <f>IF(G344="","",IF(TODAY()&gt;=G344,"到期","未到期"))</f>
        <v/>
      </c>
    </row>
    <row r="345">
      <c r="A345" s="12" t="n"/>
      <c r="B345" s="12" t="n"/>
      <c r="C345" s="2" t="n"/>
      <c r="D345" s="2" t="n"/>
      <c r="E345" s="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2">
        <f>IF(G345="","",IF(TODAY()&gt;=G345,"到期","未到期"))</f>
        <v/>
      </c>
    </row>
    <row r="346">
      <c r="A346" s="12" t="n"/>
      <c r="B346" s="12" t="n"/>
      <c r="C346" s="2" t="n"/>
      <c r="D346" s="2" t="n"/>
      <c r="E346" s="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2">
        <f>IF(G346="","",IF(TODAY()&gt;=G346,"到期","未到期"))</f>
        <v/>
      </c>
    </row>
    <row r="347">
      <c r="A347" s="12" t="n"/>
      <c r="B347" s="12" t="n"/>
      <c r="C347" s="2" t="n"/>
      <c r="D347" s="2" t="n"/>
      <c r="E347" s="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2">
        <f>IF(G347="","",IF(TODAY()&gt;=G347,"到期","未到期"))</f>
        <v/>
      </c>
    </row>
    <row r="348">
      <c r="A348" s="12" t="n"/>
      <c r="B348" s="12" t="n"/>
      <c r="C348" s="2" t="n"/>
      <c r="D348" s="2" t="n"/>
      <c r="E348" s="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2">
        <f>IF(G348="","",IF(TODAY()&gt;=G348,"到期","未到期"))</f>
        <v/>
      </c>
    </row>
    <row r="349">
      <c r="A349" s="12" t="n"/>
      <c r="B349" s="12" t="n"/>
      <c r="C349" s="2" t="n"/>
      <c r="D349" s="2" t="n"/>
      <c r="E349" s="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2">
        <f>IF(G349="","",IF(TODAY()&gt;=G349,"到期","未到期"))</f>
        <v/>
      </c>
    </row>
    <row r="350">
      <c r="A350" s="12" t="n"/>
      <c r="B350" s="12" t="n"/>
      <c r="C350" s="2" t="n"/>
      <c r="D350" s="2" t="n"/>
      <c r="E350" s="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2">
        <f>IF(G350="","",IF(TODAY()&gt;=G350,"到期","未到期"))</f>
        <v/>
      </c>
    </row>
    <row r="351">
      <c r="A351" s="12" t="n"/>
      <c r="B351" s="12" t="n"/>
      <c r="C351" s="2" t="n"/>
      <c r="D351" s="2" t="n"/>
      <c r="E351" s="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2">
        <f>IF(G351="","",IF(TODAY()&gt;=G351,"到期","未到期"))</f>
        <v/>
      </c>
    </row>
    <row r="352">
      <c r="A352" s="12" t="n"/>
      <c r="B352" s="12" t="n"/>
      <c r="C352" s="2" t="n"/>
      <c r="D352" s="2" t="n"/>
      <c r="E352" s="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2">
        <f>IF(G352="","",IF(TODAY()&gt;=G352,"到期","未到期"))</f>
        <v/>
      </c>
    </row>
    <row r="353">
      <c r="A353" s="12" t="n"/>
      <c r="B353" s="12" t="n"/>
      <c r="C353" s="2" t="n"/>
      <c r="D353" s="2" t="n"/>
      <c r="E353" s="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2">
        <f>IF(G353="","",IF(TODAY()&gt;=G353,"到期","未到期"))</f>
        <v/>
      </c>
    </row>
    <row r="354">
      <c r="A354" s="12" t="n"/>
      <c r="B354" s="12" t="n"/>
      <c r="C354" s="2" t="n"/>
      <c r="D354" s="2" t="n"/>
      <c r="E354" s="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2">
        <f>IF(G354="","",IF(TODAY()&gt;=G354,"到期","未到期"))</f>
        <v/>
      </c>
    </row>
    <row r="355">
      <c r="A355" s="12" t="n"/>
      <c r="B355" s="12" t="n"/>
      <c r="C355" s="2" t="n"/>
      <c r="D355" s="2" t="n"/>
      <c r="E355" s="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2">
        <f>IF(G355="","",IF(TODAY()&gt;=G355,"到期","未到期"))</f>
        <v/>
      </c>
    </row>
    <row r="356">
      <c r="A356" s="12" t="n"/>
      <c r="B356" s="12" t="n"/>
      <c r="C356" s="2" t="n"/>
      <c r="D356" s="2" t="n"/>
      <c r="E356" s="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2">
        <f>IF(G356="","",IF(TODAY()&gt;=G356,"到期","未到期"))</f>
        <v/>
      </c>
    </row>
    <row r="357">
      <c r="A357" s="12" t="n"/>
      <c r="B357" s="12" t="n"/>
      <c r="C357" s="2" t="n"/>
      <c r="D357" s="2" t="n"/>
      <c r="E357" s="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2">
        <f>IF(G357="","",IF(TODAY()&gt;=G357,"到期","未到期"))</f>
        <v/>
      </c>
    </row>
    <row r="358">
      <c r="A358" s="12" t="n"/>
      <c r="B358" s="12" t="n"/>
      <c r="C358" s="2" t="n"/>
      <c r="D358" s="2" t="n"/>
      <c r="E358" s="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2">
        <f>IF(G358="","",IF(TODAY()&gt;=G358,"到期","未到期"))</f>
        <v/>
      </c>
    </row>
    <row r="359">
      <c r="A359" s="12" t="n"/>
      <c r="B359" s="12" t="n"/>
      <c r="C359" s="2" t="n"/>
      <c r="D359" s="2" t="n"/>
      <c r="E359" s="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2">
        <f>IF(G359="","",IF(TODAY()&gt;=G359,"到期","未到期"))</f>
        <v/>
      </c>
    </row>
    <row r="360">
      <c r="A360" s="12" t="n"/>
      <c r="B360" s="12" t="n"/>
      <c r="C360" s="2" t="n"/>
      <c r="D360" s="2" t="n"/>
      <c r="E360" s="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2">
        <f>IF(G360="","",IF(TODAY()&gt;=G360,"到期","未到期"))</f>
        <v/>
      </c>
    </row>
    <row r="361">
      <c r="A361" s="12" t="n"/>
      <c r="B361" s="12" t="n"/>
      <c r="C361" s="2" t="n"/>
      <c r="D361" s="2" t="n"/>
      <c r="E361" s="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2">
        <f>IF(G361="","",IF(TODAY()&gt;=G361,"到期","未到期"))</f>
        <v/>
      </c>
    </row>
    <row r="362">
      <c r="A362" s="12" t="n"/>
      <c r="B362" s="12" t="n"/>
      <c r="C362" s="2" t="n"/>
      <c r="D362" s="2" t="n"/>
      <c r="E362" s="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2">
        <f>IF(G362="","",IF(TODAY()&gt;=G362,"到期","未到期"))</f>
        <v/>
      </c>
    </row>
    <row r="363">
      <c r="A363" s="12" t="n"/>
      <c r="B363" s="12" t="n"/>
      <c r="C363" s="2" t="n"/>
      <c r="D363" s="2" t="n"/>
      <c r="E363" s="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2">
        <f>IF(G363="","",IF(TODAY()&gt;=G363,"到期","未到期"))</f>
        <v/>
      </c>
    </row>
    <row r="364">
      <c r="A364" s="12" t="n"/>
      <c r="B364" s="12" t="n"/>
      <c r="C364" s="2" t="n"/>
      <c r="D364" s="2" t="n"/>
      <c r="E364" s="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2">
        <f>IF(G364="","",IF(TODAY()&gt;=G364,"到期","未到期"))</f>
        <v/>
      </c>
    </row>
    <row r="365">
      <c r="A365" s="12" t="n"/>
      <c r="B365" s="12" t="n"/>
      <c r="C365" s="2" t="n"/>
      <c r="D365" s="2" t="n"/>
      <c r="E365" s="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2">
        <f>IF(G365="","",IF(TODAY()&gt;=G365,"到期","未到期"))</f>
        <v/>
      </c>
    </row>
    <row r="366">
      <c r="A366" s="12" t="n"/>
      <c r="B366" s="12" t="n"/>
      <c r="C366" s="2" t="n"/>
      <c r="D366" s="2" t="n"/>
      <c r="E366" s="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2">
        <f>IF(G366="","",IF(TODAY()&gt;=G366,"到期","未到期"))</f>
        <v/>
      </c>
    </row>
    <row r="367">
      <c r="A367" s="12" t="n"/>
      <c r="B367" s="12" t="n"/>
      <c r="C367" s="2" t="n"/>
      <c r="D367" s="2" t="n"/>
      <c r="E367" s="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2">
        <f>IF(G367="","",IF(TODAY()&gt;=G367,"到期","未到期"))</f>
        <v/>
      </c>
    </row>
    <row r="368">
      <c r="A368" s="12" t="n"/>
      <c r="B368" s="12" t="n"/>
      <c r="C368" s="2" t="n"/>
      <c r="D368" s="2" t="n"/>
      <c r="E368" s="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2">
        <f>IF(G368="","",IF(TODAY()&gt;=G368,"到期","未到期"))</f>
        <v/>
      </c>
    </row>
    <row r="369">
      <c r="A369" s="12" t="n"/>
      <c r="B369" s="12" t="n"/>
      <c r="C369" s="2" t="n"/>
      <c r="D369" s="2" t="n"/>
      <c r="E369" s="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2">
        <f>IF(G369="","",IF(TODAY()&gt;=G369,"到期","未到期"))</f>
        <v/>
      </c>
    </row>
    <row r="370">
      <c r="A370" s="12" t="n"/>
      <c r="B370" s="12" t="n"/>
      <c r="C370" s="2" t="n"/>
      <c r="D370" s="2" t="n"/>
      <c r="E370" s="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2">
        <f>IF(G370="","",IF(TODAY()&gt;=G370,"到期","未到期"))</f>
        <v/>
      </c>
    </row>
    <row r="371">
      <c r="A371" s="12" t="n"/>
      <c r="B371" s="12" t="n"/>
      <c r="C371" s="2" t="n"/>
      <c r="D371" s="2" t="n"/>
      <c r="E371" s="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2">
        <f>IF(G371="","",IF(TODAY()&gt;=G371,"到期","未到期"))</f>
        <v/>
      </c>
    </row>
    <row r="372">
      <c r="A372" s="12" t="n"/>
      <c r="B372" s="12" t="n"/>
      <c r="C372" s="2" t="n"/>
      <c r="D372" s="2" t="n"/>
      <c r="E372" s="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2">
        <f>IF(G372="","",IF(TODAY()&gt;=G372,"到期","未到期"))</f>
        <v/>
      </c>
    </row>
    <row r="373">
      <c r="A373" s="12" t="n"/>
      <c r="B373" s="12" t="n"/>
      <c r="C373" s="2" t="n"/>
      <c r="D373" s="2" t="n"/>
      <c r="E373" s="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2">
        <f>IF(G373="","",IF(TODAY()&gt;=G373,"到期","未到期"))</f>
        <v/>
      </c>
    </row>
    <row r="374">
      <c r="A374" s="12" t="n"/>
      <c r="B374" s="12" t="n"/>
      <c r="C374" s="2" t="n"/>
      <c r="D374" s="2" t="n"/>
      <c r="E374" s="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2">
        <f>IF(G374="","",IF(TODAY()&gt;=G374,"到期","未到期"))</f>
        <v/>
      </c>
    </row>
    <row r="375">
      <c r="A375" s="12" t="n"/>
      <c r="B375" s="12" t="n"/>
      <c r="C375" s="2" t="n"/>
      <c r="D375" s="2" t="n"/>
      <c r="E375" s="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2">
        <f>IF(G375="","",IF(TODAY()&gt;=G375,"到期","未到期"))</f>
        <v/>
      </c>
    </row>
    <row r="376">
      <c r="A376" s="12" t="n"/>
      <c r="B376" s="12" t="n"/>
      <c r="C376" s="2" t="n"/>
      <c r="D376" s="2" t="n"/>
      <c r="E376" s="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2">
        <f>IF(G376="","",IF(TODAY()&gt;=G376,"到期","未到期"))</f>
        <v/>
      </c>
    </row>
    <row r="377">
      <c r="A377" s="12" t="n"/>
      <c r="B377" s="12" t="n"/>
      <c r="C377" s="2" t="n"/>
      <c r="D377" s="2" t="n"/>
      <c r="E377" s="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2">
        <f>IF(G377="","",IF(TODAY()&gt;=G377,"到期","未到期"))</f>
        <v/>
      </c>
    </row>
    <row r="378">
      <c r="A378" s="12" t="n"/>
      <c r="B378" s="12" t="n"/>
      <c r="C378" s="2" t="n"/>
      <c r="D378" s="2" t="n"/>
      <c r="E378" s="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2">
        <f>IF(G378="","",IF(TODAY()&gt;=G378,"到期","未到期"))</f>
        <v/>
      </c>
    </row>
    <row r="379">
      <c r="A379" s="12" t="n"/>
      <c r="B379" s="12" t="n"/>
      <c r="C379" s="2" t="n"/>
      <c r="D379" s="2" t="n"/>
      <c r="E379" s="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2">
        <f>IF(G379="","",IF(TODAY()&gt;=G379,"到期","未到期"))</f>
        <v/>
      </c>
    </row>
    <row r="380">
      <c r="A380" s="12" t="n"/>
      <c r="B380" s="12" t="n"/>
      <c r="C380" s="2" t="n"/>
      <c r="D380" s="2" t="n"/>
      <c r="E380" s="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2">
        <f>IF(G380="","",IF(TODAY()&gt;=G380,"到期","未到期"))</f>
        <v/>
      </c>
    </row>
    <row r="381">
      <c r="A381" s="12" t="n"/>
      <c r="B381" s="12" t="n"/>
      <c r="C381" s="2" t="n"/>
      <c r="D381" s="2" t="n"/>
      <c r="E381" s="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2">
        <f>IF(G381="","",IF(TODAY()&gt;=G381,"到期","未到期"))</f>
        <v/>
      </c>
    </row>
    <row r="382">
      <c r="A382" s="12" t="n"/>
      <c r="B382" s="12" t="n"/>
      <c r="C382" s="2" t="n"/>
      <c r="D382" s="2" t="n"/>
      <c r="E382" s="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2">
        <f>IF(G382="","",IF(TODAY()&gt;=G382,"到期","未到期"))</f>
        <v/>
      </c>
    </row>
    <row r="383">
      <c r="A383" s="12" t="n"/>
      <c r="B383" s="12" t="n"/>
      <c r="C383" s="2" t="n"/>
      <c r="D383" s="2" t="n"/>
      <c r="E383" s="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2">
        <f>IF(G383="","",IF(TODAY()&gt;=G383,"到期","未到期"))</f>
        <v/>
      </c>
    </row>
    <row r="384">
      <c r="A384" s="12" t="n"/>
      <c r="B384" s="12" t="n"/>
      <c r="C384" s="2" t="n"/>
      <c r="D384" s="2" t="n"/>
      <c r="E384" s="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2">
        <f>IF(G384="","",IF(TODAY()&gt;=G384,"到期","未到期"))</f>
        <v/>
      </c>
    </row>
    <row r="385">
      <c r="A385" s="12" t="n"/>
      <c r="B385" s="12" t="n"/>
      <c r="C385" s="2" t="n"/>
      <c r="D385" s="2" t="n"/>
      <c r="E385" s="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2">
        <f>IF(G385="","",IF(TODAY()&gt;=G385,"到期","未到期"))</f>
        <v/>
      </c>
    </row>
    <row r="386">
      <c r="A386" s="12" t="n"/>
      <c r="B386" s="12" t="n"/>
      <c r="C386" s="2" t="n"/>
      <c r="D386" s="2" t="n"/>
      <c r="E386" s="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2">
        <f>IF(G386="","",IF(TODAY()&gt;=G386,"到期","未到期"))</f>
        <v/>
      </c>
    </row>
    <row r="387">
      <c r="A387" s="12" t="n"/>
      <c r="B387" s="12" t="n"/>
      <c r="C387" s="2" t="n"/>
      <c r="D387" s="2" t="n"/>
      <c r="E387" s="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2">
        <f>IF(G387="","",IF(TODAY()&gt;=G387,"到期","未到期"))</f>
        <v/>
      </c>
    </row>
    <row r="388">
      <c r="A388" s="12" t="n"/>
      <c r="B388" s="12" t="n"/>
      <c r="C388" s="2" t="n"/>
      <c r="D388" s="2" t="n"/>
      <c r="E388" s="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2">
        <f>IF(G388="","",IF(TODAY()&gt;=G388,"到期","未到期"))</f>
        <v/>
      </c>
    </row>
    <row r="389">
      <c r="A389" s="12" t="n"/>
      <c r="B389" s="12" t="n"/>
      <c r="C389" s="2" t="n"/>
      <c r="D389" s="2" t="n"/>
      <c r="E389" s="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2">
        <f>IF(G389="","",IF(TODAY()&gt;=G389,"到期","未到期"))</f>
        <v/>
      </c>
    </row>
    <row r="390">
      <c r="A390" s="12" t="n"/>
      <c r="B390" s="12" t="n"/>
      <c r="C390" s="2" t="n"/>
      <c r="D390" s="2" t="n"/>
      <c r="E390" s="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2">
        <f>IF(G390="","",IF(TODAY()&gt;=G390,"到期","未到期"))</f>
        <v/>
      </c>
    </row>
    <row r="391">
      <c r="A391" s="12" t="n"/>
      <c r="B391" s="12" t="n"/>
      <c r="C391" s="2" t="n"/>
      <c r="D391" s="2" t="n"/>
      <c r="E391" s="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2">
        <f>IF(G391="","",IF(TODAY()&gt;=G391,"到期","未到期"))</f>
        <v/>
      </c>
    </row>
    <row r="392">
      <c r="A392" s="12" t="n"/>
      <c r="B392" s="12" t="n"/>
      <c r="C392" s="2" t="n"/>
      <c r="D392" s="2" t="n"/>
      <c r="E392" s="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2">
        <f>IF(G392="","",IF(TODAY()&gt;=G392,"到期","未到期"))</f>
        <v/>
      </c>
    </row>
    <row r="393">
      <c r="A393" s="12" t="n"/>
      <c r="B393" s="12" t="n"/>
      <c r="C393" s="2" t="n"/>
      <c r="D393" s="2" t="n"/>
      <c r="E393" s="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2">
        <f>IF(G393="","",IF(TODAY()&gt;=G393,"到期","未到期"))</f>
        <v/>
      </c>
    </row>
    <row r="394">
      <c r="A394" s="12" t="n"/>
      <c r="B394" s="12" t="n"/>
      <c r="C394" s="2" t="n"/>
      <c r="D394" s="2" t="n"/>
      <c r="E394" s="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2">
        <f>IF(G394="","",IF(TODAY()&gt;=G394,"到期","未到期"))</f>
        <v/>
      </c>
    </row>
    <row r="395">
      <c r="A395" s="12" t="n"/>
      <c r="B395" s="12" t="n"/>
      <c r="C395" s="2" t="n"/>
      <c r="D395" s="2" t="n"/>
      <c r="E395" s="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2">
        <f>IF(G395="","",IF(TODAY()&gt;=G395,"到期","未到期"))</f>
        <v/>
      </c>
    </row>
    <row r="396">
      <c r="A396" s="12" t="n"/>
      <c r="B396" s="12" t="n"/>
      <c r="C396" s="2" t="n"/>
      <c r="D396" s="2" t="n"/>
      <c r="E396" s="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2">
        <f>IF(G396="","",IF(TODAY()&gt;=G396,"到期","未到期"))</f>
        <v/>
      </c>
    </row>
    <row r="397">
      <c r="A397" s="12" t="n"/>
      <c r="B397" s="12" t="n"/>
      <c r="C397" s="2" t="n"/>
      <c r="D397" s="2" t="n"/>
      <c r="E397" s="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2">
        <f>IF(G397="","",IF(TODAY()&gt;=G397,"到期","未到期"))</f>
        <v/>
      </c>
    </row>
    <row r="398">
      <c r="A398" s="12" t="n"/>
      <c r="B398" s="12" t="n"/>
      <c r="C398" s="2" t="n"/>
      <c r="D398" s="2" t="n"/>
      <c r="E398" s="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2">
        <f>IF(G398="","",IF(TODAY()&gt;=G398,"到期","未到期"))</f>
        <v/>
      </c>
    </row>
    <row r="399">
      <c r="A399" s="12" t="n"/>
      <c r="B399" s="12" t="n"/>
      <c r="C399" s="2" t="n"/>
      <c r="D399" s="2" t="n"/>
      <c r="E399" s="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2">
        <f>IF(G399="","",IF(TODAY()&gt;=G399,"到期","未到期"))</f>
        <v/>
      </c>
    </row>
    <row r="400">
      <c r="A400" s="12" t="n"/>
      <c r="B400" s="12" t="n"/>
      <c r="C400" s="2" t="n"/>
      <c r="D400" s="2" t="n"/>
      <c r="E400" s="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2">
        <f>IF(G400="","",IF(TODAY()&gt;=G400,"到期","未到期"))</f>
        <v/>
      </c>
    </row>
    <row r="401">
      <c r="A401" s="12" t="n"/>
      <c r="B401" s="12" t="n"/>
      <c r="C401" s="2" t="n"/>
      <c r="D401" s="2" t="n"/>
      <c r="E401" s="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2">
        <f>IF(G401="","",IF(TODAY()&gt;=G401,"到期","未到期"))</f>
        <v/>
      </c>
    </row>
    <row r="402">
      <c r="A402" s="12" t="n"/>
      <c r="B402" s="12" t="n"/>
      <c r="C402" s="2" t="n"/>
      <c r="D402" s="2" t="n"/>
      <c r="E402" s="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2">
        <f>IF(G402="","",IF(TODAY()&gt;=G402,"到期","未到期"))</f>
        <v/>
      </c>
    </row>
    <row r="403">
      <c r="A403" s="12" t="n"/>
      <c r="B403" s="12" t="n"/>
      <c r="C403" s="2" t="n"/>
      <c r="D403" s="2" t="n"/>
      <c r="E403" s="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2">
        <f>IF(G403="","",IF(TODAY()&gt;=G403,"到期","未到期"))</f>
        <v/>
      </c>
    </row>
    <row r="404">
      <c r="A404" s="12" t="n"/>
      <c r="B404" s="12" t="n"/>
      <c r="C404" s="2" t="n"/>
      <c r="D404" s="2" t="n"/>
      <c r="E404" s="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2">
        <f>IF(G404="","",IF(TODAY()&gt;=G404,"到期","未到期"))</f>
        <v/>
      </c>
    </row>
    <row r="405">
      <c r="A405" s="12" t="n"/>
      <c r="B405" s="12" t="n"/>
      <c r="C405" s="2" t="n"/>
      <c r="D405" s="2" t="n"/>
      <c r="E405" s="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2">
        <f>IF(G405="","",IF(TODAY()&gt;=G405,"到期","未到期"))</f>
        <v/>
      </c>
    </row>
    <row r="406">
      <c r="A406" s="12" t="n"/>
      <c r="B406" s="12" t="n"/>
      <c r="C406" s="2" t="n"/>
      <c r="D406" s="2" t="n"/>
      <c r="E406" s="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2">
        <f>IF(G406="","",IF(TODAY()&gt;=G406,"到期","未到期"))</f>
        <v/>
      </c>
    </row>
    <row r="407">
      <c r="A407" s="12" t="n"/>
      <c r="B407" s="12" t="n"/>
      <c r="C407" s="2" t="n"/>
      <c r="D407" s="2" t="n"/>
      <c r="E407" s="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2">
        <f>IF(G407="","",IF(TODAY()&gt;=G407,"到期","未到期"))</f>
        <v/>
      </c>
    </row>
    <row r="408">
      <c r="A408" s="12" t="n"/>
      <c r="B408" s="12" t="n"/>
      <c r="C408" s="2" t="n"/>
      <c r="D408" s="2" t="n"/>
      <c r="E408" s="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2">
        <f>IF(G408="","",IF(TODAY()&gt;=G408,"到期","未到期"))</f>
        <v/>
      </c>
    </row>
    <row r="409">
      <c r="A409" s="12" t="n"/>
      <c r="B409" s="12" t="n"/>
      <c r="C409" s="2" t="n"/>
      <c r="D409" s="2" t="n"/>
      <c r="E409" s="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2">
        <f>IF(G409="","",IF(TODAY()&gt;=G409,"到期","未到期"))</f>
        <v/>
      </c>
    </row>
    <row r="410">
      <c r="A410" s="12" t="n"/>
      <c r="B410" s="12" t="n"/>
      <c r="C410" s="2" t="n"/>
      <c r="D410" s="2" t="n"/>
      <c r="E410" s="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2">
        <f>IF(G410="","",IF(TODAY()&gt;=G410,"到期","未到期"))</f>
        <v/>
      </c>
    </row>
    <row r="411">
      <c r="A411" s="12" t="n"/>
      <c r="B411" s="12" t="n"/>
      <c r="C411" s="2" t="n"/>
      <c r="D411" s="2" t="n"/>
      <c r="E411" s="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2">
        <f>IF(G411="","",IF(TODAY()&gt;=G411,"到期","未到期"))</f>
        <v/>
      </c>
    </row>
    <row r="412">
      <c r="A412" s="12" t="n"/>
      <c r="B412" s="12" t="n"/>
      <c r="C412" s="2" t="n"/>
      <c r="D412" s="2" t="n"/>
      <c r="E412" s="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2">
        <f>IF(G412="","",IF(TODAY()&gt;=G412,"到期","未到期"))</f>
        <v/>
      </c>
    </row>
    <row r="413">
      <c r="A413" s="12" t="n"/>
      <c r="B413" s="12" t="n"/>
      <c r="C413" s="2" t="n"/>
      <c r="D413" s="2" t="n"/>
      <c r="E413" s="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2">
        <f>IF(G413="","",IF(TODAY()&gt;=G413,"到期","未到期"))</f>
        <v/>
      </c>
    </row>
    <row r="414">
      <c r="A414" s="12" t="n"/>
      <c r="B414" s="12" t="n"/>
      <c r="C414" s="2" t="n"/>
      <c r="D414" s="2" t="n"/>
      <c r="E414" s="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2">
        <f>IF(G414="","",IF(TODAY()&gt;=G414,"到期","未到期"))</f>
        <v/>
      </c>
    </row>
    <row r="415">
      <c r="A415" s="12" t="n"/>
      <c r="B415" s="12" t="n"/>
      <c r="C415" s="2" t="n"/>
      <c r="D415" s="2" t="n"/>
      <c r="E415" s="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2">
        <f>IF(G415="","",IF(TODAY()&gt;=G415,"到期","未到期"))</f>
        <v/>
      </c>
    </row>
    <row r="416">
      <c r="A416" s="12" t="n"/>
      <c r="B416" s="12" t="n"/>
      <c r="C416" s="2" t="n"/>
      <c r="D416" s="2" t="n"/>
      <c r="E416" s="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2">
        <f>IF(G416="","",IF(TODAY()&gt;=G416,"到期","未到期"))</f>
        <v/>
      </c>
    </row>
    <row r="417">
      <c r="A417" s="12" t="n"/>
      <c r="B417" s="12" t="n"/>
      <c r="C417" s="2" t="n"/>
      <c r="D417" s="2" t="n"/>
      <c r="E417" s="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2">
        <f>IF(G417="","",IF(TODAY()&gt;=G417,"到期","未到期"))</f>
        <v/>
      </c>
    </row>
    <row r="418">
      <c r="A418" s="12" t="n"/>
      <c r="B418" s="12" t="n"/>
      <c r="C418" s="2" t="n"/>
      <c r="D418" s="2" t="n"/>
      <c r="E418" s="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2">
        <f>IF(G418="","",IF(TODAY()&gt;=G418,"到期","未到期"))</f>
        <v/>
      </c>
    </row>
    <row r="419">
      <c r="A419" s="12" t="n"/>
      <c r="B419" s="12" t="n"/>
      <c r="C419" s="2" t="n"/>
      <c r="D419" s="2" t="n"/>
      <c r="E419" s="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2">
        <f>IF(G419="","",IF(TODAY()&gt;=G419,"到期","未到期"))</f>
        <v/>
      </c>
    </row>
    <row r="420">
      <c r="A420" s="12" t="n"/>
      <c r="B420" s="12" t="n"/>
      <c r="C420" s="2" t="n"/>
      <c r="D420" s="2" t="n"/>
      <c r="E420" s="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2">
        <f>IF(G420="","",IF(TODAY()&gt;=G420,"到期","未到期"))</f>
        <v/>
      </c>
    </row>
    <row r="421">
      <c r="A421" s="12" t="n"/>
      <c r="B421" s="12" t="n"/>
      <c r="C421" s="2" t="n"/>
      <c r="D421" s="2" t="n"/>
      <c r="E421" s="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2">
        <f>IF(G421="","",IF(TODAY()&gt;=G421,"到期","未到期"))</f>
        <v/>
      </c>
    </row>
    <row r="422">
      <c r="A422" s="12" t="n"/>
      <c r="B422" s="12" t="n"/>
      <c r="C422" s="2" t="n"/>
      <c r="D422" s="2" t="n"/>
      <c r="E422" s="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2">
        <f>IF(G422="","",IF(TODAY()&gt;=G422,"到期","未到期"))</f>
        <v/>
      </c>
    </row>
    <row r="423">
      <c r="A423" s="12" t="n"/>
      <c r="B423" s="12" t="n"/>
      <c r="C423" s="2" t="n"/>
      <c r="D423" s="2" t="n"/>
      <c r="E423" s="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2">
        <f>IF(G423="","",IF(TODAY()&gt;=G423,"到期","未到期"))</f>
        <v/>
      </c>
    </row>
    <row r="424">
      <c r="A424" s="12" t="n"/>
      <c r="B424" s="12" t="n"/>
      <c r="C424" s="2" t="n"/>
      <c r="D424" s="2" t="n"/>
      <c r="E424" s="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2">
        <f>IF(G424="","",IF(TODAY()&gt;=G424,"到期","未到期"))</f>
        <v/>
      </c>
    </row>
    <row r="425">
      <c r="A425" s="12" t="n"/>
      <c r="B425" s="12" t="n"/>
      <c r="C425" s="2" t="n"/>
      <c r="D425" s="2" t="n"/>
      <c r="E425" s="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2">
        <f>IF(G425="","",IF(TODAY()&gt;=G425,"到期","未到期"))</f>
        <v/>
      </c>
    </row>
    <row r="426">
      <c r="A426" s="12" t="n"/>
      <c r="B426" s="12" t="n"/>
      <c r="C426" s="2" t="n"/>
      <c r="D426" s="2" t="n"/>
      <c r="E426" s="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2">
        <f>IF(G426="","",IF(TODAY()&gt;=G426,"到期","未到期"))</f>
        <v/>
      </c>
    </row>
    <row r="427">
      <c r="A427" s="12" t="n"/>
      <c r="B427" s="12" t="n"/>
      <c r="C427" s="2" t="n"/>
      <c r="D427" s="2" t="n"/>
      <c r="E427" s="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2">
        <f>IF(G427="","",IF(TODAY()&gt;=G427,"到期","未到期"))</f>
        <v/>
      </c>
    </row>
    <row r="428">
      <c r="A428" s="12" t="n"/>
      <c r="B428" s="12" t="n"/>
      <c r="C428" s="2" t="n"/>
      <c r="D428" s="2" t="n"/>
      <c r="E428" s="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2">
        <f>IF(G428="","",IF(TODAY()&gt;=G428,"到期","未到期"))</f>
        <v/>
      </c>
    </row>
    <row r="429">
      <c r="A429" s="12" t="n"/>
      <c r="B429" s="12" t="n"/>
      <c r="C429" s="2" t="n"/>
      <c r="D429" s="2" t="n"/>
      <c r="E429" s="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2">
        <f>IF(G429="","",IF(TODAY()&gt;=G429,"到期","未到期"))</f>
        <v/>
      </c>
    </row>
    <row r="430">
      <c r="A430" s="12" t="n"/>
      <c r="B430" s="12" t="n"/>
      <c r="C430" s="2" t="n"/>
      <c r="D430" s="2" t="n"/>
      <c r="E430" s="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2">
        <f>IF(G430="","",IF(TODAY()&gt;=G430,"到期","未到期"))</f>
        <v/>
      </c>
    </row>
    <row r="431">
      <c r="A431" s="12" t="n"/>
      <c r="B431" s="12" t="n"/>
      <c r="C431" s="2" t="n"/>
      <c r="D431" s="2" t="n"/>
      <c r="E431" s="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2">
        <f>IF(G431="","",IF(TODAY()&gt;=G431,"到期","未到期"))</f>
        <v/>
      </c>
    </row>
    <row r="432">
      <c r="A432" s="12" t="n"/>
      <c r="B432" s="12" t="n"/>
      <c r="C432" s="2" t="n"/>
      <c r="D432" s="2" t="n"/>
      <c r="E432" s="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2">
        <f>IF(G432="","",IF(TODAY()&gt;=G432,"到期","未到期"))</f>
        <v/>
      </c>
    </row>
    <row r="433">
      <c r="A433" s="12" t="n"/>
      <c r="B433" s="12" t="n"/>
      <c r="C433" s="2" t="n"/>
      <c r="D433" s="2" t="n"/>
      <c r="E433" s="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2">
        <f>IF(G433="","",IF(TODAY()&gt;=G433,"到期","未到期"))</f>
        <v/>
      </c>
    </row>
    <row r="434">
      <c r="A434" s="12" t="n"/>
      <c r="B434" s="12" t="n"/>
      <c r="C434" s="2" t="n"/>
      <c r="D434" s="2" t="n"/>
      <c r="E434" s="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2">
        <f>IF(G434="","",IF(TODAY()&gt;=G434,"到期","未到期"))</f>
        <v/>
      </c>
    </row>
    <row r="435">
      <c r="A435" s="12" t="n"/>
      <c r="B435" s="12" t="n"/>
      <c r="C435" s="2" t="n"/>
      <c r="D435" s="2" t="n"/>
      <c r="E435" s="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2">
        <f>IF(G435="","",IF(TODAY()&gt;=G435,"到期","未到期"))</f>
        <v/>
      </c>
    </row>
    <row r="436">
      <c r="A436" s="12" t="n"/>
      <c r="B436" s="12" t="n"/>
      <c r="C436" s="2" t="n"/>
      <c r="D436" s="2" t="n"/>
      <c r="E436" s="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2">
        <f>IF(G436="","",IF(TODAY()&gt;=G436,"到期","未到期"))</f>
        <v/>
      </c>
    </row>
    <row r="437">
      <c r="A437" s="12" t="n"/>
      <c r="B437" s="12" t="n"/>
      <c r="C437" s="2" t="n"/>
      <c r="D437" s="2" t="n"/>
      <c r="E437" s="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2">
        <f>IF(G437="","",IF(TODAY()&gt;=G437,"到期","未到期"))</f>
        <v/>
      </c>
    </row>
    <row r="438">
      <c r="A438" s="12" t="n"/>
      <c r="B438" s="12" t="n"/>
      <c r="C438" s="2" t="n"/>
      <c r="D438" s="2" t="n"/>
      <c r="E438" s="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2">
        <f>IF(G438="","",IF(TODAY()&gt;=G438,"到期","未到期"))</f>
        <v/>
      </c>
    </row>
    <row r="439">
      <c r="A439" s="12" t="n"/>
      <c r="B439" s="12" t="n"/>
      <c r="C439" s="2" t="n"/>
      <c r="D439" s="2" t="n"/>
      <c r="E439" s="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2">
        <f>IF(G439="","",IF(TODAY()&gt;=G439,"到期","未到期"))</f>
        <v/>
      </c>
    </row>
    <row r="440">
      <c r="A440" s="12" t="n"/>
      <c r="B440" s="12" t="n"/>
      <c r="C440" s="2" t="n"/>
      <c r="D440" s="2" t="n"/>
      <c r="E440" s="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2">
        <f>IF(G440="","",IF(TODAY()&gt;=G440,"到期","未到期"))</f>
        <v/>
      </c>
    </row>
    <row r="441">
      <c r="A441" s="12" t="n"/>
      <c r="B441" s="12" t="n"/>
      <c r="C441" s="2" t="n"/>
      <c r="D441" s="2" t="n"/>
      <c r="E441" s="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2">
        <f>IF(G441="","",IF(TODAY()&gt;=G441,"到期","未到期"))</f>
        <v/>
      </c>
    </row>
    <row r="442">
      <c r="A442" s="12" t="n"/>
      <c r="B442" s="12" t="n"/>
      <c r="C442" s="2" t="n"/>
      <c r="D442" s="2" t="n"/>
      <c r="E442" s="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2">
        <f>IF(G442="","",IF(TODAY()&gt;=G442,"到期","未到期"))</f>
        <v/>
      </c>
    </row>
    <row r="443">
      <c r="A443" s="12" t="n"/>
      <c r="B443" s="12" t="n"/>
      <c r="C443" s="2" t="n"/>
      <c r="D443" s="2" t="n"/>
      <c r="E443" s="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2">
        <f>IF(G443="","",IF(TODAY()&gt;=G443,"到期","未到期"))</f>
        <v/>
      </c>
    </row>
    <row r="444">
      <c r="A444" s="12" t="n"/>
      <c r="B444" s="12" t="n"/>
      <c r="C444" s="2" t="n"/>
      <c r="D444" s="2" t="n"/>
      <c r="E444" s="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2">
        <f>IF(G444="","",IF(TODAY()&gt;=G444,"到期","未到期"))</f>
        <v/>
      </c>
    </row>
    <row r="445">
      <c r="A445" s="12" t="n"/>
      <c r="B445" s="12" t="n"/>
      <c r="C445" s="2" t="n"/>
      <c r="D445" s="2" t="n"/>
      <c r="E445" s="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2">
        <f>IF(G445="","",IF(TODAY()&gt;=G445,"到期","未到期"))</f>
        <v/>
      </c>
    </row>
    <row r="446">
      <c r="A446" s="12" t="n"/>
      <c r="B446" s="12" t="n"/>
      <c r="C446" s="2" t="n"/>
      <c r="D446" s="2" t="n"/>
      <c r="E446" s="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2">
        <f>IF(G446="","",IF(TODAY()&gt;=G446,"到期","未到期"))</f>
        <v/>
      </c>
    </row>
    <row r="447">
      <c r="A447" s="12" t="n"/>
      <c r="B447" s="12" t="n"/>
      <c r="C447" s="2" t="n"/>
      <c r="D447" s="2" t="n"/>
      <c r="E447" s="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2">
        <f>IF(G447="","",IF(TODAY()&gt;=G447,"到期","未到期"))</f>
        <v/>
      </c>
    </row>
    <row r="448">
      <c r="A448" s="12" t="n"/>
      <c r="B448" s="12" t="n"/>
      <c r="C448" s="2" t="n"/>
      <c r="D448" s="2" t="n"/>
      <c r="E448" s="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2">
        <f>IF(G448="","",IF(TODAY()&gt;=G448,"到期","未到期"))</f>
        <v/>
      </c>
    </row>
    <row r="449">
      <c r="A449" s="12" t="n"/>
      <c r="B449" s="12" t="n"/>
      <c r="C449" s="2" t="n"/>
      <c r="D449" s="2" t="n"/>
      <c r="E449" s="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2">
        <f>IF(G449="","",IF(TODAY()&gt;=G449,"到期","未到期"))</f>
        <v/>
      </c>
    </row>
    <row r="450">
      <c r="A450" s="12" t="n"/>
      <c r="B450" s="12" t="n"/>
      <c r="C450" s="2" t="n"/>
      <c r="D450" s="2" t="n"/>
      <c r="E450" s="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2">
        <f>IF(G450="","",IF(TODAY()&gt;=G450,"到期","未到期"))</f>
        <v/>
      </c>
    </row>
    <row r="451">
      <c r="A451" s="12" t="n"/>
      <c r="B451" s="12" t="n"/>
      <c r="C451" s="2" t="n"/>
      <c r="D451" s="2" t="n"/>
      <c r="E451" s="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2">
        <f>IF(G451="","",IF(TODAY()&gt;=G451,"到期","未到期"))</f>
        <v/>
      </c>
    </row>
    <row r="452">
      <c r="A452" s="12" t="n"/>
      <c r="B452" s="12" t="n"/>
      <c r="C452" s="2" t="n"/>
      <c r="D452" s="2" t="n"/>
      <c r="E452" s="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2">
        <f>IF(G452="","",IF(TODAY()&gt;=G452,"到期","未到期"))</f>
        <v/>
      </c>
    </row>
    <row r="453">
      <c r="A453" s="12" t="n"/>
      <c r="B453" s="12" t="n"/>
      <c r="C453" s="2" t="n"/>
      <c r="D453" s="2" t="n"/>
      <c r="E453" s="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2">
        <f>IF(G453="","",IF(TODAY()&gt;=G453,"到期","未到期"))</f>
        <v/>
      </c>
    </row>
    <row r="454">
      <c r="A454" s="12" t="n"/>
      <c r="B454" s="12" t="n"/>
      <c r="C454" s="2" t="n"/>
      <c r="D454" s="2" t="n"/>
      <c r="E454" s="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2">
        <f>IF(G454="","",IF(TODAY()&gt;=G454,"到期","未到期"))</f>
        <v/>
      </c>
    </row>
    <row r="455">
      <c r="A455" s="12" t="n"/>
      <c r="B455" s="12" t="n"/>
      <c r="C455" s="2" t="n"/>
      <c r="D455" s="2" t="n"/>
      <c r="E455" s="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2">
        <f>IF(G455="","",IF(TODAY()&gt;=G455,"到期","未到期"))</f>
        <v/>
      </c>
    </row>
    <row r="456">
      <c r="A456" s="12" t="n"/>
      <c r="B456" s="12" t="n"/>
      <c r="C456" s="2" t="n"/>
      <c r="D456" s="2" t="n"/>
      <c r="E456" s="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2">
        <f>IF(G456="","",IF(TODAY()&gt;=G456,"到期","未到期"))</f>
        <v/>
      </c>
    </row>
    <row r="457">
      <c r="A457" s="12" t="n"/>
      <c r="B457" s="12" t="n"/>
      <c r="C457" s="2" t="n"/>
      <c r="D457" s="2" t="n"/>
      <c r="E457" s="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2">
        <f>IF(G457="","",IF(TODAY()&gt;=G457,"到期","未到期"))</f>
        <v/>
      </c>
    </row>
    <row r="458">
      <c r="A458" s="12" t="n"/>
      <c r="B458" s="12" t="n"/>
      <c r="C458" s="2" t="n"/>
      <c r="D458" s="2" t="n"/>
      <c r="E458" s="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2">
        <f>IF(G458="","",IF(TODAY()&gt;=G458,"到期","未到期"))</f>
        <v/>
      </c>
    </row>
    <row r="459">
      <c r="A459" s="12" t="n"/>
      <c r="B459" s="12" t="n"/>
      <c r="C459" s="2" t="n"/>
      <c r="D459" s="2" t="n"/>
      <c r="E459" s="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2">
        <f>IF(G459="","",IF(TODAY()&gt;=G459,"到期","未到期"))</f>
        <v/>
      </c>
    </row>
    <row r="460">
      <c r="A460" s="12" t="n"/>
      <c r="B460" s="12" t="n"/>
      <c r="C460" s="2" t="n"/>
      <c r="D460" s="2" t="n"/>
      <c r="E460" s="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2">
        <f>IF(G460="","",IF(TODAY()&gt;=G460,"到期","未到期"))</f>
        <v/>
      </c>
    </row>
    <row r="461">
      <c r="A461" s="12" t="n"/>
      <c r="B461" s="12" t="n"/>
      <c r="C461" s="2" t="n"/>
      <c r="D461" s="2" t="n"/>
      <c r="E461" s="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2">
        <f>IF(G461="","",IF(TODAY()&gt;=G461,"到期","未到期"))</f>
        <v/>
      </c>
    </row>
    <row r="462">
      <c r="A462" s="12" t="n"/>
      <c r="B462" s="12" t="n"/>
      <c r="C462" s="2" t="n"/>
      <c r="D462" s="2" t="n"/>
      <c r="E462" s="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2">
        <f>IF(G462="","",IF(TODAY()&gt;=G462,"到期","未到期"))</f>
        <v/>
      </c>
    </row>
    <row r="463">
      <c r="A463" s="12" t="n"/>
      <c r="B463" s="12" t="n"/>
      <c r="C463" s="2" t="n"/>
      <c r="D463" s="2" t="n"/>
      <c r="E463" s="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2">
        <f>IF(G463="","",IF(TODAY()&gt;=G463,"到期","未到期"))</f>
        <v/>
      </c>
    </row>
    <row r="464">
      <c r="A464" s="12" t="n"/>
      <c r="B464" s="12" t="n"/>
      <c r="C464" s="2" t="n"/>
      <c r="D464" s="2" t="n"/>
      <c r="E464" s="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2">
        <f>IF(G464="","",IF(TODAY()&gt;=G464,"到期","未到期"))</f>
        <v/>
      </c>
    </row>
    <row r="465">
      <c r="A465" s="12" t="n"/>
      <c r="B465" s="12" t="n"/>
      <c r="C465" s="2" t="n"/>
      <c r="D465" s="2" t="n"/>
      <c r="E465" s="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2">
        <f>IF(G465="","",IF(TODAY()&gt;=G465,"到期","未到期"))</f>
        <v/>
      </c>
    </row>
    <row r="466">
      <c r="A466" s="12" t="n"/>
      <c r="B466" s="12" t="n"/>
      <c r="C466" s="2" t="n"/>
      <c r="D466" s="2" t="n"/>
      <c r="E466" s="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2">
        <f>IF(G466="","",IF(TODAY()&gt;=G466,"到期","未到期"))</f>
        <v/>
      </c>
    </row>
    <row r="467">
      <c r="A467" s="12" t="n"/>
      <c r="B467" s="12" t="n"/>
      <c r="C467" s="2" t="n"/>
      <c r="D467" s="2" t="n"/>
      <c r="E467" s="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2">
        <f>IF(G467="","",IF(TODAY()&gt;=G467,"到期","未到期"))</f>
        <v/>
      </c>
    </row>
    <row r="468">
      <c r="A468" s="12" t="n"/>
      <c r="B468" s="12" t="n"/>
      <c r="C468" s="2" t="n"/>
      <c r="D468" s="2" t="n"/>
      <c r="E468" s="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2">
        <f>IF(G468="","",IF(TODAY()&gt;=G468,"到期","未到期"))</f>
        <v/>
      </c>
    </row>
    <row r="469">
      <c r="A469" s="12" t="n"/>
      <c r="B469" s="12" t="n"/>
      <c r="C469" s="2" t="n"/>
      <c r="D469" s="2" t="n"/>
      <c r="E469" s="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2">
        <f>IF(G469="","",IF(TODAY()&gt;=G469,"到期","未到期"))</f>
        <v/>
      </c>
    </row>
    <row r="470">
      <c r="A470" s="12" t="n"/>
      <c r="B470" s="12" t="n"/>
      <c r="C470" s="2" t="n"/>
      <c r="D470" s="2" t="n"/>
      <c r="E470" s="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2">
        <f>IF(G470="","",IF(TODAY()&gt;=G470,"到期","未到期"))</f>
        <v/>
      </c>
    </row>
    <row r="471">
      <c r="A471" s="12" t="n"/>
      <c r="B471" s="12" t="n"/>
      <c r="C471" s="2" t="n"/>
      <c r="D471" s="2" t="n"/>
      <c r="E471" s="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2">
        <f>IF(G471="","",IF(TODAY()&gt;=G471,"到期","未到期"))</f>
        <v/>
      </c>
    </row>
    <row r="472">
      <c r="A472" s="12" t="n"/>
      <c r="B472" s="12" t="n"/>
      <c r="C472" s="2" t="n"/>
      <c r="D472" s="2" t="n"/>
      <c r="E472" s="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2">
        <f>IF(G472="","",IF(TODAY()&gt;=G472,"到期","未到期"))</f>
        <v/>
      </c>
    </row>
    <row r="473">
      <c r="A473" s="12" t="n"/>
      <c r="B473" s="12" t="n"/>
      <c r="C473" s="2" t="n"/>
      <c r="D473" s="2" t="n"/>
      <c r="E473" s="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2">
        <f>IF(G473="","",IF(TODAY()&gt;=G473,"到期","未到期"))</f>
        <v/>
      </c>
    </row>
    <row r="474">
      <c r="A474" s="12" t="n"/>
      <c r="B474" s="12" t="n"/>
      <c r="C474" s="2" t="n"/>
      <c r="D474" s="2" t="n"/>
      <c r="E474" s="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2">
        <f>IF(G474="","",IF(TODAY()&gt;=G474,"到期","未到期"))</f>
        <v/>
      </c>
    </row>
    <row r="475">
      <c r="A475" s="12" t="n"/>
      <c r="B475" s="12" t="n"/>
      <c r="C475" s="2" t="n"/>
      <c r="D475" s="2" t="n"/>
      <c r="E475" s="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2">
        <f>IF(G475="","",IF(TODAY()&gt;=G475,"到期","未到期"))</f>
        <v/>
      </c>
    </row>
    <row r="476">
      <c r="A476" s="12" t="n"/>
      <c r="B476" s="12" t="n"/>
      <c r="C476" s="2" t="n"/>
      <c r="D476" s="2" t="n"/>
      <c r="E476" s="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2">
        <f>IF(G476="","",IF(TODAY()&gt;=G476,"到期","未到期"))</f>
        <v/>
      </c>
    </row>
    <row r="477">
      <c r="A477" s="12" t="n"/>
      <c r="B477" s="12" t="n"/>
      <c r="C477" s="2" t="n"/>
      <c r="D477" s="2" t="n"/>
      <c r="E477" s="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2">
        <f>IF(G477="","",IF(TODAY()&gt;=G477,"到期","未到期"))</f>
        <v/>
      </c>
    </row>
    <row r="478">
      <c r="A478" s="12" t="n"/>
      <c r="B478" s="12" t="n"/>
      <c r="C478" s="2" t="n"/>
      <c r="D478" s="2" t="n"/>
      <c r="E478" s="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2">
        <f>IF(G478="","",IF(TODAY()&gt;=G478,"到期","未到期"))</f>
        <v/>
      </c>
    </row>
    <row r="479">
      <c r="A479" s="12" t="n"/>
      <c r="B479" s="12" t="n"/>
      <c r="C479" s="2" t="n"/>
      <c r="D479" s="2" t="n"/>
      <c r="E479" s="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2">
        <f>IF(G479="","",IF(TODAY()&gt;=G479,"到期","未到期"))</f>
        <v/>
      </c>
    </row>
    <row r="480">
      <c r="A480" s="12" t="n"/>
      <c r="B480" s="12" t="n"/>
      <c r="C480" s="2" t="n"/>
      <c r="D480" s="2" t="n"/>
      <c r="E480" s="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2">
        <f>IF(G480="","",IF(TODAY()&gt;=G480,"到期","未到期"))</f>
        <v/>
      </c>
    </row>
    <row r="481">
      <c r="A481" s="12" t="n"/>
      <c r="B481" s="12" t="n"/>
      <c r="C481" s="2" t="n"/>
      <c r="D481" s="2" t="n"/>
      <c r="E481" s="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2">
        <f>IF(G481="","",IF(TODAY()&gt;=G481,"到期","未到期"))</f>
        <v/>
      </c>
    </row>
    <row r="482">
      <c r="A482" s="12" t="n"/>
      <c r="B482" s="12" t="n"/>
      <c r="C482" s="2" t="n"/>
      <c r="D482" s="2" t="n"/>
      <c r="E482" s="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2">
        <f>IF(G482="","",IF(TODAY()&gt;=G482,"到期","未到期"))</f>
        <v/>
      </c>
    </row>
    <row r="483">
      <c r="A483" s="12" t="n"/>
      <c r="B483" s="12" t="n"/>
      <c r="C483" s="2" t="n"/>
      <c r="D483" s="2" t="n"/>
      <c r="E483" s="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2">
        <f>IF(G483="","",IF(TODAY()&gt;=G483,"到期","未到期"))</f>
        <v/>
      </c>
    </row>
    <row r="484">
      <c r="A484" s="12" t="n"/>
      <c r="B484" s="12" t="n"/>
      <c r="C484" s="2" t="n"/>
      <c r="D484" s="2" t="n"/>
      <c r="E484" s="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2">
        <f>IF(G484="","",IF(TODAY()&gt;=G484,"到期","未到期"))</f>
        <v/>
      </c>
    </row>
    <row r="485">
      <c r="A485" s="12" t="n"/>
      <c r="B485" s="12" t="n"/>
      <c r="C485" s="2" t="n"/>
      <c r="D485" s="2" t="n"/>
      <c r="E485" s="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2">
        <f>IF(G485="","",IF(TODAY()&gt;=G485,"到期","未到期"))</f>
        <v/>
      </c>
    </row>
    <row r="486">
      <c r="A486" s="12" t="n"/>
      <c r="B486" s="12" t="n"/>
      <c r="C486" s="2" t="n"/>
      <c r="D486" s="2" t="n"/>
      <c r="E486" s="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2">
        <f>IF(G486="","",IF(TODAY()&gt;=G486,"到期","未到期"))</f>
        <v/>
      </c>
    </row>
    <row r="487">
      <c r="A487" s="12" t="n"/>
      <c r="B487" s="12" t="n"/>
      <c r="C487" s="2" t="n"/>
      <c r="D487" s="2" t="n"/>
      <c r="E487" s="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2">
        <f>IF(G487="","",IF(TODAY()&gt;=G487,"到期","未到期"))</f>
        <v/>
      </c>
    </row>
    <row r="488">
      <c r="A488" s="12" t="n"/>
      <c r="B488" s="12" t="n"/>
      <c r="C488" s="2" t="n"/>
      <c r="D488" s="2" t="n"/>
      <c r="E488" s="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2">
        <f>IF(G488="","",IF(TODAY()&gt;=G488,"到期","未到期"))</f>
        <v/>
      </c>
    </row>
    <row r="489">
      <c r="A489" s="12" t="n"/>
      <c r="B489" s="12" t="n"/>
      <c r="C489" s="2" t="n"/>
      <c r="D489" s="2" t="n"/>
      <c r="E489" s="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2">
        <f>IF(G489="","",IF(TODAY()&gt;=G489,"到期","未到期"))</f>
        <v/>
      </c>
    </row>
    <row r="490">
      <c r="A490" s="12" t="n"/>
      <c r="B490" s="12" t="n"/>
      <c r="C490" s="2" t="n"/>
      <c r="D490" s="2" t="n"/>
      <c r="E490" s="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2">
        <f>IF(G490="","",IF(TODAY()&gt;=G490,"到期","未到期"))</f>
        <v/>
      </c>
    </row>
    <row r="491">
      <c r="A491" s="12" t="n"/>
      <c r="B491" s="12" t="n"/>
      <c r="C491" s="2" t="n"/>
      <c r="D491" s="2" t="n"/>
      <c r="E491" s="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2">
        <f>IF(G491="","",IF(TODAY()&gt;=G491,"到期","未到期"))</f>
        <v/>
      </c>
    </row>
    <row r="492">
      <c r="A492" s="12" t="n"/>
      <c r="B492" s="12" t="n"/>
      <c r="C492" s="2" t="n"/>
      <c r="D492" s="2" t="n"/>
      <c r="E492" s="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2">
        <f>IF(G492="","",IF(TODAY()&gt;=G492,"到期","未到期"))</f>
        <v/>
      </c>
    </row>
    <row r="493">
      <c r="A493" s="12" t="n"/>
      <c r="B493" s="12" t="n"/>
      <c r="C493" s="2" t="n"/>
      <c r="D493" s="2" t="n"/>
      <c r="E493" s="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2">
        <f>IF(G493="","",IF(TODAY()&gt;=G493,"到期","未到期"))</f>
        <v/>
      </c>
    </row>
    <row r="494">
      <c r="A494" s="12" t="n"/>
      <c r="B494" s="12" t="n"/>
      <c r="C494" s="2" t="n"/>
      <c r="D494" s="2" t="n"/>
      <c r="E494" s="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2">
        <f>IF(G494="","",IF(TODAY()&gt;=G494,"到期","未到期"))</f>
        <v/>
      </c>
    </row>
    <row r="495">
      <c r="A495" s="12" t="n"/>
      <c r="B495" s="12" t="n"/>
      <c r="C495" s="2" t="n"/>
      <c r="D495" s="2" t="n"/>
      <c r="E495" s="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2">
        <f>IF(G495="","",IF(TODAY()&gt;=G495,"到期","未到期"))</f>
        <v/>
      </c>
    </row>
    <row r="496">
      <c r="A496" s="12" t="n"/>
      <c r="B496" s="12" t="n"/>
      <c r="C496" s="2" t="n"/>
      <c r="D496" s="2" t="n"/>
      <c r="E496" s="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2">
        <f>IF(G496="","",IF(TODAY()&gt;=G496,"到期","未到期"))</f>
        <v/>
      </c>
    </row>
    <row r="497">
      <c r="A497" s="12" t="n"/>
      <c r="B497" s="12" t="n"/>
      <c r="C497" s="2" t="n"/>
      <c r="D497" s="2" t="n"/>
      <c r="E497" s="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2">
        <f>IF(G497="","",IF(TODAY()&gt;=G497,"到期","未到期"))</f>
        <v/>
      </c>
    </row>
    <row r="498">
      <c r="A498" s="12" t="n"/>
      <c r="B498" s="12" t="n"/>
      <c r="C498" s="2" t="n"/>
      <c r="D498" s="2" t="n"/>
      <c r="E498" s="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2">
        <f>IF(G498="","",IF(TODAY()&gt;=G498,"到期","未到期"))</f>
        <v/>
      </c>
    </row>
    <row r="499">
      <c r="A499" s="12" t="n"/>
      <c r="B499" s="12" t="n"/>
      <c r="C499" s="2" t="n"/>
      <c r="D499" s="2" t="n"/>
      <c r="E499" s="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2">
        <f>IF(G499="","",IF(TODAY()&gt;=G499,"到期","未到期"))</f>
        <v/>
      </c>
    </row>
    <row r="500">
      <c r="A500" s="12" t="n"/>
      <c r="B500" s="12" t="n"/>
      <c r="C500" s="2" t="n"/>
      <c r="D500" s="2" t="n"/>
      <c r="E500" s="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2">
        <f>IF(G500="","",IF(TODAY()&gt;=G500,"到期","未到期"))</f>
        <v/>
      </c>
    </row>
    <row r="501">
      <c r="A501" s="12" t="n"/>
      <c r="B501" s="12" t="n"/>
      <c r="C501" s="2" t="n"/>
      <c r="D501" s="2" t="n"/>
      <c r="E501" s="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2">
        <f>IF(G501="","",IF(TODAY()&gt;=G501,"到期","未到期"))</f>
        <v/>
      </c>
    </row>
  </sheetData>
  <autoFilter ref="A1:N1"/>
  <conditionalFormatting sqref="K2:K501">
    <cfRule type="expression" priority="1" dxfId="0">
      <formula>$K2="正确"</formula>
    </cfRule>
    <cfRule type="expression" priority="2" dxfId="1">
      <formula>$K2="部分正确"</formula>
    </cfRule>
    <cfRule type="expression" priority="3" dxfId="2">
      <formula>$K2="错误"</formula>
    </cfRule>
  </conditionalFormatting>
  <dataValidations count="5">
    <dataValidation sqref="E2:E501" showDropDown="0" showInputMessage="0" showErrorMessage="0" allowBlank="1" type="list">
      <formula1>=选项!$B$8:$J$8</formula1>
    </dataValidation>
    <dataValidation sqref="F2:F501" showDropDown="0" showInputMessage="0" showErrorMessage="0" allowBlank="1" type="list">
      <formula1>=选项!$B$14:$D$14</formula1>
    </dataValidation>
    <dataValidation sqref="I2:I501" showDropDown="0" showInputMessage="0" showErrorMessage="0" allowBlank="1" type="list">
      <formula1>=选项!$B$15:$E$15</formula1>
    </dataValidation>
    <dataValidation sqref="K2:K501" showDropDown="0" showInputMessage="0" showErrorMessage="0" allowBlank="1" type="list">
      <formula1>=选项!$B$16:$E$16</formula1>
    </dataValidation>
    <dataValidation sqref="L2:L501" showDropDown="0" showInputMessage="0" showErrorMessage="0" allowBlank="1" type="list">
      <formula1>=选项!$B$17:$J$17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8" customWidth="1" min="16" max="16"/>
    <col width="24" customWidth="1" min="17" max="17"/>
  </cols>
  <sheetData>
    <row r="1">
      <c r="A1" s="3" t="inlineStr">
        <is>
          <t>交易ID</t>
        </is>
      </c>
      <c r="B1" s="3" t="inlineStr">
        <is>
          <t>来源记录ID</t>
        </is>
      </c>
      <c r="C1" s="3" t="inlineStr">
        <is>
          <t>股票</t>
        </is>
      </c>
      <c r="D1" s="3" t="inlineStr">
        <is>
          <t>买入日期</t>
        </is>
      </c>
      <c r="E1" s="3" t="inlineStr">
        <is>
          <t>买入理由</t>
        </is>
      </c>
      <c r="F1" s="3" t="inlineStr">
        <is>
          <t>买入价</t>
        </is>
      </c>
      <c r="G1" s="3" t="inlineStr">
        <is>
          <t>止损价</t>
        </is>
      </c>
      <c r="H1" s="3" t="inlineStr">
        <is>
          <t>目标价</t>
        </is>
      </c>
      <c r="I1" s="3" t="inlineStr">
        <is>
          <t>仓位类型</t>
        </is>
      </c>
      <c r="J1" s="3" t="inlineStr">
        <is>
          <t>卖出日期</t>
        </is>
      </c>
      <c r="K1" s="3" t="inlineStr">
        <is>
          <t>卖出价</t>
        </is>
      </c>
      <c r="L1" s="3" t="inlineStr">
        <is>
          <t>收益率</t>
        </is>
      </c>
      <c r="M1" s="3" t="inlineStr">
        <is>
          <t>止损距离</t>
        </is>
      </c>
      <c r="N1" s="3" t="inlineStr">
        <is>
          <t>风险收益比</t>
        </is>
      </c>
      <c r="O1" s="3" t="inlineStr">
        <is>
          <t>结果</t>
        </is>
      </c>
      <c r="P1" s="3" t="inlineStr">
        <is>
          <t>主要问题</t>
        </is>
      </c>
      <c r="Q1" s="3" t="inlineStr">
        <is>
          <t>备注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4">
        <f>IF(OR(F2="",K2=""),"",(K2-F2)/F2)</f>
        <v/>
      </c>
      <c r="M2" s="4">
        <f>IF(OR(F2="",G2=""),"",(G2-F2)/F2)</f>
        <v/>
      </c>
      <c r="N2" s="6">
        <f>IF(OR(F2="",G2="",H2=""),"",(H2-F2)/(F2-G2))</f>
        <v/>
      </c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4">
        <f>IF(OR(F3="",K3=""),"",(K3-F3)/F3)</f>
        <v/>
      </c>
      <c r="M3" s="4">
        <f>IF(OR(F3="",G3=""),"",(G3-F3)/F3)</f>
        <v/>
      </c>
      <c r="N3" s="6">
        <f>IF(OR(F3="",G3="",H3=""),"",(H3-F3)/(F3-G3))</f>
        <v/>
      </c>
      <c r="O3" s="2" t="n"/>
      <c r="P3" s="2" t="n"/>
      <c r="Q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4">
        <f>IF(OR(F4="",K4=""),"",(K4-F4)/F4)</f>
        <v/>
      </c>
      <c r="M4" s="4">
        <f>IF(OR(F4="",G4=""),"",(G4-F4)/F4)</f>
        <v/>
      </c>
      <c r="N4" s="6">
        <f>IF(OR(F4="",G4="",H4=""),"",(H4-F4)/(F4-G4))</f>
        <v/>
      </c>
      <c r="O4" s="2" t="n"/>
      <c r="P4" s="2" t="n"/>
      <c r="Q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4">
        <f>IF(OR(F5="",K5=""),"",(K5-F5)/F5)</f>
        <v/>
      </c>
      <c r="M5" s="4">
        <f>IF(OR(F5="",G5=""),"",(G5-F5)/F5)</f>
        <v/>
      </c>
      <c r="N5" s="6">
        <f>IF(OR(F5="",G5="",H5=""),"",(H5-F5)/(F5-G5))</f>
        <v/>
      </c>
      <c r="O5" s="2" t="n"/>
      <c r="P5" s="2" t="n"/>
      <c r="Q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4">
        <f>IF(OR(F6="",K6=""),"",(K6-F6)/F6)</f>
        <v/>
      </c>
      <c r="M6" s="4">
        <f>IF(OR(F6="",G6=""),"",(G6-F6)/F6)</f>
        <v/>
      </c>
      <c r="N6" s="6">
        <f>IF(OR(F6="",G6="",H6=""),"",(H6-F6)/(F6-G6))</f>
        <v/>
      </c>
      <c r="O6" s="2" t="n"/>
      <c r="P6" s="2" t="n"/>
      <c r="Q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4">
        <f>IF(OR(F7="",K7=""),"",(K7-F7)/F7)</f>
        <v/>
      </c>
      <c r="M7" s="4">
        <f>IF(OR(F7="",G7=""),"",(G7-F7)/F7)</f>
        <v/>
      </c>
      <c r="N7" s="6">
        <f>IF(OR(F7="",G7="",H7=""),"",(H7-F7)/(F7-G7))</f>
        <v/>
      </c>
      <c r="O7" s="2" t="n"/>
      <c r="P7" s="2" t="n"/>
      <c r="Q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4">
        <f>IF(OR(F8="",K8=""),"",(K8-F8)/F8)</f>
        <v/>
      </c>
      <c r="M8" s="4">
        <f>IF(OR(F8="",G8=""),"",(G8-F8)/F8)</f>
        <v/>
      </c>
      <c r="N8" s="6">
        <f>IF(OR(F8="",G8="",H8=""),"",(H8-F8)/(F8-G8))</f>
        <v/>
      </c>
      <c r="O8" s="2" t="n"/>
      <c r="P8" s="2" t="n"/>
      <c r="Q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4">
        <f>IF(OR(F9="",K9=""),"",(K9-F9)/F9)</f>
        <v/>
      </c>
      <c r="M9" s="4">
        <f>IF(OR(F9="",G9=""),"",(G9-F9)/F9)</f>
        <v/>
      </c>
      <c r="N9" s="6">
        <f>IF(OR(F9="",G9="",H9=""),"",(H9-F9)/(F9-G9))</f>
        <v/>
      </c>
      <c r="O9" s="2" t="n"/>
      <c r="P9" s="2" t="n"/>
      <c r="Q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4">
        <f>IF(OR(F10="",K10=""),"",(K10-F10)/F10)</f>
        <v/>
      </c>
      <c r="M10" s="4">
        <f>IF(OR(F10="",G10=""),"",(G10-F10)/F10)</f>
        <v/>
      </c>
      <c r="N10" s="6">
        <f>IF(OR(F10="",G10="",H10=""),"",(H10-F10)/(F10-G10))</f>
        <v/>
      </c>
      <c r="O10" s="2" t="n"/>
      <c r="P10" s="2" t="n"/>
      <c r="Q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4">
        <f>IF(OR(F11="",K11=""),"",(K11-F11)/F11)</f>
        <v/>
      </c>
      <c r="M11" s="4">
        <f>IF(OR(F11="",G11=""),"",(G11-F11)/F11)</f>
        <v/>
      </c>
      <c r="N11" s="6">
        <f>IF(OR(F11="",G11="",H11=""),"",(H11-F11)/(F11-G11))</f>
        <v/>
      </c>
      <c r="O11" s="2" t="n"/>
      <c r="P11" s="2" t="n"/>
      <c r="Q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4">
        <f>IF(OR(F12="",K12=""),"",(K12-F12)/F12)</f>
        <v/>
      </c>
      <c r="M12" s="4">
        <f>IF(OR(F12="",G12=""),"",(G12-F12)/F12)</f>
        <v/>
      </c>
      <c r="N12" s="6">
        <f>IF(OR(F12="",G12="",H12=""),"",(H12-F12)/(F12-G12))</f>
        <v/>
      </c>
      <c r="O12" s="2" t="n"/>
      <c r="P12" s="2" t="n"/>
      <c r="Q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4">
        <f>IF(OR(F13="",K13=""),"",(K13-F13)/F13)</f>
        <v/>
      </c>
      <c r="M13" s="4">
        <f>IF(OR(F13="",G13=""),"",(G13-F13)/F13)</f>
        <v/>
      </c>
      <c r="N13" s="6">
        <f>IF(OR(F13="",G13="",H13=""),"",(H13-F13)/(F13-G13))</f>
        <v/>
      </c>
      <c r="O13" s="2" t="n"/>
      <c r="P13" s="2" t="n"/>
      <c r="Q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4">
        <f>IF(OR(F14="",K14=""),"",(K14-F14)/F14)</f>
        <v/>
      </c>
      <c r="M14" s="4">
        <f>IF(OR(F14="",G14=""),"",(G14-F14)/F14)</f>
        <v/>
      </c>
      <c r="N14" s="6">
        <f>IF(OR(F14="",G14="",H14=""),"",(H14-F14)/(F14-G14))</f>
        <v/>
      </c>
      <c r="O14" s="2" t="n"/>
      <c r="P14" s="2" t="n"/>
      <c r="Q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4">
        <f>IF(OR(F15="",K15=""),"",(K15-F15)/F15)</f>
        <v/>
      </c>
      <c r="M15" s="4">
        <f>IF(OR(F15="",G15=""),"",(G15-F15)/F15)</f>
        <v/>
      </c>
      <c r="N15" s="6">
        <f>IF(OR(F15="",G15="",H15=""),"",(H15-F15)/(F15-G15))</f>
        <v/>
      </c>
      <c r="O15" s="2" t="n"/>
      <c r="P15" s="2" t="n"/>
      <c r="Q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4">
        <f>IF(OR(F16="",K16=""),"",(K16-F16)/F16)</f>
        <v/>
      </c>
      <c r="M16" s="4">
        <f>IF(OR(F16="",G16=""),"",(G16-F16)/F16)</f>
        <v/>
      </c>
      <c r="N16" s="6">
        <f>IF(OR(F16="",G16="",H16=""),"",(H16-F16)/(F16-G16))</f>
        <v/>
      </c>
      <c r="O16" s="2" t="n"/>
      <c r="P16" s="2" t="n"/>
      <c r="Q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4">
        <f>IF(OR(F17="",K17=""),"",(K17-F17)/F17)</f>
        <v/>
      </c>
      <c r="M17" s="4">
        <f>IF(OR(F17="",G17=""),"",(G17-F17)/F17)</f>
        <v/>
      </c>
      <c r="N17" s="6">
        <f>IF(OR(F17="",G17="",H17=""),"",(H17-F17)/(F17-G17))</f>
        <v/>
      </c>
      <c r="O17" s="2" t="n"/>
      <c r="P17" s="2" t="n"/>
      <c r="Q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4">
        <f>IF(OR(F18="",K18=""),"",(K18-F18)/F18)</f>
        <v/>
      </c>
      <c r="M18" s="4">
        <f>IF(OR(F18="",G18=""),"",(G18-F18)/F18)</f>
        <v/>
      </c>
      <c r="N18" s="6">
        <f>IF(OR(F18="",G18="",H18=""),"",(H18-F18)/(F18-G18))</f>
        <v/>
      </c>
      <c r="O18" s="2" t="n"/>
      <c r="P18" s="2" t="n"/>
      <c r="Q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4">
        <f>IF(OR(F19="",K19=""),"",(K19-F19)/F19)</f>
        <v/>
      </c>
      <c r="M19" s="4">
        <f>IF(OR(F19="",G19=""),"",(G19-F19)/F19)</f>
        <v/>
      </c>
      <c r="N19" s="6">
        <f>IF(OR(F19="",G19="",H19=""),"",(H19-F19)/(F19-G19))</f>
        <v/>
      </c>
      <c r="O19" s="2" t="n"/>
      <c r="P19" s="2" t="n"/>
      <c r="Q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4">
        <f>IF(OR(F20="",K20=""),"",(K20-F20)/F20)</f>
        <v/>
      </c>
      <c r="M20" s="4">
        <f>IF(OR(F20="",G20=""),"",(G20-F20)/F20)</f>
        <v/>
      </c>
      <c r="N20" s="6">
        <f>IF(OR(F20="",G20="",H20=""),"",(H20-F20)/(F20-G20))</f>
        <v/>
      </c>
      <c r="O20" s="2" t="n"/>
      <c r="P20" s="2" t="n"/>
      <c r="Q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4">
        <f>IF(OR(F21="",K21=""),"",(K21-F21)/F21)</f>
        <v/>
      </c>
      <c r="M21" s="4">
        <f>IF(OR(F21="",G21=""),"",(G21-F21)/F21)</f>
        <v/>
      </c>
      <c r="N21" s="6">
        <f>IF(OR(F21="",G21="",H21=""),"",(H21-F21)/(F21-G21))</f>
        <v/>
      </c>
      <c r="O21" s="2" t="n"/>
      <c r="P21" s="2" t="n"/>
      <c r="Q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4">
        <f>IF(OR(F22="",K22=""),"",(K22-F22)/F22)</f>
        <v/>
      </c>
      <c r="M22" s="4">
        <f>IF(OR(F22="",G22=""),"",(G22-F22)/F22)</f>
        <v/>
      </c>
      <c r="N22" s="6">
        <f>IF(OR(F22="",G22="",H22=""),"",(H22-F22)/(F22-G22))</f>
        <v/>
      </c>
      <c r="O22" s="2" t="n"/>
      <c r="P22" s="2" t="n"/>
      <c r="Q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4">
        <f>IF(OR(F23="",K23=""),"",(K23-F23)/F23)</f>
        <v/>
      </c>
      <c r="M23" s="4">
        <f>IF(OR(F23="",G23=""),"",(G23-F23)/F23)</f>
        <v/>
      </c>
      <c r="N23" s="6">
        <f>IF(OR(F23="",G23="",H23=""),"",(H23-F23)/(F23-G23))</f>
        <v/>
      </c>
      <c r="O23" s="2" t="n"/>
      <c r="P23" s="2" t="n"/>
      <c r="Q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4">
        <f>IF(OR(F24="",K24=""),"",(K24-F24)/F24)</f>
        <v/>
      </c>
      <c r="M24" s="4">
        <f>IF(OR(F24="",G24=""),"",(G24-F24)/F24)</f>
        <v/>
      </c>
      <c r="N24" s="6">
        <f>IF(OR(F24="",G24="",H24=""),"",(H24-F24)/(F24-G24))</f>
        <v/>
      </c>
      <c r="O24" s="2" t="n"/>
      <c r="P24" s="2" t="n"/>
      <c r="Q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4">
        <f>IF(OR(F25="",K25=""),"",(K25-F25)/F25)</f>
        <v/>
      </c>
      <c r="M25" s="4">
        <f>IF(OR(F25="",G25=""),"",(G25-F25)/F25)</f>
        <v/>
      </c>
      <c r="N25" s="6">
        <f>IF(OR(F25="",G25="",H25=""),"",(H25-F25)/(F25-G25))</f>
        <v/>
      </c>
      <c r="O25" s="2" t="n"/>
      <c r="P25" s="2" t="n"/>
      <c r="Q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4">
        <f>IF(OR(F26="",K26=""),"",(K26-F26)/F26)</f>
        <v/>
      </c>
      <c r="M26" s="4">
        <f>IF(OR(F26="",G26=""),"",(G26-F26)/F26)</f>
        <v/>
      </c>
      <c r="N26" s="6">
        <f>IF(OR(F26="",G26="",H26=""),"",(H26-F26)/(F26-G26))</f>
        <v/>
      </c>
      <c r="O26" s="2" t="n"/>
      <c r="P26" s="2" t="n"/>
      <c r="Q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4">
        <f>IF(OR(F27="",K27=""),"",(K27-F27)/F27)</f>
        <v/>
      </c>
      <c r="M27" s="4">
        <f>IF(OR(F27="",G27=""),"",(G27-F27)/F27)</f>
        <v/>
      </c>
      <c r="N27" s="6">
        <f>IF(OR(F27="",G27="",H27=""),"",(H27-F27)/(F27-G27))</f>
        <v/>
      </c>
      <c r="O27" s="2" t="n"/>
      <c r="P27" s="2" t="n"/>
      <c r="Q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4">
        <f>IF(OR(F28="",K28=""),"",(K28-F28)/F28)</f>
        <v/>
      </c>
      <c r="M28" s="4">
        <f>IF(OR(F28="",G28=""),"",(G28-F28)/F28)</f>
        <v/>
      </c>
      <c r="N28" s="6">
        <f>IF(OR(F28="",G28="",H28=""),"",(H28-F28)/(F28-G28))</f>
        <v/>
      </c>
      <c r="O28" s="2" t="n"/>
      <c r="P28" s="2" t="n"/>
      <c r="Q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4">
        <f>IF(OR(F29="",K29=""),"",(K29-F29)/F29)</f>
        <v/>
      </c>
      <c r="M29" s="4">
        <f>IF(OR(F29="",G29=""),"",(G29-F29)/F29)</f>
        <v/>
      </c>
      <c r="N29" s="6">
        <f>IF(OR(F29="",G29="",H29=""),"",(H29-F29)/(F29-G29))</f>
        <v/>
      </c>
      <c r="O29" s="2" t="n"/>
      <c r="P29" s="2" t="n"/>
      <c r="Q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4">
        <f>IF(OR(F30="",K30=""),"",(K30-F30)/F30)</f>
        <v/>
      </c>
      <c r="M30" s="4">
        <f>IF(OR(F30="",G30=""),"",(G30-F30)/F30)</f>
        <v/>
      </c>
      <c r="N30" s="6">
        <f>IF(OR(F30="",G30="",H30=""),"",(H30-F30)/(F30-G30))</f>
        <v/>
      </c>
      <c r="O30" s="2" t="n"/>
      <c r="P30" s="2" t="n"/>
      <c r="Q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4">
        <f>IF(OR(F31="",K31=""),"",(K31-F31)/F31)</f>
        <v/>
      </c>
      <c r="M31" s="4">
        <f>IF(OR(F31="",G31=""),"",(G31-F31)/F31)</f>
        <v/>
      </c>
      <c r="N31" s="6">
        <f>IF(OR(F31="",G31="",H31=""),"",(H31-F31)/(F31-G31))</f>
        <v/>
      </c>
      <c r="O31" s="2" t="n"/>
      <c r="P31" s="2" t="n"/>
      <c r="Q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4">
        <f>IF(OR(F32="",K32=""),"",(K32-F32)/F32)</f>
        <v/>
      </c>
      <c r="M32" s="4">
        <f>IF(OR(F32="",G32=""),"",(G32-F32)/F32)</f>
        <v/>
      </c>
      <c r="N32" s="6">
        <f>IF(OR(F32="",G32="",H32=""),"",(H32-F32)/(F32-G32))</f>
        <v/>
      </c>
      <c r="O32" s="2" t="n"/>
      <c r="P32" s="2" t="n"/>
      <c r="Q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4">
        <f>IF(OR(F33="",K33=""),"",(K33-F33)/F33)</f>
        <v/>
      </c>
      <c r="M33" s="4">
        <f>IF(OR(F33="",G33=""),"",(G33-F33)/F33)</f>
        <v/>
      </c>
      <c r="N33" s="6">
        <f>IF(OR(F33="",G33="",H33=""),"",(H33-F33)/(F33-G33))</f>
        <v/>
      </c>
      <c r="O33" s="2" t="n"/>
      <c r="P33" s="2" t="n"/>
      <c r="Q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4">
        <f>IF(OR(F34="",K34=""),"",(K34-F34)/F34)</f>
        <v/>
      </c>
      <c r="M34" s="4">
        <f>IF(OR(F34="",G34=""),"",(G34-F34)/F34)</f>
        <v/>
      </c>
      <c r="N34" s="6">
        <f>IF(OR(F34="",G34="",H34=""),"",(H34-F34)/(F34-G34))</f>
        <v/>
      </c>
      <c r="O34" s="2" t="n"/>
      <c r="P34" s="2" t="n"/>
      <c r="Q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4">
        <f>IF(OR(F35="",K35=""),"",(K35-F35)/F35)</f>
        <v/>
      </c>
      <c r="M35" s="4">
        <f>IF(OR(F35="",G35=""),"",(G35-F35)/F35)</f>
        <v/>
      </c>
      <c r="N35" s="6">
        <f>IF(OR(F35="",G35="",H35=""),"",(H35-F35)/(F35-G35))</f>
        <v/>
      </c>
      <c r="O35" s="2" t="n"/>
      <c r="P35" s="2" t="n"/>
      <c r="Q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4">
        <f>IF(OR(F36="",K36=""),"",(K36-F36)/F36)</f>
        <v/>
      </c>
      <c r="M36" s="4">
        <f>IF(OR(F36="",G36=""),"",(G36-F36)/F36)</f>
        <v/>
      </c>
      <c r="N36" s="6">
        <f>IF(OR(F36="",G36="",H36=""),"",(H36-F36)/(F36-G36))</f>
        <v/>
      </c>
      <c r="O36" s="2" t="n"/>
      <c r="P36" s="2" t="n"/>
      <c r="Q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4">
        <f>IF(OR(F37="",K37=""),"",(K37-F37)/F37)</f>
        <v/>
      </c>
      <c r="M37" s="4">
        <f>IF(OR(F37="",G37=""),"",(G37-F37)/F37)</f>
        <v/>
      </c>
      <c r="N37" s="6">
        <f>IF(OR(F37="",G37="",H37=""),"",(H37-F37)/(F37-G37))</f>
        <v/>
      </c>
      <c r="O37" s="2" t="n"/>
      <c r="P37" s="2" t="n"/>
      <c r="Q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4">
        <f>IF(OR(F38="",K38=""),"",(K38-F38)/F38)</f>
        <v/>
      </c>
      <c r="M38" s="4">
        <f>IF(OR(F38="",G38=""),"",(G38-F38)/F38)</f>
        <v/>
      </c>
      <c r="N38" s="6">
        <f>IF(OR(F38="",G38="",H38=""),"",(H38-F38)/(F38-G38))</f>
        <v/>
      </c>
      <c r="O38" s="2" t="n"/>
      <c r="P38" s="2" t="n"/>
      <c r="Q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4">
        <f>IF(OR(F39="",K39=""),"",(K39-F39)/F39)</f>
        <v/>
      </c>
      <c r="M39" s="4">
        <f>IF(OR(F39="",G39=""),"",(G39-F39)/F39)</f>
        <v/>
      </c>
      <c r="N39" s="6">
        <f>IF(OR(F39="",G39="",H39=""),"",(H39-F39)/(F39-G39))</f>
        <v/>
      </c>
      <c r="O39" s="2" t="n"/>
      <c r="P39" s="2" t="n"/>
      <c r="Q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4">
        <f>IF(OR(F40="",K40=""),"",(K40-F40)/F40)</f>
        <v/>
      </c>
      <c r="M40" s="4">
        <f>IF(OR(F40="",G40=""),"",(G40-F40)/F40)</f>
        <v/>
      </c>
      <c r="N40" s="6">
        <f>IF(OR(F40="",G40="",H40=""),"",(H40-F40)/(F40-G40))</f>
        <v/>
      </c>
      <c r="O40" s="2" t="n"/>
      <c r="P40" s="2" t="n"/>
      <c r="Q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4">
        <f>IF(OR(F41="",K41=""),"",(K41-F41)/F41)</f>
        <v/>
      </c>
      <c r="M41" s="4">
        <f>IF(OR(F41="",G41=""),"",(G41-F41)/F41)</f>
        <v/>
      </c>
      <c r="N41" s="6">
        <f>IF(OR(F41="",G41="",H41=""),"",(H41-F41)/(F41-G41))</f>
        <v/>
      </c>
      <c r="O41" s="2" t="n"/>
      <c r="P41" s="2" t="n"/>
      <c r="Q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4">
        <f>IF(OR(F42="",K42=""),"",(K42-F42)/F42)</f>
        <v/>
      </c>
      <c r="M42" s="4">
        <f>IF(OR(F42="",G42=""),"",(G42-F42)/F42)</f>
        <v/>
      </c>
      <c r="N42" s="6">
        <f>IF(OR(F42="",G42="",H42=""),"",(H42-F42)/(F42-G42))</f>
        <v/>
      </c>
      <c r="O42" s="2" t="n"/>
      <c r="P42" s="2" t="n"/>
      <c r="Q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4">
        <f>IF(OR(F43="",K43=""),"",(K43-F43)/F43)</f>
        <v/>
      </c>
      <c r="M43" s="4">
        <f>IF(OR(F43="",G43=""),"",(G43-F43)/F43)</f>
        <v/>
      </c>
      <c r="N43" s="6">
        <f>IF(OR(F43="",G43="",H43=""),"",(H43-F43)/(F43-G43))</f>
        <v/>
      </c>
      <c r="O43" s="2" t="n"/>
      <c r="P43" s="2" t="n"/>
      <c r="Q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4">
        <f>IF(OR(F44="",K44=""),"",(K44-F44)/F44)</f>
        <v/>
      </c>
      <c r="M44" s="4">
        <f>IF(OR(F44="",G44=""),"",(G44-F44)/F44)</f>
        <v/>
      </c>
      <c r="N44" s="6">
        <f>IF(OR(F44="",G44="",H44=""),"",(H44-F44)/(F44-G44))</f>
        <v/>
      </c>
      <c r="O44" s="2" t="n"/>
      <c r="P44" s="2" t="n"/>
      <c r="Q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4">
        <f>IF(OR(F45="",K45=""),"",(K45-F45)/F45)</f>
        <v/>
      </c>
      <c r="M45" s="4">
        <f>IF(OR(F45="",G45=""),"",(G45-F45)/F45)</f>
        <v/>
      </c>
      <c r="N45" s="6">
        <f>IF(OR(F45="",G45="",H45=""),"",(H45-F45)/(F45-G45))</f>
        <v/>
      </c>
      <c r="O45" s="2" t="n"/>
      <c r="P45" s="2" t="n"/>
      <c r="Q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4">
        <f>IF(OR(F46="",K46=""),"",(K46-F46)/F46)</f>
        <v/>
      </c>
      <c r="M46" s="4">
        <f>IF(OR(F46="",G46=""),"",(G46-F46)/F46)</f>
        <v/>
      </c>
      <c r="N46" s="6">
        <f>IF(OR(F46="",G46="",H46=""),"",(H46-F46)/(F46-G46))</f>
        <v/>
      </c>
      <c r="O46" s="2" t="n"/>
      <c r="P46" s="2" t="n"/>
      <c r="Q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4">
        <f>IF(OR(F47="",K47=""),"",(K47-F47)/F47)</f>
        <v/>
      </c>
      <c r="M47" s="4">
        <f>IF(OR(F47="",G47=""),"",(G47-F47)/F47)</f>
        <v/>
      </c>
      <c r="N47" s="6">
        <f>IF(OR(F47="",G47="",H47=""),"",(H47-F47)/(F47-G47))</f>
        <v/>
      </c>
      <c r="O47" s="2" t="n"/>
      <c r="P47" s="2" t="n"/>
      <c r="Q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4">
        <f>IF(OR(F48="",K48=""),"",(K48-F48)/F48)</f>
        <v/>
      </c>
      <c r="M48" s="4">
        <f>IF(OR(F48="",G48=""),"",(G48-F48)/F48)</f>
        <v/>
      </c>
      <c r="N48" s="6">
        <f>IF(OR(F48="",G48="",H48=""),"",(H48-F48)/(F48-G48))</f>
        <v/>
      </c>
      <c r="O48" s="2" t="n"/>
      <c r="P48" s="2" t="n"/>
      <c r="Q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4">
        <f>IF(OR(F49="",K49=""),"",(K49-F49)/F49)</f>
        <v/>
      </c>
      <c r="M49" s="4">
        <f>IF(OR(F49="",G49=""),"",(G49-F49)/F49)</f>
        <v/>
      </c>
      <c r="N49" s="6">
        <f>IF(OR(F49="",G49="",H49=""),"",(H49-F49)/(F49-G49))</f>
        <v/>
      </c>
      <c r="O49" s="2" t="n"/>
      <c r="P49" s="2" t="n"/>
      <c r="Q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4">
        <f>IF(OR(F50="",K50=""),"",(K50-F50)/F50)</f>
        <v/>
      </c>
      <c r="M50" s="4">
        <f>IF(OR(F50="",G50=""),"",(G50-F50)/F50)</f>
        <v/>
      </c>
      <c r="N50" s="6">
        <f>IF(OR(F50="",G50="",H50=""),"",(H50-F50)/(F50-G50))</f>
        <v/>
      </c>
      <c r="O50" s="2" t="n"/>
      <c r="P50" s="2" t="n"/>
      <c r="Q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4">
        <f>IF(OR(F51="",K51=""),"",(K51-F51)/F51)</f>
        <v/>
      </c>
      <c r="M51" s="4">
        <f>IF(OR(F51="",G51=""),"",(G51-F51)/F51)</f>
        <v/>
      </c>
      <c r="N51" s="6">
        <f>IF(OR(F51="",G51="",H51=""),"",(H51-F51)/(F51-G51))</f>
        <v/>
      </c>
      <c r="O51" s="2" t="n"/>
      <c r="P51" s="2" t="n"/>
      <c r="Q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4">
        <f>IF(OR(F52="",K52=""),"",(K52-F52)/F52)</f>
        <v/>
      </c>
      <c r="M52" s="4">
        <f>IF(OR(F52="",G52=""),"",(G52-F52)/F52)</f>
        <v/>
      </c>
      <c r="N52" s="6">
        <f>IF(OR(F52="",G52="",H52=""),"",(H52-F52)/(F52-G52))</f>
        <v/>
      </c>
      <c r="O52" s="2" t="n"/>
      <c r="P52" s="2" t="n"/>
      <c r="Q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4">
        <f>IF(OR(F53="",K53=""),"",(K53-F53)/F53)</f>
        <v/>
      </c>
      <c r="M53" s="4">
        <f>IF(OR(F53="",G53=""),"",(G53-F53)/F53)</f>
        <v/>
      </c>
      <c r="N53" s="6">
        <f>IF(OR(F53="",G53="",H53=""),"",(H53-F53)/(F53-G53))</f>
        <v/>
      </c>
      <c r="O53" s="2" t="n"/>
      <c r="P53" s="2" t="n"/>
      <c r="Q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4">
        <f>IF(OR(F54="",K54=""),"",(K54-F54)/F54)</f>
        <v/>
      </c>
      <c r="M54" s="4">
        <f>IF(OR(F54="",G54=""),"",(G54-F54)/F54)</f>
        <v/>
      </c>
      <c r="N54" s="6">
        <f>IF(OR(F54="",G54="",H54=""),"",(H54-F54)/(F54-G54))</f>
        <v/>
      </c>
      <c r="O54" s="2" t="n"/>
      <c r="P54" s="2" t="n"/>
      <c r="Q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4">
        <f>IF(OR(F55="",K55=""),"",(K55-F55)/F55)</f>
        <v/>
      </c>
      <c r="M55" s="4">
        <f>IF(OR(F55="",G55=""),"",(G55-F55)/F55)</f>
        <v/>
      </c>
      <c r="N55" s="6">
        <f>IF(OR(F55="",G55="",H55=""),"",(H55-F55)/(F55-G55))</f>
        <v/>
      </c>
      <c r="O55" s="2" t="n"/>
      <c r="P55" s="2" t="n"/>
      <c r="Q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4">
        <f>IF(OR(F56="",K56=""),"",(K56-F56)/F56)</f>
        <v/>
      </c>
      <c r="M56" s="4">
        <f>IF(OR(F56="",G56=""),"",(G56-F56)/F56)</f>
        <v/>
      </c>
      <c r="N56" s="6">
        <f>IF(OR(F56="",G56="",H56=""),"",(H56-F56)/(F56-G56))</f>
        <v/>
      </c>
      <c r="O56" s="2" t="n"/>
      <c r="P56" s="2" t="n"/>
      <c r="Q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4">
        <f>IF(OR(F57="",K57=""),"",(K57-F57)/F57)</f>
        <v/>
      </c>
      <c r="M57" s="4">
        <f>IF(OR(F57="",G57=""),"",(G57-F57)/F57)</f>
        <v/>
      </c>
      <c r="N57" s="6">
        <f>IF(OR(F57="",G57="",H57=""),"",(H57-F57)/(F57-G57))</f>
        <v/>
      </c>
      <c r="O57" s="2" t="n"/>
      <c r="P57" s="2" t="n"/>
      <c r="Q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4">
        <f>IF(OR(F58="",K58=""),"",(K58-F58)/F58)</f>
        <v/>
      </c>
      <c r="M58" s="4">
        <f>IF(OR(F58="",G58=""),"",(G58-F58)/F58)</f>
        <v/>
      </c>
      <c r="N58" s="6">
        <f>IF(OR(F58="",G58="",H58=""),"",(H58-F58)/(F58-G58))</f>
        <v/>
      </c>
      <c r="O58" s="2" t="n"/>
      <c r="P58" s="2" t="n"/>
      <c r="Q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4">
        <f>IF(OR(F59="",K59=""),"",(K59-F59)/F59)</f>
        <v/>
      </c>
      <c r="M59" s="4">
        <f>IF(OR(F59="",G59=""),"",(G59-F59)/F59)</f>
        <v/>
      </c>
      <c r="N59" s="6">
        <f>IF(OR(F59="",G59="",H59=""),"",(H59-F59)/(F59-G59))</f>
        <v/>
      </c>
      <c r="O59" s="2" t="n"/>
      <c r="P59" s="2" t="n"/>
      <c r="Q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4">
        <f>IF(OR(F60="",K60=""),"",(K60-F60)/F60)</f>
        <v/>
      </c>
      <c r="M60" s="4">
        <f>IF(OR(F60="",G60=""),"",(G60-F60)/F60)</f>
        <v/>
      </c>
      <c r="N60" s="6">
        <f>IF(OR(F60="",G60="",H60=""),"",(H60-F60)/(F60-G60))</f>
        <v/>
      </c>
      <c r="O60" s="2" t="n"/>
      <c r="P60" s="2" t="n"/>
      <c r="Q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4">
        <f>IF(OR(F61="",K61=""),"",(K61-F61)/F61)</f>
        <v/>
      </c>
      <c r="M61" s="4">
        <f>IF(OR(F61="",G61=""),"",(G61-F61)/F61)</f>
        <v/>
      </c>
      <c r="N61" s="6">
        <f>IF(OR(F61="",G61="",H61=""),"",(H61-F61)/(F61-G61))</f>
        <v/>
      </c>
      <c r="O61" s="2" t="n"/>
      <c r="P61" s="2" t="n"/>
      <c r="Q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4">
        <f>IF(OR(F62="",K62=""),"",(K62-F62)/F62)</f>
        <v/>
      </c>
      <c r="M62" s="4">
        <f>IF(OR(F62="",G62=""),"",(G62-F62)/F62)</f>
        <v/>
      </c>
      <c r="N62" s="6">
        <f>IF(OR(F62="",G62="",H62=""),"",(H62-F62)/(F62-G62))</f>
        <v/>
      </c>
      <c r="O62" s="2" t="n"/>
      <c r="P62" s="2" t="n"/>
      <c r="Q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4">
        <f>IF(OR(F63="",K63=""),"",(K63-F63)/F63)</f>
        <v/>
      </c>
      <c r="M63" s="4">
        <f>IF(OR(F63="",G63=""),"",(G63-F63)/F63)</f>
        <v/>
      </c>
      <c r="N63" s="6">
        <f>IF(OR(F63="",G63="",H63=""),"",(H63-F63)/(F63-G63))</f>
        <v/>
      </c>
      <c r="O63" s="2" t="n"/>
      <c r="P63" s="2" t="n"/>
      <c r="Q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4">
        <f>IF(OR(F64="",K64=""),"",(K64-F64)/F64)</f>
        <v/>
      </c>
      <c r="M64" s="4">
        <f>IF(OR(F64="",G64=""),"",(G64-F64)/F64)</f>
        <v/>
      </c>
      <c r="N64" s="6">
        <f>IF(OR(F64="",G64="",H64=""),"",(H64-F64)/(F64-G64))</f>
        <v/>
      </c>
      <c r="O64" s="2" t="n"/>
      <c r="P64" s="2" t="n"/>
      <c r="Q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4">
        <f>IF(OR(F65="",K65=""),"",(K65-F65)/F65)</f>
        <v/>
      </c>
      <c r="M65" s="4">
        <f>IF(OR(F65="",G65=""),"",(G65-F65)/F65)</f>
        <v/>
      </c>
      <c r="N65" s="6">
        <f>IF(OR(F65="",G65="",H65=""),"",(H65-F65)/(F65-G65))</f>
        <v/>
      </c>
      <c r="O65" s="2" t="n"/>
      <c r="P65" s="2" t="n"/>
      <c r="Q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4">
        <f>IF(OR(F66="",K66=""),"",(K66-F66)/F66)</f>
        <v/>
      </c>
      <c r="M66" s="4">
        <f>IF(OR(F66="",G66=""),"",(G66-F66)/F66)</f>
        <v/>
      </c>
      <c r="N66" s="6">
        <f>IF(OR(F66="",G66="",H66=""),"",(H66-F66)/(F66-G66))</f>
        <v/>
      </c>
      <c r="O66" s="2" t="n"/>
      <c r="P66" s="2" t="n"/>
      <c r="Q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4">
        <f>IF(OR(F67="",K67=""),"",(K67-F67)/F67)</f>
        <v/>
      </c>
      <c r="M67" s="4">
        <f>IF(OR(F67="",G67=""),"",(G67-F67)/F67)</f>
        <v/>
      </c>
      <c r="N67" s="6">
        <f>IF(OR(F67="",G67="",H67=""),"",(H67-F67)/(F67-G67))</f>
        <v/>
      </c>
      <c r="O67" s="2" t="n"/>
      <c r="P67" s="2" t="n"/>
      <c r="Q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4">
        <f>IF(OR(F68="",K68=""),"",(K68-F68)/F68)</f>
        <v/>
      </c>
      <c r="M68" s="4">
        <f>IF(OR(F68="",G68=""),"",(G68-F68)/F68)</f>
        <v/>
      </c>
      <c r="N68" s="6">
        <f>IF(OR(F68="",G68="",H68=""),"",(H68-F68)/(F68-G68))</f>
        <v/>
      </c>
      <c r="O68" s="2" t="n"/>
      <c r="P68" s="2" t="n"/>
      <c r="Q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4">
        <f>IF(OR(F69="",K69=""),"",(K69-F69)/F69)</f>
        <v/>
      </c>
      <c r="M69" s="4">
        <f>IF(OR(F69="",G69=""),"",(G69-F69)/F69)</f>
        <v/>
      </c>
      <c r="N69" s="6">
        <f>IF(OR(F69="",G69="",H69=""),"",(H69-F69)/(F69-G69))</f>
        <v/>
      </c>
      <c r="O69" s="2" t="n"/>
      <c r="P69" s="2" t="n"/>
      <c r="Q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4">
        <f>IF(OR(F70="",K70=""),"",(K70-F70)/F70)</f>
        <v/>
      </c>
      <c r="M70" s="4">
        <f>IF(OR(F70="",G70=""),"",(G70-F70)/F70)</f>
        <v/>
      </c>
      <c r="N70" s="6">
        <f>IF(OR(F70="",G70="",H70=""),"",(H70-F70)/(F70-G70))</f>
        <v/>
      </c>
      <c r="O70" s="2" t="n"/>
      <c r="P70" s="2" t="n"/>
      <c r="Q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4">
        <f>IF(OR(F71="",K71=""),"",(K71-F71)/F71)</f>
        <v/>
      </c>
      <c r="M71" s="4">
        <f>IF(OR(F71="",G71=""),"",(G71-F71)/F71)</f>
        <v/>
      </c>
      <c r="N71" s="6">
        <f>IF(OR(F71="",G71="",H71=""),"",(H71-F71)/(F71-G71))</f>
        <v/>
      </c>
      <c r="O71" s="2" t="n"/>
      <c r="P71" s="2" t="n"/>
      <c r="Q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4">
        <f>IF(OR(F72="",K72=""),"",(K72-F72)/F72)</f>
        <v/>
      </c>
      <c r="M72" s="4">
        <f>IF(OR(F72="",G72=""),"",(G72-F72)/F72)</f>
        <v/>
      </c>
      <c r="N72" s="6">
        <f>IF(OR(F72="",G72="",H72=""),"",(H72-F72)/(F72-G72))</f>
        <v/>
      </c>
      <c r="O72" s="2" t="n"/>
      <c r="P72" s="2" t="n"/>
      <c r="Q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4">
        <f>IF(OR(F73="",K73=""),"",(K73-F73)/F73)</f>
        <v/>
      </c>
      <c r="M73" s="4">
        <f>IF(OR(F73="",G73=""),"",(G73-F73)/F73)</f>
        <v/>
      </c>
      <c r="N73" s="6">
        <f>IF(OR(F73="",G73="",H73=""),"",(H73-F73)/(F73-G73))</f>
        <v/>
      </c>
      <c r="O73" s="2" t="n"/>
      <c r="P73" s="2" t="n"/>
      <c r="Q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4">
        <f>IF(OR(F74="",K74=""),"",(K74-F74)/F74)</f>
        <v/>
      </c>
      <c r="M74" s="4">
        <f>IF(OR(F74="",G74=""),"",(G74-F74)/F74)</f>
        <v/>
      </c>
      <c r="N74" s="6">
        <f>IF(OR(F74="",G74="",H74=""),"",(H74-F74)/(F74-G74))</f>
        <v/>
      </c>
      <c r="O74" s="2" t="n"/>
      <c r="P74" s="2" t="n"/>
      <c r="Q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4">
        <f>IF(OR(F75="",K75=""),"",(K75-F75)/F75)</f>
        <v/>
      </c>
      <c r="M75" s="4">
        <f>IF(OR(F75="",G75=""),"",(G75-F75)/F75)</f>
        <v/>
      </c>
      <c r="N75" s="6">
        <f>IF(OR(F75="",G75="",H75=""),"",(H75-F75)/(F75-G75))</f>
        <v/>
      </c>
      <c r="O75" s="2" t="n"/>
      <c r="P75" s="2" t="n"/>
      <c r="Q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4">
        <f>IF(OR(F76="",K76=""),"",(K76-F76)/F76)</f>
        <v/>
      </c>
      <c r="M76" s="4">
        <f>IF(OR(F76="",G76=""),"",(G76-F76)/F76)</f>
        <v/>
      </c>
      <c r="N76" s="6">
        <f>IF(OR(F76="",G76="",H76=""),"",(H76-F76)/(F76-G76))</f>
        <v/>
      </c>
      <c r="O76" s="2" t="n"/>
      <c r="P76" s="2" t="n"/>
      <c r="Q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4">
        <f>IF(OR(F77="",K77=""),"",(K77-F77)/F77)</f>
        <v/>
      </c>
      <c r="M77" s="4">
        <f>IF(OR(F77="",G77=""),"",(G77-F77)/F77)</f>
        <v/>
      </c>
      <c r="N77" s="6">
        <f>IF(OR(F77="",G77="",H77=""),"",(H77-F77)/(F77-G77))</f>
        <v/>
      </c>
      <c r="O77" s="2" t="n"/>
      <c r="P77" s="2" t="n"/>
      <c r="Q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4">
        <f>IF(OR(F78="",K78=""),"",(K78-F78)/F78)</f>
        <v/>
      </c>
      <c r="M78" s="4">
        <f>IF(OR(F78="",G78=""),"",(G78-F78)/F78)</f>
        <v/>
      </c>
      <c r="N78" s="6">
        <f>IF(OR(F78="",G78="",H78=""),"",(H78-F78)/(F78-G78))</f>
        <v/>
      </c>
      <c r="O78" s="2" t="n"/>
      <c r="P78" s="2" t="n"/>
      <c r="Q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4">
        <f>IF(OR(F79="",K79=""),"",(K79-F79)/F79)</f>
        <v/>
      </c>
      <c r="M79" s="4">
        <f>IF(OR(F79="",G79=""),"",(G79-F79)/F79)</f>
        <v/>
      </c>
      <c r="N79" s="6">
        <f>IF(OR(F79="",G79="",H79=""),"",(H79-F79)/(F79-G79))</f>
        <v/>
      </c>
      <c r="O79" s="2" t="n"/>
      <c r="P79" s="2" t="n"/>
      <c r="Q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4">
        <f>IF(OR(F80="",K80=""),"",(K80-F80)/F80)</f>
        <v/>
      </c>
      <c r="M80" s="4">
        <f>IF(OR(F80="",G80=""),"",(G80-F80)/F80)</f>
        <v/>
      </c>
      <c r="N80" s="6">
        <f>IF(OR(F80="",G80="",H80=""),"",(H80-F80)/(F80-G80))</f>
        <v/>
      </c>
      <c r="O80" s="2" t="n"/>
      <c r="P80" s="2" t="n"/>
      <c r="Q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4">
        <f>IF(OR(F81="",K81=""),"",(K81-F81)/F81)</f>
        <v/>
      </c>
      <c r="M81" s="4">
        <f>IF(OR(F81="",G81=""),"",(G81-F81)/F81)</f>
        <v/>
      </c>
      <c r="N81" s="6">
        <f>IF(OR(F81="",G81="",H81=""),"",(H81-F81)/(F81-G81))</f>
        <v/>
      </c>
      <c r="O81" s="2" t="n"/>
      <c r="P81" s="2" t="n"/>
      <c r="Q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4">
        <f>IF(OR(F82="",K82=""),"",(K82-F82)/F82)</f>
        <v/>
      </c>
      <c r="M82" s="4">
        <f>IF(OR(F82="",G82=""),"",(G82-F82)/F82)</f>
        <v/>
      </c>
      <c r="N82" s="6">
        <f>IF(OR(F82="",G82="",H82=""),"",(H82-F82)/(F82-G82))</f>
        <v/>
      </c>
      <c r="O82" s="2" t="n"/>
      <c r="P82" s="2" t="n"/>
      <c r="Q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4">
        <f>IF(OR(F83="",K83=""),"",(K83-F83)/F83)</f>
        <v/>
      </c>
      <c r="M83" s="4">
        <f>IF(OR(F83="",G83=""),"",(G83-F83)/F83)</f>
        <v/>
      </c>
      <c r="N83" s="6">
        <f>IF(OR(F83="",G83="",H83=""),"",(H83-F83)/(F83-G83))</f>
        <v/>
      </c>
      <c r="O83" s="2" t="n"/>
      <c r="P83" s="2" t="n"/>
      <c r="Q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4">
        <f>IF(OR(F84="",K84=""),"",(K84-F84)/F84)</f>
        <v/>
      </c>
      <c r="M84" s="4">
        <f>IF(OR(F84="",G84=""),"",(G84-F84)/F84)</f>
        <v/>
      </c>
      <c r="N84" s="6">
        <f>IF(OR(F84="",G84="",H84=""),"",(H84-F84)/(F84-G84))</f>
        <v/>
      </c>
      <c r="O84" s="2" t="n"/>
      <c r="P84" s="2" t="n"/>
      <c r="Q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4">
        <f>IF(OR(F85="",K85=""),"",(K85-F85)/F85)</f>
        <v/>
      </c>
      <c r="M85" s="4">
        <f>IF(OR(F85="",G85=""),"",(G85-F85)/F85)</f>
        <v/>
      </c>
      <c r="N85" s="6">
        <f>IF(OR(F85="",G85="",H85=""),"",(H85-F85)/(F85-G85))</f>
        <v/>
      </c>
      <c r="O85" s="2" t="n"/>
      <c r="P85" s="2" t="n"/>
      <c r="Q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4">
        <f>IF(OR(F86="",K86=""),"",(K86-F86)/F86)</f>
        <v/>
      </c>
      <c r="M86" s="4">
        <f>IF(OR(F86="",G86=""),"",(G86-F86)/F86)</f>
        <v/>
      </c>
      <c r="N86" s="6">
        <f>IF(OR(F86="",G86="",H86=""),"",(H86-F86)/(F86-G86))</f>
        <v/>
      </c>
      <c r="O86" s="2" t="n"/>
      <c r="P86" s="2" t="n"/>
      <c r="Q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4">
        <f>IF(OR(F87="",K87=""),"",(K87-F87)/F87)</f>
        <v/>
      </c>
      <c r="M87" s="4">
        <f>IF(OR(F87="",G87=""),"",(G87-F87)/F87)</f>
        <v/>
      </c>
      <c r="N87" s="6">
        <f>IF(OR(F87="",G87="",H87=""),"",(H87-F87)/(F87-G87))</f>
        <v/>
      </c>
      <c r="O87" s="2" t="n"/>
      <c r="P87" s="2" t="n"/>
      <c r="Q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4">
        <f>IF(OR(F88="",K88=""),"",(K88-F88)/F88)</f>
        <v/>
      </c>
      <c r="M88" s="4">
        <f>IF(OR(F88="",G88=""),"",(G88-F88)/F88)</f>
        <v/>
      </c>
      <c r="N88" s="6">
        <f>IF(OR(F88="",G88="",H88=""),"",(H88-F88)/(F88-G88))</f>
        <v/>
      </c>
      <c r="O88" s="2" t="n"/>
      <c r="P88" s="2" t="n"/>
      <c r="Q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4">
        <f>IF(OR(F89="",K89=""),"",(K89-F89)/F89)</f>
        <v/>
      </c>
      <c r="M89" s="4">
        <f>IF(OR(F89="",G89=""),"",(G89-F89)/F89)</f>
        <v/>
      </c>
      <c r="N89" s="6">
        <f>IF(OR(F89="",G89="",H89=""),"",(H89-F89)/(F89-G89))</f>
        <v/>
      </c>
      <c r="O89" s="2" t="n"/>
      <c r="P89" s="2" t="n"/>
      <c r="Q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4">
        <f>IF(OR(F90="",K90=""),"",(K90-F90)/F90)</f>
        <v/>
      </c>
      <c r="M90" s="4">
        <f>IF(OR(F90="",G90=""),"",(G90-F90)/F90)</f>
        <v/>
      </c>
      <c r="N90" s="6">
        <f>IF(OR(F90="",G90="",H90=""),"",(H90-F90)/(F90-G90))</f>
        <v/>
      </c>
      <c r="O90" s="2" t="n"/>
      <c r="P90" s="2" t="n"/>
      <c r="Q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4">
        <f>IF(OR(F91="",K91=""),"",(K91-F91)/F91)</f>
        <v/>
      </c>
      <c r="M91" s="4">
        <f>IF(OR(F91="",G91=""),"",(G91-F91)/F91)</f>
        <v/>
      </c>
      <c r="N91" s="6">
        <f>IF(OR(F91="",G91="",H91=""),"",(H91-F91)/(F91-G91))</f>
        <v/>
      </c>
      <c r="O91" s="2" t="n"/>
      <c r="P91" s="2" t="n"/>
      <c r="Q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4">
        <f>IF(OR(F92="",K92=""),"",(K92-F92)/F92)</f>
        <v/>
      </c>
      <c r="M92" s="4">
        <f>IF(OR(F92="",G92=""),"",(G92-F92)/F92)</f>
        <v/>
      </c>
      <c r="N92" s="6">
        <f>IF(OR(F92="",G92="",H92=""),"",(H92-F92)/(F92-G92))</f>
        <v/>
      </c>
      <c r="O92" s="2" t="n"/>
      <c r="P92" s="2" t="n"/>
      <c r="Q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4">
        <f>IF(OR(F93="",K93=""),"",(K93-F93)/F93)</f>
        <v/>
      </c>
      <c r="M93" s="4">
        <f>IF(OR(F93="",G93=""),"",(G93-F93)/F93)</f>
        <v/>
      </c>
      <c r="N93" s="6">
        <f>IF(OR(F93="",G93="",H93=""),"",(H93-F93)/(F93-G93))</f>
        <v/>
      </c>
      <c r="O93" s="2" t="n"/>
      <c r="P93" s="2" t="n"/>
      <c r="Q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4">
        <f>IF(OR(F94="",K94=""),"",(K94-F94)/F94)</f>
        <v/>
      </c>
      <c r="M94" s="4">
        <f>IF(OR(F94="",G94=""),"",(G94-F94)/F94)</f>
        <v/>
      </c>
      <c r="N94" s="6">
        <f>IF(OR(F94="",G94="",H94=""),"",(H94-F94)/(F94-G94))</f>
        <v/>
      </c>
      <c r="O94" s="2" t="n"/>
      <c r="P94" s="2" t="n"/>
      <c r="Q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4">
        <f>IF(OR(F95="",K95=""),"",(K95-F95)/F95)</f>
        <v/>
      </c>
      <c r="M95" s="4">
        <f>IF(OR(F95="",G95=""),"",(G95-F95)/F95)</f>
        <v/>
      </c>
      <c r="N95" s="6">
        <f>IF(OR(F95="",G95="",H95=""),"",(H95-F95)/(F95-G95))</f>
        <v/>
      </c>
      <c r="O95" s="2" t="n"/>
      <c r="P95" s="2" t="n"/>
      <c r="Q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4">
        <f>IF(OR(F96="",K96=""),"",(K96-F96)/F96)</f>
        <v/>
      </c>
      <c r="M96" s="4">
        <f>IF(OR(F96="",G96=""),"",(G96-F96)/F96)</f>
        <v/>
      </c>
      <c r="N96" s="6">
        <f>IF(OR(F96="",G96="",H96=""),"",(H96-F96)/(F96-G96))</f>
        <v/>
      </c>
      <c r="O96" s="2" t="n"/>
      <c r="P96" s="2" t="n"/>
      <c r="Q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4">
        <f>IF(OR(F97="",K97=""),"",(K97-F97)/F97)</f>
        <v/>
      </c>
      <c r="M97" s="4">
        <f>IF(OR(F97="",G97=""),"",(G97-F97)/F97)</f>
        <v/>
      </c>
      <c r="N97" s="6">
        <f>IF(OR(F97="",G97="",H97=""),"",(H97-F97)/(F97-G97))</f>
        <v/>
      </c>
      <c r="O97" s="2" t="n"/>
      <c r="P97" s="2" t="n"/>
      <c r="Q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4">
        <f>IF(OR(F98="",K98=""),"",(K98-F98)/F98)</f>
        <v/>
      </c>
      <c r="M98" s="4">
        <f>IF(OR(F98="",G98=""),"",(G98-F98)/F98)</f>
        <v/>
      </c>
      <c r="N98" s="6">
        <f>IF(OR(F98="",G98="",H98=""),"",(H98-F98)/(F98-G98))</f>
        <v/>
      </c>
      <c r="O98" s="2" t="n"/>
      <c r="P98" s="2" t="n"/>
      <c r="Q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4">
        <f>IF(OR(F99="",K99=""),"",(K99-F99)/F99)</f>
        <v/>
      </c>
      <c r="M99" s="4">
        <f>IF(OR(F99="",G99=""),"",(G99-F99)/F99)</f>
        <v/>
      </c>
      <c r="N99" s="6">
        <f>IF(OR(F99="",G99="",H99=""),"",(H99-F99)/(F99-G99))</f>
        <v/>
      </c>
      <c r="O99" s="2" t="n"/>
      <c r="P99" s="2" t="n"/>
      <c r="Q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4">
        <f>IF(OR(F100="",K100=""),"",(K100-F100)/F100)</f>
        <v/>
      </c>
      <c r="M100" s="4">
        <f>IF(OR(F100="",G100=""),"",(G100-F100)/F100)</f>
        <v/>
      </c>
      <c r="N100" s="6">
        <f>IF(OR(F100="",G100="",H100=""),"",(H100-F100)/(F100-G100))</f>
        <v/>
      </c>
      <c r="O100" s="2" t="n"/>
      <c r="P100" s="2" t="n"/>
      <c r="Q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4">
        <f>IF(OR(F101="",K101=""),"",(K101-F101)/F101)</f>
        <v/>
      </c>
      <c r="M101" s="4">
        <f>IF(OR(F101="",G101=""),"",(G101-F101)/F101)</f>
        <v/>
      </c>
      <c r="N101" s="6">
        <f>IF(OR(F101="",G101="",H101=""),"",(H101-F101)/(F101-G101))</f>
        <v/>
      </c>
      <c r="O101" s="2" t="n"/>
      <c r="P101" s="2" t="n"/>
      <c r="Q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4">
        <f>IF(OR(F102="",K102=""),"",(K102-F102)/F102)</f>
        <v/>
      </c>
      <c r="M102" s="4">
        <f>IF(OR(F102="",G102=""),"",(G102-F102)/F102)</f>
        <v/>
      </c>
      <c r="N102" s="6">
        <f>IF(OR(F102="",G102="",H102=""),"",(H102-F102)/(F102-G102))</f>
        <v/>
      </c>
      <c r="O102" s="2" t="n"/>
      <c r="P102" s="2" t="n"/>
      <c r="Q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4">
        <f>IF(OR(F103="",K103=""),"",(K103-F103)/F103)</f>
        <v/>
      </c>
      <c r="M103" s="4">
        <f>IF(OR(F103="",G103=""),"",(G103-F103)/F103)</f>
        <v/>
      </c>
      <c r="N103" s="6">
        <f>IF(OR(F103="",G103="",H103=""),"",(H103-F103)/(F103-G103))</f>
        <v/>
      </c>
      <c r="O103" s="2" t="n"/>
      <c r="P103" s="2" t="n"/>
      <c r="Q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4">
        <f>IF(OR(F104="",K104=""),"",(K104-F104)/F104)</f>
        <v/>
      </c>
      <c r="M104" s="4">
        <f>IF(OR(F104="",G104=""),"",(G104-F104)/F104)</f>
        <v/>
      </c>
      <c r="N104" s="6">
        <f>IF(OR(F104="",G104="",H104=""),"",(H104-F104)/(F104-G104))</f>
        <v/>
      </c>
      <c r="O104" s="2" t="n"/>
      <c r="P104" s="2" t="n"/>
      <c r="Q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4">
        <f>IF(OR(F105="",K105=""),"",(K105-F105)/F105)</f>
        <v/>
      </c>
      <c r="M105" s="4">
        <f>IF(OR(F105="",G105=""),"",(G105-F105)/F105)</f>
        <v/>
      </c>
      <c r="N105" s="6">
        <f>IF(OR(F105="",G105="",H105=""),"",(H105-F105)/(F105-G105))</f>
        <v/>
      </c>
      <c r="O105" s="2" t="n"/>
      <c r="P105" s="2" t="n"/>
      <c r="Q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4">
        <f>IF(OR(F106="",K106=""),"",(K106-F106)/F106)</f>
        <v/>
      </c>
      <c r="M106" s="4">
        <f>IF(OR(F106="",G106=""),"",(G106-F106)/F106)</f>
        <v/>
      </c>
      <c r="N106" s="6">
        <f>IF(OR(F106="",G106="",H106=""),"",(H106-F106)/(F106-G106))</f>
        <v/>
      </c>
      <c r="O106" s="2" t="n"/>
      <c r="P106" s="2" t="n"/>
      <c r="Q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4">
        <f>IF(OR(F107="",K107=""),"",(K107-F107)/F107)</f>
        <v/>
      </c>
      <c r="M107" s="4">
        <f>IF(OR(F107="",G107=""),"",(G107-F107)/F107)</f>
        <v/>
      </c>
      <c r="N107" s="6">
        <f>IF(OR(F107="",G107="",H107=""),"",(H107-F107)/(F107-G107))</f>
        <v/>
      </c>
      <c r="O107" s="2" t="n"/>
      <c r="P107" s="2" t="n"/>
      <c r="Q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4">
        <f>IF(OR(F108="",K108=""),"",(K108-F108)/F108)</f>
        <v/>
      </c>
      <c r="M108" s="4">
        <f>IF(OR(F108="",G108=""),"",(G108-F108)/F108)</f>
        <v/>
      </c>
      <c r="N108" s="6">
        <f>IF(OR(F108="",G108="",H108=""),"",(H108-F108)/(F108-G108))</f>
        <v/>
      </c>
      <c r="O108" s="2" t="n"/>
      <c r="P108" s="2" t="n"/>
      <c r="Q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4">
        <f>IF(OR(F109="",K109=""),"",(K109-F109)/F109)</f>
        <v/>
      </c>
      <c r="M109" s="4">
        <f>IF(OR(F109="",G109=""),"",(G109-F109)/F109)</f>
        <v/>
      </c>
      <c r="N109" s="6">
        <f>IF(OR(F109="",G109="",H109=""),"",(H109-F109)/(F109-G109))</f>
        <v/>
      </c>
      <c r="O109" s="2" t="n"/>
      <c r="P109" s="2" t="n"/>
      <c r="Q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4">
        <f>IF(OR(F110="",K110=""),"",(K110-F110)/F110)</f>
        <v/>
      </c>
      <c r="M110" s="4">
        <f>IF(OR(F110="",G110=""),"",(G110-F110)/F110)</f>
        <v/>
      </c>
      <c r="N110" s="6">
        <f>IF(OR(F110="",G110="",H110=""),"",(H110-F110)/(F110-G110))</f>
        <v/>
      </c>
      <c r="O110" s="2" t="n"/>
      <c r="P110" s="2" t="n"/>
      <c r="Q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4">
        <f>IF(OR(F111="",K111=""),"",(K111-F111)/F111)</f>
        <v/>
      </c>
      <c r="M111" s="4">
        <f>IF(OR(F111="",G111=""),"",(G111-F111)/F111)</f>
        <v/>
      </c>
      <c r="N111" s="6">
        <f>IF(OR(F111="",G111="",H111=""),"",(H111-F111)/(F111-G111))</f>
        <v/>
      </c>
      <c r="O111" s="2" t="n"/>
      <c r="P111" s="2" t="n"/>
      <c r="Q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4">
        <f>IF(OR(F112="",K112=""),"",(K112-F112)/F112)</f>
        <v/>
      </c>
      <c r="M112" s="4">
        <f>IF(OR(F112="",G112=""),"",(G112-F112)/F112)</f>
        <v/>
      </c>
      <c r="N112" s="6">
        <f>IF(OR(F112="",G112="",H112=""),"",(H112-F112)/(F112-G112))</f>
        <v/>
      </c>
      <c r="O112" s="2" t="n"/>
      <c r="P112" s="2" t="n"/>
      <c r="Q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4">
        <f>IF(OR(F113="",K113=""),"",(K113-F113)/F113)</f>
        <v/>
      </c>
      <c r="M113" s="4">
        <f>IF(OR(F113="",G113=""),"",(G113-F113)/F113)</f>
        <v/>
      </c>
      <c r="N113" s="6">
        <f>IF(OR(F113="",G113="",H113=""),"",(H113-F113)/(F113-G113))</f>
        <v/>
      </c>
      <c r="O113" s="2" t="n"/>
      <c r="P113" s="2" t="n"/>
      <c r="Q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4">
        <f>IF(OR(F114="",K114=""),"",(K114-F114)/F114)</f>
        <v/>
      </c>
      <c r="M114" s="4">
        <f>IF(OR(F114="",G114=""),"",(G114-F114)/F114)</f>
        <v/>
      </c>
      <c r="N114" s="6">
        <f>IF(OR(F114="",G114="",H114=""),"",(H114-F114)/(F114-G114))</f>
        <v/>
      </c>
      <c r="O114" s="2" t="n"/>
      <c r="P114" s="2" t="n"/>
      <c r="Q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4">
        <f>IF(OR(F115="",K115=""),"",(K115-F115)/F115)</f>
        <v/>
      </c>
      <c r="M115" s="4">
        <f>IF(OR(F115="",G115=""),"",(G115-F115)/F115)</f>
        <v/>
      </c>
      <c r="N115" s="6">
        <f>IF(OR(F115="",G115="",H115=""),"",(H115-F115)/(F115-G115))</f>
        <v/>
      </c>
      <c r="O115" s="2" t="n"/>
      <c r="P115" s="2" t="n"/>
      <c r="Q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4">
        <f>IF(OR(F116="",K116=""),"",(K116-F116)/F116)</f>
        <v/>
      </c>
      <c r="M116" s="4">
        <f>IF(OR(F116="",G116=""),"",(G116-F116)/F116)</f>
        <v/>
      </c>
      <c r="N116" s="6">
        <f>IF(OR(F116="",G116="",H116=""),"",(H116-F116)/(F116-G116))</f>
        <v/>
      </c>
      <c r="O116" s="2" t="n"/>
      <c r="P116" s="2" t="n"/>
      <c r="Q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4">
        <f>IF(OR(F117="",K117=""),"",(K117-F117)/F117)</f>
        <v/>
      </c>
      <c r="M117" s="4">
        <f>IF(OR(F117="",G117=""),"",(G117-F117)/F117)</f>
        <v/>
      </c>
      <c r="N117" s="6">
        <f>IF(OR(F117="",G117="",H117=""),"",(H117-F117)/(F117-G117))</f>
        <v/>
      </c>
      <c r="O117" s="2" t="n"/>
      <c r="P117" s="2" t="n"/>
      <c r="Q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4">
        <f>IF(OR(F118="",K118=""),"",(K118-F118)/F118)</f>
        <v/>
      </c>
      <c r="M118" s="4">
        <f>IF(OR(F118="",G118=""),"",(G118-F118)/F118)</f>
        <v/>
      </c>
      <c r="N118" s="6">
        <f>IF(OR(F118="",G118="",H118=""),"",(H118-F118)/(F118-G118))</f>
        <v/>
      </c>
      <c r="O118" s="2" t="n"/>
      <c r="P118" s="2" t="n"/>
      <c r="Q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4">
        <f>IF(OR(F119="",K119=""),"",(K119-F119)/F119)</f>
        <v/>
      </c>
      <c r="M119" s="4">
        <f>IF(OR(F119="",G119=""),"",(G119-F119)/F119)</f>
        <v/>
      </c>
      <c r="N119" s="6">
        <f>IF(OR(F119="",G119="",H119=""),"",(H119-F119)/(F119-G119))</f>
        <v/>
      </c>
      <c r="O119" s="2" t="n"/>
      <c r="P119" s="2" t="n"/>
      <c r="Q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4">
        <f>IF(OR(F120="",K120=""),"",(K120-F120)/F120)</f>
        <v/>
      </c>
      <c r="M120" s="4">
        <f>IF(OR(F120="",G120=""),"",(G120-F120)/F120)</f>
        <v/>
      </c>
      <c r="N120" s="6">
        <f>IF(OR(F120="",G120="",H120=""),"",(H120-F120)/(F120-G120))</f>
        <v/>
      </c>
      <c r="O120" s="2" t="n"/>
      <c r="P120" s="2" t="n"/>
      <c r="Q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4">
        <f>IF(OR(F121="",K121=""),"",(K121-F121)/F121)</f>
        <v/>
      </c>
      <c r="M121" s="4">
        <f>IF(OR(F121="",G121=""),"",(G121-F121)/F121)</f>
        <v/>
      </c>
      <c r="N121" s="6">
        <f>IF(OR(F121="",G121="",H121=""),"",(H121-F121)/(F121-G121))</f>
        <v/>
      </c>
      <c r="O121" s="2" t="n"/>
      <c r="P121" s="2" t="n"/>
      <c r="Q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4">
        <f>IF(OR(F122="",K122=""),"",(K122-F122)/F122)</f>
        <v/>
      </c>
      <c r="M122" s="4">
        <f>IF(OR(F122="",G122=""),"",(G122-F122)/F122)</f>
        <v/>
      </c>
      <c r="N122" s="6">
        <f>IF(OR(F122="",G122="",H122=""),"",(H122-F122)/(F122-G122))</f>
        <v/>
      </c>
      <c r="O122" s="2" t="n"/>
      <c r="P122" s="2" t="n"/>
      <c r="Q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4">
        <f>IF(OR(F123="",K123=""),"",(K123-F123)/F123)</f>
        <v/>
      </c>
      <c r="M123" s="4">
        <f>IF(OR(F123="",G123=""),"",(G123-F123)/F123)</f>
        <v/>
      </c>
      <c r="N123" s="6">
        <f>IF(OR(F123="",G123="",H123=""),"",(H123-F123)/(F123-G123))</f>
        <v/>
      </c>
      <c r="O123" s="2" t="n"/>
      <c r="P123" s="2" t="n"/>
      <c r="Q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4">
        <f>IF(OR(F124="",K124=""),"",(K124-F124)/F124)</f>
        <v/>
      </c>
      <c r="M124" s="4">
        <f>IF(OR(F124="",G124=""),"",(G124-F124)/F124)</f>
        <v/>
      </c>
      <c r="N124" s="6">
        <f>IF(OR(F124="",G124="",H124=""),"",(H124-F124)/(F124-G124))</f>
        <v/>
      </c>
      <c r="O124" s="2" t="n"/>
      <c r="P124" s="2" t="n"/>
      <c r="Q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4">
        <f>IF(OR(F125="",K125=""),"",(K125-F125)/F125)</f>
        <v/>
      </c>
      <c r="M125" s="4">
        <f>IF(OR(F125="",G125=""),"",(G125-F125)/F125)</f>
        <v/>
      </c>
      <c r="N125" s="6">
        <f>IF(OR(F125="",G125="",H125=""),"",(H125-F125)/(F125-G125))</f>
        <v/>
      </c>
      <c r="O125" s="2" t="n"/>
      <c r="P125" s="2" t="n"/>
      <c r="Q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4">
        <f>IF(OR(F126="",K126=""),"",(K126-F126)/F126)</f>
        <v/>
      </c>
      <c r="M126" s="4">
        <f>IF(OR(F126="",G126=""),"",(G126-F126)/F126)</f>
        <v/>
      </c>
      <c r="N126" s="6">
        <f>IF(OR(F126="",G126="",H126=""),"",(H126-F126)/(F126-G126))</f>
        <v/>
      </c>
      <c r="O126" s="2" t="n"/>
      <c r="P126" s="2" t="n"/>
      <c r="Q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4">
        <f>IF(OR(F127="",K127=""),"",(K127-F127)/F127)</f>
        <v/>
      </c>
      <c r="M127" s="4">
        <f>IF(OR(F127="",G127=""),"",(G127-F127)/F127)</f>
        <v/>
      </c>
      <c r="N127" s="6">
        <f>IF(OR(F127="",G127="",H127=""),"",(H127-F127)/(F127-G127))</f>
        <v/>
      </c>
      <c r="O127" s="2" t="n"/>
      <c r="P127" s="2" t="n"/>
      <c r="Q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4">
        <f>IF(OR(F128="",K128=""),"",(K128-F128)/F128)</f>
        <v/>
      </c>
      <c r="M128" s="4">
        <f>IF(OR(F128="",G128=""),"",(G128-F128)/F128)</f>
        <v/>
      </c>
      <c r="N128" s="6">
        <f>IF(OR(F128="",G128="",H128=""),"",(H128-F128)/(F128-G128))</f>
        <v/>
      </c>
      <c r="O128" s="2" t="n"/>
      <c r="P128" s="2" t="n"/>
      <c r="Q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4">
        <f>IF(OR(F129="",K129=""),"",(K129-F129)/F129)</f>
        <v/>
      </c>
      <c r="M129" s="4">
        <f>IF(OR(F129="",G129=""),"",(G129-F129)/F129)</f>
        <v/>
      </c>
      <c r="N129" s="6">
        <f>IF(OR(F129="",G129="",H129=""),"",(H129-F129)/(F129-G129))</f>
        <v/>
      </c>
      <c r="O129" s="2" t="n"/>
      <c r="P129" s="2" t="n"/>
      <c r="Q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4">
        <f>IF(OR(F130="",K130=""),"",(K130-F130)/F130)</f>
        <v/>
      </c>
      <c r="M130" s="4">
        <f>IF(OR(F130="",G130=""),"",(G130-F130)/F130)</f>
        <v/>
      </c>
      <c r="N130" s="6">
        <f>IF(OR(F130="",G130="",H130=""),"",(H130-F130)/(F130-G130))</f>
        <v/>
      </c>
      <c r="O130" s="2" t="n"/>
      <c r="P130" s="2" t="n"/>
      <c r="Q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4">
        <f>IF(OR(F131="",K131=""),"",(K131-F131)/F131)</f>
        <v/>
      </c>
      <c r="M131" s="4">
        <f>IF(OR(F131="",G131=""),"",(G131-F131)/F131)</f>
        <v/>
      </c>
      <c r="N131" s="6">
        <f>IF(OR(F131="",G131="",H131=""),"",(H131-F131)/(F131-G131))</f>
        <v/>
      </c>
      <c r="O131" s="2" t="n"/>
      <c r="P131" s="2" t="n"/>
      <c r="Q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4">
        <f>IF(OR(F132="",K132=""),"",(K132-F132)/F132)</f>
        <v/>
      </c>
      <c r="M132" s="4">
        <f>IF(OR(F132="",G132=""),"",(G132-F132)/F132)</f>
        <v/>
      </c>
      <c r="N132" s="6">
        <f>IF(OR(F132="",G132="",H132=""),"",(H132-F132)/(F132-G132))</f>
        <v/>
      </c>
      <c r="O132" s="2" t="n"/>
      <c r="P132" s="2" t="n"/>
      <c r="Q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4">
        <f>IF(OR(F133="",K133=""),"",(K133-F133)/F133)</f>
        <v/>
      </c>
      <c r="M133" s="4">
        <f>IF(OR(F133="",G133=""),"",(G133-F133)/F133)</f>
        <v/>
      </c>
      <c r="N133" s="6">
        <f>IF(OR(F133="",G133="",H133=""),"",(H133-F133)/(F133-G133))</f>
        <v/>
      </c>
      <c r="O133" s="2" t="n"/>
      <c r="P133" s="2" t="n"/>
      <c r="Q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4">
        <f>IF(OR(F134="",K134=""),"",(K134-F134)/F134)</f>
        <v/>
      </c>
      <c r="M134" s="4">
        <f>IF(OR(F134="",G134=""),"",(G134-F134)/F134)</f>
        <v/>
      </c>
      <c r="N134" s="6">
        <f>IF(OR(F134="",G134="",H134=""),"",(H134-F134)/(F134-G134))</f>
        <v/>
      </c>
      <c r="O134" s="2" t="n"/>
      <c r="P134" s="2" t="n"/>
      <c r="Q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4">
        <f>IF(OR(F135="",K135=""),"",(K135-F135)/F135)</f>
        <v/>
      </c>
      <c r="M135" s="4">
        <f>IF(OR(F135="",G135=""),"",(G135-F135)/F135)</f>
        <v/>
      </c>
      <c r="N135" s="6">
        <f>IF(OR(F135="",G135="",H135=""),"",(H135-F135)/(F135-G135))</f>
        <v/>
      </c>
      <c r="O135" s="2" t="n"/>
      <c r="P135" s="2" t="n"/>
      <c r="Q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4">
        <f>IF(OR(F136="",K136=""),"",(K136-F136)/F136)</f>
        <v/>
      </c>
      <c r="M136" s="4">
        <f>IF(OR(F136="",G136=""),"",(G136-F136)/F136)</f>
        <v/>
      </c>
      <c r="N136" s="6">
        <f>IF(OR(F136="",G136="",H136=""),"",(H136-F136)/(F136-G136))</f>
        <v/>
      </c>
      <c r="O136" s="2" t="n"/>
      <c r="P136" s="2" t="n"/>
      <c r="Q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4">
        <f>IF(OR(F137="",K137=""),"",(K137-F137)/F137)</f>
        <v/>
      </c>
      <c r="M137" s="4">
        <f>IF(OR(F137="",G137=""),"",(G137-F137)/F137)</f>
        <v/>
      </c>
      <c r="N137" s="6">
        <f>IF(OR(F137="",G137="",H137=""),"",(H137-F137)/(F137-G137))</f>
        <v/>
      </c>
      <c r="O137" s="2" t="n"/>
      <c r="P137" s="2" t="n"/>
      <c r="Q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4">
        <f>IF(OR(F138="",K138=""),"",(K138-F138)/F138)</f>
        <v/>
      </c>
      <c r="M138" s="4">
        <f>IF(OR(F138="",G138=""),"",(G138-F138)/F138)</f>
        <v/>
      </c>
      <c r="N138" s="6">
        <f>IF(OR(F138="",G138="",H138=""),"",(H138-F138)/(F138-G138))</f>
        <v/>
      </c>
      <c r="O138" s="2" t="n"/>
      <c r="P138" s="2" t="n"/>
      <c r="Q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4">
        <f>IF(OR(F139="",K139=""),"",(K139-F139)/F139)</f>
        <v/>
      </c>
      <c r="M139" s="4">
        <f>IF(OR(F139="",G139=""),"",(G139-F139)/F139)</f>
        <v/>
      </c>
      <c r="N139" s="6">
        <f>IF(OR(F139="",G139="",H139=""),"",(H139-F139)/(F139-G139))</f>
        <v/>
      </c>
      <c r="O139" s="2" t="n"/>
      <c r="P139" s="2" t="n"/>
      <c r="Q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4">
        <f>IF(OR(F140="",K140=""),"",(K140-F140)/F140)</f>
        <v/>
      </c>
      <c r="M140" s="4">
        <f>IF(OR(F140="",G140=""),"",(G140-F140)/F140)</f>
        <v/>
      </c>
      <c r="N140" s="6">
        <f>IF(OR(F140="",G140="",H140=""),"",(H140-F140)/(F140-G140))</f>
        <v/>
      </c>
      <c r="O140" s="2" t="n"/>
      <c r="P140" s="2" t="n"/>
      <c r="Q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4">
        <f>IF(OR(F141="",K141=""),"",(K141-F141)/F141)</f>
        <v/>
      </c>
      <c r="M141" s="4">
        <f>IF(OR(F141="",G141=""),"",(G141-F141)/F141)</f>
        <v/>
      </c>
      <c r="N141" s="6">
        <f>IF(OR(F141="",G141="",H141=""),"",(H141-F141)/(F141-G141))</f>
        <v/>
      </c>
      <c r="O141" s="2" t="n"/>
      <c r="P141" s="2" t="n"/>
      <c r="Q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4">
        <f>IF(OR(F142="",K142=""),"",(K142-F142)/F142)</f>
        <v/>
      </c>
      <c r="M142" s="4">
        <f>IF(OR(F142="",G142=""),"",(G142-F142)/F142)</f>
        <v/>
      </c>
      <c r="N142" s="6">
        <f>IF(OR(F142="",G142="",H142=""),"",(H142-F142)/(F142-G142))</f>
        <v/>
      </c>
      <c r="O142" s="2" t="n"/>
      <c r="P142" s="2" t="n"/>
      <c r="Q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4">
        <f>IF(OR(F143="",K143=""),"",(K143-F143)/F143)</f>
        <v/>
      </c>
      <c r="M143" s="4">
        <f>IF(OR(F143="",G143=""),"",(G143-F143)/F143)</f>
        <v/>
      </c>
      <c r="N143" s="6">
        <f>IF(OR(F143="",G143="",H143=""),"",(H143-F143)/(F143-G143))</f>
        <v/>
      </c>
      <c r="O143" s="2" t="n"/>
      <c r="P143" s="2" t="n"/>
      <c r="Q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4">
        <f>IF(OR(F144="",K144=""),"",(K144-F144)/F144)</f>
        <v/>
      </c>
      <c r="M144" s="4">
        <f>IF(OR(F144="",G144=""),"",(G144-F144)/F144)</f>
        <v/>
      </c>
      <c r="N144" s="6">
        <f>IF(OR(F144="",G144="",H144=""),"",(H144-F144)/(F144-G144))</f>
        <v/>
      </c>
      <c r="O144" s="2" t="n"/>
      <c r="P144" s="2" t="n"/>
      <c r="Q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4">
        <f>IF(OR(F145="",K145=""),"",(K145-F145)/F145)</f>
        <v/>
      </c>
      <c r="M145" s="4">
        <f>IF(OR(F145="",G145=""),"",(G145-F145)/F145)</f>
        <v/>
      </c>
      <c r="N145" s="6">
        <f>IF(OR(F145="",G145="",H145=""),"",(H145-F145)/(F145-G145))</f>
        <v/>
      </c>
      <c r="O145" s="2" t="n"/>
      <c r="P145" s="2" t="n"/>
      <c r="Q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4">
        <f>IF(OR(F146="",K146=""),"",(K146-F146)/F146)</f>
        <v/>
      </c>
      <c r="M146" s="4">
        <f>IF(OR(F146="",G146=""),"",(G146-F146)/F146)</f>
        <v/>
      </c>
      <c r="N146" s="6">
        <f>IF(OR(F146="",G146="",H146=""),"",(H146-F146)/(F146-G146))</f>
        <v/>
      </c>
      <c r="O146" s="2" t="n"/>
      <c r="P146" s="2" t="n"/>
      <c r="Q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4">
        <f>IF(OR(F147="",K147=""),"",(K147-F147)/F147)</f>
        <v/>
      </c>
      <c r="M147" s="4">
        <f>IF(OR(F147="",G147=""),"",(G147-F147)/F147)</f>
        <v/>
      </c>
      <c r="N147" s="6">
        <f>IF(OR(F147="",G147="",H147=""),"",(H147-F147)/(F147-G147))</f>
        <v/>
      </c>
      <c r="O147" s="2" t="n"/>
      <c r="P147" s="2" t="n"/>
      <c r="Q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4">
        <f>IF(OR(F148="",K148=""),"",(K148-F148)/F148)</f>
        <v/>
      </c>
      <c r="M148" s="4">
        <f>IF(OR(F148="",G148=""),"",(G148-F148)/F148)</f>
        <v/>
      </c>
      <c r="N148" s="6">
        <f>IF(OR(F148="",G148="",H148=""),"",(H148-F148)/(F148-G148))</f>
        <v/>
      </c>
      <c r="O148" s="2" t="n"/>
      <c r="P148" s="2" t="n"/>
      <c r="Q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4">
        <f>IF(OR(F149="",K149=""),"",(K149-F149)/F149)</f>
        <v/>
      </c>
      <c r="M149" s="4">
        <f>IF(OR(F149="",G149=""),"",(G149-F149)/F149)</f>
        <v/>
      </c>
      <c r="N149" s="6">
        <f>IF(OR(F149="",G149="",H149=""),"",(H149-F149)/(F149-G149))</f>
        <v/>
      </c>
      <c r="O149" s="2" t="n"/>
      <c r="P149" s="2" t="n"/>
      <c r="Q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4">
        <f>IF(OR(F150="",K150=""),"",(K150-F150)/F150)</f>
        <v/>
      </c>
      <c r="M150" s="4">
        <f>IF(OR(F150="",G150=""),"",(G150-F150)/F150)</f>
        <v/>
      </c>
      <c r="N150" s="6">
        <f>IF(OR(F150="",G150="",H150=""),"",(H150-F150)/(F150-G150))</f>
        <v/>
      </c>
      <c r="O150" s="2" t="n"/>
      <c r="P150" s="2" t="n"/>
      <c r="Q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4">
        <f>IF(OR(F151="",K151=""),"",(K151-F151)/F151)</f>
        <v/>
      </c>
      <c r="M151" s="4">
        <f>IF(OR(F151="",G151=""),"",(G151-F151)/F151)</f>
        <v/>
      </c>
      <c r="N151" s="6">
        <f>IF(OR(F151="",G151="",H151=""),"",(H151-F151)/(F151-G151))</f>
        <v/>
      </c>
      <c r="O151" s="2" t="n"/>
      <c r="P151" s="2" t="n"/>
      <c r="Q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4">
        <f>IF(OR(F152="",K152=""),"",(K152-F152)/F152)</f>
        <v/>
      </c>
      <c r="M152" s="4">
        <f>IF(OR(F152="",G152=""),"",(G152-F152)/F152)</f>
        <v/>
      </c>
      <c r="N152" s="6">
        <f>IF(OR(F152="",G152="",H152=""),"",(H152-F152)/(F152-G152))</f>
        <v/>
      </c>
      <c r="O152" s="2" t="n"/>
      <c r="P152" s="2" t="n"/>
      <c r="Q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4">
        <f>IF(OR(F153="",K153=""),"",(K153-F153)/F153)</f>
        <v/>
      </c>
      <c r="M153" s="4">
        <f>IF(OR(F153="",G153=""),"",(G153-F153)/F153)</f>
        <v/>
      </c>
      <c r="N153" s="6">
        <f>IF(OR(F153="",G153="",H153=""),"",(H153-F153)/(F153-G153))</f>
        <v/>
      </c>
      <c r="O153" s="2" t="n"/>
      <c r="P153" s="2" t="n"/>
      <c r="Q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4">
        <f>IF(OR(F154="",K154=""),"",(K154-F154)/F154)</f>
        <v/>
      </c>
      <c r="M154" s="4">
        <f>IF(OR(F154="",G154=""),"",(G154-F154)/F154)</f>
        <v/>
      </c>
      <c r="N154" s="6">
        <f>IF(OR(F154="",G154="",H154=""),"",(H154-F154)/(F154-G154))</f>
        <v/>
      </c>
      <c r="O154" s="2" t="n"/>
      <c r="P154" s="2" t="n"/>
      <c r="Q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4">
        <f>IF(OR(F155="",K155=""),"",(K155-F155)/F155)</f>
        <v/>
      </c>
      <c r="M155" s="4">
        <f>IF(OR(F155="",G155=""),"",(G155-F155)/F155)</f>
        <v/>
      </c>
      <c r="N155" s="6">
        <f>IF(OR(F155="",G155="",H155=""),"",(H155-F155)/(F155-G155))</f>
        <v/>
      </c>
      <c r="O155" s="2" t="n"/>
      <c r="P155" s="2" t="n"/>
      <c r="Q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4">
        <f>IF(OR(F156="",K156=""),"",(K156-F156)/F156)</f>
        <v/>
      </c>
      <c r="M156" s="4">
        <f>IF(OR(F156="",G156=""),"",(G156-F156)/F156)</f>
        <v/>
      </c>
      <c r="N156" s="6">
        <f>IF(OR(F156="",G156="",H156=""),"",(H156-F156)/(F156-G156))</f>
        <v/>
      </c>
      <c r="O156" s="2" t="n"/>
      <c r="P156" s="2" t="n"/>
      <c r="Q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4">
        <f>IF(OR(F157="",K157=""),"",(K157-F157)/F157)</f>
        <v/>
      </c>
      <c r="M157" s="4">
        <f>IF(OR(F157="",G157=""),"",(G157-F157)/F157)</f>
        <v/>
      </c>
      <c r="N157" s="6">
        <f>IF(OR(F157="",G157="",H157=""),"",(H157-F157)/(F157-G157))</f>
        <v/>
      </c>
      <c r="O157" s="2" t="n"/>
      <c r="P157" s="2" t="n"/>
      <c r="Q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4">
        <f>IF(OR(F158="",K158=""),"",(K158-F158)/F158)</f>
        <v/>
      </c>
      <c r="M158" s="4">
        <f>IF(OR(F158="",G158=""),"",(G158-F158)/F158)</f>
        <v/>
      </c>
      <c r="N158" s="6">
        <f>IF(OR(F158="",G158="",H158=""),"",(H158-F158)/(F158-G158))</f>
        <v/>
      </c>
      <c r="O158" s="2" t="n"/>
      <c r="P158" s="2" t="n"/>
      <c r="Q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4">
        <f>IF(OR(F159="",K159=""),"",(K159-F159)/F159)</f>
        <v/>
      </c>
      <c r="M159" s="4">
        <f>IF(OR(F159="",G159=""),"",(G159-F159)/F159)</f>
        <v/>
      </c>
      <c r="N159" s="6">
        <f>IF(OR(F159="",G159="",H159=""),"",(H159-F159)/(F159-G159))</f>
        <v/>
      </c>
      <c r="O159" s="2" t="n"/>
      <c r="P159" s="2" t="n"/>
      <c r="Q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4">
        <f>IF(OR(F160="",K160=""),"",(K160-F160)/F160)</f>
        <v/>
      </c>
      <c r="M160" s="4">
        <f>IF(OR(F160="",G160=""),"",(G160-F160)/F160)</f>
        <v/>
      </c>
      <c r="N160" s="6">
        <f>IF(OR(F160="",G160="",H160=""),"",(H160-F160)/(F160-G160))</f>
        <v/>
      </c>
      <c r="O160" s="2" t="n"/>
      <c r="P160" s="2" t="n"/>
      <c r="Q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4">
        <f>IF(OR(F161="",K161=""),"",(K161-F161)/F161)</f>
        <v/>
      </c>
      <c r="M161" s="4">
        <f>IF(OR(F161="",G161=""),"",(G161-F161)/F161)</f>
        <v/>
      </c>
      <c r="N161" s="6">
        <f>IF(OR(F161="",G161="",H161=""),"",(H161-F161)/(F161-G161))</f>
        <v/>
      </c>
      <c r="O161" s="2" t="n"/>
      <c r="P161" s="2" t="n"/>
      <c r="Q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4">
        <f>IF(OR(F162="",K162=""),"",(K162-F162)/F162)</f>
        <v/>
      </c>
      <c r="M162" s="4">
        <f>IF(OR(F162="",G162=""),"",(G162-F162)/F162)</f>
        <v/>
      </c>
      <c r="N162" s="6">
        <f>IF(OR(F162="",G162="",H162=""),"",(H162-F162)/(F162-G162))</f>
        <v/>
      </c>
      <c r="O162" s="2" t="n"/>
      <c r="P162" s="2" t="n"/>
      <c r="Q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4">
        <f>IF(OR(F163="",K163=""),"",(K163-F163)/F163)</f>
        <v/>
      </c>
      <c r="M163" s="4">
        <f>IF(OR(F163="",G163=""),"",(G163-F163)/F163)</f>
        <v/>
      </c>
      <c r="N163" s="6">
        <f>IF(OR(F163="",G163="",H163=""),"",(H163-F163)/(F163-G163))</f>
        <v/>
      </c>
      <c r="O163" s="2" t="n"/>
      <c r="P163" s="2" t="n"/>
      <c r="Q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4">
        <f>IF(OR(F164="",K164=""),"",(K164-F164)/F164)</f>
        <v/>
      </c>
      <c r="M164" s="4">
        <f>IF(OR(F164="",G164=""),"",(G164-F164)/F164)</f>
        <v/>
      </c>
      <c r="N164" s="6">
        <f>IF(OR(F164="",G164="",H164=""),"",(H164-F164)/(F164-G164))</f>
        <v/>
      </c>
      <c r="O164" s="2" t="n"/>
      <c r="P164" s="2" t="n"/>
      <c r="Q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4">
        <f>IF(OR(F165="",K165=""),"",(K165-F165)/F165)</f>
        <v/>
      </c>
      <c r="M165" s="4">
        <f>IF(OR(F165="",G165=""),"",(G165-F165)/F165)</f>
        <v/>
      </c>
      <c r="N165" s="6">
        <f>IF(OR(F165="",G165="",H165=""),"",(H165-F165)/(F165-G165))</f>
        <v/>
      </c>
      <c r="O165" s="2" t="n"/>
      <c r="P165" s="2" t="n"/>
      <c r="Q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4">
        <f>IF(OR(F166="",K166=""),"",(K166-F166)/F166)</f>
        <v/>
      </c>
      <c r="M166" s="4">
        <f>IF(OR(F166="",G166=""),"",(G166-F166)/F166)</f>
        <v/>
      </c>
      <c r="N166" s="6">
        <f>IF(OR(F166="",G166="",H166=""),"",(H166-F166)/(F166-G166))</f>
        <v/>
      </c>
      <c r="O166" s="2" t="n"/>
      <c r="P166" s="2" t="n"/>
      <c r="Q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4">
        <f>IF(OR(F167="",K167=""),"",(K167-F167)/F167)</f>
        <v/>
      </c>
      <c r="M167" s="4">
        <f>IF(OR(F167="",G167=""),"",(G167-F167)/F167)</f>
        <v/>
      </c>
      <c r="N167" s="6">
        <f>IF(OR(F167="",G167="",H167=""),"",(H167-F167)/(F167-G167))</f>
        <v/>
      </c>
      <c r="O167" s="2" t="n"/>
      <c r="P167" s="2" t="n"/>
      <c r="Q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4">
        <f>IF(OR(F168="",K168=""),"",(K168-F168)/F168)</f>
        <v/>
      </c>
      <c r="M168" s="4">
        <f>IF(OR(F168="",G168=""),"",(G168-F168)/F168)</f>
        <v/>
      </c>
      <c r="N168" s="6">
        <f>IF(OR(F168="",G168="",H168=""),"",(H168-F168)/(F168-G168))</f>
        <v/>
      </c>
      <c r="O168" s="2" t="n"/>
      <c r="P168" s="2" t="n"/>
      <c r="Q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4">
        <f>IF(OR(F169="",K169=""),"",(K169-F169)/F169)</f>
        <v/>
      </c>
      <c r="M169" s="4">
        <f>IF(OR(F169="",G169=""),"",(G169-F169)/F169)</f>
        <v/>
      </c>
      <c r="N169" s="6">
        <f>IF(OR(F169="",G169="",H169=""),"",(H169-F169)/(F169-G169))</f>
        <v/>
      </c>
      <c r="O169" s="2" t="n"/>
      <c r="P169" s="2" t="n"/>
      <c r="Q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4">
        <f>IF(OR(F170="",K170=""),"",(K170-F170)/F170)</f>
        <v/>
      </c>
      <c r="M170" s="4">
        <f>IF(OR(F170="",G170=""),"",(G170-F170)/F170)</f>
        <v/>
      </c>
      <c r="N170" s="6">
        <f>IF(OR(F170="",G170="",H170=""),"",(H170-F170)/(F170-G170))</f>
        <v/>
      </c>
      <c r="O170" s="2" t="n"/>
      <c r="P170" s="2" t="n"/>
      <c r="Q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4">
        <f>IF(OR(F171="",K171=""),"",(K171-F171)/F171)</f>
        <v/>
      </c>
      <c r="M171" s="4">
        <f>IF(OR(F171="",G171=""),"",(G171-F171)/F171)</f>
        <v/>
      </c>
      <c r="N171" s="6">
        <f>IF(OR(F171="",G171="",H171=""),"",(H171-F171)/(F171-G171))</f>
        <v/>
      </c>
      <c r="O171" s="2" t="n"/>
      <c r="P171" s="2" t="n"/>
      <c r="Q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4">
        <f>IF(OR(F172="",K172=""),"",(K172-F172)/F172)</f>
        <v/>
      </c>
      <c r="M172" s="4">
        <f>IF(OR(F172="",G172=""),"",(G172-F172)/F172)</f>
        <v/>
      </c>
      <c r="N172" s="6">
        <f>IF(OR(F172="",G172="",H172=""),"",(H172-F172)/(F172-G172))</f>
        <v/>
      </c>
      <c r="O172" s="2" t="n"/>
      <c r="P172" s="2" t="n"/>
      <c r="Q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4">
        <f>IF(OR(F173="",K173=""),"",(K173-F173)/F173)</f>
        <v/>
      </c>
      <c r="M173" s="4">
        <f>IF(OR(F173="",G173=""),"",(G173-F173)/F173)</f>
        <v/>
      </c>
      <c r="N173" s="6">
        <f>IF(OR(F173="",G173="",H173=""),"",(H173-F173)/(F173-G173))</f>
        <v/>
      </c>
      <c r="O173" s="2" t="n"/>
      <c r="P173" s="2" t="n"/>
      <c r="Q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4">
        <f>IF(OR(F174="",K174=""),"",(K174-F174)/F174)</f>
        <v/>
      </c>
      <c r="M174" s="4">
        <f>IF(OR(F174="",G174=""),"",(G174-F174)/F174)</f>
        <v/>
      </c>
      <c r="N174" s="6">
        <f>IF(OR(F174="",G174="",H174=""),"",(H174-F174)/(F174-G174))</f>
        <v/>
      </c>
      <c r="O174" s="2" t="n"/>
      <c r="P174" s="2" t="n"/>
      <c r="Q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4">
        <f>IF(OR(F175="",K175=""),"",(K175-F175)/F175)</f>
        <v/>
      </c>
      <c r="M175" s="4">
        <f>IF(OR(F175="",G175=""),"",(G175-F175)/F175)</f>
        <v/>
      </c>
      <c r="N175" s="6">
        <f>IF(OR(F175="",G175="",H175=""),"",(H175-F175)/(F175-G175))</f>
        <v/>
      </c>
      <c r="O175" s="2" t="n"/>
      <c r="P175" s="2" t="n"/>
      <c r="Q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4">
        <f>IF(OR(F176="",K176=""),"",(K176-F176)/F176)</f>
        <v/>
      </c>
      <c r="M176" s="4">
        <f>IF(OR(F176="",G176=""),"",(G176-F176)/F176)</f>
        <v/>
      </c>
      <c r="N176" s="6">
        <f>IF(OR(F176="",G176="",H176=""),"",(H176-F176)/(F176-G176))</f>
        <v/>
      </c>
      <c r="O176" s="2" t="n"/>
      <c r="P176" s="2" t="n"/>
      <c r="Q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4">
        <f>IF(OR(F177="",K177=""),"",(K177-F177)/F177)</f>
        <v/>
      </c>
      <c r="M177" s="4">
        <f>IF(OR(F177="",G177=""),"",(G177-F177)/F177)</f>
        <v/>
      </c>
      <c r="N177" s="6">
        <f>IF(OR(F177="",G177="",H177=""),"",(H177-F177)/(F177-G177))</f>
        <v/>
      </c>
      <c r="O177" s="2" t="n"/>
      <c r="P177" s="2" t="n"/>
      <c r="Q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4">
        <f>IF(OR(F178="",K178=""),"",(K178-F178)/F178)</f>
        <v/>
      </c>
      <c r="M178" s="4">
        <f>IF(OR(F178="",G178=""),"",(G178-F178)/F178)</f>
        <v/>
      </c>
      <c r="N178" s="6">
        <f>IF(OR(F178="",G178="",H178=""),"",(H178-F178)/(F178-G178))</f>
        <v/>
      </c>
      <c r="O178" s="2" t="n"/>
      <c r="P178" s="2" t="n"/>
      <c r="Q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4">
        <f>IF(OR(F179="",K179=""),"",(K179-F179)/F179)</f>
        <v/>
      </c>
      <c r="M179" s="4">
        <f>IF(OR(F179="",G179=""),"",(G179-F179)/F179)</f>
        <v/>
      </c>
      <c r="N179" s="6">
        <f>IF(OR(F179="",G179="",H179=""),"",(H179-F179)/(F179-G179))</f>
        <v/>
      </c>
      <c r="O179" s="2" t="n"/>
      <c r="P179" s="2" t="n"/>
      <c r="Q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4">
        <f>IF(OR(F180="",K180=""),"",(K180-F180)/F180)</f>
        <v/>
      </c>
      <c r="M180" s="4">
        <f>IF(OR(F180="",G180=""),"",(G180-F180)/F180)</f>
        <v/>
      </c>
      <c r="N180" s="6">
        <f>IF(OR(F180="",G180="",H180=""),"",(H180-F180)/(F180-G180))</f>
        <v/>
      </c>
      <c r="O180" s="2" t="n"/>
      <c r="P180" s="2" t="n"/>
      <c r="Q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4">
        <f>IF(OR(F181="",K181=""),"",(K181-F181)/F181)</f>
        <v/>
      </c>
      <c r="M181" s="4">
        <f>IF(OR(F181="",G181=""),"",(G181-F181)/F181)</f>
        <v/>
      </c>
      <c r="N181" s="6">
        <f>IF(OR(F181="",G181="",H181=""),"",(H181-F181)/(F181-G181))</f>
        <v/>
      </c>
      <c r="O181" s="2" t="n"/>
      <c r="P181" s="2" t="n"/>
      <c r="Q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4">
        <f>IF(OR(F182="",K182=""),"",(K182-F182)/F182)</f>
        <v/>
      </c>
      <c r="M182" s="4">
        <f>IF(OR(F182="",G182=""),"",(G182-F182)/F182)</f>
        <v/>
      </c>
      <c r="N182" s="6">
        <f>IF(OR(F182="",G182="",H182=""),"",(H182-F182)/(F182-G182))</f>
        <v/>
      </c>
      <c r="O182" s="2" t="n"/>
      <c r="P182" s="2" t="n"/>
      <c r="Q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4">
        <f>IF(OR(F183="",K183=""),"",(K183-F183)/F183)</f>
        <v/>
      </c>
      <c r="M183" s="4">
        <f>IF(OR(F183="",G183=""),"",(G183-F183)/F183)</f>
        <v/>
      </c>
      <c r="N183" s="6">
        <f>IF(OR(F183="",G183="",H183=""),"",(H183-F183)/(F183-G183))</f>
        <v/>
      </c>
      <c r="O183" s="2" t="n"/>
      <c r="P183" s="2" t="n"/>
      <c r="Q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4">
        <f>IF(OR(F184="",K184=""),"",(K184-F184)/F184)</f>
        <v/>
      </c>
      <c r="M184" s="4">
        <f>IF(OR(F184="",G184=""),"",(G184-F184)/F184)</f>
        <v/>
      </c>
      <c r="N184" s="6">
        <f>IF(OR(F184="",G184="",H184=""),"",(H184-F184)/(F184-G184))</f>
        <v/>
      </c>
      <c r="O184" s="2" t="n"/>
      <c r="P184" s="2" t="n"/>
      <c r="Q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4">
        <f>IF(OR(F185="",K185=""),"",(K185-F185)/F185)</f>
        <v/>
      </c>
      <c r="M185" s="4">
        <f>IF(OR(F185="",G185=""),"",(G185-F185)/F185)</f>
        <v/>
      </c>
      <c r="N185" s="6">
        <f>IF(OR(F185="",G185="",H185=""),"",(H185-F185)/(F185-G185))</f>
        <v/>
      </c>
      <c r="O185" s="2" t="n"/>
      <c r="P185" s="2" t="n"/>
      <c r="Q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4">
        <f>IF(OR(F186="",K186=""),"",(K186-F186)/F186)</f>
        <v/>
      </c>
      <c r="M186" s="4">
        <f>IF(OR(F186="",G186=""),"",(G186-F186)/F186)</f>
        <v/>
      </c>
      <c r="N186" s="6">
        <f>IF(OR(F186="",G186="",H186=""),"",(H186-F186)/(F186-G186))</f>
        <v/>
      </c>
      <c r="O186" s="2" t="n"/>
      <c r="P186" s="2" t="n"/>
      <c r="Q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4">
        <f>IF(OR(F187="",K187=""),"",(K187-F187)/F187)</f>
        <v/>
      </c>
      <c r="M187" s="4">
        <f>IF(OR(F187="",G187=""),"",(G187-F187)/F187)</f>
        <v/>
      </c>
      <c r="N187" s="6">
        <f>IF(OR(F187="",G187="",H187=""),"",(H187-F187)/(F187-G187))</f>
        <v/>
      </c>
      <c r="O187" s="2" t="n"/>
      <c r="P187" s="2" t="n"/>
      <c r="Q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4">
        <f>IF(OR(F188="",K188=""),"",(K188-F188)/F188)</f>
        <v/>
      </c>
      <c r="M188" s="4">
        <f>IF(OR(F188="",G188=""),"",(G188-F188)/F188)</f>
        <v/>
      </c>
      <c r="N188" s="6">
        <f>IF(OR(F188="",G188="",H188=""),"",(H188-F188)/(F188-G188))</f>
        <v/>
      </c>
      <c r="O188" s="2" t="n"/>
      <c r="P188" s="2" t="n"/>
      <c r="Q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4">
        <f>IF(OR(F189="",K189=""),"",(K189-F189)/F189)</f>
        <v/>
      </c>
      <c r="M189" s="4">
        <f>IF(OR(F189="",G189=""),"",(G189-F189)/F189)</f>
        <v/>
      </c>
      <c r="N189" s="6">
        <f>IF(OR(F189="",G189="",H189=""),"",(H189-F189)/(F189-G189))</f>
        <v/>
      </c>
      <c r="O189" s="2" t="n"/>
      <c r="P189" s="2" t="n"/>
      <c r="Q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4">
        <f>IF(OR(F190="",K190=""),"",(K190-F190)/F190)</f>
        <v/>
      </c>
      <c r="M190" s="4">
        <f>IF(OR(F190="",G190=""),"",(G190-F190)/F190)</f>
        <v/>
      </c>
      <c r="N190" s="6">
        <f>IF(OR(F190="",G190="",H190=""),"",(H190-F190)/(F190-G190))</f>
        <v/>
      </c>
      <c r="O190" s="2" t="n"/>
      <c r="P190" s="2" t="n"/>
      <c r="Q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4">
        <f>IF(OR(F191="",K191=""),"",(K191-F191)/F191)</f>
        <v/>
      </c>
      <c r="M191" s="4">
        <f>IF(OR(F191="",G191=""),"",(G191-F191)/F191)</f>
        <v/>
      </c>
      <c r="N191" s="6">
        <f>IF(OR(F191="",G191="",H191=""),"",(H191-F191)/(F191-G191))</f>
        <v/>
      </c>
      <c r="O191" s="2" t="n"/>
      <c r="P191" s="2" t="n"/>
      <c r="Q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4">
        <f>IF(OR(F192="",K192=""),"",(K192-F192)/F192)</f>
        <v/>
      </c>
      <c r="M192" s="4">
        <f>IF(OR(F192="",G192=""),"",(G192-F192)/F192)</f>
        <v/>
      </c>
      <c r="N192" s="6">
        <f>IF(OR(F192="",G192="",H192=""),"",(H192-F192)/(F192-G192))</f>
        <v/>
      </c>
      <c r="O192" s="2" t="n"/>
      <c r="P192" s="2" t="n"/>
      <c r="Q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4">
        <f>IF(OR(F193="",K193=""),"",(K193-F193)/F193)</f>
        <v/>
      </c>
      <c r="M193" s="4">
        <f>IF(OR(F193="",G193=""),"",(G193-F193)/F193)</f>
        <v/>
      </c>
      <c r="N193" s="6">
        <f>IF(OR(F193="",G193="",H193=""),"",(H193-F193)/(F193-G193))</f>
        <v/>
      </c>
      <c r="O193" s="2" t="n"/>
      <c r="P193" s="2" t="n"/>
      <c r="Q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4">
        <f>IF(OR(F194="",K194=""),"",(K194-F194)/F194)</f>
        <v/>
      </c>
      <c r="M194" s="4">
        <f>IF(OR(F194="",G194=""),"",(G194-F194)/F194)</f>
        <v/>
      </c>
      <c r="N194" s="6">
        <f>IF(OR(F194="",G194="",H194=""),"",(H194-F194)/(F194-G194))</f>
        <v/>
      </c>
      <c r="O194" s="2" t="n"/>
      <c r="P194" s="2" t="n"/>
      <c r="Q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4">
        <f>IF(OR(F195="",K195=""),"",(K195-F195)/F195)</f>
        <v/>
      </c>
      <c r="M195" s="4">
        <f>IF(OR(F195="",G195=""),"",(G195-F195)/F195)</f>
        <v/>
      </c>
      <c r="N195" s="6">
        <f>IF(OR(F195="",G195="",H195=""),"",(H195-F195)/(F195-G195))</f>
        <v/>
      </c>
      <c r="O195" s="2" t="n"/>
      <c r="P195" s="2" t="n"/>
      <c r="Q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4">
        <f>IF(OR(F196="",K196=""),"",(K196-F196)/F196)</f>
        <v/>
      </c>
      <c r="M196" s="4">
        <f>IF(OR(F196="",G196=""),"",(G196-F196)/F196)</f>
        <v/>
      </c>
      <c r="N196" s="6">
        <f>IF(OR(F196="",G196="",H196=""),"",(H196-F196)/(F196-G196))</f>
        <v/>
      </c>
      <c r="O196" s="2" t="n"/>
      <c r="P196" s="2" t="n"/>
      <c r="Q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4">
        <f>IF(OR(F197="",K197=""),"",(K197-F197)/F197)</f>
        <v/>
      </c>
      <c r="M197" s="4">
        <f>IF(OR(F197="",G197=""),"",(G197-F197)/F197)</f>
        <v/>
      </c>
      <c r="N197" s="6">
        <f>IF(OR(F197="",G197="",H197=""),"",(H197-F197)/(F197-G197))</f>
        <v/>
      </c>
      <c r="O197" s="2" t="n"/>
      <c r="P197" s="2" t="n"/>
      <c r="Q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4">
        <f>IF(OR(F198="",K198=""),"",(K198-F198)/F198)</f>
        <v/>
      </c>
      <c r="M198" s="4">
        <f>IF(OR(F198="",G198=""),"",(G198-F198)/F198)</f>
        <v/>
      </c>
      <c r="N198" s="6">
        <f>IF(OR(F198="",G198="",H198=""),"",(H198-F198)/(F198-G198))</f>
        <v/>
      </c>
      <c r="O198" s="2" t="n"/>
      <c r="P198" s="2" t="n"/>
      <c r="Q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4">
        <f>IF(OR(F199="",K199=""),"",(K199-F199)/F199)</f>
        <v/>
      </c>
      <c r="M199" s="4">
        <f>IF(OR(F199="",G199=""),"",(G199-F199)/F199)</f>
        <v/>
      </c>
      <c r="N199" s="6">
        <f>IF(OR(F199="",G199="",H199=""),"",(H199-F199)/(F199-G199))</f>
        <v/>
      </c>
      <c r="O199" s="2" t="n"/>
      <c r="P199" s="2" t="n"/>
      <c r="Q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4">
        <f>IF(OR(F200="",K200=""),"",(K200-F200)/F200)</f>
        <v/>
      </c>
      <c r="M200" s="4">
        <f>IF(OR(F200="",G200=""),"",(G200-F200)/F200)</f>
        <v/>
      </c>
      <c r="N200" s="6">
        <f>IF(OR(F200="",G200="",H200=""),"",(H200-F200)/(F200-G200))</f>
        <v/>
      </c>
      <c r="O200" s="2" t="n"/>
      <c r="P200" s="2" t="n"/>
      <c r="Q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4">
        <f>IF(OR(F201="",K201=""),"",(K201-F201)/F201)</f>
        <v/>
      </c>
      <c r="M201" s="4">
        <f>IF(OR(F201="",G201=""),"",(G201-F201)/F201)</f>
        <v/>
      </c>
      <c r="N201" s="6">
        <f>IF(OR(F201="",G201="",H201=""),"",(H201-F201)/(F201-G201))</f>
        <v/>
      </c>
      <c r="O201" s="2" t="n"/>
      <c r="P201" s="2" t="n"/>
      <c r="Q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4">
        <f>IF(OR(F202="",K202=""),"",(K202-F202)/F202)</f>
        <v/>
      </c>
      <c r="M202" s="4">
        <f>IF(OR(F202="",G202=""),"",(G202-F202)/F202)</f>
        <v/>
      </c>
      <c r="N202" s="6">
        <f>IF(OR(F202="",G202="",H202=""),"",(H202-F202)/(F202-G202))</f>
        <v/>
      </c>
      <c r="O202" s="2" t="n"/>
      <c r="P202" s="2" t="n"/>
      <c r="Q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4">
        <f>IF(OR(F203="",K203=""),"",(K203-F203)/F203)</f>
        <v/>
      </c>
      <c r="M203" s="4">
        <f>IF(OR(F203="",G203=""),"",(G203-F203)/F203)</f>
        <v/>
      </c>
      <c r="N203" s="6">
        <f>IF(OR(F203="",G203="",H203=""),"",(H203-F203)/(F203-G203))</f>
        <v/>
      </c>
      <c r="O203" s="2" t="n"/>
      <c r="P203" s="2" t="n"/>
      <c r="Q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4">
        <f>IF(OR(F204="",K204=""),"",(K204-F204)/F204)</f>
        <v/>
      </c>
      <c r="M204" s="4">
        <f>IF(OR(F204="",G204=""),"",(G204-F204)/F204)</f>
        <v/>
      </c>
      <c r="N204" s="6">
        <f>IF(OR(F204="",G204="",H204=""),"",(H204-F204)/(F204-G204))</f>
        <v/>
      </c>
      <c r="O204" s="2" t="n"/>
      <c r="P204" s="2" t="n"/>
      <c r="Q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4">
        <f>IF(OR(F205="",K205=""),"",(K205-F205)/F205)</f>
        <v/>
      </c>
      <c r="M205" s="4">
        <f>IF(OR(F205="",G205=""),"",(G205-F205)/F205)</f>
        <v/>
      </c>
      <c r="N205" s="6">
        <f>IF(OR(F205="",G205="",H205=""),"",(H205-F205)/(F205-G205))</f>
        <v/>
      </c>
      <c r="O205" s="2" t="n"/>
      <c r="P205" s="2" t="n"/>
      <c r="Q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4">
        <f>IF(OR(F206="",K206=""),"",(K206-F206)/F206)</f>
        <v/>
      </c>
      <c r="M206" s="4">
        <f>IF(OR(F206="",G206=""),"",(G206-F206)/F206)</f>
        <v/>
      </c>
      <c r="N206" s="6">
        <f>IF(OR(F206="",G206="",H206=""),"",(H206-F206)/(F206-G206))</f>
        <v/>
      </c>
      <c r="O206" s="2" t="n"/>
      <c r="P206" s="2" t="n"/>
      <c r="Q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4">
        <f>IF(OR(F207="",K207=""),"",(K207-F207)/F207)</f>
        <v/>
      </c>
      <c r="M207" s="4">
        <f>IF(OR(F207="",G207=""),"",(G207-F207)/F207)</f>
        <v/>
      </c>
      <c r="N207" s="6">
        <f>IF(OR(F207="",G207="",H207=""),"",(H207-F207)/(F207-G207))</f>
        <v/>
      </c>
      <c r="O207" s="2" t="n"/>
      <c r="P207" s="2" t="n"/>
      <c r="Q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4">
        <f>IF(OR(F208="",K208=""),"",(K208-F208)/F208)</f>
        <v/>
      </c>
      <c r="M208" s="4">
        <f>IF(OR(F208="",G208=""),"",(G208-F208)/F208)</f>
        <v/>
      </c>
      <c r="N208" s="6">
        <f>IF(OR(F208="",G208="",H208=""),"",(H208-F208)/(F208-G208))</f>
        <v/>
      </c>
      <c r="O208" s="2" t="n"/>
      <c r="P208" s="2" t="n"/>
      <c r="Q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4">
        <f>IF(OR(F209="",K209=""),"",(K209-F209)/F209)</f>
        <v/>
      </c>
      <c r="M209" s="4">
        <f>IF(OR(F209="",G209=""),"",(G209-F209)/F209)</f>
        <v/>
      </c>
      <c r="N209" s="6">
        <f>IF(OR(F209="",G209="",H209=""),"",(H209-F209)/(F209-G209))</f>
        <v/>
      </c>
      <c r="O209" s="2" t="n"/>
      <c r="P209" s="2" t="n"/>
      <c r="Q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4">
        <f>IF(OR(F210="",K210=""),"",(K210-F210)/F210)</f>
        <v/>
      </c>
      <c r="M210" s="4">
        <f>IF(OR(F210="",G210=""),"",(G210-F210)/F210)</f>
        <v/>
      </c>
      <c r="N210" s="6">
        <f>IF(OR(F210="",G210="",H210=""),"",(H210-F210)/(F210-G210))</f>
        <v/>
      </c>
      <c r="O210" s="2" t="n"/>
      <c r="P210" s="2" t="n"/>
      <c r="Q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4">
        <f>IF(OR(F211="",K211=""),"",(K211-F211)/F211)</f>
        <v/>
      </c>
      <c r="M211" s="4">
        <f>IF(OR(F211="",G211=""),"",(G211-F211)/F211)</f>
        <v/>
      </c>
      <c r="N211" s="6">
        <f>IF(OR(F211="",G211="",H211=""),"",(H211-F211)/(F211-G211))</f>
        <v/>
      </c>
      <c r="O211" s="2" t="n"/>
      <c r="P211" s="2" t="n"/>
      <c r="Q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4">
        <f>IF(OR(F212="",K212=""),"",(K212-F212)/F212)</f>
        <v/>
      </c>
      <c r="M212" s="4">
        <f>IF(OR(F212="",G212=""),"",(G212-F212)/F212)</f>
        <v/>
      </c>
      <c r="N212" s="6">
        <f>IF(OR(F212="",G212="",H212=""),"",(H212-F212)/(F212-G212))</f>
        <v/>
      </c>
      <c r="O212" s="2" t="n"/>
      <c r="P212" s="2" t="n"/>
      <c r="Q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4">
        <f>IF(OR(F213="",K213=""),"",(K213-F213)/F213)</f>
        <v/>
      </c>
      <c r="M213" s="4">
        <f>IF(OR(F213="",G213=""),"",(G213-F213)/F213)</f>
        <v/>
      </c>
      <c r="N213" s="6">
        <f>IF(OR(F213="",G213="",H213=""),"",(H213-F213)/(F213-G213))</f>
        <v/>
      </c>
      <c r="O213" s="2" t="n"/>
      <c r="P213" s="2" t="n"/>
      <c r="Q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4">
        <f>IF(OR(F214="",K214=""),"",(K214-F214)/F214)</f>
        <v/>
      </c>
      <c r="M214" s="4">
        <f>IF(OR(F214="",G214=""),"",(G214-F214)/F214)</f>
        <v/>
      </c>
      <c r="N214" s="6">
        <f>IF(OR(F214="",G214="",H214=""),"",(H214-F214)/(F214-G214))</f>
        <v/>
      </c>
      <c r="O214" s="2" t="n"/>
      <c r="P214" s="2" t="n"/>
      <c r="Q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4">
        <f>IF(OR(F215="",K215=""),"",(K215-F215)/F215)</f>
        <v/>
      </c>
      <c r="M215" s="4">
        <f>IF(OR(F215="",G215=""),"",(G215-F215)/F215)</f>
        <v/>
      </c>
      <c r="N215" s="6">
        <f>IF(OR(F215="",G215="",H215=""),"",(H215-F215)/(F215-G215))</f>
        <v/>
      </c>
      <c r="O215" s="2" t="n"/>
      <c r="P215" s="2" t="n"/>
      <c r="Q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4">
        <f>IF(OR(F216="",K216=""),"",(K216-F216)/F216)</f>
        <v/>
      </c>
      <c r="M216" s="4">
        <f>IF(OR(F216="",G216=""),"",(G216-F216)/F216)</f>
        <v/>
      </c>
      <c r="N216" s="6">
        <f>IF(OR(F216="",G216="",H216=""),"",(H216-F216)/(F216-G216))</f>
        <v/>
      </c>
      <c r="O216" s="2" t="n"/>
      <c r="P216" s="2" t="n"/>
      <c r="Q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4">
        <f>IF(OR(F217="",K217=""),"",(K217-F217)/F217)</f>
        <v/>
      </c>
      <c r="M217" s="4">
        <f>IF(OR(F217="",G217=""),"",(G217-F217)/F217)</f>
        <v/>
      </c>
      <c r="N217" s="6">
        <f>IF(OR(F217="",G217="",H217=""),"",(H217-F217)/(F217-G217))</f>
        <v/>
      </c>
      <c r="O217" s="2" t="n"/>
      <c r="P217" s="2" t="n"/>
      <c r="Q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4">
        <f>IF(OR(F218="",K218=""),"",(K218-F218)/F218)</f>
        <v/>
      </c>
      <c r="M218" s="4">
        <f>IF(OR(F218="",G218=""),"",(G218-F218)/F218)</f>
        <v/>
      </c>
      <c r="N218" s="6">
        <f>IF(OR(F218="",G218="",H218=""),"",(H218-F218)/(F218-G218))</f>
        <v/>
      </c>
      <c r="O218" s="2" t="n"/>
      <c r="P218" s="2" t="n"/>
      <c r="Q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4">
        <f>IF(OR(F219="",K219=""),"",(K219-F219)/F219)</f>
        <v/>
      </c>
      <c r="M219" s="4">
        <f>IF(OR(F219="",G219=""),"",(G219-F219)/F219)</f>
        <v/>
      </c>
      <c r="N219" s="6">
        <f>IF(OR(F219="",G219="",H219=""),"",(H219-F219)/(F219-G219))</f>
        <v/>
      </c>
      <c r="O219" s="2" t="n"/>
      <c r="P219" s="2" t="n"/>
      <c r="Q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4">
        <f>IF(OR(F220="",K220=""),"",(K220-F220)/F220)</f>
        <v/>
      </c>
      <c r="M220" s="4">
        <f>IF(OR(F220="",G220=""),"",(G220-F220)/F220)</f>
        <v/>
      </c>
      <c r="N220" s="6">
        <f>IF(OR(F220="",G220="",H220=""),"",(H220-F220)/(F220-G220))</f>
        <v/>
      </c>
      <c r="O220" s="2" t="n"/>
      <c r="P220" s="2" t="n"/>
      <c r="Q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4">
        <f>IF(OR(F221="",K221=""),"",(K221-F221)/F221)</f>
        <v/>
      </c>
      <c r="M221" s="4">
        <f>IF(OR(F221="",G221=""),"",(G221-F221)/F221)</f>
        <v/>
      </c>
      <c r="N221" s="6">
        <f>IF(OR(F221="",G221="",H221=""),"",(H221-F221)/(F221-G221))</f>
        <v/>
      </c>
      <c r="O221" s="2" t="n"/>
      <c r="P221" s="2" t="n"/>
      <c r="Q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4">
        <f>IF(OR(F222="",K222=""),"",(K222-F222)/F222)</f>
        <v/>
      </c>
      <c r="M222" s="4">
        <f>IF(OR(F222="",G222=""),"",(G222-F222)/F222)</f>
        <v/>
      </c>
      <c r="N222" s="6">
        <f>IF(OR(F222="",G222="",H222=""),"",(H222-F222)/(F222-G222))</f>
        <v/>
      </c>
      <c r="O222" s="2" t="n"/>
      <c r="P222" s="2" t="n"/>
      <c r="Q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4">
        <f>IF(OR(F223="",K223=""),"",(K223-F223)/F223)</f>
        <v/>
      </c>
      <c r="M223" s="4">
        <f>IF(OR(F223="",G223=""),"",(G223-F223)/F223)</f>
        <v/>
      </c>
      <c r="N223" s="6">
        <f>IF(OR(F223="",G223="",H223=""),"",(H223-F223)/(F223-G223))</f>
        <v/>
      </c>
      <c r="O223" s="2" t="n"/>
      <c r="P223" s="2" t="n"/>
      <c r="Q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4">
        <f>IF(OR(F224="",K224=""),"",(K224-F224)/F224)</f>
        <v/>
      </c>
      <c r="M224" s="4">
        <f>IF(OR(F224="",G224=""),"",(G224-F224)/F224)</f>
        <v/>
      </c>
      <c r="N224" s="6">
        <f>IF(OR(F224="",G224="",H224=""),"",(H224-F224)/(F224-G224))</f>
        <v/>
      </c>
      <c r="O224" s="2" t="n"/>
      <c r="P224" s="2" t="n"/>
      <c r="Q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4">
        <f>IF(OR(F225="",K225=""),"",(K225-F225)/F225)</f>
        <v/>
      </c>
      <c r="M225" s="4">
        <f>IF(OR(F225="",G225=""),"",(G225-F225)/F225)</f>
        <v/>
      </c>
      <c r="N225" s="6">
        <f>IF(OR(F225="",G225="",H225=""),"",(H225-F225)/(F225-G225))</f>
        <v/>
      </c>
      <c r="O225" s="2" t="n"/>
      <c r="P225" s="2" t="n"/>
      <c r="Q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4">
        <f>IF(OR(F226="",K226=""),"",(K226-F226)/F226)</f>
        <v/>
      </c>
      <c r="M226" s="4">
        <f>IF(OR(F226="",G226=""),"",(G226-F226)/F226)</f>
        <v/>
      </c>
      <c r="N226" s="6">
        <f>IF(OR(F226="",G226="",H226=""),"",(H226-F226)/(F226-G226))</f>
        <v/>
      </c>
      <c r="O226" s="2" t="n"/>
      <c r="P226" s="2" t="n"/>
      <c r="Q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4">
        <f>IF(OR(F227="",K227=""),"",(K227-F227)/F227)</f>
        <v/>
      </c>
      <c r="M227" s="4">
        <f>IF(OR(F227="",G227=""),"",(G227-F227)/F227)</f>
        <v/>
      </c>
      <c r="N227" s="6">
        <f>IF(OR(F227="",G227="",H227=""),"",(H227-F227)/(F227-G227))</f>
        <v/>
      </c>
      <c r="O227" s="2" t="n"/>
      <c r="P227" s="2" t="n"/>
      <c r="Q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4">
        <f>IF(OR(F228="",K228=""),"",(K228-F228)/F228)</f>
        <v/>
      </c>
      <c r="M228" s="4">
        <f>IF(OR(F228="",G228=""),"",(G228-F228)/F228)</f>
        <v/>
      </c>
      <c r="N228" s="6">
        <f>IF(OR(F228="",G228="",H228=""),"",(H228-F228)/(F228-G228))</f>
        <v/>
      </c>
      <c r="O228" s="2" t="n"/>
      <c r="P228" s="2" t="n"/>
      <c r="Q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4">
        <f>IF(OR(F229="",K229=""),"",(K229-F229)/F229)</f>
        <v/>
      </c>
      <c r="M229" s="4">
        <f>IF(OR(F229="",G229=""),"",(G229-F229)/F229)</f>
        <v/>
      </c>
      <c r="N229" s="6">
        <f>IF(OR(F229="",G229="",H229=""),"",(H229-F229)/(F229-G229))</f>
        <v/>
      </c>
      <c r="O229" s="2" t="n"/>
      <c r="P229" s="2" t="n"/>
      <c r="Q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4">
        <f>IF(OR(F230="",K230=""),"",(K230-F230)/F230)</f>
        <v/>
      </c>
      <c r="M230" s="4">
        <f>IF(OR(F230="",G230=""),"",(G230-F230)/F230)</f>
        <v/>
      </c>
      <c r="N230" s="6">
        <f>IF(OR(F230="",G230="",H230=""),"",(H230-F230)/(F230-G230))</f>
        <v/>
      </c>
      <c r="O230" s="2" t="n"/>
      <c r="P230" s="2" t="n"/>
      <c r="Q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4">
        <f>IF(OR(F231="",K231=""),"",(K231-F231)/F231)</f>
        <v/>
      </c>
      <c r="M231" s="4">
        <f>IF(OR(F231="",G231=""),"",(G231-F231)/F231)</f>
        <v/>
      </c>
      <c r="N231" s="6">
        <f>IF(OR(F231="",G231="",H231=""),"",(H231-F231)/(F231-G231))</f>
        <v/>
      </c>
      <c r="O231" s="2" t="n"/>
      <c r="P231" s="2" t="n"/>
      <c r="Q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4">
        <f>IF(OR(F232="",K232=""),"",(K232-F232)/F232)</f>
        <v/>
      </c>
      <c r="M232" s="4">
        <f>IF(OR(F232="",G232=""),"",(G232-F232)/F232)</f>
        <v/>
      </c>
      <c r="N232" s="6">
        <f>IF(OR(F232="",G232="",H232=""),"",(H232-F232)/(F232-G232))</f>
        <v/>
      </c>
      <c r="O232" s="2" t="n"/>
      <c r="P232" s="2" t="n"/>
      <c r="Q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4">
        <f>IF(OR(F233="",K233=""),"",(K233-F233)/F233)</f>
        <v/>
      </c>
      <c r="M233" s="4">
        <f>IF(OR(F233="",G233=""),"",(G233-F233)/F233)</f>
        <v/>
      </c>
      <c r="N233" s="6">
        <f>IF(OR(F233="",G233="",H233=""),"",(H233-F233)/(F233-G233))</f>
        <v/>
      </c>
      <c r="O233" s="2" t="n"/>
      <c r="P233" s="2" t="n"/>
      <c r="Q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4">
        <f>IF(OR(F234="",K234=""),"",(K234-F234)/F234)</f>
        <v/>
      </c>
      <c r="M234" s="4">
        <f>IF(OR(F234="",G234=""),"",(G234-F234)/F234)</f>
        <v/>
      </c>
      <c r="N234" s="6">
        <f>IF(OR(F234="",G234="",H234=""),"",(H234-F234)/(F234-G234))</f>
        <v/>
      </c>
      <c r="O234" s="2" t="n"/>
      <c r="P234" s="2" t="n"/>
      <c r="Q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4">
        <f>IF(OR(F235="",K235=""),"",(K235-F235)/F235)</f>
        <v/>
      </c>
      <c r="M235" s="4">
        <f>IF(OR(F235="",G235=""),"",(G235-F235)/F235)</f>
        <v/>
      </c>
      <c r="N235" s="6">
        <f>IF(OR(F235="",G235="",H235=""),"",(H235-F235)/(F235-G235))</f>
        <v/>
      </c>
      <c r="O235" s="2" t="n"/>
      <c r="P235" s="2" t="n"/>
      <c r="Q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4">
        <f>IF(OR(F236="",K236=""),"",(K236-F236)/F236)</f>
        <v/>
      </c>
      <c r="M236" s="4">
        <f>IF(OR(F236="",G236=""),"",(G236-F236)/F236)</f>
        <v/>
      </c>
      <c r="N236" s="6">
        <f>IF(OR(F236="",G236="",H236=""),"",(H236-F236)/(F236-G236))</f>
        <v/>
      </c>
      <c r="O236" s="2" t="n"/>
      <c r="P236" s="2" t="n"/>
      <c r="Q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4">
        <f>IF(OR(F237="",K237=""),"",(K237-F237)/F237)</f>
        <v/>
      </c>
      <c r="M237" s="4">
        <f>IF(OR(F237="",G237=""),"",(G237-F237)/F237)</f>
        <v/>
      </c>
      <c r="N237" s="6">
        <f>IF(OR(F237="",G237="",H237=""),"",(H237-F237)/(F237-G237))</f>
        <v/>
      </c>
      <c r="O237" s="2" t="n"/>
      <c r="P237" s="2" t="n"/>
      <c r="Q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4">
        <f>IF(OR(F238="",K238=""),"",(K238-F238)/F238)</f>
        <v/>
      </c>
      <c r="M238" s="4">
        <f>IF(OR(F238="",G238=""),"",(G238-F238)/F238)</f>
        <v/>
      </c>
      <c r="N238" s="6">
        <f>IF(OR(F238="",G238="",H238=""),"",(H238-F238)/(F238-G238))</f>
        <v/>
      </c>
      <c r="O238" s="2" t="n"/>
      <c r="P238" s="2" t="n"/>
      <c r="Q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4">
        <f>IF(OR(F239="",K239=""),"",(K239-F239)/F239)</f>
        <v/>
      </c>
      <c r="M239" s="4">
        <f>IF(OR(F239="",G239=""),"",(G239-F239)/F239)</f>
        <v/>
      </c>
      <c r="N239" s="6">
        <f>IF(OR(F239="",G239="",H239=""),"",(H239-F239)/(F239-G239))</f>
        <v/>
      </c>
      <c r="O239" s="2" t="n"/>
      <c r="P239" s="2" t="n"/>
      <c r="Q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4">
        <f>IF(OR(F240="",K240=""),"",(K240-F240)/F240)</f>
        <v/>
      </c>
      <c r="M240" s="4">
        <f>IF(OR(F240="",G240=""),"",(G240-F240)/F240)</f>
        <v/>
      </c>
      <c r="N240" s="6">
        <f>IF(OR(F240="",G240="",H240=""),"",(H240-F240)/(F240-G240))</f>
        <v/>
      </c>
      <c r="O240" s="2" t="n"/>
      <c r="P240" s="2" t="n"/>
      <c r="Q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4">
        <f>IF(OR(F241="",K241=""),"",(K241-F241)/F241)</f>
        <v/>
      </c>
      <c r="M241" s="4">
        <f>IF(OR(F241="",G241=""),"",(G241-F241)/F241)</f>
        <v/>
      </c>
      <c r="N241" s="6">
        <f>IF(OR(F241="",G241="",H241=""),"",(H241-F241)/(F241-G241))</f>
        <v/>
      </c>
      <c r="O241" s="2" t="n"/>
      <c r="P241" s="2" t="n"/>
      <c r="Q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4">
        <f>IF(OR(F242="",K242=""),"",(K242-F242)/F242)</f>
        <v/>
      </c>
      <c r="M242" s="4">
        <f>IF(OR(F242="",G242=""),"",(G242-F242)/F242)</f>
        <v/>
      </c>
      <c r="N242" s="6">
        <f>IF(OR(F242="",G242="",H242=""),"",(H242-F242)/(F242-G242))</f>
        <v/>
      </c>
      <c r="O242" s="2" t="n"/>
      <c r="P242" s="2" t="n"/>
      <c r="Q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4">
        <f>IF(OR(F243="",K243=""),"",(K243-F243)/F243)</f>
        <v/>
      </c>
      <c r="M243" s="4">
        <f>IF(OR(F243="",G243=""),"",(G243-F243)/F243)</f>
        <v/>
      </c>
      <c r="N243" s="6">
        <f>IF(OR(F243="",G243="",H243=""),"",(H243-F243)/(F243-G243))</f>
        <v/>
      </c>
      <c r="O243" s="2" t="n"/>
      <c r="P243" s="2" t="n"/>
      <c r="Q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4">
        <f>IF(OR(F244="",K244=""),"",(K244-F244)/F244)</f>
        <v/>
      </c>
      <c r="M244" s="4">
        <f>IF(OR(F244="",G244=""),"",(G244-F244)/F244)</f>
        <v/>
      </c>
      <c r="N244" s="6">
        <f>IF(OR(F244="",G244="",H244=""),"",(H244-F244)/(F244-G244))</f>
        <v/>
      </c>
      <c r="O244" s="2" t="n"/>
      <c r="P244" s="2" t="n"/>
      <c r="Q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4">
        <f>IF(OR(F245="",K245=""),"",(K245-F245)/F245)</f>
        <v/>
      </c>
      <c r="M245" s="4">
        <f>IF(OR(F245="",G245=""),"",(G245-F245)/F245)</f>
        <v/>
      </c>
      <c r="N245" s="6">
        <f>IF(OR(F245="",G245="",H245=""),"",(H245-F245)/(F245-G245))</f>
        <v/>
      </c>
      <c r="O245" s="2" t="n"/>
      <c r="P245" s="2" t="n"/>
      <c r="Q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4">
        <f>IF(OR(F246="",K246=""),"",(K246-F246)/F246)</f>
        <v/>
      </c>
      <c r="M246" s="4">
        <f>IF(OR(F246="",G246=""),"",(G246-F246)/F246)</f>
        <v/>
      </c>
      <c r="N246" s="6">
        <f>IF(OR(F246="",G246="",H246=""),"",(H246-F246)/(F246-G246))</f>
        <v/>
      </c>
      <c r="O246" s="2" t="n"/>
      <c r="P246" s="2" t="n"/>
      <c r="Q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4">
        <f>IF(OR(F247="",K247=""),"",(K247-F247)/F247)</f>
        <v/>
      </c>
      <c r="M247" s="4">
        <f>IF(OR(F247="",G247=""),"",(G247-F247)/F247)</f>
        <v/>
      </c>
      <c r="N247" s="6">
        <f>IF(OR(F247="",G247="",H247=""),"",(H247-F247)/(F247-G247))</f>
        <v/>
      </c>
      <c r="O247" s="2" t="n"/>
      <c r="P247" s="2" t="n"/>
      <c r="Q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4">
        <f>IF(OR(F248="",K248=""),"",(K248-F248)/F248)</f>
        <v/>
      </c>
      <c r="M248" s="4">
        <f>IF(OR(F248="",G248=""),"",(G248-F248)/F248)</f>
        <v/>
      </c>
      <c r="N248" s="6">
        <f>IF(OR(F248="",G248="",H248=""),"",(H248-F248)/(F248-G248))</f>
        <v/>
      </c>
      <c r="O248" s="2" t="n"/>
      <c r="P248" s="2" t="n"/>
      <c r="Q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4">
        <f>IF(OR(F249="",K249=""),"",(K249-F249)/F249)</f>
        <v/>
      </c>
      <c r="M249" s="4">
        <f>IF(OR(F249="",G249=""),"",(G249-F249)/F249)</f>
        <v/>
      </c>
      <c r="N249" s="6">
        <f>IF(OR(F249="",G249="",H249=""),"",(H249-F249)/(F249-G249))</f>
        <v/>
      </c>
      <c r="O249" s="2" t="n"/>
      <c r="P249" s="2" t="n"/>
      <c r="Q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4">
        <f>IF(OR(F250="",K250=""),"",(K250-F250)/F250)</f>
        <v/>
      </c>
      <c r="M250" s="4">
        <f>IF(OR(F250="",G250=""),"",(G250-F250)/F250)</f>
        <v/>
      </c>
      <c r="N250" s="6">
        <f>IF(OR(F250="",G250="",H250=""),"",(H250-F250)/(F250-G250))</f>
        <v/>
      </c>
      <c r="O250" s="2" t="n"/>
      <c r="P250" s="2" t="n"/>
      <c r="Q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4">
        <f>IF(OR(F251="",K251=""),"",(K251-F251)/F251)</f>
        <v/>
      </c>
      <c r="M251" s="4">
        <f>IF(OR(F251="",G251=""),"",(G251-F251)/F251)</f>
        <v/>
      </c>
      <c r="N251" s="6">
        <f>IF(OR(F251="",G251="",H251=""),"",(H251-F251)/(F251-G251))</f>
        <v/>
      </c>
      <c r="O251" s="2" t="n"/>
      <c r="P251" s="2" t="n"/>
      <c r="Q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4">
        <f>IF(OR(F252="",K252=""),"",(K252-F252)/F252)</f>
        <v/>
      </c>
      <c r="M252" s="4">
        <f>IF(OR(F252="",G252=""),"",(G252-F252)/F252)</f>
        <v/>
      </c>
      <c r="N252" s="6">
        <f>IF(OR(F252="",G252="",H252=""),"",(H252-F252)/(F252-G252))</f>
        <v/>
      </c>
      <c r="O252" s="2" t="n"/>
      <c r="P252" s="2" t="n"/>
      <c r="Q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4">
        <f>IF(OR(F253="",K253=""),"",(K253-F253)/F253)</f>
        <v/>
      </c>
      <c r="M253" s="4">
        <f>IF(OR(F253="",G253=""),"",(G253-F253)/F253)</f>
        <v/>
      </c>
      <c r="N253" s="6">
        <f>IF(OR(F253="",G253="",H253=""),"",(H253-F253)/(F253-G253))</f>
        <v/>
      </c>
      <c r="O253" s="2" t="n"/>
      <c r="P253" s="2" t="n"/>
      <c r="Q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4">
        <f>IF(OR(F254="",K254=""),"",(K254-F254)/F254)</f>
        <v/>
      </c>
      <c r="M254" s="4">
        <f>IF(OR(F254="",G254=""),"",(G254-F254)/F254)</f>
        <v/>
      </c>
      <c r="N254" s="6">
        <f>IF(OR(F254="",G254="",H254=""),"",(H254-F254)/(F254-G254))</f>
        <v/>
      </c>
      <c r="O254" s="2" t="n"/>
      <c r="P254" s="2" t="n"/>
      <c r="Q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4">
        <f>IF(OR(F255="",K255=""),"",(K255-F255)/F255)</f>
        <v/>
      </c>
      <c r="M255" s="4">
        <f>IF(OR(F255="",G255=""),"",(G255-F255)/F255)</f>
        <v/>
      </c>
      <c r="N255" s="6">
        <f>IF(OR(F255="",G255="",H255=""),"",(H255-F255)/(F255-G255))</f>
        <v/>
      </c>
      <c r="O255" s="2" t="n"/>
      <c r="P255" s="2" t="n"/>
      <c r="Q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4">
        <f>IF(OR(F256="",K256=""),"",(K256-F256)/F256)</f>
        <v/>
      </c>
      <c r="M256" s="4">
        <f>IF(OR(F256="",G256=""),"",(G256-F256)/F256)</f>
        <v/>
      </c>
      <c r="N256" s="6">
        <f>IF(OR(F256="",G256="",H256=""),"",(H256-F256)/(F256-G256))</f>
        <v/>
      </c>
      <c r="O256" s="2" t="n"/>
      <c r="P256" s="2" t="n"/>
      <c r="Q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4">
        <f>IF(OR(F257="",K257=""),"",(K257-F257)/F257)</f>
        <v/>
      </c>
      <c r="M257" s="4">
        <f>IF(OR(F257="",G257=""),"",(G257-F257)/F257)</f>
        <v/>
      </c>
      <c r="N257" s="6">
        <f>IF(OR(F257="",G257="",H257=""),"",(H257-F257)/(F257-G257))</f>
        <v/>
      </c>
      <c r="O257" s="2" t="n"/>
      <c r="P257" s="2" t="n"/>
      <c r="Q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4">
        <f>IF(OR(F258="",K258=""),"",(K258-F258)/F258)</f>
        <v/>
      </c>
      <c r="M258" s="4">
        <f>IF(OR(F258="",G258=""),"",(G258-F258)/F258)</f>
        <v/>
      </c>
      <c r="N258" s="6">
        <f>IF(OR(F258="",G258="",H258=""),"",(H258-F258)/(F258-G258))</f>
        <v/>
      </c>
      <c r="O258" s="2" t="n"/>
      <c r="P258" s="2" t="n"/>
      <c r="Q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4">
        <f>IF(OR(F259="",K259=""),"",(K259-F259)/F259)</f>
        <v/>
      </c>
      <c r="M259" s="4">
        <f>IF(OR(F259="",G259=""),"",(G259-F259)/F259)</f>
        <v/>
      </c>
      <c r="N259" s="6">
        <f>IF(OR(F259="",G259="",H259=""),"",(H259-F259)/(F259-G259))</f>
        <v/>
      </c>
      <c r="O259" s="2" t="n"/>
      <c r="P259" s="2" t="n"/>
      <c r="Q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4">
        <f>IF(OR(F260="",K260=""),"",(K260-F260)/F260)</f>
        <v/>
      </c>
      <c r="M260" s="4">
        <f>IF(OR(F260="",G260=""),"",(G260-F260)/F260)</f>
        <v/>
      </c>
      <c r="N260" s="6">
        <f>IF(OR(F260="",G260="",H260=""),"",(H260-F260)/(F260-G260))</f>
        <v/>
      </c>
      <c r="O260" s="2" t="n"/>
      <c r="P260" s="2" t="n"/>
      <c r="Q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4">
        <f>IF(OR(F261="",K261=""),"",(K261-F261)/F261)</f>
        <v/>
      </c>
      <c r="M261" s="4">
        <f>IF(OR(F261="",G261=""),"",(G261-F261)/F261)</f>
        <v/>
      </c>
      <c r="N261" s="6">
        <f>IF(OR(F261="",G261="",H261=""),"",(H261-F261)/(F261-G261))</f>
        <v/>
      </c>
      <c r="O261" s="2" t="n"/>
      <c r="P261" s="2" t="n"/>
      <c r="Q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4">
        <f>IF(OR(F262="",K262=""),"",(K262-F262)/F262)</f>
        <v/>
      </c>
      <c r="M262" s="4">
        <f>IF(OR(F262="",G262=""),"",(G262-F262)/F262)</f>
        <v/>
      </c>
      <c r="N262" s="6">
        <f>IF(OR(F262="",G262="",H262=""),"",(H262-F262)/(F262-G262))</f>
        <v/>
      </c>
      <c r="O262" s="2" t="n"/>
      <c r="P262" s="2" t="n"/>
      <c r="Q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4">
        <f>IF(OR(F263="",K263=""),"",(K263-F263)/F263)</f>
        <v/>
      </c>
      <c r="M263" s="4">
        <f>IF(OR(F263="",G263=""),"",(G263-F263)/F263)</f>
        <v/>
      </c>
      <c r="N263" s="6">
        <f>IF(OR(F263="",G263="",H263=""),"",(H263-F263)/(F263-G263))</f>
        <v/>
      </c>
      <c r="O263" s="2" t="n"/>
      <c r="P263" s="2" t="n"/>
      <c r="Q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4">
        <f>IF(OR(F264="",K264=""),"",(K264-F264)/F264)</f>
        <v/>
      </c>
      <c r="M264" s="4">
        <f>IF(OR(F264="",G264=""),"",(G264-F264)/F264)</f>
        <v/>
      </c>
      <c r="N264" s="6">
        <f>IF(OR(F264="",G264="",H264=""),"",(H264-F264)/(F264-G264))</f>
        <v/>
      </c>
      <c r="O264" s="2" t="n"/>
      <c r="P264" s="2" t="n"/>
      <c r="Q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4">
        <f>IF(OR(F265="",K265=""),"",(K265-F265)/F265)</f>
        <v/>
      </c>
      <c r="M265" s="4">
        <f>IF(OR(F265="",G265=""),"",(G265-F265)/F265)</f>
        <v/>
      </c>
      <c r="N265" s="6">
        <f>IF(OR(F265="",G265="",H265=""),"",(H265-F265)/(F265-G265))</f>
        <v/>
      </c>
      <c r="O265" s="2" t="n"/>
      <c r="P265" s="2" t="n"/>
      <c r="Q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4">
        <f>IF(OR(F266="",K266=""),"",(K266-F266)/F266)</f>
        <v/>
      </c>
      <c r="M266" s="4">
        <f>IF(OR(F266="",G266=""),"",(G266-F266)/F266)</f>
        <v/>
      </c>
      <c r="N266" s="6">
        <f>IF(OR(F266="",G266="",H266=""),"",(H266-F266)/(F266-G266))</f>
        <v/>
      </c>
      <c r="O266" s="2" t="n"/>
      <c r="P266" s="2" t="n"/>
      <c r="Q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4">
        <f>IF(OR(F267="",K267=""),"",(K267-F267)/F267)</f>
        <v/>
      </c>
      <c r="M267" s="4">
        <f>IF(OR(F267="",G267=""),"",(G267-F267)/F267)</f>
        <v/>
      </c>
      <c r="N267" s="6">
        <f>IF(OR(F267="",G267="",H267=""),"",(H267-F267)/(F267-G267))</f>
        <v/>
      </c>
      <c r="O267" s="2" t="n"/>
      <c r="P267" s="2" t="n"/>
      <c r="Q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4">
        <f>IF(OR(F268="",K268=""),"",(K268-F268)/F268)</f>
        <v/>
      </c>
      <c r="M268" s="4">
        <f>IF(OR(F268="",G268=""),"",(G268-F268)/F268)</f>
        <v/>
      </c>
      <c r="N268" s="6">
        <f>IF(OR(F268="",G268="",H268=""),"",(H268-F268)/(F268-G268))</f>
        <v/>
      </c>
      <c r="O268" s="2" t="n"/>
      <c r="P268" s="2" t="n"/>
      <c r="Q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4">
        <f>IF(OR(F269="",K269=""),"",(K269-F269)/F269)</f>
        <v/>
      </c>
      <c r="M269" s="4">
        <f>IF(OR(F269="",G269=""),"",(G269-F269)/F269)</f>
        <v/>
      </c>
      <c r="N269" s="6">
        <f>IF(OR(F269="",G269="",H269=""),"",(H269-F269)/(F269-G269))</f>
        <v/>
      </c>
      <c r="O269" s="2" t="n"/>
      <c r="P269" s="2" t="n"/>
      <c r="Q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4">
        <f>IF(OR(F270="",K270=""),"",(K270-F270)/F270)</f>
        <v/>
      </c>
      <c r="M270" s="4">
        <f>IF(OR(F270="",G270=""),"",(G270-F270)/F270)</f>
        <v/>
      </c>
      <c r="N270" s="6">
        <f>IF(OR(F270="",G270="",H270=""),"",(H270-F270)/(F270-G270))</f>
        <v/>
      </c>
      <c r="O270" s="2" t="n"/>
      <c r="P270" s="2" t="n"/>
      <c r="Q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4">
        <f>IF(OR(F271="",K271=""),"",(K271-F271)/F271)</f>
        <v/>
      </c>
      <c r="M271" s="4">
        <f>IF(OR(F271="",G271=""),"",(G271-F271)/F271)</f>
        <v/>
      </c>
      <c r="N271" s="6">
        <f>IF(OR(F271="",G271="",H271=""),"",(H271-F271)/(F271-G271))</f>
        <v/>
      </c>
      <c r="O271" s="2" t="n"/>
      <c r="P271" s="2" t="n"/>
      <c r="Q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4">
        <f>IF(OR(F272="",K272=""),"",(K272-F272)/F272)</f>
        <v/>
      </c>
      <c r="M272" s="4">
        <f>IF(OR(F272="",G272=""),"",(G272-F272)/F272)</f>
        <v/>
      </c>
      <c r="N272" s="6">
        <f>IF(OR(F272="",G272="",H272=""),"",(H272-F272)/(F272-G272))</f>
        <v/>
      </c>
      <c r="O272" s="2" t="n"/>
      <c r="P272" s="2" t="n"/>
      <c r="Q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4">
        <f>IF(OR(F273="",K273=""),"",(K273-F273)/F273)</f>
        <v/>
      </c>
      <c r="M273" s="4">
        <f>IF(OR(F273="",G273=""),"",(G273-F273)/F273)</f>
        <v/>
      </c>
      <c r="N273" s="6">
        <f>IF(OR(F273="",G273="",H273=""),"",(H273-F273)/(F273-G273))</f>
        <v/>
      </c>
      <c r="O273" s="2" t="n"/>
      <c r="P273" s="2" t="n"/>
      <c r="Q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4">
        <f>IF(OR(F274="",K274=""),"",(K274-F274)/F274)</f>
        <v/>
      </c>
      <c r="M274" s="4">
        <f>IF(OR(F274="",G274=""),"",(G274-F274)/F274)</f>
        <v/>
      </c>
      <c r="N274" s="6">
        <f>IF(OR(F274="",G274="",H274=""),"",(H274-F274)/(F274-G274))</f>
        <v/>
      </c>
      <c r="O274" s="2" t="n"/>
      <c r="P274" s="2" t="n"/>
      <c r="Q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4">
        <f>IF(OR(F275="",K275=""),"",(K275-F275)/F275)</f>
        <v/>
      </c>
      <c r="M275" s="4">
        <f>IF(OR(F275="",G275=""),"",(G275-F275)/F275)</f>
        <v/>
      </c>
      <c r="N275" s="6">
        <f>IF(OR(F275="",G275="",H275=""),"",(H275-F275)/(F275-G275))</f>
        <v/>
      </c>
      <c r="O275" s="2" t="n"/>
      <c r="P275" s="2" t="n"/>
      <c r="Q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4">
        <f>IF(OR(F276="",K276=""),"",(K276-F276)/F276)</f>
        <v/>
      </c>
      <c r="M276" s="4">
        <f>IF(OR(F276="",G276=""),"",(G276-F276)/F276)</f>
        <v/>
      </c>
      <c r="N276" s="6">
        <f>IF(OR(F276="",G276="",H276=""),"",(H276-F276)/(F276-G276))</f>
        <v/>
      </c>
      <c r="O276" s="2" t="n"/>
      <c r="P276" s="2" t="n"/>
      <c r="Q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4">
        <f>IF(OR(F277="",K277=""),"",(K277-F277)/F277)</f>
        <v/>
      </c>
      <c r="M277" s="4">
        <f>IF(OR(F277="",G277=""),"",(G277-F277)/F277)</f>
        <v/>
      </c>
      <c r="N277" s="6">
        <f>IF(OR(F277="",G277="",H277=""),"",(H277-F277)/(F277-G277))</f>
        <v/>
      </c>
      <c r="O277" s="2" t="n"/>
      <c r="P277" s="2" t="n"/>
      <c r="Q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4">
        <f>IF(OR(F278="",K278=""),"",(K278-F278)/F278)</f>
        <v/>
      </c>
      <c r="M278" s="4">
        <f>IF(OR(F278="",G278=""),"",(G278-F278)/F278)</f>
        <v/>
      </c>
      <c r="N278" s="6">
        <f>IF(OR(F278="",G278="",H278=""),"",(H278-F278)/(F278-G278))</f>
        <v/>
      </c>
      <c r="O278" s="2" t="n"/>
      <c r="P278" s="2" t="n"/>
      <c r="Q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4">
        <f>IF(OR(F279="",K279=""),"",(K279-F279)/F279)</f>
        <v/>
      </c>
      <c r="M279" s="4">
        <f>IF(OR(F279="",G279=""),"",(G279-F279)/F279)</f>
        <v/>
      </c>
      <c r="N279" s="6">
        <f>IF(OR(F279="",G279="",H279=""),"",(H279-F279)/(F279-G279))</f>
        <v/>
      </c>
      <c r="O279" s="2" t="n"/>
      <c r="P279" s="2" t="n"/>
      <c r="Q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4">
        <f>IF(OR(F280="",K280=""),"",(K280-F280)/F280)</f>
        <v/>
      </c>
      <c r="M280" s="4">
        <f>IF(OR(F280="",G280=""),"",(G280-F280)/F280)</f>
        <v/>
      </c>
      <c r="N280" s="6">
        <f>IF(OR(F280="",G280="",H280=""),"",(H280-F280)/(F280-G280))</f>
        <v/>
      </c>
      <c r="O280" s="2" t="n"/>
      <c r="P280" s="2" t="n"/>
      <c r="Q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4">
        <f>IF(OR(F281="",K281=""),"",(K281-F281)/F281)</f>
        <v/>
      </c>
      <c r="M281" s="4">
        <f>IF(OR(F281="",G281=""),"",(G281-F281)/F281)</f>
        <v/>
      </c>
      <c r="N281" s="6">
        <f>IF(OR(F281="",G281="",H281=""),"",(H281-F281)/(F281-G281))</f>
        <v/>
      </c>
      <c r="O281" s="2" t="n"/>
      <c r="P281" s="2" t="n"/>
      <c r="Q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4">
        <f>IF(OR(F282="",K282=""),"",(K282-F282)/F282)</f>
        <v/>
      </c>
      <c r="M282" s="4">
        <f>IF(OR(F282="",G282=""),"",(G282-F282)/F282)</f>
        <v/>
      </c>
      <c r="N282" s="6">
        <f>IF(OR(F282="",G282="",H282=""),"",(H282-F282)/(F282-G282))</f>
        <v/>
      </c>
      <c r="O282" s="2" t="n"/>
      <c r="P282" s="2" t="n"/>
      <c r="Q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4">
        <f>IF(OR(F283="",K283=""),"",(K283-F283)/F283)</f>
        <v/>
      </c>
      <c r="M283" s="4">
        <f>IF(OR(F283="",G283=""),"",(G283-F283)/F283)</f>
        <v/>
      </c>
      <c r="N283" s="6">
        <f>IF(OR(F283="",G283="",H283=""),"",(H283-F283)/(F283-G283))</f>
        <v/>
      </c>
      <c r="O283" s="2" t="n"/>
      <c r="P283" s="2" t="n"/>
      <c r="Q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4">
        <f>IF(OR(F284="",K284=""),"",(K284-F284)/F284)</f>
        <v/>
      </c>
      <c r="M284" s="4">
        <f>IF(OR(F284="",G284=""),"",(G284-F284)/F284)</f>
        <v/>
      </c>
      <c r="N284" s="6">
        <f>IF(OR(F284="",G284="",H284=""),"",(H284-F284)/(F284-G284))</f>
        <v/>
      </c>
      <c r="O284" s="2" t="n"/>
      <c r="P284" s="2" t="n"/>
      <c r="Q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4">
        <f>IF(OR(F285="",K285=""),"",(K285-F285)/F285)</f>
        <v/>
      </c>
      <c r="M285" s="4">
        <f>IF(OR(F285="",G285=""),"",(G285-F285)/F285)</f>
        <v/>
      </c>
      <c r="N285" s="6">
        <f>IF(OR(F285="",G285="",H285=""),"",(H285-F285)/(F285-G285))</f>
        <v/>
      </c>
      <c r="O285" s="2" t="n"/>
      <c r="P285" s="2" t="n"/>
      <c r="Q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4">
        <f>IF(OR(F286="",K286=""),"",(K286-F286)/F286)</f>
        <v/>
      </c>
      <c r="M286" s="4">
        <f>IF(OR(F286="",G286=""),"",(G286-F286)/F286)</f>
        <v/>
      </c>
      <c r="N286" s="6">
        <f>IF(OR(F286="",G286="",H286=""),"",(H286-F286)/(F286-G286))</f>
        <v/>
      </c>
      <c r="O286" s="2" t="n"/>
      <c r="P286" s="2" t="n"/>
      <c r="Q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4">
        <f>IF(OR(F287="",K287=""),"",(K287-F287)/F287)</f>
        <v/>
      </c>
      <c r="M287" s="4">
        <f>IF(OR(F287="",G287=""),"",(G287-F287)/F287)</f>
        <v/>
      </c>
      <c r="N287" s="6">
        <f>IF(OR(F287="",G287="",H287=""),"",(H287-F287)/(F287-G287))</f>
        <v/>
      </c>
      <c r="O287" s="2" t="n"/>
      <c r="P287" s="2" t="n"/>
      <c r="Q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4">
        <f>IF(OR(F288="",K288=""),"",(K288-F288)/F288)</f>
        <v/>
      </c>
      <c r="M288" s="4">
        <f>IF(OR(F288="",G288=""),"",(G288-F288)/F288)</f>
        <v/>
      </c>
      <c r="N288" s="6">
        <f>IF(OR(F288="",G288="",H288=""),"",(H288-F288)/(F288-G288))</f>
        <v/>
      </c>
      <c r="O288" s="2" t="n"/>
      <c r="P288" s="2" t="n"/>
      <c r="Q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4">
        <f>IF(OR(F289="",K289=""),"",(K289-F289)/F289)</f>
        <v/>
      </c>
      <c r="M289" s="4">
        <f>IF(OR(F289="",G289=""),"",(G289-F289)/F289)</f>
        <v/>
      </c>
      <c r="N289" s="6">
        <f>IF(OR(F289="",G289="",H289=""),"",(H289-F289)/(F289-G289))</f>
        <v/>
      </c>
      <c r="O289" s="2" t="n"/>
      <c r="P289" s="2" t="n"/>
      <c r="Q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4">
        <f>IF(OR(F290="",K290=""),"",(K290-F290)/F290)</f>
        <v/>
      </c>
      <c r="M290" s="4">
        <f>IF(OR(F290="",G290=""),"",(G290-F290)/F290)</f>
        <v/>
      </c>
      <c r="N290" s="6">
        <f>IF(OR(F290="",G290="",H290=""),"",(H290-F290)/(F290-G290))</f>
        <v/>
      </c>
      <c r="O290" s="2" t="n"/>
      <c r="P290" s="2" t="n"/>
      <c r="Q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4">
        <f>IF(OR(F291="",K291=""),"",(K291-F291)/F291)</f>
        <v/>
      </c>
      <c r="M291" s="4">
        <f>IF(OR(F291="",G291=""),"",(G291-F291)/F291)</f>
        <v/>
      </c>
      <c r="N291" s="6">
        <f>IF(OR(F291="",G291="",H291=""),"",(H291-F291)/(F291-G291))</f>
        <v/>
      </c>
      <c r="O291" s="2" t="n"/>
      <c r="P291" s="2" t="n"/>
      <c r="Q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4">
        <f>IF(OR(F292="",K292=""),"",(K292-F292)/F292)</f>
        <v/>
      </c>
      <c r="M292" s="4">
        <f>IF(OR(F292="",G292=""),"",(G292-F292)/F292)</f>
        <v/>
      </c>
      <c r="N292" s="6">
        <f>IF(OR(F292="",G292="",H292=""),"",(H292-F292)/(F292-G292))</f>
        <v/>
      </c>
      <c r="O292" s="2" t="n"/>
      <c r="P292" s="2" t="n"/>
      <c r="Q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4">
        <f>IF(OR(F293="",K293=""),"",(K293-F293)/F293)</f>
        <v/>
      </c>
      <c r="M293" s="4">
        <f>IF(OR(F293="",G293=""),"",(G293-F293)/F293)</f>
        <v/>
      </c>
      <c r="N293" s="6">
        <f>IF(OR(F293="",G293="",H293=""),"",(H293-F293)/(F293-G293))</f>
        <v/>
      </c>
      <c r="O293" s="2" t="n"/>
      <c r="P293" s="2" t="n"/>
      <c r="Q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4">
        <f>IF(OR(F294="",K294=""),"",(K294-F294)/F294)</f>
        <v/>
      </c>
      <c r="M294" s="4">
        <f>IF(OR(F294="",G294=""),"",(G294-F294)/F294)</f>
        <v/>
      </c>
      <c r="N294" s="6">
        <f>IF(OR(F294="",G294="",H294=""),"",(H294-F294)/(F294-G294))</f>
        <v/>
      </c>
      <c r="O294" s="2" t="n"/>
      <c r="P294" s="2" t="n"/>
      <c r="Q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4">
        <f>IF(OR(F295="",K295=""),"",(K295-F295)/F295)</f>
        <v/>
      </c>
      <c r="M295" s="4">
        <f>IF(OR(F295="",G295=""),"",(G295-F295)/F295)</f>
        <v/>
      </c>
      <c r="N295" s="6">
        <f>IF(OR(F295="",G295="",H295=""),"",(H295-F295)/(F295-G295))</f>
        <v/>
      </c>
      <c r="O295" s="2" t="n"/>
      <c r="P295" s="2" t="n"/>
      <c r="Q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4">
        <f>IF(OR(F296="",K296=""),"",(K296-F296)/F296)</f>
        <v/>
      </c>
      <c r="M296" s="4">
        <f>IF(OR(F296="",G296=""),"",(G296-F296)/F296)</f>
        <v/>
      </c>
      <c r="N296" s="6">
        <f>IF(OR(F296="",G296="",H296=""),"",(H296-F296)/(F296-G296))</f>
        <v/>
      </c>
      <c r="O296" s="2" t="n"/>
      <c r="P296" s="2" t="n"/>
      <c r="Q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4">
        <f>IF(OR(F297="",K297=""),"",(K297-F297)/F297)</f>
        <v/>
      </c>
      <c r="M297" s="4">
        <f>IF(OR(F297="",G297=""),"",(G297-F297)/F297)</f>
        <v/>
      </c>
      <c r="N297" s="6">
        <f>IF(OR(F297="",G297="",H297=""),"",(H297-F297)/(F297-G297))</f>
        <v/>
      </c>
      <c r="O297" s="2" t="n"/>
      <c r="P297" s="2" t="n"/>
      <c r="Q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4">
        <f>IF(OR(F298="",K298=""),"",(K298-F298)/F298)</f>
        <v/>
      </c>
      <c r="M298" s="4">
        <f>IF(OR(F298="",G298=""),"",(G298-F298)/F298)</f>
        <v/>
      </c>
      <c r="N298" s="6">
        <f>IF(OR(F298="",G298="",H298=""),"",(H298-F298)/(F298-G298))</f>
        <v/>
      </c>
      <c r="O298" s="2" t="n"/>
      <c r="P298" s="2" t="n"/>
      <c r="Q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4">
        <f>IF(OR(F299="",K299=""),"",(K299-F299)/F299)</f>
        <v/>
      </c>
      <c r="M299" s="4">
        <f>IF(OR(F299="",G299=""),"",(G299-F299)/F299)</f>
        <v/>
      </c>
      <c r="N299" s="6">
        <f>IF(OR(F299="",G299="",H299=""),"",(H299-F299)/(F299-G299))</f>
        <v/>
      </c>
      <c r="O299" s="2" t="n"/>
      <c r="P299" s="2" t="n"/>
      <c r="Q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4">
        <f>IF(OR(F300="",K300=""),"",(K300-F300)/F300)</f>
        <v/>
      </c>
      <c r="M300" s="4">
        <f>IF(OR(F300="",G300=""),"",(G300-F300)/F300)</f>
        <v/>
      </c>
      <c r="N300" s="6">
        <f>IF(OR(F300="",G300="",H300=""),"",(H300-F300)/(F300-G300))</f>
        <v/>
      </c>
      <c r="O300" s="2" t="n"/>
      <c r="P300" s="2" t="n"/>
      <c r="Q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4">
        <f>IF(OR(F301="",K301=""),"",(K301-F301)/F301)</f>
        <v/>
      </c>
      <c r="M301" s="4">
        <f>IF(OR(F301="",G301=""),"",(G301-F301)/F301)</f>
        <v/>
      </c>
      <c r="N301" s="6">
        <f>IF(OR(F301="",G301="",H301=""),"",(H301-F301)/(F301-G301))</f>
        <v/>
      </c>
      <c r="O301" s="2" t="n"/>
      <c r="P301" s="2" t="n"/>
      <c r="Q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4">
        <f>IF(OR(F302="",K302=""),"",(K302-F302)/F302)</f>
        <v/>
      </c>
      <c r="M302" s="4">
        <f>IF(OR(F302="",G302=""),"",(G302-F302)/F302)</f>
        <v/>
      </c>
      <c r="N302" s="6">
        <f>IF(OR(F302="",G302="",H302=""),"",(H302-F302)/(F302-G302))</f>
        <v/>
      </c>
      <c r="O302" s="2" t="n"/>
      <c r="P302" s="2" t="n"/>
      <c r="Q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4">
        <f>IF(OR(F303="",K303=""),"",(K303-F303)/F303)</f>
        <v/>
      </c>
      <c r="M303" s="4">
        <f>IF(OR(F303="",G303=""),"",(G303-F303)/F303)</f>
        <v/>
      </c>
      <c r="N303" s="6">
        <f>IF(OR(F303="",G303="",H303=""),"",(H303-F303)/(F303-G303))</f>
        <v/>
      </c>
      <c r="O303" s="2" t="n"/>
      <c r="P303" s="2" t="n"/>
      <c r="Q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4">
        <f>IF(OR(F304="",K304=""),"",(K304-F304)/F304)</f>
        <v/>
      </c>
      <c r="M304" s="4">
        <f>IF(OR(F304="",G304=""),"",(G304-F304)/F304)</f>
        <v/>
      </c>
      <c r="N304" s="6">
        <f>IF(OR(F304="",G304="",H304=""),"",(H304-F304)/(F304-G304))</f>
        <v/>
      </c>
      <c r="O304" s="2" t="n"/>
      <c r="P304" s="2" t="n"/>
      <c r="Q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4">
        <f>IF(OR(F305="",K305=""),"",(K305-F305)/F305)</f>
        <v/>
      </c>
      <c r="M305" s="4">
        <f>IF(OR(F305="",G305=""),"",(G305-F305)/F305)</f>
        <v/>
      </c>
      <c r="N305" s="6">
        <f>IF(OR(F305="",G305="",H305=""),"",(H305-F305)/(F305-G305))</f>
        <v/>
      </c>
      <c r="O305" s="2" t="n"/>
      <c r="P305" s="2" t="n"/>
      <c r="Q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4">
        <f>IF(OR(F306="",K306=""),"",(K306-F306)/F306)</f>
        <v/>
      </c>
      <c r="M306" s="4">
        <f>IF(OR(F306="",G306=""),"",(G306-F306)/F306)</f>
        <v/>
      </c>
      <c r="N306" s="6">
        <f>IF(OR(F306="",G306="",H306=""),"",(H306-F306)/(F306-G306))</f>
        <v/>
      </c>
      <c r="O306" s="2" t="n"/>
      <c r="P306" s="2" t="n"/>
      <c r="Q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4">
        <f>IF(OR(F307="",K307=""),"",(K307-F307)/F307)</f>
        <v/>
      </c>
      <c r="M307" s="4">
        <f>IF(OR(F307="",G307=""),"",(G307-F307)/F307)</f>
        <v/>
      </c>
      <c r="N307" s="6">
        <f>IF(OR(F307="",G307="",H307=""),"",(H307-F307)/(F307-G307))</f>
        <v/>
      </c>
      <c r="O307" s="2" t="n"/>
      <c r="P307" s="2" t="n"/>
      <c r="Q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4">
        <f>IF(OR(F308="",K308=""),"",(K308-F308)/F308)</f>
        <v/>
      </c>
      <c r="M308" s="4">
        <f>IF(OR(F308="",G308=""),"",(G308-F308)/F308)</f>
        <v/>
      </c>
      <c r="N308" s="6">
        <f>IF(OR(F308="",G308="",H308=""),"",(H308-F308)/(F308-G308))</f>
        <v/>
      </c>
      <c r="O308" s="2" t="n"/>
      <c r="P308" s="2" t="n"/>
      <c r="Q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4">
        <f>IF(OR(F309="",K309=""),"",(K309-F309)/F309)</f>
        <v/>
      </c>
      <c r="M309" s="4">
        <f>IF(OR(F309="",G309=""),"",(G309-F309)/F309)</f>
        <v/>
      </c>
      <c r="N309" s="6">
        <f>IF(OR(F309="",G309="",H309=""),"",(H309-F309)/(F309-G309))</f>
        <v/>
      </c>
      <c r="O309" s="2" t="n"/>
      <c r="P309" s="2" t="n"/>
      <c r="Q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4">
        <f>IF(OR(F310="",K310=""),"",(K310-F310)/F310)</f>
        <v/>
      </c>
      <c r="M310" s="4">
        <f>IF(OR(F310="",G310=""),"",(G310-F310)/F310)</f>
        <v/>
      </c>
      <c r="N310" s="6">
        <f>IF(OR(F310="",G310="",H310=""),"",(H310-F310)/(F310-G310))</f>
        <v/>
      </c>
      <c r="O310" s="2" t="n"/>
      <c r="P310" s="2" t="n"/>
      <c r="Q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4">
        <f>IF(OR(F311="",K311=""),"",(K311-F311)/F311)</f>
        <v/>
      </c>
      <c r="M311" s="4">
        <f>IF(OR(F311="",G311=""),"",(G311-F311)/F311)</f>
        <v/>
      </c>
      <c r="N311" s="6">
        <f>IF(OR(F311="",G311="",H311=""),"",(H311-F311)/(F311-G311))</f>
        <v/>
      </c>
      <c r="O311" s="2" t="n"/>
      <c r="P311" s="2" t="n"/>
      <c r="Q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4">
        <f>IF(OR(F312="",K312=""),"",(K312-F312)/F312)</f>
        <v/>
      </c>
      <c r="M312" s="4">
        <f>IF(OR(F312="",G312=""),"",(G312-F312)/F312)</f>
        <v/>
      </c>
      <c r="N312" s="6">
        <f>IF(OR(F312="",G312="",H312=""),"",(H312-F312)/(F312-G312))</f>
        <v/>
      </c>
      <c r="O312" s="2" t="n"/>
      <c r="P312" s="2" t="n"/>
      <c r="Q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4">
        <f>IF(OR(F313="",K313=""),"",(K313-F313)/F313)</f>
        <v/>
      </c>
      <c r="M313" s="4">
        <f>IF(OR(F313="",G313=""),"",(G313-F313)/F313)</f>
        <v/>
      </c>
      <c r="N313" s="6">
        <f>IF(OR(F313="",G313="",H313=""),"",(H313-F313)/(F313-G313))</f>
        <v/>
      </c>
      <c r="O313" s="2" t="n"/>
      <c r="P313" s="2" t="n"/>
      <c r="Q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4">
        <f>IF(OR(F314="",K314=""),"",(K314-F314)/F314)</f>
        <v/>
      </c>
      <c r="M314" s="4">
        <f>IF(OR(F314="",G314=""),"",(G314-F314)/F314)</f>
        <v/>
      </c>
      <c r="N314" s="6">
        <f>IF(OR(F314="",G314="",H314=""),"",(H314-F314)/(F314-G314))</f>
        <v/>
      </c>
      <c r="O314" s="2" t="n"/>
      <c r="P314" s="2" t="n"/>
      <c r="Q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4">
        <f>IF(OR(F315="",K315=""),"",(K315-F315)/F315)</f>
        <v/>
      </c>
      <c r="M315" s="4">
        <f>IF(OR(F315="",G315=""),"",(G315-F315)/F315)</f>
        <v/>
      </c>
      <c r="N315" s="6">
        <f>IF(OR(F315="",G315="",H315=""),"",(H315-F315)/(F315-G315))</f>
        <v/>
      </c>
      <c r="O315" s="2" t="n"/>
      <c r="P315" s="2" t="n"/>
      <c r="Q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4">
        <f>IF(OR(F316="",K316=""),"",(K316-F316)/F316)</f>
        <v/>
      </c>
      <c r="M316" s="4">
        <f>IF(OR(F316="",G316=""),"",(G316-F316)/F316)</f>
        <v/>
      </c>
      <c r="N316" s="6">
        <f>IF(OR(F316="",G316="",H316=""),"",(H316-F316)/(F316-G316))</f>
        <v/>
      </c>
      <c r="O316" s="2" t="n"/>
      <c r="P316" s="2" t="n"/>
      <c r="Q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4">
        <f>IF(OR(F317="",K317=""),"",(K317-F317)/F317)</f>
        <v/>
      </c>
      <c r="M317" s="4">
        <f>IF(OR(F317="",G317=""),"",(G317-F317)/F317)</f>
        <v/>
      </c>
      <c r="N317" s="6">
        <f>IF(OR(F317="",G317="",H317=""),"",(H317-F317)/(F317-G317))</f>
        <v/>
      </c>
      <c r="O317" s="2" t="n"/>
      <c r="P317" s="2" t="n"/>
      <c r="Q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4">
        <f>IF(OR(F318="",K318=""),"",(K318-F318)/F318)</f>
        <v/>
      </c>
      <c r="M318" s="4">
        <f>IF(OR(F318="",G318=""),"",(G318-F318)/F318)</f>
        <v/>
      </c>
      <c r="N318" s="6">
        <f>IF(OR(F318="",G318="",H318=""),"",(H318-F318)/(F318-G318))</f>
        <v/>
      </c>
      <c r="O318" s="2" t="n"/>
      <c r="P318" s="2" t="n"/>
      <c r="Q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4">
        <f>IF(OR(F319="",K319=""),"",(K319-F319)/F319)</f>
        <v/>
      </c>
      <c r="M319" s="4">
        <f>IF(OR(F319="",G319=""),"",(G319-F319)/F319)</f>
        <v/>
      </c>
      <c r="N319" s="6">
        <f>IF(OR(F319="",G319="",H319=""),"",(H319-F319)/(F319-G319))</f>
        <v/>
      </c>
      <c r="O319" s="2" t="n"/>
      <c r="P319" s="2" t="n"/>
      <c r="Q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4">
        <f>IF(OR(F320="",K320=""),"",(K320-F320)/F320)</f>
        <v/>
      </c>
      <c r="M320" s="4">
        <f>IF(OR(F320="",G320=""),"",(G320-F320)/F320)</f>
        <v/>
      </c>
      <c r="N320" s="6">
        <f>IF(OR(F320="",G320="",H320=""),"",(H320-F320)/(F320-G320))</f>
        <v/>
      </c>
      <c r="O320" s="2" t="n"/>
      <c r="P320" s="2" t="n"/>
      <c r="Q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4">
        <f>IF(OR(F321="",K321=""),"",(K321-F321)/F321)</f>
        <v/>
      </c>
      <c r="M321" s="4">
        <f>IF(OR(F321="",G321=""),"",(G321-F321)/F321)</f>
        <v/>
      </c>
      <c r="N321" s="6">
        <f>IF(OR(F321="",G321="",H321=""),"",(H321-F321)/(F321-G321))</f>
        <v/>
      </c>
      <c r="O321" s="2" t="n"/>
      <c r="P321" s="2" t="n"/>
      <c r="Q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4">
        <f>IF(OR(F322="",K322=""),"",(K322-F322)/F322)</f>
        <v/>
      </c>
      <c r="M322" s="4">
        <f>IF(OR(F322="",G322=""),"",(G322-F322)/F322)</f>
        <v/>
      </c>
      <c r="N322" s="6">
        <f>IF(OR(F322="",G322="",H322=""),"",(H322-F322)/(F322-G322))</f>
        <v/>
      </c>
      <c r="O322" s="2" t="n"/>
      <c r="P322" s="2" t="n"/>
      <c r="Q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4">
        <f>IF(OR(F323="",K323=""),"",(K323-F323)/F323)</f>
        <v/>
      </c>
      <c r="M323" s="4">
        <f>IF(OR(F323="",G323=""),"",(G323-F323)/F323)</f>
        <v/>
      </c>
      <c r="N323" s="6">
        <f>IF(OR(F323="",G323="",H323=""),"",(H323-F323)/(F323-G323))</f>
        <v/>
      </c>
      <c r="O323" s="2" t="n"/>
      <c r="P323" s="2" t="n"/>
      <c r="Q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4">
        <f>IF(OR(F324="",K324=""),"",(K324-F324)/F324)</f>
        <v/>
      </c>
      <c r="M324" s="4">
        <f>IF(OR(F324="",G324=""),"",(G324-F324)/F324)</f>
        <v/>
      </c>
      <c r="N324" s="6">
        <f>IF(OR(F324="",G324="",H324=""),"",(H324-F324)/(F324-G324))</f>
        <v/>
      </c>
      <c r="O324" s="2" t="n"/>
      <c r="P324" s="2" t="n"/>
      <c r="Q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4">
        <f>IF(OR(F325="",K325=""),"",(K325-F325)/F325)</f>
        <v/>
      </c>
      <c r="M325" s="4">
        <f>IF(OR(F325="",G325=""),"",(G325-F325)/F325)</f>
        <v/>
      </c>
      <c r="N325" s="6">
        <f>IF(OR(F325="",G325="",H325=""),"",(H325-F325)/(F325-G325))</f>
        <v/>
      </c>
      <c r="O325" s="2" t="n"/>
      <c r="P325" s="2" t="n"/>
      <c r="Q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4">
        <f>IF(OR(F326="",K326=""),"",(K326-F326)/F326)</f>
        <v/>
      </c>
      <c r="M326" s="4">
        <f>IF(OR(F326="",G326=""),"",(G326-F326)/F326)</f>
        <v/>
      </c>
      <c r="N326" s="6">
        <f>IF(OR(F326="",G326="",H326=""),"",(H326-F326)/(F326-G326))</f>
        <v/>
      </c>
      <c r="O326" s="2" t="n"/>
      <c r="P326" s="2" t="n"/>
      <c r="Q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4">
        <f>IF(OR(F327="",K327=""),"",(K327-F327)/F327)</f>
        <v/>
      </c>
      <c r="M327" s="4">
        <f>IF(OR(F327="",G327=""),"",(G327-F327)/F327)</f>
        <v/>
      </c>
      <c r="N327" s="6">
        <f>IF(OR(F327="",G327="",H327=""),"",(H327-F327)/(F327-G327))</f>
        <v/>
      </c>
      <c r="O327" s="2" t="n"/>
      <c r="P327" s="2" t="n"/>
      <c r="Q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4">
        <f>IF(OR(F328="",K328=""),"",(K328-F328)/F328)</f>
        <v/>
      </c>
      <c r="M328" s="4">
        <f>IF(OR(F328="",G328=""),"",(G328-F328)/F328)</f>
        <v/>
      </c>
      <c r="N328" s="6">
        <f>IF(OR(F328="",G328="",H328=""),"",(H328-F328)/(F328-G328))</f>
        <v/>
      </c>
      <c r="O328" s="2" t="n"/>
      <c r="P328" s="2" t="n"/>
      <c r="Q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4">
        <f>IF(OR(F329="",K329=""),"",(K329-F329)/F329)</f>
        <v/>
      </c>
      <c r="M329" s="4">
        <f>IF(OR(F329="",G329=""),"",(G329-F329)/F329)</f>
        <v/>
      </c>
      <c r="N329" s="6">
        <f>IF(OR(F329="",G329="",H329=""),"",(H329-F329)/(F329-G329))</f>
        <v/>
      </c>
      <c r="O329" s="2" t="n"/>
      <c r="P329" s="2" t="n"/>
      <c r="Q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4">
        <f>IF(OR(F330="",K330=""),"",(K330-F330)/F330)</f>
        <v/>
      </c>
      <c r="M330" s="4">
        <f>IF(OR(F330="",G330=""),"",(G330-F330)/F330)</f>
        <v/>
      </c>
      <c r="N330" s="6">
        <f>IF(OR(F330="",G330="",H330=""),"",(H330-F330)/(F330-G330))</f>
        <v/>
      </c>
      <c r="O330" s="2" t="n"/>
      <c r="P330" s="2" t="n"/>
      <c r="Q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4">
        <f>IF(OR(F331="",K331=""),"",(K331-F331)/F331)</f>
        <v/>
      </c>
      <c r="M331" s="4">
        <f>IF(OR(F331="",G331=""),"",(G331-F331)/F331)</f>
        <v/>
      </c>
      <c r="N331" s="6">
        <f>IF(OR(F331="",G331="",H331=""),"",(H331-F331)/(F331-G331))</f>
        <v/>
      </c>
      <c r="O331" s="2" t="n"/>
      <c r="P331" s="2" t="n"/>
      <c r="Q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4">
        <f>IF(OR(F332="",K332=""),"",(K332-F332)/F332)</f>
        <v/>
      </c>
      <c r="M332" s="4">
        <f>IF(OR(F332="",G332=""),"",(G332-F332)/F332)</f>
        <v/>
      </c>
      <c r="N332" s="6">
        <f>IF(OR(F332="",G332="",H332=""),"",(H332-F332)/(F332-G332))</f>
        <v/>
      </c>
      <c r="O332" s="2" t="n"/>
      <c r="P332" s="2" t="n"/>
      <c r="Q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4">
        <f>IF(OR(F333="",K333=""),"",(K333-F333)/F333)</f>
        <v/>
      </c>
      <c r="M333" s="4">
        <f>IF(OR(F333="",G333=""),"",(G333-F333)/F333)</f>
        <v/>
      </c>
      <c r="N333" s="6">
        <f>IF(OR(F333="",G333="",H333=""),"",(H333-F333)/(F333-G333))</f>
        <v/>
      </c>
      <c r="O333" s="2" t="n"/>
      <c r="P333" s="2" t="n"/>
      <c r="Q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4">
        <f>IF(OR(F334="",K334=""),"",(K334-F334)/F334)</f>
        <v/>
      </c>
      <c r="M334" s="4">
        <f>IF(OR(F334="",G334=""),"",(G334-F334)/F334)</f>
        <v/>
      </c>
      <c r="N334" s="6">
        <f>IF(OR(F334="",G334="",H334=""),"",(H334-F334)/(F334-G334))</f>
        <v/>
      </c>
      <c r="O334" s="2" t="n"/>
      <c r="P334" s="2" t="n"/>
      <c r="Q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4">
        <f>IF(OR(F335="",K335=""),"",(K335-F335)/F335)</f>
        <v/>
      </c>
      <c r="M335" s="4">
        <f>IF(OR(F335="",G335=""),"",(G335-F335)/F335)</f>
        <v/>
      </c>
      <c r="N335" s="6">
        <f>IF(OR(F335="",G335="",H335=""),"",(H335-F335)/(F335-G335))</f>
        <v/>
      </c>
      <c r="O335" s="2" t="n"/>
      <c r="P335" s="2" t="n"/>
      <c r="Q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4">
        <f>IF(OR(F336="",K336=""),"",(K336-F336)/F336)</f>
        <v/>
      </c>
      <c r="M336" s="4">
        <f>IF(OR(F336="",G336=""),"",(G336-F336)/F336)</f>
        <v/>
      </c>
      <c r="N336" s="6">
        <f>IF(OR(F336="",G336="",H336=""),"",(H336-F336)/(F336-G336))</f>
        <v/>
      </c>
      <c r="O336" s="2" t="n"/>
      <c r="P336" s="2" t="n"/>
      <c r="Q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4">
        <f>IF(OR(F337="",K337=""),"",(K337-F337)/F337)</f>
        <v/>
      </c>
      <c r="M337" s="4">
        <f>IF(OR(F337="",G337=""),"",(G337-F337)/F337)</f>
        <v/>
      </c>
      <c r="N337" s="6">
        <f>IF(OR(F337="",G337="",H337=""),"",(H337-F337)/(F337-G337))</f>
        <v/>
      </c>
      <c r="O337" s="2" t="n"/>
      <c r="P337" s="2" t="n"/>
      <c r="Q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4">
        <f>IF(OR(F338="",K338=""),"",(K338-F338)/F338)</f>
        <v/>
      </c>
      <c r="M338" s="4">
        <f>IF(OR(F338="",G338=""),"",(G338-F338)/F338)</f>
        <v/>
      </c>
      <c r="N338" s="6">
        <f>IF(OR(F338="",G338="",H338=""),"",(H338-F338)/(F338-G338))</f>
        <v/>
      </c>
      <c r="O338" s="2" t="n"/>
      <c r="P338" s="2" t="n"/>
      <c r="Q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4">
        <f>IF(OR(F339="",K339=""),"",(K339-F339)/F339)</f>
        <v/>
      </c>
      <c r="M339" s="4">
        <f>IF(OR(F339="",G339=""),"",(G339-F339)/F339)</f>
        <v/>
      </c>
      <c r="N339" s="6">
        <f>IF(OR(F339="",G339="",H339=""),"",(H339-F339)/(F339-G339))</f>
        <v/>
      </c>
      <c r="O339" s="2" t="n"/>
      <c r="P339" s="2" t="n"/>
      <c r="Q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4">
        <f>IF(OR(F340="",K340=""),"",(K340-F340)/F340)</f>
        <v/>
      </c>
      <c r="M340" s="4">
        <f>IF(OR(F340="",G340=""),"",(G340-F340)/F340)</f>
        <v/>
      </c>
      <c r="N340" s="6">
        <f>IF(OR(F340="",G340="",H340=""),"",(H340-F340)/(F340-G340))</f>
        <v/>
      </c>
      <c r="O340" s="2" t="n"/>
      <c r="P340" s="2" t="n"/>
      <c r="Q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4">
        <f>IF(OR(F341="",K341=""),"",(K341-F341)/F341)</f>
        <v/>
      </c>
      <c r="M341" s="4">
        <f>IF(OR(F341="",G341=""),"",(G341-F341)/F341)</f>
        <v/>
      </c>
      <c r="N341" s="6">
        <f>IF(OR(F341="",G341="",H341=""),"",(H341-F341)/(F341-G341))</f>
        <v/>
      </c>
      <c r="O341" s="2" t="n"/>
      <c r="P341" s="2" t="n"/>
      <c r="Q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4">
        <f>IF(OR(F342="",K342=""),"",(K342-F342)/F342)</f>
        <v/>
      </c>
      <c r="M342" s="4">
        <f>IF(OR(F342="",G342=""),"",(G342-F342)/F342)</f>
        <v/>
      </c>
      <c r="N342" s="6">
        <f>IF(OR(F342="",G342="",H342=""),"",(H342-F342)/(F342-G342))</f>
        <v/>
      </c>
      <c r="O342" s="2" t="n"/>
      <c r="P342" s="2" t="n"/>
      <c r="Q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4">
        <f>IF(OR(F343="",K343=""),"",(K343-F343)/F343)</f>
        <v/>
      </c>
      <c r="M343" s="4">
        <f>IF(OR(F343="",G343=""),"",(G343-F343)/F343)</f>
        <v/>
      </c>
      <c r="N343" s="6">
        <f>IF(OR(F343="",G343="",H343=""),"",(H343-F343)/(F343-G343))</f>
        <v/>
      </c>
      <c r="O343" s="2" t="n"/>
      <c r="P343" s="2" t="n"/>
      <c r="Q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4">
        <f>IF(OR(F344="",K344=""),"",(K344-F344)/F344)</f>
        <v/>
      </c>
      <c r="M344" s="4">
        <f>IF(OR(F344="",G344=""),"",(G344-F344)/F344)</f>
        <v/>
      </c>
      <c r="N344" s="6">
        <f>IF(OR(F344="",G344="",H344=""),"",(H344-F344)/(F344-G344))</f>
        <v/>
      </c>
      <c r="O344" s="2" t="n"/>
      <c r="P344" s="2" t="n"/>
      <c r="Q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4">
        <f>IF(OR(F345="",K345=""),"",(K345-F345)/F345)</f>
        <v/>
      </c>
      <c r="M345" s="4">
        <f>IF(OR(F345="",G345=""),"",(G345-F345)/F345)</f>
        <v/>
      </c>
      <c r="N345" s="6">
        <f>IF(OR(F345="",G345="",H345=""),"",(H345-F345)/(F345-G345))</f>
        <v/>
      </c>
      <c r="O345" s="2" t="n"/>
      <c r="P345" s="2" t="n"/>
      <c r="Q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4">
        <f>IF(OR(F346="",K346=""),"",(K346-F346)/F346)</f>
        <v/>
      </c>
      <c r="M346" s="4">
        <f>IF(OR(F346="",G346=""),"",(G346-F346)/F346)</f>
        <v/>
      </c>
      <c r="N346" s="6">
        <f>IF(OR(F346="",G346="",H346=""),"",(H346-F346)/(F346-G346))</f>
        <v/>
      </c>
      <c r="O346" s="2" t="n"/>
      <c r="P346" s="2" t="n"/>
      <c r="Q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4">
        <f>IF(OR(F347="",K347=""),"",(K347-F347)/F347)</f>
        <v/>
      </c>
      <c r="M347" s="4">
        <f>IF(OR(F347="",G347=""),"",(G347-F347)/F347)</f>
        <v/>
      </c>
      <c r="N347" s="6">
        <f>IF(OR(F347="",G347="",H347=""),"",(H347-F347)/(F347-G347))</f>
        <v/>
      </c>
      <c r="O347" s="2" t="n"/>
      <c r="P347" s="2" t="n"/>
      <c r="Q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4">
        <f>IF(OR(F348="",K348=""),"",(K348-F348)/F348)</f>
        <v/>
      </c>
      <c r="M348" s="4">
        <f>IF(OR(F348="",G348=""),"",(G348-F348)/F348)</f>
        <v/>
      </c>
      <c r="N348" s="6">
        <f>IF(OR(F348="",G348="",H348=""),"",(H348-F348)/(F348-G348))</f>
        <v/>
      </c>
      <c r="O348" s="2" t="n"/>
      <c r="P348" s="2" t="n"/>
      <c r="Q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4">
        <f>IF(OR(F349="",K349=""),"",(K349-F349)/F349)</f>
        <v/>
      </c>
      <c r="M349" s="4">
        <f>IF(OR(F349="",G349=""),"",(G349-F349)/F349)</f>
        <v/>
      </c>
      <c r="N349" s="6">
        <f>IF(OR(F349="",G349="",H349=""),"",(H349-F349)/(F349-G349))</f>
        <v/>
      </c>
      <c r="O349" s="2" t="n"/>
      <c r="P349" s="2" t="n"/>
      <c r="Q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4">
        <f>IF(OR(F350="",K350=""),"",(K350-F350)/F350)</f>
        <v/>
      </c>
      <c r="M350" s="4">
        <f>IF(OR(F350="",G350=""),"",(G350-F350)/F350)</f>
        <v/>
      </c>
      <c r="N350" s="6">
        <f>IF(OR(F350="",G350="",H350=""),"",(H350-F350)/(F350-G350))</f>
        <v/>
      </c>
      <c r="O350" s="2" t="n"/>
      <c r="P350" s="2" t="n"/>
      <c r="Q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4">
        <f>IF(OR(F351="",K351=""),"",(K351-F351)/F351)</f>
        <v/>
      </c>
      <c r="M351" s="4">
        <f>IF(OR(F351="",G351=""),"",(G351-F351)/F351)</f>
        <v/>
      </c>
      <c r="N351" s="6">
        <f>IF(OR(F351="",G351="",H351=""),"",(H351-F351)/(F351-G351))</f>
        <v/>
      </c>
      <c r="O351" s="2" t="n"/>
      <c r="P351" s="2" t="n"/>
      <c r="Q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4">
        <f>IF(OR(F352="",K352=""),"",(K352-F352)/F352)</f>
        <v/>
      </c>
      <c r="M352" s="4">
        <f>IF(OR(F352="",G352=""),"",(G352-F352)/F352)</f>
        <v/>
      </c>
      <c r="N352" s="6">
        <f>IF(OR(F352="",G352="",H352=""),"",(H352-F352)/(F352-G352))</f>
        <v/>
      </c>
      <c r="O352" s="2" t="n"/>
      <c r="P352" s="2" t="n"/>
      <c r="Q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4">
        <f>IF(OR(F353="",K353=""),"",(K353-F353)/F353)</f>
        <v/>
      </c>
      <c r="M353" s="4">
        <f>IF(OR(F353="",G353=""),"",(G353-F353)/F353)</f>
        <v/>
      </c>
      <c r="N353" s="6">
        <f>IF(OR(F353="",G353="",H353=""),"",(H353-F353)/(F353-G353))</f>
        <v/>
      </c>
      <c r="O353" s="2" t="n"/>
      <c r="P353" s="2" t="n"/>
      <c r="Q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4">
        <f>IF(OR(F354="",K354=""),"",(K354-F354)/F354)</f>
        <v/>
      </c>
      <c r="M354" s="4">
        <f>IF(OR(F354="",G354=""),"",(G354-F354)/F354)</f>
        <v/>
      </c>
      <c r="N354" s="6">
        <f>IF(OR(F354="",G354="",H354=""),"",(H354-F354)/(F354-G354))</f>
        <v/>
      </c>
      <c r="O354" s="2" t="n"/>
      <c r="P354" s="2" t="n"/>
      <c r="Q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4">
        <f>IF(OR(F355="",K355=""),"",(K355-F355)/F355)</f>
        <v/>
      </c>
      <c r="M355" s="4">
        <f>IF(OR(F355="",G355=""),"",(G355-F355)/F355)</f>
        <v/>
      </c>
      <c r="N355" s="6">
        <f>IF(OR(F355="",G355="",H355=""),"",(H355-F355)/(F355-G355))</f>
        <v/>
      </c>
      <c r="O355" s="2" t="n"/>
      <c r="P355" s="2" t="n"/>
      <c r="Q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4">
        <f>IF(OR(F356="",K356=""),"",(K356-F356)/F356)</f>
        <v/>
      </c>
      <c r="M356" s="4">
        <f>IF(OR(F356="",G356=""),"",(G356-F356)/F356)</f>
        <v/>
      </c>
      <c r="N356" s="6">
        <f>IF(OR(F356="",G356="",H356=""),"",(H356-F356)/(F356-G356))</f>
        <v/>
      </c>
      <c r="O356" s="2" t="n"/>
      <c r="P356" s="2" t="n"/>
      <c r="Q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4">
        <f>IF(OR(F357="",K357=""),"",(K357-F357)/F357)</f>
        <v/>
      </c>
      <c r="M357" s="4">
        <f>IF(OR(F357="",G357=""),"",(G357-F357)/F357)</f>
        <v/>
      </c>
      <c r="N357" s="6">
        <f>IF(OR(F357="",G357="",H357=""),"",(H357-F357)/(F357-G357))</f>
        <v/>
      </c>
      <c r="O357" s="2" t="n"/>
      <c r="P357" s="2" t="n"/>
      <c r="Q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4">
        <f>IF(OR(F358="",K358=""),"",(K358-F358)/F358)</f>
        <v/>
      </c>
      <c r="M358" s="4">
        <f>IF(OR(F358="",G358=""),"",(G358-F358)/F358)</f>
        <v/>
      </c>
      <c r="N358" s="6">
        <f>IF(OR(F358="",G358="",H358=""),"",(H358-F358)/(F358-G358))</f>
        <v/>
      </c>
      <c r="O358" s="2" t="n"/>
      <c r="P358" s="2" t="n"/>
      <c r="Q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4">
        <f>IF(OR(F359="",K359=""),"",(K359-F359)/F359)</f>
        <v/>
      </c>
      <c r="M359" s="4">
        <f>IF(OR(F359="",G359=""),"",(G359-F359)/F359)</f>
        <v/>
      </c>
      <c r="N359" s="6">
        <f>IF(OR(F359="",G359="",H359=""),"",(H359-F359)/(F359-G359))</f>
        <v/>
      </c>
      <c r="O359" s="2" t="n"/>
      <c r="P359" s="2" t="n"/>
      <c r="Q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4">
        <f>IF(OR(F360="",K360=""),"",(K360-F360)/F360)</f>
        <v/>
      </c>
      <c r="M360" s="4">
        <f>IF(OR(F360="",G360=""),"",(G360-F360)/F360)</f>
        <v/>
      </c>
      <c r="N360" s="6">
        <f>IF(OR(F360="",G360="",H360=""),"",(H360-F360)/(F360-G360))</f>
        <v/>
      </c>
      <c r="O360" s="2" t="n"/>
      <c r="P360" s="2" t="n"/>
      <c r="Q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4">
        <f>IF(OR(F361="",K361=""),"",(K361-F361)/F361)</f>
        <v/>
      </c>
      <c r="M361" s="4">
        <f>IF(OR(F361="",G361=""),"",(G361-F361)/F361)</f>
        <v/>
      </c>
      <c r="N361" s="6">
        <f>IF(OR(F361="",G361="",H361=""),"",(H361-F361)/(F361-G361))</f>
        <v/>
      </c>
      <c r="O361" s="2" t="n"/>
      <c r="P361" s="2" t="n"/>
      <c r="Q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4">
        <f>IF(OR(F362="",K362=""),"",(K362-F362)/F362)</f>
        <v/>
      </c>
      <c r="M362" s="4">
        <f>IF(OR(F362="",G362=""),"",(G362-F362)/F362)</f>
        <v/>
      </c>
      <c r="N362" s="6">
        <f>IF(OR(F362="",G362="",H362=""),"",(H362-F362)/(F362-G362))</f>
        <v/>
      </c>
      <c r="O362" s="2" t="n"/>
      <c r="P362" s="2" t="n"/>
      <c r="Q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4">
        <f>IF(OR(F363="",K363=""),"",(K363-F363)/F363)</f>
        <v/>
      </c>
      <c r="M363" s="4">
        <f>IF(OR(F363="",G363=""),"",(G363-F363)/F363)</f>
        <v/>
      </c>
      <c r="N363" s="6">
        <f>IF(OR(F363="",G363="",H363=""),"",(H363-F363)/(F363-G363))</f>
        <v/>
      </c>
      <c r="O363" s="2" t="n"/>
      <c r="P363" s="2" t="n"/>
      <c r="Q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4">
        <f>IF(OR(F364="",K364=""),"",(K364-F364)/F364)</f>
        <v/>
      </c>
      <c r="M364" s="4">
        <f>IF(OR(F364="",G364=""),"",(G364-F364)/F364)</f>
        <v/>
      </c>
      <c r="N364" s="6">
        <f>IF(OR(F364="",G364="",H364=""),"",(H364-F364)/(F364-G364))</f>
        <v/>
      </c>
      <c r="O364" s="2" t="n"/>
      <c r="P364" s="2" t="n"/>
      <c r="Q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4">
        <f>IF(OR(F365="",K365=""),"",(K365-F365)/F365)</f>
        <v/>
      </c>
      <c r="M365" s="4">
        <f>IF(OR(F365="",G365=""),"",(G365-F365)/F365)</f>
        <v/>
      </c>
      <c r="N365" s="6">
        <f>IF(OR(F365="",G365="",H365=""),"",(H365-F365)/(F365-G365))</f>
        <v/>
      </c>
      <c r="O365" s="2" t="n"/>
      <c r="P365" s="2" t="n"/>
      <c r="Q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4">
        <f>IF(OR(F366="",K366=""),"",(K366-F366)/F366)</f>
        <v/>
      </c>
      <c r="M366" s="4">
        <f>IF(OR(F366="",G366=""),"",(G366-F366)/F366)</f>
        <v/>
      </c>
      <c r="N366" s="6">
        <f>IF(OR(F366="",G366="",H366=""),"",(H366-F366)/(F366-G366))</f>
        <v/>
      </c>
      <c r="O366" s="2" t="n"/>
      <c r="P366" s="2" t="n"/>
      <c r="Q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4">
        <f>IF(OR(F367="",K367=""),"",(K367-F367)/F367)</f>
        <v/>
      </c>
      <c r="M367" s="4">
        <f>IF(OR(F367="",G367=""),"",(G367-F367)/F367)</f>
        <v/>
      </c>
      <c r="N367" s="6">
        <f>IF(OR(F367="",G367="",H367=""),"",(H367-F367)/(F367-G367))</f>
        <v/>
      </c>
      <c r="O367" s="2" t="n"/>
      <c r="P367" s="2" t="n"/>
      <c r="Q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4">
        <f>IF(OR(F368="",K368=""),"",(K368-F368)/F368)</f>
        <v/>
      </c>
      <c r="M368" s="4">
        <f>IF(OR(F368="",G368=""),"",(G368-F368)/F368)</f>
        <v/>
      </c>
      <c r="N368" s="6">
        <f>IF(OR(F368="",G368="",H368=""),"",(H368-F368)/(F368-G368))</f>
        <v/>
      </c>
      <c r="O368" s="2" t="n"/>
      <c r="P368" s="2" t="n"/>
      <c r="Q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4">
        <f>IF(OR(F369="",K369=""),"",(K369-F369)/F369)</f>
        <v/>
      </c>
      <c r="M369" s="4">
        <f>IF(OR(F369="",G369=""),"",(G369-F369)/F369)</f>
        <v/>
      </c>
      <c r="N369" s="6">
        <f>IF(OR(F369="",G369="",H369=""),"",(H369-F369)/(F369-G369))</f>
        <v/>
      </c>
      <c r="O369" s="2" t="n"/>
      <c r="P369" s="2" t="n"/>
      <c r="Q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4">
        <f>IF(OR(F370="",K370=""),"",(K370-F370)/F370)</f>
        <v/>
      </c>
      <c r="M370" s="4">
        <f>IF(OR(F370="",G370=""),"",(G370-F370)/F370)</f>
        <v/>
      </c>
      <c r="N370" s="6">
        <f>IF(OR(F370="",G370="",H370=""),"",(H370-F370)/(F370-G370))</f>
        <v/>
      </c>
      <c r="O370" s="2" t="n"/>
      <c r="P370" s="2" t="n"/>
      <c r="Q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4">
        <f>IF(OR(F371="",K371=""),"",(K371-F371)/F371)</f>
        <v/>
      </c>
      <c r="M371" s="4">
        <f>IF(OR(F371="",G371=""),"",(G371-F371)/F371)</f>
        <v/>
      </c>
      <c r="N371" s="6">
        <f>IF(OR(F371="",G371="",H371=""),"",(H371-F371)/(F371-G371))</f>
        <v/>
      </c>
      <c r="O371" s="2" t="n"/>
      <c r="P371" s="2" t="n"/>
      <c r="Q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4">
        <f>IF(OR(F372="",K372=""),"",(K372-F372)/F372)</f>
        <v/>
      </c>
      <c r="M372" s="4">
        <f>IF(OR(F372="",G372=""),"",(G372-F372)/F372)</f>
        <v/>
      </c>
      <c r="N372" s="6">
        <f>IF(OR(F372="",G372="",H372=""),"",(H372-F372)/(F372-G372))</f>
        <v/>
      </c>
      <c r="O372" s="2" t="n"/>
      <c r="P372" s="2" t="n"/>
      <c r="Q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4">
        <f>IF(OR(F373="",K373=""),"",(K373-F373)/F373)</f>
        <v/>
      </c>
      <c r="M373" s="4">
        <f>IF(OR(F373="",G373=""),"",(G373-F373)/F373)</f>
        <v/>
      </c>
      <c r="N373" s="6">
        <f>IF(OR(F373="",G373="",H373=""),"",(H373-F373)/(F373-G373))</f>
        <v/>
      </c>
      <c r="O373" s="2" t="n"/>
      <c r="P373" s="2" t="n"/>
      <c r="Q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4">
        <f>IF(OR(F374="",K374=""),"",(K374-F374)/F374)</f>
        <v/>
      </c>
      <c r="M374" s="4">
        <f>IF(OR(F374="",G374=""),"",(G374-F374)/F374)</f>
        <v/>
      </c>
      <c r="N374" s="6">
        <f>IF(OR(F374="",G374="",H374=""),"",(H374-F374)/(F374-G374))</f>
        <v/>
      </c>
      <c r="O374" s="2" t="n"/>
      <c r="P374" s="2" t="n"/>
      <c r="Q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4">
        <f>IF(OR(F375="",K375=""),"",(K375-F375)/F375)</f>
        <v/>
      </c>
      <c r="M375" s="4">
        <f>IF(OR(F375="",G375=""),"",(G375-F375)/F375)</f>
        <v/>
      </c>
      <c r="N375" s="6">
        <f>IF(OR(F375="",G375="",H375=""),"",(H375-F375)/(F375-G375))</f>
        <v/>
      </c>
      <c r="O375" s="2" t="n"/>
      <c r="P375" s="2" t="n"/>
      <c r="Q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4">
        <f>IF(OR(F376="",K376=""),"",(K376-F376)/F376)</f>
        <v/>
      </c>
      <c r="M376" s="4">
        <f>IF(OR(F376="",G376=""),"",(G376-F376)/F376)</f>
        <v/>
      </c>
      <c r="N376" s="6">
        <f>IF(OR(F376="",G376="",H376=""),"",(H376-F376)/(F376-G376))</f>
        <v/>
      </c>
      <c r="O376" s="2" t="n"/>
      <c r="P376" s="2" t="n"/>
      <c r="Q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4">
        <f>IF(OR(F377="",K377=""),"",(K377-F377)/F377)</f>
        <v/>
      </c>
      <c r="M377" s="4">
        <f>IF(OR(F377="",G377=""),"",(G377-F377)/F377)</f>
        <v/>
      </c>
      <c r="N377" s="6">
        <f>IF(OR(F377="",G377="",H377=""),"",(H377-F377)/(F377-G377))</f>
        <v/>
      </c>
      <c r="O377" s="2" t="n"/>
      <c r="P377" s="2" t="n"/>
      <c r="Q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4">
        <f>IF(OR(F378="",K378=""),"",(K378-F378)/F378)</f>
        <v/>
      </c>
      <c r="M378" s="4">
        <f>IF(OR(F378="",G378=""),"",(G378-F378)/F378)</f>
        <v/>
      </c>
      <c r="N378" s="6">
        <f>IF(OR(F378="",G378="",H378=""),"",(H378-F378)/(F378-G378))</f>
        <v/>
      </c>
      <c r="O378" s="2" t="n"/>
      <c r="P378" s="2" t="n"/>
      <c r="Q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4">
        <f>IF(OR(F379="",K379=""),"",(K379-F379)/F379)</f>
        <v/>
      </c>
      <c r="M379" s="4">
        <f>IF(OR(F379="",G379=""),"",(G379-F379)/F379)</f>
        <v/>
      </c>
      <c r="N379" s="6">
        <f>IF(OR(F379="",G379="",H379=""),"",(H379-F379)/(F379-G379))</f>
        <v/>
      </c>
      <c r="O379" s="2" t="n"/>
      <c r="P379" s="2" t="n"/>
      <c r="Q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4">
        <f>IF(OR(F380="",K380=""),"",(K380-F380)/F380)</f>
        <v/>
      </c>
      <c r="M380" s="4">
        <f>IF(OR(F380="",G380=""),"",(G380-F380)/F380)</f>
        <v/>
      </c>
      <c r="N380" s="6">
        <f>IF(OR(F380="",G380="",H380=""),"",(H380-F380)/(F380-G380))</f>
        <v/>
      </c>
      <c r="O380" s="2" t="n"/>
      <c r="P380" s="2" t="n"/>
      <c r="Q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4">
        <f>IF(OR(F381="",K381=""),"",(K381-F381)/F381)</f>
        <v/>
      </c>
      <c r="M381" s="4">
        <f>IF(OR(F381="",G381=""),"",(G381-F381)/F381)</f>
        <v/>
      </c>
      <c r="N381" s="6">
        <f>IF(OR(F381="",G381="",H381=""),"",(H381-F381)/(F381-G381))</f>
        <v/>
      </c>
      <c r="O381" s="2" t="n"/>
      <c r="P381" s="2" t="n"/>
      <c r="Q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4">
        <f>IF(OR(F382="",K382=""),"",(K382-F382)/F382)</f>
        <v/>
      </c>
      <c r="M382" s="4">
        <f>IF(OR(F382="",G382=""),"",(G382-F382)/F382)</f>
        <v/>
      </c>
      <c r="N382" s="6">
        <f>IF(OR(F382="",G382="",H382=""),"",(H382-F382)/(F382-G382))</f>
        <v/>
      </c>
      <c r="O382" s="2" t="n"/>
      <c r="P382" s="2" t="n"/>
      <c r="Q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4">
        <f>IF(OR(F383="",K383=""),"",(K383-F383)/F383)</f>
        <v/>
      </c>
      <c r="M383" s="4">
        <f>IF(OR(F383="",G383=""),"",(G383-F383)/F383)</f>
        <v/>
      </c>
      <c r="N383" s="6">
        <f>IF(OR(F383="",G383="",H383=""),"",(H383-F383)/(F383-G383))</f>
        <v/>
      </c>
      <c r="O383" s="2" t="n"/>
      <c r="P383" s="2" t="n"/>
      <c r="Q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4">
        <f>IF(OR(F384="",K384=""),"",(K384-F384)/F384)</f>
        <v/>
      </c>
      <c r="M384" s="4">
        <f>IF(OR(F384="",G384=""),"",(G384-F384)/F384)</f>
        <v/>
      </c>
      <c r="N384" s="6">
        <f>IF(OR(F384="",G384="",H384=""),"",(H384-F384)/(F384-G384))</f>
        <v/>
      </c>
      <c r="O384" s="2" t="n"/>
      <c r="P384" s="2" t="n"/>
      <c r="Q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4">
        <f>IF(OR(F385="",K385=""),"",(K385-F385)/F385)</f>
        <v/>
      </c>
      <c r="M385" s="4">
        <f>IF(OR(F385="",G385=""),"",(G385-F385)/F385)</f>
        <v/>
      </c>
      <c r="N385" s="6">
        <f>IF(OR(F385="",G385="",H385=""),"",(H385-F385)/(F385-G385))</f>
        <v/>
      </c>
      <c r="O385" s="2" t="n"/>
      <c r="P385" s="2" t="n"/>
      <c r="Q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4">
        <f>IF(OR(F386="",K386=""),"",(K386-F386)/F386)</f>
        <v/>
      </c>
      <c r="M386" s="4">
        <f>IF(OR(F386="",G386=""),"",(G386-F386)/F386)</f>
        <v/>
      </c>
      <c r="N386" s="6">
        <f>IF(OR(F386="",G386="",H386=""),"",(H386-F386)/(F386-G386))</f>
        <v/>
      </c>
      <c r="O386" s="2" t="n"/>
      <c r="P386" s="2" t="n"/>
      <c r="Q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4">
        <f>IF(OR(F387="",K387=""),"",(K387-F387)/F387)</f>
        <v/>
      </c>
      <c r="M387" s="4">
        <f>IF(OR(F387="",G387=""),"",(G387-F387)/F387)</f>
        <v/>
      </c>
      <c r="N387" s="6">
        <f>IF(OR(F387="",G387="",H387=""),"",(H387-F387)/(F387-G387))</f>
        <v/>
      </c>
      <c r="O387" s="2" t="n"/>
      <c r="P387" s="2" t="n"/>
      <c r="Q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4">
        <f>IF(OR(F388="",K388=""),"",(K388-F388)/F388)</f>
        <v/>
      </c>
      <c r="M388" s="4">
        <f>IF(OR(F388="",G388=""),"",(G388-F388)/F388)</f>
        <v/>
      </c>
      <c r="N388" s="6">
        <f>IF(OR(F388="",G388="",H388=""),"",(H388-F388)/(F388-G388))</f>
        <v/>
      </c>
      <c r="O388" s="2" t="n"/>
      <c r="P388" s="2" t="n"/>
      <c r="Q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4">
        <f>IF(OR(F389="",K389=""),"",(K389-F389)/F389)</f>
        <v/>
      </c>
      <c r="M389" s="4">
        <f>IF(OR(F389="",G389=""),"",(G389-F389)/F389)</f>
        <v/>
      </c>
      <c r="N389" s="6">
        <f>IF(OR(F389="",G389="",H389=""),"",(H389-F389)/(F389-G389))</f>
        <v/>
      </c>
      <c r="O389" s="2" t="n"/>
      <c r="P389" s="2" t="n"/>
      <c r="Q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4">
        <f>IF(OR(F390="",K390=""),"",(K390-F390)/F390)</f>
        <v/>
      </c>
      <c r="M390" s="4">
        <f>IF(OR(F390="",G390=""),"",(G390-F390)/F390)</f>
        <v/>
      </c>
      <c r="N390" s="6">
        <f>IF(OR(F390="",G390="",H390=""),"",(H390-F390)/(F390-G390))</f>
        <v/>
      </c>
      <c r="O390" s="2" t="n"/>
      <c r="P390" s="2" t="n"/>
      <c r="Q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4">
        <f>IF(OR(F391="",K391=""),"",(K391-F391)/F391)</f>
        <v/>
      </c>
      <c r="M391" s="4">
        <f>IF(OR(F391="",G391=""),"",(G391-F391)/F391)</f>
        <v/>
      </c>
      <c r="N391" s="6">
        <f>IF(OR(F391="",G391="",H391=""),"",(H391-F391)/(F391-G391))</f>
        <v/>
      </c>
      <c r="O391" s="2" t="n"/>
      <c r="P391" s="2" t="n"/>
      <c r="Q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4">
        <f>IF(OR(F392="",K392=""),"",(K392-F392)/F392)</f>
        <v/>
      </c>
      <c r="M392" s="4">
        <f>IF(OR(F392="",G392=""),"",(G392-F392)/F392)</f>
        <v/>
      </c>
      <c r="N392" s="6">
        <f>IF(OR(F392="",G392="",H392=""),"",(H392-F392)/(F392-G392))</f>
        <v/>
      </c>
      <c r="O392" s="2" t="n"/>
      <c r="P392" s="2" t="n"/>
      <c r="Q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4">
        <f>IF(OR(F393="",K393=""),"",(K393-F393)/F393)</f>
        <v/>
      </c>
      <c r="M393" s="4">
        <f>IF(OR(F393="",G393=""),"",(G393-F393)/F393)</f>
        <v/>
      </c>
      <c r="N393" s="6">
        <f>IF(OR(F393="",G393="",H393=""),"",(H393-F393)/(F393-G393))</f>
        <v/>
      </c>
      <c r="O393" s="2" t="n"/>
      <c r="P393" s="2" t="n"/>
      <c r="Q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4">
        <f>IF(OR(F394="",K394=""),"",(K394-F394)/F394)</f>
        <v/>
      </c>
      <c r="M394" s="4">
        <f>IF(OR(F394="",G394=""),"",(G394-F394)/F394)</f>
        <v/>
      </c>
      <c r="N394" s="6">
        <f>IF(OR(F394="",G394="",H394=""),"",(H394-F394)/(F394-G394))</f>
        <v/>
      </c>
      <c r="O394" s="2" t="n"/>
      <c r="P394" s="2" t="n"/>
      <c r="Q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4">
        <f>IF(OR(F395="",K395=""),"",(K395-F395)/F395)</f>
        <v/>
      </c>
      <c r="M395" s="4">
        <f>IF(OR(F395="",G395=""),"",(G395-F395)/F395)</f>
        <v/>
      </c>
      <c r="N395" s="6">
        <f>IF(OR(F395="",G395="",H395=""),"",(H395-F395)/(F395-G395))</f>
        <v/>
      </c>
      <c r="O395" s="2" t="n"/>
      <c r="P395" s="2" t="n"/>
      <c r="Q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4">
        <f>IF(OR(F396="",K396=""),"",(K396-F396)/F396)</f>
        <v/>
      </c>
      <c r="M396" s="4">
        <f>IF(OR(F396="",G396=""),"",(G396-F396)/F396)</f>
        <v/>
      </c>
      <c r="N396" s="6">
        <f>IF(OR(F396="",G396="",H396=""),"",(H396-F396)/(F396-G396))</f>
        <v/>
      </c>
      <c r="O396" s="2" t="n"/>
      <c r="P396" s="2" t="n"/>
      <c r="Q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4">
        <f>IF(OR(F397="",K397=""),"",(K397-F397)/F397)</f>
        <v/>
      </c>
      <c r="M397" s="4">
        <f>IF(OR(F397="",G397=""),"",(G397-F397)/F397)</f>
        <v/>
      </c>
      <c r="N397" s="6">
        <f>IF(OR(F397="",G397="",H397=""),"",(H397-F397)/(F397-G397))</f>
        <v/>
      </c>
      <c r="O397" s="2" t="n"/>
      <c r="P397" s="2" t="n"/>
      <c r="Q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4">
        <f>IF(OR(F398="",K398=""),"",(K398-F398)/F398)</f>
        <v/>
      </c>
      <c r="M398" s="4">
        <f>IF(OR(F398="",G398=""),"",(G398-F398)/F398)</f>
        <v/>
      </c>
      <c r="N398" s="6">
        <f>IF(OR(F398="",G398="",H398=""),"",(H398-F398)/(F398-G398))</f>
        <v/>
      </c>
      <c r="O398" s="2" t="n"/>
      <c r="P398" s="2" t="n"/>
      <c r="Q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4">
        <f>IF(OR(F399="",K399=""),"",(K399-F399)/F399)</f>
        <v/>
      </c>
      <c r="M399" s="4">
        <f>IF(OR(F399="",G399=""),"",(G399-F399)/F399)</f>
        <v/>
      </c>
      <c r="N399" s="6">
        <f>IF(OR(F399="",G399="",H399=""),"",(H399-F399)/(F399-G399))</f>
        <v/>
      </c>
      <c r="O399" s="2" t="n"/>
      <c r="P399" s="2" t="n"/>
      <c r="Q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4">
        <f>IF(OR(F400="",K400=""),"",(K400-F400)/F400)</f>
        <v/>
      </c>
      <c r="M400" s="4">
        <f>IF(OR(F400="",G400=""),"",(G400-F400)/F400)</f>
        <v/>
      </c>
      <c r="N400" s="6">
        <f>IF(OR(F400="",G400="",H400=""),"",(H400-F400)/(F400-G400))</f>
        <v/>
      </c>
      <c r="O400" s="2" t="n"/>
      <c r="P400" s="2" t="n"/>
      <c r="Q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4">
        <f>IF(OR(F401="",K401=""),"",(K401-F401)/F401)</f>
        <v/>
      </c>
      <c r="M401" s="4">
        <f>IF(OR(F401="",G401=""),"",(G401-F401)/F401)</f>
        <v/>
      </c>
      <c r="N401" s="6">
        <f>IF(OR(F401="",G401="",H401=""),"",(H401-F401)/(F401-G401))</f>
        <v/>
      </c>
      <c r="O401" s="2" t="n"/>
      <c r="P401" s="2" t="n"/>
      <c r="Q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4">
        <f>IF(OR(F402="",K402=""),"",(K402-F402)/F402)</f>
        <v/>
      </c>
      <c r="M402" s="4">
        <f>IF(OR(F402="",G402=""),"",(G402-F402)/F402)</f>
        <v/>
      </c>
      <c r="N402" s="6">
        <f>IF(OR(F402="",G402="",H402=""),"",(H402-F402)/(F402-G402))</f>
        <v/>
      </c>
      <c r="O402" s="2" t="n"/>
      <c r="P402" s="2" t="n"/>
      <c r="Q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4">
        <f>IF(OR(F403="",K403=""),"",(K403-F403)/F403)</f>
        <v/>
      </c>
      <c r="M403" s="4">
        <f>IF(OR(F403="",G403=""),"",(G403-F403)/F403)</f>
        <v/>
      </c>
      <c r="N403" s="6">
        <f>IF(OR(F403="",G403="",H403=""),"",(H403-F403)/(F403-G403))</f>
        <v/>
      </c>
      <c r="O403" s="2" t="n"/>
      <c r="P403" s="2" t="n"/>
      <c r="Q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4">
        <f>IF(OR(F404="",K404=""),"",(K404-F404)/F404)</f>
        <v/>
      </c>
      <c r="M404" s="4">
        <f>IF(OR(F404="",G404=""),"",(G404-F404)/F404)</f>
        <v/>
      </c>
      <c r="N404" s="6">
        <f>IF(OR(F404="",G404="",H404=""),"",(H404-F404)/(F404-G404))</f>
        <v/>
      </c>
      <c r="O404" s="2" t="n"/>
      <c r="P404" s="2" t="n"/>
      <c r="Q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4">
        <f>IF(OR(F405="",K405=""),"",(K405-F405)/F405)</f>
        <v/>
      </c>
      <c r="M405" s="4">
        <f>IF(OR(F405="",G405=""),"",(G405-F405)/F405)</f>
        <v/>
      </c>
      <c r="N405" s="6">
        <f>IF(OR(F405="",G405="",H405=""),"",(H405-F405)/(F405-G405))</f>
        <v/>
      </c>
      <c r="O405" s="2" t="n"/>
      <c r="P405" s="2" t="n"/>
      <c r="Q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4">
        <f>IF(OR(F406="",K406=""),"",(K406-F406)/F406)</f>
        <v/>
      </c>
      <c r="M406" s="4">
        <f>IF(OR(F406="",G406=""),"",(G406-F406)/F406)</f>
        <v/>
      </c>
      <c r="N406" s="6">
        <f>IF(OR(F406="",G406="",H406=""),"",(H406-F406)/(F406-G406))</f>
        <v/>
      </c>
      <c r="O406" s="2" t="n"/>
      <c r="P406" s="2" t="n"/>
      <c r="Q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4">
        <f>IF(OR(F407="",K407=""),"",(K407-F407)/F407)</f>
        <v/>
      </c>
      <c r="M407" s="4">
        <f>IF(OR(F407="",G407=""),"",(G407-F407)/F407)</f>
        <v/>
      </c>
      <c r="N407" s="6">
        <f>IF(OR(F407="",G407="",H407=""),"",(H407-F407)/(F407-G407))</f>
        <v/>
      </c>
      <c r="O407" s="2" t="n"/>
      <c r="P407" s="2" t="n"/>
      <c r="Q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4">
        <f>IF(OR(F408="",K408=""),"",(K408-F408)/F408)</f>
        <v/>
      </c>
      <c r="M408" s="4">
        <f>IF(OR(F408="",G408=""),"",(G408-F408)/F408)</f>
        <v/>
      </c>
      <c r="N408" s="6">
        <f>IF(OR(F408="",G408="",H408=""),"",(H408-F408)/(F408-G408))</f>
        <v/>
      </c>
      <c r="O408" s="2" t="n"/>
      <c r="P408" s="2" t="n"/>
      <c r="Q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4">
        <f>IF(OR(F409="",K409=""),"",(K409-F409)/F409)</f>
        <v/>
      </c>
      <c r="M409" s="4">
        <f>IF(OR(F409="",G409=""),"",(G409-F409)/F409)</f>
        <v/>
      </c>
      <c r="N409" s="6">
        <f>IF(OR(F409="",G409="",H409=""),"",(H409-F409)/(F409-G409))</f>
        <v/>
      </c>
      <c r="O409" s="2" t="n"/>
      <c r="P409" s="2" t="n"/>
      <c r="Q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4">
        <f>IF(OR(F410="",K410=""),"",(K410-F410)/F410)</f>
        <v/>
      </c>
      <c r="M410" s="4">
        <f>IF(OR(F410="",G410=""),"",(G410-F410)/F410)</f>
        <v/>
      </c>
      <c r="N410" s="6">
        <f>IF(OR(F410="",G410="",H410=""),"",(H410-F410)/(F410-G410))</f>
        <v/>
      </c>
      <c r="O410" s="2" t="n"/>
      <c r="P410" s="2" t="n"/>
      <c r="Q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4">
        <f>IF(OR(F411="",K411=""),"",(K411-F411)/F411)</f>
        <v/>
      </c>
      <c r="M411" s="4">
        <f>IF(OR(F411="",G411=""),"",(G411-F411)/F411)</f>
        <v/>
      </c>
      <c r="N411" s="6">
        <f>IF(OR(F411="",G411="",H411=""),"",(H411-F411)/(F411-G411))</f>
        <v/>
      </c>
      <c r="O411" s="2" t="n"/>
      <c r="P411" s="2" t="n"/>
      <c r="Q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4">
        <f>IF(OR(F412="",K412=""),"",(K412-F412)/F412)</f>
        <v/>
      </c>
      <c r="M412" s="4">
        <f>IF(OR(F412="",G412=""),"",(G412-F412)/F412)</f>
        <v/>
      </c>
      <c r="N412" s="6">
        <f>IF(OR(F412="",G412="",H412=""),"",(H412-F412)/(F412-G412))</f>
        <v/>
      </c>
      <c r="O412" s="2" t="n"/>
      <c r="P412" s="2" t="n"/>
      <c r="Q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4">
        <f>IF(OR(F413="",K413=""),"",(K413-F413)/F413)</f>
        <v/>
      </c>
      <c r="M413" s="4">
        <f>IF(OR(F413="",G413=""),"",(G413-F413)/F413)</f>
        <v/>
      </c>
      <c r="N413" s="6">
        <f>IF(OR(F413="",G413="",H413=""),"",(H413-F413)/(F413-G413))</f>
        <v/>
      </c>
      <c r="O413" s="2" t="n"/>
      <c r="P413" s="2" t="n"/>
      <c r="Q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4">
        <f>IF(OR(F414="",K414=""),"",(K414-F414)/F414)</f>
        <v/>
      </c>
      <c r="M414" s="4">
        <f>IF(OR(F414="",G414=""),"",(G414-F414)/F414)</f>
        <v/>
      </c>
      <c r="N414" s="6">
        <f>IF(OR(F414="",G414="",H414=""),"",(H414-F414)/(F414-G414))</f>
        <v/>
      </c>
      <c r="O414" s="2" t="n"/>
      <c r="P414" s="2" t="n"/>
      <c r="Q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4">
        <f>IF(OR(F415="",K415=""),"",(K415-F415)/F415)</f>
        <v/>
      </c>
      <c r="M415" s="4">
        <f>IF(OR(F415="",G415=""),"",(G415-F415)/F415)</f>
        <v/>
      </c>
      <c r="N415" s="6">
        <f>IF(OR(F415="",G415="",H415=""),"",(H415-F415)/(F415-G415))</f>
        <v/>
      </c>
      <c r="O415" s="2" t="n"/>
      <c r="P415" s="2" t="n"/>
      <c r="Q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4">
        <f>IF(OR(F416="",K416=""),"",(K416-F416)/F416)</f>
        <v/>
      </c>
      <c r="M416" s="4">
        <f>IF(OR(F416="",G416=""),"",(G416-F416)/F416)</f>
        <v/>
      </c>
      <c r="N416" s="6">
        <f>IF(OR(F416="",G416="",H416=""),"",(H416-F416)/(F416-G416))</f>
        <v/>
      </c>
      <c r="O416" s="2" t="n"/>
      <c r="P416" s="2" t="n"/>
      <c r="Q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4">
        <f>IF(OR(F417="",K417=""),"",(K417-F417)/F417)</f>
        <v/>
      </c>
      <c r="M417" s="4">
        <f>IF(OR(F417="",G417=""),"",(G417-F417)/F417)</f>
        <v/>
      </c>
      <c r="N417" s="6">
        <f>IF(OR(F417="",G417="",H417=""),"",(H417-F417)/(F417-G417))</f>
        <v/>
      </c>
      <c r="O417" s="2" t="n"/>
      <c r="P417" s="2" t="n"/>
      <c r="Q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4">
        <f>IF(OR(F418="",K418=""),"",(K418-F418)/F418)</f>
        <v/>
      </c>
      <c r="M418" s="4">
        <f>IF(OR(F418="",G418=""),"",(G418-F418)/F418)</f>
        <v/>
      </c>
      <c r="N418" s="6">
        <f>IF(OR(F418="",G418="",H418=""),"",(H418-F418)/(F418-G418))</f>
        <v/>
      </c>
      <c r="O418" s="2" t="n"/>
      <c r="P418" s="2" t="n"/>
      <c r="Q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4">
        <f>IF(OR(F419="",K419=""),"",(K419-F419)/F419)</f>
        <v/>
      </c>
      <c r="M419" s="4">
        <f>IF(OR(F419="",G419=""),"",(G419-F419)/F419)</f>
        <v/>
      </c>
      <c r="N419" s="6">
        <f>IF(OR(F419="",G419="",H419=""),"",(H419-F419)/(F419-G419))</f>
        <v/>
      </c>
      <c r="O419" s="2" t="n"/>
      <c r="P419" s="2" t="n"/>
      <c r="Q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4">
        <f>IF(OR(F420="",K420=""),"",(K420-F420)/F420)</f>
        <v/>
      </c>
      <c r="M420" s="4">
        <f>IF(OR(F420="",G420=""),"",(G420-F420)/F420)</f>
        <v/>
      </c>
      <c r="N420" s="6">
        <f>IF(OR(F420="",G420="",H420=""),"",(H420-F420)/(F420-G420))</f>
        <v/>
      </c>
      <c r="O420" s="2" t="n"/>
      <c r="P420" s="2" t="n"/>
      <c r="Q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4">
        <f>IF(OR(F421="",K421=""),"",(K421-F421)/F421)</f>
        <v/>
      </c>
      <c r="M421" s="4">
        <f>IF(OR(F421="",G421=""),"",(G421-F421)/F421)</f>
        <v/>
      </c>
      <c r="N421" s="6">
        <f>IF(OR(F421="",G421="",H421=""),"",(H421-F421)/(F421-G421))</f>
        <v/>
      </c>
      <c r="O421" s="2" t="n"/>
      <c r="P421" s="2" t="n"/>
      <c r="Q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4">
        <f>IF(OR(F422="",K422=""),"",(K422-F422)/F422)</f>
        <v/>
      </c>
      <c r="M422" s="4">
        <f>IF(OR(F422="",G422=""),"",(G422-F422)/F422)</f>
        <v/>
      </c>
      <c r="N422" s="6">
        <f>IF(OR(F422="",G422="",H422=""),"",(H422-F422)/(F422-G422))</f>
        <v/>
      </c>
      <c r="O422" s="2" t="n"/>
      <c r="P422" s="2" t="n"/>
      <c r="Q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4">
        <f>IF(OR(F423="",K423=""),"",(K423-F423)/F423)</f>
        <v/>
      </c>
      <c r="M423" s="4">
        <f>IF(OR(F423="",G423=""),"",(G423-F423)/F423)</f>
        <v/>
      </c>
      <c r="N423" s="6">
        <f>IF(OR(F423="",G423="",H423=""),"",(H423-F423)/(F423-G423))</f>
        <v/>
      </c>
      <c r="O423" s="2" t="n"/>
      <c r="P423" s="2" t="n"/>
      <c r="Q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4">
        <f>IF(OR(F424="",K424=""),"",(K424-F424)/F424)</f>
        <v/>
      </c>
      <c r="M424" s="4">
        <f>IF(OR(F424="",G424=""),"",(G424-F424)/F424)</f>
        <v/>
      </c>
      <c r="N424" s="6">
        <f>IF(OR(F424="",G424="",H424=""),"",(H424-F424)/(F424-G424))</f>
        <v/>
      </c>
      <c r="O424" s="2" t="n"/>
      <c r="P424" s="2" t="n"/>
      <c r="Q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4">
        <f>IF(OR(F425="",K425=""),"",(K425-F425)/F425)</f>
        <v/>
      </c>
      <c r="M425" s="4">
        <f>IF(OR(F425="",G425=""),"",(G425-F425)/F425)</f>
        <v/>
      </c>
      <c r="N425" s="6">
        <f>IF(OR(F425="",G425="",H425=""),"",(H425-F425)/(F425-G425))</f>
        <v/>
      </c>
      <c r="O425" s="2" t="n"/>
      <c r="P425" s="2" t="n"/>
      <c r="Q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4">
        <f>IF(OR(F426="",K426=""),"",(K426-F426)/F426)</f>
        <v/>
      </c>
      <c r="M426" s="4">
        <f>IF(OR(F426="",G426=""),"",(G426-F426)/F426)</f>
        <v/>
      </c>
      <c r="N426" s="6">
        <f>IF(OR(F426="",G426="",H426=""),"",(H426-F426)/(F426-G426))</f>
        <v/>
      </c>
      <c r="O426" s="2" t="n"/>
      <c r="P426" s="2" t="n"/>
      <c r="Q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4">
        <f>IF(OR(F427="",K427=""),"",(K427-F427)/F427)</f>
        <v/>
      </c>
      <c r="M427" s="4">
        <f>IF(OR(F427="",G427=""),"",(G427-F427)/F427)</f>
        <v/>
      </c>
      <c r="N427" s="6">
        <f>IF(OR(F427="",G427="",H427=""),"",(H427-F427)/(F427-G427))</f>
        <v/>
      </c>
      <c r="O427" s="2" t="n"/>
      <c r="P427" s="2" t="n"/>
      <c r="Q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4">
        <f>IF(OR(F428="",K428=""),"",(K428-F428)/F428)</f>
        <v/>
      </c>
      <c r="M428" s="4">
        <f>IF(OR(F428="",G428=""),"",(G428-F428)/F428)</f>
        <v/>
      </c>
      <c r="N428" s="6">
        <f>IF(OR(F428="",G428="",H428=""),"",(H428-F428)/(F428-G428))</f>
        <v/>
      </c>
      <c r="O428" s="2" t="n"/>
      <c r="P428" s="2" t="n"/>
      <c r="Q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4">
        <f>IF(OR(F429="",K429=""),"",(K429-F429)/F429)</f>
        <v/>
      </c>
      <c r="M429" s="4">
        <f>IF(OR(F429="",G429=""),"",(G429-F429)/F429)</f>
        <v/>
      </c>
      <c r="N429" s="6">
        <f>IF(OR(F429="",G429="",H429=""),"",(H429-F429)/(F429-G429))</f>
        <v/>
      </c>
      <c r="O429" s="2" t="n"/>
      <c r="P429" s="2" t="n"/>
      <c r="Q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4">
        <f>IF(OR(F430="",K430=""),"",(K430-F430)/F430)</f>
        <v/>
      </c>
      <c r="M430" s="4">
        <f>IF(OR(F430="",G430=""),"",(G430-F430)/F430)</f>
        <v/>
      </c>
      <c r="N430" s="6">
        <f>IF(OR(F430="",G430="",H430=""),"",(H430-F430)/(F430-G430))</f>
        <v/>
      </c>
      <c r="O430" s="2" t="n"/>
      <c r="P430" s="2" t="n"/>
      <c r="Q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4">
        <f>IF(OR(F431="",K431=""),"",(K431-F431)/F431)</f>
        <v/>
      </c>
      <c r="M431" s="4">
        <f>IF(OR(F431="",G431=""),"",(G431-F431)/F431)</f>
        <v/>
      </c>
      <c r="N431" s="6">
        <f>IF(OR(F431="",G431="",H431=""),"",(H431-F431)/(F431-G431))</f>
        <v/>
      </c>
      <c r="O431" s="2" t="n"/>
      <c r="P431" s="2" t="n"/>
      <c r="Q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4">
        <f>IF(OR(F432="",K432=""),"",(K432-F432)/F432)</f>
        <v/>
      </c>
      <c r="M432" s="4">
        <f>IF(OR(F432="",G432=""),"",(G432-F432)/F432)</f>
        <v/>
      </c>
      <c r="N432" s="6">
        <f>IF(OR(F432="",G432="",H432=""),"",(H432-F432)/(F432-G432))</f>
        <v/>
      </c>
      <c r="O432" s="2" t="n"/>
      <c r="P432" s="2" t="n"/>
      <c r="Q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4">
        <f>IF(OR(F433="",K433=""),"",(K433-F433)/F433)</f>
        <v/>
      </c>
      <c r="M433" s="4">
        <f>IF(OR(F433="",G433=""),"",(G433-F433)/F433)</f>
        <v/>
      </c>
      <c r="N433" s="6">
        <f>IF(OR(F433="",G433="",H433=""),"",(H433-F433)/(F433-G433))</f>
        <v/>
      </c>
      <c r="O433" s="2" t="n"/>
      <c r="P433" s="2" t="n"/>
      <c r="Q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4">
        <f>IF(OR(F434="",K434=""),"",(K434-F434)/F434)</f>
        <v/>
      </c>
      <c r="M434" s="4">
        <f>IF(OR(F434="",G434=""),"",(G434-F434)/F434)</f>
        <v/>
      </c>
      <c r="N434" s="6">
        <f>IF(OR(F434="",G434="",H434=""),"",(H434-F434)/(F434-G434))</f>
        <v/>
      </c>
      <c r="O434" s="2" t="n"/>
      <c r="P434" s="2" t="n"/>
      <c r="Q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4">
        <f>IF(OR(F435="",K435=""),"",(K435-F435)/F435)</f>
        <v/>
      </c>
      <c r="M435" s="4">
        <f>IF(OR(F435="",G435=""),"",(G435-F435)/F435)</f>
        <v/>
      </c>
      <c r="N435" s="6">
        <f>IF(OR(F435="",G435="",H435=""),"",(H435-F435)/(F435-G435))</f>
        <v/>
      </c>
      <c r="O435" s="2" t="n"/>
      <c r="P435" s="2" t="n"/>
      <c r="Q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4">
        <f>IF(OR(F436="",K436=""),"",(K436-F436)/F436)</f>
        <v/>
      </c>
      <c r="M436" s="4">
        <f>IF(OR(F436="",G436=""),"",(G436-F436)/F436)</f>
        <v/>
      </c>
      <c r="N436" s="6">
        <f>IF(OR(F436="",G436="",H436=""),"",(H436-F436)/(F436-G436))</f>
        <v/>
      </c>
      <c r="O436" s="2" t="n"/>
      <c r="P436" s="2" t="n"/>
      <c r="Q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4">
        <f>IF(OR(F437="",K437=""),"",(K437-F437)/F437)</f>
        <v/>
      </c>
      <c r="M437" s="4">
        <f>IF(OR(F437="",G437=""),"",(G437-F437)/F437)</f>
        <v/>
      </c>
      <c r="N437" s="6">
        <f>IF(OR(F437="",G437="",H437=""),"",(H437-F437)/(F437-G437))</f>
        <v/>
      </c>
      <c r="O437" s="2" t="n"/>
      <c r="P437" s="2" t="n"/>
      <c r="Q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4">
        <f>IF(OR(F438="",K438=""),"",(K438-F438)/F438)</f>
        <v/>
      </c>
      <c r="M438" s="4">
        <f>IF(OR(F438="",G438=""),"",(G438-F438)/F438)</f>
        <v/>
      </c>
      <c r="N438" s="6">
        <f>IF(OR(F438="",G438="",H438=""),"",(H438-F438)/(F438-G438))</f>
        <v/>
      </c>
      <c r="O438" s="2" t="n"/>
      <c r="P438" s="2" t="n"/>
      <c r="Q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4">
        <f>IF(OR(F439="",K439=""),"",(K439-F439)/F439)</f>
        <v/>
      </c>
      <c r="M439" s="4">
        <f>IF(OR(F439="",G439=""),"",(G439-F439)/F439)</f>
        <v/>
      </c>
      <c r="N439" s="6">
        <f>IF(OR(F439="",G439="",H439=""),"",(H439-F439)/(F439-G439))</f>
        <v/>
      </c>
      <c r="O439" s="2" t="n"/>
      <c r="P439" s="2" t="n"/>
      <c r="Q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4">
        <f>IF(OR(F440="",K440=""),"",(K440-F440)/F440)</f>
        <v/>
      </c>
      <c r="M440" s="4">
        <f>IF(OR(F440="",G440=""),"",(G440-F440)/F440)</f>
        <v/>
      </c>
      <c r="N440" s="6">
        <f>IF(OR(F440="",G440="",H440=""),"",(H440-F440)/(F440-G440))</f>
        <v/>
      </c>
      <c r="O440" s="2" t="n"/>
      <c r="P440" s="2" t="n"/>
      <c r="Q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4">
        <f>IF(OR(F441="",K441=""),"",(K441-F441)/F441)</f>
        <v/>
      </c>
      <c r="M441" s="4">
        <f>IF(OR(F441="",G441=""),"",(G441-F441)/F441)</f>
        <v/>
      </c>
      <c r="N441" s="6">
        <f>IF(OR(F441="",G441="",H441=""),"",(H441-F441)/(F441-G441))</f>
        <v/>
      </c>
      <c r="O441" s="2" t="n"/>
      <c r="P441" s="2" t="n"/>
      <c r="Q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4">
        <f>IF(OR(F442="",K442=""),"",(K442-F442)/F442)</f>
        <v/>
      </c>
      <c r="M442" s="4">
        <f>IF(OR(F442="",G442=""),"",(G442-F442)/F442)</f>
        <v/>
      </c>
      <c r="N442" s="6">
        <f>IF(OR(F442="",G442="",H442=""),"",(H442-F442)/(F442-G442))</f>
        <v/>
      </c>
      <c r="O442" s="2" t="n"/>
      <c r="P442" s="2" t="n"/>
      <c r="Q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4">
        <f>IF(OR(F443="",K443=""),"",(K443-F443)/F443)</f>
        <v/>
      </c>
      <c r="M443" s="4">
        <f>IF(OR(F443="",G443=""),"",(G443-F443)/F443)</f>
        <v/>
      </c>
      <c r="N443" s="6">
        <f>IF(OR(F443="",G443="",H443=""),"",(H443-F443)/(F443-G443))</f>
        <v/>
      </c>
      <c r="O443" s="2" t="n"/>
      <c r="P443" s="2" t="n"/>
      <c r="Q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4">
        <f>IF(OR(F444="",K444=""),"",(K444-F444)/F444)</f>
        <v/>
      </c>
      <c r="M444" s="4">
        <f>IF(OR(F444="",G444=""),"",(G444-F444)/F444)</f>
        <v/>
      </c>
      <c r="N444" s="6">
        <f>IF(OR(F444="",G444="",H444=""),"",(H444-F444)/(F444-G444))</f>
        <v/>
      </c>
      <c r="O444" s="2" t="n"/>
      <c r="P444" s="2" t="n"/>
      <c r="Q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4">
        <f>IF(OR(F445="",K445=""),"",(K445-F445)/F445)</f>
        <v/>
      </c>
      <c r="M445" s="4">
        <f>IF(OR(F445="",G445=""),"",(G445-F445)/F445)</f>
        <v/>
      </c>
      <c r="N445" s="6">
        <f>IF(OR(F445="",G445="",H445=""),"",(H445-F445)/(F445-G445))</f>
        <v/>
      </c>
      <c r="O445" s="2" t="n"/>
      <c r="P445" s="2" t="n"/>
      <c r="Q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4">
        <f>IF(OR(F446="",K446=""),"",(K446-F446)/F446)</f>
        <v/>
      </c>
      <c r="M446" s="4">
        <f>IF(OR(F446="",G446=""),"",(G446-F446)/F446)</f>
        <v/>
      </c>
      <c r="N446" s="6">
        <f>IF(OR(F446="",G446="",H446=""),"",(H446-F446)/(F446-G446))</f>
        <v/>
      </c>
      <c r="O446" s="2" t="n"/>
      <c r="P446" s="2" t="n"/>
      <c r="Q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4">
        <f>IF(OR(F447="",K447=""),"",(K447-F447)/F447)</f>
        <v/>
      </c>
      <c r="M447" s="4">
        <f>IF(OR(F447="",G447=""),"",(G447-F447)/F447)</f>
        <v/>
      </c>
      <c r="N447" s="6">
        <f>IF(OR(F447="",G447="",H447=""),"",(H447-F447)/(F447-G447))</f>
        <v/>
      </c>
      <c r="O447" s="2" t="n"/>
      <c r="P447" s="2" t="n"/>
      <c r="Q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4">
        <f>IF(OR(F448="",K448=""),"",(K448-F448)/F448)</f>
        <v/>
      </c>
      <c r="M448" s="4">
        <f>IF(OR(F448="",G448=""),"",(G448-F448)/F448)</f>
        <v/>
      </c>
      <c r="N448" s="6">
        <f>IF(OR(F448="",G448="",H448=""),"",(H448-F448)/(F448-G448))</f>
        <v/>
      </c>
      <c r="O448" s="2" t="n"/>
      <c r="P448" s="2" t="n"/>
      <c r="Q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4">
        <f>IF(OR(F449="",K449=""),"",(K449-F449)/F449)</f>
        <v/>
      </c>
      <c r="M449" s="4">
        <f>IF(OR(F449="",G449=""),"",(G449-F449)/F449)</f>
        <v/>
      </c>
      <c r="N449" s="6">
        <f>IF(OR(F449="",G449="",H449=""),"",(H449-F449)/(F449-G449))</f>
        <v/>
      </c>
      <c r="O449" s="2" t="n"/>
      <c r="P449" s="2" t="n"/>
      <c r="Q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4">
        <f>IF(OR(F450="",K450=""),"",(K450-F450)/F450)</f>
        <v/>
      </c>
      <c r="M450" s="4">
        <f>IF(OR(F450="",G450=""),"",(G450-F450)/F450)</f>
        <v/>
      </c>
      <c r="N450" s="6">
        <f>IF(OR(F450="",G450="",H450=""),"",(H450-F450)/(F450-G450))</f>
        <v/>
      </c>
      <c r="O450" s="2" t="n"/>
      <c r="P450" s="2" t="n"/>
      <c r="Q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4">
        <f>IF(OR(F451="",K451=""),"",(K451-F451)/F451)</f>
        <v/>
      </c>
      <c r="M451" s="4">
        <f>IF(OR(F451="",G451=""),"",(G451-F451)/F451)</f>
        <v/>
      </c>
      <c r="N451" s="6">
        <f>IF(OR(F451="",G451="",H451=""),"",(H451-F451)/(F451-G451))</f>
        <v/>
      </c>
      <c r="O451" s="2" t="n"/>
      <c r="P451" s="2" t="n"/>
      <c r="Q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4">
        <f>IF(OR(F452="",K452=""),"",(K452-F452)/F452)</f>
        <v/>
      </c>
      <c r="M452" s="4">
        <f>IF(OR(F452="",G452=""),"",(G452-F452)/F452)</f>
        <v/>
      </c>
      <c r="N452" s="6">
        <f>IF(OR(F452="",G452="",H452=""),"",(H452-F452)/(F452-G452))</f>
        <v/>
      </c>
      <c r="O452" s="2" t="n"/>
      <c r="P452" s="2" t="n"/>
      <c r="Q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4">
        <f>IF(OR(F453="",K453=""),"",(K453-F453)/F453)</f>
        <v/>
      </c>
      <c r="M453" s="4">
        <f>IF(OR(F453="",G453=""),"",(G453-F453)/F453)</f>
        <v/>
      </c>
      <c r="N453" s="6">
        <f>IF(OR(F453="",G453="",H453=""),"",(H453-F453)/(F453-G453))</f>
        <v/>
      </c>
      <c r="O453" s="2" t="n"/>
      <c r="P453" s="2" t="n"/>
      <c r="Q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4">
        <f>IF(OR(F454="",K454=""),"",(K454-F454)/F454)</f>
        <v/>
      </c>
      <c r="M454" s="4">
        <f>IF(OR(F454="",G454=""),"",(G454-F454)/F454)</f>
        <v/>
      </c>
      <c r="N454" s="6">
        <f>IF(OR(F454="",G454="",H454=""),"",(H454-F454)/(F454-G454))</f>
        <v/>
      </c>
      <c r="O454" s="2" t="n"/>
      <c r="P454" s="2" t="n"/>
      <c r="Q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4">
        <f>IF(OR(F455="",K455=""),"",(K455-F455)/F455)</f>
        <v/>
      </c>
      <c r="M455" s="4">
        <f>IF(OR(F455="",G455=""),"",(G455-F455)/F455)</f>
        <v/>
      </c>
      <c r="N455" s="6">
        <f>IF(OR(F455="",G455="",H455=""),"",(H455-F455)/(F455-G455))</f>
        <v/>
      </c>
      <c r="O455" s="2" t="n"/>
      <c r="P455" s="2" t="n"/>
      <c r="Q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4">
        <f>IF(OR(F456="",K456=""),"",(K456-F456)/F456)</f>
        <v/>
      </c>
      <c r="M456" s="4">
        <f>IF(OR(F456="",G456=""),"",(G456-F456)/F456)</f>
        <v/>
      </c>
      <c r="N456" s="6">
        <f>IF(OR(F456="",G456="",H456=""),"",(H456-F456)/(F456-G456))</f>
        <v/>
      </c>
      <c r="O456" s="2" t="n"/>
      <c r="P456" s="2" t="n"/>
      <c r="Q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4">
        <f>IF(OR(F457="",K457=""),"",(K457-F457)/F457)</f>
        <v/>
      </c>
      <c r="M457" s="4">
        <f>IF(OR(F457="",G457=""),"",(G457-F457)/F457)</f>
        <v/>
      </c>
      <c r="N457" s="6">
        <f>IF(OR(F457="",G457="",H457=""),"",(H457-F457)/(F457-G457))</f>
        <v/>
      </c>
      <c r="O457" s="2" t="n"/>
      <c r="P457" s="2" t="n"/>
      <c r="Q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4">
        <f>IF(OR(F458="",K458=""),"",(K458-F458)/F458)</f>
        <v/>
      </c>
      <c r="M458" s="4">
        <f>IF(OR(F458="",G458=""),"",(G458-F458)/F458)</f>
        <v/>
      </c>
      <c r="N458" s="6">
        <f>IF(OR(F458="",G458="",H458=""),"",(H458-F458)/(F458-G458))</f>
        <v/>
      </c>
      <c r="O458" s="2" t="n"/>
      <c r="P458" s="2" t="n"/>
      <c r="Q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4">
        <f>IF(OR(F459="",K459=""),"",(K459-F459)/F459)</f>
        <v/>
      </c>
      <c r="M459" s="4">
        <f>IF(OR(F459="",G459=""),"",(G459-F459)/F459)</f>
        <v/>
      </c>
      <c r="N459" s="6">
        <f>IF(OR(F459="",G459="",H459=""),"",(H459-F459)/(F459-G459))</f>
        <v/>
      </c>
      <c r="O459" s="2" t="n"/>
      <c r="P459" s="2" t="n"/>
      <c r="Q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4">
        <f>IF(OR(F460="",K460=""),"",(K460-F460)/F460)</f>
        <v/>
      </c>
      <c r="M460" s="4">
        <f>IF(OR(F460="",G460=""),"",(G460-F460)/F460)</f>
        <v/>
      </c>
      <c r="N460" s="6">
        <f>IF(OR(F460="",G460="",H460=""),"",(H460-F460)/(F460-G460))</f>
        <v/>
      </c>
      <c r="O460" s="2" t="n"/>
      <c r="P460" s="2" t="n"/>
      <c r="Q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4">
        <f>IF(OR(F461="",K461=""),"",(K461-F461)/F461)</f>
        <v/>
      </c>
      <c r="M461" s="4">
        <f>IF(OR(F461="",G461=""),"",(G461-F461)/F461)</f>
        <v/>
      </c>
      <c r="N461" s="6">
        <f>IF(OR(F461="",G461="",H461=""),"",(H461-F461)/(F461-G461))</f>
        <v/>
      </c>
      <c r="O461" s="2" t="n"/>
      <c r="P461" s="2" t="n"/>
      <c r="Q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4">
        <f>IF(OR(F462="",K462=""),"",(K462-F462)/F462)</f>
        <v/>
      </c>
      <c r="M462" s="4">
        <f>IF(OR(F462="",G462=""),"",(G462-F462)/F462)</f>
        <v/>
      </c>
      <c r="N462" s="6">
        <f>IF(OR(F462="",G462="",H462=""),"",(H462-F462)/(F462-G462))</f>
        <v/>
      </c>
      <c r="O462" s="2" t="n"/>
      <c r="P462" s="2" t="n"/>
      <c r="Q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4">
        <f>IF(OR(F463="",K463=""),"",(K463-F463)/F463)</f>
        <v/>
      </c>
      <c r="M463" s="4">
        <f>IF(OR(F463="",G463=""),"",(G463-F463)/F463)</f>
        <v/>
      </c>
      <c r="N463" s="6">
        <f>IF(OR(F463="",G463="",H463=""),"",(H463-F463)/(F463-G463))</f>
        <v/>
      </c>
      <c r="O463" s="2" t="n"/>
      <c r="P463" s="2" t="n"/>
      <c r="Q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4">
        <f>IF(OR(F464="",K464=""),"",(K464-F464)/F464)</f>
        <v/>
      </c>
      <c r="M464" s="4">
        <f>IF(OR(F464="",G464=""),"",(G464-F464)/F464)</f>
        <v/>
      </c>
      <c r="N464" s="6">
        <f>IF(OR(F464="",G464="",H464=""),"",(H464-F464)/(F464-G464))</f>
        <v/>
      </c>
      <c r="O464" s="2" t="n"/>
      <c r="P464" s="2" t="n"/>
      <c r="Q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4">
        <f>IF(OR(F465="",K465=""),"",(K465-F465)/F465)</f>
        <v/>
      </c>
      <c r="M465" s="4">
        <f>IF(OR(F465="",G465=""),"",(G465-F465)/F465)</f>
        <v/>
      </c>
      <c r="N465" s="6">
        <f>IF(OR(F465="",G465="",H465=""),"",(H465-F465)/(F465-G465))</f>
        <v/>
      </c>
      <c r="O465" s="2" t="n"/>
      <c r="P465" s="2" t="n"/>
      <c r="Q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4">
        <f>IF(OR(F466="",K466=""),"",(K466-F466)/F466)</f>
        <v/>
      </c>
      <c r="M466" s="4">
        <f>IF(OR(F466="",G466=""),"",(G466-F466)/F466)</f>
        <v/>
      </c>
      <c r="N466" s="6">
        <f>IF(OR(F466="",G466="",H466=""),"",(H466-F466)/(F466-G466))</f>
        <v/>
      </c>
      <c r="O466" s="2" t="n"/>
      <c r="P466" s="2" t="n"/>
      <c r="Q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4">
        <f>IF(OR(F467="",K467=""),"",(K467-F467)/F467)</f>
        <v/>
      </c>
      <c r="M467" s="4">
        <f>IF(OR(F467="",G467=""),"",(G467-F467)/F467)</f>
        <v/>
      </c>
      <c r="N467" s="6">
        <f>IF(OR(F467="",G467="",H467=""),"",(H467-F467)/(F467-G467))</f>
        <v/>
      </c>
      <c r="O467" s="2" t="n"/>
      <c r="P467" s="2" t="n"/>
      <c r="Q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4">
        <f>IF(OR(F468="",K468=""),"",(K468-F468)/F468)</f>
        <v/>
      </c>
      <c r="M468" s="4">
        <f>IF(OR(F468="",G468=""),"",(G468-F468)/F468)</f>
        <v/>
      </c>
      <c r="N468" s="6">
        <f>IF(OR(F468="",G468="",H468=""),"",(H468-F468)/(F468-G468))</f>
        <v/>
      </c>
      <c r="O468" s="2" t="n"/>
      <c r="P468" s="2" t="n"/>
      <c r="Q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4">
        <f>IF(OR(F469="",K469=""),"",(K469-F469)/F469)</f>
        <v/>
      </c>
      <c r="M469" s="4">
        <f>IF(OR(F469="",G469=""),"",(G469-F469)/F469)</f>
        <v/>
      </c>
      <c r="N469" s="6">
        <f>IF(OR(F469="",G469="",H469=""),"",(H469-F469)/(F469-G469))</f>
        <v/>
      </c>
      <c r="O469" s="2" t="n"/>
      <c r="P469" s="2" t="n"/>
      <c r="Q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4">
        <f>IF(OR(F470="",K470=""),"",(K470-F470)/F470)</f>
        <v/>
      </c>
      <c r="M470" s="4">
        <f>IF(OR(F470="",G470=""),"",(G470-F470)/F470)</f>
        <v/>
      </c>
      <c r="N470" s="6">
        <f>IF(OR(F470="",G470="",H470=""),"",(H470-F470)/(F470-G470))</f>
        <v/>
      </c>
      <c r="O470" s="2" t="n"/>
      <c r="P470" s="2" t="n"/>
      <c r="Q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4">
        <f>IF(OR(F471="",K471=""),"",(K471-F471)/F471)</f>
        <v/>
      </c>
      <c r="M471" s="4">
        <f>IF(OR(F471="",G471=""),"",(G471-F471)/F471)</f>
        <v/>
      </c>
      <c r="N471" s="6">
        <f>IF(OR(F471="",G471="",H471=""),"",(H471-F471)/(F471-G471))</f>
        <v/>
      </c>
      <c r="O471" s="2" t="n"/>
      <c r="P471" s="2" t="n"/>
      <c r="Q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4">
        <f>IF(OR(F472="",K472=""),"",(K472-F472)/F472)</f>
        <v/>
      </c>
      <c r="M472" s="4">
        <f>IF(OR(F472="",G472=""),"",(G472-F472)/F472)</f>
        <v/>
      </c>
      <c r="N472" s="6">
        <f>IF(OR(F472="",G472="",H472=""),"",(H472-F472)/(F472-G472))</f>
        <v/>
      </c>
      <c r="O472" s="2" t="n"/>
      <c r="P472" s="2" t="n"/>
      <c r="Q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4">
        <f>IF(OR(F473="",K473=""),"",(K473-F473)/F473)</f>
        <v/>
      </c>
      <c r="M473" s="4">
        <f>IF(OR(F473="",G473=""),"",(G473-F473)/F473)</f>
        <v/>
      </c>
      <c r="N473" s="6">
        <f>IF(OR(F473="",G473="",H473=""),"",(H473-F473)/(F473-G473))</f>
        <v/>
      </c>
      <c r="O473" s="2" t="n"/>
      <c r="P473" s="2" t="n"/>
      <c r="Q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4">
        <f>IF(OR(F474="",K474=""),"",(K474-F474)/F474)</f>
        <v/>
      </c>
      <c r="M474" s="4">
        <f>IF(OR(F474="",G474=""),"",(G474-F474)/F474)</f>
        <v/>
      </c>
      <c r="N474" s="6">
        <f>IF(OR(F474="",G474="",H474=""),"",(H474-F474)/(F474-G474))</f>
        <v/>
      </c>
      <c r="O474" s="2" t="n"/>
      <c r="P474" s="2" t="n"/>
      <c r="Q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4">
        <f>IF(OR(F475="",K475=""),"",(K475-F475)/F475)</f>
        <v/>
      </c>
      <c r="M475" s="4">
        <f>IF(OR(F475="",G475=""),"",(G475-F475)/F475)</f>
        <v/>
      </c>
      <c r="N475" s="6">
        <f>IF(OR(F475="",G475="",H475=""),"",(H475-F475)/(F475-G475))</f>
        <v/>
      </c>
      <c r="O475" s="2" t="n"/>
      <c r="P475" s="2" t="n"/>
      <c r="Q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4">
        <f>IF(OR(F476="",K476=""),"",(K476-F476)/F476)</f>
        <v/>
      </c>
      <c r="M476" s="4">
        <f>IF(OR(F476="",G476=""),"",(G476-F476)/F476)</f>
        <v/>
      </c>
      <c r="N476" s="6">
        <f>IF(OR(F476="",G476="",H476=""),"",(H476-F476)/(F476-G476))</f>
        <v/>
      </c>
      <c r="O476" s="2" t="n"/>
      <c r="P476" s="2" t="n"/>
      <c r="Q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4">
        <f>IF(OR(F477="",K477=""),"",(K477-F477)/F477)</f>
        <v/>
      </c>
      <c r="M477" s="4">
        <f>IF(OR(F477="",G477=""),"",(G477-F477)/F477)</f>
        <v/>
      </c>
      <c r="N477" s="6">
        <f>IF(OR(F477="",G477="",H477=""),"",(H477-F477)/(F477-G477))</f>
        <v/>
      </c>
      <c r="O477" s="2" t="n"/>
      <c r="P477" s="2" t="n"/>
      <c r="Q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4">
        <f>IF(OR(F478="",K478=""),"",(K478-F478)/F478)</f>
        <v/>
      </c>
      <c r="M478" s="4">
        <f>IF(OR(F478="",G478=""),"",(G478-F478)/F478)</f>
        <v/>
      </c>
      <c r="N478" s="6">
        <f>IF(OR(F478="",G478="",H478=""),"",(H478-F478)/(F478-G478))</f>
        <v/>
      </c>
      <c r="O478" s="2" t="n"/>
      <c r="P478" s="2" t="n"/>
      <c r="Q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4">
        <f>IF(OR(F479="",K479=""),"",(K479-F479)/F479)</f>
        <v/>
      </c>
      <c r="M479" s="4">
        <f>IF(OR(F479="",G479=""),"",(G479-F479)/F479)</f>
        <v/>
      </c>
      <c r="N479" s="6">
        <f>IF(OR(F479="",G479="",H479=""),"",(H479-F479)/(F479-G479))</f>
        <v/>
      </c>
      <c r="O479" s="2" t="n"/>
      <c r="P479" s="2" t="n"/>
      <c r="Q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4">
        <f>IF(OR(F480="",K480=""),"",(K480-F480)/F480)</f>
        <v/>
      </c>
      <c r="M480" s="4">
        <f>IF(OR(F480="",G480=""),"",(G480-F480)/F480)</f>
        <v/>
      </c>
      <c r="N480" s="6">
        <f>IF(OR(F480="",G480="",H480=""),"",(H480-F480)/(F480-G480))</f>
        <v/>
      </c>
      <c r="O480" s="2" t="n"/>
      <c r="P480" s="2" t="n"/>
      <c r="Q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4">
        <f>IF(OR(F481="",K481=""),"",(K481-F481)/F481)</f>
        <v/>
      </c>
      <c r="M481" s="4">
        <f>IF(OR(F481="",G481=""),"",(G481-F481)/F481)</f>
        <v/>
      </c>
      <c r="N481" s="6">
        <f>IF(OR(F481="",G481="",H481=""),"",(H481-F481)/(F481-G481))</f>
        <v/>
      </c>
      <c r="O481" s="2" t="n"/>
      <c r="P481" s="2" t="n"/>
      <c r="Q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4">
        <f>IF(OR(F482="",K482=""),"",(K482-F482)/F482)</f>
        <v/>
      </c>
      <c r="M482" s="4">
        <f>IF(OR(F482="",G482=""),"",(G482-F482)/F482)</f>
        <v/>
      </c>
      <c r="N482" s="6">
        <f>IF(OR(F482="",G482="",H482=""),"",(H482-F482)/(F482-G482))</f>
        <v/>
      </c>
      <c r="O482" s="2" t="n"/>
      <c r="P482" s="2" t="n"/>
      <c r="Q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4">
        <f>IF(OR(F483="",K483=""),"",(K483-F483)/F483)</f>
        <v/>
      </c>
      <c r="M483" s="4">
        <f>IF(OR(F483="",G483=""),"",(G483-F483)/F483)</f>
        <v/>
      </c>
      <c r="N483" s="6">
        <f>IF(OR(F483="",G483="",H483=""),"",(H483-F483)/(F483-G483))</f>
        <v/>
      </c>
      <c r="O483" s="2" t="n"/>
      <c r="P483" s="2" t="n"/>
      <c r="Q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4">
        <f>IF(OR(F484="",K484=""),"",(K484-F484)/F484)</f>
        <v/>
      </c>
      <c r="M484" s="4">
        <f>IF(OR(F484="",G484=""),"",(G484-F484)/F484)</f>
        <v/>
      </c>
      <c r="N484" s="6">
        <f>IF(OR(F484="",G484="",H484=""),"",(H484-F484)/(F484-G484))</f>
        <v/>
      </c>
      <c r="O484" s="2" t="n"/>
      <c r="P484" s="2" t="n"/>
      <c r="Q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4">
        <f>IF(OR(F485="",K485=""),"",(K485-F485)/F485)</f>
        <v/>
      </c>
      <c r="M485" s="4">
        <f>IF(OR(F485="",G485=""),"",(G485-F485)/F485)</f>
        <v/>
      </c>
      <c r="N485" s="6">
        <f>IF(OR(F485="",G485="",H485=""),"",(H485-F485)/(F485-G485))</f>
        <v/>
      </c>
      <c r="O485" s="2" t="n"/>
      <c r="P485" s="2" t="n"/>
      <c r="Q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4">
        <f>IF(OR(F486="",K486=""),"",(K486-F486)/F486)</f>
        <v/>
      </c>
      <c r="M486" s="4">
        <f>IF(OR(F486="",G486=""),"",(G486-F486)/F486)</f>
        <v/>
      </c>
      <c r="N486" s="6">
        <f>IF(OR(F486="",G486="",H486=""),"",(H486-F486)/(F486-G486))</f>
        <v/>
      </c>
      <c r="O486" s="2" t="n"/>
      <c r="P486" s="2" t="n"/>
      <c r="Q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4">
        <f>IF(OR(F487="",K487=""),"",(K487-F487)/F487)</f>
        <v/>
      </c>
      <c r="M487" s="4">
        <f>IF(OR(F487="",G487=""),"",(G487-F487)/F487)</f>
        <v/>
      </c>
      <c r="N487" s="6">
        <f>IF(OR(F487="",G487="",H487=""),"",(H487-F487)/(F487-G487))</f>
        <v/>
      </c>
      <c r="O487" s="2" t="n"/>
      <c r="P487" s="2" t="n"/>
      <c r="Q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4">
        <f>IF(OR(F488="",K488=""),"",(K488-F488)/F488)</f>
        <v/>
      </c>
      <c r="M488" s="4">
        <f>IF(OR(F488="",G488=""),"",(G488-F488)/F488)</f>
        <v/>
      </c>
      <c r="N488" s="6">
        <f>IF(OR(F488="",G488="",H488=""),"",(H488-F488)/(F488-G488))</f>
        <v/>
      </c>
      <c r="O488" s="2" t="n"/>
      <c r="P488" s="2" t="n"/>
      <c r="Q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4">
        <f>IF(OR(F489="",K489=""),"",(K489-F489)/F489)</f>
        <v/>
      </c>
      <c r="M489" s="4">
        <f>IF(OR(F489="",G489=""),"",(G489-F489)/F489)</f>
        <v/>
      </c>
      <c r="N489" s="6">
        <f>IF(OR(F489="",G489="",H489=""),"",(H489-F489)/(F489-G489))</f>
        <v/>
      </c>
      <c r="O489" s="2" t="n"/>
      <c r="P489" s="2" t="n"/>
      <c r="Q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4">
        <f>IF(OR(F490="",K490=""),"",(K490-F490)/F490)</f>
        <v/>
      </c>
      <c r="M490" s="4">
        <f>IF(OR(F490="",G490=""),"",(G490-F490)/F490)</f>
        <v/>
      </c>
      <c r="N490" s="6">
        <f>IF(OR(F490="",G490="",H490=""),"",(H490-F490)/(F490-G490))</f>
        <v/>
      </c>
      <c r="O490" s="2" t="n"/>
      <c r="P490" s="2" t="n"/>
      <c r="Q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4">
        <f>IF(OR(F491="",K491=""),"",(K491-F491)/F491)</f>
        <v/>
      </c>
      <c r="M491" s="4">
        <f>IF(OR(F491="",G491=""),"",(G491-F491)/F491)</f>
        <v/>
      </c>
      <c r="N491" s="6">
        <f>IF(OR(F491="",G491="",H491=""),"",(H491-F491)/(F491-G491))</f>
        <v/>
      </c>
      <c r="O491" s="2" t="n"/>
      <c r="P491" s="2" t="n"/>
      <c r="Q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4">
        <f>IF(OR(F492="",K492=""),"",(K492-F492)/F492)</f>
        <v/>
      </c>
      <c r="M492" s="4">
        <f>IF(OR(F492="",G492=""),"",(G492-F492)/F492)</f>
        <v/>
      </c>
      <c r="N492" s="6">
        <f>IF(OR(F492="",G492="",H492=""),"",(H492-F492)/(F492-G492))</f>
        <v/>
      </c>
      <c r="O492" s="2" t="n"/>
      <c r="P492" s="2" t="n"/>
      <c r="Q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4">
        <f>IF(OR(F493="",K493=""),"",(K493-F493)/F493)</f>
        <v/>
      </c>
      <c r="M493" s="4">
        <f>IF(OR(F493="",G493=""),"",(G493-F493)/F493)</f>
        <v/>
      </c>
      <c r="N493" s="6">
        <f>IF(OR(F493="",G493="",H493=""),"",(H493-F493)/(F493-G493))</f>
        <v/>
      </c>
      <c r="O493" s="2" t="n"/>
      <c r="P493" s="2" t="n"/>
      <c r="Q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4">
        <f>IF(OR(F494="",K494=""),"",(K494-F494)/F494)</f>
        <v/>
      </c>
      <c r="M494" s="4">
        <f>IF(OR(F494="",G494=""),"",(G494-F494)/F494)</f>
        <v/>
      </c>
      <c r="N494" s="6">
        <f>IF(OR(F494="",G494="",H494=""),"",(H494-F494)/(F494-G494))</f>
        <v/>
      </c>
      <c r="O494" s="2" t="n"/>
      <c r="P494" s="2" t="n"/>
      <c r="Q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4">
        <f>IF(OR(F495="",K495=""),"",(K495-F495)/F495)</f>
        <v/>
      </c>
      <c r="M495" s="4">
        <f>IF(OR(F495="",G495=""),"",(G495-F495)/F495)</f>
        <v/>
      </c>
      <c r="N495" s="6">
        <f>IF(OR(F495="",G495="",H495=""),"",(H495-F495)/(F495-G495))</f>
        <v/>
      </c>
      <c r="O495" s="2" t="n"/>
      <c r="P495" s="2" t="n"/>
      <c r="Q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4">
        <f>IF(OR(F496="",K496=""),"",(K496-F496)/F496)</f>
        <v/>
      </c>
      <c r="M496" s="4">
        <f>IF(OR(F496="",G496=""),"",(G496-F496)/F496)</f>
        <v/>
      </c>
      <c r="N496" s="6">
        <f>IF(OR(F496="",G496="",H496=""),"",(H496-F496)/(F496-G496))</f>
        <v/>
      </c>
      <c r="O496" s="2" t="n"/>
      <c r="P496" s="2" t="n"/>
      <c r="Q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4">
        <f>IF(OR(F497="",K497=""),"",(K497-F497)/F497)</f>
        <v/>
      </c>
      <c r="M497" s="4">
        <f>IF(OR(F497="",G497=""),"",(G497-F497)/F497)</f>
        <v/>
      </c>
      <c r="N497" s="6">
        <f>IF(OR(F497="",G497="",H497=""),"",(H497-F497)/(F497-G497))</f>
        <v/>
      </c>
      <c r="O497" s="2" t="n"/>
      <c r="P497" s="2" t="n"/>
      <c r="Q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4">
        <f>IF(OR(F498="",K498=""),"",(K498-F498)/F498)</f>
        <v/>
      </c>
      <c r="M498" s="4">
        <f>IF(OR(F498="",G498=""),"",(G498-F498)/F498)</f>
        <v/>
      </c>
      <c r="N498" s="6">
        <f>IF(OR(F498="",G498="",H498=""),"",(H498-F498)/(F498-G498))</f>
        <v/>
      </c>
      <c r="O498" s="2" t="n"/>
      <c r="P498" s="2" t="n"/>
      <c r="Q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4">
        <f>IF(OR(F499="",K499=""),"",(K499-F499)/F499)</f>
        <v/>
      </c>
      <c r="M499" s="4">
        <f>IF(OR(F499="",G499=""),"",(G499-F499)/F499)</f>
        <v/>
      </c>
      <c r="N499" s="6">
        <f>IF(OR(F499="",G499="",H499=""),"",(H499-F499)/(F499-G499))</f>
        <v/>
      </c>
      <c r="O499" s="2" t="n"/>
      <c r="P499" s="2" t="n"/>
      <c r="Q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4">
        <f>IF(OR(F500="",K500=""),"",(K500-F500)/F500)</f>
        <v/>
      </c>
      <c r="M500" s="4">
        <f>IF(OR(F500="",G500=""),"",(G500-F500)/F500)</f>
        <v/>
      </c>
      <c r="N500" s="6">
        <f>IF(OR(F500="",G500="",H500=""),"",(H500-F500)/(F500-G500))</f>
        <v/>
      </c>
      <c r="O500" s="2" t="n"/>
      <c r="P500" s="2" t="n"/>
      <c r="Q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4">
        <f>IF(OR(F501="",K501=""),"",(K501-F501)/F501)</f>
        <v/>
      </c>
      <c r="M501" s="4">
        <f>IF(OR(F501="",G501=""),"",(G501-F501)/F501)</f>
        <v/>
      </c>
      <c r="N501" s="6">
        <f>IF(OR(F501="",G501="",H501=""),"",(H501-F501)/(F501-G501))</f>
        <v/>
      </c>
      <c r="O501" s="2" t="n"/>
      <c r="P501" s="2" t="n"/>
      <c r="Q501" s="2" t="n"/>
    </row>
  </sheetData>
  <autoFilter ref="A1:Q1"/>
  <conditionalFormatting sqref="L2:L501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O2:O501">
    <cfRule type="expression" priority="3" dxfId="0">
      <formula>$O2="成功"</formula>
    </cfRule>
    <cfRule type="expression" priority="4" dxfId="2">
      <formula>$O2="失败"</formula>
    </cfRule>
  </conditionalFormatting>
  <dataValidations count="3">
    <dataValidation sqref="I2:I501" showDropDown="0" showInputMessage="0" showErrorMessage="0" allowBlank="1" type="list">
      <formula1>=选项!$B$18:$E$18</formula1>
    </dataValidation>
    <dataValidation sqref="O2:O501" showDropDown="0" showInputMessage="0" showErrorMessage="0" allowBlank="1" type="list">
      <formula1>=选项!$B$19:$E$19</formula1>
    </dataValidation>
    <dataValidation sqref="P2:P501" showDropDown="0" showInputMessage="0" showErrorMessage="0" allowBlank="1" type="list">
      <formula1>=选项!$B$17:$J$17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指标</t>
        </is>
      </c>
      <c r="B1" s="3" t="inlineStr">
        <is>
          <t>当前统计</t>
        </is>
      </c>
      <c r="C1" s="2" t="n"/>
      <c r="D1" s="2" t="n"/>
      <c r="E1" s="2" t="n"/>
    </row>
    <row r="2">
      <c r="A2" s="2" t="inlineStr">
        <is>
          <t>板块观察记录数</t>
        </is>
      </c>
      <c r="B2" s="2">
        <f>COUNTA(板块观察!A2:A501)</f>
        <v/>
      </c>
      <c r="C2" s="2" t="n"/>
      <c r="D2" s="2" t="n"/>
      <c r="E2" s="2" t="n"/>
    </row>
    <row r="3">
      <c r="A3" s="2" t="inlineStr">
        <is>
          <t>平均板块分</t>
        </is>
      </c>
      <c r="B3" s="4">
        <f>IFERROR(AVERAGEIF(板块观察!N2:N501,"&gt;0"),"")</f>
        <v/>
      </c>
      <c r="C3" s="2" t="n"/>
      <c r="D3" s="2" t="n"/>
      <c r="E3" s="2" t="n"/>
    </row>
    <row r="4">
      <c r="A4" s="2" t="inlineStr">
        <is>
          <t>强板块数量(&gt;=7分)</t>
        </is>
      </c>
      <c r="B4" s="2">
        <f>COUNTIF(板块观察!N2:N501,"&gt;=7")</f>
        <v/>
      </c>
      <c r="C4" s="2" t="n"/>
      <c r="D4" s="2" t="n"/>
      <c r="E4" s="2" t="n"/>
    </row>
    <row r="5">
      <c r="A5" s="2" t="inlineStr">
        <is>
          <t>复盘记录数</t>
        </is>
      </c>
      <c r="B5" s="2">
        <f>COUNTA(每日复盘!A2:A501)</f>
        <v/>
      </c>
      <c r="C5" s="2" t="n"/>
      <c r="D5" s="2" t="n"/>
      <c r="E5" s="2" t="n"/>
    </row>
    <row r="6">
      <c r="A6" s="2" t="inlineStr">
        <is>
          <t>平均复盘完整度</t>
        </is>
      </c>
      <c r="B6" s="4">
        <f>IFERROR(AVERAGEIF(每日复盘!Z2:Z501,"&gt;0"),"")</f>
        <v/>
      </c>
      <c r="C6" s="2" t="n"/>
      <c r="D6" s="2" t="n"/>
      <c r="E6" s="2" t="n"/>
    </row>
    <row r="7">
      <c r="A7" s="2" t="inlineStr">
        <is>
          <t>验证记录数</t>
        </is>
      </c>
      <c r="B7" s="2">
        <f>COUNTA(事后验证!A2:A501)</f>
        <v/>
      </c>
      <c r="C7" s="2" t="n"/>
      <c r="D7" s="2" t="n"/>
      <c r="E7" s="2" t="n"/>
    </row>
    <row r="8">
      <c r="A8" s="2" t="inlineStr">
        <is>
          <t>判断正确</t>
        </is>
      </c>
      <c r="B8" s="2">
        <f>COUNTIF(事后验证!K2:K501,"正确")</f>
        <v/>
      </c>
      <c r="C8" s="2" t="n"/>
      <c r="D8" s="2" t="n"/>
      <c r="E8" s="2" t="n"/>
    </row>
    <row r="9">
      <c r="A9" s="2" t="inlineStr">
        <is>
          <t>部分正确</t>
        </is>
      </c>
      <c r="B9" s="2">
        <f>COUNTIF(事后验证!K2:K501,"部分正确")</f>
        <v/>
      </c>
      <c r="C9" s="2" t="n"/>
      <c r="D9" s="2" t="n"/>
      <c r="E9" s="2" t="n"/>
    </row>
    <row r="10">
      <c r="A10" s="2" t="inlineStr">
        <is>
          <t>判断错误</t>
        </is>
      </c>
      <c r="B10" s="2">
        <f>COUNTIF(事后验证!K2:K501,"错误")</f>
        <v/>
      </c>
      <c r="C10" s="2" t="n"/>
      <c r="D10" s="2" t="n"/>
      <c r="E10" s="2" t="n"/>
    </row>
    <row r="11">
      <c r="A11" s="2" t="inlineStr">
        <is>
          <t>模拟交易笔数</t>
        </is>
      </c>
      <c r="B11" s="2">
        <f>COUNTA(模拟交易!A2:A501)</f>
        <v/>
      </c>
      <c r="C11" s="2" t="n"/>
      <c r="D11" s="2" t="n"/>
      <c r="E11" s="2" t="n"/>
    </row>
    <row r="12">
      <c r="A12" s="2" t="inlineStr">
        <is>
          <t>已平仓成功</t>
        </is>
      </c>
      <c r="B12" s="2">
        <f>COUNTIF(模拟交易!O2:O501,"成功")</f>
        <v/>
      </c>
      <c r="C12" s="2" t="n"/>
      <c r="D12" s="2" t="n"/>
      <c r="E12" s="2" t="n"/>
    </row>
    <row r="13">
      <c r="A13" s="2" t="inlineStr">
        <is>
          <t>已平仓失败</t>
        </is>
      </c>
      <c r="B13" s="2">
        <f>COUNTIF(模拟交易!O2:O501,"失败")</f>
        <v/>
      </c>
      <c r="C13" s="2" t="n"/>
      <c r="D13" s="2" t="n"/>
      <c r="E13" s="2" t="n"/>
    </row>
    <row r="14">
      <c r="A14" s="2" t="inlineStr">
        <is>
          <t>模拟胜率</t>
        </is>
      </c>
      <c r="B14" s="4">
        <f>IFERROR(B12/(B12+B13),"")</f>
        <v/>
      </c>
      <c r="C14" s="2" t="n"/>
      <c r="D14" s="2" t="n"/>
      <c r="E14" s="2" t="n"/>
    </row>
    <row r="15">
      <c r="A15" s="7" t="inlineStr">
        <is>
          <t>平均收益率</t>
        </is>
      </c>
      <c r="B15" s="8">
        <f>IFERROR(AVERAGEIF(模拟交易!L2:L501,"&lt;&gt;"),"")</f>
        <v/>
      </c>
      <c r="C15" s="2" t="n"/>
      <c r="D15" s="2" t="n"/>
      <c r="E15" s="2" t="n"/>
    </row>
    <row r="16">
      <c r="A16" s="2" t="inlineStr">
        <is>
          <t>最大亏损</t>
        </is>
      </c>
      <c r="B16" s="4">
        <f>IFERROR(MIN(模拟交易!L2:L501),"")</f>
        <v/>
      </c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inlineStr">
        <is>
          <t>错误类型</t>
        </is>
      </c>
      <c r="B18" s="2" t="inlineStr">
        <is>
          <t>次数</t>
        </is>
      </c>
      <c r="C18" s="2" t="n"/>
      <c r="D18" s="2" t="n"/>
      <c r="E18" s="2" t="n"/>
    </row>
    <row r="19">
      <c r="A19" s="2" t="inlineStr">
        <is>
          <t>假突破误判</t>
        </is>
      </c>
      <c r="B19" s="2">
        <f>COUNTIF(事后验证!L2:L501,"假突破误判")+COUNTIF(模拟交易!P2:P501,"假突破误判")</f>
        <v/>
      </c>
      <c r="C19" s="2" t="n"/>
      <c r="D19" s="2" t="n"/>
      <c r="E19" s="2" t="n"/>
    </row>
    <row r="20">
      <c r="A20" s="2" t="inlineStr">
        <is>
          <t>低位突破确认不足</t>
        </is>
      </c>
      <c r="B20" s="2">
        <f>COUNTIF(事后验证!L2:L501,"低位突破确认不足")+COUNTIF(模拟交易!P2:P501,"低位突破确认不足")</f>
        <v/>
      </c>
      <c r="C20" s="2" t="n"/>
      <c r="D20" s="2" t="n"/>
      <c r="E20" s="2" t="n"/>
    </row>
    <row r="21">
      <c r="A21" s="2" t="inlineStr">
        <is>
          <t>支撑误判</t>
        </is>
      </c>
      <c r="B21" s="2">
        <f>COUNTIF(事后验证!L2:L501,"支撑误判")+COUNTIF(模拟交易!P2:P501,"支撑误判")</f>
        <v/>
      </c>
      <c r="C21" s="2" t="n"/>
      <c r="D21" s="2" t="n"/>
      <c r="E21" s="2" t="n"/>
    </row>
    <row r="22">
      <c r="A22" s="2" t="inlineStr">
        <is>
          <t>买入过早</t>
        </is>
      </c>
      <c r="B22" s="2">
        <f>COUNTIF(事后验证!L2:L501,"买入过早")+COUNTIF(模拟交易!P2:P501,"买入过早")</f>
        <v/>
      </c>
      <c r="C22" s="2" t="n"/>
      <c r="D22" s="2" t="n"/>
      <c r="E22" s="2" t="n"/>
    </row>
    <row r="23">
      <c r="A23" s="2" t="inlineStr">
        <is>
          <t>放量滞涨后退出慢</t>
        </is>
      </c>
      <c r="B23" s="2">
        <f>COUNTIF(事后验证!L2:L501,"放量滞涨后退出慢")+COUNTIF(模拟交易!P2:P501,"放量滞涨后退出慢")</f>
        <v/>
      </c>
      <c r="C23" s="2" t="n"/>
      <c r="D23" s="2" t="n"/>
      <c r="E23" s="2" t="n"/>
    </row>
    <row r="24">
      <c r="A24" s="2" t="inlineStr">
        <is>
          <t>板块强弱误判</t>
        </is>
      </c>
      <c r="B24" s="2">
        <f>COUNTIF(事后验证!L2:L501,"板块强弱误判")+COUNTIF(模拟交易!P2:P501,"板块强弱误判")</f>
        <v/>
      </c>
      <c r="C24" s="2" t="n"/>
      <c r="D24" s="2" t="n"/>
      <c r="E24" s="2" t="n"/>
    </row>
    <row r="25">
      <c r="A25" s="2" t="inlineStr">
        <is>
          <t>成交量理解错误</t>
        </is>
      </c>
      <c r="B25" s="2">
        <f>COUNTIF(事后验证!L2:L501,"成交量理解错误")+COUNTIF(模拟交易!P2:P501,"成交量理解错误")</f>
        <v/>
      </c>
      <c r="C25" s="2" t="n"/>
      <c r="D25" s="2" t="n"/>
      <c r="E25" s="2" t="n"/>
    </row>
    <row r="26">
      <c r="A26" s="2" t="inlineStr">
        <is>
          <t>减仓偏早</t>
        </is>
      </c>
      <c r="B26" s="2">
        <f>COUNTIF(事后验证!L2:L501,"减仓偏早")+COUNTIF(模拟交易!P2:P501,"减仓偏早")</f>
        <v/>
      </c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9" t="inlineStr">
        <is>
          <t>板块阶段统计</t>
        </is>
      </c>
      <c r="B28" s="2" t="n"/>
      <c r="C28" s="2" t="n"/>
      <c r="D28" s="2" t="n"/>
      <c r="E28" s="2" t="n"/>
    </row>
    <row r="29">
      <c r="A29" s="7" t="inlineStr">
        <is>
          <t>板块阶段</t>
        </is>
      </c>
      <c r="B29" s="7" t="inlineStr">
        <is>
          <t>样本数</t>
        </is>
      </c>
      <c r="C29" s="7" t="inlineStr">
        <is>
          <t>平均板块分</t>
        </is>
      </c>
      <c r="D29" s="2" t="n"/>
      <c r="E29" s="2" t="n"/>
    </row>
    <row r="30">
      <c r="A30" s="2" t="inlineStr">
        <is>
          <t>新启动</t>
        </is>
      </c>
      <c r="B30" s="2">
        <f>COUNTIF(板块观察!O2:O501,"新启动")</f>
        <v/>
      </c>
      <c r="C30" s="2">
        <f>IFERROR(AVERAGEIF(板块观察!O2:O501,"新启动",板块观察!N2:N501),"")</f>
        <v/>
      </c>
      <c r="D30" s="2" t="n"/>
      <c r="E30" s="2" t="n"/>
    </row>
    <row r="31">
      <c r="A31" s="2" t="inlineStr">
        <is>
          <t>主升初期</t>
        </is>
      </c>
      <c r="B31" s="2">
        <f>COUNTIF(板块观察!O2:O501,"主升初期")</f>
        <v/>
      </c>
      <c r="C31" s="2">
        <f>IFERROR(AVERAGEIF(板块观察!O2:O501,"主升初期",板块观察!N2:N501),"")</f>
        <v/>
      </c>
      <c r="D31" s="2" t="n"/>
      <c r="E31" s="2" t="n"/>
    </row>
    <row r="32">
      <c r="A32" s="2" t="inlineStr">
        <is>
          <t>主升中段</t>
        </is>
      </c>
      <c r="B32" s="2">
        <f>COUNTIF(板块观察!O2:O501,"主升中段")</f>
        <v/>
      </c>
      <c r="C32" s="2">
        <f>IFERROR(AVERAGEIF(板块观察!O2:O501,"主升中段",板块观察!N2:N501),"")</f>
        <v/>
      </c>
      <c r="D32" s="2" t="n"/>
      <c r="E32" s="2" t="n"/>
    </row>
    <row r="33">
      <c r="A33" s="2" t="inlineStr">
        <is>
          <t>高潮加速</t>
        </is>
      </c>
      <c r="B33" s="2">
        <f>COUNTIF(板块观察!O2:O501,"高潮加速")</f>
        <v/>
      </c>
      <c r="C33" s="2">
        <f>IFERROR(AVERAGEIF(板块观察!O2:O501,"高潮加速",板块观察!N2:N501),"")</f>
        <v/>
      </c>
      <c r="D33" s="2" t="n"/>
      <c r="E33" s="2" t="n"/>
    </row>
    <row r="34">
      <c r="A34" s="2" t="inlineStr">
        <is>
          <t>高位震荡</t>
        </is>
      </c>
      <c r="B34" s="2">
        <f>COUNTIF(板块观察!O2:O501,"高位震荡")</f>
        <v/>
      </c>
      <c r="C34" s="2">
        <f>IFERROR(AVERAGEIF(板块观察!O2:O501,"高位震荡",板块观察!N2:N501),"")</f>
        <v/>
      </c>
      <c r="D34" s="2" t="n"/>
      <c r="E34" s="2" t="n"/>
    </row>
    <row r="35">
      <c r="A35" s="2" t="inlineStr">
        <is>
          <t>退潮</t>
        </is>
      </c>
      <c r="B35" s="2">
        <f>COUNTIF(板块观察!O2:O501,"退潮")</f>
        <v/>
      </c>
      <c r="C35" s="2">
        <f>IFERROR(AVERAGEIF(板块观察!O2:O501,"退潮",板块观察!N2:N501),"")</f>
        <v/>
      </c>
      <c r="D35" s="2" t="n"/>
      <c r="E35" s="2" t="n"/>
    </row>
    <row r="36">
      <c r="A36" s="2" t="inlineStr">
        <is>
          <t>待观察</t>
        </is>
      </c>
      <c r="B36" s="2">
        <f>COUNTIF(板块观察!O2:O501,"待观察")</f>
        <v/>
      </c>
      <c r="C36" s="2">
        <f>IFERROR(AVERAGEIF(板块观察!O2:O501,"待观察",板块观察!N2:N501),"")</f>
        <v/>
      </c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9" t="inlineStr">
        <is>
          <t>个股类型统计</t>
        </is>
      </c>
      <c r="B38" s="2" t="n"/>
      <c r="C38" s="2" t="n"/>
      <c r="D38" s="2" t="n"/>
      <c r="E38" s="2" t="n"/>
    </row>
    <row r="39">
      <c r="A39" s="7" t="inlineStr">
        <is>
          <t>个股类型</t>
        </is>
      </c>
      <c r="B39" s="7" t="inlineStr">
        <is>
          <t>复盘样本</t>
        </is>
      </c>
      <c r="C39" s="7" t="inlineStr">
        <is>
          <t>强于板块</t>
        </is>
      </c>
      <c r="D39" s="7" t="inlineStr">
        <is>
          <t>同步板块</t>
        </is>
      </c>
      <c r="E39" s="7" t="inlineStr">
        <is>
          <t>弱于板块</t>
        </is>
      </c>
    </row>
    <row r="40">
      <c r="A40" s="2" t="inlineStr">
        <is>
          <t>领涨股</t>
        </is>
      </c>
      <c r="B40" s="2">
        <f>COUNTIF(每日复盘!J2:J501,"领涨股")</f>
        <v/>
      </c>
      <c r="C40" s="2">
        <f>COUNTIFS(每日复盘!J2:J501,"领涨股",每日复盘!K2:K501,"强于板块")</f>
        <v/>
      </c>
      <c r="D40" s="2">
        <f>COUNTIFS(每日复盘!J2:J501,"领涨股",每日复盘!K2:K501,"同步板块")</f>
        <v/>
      </c>
      <c r="E40" s="2">
        <f>COUNTIFS(每日复盘!J2:J501,"领涨股",每日复盘!K2:K501,"弱于板块")</f>
        <v/>
      </c>
    </row>
    <row r="41">
      <c r="A41" s="2" t="inlineStr">
        <is>
          <t>健康回调股</t>
        </is>
      </c>
      <c r="B41" s="2">
        <f>COUNTIF(每日复盘!J2:J501,"健康回调股")</f>
        <v/>
      </c>
      <c r="C41" s="2">
        <f>COUNTIFS(每日复盘!J2:J501,"健康回调股",每日复盘!K2:K501,"强于板块")</f>
        <v/>
      </c>
      <c r="D41" s="2">
        <f>COUNTIFS(每日复盘!J2:J501,"健康回调股",每日复盘!K2:K501,"同步板块")</f>
        <v/>
      </c>
      <c r="E41" s="2">
        <f>COUNTIFS(每日复盘!J2:J501,"健康回调股",每日复盘!K2:K501,"弱于板块")</f>
        <v/>
      </c>
    </row>
    <row r="42">
      <c r="A42" s="2" t="inlineStr">
        <is>
          <t>补涨股</t>
        </is>
      </c>
      <c r="B42" s="2">
        <f>COUNTIF(每日复盘!J2:J501,"补涨股")</f>
        <v/>
      </c>
      <c r="C42" s="2">
        <f>COUNTIFS(每日复盘!J2:J501,"补涨股",每日复盘!K2:K501,"强于板块")</f>
        <v/>
      </c>
      <c r="D42" s="2">
        <f>COUNTIFS(每日复盘!J2:J501,"补涨股",每日复盘!K2:K501,"同步板块")</f>
        <v/>
      </c>
      <c r="E42" s="2">
        <f>COUNTIFS(每日复盘!J2:J501,"补涨股",每日复盘!K2:K501,"弱于板块")</f>
        <v/>
      </c>
    </row>
    <row r="43">
      <c r="A43" s="2" t="inlineStr">
        <is>
          <t>跟风股</t>
        </is>
      </c>
      <c r="B43" s="2">
        <f>COUNTIF(每日复盘!J2:J501,"跟风股")</f>
        <v/>
      </c>
      <c r="C43" s="2">
        <f>COUNTIFS(每日复盘!J2:J501,"跟风股",每日复盘!K2:K501,"强于板块")</f>
        <v/>
      </c>
      <c r="D43" s="2">
        <f>COUNTIFS(每日复盘!J2:J501,"跟风股",每日复盘!K2:K501,"同步板块")</f>
        <v/>
      </c>
      <c r="E43" s="2">
        <f>COUNTIFS(每日复盘!J2:J501,"跟风股",每日复盘!K2:K501,"弱于板块")</f>
        <v/>
      </c>
    </row>
    <row r="44">
      <c r="A44" s="2" t="inlineStr">
        <is>
          <t>弱反弹股</t>
        </is>
      </c>
      <c r="B44" s="2">
        <f>COUNTIF(每日复盘!J2:J501,"弱反弹股")</f>
        <v/>
      </c>
      <c r="C44" s="2">
        <f>COUNTIFS(每日复盘!J2:J501,"弱反弹股",每日复盘!K2:K501,"强于板块")</f>
        <v/>
      </c>
      <c r="D44" s="2">
        <f>COUNTIFS(每日复盘!J2:J501,"弱反弹股",每日复盘!K2:K501,"同步板块")</f>
        <v/>
      </c>
      <c r="E44" s="2">
        <f>COUNTIFS(每日复盘!J2:J501,"弱反弹股",每日复盘!K2:K501,"弱于板块")</f>
        <v/>
      </c>
    </row>
    <row r="45">
      <c r="A45" s="2" t="inlineStr">
        <is>
          <t>未分类</t>
        </is>
      </c>
      <c r="B45" s="2">
        <f>COUNTIF(每日复盘!J2:J501,"未分类")</f>
        <v/>
      </c>
      <c r="C45" s="2">
        <f>COUNTIFS(每日复盘!J2:J501,"未分类",每日复盘!K2:K501,"强于板块")</f>
        <v/>
      </c>
      <c r="D45" s="2">
        <f>COUNTIFS(每日复盘!J2:J501,"未分类",每日复盘!K2:K501,"同步板块")</f>
        <v/>
      </c>
      <c r="E45" s="2">
        <f>COUNTIFS(每日复盘!J2:J501,"未分类",每日复盘!K2:K501,"弱于板块")</f>
        <v/>
      </c>
    </row>
    <row r="46">
      <c r="A46" s="2" t="n"/>
      <c r="B46" s="2" t="n"/>
      <c r="C46" s="2" t="n"/>
      <c r="D46" s="2" t="n"/>
      <c r="E46" s="2" t="n"/>
    </row>
    <row r="47">
      <c r="A47" s="9" t="inlineStr">
        <is>
          <t>结构统计</t>
        </is>
      </c>
      <c r="B47" s="2" t="n"/>
      <c r="C47" s="2" t="n"/>
      <c r="D47" s="2" t="n"/>
      <c r="E47" s="2" t="n"/>
    </row>
    <row r="48">
      <c r="A48" s="7" t="inlineStr">
        <is>
          <t>个股结构</t>
        </is>
      </c>
      <c r="B48" s="7" t="inlineStr">
        <is>
          <t>复盘样本</t>
        </is>
      </c>
      <c r="C48" s="7" t="inlineStr">
        <is>
          <t>正确</t>
        </is>
      </c>
      <c r="D48" s="7" t="inlineStr">
        <is>
          <t>部分正确</t>
        </is>
      </c>
      <c r="E48" s="7" t="inlineStr">
        <is>
          <t>错误</t>
        </is>
      </c>
    </row>
    <row r="49">
      <c r="A49" s="2" t="inlineStr">
        <is>
          <t>上升趋势</t>
        </is>
      </c>
      <c r="B49" s="2">
        <f>COUNTIF(每日复盘!N2:N501,"上升趋势")</f>
        <v/>
      </c>
      <c r="C49" s="2">
        <f>COUNTIFS(事后验证!E2:E501,"上升趋势",事后验证!K2:K501,"正确")</f>
        <v/>
      </c>
      <c r="D49" s="2">
        <f>COUNTIFS(事后验证!E2:E501,"上升趋势",事后验证!K2:K501,"部分正确")</f>
        <v/>
      </c>
      <c r="E49" s="2">
        <f>COUNTIFS(事后验证!E2:E501,"上升趋势",事后验证!K2:K501,"错误")</f>
        <v/>
      </c>
    </row>
    <row r="50">
      <c r="A50" s="2" t="inlineStr">
        <is>
          <t>震荡</t>
        </is>
      </c>
      <c r="B50" s="2">
        <f>COUNTIF(每日复盘!N2:N501,"震荡")</f>
        <v/>
      </c>
      <c r="C50" s="2">
        <f>COUNTIFS(事后验证!E2:E501,"震荡",事后验证!K2:K501,"正确")</f>
        <v/>
      </c>
      <c r="D50" s="2">
        <f>COUNTIFS(事后验证!E2:E501,"震荡",事后验证!K2:K501,"部分正确")</f>
        <v/>
      </c>
      <c r="E50" s="2">
        <f>COUNTIFS(事后验证!E2:E501,"震荡",事后验证!K2:K501,"错误")</f>
        <v/>
      </c>
    </row>
    <row r="51">
      <c r="A51" s="2" t="inlineStr">
        <is>
          <t>下降逆转</t>
        </is>
      </c>
      <c r="B51" s="2">
        <f>COUNTIF(每日复盘!N2:N501,"下降逆转")</f>
        <v/>
      </c>
      <c r="C51" s="2">
        <f>COUNTIFS(事后验证!E2:E501,"下降逆转",事后验证!K2:K501,"正确")</f>
        <v/>
      </c>
      <c r="D51" s="2">
        <f>COUNTIFS(事后验证!E2:E501,"下降逆转",事后验证!K2:K501,"部分正确")</f>
        <v/>
      </c>
      <c r="E51" s="2">
        <f>COUNTIFS(事后验证!E2:E501,"下降逆转",事后验证!K2:K501,"错误")</f>
        <v/>
      </c>
    </row>
    <row r="52">
      <c r="A52" s="2" t="inlineStr">
        <is>
          <t>箱体突破初期</t>
        </is>
      </c>
      <c r="B52" s="2">
        <f>COUNTIF(每日复盘!N2:N501,"箱体突破初期")</f>
        <v/>
      </c>
      <c r="C52" s="2">
        <f>COUNTIFS(事后验证!E2:E501,"箱体突破初期",事后验证!K2:K501,"正确")</f>
        <v/>
      </c>
      <c r="D52" s="2">
        <f>COUNTIFS(事后验证!E2:E501,"箱体突破初期",事后验证!K2:K501,"部分正确")</f>
        <v/>
      </c>
      <c r="E52" s="2">
        <f>COUNTIFS(事后验证!E2:E501,"箱体突破初期",事后验证!K2:K501,"错误")</f>
        <v/>
      </c>
    </row>
    <row r="53">
      <c r="A53" s="2" t="inlineStr">
        <is>
          <t>突破后回踩</t>
        </is>
      </c>
      <c r="B53" s="2">
        <f>COUNTIF(每日复盘!N2:N501,"突破后回踩")</f>
        <v/>
      </c>
      <c r="C53" s="2">
        <f>COUNTIFS(事后验证!E2:E501,"突破后回踩",事后验证!K2:K501,"正确")</f>
        <v/>
      </c>
      <c r="D53" s="2">
        <f>COUNTIFS(事后验证!E2:E501,"突破后回踩",事后验证!K2:K501,"部分正确")</f>
        <v/>
      </c>
      <c r="E53" s="2">
        <f>COUNTIFS(事后验证!E2:E501,"突破后回踩",事后验证!K2:K501,"错误")</f>
        <v/>
      </c>
    </row>
    <row r="54">
      <c r="A54" s="2" t="inlineStr">
        <is>
          <t>下降趋势</t>
        </is>
      </c>
      <c r="B54" s="2">
        <f>COUNTIF(每日复盘!N2:N501,"下降趋势")</f>
        <v/>
      </c>
      <c r="C54" s="2">
        <f>COUNTIFS(事后验证!E2:E501,"下降趋势",事后验证!K2:K501,"正确")</f>
        <v/>
      </c>
      <c r="D54" s="2">
        <f>COUNTIFS(事后验证!E2:E501,"下降趋势",事后验证!K2:K501,"部分正确")</f>
        <v/>
      </c>
      <c r="E54" s="2">
        <f>COUNTIFS(事后验证!E2:E501,"下降趋势",事后验证!K2:K501,"错误")</f>
        <v/>
      </c>
    </row>
    <row r="55">
      <c r="A55" s="2" t="inlineStr">
        <is>
          <t>假突破</t>
        </is>
      </c>
      <c r="B55" s="2">
        <f>COUNTIF(每日复盘!N2:N501,"假突破")</f>
        <v/>
      </c>
      <c r="C55" s="2">
        <f>COUNTIFS(事后验证!E2:E501,"假突破",事后验证!K2:K501,"正确")</f>
        <v/>
      </c>
      <c r="D55" s="2">
        <f>COUNTIFS(事后验证!E2:E501,"假突破",事后验证!K2:K501,"部分正确")</f>
        <v/>
      </c>
      <c r="E55" s="2">
        <f>COUNTIFS(事后验证!E2:E501,"假突破",事后验证!K2:K501,"错误")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大盘状态</t>
        </is>
      </c>
      <c r="B1" t="inlineStr">
        <is>
          <t>上升</t>
        </is>
      </c>
      <c r="C1" t="inlineStr">
        <is>
          <t>震荡偏强</t>
        </is>
      </c>
      <c r="D1" t="inlineStr">
        <is>
          <t>震荡</t>
        </is>
      </c>
      <c r="E1" t="inlineStr">
        <is>
          <t>震荡偏弱</t>
        </is>
      </c>
      <c r="F1" t="inlineStr">
        <is>
          <t>下降</t>
        </is>
      </c>
    </row>
    <row r="2">
      <c r="A2" s="10" t="inlineStr">
        <is>
          <t>市场量能</t>
        </is>
      </c>
      <c r="B2" t="inlineStr">
        <is>
          <t>放量</t>
        </is>
      </c>
      <c r="C2" t="inlineStr">
        <is>
          <t>平量</t>
        </is>
      </c>
      <c r="D2" t="inlineStr">
        <is>
          <t>缩量</t>
        </is>
      </c>
      <c r="E2" t="inlineStr">
        <is>
          <t>不明确</t>
        </is>
      </c>
    </row>
    <row r="3">
      <c r="A3" s="10" t="inlineStr">
        <is>
          <t>板块类型</t>
        </is>
      </c>
      <c r="B3" t="inlineStr">
        <is>
          <t>行业</t>
        </is>
      </c>
      <c r="C3" t="inlineStr">
        <is>
          <t>概念</t>
        </is>
      </c>
    </row>
    <row r="4">
      <c r="A4" s="10" t="inlineStr">
        <is>
          <t>板块阶段</t>
        </is>
      </c>
      <c r="B4" t="inlineStr">
        <is>
          <t>新启动</t>
        </is>
      </c>
      <c r="C4" t="inlineStr">
        <is>
          <t>主升初期</t>
        </is>
      </c>
      <c r="D4" t="inlineStr">
        <is>
          <t>主升中段</t>
        </is>
      </c>
      <c r="E4" t="inlineStr">
        <is>
          <t>高潮加速</t>
        </is>
      </c>
      <c r="F4" t="inlineStr">
        <is>
          <t>高位震荡</t>
        </is>
      </c>
      <c r="G4" t="inlineStr">
        <is>
          <t>退潮</t>
        </is>
      </c>
      <c r="H4" t="inlineStr">
        <is>
          <t>待观察</t>
        </is>
      </c>
    </row>
    <row r="5">
      <c r="A5" s="10" t="inlineStr">
        <is>
          <t>板块状态</t>
        </is>
      </c>
      <c r="B5" t="inlineStr">
        <is>
          <t>强</t>
        </is>
      </c>
      <c r="C5" t="inlineStr">
        <is>
          <t>一般</t>
        </is>
      </c>
      <c r="D5" t="inlineStr">
        <is>
          <t>弱</t>
        </is>
      </c>
    </row>
    <row r="6">
      <c r="A6" s="10" t="inlineStr">
        <is>
          <t>个股类型</t>
        </is>
      </c>
      <c r="B6" t="inlineStr">
        <is>
          <t>领涨股</t>
        </is>
      </c>
      <c r="C6" t="inlineStr">
        <is>
          <t>健康回调股</t>
        </is>
      </c>
      <c r="D6" t="inlineStr">
        <is>
          <t>补涨股</t>
        </is>
      </c>
      <c r="E6" t="inlineStr">
        <is>
          <t>跟风股</t>
        </is>
      </c>
      <c r="F6" t="inlineStr">
        <is>
          <t>弱反弹股</t>
        </is>
      </c>
      <c r="G6" t="inlineStr">
        <is>
          <t>未分类</t>
        </is>
      </c>
    </row>
    <row r="7">
      <c r="A7" s="10" t="inlineStr">
        <is>
          <t>相对强弱</t>
        </is>
      </c>
      <c r="B7" t="inlineStr">
        <is>
          <t>强于板块</t>
        </is>
      </c>
      <c r="C7" t="inlineStr">
        <is>
          <t>同步板块</t>
        </is>
      </c>
      <c r="D7" t="inlineStr">
        <is>
          <t>弱于板块</t>
        </is>
      </c>
      <c r="E7" t="inlineStr">
        <is>
          <t>不明确</t>
        </is>
      </c>
    </row>
    <row r="8">
      <c r="A8" s="10" t="inlineStr">
        <is>
          <t>个股结构</t>
        </is>
      </c>
      <c r="B8" t="inlineStr">
        <is>
          <t>上升趋势</t>
        </is>
      </c>
      <c r="C8" t="inlineStr">
        <is>
          <t>下降趋势</t>
        </is>
      </c>
      <c r="D8" t="inlineStr">
        <is>
          <t>震荡</t>
        </is>
      </c>
      <c r="E8" t="inlineStr">
        <is>
          <t>下降逆转</t>
        </is>
      </c>
      <c r="F8" t="inlineStr">
        <is>
          <t>箱体突破初期</t>
        </is>
      </c>
      <c r="G8" t="inlineStr">
        <is>
          <t>突破后回踩</t>
        </is>
      </c>
      <c r="H8" t="inlineStr">
        <is>
          <t>假突破</t>
        </is>
      </c>
      <c r="I8" t="inlineStr">
        <is>
          <t>高位整理</t>
        </is>
      </c>
      <c r="J8" t="inlineStr">
        <is>
          <t>未分类</t>
        </is>
      </c>
    </row>
    <row r="9">
      <c r="A9" s="10" t="inlineStr">
        <is>
          <t>均线</t>
        </is>
      </c>
      <c r="B9" t="inlineStr">
        <is>
          <t>5日&gt;20日</t>
        </is>
      </c>
      <c r="C9" t="inlineStr">
        <is>
          <t>5日接近20日</t>
        </is>
      </c>
      <c r="D9" t="inlineStr">
        <is>
          <t>5日&lt;20日</t>
        </is>
      </c>
    </row>
    <row r="10">
      <c r="A10" s="10" t="inlineStr">
        <is>
          <t>MACD</t>
        </is>
      </c>
      <c r="B10" t="inlineStr">
        <is>
          <t>金叉向上</t>
        </is>
      </c>
      <c r="C10" t="inlineStr">
        <is>
          <t>金叉初现</t>
        </is>
      </c>
      <c r="D10" t="inlineStr">
        <is>
          <t>红柱扩大</t>
        </is>
      </c>
      <c r="E10" t="inlineStr">
        <is>
          <t>红柱缩短</t>
        </is>
      </c>
      <c r="F10" t="inlineStr">
        <is>
          <t>绿柱缩短</t>
        </is>
      </c>
      <c r="G10" t="inlineStr">
        <is>
          <t>绿柱扩大</t>
        </is>
      </c>
      <c r="H10" t="inlineStr">
        <is>
          <t>死叉</t>
        </is>
      </c>
      <c r="I10" t="inlineStr">
        <is>
          <t>不明确</t>
        </is>
      </c>
    </row>
    <row r="11">
      <c r="A11" s="10" t="inlineStr">
        <is>
          <t>成交量</t>
        </is>
      </c>
      <c r="B11" t="inlineStr">
        <is>
          <t>放量上涨</t>
        </is>
      </c>
      <c r="C11" t="inlineStr">
        <is>
          <t>缩量上涨</t>
        </is>
      </c>
      <c r="D11" t="inlineStr">
        <is>
          <t>放量下跌</t>
        </is>
      </c>
      <c r="E11" t="inlineStr">
        <is>
          <t>缩量回调</t>
        </is>
      </c>
      <c r="F11" t="inlineStr">
        <is>
          <t>放量滞涨</t>
        </is>
      </c>
      <c r="G11" t="inlineStr">
        <is>
          <t>平量</t>
        </is>
      </c>
      <c r="H11" t="inlineStr">
        <is>
          <t>不明确</t>
        </is>
      </c>
    </row>
    <row r="12">
      <c r="A12" s="10" t="inlineStr">
        <is>
          <t>模拟动作</t>
        </is>
      </c>
      <c r="B12" t="inlineStr">
        <is>
          <t>仅观察</t>
        </is>
      </c>
      <c r="C12" t="inlineStr">
        <is>
          <t>试错买入</t>
        </is>
      </c>
      <c r="D12" t="inlineStr">
        <is>
          <t>等回踩</t>
        </is>
      </c>
      <c r="E12" t="inlineStr">
        <is>
          <t>加仓</t>
        </is>
      </c>
      <c r="F12" t="inlineStr">
        <is>
          <t>减仓</t>
        </is>
      </c>
      <c r="G12" t="inlineStr">
        <is>
          <t>退出</t>
        </is>
      </c>
      <c r="H12" t="inlineStr">
        <is>
          <t>持有模拟</t>
        </is>
      </c>
    </row>
    <row r="13">
      <c r="A13" s="10" t="inlineStr">
        <is>
          <t>状态色</t>
        </is>
      </c>
      <c r="B13" t="inlineStr">
        <is>
          <t>绿-确认</t>
        </is>
      </c>
      <c r="C13" t="inlineStr">
        <is>
          <t>黄-待确认</t>
        </is>
      </c>
      <c r="D13" t="inlineStr">
        <is>
          <t>红-失效</t>
        </is>
      </c>
      <c r="E13" t="inlineStr">
        <is>
          <t>灰-观察</t>
        </is>
      </c>
    </row>
    <row r="14">
      <c r="A14" s="10" t="inlineStr">
        <is>
          <t>验证节点</t>
        </is>
      </c>
      <c r="B14" t="inlineStr">
        <is>
          <t>3日</t>
        </is>
      </c>
      <c r="C14" t="inlineStr">
        <is>
          <t>5日</t>
        </is>
      </c>
      <c r="D14" t="inlineStr">
        <is>
          <t>10日</t>
        </is>
      </c>
    </row>
    <row r="15">
      <c r="A15" s="10" t="inlineStr">
        <is>
          <t>实际走势归类</t>
        </is>
      </c>
      <c r="B15" t="inlineStr">
        <is>
          <t>强走势</t>
        </is>
      </c>
      <c r="C15" t="inlineStr">
        <is>
          <t>中性走势</t>
        </is>
      </c>
      <c r="D15" t="inlineStr">
        <is>
          <t>弱走势</t>
        </is>
      </c>
      <c r="E15" t="inlineStr">
        <is>
          <t>未触发</t>
        </is>
      </c>
    </row>
    <row r="16">
      <c r="A16" s="10" t="inlineStr">
        <is>
          <t>判断结果</t>
        </is>
      </c>
      <c r="B16" t="inlineStr">
        <is>
          <t>正确</t>
        </is>
      </c>
      <c r="C16" t="inlineStr">
        <is>
          <t>部分正确</t>
        </is>
      </c>
      <c r="D16" t="inlineStr">
        <is>
          <t>错误</t>
        </is>
      </c>
      <c r="E16" t="inlineStr">
        <is>
          <t>待验证</t>
        </is>
      </c>
    </row>
    <row r="17">
      <c r="A17" s="10" t="inlineStr">
        <is>
          <t>错误归因</t>
        </is>
      </c>
      <c r="B17" t="inlineStr">
        <is>
          <t>无</t>
        </is>
      </c>
      <c r="C17" t="inlineStr">
        <is>
          <t>假突破误判</t>
        </is>
      </c>
      <c r="D17" t="inlineStr">
        <is>
          <t>低位突破确认不足</t>
        </is>
      </c>
      <c r="E17" t="inlineStr">
        <is>
          <t>支撑误判</t>
        </is>
      </c>
      <c r="F17" t="inlineStr">
        <is>
          <t>买入过早</t>
        </is>
      </c>
      <c r="G17" t="inlineStr">
        <is>
          <t>放量滞涨后退出慢</t>
        </is>
      </c>
      <c r="H17" t="inlineStr">
        <is>
          <t>板块强弱误判</t>
        </is>
      </c>
      <c r="I17" t="inlineStr">
        <is>
          <t>成交量理解错误</t>
        </is>
      </c>
      <c r="J17" t="inlineStr">
        <is>
          <t>减仓偏早</t>
        </is>
      </c>
    </row>
    <row r="18">
      <c r="A18" s="10" t="inlineStr">
        <is>
          <t>仓位类型</t>
        </is>
      </c>
      <c r="B18" t="inlineStr">
        <is>
          <t>观察仓</t>
        </is>
      </c>
      <c r="C18" t="inlineStr">
        <is>
          <t>试错仓</t>
        </is>
      </c>
      <c r="D18" t="inlineStr">
        <is>
          <t>确认仓</t>
        </is>
      </c>
      <c r="E18" t="inlineStr">
        <is>
          <t>加仓</t>
        </is>
      </c>
    </row>
    <row r="19">
      <c r="A19" s="10" t="inlineStr">
        <is>
          <t>交易结果</t>
        </is>
      </c>
      <c r="B19" t="inlineStr">
        <is>
          <t>成功</t>
        </is>
      </c>
      <c r="C19" t="inlineStr">
        <is>
          <t>部分成功</t>
        </is>
      </c>
      <c r="D19" t="inlineStr">
        <is>
          <t>失败</t>
        </is>
      </c>
      <c r="E19" t="inlineStr">
        <is>
          <t>持有中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2026-07-01T07:38:13Z</dcterms:created>
  <dcterms:modified xsi:type="dcterms:W3CDTF">2026-07-01T09:23:30Z</dcterms:modified>
</cp:coreProperties>
</file>