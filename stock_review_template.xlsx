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0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<sst xmlns="http://schemas.openxmlformats.org/spreadsheetml/2006/main" count="439" uniqueCount="357">
  <si>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</si>
  <si>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</si>
  <si>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</si>
  <si>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</si>
  <si>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</si>
  <si>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</si>
  <si>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</si>
  <si>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</si>
  <si>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</si>
  <si>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</si>
  <si>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</si>
  <si>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</si>
  <si>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</si>
  <si>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</si>
  <si>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</si>
  <si>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</si>
  <si>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</si>
  <si>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</si>
  <si>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</si>
  <si>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</si>
  <si>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</si>
  <si>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</si>
  <si>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</si>
  <si>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</si>
  <si>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</si>
  <si>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</si>
  <si>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</si>
  <si>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</si>
  <si>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</si>
  <si>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</si>
  <si>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</si>
  <si>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</si>
  <si>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</si>
  <si>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</si>
  <si>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</si>
  <si>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</si>
  <si>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</si>
  <si>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</si>
  <si>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</si>
  <si>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</si>
  <si>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</si>
  <si>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</si>
  <si>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</si>
  <si>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</si>
  <si>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</si>
  <si>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</si>
  <si>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</si>
  <si>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</si>
  <si>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</si>
  <si>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</si>
  <si>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</si>
  <si>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</si>
  <si>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</si>
  <si>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半导体</t>
  </si>
  <si>
    <t>上升</t>
  </si>
  <si>
    <t>轮动强势</t>
  </si>
  <si>
    <t>同步板块</t>
  </si>
  <si>
    <t>前高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</si>
  <si>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</si>
  <si>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</si>
  <si>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</si>
  <si>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</si>
  <si>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</si>
  <si>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</si>
  <si>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</si>
  <si>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</si>
  <si>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</si>
  <si>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</si>
  <si>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</si>
  <si>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</si>
  <si>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</si>
  <si>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</si>
  <si>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</si>
  <si>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</si>
  <si>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</si>
  <si>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</si>
  <si>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</si>
  <si>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</si>
  <si>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</si>
  <si>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</si>
  <si>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</si>
  <si>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</si>
  <si>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</si>
  <si>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</si>
  <si>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</si>
  <si>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</si>
  <si>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</si>
  <si>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</si>
  <si>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</si>
  <si>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怎么找</t>
  </si>
  <si>
    <t>为什么重要</t>
  </si>
  <si>
    <t>常见错误</t>
  </si>
  <si>
    <t>可用句式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</si>
  <si>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</si>
  <si>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</si>
  <si>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</si>
  <si>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</si>
  <si>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</si>
  <si>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</si>
  <si>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</si>
  <si>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</si>
  <si>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</si>
  <si>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箱体上沿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</si>
  <si>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</si>
  <si>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</si>
  <si>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</si>
  <si>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</si>
  <si>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箱体下沿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</si>
  <si>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</si>
  <si>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</si>
  <si>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</si>
  <si>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</si>
  <si>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</si>
  <si>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</si>
  <si>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</si>
  <si>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</si>
  <si>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</si>
  <si>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</si>
  <si>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</si>
  <si>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</si>
  <si>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</si>
  <si>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</si>
  <si>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</si>
  <si>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</si>
  <si>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</si>
  <si>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</si>
  <si>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</si>
  <si>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</si>
  <si>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</si>
  <si>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</si>
  <si>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</si>
  <si>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</si>
  <si>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</si>
  <si>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</si>
  <si>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</si>
  <si>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</si>
  <si>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</si>
  <si>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</si>
  <si>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</si>
  <si>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</si>
  <si>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</si>
  <si>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</si>
  <si>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</si>
  <si>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</si>
  <si>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</si>
  <si>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</si>
  <si>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</si>
  <si>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</si>
  <si>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</si>
  <si>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放量突破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</si>
  <si>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</si>
  <si>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</si>
  <si>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</si>
  <si>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</si>
  <si>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</si>
  <si>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</si>
  <si>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缩量回调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</si>
  <si>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</si>
  <si>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</si>
  <si>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</si>
  <si>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</si>
  <si>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</si>
  <si>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</si>
  <si>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</si>
  <si>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</si>
  <si>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</si>
  <si>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</si>
  <si>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</si>
  <si>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</si>
  <si>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</si>
  <si>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</si>
  <si>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</si>
  <si>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</si>
  <si>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</si>
  <si>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</si>
  <si>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</si>
  <si>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跌破关键位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</si>
  <si>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</si>
  <si>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</si>
  <si>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</si>
  <si>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</si>
  <si>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</si>
  <si>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</si>
  <si>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回踩支撑不破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</si>
  <si>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</si>
  <si>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</si>
  <si>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</si>
  <si>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</si>
  <si>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</si>
  <si>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</si>
  <si>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</si>
  <si>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</si>
  <si>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</si>
  <si>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</si>
  <si>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</si>
  <si>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</si>
  <si>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</si>
  <si>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板块弱个股抗跌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</si>
  <si>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</si>
  <si>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</si>
  <si>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</si>
  <si>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</si>
  <si>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</si>
  <si>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</si>
  <si>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</si>
  <si>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</si>
  <si>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</si>
  <si>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</si>
  <si>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</si>
  <si>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</si>
  <si>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</si>
  <si>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</si>
  <si>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</si>
  <si>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</si>
  <si>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</si>
  <si>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</si>
  <si>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</si>
  <si>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</si>
  <si>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</si>
  <si>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</si>
  <si>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</si>
  <si>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</si>
  <si>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</si>
  <si>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</si>
  <si>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</si>
  <si>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</si>
  <si>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</si>
  <si>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</si>
  <si>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</si>
  <si>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</si>
  <si>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</si>
  <si>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</si>
  <si>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</si>
  <si>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</si>
  <si>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</si>
  <si>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</si>
  <si>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</si>
  <si>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</si>
  <si>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</si>
  <si>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</si>
  <si>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</si>
  <si>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</si>
  <si>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</si>
  <si>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</si>
  <si>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</si>
  <si>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</si>
  <si>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</si>
  <si>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</si>
  <si>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</si>
  <si>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</si>
  <si>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</si>
  <si>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</si>
  <si>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</si>
  <si>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</si>
  <si>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</si>
  <si>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</si>
  <si>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</si>
  <si>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</si>
  <si>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</si>
  <si>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</si>
  <si>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</si>
  <si>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</si>
  <si>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</si>
  <si>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</si>
  <si>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</si>
  <si>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</si>
  <si>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</si>
  <si>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</si>
  <si>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</si>
  <si>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</si>
  <si>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</si>
  <si>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</si>
  <si>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</si>
  <si>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</si>
  <si>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</si>
  <si>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</si>
  <si>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</si>
  <si>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</si>
  <si>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</si>
  <si>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</si>
  <si>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</si>
  <si>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</si>
  <si>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</si>
  <si>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</si>
  <si>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</si>
  <si>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</si>
  <si>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</si>
  <si>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</si>
  <si>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</si>
  <si>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</si>
  <si>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</si>
  <si>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</si>
  <si>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</si>
  <si>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</si>
  <si>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</si>
  <si>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</si>
  <si>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</si>
  <si>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</si>
  <si>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</si>
  <si>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</si>
  <si>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</si>
  <si>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</si>
  <si>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</si>
  <si>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</si>
  <si>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</si>
  <si>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</si>
  <si>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</si>
  <si>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</si>
  <si>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</si>
  <si>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</si>
  <si>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</si>
  <si>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</si>
  <si>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</si>
  <si>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</si>
  <si>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</si>
  <si>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</si>
  <si>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弱于板块</t>
  </si>
  <si>
    <t>跌破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</si>
  <si>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</si>
  <si>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</si>
  <si>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</si>
  <si>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</si>
  <si>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</si>
  <si>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</si>
  <si>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</si>
  <si>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震荡偏弱</t>
  </si>
  <si>
    <t>主升延续</t>
  </si>
  <si>
    <t>自定义</t>
  </si>
  <si>
    <t>跌回平台</t>
  </si>
  <si>
    <t>无法判断</t>
  </si>
  <si>
    <t>不适用</t>
  </si>
  <si>
    <t>仍不确定</t>
  </si>
  <si>
    <t>理由链断裂</t>
  </si>
  <si>
    <t>把补涨当核心</t>
  </si>
  <si>
    <t>5日线</t>
  </si>
  <si>
    <t>远离</t>
  </si>
  <si>
    <t>高位分歧</t>
  </si>
  <si>
    <t>跌破支撑</t>
  </si>
  <si>
    <t>漏掉反证</t>
  </si>
  <si>
    <t>忽略板块环境</t>
  </si>
  <si>
    <t>10日线</t>
  </si>
  <si>
    <t>健康回调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</si>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</sst>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sz val="11"/>
      <color theme="1"/>
      <name val="宋体"/>
      <charset val="134"/>
      <scheme val="minor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29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0"/>
    </row>
    <row r="29" spans="1:1">
      <c r="A29" s="30"/>
    </row>
    <row r="30" spans="1:1">
      <c r="A30" s="30"/>
    </row>
    <row r="31" spans="1:1">
      <c r="A31" s="30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S1" workbookViewId="0">
      <pane ySplit="1" topLeftCell="A2" activePane="bottomLeft" state="frozen"/>
      <selection/>
      <selection pane="bottomLeft" activeCell="V4" sqref="V4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25" t="s">
        <v>74</v>
      </c>
      <c r="O3" s="19" t="s">
        <v>75</v>
      </c>
      <c r="P3" s="25" t="s">
        <v>76</v>
      </c>
      <c r="Q3" s="25" t="s">
        <v>77</v>
      </c>
      <c r="R3" s="19" t="s">
        <v>78</v>
      </c>
      <c r="S3" s="25" t="s">
        <v>79</v>
      </c>
      <c r="T3" s="25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25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17" spans="1:31">
      <c r="A5" s="8" t="str">
        <f t="shared" si="0"/>
        <v/>
      </c>
      <c r="B5" s="22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20"/>
      <c r="V5" s="20"/>
      <c r="W5" s="23" t="str">
        <f t="shared" si="1"/>
        <v/>
      </c>
      <c r="X5" s="23" t="str">
        <f t="shared" si="2"/>
        <v/>
      </c>
      <c r="Y5" s="23" t="str">
        <f t="shared" si="3"/>
        <v/>
      </c>
      <c r="Z5" s="24" t="str">
        <f t="shared" si="4"/>
        <v/>
      </c>
      <c r="AA5" s="14"/>
      <c r="AB5" s="14"/>
      <c r="AC5" s="14"/>
      <c r="AD5" s="14"/>
      <c r="AE5" s="8" t="str">
        <f t="shared" si="5"/>
        <v/>
      </c>
    </row>
    <row r="6" ht="17" spans="1:31">
      <c r="A6" s="8" t="str">
        <f t="shared" si="0"/>
        <v/>
      </c>
      <c r="B6" s="22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20"/>
      <c r="V6" s="20"/>
      <c r="W6" s="23" t="str">
        <f t="shared" si="1"/>
        <v/>
      </c>
      <c r="X6" s="23" t="str">
        <f t="shared" si="2"/>
        <v/>
      </c>
      <c r="Y6" s="23" t="str">
        <f t="shared" si="3"/>
        <v/>
      </c>
      <c r="Z6" s="24" t="str">
        <f t="shared" si="4"/>
        <v/>
      </c>
      <c r="AA6" s="14"/>
      <c r="AB6" s="14"/>
      <c r="AC6" s="14"/>
      <c r="AD6" s="14"/>
      <c r="AE6" s="8" t="str">
        <f t="shared" si="5"/>
        <v/>
      </c>
    </row>
    <row r="7" ht="17" spans="1:31">
      <c r="A7" s="8" t="str">
        <f t="shared" si="0"/>
        <v/>
      </c>
      <c r="B7" s="22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20"/>
      <c r="V7" s="20"/>
      <c r="W7" s="23" t="str">
        <f t="shared" si="1"/>
        <v/>
      </c>
      <c r="X7" s="23" t="str">
        <f t="shared" si="2"/>
        <v/>
      </c>
      <c r="Y7" s="23" t="str">
        <f t="shared" si="3"/>
        <v/>
      </c>
      <c r="Z7" s="24" t="str">
        <f t="shared" si="4"/>
        <v/>
      </c>
      <c r="AA7" s="14"/>
      <c r="AB7" s="14"/>
      <c r="AC7" s="14"/>
      <c r="AD7" s="14"/>
      <c r="AE7" s="8" t="str">
        <f t="shared" si="5"/>
        <v/>
      </c>
    </row>
    <row r="8" ht="17" spans="1:31">
      <c r="A8" s="8" t="str">
        <f t="shared" si="0"/>
        <v/>
      </c>
      <c r="B8" s="22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20"/>
      <c r="V8" s="20"/>
      <c r="W8" s="23" t="str">
        <f t="shared" si="1"/>
        <v/>
      </c>
      <c r="X8" s="23" t="str">
        <f t="shared" si="2"/>
        <v/>
      </c>
      <c r="Y8" s="23" t="str">
        <f t="shared" si="3"/>
        <v/>
      </c>
      <c r="Z8" s="24" t="str">
        <f t="shared" si="4"/>
        <v/>
      </c>
      <c r="AA8" s="14"/>
      <c r="AB8" s="14"/>
      <c r="AC8" s="14"/>
      <c r="AD8" s="14"/>
      <c r="AE8" s="8" t="str">
        <f t="shared" si="5"/>
        <v/>
      </c>
    </row>
    <row r="9" ht="17" spans="1:31">
      <c r="A9" s="8" t="str">
        <f t="shared" si="0"/>
        <v/>
      </c>
      <c r="B9" s="22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20"/>
      <c r="V9" s="20"/>
      <c r="W9" s="23" t="str">
        <f t="shared" si="1"/>
        <v/>
      </c>
      <c r="X9" s="23" t="str">
        <f t="shared" si="2"/>
        <v/>
      </c>
      <c r="Y9" s="23" t="str">
        <f t="shared" si="3"/>
        <v/>
      </c>
      <c r="Z9" s="24" t="str">
        <f t="shared" si="4"/>
        <v/>
      </c>
      <c r="AA9" s="14"/>
      <c r="AB9" s="14"/>
      <c r="AC9" s="14"/>
      <c r="AD9" s="14"/>
      <c r="AE9" s="8" t="str">
        <f t="shared" si="5"/>
        <v/>
      </c>
    </row>
    <row r="10" ht="17" spans="1:31">
      <c r="A10" s="8" t="str">
        <f t="shared" si="0"/>
        <v/>
      </c>
      <c r="B10" s="22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20"/>
      <c r="V10" s="20"/>
      <c r="W10" s="23" t="str">
        <f t="shared" si="1"/>
        <v/>
      </c>
      <c r="X10" s="23" t="str">
        <f t="shared" si="2"/>
        <v/>
      </c>
      <c r="Y10" s="23" t="str">
        <f t="shared" si="3"/>
        <v/>
      </c>
      <c r="Z10" s="24" t="str">
        <f t="shared" si="4"/>
        <v/>
      </c>
      <c r="AA10" s="14"/>
      <c r="AB10" s="14"/>
      <c r="AC10" s="14"/>
      <c r="AD10" s="14"/>
      <c r="AE10" s="8" t="str">
        <f t="shared" si="5"/>
        <v/>
      </c>
    </row>
    <row r="11" ht="17" spans="1:31">
      <c r="A11" s="8" t="str">
        <f t="shared" si="0"/>
        <v/>
      </c>
      <c r="B11" s="22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3" t="str">
        <f t="shared" si="1"/>
        <v/>
      </c>
      <c r="X11" s="23" t="str">
        <f t="shared" si="2"/>
        <v/>
      </c>
      <c r="Y11" s="23" t="str">
        <f t="shared" si="3"/>
        <v/>
      </c>
      <c r="Z11" s="24" t="str">
        <f t="shared" si="4"/>
        <v/>
      </c>
      <c r="AA11" s="14"/>
      <c r="AB11" s="14"/>
      <c r="AC11" s="14"/>
      <c r="AD11" s="14"/>
      <c r="AE11" s="8" t="str">
        <f t="shared" si="5"/>
        <v/>
      </c>
    </row>
    <row r="12" ht="17" spans="1:31">
      <c r="A12" s="8" t="str">
        <f t="shared" si="0"/>
        <v/>
      </c>
      <c r="B12" s="26"/>
      <c r="C12" s="7"/>
      <c r="D12" s="7"/>
      <c r="E12" s="7"/>
      <c r="F12" s="7"/>
      <c r="G12" s="7"/>
      <c r="H12" s="7"/>
      <c r="I12" s="7"/>
      <c r="J12" s="19"/>
      <c r="K12" s="7"/>
      <c r="L12" s="7"/>
      <c r="M12" s="7"/>
      <c r="N12" s="19"/>
      <c r="O12" s="7"/>
      <c r="P12" s="19"/>
      <c r="Q12" s="19"/>
      <c r="R12" s="7"/>
      <c r="S12" s="19"/>
      <c r="T12" s="19"/>
      <c r="U12" s="20"/>
      <c r="V12" s="20"/>
      <c r="W12" s="27" t="str">
        <f t="shared" si="1"/>
        <v/>
      </c>
      <c r="X12" s="27" t="str">
        <f t="shared" si="2"/>
        <v/>
      </c>
      <c r="Y12" s="27" t="str">
        <f t="shared" si="3"/>
        <v/>
      </c>
      <c r="Z12" s="28" t="str">
        <f t="shared" si="4"/>
        <v/>
      </c>
      <c r="AA12" s="17"/>
      <c r="AB12" s="17"/>
      <c r="AC12" s="17"/>
      <c r="AD12" s="17"/>
      <c r="AE12" s="8" t="str">
        <f t="shared" si="5"/>
        <v/>
      </c>
    </row>
    <row r="13" ht="17" spans="1:31">
      <c r="A13" s="8" t="str">
        <f t="shared" si="0"/>
        <v/>
      </c>
      <c r="B13" s="26"/>
      <c r="C13" s="7"/>
      <c r="D13" s="7"/>
      <c r="E13" s="7"/>
      <c r="F13" s="7"/>
      <c r="G13" s="7"/>
      <c r="H13" s="7"/>
      <c r="I13" s="7"/>
      <c r="J13" s="19"/>
      <c r="K13" s="7"/>
      <c r="L13" s="7"/>
      <c r="M13" s="7"/>
      <c r="N13" s="19"/>
      <c r="O13" s="7"/>
      <c r="P13" s="19"/>
      <c r="Q13" s="19"/>
      <c r="R13" s="7"/>
      <c r="S13" s="19"/>
      <c r="T13" s="19"/>
      <c r="U13" s="20"/>
      <c r="V13" s="20"/>
      <c r="W13" s="27" t="str">
        <f t="shared" si="1"/>
        <v/>
      </c>
      <c r="X13" s="27" t="str">
        <f t="shared" si="2"/>
        <v/>
      </c>
      <c r="Y13" s="27" t="str">
        <f t="shared" si="3"/>
        <v/>
      </c>
      <c r="Z13" s="28" t="str">
        <f t="shared" si="4"/>
        <v/>
      </c>
      <c r="AA13" s="17"/>
      <c r="AB13" s="17"/>
      <c r="AC13" s="17"/>
      <c r="AD13" s="17"/>
      <c r="AE13" s="8" t="str">
        <f t="shared" si="5"/>
        <v/>
      </c>
    </row>
    <row r="14" ht="17" spans="1:31">
      <c r="A14" s="8" t="str">
        <f t="shared" si="0"/>
        <v/>
      </c>
      <c r="B14" s="26"/>
      <c r="C14" s="7"/>
      <c r="D14" s="7"/>
      <c r="E14" s="7"/>
      <c r="F14" s="7"/>
      <c r="G14" s="7"/>
      <c r="H14" s="7"/>
      <c r="I14" s="7"/>
      <c r="J14" s="19"/>
      <c r="K14" s="7"/>
      <c r="L14" s="7"/>
      <c r="M14" s="7"/>
      <c r="N14" s="19"/>
      <c r="O14" s="7"/>
      <c r="P14" s="19"/>
      <c r="Q14" s="19"/>
      <c r="R14" s="7"/>
      <c r="S14" s="19"/>
      <c r="T14" s="19"/>
      <c r="U14" s="20"/>
      <c r="V14" s="20"/>
      <c r="W14" s="27" t="str">
        <f t="shared" si="1"/>
        <v/>
      </c>
      <c r="X14" s="27" t="str">
        <f t="shared" si="2"/>
        <v/>
      </c>
      <c r="Y14" s="27" t="str">
        <f t="shared" si="3"/>
        <v/>
      </c>
      <c r="Z14" s="28" t="str">
        <f t="shared" si="4"/>
        <v/>
      </c>
      <c r="AA14" s="17"/>
      <c r="AB14" s="17"/>
      <c r="AC14" s="17"/>
      <c r="AD14" s="17"/>
      <c r="AE14" s="8" t="str">
        <f t="shared" si="5"/>
        <v/>
      </c>
    </row>
    <row r="15" ht="17" spans="1:31">
      <c r="A15" s="8" t="str">
        <f t="shared" si="0"/>
        <v/>
      </c>
      <c r="B15" s="26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7" t="str">
        <f t="shared" si="1"/>
        <v/>
      </c>
      <c r="X15" s="27" t="str">
        <f t="shared" si="2"/>
        <v/>
      </c>
      <c r="Y15" s="27" t="str">
        <f t="shared" si="3"/>
        <v/>
      </c>
      <c r="Z15" s="28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ht="17" spans="1:31">
      <c r="A16" s="8" t="str">
        <f t="shared" si="0"/>
        <v/>
      </c>
      <c r="B16" s="26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7" t="str">
        <f t="shared" si="1"/>
        <v/>
      </c>
      <c r="X16" s="27" t="str">
        <f t="shared" si="2"/>
        <v/>
      </c>
      <c r="Y16" s="27" t="str">
        <f t="shared" si="3"/>
        <v/>
      </c>
      <c r="Z16" s="28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ht="17" spans="1:31">
      <c r="A17" s="8" t="str">
        <f t="shared" si="0"/>
        <v/>
      </c>
      <c r="B17" s="26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7" t="str">
        <f t="shared" si="1"/>
        <v/>
      </c>
      <c r="X17" s="27" t="str">
        <f t="shared" si="2"/>
        <v/>
      </c>
      <c r="Y17" s="27" t="str">
        <f t="shared" si="3"/>
        <v/>
      </c>
      <c r="Z17" s="28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ht="17" spans="1:31">
      <c r="A18" s="8" t="str">
        <f t="shared" si="0"/>
        <v/>
      </c>
      <c r="B18" s="26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7" t="str">
        <f t="shared" si="1"/>
        <v/>
      </c>
      <c r="X18" s="27" t="str">
        <f t="shared" si="2"/>
        <v/>
      </c>
      <c r="Y18" s="27" t="str">
        <f t="shared" si="3"/>
        <v/>
      </c>
      <c r="Z18" s="28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ht="17" spans="1:31">
      <c r="A19" s="8" t="str">
        <f t="shared" si="0"/>
        <v/>
      </c>
      <c r="B19" s="26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7" t="str">
        <f t="shared" si="1"/>
        <v/>
      </c>
      <c r="X19" s="27" t="str">
        <f t="shared" si="2"/>
        <v/>
      </c>
      <c r="Y19" s="27" t="str">
        <f t="shared" si="3"/>
        <v/>
      </c>
      <c r="Z19" s="28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ht="17" spans="1:31">
      <c r="A20" s="8" t="str">
        <f t="shared" si="0"/>
        <v/>
      </c>
      <c r="B20" s="26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7" t="str">
        <f t="shared" si="1"/>
        <v/>
      </c>
      <c r="X20" s="27" t="str">
        <f t="shared" si="2"/>
        <v/>
      </c>
      <c r="Y20" s="27" t="str">
        <f t="shared" si="3"/>
        <v/>
      </c>
      <c r="Z20" s="28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ht="17" spans="1:31">
      <c r="A21" s="8" t="str">
        <f t="shared" si="0"/>
        <v/>
      </c>
      <c r="B21" s="26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7" t="str">
        <f t="shared" si="1"/>
        <v/>
      </c>
      <c r="X21" s="27" t="str">
        <f t="shared" si="2"/>
        <v/>
      </c>
      <c r="Y21" s="27" t="str">
        <f t="shared" si="3"/>
        <v/>
      </c>
      <c r="Z21" s="28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ht="17" spans="1:31">
      <c r="A22" s="8" t="str">
        <f t="shared" si="0"/>
        <v/>
      </c>
      <c r="B22" s="26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7" t="str">
        <f t="shared" si="1"/>
        <v/>
      </c>
      <c r="X22" s="27" t="str">
        <f t="shared" si="2"/>
        <v/>
      </c>
      <c r="Y22" s="27" t="str">
        <f t="shared" si="3"/>
        <v/>
      </c>
      <c r="Z22" s="28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6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7" t="str">
        <f t="shared" si="1"/>
        <v/>
      </c>
      <c r="X23" s="27" t="str">
        <f t="shared" si="2"/>
        <v/>
      </c>
      <c r="Y23" s="27" t="str">
        <f t="shared" si="3"/>
        <v/>
      </c>
      <c r="Z23" s="28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6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7" t="str">
        <f t="shared" si="1"/>
        <v/>
      </c>
      <c r="X24" s="27" t="str">
        <f t="shared" si="2"/>
        <v/>
      </c>
      <c r="Y24" s="27" t="str">
        <f t="shared" si="3"/>
        <v/>
      </c>
      <c r="Z24" s="28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6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7" t="str">
        <f t="shared" si="1"/>
        <v/>
      </c>
      <c r="X25" s="27" t="str">
        <f t="shared" si="2"/>
        <v/>
      </c>
      <c r="Y25" s="27" t="str">
        <f t="shared" si="3"/>
        <v/>
      </c>
      <c r="Z25" s="28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6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7" t="str">
        <f t="shared" si="1"/>
        <v/>
      </c>
      <c r="X26" s="27" t="str">
        <f t="shared" si="2"/>
        <v/>
      </c>
      <c r="Y26" s="27" t="str">
        <f t="shared" si="3"/>
        <v/>
      </c>
      <c r="Z26" s="28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6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7" t="str">
        <f t="shared" si="1"/>
        <v/>
      </c>
      <c r="X27" s="27" t="str">
        <f t="shared" si="2"/>
        <v/>
      </c>
      <c r="Y27" s="27" t="str">
        <f t="shared" si="3"/>
        <v/>
      </c>
      <c r="Z27" s="28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6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7" t="str">
        <f t="shared" si="1"/>
        <v/>
      </c>
      <c r="X28" s="27" t="str">
        <f t="shared" si="2"/>
        <v/>
      </c>
      <c r="Y28" s="27" t="str">
        <f t="shared" si="3"/>
        <v/>
      </c>
      <c r="Z28" s="28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6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7" t="str">
        <f t="shared" si="1"/>
        <v/>
      </c>
      <c r="X29" s="27" t="str">
        <f t="shared" si="2"/>
        <v/>
      </c>
      <c r="Y29" s="27" t="str">
        <f t="shared" si="3"/>
        <v/>
      </c>
      <c r="Z29" s="28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6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7" t="str">
        <f t="shared" si="1"/>
        <v/>
      </c>
      <c r="X30" s="27" t="str">
        <f t="shared" si="2"/>
        <v/>
      </c>
      <c r="Y30" s="27" t="str">
        <f t="shared" si="3"/>
        <v/>
      </c>
      <c r="Z30" s="28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6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7" t="str">
        <f t="shared" si="1"/>
        <v/>
      </c>
      <c r="X31" s="27" t="str">
        <f t="shared" si="2"/>
        <v/>
      </c>
      <c r="Y31" s="27" t="str">
        <f t="shared" si="3"/>
        <v/>
      </c>
      <c r="Z31" s="28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6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7" t="str">
        <f t="shared" si="1"/>
        <v/>
      </c>
      <c r="X32" s="27" t="str">
        <f t="shared" si="2"/>
        <v/>
      </c>
      <c r="Y32" s="27" t="str">
        <f t="shared" si="3"/>
        <v/>
      </c>
      <c r="Z32" s="28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6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7" t="str">
        <f t="shared" si="1"/>
        <v/>
      </c>
      <c r="X33" s="27" t="str">
        <f t="shared" si="2"/>
        <v/>
      </c>
      <c r="Y33" s="27" t="str">
        <f t="shared" si="3"/>
        <v/>
      </c>
      <c r="Z33" s="28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6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7" t="str">
        <f t="shared" si="1"/>
        <v/>
      </c>
      <c r="X34" s="27" t="str">
        <f t="shared" si="2"/>
        <v/>
      </c>
      <c r="Y34" s="27" t="str">
        <f t="shared" si="3"/>
        <v/>
      </c>
      <c r="Z34" s="28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6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7" t="str">
        <f t="shared" si="1"/>
        <v/>
      </c>
      <c r="X35" s="27" t="str">
        <f t="shared" si="2"/>
        <v/>
      </c>
      <c r="Y35" s="27" t="str">
        <f t="shared" si="3"/>
        <v/>
      </c>
      <c r="Z35" s="28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6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7" t="str">
        <f t="shared" si="1"/>
        <v/>
      </c>
      <c r="X36" s="27" t="str">
        <f t="shared" si="2"/>
        <v/>
      </c>
      <c r="Y36" s="27" t="str">
        <f t="shared" si="3"/>
        <v/>
      </c>
      <c r="Z36" s="28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6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7" t="str">
        <f t="shared" si="1"/>
        <v/>
      </c>
      <c r="X37" s="27" t="str">
        <f t="shared" si="2"/>
        <v/>
      </c>
      <c r="Y37" s="27" t="str">
        <f t="shared" si="3"/>
        <v/>
      </c>
      <c r="Z37" s="28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6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7" t="str">
        <f t="shared" si="1"/>
        <v/>
      </c>
      <c r="X38" s="27" t="str">
        <f t="shared" si="2"/>
        <v/>
      </c>
      <c r="Y38" s="27" t="str">
        <f t="shared" si="3"/>
        <v/>
      </c>
      <c r="Z38" s="28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6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7" t="str">
        <f t="shared" si="1"/>
        <v/>
      </c>
      <c r="X39" s="27" t="str">
        <f t="shared" si="2"/>
        <v/>
      </c>
      <c r="Y39" s="27" t="str">
        <f t="shared" si="3"/>
        <v/>
      </c>
      <c r="Z39" s="28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6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7" t="str">
        <f t="shared" si="1"/>
        <v/>
      </c>
      <c r="X40" s="27" t="str">
        <f t="shared" si="2"/>
        <v/>
      </c>
      <c r="Y40" s="27" t="str">
        <f t="shared" si="3"/>
        <v/>
      </c>
      <c r="Z40" s="28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6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7" t="str">
        <f t="shared" si="1"/>
        <v/>
      </c>
      <c r="X41" s="27" t="str">
        <f t="shared" si="2"/>
        <v/>
      </c>
      <c r="Y41" s="27" t="str">
        <f t="shared" si="3"/>
        <v/>
      </c>
      <c r="Z41" s="28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6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7" t="str">
        <f t="shared" si="1"/>
        <v/>
      </c>
      <c r="X42" s="27" t="str">
        <f t="shared" si="2"/>
        <v/>
      </c>
      <c r="Y42" s="27" t="str">
        <f t="shared" si="3"/>
        <v/>
      </c>
      <c r="Z42" s="28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6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7" t="str">
        <f t="shared" si="1"/>
        <v/>
      </c>
      <c r="X43" s="27" t="str">
        <f t="shared" si="2"/>
        <v/>
      </c>
      <c r="Y43" s="27" t="str">
        <f t="shared" si="3"/>
        <v/>
      </c>
      <c r="Z43" s="28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6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7" t="str">
        <f t="shared" si="1"/>
        <v/>
      </c>
      <c r="X44" s="27" t="str">
        <f t="shared" si="2"/>
        <v/>
      </c>
      <c r="Y44" s="27" t="str">
        <f t="shared" si="3"/>
        <v/>
      </c>
      <c r="Z44" s="28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6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7" t="str">
        <f t="shared" si="1"/>
        <v/>
      </c>
      <c r="X45" s="27" t="str">
        <f t="shared" si="2"/>
        <v/>
      </c>
      <c r="Y45" s="27" t="str">
        <f t="shared" si="3"/>
        <v/>
      </c>
      <c r="Z45" s="28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6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7" t="str">
        <f t="shared" si="1"/>
        <v/>
      </c>
      <c r="X46" s="27" t="str">
        <f t="shared" si="2"/>
        <v/>
      </c>
      <c r="Y46" s="27" t="str">
        <f t="shared" si="3"/>
        <v/>
      </c>
      <c r="Z46" s="28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6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7" t="str">
        <f t="shared" si="1"/>
        <v/>
      </c>
      <c r="X47" s="27" t="str">
        <f t="shared" si="2"/>
        <v/>
      </c>
      <c r="Y47" s="27" t="str">
        <f t="shared" si="3"/>
        <v/>
      </c>
      <c r="Z47" s="28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6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7" t="str">
        <f t="shared" si="1"/>
        <v/>
      </c>
      <c r="X48" s="27" t="str">
        <f t="shared" si="2"/>
        <v/>
      </c>
      <c r="Y48" s="27" t="str">
        <f t="shared" si="3"/>
        <v/>
      </c>
      <c r="Z48" s="28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6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7" t="str">
        <f t="shared" si="1"/>
        <v/>
      </c>
      <c r="X49" s="27" t="str">
        <f t="shared" si="2"/>
        <v/>
      </c>
      <c r="Y49" s="27" t="str">
        <f t="shared" si="3"/>
        <v/>
      </c>
      <c r="Z49" s="28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6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7" t="str">
        <f t="shared" si="1"/>
        <v/>
      </c>
      <c r="X50" s="27" t="str">
        <f t="shared" si="2"/>
        <v/>
      </c>
      <c r="Y50" s="27" t="str">
        <f t="shared" si="3"/>
        <v/>
      </c>
      <c r="Z50" s="28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6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7" t="str">
        <f t="shared" si="1"/>
        <v/>
      </c>
      <c r="X51" s="27" t="str">
        <f t="shared" si="2"/>
        <v/>
      </c>
      <c r="Y51" s="27" t="str">
        <f t="shared" si="3"/>
        <v/>
      </c>
      <c r="Z51" s="28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6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7" t="str">
        <f t="shared" si="1"/>
        <v/>
      </c>
      <c r="X52" s="27" t="str">
        <f t="shared" si="2"/>
        <v/>
      </c>
      <c r="Y52" s="27" t="str">
        <f t="shared" si="3"/>
        <v/>
      </c>
      <c r="Z52" s="28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6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7" t="str">
        <f t="shared" si="1"/>
        <v/>
      </c>
      <c r="X53" s="27" t="str">
        <f t="shared" si="2"/>
        <v/>
      </c>
      <c r="Y53" s="27" t="str">
        <f t="shared" si="3"/>
        <v/>
      </c>
      <c r="Z53" s="28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6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7" t="str">
        <f t="shared" si="1"/>
        <v/>
      </c>
      <c r="X54" s="27" t="str">
        <f t="shared" si="2"/>
        <v/>
      </c>
      <c r="Y54" s="27" t="str">
        <f t="shared" si="3"/>
        <v/>
      </c>
      <c r="Z54" s="28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6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7" t="str">
        <f t="shared" si="1"/>
        <v/>
      </c>
      <c r="X55" s="27" t="str">
        <f t="shared" si="2"/>
        <v/>
      </c>
      <c r="Y55" s="27" t="str">
        <f t="shared" si="3"/>
        <v/>
      </c>
      <c r="Z55" s="28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6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7" t="str">
        <f t="shared" si="1"/>
        <v/>
      </c>
      <c r="X56" s="27" t="str">
        <f t="shared" si="2"/>
        <v/>
      </c>
      <c r="Y56" s="27" t="str">
        <f t="shared" si="3"/>
        <v/>
      </c>
      <c r="Z56" s="28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6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7" t="str">
        <f t="shared" si="1"/>
        <v/>
      </c>
      <c r="X57" s="27" t="str">
        <f t="shared" si="2"/>
        <v/>
      </c>
      <c r="Y57" s="27" t="str">
        <f t="shared" si="3"/>
        <v/>
      </c>
      <c r="Z57" s="28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6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7" t="str">
        <f t="shared" si="1"/>
        <v/>
      </c>
      <c r="X58" s="27" t="str">
        <f t="shared" si="2"/>
        <v/>
      </c>
      <c r="Y58" s="27" t="str">
        <f t="shared" si="3"/>
        <v/>
      </c>
      <c r="Z58" s="28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6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7" t="str">
        <f t="shared" si="1"/>
        <v/>
      </c>
      <c r="X59" s="27" t="str">
        <f t="shared" si="2"/>
        <v/>
      </c>
      <c r="Y59" s="27" t="str">
        <f t="shared" si="3"/>
        <v/>
      </c>
      <c r="Z59" s="28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6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7" t="str">
        <f t="shared" si="1"/>
        <v/>
      </c>
      <c r="X60" s="27" t="str">
        <f t="shared" si="2"/>
        <v/>
      </c>
      <c r="Y60" s="27" t="str">
        <f t="shared" si="3"/>
        <v/>
      </c>
      <c r="Z60" s="28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6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7" t="str">
        <f t="shared" si="1"/>
        <v/>
      </c>
      <c r="X61" s="27" t="str">
        <f t="shared" si="2"/>
        <v/>
      </c>
      <c r="Y61" s="27" t="str">
        <f t="shared" si="3"/>
        <v/>
      </c>
      <c r="Z61" s="28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6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7" t="str">
        <f t="shared" si="1"/>
        <v/>
      </c>
      <c r="X62" s="27" t="str">
        <f t="shared" si="2"/>
        <v/>
      </c>
      <c r="Y62" s="27" t="str">
        <f t="shared" si="3"/>
        <v/>
      </c>
      <c r="Z62" s="28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6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7" t="str">
        <f t="shared" si="1"/>
        <v/>
      </c>
      <c r="X63" s="27" t="str">
        <f t="shared" si="2"/>
        <v/>
      </c>
      <c r="Y63" s="27" t="str">
        <f t="shared" si="3"/>
        <v/>
      </c>
      <c r="Z63" s="28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6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7" t="str">
        <f t="shared" si="1"/>
        <v/>
      </c>
      <c r="X64" s="27" t="str">
        <f t="shared" si="2"/>
        <v/>
      </c>
      <c r="Y64" s="27" t="str">
        <f t="shared" si="3"/>
        <v/>
      </c>
      <c r="Z64" s="28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6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7" t="str">
        <f t="shared" si="1"/>
        <v/>
      </c>
      <c r="X65" s="27" t="str">
        <f t="shared" si="2"/>
        <v/>
      </c>
      <c r="Y65" s="27" t="str">
        <f t="shared" si="3"/>
        <v/>
      </c>
      <c r="Z65" s="28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6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7" t="str">
        <f t="shared" ref="W66:W129" si="7">IF(B66="","",B66+3)</f>
        <v/>
      </c>
      <c r="X66" s="27" t="str">
        <f t="shared" ref="X66:X129" si="8">IF(B66="","",B66+5)</f>
        <v/>
      </c>
      <c r="Y66" s="27" t="str">
        <f t="shared" ref="Y66:Y129" si="9">IF(B66="","",B66+10)</f>
        <v/>
      </c>
      <c r="Z66" s="28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6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7" t="str">
        <f t="shared" si="7"/>
        <v/>
      </c>
      <c r="X67" s="27" t="str">
        <f t="shared" si="8"/>
        <v/>
      </c>
      <c r="Y67" s="27" t="str">
        <f t="shared" si="9"/>
        <v/>
      </c>
      <c r="Z67" s="28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6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7" t="str">
        <f t="shared" si="7"/>
        <v/>
      </c>
      <c r="X68" s="27" t="str">
        <f t="shared" si="8"/>
        <v/>
      </c>
      <c r="Y68" s="27" t="str">
        <f t="shared" si="9"/>
        <v/>
      </c>
      <c r="Z68" s="28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6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7" t="str">
        <f t="shared" si="7"/>
        <v/>
      </c>
      <c r="X69" s="27" t="str">
        <f t="shared" si="8"/>
        <v/>
      </c>
      <c r="Y69" s="27" t="str">
        <f t="shared" si="9"/>
        <v/>
      </c>
      <c r="Z69" s="28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6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7" t="str">
        <f t="shared" si="7"/>
        <v/>
      </c>
      <c r="X70" s="27" t="str">
        <f t="shared" si="8"/>
        <v/>
      </c>
      <c r="Y70" s="27" t="str">
        <f t="shared" si="9"/>
        <v/>
      </c>
      <c r="Z70" s="28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6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7" t="str">
        <f t="shared" si="7"/>
        <v/>
      </c>
      <c r="X71" s="27" t="str">
        <f t="shared" si="8"/>
        <v/>
      </c>
      <c r="Y71" s="27" t="str">
        <f t="shared" si="9"/>
        <v/>
      </c>
      <c r="Z71" s="28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6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7" t="str">
        <f t="shared" si="7"/>
        <v/>
      </c>
      <c r="X72" s="27" t="str">
        <f t="shared" si="8"/>
        <v/>
      </c>
      <c r="Y72" s="27" t="str">
        <f t="shared" si="9"/>
        <v/>
      </c>
      <c r="Z72" s="28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6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7" t="str">
        <f t="shared" si="7"/>
        <v/>
      </c>
      <c r="X73" s="27" t="str">
        <f t="shared" si="8"/>
        <v/>
      </c>
      <c r="Y73" s="27" t="str">
        <f t="shared" si="9"/>
        <v/>
      </c>
      <c r="Z73" s="28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6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7" t="str">
        <f t="shared" si="7"/>
        <v/>
      </c>
      <c r="X74" s="27" t="str">
        <f t="shared" si="8"/>
        <v/>
      </c>
      <c r="Y74" s="27" t="str">
        <f t="shared" si="9"/>
        <v/>
      </c>
      <c r="Z74" s="28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6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7" t="str">
        <f t="shared" si="7"/>
        <v/>
      </c>
      <c r="X75" s="27" t="str">
        <f t="shared" si="8"/>
        <v/>
      </c>
      <c r="Y75" s="27" t="str">
        <f t="shared" si="9"/>
        <v/>
      </c>
      <c r="Z75" s="28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6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7" t="str">
        <f t="shared" si="7"/>
        <v/>
      </c>
      <c r="X76" s="27" t="str">
        <f t="shared" si="8"/>
        <v/>
      </c>
      <c r="Y76" s="27" t="str">
        <f t="shared" si="9"/>
        <v/>
      </c>
      <c r="Z76" s="28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6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7" t="str">
        <f t="shared" si="7"/>
        <v/>
      </c>
      <c r="X77" s="27" t="str">
        <f t="shared" si="8"/>
        <v/>
      </c>
      <c r="Y77" s="27" t="str">
        <f t="shared" si="9"/>
        <v/>
      </c>
      <c r="Z77" s="28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6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7" t="str">
        <f t="shared" si="7"/>
        <v/>
      </c>
      <c r="X78" s="27" t="str">
        <f t="shared" si="8"/>
        <v/>
      </c>
      <c r="Y78" s="27" t="str">
        <f t="shared" si="9"/>
        <v/>
      </c>
      <c r="Z78" s="28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6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7" t="str">
        <f t="shared" si="7"/>
        <v/>
      </c>
      <c r="X79" s="27" t="str">
        <f t="shared" si="8"/>
        <v/>
      </c>
      <c r="Y79" s="27" t="str">
        <f t="shared" si="9"/>
        <v/>
      </c>
      <c r="Z79" s="28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6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7" t="str">
        <f t="shared" si="7"/>
        <v/>
      </c>
      <c r="X80" s="27" t="str">
        <f t="shared" si="8"/>
        <v/>
      </c>
      <c r="Y80" s="27" t="str">
        <f t="shared" si="9"/>
        <v/>
      </c>
      <c r="Z80" s="28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6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7" t="str">
        <f t="shared" si="7"/>
        <v/>
      </c>
      <c r="X81" s="27" t="str">
        <f t="shared" si="8"/>
        <v/>
      </c>
      <c r="Y81" s="27" t="str">
        <f t="shared" si="9"/>
        <v/>
      </c>
      <c r="Z81" s="28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6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7" t="str">
        <f t="shared" si="7"/>
        <v/>
      </c>
      <c r="X82" s="27" t="str">
        <f t="shared" si="8"/>
        <v/>
      </c>
      <c r="Y82" s="27" t="str">
        <f t="shared" si="9"/>
        <v/>
      </c>
      <c r="Z82" s="28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6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7" t="str">
        <f t="shared" si="7"/>
        <v/>
      </c>
      <c r="X83" s="27" t="str">
        <f t="shared" si="8"/>
        <v/>
      </c>
      <c r="Y83" s="27" t="str">
        <f t="shared" si="9"/>
        <v/>
      </c>
      <c r="Z83" s="28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6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7" t="str">
        <f t="shared" si="7"/>
        <v/>
      </c>
      <c r="X84" s="27" t="str">
        <f t="shared" si="8"/>
        <v/>
      </c>
      <c r="Y84" s="27" t="str">
        <f t="shared" si="9"/>
        <v/>
      </c>
      <c r="Z84" s="28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6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7" t="str">
        <f t="shared" si="7"/>
        <v/>
      </c>
      <c r="X85" s="27" t="str">
        <f t="shared" si="8"/>
        <v/>
      </c>
      <c r="Y85" s="27" t="str">
        <f t="shared" si="9"/>
        <v/>
      </c>
      <c r="Z85" s="28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6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7" t="str">
        <f t="shared" si="7"/>
        <v/>
      </c>
      <c r="X86" s="27" t="str">
        <f t="shared" si="8"/>
        <v/>
      </c>
      <c r="Y86" s="27" t="str">
        <f t="shared" si="9"/>
        <v/>
      </c>
      <c r="Z86" s="28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6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7" t="str">
        <f t="shared" si="7"/>
        <v/>
      </c>
      <c r="X87" s="27" t="str">
        <f t="shared" si="8"/>
        <v/>
      </c>
      <c r="Y87" s="27" t="str">
        <f t="shared" si="9"/>
        <v/>
      </c>
      <c r="Z87" s="28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6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7" t="str">
        <f t="shared" si="7"/>
        <v/>
      </c>
      <c r="X88" s="27" t="str">
        <f t="shared" si="8"/>
        <v/>
      </c>
      <c r="Y88" s="27" t="str">
        <f t="shared" si="9"/>
        <v/>
      </c>
      <c r="Z88" s="28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6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7" t="str">
        <f t="shared" si="7"/>
        <v/>
      </c>
      <c r="X89" s="27" t="str">
        <f t="shared" si="8"/>
        <v/>
      </c>
      <c r="Y89" s="27" t="str">
        <f t="shared" si="9"/>
        <v/>
      </c>
      <c r="Z89" s="28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6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7" t="str">
        <f t="shared" si="7"/>
        <v/>
      </c>
      <c r="X90" s="27" t="str">
        <f t="shared" si="8"/>
        <v/>
      </c>
      <c r="Y90" s="27" t="str">
        <f t="shared" si="9"/>
        <v/>
      </c>
      <c r="Z90" s="28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6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7" t="str">
        <f t="shared" si="7"/>
        <v/>
      </c>
      <c r="X91" s="27" t="str">
        <f t="shared" si="8"/>
        <v/>
      </c>
      <c r="Y91" s="27" t="str">
        <f t="shared" si="9"/>
        <v/>
      </c>
      <c r="Z91" s="28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6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7" t="str">
        <f t="shared" si="7"/>
        <v/>
      </c>
      <c r="X92" s="27" t="str">
        <f t="shared" si="8"/>
        <v/>
      </c>
      <c r="Y92" s="27" t="str">
        <f t="shared" si="9"/>
        <v/>
      </c>
      <c r="Z92" s="28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6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7" t="str">
        <f t="shared" si="7"/>
        <v/>
      </c>
      <c r="X93" s="27" t="str">
        <f t="shared" si="8"/>
        <v/>
      </c>
      <c r="Y93" s="27" t="str">
        <f t="shared" si="9"/>
        <v/>
      </c>
      <c r="Z93" s="28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6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7" t="str">
        <f t="shared" si="7"/>
        <v/>
      </c>
      <c r="X94" s="27" t="str">
        <f t="shared" si="8"/>
        <v/>
      </c>
      <c r="Y94" s="27" t="str">
        <f t="shared" si="9"/>
        <v/>
      </c>
      <c r="Z94" s="28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6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7" t="str">
        <f t="shared" si="7"/>
        <v/>
      </c>
      <c r="X95" s="27" t="str">
        <f t="shared" si="8"/>
        <v/>
      </c>
      <c r="Y95" s="27" t="str">
        <f t="shared" si="9"/>
        <v/>
      </c>
      <c r="Z95" s="28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6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7" t="str">
        <f t="shared" si="7"/>
        <v/>
      </c>
      <c r="X96" s="27" t="str">
        <f t="shared" si="8"/>
        <v/>
      </c>
      <c r="Y96" s="27" t="str">
        <f t="shared" si="9"/>
        <v/>
      </c>
      <c r="Z96" s="28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6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7" t="str">
        <f t="shared" si="7"/>
        <v/>
      </c>
      <c r="X97" s="27" t="str">
        <f t="shared" si="8"/>
        <v/>
      </c>
      <c r="Y97" s="27" t="str">
        <f t="shared" si="9"/>
        <v/>
      </c>
      <c r="Z97" s="28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6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7" t="str">
        <f t="shared" si="7"/>
        <v/>
      </c>
      <c r="X98" s="27" t="str">
        <f t="shared" si="8"/>
        <v/>
      </c>
      <c r="Y98" s="27" t="str">
        <f t="shared" si="9"/>
        <v/>
      </c>
      <c r="Z98" s="28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6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7" t="str">
        <f t="shared" si="7"/>
        <v/>
      </c>
      <c r="X99" s="27" t="str">
        <f t="shared" si="8"/>
        <v/>
      </c>
      <c r="Y99" s="27" t="str">
        <f t="shared" si="9"/>
        <v/>
      </c>
      <c r="Z99" s="28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6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7" t="str">
        <f t="shared" si="7"/>
        <v/>
      </c>
      <c r="X100" s="27" t="str">
        <f t="shared" si="8"/>
        <v/>
      </c>
      <c r="Y100" s="27" t="str">
        <f t="shared" si="9"/>
        <v/>
      </c>
      <c r="Z100" s="28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6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7" t="str">
        <f t="shared" si="7"/>
        <v/>
      </c>
      <c r="X101" s="27" t="str">
        <f t="shared" si="8"/>
        <v/>
      </c>
      <c r="Y101" s="27" t="str">
        <f t="shared" si="9"/>
        <v/>
      </c>
      <c r="Z101" s="28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6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7" t="str">
        <f t="shared" si="7"/>
        <v/>
      </c>
      <c r="X102" s="27" t="str">
        <f t="shared" si="8"/>
        <v/>
      </c>
      <c r="Y102" s="27" t="str">
        <f t="shared" si="9"/>
        <v/>
      </c>
      <c r="Z102" s="28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6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7" t="str">
        <f t="shared" si="7"/>
        <v/>
      </c>
      <c r="X103" s="27" t="str">
        <f t="shared" si="8"/>
        <v/>
      </c>
      <c r="Y103" s="27" t="str">
        <f t="shared" si="9"/>
        <v/>
      </c>
      <c r="Z103" s="28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6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7" t="str">
        <f t="shared" si="7"/>
        <v/>
      </c>
      <c r="X104" s="27" t="str">
        <f t="shared" si="8"/>
        <v/>
      </c>
      <c r="Y104" s="27" t="str">
        <f t="shared" si="9"/>
        <v/>
      </c>
      <c r="Z104" s="28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6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7" t="str">
        <f t="shared" si="7"/>
        <v/>
      </c>
      <c r="X105" s="27" t="str">
        <f t="shared" si="8"/>
        <v/>
      </c>
      <c r="Y105" s="27" t="str">
        <f t="shared" si="9"/>
        <v/>
      </c>
      <c r="Z105" s="28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6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7" t="str">
        <f t="shared" si="7"/>
        <v/>
      </c>
      <c r="X106" s="27" t="str">
        <f t="shared" si="8"/>
        <v/>
      </c>
      <c r="Y106" s="27" t="str">
        <f t="shared" si="9"/>
        <v/>
      </c>
      <c r="Z106" s="28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6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7" t="str">
        <f t="shared" si="7"/>
        <v/>
      </c>
      <c r="X107" s="27" t="str">
        <f t="shared" si="8"/>
        <v/>
      </c>
      <c r="Y107" s="27" t="str">
        <f t="shared" si="9"/>
        <v/>
      </c>
      <c r="Z107" s="28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6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7" t="str">
        <f t="shared" si="7"/>
        <v/>
      </c>
      <c r="X108" s="27" t="str">
        <f t="shared" si="8"/>
        <v/>
      </c>
      <c r="Y108" s="27" t="str">
        <f t="shared" si="9"/>
        <v/>
      </c>
      <c r="Z108" s="28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6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7" t="str">
        <f t="shared" si="7"/>
        <v/>
      </c>
      <c r="X109" s="27" t="str">
        <f t="shared" si="8"/>
        <v/>
      </c>
      <c r="Y109" s="27" t="str">
        <f t="shared" si="9"/>
        <v/>
      </c>
      <c r="Z109" s="28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6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7" t="str">
        <f t="shared" si="7"/>
        <v/>
      </c>
      <c r="X110" s="27" t="str">
        <f t="shared" si="8"/>
        <v/>
      </c>
      <c r="Y110" s="27" t="str">
        <f t="shared" si="9"/>
        <v/>
      </c>
      <c r="Z110" s="28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6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7" t="str">
        <f t="shared" si="7"/>
        <v/>
      </c>
      <c r="X111" s="27" t="str">
        <f t="shared" si="8"/>
        <v/>
      </c>
      <c r="Y111" s="27" t="str">
        <f t="shared" si="9"/>
        <v/>
      </c>
      <c r="Z111" s="28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6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7" t="str">
        <f t="shared" si="7"/>
        <v/>
      </c>
      <c r="X112" s="27" t="str">
        <f t="shared" si="8"/>
        <v/>
      </c>
      <c r="Y112" s="27" t="str">
        <f t="shared" si="9"/>
        <v/>
      </c>
      <c r="Z112" s="28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6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7" t="str">
        <f t="shared" si="7"/>
        <v/>
      </c>
      <c r="X113" s="27" t="str">
        <f t="shared" si="8"/>
        <v/>
      </c>
      <c r="Y113" s="27" t="str">
        <f t="shared" si="9"/>
        <v/>
      </c>
      <c r="Z113" s="28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6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7" t="str">
        <f t="shared" si="7"/>
        <v/>
      </c>
      <c r="X114" s="27" t="str">
        <f t="shared" si="8"/>
        <v/>
      </c>
      <c r="Y114" s="27" t="str">
        <f t="shared" si="9"/>
        <v/>
      </c>
      <c r="Z114" s="28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6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7" t="str">
        <f t="shared" si="7"/>
        <v/>
      </c>
      <c r="X115" s="27" t="str">
        <f t="shared" si="8"/>
        <v/>
      </c>
      <c r="Y115" s="27" t="str">
        <f t="shared" si="9"/>
        <v/>
      </c>
      <c r="Z115" s="28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6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7" t="str">
        <f t="shared" si="7"/>
        <v/>
      </c>
      <c r="X116" s="27" t="str">
        <f t="shared" si="8"/>
        <v/>
      </c>
      <c r="Y116" s="27" t="str">
        <f t="shared" si="9"/>
        <v/>
      </c>
      <c r="Z116" s="28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6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7" t="str">
        <f t="shared" si="7"/>
        <v/>
      </c>
      <c r="X117" s="27" t="str">
        <f t="shared" si="8"/>
        <v/>
      </c>
      <c r="Y117" s="27" t="str">
        <f t="shared" si="9"/>
        <v/>
      </c>
      <c r="Z117" s="28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6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7" t="str">
        <f t="shared" si="7"/>
        <v/>
      </c>
      <c r="X118" s="27" t="str">
        <f t="shared" si="8"/>
        <v/>
      </c>
      <c r="Y118" s="27" t="str">
        <f t="shared" si="9"/>
        <v/>
      </c>
      <c r="Z118" s="28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6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7" t="str">
        <f t="shared" si="7"/>
        <v/>
      </c>
      <c r="X119" s="27" t="str">
        <f t="shared" si="8"/>
        <v/>
      </c>
      <c r="Y119" s="27" t="str">
        <f t="shared" si="9"/>
        <v/>
      </c>
      <c r="Z119" s="28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6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7" t="str">
        <f t="shared" si="7"/>
        <v/>
      </c>
      <c r="X120" s="27" t="str">
        <f t="shared" si="8"/>
        <v/>
      </c>
      <c r="Y120" s="27" t="str">
        <f t="shared" si="9"/>
        <v/>
      </c>
      <c r="Z120" s="28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6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7" t="str">
        <f t="shared" si="7"/>
        <v/>
      </c>
      <c r="X121" s="27" t="str">
        <f t="shared" si="8"/>
        <v/>
      </c>
      <c r="Y121" s="27" t="str">
        <f t="shared" si="9"/>
        <v/>
      </c>
      <c r="Z121" s="28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6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7" t="str">
        <f t="shared" si="7"/>
        <v/>
      </c>
      <c r="X122" s="27" t="str">
        <f t="shared" si="8"/>
        <v/>
      </c>
      <c r="Y122" s="27" t="str">
        <f t="shared" si="9"/>
        <v/>
      </c>
      <c r="Z122" s="28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6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7" t="str">
        <f t="shared" si="7"/>
        <v/>
      </c>
      <c r="X123" s="27" t="str">
        <f t="shared" si="8"/>
        <v/>
      </c>
      <c r="Y123" s="27" t="str">
        <f t="shared" si="9"/>
        <v/>
      </c>
      <c r="Z123" s="28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6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7" t="str">
        <f t="shared" si="7"/>
        <v/>
      </c>
      <c r="X124" s="27" t="str">
        <f t="shared" si="8"/>
        <v/>
      </c>
      <c r="Y124" s="27" t="str">
        <f t="shared" si="9"/>
        <v/>
      </c>
      <c r="Z124" s="28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6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7" t="str">
        <f t="shared" si="7"/>
        <v/>
      </c>
      <c r="X125" s="27" t="str">
        <f t="shared" si="8"/>
        <v/>
      </c>
      <c r="Y125" s="27" t="str">
        <f t="shared" si="9"/>
        <v/>
      </c>
      <c r="Z125" s="28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6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7" t="str">
        <f t="shared" si="7"/>
        <v/>
      </c>
      <c r="X126" s="27" t="str">
        <f t="shared" si="8"/>
        <v/>
      </c>
      <c r="Y126" s="27" t="str">
        <f t="shared" si="9"/>
        <v/>
      </c>
      <c r="Z126" s="28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6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7" t="str">
        <f t="shared" si="7"/>
        <v/>
      </c>
      <c r="X127" s="27" t="str">
        <f t="shared" si="8"/>
        <v/>
      </c>
      <c r="Y127" s="27" t="str">
        <f t="shared" si="9"/>
        <v/>
      </c>
      <c r="Z127" s="28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6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7" t="str">
        <f t="shared" si="7"/>
        <v/>
      </c>
      <c r="X128" s="27" t="str">
        <f t="shared" si="8"/>
        <v/>
      </c>
      <c r="Y128" s="27" t="str">
        <f t="shared" si="9"/>
        <v/>
      </c>
      <c r="Z128" s="28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6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7" t="str">
        <f t="shared" si="7"/>
        <v/>
      </c>
      <c r="X129" s="27" t="str">
        <f t="shared" si="8"/>
        <v/>
      </c>
      <c r="Y129" s="27" t="str">
        <f t="shared" si="9"/>
        <v/>
      </c>
      <c r="Z129" s="28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6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7" t="str">
        <f t="shared" ref="W130:W193" si="13">IF(B130="","",B130+3)</f>
        <v/>
      </c>
      <c r="X130" s="27" t="str">
        <f t="shared" ref="X130:X193" si="14">IF(B130="","",B130+5)</f>
        <v/>
      </c>
      <c r="Y130" s="27" t="str">
        <f t="shared" ref="Y130:Y193" si="15">IF(B130="","",B130+10)</f>
        <v/>
      </c>
      <c r="Z130" s="28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6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7" t="str">
        <f t="shared" si="13"/>
        <v/>
      </c>
      <c r="X131" s="27" t="str">
        <f t="shared" si="14"/>
        <v/>
      </c>
      <c r="Y131" s="27" t="str">
        <f t="shared" si="15"/>
        <v/>
      </c>
      <c r="Z131" s="28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6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7" t="str">
        <f t="shared" si="13"/>
        <v/>
      </c>
      <c r="X132" s="27" t="str">
        <f t="shared" si="14"/>
        <v/>
      </c>
      <c r="Y132" s="27" t="str">
        <f t="shared" si="15"/>
        <v/>
      </c>
      <c r="Z132" s="28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6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7" t="str">
        <f t="shared" si="13"/>
        <v/>
      </c>
      <c r="X133" s="27" t="str">
        <f t="shared" si="14"/>
        <v/>
      </c>
      <c r="Y133" s="27" t="str">
        <f t="shared" si="15"/>
        <v/>
      </c>
      <c r="Z133" s="28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6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7" t="str">
        <f t="shared" si="13"/>
        <v/>
      </c>
      <c r="X134" s="27" t="str">
        <f t="shared" si="14"/>
        <v/>
      </c>
      <c r="Y134" s="27" t="str">
        <f t="shared" si="15"/>
        <v/>
      </c>
      <c r="Z134" s="28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6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7" t="str">
        <f t="shared" si="13"/>
        <v/>
      </c>
      <c r="X135" s="27" t="str">
        <f t="shared" si="14"/>
        <v/>
      </c>
      <c r="Y135" s="27" t="str">
        <f t="shared" si="15"/>
        <v/>
      </c>
      <c r="Z135" s="28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6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7" t="str">
        <f t="shared" si="13"/>
        <v/>
      </c>
      <c r="X136" s="27" t="str">
        <f t="shared" si="14"/>
        <v/>
      </c>
      <c r="Y136" s="27" t="str">
        <f t="shared" si="15"/>
        <v/>
      </c>
      <c r="Z136" s="28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6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7" t="str">
        <f t="shared" si="13"/>
        <v/>
      </c>
      <c r="X137" s="27" t="str">
        <f t="shared" si="14"/>
        <v/>
      </c>
      <c r="Y137" s="27" t="str">
        <f t="shared" si="15"/>
        <v/>
      </c>
      <c r="Z137" s="28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6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7" t="str">
        <f t="shared" si="13"/>
        <v/>
      </c>
      <c r="X138" s="27" t="str">
        <f t="shared" si="14"/>
        <v/>
      </c>
      <c r="Y138" s="27" t="str">
        <f t="shared" si="15"/>
        <v/>
      </c>
      <c r="Z138" s="28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6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7" t="str">
        <f t="shared" si="13"/>
        <v/>
      </c>
      <c r="X139" s="27" t="str">
        <f t="shared" si="14"/>
        <v/>
      </c>
      <c r="Y139" s="27" t="str">
        <f t="shared" si="15"/>
        <v/>
      </c>
      <c r="Z139" s="28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6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7" t="str">
        <f t="shared" si="13"/>
        <v/>
      </c>
      <c r="X140" s="27" t="str">
        <f t="shared" si="14"/>
        <v/>
      </c>
      <c r="Y140" s="27" t="str">
        <f t="shared" si="15"/>
        <v/>
      </c>
      <c r="Z140" s="28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6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7" t="str">
        <f t="shared" si="13"/>
        <v/>
      </c>
      <c r="X141" s="27" t="str">
        <f t="shared" si="14"/>
        <v/>
      </c>
      <c r="Y141" s="27" t="str">
        <f t="shared" si="15"/>
        <v/>
      </c>
      <c r="Z141" s="28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6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7" t="str">
        <f t="shared" si="13"/>
        <v/>
      </c>
      <c r="X142" s="27" t="str">
        <f t="shared" si="14"/>
        <v/>
      </c>
      <c r="Y142" s="27" t="str">
        <f t="shared" si="15"/>
        <v/>
      </c>
      <c r="Z142" s="28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6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7" t="str">
        <f t="shared" si="13"/>
        <v/>
      </c>
      <c r="X143" s="27" t="str">
        <f t="shared" si="14"/>
        <v/>
      </c>
      <c r="Y143" s="27" t="str">
        <f t="shared" si="15"/>
        <v/>
      </c>
      <c r="Z143" s="28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6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7" t="str">
        <f t="shared" si="13"/>
        <v/>
      </c>
      <c r="X144" s="27" t="str">
        <f t="shared" si="14"/>
        <v/>
      </c>
      <c r="Y144" s="27" t="str">
        <f t="shared" si="15"/>
        <v/>
      </c>
      <c r="Z144" s="28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6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7" t="str">
        <f t="shared" si="13"/>
        <v/>
      </c>
      <c r="X145" s="27" t="str">
        <f t="shared" si="14"/>
        <v/>
      </c>
      <c r="Y145" s="27" t="str">
        <f t="shared" si="15"/>
        <v/>
      </c>
      <c r="Z145" s="28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6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7" t="str">
        <f t="shared" si="13"/>
        <v/>
      </c>
      <c r="X146" s="27" t="str">
        <f t="shared" si="14"/>
        <v/>
      </c>
      <c r="Y146" s="27" t="str">
        <f t="shared" si="15"/>
        <v/>
      </c>
      <c r="Z146" s="28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6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7" t="str">
        <f t="shared" si="13"/>
        <v/>
      </c>
      <c r="X147" s="27" t="str">
        <f t="shared" si="14"/>
        <v/>
      </c>
      <c r="Y147" s="27" t="str">
        <f t="shared" si="15"/>
        <v/>
      </c>
      <c r="Z147" s="28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6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7" t="str">
        <f t="shared" si="13"/>
        <v/>
      </c>
      <c r="X148" s="27" t="str">
        <f t="shared" si="14"/>
        <v/>
      </c>
      <c r="Y148" s="27" t="str">
        <f t="shared" si="15"/>
        <v/>
      </c>
      <c r="Z148" s="28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6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7" t="str">
        <f t="shared" si="13"/>
        <v/>
      </c>
      <c r="X149" s="27" t="str">
        <f t="shared" si="14"/>
        <v/>
      </c>
      <c r="Y149" s="27" t="str">
        <f t="shared" si="15"/>
        <v/>
      </c>
      <c r="Z149" s="28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6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7" t="str">
        <f t="shared" si="13"/>
        <v/>
      </c>
      <c r="X150" s="27" t="str">
        <f t="shared" si="14"/>
        <v/>
      </c>
      <c r="Y150" s="27" t="str">
        <f t="shared" si="15"/>
        <v/>
      </c>
      <c r="Z150" s="28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6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7" t="str">
        <f t="shared" si="13"/>
        <v/>
      </c>
      <c r="X151" s="27" t="str">
        <f t="shared" si="14"/>
        <v/>
      </c>
      <c r="Y151" s="27" t="str">
        <f t="shared" si="15"/>
        <v/>
      </c>
      <c r="Z151" s="28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6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7" t="str">
        <f t="shared" si="13"/>
        <v/>
      </c>
      <c r="X152" s="27" t="str">
        <f t="shared" si="14"/>
        <v/>
      </c>
      <c r="Y152" s="27" t="str">
        <f t="shared" si="15"/>
        <v/>
      </c>
      <c r="Z152" s="28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6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7" t="str">
        <f t="shared" si="13"/>
        <v/>
      </c>
      <c r="X153" s="27" t="str">
        <f t="shared" si="14"/>
        <v/>
      </c>
      <c r="Y153" s="27" t="str">
        <f t="shared" si="15"/>
        <v/>
      </c>
      <c r="Z153" s="28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6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7" t="str">
        <f t="shared" si="13"/>
        <v/>
      </c>
      <c r="X154" s="27" t="str">
        <f t="shared" si="14"/>
        <v/>
      </c>
      <c r="Y154" s="27" t="str">
        <f t="shared" si="15"/>
        <v/>
      </c>
      <c r="Z154" s="28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6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7" t="str">
        <f t="shared" si="13"/>
        <v/>
      </c>
      <c r="X155" s="27" t="str">
        <f t="shared" si="14"/>
        <v/>
      </c>
      <c r="Y155" s="27" t="str">
        <f t="shared" si="15"/>
        <v/>
      </c>
      <c r="Z155" s="28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6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7" t="str">
        <f t="shared" si="13"/>
        <v/>
      </c>
      <c r="X156" s="27" t="str">
        <f t="shared" si="14"/>
        <v/>
      </c>
      <c r="Y156" s="27" t="str">
        <f t="shared" si="15"/>
        <v/>
      </c>
      <c r="Z156" s="28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6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7" t="str">
        <f t="shared" si="13"/>
        <v/>
      </c>
      <c r="X157" s="27" t="str">
        <f t="shared" si="14"/>
        <v/>
      </c>
      <c r="Y157" s="27" t="str">
        <f t="shared" si="15"/>
        <v/>
      </c>
      <c r="Z157" s="28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6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7" t="str">
        <f t="shared" si="13"/>
        <v/>
      </c>
      <c r="X158" s="27" t="str">
        <f t="shared" si="14"/>
        <v/>
      </c>
      <c r="Y158" s="27" t="str">
        <f t="shared" si="15"/>
        <v/>
      </c>
      <c r="Z158" s="28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6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7" t="str">
        <f t="shared" si="13"/>
        <v/>
      </c>
      <c r="X159" s="27" t="str">
        <f t="shared" si="14"/>
        <v/>
      </c>
      <c r="Y159" s="27" t="str">
        <f t="shared" si="15"/>
        <v/>
      </c>
      <c r="Z159" s="28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6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7" t="str">
        <f t="shared" si="13"/>
        <v/>
      </c>
      <c r="X160" s="27" t="str">
        <f t="shared" si="14"/>
        <v/>
      </c>
      <c r="Y160" s="27" t="str">
        <f t="shared" si="15"/>
        <v/>
      </c>
      <c r="Z160" s="28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6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7" t="str">
        <f t="shared" si="13"/>
        <v/>
      </c>
      <c r="X161" s="27" t="str">
        <f t="shared" si="14"/>
        <v/>
      </c>
      <c r="Y161" s="27" t="str">
        <f t="shared" si="15"/>
        <v/>
      </c>
      <c r="Z161" s="28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6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7" t="str">
        <f t="shared" si="13"/>
        <v/>
      </c>
      <c r="X162" s="27" t="str">
        <f t="shared" si="14"/>
        <v/>
      </c>
      <c r="Y162" s="27" t="str">
        <f t="shared" si="15"/>
        <v/>
      </c>
      <c r="Z162" s="28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6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7" t="str">
        <f t="shared" si="13"/>
        <v/>
      </c>
      <c r="X163" s="27" t="str">
        <f t="shared" si="14"/>
        <v/>
      </c>
      <c r="Y163" s="27" t="str">
        <f t="shared" si="15"/>
        <v/>
      </c>
      <c r="Z163" s="28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6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7" t="str">
        <f t="shared" si="13"/>
        <v/>
      </c>
      <c r="X164" s="27" t="str">
        <f t="shared" si="14"/>
        <v/>
      </c>
      <c r="Y164" s="27" t="str">
        <f t="shared" si="15"/>
        <v/>
      </c>
      <c r="Z164" s="28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6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7" t="str">
        <f t="shared" si="13"/>
        <v/>
      </c>
      <c r="X165" s="27" t="str">
        <f t="shared" si="14"/>
        <v/>
      </c>
      <c r="Y165" s="27" t="str">
        <f t="shared" si="15"/>
        <v/>
      </c>
      <c r="Z165" s="28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6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7" t="str">
        <f t="shared" si="13"/>
        <v/>
      </c>
      <c r="X166" s="27" t="str">
        <f t="shared" si="14"/>
        <v/>
      </c>
      <c r="Y166" s="27" t="str">
        <f t="shared" si="15"/>
        <v/>
      </c>
      <c r="Z166" s="28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6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7" t="str">
        <f t="shared" si="13"/>
        <v/>
      </c>
      <c r="X167" s="27" t="str">
        <f t="shared" si="14"/>
        <v/>
      </c>
      <c r="Y167" s="27" t="str">
        <f t="shared" si="15"/>
        <v/>
      </c>
      <c r="Z167" s="28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6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7" t="str">
        <f t="shared" si="13"/>
        <v/>
      </c>
      <c r="X168" s="27" t="str">
        <f t="shared" si="14"/>
        <v/>
      </c>
      <c r="Y168" s="27" t="str">
        <f t="shared" si="15"/>
        <v/>
      </c>
      <c r="Z168" s="28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6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7" t="str">
        <f t="shared" si="13"/>
        <v/>
      </c>
      <c r="X169" s="27" t="str">
        <f t="shared" si="14"/>
        <v/>
      </c>
      <c r="Y169" s="27" t="str">
        <f t="shared" si="15"/>
        <v/>
      </c>
      <c r="Z169" s="28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6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7" t="str">
        <f t="shared" si="13"/>
        <v/>
      </c>
      <c r="X170" s="27" t="str">
        <f t="shared" si="14"/>
        <v/>
      </c>
      <c r="Y170" s="27" t="str">
        <f t="shared" si="15"/>
        <v/>
      </c>
      <c r="Z170" s="28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6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7" t="str">
        <f t="shared" si="13"/>
        <v/>
      </c>
      <c r="X171" s="27" t="str">
        <f t="shared" si="14"/>
        <v/>
      </c>
      <c r="Y171" s="27" t="str">
        <f t="shared" si="15"/>
        <v/>
      </c>
      <c r="Z171" s="28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6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7" t="str">
        <f t="shared" si="13"/>
        <v/>
      </c>
      <c r="X172" s="27" t="str">
        <f t="shared" si="14"/>
        <v/>
      </c>
      <c r="Y172" s="27" t="str">
        <f t="shared" si="15"/>
        <v/>
      </c>
      <c r="Z172" s="28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6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7" t="str">
        <f t="shared" si="13"/>
        <v/>
      </c>
      <c r="X173" s="27" t="str">
        <f t="shared" si="14"/>
        <v/>
      </c>
      <c r="Y173" s="27" t="str">
        <f t="shared" si="15"/>
        <v/>
      </c>
      <c r="Z173" s="28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6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7" t="str">
        <f t="shared" si="13"/>
        <v/>
      </c>
      <c r="X174" s="27" t="str">
        <f t="shared" si="14"/>
        <v/>
      </c>
      <c r="Y174" s="27" t="str">
        <f t="shared" si="15"/>
        <v/>
      </c>
      <c r="Z174" s="28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6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7" t="str">
        <f t="shared" si="13"/>
        <v/>
      </c>
      <c r="X175" s="27" t="str">
        <f t="shared" si="14"/>
        <v/>
      </c>
      <c r="Y175" s="27" t="str">
        <f t="shared" si="15"/>
        <v/>
      </c>
      <c r="Z175" s="28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6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7" t="str">
        <f t="shared" si="13"/>
        <v/>
      </c>
      <c r="X176" s="27" t="str">
        <f t="shared" si="14"/>
        <v/>
      </c>
      <c r="Y176" s="27" t="str">
        <f t="shared" si="15"/>
        <v/>
      </c>
      <c r="Z176" s="28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6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7" t="str">
        <f t="shared" si="13"/>
        <v/>
      </c>
      <c r="X177" s="27" t="str">
        <f t="shared" si="14"/>
        <v/>
      </c>
      <c r="Y177" s="27" t="str">
        <f t="shared" si="15"/>
        <v/>
      </c>
      <c r="Z177" s="28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6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7" t="str">
        <f t="shared" si="13"/>
        <v/>
      </c>
      <c r="X178" s="27" t="str">
        <f t="shared" si="14"/>
        <v/>
      </c>
      <c r="Y178" s="27" t="str">
        <f t="shared" si="15"/>
        <v/>
      </c>
      <c r="Z178" s="28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6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7" t="str">
        <f t="shared" si="13"/>
        <v/>
      </c>
      <c r="X179" s="27" t="str">
        <f t="shared" si="14"/>
        <v/>
      </c>
      <c r="Y179" s="27" t="str">
        <f t="shared" si="15"/>
        <v/>
      </c>
      <c r="Z179" s="28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6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7" t="str">
        <f t="shared" si="13"/>
        <v/>
      </c>
      <c r="X180" s="27" t="str">
        <f t="shared" si="14"/>
        <v/>
      </c>
      <c r="Y180" s="27" t="str">
        <f t="shared" si="15"/>
        <v/>
      </c>
      <c r="Z180" s="28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6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7" t="str">
        <f t="shared" si="13"/>
        <v/>
      </c>
      <c r="X181" s="27" t="str">
        <f t="shared" si="14"/>
        <v/>
      </c>
      <c r="Y181" s="27" t="str">
        <f t="shared" si="15"/>
        <v/>
      </c>
      <c r="Z181" s="28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6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7" t="str">
        <f t="shared" si="13"/>
        <v/>
      </c>
      <c r="X182" s="27" t="str">
        <f t="shared" si="14"/>
        <v/>
      </c>
      <c r="Y182" s="27" t="str">
        <f t="shared" si="15"/>
        <v/>
      </c>
      <c r="Z182" s="28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6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7" t="str">
        <f t="shared" si="13"/>
        <v/>
      </c>
      <c r="X183" s="27" t="str">
        <f t="shared" si="14"/>
        <v/>
      </c>
      <c r="Y183" s="27" t="str">
        <f t="shared" si="15"/>
        <v/>
      </c>
      <c r="Z183" s="28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6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7" t="str">
        <f t="shared" si="13"/>
        <v/>
      </c>
      <c r="X184" s="27" t="str">
        <f t="shared" si="14"/>
        <v/>
      </c>
      <c r="Y184" s="27" t="str">
        <f t="shared" si="15"/>
        <v/>
      </c>
      <c r="Z184" s="28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6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7" t="str">
        <f t="shared" si="13"/>
        <v/>
      </c>
      <c r="X185" s="27" t="str">
        <f t="shared" si="14"/>
        <v/>
      </c>
      <c r="Y185" s="27" t="str">
        <f t="shared" si="15"/>
        <v/>
      </c>
      <c r="Z185" s="28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6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7" t="str">
        <f t="shared" si="13"/>
        <v/>
      </c>
      <c r="X186" s="27" t="str">
        <f t="shared" si="14"/>
        <v/>
      </c>
      <c r="Y186" s="27" t="str">
        <f t="shared" si="15"/>
        <v/>
      </c>
      <c r="Z186" s="28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6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7" t="str">
        <f t="shared" si="13"/>
        <v/>
      </c>
      <c r="X187" s="27" t="str">
        <f t="shared" si="14"/>
        <v/>
      </c>
      <c r="Y187" s="27" t="str">
        <f t="shared" si="15"/>
        <v/>
      </c>
      <c r="Z187" s="28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6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7" t="str">
        <f t="shared" si="13"/>
        <v/>
      </c>
      <c r="X188" s="27" t="str">
        <f t="shared" si="14"/>
        <v/>
      </c>
      <c r="Y188" s="27" t="str">
        <f t="shared" si="15"/>
        <v/>
      </c>
      <c r="Z188" s="28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6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7" t="str">
        <f t="shared" si="13"/>
        <v/>
      </c>
      <c r="X189" s="27" t="str">
        <f t="shared" si="14"/>
        <v/>
      </c>
      <c r="Y189" s="27" t="str">
        <f t="shared" si="15"/>
        <v/>
      </c>
      <c r="Z189" s="28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6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7" t="str">
        <f t="shared" si="13"/>
        <v/>
      </c>
      <c r="X190" s="27" t="str">
        <f t="shared" si="14"/>
        <v/>
      </c>
      <c r="Y190" s="27" t="str">
        <f t="shared" si="15"/>
        <v/>
      </c>
      <c r="Z190" s="28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6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7" t="str">
        <f t="shared" si="13"/>
        <v/>
      </c>
      <c r="X191" s="27" t="str">
        <f t="shared" si="14"/>
        <v/>
      </c>
      <c r="Y191" s="27" t="str">
        <f t="shared" si="15"/>
        <v/>
      </c>
      <c r="Z191" s="28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6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7" t="str">
        <f t="shared" si="13"/>
        <v/>
      </c>
      <c r="X192" s="27" t="str">
        <f t="shared" si="14"/>
        <v/>
      </c>
      <c r="Y192" s="27" t="str">
        <f t="shared" si="15"/>
        <v/>
      </c>
      <c r="Z192" s="28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6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7" t="str">
        <f t="shared" si="13"/>
        <v/>
      </c>
      <c r="X193" s="27" t="str">
        <f t="shared" si="14"/>
        <v/>
      </c>
      <c r="Y193" s="27" t="str">
        <f t="shared" si="15"/>
        <v/>
      </c>
      <c r="Z193" s="28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6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7" t="str">
        <f t="shared" ref="W194:W257" si="19">IF(B194="","",B194+3)</f>
        <v/>
      </c>
      <c r="X194" s="27" t="str">
        <f t="shared" ref="X194:X257" si="20">IF(B194="","",B194+5)</f>
        <v/>
      </c>
      <c r="Y194" s="27" t="str">
        <f t="shared" ref="Y194:Y257" si="21">IF(B194="","",B194+10)</f>
        <v/>
      </c>
      <c r="Z194" s="28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6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7" t="str">
        <f t="shared" si="19"/>
        <v/>
      </c>
      <c r="X195" s="27" t="str">
        <f t="shared" si="20"/>
        <v/>
      </c>
      <c r="Y195" s="27" t="str">
        <f t="shared" si="21"/>
        <v/>
      </c>
      <c r="Z195" s="28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6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7" t="str">
        <f t="shared" si="19"/>
        <v/>
      </c>
      <c r="X196" s="27" t="str">
        <f t="shared" si="20"/>
        <v/>
      </c>
      <c r="Y196" s="27" t="str">
        <f t="shared" si="21"/>
        <v/>
      </c>
      <c r="Z196" s="28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6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7" t="str">
        <f t="shared" si="19"/>
        <v/>
      </c>
      <c r="X197" s="27" t="str">
        <f t="shared" si="20"/>
        <v/>
      </c>
      <c r="Y197" s="27" t="str">
        <f t="shared" si="21"/>
        <v/>
      </c>
      <c r="Z197" s="28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6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7" t="str">
        <f t="shared" si="19"/>
        <v/>
      </c>
      <c r="X198" s="27" t="str">
        <f t="shared" si="20"/>
        <v/>
      </c>
      <c r="Y198" s="27" t="str">
        <f t="shared" si="21"/>
        <v/>
      </c>
      <c r="Z198" s="28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6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7" t="str">
        <f t="shared" si="19"/>
        <v/>
      </c>
      <c r="X199" s="27" t="str">
        <f t="shared" si="20"/>
        <v/>
      </c>
      <c r="Y199" s="27" t="str">
        <f t="shared" si="21"/>
        <v/>
      </c>
      <c r="Z199" s="28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6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7" t="str">
        <f t="shared" si="19"/>
        <v/>
      </c>
      <c r="X200" s="27" t="str">
        <f t="shared" si="20"/>
        <v/>
      </c>
      <c r="Y200" s="27" t="str">
        <f t="shared" si="21"/>
        <v/>
      </c>
      <c r="Z200" s="28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6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7" t="str">
        <f t="shared" si="19"/>
        <v/>
      </c>
      <c r="X201" s="27" t="str">
        <f t="shared" si="20"/>
        <v/>
      </c>
      <c r="Y201" s="27" t="str">
        <f t="shared" si="21"/>
        <v/>
      </c>
      <c r="Z201" s="28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6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7" t="str">
        <f t="shared" si="19"/>
        <v/>
      </c>
      <c r="X202" s="27" t="str">
        <f t="shared" si="20"/>
        <v/>
      </c>
      <c r="Y202" s="27" t="str">
        <f t="shared" si="21"/>
        <v/>
      </c>
      <c r="Z202" s="28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6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7" t="str">
        <f t="shared" si="19"/>
        <v/>
      </c>
      <c r="X203" s="27" t="str">
        <f t="shared" si="20"/>
        <v/>
      </c>
      <c r="Y203" s="27" t="str">
        <f t="shared" si="21"/>
        <v/>
      </c>
      <c r="Z203" s="28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6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7" t="str">
        <f t="shared" si="19"/>
        <v/>
      </c>
      <c r="X204" s="27" t="str">
        <f t="shared" si="20"/>
        <v/>
      </c>
      <c r="Y204" s="27" t="str">
        <f t="shared" si="21"/>
        <v/>
      </c>
      <c r="Z204" s="28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6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7" t="str">
        <f t="shared" si="19"/>
        <v/>
      </c>
      <c r="X205" s="27" t="str">
        <f t="shared" si="20"/>
        <v/>
      </c>
      <c r="Y205" s="27" t="str">
        <f t="shared" si="21"/>
        <v/>
      </c>
      <c r="Z205" s="28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6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7" t="str">
        <f t="shared" si="19"/>
        <v/>
      </c>
      <c r="X206" s="27" t="str">
        <f t="shared" si="20"/>
        <v/>
      </c>
      <c r="Y206" s="27" t="str">
        <f t="shared" si="21"/>
        <v/>
      </c>
      <c r="Z206" s="28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6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7" t="str">
        <f t="shared" si="19"/>
        <v/>
      </c>
      <c r="X207" s="27" t="str">
        <f t="shared" si="20"/>
        <v/>
      </c>
      <c r="Y207" s="27" t="str">
        <f t="shared" si="21"/>
        <v/>
      </c>
      <c r="Z207" s="28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6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7" t="str">
        <f t="shared" si="19"/>
        <v/>
      </c>
      <c r="X208" s="27" t="str">
        <f t="shared" si="20"/>
        <v/>
      </c>
      <c r="Y208" s="27" t="str">
        <f t="shared" si="21"/>
        <v/>
      </c>
      <c r="Z208" s="28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6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7" t="str">
        <f t="shared" si="19"/>
        <v/>
      </c>
      <c r="X209" s="27" t="str">
        <f t="shared" si="20"/>
        <v/>
      </c>
      <c r="Y209" s="27" t="str">
        <f t="shared" si="21"/>
        <v/>
      </c>
      <c r="Z209" s="28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6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7" t="str">
        <f t="shared" si="19"/>
        <v/>
      </c>
      <c r="X210" s="27" t="str">
        <f t="shared" si="20"/>
        <v/>
      </c>
      <c r="Y210" s="27" t="str">
        <f t="shared" si="21"/>
        <v/>
      </c>
      <c r="Z210" s="28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6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7" t="str">
        <f t="shared" si="19"/>
        <v/>
      </c>
      <c r="X211" s="27" t="str">
        <f t="shared" si="20"/>
        <v/>
      </c>
      <c r="Y211" s="27" t="str">
        <f t="shared" si="21"/>
        <v/>
      </c>
      <c r="Z211" s="28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6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7" t="str">
        <f t="shared" si="19"/>
        <v/>
      </c>
      <c r="X212" s="27" t="str">
        <f t="shared" si="20"/>
        <v/>
      </c>
      <c r="Y212" s="27" t="str">
        <f t="shared" si="21"/>
        <v/>
      </c>
      <c r="Z212" s="28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6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7" t="str">
        <f t="shared" si="19"/>
        <v/>
      </c>
      <c r="X213" s="27" t="str">
        <f t="shared" si="20"/>
        <v/>
      </c>
      <c r="Y213" s="27" t="str">
        <f t="shared" si="21"/>
        <v/>
      </c>
      <c r="Z213" s="28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6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7" t="str">
        <f t="shared" si="19"/>
        <v/>
      </c>
      <c r="X214" s="27" t="str">
        <f t="shared" si="20"/>
        <v/>
      </c>
      <c r="Y214" s="27" t="str">
        <f t="shared" si="21"/>
        <v/>
      </c>
      <c r="Z214" s="28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6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7" t="str">
        <f t="shared" si="19"/>
        <v/>
      </c>
      <c r="X215" s="27" t="str">
        <f t="shared" si="20"/>
        <v/>
      </c>
      <c r="Y215" s="27" t="str">
        <f t="shared" si="21"/>
        <v/>
      </c>
      <c r="Z215" s="28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6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7" t="str">
        <f t="shared" si="19"/>
        <v/>
      </c>
      <c r="X216" s="27" t="str">
        <f t="shared" si="20"/>
        <v/>
      </c>
      <c r="Y216" s="27" t="str">
        <f t="shared" si="21"/>
        <v/>
      </c>
      <c r="Z216" s="28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6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7" t="str">
        <f t="shared" si="19"/>
        <v/>
      </c>
      <c r="X217" s="27" t="str">
        <f t="shared" si="20"/>
        <v/>
      </c>
      <c r="Y217" s="27" t="str">
        <f t="shared" si="21"/>
        <v/>
      </c>
      <c r="Z217" s="28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6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7" t="str">
        <f t="shared" si="19"/>
        <v/>
      </c>
      <c r="X218" s="27" t="str">
        <f t="shared" si="20"/>
        <v/>
      </c>
      <c r="Y218" s="27" t="str">
        <f t="shared" si="21"/>
        <v/>
      </c>
      <c r="Z218" s="28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6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7" t="str">
        <f t="shared" si="19"/>
        <v/>
      </c>
      <c r="X219" s="27" t="str">
        <f t="shared" si="20"/>
        <v/>
      </c>
      <c r="Y219" s="27" t="str">
        <f t="shared" si="21"/>
        <v/>
      </c>
      <c r="Z219" s="28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6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7" t="str">
        <f t="shared" si="19"/>
        <v/>
      </c>
      <c r="X220" s="27" t="str">
        <f t="shared" si="20"/>
        <v/>
      </c>
      <c r="Y220" s="27" t="str">
        <f t="shared" si="21"/>
        <v/>
      </c>
      <c r="Z220" s="28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6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7" t="str">
        <f t="shared" si="19"/>
        <v/>
      </c>
      <c r="X221" s="27" t="str">
        <f t="shared" si="20"/>
        <v/>
      </c>
      <c r="Y221" s="27" t="str">
        <f t="shared" si="21"/>
        <v/>
      </c>
      <c r="Z221" s="28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6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7" t="str">
        <f t="shared" si="19"/>
        <v/>
      </c>
      <c r="X222" s="27" t="str">
        <f t="shared" si="20"/>
        <v/>
      </c>
      <c r="Y222" s="27" t="str">
        <f t="shared" si="21"/>
        <v/>
      </c>
      <c r="Z222" s="28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6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7" t="str">
        <f t="shared" si="19"/>
        <v/>
      </c>
      <c r="X223" s="27" t="str">
        <f t="shared" si="20"/>
        <v/>
      </c>
      <c r="Y223" s="27" t="str">
        <f t="shared" si="21"/>
        <v/>
      </c>
      <c r="Z223" s="28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6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7" t="str">
        <f t="shared" si="19"/>
        <v/>
      </c>
      <c r="X224" s="27" t="str">
        <f t="shared" si="20"/>
        <v/>
      </c>
      <c r="Y224" s="27" t="str">
        <f t="shared" si="21"/>
        <v/>
      </c>
      <c r="Z224" s="28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6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7" t="str">
        <f t="shared" si="19"/>
        <v/>
      </c>
      <c r="X225" s="27" t="str">
        <f t="shared" si="20"/>
        <v/>
      </c>
      <c r="Y225" s="27" t="str">
        <f t="shared" si="21"/>
        <v/>
      </c>
      <c r="Z225" s="28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6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7" t="str">
        <f t="shared" si="19"/>
        <v/>
      </c>
      <c r="X226" s="27" t="str">
        <f t="shared" si="20"/>
        <v/>
      </c>
      <c r="Y226" s="27" t="str">
        <f t="shared" si="21"/>
        <v/>
      </c>
      <c r="Z226" s="28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6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7" t="str">
        <f t="shared" si="19"/>
        <v/>
      </c>
      <c r="X227" s="27" t="str">
        <f t="shared" si="20"/>
        <v/>
      </c>
      <c r="Y227" s="27" t="str">
        <f t="shared" si="21"/>
        <v/>
      </c>
      <c r="Z227" s="28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6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7" t="str">
        <f t="shared" si="19"/>
        <v/>
      </c>
      <c r="X228" s="27" t="str">
        <f t="shared" si="20"/>
        <v/>
      </c>
      <c r="Y228" s="27" t="str">
        <f t="shared" si="21"/>
        <v/>
      </c>
      <c r="Z228" s="28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6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7" t="str">
        <f t="shared" si="19"/>
        <v/>
      </c>
      <c r="X229" s="27" t="str">
        <f t="shared" si="20"/>
        <v/>
      </c>
      <c r="Y229" s="27" t="str">
        <f t="shared" si="21"/>
        <v/>
      </c>
      <c r="Z229" s="28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6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7" t="str">
        <f t="shared" si="19"/>
        <v/>
      </c>
      <c r="X230" s="27" t="str">
        <f t="shared" si="20"/>
        <v/>
      </c>
      <c r="Y230" s="27" t="str">
        <f t="shared" si="21"/>
        <v/>
      </c>
      <c r="Z230" s="28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6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7" t="str">
        <f t="shared" si="19"/>
        <v/>
      </c>
      <c r="X231" s="27" t="str">
        <f t="shared" si="20"/>
        <v/>
      </c>
      <c r="Y231" s="27" t="str">
        <f t="shared" si="21"/>
        <v/>
      </c>
      <c r="Z231" s="28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6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7" t="str">
        <f t="shared" si="19"/>
        <v/>
      </c>
      <c r="X232" s="27" t="str">
        <f t="shared" si="20"/>
        <v/>
      </c>
      <c r="Y232" s="27" t="str">
        <f t="shared" si="21"/>
        <v/>
      </c>
      <c r="Z232" s="28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6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7" t="str">
        <f t="shared" si="19"/>
        <v/>
      </c>
      <c r="X233" s="27" t="str">
        <f t="shared" si="20"/>
        <v/>
      </c>
      <c r="Y233" s="27" t="str">
        <f t="shared" si="21"/>
        <v/>
      </c>
      <c r="Z233" s="28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6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7" t="str">
        <f t="shared" si="19"/>
        <v/>
      </c>
      <c r="X234" s="27" t="str">
        <f t="shared" si="20"/>
        <v/>
      </c>
      <c r="Y234" s="27" t="str">
        <f t="shared" si="21"/>
        <v/>
      </c>
      <c r="Z234" s="28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6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7" t="str">
        <f t="shared" si="19"/>
        <v/>
      </c>
      <c r="X235" s="27" t="str">
        <f t="shared" si="20"/>
        <v/>
      </c>
      <c r="Y235" s="27" t="str">
        <f t="shared" si="21"/>
        <v/>
      </c>
      <c r="Z235" s="28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6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7" t="str">
        <f t="shared" si="19"/>
        <v/>
      </c>
      <c r="X236" s="27" t="str">
        <f t="shared" si="20"/>
        <v/>
      </c>
      <c r="Y236" s="27" t="str">
        <f t="shared" si="21"/>
        <v/>
      </c>
      <c r="Z236" s="28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6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7" t="str">
        <f t="shared" si="19"/>
        <v/>
      </c>
      <c r="X237" s="27" t="str">
        <f t="shared" si="20"/>
        <v/>
      </c>
      <c r="Y237" s="27" t="str">
        <f t="shared" si="21"/>
        <v/>
      </c>
      <c r="Z237" s="28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6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7" t="str">
        <f t="shared" si="19"/>
        <v/>
      </c>
      <c r="X238" s="27" t="str">
        <f t="shared" si="20"/>
        <v/>
      </c>
      <c r="Y238" s="27" t="str">
        <f t="shared" si="21"/>
        <v/>
      </c>
      <c r="Z238" s="28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6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7" t="str">
        <f t="shared" si="19"/>
        <v/>
      </c>
      <c r="X239" s="27" t="str">
        <f t="shared" si="20"/>
        <v/>
      </c>
      <c r="Y239" s="27" t="str">
        <f t="shared" si="21"/>
        <v/>
      </c>
      <c r="Z239" s="28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6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7" t="str">
        <f t="shared" si="19"/>
        <v/>
      </c>
      <c r="X240" s="27" t="str">
        <f t="shared" si="20"/>
        <v/>
      </c>
      <c r="Y240" s="27" t="str">
        <f t="shared" si="21"/>
        <v/>
      </c>
      <c r="Z240" s="28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6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7" t="str">
        <f t="shared" si="19"/>
        <v/>
      </c>
      <c r="X241" s="27" t="str">
        <f t="shared" si="20"/>
        <v/>
      </c>
      <c r="Y241" s="27" t="str">
        <f t="shared" si="21"/>
        <v/>
      </c>
      <c r="Z241" s="28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6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7" t="str">
        <f t="shared" si="19"/>
        <v/>
      </c>
      <c r="X242" s="27" t="str">
        <f t="shared" si="20"/>
        <v/>
      </c>
      <c r="Y242" s="27" t="str">
        <f t="shared" si="21"/>
        <v/>
      </c>
      <c r="Z242" s="28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6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7" t="str">
        <f t="shared" si="19"/>
        <v/>
      </c>
      <c r="X243" s="27" t="str">
        <f t="shared" si="20"/>
        <v/>
      </c>
      <c r="Y243" s="27" t="str">
        <f t="shared" si="21"/>
        <v/>
      </c>
      <c r="Z243" s="28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6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7" t="str">
        <f t="shared" si="19"/>
        <v/>
      </c>
      <c r="X244" s="27" t="str">
        <f t="shared" si="20"/>
        <v/>
      </c>
      <c r="Y244" s="27" t="str">
        <f t="shared" si="21"/>
        <v/>
      </c>
      <c r="Z244" s="28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6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7" t="str">
        <f t="shared" si="19"/>
        <v/>
      </c>
      <c r="X245" s="27" t="str">
        <f t="shared" si="20"/>
        <v/>
      </c>
      <c r="Y245" s="27" t="str">
        <f t="shared" si="21"/>
        <v/>
      </c>
      <c r="Z245" s="28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6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7" t="str">
        <f t="shared" si="19"/>
        <v/>
      </c>
      <c r="X246" s="27" t="str">
        <f t="shared" si="20"/>
        <v/>
      </c>
      <c r="Y246" s="27" t="str">
        <f t="shared" si="21"/>
        <v/>
      </c>
      <c r="Z246" s="28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6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7" t="str">
        <f t="shared" si="19"/>
        <v/>
      </c>
      <c r="X247" s="27" t="str">
        <f t="shared" si="20"/>
        <v/>
      </c>
      <c r="Y247" s="27" t="str">
        <f t="shared" si="21"/>
        <v/>
      </c>
      <c r="Z247" s="28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6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7" t="str">
        <f t="shared" si="19"/>
        <v/>
      </c>
      <c r="X248" s="27" t="str">
        <f t="shared" si="20"/>
        <v/>
      </c>
      <c r="Y248" s="27" t="str">
        <f t="shared" si="21"/>
        <v/>
      </c>
      <c r="Z248" s="28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6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7" t="str">
        <f t="shared" si="19"/>
        <v/>
      </c>
      <c r="X249" s="27" t="str">
        <f t="shared" si="20"/>
        <v/>
      </c>
      <c r="Y249" s="27" t="str">
        <f t="shared" si="21"/>
        <v/>
      </c>
      <c r="Z249" s="28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6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7" t="str">
        <f t="shared" si="19"/>
        <v/>
      </c>
      <c r="X250" s="27" t="str">
        <f t="shared" si="20"/>
        <v/>
      </c>
      <c r="Y250" s="27" t="str">
        <f t="shared" si="21"/>
        <v/>
      </c>
      <c r="Z250" s="28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6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7" t="str">
        <f t="shared" si="19"/>
        <v/>
      </c>
      <c r="X251" s="27" t="str">
        <f t="shared" si="20"/>
        <v/>
      </c>
      <c r="Y251" s="27" t="str">
        <f t="shared" si="21"/>
        <v/>
      </c>
      <c r="Z251" s="28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6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7" t="str">
        <f t="shared" si="19"/>
        <v/>
      </c>
      <c r="X252" s="27" t="str">
        <f t="shared" si="20"/>
        <v/>
      </c>
      <c r="Y252" s="27" t="str">
        <f t="shared" si="21"/>
        <v/>
      </c>
      <c r="Z252" s="28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6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7" t="str">
        <f t="shared" si="19"/>
        <v/>
      </c>
      <c r="X253" s="27" t="str">
        <f t="shared" si="20"/>
        <v/>
      </c>
      <c r="Y253" s="27" t="str">
        <f t="shared" si="21"/>
        <v/>
      </c>
      <c r="Z253" s="28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6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7" t="str">
        <f t="shared" si="19"/>
        <v/>
      </c>
      <c r="X254" s="27" t="str">
        <f t="shared" si="20"/>
        <v/>
      </c>
      <c r="Y254" s="27" t="str">
        <f t="shared" si="21"/>
        <v/>
      </c>
      <c r="Z254" s="28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6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7" t="str">
        <f t="shared" si="19"/>
        <v/>
      </c>
      <c r="X255" s="27" t="str">
        <f t="shared" si="20"/>
        <v/>
      </c>
      <c r="Y255" s="27" t="str">
        <f t="shared" si="21"/>
        <v/>
      </c>
      <c r="Z255" s="28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6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7" t="str">
        <f t="shared" si="19"/>
        <v/>
      </c>
      <c r="X256" s="27" t="str">
        <f t="shared" si="20"/>
        <v/>
      </c>
      <c r="Y256" s="27" t="str">
        <f t="shared" si="21"/>
        <v/>
      </c>
      <c r="Z256" s="28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6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7" t="str">
        <f t="shared" si="19"/>
        <v/>
      </c>
      <c r="X257" s="27" t="str">
        <f t="shared" si="20"/>
        <v/>
      </c>
      <c r="Y257" s="27" t="str">
        <f t="shared" si="21"/>
        <v/>
      </c>
      <c r="Z257" s="28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6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7" t="str">
        <f t="shared" ref="W258:W321" si="25">IF(B258="","",B258+3)</f>
        <v/>
      </c>
      <c r="X258" s="27" t="str">
        <f t="shared" ref="X258:X321" si="26">IF(B258="","",B258+5)</f>
        <v/>
      </c>
      <c r="Y258" s="27" t="str">
        <f t="shared" ref="Y258:Y321" si="27">IF(B258="","",B258+10)</f>
        <v/>
      </c>
      <c r="Z258" s="28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6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7" t="str">
        <f t="shared" si="25"/>
        <v/>
      </c>
      <c r="X259" s="27" t="str">
        <f t="shared" si="26"/>
        <v/>
      </c>
      <c r="Y259" s="27" t="str">
        <f t="shared" si="27"/>
        <v/>
      </c>
      <c r="Z259" s="28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6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7" t="str">
        <f t="shared" si="25"/>
        <v/>
      </c>
      <c r="X260" s="27" t="str">
        <f t="shared" si="26"/>
        <v/>
      </c>
      <c r="Y260" s="27" t="str">
        <f t="shared" si="27"/>
        <v/>
      </c>
      <c r="Z260" s="28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6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7" t="str">
        <f t="shared" si="25"/>
        <v/>
      </c>
      <c r="X261" s="27" t="str">
        <f t="shared" si="26"/>
        <v/>
      </c>
      <c r="Y261" s="27" t="str">
        <f t="shared" si="27"/>
        <v/>
      </c>
      <c r="Z261" s="28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6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7" t="str">
        <f t="shared" si="25"/>
        <v/>
      </c>
      <c r="X262" s="27" t="str">
        <f t="shared" si="26"/>
        <v/>
      </c>
      <c r="Y262" s="27" t="str">
        <f t="shared" si="27"/>
        <v/>
      </c>
      <c r="Z262" s="28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6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7" t="str">
        <f t="shared" si="25"/>
        <v/>
      </c>
      <c r="X263" s="27" t="str">
        <f t="shared" si="26"/>
        <v/>
      </c>
      <c r="Y263" s="27" t="str">
        <f t="shared" si="27"/>
        <v/>
      </c>
      <c r="Z263" s="28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6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7" t="str">
        <f t="shared" si="25"/>
        <v/>
      </c>
      <c r="X264" s="27" t="str">
        <f t="shared" si="26"/>
        <v/>
      </c>
      <c r="Y264" s="27" t="str">
        <f t="shared" si="27"/>
        <v/>
      </c>
      <c r="Z264" s="28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6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7" t="str">
        <f t="shared" si="25"/>
        <v/>
      </c>
      <c r="X265" s="27" t="str">
        <f t="shared" si="26"/>
        <v/>
      </c>
      <c r="Y265" s="27" t="str">
        <f t="shared" si="27"/>
        <v/>
      </c>
      <c r="Z265" s="28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6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7" t="str">
        <f t="shared" si="25"/>
        <v/>
      </c>
      <c r="X266" s="27" t="str">
        <f t="shared" si="26"/>
        <v/>
      </c>
      <c r="Y266" s="27" t="str">
        <f t="shared" si="27"/>
        <v/>
      </c>
      <c r="Z266" s="28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6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7" t="str">
        <f t="shared" si="25"/>
        <v/>
      </c>
      <c r="X267" s="27" t="str">
        <f t="shared" si="26"/>
        <v/>
      </c>
      <c r="Y267" s="27" t="str">
        <f t="shared" si="27"/>
        <v/>
      </c>
      <c r="Z267" s="28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6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7" t="str">
        <f t="shared" si="25"/>
        <v/>
      </c>
      <c r="X268" s="27" t="str">
        <f t="shared" si="26"/>
        <v/>
      </c>
      <c r="Y268" s="27" t="str">
        <f t="shared" si="27"/>
        <v/>
      </c>
      <c r="Z268" s="28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6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7" t="str">
        <f t="shared" si="25"/>
        <v/>
      </c>
      <c r="X269" s="27" t="str">
        <f t="shared" si="26"/>
        <v/>
      </c>
      <c r="Y269" s="27" t="str">
        <f t="shared" si="27"/>
        <v/>
      </c>
      <c r="Z269" s="28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6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7" t="str">
        <f t="shared" si="25"/>
        <v/>
      </c>
      <c r="X270" s="27" t="str">
        <f t="shared" si="26"/>
        <v/>
      </c>
      <c r="Y270" s="27" t="str">
        <f t="shared" si="27"/>
        <v/>
      </c>
      <c r="Z270" s="28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6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7" t="str">
        <f t="shared" si="25"/>
        <v/>
      </c>
      <c r="X271" s="27" t="str">
        <f t="shared" si="26"/>
        <v/>
      </c>
      <c r="Y271" s="27" t="str">
        <f t="shared" si="27"/>
        <v/>
      </c>
      <c r="Z271" s="28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6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7" t="str">
        <f t="shared" si="25"/>
        <v/>
      </c>
      <c r="X272" s="27" t="str">
        <f t="shared" si="26"/>
        <v/>
      </c>
      <c r="Y272" s="27" t="str">
        <f t="shared" si="27"/>
        <v/>
      </c>
      <c r="Z272" s="28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6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7" t="str">
        <f t="shared" si="25"/>
        <v/>
      </c>
      <c r="X273" s="27" t="str">
        <f t="shared" si="26"/>
        <v/>
      </c>
      <c r="Y273" s="27" t="str">
        <f t="shared" si="27"/>
        <v/>
      </c>
      <c r="Z273" s="28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6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7" t="str">
        <f t="shared" si="25"/>
        <v/>
      </c>
      <c r="X274" s="27" t="str">
        <f t="shared" si="26"/>
        <v/>
      </c>
      <c r="Y274" s="27" t="str">
        <f t="shared" si="27"/>
        <v/>
      </c>
      <c r="Z274" s="28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6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7" t="str">
        <f t="shared" si="25"/>
        <v/>
      </c>
      <c r="X275" s="27" t="str">
        <f t="shared" si="26"/>
        <v/>
      </c>
      <c r="Y275" s="27" t="str">
        <f t="shared" si="27"/>
        <v/>
      </c>
      <c r="Z275" s="28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6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7" t="str">
        <f t="shared" si="25"/>
        <v/>
      </c>
      <c r="X276" s="27" t="str">
        <f t="shared" si="26"/>
        <v/>
      </c>
      <c r="Y276" s="27" t="str">
        <f t="shared" si="27"/>
        <v/>
      </c>
      <c r="Z276" s="28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6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7" t="str">
        <f t="shared" si="25"/>
        <v/>
      </c>
      <c r="X277" s="27" t="str">
        <f t="shared" si="26"/>
        <v/>
      </c>
      <c r="Y277" s="27" t="str">
        <f t="shared" si="27"/>
        <v/>
      </c>
      <c r="Z277" s="28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6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7" t="str">
        <f t="shared" si="25"/>
        <v/>
      </c>
      <c r="X278" s="27" t="str">
        <f t="shared" si="26"/>
        <v/>
      </c>
      <c r="Y278" s="27" t="str">
        <f t="shared" si="27"/>
        <v/>
      </c>
      <c r="Z278" s="28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6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7" t="str">
        <f t="shared" si="25"/>
        <v/>
      </c>
      <c r="X279" s="27" t="str">
        <f t="shared" si="26"/>
        <v/>
      </c>
      <c r="Y279" s="27" t="str">
        <f t="shared" si="27"/>
        <v/>
      </c>
      <c r="Z279" s="28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6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7" t="str">
        <f t="shared" si="25"/>
        <v/>
      </c>
      <c r="X280" s="27" t="str">
        <f t="shared" si="26"/>
        <v/>
      </c>
      <c r="Y280" s="27" t="str">
        <f t="shared" si="27"/>
        <v/>
      </c>
      <c r="Z280" s="28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6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7" t="str">
        <f t="shared" si="25"/>
        <v/>
      </c>
      <c r="X281" s="27" t="str">
        <f t="shared" si="26"/>
        <v/>
      </c>
      <c r="Y281" s="27" t="str">
        <f t="shared" si="27"/>
        <v/>
      </c>
      <c r="Z281" s="28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6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7" t="str">
        <f t="shared" si="25"/>
        <v/>
      </c>
      <c r="X282" s="27" t="str">
        <f t="shared" si="26"/>
        <v/>
      </c>
      <c r="Y282" s="27" t="str">
        <f t="shared" si="27"/>
        <v/>
      </c>
      <c r="Z282" s="28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6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7" t="str">
        <f t="shared" si="25"/>
        <v/>
      </c>
      <c r="X283" s="27" t="str">
        <f t="shared" si="26"/>
        <v/>
      </c>
      <c r="Y283" s="27" t="str">
        <f t="shared" si="27"/>
        <v/>
      </c>
      <c r="Z283" s="28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6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7" t="str">
        <f t="shared" si="25"/>
        <v/>
      </c>
      <c r="X284" s="27" t="str">
        <f t="shared" si="26"/>
        <v/>
      </c>
      <c r="Y284" s="27" t="str">
        <f t="shared" si="27"/>
        <v/>
      </c>
      <c r="Z284" s="28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6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7" t="str">
        <f t="shared" si="25"/>
        <v/>
      </c>
      <c r="X285" s="27" t="str">
        <f t="shared" si="26"/>
        <v/>
      </c>
      <c r="Y285" s="27" t="str">
        <f t="shared" si="27"/>
        <v/>
      </c>
      <c r="Z285" s="28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6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7" t="str">
        <f t="shared" si="25"/>
        <v/>
      </c>
      <c r="X286" s="27" t="str">
        <f t="shared" si="26"/>
        <v/>
      </c>
      <c r="Y286" s="27" t="str">
        <f t="shared" si="27"/>
        <v/>
      </c>
      <c r="Z286" s="28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6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7" t="str">
        <f t="shared" si="25"/>
        <v/>
      </c>
      <c r="X287" s="27" t="str">
        <f t="shared" si="26"/>
        <v/>
      </c>
      <c r="Y287" s="27" t="str">
        <f t="shared" si="27"/>
        <v/>
      </c>
      <c r="Z287" s="28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6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7" t="str">
        <f t="shared" si="25"/>
        <v/>
      </c>
      <c r="X288" s="27" t="str">
        <f t="shared" si="26"/>
        <v/>
      </c>
      <c r="Y288" s="27" t="str">
        <f t="shared" si="27"/>
        <v/>
      </c>
      <c r="Z288" s="28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6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7" t="str">
        <f t="shared" si="25"/>
        <v/>
      </c>
      <c r="X289" s="27" t="str">
        <f t="shared" si="26"/>
        <v/>
      </c>
      <c r="Y289" s="27" t="str">
        <f t="shared" si="27"/>
        <v/>
      </c>
      <c r="Z289" s="28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6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7" t="str">
        <f t="shared" si="25"/>
        <v/>
      </c>
      <c r="X290" s="27" t="str">
        <f t="shared" si="26"/>
        <v/>
      </c>
      <c r="Y290" s="27" t="str">
        <f t="shared" si="27"/>
        <v/>
      </c>
      <c r="Z290" s="28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6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7" t="str">
        <f t="shared" si="25"/>
        <v/>
      </c>
      <c r="X291" s="27" t="str">
        <f t="shared" si="26"/>
        <v/>
      </c>
      <c r="Y291" s="27" t="str">
        <f t="shared" si="27"/>
        <v/>
      </c>
      <c r="Z291" s="28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6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7" t="str">
        <f t="shared" si="25"/>
        <v/>
      </c>
      <c r="X292" s="27" t="str">
        <f t="shared" si="26"/>
        <v/>
      </c>
      <c r="Y292" s="27" t="str">
        <f t="shared" si="27"/>
        <v/>
      </c>
      <c r="Z292" s="28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6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7" t="str">
        <f t="shared" si="25"/>
        <v/>
      </c>
      <c r="X293" s="27" t="str">
        <f t="shared" si="26"/>
        <v/>
      </c>
      <c r="Y293" s="27" t="str">
        <f t="shared" si="27"/>
        <v/>
      </c>
      <c r="Z293" s="28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6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7" t="str">
        <f t="shared" si="25"/>
        <v/>
      </c>
      <c r="X294" s="27" t="str">
        <f t="shared" si="26"/>
        <v/>
      </c>
      <c r="Y294" s="27" t="str">
        <f t="shared" si="27"/>
        <v/>
      </c>
      <c r="Z294" s="28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6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7" t="str">
        <f t="shared" si="25"/>
        <v/>
      </c>
      <c r="X295" s="27" t="str">
        <f t="shared" si="26"/>
        <v/>
      </c>
      <c r="Y295" s="27" t="str">
        <f t="shared" si="27"/>
        <v/>
      </c>
      <c r="Z295" s="28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6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7" t="str">
        <f t="shared" si="25"/>
        <v/>
      </c>
      <c r="X296" s="27" t="str">
        <f t="shared" si="26"/>
        <v/>
      </c>
      <c r="Y296" s="27" t="str">
        <f t="shared" si="27"/>
        <v/>
      </c>
      <c r="Z296" s="28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6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7" t="str">
        <f t="shared" si="25"/>
        <v/>
      </c>
      <c r="X297" s="27" t="str">
        <f t="shared" si="26"/>
        <v/>
      </c>
      <c r="Y297" s="27" t="str">
        <f t="shared" si="27"/>
        <v/>
      </c>
      <c r="Z297" s="28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6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7" t="str">
        <f t="shared" si="25"/>
        <v/>
      </c>
      <c r="X298" s="27" t="str">
        <f t="shared" si="26"/>
        <v/>
      </c>
      <c r="Y298" s="27" t="str">
        <f t="shared" si="27"/>
        <v/>
      </c>
      <c r="Z298" s="28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6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7" t="str">
        <f t="shared" si="25"/>
        <v/>
      </c>
      <c r="X299" s="27" t="str">
        <f t="shared" si="26"/>
        <v/>
      </c>
      <c r="Y299" s="27" t="str">
        <f t="shared" si="27"/>
        <v/>
      </c>
      <c r="Z299" s="28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6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7" t="str">
        <f t="shared" si="25"/>
        <v/>
      </c>
      <c r="X300" s="27" t="str">
        <f t="shared" si="26"/>
        <v/>
      </c>
      <c r="Y300" s="27" t="str">
        <f t="shared" si="27"/>
        <v/>
      </c>
      <c r="Z300" s="28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6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7" t="str">
        <f t="shared" si="25"/>
        <v/>
      </c>
      <c r="X301" s="27" t="str">
        <f t="shared" si="26"/>
        <v/>
      </c>
      <c r="Y301" s="27" t="str">
        <f t="shared" si="27"/>
        <v/>
      </c>
      <c r="Z301" s="28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6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7" t="str">
        <f t="shared" si="25"/>
        <v/>
      </c>
      <c r="X302" s="27" t="str">
        <f t="shared" si="26"/>
        <v/>
      </c>
      <c r="Y302" s="27" t="str">
        <f t="shared" si="27"/>
        <v/>
      </c>
      <c r="Z302" s="28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6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7" t="str">
        <f t="shared" si="25"/>
        <v/>
      </c>
      <c r="X303" s="27" t="str">
        <f t="shared" si="26"/>
        <v/>
      </c>
      <c r="Y303" s="27" t="str">
        <f t="shared" si="27"/>
        <v/>
      </c>
      <c r="Z303" s="28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6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7" t="str">
        <f t="shared" si="25"/>
        <v/>
      </c>
      <c r="X304" s="27" t="str">
        <f t="shared" si="26"/>
        <v/>
      </c>
      <c r="Y304" s="27" t="str">
        <f t="shared" si="27"/>
        <v/>
      </c>
      <c r="Z304" s="28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6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7" t="str">
        <f t="shared" si="25"/>
        <v/>
      </c>
      <c r="X305" s="27" t="str">
        <f t="shared" si="26"/>
        <v/>
      </c>
      <c r="Y305" s="27" t="str">
        <f t="shared" si="27"/>
        <v/>
      </c>
      <c r="Z305" s="28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6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7" t="str">
        <f t="shared" si="25"/>
        <v/>
      </c>
      <c r="X306" s="27" t="str">
        <f t="shared" si="26"/>
        <v/>
      </c>
      <c r="Y306" s="27" t="str">
        <f t="shared" si="27"/>
        <v/>
      </c>
      <c r="Z306" s="28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6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7" t="str">
        <f t="shared" si="25"/>
        <v/>
      </c>
      <c r="X307" s="27" t="str">
        <f t="shared" si="26"/>
        <v/>
      </c>
      <c r="Y307" s="27" t="str">
        <f t="shared" si="27"/>
        <v/>
      </c>
      <c r="Z307" s="28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6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7" t="str">
        <f t="shared" si="25"/>
        <v/>
      </c>
      <c r="X308" s="27" t="str">
        <f t="shared" si="26"/>
        <v/>
      </c>
      <c r="Y308" s="27" t="str">
        <f t="shared" si="27"/>
        <v/>
      </c>
      <c r="Z308" s="28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6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7" t="str">
        <f t="shared" si="25"/>
        <v/>
      </c>
      <c r="X309" s="27" t="str">
        <f t="shared" si="26"/>
        <v/>
      </c>
      <c r="Y309" s="27" t="str">
        <f t="shared" si="27"/>
        <v/>
      </c>
      <c r="Z309" s="28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6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7" t="str">
        <f t="shared" si="25"/>
        <v/>
      </c>
      <c r="X310" s="27" t="str">
        <f t="shared" si="26"/>
        <v/>
      </c>
      <c r="Y310" s="27" t="str">
        <f t="shared" si="27"/>
        <v/>
      </c>
      <c r="Z310" s="28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6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7" t="str">
        <f t="shared" si="25"/>
        <v/>
      </c>
      <c r="X311" s="27" t="str">
        <f t="shared" si="26"/>
        <v/>
      </c>
      <c r="Y311" s="27" t="str">
        <f t="shared" si="27"/>
        <v/>
      </c>
      <c r="Z311" s="28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6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7" t="str">
        <f t="shared" si="25"/>
        <v/>
      </c>
      <c r="X312" s="27" t="str">
        <f t="shared" si="26"/>
        <v/>
      </c>
      <c r="Y312" s="27" t="str">
        <f t="shared" si="27"/>
        <v/>
      </c>
      <c r="Z312" s="28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6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7" t="str">
        <f t="shared" si="25"/>
        <v/>
      </c>
      <c r="X313" s="27" t="str">
        <f t="shared" si="26"/>
        <v/>
      </c>
      <c r="Y313" s="27" t="str">
        <f t="shared" si="27"/>
        <v/>
      </c>
      <c r="Z313" s="28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6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7" t="str">
        <f t="shared" si="25"/>
        <v/>
      </c>
      <c r="X314" s="27" t="str">
        <f t="shared" si="26"/>
        <v/>
      </c>
      <c r="Y314" s="27" t="str">
        <f t="shared" si="27"/>
        <v/>
      </c>
      <c r="Z314" s="28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6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7" t="str">
        <f t="shared" si="25"/>
        <v/>
      </c>
      <c r="X315" s="27" t="str">
        <f t="shared" si="26"/>
        <v/>
      </c>
      <c r="Y315" s="27" t="str">
        <f t="shared" si="27"/>
        <v/>
      </c>
      <c r="Z315" s="28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6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7" t="str">
        <f t="shared" si="25"/>
        <v/>
      </c>
      <c r="X316" s="27" t="str">
        <f t="shared" si="26"/>
        <v/>
      </c>
      <c r="Y316" s="27" t="str">
        <f t="shared" si="27"/>
        <v/>
      </c>
      <c r="Z316" s="28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6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7" t="str">
        <f t="shared" si="25"/>
        <v/>
      </c>
      <c r="X317" s="27" t="str">
        <f t="shared" si="26"/>
        <v/>
      </c>
      <c r="Y317" s="27" t="str">
        <f t="shared" si="27"/>
        <v/>
      </c>
      <c r="Z317" s="28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6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7" t="str">
        <f t="shared" si="25"/>
        <v/>
      </c>
      <c r="X318" s="27" t="str">
        <f t="shared" si="26"/>
        <v/>
      </c>
      <c r="Y318" s="27" t="str">
        <f t="shared" si="27"/>
        <v/>
      </c>
      <c r="Z318" s="28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6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7" t="str">
        <f t="shared" si="25"/>
        <v/>
      </c>
      <c r="X319" s="27" t="str">
        <f t="shared" si="26"/>
        <v/>
      </c>
      <c r="Y319" s="27" t="str">
        <f t="shared" si="27"/>
        <v/>
      </c>
      <c r="Z319" s="28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6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7" t="str">
        <f t="shared" si="25"/>
        <v/>
      </c>
      <c r="X320" s="27" t="str">
        <f t="shared" si="26"/>
        <v/>
      </c>
      <c r="Y320" s="27" t="str">
        <f t="shared" si="27"/>
        <v/>
      </c>
      <c r="Z320" s="28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6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7" t="str">
        <f t="shared" si="25"/>
        <v/>
      </c>
      <c r="X321" s="27" t="str">
        <f t="shared" si="26"/>
        <v/>
      </c>
      <c r="Y321" s="27" t="str">
        <f t="shared" si="27"/>
        <v/>
      </c>
      <c r="Z321" s="28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6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7" t="str">
        <f t="shared" ref="W322:W385" si="31">IF(B322="","",B322+3)</f>
        <v/>
      </c>
      <c r="X322" s="27" t="str">
        <f t="shared" ref="X322:X385" si="32">IF(B322="","",B322+5)</f>
        <v/>
      </c>
      <c r="Y322" s="27" t="str">
        <f t="shared" ref="Y322:Y385" si="33">IF(B322="","",B322+10)</f>
        <v/>
      </c>
      <c r="Z322" s="28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6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7" t="str">
        <f t="shared" si="31"/>
        <v/>
      </c>
      <c r="X323" s="27" t="str">
        <f t="shared" si="32"/>
        <v/>
      </c>
      <c r="Y323" s="27" t="str">
        <f t="shared" si="33"/>
        <v/>
      </c>
      <c r="Z323" s="28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6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7" t="str">
        <f t="shared" si="31"/>
        <v/>
      </c>
      <c r="X324" s="27" t="str">
        <f t="shared" si="32"/>
        <v/>
      </c>
      <c r="Y324" s="27" t="str">
        <f t="shared" si="33"/>
        <v/>
      </c>
      <c r="Z324" s="28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6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7" t="str">
        <f t="shared" si="31"/>
        <v/>
      </c>
      <c r="X325" s="27" t="str">
        <f t="shared" si="32"/>
        <v/>
      </c>
      <c r="Y325" s="27" t="str">
        <f t="shared" si="33"/>
        <v/>
      </c>
      <c r="Z325" s="28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6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7" t="str">
        <f t="shared" si="31"/>
        <v/>
      </c>
      <c r="X326" s="27" t="str">
        <f t="shared" si="32"/>
        <v/>
      </c>
      <c r="Y326" s="27" t="str">
        <f t="shared" si="33"/>
        <v/>
      </c>
      <c r="Z326" s="28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6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7" t="str">
        <f t="shared" si="31"/>
        <v/>
      </c>
      <c r="X327" s="27" t="str">
        <f t="shared" si="32"/>
        <v/>
      </c>
      <c r="Y327" s="27" t="str">
        <f t="shared" si="33"/>
        <v/>
      </c>
      <c r="Z327" s="28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6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7" t="str">
        <f t="shared" si="31"/>
        <v/>
      </c>
      <c r="X328" s="27" t="str">
        <f t="shared" si="32"/>
        <v/>
      </c>
      <c r="Y328" s="27" t="str">
        <f t="shared" si="33"/>
        <v/>
      </c>
      <c r="Z328" s="28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6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7" t="str">
        <f t="shared" si="31"/>
        <v/>
      </c>
      <c r="X329" s="27" t="str">
        <f t="shared" si="32"/>
        <v/>
      </c>
      <c r="Y329" s="27" t="str">
        <f t="shared" si="33"/>
        <v/>
      </c>
      <c r="Z329" s="28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6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7" t="str">
        <f t="shared" si="31"/>
        <v/>
      </c>
      <c r="X330" s="27" t="str">
        <f t="shared" si="32"/>
        <v/>
      </c>
      <c r="Y330" s="27" t="str">
        <f t="shared" si="33"/>
        <v/>
      </c>
      <c r="Z330" s="28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6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7" t="str">
        <f t="shared" si="31"/>
        <v/>
      </c>
      <c r="X331" s="27" t="str">
        <f t="shared" si="32"/>
        <v/>
      </c>
      <c r="Y331" s="27" t="str">
        <f t="shared" si="33"/>
        <v/>
      </c>
      <c r="Z331" s="28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6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7" t="str">
        <f t="shared" si="31"/>
        <v/>
      </c>
      <c r="X332" s="27" t="str">
        <f t="shared" si="32"/>
        <v/>
      </c>
      <c r="Y332" s="27" t="str">
        <f t="shared" si="33"/>
        <v/>
      </c>
      <c r="Z332" s="28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6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7" t="str">
        <f t="shared" si="31"/>
        <v/>
      </c>
      <c r="X333" s="27" t="str">
        <f t="shared" si="32"/>
        <v/>
      </c>
      <c r="Y333" s="27" t="str">
        <f t="shared" si="33"/>
        <v/>
      </c>
      <c r="Z333" s="28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6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7" t="str">
        <f t="shared" si="31"/>
        <v/>
      </c>
      <c r="X334" s="27" t="str">
        <f t="shared" si="32"/>
        <v/>
      </c>
      <c r="Y334" s="27" t="str">
        <f t="shared" si="33"/>
        <v/>
      </c>
      <c r="Z334" s="28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6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7" t="str">
        <f t="shared" si="31"/>
        <v/>
      </c>
      <c r="X335" s="27" t="str">
        <f t="shared" si="32"/>
        <v/>
      </c>
      <c r="Y335" s="27" t="str">
        <f t="shared" si="33"/>
        <v/>
      </c>
      <c r="Z335" s="28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6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7" t="str">
        <f t="shared" si="31"/>
        <v/>
      </c>
      <c r="X336" s="27" t="str">
        <f t="shared" si="32"/>
        <v/>
      </c>
      <c r="Y336" s="27" t="str">
        <f t="shared" si="33"/>
        <v/>
      </c>
      <c r="Z336" s="28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6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7" t="str">
        <f t="shared" si="31"/>
        <v/>
      </c>
      <c r="X337" s="27" t="str">
        <f t="shared" si="32"/>
        <v/>
      </c>
      <c r="Y337" s="27" t="str">
        <f t="shared" si="33"/>
        <v/>
      </c>
      <c r="Z337" s="28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6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7" t="str">
        <f t="shared" si="31"/>
        <v/>
      </c>
      <c r="X338" s="27" t="str">
        <f t="shared" si="32"/>
        <v/>
      </c>
      <c r="Y338" s="27" t="str">
        <f t="shared" si="33"/>
        <v/>
      </c>
      <c r="Z338" s="28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6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7" t="str">
        <f t="shared" si="31"/>
        <v/>
      </c>
      <c r="X339" s="27" t="str">
        <f t="shared" si="32"/>
        <v/>
      </c>
      <c r="Y339" s="27" t="str">
        <f t="shared" si="33"/>
        <v/>
      </c>
      <c r="Z339" s="28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6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7" t="str">
        <f t="shared" si="31"/>
        <v/>
      </c>
      <c r="X340" s="27" t="str">
        <f t="shared" si="32"/>
        <v/>
      </c>
      <c r="Y340" s="27" t="str">
        <f t="shared" si="33"/>
        <v/>
      </c>
      <c r="Z340" s="28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6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7" t="str">
        <f t="shared" si="31"/>
        <v/>
      </c>
      <c r="X341" s="27" t="str">
        <f t="shared" si="32"/>
        <v/>
      </c>
      <c r="Y341" s="27" t="str">
        <f t="shared" si="33"/>
        <v/>
      </c>
      <c r="Z341" s="28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6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7" t="str">
        <f t="shared" si="31"/>
        <v/>
      </c>
      <c r="X342" s="27" t="str">
        <f t="shared" si="32"/>
        <v/>
      </c>
      <c r="Y342" s="27" t="str">
        <f t="shared" si="33"/>
        <v/>
      </c>
      <c r="Z342" s="28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6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7" t="str">
        <f t="shared" si="31"/>
        <v/>
      </c>
      <c r="X343" s="27" t="str">
        <f t="shared" si="32"/>
        <v/>
      </c>
      <c r="Y343" s="27" t="str">
        <f t="shared" si="33"/>
        <v/>
      </c>
      <c r="Z343" s="28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6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7" t="str">
        <f t="shared" si="31"/>
        <v/>
      </c>
      <c r="X344" s="27" t="str">
        <f t="shared" si="32"/>
        <v/>
      </c>
      <c r="Y344" s="27" t="str">
        <f t="shared" si="33"/>
        <v/>
      </c>
      <c r="Z344" s="28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6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7" t="str">
        <f t="shared" si="31"/>
        <v/>
      </c>
      <c r="X345" s="27" t="str">
        <f t="shared" si="32"/>
        <v/>
      </c>
      <c r="Y345" s="27" t="str">
        <f t="shared" si="33"/>
        <v/>
      </c>
      <c r="Z345" s="28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6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7" t="str">
        <f t="shared" si="31"/>
        <v/>
      </c>
      <c r="X346" s="27" t="str">
        <f t="shared" si="32"/>
        <v/>
      </c>
      <c r="Y346" s="27" t="str">
        <f t="shared" si="33"/>
        <v/>
      </c>
      <c r="Z346" s="28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6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7" t="str">
        <f t="shared" si="31"/>
        <v/>
      </c>
      <c r="X347" s="27" t="str">
        <f t="shared" si="32"/>
        <v/>
      </c>
      <c r="Y347" s="27" t="str">
        <f t="shared" si="33"/>
        <v/>
      </c>
      <c r="Z347" s="28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6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7" t="str">
        <f t="shared" si="31"/>
        <v/>
      </c>
      <c r="X348" s="27" t="str">
        <f t="shared" si="32"/>
        <v/>
      </c>
      <c r="Y348" s="27" t="str">
        <f t="shared" si="33"/>
        <v/>
      </c>
      <c r="Z348" s="28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6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7" t="str">
        <f t="shared" si="31"/>
        <v/>
      </c>
      <c r="X349" s="27" t="str">
        <f t="shared" si="32"/>
        <v/>
      </c>
      <c r="Y349" s="27" t="str">
        <f t="shared" si="33"/>
        <v/>
      </c>
      <c r="Z349" s="28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6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7" t="str">
        <f t="shared" si="31"/>
        <v/>
      </c>
      <c r="X350" s="27" t="str">
        <f t="shared" si="32"/>
        <v/>
      </c>
      <c r="Y350" s="27" t="str">
        <f t="shared" si="33"/>
        <v/>
      </c>
      <c r="Z350" s="28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6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7" t="str">
        <f t="shared" si="31"/>
        <v/>
      </c>
      <c r="X351" s="27" t="str">
        <f t="shared" si="32"/>
        <v/>
      </c>
      <c r="Y351" s="27" t="str">
        <f t="shared" si="33"/>
        <v/>
      </c>
      <c r="Z351" s="28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6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7" t="str">
        <f t="shared" si="31"/>
        <v/>
      </c>
      <c r="X352" s="27" t="str">
        <f t="shared" si="32"/>
        <v/>
      </c>
      <c r="Y352" s="27" t="str">
        <f t="shared" si="33"/>
        <v/>
      </c>
      <c r="Z352" s="28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6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7" t="str">
        <f t="shared" si="31"/>
        <v/>
      </c>
      <c r="X353" s="27" t="str">
        <f t="shared" si="32"/>
        <v/>
      </c>
      <c r="Y353" s="27" t="str">
        <f t="shared" si="33"/>
        <v/>
      </c>
      <c r="Z353" s="28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6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7" t="str">
        <f t="shared" si="31"/>
        <v/>
      </c>
      <c r="X354" s="27" t="str">
        <f t="shared" si="32"/>
        <v/>
      </c>
      <c r="Y354" s="27" t="str">
        <f t="shared" si="33"/>
        <v/>
      </c>
      <c r="Z354" s="28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6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7" t="str">
        <f t="shared" si="31"/>
        <v/>
      </c>
      <c r="X355" s="27" t="str">
        <f t="shared" si="32"/>
        <v/>
      </c>
      <c r="Y355" s="27" t="str">
        <f t="shared" si="33"/>
        <v/>
      </c>
      <c r="Z355" s="28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6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7" t="str">
        <f t="shared" si="31"/>
        <v/>
      </c>
      <c r="X356" s="27" t="str">
        <f t="shared" si="32"/>
        <v/>
      </c>
      <c r="Y356" s="27" t="str">
        <f t="shared" si="33"/>
        <v/>
      </c>
      <c r="Z356" s="28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6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7" t="str">
        <f t="shared" si="31"/>
        <v/>
      </c>
      <c r="X357" s="27" t="str">
        <f t="shared" si="32"/>
        <v/>
      </c>
      <c r="Y357" s="27" t="str">
        <f t="shared" si="33"/>
        <v/>
      </c>
      <c r="Z357" s="28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6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7" t="str">
        <f t="shared" si="31"/>
        <v/>
      </c>
      <c r="X358" s="27" t="str">
        <f t="shared" si="32"/>
        <v/>
      </c>
      <c r="Y358" s="27" t="str">
        <f t="shared" si="33"/>
        <v/>
      </c>
      <c r="Z358" s="28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6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7" t="str">
        <f t="shared" si="31"/>
        <v/>
      </c>
      <c r="X359" s="27" t="str">
        <f t="shared" si="32"/>
        <v/>
      </c>
      <c r="Y359" s="27" t="str">
        <f t="shared" si="33"/>
        <v/>
      </c>
      <c r="Z359" s="28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6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7" t="str">
        <f t="shared" si="31"/>
        <v/>
      </c>
      <c r="X360" s="27" t="str">
        <f t="shared" si="32"/>
        <v/>
      </c>
      <c r="Y360" s="27" t="str">
        <f t="shared" si="33"/>
        <v/>
      </c>
      <c r="Z360" s="28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6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7" t="str">
        <f t="shared" si="31"/>
        <v/>
      </c>
      <c r="X361" s="27" t="str">
        <f t="shared" si="32"/>
        <v/>
      </c>
      <c r="Y361" s="27" t="str">
        <f t="shared" si="33"/>
        <v/>
      </c>
      <c r="Z361" s="28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6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7" t="str">
        <f t="shared" si="31"/>
        <v/>
      </c>
      <c r="X362" s="27" t="str">
        <f t="shared" si="32"/>
        <v/>
      </c>
      <c r="Y362" s="27" t="str">
        <f t="shared" si="33"/>
        <v/>
      </c>
      <c r="Z362" s="28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6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7" t="str">
        <f t="shared" si="31"/>
        <v/>
      </c>
      <c r="X363" s="27" t="str">
        <f t="shared" si="32"/>
        <v/>
      </c>
      <c r="Y363" s="27" t="str">
        <f t="shared" si="33"/>
        <v/>
      </c>
      <c r="Z363" s="28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6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7" t="str">
        <f t="shared" si="31"/>
        <v/>
      </c>
      <c r="X364" s="27" t="str">
        <f t="shared" si="32"/>
        <v/>
      </c>
      <c r="Y364" s="27" t="str">
        <f t="shared" si="33"/>
        <v/>
      </c>
      <c r="Z364" s="28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6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7" t="str">
        <f t="shared" si="31"/>
        <v/>
      </c>
      <c r="X365" s="27" t="str">
        <f t="shared" si="32"/>
        <v/>
      </c>
      <c r="Y365" s="27" t="str">
        <f t="shared" si="33"/>
        <v/>
      </c>
      <c r="Z365" s="28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6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7" t="str">
        <f t="shared" si="31"/>
        <v/>
      </c>
      <c r="X366" s="27" t="str">
        <f t="shared" si="32"/>
        <v/>
      </c>
      <c r="Y366" s="27" t="str">
        <f t="shared" si="33"/>
        <v/>
      </c>
      <c r="Z366" s="28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6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7" t="str">
        <f t="shared" si="31"/>
        <v/>
      </c>
      <c r="X367" s="27" t="str">
        <f t="shared" si="32"/>
        <v/>
      </c>
      <c r="Y367" s="27" t="str">
        <f t="shared" si="33"/>
        <v/>
      </c>
      <c r="Z367" s="28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6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7" t="str">
        <f t="shared" si="31"/>
        <v/>
      </c>
      <c r="X368" s="27" t="str">
        <f t="shared" si="32"/>
        <v/>
      </c>
      <c r="Y368" s="27" t="str">
        <f t="shared" si="33"/>
        <v/>
      </c>
      <c r="Z368" s="28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6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7" t="str">
        <f t="shared" si="31"/>
        <v/>
      </c>
      <c r="X369" s="27" t="str">
        <f t="shared" si="32"/>
        <v/>
      </c>
      <c r="Y369" s="27" t="str">
        <f t="shared" si="33"/>
        <v/>
      </c>
      <c r="Z369" s="28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6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7" t="str">
        <f t="shared" si="31"/>
        <v/>
      </c>
      <c r="X370" s="27" t="str">
        <f t="shared" si="32"/>
        <v/>
      </c>
      <c r="Y370" s="27" t="str">
        <f t="shared" si="33"/>
        <v/>
      </c>
      <c r="Z370" s="28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6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7" t="str">
        <f t="shared" si="31"/>
        <v/>
      </c>
      <c r="X371" s="27" t="str">
        <f t="shared" si="32"/>
        <v/>
      </c>
      <c r="Y371" s="27" t="str">
        <f t="shared" si="33"/>
        <v/>
      </c>
      <c r="Z371" s="28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6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7" t="str">
        <f t="shared" si="31"/>
        <v/>
      </c>
      <c r="X372" s="27" t="str">
        <f t="shared" si="32"/>
        <v/>
      </c>
      <c r="Y372" s="27" t="str">
        <f t="shared" si="33"/>
        <v/>
      </c>
      <c r="Z372" s="28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6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7" t="str">
        <f t="shared" si="31"/>
        <v/>
      </c>
      <c r="X373" s="27" t="str">
        <f t="shared" si="32"/>
        <v/>
      </c>
      <c r="Y373" s="27" t="str">
        <f t="shared" si="33"/>
        <v/>
      </c>
      <c r="Z373" s="28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6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7" t="str">
        <f t="shared" si="31"/>
        <v/>
      </c>
      <c r="X374" s="27" t="str">
        <f t="shared" si="32"/>
        <v/>
      </c>
      <c r="Y374" s="27" t="str">
        <f t="shared" si="33"/>
        <v/>
      </c>
      <c r="Z374" s="28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6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7" t="str">
        <f t="shared" si="31"/>
        <v/>
      </c>
      <c r="X375" s="27" t="str">
        <f t="shared" si="32"/>
        <v/>
      </c>
      <c r="Y375" s="27" t="str">
        <f t="shared" si="33"/>
        <v/>
      </c>
      <c r="Z375" s="28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6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7" t="str">
        <f t="shared" si="31"/>
        <v/>
      </c>
      <c r="X376" s="27" t="str">
        <f t="shared" si="32"/>
        <v/>
      </c>
      <c r="Y376" s="27" t="str">
        <f t="shared" si="33"/>
        <v/>
      </c>
      <c r="Z376" s="28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6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7" t="str">
        <f t="shared" si="31"/>
        <v/>
      </c>
      <c r="X377" s="27" t="str">
        <f t="shared" si="32"/>
        <v/>
      </c>
      <c r="Y377" s="27" t="str">
        <f t="shared" si="33"/>
        <v/>
      </c>
      <c r="Z377" s="28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6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7" t="str">
        <f t="shared" si="31"/>
        <v/>
      </c>
      <c r="X378" s="27" t="str">
        <f t="shared" si="32"/>
        <v/>
      </c>
      <c r="Y378" s="27" t="str">
        <f t="shared" si="33"/>
        <v/>
      </c>
      <c r="Z378" s="28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6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7" t="str">
        <f t="shared" si="31"/>
        <v/>
      </c>
      <c r="X379" s="27" t="str">
        <f t="shared" si="32"/>
        <v/>
      </c>
      <c r="Y379" s="27" t="str">
        <f t="shared" si="33"/>
        <v/>
      </c>
      <c r="Z379" s="28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6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7" t="str">
        <f t="shared" si="31"/>
        <v/>
      </c>
      <c r="X380" s="27" t="str">
        <f t="shared" si="32"/>
        <v/>
      </c>
      <c r="Y380" s="27" t="str">
        <f t="shared" si="33"/>
        <v/>
      </c>
      <c r="Z380" s="28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6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7" t="str">
        <f t="shared" si="31"/>
        <v/>
      </c>
      <c r="X381" s="27" t="str">
        <f t="shared" si="32"/>
        <v/>
      </c>
      <c r="Y381" s="27" t="str">
        <f t="shared" si="33"/>
        <v/>
      </c>
      <c r="Z381" s="28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6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7" t="str">
        <f t="shared" si="31"/>
        <v/>
      </c>
      <c r="X382" s="27" t="str">
        <f t="shared" si="32"/>
        <v/>
      </c>
      <c r="Y382" s="27" t="str">
        <f t="shared" si="33"/>
        <v/>
      </c>
      <c r="Z382" s="28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6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7" t="str">
        <f t="shared" si="31"/>
        <v/>
      </c>
      <c r="X383" s="27" t="str">
        <f t="shared" si="32"/>
        <v/>
      </c>
      <c r="Y383" s="27" t="str">
        <f t="shared" si="33"/>
        <v/>
      </c>
      <c r="Z383" s="28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6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7" t="str">
        <f t="shared" si="31"/>
        <v/>
      </c>
      <c r="X384" s="27" t="str">
        <f t="shared" si="32"/>
        <v/>
      </c>
      <c r="Y384" s="27" t="str">
        <f t="shared" si="33"/>
        <v/>
      </c>
      <c r="Z384" s="28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6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7" t="str">
        <f t="shared" si="31"/>
        <v/>
      </c>
      <c r="X385" s="27" t="str">
        <f t="shared" si="32"/>
        <v/>
      </c>
      <c r="Y385" s="27" t="str">
        <f t="shared" si="33"/>
        <v/>
      </c>
      <c r="Z385" s="28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6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7" t="str">
        <f t="shared" ref="W386:W449" si="37">IF(B386="","",B386+3)</f>
        <v/>
      </c>
      <c r="X386" s="27" t="str">
        <f t="shared" ref="X386:X449" si="38">IF(B386="","",B386+5)</f>
        <v/>
      </c>
      <c r="Y386" s="27" t="str">
        <f t="shared" ref="Y386:Y449" si="39">IF(B386="","",B386+10)</f>
        <v/>
      </c>
      <c r="Z386" s="28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6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7" t="str">
        <f t="shared" si="37"/>
        <v/>
      </c>
      <c r="X387" s="27" t="str">
        <f t="shared" si="38"/>
        <v/>
      </c>
      <c r="Y387" s="27" t="str">
        <f t="shared" si="39"/>
        <v/>
      </c>
      <c r="Z387" s="28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6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7" t="str">
        <f t="shared" si="37"/>
        <v/>
      </c>
      <c r="X388" s="27" t="str">
        <f t="shared" si="38"/>
        <v/>
      </c>
      <c r="Y388" s="27" t="str">
        <f t="shared" si="39"/>
        <v/>
      </c>
      <c r="Z388" s="28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6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7" t="str">
        <f t="shared" si="37"/>
        <v/>
      </c>
      <c r="X389" s="27" t="str">
        <f t="shared" si="38"/>
        <v/>
      </c>
      <c r="Y389" s="27" t="str">
        <f t="shared" si="39"/>
        <v/>
      </c>
      <c r="Z389" s="28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6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7" t="str">
        <f t="shared" si="37"/>
        <v/>
      </c>
      <c r="X390" s="27" t="str">
        <f t="shared" si="38"/>
        <v/>
      </c>
      <c r="Y390" s="27" t="str">
        <f t="shared" si="39"/>
        <v/>
      </c>
      <c r="Z390" s="28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6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7" t="str">
        <f t="shared" si="37"/>
        <v/>
      </c>
      <c r="X391" s="27" t="str">
        <f t="shared" si="38"/>
        <v/>
      </c>
      <c r="Y391" s="27" t="str">
        <f t="shared" si="39"/>
        <v/>
      </c>
      <c r="Z391" s="28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6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7" t="str">
        <f t="shared" si="37"/>
        <v/>
      </c>
      <c r="X392" s="27" t="str">
        <f t="shared" si="38"/>
        <v/>
      </c>
      <c r="Y392" s="27" t="str">
        <f t="shared" si="39"/>
        <v/>
      </c>
      <c r="Z392" s="28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6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7" t="str">
        <f t="shared" si="37"/>
        <v/>
      </c>
      <c r="X393" s="27" t="str">
        <f t="shared" si="38"/>
        <v/>
      </c>
      <c r="Y393" s="27" t="str">
        <f t="shared" si="39"/>
        <v/>
      </c>
      <c r="Z393" s="28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6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7" t="str">
        <f t="shared" si="37"/>
        <v/>
      </c>
      <c r="X394" s="27" t="str">
        <f t="shared" si="38"/>
        <v/>
      </c>
      <c r="Y394" s="27" t="str">
        <f t="shared" si="39"/>
        <v/>
      </c>
      <c r="Z394" s="28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6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7" t="str">
        <f t="shared" si="37"/>
        <v/>
      </c>
      <c r="X395" s="27" t="str">
        <f t="shared" si="38"/>
        <v/>
      </c>
      <c r="Y395" s="27" t="str">
        <f t="shared" si="39"/>
        <v/>
      </c>
      <c r="Z395" s="28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6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7" t="str">
        <f t="shared" si="37"/>
        <v/>
      </c>
      <c r="X396" s="27" t="str">
        <f t="shared" si="38"/>
        <v/>
      </c>
      <c r="Y396" s="27" t="str">
        <f t="shared" si="39"/>
        <v/>
      </c>
      <c r="Z396" s="28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6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7" t="str">
        <f t="shared" si="37"/>
        <v/>
      </c>
      <c r="X397" s="27" t="str">
        <f t="shared" si="38"/>
        <v/>
      </c>
      <c r="Y397" s="27" t="str">
        <f t="shared" si="39"/>
        <v/>
      </c>
      <c r="Z397" s="28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6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7" t="str">
        <f t="shared" si="37"/>
        <v/>
      </c>
      <c r="X398" s="27" t="str">
        <f t="shared" si="38"/>
        <v/>
      </c>
      <c r="Y398" s="27" t="str">
        <f t="shared" si="39"/>
        <v/>
      </c>
      <c r="Z398" s="28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6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7" t="str">
        <f t="shared" si="37"/>
        <v/>
      </c>
      <c r="X399" s="27" t="str">
        <f t="shared" si="38"/>
        <v/>
      </c>
      <c r="Y399" s="27" t="str">
        <f t="shared" si="39"/>
        <v/>
      </c>
      <c r="Z399" s="28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6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7" t="str">
        <f t="shared" si="37"/>
        <v/>
      </c>
      <c r="X400" s="27" t="str">
        <f t="shared" si="38"/>
        <v/>
      </c>
      <c r="Y400" s="27" t="str">
        <f t="shared" si="39"/>
        <v/>
      </c>
      <c r="Z400" s="28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6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7" t="str">
        <f t="shared" si="37"/>
        <v/>
      </c>
      <c r="X401" s="27" t="str">
        <f t="shared" si="38"/>
        <v/>
      </c>
      <c r="Y401" s="27" t="str">
        <f t="shared" si="39"/>
        <v/>
      </c>
      <c r="Z401" s="28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6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7" t="str">
        <f t="shared" si="37"/>
        <v/>
      </c>
      <c r="X402" s="27" t="str">
        <f t="shared" si="38"/>
        <v/>
      </c>
      <c r="Y402" s="27" t="str">
        <f t="shared" si="39"/>
        <v/>
      </c>
      <c r="Z402" s="28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6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7" t="str">
        <f t="shared" si="37"/>
        <v/>
      </c>
      <c r="X403" s="27" t="str">
        <f t="shared" si="38"/>
        <v/>
      </c>
      <c r="Y403" s="27" t="str">
        <f t="shared" si="39"/>
        <v/>
      </c>
      <c r="Z403" s="28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6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7" t="str">
        <f t="shared" si="37"/>
        <v/>
      </c>
      <c r="X404" s="27" t="str">
        <f t="shared" si="38"/>
        <v/>
      </c>
      <c r="Y404" s="27" t="str">
        <f t="shared" si="39"/>
        <v/>
      </c>
      <c r="Z404" s="28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6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7" t="str">
        <f t="shared" si="37"/>
        <v/>
      </c>
      <c r="X405" s="27" t="str">
        <f t="shared" si="38"/>
        <v/>
      </c>
      <c r="Y405" s="27" t="str">
        <f t="shared" si="39"/>
        <v/>
      </c>
      <c r="Z405" s="28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6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7" t="str">
        <f t="shared" si="37"/>
        <v/>
      </c>
      <c r="X406" s="27" t="str">
        <f t="shared" si="38"/>
        <v/>
      </c>
      <c r="Y406" s="27" t="str">
        <f t="shared" si="39"/>
        <v/>
      </c>
      <c r="Z406" s="28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6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7" t="str">
        <f t="shared" si="37"/>
        <v/>
      </c>
      <c r="X407" s="27" t="str">
        <f t="shared" si="38"/>
        <v/>
      </c>
      <c r="Y407" s="27" t="str">
        <f t="shared" si="39"/>
        <v/>
      </c>
      <c r="Z407" s="28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6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7" t="str">
        <f t="shared" si="37"/>
        <v/>
      </c>
      <c r="X408" s="27" t="str">
        <f t="shared" si="38"/>
        <v/>
      </c>
      <c r="Y408" s="27" t="str">
        <f t="shared" si="39"/>
        <v/>
      </c>
      <c r="Z408" s="28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6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7" t="str">
        <f t="shared" si="37"/>
        <v/>
      </c>
      <c r="X409" s="27" t="str">
        <f t="shared" si="38"/>
        <v/>
      </c>
      <c r="Y409" s="27" t="str">
        <f t="shared" si="39"/>
        <v/>
      </c>
      <c r="Z409" s="28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6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7" t="str">
        <f t="shared" si="37"/>
        <v/>
      </c>
      <c r="X410" s="27" t="str">
        <f t="shared" si="38"/>
        <v/>
      </c>
      <c r="Y410" s="27" t="str">
        <f t="shared" si="39"/>
        <v/>
      </c>
      <c r="Z410" s="28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6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7" t="str">
        <f t="shared" si="37"/>
        <v/>
      </c>
      <c r="X411" s="27" t="str">
        <f t="shared" si="38"/>
        <v/>
      </c>
      <c r="Y411" s="27" t="str">
        <f t="shared" si="39"/>
        <v/>
      </c>
      <c r="Z411" s="28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6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7" t="str">
        <f t="shared" si="37"/>
        <v/>
      </c>
      <c r="X412" s="27" t="str">
        <f t="shared" si="38"/>
        <v/>
      </c>
      <c r="Y412" s="27" t="str">
        <f t="shared" si="39"/>
        <v/>
      </c>
      <c r="Z412" s="28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6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7" t="str">
        <f t="shared" si="37"/>
        <v/>
      </c>
      <c r="X413" s="27" t="str">
        <f t="shared" si="38"/>
        <v/>
      </c>
      <c r="Y413" s="27" t="str">
        <f t="shared" si="39"/>
        <v/>
      </c>
      <c r="Z413" s="28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6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7" t="str">
        <f t="shared" si="37"/>
        <v/>
      </c>
      <c r="X414" s="27" t="str">
        <f t="shared" si="38"/>
        <v/>
      </c>
      <c r="Y414" s="27" t="str">
        <f t="shared" si="39"/>
        <v/>
      </c>
      <c r="Z414" s="28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6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7" t="str">
        <f t="shared" si="37"/>
        <v/>
      </c>
      <c r="X415" s="27" t="str">
        <f t="shared" si="38"/>
        <v/>
      </c>
      <c r="Y415" s="27" t="str">
        <f t="shared" si="39"/>
        <v/>
      </c>
      <c r="Z415" s="28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6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7" t="str">
        <f t="shared" si="37"/>
        <v/>
      </c>
      <c r="X416" s="27" t="str">
        <f t="shared" si="38"/>
        <v/>
      </c>
      <c r="Y416" s="27" t="str">
        <f t="shared" si="39"/>
        <v/>
      </c>
      <c r="Z416" s="28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6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7" t="str">
        <f t="shared" si="37"/>
        <v/>
      </c>
      <c r="X417" s="27" t="str">
        <f t="shared" si="38"/>
        <v/>
      </c>
      <c r="Y417" s="27" t="str">
        <f t="shared" si="39"/>
        <v/>
      </c>
      <c r="Z417" s="28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6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7" t="str">
        <f t="shared" si="37"/>
        <v/>
      </c>
      <c r="X418" s="27" t="str">
        <f t="shared" si="38"/>
        <v/>
      </c>
      <c r="Y418" s="27" t="str">
        <f t="shared" si="39"/>
        <v/>
      </c>
      <c r="Z418" s="28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6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7" t="str">
        <f t="shared" si="37"/>
        <v/>
      </c>
      <c r="X419" s="27" t="str">
        <f t="shared" si="38"/>
        <v/>
      </c>
      <c r="Y419" s="27" t="str">
        <f t="shared" si="39"/>
        <v/>
      </c>
      <c r="Z419" s="28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6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7" t="str">
        <f t="shared" si="37"/>
        <v/>
      </c>
      <c r="X420" s="27" t="str">
        <f t="shared" si="38"/>
        <v/>
      </c>
      <c r="Y420" s="27" t="str">
        <f t="shared" si="39"/>
        <v/>
      </c>
      <c r="Z420" s="28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6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7" t="str">
        <f t="shared" si="37"/>
        <v/>
      </c>
      <c r="X421" s="27" t="str">
        <f t="shared" si="38"/>
        <v/>
      </c>
      <c r="Y421" s="27" t="str">
        <f t="shared" si="39"/>
        <v/>
      </c>
      <c r="Z421" s="28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6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7" t="str">
        <f t="shared" si="37"/>
        <v/>
      </c>
      <c r="X422" s="27" t="str">
        <f t="shared" si="38"/>
        <v/>
      </c>
      <c r="Y422" s="27" t="str">
        <f t="shared" si="39"/>
        <v/>
      </c>
      <c r="Z422" s="28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6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7" t="str">
        <f t="shared" si="37"/>
        <v/>
      </c>
      <c r="X423" s="27" t="str">
        <f t="shared" si="38"/>
        <v/>
      </c>
      <c r="Y423" s="27" t="str">
        <f t="shared" si="39"/>
        <v/>
      </c>
      <c r="Z423" s="28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6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7" t="str">
        <f t="shared" si="37"/>
        <v/>
      </c>
      <c r="X424" s="27" t="str">
        <f t="shared" si="38"/>
        <v/>
      </c>
      <c r="Y424" s="27" t="str">
        <f t="shared" si="39"/>
        <v/>
      </c>
      <c r="Z424" s="28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6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7" t="str">
        <f t="shared" si="37"/>
        <v/>
      </c>
      <c r="X425" s="27" t="str">
        <f t="shared" si="38"/>
        <v/>
      </c>
      <c r="Y425" s="27" t="str">
        <f t="shared" si="39"/>
        <v/>
      </c>
      <c r="Z425" s="28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6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7" t="str">
        <f t="shared" si="37"/>
        <v/>
      </c>
      <c r="X426" s="27" t="str">
        <f t="shared" si="38"/>
        <v/>
      </c>
      <c r="Y426" s="27" t="str">
        <f t="shared" si="39"/>
        <v/>
      </c>
      <c r="Z426" s="28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6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7" t="str">
        <f t="shared" si="37"/>
        <v/>
      </c>
      <c r="X427" s="27" t="str">
        <f t="shared" si="38"/>
        <v/>
      </c>
      <c r="Y427" s="27" t="str">
        <f t="shared" si="39"/>
        <v/>
      </c>
      <c r="Z427" s="28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6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7" t="str">
        <f t="shared" si="37"/>
        <v/>
      </c>
      <c r="X428" s="27" t="str">
        <f t="shared" si="38"/>
        <v/>
      </c>
      <c r="Y428" s="27" t="str">
        <f t="shared" si="39"/>
        <v/>
      </c>
      <c r="Z428" s="28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6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7" t="str">
        <f t="shared" si="37"/>
        <v/>
      </c>
      <c r="X429" s="27" t="str">
        <f t="shared" si="38"/>
        <v/>
      </c>
      <c r="Y429" s="27" t="str">
        <f t="shared" si="39"/>
        <v/>
      </c>
      <c r="Z429" s="28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6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7" t="str">
        <f t="shared" si="37"/>
        <v/>
      </c>
      <c r="X430" s="27" t="str">
        <f t="shared" si="38"/>
        <v/>
      </c>
      <c r="Y430" s="27" t="str">
        <f t="shared" si="39"/>
        <v/>
      </c>
      <c r="Z430" s="28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6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7" t="str">
        <f t="shared" si="37"/>
        <v/>
      </c>
      <c r="X431" s="27" t="str">
        <f t="shared" si="38"/>
        <v/>
      </c>
      <c r="Y431" s="27" t="str">
        <f t="shared" si="39"/>
        <v/>
      </c>
      <c r="Z431" s="28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6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7" t="str">
        <f t="shared" si="37"/>
        <v/>
      </c>
      <c r="X432" s="27" t="str">
        <f t="shared" si="38"/>
        <v/>
      </c>
      <c r="Y432" s="27" t="str">
        <f t="shared" si="39"/>
        <v/>
      </c>
      <c r="Z432" s="28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6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7" t="str">
        <f t="shared" si="37"/>
        <v/>
      </c>
      <c r="X433" s="27" t="str">
        <f t="shared" si="38"/>
        <v/>
      </c>
      <c r="Y433" s="27" t="str">
        <f t="shared" si="39"/>
        <v/>
      </c>
      <c r="Z433" s="28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6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7" t="str">
        <f t="shared" si="37"/>
        <v/>
      </c>
      <c r="X434" s="27" t="str">
        <f t="shared" si="38"/>
        <v/>
      </c>
      <c r="Y434" s="27" t="str">
        <f t="shared" si="39"/>
        <v/>
      </c>
      <c r="Z434" s="28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6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7" t="str">
        <f t="shared" si="37"/>
        <v/>
      </c>
      <c r="X435" s="27" t="str">
        <f t="shared" si="38"/>
        <v/>
      </c>
      <c r="Y435" s="27" t="str">
        <f t="shared" si="39"/>
        <v/>
      </c>
      <c r="Z435" s="28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6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7" t="str">
        <f t="shared" si="37"/>
        <v/>
      </c>
      <c r="X436" s="27" t="str">
        <f t="shared" si="38"/>
        <v/>
      </c>
      <c r="Y436" s="27" t="str">
        <f t="shared" si="39"/>
        <v/>
      </c>
      <c r="Z436" s="28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6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7" t="str">
        <f t="shared" si="37"/>
        <v/>
      </c>
      <c r="X437" s="27" t="str">
        <f t="shared" si="38"/>
        <v/>
      </c>
      <c r="Y437" s="27" t="str">
        <f t="shared" si="39"/>
        <v/>
      </c>
      <c r="Z437" s="28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6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7" t="str">
        <f t="shared" si="37"/>
        <v/>
      </c>
      <c r="X438" s="27" t="str">
        <f t="shared" si="38"/>
        <v/>
      </c>
      <c r="Y438" s="27" t="str">
        <f t="shared" si="39"/>
        <v/>
      </c>
      <c r="Z438" s="28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6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7" t="str">
        <f t="shared" si="37"/>
        <v/>
      </c>
      <c r="X439" s="27" t="str">
        <f t="shared" si="38"/>
        <v/>
      </c>
      <c r="Y439" s="27" t="str">
        <f t="shared" si="39"/>
        <v/>
      </c>
      <c r="Z439" s="28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6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7" t="str">
        <f t="shared" si="37"/>
        <v/>
      </c>
      <c r="X440" s="27" t="str">
        <f t="shared" si="38"/>
        <v/>
      </c>
      <c r="Y440" s="27" t="str">
        <f t="shared" si="39"/>
        <v/>
      </c>
      <c r="Z440" s="28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6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7" t="str">
        <f t="shared" si="37"/>
        <v/>
      </c>
      <c r="X441" s="27" t="str">
        <f t="shared" si="38"/>
        <v/>
      </c>
      <c r="Y441" s="27" t="str">
        <f t="shared" si="39"/>
        <v/>
      </c>
      <c r="Z441" s="28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6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7" t="str">
        <f t="shared" si="37"/>
        <v/>
      </c>
      <c r="X442" s="27" t="str">
        <f t="shared" si="38"/>
        <v/>
      </c>
      <c r="Y442" s="27" t="str">
        <f t="shared" si="39"/>
        <v/>
      </c>
      <c r="Z442" s="28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6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7" t="str">
        <f t="shared" si="37"/>
        <v/>
      </c>
      <c r="X443" s="27" t="str">
        <f t="shared" si="38"/>
        <v/>
      </c>
      <c r="Y443" s="27" t="str">
        <f t="shared" si="39"/>
        <v/>
      </c>
      <c r="Z443" s="28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6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7" t="str">
        <f t="shared" si="37"/>
        <v/>
      </c>
      <c r="X444" s="27" t="str">
        <f t="shared" si="38"/>
        <v/>
      </c>
      <c r="Y444" s="27" t="str">
        <f t="shared" si="39"/>
        <v/>
      </c>
      <c r="Z444" s="28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6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7" t="str">
        <f t="shared" si="37"/>
        <v/>
      </c>
      <c r="X445" s="27" t="str">
        <f t="shared" si="38"/>
        <v/>
      </c>
      <c r="Y445" s="27" t="str">
        <f t="shared" si="39"/>
        <v/>
      </c>
      <c r="Z445" s="28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6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7" t="str">
        <f t="shared" si="37"/>
        <v/>
      </c>
      <c r="X446" s="27" t="str">
        <f t="shared" si="38"/>
        <v/>
      </c>
      <c r="Y446" s="27" t="str">
        <f t="shared" si="39"/>
        <v/>
      </c>
      <c r="Z446" s="28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6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7" t="str">
        <f t="shared" si="37"/>
        <v/>
      </c>
      <c r="X447" s="27" t="str">
        <f t="shared" si="38"/>
        <v/>
      </c>
      <c r="Y447" s="27" t="str">
        <f t="shared" si="39"/>
        <v/>
      </c>
      <c r="Z447" s="28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6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7" t="str">
        <f t="shared" si="37"/>
        <v/>
      </c>
      <c r="X448" s="27" t="str">
        <f t="shared" si="38"/>
        <v/>
      </c>
      <c r="Y448" s="27" t="str">
        <f t="shared" si="39"/>
        <v/>
      </c>
      <c r="Z448" s="28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6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7" t="str">
        <f t="shared" si="37"/>
        <v/>
      </c>
      <c r="X449" s="27" t="str">
        <f t="shared" si="38"/>
        <v/>
      </c>
      <c r="Y449" s="27" t="str">
        <f t="shared" si="39"/>
        <v/>
      </c>
      <c r="Z449" s="28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6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7" t="str">
        <f t="shared" ref="W450:W500" si="43">IF(B450="","",B450+3)</f>
        <v/>
      </c>
      <c r="X450" s="27" t="str">
        <f t="shared" ref="X450:X500" si="44">IF(B450="","",B450+5)</f>
        <v/>
      </c>
      <c r="Y450" s="27" t="str">
        <f t="shared" ref="Y450:Y500" si="45">IF(B450="","",B450+10)</f>
        <v/>
      </c>
      <c r="Z450" s="28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6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7" t="str">
        <f t="shared" si="43"/>
        <v/>
      </c>
      <c r="X451" s="27" t="str">
        <f t="shared" si="44"/>
        <v/>
      </c>
      <c r="Y451" s="27" t="str">
        <f t="shared" si="45"/>
        <v/>
      </c>
      <c r="Z451" s="28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6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7" t="str">
        <f t="shared" si="43"/>
        <v/>
      </c>
      <c r="X452" s="27" t="str">
        <f t="shared" si="44"/>
        <v/>
      </c>
      <c r="Y452" s="27" t="str">
        <f t="shared" si="45"/>
        <v/>
      </c>
      <c r="Z452" s="28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6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7" t="str">
        <f t="shared" si="43"/>
        <v/>
      </c>
      <c r="X453" s="27" t="str">
        <f t="shared" si="44"/>
        <v/>
      </c>
      <c r="Y453" s="27" t="str">
        <f t="shared" si="45"/>
        <v/>
      </c>
      <c r="Z453" s="28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6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7" t="str">
        <f t="shared" si="43"/>
        <v/>
      </c>
      <c r="X454" s="27" t="str">
        <f t="shared" si="44"/>
        <v/>
      </c>
      <c r="Y454" s="27" t="str">
        <f t="shared" si="45"/>
        <v/>
      </c>
      <c r="Z454" s="28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6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7" t="str">
        <f t="shared" si="43"/>
        <v/>
      </c>
      <c r="X455" s="27" t="str">
        <f t="shared" si="44"/>
        <v/>
      </c>
      <c r="Y455" s="27" t="str">
        <f t="shared" si="45"/>
        <v/>
      </c>
      <c r="Z455" s="28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6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7" t="str">
        <f t="shared" si="43"/>
        <v/>
      </c>
      <c r="X456" s="27" t="str">
        <f t="shared" si="44"/>
        <v/>
      </c>
      <c r="Y456" s="27" t="str">
        <f t="shared" si="45"/>
        <v/>
      </c>
      <c r="Z456" s="28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6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7" t="str">
        <f t="shared" si="43"/>
        <v/>
      </c>
      <c r="X457" s="27" t="str">
        <f t="shared" si="44"/>
        <v/>
      </c>
      <c r="Y457" s="27" t="str">
        <f t="shared" si="45"/>
        <v/>
      </c>
      <c r="Z457" s="28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6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7" t="str">
        <f t="shared" si="43"/>
        <v/>
      </c>
      <c r="X458" s="27" t="str">
        <f t="shared" si="44"/>
        <v/>
      </c>
      <c r="Y458" s="27" t="str">
        <f t="shared" si="45"/>
        <v/>
      </c>
      <c r="Z458" s="28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6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7" t="str">
        <f t="shared" si="43"/>
        <v/>
      </c>
      <c r="X459" s="27" t="str">
        <f t="shared" si="44"/>
        <v/>
      </c>
      <c r="Y459" s="27" t="str">
        <f t="shared" si="45"/>
        <v/>
      </c>
      <c r="Z459" s="28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6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7" t="str">
        <f t="shared" si="43"/>
        <v/>
      </c>
      <c r="X460" s="27" t="str">
        <f t="shared" si="44"/>
        <v/>
      </c>
      <c r="Y460" s="27" t="str">
        <f t="shared" si="45"/>
        <v/>
      </c>
      <c r="Z460" s="28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6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7" t="str">
        <f t="shared" si="43"/>
        <v/>
      </c>
      <c r="X461" s="27" t="str">
        <f t="shared" si="44"/>
        <v/>
      </c>
      <c r="Y461" s="27" t="str">
        <f t="shared" si="45"/>
        <v/>
      </c>
      <c r="Z461" s="28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6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7" t="str">
        <f t="shared" si="43"/>
        <v/>
      </c>
      <c r="X462" s="27" t="str">
        <f t="shared" si="44"/>
        <v/>
      </c>
      <c r="Y462" s="27" t="str">
        <f t="shared" si="45"/>
        <v/>
      </c>
      <c r="Z462" s="28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6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7" t="str">
        <f t="shared" si="43"/>
        <v/>
      </c>
      <c r="X463" s="27" t="str">
        <f t="shared" si="44"/>
        <v/>
      </c>
      <c r="Y463" s="27" t="str">
        <f t="shared" si="45"/>
        <v/>
      </c>
      <c r="Z463" s="28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6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7" t="str">
        <f t="shared" si="43"/>
        <v/>
      </c>
      <c r="X464" s="27" t="str">
        <f t="shared" si="44"/>
        <v/>
      </c>
      <c r="Y464" s="27" t="str">
        <f t="shared" si="45"/>
        <v/>
      </c>
      <c r="Z464" s="28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6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7" t="str">
        <f t="shared" si="43"/>
        <v/>
      </c>
      <c r="X465" s="27" t="str">
        <f t="shared" si="44"/>
        <v/>
      </c>
      <c r="Y465" s="27" t="str">
        <f t="shared" si="45"/>
        <v/>
      </c>
      <c r="Z465" s="28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6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7" t="str">
        <f t="shared" si="43"/>
        <v/>
      </c>
      <c r="X466" s="27" t="str">
        <f t="shared" si="44"/>
        <v/>
      </c>
      <c r="Y466" s="27" t="str">
        <f t="shared" si="45"/>
        <v/>
      </c>
      <c r="Z466" s="28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6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7" t="str">
        <f t="shared" si="43"/>
        <v/>
      </c>
      <c r="X467" s="27" t="str">
        <f t="shared" si="44"/>
        <v/>
      </c>
      <c r="Y467" s="27" t="str">
        <f t="shared" si="45"/>
        <v/>
      </c>
      <c r="Z467" s="28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6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7" t="str">
        <f t="shared" si="43"/>
        <v/>
      </c>
      <c r="X468" s="27" t="str">
        <f t="shared" si="44"/>
        <v/>
      </c>
      <c r="Y468" s="27" t="str">
        <f t="shared" si="45"/>
        <v/>
      </c>
      <c r="Z468" s="28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6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7" t="str">
        <f t="shared" si="43"/>
        <v/>
      </c>
      <c r="X469" s="27" t="str">
        <f t="shared" si="44"/>
        <v/>
      </c>
      <c r="Y469" s="27" t="str">
        <f t="shared" si="45"/>
        <v/>
      </c>
      <c r="Z469" s="28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6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7" t="str">
        <f t="shared" si="43"/>
        <v/>
      </c>
      <c r="X470" s="27" t="str">
        <f t="shared" si="44"/>
        <v/>
      </c>
      <c r="Y470" s="27" t="str">
        <f t="shared" si="45"/>
        <v/>
      </c>
      <c r="Z470" s="28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6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7" t="str">
        <f t="shared" si="43"/>
        <v/>
      </c>
      <c r="X471" s="27" t="str">
        <f t="shared" si="44"/>
        <v/>
      </c>
      <c r="Y471" s="27" t="str">
        <f t="shared" si="45"/>
        <v/>
      </c>
      <c r="Z471" s="28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6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7" t="str">
        <f t="shared" si="43"/>
        <v/>
      </c>
      <c r="X472" s="27" t="str">
        <f t="shared" si="44"/>
        <v/>
      </c>
      <c r="Y472" s="27" t="str">
        <f t="shared" si="45"/>
        <v/>
      </c>
      <c r="Z472" s="28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6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7" t="str">
        <f t="shared" si="43"/>
        <v/>
      </c>
      <c r="X473" s="27" t="str">
        <f t="shared" si="44"/>
        <v/>
      </c>
      <c r="Y473" s="27" t="str">
        <f t="shared" si="45"/>
        <v/>
      </c>
      <c r="Z473" s="28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6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7" t="str">
        <f t="shared" si="43"/>
        <v/>
      </c>
      <c r="X474" s="27" t="str">
        <f t="shared" si="44"/>
        <v/>
      </c>
      <c r="Y474" s="27" t="str">
        <f t="shared" si="45"/>
        <v/>
      </c>
      <c r="Z474" s="28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6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7" t="str">
        <f t="shared" si="43"/>
        <v/>
      </c>
      <c r="X475" s="27" t="str">
        <f t="shared" si="44"/>
        <v/>
      </c>
      <c r="Y475" s="27" t="str">
        <f t="shared" si="45"/>
        <v/>
      </c>
      <c r="Z475" s="28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6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7" t="str">
        <f t="shared" si="43"/>
        <v/>
      </c>
      <c r="X476" s="27" t="str">
        <f t="shared" si="44"/>
        <v/>
      </c>
      <c r="Y476" s="27" t="str">
        <f t="shared" si="45"/>
        <v/>
      </c>
      <c r="Z476" s="28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6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7" t="str">
        <f t="shared" si="43"/>
        <v/>
      </c>
      <c r="X477" s="27" t="str">
        <f t="shared" si="44"/>
        <v/>
      </c>
      <c r="Y477" s="27" t="str">
        <f t="shared" si="45"/>
        <v/>
      </c>
      <c r="Z477" s="28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6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7" t="str">
        <f t="shared" si="43"/>
        <v/>
      </c>
      <c r="X478" s="27" t="str">
        <f t="shared" si="44"/>
        <v/>
      </c>
      <c r="Y478" s="27" t="str">
        <f t="shared" si="45"/>
        <v/>
      </c>
      <c r="Z478" s="28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6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7" t="str">
        <f t="shared" si="43"/>
        <v/>
      </c>
      <c r="X479" s="27" t="str">
        <f t="shared" si="44"/>
        <v/>
      </c>
      <c r="Y479" s="27" t="str">
        <f t="shared" si="45"/>
        <v/>
      </c>
      <c r="Z479" s="28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6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7" t="str">
        <f t="shared" si="43"/>
        <v/>
      </c>
      <c r="X480" s="27" t="str">
        <f t="shared" si="44"/>
        <v/>
      </c>
      <c r="Y480" s="27" t="str">
        <f t="shared" si="45"/>
        <v/>
      </c>
      <c r="Z480" s="28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6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7" t="str">
        <f t="shared" si="43"/>
        <v/>
      </c>
      <c r="X481" s="27" t="str">
        <f t="shared" si="44"/>
        <v/>
      </c>
      <c r="Y481" s="27" t="str">
        <f t="shared" si="45"/>
        <v/>
      </c>
      <c r="Z481" s="28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6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7" t="str">
        <f t="shared" si="43"/>
        <v/>
      </c>
      <c r="X482" s="27" t="str">
        <f t="shared" si="44"/>
        <v/>
      </c>
      <c r="Y482" s="27" t="str">
        <f t="shared" si="45"/>
        <v/>
      </c>
      <c r="Z482" s="28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6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7" t="str">
        <f t="shared" si="43"/>
        <v/>
      </c>
      <c r="X483" s="27" t="str">
        <f t="shared" si="44"/>
        <v/>
      </c>
      <c r="Y483" s="27" t="str">
        <f t="shared" si="45"/>
        <v/>
      </c>
      <c r="Z483" s="28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6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7" t="str">
        <f t="shared" si="43"/>
        <v/>
      </c>
      <c r="X484" s="27" t="str">
        <f t="shared" si="44"/>
        <v/>
      </c>
      <c r="Y484" s="27" t="str">
        <f t="shared" si="45"/>
        <v/>
      </c>
      <c r="Z484" s="28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6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7" t="str">
        <f t="shared" si="43"/>
        <v/>
      </c>
      <c r="X485" s="27" t="str">
        <f t="shared" si="44"/>
        <v/>
      </c>
      <c r="Y485" s="27" t="str">
        <f t="shared" si="45"/>
        <v/>
      </c>
      <c r="Z485" s="28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6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7" t="str">
        <f t="shared" si="43"/>
        <v/>
      </c>
      <c r="X486" s="27" t="str">
        <f t="shared" si="44"/>
        <v/>
      </c>
      <c r="Y486" s="27" t="str">
        <f t="shared" si="45"/>
        <v/>
      </c>
      <c r="Z486" s="28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6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7" t="str">
        <f t="shared" si="43"/>
        <v/>
      </c>
      <c r="X487" s="27" t="str">
        <f t="shared" si="44"/>
        <v/>
      </c>
      <c r="Y487" s="27" t="str">
        <f t="shared" si="45"/>
        <v/>
      </c>
      <c r="Z487" s="28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6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7" t="str">
        <f t="shared" si="43"/>
        <v/>
      </c>
      <c r="X488" s="27" t="str">
        <f t="shared" si="44"/>
        <v/>
      </c>
      <c r="Y488" s="27" t="str">
        <f t="shared" si="45"/>
        <v/>
      </c>
      <c r="Z488" s="28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6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7" t="str">
        <f t="shared" si="43"/>
        <v/>
      </c>
      <c r="X489" s="27" t="str">
        <f t="shared" si="44"/>
        <v/>
      </c>
      <c r="Y489" s="27" t="str">
        <f t="shared" si="45"/>
        <v/>
      </c>
      <c r="Z489" s="28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6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7" t="str">
        <f t="shared" si="43"/>
        <v/>
      </c>
      <c r="X490" s="27" t="str">
        <f t="shared" si="44"/>
        <v/>
      </c>
      <c r="Y490" s="27" t="str">
        <f t="shared" si="45"/>
        <v/>
      </c>
      <c r="Z490" s="28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6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7" t="str">
        <f t="shared" si="43"/>
        <v/>
      </c>
      <c r="X491" s="27" t="str">
        <f t="shared" si="44"/>
        <v/>
      </c>
      <c r="Y491" s="27" t="str">
        <f t="shared" si="45"/>
        <v/>
      </c>
      <c r="Z491" s="28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6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7" t="str">
        <f t="shared" si="43"/>
        <v/>
      </c>
      <c r="X492" s="27" t="str">
        <f t="shared" si="44"/>
        <v/>
      </c>
      <c r="Y492" s="27" t="str">
        <f t="shared" si="45"/>
        <v/>
      </c>
      <c r="Z492" s="28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6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7" t="str">
        <f t="shared" si="43"/>
        <v/>
      </c>
      <c r="X493" s="27" t="str">
        <f t="shared" si="44"/>
        <v/>
      </c>
      <c r="Y493" s="27" t="str">
        <f t="shared" si="45"/>
        <v/>
      </c>
      <c r="Z493" s="28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6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7" t="str">
        <f t="shared" si="43"/>
        <v/>
      </c>
      <c r="X494" s="27" t="str">
        <f t="shared" si="44"/>
        <v/>
      </c>
      <c r="Y494" s="27" t="str">
        <f t="shared" si="45"/>
        <v/>
      </c>
      <c r="Z494" s="28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6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7" t="str">
        <f t="shared" si="43"/>
        <v/>
      </c>
      <c r="X495" s="27" t="str">
        <f t="shared" si="44"/>
        <v/>
      </c>
      <c r="Y495" s="27" t="str">
        <f t="shared" si="45"/>
        <v/>
      </c>
      <c r="Z495" s="28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6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7" t="str">
        <f t="shared" si="43"/>
        <v/>
      </c>
      <c r="X496" s="27" t="str">
        <f t="shared" si="44"/>
        <v/>
      </c>
      <c r="Y496" s="27" t="str">
        <f t="shared" si="45"/>
        <v/>
      </c>
      <c r="Z496" s="28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6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7" t="str">
        <f t="shared" si="43"/>
        <v/>
      </c>
      <c r="X497" s="27" t="str">
        <f t="shared" si="44"/>
        <v/>
      </c>
      <c r="Y497" s="27" t="str">
        <f t="shared" si="45"/>
        <v/>
      </c>
      <c r="Z497" s="28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6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7" t="str">
        <f t="shared" si="43"/>
        <v/>
      </c>
      <c r="X498" s="27" t="str">
        <f t="shared" si="44"/>
        <v/>
      </c>
      <c r="Y498" s="27" t="str">
        <f t="shared" si="45"/>
        <v/>
      </c>
      <c r="Z498" s="28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6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7" t="str">
        <f t="shared" si="43"/>
        <v/>
      </c>
      <c r="X499" s="27" t="str">
        <f t="shared" si="44"/>
        <v/>
      </c>
      <c r="Y499" s="27" t="str">
        <f t="shared" si="45"/>
        <v/>
      </c>
      <c r="Z499" s="28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6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7" t="str">
        <f t="shared" si="43"/>
        <v/>
      </c>
      <c r="X500" s="27" t="str">
        <f t="shared" si="44"/>
        <v/>
      </c>
      <c r="Y500" s="27" t="str">
        <f t="shared" si="45"/>
        <v/>
      </c>
      <c r="Z500" s="28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H2:H500">
      <formula1>选项!$D$2:$D$15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89</v>
      </c>
      <c r="C1" s="1" t="s">
        <v>90</v>
      </c>
      <c r="D1" s="1" t="s">
        <v>91</v>
      </c>
      <c r="E1" s="1" t="s">
        <v>92</v>
      </c>
    </row>
    <row r="2" ht="78" customHeight="1" spans="1:5">
      <c r="A2" s="19" t="s">
        <v>57</v>
      </c>
      <c r="B2" s="20" t="s">
        <v>93</v>
      </c>
      <c r="C2" s="2" t="s">
        <v>94</v>
      </c>
      <c r="D2" s="20" t="s">
        <v>95</v>
      </c>
      <c r="E2" s="20" t="s">
        <v>96</v>
      </c>
    </row>
    <row r="3" ht="78" customHeight="1" spans="1:5">
      <c r="A3" s="19" t="s">
        <v>97</v>
      </c>
      <c r="B3" s="20" t="s">
        <v>98</v>
      </c>
      <c r="C3" s="2" t="s">
        <v>99</v>
      </c>
      <c r="D3" s="20" t="s">
        <v>100</v>
      </c>
      <c r="E3" s="20" t="s">
        <v>101</v>
      </c>
    </row>
    <row r="4" ht="78" customHeight="1" spans="1:5">
      <c r="A4" s="19" t="s">
        <v>102</v>
      </c>
      <c r="B4" s="20" t="s">
        <v>103</v>
      </c>
      <c r="C4" s="2" t="s">
        <v>104</v>
      </c>
      <c r="D4" s="20" t="s">
        <v>105</v>
      </c>
      <c r="E4" s="20" t="s">
        <v>106</v>
      </c>
    </row>
    <row r="5" ht="78" customHeight="1" spans="1:5">
      <c r="A5" s="19" t="s">
        <v>107</v>
      </c>
      <c r="B5" s="20" t="s">
        <v>108</v>
      </c>
      <c r="C5" s="2" t="s">
        <v>109</v>
      </c>
      <c r="D5" s="20" t="s">
        <v>110</v>
      </c>
      <c r="E5" s="20" t="s">
        <v>111</v>
      </c>
    </row>
    <row r="6" ht="78" customHeight="1" spans="1:5">
      <c r="A6" s="19" t="s">
        <v>112</v>
      </c>
      <c r="B6" s="20" t="s">
        <v>113</v>
      </c>
      <c r="C6" s="2" t="s">
        <v>114</v>
      </c>
      <c r="D6" s="20" t="s">
        <v>115</v>
      </c>
      <c r="E6" s="20" t="s">
        <v>116</v>
      </c>
    </row>
    <row r="7" ht="78" customHeight="1" spans="1:5">
      <c r="A7" s="19" t="s">
        <v>117</v>
      </c>
      <c r="B7" s="20" t="s">
        <v>118</v>
      </c>
      <c r="C7" s="2" t="s">
        <v>119</v>
      </c>
      <c r="D7" s="20" t="s">
        <v>120</v>
      </c>
      <c r="E7" s="20" t="s">
        <v>121</v>
      </c>
    </row>
    <row r="8" ht="78" customHeight="1" spans="1:5">
      <c r="A8" s="19" t="s">
        <v>122</v>
      </c>
      <c r="B8" s="20" t="s">
        <v>123</v>
      </c>
      <c r="C8" s="2" t="s">
        <v>124</v>
      </c>
      <c r="D8" s="20" t="s">
        <v>125</v>
      </c>
      <c r="E8" s="20" t="s">
        <v>126</v>
      </c>
    </row>
    <row r="9" ht="78" customHeight="1" spans="1:5">
      <c r="A9" s="19" t="s">
        <v>127</v>
      </c>
      <c r="B9" s="20" t="s">
        <v>128</v>
      </c>
      <c r="C9" s="2" t="s">
        <v>129</v>
      </c>
      <c r="D9" s="20" t="s">
        <v>130</v>
      </c>
      <c r="E9" s="20" t="s">
        <v>131</v>
      </c>
    </row>
    <row r="10" ht="78" customHeight="1" spans="1:5">
      <c r="A10" s="19" t="s">
        <v>132</v>
      </c>
      <c r="B10" s="20" t="s">
        <v>133</v>
      </c>
      <c r="C10" s="2" t="s">
        <v>134</v>
      </c>
      <c r="D10" s="20" t="s">
        <v>135</v>
      </c>
      <c r="E10" s="20" t="s">
        <v>136</v>
      </c>
    </row>
    <row r="11" ht="78" customHeight="1" spans="1:5">
      <c r="A11" s="19" t="s">
        <v>137</v>
      </c>
      <c r="B11" s="20" t="s">
        <v>138</v>
      </c>
      <c r="C11" s="2" t="s">
        <v>139</v>
      </c>
      <c r="D11" s="20" t="s">
        <v>140</v>
      </c>
      <c r="E11" s="20" t="s">
        <v>141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142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</row>
    <row r="2" ht="90" customHeight="1" spans="1:7">
      <c r="A2" s="19" t="s">
        <v>149</v>
      </c>
      <c r="B2" s="20" t="s">
        <v>150</v>
      </c>
      <c r="C2" s="2" t="s">
        <v>151</v>
      </c>
      <c r="D2" s="20" t="s">
        <v>152</v>
      </c>
      <c r="E2" s="20" t="s">
        <v>153</v>
      </c>
      <c r="F2" s="20" t="s">
        <v>154</v>
      </c>
      <c r="G2" s="2" t="s">
        <v>155</v>
      </c>
    </row>
    <row r="3" ht="90" customHeight="1" spans="1:7">
      <c r="A3" s="19" t="s">
        <v>156</v>
      </c>
      <c r="B3" s="20" t="s">
        <v>157</v>
      </c>
      <c r="C3" s="2" t="s">
        <v>158</v>
      </c>
      <c r="D3" s="20" t="s">
        <v>159</v>
      </c>
      <c r="E3" s="20" t="s">
        <v>160</v>
      </c>
      <c r="F3" s="20" t="s">
        <v>161</v>
      </c>
      <c r="G3" s="2" t="s">
        <v>162</v>
      </c>
    </row>
    <row r="4" ht="90" customHeight="1" spans="1:7">
      <c r="A4" s="19" t="s">
        <v>73</v>
      </c>
      <c r="B4" s="20" t="s">
        <v>163</v>
      </c>
      <c r="C4" s="2" t="s">
        <v>164</v>
      </c>
      <c r="D4" s="20" t="s">
        <v>165</v>
      </c>
      <c r="E4" s="20" t="s">
        <v>166</v>
      </c>
      <c r="F4" s="20" t="s">
        <v>167</v>
      </c>
      <c r="G4" s="2" t="s">
        <v>168</v>
      </c>
    </row>
    <row r="5" ht="90" customHeight="1" spans="1:7">
      <c r="A5" s="19" t="s">
        <v>169</v>
      </c>
      <c r="B5" s="20" t="s">
        <v>170</v>
      </c>
      <c r="C5" s="2" t="s">
        <v>171</v>
      </c>
      <c r="D5" s="20" t="s">
        <v>172</v>
      </c>
      <c r="E5" s="20" t="s">
        <v>173</v>
      </c>
      <c r="F5" s="20" t="s">
        <v>174</v>
      </c>
      <c r="G5" s="2" t="s">
        <v>175</v>
      </c>
    </row>
    <row r="6" ht="90" customHeight="1" spans="1:7">
      <c r="A6" s="19" t="s">
        <v>176</v>
      </c>
      <c r="B6" s="20" t="s">
        <v>177</v>
      </c>
      <c r="C6" s="2" t="s">
        <v>178</v>
      </c>
      <c r="D6" s="20" t="s">
        <v>179</v>
      </c>
      <c r="E6" s="20" t="s">
        <v>180</v>
      </c>
      <c r="F6" s="20" t="s">
        <v>181</v>
      </c>
      <c r="G6" s="2" t="s">
        <v>182</v>
      </c>
    </row>
    <row r="7" ht="90" customHeight="1" spans="1:7">
      <c r="A7" s="19" t="s">
        <v>183</v>
      </c>
      <c r="B7" s="20" t="s">
        <v>184</v>
      </c>
      <c r="C7" s="2" t="s">
        <v>185</v>
      </c>
      <c r="D7" s="20" t="s">
        <v>186</v>
      </c>
      <c r="E7" s="20" t="s">
        <v>187</v>
      </c>
      <c r="F7" s="20" t="s">
        <v>188</v>
      </c>
      <c r="G7" s="2" t="s">
        <v>189</v>
      </c>
    </row>
    <row r="8" ht="90" customHeight="1" spans="1:7">
      <c r="A8" s="19" t="s">
        <v>190</v>
      </c>
      <c r="B8" s="20" t="s">
        <v>191</v>
      </c>
      <c r="C8" s="2" t="s">
        <v>192</v>
      </c>
      <c r="D8" s="20" t="s">
        <v>193</v>
      </c>
      <c r="E8" s="20" t="s">
        <v>194</v>
      </c>
      <c r="F8" s="20" t="s">
        <v>195</v>
      </c>
      <c r="G8" s="2" t="s">
        <v>196</v>
      </c>
    </row>
    <row r="9" ht="90" customHeight="1" spans="1:7">
      <c r="A9" s="19" t="s">
        <v>197</v>
      </c>
      <c r="B9" s="20" t="s">
        <v>198</v>
      </c>
      <c r="C9" s="2" t="s">
        <v>199</v>
      </c>
      <c r="D9" s="20" t="s">
        <v>200</v>
      </c>
      <c r="E9" s="20" t="s">
        <v>201</v>
      </c>
      <c r="F9" s="20" t="s">
        <v>202</v>
      </c>
      <c r="G9" s="2" t="s">
        <v>203</v>
      </c>
    </row>
    <row r="10" ht="90" customHeight="1" spans="1:7">
      <c r="A10" s="19" t="s">
        <v>204</v>
      </c>
      <c r="B10" s="20" t="s">
        <v>205</v>
      </c>
      <c r="C10" s="2" t="s">
        <v>206</v>
      </c>
      <c r="D10" s="20" t="s">
        <v>207</v>
      </c>
      <c r="E10" s="20" t="s">
        <v>208</v>
      </c>
      <c r="F10" s="20" t="s">
        <v>209</v>
      </c>
      <c r="G10" s="2" t="s">
        <v>210</v>
      </c>
    </row>
    <row r="11" ht="90" customHeight="1" spans="1:7">
      <c r="A11" s="19" t="s">
        <v>211</v>
      </c>
      <c r="B11" s="20" t="s">
        <v>212</v>
      </c>
      <c r="C11" s="2" t="s">
        <v>213</v>
      </c>
      <c r="D11" s="20" t="s">
        <v>214</v>
      </c>
      <c r="E11" s="20" t="s">
        <v>215</v>
      </c>
      <c r="F11" s="20" t="s">
        <v>216</v>
      </c>
      <c r="G11" s="2" t="s">
        <v>217</v>
      </c>
    </row>
    <row r="12" ht="90" customHeight="1" spans="1:7">
      <c r="A12" s="19" t="s">
        <v>218</v>
      </c>
      <c r="B12" s="20" t="s">
        <v>219</v>
      </c>
      <c r="C12" s="2" t="s">
        <v>220</v>
      </c>
      <c r="D12" s="20" t="s">
        <v>221</v>
      </c>
      <c r="E12" s="20" t="s">
        <v>222</v>
      </c>
      <c r="F12" s="20" t="s">
        <v>223</v>
      </c>
      <c r="G12" s="2" t="s">
        <v>224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225</v>
      </c>
      <c r="B1" s="11" t="s">
        <v>226</v>
      </c>
      <c r="C1" s="11" t="s">
        <v>227</v>
      </c>
      <c r="D1" s="11" t="s">
        <v>23</v>
      </c>
      <c r="E1" s="11" t="s">
        <v>228</v>
      </c>
      <c r="F1" s="11" t="s">
        <v>229</v>
      </c>
      <c r="G1" s="11" t="s">
        <v>230</v>
      </c>
      <c r="H1" s="11" t="s">
        <v>231</v>
      </c>
      <c r="I1" s="11" t="s">
        <v>232</v>
      </c>
      <c r="J1" s="11" t="s">
        <v>233</v>
      </c>
      <c r="K1" s="11" t="s">
        <v>234</v>
      </c>
      <c r="L1" s="11" t="s">
        <v>235</v>
      </c>
      <c r="M1" s="11" t="s">
        <v>236</v>
      </c>
      <c r="N1" s="11" t="s">
        <v>237</v>
      </c>
      <c r="O1" s="11" t="s">
        <v>238</v>
      </c>
      <c r="P1" s="11" t="s">
        <v>239</v>
      </c>
      <c r="Q1" s="11" t="s">
        <v>240</v>
      </c>
      <c r="R1" s="11" t="s">
        <v>241</v>
      </c>
      <c r="S1" s="11" t="s">
        <v>242</v>
      </c>
      <c r="T1" s="11" t="s">
        <v>243</v>
      </c>
      <c r="U1" s="11" t="s">
        <v>244</v>
      </c>
      <c r="V1" s="12" t="s">
        <v>245</v>
      </c>
      <c r="W1" s="11" t="s">
        <v>246</v>
      </c>
      <c r="X1" s="11" t="s">
        <v>247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248</v>
      </c>
      <c r="B1" s="4"/>
      <c r="C1" s="5"/>
    </row>
    <row r="2" ht="17" spans="1:3">
      <c r="A2" s="6" t="s">
        <v>249</v>
      </c>
      <c r="B2" s="6" t="s">
        <v>250</v>
      </c>
      <c r="C2" s="6" t="s">
        <v>251</v>
      </c>
    </row>
    <row r="3" ht="36" customHeight="1" spans="1:3">
      <c r="A3" s="7" t="s">
        <v>252</v>
      </c>
      <c r="B3" s="8">
        <f>COUNTA(每日观察!B2:B500)</f>
        <v>3</v>
      </c>
      <c r="C3" s="9" t="s">
        <v>253</v>
      </c>
    </row>
    <row r="4" ht="36" customHeight="1" spans="1:3">
      <c r="A4" s="7" t="s">
        <v>254</v>
      </c>
      <c r="B4" s="8">
        <f>COUNTIF(每日观察!Z2:Z500,1)</f>
        <v>1</v>
      </c>
      <c r="C4" s="9" t="s">
        <v>255</v>
      </c>
    </row>
    <row r="5" ht="36" customHeight="1" spans="1:3">
      <c r="A5" s="7" t="s">
        <v>256</v>
      </c>
      <c r="B5" s="10">
        <f>IFERROR(B4/B3,"")</f>
        <v>0.333333333333333</v>
      </c>
      <c r="C5" s="9" t="s">
        <v>257</v>
      </c>
    </row>
    <row r="6" ht="36" customHeight="1" spans="1:3">
      <c r="A6" s="7" t="s">
        <v>258</v>
      </c>
      <c r="B6" s="8">
        <f>COUNTIF(每日观察!AE2:AE500,"有效")</f>
        <v>0</v>
      </c>
      <c r="C6" s="9" t="s">
        <v>259</v>
      </c>
    </row>
    <row r="7" ht="36" customHeight="1" spans="1:3">
      <c r="A7" s="7" t="s">
        <v>260</v>
      </c>
      <c r="B7" s="10">
        <f>IFERROR(B6/B3,"")</f>
        <v>0</v>
      </c>
      <c r="C7" s="9" t="s">
        <v>261</v>
      </c>
    </row>
    <row r="8" ht="36" customHeight="1" spans="1:3">
      <c r="A8" s="7" t="s">
        <v>262</v>
      </c>
      <c r="B8" s="8">
        <f>COUNTIF(每日观察!AA2:AA500,"不合格")</f>
        <v>0</v>
      </c>
      <c r="C8" s="9" t="s">
        <v>263</v>
      </c>
    </row>
    <row r="9" ht="36" customHeight="1" spans="1:3">
      <c r="A9" s="7" t="s">
        <v>264</v>
      </c>
      <c r="B9" s="8">
        <f>COUNTIF(每日观察!AB2:AB500,"不合格")</f>
        <v>0</v>
      </c>
      <c r="C9" s="9" t="s">
        <v>265</v>
      </c>
    </row>
    <row r="10" ht="36" customHeight="1" spans="1:3">
      <c r="A10" s="7" t="s">
        <v>266</v>
      </c>
      <c r="B10" s="8">
        <f>COUNTIF(每日观察!AC2:AC500,"不合格")</f>
        <v>0</v>
      </c>
      <c r="C10" s="9" t="s">
        <v>267</v>
      </c>
    </row>
    <row r="11" ht="36" customHeight="1" spans="1:3">
      <c r="A11" s="7" t="s">
        <v>268</v>
      </c>
      <c r="B11" s="8">
        <f>COUNTIF(每日观察!AD2:AD500,"不合格")</f>
        <v>0</v>
      </c>
      <c r="C11" s="9" t="s">
        <v>269</v>
      </c>
    </row>
    <row r="12" ht="36" customHeight="1" spans="1:3">
      <c r="A12" s="7" t="s">
        <v>270</v>
      </c>
      <c r="B12" s="8">
        <f>COUNTIF(每日观察!H2:H500,"无清晰位置")</f>
        <v>0</v>
      </c>
      <c r="C12" s="9" t="s">
        <v>271</v>
      </c>
    </row>
    <row r="13" ht="36" customHeight="1" spans="1:3">
      <c r="A13" s="7" t="s">
        <v>272</v>
      </c>
      <c r="B13" s="8">
        <f>COUNTIF(每日观察!L2:L500,"不清晰")</f>
        <v>0</v>
      </c>
      <c r="C13" s="9" t="s">
        <v>273</v>
      </c>
    </row>
    <row r="14" ht="36" customHeight="1" spans="1:3">
      <c r="A14" s="7" t="s">
        <v>274</v>
      </c>
      <c r="B14" s="8">
        <f>COUNTIF(每日观察!R2:R500,"高")</f>
        <v>1</v>
      </c>
      <c r="C14" s="9" t="s">
        <v>275</v>
      </c>
    </row>
    <row r="15" ht="36" customHeight="1" spans="1:3">
      <c r="A15" s="7" t="s">
        <v>276</v>
      </c>
      <c r="B15" s="8">
        <f>COUNTA(事后验证!B2:B500)</f>
        <v>0</v>
      </c>
      <c r="C15" s="9" t="s">
        <v>277</v>
      </c>
    </row>
    <row r="16" ht="36" customHeight="1" spans="1:3">
      <c r="A16" s="7" t="s">
        <v>278</v>
      </c>
      <c r="B16" s="8">
        <f>COUNTIF(事后验证!R2:R500,"关键位置找错")</f>
        <v>0</v>
      </c>
      <c r="C16" s="9" t="s">
        <v>279</v>
      </c>
    </row>
    <row r="17" ht="36" customHeight="1" spans="1:3">
      <c r="A17" s="7" t="s">
        <v>280</v>
      </c>
      <c r="B17" s="8">
        <f>COUNTIF(事后验证!R2:R500,"理由链断裂")</f>
        <v>0</v>
      </c>
      <c r="C17" s="9" t="s">
        <v>281</v>
      </c>
    </row>
    <row r="18" ht="36" customHeight="1" spans="1:3">
      <c r="A18" s="7" t="s">
        <v>282</v>
      </c>
      <c r="B18" s="8">
        <f>COUNTIF(事后验证!R2:R500,"漏掉反证")</f>
        <v>0</v>
      </c>
      <c r="C18" s="9" t="s">
        <v>283</v>
      </c>
    </row>
    <row r="19" ht="36" customHeight="1" spans="1:3">
      <c r="A19" s="7" t="s">
        <v>284</v>
      </c>
      <c r="B19" s="8">
        <f>COUNTIF(事后验证!R2:R500,"过度确定")</f>
        <v>0</v>
      </c>
      <c r="C19" s="9" t="s">
        <v>285</v>
      </c>
    </row>
    <row r="20" ht="36" customHeight="1" spans="1:3">
      <c r="A20" s="7" t="s">
        <v>286</v>
      </c>
      <c r="B20" s="8">
        <f>COUNTIF(事后验证!R2:R500,"概率失败")</f>
        <v>0</v>
      </c>
      <c r="C20" s="9" t="s">
        <v>287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288</v>
      </c>
      <c r="I1" s="1" t="s">
        <v>289</v>
      </c>
      <c r="J1" s="1" t="s">
        <v>234</v>
      </c>
      <c r="K1" s="1" t="s">
        <v>237</v>
      </c>
      <c r="L1" s="1" t="s">
        <v>290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17</v>
      </c>
      <c r="R1" s="1" t="s">
        <v>51</v>
      </c>
    </row>
    <row r="2" ht="34" spans="1:18">
      <c r="A2" s="2" t="s">
        <v>54</v>
      </c>
      <c r="B2" s="2" t="s">
        <v>291</v>
      </c>
      <c r="C2" s="2" t="s">
        <v>72</v>
      </c>
      <c r="D2" s="2" t="s">
        <v>57</v>
      </c>
      <c r="E2" s="2" t="s">
        <v>292</v>
      </c>
      <c r="F2" s="2" t="s">
        <v>61</v>
      </c>
      <c r="G2" s="2" t="s">
        <v>149</v>
      </c>
      <c r="H2" s="2" t="s">
        <v>293</v>
      </c>
      <c r="I2" s="2" t="s">
        <v>67</v>
      </c>
      <c r="J2" s="2" t="s">
        <v>294</v>
      </c>
      <c r="K2" s="2" t="s">
        <v>295</v>
      </c>
      <c r="L2" s="2" t="s">
        <v>296</v>
      </c>
      <c r="M2" s="2" t="s">
        <v>297</v>
      </c>
      <c r="N2" s="2" t="s">
        <v>298</v>
      </c>
      <c r="O2" s="2" t="s">
        <v>299</v>
      </c>
      <c r="P2" s="2" t="s">
        <v>300</v>
      </c>
      <c r="Q2" s="2" t="s">
        <v>301</v>
      </c>
      <c r="R2" s="2" t="s">
        <v>296</v>
      </c>
    </row>
    <row r="3" ht="17" spans="1:18">
      <c r="A3" s="2" t="s">
        <v>302</v>
      </c>
      <c r="B3" s="2" t="s">
        <v>55</v>
      </c>
      <c r="C3" s="2" t="s">
        <v>56</v>
      </c>
      <c r="D3" s="2" t="s">
        <v>97</v>
      </c>
      <c r="E3" s="2" t="s">
        <v>303</v>
      </c>
      <c r="F3" s="2" t="s">
        <v>304</v>
      </c>
      <c r="G3" s="2" t="s">
        <v>156</v>
      </c>
      <c r="H3" s="2" t="s">
        <v>75</v>
      </c>
      <c r="I3" s="2" t="s">
        <v>305</v>
      </c>
      <c r="J3" s="2" t="s">
        <v>306</v>
      </c>
      <c r="K3" s="2" t="s">
        <v>307</v>
      </c>
      <c r="L3" s="2" t="s">
        <v>304</v>
      </c>
      <c r="M3" s="2" t="s">
        <v>308</v>
      </c>
      <c r="N3" s="2" t="s">
        <v>309</v>
      </c>
      <c r="O3" s="2" t="s">
        <v>310</v>
      </c>
      <c r="P3" s="2" t="s">
        <v>311</v>
      </c>
      <c r="Q3" s="2" t="s">
        <v>312</v>
      </c>
      <c r="R3" s="2" t="s">
        <v>313</v>
      </c>
    </row>
    <row r="4" ht="17" spans="1:18">
      <c r="A4" s="2" t="s">
        <v>314</v>
      </c>
      <c r="B4" s="2" t="s">
        <v>315</v>
      </c>
      <c r="C4" s="2" t="s">
        <v>316</v>
      </c>
      <c r="D4" s="2" t="s">
        <v>102</v>
      </c>
      <c r="E4" s="2" t="s">
        <v>317</v>
      </c>
      <c r="F4" s="2" t="s">
        <v>318</v>
      </c>
      <c r="G4" s="2" t="s">
        <v>73</v>
      </c>
      <c r="H4" s="2" t="s">
        <v>319</v>
      </c>
      <c r="I4" s="2" t="s">
        <v>78</v>
      </c>
      <c r="J4" s="2" t="s">
        <v>320</v>
      </c>
      <c r="K4" s="2" t="s">
        <v>73</v>
      </c>
      <c r="L4" s="2" t="s">
        <v>313</v>
      </c>
      <c r="M4" s="2" t="s">
        <v>321</v>
      </c>
      <c r="N4" s="2" t="s">
        <v>322</v>
      </c>
      <c r="O4" s="2" t="s">
        <v>323</v>
      </c>
      <c r="P4" s="2" t="s">
        <v>324</v>
      </c>
    </row>
    <row r="5" ht="17" spans="1:18">
      <c r="A5" s="2" t="s">
        <v>325</v>
      </c>
      <c r="B5" s="2" t="s">
        <v>314</v>
      </c>
      <c r="C5" s="2" t="s">
        <v>81</v>
      </c>
      <c r="D5" s="2" t="s">
        <v>107</v>
      </c>
      <c r="E5" s="2" t="s">
        <v>60</v>
      </c>
      <c r="G5" s="2" t="s">
        <v>169</v>
      </c>
      <c r="H5" s="2" t="s">
        <v>326</v>
      </c>
      <c r="J5" s="2" t="s">
        <v>327</v>
      </c>
      <c r="K5" s="2" t="s">
        <v>328</v>
      </c>
      <c r="L5" s="2" t="s">
        <v>329</v>
      </c>
      <c r="M5" s="2" t="s">
        <v>330</v>
      </c>
      <c r="N5" s="2" t="s">
        <v>331</v>
      </c>
      <c r="O5" s="2" t="s">
        <v>332</v>
      </c>
      <c r="P5" s="2" t="s">
        <v>333</v>
      </c>
    </row>
    <row r="6" ht="17" spans="1:18">
      <c r="A6" s="2" t="s">
        <v>70</v>
      </c>
      <c r="B6" s="2" t="s">
        <v>71</v>
      </c>
      <c r="D6" s="2" t="s">
        <v>334</v>
      </c>
      <c r="E6" s="2" t="s">
        <v>335</v>
      </c>
      <c r="G6" s="2" t="s">
        <v>176</v>
      </c>
      <c r="H6" s="2" t="s">
        <v>336</v>
      </c>
      <c r="K6" s="2" t="s">
        <v>337</v>
      </c>
      <c r="O6" s="2" t="s">
        <v>338</v>
      </c>
      <c r="P6" s="2" t="s">
        <v>339</v>
      </c>
    </row>
    <row r="7" ht="17" spans="1:18">
      <c r="A7" s="2" t="s">
        <v>81</v>
      </c>
      <c r="B7" s="2" t="s">
        <v>81</v>
      </c>
      <c r="D7" s="2" t="s">
        <v>340</v>
      </c>
      <c r="E7" s="2" t="s">
        <v>82</v>
      </c>
      <c r="G7" s="2" t="s">
        <v>183</v>
      </c>
      <c r="H7" s="2" t="s">
        <v>341</v>
      </c>
      <c r="K7" s="2" t="s">
        <v>342</v>
      </c>
      <c r="O7" s="2" t="s">
        <v>343</v>
      </c>
      <c r="P7" s="2" t="s">
        <v>344</v>
      </c>
    </row>
    <row r="8" ht="34" spans="1:18">
      <c r="D8" s="2" t="s">
        <v>345</v>
      </c>
      <c r="E8" s="2" t="s">
        <v>346</v>
      </c>
      <c r="G8" s="2" t="s">
        <v>190</v>
      </c>
      <c r="H8" s="2" t="s">
        <v>347</v>
      </c>
      <c r="K8" s="2" t="s">
        <v>348</v>
      </c>
      <c r="O8" s="2" t="s">
        <v>349</v>
      </c>
      <c r="P8" s="2" t="s">
        <v>350</v>
      </c>
    </row>
    <row r="9" ht="34" spans="1:18">
      <c r="D9" s="2" t="s">
        <v>117</v>
      </c>
      <c r="E9" s="2" t="s">
        <v>330</v>
      </c>
      <c r="G9" s="2" t="s">
        <v>197</v>
      </c>
      <c r="H9" s="2" t="s">
        <v>64</v>
      </c>
      <c r="K9" s="2" t="s">
        <v>329</v>
      </c>
      <c r="O9" s="2" t="s">
        <v>351</v>
      </c>
      <c r="P9" s="2" t="s">
        <v>352</v>
      </c>
    </row>
    <row r="10" ht="17" spans="1:18">
      <c r="D10" s="2" t="s">
        <v>122</v>
      </c>
      <c r="E10" s="2" t="s">
        <v>81</v>
      </c>
      <c r="G10" s="2" t="s">
        <v>204</v>
      </c>
      <c r="H10" s="2" t="s">
        <v>353</v>
      </c>
      <c r="P10" s="2" t="s">
        <v>354</v>
      </c>
    </row>
    <row r="11" ht="17" spans="1:18">
      <c r="D11" s="2" t="s">
        <v>355</v>
      </c>
      <c r="G11" s="2" t="s">
        <v>211</v>
      </c>
      <c r="H11" s="2" t="s">
        <v>356</v>
      </c>
    </row>
    <row r="12" ht="17" spans="1:18">
      <c r="D12" s="2" t="s">
        <v>127</v>
      </c>
      <c r="G12" s="2" t="s">
        <v>218</v>
      </c>
      <c r="H12" s="2" t="s">
        <v>329</v>
      </c>
    </row>
    <row r="13" ht="17" spans="1:18">
      <c r="D13" s="2" t="s">
        <v>132</v>
      </c>
      <c r="G13" s="2" t="s">
        <v>62</v>
      </c>
    </row>
    <row r="14" ht="17" spans="1:18">
      <c r="D14" s="2" t="s">
        <v>137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2026-07-09T22:30:00Z</dcterms:created>
  <dcterms:modified xsi:type="dcterms:W3CDTF">2026-07-13T21:29:12Z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