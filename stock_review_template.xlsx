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9400" windowHeight="12740" tabRatio="600" firstSheet="0" activeTab="2" autoFilterDateGrouping="1"/>
  </bookViews>
  <sheets>
    <sheet name="使用说明" sheetId="1" state="visible" r:id="rId1"/>
    <sheet name="板块观察" sheetId="2" state="visible" r:id="rId2"/>
    <sheet name="每日复盘" sheetId="3" state="visible" r:id="rId3"/>
    <sheet name="事后验证" sheetId="4" state="visible" r:id="rId4"/>
    <sheet name="模拟交易" sheetId="5" state="visible" r:id="rId5"/>
    <sheet name="汇总看板" sheetId="6" state="visible" r:id="rId6"/>
    <sheet name="选项" sheetId="7" state="hidden" r:id="rId7"/>
  </sheets>
  <definedNames>
    <definedName name="_xlnm._FilterDatabase" localSheetId="1" hidden="1">'板块观察'!$A$1:$Z$501</definedName>
    <definedName name="_xlnm._FilterDatabase" localSheetId="2" hidden="1">'每日复盘'!$A$1:$AH$1</definedName>
    <definedName name="_xlnm._FilterDatabase" localSheetId="3" hidden="1">'事后验证'!$A$1:$P$1</definedName>
    <definedName name="_xlnm._FilterDatabase" localSheetId="4" hidden="1">'模拟交易'!$A$1:$Q$501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1F4E78"/>
      <sz val="11"/>
      <scheme val="minor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rgb="FF1F4E78"/>
      <sz val="16"/>
      <scheme val="minor"/>
    </font>
    <font>
      <name val="宋体"/>
      <charset val="134"/>
      <b val="1"/>
      <color rgb="FF375623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  <font>
      <b val="1"/>
    </font>
    <font>
      <b val="1"/>
      <color rgb="00FFFFFF"/>
    </font>
    <font>
      <b val="1"/>
      <color rgb="00000000"/>
    </font>
    <font>
      <b val="1"/>
      <color rgb="00375623"/>
    </font>
  </fonts>
  <fills count="4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70AD47"/>
      </patternFill>
    </fill>
    <fill>
      <patternFill patternType="solid">
        <fgColor rgb="001F4E78"/>
      </patternFill>
    </fill>
    <fill>
      <patternFill patternType="solid">
        <fgColor rgb="00FFD96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49">
    <xf numFmtId="0" fontId="7" fillId="0" borderId="0"/>
    <xf numFmtId="43" fontId="7" fillId="0" borderId="0" applyAlignment="1">
      <alignment vertical="center"/>
    </xf>
    <xf numFmtId="44" fontId="7" fillId="0" borderId="0" applyAlignment="1">
      <alignment vertical="center"/>
    </xf>
    <xf numFmtId="9" fontId="7" fillId="0" borderId="0" applyAlignment="1">
      <alignment vertical="center"/>
    </xf>
    <xf numFmtId="41" fontId="7" fillId="0" borderId="0" applyAlignment="1">
      <alignment vertical="center"/>
    </xf>
    <xf numFmtId="42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7" fillId="8" borderId="2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3" applyAlignment="1">
      <alignment vertical="center"/>
    </xf>
    <xf numFmtId="0" fontId="14" fillId="0" borderId="3" applyAlignment="1">
      <alignment vertical="center"/>
    </xf>
    <xf numFmtId="0" fontId="15" fillId="0" borderId="4" applyAlignment="1">
      <alignment vertical="center"/>
    </xf>
    <xf numFmtId="0" fontId="15" fillId="0" borderId="0" applyAlignment="1">
      <alignment vertical="center"/>
    </xf>
    <xf numFmtId="0" fontId="16" fillId="9" borderId="5" applyAlignment="1">
      <alignment vertical="center"/>
    </xf>
    <xf numFmtId="0" fontId="17" fillId="10" borderId="6" applyAlignment="1">
      <alignment vertical="center"/>
    </xf>
    <xf numFmtId="0" fontId="18" fillId="10" borderId="5" applyAlignment="1">
      <alignment vertical="center"/>
    </xf>
    <xf numFmtId="0" fontId="19" fillId="11" borderId="7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5" fillId="34" borderId="0" applyAlignment="1">
      <alignment vertical="center"/>
    </xf>
    <xf numFmtId="0" fontId="25" fillId="35" borderId="0" applyAlignment="1">
      <alignment vertical="center"/>
    </xf>
    <xf numFmtId="0" fontId="26" fillId="36" borderId="0" applyAlignment="1">
      <alignment vertical="center"/>
    </xf>
    <xf numFmtId="0" fontId="26" fillId="37" borderId="0" applyAlignment="1">
      <alignment vertical="center"/>
    </xf>
    <xf numFmtId="0" fontId="25" fillId="38" borderId="0" applyAlignment="1">
      <alignment vertical="center"/>
    </xf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  <xf numFmtId="10" fontId="0" fillId="5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31" fillId="42" borderId="10" applyAlignment="1" pivotButton="0" quotePrefix="0" xfId="0">
      <alignment vertical="top" wrapText="1"/>
    </xf>
    <xf numFmtId="0" fontId="0" fillId="42" borderId="10" applyAlignment="1" pivotButton="0" quotePrefix="0" xfId="0">
      <alignment vertical="top" wrapText="1"/>
    </xf>
    <xf numFmtId="0" fontId="29" fillId="39" borderId="10" applyAlignment="1" pivotButton="0" quotePrefix="0" xfId="0">
      <alignment horizontal="center" vertical="center" wrapText="1"/>
    </xf>
    <xf numFmtId="0" fontId="29" fillId="40" borderId="10" applyAlignment="1" pivotButton="0" quotePrefix="0" xfId="0">
      <alignment horizontal="center" vertical="center" wrapText="1"/>
    </xf>
    <xf numFmtId="0" fontId="30" fillId="41" borderId="10" applyAlignment="1" pivotButton="0" quotePrefix="0" xfId="0">
      <alignment horizontal="center" vertical="center" wrapText="1"/>
    </xf>
    <xf numFmtId="0" fontId="0" fillId="0" borderId="10" applyAlignment="1" pivotButton="0" quotePrefix="0" xfId="0">
      <alignment vertical="top" wrapText="1"/>
    </xf>
    <xf numFmtId="10" fontId="0" fillId="0" borderId="10" applyAlignment="1" pivotButton="0" quotePrefix="0" xfId="0">
      <alignment vertical="top" wrapText="1"/>
    </xf>
    <xf numFmtId="10" fontId="0" fillId="42" borderId="10" applyAlignment="1" pivotButton="0" quotePrefix="0" xfId="0">
      <alignment vertical="top" wrapText="1"/>
    </xf>
    <xf numFmtId="0" fontId="0" fillId="43" borderId="10" applyAlignment="1" pivotButton="0" quotePrefix="0" xfId="0">
      <alignment vertical="top" wrapText="1"/>
    </xf>
    <xf numFmtId="9" fontId="0" fillId="0" borderId="10" applyAlignment="1" pivotButton="0" quotePrefix="0" xfId="0">
      <alignment vertical="top" wrapText="1"/>
    </xf>
    <xf numFmtId="0" fontId="28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绿色列 = 最小闭环必填项</t>
      </text>
    </comment>
    <comment ref="B1" authorId="0" shapeId="0">
      <text>
        <t>绿色列 = 最小闭环必填项</t>
      </text>
    </comment>
    <comment ref="C1" authorId="0" shapeId="0">
      <text>
        <t>绿色列 = 最小闭环必填项</t>
      </text>
    </comment>
    <comment ref="F1" authorId="0" shapeId="0">
      <text>
        <t>绿色列 = 最小闭环必填项</t>
      </text>
    </comment>
    <comment ref="H1" authorId="0" shapeId="0">
      <text>
        <t>绿色列 = 最小闭环必填项</t>
      </text>
    </comment>
    <comment ref="I1" authorId="0" shapeId="0">
      <text>
        <t>黄色列 = 可选评分训练项；先写依据，再慢慢校准分数</t>
      </text>
    </comment>
    <comment ref="J1" authorId="0" shapeId="0">
      <text>
        <t>黄色列 = 可选评分训练项；先写依据，再慢慢校准分数</t>
      </text>
    </comment>
    <comment ref="K1" authorId="0" shapeId="0">
      <text>
        <t>黄色列 = 可选评分训练项；先写依据，再慢慢校准分数</t>
      </text>
    </comment>
    <comment ref="L1" authorId="0" shapeId="0">
      <text>
        <t>黄色列 = 可选评分训练项；先写依据，再慢慢校准分数</t>
      </text>
    </comment>
    <comment ref="M1" authorId="0" shapeId="0">
      <text>
        <t>黄色列 = 可选评分训练项；先写依据，再慢慢校准分数</t>
      </text>
    </comment>
    <comment ref="N1" authorId="0" shapeId="0">
      <text>
        <t>黄色列 = 可选评分训练项；先写依据，再慢慢校准分数</t>
      </text>
    </comment>
    <comment ref="O1" authorId="0" shapeId="0">
      <text>
        <t>黄色列 = 可选评分训练项；先写依据，再慢慢校准分数</t>
      </text>
    </comment>
    <comment ref="P1" authorId="0" shapeId="0">
      <text>
        <t>黄色列 = 可选评分训练项；先写依据，再慢慢校准分数</t>
      </text>
    </comment>
    <comment ref="Q1" authorId="0" shapeId="0">
      <text>
        <t>黄色列 = 可选评分训练项；先写依据，再慢慢校准分数</t>
      </text>
    </comment>
    <comment ref="R1" authorId="0" shapeId="0">
      <text>
        <t>黄色列 = 可选评分训练项；先写依据，再慢慢校准分数</t>
      </text>
    </comment>
    <comment ref="T1" authorId="0" shapeId="0">
      <text>
        <t>绿色列 = 最小闭环必填项</t>
      </text>
    </comment>
    <comment ref="U1" authorId="0" shapeId="0">
      <text>
        <t>绿色列 = 最小闭环必填项</t>
      </text>
    </comment>
    <comment ref="X1" authorId="0" shapeId="0">
      <text>
        <t>绿色列 = 最小闭环必填项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绿色列 = 最小闭环必填项</t>
      </text>
    </comment>
    <comment ref="B1" authorId="0" shapeId="0">
      <text>
        <t>绿色列 = 最小闭环必填项</t>
      </text>
    </comment>
    <comment ref="E1" authorId="0" shapeId="0">
      <text>
        <t>绿色列 = 最小闭环必填项</t>
      </text>
    </comment>
    <comment ref="G1" authorId="0" shapeId="0">
      <text>
        <t>绿色列 = 最小闭环必填项</t>
      </text>
    </comment>
    <comment ref="J1" authorId="0" shapeId="0">
      <text>
        <t>绿色列 = 最小闭环必填项</t>
      </text>
    </comment>
    <comment ref="K1" authorId="0" shapeId="0">
      <text>
        <t>绿色列 = 最小闭环必填项</t>
      </text>
    </comment>
    <comment ref="L1" authorId="0" shapeId="0">
      <text>
        <t>绿色列 = 最小闭环必填项</t>
      </text>
    </comment>
    <comment ref="M1" authorId="0" shapeId="0">
      <text>
        <t>绿色列 = 最小闭环必填项</t>
      </text>
    </comment>
    <comment ref="N1" authorId="0" shapeId="0">
      <text>
        <t>绿色列 = 最小闭环必填项</t>
      </text>
    </comment>
    <comment ref="O1" authorId="0" shapeId="0">
      <text>
        <t>绿色列 = 最小闭环必填项</t>
      </text>
    </comment>
    <comment ref="P1" authorId="0" shapeId="0">
      <text>
        <t>绿色列 = 最小闭环必填项</t>
      </text>
    </comment>
    <comment ref="Q1" authorId="0" shapeId="0">
      <text>
        <t>绿色列 = 最小闭环必填项</t>
      </text>
    </comment>
    <comment ref="R1" authorId="0" shapeId="0">
      <text>
        <t>绿色列 = 最小闭环必填项</t>
      </text>
    </comment>
    <comment ref="S1" authorId="0" shapeId="0">
      <text>
        <t>黄色列 = 可选强化训练项</t>
      </text>
    </comment>
    <comment ref="T1" authorId="0" shapeId="0">
      <text>
        <t>黄色列 = 可选强化训练项</t>
      </text>
    </comment>
    <comment ref="U1" authorId="0" shapeId="0">
      <text>
        <t>黄色列 = 可选强化训练项</t>
      </text>
    </comment>
    <comment ref="V1" authorId="0" shapeId="0">
      <text>
        <t>绿色列 = 最小闭环必填项</t>
      </text>
    </comment>
    <comment ref="W1" authorId="0" shapeId="0">
      <text>
        <t>绿色列 = 最小闭环必填项</t>
      </text>
    </comment>
    <comment ref="X1" authorId="0" shapeId="0">
      <text>
        <t>绿色列 = 最小闭环必填项</t>
      </text>
    </comment>
    <comment ref="Y1" authorId="0" shapeId="0">
      <text>
        <t>绿色列 = 最小闭环必填项</t>
      </text>
    </comment>
    <comment ref="Z1" authorId="0" shapeId="0">
      <text>
        <t>绿色列 = 最小闭环必填项</t>
      </text>
    </comment>
    <comment ref="AA1" authorId="0" shapeId="0">
      <text>
        <t>绿色列 = 最小闭环必填项</t>
      </text>
    </comment>
    <comment ref="AB1" authorId="0" shapeId="0">
      <text>
        <t>绿色列 = 最小闭环必填项</t>
      </text>
    </comment>
    <comment ref="AC1" authorId="0" shapeId="0">
      <text>
        <t>黄色列 = 可选强化训练项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绿色列 = 最小闭环必填项</t>
      </text>
    </comment>
    <comment ref="B1" authorId="0" shapeId="0">
      <text>
        <t>绿色列 = 最小闭环必填项</t>
      </text>
    </comment>
    <comment ref="F1" authorId="0" shapeId="0">
      <text>
        <t>绿色列 = 最小闭环必填项</t>
      </text>
    </comment>
    <comment ref="G1" authorId="0" shapeId="0">
      <text>
        <t>绿色列 = 最小闭环必填项</t>
      </text>
    </comment>
    <comment ref="H1" authorId="0" shapeId="0">
      <text>
        <t>绿色列 = 最小闭环必填项</t>
      </text>
    </comment>
    <comment ref="I1" authorId="0" shapeId="0">
      <text>
        <t>绿色列 = 最小闭环必填项</t>
      </text>
    </comment>
    <comment ref="J1" authorId="0" shapeId="0">
      <text>
        <t>绿色列 = 最小闭环必填项</t>
      </text>
    </comment>
    <comment ref="K1" authorId="0" shapeId="0">
      <text>
        <t>绿色列 = 最小闭环必填项</t>
      </text>
    </comment>
    <comment ref="L1" authorId="0" shapeId="0">
      <text>
        <t>绿色列 = 最小闭环必填项</t>
      </text>
    </comment>
    <comment ref="M1" authorId="0" shapeId="0">
      <text>
        <t>绿色列 = 最小闭环必填项</t>
      </text>
    </comment>
    <comment ref="N1" authorId="0" shapeId="0">
      <text>
        <t>绿色列 = 最小闭环必填项</t>
      </text>
    </comment>
    <comment ref="O1" authorId="0" shapeId="0">
      <text>
        <t>绿色列 = 最小闭环必填项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ColWidth="9" defaultRowHeight="16.8"/>
  <cols>
    <col width="18" customWidth="1" min="1" max="1"/>
    <col width="120" customWidth="1" min="2" max="2"/>
  </cols>
  <sheetData>
    <row r="1" ht="47" customHeight="1">
      <c r="A1" s="18" t="inlineStr">
        <is>
          <t>股票复盘训练模板</t>
        </is>
      </c>
      <c r="B1" s="3" t="n"/>
    </row>
    <row r="2" ht="34" customHeight="1">
      <c r="A2" s="3" t="inlineStr">
        <is>
          <t>使用流程</t>
        </is>
      </c>
      <c r="B2" s="3" t="inlineStr">
        <is>
          <t>先在“板块观察”记录大盘和3个候选强板块；再在“每日复盘”填写个股，并用板块记录ID联动板块评分和阶段；到期后补“事后验证”；触发模拟买卖时补“模拟交易”。</t>
        </is>
      </c>
    </row>
    <row r="3" ht="34" customHeight="1">
      <c r="A3" s="3" t="inlineStr">
        <is>
          <t>核心原则</t>
        </is>
      </c>
      <c r="B3" s="3" t="inlineStr">
        <is>
          <t>模板不替你判断强弱和趋势，只帮你把大盘、板块、个股串起来，并自动计算完整度、板块综合分、验证日期和交易收益。</t>
        </is>
      </c>
    </row>
    <row r="4" ht="17" customHeight="1">
      <c r="A4" s="3" t="inlineStr">
        <is>
          <t>建议频率</t>
        </is>
      </c>
      <c r="B4" s="3" t="inlineStr">
        <is>
          <t>每天 3 个板块，每个板块 1-2 只股票；先坚持低负担记录，再逐步提高判断质量。</t>
        </is>
      </c>
    </row>
    <row r="5" ht="34" customHeight="1">
      <c r="A5" s="3" t="inlineStr">
        <is>
          <t>板块评分</t>
        </is>
      </c>
      <c r="B5" s="3" t="inlineStr">
        <is>
          <t>相对大盘、近3/5日持续、内部扩散、领涨股、回调抗跌各填0-2分；7分以上重点观察，5-6分候选，4分以下降级观察。</t>
        </is>
      </c>
    </row>
    <row r="6"/>
    <row r="7" ht="17" customHeight="1">
      <c r="A7" s="19" t="inlineStr">
        <is>
          <t>最小闭环标识</t>
        </is>
      </c>
      <c r="B7" s="10" t="inlineStr">
        <is>
          <t>绿色列为每天最低必填项。只要完成“板块观察”绿色列 + “每日复盘”绿色列，就算当天最低训练完成。</t>
        </is>
      </c>
    </row>
    <row r="8" ht="17" customHeight="1">
      <c r="A8" s="19" t="inlineStr">
        <is>
          <t>到期验证规则</t>
        </is>
      </c>
      <c r="B8" s="10" t="inlineStr">
        <is>
          <t>3日/5日/10日验证到期时，再补“事后验证”绿色列；没有到期记录时当天不用补。</t>
        </is>
      </c>
    </row>
    <row r="9" ht="17" customHeight="1">
      <c r="A9" s="19" t="inlineStr">
        <is>
          <t>建议负荷</t>
        </is>
      </c>
      <c r="B9" s="10" t="inlineStr">
        <is>
          <t>前2周每天填3个板块、1只重点股票；先保证闭环，不追求数量。</t>
        </is>
      </c>
    </row>
    <row r="10"/>
    <row r="11" ht="17" customHeight="1">
      <c r="A11" s="20" t="inlineStr">
        <is>
          <t>评分优化</t>
        </is>
      </c>
      <c r="B11" s="17" t="inlineStr">
        <is>
          <t>黄色列为评分训练项：先写评分依据，再填0/1/2。信息不足时可以留空，不影响当天最小闭环。</t>
        </is>
      </c>
    </row>
    <row r="12" ht="34" customHeight="1">
      <c r="A12" s="19" t="inlineStr">
        <is>
          <t>首日爆发规则</t>
        </is>
      </c>
      <c r="B12" s="10" t="inlineStr">
        <is>
          <t>首日爆发板块不强行判断持续性和回调抗跌；板块阶段可填“首日爆发”或“待二次确认”，观察2-3日后再升级或降级。</t>
        </is>
      </c>
    </row>
    <row r="13" ht="17" customHeight="1">
      <c r="A13" s="19" t="inlineStr">
        <is>
          <t>最低完成标准</t>
        </is>
      </c>
      <c r="B13" s="10" t="inlineStr">
        <is>
          <t>绿色列仍是每天最低必填项：板块观察至少3条，个股复盘至少1条；评分是训练项，不是完成门槛。</t>
        </is>
      </c>
    </row>
    <row r="15">
      <c r="A15" s="21" t="inlineStr">
        <is>
          <t>信号解释训练</t>
        </is>
      </c>
      <c r="B15" s="22" t="inlineStr">
        <is>
          <t>每日复盘新增“外部环境判断、个股价格信号、信号解释、今日核心判断”：目标是训练你把个股价格信号放到大盘/板块环境中解释。</t>
        </is>
      </c>
    </row>
    <row r="17">
      <c r="A17" s="21" t="inlineStr">
        <is>
          <t>条件式推演</t>
        </is>
      </c>
      <c r="B17" s="22" t="inlineStr">
        <is>
          <t>强/中/弱三栏已改为“强确认条件、中性观察条件、弱失效条件”：不要写预测剧本，要写看到什么现象就承认什么判断。</t>
        </is>
      </c>
    </row>
    <row r="19">
      <c r="A19" s="21" t="inlineStr">
        <is>
          <t>验证升级</t>
        </is>
      </c>
      <c r="B19" s="22" t="inlineStr">
        <is>
          <t>事后验证新增“环境解释是否正确、修正后的解释”：复盘时不只看涨跌，也验证当时对环境影响的解释是否成立。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0AD47"/>
    <outlinePr summaryBelow="1" summaryRight="1"/>
    <pageSetUpPr/>
  </sheetPr>
  <dimension ref="A1:Z501"/>
  <sheetViews>
    <sheetView zoomScale="122" zoomScaleNormal="122" workbookViewId="0">
      <pane ySplit="1" topLeftCell="A2" activePane="bottomLeft" state="frozen"/>
      <selection activeCell="A1" sqref="A1"/>
      <selection pane="bottomLeft" activeCell="F4" sqref="F4"/>
    </sheetView>
  </sheetViews>
  <sheetFormatPr baseColWidth="8" defaultColWidth="9" defaultRowHeight="16.8"/>
  <cols>
    <col width="6.95192307692308" customWidth="1" min="1" max="1"/>
    <col width="12" customWidth="1" min="2" max="5"/>
    <col width="18" customWidth="1" min="6" max="6"/>
    <col width="10" customWidth="1" min="7" max="7"/>
    <col width="14" customWidth="1" min="8" max="9"/>
    <col width="11.1538461538462" customWidth="1" min="10" max="10"/>
    <col width="6.69230769230769" customWidth="1" min="11" max="11"/>
    <col width="26" customWidth="1" min="12" max="12"/>
    <col width="14" customWidth="1" min="13" max="13"/>
    <col width="30" customWidth="1" min="14" max="14"/>
    <col width="14" customWidth="1" min="15" max="15"/>
    <col width="30" customWidth="1" min="16" max="16"/>
    <col width="14" customWidth="1" min="17" max="17"/>
    <col width="30" customWidth="1" min="18" max="18"/>
    <col width="10" customWidth="1" min="19" max="19"/>
    <col width="14" customWidth="1" min="20" max="20"/>
    <col width="28" customWidth="1" min="21" max="21"/>
    <col width="24" customWidth="1" min="22" max="23"/>
    <col width="38" customWidth="1" min="24" max="24"/>
    <col width="10" customWidth="1" min="25" max="25"/>
    <col width="24" customWidth="1" min="26" max="26"/>
  </cols>
  <sheetData>
    <row r="1" ht="34" customHeight="1">
      <c r="A1" s="14" t="inlineStr">
        <is>
          <t>记录ID</t>
        </is>
      </c>
      <c r="B1" s="14" t="inlineStr">
        <is>
          <t>日期</t>
        </is>
      </c>
      <c r="C1" s="14" t="inlineStr">
        <is>
          <t>大盘状态</t>
        </is>
      </c>
      <c r="D1" s="15" t="inlineStr">
        <is>
          <t>大盘涨跌%</t>
        </is>
      </c>
      <c r="E1" s="15" t="inlineStr">
        <is>
          <t>市场量能</t>
        </is>
      </c>
      <c r="F1" s="14" t="inlineStr">
        <is>
          <t>板块名称</t>
        </is>
      </c>
      <c r="G1" s="15" t="inlineStr">
        <is>
          <t>板块类型</t>
        </is>
      </c>
      <c r="H1" s="14" t="inlineStr">
        <is>
          <t>板块今日涨跌%</t>
        </is>
      </c>
      <c r="I1" s="16" t="inlineStr">
        <is>
          <t>相对大盘评分</t>
        </is>
      </c>
      <c r="J1" s="16" t="inlineStr">
        <is>
          <t>相对大盘依据</t>
        </is>
      </c>
      <c r="K1" s="16" t="inlineStr">
        <is>
          <t>近3/5日持续评分</t>
        </is>
      </c>
      <c r="L1" s="16" t="inlineStr">
        <is>
          <t>持续性依据</t>
        </is>
      </c>
      <c r="M1" s="16" t="inlineStr">
        <is>
          <t>内部扩散评分</t>
        </is>
      </c>
      <c r="N1" s="16" t="inlineStr">
        <is>
          <t>内部扩散依据</t>
        </is>
      </c>
      <c r="O1" s="16" t="inlineStr">
        <is>
          <t>领涨股评分</t>
        </is>
      </c>
      <c r="P1" s="16" t="inlineStr">
        <is>
          <t>领涨股依据</t>
        </is>
      </c>
      <c r="Q1" s="16" t="inlineStr">
        <is>
          <t>回调抗跌评分</t>
        </is>
      </c>
      <c r="R1" s="16" t="inlineStr">
        <is>
          <t>回调抗跌依据</t>
        </is>
      </c>
      <c r="S1" s="15" t="inlineStr">
        <is>
          <t>综合分</t>
        </is>
      </c>
      <c r="T1" s="14" t="inlineStr">
        <is>
          <t>板块阶段</t>
        </is>
      </c>
      <c r="U1" s="14" t="inlineStr">
        <is>
          <t>候选/确认领涨股</t>
        </is>
      </c>
      <c r="V1" s="15" t="inlineStr">
        <is>
          <t>健康回调股</t>
        </is>
      </c>
      <c r="W1" s="15" t="inlineStr">
        <is>
          <t>补涨股</t>
        </is>
      </c>
      <c r="X1" s="14" t="inlineStr">
        <is>
          <t>观察结论</t>
        </is>
      </c>
      <c r="Y1" s="15" t="inlineStr">
        <is>
          <t>完整度</t>
        </is>
      </c>
      <c r="Z1" s="15" t="inlineStr">
        <is>
          <t>备注</t>
        </is>
      </c>
    </row>
    <row r="2" ht="17" customHeight="1">
      <c r="A2" s="10" t="n"/>
      <c r="B2" s="10" t="n">
        <v>20260701</v>
      </c>
      <c r="C2" s="10" t="inlineStr">
        <is>
          <t>上升</t>
        </is>
      </c>
      <c r="D2" s="11" t="n"/>
      <c r="E2" s="3" t="n"/>
      <c r="F2" s="10" t="inlineStr">
        <is>
          <t>保险</t>
        </is>
      </c>
      <c r="G2" s="3" t="n"/>
      <c r="H2" s="12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3">
        <f>IF(A2="","",SUM(I2,K2,M2,O2,Q2))</f>
        <v/>
      </c>
      <c r="T2" s="10" t="n"/>
      <c r="U2" s="10" t="n"/>
      <c r="V2" s="3" t="n"/>
      <c r="W2" s="3" t="n"/>
      <c r="X2" s="10" t="n"/>
      <c r="Y2" s="13">
        <f>IF(A2="","",COUNTA(A2,B2,C2,F2,H2,T2,U2,X2)/8)</f>
        <v/>
      </c>
      <c r="Z2" s="3" t="n"/>
    </row>
    <row r="3" ht="17" customHeight="1">
      <c r="A3" s="10" t="n"/>
      <c r="B3" s="10" t="n"/>
      <c r="C3" s="10" t="n"/>
      <c r="D3" s="11" t="n"/>
      <c r="E3" s="3" t="n"/>
      <c r="F3" s="10" t="inlineStr">
        <is>
          <t>化学制药</t>
        </is>
      </c>
      <c r="G3" s="3" t="n"/>
      <c r="H3" s="12" t="n">
        <v>0.0564</v>
      </c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3">
        <f>IF(A3="","",SUM(I3,K3,M3,O3,Q3))</f>
        <v/>
      </c>
      <c r="T3" s="10" t="n"/>
      <c r="U3" s="10" t="n"/>
      <c r="V3" s="3" t="n"/>
      <c r="W3" s="3" t="n"/>
      <c r="X3" s="10" t="n"/>
      <c r="Y3" s="13">
        <f>IF(A3="","",COUNTA(A3,B3,C3,F3,H3,T3,U3,X3)/8)</f>
        <v/>
      </c>
      <c r="Z3" s="3" t="n"/>
    </row>
    <row r="4" ht="17" customHeight="1">
      <c r="A4" s="10" t="n">
        <v>1</v>
      </c>
      <c r="B4" s="10" t="n"/>
      <c r="C4" s="10" t="n"/>
      <c r="D4" s="11" t="n"/>
      <c r="E4" s="3" t="n"/>
      <c r="F4" s="10" t="inlineStr">
        <is>
          <t>养殖业</t>
        </is>
      </c>
      <c r="G4" s="3" t="n"/>
      <c r="H4" s="12" t="n">
        <v>0.0565</v>
      </c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3">
        <f>IF(A4="","",SUM(I4,K4,M4,O4,Q4))</f>
        <v/>
      </c>
      <c r="T4" s="10" t="n"/>
      <c r="U4" s="10" t="inlineStr">
        <is>
          <t>益生科技</t>
        </is>
      </c>
      <c r="V4" s="3" t="n"/>
      <c r="W4" s="3" t="n"/>
      <c r="X4" s="10" t="n"/>
      <c r="Y4" s="13">
        <f>IF(A4="","",COUNTA(A4,B4,C4,F4,H4,T4,U4,X4)/8)</f>
        <v/>
      </c>
      <c r="Z4" s="3" t="n"/>
    </row>
    <row r="5" ht="17" customHeight="1">
      <c r="A5" s="10" t="n"/>
      <c r="B5" s="10" t="n">
        <v>20260702</v>
      </c>
      <c r="C5" s="10" t="inlineStr">
        <is>
          <t>下降</t>
        </is>
      </c>
      <c r="D5" s="11" t="n">
        <v>-0.0203</v>
      </c>
      <c r="E5" s="3" t="n"/>
      <c r="F5" s="10" t="inlineStr">
        <is>
          <t>贵金属</t>
        </is>
      </c>
      <c r="G5" s="3" t="inlineStr">
        <is>
          <t>行业</t>
        </is>
      </c>
      <c r="H5" s="12" t="n">
        <v>0.0391</v>
      </c>
      <c r="I5" s="17" t="n">
        <v>2</v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3">
        <f>IF(A5="","",SUM(I5,K5,M5,O5,Q5))</f>
        <v/>
      </c>
      <c r="T5" s="10" t="n"/>
      <c r="U5" s="10" t="n"/>
      <c r="V5" s="3" t="n"/>
      <c r="W5" s="3" t="n"/>
      <c r="X5" s="10" t="n"/>
      <c r="Y5" s="13">
        <f>IF(A5="","",COUNTA(A5,B5,C5,F5,H5,T5,U5,X5)/8)</f>
        <v/>
      </c>
      <c r="Z5" s="3" t="n"/>
    </row>
    <row r="6" ht="17" customHeight="1">
      <c r="A6" s="10" t="n"/>
      <c r="B6" s="10" t="n"/>
      <c r="C6" s="10" t="n"/>
      <c r="D6" s="11" t="n"/>
      <c r="E6" s="3" t="n"/>
      <c r="F6" s="10" t="inlineStr">
        <is>
          <t>纺织制造</t>
        </is>
      </c>
      <c r="G6" s="3" t="inlineStr">
        <is>
          <t>行业</t>
        </is>
      </c>
      <c r="H6" s="12" t="n">
        <v>0.0256</v>
      </c>
      <c r="I6" s="17" t="n">
        <v>2</v>
      </c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3">
        <f>IF(A6="","",SUM(I6,K6,M6,O6,Q6))</f>
        <v/>
      </c>
      <c r="T6" s="10" t="n"/>
      <c r="U6" s="10" t="n"/>
      <c r="V6" s="3" t="n"/>
      <c r="W6" s="3" t="n"/>
      <c r="X6" s="10" t="n"/>
      <c r="Y6" s="13">
        <f>IF(A6="","",COUNTA(A6,B6,C6,F6,H6,T6,U6,X6)/8)</f>
        <v/>
      </c>
      <c r="Z6" s="3" t="n"/>
    </row>
    <row r="7" ht="17" customHeight="1">
      <c r="A7" s="10" t="n"/>
      <c r="B7" s="10" t="n"/>
      <c r="C7" s="10" t="n"/>
      <c r="D7" s="11" t="n"/>
      <c r="E7" s="3" t="n"/>
      <c r="F7" s="10" t="inlineStr">
        <is>
          <t>工程机械</t>
        </is>
      </c>
      <c r="G7" s="3" t="inlineStr">
        <is>
          <t>行业</t>
        </is>
      </c>
      <c r="H7" s="12" t="n">
        <v>0.0131</v>
      </c>
      <c r="I7" s="17" t="n">
        <v>2</v>
      </c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3">
        <f>IF(A7="","",SUM(I7,K7,M7,O7,Q7))</f>
        <v/>
      </c>
      <c r="T7" s="10" t="n"/>
      <c r="U7" s="10" t="n"/>
      <c r="V7" s="3" t="n"/>
      <c r="W7" s="3" t="n"/>
      <c r="X7" s="10" t="n"/>
      <c r="Y7" s="13">
        <f>IF(A7="","",COUNTA(A7,B7,C7,F7,H7,T7,U7,X7)/8)</f>
        <v/>
      </c>
      <c r="Z7" s="3" t="n"/>
    </row>
    <row r="8" ht="17" customHeight="1">
      <c r="A8" s="10" t="n">
        <v>1</v>
      </c>
      <c r="B8" s="10" t="n"/>
      <c r="C8" s="10" t="n"/>
      <c r="D8" s="11" t="n"/>
      <c r="E8" s="3" t="n"/>
      <c r="F8" s="10" t="inlineStr">
        <is>
          <t>养殖业</t>
        </is>
      </c>
      <c r="G8" s="3" t="inlineStr">
        <is>
          <t>行业</t>
        </is>
      </c>
      <c r="H8" s="12" t="n">
        <v>0.0113</v>
      </c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3">
        <f>IF(A8="","",SUM(I8,K8,M8,O8,Q8))</f>
        <v/>
      </c>
      <c r="T8" s="10" t="n"/>
      <c r="U8" s="10" t="inlineStr">
        <is>
          <t>益生科技</t>
        </is>
      </c>
      <c r="V8" s="3" t="n"/>
      <c r="W8" s="3" t="n"/>
      <c r="X8" s="10" t="n"/>
      <c r="Y8" s="13">
        <f>IF(A8="","",COUNTA(A8,B8,C8,F8,H8,T8,U8,X8)/8)</f>
        <v/>
      </c>
      <c r="Z8" s="3" t="n"/>
    </row>
    <row r="9" ht="17" customHeight="1">
      <c r="A9" s="10" t="n"/>
      <c r="B9" s="10" t="n"/>
      <c r="C9" s="10" t="n"/>
      <c r="D9" s="11" t="n"/>
      <c r="E9" s="3" t="n"/>
      <c r="F9" s="10" t="inlineStr">
        <is>
          <t>化学制药</t>
        </is>
      </c>
      <c r="G9" s="3" t="inlineStr">
        <is>
          <t>行业</t>
        </is>
      </c>
      <c r="H9" s="12" t="n">
        <v>0.011</v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3">
        <f>IF(A9="","",SUM(I9,K9,M9,O9,Q9))</f>
        <v/>
      </c>
      <c r="T9" s="10" t="n"/>
      <c r="U9" s="10" t="n"/>
      <c r="V9" s="3" t="n"/>
      <c r="W9" s="3" t="n"/>
      <c r="X9" s="10" t="n"/>
      <c r="Y9" s="13">
        <f>IF(A9="","",COUNTA(A9,B9,C9,F9,H9,T9,U9,X9)/8)</f>
        <v/>
      </c>
      <c r="Z9" s="3" t="n"/>
    </row>
    <row r="10" ht="17" customHeight="1">
      <c r="A10" s="10" t="n"/>
      <c r="B10" s="10" t="n"/>
      <c r="C10" s="10" t="n"/>
      <c r="D10" s="11" t="n"/>
      <c r="E10" s="3" t="n"/>
      <c r="F10" s="10" t="n"/>
      <c r="G10" s="3" t="n"/>
      <c r="H10" s="12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3">
        <f>IF(A10="","",SUM(I10,K10,M10,O10,Q10))</f>
        <v/>
      </c>
      <c r="T10" s="10" t="n"/>
      <c r="U10" s="10" t="n"/>
      <c r="V10" s="3" t="n"/>
      <c r="W10" s="3" t="n"/>
      <c r="X10" s="10" t="n"/>
      <c r="Y10" s="13">
        <f>IF(A10="","",COUNTA(A10,B10,C10,F10,H10,T10,U10,X10)/8)</f>
        <v/>
      </c>
      <c r="Z10" s="3" t="n"/>
    </row>
    <row r="11">
      <c r="A11" s="10" t="n"/>
      <c r="B11" s="10" t="n"/>
      <c r="C11" s="10" t="n"/>
      <c r="D11" s="11" t="n"/>
      <c r="E11" s="3" t="n"/>
      <c r="F11" s="10" t="n"/>
      <c r="G11" s="3" t="n"/>
      <c r="H11" s="12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3">
        <f>IF(A11="","",SUM(I11,K11,M11,O11,Q11))</f>
        <v/>
      </c>
      <c r="T11" s="10" t="n"/>
      <c r="U11" s="10" t="n"/>
      <c r="V11" s="3" t="n"/>
      <c r="W11" s="3" t="n"/>
      <c r="X11" s="10" t="n"/>
      <c r="Y11" s="13">
        <f>IF(A11="","",COUNTA(A11,B11,C11,F11,H11,T11,U11,X11)/8)</f>
        <v/>
      </c>
      <c r="Z11" s="3" t="n"/>
    </row>
    <row r="12">
      <c r="A12" s="10" t="n"/>
      <c r="B12" s="10" t="n"/>
      <c r="C12" s="10" t="n"/>
      <c r="D12" s="11" t="n"/>
      <c r="E12" s="3" t="n"/>
      <c r="F12" s="10" t="n"/>
      <c r="G12" s="3" t="n"/>
      <c r="H12" s="12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3">
        <f>IF(A12="","",SUM(I12,K12,M12,O12,Q12))</f>
        <v/>
      </c>
      <c r="T12" s="10" t="n"/>
      <c r="U12" s="10" t="n"/>
      <c r="V12" s="3" t="n"/>
      <c r="W12" s="3" t="n"/>
      <c r="X12" s="10" t="n"/>
      <c r="Y12" s="13">
        <f>IF(A12="","",COUNTA(A12,B12,C12,F12,H12,T12,U12,X12)/8)</f>
        <v/>
      </c>
      <c r="Z12" s="3" t="n"/>
    </row>
    <row r="13">
      <c r="A13" s="10" t="n"/>
      <c r="B13" s="10" t="n"/>
      <c r="C13" s="10" t="n"/>
      <c r="D13" s="11" t="n"/>
      <c r="E13" s="3" t="n"/>
      <c r="F13" s="10" t="n"/>
      <c r="G13" s="3" t="n"/>
      <c r="H13" s="12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3">
        <f>IF(A13="","",SUM(I13,K13,M13,O13,Q13))</f>
        <v/>
      </c>
      <c r="T13" s="10" t="n"/>
      <c r="U13" s="10" t="n"/>
      <c r="V13" s="3" t="n"/>
      <c r="W13" s="3" t="n"/>
      <c r="X13" s="10" t="n"/>
      <c r="Y13" s="13">
        <f>IF(A13="","",COUNTA(A13,B13,C13,F13,H13,T13,U13,X13)/8)</f>
        <v/>
      </c>
      <c r="Z13" s="3" t="n"/>
    </row>
    <row r="14">
      <c r="A14" s="10" t="n"/>
      <c r="B14" s="10" t="n"/>
      <c r="C14" s="10" t="n"/>
      <c r="D14" s="11" t="n"/>
      <c r="E14" s="3" t="n"/>
      <c r="F14" s="10" t="n"/>
      <c r="G14" s="3" t="n"/>
      <c r="H14" s="12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3">
        <f>IF(A14="","",SUM(I14,K14,M14,O14,Q14))</f>
        <v/>
      </c>
      <c r="T14" s="10" t="n"/>
      <c r="U14" s="10" t="n"/>
      <c r="V14" s="3" t="n"/>
      <c r="W14" s="3" t="n"/>
      <c r="X14" s="10" t="n"/>
      <c r="Y14" s="13">
        <f>IF(A14="","",COUNTA(A14,B14,C14,F14,H14,T14,U14,X14)/8)</f>
        <v/>
      </c>
      <c r="Z14" s="3" t="n"/>
    </row>
    <row r="15">
      <c r="A15" s="10" t="n"/>
      <c r="B15" s="10" t="n"/>
      <c r="C15" s="10" t="n"/>
      <c r="D15" s="11" t="n"/>
      <c r="E15" s="3" t="n"/>
      <c r="F15" s="10" t="n"/>
      <c r="G15" s="3" t="n"/>
      <c r="H15" s="12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3">
        <f>IF(A15="","",SUM(I15,K15,M15,O15,Q15))</f>
        <v/>
      </c>
      <c r="T15" s="10" t="n"/>
      <c r="U15" s="10" t="n"/>
      <c r="V15" s="3" t="n"/>
      <c r="W15" s="3" t="n"/>
      <c r="X15" s="10" t="n"/>
      <c r="Y15" s="13">
        <f>IF(A15="","",COUNTA(A15,B15,C15,F15,H15,T15,U15,X15)/8)</f>
        <v/>
      </c>
      <c r="Z15" s="3" t="n"/>
    </row>
    <row r="16">
      <c r="A16" s="10" t="n"/>
      <c r="B16" s="10" t="n"/>
      <c r="C16" s="10" t="n"/>
      <c r="D16" s="11" t="n"/>
      <c r="E16" s="3" t="n"/>
      <c r="F16" s="10" t="n"/>
      <c r="G16" s="3" t="n"/>
      <c r="H16" s="12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3">
        <f>IF(A16="","",SUM(I16,K16,M16,O16,Q16))</f>
        <v/>
      </c>
      <c r="T16" s="10" t="n"/>
      <c r="U16" s="10" t="n"/>
      <c r="V16" s="3" t="n"/>
      <c r="W16" s="3" t="n"/>
      <c r="X16" s="10" t="n"/>
      <c r="Y16" s="13">
        <f>IF(A16="","",COUNTA(A16,B16,C16,F16,H16,T16,U16,X16)/8)</f>
        <v/>
      </c>
      <c r="Z16" s="3" t="n"/>
    </row>
    <row r="17">
      <c r="A17" s="10" t="n"/>
      <c r="B17" s="10" t="n"/>
      <c r="C17" s="10" t="n"/>
      <c r="D17" s="11" t="n"/>
      <c r="E17" s="3" t="n"/>
      <c r="F17" s="10" t="n"/>
      <c r="G17" s="3" t="n"/>
      <c r="H17" s="12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3">
        <f>IF(A17="","",SUM(I17,K17,M17,O17,Q17))</f>
        <v/>
      </c>
      <c r="T17" s="10" t="n"/>
      <c r="U17" s="10" t="n"/>
      <c r="V17" s="3" t="n"/>
      <c r="W17" s="3" t="n"/>
      <c r="X17" s="10" t="n"/>
      <c r="Y17" s="13">
        <f>IF(A17="","",COUNTA(A17,B17,C17,F17,H17,T17,U17,X17)/8)</f>
        <v/>
      </c>
      <c r="Z17" s="3" t="n"/>
    </row>
    <row r="18">
      <c r="A18" s="10" t="n"/>
      <c r="B18" s="10" t="n"/>
      <c r="C18" s="10" t="n"/>
      <c r="D18" s="11" t="n"/>
      <c r="E18" s="3" t="n"/>
      <c r="F18" s="10" t="n"/>
      <c r="G18" s="3" t="n"/>
      <c r="H18" s="12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3">
        <f>IF(A18="","",SUM(I18,K18,M18,O18,Q18))</f>
        <v/>
      </c>
      <c r="T18" s="10" t="n"/>
      <c r="U18" s="10" t="n"/>
      <c r="V18" s="3" t="n"/>
      <c r="W18" s="3" t="n"/>
      <c r="X18" s="10" t="n"/>
      <c r="Y18" s="13">
        <f>IF(A18="","",COUNTA(A18,B18,C18,F18,H18,T18,U18,X18)/8)</f>
        <v/>
      </c>
      <c r="Z18" s="3" t="n"/>
    </row>
    <row r="19">
      <c r="A19" s="10" t="n"/>
      <c r="B19" s="10" t="n"/>
      <c r="C19" s="10" t="n"/>
      <c r="D19" s="11" t="n"/>
      <c r="E19" s="3" t="n"/>
      <c r="F19" s="10" t="n"/>
      <c r="G19" s="3" t="n"/>
      <c r="H19" s="12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3">
        <f>IF(A19="","",SUM(I19,K19,M19,O19,Q19))</f>
        <v/>
      </c>
      <c r="T19" s="10" t="n"/>
      <c r="U19" s="10" t="n"/>
      <c r="V19" s="3" t="n"/>
      <c r="W19" s="3" t="n"/>
      <c r="X19" s="10" t="n"/>
      <c r="Y19" s="13">
        <f>IF(A19="","",COUNTA(A19,B19,C19,F19,H19,T19,U19,X19)/8)</f>
        <v/>
      </c>
      <c r="Z19" s="3" t="n"/>
    </row>
    <row r="20">
      <c r="A20" s="10" t="n"/>
      <c r="B20" s="10" t="n"/>
      <c r="C20" s="10" t="n"/>
      <c r="D20" s="11" t="n"/>
      <c r="E20" s="3" t="n"/>
      <c r="F20" s="10" t="n"/>
      <c r="G20" s="3" t="n"/>
      <c r="H20" s="12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3">
        <f>IF(A20="","",SUM(I20,K20,M20,O20,Q20))</f>
        <v/>
      </c>
      <c r="T20" s="10" t="n"/>
      <c r="U20" s="10" t="n"/>
      <c r="V20" s="3" t="n"/>
      <c r="W20" s="3" t="n"/>
      <c r="X20" s="10" t="n"/>
      <c r="Y20" s="13">
        <f>IF(A20="","",COUNTA(A20,B20,C20,F20,H20,T20,U20,X20)/8)</f>
        <v/>
      </c>
      <c r="Z20" s="3" t="n"/>
    </row>
    <row r="21">
      <c r="A21" s="10" t="n"/>
      <c r="B21" s="10" t="n"/>
      <c r="C21" s="10" t="n"/>
      <c r="D21" s="11" t="n"/>
      <c r="E21" s="3" t="n"/>
      <c r="F21" s="10" t="n"/>
      <c r="G21" s="3" t="n"/>
      <c r="H21" s="12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3">
        <f>IF(A21="","",SUM(I21,K21,M21,O21,Q21))</f>
        <v/>
      </c>
      <c r="T21" s="10" t="n"/>
      <c r="U21" s="10" t="n"/>
      <c r="V21" s="3" t="n"/>
      <c r="W21" s="3" t="n"/>
      <c r="X21" s="10" t="n"/>
      <c r="Y21" s="13">
        <f>IF(A21="","",COUNTA(A21,B21,C21,F21,H21,T21,U21,X21)/8)</f>
        <v/>
      </c>
      <c r="Z21" s="3" t="n"/>
    </row>
    <row r="22">
      <c r="A22" s="10" t="n"/>
      <c r="B22" s="10" t="n"/>
      <c r="C22" s="10" t="n"/>
      <c r="D22" s="11" t="n"/>
      <c r="E22" s="3" t="n"/>
      <c r="F22" s="10" t="n"/>
      <c r="G22" s="3" t="n"/>
      <c r="H22" s="12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3">
        <f>IF(A22="","",SUM(I22,K22,M22,O22,Q22))</f>
        <v/>
      </c>
      <c r="T22" s="10" t="n"/>
      <c r="U22" s="10" t="n"/>
      <c r="V22" s="3" t="n"/>
      <c r="W22" s="3" t="n"/>
      <c r="X22" s="10" t="n"/>
      <c r="Y22" s="13">
        <f>IF(A22="","",COUNTA(A22,B22,C22,F22,H22,T22,U22,X22)/8)</f>
        <v/>
      </c>
      <c r="Z22" s="3" t="n"/>
    </row>
    <row r="23">
      <c r="A23" s="10" t="n"/>
      <c r="B23" s="10" t="n"/>
      <c r="C23" s="10" t="n"/>
      <c r="D23" s="11" t="n"/>
      <c r="E23" s="3" t="n"/>
      <c r="F23" s="10" t="n"/>
      <c r="G23" s="3" t="n"/>
      <c r="H23" s="12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3">
        <f>IF(A23="","",SUM(I23,K23,M23,O23,Q23))</f>
        <v/>
      </c>
      <c r="T23" s="10" t="n"/>
      <c r="U23" s="10" t="n"/>
      <c r="V23" s="3" t="n"/>
      <c r="W23" s="3" t="n"/>
      <c r="X23" s="10" t="n"/>
      <c r="Y23" s="13">
        <f>IF(A23="","",COUNTA(A23,B23,C23,F23,H23,T23,U23,X23)/8)</f>
        <v/>
      </c>
      <c r="Z23" s="3" t="n"/>
    </row>
    <row r="24">
      <c r="A24" s="10" t="n"/>
      <c r="B24" s="10" t="n"/>
      <c r="C24" s="10" t="n"/>
      <c r="D24" s="11" t="n"/>
      <c r="E24" s="3" t="n"/>
      <c r="F24" s="10" t="n"/>
      <c r="G24" s="3" t="n"/>
      <c r="H24" s="12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3">
        <f>IF(A24="","",SUM(I24,K24,M24,O24,Q24))</f>
        <v/>
      </c>
      <c r="T24" s="10" t="n"/>
      <c r="U24" s="10" t="n"/>
      <c r="V24" s="3" t="n"/>
      <c r="W24" s="3" t="n"/>
      <c r="X24" s="10" t="n"/>
      <c r="Y24" s="13">
        <f>IF(A24="","",COUNTA(A24,B24,C24,F24,H24,T24,U24,X24)/8)</f>
        <v/>
      </c>
      <c r="Z24" s="3" t="n"/>
    </row>
    <row r="25">
      <c r="A25" s="10" t="n"/>
      <c r="B25" s="10" t="n"/>
      <c r="C25" s="10" t="n"/>
      <c r="D25" s="11" t="n"/>
      <c r="E25" s="3" t="n"/>
      <c r="F25" s="10" t="n"/>
      <c r="G25" s="3" t="n"/>
      <c r="H25" s="12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3">
        <f>IF(A25="","",SUM(I25,K25,M25,O25,Q25))</f>
        <v/>
      </c>
      <c r="T25" s="10" t="n"/>
      <c r="U25" s="10" t="n"/>
      <c r="V25" s="3" t="n"/>
      <c r="W25" s="3" t="n"/>
      <c r="X25" s="10" t="n"/>
      <c r="Y25" s="13">
        <f>IF(A25="","",COUNTA(A25,B25,C25,F25,H25,T25,U25,X25)/8)</f>
        <v/>
      </c>
      <c r="Z25" s="3" t="n"/>
    </row>
    <row r="26">
      <c r="A26" s="10" t="n"/>
      <c r="B26" s="10" t="n"/>
      <c r="C26" s="10" t="n"/>
      <c r="D26" s="11" t="n"/>
      <c r="E26" s="3" t="n"/>
      <c r="F26" s="10" t="n"/>
      <c r="G26" s="3" t="n"/>
      <c r="H26" s="12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3">
        <f>IF(A26="","",SUM(I26,K26,M26,O26,Q26))</f>
        <v/>
      </c>
      <c r="T26" s="10" t="n"/>
      <c r="U26" s="10" t="n"/>
      <c r="V26" s="3" t="n"/>
      <c r="W26" s="3" t="n"/>
      <c r="X26" s="10" t="n"/>
      <c r="Y26" s="13">
        <f>IF(A26="","",COUNTA(A26,B26,C26,F26,H26,T26,U26,X26)/8)</f>
        <v/>
      </c>
      <c r="Z26" s="3" t="n"/>
    </row>
    <row r="27">
      <c r="A27" s="10" t="n"/>
      <c r="B27" s="10" t="n"/>
      <c r="C27" s="10" t="n"/>
      <c r="D27" s="11" t="n"/>
      <c r="E27" s="3" t="n"/>
      <c r="F27" s="10" t="n"/>
      <c r="G27" s="3" t="n"/>
      <c r="H27" s="12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3">
        <f>IF(A27="","",SUM(I27,K27,M27,O27,Q27))</f>
        <v/>
      </c>
      <c r="T27" s="10" t="n"/>
      <c r="U27" s="10" t="n"/>
      <c r="V27" s="3" t="n"/>
      <c r="W27" s="3" t="n"/>
      <c r="X27" s="10" t="n"/>
      <c r="Y27" s="13">
        <f>IF(A27="","",COUNTA(A27,B27,C27,F27,H27,T27,U27,X27)/8)</f>
        <v/>
      </c>
      <c r="Z27" s="3" t="n"/>
    </row>
    <row r="28">
      <c r="A28" s="10" t="n"/>
      <c r="B28" s="10" t="n"/>
      <c r="C28" s="10" t="n"/>
      <c r="D28" s="11" t="n"/>
      <c r="E28" s="3" t="n"/>
      <c r="F28" s="10" t="n"/>
      <c r="G28" s="3" t="n"/>
      <c r="H28" s="12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3">
        <f>IF(A28="","",SUM(I28,K28,M28,O28,Q28))</f>
        <v/>
      </c>
      <c r="T28" s="10" t="n"/>
      <c r="U28" s="10" t="n"/>
      <c r="V28" s="3" t="n"/>
      <c r="W28" s="3" t="n"/>
      <c r="X28" s="10" t="n"/>
      <c r="Y28" s="13">
        <f>IF(A28="","",COUNTA(A28,B28,C28,F28,H28,T28,U28,X28)/8)</f>
        <v/>
      </c>
      <c r="Z28" s="3" t="n"/>
    </row>
    <row r="29">
      <c r="A29" s="10" t="n"/>
      <c r="B29" s="10" t="n"/>
      <c r="C29" s="10" t="n"/>
      <c r="D29" s="11" t="n"/>
      <c r="E29" s="3" t="n"/>
      <c r="F29" s="10" t="n"/>
      <c r="G29" s="3" t="n"/>
      <c r="H29" s="12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3">
        <f>IF(A29="","",SUM(I29,K29,M29,O29,Q29))</f>
        <v/>
      </c>
      <c r="T29" s="10" t="n"/>
      <c r="U29" s="10" t="n"/>
      <c r="V29" s="3" t="n"/>
      <c r="W29" s="3" t="n"/>
      <c r="X29" s="10" t="n"/>
      <c r="Y29" s="13">
        <f>IF(A29="","",COUNTA(A29,B29,C29,F29,H29,T29,U29,X29)/8)</f>
        <v/>
      </c>
      <c r="Z29" s="3" t="n"/>
    </row>
    <row r="30">
      <c r="A30" s="10" t="n"/>
      <c r="B30" s="10" t="n"/>
      <c r="C30" s="10" t="n"/>
      <c r="D30" s="11" t="n"/>
      <c r="E30" s="3" t="n"/>
      <c r="F30" s="10" t="n"/>
      <c r="G30" s="3" t="n"/>
      <c r="H30" s="12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3">
        <f>IF(A30="","",SUM(I30,K30,M30,O30,Q30))</f>
        <v/>
      </c>
      <c r="T30" s="10" t="n"/>
      <c r="U30" s="10" t="n"/>
      <c r="V30" s="3" t="n"/>
      <c r="W30" s="3" t="n"/>
      <c r="X30" s="10" t="n"/>
      <c r="Y30" s="13">
        <f>IF(A30="","",COUNTA(A30,B30,C30,F30,H30,T30,U30,X30)/8)</f>
        <v/>
      </c>
      <c r="Z30" s="3" t="n"/>
    </row>
    <row r="31">
      <c r="A31" s="10" t="n"/>
      <c r="B31" s="10" t="n"/>
      <c r="C31" s="10" t="n"/>
      <c r="D31" s="11" t="n"/>
      <c r="E31" s="3" t="n"/>
      <c r="F31" s="10" t="n"/>
      <c r="G31" s="3" t="n"/>
      <c r="H31" s="12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3">
        <f>IF(A31="","",SUM(I31,K31,M31,O31,Q31))</f>
        <v/>
      </c>
      <c r="T31" s="10" t="n"/>
      <c r="U31" s="10" t="n"/>
      <c r="V31" s="3" t="n"/>
      <c r="W31" s="3" t="n"/>
      <c r="X31" s="10" t="n"/>
      <c r="Y31" s="13">
        <f>IF(A31="","",COUNTA(A31,B31,C31,F31,H31,T31,U31,X31)/8)</f>
        <v/>
      </c>
      <c r="Z31" s="3" t="n"/>
    </row>
    <row r="32">
      <c r="A32" s="10" t="n"/>
      <c r="B32" s="10" t="n"/>
      <c r="C32" s="10" t="n"/>
      <c r="D32" s="11" t="n"/>
      <c r="E32" s="3" t="n"/>
      <c r="F32" s="10" t="n"/>
      <c r="G32" s="3" t="n"/>
      <c r="H32" s="12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3">
        <f>IF(A32="","",SUM(I32,K32,M32,O32,Q32))</f>
        <v/>
      </c>
      <c r="T32" s="10" t="n"/>
      <c r="U32" s="10" t="n"/>
      <c r="V32" s="3" t="n"/>
      <c r="W32" s="3" t="n"/>
      <c r="X32" s="10" t="n"/>
      <c r="Y32" s="13">
        <f>IF(A32="","",COUNTA(A32,B32,C32,F32,H32,T32,U32,X32)/8)</f>
        <v/>
      </c>
      <c r="Z32" s="3" t="n"/>
    </row>
    <row r="33">
      <c r="A33" s="10" t="n"/>
      <c r="B33" s="10" t="n"/>
      <c r="C33" s="10" t="n"/>
      <c r="D33" s="11" t="n"/>
      <c r="E33" s="3" t="n"/>
      <c r="F33" s="10" t="n"/>
      <c r="G33" s="3" t="n"/>
      <c r="H33" s="12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3">
        <f>IF(A33="","",SUM(I33,K33,M33,O33,Q33))</f>
        <v/>
      </c>
      <c r="T33" s="10" t="n"/>
      <c r="U33" s="10" t="n"/>
      <c r="V33" s="3" t="n"/>
      <c r="W33" s="3" t="n"/>
      <c r="X33" s="10" t="n"/>
      <c r="Y33" s="13">
        <f>IF(A33="","",COUNTA(A33,B33,C33,F33,H33,T33,U33,X33)/8)</f>
        <v/>
      </c>
      <c r="Z33" s="3" t="n"/>
    </row>
    <row r="34">
      <c r="A34" s="10" t="n"/>
      <c r="B34" s="10" t="n"/>
      <c r="C34" s="10" t="n"/>
      <c r="D34" s="11" t="n"/>
      <c r="E34" s="3" t="n"/>
      <c r="F34" s="10" t="n"/>
      <c r="G34" s="3" t="n"/>
      <c r="H34" s="12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3">
        <f>IF(A34="","",SUM(I34,K34,M34,O34,Q34))</f>
        <v/>
      </c>
      <c r="T34" s="10" t="n"/>
      <c r="U34" s="10" t="n"/>
      <c r="V34" s="3" t="n"/>
      <c r="W34" s="3" t="n"/>
      <c r="X34" s="10" t="n"/>
      <c r="Y34" s="13">
        <f>IF(A34="","",COUNTA(A34,B34,C34,F34,H34,T34,U34,X34)/8)</f>
        <v/>
      </c>
      <c r="Z34" s="3" t="n"/>
    </row>
    <row r="35">
      <c r="A35" s="10" t="n"/>
      <c r="B35" s="10" t="n"/>
      <c r="C35" s="10" t="n"/>
      <c r="D35" s="11" t="n"/>
      <c r="E35" s="3" t="n"/>
      <c r="F35" s="10" t="n"/>
      <c r="G35" s="3" t="n"/>
      <c r="H35" s="12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3">
        <f>IF(A35="","",SUM(I35,K35,M35,O35,Q35))</f>
        <v/>
      </c>
      <c r="T35" s="10" t="n"/>
      <c r="U35" s="10" t="n"/>
      <c r="V35" s="3" t="n"/>
      <c r="W35" s="3" t="n"/>
      <c r="X35" s="10" t="n"/>
      <c r="Y35" s="13">
        <f>IF(A35="","",COUNTA(A35,B35,C35,F35,H35,T35,U35,X35)/8)</f>
        <v/>
      </c>
      <c r="Z35" s="3" t="n"/>
    </row>
    <row r="36">
      <c r="A36" s="10" t="n"/>
      <c r="B36" s="10" t="n"/>
      <c r="C36" s="10" t="n"/>
      <c r="D36" s="11" t="n"/>
      <c r="E36" s="3" t="n"/>
      <c r="F36" s="10" t="n"/>
      <c r="G36" s="3" t="n"/>
      <c r="H36" s="12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3">
        <f>IF(A36="","",SUM(I36,K36,M36,O36,Q36))</f>
        <v/>
      </c>
      <c r="T36" s="10" t="n"/>
      <c r="U36" s="10" t="n"/>
      <c r="V36" s="3" t="n"/>
      <c r="W36" s="3" t="n"/>
      <c r="X36" s="10" t="n"/>
      <c r="Y36" s="13">
        <f>IF(A36="","",COUNTA(A36,B36,C36,F36,H36,T36,U36,X36)/8)</f>
        <v/>
      </c>
      <c r="Z36" s="3" t="n"/>
    </row>
    <row r="37">
      <c r="A37" s="10" t="n"/>
      <c r="B37" s="10" t="n"/>
      <c r="C37" s="10" t="n"/>
      <c r="D37" s="11" t="n"/>
      <c r="E37" s="3" t="n"/>
      <c r="F37" s="10" t="n"/>
      <c r="G37" s="3" t="n"/>
      <c r="H37" s="12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3">
        <f>IF(A37="","",SUM(I37,K37,M37,O37,Q37))</f>
        <v/>
      </c>
      <c r="T37" s="10" t="n"/>
      <c r="U37" s="10" t="n"/>
      <c r="V37" s="3" t="n"/>
      <c r="W37" s="3" t="n"/>
      <c r="X37" s="10" t="n"/>
      <c r="Y37" s="13">
        <f>IF(A37="","",COUNTA(A37,B37,C37,F37,H37,T37,U37,X37)/8)</f>
        <v/>
      </c>
      <c r="Z37" s="3" t="n"/>
    </row>
    <row r="38">
      <c r="A38" s="10" t="n"/>
      <c r="B38" s="10" t="n"/>
      <c r="C38" s="10" t="n"/>
      <c r="D38" s="11" t="n"/>
      <c r="E38" s="3" t="n"/>
      <c r="F38" s="10" t="n"/>
      <c r="G38" s="3" t="n"/>
      <c r="H38" s="12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3">
        <f>IF(A38="","",SUM(I38,K38,M38,O38,Q38))</f>
        <v/>
      </c>
      <c r="T38" s="10" t="n"/>
      <c r="U38" s="10" t="n"/>
      <c r="V38" s="3" t="n"/>
      <c r="W38" s="3" t="n"/>
      <c r="X38" s="10" t="n"/>
      <c r="Y38" s="13">
        <f>IF(A38="","",COUNTA(A38,B38,C38,F38,H38,T38,U38,X38)/8)</f>
        <v/>
      </c>
      <c r="Z38" s="3" t="n"/>
    </row>
    <row r="39">
      <c r="A39" s="10" t="n"/>
      <c r="B39" s="10" t="n"/>
      <c r="C39" s="10" t="n"/>
      <c r="D39" s="11" t="n"/>
      <c r="E39" s="3" t="n"/>
      <c r="F39" s="10" t="n"/>
      <c r="G39" s="3" t="n"/>
      <c r="H39" s="12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3">
        <f>IF(A39="","",SUM(I39,K39,M39,O39,Q39))</f>
        <v/>
      </c>
      <c r="T39" s="10" t="n"/>
      <c r="U39" s="10" t="n"/>
      <c r="V39" s="3" t="n"/>
      <c r="W39" s="3" t="n"/>
      <c r="X39" s="10" t="n"/>
      <c r="Y39" s="13">
        <f>IF(A39="","",COUNTA(A39,B39,C39,F39,H39,T39,U39,X39)/8)</f>
        <v/>
      </c>
      <c r="Z39" s="3" t="n"/>
    </row>
    <row r="40">
      <c r="A40" s="10" t="n"/>
      <c r="B40" s="10" t="n"/>
      <c r="C40" s="10" t="n"/>
      <c r="D40" s="11" t="n"/>
      <c r="E40" s="3" t="n"/>
      <c r="F40" s="10" t="n"/>
      <c r="G40" s="3" t="n"/>
      <c r="H40" s="12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3">
        <f>IF(A40="","",SUM(I40,K40,M40,O40,Q40))</f>
        <v/>
      </c>
      <c r="T40" s="10" t="n"/>
      <c r="U40" s="10" t="n"/>
      <c r="V40" s="3" t="n"/>
      <c r="W40" s="3" t="n"/>
      <c r="X40" s="10" t="n"/>
      <c r="Y40" s="13">
        <f>IF(A40="","",COUNTA(A40,B40,C40,F40,H40,T40,U40,X40)/8)</f>
        <v/>
      </c>
      <c r="Z40" s="3" t="n"/>
    </row>
    <row r="41">
      <c r="A41" s="10" t="n"/>
      <c r="B41" s="10" t="n"/>
      <c r="C41" s="10" t="n"/>
      <c r="D41" s="11" t="n"/>
      <c r="E41" s="3" t="n"/>
      <c r="F41" s="10" t="n"/>
      <c r="G41" s="3" t="n"/>
      <c r="H41" s="12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3">
        <f>IF(A41="","",SUM(I41,K41,M41,O41,Q41))</f>
        <v/>
      </c>
      <c r="T41" s="10" t="n"/>
      <c r="U41" s="10" t="n"/>
      <c r="V41" s="3" t="n"/>
      <c r="W41" s="3" t="n"/>
      <c r="X41" s="10" t="n"/>
      <c r="Y41" s="13">
        <f>IF(A41="","",COUNTA(A41,B41,C41,F41,H41,T41,U41,X41)/8)</f>
        <v/>
      </c>
      <c r="Z41" s="3" t="n"/>
    </row>
    <row r="42">
      <c r="A42" s="10" t="n"/>
      <c r="B42" s="10" t="n"/>
      <c r="C42" s="10" t="n"/>
      <c r="D42" s="11" t="n"/>
      <c r="E42" s="3" t="n"/>
      <c r="F42" s="10" t="n"/>
      <c r="G42" s="3" t="n"/>
      <c r="H42" s="12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3">
        <f>IF(A42="","",SUM(I42,K42,M42,O42,Q42))</f>
        <v/>
      </c>
      <c r="T42" s="10" t="n"/>
      <c r="U42" s="10" t="n"/>
      <c r="V42" s="3" t="n"/>
      <c r="W42" s="3" t="n"/>
      <c r="X42" s="10" t="n"/>
      <c r="Y42" s="13">
        <f>IF(A42="","",COUNTA(A42,B42,C42,F42,H42,T42,U42,X42)/8)</f>
        <v/>
      </c>
      <c r="Z42" s="3" t="n"/>
    </row>
    <row r="43">
      <c r="A43" s="10" t="n"/>
      <c r="B43" s="10" t="n"/>
      <c r="C43" s="10" t="n"/>
      <c r="D43" s="11" t="n"/>
      <c r="E43" s="3" t="n"/>
      <c r="F43" s="10" t="n"/>
      <c r="G43" s="3" t="n"/>
      <c r="H43" s="12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3">
        <f>IF(A43="","",SUM(I43,K43,M43,O43,Q43))</f>
        <v/>
      </c>
      <c r="T43" s="10" t="n"/>
      <c r="U43" s="10" t="n"/>
      <c r="V43" s="3" t="n"/>
      <c r="W43" s="3" t="n"/>
      <c r="X43" s="10" t="n"/>
      <c r="Y43" s="13">
        <f>IF(A43="","",COUNTA(A43,B43,C43,F43,H43,T43,U43,X43)/8)</f>
        <v/>
      </c>
      <c r="Z43" s="3" t="n"/>
    </row>
    <row r="44">
      <c r="A44" s="10" t="n"/>
      <c r="B44" s="10" t="n"/>
      <c r="C44" s="10" t="n"/>
      <c r="D44" s="11" t="n"/>
      <c r="E44" s="3" t="n"/>
      <c r="F44" s="10" t="n"/>
      <c r="G44" s="3" t="n"/>
      <c r="H44" s="12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3">
        <f>IF(A44="","",SUM(I44,K44,M44,O44,Q44))</f>
        <v/>
      </c>
      <c r="T44" s="10" t="n"/>
      <c r="U44" s="10" t="n"/>
      <c r="V44" s="3" t="n"/>
      <c r="W44" s="3" t="n"/>
      <c r="X44" s="10" t="n"/>
      <c r="Y44" s="13">
        <f>IF(A44="","",COUNTA(A44,B44,C44,F44,H44,T44,U44,X44)/8)</f>
        <v/>
      </c>
      <c r="Z44" s="3" t="n"/>
    </row>
    <row r="45">
      <c r="A45" s="10" t="n"/>
      <c r="B45" s="10" t="n"/>
      <c r="C45" s="10" t="n"/>
      <c r="D45" s="11" t="n"/>
      <c r="E45" s="3" t="n"/>
      <c r="F45" s="10" t="n"/>
      <c r="G45" s="3" t="n"/>
      <c r="H45" s="12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3">
        <f>IF(A45="","",SUM(I45,K45,M45,O45,Q45))</f>
        <v/>
      </c>
      <c r="T45" s="10" t="n"/>
      <c r="U45" s="10" t="n"/>
      <c r="V45" s="3" t="n"/>
      <c r="W45" s="3" t="n"/>
      <c r="X45" s="10" t="n"/>
      <c r="Y45" s="13">
        <f>IF(A45="","",COUNTA(A45,B45,C45,F45,H45,T45,U45,X45)/8)</f>
        <v/>
      </c>
      <c r="Z45" s="3" t="n"/>
    </row>
    <row r="46">
      <c r="A46" s="10" t="n"/>
      <c r="B46" s="10" t="n"/>
      <c r="C46" s="10" t="n"/>
      <c r="D46" s="11" t="n"/>
      <c r="E46" s="3" t="n"/>
      <c r="F46" s="10" t="n"/>
      <c r="G46" s="3" t="n"/>
      <c r="H46" s="12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3">
        <f>IF(A46="","",SUM(I46,K46,M46,O46,Q46))</f>
        <v/>
      </c>
      <c r="T46" s="10" t="n"/>
      <c r="U46" s="10" t="n"/>
      <c r="V46" s="3" t="n"/>
      <c r="W46" s="3" t="n"/>
      <c r="X46" s="10" t="n"/>
      <c r="Y46" s="13">
        <f>IF(A46="","",COUNTA(A46,B46,C46,F46,H46,T46,U46,X46)/8)</f>
        <v/>
      </c>
      <c r="Z46" s="3" t="n"/>
    </row>
    <row r="47">
      <c r="A47" s="10" t="n"/>
      <c r="B47" s="10" t="n"/>
      <c r="C47" s="10" t="n"/>
      <c r="D47" s="11" t="n"/>
      <c r="E47" s="3" t="n"/>
      <c r="F47" s="10" t="n"/>
      <c r="G47" s="3" t="n"/>
      <c r="H47" s="12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3">
        <f>IF(A47="","",SUM(I47,K47,M47,O47,Q47))</f>
        <v/>
      </c>
      <c r="T47" s="10" t="n"/>
      <c r="U47" s="10" t="n"/>
      <c r="V47" s="3" t="n"/>
      <c r="W47" s="3" t="n"/>
      <c r="X47" s="10" t="n"/>
      <c r="Y47" s="13">
        <f>IF(A47="","",COUNTA(A47,B47,C47,F47,H47,T47,U47,X47)/8)</f>
        <v/>
      </c>
      <c r="Z47" s="3" t="n"/>
    </row>
    <row r="48">
      <c r="A48" s="10" t="n"/>
      <c r="B48" s="10" t="n"/>
      <c r="C48" s="10" t="n"/>
      <c r="D48" s="11" t="n"/>
      <c r="E48" s="3" t="n"/>
      <c r="F48" s="10" t="n"/>
      <c r="G48" s="3" t="n"/>
      <c r="H48" s="12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3">
        <f>IF(A48="","",SUM(I48,K48,M48,O48,Q48))</f>
        <v/>
      </c>
      <c r="T48" s="10" t="n"/>
      <c r="U48" s="10" t="n"/>
      <c r="V48" s="3" t="n"/>
      <c r="W48" s="3" t="n"/>
      <c r="X48" s="10" t="n"/>
      <c r="Y48" s="13">
        <f>IF(A48="","",COUNTA(A48,B48,C48,F48,H48,T48,U48,X48)/8)</f>
        <v/>
      </c>
      <c r="Z48" s="3" t="n"/>
    </row>
    <row r="49">
      <c r="A49" s="10" t="n"/>
      <c r="B49" s="10" t="n"/>
      <c r="C49" s="10" t="n"/>
      <c r="D49" s="11" t="n"/>
      <c r="E49" s="3" t="n"/>
      <c r="F49" s="10" t="n"/>
      <c r="G49" s="3" t="n"/>
      <c r="H49" s="12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3">
        <f>IF(A49="","",SUM(I49,K49,M49,O49,Q49))</f>
        <v/>
      </c>
      <c r="T49" s="10" t="n"/>
      <c r="U49" s="10" t="n"/>
      <c r="V49" s="3" t="n"/>
      <c r="W49" s="3" t="n"/>
      <c r="X49" s="10" t="n"/>
      <c r="Y49" s="13">
        <f>IF(A49="","",COUNTA(A49,B49,C49,F49,H49,T49,U49,X49)/8)</f>
        <v/>
      </c>
      <c r="Z49" s="3" t="n"/>
    </row>
    <row r="50">
      <c r="A50" s="10" t="n"/>
      <c r="B50" s="10" t="n"/>
      <c r="C50" s="10" t="n"/>
      <c r="D50" s="11" t="n"/>
      <c r="E50" s="3" t="n"/>
      <c r="F50" s="10" t="n"/>
      <c r="G50" s="3" t="n"/>
      <c r="H50" s="12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3">
        <f>IF(A50="","",SUM(I50,K50,M50,O50,Q50))</f>
        <v/>
      </c>
      <c r="T50" s="10" t="n"/>
      <c r="U50" s="10" t="n"/>
      <c r="V50" s="3" t="n"/>
      <c r="W50" s="3" t="n"/>
      <c r="X50" s="10" t="n"/>
      <c r="Y50" s="13">
        <f>IF(A50="","",COUNTA(A50,B50,C50,F50,H50,T50,U50,X50)/8)</f>
        <v/>
      </c>
      <c r="Z50" s="3" t="n"/>
    </row>
    <row r="51">
      <c r="A51" s="10" t="n"/>
      <c r="B51" s="10" t="n"/>
      <c r="C51" s="10" t="n"/>
      <c r="D51" s="11" t="n"/>
      <c r="E51" s="3" t="n"/>
      <c r="F51" s="10" t="n"/>
      <c r="G51" s="3" t="n"/>
      <c r="H51" s="12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3">
        <f>IF(A51="","",SUM(I51,K51,M51,O51,Q51))</f>
        <v/>
      </c>
      <c r="T51" s="10" t="n"/>
      <c r="U51" s="10" t="n"/>
      <c r="V51" s="3" t="n"/>
      <c r="W51" s="3" t="n"/>
      <c r="X51" s="10" t="n"/>
      <c r="Y51" s="13">
        <f>IF(A51="","",COUNTA(A51,B51,C51,F51,H51,T51,U51,X51)/8)</f>
        <v/>
      </c>
      <c r="Z51" s="3" t="n"/>
    </row>
    <row r="52">
      <c r="A52" s="10" t="n"/>
      <c r="B52" s="10" t="n"/>
      <c r="C52" s="10" t="n"/>
      <c r="D52" s="11" t="n"/>
      <c r="E52" s="3" t="n"/>
      <c r="F52" s="10" t="n"/>
      <c r="G52" s="3" t="n"/>
      <c r="H52" s="12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3">
        <f>IF(A52="","",SUM(I52,K52,M52,O52,Q52))</f>
        <v/>
      </c>
      <c r="T52" s="10" t="n"/>
      <c r="U52" s="10" t="n"/>
      <c r="V52" s="3" t="n"/>
      <c r="W52" s="3" t="n"/>
      <c r="X52" s="10" t="n"/>
      <c r="Y52" s="13">
        <f>IF(A52="","",COUNTA(A52,B52,C52,F52,H52,T52,U52,X52)/8)</f>
        <v/>
      </c>
      <c r="Z52" s="3" t="n"/>
    </row>
    <row r="53">
      <c r="A53" s="10" t="n"/>
      <c r="B53" s="10" t="n"/>
      <c r="C53" s="10" t="n"/>
      <c r="D53" s="11" t="n"/>
      <c r="E53" s="3" t="n"/>
      <c r="F53" s="10" t="n"/>
      <c r="G53" s="3" t="n"/>
      <c r="H53" s="12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3">
        <f>IF(A53="","",SUM(I53,K53,M53,O53,Q53))</f>
        <v/>
      </c>
      <c r="T53" s="10" t="n"/>
      <c r="U53" s="10" t="n"/>
      <c r="V53" s="3" t="n"/>
      <c r="W53" s="3" t="n"/>
      <c r="X53" s="10" t="n"/>
      <c r="Y53" s="13">
        <f>IF(A53="","",COUNTA(A53,B53,C53,F53,H53,T53,U53,X53)/8)</f>
        <v/>
      </c>
      <c r="Z53" s="3" t="n"/>
    </row>
    <row r="54">
      <c r="A54" s="10" t="n"/>
      <c r="B54" s="10" t="n"/>
      <c r="C54" s="10" t="n"/>
      <c r="D54" s="11" t="n"/>
      <c r="E54" s="3" t="n"/>
      <c r="F54" s="10" t="n"/>
      <c r="G54" s="3" t="n"/>
      <c r="H54" s="12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3">
        <f>IF(A54="","",SUM(I54,K54,M54,O54,Q54))</f>
        <v/>
      </c>
      <c r="T54" s="10" t="n"/>
      <c r="U54" s="10" t="n"/>
      <c r="V54" s="3" t="n"/>
      <c r="W54" s="3" t="n"/>
      <c r="X54" s="10" t="n"/>
      <c r="Y54" s="13">
        <f>IF(A54="","",COUNTA(A54,B54,C54,F54,H54,T54,U54,X54)/8)</f>
        <v/>
      </c>
      <c r="Z54" s="3" t="n"/>
    </row>
    <row r="55">
      <c r="A55" s="10" t="n"/>
      <c r="B55" s="10" t="n"/>
      <c r="C55" s="10" t="n"/>
      <c r="D55" s="11" t="n"/>
      <c r="E55" s="3" t="n"/>
      <c r="F55" s="10" t="n"/>
      <c r="G55" s="3" t="n"/>
      <c r="H55" s="12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3">
        <f>IF(A55="","",SUM(I55,K55,M55,O55,Q55))</f>
        <v/>
      </c>
      <c r="T55" s="10" t="n"/>
      <c r="U55" s="10" t="n"/>
      <c r="V55" s="3" t="n"/>
      <c r="W55" s="3" t="n"/>
      <c r="X55" s="10" t="n"/>
      <c r="Y55" s="13">
        <f>IF(A55="","",COUNTA(A55,B55,C55,F55,H55,T55,U55,X55)/8)</f>
        <v/>
      </c>
      <c r="Z55" s="3" t="n"/>
    </row>
    <row r="56">
      <c r="A56" s="10" t="n"/>
      <c r="B56" s="10" t="n"/>
      <c r="C56" s="10" t="n"/>
      <c r="D56" s="11" t="n"/>
      <c r="E56" s="3" t="n"/>
      <c r="F56" s="10" t="n"/>
      <c r="G56" s="3" t="n"/>
      <c r="H56" s="12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3">
        <f>IF(A56="","",SUM(I56,K56,M56,O56,Q56))</f>
        <v/>
      </c>
      <c r="T56" s="10" t="n"/>
      <c r="U56" s="10" t="n"/>
      <c r="V56" s="3" t="n"/>
      <c r="W56" s="3" t="n"/>
      <c r="X56" s="10" t="n"/>
      <c r="Y56" s="13">
        <f>IF(A56="","",COUNTA(A56,B56,C56,F56,H56,T56,U56,X56)/8)</f>
        <v/>
      </c>
      <c r="Z56" s="3" t="n"/>
    </row>
    <row r="57">
      <c r="A57" s="10" t="n"/>
      <c r="B57" s="10" t="n"/>
      <c r="C57" s="10" t="n"/>
      <c r="D57" s="11" t="n"/>
      <c r="E57" s="3" t="n"/>
      <c r="F57" s="10" t="n"/>
      <c r="G57" s="3" t="n"/>
      <c r="H57" s="12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3">
        <f>IF(A57="","",SUM(I57,K57,M57,O57,Q57))</f>
        <v/>
      </c>
      <c r="T57" s="10" t="n"/>
      <c r="U57" s="10" t="n"/>
      <c r="V57" s="3" t="n"/>
      <c r="W57" s="3" t="n"/>
      <c r="X57" s="10" t="n"/>
      <c r="Y57" s="13">
        <f>IF(A57="","",COUNTA(A57,B57,C57,F57,H57,T57,U57,X57)/8)</f>
        <v/>
      </c>
      <c r="Z57" s="3" t="n"/>
    </row>
    <row r="58">
      <c r="A58" s="10" t="n"/>
      <c r="B58" s="10" t="n"/>
      <c r="C58" s="10" t="n"/>
      <c r="D58" s="11" t="n"/>
      <c r="E58" s="3" t="n"/>
      <c r="F58" s="10" t="n"/>
      <c r="G58" s="3" t="n"/>
      <c r="H58" s="12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3">
        <f>IF(A58="","",SUM(I58,K58,M58,O58,Q58))</f>
        <v/>
      </c>
      <c r="T58" s="10" t="n"/>
      <c r="U58" s="10" t="n"/>
      <c r="V58" s="3" t="n"/>
      <c r="W58" s="3" t="n"/>
      <c r="X58" s="10" t="n"/>
      <c r="Y58" s="13">
        <f>IF(A58="","",COUNTA(A58,B58,C58,F58,H58,T58,U58,X58)/8)</f>
        <v/>
      </c>
      <c r="Z58" s="3" t="n"/>
    </row>
    <row r="59">
      <c r="A59" s="10" t="n"/>
      <c r="B59" s="10" t="n"/>
      <c r="C59" s="10" t="n"/>
      <c r="D59" s="11" t="n"/>
      <c r="E59" s="3" t="n"/>
      <c r="F59" s="10" t="n"/>
      <c r="G59" s="3" t="n"/>
      <c r="H59" s="12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3">
        <f>IF(A59="","",SUM(I59,K59,M59,O59,Q59))</f>
        <v/>
      </c>
      <c r="T59" s="10" t="n"/>
      <c r="U59" s="10" t="n"/>
      <c r="V59" s="3" t="n"/>
      <c r="W59" s="3" t="n"/>
      <c r="X59" s="10" t="n"/>
      <c r="Y59" s="13">
        <f>IF(A59="","",COUNTA(A59,B59,C59,F59,H59,T59,U59,X59)/8)</f>
        <v/>
      </c>
      <c r="Z59" s="3" t="n"/>
    </row>
    <row r="60">
      <c r="A60" s="10" t="n"/>
      <c r="B60" s="10" t="n"/>
      <c r="C60" s="10" t="n"/>
      <c r="D60" s="11" t="n"/>
      <c r="E60" s="3" t="n"/>
      <c r="F60" s="10" t="n"/>
      <c r="G60" s="3" t="n"/>
      <c r="H60" s="12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3">
        <f>IF(A60="","",SUM(I60,K60,M60,O60,Q60))</f>
        <v/>
      </c>
      <c r="T60" s="10" t="n"/>
      <c r="U60" s="10" t="n"/>
      <c r="V60" s="3" t="n"/>
      <c r="W60" s="3" t="n"/>
      <c r="X60" s="10" t="n"/>
      <c r="Y60" s="13">
        <f>IF(A60="","",COUNTA(A60,B60,C60,F60,H60,T60,U60,X60)/8)</f>
        <v/>
      </c>
      <c r="Z60" s="3" t="n"/>
    </row>
    <row r="61">
      <c r="A61" s="10" t="n"/>
      <c r="B61" s="10" t="n"/>
      <c r="C61" s="10" t="n"/>
      <c r="D61" s="11" t="n"/>
      <c r="E61" s="3" t="n"/>
      <c r="F61" s="10" t="n"/>
      <c r="G61" s="3" t="n"/>
      <c r="H61" s="12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3">
        <f>IF(A61="","",SUM(I61,K61,M61,O61,Q61))</f>
        <v/>
      </c>
      <c r="T61" s="10" t="n"/>
      <c r="U61" s="10" t="n"/>
      <c r="V61" s="3" t="n"/>
      <c r="W61" s="3" t="n"/>
      <c r="X61" s="10" t="n"/>
      <c r="Y61" s="13">
        <f>IF(A61="","",COUNTA(A61,B61,C61,F61,H61,T61,U61,X61)/8)</f>
        <v/>
      </c>
      <c r="Z61" s="3" t="n"/>
    </row>
    <row r="62">
      <c r="A62" s="10" t="n"/>
      <c r="B62" s="10" t="n"/>
      <c r="C62" s="10" t="n"/>
      <c r="D62" s="11" t="n"/>
      <c r="E62" s="3" t="n"/>
      <c r="F62" s="10" t="n"/>
      <c r="G62" s="3" t="n"/>
      <c r="H62" s="12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3">
        <f>IF(A62="","",SUM(I62,K62,M62,O62,Q62))</f>
        <v/>
      </c>
      <c r="T62" s="10" t="n"/>
      <c r="U62" s="10" t="n"/>
      <c r="V62" s="3" t="n"/>
      <c r="W62" s="3" t="n"/>
      <c r="X62" s="10" t="n"/>
      <c r="Y62" s="13">
        <f>IF(A62="","",COUNTA(A62,B62,C62,F62,H62,T62,U62,X62)/8)</f>
        <v/>
      </c>
      <c r="Z62" s="3" t="n"/>
    </row>
    <row r="63">
      <c r="A63" s="10" t="n"/>
      <c r="B63" s="10" t="n"/>
      <c r="C63" s="10" t="n"/>
      <c r="D63" s="11" t="n"/>
      <c r="E63" s="3" t="n"/>
      <c r="F63" s="10" t="n"/>
      <c r="G63" s="3" t="n"/>
      <c r="H63" s="12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3">
        <f>IF(A63="","",SUM(I63,K63,M63,O63,Q63))</f>
        <v/>
      </c>
      <c r="T63" s="10" t="n"/>
      <c r="U63" s="10" t="n"/>
      <c r="V63" s="3" t="n"/>
      <c r="W63" s="3" t="n"/>
      <c r="X63" s="10" t="n"/>
      <c r="Y63" s="13">
        <f>IF(A63="","",COUNTA(A63,B63,C63,F63,H63,T63,U63,X63)/8)</f>
        <v/>
      </c>
      <c r="Z63" s="3" t="n"/>
    </row>
    <row r="64">
      <c r="A64" s="10" t="n"/>
      <c r="B64" s="10" t="n"/>
      <c r="C64" s="10" t="n"/>
      <c r="D64" s="11" t="n"/>
      <c r="E64" s="3" t="n"/>
      <c r="F64" s="10" t="n"/>
      <c r="G64" s="3" t="n"/>
      <c r="H64" s="12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3">
        <f>IF(A64="","",SUM(I64,K64,M64,O64,Q64))</f>
        <v/>
      </c>
      <c r="T64" s="10" t="n"/>
      <c r="U64" s="10" t="n"/>
      <c r="V64" s="3" t="n"/>
      <c r="W64" s="3" t="n"/>
      <c r="X64" s="10" t="n"/>
      <c r="Y64" s="13">
        <f>IF(A64="","",COUNTA(A64,B64,C64,F64,H64,T64,U64,X64)/8)</f>
        <v/>
      </c>
      <c r="Z64" s="3" t="n"/>
    </row>
    <row r="65">
      <c r="A65" s="10" t="n"/>
      <c r="B65" s="10" t="n"/>
      <c r="C65" s="10" t="n"/>
      <c r="D65" s="11" t="n"/>
      <c r="E65" s="3" t="n"/>
      <c r="F65" s="10" t="n"/>
      <c r="G65" s="3" t="n"/>
      <c r="H65" s="12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3">
        <f>IF(A65="","",SUM(I65,K65,M65,O65,Q65))</f>
        <v/>
      </c>
      <c r="T65" s="10" t="n"/>
      <c r="U65" s="10" t="n"/>
      <c r="V65" s="3" t="n"/>
      <c r="W65" s="3" t="n"/>
      <c r="X65" s="10" t="n"/>
      <c r="Y65" s="13">
        <f>IF(A65="","",COUNTA(A65,B65,C65,F65,H65,T65,U65,X65)/8)</f>
        <v/>
      </c>
      <c r="Z65" s="3" t="n"/>
    </row>
    <row r="66">
      <c r="A66" s="10" t="n"/>
      <c r="B66" s="10" t="n"/>
      <c r="C66" s="10" t="n"/>
      <c r="D66" s="11" t="n"/>
      <c r="E66" s="3" t="n"/>
      <c r="F66" s="10" t="n"/>
      <c r="G66" s="3" t="n"/>
      <c r="H66" s="12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3">
        <f>IF(A66="","",SUM(I66,K66,M66,O66,Q66))</f>
        <v/>
      </c>
      <c r="T66" s="10" t="n"/>
      <c r="U66" s="10" t="n"/>
      <c r="V66" s="3" t="n"/>
      <c r="W66" s="3" t="n"/>
      <c r="X66" s="10" t="n"/>
      <c r="Y66" s="13">
        <f>IF(A66="","",COUNTA(A66,B66,C66,F66,H66,T66,U66,X66)/8)</f>
        <v/>
      </c>
      <c r="Z66" s="3" t="n"/>
    </row>
    <row r="67">
      <c r="A67" s="10" t="n"/>
      <c r="B67" s="10" t="n"/>
      <c r="C67" s="10" t="n"/>
      <c r="D67" s="11" t="n"/>
      <c r="E67" s="3" t="n"/>
      <c r="F67" s="10" t="n"/>
      <c r="G67" s="3" t="n"/>
      <c r="H67" s="12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3">
        <f>IF(A67="","",SUM(I67,K67,M67,O67,Q67))</f>
        <v/>
      </c>
      <c r="T67" s="10" t="n"/>
      <c r="U67" s="10" t="n"/>
      <c r="V67" s="3" t="n"/>
      <c r="W67" s="3" t="n"/>
      <c r="X67" s="10" t="n"/>
      <c r="Y67" s="13">
        <f>IF(A67="","",COUNTA(A67,B67,C67,F67,H67,T67,U67,X67)/8)</f>
        <v/>
      </c>
      <c r="Z67" s="3" t="n"/>
    </row>
    <row r="68">
      <c r="A68" s="10" t="n"/>
      <c r="B68" s="10" t="n"/>
      <c r="C68" s="10" t="n"/>
      <c r="D68" s="11" t="n"/>
      <c r="E68" s="3" t="n"/>
      <c r="F68" s="10" t="n"/>
      <c r="G68" s="3" t="n"/>
      <c r="H68" s="12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3">
        <f>IF(A68="","",SUM(I68,K68,M68,O68,Q68))</f>
        <v/>
      </c>
      <c r="T68" s="10" t="n"/>
      <c r="U68" s="10" t="n"/>
      <c r="V68" s="3" t="n"/>
      <c r="W68" s="3" t="n"/>
      <c r="X68" s="10" t="n"/>
      <c r="Y68" s="13">
        <f>IF(A68="","",COUNTA(A68,B68,C68,F68,H68,T68,U68,X68)/8)</f>
        <v/>
      </c>
      <c r="Z68" s="3" t="n"/>
    </row>
    <row r="69">
      <c r="A69" s="10" t="n"/>
      <c r="B69" s="10" t="n"/>
      <c r="C69" s="10" t="n"/>
      <c r="D69" s="11" t="n"/>
      <c r="E69" s="3" t="n"/>
      <c r="F69" s="10" t="n"/>
      <c r="G69" s="3" t="n"/>
      <c r="H69" s="12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3">
        <f>IF(A69="","",SUM(I69,K69,M69,O69,Q69))</f>
        <v/>
      </c>
      <c r="T69" s="10" t="n"/>
      <c r="U69" s="10" t="n"/>
      <c r="V69" s="3" t="n"/>
      <c r="W69" s="3" t="n"/>
      <c r="X69" s="10" t="n"/>
      <c r="Y69" s="13">
        <f>IF(A69="","",COUNTA(A69,B69,C69,F69,H69,T69,U69,X69)/8)</f>
        <v/>
      </c>
      <c r="Z69" s="3" t="n"/>
    </row>
    <row r="70">
      <c r="A70" s="10" t="n"/>
      <c r="B70" s="10" t="n"/>
      <c r="C70" s="10" t="n"/>
      <c r="D70" s="11" t="n"/>
      <c r="E70" s="3" t="n"/>
      <c r="F70" s="10" t="n"/>
      <c r="G70" s="3" t="n"/>
      <c r="H70" s="12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3">
        <f>IF(A70="","",SUM(I70,K70,M70,O70,Q70))</f>
        <v/>
      </c>
      <c r="T70" s="10" t="n"/>
      <c r="U70" s="10" t="n"/>
      <c r="V70" s="3" t="n"/>
      <c r="W70" s="3" t="n"/>
      <c r="X70" s="10" t="n"/>
      <c r="Y70" s="13">
        <f>IF(A70="","",COUNTA(A70,B70,C70,F70,H70,T70,U70,X70)/8)</f>
        <v/>
      </c>
      <c r="Z70" s="3" t="n"/>
    </row>
    <row r="71">
      <c r="A71" s="10" t="n"/>
      <c r="B71" s="10" t="n"/>
      <c r="C71" s="10" t="n"/>
      <c r="D71" s="11" t="n"/>
      <c r="E71" s="3" t="n"/>
      <c r="F71" s="10" t="n"/>
      <c r="G71" s="3" t="n"/>
      <c r="H71" s="12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3">
        <f>IF(A71="","",SUM(I71,K71,M71,O71,Q71))</f>
        <v/>
      </c>
      <c r="T71" s="10" t="n"/>
      <c r="U71" s="10" t="n"/>
      <c r="V71" s="3" t="n"/>
      <c r="W71" s="3" t="n"/>
      <c r="X71" s="10" t="n"/>
      <c r="Y71" s="13">
        <f>IF(A71="","",COUNTA(A71,B71,C71,F71,H71,T71,U71,X71)/8)</f>
        <v/>
      </c>
      <c r="Z71" s="3" t="n"/>
    </row>
    <row r="72">
      <c r="A72" s="10" t="n"/>
      <c r="B72" s="10" t="n"/>
      <c r="C72" s="10" t="n"/>
      <c r="D72" s="11" t="n"/>
      <c r="E72" s="3" t="n"/>
      <c r="F72" s="10" t="n"/>
      <c r="G72" s="3" t="n"/>
      <c r="H72" s="12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3">
        <f>IF(A72="","",SUM(I72,K72,M72,O72,Q72))</f>
        <v/>
      </c>
      <c r="T72" s="10" t="n"/>
      <c r="U72" s="10" t="n"/>
      <c r="V72" s="3" t="n"/>
      <c r="W72" s="3" t="n"/>
      <c r="X72" s="10" t="n"/>
      <c r="Y72" s="13">
        <f>IF(A72="","",COUNTA(A72,B72,C72,F72,H72,T72,U72,X72)/8)</f>
        <v/>
      </c>
      <c r="Z72" s="3" t="n"/>
    </row>
    <row r="73">
      <c r="A73" s="10" t="n"/>
      <c r="B73" s="10" t="n"/>
      <c r="C73" s="10" t="n"/>
      <c r="D73" s="11" t="n"/>
      <c r="E73" s="3" t="n"/>
      <c r="F73" s="10" t="n"/>
      <c r="G73" s="3" t="n"/>
      <c r="H73" s="12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3">
        <f>IF(A73="","",SUM(I73,K73,M73,O73,Q73))</f>
        <v/>
      </c>
      <c r="T73" s="10" t="n"/>
      <c r="U73" s="10" t="n"/>
      <c r="V73" s="3" t="n"/>
      <c r="W73" s="3" t="n"/>
      <c r="X73" s="10" t="n"/>
      <c r="Y73" s="13">
        <f>IF(A73="","",COUNTA(A73,B73,C73,F73,H73,T73,U73,X73)/8)</f>
        <v/>
      </c>
      <c r="Z73" s="3" t="n"/>
    </row>
    <row r="74">
      <c r="A74" s="10" t="n"/>
      <c r="B74" s="10" t="n"/>
      <c r="C74" s="10" t="n"/>
      <c r="D74" s="11" t="n"/>
      <c r="E74" s="3" t="n"/>
      <c r="F74" s="10" t="n"/>
      <c r="G74" s="3" t="n"/>
      <c r="H74" s="12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3">
        <f>IF(A74="","",SUM(I74,K74,M74,O74,Q74))</f>
        <v/>
      </c>
      <c r="T74" s="10" t="n"/>
      <c r="U74" s="10" t="n"/>
      <c r="V74" s="3" t="n"/>
      <c r="W74" s="3" t="n"/>
      <c r="X74" s="10" t="n"/>
      <c r="Y74" s="13">
        <f>IF(A74="","",COUNTA(A74,B74,C74,F74,H74,T74,U74,X74)/8)</f>
        <v/>
      </c>
      <c r="Z74" s="3" t="n"/>
    </row>
    <row r="75">
      <c r="A75" s="10" t="n"/>
      <c r="B75" s="10" t="n"/>
      <c r="C75" s="10" t="n"/>
      <c r="D75" s="11" t="n"/>
      <c r="E75" s="3" t="n"/>
      <c r="F75" s="10" t="n"/>
      <c r="G75" s="3" t="n"/>
      <c r="H75" s="12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3">
        <f>IF(A75="","",SUM(I75,K75,M75,O75,Q75))</f>
        <v/>
      </c>
      <c r="T75" s="10" t="n"/>
      <c r="U75" s="10" t="n"/>
      <c r="V75" s="3" t="n"/>
      <c r="W75" s="3" t="n"/>
      <c r="X75" s="10" t="n"/>
      <c r="Y75" s="13">
        <f>IF(A75="","",COUNTA(A75,B75,C75,F75,H75,T75,U75,X75)/8)</f>
        <v/>
      </c>
      <c r="Z75" s="3" t="n"/>
    </row>
    <row r="76">
      <c r="A76" s="10" t="n"/>
      <c r="B76" s="10" t="n"/>
      <c r="C76" s="10" t="n"/>
      <c r="D76" s="11" t="n"/>
      <c r="E76" s="3" t="n"/>
      <c r="F76" s="10" t="n"/>
      <c r="G76" s="3" t="n"/>
      <c r="H76" s="12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3">
        <f>IF(A76="","",SUM(I76,K76,M76,O76,Q76))</f>
        <v/>
      </c>
      <c r="T76" s="10" t="n"/>
      <c r="U76" s="10" t="n"/>
      <c r="V76" s="3" t="n"/>
      <c r="W76" s="3" t="n"/>
      <c r="X76" s="10" t="n"/>
      <c r="Y76" s="13">
        <f>IF(A76="","",COUNTA(A76,B76,C76,F76,H76,T76,U76,X76)/8)</f>
        <v/>
      </c>
      <c r="Z76" s="3" t="n"/>
    </row>
    <row r="77">
      <c r="A77" s="10" t="n"/>
      <c r="B77" s="10" t="n"/>
      <c r="C77" s="10" t="n"/>
      <c r="D77" s="11" t="n"/>
      <c r="E77" s="3" t="n"/>
      <c r="F77" s="10" t="n"/>
      <c r="G77" s="3" t="n"/>
      <c r="H77" s="12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3">
        <f>IF(A77="","",SUM(I77,K77,M77,O77,Q77))</f>
        <v/>
      </c>
      <c r="T77" s="10" t="n"/>
      <c r="U77" s="10" t="n"/>
      <c r="V77" s="3" t="n"/>
      <c r="W77" s="3" t="n"/>
      <c r="X77" s="10" t="n"/>
      <c r="Y77" s="13">
        <f>IF(A77="","",COUNTA(A77,B77,C77,F77,H77,T77,U77,X77)/8)</f>
        <v/>
      </c>
      <c r="Z77" s="3" t="n"/>
    </row>
    <row r="78">
      <c r="A78" s="10" t="n"/>
      <c r="B78" s="10" t="n"/>
      <c r="C78" s="10" t="n"/>
      <c r="D78" s="11" t="n"/>
      <c r="E78" s="3" t="n"/>
      <c r="F78" s="10" t="n"/>
      <c r="G78" s="3" t="n"/>
      <c r="H78" s="12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3">
        <f>IF(A78="","",SUM(I78,K78,M78,O78,Q78))</f>
        <v/>
      </c>
      <c r="T78" s="10" t="n"/>
      <c r="U78" s="10" t="n"/>
      <c r="V78" s="3" t="n"/>
      <c r="W78" s="3" t="n"/>
      <c r="X78" s="10" t="n"/>
      <c r="Y78" s="13">
        <f>IF(A78="","",COUNTA(A78,B78,C78,F78,H78,T78,U78,X78)/8)</f>
        <v/>
      </c>
      <c r="Z78" s="3" t="n"/>
    </row>
    <row r="79">
      <c r="A79" s="10" t="n"/>
      <c r="B79" s="10" t="n"/>
      <c r="C79" s="10" t="n"/>
      <c r="D79" s="11" t="n"/>
      <c r="E79" s="3" t="n"/>
      <c r="F79" s="10" t="n"/>
      <c r="G79" s="3" t="n"/>
      <c r="H79" s="12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3">
        <f>IF(A79="","",SUM(I79,K79,M79,O79,Q79))</f>
        <v/>
      </c>
      <c r="T79" s="10" t="n"/>
      <c r="U79" s="10" t="n"/>
      <c r="V79" s="3" t="n"/>
      <c r="W79" s="3" t="n"/>
      <c r="X79" s="10" t="n"/>
      <c r="Y79" s="13">
        <f>IF(A79="","",COUNTA(A79,B79,C79,F79,H79,T79,U79,X79)/8)</f>
        <v/>
      </c>
      <c r="Z79" s="3" t="n"/>
    </row>
    <row r="80">
      <c r="A80" s="10" t="n"/>
      <c r="B80" s="10" t="n"/>
      <c r="C80" s="10" t="n"/>
      <c r="D80" s="11" t="n"/>
      <c r="E80" s="3" t="n"/>
      <c r="F80" s="10" t="n"/>
      <c r="G80" s="3" t="n"/>
      <c r="H80" s="12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3">
        <f>IF(A80="","",SUM(I80,K80,M80,O80,Q80))</f>
        <v/>
      </c>
      <c r="T80" s="10" t="n"/>
      <c r="U80" s="10" t="n"/>
      <c r="V80" s="3" t="n"/>
      <c r="W80" s="3" t="n"/>
      <c r="X80" s="10" t="n"/>
      <c r="Y80" s="13">
        <f>IF(A80="","",COUNTA(A80,B80,C80,F80,H80,T80,U80,X80)/8)</f>
        <v/>
      </c>
      <c r="Z80" s="3" t="n"/>
    </row>
    <row r="81">
      <c r="A81" s="10" t="n"/>
      <c r="B81" s="10" t="n"/>
      <c r="C81" s="10" t="n"/>
      <c r="D81" s="11" t="n"/>
      <c r="E81" s="3" t="n"/>
      <c r="F81" s="10" t="n"/>
      <c r="G81" s="3" t="n"/>
      <c r="H81" s="12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3">
        <f>IF(A81="","",SUM(I81,K81,M81,O81,Q81))</f>
        <v/>
      </c>
      <c r="T81" s="10" t="n"/>
      <c r="U81" s="10" t="n"/>
      <c r="V81" s="3" t="n"/>
      <c r="W81" s="3" t="n"/>
      <c r="X81" s="10" t="n"/>
      <c r="Y81" s="13">
        <f>IF(A81="","",COUNTA(A81,B81,C81,F81,H81,T81,U81,X81)/8)</f>
        <v/>
      </c>
      <c r="Z81" s="3" t="n"/>
    </row>
    <row r="82">
      <c r="A82" s="10" t="n"/>
      <c r="B82" s="10" t="n"/>
      <c r="C82" s="10" t="n"/>
      <c r="D82" s="11" t="n"/>
      <c r="E82" s="3" t="n"/>
      <c r="F82" s="10" t="n"/>
      <c r="G82" s="3" t="n"/>
      <c r="H82" s="12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3">
        <f>IF(A82="","",SUM(I82,K82,M82,O82,Q82))</f>
        <v/>
      </c>
      <c r="T82" s="10" t="n"/>
      <c r="U82" s="10" t="n"/>
      <c r="V82" s="3" t="n"/>
      <c r="W82" s="3" t="n"/>
      <c r="X82" s="10" t="n"/>
      <c r="Y82" s="13">
        <f>IF(A82="","",COUNTA(A82,B82,C82,F82,H82,T82,U82,X82)/8)</f>
        <v/>
      </c>
      <c r="Z82" s="3" t="n"/>
    </row>
    <row r="83">
      <c r="A83" s="10" t="n"/>
      <c r="B83" s="10" t="n"/>
      <c r="C83" s="10" t="n"/>
      <c r="D83" s="11" t="n"/>
      <c r="E83" s="3" t="n"/>
      <c r="F83" s="10" t="n"/>
      <c r="G83" s="3" t="n"/>
      <c r="H83" s="12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3">
        <f>IF(A83="","",SUM(I83,K83,M83,O83,Q83))</f>
        <v/>
      </c>
      <c r="T83" s="10" t="n"/>
      <c r="U83" s="10" t="n"/>
      <c r="V83" s="3" t="n"/>
      <c r="W83" s="3" t="n"/>
      <c r="X83" s="10" t="n"/>
      <c r="Y83" s="13">
        <f>IF(A83="","",COUNTA(A83,B83,C83,F83,H83,T83,U83,X83)/8)</f>
        <v/>
      </c>
      <c r="Z83" s="3" t="n"/>
    </row>
    <row r="84">
      <c r="A84" s="10" t="n"/>
      <c r="B84" s="10" t="n"/>
      <c r="C84" s="10" t="n"/>
      <c r="D84" s="11" t="n"/>
      <c r="E84" s="3" t="n"/>
      <c r="F84" s="10" t="n"/>
      <c r="G84" s="3" t="n"/>
      <c r="H84" s="12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3">
        <f>IF(A84="","",SUM(I84,K84,M84,O84,Q84))</f>
        <v/>
      </c>
      <c r="T84" s="10" t="n"/>
      <c r="U84" s="10" t="n"/>
      <c r="V84" s="3" t="n"/>
      <c r="W84" s="3" t="n"/>
      <c r="X84" s="10" t="n"/>
      <c r="Y84" s="13">
        <f>IF(A84="","",COUNTA(A84,B84,C84,F84,H84,T84,U84,X84)/8)</f>
        <v/>
      </c>
      <c r="Z84" s="3" t="n"/>
    </row>
    <row r="85">
      <c r="A85" s="10" t="n"/>
      <c r="B85" s="10" t="n"/>
      <c r="C85" s="10" t="n"/>
      <c r="D85" s="11" t="n"/>
      <c r="E85" s="3" t="n"/>
      <c r="F85" s="10" t="n"/>
      <c r="G85" s="3" t="n"/>
      <c r="H85" s="12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3">
        <f>IF(A85="","",SUM(I85,K85,M85,O85,Q85))</f>
        <v/>
      </c>
      <c r="T85" s="10" t="n"/>
      <c r="U85" s="10" t="n"/>
      <c r="V85" s="3" t="n"/>
      <c r="W85" s="3" t="n"/>
      <c r="X85" s="10" t="n"/>
      <c r="Y85" s="13">
        <f>IF(A85="","",COUNTA(A85,B85,C85,F85,H85,T85,U85,X85)/8)</f>
        <v/>
      </c>
      <c r="Z85" s="3" t="n"/>
    </row>
    <row r="86">
      <c r="A86" s="10" t="n"/>
      <c r="B86" s="10" t="n"/>
      <c r="C86" s="10" t="n"/>
      <c r="D86" s="11" t="n"/>
      <c r="E86" s="3" t="n"/>
      <c r="F86" s="10" t="n"/>
      <c r="G86" s="3" t="n"/>
      <c r="H86" s="12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3">
        <f>IF(A86="","",SUM(I86,K86,M86,O86,Q86))</f>
        <v/>
      </c>
      <c r="T86" s="10" t="n"/>
      <c r="U86" s="10" t="n"/>
      <c r="V86" s="3" t="n"/>
      <c r="W86" s="3" t="n"/>
      <c r="X86" s="10" t="n"/>
      <c r="Y86" s="13">
        <f>IF(A86="","",COUNTA(A86,B86,C86,F86,H86,T86,U86,X86)/8)</f>
        <v/>
      </c>
      <c r="Z86" s="3" t="n"/>
    </row>
    <row r="87">
      <c r="A87" s="10" t="n"/>
      <c r="B87" s="10" t="n"/>
      <c r="C87" s="10" t="n"/>
      <c r="D87" s="11" t="n"/>
      <c r="E87" s="3" t="n"/>
      <c r="F87" s="10" t="n"/>
      <c r="G87" s="3" t="n"/>
      <c r="H87" s="12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3">
        <f>IF(A87="","",SUM(I87,K87,M87,O87,Q87))</f>
        <v/>
      </c>
      <c r="T87" s="10" t="n"/>
      <c r="U87" s="10" t="n"/>
      <c r="V87" s="3" t="n"/>
      <c r="W87" s="3" t="n"/>
      <c r="X87" s="10" t="n"/>
      <c r="Y87" s="13">
        <f>IF(A87="","",COUNTA(A87,B87,C87,F87,H87,T87,U87,X87)/8)</f>
        <v/>
      </c>
      <c r="Z87" s="3" t="n"/>
    </row>
    <row r="88">
      <c r="A88" s="10" t="n"/>
      <c r="B88" s="10" t="n"/>
      <c r="C88" s="10" t="n"/>
      <c r="D88" s="11" t="n"/>
      <c r="E88" s="3" t="n"/>
      <c r="F88" s="10" t="n"/>
      <c r="G88" s="3" t="n"/>
      <c r="H88" s="12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3">
        <f>IF(A88="","",SUM(I88,K88,M88,O88,Q88))</f>
        <v/>
      </c>
      <c r="T88" s="10" t="n"/>
      <c r="U88" s="10" t="n"/>
      <c r="V88" s="3" t="n"/>
      <c r="W88" s="3" t="n"/>
      <c r="X88" s="10" t="n"/>
      <c r="Y88" s="13">
        <f>IF(A88="","",COUNTA(A88,B88,C88,F88,H88,T88,U88,X88)/8)</f>
        <v/>
      </c>
      <c r="Z88" s="3" t="n"/>
    </row>
    <row r="89">
      <c r="A89" s="10" t="n"/>
      <c r="B89" s="10" t="n"/>
      <c r="C89" s="10" t="n"/>
      <c r="D89" s="11" t="n"/>
      <c r="E89" s="3" t="n"/>
      <c r="F89" s="10" t="n"/>
      <c r="G89" s="3" t="n"/>
      <c r="H89" s="12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3">
        <f>IF(A89="","",SUM(I89,K89,M89,O89,Q89))</f>
        <v/>
      </c>
      <c r="T89" s="10" t="n"/>
      <c r="U89" s="10" t="n"/>
      <c r="V89" s="3" t="n"/>
      <c r="W89" s="3" t="n"/>
      <c r="X89" s="10" t="n"/>
      <c r="Y89" s="13">
        <f>IF(A89="","",COUNTA(A89,B89,C89,F89,H89,T89,U89,X89)/8)</f>
        <v/>
      </c>
      <c r="Z89" s="3" t="n"/>
    </row>
    <row r="90">
      <c r="A90" s="10" t="n"/>
      <c r="B90" s="10" t="n"/>
      <c r="C90" s="10" t="n"/>
      <c r="D90" s="11" t="n"/>
      <c r="E90" s="3" t="n"/>
      <c r="F90" s="10" t="n"/>
      <c r="G90" s="3" t="n"/>
      <c r="H90" s="12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3">
        <f>IF(A90="","",SUM(I90,K90,M90,O90,Q90))</f>
        <v/>
      </c>
      <c r="T90" s="10" t="n"/>
      <c r="U90" s="10" t="n"/>
      <c r="V90" s="3" t="n"/>
      <c r="W90" s="3" t="n"/>
      <c r="X90" s="10" t="n"/>
      <c r="Y90" s="13">
        <f>IF(A90="","",COUNTA(A90,B90,C90,F90,H90,T90,U90,X90)/8)</f>
        <v/>
      </c>
      <c r="Z90" s="3" t="n"/>
    </row>
    <row r="91">
      <c r="A91" s="10" t="n"/>
      <c r="B91" s="10" t="n"/>
      <c r="C91" s="10" t="n"/>
      <c r="D91" s="11" t="n"/>
      <c r="E91" s="3" t="n"/>
      <c r="F91" s="10" t="n"/>
      <c r="G91" s="3" t="n"/>
      <c r="H91" s="12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3">
        <f>IF(A91="","",SUM(I91,K91,M91,O91,Q91))</f>
        <v/>
      </c>
      <c r="T91" s="10" t="n"/>
      <c r="U91" s="10" t="n"/>
      <c r="V91" s="3" t="n"/>
      <c r="W91" s="3" t="n"/>
      <c r="X91" s="10" t="n"/>
      <c r="Y91" s="13">
        <f>IF(A91="","",COUNTA(A91,B91,C91,F91,H91,T91,U91,X91)/8)</f>
        <v/>
      </c>
      <c r="Z91" s="3" t="n"/>
    </row>
    <row r="92">
      <c r="A92" s="10" t="n"/>
      <c r="B92" s="10" t="n"/>
      <c r="C92" s="10" t="n"/>
      <c r="D92" s="11" t="n"/>
      <c r="E92" s="3" t="n"/>
      <c r="F92" s="10" t="n"/>
      <c r="G92" s="3" t="n"/>
      <c r="H92" s="12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3">
        <f>IF(A92="","",SUM(I92,K92,M92,O92,Q92))</f>
        <v/>
      </c>
      <c r="T92" s="10" t="n"/>
      <c r="U92" s="10" t="n"/>
      <c r="V92" s="3" t="n"/>
      <c r="W92" s="3" t="n"/>
      <c r="X92" s="10" t="n"/>
      <c r="Y92" s="13">
        <f>IF(A92="","",COUNTA(A92,B92,C92,F92,H92,T92,U92,X92)/8)</f>
        <v/>
      </c>
      <c r="Z92" s="3" t="n"/>
    </row>
    <row r="93">
      <c r="A93" s="10" t="n"/>
      <c r="B93" s="10" t="n"/>
      <c r="C93" s="10" t="n"/>
      <c r="D93" s="11" t="n"/>
      <c r="E93" s="3" t="n"/>
      <c r="F93" s="10" t="n"/>
      <c r="G93" s="3" t="n"/>
      <c r="H93" s="12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3">
        <f>IF(A93="","",SUM(I93,K93,M93,O93,Q93))</f>
        <v/>
      </c>
      <c r="T93" s="10" t="n"/>
      <c r="U93" s="10" t="n"/>
      <c r="V93" s="3" t="n"/>
      <c r="W93" s="3" t="n"/>
      <c r="X93" s="10" t="n"/>
      <c r="Y93" s="13">
        <f>IF(A93="","",COUNTA(A93,B93,C93,F93,H93,T93,U93,X93)/8)</f>
        <v/>
      </c>
      <c r="Z93" s="3" t="n"/>
    </row>
    <row r="94">
      <c r="A94" s="10" t="n"/>
      <c r="B94" s="10" t="n"/>
      <c r="C94" s="10" t="n"/>
      <c r="D94" s="11" t="n"/>
      <c r="E94" s="3" t="n"/>
      <c r="F94" s="10" t="n"/>
      <c r="G94" s="3" t="n"/>
      <c r="H94" s="12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3">
        <f>IF(A94="","",SUM(I94,K94,M94,O94,Q94))</f>
        <v/>
      </c>
      <c r="T94" s="10" t="n"/>
      <c r="U94" s="10" t="n"/>
      <c r="V94" s="3" t="n"/>
      <c r="W94" s="3" t="n"/>
      <c r="X94" s="10" t="n"/>
      <c r="Y94" s="13">
        <f>IF(A94="","",COUNTA(A94,B94,C94,F94,H94,T94,U94,X94)/8)</f>
        <v/>
      </c>
      <c r="Z94" s="3" t="n"/>
    </row>
    <row r="95">
      <c r="A95" s="10" t="n"/>
      <c r="B95" s="10" t="n"/>
      <c r="C95" s="10" t="n"/>
      <c r="D95" s="11" t="n"/>
      <c r="E95" s="3" t="n"/>
      <c r="F95" s="10" t="n"/>
      <c r="G95" s="3" t="n"/>
      <c r="H95" s="12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3">
        <f>IF(A95="","",SUM(I95,K95,M95,O95,Q95))</f>
        <v/>
      </c>
      <c r="T95" s="10" t="n"/>
      <c r="U95" s="10" t="n"/>
      <c r="V95" s="3" t="n"/>
      <c r="W95" s="3" t="n"/>
      <c r="X95" s="10" t="n"/>
      <c r="Y95" s="13">
        <f>IF(A95="","",COUNTA(A95,B95,C95,F95,H95,T95,U95,X95)/8)</f>
        <v/>
      </c>
      <c r="Z95" s="3" t="n"/>
    </row>
    <row r="96">
      <c r="A96" s="10" t="n"/>
      <c r="B96" s="10" t="n"/>
      <c r="C96" s="10" t="n"/>
      <c r="D96" s="11" t="n"/>
      <c r="E96" s="3" t="n"/>
      <c r="F96" s="10" t="n"/>
      <c r="G96" s="3" t="n"/>
      <c r="H96" s="12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3">
        <f>IF(A96="","",SUM(I96,K96,M96,O96,Q96))</f>
        <v/>
      </c>
      <c r="T96" s="10" t="n"/>
      <c r="U96" s="10" t="n"/>
      <c r="V96" s="3" t="n"/>
      <c r="W96" s="3" t="n"/>
      <c r="X96" s="10" t="n"/>
      <c r="Y96" s="13">
        <f>IF(A96="","",COUNTA(A96,B96,C96,F96,H96,T96,U96,X96)/8)</f>
        <v/>
      </c>
      <c r="Z96" s="3" t="n"/>
    </row>
    <row r="97">
      <c r="A97" s="10" t="n"/>
      <c r="B97" s="10" t="n"/>
      <c r="C97" s="10" t="n"/>
      <c r="D97" s="11" t="n"/>
      <c r="E97" s="3" t="n"/>
      <c r="F97" s="10" t="n"/>
      <c r="G97" s="3" t="n"/>
      <c r="H97" s="12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3">
        <f>IF(A97="","",SUM(I97,K97,M97,O97,Q97))</f>
        <v/>
      </c>
      <c r="T97" s="10" t="n"/>
      <c r="U97" s="10" t="n"/>
      <c r="V97" s="3" t="n"/>
      <c r="W97" s="3" t="n"/>
      <c r="X97" s="10" t="n"/>
      <c r="Y97" s="13">
        <f>IF(A97="","",COUNTA(A97,B97,C97,F97,H97,T97,U97,X97)/8)</f>
        <v/>
      </c>
      <c r="Z97" s="3" t="n"/>
    </row>
    <row r="98">
      <c r="A98" s="10" t="n"/>
      <c r="B98" s="10" t="n"/>
      <c r="C98" s="10" t="n"/>
      <c r="D98" s="11" t="n"/>
      <c r="E98" s="3" t="n"/>
      <c r="F98" s="10" t="n"/>
      <c r="G98" s="3" t="n"/>
      <c r="H98" s="12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3">
        <f>IF(A98="","",SUM(I98,K98,M98,O98,Q98))</f>
        <v/>
      </c>
      <c r="T98" s="10" t="n"/>
      <c r="U98" s="10" t="n"/>
      <c r="V98" s="3" t="n"/>
      <c r="W98" s="3" t="n"/>
      <c r="X98" s="10" t="n"/>
      <c r="Y98" s="13">
        <f>IF(A98="","",COUNTA(A98,B98,C98,F98,H98,T98,U98,X98)/8)</f>
        <v/>
      </c>
      <c r="Z98" s="3" t="n"/>
    </row>
    <row r="99">
      <c r="A99" s="10" t="n"/>
      <c r="B99" s="10" t="n"/>
      <c r="C99" s="10" t="n"/>
      <c r="D99" s="11" t="n"/>
      <c r="E99" s="3" t="n"/>
      <c r="F99" s="10" t="n"/>
      <c r="G99" s="3" t="n"/>
      <c r="H99" s="12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3">
        <f>IF(A99="","",SUM(I99,K99,M99,O99,Q99))</f>
        <v/>
      </c>
      <c r="T99" s="10" t="n"/>
      <c r="U99" s="10" t="n"/>
      <c r="V99" s="3" t="n"/>
      <c r="W99" s="3" t="n"/>
      <c r="X99" s="10" t="n"/>
      <c r="Y99" s="13">
        <f>IF(A99="","",COUNTA(A99,B99,C99,F99,H99,T99,U99,X99)/8)</f>
        <v/>
      </c>
      <c r="Z99" s="3" t="n"/>
    </row>
    <row r="100">
      <c r="A100" s="10" t="n"/>
      <c r="B100" s="10" t="n"/>
      <c r="C100" s="10" t="n"/>
      <c r="D100" s="11" t="n"/>
      <c r="E100" s="3" t="n"/>
      <c r="F100" s="10" t="n"/>
      <c r="G100" s="3" t="n"/>
      <c r="H100" s="12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3">
        <f>IF(A100="","",SUM(I100,K100,M100,O100,Q100))</f>
        <v/>
      </c>
      <c r="T100" s="10" t="n"/>
      <c r="U100" s="10" t="n"/>
      <c r="V100" s="3" t="n"/>
      <c r="W100" s="3" t="n"/>
      <c r="X100" s="10" t="n"/>
      <c r="Y100" s="13">
        <f>IF(A100="","",COUNTA(A100,B100,C100,F100,H100,T100,U100,X100)/8)</f>
        <v/>
      </c>
      <c r="Z100" s="3" t="n"/>
    </row>
    <row r="101">
      <c r="A101" s="10" t="n"/>
      <c r="B101" s="10" t="n"/>
      <c r="C101" s="10" t="n"/>
      <c r="D101" s="11" t="n"/>
      <c r="E101" s="3" t="n"/>
      <c r="F101" s="10" t="n"/>
      <c r="G101" s="3" t="n"/>
      <c r="H101" s="12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3">
        <f>IF(A101="","",SUM(I101,K101,M101,O101,Q101))</f>
        <v/>
      </c>
      <c r="T101" s="10" t="n"/>
      <c r="U101" s="10" t="n"/>
      <c r="V101" s="3" t="n"/>
      <c r="W101" s="3" t="n"/>
      <c r="X101" s="10" t="n"/>
      <c r="Y101" s="13">
        <f>IF(A101="","",COUNTA(A101,B101,C101,F101,H101,T101,U101,X101)/8)</f>
        <v/>
      </c>
      <c r="Z101" s="3" t="n"/>
    </row>
    <row r="102">
      <c r="A102" s="10" t="n"/>
      <c r="B102" s="10" t="n"/>
      <c r="C102" s="10" t="n"/>
      <c r="D102" s="11" t="n"/>
      <c r="E102" s="3" t="n"/>
      <c r="F102" s="10" t="n"/>
      <c r="G102" s="3" t="n"/>
      <c r="H102" s="12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3">
        <f>IF(A102="","",SUM(I102,K102,M102,O102,Q102))</f>
        <v/>
      </c>
      <c r="T102" s="10" t="n"/>
      <c r="U102" s="10" t="n"/>
      <c r="V102" s="3" t="n"/>
      <c r="W102" s="3" t="n"/>
      <c r="X102" s="10" t="n"/>
      <c r="Y102" s="13">
        <f>IF(A102="","",COUNTA(A102,B102,C102,F102,H102,T102,U102,X102)/8)</f>
        <v/>
      </c>
      <c r="Z102" s="3" t="n"/>
    </row>
    <row r="103">
      <c r="A103" s="10" t="n"/>
      <c r="B103" s="10" t="n"/>
      <c r="C103" s="10" t="n"/>
      <c r="D103" s="11" t="n"/>
      <c r="E103" s="3" t="n"/>
      <c r="F103" s="10" t="n"/>
      <c r="G103" s="3" t="n"/>
      <c r="H103" s="12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3">
        <f>IF(A103="","",SUM(I103,K103,M103,O103,Q103))</f>
        <v/>
      </c>
      <c r="T103" s="10" t="n"/>
      <c r="U103" s="10" t="n"/>
      <c r="V103" s="3" t="n"/>
      <c r="W103" s="3" t="n"/>
      <c r="X103" s="10" t="n"/>
      <c r="Y103" s="13">
        <f>IF(A103="","",COUNTA(A103,B103,C103,F103,H103,T103,U103,X103)/8)</f>
        <v/>
      </c>
      <c r="Z103" s="3" t="n"/>
    </row>
    <row r="104">
      <c r="A104" s="10" t="n"/>
      <c r="B104" s="10" t="n"/>
      <c r="C104" s="10" t="n"/>
      <c r="D104" s="11" t="n"/>
      <c r="E104" s="3" t="n"/>
      <c r="F104" s="10" t="n"/>
      <c r="G104" s="3" t="n"/>
      <c r="H104" s="12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3">
        <f>IF(A104="","",SUM(I104,K104,M104,O104,Q104))</f>
        <v/>
      </c>
      <c r="T104" s="10" t="n"/>
      <c r="U104" s="10" t="n"/>
      <c r="V104" s="3" t="n"/>
      <c r="W104" s="3" t="n"/>
      <c r="X104" s="10" t="n"/>
      <c r="Y104" s="13">
        <f>IF(A104="","",COUNTA(A104,B104,C104,F104,H104,T104,U104,X104)/8)</f>
        <v/>
      </c>
      <c r="Z104" s="3" t="n"/>
    </row>
    <row r="105">
      <c r="A105" s="10" t="n"/>
      <c r="B105" s="10" t="n"/>
      <c r="C105" s="10" t="n"/>
      <c r="D105" s="11" t="n"/>
      <c r="E105" s="3" t="n"/>
      <c r="F105" s="10" t="n"/>
      <c r="G105" s="3" t="n"/>
      <c r="H105" s="12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3">
        <f>IF(A105="","",SUM(I105,K105,M105,O105,Q105))</f>
        <v/>
      </c>
      <c r="T105" s="10" t="n"/>
      <c r="U105" s="10" t="n"/>
      <c r="V105" s="3" t="n"/>
      <c r="W105" s="3" t="n"/>
      <c r="X105" s="10" t="n"/>
      <c r="Y105" s="13">
        <f>IF(A105="","",COUNTA(A105,B105,C105,F105,H105,T105,U105,X105)/8)</f>
        <v/>
      </c>
      <c r="Z105" s="3" t="n"/>
    </row>
    <row r="106">
      <c r="A106" s="10" t="n"/>
      <c r="B106" s="10" t="n"/>
      <c r="C106" s="10" t="n"/>
      <c r="D106" s="11" t="n"/>
      <c r="E106" s="3" t="n"/>
      <c r="F106" s="10" t="n"/>
      <c r="G106" s="3" t="n"/>
      <c r="H106" s="12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3">
        <f>IF(A106="","",SUM(I106,K106,M106,O106,Q106))</f>
        <v/>
      </c>
      <c r="T106" s="10" t="n"/>
      <c r="U106" s="10" t="n"/>
      <c r="V106" s="3" t="n"/>
      <c r="W106" s="3" t="n"/>
      <c r="X106" s="10" t="n"/>
      <c r="Y106" s="13">
        <f>IF(A106="","",COUNTA(A106,B106,C106,F106,H106,T106,U106,X106)/8)</f>
        <v/>
      </c>
      <c r="Z106" s="3" t="n"/>
    </row>
    <row r="107">
      <c r="A107" s="10" t="n"/>
      <c r="B107" s="10" t="n"/>
      <c r="C107" s="10" t="n"/>
      <c r="D107" s="11" t="n"/>
      <c r="E107" s="3" t="n"/>
      <c r="F107" s="10" t="n"/>
      <c r="G107" s="3" t="n"/>
      <c r="H107" s="12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3">
        <f>IF(A107="","",SUM(I107,K107,M107,O107,Q107))</f>
        <v/>
      </c>
      <c r="T107" s="10" t="n"/>
      <c r="U107" s="10" t="n"/>
      <c r="V107" s="3" t="n"/>
      <c r="W107" s="3" t="n"/>
      <c r="X107" s="10" t="n"/>
      <c r="Y107" s="13">
        <f>IF(A107="","",COUNTA(A107,B107,C107,F107,H107,T107,U107,X107)/8)</f>
        <v/>
      </c>
      <c r="Z107" s="3" t="n"/>
    </row>
    <row r="108">
      <c r="A108" s="10" t="n"/>
      <c r="B108" s="10" t="n"/>
      <c r="C108" s="10" t="n"/>
      <c r="D108" s="11" t="n"/>
      <c r="E108" s="3" t="n"/>
      <c r="F108" s="10" t="n"/>
      <c r="G108" s="3" t="n"/>
      <c r="H108" s="12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3">
        <f>IF(A108="","",SUM(I108,K108,M108,O108,Q108))</f>
        <v/>
      </c>
      <c r="T108" s="10" t="n"/>
      <c r="U108" s="10" t="n"/>
      <c r="V108" s="3" t="n"/>
      <c r="W108" s="3" t="n"/>
      <c r="X108" s="10" t="n"/>
      <c r="Y108" s="13">
        <f>IF(A108="","",COUNTA(A108,B108,C108,F108,H108,T108,U108,X108)/8)</f>
        <v/>
      </c>
      <c r="Z108" s="3" t="n"/>
    </row>
    <row r="109">
      <c r="A109" s="10" t="n"/>
      <c r="B109" s="10" t="n"/>
      <c r="C109" s="10" t="n"/>
      <c r="D109" s="11" t="n"/>
      <c r="E109" s="3" t="n"/>
      <c r="F109" s="10" t="n"/>
      <c r="G109" s="3" t="n"/>
      <c r="H109" s="12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3">
        <f>IF(A109="","",SUM(I109,K109,M109,O109,Q109))</f>
        <v/>
      </c>
      <c r="T109" s="10" t="n"/>
      <c r="U109" s="10" t="n"/>
      <c r="V109" s="3" t="n"/>
      <c r="W109" s="3" t="n"/>
      <c r="X109" s="10" t="n"/>
      <c r="Y109" s="13">
        <f>IF(A109="","",COUNTA(A109,B109,C109,F109,H109,T109,U109,X109)/8)</f>
        <v/>
      </c>
      <c r="Z109" s="3" t="n"/>
    </row>
    <row r="110">
      <c r="A110" s="10" t="n"/>
      <c r="B110" s="10" t="n"/>
      <c r="C110" s="10" t="n"/>
      <c r="D110" s="11" t="n"/>
      <c r="E110" s="3" t="n"/>
      <c r="F110" s="10" t="n"/>
      <c r="G110" s="3" t="n"/>
      <c r="H110" s="12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3">
        <f>IF(A110="","",SUM(I110,K110,M110,O110,Q110))</f>
        <v/>
      </c>
      <c r="T110" s="10" t="n"/>
      <c r="U110" s="10" t="n"/>
      <c r="V110" s="3" t="n"/>
      <c r="W110" s="3" t="n"/>
      <c r="X110" s="10" t="n"/>
      <c r="Y110" s="13">
        <f>IF(A110="","",COUNTA(A110,B110,C110,F110,H110,T110,U110,X110)/8)</f>
        <v/>
      </c>
      <c r="Z110" s="3" t="n"/>
    </row>
    <row r="111">
      <c r="A111" s="10" t="n"/>
      <c r="B111" s="10" t="n"/>
      <c r="C111" s="10" t="n"/>
      <c r="D111" s="11" t="n"/>
      <c r="E111" s="3" t="n"/>
      <c r="F111" s="10" t="n"/>
      <c r="G111" s="3" t="n"/>
      <c r="H111" s="12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3">
        <f>IF(A111="","",SUM(I111,K111,M111,O111,Q111))</f>
        <v/>
      </c>
      <c r="T111" s="10" t="n"/>
      <c r="U111" s="10" t="n"/>
      <c r="V111" s="3" t="n"/>
      <c r="W111" s="3" t="n"/>
      <c r="X111" s="10" t="n"/>
      <c r="Y111" s="13">
        <f>IF(A111="","",COUNTA(A111,B111,C111,F111,H111,T111,U111,X111)/8)</f>
        <v/>
      </c>
      <c r="Z111" s="3" t="n"/>
    </row>
    <row r="112">
      <c r="A112" s="10" t="n"/>
      <c r="B112" s="10" t="n"/>
      <c r="C112" s="10" t="n"/>
      <c r="D112" s="11" t="n"/>
      <c r="E112" s="3" t="n"/>
      <c r="F112" s="10" t="n"/>
      <c r="G112" s="3" t="n"/>
      <c r="H112" s="12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3">
        <f>IF(A112="","",SUM(I112,K112,M112,O112,Q112))</f>
        <v/>
      </c>
      <c r="T112" s="10" t="n"/>
      <c r="U112" s="10" t="n"/>
      <c r="V112" s="3" t="n"/>
      <c r="W112" s="3" t="n"/>
      <c r="X112" s="10" t="n"/>
      <c r="Y112" s="13">
        <f>IF(A112="","",COUNTA(A112,B112,C112,F112,H112,T112,U112,X112)/8)</f>
        <v/>
      </c>
      <c r="Z112" s="3" t="n"/>
    </row>
    <row r="113">
      <c r="A113" s="10" t="n"/>
      <c r="B113" s="10" t="n"/>
      <c r="C113" s="10" t="n"/>
      <c r="D113" s="11" t="n"/>
      <c r="E113" s="3" t="n"/>
      <c r="F113" s="10" t="n"/>
      <c r="G113" s="3" t="n"/>
      <c r="H113" s="12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3">
        <f>IF(A113="","",SUM(I113,K113,M113,O113,Q113))</f>
        <v/>
      </c>
      <c r="T113" s="10" t="n"/>
      <c r="U113" s="10" t="n"/>
      <c r="V113" s="3" t="n"/>
      <c r="W113" s="3" t="n"/>
      <c r="X113" s="10" t="n"/>
      <c r="Y113" s="13">
        <f>IF(A113="","",COUNTA(A113,B113,C113,F113,H113,T113,U113,X113)/8)</f>
        <v/>
      </c>
      <c r="Z113" s="3" t="n"/>
    </row>
    <row r="114">
      <c r="A114" s="10" t="n"/>
      <c r="B114" s="10" t="n"/>
      <c r="C114" s="10" t="n"/>
      <c r="D114" s="11" t="n"/>
      <c r="E114" s="3" t="n"/>
      <c r="F114" s="10" t="n"/>
      <c r="G114" s="3" t="n"/>
      <c r="H114" s="12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3">
        <f>IF(A114="","",SUM(I114,K114,M114,O114,Q114))</f>
        <v/>
      </c>
      <c r="T114" s="10" t="n"/>
      <c r="U114" s="10" t="n"/>
      <c r="V114" s="3" t="n"/>
      <c r="W114" s="3" t="n"/>
      <c r="X114" s="10" t="n"/>
      <c r="Y114" s="13">
        <f>IF(A114="","",COUNTA(A114,B114,C114,F114,H114,T114,U114,X114)/8)</f>
        <v/>
      </c>
      <c r="Z114" s="3" t="n"/>
    </row>
    <row r="115">
      <c r="A115" s="10" t="n"/>
      <c r="B115" s="10" t="n"/>
      <c r="C115" s="10" t="n"/>
      <c r="D115" s="11" t="n"/>
      <c r="E115" s="3" t="n"/>
      <c r="F115" s="10" t="n"/>
      <c r="G115" s="3" t="n"/>
      <c r="H115" s="12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3">
        <f>IF(A115="","",SUM(I115,K115,M115,O115,Q115))</f>
        <v/>
      </c>
      <c r="T115" s="10" t="n"/>
      <c r="U115" s="10" t="n"/>
      <c r="V115" s="3" t="n"/>
      <c r="W115" s="3" t="n"/>
      <c r="X115" s="10" t="n"/>
      <c r="Y115" s="13">
        <f>IF(A115="","",COUNTA(A115,B115,C115,F115,H115,T115,U115,X115)/8)</f>
        <v/>
      </c>
      <c r="Z115" s="3" t="n"/>
    </row>
    <row r="116">
      <c r="A116" s="10" t="n"/>
      <c r="B116" s="10" t="n"/>
      <c r="C116" s="10" t="n"/>
      <c r="D116" s="11" t="n"/>
      <c r="E116" s="3" t="n"/>
      <c r="F116" s="10" t="n"/>
      <c r="G116" s="3" t="n"/>
      <c r="H116" s="12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3">
        <f>IF(A116="","",SUM(I116,K116,M116,O116,Q116))</f>
        <v/>
      </c>
      <c r="T116" s="10" t="n"/>
      <c r="U116" s="10" t="n"/>
      <c r="V116" s="3" t="n"/>
      <c r="W116" s="3" t="n"/>
      <c r="X116" s="10" t="n"/>
      <c r="Y116" s="13">
        <f>IF(A116="","",COUNTA(A116,B116,C116,F116,H116,T116,U116,X116)/8)</f>
        <v/>
      </c>
      <c r="Z116" s="3" t="n"/>
    </row>
    <row r="117">
      <c r="A117" s="10" t="n"/>
      <c r="B117" s="10" t="n"/>
      <c r="C117" s="10" t="n"/>
      <c r="D117" s="11" t="n"/>
      <c r="E117" s="3" t="n"/>
      <c r="F117" s="10" t="n"/>
      <c r="G117" s="3" t="n"/>
      <c r="H117" s="12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3">
        <f>IF(A117="","",SUM(I117,K117,M117,O117,Q117))</f>
        <v/>
      </c>
      <c r="T117" s="10" t="n"/>
      <c r="U117" s="10" t="n"/>
      <c r="V117" s="3" t="n"/>
      <c r="W117" s="3" t="n"/>
      <c r="X117" s="10" t="n"/>
      <c r="Y117" s="13">
        <f>IF(A117="","",COUNTA(A117,B117,C117,F117,H117,T117,U117,X117)/8)</f>
        <v/>
      </c>
      <c r="Z117" s="3" t="n"/>
    </row>
    <row r="118">
      <c r="A118" s="10" t="n"/>
      <c r="B118" s="10" t="n"/>
      <c r="C118" s="10" t="n"/>
      <c r="D118" s="11" t="n"/>
      <c r="E118" s="3" t="n"/>
      <c r="F118" s="10" t="n"/>
      <c r="G118" s="3" t="n"/>
      <c r="H118" s="12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3">
        <f>IF(A118="","",SUM(I118,K118,M118,O118,Q118))</f>
        <v/>
      </c>
      <c r="T118" s="10" t="n"/>
      <c r="U118" s="10" t="n"/>
      <c r="V118" s="3" t="n"/>
      <c r="W118" s="3" t="n"/>
      <c r="X118" s="10" t="n"/>
      <c r="Y118" s="13">
        <f>IF(A118="","",COUNTA(A118,B118,C118,F118,H118,T118,U118,X118)/8)</f>
        <v/>
      </c>
      <c r="Z118" s="3" t="n"/>
    </row>
    <row r="119">
      <c r="A119" s="10" t="n"/>
      <c r="B119" s="10" t="n"/>
      <c r="C119" s="10" t="n"/>
      <c r="D119" s="11" t="n"/>
      <c r="E119" s="3" t="n"/>
      <c r="F119" s="10" t="n"/>
      <c r="G119" s="3" t="n"/>
      <c r="H119" s="12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3">
        <f>IF(A119="","",SUM(I119,K119,M119,O119,Q119))</f>
        <v/>
      </c>
      <c r="T119" s="10" t="n"/>
      <c r="U119" s="10" t="n"/>
      <c r="V119" s="3" t="n"/>
      <c r="W119" s="3" t="n"/>
      <c r="X119" s="10" t="n"/>
      <c r="Y119" s="13">
        <f>IF(A119="","",COUNTA(A119,B119,C119,F119,H119,T119,U119,X119)/8)</f>
        <v/>
      </c>
      <c r="Z119" s="3" t="n"/>
    </row>
    <row r="120">
      <c r="A120" s="10" t="n"/>
      <c r="B120" s="10" t="n"/>
      <c r="C120" s="10" t="n"/>
      <c r="D120" s="11" t="n"/>
      <c r="E120" s="3" t="n"/>
      <c r="F120" s="10" t="n"/>
      <c r="G120" s="3" t="n"/>
      <c r="H120" s="12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3">
        <f>IF(A120="","",SUM(I120,K120,M120,O120,Q120))</f>
        <v/>
      </c>
      <c r="T120" s="10" t="n"/>
      <c r="U120" s="10" t="n"/>
      <c r="V120" s="3" t="n"/>
      <c r="W120" s="3" t="n"/>
      <c r="X120" s="10" t="n"/>
      <c r="Y120" s="13">
        <f>IF(A120="","",COUNTA(A120,B120,C120,F120,H120,T120,U120,X120)/8)</f>
        <v/>
      </c>
      <c r="Z120" s="3" t="n"/>
    </row>
    <row r="121">
      <c r="A121" s="10" t="n"/>
      <c r="B121" s="10" t="n"/>
      <c r="C121" s="10" t="n"/>
      <c r="D121" s="11" t="n"/>
      <c r="E121" s="3" t="n"/>
      <c r="F121" s="10" t="n"/>
      <c r="G121" s="3" t="n"/>
      <c r="H121" s="12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3">
        <f>IF(A121="","",SUM(I121,K121,M121,O121,Q121))</f>
        <v/>
      </c>
      <c r="T121" s="10" t="n"/>
      <c r="U121" s="10" t="n"/>
      <c r="V121" s="3" t="n"/>
      <c r="W121" s="3" t="n"/>
      <c r="X121" s="10" t="n"/>
      <c r="Y121" s="13">
        <f>IF(A121="","",COUNTA(A121,B121,C121,F121,H121,T121,U121,X121)/8)</f>
        <v/>
      </c>
      <c r="Z121" s="3" t="n"/>
    </row>
    <row r="122">
      <c r="A122" s="10" t="n"/>
      <c r="B122" s="10" t="n"/>
      <c r="C122" s="10" t="n"/>
      <c r="D122" s="11" t="n"/>
      <c r="E122" s="3" t="n"/>
      <c r="F122" s="10" t="n"/>
      <c r="G122" s="3" t="n"/>
      <c r="H122" s="12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3">
        <f>IF(A122="","",SUM(I122,K122,M122,O122,Q122))</f>
        <v/>
      </c>
      <c r="T122" s="10" t="n"/>
      <c r="U122" s="10" t="n"/>
      <c r="V122" s="3" t="n"/>
      <c r="W122" s="3" t="n"/>
      <c r="X122" s="10" t="n"/>
      <c r="Y122" s="13">
        <f>IF(A122="","",COUNTA(A122,B122,C122,F122,H122,T122,U122,X122)/8)</f>
        <v/>
      </c>
      <c r="Z122" s="3" t="n"/>
    </row>
    <row r="123">
      <c r="A123" s="10" t="n"/>
      <c r="B123" s="10" t="n"/>
      <c r="C123" s="10" t="n"/>
      <c r="D123" s="11" t="n"/>
      <c r="E123" s="3" t="n"/>
      <c r="F123" s="10" t="n"/>
      <c r="G123" s="3" t="n"/>
      <c r="H123" s="12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3">
        <f>IF(A123="","",SUM(I123,K123,M123,O123,Q123))</f>
        <v/>
      </c>
      <c r="T123" s="10" t="n"/>
      <c r="U123" s="10" t="n"/>
      <c r="V123" s="3" t="n"/>
      <c r="W123" s="3" t="n"/>
      <c r="X123" s="10" t="n"/>
      <c r="Y123" s="13">
        <f>IF(A123="","",COUNTA(A123,B123,C123,F123,H123,T123,U123,X123)/8)</f>
        <v/>
      </c>
      <c r="Z123" s="3" t="n"/>
    </row>
    <row r="124">
      <c r="A124" s="10" t="n"/>
      <c r="B124" s="10" t="n"/>
      <c r="C124" s="10" t="n"/>
      <c r="D124" s="11" t="n"/>
      <c r="E124" s="3" t="n"/>
      <c r="F124" s="10" t="n"/>
      <c r="G124" s="3" t="n"/>
      <c r="H124" s="12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3">
        <f>IF(A124="","",SUM(I124,K124,M124,O124,Q124))</f>
        <v/>
      </c>
      <c r="T124" s="10" t="n"/>
      <c r="U124" s="10" t="n"/>
      <c r="V124" s="3" t="n"/>
      <c r="W124" s="3" t="n"/>
      <c r="X124" s="10" t="n"/>
      <c r="Y124" s="13">
        <f>IF(A124="","",COUNTA(A124,B124,C124,F124,H124,T124,U124,X124)/8)</f>
        <v/>
      </c>
      <c r="Z124" s="3" t="n"/>
    </row>
    <row r="125">
      <c r="A125" s="10" t="n"/>
      <c r="B125" s="10" t="n"/>
      <c r="C125" s="10" t="n"/>
      <c r="D125" s="11" t="n"/>
      <c r="E125" s="3" t="n"/>
      <c r="F125" s="10" t="n"/>
      <c r="G125" s="3" t="n"/>
      <c r="H125" s="12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3">
        <f>IF(A125="","",SUM(I125,K125,M125,O125,Q125))</f>
        <v/>
      </c>
      <c r="T125" s="10" t="n"/>
      <c r="U125" s="10" t="n"/>
      <c r="V125" s="3" t="n"/>
      <c r="W125" s="3" t="n"/>
      <c r="X125" s="10" t="n"/>
      <c r="Y125" s="13">
        <f>IF(A125="","",COUNTA(A125,B125,C125,F125,H125,T125,U125,X125)/8)</f>
        <v/>
      </c>
      <c r="Z125" s="3" t="n"/>
    </row>
    <row r="126">
      <c r="A126" s="10" t="n"/>
      <c r="B126" s="10" t="n"/>
      <c r="C126" s="10" t="n"/>
      <c r="D126" s="11" t="n"/>
      <c r="E126" s="3" t="n"/>
      <c r="F126" s="10" t="n"/>
      <c r="G126" s="3" t="n"/>
      <c r="H126" s="12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3">
        <f>IF(A126="","",SUM(I126,K126,M126,O126,Q126))</f>
        <v/>
      </c>
      <c r="T126" s="10" t="n"/>
      <c r="U126" s="10" t="n"/>
      <c r="V126" s="3" t="n"/>
      <c r="W126" s="3" t="n"/>
      <c r="X126" s="10" t="n"/>
      <c r="Y126" s="13">
        <f>IF(A126="","",COUNTA(A126,B126,C126,F126,H126,T126,U126,X126)/8)</f>
        <v/>
      </c>
      <c r="Z126" s="3" t="n"/>
    </row>
    <row r="127">
      <c r="A127" s="10" t="n"/>
      <c r="B127" s="10" t="n"/>
      <c r="C127" s="10" t="n"/>
      <c r="D127" s="11" t="n"/>
      <c r="E127" s="3" t="n"/>
      <c r="F127" s="10" t="n"/>
      <c r="G127" s="3" t="n"/>
      <c r="H127" s="12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3">
        <f>IF(A127="","",SUM(I127,K127,M127,O127,Q127))</f>
        <v/>
      </c>
      <c r="T127" s="10" t="n"/>
      <c r="U127" s="10" t="n"/>
      <c r="V127" s="3" t="n"/>
      <c r="W127" s="3" t="n"/>
      <c r="X127" s="10" t="n"/>
      <c r="Y127" s="13">
        <f>IF(A127="","",COUNTA(A127,B127,C127,F127,H127,T127,U127,X127)/8)</f>
        <v/>
      </c>
      <c r="Z127" s="3" t="n"/>
    </row>
    <row r="128">
      <c r="A128" s="10" t="n"/>
      <c r="B128" s="10" t="n"/>
      <c r="C128" s="10" t="n"/>
      <c r="D128" s="11" t="n"/>
      <c r="E128" s="3" t="n"/>
      <c r="F128" s="10" t="n"/>
      <c r="G128" s="3" t="n"/>
      <c r="H128" s="12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3">
        <f>IF(A128="","",SUM(I128,K128,M128,O128,Q128))</f>
        <v/>
      </c>
      <c r="T128" s="10" t="n"/>
      <c r="U128" s="10" t="n"/>
      <c r="V128" s="3" t="n"/>
      <c r="W128" s="3" t="n"/>
      <c r="X128" s="10" t="n"/>
      <c r="Y128" s="13">
        <f>IF(A128="","",COUNTA(A128,B128,C128,F128,H128,T128,U128,X128)/8)</f>
        <v/>
      </c>
      <c r="Z128" s="3" t="n"/>
    </row>
    <row r="129">
      <c r="A129" s="10" t="n"/>
      <c r="B129" s="10" t="n"/>
      <c r="C129" s="10" t="n"/>
      <c r="D129" s="11" t="n"/>
      <c r="E129" s="3" t="n"/>
      <c r="F129" s="10" t="n"/>
      <c r="G129" s="3" t="n"/>
      <c r="H129" s="12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3">
        <f>IF(A129="","",SUM(I129,K129,M129,O129,Q129))</f>
        <v/>
      </c>
      <c r="T129" s="10" t="n"/>
      <c r="U129" s="10" t="n"/>
      <c r="V129" s="3" t="n"/>
      <c r="W129" s="3" t="n"/>
      <c r="X129" s="10" t="n"/>
      <c r="Y129" s="13">
        <f>IF(A129="","",COUNTA(A129,B129,C129,F129,H129,T129,U129,X129)/8)</f>
        <v/>
      </c>
      <c r="Z129" s="3" t="n"/>
    </row>
    <row r="130">
      <c r="A130" s="10" t="n"/>
      <c r="B130" s="10" t="n"/>
      <c r="C130" s="10" t="n"/>
      <c r="D130" s="11" t="n"/>
      <c r="E130" s="3" t="n"/>
      <c r="F130" s="10" t="n"/>
      <c r="G130" s="3" t="n"/>
      <c r="H130" s="12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3">
        <f>IF(A130="","",SUM(I130,K130,M130,O130,Q130))</f>
        <v/>
      </c>
      <c r="T130" s="10" t="n"/>
      <c r="U130" s="10" t="n"/>
      <c r="V130" s="3" t="n"/>
      <c r="W130" s="3" t="n"/>
      <c r="X130" s="10" t="n"/>
      <c r="Y130" s="13">
        <f>IF(A130="","",COUNTA(A130,B130,C130,F130,H130,T130,U130,X130)/8)</f>
        <v/>
      </c>
      <c r="Z130" s="3" t="n"/>
    </row>
    <row r="131">
      <c r="A131" s="10" t="n"/>
      <c r="B131" s="10" t="n"/>
      <c r="C131" s="10" t="n"/>
      <c r="D131" s="11" t="n"/>
      <c r="E131" s="3" t="n"/>
      <c r="F131" s="10" t="n"/>
      <c r="G131" s="3" t="n"/>
      <c r="H131" s="12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3">
        <f>IF(A131="","",SUM(I131,K131,M131,O131,Q131))</f>
        <v/>
      </c>
      <c r="T131" s="10" t="n"/>
      <c r="U131" s="10" t="n"/>
      <c r="V131" s="3" t="n"/>
      <c r="W131" s="3" t="n"/>
      <c r="X131" s="10" t="n"/>
      <c r="Y131" s="13">
        <f>IF(A131="","",COUNTA(A131,B131,C131,F131,H131,T131,U131,X131)/8)</f>
        <v/>
      </c>
      <c r="Z131" s="3" t="n"/>
    </row>
    <row r="132">
      <c r="A132" s="10" t="n"/>
      <c r="B132" s="10" t="n"/>
      <c r="C132" s="10" t="n"/>
      <c r="D132" s="11" t="n"/>
      <c r="E132" s="3" t="n"/>
      <c r="F132" s="10" t="n"/>
      <c r="G132" s="3" t="n"/>
      <c r="H132" s="12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3">
        <f>IF(A132="","",SUM(I132,K132,M132,O132,Q132))</f>
        <v/>
      </c>
      <c r="T132" s="10" t="n"/>
      <c r="U132" s="10" t="n"/>
      <c r="V132" s="3" t="n"/>
      <c r="W132" s="3" t="n"/>
      <c r="X132" s="10" t="n"/>
      <c r="Y132" s="13">
        <f>IF(A132="","",COUNTA(A132,B132,C132,F132,H132,T132,U132,X132)/8)</f>
        <v/>
      </c>
      <c r="Z132" s="3" t="n"/>
    </row>
    <row r="133">
      <c r="A133" s="10" t="n"/>
      <c r="B133" s="10" t="n"/>
      <c r="C133" s="10" t="n"/>
      <c r="D133" s="11" t="n"/>
      <c r="E133" s="3" t="n"/>
      <c r="F133" s="10" t="n"/>
      <c r="G133" s="3" t="n"/>
      <c r="H133" s="12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3">
        <f>IF(A133="","",SUM(I133,K133,M133,O133,Q133))</f>
        <v/>
      </c>
      <c r="T133" s="10" t="n"/>
      <c r="U133" s="10" t="n"/>
      <c r="V133" s="3" t="n"/>
      <c r="W133" s="3" t="n"/>
      <c r="X133" s="10" t="n"/>
      <c r="Y133" s="13">
        <f>IF(A133="","",COUNTA(A133,B133,C133,F133,H133,T133,U133,X133)/8)</f>
        <v/>
      </c>
      <c r="Z133" s="3" t="n"/>
    </row>
    <row r="134">
      <c r="A134" s="10" t="n"/>
      <c r="B134" s="10" t="n"/>
      <c r="C134" s="10" t="n"/>
      <c r="D134" s="11" t="n"/>
      <c r="E134" s="3" t="n"/>
      <c r="F134" s="10" t="n"/>
      <c r="G134" s="3" t="n"/>
      <c r="H134" s="12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3">
        <f>IF(A134="","",SUM(I134,K134,M134,O134,Q134))</f>
        <v/>
      </c>
      <c r="T134" s="10" t="n"/>
      <c r="U134" s="10" t="n"/>
      <c r="V134" s="3" t="n"/>
      <c r="W134" s="3" t="n"/>
      <c r="X134" s="10" t="n"/>
      <c r="Y134" s="13">
        <f>IF(A134="","",COUNTA(A134,B134,C134,F134,H134,T134,U134,X134)/8)</f>
        <v/>
      </c>
      <c r="Z134" s="3" t="n"/>
    </row>
    <row r="135">
      <c r="A135" s="10" t="n"/>
      <c r="B135" s="10" t="n"/>
      <c r="C135" s="10" t="n"/>
      <c r="D135" s="11" t="n"/>
      <c r="E135" s="3" t="n"/>
      <c r="F135" s="10" t="n"/>
      <c r="G135" s="3" t="n"/>
      <c r="H135" s="12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3">
        <f>IF(A135="","",SUM(I135,K135,M135,O135,Q135))</f>
        <v/>
      </c>
      <c r="T135" s="10" t="n"/>
      <c r="U135" s="10" t="n"/>
      <c r="V135" s="3" t="n"/>
      <c r="W135" s="3" t="n"/>
      <c r="X135" s="10" t="n"/>
      <c r="Y135" s="13">
        <f>IF(A135="","",COUNTA(A135,B135,C135,F135,H135,T135,U135,X135)/8)</f>
        <v/>
      </c>
      <c r="Z135" s="3" t="n"/>
    </row>
    <row r="136">
      <c r="A136" s="10" t="n"/>
      <c r="B136" s="10" t="n"/>
      <c r="C136" s="10" t="n"/>
      <c r="D136" s="11" t="n"/>
      <c r="E136" s="3" t="n"/>
      <c r="F136" s="10" t="n"/>
      <c r="G136" s="3" t="n"/>
      <c r="H136" s="12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3">
        <f>IF(A136="","",SUM(I136,K136,M136,O136,Q136))</f>
        <v/>
      </c>
      <c r="T136" s="10" t="n"/>
      <c r="U136" s="10" t="n"/>
      <c r="V136" s="3" t="n"/>
      <c r="W136" s="3" t="n"/>
      <c r="X136" s="10" t="n"/>
      <c r="Y136" s="13">
        <f>IF(A136="","",COUNTA(A136,B136,C136,F136,H136,T136,U136,X136)/8)</f>
        <v/>
      </c>
      <c r="Z136" s="3" t="n"/>
    </row>
    <row r="137">
      <c r="A137" s="10" t="n"/>
      <c r="B137" s="10" t="n"/>
      <c r="C137" s="10" t="n"/>
      <c r="D137" s="11" t="n"/>
      <c r="E137" s="3" t="n"/>
      <c r="F137" s="10" t="n"/>
      <c r="G137" s="3" t="n"/>
      <c r="H137" s="12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3">
        <f>IF(A137="","",SUM(I137,K137,M137,O137,Q137))</f>
        <v/>
      </c>
      <c r="T137" s="10" t="n"/>
      <c r="U137" s="10" t="n"/>
      <c r="V137" s="3" t="n"/>
      <c r="W137" s="3" t="n"/>
      <c r="X137" s="10" t="n"/>
      <c r="Y137" s="13">
        <f>IF(A137="","",COUNTA(A137,B137,C137,F137,H137,T137,U137,X137)/8)</f>
        <v/>
      </c>
      <c r="Z137" s="3" t="n"/>
    </row>
    <row r="138">
      <c r="A138" s="10" t="n"/>
      <c r="B138" s="10" t="n"/>
      <c r="C138" s="10" t="n"/>
      <c r="D138" s="11" t="n"/>
      <c r="E138" s="3" t="n"/>
      <c r="F138" s="10" t="n"/>
      <c r="G138" s="3" t="n"/>
      <c r="H138" s="12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3">
        <f>IF(A138="","",SUM(I138,K138,M138,O138,Q138))</f>
        <v/>
      </c>
      <c r="T138" s="10" t="n"/>
      <c r="U138" s="10" t="n"/>
      <c r="V138" s="3" t="n"/>
      <c r="W138" s="3" t="n"/>
      <c r="X138" s="10" t="n"/>
      <c r="Y138" s="13">
        <f>IF(A138="","",COUNTA(A138,B138,C138,F138,H138,T138,U138,X138)/8)</f>
        <v/>
      </c>
      <c r="Z138" s="3" t="n"/>
    </row>
    <row r="139">
      <c r="A139" s="10" t="n"/>
      <c r="B139" s="10" t="n"/>
      <c r="C139" s="10" t="n"/>
      <c r="D139" s="11" t="n"/>
      <c r="E139" s="3" t="n"/>
      <c r="F139" s="10" t="n"/>
      <c r="G139" s="3" t="n"/>
      <c r="H139" s="12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3">
        <f>IF(A139="","",SUM(I139,K139,M139,O139,Q139))</f>
        <v/>
      </c>
      <c r="T139" s="10" t="n"/>
      <c r="U139" s="10" t="n"/>
      <c r="V139" s="3" t="n"/>
      <c r="W139" s="3" t="n"/>
      <c r="X139" s="10" t="n"/>
      <c r="Y139" s="13">
        <f>IF(A139="","",COUNTA(A139,B139,C139,F139,H139,T139,U139,X139)/8)</f>
        <v/>
      </c>
      <c r="Z139" s="3" t="n"/>
    </row>
    <row r="140">
      <c r="A140" s="10" t="n"/>
      <c r="B140" s="10" t="n"/>
      <c r="C140" s="10" t="n"/>
      <c r="D140" s="11" t="n"/>
      <c r="E140" s="3" t="n"/>
      <c r="F140" s="10" t="n"/>
      <c r="G140" s="3" t="n"/>
      <c r="H140" s="12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3">
        <f>IF(A140="","",SUM(I140,K140,M140,O140,Q140))</f>
        <v/>
      </c>
      <c r="T140" s="10" t="n"/>
      <c r="U140" s="10" t="n"/>
      <c r="V140" s="3" t="n"/>
      <c r="W140" s="3" t="n"/>
      <c r="X140" s="10" t="n"/>
      <c r="Y140" s="13">
        <f>IF(A140="","",COUNTA(A140,B140,C140,F140,H140,T140,U140,X140)/8)</f>
        <v/>
      </c>
      <c r="Z140" s="3" t="n"/>
    </row>
    <row r="141">
      <c r="A141" s="10" t="n"/>
      <c r="B141" s="10" t="n"/>
      <c r="C141" s="10" t="n"/>
      <c r="D141" s="11" t="n"/>
      <c r="E141" s="3" t="n"/>
      <c r="F141" s="10" t="n"/>
      <c r="G141" s="3" t="n"/>
      <c r="H141" s="12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3">
        <f>IF(A141="","",SUM(I141,K141,M141,O141,Q141))</f>
        <v/>
      </c>
      <c r="T141" s="10" t="n"/>
      <c r="U141" s="10" t="n"/>
      <c r="V141" s="3" t="n"/>
      <c r="W141" s="3" t="n"/>
      <c r="X141" s="10" t="n"/>
      <c r="Y141" s="13">
        <f>IF(A141="","",COUNTA(A141,B141,C141,F141,H141,T141,U141,X141)/8)</f>
        <v/>
      </c>
      <c r="Z141" s="3" t="n"/>
    </row>
    <row r="142">
      <c r="A142" s="10" t="n"/>
      <c r="B142" s="10" t="n"/>
      <c r="C142" s="10" t="n"/>
      <c r="D142" s="11" t="n"/>
      <c r="E142" s="3" t="n"/>
      <c r="F142" s="10" t="n"/>
      <c r="G142" s="3" t="n"/>
      <c r="H142" s="12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3">
        <f>IF(A142="","",SUM(I142,K142,M142,O142,Q142))</f>
        <v/>
      </c>
      <c r="T142" s="10" t="n"/>
      <c r="U142" s="10" t="n"/>
      <c r="V142" s="3" t="n"/>
      <c r="W142" s="3" t="n"/>
      <c r="X142" s="10" t="n"/>
      <c r="Y142" s="13">
        <f>IF(A142="","",COUNTA(A142,B142,C142,F142,H142,T142,U142,X142)/8)</f>
        <v/>
      </c>
      <c r="Z142" s="3" t="n"/>
    </row>
    <row r="143">
      <c r="A143" s="10" t="n"/>
      <c r="B143" s="10" t="n"/>
      <c r="C143" s="10" t="n"/>
      <c r="D143" s="11" t="n"/>
      <c r="E143" s="3" t="n"/>
      <c r="F143" s="10" t="n"/>
      <c r="G143" s="3" t="n"/>
      <c r="H143" s="12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3">
        <f>IF(A143="","",SUM(I143,K143,M143,O143,Q143))</f>
        <v/>
      </c>
      <c r="T143" s="10" t="n"/>
      <c r="U143" s="10" t="n"/>
      <c r="V143" s="3" t="n"/>
      <c r="W143" s="3" t="n"/>
      <c r="X143" s="10" t="n"/>
      <c r="Y143" s="13">
        <f>IF(A143="","",COUNTA(A143,B143,C143,F143,H143,T143,U143,X143)/8)</f>
        <v/>
      </c>
      <c r="Z143" s="3" t="n"/>
    </row>
    <row r="144">
      <c r="A144" s="10" t="n"/>
      <c r="B144" s="10" t="n"/>
      <c r="C144" s="10" t="n"/>
      <c r="D144" s="11" t="n"/>
      <c r="E144" s="3" t="n"/>
      <c r="F144" s="10" t="n"/>
      <c r="G144" s="3" t="n"/>
      <c r="H144" s="12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3">
        <f>IF(A144="","",SUM(I144,K144,M144,O144,Q144))</f>
        <v/>
      </c>
      <c r="T144" s="10" t="n"/>
      <c r="U144" s="10" t="n"/>
      <c r="V144" s="3" t="n"/>
      <c r="W144" s="3" t="n"/>
      <c r="X144" s="10" t="n"/>
      <c r="Y144" s="13">
        <f>IF(A144="","",COUNTA(A144,B144,C144,F144,H144,T144,U144,X144)/8)</f>
        <v/>
      </c>
      <c r="Z144" s="3" t="n"/>
    </row>
    <row r="145">
      <c r="A145" s="10" t="n"/>
      <c r="B145" s="10" t="n"/>
      <c r="C145" s="10" t="n"/>
      <c r="D145" s="11" t="n"/>
      <c r="E145" s="3" t="n"/>
      <c r="F145" s="10" t="n"/>
      <c r="G145" s="3" t="n"/>
      <c r="H145" s="12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3">
        <f>IF(A145="","",SUM(I145,K145,M145,O145,Q145))</f>
        <v/>
      </c>
      <c r="T145" s="10" t="n"/>
      <c r="U145" s="10" t="n"/>
      <c r="V145" s="3" t="n"/>
      <c r="W145" s="3" t="n"/>
      <c r="X145" s="10" t="n"/>
      <c r="Y145" s="13">
        <f>IF(A145="","",COUNTA(A145,B145,C145,F145,H145,T145,U145,X145)/8)</f>
        <v/>
      </c>
      <c r="Z145" s="3" t="n"/>
    </row>
    <row r="146">
      <c r="A146" s="10" t="n"/>
      <c r="B146" s="10" t="n"/>
      <c r="C146" s="10" t="n"/>
      <c r="D146" s="11" t="n"/>
      <c r="E146" s="3" t="n"/>
      <c r="F146" s="10" t="n"/>
      <c r="G146" s="3" t="n"/>
      <c r="H146" s="12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3">
        <f>IF(A146="","",SUM(I146,K146,M146,O146,Q146))</f>
        <v/>
      </c>
      <c r="T146" s="10" t="n"/>
      <c r="U146" s="10" t="n"/>
      <c r="V146" s="3" t="n"/>
      <c r="W146" s="3" t="n"/>
      <c r="X146" s="10" t="n"/>
      <c r="Y146" s="13">
        <f>IF(A146="","",COUNTA(A146,B146,C146,F146,H146,T146,U146,X146)/8)</f>
        <v/>
      </c>
      <c r="Z146" s="3" t="n"/>
    </row>
    <row r="147">
      <c r="A147" s="10" t="n"/>
      <c r="B147" s="10" t="n"/>
      <c r="C147" s="10" t="n"/>
      <c r="D147" s="11" t="n"/>
      <c r="E147" s="3" t="n"/>
      <c r="F147" s="10" t="n"/>
      <c r="G147" s="3" t="n"/>
      <c r="H147" s="12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3">
        <f>IF(A147="","",SUM(I147,K147,M147,O147,Q147))</f>
        <v/>
      </c>
      <c r="T147" s="10" t="n"/>
      <c r="U147" s="10" t="n"/>
      <c r="V147" s="3" t="n"/>
      <c r="W147" s="3" t="n"/>
      <c r="X147" s="10" t="n"/>
      <c r="Y147" s="13">
        <f>IF(A147="","",COUNTA(A147,B147,C147,F147,H147,T147,U147,X147)/8)</f>
        <v/>
      </c>
      <c r="Z147" s="3" t="n"/>
    </row>
    <row r="148">
      <c r="A148" s="10" t="n"/>
      <c r="B148" s="10" t="n"/>
      <c r="C148" s="10" t="n"/>
      <c r="D148" s="11" t="n"/>
      <c r="E148" s="3" t="n"/>
      <c r="F148" s="10" t="n"/>
      <c r="G148" s="3" t="n"/>
      <c r="H148" s="12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3">
        <f>IF(A148="","",SUM(I148,K148,M148,O148,Q148))</f>
        <v/>
      </c>
      <c r="T148" s="10" t="n"/>
      <c r="U148" s="10" t="n"/>
      <c r="V148" s="3" t="n"/>
      <c r="W148" s="3" t="n"/>
      <c r="X148" s="10" t="n"/>
      <c r="Y148" s="13">
        <f>IF(A148="","",COUNTA(A148,B148,C148,F148,H148,T148,U148,X148)/8)</f>
        <v/>
      </c>
      <c r="Z148" s="3" t="n"/>
    </row>
    <row r="149">
      <c r="A149" s="10" t="n"/>
      <c r="B149" s="10" t="n"/>
      <c r="C149" s="10" t="n"/>
      <c r="D149" s="11" t="n"/>
      <c r="E149" s="3" t="n"/>
      <c r="F149" s="10" t="n"/>
      <c r="G149" s="3" t="n"/>
      <c r="H149" s="12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3">
        <f>IF(A149="","",SUM(I149,K149,M149,O149,Q149))</f>
        <v/>
      </c>
      <c r="T149" s="10" t="n"/>
      <c r="U149" s="10" t="n"/>
      <c r="V149" s="3" t="n"/>
      <c r="W149" s="3" t="n"/>
      <c r="X149" s="10" t="n"/>
      <c r="Y149" s="13">
        <f>IF(A149="","",COUNTA(A149,B149,C149,F149,H149,T149,U149,X149)/8)</f>
        <v/>
      </c>
      <c r="Z149" s="3" t="n"/>
    </row>
    <row r="150">
      <c r="A150" s="10" t="n"/>
      <c r="B150" s="10" t="n"/>
      <c r="C150" s="10" t="n"/>
      <c r="D150" s="11" t="n"/>
      <c r="E150" s="3" t="n"/>
      <c r="F150" s="10" t="n"/>
      <c r="G150" s="3" t="n"/>
      <c r="H150" s="12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3">
        <f>IF(A150="","",SUM(I150,K150,M150,O150,Q150))</f>
        <v/>
      </c>
      <c r="T150" s="10" t="n"/>
      <c r="U150" s="10" t="n"/>
      <c r="V150" s="3" t="n"/>
      <c r="W150" s="3" t="n"/>
      <c r="X150" s="10" t="n"/>
      <c r="Y150" s="13">
        <f>IF(A150="","",COUNTA(A150,B150,C150,F150,H150,T150,U150,X150)/8)</f>
        <v/>
      </c>
      <c r="Z150" s="3" t="n"/>
    </row>
    <row r="151">
      <c r="A151" s="10" t="n"/>
      <c r="B151" s="10" t="n"/>
      <c r="C151" s="10" t="n"/>
      <c r="D151" s="11" t="n"/>
      <c r="E151" s="3" t="n"/>
      <c r="F151" s="10" t="n"/>
      <c r="G151" s="3" t="n"/>
      <c r="H151" s="12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3">
        <f>IF(A151="","",SUM(I151,K151,M151,O151,Q151))</f>
        <v/>
      </c>
      <c r="T151" s="10" t="n"/>
      <c r="U151" s="10" t="n"/>
      <c r="V151" s="3" t="n"/>
      <c r="W151" s="3" t="n"/>
      <c r="X151" s="10" t="n"/>
      <c r="Y151" s="13">
        <f>IF(A151="","",COUNTA(A151,B151,C151,F151,H151,T151,U151,X151)/8)</f>
        <v/>
      </c>
      <c r="Z151" s="3" t="n"/>
    </row>
    <row r="152">
      <c r="A152" s="10" t="n"/>
      <c r="B152" s="10" t="n"/>
      <c r="C152" s="10" t="n"/>
      <c r="D152" s="11" t="n"/>
      <c r="E152" s="3" t="n"/>
      <c r="F152" s="10" t="n"/>
      <c r="G152" s="3" t="n"/>
      <c r="H152" s="12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3">
        <f>IF(A152="","",SUM(I152,K152,M152,O152,Q152))</f>
        <v/>
      </c>
      <c r="T152" s="10" t="n"/>
      <c r="U152" s="10" t="n"/>
      <c r="V152" s="3" t="n"/>
      <c r="W152" s="3" t="n"/>
      <c r="X152" s="10" t="n"/>
      <c r="Y152" s="13">
        <f>IF(A152="","",COUNTA(A152,B152,C152,F152,H152,T152,U152,X152)/8)</f>
        <v/>
      </c>
      <c r="Z152" s="3" t="n"/>
    </row>
    <row r="153">
      <c r="A153" s="10" t="n"/>
      <c r="B153" s="10" t="n"/>
      <c r="C153" s="10" t="n"/>
      <c r="D153" s="11" t="n"/>
      <c r="E153" s="3" t="n"/>
      <c r="F153" s="10" t="n"/>
      <c r="G153" s="3" t="n"/>
      <c r="H153" s="12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3">
        <f>IF(A153="","",SUM(I153,K153,M153,O153,Q153))</f>
        <v/>
      </c>
      <c r="T153" s="10" t="n"/>
      <c r="U153" s="10" t="n"/>
      <c r="V153" s="3" t="n"/>
      <c r="W153" s="3" t="n"/>
      <c r="X153" s="10" t="n"/>
      <c r="Y153" s="13">
        <f>IF(A153="","",COUNTA(A153,B153,C153,F153,H153,T153,U153,X153)/8)</f>
        <v/>
      </c>
      <c r="Z153" s="3" t="n"/>
    </row>
    <row r="154">
      <c r="A154" s="10" t="n"/>
      <c r="B154" s="10" t="n"/>
      <c r="C154" s="10" t="n"/>
      <c r="D154" s="11" t="n"/>
      <c r="E154" s="3" t="n"/>
      <c r="F154" s="10" t="n"/>
      <c r="G154" s="3" t="n"/>
      <c r="H154" s="12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3">
        <f>IF(A154="","",SUM(I154,K154,M154,O154,Q154))</f>
        <v/>
      </c>
      <c r="T154" s="10" t="n"/>
      <c r="U154" s="10" t="n"/>
      <c r="V154" s="3" t="n"/>
      <c r="W154" s="3" t="n"/>
      <c r="X154" s="10" t="n"/>
      <c r="Y154" s="13">
        <f>IF(A154="","",COUNTA(A154,B154,C154,F154,H154,T154,U154,X154)/8)</f>
        <v/>
      </c>
      <c r="Z154" s="3" t="n"/>
    </row>
    <row r="155">
      <c r="A155" s="10" t="n"/>
      <c r="B155" s="10" t="n"/>
      <c r="C155" s="10" t="n"/>
      <c r="D155" s="11" t="n"/>
      <c r="E155" s="3" t="n"/>
      <c r="F155" s="10" t="n"/>
      <c r="G155" s="3" t="n"/>
      <c r="H155" s="12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3">
        <f>IF(A155="","",SUM(I155,K155,M155,O155,Q155))</f>
        <v/>
      </c>
      <c r="T155" s="10" t="n"/>
      <c r="U155" s="10" t="n"/>
      <c r="V155" s="3" t="n"/>
      <c r="W155" s="3" t="n"/>
      <c r="X155" s="10" t="n"/>
      <c r="Y155" s="13">
        <f>IF(A155="","",COUNTA(A155,B155,C155,F155,H155,T155,U155,X155)/8)</f>
        <v/>
      </c>
      <c r="Z155" s="3" t="n"/>
    </row>
    <row r="156">
      <c r="A156" s="10" t="n"/>
      <c r="B156" s="10" t="n"/>
      <c r="C156" s="10" t="n"/>
      <c r="D156" s="11" t="n"/>
      <c r="E156" s="3" t="n"/>
      <c r="F156" s="10" t="n"/>
      <c r="G156" s="3" t="n"/>
      <c r="H156" s="12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3">
        <f>IF(A156="","",SUM(I156,K156,M156,O156,Q156))</f>
        <v/>
      </c>
      <c r="T156" s="10" t="n"/>
      <c r="U156" s="10" t="n"/>
      <c r="V156" s="3" t="n"/>
      <c r="W156" s="3" t="n"/>
      <c r="X156" s="10" t="n"/>
      <c r="Y156" s="13">
        <f>IF(A156="","",COUNTA(A156,B156,C156,F156,H156,T156,U156,X156)/8)</f>
        <v/>
      </c>
      <c r="Z156" s="3" t="n"/>
    </row>
    <row r="157">
      <c r="A157" s="10" t="n"/>
      <c r="B157" s="10" t="n"/>
      <c r="C157" s="10" t="n"/>
      <c r="D157" s="11" t="n"/>
      <c r="E157" s="3" t="n"/>
      <c r="F157" s="10" t="n"/>
      <c r="G157" s="3" t="n"/>
      <c r="H157" s="12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3">
        <f>IF(A157="","",SUM(I157,K157,M157,O157,Q157))</f>
        <v/>
      </c>
      <c r="T157" s="10" t="n"/>
      <c r="U157" s="10" t="n"/>
      <c r="V157" s="3" t="n"/>
      <c r="W157" s="3" t="n"/>
      <c r="X157" s="10" t="n"/>
      <c r="Y157" s="13">
        <f>IF(A157="","",COUNTA(A157,B157,C157,F157,H157,T157,U157,X157)/8)</f>
        <v/>
      </c>
      <c r="Z157" s="3" t="n"/>
    </row>
    <row r="158">
      <c r="A158" s="10" t="n"/>
      <c r="B158" s="10" t="n"/>
      <c r="C158" s="10" t="n"/>
      <c r="D158" s="11" t="n"/>
      <c r="E158" s="3" t="n"/>
      <c r="F158" s="10" t="n"/>
      <c r="G158" s="3" t="n"/>
      <c r="H158" s="12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3">
        <f>IF(A158="","",SUM(I158,K158,M158,O158,Q158))</f>
        <v/>
      </c>
      <c r="T158" s="10" t="n"/>
      <c r="U158" s="10" t="n"/>
      <c r="V158" s="3" t="n"/>
      <c r="W158" s="3" t="n"/>
      <c r="X158" s="10" t="n"/>
      <c r="Y158" s="13">
        <f>IF(A158="","",COUNTA(A158,B158,C158,F158,H158,T158,U158,X158)/8)</f>
        <v/>
      </c>
      <c r="Z158" s="3" t="n"/>
    </row>
    <row r="159">
      <c r="A159" s="10" t="n"/>
      <c r="B159" s="10" t="n"/>
      <c r="C159" s="10" t="n"/>
      <c r="D159" s="11" t="n"/>
      <c r="E159" s="3" t="n"/>
      <c r="F159" s="10" t="n"/>
      <c r="G159" s="3" t="n"/>
      <c r="H159" s="12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3">
        <f>IF(A159="","",SUM(I159,K159,M159,O159,Q159))</f>
        <v/>
      </c>
      <c r="T159" s="10" t="n"/>
      <c r="U159" s="10" t="n"/>
      <c r="V159" s="3" t="n"/>
      <c r="W159" s="3" t="n"/>
      <c r="X159" s="10" t="n"/>
      <c r="Y159" s="13">
        <f>IF(A159="","",COUNTA(A159,B159,C159,F159,H159,T159,U159,X159)/8)</f>
        <v/>
      </c>
      <c r="Z159" s="3" t="n"/>
    </row>
    <row r="160">
      <c r="A160" s="10" t="n"/>
      <c r="B160" s="10" t="n"/>
      <c r="C160" s="10" t="n"/>
      <c r="D160" s="11" t="n"/>
      <c r="E160" s="3" t="n"/>
      <c r="F160" s="10" t="n"/>
      <c r="G160" s="3" t="n"/>
      <c r="H160" s="12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3">
        <f>IF(A160="","",SUM(I160,K160,M160,O160,Q160))</f>
        <v/>
      </c>
      <c r="T160" s="10" t="n"/>
      <c r="U160" s="10" t="n"/>
      <c r="V160" s="3" t="n"/>
      <c r="W160" s="3" t="n"/>
      <c r="X160" s="10" t="n"/>
      <c r="Y160" s="13">
        <f>IF(A160="","",COUNTA(A160,B160,C160,F160,H160,T160,U160,X160)/8)</f>
        <v/>
      </c>
      <c r="Z160" s="3" t="n"/>
    </row>
    <row r="161">
      <c r="A161" s="10" t="n"/>
      <c r="B161" s="10" t="n"/>
      <c r="C161" s="10" t="n"/>
      <c r="D161" s="11" t="n"/>
      <c r="E161" s="3" t="n"/>
      <c r="F161" s="10" t="n"/>
      <c r="G161" s="3" t="n"/>
      <c r="H161" s="12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3">
        <f>IF(A161="","",SUM(I161,K161,M161,O161,Q161))</f>
        <v/>
      </c>
      <c r="T161" s="10" t="n"/>
      <c r="U161" s="10" t="n"/>
      <c r="V161" s="3" t="n"/>
      <c r="W161" s="3" t="n"/>
      <c r="X161" s="10" t="n"/>
      <c r="Y161" s="13">
        <f>IF(A161="","",COUNTA(A161,B161,C161,F161,H161,T161,U161,X161)/8)</f>
        <v/>
      </c>
      <c r="Z161" s="3" t="n"/>
    </row>
    <row r="162">
      <c r="A162" s="10" t="n"/>
      <c r="B162" s="10" t="n"/>
      <c r="C162" s="10" t="n"/>
      <c r="D162" s="11" t="n"/>
      <c r="E162" s="3" t="n"/>
      <c r="F162" s="10" t="n"/>
      <c r="G162" s="3" t="n"/>
      <c r="H162" s="12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3">
        <f>IF(A162="","",SUM(I162,K162,M162,O162,Q162))</f>
        <v/>
      </c>
      <c r="T162" s="10" t="n"/>
      <c r="U162" s="10" t="n"/>
      <c r="V162" s="3" t="n"/>
      <c r="W162" s="3" t="n"/>
      <c r="X162" s="10" t="n"/>
      <c r="Y162" s="13">
        <f>IF(A162="","",COUNTA(A162,B162,C162,F162,H162,T162,U162,X162)/8)</f>
        <v/>
      </c>
      <c r="Z162" s="3" t="n"/>
    </row>
    <row r="163">
      <c r="A163" s="10" t="n"/>
      <c r="B163" s="10" t="n"/>
      <c r="C163" s="10" t="n"/>
      <c r="D163" s="11" t="n"/>
      <c r="E163" s="3" t="n"/>
      <c r="F163" s="10" t="n"/>
      <c r="G163" s="3" t="n"/>
      <c r="H163" s="12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3">
        <f>IF(A163="","",SUM(I163,K163,M163,O163,Q163))</f>
        <v/>
      </c>
      <c r="T163" s="10" t="n"/>
      <c r="U163" s="10" t="n"/>
      <c r="V163" s="3" t="n"/>
      <c r="W163" s="3" t="n"/>
      <c r="X163" s="10" t="n"/>
      <c r="Y163" s="13">
        <f>IF(A163="","",COUNTA(A163,B163,C163,F163,H163,T163,U163,X163)/8)</f>
        <v/>
      </c>
      <c r="Z163" s="3" t="n"/>
    </row>
    <row r="164">
      <c r="A164" s="10" t="n"/>
      <c r="B164" s="10" t="n"/>
      <c r="C164" s="10" t="n"/>
      <c r="D164" s="11" t="n"/>
      <c r="E164" s="3" t="n"/>
      <c r="F164" s="10" t="n"/>
      <c r="G164" s="3" t="n"/>
      <c r="H164" s="12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3">
        <f>IF(A164="","",SUM(I164,K164,M164,O164,Q164))</f>
        <v/>
      </c>
      <c r="T164" s="10" t="n"/>
      <c r="U164" s="10" t="n"/>
      <c r="V164" s="3" t="n"/>
      <c r="W164" s="3" t="n"/>
      <c r="X164" s="10" t="n"/>
      <c r="Y164" s="13">
        <f>IF(A164="","",COUNTA(A164,B164,C164,F164,H164,T164,U164,X164)/8)</f>
        <v/>
      </c>
      <c r="Z164" s="3" t="n"/>
    </row>
    <row r="165">
      <c r="A165" s="10" t="n"/>
      <c r="B165" s="10" t="n"/>
      <c r="C165" s="10" t="n"/>
      <c r="D165" s="11" t="n"/>
      <c r="E165" s="3" t="n"/>
      <c r="F165" s="10" t="n"/>
      <c r="G165" s="3" t="n"/>
      <c r="H165" s="12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3">
        <f>IF(A165="","",SUM(I165,K165,M165,O165,Q165))</f>
        <v/>
      </c>
      <c r="T165" s="10" t="n"/>
      <c r="U165" s="10" t="n"/>
      <c r="V165" s="3" t="n"/>
      <c r="W165" s="3" t="n"/>
      <c r="X165" s="10" t="n"/>
      <c r="Y165" s="13">
        <f>IF(A165="","",COUNTA(A165,B165,C165,F165,H165,T165,U165,X165)/8)</f>
        <v/>
      </c>
      <c r="Z165" s="3" t="n"/>
    </row>
    <row r="166">
      <c r="A166" s="10" t="n"/>
      <c r="B166" s="10" t="n"/>
      <c r="C166" s="10" t="n"/>
      <c r="D166" s="11" t="n"/>
      <c r="E166" s="3" t="n"/>
      <c r="F166" s="10" t="n"/>
      <c r="G166" s="3" t="n"/>
      <c r="H166" s="12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3">
        <f>IF(A166="","",SUM(I166,K166,M166,O166,Q166))</f>
        <v/>
      </c>
      <c r="T166" s="10" t="n"/>
      <c r="U166" s="10" t="n"/>
      <c r="V166" s="3" t="n"/>
      <c r="W166" s="3" t="n"/>
      <c r="X166" s="10" t="n"/>
      <c r="Y166" s="13">
        <f>IF(A166="","",COUNTA(A166,B166,C166,F166,H166,T166,U166,X166)/8)</f>
        <v/>
      </c>
      <c r="Z166" s="3" t="n"/>
    </row>
    <row r="167">
      <c r="A167" s="10" t="n"/>
      <c r="B167" s="10" t="n"/>
      <c r="C167" s="10" t="n"/>
      <c r="D167" s="11" t="n"/>
      <c r="E167" s="3" t="n"/>
      <c r="F167" s="10" t="n"/>
      <c r="G167" s="3" t="n"/>
      <c r="H167" s="12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3">
        <f>IF(A167="","",SUM(I167,K167,M167,O167,Q167))</f>
        <v/>
      </c>
      <c r="T167" s="10" t="n"/>
      <c r="U167" s="10" t="n"/>
      <c r="V167" s="3" t="n"/>
      <c r="W167" s="3" t="n"/>
      <c r="X167" s="10" t="n"/>
      <c r="Y167" s="13">
        <f>IF(A167="","",COUNTA(A167,B167,C167,F167,H167,T167,U167,X167)/8)</f>
        <v/>
      </c>
      <c r="Z167" s="3" t="n"/>
    </row>
    <row r="168">
      <c r="A168" s="10" t="n"/>
      <c r="B168" s="10" t="n"/>
      <c r="C168" s="10" t="n"/>
      <c r="D168" s="11" t="n"/>
      <c r="E168" s="3" t="n"/>
      <c r="F168" s="10" t="n"/>
      <c r="G168" s="3" t="n"/>
      <c r="H168" s="12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3">
        <f>IF(A168="","",SUM(I168,K168,M168,O168,Q168))</f>
        <v/>
      </c>
      <c r="T168" s="10" t="n"/>
      <c r="U168" s="10" t="n"/>
      <c r="V168" s="3" t="n"/>
      <c r="W168" s="3" t="n"/>
      <c r="X168" s="10" t="n"/>
      <c r="Y168" s="13">
        <f>IF(A168="","",COUNTA(A168,B168,C168,F168,H168,T168,U168,X168)/8)</f>
        <v/>
      </c>
      <c r="Z168" s="3" t="n"/>
    </row>
    <row r="169">
      <c r="A169" s="10" t="n"/>
      <c r="B169" s="10" t="n"/>
      <c r="C169" s="10" t="n"/>
      <c r="D169" s="11" t="n"/>
      <c r="E169" s="3" t="n"/>
      <c r="F169" s="10" t="n"/>
      <c r="G169" s="3" t="n"/>
      <c r="H169" s="12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3">
        <f>IF(A169="","",SUM(I169,K169,M169,O169,Q169))</f>
        <v/>
      </c>
      <c r="T169" s="10" t="n"/>
      <c r="U169" s="10" t="n"/>
      <c r="V169" s="3" t="n"/>
      <c r="W169" s="3" t="n"/>
      <c r="X169" s="10" t="n"/>
      <c r="Y169" s="13">
        <f>IF(A169="","",COUNTA(A169,B169,C169,F169,H169,T169,U169,X169)/8)</f>
        <v/>
      </c>
      <c r="Z169" s="3" t="n"/>
    </row>
    <row r="170">
      <c r="A170" s="10" t="n"/>
      <c r="B170" s="10" t="n"/>
      <c r="C170" s="10" t="n"/>
      <c r="D170" s="11" t="n"/>
      <c r="E170" s="3" t="n"/>
      <c r="F170" s="10" t="n"/>
      <c r="G170" s="3" t="n"/>
      <c r="H170" s="12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3">
        <f>IF(A170="","",SUM(I170,K170,M170,O170,Q170))</f>
        <v/>
      </c>
      <c r="T170" s="10" t="n"/>
      <c r="U170" s="10" t="n"/>
      <c r="V170" s="3" t="n"/>
      <c r="W170" s="3" t="n"/>
      <c r="X170" s="10" t="n"/>
      <c r="Y170" s="13">
        <f>IF(A170="","",COUNTA(A170,B170,C170,F170,H170,T170,U170,X170)/8)</f>
        <v/>
      </c>
      <c r="Z170" s="3" t="n"/>
    </row>
    <row r="171">
      <c r="A171" s="10" t="n"/>
      <c r="B171" s="10" t="n"/>
      <c r="C171" s="10" t="n"/>
      <c r="D171" s="11" t="n"/>
      <c r="E171" s="3" t="n"/>
      <c r="F171" s="10" t="n"/>
      <c r="G171" s="3" t="n"/>
      <c r="H171" s="12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3">
        <f>IF(A171="","",SUM(I171,K171,M171,O171,Q171))</f>
        <v/>
      </c>
      <c r="T171" s="10" t="n"/>
      <c r="U171" s="10" t="n"/>
      <c r="V171" s="3" t="n"/>
      <c r="W171" s="3" t="n"/>
      <c r="X171" s="10" t="n"/>
      <c r="Y171" s="13">
        <f>IF(A171="","",COUNTA(A171,B171,C171,F171,H171,T171,U171,X171)/8)</f>
        <v/>
      </c>
      <c r="Z171" s="3" t="n"/>
    </row>
    <row r="172">
      <c r="A172" s="10" t="n"/>
      <c r="B172" s="10" t="n"/>
      <c r="C172" s="10" t="n"/>
      <c r="D172" s="11" t="n"/>
      <c r="E172" s="3" t="n"/>
      <c r="F172" s="10" t="n"/>
      <c r="G172" s="3" t="n"/>
      <c r="H172" s="12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3">
        <f>IF(A172="","",SUM(I172,K172,M172,O172,Q172))</f>
        <v/>
      </c>
      <c r="T172" s="10" t="n"/>
      <c r="U172" s="10" t="n"/>
      <c r="V172" s="3" t="n"/>
      <c r="W172" s="3" t="n"/>
      <c r="X172" s="10" t="n"/>
      <c r="Y172" s="13">
        <f>IF(A172="","",COUNTA(A172,B172,C172,F172,H172,T172,U172,X172)/8)</f>
        <v/>
      </c>
      <c r="Z172" s="3" t="n"/>
    </row>
    <row r="173">
      <c r="A173" s="10" t="n"/>
      <c r="B173" s="10" t="n"/>
      <c r="C173" s="10" t="n"/>
      <c r="D173" s="11" t="n"/>
      <c r="E173" s="3" t="n"/>
      <c r="F173" s="10" t="n"/>
      <c r="G173" s="3" t="n"/>
      <c r="H173" s="12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3">
        <f>IF(A173="","",SUM(I173,K173,M173,O173,Q173))</f>
        <v/>
      </c>
      <c r="T173" s="10" t="n"/>
      <c r="U173" s="10" t="n"/>
      <c r="V173" s="3" t="n"/>
      <c r="W173" s="3" t="n"/>
      <c r="X173" s="10" t="n"/>
      <c r="Y173" s="13">
        <f>IF(A173="","",COUNTA(A173,B173,C173,F173,H173,T173,U173,X173)/8)</f>
        <v/>
      </c>
      <c r="Z173" s="3" t="n"/>
    </row>
    <row r="174">
      <c r="A174" s="10" t="n"/>
      <c r="B174" s="10" t="n"/>
      <c r="C174" s="10" t="n"/>
      <c r="D174" s="11" t="n"/>
      <c r="E174" s="3" t="n"/>
      <c r="F174" s="10" t="n"/>
      <c r="G174" s="3" t="n"/>
      <c r="H174" s="12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3">
        <f>IF(A174="","",SUM(I174,K174,M174,O174,Q174))</f>
        <v/>
      </c>
      <c r="T174" s="10" t="n"/>
      <c r="U174" s="10" t="n"/>
      <c r="V174" s="3" t="n"/>
      <c r="W174" s="3" t="n"/>
      <c r="X174" s="10" t="n"/>
      <c r="Y174" s="13">
        <f>IF(A174="","",COUNTA(A174,B174,C174,F174,H174,T174,U174,X174)/8)</f>
        <v/>
      </c>
      <c r="Z174" s="3" t="n"/>
    </row>
    <row r="175">
      <c r="A175" s="10" t="n"/>
      <c r="B175" s="10" t="n"/>
      <c r="C175" s="10" t="n"/>
      <c r="D175" s="11" t="n"/>
      <c r="E175" s="3" t="n"/>
      <c r="F175" s="10" t="n"/>
      <c r="G175" s="3" t="n"/>
      <c r="H175" s="12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3">
        <f>IF(A175="","",SUM(I175,K175,M175,O175,Q175))</f>
        <v/>
      </c>
      <c r="T175" s="10" t="n"/>
      <c r="U175" s="10" t="n"/>
      <c r="V175" s="3" t="n"/>
      <c r="W175" s="3" t="n"/>
      <c r="X175" s="10" t="n"/>
      <c r="Y175" s="13">
        <f>IF(A175="","",COUNTA(A175,B175,C175,F175,H175,T175,U175,X175)/8)</f>
        <v/>
      </c>
      <c r="Z175" s="3" t="n"/>
    </row>
    <row r="176">
      <c r="A176" s="10" t="n"/>
      <c r="B176" s="10" t="n"/>
      <c r="C176" s="10" t="n"/>
      <c r="D176" s="11" t="n"/>
      <c r="E176" s="3" t="n"/>
      <c r="F176" s="10" t="n"/>
      <c r="G176" s="3" t="n"/>
      <c r="H176" s="12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3">
        <f>IF(A176="","",SUM(I176,K176,M176,O176,Q176))</f>
        <v/>
      </c>
      <c r="T176" s="10" t="n"/>
      <c r="U176" s="10" t="n"/>
      <c r="V176" s="3" t="n"/>
      <c r="W176" s="3" t="n"/>
      <c r="X176" s="10" t="n"/>
      <c r="Y176" s="13">
        <f>IF(A176="","",COUNTA(A176,B176,C176,F176,H176,T176,U176,X176)/8)</f>
        <v/>
      </c>
      <c r="Z176" s="3" t="n"/>
    </row>
    <row r="177">
      <c r="A177" s="10" t="n"/>
      <c r="B177" s="10" t="n"/>
      <c r="C177" s="10" t="n"/>
      <c r="D177" s="11" t="n"/>
      <c r="E177" s="3" t="n"/>
      <c r="F177" s="10" t="n"/>
      <c r="G177" s="3" t="n"/>
      <c r="H177" s="12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3">
        <f>IF(A177="","",SUM(I177,K177,M177,O177,Q177))</f>
        <v/>
      </c>
      <c r="T177" s="10" t="n"/>
      <c r="U177" s="10" t="n"/>
      <c r="V177" s="3" t="n"/>
      <c r="W177" s="3" t="n"/>
      <c r="X177" s="10" t="n"/>
      <c r="Y177" s="13">
        <f>IF(A177="","",COUNTA(A177,B177,C177,F177,H177,T177,U177,X177)/8)</f>
        <v/>
      </c>
      <c r="Z177" s="3" t="n"/>
    </row>
    <row r="178">
      <c r="A178" s="10" t="n"/>
      <c r="B178" s="10" t="n"/>
      <c r="C178" s="10" t="n"/>
      <c r="D178" s="11" t="n"/>
      <c r="E178" s="3" t="n"/>
      <c r="F178" s="10" t="n"/>
      <c r="G178" s="3" t="n"/>
      <c r="H178" s="12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3">
        <f>IF(A178="","",SUM(I178,K178,M178,O178,Q178))</f>
        <v/>
      </c>
      <c r="T178" s="10" t="n"/>
      <c r="U178" s="10" t="n"/>
      <c r="V178" s="3" t="n"/>
      <c r="W178" s="3" t="n"/>
      <c r="X178" s="10" t="n"/>
      <c r="Y178" s="13">
        <f>IF(A178="","",COUNTA(A178,B178,C178,F178,H178,T178,U178,X178)/8)</f>
        <v/>
      </c>
      <c r="Z178" s="3" t="n"/>
    </row>
    <row r="179">
      <c r="A179" s="10" t="n"/>
      <c r="B179" s="10" t="n"/>
      <c r="C179" s="10" t="n"/>
      <c r="D179" s="11" t="n"/>
      <c r="E179" s="3" t="n"/>
      <c r="F179" s="10" t="n"/>
      <c r="G179" s="3" t="n"/>
      <c r="H179" s="12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3">
        <f>IF(A179="","",SUM(I179,K179,M179,O179,Q179))</f>
        <v/>
      </c>
      <c r="T179" s="10" t="n"/>
      <c r="U179" s="10" t="n"/>
      <c r="V179" s="3" t="n"/>
      <c r="W179" s="3" t="n"/>
      <c r="X179" s="10" t="n"/>
      <c r="Y179" s="13">
        <f>IF(A179="","",COUNTA(A179,B179,C179,F179,H179,T179,U179,X179)/8)</f>
        <v/>
      </c>
      <c r="Z179" s="3" t="n"/>
    </row>
    <row r="180">
      <c r="A180" s="10" t="n"/>
      <c r="B180" s="10" t="n"/>
      <c r="C180" s="10" t="n"/>
      <c r="D180" s="11" t="n"/>
      <c r="E180" s="3" t="n"/>
      <c r="F180" s="10" t="n"/>
      <c r="G180" s="3" t="n"/>
      <c r="H180" s="12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3">
        <f>IF(A180="","",SUM(I180,K180,M180,O180,Q180))</f>
        <v/>
      </c>
      <c r="T180" s="10" t="n"/>
      <c r="U180" s="10" t="n"/>
      <c r="V180" s="3" t="n"/>
      <c r="W180" s="3" t="n"/>
      <c r="X180" s="10" t="n"/>
      <c r="Y180" s="13">
        <f>IF(A180="","",COUNTA(A180,B180,C180,F180,H180,T180,U180,X180)/8)</f>
        <v/>
      </c>
      <c r="Z180" s="3" t="n"/>
    </row>
    <row r="181">
      <c r="A181" s="10" t="n"/>
      <c r="B181" s="10" t="n"/>
      <c r="C181" s="10" t="n"/>
      <c r="D181" s="11" t="n"/>
      <c r="E181" s="3" t="n"/>
      <c r="F181" s="10" t="n"/>
      <c r="G181" s="3" t="n"/>
      <c r="H181" s="12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3">
        <f>IF(A181="","",SUM(I181,K181,M181,O181,Q181))</f>
        <v/>
      </c>
      <c r="T181" s="10" t="n"/>
      <c r="U181" s="10" t="n"/>
      <c r="V181" s="3" t="n"/>
      <c r="W181" s="3" t="n"/>
      <c r="X181" s="10" t="n"/>
      <c r="Y181" s="13">
        <f>IF(A181="","",COUNTA(A181,B181,C181,F181,H181,T181,U181,X181)/8)</f>
        <v/>
      </c>
      <c r="Z181" s="3" t="n"/>
    </row>
    <row r="182">
      <c r="A182" s="10" t="n"/>
      <c r="B182" s="10" t="n"/>
      <c r="C182" s="10" t="n"/>
      <c r="D182" s="11" t="n"/>
      <c r="E182" s="3" t="n"/>
      <c r="F182" s="10" t="n"/>
      <c r="G182" s="3" t="n"/>
      <c r="H182" s="12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3">
        <f>IF(A182="","",SUM(I182,K182,M182,O182,Q182))</f>
        <v/>
      </c>
      <c r="T182" s="10" t="n"/>
      <c r="U182" s="10" t="n"/>
      <c r="V182" s="3" t="n"/>
      <c r="W182" s="3" t="n"/>
      <c r="X182" s="10" t="n"/>
      <c r="Y182" s="13">
        <f>IF(A182="","",COUNTA(A182,B182,C182,F182,H182,T182,U182,X182)/8)</f>
        <v/>
      </c>
      <c r="Z182" s="3" t="n"/>
    </row>
    <row r="183">
      <c r="A183" s="10" t="n"/>
      <c r="B183" s="10" t="n"/>
      <c r="C183" s="10" t="n"/>
      <c r="D183" s="11" t="n"/>
      <c r="E183" s="3" t="n"/>
      <c r="F183" s="10" t="n"/>
      <c r="G183" s="3" t="n"/>
      <c r="H183" s="12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3">
        <f>IF(A183="","",SUM(I183,K183,M183,O183,Q183))</f>
        <v/>
      </c>
      <c r="T183" s="10" t="n"/>
      <c r="U183" s="10" t="n"/>
      <c r="V183" s="3" t="n"/>
      <c r="W183" s="3" t="n"/>
      <c r="X183" s="10" t="n"/>
      <c r="Y183" s="13">
        <f>IF(A183="","",COUNTA(A183,B183,C183,F183,H183,T183,U183,X183)/8)</f>
        <v/>
      </c>
      <c r="Z183" s="3" t="n"/>
    </row>
    <row r="184">
      <c r="A184" s="10" t="n"/>
      <c r="B184" s="10" t="n"/>
      <c r="C184" s="10" t="n"/>
      <c r="D184" s="11" t="n"/>
      <c r="E184" s="3" t="n"/>
      <c r="F184" s="10" t="n"/>
      <c r="G184" s="3" t="n"/>
      <c r="H184" s="12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3">
        <f>IF(A184="","",SUM(I184,K184,M184,O184,Q184))</f>
        <v/>
      </c>
      <c r="T184" s="10" t="n"/>
      <c r="U184" s="10" t="n"/>
      <c r="V184" s="3" t="n"/>
      <c r="W184" s="3" t="n"/>
      <c r="X184" s="10" t="n"/>
      <c r="Y184" s="13">
        <f>IF(A184="","",COUNTA(A184,B184,C184,F184,H184,T184,U184,X184)/8)</f>
        <v/>
      </c>
      <c r="Z184" s="3" t="n"/>
    </row>
    <row r="185">
      <c r="A185" s="10" t="n"/>
      <c r="B185" s="10" t="n"/>
      <c r="C185" s="10" t="n"/>
      <c r="D185" s="11" t="n"/>
      <c r="E185" s="3" t="n"/>
      <c r="F185" s="10" t="n"/>
      <c r="G185" s="3" t="n"/>
      <c r="H185" s="12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3">
        <f>IF(A185="","",SUM(I185,K185,M185,O185,Q185))</f>
        <v/>
      </c>
      <c r="T185" s="10" t="n"/>
      <c r="U185" s="10" t="n"/>
      <c r="V185" s="3" t="n"/>
      <c r="W185" s="3" t="n"/>
      <c r="X185" s="10" t="n"/>
      <c r="Y185" s="13">
        <f>IF(A185="","",COUNTA(A185,B185,C185,F185,H185,T185,U185,X185)/8)</f>
        <v/>
      </c>
      <c r="Z185" s="3" t="n"/>
    </row>
    <row r="186">
      <c r="A186" s="10" t="n"/>
      <c r="B186" s="10" t="n"/>
      <c r="C186" s="10" t="n"/>
      <c r="D186" s="11" t="n"/>
      <c r="E186" s="3" t="n"/>
      <c r="F186" s="10" t="n"/>
      <c r="G186" s="3" t="n"/>
      <c r="H186" s="12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3">
        <f>IF(A186="","",SUM(I186,K186,M186,O186,Q186))</f>
        <v/>
      </c>
      <c r="T186" s="10" t="n"/>
      <c r="U186" s="10" t="n"/>
      <c r="V186" s="3" t="n"/>
      <c r="W186" s="3" t="n"/>
      <c r="X186" s="10" t="n"/>
      <c r="Y186" s="13">
        <f>IF(A186="","",COUNTA(A186,B186,C186,F186,H186,T186,U186,X186)/8)</f>
        <v/>
      </c>
      <c r="Z186" s="3" t="n"/>
    </row>
    <row r="187">
      <c r="A187" s="10" t="n"/>
      <c r="B187" s="10" t="n"/>
      <c r="C187" s="10" t="n"/>
      <c r="D187" s="11" t="n"/>
      <c r="E187" s="3" t="n"/>
      <c r="F187" s="10" t="n"/>
      <c r="G187" s="3" t="n"/>
      <c r="H187" s="12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3">
        <f>IF(A187="","",SUM(I187,K187,M187,O187,Q187))</f>
        <v/>
      </c>
      <c r="T187" s="10" t="n"/>
      <c r="U187" s="10" t="n"/>
      <c r="V187" s="3" t="n"/>
      <c r="W187" s="3" t="n"/>
      <c r="X187" s="10" t="n"/>
      <c r="Y187" s="13">
        <f>IF(A187="","",COUNTA(A187,B187,C187,F187,H187,T187,U187,X187)/8)</f>
        <v/>
      </c>
      <c r="Z187" s="3" t="n"/>
    </row>
    <row r="188">
      <c r="A188" s="10" t="n"/>
      <c r="B188" s="10" t="n"/>
      <c r="C188" s="10" t="n"/>
      <c r="D188" s="11" t="n"/>
      <c r="E188" s="3" t="n"/>
      <c r="F188" s="10" t="n"/>
      <c r="G188" s="3" t="n"/>
      <c r="H188" s="12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3">
        <f>IF(A188="","",SUM(I188,K188,M188,O188,Q188))</f>
        <v/>
      </c>
      <c r="T188" s="10" t="n"/>
      <c r="U188" s="10" t="n"/>
      <c r="V188" s="3" t="n"/>
      <c r="W188" s="3" t="n"/>
      <c r="X188" s="10" t="n"/>
      <c r="Y188" s="13">
        <f>IF(A188="","",COUNTA(A188,B188,C188,F188,H188,T188,U188,X188)/8)</f>
        <v/>
      </c>
      <c r="Z188" s="3" t="n"/>
    </row>
    <row r="189">
      <c r="A189" s="10" t="n"/>
      <c r="B189" s="10" t="n"/>
      <c r="C189" s="10" t="n"/>
      <c r="D189" s="11" t="n"/>
      <c r="E189" s="3" t="n"/>
      <c r="F189" s="10" t="n"/>
      <c r="G189" s="3" t="n"/>
      <c r="H189" s="12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3">
        <f>IF(A189="","",SUM(I189,K189,M189,O189,Q189))</f>
        <v/>
      </c>
      <c r="T189" s="10" t="n"/>
      <c r="U189" s="10" t="n"/>
      <c r="V189" s="3" t="n"/>
      <c r="W189" s="3" t="n"/>
      <c r="X189" s="10" t="n"/>
      <c r="Y189" s="13">
        <f>IF(A189="","",COUNTA(A189,B189,C189,F189,H189,T189,U189,X189)/8)</f>
        <v/>
      </c>
      <c r="Z189" s="3" t="n"/>
    </row>
    <row r="190">
      <c r="A190" s="10" t="n"/>
      <c r="B190" s="10" t="n"/>
      <c r="C190" s="10" t="n"/>
      <c r="D190" s="11" t="n"/>
      <c r="E190" s="3" t="n"/>
      <c r="F190" s="10" t="n"/>
      <c r="G190" s="3" t="n"/>
      <c r="H190" s="12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3">
        <f>IF(A190="","",SUM(I190,K190,M190,O190,Q190))</f>
        <v/>
      </c>
      <c r="T190" s="10" t="n"/>
      <c r="U190" s="10" t="n"/>
      <c r="V190" s="3" t="n"/>
      <c r="W190" s="3" t="n"/>
      <c r="X190" s="10" t="n"/>
      <c r="Y190" s="13">
        <f>IF(A190="","",COUNTA(A190,B190,C190,F190,H190,T190,U190,X190)/8)</f>
        <v/>
      </c>
      <c r="Z190" s="3" t="n"/>
    </row>
    <row r="191">
      <c r="A191" s="10" t="n"/>
      <c r="B191" s="10" t="n"/>
      <c r="C191" s="10" t="n"/>
      <c r="D191" s="11" t="n"/>
      <c r="E191" s="3" t="n"/>
      <c r="F191" s="10" t="n"/>
      <c r="G191" s="3" t="n"/>
      <c r="H191" s="12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3">
        <f>IF(A191="","",SUM(I191,K191,M191,O191,Q191))</f>
        <v/>
      </c>
      <c r="T191" s="10" t="n"/>
      <c r="U191" s="10" t="n"/>
      <c r="V191" s="3" t="n"/>
      <c r="W191" s="3" t="n"/>
      <c r="X191" s="10" t="n"/>
      <c r="Y191" s="13">
        <f>IF(A191="","",COUNTA(A191,B191,C191,F191,H191,T191,U191,X191)/8)</f>
        <v/>
      </c>
      <c r="Z191" s="3" t="n"/>
    </row>
    <row r="192">
      <c r="A192" s="10" t="n"/>
      <c r="B192" s="10" t="n"/>
      <c r="C192" s="10" t="n"/>
      <c r="D192" s="11" t="n"/>
      <c r="E192" s="3" t="n"/>
      <c r="F192" s="10" t="n"/>
      <c r="G192" s="3" t="n"/>
      <c r="H192" s="12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3">
        <f>IF(A192="","",SUM(I192,K192,M192,O192,Q192))</f>
        <v/>
      </c>
      <c r="T192" s="10" t="n"/>
      <c r="U192" s="10" t="n"/>
      <c r="V192" s="3" t="n"/>
      <c r="W192" s="3" t="n"/>
      <c r="X192" s="10" t="n"/>
      <c r="Y192" s="13">
        <f>IF(A192="","",COUNTA(A192,B192,C192,F192,H192,T192,U192,X192)/8)</f>
        <v/>
      </c>
      <c r="Z192" s="3" t="n"/>
    </row>
    <row r="193">
      <c r="A193" s="10" t="n"/>
      <c r="B193" s="10" t="n"/>
      <c r="C193" s="10" t="n"/>
      <c r="D193" s="11" t="n"/>
      <c r="E193" s="3" t="n"/>
      <c r="F193" s="10" t="n"/>
      <c r="G193" s="3" t="n"/>
      <c r="H193" s="12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3">
        <f>IF(A193="","",SUM(I193,K193,M193,O193,Q193))</f>
        <v/>
      </c>
      <c r="T193" s="10" t="n"/>
      <c r="U193" s="10" t="n"/>
      <c r="V193" s="3" t="n"/>
      <c r="W193" s="3" t="n"/>
      <c r="X193" s="10" t="n"/>
      <c r="Y193" s="13">
        <f>IF(A193="","",COUNTA(A193,B193,C193,F193,H193,T193,U193,X193)/8)</f>
        <v/>
      </c>
      <c r="Z193" s="3" t="n"/>
    </row>
    <row r="194">
      <c r="A194" s="10" t="n"/>
      <c r="B194" s="10" t="n"/>
      <c r="C194" s="10" t="n"/>
      <c r="D194" s="11" t="n"/>
      <c r="E194" s="3" t="n"/>
      <c r="F194" s="10" t="n"/>
      <c r="G194" s="3" t="n"/>
      <c r="H194" s="12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3">
        <f>IF(A194="","",SUM(I194,K194,M194,O194,Q194))</f>
        <v/>
      </c>
      <c r="T194" s="10" t="n"/>
      <c r="U194" s="10" t="n"/>
      <c r="V194" s="3" t="n"/>
      <c r="W194" s="3" t="n"/>
      <c r="X194" s="10" t="n"/>
      <c r="Y194" s="13">
        <f>IF(A194="","",COUNTA(A194,B194,C194,F194,H194,T194,U194,X194)/8)</f>
        <v/>
      </c>
      <c r="Z194" s="3" t="n"/>
    </row>
    <row r="195">
      <c r="A195" s="10" t="n"/>
      <c r="B195" s="10" t="n"/>
      <c r="C195" s="10" t="n"/>
      <c r="D195" s="11" t="n"/>
      <c r="E195" s="3" t="n"/>
      <c r="F195" s="10" t="n"/>
      <c r="G195" s="3" t="n"/>
      <c r="H195" s="12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3">
        <f>IF(A195="","",SUM(I195,K195,M195,O195,Q195))</f>
        <v/>
      </c>
      <c r="T195" s="10" t="n"/>
      <c r="U195" s="10" t="n"/>
      <c r="V195" s="3" t="n"/>
      <c r="W195" s="3" t="n"/>
      <c r="X195" s="10" t="n"/>
      <c r="Y195" s="13">
        <f>IF(A195="","",COUNTA(A195,B195,C195,F195,H195,T195,U195,X195)/8)</f>
        <v/>
      </c>
      <c r="Z195" s="3" t="n"/>
    </row>
    <row r="196">
      <c r="A196" s="10" t="n"/>
      <c r="B196" s="10" t="n"/>
      <c r="C196" s="10" t="n"/>
      <c r="D196" s="11" t="n"/>
      <c r="E196" s="3" t="n"/>
      <c r="F196" s="10" t="n"/>
      <c r="G196" s="3" t="n"/>
      <c r="H196" s="12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3">
        <f>IF(A196="","",SUM(I196,K196,M196,O196,Q196))</f>
        <v/>
      </c>
      <c r="T196" s="10" t="n"/>
      <c r="U196" s="10" t="n"/>
      <c r="V196" s="3" t="n"/>
      <c r="W196" s="3" t="n"/>
      <c r="X196" s="10" t="n"/>
      <c r="Y196" s="13">
        <f>IF(A196="","",COUNTA(A196,B196,C196,F196,H196,T196,U196,X196)/8)</f>
        <v/>
      </c>
      <c r="Z196" s="3" t="n"/>
    </row>
    <row r="197">
      <c r="A197" s="10" t="n"/>
      <c r="B197" s="10" t="n"/>
      <c r="C197" s="10" t="n"/>
      <c r="D197" s="11" t="n"/>
      <c r="E197" s="3" t="n"/>
      <c r="F197" s="10" t="n"/>
      <c r="G197" s="3" t="n"/>
      <c r="H197" s="12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3">
        <f>IF(A197="","",SUM(I197,K197,M197,O197,Q197))</f>
        <v/>
      </c>
      <c r="T197" s="10" t="n"/>
      <c r="U197" s="10" t="n"/>
      <c r="V197" s="3" t="n"/>
      <c r="W197" s="3" t="n"/>
      <c r="X197" s="10" t="n"/>
      <c r="Y197" s="13">
        <f>IF(A197="","",COUNTA(A197,B197,C197,F197,H197,T197,U197,X197)/8)</f>
        <v/>
      </c>
      <c r="Z197" s="3" t="n"/>
    </row>
    <row r="198">
      <c r="A198" s="10" t="n"/>
      <c r="B198" s="10" t="n"/>
      <c r="C198" s="10" t="n"/>
      <c r="D198" s="11" t="n"/>
      <c r="E198" s="3" t="n"/>
      <c r="F198" s="10" t="n"/>
      <c r="G198" s="3" t="n"/>
      <c r="H198" s="12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3">
        <f>IF(A198="","",SUM(I198,K198,M198,O198,Q198))</f>
        <v/>
      </c>
      <c r="T198" s="10" t="n"/>
      <c r="U198" s="10" t="n"/>
      <c r="V198" s="3" t="n"/>
      <c r="W198" s="3" t="n"/>
      <c r="X198" s="10" t="n"/>
      <c r="Y198" s="13">
        <f>IF(A198="","",COUNTA(A198,B198,C198,F198,H198,T198,U198,X198)/8)</f>
        <v/>
      </c>
      <c r="Z198" s="3" t="n"/>
    </row>
    <row r="199">
      <c r="A199" s="10" t="n"/>
      <c r="B199" s="10" t="n"/>
      <c r="C199" s="10" t="n"/>
      <c r="D199" s="11" t="n"/>
      <c r="E199" s="3" t="n"/>
      <c r="F199" s="10" t="n"/>
      <c r="G199" s="3" t="n"/>
      <c r="H199" s="12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3">
        <f>IF(A199="","",SUM(I199,K199,M199,O199,Q199))</f>
        <v/>
      </c>
      <c r="T199" s="10" t="n"/>
      <c r="U199" s="10" t="n"/>
      <c r="V199" s="3" t="n"/>
      <c r="W199" s="3" t="n"/>
      <c r="X199" s="10" t="n"/>
      <c r="Y199" s="13">
        <f>IF(A199="","",COUNTA(A199,B199,C199,F199,H199,T199,U199,X199)/8)</f>
        <v/>
      </c>
      <c r="Z199" s="3" t="n"/>
    </row>
    <row r="200">
      <c r="A200" s="10" t="n"/>
      <c r="B200" s="10" t="n"/>
      <c r="C200" s="10" t="n"/>
      <c r="D200" s="11" t="n"/>
      <c r="E200" s="3" t="n"/>
      <c r="F200" s="10" t="n"/>
      <c r="G200" s="3" t="n"/>
      <c r="H200" s="12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3">
        <f>IF(A200="","",SUM(I200,K200,M200,O200,Q200))</f>
        <v/>
      </c>
      <c r="T200" s="10" t="n"/>
      <c r="U200" s="10" t="n"/>
      <c r="V200" s="3" t="n"/>
      <c r="W200" s="3" t="n"/>
      <c r="X200" s="10" t="n"/>
      <c r="Y200" s="13">
        <f>IF(A200="","",COUNTA(A200,B200,C200,F200,H200,T200,U200,X200)/8)</f>
        <v/>
      </c>
      <c r="Z200" s="3" t="n"/>
    </row>
    <row r="201">
      <c r="A201" s="10" t="n"/>
      <c r="B201" s="10" t="n"/>
      <c r="C201" s="10" t="n"/>
      <c r="D201" s="11" t="n"/>
      <c r="E201" s="3" t="n"/>
      <c r="F201" s="10" t="n"/>
      <c r="G201" s="3" t="n"/>
      <c r="H201" s="12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3">
        <f>IF(A201="","",SUM(I201,K201,M201,O201,Q201))</f>
        <v/>
      </c>
      <c r="T201" s="10" t="n"/>
      <c r="U201" s="10" t="n"/>
      <c r="V201" s="3" t="n"/>
      <c r="W201" s="3" t="n"/>
      <c r="X201" s="10" t="n"/>
      <c r="Y201" s="13">
        <f>IF(A201="","",COUNTA(A201,B201,C201,F201,H201,T201,U201,X201)/8)</f>
        <v/>
      </c>
      <c r="Z201" s="3" t="n"/>
    </row>
    <row r="202">
      <c r="A202" s="10" t="n"/>
      <c r="B202" s="10" t="n"/>
      <c r="C202" s="10" t="n"/>
      <c r="D202" s="11" t="n"/>
      <c r="E202" s="3" t="n"/>
      <c r="F202" s="10" t="n"/>
      <c r="G202" s="3" t="n"/>
      <c r="H202" s="12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3">
        <f>IF(A202="","",SUM(I202,K202,M202,O202,Q202))</f>
        <v/>
      </c>
      <c r="T202" s="10" t="n"/>
      <c r="U202" s="10" t="n"/>
      <c r="V202" s="3" t="n"/>
      <c r="W202" s="3" t="n"/>
      <c r="X202" s="10" t="n"/>
      <c r="Y202" s="13">
        <f>IF(A202="","",COUNTA(A202,B202,C202,F202,H202,T202,U202,X202)/8)</f>
        <v/>
      </c>
      <c r="Z202" s="3" t="n"/>
    </row>
    <row r="203">
      <c r="A203" s="10" t="n"/>
      <c r="B203" s="10" t="n"/>
      <c r="C203" s="10" t="n"/>
      <c r="D203" s="11" t="n"/>
      <c r="E203" s="3" t="n"/>
      <c r="F203" s="10" t="n"/>
      <c r="G203" s="3" t="n"/>
      <c r="H203" s="12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3">
        <f>IF(A203="","",SUM(I203,K203,M203,O203,Q203))</f>
        <v/>
      </c>
      <c r="T203" s="10" t="n"/>
      <c r="U203" s="10" t="n"/>
      <c r="V203" s="3" t="n"/>
      <c r="W203" s="3" t="n"/>
      <c r="X203" s="10" t="n"/>
      <c r="Y203" s="13">
        <f>IF(A203="","",COUNTA(A203,B203,C203,F203,H203,T203,U203,X203)/8)</f>
        <v/>
      </c>
      <c r="Z203" s="3" t="n"/>
    </row>
    <row r="204">
      <c r="A204" s="10" t="n"/>
      <c r="B204" s="10" t="n"/>
      <c r="C204" s="10" t="n"/>
      <c r="D204" s="11" t="n"/>
      <c r="E204" s="3" t="n"/>
      <c r="F204" s="10" t="n"/>
      <c r="G204" s="3" t="n"/>
      <c r="H204" s="12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3">
        <f>IF(A204="","",SUM(I204,K204,M204,O204,Q204))</f>
        <v/>
      </c>
      <c r="T204" s="10" t="n"/>
      <c r="U204" s="10" t="n"/>
      <c r="V204" s="3" t="n"/>
      <c r="W204" s="3" t="n"/>
      <c r="X204" s="10" t="n"/>
      <c r="Y204" s="13">
        <f>IF(A204="","",COUNTA(A204,B204,C204,F204,H204,T204,U204,X204)/8)</f>
        <v/>
      </c>
      <c r="Z204" s="3" t="n"/>
    </row>
    <row r="205">
      <c r="A205" s="10" t="n"/>
      <c r="B205" s="10" t="n"/>
      <c r="C205" s="10" t="n"/>
      <c r="D205" s="11" t="n"/>
      <c r="E205" s="3" t="n"/>
      <c r="F205" s="10" t="n"/>
      <c r="G205" s="3" t="n"/>
      <c r="H205" s="12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3">
        <f>IF(A205="","",SUM(I205,K205,M205,O205,Q205))</f>
        <v/>
      </c>
      <c r="T205" s="10" t="n"/>
      <c r="U205" s="10" t="n"/>
      <c r="V205" s="3" t="n"/>
      <c r="W205" s="3" t="n"/>
      <c r="X205" s="10" t="n"/>
      <c r="Y205" s="13">
        <f>IF(A205="","",COUNTA(A205,B205,C205,F205,H205,T205,U205,X205)/8)</f>
        <v/>
      </c>
      <c r="Z205" s="3" t="n"/>
    </row>
    <row r="206">
      <c r="A206" s="10" t="n"/>
      <c r="B206" s="10" t="n"/>
      <c r="C206" s="10" t="n"/>
      <c r="D206" s="11" t="n"/>
      <c r="E206" s="3" t="n"/>
      <c r="F206" s="10" t="n"/>
      <c r="G206" s="3" t="n"/>
      <c r="H206" s="12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3">
        <f>IF(A206="","",SUM(I206,K206,M206,O206,Q206))</f>
        <v/>
      </c>
      <c r="T206" s="10" t="n"/>
      <c r="U206" s="10" t="n"/>
      <c r="V206" s="3" t="n"/>
      <c r="W206" s="3" t="n"/>
      <c r="X206" s="10" t="n"/>
      <c r="Y206" s="13">
        <f>IF(A206="","",COUNTA(A206,B206,C206,F206,H206,T206,U206,X206)/8)</f>
        <v/>
      </c>
      <c r="Z206" s="3" t="n"/>
    </row>
    <row r="207">
      <c r="A207" s="10" t="n"/>
      <c r="B207" s="10" t="n"/>
      <c r="C207" s="10" t="n"/>
      <c r="D207" s="11" t="n"/>
      <c r="E207" s="3" t="n"/>
      <c r="F207" s="10" t="n"/>
      <c r="G207" s="3" t="n"/>
      <c r="H207" s="12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3">
        <f>IF(A207="","",SUM(I207,K207,M207,O207,Q207))</f>
        <v/>
      </c>
      <c r="T207" s="10" t="n"/>
      <c r="U207" s="10" t="n"/>
      <c r="V207" s="3" t="n"/>
      <c r="W207" s="3" t="n"/>
      <c r="X207" s="10" t="n"/>
      <c r="Y207" s="13">
        <f>IF(A207="","",COUNTA(A207,B207,C207,F207,H207,T207,U207,X207)/8)</f>
        <v/>
      </c>
      <c r="Z207" s="3" t="n"/>
    </row>
    <row r="208">
      <c r="A208" s="10" t="n"/>
      <c r="B208" s="10" t="n"/>
      <c r="C208" s="10" t="n"/>
      <c r="D208" s="11" t="n"/>
      <c r="E208" s="3" t="n"/>
      <c r="F208" s="10" t="n"/>
      <c r="G208" s="3" t="n"/>
      <c r="H208" s="12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3">
        <f>IF(A208="","",SUM(I208,K208,M208,O208,Q208))</f>
        <v/>
      </c>
      <c r="T208" s="10" t="n"/>
      <c r="U208" s="10" t="n"/>
      <c r="V208" s="3" t="n"/>
      <c r="W208" s="3" t="n"/>
      <c r="X208" s="10" t="n"/>
      <c r="Y208" s="13">
        <f>IF(A208="","",COUNTA(A208,B208,C208,F208,H208,T208,U208,X208)/8)</f>
        <v/>
      </c>
      <c r="Z208" s="3" t="n"/>
    </row>
    <row r="209">
      <c r="A209" s="10" t="n"/>
      <c r="B209" s="10" t="n"/>
      <c r="C209" s="10" t="n"/>
      <c r="D209" s="11" t="n"/>
      <c r="E209" s="3" t="n"/>
      <c r="F209" s="10" t="n"/>
      <c r="G209" s="3" t="n"/>
      <c r="H209" s="12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3">
        <f>IF(A209="","",SUM(I209,K209,M209,O209,Q209))</f>
        <v/>
      </c>
      <c r="T209" s="10" t="n"/>
      <c r="U209" s="10" t="n"/>
      <c r="V209" s="3" t="n"/>
      <c r="W209" s="3" t="n"/>
      <c r="X209" s="10" t="n"/>
      <c r="Y209" s="13">
        <f>IF(A209="","",COUNTA(A209,B209,C209,F209,H209,T209,U209,X209)/8)</f>
        <v/>
      </c>
      <c r="Z209" s="3" t="n"/>
    </row>
    <row r="210">
      <c r="A210" s="10" t="n"/>
      <c r="B210" s="10" t="n"/>
      <c r="C210" s="10" t="n"/>
      <c r="D210" s="11" t="n"/>
      <c r="E210" s="3" t="n"/>
      <c r="F210" s="10" t="n"/>
      <c r="G210" s="3" t="n"/>
      <c r="H210" s="12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3">
        <f>IF(A210="","",SUM(I210,K210,M210,O210,Q210))</f>
        <v/>
      </c>
      <c r="T210" s="10" t="n"/>
      <c r="U210" s="10" t="n"/>
      <c r="V210" s="3" t="n"/>
      <c r="W210" s="3" t="n"/>
      <c r="X210" s="10" t="n"/>
      <c r="Y210" s="13">
        <f>IF(A210="","",COUNTA(A210,B210,C210,F210,H210,T210,U210,X210)/8)</f>
        <v/>
      </c>
      <c r="Z210" s="3" t="n"/>
    </row>
    <row r="211">
      <c r="A211" s="10" t="n"/>
      <c r="B211" s="10" t="n"/>
      <c r="C211" s="10" t="n"/>
      <c r="D211" s="11" t="n"/>
      <c r="E211" s="3" t="n"/>
      <c r="F211" s="10" t="n"/>
      <c r="G211" s="3" t="n"/>
      <c r="H211" s="12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3">
        <f>IF(A211="","",SUM(I211,K211,M211,O211,Q211))</f>
        <v/>
      </c>
      <c r="T211" s="10" t="n"/>
      <c r="U211" s="10" t="n"/>
      <c r="V211" s="3" t="n"/>
      <c r="W211" s="3" t="n"/>
      <c r="X211" s="10" t="n"/>
      <c r="Y211" s="13">
        <f>IF(A211="","",COUNTA(A211,B211,C211,F211,H211,T211,U211,X211)/8)</f>
        <v/>
      </c>
      <c r="Z211" s="3" t="n"/>
    </row>
    <row r="212">
      <c r="A212" s="10" t="n"/>
      <c r="B212" s="10" t="n"/>
      <c r="C212" s="10" t="n"/>
      <c r="D212" s="11" t="n"/>
      <c r="E212" s="3" t="n"/>
      <c r="F212" s="10" t="n"/>
      <c r="G212" s="3" t="n"/>
      <c r="H212" s="12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3">
        <f>IF(A212="","",SUM(I212,K212,M212,O212,Q212))</f>
        <v/>
      </c>
      <c r="T212" s="10" t="n"/>
      <c r="U212" s="10" t="n"/>
      <c r="V212" s="3" t="n"/>
      <c r="W212" s="3" t="n"/>
      <c r="X212" s="10" t="n"/>
      <c r="Y212" s="13">
        <f>IF(A212="","",COUNTA(A212,B212,C212,F212,H212,T212,U212,X212)/8)</f>
        <v/>
      </c>
      <c r="Z212" s="3" t="n"/>
    </row>
    <row r="213">
      <c r="A213" s="10" t="n"/>
      <c r="B213" s="10" t="n"/>
      <c r="C213" s="10" t="n"/>
      <c r="D213" s="11" t="n"/>
      <c r="E213" s="3" t="n"/>
      <c r="F213" s="10" t="n"/>
      <c r="G213" s="3" t="n"/>
      <c r="H213" s="12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3">
        <f>IF(A213="","",SUM(I213,K213,M213,O213,Q213))</f>
        <v/>
      </c>
      <c r="T213" s="10" t="n"/>
      <c r="U213" s="10" t="n"/>
      <c r="V213" s="3" t="n"/>
      <c r="W213" s="3" t="n"/>
      <c r="X213" s="10" t="n"/>
      <c r="Y213" s="13">
        <f>IF(A213="","",COUNTA(A213,B213,C213,F213,H213,T213,U213,X213)/8)</f>
        <v/>
      </c>
      <c r="Z213" s="3" t="n"/>
    </row>
    <row r="214">
      <c r="A214" s="10" t="n"/>
      <c r="B214" s="10" t="n"/>
      <c r="C214" s="10" t="n"/>
      <c r="D214" s="11" t="n"/>
      <c r="E214" s="3" t="n"/>
      <c r="F214" s="10" t="n"/>
      <c r="G214" s="3" t="n"/>
      <c r="H214" s="12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3">
        <f>IF(A214="","",SUM(I214,K214,M214,O214,Q214))</f>
        <v/>
      </c>
      <c r="T214" s="10" t="n"/>
      <c r="U214" s="10" t="n"/>
      <c r="V214" s="3" t="n"/>
      <c r="W214" s="3" t="n"/>
      <c r="X214" s="10" t="n"/>
      <c r="Y214" s="13">
        <f>IF(A214="","",COUNTA(A214,B214,C214,F214,H214,T214,U214,X214)/8)</f>
        <v/>
      </c>
      <c r="Z214" s="3" t="n"/>
    </row>
    <row r="215">
      <c r="A215" s="10" t="n"/>
      <c r="B215" s="10" t="n"/>
      <c r="C215" s="10" t="n"/>
      <c r="D215" s="11" t="n"/>
      <c r="E215" s="3" t="n"/>
      <c r="F215" s="10" t="n"/>
      <c r="G215" s="3" t="n"/>
      <c r="H215" s="12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3">
        <f>IF(A215="","",SUM(I215,K215,M215,O215,Q215))</f>
        <v/>
      </c>
      <c r="T215" s="10" t="n"/>
      <c r="U215" s="10" t="n"/>
      <c r="V215" s="3" t="n"/>
      <c r="W215" s="3" t="n"/>
      <c r="X215" s="10" t="n"/>
      <c r="Y215" s="13">
        <f>IF(A215="","",COUNTA(A215,B215,C215,F215,H215,T215,U215,X215)/8)</f>
        <v/>
      </c>
      <c r="Z215" s="3" t="n"/>
    </row>
    <row r="216">
      <c r="A216" s="10" t="n"/>
      <c r="B216" s="10" t="n"/>
      <c r="C216" s="10" t="n"/>
      <c r="D216" s="11" t="n"/>
      <c r="E216" s="3" t="n"/>
      <c r="F216" s="10" t="n"/>
      <c r="G216" s="3" t="n"/>
      <c r="H216" s="12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3">
        <f>IF(A216="","",SUM(I216,K216,M216,O216,Q216))</f>
        <v/>
      </c>
      <c r="T216" s="10" t="n"/>
      <c r="U216" s="10" t="n"/>
      <c r="V216" s="3" t="n"/>
      <c r="W216" s="3" t="n"/>
      <c r="X216" s="10" t="n"/>
      <c r="Y216" s="13">
        <f>IF(A216="","",COUNTA(A216,B216,C216,F216,H216,T216,U216,X216)/8)</f>
        <v/>
      </c>
      <c r="Z216" s="3" t="n"/>
    </row>
    <row r="217">
      <c r="A217" s="10" t="n"/>
      <c r="B217" s="10" t="n"/>
      <c r="C217" s="10" t="n"/>
      <c r="D217" s="11" t="n"/>
      <c r="E217" s="3" t="n"/>
      <c r="F217" s="10" t="n"/>
      <c r="G217" s="3" t="n"/>
      <c r="H217" s="12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3">
        <f>IF(A217="","",SUM(I217,K217,M217,O217,Q217))</f>
        <v/>
      </c>
      <c r="T217" s="10" t="n"/>
      <c r="U217" s="10" t="n"/>
      <c r="V217" s="3" t="n"/>
      <c r="W217" s="3" t="n"/>
      <c r="X217" s="10" t="n"/>
      <c r="Y217" s="13">
        <f>IF(A217="","",COUNTA(A217,B217,C217,F217,H217,T217,U217,X217)/8)</f>
        <v/>
      </c>
      <c r="Z217" s="3" t="n"/>
    </row>
    <row r="218">
      <c r="A218" s="10" t="n"/>
      <c r="B218" s="10" t="n"/>
      <c r="C218" s="10" t="n"/>
      <c r="D218" s="11" t="n"/>
      <c r="E218" s="3" t="n"/>
      <c r="F218" s="10" t="n"/>
      <c r="G218" s="3" t="n"/>
      <c r="H218" s="12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3">
        <f>IF(A218="","",SUM(I218,K218,M218,O218,Q218))</f>
        <v/>
      </c>
      <c r="T218" s="10" t="n"/>
      <c r="U218" s="10" t="n"/>
      <c r="V218" s="3" t="n"/>
      <c r="W218" s="3" t="n"/>
      <c r="X218" s="10" t="n"/>
      <c r="Y218" s="13">
        <f>IF(A218="","",COUNTA(A218,B218,C218,F218,H218,T218,U218,X218)/8)</f>
        <v/>
      </c>
      <c r="Z218" s="3" t="n"/>
    </row>
    <row r="219">
      <c r="A219" s="10" t="n"/>
      <c r="B219" s="10" t="n"/>
      <c r="C219" s="10" t="n"/>
      <c r="D219" s="11" t="n"/>
      <c r="E219" s="3" t="n"/>
      <c r="F219" s="10" t="n"/>
      <c r="G219" s="3" t="n"/>
      <c r="H219" s="12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3">
        <f>IF(A219="","",SUM(I219,K219,M219,O219,Q219))</f>
        <v/>
      </c>
      <c r="T219" s="10" t="n"/>
      <c r="U219" s="10" t="n"/>
      <c r="V219" s="3" t="n"/>
      <c r="W219" s="3" t="n"/>
      <c r="X219" s="10" t="n"/>
      <c r="Y219" s="13">
        <f>IF(A219="","",COUNTA(A219,B219,C219,F219,H219,T219,U219,X219)/8)</f>
        <v/>
      </c>
      <c r="Z219" s="3" t="n"/>
    </row>
    <row r="220">
      <c r="A220" s="10" t="n"/>
      <c r="B220" s="10" t="n"/>
      <c r="C220" s="10" t="n"/>
      <c r="D220" s="11" t="n"/>
      <c r="E220" s="3" t="n"/>
      <c r="F220" s="10" t="n"/>
      <c r="G220" s="3" t="n"/>
      <c r="H220" s="12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3">
        <f>IF(A220="","",SUM(I220,K220,M220,O220,Q220))</f>
        <v/>
      </c>
      <c r="T220" s="10" t="n"/>
      <c r="U220" s="10" t="n"/>
      <c r="V220" s="3" t="n"/>
      <c r="W220" s="3" t="n"/>
      <c r="X220" s="10" t="n"/>
      <c r="Y220" s="13">
        <f>IF(A220="","",COUNTA(A220,B220,C220,F220,H220,T220,U220,X220)/8)</f>
        <v/>
      </c>
      <c r="Z220" s="3" t="n"/>
    </row>
    <row r="221">
      <c r="A221" s="10" t="n"/>
      <c r="B221" s="10" t="n"/>
      <c r="C221" s="10" t="n"/>
      <c r="D221" s="11" t="n"/>
      <c r="E221" s="3" t="n"/>
      <c r="F221" s="10" t="n"/>
      <c r="G221" s="3" t="n"/>
      <c r="H221" s="12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3">
        <f>IF(A221="","",SUM(I221,K221,M221,O221,Q221))</f>
        <v/>
      </c>
      <c r="T221" s="10" t="n"/>
      <c r="U221" s="10" t="n"/>
      <c r="V221" s="3" t="n"/>
      <c r="W221" s="3" t="n"/>
      <c r="X221" s="10" t="n"/>
      <c r="Y221" s="13">
        <f>IF(A221="","",COUNTA(A221,B221,C221,F221,H221,T221,U221,X221)/8)</f>
        <v/>
      </c>
      <c r="Z221" s="3" t="n"/>
    </row>
    <row r="222">
      <c r="A222" s="10" t="n"/>
      <c r="B222" s="10" t="n"/>
      <c r="C222" s="10" t="n"/>
      <c r="D222" s="11" t="n"/>
      <c r="E222" s="3" t="n"/>
      <c r="F222" s="10" t="n"/>
      <c r="G222" s="3" t="n"/>
      <c r="H222" s="12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3">
        <f>IF(A222="","",SUM(I222,K222,M222,O222,Q222))</f>
        <v/>
      </c>
      <c r="T222" s="10" t="n"/>
      <c r="U222" s="10" t="n"/>
      <c r="V222" s="3" t="n"/>
      <c r="W222" s="3" t="n"/>
      <c r="X222" s="10" t="n"/>
      <c r="Y222" s="13">
        <f>IF(A222="","",COUNTA(A222,B222,C222,F222,H222,T222,U222,X222)/8)</f>
        <v/>
      </c>
      <c r="Z222" s="3" t="n"/>
    </row>
    <row r="223">
      <c r="A223" s="10" t="n"/>
      <c r="B223" s="10" t="n"/>
      <c r="C223" s="10" t="n"/>
      <c r="D223" s="11" t="n"/>
      <c r="E223" s="3" t="n"/>
      <c r="F223" s="10" t="n"/>
      <c r="G223" s="3" t="n"/>
      <c r="H223" s="12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3">
        <f>IF(A223="","",SUM(I223,K223,M223,O223,Q223))</f>
        <v/>
      </c>
      <c r="T223" s="10" t="n"/>
      <c r="U223" s="10" t="n"/>
      <c r="V223" s="3" t="n"/>
      <c r="W223" s="3" t="n"/>
      <c r="X223" s="10" t="n"/>
      <c r="Y223" s="13">
        <f>IF(A223="","",COUNTA(A223,B223,C223,F223,H223,T223,U223,X223)/8)</f>
        <v/>
      </c>
      <c r="Z223" s="3" t="n"/>
    </row>
    <row r="224">
      <c r="A224" s="10" t="n"/>
      <c r="B224" s="10" t="n"/>
      <c r="C224" s="10" t="n"/>
      <c r="D224" s="11" t="n"/>
      <c r="E224" s="3" t="n"/>
      <c r="F224" s="10" t="n"/>
      <c r="G224" s="3" t="n"/>
      <c r="H224" s="12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3">
        <f>IF(A224="","",SUM(I224,K224,M224,O224,Q224))</f>
        <v/>
      </c>
      <c r="T224" s="10" t="n"/>
      <c r="U224" s="10" t="n"/>
      <c r="V224" s="3" t="n"/>
      <c r="W224" s="3" t="n"/>
      <c r="X224" s="10" t="n"/>
      <c r="Y224" s="13">
        <f>IF(A224="","",COUNTA(A224,B224,C224,F224,H224,T224,U224,X224)/8)</f>
        <v/>
      </c>
      <c r="Z224" s="3" t="n"/>
    </row>
    <row r="225">
      <c r="A225" s="10" t="n"/>
      <c r="B225" s="10" t="n"/>
      <c r="C225" s="10" t="n"/>
      <c r="D225" s="11" t="n"/>
      <c r="E225" s="3" t="n"/>
      <c r="F225" s="10" t="n"/>
      <c r="G225" s="3" t="n"/>
      <c r="H225" s="12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3">
        <f>IF(A225="","",SUM(I225,K225,M225,O225,Q225))</f>
        <v/>
      </c>
      <c r="T225" s="10" t="n"/>
      <c r="U225" s="10" t="n"/>
      <c r="V225" s="3" t="n"/>
      <c r="W225" s="3" t="n"/>
      <c r="X225" s="10" t="n"/>
      <c r="Y225" s="13">
        <f>IF(A225="","",COUNTA(A225,B225,C225,F225,H225,T225,U225,X225)/8)</f>
        <v/>
      </c>
      <c r="Z225" s="3" t="n"/>
    </row>
    <row r="226">
      <c r="A226" s="10" t="n"/>
      <c r="B226" s="10" t="n"/>
      <c r="C226" s="10" t="n"/>
      <c r="D226" s="11" t="n"/>
      <c r="E226" s="3" t="n"/>
      <c r="F226" s="10" t="n"/>
      <c r="G226" s="3" t="n"/>
      <c r="H226" s="12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3">
        <f>IF(A226="","",SUM(I226,K226,M226,O226,Q226))</f>
        <v/>
      </c>
      <c r="T226" s="10" t="n"/>
      <c r="U226" s="10" t="n"/>
      <c r="V226" s="3" t="n"/>
      <c r="W226" s="3" t="n"/>
      <c r="X226" s="10" t="n"/>
      <c r="Y226" s="13">
        <f>IF(A226="","",COUNTA(A226,B226,C226,F226,H226,T226,U226,X226)/8)</f>
        <v/>
      </c>
      <c r="Z226" s="3" t="n"/>
    </row>
    <row r="227">
      <c r="A227" s="10" t="n"/>
      <c r="B227" s="10" t="n"/>
      <c r="C227" s="10" t="n"/>
      <c r="D227" s="11" t="n"/>
      <c r="E227" s="3" t="n"/>
      <c r="F227" s="10" t="n"/>
      <c r="G227" s="3" t="n"/>
      <c r="H227" s="12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3">
        <f>IF(A227="","",SUM(I227,K227,M227,O227,Q227))</f>
        <v/>
      </c>
      <c r="T227" s="10" t="n"/>
      <c r="U227" s="10" t="n"/>
      <c r="V227" s="3" t="n"/>
      <c r="W227" s="3" t="n"/>
      <c r="X227" s="10" t="n"/>
      <c r="Y227" s="13">
        <f>IF(A227="","",COUNTA(A227,B227,C227,F227,H227,T227,U227,X227)/8)</f>
        <v/>
      </c>
      <c r="Z227" s="3" t="n"/>
    </row>
    <row r="228">
      <c r="A228" s="10" t="n"/>
      <c r="B228" s="10" t="n"/>
      <c r="C228" s="10" t="n"/>
      <c r="D228" s="11" t="n"/>
      <c r="E228" s="3" t="n"/>
      <c r="F228" s="10" t="n"/>
      <c r="G228" s="3" t="n"/>
      <c r="H228" s="12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3">
        <f>IF(A228="","",SUM(I228,K228,M228,O228,Q228))</f>
        <v/>
      </c>
      <c r="T228" s="10" t="n"/>
      <c r="U228" s="10" t="n"/>
      <c r="V228" s="3" t="n"/>
      <c r="W228" s="3" t="n"/>
      <c r="X228" s="10" t="n"/>
      <c r="Y228" s="13">
        <f>IF(A228="","",COUNTA(A228,B228,C228,F228,H228,T228,U228,X228)/8)</f>
        <v/>
      </c>
      <c r="Z228" s="3" t="n"/>
    </row>
    <row r="229">
      <c r="A229" s="10" t="n"/>
      <c r="B229" s="10" t="n"/>
      <c r="C229" s="10" t="n"/>
      <c r="D229" s="11" t="n"/>
      <c r="E229" s="3" t="n"/>
      <c r="F229" s="10" t="n"/>
      <c r="G229" s="3" t="n"/>
      <c r="H229" s="12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3">
        <f>IF(A229="","",SUM(I229,K229,M229,O229,Q229))</f>
        <v/>
      </c>
      <c r="T229" s="10" t="n"/>
      <c r="U229" s="10" t="n"/>
      <c r="V229" s="3" t="n"/>
      <c r="W229" s="3" t="n"/>
      <c r="X229" s="10" t="n"/>
      <c r="Y229" s="13">
        <f>IF(A229="","",COUNTA(A229,B229,C229,F229,H229,T229,U229,X229)/8)</f>
        <v/>
      </c>
      <c r="Z229" s="3" t="n"/>
    </row>
    <row r="230">
      <c r="A230" s="10" t="n"/>
      <c r="B230" s="10" t="n"/>
      <c r="C230" s="10" t="n"/>
      <c r="D230" s="11" t="n"/>
      <c r="E230" s="3" t="n"/>
      <c r="F230" s="10" t="n"/>
      <c r="G230" s="3" t="n"/>
      <c r="H230" s="12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3">
        <f>IF(A230="","",SUM(I230,K230,M230,O230,Q230))</f>
        <v/>
      </c>
      <c r="T230" s="10" t="n"/>
      <c r="U230" s="10" t="n"/>
      <c r="V230" s="3" t="n"/>
      <c r="W230" s="3" t="n"/>
      <c r="X230" s="10" t="n"/>
      <c r="Y230" s="13">
        <f>IF(A230="","",COUNTA(A230,B230,C230,F230,H230,T230,U230,X230)/8)</f>
        <v/>
      </c>
      <c r="Z230" s="3" t="n"/>
    </row>
    <row r="231">
      <c r="A231" s="10" t="n"/>
      <c r="B231" s="10" t="n"/>
      <c r="C231" s="10" t="n"/>
      <c r="D231" s="11" t="n"/>
      <c r="E231" s="3" t="n"/>
      <c r="F231" s="10" t="n"/>
      <c r="G231" s="3" t="n"/>
      <c r="H231" s="12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3">
        <f>IF(A231="","",SUM(I231,K231,M231,O231,Q231))</f>
        <v/>
      </c>
      <c r="T231" s="10" t="n"/>
      <c r="U231" s="10" t="n"/>
      <c r="V231" s="3" t="n"/>
      <c r="W231" s="3" t="n"/>
      <c r="X231" s="10" t="n"/>
      <c r="Y231" s="13">
        <f>IF(A231="","",COUNTA(A231,B231,C231,F231,H231,T231,U231,X231)/8)</f>
        <v/>
      </c>
      <c r="Z231" s="3" t="n"/>
    </row>
    <row r="232">
      <c r="A232" s="10" t="n"/>
      <c r="B232" s="10" t="n"/>
      <c r="C232" s="10" t="n"/>
      <c r="D232" s="11" t="n"/>
      <c r="E232" s="3" t="n"/>
      <c r="F232" s="10" t="n"/>
      <c r="G232" s="3" t="n"/>
      <c r="H232" s="12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3">
        <f>IF(A232="","",SUM(I232,K232,M232,O232,Q232))</f>
        <v/>
      </c>
      <c r="T232" s="10" t="n"/>
      <c r="U232" s="10" t="n"/>
      <c r="V232" s="3" t="n"/>
      <c r="W232" s="3" t="n"/>
      <c r="X232" s="10" t="n"/>
      <c r="Y232" s="13">
        <f>IF(A232="","",COUNTA(A232,B232,C232,F232,H232,T232,U232,X232)/8)</f>
        <v/>
      </c>
      <c r="Z232" s="3" t="n"/>
    </row>
    <row r="233">
      <c r="A233" s="10" t="n"/>
      <c r="B233" s="10" t="n"/>
      <c r="C233" s="10" t="n"/>
      <c r="D233" s="11" t="n"/>
      <c r="E233" s="3" t="n"/>
      <c r="F233" s="10" t="n"/>
      <c r="G233" s="3" t="n"/>
      <c r="H233" s="12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3">
        <f>IF(A233="","",SUM(I233,K233,M233,O233,Q233))</f>
        <v/>
      </c>
      <c r="T233" s="10" t="n"/>
      <c r="U233" s="10" t="n"/>
      <c r="V233" s="3" t="n"/>
      <c r="W233" s="3" t="n"/>
      <c r="X233" s="10" t="n"/>
      <c r="Y233" s="13">
        <f>IF(A233="","",COUNTA(A233,B233,C233,F233,H233,T233,U233,X233)/8)</f>
        <v/>
      </c>
      <c r="Z233" s="3" t="n"/>
    </row>
    <row r="234">
      <c r="A234" s="10" t="n"/>
      <c r="B234" s="10" t="n"/>
      <c r="C234" s="10" t="n"/>
      <c r="D234" s="11" t="n"/>
      <c r="E234" s="3" t="n"/>
      <c r="F234" s="10" t="n"/>
      <c r="G234" s="3" t="n"/>
      <c r="H234" s="12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3">
        <f>IF(A234="","",SUM(I234,K234,M234,O234,Q234))</f>
        <v/>
      </c>
      <c r="T234" s="10" t="n"/>
      <c r="U234" s="10" t="n"/>
      <c r="V234" s="3" t="n"/>
      <c r="W234" s="3" t="n"/>
      <c r="X234" s="10" t="n"/>
      <c r="Y234" s="13">
        <f>IF(A234="","",COUNTA(A234,B234,C234,F234,H234,T234,U234,X234)/8)</f>
        <v/>
      </c>
      <c r="Z234" s="3" t="n"/>
    </row>
    <row r="235">
      <c r="A235" s="10" t="n"/>
      <c r="B235" s="10" t="n"/>
      <c r="C235" s="10" t="n"/>
      <c r="D235" s="11" t="n"/>
      <c r="E235" s="3" t="n"/>
      <c r="F235" s="10" t="n"/>
      <c r="G235" s="3" t="n"/>
      <c r="H235" s="12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3">
        <f>IF(A235="","",SUM(I235,K235,M235,O235,Q235))</f>
        <v/>
      </c>
      <c r="T235" s="10" t="n"/>
      <c r="U235" s="10" t="n"/>
      <c r="V235" s="3" t="n"/>
      <c r="W235" s="3" t="n"/>
      <c r="X235" s="10" t="n"/>
      <c r="Y235" s="13">
        <f>IF(A235="","",COUNTA(A235,B235,C235,F235,H235,T235,U235,X235)/8)</f>
        <v/>
      </c>
      <c r="Z235" s="3" t="n"/>
    </row>
    <row r="236">
      <c r="A236" s="10" t="n"/>
      <c r="B236" s="10" t="n"/>
      <c r="C236" s="10" t="n"/>
      <c r="D236" s="11" t="n"/>
      <c r="E236" s="3" t="n"/>
      <c r="F236" s="10" t="n"/>
      <c r="G236" s="3" t="n"/>
      <c r="H236" s="12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3">
        <f>IF(A236="","",SUM(I236,K236,M236,O236,Q236))</f>
        <v/>
      </c>
      <c r="T236" s="10" t="n"/>
      <c r="U236" s="10" t="n"/>
      <c r="V236" s="3" t="n"/>
      <c r="W236" s="3" t="n"/>
      <c r="X236" s="10" t="n"/>
      <c r="Y236" s="13">
        <f>IF(A236="","",COUNTA(A236,B236,C236,F236,H236,T236,U236,X236)/8)</f>
        <v/>
      </c>
      <c r="Z236" s="3" t="n"/>
    </row>
    <row r="237">
      <c r="A237" s="10" t="n"/>
      <c r="B237" s="10" t="n"/>
      <c r="C237" s="10" t="n"/>
      <c r="D237" s="11" t="n"/>
      <c r="E237" s="3" t="n"/>
      <c r="F237" s="10" t="n"/>
      <c r="G237" s="3" t="n"/>
      <c r="H237" s="12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3">
        <f>IF(A237="","",SUM(I237,K237,M237,O237,Q237))</f>
        <v/>
      </c>
      <c r="T237" s="10" t="n"/>
      <c r="U237" s="10" t="n"/>
      <c r="V237" s="3" t="n"/>
      <c r="W237" s="3" t="n"/>
      <c r="X237" s="10" t="n"/>
      <c r="Y237" s="13">
        <f>IF(A237="","",COUNTA(A237,B237,C237,F237,H237,T237,U237,X237)/8)</f>
        <v/>
      </c>
      <c r="Z237" s="3" t="n"/>
    </row>
    <row r="238">
      <c r="A238" s="10" t="n"/>
      <c r="B238" s="10" t="n"/>
      <c r="C238" s="10" t="n"/>
      <c r="D238" s="11" t="n"/>
      <c r="E238" s="3" t="n"/>
      <c r="F238" s="10" t="n"/>
      <c r="G238" s="3" t="n"/>
      <c r="H238" s="12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3">
        <f>IF(A238="","",SUM(I238,K238,M238,O238,Q238))</f>
        <v/>
      </c>
      <c r="T238" s="10" t="n"/>
      <c r="U238" s="10" t="n"/>
      <c r="V238" s="3" t="n"/>
      <c r="W238" s="3" t="n"/>
      <c r="X238" s="10" t="n"/>
      <c r="Y238" s="13">
        <f>IF(A238="","",COUNTA(A238,B238,C238,F238,H238,T238,U238,X238)/8)</f>
        <v/>
      </c>
      <c r="Z238" s="3" t="n"/>
    </row>
    <row r="239">
      <c r="A239" s="10" t="n"/>
      <c r="B239" s="10" t="n"/>
      <c r="C239" s="10" t="n"/>
      <c r="D239" s="11" t="n"/>
      <c r="E239" s="3" t="n"/>
      <c r="F239" s="10" t="n"/>
      <c r="G239" s="3" t="n"/>
      <c r="H239" s="12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3">
        <f>IF(A239="","",SUM(I239,K239,M239,O239,Q239))</f>
        <v/>
      </c>
      <c r="T239" s="10" t="n"/>
      <c r="U239" s="10" t="n"/>
      <c r="V239" s="3" t="n"/>
      <c r="W239" s="3" t="n"/>
      <c r="X239" s="10" t="n"/>
      <c r="Y239" s="13">
        <f>IF(A239="","",COUNTA(A239,B239,C239,F239,H239,T239,U239,X239)/8)</f>
        <v/>
      </c>
      <c r="Z239" s="3" t="n"/>
    </row>
    <row r="240">
      <c r="A240" s="10" t="n"/>
      <c r="B240" s="10" t="n"/>
      <c r="C240" s="10" t="n"/>
      <c r="D240" s="11" t="n"/>
      <c r="E240" s="3" t="n"/>
      <c r="F240" s="10" t="n"/>
      <c r="G240" s="3" t="n"/>
      <c r="H240" s="12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3">
        <f>IF(A240="","",SUM(I240,K240,M240,O240,Q240))</f>
        <v/>
      </c>
      <c r="T240" s="10" t="n"/>
      <c r="U240" s="10" t="n"/>
      <c r="V240" s="3" t="n"/>
      <c r="W240" s="3" t="n"/>
      <c r="X240" s="10" t="n"/>
      <c r="Y240" s="13">
        <f>IF(A240="","",COUNTA(A240,B240,C240,F240,H240,T240,U240,X240)/8)</f>
        <v/>
      </c>
      <c r="Z240" s="3" t="n"/>
    </row>
    <row r="241">
      <c r="A241" s="10" t="n"/>
      <c r="B241" s="10" t="n"/>
      <c r="C241" s="10" t="n"/>
      <c r="D241" s="11" t="n"/>
      <c r="E241" s="3" t="n"/>
      <c r="F241" s="10" t="n"/>
      <c r="G241" s="3" t="n"/>
      <c r="H241" s="12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3">
        <f>IF(A241="","",SUM(I241,K241,M241,O241,Q241))</f>
        <v/>
      </c>
      <c r="T241" s="10" t="n"/>
      <c r="U241" s="10" t="n"/>
      <c r="V241" s="3" t="n"/>
      <c r="W241" s="3" t="n"/>
      <c r="X241" s="10" t="n"/>
      <c r="Y241" s="13">
        <f>IF(A241="","",COUNTA(A241,B241,C241,F241,H241,T241,U241,X241)/8)</f>
        <v/>
      </c>
      <c r="Z241" s="3" t="n"/>
    </row>
    <row r="242">
      <c r="A242" s="10" t="n"/>
      <c r="B242" s="10" t="n"/>
      <c r="C242" s="10" t="n"/>
      <c r="D242" s="11" t="n"/>
      <c r="E242" s="3" t="n"/>
      <c r="F242" s="10" t="n"/>
      <c r="G242" s="3" t="n"/>
      <c r="H242" s="12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3">
        <f>IF(A242="","",SUM(I242,K242,M242,O242,Q242))</f>
        <v/>
      </c>
      <c r="T242" s="10" t="n"/>
      <c r="U242" s="10" t="n"/>
      <c r="V242" s="3" t="n"/>
      <c r="W242" s="3" t="n"/>
      <c r="X242" s="10" t="n"/>
      <c r="Y242" s="13">
        <f>IF(A242="","",COUNTA(A242,B242,C242,F242,H242,T242,U242,X242)/8)</f>
        <v/>
      </c>
      <c r="Z242" s="3" t="n"/>
    </row>
    <row r="243">
      <c r="A243" s="10" t="n"/>
      <c r="B243" s="10" t="n"/>
      <c r="C243" s="10" t="n"/>
      <c r="D243" s="11" t="n"/>
      <c r="E243" s="3" t="n"/>
      <c r="F243" s="10" t="n"/>
      <c r="G243" s="3" t="n"/>
      <c r="H243" s="12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3">
        <f>IF(A243="","",SUM(I243,K243,M243,O243,Q243))</f>
        <v/>
      </c>
      <c r="T243" s="10" t="n"/>
      <c r="U243" s="10" t="n"/>
      <c r="V243" s="3" t="n"/>
      <c r="W243" s="3" t="n"/>
      <c r="X243" s="10" t="n"/>
      <c r="Y243" s="13">
        <f>IF(A243="","",COUNTA(A243,B243,C243,F243,H243,T243,U243,X243)/8)</f>
        <v/>
      </c>
      <c r="Z243" s="3" t="n"/>
    </row>
    <row r="244">
      <c r="A244" s="10" t="n"/>
      <c r="B244" s="10" t="n"/>
      <c r="C244" s="10" t="n"/>
      <c r="D244" s="11" t="n"/>
      <c r="E244" s="3" t="n"/>
      <c r="F244" s="10" t="n"/>
      <c r="G244" s="3" t="n"/>
      <c r="H244" s="12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3">
        <f>IF(A244="","",SUM(I244,K244,M244,O244,Q244))</f>
        <v/>
      </c>
      <c r="T244" s="10" t="n"/>
      <c r="U244" s="10" t="n"/>
      <c r="V244" s="3" t="n"/>
      <c r="W244" s="3" t="n"/>
      <c r="X244" s="10" t="n"/>
      <c r="Y244" s="13">
        <f>IF(A244="","",COUNTA(A244,B244,C244,F244,H244,T244,U244,X244)/8)</f>
        <v/>
      </c>
      <c r="Z244" s="3" t="n"/>
    </row>
    <row r="245">
      <c r="A245" s="10" t="n"/>
      <c r="B245" s="10" t="n"/>
      <c r="C245" s="10" t="n"/>
      <c r="D245" s="11" t="n"/>
      <c r="E245" s="3" t="n"/>
      <c r="F245" s="10" t="n"/>
      <c r="G245" s="3" t="n"/>
      <c r="H245" s="12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3">
        <f>IF(A245="","",SUM(I245,K245,M245,O245,Q245))</f>
        <v/>
      </c>
      <c r="T245" s="10" t="n"/>
      <c r="U245" s="10" t="n"/>
      <c r="V245" s="3" t="n"/>
      <c r="W245" s="3" t="n"/>
      <c r="X245" s="10" t="n"/>
      <c r="Y245" s="13">
        <f>IF(A245="","",COUNTA(A245,B245,C245,F245,H245,T245,U245,X245)/8)</f>
        <v/>
      </c>
      <c r="Z245" s="3" t="n"/>
    </row>
    <row r="246">
      <c r="A246" s="10" t="n"/>
      <c r="B246" s="10" t="n"/>
      <c r="C246" s="10" t="n"/>
      <c r="D246" s="11" t="n"/>
      <c r="E246" s="3" t="n"/>
      <c r="F246" s="10" t="n"/>
      <c r="G246" s="3" t="n"/>
      <c r="H246" s="12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3">
        <f>IF(A246="","",SUM(I246,K246,M246,O246,Q246))</f>
        <v/>
      </c>
      <c r="T246" s="10" t="n"/>
      <c r="U246" s="10" t="n"/>
      <c r="V246" s="3" t="n"/>
      <c r="W246" s="3" t="n"/>
      <c r="X246" s="10" t="n"/>
      <c r="Y246" s="13">
        <f>IF(A246="","",COUNTA(A246,B246,C246,F246,H246,T246,U246,X246)/8)</f>
        <v/>
      </c>
      <c r="Z246" s="3" t="n"/>
    </row>
    <row r="247">
      <c r="A247" s="10" t="n"/>
      <c r="B247" s="10" t="n"/>
      <c r="C247" s="10" t="n"/>
      <c r="D247" s="11" t="n"/>
      <c r="E247" s="3" t="n"/>
      <c r="F247" s="10" t="n"/>
      <c r="G247" s="3" t="n"/>
      <c r="H247" s="12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3">
        <f>IF(A247="","",SUM(I247,K247,M247,O247,Q247))</f>
        <v/>
      </c>
      <c r="T247" s="10" t="n"/>
      <c r="U247" s="10" t="n"/>
      <c r="V247" s="3" t="n"/>
      <c r="W247" s="3" t="n"/>
      <c r="X247" s="10" t="n"/>
      <c r="Y247" s="13">
        <f>IF(A247="","",COUNTA(A247,B247,C247,F247,H247,T247,U247,X247)/8)</f>
        <v/>
      </c>
      <c r="Z247" s="3" t="n"/>
    </row>
    <row r="248">
      <c r="A248" s="10" t="n"/>
      <c r="B248" s="10" t="n"/>
      <c r="C248" s="10" t="n"/>
      <c r="D248" s="11" t="n"/>
      <c r="E248" s="3" t="n"/>
      <c r="F248" s="10" t="n"/>
      <c r="G248" s="3" t="n"/>
      <c r="H248" s="12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3">
        <f>IF(A248="","",SUM(I248,K248,M248,O248,Q248))</f>
        <v/>
      </c>
      <c r="T248" s="10" t="n"/>
      <c r="U248" s="10" t="n"/>
      <c r="V248" s="3" t="n"/>
      <c r="W248" s="3" t="n"/>
      <c r="X248" s="10" t="n"/>
      <c r="Y248" s="13">
        <f>IF(A248="","",COUNTA(A248,B248,C248,F248,H248,T248,U248,X248)/8)</f>
        <v/>
      </c>
      <c r="Z248" s="3" t="n"/>
    </row>
    <row r="249">
      <c r="A249" s="10" t="n"/>
      <c r="B249" s="10" t="n"/>
      <c r="C249" s="10" t="n"/>
      <c r="D249" s="11" t="n"/>
      <c r="E249" s="3" t="n"/>
      <c r="F249" s="10" t="n"/>
      <c r="G249" s="3" t="n"/>
      <c r="H249" s="12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3">
        <f>IF(A249="","",SUM(I249,K249,M249,O249,Q249))</f>
        <v/>
      </c>
      <c r="T249" s="10" t="n"/>
      <c r="U249" s="10" t="n"/>
      <c r="V249" s="3" t="n"/>
      <c r="W249" s="3" t="n"/>
      <c r="X249" s="10" t="n"/>
      <c r="Y249" s="13">
        <f>IF(A249="","",COUNTA(A249,B249,C249,F249,H249,T249,U249,X249)/8)</f>
        <v/>
      </c>
      <c r="Z249" s="3" t="n"/>
    </row>
    <row r="250">
      <c r="A250" s="10" t="n"/>
      <c r="B250" s="10" t="n"/>
      <c r="C250" s="10" t="n"/>
      <c r="D250" s="11" t="n"/>
      <c r="E250" s="3" t="n"/>
      <c r="F250" s="10" t="n"/>
      <c r="G250" s="3" t="n"/>
      <c r="H250" s="12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3">
        <f>IF(A250="","",SUM(I250,K250,M250,O250,Q250))</f>
        <v/>
      </c>
      <c r="T250" s="10" t="n"/>
      <c r="U250" s="10" t="n"/>
      <c r="V250" s="3" t="n"/>
      <c r="W250" s="3" t="n"/>
      <c r="X250" s="10" t="n"/>
      <c r="Y250" s="13">
        <f>IF(A250="","",COUNTA(A250,B250,C250,F250,H250,T250,U250,X250)/8)</f>
        <v/>
      </c>
      <c r="Z250" s="3" t="n"/>
    </row>
    <row r="251">
      <c r="A251" s="10" t="n"/>
      <c r="B251" s="10" t="n"/>
      <c r="C251" s="10" t="n"/>
      <c r="D251" s="11" t="n"/>
      <c r="E251" s="3" t="n"/>
      <c r="F251" s="10" t="n"/>
      <c r="G251" s="3" t="n"/>
      <c r="H251" s="12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3">
        <f>IF(A251="","",SUM(I251,K251,M251,O251,Q251))</f>
        <v/>
      </c>
      <c r="T251" s="10" t="n"/>
      <c r="U251" s="10" t="n"/>
      <c r="V251" s="3" t="n"/>
      <c r="W251" s="3" t="n"/>
      <c r="X251" s="10" t="n"/>
      <c r="Y251" s="13">
        <f>IF(A251="","",COUNTA(A251,B251,C251,F251,H251,T251,U251,X251)/8)</f>
        <v/>
      </c>
      <c r="Z251" s="3" t="n"/>
    </row>
    <row r="252">
      <c r="A252" s="10" t="n"/>
      <c r="B252" s="10" t="n"/>
      <c r="C252" s="10" t="n"/>
      <c r="D252" s="11" t="n"/>
      <c r="E252" s="3" t="n"/>
      <c r="F252" s="10" t="n"/>
      <c r="G252" s="3" t="n"/>
      <c r="H252" s="12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3">
        <f>IF(A252="","",SUM(I252,K252,M252,O252,Q252))</f>
        <v/>
      </c>
      <c r="T252" s="10" t="n"/>
      <c r="U252" s="10" t="n"/>
      <c r="V252" s="3" t="n"/>
      <c r="W252" s="3" t="n"/>
      <c r="X252" s="10" t="n"/>
      <c r="Y252" s="13">
        <f>IF(A252="","",COUNTA(A252,B252,C252,F252,H252,T252,U252,X252)/8)</f>
        <v/>
      </c>
      <c r="Z252" s="3" t="n"/>
    </row>
    <row r="253">
      <c r="A253" s="10" t="n"/>
      <c r="B253" s="10" t="n"/>
      <c r="C253" s="10" t="n"/>
      <c r="D253" s="11" t="n"/>
      <c r="E253" s="3" t="n"/>
      <c r="F253" s="10" t="n"/>
      <c r="G253" s="3" t="n"/>
      <c r="H253" s="12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3">
        <f>IF(A253="","",SUM(I253,K253,M253,O253,Q253))</f>
        <v/>
      </c>
      <c r="T253" s="10" t="n"/>
      <c r="U253" s="10" t="n"/>
      <c r="V253" s="3" t="n"/>
      <c r="W253" s="3" t="n"/>
      <c r="X253" s="10" t="n"/>
      <c r="Y253" s="13">
        <f>IF(A253="","",COUNTA(A253,B253,C253,F253,H253,T253,U253,X253)/8)</f>
        <v/>
      </c>
      <c r="Z253" s="3" t="n"/>
    </row>
    <row r="254">
      <c r="A254" s="10" t="n"/>
      <c r="B254" s="10" t="n"/>
      <c r="C254" s="10" t="n"/>
      <c r="D254" s="11" t="n"/>
      <c r="E254" s="3" t="n"/>
      <c r="F254" s="10" t="n"/>
      <c r="G254" s="3" t="n"/>
      <c r="H254" s="12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3">
        <f>IF(A254="","",SUM(I254,K254,M254,O254,Q254))</f>
        <v/>
      </c>
      <c r="T254" s="10" t="n"/>
      <c r="U254" s="10" t="n"/>
      <c r="V254" s="3" t="n"/>
      <c r="W254" s="3" t="n"/>
      <c r="X254" s="10" t="n"/>
      <c r="Y254" s="13">
        <f>IF(A254="","",COUNTA(A254,B254,C254,F254,H254,T254,U254,X254)/8)</f>
        <v/>
      </c>
      <c r="Z254" s="3" t="n"/>
    </row>
    <row r="255">
      <c r="A255" s="10" t="n"/>
      <c r="B255" s="10" t="n"/>
      <c r="C255" s="10" t="n"/>
      <c r="D255" s="11" t="n"/>
      <c r="E255" s="3" t="n"/>
      <c r="F255" s="10" t="n"/>
      <c r="G255" s="3" t="n"/>
      <c r="H255" s="12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3">
        <f>IF(A255="","",SUM(I255,K255,M255,O255,Q255))</f>
        <v/>
      </c>
      <c r="T255" s="10" t="n"/>
      <c r="U255" s="10" t="n"/>
      <c r="V255" s="3" t="n"/>
      <c r="W255" s="3" t="n"/>
      <c r="X255" s="10" t="n"/>
      <c r="Y255" s="13">
        <f>IF(A255="","",COUNTA(A255,B255,C255,F255,H255,T255,U255,X255)/8)</f>
        <v/>
      </c>
      <c r="Z255" s="3" t="n"/>
    </row>
    <row r="256">
      <c r="A256" s="10" t="n"/>
      <c r="B256" s="10" t="n"/>
      <c r="C256" s="10" t="n"/>
      <c r="D256" s="11" t="n"/>
      <c r="E256" s="3" t="n"/>
      <c r="F256" s="10" t="n"/>
      <c r="G256" s="3" t="n"/>
      <c r="H256" s="12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3">
        <f>IF(A256="","",SUM(I256,K256,M256,O256,Q256))</f>
        <v/>
      </c>
      <c r="T256" s="10" t="n"/>
      <c r="U256" s="10" t="n"/>
      <c r="V256" s="3" t="n"/>
      <c r="W256" s="3" t="n"/>
      <c r="X256" s="10" t="n"/>
      <c r="Y256" s="13">
        <f>IF(A256="","",COUNTA(A256,B256,C256,F256,H256,T256,U256,X256)/8)</f>
        <v/>
      </c>
      <c r="Z256" s="3" t="n"/>
    </row>
    <row r="257">
      <c r="A257" s="10" t="n"/>
      <c r="B257" s="10" t="n"/>
      <c r="C257" s="10" t="n"/>
      <c r="D257" s="11" t="n"/>
      <c r="E257" s="3" t="n"/>
      <c r="F257" s="10" t="n"/>
      <c r="G257" s="3" t="n"/>
      <c r="H257" s="12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3">
        <f>IF(A257="","",SUM(I257,K257,M257,O257,Q257))</f>
        <v/>
      </c>
      <c r="T257" s="10" t="n"/>
      <c r="U257" s="10" t="n"/>
      <c r="V257" s="3" t="n"/>
      <c r="W257" s="3" t="n"/>
      <c r="X257" s="10" t="n"/>
      <c r="Y257" s="13">
        <f>IF(A257="","",COUNTA(A257,B257,C257,F257,H257,T257,U257,X257)/8)</f>
        <v/>
      </c>
      <c r="Z257" s="3" t="n"/>
    </row>
    <row r="258">
      <c r="A258" s="10" t="n"/>
      <c r="B258" s="10" t="n"/>
      <c r="C258" s="10" t="n"/>
      <c r="D258" s="11" t="n"/>
      <c r="E258" s="3" t="n"/>
      <c r="F258" s="10" t="n"/>
      <c r="G258" s="3" t="n"/>
      <c r="H258" s="12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3">
        <f>IF(A258="","",SUM(I258,K258,M258,O258,Q258))</f>
        <v/>
      </c>
      <c r="T258" s="10" t="n"/>
      <c r="U258" s="10" t="n"/>
      <c r="V258" s="3" t="n"/>
      <c r="W258" s="3" t="n"/>
      <c r="X258" s="10" t="n"/>
      <c r="Y258" s="13">
        <f>IF(A258="","",COUNTA(A258,B258,C258,F258,H258,T258,U258,X258)/8)</f>
        <v/>
      </c>
      <c r="Z258" s="3" t="n"/>
    </row>
    <row r="259">
      <c r="A259" s="10" t="n"/>
      <c r="B259" s="10" t="n"/>
      <c r="C259" s="10" t="n"/>
      <c r="D259" s="11" t="n"/>
      <c r="E259" s="3" t="n"/>
      <c r="F259" s="10" t="n"/>
      <c r="G259" s="3" t="n"/>
      <c r="H259" s="12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3">
        <f>IF(A259="","",SUM(I259,K259,M259,O259,Q259))</f>
        <v/>
      </c>
      <c r="T259" s="10" t="n"/>
      <c r="U259" s="10" t="n"/>
      <c r="V259" s="3" t="n"/>
      <c r="W259" s="3" t="n"/>
      <c r="X259" s="10" t="n"/>
      <c r="Y259" s="13">
        <f>IF(A259="","",COUNTA(A259,B259,C259,F259,H259,T259,U259,X259)/8)</f>
        <v/>
      </c>
      <c r="Z259" s="3" t="n"/>
    </row>
    <row r="260">
      <c r="A260" s="10" t="n"/>
      <c r="B260" s="10" t="n"/>
      <c r="C260" s="10" t="n"/>
      <c r="D260" s="11" t="n"/>
      <c r="E260" s="3" t="n"/>
      <c r="F260" s="10" t="n"/>
      <c r="G260" s="3" t="n"/>
      <c r="H260" s="12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3">
        <f>IF(A260="","",SUM(I260,K260,M260,O260,Q260))</f>
        <v/>
      </c>
      <c r="T260" s="10" t="n"/>
      <c r="U260" s="10" t="n"/>
      <c r="V260" s="3" t="n"/>
      <c r="W260" s="3" t="n"/>
      <c r="X260" s="10" t="n"/>
      <c r="Y260" s="13">
        <f>IF(A260="","",COUNTA(A260,B260,C260,F260,H260,T260,U260,X260)/8)</f>
        <v/>
      </c>
      <c r="Z260" s="3" t="n"/>
    </row>
    <row r="261">
      <c r="A261" s="10" t="n"/>
      <c r="B261" s="10" t="n"/>
      <c r="C261" s="10" t="n"/>
      <c r="D261" s="11" t="n"/>
      <c r="E261" s="3" t="n"/>
      <c r="F261" s="10" t="n"/>
      <c r="G261" s="3" t="n"/>
      <c r="H261" s="12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3">
        <f>IF(A261="","",SUM(I261,K261,M261,O261,Q261))</f>
        <v/>
      </c>
      <c r="T261" s="10" t="n"/>
      <c r="U261" s="10" t="n"/>
      <c r="V261" s="3" t="n"/>
      <c r="W261" s="3" t="n"/>
      <c r="X261" s="10" t="n"/>
      <c r="Y261" s="13">
        <f>IF(A261="","",COUNTA(A261,B261,C261,F261,H261,T261,U261,X261)/8)</f>
        <v/>
      </c>
      <c r="Z261" s="3" t="n"/>
    </row>
    <row r="262">
      <c r="A262" s="10" t="n"/>
      <c r="B262" s="10" t="n"/>
      <c r="C262" s="10" t="n"/>
      <c r="D262" s="11" t="n"/>
      <c r="E262" s="3" t="n"/>
      <c r="F262" s="10" t="n"/>
      <c r="G262" s="3" t="n"/>
      <c r="H262" s="12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3">
        <f>IF(A262="","",SUM(I262,K262,M262,O262,Q262))</f>
        <v/>
      </c>
      <c r="T262" s="10" t="n"/>
      <c r="U262" s="10" t="n"/>
      <c r="V262" s="3" t="n"/>
      <c r="W262" s="3" t="n"/>
      <c r="X262" s="10" t="n"/>
      <c r="Y262" s="13">
        <f>IF(A262="","",COUNTA(A262,B262,C262,F262,H262,T262,U262,X262)/8)</f>
        <v/>
      </c>
      <c r="Z262" s="3" t="n"/>
    </row>
    <row r="263">
      <c r="A263" s="10" t="n"/>
      <c r="B263" s="10" t="n"/>
      <c r="C263" s="10" t="n"/>
      <c r="D263" s="11" t="n"/>
      <c r="E263" s="3" t="n"/>
      <c r="F263" s="10" t="n"/>
      <c r="G263" s="3" t="n"/>
      <c r="H263" s="12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3">
        <f>IF(A263="","",SUM(I263,K263,M263,O263,Q263))</f>
        <v/>
      </c>
      <c r="T263" s="10" t="n"/>
      <c r="U263" s="10" t="n"/>
      <c r="V263" s="3" t="n"/>
      <c r="W263" s="3" t="n"/>
      <c r="X263" s="10" t="n"/>
      <c r="Y263" s="13">
        <f>IF(A263="","",COUNTA(A263,B263,C263,F263,H263,T263,U263,X263)/8)</f>
        <v/>
      </c>
      <c r="Z263" s="3" t="n"/>
    </row>
    <row r="264">
      <c r="A264" s="10" t="n"/>
      <c r="B264" s="10" t="n"/>
      <c r="C264" s="10" t="n"/>
      <c r="D264" s="11" t="n"/>
      <c r="E264" s="3" t="n"/>
      <c r="F264" s="10" t="n"/>
      <c r="G264" s="3" t="n"/>
      <c r="H264" s="12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3">
        <f>IF(A264="","",SUM(I264,K264,M264,O264,Q264))</f>
        <v/>
      </c>
      <c r="T264" s="10" t="n"/>
      <c r="U264" s="10" t="n"/>
      <c r="V264" s="3" t="n"/>
      <c r="W264" s="3" t="n"/>
      <c r="X264" s="10" t="n"/>
      <c r="Y264" s="13">
        <f>IF(A264="","",COUNTA(A264,B264,C264,F264,H264,T264,U264,X264)/8)</f>
        <v/>
      </c>
      <c r="Z264" s="3" t="n"/>
    </row>
    <row r="265">
      <c r="A265" s="10" t="n"/>
      <c r="B265" s="10" t="n"/>
      <c r="C265" s="10" t="n"/>
      <c r="D265" s="11" t="n"/>
      <c r="E265" s="3" t="n"/>
      <c r="F265" s="10" t="n"/>
      <c r="G265" s="3" t="n"/>
      <c r="H265" s="12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3">
        <f>IF(A265="","",SUM(I265,K265,M265,O265,Q265))</f>
        <v/>
      </c>
      <c r="T265" s="10" t="n"/>
      <c r="U265" s="10" t="n"/>
      <c r="V265" s="3" t="n"/>
      <c r="W265" s="3" t="n"/>
      <c r="X265" s="10" t="n"/>
      <c r="Y265" s="13">
        <f>IF(A265="","",COUNTA(A265,B265,C265,F265,H265,T265,U265,X265)/8)</f>
        <v/>
      </c>
      <c r="Z265" s="3" t="n"/>
    </row>
    <row r="266">
      <c r="A266" s="10" t="n"/>
      <c r="B266" s="10" t="n"/>
      <c r="C266" s="10" t="n"/>
      <c r="D266" s="11" t="n"/>
      <c r="E266" s="3" t="n"/>
      <c r="F266" s="10" t="n"/>
      <c r="G266" s="3" t="n"/>
      <c r="H266" s="12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3">
        <f>IF(A266="","",SUM(I266,K266,M266,O266,Q266))</f>
        <v/>
      </c>
      <c r="T266" s="10" t="n"/>
      <c r="U266" s="10" t="n"/>
      <c r="V266" s="3" t="n"/>
      <c r="W266" s="3" t="n"/>
      <c r="X266" s="10" t="n"/>
      <c r="Y266" s="13">
        <f>IF(A266="","",COUNTA(A266,B266,C266,F266,H266,T266,U266,X266)/8)</f>
        <v/>
      </c>
      <c r="Z266" s="3" t="n"/>
    </row>
    <row r="267">
      <c r="A267" s="10" t="n"/>
      <c r="B267" s="10" t="n"/>
      <c r="C267" s="10" t="n"/>
      <c r="D267" s="11" t="n"/>
      <c r="E267" s="3" t="n"/>
      <c r="F267" s="10" t="n"/>
      <c r="G267" s="3" t="n"/>
      <c r="H267" s="12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3">
        <f>IF(A267="","",SUM(I267,K267,M267,O267,Q267))</f>
        <v/>
      </c>
      <c r="T267" s="10" t="n"/>
      <c r="U267" s="10" t="n"/>
      <c r="V267" s="3" t="n"/>
      <c r="W267" s="3" t="n"/>
      <c r="X267" s="10" t="n"/>
      <c r="Y267" s="13">
        <f>IF(A267="","",COUNTA(A267,B267,C267,F267,H267,T267,U267,X267)/8)</f>
        <v/>
      </c>
      <c r="Z267" s="3" t="n"/>
    </row>
    <row r="268">
      <c r="A268" s="10" t="n"/>
      <c r="B268" s="10" t="n"/>
      <c r="C268" s="10" t="n"/>
      <c r="D268" s="11" t="n"/>
      <c r="E268" s="3" t="n"/>
      <c r="F268" s="10" t="n"/>
      <c r="G268" s="3" t="n"/>
      <c r="H268" s="12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3">
        <f>IF(A268="","",SUM(I268,K268,M268,O268,Q268))</f>
        <v/>
      </c>
      <c r="T268" s="10" t="n"/>
      <c r="U268" s="10" t="n"/>
      <c r="V268" s="3" t="n"/>
      <c r="W268" s="3" t="n"/>
      <c r="X268" s="10" t="n"/>
      <c r="Y268" s="13">
        <f>IF(A268="","",COUNTA(A268,B268,C268,F268,H268,T268,U268,X268)/8)</f>
        <v/>
      </c>
      <c r="Z268" s="3" t="n"/>
    </row>
    <row r="269">
      <c r="A269" s="10" t="n"/>
      <c r="B269" s="10" t="n"/>
      <c r="C269" s="10" t="n"/>
      <c r="D269" s="11" t="n"/>
      <c r="E269" s="3" t="n"/>
      <c r="F269" s="10" t="n"/>
      <c r="G269" s="3" t="n"/>
      <c r="H269" s="12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3">
        <f>IF(A269="","",SUM(I269,K269,M269,O269,Q269))</f>
        <v/>
      </c>
      <c r="T269" s="10" t="n"/>
      <c r="U269" s="10" t="n"/>
      <c r="V269" s="3" t="n"/>
      <c r="W269" s="3" t="n"/>
      <c r="X269" s="10" t="n"/>
      <c r="Y269" s="13">
        <f>IF(A269="","",COUNTA(A269,B269,C269,F269,H269,T269,U269,X269)/8)</f>
        <v/>
      </c>
      <c r="Z269" s="3" t="n"/>
    </row>
    <row r="270">
      <c r="A270" s="10" t="n"/>
      <c r="B270" s="10" t="n"/>
      <c r="C270" s="10" t="n"/>
      <c r="D270" s="11" t="n"/>
      <c r="E270" s="3" t="n"/>
      <c r="F270" s="10" t="n"/>
      <c r="G270" s="3" t="n"/>
      <c r="H270" s="12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3">
        <f>IF(A270="","",SUM(I270,K270,M270,O270,Q270))</f>
        <v/>
      </c>
      <c r="T270" s="10" t="n"/>
      <c r="U270" s="10" t="n"/>
      <c r="V270" s="3" t="n"/>
      <c r="W270" s="3" t="n"/>
      <c r="X270" s="10" t="n"/>
      <c r="Y270" s="13">
        <f>IF(A270="","",COUNTA(A270,B270,C270,F270,H270,T270,U270,X270)/8)</f>
        <v/>
      </c>
      <c r="Z270" s="3" t="n"/>
    </row>
    <row r="271">
      <c r="A271" s="10" t="n"/>
      <c r="B271" s="10" t="n"/>
      <c r="C271" s="10" t="n"/>
      <c r="D271" s="11" t="n"/>
      <c r="E271" s="3" t="n"/>
      <c r="F271" s="10" t="n"/>
      <c r="G271" s="3" t="n"/>
      <c r="H271" s="12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3">
        <f>IF(A271="","",SUM(I271,K271,M271,O271,Q271))</f>
        <v/>
      </c>
      <c r="T271" s="10" t="n"/>
      <c r="U271" s="10" t="n"/>
      <c r="V271" s="3" t="n"/>
      <c r="W271" s="3" t="n"/>
      <c r="X271" s="10" t="n"/>
      <c r="Y271" s="13">
        <f>IF(A271="","",COUNTA(A271,B271,C271,F271,H271,T271,U271,X271)/8)</f>
        <v/>
      </c>
      <c r="Z271" s="3" t="n"/>
    </row>
    <row r="272">
      <c r="A272" s="10" t="n"/>
      <c r="B272" s="10" t="n"/>
      <c r="C272" s="10" t="n"/>
      <c r="D272" s="11" t="n"/>
      <c r="E272" s="3" t="n"/>
      <c r="F272" s="10" t="n"/>
      <c r="G272" s="3" t="n"/>
      <c r="H272" s="12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3">
        <f>IF(A272="","",SUM(I272,K272,M272,O272,Q272))</f>
        <v/>
      </c>
      <c r="T272" s="10" t="n"/>
      <c r="U272" s="10" t="n"/>
      <c r="V272" s="3" t="n"/>
      <c r="W272" s="3" t="n"/>
      <c r="X272" s="10" t="n"/>
      <c r="Y272" s="13">
        <f>IF(A272="","",COUNTA(A272,B272,C272,F272,H272,T272,U272,X272)/8)</f>
        <v/>
      </c>
      <c r="Z272" s="3" t="n"/>
    </row>
    <row r="273">
      <c r="A273" s="10" t="n"/>
      <c r="B273" s="10" t="n"/>
      <c r="C273" s="10" t="n"/>
      <c r="D273" s="11" t="n"/>
      <c r="E273" s="3" t="n"/>
      <c r="F273" s="10" t="n"/>
      <c r="G273" s="3" t="n"/>
      <c r="H273" s="12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3">
        <f>IF(A273="","",SUM(I273,K273,M273,O273,Q273))</f>
        <v/>
      </c>
      <c r="T273" s="10" t="n"/>
      <c r="U273" s="10" t="n"/>
      <c r="V273" s="3" t="n"/>
      <c r="W273" s="3" t="n"/>
      <c r="X273" s="10" t="n"/>
      <c r="Y273" s="13">
        <f>IF(A273="","",COUNTA(A273,B273,C273,F273,H273,T273,U273,X273)/8)</f>
        <v/>
      </c>
      <c r="Z273" s="3" t="n"/>
    </row>
    <row r="274">
      <c r="A274" s="10" t="n"/>
      <c r="B274" s="10" t="n"/>
      <c r="C274" s="10" t="n"/>
      <c r="D274" s="11" t="n"/>
      <c r="E274" s="3" t="n"/>
      <c r="F274" s="10" t="n"/>
      <c r="G274" s="3" t="n"/>
      <c r="H274" s="12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3">
        <f>IF(A274="","",SUM(I274,K274,M274,O274,Q274))</f>
        <v/>
      </c>
      <c r="T274" s="10" t="n"/>
      <c r="U274" s="10" t="n"/>
      <c r="V274" s="3" t="n"/>
      <c r="W274" s="3" t="n"/>
      <c r="X274" s="10" t="n"/>
      <c r="Y274" s="13">
        <f>IF(A274="","",COUNTA(A274,B274,C274,F274,H274,T274,U274,X274)/8)</f>
        <v/>
      </c>
      <c r="Z274" s="3" t="n"/>
    </row>
    <row r="275">
      <c r="A275" s="10" t="n"/>
      <c r="B275" s="10" t="n"/>
      <c r="C275" s="10" t="n"/>
      <c r="D275" s="11" t="n"/>
      <c r="E275" s="3" t="n"/>
      <c r="F275" s="10" t="n"/>
      <c r="G275" s="3" t="n"/>
      <c r="H275" s="12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3">
        <f>IF(A275="","",SUM(I275,K275,M275,O275,Q275))</f>
        <v/>
      </c>
      <c r="T275" s="10" t="n"/>
      <c r="U275" s="10" t="n"/>
      <c r="V275" s="3" t="n"/>
      <c r="W275" s="3" t="n"/>
      <c r="X275" s="10" t="n"/>
      <c r="Y275" s="13">
        <f>IF(A275="","",COUNTA(A275,B275,C275,F275,H275,T275,U275,X275)/8)</f>
        <v/>
      </c>
      <c r="Z275" s="3" t="n"/>
    </row>
    <row r="276">
      <c r="A276" s="10" t="n"/>
      <c r="B276" s="10" t="n"/>
      <c r="C276" s="10" t="n"/>
      <c r="D276" s="11" t="n"/>
      <c r="E276" s="3" t="n"/>
      <c r="F276" s="10" t="n"/>
      <c r="G276" s="3" t="n"/>
      <c r="H276" s="12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3">
        <f>IF(A276="","",SUM(I276,K276,M276,O276,Q276))</f>
        <v/>
      </c>
      <c r="T276" s="10" t="n"/>
      <c r="U276" s="10" t="n"/>
      <c r="V276" s="3" t="n"/>
      <c r="W276" s="3" t="n"/>
      <c r="X276" s="10" t="n"/>
      <c r="Y276" s="13">
        <f>IF(A276="","",COUNTA(A276,B276,C276,F276,H276,T276,U276,X276)/8)</f>
        <v/>
      </c>
      <c r="Z276" s="3" t="n"/>
    </row>
    <row r="277">
      <c r="A277" s="10" t="n"/>
      <c r="B277" s="10" t="n"/>
      <c r="C277" s="10" t="n"/>
      <c r="D277" s="11" t="n"/>
      <c r="E277" s="3" t="n"/>
      <c r="F277" s="10" t="n"/>
      <c r="G277" s="3" t="n"/>
      <c r="H277" s="12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3">
        <f>IF(A277="","",SUM(I277,K277,M277,O277,Q277))</f>
        <v/>
      </c>
      <c r="T277" s="10" t="n"/>
      <c r="U277" s="10" t="n"/>
      <c r="V277" s="3" t="n"/>
      <c r="W277" s="3" t="n"/>
      <c r="X277" s="10" t="n"/>
      <c r="Y277" s="13">
        <f>IF(A277="","",COUNTA(A277,B277,C277,F277,H277,T277,U277,X277)/8)</f>
        <v/>
      </c>
      <c r="Z277" s="3" t="n"/>
    </row>
    <row r="278">
      <c r="A278" s="10" t="n"/>
      <c r="B278" s="10" t="n"/>
      <c r="C278" s="10" t="n"/>
      <c r="D278" s="11" t="n"/>
      <c r="E278" s="3" t="n"/>
      <c r="F278" s="10" t="n"/>
      <c r="G278" s="3" t="n"/>
      <c r="H278" s="12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3">
        <f>IF(A278="","",SUM(I278,K278,M278,O278,Q278))</f>
        <v/>
      </c>
      <c r="T278" s="10" t="n"/>
      <c r="U278" s="10" t="n"/>
      <c r="V278" s="3" t="n"/>
      <c r="W278" s="3" t="n"/>
      <c r="X278" s="10" t="n"/>
      <c r="Y278" s="13">
        <f>IF(A278="","",COUNTA(A278,B278,C278,F278,H278,T278,U278,X278)/8)</f>
        <v/>
      </c>
      <c r="Z278" s="3" t="n"/>
    </row>
    <row r="279">
      <c r="A279" s="10" t="n"/>
      <c r="B279" s="10" t="n"/>
      <c r="C279" s="10" t="n"/>
      <c r="D279" s="11" t="n"/>
      <c r="E279" s="3" t="n"/>
      <c r="F279" s="10" t="n"/>
      <c r="G279" s="3" t="n"/>
      <c r="H279" s="12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3">
        <f>IF(A279="","",SUM(I279,K279,M279,O279,Q279))</f>
        <v/>
      </c>
      <c r="T279" s="10" t="n"/>
      <c r="U279" s="10" t="n"/>
      <c r="V279" s="3" t="n"/>
      <c r="W279" s="3" t="n"/>
      <c r="X279" s="10" t="n"/>
      <c r="Y279" s="13">
        <f>IF(A279="","",COUNTA(A279,B279,C279,F279,H279,T279,U279,X279)/8)</f>
        <v/>
      </c>
      <c r="Z279" s="3" t="n"/>
    </row>
    <row r="280">
      <c r="A280" s="10" t="n"/>
      <c r="B280" s="10" t="n"/>
      <c r="C280" s="10" t="n"/>
      <c r="D280" s="11" t="n"/>
      <c r="E280" s="3" t="n"/>
      <c r="F280" s="10" t="n"/>
      <c r="G280" s="3" t="n"/>
      <c r="H280" s="12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3">
        <f>IF(A280="","",SUM(I280,K280,M280,O280,Q280))</f>
        <v/>
      </c>
      <c r="T280" s="10" t="n"/>
      <c r="U280" s="10" t="n"/>
      <c r="V280" s="3" t="n"/>
      <c r="W280" s="3" t="n"/>
      <c r="X280" s="10" t="n"/>
      <c r="Y280" s="13">
        <f>IF(A280="","",COUNTA(A280,B280,C280,F280,H280,T280,U280,X280)/8)</f>
        <v/>
      </c>
      <c r="Z280" s="3" t="n"/>
    </row>
    <row r="281">
      <c r="A281" s="10" t="n"/>
      <c r="B281" s="10" t="n"/>
      <c r="C281" s="10" t="n"/>
      <c r="D281" s="11" t="n"/>
      <c r="E281" s="3" t="n"/>
      <c r="F281" s="10" t="n"/>
      <c r="G281" s="3" t="n"/>
      <c r="H281" s="12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3">
        <f>IF(A281="","",SUM(I281,K281,M281,O281,Q281))</f>
        <v/>
      </c>
      <c r="T281" s="10" t="n"/>
      <c r="U281" s="10" t="n"/>
      <c r="V281" s="3" t="n"/>
      <c r="W281" s="3" t="n"/>
      <c r="X281" s="10" t="n"/>
      <c r="Y281" s="13">
        <f>IF(A281="","",COUNTA(A281,B281,C281,F281,H281,T281,U281,X281)/8)</f>
        <v/>
      </c>
      <c r="Z281" s="3" t="n"/>
    </row>
    <row r="282">
      <c r="A282" s="10" t="n"/>
      <c r="B282" s="10" t="n"/>
      <c r="C282" s="10" t="n"/>
      <c r="D282" s="11" t="n"/>
      <c r="E282" s="3" t="n"/>
      <c r="F282" s="10" t="n"/>
      <c r="G282" s="3" t="n"/>
      <c r="H282" s="12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3">
        <f>IF(A282="","",SUM(I282,K282,M282,O282,Q282))</f>
        <v/>
      </c>
      <c r="T282" s="10" t="n"/>
      <c r="U282" s="10" t="n"/>
      <c r="V282" s="3" t="n"/>
      <c r="W282" s="3" t="n"/>
      <c r="X282" s="10" t="n"/>
      <c r="Y282" s="13">
        <f>IF(A282="","",COUNTA(A282,B282,C282,F282,H282,T282,U282,X282)/8)</f>
        <v/>
      </c>
      <c r="Z282" s="3" t="n"/>
    </row>
    <row r="283">
      <c r="A283" s="10" t="n"/>
      <c r="B283" s="10" t="n"/>
      <c r="C283" s="10" t="n"/>
      <c r="D283" s="11" t="n"/>
      <c r="E283" s="3" t="n"/>
      <c r="F283" s="10" t="n"/>
      <c r="G283" s="3" t="n"/>
      <c r="H283" s="12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3">
        <f>IF(A283="","",SUM(I283,K283,M283,O283,Q283))</f>
        <v/>
      </c>
      <c r="T283" s="10" t="n"/>
      <c r="U283" s="10" t="n"/>
      <c r="V283" s="3" t="n"/>
      <c r="W283" s="3" t="n"/>
      <c r="X283" s="10" t="n"/>
      <c r="Y283" s="13">
        <f>IF(A283="","",COUNTA(A283,B283,C283,F283,H283,T283,U283,X283)/8)</f>
        <v/>
      </c>
      <c r="Z283" s="3" t="n"/>
    </row>
    <row r="284">
      <c r="A284" s="10" t="n"/>
      <c r="B284" s="10" t="n"/>
      <c r="C284" s="10" t="n"/>
      <c r="D284" s="11" t="n"/>
      <c r="E284" s="3" t="n"/>
      <c r="F284" s="10" t="n"/>
      <c r="G284" s="3" t="n"/>
      <c r="H284" s="12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3">
        <f>IF(A284="","",SUM(I284,K284,M284,O284,Q284))</f>
        <v/>
      </c>
      <c r="T284" s="10" t="n"/>
      <c r="U284" s="10" t="n"/>
      <c r="V284" s="3" t="n"/>
      <c r="W284" s="3" t="n"/>
      <c r="X284" s="10" t="n"/>
      <c r="Y284" s="13">
        <f>IF(A284="","",COUNTA(A284,B284,C284,F284,H284,T284,U284,X284)/8)</f>
        <v/>
      </c>
      <c r="Z284" s="3" t="n"/>
    </row>
    <row r="285">
      <c r="A285" s="10" t="n"/>
      <c r="B285" s="10" t="n"/>
      <c r="C285" s="10" t="n"/>
      <c r="D285" s="11" t="n"/>
      <c r="E285" s="3" t="n"/>
      <c r="F285" s="10" t="n"/>
      <c r="G285" s="3" t="n"/>
      <c r="H285" s="12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3">
        <f>IF(A285="","",SUM(I285,K285,M285,O285,Q285))</f>
        <v/>
      </c>
      <c r="T285" s="10" t="n"/>
      <c r="U285" s="10" t="n"/>
      <c r="V285" s="3" t="n"/>
      <c r="W285" s="3" t="n"/>
      <c r="X285" s="10" t="n"/>
      <c r="Y285" s="13">
        <f>IF(A285="","",COUNTA(A285,B285,C285,F285,H285,T285,U285,X285)/8)</f>
        <v/>
      </c>
      <c r="Z285" s="3" t="n"/>
    </row>
    <row r="286">
      <c r="A286" s="10" t="n"/>
      <c r="B286" s="10" t="n"/>
      <c r="C286" s="10" t="n"/>
      <c r="D286" s="11" t="n"/>
      <c r="E286" s="3" t="n"/>
      <c r="F286" s="10" t="n"/>
      <c r="G286" s="3" t="n"/>
      <c r="H286" s="12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3">
        <f>IF(A286="","",SUM(I286,K286,M286,O286,Q286))</f>
        <v/>
      </c>
      <c r="T286" s="10" t="n"/>
      <c r="U286" s="10" t="n"/>
      <c r="V286" s="3" t="n"/>
      <c r="W286" s="3" t="n"/>
      <c r="X286" s="10" t="n"/>
      <c r="Y286" s="13">
        <f>IF(A286="","",COUNTA(A286,B286,C286,F286,H286,T286,U286,X286)/8)</f>
        <v/>
      </c>
      <c r="Z286" s="3" t="n"/>
    </row>
    <row r="287">
      <c r="A287" s="10" t="n"/>
      <c r="B287" s="10" t="n"/>
      <c r="C287" s="10" t="n"/>
      <c r="D287" s="11" t="n"/>
      <c r="E287" s="3" t="n"/>
      <c r="F287" s="10" t="n"/>
      <c r="G287" s="3" t="n"/>
      <c r="H287" s="12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3">
        <f>IF(A287="","",SUM(I287,K287,M287,O287,Q287))</f>
        <v/>
      </c>
      <c r="T287" s="10" t="n"/>
      <c r="U287" s="10" t="n"/>
      <c r="V287" s="3" t="n"/>
      <c r="W287" s="3" t="n"/>
      <c r="X287" s="10" t="n"/>
      <c r="Y287" s="13">
        <f>IF(A287="","",COUNTA(A287,B287,C287,F287,H287,T287,U287,X287)/8)</f>
        <v/>
      </c>
      <c r="Z287" s="3" t="n"/>
    </row>
    <row r="288">
      <c r="A288" s="10" t="n"/>
      <c r="B288" s="10" t="n"/>
      <c r="C288" s="10" t="n"/>
      <c r="D288" s="11" t="n"/>
      <c r="E288" s="3" t="n"/>
      <c r="F288" s="10" t="n"/>
      <c r="G288" s="3" t="n"/>
      <c r="H288" s="12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3">
        <f>IF(A288="","",SUM(I288,K288,M288,O288,Q288))</f>
        <v/>
      </c>
      <c r="T288" s="10" t="n"/>
      <c r="U288" s="10" t="n"/>
      <c r="V288" s="3" t="n"/>
      <c r="W288" s="3" t="n"/>
      <c r="X288" s="10" t="n"/>
      <c r="Y288" s="13">
        <f>IF(A288="","",COUNTA(A288,B288,C288,F288,H288,T288,U288,X288)/8)</f>
        <v/>
      </c>
      <c r="Z288" s="3" t="n"/>
    </row>
    <row r="289">
      <c r="A289" s="10" t="n"/>
      <c r="B289" s="10" t="n"/>
      <c r="C289" s="10" t="n"/>
      <c r="D289" s="11" t="n"/>
      <c r="E289" s="3" t="n"/>
      <c r="F289" s="10" t="n"/>
      <c r="G289" s="3" t="n"/>
      <c r="H289" s="12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3">
        <f>IF(A289="","",SUM(I289,K289,M289,O289,Q289))</f>
        <v/>
      </c>
      <c r="T289" s="10" t="n"/>
      <c r="U289" s="10" t="n"/>
      <c r="V289" s="3" t="n"/>
      <c r="W289" s="3" t="n"/>
      <c r="X289" s="10" t="n"/>
      <c r="Y289" s="13">
        <f>IF(A289="","",COUNTA(A289,B289,C289,F289,H289,T289,U289,X289)/8)</f>
        <v/>
      </c>
      <c r="Z289" s="3" t="n"/>
    </row>
    <row r="290">
      <c r="A290" s="10" t="n"/>
      <c r="B290" s="10" t="n"/>
      <c r="C290" s="10" t="n"/>
      <c r="D290" s="11" t="n"/>
      <c r="E290" s="3" t="n"/>
      <c r="F290" s="10" t="n"/>
      <c r="G290" s="3" t="n"/>
      <c r="H290" s="12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3">
        <f>IF(A290="","",SUM(I290,K290,M290,O290,Q290))</f>
        <v/>
      </c>
      <c r="T290" s="10" t="n"/>
      <c r="U290" s="10" t="n"/>
      <c r="V290" s="3" t="n"/>
      <c r="W290" s="3" t="n"/>
      <c r="X290" s="10" t="n"/>
      <c r="Y290" s="13">
        <f>IF(A290="","",COUNTA(A290,B290,C290,F290,H290,T290,U290,X290)/8)</f>
        <v/>
      </c>
      <c r="Z290" s="3" t="n"/>
    </row>
    <row r="291">
      <c r="A291" s="10" t="n"/>
      <c r="B291" s="10" t="n"/>
      <c r="C291" s="10" t="n"/>
      <c r="D291" s="11" t="n"/>
      <c r="E291" s="3" t="n"/>
      <c r="F291" s="10" t="n"/>
      <c r="G291" s="3" t="n"/>
      <c r="H291" s="12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3">
        <f>IF(A291="","",SUM(I291,K291,M291,O291,Q291))</f>
        <v/>
      </c>
      <c r="T291" s="10" t="n"/>
      <c r="U291" s="10" t="n"/>
      <c r="V291" s="3" t="n"/>
      <c r="W291" s="3" t="n"/>
      <c r="X291" s="10" t="n"/>
      <c r="Y291" s="13">
        <f>IF(A291="","",COUNTA(A291,B291,C291,F291,H291,T291,U291,X291)/8)</f>
        <v/>
      </c>
      <c r="Z291" s="3" t="n"/>
    </row>
    <row r="292">
      <c r="A292" s="10" t="n"/>
      <c r="B292" s="10" t="n"/>
      <c r="C292" s="10" t="n"/>
      <c r="D292" s="11" t="n"/>
      <c r="E292" s="3" t="n"/>
      <c r="F292" s="10" t="n"/>
      <c r="G292" s="3" t="n"/>
      <c r="H292" s="12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3">
        <f>IF(A292="","",SUM(I292,K292,M292,O292,Q292))</f>
        <v/>
      </c>
      <c r="T292" s="10" t="n"/>
      <c r="U292" s="10" t="n"/>
      <c r="V292" s="3" t="n"/>
      <c r="W292" s="3" t="n"/>
      <c r="X292" s="10" t="n"/>
      <c r="Y292" s="13">
        <f>IF(A292="","",COUNTA(A292,B292,C292,F292,H292,T292,U292,X292)/8)</f>
        <v/>
      </c>
      <c r="Z292" s="3" t="n"/>
    </row>
    <row r="293">
      <c r="A293" s="10" t="n"/>
      <c r="B293" s="10" t="n"/>
      <c r="C293" s="10" t="n"/>
      <c r="D293" s="11" t="n"/>
      <c r="E293" s="3" t="n"/>
      <c r="F293" s="10" t="n"/>
      <c r="G293" s="3" t="n"/>
      <c r="H293" s="12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3">
        <f>IF(A293="","",SUM(I293,K293,M293,O293,Q293))</f>
        <v/>
      </c>
      <c r="T293" s="10" t="n"/>
      <c r="U293" s="10" t="n"/>
      <c r="V293" s="3" t="n"/>
      <c r="W293" s="3" t="n"/>
      <c r="X293" s="10" t="n"/>
      <c r="Y293" s="13">
        <f>IF(A293="","",COUNTA(A293,B293,C293,F293,H293,T293,U293,X293)/8)</f>
        <v/>
      </c>
      <c r="Z293" s="3" t="n"/>
    </row>
    <row r="294">
      <c r="A294" s="10" t="n"/>
      <c r="B294" s="10" t="n"/>
      <c r="C294" s="10" t="n"/>
      <c r="D294" s="11" t="n"/>
      <c r="E294" s="3" t="n"/>
      <c r="F294" s="10" t="n"/>
      <c r="G294" s="3" t="n"/>
      <c r="H294" s="12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3">
        <f>IF(A294="","",SUM(I294,K294,M294,O294,Q294))</f>
        <v/>
      </c>
      <c r="T294" s="10" t="n"/>
      <c r="U294" s="10" t="n"/>
      <c r="V294" s="3" t="n"/>
      <c r="W294" s="3" t="n"/>
      <c r="X294" s="10" t="n"/>
      <c r="Y294" s="13">
        <f>IF(A294="","",COUNTA(A294,B294,C294,F294,H294,T294,U294,X294)/8)</f>
        <v/>
      </c>
      <c r="Z294" s="3" t="n"/>
    </row>
    <row r="295">
      <c r="A295" s="10" t="n"/>
      <c r="B295" s="10" t="n"/>
      <c r="C295" s="10" t="n"/>
      <c r="D295" s="11" t="n"/>
      <c r="E295" s="3" t="n"/>
      <c r="F295" s="10" t="n"/>
      <c r="G295" s="3" t="n"/>
      <c r="H295" s="12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3">
        <f>IF(A295="","",SUM(I295,K295,M295,O295,Q295))</f>
        <v/>
      </c>
      <c r="T295" s="10" t="n"/>
      <c r="U295" s="10" t="n"/>
      <c r="V295" s="3" t="n"/>
      <c r="W295" s="3" t="n"/>
      <c r="X295" s="10" t="n"/>
      <c r="Y295" s="13">
        <f>IF(A295="","",COUNTA(A295,B295,C295,F295,H295,T295,U295,X295)/8)</f>
        <v/>
      </c>
      <c r="Z295" s="3" t="n"/>
    </row>
    <row r="296">
      <c r="A296" s="10" t="n"/>
      <c r="B296" s="10" t="n"/>
      <c r="C296" s="10" t="n"/>
      <c r="D296" s="11" t="n"/>
      <c r="E296" s="3" t="n"/>
      <c r="F296" s="10" t="n"/>
      <c r="G296" s="3" t="n"/>
      <c r="H296" s="12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3">
        <f>IF(A296="","",SUM(I296,K296,M296,O296,Q296))</f>
        <v/>
      </c>
      <c r="T296" s="10" t="n"/>
      <c r="U296" s="10" t="n"/>
      <c r="V296" s="3" t="n"/>
      <c r="W296" s="3" t="n"/>
      <c r="X296" s="10" t="n"/>
      <c r="Y296" s="13">
        <f>IF(A296="","",COUNTA(A296,B296,C296,F296,H296,T296,U296,X296)/8)</f>
        <v/>
      </c>
      <c r="Z296" s="3" t="n"/>
    </row>
    <row r="297">
      <c r="A297" s="10" t="n"/>
      <c r="B297" s="10" t="n"/>
      <c r="C297" s="10" t="n"/>
      <c r="D297" s="11" t="n"/>
      <c r="E297" s="3" t="n"/>
      <c r="F297" s="10" t="n"/>
      <c r="G297" s="3" t="n"/>
      <c r="H297" s="12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3">
        <f>IF(A297="","",SUM(I297,K297,M297,O297,Q297))</f>
        <v/>
      </c>
      <c r="T297" s="10" t="n"/>
      <c r="U297" s="10" t="n"/>
      <c r="V297" s="3" t="n"/>
      <c r="W297" s="3" t="n"/>
      <c r="X297" s="10" t="n"/>
      <c r="Y297" s="13">
        <f>IF(A297="","",COUNTA(A297,B297,C297,F297,H297,T297,U297,X297)/8)</f>
        <v/>
      </c>
      <c r="Z297" s="3" t="n"/>
    </row>
    <row r="298">
      <c r="A298" s="10" t="n"/>
      <c r="B298" s="10" t="n"/>
      <c r="C298" s="10" t="n"/>
      <c r="D298" s="11" t="n"/>
      <c r="E298" s="3" t="n"/>
      <c r="F298" s="10" t="n"/>
      <c r="G298" s="3" t="n"/>
      <c r="H298" s="12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3">
        <f>IF(A298="","",SUM(I298,K298,M298,O298,Q298))</f>
        <v/>
      </c>
      <c r="T298" s="10" t="n"/>
      <c r="U298" s="10" t="n"/>
      <c r="V298" s="3" t="n"/>
      <c r="W298" s="3" t="n"/>
      <c r="X298" s="10" t="n"/>
      <c r="Y298" s="13">
        <f>IF(A298="","",COUNTA(A298,B298,C298,F298,H298,T298,U298,X298)/8)</f>
        <v/>
      </c>
      <c r="Z298" s="3" t="n"/>
    </row>
    <row r="299">
      <c r="A299" s="10" t="n"/>
      <c r="B299" s="10" t="n"/>
      <c r="C299" s="10" t="n"/>
      <c r="D299" s="11" t="n"/>
      <c r="E299" s="3" t="n"/>
      <c r="F299" s="10" t="n"/>
      <c r="G299" s="3" t="n"/>
      <c r="H299" s="12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3">
        <f>IF(A299="","",SUM(I299,K299,M299,O299,Q299))</f>
        <v/>
      </c>
      <c r="T299" s="10" t="n"/>
      <c r="U299" s="10" t="n"/>
      <c r="V299" s="3" t="n"/>
      <c r="W299" s="3" t="n"/>
      <c r="X299" s="10" t="n"/>
      <c r="Y299" s="13">
        <f>IF(A299="","",COUNTA(A299,B299,C299,F299,H299,T299,U299,X299)/8)</f>
        <v/>
      </c>
      <c r="Z299" s="3" t="n"/>
    </row>
    <row r="300">
      <c r="A300" s="10" t="n"/>
      <c r="B300" s="10" t="n"/>
      <c r="C300" s="10" t="n"/>
      <c r="D300" s="11" t="n"/>
      <c r="E300" s="3" t="n"/>
      <c r="F300" s="10" t="n"/>
      <c r="G300" s="3" t="n"/>
      <c r="H300" s="12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3">
        <f>IF(A300="","",SUM(I300,K300,M300,O300,Q300))</f>
        <v/>
      </c>
      <c r="T300" s="10" t="n"/>
      <c r="U300" s="10" t="n"/>
      <c r="V300" s="3" t="n"/>
      <c r="W300" s="3" t="n"/>
      <c r="X300" s="10" t="n"/>
      <c r="Y300" s="13">
        <f>IF(A300="","",COUNTA(A300,B300,C300,F300,H300,T300,U300,X300)/8)</f>
        <v/>
      </c>
      <c r="Z300" s="3" t="n"/>
    </row>
    <row r="301">
      <c r="A301" s="10" t="n"/>
      <c r="B301" s="10" t="n"/>
      <c r="C301" s="10" t="n"/>
      <c r="D301" s="11" t="n"/>
      <c r="E301" s="3" t="n"/>
      <c r="F301" s="10" t="n"/>
      <c r="G301" s="3" t="n"/>
      <c r="H301" s="12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3">
        <f>IF(A301="","",SUM(I301,K301,M301,O301,Q301))</f>
        <v/>
      </c>
      <c r="T301" s="10" t="n"/>
      <c r="U301" s="10" t="n"/>
      <c r="V301" s="3" t="n"/>
      <c r="W301" s="3" t="n"/>
      <c r="X301" s="10" t="n"/>
      <c r="Y301" s="13">
        <f>IF(A301="","",COUNTA(A301,B301,C301,F301,H301,T301,U301,X301)/8)</f>
        <v/>
      </c>
      <c r="Z301" s="3" t="n"/>
    </row>
    <row r="302">
      <c r="A302" s="10" t="n"/>
      <c r="B302" s="10" t="n"/>
      <c r="C302" s="10" t="n"/>
      <c r="D302" s="11" t="n"/>
      <c r="E302" s="3" t="n"/>
      <c r="F302" s="10" t="n"/>
      <c r="G302" s="3" t="n"/>
      <c r="H302" s="12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3">
        <f>IF(A302="","",SUM(I302,K302,M302,O302,Q302))</f>
        <v/>
      </c>
      <c r="T302" s="10" t="n"/>
      <c r="U302" s="10" t="n"/>
      <c r="V302" s="3" t="n"/>
      <c r="W302" s="3" t="n"/>
      <c r="X302" s="10" t="n"/>
      <c r="Y302" s="13">
        <f>IF(A302="","",COUNTA(A302,B302,C302,F302,H302,T302,U302,X302)/8)</f>
        <v/>
      </c>
      <c r="Z302" s="3" t="n"/>
    </row>
    <row r="303">
      <c r="A303" s="10" t="n"/>
      <c r="B303" s="10" t="n"/>
      <c r="C303" s="10" t="n"/>
      <c r="D303" s="11" t="n"/>
      <c r="E303" s="3" t="n"/>
      <c r="F303" s="10" t="n"/>
      <c r="G303" s="3" t="n"/>
      <c r="H303" s="12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3">
        <f>IF(A303="","",SUM(I303,K303,M303,O303,Q303))</f>
        <v/>
      </c>
      <c r="T303" s="10" t="n"/>
      <c r="U303" s="10" t="n"/>
      <c r="V303" s="3" t="n"/>
      <c r="W303" s="3" t="n"/>
      <c r="X303" s="10" t="n"/>
      <c r="Y303" s="13">
        <f>IF(A303="","",COUNTA(A303,B303,C303,F303,H303,T303,U303,X303)/8)</f>
        <v/>
      </c>
      <c r="Z303" s="3" t="n"/>
    </row>
    <row r="304">
      <c r="A304" s="10" t="n"/>
      <c r="B304" s="10" t="n"/>
      <c r="C304" s="10" t="n"/>
      <c r="D304" s="11" t="n"/>
      <c r="E304" s="3" t="n"/>
      <c r="F304" s="10" t="n"/>
      <c r="G304" s="3" t="n"/>
      <c r="H304" s="12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3">
        <f>IF(A304="","",SUM(I304,K304,M304,O304,Q304))</f>
        <v/>
      </c>
      <c r="T304" s="10" t="n"/>
      <c r="U304" s="10" t="n"/>
      <c r="V304" s="3" t="n"/>
      <c r="W304" s="3" t="n"/>
      <c r="X304" s="10" t="n"/>
      <c r="Y304" s="13">
        <f>IF(A304="","",COUNTA(A304,B304,C304,F304,H304,T304,U304,X304)/8)</f>
        <v/>
      </c>
      <c r="Z304" s="3" t="n"/>
    </row>
    <row r="305">
      <c r="A305" s="10" t="n"/>
      <c r="B305" s="10" t="n"/>
      <c r="C305" s="10" t="n"/>
      <c r="D305" s="11" t="n"/>
      <c r="E305" s="3" t="n"/>
      <c r="F305" s="10" t="n"/>
      <c r="G305" s="3" t="n"/>
      <c r="H305" s="12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3">
        <f>IF(A305="","",SUM(I305,K305,M305,O305,Q305))</f>
        <v/>
      </c>
      <c r="T305" s="10" t="n"/>
      <c r="U305" s="10" t="n"/>
      <c r="V305" s="3" t="n"/>
      <c r="W305" s="3" t="n"/>
      <c r="X305" s="10" t="n"/>
      <c r="Y305" s="13">
        <f>IF(A305="","",COUNTA(A305,B305,C305,F305,H305,T305,U305,X305)/8)</f>
        <v/>
      </c>
      <c r="Z305" s="3" t="n"/>
    </row>
    <row r="306">
      <c r="A306" s="10" t="n"/>
      <c r="B306" s="10" t="n"/>
      <c r="C306" s="10" t="n"/>
      <c r="D306" s="11" t="n"/>
      <c r="E306" s="3" t="n"/>
      <c r="F306" s="10" t="n"/>
      <c r="G306" s="3" t="n"/>
      <c r="H306" s="12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3">
        <f>IF(A306="","",SUM(I306,K306,M306,O306,Q306))</f>
        <v/>
      </c>
      <c r="T306" s="10" t="n"/>
      <c r="U306" s="10" t="n"/>
      <c r="V306" s="3" t="n"/>
      <c r="W306" s="3" t="n"/>
      <c r="X306" s="10" t="n"/>
      <c r="Y306" s="13">
        <f>IF(A306="","",COUNTA(A306,B306,C306,F306,H306,T306,U306,X306)/8)</f>
        <v/>
      </c>
      <c r="Z306" s="3" t="n"/>
    </row>
    <row r="307">
      <c r="A307" s="10" t="n"/>
      <c r="B307" s="10" t="n"/>
      <c r="C307" s="10" t="n"/>
      <c r="D307" s="11" t="n"/>
      <c r="E307" s="3" t="n"/>
      <c r="F307" s="10" t="n"/>
      <c r="G307" s="3" t="n"/>
      <c r="H307" s="12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3">
        <f>IF(A307="","",SUM(I307,K307,M307,O307,Q307))</f>
        <v/>
      </c>
      <c r="T307" s="10" t="n"/>
      <c r="U307" s="10" t="n"/>
      <c r="V307" s="3" t="n"/>
      <c r="W307" s="3" t="n"/>
      <c r="X307" s="10" t="n"/>
      <c r="Y307" s="13">
        <f>IF(A307="","",COUNTA(A307,B307,C307,F307,H307,T307,U307,X307)/8)</f>
        <v/>
      </c>
      <c r="Z307" s="3" t="n"/>
    </row>
    <row r="308">
      <c r="A308" s="10" t="n"/>
      <c r="B308" s="10" t="n"/>
      <c r="C308" s="10" t="n"/>
      <c r="D308" s="11" t="n"/>
      <c r="E308" s="3" t="n"/>
      <c r="F308" s="10" t="n"/>
      <c r="G308" s="3" t="n"/>
      <c r="H308" s="12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3">
        <f>IF(A308="","",SUM(I308,K308,M308,O308,Q308))</f>
        <v/>
      </c>
      <c r="T308" s="10" t="n"/>
      <c r="U308" s="10" t="n"/>
      <c r="V308" s="3" t="n"/>
      <c r="W308" s="3" t="n"/>
      <c r="X308" s="10" t="n"/>
      <c r="Y308" s="13">
        <f>IF(A308="","",COUNTA(A308,B308,C308,F308,H308,T308,U308,X308)/8)</f>
        <v/>
      </c>
      <c r="Z308" s="3" t="n"/>
    </row>
    <row r="309">
      <c r="A309" s="10" t="n"/>
      <c r="B309" s="10" t="n"/>
      <c r="C309" s="10" t="n"/>
      <c r="D309" s="11" t="n"/>
      <c r="E309" s="3" t="n"/>
      <c r="F309" s="10" t="n"/>
      <c r="G309" s="3" t="n"/>
      <c r="H309" s="12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3">
        <f>IF(A309="","",SUM(I309,K309,M309,O309,Q309))</f>
        <v/>
      </c>
      <c r="T309" s="10" t="n"/>
      <c r="U309" s="10" t="n"/>
      <c r="V309" s="3" t="n"/>
      <c r="W309" s="3" t="n"/>
      <c r="X309" s="10" t="n"/>
      <c r="Y309" s="13">
        <f>IF(A309="","",COUNTA(A309,B309,C309,F309,H309,T309,U309,X309)/8)</f>
        <v/>
      </c>
      <c r="Z309" s="3" t="n"/>
    </row>
    <row r="310">
      <c r="A310" s="10" t="n"/>
      <c r="B310" s="10" t="n"/>
      <c r="C310" s="10" t="n"/>
      <c r="D310" s="11" t="n"/>
      <c r="E310" s="3" t="n"/>
      <c r="F310" s="10" t="n"/>
      <c r="G310" s="3" t="n"/>
      <c r="H310" s="12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3">
        <f>IF(A310="","",SUM(I310,K310,M310,O310,Q310))</f>
        <v/>
      </c>
      <c r="T310" s="10" t="n"/>
      <c r="U310" s="10" t="n"/>
      <c r="V310" s="3" t="n"/>
      <c r="W310" s="3" t="n"/>
      <c r="X310" s="10" t="n"/>
      <c r="Y310" s="13">
        <f>IF(A310="","",COUNTA(A310,B310,C310,F310,H310,T310,U310,X310)/8)</f>
        <v/>
      </c>
      <c r="Z310" s="3" t="n"/>
    </row>
    <row r="311">
      <c r="A311" s="10" t="n"/>
      <c r="B311" s="10" t="n"/>
      <c r="C311" s="10" t="n"/>
      <c r="D311" s="11" t="n"/>
      <c r="E311" s="3" t="n"/>
      <c r="F311" s="10" t="n"/>
      <c r="G311" s="3" t="n"/>
      <c r="H311" s="12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3">
        <f>IF(A311="","",SUM(I311,K311,M311,O311,Q311))</f>
        <v/>
      </c>
      <c r="T311" s="10" t="n"/>
      <c r="U311" s="10" t="n"/>
      <c r="V311" s="3" t="n"/>
      <c r="W311" s="3" t="n"/>
      <c r="X311" s="10" t="n"/>
      <c r="Y311" s="13">
        <f>IF(A311="","",COUNTA(A311,B311,C311,F311,H311,T311,U311,X311)/8)</f>
        <v/>
      </c>
      <c r="Z311" s="3" t="n"/>
    </row>
    <row r="312">
      <c r="A312" s="10" t="n"/>
      <c r="B312" s="10" t="n"/>
      <c r="C312" s="10" t="n"/>
      <c r="D312" s="11" t="n"/>
      <c r="E312" s="3" t="n"/>
      <c r="F312" s="10" t="n"/>
      <c r="G312" s="3" t="n"/>
      <c r="H312" s="12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3">
        <f>IF(A312="","",SUM(I312,K312,M312,O312,Q312))</f>
        <v/>
      </c>
      <c r="T312" s="10" t="n"/>
      <c r="U312" s="10" t="n"/>
      <c r="V312" s="3" t="n"/>
      <c r="W312" s="3" t="n"/>
      <c r="X312" s="10" t="n"/>
      <c r="Y312" s="13">
        <f>IF(A312="","",COUNTA(A312,B312,C312,F312,H312,T312,U312,X312)/8)</f>
        <v/>
      </c>
      <c r="Z312" s="3" t="n"/>
    </row>
    <row r="313">
      <c r="A313" s="10" t="n"/>
      <c r="B313" s="10" t="n"/>
      <c r="C313" s="10" t="n"/>
      <c r="D313" s="11" t="n"/>
      <c r="E313" s="3" t="n"/>
      <c r="F313" s="10" t="n"/>
      <c r="G313" s="3" t="n"/>
      <c r="H313" s="12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3">
        <f>IF(A313="","",SUM(I313,K313,M313,O313,Q313))</f>
        <v/>
      </c>
      <c r="T313" s="10" t="n"/>
      <c r="U313" s="10" t="n"/>
      <c r="V313" s="3" t="n"/>
      <c r="W313" s="3" t="n"/>
      <c r="X313" s="10" t="n"/>
      <c r="Y313" s="13">
        <f>IF(A313="","",COUNTA(A313,B313,C313,F313,H313,T313,U313,X313)/8)</f>
        <v/>
      </c>
      <c r="Z313" s="3" t="n"/>
    </row>
    <row r="314">
      <c r="A314" s="10" t="n"/>
      <c r="B314" s="10" t="n"/>
      <c r="C314" s="10" t="n"/>
      <c r="D314" s="11" t="n"/>
      <c r="E314" s="3" t="n"/>
      <c r="F314" s="10" t="n"/>
      <c r="G314" s="3" t="n"/>
      <c r="H314" s="12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3">
        <f>IF(A314="","",SUM(I314,K314,M314,O314,Q314))</f>
        <v/>
      </c>
      <c r="T314" s="10" t="n"/>
      <c r="U314" s="10" t="n"/>
      <c r="V314" s="3" t="n"/>
      <c r="W314" s="3" t="n"/>
      <c r="X314" s="10" t="n"/>
      <c r="Y314" s="13">
        <f>IF(A314="","",COUNTA(A314,B314,C314,F314,H314,T314,U314,X314)/8)</f>
        <v/>
      </c>
      <c r="Z314" s="3" t="n"/>
    </row>
    <row r="315">
      <c r="A315" s="10" t="n"/>
      <c r="B315" s="10" t="n"/>
      <c r="C315" s="10" t="n"/>
      <c r="D315" s="11" t="n"/>
      <c r="E315" s="3" t="n"/>
      <c r="F315" s="10" t="n"/>
      <c r="G315" s="3" t="n"/>
      <c r="H315" s="12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3">
        <f>IF(A315="","",SUM(I315,K315,M315,O315,Q315))</f>
        <v/>
      </c>
      <c r="T315" s="10" t="n"/>
      <c r="U315" s="10" t="n"/>
      <c r="V315" s="3" t="n"/>
      <c r="W315" s="3" t="n"/>
      <c r="X315" s="10" t="n"/>
      <c r="Y315" s="13">
        <f>IF(A315="","",COUNTA(A315,B315,C315,F315,H315,T315,U315,X315)/8)</f>
        <v/>
      </c>
      <c r="Z315" s="3" t="n"/>
    </row>
    <row r="316">
      <c r="A316" s="10" t="n"/>
      <c r="B316" s="10" t="n"/>
      <c r="C316" s="10" t="n"/>
      <c r="D316" s="11" t="n"/>
      <c r="E316" s="3" t="n"/>
      <c r="F316" s="10" t="n"/>
      <c r="G316" s="3" t="n"/>
      <c r="H316" s="12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3">
        <f>IF(A316="","",SUM(I316,K316,M316,O316,Q316))</f>
        <v/>
      </c>
      <c r="T316" s="10" t="n"/>
      <c r="U316" s="10" t="n"/>
      <c r="V316" s="3" t="n"/>
      <c r="W316" s="3" t="n"/>
      <c r="X316" s="10" t="n"/>
      <c r="Y316" s="13">
        <f>IF(A316="","",COUNTA(A316,B316,C316,F316,H316,T316,U316,X316)/8)</f>
        <v/>
      </c>
      <c r="Z316" s="3" t="n"/>
    </row>
    <row r="317">
      <c r="A317" s="10" t="n"/>
      <c r="B317" s="10" t="n"/>
      <c r="C317" s="10" t="n"/>
      <c r="D317" s="11" t="n"/>
      <c r="E317" s="3" t="n"/>
      <c r="F317" s="10" t="n"/>
      <c r="G317" s="3" t="n"/>
      <c r="H317" s="12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3">
        <f>IF(A317="","",SUM(I317,K317,M317,O317,Q317))</f>
        <v/>
      </c>
      <c r="T317" s="10" t="n"/>
      <c r="U317" s="10" t="n"/>
      <c r="V317" s="3" t="n"/>
      <c r="W317" s="3" t="n"/>
      <c r="X317" s="10" t="n"/>
      <c r="Y317" s="13">
        <f>IF(A317="","",COUNTA(A317,B317,C317,F317,H317,T317,U317,X317)/8)</f>
        <v/>
      </c>
      <c r="Z317" s="3" t="n"/>
    </row>
    <row r="318">
      <c r="A318" s="10" t="n"/>
      <c r="B318" s="10" t="n"/>
      <c r="C318" s="10" t="n"/>
      <c r="D318" s="11" t="n"/>
      <c r="E318" s="3" t="n"/>
      <c r="F318" s="10" t="n"/>
      <c r="G318" s="3" t="n"/>
      <c r="H318" s="12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3">
        <f>IF(A318="","",SUM(I318,K318,M318,O318,Q318))</f>
        <v/>
      </c>
      <c r="T318" s="10" t="n"/>
      <c r="U318" s="10" t="n"/>
      <c r="V318" s="3" t="n"/>
      <c r="W318" s="3" t="n"/>
      <c r="X318" s="10" t="n"/>
      <c r="Y318" s="13">
        <f>IF(A318="","",COUNTA(A318,B318,C318,F318,H318,T318,U318,X318)/8)</f>
        <v/>
      </c>
      <c r="Z318" s="3" t="n"/>
    </row>
    <row r="319">
      <c r="A319" s="10" t="n"/>
      <c r="B319" s="10" t="n"/>
      <c r="C319" s="10" t="n"/>
      <c r="D319" s="11" t="n"/>
      <c r="E319" s="3" t="n"/>
      <c r="F319" s="10" t="n"/>
      <c r="G319" s="3" t="n"/>
      <c r="H319" s="12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3">
        <f>IF(A319="","",SUM(I319,K319,M319,O319,Q319))</f>
        <v/>
      </c>
      <c r="T319" s="10" t="n"/>
      <c r="U319" s="10" t="n"/>
      <c r="V319" s="3" t="n"/>
      <c r="W319" s="3" t="n"/>
      <c r="X319" s="10" t="n"/>
      <c r="Y319" s="13">
        <f>IF(A319="","",COUNTA(A319,B319,C319,F319,H319,T319,U319,X319)/8)</f>
        <v/>
      </c>
      <c r="Z319" s="3" t="n"/>
    </row>
    <row r="320">
      <c r="A320" s="10" t="n"/>
      <c r="B320" s="10" t="n"/>
      <c r="C320" s="10" t="n"/>
      <c r="D320" s="11" t="n"/>
      <c r="E320" s="3" t="n"/>
      <c r="F320" s="10" t="n"/>
      <c r="G320" s="3" t="n"/>
      <c r="H320" s="12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3">
        <f>IF(A320="","",SUM(I320,K320,M320,O320,Q320))</f>
        <v/>
      </c>
      <c r="T320" s="10" t="n"/>
      <c r="U320" s="10" t="n"/>
      <c r="V320" s="3" t="n"/>
      <c r="W320" s="3" t="n"/>
      <c r="X320" s="10" t="n"/>
      <c r="Y320" s="13">
        <f>IF(A320="","",COUNTA(A320,B320,C320,F320,H320,T320,U320,X320)/8)</f>
        <v/>
      </c>
      <c r="Z320" s="3" t="n"/>
    </row>
    <row r="321">
      <c r="A321" s="10" t="n"/>
      <c r="B321" s="10" t="n"/>
      <c r="C321" s="10" t="n"/>
      <c r="D321" s="11" t="n"/>
      <c r="E321" s="3" t="n"/>
      <c r="F321" s="10" t="n"/>
      <c r="G321" s="3" t="n"/>
      <c r="H321" s="12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3">
        <f>IF(A321="","",SUM(I321,K321,M321,O321,Q321))</f>
        <v/>
      </c>
      <c r="T321" s="10" t="n"/>
      <c r="U321" s="10" t="n"/>
      <c r="V321" s="3" t="n"/>
      <c r="W321" s="3" t="n"/>
      <c r="X321" s="10" t="n"/>
      <c r="Y321" s="13">
        <f>IF(A321="","",COUNTA(A321,B321,C321,F321,H321,T321,U321,X321)/8)</f>
        <v/>
      </c>
      <c r="Z321" s="3" t="n"/>
    </row>
    <row r="322">
      <c r="A322" s="10" t="n"/>
      <c r="B322" s="10" t="n"/>
      <c r="C322" s="10" t="n"/>
      <c r="D322" s="11" t="n"/>
      <c r="E322" s="3" t="n"/>
      <c r="F322" s="10" t="n"/>
      <c r="G322" s="3" t="n"/>
      <c r="H322" s="12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3">
        <f>IF(A322="","",SUM(I322,K322,M322,O322,Q322))</f>
        <v/>
      </c>
      <c r="T322" s="10" t="n"/>
      <c r="U322" s="10" t="n"/>
      <c r="V322" s="3" t="n"/>
      <c r="W322" s="3" t="n"/>
      <c r="X322" s="10" t="n"/>
      <c r="Y322" s="13">
        <f>IF(A322="","",COUNTA(A322,B322,C322,F322,H322,T322,U322,X322)/8)</f>
        <v/>
      </c>
      <c r="Z322" s="3" t="n"/>
    </row>
    <row r="323">
      <c r="A323" s="10" t="n"/>
      <c r="B323" s="10" t="n"/>
      <c r="C323" s="10" t="n"/>
      <c r="D323" s="11" t="n"/>
      <c r="E323" s="3" t="n"/>
      <c r="F323" s="10" t="n"/>
      <c r="G323" s="3" t="n"/>
      <c r="H323" s="12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3">
        <f>IF(A323="","",SUM(I323,K323,M323,O323,Q323))</f>
        <v/>
      </c>
      <c r="T323" s="10" t="n"/>
      <c r="U323" s="10" t="n"/>
      <c r="V323" s="3" t="n"/>
      <c r="W323" s="3" t="n"/>
      <c r="X323" s="10" t="n"/>
      <c r="Y323" s="13">
        <f>IF(A323="","",COUNTA(A323,B323,C323,F323,H323,T323,U323,X323)/8)</f>
        <v/>
      </c>
      <c r="Z323" s="3" t="n"/>
    </row>
    <row r="324">
      <c r="A324" s="10" t="n"/>
      <c r="B324" s="10" t="n"/>
      <c r="C324" s="10" t="n"/>
      <c r="D324" s="11" t="n"/>
      <c r="E324" s="3" t="n"/>
      <c r="F324" s="10" t="n"/>
      <c r="G324" s="3" t="n"/>
      <c r="H324" s="12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3">
        <f>IF(A324="","",SUM(I324,K324,M324,O324,Q324))</f>
        <v/>
      </c>
      <c r="T324" s="10" t="n"/>
      <c r="U324" s="10" t="n"/>
      <c r="V324" s="3" t="n"/>
      <c r="W324" s="3" t="n"/>
      <c r="X324" s="10" t="n"/>
      <c r="Y324" s="13">
        <f>IF(A324="","",COUNTA(A324,B324,C324,F324,H324,T324,U324,X324)/8)</f>
        <v/>
      </c>
      <c r="Z324" s="3" t="n"/>
    </row>
    <row r="325">
      <c r="A325" s="10" t="n"/>
      <c r="B325" s="10" t="n"/>
      <c r="C325" s="10" t="n"/>
      <c r="D325" s="11" t="n"/>
      <c r="E325" s="3" t="n"/>
      <c r="F325" s="10" t="n"/>
      <c r="G325" s="3" t="n"/>
      <c r="H325" s="12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3">
        <f>IF(A325="","",SUM(I325,K325,M325,O325,Q325))</f>
        <v/>
      </c>
      <c r="T325" s="10" t="n"/>
      <c r="U325" s="10" t="n"/>
      <c r="V325" s="3" t="n"/>
      <c r="W325" s="3" t="n"/>
      <c r="X325" s="10" t="n"/>
      <c r="Y325" s="13">
        <f>IF(A325="","",COUNTA(A325,B325,C325,F325,H325,T325,U325,X325)/8)</f>
        <v/>
      </c>
      <c r="Z325" s="3" t="n"/>
    </row>
    <row r="326">
      <c r="A326" s="10" t="n"/>
      <c r="B326" s="10" t="n"/>
      <c r="C326" s="10" t="n"/>
      <c r="D326" s="11" t="n"/>
      <c r="E326" s="3" t="n"/>
      <c r="F326" s="10" t="n"/>
      <c r="G326" s="3" t="n"/>
      <c r="H326" s="12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3">
        <f>IF(A326="","",SUM(I326,K326,M326,O326,Q326))</f>
        <v/>
      </c>
      <c r="T326" s="10" t="n"/>
      <c r="U326" s="10" t="n"/>
      <c r="V326" s="3" t="n"/>
      <c r="W326" s="3" t="n"/>
      <c r="X326" s="10" t="n"/>
      <c r="Y326" s="13">
        <f>IF(A326="","",COUNTA(A326,B326,C326,F326,H326,T326,U326,X326)/8)</f>
        <v/>
      </c>
      <c r="Z326" s="3" t="n"/>
    </row>
    <row r="327">
      <c r="A327" s="10" t="n"/>
      <c r="B327" s="10" t="n"/>
      <c r="C327" s="10" t="n"/>
      <c r="D327" s="11" t="n"/>
      <c r="E327" s="3" t="n"/>
      <c r="F327" s="10" t="n"/>
      <c r="G327" s="3" t="n"/>
      <c r="H327" s="12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3">
        <f>IF(A327="","",SUM(I327,K327,M327,O327,Q327))</f>
        <v/>
      </c>
      <c r="T327" s="10" t="n"/>
      <c r="U327" s="10" t="n"/>
      <c r="V327" s="3" t="n"/>
      <c r="W327" s="3" t="n"/>
      <c r="X327" s="10" t="n"/>
      <c r="Y327" s="13">
        <f>IF(A327="","",COUNTA(A327,B327,C327,F327,H327,T327,U327,X327)/8)</f>
        <v/>
      </c>
      <c r="Z327" s="3" t="n"/>
    </row>
    <row r="328">
      <c r="A328" s="10" t="n"/>
      <c r="B328" s="10" t="n"/>
      <c r="C328" s="10" t="n"/>
      <c r="D328" s="11" t="n"/>
      <c r="E328" s="3" t="n"/>
      <c r="F328" s="10" t="n"/>
      <c r="G328" s="3" t="n"/>
      <c r="H328" s="12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3">
        <f>IF(A328="","",SUM(I328,K328,M328,O328,Q328))</f>
        <v/>
      </c>
      <c r="T328" s="10" t="n"/>
      <c r="U328" s="10" t="n"/>
      <c r="V328" s="3" t="n"/>
      <c r="W328" s="3" t="n"/>
      <c r="X328" s="10" t="n"/>
      <c r="Y328" s="13">
        <f>IF(A328="","",COUNTA(A328,B328,C328,F328,H328,T328,U328,X328)/8)</f>
        <v/>
      </c>
      <c r="Z328" s="3" t="n"/>
    </row>
    <row r="329">
      <c r="A329" s="10" t="n"/>
      <c r="B329" s="10" t="n"/>
      <c r="C329" s="10" t="n"/>
      <c r="D329" s="11" t="n"/>
      <c r="E329" s="3" t="n"/>
      <c r="F329" s="10" t="n"/>
      <c r="G329" s="3" t="n"/>
      <c r="H329" s="12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3">
        <f>IF(A329="","",SUM(I329,K329,M329,O329,Q329))</f>
        <v/>
      </c>
      <c r="T329" s="10" t="n"/>
      <c r="U329" s="10" t="n"/>
      <c r="V329" s="3" t="n"/>
      <c r="W329" s="3" t="n"/>
      <c r="X329" s="10" t="n"/>
      <c r="Y329" s="13">
        <f>IF(A329="","",COUNTA(A329,B329,C329,F329,H329,T329,U329,X329)/8)</f>
        <v/>
      </c>
      <c r="Z329" s="3" t="n"/>
    </row>
    <row r="330">
      <c r="A330" s="10" t="n"/>
      <c r="B330" s="10" t="n"/>
      <c r="C330" s="10" t="n"/>
      <c r="D330" s="11" t="n"/>
      <c r="E330" s="3" t="n"/>
      <c r="F330" s="10" t="n"/>
      <c r="G330" s="3" t="n"/>
      <c r="H330" s="12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3">
        <f>IF(A330="","",SUM(I330,K330,M330,O330,Q330))</f>
        <v/>
      </c>
      <c r="T330" s="10" t="n"/>
      <c r="U330" s="10" t="n"/>
      <c r="V330" s="3" t="n"/>
      <c r="W330" s="3" t="n"/>
      <c r="X330" s="10" t="n"/>
      <c r="Y330" s="13">
        <f>IF(A330="","",COUNTA(A330,B330,C330,F330,H330,T330,U330,X330)/8)</f>
        <v/>
      </c>
      <c r="Z330" s="3" t="n"/>
    </row>
    <row r="331">
      <c r="A331" s="10" t="n"/>
      <c r="B331" s="10" t="n"/>
      <c r="C331" s="10" t="n"/>
      <c r="D331" s="11" t="n"/>
      <c r="E331" s="3" t="n"/>
      <c r="F331" s="10" t="n"/>
      <c r="G331" s="3" t="n"/>
      <c r="H331" s="12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3">
        <f>IF(A331="","",SUM(I331,K331,M331,O331,Q331))</f>
        <v/>
      </c>
      <c r="T331" s="10" t="n"/>
      <c r="U331" s="10" t="n"/>
      <c r="V331" s="3" t="n"/>
      <c r="W331" s="3" t="n"/>
      <c r="X331" s="10" t="n"/>
      <c r="Y331" s="13">
        <f>IF(A331="","",COUNTA(A331,B331,C331,F331,H331,T331,U331,X331)/8)</f>
        <v/>
      </c>
      <c r="Z331" s="3" t="n"/>
    </row>
    <row r="332">
      <c r="A332" s="10" t="n"/>
      <c r="B332" s="10" t="n"/>
      <c r="C332" s="10" t="n"/>
      <c r="D332" s="11" t="n"/>
      <c r="E332" s="3" t="n"/>
      <c r="F332" s="10" t="n"/>
      <c r="G332" s="3" t="n"/>
      <c r="H332" s="12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3">
        <f>IF(A332="","",SUM(I332,K332,M332,O332,Q332))</f>
        <v/>
      </c>
      <c r="T332" s="10" t="n"/>
      <c r="U332" s="10" t="n"/>
      <c r="V332" s="3" t="n"/>
      <c r="W332" s="3" t="n"/>
      <c r="X332" s="10" t="n"/>
      <c r="Y332" s="13">
        <f>IF(A332="","",COUNTA(A332,B332,C332,F332,H332,T332,U332,X332)/8)</f>
        <v/>
      </c>
      <c r="Z332" s="3" t="n"/>
    </row>
    <row r="333">
      <c r="A333" s="10" t="n"/>
      <c r="B333" s="10" t="n"/>
      <c r="C333" s="10" t="n"/>
      <c r="D333" s="11" t="n"/>
      <c r="E333" s="3" t="n"/>
      <c r="F333" s="10" t="n"/>
      <c r="G333" s="3" t="n"/>
      <c r="H333" s="12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3">
        <f>IF(A333="","",SUM(I333,K333,M333,O333,Q333))</f>
        <v/>
      </c>
      <c r="T333" s="10" t="n"/>
      <c r="U333" s="10" t="n"/>
      <c r="V333" s="3" t="n"/>
      <c r="W333" s="3" t="n"/>
      <c r="X333" s="10" t="n"/>
      <c r="Y333" s="13">
        <f>IF(A333="","",COUNTA(A333,B333,C333,F333,H333,T333,U333,X333)/8)</f>
        <v/>
      </c>
      <c r="Z333" s="3" t="n"/>
    </row>
    <row r="334">
      <c r="A334" s="10" t="n"/>
      <c r="B334" s="10" t="n"/>
      <c r="C334" s="10" t="n"/>
      <c r="D334" s="11" t="n"/>
      <c r="E334" s="3" t="n"/>
      <c r="F334" s="10" t="n"/>
      <c r="G334" s="3" t="n"/>
      <c r="H334" s="12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3">
        <f>IF(A334="","",SUM(I334,K334,M334,O334,Q334))</f>
        <v/>
      </c>
      <c r="T334" s="10" t="n"/>
      <c r="U334" s="10" t="n"/>
      <c r="V334" s="3" t="n"/>
      <c r="W334" s="3" t="n"/>
      <c r="X334" s="10" t="n"/>
      <c r="Y334" s="13">
        <f>IF(A334="","",COUNTA(A334,B334,C334,F334,H334,T334,U334,X334)/8)</f>
        <v/>
      </c>
      <c r="Z334" s="3" t="n"/>
    </row>
    <row r="335">
      <c r="A335" s="10" t="n"/>
      <c r="B335" s="10" t="n"/>
      <c r="C335" s="10" t="n"/>
      <c r="D335" s="11" t="n"/>
      <c r="E335" s="3" t="n"/>
      <c r="F335" s="10" t="n"/>
      <c r="G335" s="3" t="n"/>
      <c r="H335" s="12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3">
        <f>IF(A335="","",SUM(I335,K335,M335,O335,Q335))</f>
        <v/>
      </c>
      <c r="T335" s="10" t="n"/>
      <c r="U335" s="10" t="n"/>
      <c r="V335" s="3" t="n"/>
      <c r="W335" s="3" t="n"/>
      <c r="X335" s="10" t="n"/>
      <c r="Y335" s="13">
        <f>IF(A335="","",COUNTA(A335,B335,C335,F335,H335,T335,U335,X335)/8)</f>
        <v/>
      </c>
      <c r="Z335" s="3" t="n"/>
    </row>
    <row r="336">
      <c r="A336" s="10" t="n"/>
      <c r="B336" s="10" t="n"/>
      <c r="C336" s="10" t="n"/>
      <c r="D336" s="11" t="n"/>
      <c r="E336" s="3" t="n"/>
      <c r="F336" s="10" t="n"/>
      <c r="G336" s="3" t="n"/>
      <c r="H336" s="12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3">
        <f>IF(A336="","",SUM(I336,K336,M336,O336,Q336))</f>
        <v/>
      </c>
      <c r="T336" s="10" t="n"/>
      <c r="U336" s="10" t="n"/>
      <c r="V336" s="3" t="n"/>
      <c r="W336" s="3" t="n"/>
      <c r="X336" s="10" t="n"/>
      <c r="Y336" s="13">
        <f>IF(A336="","",COUNTA(A336,B336,C336,F336,H336,T336,U336,X336)/8)</f>
        <v/>
      </c>
      <c r="Z336" s="3" t="n"/>
    </row>
    <row r="337">
      <c r="A337" s="10" t="n"/>
      <c r="B337" s="10" t="n"/>
      <c r="C337" s="10" t="n"/>
      <c r="D337" s="11" t="n"/>
      <c r="E337" s="3" t="n"/>
      <c r="F337" s="10" t="n"/>
      <c r="G337" s="3" t="n"/>
      <c r="H337" s="12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3">
        <f>IF(A337="","",SUM(I337,K337,M337,O337,Q337))</f>
        <v/>
      </c>
      <c r="T337" s="10" t="n"/>
      <c r="U337" s="10" t="n"/>
      <c r="V337" s="3" t="n"/>
      <c r="W337" s="3" t="n"/>
      <c r="X337" s="10" t="n"/>
      <c r="Y337" s="13">
        <f>IF(A337="","",COUNTA(A337,B337,C337,F337,H337,T337,U337,X337)/8)</f>
        <v/>
      </c>
      <c r="Z337" s="3" t="n"/>
    </row>
    <row r="338">
      <c r="A338" s="10" t="n"/>
      <c r="B338" s="10" t="n"/>
      <c r="C338" s="10" t="n"/>
      <c r="D338" s="11" t="n"/>
      <c r="E338" s="3" t="n"/>
      <c r="F338" s="10" t="n"/>
      <c r="G338" s="3" t="n"/>
      <c r="H338" s="12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3">
        <f>IF(A338="","",SUM(I338,K338,M338,O338,Q338))</f>
        <v/>
      </c>
      <c r="T338" s="10" t="n"/>
      <c r="U338" s="10" t="n"/>
      <c r="V338" s="3" t="n"/>
      <c r="W338" s="3" t="n"/>
      <c r="X338" s="10" t="n"/>
      <c r="Y338" s="13">
        <f>IF(A338="","",COUNTA(A338,B338,C338,F338,H338,T338,U338,X338)/8)</f>
        <v/>
      </c>
      <c r="Z338" s="3" t="n"/>
    </row>
    <row r="339">
      <c r="A339" s="10" t="n"/>
      <c r="B339" s="10" t="n"/>
      <c r="C339" s="10" t="n"/>
      <c r="D339" s="11" t="n"/>
      <c r="E339" s="3" t="n"/>
      <c r="F339" s="10" t="n"/>
      <c r="G339" s="3" t="n"/>
      <c r="H339" s="12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3">
        <f>IF(A339="","",SUM(I339,K339,M339,O339,Q339))</f>
        <v/>
      </c>
      <c r="T339" s="10" t="n"/>
      <c r="U339" s="10" t="n"/>
      <c r="V339" s="3" t="n"/>
      <c r="W339" s="3" t="n"/>
      <c r="X339" s="10" t="n"/>
      <c r="Y339" s="13">
        <f>IF(A339="","",COUNTA(A339,B339,C339,F339,H339,T339,U339,X339)/8)</f>
        <v/>
      </c>
      <c r="Z339" s="3" t="n"/>
    </row>
    <row r="340">
      <c r="A340" s="10" t="n"/>
      <c r="B340" s="10" t="n"/>
      <c r="C340" s="10" t="n"/>
      <c r="D340" s="11" t="n"/>
      <c r="E340" s="3" t="n"/>
      <c r="F340" s="10" t="n"/>
      <c r="G340" s="3" t="n"/>
      <c r="H340" s="12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3">
        <f>IF(A340="","",SUM(I340,K340,M340,O340,Q340))</f>
        <v/>
      </c>
      <c r="T340" s="10" t="n"/>
      <c r="U340" s="10" t="n"/>
      <c r="V340" s="3" t="n"/>
      <c r="W340" s="3" t="n"/>
      <c r="X340" s="10" t="n"/>
      <c r="Y340" s="13">
        <f>IF(A340="","",COUNTA(A340,B340,C340,F340,H340,T340,U340,X340)/8)</f>
        <v/>
      </c>
      <c r="Z340" s="3" t="n"/>
    </row>
    <row r="341">
      <c r="A341" s="10" t="n"/>
      <c r="B341" s="10" t="n"/>
      <c r="C341" s="10" t="n"/>
      <c r="D341" s="11" t="n"/>
      <c r="E341" s="3" t="n"/>
      <c r="F341" s="10" t="n"/>
      <c r="G341" s="3" t="n"/>
      <c r="H341" s="12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3">
        <f>IF(A341="","",SUM(I341,K341,M341,O341,Q341))</f>
        <v/>
      </c>
      <c r="T341" s="10" t="n"/>
      <c r="U341" s="10" t="n"/>
      <c r="V341" s="3" t="n"/>
      <c r="W341" s="3" t="n"/>
      <c r="X341" s="10" t="n"/>
      <c r="Y341" s="13">
        <f>IF(A341="","",COUNTA(A341,B341,C341,F341,H341,T341,U341,X341)/8)</f>
        <v/>
      </c>
      <c r="Z341" s="3" t="n"/>
    </row>
    <row r="342">
      <c r="A342" s="10" t="n"/>
      <c r="B342" s="10" t="n"/>
      <c r="C342" s="10" t="n"/>
      <c r="D342" s="11" t="n"/>
      <c r="E342" s="3" t="n"/>
      <c r="F342" s="10" t="n"/>
      <c r="G342" s="3" t="n"/>
      <c r="H342" s="12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3">
        <f>IF(A342="","",SUM(I342,K342,M342,O342,Q342))</f>
        <v/>
      </c>
      <c r="T342" s="10" t="n"/>
      <c r="U342" s="10" t="n"/>
      <c r="V342" s="3" t="n"/>
      <c r="W342" s="3" t="n"/>
      <c r="X342" s="10" t="n"/>
      <c r="Y342" s="13">
        <f>IF(A342="","",COUNTA(A342,B342,C342,F342,H342,T342,U342,X342)/8)</f>
        <v/>
      </c>
      <c r="Z342" s="3" t="n"/>
    </row>
    <row r="343">
      <c r="A343" s="10" t="n"/>
      <c r="B343" s="10" t="n"/>
      <c r="C343" s="10" t="n"/>
      <c r="D343" s="11" t="n"/>
      <c r="E343" s="3" t="n"/>
      <c r="F343" s="10" t="n"/>
      <c r="G343" s="3" t="n"/>
      <c r="H343" s="12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3">
        <f>IF(A343="","",SUM(I343,K343,M343,O343,Q343))</f>
        <v/>
      </c>
      <c r="T343" s="10" t="n"/>
      <c r="U343" s="10" t="n"/>
      <c r="V343" s="3" t="n"/>
      <c r="W343" s="3" t="n"/>
      <c r="X343" s="10" t="n"/>
      <c r="Y343" s="13">
        <f>IF(A343="","",COUNTA(A343,B343,C343,F343,H343,T343,U343,X343)/8)</f>
        <v/>
      </c>
      <c r="Z343" s="3" t="n"/>
    </row>
    <row r="344">
      <c r="A344" s="10" t="n"/>
      <c r="B344" s="10" t="n"/>
      <c r="C344" s="10" t="n"/>
      <c r="D344" s="11" t="n"/>
      <c r="E344" s="3" t="n"/>
      <c r="F344" s="10" t="n"/>
      <c r="G344" s="3" t="n"/>
      <c r="H344" s="12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3">
        <f>IF(A344="","",SUM(I344,K344,M344,O344,Q344))</f>
        <v/>
      </c>
      <c r="T344" s="10" t="n"/>
      <c r="U344" s="10" t="n"/>
      <c r="V344" s="3" t="n"/>
      <c r="W344" s="3" t="n"/>
      <c r="X344" s="10" t="n"/>
      <c r="Y344" s="13">
        <f>IF(A344="","",COUNTA(A344,B344,C344,F344,H344,T344,U344,X344)/8)</f>
        <v/>
      </c>
      <c r="Z344" s="3" t="n"/>
    </row>
    <row r="345">
      <c r="A345" s="10" t="n"/>
      <c r="B345" s="10" t="n"/>
      <c r="C345" s="10" t="n"/>
      <c r="D345" s="11" t="n"/>
      <c r="E345" s="3" t="n"/>
      <c r="F345" s="10" t="n"/>
      <c r="G345" s="3" t="n"/>
      <c r="H345" s="12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3">
        <f>IF(A345="","",SUM(I345,K345,M345,O345,Q345))</f>
        <v/>
      </c>
      <c r="T345" s="10" t="n"/>
      <c r="U345" s="10" t="n"/>
      <c r="V345" s="3" t="n"/>
      <c r="W345" s="3" t="n"/>
      <c r="X345" s="10" t="n"/>
      <c r="Y345" s="13">
        <f>IF(A345="","",COUNTA(A345,B345,C345,F345,H345,T345,U345,X345)/8)</f>
        <v/>
      </c>
      <c r="Z345" s="3" t="n"/>
    </row>
    <row r="346">
      <c r="A346" s="10" t="n"/>
      <c r="B346" s="10" t="n"/>
      <c r="C346" s="10" t="n"/>
      <c r="D346" s="11" t="n"/>
      <c r="E346" s="3" t="n"/>
      <c r="F346" s="10" t="n"/>
      <c r="G346" s="3" t="n"/>
      <c r="H346" s="12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3">
        <f>IF(A346="","",SUM(I346,K346,M346,O346,Q346))</f>
        <v/>
      </c>
      <c r="T346" s="10" t="n"/>
      <c r="U346" s="10" t="n"/>
      <c r="V346" s="3" t="n"/>
      <c r="W346" s="3" t="n"/>
      <c r="X346" s="10" t="n"/>
      <c r="Y346" s="13">
        <f>IF(A346="","",COUNTA(A346,B346,C346,F346,H346,T346,U346,X346)/8)</f>
        <v/>
      </c>
      <c r="Z346" s="3" t="n"/>
    </row>
    <row r="347">
      <c r="A347" s="10" t="n"/>
      <c r="B347" s="10" t="n"/>
      <c r="C347" s="10" t="n"/>
      <c r="D347" s="11" t="n"/>
      <c r="E347" s="3" t="n"/>
      <c r="F347" s="10" t="n"/>
      <c r="G347" s="3" t="n"/>
      <c r="H347" s="12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3">
        <f>IF(A347="","",SUM(I347,K347,M347,O347,Q347))</f>
        <v/>
      </c>
      <c r="T347" s="10" t="n"/>
      <c r="U347" s="10" t="n"/>
      <c r="V347" s="3" t="n"/>
      <c r="W347" s="3" t="n"/>
      <c r="X347" s="10" t="n"/>
      <c r="Y347" s="13">
        <f>IF(A347="","",COUNTA(A347,B347,C347,F347,H347,T347,U347,X347)/8)</f>
        <v/>
      </c>
      <c r="Z347" s="3" t="n"/>
    </row>
    <row r="348">
      <c r="A348" s="10" t="n"/>
      <c r="B348" s="10" t="n"/>
      <c r="C348" s="10" t="n"/>
      <c r="D348" s="11" t="n"/>
      <c r="E348" s="3" t="n"/>
      <c r="F348" s="10" t="n"/>
      <c r="G348" s="3" t="n"/>
      <c r="H348" s="12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3">
        <f>IF(A348="","",SUM(I348,K348,M348,O348,Q348))</f>
        <v/>
      </c>
      <c r="T348" s="10" t="n"/>
      <c r="U348" s="10" t="n"/>
      <c r="V348" s="3" t="n"/>
      <c r="W348" s="3" t="n"/>
      <c r="X348" s="10" t="n"/>
      <c r="Y348" s="13">
        <f>IF(A348="","",COUNTA(A348,B348,C348,F348,H348,T348,U348,X348)/8)</f>
        <v/>
      </c>
      <c r="Z348" s="3" t="n"/>
    </row>
    <row r="349">
      <c r="A349" s="10" t="n"/>
      <c r="B349" s="10" t="n"/>
      <c r="C349" s="10" t="n"/>
      <c r="D349" s="11" t="n"/>
      <c r="E349" s="3" t="n"/>
      <c r="F349" s="10" t="n"/>
      <c r="G349" s="3" t="n"/>
      <c r="H349" s="12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3">
        <f>IF(A349="","",SUM(I349,K349,M349,O349,Q349))</f>
        <v/>
      </c>
      <c r="T349" s="10" t="n"/>
      <c r="U349" s="10" t="n"/>
      <c r="V349" s="3" t="n"/>
      <c r="W349" s="3" t="n"/>
      <c r="X349" s="10" t="n"/>
      <c r="Y349" s="13">
        <f>IF(A349="","",COUNTA(A349,B349,C349,F349,H349,T349,U349,X349)/8)</f>
        <v/>
      </c>
      <c r="Z349" s="3" t="n"/>
    </row>
    <row r="350">
      <c r="A350" s="10" t="n"/>
      <c r="B350" s="10" t="n"/>
      <c r="C350" s="10" t="n"/>
      <c r="D350" s="11" t="n"/>
      <c r="E350" s="3" t="n"/>
      <c r="F350" s="10" t="n"/>
      <c r="G350" s="3" t="n"/>
      <c r="H350" s="12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3">
        <f>IF(A350="","",SUM(I350,K350,M350,O350,Q350))</f>
        <v/>
      </c>
      <c r="T350" s="10" t="n"/>
      <c r="U350" s="10" t="n"/>
      <c r="V350" s="3" t="n"/>
      <c r="W350" s="3" t="n"/>
      <c r="X350" s="10" t="n"/>
      <c r="Y350" s="13">
        <f>IF(A350="","",COUNTA(A350,B350,C350,F350,H350,T350,U350,X350)/8)</f>
        <v/>
      </c>
      <c r="Z350" s="3" t="n"/>
    </row>
    <row r="351">
      <c r="A351" s="10" t="n"/>
      <c r="B351" s="10" t="n"/>
      <c r="C351" s="10" t="n"/>
      <c r="D351" s="11" t="n"/>
      <c r="E351" s="3" t="n"/>
      <c r="F351" s="10" t="n"/>
      <c r="G351" s="3" t="n"/>
      <c r="H351" s="12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3">
        <f>IF(A351="","",SUM(I351,K351,M351,O351,Q351))</f>
        <v/>
      </c>
      <c r="T351" s="10" t="n"/>
      <c r="U351" s="10" t="n"/>
      <c r="V351" s="3" t="n"/>
      <c r="W351" s="3" t="n"/>
      <c r="X351" s="10" t="n"/>
      <c r="Y351" s="13">
        <f>IF(A351="","",COUNTA(A351,B351,C351,F351,H351,T351,U351,X351)/8)</f>
        <v/>
      </c>
      <c r="Z351" s="3" t="n"/>
    </row>
    <row r="352">
      <c r="A352" s="10" t="n"/>
      <c r="B352" s="10" t="n"/>
      <c r="C352" s="10" t="n"/>
      <c r="D352" s="11" t="n"/>
      <c r="E352" s="3" t="n"/>
      <c r="F352" s="10" t="n"/>
      <c r="G352" s="3" t="n"/>
      <c r="H352" s="12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3">
        <f>IF(A352="","",SUM(I352,K352,M352,O352,Q352))</f>
        <v/>
      </c>
      <c r="T352" s="10" t="n"/>
      <c r="U352" s="10" t="n"/>
      <c r="V352" s="3" t="n"/>
      <c r="W352" s="3" t="n"/>
      <c r="X352" s="10" t="n"/>
      <c r="Y352" s="13">
        <f>IF(A352="","",COUNTA(A352,B352,C352,F352,H352,T352,U352,X352)/8)</f>
        <v/>
      </c>
      <c r="Z352" s="3" t="n"/>
    </row>
    <row r="353">
      <c r="A353" s="10" t="n"/>
      <c r="B353" s="10" t="n"/>
      <c r="C353" s="10" t="n"/>
      <c r="D353" s="11" t="n"/>
      <c r="E353" s="3" t="n"/>
      <c r="F353" s="10" t="n"/>
      <c r="G353" s="3" t="n"/>
      <c r="H353" s="12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3">
        <f>IF(A353="","",SUM(I353,K353,M353,O353,Q353))</f>
        <v/>
      </c>
      <c r="T353" s="10" t="n"/>
      <c r="U353" s="10" t="n"/>
      <c r="V353" s="3" t="n"/>
      <c r="W353" s="3" t="n"/>
      <c r="X353" s="10" t="n"/>
      <c r="Y353" s="13">
        <f>IF(A353="","",COUNTA(A353,B353,C353,F353,H353,T353,U353,X353)/8)</f>
        <v/>
      </c>
      <c r="Z353" s="3" t="n"/>
    </row>
    <row r="354">
      <c r="A354" s="10" t="n"/>
      <c r="B354" s="10" t="n"/>
      <c r="C354" s="10" t="n"/>
      <c r="D354" s="11" t="n"/>
      <c r="E354" s="3" t="n"/>
      <c r="F354" s="10" t="n"/>
      <c r="G354" s="3" t="n"/>
      <c r="H354" s="12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3">
        <f>IF(A354="","",SUM(I354,K354,M354,O354,Q354))</f>
        <v/>
      </c>
      <c r="T354" s="10" t="n"/>
      <c r="U354" s="10" t="n"/>
      <c r="V354" s="3" t="n"/>
      <c r="W354" s="3" t="n"/>
      <c r="X354" s="10" t="n"/>
      <c r="Y354" s="13">
        <f>IF(A354="","",COUNTA(A354,B354,C354,F354,H354,T354,U354,X354)/8)</f>
        <v/>
      </c>
      <c r="Z354" s="3" t="n"/>
    </row>
    <row r="355">
      <c r="A355" s="10" t="n"/>
      <c r="B355" s="10" t="n"/>
      <c r="C355" s="10" t="n"/>
      <c r="D355" s="11" t="n"/>
      <c r="E355" s="3" t="n"/>
      <c r="F355" s="10" t="n"/>
      <c r="G355" s="3" t="n"/>
      <c r="H355" s="12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3">
        <f>IF(A355="","",SUM(I355,K355,M355,O355,Q355))</f>
        <v/>
      </c>
      <c r="T355" s="10" t="n"/>
      <c r="U355" s="10" t="n"/>
      <c r="V355" s="3" t="n"/>
      <c r="W355" s="3" t="n"/>
      <c r="X355" s="10" t="n"/>
      <c r="Y355" s="13">
        <f>IF(A355="","",COUNTA(A355,B355,C355,F355,H355,T355,U355,X355)/8)</f>
        <v/>
      </c>
      <c r="Z355" s="3" t="n"/>
    </row>
    <row r="356">
      <c r="A356" s="10" t="n"/>
      <c r="B356" s="10" t="n"/>
      <c r="C356" s="10" t="n"/>
      <c r="D356" s="11" t="n"/>
      <c r="E356" s="3" t="n"/>
      <c r="F356" s="10" t="n"/>
      <c r="G356" s="3" t="n"/>
      <c r="H356" s="12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3">
        <f>IF(A356="","",SUM(I356,K356,M356,O356,Q356))</f>
        <v/>
      </c>
      <c r="T356" s="10" t="n"/>
      <c r="U356" s="10" t="n"/>
      <c r="V356" s="3" t="n"/>
      <c r="W356" s="3" t="n"/>
      <c r="X356" s="10" t="n"/>
      <c r="Y356" s="13">
        <f>IF(A356="","",COUNTA(A356,B356,C356,F356,H356,T356,U356,X356)/8)</f>
        <v/>
      </c>
      <c r="Z356" s="3" t="n"/>
    </row>
    <row r="357">
      <c r="A357" s="10" t="n"/>
      <c r="B357" s="10" t="n"/>
      <c r="C357" s="10" t="n"/>
      <c r="D357" s="11" t="n"/>
      <c r="E357" s="3" t="n"/>
      <c r="F357" s="10" t="n"/>
      <c r="G357" s="3" t="n"/>
      <c r="H357" s="12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3">
        <f>IF(A357="","",SUM(I357,K357,M357,O357,Q357))</f>
        <v/>
      </c>
      <c r="T357" s="10" t="n"/>
      <c r="U357" s="10" t="n"/>
      <c r="V357" s="3" t="n"/>
      <c r="W357" s="3" t="n"/>
      <c r="X357" s="10" t="n"/>
      <c r="Y357" s="13">
        <f>IF(A357="","",COUNTA(A357,B357,C357,F357,H357,T357,U357,X357)/8)</f>
        <v/>
      </c>
      <c r="Z357" s="3" t="n"/>
    </row>
    <row r="358">
      <c r="A358" s="10" t="n"/>
      <c r="B358" s="10" t="n"/>
      <c r="C358" s="10" t="n"/>
      <c r="D358" s="11" t="n"/>
      <c r="E358" s="3" t="n"/>
      <c r="F358" s="10" t="n"/>
      <c r="G358" s="3" t="n"/>
      <c r="H358" s="12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3">
        <f>IF(A358="","",SUM(I358,K358,M358,O358,Q358))</f>
        <v/>
      </c>
      <c r="T358" s="10" t="n"/>
      <c r="U358" s="10" t="n"/>
      <c r="V358" s="3" t="n"/>
      <c r="W358" s="3" t="n"/>
      <c r="X358" s="10" t="n"/>
      <c r="Y358" s="13">
        <f>IF(A358="","",COUNTA(A358,B358,C358,F358,H358,T358,U358,X358)/8)</f>
        <v/>
      </c>
      <c r="Z358" s="3" t="n"/>
    </row>
    <row r="359">
      <c r="A359" s="10" t="n"/>
      <c r="B359" s="10" t="n"/>
      <c r="C359" s="10" t="n"/>
      <c r="D359" s="11" t="n"/>
      <c r="E359" s="3" t="n"/>
      <c r="F359" s="10" t="n"/>
      <c r="G359" s="3" t="n"/>
      <c r="H359" s="12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3">
        <f>IF(A359="","",SUM(I359,K359,M359,O359,Q359))</f>
        <v/>
      </c>
      <c r="T359" s="10" t="n"/>
      <c r="U359" s="10" t="n"/>
      <c r="V359" s="3" t="n"/>
      <c r="W359" s="3" t="n"/>
      <c r="X359" s="10" t="n"/>
      <c r="Y359" s="13">
        <f>IF(A359="","",COUNTA(A359,B359,C359,F359,H359,T359,U359,X359)/8)</f>
        <v/>
      </c>
      <c r="Z359" s="3" t="n"/>
    </row>
    <row r="360">
      <c r="A360" s="10" t="n"/>
      <c r="B360" s="10" t="n"/>
      <c r="C360" s="10" t="n"/>
      <c r="D360" s="11" t="n"/>
      <c r="E360" s="3" t="n"/>
      <c r="F360" s="10" t="n"/>
      <c r="G360" s="3" t="n"/>
      <c r="H360" s="12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3">
        <f>IF(A360="","",SUM(I360,K360,M360,O360,Q360))</f>
        <v/>
      </c>
      <c r="T360" s="10" t="n"/>
      <c r="U360" s="10" t="n"/>
      <c r="V360" s="3" t="n"/>
      <c r="W360" s="3" t="n"/>
      <c r="X360" s="10" t="n"/>
      <c r="Y360" s="13">
        <f>IF(A360="","",COUNTA(A360,B360,C360,F360,H360,T360,U360,X360)/8)</f>
        <v/>
      </c>
      <c r="Z360" s="3" t="n"/>
    </row>
    <row r="361">
      <c r="A361" s="10" t="n"/>
      <c r="B361" s="10" t="n"/>
      <c r="C361" s="10" t="n"/>
      <c r="D361" s="11" t="n"/>
      <c r="E361" s="3" t="n"/>
      <c r="F361" s="10" t="n"/>
      <c r="G361" s="3" t="n"/>
      <c r="H361" s="12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3">
        <f>IF(A361="","",SUM(I361,K361,M361,O361,Q361))</f>
        <v/>
      </c>
      <c r="T361" s="10" t="n"/>
      <c r="U361" s="10" t="n"/>
      <c r="V361" s="3" t="n"/>
      <c r="W361" s="3" t="n"/>
      <c r="X361" s="10" t="n"/>
      <c r="Y361" s="13">
        <f>IF(A361="","",COUNTA(A361,B361,C361,F361,H361,T361,U361,X361)/8)</f>
        <v/>
      </c>
      <c r="Z361" s="3" t="n"/>
    </row>
    <row r="362">
      <c r="A362" s="10" t="n"/>
      <c r="B362" s="10" t="n"/>
      <c r="C362" s="10" t="n"/>
      <c r="D362" s="11" t="n"/>
      <c r="E362" s="3" t="n"/>
      <c r="F362" s="10" t="n"/>
      <c r="G362" s="3" t="n"/>
      <c r="H362" s="12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3">
        <f>IF(A362="","",SUM(I362,K362,M362,O362,Q362))</f>
        <v/>
      </c>
      <c r="T362" s="10" t="n"/>
      <c r="U362" s="10" t="n"/>
      <c r="V362" s="3" t="n"/>
      <c r="W362" s="3" t="n"/>
      <c r="X362" s="10" t="n"/>
      <c r="Y362" s="13">
        <f>IF(A362="","",COUNTA(A362,B362,C362,F362,H362,T362,U362,X362)/8)</f>
        <v/>
      </c>
      <c r="Z362" s="3" t="n"/>
    </row>
    <row r="363">
      <c r="A363" s="10" t="n"/>
      <c r="B363" s="10" t="n"/>
      <c r="C363" s="10" t="n"/>
      <c r="D363" s="11" t="n"/>
      <c r="E363" s="3" t="n"/>
      <c r="F363" s="10" t="n"/>
      <c r="G363" s="3" t="n"/>
      <c r="H363" s="12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3">
        <f>IF(A363="","",SUM(I363,K363,M363,O363,Q363))</f>
        <v/>
      </c>
      <c r="T363" s="10" t="n"/>
      <c r="U363" s="10" t="n"/>
      <c r="V363" s="3" t="n"/>
      <c r="W363" s="3" t="n"/>
      <c r="X363" s="10" t="n"/>
      <c r="Y363" s="13">
        <f>IF(A363="","",COUNTA(A363,B363,C363,F363,H363,T363,U363,X363)/8)</f>
        <v/>
      </c>
      <c r="Z363" s="3" t="n"/>
    </row>
    <row r="364">
      <c r="A364" s="10" t="n"/>
      <c r="B364" s="10" t="n"/>
      <c r="C364" s="10" t="n"/>
      <c r="D364" s="11" t="n"/>
      <c r="E364" s="3" t="n"/>
      <c r="F364" s="10" t="n"/>
      <c r="G364" s="3" t="n"/>
      <c r="H364" s="12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3">
        <f>IF(A364="","",SUM(I364,K364,M364,O364,Q364))</f>
        <v/>
      </c>
      <c r="T364" s="10" t="n"/>
      <c r="U364" s="10" t="n"/>
      <c r="V364" s="3" t="n"/>
      <c r="W364" s="3" t="n"/>
      <c r="X364" s="10" t="n"/>
      <c r="Y364" s="13">
        <f>IF(A364="","",COUNTA(A364,B364,C364,F364,H364,T364,U364,X364)/8)</f>
        <v/>
      </c>
      <c r="Z364" s="3" t="n"/>
    </row>
    <row r="365">
      <c r="A365" s="10" t="n"/>
      <c r="B365" s="10" t="n"/>
      <c r="C365" s="10" t="n"/>
      <c r="D365" s="11" t="n"/>
      <c r="E365" s="3" t="n"/>
      <c r="F365" s="10" t="n"/>
      <c r="G365" s="3" t="n"/>
      <c r="H365" s="12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3">
        <f>IF(A365="","",SUM(I365,K365,M365,O365,Q365))</f>
        <v/>
      </c>
      <c r="T365" s="10" t="n"/>
      <c r="U365" s="10" t="n"/>
      <c r="V365" s="3" t="n"/>
      <c r="W365" s="3" t="n"/>
      <c r="X365" s="10" t="n"/>
      <c r="Y365" s="13">
        <f>IF(A365="","",COUNTA(A365,B365,C365,F365,H365,T365,U365,X365)/8)</f>
        <v/>
      </c>
      <c r="Z365" s="3" t="n"/>
    </row>
    <row r="366">
      <c r="A366" s="10" t="n"/>
      <c r="B366" s="10" t="n"/>
      <c r="C366" s="10" t="n"/>
      <c r="D366" s="11" t="n"/>
      <c r="E366" s="3" t="n"/>
      <c r="F366" s="10" t="n"/>
      <c r="G366" s="3" t="n"/>
      <c r="H366" s="12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3">
        <f>IF(A366="","",SUM(I366,K366,M366,O366,Q366))</f>
        <v/>
      </c>
      <c r="T366" s="10" t="n"/>
      <c r="U366" s="10" t="n"/>
      <c r="V366" s="3" t="n"/>
      <c r="W366" s="3" t="n"/>
      <c r="X366" s="10" t="n"/>
      <c r="Y366" s="13">
        <f>IF(A366="","",COUNTA(A366,B366,C366,F366,H366,T366,U366,X366)/8)</f>
        <v/>
      </c>
      <c r="Z366" s="3" t="n"/>
    </row>
    <row r="367">
      <c r="A367" s="10" t="n"/>
      <c r="B367" s="10" t="n"/>
      <c r="C367" s="10" t="n"/>
      <c r="D367" s="11" t="n"/>
      <c r="E367" s="3" t="n"/>
      <c r="F367" s="10" t="n"/>
      <c r="G367" s="3" t="n"/>
      <c r="H367" s="12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3">
        <f>IF(A367="","",SUM(I367,K367,M367,O367,Q367))</f>
        <v/>
      </c>
      <c r="T367" s="10" t="n"/>
      <c r="U367" s="10" t="n"/>
      <c r="V367" s="3" t="n"/>
      <c r="W367" s="3" t="n"/>
      <c r="X367" s="10" t="n"/>
      <c r="Y367" s="13">
        <f>IF(A367="","",COUNTA(A367,B367,C367,F367,H367,T367,U367,X367)/8)</f>
        <v/>
      </c>
      <c r="Z367" s="3" t="n"/>
    </row>
    <row r="368">
      <c r="A368" s="10" t="n"/>
      <c r="B368" s="10" t="n"/>
      <c r="C368" s="10" t="n"/>
      <c r="D368" s="11" t="n"/>
      <c r="E368" s="3" t="n"/>
      <c r="F368" s="10" t="n"/>
      <c r="G368" s="3" t="n"/>
      <c r="H368" s="12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3">
        <f>IF(A368="","",SUM(I368,K368,M368,O368,Q368))</f>
        <v/>
      </c>
      <c r="T368" s="10" t="n"/>
      <c r="U368" s="10" t="n"/>
      <c r="V368" s="3" t="n"/>
      <c r="W368" s="3" t="n"/>
      <c r="X368" s="10" t="n"/>
      <c r="Y368" s="13">
        <f>IF(A368="","",COUNTA(A368,B368,C368,F368,H368,T368,U368,X368)/8)</f>
        <v/>
      </c>
      <c r="Z368" s="3" t="n"/>
    </row>
    <row r="369">
      <c r="A369" s="10" t="n"/>
      <c r="B369" s="10" t="n"/>
      <c r="C369" s="10" t="n"/>
      <c r="D369" s="11" t="n"/>
      <c r="E369" s="3" t="n"/>
      <c r="F369" s="10" t="n"/>
      <c r="G369" s="3" t="n"/>
      <c r="H369" s="12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3">
        <f>IF(A369="","",SUM(I369,K369,M369,O369,Q369))</f>
        <v/>
      </c>
      <c r="T369" s="10" t="n"/>
      <c r="U369" s="10" t="n"/>
      <c r="V369" s="3" t="n"/>
      <c r="W369" s="3" t="n"/>
      <c r="X369" s="10" t="n"/>
      <c r="Y369" s="13">
        <f>IF(A369="","",COUNTA(A369,B369,C369,F369,H369,T369,U369,X369)/8)</f>
        <v/>
      </c>
      <c r="Z369" s="3" t="n"/>
    </row>
    <row r="370">
      <c r="A370" s="10" t="n"/>
      <c r="B370" s="10" t="n"/>
      <c r="C370" s="10" t="n"/>
      <c r="D370" s="11" t="n"/>
      <c r="E370" s="3" t="n"/>
      <c r="F370" s="10" t="n"/>
      <c r="G370" s="3" t="n"/>
      <c r="H370" s="12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3">
        <f>IF(A370="","",SUM(I370,K370,M370,O370,Q370))</f>
        <v/>
      </c>
      <c r="T370" s="10" t="n"/>
      <c r="U370" s="10" t="n"/>
      <c r="V370" s="3" t="n"/>
      <c r="W370" s="3" t="n"/>
      <c r="X370" s="10" t="n"/>
      <c r="Y370" s="13">
        <f>IF(A370="","",COUNTA(A370,B370,C370,F370,H370,T370,U370,X370)/8)</f>
        <v/>
      </c>
      <c r="Z370" s="3" t="n"/>
    </row>
    <row r="371">
      <c r="A371" s="10" t="n"/>
      <c r="B371" s="10" t="n"/>
      <c r="C371" s="10" t="n"/>
      <c r="D371" s="11" t="n"/>
      <c r="E371" s="3" t="n"/>
      <c r="F371" s="10" t="n"/>
      <c r="G371" s="3" t="n"/>
      <c r="H371" s="12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3">
        <f>IF(A371="","",SUM(I371,K371,M371,O371,Q371))</f>
        <v/>
      </c>
      <c r="T371" s="10" t="n"/>
      <c r="U371" s="10" t="n"/>
      <c r="V371" s="3" t="n"/>
      <c r="W371" s="3" t="n"/>
      <c r="X371" s="10" t="n"/>
      <c r="Y371" s="13">
        <f>IF(A371="","",COUNTA(A371,B371,C371,F371,H371,T371,U371,X371)/8)</f>
        <v/>
      </c>
      <c r="Z371" s="3" t="n"/>
    </row>
    <row r="372">
      <c r="A372" s="10" t="n"/>
      <c r="B372" s="10" t="n"/>
      <c r="C372" s="10" t="n"/>
      <c r="D372" s="11" t="n"/>
      <c r="E372" s="3" t="n"/>
      <c r="F372" s="10" t="n"/>
      <c r="G372" s="3" t="n"/>
      <c r="H372" s="12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3">
        <f>IF(A372="","",SUM(I372,K372,M372,O372,Q372))</f>
        <v/>
      </c>
      <c r="T372" s="10" t="n"/>
      <c r="U372" s="10" t="n"/>
      <c r="V372" s="3" t="n"/>
      <c r="W372" s="3" t="n"/>
      <c r="X372" s="10" t="n"/>
      <c r="Y372" s="13">
        <f>IF(A372="","",COUNTA(A372,B372,C372,F372,H372,T372,U372,X372)/8)</f>
        <v/>
      </c>
      <c r="Z372" s="3" t="n"/>
    </row>
    <row r="373">
      <c r="A373" s="10" t="n"/>
      <c r="B373" s="10" t="n"/>
      <c r="C373" s="10" t="n"/>
      <c r="D373" s="11" t="n"/>
      <c r="E373" s="3" t="n"/>
      <c r="F373" s="10" t="n"/>
      <c r="G373" s="3" t="n"/>
      <c r="H373" s="12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3">
        <f>IF(A373="","",SUM(I373,K373,M373,O373,Q373))</f>
        <v/>
      </c>
      <c r="T373" s="10" t="n"/>
      <c r="U373" s="10" t="n"/>
      <c r="V373" s="3" t="n"/>
      <c r="W373" s="3" t="n"/>
      <c r="X373" s="10" t="n"/>
      <c r="Y373" s="13">
        <f>IF(A373="","",COUNTA(A373,B373,C373,F373,H373,T373,U373,X373)/8)</f>
        <v/>
      </c>
      <c r="Z373" s="3" t="n"/>
    </row>
    <row r="374">
      <c r="A374" s="10" t="n"/>
      <c r="B374" s="10" t="n"/>
      <c r="C374" s="10" t="n"/>
      <c r="D374" s="11" t="n"/>
      <c r="E374" s="3" t="n"/>
      <c r="F374" s="10" t="n"/>
      <c r="G374" s="3" t="n"/>
      <c r="H374" s="12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3">
        <f>IF(A374="","",SUM(I374,K374,M374,O374,Q374))</f>
        <v/>
      </c>
      <c r="T374" s="10" t="n"/>
      <c r="U374" s="10" t="n"/>
      <c r="V374" s="3" t="n"/>
      <c r="W374" s="3" t="n"/>
      <c r="X374" s="10" t="n"/>
      <c r="Y374" s="13">
        <f>IF(A374="","",COUNTA(A374,B374,C374,F374,H374,T374,U374,X374)/8)</f>
        <v/>
      </c>
      <c r="Z374" s="3" t="n"/>
    </row>
    <row r="375">
      <c r="A375" s="10" t="n"/>
      <c r="B375" s="10" t="n"/>
      <c r="C375" s="10" t="n"/>
      <c r="D375" s="11" t="n"/>
      <c r="E375" s="3" t="n"/>
      <c r="F375" s="10" t="n"/>
      <c r="G375" s="3" t="n"/>
      <c r="H375" s="12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3">
        <f>IF(A375="","",SUM(I375,K375,M375,O375,Q375))</f>
        <v/>
      </c>
      <c r="T375" s="10" t="n"/>
      <c r="U375" s="10" t="n"/>
      <c r="V375" s="3" t="n"/>
      <c r="W375" s="3" t="n"/>
      <c r="X375" s="10" t="n"/>
      <c r="Y375" s="13">
        <f>IF(A375="","",COUNTA(A375,B375,C375,F375,H375,T375,U375,X375)/8)</f>
        <v/>
      </c>
      <c r="Z375" s="3" t="n"/>
    </row>
    <row r="376">
      <c r="A376" s="10" t="n"/>
      <c r="B376" s="10" t="n"/>
      <c r="C376" s="10" t="n"/>
      <c r="D376" s="11" t="n"/>
      <c r="E376" s="3" t="n"/>
      <c r="F376" s="10" t="n"/>
      <c r="G376" s="3" t="n"/>
      <c r="H376" s="12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3">
        <f>IF(A376="","",SUM(I376,K376,M376,O376,Q376))</f>
        <v/>
      </c>
      <c r="T376" s="10" t="n"/>
      <c r="U376" s="10" t="n"/>
      <c r="V376" s="3" t="n"/>
      <c r="W376" s="3" t="n"/>
      <c r="X376" s="10" t="n"/>
      <c r="Y376" s="13">
        <f>IF(A376="","",COUNTA(A376,B376,C376,F376,H376,T376,U376,X376)/8)</f>
        <v/>
      </c>
      <c r="Z376" s="3" t="n"/>
    </row>
    <row r="377">
      <c r="A377" s="10" t="n"/>
      <c r="B377" s="10" t="n"/>
      <c r="C377" s="10" t="n"/>
      <c r="D377" s="11" t="n"/>
      <c r="E377" s="3" t="n"/>
      <c r="F377" s="10" t="n"/>
      <c r="G377" s="3" t="n"/>
      <c r="H377" s="12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3">
        <f>IF(A377="","",SUM(I377,K377,M377,O377,Q377))</f>
        <v/>
      </c>
      <c r="T377" s="10" t="n"/>
      <c r="U377" s="10" t="n"/>
      <c r="V377" s="3" t="n"/>
      <c r="W377" s="3" t="n"/>
      <c r="X377" s="10" t="n"/>
      <c r="Y377" s="13">
        <f>IF(A377="","",COUNTA(A377,B377,C377,F377,H377,T377,U377,X377)/8)</f>
        <v/>
      </c>
      <c r="Z377" s="3" t="n"/>
    </row>
    <row r="378">
      <c r="A378" s="10" t="n"/>
      <c r="B378" s="10" t="n"/>
      <c r="C378" s="10" t="n"/>
      <c r="D378" s="11" t="n"/>
      <c r="E378" s="3" t="n"/>
      <c r="F378" s="10" t="n"/>
      <c r="G378" s="3" t="n"/>
      <c r="H378" s="12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3">
        <f>IF(A378="","",SUM(I378,K378,M378,O378,Q378))</f>
        <v/>
      </c>
      <c r="T378" s="10" t="n"/>
      <c r="U378" s="10" t="n"/>
      <c r="V378" s="3" t="n"/>
      <c r="W378" s="3" t="n"/>
      <c r="X378" s="10" t="n"/>
      <c r="Y378" s="13">
        <f>IF(A378="","",COUNTA(A378,B378,C378,F378,H378,T378,U378,X378)/8)</f>
        <v/>
      </c>
      <c r="Z378" s="3" t="n"/>
    </row>
    <row r="379">
      <c r="A379" s="10" t="n"/>
      <c r="B379" s="10" t="n"/>
      <c r="C379" s="10" t="n"/>
      <c r="D379" s="11" t="n"/>
      <c r="E379" s="3" t="n"/>
      <c r="F379" s="10" t="n"/>
      <c r="G379" s="3" t="n"/>
      <c r="H379" s="12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3">
        <f>IF(A379="","",SUM(I379,K379,M379,O379,Q379))</f>
        <v/>
      </c>
      <c r="T379" s="10" t="n"/>
      <c r="U379" s="10" t="n"/>
      <c r="V379" s="3" t="n"/>
      <c r="W379" s="3" t="n"/>
      <c r="X379" s="10" t="n"/>
      <c r="Y379" s="13">
        <f>IF(A379="","",COUNTA(A379,B379,C379,F379,H379,T379,U379,X379)/8)</f>
        <v/>
      </c>
      <c r="Z379" s="3" t="n"/>
    </row>
    <row r="380">
      <c r="A380" s="10" t="n"/>
      <c r="B380" s="10" t="n"/>
      <c r="C380" s="10" t="n"/>
      <c r="D380" s="11" t="n"/>
      <c r="E380" s="3" t="n"/>
      <c r="F380" s="10" t="n"/>
      <c r="G380" s="3" t="n"/>
      <c r="H380" s="12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3">
        <f>IF(A380="","",SUM(I380,K380,M380,O380,Q380))</f>
        <v/>
      </c>
      <c r="T380" s="10" t="n"/>
      <c r="U380" s="10" t="n"/>
      <c r="V380" s="3" t="n"/>
      <c r="W380" s="3" t="n"/>
      <c r="X380" s="10" t="n"/>
      <c r="Y380" s="13">
        <f>IF(A380="","",COUNTA(A380,B380,C380,F380,H380,T380,U380,X380)/8)</f>
        <v/>
      </c>
      <c r="Z380" s="3" t="n"/>
    </row>
    <row r="381">
      <c r="A381" s="10" t="n"/>
      <c r="B381" s="10" t="n"/>
      <c r="C381" s="10" t="n"/>
      <c r="D381" s="11" t="n"/>
      <c r="E381" s="3" t="n"/>
      <c r="F381" s="10" t="n"/>
      <c r="G381" s="3" t="n"/>
      <c r="H381" s="12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3">
        <f>IF(A381="","",SUM(I381,K381,M381,O381,Q381))</f>
        <v/>
      </c>
      <c r="T381" s="10" t="n"/>
      <c r="U381" s="10" t="n"/>
      <c r="V381" s="3" t="n"/>
      <c r="W381" s="3" t="n"/>
      <c r="X381" s="10" t="n"/>
      <c r="Y381" s="13">
        <f>IF(A381="","",COUNTA(A381,B381,C381,F381,H381,T381,U381,X381)/8)</f>
        <v/>
      </c>
      <c r="Z381" s="3" t="n"/>
    </row>
    <row r="382">
      <c r="A382" s="10" t="n"/>
      <c r="B382" s="10" t="n"/>
      <c r="C382" s="10" t="n"/>
      <c r="D382" s="11" t="n"/>
      <c r="E382" s="3" t="n"/>
      <c r="F382" s="10" t="n"/>
      <c r="G382" s="3" t="n"/>
      <c r="H382" s="12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3">
        <f>IF(A382="","",SUM(I382,K382,M382,O382,Q382))</f>
        <v/>
      </c>
      <c r="T382" s="10" t="n"/>
      <c r="U382" s="10" t="n"/>
      <c r="V382" s="3" t="n"/>
      <c r="W382" s="3" t="n"/>
      <c r="X382" s="10" t="n"/>
      <c r="Y382" s="13">
        <f>IF(A382="","",COUNTA(A382,B382,C382,F382,H382,T382,U382,X382)/8)</f>
        <v/>
      </c>
      <c r="Z382" s="3" t="n"/>
    </row>
    <row r="383">
      <c r="A383" s="10" t="n"/>
      <c r="B383" s="10" t="n"/>
      <c r="C383" s="10" t="n"/>
      <c r="D383" s="11" t="n"/>
      <c r="E383" s="3" t="n"/>
      <c r="F383" s="10" t="n"/>
      <c r="G383" s="3" t="n"/>
      <c r="H383" s="12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3">
        <f>IF(A383="","",SUM(I383,K383,M383,O383,Q383))</f>
        <v/>
      </c>
      <c r="T383" s="10" t="n"/>
      <c r="U383" s="10" t="n"/>
      <c r="V383" s="3" t="n"/>
      <c r="W383" s="3" t="n"/>
      <c r="X383" s="10" t="n"/>
      <c r="Y383" s="13">
        <f>IF(A383="","",COUNTA(A383,B383,C383,F383,H383,T383,U383,X383)/8)</f>
        <v/>
      </c>
      <c r="Z383" s="3" t="n"/>
    </row>
    <row r="384">
      <c r="A384" s="10" t="n"/>
      <c r="B384" s="10" t="n"/>
      <c r="C384" s="10" t="n"/>
      <c r="D384" s="11" t="n"/>
      <c r="E384" s="3" t="n"/>
      <c r="F384" s="10" t="n"/>
      <c r="G384" s="3" t="n"/>
      <c r="H384" s="12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3">
        <f>IF(A384="","",SUM(I384,K384,M384,O384,Q384))</f>
        <v/>
      </c>
      <c r="T384" s="10" t="n"/>
      <c r="U384" s="10" t="n"/>
      <c r="V384" s="3" t="n"/>
      <c r="W384" s="3" t="n"/>
      <c r="X384" s="10" t="n"/>
      <c r="Y384" s="13">
        <f>IF(A384="","",COUNTA(A384,B384,C384,F384,H384,T384,U384,X384)/8)</f>
        <v/>
      </c>
      <c r="Z384" s="3" t="n"/>
    </row>
    <row r="385">
      <c r="A385" s="10" t="n"/>
      <c r="B385" s="10" t="n"/>
      <c r="C385" s="10" t="n"/>
      <c r="D385" s="11" t="n"/>
      <c r="E385" s="3" t="n"/>
      <c r="F385" s="10" t="n"/>
      <c r="G385" s="3" t="n"/>
      <c r="H385" s="12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3">
        <f>IF(A385="","",SUM(I385,K385,M385,O385,Q385))</f>
        <v/>
      </c>
      <c r="T385" s="10" t="n"/>
      <c r="U385" s="10" t="n"/>
      <c r="V385" s="3" t="n"/>
      <c r="W385" s="3" t="n"/>
      <c r="X385" s="10" t="n"/>
      <c r="Y385" s="13">
        <f>IF(A385="","",COUNTA(A385,B385,C385,F385,H385,T385,U385,X385)/8)</f>
        <v/>
      </c>
      <c r="Z385" s="3" t="n"/>
    </row>
    <row r="386">
      <c r="A386" s="10" t="n"/>
      <c r="B386" s="10" t="n"/>
      <c r="C386" s="10" t="n"/>
      <c r="D386" s="11" t="n"/>
      <c r="E386" s="3" t="n"/>
      <c r="F386" s="10" t="n"/>
      <c r="G386" s="3" t="n"/>
      <c r="H386" s="12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3">
        <f>IF(A386="","",SUM(I386,K386,M386,O386,Q386))</f>
        <v/>
      </c>
      <c r="T386" s="10" t="n"/>
      <c r="U386" s="10" t="n"/>
      <c r="V386" s="3" t="n"/>
      <c r="W386" s="3" t="n"/>
      <c r="X386" s="10" t="n"/>
      <c r="Y386" s="13">
        <f>IF(A386="","",COUNTA(A386,B386,C386,F386,H386,T386,U386,X386)/8)</f>
        <v/>
      </c>
      <c r="Z386" s="3" t="n"/>
    </row>
    <row r="387">
      <c r="A387" s="10" t="n"/>
      <c r="B387" s="10" t="n"/>
      <c r="C387" s="10" t="n"/>
      <c r="D387" s="11" t="n"/>
      <c r="E387" s="3" t="n"/>
      <c r="F387" s="10" t="n"/>
      <c r="G387" s="3" t="n"/>
      <c r="H387" s="12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3">
        <f>IF(A387="","",SUM(I387,K387,M387,O387,Q387))</f>
        <v/>
      </c>
      <c r="T387" s="10" t="n"/>
      <c r="U387" s="10" t="n"/>
      <c r="V387" s="3" t="n"/>
      <c r="W387" s="3" t="n"/>
      <c r="X387" s="10" t="n"/>
      <c r="Y387" s="13">
        <f>IF(A387="","",COUNTA(A387,B387,C387,F387,H387,T387,U387,X387)/8)</f>
        <v/>
      </c>
      <c r="Z387" s="3" t="n"/>
    </row>
    <row r="388">
      <c r="A388" s="10" t="n"/>
      <c r="B388" s="10" t="n"/>
      <c r="C388" s="10" t="n"/>
      <c r="D388" s="11" t="n"/>
      <c r="E388" s="3" t="n"/>
      <c r="F388" s="10" t="n"/>
      <c r="G388" s="3" t="n"/>
      <c r="H388" s="12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3">
        <f>IF(A388="","",SUM(I388,K388,M388,O388,Q388))</f>
        <v/>
      </c>
      <c r="T388" s="10" t="n"/>
      <c r="U388" s="10" t="n"/>
      <c r="V388" s="3" t="n"/>
      <c r="W388" s="3" t="n"/>
      <c r="X388" s="10" t="n"/>
      <c r="Y388" s="13">
        <f>IF(A388="","",COUNTA(A388,B388,C388,F388,H388,T388,U388,X388)/8)</f>
        <v/>
      </c>
      <c r="Z388" s="3" t="n"/>
    </row>
    <row r="389">
      <c r="A389" s="10" t="n"/>
      <c r="B389" s="10" t="n"/>
      <c r="C389" s="10" t="n"/>
      <c r="D389" s="11" t="n"/>
      <c r="E389" s="3" t="n"/>
      <c r="F389" s="10" t="n"/>
      <c r="G389" s="3" t="n"/>
      <c r="H389" s="12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3">
        <f>IF(A389="","",SUM(I389,K389,M389,O389,Q389))</f>
        <v/>
      </c>
      <c r="T389" s="10" t="n"/>
      <c r="U389" s="10" t="n"/>
      <c r="V389" s="3" t="n"/>
      <c r="W389" s="3" t="n"/>
      <c r="X389" s="10" t="n"/>
      <c r="Y389" s="13">
        <f>IF(A389="","",COUNTA(A389,B389,C389,F389,H389,T389,U389,X389)/8)</f>
        <v/>
      </c>
      <c r="Z389" s="3" t="n"/>
    </row>
    <row r="390">
      <c r="A390" s="10" t="n"/>
      <c r="B390" s="10" t="n"/>
      <c r="C390" s="10" t="n"/>
      <c r="D390" s="11" t="n"/>
      <c r="E390" s="3" t="n"/>
      <c r="F390" s="10" t="n"/>
      <c r="G390" s="3" t="n"/>
      <c r="H390" s="12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3">
        <f>IF(A390="","",SUM(I390,K390,M390,O390,Q390))</f>
        <v/>
      </c>
      <c r="T390" s="10" t="n"/>
      <c r="U390" s="10" t="n"/>
      <c r="V390" s="3" t="n"/>
      <c r="W390" s="3" t="n"/>
      <c r="X390" s="10" t="n"/>
      <c r="Y390" s="13">
        <f>IF(A390="","",COUNTA(A390,B390,C390,F390,H390,T390,U390,X390)/8)</f>
        <v/>
      </c>
      <c r="Z390" s="3" t="n"/>
    </row>
    <row r="391">
      <c r="A391" s="10" t="n"/>
      <c r="B391" s="10" t="n"/>
      <c r="C391" s="10" t="n"/>
      <c r="D391" s="11" t="n"/>
      <c r="E391" s="3" t="n"/>
      <c r="F391" s="10" t="n"/>
      <c r="G391" s="3" t="n"/>
      <c r="H391" s="12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3">
        <f>IF(A391="","",SUM(I391,K391,M391,O391,Q391))</f>
        <v/>
      </c>
      <c r="T391" s="10" t="n"/>
      <c r="U391" s="10" t="n"/>
      <c r="V391" s="3" t="n"/>
      <c r="W391" s="3" t="n"/>
      <c r="X391" s="10" t="n"/>
      <c r="Y391" s="13">
        <f>IF(A391="","",COUNTA(A391,B391,C391,F391,H391,T391,U391,X391)/8)</f>
        <v/>
      </c>
      <c r="Z391" s="3" t="n"/>
    </row>
    <row r="392">
      <c r="A392" s="10" t="n"/>
      <c r="B392" s="10" t="n"/>
      <c r="C392" s="10" t="n"/>
      <c r="D392" s="11" t="n"/>
      <c r="E392" s="3" t="n"/>
      <c r="F392" s="10" t="n"/>
      <c r="G392" s="3" t="n"/>
      <c r="H392" s="12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3">
        <f>IF(A392="","",SUM(I392,K392,M392,O392,Q392))</f>
        <v/>
      </c>
      <c r="T392" s="10" t="n"/>
      <c r="U392" s="10" t="n"/>
      <c r="V392" s="3" t="n"/>
      <c r="W392" s="3" t="n"/>
      <c r="X392" s="10" t="n"/>
      <c r="Y392" s="13">
        <f>IF(A392="","",COUNTA(A392,B392,C392,F392,H392,T392,U392,X392)/8)</f>
        <v/>
      </c>
      <c r="Z392" s="3" t="n"/>
    </row>
    <row r="393">
      <c r="A393" s="10" t="n"/>
      <c r="B393" s="10" t="n"/>
      <c r="C393" s="10" t="n"/>
      <c r="D393" s="11" t="n"/>
      <c r="E393" s="3" t="n"/>
      <c r="F393" s="10" t="n"/>
      <c r="G393" s="3" t="n"/>
      <c r="H393" s="12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3">
        <f>IF(A393="","",SUM(I393,K393,M393,O393,Q393))</f>
        <v/>
      </c>
      <c r="T393" s="10" t="n"/>
      <c r="U393" s="10" t="n"/>
      <c r="V393" s="3" t="n"/>
      <c r="W393" s="3" t="n"/>
      <c r="X393" s="10" t="n"/>
      <c r="Y393" s="13">
        <f>IF(A393="","",COUNTA(A393,B393,C393,F393,H393,T393,U393,X393)/8)</f>
        <v/>
      </c>
      <c r="Z393" s="3" t="n"/>
    </row>
    <row r="394">
      <c r="A394" s="10" t="n"/>
      <c r="B394" s="10" t="n"/>
      <c r="C394" s="10" t="n"/>
      <c r="D394" s="11" t="n"/>
      <c r="E394" s="3" t="n"/>
      <c r="F394" s="10" t="n"/>
      <c r="G394" s="3" t="n"/>
      <c r="H394" s="12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3">
        <f>IF(A394="","",SUM(I394,K394,M394,O394,Q394))</f>
        <v/>
      </c>
      <c r="T394" s="10" t="n"/>
      <c r="U394" s="10" t="n"/>
      <c r="V394" s="3" t="n"/>
      <c r="W394" s="3" t="n"/>
      <c r="X394" s="10" t="n"/>
      <c r="Y394" s="13">
        <f>IF(A394="","",COUNTA(A394,B394,C394,F394,H394,T394,U394,X394)/8)</f>
        <v/>
      </c>
      <c r="Z394" s="3" t="n"/>
    </row>
    <row r="395">
      <c r="A395" s="10" t="n"/>
      <c r="B395" s="10" t="n"/>
      <c r="C395" s="10" t="n"/>
      <c r="D395" s="11" t="n"/>
      <c r="E395" s="3" t="n"/>
      <c r="F395" s="10" t="n"/>
      <c r="G395" s="3" t="n"/>
      <c r="H395" s="12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3">
        <f>IF(A395="","",SUM(I395,K395,M395,O395,Q395))</f>
        <v/>
      </c>
      <c r="T395" s="10" t="n"/>
      <c r="U395" s="10" t="n"/>
      <c r="V395" s="3" t="n"/>
      <c r="W395" s="3" t="n"/>
      <c r="X395" s="10" t="n"/>
      <c r="Y395" s="13">
        <f>IF(A395="","",COUNTA(A395,B395,C395,F395,H395,T395,U395,X395)/8)</f>
        <v/>
      </c>
      <c r="Z395" s="3" t="n"/>
    </row>
    <row r="396">
      <c r="A396" s="10" t="n"/>
      <c r="B396" s="10" t="n"/>
      <c r="C396" s="10" t="n"/>
      <c r="D396" s="11" t="n"/>
      <c r="E396" s="3" t="n"/>
      <c r="F396" s="10" t="n"/>
      <c r="G396" s="3" t="n"/>
      <c r="H396" s="12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3">
        <f>IF(A396="","",SUM(I396,K396,M396,O396,Q396))</f>
        <v/>
      </c>
      <c r="T396" s="10" t="n"/>
      <c r="U396" s="10" t="n"/>
      <c r="V396" s="3" t="n"/>
      <c r="W396" s="3" t="n"/>
      <c r="X396" s="10" t="n"/>
      <c r="Y396" s="13">
        <f>IF(A396="","",COUNTA(A396,B396,C396,F396,H396,T396,U396,X396)/8)</f>
        <v/>
      </c>
      <c r="Z396" s="3" t="n"/>
    </row>
    <row r="397">
      <c r="A397" s="10" t="n"/>
      <c r="B397" s="10" t="n"/>
      <c r="C397" s="10" t="n"/>
      <c r="D397" s="11" t="n"/>
      <c r="E397" s="3" t="n"/>
      <c r="F397" s="10" t="n"/>
      <c r="G397" s="3" t="n"/>
      <c r="H397" s="12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3">
        <f>IF(A397="","",SUM(I397,K397,M397,O397,Q397))</f>
        <v/>
      </c>
      <c r="T397" s="10" t="n"/>
      <c r="U397" s="10" t="n"/>
      <c r="V397" s="3" t="n"/>
      <c r="W397" s="3" t="n"/>
      <c r="X397" s="10" t="n"/>
      <c r="Y397" s="13">
        <f>IF(A397="","",COUNTA(A397,B397,C397,F397,H397,T397,U397,X397)/8)</f>
        <v/>
      </c>
      <c r="Z397" s="3" t="n"/>
    </row>
    <row r="398">
      <c r="A398" s="10" t="n"/>
      <c r="B398" s="10" t="n"/>
      <c r="C398" s="10" t="n"/>
      <c r="D398" s="11" t="n"/>
      <c r="E398" s="3" t="n"/>
      <c r="F398" s="10" t="n"/>
      <c r="G398" s="3" t="n"/>
      <c r="H398" s="12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3">
        <f>IF(A398="","",SUM(I398,K398,M398,O398,Q398))</f>
        <v/>
      </c>
      <c r="T398" s="10" t="n"/>
      <c r="U398" s="10" t="n"/>
      <c r="V398" s="3" t="n"/>
      <c r="W398" s="3" t="n"/>
      <c r="X398" s="10" t="n"/>
      <c r="Y398" s="13">
        <f>IF(A398="","",COUNTA(A398,B398,C398,F398,H398,T398,U398,X398)/8)</f>
        <v/>
      </c>
      <c r="Z398" s="3" t="n"/>
    </row>
    <row r="399">
      <c r="A399" s="10" t="n"/>
      <c r="B399" s="10" t="n"/>
      <c r="C399" s="10" t="n"/>
      <c r="D399" s="11" t="n"/>
      <c r="E399" s="3" t="n"/>
      <c r="F399" s="10" t="n"/>
      <c r="G399" s="3" t="n"/>
      <c r="H399" s="12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3">
        <f>IF(A399="","",SUM(I399,K399,M399,O399,Q399))</f>
        <v/>
      </c>
      <c r="T399" s="10" t="n"/>
      <c r="U399" s="10" t="n"/>
      <c r="V399" s="3" t="n"/>
      <c r="W399" s="3" t="n"/>
      <c r="X399" s="10" t="n"/>
      <c r="Y399" s="13">
        <f>IF(A399="","",COUNTA(A399,B399,C399,F399,H399,T399,U399,X399)/8)</f>
        <v/>
      </c>
      <c r="Z399" s="3" t="n"/>
    </row>
    <row r="400">
      <c r="A400" s="10" t="n"/>
      <c r="B400" s="10" t="n"/>
      <c r="C400" s="10" t="n"/>
      <c r="D400" s="11" t="n"/>
      <c r="E400" s="3" t="n"/>
      <c r="F400" s="10" t="n"/>
      <c r="G400" s="3" t="n"/>
      <c r="H400" s="12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3">
        <f>IF(A400="","",SUM(I400,K400,M400,O400,Q400))</f>
        <v/>
      </c>
      <c r="T400" s="10" t="n"/>
      <c r="U400" s="10" t="n"/>
      <c r="V400" s="3" t="n"/>
      <c r="W400" s="3" t="n"/>
      <c r="X400" s="10" t="n"/>
      <c r="Y400" s="13">
        <f>IF(A400="","",COUNTA(A400,B400,C400,F400,H400,T400,U400,X400)/8)</f>
        <v/>
      </c>
      <c r="Z400" s="3" t="n"/>
    </row>
    <row r="401">
      <c r="A401" s="10" t="n"/>
      <c r="B401" s="10" t="n"/>
      <c r="C401" s="10" t="n"/>
      <c r="D401" s="11" t="n"/>
      <c r="E401" s="3" t="n"/>
      <c r="F401" s="10" t="n"/>
      <c r="G401" s="3" t="n"/>
      <c r="H401" s="12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3">
        <f>IF(A401="","",SUM(I401,K401,M401,O401,Q401))</f>
        <v/>
      </c>
      <c r="T401" s="10" t="n"/>
      <c r="U401" s="10" t="n"/>
      <c r="V401" s="3" t="n"/>
      <c r="W401" s="3" t="n"/>
      <c r="X401" s="10" t="n"/>
      <c r="Y401" s="13">
        <f>IF(A401="","",COUNTA(A401,B401,C401,F401,H401,T401,U401,X401)/8)</f>
        <v/>
      </c>
      <c r="Z401" s="3" t="n"/>
    </row>
    <row r="402">
      <c r="A402" s="10" t="n"/>
      <c r="B402" s="10" t="n"/>
      <c r="C402" s="10" t="n"/>
      <c r="D402" s="11" t="n"/>
      <c r="E402" s="3" t="n"/>
      <c r="F402" s="10" t="n"/>
      <c r="G402" s="3" t="n"/>
      <c r="H402" s="12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3">
        <f>IF(A402="","",SUM(I402,K402,M402,O402,Q402))</f>
        <v/>
      </c>
      <c r="T402" s="10" t="n"/>
      <c r="U402" s="10" t="n"/>
      <c r="V402" s="3" t="n"/>
      <c r="W402" s="3" t="n"/>
      <c r="X402" s="10" t="n"/>
      <c r="Y402" s="13">
        <f>IF(A402="","",COUNTA(A402,B402,C402,F402,H402,T402,U402,X402)/8)</f>
        <v/>
      </c>
      <c r="Z402" s="3" t="n"/>
    </row>
    <row r="403">
      <c r="A403" s="10" t="n"/>
      <c r="B403" s="10" t="n"/>
      <c r="C403" s="10" t="n"/>
      <c r="D403" s="11" t="n"/>
      <c r="E403" s="3" t="n"/>
      <c r="F403" s="10" t="n"/>
      <c r="G403" s="3" t="n"/>
      <c r="H403" s="12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3">
        <f>IF(A403="","",SUM(I403,K403,M403,O403,Q403))</f>
        <v/>
      </c>
      <c r="T403" s="10" t="n"/>
      <c r="U403" s="10" t="n"/>
      <c r="V403" s="3" t="n"/>
      <c r="W403" s="3" t="n"/>
      <c r="X403" s="10" t="n"/>
      <c r="Y403" s="13">
        <f>IF(A403="","",COUNTA(A403,B403,C403,F403,H403,T403,U403,X403)/8)</f>
        <v/>
      </c>
      <c r="Z403" s="3" t="n"/>
    </row>
    <row r="404">
      <c r="A404" s="10" t="n"/>
      <c r="B404" s="10" t="n"/>
      <c r="C404" s="10" t="n"/>
      <c r="D404" s="11" t="n"/>
      <c r="E404" s="3" t="n"/>
      <c r="F404" s="10" t="n"/>
      <c r="G404" s="3" t="n"/>
      <c r="H404" s="12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3">
        <f>IF(A404="","",SUM(I404,K404,M404,O404,Q404))</f>
        <v/>
      </c>
      <c r="T404" s="10" t="n"/>
      <c r="U404" s="10" t="n"/>
      <c r="V404" s="3" t="n"/>
      <c r="W404" s="3" t="n"/>
      <c r="X404" s="10" t="n"/>
      <c r="Y404" s="13">
        <f>IF(A404="","",COUNTA(A404,B404,C404,F404,H404,T404,U404,X404)/8)</f>
        <v/>
      </c>
      <c r="Z404" s="3" t="n"/>
    </row>
    <row r="405">
      <c r="A405" s="10" t="n"/>
      <c r="B405" s="10" t="n"/>
      <c r="C405" s="10" t="n"/>
      <c r="D405" s="11" t="n"/>
      <c r="E405" s="3" t="n"/>
      <c r="F405" s="10" t="n"/>
      <c r="G405" s="3" t="n"/>
      <c r="H405" s="12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3">
        <f>IF(A405="","",SUM(I405,K405,M405,O405,Q405))</f>
        <v/>
      </c>
      <c r="T405" s="10" t="n"/>
      <c r="U405" s="10" t="n"/>
      <c r="V405" s="3" t="n"/>
      <c r="W405" s="3" t="n"/>
      <c r="X405" s="10" t="n"/>
      <c r="Y405" s="13">
        <f>IF(A405="","",COUNTA(A405,B405,C405,F405,H405,T405,U405,X405)/8)</f>
        <v/>
      </c>
      <c r="Z405" s="3" t="n"/>
    </row>
    <row r="406">
      <c r="A406" s="10" t="n"/>
      <c r="B406" s="10" t="n"/>
      <c r="C406" s="10" t="n"/>
      <c r="D406" s="11" t="n"/>
      <c r="E406" s="3" t="n"/>
      <c r="F406" s="10" t="n"/>
      <c r="G406" s="3" t="n"/>
      <c r="H406" s="12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3">
        <f>IF(A406="","",SUM(I406,K406,M406,O406,Q406))</f>
        <v/>
      </c>
      <c r="T406" s="10" t="n"/>
      <c r="U406" s="10" t="n"/>
      <c r="V406" s="3" t="n"/>
      <c r="W406" s="3" t="n"/>
      <c r="X406" s="10" t="n"/>
      <c r="Y406" s="13">
        <f>IF(A406="","",COUNTA(A406,B406,C406,F406,H406,T406,U406,X406)/8)</f>
        <v/>
      </c>
      <c r="Z406" s="3" t="n"/>
    </row>
    <row r="407">
      <c r="A407" s="10" t="n"/>
      <c r="B407" s="10" t="n"/>
      <c r="C407" s="10" t="n"/>
      <c r="D407" s="11" t="n"/>
      <c r="E407" s="3" t="n"/>
      <c r="F407" s="10" t="n"/>
      <c r="G407" s="3" t="n"/>
      <c r="H407" s="12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3">
        <f>IF(A407="","",SUM(I407,K407,M407,O407,Q407))</f>
        <v/>
      </c>
      <c r="T407" s="10" t="n"/>
      <c r="U407" s="10" t="n"/>
      <c r="V407" s="3" t="n"/>
      <c r="W407" s="3" t="n"/>
      <c r="X407" s="10" t="n"/>
      <c r="Y407" s="13">
        <f>IF(A407="","",COUNTA(A407,B407,C407,F407,H407,T407,U407,X407)/8)</f>
        <v/>
      </c>
      <c r="Z407" s="3" t="n"/>
    </row>
    <row r="408">
      <c r="A408" s="10" t="n"/>
      <c r="B408" s="10" t="n"/>
      <c r="C408" s="10" t="n"/>
      <c r="D408" s="11" t="n"/>
      <c r="E408" s="3" t="n"/>
      <c r="F408" s="10" t="n"/>
      <c r="G408" s="3" t="n"/>
      <c r="H408" s="12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3">
        <f>IF(A408="","",SUM(I408,K408,M408,O408,Q408))</f>
        <v/>
      </c>
      <c r="T408" s="10" t="n"/>
      <c r="U408" s="10" t="n"/>
      <c r="V408" s="3" t="n"/>
      <c r="W408" s="3" t="n"/>
      <c r="X408" s="10" t="n"/>
      <c r="Y408" s="13">
        <f>IF(A408="","",COUNTA(A408,B408,C408,F408,H408,T408,U408,X408)/8)</f>
        <v/>
      </c>
      <c r="Z408" s="3" t="n"/>
    </row>
    <row r="409">
      <c r="A409" s="10" t="n"/>
      <c r="B409" s="10" t="n"/>
      <c r="C409" s="10" t="n"/>
      <c r="D409" s="11" t="n"/>
      <c r="E409" s="3" t="n"/>
      <c r="F409" s="10" t="n"/>
      <c r="G409" s="3" t="n"/>
      <c r="H409" s="12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3">
        <f>IF(A409="","",SUM(I409,K409,M409,O409,Q409))</f>
        <v/>
      </c>
      <c r="T409" s="10" t="n"/>
      <c r="U409" s="10" t="n"/>
      <c r="V409" s="3" t="n"/>
      <c r="W409" s="3" t="n"/>
      <c r="X409" s="10" t="n"/>
      <c r="Y409" s="13">
        <f>IF(A409="","",COUNTA(A409,B409,C409,F409,H409,T409,U409,X409)/8)</f>
        <v/>
      </c>
      <c r="Z409" s="3" t="n"/>
    </row>
    <row r="410">
      <c r="A410" s="10" t="n"/>
      <c r="B410" s="10" t="n"/>
      <c r="C410" s="10" t="n"/>
      <c r="D410" s="11" t="n"/>
      <c r="E410" s="3" t="n"/>
      <c r="F410" s="10" t="n"/>
      <c r="G410" s="3" t="n"/>
      <c r="H410" s="12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3">
        <f>IF(A410="","",SUM(I410,K410,M410,O410,Q410))</f>
        <v/>
      </c>
      <c r="T410" s="10" t="n"/>
      <c r="U410" s="10" t="n"/>
      <c r="V410" s="3" t="n"/>
      <c r="W410" s="3" t="n"/>
      <c r="X410" s="10" t="n"/>
      <c r="Y410" s="13">
        <f>IF(A410="","",COUNTA(A410,B410,C410,F410,H410,T410,U410,X410)/8)</f>
        <v/>
      </c>
      <c r="Z410" s="3" t="n"/>
    </row>
    <row r="411">
      <c r="A411" s="10" t="n"/>
      <c r="B411" s="10" t="n"/>
      <c r="C411" s="10" t="n"/>
      <c r="D411" s="11" t="n"/>
      <c r="E411" s="3" t="n"/>
      <c r="F411" s="10" t="n"/>
      <c r="G411" s="3" t="n"/>
      <c r="H411" s="12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3">
        <f>IF(A411="","",SUM(I411,K411,M411,O411,Q411))</f>
        <v/>
      </c>
      <c r="T411" s="10" t="n"/>
      <c r="U411" s="10" t="n"/>
      <c r="V411" s="3" t="n"/>
      <c r="W411" s="3" t="n"/>
      <c r="X411" s="10" t="n"/>
      <c r="Y411" s="13">
        <f>IF(A411="","",COUNTA(A411,B411,C411,F411,H411,T411,U411,X411)/8)</f>
        <v/>
      </c>
      <c r="Z411" s="3" t="n"/>
    </row>
    <row r="412">
      <c r="A412" s="10" t="n"/>
      <c r="B412" s="10" t="n"/>
      <c r="C412" s="10" t="n"/>
      <c r="D412" s="11" t="n"/>
      <c r="E412" s="3" t="n"/>
      <c r="F412" s="10" t="n"/>
      <c r="G412" s="3" t="n"/>
      <c r="H412" s="12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3">
        <f>IF(A412="","",SUM(I412,K412,M412,O412,Q412))</f>
        <v/>
      </c>
      <c r="T412" s="10" t="n"/>
      <c r="U412" s="10" t="n"/>
      <c r="V412" s="3" t="n"/>
      <c r="W412" s="3" t="n"/>
      <c r="X412" s="10" t="n"/>
      <c r="Y412" s="13">
        <f>IF(A412="","",COUNTA(A412,B412,C412,F412,H412,T412,U412,X412)/8)</f>
        <v/>
      </c>
      <c r="Z412" s="3" t="n"/>
    </row>
    <row r="413">
      <c r="A413" s="10" t="n"/>
      <c r="B413" s="10" t="n"/>
      <c r="C413" s="10" t="n"/>
      <c r="D413" s="11" t="n"/>
      <c r="E413" s="3" t="n"/>
      <c r="F413" s="10" t="n"/>
      <c r="G413" s="3" t="n"/>
      <c r="H413" s="12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3">
        <f>IF(A413="","",SUM(I413,K413,M413,O413,Q413))</f>
        <v/>
      </c>
      <c r="T413" s="10" t="n"/>
      <c r="U413" s="10" t="n"/>
      <c r="V413" s="3" t="n"/>
      <c r="W413" s="3" t="n"/>
      <c r="X413" s="10" t="n"/>
      <c r="Y413" s="13">
        <f>IF(A413="","",COUNTA(A413,B413,C413,F413,H413,T413,U413,X413)/8)</f>
        <v/>
      </c>
      <c r="Z413" s="3" t="n"/>
    </row>
    <row r="414">
      <c r="A414" s="10" t="n"/>
      <c r="B414" s="10" t="n"/>
      <c r="C414" s="10" t="n"/>
      <c r="D414" s="11" t="n"/>
      <c r="E414" s="3" t="n"/>
      <c r="F414" s="10" t="n"/>
      <c r="G414" s="3" t="n"/>
      <c r="H414" s="12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3">
        <f>IF(A414="","",SUM(I414,K414,M414,O414,Q414))</f>
        <v/>
      </c>
      <c r="T414" s="10" t="n"/>
      <c r="U414" s="10" t="n"/>
      <c r="V414" s="3" t="n"/>
      <c r="W414" s="3" t="n"/>
      <c r="X414" s="10" t="n"/>
      <c r="Y414" s="13">
        <f>IF(A414="","",COUNTA(A414,B414,C414,F414,H414,T414,U414,X414)/8)</f>
        <v/>
      </c>
      <c r="Z414" s="3" t="n"/>
    </row>
    <row r="415">
      <c r="A415" s="10" t="n"/>
      <c r="B415" s="10" t="n"/>
      <c r="C415" s="10" t="n"/>
      <c r="D415" s="11" t="n"/>
      <c r="E415" s="3" t="n"/>
      <c r="F415" s="10" t="n"/>
      <c r="G415" s="3" t="n"/>
      <c r="H415" s="12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3">
        <f>IF(A415="","",SUM(I415,K415,M415,O415,Q415))</f>
        <v/>
      </c>
      <c r="T415" s="10" t="n"/>
      <c r="U415" s="10" t="n"/>
      <c r="V415" s="3" t="n"/>
      <c r="W415" s="3" t="n"/>
      <c r="X415" s="10" t="n"/>
      <c r="Y415" s="13">
        <f>IF(A415="","",COUNTA(A415,B415,C415,F415,H415,T415,U415,X415)/8)</f>
        <v/>
      </c>
      <c r="Z415" s="3" t="n"/>
    </row>
    <row r="416">
      <c r="A416" s="10" t="n"/>
      <c r="B416" s="10" t="n"/>
      <c r="C416" s="10" t="n"/>
      <c r="D416" s="11" t="n"/>
      <c r="E416" s="3" t="n"/>
      <c r="F416" s="10" t="n"/>
      <c r="G416" s="3" t="n"/>
      <c r="H416" s="12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3">
        <f>IF(A416="","",SUM(I416,K416,M416,O416,Q416))</f>
        <v/>
      </c>
      <c r="T416" s="10" t="n"/>
      <c r="U416" s="10" t="n"/>
      <c r="V416" s="3" t="n"/>
      <c r="W416" s="3" t="n"/>
      <c r="X416" s="10" t="n"/>
      <c r="Y416" s="13">
        <f>IF(A416="","",COUNTA(A416,B416,C416,F416,H416,T416,U416,X416)/8)</f>
        <v/>
      </c>
      <c r="Z416" s="3" t="n"/>
    </row>
    <row r="417">
      <c r="A417" s="10" t="n"/>
      <c r="B417" s="10" t="n"/>
      <c r="C417" s="10" t="n"/>
      <c r="D417" s="11" t="n"/>
      <c r="E417" s="3" t="n"/>
      <c r="F417" s="10" t="n"/>
      <c r="G417" s="3" t="n"/>
      <c r="H417" s="12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3">
        <f>IF(A417="","",SUM(I417,K417,M417,O417,Q417))</f>
        <v/>
      </c>
      <c r="T417" s="10" t="n"/>
      <c r="U417" s="10" t="n"/>
      <c r="V417" s="3" t="n"/>
      <c r="W417" s="3" t="n"/>
      <c r="X417" s="10" t="n"/>
      <c r="Y417" s="13">
        <f>IF(A417="","",COUNTA(A417,B417,C417,F417,H417,T417,U417,X417)/8)</f>
        <v/>
      </c>
      <c r="Z417" s="3" t="n"/>
    </row>
    <row r="418">
      <c r="A418" s="10" t="n"/>
      <c r="B418" s="10" t="n"/>
      <c r="C418" s="10" t="n"/>
      <c r="D418" s="11" t="n"/>
      <c r="E418" s="3" t="n"/>
      <c r="F418" s="10" t="n"/>
      <c r="G418" s="3" t="n"/>
      <c r="H418" s="12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3">
        <f>IF(A418="","",SUM(I418,K418,M418,O418,Q418))</f>
        <v/>
      </c>
      <c r="T418" s="10" t="n"/>
      <c r="U418" s="10" t="n"/>
      <c r="V418" s="3" t="n"/>
      <c r="W418" s="3" t="n"/>
      <c r="X418" s="10" t="n"/>
      <c r="Y418" s="13">
        <f>IF(A418="","",COUNTA(A418,B418,C418,F418,H418,T418,U418,X418)/8)</f>
        <v/>
      </c>
      <c r="Z418" s="3" t="n"/>
    </row>
    <row r="419">
      <c r="A419" s="10" t="n"/>
      <c r="B419" s="10" t="n"/>
      <c r="C419" s="10" t="n"/>
      <c r="D419" s="11" t="n"/>
      <c r="E419" s="3" t="n"/>
      <c r="F419" s="10" t="n"/>
      <c r="G419" s="3" t="n"/>
      <c r="H419" s="12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3">
        <f>IF(A419="","",SUM(I419,K419,M419,O419,Q419))</f>
        <v/>
      </c>
      <c r="T419" s="10" t="n"/>
      <c r="U419" s="10" t="n"/>
      <c r="V419" s="3" t="n"/>
      <c r="W419" s="3" t="n"/>
      <c r="X419" s="10" t="n"/>
      <c r="Y419" s="13">
        <f>IF(A419="","",COUNTA(A419,B419,C419,F419,H419,T419,U419,X419)/8)</f>
        <v/>
      </c>
      <c r="Z419" s="3" t="n"/>
    </row>
    <row r="420">
      <c r="A420" s="10" t="n"/>
      <c r="B420" s="10" t="n"/>
      <c r="C420" s="10" t="n"/>
      <c r="D420" s="11" t="n"/>
      <c r="E420" s="3" t="n"/>
      <c r="F420" s="10" t="n"/>
      <c r="G420" s="3" t="n"/>
      <c r="H420" s="12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3">
        <f>IF(A420="","",SUM(I420,K420,M420,O420,Q420))</f>
        <v/>
      </c>
      <c r="T420" s="10" t="n"/>
      <c r="U420" s="10" t="n"/>
      <c r="V420" s="3" t="n"/>
      <c r="W420" s="3" t="n"/>
      <c r="X420" s="10" t="n"/>
      <c r="Y420" s="13">
        <f>IF(A420="","",COUNTA(A420,B420,C420,F420,H420,T420,U420,X420)/8)</f>
        <v/>
      </c>
      <c r="Z420" s="3" t="n"/>
    </row>
    <row r="421">
      <c r="A421" s="10" t="n"/>
      <c r="B421" s="10" t="n"/>
      <c r="C421" s="10" t="n"/>
      <c r="D421" s="11" t="n"/>
      <c r="E421" s="3" t="n"/>
      <c r="F421" s="10" t="n"/>
      <c r="G421" s="3" t="n"/>
      <c r="H421" s="12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3">
        <f>IF(A421="","",SUM(I421,K421,M421,O421,Q421))</f>
        <v/>
      </c>
      <c r="T421" s="10" t="n"/>
      <c r="U421" s="10" t="n"/>
      <c r="V421" s="3" t="n"/>
      <c r="W421" s="3" t="n"/>
      <c r="X421" s="10" t="n"/>
      <c r="Y421" s="13">
        <f>IF(A421="","",COUNTA(A421,B421,C421,F421,H421,T421,U421,X421)/8)</f>
        <v/>
      </c>
      <c r="Z421" s="3" t="n"/>
    </row>
    <row r="422">
      <c r="A422" s="10" t="n"/>
      <c r="B422" s="10" t="n"/>
      <c r="C422" s="10" t="n"/>
      <c r="D422" s="11" t="n"/>
      <c r="E422" s="3" t="n"/>
      <c r="F422" s="10" t="n"/>
      <c r="G422" s="3" t="n"/>
      <c r="H422" s="12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3">
        <f>IF(A422="","",SUM(I422,K422,M422,O422,Q422))</f>
        <v/>
      </c>
      <c r="T422" s="10" t="n"/>
      <c r="U422" s="10" t="n"/>
      <c r="V422" s="3" t="n"/>
      <c r="W422" s="3" t="n"/>
      <c r="X422" s="10" t="n"/>
      <c r="Y422" s="13">
        <f>IF(A422="","",COUNTA(A422,B422,C422,F422,H422,T422,U422,X422)/8)</f>
        <v/>
      </c>
      <c r="Z422" s="3" t="n"/>
    </row>
    <row r="423">
      <c r="A423" s="10" t="n"/>
      <c r="B423" s="10" t="n"/>
      <c r="C423" s="10" t="n"/>
      <c r="D423" s="11" t="n"/>
      <c r="E423" s="3" t="n"/>
      <c r="F423" s="10" t="n"/>
      <c r="G423" s="3" t="n"/>
      <c r="H423" s="12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3">
        <f>IF(A423="","",SUM(I423,K423,M423,O423,Q423))</f>
        <v/>
      </c>
      <c r="T423" s="10" t="n"/>
      <c r="U423" s="10" t="n"/>
      <c r="V423" s="3" t="n"/>
      <c r="W423" s="3" t="n"/>
      <c r="X423" s="10" t="n"/>
      <c r="Y423" s="13">
        <f>IF(A423="","",COUNTA(A423,B423,C423,F423,H423,T423,U423,X423)/8)</f>
        <v/>
      </c>
      <c r="Z423" s="3" t="n"/>
    </row>
    <row r="424">
      <c r="A424" s="10" t="n"/>
      <c r="B424" s="10" t="n"/>
      <c r="C424" s="10" t="n"/>
      <c r="D424" s="11" t="n"/>
      <c r="E424" s="3" t="n"/>
      <c r="F424" s="10" t="n"/>
      <c r="G424" s="3" t="n"/>
      <c r="H424" s="12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3">
        <f>IF(A424="","",SUM(I424,K424,M424,O424,Q424))</f>
        <v/>
      </c>
      <c r="T424" s="10" t="n"/>
      <c r="U424" s="10" t="n"/>
      <c r="V424" s="3" t="n"/>
      <c r="W424" s="3" t="n"/>
      <c r="X424" s="10" t="n"/>
      <c r="Y424" s="13">
        <f>IF(A424="","",COUNTA(A424,B424,C424,F424,H424,T424,U424,X424)/8)</f>
        <v/>
      </c>
      <c r="Z424" s="3" t="n"/>
    </row>
    <row r="425">
      <c r="A425" s="10" t="n"/>
      <c r="B425" s="10" t="n"/>
      <c r="C425" s="10" t="n"/>
      <c r="D425" s="11" t="n"/>
      <c r="E425" s="3" t="n"/>
      <c r="F425" s="10" t="n"/>
      <c r="G425" s="3" t="n"/>
      <c r="H425" s="12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3">
        <f>IF(A425="","",SUM(I425,K425,M425,O425,Q425))</f>
        <v/>
      </c>
      <c r="T425" s="10" t="n"/>
      <c r="U425" s="10" t="n"/>
      <c r="V425" s="3" t="n"/>
      <c r="W425" s="3" t="n"/>
      <c r="X425" s="10" t="n"/>
      <c r="Y425" s="13">
        <f>IF(A425="","",COUNTA(A425,B425,C425,F425,H425,T425,U425,X425)/8)</f>
        <v/>
      </c>
      <c r="Z425" s="3" t="n"/>
    </row>
    <row r="426">
      <c r="A426" s="10" t="n"/>
      <c r="B426" s="10" t="n"/>
      <c r="C426" s="10" t="n"/>
      <c r="D426" s="11" t="n"/>
      <c r="E426" s="3" t="n"/>
      <c r="F426" s="10" t="n"/>
      <c r="G426" s="3" t="n"/>
      <c r="H426" s="12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3">
        <f>IF(A426="","",SUM(I426,K426,M426,O426,Q426))</f>
        <v/>
      </c>
      <c r="T426" s="10" t="n"/>
      <c r="U426" s="10" t="n"/>
      <c r="V426" s="3" t="n"/>
      <c r="W426" s="3" t="n"/>
      <c r="X426" s="10" t="n"/>
      <c r="Y426" s="13">
        <f>IF(A426="","",COUNTA(A426,B426,C426,F426,H426,T426,U426,X426)/8)</f>
        <v/>
      </c>
      <c r="Z426" s="3" t="n"/>
    </row>
    <row r="427">
      <c r="A427" s="10" t="n"/>
      <c r="B427" s="10" t="n"/>
      <c r="C427" s="10" t="n"/>
      <c r="D427" s="11" t="n"/>
      <c r="E427" s="3" t="n"/>
      <c r="F427" s="10" t="n"/>
      <c r="G427" s="3" t="n"/>
      <c r="H427" s="12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3">
        <f>IF(A427="","",SUM(I427,K427,M427,O427,Q427))</f>
        <v/>
      </c>
      <c r="T427" s="10" t="n"/>
      <c r="U427" s="10" t="n"/>
      <c r="V427" s="3" t="n"/>
      <c r="W427" s="3" t="n"/>
      <c r="X427" s="10" t="n"/>
      <c r="Y427" s="13">
        <f>IF(A427="","",COUNTA(A427,B427,C427,F427,H427,T427,U427,X427)/8)</f>
        <v/>
      </c>
      <c r="Z427" s="3" t="n"/>
    </row>
    <row r="428">
      <c r="A428" s="10" t="n"/>
      <c r="B428" s="10" t="n"/>
      <c r="C428" s="10" t="n"/>
      <c r="D428" s="11" t="n"/>
      <c r="E428" s="3" t="n"/>
      <c r="F428" s="10" t="n"/>
      <c r="G428" s="3" t="n"/>
      <c r="H428" s="12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3">
        <f>IF(A428="","",SUM(I428,K428,M428,O428,Q428))</f>
        <v/>
      </c>
      <c r="T428" s="10" t="n"/>
      <c r="U428" s="10" t="n"/>
      <c r="V428" s="3" t="n"/>
      <c r="W428" s="3" t="n"/>
      <c r="X428" s="10" t="n"/>
      <c r="Y428" s="13">
        <f>IF(A428="","",COUNTA(A428,B428,C428,F428,H428,T428,U428,X428)/8)</f>
        <v/>
      </c>
      <c r="Z428" s="3" t="n"/>
    </row>
    <row r="429">
      <c r="A429" s="10" t="n"/>
      <c r="B429" s="10" t="n"/>
      <c r="C429" s="10" t="n"/>
      <c r="D429" s="11" t="n"/>
      <c r="E429" s="3" t="n"/>
      <c r="F429" s="10" t="n"/>
      <c r="G429" s="3" t="n"/>
      <c r="H429" s="12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3">
        <f>IF(A429="","",SUM(I429,K429,M429,O429,Q429))</f>
        <v/>
      </c>
      <c r="T429" s="10" t="n"/>
      <c r="U429" s="10" t="n"/>
      <c r="V429" s="3" t="n"/>
      <c r="W429" s="3" t="n"/>
      <c r="X429" s="10" t="n"/>
      <c r="Y429" s="13">
        <f>IF(A429="","",COUNTA(A429,B429,C429,F429,H429,T429,U429,X429)/8)</f>
        <v/>
      </c>
      <c r="Z429" s="3" t="n"/>
    </row>
    <row r="430">
      <c r="A430" s="10" t="n"/>
      <c r="B430" s="10" t="n"/>
      <c r="C430" s="10" t="n"/>
      <c r="D430" s="11" t="n"/>
      <c r="E430" s="3" t="n"/>
      <c r="F430" s="10" t="n"/>
      <c r="G430" s="3" t="n"/>
      <c r="H430" s="12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3">
        <f>IF(A430="","",SUM(I430,K430,M430,O430,Q430))</f>
        <v/>
      </c>
      <c r="T430" s="10" t="n"/>
      <c r="U430" s="10" t="n"/>
      <c r="V430" s="3" t="n"/>
      <c r="W430" s="3" t="n"/>
      <c r="X430" s="10" t="n"/>
      <c r="Y430" s="13">
        <f>IF(A430="","",COUNTA(A430,B430,C430,F430,H430,T430,U430,X430)/8)</f>
        <v/>
      </c>
      <c r="Z430" s="3" t="n"/>
    </row>
    <row r="431">
      <c r="A431" s="10" t="n"/>
      <c r="B431" s="10" t="n"/>
      <c r="C431" s="10" t="n"/>
      <c r="D431" s="11" t="n"/>
      <c r="E431" s="3" t="n"/>
      <c r="F431" s="10" t="n"/>
      <c r="G431" s="3" t="n"/>
      <c r="H431" s="12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3">
        <f>IF(A431="","",SUM(I431,K431,M431,O431,Q431))</f>
        <v/>
      </c>
      <c r="T431" s="10" t="n"/>
      <c r="U431" s="10" t="n"/>
      <c r="V431" s="3" t="n"/>
      <c r="W431" s="3" t="n"/>
      <c r="X431" s="10" t="n"/>
      <c r="Y431" s="13">
        <f>IF(A431="","",COUNTA(A431,B431,C431,F431,H431,T431,U431,X431)/8)</f>
        <v/>
      </c>
      <c r="Z431" s="3" t="n"/>
    </row>
    <row r="432">
      <c r="A432" s="10" t="n"/>
      <c r="B432" s="10" t="n"/>
      <c r="C432" s="10" t="n"/>
      <c r="D432" s="11" t="n"/>
      <c r="E432" s="3" t="n"/>
      <c r="F432" s="10" t="n"/>
      <c r="G432" s="3" t="n"/>
      <c r="H432" s="12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3">
        <f>IF(A432="","",SUM(I432,K432,M432,O432,Q432))</f>
        <v/>
      </c>
      <c r="T432" s="10" t="n"/>
      <c r="U432" s="10" t="n"/>
      <c r="V432" s="3" t="n"/>
      <c r="W432" s="3" t="n"/>
      <c r="X432" s="10" t="n"/>
      <c r="Y432" s="13">
        <f>IF(A432="","",COUNTA(A432,B432,C432,F432,H432,T432,U432,X432)/8)</f>
        <v/>
      </c>
      <c r="Z432" s="3" t="n"/>
    </row>
    <row r="433">
      <c r="A433" s="10" t="n"/>
      <c r="B433" s="10" t="n"/>
      <c r="C433" s="10" t="n"/>
      <c r="D433" s="11" t="n"/>
      <c r="E433" s="3" t="n"/>
      <c r="F433" s="10" t="n"/>
      <c r="G433" s="3" t="n"/>
      <c r="H433" s="12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3">
        <f>IF(A433="","",SUM(I433,K433,M433,O433,Q433))</f>
        <v/>
      </c>
      <c r="T433" s="10" t="n"/>
      <c r="U433" s="10" t="n"/>
      <c r="V433" s="3" t="n"/>
      <c r="W433" s="3" t="n"/>
      <c r="X433" s="10" t="n"/>
      <c r="Y433" s="13">
        <f>IF(A433="","",COUNTA(A433,B433,C433,F433,H433,T433,U433,X433)/8)</f>
        <v/>
      </c>
      <c r="Z433" s="3" t="n"/>
    </row>
    <row r="434">
      <c r="A434" s="10" t="n"/>
      <c r="B434" s="10" t="n"/>
      <c r="C434" s="10" t="n"/>
      <c r="D434" s="11" t="n"/>
      <c r="E434" s="3" t="n"/>
      <c r="F434" s="10" t="n"/>
      <c r="G434" s="3" t="n"/>
      <c r="H434" s="12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3">
        <f>IF(A434="","",SUM(I434,K434,M434,O434,Q434))</f>
        <v/>
      </c>
      <c r="T434" s="10" t="n"/>
      <c r="U434" s="10" t="n"/>
      <c r="V434" s="3" t="n"/>
      <c r="W434" s="3" t="n"/>
      <c r="X434" s="10" t="n"/>
      <c r="Y434" s="13">
        <f>IF(A434="","",COUNTA(A434,B434,C434,F434,H434,T434,U434,X434)/8)</f>
        <v/>
      </c>
      <c r="Z434" s="3" t="n"/>
    </row>
    <row r="435">
      <c r="A435" s="10" t="n"/>
      <c r="B435" s="10" t="n"/>
      <c r="C435" s="10" t="n"/>
      <c r="D435" s="11" t="n"/>
      <c r="E435" s="3" t="n"/>
      <c r="F435" s="10" t="n"/>
      <c r="G435" s="3" t="n"/>
      <c r="H435" s="12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3">
        <f>IF(A435="","",SUM(I435,K435,M435,O435,Q435))</f>
        <v/>
      </c>
      <c r="T435" s="10" t="n"/>
      <c r="U435" s="10" t="n"/>
      <c r="V435" s="3" t="n"/>
      <c r="W435" s="3" t="n"/>
      <c r="X435" s="10" t="n"/>
      <c r="Y435" s="13">
        <f>IF(A435="","",COUNTA(A435,B435,C435,F435,H435,T435,U435,X435)/8)</f>
        <v/>
      </c>
      <c r="Z435" s="3" t="n"/>
    </row>
    <row r="436">
      <c r="A436" s="10" t="n"/>
      <c r="B436" s="10" t="n"/>
      <c r="C436" s="10" t="n"/>
      <c r="D436" s="11" t="n"/>
      <c r="E436" s="3" t="n"/>
      <c r="F436" s="10" t="n"/>
      <c r="G436" s="3" t="n"/>
      <c r="H436" s="12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3">
        <f>IF(A436="","",SUM(I436,K436,M436,O436,Q436))</f>
        <v/>
      </c>
      <c r="T436" s="10" t="n"/>
      <c r="U436" s="10" t="n"/>
      <c r="V436" s="3" t="n"/>
      <c r="W436" s="3" t="n"/>
      <c r="X436" s="10" t="n"/>
      <c r="Y436" s="13">
        <f>IF(A436="","",COUNTA(A436,B436,C436,F436,H436,T436,U436,X436)/8)</f>
        <v/>
      </c>
      <c r="Z436" s="3" t="n"/>
    </row>
    <row r="437">
      <c r="A437" s="10" t="n"/>
      <c r="B437" s="10" t="n"/>
      <c r="C437" s="10" t="n"/>
      <c r="D437" s="11" t="n"/>
      <c r="E437" s="3" t="n"/>
      <c r="F437" s="10" t="n"/>
      <c r="G437" s="3" t="n"/>
      <c r="H437" s="12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3">
        <f>IF(A437="","",SUM(I437,K437,M437,O437,Q437))</f>
        <v/>
      </c>
      <c r="T437" s="10" t="n"/>
      <c r="U437" s="10" t="n"/>
      <c r="V437" s="3" t="n"/>
      <c r="W437" s="3" t="n"/>
      <c r="X437" s="10" t="n"/>
      <c r="Y437" s="13">
        <f>IF(A437="","",COUNTA(A437,B437,C437,F437,H437,T437,U437,X437)/8)</f>
        <v/>
      </c>
      <c r="Z437" s="3" t="n"/>
    </row>
    <row r="438">
      <c r="A438" s="10" t="n"/>
      <c r="B438" s="10" t="n"/>
      <c r="C438" s="10" t="n"/>
      <c r="D438" s="11" t="n"/>
      <c r="E438" s="3" t="n"/>
      <c r="F438" s="10" t="n"/>
      <c r="G438" s="3" t="n"/>
      <c r="H438" s="12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3">
        <f>IF(A438="","",SUM(I438,K438,M438,O438,Q438))</f>
        <v/>
      </c>
      <c r="T438" s="10" t="n"/>
      <c r="U438" s="10" t="n"/>
      <c r="V438" s="3" t="n"/>
      <c r="W438" s="3" t="n"/>
      <c r="X438" s="10" t="n"/>
      <c r="Y438" s="13">
        <f>IF(A438="","",COUNTA(A438,B438,C438,F438,H438,T438,U438,X438)/8)</f>
        <v/>
      </c>
      <c r="Z438" s="3" t="n"/>
    </row>
    <row r="439">
      <c r="A439" s="10" t="n"/>
      <c r="B439" s="10" t="n"/>
      <c r="C439" s="10" t="n"/>
      <c r="D439" s="11" t="n"/>
      <c r="E439" s="3" t="n"/>
      <c r="F439" s="10" t="n"/>
      <c r="G439" s="3" t="n"/>
      <c r="H439" s="12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3">
        <f>IF(A439="","",SUM(I439,K439,M439,O439,Q439))</f>
        <v/>
      </c>
      <c r="T439" s="10" t="n"/>
      <c r="U439" s="10" t="n"/>
      <c r="V439" s="3" t="n"/>
      <c r="W439" s="3" t="n"/>
      <c r="X439" s="10" t="n"/>
      <c r="Y439" s="13">
        <f>IF(A439="","",COUNTA(A439,B439,C439,F439,H439,T439,U439,X439)/8)</f>
        <v/>
      </c>
      <c r="Z439" s="3" t="n"/>
    </row>
    <row r="440">
      <c r="A440" s="10" t="n"/>
      <c r="B440" s="10" t="n"/>
      <c r="C440" s="10" t="n"/>
      <c r="D440" s="11" t="n"/>
      <c r="E440" s="3" t="n"/>
      <c r="F440" s="10" t="n"/>
      <c r="G440" s="3" t="n"/>
      <c r="H440" s="12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3">
        <f>IF(A440="","",SUM(I440,K440,M440,O440,Q440))</f>
        <v/>
      </c>
      <c r="T440" s="10" t="n"/>
      <c r="U440" s="10" t="n"/>
      <c r="V440" s="3" t="n"/>
      <c r="W440" s="3" t="n"/>
      <c r="X440" s="10" t="n"/>
      <c r="Y440" s="13">
        <f>IF(A440="","",COUNTA(A440,B440,C440,F440,H440,T440,U440,X440)/8)</f>
        <v/>
      </c>
      <c r="Z440" s="3" t="n"/>
    </row>
    <row r="441">
      <c r="A441" s="10" t="n"/>
      <c r="B441" s="10" t="n"/>
      <c r="C441" s="10" t="n"/>
      <c r="D441" s="11" t="n"/>
      <c r="E441" s="3" t="n"/>
      <c r="F441" s="10" t="n"/>
      <c r="G441" s="3" t="n"/>
      <c r="H441" s="12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3">
        <f>IF(A441="","",SUM(I441,K441,M441,O441,Q441))</f>
        <v/>
      </c>
      <c r="T441" s="10" t="n"/>
      <c r="U441" s="10" t="n"/>
      <c r="V441" s="3" t="n"/>
      <c r="W441" s="3" t="n"/>
      <c r="X441" s="10" t="n"/>
      <c r="Y441" s="13">
        <f>IF(A441="","",COUNTA(A441,B441,C441,F441,H441,T441,U441,X441)/8)</f>
        <v/>
      </c>
      <c r="Z441" s="3" t="n"/>
    </row>
    <row r="442">
      <c r="A442" s="10" t="n"/>
      <c r="B442" s="10" t="n"/>
      <c r="C442" s="10" t="n"/>
      <c r="D442" s="11" t="n"/>
      <c r="E442" s="3" t="n"/>
      <c r="F442" s="10" t="n"/>
      <c r="G442" s="3" t="n"/>
      <c r="H442" s="12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3">
        <f>IF(A442="","",SUM(I442,K442,M442,O442,Q442))</f>
        <v/>
      </c>
      <c r="T442" s="10" t="n"/>
      <c r="U442" s="10" t="n"/>
      <c r="V442" s="3" t="n"/>
      <c r="W442" s="3" t="n"/>
      <c r="X442" s="10" t="n"/>
      <c r="Y442" s="13">
        <f>IF(A442="","",COUNTA(A442,B442,C442,F442,H442,T442,U442,X442)/8)</f>
        <v/>
      </c>
      <c r="Z442" s="3" t="n"/>
    </row>
    <row r="443">
      <c r="A443" s="10" t="n"/>
      <c r="B443" s="10" t="n"/>
      <c r="C443" s="10" t="n"/>
      <c r="D443" s="11" t="n"/>
      <c r="E443" s="3" t="n"/>
      <c r="F443" s="10" t="n"/>
      <c r="G443" s="3" t="n"/>
      <c r="H443" s="12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3">
        <f>IF(A443="","",SUM(I443,K443,M443,O443,Q443))</f>
        <v/>
      </c>
      <c r="T443" s="10" t="n"/>
      <c r="U443" s="10" t="n"/>
      <c r="V443" s="3" t="n"/>
      <c r="W443" s="3" t="n"/>
      <c r="X443" s="10" t="n"/>
      <c r="Y443" s="13">
        <f>IF(A443="","",COUNTA(A443,B443,C443,F443,H443,T443,U443,X443)/8)</f>
        <v/>
      </c>
      <c r="Z443" s="3" t="n"/>
    </row>
    <row r="444">
      <c r="A444" s="10" t="n"/>
      <c r="B444" s="10" t="n"/>
      <c r="C444" s="10" t="n"/>
      <c r="D444" s="11" t="n"/>
      <c r="E444" s="3" t="n"/>
      <c r="F444" s="10" t="n"/>
      <c r="G444" s="3" t="n"/>
      <c r="H444" s="12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3">
        <f>IF(A444="","",SUM(I444,K444,M444,O444,Q444))</f>
        <v/>
      </c>
      <c r="T444" s="10" t="n"/>
      <c r="U444" s="10" t="n"/>
      <c r="V444" s="3" t="n"/>
      <c r="W444" s="3" t="n"/>
      <c r="X444" s="10" t="n"/>
      <c r="Y444" s="13">
        <f>IF(A444="","",COUNTA(A444,B444,C444,F444,H444,T444,U444,X444)/8)</f>
        <v/>
      </c>
      <c r="Z444" s="3" t="n"/>
    </row>
    <row r="445">
      <c r="A445" s="10" t="n"/>
      <c r="B445" s="10" t="n"/>
      <c r="C445" s="10" t="n"/>
      <c r="D445" s="11" t="n"/>
      <c r="E445" s="3" t="n"/>
      <c r="F445" s="10" t="n"/>
      <c r="G445" s="3" t="n"/>
      <c r="H445" s="12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3">
        <f>IF(A445="","",SUM(I445,K445,M445,O445,Q445))</f>
        <v/>
      </c>
      <c r="T445" s="10" t="n"/>
      <c r="U445" s="10" t="n"/>
      <c r="V445" s="3" t="n"/>
      <c r="W445" s="3" t="n"/>
      <c r="X445" s="10" t="n"/>
      <c r="Y445" s="13">
        <f>IF(A445="","",COUNTA(A445,B445,C445,F445,H445,T445,U445,X445)/8)</f>
        <v/>
      </c>
      <c r="Z445" s="3" t="n"/>
    </row>
    <row r="446">
      <c r="A446" s="10" t="n"/>
      <c r="B446" s="10" t="n"/>
      <c r="C446" s="10" t="n"/>
      <c r="D446" s="11" t="n"/>
      <c r="E446" s="3" t="n"/>
      <c r="F446" s="10" t="n"/>
      <c r="G446" s="3" t="n"/>
      <c r="H446" s="12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3">
        <f>IF(A446="","",SUM(I446,K446,M446,O446,Q446))</f>
        <v/>
      </c>
      <c r="T446" s="10" t="n"/>
      <c r="U446" s="10" t="n"/>
      <c r="V446" s="3" t="n"/>
      <c r="W446" s="3" t="n"/>
      <c r="X446" s="10" t="n"/>
      <c r="Y446" s="13">
        <f>IF(A446="","",COUNTA(A446,B446,C446,F446,H446,T446,U446,X446)/8)</f>
        <v/>
      </c>
      <c r="Z446" s="3" t="n"/>
    </row>
    <row r="447">
      <c r="A447" s="10" t="n"/>
      <c r="B447" s="10" t="n"/>
      <c r="C447" s="10" t="n"/>
      <c r="D447" s="11" t="n"/>
      <c r="E447" s="3" t="n"/>
      <c r="F447" s="10" t="n"/>
      <c r="G447" s="3" t="n"/>
      <c r="H447" s="12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3">
        <f>IF(A447="","",SUM(I447,K447,M447,O447,Q447))</f>
        <v/>
      </c>
      <c r="T447" s="10" t="n"/>
      <c r="U447" s="10" t="n"/>
      <c r="V447" s="3" t="n"/>
      <c r="W447" s="3" t="n"/>
      <c r="X447" s="10" t="n"/>
      <c r="Y447" s="13">
        <f>IF(A447="","",COUNTA(A447,B447,C447,F447,H447,T447,U447,X447)/8)</f>
        <v/>
      </c>
      <c r="Z447" s="3" t="n"/>
    </row>
    <row r="448">
      <c r="A448" s="10" t="n"/>
      <c r="B448" s="10" t="n"/>
      <c r="C448" s="10" t="n"/>
      <c r="D448" s="11" t="n"/>
      <c r="E448" s="3" t="n"/>
      <c r="F448" s="10" t="n"/>
      <c r="G448" s="3" t="n"/>
      <c r="H448" s="12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3">
        <f>IF(A448="","",SUM(I448,K448,M448,O448,Q448))</f>
        <v/>
      </c>
      <c r="T448" s="10" t="n"/>
      <c r="U448" s="10" t="n"/>
      <c r="V448" s="3" t="n"/>
      <c r="W448" s="3" t="n"/>
      <c r="X448" s="10" t="n"/>
      <c r="Y448" s="13">
        <f>IF(A448="","",COUNTA(A448,B448,C448,F448,H448,T448,U448,X448)/8)</f>
        <v/>
      </c>
      <c r="Z448" s="3" t="n"/>
    </row>
    <row r="449">
      <c r="A449" s="10" t="n"/>
      <c r="B449" s="10" t="n"/>
      <c r="C449" s="10" t="n"/>
      <c r="D449" s="11" t="n"/>
      <c r="E449" s="3" t="n"/>
      <c r="F449" s="10" t="n"/>
      <c r="G449" s="3" t="n"/>
      <c r="H449" s="12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3">
        <f>IF(A449="","",SUM(I449,K449,M449,O449,Q449))</f>
        <v/>
      </c>
      <c r="T449" s="10" t="n"/>
      <c r="U449" s="10" t="n"/>
      <c r="V449" s="3" t="n"/>
      <c r="W449" s="3" t="n"/>
      <c r="X449" s="10" t="n"/>
      <c r="Y449" s="13">
        <f>IF(A449="","",COUNTA(A449,B449,C449,F449,H449,T449,U449,X449)/8)</f>
        <v/>
      </c>
      <c r="Z449" s="3" t="n"/>
    </row>
    <row r="450">
      <c r="A450" s="10" t="n"/>
      <c r="B450" s="10" t="n"/>
      <c r="C450" s="10" t="n"/>
      <c r="D450" s="11" t="n"/>
      <c r="E450" s="3" t="n"/>
      <c r="F450" s="10" t="n"/>
      <c r="G450" s="3" t="n"/>
      <c r="H450" s="12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3">
        <f>IF(A450="","",SUM(I450,K450,M450,O450,Q450))</f>
        <v/>
      </c>
      <c r="T450" s="10" t="n"/>
      <c r="U450" s="10" t="n"/>
      <c r="V450" s="3" t="n"/>
      <c r="W450" s="3" t="n"/>
      <c r="X450" s="10" t="n"/>
      <c r="Y450" s="13">
        <f>IF(A450="","",COUNTA(A450,B450,C450,F450,H450,T450,U450,X450)/8)</f>
        <v/>
      </c>
      <c r="Z450" s="3" t="n"/>
    </row>
    <row r="451">
      <c r="A451" s="10" t="n"/>
      <c r="B451" s="10" t="n"/>
      <c r="C451" s="10" t="n"/>
      <c r="D451" s="11" t="n"/>
      <c r="E451" s="3" t="n"/>
      <c r="F451" s="10" t="n"/>
      <c r="G451" s="3" t="n"/>
      <c r="H451" s="12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3">
        <f>IF(A451="","",SUM(I451,K451,M451,O451,Q451))</f>
        <v/>
      </c>
      <c r="T451" s="10" t="n"/>
      <c r="U451" s="10" t="n"/>
      <c r="V451" s="3" t="n"/>
      <c r="W451" s="3" t="n"/>
      <c r="X451" s="10" t="n"/>
      <c r="Y451" s="13">
        <f>IF(A451="","",COUNTA(A451,B451,C451,F451,H451,T451,U451,X451)/8)</f>
        <v/>
      </c>
      <c r="Z451" s="3" t="n"/>
    </row>
    <row r="452">
      <c r="A452" s="10" t="n"/>
      <c r="B452" s="10" t="n"/>
      <c r="C452" s="10" t="n"/>
      <c r="D452" s="11" t="n"/>
      <c r="E452" s="3" t="n"/>
      <c r="F452" s="10" t="n"/>
      <c r="G452" s="3" t="n"/>
      <c r="H452" s="12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3">
        <f>IF(A452="","",SUM(I452,K452,M452,O452,Q452))</f>
        <v/>
      </c>
      <c r="T452" s="10" t="n"/>
      <c r="U452" s="10" t="n"/>
      <c r="V452" s="3" t="n"/>
      <c r="W452" s="3" t="n"/>
      <c r="X452" s="10" t="n"/>
      <c r="Y452" s="13">
        <f>IF(A452="","",COUNTA(A452,B452,C452,F452,H452,T452,U452,X452)/8)</f>
        <v/>
      </c>
      <c r="Z452" s="3" t="n"/>
    </row>
    <row r="453">
      <c r="A453" s="10" t="n"/>
      <c r="B453" s="10" t="n"/>
      <c r="C453" s="10" t="n"/>
      <c r="D453" s="11" t="n"/>
      <c r="E453" s="3" t="n"/>
      <c r="F453" s="10" t="n"/>
      <c r="G453" s="3" t="n"/>
      <c r="H453" s="12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3">
        <f>IF(A453="","",SUM(I453,K453,M453,O453,Q453))</f>
        <v/>
      </c>
      <c r="T453" s="10" t="n"/>
      <c r="U453" s="10" t="n"/>
      <c r="V453" s="3" t="n"/>
      <c r="W453" s="3" t="n"/>
      <c r="X453" s="10" t="n"/>
      <c r="Y453" s="13">
        <f>IF(A453="","",COUNTA(A453,B453,C453,F453,H453,T453,U453,X453)/8)</f>
        <v/>
      </c>
      <c r="Z453" s="3" t="n"/>
    </row>
    <row r="454">
      <c r="A454" s="10" t="n"/>
      <c r="B454" s="10" t="n"/>
      <c r="C454" s="10" t="n"/>
      <c r="D454" s="11" t="n"/>
      <c r="E454" s="3" t="n"/>
      <c r="F454" s="10" t="n"/>
      <c r="G454" s="3" t="n"/>
      <c r="H454" s="12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3">
        <f>IF(A454="","",SUM(I454,K454,M454,O454,Q454))</f>
        <v/>
      </c>
      <c r="T454" s="10" t="n"/>
      <c r="U454" s="10" t="n"/>
      <c r="V454" s="3" t="n"/>
      <c r="W454" s="3" t="n"/>
      <c r="X454" s="10" t="n"/>
      <c r="Y454" s="13">
        <f>IF(A454="","",COUNTA(A454,B454,C454,F454,H454,T454,U454,X454)/8)</f>
        <v/>
      </c>
      <c r="Z454" s="3" t="n"/>
    </row>
    <row r="455">
      <c r="A455" s="10" t="n"/>
      <c r="B455" s="10" t="n"/>
      <c r="C455" s="10" t="n"/>
      <c r="D455" s="11" t="n"/>
      <c r="E455" s="3" t="n"/>
      <c r="F455" s="10" t="n"/>
      <c r="G455" s="3" t="n"/>
      <c r="H455" s="12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3">
        <f>IF(A455="","",SUM(I455,K455,M455,O455,Q455))</f>
        <v/>
      </c>
      <c r="T455" s="10" t="n"/>
      <c r="U455" s="10" t="n"/>
      <c r="V455" s="3" t="n"/>
      <c r="W455" s="3" t="n"/>
      <c r="X455" s="10" t="n"/>
      <c r="Y455" s="13">
        <f>IF(A455="","",COUNTA(A455,B455,C455,F455,H455,T455,U455,X455)/8)</f>
        <v/>
      </c>
      <c r="Z455" s="3" t="n"/>
    </row>
    <row r="456">
      <c r="A456" s="10" t="n"/>
      <c r="B456" s="10" t="n"/>
      <c r="C456" s="10" t="n"/>
      <c r="D456" s="11" t="n"/>
      <c r="E456" s="3" t="n"/>
      <c r="F456" s="10" t="n"/>
      <c r="G456" s="3" t="n"/>
      <c r="H456" s="12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3">
        <f>IF(A456="","",SUM(I456,K456,M456,O456,Q456))</f>
        <v/>
      </c>
      <c r="T456" s="10" t="n"/>
      <c r="U456" s="10" t="n"/>
      <c r="V456" s="3" t="n"/>
      <c r="W456" s="3" t="n"/>
      <c r="X456" s="10" t="n"/>
      <c r="Y456" s="13">
        <f>IF(A456="","",COUNTA(A456,B456,C456,F456,H456,T456,U456,X456)/8)</f>
        <v/>
      </c>
      <c r="Z456" s="3" t="n"/>
    </row>
    <row r="457">
      <c r="A457" s="10" t="n"/>
      <c r="B457" s="10" t="n"/>
      <c r="C457" s="10" t="n"/>
      <c r="D457" s="11" t="n"/>
      <c r="E457" s="3" t="n"/>
      <c r="F457" s="10" t="n"/>
      <c r="G457" s="3" t="n"/>
      <c r="H457" s="12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3">
        <f>IF(A457="","",SUM(I457,K457,M457,O457,Q457))</f>
        <v/>
      </c>
      <c r="T457" s="10" t="n"/>
      <c r="U457" s="10" t="n"/>
      <c r="V457" s="3" t="n"/>
      <c r="W457" s="3" t="n"/>
      <c r="X457" s="10" t="n"/>
      <c r="Y457" s="13">
        <f>IF(A457="","",COUNTA(A457,B457,C457,F457,H457,T457,U457,X457)/8)</f>
        <v/>
      </c>
      <c r="Z457" s="3" t="n"/>
    </row>
    <row r="458">
      <c r="A458" s="10" t="n"/>
      <c r="B458" s="10" t="n"/>
      <c r="C458" s="10" t="n"/>
      <c r="D458" s="11" t="n"/>
      <c r="E458" s="3" t="n"/>
      <c r="F458" s="10" t="n"/>
      <c r="G458" s="3" t="n"/>
      <c r="H458" s="12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3">
        <f>IF(A458="","",SUM(I458,K458,M458,O458,Q458))</f>
        <v/>
      </c>
      <c r="T458" s="10" t="n"/>
      <c r="U458" s="10" t="n"/>
      <c r="V458" s="3" t="n"/>
      <c r="W458" s="3" t="n"/>
      <c r="X458" s="10" t="n"/>
      <c r="Y458" s="13">
        <f>IF(A458="","",COUNTA(A458,B458,C458,F458,H458,T458,U458,X458)/8)</f>
        <v/>
      </c>
      <c r="Z458" s="3" t="n"/>
    </row>
    <row r="459">
      <c r="A459" s="10" t="n"/>
      <c r="B459" s="10" t="n"/>
      <c r="C459" s="10" t="n"/>
      <c r="D459" s="11" t="n"/>
      <c r="E459" s="3" t="n"/>
      <c r="F459" s="10" t="n"/>
      <c r="G459" s="3" t="n"/>
      <c r="H459" s="12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3">
        <f>IF(A459="","",SUM(I459,K459,M459,O459,Q459))</f>
        <v/>
      </c>
      <c r="T459" s="10" t="n"/>
      <c r="U459" s="10" t="n"/>
      <c r="V459" s="3" t="n"/>
      <c r="W459" s="3" t="n"/>
      <c r="X459" s="10" t="n"/>
      <c r="Y459" s="13">
        <f>IF(A459="","",COUNTA(A459,B459,C459,F459,H459,T459,U459,X459)/8)</f>
        <v/>
      </c>
      <c r="Z459" s="3" t="n"/>
    </row>
    <row r="460">
      <c r="A460" s="10" t="n"/>
      <c r="B460" s="10" t="n"/>
      <c r="C460" s="10" t="n"/>
      <c r="D460" s="11" t="n"/>
      <c r="E460" s="3" t="n"/>
      <c r="F460" s="10" t="n"/>
      <c r="G460" s="3" t="n"/>
      <c r="H460" s="12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3">
        <f>IF(A460="","",SUM(I460,K460,M460,O460,Q460))</f>
        <v/>
      </c>
      <c r="T460" s="10" t="n"/>
      <c r="U460" s="10" t="n"/>
      <c r="V460" s="3" t="n"/>
      <c r="W460" s="3" t="n"/>
      <c r="X460" s="10" t="n"/>
      <c r="Y460" s="13">
        <f>IF(A460="","",COUNTA(A460,B460,C460,F460,H460,T460,U460,X460)/8)</f>
        <v/>
      </c>
      <c r="Z460" s="3" t="n"/>
    </row>
    <row r="461">
      <c r="A461" s="10" t="n"/>
      <c r="B461" s="10" t="n"/>
      <c r="C461" s="10" t="n"/>
      <c r="D461" s="11" t="n"/>
      <c r="E461" s="3" t="n"/>
      <c r="F461" s="10" t="n"/>
      <c r="G461" s="3" t="n"/>
      <c r="H461" s="12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3">
        <f>IF(A461="","",SUM(I461,K461,M461,O461,Q461))</f>
        <v/>
      </c>
      <c r="T461" s="10" t="n"/>
      <c r="U461" s="10" t="n"/>
      <c r="V461" s="3" t="n"/>
      <c r="W461" s="3" t="n"/>
      <c r="X461" s="10" t="n"/>
      <c r="Y461" s="13">
        <f>IF(A461="","",COUNTA(A461,B461,C461,F461,H461,T461,U461,X461)/8)</f>
        <v/>
      </c>
      <c r="Z461" s="3" t="n"/>
    </row>
    <row r="462">
      <c r="A462" s="10" t="n"/>
      <c r="B462" s="10" t="n"/>
      <c r="C462" s="10" t="n"/>
      <c r="D462" s="11" t="n"/>
      <c r="E462" s="3" t="n"/>
      <c r="F462" s="10" t="n"/>
      <c r="G462" s="3" t="n"/>
      <c r="H462" s="12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3">
        <f>IF(A462="","",SUM(I462,K462,M462,O462,Q462))</f>
        <v/>
      </c>
      <c r="T462" s="10" t="n"/>
      <c r="U462" s="10" t="n"/>
      <c r="V462" s="3" t="n"/>
      <c r="W462" s="3" t="n"/>
      <c r="X462" s="10" t="n"/>
      <c r="Y462" s="13">
        <f>IF(A462="","",COUNTA(A462,B462,C462,F462,H462,T462,U462,X462)/8)</f>
        <v/>
      </c>
      <c r="Z462" s="3" t="n"/>
    </row>
    <row r="463">
      <c r="A463" s="10" t="n"/>
      <c r="B463" s="10" t="n"/>
      <c r="C463" s="10" t="n"/>
      <c r="D463" s="11" t="n"/>
      <c r="E463" s="3" t="n"/>
      <c r="F463" s="10" t="n"/>
      <c r="G463" s="3" t="n"/>
      <c r="H463" s="12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3">
        <f>IF(A463="","",SUM(I463,K463,M463,O463,Q463))</f>
        <v/>
      </c>
      <c r="T463" s="10" t="n"/>
      <c r="U463" s="10" t="n"/>
      <c r="V463" s="3" t="n"/>
      <c r="W463" s="3" t="n"/>
      <c r="X463" s="10" t="n"/>
      <c r="Y463" s="13">
        <f>IF(A463="","",COUNTA(A463,B463,C463,F463,H463,T463,U463,X463)/8)</f>
        <v/>
      </c>
      <c r="Z463" s="3" t="n"/>
    </row>
    <row r="464">
      <c r="A464" s="10" t="n"/>
      <c r="B464" s="10" t="n"/>
      <c r="C464" s="10" t="n"/>
      <c r="D464" s="11" t="n"/>
      <c r="E464" s="3" t="n"/>
      <c r="F464" s="10" t="n"/>
      <c r="G464" s="3" t="n"/>
      <c r="H464" s="12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3">
        <f>IF(A464="","",SUM(I464,K464,M464,O464,Q464))</f>
        <v/>
      </c>
      <c r="T464" s="10" t="n"/>
      <c r="U464" s="10" t="n"/>
      <c r="V464" s="3" t="n"/>
      <c r="W464" s="3" t="n"/>
      <c r="X464" s="10" t="n"/>
      <c r="Y464" s="13">
        <f>IF(A464="","",COUNTA(A464,B464,C464,F464,H464,T464,U464,X464)/8)</f>
        <v/>
      </c>
      <c r="Z464" s="3" t="n"/>
    </row>
    <row r="465">
      <c r="A465" s="10" t="n"/>
      <c r="B465" s="10" t="n"/>
      <c r="C465" s="10" t="n"/>
      <c r="D465" s="11" t="n"/>
      <c r="E465" s="3" t="n"/>
      <c r="F465" s="10" t="n"/>
      <c r="G465" s="3" t="n"/>
      <c r="H465" s="12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3">
        <f>IF(A465="","",SUM(I465,K465,M465,O465,Q465))</f>
        <v/>
      </c>
      <c r="T465" s="10" t="n"/>
      <c r="U465" s="10" t="n"/>
      <c r="V465" s="3" t="n"/>
      <c r="W465" s="3" t="n"/>
      <c r="X465" s="10" t="n"/>
      <c r="Y465" s="13">
        <f>IF(A465="","",COUNTA(A465,B465,C465,F465,H465,T465,U465,X465)/8)</f>
        <v/>
      </c>
      <c r="Z465" s="3" t="n"/>
    </row>
    <row r="466">
      <c r="A466" s="10" t="n"/>
      <c r="B466" s="10" t="n"/>
      <c r="C466" s="10" t="n"/>
      <c r="D466" s="11" t="n"/>
      <c r="E466" s="3" t="n"/>
      <c r="F466" s="10" t="n"/>
      <c r="G466" s="3" t="n"/>
      <c r="H466" s="12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3">
        <f>IF(A466="","",SUM(I466,K466,M466,O466,Q466))</f>
        <v/>
      </c>
      <c r="T466" s="10" t="n"/>
      <c r="U466" s="10" t="n"/>
      <c r="V466" s="3" t="n"/>
      <c r="W466" s="3" t="n"/>
      <c r="X466" s="10" t="n"/>
      <c r="Y466" s="13">
        <f>IF(A466="","",COUNTA(A466,B466,C466,F466,H466,T466,U466,X466)/8)</f>
        <v/>
      </c>
      <c r="Z466" s="3" t="n"/>
    </row>
    <row r="467">
      <c r="A467" s="10" t="n"/>
      <c r="B467" s="10" t="n"/>
      <c r="C467" s="10" t="n"/>
      <c r="D467" s="11" t="n"/>
      <c r="E467" s="3" t="n"/>
      <c r="F467" s="10" t="n"/>
      <c r="G467" s="3" t="n"/>
      <c r="H467" s="12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3">
        <f>IF(A467="","",SUM(I467,K467,M467,O467,Q467))</f>
        <v/>
      </c>
      <c r="T467" s="10" t="n"/>
      <c r="U467" s="10" t="n"/>
      <c r="V467" s="3" t="n"/>
      <c r="W467" s="3" t="n"/>
      <c r="X467" s="10" t="n"/>
      <c r="Y467" s="13">
        <f>IF(A467="","",COUNTA(A467,B467,C467,F467,H467,T467,U467,X467)/8)</f>
        <v/>
      </c>
      <c r="Z467" s="3" t="n"/>
    </row>
    <row r="468">
      <c r="A468" s="10" t="n"/>
      <c r="B468" s="10" t="n"/>
      <c r="C468" s="10" t="n"/>
      <c r="D468" s="11" t="n"/>
      <c r="E468" s="3" t="n"/>
      <c r="F468" s="10" t="n"/>
      <c r="G468" s="3" t="n"/>
      <c r="H468" s="12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3">
        <f>IF(A468="","",SUM(I468,K468,M468,O468,Q468))</f>
        <v/>
      </c>
      <c r="T468" s="10" t="n"/>
      <c r="U468" s="10" t="n"/>
      <c r="V468" s="3" t="n"/>
      <c r="W468" s="3" t="n"/>
      <c r="X468" s="10" t="n"/>
      <c r="Y468" s="13">
        <f>IF(A468="","",COUNTA(A468,B468,C468,F468,H468,T468,U468,X468)/8)</f>
        <v/>
      </c>
      <c r="Z468" s="3" t="n"/>
    </row>
    <row r="469">
      <c r="A469" s="10" t="n"/>
      <c r="B469" s="10" t="n"/>
      <c r="C469" s="10" t="n"/>
      <c r="D469" s="11" t="n"/>
      <c r="E469" s="3" t="n"/>
      <c r="F469" s="10" t="n"/>
      <c r="G469" s="3" t="n"/>
      <c r="H469" s="12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3">
        <f>IF(A469="","",SUM(I469,K469,M469,O469,Q469))</f>
        <v/>
      </c>
      <c r="T469" s="10" t="n"/>
      <c r="U469" s="10" t="n"/>
      <c r="V469" s="3" t="n"/>
      <c r="W469" s="3" t="n"/>
      <c r="X469" s="10" t="n"/>
      <c r="Y469" s="13">
        <f>IF(A469="","",COUNTA(A469,B469,C469,F469,H469,T469,U469,X469)/8)</f>
        <v/>
      </c>
      <c r="Z469" s="3" t="n"/>
    </row>
    <row r="470">
      <c r="A470" s="10" t="n"/>
      <c r="B470" s="10" t="n"/>
      <c r="C470" s="10" t="n"/>
      <c r="D470" s="11" t="n"/>
      <c r="E470" s="3" t="n"/>
      <c r="F470" s="10" t="n"/>
      <c r="G470" s="3" t="n"/>
      <c r="H470" s="12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3">
        <f>IF(A470="","",SUM(I470,K470,M470,O470,Q470))</f>
        <v/>
      </c>
      <c r="T470" s="10" t="n"/>
      <c r="U470" s="10" t="n"/>
      <c r="V470" s="3" t="n"/>
      <c r="W470" s="3" t="n"/>
      <c r="X470" s="10" t="n"/>
      <c r="Y470" s="13">
        <f>IF(A470="","",COUNTA(A470,B470,C470,F470,H470,T470,U470,X470)/8)</f>
        <v/>
      </c>
      <c r="Z470" s="3" t="n"/>
    </row>
    <row r="471">
      <c r="A471" s="10" t="n"/>
      <c r="B471" s="10" t="n"/>
      <c r="C471" s="10" t="n"/>
      <c r="D471" s="11" t="n"/>
      <c r="E471" s="3" t="n"/>
      <c r="F471" s="10" t="n"/>
      <c r="G471" s="3" t="n"/>
      <c r="H471" s="12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3">
        <f>IF(A471="","",SUM(I471,K471,M471,O471,Q471))</f>
        <v/>
      </c>
      <c r="T471" s="10" t="n"/>
      <c r="U471" s="10" t="n"/>
      <c r="V471" s="3" t="n"/>
      <c r="W471" s="3" t="n"/>
      <c r="X471" s="10" t="n"/>
      <c r="Y471" s="13">
        <f>IF(A471="","",COUNTA(A471,B471,C471,F471,H471,T471,U471,X471)/8)</f>
        <v/>
      </c>
      <c r="Z471" s="3" t="n"/>
    </row>
    <row r="472">
      <c r="A472" s="10" t="n"/>
      <c r="B472" s="10" t="n"/>
      <c r="C472" s="10" t="n"/>
      <c r="D472" s="11" t="n"/>
      <c r="E472" s="3" t="n"/>
      <c r="F472" s="10" t="n"/>
      <c r="G472" s="3" t="n"/>
      <c r="H472" s="12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3">
        <f>IF(A472="","",SUM(I472,K472,M472,O472,Q472))</f>
        <v/>
      </c>
      <c r="T472" s="10" t="n"/>
      <c r="U472" s="10" t="n"/>
      <c r="V472" s="3" t="n"/>
      <c r="W472" s="3" t="n"/>
      <c r="X472" s="10" t="n"/>
      <c r="Y472" s="13">
        <f>IF(A472="","",COUNTA(A472,B472,C472,F472,H472,T472,U472,X472)/8)</f>
        <v/>
      </c>
      <c r="Z472" s="3" t="n"/>
    </row>
    <row r="473">
      <c r="A473" s="10" t="n"/>
      <c r="B473" s="10" t="n"/>
      <c r="C473" s="10" t="n"/>
      <c r="D473" s="11" t="n"/>
      <c r="E473" s="3" t="n"/>
      <c r="F473" s="10" t="n"/>
      <c r="G473" s="3" t="n"/>
      <c r="H473" s="12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3">
        <f>IF(A473="","",SUM(I473,K473,M473,O473,Q473))</f>
        <v/>
      </c>
      <c r="T473" s="10" t="n"/>
      <c r="U473" s="10" t="n"/>
      <c r="V473" s="3" t="n"/>
      <c r="W473" s="3" t="n"/>
      <c r="X473" s="10" t="n"/>
      <c r="Y473" s="13">
        <f>IF(A473="","",COUNTA(A473,B473,C473,F473,H473,T473,U473,X473)/8)</f>
        <v/>
      </c>
      <c r="Z473" s="3" t="n"/>
    </row>
    <row r="474">
      <c r="A474" s="10" t="n"/>
      <c r="B474" s="10" t="n"/>
      <c r="C474" s="10" t="n"/>
      <c r="D474" s="11" t="n"/>
      <c r="E474" s="3" t="n"/>
      <c r="F474" s="10" t="n"/>
      <c r="G474" s="3" t="n"/>
      <c r="H474" s="12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3">
        <f>IF(A474="","",SUM(I474,K474,M474,O474,Q474))</f>
        <v/>
      </c>
      <c r="T474" s="10" t="n"/>
      <c r="U474" s="10" t="n"/>
      <c r="V474" s="3" t="n"/>
      <c r="W474" s="3" t="n"/>
      <c r="X474" s="10" t="n"/>
      <c r="Y474" s="13">
        <f>IF(A474="","",COUNTA(A474,B474,C474,F474,H474,T474,U474,X474)/8)</f>
        <v/>
      </c>
      <c r="Z474" s="3" t="n"/>
    </row>
    <row r="475">
      <c r="A475" s="10" t="n"/>
      <c r="B475" s="10" t="n"/>
      <c r="C475" s="10" t="n"/>
      <c r="D475" s="11" t="n"/>
      <c r="E475" s="3" t="n"/>
      <c r="F475" s="10" t="n"/>
      <c r="G475" s="3" t="n"/>
      <c r="H475" s="12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3">
        <f>IF(A475="","",SUM(I475,K475,M475,O475,Q475))</f>
        <v/>
      </c>
      <c r="T475" s="10" t="n"/>
      <c r="U475" s="10" t="n"/>
      <c r="V475" s="3" t="n"/>
      <c r="W475" s="3" t="n"/>
      <c r="X475" s="10" t="n"/>
      <c r="Y475" s="13">
        <f>IF(A475="","",COUNTA(A475,B475,C475,F475,H475,T475,U475,X475)/8)</f>
        <v/>
      </c>
      <c r="Z475" s="3" t="n"/>
    </row>
    <row r="476">
      <c r="A476" s="10" t="n"/>
      <c r="B476" s="10" t="n"/>
      <c r="C476" s="10" t="n"/>
      <c r="D476" s="11" t="n"/>
      <c r="E476" s="3" t="n"/>
      <c r="F476" s="10" t="n"/>
      <c r="G476" s="3" t="n"/>
      <c r="H476" s="12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3">
        <f>IF(A476="","",SUM(I476,K476,M476,O476,Q476))</f>
        <v/>
      </c>
      <c r="T476" s="10" t="n"/>
      <c r="U476" s="10" t="n"/>
      <c r="V476" s="3" t="n"/>
      <c r="W476" s="3" t="n"/>
      <c r="X476" s="10" t="n"/>
      <c r="Y476" s="13">
        <f>IF(A476="","",COUNTA(A476,B476,C476,F476,H476,T476,U476,X476)/8)</f>
        <v/>
      </c>
      <c r="Z476" s="3" t="n"/>
    </row>
    <row r="477">
      <c r="A477" s="10" t="n"/>
      <c r="B477" s="10" t="n"/>
      <c r="C477" s="10" t="n"/>
      <c r="D477" s="11" t="n"/>
      <c r="E477" s="3" t="n"/>
      <c r="F477" s="10" t="n"/>
      <c r="G477" s="3" t="n"/>
      <c r="H477" s="12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3">
        <f>IF(A477="","",SUM(I477,K477,M477,O477,Q477))</f>
        <v/>
      </c>
      <c r="T477" s="10" t="n"/>
      <c r="U477" s="10" t="n"/>
      <c r="V477" s="3" t="n"/>
      <c r="W477" s="3" t="n"/>
      <c r="X477" s="10" t="n"/>
      <c r="Y477" s="13">
        <f>IF(A477="","",COUNTA(A477,B477,C477,F477,H477,T477,U477,X477)/8)</f>
        <v/>
      </c>
      <c r="Z477" s="3" t="n"/>
    </row>
    <row r="478">
      <c r="A478" s="10" t="n"/>
      <c r="B478" s="10" t="n"/>
      <c r="C478" s="10" t="n"/>
      <c r="D478" s="11" t="n"/>
      <c r="E478" s="3" t="n"/>
      <c r="F478" s="10" t="n"/>
      <c r="G478" s="3" t="n"/>
      <c r="H478" s="12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3">
        <f>IF(A478="","",SUM(I478,K478,M478,O478,Q478))</f>
        <v/>
      </c>
      <c r="T478" s="10" t="n"/>
      <c r="U478" s="10" t="n"/>
      <c r="V478" s="3" t="n"/>
      <c r="W478" s="3" t="n"/>
      <c r="X478" s="10" t="n"/>
      <c r="Y478" s="13">
        <f>IF(A478="","",COUNTA(A478,B478,C478,F478,H478,T478,U478,X478)/8)</f>
        <v/>
      </c>
      <c r="Z478" s="3" t="n"/>
    </row>
    <row r="479">
      <c r="A479" s="10" t="n"/>
      <c r="B479" s="10" t="n"/>
      <c r="C479" s="10" t="n"/>
      <c r="D479" s="11" t="n"/>
      <c r="E479" s="3" t="n"/>
      <c r="F479" s="10" t="n"/>
      <c r="G479" s="3" t="n"/>
      <c r="H479" s="12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3">
        <f>IF(A479="","",SUM(I479,K479,M479,O479,Q479))</f>
        <v/>
      </c>
      <c r="T479" s="10" t="n"/>
      <c r="U479" s="10" t="n"/>
      <c r="V479" s="3" t="n"/>
      <c r="W479" s="3" t="n"/>
      <c r="X479" s="10" t="n"/>
      <c r="Y479" s="13">
        <f>IF(A479="","",COUNTA(A479,B479,C479,F479,H479,T479,U479,X479)/8)</f>
        <v/>
      </c>
      <c r="Z479" s="3" t="n"/>
    </row>
    <row r="480">
      <c r="A480" s="10" t="n"/>
      <c r="B480" s="10" t="n"/>
      <c r="C480" s="10" t="n"/>
      <c r="D480" s="11" t="n"/>
      <c r="E480" s="3" t="n"/>
      <c r="F480" s="10" t="n"/>
      <c r="G480" s="3" t="n"/>
      <c r="H480" s="12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3">
        <f>IF(A480="","",SUM(I480,K480,M480,O480,Q480))</f>
        <v/>
      </c>
      <c r="T480" s="10" t="n"/>
      <c r="U480" s="10" t="n"/>
      <c r="V480" s="3" t="n"/>
      <c r="W480" s="3" t="n"/>
      <c r="X480" s="10" t="n"/>
      <c r="Y480" s="13">
        <f>IF(A480="","",COUNTA(A480,B480,C480,F480,H480,T480,U480,X480)/8)</f>
        <v/>
      </c>
      <c r="Z480" s="3" t="n"/>
    </row>
    <row r="481">
      <c r="A481" s="10" t="n"/>
      <c r="B481" s="10" t="n"/>
      <c r="C481" s="10" t="n"/>
      <c r="D481" s="11" t="n"/>
      <c r="E481" s="3" t="n"/>
      <c r="F481" s="10" t="n"/>
      <c r="G481" s="3" t="n"/>
      <c r="H481" s="12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3">
        <f>IF(A481="","",SUM(I481,K481,M481,O481,Q481))</f>
        <v/>
      </c>
      <c r="T481" s="10" t="n"/>
      <c r="U481" s="10" t="n"/>
      <c r="V481" s="3" t="n"/>
      <c r="W481" s="3" t="n"/>
      <c r="X481" s="10" t="n"/>
      <c r="Y481" s="13">
        <f>IF(A481="","",COUNTA(A481,B481,C481,F481,H481,T481,U481,X481)/8)</f>
        <v/>
      </c>
      <c r="Z481" s="3" t="n"/>
    </row>
    <row r="482">
      <c r="A482" s="10" t="n"/>
      <c r="B482" s="10" t="n"/>
      <c r="C482" s="10" t="n"/>
      <c r="D482" s="11" t="n"/>
      <c r="E482" s="3" t="n"/>
      <c r="F482" s="10" t="n"/>
      <c r="G482" s="3" t="n"/>
      <c r="H482" s="12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3">
        <f>IF(A482="","",SUM(I482,K482,M482,O482,Q482))</f>
        <v/>
      </c>
      <c r="T482" s="10" t="n"/>
      <c r="U482" s="10" t="n"/>
      <c r="V482" s="3" t="n"/>
      <c r="W482" s="3" t="n"/>
      <c r="X482" s="10" t="n"/>
      <c r="Y482" s="13">
        <f>IF(A482="","",COUNTA(A482,B482,C482,F482,H482,T482,U482,X482)/8)</f>
        <v/>
      </c>
      <c r="Z482" s="3" t="n"/>
    </row>
    <row r="483">
      <c r="A483" s="10" t="n"/>
      <c r="B483" s="10" t="n"/>
      <c r="C483" s="10" t="n"/>
      <c r="D483" s="11" t="n"/>
      <c r="E483" s="3" t="n"/>
      <c r="F483" s="10" t="n"/>
      <c r="G483" s="3" t="n"/>
      <c r="H483" s="12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3">
        <f>IF(A483="","",SUM(I483,K483,M483,O483,Q483))</f>
        <v/>
      </c>
      <c r="T483" s="10" t="n"/>
      <c r="U483" s="10" t="n"/>
      <c r="V483" s="3" t="n"/>
      <c r="W483" s="3" t="n"/>
      <c r="X483" s="10" t="n"/>
      <c r="Y483" s="13">
        <f>IF(A483="","",COUNTA(A483,B483,C483,F483,H483,T483,U483,X483)/8)</f>
        <v/>
      </c>
      <c r="Z483" s="3" t="n"/>
    </row>
    <row r="484">
      <c r="A484" s="10" t="n"/>
      <c r="B484" s="10" t="n"/>
      <c r="C484" s="10" t="n"/>
      <c r="D484" s="11" t="n"/>
      <c r="E484" s="3" t="n"/>
      <c r="F484" s="10" t="n"/>
      <c r="G484" s="3" t="n"/>
      <c r="H484" s="12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3">
        <f>IF(A484="","",SUM(I484,K484,M484,O484,Q484))</f>
        <v/>
      </c>
      <c r="T484" s="10" t="n"/>
      <c r="U484" s="10" t="n"/>
      <c r="V484" s="3" t="n"/>
      <c r="W484" s="3" t="n"/>
      <c r="X484" s="10" t="n"/>
      <c r="Y484" s="13">
        <f>IF(A484="","",COUNTA(A484,B484,C484,F484,H484,T484,U484,X484)/8)</f>
        <v/>
      </c>
      <c r="Z484" s="3" t="n"/>
    </row>
    <row r="485">
      <c r="A485" s="10" t="n"/>
      <c r="B485" s="10" t="n"/>
      <c r="C485" s="10" t="n"/>
      <c r="D485" s="11" t="n"/>
      <c r="E485" s="3" t="n"/>
      <c r="F485" s="10" t="n"/>
      <c r="G485" s="3" t="n"/>
      <c r="H485" s="12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3">
        <f>IF(A485="","",SUM(I485,K485,M485,O485,Q485))</f>
        <v/>
      </c>
      <c r="T485" s="10" t="n"/>
      <c r="U485" s="10" t="n"/>
      <c r="V485" s="3" t="n"/>
      <c r="W485" s="3" t="n"/>
      <c r="X485" s="10" t="n"/>
      <c r="Y485" s="13">
        <f>IF(A485="","",COUNTA(A485,B485,C485,F485,H485,T485,U485,X485)/8)</f>
        <v/>
      </c>
      <c r="Z485" s="3" t="n"/>
    </row>
    <row r="486">
      <c r="A486" s="10" t="n"/>
      <c r="B486" s="10" t="n"/>
      <c r="C486" s="10" t="n"/>
      <c r="D486" s="11" t="n"/>
      <c r="E486" s="3" t="n"/>
      <c r="F486" s="10" t="n"/>
      <c r="G486" s="3" t="n"/>
      <c r="H486" s="12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3">
        <f>IF(A486="","",SUM(I486,K486,M486,O486,Q486))</f>
        <v/>
      </c>
      <c r="T486" s="10" t="n"/>
      <c r="U486" s="10" t="n"/>
      <c r="V486" s="3" t="n"/>
      <c r="W486" s="3" t="n"/>
      <c r="X486" s="10" t="n"/>
      <c r="Y486" s="13">
        <f>IF(A486="","",COUNTA(A486,B486,C486,F486,H486,T486,U486,X486)/8)</f>
        <v/>
      </c>
      <c r="Z486" s="3" t="n"/>
    </row>
    <row r="487">
      <c r="A487" s="10" t="n"/>
      <c r="B487" s="10" t="n"/>
      <c r="C487" s="10" t="n"/>
      <c r="D487" s="11" t="n"/>
      <c r="E487" s="3" t="n"/>
      <c r="F487" s="10" t="n"/>
      <c r="G487" s="3" t="n"/>
      <c r="H487" s="12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3">
        <f>IF(A487="","",SUM(I487,K487,M487,O487,Q487))</f>
        <v/>
      </c>
      <c r="T487" s="10" t="n"/>
      <c r="U487" s="10" t="n"/>
      <c r="V487" s="3" t="n"/>
      <c r="W487" s="3" t="n"/>
      <c r="X487" s="10" t="n"/>
      <c r="Y487" s="13">
        <f>IF(A487="","",COUNTA(A487,B487,C487,F487,H487,T487,U487,X487)/8)</f>
        <v/>
      </c>
      <c r="Z487" s="3" t="n"/>
    </row>
    <row r="488">
      <c r="A488" s="10" t="n"/>
      <c r="B488" s="10" t="n"/>
      <c r="C488" s="10" t="n"/>
      <c r="D488" s="11" t="n"/>
      <c r="E488" s="3" t="n"/>
      <c r="F488" s="10" t="n"/>
      <c r="G488" s="3" t="n"/>
      <c r="H488" s="12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3">
        <f>IF(A488="","",SUM(I488,K488,M488,O488,Q488))</f>
        <v/>
      </c>
      <c r="T488" s="10" t="n"/>
      <c r="U488" s="10" t="n"/>
      <c r="V488" s="3" t="n"/>
      <c r="W488" s="3" t="n"/>
      <c r="X488" s="10" t="n"/>
      <c r="Y488" s="13">
        <f>IF(A488="","",COUNTA(A488,B488,C488,F488,H488,T488,U488,X488)/8)</f>
        <v/>
      </c>
      <c r="Z488" s="3" t="n"/>
    </row>
    <row r="489">
      <c r="A489" s="10" t="n"/>
      <c r="B489" s="10" t="n"/>
      <c r="C489" s="10" t="n"/>
      <c r="D489" s="11" t="n"/>
      <c r="E489" s="3" t="n"/>
      <c r="F489" s="10" t="n"/>
      <c r="G489" s="3" t="n"/>
      <c r="H489" s="12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3">
        <f>IF(A489="","",SUM(I489,K489,M489,O489,Q489))</f>
        <v/>
      </c>
      <c r="T489" s="10" t="n"/>
      <c r="U489" s="10" t="n"/>
      <c r="V489" s="3" t="n"/>
      <c r="W489" s="3" t="n"/>
      <c r="X489" s="10" t="n"/>
      <c r="Y489" s="13">
        <f>IF(A489="","",COUNTA(A489,B489,C489,F489,H489,T489,U489,X489)/8)</f>
        <v/>
      </c>
      <c r="Z489" s="3" t="n"/>
    </row>
    <row r="490">
      <c r="A490" s="10" t="n"/>
      <c r="B490" s="10" t="n"/>
      <c r="C490" s="10" t="n"/>
      <c r="D490" s="11" t="n"/>
      <c r="E490" s="3" t="n"/>
      <c r="F490" s="10" t="n"/>
      <c r="G490" s="3" t="n"/>
      <c r="H490" s="12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3">
        <f>IF(A490="","",SUM(I490,K490,M490,O490,Q490))</f>
        <v/>
      </c>
      <c r="T490" s="10" t="n"/>
      <c r="U490" s="10" t="n"/>
      <c r="V490" s="3" t="n"/>
      <c r="W490" s="3" t="n"/>
      <c r="X490" s="10" t="n"/>
      <c r="Y490" s="13">
        <f>IF(A490="","",COUNTA(A490,B490,C490,F490,H490,T490,U490,X490)/8)</f>
        <v/>
      </c>
      <c r="Z490" s="3" t="n"/>
    </row>
    <row r="491">
      <c r="A491" s="10" t="n"/>
      <c r="B491" s="10" t="n"/>
      <c r="C491" s="10" t="n"/>
      <c r="D491" s="11" t="n"/>
      <c r="E491" s="3" t="n"/>
      <c r="F491" s="10" t="n"/>
      <c r="G491" s="3" t="n"/>
      <c r="H491" s="12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3">
        <f>IF(A491="","",SUM(I491,K491,M491,O491,Q491))</f>
        <v/>
      </c>
      <c r="T491" s="10" t="n"/>
      <c r="U491" s="10" t="n"/>
      <c r="V491" s="3" t="n"/>
      <c r="W491" s="3" t="n"/>
      <c r="X491" s="10" t="n"/>
      <c r="Y491" s="13">
        <f>IF(A491="","",COUNTA(A491,B491,C491,F491,H491,T491,U491,X491)/8)</f>
        <v/>
      </c>
      <c r="Z491" s="3" t="n"/>
    </row>
    <row r="492">
      <c r="A492" s="10" t="n"/>
      <c r="B492" s="10" t="n"/>
      <c r="C492" s="10" t="n"/>
      <c r="D492" s="11" t="n"/>
      <c r="E492" s="3" t="n"/>
      <c r="F492" s="10" t="n"/>
      <c r="G492" s="3" t="n"/>
      <c r="H492" s="12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3">
        <f>IF(A492="","",SUM(I492,K492,M492,O492,Q492))</f>
        <v/>
      </c>
      <c r="T492" s="10" t="n"/>
      <c r="U492" s="10" t="n"/>
      <c r="V492" s="3" t="n"/>
      <c r="W492" s="3" t="n"/>
      <c r="X492" s="10" t="n"/>
      <c r="Y492" s="13">
        <f>IF(A492="","",COUNTA(A492,B492,C492,F492,H492,T492,U492,X492)/8)</f>
        <v/>
      </c>
      <c r="Z492" s="3" t="n"/>
    </row>
    <row r="493">
      <c r="A493" s="10" t="n"/>
      <c r="B493" s="10" t="n"/>
      <c r="C493" s="10" t="n"/>
      <c r="D493" s="11" t="n"/>
      <c r="E493" s="3" t="n"/>
      <c r="F493" s="10" t="n"/>
      <c r="G493" s="3" t="n"/>
      <c r="H493" s="12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3">
        <f>IF(A493="","",SUM(I493,K493,M493,O493,Q493))</f>
        <v/>
      </c>
      <c r="T493" s="10" t="n"/>
      <c r="U493" s="10" t="n"/>
      <c r="V493" s="3" t="n"/>
      <c r="W493" s="3" t="n"/>
      <c r="X493" s="10" t="n"/>
      <c r="Y493" s="13">
        <f>IF(A493="","",COUNTA(A493,B493,C493,F493,H493,T493,U493,X493)/8)</f>
        <v/>
      </c>
      <c r="Z493" s="3" t="n"/>
    </row>
    <row r="494">
      <c r="A494" s="10" t="n"/>
      <c r="B494" s="10" t="n"/>
      <c r="C494" s="10" t="n"/>
      <c r="D494" s="11" t="n"/>
      <c r="E494" s="3" t="n"/>
      <c r="F494" s="10" t="n"/>
      <c r="G494" s="3" t="n"/>
      <c r="H494" s="12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3">
        <f>IF(A494="","",SUM(I494,K494,M494,O494,Q494))</f>
        <v/>
      </c>
      <c r="T494" s="10" t="n"/>
      <c r="U494" s="10" t="n"/>
      <c r="V494" s="3" t="n"/>
      <c r="W494" s="3" t="n"/>
      <c r="X494" s="10" t="n"/>
      <c r="Y494" s="13">
        <f>IF(A494="","",COUNTA(A494,B494,C494,F494,H494,T494,U494,X494)/8)</f>
        <v/>
      </c>
      <c r="Z494" s="3" t="n"/>
    </row>
    <row r="495">
      <c r="A495" s="10" t="n"/>
      <c r="B495" s="10" t="n"/>
      <c r="C495" s="10" t="n"/>
      <c r="D495" s="11" t="n"/>
      <c r="E495" s="3" t="n"/>
      <c r="F495" s="10" t="n"/>
      <c r="G495" s="3" t="n"/>
      <c r="H495" s="12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3">
        <f>IF(A495="","",SUM(I495,K495,M495,O495,Q495))</f>
        <v/>
      </c>
      <c r="T495" s="10" t="n"/>
      <c r="U495" s="10" t="n"/>
      <c r="V495" s="3" t="n"/>
      <c r="W495" s="3" t="n"/>
      <c r="X495" s="10" t="n"/>
      <c r="Y495" s="13">
        <f>IF(A495="","",COUNTA(A495,B495,C495,F495,H495,T495,U495,X495)/8)</f>
        <v/>
      </c>
      <c r="Z495" s="3" t="n"/>
    </row>
    <row r="496">
      <c r="A496" s="10" t="n"/>
      <c r="B496" s="10" t="n"/>
      <c r="C496" s="10" t="n"/>
      <c r="D496" s="11" t="n"/>
      <c r="E496" s="3" t="n"/>
      <c r="F496" s="10" t="n"/>
      <c r="G496" s="3" t="n"/>
      <c r="H496" s="12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3">
        <f>IF(A496="","",SUM(I496,K496,M496,O496,Q496))</f>
        <v/>
      </c>
      <c r="T496" s="10" t="n"/>
      <c r="U496" s="10" t="n"/>
      <c r="V496" s="3" t="n"/>
      <c r="W496" s="3" t="n"/>
      <c r="X496" s="10" t="n"/>
      <c r="Y496" s="13">
        <f>IF(A496="","",COUNTA(A496,B496,C496,F496,H496,T496,U496,X496)/8)</f>
        <v/>
      </c>
      <c r="Z496" s="3" t="n"/>
    </row>
    <row r="497">
      <c r="A497" s="10" t="n"/>
      <c r="B497" s="10" t="n"/>
      <c r="C497" s="10" t="n"/>
      <c r="D497" s="11" t="n"/>
      <c r="E497" s="3" t="n"/>
      <c r="F497" s="10" t="n"/>
      <c r="G497" s="3" t="n"/>
      <c r="H497" s="12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3">
        <f>IF(A497="","",SUM(I497,K497,M497,O497,Q497))</f>
        <v/>
      </c>
      <c r="T497" s="10" t="n"/>
      <c r="U497" s="10" t="n"/>
      <c r="V497" s="3" t="n"/>
      <c r="W497" s="3" t="n"/>
      <c r="X497" s="10" t="n"/>
      <c r="Y497" s="13">
        <f>IF(A497="","",COUNTA(A497,B497,C497,F497,H497,T497,U497,X497)/8)</f>
        <v/>
      </c>
      <c r="Z497" s="3" t="n"/>
    </row>
    <row r="498">
      <c r="A498" s="10" t="n"/>
      <c r="B498" s="10" t="n"/>
      <c r="C498" s="10" t="n"/>
      <c r="D498" s="11" t="n"/>
      <c r="E498" s="3" t="n"/>
      <c r="F498" s="10" t="n"/>
      <c r="G498" s="3" t="n"/>
      <c r="H498" s="12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3">
        <f>IF(A498="","",SUM(I498,K498,M498,O498,Q498))</f>
        <v/>
      </c>
      <c r="T498" s="10" t="n"/>
      <c r="U498" s="10" t="n"/>
      <c r="V498" s="3" t="n"/>
      <c r="W498" s="3" t="n"/>
      <c r="X498" s="10" t="n"/>
      <c r="Y498" s="13">
        <f>IF(A498="","",COUNTA(A498,B498,C498,F498,H498,T498,U498,X498)/8)</f>
        <v/>
      </c>
      <c r="Z498" s="3" t="n"/>
    </row>
    <row r="499">
      <c r="A499" s="10" t="n"/>
      <c r="B499" s="10" t="n"/>
      <c r="C499" s="10" t="n"/>
      <c r="D499" s="11" t="n"/>
      <c r="E499" s="3" t="n"/>
      <c r="F499" s="10" t="n"/>
      <c r="G499" s="3" t="n"/>
      <c r="H499" s="12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3">
        <f>IF(A499="","",SUM(I499,K499,M499,O499,Q499))</f>
        <v/>
      </c>
      <c r="T499" s="10" t="n"/>
      <c r="U499" s="10" t="n"/>
      <c r="V499" s="3" t="n"/>
      <c r="W499" s="3" t="n"/>
      <c r="X499" s="10" t="n"/>
      <c r="Y499" s="13">
        <f>IF(A499="","",COUNTA(A499,B499,C499,F499,H499,T499,U499,X499)/8)</f>
        <v/>
      </c>
      <c r="Z499" s="3" t="n"/>
    </row>
    <row r="500">
      <c r="A500" s="10" t="n"/>
      <c r="B500" s="10" t="n"/>
      <c r="C500" s="10" t="n"/>
      <c r="D500" s="11" t="n"/>
      <c r="E500" s="3" t="n"/>
      <c r="F500" s="10" t="n"/>
      <c r="G500" s="3" t="n"/>
      <c r="H500" s="12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3">
        <f>IF(A500="","",SUM(I500,K500,M500,O500,Q500))</f>
        <v/>
      </c>
      <c r="T500" s="10" t="n"/>
      <c r="U500" s="10" t="n"/>
      <c r="V500" s="3" t="n"/>
      <c r="W500" s="3" t="n"/>
      <c r="X500" s="10" t="n"/>
      <c r="Y500" s="13">
        <f>IF(A500="","",COUNTA(A500,B500,C500,F500,H500,T500,U500,X500)/8)</f>
        <v/>
      </c>
      <c r="Z500" s="3" t="n"/>
    </row>
    <row r="501">
      <c r="A501" s="10" t="n"/>
      <c r="B501" s="10" t="n"/>
      <c r="C501" s="10" t="n"/>
      <c r="D501" s="11" t="n"/>
      <c r="E501" s="3" t="n"/>
      <c r="F501" s="10" t="n"/>
      <c r="G501" s="3" t="n"/>
      <c r="H501" s="12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3">
        <f>IF(A501="","",SUM(I501,K501,M501,O501,Q501))</f>
        <v/>
      </c>
      <c r="T501" s="10" t="n"/>
      <c r="U501" s="10" t="n"/>
      <c r="V501" s="3" t="n"/>
      <c r="W501" s="3" t="n"/>
      <c r="X501" s="10" t="n"/>
      <c r="Y501" s="13">
        <f>IF(A501="","",COUNTA(A501,B501,C501,F501,H501,T501,U501,X501)/8)</f>
        <v/>
      </c>
      <c r="Z501" s="3" t="n"/>
    </row>
  </sheetData>
  <autoFilter ref="A1:Z501"/>
  <conditionalFormatting sqref="S2:S501">
    <cfRule type="cellIs" priority="1" operator="greaterThanOrEqual" dxfId="0">
      <formula>7</formula>
    </cfRule>
    <cfRule type="cellIs" priority="2" operator="between" dxfId="1">
      <formula>5</formula>
      <formula>6</formula>
    </cfRule>
    <cfRule type="cellIs" priority="3" operator="lessThan" dxfId="2">
      <formula>5</formula>
    </cfRule>
  </conditionalFormatting>
  <conditionalFormatting sqref="Y2:Y501">
    <cfRule type="cellIs" priority="4" operator="lessThan" dxfId="2">
      <formula>0.85</formula>
    </cfRule>
    <cfRule type="cellIs" priority="5" operator="between" dxfId="1">
      <formula>0.85</formula>
      <formula>0.99</formula>
    </cfRule>
    <cfRule type="cellIs" priority="6" operator="greaterThanOrEqual" dxfId="0">
      <formula>1</formula>
    </cfRule>
  </conditionalFormatting>
  <dataValidations count="5">
    <dataValidation sqref="C2:C501" showDropDown="0" showInputMessage="0" showErrorMessage="0" allowBlank="1" type="list">
      <formula1>选项!$B$1:$F$1</formula1>
    </dataValidation>
    <dataValidation sqref="E2:E501" showDropDown="0" showInputMessage="0" showErrorMessage="0" allowBlank="1" type="list">
      <formula1>选项!$B$2:$E$2</formula1>
    </dataValidation>
    <dataValidation sqref="G2:G501" showDropDown="0" showInputMessage="0" showErrorMessage="0" allowBlank="1" type="list">
      <formula1>选项!$B$3:$C$3</formula1>
    </dataValidation>
    <dataValidation sqref="I2:I501 K2:K501 M2:M501 O2:O501 Q2:Q501" showDropDown="0" showInputMessage="0" showErrorMessage="0" allowBlank="1" errorTitle="评分范围错误" error="评分只能填写 0、1、2；信息不足时可以留空。" type="whole" operator="between">
      <formula1>0</formula1>
      <formula2>2</formula2>
    </dataValidation>
    <dataValidation sqref="T2:T501" showDropDown="0" showInputMessage="0" showErrorMessage="0" allowBlank="1" type="list">
      <formula1>选项!$B$4:$J$4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26" customWidth="1" min="7" max="7"/>
    <col width="12" customWidth="1" min="8" max="8"/>
    <col width="12" customWidth="1" min="9" max="9"/>
    <col width="14" customWidth="1" min="10" max="10"/>
    <col width="14" customWidth="1" min="11" max="11"/>
    <col width="18" customWidth="1" min="12" max="12"/>
    <col width="18" customWidth="1" min="13" max="13"/>
    <col width="18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26" customWidth="1" min="24" max="24"/>
    <col width="26" customWidth="1" min="25" max="25"/>
    <col width="26" customWidth="1" min="26" max="26"/>
    <col width="26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26" customWidth="1" min="34" max="34"/>
  </cols>
  <sheetData>
    <row r="1">
      <c r="A1" s="23" t="inlineStr">
        <is>
          <t>记录ID</t>
        </is>
      </c>
      <c r="B1" s="23" t="inlineStr">
        <is>
          <t>日期</t>
        </is>
      </c>
      <c r="C1" s="24" t="inlineStr">
        <is>
          <t>大盘状态</t>
        </is>
      </c>
      <c r="D1" s="24" t="inlineStr">
        <is>
          <t>大盘涨跌%</t>
        </is>
      </c>
      <c r="E1" s="23" t="inlineStr">
        <is>
          <t>股票</t>
        </is>
      </c>
      <c r="F1" s="24" t="inlineStr">
        <is>
          <t>板块</t>
        </is>
      </c>
      <c r="G1" s="23" t="inlineStr">
        <is>
          <t>板块记录ID</t>
        </is>
      </c>
      <c r="H1" s="24" t="inlineStr">
        <is>
          <t>板块综合分</t>
        </is>
      </c>
      <c r="I1" s="24" t="inlineStr">
        <is>
          <t>板块阶段</t>
        </is>
      </c>
      <c r="J1" s="23" t="inlineStr">
        <is>
          <t>个股类型</t>
        </is>
      </c>
      <c r="K1" s="23" t="inlineStr">
        <is>
          <t>个股相对板块</t>
        </is>
      </c>
      <c r="L1" s="23" t="inlineStr">
        <is>
          <t>外部环境判断</t>
        </is>
      </c>
      <c r="M1" s="23" t="inlineStr">
        <is>
          <t>个股价格信号</t>
        </is>
      </c>
      <c r="N1" s="23" t="inlineStr">
        <is>
          <t>信号解释</t>
        </is>
      </c>
      <c r="O1" s="23" t="inlineStr">
        <is>
          <t>今日核心判断</t>
        </is>
      </c>
      <c r="P1" s="23" t="inlineStr">
        <is>
          <t>当前价</t>
        </is>
      </c>
      <c r="Q1" s="23" t="inlineStr">
        <is>
          <t>今日涨跌%</t>
        </is>
      </c>
      <c r="R1" s="23" t="inlineStr">
        <is>
          <t>个股结构</t>
        </is>
      </c>
      <c r="S1" s="25" t="inlineStr">
        <is>
          <t>5/20日线</t>
        </is>
      </c>
      <c r="T1" s="25" t="inlineStr">
        <is>
          <t>MACD</t>
        </is>
      </c>
      <c r="U1" s="25" t="inlineStr">
        <is>
          <t>成交量</t>
        </is>
      </c>
      <c r="V1" s="23" t="inlineStr">
        <is>
          <t>支撑位</t>
        </is>
      </c>
      <c r="W1" s="23" t="inlineStr">
        <is>
          <t>压力位</t>
        </is>
      </c>
      <c r="X1" s="23" t="inlineStr">
        <is>
          <t>强确认条件</t>
        </is>
      </c>
      <c r="Y1" s="23" t="inlineStr">
        <is>
          <t>中性观察条件</t>
        </is>
      </c>
      <c r="Z1" s="23" t="inlineStr">
        <is>
          <t>弱失效条件</t>
        </is>
      </c>
      <c r="AA1" s="23" t="inlineStr">
        <is>
          <t>失效条件</t>
        </is>
      </c>
      <c r="AB1" s="23" t="inlineStr">
        <is>
          <t>模拟动作</t>
        </is>
      </c>
      <c r="AC1" s="25" t="inlineStr">
        <is>
          <t>状态色</t>
        </is>
      </c>
      <c r="AD1" s="24" t="inlineStr">
        <is>
          <t>完整度</t>
        </is>
      </c>
      <c r="AE1" s="24" t="inlineStr">
        <is>
          <t>3日验证日</t>
        </is>
      </c>
      <c r="AF1" s="24" t="inlineStr">
        <is>
          <t>5日验证日</t>
        </is>
      </c>
      <c r="AG1" s="24" t="inlineStr">
        <is>
          <t>10日验证日</t>
        </is>
      </c>
      <c r="AH1" s="24" t="inlineStr">
        <is>
          <t>备注</t>
        </is>
      </c>
    </row>
    <row r="2">
      <c r="A2" s="22" t="n"/>
      <c r="B2" s="22" t="n">
        <v>20260702</v>
      </c>
      <c r="C2" s="26" t="inlineStr">
        <is>
          <t>下降</t>
        </is>
      </c>
      <c r="D2" s="27" t="n">
        <v>-0.0203</v>
      </c>
      <c r="E2" s="22" t="inlineStr">
        <is>
          <t>益生科技</t>
        </is>
      </c>
      <c r="F2" s="26" t="inlineStr">
        <is>
          <t>养殖业</t>
        </is>
      </c>
      <c r="G2" s="22" t="n">
        <v>1</v>
      </c>
      <c r="H2" s="26">
        <f>IF(G2="","",IFERROR(VLOOKUP(G2,板块观察!A:Z,19,FALSE),""))</f>
        <v/>
      </c>
      <c r="I2" s="26">
        <f>IF(G2="","",IFERROR(VLOOKUP(G2,板块观察!A:Z,20,FALSE),""))</f>
        <v/>
      </c>
      <c r="J2" s="22" t="inlineStr">
        <is>
          <t>领涨股</t>
        </is>
      </c>
      <c r="K2" s="22" t="inlineStr">
        <is>
          <t>强于板块</t>
        </is>
      </c>
      <c r="L2" s="22" t="n"/>
      <c r="M2" s="22" t="n"/>
      <c r="N2" s="22" t="n"/>
      <c r="O2" s="22" t="n"/>
      <c r="P2" s="22" t="n">
        <v>9.41</v>
      </c>
      <c r="Q2" s="28" t="n">
        <v>0.1</v>
      </c>
      <c r="R2" s="22" t="inlineStr">
        <is>
          <t>上升趋势</t>
        </is>
      </c>
      <c r="S2" s="29" t="inlineStr">
        <is>
          <t>5日&gt;20日</t>
        </is>
      </c>
      <c r="T2" s="29" t="inlineStr">
        <is>
          <t>红柱扩大</t>
        </is>
      </c>
      <c r="U2" s="29" t="inlineStr">
        <is>
          <t>放量上涨</t>
        </is>
      </c>
      <c r="V2" s="22" t="n">
        <v>9</v>
      </c>
      <c r="W2" s="22" t="n">
        <v>11</v>
      </c>
      <c r="X2" s="22" t="inlineStr">
        <is>
          <t>一路上升突破压力位</t>
        </is>
      </c>
      <c r="Y2" s="22" t="inlineStr">
        <is>
          <t>在支撑位附近震荡</t>
        </is>
      </c>
      <c r="Z2" s="22" t="inlineStr">
        <is>
          <t>跌破支撑位</t>
        </is>
      </c>
      <c r="AA2" s="22" t="n"/>
      <c r="AB2" s="22" t="inlineStr">
        <is>
          <t>试错买入</t>
        </is>
      </c>
      <c r="AC2" s="29" t="n"/>
      <c r="AD2" s="30">
        <f>IF(A2="","",(COUNTA(A2:G2)+COUNTA(J2:AC2))/27)</f>
        <v/>
      </c>
      <c r="AE2" s="26">
        <f>IF(B2="","",WORKDAY(B2,3))</f>
        <v/>
      </c>
      <c r="AF2" s="26">
        <f>IF(B2="","",WORKDAY(B2,5))</f>
        <v/>
      </c>
      <c r="AG2" s="26">
        <f>IF(B2="","",WORKDAY(B2,10))</f>
        <v/>
      </c>
      <c r="AH2" s="26" t="n"/>
    </row>
    <row r="3">
      <c r="A3" s="22" t="n"/>
      <c r="B3" s="22" t="n"/>
      <c r="C3" s="26" t="n"/>
      <c r="D3" s="27" t="n"/>
      <c r="E3" s="22" t="n"/>
      <c r="F3" s="26" t="n"/>
      <c r="G3" s="22" t="n"/>
      <c r="H3" s="26">
        <f>IF(G3="","",IFERROR(VLOOKUP(G3,板块观察!A:Z,19,FALSE),""))</f>
        <v/>
      </c>
      <c r="I3" s="26">
        <f>IF(G3="","",IFERROR(VLOOKUP(G3,板块观察!A:Z,20,FALSE),""))</f>
        <v/>
      </c>
      <c r="J3" s="22" t="n"/>
      <c r="K3" s="22" t="n"/>
      <c r="L3" s="22" t="n"/>
      <c r="M3" s="22" t="n"/>
      <c r="N3" s="22" t="n"/>
      <c r="O3" s="22" t="n"/>
      <c r="P3" s="22" t="n"/>
      <c r="Q3" s="28" t="n"/>
      <c r="R3" s="22" t="n"/>
      <c r="S3" s="29" t="n"/>
      <c r="T3" s="29" t="n"/>
      <c r="U3" s="29" t="n"/>
      <c r="V3" s="22" t="n"/>
      <c r="W3" s="22" t="n"/>
      <c r="X3" s="22" t="n"/>
      <c r="Y3" s="22" t="n"/>
      <c r="Z3" s="22" t="n"/>
      <c r="AA3" s="22" t="n"/>
      <c r="AB3" s="22" t="n"/>
      <c r="AC3" s="29" t="n"/>
      <c r="AD3" s="30">
        <f>IF(A3="","",(COUNTA(A3:G3)+COUNTA(J3:AC3))/27)</f>
        <v/>
      </c>
      <c r="AE3" s="26">
        <f>IF(B3="","",WORKDAY(B3,3))</f>
        <v/>
      </c>
      <c r="AF3" s="26">
        <f>IF(B3="","",WORKDAY(B3,5))</f>
        <v/>
      </c>
      <c r="AG3" s="26">
        <f>IF(B3="","",WORKDAY(B3,10))</f>
        <v/>
      </c>
      <c r="AH3" s="26" t="n"/>
    </row>
    <row r="4">
      <c r="A4" s="22" t="n"/>
      <c r="B4" s="22" t="n"/>
      <c r="C4" s="26" t="n"/>
      <c r="D4" s="27" t="n"/>
      <c r="E4" s="22" t="n"/>
      <c r="F4" s="26" t="n"/>
      <c r="G4" s="22" t="n"/>
      <c r="H4" s="26">
        <f>IF(G4="","",IFERROR(VLOOKUP(G4,板块观察!A:Z,19,FALSE),""))</f>
        <v/>
      </c>
      <c r="I4" s="26">
        <f>IF(G4="","",IFERROR(VLOOKUP(G4,板块观察!A:Z,20,FALSE),""))</f>
        <v/>
      </c>
      <c r="J4" s="22" t="n"/>
      <c r="K4" s="22" t="n"/>
      <c r="L4" s="22" t="n"/>
      <c r="M4" s="22" t="n"/>
      <c r="N4" s="22" t="n"/>
      <c r="O4" s="22" t="n"/>
      <c r="P4" s="22" t="n"/>
      <c r="Q4" s="28" t="n"/>
      <c r="R4" s="22" t="n"/>
      <c r="S4" s="29" t="n"/>
      <c r="T4" s="29" t="n"/>
      <c r="U4" s="29" t="n"/>
      <c r="V4" s="22" t="n"/>
      <c r="W4" s="22" t="n"/>
      <c r="X4" s="22" t="n"/>
      <c r="Y4" s="22" t="n"/>
      <c r="Z4" s="22" t="n"/>
      <c r="AA4" s="22" t="n"/>
      <c r="AB4" s="22" t="n"/>
      <c r="AC4" s="29" t="n"/>
      <c r="AD4" s="30">
        <f>IF(A4="","",(COUNTA(A4:G4)+COUNTA(J4:AC4))/27)</f>
        <v/>
      </c>
      <c r="AE4" s="26">
        <f>IF(B4="","",WORKDAY(B4,3))</f>
        <v/>
      </c>
      <c r="AF4" s="26">
        <f>IF(B4="","",WORKDAY(B4,5))</f>
        <v/>
      </c>
      <c r="AG4" s="26">
        <f>IF(B4="","",WORKDAY(B4,10))</f>
        <v/>
      </c>
      <c r="AH4" s="26" t="n"/>
    </row>
    <row r="5">
      <c r="A5" s="22" t="n"/>
      <c r="B5" s="22" t="n"/>
      <c r="C5" s="26" t="n"/>
      <c r="D5" s="27" t="n"/>
      <c r="E5" s="22" t="n"/>
      <c r="F5" s="26" t="n"/>
      <c r="G5" s="22" t="n"/>
      <c r="H5" s="26">
        <f>IF(G5="","",IFERROR(VLOOKUP(G5,板块观察!A:Z,19,FALSE),""))</f>
        <v/>
      </c>
      <c r="I5" s="26">
        <f>IF(G5="","",IFERROR(VLOOKUP(G5,板块观察!A:Z,20,FALSE),""))</f>
        <v/>
      </c>
      <c r="J5" s="22" t="n"/>
      <c r="K5" s="22" t="n"/>
      <c r="L5" s="22" t="n"/>
      <c r="M5" s="22" t="n"/>
      <c r="N5" s="22" t="n"/>
      <c r="O5" s="22" t="n"/>
      <c r="P5" s="22" t="n"/>
      <c r="Q5" s="28" t="n"/>
      <c r="R5" s="22" t="n"/>
      <c r="S5" s="29" t="n"/>
      <c r="T5" s="29" t="n"/>
      <c r="U5" s="29" t="n"/>
      <c r="V5" s="22" t="n"/>
      <c r="W5" s="22" t="n"/>
      <c r="X5" s="22" t="n"/>
      <c r="Y5" s="22" t="n"/>
      <c r="Z5" s="22" t="n"/>
      <c r="AA5" s="22" t="n"/>
      <c r="AB5" s="22" t="n"/>
      <c r="AC5" s="29" t="n"/>
      <c r="AD5" s="30">
        <f>IF(A5="","",(COUNTA(A5:G5)+COUNTA(J5:AC5))/27)</f>
        <v/>
      </c>
      <c r="AE5" s="26">
        <f>IF(B5="","",WORKDAY(B5,3))</f>
        <v/>
      </c>
      <c r="AF5" s="26">
        <f>IF(B5="","",WORKDAY(B5,5))</f>
        <v/>
      </c>
      <c r="AG5" s="26">
        <f>IF(B5="","",WORKDAY(B5,10))</f>
        <v/>
      </c>
      <c r="AH5" s="26" t="n"/>
    </row>
    <row r="6">
      <c r="A6" s="22" t="n"/>
      <c r="B6" s="22" t="n"/>
      <c r="C6" s="26" t="n"/>
      <c r="D6" s="27" t="n"/>
      <c r="E6" s="22" t="n"/>
      <c r="F6" s="26" t="n"/>
      <c r="G6" s="22" t="n"/>
      <c r="H6" s="26">
        <f>IF(G6="","",IFERROR(VLOOKUP(G6,板块观察!A:Z,19,FALSE),""))</f>
        <v/>
      </c>
      <c r="I6" s="26">
        <f>IF(G6="","",IFERROR(VLOOKUP(G6,板块观察!A:Z,20,FALSE),""))</f>
        <v/>
      </c>
      <c r="J6" s="22" t="n"/>
      <c r="K6" s="22" t="n"/>
      <c r="L6" s="22" t="n"/>
      <c r="M6" s="22" t="n"/>
      <c r="N6" s="22" t="n"/>
      <c r="O6" s="22" t="n"/>
      <c r="P6" s="22" t="n"/>
      <c r="Q6" s="28" t="n"/>
      <c r="R6" s="22" t="n"/>
      <c r="S6" s="29" t="n"/>
      <c r="T6" s="29" t="n"/>
      <c r="U6" s="29" t="n"/>
      <c r="V6" s="22" t="n"/>
      <c r="W6" s="22" t="n"/>
      <c r="X6" s="22" t="n"/>
      <c r="Y6" s="22" t="n"/>
      <c r="Z6" s="22" t="n"/>
      <c r="AA6" s="22" t="n"/>
      <c r="AB6" s="22" t="n"/>
      <c r="AC6" s="29" t="n"/>
      <c r="AD6" s="30">
        <f>IF(A6="","",(COUNTA(A6:G6)+COUNTA(J6:AC6))/27)</f>
        <v/>
      </c>
      <c r="AE6" s="26">
        <f>IF(B6="","",WORKDAY(B6,3))</f>
        <v/>
      </c>
      <c r="AF6" s="26">
        <f>IF(B6="","",WORKDAY(B6,5))</f>
        <v/>
      </c>
      <c r="AG6" s="26">
        <f>IF(B6="","",WORKDAY(B6,10))</f>
        <v/>
      </c>
      <c r="AH6" s="26" t="n"/>
    </row>
    <row r="7">
      <c r="A7" s="22" t="n"/>
      <c r="B7" s="22" t="n"/>
      <c r="C7" s="26" t="n"/>
      <c r="D7" s="27" t="n"/>
      <c r="E7" s="22" t="n"/>
      <c r="F7" s="26" t="n"/>
      <c r="G7" s="22" t="n"/>
      <c r="H7" s="26">
        <f>IF(G7="","",IFERROR(VLOOKUP(G7,板块观察!A:Z,19,FALSE),""))</f>
        <v/>
      </c>
      <c r="I7" s="26">
        <f>IF(G7="","",IFERROR(VLOOKUP(G7,板块观察!A:Z,20,FALSE),""))</f>
        <v/>
      </c>
      <c r="J7" s="22" t="n"/>
      <c r="K7" s="22" t="n"/>
      <c r="L7" s="22" t="n"/>
      <c r="M7" s="22" t="n"/>
      <c r="N7" s="22" t="n"/>
      <c r="O7" s="22" t="n"/>
      <c r="P7" s="22" t="n"/>
      <c r="Q7" s="28" t="n"/>
      <c r="R7" s="22" t="n"/>
      <c r="S7" s="29" t="n"/>
      <c r="T7" s="29" t="n"/>
      <c r="U7" s="29" t="n"/>
      <c r="V7" s="22" t="n"/>
      <c r="W7" s="22" t="n"/>
      <c r="X7" s="22" t="n"/>
      <c r="Y7" s="22" t="n"/>
      <c r="Z7" s="22" t="n"/>
      <c r="AA7" s="22" t="n"/>
      <c r="AB7" s="22" t="n"/>
      <c r="AC7" s="29" t="n"/>
      <c r="AD7" s="30">
        <f>IF(A7="","",(COUNTA(A7:G7)+COUNTA(J7:AC7))/27)</f>
        <v/>
      </c>
      <c r="AE7" s="26">
        <f>IF(B7="","",WORKDAY(B7,3))</f>
        <v/>
      </c>
      <c r="AF7" s="26">
        <f>IF(B7="","",WORKDAY(B7,5))</f>
        <v/>
      </c>
      <c r="AG7" s="26">
        <f>IF(B7="","",WORKDAY(B7,10))</f>
        <v/>
      </c>
      <c r="AH7" s="26" t="n"/>
    </row>
    <row r="8">
      <c r="A8" s="22" t="n"/>
      <c r="B8" s="22" t="n"/>
      <c r="C8" s="26" t="n"/>
      <c r="D8" s="27" t="n"/>
      <c r="E8" s="22" t="n"/>
      <c r="F8" s="26" t="n"/>
      <c r="G8" s="22" t="n"/>
      <c r="H8" s="26">
        <f>IF(G8="","",IFERROR(VLOOKUP(G8,板块观察!A:Z,19,FALSE),""))</f>
        <v/>
      </c>
      <c r="I8" s="26">
        <f>IF(G8="","",IFERROR(VLOOKUP(G8,板块观察!A:Z,20,FALSE),""))</f>
        <v/>
      </c>
      <c r="J8" s="22" t="n"/>
      <c r="K8" s="22" t="n"/>
      <c r="L8" s="22" t="n"/>
      <c r="M8" s="22" t="n"/>
      <c r="N8" s="22" t="n"/>
      <c r="O8" s="22" t="n"/>
      <c r="P8" s="22" t="n"/>
      <c r="Q8" s="28" t="n"/>
      <c r="R8" s="22" t="n"/>
      <c r="S8" s="29" t="n"/>
      <c r="T8" s="29" t="n"/>
      <c r="U8" s="29" t="n"/>
      <c r="V8" s="22" t="n"/>
      <c r="W8" s="22" t="n"/>
      <c r="X8" s="22" t="n"/>
      <c r="Y8" s="22" t="n"/>
      <c r="Z8" s="22" t="n"/>
      <c r="AA8" s="22" t="n"/>
      <c r="AB8" s="22" t="n"/>
      <c r="AC8" s="29" t="n"/>
      <c r="AD8" s="30">
        <f>IF(A8="","",(COUNTA(A8:G8)+COUNTA(J8:AC8))/27)</f>
        <v/>
      </c>
      <c r="AE8" s="26">
        <f>IF(B8="","",WORKDAY(B8,3))</f>
        <v/>
      </c>
      <c r="AF8" s="26">
        <f>IF(B8="","",WORKDAY(B8,5))</f>
        <v/>
      </c>
      <c r="AG8" s="26">
        <f>IF(B8="","",WORKDAY(B8,10))</f>
        <v/>
      </c>
      <c r="AH8" s="26" t="n"/>
    </row>
    <row r="9">
      <c r="A9" s="22" t="n"/>
      <c r="B9" s="22" t="n"/>
      <c r="C9" s="26" t="n"/>
      <c r="D9" s="27" t="n"/>
      <c r="E9" s="22" t="n"/>
      <c r="F9" s="26" t="n"/>
      <c r="G9" s="22" t="n"/>
      <c r="H9" s="26">
        <f>IF(G9="","",IFERROR(VLOOKUP(G9,板块观察!A:Z,19,FALSE),""))</f>
        <v/>
      </c>
      <c r="I9" s="26">
        <f>IF(G9="","",IFERROR(VLOOKUP(G9,板块观察!A:Z,20,FALSE),""))</f>
        <v/>
      </c>
      <c r="J9" s="22" t="n"/>
      <c r="K9" s="22" t="n"/>
      <c r="L9" s="22" t="n"/>
      <c r="M9" s="22" t="n"/>
      <c r="N9" s="22" t="n"/>
      <c r="O9" s="22" t="n"/>
      <c r="P9" s="22" t="n"/>
      <c r="Q9" s="28" t="n"/>
      <c r="R9" s="22" t="n"/>
      <c r="S9" s="29" t="n"/>
      <c r="T9" s="29" t="n"/>
      <c r="U9" s="29" t="n"/>
      <c r="V9" s="22" t="n"/>
      <c r="W9" s="22" t="n"/>
      <c r="X9" s="22" t="n"/>
      <c r="Y9" s="22" t="n"/>
      <c r="Z9" s="22" t="n"/>
      <c r="AA9" s="22" t="n"/>
      <c r="AB9" s="22" t="n"/>
      <c r="AC9" s="29" t="n"/>
      <c r="AD9" s="30">
        <f>IF(A9="","",(COUNTA(A9:G9)+COUNTA(J9:AC9))/27)</f>
        <v/>
      </c>
      <c r="AE9" s="26">
        <f>IF(B9="","",WORKDAY(B9,3))</f>
        <v/>
      </c>
      <c r="AF9" s="26">
        <f>IF(B9="","",WORKDAY(B9,5))</f>
        <v/>
      </c>
      <c r="AG9" s="26">
        <f>IF(B9="","",WORKDAY(B9,10))</f>
        <v/>
      </c>
      <c r="AH9" s="26" t="n"/>
    </row>
    <row r="10">
      <c r="A10" s="22" t="n"/>
      <c r="B10" s="22" t="n"/>
      <c r="C10" s="26" t="n"/>
      <c r="D10" s="27" t="n"/>
      <c r="E10" s="22" t="n"/>
      <c r="F10" s="26" t="n"/>
      <c r="G10" s="22" t="n"/>
      <c r="H10" s="26">
        <f>IF(G10="","",IFERROR(VLOOKUP(G10,板块观察!A:Z,19,FALSE),""))</f>
        <v/>
      </c>
      <c r="I10" s="26">
        <f>IF(G10="","",IFERROR(VLOOKUP(G10,板块观察!A:Z,20,FALSE),""))</f>
        <v/>
      </c>
      <c r="J10" s="22" t="n"/>
      <c r="K10" s="22" t="n"/>
      <c r="L10" s="22" t="n"/>
      <c r="M10" s="22" t="n"/>
      <c r="N10" s="22" t="n"/>
      <c r="O10" s="22" t="n"/>
      <c r="P10" s="22" t="n"/>
      <c r="Q10" s="28" t="n"/>
      <c r="R10" s="22" t="n"/>
      <c r="S10" s="29" t="n"/>
      <c r="T10" s="29" t="n"/>
      <c r="U10" s="29" t="n"/>
      <c r="V10" s="22" t="n"/>
      <c r="W10" s="22" t="n"/>
      <c r="X10" s="22" t="n"/>
      <c r="Y10" s="22" t="n"/>
      <c r="Z10" s="22" t="n"/>
      <c r="AA10" s="22" t="n"/>
      <c r="AB10" s="22" t="n"/>
      <c r="AC10" s="29" t="n"/>
      <c r="AD10" s="30">
        <f>IF(A10="","",(COUNTA(A10:G10)+COUNTA(J10:AC10))/27)</f>
        <v/>
      </c>
      <c r="AE10" s="26">
        <f>IF(B10="","",WORKDAY(B10,3))</f>
        <v/>
      </c>
      <c r="AF10" s="26">
        <f>IF(B10="","",WORKDAY(B10,5))</f>
        <v/>
      </c>
      <c r="AG10" s="26">
        <f>IF(B10="","",WORKDAY(B10,10))</f>
        <v/>
      </c>
      <c r="AH10" s="26" t="n"/>
    </row>
    <row r="11">
      <c r="A11" s="22" t="n"/>
      <c r="B11" s="22" t="n"/>
      <c r="C11" s="26" t="n"/>
      <c r="D11" s="27" t="n"/>
      <c r="E11" s="22" t="n"/>
      <c r="F11" s="26" t="n"/>
      <c r="G11" s="22" t="n"/>
      <c r="H11" s="26">
        <f>IF(G11="","",IFERROR(VLOOKUP(G11,板块观察!A:Z,19,FALSE),""))</f>
        <v/>
      </c>
      <c r="I11" s="26">
        <f>IF(G11="","",IFERROR(VLOOKUP(G11,板块观察!A:Z,20,FALSE),""))</f>
        <v/>
      </c>
      <c r="J11" s="22" t="n"/>
      <c r="K11" s="22" t="n"/>
      <c r="L11" s="22" t="n"/>
      <c r="M11" s="22" t="n"/>
      <c r="N11" s="22" t="n"/>
      <c r="O11" s="22" t="n"/>
      <c r="P11" s="22" t="n"/>
      <c r="Q11" s="28" t="n"/>
      <c r="R11" s="22" t="n"/>
      <c r="S11" s="29" t="n"/>
      <c r="T11" s="29" t="n"/>
      <c r="U11" s="29" t="n"/>
      <c r="V11" s="22" t="n"/>
      <c r="W11" s="22" t="n"/>
      <c r="X11" s="22" t="n"/>
      <c r="Y11" s="22" t="n"/>
      <c r="Z11" s="22" t="n"/>
      <c r="AA11" s="22" t="n"/>
      <c r="AB11" s="22" t="n"/>
      <c r="AC11" s="29" t="n"/>
      <c r="AD11" s="30">
        <f>IF(A11="","",(COUNTA(A11:G11)+COUNTA(J11:AC11))/27)</f>
        <v/>
      </c>
      <c r="AE11" s="26">
        <f>IF(B11="","",WORKDAY(B11,3))</f>
        <v/>
      </c>
      <c r="AF11" s="26">
        <f>IF(B11="","",WORKDAY(B11,5))</f>
        <v/>
      </c>
      <c r="AG11" s="26">
        <f>IF(B11="","",WORKDAY(B11,10))</f>
        <v/>
      </c>
      <c r="AH11" s="26" t="n"/>
    </row>
    <row r="12">
      <c r="A12" s="22" t="n"/>
      <c r="B12" s="22" t="n"/>
      <c r="C12" s="26" t="n"/>
      <c r="D12" s="27" t="n"/>
      <c r="E12" s="22" t="n"/>
      <c r="F12" s="26" t="n"/>
      <c r="G12" s="22" t="n"/>
      <c r="H12" s="26">
        <f>IF(G12="","",IFERROR(VLOOKUP(G12,板块观察!A:Z,19,FALSE),""))</f>
        <v/>
      </c>
      <c r="I12" s="26">
        <f>IF(G12="","",IFERROR(VLOOKUP(G12,板块观察!A:Z,20,FALSE),""))</f>
        <v/>
      </c>
      <c r="J12" s="22" t="n"/>
      <c r="K12" s="22" t="n"/>
      <c r="L12" s="22" t="n"/>
      <c r="M12" s="22" t="n"/>
      <c r="N12" s="22" t="n"/>
      <c r="O12" s="22" t="n"/>
      <c r="P12" s="22" t="n"/>
      <c r="Q12" s="28" t="n"/>
      <c r="R12" s="22" t="n"/>
      <c r="S12" s="29" t="n"/>
      <c r="T12" s="29" t="n"/>
      <c r="U12" s="29" t="n"/>
      <c r="V12" s="22" t="n"/>
      <c r="W12" s="22" t="n"/>
      <c r="X12" s="22" t="n"/>
      <c r="Y12" s="22" t="n"/>
      <c r="Z12" s="22" t="n"/>
      <c r="AA12" s="22" t="n"/>
      <c r="AB12" s="22" t="n"/>
      <c r="AC12" s="29" t="n"/>
      <c r="AD12" s="30">
        <f>IF(A12="","",(COUNTA(A12:G12)+COUNTA(J12:AC12))/27)</f>
        <v/>
      </c>
      <c r="AE12" s="26">
        <f>IF(B12="","",WORKDAY(B12,3))</f>
        <v/>
      </c>
      <c r="AF12" s="26">
        <f>IF(B12="","",WORKDAY(B12,5))</f>
        <v/>
      </c>
      <c r="AG12" s="26">
        <f>IF(B12="","",WORKDAY(B12,10))</f>
        <v/>
      </c>
      <c r="AH12" s="26" t="n"/>
    </row>
    <row r="13">
      <c r="A13" s="22" t="n"/>
      <c r="B13" s="22" t="n"/>
      <c r="C13" s="26" t="n"/>
      <c r="D13" s="27" t="n"/>
      <c r="E13" s="22" t="n"/>
      <c r="F13" s="26" t="n"/>
      <c r="G13" s="22" t="n"/>
      <c r="H13" s="26">
        <f>IF(G13="","",IFERROR(VLOOKUP(G13,板块观察!A:Z,19,FALSE),""))</f>
        <v/>
      </c>
      <c r="I13" s="26">
        <f>IF(G13="","",IFERROR(VLOOKUP(G13,板块观察!A:Z,20,FALSE),""))</f>
        <v/>
      </c>
      <c r="J13" s="22" t="n"/>
      <c r="K13" s="22" t="n"/>
      <c r="L13" s="22" t="n"/>
      <c r="M13" s="22" t="n"/>
      <c r="N13" s="22" t="n"/>
      <c r="O13" s="22" t="n"/>
      <c r="P13" s="22" t="n"/>
      <c r="Q13" s="28" t="n"/>
      <c r="R13" s="22" t="n"/>
      <c r="S13" s="29" t="n"/>
      <c r="T13" s="29" t="n"/>
      <c r="U13" s="29" t="n"/>
      <c r="V13" s="22" t="n"/>
      <c r="W13" s="22" t="n"/>
      <c r="X13" s="22" t="n"/>
      <c r="Y13" s="22" t="n"/>
      <c r="Z13" s="22" t="n"/>
      <c r="AA13" s="22" t="n"/>
      <c r="AB13" s="22" t="n"/>
      <c r="AC13" s="29" t="n"/>
      <c r="AD13" s="30">
        <f>IF(A13="","",(COUNTA(A13:G13)+COUNTA(J13:AC13))/27)</f>
        <v/>
      </c>
      <c r="AE13" s="26">
        <f>IF(B13="","",WORKDAY(B13,3))</f>
        <v/>
      </c>
      <c r="AF13" s="26">
        <f>IF(B13="","",WORKDAY(B13,5))</f>
        <v/>
      </c>
      <c r="AG13" s="26">
        <f>IF(B13="","",WORKDAY(B13,10))</f>
        <v/>
      </c>
      <c r="AH13" s="26" t="n"/>
    </row>
    <row r="14">
      <c r="A14" s="22" t="n"/>
      <c r="B14" s="22" t="n"/>
      <c r="C14" s="26" t="n"/>
      <c r="D14" s="27" t="n"/>
      <c r="E14" s="22" t="n"/>
      <c r="F14" s="26" t="n"/>
      <c r="G14" s="22" t="n"/>
      <c r="H14" s="26">
        <f>IF(G14="","",IFERROR(VLOOKUP(G14,板块观察!A:Z,19,FALSE),""))</f>
        <v/>
      </c>
      <c r="I14" s="26">
        <f>IF(G14="","",IFERROR(VLOOKUP(G14,板块观察!A:Z,20,FALSE),""))</f>
        <v/>
      </c>
      <c r="J14" s="22" t="n"/>
      <c r="K14" s="22" t="n"/>
      <c r="L14" s="22" t="n"/>
      <c r="M14" s="22" t="n"/>
      <c r="N14" s="22" t="n"/>
      <c r="O14" s="22" t="n"/>
      <c r="P14" s="22" t="n"/>
      <c r="Q14" s="28" t="n"/>
      <c r="R14" s="22" t="n"/>
      <c r="S14" s="29" t="n"/>
      <c r="T14" s="29" t="n"/>
      <c r="U14" s="29" t="n"/>
      <c r="V14" s="22" t="n"/>
      <c r="W14" s="22" t="n"/>
      <c r="X14" s="22" t="n"/>
      <c r="Y14" s="22" t="n"/>
      <c r="Z14" s="22" t="n"/>
      <c r="AA14" s="22" t="n"/>
      <c r="AB14" s="22" t="n"/>
      <c r="AC14" s="29" t="n"/>
      <c r="AD14" s="30">
        <f>IF(A14="","",(COUNTA(A14:G14)+COUNTA(J14:AC14))/27)</f>
        <v/>
      </c>
      <c r="AE14" s="26">
        <f>IF(B14="","",WORKDAY(B14,3))</f>
        <v/>
      </c>
      <c r="AF14" s="26">
        <f>IF(B14="","",WORKDAY(B14,5))</f>
        <v/>
      </c>
      <c r="AG14" s="26">
        <f>IF(B14="","",WORKDAY(B14,10))</f>
        <v/>
      </c>
      <c r="AH14" s="26" t="n"/>
    </row>
    <row r="15">
      <c r="A15" s="22" t="n"/>
      <c r="B15" s="22" t="n"/>
      <c r="C15" s="26" t="n"/>
      <c r="D15" s="27" t="n"/>
      <c r="E15" s="22" t="n"/>
      <c r="F15" s="26" t="n"/>
      <c r="G15" s="22" t="n"/>
      <c r="H15" s="26">
        <f>IF(G15="","",IFERROR(VLOOKUP(G15,板块观察!A:Z,19,FALSE),""))</f>
        <v/>
      </c>
      <c r="I15" s="26">
        <f>IF(G15="","",IFERROR(VLOOKUP(G15,板块观察!A:Z,20,FALSE),""))</f>
        <v/>
      </c>
      <c r="J15" s="22" t="n"/>
      <c r="K15" s="22" t="n"/>
      <c r="L15" s="22" t="n"/>
      <c r="M15" s="22" t="n"/>
      <c r="N15" s="22" t="n"/>
      <c r="O15" s="22" t="n"/>
      <c r="P15" s="22" t="n"/>
      <c r="Q15" s="28" t="n"/>
      <c r="R15" s="22" t="n"/>
      <c r="S15" s="29" t="n"/>
      <c r="T15" s="29" t="n"/>
      <c r="U15" s="29" t="n"/>
      <c r="V15" s="22" t="n"/>
      <c r="W15" s="22" t="n"/>
      <c r="X15" s="22" t="n"/>
      <c r="Y15" s="22" t="n"/>
      <c r="Z15" s="22" t="n"/>
      <c r="AA15" s="22" t="n"/>
      <c r="AB15" s="22" t="n"/>
      <c r="AC15" s="29" t="n"/>
      <c r="AD15" s="30">
        <f>IF(A15="","",(COUNTA(A15:G15)+COUNTA(J15:AC15))/27)</f>
        <v/>
      </c>
      <c r="AE15" s="26">
        <f>IF(B15="","",WORKDAY(B15,3))</f>
        <v/>
      </c>
      <c r="AF15" s="26">
        <f>IF(B15="","",WORKDAY(B15,5))</f>
        <v/>
      </c>
      <c r="AG15" s="26">
        <f>IF(B15="","",WORKDAY(B15,10))</f>
        <v/>
      </c>
      <c r="AH15" s="26" t="n"/>
    </row>
    <row r="16">
      <c r="A16" s="22" t="n"/>
      <c r="B16" s="22" t="n"/>
      <c r="C16" s="26" t="n"/>
      <c r="D16" s="27" t="n"/>
      <c r="E16" s="22" t="n"/>
      <c r="F16" s="26" t="n"/>
      <c r="G16" s="22" t="n"/>
      <c r="H16" s="26">
        <f>IF(G16="","",IFERROR(VLOOKUP(G16,板块观察!A:Z,19,FALSE),""))</f>
        <v/>
      </c>
      <c r="I16" s="26">
        <f>IF(G16="","",IFERROR(VLOOKUP(G16,板块观察!A:Z,20,FALSE),""))</f>
        <v/>
      </c>
      <c r="J16" s="22" t="n"/>
      <c r="K16" s="22" t="n"/>
      <c r="L16" s="22" t="n"/>
      <c r="M16" s="22" t="n"/>
      <c r="N16" s="22" t="n"/>
      <c r="O16" s="22" t="n"/>
      <c r="P16" s="22" t="n"/>
      <c r="Q16" s="28" t="n"/>
      <c r="R16" s="22" t="n"/>
      <c r="S16" s="29" t="n"/>
      <c r="T16" s="29" t="n"/>
      <c r="U16" s="29" t="n"/>
      <c r="V16" s="22" t="n"/>
      <c r="W16" s="22" t="n"/>
      <c r="X16" s="22" t="n"/>
      <c r="Y16" s="22" t="n"/>
      <c r="Z16" s="22" t="n"/>
      <c r="AA16" s="22" t="n"/>
      <c r="AB16" s="22" t="n"/>
      <c r="AC16" s="29" t="n"/>
      <c r="AD16" s="30">
        <f>IF(A16="","",(COUNTA(A16:G16)+COUNTA(J16:AC16))/27)</f>
        <v/>
      </c>
      <c r="AE16" s="26">
        <f>IF(B16="","",WORKDAY(B16,3))</f>
        <v/>
      </c>
      <c r="AF16" s="26">
        <f>IF(B16="","",WORKDAY(B16,5))</f>
        <v/>
      </c>
      <c r="AG16" s="26">
        <f>IF(B16="","",WORKDAY(B16,10))</f>
        <v/>
      </c>
      <c r="AH16" s="26" t="n"/>
    </row>
    <row r="17">
      <c r="A17" s="22" t="n"/>
      <c r="B17" s="22" t="n"/>
      <c r="C17" s="26" t="n"/>
      <c r="D17" s="27" t="n"/>
      <c r="E17" s="22" t="n"/>
      <c r="F17" s="26" t="n"/>
      <c r="G17" s="22" t="n"/>
      <c r="H17" s="26">
        <f>IF(G17="","",IFERROR(VLOOKUP(G17,板块观察!A:Z,19,FALSE),""))</f>
        <v/>
      </c>
      <c r="I17" s="26">
        <f>IF(G17="","",IFERROR(VLOOKUP(G17,板块观察!A:Z,20,FALSE),""))</f>
        <v/>
      </c>
      <c r="J17" s="22" t="n"/>
      <c r="K17" s="22" t="n"/>
      <c r="L17" s="22" t="n"/>
      <c r="M17" s="22" t="n"/>
      <c r="N17" s="22" t="n"/>
      <c r="O17" s="22" t="n"/>
      <c r="P17" s="22" t="n"/>
      <c r="Q17" s="28" t="n"/>
      <c r="R17" s="22" t="n"/>
      <c r="S17" s="29" t="n"/>
      <c r="T17" s="29" t="n"/>
      <c r="U17" s="29" t="n"/>
      <c r="V17" s="22" t="n"/>
      <c r="W17" s="22" t="n"/>
      <c r="X17" s="22" t="n"/>
      <c r="Y17" s="22" t="n"/>
      <c r="Z17" s="22" t="n"/>
      <c r="AA17" s="22" t="n"/>
      <c r="AB17" s="22" t="n"/>
      <c r="AC17" s="29" t="n"/>
      <c r="AD17" s="30">
        <f>IF(A17="","",(COUNTA(A17:G17)+COUNTA(J17:AC17))/27)</f>
        <v/>
      </c>
      <c r="AE17" s="26">
        <f>IF(B17="","",WORKDAY(B17,3))</f>
        <v/>
      </c>
      <c r="AF17" s="26">
        <f>IF(B17="","",WORKDAY(B17,5))</f>
        <v/>
      </c>
      <c r="AG17" s="26">
        <f>IF(B17="","",WORKDAY(B17,10))</f>
        <v/>
      </c>
      <c r="AH17" s="26" t="n"/>
    </row>
    <row r="18">
      <c r="A18" s="22" t="n"/>
      <c r="B18" s="22" t="n"/>
      <c r="C18" s="26" t="n"/>
      <c r="D18" s="27" t="n"/>
      <c r="E18" s="22" t="n"/>
      <c r="F18" s="26" t="n"/>
      <c r="G18" s="22" t="n"/>
      <c r="H18" s="26">
        <f>IF(G18="","",IFERROR(VLOOKUP(G18,板块观察!A:Z,19,FALSE),""))</f>
        <v/>
      </c>
      <c r="I18" s="26">
        <f>IF(G18="","",IFERROR(VLOOKUP(G18,板块观察!A:Z,20,FALSE),""))</f>
        <v/>
      </c>
      <c r="J18" s="22" t="n"/>
      <c r="K18" s="22" t="n"/>
      <c r="L18" s="22" t="n"/>
      <c r="M18" s="22" t="n"/>
      <c r="N18" s="22" t="n"/>
      <c r="O18" s="22" t="n"/>
      <c r="P18" s="22" t="n"/>
      <c r="Q18" s="28" t="n"/>
      <c r="R18" s="22" t="n"/>
      <c r="S18" s="29" t="n"/>
      <c r="T18" s="29" t="n"/>
      <c r="U18" s="29" t="n"/>
      <c r="V18" s="22" t="n"/>
      <c r="W18" s="22" t="n"/>
      <c r="X18" s="22" t="n"/>
      <c r="Y18" s="22" t="n"/>
      <c r="Z18" s="22" t="n"/>
      <c r="AA18" s="22" t="n"/>
      <c r="AB18" s="22" t="n"/>
      <c r="AC18" s="29" t="n"/>
      <c r="AD18" s="30">
        <f>IF(A18="","",(COUNTA(A18:G18)+COUNTA(J18:AC18))/27)</f>
        <v/>
      </c>
      <c r="AE18" s="26">
        <f>IF(B18="","",WORKDAY(B18,3))</f>
        <v/>
      </c>
      <c r="AF18" s="26">
        <f>IF(B18="","",WORKDAY(B18,5))</f>
        <v/>
      </c>
      <c r="AG18" s="26">
        <f>IF(B18="","",WORKDAY(B18,10))</f>
        <v/>
      </c>
      <c r="AH18" s="26" t="n"/>
    </row>
    <row r="19">
      <c r="A19" s="22" t="n"/>
      <c r="B19" s="22" t="n"/>
      <c r="C19" s="26" t="n"/>
      <c r="D19" s="27" t="n"/>
      <c r="E19" s="22" t="n"/>
      <c r="F19" s="26" t="n"/>
      <c r="G19" s="22" t="n"/>
      <c r="H19" s="26">
        <f>IF(G19="","",IFERROR(VLOOKUP(G19,板块观察!A:Z,19,FALSE),""))</f>
        <v/>
      </c>
      <c r="I19" s="26">
        <f>IF(G19="","",IFERROR(VLOOKUP(G19,板块观察!A:Z,20,FALSE),""))</f>
        <v/>
      </c>
      <c r="J19" s="22" t="n"/>
      <c r="K19" s="22" t="n"/>
      <c r="L19" s="22" t="n"/>
      <c r="M19" s="22" t="n"/>
      <c r="N19" s="22" t="n"/>
      <c r="O19" s="22" t="n"/>
      <c r="P19" s="22" t="n"/>
      <c r="Q19" s="28" t="n"/>
      <c r="R19" s="22" t="n"/>
      <c r="S19" s="29" t="n"/>
      <c r="T19" s="29" t="n"/>
      <c r="U19" s="29" t="n"/>
      <c r="V19" s="22" t="n"/>
      <c r="W19" s="22" t="n"/>
      <c r="X19" s="22" t="n"/>
      <c r="Y19" s="22" t="n"/>
      <c r="Z19" s="22" t="n"/>
      <c r="AA19" s="22" t="n"/>
      <c r="AB19" s="22" t="n"/>
      <c r="AC19" s="29" t="n"/>
      <c r="AD19" s="30">
        <f>IF(A19="","",(COUNTA(A19:G19)+COUNTA(J19:AC19))/27)</f>
        <v/>
      </c>
      <c r="AE19" s="26">
        <f>IF(B19="","",WORKDAY(B19,3))</f>
        <v/>
      </c>
      <c r="AF19" s="26">
        <f>IF(B19="","",WORKDAY(B19,5))</f>
        <v/>
      </c>
      <c r="AG19" s="26">
        <f>IF(B19="","",WORKDAY(B19,10))</f>
        <v/>
      </c>
      <c r="AH19" s="26" t="n"/>
    </row>
    <row r="20">
      <c r="A20" s="22" t="n"/>
      <c r="B20" s="22" t="n"/>
      <c r="C20" s="26" t="n"/>
      <c r="D20" s="27" t="n"/>
      <c r="E20" s="22" t="n"/>
      <c r="F20" s="26" t="n"/>
      <c r="G20" s="22" t="n"/>
      <c r="H20" s="26">
        <f>IF(G20="","",IFERROR(VLOOKUP(G20,板块观察!A:Z,19,FALSE),""))</f>
        <v/>
      </c>
      <c r="I20" s="26">
        <f>IF(G20="","",IFERROR(VLOOKUP(G20,板块观察!A:Z,20,FALSE),""))</f>
        <v/>
      </c>
      <c r="J20" s="22" t="n"/>
      <c r="K20" s="22" t="n"/>
      <c r="L20" s="22" t="n"/>
      <c r="M20" s="22" t="n"/>
      <c r="N20" s="22" t="n"/>
      <c r="O20" s="22" t="n"/>
      <c r="P20" s="22" t="n"/>
      <c r="Q20" s="28" t="n"/>
      <c r="R20" s="22" t="n"/>
      <c r="S20" s="29" t="n"/>
      <c r="T20" s="29" t="n"/>
      <c r="U20" s="29" t="n"/>
      <c r="V20" s="22" t="n"/>
      <c r="W20" s="22" t="n"/>
      <c r="X20" s="22" t="n"/>
      <c r="Y20" s="22" t="n"/>
      <c r="Z20" s="22" t="n"/>
      <c r="AA20" s="22" t="n"/>
      <c r="AB20" s="22" t="n"/>
      <c r="AC20" s="29" t="n"/>
      <c r="AD20" s="30">
        <f>IF(A20="","",(COUNTA(A20:G20)+COUNTA(J20:AC20))/27)</f>
        <v/>
      </c>
      <c r="AE20" s="26">
        <f>IF(B20="","",WORKDAY(B20,3))</f>
        <v/>
      </c>
      <c r="AF20" s="26">
        <f>IF(B20="","",WORKDAY(B20,5))</f>
        <v/>
      </c>
      <c r="AG20" s="26">
        <f>IF(B20="","",WORKDAY(B20,10))</f>
        <v/>
      </c>
      <c r="AH20" s="26" t="n"/>
    </row>
    <row r="21">
      <c r="A21" s="22" t="n"/>
      <c r="B21" s="22" t="n"/>
      <c r="C21" s="26" t="n"/>
      <c r="D21" s="27" t="n"/>
      <c r="E21" s="22" t="n"/>
      <c r="F21" s="26" t="n"/>
      <c r="G21" s="22" t="n"/>
      <c r="H21" s="26">
        <f>IF(G21="","",IFERROR(VLOOKUP(G21,板块观察!A:Z,19,FALSE),""))</f>
        <v/>
      </c>
      <c r="I21" s="26">
        <f>IF(G21="","",IFERROR(VLOOKUP(G21,板块观察!A:Z,20,FALSE),""))</f>
        <v/>
      </c>
      <c r="J21" s="22" t="n"/>
      <c r="K21" s="22" t="n"/>
      <c r="L21" s="22" t="n"/>
      <c r="M21" s="22" t="n"/>
      <c r="N21" s="22" t="n"/>
      <c r="O21" s="22" t="n"/>
      <c r="P21" s="22" t="n"/>
      <c r="Q21" s="28" t="n"/>
      <c r="R21" s="22" t="n"/>
      <c r="S21" s="29" t="n"/>
      <c r="T21" s="29" t="n"/>
      <c r="U21" s="29" t="n"/>
      <c r="V21" s="22" t="n"/>
      <c r="W21" s="22" t="n"/>
      <c r="X21" s="22" t="n"/>
      <c r="Y21" s="22" t="n"/>
      <c r="Z21" s="22" t="n"/>
      <c r="AA21" s="22" t="n"/>
      <c r="AB21" s="22" t="n"/>
      <c r="AC21" s="29" t="n"/>
      <c r="AD21" s="30">
        <f>IF(A21="","",(COUNTA(A21:G21)+COUNTA(J21:AC21))/27)</f>
        <v/>
      </c>
      <c r="AE21" s="26">
        <f>IF(B21="","",WORKDAY(B21,3))</f>
        <v/>
      </c>
      <c r="AF21" s="26">
        <f>IF(B21="","",WORKDAY(B21,5))</f>
        <v/>
      </c>
      <c r="AG21" s="26">
        <f>IF(B21="","",WORKDAY(B21,10))</f>
        <v/>
      </c>
      <c r="AH21" s="26" t="n"/>
    </row>
    <row r="22">
      <c r="A22" s="22" t="n"/>
      <c r="B22" s="22" t="n"/>
      <c r="C22" s="26" t="n"/>
      <c r="D22" s="27" t="n"/>
      <c r="E22" s="22" t="n"/>
      <c r="F22" s="26" t="n"/>
      <c r="G22" s="22" t="n"/>
      <c r="H22" s="26">
        <f>IF(G22="","",IFERROR(VLOOKUP(G22,板块观察!A:Z,19,FALSE),""))</f>
        <v/>
      </c>
      <c r="I22" s="26">
        <f>IF(G22="","",IFERROR(VLOOKUP(G22,板块观察!A:Z,20,FALSE),""))</f>
        <v/>
      </c>
      <c r="J22" s="22" t="n"/>
      <c r="K22" s="22" t="n"/>
      <c r="L22" s="22" t="n"/>
      <c r="M22" s="22" t="n"/>
      <c r="N22" s="22" t="n"/>
      <c r="O22" s="22" t="n"/>
      <c r="P22" s="22" t="n"/>
      <c r="Q22" s="28" t="n"/>
      <c r="R22" s="22" t="n"/>
      <c r="S22" s="29" t="n"/>
      <c r="T22" s="29" t="n"/>
      <c r="U22" s="29" t="n"/>
      <c r="V22" s="22" t="n"/>
      <c r="W22" s="22" t="n"/>
      <c r="X22" s="22" t="n"/>
      <c r="Y22" s="22" t="n"/>
      <c r="Z22" s="22" t="n"/>
      <c r="AA22" s="22" t="n"/>
      <c r="AB22" s="22" t="n"/>
      <c r="AC22" s="29" t="n"/>
      <c r="AD22" s="30">
        <f>IF(A22="","",(COUNTA(A22:G22)+COUNTA(J22:AC22))/27)</f>
        <v/>
      </c>
      <c r="AE22" s="26">
        <f>IF(B22="","",WORKDAY(B22,3))</f>
        <v/>
      </c>
      <c r="AF22" s="26">
        <f>IF(B22="","",WORKDAY(B22,5))</f>
        <v/>
      </c>
      <c r="AG22" s="26">
        <f>IF(B22="","",WORKDAY(B22,10))</f>
        <v/>
      </c>
      <c r="AH22" s="26" t="n"/>
    </row>
    <row r="23">
      <c r="A23" s="22" t="n"/>
      <c r="B23" s="22" t="n"/>
      <c r="C23" s="26" t="n"/>
      <c r="D23" s="27" t="n"/>
      <c r="E23" s="22" t="n"/>
      <c r="F23" s="26" t="n"/>
      <c r="G23" s="22" t="n"/>
      <c r="H23" s="26">
        <f>IF(G23="","",IFERROR(VLOOKUP(G23,板块观察!A:Z,19,FALSE),""))</f>
        <v/>
      </c>
      <c r="I23" s="26">
        <f>IF(G23="","",IFERROR(VLOOKUP(G23,板块观察!A:Z,20,FALSE),""))</f>
        <v/>
      </c>
      <c r="J23" s="22" t="n"/>
      <c r="K23" s="22" t="n"/>
      <c r="L23" s="22" t="n"/>
      <c r="M23" s="22" t="n"/>
      <c r="N23" s="22" t="n"/>
      <c r="O23" s="22" t="n"/>
      <c r="P23" s="22" t="n"/>
      <c r="Q23" s="28" t="n"/>
      <c r="R23" s="22" t="n"/>
      <c r="S23" s="29" t="n"/>
      <c r="T23" s="29" t="n"/>
      <c r="U23" s="29" t="n"/>
      <c r="V23" s="22" t="n"/>
      <c r="W23" s="22" t="n"/>
      <c r="X23" s="22" t="n"/>
      <c r="Y23" s="22" t="n"/>
      <c r="Z23" s="22" t="n"/>
      <c r="AA23" s="22" t="n"/>
      <c r="AB23" s="22" t="n"/>
      <c r="AC23" s="29" t="n"/>
      <c r="AD23" s="30">
        <f>IF(A23="","",(COUNTA(A23:G23)+COUNTA(J23:AC23))/27)</f>
        <v/>
      </c>
      <c r="AE23" s="26">
        <f>IF(B23="","",WORKDAY(B23,3))</f>
        <v/>
      </c>
      <c r="AF23" s="26">
        <f>IF(B23="","",WORKDAY(B23,5))</f>
        <v/>
      </c>
      <c r="AG23" s="26">
        <f>IF(B23="","",WORKDAY(B23,10))</f>
        <v/>
      </c>
      <c r="AH23" s="26" t="n"/>
    </row>
    <row r="24">
      <c r="A24" s="22" t="n"/>
      <c r="B24" s="22" t="n"/>
      <c r="C24" s="26" t="n"/>
      <c r="D24" s="27" t="n"/>
      <c r="E24" s="22" t="n"/>
      <c r="F24" s="26" t="n"/>
      <c r="G24" s="22" t="n"/>
      <c r="H24" s="26">
        <f>IF(G24="","",IFERROR(VLOOKUP(G24,板块观察!A:Z,19,FALSE),""))</f>
        <v/>
      </c>
      <c r="I24" s="26">
        <f>IF(G24="","",IFERROR(VLOOKUP(G24,板块观察!A:Z,20,FALSE),""))</f>
        <v/>
      </c>
      <c r="J24" s="22" t="n"/>
      <c r="K24" s="22" t="n"/>
      <c r="L24" s="22" t="n"/>
      <c r="M24" s="22" t="n"/>
      <c r="N24" s="22" t="n"/>
      <c r="O24" s="22" t="n"/>
      <c r="P24" s="22" t="n"/>
      <c r="Q24" s="28" t="n"/>
      <c r="R24" s="22" t="n"/>
      <c r="S24" s="29" t="n"/>
      <c r="T24" s="29" t="n"/>
      <c r="U24" s="29" t="n"/>
      <c r="V24" s="22" t="n"/>
      <c r="W24" s="22" t="n"/>
      <c r="X24" s="22" t="n"/>
      <c r="Y24" s="22" t="n"/>
      <c r="Z24" s="22" t="n"/>
      <c r="AA24" s="22" t="n"/>
      <c r="AB24" s="22" t="n"/>
      <c r="AC24" s="29" t="n"/>
      <c r="AD24" s="30">
        <f>IF(A24="","",(COUNTA(A24:G24)+COUNTA(J24:AC24))/27)</f>
        <v/>
      </c>
      <c r="AE24" s="26">
        <f>IF(B24="","",WORKDAY(B24,3))</f>
        <v/>
      </c>
      <c r="AF24" s="26">
        <f>IF(B24="","",WORKDAY(B24,5))</f>
        <v/>
      </c>
      <c r="AG24" s="26">
        <f>IF(B24="","",WORKDAY(B24,10))</f>
        <v/>
      </c>
      <c r="AH24" s="26" t="n"/>
    </row>
    <row r="25">
      <c r="A25" s="22" t="n"/>
      <c r="B25" s="22" t="n"/>
      <c r="C25" s="26" t="n"/>
      <c r="D25" s="27" t="n"/>
      <c r="E25" s="22" t="n"/>
      <c r="F25" s="26" t="n"/>
      <c r="G25" s="22" t="n"/>
      <c r="H25" s="26">
        <f>IF(G25="","",IFERROR(VLOOKUP(G25,板块观察!A:Z,19,FALSE),""))</f>
        <v/>
      </c>
      <c r="I25" s="26">
        <f>IF(G25="","",IFERROR(VLOOKUP(G25,板块观察!A:Z,20,FALSE),""))</f>
        <v/>
      </c>
      <c r="J25" s="22" t="n"/>
      <c r="K25" s="22" t="n"/>
      <c r="L25" s="22" t="n"/>
      <c r="M25" s="22" t="n"/>
      <c r="N25" s="22" t="n"/>
      <c r="O25" s="22" t="n"/>
      <c r="P25" s="22" t="n"/>
      <c r="Q25" s="28" t="n"/>
      <c r="R25" s="22" t="n"/>
      <c r="S25" s="29" t="n"/>
      <c r="T25" s="29" t="n"/>
      <c r="U25" s="29" t="n"/>
      <c r="V25" s="22" t="n"/>
      <c r="W25" s="22" t="n"/>
      <c r="X25" s="22" t="n"/>
      <c r="Y25" s="22" t="n"/>
      <c r="Z25" s="22" t="n"/>
      <c r="AA25" s="22" t="n"/>
      <c r="AB25" s="22" t="n"/>
      <c r="AC25" s="29" t="n"/>
      <c r="AD25" s="30">
        <f>IF(A25="","",(COUNTA(A25:G25)+COUNTA(J25:AC25))/27)</f>
        <v/>
      </c>
      <c r="AE25" s="26">
        <f>IF(B25="","",WORKDAY(B25,3))</f>
        <v/>
      </c>
      <c r="AF25" s="26">
        <f>IF(B25="","",WORKDAY(B25,5))</f>
        <v/>
      </c>
      <c r="AG25" s="26">
        <f>IF(B25="","",WORKDAY(B25,10))</f>
        <v/>
      </c>
      <c r="AH25" s="26" t="n"/>
    </row>
    <row r="26">
      <c r="A26" s="22" t="n"/>
      <c r="B26" s="22" t="n"/>
      <c r="C26" s="26" t="n"/>
      <c r="D26" s="27" t="n"/>
      <c r="E26" s="22" t="n"/>
      <c r="F26" s="26" t="n"/>
      <c r="G26" s="22" t="n"/>
      <c r="H26" s="26">
        <f>IF(G26="","",IFERROR(VLOOKUP(G26,板块观察!A:Z,19,FALSE),""))</f>
        <v/>
      </c>
      <c r="I26" s="26">
        <f>IF(G26="","",IFERROR(VLOOKUP(G26,板块观察!A:Z,20,FALSE),""))</f>
        <v/>
      </c>
      <c r="J26" s="22" t="n"/>
      <c r="K26" s="22" t="n"/>
      <c r="L26" s="22" t="n"/>
      <c r="M26" s="22" t="n"/>
      <c r="N26" s="22" t="n"/>
      <c r="O26" s="22" t="n"/>
      <c r="P26" s="22" t="n"/>
      <c r="Q26" s="28" t="n"/>
      <c r="R26" s="22" t="n"/>
      <c r="S26" s="29" t="n"/>
      <c r="T26" s="29" t="n"/>
      <c r="U26" s="29" t="n"/>
      <c r="V26" s="22" t="n"/>
      <c r="W26" s="22" t="n"/>
      <c r="X26" s="22" t="n"/>
      <c r="Y26" s="22" t="n"/>
      <c r="Z26" s="22" t="n"/>
      <c r="AA26" s="22" t="n"/>
      <c r="AB26" s="22" t="n"/>
      <c r="AC26" s="29" t="n"/>
      <c r="AD26" s="30">
        <f>IF(A26="","",(COUNTA(A26:G26)+COUNTA(J26:AC26))/27)</f>
        <v/>
      </c>
      <c r="AE26" s="26">
        <f>IF(B26="","",WORKDAY(B26,3))</f>
        <v/>
      </c>
      <c r="AF26" s="26">
        <f>IF(B26="","",WORKDAY(B26,5))</f>
        <v/>
      </c>
      <c r="AG26" s="26">
        <f>IF(B26="","",WORKDAY(B26,10))</f>
        <v/>
      </c>
      <c r="AH26" s="26" t="n"/>
    </row>
    <row r="27">
      <c r="A27" s="22" t="n"/>
      <c r="B27" s="22" t="n"/>
      <c r="C27" s="26" t="n"/>
      <c r="D27" s="27" t="n"/>
      <c r="E27" s="22" t="n"/>
      <c r="F27" s="26" t="n"/>
      <c r="G27" s="22" t="n"/>
      <c r="H27" s="26">
        <f>IF(G27="","",IFERROR(VLOOKUP(G27,板块观察!A:Z,19,FALSE),""))</f>
        <v/>
      </c>
      <c r="I27" s="26">
        <f>IF(G27="","",IFERROR(VLOOKUP(G27,板块观察!A:Z,20,FALSE),""))</f>
        <v/>
      </c>
      <c r="J27" s="22" t="n"/>
      <c r="K27" s="22" t="n"/>
      <c r="L27" s="22" t="n"/>
      <c r="M27" s="22" t="n"/>
      <c r="N27" s="22" t="n"/>
      <c r="O27" s="22" t="n"/>
      <c r="P27" s="22" t="n"/>
      <c r="Q27" s="28" t="n"/>
      <c r="R27" s="22" t="n"/>
      <c r="S27" s="29" t="n"/>
      <c r="T27" s="29" t="n"/>
      <c r="U27" s="29" t="n"/>
      <c r="V27" s="22" t="n"/>
      <c r="W27" s="22" t="n"/>
      <c r="X27" s="22" t="n"/>
      <c r="Y27" s="22" t="n"/>
      <c r="Z27" s="22" t="n"/>
      <c r="AA27" s="22" t="n"/>
      <c r="AB27" s="22" t="n"/>
      <c r="AC27" s="29" t="n"/>
      <c r="AD27" s="30">
        <f>IF(A27="","",(COUNTA(A27:G27)+COUNTA(J27:AC27))/27)</f>
        <v/>
      </c>
      <c r="AE27" s="26">
        <f>IF(B27="","",WORKDAY(B27,3))</f>
        <v/>
      </c>
      <c r="AF27" s="26">
        <f>IF(B27="","",WORKDAY(B27,5))</f>
        <v/>
      </c>
      <c r="AG27" s="26">
        <f>IF(B27="","",WORKDAY(B27,10))</f>
        <v/>
      </c>
      <c r="AH27" s="26" t="n"/>
    </row>
    <row r="28">
      <c r="A28" s="22" t="n"/>
      <c r="B28" s="22" t="n"/>
      <c r="C28" s="26" t="n"/>
      <c r="D28" s="27" t="n"/>
      <c r="E28" s="22" t="n"/>
      <c r="F28" s="26" t="n"/>
      <c r="G28" s="22" t="n"/>
      <c r="H28" s="26">
        <f>IF(G28="","",IFERROR(VLOOKUP(G28,板块观察!A:Z,19,FALSE),""))</f>
        <v/>
      </c>
      <c r="I28" s="26">
        <f>IF(G28="","",IFERROR(VLOOKUP(G28,板块观察!A:Z,20,FALSE),""))</f>
        <v/>
      </c>
      <c r="J28" s="22" t="n"/>
      <c r="K28" s="22" t="n"/>
      <c r="L28" s="22" t="n"/>
      <c r="M28" s="22" t="n"/>
      <c r="N28" s="22" t="n"/>
      <c r="O28" s="22" t="n"/>
      <c r="P28" s="22" t="n"/>
      <c r="Q28" s="28" t="n"/>
      <c r="R28" s="22" t="n"/>
      <c r="S28" s="29" t="n"/>
      <c r="T28" s="29" t="n"/>
      <c r="U28" s="29" t="n"/>
      <c r="V28" s="22" t="n"/>
      <c r="W28" s="22" t="n"/>
      <c r="X28" s="22" t="n"/>
      <c r="Y28" s="22" t="n"/>
      <c r="Z28" s="22" t="n"/>
      <c r="AA28" s="22" t="n"/>
      <c r="AB28" s="22" t="n"/>
      <c r="AC28" s="29" t="n"/>
      <c r="AD28" s="30">
        <f>IF(A28="","",(COUNTA(A28:G28)+COUNTA(J28:AC28))/27)</f>
        <v/>
      </c>
      <c r="AE28" s="26">
        <f>IF(B28="","",WORKDAY(B28,3))</f>
        <v/>
      </c>
      <c r="AF28" s="26">
        <f>IF(B28="","",WORKDAY(B28,5))</f>
        <v/>
      </c>
      <c r="AG28" s="26">
        <f>IF(B28="","",WORKDAY(B28,10))</f>
        <v/>
      </c>
      <c r="AH28" s="26" t="n"/>
    </row>
    <row r="29">
      <c r="A29" s="22" t="n"/>
      <c r="B29" s="22" t="n"/>
      <c r="C29" s="26" t="n"/>
      <c r="D29" s="27" t="n"/>
      <c r="E29" s="22" t="n"/>
      <c r="F29" s="26" t="n"/>
      <c r="G29" s="22" t="n"/>
      <c r="H29" s="26">
        <f>IF(G29="","",IFERROR(VLOOKUP(G29,板块观察!A:Z,19,FALSE),""))</f>
        <v/>
      </c>
      <c r="I29" s="26">
        <f>IF(G29="","",IFERROR(VLOOKUP(G29,板块观察!A:Z,20,FALSE),""))</f>
        <v/>
      </c>
      <c r="J29" s="22" t="n"/>
      <c r="K29" s="22" t="n"/>
      <c r="L29" s="22" t="n"/>
      <c r="M29" s="22" t="n"/>
      <c r="N29" s="22" t="n"/>
      <c r="O29" s="22" t="n"/>
      <c r="P29" s="22" t="n"/>
      <c r="Q29" s="28" t="n"/>
      <c r="R29" s="22" t="n"/>
      <c r="S29" s="29" t="n"/>
      <c r="T29" s="29" t="n"/>
      <c r="U29" s="29" t="n"/>
      <c r="V29" s="22" t="n"/>
      <c r="W29" s="22" t="n"/>
      <c r="X29" s="22" t="n"/>
      <c r="Y29" s="22" t="n"/>
      <c r="Z29" s="22" t="n"/>
      <c r="AA29" s="22" t="n"/>
      <c r="AB29" s="22" t="n"/>
      <c r="AC29" s="29" t="n"/>
      <c r="AD29" s="30">
        <f>IF(A29="","",(COUNTA(A29:G29)+COUNTA(J29:AC29))/27)</f>
        <v/>
      </c>
      <c r="AE29" s="26">
        <f>IF(B29="","",WORKDAY(B29,3))</f>
        <v/>
      </c>
      <c r="AF29" s="26">
        <f>IF(B29="","",WORKDAY(B29,5))</f>
        <v/>
      </c>
      <c r="AG29" s="26">
        <f>IF(B29="","",WORKDAY(B29,10))</f>
        <v/>
      </c>
      <c r="AH29" s="26" t="n"/>
    </row>
    <row r="30">
      <c r="A30" s="22" t="n"/>
      <c r="B30" s="22" t="n"/>
      <c r="C30" s="26" t="n"/>
      <c r="D30" s="27" t="n"/>
      <c r="E30" s="22" t="n"/>
      <c r="F30" s="26" t="n"/>
      <c r="G30" s="22" t="n"/>
      <c r="H30" s="26">
        <f>IF(G30="","",IFERROR(VLOOKUP(G30,板块观察!A:Z,19,FALSE),""))</f>
        <v/>
      </c>
      <c r="I30" s="26">
        <f>IF(G30="","",IFERROR(VLOOKUP(G30,板块观察!A:Z,20,FALSE),""))</f>
        <v/>
      </c>
      <c r="J30" s="22" t="n"/>
      <c r="K30" s="22" t="n"/>
      <c r="L30" s="22" t="n"/>
      <c r="M30" s="22" t="n"/>
      <c r="N30" s="22" t="n"/>
      <c r="O30" s="22" t="n"/>
      <c r="P30" s="22" t="n"/>
      <c r="Q30" s="28" t="n"/>
      <c r="R30" s="22" t="n"/>
      <c r="S30" s="29" t="n"/>
      <c r="T30" s="29" t="n"/>
      <c r="U30" s="29" t="n"/>
      <c r="V30" s="22" t="n"/>
      <c r="W30" s="22" t="n"/>
      <c r="X30" s="22" t="n"/>
      <c r="Y30" s="22" t="n"/>
      <c r="Z30" s="22" t="n"/>
      <c r="AA30" s="22" t="n"/>
      <c r="AB30" s="22" t="n"/>
      <c r="AC30" s="29" t="n"/>
      <c r="AD30" s="30">
        <f>IF(A30="","",(COUNTA(A30:G30)+COUNTA(J30:AC30))/27)</f>
        <v/>
      </c>
      <c r="AE30" s="26">
        <f>IF(B30="","",WORKDAY(B30,3))</f>
        <v/>
      </c>
      <c r="AF30" s="26">
        <f>IF(B30="","",WORKDAY(B30,5))</f>
        <v/>
      </c>
      <c r="AG30" s="26">
        <f>IF(B30="","",WORKDAY(B30,10))</f>
        <v/>
      </c>
      <c r="AH30" s="26" t="n"/>
    </row>
    <row r="31">
      <c r="A31" s="22" t="n"/>
      <c r="B31" s="22" t="n"/>
      <c r="C31" s="26" t="n"/>
      <c r="D31" s="27" t="n"/>
      <c r="E31" s="22" t="n"/>
      <c r="F31" s="26" t="n"/>
      <c r="G31" s="22" t="n"/>
      <c r="H31" s="26">
        <f>IF(G31="","",IFERROR(VLOOKUP(G31,板块观察!A:Z,19,FALSE),""))</f>
        <v/>
      </c>
      <c r="I31" s="26">
        <f>IF(G31="","",IFERROR(VLOOKUP(G31,板块观察!A:Z,20,FALSE),""))</f>
        <v/>
      </c>
      <c r="J31" s="22" t="n"/>
      <c r="K31" s="22" t="n"/>
      <c r="L31" s="22" t="n"/>
      <c r="M31" s="22" t="n"/>
      <c r="N31" s="22" t="n"/>
      <c r="O31" s="22" t="n"/>
      <c r="P31" s="22" t="n"/>
      <c r="Q31" s="28" t="n"/>
      <c r="R31" s="22" t="n"/>
      <c r="S31" s="29" t="n"/>
      <c r="T31" s="29" t="n"/>
      <c r="U31" s="29" t="n"/>
      <c r="V31" s="22" t="n"/>
      <c r="W31" s="22" t="n"/>
      <c r="X31" s="22" t="n"/>
      <c r="Y31" s="22" t="n"/>
      <c r="Z31" s="22" t="n"/>
      <c r="AA31" s="22" t="n"/>
      <c r="AB31" s="22" t="n"/>
      <c r="AC31" s="29" t="n"/>
      <c r="AD31" s="30">
        <f>IF(A31="","",(COUNTA(A31:G31)+COUNTA(J31:AC31))/27)</f>
        <v/>
      </c>
      <c r="AE31" s="26">
        <f>IF(B31="","",WORKDAY(B31,3))</f>
        <v/>
      </c>
      <c r="AF31" s="26">
        <f>IF(B31="","",WORKDAY(B31,5))</f>
        <v/>
      </c>
      <c r="AG31" s="26">
        <f>IF(B31="","",WORKDAY(B31,10))</f>
        <v/>
      </c>
      <c r="AH31" s="26" t="n"/>
    </row>
    <row r="32">
      <c r="A32" s="22" t="n"/>
      <c r="B32" s="22" t="n"/>
      <c r="C32" s="26" t="n"/>
      <c r="D32" s="27" t="n"/>
      <c r="E32" s="22" t="n"/>
      <c r="F32" s="26" t="n"/>
      <c r="G32" s="22" t="n"/>
      <c r="H32" s="26">
        <f>IF(G32="","",IFERROR(VLOOKUP(G32,板块观察!A:Z,19,FALSE),""))</f>
        <v/>
      </c>
      <c r="I32" s="26">
        <f>IF(G32="","",IFERROR(VLOOKUP(G32,板块观察!A:Z,20,FALSE),""))</f>
        <v/>
      </c>
      <c r="J32" s="22" t="n"/>
      <c r="K32" s="22" t="n"/>
      <c r="L32" s="22" t="n"/>
      <c r="M32" s="22" t="n"/>
      <c r="N32" s="22" t="n"/>
      <c r="O32" s="22" t="n"/>
      <c r="P32" s="22" t="n"/>
      <c r="Q32" s="28" t="n"/>
      <c r="R32" s="22" t="n"/>
      <c r="S32" s="29" t="n"/>
      <c r="T32" s="29" t="n"/>
      <c r="U32" s="29" t="n"/>
      <c r="V32" s="22" t="n"/>
      <c r="W32" s="22" t="n"/>
      <c r="X32" s="22" t="n"/>
      <c r="Y32" s="22" t="n"/>
      <c r="Z32" s="22" t="n"/>
      <c r="AA32" s="22" t="n"/>
      <c r="AB32" s="22" t="n"/>
      <c r="AC32" s="29" t="n"/>
      <c r="AD32" s="30">
        <f>IF(A32="","",(COUNTA(A32:G32)+COUNTA(J32:AC32))/27)</f>
        <v/>
      </c>
      <c r="AE32" s="26">
        <f>IF(B32="","",WORKDAY(B32,3))</f>
        <v/>
      </c>
      <c r="AF32" s="26">
        <f>IF(B32="","",WORKDAY(B32,5))</f>
        <v/>
      </c>
      <c r="AG32" s="26">
        <f>IF(B32="","",WORKDAY(B32,10))</f>
        <v/>
      </c>
      <c r="AH32" s="26" t="n"/>
    </row>
    <row r="33">
      <c r="A33" s="22" t="n"/>
      <c r="B33" s="22" t="n"/>
      <c r="C33" s="26" t="n"/>
      <c r="D33" s="27" t="n"/>
      <c r="E33" s="22" t="n"/>
      <c r="F33" s="26" t="n"/>
      <c r="G33" s="22" t="n"/>
      <c r="H33" s="26">
        <f>IF(G33="","",IFERROR(VLOOKUP(G33,板块观察!A:Z,19,FALSE),""))</f>
        <v/>
      </c>
      <c r="I33" s="26">
        <f>IF(G33="","",IFERROR(VLOOKUP(G33,板块观察!A:Z,20,FALSE),""))</f>
        <v/>
      </c>
      <c r="J33" s="22" t="n"/>
      <c r="K33" s="22" t="n"/>
      <c r="L33" s="22" t="n"/>
      <c r="M33" s="22" t="n"/>
      <c r="N33" s="22" t="n"/>
      <c r="O33" s="22" t="n"/>
      <c r="P33" s="22" t="n"/>
      <c r="Q33" s="28" t="n"/>
      <c r="R33" s="22" t="n"/>
      <c r="S33" s="29" t="n"/>
      <c r="T33" s="29" t="n"/>
      <c r="U33" s="29" t="n"/>
      <c r="V33" s="22" t="n"/>
      <c r="W33" s="22" t="n"/>
      <c r="X33" s="22" t="n"/>
      <c r="Y33" s="22" t="n"/>
      <c r="Z33" s="22" t="n"/>
      <c r="AA33" s="22" t="n"/>
      <c r="AB33" s="22" t="n"/>
      <c r="AC33" s="29" t="n"/>
      <c r="AD33" s="30">
        <f>IF(A33="","",(COUNTA(A33:G33)+COUNTA(J33:AC33))/27)</f>
        <v/>
      </c>
      <c r="AE33" s="26">
        <f>IF(B33="","",WORKDAY(B33,3))</f>
        <v/>
      </c>
      <c r="AF33" s="26">
        <f>IF(B33="","",WORKDAY(B33,5))</f>
        <v/>
      </c>
      <c r="AG33" s="26">
        <f>IF(B33="","",WORKDAY(B33,10))</f>
        <v/>
      </c>
      <c r="AH33" s="26" t="n"/>
    </row>
    <row r="34">
      <c r="A34" s="22" t="n"/>
      <c r="B34" s="22" t="n"/>
      <c r="C34" s="26" t="n"/>
      <c r="D34" s="27" t="n"/>
      <c r="E34" s="22" t="n"/>
      <c r="F34" s="26" t="n"/>
      <c r="G34" s="22" t="n"/>
      <c r="H34" s="26">
        <f>IF(G34="","",IFERROR(VLOOKUP(G34,板块观察!A:Z,19,FALSE),""))</f>
        <v/>
      </c>
      <c r="I34" s="26">
        <f>IF(G34="","",IFERROR(VLOOKUP(G34,板块观察!A:Z,20,FALSE),""))</f>
        <v/>
      </c>
      <c r="J34" s="22" t="n"/>
      <c r="K34" s="22" t="n"/>
      <c r="L34" s="22" t="n"/>
      <c r="M34" s="22" t="n"/>
      <c r="N34" s="22" t="n"/>
      <c r="O34" s="22" t="n"/>
      <c r="P34" s="22" t="n"/>
      <c r="Q34" s="28" t="n"/>
      <c r="R34" s="22" t="n"/>
      <c r="S34" s="29" t="n"/>
      <c r="T34" s="29" t="n"/>
      <c r="U34" s="29" t="n"/>
      <c r="V34" s="22" t="n"/>
      <c r="W34" s="22" t="n"/>
      <c r="X34" s="22" t="n"/>
      <c r="Y34" s="22" t="n"/>
      <c r="Z34" s="22" t="n"/>
      <c r="AA34" s="22" t="n"/>
      <c r="AB34" s="22" t="n"/>
      <c r="AC34" s="29" t="n"/>
      <c r="AD34" s="30">
        <f>IF(A34="","",(COUNTA(A34:G34)+COUNTA(J34:AC34))/27)</f>
        <v/>
      </c>
      <c r="AE34" s="26">
        <f>IF(B34="","",WORKDAY(B34,3))</f>
        <v/>
      </c>
      <c r="AF34" s="26">
        <f>IF(B34="","",WORKDAY(B34,5))</f>
        <v/>
      </c>
      <c r="AG34" s="26">
        <f>IF(B34="","",WORKDAY(B34,10))</f>
        <v/>
      </c>
      <c r="AH34" s="26" t="n"/>
    </row>
    <row r="35">
      <c r="A35" s="22" t="n"/>
      <c r="B35" s="22" t="n"/>
      <c r="C35" s="26" t="n"/>
      <c r="D35" s="27" t="n"/>
      <c r="E35" s="22" t="n"/>
      <c r="F35" s="26" t="n"/>
      <c r="G35" s="22" t="n"/>
      <c r="H35" s="26">
        <f>IF(G35="","",IFERROR(VLOOKUP(G35,板块观察!A:Z,19,FALSE),""))</f>
        <v/>
      </c>
      <c r="I35" s="26">
        <f>IF(G35="","",IFERROR(VLOOKUP(G35,板块观察!A:Z,20,FALSE),""))</f>
        <v/>
      </c>
      <c r="J35" s="22" t="n"/>
      <c r="K35" s="22" t="n"/>
      <c r="L35" s="22" t="n"/>
      <c r="M35" s="22" t="n"/>
      <c r="N35" s="22" t="n"/>
      <c r="O35" s="22" t="n"/>
      <c r="P35" s="22" t="n"/>
      <c r="Q35" s="28" t="n"/>
      <c r="R35" s="22" t="n"/>
      <c r="S35" s="29" t="n"/>
      <c r="T35" s="29" t="n"/>
      <c r="U35" s="29" t="n"/>
      <c r="V35" s="22" t="n"/>
      <c r="W35" s="22" t="n"/>
      <c r="X35" s="22" t="n"/>
      <c r="Y35" s="22" t="n"/>
      <c r="Z35" s="22" t="n"/>
      <c r="AA35" s="22" t="n"/>
      <c r="AB35" s="22" t="n"/>
      <c r="AC35" s="29" t="n"/>
      <c r="AD35" s="30">
        <f>IF(A35="","",(COUNTA(A35:G35)+COUNTA(J35:AC35))/27)</f>
        <v/>
      </c>
      <c r="AE35" s="26">
        <f>IF(B35="","",WORKDAY(B35,3))</f>
        <v/>
      </c>
      <c r="AF35" s="26">
        <f>IF(B35="","",WORKDAY(B35,5))</f>
        <v/>
      </c>
      <c r="AG35" s="26">
        <f>IF(B35="","",WORKDAY(B35,10))</f>
        <v/>
      </c>
      <c r="AH35" s="26" t="n"/>
    </row>
    <row r="36">
      <c r="A36" s="22" t="n"/>
      <c r="B36" s="22" t="n"/>
      <c r="C36" s="26" t="n"/>
      <c r="D36" s="27" t="n"/>
      <c r="E36" s="22" t="n"/>
      <c r="F36" s="26" t="n"/>
      <c r="G36" s="22" t="n"/>
      <c r="H36" s="26">
        <f>IF(G36="","",IFERROR(VLOOKUP(G36,板块观察!A:Z,19,FALSE),""))</f>
        <v/>
      </c>
      <c r="I36" s="26">
        <f>IF(G36="","",IFERROR(VLOOKUP(G36,板块观察!A:Z,20,FALSE),""))</f>
        <v/>
      </c>
      <c r="J36" s="22" t="n"/>
      <c r="K36" s="22" t="n"/>
      <c r="L36" s="22" t="n"/>
      <c r="M36" s="22" t="n"/>
      <c r="N36" s="22" t="n"/>
      <c r="O36" s="22" t="n"/>
      <c r="P36" s="22" t="n"/>
      <c r="Q36" s="28" t="n"/>
      <c r="R36" s="22" t="n"/>
      <c r="S36" s="29" t="n"/>
      <c r="T36" s="29" t="n"/>
      <c r="U36" s="29" t="n"/>
      <c r="V36" s="22" t="n"/>
      <c r="W36" s="22" t="n"/>
      <c r="X36" s="22" t="n"/>
      <c r="Y36" s="22" t="n"/>
      <c r="Z36" s="22" t="n"/>
      <c r="AA36" s="22" t="n"/>
      <c r="AB36" s="22" t="n"/>
      <c r="AC36" s="29" t="n"/>
      <c r="AD36" s="30">
        <f>IF(A36="","",(COUNTA(A36:G36)+COUNTA(J36:AC36))/27)</f>
        <v/>
      </c>
      <c r="AE36" s="26">
        <f>IF(B36="","",WORKDAY(B36,3))</f>
        <v/>
      </c>
      <c r="AF36" s="26">
        <f>IF(B36="","",WORKDAY(B36,5))</f>
        <v/>
      </c>
      <c r="AG36" s="26">
        <f>IF(B36="","",WORKDAY(B36,10))</f>
        <v/>
      </c>
      <c r="AH36" s="26" t="n"/>
    </row>
    <row r="37">
      <c r="A37" s="22" t="n"/>
      <c r="B37" s="22" t="n"/>
      <c r="C37" s="26" t="n"/>
      <c r="D37" s="27" t="n"/>
      <c r="E37" s="22" t="n"/>
      <c r="F37" s="26" t="n"/>
      <c r="G37" s="22" t="n"/>
      <c r="H37" s="26">
        <f>IF(G37="","",IFERROR(VLOOKUP(G37,板块观察!A:Z,19,FALSE),""))</f>
        <v/>
      </c>
      <c r="I37" s="26">
        <f>IF(G37="","",IFERROR(VLOOKUP(G37,板块观察!A:Z,20,FALSE),""))</f>
        <v/>
      </c>
      <c r="J37" s="22" t="n"/>
      <c r="K37" s="22" t="n"/>
      <c r="L37" s="22" t="n"/>
      <c r="M37" s="22" t="n"/>
      <c r="N37" s="22" t="n"/>
      <c r="O37" s="22" t="n"/>
      <c r="P37" s="22" t="n"/>
      <c r="Q37" s="28" t="n"/>
      <c r="R37" s="22" t="n"/>
      <c r="S37" s="29" t="n"/>
      <c r="T37" s="29" t="n"/>
      <c r="U37" s="29" t="n"/>
      <c r="V37" s="22" t="n"/>
      <c r="W37" s="22" t="n"/>
      <c r="X37" s="22" t="n"/>
      <c r="Y37" s="22" t="n"/>
      <c r="Z37" s="22" t="n"/>
      <c r="AA37" s="22" t="n"/>
      <c r="AB37" s="22" t="n"/>
      <c r="AC37" s="29" t="n"/>
      <c r="AD37" s="30">
        <f>IF(A37="","",(COUNTA(A37:G37)+COUNTA(J37:AC37))/27)</f>
        <v/>
      </c>
      <c r="AE37" s="26">
        <f>IF(B37="","",WORKDAY(B37,3))</f>
        <v/>
      </c>
      <c r="AF37" s="26">
        <f>IF(B37="","",WORKDAY(B37,5))</f>
        <v/>
      </c>
      <c r="AG37" s="26">
        <f>IF(B37="","",WORKDAY(B37,10))</f>
        <v/>
      </c>
      <c r="AH37" s="26" t="n"/>
    </row>
    <row r="38">
      <c r="A38" s="22" t="n"/>
      <c r="B38" s="22" t="n"/>
      <c r="C38" s="26" t="n"/>
      <c r="D38" s="27" t="n"/>
      <c r="E38" s="22" t="n"/>
      <c r="F38" s="26" t="n"/>
      <c r="G38" s="22" t="n"/>
      <c r="H38" s="26">
        <f>IF(G38="","",IFERROR(VLOOKUP(G38,板块观察!A:Z,19,FALSE),""))</f>
        <v/>
      </c>
      <c r="I38" s="26">
        <f>IF(G38="","",IFERROR(VLOOKUP(G38,板块观察!A:Z,20,FALSE),""))</f>
        <v/>
      </c>
      <c r="J38" s="22" t="n"/>
      <c r="K38" s="22" t="n"/>
      <c r="L38" s="22" t="n"/>
      <c r="M38" s="22" t="n"/>
      <c r="N38" s="22" t="n"/>
      <c r="O38" s="22" t="n"/>
      <c r="P38" s="22" t="n"/>
      <c r="Q38" s="28" t="n"/>
      <c r="R38" s="22" t="n"/>
      <c r="S38" s="29" t="n"/>
      <c r="T38" s="29" t="n"/>
      <c r="U38" s="29" t="n"/>
      <c r="V38" s="22" t="n"/>
      <c r="W38" s="22" t="n"/>
      <c r="X38" s="22" t="n"/>
      <c r="Y38" s="22" t="n"/>
      <c r="Z38" s="22" t="n"/>
      <c r="AA38" s="22" t="n"/>
      <c r="AB38" s="22" t="n"/>
      <c r="AC38" s="29" t="n"/>
      <c r="AD38" s="30">
        <f>IF(A38="","",(COUNTA(A38:G38)+COUNTA(J38:AC38))/27)</f>
        <v/>
      </c>
      <c r="AE38" s="26">
        <f>IF(B38="","",WORKDAY(B38,3))</f>
        <v/>
      </c>
      <c r="AF38" s="26">
        <f>IF(B38="","",WORKDAY(B38,5))</f>
        <v/>
      </c>
      <c r="AG38" s="26">
        <f>IF(B38="","",WORKDAY(B38,10))</f>
        <v/>
      </c>
      <c r="AH38" s="26" t="n"/>
    </row>
    <row r="39">
      <c r="A39" s="22" t="n"/>
      <c r="B39" s="22" t="n"/>
      <c r="C39" s="26" t="n"/>
      <c r="D39" s="27" t="n"/>
      <c r="E39" s="22" t="n"/>
      <c r="F39" s="26" t="n"/>
      <c r="G39" s="22" t="n"/>
      <c r="H39" s="26">
        <f>IF(G39="","",IFERROR(VLOOKUP(G39,板块观察!A:Z,19,FALSE),""))</f>
        <v/>
      </c>
      <c r="I39" s="26">
        <f>IF(G39="","",IFERROR(VLOOKUP(G39,板块观察!A:Z,20,FALSE),""))</f>
        <v/>
      </c>
      <c r="J39" s="22" t="n"/>
      <c r="K39" s="22" t="n"/>
      <c r="L39" s="22" t="n"/>
      <c r="M39" s="22" t="n"/>
      <c r="N39" s="22" t="n"/>
      <c r="O39" s="22" t="n"/>
      <c r="P39" s="22" t="n"/>
      <c r="Q39" s="28" t="n"/>
      <c r="R39" s="22" t="n"/>
      <c r="S39" s="29" t="n"/>
      <c r="T39" s="29" t="n"/>
      <c r="U39" s="29" t="n"/>
      <c r="V39" s="22" t="n"/>
      <c r="W39" s="22" t="n"/>
      <c r="X39" s="22" t="n"/>
      <c r="Y39" s="22" t="n"/>
      <c r="Z39" s="22" t="n"/>
      <c r="AA39" s="22" t="n"/>
      <c r="AB39" s="22" t="n"/>
      <c r="AC39" s="29" t="n"/>
      <c r="AD39" s="30">
        <f>IF(A39="","",(COUNTA(A39:G39)+COUNTA(J39:AC39))/27)</f>
        <v/>
      </c>
      <c r="AE39" s="26">
        <f>IF(B39="","",WORKDAY(B39,3))</f>
        <v/>
      </c>
      <c r="AF39" s="26">
        <f>IF(B39="","",WORKDAY(B39,5))</f>
        <v/>
      </c>
      <c r="AG39" s="26">
        <f>IF(B39="","",WORKDAY(B39,10))</f>
        <v/>
      </c>
      <c r="AH39" s="26" t="n"/>
    </row>
    <row r="40">
      <c r="A40" s="22" t="n"/>
      <c r="B40" s="22" t="n"/>
      <c r="C40" s="26" t="n"/>
      <c r="D40" s="27" t="n"/>
      <c r="E40" s="22" t="n"/>
      <c r="F40" s="26" t="n"/>
      <c r="G40" s="22" t="n"/>
      <c r="H40" s="26">
        <f>IF(G40="","",IFERROR(VLOOKUP(G40,板块观察!A:Z,19,FALSE),""))</f>
        <v/>
      </c>
      <c r="I40" s="26">
        <f>IF(G40="","",IFERROR(VLOOKUP(G40,板块观察!A:Z,20,FALSE),""))</f>
        <v/>
      </c>
      <c r="J40" s="22" t="n"/>
      <c r="K40" s="22" t="n"/>
      <c r="L40" s="22" t="n"/>
      <c r="M40" s="22" t="n"/>
      <c r="N40" s="22" t="n"/>
      <c r="O40" s="22" t="n"/>
      <c r="P40" s="22" t="n"/>
      <c r="Q40" s="28" t="n"/>
      <c r="R40" s="22" t="n"/>
      <c r="S40" s="29" t="n"/>
      <c r="T40" s="29" t="n"/>
      <c r="U40" s="29" t="n"/>
      <c r="V40" s="22" t="n"/>
      <c r="W40" s="22" t="n"/>
      <c r="X40" s="22" t="n"/>
      <c r="Y40" s="22" t="n"/>
      <c r="Z40" s="22" t="n"/>
      <c r="AA40" s="22" t="n"/>
      <c r="AB40" s="22" t="n"/>
      <c r="AC40" s="29" t="n"/>
      <c r="AD40" s="30">
        <f>IF(A40="","",(COUNTA(A40:G40)+COUNTA(J40:AC40))/27)</f>
        <v/>
      </c>
      <c r="AE40" s="26">
        <f>IF(B40="","",WORKDAY(B40,3))</f>
        <v/>
      </c>
      <c r="AF40" s="26">
        <f>IF(B40="","",WORKDAY(B40,5))</f>
        <v/>
      </c>
      <c r="AG40" s="26">
        <f>IF(B40="","",WORKDAY(B40,10))</f>
        <v/>
      </c>
      <c r="AH40" s="26" t="n"/>
    </row>
    <row r="41">
      <c r="A41" s="22" t="n"/>
      <c r="B41" s="22" t="n"/>
      <c r="C41" s="26" t="n"/>
      <c r="D41" s="27" t="n"/>
      <c r="E41" s="22" t="n"/>
      <c r="F41" s="26" t="n"/>
      <c r="G41" s="22" t="n"/>
      <c r="H41" s="26">
        <f>IF(G41="","",IFERROR(VLOOKUP(G41,板块观察!A:Z,19,FALSE),""))</f>
        <v/>
      </c>
      <c r="I41" s="26">
        <f>IF(G41="","",IFERROR(VLOOKUP(G41,板块观察!A:Z,20,FALSE),""))</f>
        <v/>
      </c>
      <c r="J41" s="22" t="n"/>
      <c r="K41" s="22" t="n"/>
      <c r="L41" s="22" t="n"/>
      <c r="M41" s="22" t="n"/>
      <c r="N41" s="22" t="n"/>
      <c r="O41" s="22" t="n"/>
      <c r="P41" s="22" t="n"/>
      <c r="Q41" s="28" t="n"/>
      <c r="R41" s="22" t="n"/>
      <c r="S41" s="29" t="n"/>
      <c r="T41" s="29" t="n"/>
      <c r="U41" s="29" t="n"/>
      <c r="V41" s="22" t="n"/>
      <c r="W41" s="22" t="n"/>
      <c r="X41" s="22" t="n"/>
      <c r="Y41" s="22" t="n"/>
      <c r="Z41" s="22" t="n"/>
      <c r="AA41" s="22" t="n"/>
      <c r="AB41" s="22" t="n"/>
      <c r="AC41" s="29" t="n"/>
      <c r="AD41" s="30">
        <f>IF(A41="","",(COUNTA(A41:G41)+COUNTA(J41:AC41))/27)</f>
        <v/>
      </c>
      <c r="AE41" s="26">
        <f>IF(B41="","",WORKDAY(B41,3))</f>
        <v/>
      </c>
      <c r="AF41" s="26">
        <f>IF(B41="","",WORKDAY(B41,5))</f>
        <v/>
      </c>
      <c r="AG41" s="26">
        <f>IF(B41="","",WORKDAY(B41,10))</f>
        <v/>
      </c>
      <c r="AH41" s="26" t="n"/>
    </row>
    <row r="42">
      <c r="A42" s="22" t="n"/>
      <c r="B42" s="22" t="n"/>
      <c r="C42" s="26" t="n"/>
      <c r="D42" s="27" t="n"/>
      <c r="E42" s="22" t="n"/>
      <c r="F42" s="26" t="n"/>
      <c r="G42" s="22" t="n"/>
      <c r="H42" s="26">
        <f>IF(G42="","",IFERROR(VLOOKUP(G42,板块观察!A:Z,19,FALSE),""))</f>
        <v/>
      </c>
      <c r="I42" s="26">
        <f>IF(G42="","",IFERROR(VLOOKUP(G42,板块观察!A:Z,20,FALSE),""))</f>
        <v/>
      </c>
      <c r="J42" s="22" t="n"/>
      <c r="K42" s="22" t="n"/>
      <c r="L42" s="22" t="n"/>
      <c r="M42" s="22" t="n"/>
      <c r="N42" s="22" t="n"/>
      <c r="O42" s="22" t="n"/>
      <c r="P42" s="22" t="n"/>
      <c r="Q42" s="28" t="n"/>
      <c r="R42" s="22" t="n"/>
      <c r="S42" s="29" t="n"/>
      <c r="T42" s="29" t="n"/>
      <c r="U42" s="29" t="n"/>
      <c r="V42" s="22" t="n"/>
      <c r="W42" s="22" t="n"/>
      <c r="X42" s="22" t="n"/>
      <c r="Y42" s="22" t="n"/>
      <c r="Z42" s="22" t="n"/>
      <c r="AA42" s="22" t="n"/>
      <c r="AB42" s="22" t="n"/>
      <c r="AC42" s="29" t="n"/>
      <c r="AD42" s="30">
        <f>IF(A42="","",(COUNTA(A42:G42)+COUNTA(J42:AC42))/27)</f>
        <v/>
      </c>
      <c r="AE42" s="26">
        <f>IF(B42="","",WORKDAY(B42,3))</f>
        <v/>
      </c>
      <c r="AF42" s="26">
        <f>IF(B42="","",WORKDAY(B42,5))</f>
        <v/>
      </c>
      <c r="AG42" s="26">
        <f>IF(B42="","",WORKDAY(B42,10))</f>
        <v/>
      </c>
      <c r="AH42" s="26" t="n"/>
    </row>
    <row r="43">
      <c r="A43" s="22" t="n"/>
      <c r="B43" s="22" t="n"/>
      <c r="C43" s="26" t="n"/>
      <c r="D43" s="27" t="n"/>
      <c r="E43" s="22" t="n"/>
      <c r="F43" s="26" t="n"/>
      <c r="G43" s="22" t="n"/>
      <c r="H43" s="26">
        <f>IF(G43="","",IFERROR(VLOOKUP(G43,板块观察!A:Z,19,FALSE),""))</f>
        <v/>
      </c>
      <c r="I43" s="26">
        <f>IF(G43="","",IFERROR(VLOOKUP(G43,板块观察!A:Z,20,FALSE),""))</f>
        <v/>
      </c>
      <c r="J43" s="22" t="n"/>
      <c r="K43" s="22" t="n"/>
      <c r="L43" s="22" t="n"/>
      <c r="M43" s="22" t="n"/>
      <c r="N43" s="22" t="n"/>
      <c r="O43" s="22" t="n"/>
      <c r="P43" s="22" t="n"/>
      <c r="Q43" s="28" t="n"/>
      <c r="R43" s="22" t="n"/>
      <c r="S43" s="29" t="n"/>
      <c r="T43" s="29" t="n"/>
      <c r="U43" s="29" t="n"/>
      <c r="V43" s="22" t="n"/>
      <c r="W43" s="22" t="n"/>
      <c r="X43" s="22" t="n"/>
      <c r="Y43" s="22" t="n"/>
      <c r="Z43" s="22" t="n"/>
      <c r="AA43" s="22" t="n"/>
      <c r="AB43" s="22" t="n"/>
      <c r="AC43" s="29" t="n"/>
      <c r="AD43" s="30">
        <f>IF(A43="","",(COUNTA(A43:G43)+COUNTA(J43:AC43))/27)</f>
        <v/>
      </c>
      <c r="AE43" s="26">
        <f>IF(B43="","",WORKDAY(B43,3))</f>
        <v/>
      </c>
      <c r="AF43" s="26">
        <f>IF(B43="","",WORKDAY(B43,5))</f>
        <v/>
      </c>
      <c r="AG43" s="26">
        <f>IF(B43="","",WORKDAY(B43,10))</f>
        <v/>
      </c>
      <c r="AH43" s="26" t="n"/>
    </row>
    <row r="44">
      <c r="A44" s="22" t="n"/>
      <c r="B44" s="22" t="n"/>
      <c r="C44" s="26" t="n"/>
      <c r="D44" s="27" t="n"/>
      <c r="E44" s="22" t="n"/>
      <c r="F44" s="26" t="n"/>
      <c r="G44" s="22" t="n"/>
      <c r="H44" s="26">
        <f>IF(G44="","",IFERROR(VLOOKUP(G44,板块观察!A:Z,19,FALSE),""))</f>
        <v/>
      </c>
      <c r="I44" s="26">
        <f>IF(G44="","",IFERROR(VLOOKUP(G44,板块观察!A:Z,20,FALSE),""))</f>
        <v/>
      </c>
      <c r="J44" s="22" t="n"/>
      <c r="K44" s="22" t="n"/>
      <c r="L44" s="22" t="n"/>
      <c r="M44" s="22" t="n"/>
      <c r="N44" s="22" t="n"/>
      <c r="O44" s="22" t="n"/>
      <c r="P44" s="22" t="n"/>
      <c r="Q44" s="28" t="n"/>
      <c r="R44" s="22" t="n"/>
      <c r="S44" s="29" t="n"/>
      <c r="T44" s="29" t="n"/>
      <c r="U44" s="29" t="n"/>
      <c r="V44" s="22" t="n"/>
      <c r="W44" s="22" t="n"/>
      <c r="X44" s="22" t="n"/>
      <c r="Y44" s="22" t="n"/>
      <c r="Z44" s="22" t="n"/>
      <c r="AA44" s="22" t="n"/>
      <c r="AB44" s="22" t="n"/>
      <c r="AC44" s="29" t="n"/>
      <c r="AD44" s="30">
        <f>IF(A44="","",(COUNTA(A44:G44)+COUNTA(J44:AC44))/27)</f>
        <v/>
      </c>
      <c r="AE44" s="26">
        <f>IF(B44="","",WORKDAY(B44,3))</f>
        <v/>
      </c>
      <c r="AF44" s="26">
        <f>IF(B44="","",WORKDAY(B44,5))</f>
        <v/>
      </c>
      <c r="AG44" s="26">
        <f>IF(B44="","",WORKDAY(B44,10))</f>
        <v/>
      </c>
      <c r="AH44" s="26" t="n"/>
    </row>
    <row r="45">
      <c r="A45" s="22" t="n"/>
      <c r="B45" s="22" t="n"/>
      <c r="C45" s="26" t="n"/>
      <c r="D45" s="27" t="n"/>
      <c r="E45" s="22" t="n"/>
      <c r="F45" s="26" t="n"/>
      <c r="G45" s="22" t="n"/>
      <c r="H45" s="26">
        <f>IF(G45="","",IFERROR(VLOOKUP(G45,板块观察!A:Z,19,FALSE),""))</f>
        <v/>
      </c>
      <c r="I45" s="26">
        <f>IF(G45="","",IFERROR(VLOOKUP(G45,板块观察!A:Z,20,FALSE),""))</f>
        <v/>
      </c>
      <c r="J45" s="22" t="n"/>
      <c r="K45" s="22" t="n"/>
      <c r="L45" s="22" t="n"/>
      <c r="M45" s="22" t="n"/>
      <c r="N45" s="22" t="n"/>
      <c r="O45" s="22" t="n"/>
      <c r="P45" s="22" t="n"/>
      <c r="Q45" s="28" t="n"/>
      <c r="R45" s="22" t="n"/>
      <c r="S45" s="29" t="n"/>
      <c r="T45" s="29" t="n"/>
      <c r="U45" s="29" t="n"/>
      <c r="V45" s="22" t="n"/>
      <c r="W45" s="22" t="n"/>
      <c r="X45" s="22" t="n"/>
      <c r="Y45" s="22" t="n"/>
      <c r="Z45" s="22" t="n"/>
      <c r="AA45" s="22" t="n"/>
      <c r="AB45" s="22" t="n"/>
      <c r="AC45" s="29" t="n"/>
      <c r="AD45" s="30">
        <f>IF(A45="","",(COUNTA(A45:G45)+COUNTA(J45:AC45))/27)</f>
        <v/>
      </c>
      <c r="AE45" s="26">
        <f>IF(B45="","",WORKDAY(B45,3))</f>
        <v/>
      </c>
      <c r="AF45" s="26">
        <f>IF(B45="","",WORKDAY(B45,5))</f>
        <v/>
      </c>
      <c r="AG45" s="26">
        <f>IF(B45="","",WORKDAY(B45,10))</f>
        <v/>
      </c>
      <c r="AH45" s="26" t="n"/>
    </row>
    <row r="46">
      <c r="A46" s="22" t="n"/>
      <c r="B46" s="22" t="n"/>
      <c r="C46" s="26" t="n"/>
      <c r="D46" s="27" t="n"/>
      <c r="E46" s="22" t="n"/>
      <c r="F46" s="26" t="n"/>
      <c r="G46" s="22" t="n"/>
      <c r="H46" s="26">
        <f>IF(G46="","",IFERROR(VLOOKUP(G46,板块观察!A:Z,19,FALSE),""))</f>
        <v/>
      </c>
      <c r="I46" s="26">
        <f>IF(G46="","",IFERROR(VLOOKUP(G46,板块观察!A:Z,20,FALSE),""))</f>
        <v/>
      </c>
      <c r="J46" s="22" t="n"/>
      <c r="K46" s="22" t="n"/>
      <c r="L46" s="22" t="n"/>
      <c r="M46" s="22" t="n"/>
      <c r="N46" s="22" t="n"/>
      <c r="O46" s="22" t="n"/>
      <c r="P46" s="22" t="n"/>
      <c r="Q46" s="28" t="n"/>
      <c r="R46" s="22" t="n"/>
      <c r="S46" s="29" t="n"/>
      <c r="T46" s="29" t="n"/>
      <c r="U46" s="29" t="n"/>
      <c r="V46" s="22" t="n"/>
      <c r="W46" s="22" t="n"/>
      <c r="X46" s="22" t="n"/>
      <c r="Y46" s="22" t="n"/>
      <c r="Z46" s="22" t="n"/>
      <c r="AA46" s="22" t="n"/>
      <c r="AB46" s="22" t="n"/>
      <c r="AC46" s="29" t="n"/>
      <c r="AD46" s="30">
        <f>IF(A46="","",(COUNTA(A46:G46)+COUNTA(J46:AC46))/27)</f>
        <v/>
      </c>
      <c r="AE46" s="26">
        <f>IF(B46="","",WORKDAY(B46,3))</f>
        <v/>
      </c>
      <c r="AF46" s="26">
        <f>IF(B46="","",WORKDAY(B46,5))</f>
        <v/>
      </c>
      <c r="AG46" s="26">
        <f>IF(B46="","",WORKDAY(B46,10))</f>
        <v/>
      </c>
      <c r="AH46" s="26" t="n"/>
    </row>
    <row r="47">
      <c r="A47" s="22" t="n"/>
      <c r="B47" s="22" t="n"/>
      <c r="C47" s="26" t="n"/>
      <c r="D47" s="27" t="n"/>
      <c r="E47" s="22" t="n"/>
      <c r="F47" s="26" t="n"/>
      <c r="G47" s="22" t="n"/>
      <c r="H47" s="26">
        <f>IF(G47="","",IFERROR(VLOOKUP(G47,板块观察!A:Z,19,FALSE),""))</f>
        <v/>
      </c>
      <c r="I47" s="26">
        <f>IF(G47="","",IFERROR(VLOOKUP(G47,板块观察!A:Z,20,FALSE),""))</f>
        <v/>
      </c>
      <c r="J47" s="22" t="n"/>
      <c r="K47" s="22" t="n"/>
      <c r="L47" s="22" t="n"/>
      <c r="M47" s="22" t="n"/>
      <c r="N47" s="22" t="n"/>
      <c r="O47" s="22" t="n"/>
      <c r="P47" s="22" t="n"/>
      <c r="Q47" s="28" t="n"/>
      <c r="R47" s="22" t="n"/>
      <c r="S47" s="29" t="n"/>
      <c r="T47" s="29" t="n"/>
      <c r="U47" s="29" t="n"/>
      <c r="V47" s="22" t="n"/>
      <c r="W47" s="22" t="n"/>
      <c r="X47" s="22" t="n"/>
      <c r="Y47" s="22" t="n"/>
      <c r="Z47" s="22" t="n"/>
      <c r="AA47" s="22" t="n"/>
      <c r="AB47" s="22" t="n"/>
      <c r="AC47" s="29" t="n"/>
      <c r="AD47" s="30">
        <f>IF(A47="","",(COUNTA(A47:G47)+COUNTA(J47:AC47))/27)</f>
        <v/>
      </c>
      <c r="AE47" s="26">
        <f>IF(B47="","",WORKDAY(B47,3))</f>
        <v/>
      </c>
      <c r="AF47" s="26">
        <f>IF(B47="","",WORKDAY(B47,5))</f>
        <v/>
      </c>
      <c r="AG47" s="26">
        <f>IF(B47="","",WORKDAY(B47,10))</f>
        <v/>
      </c>
      <c r="AH47" s="26" t="n"/>
    </row>
    <row r="48">
      <c r="A48" s="22" t="n"/>
      <c r="B48" s="22" t="n"/>
      <c r="C48" s="26" t="n"/>
      <c r="D48" s="27" t="n"/>
      <c r="E48" s="22" t="n"/>
      <c r="F48" s="26" t="n"/>
      <c r="G48" s="22" t="n"/>
      <c r="H48" s="26">
        <f>IF(G48="","",IFERROR(VLOOKUP(G48,板块观察!A:Z,19,FALSE),""))</f>
        <v/>
      </c>
      <c r="I48" s="26">
        <f>IF(G48="","",IFERROR(VLOOKUP(G48,板块观察!A:Z,20,FALSE),""))</f>
        <v/>
      </c>
      <c r="J48" s="22" t="n"/>
      <c r="K48" s="22" t="n"/>
      <c r="L48" s="22" t="n"/>
      <c r="M48" s="22" t="n"/>
      <c r="N48" s="22" t="n"/>
      <c r="O48" s="22" t="n"/>
      <c r="P48" s="22" t="n"/>
      <c r="Q48" s="28" t="n"/>
      <c r="R48" s="22" t="n"/>
      <c r="S48" s="29" t="n"/>
      <c r="T48" s="29" t="n"/>
      <c r="U48" s="29" t="n"/>
      <c r="V48" s="22" t="n"/>
      <c r="W48" s="22" t="n"/>
      <c r="X48" s="22" t="n"/>
      <c r="Y48" s="22" t="n"/>
      <c r="Z48" s="22" t="n"/>
      <c r="AA48" s="22" t="n"/>
      <c r="AB48" s="22" t="n"/>
      <c r="AC48" s="29" t="n"/>
      <c r="AD48" s="30">
        <f>IF(A48="","",(COUNTA(A48:G48)+COUNTA(J48:AC48))/27)</f>
        <v/>
      </c>
      <c r="AE48" s="26">
        <f>IF(B48="","",WORKDAY(B48,3))</f>
        <v/>
      </c>
      <c r="AF48" s="26">
        <f>IF(B48="","",WORKDAY(B48,5))</f>
        <v/>
      </c>
      <c r="AG48" s="26">
        <f>IF(B48="","",WORKDAY(B48,10))</f>
        <v/>
      </c>
      <c r="AH48" s="26" t="n"/>
    </row>
    <row r="49">
      <c r="A49" s="22" t="n"/>
      <c r="B49" s="22" t="n"/>
      <c r="C49" s="26" t="n"/>
      <c r="D49" s="27" t="n"/>
      <c r="E49" s="22" t="n"/>
      <c r="F49" s="26" t="n"/>
      <c r="G49" s="22" t="n"/>
      <c r="H49" s="26">
        <f>IF(G49="","",IFERROR(VLOOKUP(G49,板块观察!A:Z,19,FALSE),""))</f>
        <v/>
      </c>
      <c r="I49" s="26">
        <f>IF(G49="","",IFERROR(VLOOKUP(G49,板块观察!A:Z,20,FALSE),""))</f>
        <v/>
      </c>
      <c r="J49" s="22" t="n"/>
      <c r="K49" s="22" t="n"/>
      <c r="L49" s="22" t="n"/>
      <c r="M49" s="22" t="n"/>
      <c r="N49" s="22" t="n"/>
      <c r="O49" s="22" t="n"/>
      <c r="P49" s="22" t="n"/>
      <c r="Q49" s="28" t="n"/>
      <c r="R49" s="22" t="n"/>
      <c r="S49" s="29" t="n"/>
      <c r="T49" s="29" t="n"/>
      <c r="U49" s="29" t="n"/>
      <c r="V49" s="22" t="n"/>
      <c r="W49" s="22" t="n"/>
      <c r="X49" s="22" t="n"/>
      <c r="Y49" s="22" t="n"/>
      <c r="Z49" s="22" t="n"/>
      <c r="AA49" s="22" t="n"/>
      <c r="AB49" s="22" t="n"/>
      <c r="AC49" s="29" t="n"/>
      <c r="AD49" s="30">
        <f>IF(A49="","",(COUNTA(A49:G49)+COUNTA(J49:AC49))/27)</f>
        <v/>
      </c>
      <c r="AE49" s="26">
        <f>IF(B49="","",WORKDAY(B49,3))</f>
        <v/>
      </c>
      <c r="AF49" s="26">
        <f>IF(B49="","",WORKDAY(B49,5))</f>
        <v/>
      </c>
      <c r="AG49" s="26">
        <f>IF(B49="","",WORKDAY(B49,10))</f>
        <v/>
      </c>
      <c r="AH49" s="26" t="n"/>
    </row>
    <row r="50">
      <c r="A50" s="22" t="n"/>
      <c r="B50" s="22" t="n"/>
      <c r="C50" s="26" t="n"/>
      <c r="D50" s="27" t="n"/>
      <c r="E50" s="22" t="n"/>
      <c r="F50" s="26" t="n"/>
      <c r="G50" s="22" t="n"/>
      <c r="H50" s="26">
        <f>IF(G50="","",IFERROR(VLOOKUP(G50,板块观察!A:Z,19,FALSE),""))</f>
        <v/>
      </c>
      <c r="I50" s="26">
        <f>IF(G50="","",IFERROR(VLOOKUP(G50,板块观察!A:Z,20,FALSE),""))</f>
        <v/>
      </c>
      <c r="J50" s="22" t="n"/>
      <c r="K50" s="22" t="n"/>
      <c r="L50" s="22" t="n"/>
      <c r="M50" s="22" t="n"/>
      <c r="N50" s="22" t="n"/>
      <c r="O50" s="22" t="n"/>
      <c r="P50" s="22" t="n"/>
      <c r="Q50" s="28" t="n"/>
      <c r="R50" s="22" t="n"/>
      <c r="S50" s="29" t="n"/>
      <c r="T50" s="29" t="n"/>
      <c r="U50" s="29" t="n"/>
      <c r="V50" s="22" t="n"/>
      <c r="W50" s="22" t="n"/>
      <c r="X50" s="22" t="n"/>
      <c r="Y50" s="22" t="n"/>
      <c r="Z50" s="22" t="n"/>
      <c r="AA50" s="22" t="n"/>
      <c r="AB50" s="22" t="n"/>
      <c r="AC50" s="29" t="n"/>
      <c r="AD50" s="30">
        <f>IF(A50="","",(COUNTA(A50:G50)+COUNTA(J50:AC50))/27)</f>
        <v/>
      </c>
      <c r="AE50" s="26">
        <f>IF(B50="","",WORKDAY(B50,3))</f>
        <v/>
      </c>
      <c r="AF50" s="26">
        <f>IF(B50="","",WORKDAY(B50,5))</f>
        <v/>
      </c>
      <c r="AG50" s="26">
        <f>IF(B50="","",WORKDAY(B50,10))</f>
        <v/>
      </c>
      <c r="AH50" s="26" t="n"/>
    </row>
    <row r="51">
      <c r="A51" s="22" t="n"/>
      <c r="B51" s="22" t="n"/>
      <c r="C51" s="26" t="n"/>
      <c r="D51" s="27" t="n"/>
      <c r="E51" s="22" t="n"/>
      <c r="F51" s="26" t="n"/>
      <c r="G51" s="22" t="n"/>
      <c r="H51" s="26">
        <f>IF(G51="","",IFERROR(VLOOKUP(G51,板块观察!A:Z,19,FALSE),""))</f>
        <v/>
      </c>
      <c r="I51" s="26">
        <f>IF(G51="","",IFERROR(VLOOKUP(G51,板块观察!A:Z,20,FALSE),""))</f>
        <v/>
      </c>
      <c r="J51" s="22" t="n"/>
      <c r="K51" s="22" t="n"/>
      <c r="L51" s="22" t="n"/>
      <c r="M51" s="22" t="n"/>
      <c r="N51" s="22" t="n"/>
      <c r="O51" s="22" t="n"/>
      <c r="P51" s="22" t="n"/>
      <c r="Q51" s="28" t="n"/>
      <c r="R51" s="22" t="n"/>
      <c r="S51" s="29" t="n"/>
      <c r="T51" s="29" t="n"/>
      <c r="U51" s="29" t="n"/>
      <c r="V51" s="22" t="n"/>
      <c r="W51" s="22" t="n"/>
      <c r="X51" s="22" t="n"/>
      <c r="Y51" s="22" t="n"/>
      <c r="Z51" s="22" t="n"/>
      <c r="AA51" s="22" t="n"/>
      <c r="AB51" s="22" t="n"/>
      <c r="AC51" s="29" t="n"/>
      <c r="AD51" s="30">
        <f>IF(A51="","",(COUNTA(A51:G51)+COUNTA(J51:AC51))/27)</f>
        <v/>
      </c>
      <c r="AE51" s="26">
        <f>IF(B51="","",WORKDAY(B51,3))</f>
        <v/>
      </c>
      <c r="AF51" s="26">
        <f>IF(B51="","",WORKDAY(B51,5))</f>
        <v/>
      </c>
      <c r="AG51" s="26">
        <f>IF(B51="","",WORKDAY(B51,10))</f>
        <v/>
      </c>
      <c r="AH51" s="26" t="n"/>
    </row>
    <row r="52">
      <c r="A52" s="22" t="n"/>
      <c r="B52" s="22" t="n"/>
      <c r="C52" s="26" t="n"/>
      <c r="D52" s="27" t="n"/>
      <c r="E52" s="22" t="n"/>
      <c r="F52" s="26" t="n"/>
      <c r="G52" s="22" t="n"/>
      <c r="H52" s="26">
        <f>IF(G52="","",IFERROR(VLOOKUP(G52,板块观察!A:Z,19,FALSE),""))</f>
        <v/>
      </c>
      <c r="I52" s="26">
        <f>IF(G52="","",IFERROR(VLOOKUP(G52,板块观察!A:Z,20,FALSE),""))</f>
        <v/>
      </c>
      <c r="J52" s="22" t="n"/>
      <c r="K52" s="22" t="n"/>
      <c r="L52" s="22" t="n"/>
      <c r="M52" s="22" t="n"/>
      <c r="N52" s="22" t="n"/>
      <c r="O52" s="22" t="n"/>
      <c r="P52" s="22" t="n"/>
      <c r="Q52" s="28" t="n"/>
      <c r="R52" s="22" t="n"/>
      <c r="S52" s="29" t="n"/>
      <c r="T52" s="29" t="n"/>
      <c r="U52" s="29" t="n"/>
      <c r="V52" s="22" t="n"/>
      <c r="W52" s="22" t="n"/>
      <c r="X52" s="22" t="n"/>
      <c r="Y52" s="22" t="n"/>
      <c r="Z52" s="22" t="n"/>
      <c r="AA52" s="22" t="n"/>
      <c r="AB52" s="22" t="n"/>
      <c r="AC52" s="29" t="n"/>
      <c r="AD52" s="30">
        <f>IF(A52="","",(COUNTA(A52:G52)+COUNTA(J52:AC52))/27)</f>
        <v/>
      </c>
      <c r="AE52" s="26">
        <f>IF(B52="","",WORKDAY(B52,3))</f>
        <v/>
      </c>
      <c r="AF52" s="26">
        <f>IF(B52="","",WORKDAY(B52,5))</f>
        <v/>
      </c>
      <c r="AG52" s="26">
        <f>IF(B52="","",WORKDAY(B52,10))</f>
        <v/>
      </c>
      <c r="AH52" s="26" t="n"/>
    </row>
    <row r="53">
      <c r="A53" s="22" t="n"/>
      <c r="B53" s="22" t="n"/>
      <c r="C53" s="26" t="n"/>
      <c r="D53" s="27" t="n"/>
      <c r="E53" s="22" t="n"/>
      <c r="F53" s="26" t="n"/>
      <c r="G53" s="22" t="n"/>
      <c r="H53" s="26">
        <f>IF(G53="","",IFERROR(VLOOKUP(G53,板块观察!A:Z,19,FALSE),""))</f>
        <v/>
      </c>
      <c r="I53" s="26">
        <f>IF(G53="","",IFERROR(VLOOKUP(G53,板块观察!A:Z,20,FALSE),""))</f>
        <v/>
      </c>
      <c r="J53" s="22" t="n"/>
      <c r="K53" s="22" t="n"/>
      <c r="L53" s="22" t="n"/>
      <c r="M53" s="22" t="n"/>
      <c r="N53" s="22" t="n"/>
      <c r="O53" s="22" t="n"/>
      <c r="P53" s="22" t="n"/>
      <c r="Q53" s="28" t="n"/>
      <c r="R53" s="22" t="n"/>
      <c r="S53" s="29" t="n"/>
      <c r="T53" s="29" t="n"/>
      <c r="U53" s="29" t="n"/>
      <c r="V53" s="22" t="n"/>
      <c r="W53" s="22" t="n"/>
      <c r="X53" s="22" t="n"/>
      <c r="Y53" s="22" t="n"/>
      <c r="Z53" s="22" t="n"/>
      <c r="AA53" s="22" t="n"/>
      <c r="AB53" s="22" t="n"/>
      <c r="AC53" s="29" t="n"/>
      <c r="AD53" s="30">
        <f>IF(A53="","",(COUNTA(A53:G53)+COUNTA(J53:AC53))/27)</f>
        <v/>
      </c>
      <c r="AE53" s="26">
        <f>IF(B53="","",WORKDAY(B53,3))</f>
        <v/>
      </c>
      <c r="AF53" s="26">
        <f>IF(B53="","",WORKDAY(B53,5))</f>
        <v/>
      </c>
      <c r="AG53" s="26">
        <f>IF(B53="","",WORKDAY(B53,10))</f>
        <v/>
      </c>
      <c r="AH53" s="26" t="n"/>
    </row>
    <row r="54">
      <c r="A54" s="22" t="n"/>
      <c r="B54" s="22" t="n"/>
      <c r="C54" s="26" t="n"/>
      <c r="D54" s="27" t="n"/>
      <c r="E54" s="22" t="n"/>
      <c r="F54" s="26" t="n"/>
      <c r="G54" s="22" t="n"/>
      <c r="H54" s="26">
        <f>IF(G54="","",IFERROR(VLOOKUP(G54,板块观察!A:Z,19,FALSE),""))</f>
        <v/>
      </c>
      <c r="I54" s="26">
        <f>IF(G54="","",IFERROR(VLOOKUP(G54,板块观察!A:Z,20,FALSE),""))</f>
        <v/>
      </c>
      <c r="J54" s="22" t="n"/>
      <c r="K54" s="22" t="n"/>
      <c r="L54" s="22" t="n"/>
      <c r="M54" s="22" t="n"/>
      <c r="N54" s="22" t="n"/>
      <c r="O54" s="22" t="n"/>
      <c r="P54" s="22" t="n"/>
      <c r="Q54" s="28" t="n"/>
      <c r="R54" s="22" t="n"/>
      <c r="S54" s="29" t="n"/>
      <c r="T54" s="29" t="n"/>
      <c r="U54" s="29" t="n"/>
      <c r="V54" s="22" t="n"/>
      <c r="W54" s="22" t="n"/>
      <c r="X54" s="22" t="n"/>
      <c r="Y54" s="22" t="n"/>
      <c r="Z54" s="22" t="n"/>
      <c r="AA54" s="22" t="n"/>
      <c r="AB54" s="22" t="n"/>
      <c r="AC54" s="29" t="n"/>
      <c r="AD54" s="30">
        <f>IF(A54="","",(COUNTA(A54:G54)+COUNTA(J54:AC54))/27)</f>
        <v/>
      </c>
      <c r="AE54" s="26">
        <f>IF(B54="","",WORKDAY(B54,3))</f>
        <v/>
      </c>
      <c r="AF54" s="26">
        <f>IF(B54="","",WORKDAY(B54,5))</f>
        <v/>
      </c>
      <c r="AG54" s="26">
        <f>IF(B54="","",WORKDAY(B54,10))</f>
        <v/>
      </c>
      <c r="AH54" s="26" t="n"/>
    </row>
    <row r="55">
      <c r="A55" s="22" t="n"/>
      <c r="B55" s="22" t="n"/>
      <c r="C55" s="26" t="n"/>
      <c r="D55" s="27" t="n"/>
      <c r="E55" s="22" t="n"/>
      <c r="F55" s="26" t="n"/>
      <c r="G55" s="22" t="n"/>
      <c r="H55" s="26">
        <f>IF(G55="","",IFERROR(VLOOKUP(G55,板块观察!A:Z,19,FALSE),""))</f>
        <v/>
      </c>
      <c r="I55" s="26">
        <f>IF(G55="","",IFERROR(VLOOKUP(G55,板块观察!A:Z,20,FALSE),""))</f>
        <v/>
      </c>
      <c r="J55" s="22" t="n"/>
      <c r="K55" s="22" t="n"/>
      <c r="L55" s="22" t="n"/>
      <c r="M55" s="22" t="n"/>
      <c r="N55" s="22" t="n"/>
      <c r="O55" s="22" t="n"/>
      <c r="P55" s="22" t="n"/>
      <c r="Q55" s="28" t="n"/>
      <c r="R55" s="22" t="n"/>
      <c r="S55" s="29" t="n"/>
      <c r="T55" s="29" t="n"/>
      <c r="U55" s="29" t="n"/>
      <c r="V55" s="22" t="n"/>
      <c r="W55" s="22" t="n"/>
      <c r="X55" s="22" t="n"/>
      <c r="Y55" s="22" t="n"/>
      <c r="Z55" s="22" t="n"/>
      <c r="AA55" s="22" t="n"/>
      <c r="AB55" s="22" t="n"/>
      <c r="AC55" s="29" t="n"/>
      <c r="AD55" s="30">
        <f>IF(A55="","",(COUNTA(A55:G55)+COUNTA(J55:AC55))/27)</f>
        <v/>
      </c>
      <c r="AE55" s="26">
        <f>IF(B55="","",WORKDAY(B55,3))</f>
        <v/>
      </c>
      <c r="AF55" s="26">
        <f>IF(B55="","",WORKDAY(B55,5))</f>
        <v/>
      </c>
      <c r="AG55" s="26">
        <f>IF(B55="","",WORKDAY(B55,10))</f>
        <v/>
      </c>
      <c r="AH55" s="26" t="n"/>
    </row>
    <row r="56">
      <c r="A56" s="22" t="n"/>
      <c r="B56" s="22" t="n"/>
      <c r="C56" s="26" t="n"/>
      <c r="D56" s="27" t="n"/>
      <c r="E56" s="22" t="n"/>
      <c r="F56" s="26" t="n"/>
      <c r="G56" s="22" t="n"/>
      <c r="H56" s="26">
        <f>IF(G56="","",IFERROR(VLOOKUP(G56,板块观察!A:Z,19,FALSE),""))</f>
        <v/>
      </c>
      <c r="I56" s="26">
        <f>IF(G56="","",IFERROR(VLOOKUP(G56,板块观察!A:Z,20,FALSE),""))</f>
        <v/>
      </c>
      <c r="J56" s="22" t="n"/>
      <c r="K56" s="22" t="n"/>
      <c r="L56" s="22" t="n"/>
      <c r="M56" s="22" t="n"/>
      <c r="N56" s="22" t="n"/>
      <c r="O56" s="22" t="n"/>
      <c r="P56" s="22" t="n"/>
      <c r="Q56" s="28" t="n"/>
      <c r="R56" s="22" t="n"/>
      <c r="S56" s="29" t="n"/>
      <c r="T56" s="29" t="n"/>
      <c r="U56" s="29" t="n"/>
      <c r="V56" s="22" t="n"/>
      <c r="W56" s="22" t="n"/>
      <c r="X56" s="22" t="n"/>
      <c r="Y56" s="22" t="n"/>
      <c r="Z56" s="22" t="n"/>
      <c r="AA56" s="22" t="n"/>
      <c r="AB56" s="22" t="n"/>
      <c r="AC56" s="29" t="n"/>
      <c r="AD56" s="30">
        <f>IF(A56="","",(COUNTA(A56:G56)+COUNTA(J56:AC56))/27)</f>
        <v/>
      </c>
      <c r="AE56" s="26">
        <f>IF(B56="","",WORKDAY(B56,3))</f>
        <v/>
      </c>
      <c r="AF56" s="26">
        <f>IF(B56="","",WORKDAY(B56,5))</f>
        <v/>
      </c>
      <c r="AG56" s="26">
        <f>IF(B56="","",WORKDAY(B56,10))</f>
        <v/>
      </c>
      <c r="AH56" s="26" t="n"/>
    </row>
    <row r="57">
      <c r="A57" s="22" t="n"/>
      <c r="B57" s="22" t="n"/>
      <c r="C57" s="26" t="n"/>
      <c r="D57" s="27" t="n"/>
      <c r="E57" s="22" t="n"/>
      <c r="F57" s="26" t="n"/>
      <c r="G57" s="22" t="n"/>
      <c r="H57" s="26">
        <f>IF(G57="","",IFERROR(VLOOKUP(G57,板块观察!A:Z,19,FALSE),""))</f>
        <v/>
      </c>
      <c r="I57" s="26">
        <f>IF(G57="","",IFERROR(VLOOKUP(G57,板块观察!A:Z,20,FALSE),""))</f>
        <v/>
      </c>
      <c r="J57" s="22" t="n"/>
      <c r="K57" s="22" t="n"/>
      <c r="L57" s="22" t="n"/>
      <c r="M57" s="22" t="n"/>
      <c r="N57" s="22" t="n"/>
      <c r="O57" s="22" t="n"/>
      <c r="P57" s="22" t="n"/>
      <c r="Q57" s="28" t="n"/>
      <c r="R57" s="22" t="n"/>
      <c r="S57" s="29" t="n"/>
      <c r="T57" s="29" t="n"/>
      <c r="U57" s="29" t="n"/>
      <c r="V57" s="22" t="n"/>
      <c r="W57" s="22" t="n"/>
      <c r="X57" s="22" t="n"/>
      <c r="Y57" s="22" t="n"/>
      <c r="Z57" s="22" t="n"/>
      <c r="AA57" s="22" t="n"/>
      <c r="AB57" s="22" t="n"/>
      <c r="AC57" s="29" t="n"/>
      <c r="AD57" s="30">
        <f>IF(A57="","",(COUNTA(A57:G57)+COUNTA(J57:AC57))/27)</f>
        <v/>
      </c>
      <c r="AE57" s="26">
        <f>IF(B57="","",WORKDAY(B57,3))</f>
        <v/>
      </c>
      <c r="AF57" s="26">
        <f>IF(B57="","",WORKDAY(B57,5))</f>
        <v/>
      </c>
      <c r="AG57" s="26">
        <f>IF(B57="","",WORKDAY(B57,10))</f>
        <v/>
      </c>
      <c r="AH57" s="26" t="n"/>
    </row>
    <row r="58">
      <c r="A58" s="22" t="n"/>
      <c r="B58" s="22" t="n"/>
      <c r="C58" s="26" t="n"/>
      <c r="D58" s="27" t="n"/>
      <c r="E58" s="22" t="n"/>
      <c r="F58" s="26" t="n"/>
      <c r="G58" s="22" t="n"/>
      <c r="H58" s="26">
        <f>IF(G58="","",IFERROR(VLOOKUP(G58,板块观察!A:Z,19,FALSE),""))</f>
        <v/>
      </c>
      <c r="I58" s="26">
        <f>IF(G58="","",IFERROR(VLOOKUP(G58,板块观察!A:Z,20,FALSE),""))</f>
        <v/>
      </c>
      <c r="J58" s="22" t="n"/>
      <c r="K58" s="22" t="n"/>
      <c r="L58" s="22" t="n"/>
      <c r="M58" s="22" t="n"/>
      <c r="N58" s="22" t="n"/>
      <c r="O58" s="22" t="n"/>
      <c r="P58" s="22" t="n"/>
      <c r="Q58" s="28" t="n"/>
      <c r="R58" s="22" t="n"/>
      <c r="S58" s="29" t="n"/>
      <c r="T58" s="29" t="n"/>
      <c r="U58" s="29" t="n"/>
      <c r="V58" s="22" t="n"/>
      <c r="W58" s="22" t="n"/>
      <c r="X58" s="22" t="n"/>
      <c r="Y58" s="22" t="n"/>
      <c r="Z58" s="22" t="n"/>
      <c r="AA58" s="22" t="n"/>
      <c r="AB58" s="22" t="n"/>
      <c r="AC58" s="29" t="n"/>
      <c r="AD58" s="30">
        <f>IF(A58="","",(COUNTA(A58:G58)+COUNTA(J58:AC58))/27)</f>
        <v/>
      </c>
      <c r="AE58" s="26">
        <f>IF(B58="","",WORKDAY(B58,3))</f>
        <v/>
      </c>
      <c r="AF58" s="26">
        <f>IF(B58="","",WORKDAY(B58,5))</f>
        <v/>
      </c>
      <c r="AG58" s="26">
        <f>IF(B58="","",WORKDAY(B58,10))</f>
        <v/>
      </c>
      <c r="AH58" s="26" t="n"/>
    </row>
    <row r="59">
      <c r="A59" s="22" t="n"/>
      <c r="B59" s="22" t="n"/>
      <c r="C59" s="26" t="n"/>
      <c r="D59" s="27" t="n"/>
      <c r="E59" s="22" t="n"/>
      <c r="F59" s="26" t="n"/>
      <c r="G59" s="22" t="n"/>
      <c r="H59" s="26">
        <f>IF(G59="","",IFERROR(VLOOKUP(G59,板块观察!A:Z,19,FALSE),""))</f>
        <v/>
      </c>
      <c r="I59" s="26">
        <f>IF(G59="","",IFERROR(VLOOKUP(G59,板块观察!A:Z,20,FALSE),""))</f>
        <v/>
      </c>
      <c r="J59" s="22" t="n"/>
      <c r="K59" s="22" t="n"/>
      <c r="L59" s="22" t="n"/>
      <c r="M59" s="22" t="n"/>
      <c r="N59" s="22" t="n"/>
      <c r="O59" s="22" t="n"/>
      <c r="P59" s="22" t="n"/>
      <c r="Q59" s="28" t="n"/>
      <c r="R59" s="22" t="n"/>
      <c r="S59" s="29" t="n"/>
      <c r="T59" s="29" t="n"/>
      <c r="U59" s="29" t="n"/>
      <c r="V59" s="22" t="n"/>
      <c r="W59" s="22" t="n"/>
      <c r="X59" s="22" t="n"/>
      <c r="Y59" s="22" t="n"/>
      <c r="Z59" s="22" t="n"/>
      <c r="AA59" s="22" t="n"/>
      <c r="AB59" s="22" t="n"/>
      <c r="AC59" s="29" t="n"/>
      <c r="AD59" s="30">
        <f>IF(A59="","",(COUNTA(A59:G59)+COUNTA(J59:AC59))/27)</f>
        <v/>
      </c>
      <c r="AE59" s="26">
        <f>IF(B59="","",WORKDAY(B59,3))</f>
        <v/>
      </c>
      <c r="AF59" s="26">
        <f>IF(B59="","",WORKDAY(B59,5))</f>
        <v/>
      </c>
      <c r="AG59" s="26">
        <f>IF(B59="","",WORKDAY(B59,10))</f>
        <v/>
      </c>
      <c r="AH59" s="26" t="n"/>
    </row>
    <row r="60">
      <c r="A60" s="22" t="n"/>
      <c r="B60" s="22" t="n"/>
      <c r="C60" s="26" t="n"/>
      <c r="D60" s="27" t="n"/>
      <c r="E60" s="22" t="n"/>
      <c r="F60" s="26" t="n"/>
      <c r="G60" s="22" t="n"/>
      <c r="H60" s="26">
        <f>IF(G60="","",IFERROR(VLOOKUP(G60,板块观察!A:Z,19,FALSE),""))</f>
        <v/>
      </c>
      <c r="I60" s="26">
        <f>IF(G60="","",IFERROR(VLOOKUP(G60,板块观察!A:Z,20,FALSE),""))</f>
        <v/>
      </c>
      <c r="J60" s="22" t="n"/>
      <c r="K60" s="22" t="n"/>
      <c r="L60" s="22" t="n"/>
      <c r="M60" s="22" t="n"/>
      <c r="N60" s="22" t="n"/>
      <c r="O60" s="22" t="n"/>
      <c r="P60" s="22" t="n"/>
      <c r="Q60" s="28" t="n"/>
      <c r="R60" s="22" t="n"/>
      <c r="S60" s="29" t="n"/>
      <c r="T60" s="29" t="n"/>
      <c r="U60" s="29" t="n"/>
      <c r="V60" s="22" t="n"/>
      <c r="W60" s="22" t="n"/>
      <c r="X60" s="22" t="n"/>
      <c r="Y60" s="22" t="n"/>
      <c r="Z60" s="22" t="n"/>
      <c r="AA60" s="22" t="n"/>
      <c r="AB60" s="22" t="n"/>
      <c r="AC60" s="29" t="n"/>
      <c r="AD60" s="30">
        <f>IF(A60="","",(COUNTA(A60:G60)+COUNTA(J60:AC60))/27)</f>
        <v/>
      </c>
      <c r="AE60" s="26">
        <f>IF(B60="","",WORKDAY(B60,3))</f>
        <v/>
      </c>
      <c r="AF60" s="26">
        <f>IF(B60="","",WORKDAY(B60,5))</f>
        <v/>
      </c>
      <c r="AG60" s="26">
        <f>IF(B60="","",WORKDAY(B60,10))</f>
        <v/>
      </c>
      <c r="AH60" s="26" t="n"/>
    </row>
    <row r="61">
      <c r="A61" s="22" t="n"/>
      <c r="B61" s="22" t="n"/>
      <c r="C61" s="26" t="n"/>
      <c r="D61" s="27" t="n"/>
      <c r="E61" s="22" t="n"/>
      <c r="F61" s="26" t="n"/>
      <c r="G61" s="22" t="n"/>
      <c r="H61" s="26">
        <f>IF(G61="","",IFERROR(VLOOKUP(G61,板块观察!A:Z,19,FALSE),""))</f>
        <v/>
      </c>
      <c r="I61" s="26">
        <f>IF(G61="","",IFERROR(VLOOKUP(G61,板块观察!A:Z,20,FALSE),""))</f>
        <v/>
      </c>
      <c r="J61" s="22" t="n"/>
      <c r="K61" s="22" t="n"/>
      <c r="L61" s="22" t="n"/>
      <c r="M61" s="22" t="n"/>
      <c r="N61" s="22" t="n"/>
      <c r="O61" s="22" t="n"/>
      <c r="P61" s="22" t="n"/>
      <c r="Q61" s="28" t="n"/>
      <c r="R61" s="22" t="n"/>
      <c r="S61" s="29" t="n"/>
      <c r="T61" s="29" t="n"/>
      <c r="U61" s="29" t="n"/>
      <c r="V61" s="22" t="n"/>
      <c r="W61" s="22" t="n"/>
      <c r="X61" s="22" t="n"/>
      <c r="Y61" s="22" t="n"/>
      <c r="Z61" s="22" t="n"/>
      <c r="AA61" s="22" t="n"/>
      <c r="AB61" s="22" t="n"/>
      <c r="AC61" s="29" t="n"/>
      <c r="AD61" s="30">
        <f>IF(A61="","",(COUNTA(A61:G61)+COUNTA(J61:AC61))/27)</f>
        <v/>
      </c>
      <c r="AE61" s="26">
        <f>IF(B61="","",WORKDAY(B61,3))</f>
        <v/>
      </c>
      <c r="AF61" s="26">
        <f>IF(B61="","",WORKDAY(B61,5))</f>
        <v/>
      </c>
      <c r="AG61" s="26">
        <f>IF(B61="","",WORKDAY(B61,10))</f>
        <v/>
      </c>
      <c r="AH61" s="26" t="n"/>
    </row>
    <row r="62">
      <c r="A62" s="22" t="n"/>
      <c r="B62" s="22" t="n"/>
      <c r="C62" s="26" t="n"/>
      <c r="D62" s="27" t="n"/>
      <c r="E62" s="22" t="n"/>
      <c r="F62" s="26" t="n"/>
      <c r="G62" s="22" t="n"/>
      <c r="H62" s="26">
        <f>IF(G62="","",IFERROR(VLOOKUP(G62,板块观察!A:Z,19,FALSE),""))</f>
        <v/>
      </c>
      <c r="I62" s="26">
        <f>IF(G62="","",IFERROR(VLOOKUP(G62,板块观察!A:Z,20,FALSE),""))</f>
        <v/>
      </c>
      <c r="J62" s="22" t="n"/>
      <c r="K62" s="22" t="n"/>
      <c r="L62" s="22" t="n"/>
      <c r="M62" s="22" t="n"/>
      <c r="N62" s="22" t="n"/>
      <c r="O62" s="22" t="n"/>
      <c r="P62" s="22" t="n"/>
      <c r="Q62" s="28" t="n"/>
      <c r="R62" s="22" t="n"/>
      <c r="S62" s="29" t="n"/>
      <c r="T62" s="29" t="n"/>
      <c r="U62" s="29" t="n"/>
      <c r="V62" s="22" t="n"/>
      <c r="W62" s="22" t="n"/>
      <c r="X62" s="22" t="n"/>
      <c r="Y62" s="22" t="n"/>
      <c r="Z62" s="22" t="n"/>
      <c r="AA62" s="22" t="n"/>
      <c r="AB62" s="22" t="n"/>
      <c r="AC62" s="29" t="n"/>
      <c r="AD62" s="30">
        <f>IF(A62="","",(COUNTA(A62:G62)+COUNTA(J62:AC62))/27)</f>
        <v/>
      </c>
      <c r="AE62" s="26">
        <f>IF(B62="","",WORKDAY(B62,3))</f>
        <v/>
      </c>
      <c r="AF62" s="26">
        <f>IF(B62="","",WORKDAY(B62,5))</f>
        <v/>
      </c>
      <c r="AG62" s="26">
        <f>IF(B62="","",WORKDAY(B62,10))</f>
        <v/>
      </c>
      <c r="AH62" s="26" t="n"/>
    </row>
    <row r="63">
      <c r="A63" s="22" t="n"/>
      <c r="B63" s="22" t="n"/>
      <c r="C63" s="26" t="n"/>
      <c r="D63" s="27" t="n"/>
      <c r="E63" s="22" t="n"/>
      <c r="F63" s="26" t="n"/>
      <c r="G63" s="22" t="n"/>
      <c r="H63" s="26">
        <f>IF(G63="","",IFERROR(VLOOKUP(G63,板块观察!A:Z,19,FALSE),""))</f>
        <v/>
      </c>
      <c r="I63" s="26">
        <f>IF(G63="","",IFERROR(VLOOKUP(G63,板块观察!A:Z,20,FALSE),""))</f>
        <v/>
      </c>
      <c r="J63" s="22" t="n"/>
      <c r="K63" s="22" t="n"/>
      <c r="L63" s="22" t="n"/>
      <c r="M63" s="22" t="n"/>
      <c r="N63" s="22" t="n"/>
      <c r="O63" s="22" t="n"/>
      <c r="P63" s="22" t="n"/>
      <c r="Q63" s="28" t="n"/>
      <c r="R63" s="22" t="n"/>
      <c r="S63" s="29" t="n"/>
      <c r="T63" s="29" t="n"/>
      <c r="U63" s="29" t="n"/>
      <c r="V63" s="22" t="n"/>
      <c r="W63" s="22" t="n"/>
      <c r="X63" s="22" t="n"/>
      <c r="Y63" s="22" t="n"/>
      <c r="Z63" s="22" t="n"/>
      <c r="AA63" s="22" t="n"/>
      <c r="AB63" s="22" t="n"/>
      <c r="AC63" s="29" t="n"/>
      <c r="AD63" s="30">
        <f>IF(A63="","",(COUNTA(A63:G63)+COUNTA(J63:AC63))/27)</f>
        <v/>
      </c>
      <c r="AE63" s="26">
        <f>IF(B63="","",WORKDAY(B63,3))</f>
        <v/>
      </c>
      <c r="AF63" s="26">
        <f>IF(B63="","",WORKDAY(B63,5))</f>
        <v/>
      </c>
      <c r="AG63" s="26">
        <f>IF(B63="","",WORKDAY(B63,10))</f>
        <v/>
      </c>
      <c r="AH63" s="26" t="n"/>
    </row>
    <row r="64">
      <c r="A64" s="22" t="n"/>
      <c r="B64" s="22" t="n"/>
      <c r="C64" s="26" t="n"/>
      <c r="D64" s="27" t="n"/>
      <c r="E64" s="22" t="n"/>
      <c r="F64" s="26" t="n"/>
      <c r="G64" s="22" t="n"/>
      <c r="H64" s="26">
        <f>IF(G64="","",IFERROR(VLOOKUP(G64,板块观察!A:Z,19,FALSE),""))</f>
        <v/>
      </c>
      <c r="I64" s="26">
        <f>IF(G64="","",IFERROR(VLOOKUP(G64,板块观察!A:Z,20,FALSE),""))</f>
        <v/>
      </c>
      <c r="J64" s="22" t="n"/>
      <c r="K64" s="22" t="n"/>
      <c r="L64" s="22" t="n"/>
      <c r="M64" s="22" t="n"/>
      <c r="N64" s="22" t="n"/>
      <c r="O64" s="22" t="n"/>
      <c r="P64" s="22" t="n"/>
      <c r="Q64" s="28" t="n"/>
      <c r="R64" s="22" t="n"/>
      <c r="S64" s="29" t="n"/>
      <c r="T64" s="29" t="n"/>
      <c r="U64" s="29" t="n"/>
      <c r="V64" s="22" t="n"/>
      <c r="W64" s="22" t="n"/>
      <c r="X64" s="22" t="n"/>
      <c r="Y64" s="22" t="n"/>
      <c r="Z64" s="22" t="n"/>
      <c r="AA64" s="22" t="n"/>
      <c r="AB64" s="22" t="n"/>
      <c r="AC64" s="29" t="n"/>
      <c r="AD64" s="30">
        <f>IF(A64="","",(COUNTA(A64:G64)+COUNTA(J64:AC64))/27)</f>
        <v/>
      </c>
      <c r="AE64" s="26">
        <f>IF(B64="","",WORKDAY(B64,3))</f>
        <v/>
      </c>
      <c r="AF64" s="26">
        <f>IF(B64="","",WORKDAY(B64,5))</f>
        <v/>
      </c>
      <c r="AG64" s="26">
        <f>IF(B64="","",WORKDAY(B64,10))</f>
        <v/>
      </c>
      <c r="AH64" s="26" t="n"/>
    </row>
    <row r="65">
      <c r="A65" s="22" t="n"/>
      <c r="B65" s="22" t="n"/>
      <c r="C65" s="26" t="n"/>
      <c r="D65" s="27" t="n"/>
      <c r="E65" s="22" t="n"/>
      <c r="F65" s="26" t="n"/>
      <c r="G65" s="22" t="n"/>
      <c r="H65" s="26">
        <f>IF(G65="","",IFERROR(VLOOKUP(G65,板块观察!A:Z,19,FALSE),""))</f>
        <v/>
      </c>
      <c r="I65" s="26">
        <f>IF(G65="","",IFERROR(VLOOKUP(G65,板块观察!A:Z,20,FALSE),""))</f>
        <v/>
      </c>
      <c r="J65" s="22" t="n"/>
      <c r="K65" s="22" t="n"/>
      <c r="L65" s="22" t="n"/>
      <c r="M65" s="22" t="n"/>
      <c r="N65" s="22" t="n"/>
      <c r="O65" s="22" t="n"/>
      <c r="P65" s="22" t="n"/>
      <c r="Q65" s="28" t="n"/>
      <c r="R65" s="22" t="n"/>
      <c r="S65" s="29" t="n"/>
      <c r="T65" s="29" t="n"/>
      <c r="U65" s="29" t="n"/>
      <c r="V65" s="22" t="n"/>
      <c r="W65" s="22" t="n"/>
      <c r="X65" s="22" t="n"/>
      <c r="Y65" s="22" t="n"/>
      <c r="Z65" s="22" t="n"/>
      <c r="AA65" s="22" t="n"/>
      <c r="AB65" s="22" t="n"/>
      <c r="AC65" s="29" t="n"/>
      <c r="AD65" s="30">
        <f>IF(A65="","",(COUNTA(A65:G65)+COUNTA(J65:AC65))/27)</f>
        <v/>
      </c>
      <c r="AE65" s="26">
        <f>IF(B65="","",WORKDAY(B65,3))</f>
        <v/>
      </c>
      <c r="AF65" s="26">
        <f>IF(B65="","",WORKDAY(B65,5))</f>
        <v/>
      </c>
      <c r="AG65" s="26">
        <f>IF(B65="","",WORKDAY(B65,10))</f>
        <v/>
      </c>
      <c r="AH65" s="26" t="n"/>
    </row>
    <row r="66">
      <c r="A66" s="22" t="n"/>
      <c r="B66" s="22" t="n"/>
      <c r="C66" s="26" t="n"/>
      <c r="D66" s="27" t="n"/>
      <c r="E66" s="22" t="n"/>
      <c r="F66" s="26" t="n"/>
      <c r="G66" s="22" t="n"/>
      <c r="H66" s="26">
        <f>IF(G66="","",IFERROR(VLOOKUP(G66,板块观察!A:Z,19,FALSE),""))</f>
        <v/>
      </c>
      <c r="I66" s="26">
        <f>IF(G66="","",IFERROR(VLOOKUP(G66,板块观察!A:Z,20,FALSE),""))</f>
        <v/>
      </c>
      <c r="J66" s="22" t="n"/>
      <c r="K66" s="22" t="n"/>
      <c r="L66" s="22" t="n"/>
      <c r="M66" s="22" t="n"/>
      <c r="N66" s="22" t="n"/>
      <c r="O66" s="22" t="n"/>
      <c r="P66" s="22" t="n"/>
      <c r="Q66" s="28" t="n"/>
      <c r="R66" s="22" t="n"/>
      <c r="S66" s="29" t="n"/>
      <c r="T66" s="29" t="n"/>
      <c r="U66" s="29" t="n"/>
      <c r="V66" s="22" t="n"/>
      <c r="W66" s="22" t="n"/>
      <c r="X66" s="22" t="n"/>
      <c r="Y66" s="22" t="n"/>
      <c r="Z66" s="22" t="n"/>
      <c r="AA66" s="22" t="n"/>
      <c r="AB66" s="22" t="n"/>
      <c r="AC66" s="29" t="n"/>
      <c r="AD66" s="30">
        <f>IF(A66="","",(COUNTA(A66:G66)+COUNTA(J66:AC66))/27)</f>
        <v/>
      </c>
      <c r="AE66" s="26">
        <f>IF(B66="","",WORKDAY(B66,3))</f>
        <v/>
      </c>
      <c r="AF66" s="26">
        <f>IF(B66="","",WORKDAY(B66,5))</f>
        <v/>
      </c>
      <c r="AG66" s="26">
        <f>IF(B66="","",WORKDAY(B66,10))</f>
        <v/>
      </c>
      <c r="AH66" s="26" t="n"/>
    </row>
    <row r="67">
      <c r="A67" s="22" t="n"/>
      <c r="B67" s="22" t="n"/>
      <c r="C67" s="26" t="n"/>
      <c r="D67" s="27" t="n"/>
      <c r="E67" s="22" t="n"/>
      <c r="F67" s="26" t="n"/>
      <c r="G67" s="22" t="n"/>
      <c r="H67" s="26">
        <f>IF(G67="","",IFERROR(VLOOKUP(G67,板块观察!A:Z,19,FALSE),""))</f>
        <v/>
      </c>
      <c r="I67" s="26">
        <f>IF(G67="","",IFERROR(VLOOKUP(G67,板块观察!A:Z,20,FALSE),""))</f>
        <v/>
      </c>
      <c r="J67" s="22" t="n"/>
      <c r="K67" s="22" t="n"/>
      <c r="L67" s="22" t="n"/>
      <c r="M67" s="22" t="n"/>
      <c r="N67" s="22" t="n"/>
      <c r="O67" s="22" t="n"/>
      <c r="P67" s="22" t="n"/>
      <c r="Q67" s="28" t="n"/>
      <c r="R67" s="22" t="n"/>
      <c r="S67" s="29" t="n"/>
      <c r="T67" s="29" t="n"/>
      <c r="U67" s="29" t="n"/>
      <c r="V67" s="22" t="n"/>
      <c r="W67" s="22" t="n"/>
      <c r="X67" s="22" t="n"/>
      <c r="Y67" s="22" t="n"/>
      <c r="Z67" s="22" t="n"/>
      <c r="AA67" s="22" t="n"/>
      <c r="AB67" s="22" t="n"/>
      <c r="AC67" s="29" t="n"/>
      <c r="AD67" s="30">
        <f>IF(A67="","",(COUNTA(A67:G67)+COUNTA(J67:AC67))/27)</f>
        <v/>
      </c>
      <c r="AE67" s="26">
        <f>IF(B67="","",WORKDAY(B67,3))</f>
        <v/>
      </c>
      <c r="AF67" s="26">
        <f>IF(B67="","",WORKDAY(B67,5))</f>
        <v/>
      </c>
      <c r="AG67" s="26">
        <f>IF(B67="","",WORKDAY(B67,10))</f>
        <v/>
      </c>
      <c r="AH67" s="26" t="n"/>
    </row>
    <row r="68">
      <c r="A68" s="22" t="n"/>
      <c r="B68" s="22" t="n"/>
      <c r="C68" s="26" t="n"/>
      <c r="D68" s="27" t="n"/>
      <c r="E68" s="22" t="n"/>
      <c r="F68" s="26" t="n"/>
      <c r="G68" s="22" t="n"/>
      <c r="H68" s="26">
        <f>IF(G68="","",IFERROR(VLOOKUP(G68,板块观察!A:Z,19,FALSE),""))</f>
        <v/>
      </c>
      <c r="I68" s="26">
        <f>IF(G68="","",IFERROR(VLOOKUP(G68,板块观察!A:Z,20,FALSE),""))</f>
        <v/>
      </c>
      <c r="J68" s="22" t="n"/>
      <c r="K68" s="22" t="n"/>
      <c r="L68" s="22" t="n"/>
      <c r="M68" s="22" t="n"/>
      <c r="N68" s="22" t="n"/>
      <c r="O68" s="22" t="n"/>
      <c r="P68" s="22" t="n"/>
      <c r="Q68" s="28" t="n"/>
      <c r="R68" s="22" t="n"/>
      <c r="S68" s="29" t="n"/>
      <c r="T68" s="29" t="n"/>
      <c r="U68" s="29" t="n"/>
      <c r="V68" s="22" t="n"/>
      <c r="W68" s="22" t="n"/>
      <c r="X68" s="22" t="n"/>
      <c r="Y68" s="22" t="n"/>
      <c r="Z68" s="22" t="n"/>
      <c r="AA68" s="22" t="n"/>
      <c r="AB68" s="22" t="n"/>
      <c r="AC68" s="29" t="n"/>
      <c r="AD68" s="30">
        <f>IF(A68="","",(COUNTA(A68:G68)+COUNTA(J68:AC68))/27)</f>
        <v/>
      </c>
      <c r="AE68" s="26">
        <f>IF(B68="","",WORKDAY(B68,3))</f>
        <v/>
      </c>
      <c r="AF68" s="26">
        <f>IF(B68="","",WORKDAY(B68,5))</f>
        <v/>
      </c>
      <c r="AG68" s="26">
        <f>IF(B68="","",WORKDAY(B68,10))</f>
        <v/>
      </c>
      <c r="AH68" s="26" t="n"/>
    </row>
    <row r="69">
      <c r="A69" s="22" t="n"/>
      <c r="B69" s="22" t="n"/>
      <c r="C69" s="26" t="n"/>
      <c r="D69" s="27" t="n"/>
      <c r="E69" s="22" t="n"/>
      <c r="F69" s="26" t="n"/>
      <c r="G69" s="22" t="n"/>
      <c r="H69" s="26">
        <f>IF(G69="","",IFERROR(VLOOKUP(G69,板块观察!A:Z,19,FALSE),""))</f>
        <v/>
      </c>
      <c r="I69" s="26">
        <f>IF(G69="","",IFERROR(VLOOKUP(G69,板块观察!A:Z,20,FALSE),""))</f>
        <v/>
      </c>
      <c r="J69" s="22" t="n"/>
      <c r="K69" s="22" t="n"/>
      <c r="L69" s="22" t="n"/>
      <c r="M69" s="22" t="n"/>
      <c r="N69" s="22" t="n"/>
      <c r="O69" s="22" t="n"/>
      <c r="P69" s="22" t="n"/>
      <c r="Q69" s="28" t="n"/>
      <c r="R69" s="22" t="n"/>
      <c r="S69" s="29" t="n"/>
      <c r="T69" s="29" t="n"/>
      <c r="U69" s="29" t="n"/>
      <c r="V69" s="22" t="n"/>
      <c r="W69" s="22" t="n"/>
      <c r="X69" s="22" t="n"/>
      <c r="Y69" s="22" t="n"/>
      <c r="Z69" s="22" t="n"/>
      <c r="AA69" s="22" t="n"/>
      <c r="AB69" s="22" t="n"/>
      <c r="AC69" s="29" t="n"/>
      <c r="AD69" s="30">
        <f>IF(A69="","",(COUNTA(A69:G69)+COUNTA(J69:AC69))/27)</f>
        <v/>
      </c>
      <c r="AE69" s="26">
        <f>IF(B69="","",WORKDAY(B69,3))</f>
        <v/>
      </c>
      <c r="AF69" s="26">
        <f>IF(B69="","",WORKDAY(B69,5))</f>
        <v/>
      </c>
      <c r="AG69" s="26">
        <f>IF(B69="","",WORKDAY(B69,10))</f>
        <v/>
      </c>
      <c r="AH69" s="26" t="n"/>
    </row>
    <row r="70">
      <c r="A70" s="22" t="n"/>
      <c r="B70" s="22" t="n"/>
      <c r="C70" s="26" t="n"/>
      <c r="D70" s="27" t="n"/>
      <c r="E70" s="22" t="n"/>
      <c r="F70" s="26" t="n"/>
      <c r="G70" s="22" t="n"/>
      <c r="H70" s="26">
        <f>IF(G70="","",IFERROR(VLOOKUP(G70,板块观察!A:Z,19,FALSE),""))</f>
        <v/>
      </c>
      <c r="I70" s="26">
        <f>IF(G70="","",IFERROR(VLOOKUP(G70,板块观察!A:Z,20,FALSE),""))</f>
        <v/>
      </c>
      <c r="J70" s="22" t="n"/>
      <c r="K70" s="22" t="n"/>
      <c r="L70" s="22" t="n"/>
      <c r="M70" s="22" t="n"/>
      <c r="N70" s="22" t="n"/>
      <c r="O70" s="22" t="n"/>
      <c r="P70" s="22" t="n"/>
      <c r="Q70" s="28" t="n"/>
      <c r="R70" s="22" t="n"/>
      <c r="S70" s="29" t="n"/>
      <c r="T70" s="29" t="n"/>
      <c r="U70" s="29" t="n"/>
      <c r="V70" s="22" t="n"/>
      <c r="W70" s="22" t="n"/>
      <c r="X70" s="22" t="n"/>
      <c r="Y70" s="22" t="n"/>
      <c r="Z70" s="22" t="n"/>
      <c r="AA70" s="22" t="n"/>
      <c r="AB70" s="22" t="n"/>
      <c r="AC70" s="29" t="n"/>
      <c r="AD70" s="30">
        <f>IF(A70="","",(COUNTA(A70:G70)+COUNTA(J70:AC70))/27)</f>
        <v/>
      </c>
      <c r="AE70" s="26">
        <f>IF(B70="","",WORKDAY(B70,3))</f>
        <v/>
      </c>
      <c r="AF70" s="26">
        <f>IF(B70="","",WORKDAY(B70,5))</f>
        <v/>
      </c>
      <c r="AG70" s="26">
        <f>IF(B70="","",WORKDAY(B70,10))</f>
        <v/>
      </c>
      <c r="AH70" s="26" t="n"/>
    </row>
    <row r="71">
      <c r="A71" s="22" t="n"/>
      <c r="B71" s="22" t="n"/>
      <c r="C71" s="26" t="n"/>
      <c r="D71" s="27" t="n"/>
      <c r="E71" s="22" t="n"/>
      <c r="F71" s="26" t="n"/>
      <c r="G71" s="22" t="n"/>
      <c r="H71" s="26">
        <f>IF(G71="","",IFERROR(VLOOKUP(G71,板块观察!A:Z,19,FALSE),""))</f>
        <v/>
      </c>
      <c r="I71" s="26">
        <f>IF(G71="","",IFERROR(VLOOKUP(G71,板块观察!A:Z,20,FALSE),""))</f>
        <v/>
      </c>
      <c r="J71" s="22" t="n"/>
      <c r="K71" s="22" t="n"/>
      <c r="L71" s="22" t="n"/>
      <c r="M71" s="22" t="n"/>
      <c r="N71" s="22" t="n"/>
      <c r="O71" s="22" t="n"/>
      <c r="P71" s="22" t="n"/>
      <c r="Q71" s="28" t="n"/>
      <c r="R71" s="22" t="n"/>
      <c r="S71" s="29" t="n"/>
      <c r="T71" s="29" t="n"/>
      <c r="U71" s="29" t="n"/>
      <c r="V71" s="22" t="n"/>
      <c r="W71" s="22" t="n"/>
      <c r="X71" s="22" t="n"/>
      <c r="Y71" s="22" t="n"/>
      <c r="Z71" s="22" t="n"/>
      <c r="AA71" s="22" t="n"/>
      <c r="AB71" s="22" t="n"/>
      <c r="AC71" s="29" t="n"/>
      <c r="AD71" s="30">
        <f>IF(A71="","",(COUNTA(A71:G71)+COUNTA(J71:AC71))/27)</f>
        <v/>
      </c>
      <c r="AE71" s="26">
        <f>IF(B71="","",WORKDAY(B71,3))</f>
        <v/>
      </c>
      <c r="AF71" s="26">
        <f>IF(B71="","",WORKDAY(B71,5))</f>
        <v/>
      </c>
      <c r="AG71" s="26">
        <f>IF(B71="","",WORKDAY(B71,10))</f>
        <v/>
      </c>
      <c r="AH71" s="26" t="n"/>
    </row>
    <row r="72">
      <c r="A72" s="22" t="n"/>
      <c r="B72" s="22" t="n"/>
      <c r="C72" s="26" t="n"/>
      <c r="D72" s="27" t="n"/>
      <c r="E72" s="22" t="n"/>
      <c r="F72" s="26" t="n"/>
      <c r="G72" s="22" t="n"/>
      <c r="H72" s="26">
        <f>IF(G72="","",IFERROR(VLOOKUP(G72,板块观察!A:Z,19,FALSE),""))</f>
        <v/>
      </c>
      <c r="I72" s="26">
        <f>IF(G72="","",IFERROR(VLOOKUP(G72,板块观察!A:Z,20,FALSE),""))</f>
        <v/>
      </c>
      <c r="J72" s="22" t="n"/>
      <c r="K72" s="22" t="n"/>
      <c r="L72" s="22" t="n"/>
      <c r="M72" s="22" t="n"/>
      <c r="N72" s="22" t="n"/>
      <c r="O72" s="22" t="n"/>
      <c r="P72" s="22" t="n"/>
      <c r="Q72" s="28" t="n"/>
      <c r="R72" s="22" t="n"/>
      <c r="S72" s="29" t="n"/>
      <c r="T72" s="29" t="n"/>
      <c r="U72" s="29" t="n"/>
      <c r="V72" s="22" t="n"/>
      <c r="W72" s="22" t="n"/>
      <c r="X72" s="22" t="n"/>
      <c r="Y72" s="22" t="n"/>
      <c r="Z72" s="22" t="n"/>
      <c r="AA72" s="22" t="n"/>
      <c r="AB72" s="22" t="n"/>
      <c r="AC72" s="29" t="n"/>
      <c r="AD72" s="30">
        <f>IF(A72="","",(COUNTA(A72:G72)+COUNTA(J72:AC72))/27)</f>
        <v/>
      </c>
      <c r="AE72" s="26">
        <f>IF(B72="","",WORKDAY(B72,3))</f>
        <v/>
      </c>
      <c r="AF72" s="26">
        <f>IF(B72="","",WORKDAY(B72,5))</f>
        <v/>
      </c>
      <c r="AG72" s="26">
        <f>IF(B72="","",WORKDAY(B72,10))</f>
        <v/>
      </c>
      <c r="AH72" s="26" t="n"/>
    </row>
    <row r="73">
      <c r="A73" s="22" t="n"/>
      <c r="B73" s="22" t="n"/>
      <c r="C73" s="26" t="n"/>
      <c r="D73" s="27" t="n"/>
      <c r="E73" s="22" t="n"/>
      <c r="F73" s="26" t="n"/>
      <c r="G73" s="22" t="n"/>
      <c r="H73" s="26">
        <f>IF(G73="","",IFERROR(VLOOKUP(G73,板块观察!A:Z,19,FALSE),""))</f>
        <v/>
      </c>
      <c r="I73" s="26">
        <f>IF(G73="","",IFERROR(VLOOKUP(G73,板块观察!A:Z,20,FALSE),""))</f>
        <v/>
      </c>
      <c r="J73" s="22" t="n"/>
      <c r="K73" s="22" t="n"/>
      <c r="L73" s="22" t="n"/>
      <c r="M73" s="22" t="n"/>
      <c r="N73" s="22" t="n"/>
      <c r="O73" s="22" t="n"/>
      <c r="P73" s="22" t="n"/>
      <c r="Q73" s="28" t="n"/>
      <c r="R73" s="22" t="n"/>
      <c r="S73" s="29" t="n"/>
      <c r="T73" s="29" t="n"/>
      <c r="U73" s="29" t="n"/>
      <c r="V73" s="22" t="n"/>
      <c r="W73" s="22" t="n"/>
      <c r="X73" s="22" t="n"/>
      <c r="Y73" s="22" t="n"/>
      <c r="Z73" s="22" t="n"/>
      <c r="AA73" s="22" t="n"/>
      <c r="AB73" s="22" t="n"/>
      <c r="AC73" s="29" t="n"/>
      <c r="AD73" s="30">
        <f>IF(A73="","",(COUNTA(A73:G73)+COUNTA(J73:AC73))/27)</f>
        <v/>
      </c>
      <c r="AE73" s="26">
        <f>IF(B73="","",WORKDAY(B73,3))</f>
        <v/>
      </c>
      <c r="AF73" s="26">
        <f>IF(B73="","",WORKDAY(B73,5))</f>
        <v/>
      </c>
      <c r="AG73" s="26">
        <f>IF(B73="","",WORKDAY(B73,10))</f>
        <v/>
      </c>
      <c r="AH73" s="26" t="n"/>
    </row>
    <row r="74">
      <c r="A74" s="22" t="n"/>
      <c r="B74" s="22" t="n"/>
      <c r="C74" s="26" t="n"/>
      <c r="D74" s="27" t="n"/>
      <c r="E74" s="22" t="n"/>
      <c r="F74" s="26" t="n"/>
      <c r="G74" s="22" t="n"/>
      <c r="H74" s="26">
        <f>IF(G74="","",IFERROR(VLOOKUP(G74,板块观察!A:Z,19,FALSE),""))</f>
        <v/>
      </c>
      <c r="I74" s="26">
        <f>IF(G74="","",IFERROR(VLOOKUP(G74,板块观察!A:Z,20,FALSE),""))</f>
        <v/>
      </c>
      <c r="J74" s="22" t="n"/>
      <c r="K74" s="22" t="n"/>
      <c r="L74" s="22" t="n"/>
      <c r="M74" s="22" t="n"/>
      <c r="N74" s="22" t="n"/>
      <c r="O74" s="22" t="n"/>
      <c r="P74" s="22" t="n"/>
      <c r="Q74" s="28" t="n"/>
      <c r="R74" s="22" t="n"/>
      <c r="S74" s="29" t="n"/>
      <c r="T74" s="29" t="n"/>
      <c r="U74" s="29" t="n"/>
      <c r="V74" s="22" t="n"/>
      <c r="W74" s="22" t="n"/>
      <c r="X74" s="22" t="n"/>
      <c r="Y74" s="22" t="n"/>
      <c r="Z74" s="22" t="n"/>
      <c r="AA74" s="22" t="n"/>
      <c r="AB74" s="22" t="n"/>
      <c r="AC74" s="29" t="n"/>
      <c r="AD74" s="30">
        <f>IF(A74="","",(COUNTA(A74:G74)+COUNTA(J74:AC74))/27)</f>
        <v/>
      </c>
      <c r="AE74" s="26">
        <f>IF(B74="","",WORKDAY(B74,3))</f>
        <v/>
      </c>
      <c r="AF74" s="26">
        <f>IF(B74="","",WORKDAY(B74,5))</f>
        <v/>
      </c>
      <c r="AG74" s="26">
        <f>IF(B74="","",WORKDAY(B74,10))</f>
        <v/>
      </c>
      <c r="AH74" s="26" t="n"/>
    </row>
    <row r="75">
      <c r="A75" s="22" t="n"/>
      <c r="B75" s="22" t="n"/>
      <c r="C75" s="26" t="n"/>
      <c r="D75" s="27" t="n"/>
      <c r="E75" s="22" t="n"/>
      <c r="F75" s="26" t="n"/>
      <c r="G75" s="22" t="n"/>
      <c r="H75" s="26">
        <f>IF(G75="","",IFERROR(VLOOKUP(G75,板块观察!A:Z,19,FALSE),""))</f>
        <v/>
      </c>
      <c r="I75" s="26">
        <f>IF(G75="","",IFERROR(VLOOKUP(G75,板块观察!A:Z,20,FALSE),""))</f>
        <v/>
      </c>
      <c r="J75" s="22" t="n"/>
      <c r="K75" s="22" t="n"/>
      <c r="L75" s="22" t="n"/>
      <c r="M75" s="22" t="n"/>
      <c r="N75" s="22" t="n"/>
      <c r="O75" s="22" t="n"/>
      <c r="P75" s="22" t="n"/>
      <c r="Q75" s="28" t="n"/>
      <c r="R75" s="22" t="n"/>
      <c r="S75" s="29" t="n"/>
      <c r="T75" s="29" t="n"/>
      <c r="U75" s="29" t="n"/>
      <c r="V75" s="22" t="n"/>
      <c r="W75" s="22" t="n"/>
      <c r="X75" s="22" t="n"/>
      <c r="Y75" s="22" t="n"/>
      <c r="Z75" s="22" t="n"/>
      <c r="AA75" s="22" t="n"/>
      <c r="AB75" s="22" t="n"/>
      <c r="AC75" s="29" t="n"/>
      <c r="AD75" s="30">
        <f>IF(A75="","",(COUNTA(A75:G75)+COUNTA(J75:AC75))/27)</f>
        <v/>
      </c>
      <c r="AE75" s="26">
        <f>IF(B75="","",WORKDAY(B75,3))</f>
        <v/>
      </c>
      <c r="AF75" s="26">
        <f>IF(B75="","",WORKDAY(B75,5))</f>
        <v/>
      </c>
      <c r="AG75" s="26">
        <f>IF(B75="","",WORKDAY(B75,10))</f>
        <v/>
      </c>
      <c r="AH75" s="26" t="n"/>
    </row>
    <row r="76">
      <c r="A76" s="22" t="n"/>
      <c r="B76" s="22" t="n"/>
      <c r="C76" s="26" t="n"/>
      <c r="D76" s="27" t="n"/>
      <c r="E76" s="22" t="n"/>
      <c r="F76" s="26" t="n"/>
      <c r="G76" s="22" t="n"/>
      <c r="H76" s="26">
        <f>IF(G76="","",IFERROR(VLOOKUP(G76,板块观察!A:Z,19,FALSE),""))</f>
        <v/>
      </c>
      <c r="I76" s="26">
        <f>IF(G76="","",IFERROR(VLOOKUP(G76,板块观察!A:Z,20,FALSE),""))</f>
        <v/>
      </c>
      <c r="J76" s="22" t="n"/>
      <c r="K76" s="22" t="n"/>
      <c r="L76" s="22" t="n"/>
      <c r="M76" s="22" t="n"/>
      <c r="N76" s="22" t="n"/>
      <c r="O76" s="22" t="n"/>
      <c r="P76" s="22" t="n"/>
      <c r="Q76" s="28" t="n"/>
      <c r="R76" s="22" t="n"/>
      <c r="S76" s="29" t="n"/>
      <c r="T76" s="29" t="n"/>
      <c r="U76" s="29" t="n"/>
      <c r="V76" s="22" t="n"/>
      <c r="W76" s="22" t="n"/>
      <c r="X76" s="22" t="n"/>
      <c r="Y76" s="22" t="n"/>
      <c r="Z76" s="22" t="n"/>
      <c r="AA76" s="22" t="n"/>
      <c r="AB76" s="22" t="n"/>
      <c r="AC76" s="29" t="n"/>
      <c r="AD76" s="30">
        <f>IF(A76="","",(COUNTA(A76:G76)+COUNTA(J76:AC76))/27)</f>
        <v/>
      </c>
      <c r="AE76" s="26">
        <f>IF(B76="","",WORKDAY(B76,3))</f>
        <v/>
      </c>
      <c r="AF76" s="26">
        <f>IF(B76="","",WORKDAY(B76,5))</f>
        <v/>
      </c>
      <c r="AG76" s="26">
        <f>IF(B76="","",WORKDAY(B76,10))</f>
        <v/>
      </c>
      <c r="AH76" s="26" t="n"/>
    </row>
    <row r="77">
      <c r="A77" s="22" t="n"/>
      <c r="B77" s="22" t="n"/>
      <c r="C77" s="26" t="n"/>
      <c r="D77" s="27" t="n"/>
      <c r="E77" s="22" t="n"/>
      <c r="F77" s="26" t="n"/>
      <c r="G77" s="22" t="n"/>
      <c r="H77" s="26">
        <f>IF(G77="","",IFERROR(VLOOKUP(G77,板块观察!A:Z,19,FALSE),""))</f>
        <v/>
      </c>
      <c r="I77" s="26">
        <f>IF(G77="","",IFERROR(VLOOKUP(G77,板块观察!A:Z,20,FALSE),""))</f>
        <v/>
      </c>
      <c r="J77" s="22" t="n"/>
      <c r="K77" s="22" t="n"/>
      <c r="L77" s="22" t="n"/>
      <c r="M77" s="22" t="n"/>
      <c r="N77" s="22" t="n"/>
      <c r="O77" s="22" t="n"/>
      <c r="P77" s="22" t="n"/>
      <c r="Q77" s="28" t="n"/>
      <c r="R77" s="22" t="n"/>
      <c r="S77" s="29" t="n"/>
      <c r="T77" s="29" t="n"/>
      <c r="U77" s="29" t="n"/>
      <c r="V77" s="22" t="n"/>
      <c r="W77" s="22" t="n"/>
      <c r="X77" s="22" t="n"/>
      <c r="Y77" s="22" t="n"/>
      <c r="Z77" s="22" t="n"/>
      <c r="AA77" s="22" t="n"/>
      <c r="AB77" s="22" t="n"/>
      <c r="AC77" s="29" t="n"/>
      <c r="AD77" s="30">
        <f>IF(A77="","",(COUNTA(A77:G77)+COUNTA(J77:AC77))/27)</f>
        <v/>
      </c>
      <c r="AE77" s="26">
        <f>IF(B77="","",WORKDAY(B77,3))</f>
        <v/>
      </c>
      <c r="AF77" s="26">
        <f>IF(B77="","",WORKDAY(B77,5))</f>
        <v/>
      </c>
      <c r="AG77" s="26">
        <f>IF(B77="","",WORKDAY(B77,10))</f>
        <v/>
      </c>
      <c r="AH77" s="26" t="n"/>
    </row>
    <row r="78">
      <c r="A78" s="22" t="n"/>
      <c r="B78" s="22" t="n"/>
      <c r="C78" s="26" t="n"/>
      <c r="D78" s="27" t="n"/>
      <c r="E78" s="22" t="n"/>
      <c r="F78" s="26" t="n"/>
      <c r="G78" s="22" t="n"/>
      <c r="H78" s="26">
        <f>IF(G78="","",IFERROR(VLOOKUP(G78,板块观察!A:Z,19,FALSE),""))</f>
        <v/>
      </c>
      <c r="I78" s="26">
        <f>IF(G78="","",IFERROR(VLOOKUP(G78,板块观察!A:Z,20,FALSE),""))</f>
        <v/>
      </c>
      <c r="J78" s="22" t="n"/>
      <c r="K78" s="22" t="n"/>
      <c r="L78" s="22" t="n"/>
      <c r="M78" s="22" t="n"/>
      <c r="N78" s="22" t="n"/>
      <c r="O78" s="22" t="n"/>
      <c r="P78" s="22" t="n"/>
      <c r="Q78" s="28" t="n"/>
      <c r="R78" s="22" t="n"/>
      <c r="S78" s="29" t="n"/>
      <c r="T78" s="29" t="n"/>
      <c r="U78" s="29" t="n"/>
      <c r="V78" s="22" t="n"/>
      <c r="W78" s="22" t="n"/>
      <c r="X78" s="22" t="n"/>
      <c r="Y78" s="22" t="n"/>
      <c r="Z78" s="22" t="n"/>
      <c r="AA78" s="22" t="n"/>
      <c r="AB78" s="22" t="n"/>
      <c r="AC78" s="29" t="n"/>
      <c r="AD78" s="30">
        <f>IF(A78="","",(COUNTA(A78:G78)+COUNTA(J78:AC78))/27)</f>
        <v/>
      </c>
      <c r="AE78" s="26">
        <f>IF(B78="","",WORKDAY(B78,3))</f>
        <v/>
      </c>
      <c r="AF78" s="26">
        <f>IF(B78="","",WORKDAY(B78,5))</f>
        <v/>
      </c>
      <c r="AG78" s="26">
        <f>IF(B78="","",WORKDAY(B78,10))</f>
        <v/>
      </c>
      <c r="AH78" s="26" t="n"/>
    </row>
    <row r="79">
      <c r="A79" s="22" t="n"/>
      <c r="B79" s="22" t="n"/>
      <c r="C79" s="26" t="n"/>
      <c r="D79" s="27" t="n"/>
      <c r="E79" s="22" t="n"/>
      <c r="F79" s="26" t="n"/>
      <c r="G79" s="22" t="n"/>
      <c r="H79" s="26">
        <f>IF(G79="","",IFERROR(VLOOKUP(G79,板块观察!A:Z,19,FALSE),""))</f>
        <v/>
      </c>
      <c r="I79" s="26">
        <f>IF(G79="","",IFERROR(VLOOKUP(G79,板块观察!A:Z,20,FALSE),""))</f>
        <v/>
      </c>
      <c r="J79" s="22" t="n"/>
      <c r="K79" s="22" t="n"/>
      <c r="L79" s="22" t="n"/>
      <c r="M79" s="22" t="n"/>
      <c r="N79" s="22" t="n"/>
      <c r="O79" s="22" t="n"/>
      <c r="P79" s="22" t="n"/>
      <c r="Q79" s="28" t="n"/>
      <c r="R79" s="22" t="n"/>
      <c r="S79" s="29" t="n"/>
      <c r="T79" s="29" t="n"/>
      <c r="U79" s="29" t="n"/>
      <c r="V79" s="22" t="n"/>
      <c r="W79" s="22" t="n"/>
      <c r="X79" s="22" t="n"/>
      <c r="Y79" s="22" t="n"/>
      <c r="Z79" s="22" t="n"/>
      <c r="AA79" s="22" t="n"/>
      <c r="AB79" s="22" t="n"/>
      <c r="AC79" s="29" t="n"/>
      <c r="AD79" s="30">
        <f>IF(A79="","",(COUNTA(A79:G79)+COUNTA(J79:AC79))/27)</f>
        <v/>
      </c>
      <c r="AE79" s="26">
        <f>IF(B79="","",WORKDAY(B79,3))</f>
        <v/>
      </c>
      <c r="AF79" s="26">
        <f>IF(B79="","",WORKDAY(B79,5))</f>
        <v/>
      </c>
      <c r="AG79" s="26">
        <f>IF(B79="","",WORKDAY(B79,10))</f>
        <v/>
      </c>
      <c r="AH79" s="26" t="n"/>
    </row>
    <row r="80">
      <c r="A80" s="22" t="n"/>
      <c r="B80" s="22" t="n"/>
      <c r="C80" s="26" t="n"/>
      <c r="D80" s="27" t="n"/>
      <c r="E80" s="22" t="n"/>
      <c r="F80" s="26" t="n"/>
      <c r="G80" s="22" t="n"/>
      <c r="H80" s="26">
        <f>IF(G80="","",IFERROR(VLOOKUP(G80,板块观察!A:Z,19,FALSE),""))</f>
        <v/>
      </c>
      <c r="I80" s="26">
        <f>IF(G80="","",IFERROR(VLOOKUP(G80,板块观察!A:Z,20,FALSE),""))</f>
        <v/>
      </c>
      <c r="J80" s="22" t="n"/>
      <c r="K80" s="22" t="n"/>
      <c r="L80" s="22" t="n"/>
      <c r="M80" s="22" t="n"/>
      <c r="N80" s="22" t="n"/>
      <c r="O80" s="22" t="n"/>
      <c r="P80" s="22" t="n"/>
      <c r="Q80" s="28" t="n"/>
      <c r="R80" s="22" t="n"/>
      <c r="S80" s="29" t="n"/>
      <c r="T80" s="29" t="n"/>
      <c r="U80" s="29" t="n"/>
      <c r="V80" s="22" t="n"/>
      <c r="W80" s="22" t="n"/>
      <c r="X80" s="22" t="n"/>
      <c r="Y80" s="22" t="n"/>
      <c r="Z80" s="22" t="n"/>
      <c r="AA80" s="22" t="n"/>
      <c r="AB80" s="22" t="n"/>
      <c r="AC80" s="29" t="n"/>
      <c r="AD80" s="30">
        <f>IF(A80="","",(COUNTA(A80:G80)+COUNTA(J80:AC80))/27)</f>
        <v/>
      </c>
      <c r="AE80" s="26">
        <f>IF(B80="","",WORKDAY(B80,3))</f>
        <v/>
      </c>
      <c r="AF80" s="26">
        <f>IF(B80="","",WORKDAY(B80,5))</f>
        <v/>
      </c>
      <c r="AG80" s="26">
        <f>IF(B80="","",WORKDAY(B80,10))</f>
        <v/>
      </c>
      <c r="AH80" s="26" t="n"/>
    </row>
    <row r="81">
      <c r="A81" s="22" t="n"/>
      <c r="B81" s="22" t="n"/>
      <c r="C81" s="26" t="n"/>
      <c r="D81" s="27" t="n"/>
      <c r="E81" s="22" t="n"/>
      <c r="F81" s="26" t="n"/>
      <c r="G81" s="22" t="n"/>
      <c r="H81" s="26">
        <f>IF(G81="","",IFERROR(VLOOKUP(G81,板块观察!A:Z,19,FALSE),""))</f>
        <v/>
      </c>
      <c r="I81" s="26">
        <f>IF(G81="","",IFERROR(VLOOKUP(G81,板块观察!A:Z,20,FALSE),""))</f>
        <v/>
      </c>
      <c r="J81" s="22" t="n"/>
      <c r="K81" s="22" t="n"/>
      <c r="L81" s="22" t="n"/>
      <c r="M81" s="22" t="n"/>
      <c r="N81" s="22" t="n"/>
      <c r="O81" s="22" t="n"/>
      <c r="P81" s="22" t="n"/>
      <c r="Q81" s="28" t="n"/>
      <c r="R81" s="22" t="n"/>
      <c r="S81" s="29" t="n"/>
      <c r="T81" s="29" t="n"/>
      <c r="U81" s="29" t="n"/>
      <c r="V81" s="22" t="n"/>
      <c r="W81" s="22" t="n"/>
      <c r="X81" s="22" t="n"/>
      <c r="Y81" s="22" t="n"/>
      <c r="Z81" s="22" t="n"/>
      <c r="AA81" s="22" t="n"/>
      <c r="AB81" s="22" t="n"/>
      <c r="AC81" s="29" t="n"/>
      <c r="AD81" s="30">
        <f>IF(A81="","",(COUNTA(A81:G81)+COUNTA(J81:AC81))/27)</f>
        <v/>
      </c>
      <c r="AE81" s="26">
        <f>IF(B81="","",WORKDAY(B81,3))</f>
        <v/>
      </c>
      <c r="AF81" s="26">
        <f>IF(B81="","",WORKDAY(B81,5))</f>
        <v/>
      </c>
      <c r="AG81" s="26">
        <f>IF(B81="","",WORKDAY(B81,10))</f>
        <v/>
      </c>
      <c r="AH81" s="26" t="n"/>
    </row>
    <row r="82">
      <c r="A82" s="22" t="n"/>
      <c r="B82" s="22" t="n"/>
      <c r="C82" s="26" t="n"/>
      <c r="D82" s="27" t="n"/>
      <c r="E82" s="22" t="n"/>
      <c r="F82" s="26" t="n"/>
      <c r="G82" s="22" t="n"/>
      <c r="H82" s="26">
        <f>IF(G82="","",IFERROR(VLOOKUP(G82,板块观察!A:Z,19,FALSE),""))</f>
        <v/>
      </c>
      <c r="I82" s="26">
        <f>IF(G82="","",IFERROR(VLOOKUP(G82,板块观察!A:Z,20,FALSE),""))</f>
        <v/>
      </c>
      <c r="J82" s="22" t="n"/>
      <c r="K82" s="22" t="n"/>
      <c r="L82" s="22" t="n"/>
      <c r="M82" s="22" t="n"/>
      <c r="N82" s="22" t="n"/>
      <c r="O82" s="22" t="n"/>
      <c r="P82" s="22" t="n"/>
      <c r="Q82" s="28" t="n"/>
      <c r="R82" s="22" t="n"/>
      <c r="S82" s="29" t="n"/>
      <c r="T82" s="29" t="n"/>
      <c r="U82" s="29" t="n"/>
      <c r="V82" s="22" t="n"/>
      <c r="W82" s="22" t="n"/>
      <c r="X82" s="22" t="n"/>
      <c r="Y82" s="22" t="n"/>
      <c r="Z82" s="22" t="n"/>
      <c r="AA82" s="22" t="n"/>
      <c r="AB82" s="22" t="n"/>
      <c r="AC82" s="29" t="n"/>
      <c r="AD82" s="30">
        <f>IF(A82="","",(COUNTA(A82:G82)+COUNTA(J82:AC82))/27)</f>
        <v/>
      </c>
      <c r="AE82" s="26">
        <f>IF(B82="","",WORKDAY(B82,3))</f>
        <v/>
      </c>
      <c r="AF82" s="26">
        <f>IF(B82="","",WORKDAY(B82,5))</f>
        <v/>
      </c>
      <c r="AG82" s="26">
        <f>IF(B82="","",WORKDAY(B82,10))</f>
        <v/>
      </c>
      <c r="AH82" s="26" t="n"/>
    </row>
    <row r="83">
      <c r="A83" s="22" t="n"/>
      <c r="B83" s="22" t="n"/>
      <c r="C83" s="26" t="n"/>
      <c r="D83" s="27" t="n"/>
      <c r="E83" s="22" t="n"/>
      <c r="F83" s="26" t="n"/>
      <c r="G83" s="22" t="n"/>
      <c r="H83" s="26">
        <f>IF(G83="","",IFERROR(VLOOKUP(G83,板块观察!A:Z,19,FALSE),""))</f>
        <v/>
      </c>
      <c r="I83" s="26">
        <f>IF(G83="","",IFERROR(VLOOKUP(G83,板块观察!A:Z,20,FALSE),""))</f>
        <v/>
      </c>
      <c r="J83" s="22" t="n"/>
      <c r="K83" s="22" t="n"/>
      <c r="L83" s="22" t="n"/>
      <c r="M83" s="22" t="n"/>
      <c r="N83" s="22" t="n"/>
      <c r="O83" s="22" t="n"/>
      <c r="P83" s="22" t="n"/>
      <c r="Q83" s="28" t="n"/>
      <c r="R83" s="22" t="n"/>
      <c r="S83" s="29" t="n"/>
      <c r="T83" s="29" t="n"/>
      <c r="U83" s="29" t="n"/>
      <c r="V83" s="22" t="n"/>
      <c r="W83" s="22" t="n"/>
      <c r="X83" s="22" t="n"/>
      <c r="Y83" s="22" t="n"/>
      <c r="Z83" s="22" t="n"/>
      <c r="AA83" s="22" t="n"/>
      <c r="AB83" s="22" t="n"/>
      <c r="AC83" s="29" t="n"/>
      <c r="AD83" s="30">
        <f>IF(A83="","",(COUNTA(A83:G83)+COUNTA(J83:AC83))/27)</f>
        <v/>
      </c>
      <c r="AE83" s="26">
        <f>IF(B83="","",WORKDAY(B83,3))</f>
        <v/>
      </c>
      <c r="AF83" s="26">
        <f>IF(B83="","",WORKDAY(B83,5))</f>
        <v/>
      </c>
      <c r="AG83" s="26">
        <f>IF(B83="","",WORKDAY(B83,10))</f>
        <v/>
      </c>
      <c r="AH83" s="26" t="n"/>
    </row>
    <row r="84">
      <c r="A84" s="22" t="n"/>
      <c r="B84" s="22" t="n"/>
      <c r="C84" s="26" t="n"/>
      <c r="D84" s="27" t="n"/>
      <c r="E84" s="22" t="n"/>
      <c r="F84" s="26" t="n"/>
      <c r="G84" s="22" t="n"/>
      <c r="H84" s="26">
        <f>IF(G84="","",IFERROR(VLOOKUP(G84,板块观察!A:Z,19,FALSE),""))</f>
        <v/>
      </c>
      <c r="I84" s="26">
        <f>IF(G84="","",IFERROR(VLOOKUP(G84,板块观察!A:Z,20,FALSE),""))</f>
        <v/>
      </c>
      <c r="J84" s="22" t="n"/>
      <c r="K84" s="22" t="n"/>
      <c r="L84" s="22" t="n"/>
      <c r="M84" s="22" t="n"/>
      <c r="N84" s="22" t="n"/>
      <c r="O84" s="22" t="n"/>
      <c r="P84" s="22" t="n"/>
      <c r="Q84" s="28" t="n"/>
      <c r="R84" s="22" t="n"/>
      <c r="S84" s="29" t="n"/>
      <c r="T84" s="29" t="n"/>
      <c r="U84" s="29" t="n"/>
      <c r="V84" s="22" t="n"/>
      <c r="W84" s="22" t="n"/>
      <c r="X84" s="22" t="n"/>
      <c r="Y84" s="22" t="n"/>
      <c r="Z84" s="22" t="n"/>
      <c r="AA84" s="22" t="n"/>
      <c r="AB84" s="22" t="n"/>
      <c r="AC84" s="29" t="n"/>
      <c r="AD84" s="30">
        <f>IF(A84="","",(COUNTA(A84:G84)+COUNTA(J84:AC84))/27)</f>
        <v/>
      </c>
      <c r="AE84" s="26">
        <f>IF(B84="","",WORKDAY(B84,3))</f>
        <v/>
      </c>
      <c r="AF84" s="26">
        <f>IF(B84="","",WORKDAY(B84,5))</f>
        <v/>
      </c>
      <c r="AG84" s="26">
        <f>IF(B84="","",WORKDAY(B84,10))</f>
        <v/>
      </c>
      <c r="AH84" s="26" t="n"/>
    </row>
    <row r="85">
      <c r="A85" s="22" t="n"/>
      <c r="B85" s="22" t="n"/>
      <c r="C85" s="26" t="n"/>
      <c r="D85" s="27" t="n"/>
      <c r="E85" s="22" t="n"/>
      <c r="F85" s="26" t="n"/>
      <c r="G85" s="22" t="n"/>
      <c r="H85" s="26">
        <f>IF(G85="","",IFERROR(VLOOKUP(G85,板块观察!A:Z,19,FALSE),""))</f>
        <v/>
      </c>
      <c r="I85" s="26">
        <f>IF(G85="","",IFERROR(VLOOKUP(G85,板块观察!A:Z,20,FALSE),""))</f>
        <v/>
      </c>
      <c r="J85" s="22" t="n"/>
      <c r="K85" s="22" t="n"/>
      <c r="L85" s="22" t="n"/>
      <c r="M85" s="22" t="n"/>
      <c r="N85" s="22" t="n"/>
      <c r="O85" s="22" t="n"/>
      <c r="P85" s="22" t="n"/>
      <c r="Q85" s="28" t="n"/>
      <c r="R85" s="22" t="n"/>
      <c r="S85" s="29" t="n"/>
      <c r="T85" s="29" t="n"/>
      <c r="U85" s="29" t="n"/>
      <c r="V85" s="22" t="n"/>
      <c r="W85" s="22" t="n"/>
      <c r="X85" s="22" t="n"/>
      <c r="Y85" s="22" t="n"/>
      <c r="Z85" s="22" t="n"/>
      <c r="AA85" s="22" t="n"/>
      <c r="AB85" s="22" t="n"/>
      <c r="AC85" s="29" t="n"/>
      <c r="AD85" s="30">
        <f>IF(A85="","",(COUNTA(A85:G85)+COUNTA(J85:AC85))/27)</f>
        <v/>
      </c>
      <c r="AE85" s="26">
        <f>IF(B85="","",WORKDAY(B85,3))</f>
        <v/>
      </c>
      <c r="AF85" s="26">
        <f>IF(B85="","",WORKDAY(B85,5))</f>
        <v/>
      </c>
      <c r="AG85" s="26">
        <f>IF(B85="","",WORKDAY(B85,10))</f>
        <v/>
      </c>
      <c r="AH85" s="26" t="n"/>
    </row>
    <row r="86">
      <c r="A86" s="22" t="n"/>
      <c r="B86" s="22" t="n"/>
      <c r="C86" s="26" t="n"/>
      <c r="D86" s="27" t="n"/>
      <c r="E86" s="22" t="n"/>
      <c r="F86" s="26" t="n"/>
      <c r="G86" s="22" t="n"/>
      <c r="H86" s="26">
        <f>IF(G86="","",IFERROR(VLOOKUP(G86,板块观察!A:Z,19,FALSE),""))</f>
        <v/>
      </c>
      <c r="I86" s="26">
        <f>IF(G86="","",IFERROR(VLOOKUP(G86,板块观察!A:Z,20,FALSE),""))</f>
        <v/>
      </c>
      <c r="J86" s="22" t="n"/>
      <c r="K86" s="22" t="n"/>
      <c r="L86" s="22" t="n"/>
      <c r="M86" s="22" t="n"/>
      <c r="N86" s="22" t="n"/>
      <c r="O86" s="22" t="n"/>
      <c r="P86" s="22" t="n"/>
      <c r="Q86" s="28" t="n"/>
      <c r="R86" s="22" t="n"/>
      <c r="S86" s="29" t="n"/>
      <c r="T86" s="29" t="n"/>
      <c r="U86" s="29" t="n"/>
      <c r="V86" s="22" t="n"/>
      <c r="W86" s="22" t="n"/>
      <c r="X86" s="22" t="n"/>
      <c r="Y86" s="22" t="n"/>
      <c r="Z86" s="22" t="n"/>
      <c r="AA86" s="22" t="n"/>
      <c r="AB86" s="22" t="n"/>
      <c r="AC86" s="29" t="n"/>
      <c r="AD86" s="30">
        <f>IF(A86="","",(COUNTA(A86:G86)+COUNTA(J86:AC86))/27)</f>
        <v/>
      </c>
      <c r="AE86" s="26">
        <f>IF(B86="","",WORKDAY(B86,3))</f>
        <v/>
      </c>
      <c r="AF86" s="26">
        <f>IF(B86="","",WORKDAY(B86,5))</f>
        <v/>
      </c>
      <c r="AG86" s="26">
        <f>IF(B86="","",WORKDAY(B86,10))</f>
        <v/>
      </c>
      <c r="AH86" s="26" t="n"/>
    </row>
    <row r="87">
      <c r="A87" s="22" t="n"/>
      <c r="B87" s="22" t="n"/>
      <c r="C87" s="26" t="n"/>
      <c r="D87" s="27" t="n"/>
      <c r="E87" s="22" t="n"/>
      <c r="F87" s="26" t="n"/>
      <c r="G87" s="22" t="n"/>
      <c r="H87" s="26">
        <f>IF(G87="","",IFERROR(VLOOKUP(G87,板块观察!A:Z,19,FALSE),""))</f>
        <v/>
      </c>
      <c r="I87" s="26">
        <f>IF(G87="","",IFERROR(VLOOKUP(G87,板块观察!A:Z,20,FALSE),""))</f>
        <v/>
      </c>
      <c r="J87" s="22" t="n"/>
      <c r="K87" s="22" t="n"/>
      <c r="L87" s="22" t="n"/>
      <c r="M87" s="22" t="n"/>
      <c r="N87" s="22" t="n"/>
      <c r="O87" s="22" t="n"/>
      <c r="P87" s="22" t="n"/>
      <c r="Q87" s="28" t="n"/>
      <c r="R87" s="22" t="n"/>
      <c r="S87" s="29" t="n"/>
      <c r="T87" s="29" t="n"/>
      <c r="U87" s="29" t="n"/>
      <c r="V87" s="22" t="n"/>
      <c r="W87" s="22" t="n"/>
      <c r="X87" s="22" t="n"/>
      <c r="Y87" s="22" t="n"/>
      <c r="Z87" s="22" t="n"/>
      <c r="AA87" s="22" t="n"/>
      <c r="AB87" s="22" t="n"/>
      <c r="AC87" s="29" t="n"/>
      <c r="AD87" s="30">
        <f>IF(A87="","",(COUNTA(A87:G87)+COUNTA(J87:AC87))/27)</f>
        <v/>
      </c>
      <c r="AE87" s="26">
        <f>IF(B87="","",WORKDAY(B87,3))</f>
        <v/>
      </c>
      <c r="AF87" s="26">
        <f>IF(B87="","",WORKDAY(B87,5))</f>
        <v/>
      </c>
      <c r="AG87" s="26">
        <f>IF(B87="","",WORKDAY(B87,10))</f>
        <v/>
      </c>
      <c r="AH87" s="26" t="n"/>
    </row>
    <row r="88">
      <c r="A88" s="22" t="n"/>
      <c r="B88" s="22" t="n"/>
      <c r="C88" s="26" t="n"/>
      <c r="D88" s="27" t="n"/>
      <c r="E88" s="22" t="n"/>
      <c r="F88" s="26" t="n"/>
      <c r="G88" s="22" t="n"/>
      <c r="H88" s="26">
        <f>IF(G88="","",IFERROR(VLOOKUP(G88,板块观察!A:Z,19,FALSE),""))</f>
        <v/>
      </c>
      <c r="I88" s="26">
        <f>IF(G88="","",IFERROR(VLOOKUP(G88,板块观察!A:Z,20,FALSE),""))</f>
        <v/>
      </c>
      <c r="J88" s="22" t="n"/>
      <c r="K88" s="22" t="n"/>
      <c r="L88" s="22" t="n"/>
      <c r="M88" s="22" t="n"/>
      <c r="N88" s="22" t="n"/>
      <c r="O88" s="22" t="n"/>
      <c r="P88" s="22" t="n"/>
      <c r="Q88" s="28" t="n"/>
      <c r="R88" s="22" t="n"/>
      <c r="S88" s="29" t="n"/>
      <c r="T88" s="29" t="n"/>
      <c r="U88" s="29" t="n"/>
      <c r="V88" s="22" t="n"/>
      <c r="W88" s="22" t="n"/>
      <c r="X88" s="22" t="n"/>
      <c r="Y88" s="22" t="n"/>
      <c r="Z88" s="22" t="n"/>
      <c r="AA88" s="22" t="n"/>
      <c r="AB88" s="22" t="n"/>
      <c r="AC88" s="29" t="n"/>
      <c r="AD88" s="30">
        <f>IF(A88="","",(COUNTA(A88:G88)+COUNTA(J88:AC88))/27)</f>
        <v/>
      </c>
      <c r="AE88" s="26">
        <f>IF(B88="","",WORKDAY(B88,3))</f>
        <v/>
      </c>
      <c r="AF88" s="26">
        <f>IF(B88="","",WORKDAY(B88,5))</f>
        <v/>
      </c>
      <c r="AG88" s="26">
        <f>IF(B88="","",WORKDAY(B88,10))</f>
        <v/>
      </c>
      <c r="AH88" s="26" t="n"/>
    </row>
    <row r="89">
      <c r="A89" s="22" t="n"/>
      <c r="B89" s="22" t="n"/>
      <c r="C89" s="26" t="n"/>
      <c r="D89" s="27" t="n"/>
      <c r="E89" s="22" t="n"/>
      <c r="F89" s="26" t="n"/>
      <c r="G89" s="22" t="n"/>
      <c r="H89" s="26">
        <f>IF(G89="","",IFERROR(VLOOKUP(G89,板块观察!A:Z,19,FALSE),""))</f>
        <v/>
      </c>
      <c r="I89" s="26">
        <f>IF(G89="","",IFERROR(VLOOKUP(G89,板块观察!A:Z,20,FALSE),""))</f>
        <v/>
      </c>
      <c r="J89" s="22" t="n"/>
      <c r="K89" s="22" t="n"/>
      <c r="L89" s="22" t="n"/>
      <c r="M89" s="22" t="n"/>
      <c r="N89" s="22" t="n"/>
      <c r="O89" s="22" t="n"/>
      <c r="P89" s="22" t="n"/>
      <c r="Q89" s="28" t="n"/>
      <c r="R89" s="22" t="n"/>
      <c r="S89" s="29" t="n"/>
      <c r="T89" s="29" t="n"/>
      <c r="U89" s="29" t="n"/>
      <c r="V89" s="22" t="n"/>
      <c r="W89" s="22" t="n"/>
      <c r="X89" s="22" t="n"/>
      <c r="Y89" s="22" t="n"/>
      <c r="Z89" s="22" t="n"/>
      <c r="AA89" s="22" t="n"/>
      <c r="AB89" s="22" t="n"/>
      <c r="AC89" s="29" t="n"/>
      <c r="AD89" s="30">
        <f>IF(A89="","",(COUNTA(A89:G89)+COUNTA(J89:AC89))/27)</f>
        <v/>
      </c>
      <c r="AE89" s="26">
        <f>IF(B89="","",WORKDAY(B89,3))</f>
        <v/>
      </c>
      <c r="AF89" s="26">
        <f>IF(B89="","",WORKDAY(B89,5))</f>
        <v/>
      </c>
      <c r="AG89" s="26">
        <f>IF(B89="","",WORKDAY(B89,10))</f>
        <v/>
      </c>
      <c r="AH89" s="26" t="n"/>
    </row>
    <row r="90">
      <c r="A90" s="22" t="n"/>
      <c r="B90" s="22" t="n"/>
      <c r="C90" s="26" t="n"/>
      <c r="D90" s="27" t="n"/>
      <c r="E90" s="22" t="n"/>
      <c r="F90" s="26" t="n"/>
      <c r="G90" s="22" t="n"/>
      <c r="H90" s="26">
        <f>IF(G90="","",IFERROR(VLOOKUP(G90,板块观察!A:Z,19,FALSE),""))</f>
        <v/>
      </c>
      <c r="I90" s="26">
        <f>IF(G90="","",IFERROR(VLOOKUP(G90,板块观察!A:Z,20,FALSE),""))</f>
        <v/>
      </c>
      <c r="J90" s="22" t="n"/>
      <c r="K90" s="22" t="n"/>
      <c r="L90" s="22" t="n"/>
      <c r="M90" s="22" t="n"/>
      <c r="N90" s="22" t="n"/>
      <c r="O90" s="22" t="n"/>
      <c r="P90" s="22" t="n"/>
      <c r="Q90" s="28" t="n"/>
      <c r="R90" s="22" t="n"/>
      <c r="S90" s="29" t="n"/>
      <c r="T90" s="29" t="n"/>
      <c r="U90" s="29" t="n"/>
      <c r="V90" s="22" t="n"/>
      <c r="W90" s="22" t="n"/>
      <c r="X90" s="22" t="n"/>
      <c r="Y90" s="22" t="n"/>
      <c r="Z90" s="22" t="n"/>
      <c r="AA90" s="22" t="n"/>
      <c r="AB90" s="22" t="n"/>
      <c r="AC90" s="29" t="n"/>
      <c r="AD90" s="30">
        <f>IF(A90="","",(COUNTA(A90:G90)+COUNTA(J90:AC90))/27)</f>
        <v/>
      </c>
      <c r="AE90" s="26">
        <f>IF(B90="","",WORKDAY(B90,3))</f>
        <v/>
      </c>
      <c r="AF90" s="26">
        <f>IF(B90="","",WORKDAY(B90,5))</f>
        <v/>
      </c>
      <c r="AG90" s="26">
        <f>IF(B90="","",WORKDAY(B90,10))</f>
        <v/>
      </c>
      <c r="AH90" s="26" t="n"/>
    </row>
    <row r="91">
      <c r="A91" s="22" t="n"/>
      <c r="B91" s="22" t="n"/>
      <c r="C91" s="26" t="n"/>
      <c r="D91" s="27" t="n"/>
      <c r="E91" s="22" t="n"/>
      <c r="F91" s="26" t="n"/>
      <c r="G91" s="22" t="n"/>
      <c r="H91" s="26">
        <f>IF(G91="","",IFERROR(VLOOKUP(G91,板块观察!A:Z,19,FALSE),""))</f>
        <v/>
      </c>
      <c r="I91" s="26">
        <f>IF(G91="","",IFERROR(VLOOKUP(G91,板块观察!A:Z,20,FALSE),""))</f>
        <v/>
      </c>
      <c r="J91" s="22" t="n"/>
      <c r="K91" s="22" t="n"/>
      <c r="L91" s="22" t="n"/>
      <c r="M91" s="22" t="n"/>
      <c r="N91" s="22" t="n"/>
      <c r="O91" s="22" t="n"/>
      <c r="P91" s="22" t="n"/>
      <c r="Q91" s="28" t="n"/>
      <c r="R91" s="22" t="n"/>
      <c r="S91" s="29" t="n"/>
      <c r="T91" s="29" t="n"/>
      <c r="U91" s="29" t="n"/>
      <c r="V91" s="22" t="n"/>
      <c r="W91" s="22" t="n"/>
      <c r="X91" s="22" t="n"/>
      <c r="Y91" s="22" t="n"/>
      <c r="Z91" s="22" t="n"/>
      <c r="AA91" s="22" t="n"/>
      <c r="AB91" s="22" t="n"/>
      <c r="AC91" s="29" t="n"/>
      <c r="AD91" s="30">
        <f>IF(A91="","",(COUNTA(A91:G91)+COUNTA(J91:AC91))/27)</f>
        <v/>
      </c>
      <c r="AE91" s="26">
        <f>IF(B91="","",WORKDAY(B91,3))</f>
        <v/>
      </c>
      <c r="AF91" s="26">
        <f>IF(B91="","",WORKDAY(B91,5))</f>
        <v/>
      </c>
      <c r="AG91" s="26">
        <f>IF(B91="","",WORKDAY(B91,10))</f>
        <v/>
      </c>
      <c r="AH91" s="26" t="n"/>
    </row>
    <row r="92">
      <c r="A92" s="22" t="n"/>
      <c r="B92" s="22" t="n"/>
      <c r="C92" s="26" t="n"/>
      <c r="D92" s="27" t="n"/>
      <c r="E92" s="22" t="n"/>
      <c r="F92" s="26" t="n"/>
      <c r="G92" s="22" t="n"/>
      <c r="H92" s="26">
        <f>IF(G92="","",IFERROR(VLOOKUP(G92,板块观察!A:Z,19,FALSE),""))</f>
        <v/>
      </c>
      <c r="I92" s="26">
        <f>IF(G92="","",IFERROR(VLOOKUP(G92,板块观察!A:Z,20,FALSE),""))</f>
        <v/>
      </c>
      <c r="J92" s="22" t="n"/>
      <c r="K92" s="22" t="n"/>
      <c r="L92" s="22" t="n"/>
      <c r="M92" s="22" t="n"/>
      <c r="N92" s="22" t="n"/>
      <c r="O92" s="22" t="n"/>
      <c r="P92" s="22" t="n"/>
      <c r="Q92" s="28" t="n"/>
      <c r="R92" s="22" t="n"/>
      <c r="S92" s="29" t="n"/>
      <c r="T92" s="29" t="n"/>
      <c r="U92" s="29" t="n"/>
      <c r="V92" s="22" t="n"/>
      <c r="W92" s="22" t="n"/>
      <c r="X92" s="22" t="n"/>
      <c r="Y92" s="22" t="n"/>
      <c r="Z92" s="22" t="n"/>
      <c r="AA92" s="22" t="n"/>
      <c r="AB92" s="22" t="n"/>
      <c r="AC92" s="29" t="n"/>
      <c r="AD92" s="30">
        <f>IF(A92="","",(COUNTA(A92:G92)+COUNTA(J92:AC92))/27)</f>
        <v/>
      </c>
      <c r="AE92" s="26">
        <f>IF(B92="","",WORKDAY(B92,3))</f>
        <v/>
      </c>
      <c r="AF92" s="26">
        <f>IF(B92="","",WORKDAY(B92,5))</f>
        <v/>
      </c>
      <c r="AG92" s="26">
        <f>IF(B92="","",WORKDAY(B92,10))</f>
        <v/>
      </c>
      <c r="AH92" s="26" t="n"/>
    </row>
    <row r="93">
      <c r="A93" s="22" t="n"/>
      <c r="B93" s="22" t="n"/>
      <c r="C93" s="26" t="n"/>
      <c r="D93" s="27" t="n"/>
      <c r="E93" s="22" t="n"/>
      <c r="F93" s="26" t="n"/>
      <c r="G93" s="22" t="n"/>
      <c r="H93" s="26">
        <f>IF(G93="","",IFERROR(VLOOKUP(G93,板块观察!A:Z,19,FALSE),""))</f>
        <v/>
      </c>
      <c r="I93" s="26">
        <f>IF(G93="","",IFERROR(VLOOKUP(G93,板块观察!A:Z,20,FALSE),""))</f>
        <v/>
      </c>
      <c r="J93" s="22" t="n"/>
      <c r="K93" s="22" t="n"/>
      <c r="L93" s="22" t="n"/>
      <c r="M93" s="22" t="n"/>
      <c r="N93" s="22" t="n"/>
      <c r="O93" s="22" t="n"/>
      <c r="P93" s="22" t="n"/>
      <c r="Q93" s="28" t="n"/>
      <c r="R93" s="22" t="n"/>
      <c r="S93" s="29" t="n"/>
      <c r="T93" s="29" t="n"/>
      <c r="U93" s="29" t="n"/>
      <c r="V93" s="22" t="n"/>
      <c r="W93" s="22" t="n"/>
      <c r="X93" s="22" t="n"/>
      <c r="Y93" s="22" t="n"/>
      <c r="Z93" s="22" t="n"/>
      <c r="AA93" s="22" t="n"/>
      <c r="AB93" s="22" t="n"/>
      <c r="AC93" s="29" t="n"/>
      <c r="AD93" s="30">
        <f>IF(A93="","",(COUNTA(A93:G93)+COUNTA(J93:AC93))/27)</f>
        <v/>
      </c>
      <c r="AE93" s="26">
        <f>IF(B93="","",WORKDAY(B93,3))</f>
        <v/>
      </c>
      <c r="AF93" s="26">
        <f>IF(B93="","",WORKDAY(B93,5))</f>
        <v/>
      </c>
      <c r="AG93" s="26">
        <f>IF(B93="","",WORKDAY(B93,10))</f>
        <v/>
      </c>
      <c r="AH93" s="26" t="n"/>
    </row>
    <row r="94">
      <c r="A94" s="22" t="n"/>
      <c r="B94" s="22" t="n"/>
      <c r="C94" s="26" t="n"/>
      <c r="D94" s="27" t="n"/>
      <c r="E94" s="22" t="n"/>
      <c r="F94" s="26" t="n"/>
      <c r="G94" s="22" t="n"/>
      <c r="H94" s="26">
        <f>IF(G94="","",IFERROR(VLOOKUP(G94,板块观察!A:Z,19,FALSE),""))</f>
        <v/>
      </c>
      <c r="I94" s="26">
        <f>IF(G94="","",IFERROR(VLOOKUP(G94,板块观察!A:Z,20,FALSE),""))</f>
        <v/>
      </c>
      <c r="J94" s="22" t="n"/>
      <c r="K94" s="22" t="n"/>
      <c r="L94" s="22" t="n"/>
      <c r="M94" s="22" t="n"/>
      <c r="N94" s="22" t="n"/>
      <c r="O94" s="22" t="n"/>
      <c r="P94" s="22" t="n"/>
      <c r="Q94" s="28" t="n"/>
      <c r="R94" s="22" t="n"/>
      <c r="S94" s="29" t="n"/>
      <c r="T94" s="29" t="n"/>
      <c r="U94" s="29" t="n"/>
      <c r="V94" s="22" t="n"/>
      <c r="W94" s="22" t="n"/>
      <c r="X94" s="22" t="n"/>
      <c r="Y94" s="22" t="n"/>
      <c r="Z94" s="22" t="n"/>
      <c r="AA94" s="22" t="n"/>
      <c r="AB94" s="22" t="n"/>
      <c r="AC94" s="29" t="n"/>
      <c r="AD94" s="30">
        <f>IF(A94="","",(COUNTA(A94:G94)+COUNTA(J94:AC94))/27)</f>
        <v/>
      </c>
      <c r="AE94" s="26">
        <f>IF(B94="","",WORKDAY(B94,3))</f>
        <v/>
      </c>
      <c r="AF94" s="26">
        <f>IF(B94="","",WORKDAY(B94,5))</f>
        <v/>
      </c>
      <c r="AG94" s="26">
        <f>IF(B94="","",WORKDAY(B94,10))</f>
        <v/>
      </c>
      <c r="AH94" s="26" t="n"/>
    </row>
    <row r="95">
      <c r="A95" s="22" t="n"/>
      <c r="B95" s="22" t="n"/>
      <c r="C95" s="26" t="n"/>
      <c r="D95" s="27" t="n"/>
      <c r="E95" s="22" t="n"/>
      <c r="F95" s="26" t="n"/>
      <c r="G95" s="22" t="n"/>
      <c r="H95" s="26">
        <f>IF(G95="","",IFERROR(VLOOKUP(G95,板块观察!A:Z,19,FALSE),""))</f>
        <v/>
      </c>
      <c r="I95" s="26">
        <f>IF(G95="","",IFERROR(VLOOKUP(G95,板块观察!A:Z,20,FALSE),""))</f>
        <v/>
      </c>
      <c r="J95" s="22" t="n"/>
      <c r="K95" s="22" t="n"/>
      <c r="L95" s="22" t="n"/>
      <c r="M95" s="22" t="n"/>
      <c r="N95" s="22" t="n"/>
      <c r="O95" s="22" t="n"/>
      <c r="P95" s="22" t="n"/>
      <c r="Q95" s="28" t="n"/>
      <c r="R95" s="22" t="n"/>
      <c r="S95" s="29" t="n"/>
      <c r="T95" s="29" t="n"/>
      <c r="U95" s="29" t="n"/>
      <c r="V95" s="22" t="n"/>
      <c r="W95" s="22" t="n"/>
      <c r="X95" s="22" t="n"/>
      <c r="Y95" s="22" t="n"/>
      <c r="Z95" s="22" t="n"/>
      <c r="AA95" s="22" t="n"/>
      <c r="AB95" s="22" t="n"/>
      <c r="AC95" s="29" t="n"/>
      <c r="AD95" s="30">
        <f>IF(A95="","",(COUNTA(A95:G95)+COUNTA(J95:AC95))/27)</f>
        <v/>
      </c>
      <c r="AE95" s="26">
        <f>IF(B95="","",WORKDAY(B95,3))</f>
        <v/>
      </c>
      <c r="AF95" s="26">
        <f>IF(B95="","",WORKDAY(B95,5))</f>
        <v/>
      </c>
      <c r="AG95" s="26">
        <f>IF(B95="","",WORKDAY(B95,10))</f>
        <v/>
      </c>
      <c r="AH95" s="26" t="n"/>
    </row>
    <row r="96">
      <c r="A96" s="22" t="n"/>
      <c r="B96" s="22" t="n"/>
      <c r="C96" s="26" t="n"/>
      <c r="D96" s="27" t="n"/>
      <c r="E96" s="22" t="n"/>
      <c r="F96" s="26" t="n"/>
      <c r="G96" s="22" t="n"/>
      <c r="H96" s="26">
        <f>IF(G96="","",IFERROR(VLOOKUP(G96,板块观察!A:Z,19,FALSE),""))</f>
        <v/>
      </c>
      <c r="I96" s="26">
        <f>IF(G96="","",IFERROR(VLOOKUP(G96,板块观察!A:Z,20,FALSE),""))</f>
        <v/>
      </c>
      <c r="J96" s="22" t="n"/>
      <c r="K96" s="22" t="n"/>
      <c r="L96" s="22" t="n"/>
      <c r="M96" s="22" t="n"/>
      <c r="N96" s="22" t="n"/>
      <c r="O96" s="22" t="n"/>
      <c r="P96" s="22" t="n"/>
      <c r="Q96" s="28" t="n"/>
      <c r="R96" s="22" t="n"/>
      <c r="S96" s="29" t="n"/>
      <c r="T96" s="29" t="n"/>
      <c r="U96" s="29" t="n"/>
      <c r="V96" s="22" t="n"/>
      <c r="W96" s="22" t="n"/>
      <c r="X96" s="22" t="n"/>
      <c r="Y96" s="22" t="n"/>
      <c r="Z96" s="22" t="n"/>
      <c r="AA96" s="22" t="n"/>
      <c r="AB96" s="22" t="n"/>
      <c r="AC96" s="29" t="n"/>
      <c r="AD96" s="30">
        <f>IF(A96="","",(COUNTA(A96:G96)+COUNTA(J96:AC96))/27)</f>
        <v/>
      </c>
      <c r="AE96" s="26">
        <f>IF(B96="","",WORKDAY(B96,3))</f>
        <v/>
      </c>
      <c r="AF96" s="26">
        <f>IF(B96="","",WORKDAY(B96,5))</f>
        <v/>
      </c>
      <c r="AG96" s="26">
        <f>IF(B96="","",WORKDAY(B96,10))</f>
        <v/>
      </c>
      <c r="AH96" s="26" t="n"/>
    </row>
    <row r="97">
      <c r="A97" s="22" t="n"/>
      <c r="B97" s="22" t="n"/>
      <c r="C97" s="26" t="n"/>
      <c r="D97" s="27" t="n"/>
      <c r="E97" s="22" t="n"/>
      <c r="F97" s="26" t="n"/>
      <c r="G97" s="22" t="n"/>
      <c r="H97" s="26">
        <f>IF(G97="","",IFERROR(VLOOKUP(G97,板块观察!A:Z,19,FALSE),""))</f>
        <v/>
      </c>
      <c r="I97" s="26">
        <f>IF(G97="","",IFERROR(VLOOKUP(G97,板块观察!A:Z,20,FALSE),""))</f>
        <v/>
      </c>
      <c r="J97" s="22" t="n"/>
      <c r="K97" s="22" t="n"/>
      <c r="L97" s="22" t="n"/>
      <c r="M97" s="22" t="n"/>
      <c r="N97" s="22" t="n"/>
      <c r="O97" s="22" t="n"/>
      <c r="P97" s="22" t="n"/>
      <c r="Q97" s="28" t="n"/>
      <c r="R97" s="22" t="n"/>
      <c r="S97" s="29" t="n"/>
      <c r="T97" s="29" t="n"/>
      <c r="U97" s="29" t="n"/>
      <c r="V97" s="22" t="n"/>
      <c r="W97" s="22" t="n"/>
      <c r="X97" s="22" t="n"/>
      <c r="Y97" s="22" t="n"/>
      <c r="Z97" s="22" t="n"/>
      <c r="AA97" s="22" t="n"/>
      <c r="AB97" s="22" t="n"/>
      <c r="AC97" s="29" t="n"/>
      <c r="AD97" s="30">
        <f>IF(A97="","",(COUNTA(A97:G97)+COUNTA(J97:AC97))/27)</f>
        <v/>
      </c>
      <c r="AE97" s="26">
        <f>IF(B97="","",WORKDAY(B97,3))</f>
        <v/>
      </c>
      <c r="AF97" s="26">
        <f>IF(B97="","",WORKDAY(B97,5))</f>
        <v/>
      </c>
      <c r="AG97" s="26">
        <f>IF(B97="","",WORKDAY(B97,10))</f>
        <v/>
      </c>
      <c r="AH97" s="26" t="n"/>
    </row>
    <row r="98">
      <c r="A98" s="22" t="n"/>
      <c r="B98" s="22" t="n"/>
      <c r="C98" s="26" t="n"/>
      <c r="D98" s="27" t="n"/>
      <c r="E98" s="22" t="n"/>
      <c r="F98" s="26" t="n"/>
      <c r="G98" s="22" t="n"/>
      <c r="H98" s="26">
        <f>IF(G98="","",IFERROR(VLOOKUP(G98,板块观察!A:Z,19,FALSE),""))</f>
        <v/>
      </c>
      <c r="I98" s="26">
        <f>IF(G98="","",IFERROR(VLOOKUP(G98,板块观察!A:Z,20,FALSE),""))</f>
        <v/>
      </c>
      <c r="J98" s="22" t="n"/>
      <c r="K98" s="22" t="n"/>
      <c r="L98" s="22" t="n"/>
      <c r="M98" s="22" t="n"/>
      <c r="N98" s="22" t="n"/>
      <c r="O98" s="22" t="n"/>
      <c r="P98" s="22" t="n"/>
      <c r="Q98" s="28" t="n"/>
      <c r="R98" s="22" t="n"/>
      <c r="S98" s="29" t="n"/>
      <c r="T98" s="29" t="n"/>
      <c r="U98" s="29" t="n"/>
      <c r="V98" s="22" t="n"/>
      <c r="W98" s="22" t="n"/>
      <c r="X98" s="22" t="n"/>
      <c r="Y98" s="22" t="n"/>
      <c r="Z98" s="22" t="n"/>
      <c r="AA98" s="22" t="n"/>
      <c r="AB98" s="22" t="n"/>
      <c r="AC98" s="29" t="n"/>
      <c r="AD98" s="30">
        <f>IF(A98="","",(COUNTA(A98:G98)+COUNTA(J98:AC98))/27)</f>
        <v/>
      </c>
      <c r="AE98" s="26">
        <f>IF(B98="","",WORKDAY(B98,3))</f>
        <v/>
      </c>
      <c r="AF98" s="26">
        <f>IF(B98="","",WORKDAY(B98,5))</f>
        <v/>
      </c>
      <c r="AG98" s="26">
        <f>IF(B98="","",WORKDAY(B98,10))</f>
        <v/>
      </c>
      <c r="AH98" s="26" t="n"/>
    </row>
    <row r="99">
      <c r="A99" s="22" t="n"/>
      <c r="B99" s="22" t="n"/>
      <c r="C99" s="26" t="n"/>
      <c r="D99" s="27" t="n"/>
      <c r="E99" s="22" t="n"/>
      <c r="F99" s="26" t="n"/>
      <c r="G99" s="22" t="n"/>
      <c r="H99" s="26">
        <f>IF(G99="","",IFERROR(VLOOKUP(G99,板块观察!A:Z,19,FALSE),""))</f>
        <v/>
      </c>
      <c r="I99" s="26">
        <f>IF(G99="","",IFERROR(VLOOKUP(G99,板块观察!A:Z,20,FALSE),""))</f>
        <v/>
      </c>
      <c r="J99" s="22" t="n"/>
      <c r="K99" s="22" t="n"/>
      <c r="L99" s="22" t="n"/>
      <c r="M99" s="22" t="n"/>
      <c r="N99" s="22" t="n"/>
      <c r="O99" s="22" t="n"/>
      <c r="P99" s="22" t="n"/>
      <c r="Q99" s="28" t="n"/>
      <c r="R99" s="22" t="n"/>
      <c r="S99" s="29" t="n"/>
      <c r="T99" s="29" t="n"/>
      <c r="U99" s="29" t="n"/>
      <c r="V99" s="22" t="n"/>
      <c r="W99" s="22" t="n"/>
      <c r="X99" s="22" t="n"/>
      <c r="Y99" s="22" t="n"/>
      <c r="Z99" s="22" t="n"/>
      <c r="AA99" s="22" t="n"/>
      <c r="AB99" s="22" t="n"/>
      <c r="AC99" s="29" t="n"/>
      <c r="AD99" s="30">
        <f>IF(A99="","",(COUNTA(A99:G99)+COUNTA(J99:AC99))/27)</f>
        <v/>
      </c>
      <c r="AE99" s="26">
        <f>IF(B99="","",WORKDAY(B99,3))</f>
        <v/>
      </c>
      <c r="AF99" s="26">
        <f>IF(B99="","",WORKDAY(B99,5))</f>
        <v/>
      </c>
      <c r="AG99" s="26">
        <f>IF(B99="","",WORKDAY(B99,10))</f>
        <v/>
      </c>
      <c r="AH99" s="26" t="n"/>
    </row>
    <row r="100">
      <c r="A100" s="22" t="n"/>
      <c r="B100" s="22" t="n"/>
      <c r="C100" s="26" t="n"/>
      <c r="D100" s="27" t="n"/>
      <c r="E100" s="22" t="n"/>
      <c r="F100" s="26" t="n"/>
      <c r="G100" s="22" t="n"/>
      <c r="H100" s="26">
        <f>IF(G100="","",IFERROR(VLOOKUP(G100,板块观察!A:Z,19,FALSE),""))</f>
        <v/>
      </c>
      <c r="I100" s="26">
        <f>IF(G100="","",IFERROR(VLOOKUP(G100,板块观察!A:Z,20,FALSE),""))</f>
        <v/>
      </c>
      <c r="J100" s="22" t="n"/>
      <c r="K100" s="22" t="n"/>
      <c r="L100" s="22" t="n"/>
      <c r="M100" s="22" t="n"/>
      <c r="N100" s="22" t="n"/>
      <c r="O100" s="22" t="n"/>
      <c r="P100" s="22" t="n"/>
      <c r="Q100" s="28" t="n"/>
      <c r="R100" s="22" t="n"/>
      <c r="S100" s="29" t="n"/>
      <c r="T100" s="29" t="n"/>
      <c r="U100" s="29" t="n"/>
      <c r="V100" s="22" t="n"/>
      <c r="W100" s="22" t="n"/>
      <c r="X100" s="22" t="n"/>
      <c r="Y100" s="22" t="n"/>
      <c r="Z100" s="22" t="n"/>
      <c r="AA100" s="22" t="n"/>
      <c r="AB100" s="22" t="n"/>
      <c r="AC100" s="29" t="n"/>
      <c r="AD100" s="30">
        <f>IF(A100="","",(COUNTA(A100:G100)+COUNTA(J100:AC100))/27)</f>
        <v/>
      </c>
      <c r="AE100" s="26">
        <f>IF(B100="","",WORKDAY(B100,3))</f>
        <v/>
      </c>
      <c r="AF100" s="26">
        <f>IF(B100="","",WORKDAY(B100,5))</f>
        <v/>
      </c>
      <c r="AG100" s="26">
        <f>IF(B100="","",WORKDAY(B100,10))</f>
        <v/>
      </c>
      <c r="AH100" s="26" t="n"/>
    </row>
    <row r="101">
      <c r="A101" s="22" t="n"/>
      <c r="B101" s="22" t="n"/>
      <c r="C101" s="26" t="n"/>
      <c r="D101" s="27" t="n"/>
      <c r="E101" s="22" t="n"/>
      <c r="F101" s="26" t="n"/>
      <c r="G101" s="22" t="n"/>
      <c r="H101" s="26">
        <f>IF(G101="","",IFERROR(VLOOKUP(G101,板块观察!A:Z,19,FALSE),""))</f>
        <v/>
      </c>
      <c r="I101" s="26">
        <f>IF(G101="","",IFERROR(VLOOKUP(G101,板块观察!A:Z,20,FALSE),""))</f>
        <v/>
      </c>
      <c r="J101" s="22" t="n"/>
      <c r="K101" s="22" t="n"/>
      <c r="L101" s="22" t="n"/>
      <c r="M101" s="22" t="n"/>
      <c r="N101" s="22" t="n"/>
      <c r="O101" s="22" t="n"/>
      <c r="P101" s="22" t="n"/>
      <c r="Q101" s="28" t="n"/>
      <c r="R101" s="22" t="n"/>
      <c r="S101" s="29" t="n"/>
      <c r="T101" s="29" t="n"/>
      <c r="U101" s="29" t="n"/>
      <c r="V101" s="22" t="n"/>
      <c r="W101" s="22" t="n"/>
      <c r="X101" s="22" t="n"/>
      <c r="Y101" s="22" t="n"/>
      <c r="Z101" s="22" t="n"/>
      <c r="AA101" s="22" t="n"/>
      <c r="AB101" s="22" t="n"/>
      <c r="AC101" s="29" t="n"/>
      <c r="AD101" s="30">
        <f>IF(A101="","",(COUNTA(A101:G101)+COUNTA(J101:AC101))/27)</f>
        <v/>
      </c>
      <c r="AE101" s="26">
        <f>IF(B101="","",WORKDAY(B101,3))</f>
        <v/>
      </c>
      <c r="AF101" s="26">
        <f>IF(B101="","",WORKDAY(B101,5))</f>
        <v/>
      </c>
      <c r="AG101" s="26">
        <f>IF(B101="","",WORKDAY(B101,10))</f>
        <v/>
      </c>
      <c r="AH101" s="26" t="n"/>
    </row>
    <row r="102">
      <c r="A102" s="22" t="n"/>
      <c r="B102" s="22" t="n"/>
      <c r="C102" s="26" t="n"/>
      <c r="D102" s="27" t="n"/>
      <c r="E102" s="22" t="n"/>
      <c r="F102" s="26" t="n"/>
      <c r="G102" s="22" t="n"/>
      <c r="H102" s="26">
        <f>IF(G102="","",IFERROR(VLOOKUP(G102,板块观察!A:Z,19,FALSE),""))</f>
        <v/>
      </c>
      <c r="I102" s="26">
        <f>IF(G102="","",IFERROR(VLOOKUP(G102,板块观察!A:Z,20,FALSE),""))</f>
        <v/>
      </c>
      <c r="J102" s="22" t="n"/>
      <c r="K102" s="22" t="n"/>
      <c r="L102" s="22" t="n"/>
      <c r="M102" s="22" t="n"/>
      <c r="N102" s="22" t="n"/>
      <c r="O102" s="22" t="n"/>
      <c r="P102" s="22" t="n"/>
      <c r="Q102" s="28" t="n"/>
      <c r="R102" s="22" t="n"/>
      <c r="S102" s="29" t="n"/>
      <c r="T102" s="29" t="n"/>
      <c r="U102" s="29" t="n"/>
      <c r="V102" s="22" t="n"/>
      <c r="W102" s="22" t="n"/>
      <c r="X102" s="22" t="n"/>
      <c r="Y102" s="22" t="n"/>
      <c r="Z102" s="22" t="n"/>
      <c r="AA102" s="22" t="n"/>
      <c r="AB102" s="22" t="n"/>
      <c r="AC102" s="29" t="n"/>
      <c r="AD102" s="30">
        <f>IF(A102="","",(COUNTA(A102:G102)+COUNTA(J102:AC102))/27)</f>
        <v/>
      </c>
      <c r="AE102" s="26">
        <f>IF(B102="","",WORKDAY(B102,3))</f>
        <v/>
      </c>
      <c r="AF102" s="26">
        <f>IF(B102="","",WORKDAY(B102,5))</f>
        <v/>
      </c>
      <c r="AG102" s="26">
        <f>IF(B102="","",WORKDAY(B102,10))</f>
        <v/>
      </c>
      <c r="AH102" s="26" t="n"/>
    </row>
    <row r="103">
      <c r="A103" s="22" t="n"/>
      <c r="B103" s="22" t="n"/>
      <c r="C103" s="26" t="n"/>
      <c r="D103" s="27" t="n"/>
      <c r="E103" s="22" t="n"/>
      <c r="F103" s="26" t="n"/>
      <c r="G103" s="22" t="n"/>
      <c r="H103" s="26">
        <f>IF(G103="","",IFERROR(VLOOKUP(G103,板块观察!A:Z,19,FALSE),""))</f>
        <v/>
      </c>
      <c r="I103" s="26">
        <f>IF(G103="","",IFERROR(VLOOKUP(G103,板块观察!A:Z,20,FALSE),""))</f>
        <v/>
      </c>
      <c r="J103" s="22" t="n"/>
      <c r="K103" s="22" t="n"/>
      <c r="L103" s="22" t="n"/>
      <c r="M103" s="22" t="n"/>
      <c r="N103" s="22" t="n"/>
      <c r="O103" s="22" t="n"/>
      <c r="P103" s="22" t="n"/>
      <c r="Q103" s="28" t="n"/>
      <c r="R103" s="22" t="n"/>
      <c r="S103" s="29" t="n"/>
      <c r="T103" s="29" t="n"/>
      <c r="U103" s="29" t="n"/>
      <c r="V103" s="22" t="n"/>
      <c r="W103" s="22" t="n"/>
      <c r="X103" s="22" t="n"/>
      <c r="Y103" s="22" t="n"/>
      <c r="Z103" s="22" t="n"/>
      <c r="AA103" s="22" t="n"/>
      <c r="AB103" s="22" t="n"/>
      <c r="AC103" s="29" t="n"/>
      <c r="AD103" s="30">
        <f>IF(A103="","",(COUNTA(A103:G103)+COUNTA(J103:AC103))/27)</f>
        <v/>
      </c>
      <c r="AE103" s="26">
        <f>IF(B103="","",WORKDAY(B103,3))</f>
        <v/>
      </c>
      <c r="AF103" s="26">
        <f>IF(B103="","",WORKDAY(B103,5))</f>
        <v/>
      </c>
      <c r="AG103" s="26">
        <f>IF(B103="","",WORKDAY(B103,10))</f>
        <v/>
      </c>
      <c r="AH103" s="26" t="n"/>
    </row>
    <row r="104">
      <c r="A104" s="22" t="n"/>
      <c r="B104" s="22" t="n"/>
      <c r="C104" s="26" t="n"/>
      <c r="D104" s="27" t="n"/>
      <c r="E104" s="22" t="n"/>
      <c r="F104" s="26" t="n"/>
      <c r="G104" s="22" t="n"/>
      <c r="H104" s="26">
        <f>IF(G104="","",IFERROR(VLOOKUP(G104,板块观察!A:Z,19,FALSE),""))</f>
        <v/>
      </c>
      <c r="I104" s="26">
        <f>IF(G104="","",IFERROR(VLOOKUP(G104,板块观察!A:Z,20,FALSE),""))</f>
        <v/>
      </c>
      <c r="J104" s="22" t="n"/>
      <c r="K104" s="22" t="n"/>
      <c r="L104" s="22" t="n"/>
      <c r="M104" s="22" t="n"/>
      <c r="N104" s="22" t="n"/>
      <c r="O104" s="22" t="n"/>
      <c r="P104" s="22" t="n"/>
      <c r="Q104" s="28" t="n"/>
      <c r="R104" s="22" t="n"/>
      <c r="S104" s="29" t="n"/>
      <c r="T104" s="29" t="n"/>
      <c r="U104" s="29" t="n"/>
      <c r="V104" s="22" t="n"/>
      <c r="W104" s="22" t="n"/>
      <c r="X104" s="22" t="n"/>
      <c r="Y104" s="22" t="n"/>
      <c r="Z104" s="22" t="n"/>
      <c r="AA104" s="22" t="n"/>
      <c r="AB104" s="22" t="n"/>
      <c r="AC104" s="29" t="n"/>
      <c r="AD104" s="30">
        <f>IF(A104="","",(COUNTA(A104:G104)+COUNTA(J104:AC104))/27)</f>
        <v/>
      </c>
      <c r="AE104" s="26">
        <f>IF(B104="","",WORKDAY(B104,3))</f>
        <v/>
      </c>
      <c r="AF104" s="26">
        <f>IF(B104="","",WORKDAY(B104,5))</f>
        <v/>
      </c>
      <c r="AG104" s="26">
        <f>IF(B104="","",WORKDAY(B104,10))</f>
        <v/>
      </c>
      <c r="AH104" s="26" t="n"/>
    </row>
    <row r="105">
      <c r="A105" s="22" t="n"/>
      <c r="B105" s="22" t="n"/>
      <c r="C105" s="26" t="n"/>
      <c r="D105" s="27" t="n"/>
      <c r="E105" s="22" t="n"/>
      <c r="F105" s="26" t="n"/>
      <c r="G105" s="22" t="n"/>
      <c r="H105" s="26">
        <f>IF(G105="","",IFERROR(VLOOKUP(G105,板块观察!A:Z,19,FALSE),""))</f>
        <v/>
      </c>
      <c r="I105" s="26">
        <f>IF(G105="","",IFERROR(VLOOKUP(G105,板块观察!A:Z,20,FALSE),""))</f>
        <v/>
      </c>
      <c r="J105" s="22" t="n"/>
      <c r="K105" s="22" t="n"/>
      <c r="L105" s="22" t="n"/>
      <c r="M105" s="22" t="n"/>
      <c r="N105" s="22" t="n"/>
      <c r="O105" s="22" t="n"/>
      <c r="P105" s="22" t="n"/>
      <c r="Q105" s="28" t="n"/>
      <c r="R105" s="22" t="n"/>
      <c r="S105" s="29" t="n"/>
      <c r="T105" s="29" t="n"/>
      <c r="U105" s="29" t="n"/>
      <c r="V105" s="22" t="n"/>
      <c r="W105" s="22" t="n"/>
      <c r="X105" s="22" t="n"/>
      <c r="Y105" s="22" t="n"/>
      <c r="Z105" s="22" t="n"/>
      <c r="AA105" s="22" t="n"/>
      <c r="AB105" s="22" t="n"/>
      <c r="AC105" s="29" t="n"/>
      <c r="AD105" s="30">
        <f>IF(A105="","",(COUNTA(A105:G105)+COUNTA(J105:AC105))/27)</f>
        <v/>
      </c>
      <c r="AE105" s="26">
        <f>IF(B105="","",WORKDAY(B105,3))</f>
        <v/>
      </c>
      <c r="AF105" s="26">
        <f>IF(B105="","",WORKDAY(B105,5))</f>
        <v/>
      </c>
      <c r="AG105" s="26">
        <f>IF(B105="","",WORKDAY(B105,10))</f>
        <v/>
      </c>
      <c r="AH105" s="26" t="n"/>
    </row>
    <row r="106">
      <c r="A106" s="22" t="n"/>
      <c r="B106" s="22" t="n"/>
      <c r="C106" s="26" t="n"/>
      <c r="D106" s="27" t="n"/>
      <c r="E106" s="22" t="n"/>
      <c r="F106" s="26" t="n"/>
      <c r="G106" s="22" t="n"/>
      <c r="H106" s="26">
        <f>IF(G106="","",IFERROR(VLOOKUP(G106,板块观察!A:Z,19,FALSE),""))</f>
        <v/>
      </c>
      <c r="I106" s="26">
        <f>IF(G106="","",IFERROR(VLOOKUP(G106,板块观察!A:Z,20,FALSE),""))</f>
        <v/>
      </c>
      <c r="J106" s="22" t="n"/>
      <c r="K106" s="22" t="n"/>
      <c r="L106" s="22" t="n"/>
      <c r="M106" s="22" t="n"/>
      <c r="N106" s="22" t="n"/>
      <c r="O106" s="22" t="n"/>
      <c r="P106" s="22" t="n"/>
      <c r="Q106" s="28" t="n"/>
      <c r="R106" s="22" t="n"/>
      <c r="S106" s="29" t="n"/>
      <c r="T106" s="29" t="n"/>
      <c r="U106" s="29" t="n"/>
      <c r="V106" s="22" t="n"/>
      <c r="W106" s="22" t="n"/>
      <c r="X106" s="22" t="n"/>
      <c r="Y106" s="22" t="n"/>
      <c r="Z106" s="22" t="n"/>
      <c r="AA106" s="22" t="n"/>
      <c r="AB106" s="22" t="n"/>
      <c r="AC106" s="29" t="n"/>
      <c r="AD106" s="30">
        <f>IF(A106="","",(COUNTA(A106:G106)+COUNTA(J106:AC106))/27)</f>
        <v/>
      </c>
      <c r="AE106" s="26">
        <f>IF(B106="","",WORKDAY(B106,3))</f>
        <v/>
      </c>
      <c r="AF106" s="26">
        <f>IF(B106="","",WORKDAY(B106,5))</f>
        <v/>
      </c>
      <c r="AG106" s="26">
        <f>IF(B106="","",WORKDAY(B106,10))</f>
        <v/>
      </c>
      <c r="AH106" s="26" t="n"/>
    </row>
    <row r="107">
      <c r="A107" s="22" t="n"/>
      <c r="B107" s="22" t="n"/>
      <c r="C107" s="26" t="n"/>
      <c r="D107" s="27" t="n"/>
      <c r="E107" s="22" t="n"/>
      <c r="F107" s="26" t="n"/>
      <c r="G107" s="22" t="n"/>
      <c r="H107" s="26">
        <f>IF(G107="","",IFERROR(VLOOKUP(G107,板块观察!A:Z,19,FALSE),""))</f>
        <v/>
      </c>
      <c r="I107" s="26">
        <f>IF(G107="","",IFERROR(VLOOKUP(G107,板块观察!A:Z,20,FALSE),""))</f>
        <v/>
      </c>
      <c r="J107" s="22" t="n"/>
      <c r="K107" s="22" t="n"/>
      <c r="L107" s="22" t="n"/>
      <c r="M107" s="22" t="n"/>
      <c r="N107" s="22" t="n"/>
      <c r="O107" s="22" t="n"/>
      <c r="P107" s="22" t="n"/>
      <c r="Q107" s="28" t="n"/>
      <c r="R107" s="22" t="n"/>
      <c r="S107" s="29" t="n"/>
      <c r="T107" s="29" t="n"/>
      <c r="U107" s="29" t="n"/>
      <c r="V107" s="22" t="n"/>
      <c r="W107" s="22" t="n"/>
      <c r="X107" s="22" t="n"/>
      <c r="Y107" s="22" t="n"/>
      <c r="Z107" s="22" t="n"/>
      <c r="AA107" s="22" t="n"/>
      <c r="AB107" s="22" t="n"/>
      <c r="AC107" s="29" t="n"/>
      <c r="AD107" s="30">
        <f>IF(A107="","",(COUNTA(A107:G107)+COUNTA(J107:AC107))/27)</f>
        <v/>
      </c>
      <c r="AE107" s="26">
        <f>IF(B107="","",WORKDAY(B107,3))</f>
        <v/>
      </c>
      <c r="AF107" s="26">
        <f>IF(B107="","",WORKDAY(B107,5))</f>
        <v/>
      </c>
      <c r="AG107" s="26">
        <f>IF(B107="","",WORKDAY(B107,10))</f>
        <v/>
      </c>
      <c r="AH107" s="26" t="n"/>
    </row>
    <row r="108">
      <c r="A108" s="22" t="n"/>
      <c r="B108" s="22" t="n"/>
      <c r="C108" s="26" t="n"/>
      <c r="D108" s="27" t="n"/>
      <c r="E108" s="22" t="n"/>
      <c r="F108" s="26" t="n"/>
      <c r="G108" s="22" t="n"/>
      <c r="H108" s="26">
        <f>IF(G108="","",IFERROR(VLOOKUP(G108,板块观察!A:Z,19,FALSE),""))</f>
        <v/>
      </c>
      <c r="I108" s="26">
        <f>IF(G108="","",IFERROR(VLOOKUP(G108,板块观察!A:Z,20,FALSE),""))</f>
        <v/>
      </c>
      <c r="J108" s="22" t="n"/>
      <c r="K108" s="22" t="n"/>
      <c r="L108" s="22" t="n"/>
      <c r="M108" s="22" t="n"/>
      <c r="N108" s="22" t="n"/>
      <c r="O108" s="22" t="n"/>
      <c r="P108" s="22" t="n"/>
      <c r="Q108" s="28" t="n"/>
      <c r="R108" s="22" t="n"/>
      <c r="S108" s="29" t="n"/>
      <c r="T108" s="29" t="n"/>
      <c r="U108" s="29" t="n"/>
      <c r="V108" s="22" t="n"/>
      <c r="W108" s="22" t="n"/>
      <c r="X108" s="22" t="n"/>
      <c r="Y108" s="22" t="n"/>
      <c r="Z108" s="22" t="n"/>
      <c r="AA108" s="22" t="n"/>
      <c r="AB108" s="22" t="n"/>
      <c r="AC108" s="29" t="n"/>
      <c r="AD108" s="30">
        <f>IF(A108="","",(COUNTA(A108:G108)+COUNTA(J108:AC108))/27)</f>
        <v/>
      </c>
      <c r="AE108" s="26">
        <f>IF(B108="","",WORKDAY(B108,3))</f>
        <v/>
      </c>
      <c r="AF108" s="26">
        <f>IF(B108="","",WORKDAY(B108,5))</f>
        <v/>
      </c>
      <c r="AG108" s="26">
        <f>IF(B108="","",WORKDAY(B108,10))</f>
        <v/>
      </c>
      <c r="AH108" s="26" t="n"/>
    </row>
    <row r="109">
      <c r="A109" s="22" t="n"/>
      <c r="B109" s="22" t="n"/>
      <c r="C109" s="26" t="n"/>
      <c r="D109" s="27" t="n"/>
      <c r="E109" s="22" t="n"/>
      <c r="F109" s="26" t="n"/>
      <c r="G109" s="22" t="n"/>
      <c r="H109" s="26">
        <f>IF(G109="","",IFERROR(VLOOKUP(G109,板块观察!A:Z,19,FALSE),""))</f>
        <v/>
      </c>
      <c r="I109" s="26">
        <f>IF(G109="","",IFERROR(VLOOKUP(G109,板块观察!A:Z,20,FALSE),""))</f>
        <v/>
      </c>
      <c r="J109" s="22" t="n"/>
      <c r="K109" s="22" t="n"/>
      <c r="L109" s="22" t="n"/>
      <c r="M109" s="22" t="n"/>
      <c r="N109" s="22" t="n"/>
      <c r="O109" s="22" t="n"/>
      <c r="P109" s="22" t="n"/>
      <c r="Q109" s="28" t="n"/>
      <c r="R109" s="22" t="n"/>
      <c r="S109" s="29" t="n"/>
      <c r="T109" s="29" t="n"/>
      <c r="U109" s="29" t="n"/>
      <c r="V109" s="22" t="n"/>
      <c r="W109" s="22" t="n"/>
      <c r="X109" s="22" t="n"/>
      <c r="Y109" s="22" t="n"/>
      <c r="Z109" s="22" t="n"/>
      <c r="AA109" s="22" t="n"/>
      <c r="AB109" s="22" t="n"/>
      <c r="AC109" s="29" t="n"/>
      <c r="AD109" s="30">
        <f>IF(A109="","",(COUNTA(A109:G109)+COUNTA(J109:AC109))/27)</f>
        <v/>
      </c>
      <c r="AE109" s="26">
        <f>IF(B109="","",WORKDAY(B109,3))</f>
        <v/>
      </c>
      <c r="AF109" s="26">
        <f>IF(B109="","",WORKDAY(B109,5))</f>
        <v/>
      </c>
      <c r="AG109" s="26">
        <f>IF(B109="","",WORKDAY(B109,10))</f>
        <v/>
      </c>
      <c r="AH109" s="26" t="n"/>
    </row>
    <row r="110">
      <c r="A110" s="22" t="n"/>
      <c r="B110" s="22" t="n"/>
      <c r="C110" s="26" t="n"/>
      <c r="D110" s="27" t="n"/>
      <c r="E110" s="22" t="n"/>
      <c r="F110" s="26" t="n"/>
      <c r="G110" s="22" t="n"/>
      <c r="H110" s="26">
        <f>IF(G110="","",IFERROR(VLOOKUP(G110,板块观察!A:Z,19,FALSE),""))</f>
        <v/>
      </c>
      <c r="I110" s="26">
        <f>IF(G110="","",IFERROR(VLOOKUP(G110,板块观察!A:Z,20,FALSE),""))</f>
        <v/>
      </c>
      <c r="J110" s="22" t="n"/>
      <c r="K110" s="22" t="n"/>
      <c r="L110" s="22" t="n"/>
      <c r="M110" s="22" t="n"/>
      <c r="N110" s="22" t="n"/>
      <c r="O110" s="22" t="n"/>
      <c r="P110" s="22" t="n"/>
      <c r="Q110" s="28" t="n"/>
      <c r="R110" s="22" t="n"/>
      <c r="S110" s="29" t="n"/>
      <c r="T110" s="29" t="n"/>
      <c r="U110" s="29" t="n"/>
      <c r="V110" s="22" t="n"/>
      <c r="W110" s="22" t="n"/>
      <c r="X110" s="22" t="n"/>
      <c r="Y110" s="22" t="n"/>
      <c r="Z110" s="22" t="n"/>
      <c r="AA110" s="22" t="n"/>
      <c r="AB110" s="22" t="n"/>
      <c r="AC110" s="29" t="n"/>
      <c r="AD110" s="30">
        <f>IF(A110="","",(COUNTA(A110:G110)+COUNTA(J110:AC110))/27)</f>
        <v/>
      </c>
      <c r="AE110" s="26">
        <f>IF(B110="","",WORKDAY(B110,3))</f>
        <v/>
      </c>
      <c r="AF110" s="26">
        <f>IF(B110="","",WORKDAY(B110,5))</f>
        <v/>
      </c>
      <c r="AG110" s="26">
        <f>IF(B110="","",WORKDAY(B110,10))</f>
        <v/>
      </c>
      <c r="AH110" s="26" t="n"/>
    </row>
    <row r="111">
      <c r="A111" s="22" t="n"/>
      <c r="B111" s="22" t="n"/>
      <c r="C111" s="26" t="n"/>
      <c r="D111" s="27" t="n"/>
      <c r="E111" s="22" t="n"/>
      <c r="F111" s="26" t="n"/>
      <c r="G111" s="22" t="n"/>
      <c r="H111" s="26">
        <f>IF(G111="","",IFERROR(VLOOKUP(G111,板块观察!A:Z,19,FALSE),""))</f>
        <v/>
      </c>
      <c r="I111" s="26">
        <f>IF(G111="","",IFERROR(VLOOKUP(G111,板块观察!A:Z,20,FALSE),""))</f>
        <v/>
      </c>
      <c r="J111" s="22" t="n"/>
      <c r="K111" s="22" t="n"/>
      <c r="L111" s="22" t="n"/>
      <c r="M111" s="22" t="n"/>
      <c r="N111" s="22" t="n"/>
      <c r="O111" s="22" t="n"/>
      <c r="P111" s="22" t="n"/>
      <c r="Q111" s="28" t="n"/>
      <c r="R111" s="22" t="n"/>
      <c r="S111" s="29" t="n"/>
      <c r="T111" s="29" t="n"/>
      <c r="U111" s="29" t="n"/>
      <c r="V111" s="22" t="n"/>
      <c r="W111" s="22" t="n"/>
      <c r="X111" s="22" t="n"/>
      <c r="Y111" s="22" t="n"/>
      <c r="Z111" s="22" t="n"/>
      <c r="AA111" s="22" t="n"/>
      <c r="AB111" s="22" t="n"/>
      <c r="AC111" s="29" t="n"/>
      <c r="AD111" s="30">
        <f>IF(A111="","",(COUNTA(A111:G111)+COUNTA(J111:AC111))/27)</f>
        <v/>
      </c>
      <c r="AE111" s="26">
        <f>IF(B111="","",WORKDAY(B111,3))</f>
        <v/>
      </c>
      <c r="AF111" s="26">
        <f>IF(B111="","",WORKDAY(B111,5))</f>
        <v/>
      </c>
      <c r="AG111" s="26">
        <f>IF(B111="","",WORKDAY(B111,10))</f>
        <v/>
      </c>
      <c r="AH111" s="26" t="n"/>
    </row>
    <row r="112">
      <c r="A112" s="22" t="n"/>
      <c r="B112" s="22" t="n"/>
      <c r="C112" s="26" t="n"/>
      <c r="D112" s="27" t="n"/>
      <c r="E112" s="22" t="n"/>
      <c r="F112" s="26" t="n"/>
      <c r="G112" s="22" t="n"/>
      <c r="H112" s="26">
        <f>IF(G112="","",IFERROR(VLOOKUP(G112,板块观察!A:Z,19,FALSE),""))</f>
        <v/>
      </c>
      <c r="I112" s="26">
        <f>IF(G112="","",IFERROR(VLOOKUP(G112,板块观察!A:Z,20,FALSE),""))</f>
        <v/>
      </c>
      <c r="J112" s="22" t="n"/>
      <c r="K112" s="22" t="n"/>
      <c r="L112" s="22" t="n"/>
      <c r="M112" s="22" t="n"/>
      <c r="N112" s="22" t="n"/>
      <c r="O112" s="22" t="n"/>
      <c r="P112" s="22" t="n"/>
      <c r="Q112" s="28" t="n"/>
      <c r="R112" s="22" t="n"/>
      <c r="S112" s="29" t="n"/>
      <c r="T112" s="29" t="n"/>
      <c r="U112" s="29" t="n"/>
      <c r="V112" s="22" t="n"/>
      <c r="W112" s="22" t="n"/>
      <c r="X112" s="22" t="n"/>
      <c r="Y112" s="22" t="n"/>
      <c r="Z112" s="22" t="n"/>
      <c r="AA112" s="22" t="n"/>
      <c r="AB112" s="22" t="n"/>
      <c r="AC112" s="29" t="n"/>
      <c r="AD112" s="30">
        <f>IF(A112="","",(COUNTA(A112:G112)+COUNTA(J112:AC112))/27)</f>
        <v/>
      </c>
      <c r="AE112" s="26">
        <f>IF(B112="","",WORKDAY(B112,3))</f>
        <v/>
      </c>
      <c r="AF112" s="26">
        <f>IF(B112="","",WORKDAY(B112,5))</f>
        <v/>
      </c>
      <c r="AG112" s="26">
        <f>IF(B112="","",WORKDAY(B112,10))</f>
        <v/>
      </c>
      <c r="AH112" s="26" t="n"/>
    </row>
    <row r="113">
      <c r="A113" s="22" t="n"/>
      <c r="B113" s="22" t="n"/>
      <c r="C113" s="26" t="n"/>
      <c r="D113" s="27" t="n"/>
      <c r="E113" s="22" t="n"/>
      <c r="F113" s="26" t="n"/>
      <c r="G113" s="22" t="n"/>
      <c r="H113" s="26">
        <f>IF(G113="","",IFERROR(VLOOKUP(G113,板块观察!A:Z,19,FALSE),""))</f>
        <v/>
      </c>
      <c r="I113" s="26">
        <f>IF(G113="","",IFERROR(VLOOKUP(G113,板块观察!A:Z,20,FALSE),""))</f>
        <v/>
      </c>
      <c r="J113" s="22" t="n"/>
      <c r="K113" s="22" t="n"/>
      <c r="L113" s="22" t="n"/>
      <c r="M113" s="22" t="n"/>
      <c r="N113" s="22" t="n"/>
      <c r="O113" s="22" t="n"/>
      <c r="P113" s="22" t="n"/>
      <c r="Q113" s="28" t="n"/>
      <c r="R113" s="22" t="n"/>
      <c r="S113" s="29" t="n"/>
      <c r="T113" s="29" t="n"/>
      <c r="U113" s="29" t="n"/>
      <c r="V113" s="22" t="n"/>
      <c r="W113" s="22" t="n"/>
      <c r="X113" s="22" t="n"/>
      <c r="Y113" s="22" t="n"/>
      <c r="Z113" s="22" t="n"/>
      <c r="AA113" s="22" t="n"/>
      <c r="AB113" s="22" t="n"/>
      <c r="AC113" s="29" t="n"/>
      <c r="AD113" s="30">
        <f>IF(A113="","",(COUNTA(A113:G113)+COUNTA(J113:AC113))/27)</f>
        <v/>
      </c>
      <c r="AE113" s="26">
        <f>IF(B113="","",WORKDAY(B113,3))</f>
        <v/>
      </c>
      <c r="AF113" s="26">
        <f>IF(B113="","",WORKDAY(B113,5))</f>
        <v/>
      </c>
      <c r="AG113" s="26">
        <f>IF(B113="","",WORKDAY(B113,10))</f>
        <v/>
      </c>
      <c r="AH113" s="26" t="n"/>
    </row>
    <row r="114">
      <c r="A114" s="22" t="n"/>
      <c r="B114" s="22" t="n"/>
      <c r="C114" s="26" t="n"/>
      <c r="D114" s="27" t="n"/>
      <c r="E114" s="22" t="n"/>
      <c r="F114" s="26" t="n"/>
      <c r="G114" s="22" t="n"/>
      <c r="H114" s="26">
        <f>IF(G114="","",IFERROR(VLOOKUP(G114,板块观察!A:Z,19,FALSE),""))</f>
        <v/>
      </c>
      <c r="I114" s="26">
        <f>IF(G114="","",IFERROR(VLOOKUP(G114,板块观察!A:Z,20,FALSE),""))</f>
        <v/>
      </c>
      <c r="J114" s="22" t="n"/>
      <c r="K114" s="22" t="n"/>
      <c r="L114" s="22" t="n"/>
      <c r="M114" s="22" t="n"/>
      <c r="N114" s="22" t="n"/>
      <c r="O114" s="22" t="n"/>
      <c r="P114" s="22" t="n"/>
      <c r="Q114" s="28" t="n"/>
      <c r="R114" s="22" t="n"/>
      <c r="S114" s="29" t="n"/>
      <c r="T114" s="29" t="n"/>
      <c r="U114" s="29" t="n"/>
      <c r="V114" s="22" t="n"/>
      <c r="W114" s="22" t="n"/>
      <c r="X114" s="22" t="n"/>
      <c r="Y114" s="22" t="n"/>
      <c r="Z114" s="22" t="n"/>
      <c r="AA114" s="22" t="n"/>
      <c r="AB114" s="22" t="n"/>
      <c r="AC114" s="29" t="n"/>
      <c r="AD114" s="30">
        <f>IF(A114="","",(COUNTA(A114:G114)+COUNTA(J114:AC114))/27)</f>
        <v/>
      </c>
      <c r="AE114" s="26">
        <f>IF(B114="","",WORKDAY(B114,3))</f>
        <v/>
      </c>
      <c r="AF114" s="26">
        <f>IF(B114="","",WORKDAY(B114,5))</f>
        <v/>
      </c>
      <c r="AG114" s="26">
        <f>IF(B114="","",WORKDAY(B114,10))</f>
        <v/>
      </c>
      <c r="AH114" s="26" t="n"/>
    </row>
    <row r="115">
      <c r="A115" s="22" t="n"/>
      <c r="B115" s="22" t="n"/>
      <c r="C115" s="26" t="n"/>
      <c r="D115" s="27" t="n"/>
      <c r="E115" s="22" t="n"/>
      <c r="F115" s="26" t="n"/>
      <c r="G115" s="22" t="n"/>
      <c r="H115" s="26">
        <f>IF(G115="","",IFERROR(VLOOKUP(G115,板块观察!A:Z,19,FALSE),""))</f>
        <v/>
      </c>
      <c r="I115" s="26">
        <f>IF(G115="","",IFERROR(VLOOKUP(G115,板块观察!A:Z,20,FALSE),""))</f>
        <v/>
      </c>
      <c r="J115" s="22" t="n"/>
      <c r="K115" s="22" t="n"/>
      <c r="L115" s="22" t="n"/>
      <c r="M115" s="22" t="n"/>
      <c r="N115" s="22" t="n"/>
      <c r="O115" s="22" t="n"/>
      <c r="P115" s="22" t="n"/>
      <c r="Q115" s="28" t="n"/>
      <c r="R115" s="22" t="n"/>
      <c r="S115" s="29" t="n"/>
      <c r="T115" s="29" t="n"/>
      <c r="U115" s="29" t="n"/>
      <c r="V115" s="22" t="n"/>
      <c r="W115" s="22" t="n"/>
      <c r="X115" s="22" t="n"/>
      <c r="Y115" s="22" t="n"/>
      <c r="Z115" s="22" t="n"/>
      <c r="AA115" s="22" t="n"/>
      <c r="AB115" s="22" t="n"/>
      <c r="AC115" s="29" t="n"/>
      <c r="AD115" s="30">
        <f>IF(A115="","",(COUNTA(A115:G115)+COUNTA(J115:AC115))/27)</f>
        <v/>
      </c>
      <c r="AE115" s="26">
        <f>IF(B115="","",WORKDAY(B115,3))</f>
        <v/>
      </c>
      <c r="AF115" s="26">
        <f>IF(B115="","",WORKDAY(B115,5))</f>
        <v/>
      </c>
      <c r="AG115" s="26">
        <f>IF(B115="","",WORKDAY(B115,10))</f>
        <v/>
      </c>
      <c r="AH115" s="26" t="n"/>
    </row>
    <row r="116">
      <c r="A116" s="22" t="n"/>
      <c r="B116" s="22" t="n"/>
      <c r="C116" s="26" t="n"/>
      <c r="D116" s="27" t="n"/>
      <c r="E116" s="22" t="n"/>
      <c r="F116" s="26" t="n"/>
      <c r="G116" s="22" t="n"/>
      <c r="H116" s="26">
        <f>IF(G116="","",IFERROR(VLOOKUP(G116,板块观察!A:Z,19,FALSE),""))</f>
        <v/>
      </c>
      <c r="I116" s="26">
        <f>IF(G116="","",IFERROR(VLOOKUP(G116,板块观察!A:Z,20,FALSE),""))</f>
        <v/>
      </c>
      <c r="J116" s="22" t="n"/>
      <c r="K116" s="22" t="n"/>
      <c r="L116" s="22" t="n"/>
      <c r="M116" s="22" t="n"/>
      <c r="N116" s="22" t="n"/>
      <c r="O116" s="22" t="n"/>
      <c r="P116" s="22" t="n"/>
      <c r="Q116" s="28" t="n"/>
      <c r="R116" s="22" t="n"/>
      <c r="S116" s="29" t="n"/>
      <c r="T116" s="29" t="n"/>
      <c r="U116" s="29" t="n"/>
      <c r="V116" s="22" t="n"/>
      <c r="W116" s="22" t="n"/>
      <c r="X116" s="22" t="n"/>
      <c r="Y116" s="22" t="n"/>
      <c r="Z116" s="22" t="n"/>
      <c r="AA116" s="22" t="n"/>
      <c r="AB116" s="22" t="n"/>
      <c r="AC116" s="29" t="n"/>
      <c r="AD116" s="30">
        <f>IF(A116="","",(COUNTA(A116:G116)+COUNTA(J116:AC116))/27)</f>
        <v/>
      </c>
      <c r="AE116" s="26">
        <f>IF(B116="","",WORKDAY(B116,3))</f>
        <v/>
      </c>
      <c r="AF116" s="26">
        <f>IF(B116="","",WORKDAY(B116,5))</f>
        <v/>
      </c>
      <c r="AG116" s="26">
        <f>IF(B116="","",WORKDAY(B116,10))</f>
        <v/>
      </c>
      <c r="AH116" s="26" t="n"/>
    </row>
    <row r="117">
      <c r="A117" s="22" t="n"/>
      <c r="B117" s="22" t="n"/>
      <c r="C117" s="26" t="n"/>
      <c r="D117" s="27" t="n"/>
      <c r="E117" s="22" t="n"/>
      <c r="F117" s="26" t="n"/>
      <c r="G117" s="22" t="n"/>
      <c r="H117" s="26">
        <f>IF(G117="","",IFERROR(VLOOKUP(G117,板块观察!A:Z,19,FALSE),""))</f>
        <v/>
      </c>
      <c r="I117" s="26">
        <f>IF(G117="","",IFERROR(VLOOKUP(G117,板块观察!A:Z,20,FALSE),""))</f>
        <v/>
      </c>
      <c r="J117" s="22" t="n"/>
      <c r="K117" s="22" t="n"/>
      <c r="L117" s="22" t="n"/>
      <c r="M117" s="22" t="n"/>
      <c r="N117" s="22" t="n"/>
      <c r="O117" s="22" t="n"/>
      <c r="P117" s="22" t="n"/>
      <c r="Q117" s="28" t="n"/>
      <c r="R117" s="22" t="n"/>
      <c r="S117" s="29" t="n"/>
      <c r="T117" s="29" t="n"/>
      <c r="U117" s="29" t="n"/>
      <c r="V117" s="22" t="n"/>
      <c r="W117" s="22" t="n"/>
      <c r="X117" s="22" t="n"/>
      <c r="Y117" s="22" t="n"/>
      <c r="Z117" s="22" t="n"/>
      <c r="AA117" s="22" t="n"/>
      <c r="AB117" s="22" t="n"/>
      <c r="AC117" s="29" t="n"/>
      <c r="AD117" s="30">
        <f>IF(A117="","",(COUNTA(A117:G117)+COUNTA(J117:AC117))/27)</f>
        <v/>
      </c>
      <c r="AE117" s="26">
        <f>IF(B117="","",WORKDAY(B117,3))</f>
        <v/>
      </c>
      <c r="AF117" s="26">
        <f>IF(B117="","",WORKDAY(B117,5))</f>
        <v/>
      </c>
      <c r="AG117" s="26">
        <f>IF(B117="","",WORKDAY(B117,10))</f>
        <v/>
      </c>
      <c r="AH117" s="26" t="n"/>
    </row>
    <row r="118">
      <c r="A118" s="22" t="n"/>
      <c r="B118" s="22" t="n"/>
      <c r="C118" s="26" t="n"/>
      <c r="D118" s="27" t="n"/>
      <c r="E118" s="22" t="n"/>
      <c r="F118" s="26" t="n"/>
      <c r="G118" s="22" t="n"/>
      <c r="H118" s="26">
        <f>IF(G118="","",IFERROR(VLOOKUP(G118,板块观察!A:Z,19,FALSE),""))</f>
        <v/>
      </c>
      <c r="I118" s="26">
        <f>IF(G118="","",IFERROR(VLOOKUP(G118,板块观察!A:Z,20,FALSE),""))</f>
        <v/>
      </c>
      <c r="J118" s="22" t="n"/>
      <c r="K118" s="22" t="n"/>
      <c r="L118" s="22" t="n"/>
      <c r="M118" s="22" t="n"/>
      <c r="N118" s="22" t="n"/>
      <c r="O118" s="22" t="n"/>
      <c r="P118" s="22" t="n"/>
      <c r="Q118" s="28" t="n"/>
      <c r="R118" s="22" t="n"/>
      <c r="S118" s="29" t="n"/>
      <c r="T118" s="29" t="n"/>
      <c r="U118" s="29" t="n"/>
      <c r="V118" s="22" t="n"/>
      <c r="W118" s="22" t="n"/>
      <c r="X118" s="22" t="n"/>
      <c r="Y118" s="22" t="n"/>
      <c r="Z118" s="22" t="n"/>
      <c r="AA118" s="22" t="n"/>
      <c r="AB118" s="22" t="n"/>
      <c r="AC118" s="29" t="n"/>
      <c r="AD118" s="30">
        <f>IF(A118="","",(COUNTA(A118:G118)+COUNTA(J118:AC118))/27)</f>
        <v/>
      </c>
      <c r="AE118" s="26">
        <f>IF(B118="","",WORKDAY(B118,3))</f>
        <v/>
      </c>
      <c r="AF118" s="26">
        <f>IF(B118="","",WORKDAY(B118,5))</f>
        <v/>
      </c>
      <c r="AG118" s="26">
        <f>IF(B118="","",WORKDAY(B118,10))</f>
        <v/>
      </c>
      <c r="AH118" s="26" t="n"/>
    </row>
    <row r="119">
      <c r="A119" s="22" t="n"/>
      <c r="B119" s="22" t="n"/>
      <c r="C119" s="26" t="n"/>
      <c r="D119" s="27" t="n"/>
      <c r="E119" s="22" t="n"/>
      <c r="F119" s="26" t="n"/>
      <c r="G119" s="22" t="n"/>
      <c r="H119" s="26">
        <f>IF(G119="","",IFERROR(VLOOKUP(G119,板块观察!A:Z,19,FALSE),""))</f>
        <v/>
      </c>
      <c r="I119" s="26">
        <f>IF(G119="","",IFERROR(VLOOKUP(G119,板块观察!A:Z,20,FALSE),""))</f>
        <v/>
      </c>
      <c r="J119" s="22" t="n"/>
      <c r="K119" s="22" t="n"/>
      <c r="L119" s="22" t="n"/>
      <c r="M119" s="22" t="n"/>
      <c r="N119" s="22" t="n"/>
      <c r="O119" s="22" t="n"/>
      <c r="P119" s="22" t="n"/>
      <c r="Q119" s="28" t="n"/>
      <c r="R119" s="22" t="n"/>
      <c r="S119" s="29" t="n"/>
      <c r="T119" s="29" t="n"/>
      <c r="U119" s="29" t="n"/>
      <c r="V119" s="22" t="n"/>
      <c r="W119" s="22" t="n"/>
      <c r="X119" s="22" t="n"/>
      <c r="Y119" s="22" t="n"/>
      <c r="Z119" s="22" t="n"/>
      <c r="AA119" s="22" t="n"/>
      <c r="AB119" s="22" t="n"/>
      <c r="AC119" s="29" t="n"/>
      <c r="AD119" s="30">
        <f>IF(A119="","",(COUNTA(A119:G119)+COUNTA(J119:AC119))/27)</f>
        <v/>
      </c>
      <c r="AE119" s="26">
        <f>IF(B119="","",WORKDAY(B119,3))</f>
        <v/>
      </c>
      <c r="AF119" s="26">
        <f>IF(B119="","",WORKDAY(B119,5))</f>
        <v/>
      </c>
      <c r="AG119" s="26">
        <f>IF(B119="","",WORKDAY(B119,10))</f>
        <v/>
      </c>
      <c r="AH119" s="26" t="n"/>
    </row>
    <row r="120">
      <c r="A120" s="22" t="n"/>
      <c r="B120" s="22" t="n"/>
      <c r="C120" s="26" t="n"/>
      <c r="D120" s="27" t="n"/>
      <c r="E120" s="22" t="n"/>
      <c r="F120" s="26" t="n"/>
      <c r="G120" s="22" t="n"/>
      <c r="H120" s="26">
        <f>IF(G120="","",IFERROR(VLOOKUP(G120,板块观察!A:Z,19,FALSE),""))</f>
        <v/>
      </c>
      <c r="I120" s="26">
        <f>IF(G120="","",IFERROR(VLOOKUP(G120,板块观察!A:Z,20,FALSE),""))</f>
        <v/>
      </c>
      <c r="J120" s="22" t="n"/>
      <c r="K120" s="22" t="n"/>
      <c r="L120" s="22" t="n"/>
      <c r="M120" s="22" t="n"/>
      <c r="N120" s="22" t="n"/>
      <c r="O120" s="22" t="n"/>
      <c r="P120" s="22" t="n"/>
      <c r="Q120" s="28" t="n"/>
      <c r="R120" s="22" t="n"/>
      <c r="S120" s="29" t="n"/>
      <c r="T120" s="29" t="n"/>
      <c r="U120" s="29" t="n"/>
      <c r="V120" s="22" t="n"/>
      <c r="W120" s="22" t="n"/>
      <c r="X120" s="22" t="n"/>
      <c r="Y120" s="22" t="n"/>
      <c r="Z120" s="22" t="n"/>
      <c r="AA120" s="22" t="n"/>
      <c r="AB120" s="22" t="n"/>
      <c r="AC120" s="29" t="n"/>
      <c r="AD120" s="30">
        <f>IF(A120="","",(COUNTA(A120:G120)+COUNTA(J120:AC120))/27)</f>
        <v/>
      </c>
      <c r="AE120" s="26">
        <f>IF(B120="","",WORKDAY(B120,3))</f>
        <v/>
      </c>
      <c r="AF120" s="26">
        <f>IF(B120="","",WORKDAY(B120,5))</f>
        <v/>
      </c>
      <c r="AG120" s="26">
        <f>IF(B120="","",WORKDAY(B120,10))</f>
        <v/>
      </c>
      <c r="AH120" s="26" t="n"/>
    </row>
    <row r="121">
      <c r="A121" s="22" t="n"/>
      <c r="B121" s="22" t="n"/>
      <c r="C121" s="26" t="n"/>
      <c r="D121" s="27" t="n"/>
      <c r="E121" s="22" t="n"/>
      <c r="F121" s="26" t="n"/>
      <c r="G121" s="22" t="n"/>
      <c r="H121" s="26">
        <f>IF(G121="","",IFERROR(VLOOKUP(G121,板块观察!A:Z,19,FALSE),""))</f>
        <v/>
      </c>
      <c r="I121" s="26">
        <f>IF(G121="","",IFERROR(VLOOKUP(G121,板块观察!A:Z,20,FALSE),""))</f>
        <v/>
      </c>
      <c r="J121" s="22" t="n"/>
      <c r="K121" s="22" t="n"/>
      <c r="L121" s="22" t="n"/>
      <c r="M121" s="22" t="n"/>
      <c r="N121" s="22" t="n"/>
      <c r="O121" s="22" t="n"/>
      <c r="P121" s="22" t="n"/>
      <c r="Q121" s="28" t="n"/>
      <c r="R121" s="22" t="n"/>
      <c r="S121" s="29" t="n"/>
      <c r="T121" s="29" t="n"/>
      <c r="U121" s="29" t="n"/>
      <c r="V121" s="22" t="n"/>
      <c r="W121" s="22" t="n"/>
      <c r="X121" s="22" t="n"/>
      <c r="Y121" s="22" t="n"/>
      <c r="Z121" s="22" t="n"/>
      <c r="AA121" s="22" t="n"/>
      <c r="AB121" s="22" t="n"/>
      <c r="AC121" s="29" t="n"/>
      <c r="AD121" s="30">
        <f>IF(A121="","",(COUNTA(A121:G121)+COUNTA(J121:AC121))/27)</f>
        <v/>
      </c>
      <c r="AE121" s="26">
        <f>IF(B121="","",WORKDAY(B121,3))</f>
        <v/>
      </c>
      <c r="AF121" s="26">
        <f>IF(B121="","",WORKDAY(B121,5))</f>
        <v/>
      </c>
      <c r="AG121" s="26">
        <f>IF(B121="","",WORKDAY(B121,10))</f>
        <v/>
      </c>
      <c r="AH121" s="26" t="n"/>
    </row>
    <row r="122">
      <c r="A122" s="22" t="n"/>
      <c r="B122" s="22" t="n"/>
      <c r="C122" s="26" t="n"/>
      <c r="D122" s="27" t="n"/>
      <c r="E122" s="22" t="n"/>
      <c r="F122" s="26" t="n"/>
      <c r="G122" s="22" t="n"/>
      <c r="H122" s="26">
        <f>IF(G122="","",IFERROR(VLOOKUP(G122,板块观察!A:Z,19,FALSE),""))</f>
        <v/>
      </c>
      <c r="I122" s="26">
        <f>IF(G122="","",IFERROR(VLOOKUP(G122,板块观察!A:Z,20,FALSE),""))</f>
        <v/>
      </c>
      <c r="J122" s="22" t="n"/>
      <c r="K122" s="22" t="n"/>
      <c r="L122" s="22" t="n"/>
      <c r="M122" s="22" t="n"/>
      <c r="N122" s="22" t="n"/>
      <c r="O122" s="22" t="n"/>
      <c r="P122" s="22" t="n"/>
      <c r="Q122" s="28" t="n"/>
      <c r="R122" s="22" t="n"/>
      <c r="S122" s="29" t="n"/>
      <c r="T122" s="29" t="n"/>
      <c r="U122" s="29" t="n"/>
      <c r="V122" s="22" t="n"/>
      <c r="W122" s="22" t="n"/>
      <c r="X122" s="22" t="n"/>
      <c r="Y122" s="22" t="n"/>
      <c r="Z122" s="22" t="n"/>
      <c r="AA122" s="22" t="n"/>
      <c r="AB122" s="22" t="n"/>
      <c r="AC122" s="29" t="n"/>
      <c r="AD122" s="30">
        <f>IF(A122="","",(COUNTA(A122:G122)+COUNTA(J122:AC122))/27)</f>
        <v/>
      </c>
      <c r="AE122" s="26">
        <f>IF(B122="","",WORKDAY(B122,3))</f>
        <v/>
      </c>
      <c r="AF122" s="26">
        <f>IF(B122="","",WORKDAY(B122,5))</f>
        <v/>
      </c>
      <c r="AG122" s="26">
        <f>IF(B122="","",WORKDAY(B122,10))</f>
        <v/>
      </c>
      <c r="AH122" s="26" t="n"/>
    </row>
    <row r="123">
      <c r="A123" s="22" t="n"/>
      <c r="B123" s="22" t="n"/>
      <c r="C123" s="26" t="n"/>
      <c r="D123" s="27" t="n"/>
      <c r="E123" s="22" t="n"/>
      <c r="F123" s="26" t="n"/>
      <c r="G123" s="22" t="n"/>
      <c r="H123" s="26">
        <f>IF(G123="","",IFERROR(VLOOKUP(G123,板块观察!A:Z,19,FALSE),""))</f>
        <v/>
      </c>
      <c r="I123" s="26">
        <f>IF(G123="","",IFERROR(VLOOKUP(G123,板块观察!A:Z,20,FALSE),""))</f>
        <v/>
      </c>
      <c r="J123" s="22" t="n"/>
      <c r="K123" s="22" t="n"/>
      <c r="L123" s="22" t="n"/>
      <c r="M123" s="22" t="n"/>
      <c r="N123" s="22" t="n"/>
      <c r="O123" s="22" t="n"/>
      <c r="P123" s="22" t="n"/>
      <c r="Q123" s="28" t="n"/>
      <c r="R123" s="22" t="n"/>
      <c r="S123" s="29" t="n"/>
      <c r="T123" s="29" t="n"/>
      <c r="U123" s="29" t="n"/>
      <c r="V123" s="22" t="n"/>
      <c r="W123" s="22" t="n"/>
      <c r="X123" s="22" t="n"/>
      <c r="Y123" s="22" t="n"/>
      <c r="Z123" s="22" t="n"/>
      <c r="AA123" s="22" t="n"/>
      <c r="AB123" s="22" t="n"/>
      <c r="AC123" s="29" t="n"/>
      <c r="AD123" s="30">
        <f>IF(A123="","",(COUNTA(A123:G123)+COUNTA(J123:AC123))/27)</f>
        <v/>
      </c>
      <c r="AE123" s="26">
        <f>IF(B123="","",WORKDAY(B123,3))</f>
        <v/>
      </c>
      <c r="AF123" s="26">
        <f>IF(B123="","",WORKDAY(B123,5))</f>
        <v/>
      </c>
      <c r="AG123" s="26">
        <f>IF(B123="","",WORKDAY(B123,10))</f>
        <v/>
      </c>
      <c r="AH123" s="26" t="n"/>
    </row>
    <row r="124">
      <c r="A124" s="22" t="n"/>
      <c r="B124" s="22" t="n"/>
      <c r="C124" s="26" t="n"/>
      <c r="D124" s="27" t="n"/>
      <c r="E124" s="22" t="n"/>
      <c r="F124" s="26" t="n"/>
      <c r="G124" s="22" t="n"/>
      <c r="H124" s="26">
        <f>IF(G124="","",IFERROR(VLOOKUP(G124,板块观察!A:Z,19,FALSE),""))</f>
        <v/>
      </c>
      <c r="I124" s="26">
        <f>IF(G124="","",IFERROR(VLOOKUP(G124,板块观察!A:Z,20,FALSE),""))</f>
        <v/>
      </c>
      <c r="J124" s="22" t="n"/>
      <c r="K124" s="22" t="n"/>
      <c r="L124" s="22" t="n"/>
      <c r="M124" s="22" t="n"/>
      <c r="N124" s="22" t="n"/>
      <c r="O124" s="22" t="n"/>
      <c r="P124" s="22" t="n"/>
      <c r="Q124" s="28" t="n"/>
      <c r="R124" s="22" t="n"/>
      <c r="S124" s="29" t="n"/>
      <c r="T124" s="29" t="n"/>
      <c r="U124" s="29" t="n"/>
      <c r="V124" s="22" t="n"/>
      <c r="W124" s="22" t="n"/>
      <c r="X124" s="22" t="n"/>
      <c r="Y124" s="22" t="n"/>
      <c r="Z124" s="22" t="n"/>
      <c r="AA124" s="22" t="n"/>
      <c r="AB124" s="22" t="n"/>
      <c r="AC124" s="29" t="n"/>
      <c r="AD124" s="30">
        <f>IF(A124="","",(COUNTA(A124:G124)+COUNTA(J124:AC124))/27)</f>
        <v/>
      </c>
      <c r="AE124" s="26">
        <f>IF(B124="","",WORKDAY(B124,3))</f>
        <v/>
      </c>
      <c r="AF124" s="26">
        <f>IF(B124="","",WORKDAY(B124,5))</f>
        <v/>
      </c>
      <c r="AG124" s="26">
        <f>IF(B124="","",WORKDAY(B124,10))</f>
        <v/>
      </c>
      <c r="AH124" s="26" t="n"/>
    </row>
    <row r="125">
      <c r="A125" s="22" t="n"/>
      <c r="B125" s="22" t="n"/>
      <c r="C125" s="26" t="n"/>
      <c r="D125" s="27" t="n"/>
      <c r="E125" s="22" t="n"/>
      <c r="F125" s="26" t="n"/>
      <c r="G125" s="22" t="n"/>
      <c r="H125" s="26">
        <f>IF(G125="","",IFERROR(VLOOKUP(G125,板块观察!A:Z,19,FALSE),""))</f>
        <v/>
      </c>
      <c r="I125" s="26">
        <f>IF(G125="","",IFERROR(VLOOKUP(G125,板块观察!A:Z,20,FALSE),""))</f>
        <v/>
      </c>
      <c r="J125" s="22" t="n"/>
      <c r="K125" s="22" t="n"/>
      <c r="L125" s="22" t="n"/>
      <c r="M125" s="22" t="n"/>
      <c r="N125" s="22" t="n"/>
      <c r="O125" s="22" t="n"/>
      <c r="P125" s="22" t="n"/>
      <c r="Q125" s="28" t="n"/>
      <c r="R125" s="22" t="n"/>
      <c r="S125" s="29" t="n"/>
      <c r="T125" s="29" t="n"/>
      <c r="U125" s="29" t="n"/>
      <c r="V125" s="22" t="n"/>
      <c r="W125" s="22" t="n"/>
      <c r="X125" s="22" t="n"/>
      <c r="Y125" s="22" t="n"/>
      <c r="Z125" s="22" t="n"/>
      <c r="AA125" s="22" t="n"/>
      <c r="AB125" s="22" t="n"/>
      <c r="AC125" s="29" t="n"/>
      <c r="AD125" s="30">
        <f>IF(A125="","",(COUNTA(A125:G125)+COUNTA(J125:AC125))/27)</f>
        <v/>
      </c>
      <c r="AE125" s="26">
        <f>IF(B125="","",WORKDAY(B125,3))</f>
        <v/>
      </c>
      <c r="AF125" s="26">
        <f>IF(B125="","",WORKDAY(B125,5))</f>
        <v/>
      </c>
      <c r="AG125" s="26">
        <f>IF(B125="","",WORKDAY(B125,10))</f>
        <v/>
      </c>
      <c r="AH125" s="26" t="n"/>
    </row>
    <row r="126">
      <c r="A126" s="22" t="n"/>
      <c r="B126" s="22" t="n"/>
      <c r="C126" s="26" t="n"/>
      <c r="D126" s="27" t="n"/>
      <c r="E126" s="22" t="n"/>
      <c r="F126" s="26" t="n"/>
      <c r="G126" s="22" t="n"/>
      <c r="H126" s="26">
        <f>IF(G126="","",IFERROR(VLOOKUP(G126,板块观察!A:Z,19,FALSE),""))</f>
        <v/>
      </c>
      <c r="I126" s="26">
        <f>IF(G126="","",IFERROR(VLOOKUP(G126,板块观察!A:Z,20,FALSE),""))</f>
        <v/>
      </c>
      <c r="J126" s="22" t="n"/>
      <c r="K126" s="22" t="n"/>
      <c r="L126" s="22" t="n"/>
      <c r="M126" s="22" t="n"/>
      <c r="N126" s="22" t="n"/>
      <c r="O126" s="22" t="n"/>
      <c r="P126" s="22" t="n"/>
      <c r="Q126" s="28" t="n"/>
      <c r="R126" s="22" t="n"/>
      <c r="S126" s="29" t="n"/>
      <c r="T126" s="29" t="n"/>
      <c r="U126" s="29" t="n"/>
      <c r="V126" s="22" t="n"/>
      <c r="W126" s="22" t="n"/>
      <c r="X126" s="22" t="n"/>
      <c r="Y126" s="22" t="n"/>
      <c r="Z126" s="22" t="n"/>
      <c r="AA126" s="22" t="n"/>
      <c r="AB126" s="22" t="n"/>
      <c r="AC126" s="29" t="n"/>
      <c r="AD126" s="30">
        <f>IF(A126="","",(COUNTA(A126:G126)+COUNTA(J126:AC126))/27)</f>
        <v/>
      </c>
      <c r="AE126" s="26">
        <f>IF(B126="","",WORKDAY(B126,3))</f>
        <v/>
      </c>
      <c r="AF126" s="26">
        <f>IF(B126="","",WORKDAY(B126,5))</f>
        <v/>
      </c>
      <c r="AG126" s="26">
        <f>IF(B126="","",WORKDAY(B126,10))</f>
        <v/>
      </c>
      <c r="AH126" s="26" t="n"/>
    </row>
    <row r="127">
      <c r="A127" s="22" t="n"/>
      <c r="B127" s="22" t="n"/>
      <c r="C127" s="26" t="n"/>
      <c r="D127" s="27" t="n"/>
      <c r="E127" s="22" t="n"/>
      <c r="F127" s="26" t="n"/>
      <c r="G127" s="22" t="n"/>
      <c r="H127" s="26">
        <f>IF(G127="","",IFERROR(VLOOKUP(G127,板块观察!A:Z,19,FALSE),""))</f>
        <v/>
      </c>
      <c r="I127" s="26">
        <f>IF(G127="","",IFERROR(VLOOKUP(G127,板块观察!A:Z,20,FALSE),""))</f>
        <v/>
      </c>
      <c r="J127" s="22" t="n"/>
      <c r="K127" s="22" t="n"/>
      <c r="L127" s="22" t="n"/>
      <c r="M127" s="22" t="n"/>
      <c r="N127" s="22" t="n"/>
      <c r="O127" s="22" t="n"/>
      <c r="P127" s="22" t="n"/>
      <c r="Q127" s="28" t="n"/>
      <c r="R127" s="22" t="n"/>
      <c r="S127" s="29" t="n"/>
      <c r="T127" s="29" t="n"/>
      <c r="U127" s="29" t="n"/>
      <c r="V127" s="22" t="n"/>
      <c r="W127" s="22" t="n"/>
      <c r="X127" s="22" t="n"/>
      <c r="Y127" s="22" t="n"/>
      <c r="Z127" s="22" t="n"/>
      <c r="AA127" s="22" t="n"/>
      <c r="AB127" s="22" t="n"/>
      <c r="AC127" s="29" t="n"/>
      <c r="AD127" s="30">
        <f>IF(A127="","",(COUNTA(A127:G127)+COUNTA(J127:AC127))/27)</f>
        <v/>
      </c>
      <c r="AE127" s="26">
        <f>IF(B127="","",WORKDAY(B127,3))</f>
        <v/>
      </c>
      <c r="AF127" s="26">
        <f>IF(B127="","",WORKDAY(B127,5))</f>
        <v/>
      </c>
      <c r="AG127" s="26">
        <f>IF(B127="","",WORKDAY(B127,10))</f>
        <v/>
      </c>
      <c r="AH127" s="26" t="n"/>
    </row>
    <row r="128">
      <c r="A128" s="22" t="n"/>
      <c r="B128" s="22" t="n"/>
      <c r="C128" s="26" t="n"/>
      <c r="D128" s="27" t="n"/>
      <c r="E128" s="22" t="n"/>
      <c r="F128" s="26" t="n"/>
      <c r="G128" s="22" t="n"/>
      <c r="H128" s="26">
        <f>IF(G128="","",IFERROR(VLOOKUP(G128,板块观察!A:Z,19,FALSE),""))</f>
        <v/>
      </c>
      <c r="I128" s="26">
        <f>IF(G128="","",IFERROR(VLOOKUP(G128,板块观察!A:Z,20,FALSE),""))</f>
        <v/>
      </c>
      <c r="J128" s="22" t="n"/>
      <c r="K128" s="22" t="n"/>
      <c r="L128" s="22" t="n"/>
      <c r="M128" s="22" t="n"/>
      <c r="N128" s="22" t="n"/>
      <c r="O128" s="22" t="n"/>
      <c r="P128" s="22" t="n"/>
      <c r="Q128" s="28" t="n"/>
      <c r="R128" s="22" t="n"/>
      <c r="S128" s="29" t="n"/>
      <c r="T128" s="29" t="n"/>
      <c r="U128" s="29" t="n"/>
      <c r="V128" s="22" t="n"/>
      <c r="W128" s="22" t="n"/>
      <c r="X128" s="22" t="n"/>
      <c r="Y128" s="22" t="n"/>
      <c r="Z128" s="22" t="n"/>
      <c r="AA128" s="22" t="n"/>
      <c r="AB128" s="22" t="n"/>
      <c r="AC128" s="29" t="n"/>
      <c r="AD128" s="30">
        <f>IF(A128="","",(COUNTA(A128:G128)+COUNTA(J128:AC128))/27)</f>
        <v/>
      </c>
      <c r="AE128" s="26">
        <f>IF(B128="","",WORKDAY(B128,3))</f>
        <v/>
      </c>
      <c r="AF128" s="26">
        <f>IF(B128="","",WORKDAY(B128,5))</f>
        <v/>
      </c>
      <c r="AG128" s="26">
        <f>IF(B128="","",WORKDAY(B128,10))</f>
        <v/>
      </c>
      <c r="AH128" s="26" t="n"/>
    </row>
    <row r="129">
      <c r="A129" s="22" t="n"/>
      <c r="B129" s="22" t="n"/>
      <c r="C129" s="26" t="n"/>
      <c r="D129" s="27" t="n"/>
      <c r="E129" s="22" t="n"/>
      <c r="F129" s="26" t="n"/>
      <c r="G129" s="22" t="n"/>
      <c r="H129" s="26">
        <f>IF(G129="","",IFERROR(VLOOKUP(G129,板块观察!A:Z,19,FALSE),""))</f>
        <v/>
      </c>
      <c r="I129" s="26">
        <f>IF(G129="","",IFERROR(VLOOKUP(G129,板块观察!A:Z,20,FALSE),""))</f>
        <v/>
      </c>
      <c r="J129" s="22" t="n"/>
      <c r="K129" s="22" t="n"/>
      <c r="L129" s="22" t="n"/>
      <c r="M129" s="22" t="n"/>
      <c r="N129" s="22" t="n"/>
      <c r="O129" s="22" t="n"/>
      <c r="P129" s="22" t="n"/>
      <c r="Q129" s="28" t="n"/>
      <c r="R129" s="22" t="n"/>
      <c r="S129" s="29" t="n"/>
      <c r="T129" s="29" t="n"/>
      <c r="U129" s="29" t="n"/>
      <c r="V129" s="22" t="n"/>
      <c r="W129" s="22" t="n"/>
      <c r="X129" s="22" t="n"/>
      <c r="Y129" s="22" t="n"/>
      <c r="Z129" s="22" t="n"/>
      <c r="AA129" s="22" t="n"/>
      <c r="AB129" s="22" t="n"/>
      <c r="AC129" s="29" t="n"/>
      <c r="AD129" s="30">
        <f>IF(A129="","",(COUNTA(A129:G129)+COUNTA(J129:AC129))/27)</f>
        <v/>
      </c>
      <c r="AE129" s="26">
        <f>IF(B129="","",WORKDAY(B129,3))</f>
        <v/>
      </c>
      <c r="AF129" s="26">
        <f>IF(B129="","",WORKDAY(B129,5))</f>
        <v/>
      </c>
      <c r="AG129" s="26">
        <f>IF(B129="","",WORKDAY(B129,10))</f>
        <v/>
      </c>
      <c r="AH129" s="26" t="n"/>
    </row>
    <row r="130">
      <c r="A130" s="22" t="n"/>
      <c r="B130" s="22" t="n"/>
      <c r="C130" s="26" t="n"/>
      <c r="D130" s="27" t="n"/>
      <c r="E130" s="22" t="n"/>
      <c r="F130" s="26" t="n"/>
      <c r="G130" s="22" t="n"/>
      <c r="H130" s="26">
        <f>IF(G130="","",IFERROR(VLOOKUP(G130,板块观察!A:Z,19,FALSE),""))</f>
        <v/>
      </c>
      <c r="I130" s="26">
        <f>IF(G130="","",IFERROR(VLOOKUP(G130,板块观察!A:Z,20,FALSE),""))</f>
        <v/>
      </c>
      <c r="J130" s="22" t="n"/>
      <c r="K130" s="22" t="n"/>
      <c r="L130" s="22" t="n"/>
      <c r="M130" s="22" t="n"/>
      <c r="N130" s="22" t="n"/>
      <c r="O130" s="22" t="n"/>
      <c r="P130" s="22" t="n"/>
      <c r="Q130" s="28" t="n"/>
      <c r="R130" s="22" t="n"/>
      <c r="S130" s="29" t="n"/>
      <c r="T130" s="29" t="n"/>
      <c r="U130" s="29" t="n"/>
      <c r="V130" s="22" t="n"/>
      <c r="W130" s="22" t="n"/>
      <c r="X130" s="22" t="n"/>
      <c r="Y130" s="22" t="n"/>
      <c r="Z130" s="22" t="n"/>
      <c r="AA130" s="22" t="n"/>
      <c r="AB130" s="22" t="n"/>
      <c r="AC130" s="29" t="n"/>
      <c r="AD130" s="30">
        <f>IF(A130="","",(COUNTA(A130:G130)+COUNTA(J130:AC130))/27)</f>
        <v/>
      </c>
      <c r="AE130" s="26">
        <f>IF(B130="","",WORKDAY(B130,3))</f>
        <v/>
      </c>
      <c r="AF130" s="26">
        <f>IF(B130="","",WORKDAY(B130,5))</f>
        <v/>
      </c>
      <c r="AG130" s="26">
        <f>IF(B130="","",WORKDAY(B130,10))</f>
        <v/>
      </c>
      <c r="AH130" s="26" t="n"/>
    </row>
    <row r="131">
      <c r="A131" s="22" t="n"/>
      <c r="B131" s="22" t="n"/>
      <c r="C131" s="26" t="n"/>
      <c r="D131" s="27" t="n"/>
      <c r="E131" s="22" t="n"/>
      <c r="F131" s="26" t="n"/>
      <c r="G131" s="22" t="n"/>
      <c r="H131" s="26">
        <f>IF(G131="","",IFERROR(VLOOKUP(G131,板块观察!A:Z,19,FALSE),""))</f>
        <v/>
      </c>
      <c r="I131" s="26">
        <f>IF(G131="","",IFERROR(VLOOKUP(G131,板块观察!A:Z,20,FALSE),""))</f>
        <v/>
      </c>
      <c r="J131" s="22" t="n"/>
      <c r="K131" s="22" t="n"/>
      <c r="L131" s="22" t="n"/>
      <c r="M131" s="22" t="n"/>
      <c r="N131" s="22" t="n"/>
      <c r="O131" s="22" t="n"/>
      <c r="P131" s="22" t="n"/>
      <c r="Q131" s="28" t="n"/>
      <c r="R131" s="22" t="n"/>
      <c r="S131" s="29" t="n"/>
      <c r="T131" s="29" t="n"/>
      <c r="U131" s="29" t="n"/>
      <c r="V131" s="22" t="n"/>
      <c r="W131" s="22" t="n"/>
      <c r="X131" s="22" t="n"/>
      <c r="Y131" s="22" t="n"/>
      <c r="Z131" s="22" t="n"/>
      <c r="AA131" s="22" t="n"/>
      <c r="AB131" s="22" t="n"/>
      <c r="AC131" s="29" t="n"/>
      <c r="AD131" s="30">
        <f>IF(A131="","",(COUNTA(A131:G131)+COUNTA(J131:AC131))/27)</f>
        <v/>
      </c>
      <c r="AE131" s="26">
        <f>IF(B131="","",WORKDAY(B131,3))</f>
        <v/>
      </c>
      <c r="AF131" s="26">
        <f>IF(B131="","",WORKDAY(B131,5))</f>
        <v/>
      </c>
      <c r="AG131" s="26">
        <f>IF(B131="","",WORKDAY(B131,10))</f>
        <v/>
      </c>
      <c r="AH131" s="26" t="n"/>
    </row>
    <row r="132">
      <c r="A132" s="22" t="n"/>
      <c r="B132" s="22" t="n"/>
      <c r="C132" s="26" t="n"/>
      <c r="D132" s="27" t="n"/>
      <c r="E132" s="22" t="n"/>
      <c r="F132" s="26" t="n"/>
      <c r="G132" s="22" t="n"/>
      <c r="H132" s="26">
        <f>IF(G132="","",IFERROR(VLOOKUP(G132,板块观察!A:Z,19,FALSE),""))</f>
        <v/>
      </c>
      <c r="I132" s="26">
        <f>IF(G132="","",IFERROR(VLOOKUP(G132,板块观察!A:Z,20,FALSE),""))</f>
        <v/>
      </c>
      <c r="J132" s="22" t="n"/>
      <c r="K132" s="22" t="n"/>
      <c r="L132" s="22" t="n"/>
      <c r="M132" s="22" t="n"/>
      <c r="N132" s="22" t="n"/>
      <c r="O132" s="22" t="n"/>
      <c r="P132" s="22" t="n"/>
      <c r="Q132" s="28" t="n"/>
      <c r="R132" s="22" t="n"/>
      <c r="S132" s="29" t="n"/>
      <c r="T132" s="29" t="n"/>
      <c r="U132" s="29" t="n"/>
      <c r="V132" s="22" t="n"/>
      <c r="W132" s="22" t="n"/>
      <c r="X132" s="22" t="n"/>
      <c r="Y132" s="22" t="n"/>
      <c r="Z132" s="22" t="n"/>
      <c r="AA132" s="22" t="n"/>
      <c r="AB132" s="22" t="n"/>
      <c r="AC132" s="29" t="n"/>
      <c r="AD132" s="30">
        <f>IF(A132="","",(COUNTA(A132:G132)+COUNTA(J132:AC132))/27)</f>
        <v/>
      </c>
      <c r="AE132" s="26">
        <f>IF(B132="","",WORKDAY(B132,3))</f>
        <v/>
      </c>
      <c r="AF132" s="26">
        <f>IF(B132="","",WORKDAY(B132,5))</f>
        <v/>
      </c>
      <c r="AG132" s="26">
        <f>IF(B132="","",WORKDAY(B132,10))</f>
        <v/>
      </c>
      <c r="AH132" s="26" t="n"/>
    </row>
    <row r="133">
      <c r="A133" s="22" t="n"/>
      <c r="B133" s="22" t="n"/>
      <c r="C133" s="26" t="n"/>
      <c r="D133" s="27" t="n"/>
      <c r="E133" s="22" t="n"/>
      <c r="F133" s="26" t="n"/>
      <c r="G133" s="22" t="n"/>
      <c r="H133" s="26">
        <f>IF(G133="","",IFERROR(VLOOKUP(G133,板块观察!A:Z,19,FALSE),""))</f>
        <v/>
      </c>
      <c r="I133" s="26">
        <f>IF(G133="","",IFERROR(VLOOKUP(G133,板块观察!A:Z,20,FALSE),""))</f>
        <v/>
      </c>
      <c r="J133" s="22" t="n"/>
      <c r="K133" s="22" t="n"/>
      <c r="L133" s="22" t="n"/>
      <c r="M133" s="22" t="n"/>
      <c r="N133" s="22" t="n"/>
      <c r="O133" s="22" t="n"/>
      <c r="P133" s="22" t="n"/>
      <c r="Q133" s="28" t="n"/>
      <c r="R133" s="22" t="n"/>
      <c r="S133" s="29" t="n"/>
      <c r="T133" s="29" t="n"/>
      <c r="U133" s="29" t="n"/>
      <c r="V133" s="22" t="n"/>
      <c r="W133" s="22" t="n"/>
      <c r="X133" s="22" t="n"/>
      <c r="Y133" s="22" t="n"/>
      <c r="Z133" s="22" t="n"/>
      <c r="AA133" s="22" t="n"/>
      <c r="AB133" s="22" t="n"/>
      <c r="AC133" s="29" t="n"/>
      <c r="AD133" s="30">
        <f>IF(A133="","",(COUNTA(A133:G133)+COUNTA(J133:AC133))/27)</f>
        <v/>
      </c>
      <c r="AE133" s="26">
        <f>IF(B133="","",WORKDAY(B133,3))</f>
        <v/>
      </c>
      <c r="AF133" s="26">
        <f>IF(B133="","",WORKDAY(B133,5))</f>
        <v/>
      </c>
      <c r="AG133" s="26">
        <f>IF(B133="","",WORKDAY(B133,10))</f>
        <v/>
      </c>
      <c r="AH133" s="26" t="n"/>
    </row>
    <row r="134">
      <c r="A134" s="22" t="n"/>
      <c r="B134" s="22" t="n"/>
      <c r="C134" s="26" t="n"/>
      <c r="D134" s="27" t="n"/>
      <c r="E134" s="22" t="n"/>
      <c r="F134" s="26" t="n"/>
      <c r="G134" s="22" t="n"/>
      <c r="H134" s="26">
        <f>IF(G134="","",IFERROR(VLOOKUP(G134,板块观察!A:Z,19,FALSE),""))</f>
        <v/>
      </c>
      <c r="I134" s="26">
        <f>IF(G134="","",IFERROR(VLOOKUP(G134,板块观察!A:Z,20,FALSE),""))</f>
        <v/>
      </c>
      <c r="J134" s="22" t="n"/>
      <c r="K134" s="22" t="n"/>
      <c r="L134" s="22" t="n"/>
      <c r="M134" s="22" t="n"/>
      <c r="N134" s="22" t="n"/>
      <c r="O134" s="22" t="n"/>
      <c r="P134" s="22" t="n"/>
      <c r="Q134" s="28" t="n"/>
      <c r="R134" s="22" t="n"/>
      <c r="S134" s="29" t="n"/>
      <c r="T134" s="29" t="n"/>
      <c r="U134" s="29" t="n"/>
      <c r="V134" s="22" t="n"/>
      <c r="W134" s="22" t="n"/>
      <c r="X134" s="22" t="n"/>
      <c r="Y134" s="22" t="n"/>
      <c r="Z134" s="22" t="n"/>
      <c r="AA134" s="22" t="n"/>
      <c r="AB134" s="22" t="n"/>
      <c r="AC134" s="29" t="n"/>
      <c r="AD134" s="30">
        <f>IF(A134="","",(COUNTA(A134:G134)+COUNTA(J134:AC134))/27)</f>
        <v/>
      </c>
      <c r="AE134" s="26">
        <f>IF(B134="","",WORKDAY(B134,3))</f>
        <v/>
      </c>
      <c r="AF134" s="26">
        <f>IF(B134="","",WORKDAY(B134,5))</f>
        <v/>
      </c>
      <c r="AG134" s="26">
        <f>IF(B134="","",WORKDAY(B134,10))</f>
        <v/>
      </c>
      <c r="AH134" s="26" t="n"/>
    </row>
    <row r="135">
      <c r="A135" s="22" t="n"/>
      <c r="B135" s="22" t="n"/>
      <c r="C135" s="26" t="n"/>
      <c r="D135" s="27" t="n"/>
      <c r="E135" s="22" t="n"/>
      <c r="F135" s="26" t="n"/>
      <c r="G135" s="22" t="n"/>
      <c r="H135" s="26">
        <f>IF(G135="","",IFERROR(VLOOKUP(G135,板块观察!A:Z,19,FALSE),""))</f>
        <v/>
      </c>
      <c r="I135" s="26">
        <f>IF(G135="","",IFERROR(VLOOKUP(G135,板块观察!A:Z,20,FALSE),""))</f>
        <v/>
      </c>
      <c r="J135" s="22" t="n"/>
      <c r="K135" s="22" t="n"/>
      <c r="L135" s="22" t="n"/>
      <c r="M135" s="22" t="n"/>
      <c r="N135" s="22" t="n"/>
      <c r="O135" s="22" t="n"/>
      <c r="P135" s="22" t="n"/>
      <c r="Q135" s="28" t="n"/>
      <c r="R135" s="22" t="n"/>
      <c r="S135" s="29" t="n"/>
      <c r="T135" s="29" t="n"/>
      <c r="U135" s="29" t="n"/>
      <c r="V135" s="22" t="n"/>
      <c r="W135" s="22" t="n"/>
      <c r="X135" s="22" t="n"/>
      <c r="Y135" s="22" t="n"/>
      <c r="Z135" s="22" t="n"/>
      <c r="AA135" s="22" t="n"/>
      <c r="AB135" s="22" t="n"/>
      <c r="AC135" s="29" t="n"/>
      <c r="AD135" s="30">
        <f>IF(A135="","",(COUNTA(A135:G135)+COUNTA(J135:AC135))/27)</f>
        <v/>
      </c>
      <c r="AE135" s="26">
        <f>IF(B135="","",WORKDAY(B135,3))</f>
        <v/>
      </c>
      <c r="AF135" s="26">
        <f>IF(B135="","",WORKDAY(B135,5))</f>
        <v/>
      </c>
      <c r="AG135" s="26">
        <f>IF(B135="","",WORKDAY(B135,10))</f>
        <v/>
      </c>
      <c r="AH135" s="26" t="n"/>
    </row>
    <row r="136">
      <c r="A136" s="22" t="n"/>
      <c r="B136" s="22" t="n"/>
      <c r="C136" s="26" t="n"/>
      <c r="D136" s="27" t="n"/>
      <c r="E136" s="22" t="n"/>
      <c r="F136" s="26" t="n"/>
      <c r="G136" s="22" t="n"/>
      <c r="H136" s="26">
        <f>IF(G136="","",IFERROR(VLOOKUP(G136,板块观察!A:Z,19,FALSE),""))</f>
        <v/>
      </c>
      <c r="I136" s="26">
        <f>IF(G136="","",IFERROR(VLOOKUP(G136,板块观察!A:Z,20,FALSE),""))</f>
        <v/>
      </c>
      <c r="J136" s="22" t="n"/>
      <c r="K136" s="22" t="n"/>
      <c r="L136" s="22" t="n"/>
      <c r="M136" s="22" t="n"/>
      <c r="N136" s="22" t="n"/>
      <c r="O136" s="22" t="n"/>
      <c r="P136" s="22" t="n"/>
      <c r="Q136" s="28" t="n"/>
      <c r="R136" s="22" t="n"/>
      <c r="S136" s="29" t="n"/>
      <c r="T136" s="29" t="n"/>
      <c r="U136" s="29" t="n"/>
      <c r="V136" s="22" t="n"/>
      <c r="W136" s="22" t="n"/>
      <c r="X136" s="22" t="n"/>
      <c r="Y136" s="22" t="n"/>
      <c r="Z136" s="22" t="n"/>
      <c r="AA136" s="22" t="n"/>
      <c r="AB136" s="22" t="n"/>
      <c r="AC136" s="29" t="n"/>
      <c r="AD136" s="30">
        <f>IF(A136="","",(COUNTA(A136:G136)+COUNTA(J136:AC136))/27)</f>
        <v/>
      </c>
      <c r="AE136" s="26">
        <f>IF(B136="","",WORKDAY(B136,3))</f>
        <v/>
      </c>
      <c r="AF136" s="26">
        <f>IF(B136="","",WORKDAY(B136,5))</f>
        <v/>
      </c>
      <c r="AG136" s="26">
        <f>IF(B136="","",WORKDAY(B136,10))</f>
        <v/>
      </c>
      <c r="AH136" s="26" t="n"/>
    </row>
    <row r="137">
      <c r="A137" s="22" t="n"/>
      <c r="B137" s="22" t="n"/>
      <c r="C137" s="26" t="n"/>
      <c r="D137" s="27" t="n"/>
      <c r="E137" s="22" t="n"/>
      <c r="F137" s="26" t="n"/>
      <c r="G137" s="22" t="n"/>
      <c r="H137" s="26">
        <f>IF(G137="","",IFERROR(VLOOKUP(G137,板块观察!A:Z,19,FALSE),""))</f>
        <v/>
      </c>
      <c r="I137" s="26">
        <f>IF(G137="","",IFERROR(VLOOKUP(G137,板块观察!A:Z,20,FALSE),""))</f>
        <v/>
      </c>
      <c r="J137" s="22" t="n"/>
      <c r="K137" s="22" t="n"/>
      <c r="L137" s="22" t="n"/>
      <c r="M137" s="22" t="n"/>
      <c r="N137" s="22" t="n"/>
      <c r="O137" s="22" t="n"/>
      <c r="P137" s="22" t="n"/>
      <c r="Q137" s="28" t="n"/>
      <c r="R137" s="22" t="n"/>
      <c r="S137" s="29" t="n"/>
      <c r="T137" s="29" t="n"/>
      <c r="U137" s="29" t="n"/>
      <c r="V137" s="22" t="n"/>
      <c r="W137" s="22" t="n"/>
      <c r="X137" s="22" t="n"/>
      <c r="Y137" s="22" t="n"/>
      <c r="Z137" s="22" t="n"/>
      <c r="AA137" s="22" t="n"/>
      <c r="AB137" s="22" t="n"/>
      <c r="AC137" s="29" t="n"/>
      <c r="AD137" s="30">
        <f>IF(A137="","",(COUNTA(A137:G137)+COUNTA(J137:AC137))/27)</f>
        <v/>
      </c>
      <c r="AE137" s="26">
        <f>IF(B137="","",WORKDAY(B137,3))</f>
        <v/>
      </c>
      <c r="AF137" s="26">
        <f>IF(B137="","",WORKDAY(B137,5))</f>
        <v/>
      </c>
      <c r="AG137" s="26">
        <f>IF(B137="","",WORKDAY(B137,10))</f>
        <v/>
      </c>
      <c r="AH137" s="26" t="n"/>
    </row>
    <row r="138">
      <c r="A138" s="22" t="n"/>
      <c r="B138" s="22" t="n"/>
      <c r="C138" s="26" t="n"/>
      <c r="D138" s="27" t="n"/>
      <c r="E138" s="22" t="n"/>
      <c r="F138" s="26" t="n"/>
      <c r="G138" s="22" t="n"/>
      <c r="H138" s="26">
        <f>IF(G138="","",IFERROR(VLOOKUP(G138,板块观察!A:Z,19,FALSE),""))</f>
        <v/>
      </c>
      <c r="I138" s="26">
        <f>IF(G138="","",IFERROR(VLOOKUP(G138,板块观察!A:Z,20,FALSE),""))</f>
        <v/>
      </c>
      <c r="J138" s="22" t="n"/>
      <c r="K138" s="22" t="n"/>
      <c r="L138" s="22" t="n"/>
      <c r="M138" s="22" t="n"/>
      <c r="N138" s="22" t="n"/>
      <c r="O138" s="22" t="n"/>
      <c r="P138" s="22" t="n"/>
      <c r="Q138" s="28" t="n"/>
      <c r="R138" s="22" t="n"/>
      <c r="S138" s="29" t="n"/>
      <c r="T138" s="29" t="n"/>
      <c r="U138" s="29" t="n"/>
      <c r="V138" s="22" t="n"/>
      <c r="W138" s="22" t="n"/>
      <c r="X138" s="22" t="n"/>
      <c r="Y138" s="22" t="n"/>
      <c r="Z138" s="22" t="n"/>
      <c r="AA138" s="22" t="n"/>
      <c r="AB138" s="22" t="n"/>
      <c r="AC138" s="29" t="n"/>
      <c r="AD138" s="30">
        <f>IF(A138="","",(COUNTA(A138:G138)+COUNTA(J138:AC138))/27)</f>
        <v/>
      </c>
      <c r="AE138" s="26">
        <f>IF(B138="","",WORKDAY(B138,3))</f>
        <v/>
      </c>
      <c r="AF138" s="26">
        <f>IF(B138="","",WORKDAY(B138,5))</f>
        <v/>
      </c>
      <c r="AG138" s="26">
        <f>IF(B138="","",WORKDAY(B138,10))</f>
        <v/>
      </c>
      <c r="AH138" s="26" t="n"/>
    </row>
    <row r="139">
      <c r="A139" s="22" t="n"/>
      <c r="B139" s="22" t="n"/>
      <c r="C139" s="26" t="n"/>
      <c r="D139" s="27" t="n"/>
      <c r="E139" s="22" t="n"/>
      <c r="F139" s="26" t="n"/>
      <c r="G139" s="22" t="n"/>
      <c r="H139" s="26">
        <f>IF(G139="","",IFERROR(VLOOKUP(G139,板块观察!A:Z,19,FALSE),""))</f>
        <v/>
      </c>
      <c r="I139" s="26">
        <f>IF(G139="","",IFERROR(VLOOKUP(G139,板块观察!A:Z,20,FALSE),""))</f>
        <v/>
      </c>
      <c r="J139" s="22" t="n"/>
      <c r="K139" s="22" t="n"/>
      <c r="L139" s="22" t="n"/>
      <c r="M139" s="22" t="n"/>
      <c r="N139" s="22" t="n"/>
      <c r="O139" s="22" t="n"/>
      <c r="P139" s="22" t="n"/>
      <c r="Q139" s="28" t="n"/>
      <c r="R139" s="22" t="n"/>
      <c r="S139" s="29" t="n"/>
      <c r="T139" s="29" t="n"/>
      <c r="U139" s="29" t="n"/>
      <c r="V139" s="22" t="n"/>
      <c r="W139" s="22" t="n"/>
      <c r="X139" s="22" t="n"/>
      <c r="Y139" s="22" t="n"/>
      <c r="Z139" s="22" t="n"/>
      <c r="AA139" s="22" t="n"/>
      <c r="AB139" s="22" t="n"/>
      <c r="AC139" s="29" t="n"/>
      <c r="AD139" s="30">
        <f>IF(A139="","",(COUNTA(A139:G139)+COUNTA(J139:AC139))/27)</f>
        <v/>
      </c>
      <c r="AE139" s="26">
        <f>IF(B139="","",WORKDAY(B139,3))</f>
        <v/>
      </c>
      <c r="AF139" s="26">
        <f>IF(B139="","",WORKDAY(B139,5))</f>
        <v/>
      </c>
      <c r="AG139" s="26">
        <f>IF(B139="","",WORKDAY(B139,10))</f>
        <v/>
      </c>
      <c r="AH139" s="26" t="n"/>
    </row>
    <row r="140">
      <c r="A140" s="22" t="n"/>
      <c r="B140" s="22" t="n"/>
      <c r="C140" s="26" t="n"/>
      <c r="D140" s="27" t="n"/>
      <c r="E140" s="22" t="n"/>
      <c r="F140" s="26" t="n"/>
      <c r="G140" s="22" t="n"/>
      <c r="H140" s="26">
        <f>IF(G140="","",IFERROR(VLOOKUP(G140,板块观察!A:Z,19,FALSE),""))</f>
        <v/>
      </c>
      <c r="I140" s="26">
        <f>IF(G140="","",IFERROR(VLOOKUP(G140,板块观察!A:Z,20,FALSE),""))</f>
        <v/>
      </c>
      <c r="J140" s="22" t="n"/>
      <c r="K140" s="22" t="n"/>
      <c r="L140" s="22" t="n"/>
      <c r="M140" s="22" t="n"/>
      <c r="N140" s="22" t="n"/>
      <c r="O140" s="22" t="n"/>
      <c r="P140" s="22" t="n"/>
      <c r="Q140" s="28" t="n"/>
      <c r="R140" s="22" t="n"/>
      <c r="S140" s="29" t="n"/>
      <c r="T140" s="29" t="n"/>
      <c r="U140" s="29" t="n"/>
      <c r="V140" s="22" t="n"/>
      <c r="W140" s="22" t="n"/>
      <c r="X140" s="22" t="n"/>
      <c r="Y140" s="22" t="n"/>
      <c r="Z140" s="22" t="n"/>
      <c r="AA140" s="22" t="n"/>
      <c r="AB140" s="22" t="n"/>
      <c r="AC140" s="29" t="n"/>
      <c r="AD140" s="30">
        <f>IF(A140="","",(COUNTA(A140:G140)+COUNTA(J140:AC140))/27)</f>
        <v/>
      </c>
      <c r="AE140" s="26">
        <f>IF(B140="","",WORKDAY(B140,3))</f>
        <v/>
      </c>
      <c r="AF140" s="26">
        <f>IF(B140="","",WORKDAY(B140,5))</f>
        <v/>
      </c>
      <c r="AG140" s="26">
        <f>IF(B140="","",WORKDAY(B140,10))</f>
        <v/>
      </c>
      <c r="AH140" s="26" t="n"/>
    </row>
    <row r="141">
      <c r="A141" s="22" t="n"/>
      <c r="B141" s="22" t="n"/>
      <c r="C141" s="26" t="n"/>
      <c r="D141" s="27" t="n"/>
      <c r="E141" s="22" t="n"/>
      <c r="F141" s="26" t="n"/>
      <c r="G141" s="22" t="n"/>
      <c r="H141" s="26">
        <f>IF(G141="","",IFERROR(VLOOKUP(G141,板块观察!A:Z,19,FALSE),""))</f>
        <v/>
      </c>
      <c r="I141" s="26">
        <f>IF(G141="","",IFERROR(VLOOKUP(G141,板块观察!A:Z,20,FALSE),""))</f>
        <v/>
      </c>
      <c r="J141" s="22" t="n"/>
      <c r="K141" s="22" t="n"/>
      <c r="L141" s="22" t="n"/>
      <c r="M141" s="22" t="n"/>
      <c r="N141" s="22" t="n"/>
      <c r="O141" s="22" t="n"/>
      <c r="P141" s="22" t="n"/>
      <c r="Q141" s="28" t="n"/>
      <c r="R141" s="22" t="n"/>
      <c r="S141" s="29" t="n"/>
      <c r="T141" s="29" t="n"/>
      <c r="U141" s="29" t="n"/>
      <c r="V141" s="22" t="n"/>
      <c r="W141" s="22" t="n"/>
      <c r="X141" s="22" t="n"/>
      <c r="Y141" s="22" t="n"/>
      <c r="Z141" s="22" t="n"/>
      <c r="AA141" s="22" t="n"/>
      <c r="AB141" s="22" t="n"/>
      <c r="AC141" s="29" t="n"/>
      <c r="AD141" s="30">
        <f>IF(A141="","",(COUNTA(A141:G141)+COUNTA(J141:AC141))/27)</f>
        <v/>
      </c>
      <c r="AE141" s="26">
        <f>IF(B141="","",WORKDAY(B141,3))</f>
        <v/>
      </c>
      <c r="AF141" s="26">
        <f>IF(B141="","",WORKDAY(B141,5))</f>
        <v/>
      </c>
      <c r="AG141" s="26">
        <f>IF(B141="","",WORKDAY(B141,10))</f>
        <v/>
      </c>
      <c r="AH141" s="26" t="n"/>
    </row>
    <row r="142">
      <c r="A142" s="22" t="n"/>
      <c r="B142" s="22" t="n"/>
      <c r="C142" s="26" t="n"/>
      <c r="D142" s="27" t="n"/>
      <c r="E142" s="22" t="n"/>
      <c r="F142" s="26" t="n"/>
      <c r="G142" s="22" t="n"/>
      <c r="H142" s="26">
        <f>IF(G142="","",IFERROR(VLOOKUP(G142,板块观察!A:Z,19,FALSE),""))</f>
        <v/>
      </c>
      <c r="I142" s="26">
        <f>IF(G142="","",IFERROR(VLOOKUP(G142,板块观察!A:Z,20,FALSE),""))</f>
        <v/>
      </c>
      <c r="J142" s="22" t="n"/>
      <c r="K142" s="22" t="n"/>
      <c r="L142" s="22" t="n"/>
      <c r="M142" s="22" t="n"/>
      <c r="N142" s="22" t="n"/>
      <c r="O142" s="22" t="n"/>
      <c r="P142" s="22" t="n"/>
      <c r="Q142" s="28" t="n"/>
      <c r="R142" s="22" t="n"/>
      <c r="S142" s="29" t="n"/>
      <c r="T142" s="29" t="n"/>
      <c r="U142" s="29" t="n"/>
      <c r="V142" s="22" t="n"/>
      <c r="W142" s="22" t="n"/>
      <c r="X142" s="22" t="n"/>
      <c r="Y142" s="22" t="n"/>
      <c r="Z142" s="22" t="n"/>
      <c r="AA142" s="22" t="n"/>
      <c r="AB142" s="22" t="n"/>
      <c r="AC142" s="29" t="n"/>
      <c r="AD142" s="30">
        <f>IF(A142="","",(COUNTA(A142:G142)+COUNTA(J142:AC142))/27)</f>
        <v/>
      </c>
      <c r="AE142" s="26">
        <f>IF(B142="","",WORKDAY(B142,3))</f>
        <v/>
      </c>
      <c r="AF142" s="26">
        <f>IF(B142="","",WORKDAY(B142,5))</f>
        <v/>
      </c>
      <c r="AG142" s="26">
        <f>IF(B142="","",WORKDAY(B142,10))</f>
        <v/>
      </c>
      <c r="AH142" s="26" t="n"/>
    </row>
    <row r="143">
      <c r="A143" s="22" t="n"/>
      <c r="B143" s="22" t="n"/>
      <c r="C143" s="26" t="n"/>
      <c r="D143" s="27" t="n"/>
      <c r="E143" s="22" t="n"/>
      <c r="F143" s="26" t="n"/>
      <c r="G143" s="22" t="n"/>
      <c r="H143" s="26">
        <f>IF(G143="","",IFERROR(VLOOKUP(G143,板块观察!A:Z,19,FALSE),""))</f>
        <v/>
      </c>
      <c r="I143" s="26">
        <f>IF(G143="","",IFERROR(VLOOKUP(G143,板块观察!A:Z,20,FALSE),""))</f>
        <v/>
      </c>
      <c r="J143" s="22" t="n"/>
      <c r="K143" s="22" t="n"/>
      <c r="L143" s="22" t="n"/>
      <c r="M143" s="22" t="n"/>
      <c r="N143" s="22" t="n"/>
      <c r="O143" s="22" t="n"/>
      <c r="P143" s="22" t="n"/>
      <c r="Q143" s="28" t="n"/>
      <c r="R143" s="22" t="n"/>
      <c r="S143" s="29" t="n"/>
      <c r="T143" s="29" t="n"/>
      <c r="U143" s="29" t="n"/>
      <c r="V143" s="22" t="n"/>
      <c r="W143" s="22" t="n"/>
      <c r="X143" s="22" t="n"/>
      <c r="Y143" s="22" t="n"/>
      <c r="Z143" s="22" t="n"/>
      <c r="AA143" s="22" t="n"/>
      <c r="AB143" s="22" t="n"/>
      <c r="AC143" s="29" t="n"/>
      <c r="AD143" s="30">
        <f>IF(A143="","",(COUNTA(A143:G143)+COUNTA(J143:AC143))/27)</f>
        <v/>
      </c>
      <c r="AE143" s="26">
        <f>IF(B143="","",WORKDAY(B143,3))</f>
        <v/>
      </c>
      <c r="AF143" s="26">
        <f>IF(B143="","",WORKDAY(B143,5))</f>
        <v/>
      </c>
      <c r="AG143" s="26">
        <f>IF(B143="","",WORKDAY(B143,10))</f>
        <v/>
      </c>
      <c r="AH143" s="26" t="n"/>
    </row>
    <row r="144">
      <c r="A144" s="22" t="n"/>
      <c r="B144" s="22" t="n"/>
      <c r="C144" s="26" t="n"/>
      <c r="D144" s="27" t="n"/>
      <c r="E144" s="22" t="n"/>
      <c r="F144" s="26" t="n"/>
      <c r="G144" s="22" t="n"/>
      <c r="H144" s="26">
        <f>IF(G144="","",IFERROR(VLOOKUP(G144,板块观察!A:Z,19,FALSE),""))</f>
        <v/>
      </c>
      <c r="I144" s="26">
        <f>IF(G144="","",IFERROR(VLOOKUP(G144,板块观察!A:Z,20,FALSE),""))</f>
        <v/>
      </c>
      <c r="J144" s="22" t="n"/>
      <c r="K144" s="22" t="n"/>
      <c r="L144" s="22" t="n"/>
      <c r="M144" s="22" t="n"/>
      <c r="N144" s="22" t="n"/>
      <c r="O144" s="22" t="n"/>
      <c r="P144" s="22" t="n"/>
      <c r="Q144" s="28" t="n"/>
      <c r="R144" s="22" t="n"/>
      <c r="S144" s="29" t="n"/>
      <c r="T144" s="29" t="n"/>
      <c r="U144" s="29" t="n"/>
      <c r="V144" s="22" t="n"/>
      <c r="W144" s="22" t="n"/>
      <c r="X144" s="22" t="n"/>
      <c r="Y144" s="22" t="n"/>
      <c r="Z144" s="22" t="n"/>
      <c r="AA144" s="22" t="n"/>
      <c r="AB144" s="22" t="n"/>
      <c r="AC144" s="29" t="n"/>
      <c r="AD144" s="30">
        <f>IF(A144="","",(COUNTA(A144:G144)+COUNTA(J144:AC144))/27)</f>
        <v/>
      </c>
      <c r="AE144" s="26">
        <f>IF(B144="","",WORKDAY(B144,3))</f>
        <v/>
      </c>
      <c r="AF144" s="26">
        <f>IF(B144="","",WORKDAY(B144,5))</f>
        <v/>
      </c>
      <c r="AG144" s="26">
        <f>IF(B144="","",WORKDAY(B144,10))</f>
        <v/>
      </c>
      <c r="AH144" s="26" t="n"/>
    </row>
    <row r="145">
      <c r="A145" s="22" t="n"/>
      <c r="B145" s="22" t="n"/>
      <c r="C145" s="26" t="n"/>
      <c r="D145" s="27" t="n"/>
      <c r="E145" s="22" t="n"/>
      <c r="F145" s="26" t="n"/>
      <c r="G145" s="22" t="n"/>
      <c r="H145" s="26">
        <f>IF(G145="","",IFERROR(VLOOKUP(G145,板块观察!A:Z,19,FALSE),""))</f>
        <v/>
      </c>
      <c r="I145" s="26">
        <f>IF(G145="","",IFERROR(VLOOKUP(G145,板块观察!A:Z,20,FALSE),""))</f>
        <v/>
      </c>
      <c r="J145" s="22" t="n"/>
      <c r="K145" s="22" t="n"/>
      <c r="L145" s="22" t="n"/>
      <c r="M145" s="22" t="n"/>
      <c r="N145" s="22" t="n"/>
      <c r="O145" s="22" t="n"/>
      <c r="P145" s="22" t="n"/>
      <c r="Q145" s="28" t="n"/>
      <c r="R145" s="22" t="n"/>
      <c r="S145" s="29" t="n"/>
      <c r="T145" s="29" t="n"/>
      <c r="U145" s="29" t="n"/>
      <c r="V145" s="22" t="n"/>
      <c r="W145" s="22" t="n"/>
      <c r="X145" s="22" t="n"/>
      <c r="Y145" s="22" t="n"/>
      <c r="Z145" s="22" t="n"/>
      <c r="AA145" s="22" t="n"/>
      <c r="AB145" s="22" t="n"/>
      <c r="AC145" s="29" t="n"/>
      <c r="AD145" s="30">
        <f>IF(A145="","",(COUNTA(A145:G145)+COUNTA(J145:AC145))/27)</f>
        <v/>
      </c>
      <c r="AE145" s="26">
        <f>IF(B145="","",WORKDAY(B145,3))</f>
        <v/>
      </c>
      <c r="AF145" s="26">
        <f>IF(B145="","",WORKDAY(B145,5))</f>
        <v/>
      </c>
      <c r="AG145" s="26">
        <f>IF(B145="","",WORKDAY(B145,10))</f>
        <v/>
      </c>
      <c r="AH145" s="26" t="n"/>
    </row>
    <row r="146">
      <c r="A146" s="22" t="n"/>
      <c r="B146" s="22" t="n"/>
      <c r="C146" s="26" t="n"/>
      <c r="D146" s="27" t="n"/>
      <c r="E146" s="22" t="n"/>
      <c r="F146" s="26" t="n"/>
      <c r="G146" s="22" t="n"/>
      <c r="H146" s="26">
        <f>IF(G146="","",IFERROR(VLOOKUP(G146,板块观察!A:Z,19,FALSE),""))</f>
        <v/>
      </c>
      <c r="I146" s="26">
        <f>IF(G146="","",IFERROR(VLOOKUP(G146,板块观察!A:Z,20,FALSE),""))</f>
        <v/>
      </c>
      <c r="J146" s="22" t="n"/>
      <c r="K146" s="22" t="n"/>
      <c r="L146" s="22" t="n"/>
      <c r="M146" s="22" t="n"/>
      <c r="N146" s="22" t="n"/>
      <c r="O146" s="22" t="n"/>
      <c r="P146" s="22" t="n"/>
      <c r="Q146" s="28" t="n"/>
      <c r="R146" s="22" t="n"/>
      <c r="S146" s="29" t="n"/>
      <c r="T146" s="29" t="n"/>
      <c r="U146" s="29" t="n"/>
      <c r="V146" s="22" t="n"/>
      <c r="W146" s="22" t="n"/>
      <c r="X146" s="22" t="n"/>
      <c r="Y146" s="22" t="n"/>
      <c r="Z146" s="22" t="n"/>
      <c r="AA146" s="22" t="n"/>
      <c r="AB146" s="22" t="n"/>
      <c r="AC146" s="29" t="n"/>
      <c r="AD146" s="30">
        <f>IF(A146="","",(COUNTA(A146:G146)+COUNTA(J146:AC146))/27)</f>
        <v/>
      </c>
      <c r="AE146" s="26">
        <f>IF(B146="","",WORKDAY(B146,3))</f>
        <v/>
      </c>
      <c r="AF146" s="26">
        <f>IF(B146="","",WORKDAY(B146,5))</f>
        <v/>
      </c>
      <c r="AG146" s="26">
        <f>IF(B146="","",WORKDAY(B146,10))</f>
        <v/>
      </c>
      <c r="AH146" s="26" t="n"/>
    </row>
    <row r="147">
      <c r="A147" s="22" t="n"/>
      <c r="B147" s="22" t="n"/>
      <c r="C147" s="26" t="n"/>
      <c r="D147" s="27" t="n"/>
      <c r="E147" s="22" t="n"/>
      <c r="F147" s="26" t="n"/>
      <c r="G147" s="22" t="n"/>
      <c r="H147" s="26">
        <f>IF(G147="","",IFERROR(VLOOKUP(G147,板块观察!A:Z,19,FALSE),""))</f>
        <v/>
      </c>
      <c r="I147" s="26">
        <f>IF(G147="","",IFERROR(VLOOKUP(G147,板块观察!A:Z,20,FALSE),""))</f>
        <v/>
      </c>
      <c r="J147" s="22" t="n"/>
      <c r="K147" s="22" t="n"/>
      <c r="L147" s="22" t="n"/>
      <c r="M147" s="22" t="n"/>
      <c r="N147" s="22" t="n"/>
      <c r="O147" s="22" t="n"/>
      <c r="P147" s="22" t="n"/>
      <c r="Q147" s="28" t="n"/>
      <c r="R147" s="22" t="n"/>
      <c r="S147" s="29" t="n"/>
      <c r="T147" s="29" t="n"/>
      <c r="U147" s="29" t="n"/>
      <c r="V147" s="22" t="n"/>
      <c r="W147" s="22" t="n"/>
      <c r="X147" s="22" t="n"/>
      <c r="Y147" s="22" t="n"/>
      <c r="Z147" s="22" t="n"/>
      <c r="AA147" s="22" t="n"/>
      <c r="AB147" s="22" t="n"/>
      <c r="AC147" s="29" t="n"/>
      <c r="AD147" s="30">
        <f>IF(A147="","",(COUNTA(A147:G147)+COUNTA(J147:AC147))/27)</f>
        <v/>
      </c>
      <c r="AE147" s="26">
        <f>IF(B147="","",WORKDAY(B147,3))</f>
        <v/>
      </c>
      <c r="AF147" s="26">
        <f>IF(B147="","",WORKDAY(B147,5))</f>
        <v/>
      </c>
      <c r="AG147" s="26">
        <f>IF(B147="","",WORKDAY(B147,10))</f>
        <v/>
      </c>
      <c r="AH147" s="26" t="n"/>
    </row>
    <row r="148">
      <c r="A148" s="22" t="n"/>
      <c r="B148" s="22" t="n"/>
      <c r="C148" s="26" t="n"/>
      <c r="D148" s="27" t="n"/>
      <c r="E148" s="22" t="n"/>
      <c r="F148" s="26" t="n"/>
      <c r="G148" s="22" t="n"/>
      <c r="H148" s="26">
        <f>IF(G148="","",IFERROR(VLOOKUP(G148,板块观察!A:Z,19,FALSE),""))</f>
        <v/>
      </c>
      <c r="I148" s="26">
        <f>IF(G148="","",IFERROR(VLOOKUP(G148,板块观察!A:Z,20,FALSE),""))</f>
        <v/>
      </c>
      <c r="J148" s="22" t="n"/>
      <c r="K148" s="22" t="n"/>
      <c r="L148" s="22" t="n"/>
      <c r="M148" s="22" t="n"/>
      <c r="N148" s="22" t="n"/>
      <c r="O148" s="22" t="n"/>
      <c r="P148" s="22" t="n"/>
      <c r="Q148" s="28" t="n"/>
      <c r="R148" s="22" t="n"/>
      <c r="S148" s="29" t="n"/>
      <c r="T148" s="29" t="n"/>
      <c r="U148" s="29" t="n"/>
      <c r="V148" s="22" t="n"/>
      <c r="W148" s="22" t="n"/>
      <c r="X148" s="22" t="n"/>
      <c r="Y148" s="22" t="n"/>
      <c r="Z148" s="22" t="n"/>
      <c r="AA148" s="22" t="n"/>
      <c r="AB148" s="22" t="n"/>
      <c r="AC148" s="29" t="n"/>
      <c r="AD148" s="30">
        <f>IF(A148="","",(COUNTA(A148:G148)+COUNTA(J148:AC148))/27)</f>
        <v/>
      </c>
      <c r="AE148" s="26">
        <f>IF(B148="","",WORKDAY(B148,3))</f>
        <v/>
      </c>
      <c r="AF148" s="26">
        <f>IF(B148="","",WORKDAY(B148,5))</f>
        <v/>
      </c>
      <c r="AG148" s="26">
        <f>IF(B148="","",WORKDAY(B148,10))</f>
        <v/>
      </c>
      <c r="AH148" s="26" t="n"/>
    </row>
    <row r="149">
      <c r="A149" s="22" t="n"/>
      <c r="B149" s="22" t="n"/>
      <c r="C149" s="26" t="n"/>
      <c r="D149" s="27" t="n"/>
      <c r="E149" s="22" t="n"/>
      <c r="F149" s="26" t="n"/>
      <c r="G149" s="22" t="n"/>
      <c r="H149" s="26">
        <f>IF(G149="","",IFERROR(VLOOKUP(G149,板块观察!A:Z,19,FALSE),""))</f>
        <v/>
      </c>
      <c r="I149" s="26">
        <f>IF(G149="","",IFERROR(VLOOKUP(G149,板块观察!A:Z,20,FALSE),""))</f>
        <v/>
      </c>
      <c r="J149" s="22" t="n"/>
      <c r="K149" s="22" t="n"/>
      <c r="L149" s="22" t="n"/>
      <c r="M149" s="22" t="n"/>
      <c r="N149" s="22" t="n"/>
      <c r="O149" s="22" t="n"/>
      <c r="P149" s="22" t="n"/>
      <c r="Q149" s="28" t="n"/>
      <c r="R149" s="22" t="n"/>
      <c r="S149" s="29" t="n"/>
      <c r="T149" s="29" t="n"/>
      <c r="U149" s="29" t="n"/>
      <c r="V149" s="22" t="n"/>
      <c r="W149" s="22" t="n"/>
      <c r="X149" s="22" t="n"/>
      <c r="Y149" s="22" t="n"/>
      <c r="Z149" s="22" t="n"/>
      <c r="AA149" s="22" t="n"/>
      <c r="AB149" s="22" t="n"/>
      <c r="AC149" s="29" t="n"/>
      <c r="AD149" s="30">
        <f>IF(A149="","",(COUNTA(A149:G149)+COUNTA(J149:AC149))/27)</f>
        <v/>
      </c>
      <c r="AE149" s="26">
        <f>IF(B149="","",WORKDAY(B149,3))</f>
        <v/>
      </c>
      <c r="AF149" s="26">
        <f>IF(B149="","",WORKDAY(B149,5))</f>
        <v/>
      </c>
      <c r="AG149" s="26">
        <f>IF(B149="","",WORKDAY(B149,10))</f>
        <v/>
      </c>
      <c r="AH149" s="26" t="n"/>
    </row>
    <row r="150">
      <c r="A150" s="22" t="n"/>
      <c r="B150" s="22" t="n"/>
      <c r="C150" s="26" t="n"/>
      <c r="D150" s="27" t="n"/>
      <c r="E150" s="22" t="n"/>
      <c r="F150" s="26" t="n"/>
      <c r="G150" s="22" t="n"/>
      <c r="H150" s="26">
        <f>IF(G150="","",IFERROR(VLOOKUP(G150,板块观察!A:Z,19,FALSE),""))</f>
        <v/>
      </c>
      <c r="I150" s="26">
        <f>IF(G150="","",IFERROR(VLOOKUP(G150,板块观察!A:Z,20,FALSE),""))</f>
        <v/>
      </c>
      <c r="J150" s="22" t="n"/>
      <c r="K150" s="22" t="n"/>
      <c r="L150" s="22" t="n"/>
      <c r="M150" s="22" t="n"/>
      <c r="N150" s="22" t="n"/>
      <c r="O150" s="22" t="n"/>
      <c r="P150" s="22" t="n"/>
      <c r="Q150" s="28" t="n"/>
      <c r="R150" s="22" t="n"/>
      <c r="S150" s="29" t="n"/>
      <c r="T150" s="29" t="n"/>
      <c r="U150" s="29" t="n"/>
      <c r="V150" s="22" t="n"/>
      <c r="W150" s="22" t="n"/>
      <c r="X150" s="22" t="n"/>
      <c r="Y150" s="22" t="n"/>
      <c r="Z150" s="22" t="n"/>
      <c r="AA150" s="22" t="n"/>
      <c r="AB150" s="22" t="n"/>
      <c r="AC150" s="29" t="n"/>
      <c r="AD150" s="30">
        <f>IF(A150="","",(COUNTA(A150:G150)+COUNTA(J150:AC150))/27)</f>
        <v/>
      </c>
      <c r="AE150" s="26">
        <f>IF(B150="","",WORKDAY(B150,3))</f>
        <v/>
      </c>
      <c r="AF150" s="26">
        <f>IF(B150="","",WORKDAY(B150,5))</f>
        <v/>
      </c>
      <c r="AG150" s="26">
        <f>IF(B150="","",WORKDAY(B150,10))</f>
        <v/>
      </c>
      <c r="AH150" s="26" t="n"/>
    </row>
    <row r="151">
      <c r="A151" s="22" t="n"/>
      <c r="B151" s="22" t="n"/>
      <c r="C151" s="26" t="n"/>
      <c r="D151" s="27" t="n"/>
      <c r="E151" s="22" t="n"/>
      <c r="F151" s="26" t="n"/>
      <c r="G151" s="22" t="n"/>
      <c r="H151" s="26">
        <f>IF(G151="","",IFERROR(VLOOKUP(G151,板块观察!A:Z,19,FALSE),""))</f>
        <v/>
      </c>
      <c r="I151" s="26">
        <f>IF(G151="","",IFERROR(VLOOKUP(G151,板块观察!A:Z,20,FALSE),""))</f>
        <v/>
      </c>
      <c r="J151" s="22" t="n"/>
      <c r="K151" s="22" t="n"/>
      <c r="L151" s="22" t="n"/>
      <c r="M151" s="22" t="n"/>
      <c r="N151" s="22" t="n"/>
      <c r="O151" s="22" t="n"/>
      <c r="P151" s="22" t="n"/>
      <c r="Q151" s="28" t="n"/>
      <c r="R151" s="22" t="n"/>
      <c r="S151" s="29" t="n"/>
      <c r="T151" s="29" t="n"/>
      <c r="U151" s="29" t="n"/>
      <c r="V151" s="22" t="n"/>
      <c r="W151" s="22" t="n"/>
      <c r="X151" s="22" t="n"/>
      <c r="Y151" s="22" t="n"/>
      <c r="Z151" s="22" t="n"/>
      <c r="AA151" s="22" t="n"/>
      <c r="AB151" s="22" t="n"/>
      <c r="AC151" s="29" t="n"/>
      <c r="AD151" s="30">
        <f>IF(A151="","",(COUNTA(A151:G151)+COUNTA(J151:AC151))/27)</f>
        <v/>
      </c>
      <c r="AE151" s="26">
        <f>IF(B151="","",WORKDAY(B151,3))</f>
        <v/>
      </c>
      <c r="AF151" s="26">
        <f>IF(B151="","",WORKDAY(B151,5))</f>
        <v/>
      </c>
      <c r="AG151" s="26">
        <f>IF(B151="","",WORKDAY(B151,10))</f>
        <v/>
      </c>
      <c r="AH151" s="26" t="n"/>
    </row>
    <row r="152">
      <c r="A152" s="22" t="n"/>
      <c r="B152" s="22" t="n"/>
      <c r="C152" s="26" t="n"/>
      <c r="D152" s="27" t="n"/>
      <c r="E152" s="22" t="n"/>
      <c r="F152" s="26" t="n"/>
      <c r="G152" s="22" t="n"/>
      <c r="H152" s="26">
        <f>IF(G152="","",IFERROR(VLOOKUP(G152,板块观察!A:Z,19,FALSE),""))</f>
        <v/>
      </c>
      <c r="I152" s="26">
        <f>IF(G152="","",IFERROR(VLOOKUP(G152,板块观察!A:Z,20,FALSE),""))</f>
        <v/>
      </c>
      <c r="J152" s="22" t="n"/>
      <c r="K152" s="22" t="n"/>
      <c r="L152" s="22" t="n"/>
      <c r="M152" s="22" t="n"/>
      <c r="N152" s="22" t="n"/>
      <c r="O152" s="22" t="n"/>
      <c r="P152" s="22" t="n"/>
      <c r="Q152" s="28" t="n"/>
      <c r="R152" s="22" t="n"/>
      <c r="S152" s="29" t="n"/>
      <c r="T152" s="29" t="n"/>
      <c r="U152" s="29" t="n"/>
      <c r="V152" s="22" t="n"/>
      <c r="W152" s="22" t="n"/>
      <c r="X152" s="22" t="n"/>
      <c r="Y152" s="22" t="n"/>
      <c r="Z152" s="22" t="n"/>
      <c r="AA152" s="22" t="n"/>
      <c r="AB152" s="22" t="n"/>
      <c r="AC152" s="29" t="n"/>
      <c r="AD152" s="30">
        <f>IF(A152="","",(COUNTA(A152:G152)+COUNTA(J152:AC152))/27)</f>
        <v/>
      </c>
      <c r="AE152" s="26">
        <f>IF(B152="","",WORKDAY(B152,3))</f>
        <v/>
      </c>
      <c r="AF152" s="26">
        <f>IF(B152="","",WORKDAY(B152,5))</f>
        <v/>
      </c>
      <c r="AG152" s="26">
        <f>IF(B152="","",WORKDAY(B152,10))</f>
        <v/>
      </c>
      <c r="AH152" s="26" t="n"/>
    </row>
    <row r="153">
      <c r="A153" s="22" t="n"/>
      <c r="B153" s="22" t="n"/>
      <c r="C153" s="26" t="n"/>
      <c r="D153" s="27" t="n"/>
      <c r="E153" s="22" t="n"/>
      <c r="F153" s="26" t="n"/>
      <c r="G153" s="22" t="n"/>
      <c r="H153" s="26">
        <f>IF(G153="","",IFERROR(VLOOKUP(G153,板块观察!A:Z,19,FALSE),""))</f>
        <v/>
      </c>
      <c r="I153" s="26">
        <f>IF(G153="","",IFERROR(VLOOKUP(G153,板块观察!A:Z,20,FALSE),""))</f>
        <v/>
      </c>
      <c r="J153" s="22" t="n"/>
      <c r="K153" s="22" t="n"/>
      <c r="L153" s="22" t="n"/>
      <c r="M153" s="22" t="n"/>
      <c r="N153" s="22" t="n"/>
      <c r="O153" s="22" t="n"/>
      <c r="P153" s="22" t="n"/>
      <c r="Q153" s="28" t="n"/>
      <c r="R153" s="22" t="n"/>
      <c r="S153" s="29" t="n"/>
      <c r="T153" s="29" t="n"/>
      <c r="U153" s="29" t="n"/>
      <c r="V153" s="22" t="n"/>
      <c r="W153" s="22" t="n"/>
      <c r="X153" s="22" t="n"/>
      <c r="Y153" s="22" t="n"/>
      <c r="Z153" s="22" t="n"/>
      <c r="AA153" s="22" t="n"/>
      <c r="AB153" s="22" t="n"/>
      <c r="AC153" s="29" t="n"/>
      <c r="AD153" s="30">
        <f>IF(A153="","",(COUNTA(A153:G153)+COUNTA(J153:AC153))/27)</f>
        <v/>
      </c>
      <c r="AE153" s="26">
        <f>IF(B153="","",WORKDAY(B153,3))</f>
        <v/>
      </c>
      <c r="AF153" s="26">
        <f>IF(B153="","",WORKDAY(B153,5))</f>
        <v/>
      </c>
      <c r="AG153" s="26">
        <f>IF(B153="","",WORKDAY(B153,10))</f>
        <v/>
      </c>
      <c r="AH153" s="26" t="n"/>
    </row>
    <row r="154">
      <c r="A154" s="22" t="n"/>
      <c r="B154" s="22" t="n"/>
      <c r="C154" s="26" t="n"/>
      <c r="D154" s="27" t="n"/>
      <c r="E154" s="22" t="n"/>
      <c r="F154" s="26" t="n"/>
      <c r="G154" s="22" t="n"/>
      <c r="H154" s="26">
        <f>IF(G154="","",IFERROR(VLOOKUP(G154,板块观察!A:Z,19,FALSE),""))</f>
        <v/>
      </c>
      <c r="I154" s="26">
        <f>IF(G154="","",IFERROR(VLOOKUP(G154,板块观察!A:Z,20,FALSE),""))</f>
        <v/>
      </c>
      <c r="J154" s="22" t="n"/>
      <c r="K154" s="22" t="n"/>
      <c r="L154" s="22" t="n"/>
      <c r="M154" s="22" t="n"/>
      <c r="N154" s="22" t="n"/>
      <c r="O154" s="22" t="n"/>
      <c r="P154" s="22" t="n"/>
      <c r="Q154" s="28" t="n"/>
      <c r="R154" s="22" t="n"/>
      <c r="S154" s="29" t="n"/>
      <c r="T154" s="29" t="n"/>
      <c r="U154" s="29" t="n"/>
      <c r="V154" s="22" t="n"/>
      <c r="W154" s="22" t="n"/>
      <c r="X154" s="22" t="n"/>
      <c r="Y154" s="22" t="n"/>
      <c r="Z154" s="22" t="n"/>
      <c r="AA154" s="22" t="n"/>
      <c r="AB154" s="22" t="n"/>
      <c r="AC154" s="29" t="n"/>
      <c r="AD154" s="30">
        <f>IF(A154="","",(COUNTA(A154:G154)+COUNTA(J154:AC154))/27)</f>
        <v/>
      </c>
      <c r="AE154" s="26">
        <f>IF(B154="","",WORKDAY(B154,3))</f>
        <v/>
      </c>
      <c r="AF154" s="26">
        <f>IF(B154="","",WORKDAY(B154,5))</f>
        <v/>
      </c>
      <c r="AG154" s="26">
        <f>IF(B154="","",WORKDAY(B154,10))</f>
        <v/>
      </c>
      <c r="AH154" s="26" t="n"/>
    </row>
    <row r="155">
      <c r="A155" s="22" t="n"/>
      <c r="B155" s="22" t="n"/>
      <c r="C155" s="26" t="n"/>
      <c r="D155" s="27" t="n"/>
      <c r="E155" s="22" t="n"/>
      <c r="F155" s="26" t="n"/>
      <c r="G155" s="22" t="n"/>
      <c r="H155" s="26">
        <f>IF(G155="","",IFERROR(VLOOKUP(G155,板块观察!A:Z,19,FALSE),""))</f>
        <v/>
      </c>
      <c r="I155" s="26">
        <f>IF(G155="","",IFERROR(VLOOKUP(G155,板块观察!A:Z,20,FALSE),""))</f>
        <v/>
      </c>
      <c r="J155" s="22" t="n"/>
      <c r="K155" s="22" t="n"/>
      <c r="L155" s="22" t="n"/>
      <c r="M155" s="22" t="n"/>
      <c r="N155" s="22" t="n"/>
      <c r="O155" s="22" t="n"/>
      <c r="P155" s="22" t="n"/>
      <c r="Q155" s="28" t="n"/>
      <c r="R155" s="22" t="n"/>
      <c r="S155" s="29" t="n"/>
      <c r="T155" s="29" t="n"/>
      <c r="U155" s="29" t="n"/>
      <c r="V155" s="22" t="n"/>
      <c r="W155" s="22" t="n"/>
      <c r="X155" s="22" t="n"/>
      <c r="Y155" s="22" t="n"/>
      <c r="Z155" s="22" t="n"/>
      <c r="AA155" s="22" t="n"/>
      <c r="AB155" s="22" t="n"/>
      <c r="AC155" s="29" t="n"/>
      <c r="AD155" s="30">
        <f>IF(A155="","",(COUNTA(A155:G155)+COUNTA(J155:AC155))/27)</f>
        <v/>
      </c>
      <c r="AE155" s="26">
        <f>IF(B155="","",WORKDAY(B155,3))</f>
        <v/>
      </c>
      <c r="AF155" s="26">
        <f>IF(B155="","",WORKDAY(B155,5))</f>
        <v/>
      </c>
      <c r="AG155" s="26">
        <f>IF(B155="","",WORKDAY(B155,10))</f>
        <v/>
      </c>
      <c r="AH155" s="26" t="n"/>
    </row>
    <row r="156">
      <c r="A156" s="22" t="n"/>
      <c r="B156" s="22" t="n"/>
      <c r="C156" s="26" t="n"/>
      <c r="D156" s="27" t="n"/>
      <c r="E156" s="22" t="n"/>
      <c r="F156" s="26" t="n"/>
      <c r="G156" s="22" t="n"/>
      <c r="H156" s="26">
        <f>IF(G156="","",IFERROR(VLOOKUP(G156,板块观察!A:Z,19,FALSE),""))</f>
        <v/>
      </c>
      <c r="I156" s="26">
        <f>IF(G156="","",IFERROR(VLOOKUP(G156,板块观察!A:Z,20,FALSE),""))</f>
        <v/>
      </c>
      <c r="J156" s="22" t="n"/>
      <c r="K156" s="22" t="n"/>
      <c r="L156" s="22" t="n"/>
      <c r="M156" s="22" t="n"/>
      <c r="N156" s="22" t="n"/>
      <c r="O156" s="22" t="n"/>
      <c r="P156" s="22" t="n"/>
      <c r="Q156" s="28" t="n"/>
      <c r="R156" s="22" t="n"/>
      <c r="S156" s="29" t="n"/>
      <c r="T156" s="29" t="n"/>
      <c r="U156" s="29" t="n"/>
      <c r="V156" s="22" t="n"/>
      <c r="W156" s="22" t="n"/>
      <c r="X156" s="22" t="n"/>
      <c r="Y156" s="22" t="n"/>
      <c r="Z156" s="22" t="n"/>
      <c r="AA156" s="22" t="n"/>
      <c r="AB156" s="22" t="n"/>
      <c r="AC156" s="29" t="n"/>
      <c r="AD156" s="30">
        <f>IF(A156="","",(COUNTA(A156:G156)+COUNTA(J156:AC156))/27)</f>
        <v/>
      </c>
      <c r="AE156" s="26">
        <f>IF(B156="","",WORKDAY(B156,3))</f>
        <v/>
      </c>
      <c r="AF156" s="26">
        <f>IF(B156="","",WORKDAY(B156,5))</f>
        <v/>
      </c>
      <c r="AG156" s="26">
        <f>IF(B156="","",WORKDAY(B156,10))</f>
        <v/>
      </c>
      <c r="AH156" s="26" t="n"/>
    </row>
    <row r="157">
      <c r="A157" s="22" t="n"/>
      <c r="B157" s="22" t="n"/>
      <c r="C157" s="26" t="n"/>
      <c r="D157" s="27" t="n"/>
      <c r="E157" s="22" t="n"/>
      <c r="F157" s="26" t="n"/>
      <c r="G157" s="22" t="n"/>
      <c r="H157" s="26">
        <f>IF(G157="","",IFERROR(VLOOKUP(G157,板块观察!A:Z,19,FALSE),""))</f>
        <v/>
      </c>
      <c r="I157" s="26">
        <f>IF(G157="","",IFERROR(VLOOKUP(G157,板块观察!A:Z,20,FALSE),""))</f>
        <v/>
      </c>
      <c r="J157" s="22" t="n"/>
      <c r="K157" s="22" t="n"/>
      <c r="L157" s="22" t="n"/>
      <c r="M157" s="22" t="n"/>
      <c r="N157" s="22" t="n"/>
      <c r="O157" s="22" t="n"/>
      <c r="P157" s="22" t="n"/>
      <c r="Q157" s="28" t="n"/>
      <c r="R157" s="22" t="n"/>
      <c r="S157" s="29" t="n"/>
      <c r="T157" s="29" t="n"/>
      <c r="U157" s="29" t="n"/>
      <c r="V157" s="22" t="n"/>
      <c r="W157" s="22" t="n"/>
      <c r="X157" s="22" t="n"/>
      <c r="Y157" s="22" t="n"/>
      <c r="Z157" s="22" t="n"/>
      <c r="AA157" s="22" t="n"/>
      <c r="AB157" s="22" t="n"/>
      <c r="AC157" s="29" t="n"/>
      <c r="AD157" s="30">
        <f>IF(A157="","",(COUNTA(A157:G157)+COUNTA(J157:AC157))/27)</f>
        <v/>
      </c>
      <c r="AE157" s="26">
        <f>IF(B157="","",WORKDAY(B157,3))</f>
        <v/>
      </c>
      <c r="AF157" s="26">
        <f>IF(B157="","",WORKDAY(B157,5))</f>
        <v/>
      </c>
      <c r="AG157" s="26">
        <f>IF(B157="","",WORKDAY(B157,10))</f>
        <v/>
      </c>
      <c r="AH157" s="26" t="n"/>
    </row>
    <row r="158">
      <c r="A158" s="22" t="n"/>
      <c r="B158" s="22" t="n"/>
      <c r="C158" s="26" t="n"/>
      <c r="D158" s="27" t="n"/>
      <c r="E158" s="22" t="n"/>
      <c r="F158" s="26" t="n"/>
      <c r="G158" s="22" t="n"/>
      <c r="H158" s="26">
        <f>IF(G158="","",IFERROR(VLOOKUP(G158,板块观察!A:Z,19,FALSE),""))</f>
        <v/>
      </c>
      <c r="I158" s="26">
        <f>IF(G158="","",IFERROR(VLOOKUP(G158,板块观察!A:Z,20,FALSE),""))</f>
        <v/>
      </c>
      <c r="J158" s="22" t="n"/>
      <c r="K158" s="22" t="n"/>
      <c r="L158" s="22" t="n"/>
      <c r="M158" s="22" t="n"/>
      <c r="N158" s="22" t="n"/>
      <c r="O158" s="22" t="n"/>
      <c r="P158" s="22" t="n"/>
      <c r="Q158" s="28" t="n"/>
      <c r="R158" s="22" t="n"/>
      <c r="S158" s="29" t="n"/>
      <c r="T158" s="29" t="n"/>
      <c r="U158" s="29" t="n"/>
      <c r="V158" s="22" t="n"/>
      <c r="W158" s="22" t="n"/>
      <c r="X158" s="22" t="n"/>
      <c r="Y158" s="22" t="n"/>
      <c r="Z158" s="22" t="n"/>
      <c r="AA158" s="22" t="n"/>
      <c r="AB158" s="22" t="n"/>
      <c r="AC158" s="29" t="n"/>
      <c r="AD158" s="30">
        <f>IF(A158="","",(COUNTA(A158:G158)+COUNTA(J158:AC158))/27)</f>
        <v/>
      </c>
      <c r="AE158" s="26">
        <f>IF(B158="","",WORKDAY(B158,3))</f>
        <v/>
      </c>
      <c r="AF158" s="26">
        <f>IF(B158="","",WORKDAY(B158,5))</f>
        <v/>
      </c>
      <c r="AG158" s="26">
        <f>IF(B158="","",WORKDAY(B158,10))</f>
        <v/>
      </c>
      <c r="AH158" s="26" t="n"/>
    </row>
    <row r="159">
      <c r="A159" s="22" t="n"/>
      <c r="B159" s="22" t="n"/>
      <c r="C159" s="26" t="n"/>
      <c r="D159" s="27" t="n"/>
      <c r="E159" s="22" t="n"/>
      <c r="F159" s="26" t="n"/>
      <c r="G159" s="22" t="n"/>
      <c r="H159" s="26">
        <f>IF(G159="","",IFERROR(VLOOKUP(G159,板块观察!A:Z,19,FALSE),""))</f>
        <v/>
      </c>
      <c r="I159" s="26">
        <f>IF(G159="","",IFERROR(VLOOKUP(G159,板块观察!A:Z,20,FALSE),""))</f>
        <v/>
      </c>
      <c r="J159" s="22" t="n"/>
      <c r="K159" s="22" t="n"/>
      <c r="L159" s="22" t="n"/>
      <c r="M159" s="22" t="n"/>
      <c r="N159" s="22" t="n"/>
      <c r="O159" s="22" t="n"/>
      <c r="P159" s="22" t="n"/>
      <c r="Q159" s="28" t="n"/>
      <c r="R159" s="22" t="n"/>
      <c r="S159" s="29" t="n"/>
      <c r="T159" s="29" t="n"/>
      <c r="U159" s="29" t="n"/>
      <c r="V159" s="22" t="n"/>
      <c r="W159" s="22" t="n"/>
      <c r="X159" s="22" t="n"/>
      <c r="Y159" s="22" t="n"/>
      <c r="Z159" s="22" t="n"/>
      <c r="AA159" s="22" t="n"/>
      <c r="AB159" s="22" t="n"/>
      <c r="AC159" s="29" t="n"/>
      <c r="AD159" s="30">
        <f>IF(A159="","",(COUNTA(A159:G159)+COUNTA(J159:AC159))/27)</f>
        <v/>
      </c>
      <c r="AE159" s="26">
        <f>IF(B159="","",WORKDAY(B159,3))</f>
        <v/>
      </c>
      <c r="AF159" s="26">
        <f>IF(B159="","",WORKDAY(B159,5))</f>
        <v/>
      </c>
      <c r="AG159" s="26">
        <f>IF(B159="","",WORKDAY(B159,10))</f>
        <v/>
      </c>
      <c r="AH159" s="26" t="n"/>
    </row>
    <row r="160">
      <c r="A160" s="22" t="n"/>
      <c r="B160" s="22" t="n"/>
      <c r="C160" s="26" t="n"/>
      <c r="D160" s="27" t="n"/>
      <c r="E160" s="22" t="n"/>
      <c r="F160" s="26" t="n"/>
      <c r="G160" s="22" t="n"/>
      <c r="H160" s="26">
        <f>IF(G160="","",IFERROR(VLOOKUP(G160,板块观察!A:Z,19,FALSE),""))</f>
        <v/>
      </c>
      <c r="I160" s="26">
        <f>IF(G160="","",IFERROR(VLOOKUP(G160,板块观察!A:Z,20,FALSE),""))</f>
        <v/>
      </c>
      <c r="J160" s="22" t="n"/>
      <c r="K160" s="22" t="n"/>
      <c r="L160" s="22" t="n"/>
      <c r="M160" s="22" t="n"/>
      <c r="N160" s="22" t="n"/>
      <c r="O160" s="22" t="n"/>
      <c r="P160" s="22" t="n"/>
      <c r="Q160" s="28" t="n"/>
      <c r="R160" s="22" t="n"/>
      <c r="S160" s="29" t="n"/>
      <c r="T160" s="29" t="n"/>
      <c r="U160" s="29" t="n"/>
      <c r="V160" s="22" t="n"/>
      <c r="W160" s="22" t="n"/>
      <c r="X160" s="22" t="n"/>
      <c r="Y160" s="22" t="n"/>
      <c r="Z160" s="22" t="n"/>
      <c r="AA160" s="22" t="n"/>
      <c r="AB160" s="22" t="n"/>
      <c r="AC160" s="29" t="n"/>
      <c r="AD160" s="30">
        <f>IF(A160="","",(COUNTA(A160:G160)+COUNTA(J160:AC160))/27)</f>
        <v/>
      </c>
      <c r="AE160" s="26">
        <f>IF(B160="","",WORKDAY(B160,3))</f>
        <v/>
      </c>
      <c r="AF160" s="26">
        <f>IF(B160="","",WORKDAY(B160,5))</f>
        <v/>
      </c>
      <c r="AG160" s="26">
        <f>IF(B160="","",WORKDAY(B160,10))</f>
        <v/>
      </c>
      <c r="AH160" s="26" t="n"/>
    </row>
    <row r="161">
      <c r="A161" s="22" t="n"/>
      <c r="B161" s="22" t="n"/>
      <c r="C161" s="26" t="n"/>
      <c r="D161" s="27" t="n"/>
      <c r="E161" s="22" t="n"/>
      <c r="F161" s="26" t="n"/>
      <c r="G161" s="22" t="n"/>
      <c r="H161" s="26">
        <f>IF(G161="","",IFERROR(VLOOKUP(G161,板块观察!A:Z,19,FALSE),""))</f>
        <v/>
      </c>
      <c r="I161" s="26">
        <f>IF(G161="","",IFERROR(VLOOKUP(G161,板块观察!A:Z,20,FALSE),""))</f>
        <v/>
      </c>
      <c r="J161" s="22" t="n"/>
      <c r="K161" s="22" t="n"/>
      <c r="L161" s="22" t="n"/>
      <c r="M161" s="22" t="n"/>
      <c r="N161" s="22" t="n"/>
      <c r="O161" s="22" t="n"/>
      <c r="P161" s="22" t="n"/>
      <c r="Q161" s="28" t="n"/>
      <c r="R161" s="22" t="n"/>
      <c r="S161" s="29" t="n"/>
      <c r="T161" s="29" t="n"/>
      <c r="U161" s="29" t="n"/>
      <c r="V161" s="22" t="n"/>
      <c r="W161" s="22" t="n"/>
      <c r="X161" s="22" t="n"/>
      <c r="Y161" s="22" t="n"/>
      <c r="Z161" s="22" t="n"/>
      <c r="AA161" s="22" t="n"/>
      <c r="AB161" s="22" t="n"/>
      <c r="AC161" s="29" t="n"/>
      <c r="AD161" s="30">
        <f>IF(A161="","",(COUNTA(A161:G161)+COUNTA(J161:AC161))/27)</f>
        <v/>
      </c>
      <c r="AE161" s="26">
        <f>IF(B161="","",WORKDAY(B161,3))</f>
        <v/>
      </c>
      <c r="AF161" s="26">
        <f>IF(B161="","",WORKDAY(B161,5))</f>
        <v/>
      </c>
      <c r="AG161" s="26">
        <f>IF(B161="","",WORKDAY(B161,10))</f>
        <v/>
      </c>
      <c r="AH161" s="26" t="n"/>
    </row>
    <row r="162">
      <c r="A162" s="22" t="n"/>
      <c r="B162" s="22" t="n"/>
      <c r="C162" s="26" t="n"/>
      <c r="D162" s="27" t="n"/>
      <c r="E162" s="22" t="n"/>
      <c r="F162" s="26" t="n"/>
      <c r="G162" s="22" t="n"/>
      <c r="H162" s="26">
        <f>IF(G162="","",IFERROR(VLOOKUP(G162,板块观察!A:Z,19,FALSE),""))</f>
        <v/>
      </c>
      <c r="I162" s="26">
        <f>IF(G162="","",IFERROR(VLOOKUP(G162,板块观察!A:Z,20,FALSE),""))</f>
        <v/>
      </c>
      <c r="J162" s="22" t="n"/>
      <c r="K162" s="22" t="n"/>
      <c r="L162" s="22" t="n"/>
      <c r="M162" s="22" t="n"/>
      <c r="N162" s="22" t="n"/>
      <c r="O162" s="22" t="n"/>
      <c r="P162" s="22" t="n"/>
      <c r="Q162" s="28" t="n"/>
      <c r="R162" s="22" t="n"/>
      <c r="S162" s="29" t="n"/>
      <c r="T162" s="29" t="n"/>
      <c r="U162" s="29" t="n"/>
      <c r="V162" s="22" t="n"/>
      <c r="W162" s="22" t="n"/>
      <c r="X162" s="22" t="n"/>
      <c r="Y162" s="22" t="n"/>
      <c r="Z162" s="22" t="n"/>
      <c r="AA162" s="22" t="n"/>
      <c r="AB162" s="22" t="n"/>
      <c r="AC162" s="29" t="n"/>
      <c r="AD162" s="30">
        <f>IF(A162="","",(COUNTA(A162:G162)+COUNTA(J162:AC162))/27)</f>
        <v/>
      </c>
      <c r="AE162" s="26">
        <f>IF(B162="","",WORKDAY(B162,3))</f>
        <v/>
      </c>
      <c r="AF162" s="26">
        <f>IF(B162="","",WORKDAY(B162,5))</f>
        <v/>
      </c>
      <c r="AG162" s="26">
        <f>IF(B162="","",WORKDAY(B162,10))</f>
        <v/>
      </c>
      <c r="AH162" s="26" t="n"/>
    </row>
    <row r="163">
      <c r="A163" s="22" t="n"/>
      <c r="B163" s="22" t="n"/>
      <c r="C163" s="26" t="n"/>
      <c r="D163" s="27" t="n"/>
      <c r="E163" s="22" t="n"/>
      <c r="F163" s="26" t="n"/>
      <c r="G163" s="22" t="n"/>
      <c r="H163" s="26">
        <f>IF(G163="","",IFERROR(VLOOKUP(G163,板块观察!A:Z,19,FALSE),""))</f>
        <v/>
      </c>
      <c r="I163" s="26">
        <f>IF(G163="","",IFERROR(VLOOKUP(G163,板块观察!A:Z,20,FALSE),""))</f>
        <v/>
      </c>
      <c r="J163" s="22" t="n"/>
      <c r="K163" s="22" t="n"/>
      <c r="L163" s="22" t="n"/>
      <c r="M163" s="22" t="n"/>
      <c r="N163" s="22" t="n"/>
      <c r="O163" s="22" t="n"/>
      <c r="P163" s="22" t="n"/>
      <c r="Q163" s="28" t="n"/>
      <c r="R163" s="22" t="n"/>
      <c r="S163" s="29" t="n"/>
      <c r="T163" s="29" t="n"/>
      <c r="U163" s="29" t="n"/>
      <c r="V163" s="22" t="n"/>
      <c r="W163" s="22" t="n"/>
      <c r="X163" s="22" t="n"/>
      <c r="Y163" s="22" t="n"/>
      <c r="Z163" s="22" t="n"/>
      <c r="AA163" s="22" t="n"/>
      <c r="AB163" s="22" t="n"/>
      <c r="AC163" s="29" t="n"/>
      <c r="AD163" s="30">
        <f>IF(A163="","",(COUNTA(A163:G163)+COUNTA(J163:AC163))/27)</f>
        <v/>
      </c>
      <c r="AE163" s="26">
        <f>IF(B163="","",WORKDAY(B163,3))</f>
        <v/>
      </c>
      <c r="AF163" s="26">
        <f>IF(B163="","",WORKDAY(B163,5))</f>
        <v/>
      </c>
      <c r="AG163" s="26">
        <f>IF(B163="","",WORKDAY(B163,10))</f>
        <v/>
      </c>
      <c r="AH163" s="26" t="n"/>
    </row>
    <row r="164">
      <c r="A164" s="22" t="n"/>
      <c r="B164" s="22" t="n"/>
      <c r="C164" s="26" t="n"/>
      <c r="D164" s="27" t="n"/>
      <c r="E164" s="22" t="n"/>
      <c r="F164" s="26" t="n"/>
      <c r="G164" s="22" t="n"/>
      <c r="H164" s="26">
        <f>IF(G164="","",IFERROR(VLOOKUP(G164,板块观察!A:Z,19,FALSE),""))</f>
        <v/>
      </c>
      <c r="I164" s="26">
        <f>IF(G164="","",IFERROR(VLOOKUP(G164,板块观察!A:Z,20,FALSE),""))</f>
        <v/>
      </c>
      <c r="J164" s="22" t="n"/>
      <c r="K164" s="22" t="n"/>
      <c r="L164" s="22" t="n"/>
      <c r="M164" s="22" t="n"/>
      <c r="N164" s="22" t="n"/>
      <c r="O164" s="22" t="n"/>
      <c r="P164" s="22" t="n"/>
      <c r="Q164" s="28" t="n"/>
      <c r="R164" s="22" t="n"/>
      <c r="S164" s="29" t="n"/>
      <c r="T164" s="29" t="n"/>
      <c r="U164" s="29" t="n"/>
      <c r="V164" s="22" t="n"/>
      <c r="W164" s="22" t="n"/>
      <c r="X164" s="22" t="n"/>
      <c r="Y164" s="22" t="n"/>
      <c r="Z164" s="22" t="n"/>
      <c r="AA164" s="22" t="n"/>
      <c r="AB164" s="22" t="n"/>
      <c r="AC164" s="29" t="n"/>
      <c r="AD164" s="30">
        <f>IF(A164="","",(COUNTA(A164:G164)+COUNTA(J164:AC164))/27)</f>
        <v/>
      </c>
      <c r="AE164" s="26">
        <f>IF(B164="","",WORKDAY(B164,3))</f>
        <v/>
      </c>
      <c r="AF164" s="26">
        <f>IF(B164="","",WORKDAY(B164,5))</f>
        <v/>
      </c>
      <c r="AG164" s="26">
        <f>IF(B164="","",WORKDAY(B164,10))</f>
        <v/>
      </c>
      <c r="AH164" s="26" t="n"/>
    </row>
    <row r="165">
      <c r="A165" s="22" t="n"/>
      <c r="B165" s="22" t="n"/>
      <c r="C165" s="26" t="n"/>
      <c r="D165" s="27" t="n"/>
      <c r="E165" s="22" t="n"/>
      <c r="F165" s="26" t="n"/>
      <c r="G165" s="22" t="n"/>
      <c r="H165" s="26">
        <f>IF(G165="","",IFERROR(VLOOKUP(G165,板块观察!A:Z,19,FALSE),""))</f>
        <v/>
      </c>
      <c r="I165" s="26">
        <f>IF(G165="","",IFERROR(VLOOKUP(G165,板块观察!A:Z,20,FALSE),""))</f>
        <v/>
      </c>
      <c r="J165" s="22" t="n"/>
      <c r="K165" s="22" t="n"/>
      <c r="L165" s="22" t="n"/>
      <c r="M165" s="22" t="n"/>
      <c r="N165" s="22" t="n"/>
      <c r="O165" s="22" t="n"/>
      <c r="P165" s="22" t="n"/>
      <c r="Q165" s="28" t="n"/>
      <c r="R165" s="22" t="n"/>
      <c r="S165" s="29" t="n"/>
      <c r="T165" s="29" t="n"/>
      <c r="U165" s="29" t="n"/>
      <c r="V165" s="22" t="n"/>
      <c r="W165" s="22" t="n"/>
      <c r="X165" s="22" t="n"/>
      <c r="Y165" s="22" t="n"/>
      <c r="Z165" s="22" t="n"/>
      <c r="AA165" s="22" t="n"/>
      <c r="AB165" s="22" t="n"/>
      <c r="AC165" s="29" t="n"/>
      <c r="AD165" s="30">
        <f>IF(A165="","",(COUNTA(A165:G165)+COUNTA(J165:AC165))/27)</f>
        <v/>
      </c>
      <c r="AE165" s="26">
        <f>IF(B165="","",WORKDAY(B165,3))</f>
        <v/>
      </c>
      <c r="AF165" s="26">
        <f>IF(B165="","",WORKDAY(B165,5))</f>
        <v/>
      </c>
      <c r="AG165" s="26">
        <f>IF(B165="","",WORKDAY(B165,10))</f>
        <v/>
      </c>
      <c r="AH165" s="26" t="n"/>
    </row>
    <row r="166">
      <c r="A166" s="22" t="n"/>
      <c r="B166" s="22" t="n"/>
      <c r="C166" s="26" t="n"/>
      <c r="D166" s="27" t="n"/>
      <c r="E166" s="22" t="n"/>
      <c r="F166" s="26" t="n"/>
      <c r="G166" s="22" t="n"/>
      <c r="H166" s="26">
        <f>IF(G166="","",IFERROR(VLOOKUP(G166,板块观察!A:Z,19,FALSE),""))</f>
        <v/>
      </c>
      <c r="I166" s="26">
        <f>IF(G166="","",IFERROR(VLOOKUP(G166,板块观察!A:Z,20,FALSE),""))</f>
        <v/>
      </c>
      <c r="J166" s="22" t="n"/>
      <c r="K166" s="22" t="n"/>
      <c r="L166" s="22" t="n"/>
      <c r="M166" s="22" t="n"/>
      <c r="N166" s="22" t="n"/>
      <c r="O166" s="22" t="n"/>
      <c r="P166" s="22" t="n"/>
      <c r="Q166" s="28" t="n"/>
      <c r="R166" s="22" t="n"/>
      <c r="S166" s="29" t="n"/>
      <c r="T166" s="29" t="n"/>
      <c r="U166" s="29" t="n"/>
      <c r="V166" s="22" t="n"/>
      <c r="W166" s="22" t="n"/>
      <c r="X166" s="22" t="n"/>
      <c r="Y166" s="22" t="n"/>
      <c r="Z166" s="22" t="n"/>
      <c r="AA166" s="22" t="n"/>
      <c r="AB166" s="22" t="n"/>
      <c r="AC166" s="29" t="n"/>
      <c r="AD166" s="30">
        <f>IF(A166="","",(COUNTA(A166:G166)+COUNTA(J166:AC166))/27)</f>
        <v/>
      </c>
      <c r="AE166" s="26">
        <f>IF(B166="","",WORKDAY(B166,3))</f>
        <v/>
      </c>
      <c r="AF166" s="26">
        <f>IF(B166="","",WORKDAY(B166,5))</f>
        <v/>
      </c>
      <c r="AG166" s="26">
        <f>IF(B166="","",WORKDAY(B166,10))</f>
        <v/>
      </c>
      <c r="AH166" s="26" t="n"/>
    </row>
    <row r="167">
      <c r="A167" s="22" t="n"/>
      <c r="B167" s="22" t="n"/>
      <c r="C167" s="26" t="n"/>
      <c r="D167" s="27" t="n"/>
      <c r="E167" s="22" t="n"/>
      <c r="F167" s="26" t="n"/>
      <c r="G167" s="22" t="n"/>
      <c r="H167" s="26">
        <f>IF(G167="","",IFERROR(VLOOKUP(G167,板块观察!A:Z,19,FALSE),""))</f>
        <v/>
      </c>
      <c r="I167" s="26">
        <f>IF(G167="","",IFERROR(VLOOKUP(G167,板块观察!A:Z,20,FALSE),""))</f>
        <v/>
      </c>
      <c r="J167" s="22" t="n"/>
      <c r="K167" s="22" t="n"/>
      <c r="L167" s="22" t="n"/>
      <c r="M167" s="22" t="n"/>
      <c r="N167" s="22" t="n"/>
      <c r="O167" s="22" t="n"/>
      <c r="P167" s="22" t="n"/>
      <c r="Q167" s="28" t="n"/>
      <c r="R167" s="22" t="n"/>
      <c r="S167" s="29" t="n"/>
      <c r="T167" s="29" t="n"/>
      <c r="U167" s="29" t="n"/>
      <c r="V167" s="22" t="n"/>
      <c r="W167" s="22" t="n"/>
      <c r="X167" s="22" t="n"/>
      <c r="Y167" s="22" t="n"/>
      <c r="Z167" s="22" t="n"/>
      <c r="AA167" s="22" t="n"/>
      <c r="AB167" s="22" t="n"/>
      <c r="AC167" s="29" t="n"/>
      <c r="AD167" s="30">
        <f>IF(A167="","",(COUNTA(A167:G167)+COUNTA(J167:AC167))/27)</f>
        <v/>
      </c>
      <c r="AE167" s="26">
        <f>IF(B167="","",WORKDAY(B167,3))</f>
        <v/>
      </c>
      <c r="AF167" s="26">
        <f>IF(B167="","",WORKDAY(B167,5))</f>
        <v/>
      </c>
      <c r="AG167" s="26">
        <f>IF(B167="","",WORKDAY(B167,10))</f>
        <v/>
      </c>
      <c r="AH167" s="26" t="n"/>
    </row>
    <row r="168">
      <c r="A168" s="22" t="n"/>
      <c r="B168" s="22" t="n"/>
      <c r="C168" s="26" t="n"/>
      <c r="D168" s="27" t="n"/>
      <c r="E168" s="22" t="n"/>
      <c r="F168" s="26" t="n"/>
      <c r="G168" s="22" t="n"/>
      <c r="H168" s="26">
        <f>IF(G168="","",IFERROR(VLOOKUP(G168,板块观察!A:Z,19,FALSE),""))</f>
        <v/>
      </c>
      <c r="I168" s="26">
        <f>IF(G168="","",IFERROR(VLOOKUP(G168,板块观察!A:Z,20,FALSE),""))</f>
        <v/>
      </c>
      <c r="J168" s="22" t="n"/>
      <c r="K168" s="22" t="n"/>
      <c r="L168" s="22" t="n"/>
      <c r="M168" s="22" t="n"/>
      <c r="N168" s="22" t="n"/>
      <c r="O168" s="22" t="n"/>
      <c r="P168" s="22" t="n"/>
      <c r="Q168" s="28" t="n"/>
      <c r="R168" s="22" t="n"/>
      <c r="S168" s="29" t="n"/>
      <c r="T168" s="29" t="n"/>
      <c r="U168" s="29" t="n"/>
      <c r="V168" s="22" t="n"/>
      <c r="W168" s="22" t="n"/>
      <c r="X168" s="22" t="n"/>
      <c r="Y168" s="22" t="n"/>
      <c r="Z168" s="22" t="n"/>
      <c r="AA168" s="22" t="n"/>
      <c r="AB168" s="22" t="n"/>
      <c r="AC168" s="29" t="n"/>
      <c r="AD168" s="30">
        <f>IF(A168="","",(COUNTA(A168:G168)+COUNTA(J168:AC168))/27)</f>
        <v/>
      </c>
      <c r="AE168" s="26">
        <f>IF(B168="","",WORKDAY(B168,3))</f>
        <v/>
      </c>
      <c r="AF168" s="26">
        <f>IF(B168="","",WORKDAY(B168,5))</f>
        <v/>
      </c>
      <c r="AG168" s="26">
        <f>IF(B168="","",WORKDAY(B168,10))</f>
        <v/>
      </c>
      <c r="AH168" s="26" t="n"/>
    </row>
    <row r="169">
      <c r="A169" s="22" t="n"/>
      <c r="B169" s="22" t="n"/>
      <c r="C169" s="26" t="n"/>
      <c r="D169" s="27" t="n"/>
      <c r="E169" s="22" t="n"/>
      <c r="F169" s="26" t="n"/>
      <c r="G169" s="22" t="n"/>
      <c r="H169" s="26">
        <f>IF(G169="","",IFERROR(VLOOKUP(G169,板块观察!A:Z,19,FALSE),""))</f>
        <v/>
      </c>
      <c r="I169" s="26">
        <f>IF(G169="","",IFERROR(VLOOKUP(G169,板块观察!A:Z,20,FALSE),""))</f>
        <v/>
      </c>
      <c r="J169" s="22" t="n"/>
      <c r="K169" s="22" t="n"/>
      <c r="L169" s="22" t="n"/>
      <c r="M169" s="22" t="n"/>
      <c r="N169" s="22" t="n"/>
      <c r="O169" s="22" t="n"/>
      <c r="P169" s="22" t="n"/>
      <c r="Q169" s="28" t="n"/>
      <c r="R169" s="22" t="n"/>
      <c r="S169" s="29" t="n"/>
      <c r="T169" s="29" t="n"/>
      <c r="U169" s="29" t="n"/>
      <c r="V169" s="22" t="n"/>
      <c r="W169" s="22" t="n"/>
      <c r="X169" s="22" t="n"/>
      <c r="Y169" s="22" t="n"/>
      <c r="Z169" s="22" t="n"/>
      <c r="AA169" s="22" t="n"/>
      <c r="AB169" s="22" t="n"/>
      <c r="AC169" s="29" t="n"/>
      <c r="AD169" s="30">
        <f>IF(A169="","",(COUNTA(A169:G169)+COUNTA(J169:AC169))/27)</f>
        <v/>
      </c>
      <c r="AE169" s="26">
        <f>IF(B169="","",WORKDAY(B169,3))</f>
        <v/>
      </c>
      <c r="AF169" s="26">
        <f>IF(B169="","",WORKDAY(B169,5))</f>
        <v/>
      </c>
      <c r="AG169" s="26">
        <f>IF(B169="","",WORKDAY(B169,10))</f>
        <v/>
      </c>
      <c r="AH169" s="26" t="n"/>
    </row>
    <row r="170">
      <c r="A170" s="22" t="n"/>
      <c r="B170" s="22" t="n"/>
      <c r="C170" s="26" t="n"/>
      <c r="D170" s="27" t="n"/>
      <c r="E170" s="22" t="n"/>
      <c r="F170" s="26" t="n"/>
      <c r="G170" s="22" t="n"/>
      <c r="H170" s="26">
        <f>IF(G170="","",IFERROR(VLOOKUP(G170,板块观察!A:Z,19,FALSE),""))</f>
        <v/>
      </c>
      <c r="I170" s="26">
        <f>IF(G170="","",IFERROR(VLOOKUP(G170,板块观察!A:Z,20,FALSE),""))</f>
        <v/>
      </c>
      <c r="J170" s="22" t="n"/>
      <c r="K170" s="22" t="n"/>
      <c r="L170" s="22" t="n"/>
      <c r="M170" s="22" t="n"/>
      <c r="N170" s="22" t="n"/>
      <c r="O170" s="22" t="n"/>
      <c r="P170" s="22" t="n"/>
      <c r="Q170" s="28" t="n"/>
      <c r="R170" s="22" t="n"/>
      <c r="S170" s="29" t="n"/>
      <c r="T170" s="29" t="n"/>
      <c r="U170" s="29" t="n"/>
      <c r="V170" s="22" t="n"/>
      <c r="W170" s="22" t="n"/>
      <c r="X170" s="22" t="n"/>
      <c r="Y170" s="22" t="n"/>
      <c r="Z170" s="22" t="n"/>
      <c r="AA170" s="22" t="n"/>
      <c r="AB170" s="22" t="n"/>
      <c r="AC170" s="29" t="n"/>
      <c r="AD170" s="30">
        <f>IF(A170="","",(COUNTA(A170:G170)+COUNTA(J170:AC170))/27)</f>
        <v/>
      </c>
      <c r="AE170" s="26">
        <f>IF(B170="","",WORKDAY(B170,3))</f>
        <v/>
      </c>
      <c r="AF170" s="26">
        <f>IF(B170="","",WORKDAY(B170,5))</f>
        <v/>
      </c>
      <c r="AG170" s="26">
        <f>IF(B170="","",WORKDAY(B170,10))</f>
        <v/>
      </c>
      <c r="AH170" s="26" t="n"/>
    </row>
    <row r="171">
      <c r="A171" s="22" t="n"/>
      <c r="B171" s="22" t="n"/>
      <c r="C171" s="26" t="n"/>
      <c r="D171" s="27" t="n"/>
      <c r="E171" s="22" t="n"/>
      <c r="F171" s="26" t="n"/>
      <c r="G171" s="22" t="n"/>
      <c r="H171" s="26">
        <f>IF(G171="","",IFERROR(VLOOKUP(G171,板块观察!A:Z,19,FALSE),""))</f>
        <v/>
      </c>
      <c r="I171" s="26">
        <f>IF(G171="","",IFERROR(VLOOKUP(G171,板块观察!A:Z,20,FALSE),""))</f>
        <v/>
      </c>
      <c r="J171" s="22" t="n"/>
      <c r="K171" s="22" t="n"/>
      <c r="L171" s="22" t="n"/>
      <c r="M171" s="22" t="n"/>
      <c r="N171" s="22" t="n"/>
      <c r="O171" s="22" t="n"/>
      <c r="P171" s="22" t="n"/>
      <c r="Q171" s="28" t="n"/>
      <c r="R171" s="22" t="n"/>
      <c r="S171" s="29" t="n"/>
      <c r="T171" s="29" t="n"/>
      <c r="U171" s="29" t="n"/>
      <c r="V171" s="22" t="n"/>
      <c r="W171" s="22" t="n"/>
      <c r="X171" s="22" t="n"/>
      <c r="Y171" s="22" t="n"/>
      <c r="Z171" s="22" t="n"/>
      <c r="AA171" s="22" t="n"/>
      <c r="AB171" s="22" t="n"/>
      <c r="AC171" s="29" t="n"/>
      <c r="AD171" s="30">
        <f>IF(A171="","",(COUNTA(A171:G171)+COUNTA(J171:AC171))/27)</f>
        <v/>
      </c>
      <c r="AE171" s="26">
        <f>IF(B171="","",WORKDAY(B171,3))</f>
        <v/>
      </c>
      <c r="AF171" s="26">
        <f>IF(B171="","",WORKDAY(B171,5))</f>
        <v/>
      </c>
      <c r="AG171" s="26">
        <f>IF(B171="","",WORKDAY(B171,10))</f>
        <v/>
      </c>
      <c r="AH171" s="26" t="n"/>
    </row>
    <row r="172">
      <c r="A172" s="22" t="n"/>
      <c r="B172" s="22" t="n"/>
      <c r="C172" s="26" t="n"/>
      <c r="D172" s="27" t="n"/>
      <c r="E172" s="22" t="n"/>
      <c r="F172" s="26" t="n"/>
      <c r="G172" s="22" t="n"/>
      <c r="H172" s="26">
        <f>IF(G172="","",IFERROR(VLOOKUP(G172,板块观察!A:Z,19,FALSE),""))</f>
        <v/>
      </c>
      <c r="I172" s="26">
        <f>IF(G172="","",IFERROR(VLOOKUP(G172,板块观察!A:Z,20,FALSE),""))</f>
        <v/>
      </c>
      <c r="J172" s="22" t="n"/>
      <c r="K172" s="22" t="n"/>
      <c r="L172" s="22" t="n"/>
      <c r="M172" s="22" t="n"/>
      <c r="N172" s="22" t="n"/>
      <c r="O172" s="22" t="n"/>
      <c r="P172" s="22" t="n"/>
      <c r="Q172" s="28" t="n"/>
      <c r="R172" s="22" t="n"/>
      <c r="S172" s="29" t="n"/>
      <c r="T172" s="29" t="n"/>
      <c r="U172" s="29" t="n"/>
      <c r="V172" s="22" t="n"/>
      <c r="W172" s="22" t="n"/>
      <c r="X172" s="22" t="n"/>
      <c r="Y172" s="22" t="n"/>
      <c r="Z172" s="22" t="n"/>
      <c r="AA172" s="22" t="n"/>
      <c r="AB172" s="22" t="n"/>
      <c r="AC172" s="29" t="n"/>
      <c r="AD172" s="30">
        <f>IF(A172="","",(COUNTA(A172:G172)+COUNTA(J172:AC172))/27)</f>
        <v/>
      </c>
      <c r="AE172" s="26">
        <f>IF(B172="","",WORKDAY(B172,3))</f>
        <v/>
      </c>
      <c r="AF172" s="26">
        <f>IF(B172="","",WORKDAY(B172,5))</f>
        <v/>
      </c>
      <c r="AG172" s="26">
        <f>IF(B172="","",WORKDAY(B172,10))</f>
        <v/>
      </c>
      <c r="AH172" s="26" t="n"/>
    </row>
    <row r="173">
      <c r="A173" s="22" t="n"/>
      <c r="B173" s="22" t="n"/>
      <c r="C173" s="26" t="n"/>
      <c r="D173" s="27" t="n"/>
      <c r="E173" s="22" t="n"/>
      <c r="F173" s="26" t="n"/>
      <c r="G173" s="22" t="n"/>
      <c r="H173" s="26">
        <f>IF(G173="","",IFERROR(VLOOKUP(G173,板块观察!A:Z,19,FALSE),""))</f>
        <v/>
      </c>
      <c r="I173" s="26">
        <f>IF(G173="","",IFERROR(VLOOKUP(G173,板块观察!A:Z,20,FALSE),""))</f>
        <v/>
      </c>
      <c r="J173" s="22" t="n"/>
      <c r="K173" s="22" t="n"/>
      <c r="L173" s="22" t="n"/>
      <c r="M173" s="22" t="n"/>
      <c r="N173" s="22" t="n"/>
      <c r="O173" s="22" t="n"/>
      <c r="P173" s="22" t="n"/>
      <c r="Q173" s="28" t="n"/>
      <c r="R173" s="22" t="n"/>
      <c r="S173" s="29" t="n"/>
      <c r="T173" s="29" t="n"/>
      <c r="U173" s="29" t="n"/>
      <c r="V173" s="22" t="n"/>
      <c r="W173" s="22" t="n"/>
      <c r="X173" s="22" t="n"/>
      <c r="Y173" s="22" t="n"/>
      <c r="Z173" s="22" t="n"/>
      <c r="AA173" s="22" t="n"/>
      <c r="AB173" s="22" t="n"/>
      <c r="AC173" s="29" t="n"/>
      <c r="AD173" s="30">
        <f>IF(A173="","",(COUNTA(A173:G173)+COUNTA(J173:AC173))/27)</f>
        <v/>
      </c>
      <c r="AE173" s="26">
        <f>IF(B173="","",WORKDAY(B173,3))</f>
        <v/>
      </c>
      <c r="AF173" s="26">
        <f>IF(B173="","",WORKDAY(B173,5))</f>
        <v/>
      </c>
      <c r="AG173" s="26">
        <f>IF(B173="","",WORKDAY(B173,10))</f>
        <v/>
      </c>
      <c r="AH173" s="26" t="n"/>
    </row>
    <row r="174">
      <c r="A174" s="22" t="n"/>
      <c r="B174" s="22" t="n"/>
      <c r="C174" s="26" t="n"/>
      <c r="D174" s="27" t="n"/>
      <c r="E174" s="22" t="n"/>
      <c r="F174" s="26" t="n"/>
      <c r="G174" s="22" t="n"/>
      <c r="H174" s="26">
        <f>IF(G174="","",IFERROR(VLOOKUP(G174,板块观察!A:Z,19,FALSE),""))</f>
        <v/>
      </c>
      <c r="I174" s="26">
        <f>IF(G174="","",IFERROR(VLOOKUP(G174,板块观察!A:Z,20,FALSE),""))</f>
        <v/>
      </c>
      <c r="J174" s="22" t="n"/>
      <c r="K174" s="22" t="n"/>
      <c r="L174" s="22" t="n"/>
      <c r="M174" s="22" t="n"/>
      <c r="N174" s="22" t="n"/>
      <c r="O174" s="22" t="n"/>
      <c r="P174" s="22" t="n"/>
      <c r="Q174" s="28" t="n"/>
      <c r="R174" s="22" t="n"/>
      <c r="S174" s="29" t="n"/>
      <c r="T174" s="29" t="n"/>
      <c r="U174" s="29" t="n"/>
      <c r="V174" s="22" t="n"/>
      <c r="W174" s="22" t="n"/>
      <c r="X174" s="22" t="n"/>
      <c r="Y174" s="22" t="n"/>
      <c r="Z174" s="22" t="n"/>
      <c r="AA174" s="22" t="n"/>
      <c r="AB174" s="22" t="n"/>
      <c r="AC174" s="29" t="n"/>
      <c r="AD174" s="30">
        <f>IF(A174="","",(COUNTA(A174:G174)+COUNTA(J174:AC174))/27)</f>
        <v/>
      </c>
      <c r="AE174" s="26">
        <f>IF(B174="","",WORKDAY(B174,3))</f>
        <v/>
      </c>
      <c r="AF174" s="26">
        <f>IF(B174="","",WORKDAY(B174,5))</f>
        <v/>
      </c>
      <c r="AG174" s="26">
        <f>IF(B174="","",WORKDAY(B174,10))</f>
        <v/>
      </c>
      <c r="AH174" s="26" t="n"/>
    </row>
    <row r="175">
      <c r="A175" s="22" t="n"/>
      <c r="B175" s="22" t="n"/>
      <c r="C175" s="26" t="n"/>
      <c r="D175" s="27" t="n"/>
      <c r="E175" s="22" t="n"/>
      <c r="F175" s="26" t="n"/>
      <c r="G175" s="22" t="n"/>
      <c r="H175" s="26">
        <f>IF(G175="","",IFERROR(VLOOKUP(G175,板块观察!A:Z,19,FALSE),""))</f>
        <v/>
      </c>
      <c r="I175" s="26">
        <f>IF(G175="","",IFERROR(VLOOKUP(G175,板块观察!A:Z,20,FALSE),""))</f>
        <v/>
      </c>
      <c r="J175" s="22" t="n"/>
      <c r="K175" s="22" t="n"/>
      <c r="L175" s="22" t="n"/>
      <c r="M175" s="22" t="n"/>
      <c r="N175" s="22" t="n"/>
      <c r="O175" s="22" t="n"/>
      <c r="P175" s="22" t="n"/>
      <c r="Q175" s="28" t="n"/>
      <c r="R175" s="22" t="n"/>
      <c r="S175" s="29" t="n"/>
      <c r="T175" s="29" t="n"/>
      <c r="U175" s="29" t="n"/>
      <c r="V175" s="22" t="n"/>
      <c r="W175" s="22" t="n"/>
      <c r="X175" s="22" t="n"/>
      <c r="Y175" s="22" t="n"/>
      <c r="Z175" s="22" t="n"/>
      <c r="AA175" s="22" t="n"/>
      <c r="AB175" s="22" t="n"/>
      <c r="AC175" s="29" t="n"/>
      <c r="AD175" s="30">
        <f>IF(A175="","",(COUNTA(A175:G175)+COUNTA(J175:AC175))/27)</f>
        <v/>
      </c>
      <c r="AE175" s="26">
        <f>IF(B175="","",WORKDAY(B175,3))</f>
        <v/>
      </c>
      <c r="AF175" s="26">
        <f>IF(B175="","",WORKDAY(B175,5))</f>
        <v/>
      </c>
      <c r="AG175" s="26">
        <f>IF(B175="","",WORKDAY(B175,10))</f>
        <v/>
      </c>
      <c r="AH175" s="26" t="n"/>
    </row>
    <row r="176">
      <c r="A176" s="22" t="n"/>
      <c r="B176" s="22" t="n"/>
      <c r="C176" s="26" t="n"/>
      <c r="D176" s="27" t="n"/>
      <c r="E176" s="22" t="n"/>
      <c r="F176" s="26" t="n"/>
      <c r="G176" s="22" t="n"/>
      <c r="H176" s="26">
        <f>IF(G176="","",IFERROR(VLOOKUP(G176,板块观察!A:Z,19,FALSE),""))</f>
        <v/>
      </c>
      <c r="I176" s="26">
        <f>IF(G176="","",IFERROR(VLOOKUP(G176,板块观察!A:Z,20,FALSE),""))</f>
        <v/>
      </c>
      <c r="J176" s="22" t="n"/>
      <c r="K176" s="22" t="n"/>
      <c r="L176" s="22" t="n"/>
      <c r="M176" s="22" t="n"/>
      <c r="N176" s="22" t="n"/>
      <c r="O176" s="22" t="n"/>
      <c r="P176" s="22" t="n"/>
      <c r="Q176" s="28" t="n"/>
      <c r="R176" s="22" t="n"/>
      <c r="S176" s="29" t="n"/>
      <c r="T176" s="29" t="n"/>
      <c r="U176" s="29" t="n"/>
      <c r="V176" s="22" t="n"/>
      <c r="W176" s="22" t="n"/>
      <c r="X176" s="22" t="n"/>
      <c r="Y176" s="22" t="n"/>
      <c r="Z176" s="22" t="n"/>
      <c r="AA176" s="22" t="n"/>
      <c r="AB176" s="22" t="n"/>
      <c r="AC176" s="29" t="n"/>
      <c r="AD176" s="30">
        <f>IF(A176="","",(COUNTA(A176:G176)+COUNTA(J176:AC176))/27)</f>
        <v/>
      </c>
      <c r="AE176" s="26">
        <f>IF(B176="","",WORKDAY(B176,3))</f>
        <v/>
      </c>
      <c r="AF176" s="26">
        <f>IF(B176="","",WORKDAY(B176,5))</f>
        <v/>
      </c>
      <c r="AG176" s="26">
        <f>IF(B176="","",WORKDAY(B176,10))</f>
        <v/>
      </c>
      <c r="AH176" s="26" t="n"/>
    </row>
    <row r="177">
      <c r="A177" s="22" t="n"/>
      <c r="B177" s="22" t="n"/>
      <c r="C177" s="26" t="n"/>
      <c r="D177" s="27" t="n"/>
      <c r="E177" s="22" t="n"/>
      <c r="F177" s="26" t="n"/>
      <c r="G177" s="22" t="n"/>
      <c r="H177" s="26">
        <f>IF(G177="","",IFERROR(VLOOKUP(G177,板块观察!A:Z,19,FALSE),""))</f>
        <v/>
      </c>
      <c r="I177" s="26">
        <f>IF(G177="","",IFERROR(VLOOKUP(G177,板块观察!A:Z,20,FALSE),""))</f>
        <v/>
      </c>
      <c r="J177" s="22" t="n"/>
      <c r="K177" s="22" t="n"/>
      <c r="L177" s="22" t="n"/>
      <c r="M177" s="22" t="n"/>
      <c r="N177" s="22" t="n"/>
      <c r="O177" s="22" t="n"/>
      <c r="P177" s="22" t="n"/>
      <c r="Q177" s="28" t="n"/>
      <c r="R177" s="22" t="n"/>
      <c r="S177" s="29" t="n"/>
      <c r="T177" s="29" t="n"/>
      <c r="U177" s="29" t="n"/>
      <c r="V177" s="22" t="n"/>
      <c r="W177" s="22" t="n"/>
      <c r="X177" s="22" t="n"/>
      <c r="Y177" s="22" t="n"/>
      <c r="Z177" s="22" t="n"/>
      <c r="AA177" s="22" t="n"/>
      <c r="AB177" s="22" t="n"/>
      <c r="AC177" s="29" t="n"/>
      <c r="AD177" s="30">
        <f>IF(A177="","",(COUNTA(A177:G177)+COUNTA(J177:AC177))/27)</f>
        <v/>
      </c>
      <c r="AE177" s="26">
        <f>IF(B177="","",WORKDAY(B177,3))</f>
        <v/>
      </c>
      <c r="AF177" s="26">
        <f>IF(B177="","",WORKDAY(B177,5))</f>
        <v/>
      </c>
      <c r="AG177" s="26">
        <f>IF(B177="","",WORKDAY(B177,10))</f>
        <v/>
      </c>
      <c r="AH177" s="26" t="n"/>
    </row>
    <row r="178">
      <c r="A178" s="22" t="n"/>
      <c r="B178" s="22" t="n"/>
      <c r="C178" s="26" t="n"/>
      <c r="D178" s="27" t="n"/>
      <c r="E178" s="22" t="n"/>
      <c r="F178" s="26" t="n"/>
      <c r="G178" s="22" t="n"/>
      <c r="H178" s="26">
        <f>IF(G178="","",IFERROR(VLOOKUP(G178,板块观察!A:Z,19,FALSE),""))</f>
        <v/>
      </c>
      <c r="I178" s="26">
        <f>IF(G178="","",IFERROR(VLOOKUP(G178,板块观察!A:Z,20,FALSE),""))</f>
        <v/>
      </c>
      <c r="J178" s="22" t="n"/>
      <c r="K178" s="22" t="n"/>
      <c r="L178" s="22" t="n"/>
      <c r="M178" s="22" t="n"/>
      <c r="N178" s="22" t="n"/>
      <c r="O178" s="22" t="n"/>
      <c r="P178" s="22" t="n"/>
      <c r="Q178" s="28" t="n"/>
      <c r="R178" s="22" t="n"/>
      <c r="S178" s="29" t="n"/>
      <c r="T178" s="29" t="n"/>
      <c r="U178" s="29" t="n"/>
      <c r="V178" s="22" t="n"/>
      <c r="W178" s="22" t="n"/>
      <c r="X178" s="22" t="n"/>
      <c r="Y178" s="22" t="n"/>
      <c r="Z178" s="22" t="n"/>
      <c r="AA178" s="22" t="n"/>
      <c r="AB178" s="22" t="n"/>
      <c r="AC178" s="29" t="n"/>
      <c r="AD178" s="30">
        <f>IF(A178="","",(COUNTA(A178:G178)+COUNTA(J178:AC178))/27)</f>
        <v/>
      </c>
      <c r="AE178" s="26">
        <f>IF(B178="","",WORKDAY(B178,3))</f>
        <v/>
      </c>
      <c r="AF178" s="26">
        <f>IF(B178="","",WORKDAY(B178,5))</f>
        <v/>
      </c>
      <c r="AG178" s="26">
        <f>IF(B178="","",WORKDAY(B178,10))</f>
        <v/>
      </c>
      <c r="AH178" s="26" t="n"/>
    </row>
    <row r="179">
      <c r="A179" s="22" t="n"/>
      <c r="B179" s="22" t="n"/>
      <c r="C179" s="26" t="n"/>
      <c r="D179" s="27" t="n"/>
      <c r="E179" s="22" t="n"/>
      <c r="F179" s="26" t="n"/>
      <c r="G179" s="22" t="n"/>
      <c r="H179" s="26">
        <f>IF(G179="","",IFERROR(VLOOKUP(G179,板块观察!A:Z,19,FALSE),""))</f>
        <v/>
      </c>
      <c r="I179" s="26">
        <f>IF(G179="","",IFERROR(VLOOKUP(G179,板块观察!A:Z,20,FALSE),""))</f>
        <v/>
      </c>
      <c r="J179" s="22" t="n"/>
      <c r="K179" s="22" t="n"/>
      <c r="L179" s="22" t="n"/>
      <c r="M179" s="22" t="n"/>
      <c r="N179" s="22" t="n"/>
      <c r="O179" s="22" t="n"/>
      <c r="P179" s="22" t="n"/>
      <c r="Q179" s="28" t="n"/>
      <c r="R179" s="22" t="n"/>
      <c r="S179" s="29" t="n"/>
      <c r="T179" s="29" t="n"/>
      <c r="U179" s="29" t="n"/>
      <c r="V179" s="22" t="n"/>
      <c r="W179" s="22" t="n"/>
      <c r="X179" s="22" t="n"/>
      <c r="Y179" s="22" t="n"/>
      <c r="Z179" s="22" t="n"/>
      <c r="AA179" s="22" t="n"/>
      <c r="AB179" s="22" t="n"/>
      <c r="AC179" s="29" t="n"/>
      <c r="AD179" s="30">
        <f>IF(A179="","",(COUNTA(A179:G179)+COUNTA(J179:AC179))/27)</f>
        <v/>
      </c>
      <c r="AE179" s="26">
        <f>IF(B179="","",WORKDAY(B179,3))</f>
        <v/>
      </c>
      <c r="AF179" s="26">
        <f>IF(B179="","",WORKDAY(B179,5))</f>
        <v/>
      </c>
      <c r="AG179" s="26">
        <f>IF(B179="","",WORKDAY(B179,10))</f>
        <v/>
      </c>
      <c r="AH179" s="26" t="n"/>
    </row>
    <row r="180">
      <c r="A180" s="22" t="n"/>
      <c r="B180" s="22" t="n"/>
      <c r="C180" s="26" t="n"/>
      <c r="D180" s="27" t="n"/>
      <c r="E180" s="22" t="n"/>
      <c r="F180" s="26" t="n"/>
      <c r="G180" s="22" t="n"/>
      <c r="H180" s="26">
        <f>IF(G180="","",IFERROR(VLOOKUP(G180,板块观察!A:Z,19,FALSE),""))</f>
        <v/>
      </c>
      <c r="I180" s="26">
        <f>IF(G180="","",IFERROR(VLOOKUP(G180,板块观察!A:Z,20,FALSE),""))</f>
        <v/>
      </c>
      <c r="J180" s="22" t="n"/>
      <c r="K180" s="22" t="n"/>
      <c r="L180" s="22" t="n"/>
      <c r="M180" s="22" t="n"/>
      <c r="N180" s="22" t="n"/>
      <c r="O180" s="22" t="n"/>
      <c r="P180" s="22" t="n"/>
      <c r="Q180" s="28" t="n"/>
      <c r="R180" s="22" t="n"/>
      <c r="S180" s="29" t="n"/>
      <c r="T180" s="29" t="n"/>
      <c r="U180" s="29" t="n"/>
      <c r="V180" s="22" t="n"/>
      <c r="W180" s="22" t="n"/>
      <c r="X180" s="22" t="n"/>
      <c r="Y180" s="22" t="n"/>
      <c r="Z180" s="22" t="n"/>
      <c r="AA180" s="22" t="n"/>
      <c r="AB180" s="22" t="n"/>
      <c r="AC180" s="29" t="n"/>
      <c r="AD180" s="30">
        <f>IF(A180="","",(COUNTA(A180:G180)+COUNTA(J180:AC180))/27)</f>
        <v/>
      </c>
      <c r="AE180" s="26">
        <f>IF(B180="","",WORKDAY(B180,3))</f>
        <v/>
      </c>
      <c r="AF180" s="26">
        <f>IF(B180="","",WORKDAY(B180,5))</f>
        <v/>
      </c>
      <c r="AG180" s="26">
        <f>IF(B180="","",WORKDAY(B180,10))</f>
        <v/>
      </c>
      <c r="AH180" s="26" t="n"/>
    </row>
    <row r="181">
      <c r="A181" s="22" t="n"/>
      <c r="B181" s="22" t="n"/>
      <c r="C181" s="26" t="n"/>
      <c r="D181" s="27" t="n"/>
      <c r="E181" s="22" t="n"/>
      <c r="F181" s="26" t="n"/>
      <c r="G181" s="22" t="n"/>
      <c r="H181" s="26">
        <f>IF(G181="","",IFERROR(VLOOKUP(G181,板块观察!A:Z,19,FALSE),""))</f>
        <v/>
      </c>
      <c r="I181" s="26">
        <f>IF(G181="","",IFERROR(VLOOKUP(G181,板块观察!A:Z,20,FALSE),""))</f>
        <v/>
      </c>
      <c r="J181" s="22" t="n"/>
      <c r="K181" s="22" t="n"/>
      <c r="L181" s="22" t="n"/>
      <c r="M181" s="22" t="n"/>
      <c r="N181" s="22" t="n"/>
      <c r="O181" s="22" t="n"/>
      <c r="P181" s="22" t="n"/>
      <c r="Q181" s="28" t="n"/>
      <c r="R181" s="22" t="n"/>
      <c r="S181" s="29" t="n"/>
      <c r="T181" s="29" t="n"/>
      <c r="U181" s="29" t="n"/>
      <c r="V181" s="22" t="n"/>
      <c r="W181" s="22" t="n"/>
      <c r="X181" s="22" t="n"/>
      <c r="Y181" s="22" t="n"/>
      <c r="Z181" s="22" t="n"/>
      <c r="AA181" s="22" t="n"/>
      <c r="AB181" s="22" t="n"/>
      <c r="AC181" s="29" t="n"/>
      <c r="AD181" s="30">
        <f>IF(A181="","",(COUNTA(A181:G181)+COUNTA(J181:AC181))/27)</f>
        <v/>
      </c>
      <c r="AE181" s="26">
        <f>IF(B181="","",WORKDAY(B181,3))</f>
        <v/>
      </c>
      <c r="AF181" s="26">
        <f>IF(B181="","",WORKDAY(B181,5))</f>
        <v/>
      </c>
      <c r="AG181" s="26">
        <f>IF(B181="","",WORKDAY(B181,10))</f>
        <v/>
      </c>
      <c r="AH181" s="26" t="n"/>
    </row>
    <row r="182">
      <c r="A182" s="22" t="n"/>
      <c r="B182" s="22" t="n"/>
      <c r="C182" s="26" t="n"/>
      <c r="D182" s="27" t="n"/>
      <c r="E182" s="22" t="n"/>
      <c r="F182" s="26" t="n"/>
      <c r="G182" s="22" t="n"/>
      <c r="H182" s="26">
        <f>IF(G182="","",IFERROR(VLOOKUP(G182,板块观察!A:Z,19,FALSE),""))</f>
        <v/>
      </c>
      <c r="I182" s="26">
        <f>IF(G182="","",IFERROR(VLOOKUP(G182,板块观察!A:Z,20,FALSE),""))</f>
        <v/>
      </c>
      <c r="J182" s="22" t="n"/>
      <c r="K182" s="22" t="n"/>
      <c r="L182" s="22" t="n"/>
      <c r="M182" s="22" t="n"/>
      <c r="N182" s="22" t="n"/>
      <c r="O182" s="22" t="n"/>
      <c r="P182" s="22" t="n"/>
      <c r="Q182" s="28" t="n"/>
      <c r="R182" s="22" t="n"/>
      <c r="S182" s="29" t="n"/>
      <c r="T182" s="29" t="n"/>
      <c r="U182" s="29" t="n"/>
      <c r="V182" s="22" t="n"/>
      <c r="W182" s="22" t="n"/>
      <c r="X182" s="22" t="n"/>
      <c r="Y182" s="22" t="n"/>
      <c r="Z182" s="22" t="n"/>
      <c r="AA182" s="22" t="n"/>
      <c r="AB182" s="22" t="n"/>
      <c r="AC182" s="29" t="n"/>
      <c r="AD182" s="30">
        <f>IF(A182="","",(COUNTA(A182:G182)+COUNTA(J182:AC182))/27)</f>
        <v/>
      </c>
      <c r="AE182" s="26">
        <f>IF(B182="","",WORKDAY(B182,3))</f>
        <v/>
      </c>
      <c r="AF182" s="26">
        <f>IF(B182="","",WORKDAY(B182,5))</f>
        <v/>
      </c>
      <c r="AG182" s="26">
        <f>IF(B182="","",WORKDAY(B182,10))</f>
        <v/>
      </c>
      <c r="AH182" s="26" t="n"/>
    </row>
    <row r="183">
      <c r="A183" s="22" t="n"/>
      <c r="B183" s="22" t="n"/>
      <c r="C183" s="26" t="n"/>
      <c r="D183" s="27" t="n"/>
      <c r="E183" s="22" t="n"/>
      <c r="F183" s="26" t="n"/>
      <c r="G183" s="22" t="n"/>
      <c r="H183" s="26">
        <f>IF(G183="","",IFERROR(VLOOKUP(G183,板块观察!A:Z,19,FALSE),""))</f>
        <v/>
      </c>
      <c r="I183" s="26">
        <f>IF(G183="","",IFERROR(VLOOKUP(G183,板块观察!A:Z,20,FALSE),""))</f>
        <v/>
      </c>
      <c r="J183" s="22" t="n"/>
      <c r="K183" s="22" t="n"/>
      <c r="L183" s="22" t="n"/>
      <c r="M183" s="22" t="n"/>
      <c r="N183" s="22" t="n"/>
      <c r="O183" s="22" t="n"/>
      <c r="P183" s="22" t="n"/>
      <c r="Q183" s="28" t="n"/>
      <c r="R183" s="22" t="n"/>
      <c r="S183" s="29" t="n"/>
      <c r="T183" s="29" t="n"/>
      <c r="U183" s="29" t="n"/>
      <c r="V183" s="22" t="n"/>
      <c r="W183" s="22" t="n"/>
      <c r="X183" s="22" t="n"/>
      <c r="Y183" s="22" t="n"/>
      <c r="Z183" s="22" t="n"/>
      <c r="AA183" s="22" t="n"/>
      <c r="AB183" s="22" t="n"/>
      <c r="AC183" s="29" t="n"/>
      <c r="AD183" s="30">
        <f>IF(A183="","",(COUNTA(A183:G183)+COUNTA(J183:AC183))/27)</f>
        <v/>
      </c>
      <c r="AE183" s="26">
        <f>IF(B183="","",WORKDAY(B183,3))</f>
        <v/>
      </c>
      <c r="AF183" s="26">
        <f>IF(B183="","",WORKDAY(B183,5))</f>
        <v/>
      </c>
      <c r="AG183" s="26">
        <f>IF(B183="","",WORKDAY(B183,10))</f>
        <v/>
      </c>
      <c r="AH183" s="26" t="n"/>
    </row>
    <row r="184">
      <c r="A184" s="22" t="n"/>
      <c r="B184" s="22" t="n"/>
      <c r="C184" s="26" t="n"/>
      <c r="D184" s="27" t="n"/>
      <c r="E184" s="22" t="n"/>
      <c r="F184" s="26" t="n"/>
      <c r="G184" s="22" t="n"/>
      <c r="H184" s="26">
        <f>IF(G184="","",IFERROR(VLOOKUP(G184,板块观察!A:Z,19,FALSE),""))</f>
        <v/>
      </c>
      <c r="I184" s="26">
        <f>IF(G184="","",IFERROR(VLOOKUP(G184,板块观察!A:Z,20,FALSE),""))</f>
        <v/>
      </c>
      <c r="J184" s="22" t="n"/>
      <c r="K184" s="22" t="n"/>
      <c r="L184" s="22" t="n"/>
      <c r="M184" s="22" t="n"/>
      <c r="N184" s="22" t="n"/>
      <c r="O184" s="22" t="n"/>
      <c r="P184" s="22" t="n"/>
      <c r="Q184" s="28" t="n"/>
      <c r="R184" s="22" t="n"/>
      <c r="S184" s="29" t="n"/>
      <c r="T184" s="29" t="n"/>
      <c r="U184" s="29" t="n"/>
      <c r="V184" s="22" t="n"/>
      <c r="W184" s="22" t="n"/>
      <c r="X184" s="22" t="n"/>
      <c r="Y184" s="22" t="n"/>
      <c r="Z184" s="22" t="n"/>
      <c r="AA184" s="22" t="n"/>
      <c r="AB184" s="22" t="n"/>
      <c r="AC184" s="29" t="n"/>
      <c r="AD184" s="30">
        <f>IF(A184="","",(COUNTA(A184:G184)+COUNTA(J184:AC184))/27)</f>
        <v/>
      </c>
      <c r="AE184" s="26">
        <f>IF(B184="","",WORKDAY(B184,3))</f>
        <v/>
      </c>
      <c r="AF184" s="26">
        <f>IF(B184="","",WORKDAY(B184,5))</f>
        <v/>
      </c>
      <c r="AG184" s="26">
        <f>IF(B184="","",WORKDAY(B184,10))</f>
        <v/>
      </c>
      <c r="AH184" s="26" t="n"/>
    </row>
    <row r="185">
      <c r="A185" s="22" t="n"/>
      <c r="B185" s="22" t="n"/>
      <c r="C185" s="26" t="n"/>
      <c r="D185" s="27" t="n"/>
      <c r="E185" s="22" t="n"/>
      <c r="F185" s="26" t="n"/>
      <c r="G185" s="22" t="n"/>
      <c r="H185" s="26">
        <f>IF(G185="","",IFERROR(VLOOKUP(G185,板块观察!A:Z,19,FALSE),""))</f>
        <v/>
      </c>
      <c r="I185" s="26">
        <f>IF(G185="","",IFERROR(VLOOKUP(G185,板块观察!A:Z,20,FALSE),""))</f>
        <v/>
      </c>
      <c r="J185" s="22" t="n"/>
      <c r="K185" s="22" t="n"/>
      <c r="L185" s="22" t="n"/>
      <c r="M185" s="22" t="n"/>
      <c r="N185" s="22" t="n"/>
      <c r="O185" s="22" t="n"/>
      <c r="P185" s="22" t="n"/>
      <c r="Q185" s="28" t="n"/>
      <c r="R185" s="22" t="n"/>
      <c r="S185" s="29" t="n"/>
      <c r="T185" s="29" t="n"/>
      <c r="U185" s="29" t="n"/>
      <c r="V185" s="22" t="n"/>
      <c r="W185" s="22" t="n"/>
      <c r="X185" s="22" t="n"/>
      <c r="Y185" s="22" t="n"/>
      <c r="Z185" s="22" t="n"/>
      <c r="AA185" s="22" t="n"/>
      <c r="AB185" s="22" t="n"/>
      <c r="AC185" s="29" t="n"/>
      <c r="AD185" s="30">
        <f>IF(A185="","",(COUNTA(A185:G185)+COUNTA(J185:AC185))/27)</f>
        <v/>
      </c>
      <c r="AE185" s="26">
        <f>IF(B185="","",WORKDAY(B185,3))</f>
        <v/>
      </c>
      <c r="AF185" s="26">
        <f>IF(B185="","",WORKDAY(B185,5))</f>
        <v/>
      </c>
      <c r="AG185" s="26">
        <f>IF(B185="","",WORKDAY(B185,10))</f>
        <v/>
      </c>
      <c r="AH185" s="26" t="n"/>
    </row>
    <row r="186">
      <c r="A186" s="22" t="n"/>
      <c r="B186" s="22" t="n"/>
      <c r="C186" s="26" t="n"/>
      <c r="D186" s="27" t="n"/>
      <c r="E186" s="22" t="n"/>
      <c r="F186" s="26" t="n"/>
      <c r="G186" s="22" t="n"/>
      <c r="H186" s="26">
        <f>IF(G186="","",IFERROR(VLOOKUP(G186,板块观察!A:Z,19,FALSE),""))</f>
        <v/>
      </c>
      <c r="I186" s="26">
        <f>IF(G186="","",IFERROR(VLOOKUP(G186,板块观察!A:Z,20,FALSE),""))</f>
        <v/>
      </c>
      <c r="J186" s="22" t="n"/>
      <c r="K186" s="22" t="n"/>
      <c r="L186" s="22" t="n"/>
      <c r="M186" s="22" t="n"/>
      <c r="N186" s="22" t="n"/>
      <c r="O186" s="22" t="n"/>
      <c r="P186" s="22" t="n"/>
      <c r="Q186" s="28" t="n"/>
      <c r="R186" s="22" t="n"/>
      <c r="S186" s="29" t="n"/>
      <c r="T186" s="29" t="n"/>
      <c r="U186" s="29" t="n"/>
      <c r="V186" s="22" t="n"/>
      <c r="W186" s="22" t="n"/>
      <c r="X186" s="22" t="n"/>
      <c r="Y186" s="22" t="n"/>
      <c r="Z186" s="22" t="n"/>
      <c r="AA186" s="22" t="n"/>
      <c r="AB186" s="22" t="n"/>
      <c r="AC186" s="29" t="n"/>
      <c r="AD186" s="30">
        <f>IF(A186="","",(COUNTA(A186:G186)+COUNTA(J186:AC186))/27)</f>
        <v/>
      </c>
      <c r="AE186" s="26">
        <f>IF(B186="","",WORKDAY(B186,3))</f>
        <v/>
      </c>
      <c r="AF186" s="26">
        <f>IF(B186="","",WORKDAY(B186,5))</f>
        <v/>
      </c>
      <c r="AG186" s="26">
        <f>IF(B186="","",WORKDAY(B186,10))</f>
        <v/>
      </c>
      <c r="AH186" s="26" t="n"/>
    </row>
    <row r="187">
      <c r="A187" s="22" t="n"/>
      <c r="B187" s="22" t="n"/>
      <c r="C187" s="26" t="n"/>
      <c r="D187" s="27" t="n"/>
      <c r="E187" s="22" t="n"/>
      <c r="F187" s="26" t="n"/>
      <c r="G187" s="22" t="n"/>
      <c r="H187" s="26">
        <f>IF(G187="","",IFERROR(VLOOKUP(G187,板块观察!A:Z,19,FALSE),""))</f>
        <v/>
      </c>
      <c r="I187" s="26">
        <f>IF(G187="","",IFERROR(VLOOKUP(G187,板块观察!A:Z,20,FALSE),""))</f>
        <v/>
      </c>
      <c r="J187" s="22" t="n"/>
      <c r="K187" s="22" t="n"/>
      <c r="L187" s="22" t="n"/>
      <c r="M187" s="22" t="n"/>
      <c r="N187" s="22" t="n"/>
      <c r="O187" s="22" t="n"/>
      <c r="P187" s="22" t="n"/>
      <c r="Q187" s="28" t="n"/>
      <c r="R187" s="22" t="n"/>
      <c r="S187" s="29" t="n"/>
      <c r="T187" s="29" t="n"/>
      <c r="U187" s="29" t="n"/>
      <c r="V187" s="22" t="n"/>
      <c r="W187" s="22" t="n"/>
      <c r="X187" s="22" t="n"/>
      <c r="Y187" s="22" t="n"/>
      <c r="Z187" s="22" t="n"/>
      <c r="AA187" s="22" t="n"/>
      <c r="AB187" s="22" t="n"/>
      <c r="AC187" s="29" t="n"/>
      <c r="AD187" s="30">
        <f>IF(A187="","",(COUNTA(A187:G187)+COUNTA(J187:AC187))/27)</f>
        <v/>
      </c>
      <c r="AE187" s="26">
        <f>IF(B187="","",WORKDAY(B187,3))</f>
        <v/>
      </c>
      <c r="AF187" s="26">
        <f>IF(B187="","",WORKDAY(B187,5))</f>
        <v/>
      </c>
      <c r="AG187" s="26">
        <f>IF(B187="","",WORKDAY(B187,10))</f>
        <v/>
      </c>
      <c r="AH187" s="26" t="n"/>
    </row>
    <row r="188">
      <c r="A188" s="22" t="n"/>
      <c r="B188" s="22" t="n"/>
      <c r="C188" s="26" t="n"/>
      <c r="D188" s="27" t="n"/>
      <c r="E188" s="22" t="n"/>
      <c r="F188" s="26" t="n"/>
      <c r="G188" s="22" t="n"/>
      <c r="H188" s="26">
        <f>IF(G188="","",IFERROR(VLOOKUP(G188,板块观察!A:Z,19,FALSE),""))</f>
        <v/>
      </c>
      <c r="I188" s="26">
        <f>IF(G188="","",IFERROR(VLOOKUP(G188,板块观察!A:Z,20,FALSE),""))</f>
        <v/>
      </c>
      <c r="J188" s="22" t="n"/>
      <c r="K188" s="22" t="n"/>
      <c r="L188" s="22" t="n"/>
      <c r="M188" s="22" t="n"/>
      <c r="N188" s="22" t="n"/>
      <c r="O188" s="22" t="n"/>
      <c r="P188" s="22" t="n"/>
      <c r="Q188" s="28" t="n"/>
      <c r="R188" s="22" t="n"/>
      <c r="S188" s="29" t="n"/>
      <c r="T188" s="29" t="n"/>
      <c r="U188" s="29" t="n"/>
      <c r="V188" s="22" t="n"/>
      <c r="W188" s="22" t="n"/>
      <c r="X188" s="22" t="n"/>
      <c r="Y188" s="22" t="n"/>
      <c r="Z188" s="22" t="n"/>
      <c r="AA188" s="22" t="n"/>
      <c r="AB188" s="22" t="n"/>
      <c r="AC188" s="29" t="n"/>
      <c r="AD188" s="30">
        <f>IF(A188="","",(COUNTA(A188:G188)+COUNTA(J188:AC188))/27)</f>
        <v/>
      </c>
      <c r="AE188" s="26">
        <f>IF(B188="","",WORKDAY(B188,3))</f>
        <v/>
      </c>
      <c r="AF188" s="26">
        <f>IF(B188="","",WORKDAY(B188,5))</f>
        <v/>
      </c>
      <c r="AG188" s="26">
        <f>IF(B188="","",WORKDAY(B188,10))</f>
        <v/>
      </c>
      <c r="AH188" s="26" t="n"/>
    </row>
    <row r="189">
      <c r="A189" s="22" t="n"/>
      <c r="B189" s="22" t="n"/>
      <c r="C189" s="26" t="n"/>
      <c r="D189" s="27" t="n"/>
      <c r="E189" s="22" t="n"/>
      <c r="F189" s="26" t="n"/>
      <c r="G189" s="22" t="n"/>
      <c r="H189" s="26">
        <f>IF(G189="","",IFERROR(VLOOKUP(G189,板块观察!A:Z,19,FALSE),""))</f>
        <v/>
      </c>
      <c r="I189" s="26">
        <f>IF(G189="","",IFERROR(VLOOKUP(G189,板块观察!A:Z,20,FALSE),""))</f>
        <v/>
      </c>
      <c r="J189" s="22" t="n"/>
      <c r="K189" s="22" t="n"/>
      <c r="L189" s="22" t="n"/>
      <c r="M189" s="22" t="n"/>
      <c r="N189" s="22" t="n"/>
      <c r="O189" s="22" t="n"/>
      <c r="P189" s="22" t="n"/>
      <c r="Q189" s="28" t="n"/>
      <c r="R189" s="22" t="n"/>
      <c r="S189" s="29" t="n"/>
      <c r="T189" s="29" t="n"/>
      <c r="U189" s="29" t="n"/>
      <c r="V189" s="22" t="n"/>
      <c r="W189" s="22" t="n"/>
      <c r="X189" s="22" t="n"/>
      <c r="Y189" s="22" t="n"/>
      <c r="Z189" s="22" t="n"/>
      <c r="AA189" s="22" t="n"/>
      <c r="AB189" s="22" t="n"/>
      <c r="AC189" s="29" t="n"/>
      <c r="AD189" s="30">
        <f>IF(A189="","",(COUNTA(A189:G189)+COUNTA(J189:AC189))/27)</f>
        <v/>
      </c>
      <c r="AE189" s="26">
        <f>IF(B189="","",WORKDAY(B189,3))</f>
        <v/>
      </c>
      <c r="AF189" s="26">
        <f>IF(B189="","",WORKDAY(B189,5))</f>
        <v/>
      </c>
      <c r="AG189" s="26">
        <f>IF(B189="","",WORKDAY(B189,10))</f>
        <v/>
      </c>
      <c r="AH189" s="26" t="n"/>
    </row>
    <row r="190">
      <c r="A190" s="22" t="n"/>
      <c r="B190" s="22" t="n"/>
      <c r="C190" s="26" t="n"/>
      <c r="D190" s="27" t="n"/>
      <c r="E190" s="22" t="n"/>
      <c r="F190" s="26" t="n"/>
      <c r="G190" s="22" t="n"/>
      <c r="H190" s="26">
        <f>IF(G190="","",IFERROR(VLOOKUP(G190,板块观察!A:Z,19,FALSE),""))</f>
        <v/>
      </c>
      <c r="I190" s="26">
        <f>IF(G190="","",IFERROR(VLOOKUP(G190,板块观察!A:Z,20,FALSE),""))</f>
        <v/>
      </c>
      <c r="J190" s="22" t="n"/>
      <c r="K190" s="22" t="n"/>
      <c r="L190" s="22" t="n"/>
      <c r="M190" s="22" t="n"/>
      <c r="N190" s="22" t="n"/>
      <c r="O190" s="22" t="n"/>
      <c r="P190" s="22" t="n"/>
      <c r="Q190" s="28" t="n"/>
      <c r="R190" s="22" t="n"/>
      <c r="S190" s="29" t="n"/>
      <c r="T190" s="29" t="n"/>
      <c r="U190" s="29" t="n"/>
      <c r="V190" s="22" t="n"/>
      <c r="W190" s="22" t="n"/>
      <c r="X190" s="22" t="n"/>
      <c r="Y190" s="22" t="n"/>
      <c r="Z190" s="22" t="n"/>
      <c r="AA190" s="22" t="n"/>
      <c r="AB190" s="22" t="n"/>
      <c r="AC190" s="29" t="n"/>
      <c r="AD190" s="30">
        <f>IF(A190="","",(COUNTA(A190:G190)+COUNTA(J190:AC190))/27)</f>
        <v/>
      </c>
      <c r="AE190" s="26">
        <f>IF(B190="","",WORKDAY(B190,3))</f>
        <v/>
      </c>
      <c r="AF190" s="26">
        <f>IF(B190="","",WORKDAY(B190,5))</f>
        <v/>
      </c>
      <c r="AG190" s="26">
        <f>IF(B190="","",WORKDAY(B190,10))</f>
        <v/>
      </c>
      <c r="AH190" s="26" t="n"/>
    </row>
    <row r="191">
      <c r="A191" s="22" t="n"/>
      <c r="B191" s="22" t="n"/>
      <c r="C191" s="26" t="n"/>
      <c r="D191" s="27" t="n"/>
      <c r="E191" s="22" t="n"/>
      <c r="F191" s="26" t="n"/>
      <c r="G191" s="22" t="n"/>
      <c r="H191" s="26">
        <f>IF(G191="","",IFERROR(VLOOKUP(G191,板块观察!A:Z,19,FALSE),""))</f>
        <v/>
      </c>
      <c r="I191" s="26">
        <f>IF(G191="","",IFERROR(VLOOKUP(G191,板块观察!A:Z,20,FALSE),""))</f>
        <v/>
      </c>
      <c r="J191" s="22" t="n"/>
      <c r="K191" s="22" t="n"/>
      <c r="L191" s="22" t="n"/>
      <c r="M191" s="22" t="n"/>
      <c r="N191" s="22" t="n"/>
      <c r="O191" s="22" t="n"/>
      <c r="P191" s="22" t="n"/>
      <c r="Q191" s="28" t="n"/>
      <c r="R191" s="22" t="n"/>
      <c r="S191" s="29" t="n"/>
      <c r="T191" s="29" t="n"/>
      <c r="U191" s="29" t="n"/>
      <c r="V191" s="22" t="n"/>
      <c r="W191" s="22" t="n"/>
      <c r="X191" s="22" t="n"/>
      <c r="Y191" s="22" t="n"/>
      <c r="Z191" s="22" t="n"/>
      <c r="AA191" s="22" t="n"/>
      <c r="AB191" s="22" t="n"/>
      <c r="AC191" s="29" t="n"/>
      <c r="AD191" s="30">
        <f>IF(A191="","",(COUNTA(A191:G191)+COUNTA(J191:AC191))/27)</f>
        <v/>
      </c>
      <c r="AE191" s="26">
        <f>IF(B191="","",WORKDAY(B191,3))</f>
        <v/>
      </c>
      <c r="AF191" s="26">
        <f>IF(B191="","",WORKDAY(B191,5))</f>
        <v/>
      </c>
      <c r="AG191" s="26">
        <f>IF(B191="","",WORKDAY(B191,10))</f>
        <v/>
      </c>
      <c r="AH191" s="26" t="n"/>
    </row>
    <row r="192">
      <c r="A192" s="22" t="n"/>
      <c r="B192" s="22" t="n"/>
      <c r="C192" s="26" t="n"/>
      <c r="D192" s="27" t="n"/>
      <c r="E192" s="22" t="n"/>
      <c r="F192" s="26" t="n"/>
      <c r="G192" s="22" t="n"/>
      <c r="H192" s="26">
        <f>IF(G192="","",IFERROR(VLOOKUP(G192,板块观察!A:Z,19,FALSE),""))</f>
        <v/>
      </c>
      <c r="I192" s="26">
        <f>IF(G192="","",IFERROR(VLOOKUP(G192,板块观察!A:Z,20,FALSE),""))</f>
        <v/>
      </c>
      <c r="J192" s="22" t="n"/>
      <c r="K192" s="22" t="n"/>
      <c r="L192" s="22" t="n"/>
      <c r="M192" s="22" t="n"/>
      <c r="N192" s="22" t="n"/>
      <c r="O192" s="22" t="n"/>
      <c r="P192" s="22" t="n"/>
      <c r="Q192" s="28" t="n"/>
      <c r="R192" s="22" t="n"/>
      <c r="S192" s="29" t="n"/>
      <c r="T192" s="29" t="n"/>
      <c r="U192" s="29" t="n"/>
      <c r="V192" s="22" t="n"/>
      <c r="W192" s="22" t="n"/>
      <c r="X192" s="22" t="n"/>
      <c r="Y192" s="22" t="n"/>
      <c r="Z192" s="22" t="n"/>
      <c r="AA192" s="22" t="n"/>
      <c r="AB192" s="22" t="n"/>
      <c r="AC192" s="29" t="n"/>
      <c r="AD192" s="30">
        <f>IF(A192="","",(COUNTA(A192:G192)+COUNTA(J192:AC192))/27)</f>
        <v/>
      </c>
      <c r="AE192" s="26">
        <f>IF(B192="","",WORKDAY(B192,3))</f>
        <v/>
      </c>
      <c r="AF192" s="26">
        <f>IF(B192="","",WORKDAY(B192,5))</f>
        <v/>
      </c>
      <c r="AG192" s="26">
        <f>IF(B192="","",WORKDAY(B192,10))</f>
        <v/>
      </c>
      <c r="AH192" s="26" t="n"/>
    </row>
    <row r="193">
      <c r="A193" s="22" t="n"/>
      <c r="B193" s="22" t="n"/>
      <c r="C193" s="26" t="n"/>
      <c r="D193" s="27" t="n"/>
      <c r="E193" s="22" t="n"/>
      <c r="F193" s="26" t="n"/>
      <c r="G193" s="22" t="n"/>
      <c r="H193" s="26">
        <f>IF(G193="","",IFERROR(VLOOKUP(G193,板块观察!A:Z,19,FALSE),""))</f>
        <v/>
      </c>
      <c r="I193" s="26">
        <f>IF(G193="","",IFERROR(VLOOKUP(G193,板块观察!A:Z,20,FALSE),""))</f>
        <v/>
      </c>
      <c r="J193" s="22" t="n"/>
      <c r="K193" s="22" t="n"/>
      <c r="L193" s="22" t="n"/>
      <c r="M193" s="22" t="n"/>
      <c r="N193" s="22" t="n"/>
      <c r="O193" s="22" t="n"/>
      <c r="P193" s="22" t="n"/>
      <c r="Q193" s="28" t="n"/>
      <c r="R193" s="22" t="n"/>
      <c r="S193" s="29" t="n"/>
      <c r="T193" s="29" t="n"/>
      <c r="U193" s="29" t="n"/>
      <c r="V193" s="22" t="n"/>
      <c r="W193" s="22" t="n"/>
      <c r="X193" s="22" t="n"/>
      <c r="Y193" s="22" t="n"/>
      <c r="Z193" s="22" t="n"/>
      <c r="AA193" s="22" t="n"/>
      <c r="AB193" s="22" t="n"/>
      <c r="AC193" s="29" t="n"/>
      <c r="AD193" s="30">
        <f>IF(A193="","",(COUNTA(A193:G193)+COUNTA(J193:AC193))/27)</f>
        <v/>
      </c>
      <c r="AE193" s="26">
        <f>IF(B193="","",WORKDAY(B193,3))</f>
        <v/>
      </c>
      <c r="AF193" s="26">
        <f>IF(B193="","",WORKDAY(B193,5))</f>
        <v/>
      </c>
      <c r="AG193" s="26">
        <f>IF(B193="","",WORKDAY(B193,10))</f>
        <v/>
      </c>
      <c r="AH193" s="26" t="n"/>
    </row>
    <row r="194">
      <c r="A194" s="22" t="n"/>
      <c r="B194" s="22" t="n"/>
      <c r="C194" s="26" t="n"/>
      <c r="D194" s="27" t="n"/>
      <c r="E194" s="22" t="n"/>
      <c r="F194" s="26" t="n"/>
      <c r="G194" s="22" t="n"/>
      <c r="H194" s="26">
        <f>IF(G194="","",IFERROR(VLOOKUP(G194,板块观察!A:Z,19,FALSE),""))</f>
        <v/>
      </c>
      <c r="I194" s="26">
        <f>IF(G194="","",IFERROR(VLOOKUP(G194,板块观察!A:Z,20,FALSE),""))</f>
        <v/>
      </c>
      <c r="J194" s="22" t="n"/>
      <c r="K194" s="22" t="n"/>
      <c r="L194" s="22" t="n"/>
      <c r="M194" s="22" t="n"/>
      <c r="N194" s="22" t="n"/>
      <c r="O194" s="22" t="n"/>
      <c r="P194" s="22" t="n"/>
      <c r="Q194" s="28" t="n"/>
      <c r="R194" s="22" t="n"/>
      <c r="S194" s="29" t="n"/>
      <c r="T194" s="29" t="n"/>
      <c r="U194" s="29" t="n"/>
      <c r="V194" s="22" t="n"/>
      <c r="W194" s="22" t="n"/>
      <c r="X194" s="22" t="n"/>
      <c r="Y194" s="22" t="n"/>
      <c r="Z194" s="22" t="n"/>
      <c r="AA194" s="22" t="n"/>
      <c r="AB194" s="22" t="n"/>
      <c r="AC194" s="29" t="n"/>
      <c r="AD194" s="30">
        <f>IF(A194="","",(COUNTA(A194:G194)+COUNTA(J194:AC194))/27)</f>
        <v/>
      </c>
      <c r="AE194" s="26">
        <f>IF(B194="","",WORKDAY(B194,3))</f>
        <v/>
      </c>
      <c r="AF194" s="26">
        <f>IF(B194="","",WORKDAY(B194,5))</f>
        <v/>
      </c>
      <c r="AG194" s="26">
        <f>IF(B194="","",WORKDAY(B194,10))</f>
        <v/>
      </c>
      <c r="AH194" s="26" t="n"/>
    </row>
    <row r="195">
      <c r="A195" s="22" t="n"/>
      <c r="B195" s="22" t="n"/>
      <c r="C195" s="26" t="n"/>
      <c r="D195" s="27" t="n"/>
      <c r="E195" s="22" t="n"/>
      <c r="F195" s="26" t="n"/>
      <c r="G195" s="22" t="n"/>
      <c r="H195" s="26">
        <f>IF(G195="","",IFERROR(VLOOKUP(G195,板块观察!A:Z,19,FALSE),""))</f>
        <v/>
      </c>
      <c r="I195" s="26">
        <f>IF(G195="","",IFERROR(VLOOKUP(G195,板块观察!A:Z,20,FALSE),""))</f>
        <v/>
      </c>
      <c r="J195" s="22" t="n"/>
      <c r="K195" s="22" t="n"/>
      <c r="L195" s="22" t="n"/>
      <c r="M195" s="22" t="n"/>
      <c r="N195" s="22" t="n"/>
      <c r="O195" s="22" t="n"/>
      <c r="P195" s="22" t="n"/>
      <c r="Q195" s="28" t="n"/>
      <c r="R195" s="22" t="n"/>
      <c r="S195" s="29" t="n"/>
      <c r="T195" s="29" t="n"/>
      <c r="U195" s="29" t="n"/>
      <c r="V195" s="22" t="n"/>
      <c r="W195" s="22" t="n"/>
      <c r="X195" s="22" t="n"/>
      <c r="Y195" s="22" t="n"/>
      <c r="Z195" s="22" t="n"/>
      <c r="AA195" s="22" t="n"/>
      <c r="AB195" s="22" t="n"/>
      <c r="AC195" s="29" t="n"/>
      <c r="AD195" s="30">
        <f>IF(A195="","",(COUNTA(A195:G195)+COUNTA(J195:AC195))/27)</f>
        <v/>
      </c>
      <c r="AE195" s="26">
        <f>IF(B195="","",WORKDAY(B195,3))</f>
        <v/>
      </c>
      <c r="AF195" s="26">
        <f>IF(B195="","",WORKDAY(B195,5))</f>
        <v/>
      </c>
      <c r="AG195" s="26">
        <f>IF(B195="","",WORKDAY(B195,10))</f>
        <v/>
      </c>
      <c r="AH195" s="26" t="n"/>
    </row>
    <row r="196">
      <c r="A196" s="22" t="n"/>
      <c r="B196" s="22" t="n"/>
      <c r="C196" s="26" t="n"/>
      <c r="D196" s="27" t="n"/>
      <c r="E196" s="22" t="n"/>
      <c r="F196" s="26" t="n"/>
      <c r="G196" s="22" t="n"/>
      <c r="H196" s="26">
        <f>IF(G196="","",IFERROR(VLOOKUP(G196,板块观察!A:Z,19,FALSE),""))</f>
        <v/>
      </c>
      <c r="I196" s="26">
        <f>IF(G196="","",IFERROR(VLOOKUP(G196,板块观察!A:Z,20,FALSE),""))</f>
        <v/>
      </c>
      <c r="J196" s="22" t="n"/>
      <c r="K196" s="22" t="n"/>
      <c r="L196" s="22" t="n"/>
      <c r="M196" s="22" t="n"/>
      <c r="N196" s="22" t="n"/>
      <c r="O196" s="22" t="n"/>
      <c r="P196" s="22" t="n"/>
      <c r="Q196" s="28" t="n"/>
      <c r="R196" s="22" t="n"/>
      <c r="S196" s="29" t="n"/>
      <c r="T196" s="29" t="n"/>
      <c r="U196" s="29" t="n"/>
      <c r="V196" s="22" t="n"/>
      <c r="W196" s="22" t="n"/>
      <c r="X196" s="22" t="n"/>
      <c r="Y196" s="22" t="n"/>
      <c r="Z196" s="22" t="n"/>
      <c r="AA196" s="22" t="n"/>
      <c r="AB196" s="22" t="n"/>
      <c r="AC196" s="29" t="n"/>
      <c r="AD196" s="30">
        <f>IF(A196="","",(COUNTA(A196:G196)+COUNTA(J196:AC196))/27)</f>
        <v/>
      </c>
      <c r="AE196" s="26">
        <f>IF(B196="","",WORKDAY(B196,3))</f>
        <v/>
      </c>
      <c r="AF196" s="26">
        <f>IF(B196="","",WORKDAY(B196,5))</f>
        <v/>
      </c>
      <c r="AG196" s="26">
        <f>IF(B196="","",WORKDAY(B196,10))</f>
        <v/>
      </c>
      <c r="AH196" s="26" t="n"/>
    </row>
    <row r="197">
      <c r="A197" s="22" t="n"/>
      <c r="B197" s="22" t="n"/>
      <c r="C197" s="26" t="n"/>
      <c r="D197" s="27" t="n"/>
      <c r="E197" s="22" t="n"/>
      <c r="F197" s="26" t="n"/>
      <c r="G197" s="22" t="n"/>
      <c r="H197" s="26">
        <f>IF(G197="","",IFERROR(VLOOKUP(G197,板块观察!A:Z,19,FALSE),""))</f>
        <v/>
      </c>
      <c r="I197" s="26">
        <f>IF(G197="","",IFERROR(VLOOKUP(G197,板块观察!A:Z,20,FALSE),""))</f>
        <v/>
      </c>
      <c r="J197" s="22" t="n"/>
      <c r="K197" s="22" t="n"/>
      <c r="L197" s="22" t="n"/>
      <c r="M197" s="22" t="n"/>
      <c r="N197" s="22" t="n"/>
      <c r="O197" s="22" t="n"/>
      <c r="P197" s="22" t="n"/>
      <c r="Q197" s="28" t="n"/>
      <c r="R197" s="22" t="n"/>
      <c r="S197" s="29" t="n"/>
      <c r="T197" s="29" t="n"/>
      <c r="U197" s="29" t="n"/>
      <c r="V197" s="22" t="n"/>
      <c r="W197" s="22" t="n"/>
      <c r="X197" s="22" t="n"/>
      <c r="Y197" s="22" t="n"/>
      <c r="Z197" s="22" t="n"/>
      <c r="AA197" s="22" t="n"/>
      <c r="AB197" s="22" t="n"/>
      <c r="AC197" s="29" t="n"/>
      <c r="AD197" s="30">
        <f>IF(A197="","",(COUNTA(A197:G197)+COUNTA(J197:AC197))/27)</f>
        <v/>
      </c>
      <c r="AE197" s="26">
        <f>IF(B197="","",WORKDAY(B197,3))</f>
        <v/>
      </c>
      <c r="AF197" s="26">
        <f>IF(B197="","",WORKDAY(B197,5))</f>
        <v/>
      </c>
      <c r="AG197" s="26">
        <f>IF(B197="","",WORKDAY(B197,10))</f>
        <v/>
      </c>
      <c r="AH197" s="26" t="n"/>
    </row>
    <row r="198">
      <c r="A198" s="22" t="n"/>
      <c r="B198" s="22" t="n"/>
      <c r="C198" s="26" t="n"/>
      <c r="D198" s="27" t="n"/>
      <c r="E198" s="22" t="n"/>
      <c r="F198" s="26" t="n"/>
      <c r="G198" s="22" t="n"/>
      <c r="H198" s="26">
        <f>IF(G198="","",IFERROR(VLOOKUP(G198,板块观察!A:Z,19,FALSE),""))</f>
        <v/>
      </c>
      <c r="I198" s="26">
        <f>IF(G198="","",IFERROR(VLOOKUP(G198,板块观察!A:Z,20,FALSE),""))</f>
        <v/>
      </c>
      <c r="J198" s="22" t="n"/>
      <c r="K198" s="22" t="n"/>
      <c r="L198" s="22" t="n"/>
      <c r="M198" s="22" t="n"/>
      <c r="N198" s="22" t="n"/>
      <c r="O198" s="22" t="n"/>
      <c r="P198" s="22" t="n"/>
      <c r="Q198" s="28" t="n"/>
      <c r="R198" s="22" t="n"/>
      <c r="S198" s="29" t="n"/>
      <c r="T198" s="29" t="n"/>
      <c r="U198" s="29" t="n"/>
      <c r="V198" s="22" t="n"/>
      <c r="W198" s="22" t="n"/>
      <c r="X198" s="22" t="n"/>
      <c r="Y198" s="22" t="n"/>
      <c r="Z198" s="22" t="n"/>
      <c r="AA198" s="22" t="n"/>
      <c r="AB198" s="22" t="n"/>
      <c r="AC198" s="29" t="n"/>
      <c r="AD198" s="30">
        <f>IF(A198="","",(COUNTA(A198:G198)+COUNTA(J198:AC198))/27)</f>
        <v/>
      </c>
      <c r="AE198" s="26">
        <f>IF(B198="","",WORKDAY(B198,3))</f>
        <v/>
      </c>
      <c r="AF198" s="26">
        <f>IF(B198="","",WORKDAY(B198,5))</f>
        <v/>
      </c>
      <c r="AG198" s="26">
        <f>IF(B198="","",WORKDAY(B198,10))</f>
        <v/>
      </c>
      <c r="AH198" s="26" t="n"/>
    </row>
    <row r="199">
      <c r="A199" s="22" t="n"/>
      <c r="B199" s="22" t="n"/>
      <c r="C199" s="26" t="n"/>
      <c r="D199" s="27" t="n"/>
      <c r="E199" s="22" t="n"/>
      <c r="F199" s="26" t="n"/>
      <c r="G199" s="22" t="n"/>
      <c r="H199" s="26">
        <f>IF(G199="","",IFERROR(VLOOKUP(G199,板块观察!A:Z,19,FALSE),""))</f>
        <v/>
      </c>
      <c r="I199" s="26">
        <f>IF(G199="","",IFERROR(VLOOKUP(G199,板块观察!A:Z,20,FALSE),""))</f>
        <v/>
      </c>
      <c r="J199" s="22" t="n"/>
      <c r="K199" s="22" t="n"/>
      <c r="L199" s="22" t="n"/>
      <c r="M199" s="22" t="n"/>
      <c r="N199" s="22" t="n"/>
      <c r="O199" s="22" t="n"/>
      <c r="P199" s="22" t="n"/>
      <c r="Q199" s="28" t="n"/>
      <c r="R199" s="22" t="n"/>
      <c r="S199" s="29" t="n"/>
      <c r="T199" s="29" t="n"/>
      <c r="U199" s="29" t="n"/>
      <c r="V199" s="22" t="n"/>
      <c r="W199" s="22" t="n"/>
      <c r="X199" s="22" t="n"/>
      <c r="Y199" s="22" t="n"/>
      <c r="Z199" s="22" t="n"/>
      <c r="AA199" s="22" t="n"/>
      <c r="AB199" s="22" t="n"/>
      <c r="AC199" s="29" t="n"/>
      <c r="AD199" s="30">
        <f>IF(A199="","",(COUNTA(A199:G199)+COUNTA(J199:AC199))/27)</f>
        <v/>
      </c>
      <c r="AE199" s="26">
        <f>IF(B199="","",WORKDAY(B199,3))</f>
        <v/>
      </c>
      <c r="AF199" s="26">
        <f>IF(B199="","",WORKDAY(B199,5))</f>
        <v/>
      </c>
      <c r="AG199" s="26">
        <f>IF(B199="","",WORKDAY(B199,10))</f>
        <v/>
      </c>
      <c r="AH199" s="26" t="n"/>
    </row>
    <row r="200">
      <c r="A200" s="22" t="n"/>
      <c r="B200" s="22" t="n"/>
      <c r="C200" s="26" t="n"/>
      <c r="D200" s="27" t="n"/>
      <c r="E200" s="22" t="n"/>
      <c r="F200" s="26" t="n"/>
      <c r="G200" s="22" t="n"/>
      <c r="H200" s="26">
        <f>IF(G200="","",IFERROR(VLOOKUP(G200,板块观察!A:Z,19,FALSE),""))</f>
        <v/>
      </c>
      <c r="I200" s="26">
        <f>IF(G200="","",IFERROR(VLOOKUP(G200,板块观察!A:Z,20,FALSE),""))</f>
        <v/>
      </c>
      <c r="J200" s="22" t="n"/>
      <c r="K200" s="22" t="n"/>
      <c r="L200" s="22" t="n"/>
      <c r="M200" s="22" t="n"/>
      <c r="N200" s="22" t="n"/>
      <c r="O200" s="22" t="n"/>
      <c r="P200" s="22" t="n"/>
      <c r="Q200" s="28" t="n"/>
      <c r="R200" s="22" t="n"/>
      <c r="S200" s="29" t="n"/>
      <c r="T200" s="29" t="n"/>
      <c r="U200" s="29" t="n"/>
      <c r="V200" s="22" t="n"/>
      <c r="W200" s="22" t="n"/>
      <c r="X200" s="22" t="n"/>
      <c r="Y200" s="22" t="n"/>
      <c r="Z200" s="22" t="n"/>
      <c r="AA200" s="22" t="n"/>
      <c r="AB200" s="22" t="n"/>
      <c r="AC200" s="29" t="n"/>
      <c r="AD200" s="30">
        <f>IF(A200="","",(COUNTA(A200:G200)+COUNTA(J200:AC200))/27)</f>
        <v/>
      </c>
      <c r="AE200" s="26">
        <f>IF(B200="","",WORKDAY(B200,3))</f>
        <v/>
      </c>
      <c r="AF200" s="26">
        <f>IF(B200="","",WORKDAY(B200,5))</f>
        <v/>
      </c>
      <c r="AG200" s="26">
        <f>IF(B200="","",WORKDAY(B200,10))</f>
        <v/>
      </c>
      <c r="AH200" s="26" t="n"/>
    </row>
    <row r="201">
      <c r="A201" s="22" t="n"/>
      <c r="B201" s="22" t="n"/>
      <c r="C201" s="26" t="n"/>
      <c r="D201" s="27" t="n"/>
      <c r="E201" s="22" t="n"/>
      <c r="F201" s="26" t="n"/>
      <c r="G201" s="22" t="n"/>
      <c r="H201" s="26">
        <f>IF(G201="","",IFERROR(VLOOKUP(G201,板块观察!A:Z,19,FALSE),""))</f>
        <v/>
      </c>
      <c r="I201" s="26">
        <f>IF(G201="","",IFERROR(VLOOKUP(G201,板块观察!A:Z,20,FALSE),""))</f>
        <v/>
      </c>
      <c r="J201" s="22" t="n"/>
      <c r="K201" s="22" t="n"/>
      <c r="L201" s="22" t="n"/>
      <c r="M201" s="22" t="n"/>
      <c r="N201" s="22" t="n"/>
      <c r="O201" s="22" t="n"/>
      <c r="P201" s="22" t="n"/>
      <c r="Q201" s="28" t="n"/>
      <c r="R201" s="22" t="n"/>
      <c r="S201" s="29" t="n"/>
      <c r="T201" s="29" t="n"/>
      <c r="U201" s="29" t="n"/>
      <c r="V201" s="22" t="n"/>
      <c r="W201" s="22" t="n"/>
      <c r="X201" s="22" t="n"/>
      <c r="Y201" s="22" t="n"/>
      <c r="Z201" s="22" t="n"/>
      <c r="AA201" s="22" t="n"/>
      <c r="AB201" s="22" t="n"/>
      <c r="AC201" s="29" t="n"/>
      <c r="AD201" s="30">
        <f>IF(A201="","",(COUNTA(A201:G201)+COUNTA(J201:AC201))/27)</f>
        <v/>
      </c>
      <c r="AE201" s="26">
        <f>IF(B201="","",WORKDAY(B201,3))</f>
        <v/>
      </c>
      <c r="AF201" s="26">
        <f>IF(B201="","",WORKDAY(B201,5))</f>
        <v/>
      </c>
      <c r="AG201" s="26">
        <f>IF(B201="","",WORKDAY(B201,10))</f>
        <v/>
      </c>
      <c r="AH201" s="26" t="n"/>
    </row>
    <row r="202">
      <c r="A202" s="22" t="n"/>
      <c r="B202" s="22" t="n"/>
      <c r="C202" s="26" t="n"/>
      <c r="D202" s="27" t="n"/>
      <c r="E202" s="22" t="n"/>
      <c r="F202" s="26" t="n"/>
      <c r="G202" s="22" t="n"/>
      <c r="H202" s="26">
        <f>IF(G202="","",IFERROR(VLOOKUP(G202,板块观察!A:Z,19,FALSE),""))</f>
        <v/>
      </c>
      <c r="I202" s="26">
        <f>IF(G202="","",IFERROR(VLOOKUP(G202,板块观察!A:Z,20,FALSE),""))</f>
        <v/>
      </c>
      <c r="J202" s="22" t="n"/>
      <c r="K202" s="22" t="n"/>
      <c r="L202" s="22" t="n"/>
      <c r="M202" s="22" t="n"/>
      <c r="N202" s="22" t="n"/>
      <c r="O202" s="22" t="n"/>
      <c r="P202" s="22" t="n"/>
      <c r="Q202" s="28" t="n"/>
      <c r="R202" s="22" t="n"/>
      <c r="S202" s="29" t="n"/>
      <c r="T202" s="29" t="n"/>
      <c r="U202" s="29" t="n"/>
      <c r="V202" s="22" t="n"/>
      <c r="W202" s="22" t="n"/>
      <c r="X202" s="22" t="n"/>
      <c r="Y202" s="22" t="n"/>
      <c r="Z202" s="22" t="n"/>
      <c r="AA202" s="22" t="n"/>
      <c r="AB202" s="22" t="n"/>
      <c r="AC202" s="29" t="n"/>
      <c r="AD202" s="30">
        <f>IF(A202="","",(COUNTA(A202:G202)+COUNTA(J202:AC202))/27)</f>
        <v/>
      </c>
      <c r="AE202" s="26">
        <f>IF(B202="","",WORKDAY(B202,3))</f>
        <v/>
      </c>
      <c r="AF202" s="26">
        <f>IF(B202="","",WORKDAY(B202,5))</f>
        <v/>
      </c>
      <c r="AG202" s="26">
        <f>IF(B202="","",WORKDAY(B202,10))</f>
        <v/>
      </c>
      <c r="AH202" s="26" t="n"/>
    </row>
    <row r="203">
      <c r="A203" s="22" t="n"/>
      <c r="B203" s="22" t="n"/>
      <c r="C203" s="26" t="n"/>
      <c r="D203" s="27" t="n"/>
      <c r="E203" s="22" t="n"/>
      <c r="F203" s="26" t="n"/>
      <c r="G203" s="22" t="n"/>
      <c r="H203" s="26">
        <f>IF(G203="","",IFERROR(VLOOKUP(G203,板块观察!A:Z,19,FALSE),""))</f>
        <v/>
      </c>
      <c r="I203" s="26">
        <f>IF(G203="","",IFERROR(VLOOKUP(G203,板块观察!A:Z,20,FALSE),""))</f>
        <v/>
      </c>
      <c r="J203" s="22" t="n"/>
      <c r="K203" s="22" t="n"/>
      <c r="L203" s="22" t="n"/>
      <c r="M203" s="22" t="n"/>
      <c r="N203" s="22" t="n"/>
      <c r="O203" s="22" t="n"/>
      <c r="P203" s="22" t="n"/>
      <c r="Q203" s="28" t="n"/>
      <c r="R203" s="22" t="n"/>
      <c r="S203" s="29" t="n"/>
      <c r="T203" s="29" t="n"/>
      <c r="U203" s="29" t="n"/>
      <c r="V203" s="22" t="n"/>
      <c r="W203" s="22" t="n"/>
      <c r="X203" s="22" t="n"/>
      <c r="Y203" s="22" t="n"/>
      <c r="Z203" s="22" t="n"/>
      <c r="AA203" s="22" t="n"/>
      <c r="AB203" s="22" t="n"/>
      <c r="AC203" s="29" t="n"/>
      <c r="AD203" s="30">
        <f>IF(A203="","",(COUNTA(A203:G203)+COUNTA(J203:AC203))/27)</f>
        <v/>
      </c>
      <c r="AE203" s="26">
        <f>IF(B203="","",WORKDAY(B203,3))</f>
        <v/>
      </c>
      <c r="AF203" s="26">
        <f>IF(B203="","",WORKDAY(B203,5))</f>
        <v/>
      </c>
      <c r="AG203" s="26">
        <f>IF(B203="","",WORKDAY(B203,10))</f>
        <v/>
      </c>
      <c r="AH203" s="26" t="n"/>
    </row>
    <row r="204">
      <c r="A204" s="22" t="n"/>
      <c r="B204" s="22" t="n"/>
      <c r="C204" s="26" t="n"/>
      <c r="D204" s="27" t="n"/>
      <c r="E204" s="22" t="n"/>
      <c r="F204" s="26" t="n"/>
      <c r="G204" s="22" t="n"/>
      <c r="H204" s="26">
        <f>IF(G204="","",IFERROR(VLOOKUP(G204,板块观察!A:Z,19,FALSE),""))</f>
        <v/>
      </c>
      <c r="I204" s="26">
        <f>IF(G204="","",IFERROR(VLOOKUP(G204,板块观察!A:Z,20,FALSE),""))</f>
        <v/>
      </c>
      <c r="J204" s="22" t="n"/>
      <c r="K204" s="22" t="n"/>
      <c r="L204" s="22" t="n"/>
      <c r="M204" s="22" t="n"/>
      <c r="N204" s="22" t="n"/>
      <c r="O204" s="22" t="n"/>
      <c r="P204" s="22" t="n"/>
      <c r="Q204" s="28" t="n"/>
      <c r="R204" s="22" t="n"/>
      <c r="S204" s="29" t="n"/>
      <c r="T204" s="29" t="n"/>
      <c r="U204" s="29" t="n"/>
      <c r="V204" s="22" t="n"/>
      <c r="W204" s="22" t="n"/>
      <c r="X204" s="22" t="n"/>
      <c r="Y204" s="22" t="n"/>
      <c r="Z204" s="22" t="n"/>
      <c r="AA204" s="22" t="n"/>
      <c r="AB204" s="22" t="n"/>
      <c r="AC204" s="29" t="n"/>
      <c r="AD204" s="30">
        <f>IF(A204="","",(COUNTA(A204:G204)+COUNTA(J204:AC204))/27)</f>
        <v/>
      </c>
      <c r="AE204" s="26">
        <f>IF(B204="","",WORKDAY(B204,3))</f>
        <v/>
      </c>
      <c r="AF204" s="26">
        <f>IF(B204="","",WORKDAY(B204,5))</f>
        <v/>
      </c>
      <c r="AG204" s="26">
        <f>IF(B204="","",WORKDAY(B204,10))</f>
        <v/>
      </c>
      <c r="AH204" s="26" t="n"/>
    </row>
    <row r="205">
      <c r="A205" s="22" t="n"/>
      <c r="B205" s="22" t="n"/>
      <c r="C205" s="26" t="n"/>
      <c r="D205" s="27" t="n"/>
      <c r="E205" s="22" t="n"/>
      <c r="F205" s="26" t="n"/>
      <c r="G205" s="22" t="n"/>
      <c r="H205" s="26">
        <f>IF(G205="","",IFERROR(VLOOKUP(G205,板块观察!A:Z,19,FALSE),""))</f>
        <v/>
      </c>
      <c r="I205" s="26">
        <f>IF(G205="","",IFERROR(VLOOKUP(G205,板块观察!A:Z,20,FALSE),""))</f>
        <v/>
      </c>
      <c r="J205" s="22" t="n"/>
      <c r="K205" s="22" t="n"/>
      <c r="L205" s="22" t="n"/>
      <c r="M205" s="22" t="n"/>
      <c r="N205" s="22" t="n"/>
      <c r="O205" s="22" t="n"/>
      <c r="P205" s="22" t="n"/>
      <c r="Q205" s="28" t="n"/>
      <c r="R205" s="22" t="n"/>
      <c r="S205" s="29" t="n"/>
      <c r="T205" s="29" t="n"/>
      <c r="U205" s="29" t="n"/>
      <c r="V205" s="22" t="n"/>
      <c r="W205" s="22" t="n"/>
      <c r="X205" s="22" t="n"/>
      <c r="Y205" s="22" t="n"/>
      <c r="Z205" s="22" t="n"/>
      <c r="AA205" s="22" t="n"/>
      <c r="AB205" s="22" t="n"/>
      <c r="AC205" s="29" t="n"/>
      <c r="AD205" s="30">
        <f>IF(A205="","",(COUNTA(A205:G205)+COUNTA(J205:AC205))/27)</f>
        <v/>
      </c>
      <c r="AE205" s="26">
        <f>IF(B205="","",WORKDAY(B205,3))</f>
        <v/>
      </c>
      <c r="AF205" s="26">
        <f>IF(B205="","",WORKDAY(B205,5))</f>
        <v/>
      </c>
      <c r="AG205" s="26">
        <f>IF(B205="","",WORKDAY(B205,10))</f>
        <v/>
      </c>
      <c r="AH205" s="26" t="n"/>
    </row>
    <row r="206">
      <c r="A206" s="22" t="n"/>
      <c r="B206" s="22" t="n"/>
      <c r="C206" s="26" t="n"/>
      <c r="D206" s="27" t="n"/>
      <c r="E206" s="22" t="n"/>
      <c r="F206" s="26" t="n"/>
      <c r="G206" s="22" t="n"/>
      <c r="H206" s="26">
        <f>IF(G206="","",IFERROR(VLOOKUP(G206,板块观察!A:Z,19,FALSE),""))</f>
        <v/>
      </c>
      <c r="I206" s="26">
        <f>IF(G206="","",IFERROR(VLOOKUP(G206,板块观察!A:Z,20,FALSE),""))</f>
        <v/>
      </c>
      <c r="J206" s="22" t="n"/>
      <c r="K206" s="22" t="n"/>
      <c r="L206" s="22" t="n"/>
      <c r="M206" s="22" t="n"/>
      <c r="N206" s="22" t="n"/>
      <c r="O206" s="22" t="n"/>
      <c r="P206" s="22" t="n"/>
      <c r="Q206" s="28" t="n"/>
      <c r="R206" s="22" t="n"/>
      <c r="S206" s="29" t="n"/>
      <c r="T206" s="29" t="n"/>
      <c r="U206" s="29" t="n"/>
      <c r="V206" s="22" t="n"/>
      <c r="W206" s="22" t="n"/>
      <c r="X206" s="22" t="n"/>
      <c r="Y206" s="22" t="n"/>
      <c r="Z206" s="22" t="n"/>
      <c r="AA206" s="22" t="n"/>
      <c r="AB206" s="22" t="n"/>
      <c r="AC206" s="29" t="n"/>
      <c r="AD206" s="30">
        <f>IF(A206="","",(COUNTA(A206:G206)+COUNTA(J206:AC206))/27)</f>
        <v/>
      </c>
      <c r="AE206" s="26">
        <f>IF(B206="","",WORKDAY(B206,3))</f>
        <v/>
      </c>
      <c r="AF206" s="26">
        <f>IF(B206="","",WORKDAY(B206,5))</f>
        <v/>
      </c>
      <c r="AG206" s="26">
        <f>IF(B206="","",WORKDAY(B206,10))</f>
        <v/>
      </c>
      <c r="AH206" s="26" t="n"/>
    </row>
    <row r="207">
      <c r="A207" s="22" t="n"/>
      <c r="B207" s="22" t="n"/>
      <c r="C207" s="26" t="n"/>
      <c r="D207" s="27" t="n"/>
      <c r="E207" s="22" t="n"/>
      <c r="F207" s="26" t="n"/>
      <c r="G207" s="22" t="n"/>
      <c r="H207" s="26">
        <f>IF(G207="","",IFERROR(VLOOKUP(G207,板块观察!A:Z,19,FALSE),""))</f>
        <v/>
      </c>
      <c r="I207" s="26">
        <f>IF(G207="","",IFERROR(VLOOKUP(G207,板块观察!A:Z,20,FALSE),""))</f>
        <v/>
      </c>
      <c r="J207" s="22" t="n"/>
      <c r="K207" s="22" t="n"/>
      <c r="L207" s="22" t="n"/>
      <c r="M207" s="22" t="n"/>
      <c r="N207" s="22" t="n"/>
      <c r="O207" s="22" t="n"/>
      <c r="P207" s="22" t="n"/>
      <c r="Q207" s="28" t="n"/>
      <c r="R207" s="22" t="n"/>
      <c r="S207" s="29" t="n"/>
      <c r="T207" s="29" t="n"/>
      <c r="U207" s="29" t="n"/>
      <c r="V207" s="22" t="n"/>
      <c r="W207" s="22" t="n"/>
      <c r="X207" s="22" t="n"/>
      <c r="Y207" s="22" t="n"/>
      <c r="Z207" s="22" t="n"/>
      <c r="AA207" s="22" t="n"/>
      <c r="AB207" s="22" t="n"/>
      <c r="AC207" s="29" t="n"/>
      <c r="AD207" s="30">
        <f>IF(A207="","",(COUNTA(A207:G207)+COUNTA(J207:AC207))/27)</f>
        <v/>
      </c>
      <c r="AE207" s="26">
        <f>IF(B207="","",WORKDAY(B207,3))</f>
        <v/>
      </c>
      <c r="AF207" s="26">
        <f>IF(B207="","",WORKDAY(B207,5))</f>
        <v/>
      </c>
      <c r="AG207" s="26">
        <f>IF(B207="","",WORKDAY(B207,10))</f>
        <v/>
      </c>
      <c r="AH207" s="26" t="n"/>
    </row>
    <row r="208">
      <c r="A208" s="22" t="n"/>
      <c r="B208" s="22" t="n"/>
      <c r="C208" s="26" t="n"/>
      <c r="D208" s="27" t="n"/>
      <c r="E208" s="22" t="n"/>
      <c r="F208" s="26" t="n"/>
      <c r="G208" s="22" t="n"/>
      <c r="H208" s="26">
        <f>IF(G208="","",IFERROR(VLOOKUP(G208,板块观察!A:Z,19,FALSE),""))</f>
        <v/>
      </c>
      <c r="I208" s="26">
        <f>IF(G208="","",IFERROR(VLOOKUP(G208,板块观察!A:Z,20,FALSE),""))</f>
        <v/>
      </c>
      <c r="J208" s="22" t="n"/>
      <c r="K208" s="22" t="n"/>
      <c r="L208" s="22" t="n"/>
      <c r="M208" s="22" t="n"/>
      <c r="N208" s="22" t="n"/>
      <c r="O208" s="22" t="n"/>
      <c r="P208" s="22" t="n"/>
      <c r="Q208" s="28" t="n"/>
      <c r="R208" s="22" t="n"/>
      <c r="S208" s="29" t="n"/>
      <c r="T208" s="29" t="n"/>
      <c r="U208" s="29" t="n"/>
      <c r="V208" s="22" t="n"/>
      <c r="W208" s="22" t="n"/>
      <c r="X208" s="22" t="n"/>
      <c r="Y208" s="22" t="n"/>
      <c r="Z208" s="22" t="n"/>
      <c r="AA208" s="22" t="n"/>
      <c r="AB208" s="22" t="n"/>
      <c r="AC208" s="29" t="n"/>
      <c r="AD208" s="30">
        <f>IF(A208="","",(COUNTA(A208:G208)+COUNTA(J208:AC208))/27)</f>
        <v/>
      </c>
      <c r="AE208" s="26">
        <f>IF(B208="","",WORKDAY(B208,3))</f>
        <v/>
      </c>
      <c r="AF208" s="26">
        <f>IF(B208="","",WORKDAY(B208,5))</f>
        <v/>
      </c>
      <c r="AG208" s="26">
        <f>IF(B208="","",WORKDAY(B208,10))</f>
        <v/>
      </c>
      <c r="AH208" s="26" t="n"/>
    </row>
    <row r="209">
      <c r="A209" s="22" t="n"/>
      <c r="B209" s="22" t="n"/>
      <c r="C209" s="26" t="n"/>
      <c r="D209" s="27" t="n"/>
      <c r="E209" s="22" t="n"/>
      <c r="F209" s="26" t="n"/>
      <c r="G209" s="22" t="n"/>
      <c r="H209" s="26">
        <f>IF(G209="","",IFERROR(VLOOKUP(G209,板块观察!A:Z,19,FALSE),""))</f>
        <v/>
      </c>
      <c r="I209" s="26">
        <f>IF(G209="","",IFERROR(VLOOKUP(G209,板块观察!A:Z,20,FALSE),""))</f>
        <v/>
      </c>
      <c r="J209" s="22" t="n"/>
      <c r="K209" s="22" t="n"/>
      <c r="L209" s="22" t="n"/>
      <c r="M209" s="22" t="n"/>
      <c r="N209" s="22" t="n"/>
      <c r="O209" s="22" t="n"/>
      <c r="P209" s="22" t="n"/>
      <c r="Q209" s="28" t="n"/>
      <c r="R209" s="22" t="n"/>
      <c r="S209" s="29" t="n"/>
      <c r="T209" s="29" t="n"/>
      <c r="U209" s="29" t="n"/>
      <c r="V209" s="22" t="n"/>
      <c r="W209" s="22" t="n"/>
      <c r="X209" s="22" t="n"/>
      <c r="Y209" s="22" t="n"/>
      <c r="Z209" s="22" t="n"/>
      <c r="AA209" s="22" t="n"/>
      <c r="AB209" s="22" t="n"/>
      <c r="AC209" s="29" t="n"/>
      <c r="AD209" s="30">
        <f>IF(A209="","",(COUNTA(A209:G209)+COUNTA(J209:AC209))/27)</f>
        <v/>
      </c>
      <c r="AE209" s="26">
        <f>IF(B209="","",WORKDAY(B209,3))</f>
        <v/>
      </c>
      <c r="AF209" s="26">
        <f>IF(B209="","",WORKDAY(B209,5))</f>
        <v/>
      </c>
      <c r="AG209" s="26">
        <f>IF(B209="","",WORKDAY(B209,10))</f>
        <v/>
      </c>
      <c r="AH209" s="26" t="n"/>
    </row>
    <row r="210">
      <c r="A210" s="22" t="n"/>
      <c r="B210" s="22" t="n"/>
      <c r="C210" s="26" t="n"/>
      <c r="D210" s="27" t="n"/>
      <c r="E210" s="22" t="n"/>
      <c r="F210" s="26" t="n"/>
      <c r="G210" s="22" t="n"/>
      <c r="H210" s="26">
        <f>IF(G210="","",IFERROR(VLOOKUP(G210,板块观察!A:Z,19,FALSE),""))</f>
        <v/>
      </c>
      <c r="I210" s="26">
        <f>IF(G210="","",IFERROR(VLOOKUP(G210,板块观察!A:Z,20,FALSE),""))</f>
        <v/>
      </c>
      <c r="J210" s="22" t="n"/>
      <c r="K210" s="22" t="n"/>
      <c r="L210" s="22" t="n"/>
      <c r="M210" s="22" t="n"/>
      <c r="N210" s="22" t="n"/>
      <c r="O210" s="22" t="n"/>
      <c r="P210" s="22" t="n"/>
      <c r="Q210" s="28" t="n"/>
      <c r="R210" s="22" t="n"/>
      <c r="S210" s="29" t="n"/>
      <c r="T210" s="29" t="n"/>
      <c r="U210" s="29" t="n"/>
      <c r="V210" s="22" t="n"/>
      <c r="W210" s="22" t="n"/>
      <c r="X210" s="22" t="n"/>
      <c r="Y210" s="22" t="n"/>
      <c r="Z210" s="22" t="n"/>
      <c r="AA210" s="22" t="n"/>
      <c r="AB210" s="22" t="n"/>
      <c r="AC210" s="29" t="n"/>
      <c r="AD210" s="30">
        <f>IF(A210="","",(COUNTA(A210:G210)+COUNTA(J210:AC210))/27)</f>
        <v/>
      </c>
      <c r="AE210" s="26">
        <f>IF(B210="","",WORKDAY(B210,3))</f>
        <v/>
      </c>
      <c r="AF210" s="26">
        <f>IF(B210="","",WORKDAY(B210,5))</f>
        <v/>
      </c>
      <c r="AG210" s="26">
        <f>IF(B210="","",WORKDAY(B210,10))</f>
        <v/>
      </c>
      <c r="AH210" s="26" t="n"/>
    </row>
    <row r="211">
      <c r="A211" s="22" t="n"/>
      <c r="B211" s="22" t="n"/>
      <c r="C211" s="26" t="n"/>
      <c r="D211" s="27" t="n"/>
      <c r="E211" s="22" t="n"/>
      <c r="F211" s="26" t="n"/>
      <c r="G211" s="22" t="n"/>
      <c r="H211" s="26">
        <f>IF(G211="","",IFERROR(VLOOKUP(G211,板块观察!A:Z,19,FALSE),""))</f>
        <v/>
      </c>
      <c r="I211" s="26">
        <f>IF(G211="","",IFERROR(VLOOKUP(G211,板块观察!A:Z,20,FALSE),""))</f>
        <v/>
      </c>
      <c r="J211" s="22" t="n"/>
      <c r="K211" s="22" t="n"/>
      <c r="L211" s="22" t="n"/>
      <c r="M211" s="22" t="n"/>
      <c r="N211" s="22" t="n"/>
      <c r="O211" s="22" t="n"/>
      <c r="P211" s="22" t="n"/>
      <c r="Q211" s="28" t="n"/>
      <c r="R211" s="22" t="n"/>
      <c r="S211" s="29" t="n"/>
      <c r="T211" s="29" t="n"/>
      <c r="U211" s="29" t="n"/>
      <c r="V211" s="22" t="n"/>
      <c r="W211" s="22" t="n"/>
      <c r="X211" s="22" t="n"/>
      <c r="Y211" s="22" t="n"/>
      <c r="Z211" s="22" t="n"/>
      <c r="AA211" s="22" t="n"/>
      <c r="AB211" s="22" t="n"/>
      <c r="AC211" s="29" t="n"/>
      <c r="AD211" s="30">
        <f>IF(A211="","",(COUNTA(A211:G211)+COUNTA(J211:AC211))/27)</f>
        <v/>
      </c>
      <c r="AE211" s="26">
        <f>IF(B211="","",WORKDAY(B211,3))</f>
        <v/>
      </c>
      <c r="AF211" s="26">
        <f>IF(B211="","",WORKDAY(B211,5))</f>
        <v/>
      </c>
      <c r="AG211" s="26">
        <f>IF(B211="","",WORKDAY(B211,10))</f>
        <v/>
      </c>
      <c r="AH211" s="26" t="n"/>
    </row>
    <row r="212">
      <c r="A212" s="22" t="n"/>
      <c r="B212" s="22" t="n"/>
      <c r="C212" s="26" t="n"/>
      <c r="D212" s="27" t="n"/>
      <c r="E212" s="22" t="n"/>
      <c r="F212" s="26" t="n"/>
      <c r="G212" s="22" t="n"/>
      <c r="H212" s="26">
        <f>IF(G212="","",IFERROR(VLOOKUP(G212,板块观察!A:Z,19,FALSE),""))</f>
        <v/>
      </c>
      <c r="I212" s="26">
        <f>IF(G212="","",IFERROR(VLOOKUP(G212,板块观察!A:Z,20,FALSE),""))</f>
        <v/>
      </c>
      <c r="J212" s="22" t="n"/>
      <c r="K212" s="22" t="n"/>
      <c r="L212" s="22" t="n"/>
      <c r="M212" s="22" t="n"/>
      <c r="N212" s="22" t="n"/>
      <c r="O212" s="22" t="n"/>
      <c r="P212" s="22" t="n"/>
      <c r="Q212" s="28" t="n"/>
      <c r="R212" s="22" t="n"/>
      <c r="S212" s="29" t="n"/>
      <c r="T212" s="29" t="n"/>
      <c r="U212" s="29" t="n"/>
      <c r="V212" s="22" t="n"/>
      <c r="W212" s="22" t="n"/>
      <c r="X212" s="22" t="n"/>
      <c r="Y212" s="22" t="n"/>
      <c r="Z212" s="22" t="n"/>
      <c r="AA212" s="22" t="n"/>
      <c r="AB212" s="22" t="n"/>
      <c r="AC212" s="29" t="n"/>
      <c r="AD212" s="30">
        <f>IF(A212="","",(COUNTA(A212:G212)+COUNTA(J212:AC212))/27)</f>
        <v/>
      </c>
      <c r="AE212" s="26">
        <f>IF(B212="","",WORKDAY(B212,3))</f>
        <v/>
      </c>
      <c r="AF212" s="26">
        <f>IF(B212="","",WORKDAY(B212,5))</f>
        <v/>
      </c>
      <c r="AG212" s="26">
        <f>IF(B212="","",WORKDAY(B212,10))</f>
        <v/>
      </c>
      <c r="AH212" s="26" t="n"/>
    </row>
    <row r="213">
      <c r="A213" s="22" t="n"/>
      <c r="B213" s="22" t="n"/>
      <c r="C213" s="26" t="n"/>
      <c r="D213" s="27" t="n"/>
      <c r="E213" s="22" t="n"/>
      <c r="F213" s="26" t="n"/>
      <c r="G213" s="22" t="n"/>
      <c r="H213" s="26">
        <f>IF(G213="","",IFERROR(VLOOKUP(G213,板块观察!A:Z,19,FALSE),""))</f>
        <v/>
      </c>
      <c r="I213" s="26">
        <f>IF(G213="","",IFERROR(VLOOKUP(G213,板块观察!A:Z,20,FALSE),""))</f>
        <v/>
      </c>
      <c r="J213" s="22" t="n"/>
      <c r="K213" s="22" t="n"/>
      <c r="L213" s="22" t="n"/>
      <c r="M213" s="22" t="n"/>
      <c r="N213" s="22" t="n"/>
      <c r="O213" s="22" t="n"/>
      <c r="P213" s="22" t="n"/>
      <c r="Q213" s="28" t="n"/>
      <c r="R213" s="22" t="n"/>
      <c r="S213" s="29" t="n"/>
      <c r="T213" s="29" t="n"/>
      <c r="U213" s="29" t="n"/>
      <c r="V213" s="22" t="n"/>
      <c r="W213" s="22" t="n"/>
      <c r="X213" s="22" t="n"/>
      <c r="Y213" s="22" t="n"/>
      <c r="Z213" s="22" t="n"/>
      <c r="AA213" s="22" t="n"/>
      <c r="AB213" s="22" t="n"/>
      <c r="AC213" s="29" t="n"/>
      <c r="AD213" s="30">
        <f>IF(A213="","",(COUNTA(A213:G213)+COUNTA(J213:AC213))/27)</f>
        <v/>
      </c>
      <c r="AE213" s="26">
        <f>IF(B213="","",WORKDAY(B213,3))</f>
        <v/>
      </c>
      <c r="AF213" s="26">
        <f>IF(B213="","",WORKDAY(B213,5))</f>
        <v/>
      </c>
      <c r="AG213" s="26">
        <f>IF(B213="","",WORKDAY(B213,10))</f>
        <v/>
      </c>
      <c r="AH213" s="26" t="n"/>
    </row>
    <row r="214">
      <c r="A214" s="22" t="n"/>
      <c r="B214" s="22" t="n"/>
      <c r="C214" s="26" t="n"/>
      <c r="D214" s="27" t="n"/>
      <c r="E214" s="22" t="n"/>
      <c r="F214" s="26" t="n"/>
      <c r="G214" s="22" t="n"/>
      <c r="H214" s="26">
        <f>IF(G214="","",IFERROR(VLOOKUP(G214,板块观察!A:Z,19,FALSE),""))</f>
        <v/>
      </c>
      <c r="I214" s="26">
        <f>IF(G214="","",IFERROR(VLOOKUP(G214,板块观察!A:Z,20,FALSE),""))</f>
        <v/>
      </c>
      <c r="J214" s="22" t="n"/>
      <c r="K214" s="22" t="n"/>
      <c r="L214" s="22" t="n"/>
      <c r="M214" s="22" t="n"/>
      <c r="N214" s="22" t="n"/>
      <c r="O214" s="22" t="n"/>
      <c r="P214" s="22" t="n"/>
      <c r="Q214" s="28" t="n"/>
      <c r="R214" s="22" t="n"/>
      <c r="S214" s="29" t="n"/>
      <c r="T214" s="29" t="n"/>
      <c r="U214" s="29" t="n"/>
      <c r="V214" s="22" t="n"/>
      <c r="W214" s="22" t="n"/>
      <c r="X214" s="22" t="n"/>
      <c r="Y214" s="22" t="n"/>
      <c r="Z214" s="22" t="n"/>
      <c r="AA214" s="22" t="n"/>
      <c r="AB214" s="22" t="n"/>
      <c r="AC214" s="29" t="n"/>
      <c r="AD214" s="30">
        <f>IF(A214="","",(COUNTA(A214:G214)+COUNTA(J214:AC214))/27)</f>
        <v/>
      </c>
      <c r="AE214" s="26">
        <f>IF(B214="","",WORKDAY(B214,3))</f>
        <v/>
      </c>
      <c r="AF214" s="26">
        <f>IF(B214="","",WORKDAY(B214,5))</f>
        <v/>
      </c>
      <c r="AG214" s="26">
        <f>IF(B214="","",WORKDAY(B214,10))</f>
        <v/>
      </c>
      <c r="AH214" s="26" t="n"/>
    </row>
    <row r="215">
      <c r="A215" s="22" t="n"/>
      <c r="B215" s="22" t="n"/>
      <c r="C215" s="26" t="n"/>
      <c r="D215" s="27" t="n"/>
      <c r="E215" s="22" t="n"/>
      <c r="F215" s="26" t="n"/>
      <c r="G215" s="22" t="n"/>
      <c r="H215" s="26">
        <f>IF(G215="","",IFERROR(VLOOKUP(G215,板块观察!A:Z,19,FALSE),""))</f>
        <v/>
      </c>
      <c r="I215" s="26">
        <f>IF(G215="","",IFERROR(VLOOKUP(G215,板块观察!A:Z,20,FALSE),""))</f>
        <v/>
      </c>
      <c r="J215" s="22" t="n"/>
      <c r="K215" s="22" t="n"/>
      <c r="L215" s="22" t="n"/>
      <c r="M215" s="22" t="n"/>
      <c r="N215" s="22" t="n"/>
      <c r="O215" s="22" t="n"/>
      <c r="P215" s="22" t="n"/>
      <c r="Q215" s="28" t="n"/>
      <c r="R215" s="22" t="n"/>
      <c r="S215" s="29" t="n"/>
      <c r="T215" s="29" t="n"/>
      <c r="U215" s="29" t="n"/>
      <c r="V215" s="22" t="n"/>
      <c r="W215" s="22" t="n"/>
      <c r="X215" s="22" t="n"/>
      <c r="Y215" s="22" t="n"/>
      <c r="Z215" s="22" t="n"/>
      <c r="AA215" s="22" t="n"/>
      <c r="AB215" s="22" t="n"/>
      <c r="AC215" s="29" t="n"/>
      <c r="AD215" s="30">
        <f>IF(A215="","",(COUNTA(A215:G215)+COUNTA(J215:AC215))/27)</f>
        <v/>
      </c>
      <c r="AE215" s="26">
        <f>IF(B215="","",WORKDAY(B215,3))</f>
        <v/>
      </c>
      <c r="AF215" s="26">
        <f>IF(B215="","",WORKDAY(B215,5))</f>
        <v/>
      </c>
      <c r="AG215" s="26">
        <f>IF(B215="","",WORKDAY(B215,10))</f>
        <v/>
      </c>
      <c r="AH215" s="26" t="n"/>
    </row>
    <row r="216">
      <c r="A216" s="22" t="n"/>
      <c r="B216" s="22" t="n"/>
      <c r="C216" s="26" t="n"/>
      <c r="D216" s="27" t="n"/>
      <c r="E216" s="22" t="n"/>
      <c r="F216" s="26" t="n"/>
      <c r="G216" s="22" t="n"/>
      <c r="H216" s="26">
        <f>IF(G216="","",IFERROR(VLOOKUP(G216,板块观察!A:Z,19,FALSE),""))</f>
        <v/>
      </c>
      <c r="I216" s="26">
        <f>IF(G216="","",IFERROR(VLOOKUP(G216,板块观察!A:Z,20,FALSE),""))</f>
        <v/>
      </c>
      <c r="J216" s="22" t="n"/>
      <c r="K216" s="22" t="n"/>
      <c r="L216" s="22" t="n"/>
      <c r="M216" s="22" t="n"/>
      <c r="N216" s="22" t="n"/>
      <c r="O216" s="22" t="n"/>
      <c r="P216" s="22" t="n"/>
      <c r="Q216" s="28" t="n"/>
      <c r="R216" s="22" t="n"/>
      <c r="S216" s="29" t="n"/>
      <c r="T216" s="29" t="n"/>
      <c r="U216" s="29" t="n"/>
      <c r="V216" s="22" t="n"/>
      <c r="W216" s="22" t="n"/>
      <c r="X216" s="22" t="n"/>
      <c r="Y216" s="22" t="n"/>
      <c r="Z216" s="22" t="n"/>
      <c r="AA216" s="22" t="n"/>
      <c r="AB216" s="22" t="n"/>
      <c r="AC216" s="29" t="n"/>
      <c r="AD216" s="30">
        <f>IF(A216="","",(COUNTA(A216:G216)+COUNTA(J216:AC216))/27)</f>
        <v/>
      </c>
      <c r="AE216" s="26">
        <f>IF(B216="","",WORKDAY(B216,3))</f>
        <v/>
      </c>
      <c r="AF216" s="26">
        <f>IF(B216="","",WORKDAY(B216,5))</f>
        <v/>
      </c>
      <c r="AG216" s="26">
        <f>IF(B216="","",WORKDAY(B216,10))</f>
        <v/>
      </c>
      <c r="AH216" s="26" t="n"/>
    </row>
    <row r="217">
      <c r="A217" s="22" t="n"/>
      <c r="B217" s="22" t="n"/>
      <c r="C217" s="26" t="n"/>
      <c r="D217" s="27" t="n"/>
      <c r="E217" s="22" t="n"/>
      <c r="F217" s="26" t="n"/>
      <c r="G217" s="22" t="n"/>
      <c r="H217" s="26">
        <f>IF(G217="","",IFERROR(VLOOKUP(G217,板块观察!A:Z,19,FALSE),""))</f>
        <v/>
      </c>
      <c r="I217" s="26">
        <f>IF(G217="","",IFERROR(VLOOKUP(G217,板块观察!A:Z,20,FALSE),""))</f>
        <v/>
      </c>
      <c r="J217" s="22" t="n"/>
      <c r="K217" s="22" t="n"/>
      <c r="L217" s="22" t="n"/>
      <c r="M217" s="22" t="n"/>
      <c r="N217" s="22" t="n"/>
      <c r="O217" s="22" t="n"/>
      <c r="P217" s="22" t="n"/>
      <c r="Q217" s="28" t="n"/>
      <c r="R217" s="22" t="n"/>
      <c r="S217" s="29" t="n"/>
      <c r="T217" s="29" t="n"/>
      <c r="U217" s="29" t="n"/>
      <c r="V217" s="22" t="n"/>
      <c r="W217" s="22" t="n"/>
      <c r="X217" s="22" t="n"/>
      <c r="Y217" s="22" t="n"/>
      <c r="Z217" s="22" t="n"/>
      <c r="AA217" s="22" t="n"/>
      <c r="AB217" s="22" t="n"/>
      <c r="AC217" s="29" t="n"/>
      <c r="AD217" s="30">
        <f>IF(A217="","",(COUNTA(A217:G217)+COUNTA(J217:AC217))/27)</f>
        <v/>
      </c>
      <c r="AE217" s="26">
        <f>IF(B217="","",WORKDAY(B217,3))</f>
        <v/>
      </c>
      <c r="AF217" s="26">
        <f>IF(B217="","",WORKDAY(B217,5))</f>
        <v/>
      </c>
      <c r="AG217" s="26">
        <f>IF(B217="","",WORKDAY(B217,10))</f>
        <v/>
      </c>
      <c r="AH217" s="26" t="n"/>
    </row>
    <row r="218">
      <c r="A218" s="22" t="n"/>
      <c r="B218" s="22" t="n"/>
      <c r="C218" s="26" t="n"/>
      <c r="D218" s="27" t="n"/>
      <c r="E218" s="22" t="n"/>
      <c r="F218" s="26" t="n"/>
      <c r="G218" s="22" t="n"/>
      <c r="H218" s="26">
        <f>IF(G218="","",IFERROR(VLOOKUP(G218,板块观察!A:Z,19,FALSE),""))</f>
        <v/>
      </c>
      <c r="I218" s="26">
        <f>IF(G218="","",IFERROR(VLOOKUP(G218,板块观察!A:Z,20,FALSE),""))</f>
        <v/>
      </c>
      <c r="J218" s="22" t="n"/>
      <c r="K218" s="22" t="n"/>
      <c r="L218" s="22" t="n"/>
      <c r="M218" s="22" t="n"/>
      <c r="N218" s="22" t="n"/>
      <c r="O218" s="22" t="n"/>
      <c r="P218" s="22" t="n"/>
      <c r="Q218" s="28" t="n"/>
      <c r="R218" s="22" t="n"/>
      <c r="S218" s="29" t="n"/>
      <c r="T218" s="29" t="n"/>
      <c r="U218" s="29" t="n"/>
      <c r="V218" s="22" t="n"/>
      <c r="W218" s="22" t="n"/>
      <c r="X218" s="22" t="n"/>
      <c r="Y218" s="22" t="n"/>
      <c r="Z218" s="22" t="n"/>
      <c r="AA218" s="22" t="n"/>
      <c r="AB218" s="22" t="n"/>
      <c r="AC218" s="29" t="n"/>
      <c r="AD218" s="30">
        <f>IF(A218="","",(COUNTA(A218:G218)+COUNTA(J218:AC218))/27)</f>
        <v/>
      </c>
      <c r="AE218" s="26">
        <f>IF(B218="","",WORKDAY(B218,3))</f>
        <v/>
      </c>
      <c r="AF218" s="26">
        <f>IF(B218="","",WORKDAY(B218,5))</f>
        <v/>
      </c>
      <c r="AG218" s="26">
        <f>IF(B218="","",WORKDAY(B218,10))</f>
        <v/>
      </c>
      <c r="AH218" s="26" t="n"/>
    </row>
    <row r="219">
      <c r="A219" s="22" t="n"/>
      <c r="B219" s="22" t="n"/>
      <c r="C219" s="26" t="n"/>
      <c r="D219" s="27" t="n"/>
      <c r="E219" s="22" t="n"/>
      <c r="F219" s="26" t="n"/>
      <c r="G219" s="22" t="n"/>
      <c r="H219" s="26">
        <f>IF(G219="","",IFERROR(VLOOKUP(G219,板块观察!A:Z,19,FALSE),""))</f>
        <v/>
      </c>
      <c r="I219" s="26">
        <f>IF(G219="","",IFERROR(VLOOKUP(G219,板块观察!A:Z,20,FALSE),""))</f>
        <v/>
      </c>
      <c r="J219" s="22" t="n"/>
      <c r="K219" s="22" t="n"/>
      <c r="L219" s="22" t="n"/>
      <c r="M219" s="22" t="n"/>
      <c r="N219" s="22" t="n"/>
      <c r="O219" s="22" t="n"/>
      <c r="P219" s="22" t="n"/>
      <c r="Q219" s="28" t="n"/>
      <c r="R219" s="22" t="n"/>
      <c r="S219" s="29" t="n"/>
      <c r="T219" s="29" t="n"/>
      <c r="U219" s="29" t="n"/>
      <c r="V219" s="22" t="n"/>
      <c r="W219" s="22" t="n"/>
      <c r="X219" s="22" t="n"/>
      <c r="Y219" s="22" t="n"/>
      <c r="Z219" s="22" t="n"/>
      <c r="AA219" s="22" t="n"/>
      <c r="AB219" s="22" t="n"/>
      <c r="AC219" s="29" t="n"/>
      <c r="AD219" s="30">
        <f>IF(A219="","",(COUNTA(A219:G219)+COUNTA(J219:AC219))/27)</f>
        <v/>
      </c>
      <c r="AE219" s="26">
        <f>IF(B219="","",WORKDAY(B219,3))</f>
        <v/>
      </c>
      <c r="AF219" s="26">
        <f>IF(B219="","",WORKDAY(B219,5))</f>
        <v/>
      </c>
      <c r="AG219" s="26">
        <f>IF(B219="","",WORKDAY(B219,10))</f>
        <v/>
      </c>
      <c r="AH219" s="26" t="n"/>
    </row>
    <row r="220">
      <c r="A220" s="22" t="n"/>
      <c r="B220" s="22" t="n"/>
      <c r="C220" s="26" t="n"/>
      <c r="D220" s="27" t="n"/>
      <c r="E220" s="22" t="n"/>
      <c r="F220" s="26" t="n"/>
      <c r="G220" s="22" t="n"/>
      <c r="H220" s="26">
        <f>IF(G220="","",IFERROR(VLOOKUP(G220,板块观察!A:Z,19,FALSE),""))</f>
        <v/>
      </c>
      <c r="I220" s="26">
        <f>IF(G220="","",IFERROR(VLOOKUP(G220,板块观察!A:Z,20,FALSE),""))</f>
        <v/>
      </c>
      <c r="J220" s="22" t="n"/>
      <c r="K220" s="22" t="n"/>
      <c r="L220" s="22" t="n"/>
      <c r="M220" s="22" t="n"/>
      <c r="N220" s="22" t="n"/>
      <c r="O220" s="22" t="n"/>
      <c r="P220" s="22" t="n"/>
      <c r="Q220" s="28" t="n"/>
      <c r="R220" s="22" t="n"/>
      <c r="S220" s="29" t="n"/>
      <c r="T220" s="29" t="n"/>
      <c r="U220" s="29" t="n"/>
      <c r="V220" s="22" t="n"/>
      <c r="W220" s="22" t="n"/>
      <c r="X220" s="22" t="n"/>
      <c r="Y220" s="22" t="n"/>
      <c r="Z220" s="22" t="n"/>
      <c r="AA220" s="22" t="n"/>
      <c r="AB220" s="22" t="n"/>
      <c r="AC220" s="29" t="n"/>
      <c r="AD220" s="30">
        <f>IF(A220="","",(COUNTA(A220:G220)+COUNTA(J220:AC220))/27)</f>
        <v/>
      </c>
      <c r="AE220" s="26">
        <f>IF(B220="","",WORKDAY(B220,3))</f>
        <v/>
      </c>
      <c r="AF220" s="26">
        <f>IF(B220="","",WORKDAY(B220,5))</f>
        <v/>
      </c>
      <c r="AG220" s="26">
        <f>IF(B220="","",WORKDAY(B220,10))</f>
        <v/>
      </c>
      <c r="AH220" s="26" t="n"/>
    </row>
    <row r="221">
      <c r="A221" s="22" t="n"/>
      <c r="B221" s="22" t="n"/>
      <c r="C221" s="26" t="n"/>
      <c r="D221" s="27" t="n"/>
      <c r="E221" s="22" t="n"/>
      <c r="F221" s="26" t="n"/>
      <c r="G221" s="22" t="n"/>
      <c r="H221" s="26">
        <f>IF(G221="","",IFERROR(VLOOKUP(G221,板块观察!A:Z,19,FALSE),""))</f>
        <v/>
      </c>
      <c r="I221" s="26">
        <f>IF(G221="","",IFERROR(VLOOKUP(G221,板块观察!A:Z,20,FALSE),""))</f>
        <v/>
      </c>
      <c r="J221" s="22" t="n"/>
      <c r="K221" s="22" t="n"/>
      <c r="L221" s="22" t="n"/>
      <c r="M221" s="22" t="n"/>
      <c r="N221" s="22" t="n"/>
      <c r="O221" s="22" t="n"/>
      <c r="P221" s="22" t="n"/>
      <c r="Q221" s="28" t="n"/>
      <c r="R221" s="22" t="n"/>
      <c r="S221" s="29" t="n"/>
      <c r="T221" s="29" t="n"/>
      <c r="U221" s="29" t="n"/>
      <c r="V221" s="22" t="n"/>
      <c r="W221" s="22" t="n"/>
      <c r="X221" s="22" t="n"/>
      <c r="Y221" s="22" t="n"/>
      <c r="Z221" s="22" t="n"/>
      <c r="AA221" s="22" t="n"/>
      <c r="AB221" s="22" t="n"/>
      <c r="AC221" s="29" t="n"/>
      <c r="AD221" s="30">
        <f>IF(A221="","",(COUNTA(A221:G221)+COUNTA(J221:AC221))/27)</f>
        <v/>
      </c>
      <c r="AE221" s="26">
        <f>IF(B221="","",WORKDAY(B221,3))</f>
        <v/>
      </c>
      <c r="AF221" s="26">
        <f>IF(B221="","",WORKDAY(B221,5))</f>
        <v/>
      </c>
      <c r="AG221" s="26">
        <f>IF(B221="","",WORKDAY(B221,10))</f>
        <v/>
      </c>
      <c r="AH221" s="26" t="n"/>
    </row>
    <row r="222">
      <c r="A222" s="22" t="n"/>
      <c r="B222" s="22" t="n"/>
      <c r="C222" s="26" t="n"/>
      <c r="D222" s="27" t="n"/>
      <c r="E222" s="22" t="n"/>
      <c r="F222" s="26" t="n"/>
      <c r="G222" s="22" t="n"/>
      <c r="H222" s="26">
        <f>IF(G222="","",IFERROR(VLOOKUP(G222,板块观察!A:Z,19,FALSE),""))</f>
        <v/>
      </c>
      <c r="I222" s="26">
        <f>IF(G222="","",IFERROR(VLOOKUP(G222,板块观察!A:Z,20,FALSE),""))</f>
        <v/>
      </c>
      <c r="J222" s="22" t="n"/>
      <c r="K222" s="22" t="n"/>
      <c r="L222" s="22" t="n"/>
      <c r="M222" s="22" t="n"/>
      <c r="N222" s="22" t="n"/>
      <c r="O222" s="22" t="n"/>
      <c r="P222" s="22" t="n"/>
      <c r="Q222" s="28" t="n"/>
      <c r="R222" s="22" t="n"/>
      <c r="S222" s="29" t="n"/>
      <c r="T222" s="29" t="n"/>
      <c r="U222" s="29" t="n"/>
      <c r="V222" s="22" t="n"/>
      <c r="W222" s="22" t="n"/>
      <c r="X222" s="22" t="n"/>
      <c r="Y222" s="22" t="n"/>
      <c r="Z222" s="22" t="n"/>
      <c r="AA222" s="22" t="n"/>
      <c r="AB222" s="22" t="n"/>
      <c r="AC222" s="29" t="n"/>
      <c r="AD222" s="30">
        <f>IF(A222="","",(COUNTA(A222:G222)+COUNTA(J222:AC222))/27)</f>
        <v/>
      </c>
      <c r="AE222" s="26">
        <f>IF(B222="","",WORKDAY(B222,3))</f>
        <v/>
      </c>
      <c r="AF222" s="26">
        <f>IF(B222="","",WORKDAY(B222,5))</f>
        <v/>
      </c>
      <c r="AG222" s="26">
        <f>IF(B222="","",WORKDAY(B222,10))</f>
        <v/>
      </c>
      <c r="AH222" s="26" t="n"/>
    </row>
    <row r="223">
      <c r="A223" s="22" t="n"/>
      <c r="B223" s="22" t="n"/>
      <c r="C223" s="26" t="n"/>
      <c r="D223" s="27" t="n"/>
      <c r="E223" s="22" t="n"/>
      <c r="F223" s="26" t="n"/>
      <c r="G223" s="22" t="n"/>
      <c r="H223" s="26">
        <f>IF(G223="","",IFERROR(VLOOKUP(G223,板块观察!A:Z,19,FALSE),""))</f>
        <v/>
      </c>
      <c r="I223" s="26">
        <f>IF(G223="","",IFERROR(VLOOKUP(G223,板块观察!A:Z,20,FALSE),""))</f>
        <v/>
      </c>
      <c r="J223" s="22" t="n"/>
      <c r="K223" s="22" t="n"/>
      <c r="L223" s="22" t="n"/>
      <c r="M223" s="22" t="n"/>
      <c r="N223" s="22" t="n"/>
      <c r="O223" s="22" t="n"/>
      <c r="P223" s="22" t="n"/>
      <c r="Q223" s="28" t="n"/>
      <c r="R223" s="22" t="n"/>
      <c r="S223" s="29" t="n"/>
      <c r="T223" s="29" t="n"/>
      <c r="U223" s="29" t="n"/>
      <c r="V223" s="22" t="n"/>
      <c r="W223" s="22" t="n"/>
      <c r="X223" s="22" t="n"/>
      <c r="Y223" s="22" t="n"/>
      <c r="Z223" s="22" t="n"/>
      <c r="AA223" s="22" t="n"/>
      <c r="AB223" s="22" t="n"/>
      <c r="AC223" s="29" t="n"/>
      <c r="AD223" s="30">
        <f>IF(A223="","",(COUNTA(A223:G223)+COUNTA(J223:AC223))/27)</f>
        <v/>
      </c>
      <c r="AE223" s="26">
        <f>IF(B223="","",WORKDAY(B223,3))</f>
        <v/>
      </c>
      <c r="AF223" s="26">
        <f>IF(B223="","",WORKDAY(B223,5))</f>
        <v/>
      </c>
      <c r="AG223" s="26">
        <f>IF(B223="","",WORKDAY(B223,10))</f>
        <v/>
      </c>
      <c r="AH223" s="26" t="n"/>
    </row>
    <row r="224">
      <c r="A224" s="22" t="n"/>
      <c r="B224" s="22" t="n"/>
      <c r="C224" s="26" t="n"/>
      <c r="D224" s="27" t="n"/>
      <c r="E224" s="22" t="n"/>
      <c r="F224" s="26" t="n"/>
      <c r="G224" s="22" t="n"/>
      <c r="H224" s="26">
        <f>IF(G224="","",IFERROR(VLOOKUP(G224,板块观察!A:Z,19,FALSE),""))</f>
        <v/>
      </c>
      <c r="I224" s="26">
        <f>IF(G224="","",IFERROR(VLOOKUP(G224,板块观察!A:Z,20,FALSE),""))</f>
        <v/>
      </c>
      <c r="J224" s="22" t="n"/>
      <c r="K224" s="22" t="n"/>
      <c r="L224" s="22" t="n"/>
      <c r="M224" s="22" t="n"/>
      <c r="N224" s="22" t="n"/>
      <c r="O224" s="22" t="n"/>
      <c r="P224" s="22" t="n"/>
      <c r="Q224" s="28" t="n"/>
      <c r="R224" s="22" t="n"/>
      <c r="S224" s="29" t="n"/>
      <c r="T224" s="29" t="n"/>
      <c r="U224" s="29" t="n"/>
      <c r="V224" s="22" t="n"/>
      <c r="W224" s="22" t="n"/>
      <c r="X224" s="22" t="n"/>
      <c r="Y224" s="22" t="n"/>
      <c r="Z224" s="22" t="n"/>
      <c r="AA224" s="22" t="n"/>
      <c r="AB224" s="22" t="n"/>
      <c r="AC224" s="29" t="n"/>
      <c r="AD224" s="30">
        <f>IF(A224="","",(COUNTA(A224:G224)+COUNTA(J224:AC224))/27)</f>
        <v/>
      </c>
      <c r="AE224" s="26">
        <f>IF(B224="","",WORKDAY(B224,3))</f>
        <v/>
      </c>
      <c r="AF224" s="26">
        <f>IF(B224="","",WORKDAY(B224,5))</f>
        <v/>
      </c>
      <c r="AG224" s="26">
        <f>IF(B224="","",WORKDAY(B224,10))</f>
        <v/>
      </c>
      <c r="AH224" s="26" t="n"/>
    </row>
    <row r="225">
      <c r="A225" s="22" t="n"/>
      <c r="B225" s="22" t="n"/>
      <c r="C225" s="26" t="n"/>
      <c r="D225" s="27" t="n"/>
      <c r="E225" s="22" t="n"/>
      <c r="F225" s="26" t="n"/>
      <c r="G225" s="22" t="n"/>
      <c r="H225" s="26">
        <f>IF(G225="","",IFERROR(VLOOKUP(G225,板块观察!A:Z,19,FALSE),""))</f>
        <v/>
      </c>
      <c r="I225" s="26">
        <f>IF(G225="","",IFERROR(VLOOKUP(G225,板块观察!A:Z,20,FALSE),""))</f>
        <v/>
      </c>
      <c r="J225" s="22" t="n"/>
      <c r="K225" s="22" t="n"/>
      <c r="L225" s="22" t="n"/>
      <c r="M225" s="22" t="n"/>
      <c r="N225" s="22" t="n"/>
      <c r="O225" s="22" t="n"/>
      <c r="P225" s="22" t="n"/>
      <c r="Q225" s="28" t="n"/>
      <c r="R225" s="22" t="n"/>
      <c r="S225" s="29" t="n"/>
      <c r="T225" s="29" t="n"/>
      <c r="U225" s="29" t="n"/>
      <c r="V225" s="22" t="n"/>
      <c r="W225" s="22" t="n"/>
      <c r="X225" s="22" t="n"/>
      <c r="Y225" s="22" t="n"/>
      <c r="Z225" s="22" t="n"/>
      <c r="AA225" s="22" t="n"/>
      <c r="AB225" s="22" t="n"/>
      <c r="AC225" s="29" t="n"/>
      <c r="AD225" s="30">
        <f>IF(A225="","",(COUNTA(A225:G225)+COUNTA(J225:AC225))/27)</f>
        <v/>
      </c>
      <c r="AE225" s="26">
        <f>IF(B225="","",WORKDAY(B225,3))</f>
        <v/>
      </c>
      <c r="AF225" s="26">
        <f>IF(B225="","",WORKDAY(B225,5))</f>
        <v/>
      </c>
      <c r="AG225" s="26">
        <f>IF(B225="","",WORKDAY(B225,10))</f>
        <v/>
      </c>
      <c r="AH225" s="26" t="n"/>
    </row>
    <row r="226">
      <c r="A226" s="22" t="n"/>
      <c r="B226" s="22" t="n"/>
      <c r="C226" s="26" t="n"/>
      <c r="D226" s="27" t="n"/>
      <c r="E226" s="22" t="n"/>
      <c r="F226" s="26" t="n"/>
      <c r="G226" s="22" t="n"/>
      <c r="H226" s="26">
        <f>IF(G226="","",IFERROR(VLOOKUP(G226,板块观察!A:Z,19,FALSE),""))</f>
        <v/>
      </c>
      <c r="I226" s="26">
        <f>IF(G226="","",IFERROR(VLOOKUP(G226,板块观察!A:Z,20,FALSE),""))</f>
        <v/>
      </c>
      <c r="J226" s="22" t="n"/>
      <c r="K226" s="22" t="n"/>
      <c r="L226" s="22" t="n"/>
      <c r="M226" s="22" t="n"/>
      <c r="N226" s="22" t="n"/>
      <c r="O226" s="22" t="n"/>
      <c r="P226" s="22" t="n"/>
      <c r="Q226" s="28" t="n"/>
      <c r="R226" s="22" t="n"/>
      <c r="S226" s="29" t="n"/>
      <c r="T226" s="29" t="n"/>
      <c r="U226" s="29" t="n"/>
      <c r="V226" s="22" t="n"/>
      <c r="W226" s="22" t="n"/>
      <c r="X226" s="22" t="n"/>
      <c r="Y226" s="22" t="n"/>
      <c r="Z226" s="22" t="n"/>
      <c r="AA226" s="22" t="n"/>
      <c r="AB226" s="22" t="n"/>
      <c r="AC226" s="29" t="n"/>
      <c r="AD226" s="30">
        <f>IF(A226="","",(COUNTA(A226:G226)+COUNTA(J226:AC226))/27)</f>
        <v/>
      </c>
      <c r="AE226" s="26">
        <f>IF(B226="","",WORKDAY(B226,3))</f>
        <v/>
      </c>
      <c r="AF226" s="26">
        <f>IF(B226="","",WORKDAY(B226,5))</f>
        <v/>
      </c>
      <c r="AG226" s="26">
        <f>IF(B226="","",WORKDAY(B226,10))</f>
        <v/>
      </c>
      <c r="AH226" s="26" t="n"/>
    </row>
    <row r="227">
      <c r="A227" s="22" t="n"/>
      <c r="B227" s="22" t="n"/>
      <c r="C227" s="26" t="n"/>
      <c r="D227" s="27" t="n"/>
      <c r="E227" s="22" t="n"/>
      <c r="F227" s="26" t="n"/>
      <c r="G227" s="22" t="n"/>
      <c r="H227" s="26">
        <f>IF(G227="","",IFERROR(VLOOKUP(G227,板块观察!A:Z,19,FALSE),""))</f>
        <v/>
      </c>
      <c r="I227" s="26">
        <f>IF(G227="","",IFERROR(VLOOKUP(G227,板块观察!A:Z,20,FALSE),""))</f>
        <v/>
      </c>
      <c r="J227" s="22" t="n"/>
      <c r="K227" s="22" t="n"/>
      <c r="L227" s="22" t="n"/>
      <c r="M227" s="22" t="n"/>
      <c r="N227" s="22" t="n"/>
      <c r="O227" s="22" t="n"/>
      <c r="P227" s="22" t="n"/>
      <c r="Q227" s="28" t="n"/>
      <c r="R227" s="22" t="n"/>
      <c r="S227" s="29" t="n"/>
      <c r="T227" s="29" t="n"/>
      <c r="U227" s="29" t="n"/>
      <c r="V227" s="22" t="n"/>
      <c r="W227" s="22" t="n"/>
      <c r="X227" s="22" t="n"/>
      <c r="Y227" s="22" t="n"/>
      <c r="Z227" s="22" t="n"/>
      <c r="AA227" s="22" t="n"/>
      <c r="AB227" s="22" t="n"/>
      <c r="AC227" s="29" t="n"/>
      <c r="AD227" s="30">
        <f>IF(A227="","",(COUNTA(A227:G227)+COUNTA(J227:AC227))/27)</f>
        <v/>
      </c>
      <c r="AE227" s="26">
        <f>IF(B227="","",WORKDAY(B227,3))</f>
        <v/>
      </c>
      <c r="AF227" s="26">
        <f>IF(B227="","",WORKDAY(B227,5))</f>
        <v/>
      </c>
      <c r="AG227" s="26">
        <f>IF(B227="","",WORKDAY(B227,10))</f>
        <v/>
      </c>
      <c r="AH227" s="26" t="n"/>
    </row>
    <row r="228">
      <c r="A228" s="22" t="n"/>
      <c r="B228" s="22" t="n"/>
      <c r="C228" s="26" t="n"/>
      <c r="D228" s="27" t="n"/>
      <c r="E228" s="22" t="n"/>
      <c r="F228" s="26" t="n"/>
      <c r="G228" s="22" t="n"/>
      <c r="H228" s="26">
        <f>IF(G228="","",IFERROR(VLOOKUP(G228,板块观察!A:Z,19,FALSE),""))</f>
        <v/>
      </c>
      <c r="I228" s="26">
        <f>IF(G228="","",IFERROR(VLOOKUP(G228,板块观察!A:Z,20,FALSE),""))</f>
        <v/>
      </c>
      <c r="J228" s="22" t="n"/>
      <c r="K228" s="22" t="n"/>
      <c r="L228" s="22" t="n"/>
      <c r="M228" s="22" t="n"/>
      <c r="N228" s="22" t="n"/>
      <c r="O228" s="22" t="n"/>
      <c r="P228" s="22" t="n"/>
      <c r="Q228" s="28" t="n"/>
      <c r="R228" s="22" t="n"/>
      <c r="S228" s="29" t="n"/>
      <c r="T228" s="29" t="n"/>
      <c r="U228" s="29" t="n"/>
      <c r="V228" s="22" t="n"/>
      <c r="W228" s="22" t="n"/>
      <c r="X228" s="22" t="n"/>
      <c r="Y228" s="22" t="n"/>
      <c r="Z228" s="22" t="n"/>
      <c r="AA228" s="22" t="n"/>
      <c r="AB228" s="22" t="n"/>
      <c r="AC228" s="29" t="n"/>
      <c r="AD228" s="30">
        <f>IF(A228="","",(COUNTA(A228:G228)+COUNTA(J228:AC228))/27)</f>
        <v/>
      </c>
      <c r="AE228" s="26">
        <f>IF(B228="","",WORKDAY(B228,3))</f>
        <v/>
      </c>
      <c r="AF228" s="26">
        <f>IF(B228="","",WORKDAY(B228,5))</f>
        <v/>
      </c>
      <c r="AG228" s="26">
        <f>IF(B228="","",WORKDAY(B228,10))</f>
        <v/>
      </c>
      <c r="AH228" s="26" t="n"/>
    </row>
    <row r="229">
      <c r="A229" s="22" t="n"/>
      <c r="B229" s="22" t="n"/>
      <c r="C229" s="26" t="n"/>
      <c r="D229" s="27" t="n"/>
      <c r="E229" s="22" t="n"/>
      <c r="F229" s="26" t="n"/>
      <c r="G229" s="22" t="n"/>
      <c r="H229" s="26">
        <f>IF(G229="","",IFERROR(VLOOKUP(G229,板块观察!A:Z,19,FALSE),""))</f>
        <v/>
      </c>
      <c r="I229" s="26">
        <f>IF(G229="","",IFERROR(VLOOKUP(G229,板块观察!A:Z,20,FALSE),""))</f>
        <v/>
      </c>
      <c r="J229" s="22" t="n"/>
      <c r="K229" s="22" t="n"/>
      <c r="L229" s="22" t="n"/>
      <c r="M229" s="22" t="n"/>
      <c r="N229" s="22" t="n"/>
      <c r="O229" s="22" t="n"/>
      <c r="P229" s="22" t="n"/>
      <c r="Q229" s="28" t="n"/>
      <c r="R229" s="22" t="n"/>
      <c r="S229" s="29" t="n"/>
      <c r="T229" s="29" t="n"/>
      <c r="U229" s="29" t="n"/>
      <c r="V229" s="22" t="n"/>
      <c r="W229" s="22" t="n"/>
      <c r="X229" s="22" t="n"/>
      <c r="Y229" s="22" t="n"/>
      <c r="Z229" s="22" t="n"/>
      <c r="AA229" s="22" t="n"/>
      <c r="AB229" s="22" t="n"/>
      <c r="AC229" s="29" t="n"/>
      <c r="AD229" s="30">
        <f>IF(A229="","",(COUNTA(A229:G229)+COUNTA(J229:AC229))/27)</f>
        <v/>
      </c>
      <c r="AE229" s="26">
        <f>IF(B229="","",WORKDAY(B229,3))</f>
        <v/>
      </c>
      <c r="AF229" s="26">
        <f>IF(B229="","",WORKDAY(B229,5))</f>
        <v/>
      </c>
      <c r="AG229" s="26">
        <f>IF(B229="","",WORKDAY(B229,10))</f>
        <v/>
      </c>
      <c r="AH229" s="26" t="n"/>
    </row>
    <row r="230">
      <c r="A230" s="22" t="n"/>
      <c r="B230" s="22" t="n"/>
      <c r="C230" s="26" t="n"/>
      <c r="D230" s="27" t="n"/>
      <c r="E230" s="22" t="n"/>
      <c r="F230" s="26" t="n"/>
      <c r="G230" s="22" t="n"/>
      <c r="H230" s="26">
        <f>IF(G230="","",IFERROR(VLOOKUP(G230,板块观察!A:Z,19,FALSE),""))</f>
        <v/>
      </c>
      <c r="I230" s="26">
        <f>IF(G230="","",IFERROR(VLOOKUP(G230,板块观察!A:Z,20,FALSE),""))</f>
        <v/>
      </c>
      <c r="J230" s="22" t="n"/>
      <c r="K230" s="22" t="n"/>
      <c r="L230" s="22" t="n"/>
      <c r="M230" s="22" t="n"/>
      <c r="N230" s="22" t="n"/>
      <c r="O230" s="22" t="n"/>
      <c r="P230" s="22" t="n"/>
      <c r="Q230" s="28" t="n"/>
      <c r="R230" s="22" t="n"/>
      <c r="S230" s="29" t="n"/>
      <c r="T230" s="29" t="n"/>
      <c r="U230" s="29" t="n"/>
      <c r="V230" s="22" t="n"/>
      <c r="W230" s="22" t="n"/>
      <c r="X230" s="22" t="n"/>
      <c r="Y230" s="22" t="n"/>
      <c r="Z230" s="22" t="n"/>
      <c r="AA230" s="22" t="n"/>
      <c r="AB230" s="22" t="n"/>
      <c r="AC230" s="29" t="n"/>
      <c r="AD230" s="30">
        <f>IF(A230="","",(COUNTA(A230:G230)+COUNTA(J230:AC230))/27)</f>
        <v/>
      </c>
      <c r="AE230" s="26">
        <f>IF(B230="","",WORKDAY(B230,3))</f>
        <v/>
      </c>
      <c r="AF230" s="26">
        <f>IF(B230="","",WORKDAY(B230,5))</f>
        <v/>
      </c>
      <c r="AG230" s="26">
        <f>IF(B230="","",WORKDAY(B230,10))</f>
        <v/>
      </c>
      <c r="AH230" s="26" t="n"/>
    </row>
    <row r="231">
      <c r="A231" s="22" t="n"/>
      <c r="B231" s="22" t="n"/>
      <c r="C231" s="26" t="n"/>
      <c r="D231" s="27" t="n"/>
      <c r="E231" s="22" t="n"/>
      <c r="F231" s="26" t="n"/>
      <c r="G231" s="22" t="n"/>
      <c r="H231" s="26">
        <f>IF(G231="","",IFERROR(VLOOKUP(G231,板块观察!A:Z,19,FALSE),""))</f>
        <v/>
      </c>
      <c r="I231" s="26">
        <f>IF(G231="","",IFERROR(VLOOKUP(G231,板块观察!A:Z,20,FALSE),""))</f>
        <v/>
      </c>
      <c r="J231" s="22" t="n"/>
      <c r="K231" s="22" t="n"/>
      <c r="L231" s="22" t="n"/>
      <c r="M231" s="22" t="n"/>
      <c r="N231" s="22" t="n"/>
      <c r="O231" s="22" t="n"/>
      <c r="P231" s="22" t="n"/>
      <c r="Q231" s="28" t="n"/>
      <c r="R231" s="22" t="n"/>
      <c r="S231" s="29" t="n"/>
      <c r="T231" s="29" t="n"/>
      <c r="U231" s="29" t="n"/>
      <c r="V231" s="22" t="n"/>
      <c r="W231" s="22" t="n"/>
      <c r="X231" s="22" t="n"/>
      <c r="Y231" s="22" t="n"/>
      <c r="Z231" s="22" t="n"/>
      <c r="AA231" s="22" t="n"/>
      <c r="AB231" s="22" t="n"/>
      <c r="AC231" s="29" t="n"/>
      <c r="AD231" s="30">
        <f>IF(A231="","",(COUNTA(A231:G231)+COUNTA(J231:AC231))/27)</f>
        <v/>
      </c>
      <c r="AE231" s="26">
        <f>IF(B231="","",WORKDAY(B231,3))</f>
        <v/>
      </c>
      <c r="AF231" s="26">
        <f>IF(B231="","",WORKDAY(B231,5))</f>
        <v/>
      </c>
      <c r="AG231" s="26">
        <f>IF(B231="","",WORKDAY(B231,10))</f>
        <v/>
      </c>
      <c r="AH231" s="26" t="n"/>
    </row>
    <row r="232">
      <c r="A232" s="22" t="n"/>
      <c r="B232" s="22" t="n"/>
      <c r="C232" s="26" t="n"/>
      <c r="D232" s="27" t="n"/>
      <c r="E232" s="22" t="n"/>
      <c r="F232" s="26" t="n"/>
      <c r="G232" s="22" t="n"/>
      <c r="H232" s="26">
        <f>IF(G232="","",IFERROR(VLOOKUP(G232,板块观察!A:Z,19,FALSE),""))</f>
        <v/>
      </c>
      <c r="I232" s="26">
        <f>IF(G232="","",IFERROR(VLOOKUP(G232,板块观察!A:Z,20,FALSE),""))</f>
        <v/>
      </c>
      <c r="J232" s="22" t="n"/>
      <c r="K232" s="22" t="n"/>
      <c r="L232" s="22" t="n"/>
      <c r="M232" s="22" t="n"/>
      <c r="N232" s="22" t="n"/>
      <c r="O232" s="22" t="n"/>
      <c r="P232" s="22" t="n"/>
      <c r="Q232" s="28" t="n"/>
      <c r="R232" s="22" t="n"/>
      <c r="S232" s="29" t="n"/>
      <c r="T232" s="29" t="n"/>
      <c r="U232" s="29" t="n"/>
      <c r="V232" s="22" t="n"/>
      <c r="W232" s="22" t="n"/>
      <c r="X232" s="22" t="n"/>
      <c r="Y232" s="22" t="n"/>
      <c r="Z232" s="22" t="n"/>
      <c r="AA232" s="22" t="n"/>
      <c r="AB232" s="22" t="n"/>
      <c r="AC232" s="29" t="n"/>
      <c r="AD232" s="30">
        <f>IF(A232="","",(COUNTA(A232:G232)+COUNTA(J232:AC232))/27)</f>
        <v/>
      </c>
      <c r="AE232" s="26">
        <f>IF(B232="","",WORKDAY(B232,3))</f>
        <v/>
      </c>
      <c r="AF232" s="26">
        <f>IF(B232="","",WORKDAY(B232,5))</f>
        <v/>
      </c>
      <c r="AG232" s="26">
        <f>IF(B232="","",WORKDAY(B232,10))</f>
        <v/>
      </c>
      <c r="AH232" s="26" t="n"/>
    </row>
    <row r="233">
      <c r="A233" s="22" t="n"/>
      <c r="B233" s="22" t="n"/>
      <c r="C233" s="26" t="n"/>
      <c r="D233" s="27" t="n"/>
      <c r="E233" s="22" t="n"/>
      <c r="F233" s="26" t="n"/>
      <c r="G233" s="22" t="n"/>
      <c r="H233" s="26">
        <f>IF(G233="","",IFERROR(VLOOKUP(G233,板块观察!A:Z,19,FALSE),""))</f>
        <v/>
      </c>
      <c r="I233" s="26">
        <f>IF(G233="","",IFERROR(VLOOKUP(G233,板块观察!A:Z,20,FALSE),""))</f>
        <v/>
      </c>
      <c r="J233" s="22" t="n"/>
      <c r="K233" s="22" t="n"/>
      <c r="L233" s="22" t="n"/>
      <c r="M233" s="22" t="n"/>
      <c r="N233" s="22" t="n"/>
      <c r="O233" s="22" t="n"/>
      <c r="P233" s="22" t="n"/>
      <c r="Q233" s="28" t="n"/>
      <c r="R233" s="22" t="n"/>
      <c r="S233" s="29" t="n"/>
      <c r="T233" s="29" t="n"/>
      <c r="U233" s="29" t="n"/>
      <c r="V233" s="22" t="n"/>
      <c r="W233" s="22" t="n"/>
      <c r="X233" s="22" t="n"/>
      <c r="Y233" s="22" t="n"/>
      <c r="Z233" s="22" t="n"/>
      <c r="AA233" s="22" t="n"/>
      <c r="AB233" s="22" t="n"/>
      <c r="AC233" s="29" t="n"/>
      <c r="AD233" s="30">
        <f>IF(A233="","",(COUNTA(A233:G233)+COUNTA(J233:AC233))/27)</f>
        <v/>
      </c>
      <c r="AE233" s="26">
        <f>IF(B233="","",WORKDAY(B233,3))</f>
        <v/>
      </c>
      <c r="AF233" s="26">
        <f>IF(B233="","",WORKDAY(B233,5))</f>
        <v/>
      </c>
      <c r="AG233" s="26">
        <f>IF(B233="","",WORKDAY(B233,10))</f>
        <v/>
      </c>
      <c r="AH233" s="26" t="n"/>
    </row>
    <row r="234">
      <c r="A234" s="22" t="n"/>
      <c r="B234" s="22" t="n"/>
      <c r="C234" s="26" t="n"/>
      <c r="D234" s="27" t="n"/>
      <c r="E234" s="22" t="n"/>
      <c r="F234" s="26" t="n"/>
      <c r="G234" s="22" t="n"/>
      <c r="H234" s="26">
        <f>IF(G234="","",IFERROR(VLOOKUP(G234,板块观察!A:Z,19,FALSE),""))</f>
        <v/>
      </c>
      <c r="I234" s="26">
        <f>IF(G234="","",IFERROR(VLOOKUP(G234,板块观察!A:Z,20,FALSE),""))</f>
        <v/>
      </c>
      <c r="J234" s="22" t="n"/>
      <c r="K234" s="22" t="n"/>
      <c r="L234" s="22" t="n"/>
      <c r="M234" s="22" t="n"/>
      <c r="N234" s="22" t="n"/>
      <c r="O234" s="22" t="n"/>
      <c r="P234" s="22" t="n"/>
      <c r="Q234" s="28" t="n"/>
      <c r="R234" s="22" t="n"/>
      <c r="S234" s="29" t="n"/>
      <c r="T234" s="29" t="n"/>
      <c r="U234" s="29" t="n"/>
      <c r="V234" s="22" t="n"/>
      <c r="W234" s="22" t="n"/>
      <c r="X234" s="22" t="n"/>
      <c r="Y234" s="22" t="n"/>
      <c r="Z234" s="22" t="n"/>
      <c r="AA234" s="22" t="n"/>
      <c r="AB234" s="22" t="n"/>
      <c r="AC234" s="29" t="n"/>
      <c r="AD234" s="30">
        <f>IF(A234="","",(COUNTA(A234:G234)+COUNTA(J234:AC234))/27)</f>
        <v/>
      </c>
      <c r="AE234" s="26">
        <f>IF(B234="","",WORKDAY(B234,3))</f>
        <v/>
      </c>
      <c r="AF234" s="26">
        <f>IF(B234="","",WORKDAY(B234,5))</f>
        <v/>
      </c>
      <c r="AG234" s="26">
        <f>IF(B234="","",WORKDAY(B234,10))</f>
        <v/>
      </c>
      <c r="AH234" s="26" t="n"/>
    </row>
    <row r="235">
      <c r="A235" s="22" t="n"/>
      <c r="B235" s="22" t="n"/>
      <c r="C235" s="26" t="n"/>
      <c r="D235" s="27" t="n"/>
      <c r="E235" s="22" t="n"/>
      <c r="F235" s="26" t="n"/>
      <c r="G235" s="22" t="n"/>
      <c r="H235" s="26">
        <f>IF(G235="","",IFERROR(VLOOKUP(G235,板块观察!A:Z,19,FALSE),""))</f>
        <v/>
      </c>
      <c r="I235" s="26">
        <f>IF(G235="","",IFERROR(VLOOKUP(G235,板块观察!A:Z,20,FALSE),""))</f>
        <v/>
      </c>
      <c r="J235" s="22" t="n"/>
      <c r="K235" s="22" t="n"/>
      <c r="L235" s="22" t="n"/>
      <c r="M235" s="22" t="n"/>
      <c r="N235" s="22" t="n"/>
      <c r="O235" s="22" t="n"/>
      <c r="P235" s="22" t="n"/>
      <c r="Q235" s="28" t="n"/>
      <c r="R235" s="22" t="n"/>
      <c r="S235" s="29" t="n"/>
      <c r="T235" s="29" t="n"/>
      <c r="U235" s="29" t="n"/>
      <c r="V235" s="22" t="n"/>
      <c r="W235" s="22" t="n"/>
      <c r="X235" s="22" t="n"/>
      <c r="Y235" s="22" t="n"/>
      <c r="Z235" s="22" t="n"/>
      <c r="AA235" s="22" t="n"/>
      <c r="AB235" s="22" t="n"/>
      <c r="AC235" s="29" t="n"/>
      <c r="AD235" s="30">
        <f>IF(A235="","",(COUNTA(A235:G235)+COUNTA(J235:AC235))/27)</f>
        <v/>
      </c>
      <c r="AE235" s="26">
        <f>IF(B235="","",WORKDAY(B235,3))</f>
        <v/>
      </c>
      <c r="AF235" s="26">
        <f>IF(B235="","",WORKDAY(B235,5))</f>
        <v/>
      </c>
      <c r="AG235" s="26">
        <f>IF(B235="","",WORKDAY(B235,10))</f>
        <v/>
      </c>
      <c r="AH235" s="26" t="n"/>
    </row>
    <row r="236">
      <c r="A236" s="22" t="n"/>
      <c r="B236" s="22" t="n"/>
      <c r="C236" s="26" t="n"/>
      <c r="D236" s="27" t="n"/>
      <c r="E236" s="22" t="n"/>
      <c r="F236" s="26" t="n"/>
      <c r="G236" s="22" t="n"/>
      <c r="H236" s="26">
        <f>IF(G236="","",IFERROR(VLOOKUP(G236,板块观察!A:Z,19,FALSE),""))</f>
        <v/>
      </c>
      <c r="I236" s="26">
        <f>IF(G236="","",IFERROR(VLOOKUP(G236,板块观察!A:Z,20,FALSE),""))</f>
        <v/>
      </c>
      <c r="J236" s="22" t="n"/>
      <c r="K236" s="22" t="n"/>
      <c r="L236" s="22" t="n"/>
      <c r="M236" s="22" t="n"/>
      <c r="N236" s="22" t="n"/>
      <c r="O236" s="22" t="n"/>
      <c r="P236" s="22" t="n"/>
      <c r="Q236" s="28" t="n"/>
      <c r="R236" s="22" t="n"/>
      <c r="S236" s="29" t="n"/>
      <c r="T236" s="29" t="n"/>
      <c r="U236" s="29" t="n"/>
      <c r="V236" s="22" t="n"/>
      <c r="W236" s="22" t="n"/>
      <c r="X236" s="22" t="n"/>
      <c r="Y236" s="22" t="n"/>
      <c r="Z236" s="22" t="n"/>
      <c r="AA236" s="22" t="n"/>
      <c r="AB236" s="22" t="n"/>
      <c r="AC236" s="29" t="n"/>
      <c r="AD236" s="30">
        <f>IF(A236="","",(COUNTA(A236:G236)+COUNTA(J236:AC236))/27)</f>
        <v/>
      </c>
      <c r="AE236" s="26">
        <f>IF(B236="","",WORKDAY(B236,3))</f>
        <v/>
      </c>
      <c r="AF236" s="26">
        <f>IF(B236="","",WORKDAY(B236,5))</f>
        <v/>
      </c>
      <c r="AG236" s="26">
        <f>IF(B236="","",WORKDAY(B236,10))</f>
        <v/>
      </c>
      <c r="AH236" s="26" t="n"/>
    </row>
    <row r="237">
      <c r="A237" s="22" t="n"/>
      <c r="B237" s="22" t="n"/>
      <c r="C237" s="26" t="n"/>
      <c r="D237" s="27" t="n"/>
      <c r="E237" s="22" t="n"/>
      <c r="F237" s="26" t="n"/>
      <c r="G237" s="22" t="n"/>
      <c r="H237" s="26">
        <f>IF(G237="","",IFERROR(VLOOKUP(G237,板块观察!A:Z,19,FALSE),""))</f>
        <v/>
      </c>
      <c r="I237" s="26">
        <f>IF(G237="","",IFERROR(VLOOKUP(G237,板块观察!A:Z,20,FALSE),""))</f>
        <v/>
      </c>
      <c r="J237" s="22" t="n"/>
      <c r="K237" s="22" t="n"/>
      <c r="L237" s="22" t="n"/>
      <c r="M237" s="22" t="n"/>
      <c r="N237" s="22" t="n"/>
      <c r="O237" s="22" t="n"/>
      <c r="P237" s="22" t="n"/>
      <c r="Q237" s="28" t="n"/>
      <c r="R237" s="22" t="n"/>
      <c r="S237" s="29" t="n"/>
      <c r="T237" s="29" t="n"/>
      <c r="U237" s="29" t="n"/>
      <c r="V237" s="22" t="n"/>
      <c r="W237" s="22" t="n"/>
      <c r="X237" s="22" t="n"/>
      <c r="Y237" s="22" t="n"/>
      <c r="Z237" s="22" t="n"/>
      <c r="AA237" s="22" t="n"/>
      <c r="AB237" s="22" t="n"/>
      <c r="AC237" s="29" t="n"/>
      <c r="AD237" s="30">
        <f>IF(A237="","",(COUNTA(A237:G237)+COUNTA(J237:AC237))/27)</f>
        <v/>
      </c>
      <c r="AE237" s="26">
        <f>IF(B237="","",WORKDAY(B237,3))</f>
        <v/>
      </c>
      <c r="AF237" s="26">
        <f>IF(B237="","",WORKDAY(B237,5))</f>
        <v/>
      </c>
      <c r="AG237" s="26">
        <f>IF(B237="","",WORKDAY(B237,10))</f>
        <v/>
      </c>
      <c r="AH237" s="26" t="n"/>
    </row>
    <row r="238">
      <c r="A238" s="22" t="n"/>
      <c r="B238" s="22" t="n"/>
      <c r="C238" s="26" t="n"/>
      <c r="D238" s="27" t="n"/>
      <c r="E238" s="22" t="n"/>
      <c r="F238" s="26" t="n"/>
      <c r="G238" s="22" t="n"/>
      <c r="H238" s="26">
        <f>IF(G238="","",IFERROR(VLOOKUP(G238,板块观察!A:Z,19,FALSE),""))</f>
        <v/>
      </c>
      <c r="I238" s="26">
        <f>IF(G238="","",IFERROR(VLOOKUP(G238,板块观察!A:Z,20,FALSE),""))</f>
        <v/>
      </c>
      <c r="J238" s="22" t="n"/>
      <c r="K238" s="22" t="n"/>
      <c r="L238" s="22" t="n"/>
      <c r="M238" s="22" t="n"/>
      <c r="N238" s="22" t="n"/>
      <c r="O238" s="22" t="n"/>
      <c r="P238" s="22" t="n"/>
      <c r="Q238" s="28" t="n"/>
      <c r="R238" s="22" t="n"/>
      <c r="S238" s="29" t="n"/>
      <c r="T238" s="29" t="n"/>
      <c r="U238" s="29" t="n"/>
      <c r="V238" s="22" t="n"/>
      <c r="W238" s="22" t="n"/>
      <c r="X238" s="22" t="n"/>
      <c r="Y238" s="22" t="n"/>
      <c r="Z238" s="22" t="n"/>
      <c r="AA238" s="22" t="n"/>
      <c r="AB238" s="22" t="n"/>
      <c r="AC238" s="29" t="n"/>
      <c r="AD238" s="30">
        <f>IF(A238="","",(COUNTA(A238:G238)+COUNTA(J238:AC238))/27)</f>
        <v/>
      </c>
      <c r="AE238" s="26">
        <f>IF(B238="","",WORKDAY(B238,3))</f>
        <v/>
      </c>
      <c r="AF238" s="26">
        <f>IF(B238="","",WORKDAY(B238,5))</f>
        <v/>
      </c>
      <c r="AG238" s="26">
        <f>IF(B238="","",WORKDAY(B238,10))</f>
        <v/>
      </c>
      <c r="AH238" s="26" t="n"/>
    </row>
    <row r="239">
      <c r="A239" s="22" t="n"/>
      <c r="B239" s="22" t="n"/>
      <c r="C239" s="26" t="n"/>
      <c r="D239" s="27" t="n"/>
      <c r="E239" s="22" t="n"/>
      <c r="F239" s="26" t="n"/>
      <c r="G239" s="22" t="n"/>
      <c r="H239" s="26">
        <f>IF(G239="","",IFERROR(VLOOKUP(G239,板块观察!A:Z,19,FALSE),""))</f>
        <v/>
      </c>
      <c r="I239" s="26">
        <f>IF(G239="","",IFERROR(VLOOKUP(G239,板块观察!A:Z,20,FALSE),""))</f>
        <v/>
      </c>
      <c r="J239" s="22" t="n"/>
      <c r="K239" s="22" t="n"/>
      <c r="L239" s="22" t="n"/>
      <c r="M239" s="22" t="n"/>
      <c r="N239" s="22" t="n"/>
      <c r="O239" s="22" t="n"/>
      <c r="P239" s="22" t="n"/>
      <c r="Q239" s="28" t="n"/>
      <c r="R239" s="22" t="n"/>
      <c r="S239" s="29" t="n"/>
      <c r="T239" s="29" t="n"/>
      <c r="U239" s="29" t="n"/>
      <c r="V239" s="22" t="n"/>
      <c r="W239" s="22" t="n"/>
      <c r="X239" s="22" t="n"/>
      <c r="Y239" s="22" t="n"/>
      <c r="Z239" s="22" t="n"/>
      <c r="AA239" s="22" t="n"/>
      <c r="AB239" s="22" t="n"/>
      <c r="AC239" s="29" t="n"/>
      <c r="AD239" s="30">
        <f>IF(A239="","",(COUNTA(A239:G239)+COUNTA(J239:AC239))/27)</f>
        <v/>
      </c>
      <c r="AE239" s="26">
        <f>IF(B239="","",WORKDAY(B239,3))</f>
        <v/>
      </c>
      <c r="AF239" s="26">
        <f>IF(B239="","",WORKDAY(B239,5))</f>
        <v/>
      </c>
      <c r="AG239" s="26">
        <f>IF(B239="","",WORKDAY(B239,10))</f>
        <v/>
      </c>
      <c r="AH239" s="26" t="n"/>
    </row>
    <row r="240">
      <c r="A240" s="22" t="n"/>
      <c r="B240" s="22" t="n"/>
      <c r="C240" s="26" t="n"/>
      <c r="D240" s="27" t="n"/>
      <c r="E240" s="22" t="n"/>
      <c r="F240" s="26" t="n"/>
      <c r="G240" s="22" t="n"/>
      <c r="H240" s="26">
        <f>IF(G240="","",IFERROR(VLOOKUP(G240,板块观察!A:Z,19,FALSE),""))</f>
        <v/>
      </c>
      <c r="I240" s="26">
        <f>IF(G240="","",IFERROR(VLOOKUP(G240,板块观察!A:Z,20,FALSE),""))</f>
        <v/>
      </c>
      <c r="J240" s="22" t="n"/>
      <c r="K240" s="22" t="n"/>
      <c r="L240" s="22" t="n"/>
      <c r="M240" s="22" t="n"/>
      <c r="N240" s="22" t="n"/>
      <c r="O240" s="22" t="n"/>
      <c r="P240" s="22" t="n"/>
      <c r="Q240" s="28" t="n"/>
      <c r="R240" s="22" t="n"/>
      <c r="S240" s="29" t="n"/>
      <c r="T240" s="29" t="n"/>
      <c r="U240" s="29" t="n"/>
      <c r="V240" s="22" t="n"/>
      <c r="W240" s="22" t="n"/>
      <c r="X240" s="22" t="n"/>
      <c r="Y240" s="22" t="n"/>
      <c r="Z240" s="22" t="n"/>
      <c r="AA240" s="22" t="n"/>
      <c r="AB240" s="22" t="n"/>
      <c r="AC240" s="29" t="n"/>
      <c r="AD240" s="30">
        <f>IF(A240="","",(COUNTA(A240:G240)+COUNTA(J240:AC240))/27)</f>
        <v/>
      </c>
      <c r="AE240" s="26">
        <f>IF(B240="","",WORKDAY(B240,3))</f>
        <v/>
      </c>
      <c r="AF240" s="26">
        <f>IF(B240="","",WORKDAY(B240,5))</f>
        <v/>
      </c>
      <c r="AG240" s="26">
        <f>IF(B240="","",WORKDAY(B240,10))</f>
        <v/>
      </c>
      <c r="AH240" s="26" t="n"/>
    </row>
    <row r="241">
      <c r="A241" s="22" t="n"/>
      <c r="B241" s="22" t="n"/>
      <c r="C241" s="26" t="n"/>
      <c r="D241" s="27" t="n"/>
      <c r="E241" s="22" t="n"/>
      <c r="F241" s="26" t="n"/>
      <c r="G241" s="22" t="n"/>
      <c r="H241" s="26">
        <f>IF(G241="","",IFERROR(VLOOKUP(G241,板块观察!A:Z,19,FALSE),""))</f>
        <v/>
      </c>
      <c r="I241" s="26">
        <f>IF(G241="","",IFERROR(VLOOKUP(G241,板块观察!A:Z,20,FALSE),""))</f>
        <v/>
      </c>
      <c r="J241" s="22" t="n"/>
      <c r="K241" s="22" t="n"/>
      <c r="L241" s="22" t="n"/>
      <c r="M241" s="22" t="n"/>
      <c r="N241" s="22" t="n"/>
      <c r="O241" s="22" t="n"/>
      <c r="P241" s="22" t="n"/>
      <c r="Q241" s="28" t="n"/>
      <c r="R241" s="22" t="n"/>
      <c r="S241" s="29" t="n"/>
      <c r="T241" s="29" t="n"/>
      <c r="U241" s="29" t="n"/>
      <c r="V241" s="22" t="n"/>
      <c r="W241" s="22" t="n"/>
      <c r="X241" s="22" t="n"/>
      <c r="Y241" s="22" t="n"/>
      <c r="Z241" s="22" t="n"/>
      <c r="AA241" s="22" t="n"/>
      <c r="AB241" s="22" t="n"/>
      <c r="AC241" s="29" t="n"/>
      <c r="AD241" s="30">
        <f>IF(A241="","",(COUNTA(A241:G241)+COUNTA(J241:AC241))/27)</f>
        <v/>
      </c>
      <c r="AE241" s="26">
        <f>IF(B241="","",WORKDAY(B241,3))</f>
        <v/>
      </c>
      <c r="AF241" s="26">
        <f>IF(B241="","",WORKDAY(B241,5))</f>
        <v/>
      </c>
      <c r="AG241" s="26">
        <f>IF(B241="","",WORKDAY(B241,10))</f>
        <v/>
      </c>
      <c r="AH241" s="26" t="n"/>
    </row>
    <row r="242">
      <c r="A242" s="22" t="n"/>
      <c r="B242" s="22" t="n"/>
      <c r="C242" s="26" t="n"/>
      <c r="D242" s="27" t="n"/>
      <c r="E242" s="22" t="n"/>
      <c r="F242" s="26" t="n"/>
      <c r="G242" s="22" t="n"/>
      <c r="H242" s="26">
        <f>IF(G242="","",IFERROR(VLOOKUP(G242,板块观察!A:Z,19,FALSE),""))</f>
        <v/>
      </c>
      <c r="I242" s="26">
        <f>IF(G242="","",IFERROR(VLOOKUP(G242,板块观察!A:Z,20,FALSE),""))</f>
        <v/>
      </c>
      <c r="J242" s="22" t="n"/>
      <c r="K242" s="22" t="n"/>
      <c r="L242" s="22" t="n"/>
      <c r="M242" s="22" t="n"/>
      <c r="N242" s="22" t="n"/>
      <c r="O242" s="22" t="n"/>
      <c r="P242" s="22" t="n"/>
      <c r="Q242" s="28" t="n"/>
      <c r="R242" s="22" t="n"/>
      <c r="S242" s="29" t="n"/>
      <c r="T242" s="29" t="n"/>
      <c r="U242" s="29" t="n"/>
      <c r="V242" s="22" t="n"/>
      <c r="W242" s="22" t="n"/>
      <c r="X242" s="22" t="n"/>
      <c r="Y242" s="22" t="n"/>
      <c r="Z242" s="22" t="n"/>
      <c r="AA242" s="22" t="n"/>
      <c r="AB242" s="22" t="n"/>
      <c r="AC242" s="29" t="n"/>
      <c r="AD242" s="30">
        <f>IF(A242="","",(COUNTA(A242:G242)+COUNTA(J242:AC242))/27)</f>
        <v/>
      </c>
      <c r="AE242" s="26">
        <f>IF(B242="","",WORKDAY(B242,3))</f>
        <v/>
      </c>
      <c r="AF242" s="26">
        <f>IF(B242="","",WORKDAY(B242,5))</f>
        <v/>
      </c>
      <c r="AG242" s="26">
        <f>IF(B242="","",WORKDAY(B242,10))</f>
        <v/>
      </c>
      <c r="AH242" s="26" t="n"/>
    </row>
    <row r="243">
      <c r="A243" s="22" t="n"/>
      <c r="B243" s="22" t="n"/>
      <c r="C243" s="26" t="n"/>
      <c r="D243" s="27" t="n"/>
      <c r="E243" s="22" t="n"/>
      <c r="F243" s="26" t="n"/>
      <c r="G243" s="22" t="n"/>
      <c r="H243" s="26">
        <f>IF(G243="","",IFERROR(VLOOKUP(G243,板块观察!A:Z,19,FALSE),""))</f>
        <v/>
      </c>
      <c r="I243" s="26">
        <f>IF(G243="","",IFERROR(VLOOKUP(G243,板块观察!A:Z,20,FALSE),""))</f>
        <v/>
      </c>
      <c r="J243" s="22" t="n"/>
      <c r="K243" s="22" t="n"/>
      <c r="L243" s="22" t="n"/>
      <c r="M243" s="22" t="n"/>
      <c r="N243" s="22" t="n"/>
      <c r="O243" s="22" t="n"/>
      <c r="P243" s="22" t="n"/>
      <c r="Q243" s="28" t="n"/>
      <c r="R243" s="22" t="n"/>
      <c r="S243" s="29" t="n"/>
      <c r="T243" s="29" t="n"/>
      <c r="U243" s="29" t="n"/>
      <c r="V243" s="22" t="n"/>
      <c r="W243" s="22" t="n"/>
      <c r="X243" s="22" t="n"/>
      <c r="Y243" s="22" t="n"/>
      <c r="Z243" s="22" t="n"/>
      <c r="AA243" s="22" t="n"/>
      <c r="AB243" s="22" t="n"/>
      <c r="AC243" s="29" t="n"/>
      <c r="AD243" s="30">
        <f>IF(A243="","",(COUNTA(A243:G243)+COUNTA(J243:AC243))/27)</f>
        <v/>
      </c>
      <c r="AE243" s="26">
        <f>IF(B243="","",WORKDAY(B243,3))</f>
        <v/>
      </c>
      <c r="AF243" s="26">
        <f>IF(B243="","",WORKDAY(B243,5))</f>
        <v/>
      </c>
      <c r="AG243" s="26">
        <f>IF(B243="","",WORKDAY(B243,10))</f>
        <v/>
      </c>
      <c r="AH243" s="26" t="n"/>
    </row>
    <row r="244">
      <c r="A244" s="22" t="n"/>
      <c r="B244" s="22" t="n"/>
      <c r="C244" s="26" t="n"/>
      <c r="D244" s="27" t="n"/>
      <c r="E244" s="22" t="n"/>
      <c r="F244" s="26" t="n"/>
      <c r="G244" s="22" t="n"/>
      <c r="H244" s="26">
        <f>IF(G244="","",IFERROR(VLOOKUP(G244,板块观察!A:Z,19,FALSE),""))</f>
        <v/>
      </c>
      <c r="I244" s="26">
        <f>IF(G244="","",IFERROR(VLOOKUP(G244,板块观察!A:Z,20,FALSE),""))</f>
        <v/>
      </c>
      <c r="J244" s="22" t="n"/>
      <c r="K244" s="22" t="n"/>
      <c r="L244" s="22" t="n"/>
      <c r="M244" s="22" t="n"/>
      <c r="N244" s="22" t="n"/>
      <c r="O244" s="22" t="n"/>
      <c r="P244" s="22" t="n"/>
      <c r="Q244" s="28" t="n"/>
      <c r="R244" s="22" t="n"/>
      <c r="S244" s="29" t="n"/>
      <c r="T244" s="29" t="n"/>
      <c r="U244" s="29" t="n"/>
      <c r="V244" s="22" t="n"/>
      <c r="W244" s="22" t="n"/>
      <c r="X244" s="22" t="n"/>
      <c r="Y244" s="22" t="n"/>
      <c r="Z244" s="22" t="n"/>
      <c r="AA244" s="22" t="n"/>
      <c r="AB244" s="22" t="n"/>
      <c r="AC244" s="29" t="n"/>
      <c r="AD244" s="30">
        <f>IF(A244="","",(COUNTA(A244:G244)+COUNTA(J244:AC244))/27)</f>
        <v/>
      </c>
      <c r="AE244" s="26">
        <f>IF(B244="","",WORKDAY(B244,3))</f>
        <v/>
      </c>
      <c r="AF244" s="26">
        <f>IF(B244="","",WORKDAY(B244,5))</f>
        <v/>
      </c>
      <c r="AG244" s="26">
        <f>IF(B244="","",WORKDAY(B244,10))</f>
        <v/>
      </c>
      <c r="AH244" s="26" t="n"/>
    </row>
    <row r="245">
      <c r="A245" s="22" t="n"/>
      <c r="B245" s="22" t="n"/>
      <c r="C245" s="26" t="n"/>
      <c r="D245" s="27" t="n"/>
      <c r="E245" s="22" t="n"/>
      <c r="F245" s="26" t="n"/>
      <c r="G245" s="22" t="n"/>
      <c r="H245" s="26">
        <f>IF(G245="","",IFERROR(VLOOKUP(G245,板块观察!A:Z,19,FALSE),""))</f>
        <v/>
      </c>
      <c r="I245" s="26">
        <f>IF(G245="","",IFERROR(VLOOKUP(G245,板块观察!A:Z,20,FALSE),""))</f>
        <v/>
      </c>
      <c r="J245" s="22" t="n"/>
      <c r="K245" s="22" t="n"/>
      <c r="L245" s="22" t="n"/>
      <c r="M245" s="22" t="n"/>
      <c r="N245" s="22" t="n"/>
      <c r="O245" s="22" t="n"/>
      <c r="P245" s="22" t="n"/>
      <c r="Q245" s="28" t="n"/>
      <c r="R245" s="22" t="n"/>
      <c r="S245" s="29" t="n"/>
      <c r="T245" s="29" t="n"/>
      <c r="U245" s="29" t="n"/>
      <c r="V245" s="22" t="n"/>
      <c r="W245" s="22" t="n"/>
      <c r="X245" s="22" t="n"/>
      <c r="Y245" s="22" t="n"/>
      <c r="Z245" s="22" t="n"/>
      <c r="AA245" s="22" t="n"/>
      <c r="AB245" s="22" t="n"/>
      <c r="AC245" s="29" t="n"/>
      <c r="AD245" s="30">
        <f>IF(A245="","",(COUNTA(A245:G245)+COUNTA(J245:AC245))/27)</f>
        <v/>
      </c>
      <c r="AE245" s="26">
        <f>IF(B245="","",WORKDAY(B245,3))</f>
        <v/>
      </c>
      <c r="AF245" s="26">
        <f>IF(B245="","",WORKDAY(B245,5))</f>
        <v/>
      </c>
      <c r="AG245" s="26">
        <f>IF(B245="","",WORKDAY(B245,10))</f>
        <v/>
      </c>
      <c r="AH245" s="26" t="n"/>
    </row>
    <row r="246">
      <c r="A246" s="22" t="n"/>
      <c r="B246" s="22" t="n"/>
      <c r="C246" s="26" t="n"/>
      <c r="D246" s="27" t="n"/>
      <c r="E246" s="22" t="n"/>
      <c r="F246" s="26" t="n"/>
      <c r="G246" s="22" t="n"/>
      <c r="H246" s="26">
        <f>IF(G246="","",IFERROR(VLOOKUP(G246,板块观察!A:Z,19,FALSE),""))</f>
        <v/>
      </c>
      <c r="I246" s="26">
        <f>IF(G246="","",IFERROR(VLOOKUP(G246,板块观察!A:Z,20,FALSE),""))</f>
        <v/>
      </c>
      <c r="J246" s="22" t="n"/>
      <c r="K246" s="22" t="n"/>
      <c r="L246" s="22" t="n"/>
      <c r="M246" s="22" t="n"/>
      <c r="N246" s="22" t="n"/>
      <c r="O246" s="22" t="n"/>
      <c r="P246" s="22" t="n"/>
      <c r="Q246" s="28" t="n"/>
      <c r="R246" s="22" t="n"/>
      <c r="S246" s="29" t="n"/>
      <c r="T246" s="29" t="n"/>
      <c r="U246" s="29" t="n"/>
      <c r="V246" s="22" t="n"/>
      <c r="W246" s="22" t="n"/>
      <c r="X246" s="22" t="n"/>
      <c r="Y246" s="22" t="n"/>
      <c r="Z246" s="22" t="n"/>
      <c r="AA246" s="22" t="n"/>
      <c r="AB246" s="22" t="n"/>
      <c r="AC246" s="29" t="n"/>
      <c r="AD246" s="30">
        <f>IF(A246="","",(COUNTA(A246:G246)+COUNTA(J246:AC246))/27)</f>
        <v/>
      </c>
      <c r="AE246" s="26">
        <f>IF(B246="","",WORKDAY(B246,3))</f>
        <v/>
      </c>
      <c r="AF246" s="26">
        <f>IF(B246="","",WORKDAY(B246,5))</f>
        <v/>
      </c>
      <c r="AG246" s="26">
        <f>IF(B246="","",WORKDAY(B246,10))</f>
        <v/>
      </c>
      <c r="AH246" s="26" t="n"/>
    </row>
    <row r="247">
      <c r="A247" s="22" t="n"/>
      <c r="B247" s="22" t="n"/>
      <c r="C247" s="26" t="n"/>
      <c r="D247" s="27" t="n"/>
      <c r="E247" s="22" t="n"/>
      <c r="F247" s="26" t="n"/>
      <c r="G247" s="22" t="n"/>
      <c r="H247" s="26">
        <f>IF(G247="","",IFERROR(VLOOKUP(G247,板块观察!A:Z,19,FALSE),""))</f>
        <v/>
      </c>
      <c r="I247" s="26">
        <f>IF(G247="","",IFERROR(VLOOKUP(G247,板块观察!A:Z,20,FALSE),""))</f>
        <v/>
      </c>
      <c r="J247" s="22" t="n"/>
      <c r="K247" s="22" t="n"/>
      <c r="L247" s="22" t="n"/>
      <c r="M247" s="22" t="n"/>
      <c r="N247" s="22" t="n"/>
      <c r="O247" s="22" t="n"/>
      <c r="P247" s="22" t="n"/>
      <c r="Q247" s="28" t="n"/>
      <c r="R247" s="22" t="n"/>
      <c r="S247" s="29" t="n"/>
      <c r="T247" s="29" t="n"/>
      <c r="U247" s="29" t="n"/>
      <c r="V247" s="22" t="n"/>
      <c r="W247" s="22" t="n"/>
      <c r="X247" s="22" t="n"/>
      <c r="Y247" s="22" t="n"/>
      <c r="Z247" s="22" t="n"/>
      <c r="AA247" s="22" t="n"/>
      <c r="AB247" s="22" t="n"/>
      <c r="AC247" s="29" t="n"/>
      <c r="AD247" s="30">
        <f>IF(A247="","",(COUNTA(A247:G247)+COUNTA(J247:AC247))/27)</f>
        <v/>
      </c>
      <c r="AE247" s="26">
        <f>IF(B247="","",WORKDAY(B247,3))</f>
        <v/>
      </c>
      <c r="AF247" s="26">
        <f>IF(B247="","",WORKDAY(B247,5))</f>
        <v/>
      </c>
      <c r="AG247" s="26">
        <f>IF(B247="","",WORKDAY(B247,10))</f>
        <v/>
      </c>
      <c r="AH247" s="26" t="n"/>
    </row>
    <row r="248">
      <c r="A248" s="22" t="n"/>
      <c r="B248" s="22" t="n"/>
      <c r="C248" s="26" t="n"/>
      <c r="D248" s="27" t="n"/>
      <c r="E248" s="22" t="n"/>
      <c r="F248" s="26" t="n"/>
      <c r="G248" s="22" t="n"/>
      <c r="H248" s="26">
        <f>IF(G248="","",IFERROR(VLOOKUP(G248,板块观察!A:Z,19,FALSE),""))</f>
        <v/>
      </c>
      <c r="I248" s="26">
        <f>IF(G248="","",IFERROR(VLOOKUP(G248,板块观察!A:Z,20,FALSE),""))</f>
        <v/>
      </c>
      <c r="J248" s="22" t="n"/>
      <c r="K248" s="22" t="n"/>
      <c r="L248" s="22" t="n"/>
      <c r="M248" s="22" t="n"/>
      <c r="N248" s="22" t="n"/>
      <c r="O248" s="22" t="n"/>
      <c r="P248" s="22" t="n"/>
      <c r="Q248" s="28" t="n"/>
      <c r="R248" s="22" t="n"/>
      <c r="S248" s="29" t="n"/>
      <c r="T248" s="29" t="n"/>
      <c r="U248" s="29" t="n"/>
      <c r="V248" s="22" t="n"/>
      <c r="W248" s="22" t="n"/>
      <c r="X248" s="22" t="n"/>
      <c r="Y248" s="22" t="n"/>
      <c r="Z248" s="22" t="n"/>
      <c r="AA248" s="22" t="n"/>
      <c r="AB248" s="22" t="n"/>
      <c r="AC248" s="29" t="n"/>
      <c r="AD248" s="30">
        <f>IF(A248="","",(COUNTA(A248:G248)+COUNTA(J248:AC248))/27)</f>
        <v/>
      </c>
      <c r="AE248" s="26">
        <f>IF(B248="","",WORKDAY(B248,3))</f>
        <v/>
      </c>
      <c r="AF248" s="26">
        <f>IF(B248="","",WORKDAY(B248,5))</f>
        <v/>
      </c>
      <c r="AG248" s="26">
        <f>IF(B248="","",WORKDAY(B248,10))</f>
        <v/>
      </c>
      <c r="AH248" s="26" t="n"/>
    </row>
    <row r="249">
      <c r="A249" s="22" t="n"/>
      <c r="B249" s="22" t="n"/>
      <c r="C249" s="26" t="n"/>
      <c r="D249" s="27" t="n"/>
      <c r="E249" s="22" t="n"/>
      <c r="F249" s="26" t="n"/>
      <c r="G249" s="22" t="n"/>
      <c r="H249" s="26">
        <f>IF(G249="","",IFERROR(VLOOKUP(G249,板块观察!A:Z,19,FALSE),""))</f>
        <v/>
      </c>
      <c r="I249" s="26">
        <f>IF(G249="","",IFERROR(VLOOKUP(G249,板块观察!A:Z,20,FALSE),""))</f>
        <v/>
      </c>
      <c r="J249" s="22" t="n"/>
      <c r="K249" s="22" t="n"/>
      <c r="L249" s="22" t="n"/>
      <c r="M249" s="22" t="n"/>
      <c r="N249" s="22" t="n"/>
      <c r="O249" s="22" t="n"/>
      <c r="P249" s="22" t="n"/>
      <c r="Q249" s="28" t="n"/>
      <c r="R249" s="22" t="n"/>
      <c r="S249" s="29" t="n"/>
      <c r="T249" s="29" t="n"/>
      <c r="U249" s="29" t="n"/>
      <c r="V249" s="22" t="n"/>
      <c r="W249" s="22" t="n"/>
      <c r="X249" s="22" t="n"/>
      <c r="Y249" s="22" t="n"/>
      <c r="Z249" s="22" t="n"/>
      <c r="AA249" s="22" t="n"/>
      <c r="AB249" s="22" t="n"/>
      <c r="AC249" s="29" t="n"/>
      <c r="AD249" s="30">
        <f>IF(A249="","",(COUNTA(A249:G249)+COUNTA(J249:AC249))/27)</f>
        <v/>
      </c>
      <c r="AE249" s="26">
        <f>IF(B249="","",WORKDAY(B249,3))</f>
        <v/>
      </c>
      <c r="AF249" s="26">
        <f>IF(B249="","",WORKDAY(B249,5))</f>
        <v/>
      </c>
      <c r="AG249" s="26">
        <f>IF(B249="","",WORKDAY(B249,10))</f>
        <v/>
      </c>
      <c r="AH249" s="26" t="n"/>
    </row>
    <row r="250">
      <c r="A250" s="22" t="n"/>
      <c r="B250" s="22" t="n"/>
      <c r="C250" s="26" t="n"/>
      <c r="D250" s="27" t="n"/>
      <c r="E250" s="22" t="n"/>
      <c r="F250" s="26" t="n"/>
      <c r="G250" s="22" t="n"/>
      <c r="H250" s="26">
        <f>IF(G250="","",IFERROR(VLOOKUP(G250,板块观察!A:Z,19,FALSE),""))</f>
        <v/>
      </c>
      <c r="I250" s="26">
        <f>IF(G250="","",IFERROR(VLOOKUP(G250,板块观察!A:Z,20,FALSE),""))</f>
        <v/>
      </c>
      <c r="J250" s="22" t="n"/>
      <c r="K250" s="22" t="n"/>
      <c r="L250" s="22" t="n"/>
      <c r="M250" s="22" t="n"/>
      <c r="N250" s="22" t="n"/>
      <c r="O250" s="22" t="n"/>
      <c r="P250" s="22" t="n"/>
      <c r="Q250" s="28" t="n"/>
      <c r="R250" s="22" t="n"/>
      <c r="S250" s="29" t="n"/>
      <c r="T250" s="29" t="n"/>
      <c r="U250" s="29" t="n"/>
      <c r="V250" s="22" t="n"/>
      <c r="W250" s="22" t="n"/>
      <c r="X250" s="22" t="n"/>
      <c r="Y250" s="22" t="n"/>
      <c r="Z250" s="22" t="n"/>
      <c r="AA250" s="22" t="n"/>
      <c r="AB250" s="22" t="n"/>
      <c r="AC250" s="29" t="n"/>
      <c r="AD250" s="30">
        <f>IF(A250="","",(COUNTA(A250:G250)+COUNTA(J250:AC250))/27)</f>
        <v/>
      </c>
      <c r="AE250" s="26">
        <f>IF(B250="","",WORKDAY(B250,3))</f>
        <v/>
      </c>
      <c r="AF250" s="26">
        <f>IF(B250="","",WORKDAY(B250,5))</f>
        <v/>
      </c>
      <c r="AG250" s="26">
        <f>IF(B250="","",WORKDAY(B250,10))</f>
        <v/>
      </c>
      <c r="AH250" s="26" t="n"/>
    </row>
    <row r="251">
      <c r="A251" s="22" t="n"/>
      <c r="B251" s="22" t="n"/>
      <c r="C251" s="26" t="n"/>
      <c r="D251" s="27" t="n"/>
      <c r="E251" s="22" t="n"/>
      <c r="F251" s="26" t="n"/>
      <c r="G251" s="22" t="n"/>
      <c r="H251" s="26">
        <f>IF(G251="","",IFERROR(VLOOKUP(G251,板块观察!A:Z,19,FALSE),""))</f>
        <v/>
      </c>
      <c r="I251" s="26">
        <f>IF(G251="","",IFERROR(VLOOKUP(G251,板块观察!A:Z,20,FALSE),""))</f>
        <v/>
      </c>
      <c r="J251" s="22" t="n"/>
      <c r="K251" s="22" t="n"/>
      <c r="L251" s="22" t="n"/>
      <c r="M251" s="22" t="n"/>
      <c r="N251" s="22" t="n"/>
      <c r="O251" s="22" t="n"/>
      <c r="P251" s="22" t="n"/>
      <c r="Q251" s="28" t="n"/>
      <c r="R251" s="22" t="n"/>
      <c r="S251" s="29" t="n"/>
      <c r="T251" s="29" t="n"/>
      <c r="U251" s="29" t="n"/>
      <c r="V251" s="22" t="n"/>
      <c r="W251" s="22" t="n"/>
      <c r="X251" s="22" t="n"/>
      <c r="Y251" s="22" t="n"/>
      <c r="Z251" s="22" t="n"/>
      <c r="AA251" s="22" t="n"/>
      <c r="AB251" s="22" t="n"/>
      <c r="AC251" s="29" t="n"/>
      <c r="AD251" s="30">
        <f>IF(A251="","",(COUNTA(A251:G251)+COUNTA(J251:AC251))/27)</f>
        <v/>
      </c>
      <c r="AE251" s="26">
        <f>IF(B251="","",WORKDAY(B251,3))</f>
        <v/>
      </c>
      <c r="AF251" s="26">
        <f>IF(B251="","",WORKDAY(B251,5))</f>
        <v/>
      </c>
      <c r="AG251" s="26">
        <f>IF(B251="","",WORKDAY(B251,10))</f>
        <v/>
      </c>
      <c r="AH251" s="26" t="n"/>
    </row>
    <row r="252">
      <c r="A252" s="22" t="n"/>
      <c r="B252" s="22" t="n"/>
      <c r="C252" s="26" t="n"/>
      <c r="D252" s="27" t="n"/>
      <c r="E252" s="22" t="n"/>
      <c r="F252" s="26" t="n"/>
      <c r="G252" s="22" t="n"/>
      <c r="H252" s="26">
        <f>IF(G252="","",IFERROR(VLOOKUP(G252,板块观察!A:Z,19,FALSE),""))</f>
        <v/>
      </c>
      <c r="I252" s="26">
        <f>IF(G252="","",IFERROR(VLOOKUP(G252,板块观察!A:Z,20,FALSE),""))</f>
        <v/>
      </c>
      <c r="J252" s="22" t="n"/>
      <c r="K252" s="22" t="n"/>
      <c r="L252" s="22" t="n"/>
      <c r="M252" s="22" t="n"/>
      <c r="N252" s="22" t="n"/>
      <c r="O252" s="22" t="n"/>
      <c r="P252" s="22" t="n"/>
      <c r="Q252" s="28" t="n"/>
      <c r="R252" s="22" t="n"/>
      <c r="S252" s="29" t="n"/>
      <c r="T252" s="29" t="n"/>
      <c r="U252" s="29" t="n"/>
      <c r="V252" s="22" t="n"/>
      <c r="W252" s="22" t="n"/>
      <c r="X252" s="22" t="n"/>
      <c r="Y252" s="22" t="n"/>
      <c r="Z252" s="22" t="n"/>
      <c r="AA252" s="22" t="n"/>
      <c r="AB252" s="22" t="n"/>
      <c r="AC252" s="29" t="n"/>
      <c r="AD252" s="30">
        <f>IF(A252="","",(COUNTA(A252:G252)+COUNTA(J252:AC252))/27)</f>
        <v/>
      </c>
      <c r="AE252" s="26">
        <f>IF(B252="","",WORKDAY(B252,3))</f>
        <v/>
      </c>
      <c r="AF252" s="26">
        <f>IF(B252="","",WORKDAY(B252,5))</f>
        <v/>
      </c>
      <c r="AG252" s="26">
        <f>IF(B252="","",WORKDAY(B252,10))</f>
        <v/>
      </c>
      <c r="AH252" s="26" t="n"/>
    </row>
    <row r="253">
      <c r="A253" s="22" t="n"/>
      <c r="B253" s="22" t="n"/>
      <c r="C253" s="26" t="n"/>
      <c r="D253" s="27" t="n"/>
      <c r="E253" s="22" t="n"/>
      <c r="F253" s="26" t="n"/>
      <c r="G253" s="22" t="n"/>
      <c r="H253" s="26">
        <f>IF(G253="","",IFERROR(VLOOKUP(G253,板块观察!A:Z,19,FALSE),""))</f>
        <v/>
      </c>
      <c r="I253" s="26">
        <f>IF(G253="","",IFERROR(VLOOKUP(G253,板块观察!A:Z,20,FALSE),""))</f>
        <v/>
      </c>
      <c r="J253" s="22" t="n"/>
      <c r="K253" s="22" t="n"/>
      <c r="L253" s="22" t="n"/>
      <c r="M253" s="22" t="n"/>
      <c r="N253" s="22" t="n"/>
      <c r="O253" s="22" t="n"/>
      <c r="P253" s="22" t="n"/>
      <c r="Q253" s="28" t="n"/>
      <c r="R253" s="22" t="n"/>
      <c r="S253" s="29" t="n"/>
      <c r="T253" s="29" t="n"/>
      <c r="U253" s="29" t="n"/>
      <c r="V253" s="22" t="n"/>
      <c r="W253" s="22" t="n"/>
      <c r="X253" s="22" t="n"/>
      <c r="Y253" s="22" t="n"/>
      <c r="Z253" s="22" t="n"/>
      <c r="AA253" s="22" t="n"/>
      <c r="AB253" s="22" t="n"/>
      <c r="AC253" s="29" t="n"/>
      <c r="AD253" s="30">
        <f>IF(A253="","",(COUNTA(A253:G253)+COUNTA(J253:AC253))/27)</f>
        <v/>
      </c>
      <c r="AE253" s="26">
        <f>IF(B253="","",WORKDAY(B253,3))</f>
        <v/>
      </c>
      <c r="AF253" s="26">
        <f>IF(B253="","",WORKDAY(B253,5))</f>
        <v/>
      </c>
      <c r="AG253" s="26">
        <f>IF(B253="","",WORKDAY(B253,10))</f>
        <v/>
      </c>
      <c r="AH253" s="26" t="n"/>
    </row>
    <row r="254">
      <c r="A254" s="22" t="n"/>
      <c r="B254" s="22" t="n"/>
      <c r="C254" s="26" t="n"/>
      <c r="D254" s="27" t="n"/>
      <c r="E254" s="22" t="n"/>
      <c r="F254" s="26" t="n"/>
      <c r="G254" s="22" t="n"/>
      <c r="H254" s="26">
        <f>IF(G254="","",IFERROR(VLOOKUP(G254,板块观察!A:Z,19,FALSE),""))</f>
        <v/>
      </c>
      <c r="I254" s="26">
        <f>IF(G254="","",IFERROR(VLOOKUP(G254,板块观察!A:Z,20,FALSE),""))</f>
        <v/>
      </c>
      <c r="J254" s="22" t="n"/>
      <c r="K254" s="22" t="n"/>
      <c r="L254" s="22" t="n"/>
      <c r="M254" s="22" t="n"/>
      <c r="N254" s="22" t="n"/>
      <c r="O254" s="22" t="n"/>
      <c r="P254" s="22" t="n"/>
      <c r="Q254" s="28" t="n"/>
      <c r="R254" s="22" t="n"/>
      <c r="S254" s="29" t="n"/>
      <c r="T254" s="29" t="n"/>
      <c r="U254" s="29" t="n"/>
      <c r="V254" s="22" t="n"/>
      <c r="W254" s="22" t="n"/>
      <c r="X254" s="22" t="n"/>
      <c r="Y254" s="22" t="n"/>
      <c r="Z254" s="22" t="n"/>
      <c r="AA254" s="22" t="n"/>
      <c r="AB254" s="22" t="n"/>
      <c r="AC254" s="29" t="n"/>
      <c r="AD254" s="30">
        <f>IF(A254="","",(COUNTA(A254:G254)+COUNTA(J254:AC254))/27)</f>
        <v/>
      </c>
      <c r="AE254" s="26">
        <f>IF(B254="","",WORKDAY(B254,3))</f>
        <v/>
      </c>
      <c r="AF254" s="26">
        <f>IF(B254="","",WORKDAY(B254,5))</f>
        <v/>
      </c>
      <c r="AG254" s="26">
        <f>IF(B254="","",WORKDAY(B254,10))</f>
        <v/>
      </c>
      <c r="AH254" s="26" t="n"/>
    </row>
    <row r="255">
      <c r="A255" s="22" t="n"/>
      <c r="B255" s="22" t="n"/>
      <c r="C255" s="26" t="n"/>
      <c r="D255" s="27" t="n"/>
      <c r="E255" s="22" t="n"/>
      <c r="F255" s="26" t="n"/>
      <c r="G255" s="22" t="n"/>
      <c r="H255" s="26">
        <f>IF(G255="","",IFERROR(VLOOKUP(G255,板块观察!A:Z,19,FALSE),""))</f>
        <v/>
      </c>
      <c r="I255" s="26">
        <f>IF(G255="","",IFERROR(VLOOKUP(G255,板块观察!A:Z,20,FALSE),""))</f>
        <v/>
      </c>
      <c r="J255" s="22" t="n"/>
      <c r="K255" s="22" t="n"/>
      <c r="L255" s="22" t="n"/>
      <c r="M255" s="22" t="n"/>
      <c r="N255" s="22" t="n"/>
      <c r="O255" s="22" t="n"/>
      <c r="P255" s="22" t="n"/>
      <c r="Q255" s="28" t="n"/>
      <c r="R255" s="22" t="n"/>
      <c r="S255" s="29" t="n"/>
      <c r="T255" s="29" t="n"/>
      <c r="U255" s="29" t="n"/>
      <c r="V255" s="22" t="n"/>
      <c r="W255" s="22" t="n"/>
      <c r="X255" s="22" t="n"/>
      <c r="Y255" s="22" t="n"/>
      <c r="Z255" s="22" t="n"/>
      <c r="AA255" s="22" t="n"/>
      <c r="AB255" s="22" t="n"/>
      <c r="AC255" s="29" t="n"/>
      <c r="AD255" s="30">
        <f>IF(A255="","",(COUNTA(A255:G255)+COUNTA(J255:AC255))/27)</f>
        <v/>
      </c>
      <c r="AE255" s="26">
        <f>IF(B255="","",WORKDAY(B255,3))</f>
        <v/>
      </c>
      <c r="AF255" s="26">
        <f>IF(B255="","",WORKDAY(B255,5))</f>
        <v/>
      </c>
      <c r="AG255" s="26">
        <f>IF(B255="","",WORKDAY(B255,10))</f>
        <v/>
      </c>
      <c r="AH255" s="26" t="n"/>
    </row>
    <row r="256">
      <c r="A256" s="22" t="n"/>
      <c r="B256" s="22" t="n"/>
      <c r="C256" s="26" t="n"/>
      <c r="D256" s="27" t="n"/>
      <c r="E256" s="22" t="n"/>
      <c r="F256" s="26" t="n"/>
      <c r="G256" s="22" t="n"/>
      <c r="H256" s="26">
        <f>IF(G256="","",IFERROR(VLOOKUP(G256,板块观察!A:Z,19,FALSE),""))</f>
        <v/>
      </c>
      <c r="I256" s="26">
        <f>IF(G256="","",IFERROR(VLOOKUP(G256,板块观察!A:Z,20,FALSE),""))</f>
        <v/>
      </c>
      <c r="J256" s="22" t="n"/>
      <c r="K256" s="22" t="n"/>
      <c r="L256" s="22" t="n"/>
      <c r="M256" s="22" t="n"/>
      <c r="N256" s="22" t="n"/>
      <c r="O256" s="22" t="n"/>
      <c r="P256" s="22" t="n"/>
      <c r="Q256" s="28" t="n"/>
      <c r="R256" s="22" t="n"/>
      <c r="S256" s="29" t="n"/>
      <c r="T256" s="29" t="n"/>
      <c r="U256" s="29" t="n"/>
      <c r="V256" s="22" t="n"/>
      <c r="W256" s="22" t="n"/>
      <c r="X256" s="22" t="n"/>
      <c r="Y256" s="22" t="n"/>
      <c r="Z256" s="22" t="n"/>
      <c r="AA256" s="22" t="n"/>
      <c r="AB256" s="22" t="n"/>
      <c r="AC256" s="29" t="n"/>
      <c r="AD256" s="30">
        <f>IF(A256="","",(COUNTA(A256:G256)+COUNTA(J256:AC256))/27)</f>
        <v/>
      </c>
      <c r="AE256" s="26">
        <f>IF(B256="","",WORKDAY(B256,3))</f>
        <v/>
      </c>
      <c r="AF256" s="26">
        <f>IF(B256="","",WORKDAY(B256,5))</f>
        <v/>
      </c>
      <c r="AG256" s="26">
        <f>IF(B256="","",WORKDAY(B256,10))</f>
        <v/>
      </c>
      <c r="AH256" s="26" t="n"/>
    </row>
    <row r="257">
      <c r="A257" s="22" t="n"/>
      <c r="B257" s="22" t="n"/>
      <c r="C257" s="26" t="n"/>
      <c r="D257" s="27" t="n"/>
      <c r="E257" s="22" t="n"/>
      <c r="F257" s="26" t="n"/>
      <c r="G257" s="22" t="n"/>
      <c r="H257" s="26">
        <f>IF(G257="","",IFERROR(VLOOKUP(G257,板块观察!A:Z,19,FALSE),""))</f>
        <v/>
      </c>
      <c r="I257" s="26">
        <f>IF(G257="","",IFERROR(VLOOKUP(G257,板块观察!A:Z,20,FALSE),""))</f>
        <v/>
      </c>
      <c r="J257" s="22" t="n"/>
      <c r="K257" s="22" t="n"/>
      <c r="L257" s="22" t="n"/>
      <c r="M257" s="22" t="n"/>
      <c r="N257" s="22" t="n"/>
      <c r="O257" s="22" t="n"/>
      <c r="P257" s="22" t="n"/>
      <c r="Q257" s="28" t="n"/>
      <c r="R257" s="22" t="n"/>
      <c r="S257" s="29" t="n"/>
      <c r="T257" s="29" t="n"/>
      <c r="U257" s="29" t="n"/>
      <c r="V257" s="22" t="n"/>
      <c r="W257" s="22" t="n"/>
      <c r="X257" s="22" t="n"/>
      <c r="Y257" s="22" t="n"/>
      <c r="Z257" s="22" t="n"/>
      <c r="AA257" s="22" t="n"/>
      <c r="AB257" s="22" t="n"/>
      <c r="AC257" s="29" t="n"/>
      <c r="AD257" s="30">
        <f>IF(A257="","",(COUNTA(A257:G257)+COUNTA(J257:AC257))/27)</f>
        <v/>
      </c>
      <c r="AE257" s="26">
        <f>IF(B257="","",WORKDAY(B257,3))</f>
        <v/>
      </c>
      <c r="AF257" s="26">
        <f>IF(B257="","",WORKDAY(B257,5))</f>
        <v/>
      </c>
      <c r="AG257" s="26">
        <f>IF(B257="","",WORKDAY(B257,10))</f>
        <v/>
      </c>
      <c r="AH257" s="26" t="n"/>
    </row>
    <row r="258">
      <c r="A258" s="22" t="n"/>
      <c r="B258" s="22" t="n"/>
      <c r="C258" s="26" t="n"/>
      <c r="D258" s="27" t="n"/>
      <c r="E258" s="22" t="n"/>
      <c r="F258" s="26" t="n"/>
      <c r="G258" s="22" t="n"/>
      <c r="H258" s="26">
        <f>IF(G258="","",IFERROR(VLOOKUP(G258,板块观察!A:Z,19,FALSE),""))</f>
        <v/>
      </c>
      <c r="I258" s="26">
        <f>IF(G258="","",IFERROR(VLOOKUP(G258,板块观察!A:Z,20,FALSE),""))</f>
        <v/>
      </c>
      <c r="J258" s="22" t="n"/>
      <c r="K258" s="22" t="n"/>
      <c r="L258" s="22" t="n"/>
      <c r="M258" s="22" t="n"/>
      <c r="N258" s="22" t="n"/>
      <c r="O258" s="22" t="n"/>
      <c r="P258" s="22" t="n"/>
      <c r="Q258" s="28" t="n"/>
      <c r="R258" s="22" t="n"/>
      <c r="S258" s="29" t="n"/>
      <c r="T258" s="29" t="n"/>
      <c r="U258" s="29" t="n"/>
      <c r="V258" s="22" t="n"/>
      <c r="W258" s="22" t="n"/>
      <c r="X258" s="22" t="n"/>
      <c r="Y258" s="22" t="n"/>
      <c r="Z258" s="22" t="n"/>
      <c r="AA258" s="22" t="n"/>
      <c r="AB258" s="22" t="n"/>
      <c r="AC258" s="29" t="n"/>
      <c r="AD258" s="30">
        <f>IF(A258="","",(COUNTA(A258:G258)+COUNTA(J258:AC258))/27)</f>
        <v/>
      </c>
      <c r="AE258" s="26">
        <f>IF(B258="","",WORKDAY(B258,3))</f>
        <v/>
      </c>
      <c r="AF258" s="26">
        <f>IF(B258="","",WORKDAY(B258,5))</f>
        <v/>
      </c>
      <c r="AG258" s="26">
        <f>IF(B258="","",WORKDAY(B258,10))</f>
        <v/>
      </c>
      <c r="AH258" s="26" t="n"/>
    </row>
    <row r="259">
      <c r="A259" s="22" t="n"/>
      <c r="B259" s="22" t="n"/>
      <c r="C259" s="26" t="n"/>
      <c r="D259" s="27" t="n"/>
      <c r="E259" s="22" t="n"/>
      <c r="F259" s="26" t="n"/>
      <c r="G259" s="22" t="n"/>
      <c r="H259" s="26">
        <f>IF(G259="","",IFERROR(VLOOKUP(G259,板块观察!A:Z,19,FALSE),""))</f>
        <v/>
      </c>
      <c r="I259" s="26">
        <f>IF(G259="","",IFERROR(VLOOKUP(G259,板块观察!A:Z,20,FALSE),""))</f>
        <v/>
      </c>
      <c r="J259" s="22" t="n"/>
      <c r="K259" s="22" t="n"/>
      <c r="L259" s="22" t="n"/>
      <c r="M259" s="22" t="n"/>
      <c r="N259" s="22" t="n"/>
      <c r="O259" s="22" t="n"/>
      <c r="P259" s="22" t="n"/>
      <c r="Q259" s="28" t="n"/>
      <c r="R259" s="22" t="n"/>
      <c r="S259" s="29" t="n"/>
      <c r="T259" s="29" t="n"/>
      <c r="U259" s="29" t="n"/>
      <c r="V259" s="22" t="n"/>
      <c r="W259" s="22" t="n"/>
      <c r="X259" s="22" t="n"/>
      <c r="Y259" s="22" t="n"/>
      <c r="Z259" s="22" t="n"/>
      <c r="AA259" s="22" t="n"/>
      <c r="AB259" s="22" t="n"/>
      <c r="AC259" s="29" t="n"/>
      <c r="AD259" s="30">
        <f>IF(A259="","",(COUNTA(A259:G259)+COUNTA(J259:AC259))/27)</f>
        <v/>
      </c>
      <c r="AE259" s="26">
        <f>IF(B259="","",WORKDAY(B259,3))</f>
        <v/>
      </c>
      <c r="AF259" s="26">
        <f>IF(B259="","",WORKDAY(B259,5))</f>
        <v/>
      </c>
      <c r="AG259" s="26">
        <f>IF(B259="","",WORKDAY(B259,10))</f>
        <v/>
      </c>
      <c r="AH259" s="26" t="n"/>
    </row>
    <row r="260">
      <c r="A260" s="22" t="n"/>
      <c r="B260" s="22" t="n"/>
      <c r="C260" s="26" t="n"/>
      <c r="D260" s="27" t="n"/>
      <c r="E260" s="22" t="n"/>
      <c r="F260" s="26" t="n"/>
      <c r="G260" s="22" t="n"/>
      <c r="H260" s="26">
        <f>IF(G260="","",IFERROR(VLOOKUP(G260,板块观察!A:Z,19,FALSE),""))</f>
        <v/>
      </c>
      <c r="I260" s="26">
        <f>IF(G260="","",IFERROR(VLOOKUP(G260,板块观察!A:Z,20,FALSE),""))</f>
        <v/>
      </c>
      <c r="J260" s="22" t="n"/>
      <c r="K260" s="22" t="n"/>
      <c r="L260" s="22" t="n"/>
      <c r="M260" s="22" t="n"/>
      <c r="N260" s="22" t="n"/>
      <c r="O260" s="22" t="n"/>
      <c r="P260" s="22" t="n"/>
      <c r="Q260" s="28" t="n"/>
      <c r="R260" s="22" t="n"/>
      <c r="S260" s="29" t="n"/>
      <c r="T260" s="29" t="n"/>
      <c r="U260" s="29" t="n"/>
      <c r="V260" s="22" t="n"/>
      <c r="W260" s="22" t="n"/>
      <c r="X260" s="22" t="n"/>
      <c r="Y260" s="22" t="n"/>
      <c r="Z260" s="22" t="n"/>
      <c r="AA260" s="22" t="n"/>
      <c r="AB260" s="22" t="n"/>
      <c r="AC260" s="29" t="n"/>
      <c r="AD260" s="30">
        <f>IF(A260="","",(COUNTA(A260:G260)+COUNTA(J260:AC260))/27)</f>
        <v/>
      </c>
      <c r="AE260" s="26">
        <f>IF(B260="","",WORKDAY(B260,3))</f>
        <v/>
      </c>
      <c r="AF260" s="26">
        <f>IF(B260="","",WORKDAY(B260,5))</f>
        <v/>
      </c>
      <c r="AG260" s="26">
        <f>IF(B260="","",WORKDAY(B260,10))</f>
        <v/>
      </c>
      <c r="AH260" s="26" t="n"/>
    </row>
    <row r="261">
      <c r="A261" s="22" t="n"/>
      <c r="B261" s="22" t="n"/>
      <c r="C261" s="26" t="n"/>
      <c r="D261" s="27" t="n"/>
      <c r="E261" s="22" t="n"/>
      <c r="F261" s="26" t="n"/>
      <c r="G261" s="22" t="n"/>
      <c r="H261" s="26">
        <f>IF(G261="","",IFERROR(VLOOKUP(G261,板块观察!A:Z,19,FALSE),""))</f>
        <v/>
      </c>
      <c r="I261" s="26">
        <f>IF(G261="","",IFERROR(VLOOKUP(G261,板块观察!A:Z,20,FALSE),""))</f>
        <v/>
      </c>
      <c r="J261" s="22" t="n"/>
      <c r="K261" s="22" t="n"/>
      <c r="L261" s="22" t="n"/>
      <c r="M261" s="22" t="n"/>
      <c r="N261" s="22" t="n"/>
      <c r="O261" s="22" t="n"/>
      <c r="P261" s="22" t="n"/>
      <c r="Q261" s="28" t="n"/>
      <c r="R261" s="22" t="n"/>
      <c r="S261" s="29" t="n"/>
      <c r="T261" s="29" t="n"/>
      <c r="U261" s="29" t="n"/>
      <c r="V261" s="22" t="n"/>
      <c r="W261" s="22" t="n"/>
      <c r="X261" s="22" t="n"/>
      <c r="Y261" s="22" t="n"/>
      <c r="Z261" s="22" t="n"/>
      <c r="AA261" s="22" t="n"/>
      <c r="AB261" s="22" t="n"/>
      <c r="AC261" s="29" t="n"/>
      <c r="AD261" s="30">
        <f>IF(A261="","",(COUNTA(A261:G261)+COUNTA(J261:AC261))/27)</f>
        <v/>
      </c>
      <c r="AE261" s="26">
        <f>IF(B261="","",WORKDAY(B261,3))</f>
        <v/>
      </c>
      <c r="AF261" s="26">
        <f>IF(B261="","",WORKDAY(B261,5))</f>
        <v/>
      </c>
      <c r="AG261" s="26">
        <f>IF(B261="","",WORKDAY(B261,10))</f>
        <v/>
      </c>
      <c r="AH261" s="26" t="n"/>
    </row>
    <row r="262">
      <c r="A262" s="22" t="n"/>
      <c r="B262" s="22" t="n"/>
      <c r="C262" s="26" t="n"/>
      <c r="D262" s="27" t="n"/>
      <c r="E262" s="22" t="n"/>
      <c r="F262" s="26" t="n"/>
      <c r="G262" s="22" t="n"/>
      <c r="H262" s="26">
        <f>IF(G262="","",IFERROR(VLOOKUP(G262,板块观察!A:Z,19,FALSE),""))</f>
        <v/>
      </c>
      <c r="I262" s="26">
        <f>IF(G262="","",IFERROR(VLOOKUP(G262,板块观察!A:Z,20,FALSE),""))</f>
        <v/>
      </c>
      <c r="J262" s="22" t="n"/>
      <c r="K262" s="22" t="n"/>
      <c r="L262" s="22" t="n"/>
      <c r="M262" s="22" t="n"/>
      <c r="N262" s="22" t="n"/>
      <c r="O262" s="22" t="n"/>
      <c r="P262" s="22" t="n"/>
      <c r="Q262" s="28" t="n"/>
      <c r="R262" s="22" t="n"/>
      <c r="S262" s="29" t="n"/>
      <c r="T262" s="29" t="n"/>
      <c r="U262" s="29" t="n"/>
      <c r="V262" s="22" t="n"/>
      <c r="W262" s="22" t="n"/>
      <c r="X262" s="22" t="n"/>
      <c r="Y262" s="22" t="n"/>
      <c r="Z262" s="22" t="n"/>
      <c r="AA262" s="22" t="n"/>
      <c r="AB262" s="22" t="n"/>
      <c r="AC262" s="29" t="n"/>
      <c r="AD262" s="30">
        <f>IF(A262="","",(COUNTA(A262:G262)+COUNTA(J262:AC262))/27)</f>
        <v/>
      </c>
      <c r="AE262" s="26">
        <f>IF(B262="","",WORKDAY(B262,3))</f>
        <v/>
      </c>
      <c r="AF262" s="26">
        <f>IF(B262="","",WORKDAY(B262,5))</f>
        <v/>
      </c>
      <c r="AG262" s="26">
        <f>IF(B262="","",WORKDAY(B262,10))</f>
        <v/>
      </c>
      <c r="AH262" s="26" t="n"/>
    </row>
    <row r="263">
      <c r="A263" s="22" t="n"/>
      <c r="B263" s="22" t="n"/>
      <c r="C263" s="26" t="n"/>
      <c r="D263" s="27" t="n"/>
      <c r="E263" s="22" t="n"/>
      <c r="F263" s="26" t="n"/>
      <c r="G263" s="22" t="n"/>
      <c r="H263" s="26">
        <f>IF(G263="","",IFERROR(VLOOKUP(G263,板块观察!A:Z,19,FALSE),""))</f>
        <v/>
      </c>
      <c r="I263" s="26">
        <f>IF(G263="","",IFERROR(VLOOKUP(G263,板块观察!A:Z,20,FALSE),""))</f>
        <v/>
      </c>
      <c r="J263" s="22" t="n"/>
      <c r="K263" s="22" t="n"/>
      <c r="L263" s="22" t="n"/>
      <c r="M263" s="22" t="n"/>
      <c r="N263" s="22" t="n"/>
      <c r="O263" s="22" t="n"/>
      <c r="P263" s="22" t="n"/>
      <c r="Q263" s="28" t="n"/>
      <c r="R263" s="22" t="n"/>
      <c r="S263" s="29" t="n"/>
      <c r="T263" s="29" t="n"/>
      <c r="U263" s="29" t="n"/>
      <c r="V263" s="22" t="n"/>
      <c r="W263" s="22" t="n"/>
      <c r="X263" s="22" t="n"/>
      <c r="Y263" s="22" t="n"/>
      <c r="Z263" s="22" t="n"/>
      <c r="AA263" s="22" t="n"/>
      <c r="AB263" s="22" t="n"/>
      <c r="AC263" s="29" t="n"/>
      <c r="AD263" s="30">
        <f>IF(A263="","",(COUNTA(A263:G263)+COUNTA(J263:AC263))/27)</f>
        <v/>
      </c>
      <c r="AE263" s="26">
        <f>IF(B263="","",WORKDAY(B263,3))</f>
        <v/>
      </c>
      <c r="AF263" s="26">
        <f>IF(B263="","",WORKDAY(B263,5))</f>
        <v/>
      </c>
      <c r="AG263" s="26">
        <f>IF(B263="","",WORKDAY(B263,10))</f>
        <v/>
      </c>
      <c r="AH263" s="26" t="n"/>
    </row>
    <row r="264">
      <c r="A264" s="22" t="n"/>
      <c r="B264" s="22" t="n"/>
      <c r="C264" s="26" t="n"/>
      <c r="D264" s="27" t="n"/>
      <c r="E264" s="22" t="n"/>
      <c r="F264" s="26" t="n"/>
      <c r="G264" s="22" t="n"/>
      <c r="H264" s="26">
        <f>IF(G264="","",IFERROR(VLOOKUP(G264,板块观察!A:Z,19,FALSE),""))</f>
        <v/>
      </c>
      <c r="I264" s="26">
        <f>IF(G264="","",IFERROR(VLOOKUP(G264,板块观察!A:Z,20,FALSE),""))</f>
        <v/>
      </c>
      <c r="J264" s="22" t="n"/>
      <c r="K264" s="22" t="n"/>
      <c r="L264" s="22" t="n"/>
      <c r="M264" s="22" t="n"/>
      <c r="N264" s="22" t="n"/>
      <c r="O264" s="22" t="n"/>
      <c r="P264" s="22" t="n"/>
      <c r="Q264" s="28" t="n"/>
      <c r="R264" s="22" t="n"/>
      <c r="S264" s="29" t="n"/>
      <c r="T264" s="29" t="n"/>
      <c r="U264" s="29" t="n"/>
      <c r="V264" s="22" t="n"/>
      <c r="W264" s="22" t="n"/>
      <c r="X264" s="22" t="n"/>
      <c r="Y264" s="22" t="n"/>
      <c r="Z264" s="22" t="n"/>
      <c r="AA264" s="22" t="n"/>
      <c r="AB264" s="22" t="n"/>
      <c r="AC264" s="29" t="n"/>
      <c r="AD264" s="30">
        <f>IF(A264="","",(COUNTA(A264:G264)+COUNTA(J264:AC264))/27)</f>
        <v/>
      </c>
      <c r="AE264" s="26">
        <f>IF(B264="","",WORKDAY(B264,3))</f>
        <v/>
      </c>
      <c r="AF264" s="26">
        <f>IF(B264="","",WORKDAY(B264,5))</f>
        <v/>
      </c>
      <c r="AG264" s="26">
        <f>IF(B264="","",WORKDAY(B264,10))</f>
        <v/>
      </c>
      <c r="AH264" s="26" t="n"/>
    </row>
    <row r="265">
      <c r="A265" s="22" t="n"/>
      <c r="B265" s="22" t="n"/>
      <c r="C265" s="26" t="n"/>
      <c r="D265" s="27" t="n"/>
      <c r="E265" s="22" t="n"/>
      <c r="F265" s="26" t="n"/>
      <c r="G265" s="22" t="n"/>
      <c r="H265" s="26">
        <f>IF(G265="","",IFERROR(VLOOKUP(G265,板块观察!A:Z,19,FALSE),""))</f>
        <v/>
      </c>
      <c r="I265" s="26">
        <f>IF(G265="","",IFERROR(VLOOKUP(G265,板块观察!A:Z,20,FALSE),""))</f>
        <v/>
      </c>
      <c r="J265" s="22" t="n"/>
      <c r="K265" s="22" t="n"/>
      <c r="L265" s="22" t="n"/>
      <c r="M265" s="22" t="n"/>
      <c r="N265" s="22" t="n"/>
      <c r="O265" s="22" t="n"/>
      <c r="P265" s="22" t="n"/>
      <c r="Q265" s="28" t="n"/>
      <c r="R265" s="22" t="n"/>
      <c r="S265" s="29" t="n"/>
      <c r="T265" s="29" t="n"/>
      <c r="U265" s="29" t="n"/>
      <c r="V265" s="22" t="n"/>
      <c r="W265" s="22" t="n"/>
      <c r="X265" s="22" t="n"/>
      <c r="Y265" s="22" t="n"/>
      <c r="Z265" s="22" t="n"/>
      <c r="AA265" s="22" t="n"/>
      <c r="AB265" s="22" t="n"/>
      <c r="AC265" s="29" t="n"/>
      <c r="AD265" s="30">
        <f>IF(A265="","",(COUNTA(A265:G265)+COUNTA(J265:AC265))/27)</f>
        <v/>
      </c>
      <c r="AE265" s="26">
        <f>IF(B265="","",WORKDAY(B265,3))</f>
        <v/>
      </c>
      <c r="AF265" s="26">
        <f>IF(B265="","",WORKDAY(B265,5))</f>
        <v/>
      </c>
      <c r="AG265" s="26">
        <f>IF(B265="","",WORKDAY(B265,10))</f>
        <v/>
      </c>
      <c r="AH265" s="26" t="n"/>
    </row>
    <row r="266">
      <c r="A266" s="22" t="n"/>
      <c r="B266" s="22" t="n"/>
      <c r="C266" s="26" t="n"/>
      <c r="D266" s="27" t="n"/>
      <c r="E266" s="22" t="n"/>
      <c r="F266" s="26" t="n"/>
      <c r="G266" s="22" t="n"/>
      <c r="H266" s="26">
        <f>IF(G266="","",IFERROR(VLOOKUP(G266,板块观察!A:Z,19,FALSE),""))</f>
        <v/>
      </c>
      <c r="I266" s="26">
        <f>IF(G266="","",IFERROR(VLOOKUP(G266,板块观察!A:Z,20,FALSE),""))</f>
        <v/>
      </c>
      <c r="J266" s="22" t="n"/>
      <c r="K266" s="22" t="n"/>
      <c r="L266" s="22" t="n"/>
      <c r="M266" s="22" t="n"/>
      <c r="N266" s="22" t="n"/>
      <c r="O266" s="22" t="n"/>
      <c r="P266" s="22" t="n"/>
      <c r="Q266" s="28" t="n"/>
      <c r="R266" s="22" t="n"/>
      <c r="S266" s="29" t="n"/>
      <c r="T266" s="29" t="n"/>
      <c r="U266" s="29" t="n"/>
      <c r="V266" s="22" t="n"/>
      <c r="W266" s="22" t="n"/>
      <c r="X266" s="22" t="n"/>
      <c r="Y266" s="22" t="n"/>
      <c r="Z266" s="22" t="n"/>
      <c r="AA266" s="22" t="n"/>
      <c r="AB266" s="22" t="n"/>
      <c r="AC266" s="29" t="n"/>
      <c r="AD266" s="30">
        <f>IF(A266="","",(COUNTA(A266:G266)+COUNTA(J266:AC266))/27)</f>
        <v/>
      </c>
      <c r="AE266" s="26">
        <f>IF(B266="","",WORKDAY(B266,3))</f>
        <v/>
      </c>
      <c r="AF266" s="26">
        <f>IF(B266="","",WORKDAY(B266,5))</f>
        <v/>
      </c>
      <c r="AG266" s="26">
        <f>IF(B266="","",WORKDAY(B266,10))</f>
        <v/>
      </c>
      <c r="AH266" s="26" t="n"/>
    </row>
    <row r="267">
      <c r="A267" s="22" t="n"/>
      <c r="B267" s="22" t="n"/>
      <c r="C267" s="26" t="n"/>
      <c r="D267" s="27" t="n"/>
      <c r="E267" s="22" t="n"/>
      <c r="F267" s="26" t="n"/>
      <c r="G267" s="22" t="n"/>
      <c r="H267" s="26">
        <f>IF(G267="","",IFERROR(VLOOKUP(G267,板块观察!A:Z,19,FALSE),""))</f>
        <v/>
      </c>
      <c r="I267" s="26">
        <f>IF(G267="","",IFERROR(VLOOKUP(G267,板块观察!A:Z,20,FALSE),""))</f>
        <v/>
      </c>
      <c r="J267" s="22" t="n"/>
      <c r="K267" s="22" t="n"/>
      <c r="L267" s="22" t="n"/>
      <c r="M267" s="22" t="n"/>
      <c r="N267" s="22" t="n"/>
      <c r="O267" s="22" t="n"/>
      <c r="P267" s="22" t="n"/>
      <c r="Q267" s="28" t="n"/>
      <c r="R267" s="22" t="n"/>
      <c r="S267" s="29" t="n"/>
      <c r="T267" s="29" t="n"/>
      <c r="U267" s="29" t="n"/>
      <c r="V267" s="22" t="n"/>
      <c r="W267" s="22" t="n"/>
      <c r="X267" s="22" t="n"/>
      <c r="Y267" s="22" t="n"/>
      <c r="Z267" s="22" t="n"/>
      <c r="AA267" s="22" t="n"/>
      <c r="AB267" s="22" t="n"/>
      <c r="AC267" s="29" t="n"/>
      <c r="AD267" s="30">
        <f>IF(A267="","",(COUNTA(A267:G267)+COUNTA(J267:AC267))/27)</f>
        <v/>
      </c>
      <c r="AE267" s="26">
        <f>IF(B267="","",WORKDAY(B267,3))</f>
        <v/>
      </c>
      <c r="AF267" s="26">
        <f>IF(B267="","",WORKDAY(B267,5))</f>
        <v/>
      </c>
      <c r="AG267" s="26">
        <f>IF(B267="","",WORKDAY(B267,10))</f>
        <v/>
      </c>
      <c r="AH267" s="26" t="n"/>
    </row>
    <row r="268">
      <c r="A268" s="22" t="n"/>
      <c r="B268" s="22" t="n"/>
      <c r="C268" s="26" t="n"/>
      <c r="D268" s="27" t="n"/>
      <c r="E268" s="22" t="n"/>
      <c r="F268" s="26" t="n"/>
      <c r="G268" s="22" t="n"/>
      <c r="H268" s="26">
        <f>IF(G268="","",IFERROR(VLOOKUP(G268,板块观察!A:Z,19,FALSE),""))</f>
        <v/>
      </c>
      <c r="I268" s="26">
        <f>IF(G268="","",IFERROR(VLOOKUP(G268,板块观察!A:Z,20,FALSE),""))</f>
        <v/>
      </c>
      <c r="J268" s="22" t="n"/>
      <c r="K268" s="22" t="n"/>
      <c r="L268" s="22" t="n"/>
      <c r="M268" s="22" t="n"/>
      <c r="N268" s="22" t="n"/>
      <c r="O268" s="22" t="n"/>
      <c r="P268" s="22" t="n"/>
      <c r="Q268" s="28" t="n"/>
      <c r="R268" s="22" t="n"/>
      <c r="S268" s="29" t="n"/>
      <c r="T268" s="29" t="n"/>
      <c r="U268" s="29" t="n"/>
      <c r="V268" s="22" t="n"/>
      <c r="W268" s="22" t="n"/>
      <c r="X268" s="22" t="n"/>
      <c r="Y268" s="22" t="n"/>
      <c r="Z268" s="22" t="n"/>
      <c r="AA268" s="22" t="n"/>
      <c r="AB268" s="22" t="n"/>
      <c r="AC268" s="29" t="n"/>
      <c r="AD268" s="30">
        <f>IF(A268="","",(COUNTA(A268:G268)+COUNTA(J268:AC268))/27)</f>
        <v/>
      </c>
      <c r="AE268" s="26">
        <f>IF(B268="","",WORKDAY(B268,3))</f>
        <v/>
      </c>
      <c r="AF268" s="26">
        <f>IF(B268="","",WORKDAY(B268,5))</f>
        <v/>
      </c>
      <c r="AG268" s="26">
        <f>IF(B268="","",WORKDAY(B268,10))</f>
        <v/>
      </c>
      <c r="AH268" s="26" t="n"/>
    </row>
    <row r="269">
      <c r="A269" s="22" t="n"/>
      <c r="B269" s="22" t="n"/>
      <c r="C269" s="26" t="n"/>
      <c r="D269" s="27" t="n"/>
      <c r="E269" s="22" t="n"/>
      <c r="F269" s="26" t="n"/>
      <c r="G269" s="22" t="n"/>
      <c r="H269" s="26">
        <f>IF(G269="","",IFERROR(VLOOKUP(G269,板块观察!A:Z,19,FALSE),""))</f>
        <v/>
      </c>
      <c r="I269" s="26">
        <f>IF(G269="","",IFERROR(VLOOKUP(G269,板块观察!A:Z,20,FALSE),""))</f>
        <v/>
      </c>
      <c r="J269" s="22" t="n"/>
      <c r="K269" s="22" t="n"/>
      <c r="L269" s="22" t="n"/>
      <c r="M269" s="22" t="n"/>
      <c r="N269" s="22" t="n"/>
      <c r="O269" s="22" t="n"/>
      <c r="P269" s="22" t="n"/>
      <c r="Q269" s="28" t="n"/>
      <c r="R269" s="22" t="n"/>
      <c r="S269" s="29" t="n"/>
      <c r="T269" s="29" t="n"/>
      <c r="U269" s="29" t="n"/>
      <c r="V269" s="22" t="n"/>
      <c r="W269" s="22" t="n"/>
      <c r="X269" s="22" t="n"/>
      <c r="Y269" s="22" t="n"/>
      <c r="Z269" s="22" t="n"/>
      <c r="AA269" s="22" t="n"/>
      <c r="AB269" s="22" t="n"/>
      <c r="AC269" s="29" t="n"/>
      <c r="AD269" s="30">
        <f>IF(A269="","",(COUNTA(A269:G269)+COUNTA(J269:AC269))/27)</f>
        <v/>
      </c>
      <c r="AE269" s="26">
        <f>IF(B269="","",WORKDAY(B269,3))</f>
        <v/>
      </c>
      <c r="AF269" s="26">
        <f>IF(B269="","",WORKDAY(B269,5))</f>
        <v/>
      </c>
      <c r="AG269" s="26">
        <f>IF(B269="","",WORKDAY(B269,10))</f>
        <v/>
      </c>
      <c r="AH269" s="26" t="n"/>
    </row>
    <row r="270">
      <c r="A270" s="22" t="n"/>
      <c r="B270" s="22" t="n"/>
      <c r="C270" s="26" t="n"/>
      <c r="D270" s="27" t="n"/>
      <c r="E270" s="22" t="n"/>
      <c r="F270" s="26" t="n"/>
      <c r="G270" s="22" t="n"/>
      <c r="H270" s="26">
        <f>IF(G270="","",IFERROR(VLOOKUP(G270,板块观察!A:Z,19,FALSE),""))</f>
        <v/>
      </c>
      <c r="I270" s="26">
        <f>IF(G270="","",IFERROR(VLOOKUP(G270,板块观察!A:Z,20,FALSE),""))</f>
        <v/>
      </c>
      <c r="J270" s="22" t="n"/>
      <c r="K270" s="22" t="n"/>
      <c r="L270" s="22" t="n"/>
      <c r="M270" s="22" t="n"/>
      <c r="N270" s="22" t="n"/>
      <c r="O270" s="22" t="n"/>
      <c r="P270" s="22" t="n"/>
      <c r="Q270" s="28" t="n"/>
      <c r="R270" s="22" t="n"/>
      <c r="S270" s="29" t="n"/>
      <c r="T270" s="29" t="n"/>
      <c r="U270" s="29" t="n"/>
      <c r="V270" s="22" t="n"/>
      <c r="W270" s="22" t="n"/>
      <c r="X270" s="22" t="n"/>
      <c r="Y270" s="22" t="n"/>
      <c r="Z270" s="22" t="n"/>
      <c r="AA270" s="22" t="n"/>
      <c r="AB270" s="22" t="n"/>
      <c r="AC270" s="29" t="n"/>
      <c r="AD270" s="30">
        <f>IF(A270="","",(COUNTA(A270:G270)+COUNTA(J270:AC270))/27)</f>
        <v/>
      </c>
      <c r="AE270" s="26">
        <f>IF(B270="","",WORKDAY(B270,3))</f>
        <v/>
      </c>
      <c r="AF270" s="26">
        <f>IF(B270="","",WORKDAY(B270,5))</f>
        <v/>
      </c>
      <c r="AG270" s="26">
        <f>IF(B270="","",WORKDAY(B270,10))</f>
        <v/>
      </c>
      <c r="AH270" s="26" t="n"/>
    </row>
    <row r="271">
      <c r="A271" s="22" t="n"/>
      <c r="B271" s="22" t="n"/>
      <c r="C271" s="26" t="n"/>
      <c r="D271" s="27" t="n"/>
      <c r="E271" s="22" t="n"/>
      <c r="F271" s="26" t="n"/>
      <c r="G271" s="22" t="n"/>
      <c r="H271" s="26">
        <f>IF(G271="","",IFERROR(VLOOKUP(G271,板块观察!A:Z,19,FALSE),""))</f>
        <v/>
      </c>
      <c r="I271" s="26">
        <f>IF(G271="","",IFERROR(VLOOKUP(G271,板块观察!A:Z,20,FALSE),""))</f>
        <v/>
      </c>
      <c r="J271" s="22" t="n"/>
      <c r="K271" s="22" t="n"/>
      <c r="L271" s="22" t="n"/>
      <c r="M271" s="22" t="n"/>
      <c r="N271" s="22" t="n"/>
      <c r="O271" s="22" t="n"/>
      <c r="P271" s="22" t="n"/>
      <c r="Q271" s="28" t="n"/>
      <c r="R271" s="22" t="n"/>
      <c r="S271" s="29" t="n"/>
      <c r="T271" s="29" t="n"/>
      <c r="U271" s="29" t="n"/>
      <c r="V271" s="22" t="n"/>
      <c r="W271" s="22" t="n"/>
      <c r="X271" s="22" t="n"/>
      <c r="Y271" s="22" t="n"/>
      <c r="Z271" s="22" t="n"/>
      <c r="AA271" s="22" t="n"/>
      <c r="AB271" s="22" t="n"/>
      <c r="AC271" s="29" t="n"/>
      <c r="AD271" s="30">
        <f>IF(A271="","",(COUNTA(A271:G271)+COUNTA(J271:AC271))/27)</f>
        <v/>
      </c>
      <c r="AE271" s="26">
        <f>IF(B271="","",WORKDAY(B271,3))</f>
        <v/>
      </c>
      <c r="AF271" s="26">
        <f>IF(B271="","",WORKDAY(B271,5))</f>
        <v/>
      </c>
      <c r="AG271" s="26">
        <f>IF(B271="","",WORKDAY(B271,10))</f>
        <v/>
      </c>
      <c r="AH271" s="26" t="n"/>
    </row>
    <row r="272">
      <c r="A272" s="22" t="n"/>
      <c r="B272" s="22" t="n"/>
      <c r="C272" s="26" t="n"/>
      <c r="D272" s="27" t="n"/>
      <c r="E272" s="22" t="n"/>
      <c r="F272" s="26" t="n"/>
      <c r="G272" s="22" t="n"/>
      <c r="H272" s="26">
        <f>IF(G272="","",IFERROR(VLOOKUP(G272,板块观察!A:Z,19,FALSE),""))</f>
        <v/>
      </c>
      <c r="I272" s="26">
        <f>IF(G272="","",IFERROR(VLOOKUP(G272,板块观察!A:Z,20,FALSE),""))</f>
        <v/>
      </c>
      <c r="J272" s="22" t="n"/>
      <c r="K272" s="22" t="n"/>
      <c r="L272" s="22" t="n"/>
      <c r="M272" s="22" t="n"/>
      <c r="N272" s="22" t="n"/>
      <c r="O272" s="22" t="n"/>
      <c r="P272" s="22" t="n"/>
      <c r="Q272" s="28" t="n"/>
      <c r="R272" s="22" t="n"/>
      <c r="S272" s="29" t="n"/>
      <c r="T272" s="29" t="n"/>
      <c r="U272" s="29" t="n"/>
      <c r="V272" s="22" t="n"/>
      <c r="W272" s="22" t="n"/>
      <c r="X272" s="22" t="n"/>
      <c r="Y272" s="22" t="n"/>
      <c r="Z272" s="22" t="n"/>
      <c r="AA272" s="22" t="n"/>
      <c r="AB272" s="22" t="n"/>
      <c r="AC272" s="29" t="n"/>
      <c r="AD272" s="30">
        <f>IF(A272="","",(COUNTA(A272:G272)+COUNTA(J272:AC272))/27)</f>
        <v/>
      </c>
      <c r="AE272" s="26">
        <f>IF(B272="","",WORKDAY(B272,3))</f>
        <v/>
      </c>
      <c r="AF272" s="26">
        <f>IF(B272="","",WORKDAY(B272,5))</f>
        <v/>
      </c>
      <c r="AG272" s="26">
        <f>IF(B272="","",WORKDAY(B272,10))</f>
        <v/>
      </c>
      <c r="AH272" s="26" t="n"/>
    </row>
    <row r="273">
      <c r="A273" s="22" t="n"/>
      <c r="B273" s="22" t="n"/>
      <c r="C273" s="26" t="n"/>
      <c r="D273" s="27" t="n"/>
      <c r="E273" s="22" t="n"/>
      <c r="F273" s="26" t="n"/>
      <c r="G273" s="22" t="n"/>
      <c r="H273" s="26">
        <f>IF(G273="","",IFERROR(VLOOKUP(G273,板块观察!A:Z,19,FALSE),""))</f>
        <v/>
      </c>
      <c r="I273" s="26">
        <f>IF(G273="","",IFERROR(VLOOKUP(G273,板块观察!A:Z,20,FALSE),""))</f>
        <v/>
      </c>
      <c r="J273" s="22" t="n"/>
      <c r="K273" s="22" t="n"/>
      <c r="L273" s="22" t="n"/>
      <c r="M273" s="22" t="n"/>
      <c r="N273" s="22" t="n"/>
      <c r="O273" s="22" t="n"/>
      <c r="P273" s="22" t="n"/>
      <c r="Q273" s="28" t="n"/>
      <c r="R273" s="22" t="n"/>
      <c r="S273" s="29" t="n"/>
      <c r="T273" s="29" t="n"/>
      <c r="U273" s="29" t="n"/>
      <c r="V273" s="22" t="n"/>
      <c r="W273" s="22" t="n"/>
      <c r="X273" s="22" t="n"/>
      <c r="Y273" s="22" t="n"/>
      <c r="Z273" s="22" t="n"/>
      <c r="AA273" s="22" t="n"/>
      <c r="AB273" s="22" t="n"/>
      <c r="AC273" s="29" t="n"/>
      <c r="AD273" s="30">
        <f>IF(A273="","",(COUNTA(A273:G273)+COUNTA(J273:AC273))/27)</f>
        <v/>
      </c>
      <c r="AE273" s="26">
        <f>IF(B273="","",WORKDAY(B273,3))</f>
        <v/>
      </c>
      <c r="AF273" s="26">
        <f>IF(B273="","",WORKDAY(B273,5))</f>
        <v/>
      </c>
      <c r="AG273" s="26">
        <f>IF(B273="","",WORKDAY(B273,10))</f>
        <v/>
      </c>
      <c r="AH273" s="26" t="n"/>
    </row>
    <row r="274">
      <c r="A274" s="22" t="n"/>
      <c r="B274" s="22" t="n"/>
      <c r="C274" s="26" t="n"/>
      <c r="D274" s="27" t="n"/>
      <c r="E274" s="22" t="n"/>
      <c r="F274" s="26" t="n"/>
      <c r="G274" s="22" t="n"/>
      <c r="H274" s="26">
        <f>IF(G274="","",IFERROR(VLOOKUP(G274,板块观察!A:Z,19,FALSE),""))</f>
        <v/>
      </c>
      <c r="I274" s="26">
        <f>IF(G274="","",IFERROR(VLOOKUP(G274,板块观察!A:Z,20,FALSE),""))</f>
        <v/>
      </c>
      <c r="J274" s="22" t="n"/>
      <c r="K274" s="22" t="n"/>
      <c r="L274" s="22" t="n"/>
      <c r="M274" s="22" t="n"/>
      <c r="N274" s="22" t="n"/>
      <c r="O274" s="22" t="n"/>
      <c r="P274" s="22" t="n"/>
      <c r="Q274" s="28" t="n"/>
      <c r="R274" s="22" t="n"/>
      <c r="S274" s="29" t="n"/>
      <c r="T274" s="29" t="n"/>
      <c r="U274" s="29" t="n"/>
      <c r="V274" s="22" t="n"/>
      <c r="W274" s="22" t="n"/>
      <c r="X274" s="22" t="n"/>
      <c r="Y274" s="22" t="n"/>
      <c r="Z274" s="22" t="n"/>
      <c r="AA274" s="22" t="n"/>
      <c r="AB274" s="22" t="n"/>
      <c r="AC274" s="29" t="n"/>
      <c r="AD274" s="30">
        <f>IF(A274="","",(COUNTA(A274:G274)+COUNTA(J274:AC274))/27)</f>
        <v/>
      </c>
      <c r="AE274" s="26">
        <f>IF(B274="","",WORKDAY(B274,3))</f>
        <v/>
      </c>
      <c r="AF274" s="26">
        <f>IF(B274="","",WORKDAY(B274,5))</f>
        <v/>
      </c>
      <c r="AG274" s="26">
        <f>IF(B274="","",WORKDAY(B274,10))</f>
        <v/>
      </c>
      <c r="AH274" s="26" t="n"/>
    </row>
    <row r="275">
      <c r="A275" s="22" t="n"/>
      <c r="B275" s="22" t="n"/>
      <c r="C275" s="26" t="n"/>
      <c r="D275" s="27" t="n"/>
      <c r="E275" s="22" t="n"/>
      <c r="F275" s="26" t="n"/>
      <c r="G275" s="22" t="n"/>
      <c r="H275" s="26">
        <f>IF(G275="","",IFERROR(VLOOKUP(G275,板块观察!A:Z,19,FALSE),""))</f>
        <v/>
      </c>
      <c r="I275" s="26">
        <f>IF(G275="","",IFERROR(VLOOKUP(G275,板块观察!A:Z,20,FALSE),""))</f>
        <v/>
      </c>
      <c r="J275" s="22" t="n"/>
      <c r="K275" s="22" t="n"/>
      <c r="L275" s="22" t="n"/>
      <c r="M275" s="22" t="n"/>
      <c r="N275" s="22" t="n"/>
      <c r="O275" s="22" t="n"/>
      <c r="P275" s="22" t="n"/>
      <c r="Q275" s="28" t="n"/>
      <c r="R275" s="22" t="n"/>
      <c r="S275" s="29" t="n"/>
      <c r="T275" s="29" t="n"/>
      <c r="U275" s="29" t="n"/>
      <c r="V275" s="22" t="n"/>
      <c r="W275" s="22" t="n"/>
      <c r="X275" s="22" t="n"/>
      <c r="Y275" s="22" t="n"/>
      <c r="Z275" s="22" t="n"/>
      <c r="AA275" s="22" t="n"/>
      <c r="AB275" s="22" t="n"/>
      <c r="AC275" s="29" t="n"/>
      <c r="AD275" s="30">
        <f>IF(A275="","",(COUNTA(A275:G275)+COUNTA(J275:AC275))/27)</f>
        <v/>
      </c>
      <c r="AE275" s="26">
        <f>IF(B275="","",WORKDAY(B275,3))</f>
        <v/>
      </c>
      <c r="AF275" s="26">
        <f>IF(B275="","",WORKDAY(B275,5))</f>
        <v/>
      </c>
      <c r="AG275" s="26">
        <f>IF(B275="","",WORKDAY(B275,10))</f>
        <v/>
      </c>
      <c r="AH275" s="26" t="n"/>
    </row>
    <row r="276">
      <c r="A276" s="22" t="n"/>
      <c r="B276" s="22" t="n"/>
      <c r="C276" s="26" t="n"/>
      <c r="D276" s="27" t="n"/>
      <c r="E276" s="22" t="n"/>
      <c r="F276" s="26" t="n"/>
      <c r="G276" s="22" t="n"/>
      <c r="H276" s="26">
        <f>IF(G276="","",IFERROR(VLOOKUP(G276,板块观察!A:Z,19,FALSE),""))</f>
        <v/>
      </c>
      <c r="I276" s="26">
        <f>IF(G276="","",IFERROR(VLOOKUP(G276,板块观察!A:Z,20,FALSE),""))</f>
        <v/>
      </c>
      <c r="J276" s="22" t="n"/>
      <c r="K276" s="22" t="n"/>
      <c r="L276" s="22" t="n"/>
      <c r="M276" s="22" t="n"/>
      <c r="N276" s="22" t="n"/>
      <c r="O276" s="22" t="n"/>
      <c r="P276" s="22" t="n"/>
      <c r="Q276" s="28" t="n"/>
      <c r="R276" s="22" t="n"/>
      <c r="S276" s="29" t="n"/>
      <c r="T276" s="29" t="n"/>
      <c r="U276" s="29" t="n"/>
      <c r="V276" s="22" t="n"/>
      <c r="W276" s="22" t="n"/>
      <c r="X276" s="22" t="n"/>
      <c r="Y276" s="22" t="n"/>
      <c r="Z276" s="22" t="n"/>
      <c r="AA276" s="22" t="n"/>
      <c r="AB276" s="22" t="n"/>
      <c r="AC276" s="29" t="n"/>
      <c r="AD276" s="30">
        <f>IF(A276="","",(COUNTA(A276:G276)+COUNTA(J276:AC276))/27)</f>
        <v/>
      </c>
      <c r="AE276" s="26">
        <f>IF(B276="","",WORKDAY(B276,3))</f>
        <v/>
      </c>
      <c r="AF276" s="26">
        <f>IF(B276="","",WORKDAY(B276,5))</f>
        <v/>
      </c>
      <c r="AG276" s="26">
        <f>IF(B276="","",WORKDAY(B276,10))</f>
        <v/>
      </c>
      <c r="AH276" s="26" t="n"/>
    </row>
    <row r="277">
      <c r="A277" s="22" t="n"/>
      <c r="B277" s="22" t="n"/>
      <c r="C277" s="26" t="n"/>
      <c r="D277" s="27" t="n"/>
      <c r="E277" s="22" t="n"/>
      <c r="F277" s="26" t="n"/>
      <c r="G277" s="22" t="n"/>
      <c r="H277" s="26">
        <f>IF(G277="","",IFERROR(VLOOKUP(G277,板块观察!A:Z,19,FALSE),""))</f>
        <v/>
      </c>
      <c r="I277" s="26">
        <f>IF(G277="","",IFERROR(VLOOKUP(G277,板块观察!A:Z,20,FALSE),""))</f>
        <v/>
      </c>
      <c r="J277" s="22" t="n"/>
      <c r="K277" s="22" t="n"/>
      <c r="L277" s="22" t="n"/>
      <c r="M277" s="22" t="n"/>
      <c r="N277" s="22" t="n"/>
      <c r="O277" s="22" t="n"/>
      <c r="P277" s="22" t="n"/>
      <c r="Q277" s="28" t="n"/>
      <c r="R277" s="22" t="n"/>
      <c r="S277" s="29" t="n"/>
      <c r="T277" s="29" t="n"/>
      <c r="U277" s="29" t="n"/>
      <c r="V277" s="22" t="n"/>
      <c r="W277" s="22" t="n"/>
      <c r="X277" s="22" t="n"/>
      <c r="Y277" s="22" t="n"/>
      <c r="Z277" s="22" t="n"/>
      <c r="AA277" s="22" t="n"/>
      <c r="AB277" s="22" t="n"/>
      <c r="AC277" s="29" t="n"/>
      <c r="AD277" s="30">
        <f>IF(A277="","",(COUNTA(A277:G277)+COUNTA(J277:AC277))/27)</f>
        <v/>
      </c>
      <c r="AE277" s="26">
        <f>IF(B277="","",WORKDAY(B277,3))</f>
        <v/>
      </c>
      <c r="AF277" s="26">
        <f>IF(B277="","",WORKDAY(B277,5))</f>
        <v/>
      </c>
      <c r="AG277" s="26">
        <f>IF(B277="","",WORKDAY(B277,10))</f>
        <v/>
      </c>
      <c r="AH277" s="26" t="n"/>
    </row>
    <row r="278">
      <c r="A278" s="22" t="n"/>
      <c r="B278" s="22" t="n"/>
      <c r="C278" s="26" t="n"/>
      <c r="D278" s="27" t="n"/>
      <c r="E278" s="22" t="n"/>
      <c r="F278" s="26" t="n"/>
      <c r="G278" s="22" t="n"/>
      <c r="H278" s="26">
        <f>IF(G278="","",IFERROR(VLOOKUP(G278,板块观察!A:Z,19,FALSE),""))</f>
        <v/>
      </c>
      <c r="I278" s="26">
        <f>IF(G278="","",IFERROR(VLOOKUP(G278,板块观察!A:Z,20,FALSE),""))</f>
        <v/>
      </c>
      <c r="J278" s="22" t="n"/>
      <c r="K278" s="22" t="n"/>
      <c r="L278" s="22" t="n"/>
      <c r="M278" s="22" t="n"/>
      <c r="N278" s="22" t="n"/>
      <c r="O278" s="22" t="n"/>
      <c r="P278" s="22" t="n"/>
      <c r="Q278" s="28" t="n"/>
      <c r="R278" s="22" t="n"/>
      <c r="S278" s="29" t="n"/>
      <c r="T278" s="29" t="n"/>
      <c r="U278" s="29" t="n"/>
      <c r="V278" s="22" t="n"/>
      <c r="W278" s="22" t="n"/>
      <c r="X278" s="22" t="n"/>
      <c r="Y278" s="22" t="n"/>
      <c r="Z278" s="22" t="n"/>
      <c r="AA278" s="22" t="n"/>
      <c r="AB278" s="22" t="n"/>
      <c r="AC278" s="29" t="n"/>
      <c r="AD278" s="30">
        <f>IF(A278="","",(COUNTA(A278:G278)+COUNTA(J278:AC278))/27)</f>
        <v/>
      </c>
      <c r="AE278" s="26">
        <f>IF(B278="","",WORKDAY(B278,3))</f>
        <v/>
      </c>
      <c r="AF278" s="26">
        <f>IF(B278="","",WORKDAY(B278,5))</f>
        <v/>
      </c>
      <c r="AG278" s="26">
        <f>IF(B278="","",WORKDAY(B278,10))</f>
        <v/>
      </c>
      <c r="AH278" s="26" t="n"/>
    </row>
    <row r="279">
      <c r="A279" s="22" t="n"/>
      <c r="B279" s="22" t="n"/>
      <c r="C279" s="26" t="n"/>
      <c r="D279" s="27" t="n"/>
      <c r="E279" s="22" t="n"/>
      <c r="F279" s="26" t="n"/>
      <c r="G279" s="22" t="n"/>
      <c r="H279" s="26">
        <f>IF(G279="","",IFERROR(VLOOKUP(G279,板块观察!A:Z,19,FALSE),""))</f>
        <v/>
      </c>
      <c r="I279" s="26">
        <f>IF(G279="","",IFERROR(VLOOKUP(G279,板块观察!A:Z,20,FALSE),""))</f>
        <v/>
      </c>
      <c r="J279" s="22" t="n"/>
      <c r="K279" s="22" t="n"/>
      <c r="L279" s="22" t="n"/>
      <c r="M279" s="22" t="n"/>
      <c r="N279" s="22" t="n"/>
      <c r="O279" s="22" t="n"/>
      <c r="P279" s="22" t="n"/>
      <c r="Q279" s="28" t="n"/>
      <c r="R279" s="22" t="n"/>
      <c r="S279" s="29" t="n"/>
      <c r="T279" s="29" t="n"/>
      <c r="U279" s="29" t="n"/>
      <c r="V279" s="22" t="n"/>
      <c r="W279" s="22" t="n"/>
      <c r="X279" s="22" t="n"/>
      <c r="Y279" s="22" t="n"/>
      <c r="Z279" s="22" t="n"/>
      <c r="AA279" s="22" t="n"/>
      <c r="AB279" s="22" t="n"/>
      <c r="AC279" s="29" t="n"/>
      <c r="AD279" s="30">
        <f>IF(A279="","",(COUNTA(A279:G279)+COUNTA(J279:AC279))/27)</f>
        <v/>
      </c>
      <c r="AE279" s="26">
        <f>IF(B279="","",WORKDAY(B279,3))</f>
        <v/>
      </c>
      <c r="AF279" s="26">
        <f>IF(B279="","",WORKDAY(B279,5))</f>
        <v/>
      </c>
      <c r="AG279" s="26">
        <f>IF(B279="","",WORKDAY(B279,10))</f>
        <v/>
      </c>
      <c r="AH279" s="26" t="n"/>
    </row>
    <row r="280">
      <c r="A280" s="22" t="n"/>
      <c r="B280" s="22" t="n"/>
      <c r="C280" s="26" t="n"/>
      <c r="D280" s="27" t="n"/>
      <c r="E280" s="22" t="n"/>
      <c r="F280" s="26" t="n"/>
      <c r="G280" s="22" t="n"/>
      <c r="H280" s="26">
        <f>IF(G280="","",IFERROR(VLOOKUP(G280,板块观察!A:Z,19,FALSE),""))</f>
        <v/>
      </c>
      <c r="I280" s="26">
        <f>IF(G280="","",IFERROR(VLOOKUP(G280,板块观察!A:Z,20,FALSE),""))</f>
        <v/>
      </c>
      <c r="J280" s="22" t="n"/>
      <c r="K280" s="22" t="n"/>
      <c r="L280" s="22" t="n"/>
      <c r="M280" s="22" t="n"/>
      <c r="N280" s="22" t="n"/>
      <c r="O280" s="22" t="n"/>
      <c r="P280" s="22" t="n"/>
      <c r="Q280" s="28" t="n"/>
      <c r="R280" s="22" t="n"/>
      <c r="S280" s="29" t="n"/>
      <c r="T280" s="29" t="n"/>
      <c r="U280" s="29" t="n"/>
      <c r="V280" s="22" t="n"/>
      <c r="W280" s="22" t="n"/>
      <c r="X280" s="22" t="n"/>
      <c r="Y280" s="22" t="n"/>
      <c r="Z280" s="22" t="n"/>
      <c r="AA280" s="22" t="n"/>
      <c r="AB280" s="22" t="n"/>
      <c r="AC280" s="29" t="n"/>
      <c r="AD280" s="30">
        <f>IF(A280="","",(COUNTA(A280:G280)+COUNTA(J280:AC280))/27)</f>
        <v/>
      </c>
      <c r="AE280" s="26">
        <f>IF(B280="","",WORKDAY(B280,3))</f>
        <v/>
      </c>
      <c r="AF280" s="26">
        <f>IF(B280="","",WORKDAY(B280,5))</f>
        <v/>
      </c>
      <c r="AG280" s="26">
        <f>IF(B280="","",WORKDAY(B280,10))</f>
        <v/>
      </c>
      <c r="AH280" s="26" t="n"/>
    </row>
    <row r="281">
      <c r="A281" s="22" t="n"/>
      <c r="B281" s="22" t="n"/>
      <c r="C281" s="26" t="n"/>
      <c r="D281" s="27" t="n"/>
      <c r="E281" s="22" t="n"/>
      <c r="F281" s="26" t="n"/>
      <c r="G281" s="22" t="n"/>
      <c r="H281" s="26">
        <f>IF(G281="","",IFERROR(VLOOKUP(G281,板块观察!A:Z,19,FALSE),""))</f>
        <v/>
      </c>
      <c r="I281" s="26">
        <f>IF(G281="","",IFERROR(VLOOKUP(G281,板块观察!A:Z,20,FALSE),""))</f>
        <v/>
      </c>
      <c r="J281" s="22" t="n"/>
      <c r="K281" s="22" t="n"/>
      <c r="L281" s="22" t="n"/>
      <c r="M281" s="22" t="n"/>
      <c r="N281" s="22" t="n"/>
      <c r="O281" s="22" t="n"/>
      <c r="P281" s="22" t="n"/>
      <c r="Q281" s="28" t="n"/>
      <c r="R281" s="22" t="n"/>
      <c r="S281" s="29" t="n"/>
      <c r="T281" s="29" t="n"/>
      <c r="U281" s="29" t="n"/>
      <c r="V281" s="22" t="n"/>
      <c r="W281" s="22" t="n"/>
      <c r="X281" s="22" t="n"/>
      <c r="Y281" s="22" t="n"/>
      <c r="Z281" s="22" t="n"/>
      <c r="AA281" s="22" t="n"/>
      <c r="AB281" s="22" t="n"/>
      <c r="AC281" s="29" t="n"/>
      <c r="AD281" s="30">
        <f>IF(A281="","",(COUNTA(A281:G281)+COUNTA(J281:AC281))/27)</f>
        <v/>
      </c>
      <c r="AE281" s="26">
        <f>IF(B281="","",WORKDAY(B281,3))</f>
        <v/>
      </c>
      <c r="AF281" s="26">
        <f>IF(B281="","",WORKDAY(B281,5))</f>
        <v/>
      </c>
      <c r="AG281" s="26">
        <f>IF(B281="","",WORKDAY(B281,10))</f>
        <v/>
      </c>
      <c r="AH281" s="26" t="n"/>
    </row>
    <row r="282">
      <c r="A282" s="22" t="n"/>
      <c r="B282" s="22" t="n"/>
      <c r="C282" s="26" t="n"/>
      <c r="D282" s="27" t="n"/>
      <c r="E282" s="22" t="n"/>
      <c r="F282" s="26" t="n"/>
      <c r="G282" s="22" t="n"/>
      <c r="H282" s="26">
        <f>IF(G282="","",IFERROR(VLOOKUP(G282,板块观察!A:Z,19,FALSE),""))</f>
        <v/>
      </c>
      <c r="I282" s="26">
        <f>IF(G282="","",IFERROR(VLOOKUP(G282,板块观察!A:Z,20,FALSE),""))</f>
        <v/>
      </c>
      <c r="J282" s="22" t="n"/>
      <c r="K282" s="22" t="n"/>
      <c r="L282" s="22" t="n"/>
      <c r="M282" s="22" t="n"/>
      <c r="N282" s="22" t="n"/>
      <c r="O282" s="22" t="n"/>
      <c r="P282" s="22" t="n"/>
      <c r="Q282" s="28" t="n"/>
      <c r="R282" s="22" t="n"/>
      <c r="S282" s="29" t="n"/>
      <c r="T282" s="29" t="n"/>
      <c r="U282" s="29" t="n"/>
      <c r="V282" s="22" t="n"/>
      <c r="W282" s="22" t="n"/>
      <c r="X282" s="22" t="n"/>
      <c r="Y282" s="22" t="n"/>
      <c r="Z282" s="22" t="n"/>
      <c r="AA282" s="22" t="n"/>
      <c r="AB282" s="22" t="n"/>
      <c r="AC282" s="29" t="n"/>
      <c r="AD282" s="30">
        <f>IF(A282="","",(COUNTA(A282:G282)+COUNTA(J282:AC282))/27)</f>
        <v/>
      </c>
      <c r="AE282" s="26">
        <f>IF(B282="","",WORKDAY(B282,3))</f>
        <v/>
      </c>
      <c r="AF282" s="26">
        <f>IF(B282="","",WORKDAY(B282,5))</f>
        <v/>
      </c>
      <c r="AG282" s="26">
        <f>IF(B282="","",WORKDAY(B282,10))</f>
        <v/>
      </c>
      <c r="AH282" s="26" t="n"/>
    </row>
    <row r="283">
      <c r="A283" s="22" t="n"/>
      <c r="B283" s="22" t="n"/>
      <c r="C283" s="26" t="n"/>
      <c r="D283" s="27" t="n"/>
      <c r="E283" s="22" t="n"/>
      <c r="F283" s="26" t="n"/>
      <c r="G283" s="22" t="n"/>
      <c r="H283" s="26">
        <f>IF(G283="","",IFERROR(VLOOKUP(G283,板块观察!A:Z,19,FALSE),""))</f>
        <v/>
      </c>
      <c r="I283" s="26">
        <f>IF(G283="","",IFERROR(VLOOKUP(G283,板块观察!A:Z,20,FALSE),""))</f>
        <v/>
      </c>
      <c r="J283" s="22" t="n"/>
      <c r="K283" s="22" t="n"/>
      <c r="L283" s="22" t="n"/>
      <c r="M283" s="22" t="n"/>
      <c r="N283" s="22" t="n"/>
      <c r="O283" s="22" t="n"/>
      <c r="P283" s="22" t="n"/>
      <c r="Q283" s="28" t="n"/>
      <c r="R283" s="22" t="n"/>
      <c r="S283" s="29" t="n"/>
      <c r="T283" s="29" t="n"/>
      <c r="U283" s="29" t="n"/>
      <c r="V283" s="22" t="n"/>
      <c r="W283" s="22" t="n"/>
      <c r="X283" s="22" t="n"/>
      <c r="Y283" s="22" t="n"/>
      <c r="Z283" s="22" t="n"/>
      <c r="AA283" s="22" t="n"/>
      <c r="AB283" s="22" t="n"/>
      <c r="AC283" s="29" t="n"/>
      <c r="AD283" s="30">
        <f>IF(A283="","",(COUNTA(A283:G283)+COUNTA(J283:AC283))/27)</f>
        <v/>
      </c>
      <c r="AE283" s="26">
        <f>IF(B283="","",WORKDAY(B283,3))</f>
        <v/>
      </c>
      <c r="AF283" s="26">
        <f>IF(B283="","",WORKDAY(B283,5))</f>
        <v/>
      </c>
      <c r="AG283" s="26">
        <f>IF(B283="","",WORKDAY(B283,10))</f>
        <v/>
      </c>
      <c r="AH283" s="26" t="n"/>
    </row>
    <row r="284">
      <c r="A284" s="22" t="n"/>
      <c r="B284" s="22" t="n"/>
      <c r="C284" s="26" t="n"/>
      <c r="D284" s="27" t="n"/>
      <c r="E284" s="22" t="n"/>
      <c r="F284" s="26" t="n"/>
      <c r="G284" s="22" t="n"/>
      <c r="H284" s="26">
        <f>IF(G284="","",IFERROR(VLOOKUP(G284,板块观察!A:Z,19,FALSE),""))</f>
        <v/>
      </c>
      <c r="I284" s="26">
        <f>IF(G284="","",IFERROR(VLOOKUP(G284,板块观察!A:Z,20,FALSE),""))</f>
        <v/>
      </c>
      <c r="J284" s="22" t="n"/>
      <c r="K284" s="22" t="n"/>
      <c r="L284" s="22" t="n"/>
      <c r="M284" s="22" t="n"/>
      <c r="N284" s="22" t="n"/>
      <c r="O284" s="22" t="n"/>
      <c r="P284" s="22" t="n"/>
      <c r="Q284" s="28" t="n"/>
      <c r="R284" s="22" t="n"/>
      <c r="S284" s="29" t="n"/>
      <c r="T284" s="29" t="n"/>
      <c r="U284" s="29" t="n"/>
      <c r="V284" s="22" t="n"/>
      <c r="W284" s="22" t="n"/>
      <c r="X284" s="22" t="n"/>
      <c r="Y284" s="22" t="n"/>
      <c r="Z284" s="22" t="n"/>
      <c r="AA284" s="22" t="n"/>
      <c r="AB284" s="22" t="n"/>
      <c r="AC284" s="29" t="n"/>
      <c r="AD284" s="30">
        <f>IF(A284="","",(COUNTA(A284:G284)+COUNTA(J284:AC284))/27)</f>
        <v/>
      </c>
      <c r="AE284" s="26">
        <f>IF(B284="","",WORKDAY(B284,3))</f>
        <v/>
      </c>
      <c r="AF284" s="26">
        <f>IF(B284="","",WORKDAY(B284,5))</f>
        <v/>
      </c>
      <c r="AG284" s="26">
        <f>IF(B284="","",WORKDAY(B284,10))</f>
        <v/>
      </c>
      <c r="AH284" s="26" t="n"/>
    </row>
    <row r="285">
      <c r="A285" s="22" t="n"/>
      <c r="B285" s="22" t="n"/>
      <c r="C285" s="26" t="n"/>
      <c r="D285" s="27" t="n"/>
      <c r="E285" s="22" t="n"/>
      <c r="F285" s="26" t="n"/>
      <c r="G285" s="22" t="n"/>
      <c r="H285" s="26">
        <f>IF(G285="","",IFERROR(VLOOKUP(G285,板块观察!A:Z,19,FALSE),""))</f>
        <v/>
      </c>
      <c r="I285" s="26">
        <f>IF(G285="","",IFERROR(VLOOKUP(G285,板块观察!A:Z,20,FALSE),""))</f>
        <v/>
      </c>
      <c r="J285" s="22" t="n"/>
      <c r="K285" s="22" t="n"/>
      <c r="L285" s="22" t="n"/>
      <c r="M285" s="22" t="n"/>
      <c r="N285" s="22" t="n"/>
      <c r="O285" s="22" t="n"/>
      <c r="P285" s="22" t="n"/>
      <c r="Q285" s="28" t="n"/>
      <c r="R285" s="22" t="n"/>
      <c r="S285" s="29" t="n"/>
      <c r="T285" s="29" t="n"/>
      <c r="U285" s="29" t="n"/>
      <c r="V285" s="22" t="n"/>
      <c r="W285" s="22" t="n"/>
      <c r="X285" s="22" t="n"/>
      <c r="Y285" s="22" t="n"/>
      <c r="Z285" s="22" t="n"/>
      <c r="AA285" s="22" t="n"/>
      <c r="AB285" s="22" t="n"/>
      <c r="AC285" s="29" t="n"/>
      <c r="AD285" s="30">
        <f>IF(A285="","",(COUNTA(A285:G285)+COUNTA(J285:AC285))/27)</f>
        <v/>
      </c>
      <c r="AE285" s="26">
        <f>IF(B285="","",WORKDAY(B285,3))</f>
        <v/>
      </c>
      <c r="AF285" s="26">
        <f>IF(B285="","",WORKDAY(B285,5))</f>
        <v/>
      </c>
      <c r="AG285" s="26">
        <f>IF(B285="","",WORKDAY(B285,10))</f>
        <v/>
      </c>
      <c r="AH285" s="26" t="n"/>
    </row>
    <row r="286">
      <c r="A286" s="22" t="n"/>
      <c r="B286" s="22" t="n"/>
      <c r="C286" s="26" t="n"/>
      <c r="D286" s="27" t="n"/>
      <c r="E286" s="22" t="n"/>
      <c r="F286" s="26" t="n"/>
      <c r="G286" s="22" t="n"/>
      <c r="H286" s="26">
        <f>IF(G286="","",IFERROR(VLOOKUP(G286,板块观察!A:Z,19,FALSE),""))</f>
        <v/>
      </c>
      <c r="I286" s="26">
        <f>IF(G286="","",IFERROR(VLOOKUP(G286,板块观察!A:Z,20,FALSE),""))</f>
        <v/>
      </c>
      <c r="J286" s="22" t="n"/>
      <c r="K286" s="22" t="n"/>
      <c r="L286" s="22" t="n"/>
      <c r="M286" s="22" t="n"/>
      <c r="N286" s="22" t="n"/>
      <c r="O286" s="22" t="n"/>
      <c r="P286" s="22" t="n"/>
      <c r="Q286" s="28" t="n"/>
      <c r="R286" s="22" t="n"/>
      <c r="S286" s="29" t="n"/>
      <c r="T286" s="29" t="n"/>
      <c r="U286" s="29" t="n"/>
      <c r="V286" s="22" t="n"/>
      <c r="W286" s="22" t="n"/>
      <c r="X286" s="22" t="n"/>
      <c r="Y286" s="22" t="n"/>
      <c r="Z286" s="22" t="n"/>
      <c r="AA286" s="22" t="n"/>
      <c r="AB286" s="22" t="n"/>
      <c r="AC286" s="29" t="n"/>
      <c r="AD286" s="30">
        <f>IF(A286="","",(COUNTA(A286:G286)+COUNTA(J286:AC286))/27)</f>
        <v/>
      </c>
      <c r="AE286" s="26">
        <f>IF(B286="","",WORKDAY(B286,3))</f>
        <v/>
      </c>
      <c r="AF286" s="26">
        <f>IF(B286="","",WORKDAY(B286,5))</f>
        <v/>
      </c>
      <c r="AG286" s="26">
        <f>IF(B286="","",WORKDAY(B286,10))</f>
        <v/>
      </c>
      <c r="AH286" s="26" t="n"/>
    </row>
    <row r="287">
      <c r="A287" s="22" t="n"/>
      <c r="B287" s="22" t="n"/>
      <c r="C287" s="26" t="n"/>
      <c r="D287" s="27" t="n"/>
      <c r="E287" s="22" t="n"/>
      <c r="F287" s="26" t="n"/>
      <c r="G287" s="22" t="n"/>
      <c r="H287" s="26">
        <f>IF(G287="","",IFERROR(VLOOKUP(G287,板块观察!A:Z,19,FALSE),""))</f>
        <v/>
      </c>
      <c r="I287" s="26">
        <f>IF(G287="","",IFERROR(VLOOKUP(G287,板块观察!A:Z,20,FALSE),""))</f>
        <v/>
      </c>
      <c r="J287" s="22" t="n"/>
      <c r="K287" s="22" t="n"/>
      <c r="L287" s="22" t="n"/>
      <c r="M287" s="22" t="n"/>
      <c r="N287" s="22" t="n"/>
      <c r="O287" s="22" t="n"/>
      <c r="P287" s="22" t="n"/>
      <c r="Q287" s="28" t="n"/>
      <c r="R287" s="22" t="n"/>
      <c r="S287" s="29" t="n"/>
      <c r="T287" s="29" t="n"/>
      <c r="U287" s="29" t="n"/>
      <c r="V287" s="22" t="n"/>
      <c r="W287" s="22" t="n"/>
      <c r="X287" s="22" t="n"/>
      <c r="Y287" s="22" t="n"/>
      <c r="Z287" s="22" t="n"/>
      <c r="AA287" s="22" t="n"/>
      <c r="AB287" s="22" t="n"/>
      <c r="AC287" s="29" t="n"/>
      <c r="AD287" s="30">
        <f>IF(A287="","",(COUNTA(A287:G287)+COUNTA(J287:AC287))/27)</f>
        <v/>
      </c>
      <c r="AE287" s="26">
        <f>IF(B287="","",WORKDAY(B287,3))</f>
        <v/>
      </c>
      <c r="AF287" s="26">
        <f>IF(B287="","",WORKDAY(B287,5))</f>
        <v/>
      </c>
      <c r="AG287" s="26">
        <f>IF(B287="","",WORKDAY(B287,10))</f>
        <v/>
      </c>
      <c r="AH287" s="26" t="n"/>
    </row>
    <row r="288">
      <c r="A288" s="22" t="n"/>
      <c r="B288" s="22" t="n"/>
      <c r="C288" s="26" t="n"/>
      <c r="D288" s="27" t="n"/>
      <c r="E288" s="22" t="n"/>
      <c r="F288" s="26" t="n"/>
      <c r="G288" s="22" t="n"/>
      <c r="H288" s="26">
        <f>IF(G288="","",IFERROR(VLOOKUP(G288,板块观察!A:Z,19,FALSE),""))</f>
        <v/>
      </c>
      <c r="I288" s="26">
        <f>IF(G288="","",IFERROR(VLOOKUP(G288,板块观察!A:Z,20,FALSE),""))</f>
        <v/>
      </c>
      <c r="J288" s="22" t="n"/>
      <c r="K288" s="22" t="n"/>
      <c r="L288" s="22" t="n"/>
      <c r="M288" s="22" t="n"/>
      <c r="N288" s="22" t="n"/>
      <c r="O288" s="22" t="n"/>
      <c r="P288" s="22" t="n"/>
      <c r="Q288" s="28" t="n"/>
      <c r="R288" s="22" t="n"/>
      <c r="S288" s="29" t="n"/>
      <c r="T288" s="29" t="n"/>
      <c r="U288" s="29" t="n"/>
      <c r="V288" s="22" t="n"/>
      <c r="W288" s="22" t="n"/>
      <c r="X288" s="22" t="n"/>
      <c r="Y288" s="22" t="n"/>
      <c r="Z288" s="22" t="n"/>
      <c r="AA288" s="22" t="n"/>
      <c r="AB288" s="22" t="n"/>
      <c r="AC288" s="29" t="n"/>
      <c r="AD288" s="30">
        <f>IF(A288="","",(COUNTA(A288:G288)+COUNTA(J288:AC288))/27)</f>
        <v/>
      </c>
      <c r="AE288" s="26">
        <f>IF(B288="","",WORKDAY(B288,3))</f>
        <v/>
      </c>
      <c r="AF288" s="26">
        <f>IF(B288="","",WORKDAY(B288,5))</f>
        <v/>
      </c>
      <c r="AG288" s="26">
        <f>IF(B288="","",WORKDAY(B288,10))</f>
        <v/>
      </c>
      <c r="AH288" s="26" t="n"/>
    </row>
    <row r="289">
      <c r="A289" s="22" t="n"/>
      <c r="B289" s="22" t="n"/>
      <c r="C289" s="26" t="n"/>
      <c r="D289" s="27" t="n"/>
      <c r="E289" s="22" t="n"/>
      <c r="F289" s="26" t="n"/>
      <c r="G289" s="22" t="n"/>
      <c r="H289" s="26">
        <f>IF(G289="","",IFERROR(VLOOKUP(G289,板块观察!A:Z,19,FALSE),""))</f>
        <v/>
      </c>
      <c r="I289" s="26">
        <f>IF(G289="","",IFERROR(VLOOKUP(G289,板块观察!A:Z,20,FALSE),""))</f>
        <v/>
      </c>
      <c r="J289" s="22" t="n"/>
      <c r="K289" s="22" t="n"/>
      <c r="L289" s="22" t="n"/>
      <c r="M289" s="22" t="n"/>
      <c r="N289" s="22" t="n"/>
      <c r="O289" s="22" t="n"/>
      <c r="P289" s="22" t="n"/>
      <c r="Q289" s="28" t="n"/>
      <c r="R289" s="22" t="n"/>
      <c r="S289" s="29" t="n"/>
      <c r="T289" s="29" t="n"/>
      <c r="U289" s="29" t="n"/>
      <c r="V289" s="22" t="n"/>
      <c r="W289" s="22" t="n"/>
      <c r="X289" s="22" t="n"/>
      <c r="Y289" s="22" t="n"/>
      <c r="Z289" s="22" t="n"/>
      <c r="AA289" s="22" t="n"/>
      <c r="AB289" s="22" t="n"/>
      <c r="AC289" s="29" t="n"/>
      <c r="AD289" s="30">
        <f>IF(A289="","",(COUNTA(A289:G289)+COUNTA(J289:AC289))/27)</f>
        <v/>
      </c>
      <c r="AE289" s="26">
        <f>IF(B289="","",WORKDAY(B289,3))</f>
        <v/>
      </c>
      <c r="AF289" s="26">
        <f>IF(B289="","",WORKDAY(B289,5))</f>
        <v/>
      </c>
      <c r="AG289" s="26">
        <f>IF(B289="","",WORKDAY(B289,10))</f>
        <v/>
      </c>
      <c r="AH289" s="26" t="n"/>
    </row>
    <row r="290">
      <c r="A290" s="22" t="n"/>
      <c r="B290" s="22" t="n"/>
      <c r="C290" s="26" t="n"/>
      <c r="D290" s="27" t="n"/>
      <c r="E290" s="22" t="n"/>
      <c r="F290" s="26" t="n"/>
      <c r="G290" s="22" t="n"/>
      <c r="H290" s="26">
        <f>IF(G290="","",IFERROR(VLOOKUP(G290,板块观察!A:Z,19,FALSE),""))</f>
        <v/>
      </c>
      <c r="I290" s="26">
        <f>IF(G290="","",IFERROR(VLOOKUP(G290,板块观察!A:Z,20,FALSE),""))</f>
        <v/>
      </c>
      <c r="J290" s="22" t="n"/>
      <c r="K290" s="22" t="n"/>
      <c r="L290" s="22" t="n"/>
      <c r="M290" s="22" t="n"/>
      <c r="N290" s="22" t="n"/>
      <c r="O290" s="22" t="n"/>
      <c r="P290" s="22" t="n"/>
      <c r="Q290" s="28" t="n"/>
      <c r="R290" s="22" t="n"/>
      <c r="S290" s="29" t="n"/>
      <c r="T290" s="29" t="n"/>
      <c r="U290" s="29" t="n"/>
      <c r="V290" s="22" t="n"/>
      <c r="W290" s="22" t="n"/>
      <c r="X290" s="22" t="n"/>
      <c r="Y290" s="22" t="n"/>
      <c r="Z290" s="22" t="n"/>
      <c r="AA290" s="22" t="n"/>
      <c r="AB290" s="22" t="n"/>
      <c r="AC290" s="29" t="n"/>
      <c r="AD290" s="30">
        <f>IF(A290="","",(COUNTA(A290:G290)+COUNTA(J290:AC290))/27)</f>
        <v/>
      </c>
      <c r="AE290" s="26">
        <f>IF(B290="","",WORKDAY(B290,3))</f>
        <v/>
      </c>
      <c r="AF290" s="26">
        <f>IF(B290="","",WORKDAY(B290,5))</f>
        <v/>
      </c>
      <c r="AG290" s="26">
        <f>IF(B290="","",WORKDAY(B290,10))</f>
        <v/>
      </c>
      <c r="AH290" s="26" t="n"/>
    </row>
    <row r="291">
      <c r="A291" s="22" t="n"/>
      <c r="B291" s="22" t="n"/>
      <c r="C291" s="26" t="n"/>
      <c r="D291" s="27" t="n"/>
      <c r="E291" s="22" t="n"/>
      <c r="F291" s="26" t="n"/>
      <c r="G291" s="22" t="n"/>
      <c r="H291" s="26">
        <f>IF(G291="","",IFERROR(VLOOKUP(G291,板块观察!A:Z,19,FALSE),""))</f>
        <v/>
      </c>
      <c r="I291" s="26">
        <f>IF(G291="","",IFERROR(VLOOKUP(G291,板块观察!A:Z,20,FALSE),""))</f>
        <v/>
      </c>
      <c r="J291" s="22" t="n"/>
      <c r="K291" s="22" t="n"/>
      <c r="L291" s="22" t="n"/>
      <c r="M291" s="22" t="n"/>
      <c r="N291" s="22" t="n"/>
      <c r="O291" s="22" t="n"/>
      <c r="P291" s="22" t="n"/>
      <c r="Q291" s="28" t="n"/>
      <c r="R291" s="22" t="n"/>
      <c r="S291" s="29" t="n"/>
      <c r="T291" s="29" t="n"/>
      <c r="U291" s="29" t="n"/>
      <c r="V291" s="22" t="n"/>
      <c r="W291" s="22" t="n"/>
      <c r="X291" s="22" t="n"/>
      <c r="Y291" s="22" t="n"/>
      <c r="Z291" s="22" t="n"/>
      <c r="AA291" s="22" t="n"/>
      <c r="AB291" s="22" t="n"/>
      <c r="AC291" s="29" t="n"/>
      <c r="AD291" s="30">
        <f>IF(A291="","",(COUNTA(A291:G291)+COUNTA(J291:AC291))/27)</f>
        <v/>
      </c>
      <c r="AE291" s="26">
        <f>IF(B291="","",WORKDAY(B291,3))</f>
        <v/>
      </c>
      <c r="AF291" s="26">
        <f>IF(B291="","",WORKDAY(B291,5))</f>
        <v/>
      </c>
      <c r="AG291" s="26">
        <f>IF(B291="","",WORKDAY(B291,10))</f>
        <v/>
      </c>
      <c r="AH291" s="26" t="n"/>
    </row>
    <row r="292">
      <c r="A292" s="22" t="n"/>
      <c r="B292" s="22" t="n"/>
      <c r="C292" s="26" t="n"/>
      <c r="D292" s="27" t="n"/>
      <c r="E292" s="22" t="n"/>
      <c r="F292" s="26" t="n"/>
      <c r="G292" s="22" t="n"/>
      <c r="H292" s="26">
        <f>IF(G292="","",IFERROR(VLOOKUP(G292,板块观察!A:Z,19,FALSE),""))</f>
        <v/>
      </c>
      <c r="I292" s="26">
        <f>IF(G292="","",IFERROR(VLOOKUP(G292,板块观察!A:Z,20,FALSE),""))</f>
        <v/>
      </c>
      <c r="J292" s="22" t="n"/>
      <c r="K292" s="22" t="n"/>
      <c r="L292" s="22" t="n"/>
      <c r="M292" s="22" t="n"/>
      <c r="N292" s="22" t="n"/>
      <c r="O292" s="22" t="n"/>
      <c r="P292" s="22" t="n"/>
      <c r="Q292" s="28" t="n"/>
      <c r="R292" s="22" t="n"/>
      <c r="S292" s="29" t="n"/>
      <c r="T292" s="29" t="n"/>
      <c r="U292" s="29" t="n"/>
      <c r="V292" s="22" t="n"/>
      <c r="W292" s="22" t="n"/>
      <c r="X292" s="22" t="n"/>
      <c r="Y292" s="22" t="n"/>
      <c r="Z292" s="22" t="n"/>
      <c r="AA292" s="22" t="n"/>
      <c r="AB292" s="22" t="n"/>
      <c r="AC292" s="29" t="n"/>
      <c r="AD292" s="30">
        <f>IF(A292="","",(COUNTA(A292:G292)+COUNTA(J292:AC292))/27)</f>
        <v/>
      </c>
      <c r="AE292" s="26">
        <f>IF(B292="","",WORKDAY(B292,3))</f>
        <v/>
      </c>
      <c r="AF292" s="26">
        <f>IF(B292="","",WORKDAY(B292,5))</f>
        <v/>
      </c>
      <c r="AG292" s="26">
        <f>IF(B292="","",WORKDAY(B292,10))</f>
        <v/>
      </c>
      <c r="AH292" s="26" t="n"/>
    </row>
    <row r="293">
      <c r="A293" s="22" t="n"/>
      <c r="B293" s="22" t="n"/>
      <c r="C293" s="26" t="n"/>
      <c r="D293" s="27" t="n"/>
      <c r="E293" s="22" t="n"/>
      <c r="F293" s="26" t="n"/>
      <c r="G293" s="22" t="n"/>
      <c r="H293" s="26">
        <f>IF(G293="","",IFERROR(VLOOKUP(G293,板块观察!A:Z,19,FALSE),""))</f>
        <v/>
      </c>
      <c r="I293" s="26">
        <f>IF(G293="","",IFERROR(VLOOKUP(G293,板块观察!A:Z,20,FALSE),""))</f>
        <v/>
      </c>
      <c r="J293" s="22" t="n"/>
      <c r="K293" s="22" t="n"/>
      <c r="L293" s="22" t="n"/>
      <c r="M293" s="22" t="n"/>
      <c r="N293" s="22" t="n"/>
      <c r="O293" s="22" t="n"/>
      <c r="P293" s="22" t="n"/>
      <c r="Q293" s="28" t="n"/>
      <c r="R293" s="22" t="n"/>
      <c r="S293" s="29" t="n"/>
      <c r="T293" s="29" t="n"/>
      <c r="U293" s="29" t="n"/>
      <c r="V293" s="22" t="n"/>
      <c r="W293" s="22" t="n"/>
      <c r="X293" s="22" t="n"/>
      <c r="Y293" s="22" t="n"/>
      <c r="Z293" s="22" t="n"/>
      <c r="AA293" s="22" t="n"/>
      <c r="AB293" s="22" t="n"/>
      <c r="AC293" s="29" t="n"/>
      <c r="AD293" s="30">
        <f>IF(A293="","",(COUNTA(A293:G293)+COUNTA(J293:AC293))/27)</f>
        <v/>
      </c>
      <c r="AE293" s="26">
        <f>IF(B293="","",WORKDAY(B293,3))</f>
        <v/>
      </c>
      <c r="AF293" s="26">
        <f>IF(B293="","",WORKDAY(B293,5))</f>
        <v/>
      </c>
      <c r="AG293" s="26">
        <f>IF(B293="","",WORKDAY(B293,10))</f>
        <v/>
      </c>
      <c r="AH293" s="26" t="n"/>
    </row>
    <row r="294">
      <c r="A294" s="22" t="n"/>
      <c r="B294" s="22" t="n"/>
      <c r="C294" s="26" t="n"/>
      <c r="D294" s="27" t="n"/>
      <c r="E294" s="22" t="n"/>
      <c r="F294" s="26" t="n"/>
      <c r="G294" s="22" t="n"/>
      <c r="H294" s="26">
        <f>IF(G294="","",IFERROR(VLOOKUP(G294,板块观察!A:Z,19,FALSE),""))</f>
        <v/>
      </c>
      <c r="I294" s="26">
        <f>IF(G294="","",IFERROR(VLOOKUP(G294,板块观察!A:Z,20,FALSE),""))</f>
        <v/>
      </c>
      <c r="J294" s="22" t="n"/>
      <c r="K294" s="22" t="n"/>
      <c r="L294" s="22" t="n"/>
      <c r="M294" s="22" t="n"/>
      <c r="N294" s="22" t="n"/>
      <c r="O294" s="22" t="n"/>
      <c r="P294" s="22" t="n"/>
      <c r="Q294" s="28" t="n"/>
      <c r="R294" s="22" t="n"/>
      <c r="S294" s="29" t="n"/>
      <c r="T294" s="29" t="n"/>
      <c r="U294" s="29" t="n"/>
      <c r="V294" s="22" t="n"/>
      <c r="W294" s="22" t="n"/>
      <c r="X294" s="22" t="n"/>
      <c r="Y294" s="22" t="n"/>
      <c r="Z294" s="22" t="n"/>
      <c r="AA294" s="22" t="n"/>
      <c r="AB294" s="22" t="n"/>
      <c r="AC294" s="29" t="n"/>
      <c r="AD294" s="30">
        <f>IF(A294="","",(COUNTA(A294:G294)+COUNTA(J294:AC294))/27)</f>
        <v/>
      </c>
      <c r="AE294" s="26">
        <f>IF(B294="","",WORKDAY(B294,3))</f>
        <v/>
      </c>
      <c r="AF294" s="26">
        <f>IF(B294="","",WORKDAY(B294,5))</f>
        <v/>
      </c>
      <c r="AG294" s="26">
        <f>IF(B294="","",WORKDAY(B294,10))</f>
        <v/>
      </c>
      <c r="AH294" s="26" t="n"/>
    </row>
    <row r="295">
      <c r="A295" s="22" t="n"/>
      <c r="B295" s="22" t="n"/>
      <c r="C295" s="26" t="n"/>
      <c r="D295" s="27" t="n"/>
      <c r="E295" s="22" t="n"/>
      <c r="F295" s="26" t="n"/>
      <c r="G295" s="22" t="n"/>
      <c r="H295" s="26">
        <f>IF(G295="","",IFERROR(VLOOKUP(G295,板块观察!A:Z,19,FALSE),""))</f>
        <v/>
      </c>
      <c r="I295" s="26">
        <f>IF(G295="","",IFERROR(VLOOKUP(G295,板块观察!A:Z,20,FALSE),""))</f>
        <v/>
      </c>
      <c r="J295" s="22" t="n"/>
      <c r="K295" s="22" t="n"/>
      <c r="L295" s="22" t="n"/>
      <c r="M295" s="22" t="n"/>
      <c r="N295" s="22" t="n"/>
      <c r="O295" s="22" t="n"/>
      <c r="P295" s="22" t="n"/>
      <c r="Q295" s="28" t="n"/>
      <c r="R295" s="22" t="n"/>
      <c r="S295" s="29" t="n"/>
      <c r="T295" s="29" t="n"/>
      <c r="U295" s="29" t="n"/>
      <c r="V295" s="22" t="n"/>
      <c r="W295" s="22" t="n"/>
      <c r="X295" s="22" t="n"/>
      <c r="Y295" s="22" t="n"/>
      <c r="Z295" s="22" t="n"/>
      <c r="AA295" s="22" t="n"/>
      <c r="AB295" s="22" t="n"/>
      <c r="AC295" s="29" t="n"/>
      <c r="AD295" s="30">
        <f>IF(A295="","",(COUNTA(A295:G295)+COUNTA(J295:AC295))/27)</f>
        <v/>
      </c>
      <c r="AE295" s="26">
        <f>IF(B295="","",WORKDAY(B295,3))</f>
        <v/>
      </c>
      <c r="AF295" s="26">
        <f>IF(B295="","",WORKDAY(B295,5))</f>
        <v/>
      </c>
      <c r="AG295" s="26">
        <f>IF(B295="","",WORKDAY(B295,10))</f>
        <v/>
      </c>
      <c r="AH295" s="26" t="n"/>
    </row>
    <row r="296">
      <c r="A296" s="22" t="n"/>
      <c r="B296" s="22" t="n"/>
      <c r="C296" s="26" t="n"/>
      <c r="D296" s="27" t="n"/>
      <c r="E296" s="22" t="n"/>
      <c r="F296" s="26" t="n"/>
      <c r="G296" s="22" t="n"/>
      <c r="H296" s="26">
        <f>IF(G296="","",IFERROR(VLOOKUP(G296,板块观察!A:Z,19,FALSE),""))</f>
        <v/>
      </c>
      <c r="I296" s="26">
        <f>IF(G296="","",IFERROR(VLOOKUP(G296,板块观察!A:Z,20,FALSE),""))</f>
        <v/>
      </c>
      <c r="J296" s="22" t="n"/>
      <c r="K296" s="22" t="n"/>
      <c r="L296" s="22" t="n"/>
      <c r="M296" s="22" t="n"/>
      <c r="N296" s="22" t="n"/>
      <c r="O296" s="22" t="n"/>
      <c r="P296" s="22" t="n"/>
      <c r="Q296" s="28" t="n"/>
      <c r="R296" s="22" t="n"/>
      <c r="S296" s="29" t="n"/>
      <c r="T296" s="29" t="n"/>
      <c r="U296" s="29" t="n"/>
      <c r="V296" s="22" t="n"/>
      <c r="W296" s="22" t="n"/>
      <c r="X296" s="22" t="n"/>
      <c r="Y296" s="22" t="n"/>
      <c r="Z296" s="22" t="n"/>
      <c r="AA296" s="22" t="n"/>
      <c r="AB296" s="22" t="n"/>
      <c r="AC296" s="29" t="n"/>
      <c r="AD296" s="30">
        <f>IF(A296="","",(COUNTA(A296:G296)+COUNTA(J296:AC296))/27)</f>
        <v/>
      </c>
      <c r="AE296" s="26">
        <f>IF(B296="","",WORKDAY(B296,3))</f>
        <v/>
      </c>
      <c r="AF296" s="26">
        <f>IF(B296="","",WORKDAY(B296,5))</f>
        <v/>
      </c>
      <c r="AG296" s="26">
        <f>IF(B296="","",WORKDAY(B296,10))</f>
        <v/>
      </c>
      <c r="AH296" s="26" t="n"/>
    </row>
    <row r="297">
      <c r="A297" s="22" t="n"/>
      <c r="B297" s="22" t="n"/>
      <c r="C297" s="26" t="n"/>
      <c r="D297" s="27" t="n"/>
      <c r="E297" s="22" t="n"/>
      <c r="F297" s="26" t="n"/>
      <c r="G297" s="22" t="n"/>
      <c r="H297" s="26">
        <f>IF(G297="","",IFERROR(VLOOKUP(G297,板块观察!A:Z,19,FALSE),""))</f>
        <v/>
      </c>
      <c r="I297" s="26">
        <f>IF(G297="","",IFERROR(VLOOKUP(G297,板块观察!A:Z,20,FALSE),""))</f>
        <v/>
      </c>
      <c r="J297" s="22" t="n"/>
      <c r="K297" s="22" t="n"/>
      <c r="L297" s="22" t="n"/>
      <c r="M297" s="22" t="n"/>
      <c r="N297" s="22" t="n"/>
      <c r="O297" s="22" t="n"/>
      <c r="P297" s="22" t="n"/>
      <c r="Q297" s="28" t="n"/>
      <c r="R297" s="22" t="n"/>
      <c r="S297" s="29" t="n"/>
      <c r="T297" s="29" t="n"/>
      <c r="U297" s="29" t="n"/>
      <c r="V297" s="22" t="n"/>
      <c r="W297" s="22" t="n"/>
      <c r="X297" s="22" t="n"/>
      <c r="Y297" s="22" t="n"/>
      <c r="Z297" s="22" t="n"/>
      <c r="AA297" s="22" t="n"/>
      <c r="AB297" s="22" t="n"/>
      <c r="AC297" s="29" t="n"/>
      <c r="AD297" s="30">
        <f>IF(A297="","",(COUNTA(A297:G297)+COUNTA(J297:AC297))/27)</f>
        <v/>
      </c>
      <c r="AE297" s="26">
        <f>IF(B297="","",WORKDAY(B297,3))</f>
        <v/>
      </c>
      <c r="AF297" s="26">
        <f>IF(B297="","",WORKDAY(B297,5))</f>
        <v/>
      </c>
      <c r="AG297" s="26">
        <f>IF(B297="","",WORKDAY(B297,10))</f>
        <v/>
      </c>
      <c r="AH297" s="26" t="n"/>
    </row>
    <row r="298">
      <c r="A298" s="22" t="n"/>
      <c r="B298" s="22" t="n"/>
      <c r="C298" s="26" t="n"/>
      <c r="D298" s="27" t="n"/>
      <c r="E298" s="22" t="n"/>
      <c r="F298" s="26" t="n"/>
      <c r="G298" s="22" t="n"/>
      <c r="H298" s="26">
        <f>IF(G298="","",IFERROR(VLOOKUP(G298,板块观察!A:Z,19,FALSE),""))</f>
        <v/>
      </c>
      <c r="I298" s="26">
        <f>IF(G298="","",IFERROR(VLOOKUP(G298,板块观察!A:Z,20,FALSE),""))</f>
        <v/>
      </c>
      <c r="J298" s="22" t="n"/>
      <c r="K298" s="22" t="n"/>
      <c r="L298" s="22" t="n"/>
      <c r="M298" s="22" t="n"/>
      <c r="N298" s="22" t="n"/>
      <c r="O298" s="22" t="n"/>
      <c r="P298" s="22" t="n"/>
      <c r="Q298" s="28" t="n"/>
      <c r="R298" s="22" t="n"/>
      <c r="S298" s="29" t="n"/>
      <c r="T298" s="29" t="n"/>
      <c r="U298" s="29" t="n"/>
      <c r="V298" s="22" t="n"/>
      <c r="W298" s="22" t="n"/>
      <c r="X298" s="22" t="n"/>
      <c r="Y298" s="22" t="n"/>
      <c r="Z298" s="22" t="n"/>
      <c r="AA298" s="22" t="n"/>
      <c r="AB298" s="22" t="n"/>
      <c r="AC298" s="29" t="n"/>
      <c r="AD298" s="30">
        <f>IF(A298="","",(COUNTA(A298:G298)+COUNTA(J298:AC298))/27)</f>
        <v/>
      </c>
      <c r="AE298" s="26">
        <f>IF(B298="","",WORKDAY(B298,3))</f>
        <v/>
      </c>
      <c r="AF298" s="26">
        <f>IF(B298="","",WORKDAY(B298,5))</f>
        <v/>
      </c>
      <c r="AG298" s="26">
        <f>IF(B298="","",WORKDAY(B298,10))</f>
        <v/>
      </c>
      <c r="AH298" s="26" t="n"/>
    </row>
    <row r="299">
      <c r="A299" s="22" t="n"/>
      <c r="B299" s="22" t="n"/>
      <c r="C299" s="26" t="n"/>
      <c r="D299" s="27" t="n"/>
      <c r="E299" s="22" t="n"/>
      <c r="F299" s="26" t="n"/>
      <c r="G299" s="22" t="n"/>
      <c r="H299" s="26">
        <f>IF(G299="","",IFERROR(VLOOKUP(G299,板块观察!A:Z,19,FALSE),""))</f>
        <v/>
      </c>
      <c r="I299" s="26">
        <f>IF(G299="","",IFERROR(VLOOKUP(G299,板块观察!A:Z,20,FALSE),""))</f>
        <v/>
      </c>
      <c r="J299" s="22" t="n"/>
      <c r="K299" s="22" t="n"/>
      <c r="L299" s="22" t="n"/>
      <c r="M299" s="22" t="n"/>
      <c r="N299" s="22" t="n"/>
      <c r="O299" s="22" t="n"/>
      <c r="P299" s="22" t="n"/>
      <c r="Q299" s="28" t="n"/>
      <c r="R299" s="22" t="n"/>
      <c r="S299" s="29" t="n"/>
      <c r="T299" s="29" t="n"/>
      <c r="U299" s="29" t="n"/>
      <c r="V299" s="22" t="n"/>
      <c r="W299" s="22" t="n"/>
      <c r="X299" s="22" t="n"/>
      <c r="Y299" s="22" t="n"/>
      <c r="Z299" s="22" t="n"/>
      <c r="AA299" s="22" t="n"/>
      <c r="AB299" s="22" t="n"/>
      <c r="AC299" s="29" t="n"/>
      <c r="AD299" s="30">
        <f>IF(A299="","",(COUNTA(A299:G299)+COUNTA(J299:AC299))/27)</f>
        <v/>
      </c>
      <c r="AE299" s="26">
        <f>IF(B299="","",WORKDAY(B299,3))</f>
        <v/>
      </c>
      <c r="AF299" s="26">
        <f>IF(B299="","",WORKDAY(B299,5))</f>
        <v/>
      </c>
      <c r="AG299" s="26">
        <f>IF(B299="","",WORKDAY(B299,10))</f>
        <v/>
      </c>
      <c r="AH299" s="26" t="n"/>
    </row>
    <row r="300">
      <c r="A300" s="22" t="n"/>
      <c r="B300" s="22" t="n"/>
      <c r="C300" s="26" t="n"/>
      <c r="D300" s="27" t="n"/>
      <c r="E300" s="22" t="n"/>
      <c r="F300" s="26" t="n"/>
      <c r="G300" s="22" t="n"/>
      <c r="H300" s="26">
        <f>IF(G300="","",IFERROR(VLOOKUP(G300,板块观察!A:Z,19,FALSE),""))</f>
        <v/>
      </c>
      <c r="I300" s="26">
        <f>IF(G300="","",IFERROR(VLOOKUP(G300,板块观察!A:Z,20,FALSE),""))</f>
        <v/>
      </c>
      <c r="J300" s="22" t="n"/>
      <c r="K300" s="22" t="n"/>
      <c r="L300" s="22" t="n"/>
      <c r="M300" s="22" t="n"/>
      <c r="N300" s="22" t="n"/>
      <c r="O300" s="22" t="n"/>
      <c r="P300" s="22" t="n"/>
      <c r="Q300" s="28" t="n"/>
      <c r="R300" s="22" t="n"/>
      <c r="S300" s="29" t="n"/>
      <c r="T300" s="29" t="n"/>
      <c r="U300" s="29" t="n"/>
      <c r="V300" s="22" t="n"/>
      <c r="W300" s="22" t="n"/>
      <c r="X300" s="22" t="n"/>
      <c r="Y300" s="22" t="n"/>
      <c r="Z300" s="22" t="n"/>
      <c r="AA300" s="22" t="n"/>
      <c r="AB300" s="22" t="n"/>
      <c r="AC300" s="29" t="n"/>
      <c r="AD300" s="30">
        <f>IF(A300="","",(COUNTA(A300:G300)+COUNTA(J300:AC300))/27)</f>
        <v/>
      </c>
      <c r="AE300" s="26">
        <f>IF(B300="","",WORKDAY(B300,3))</f>
        <v/>
      </c>
      <c r="AF300" s="26">
        <f>IF(B300="","",WORKDAY(B300,5))</f>
        <v/>
      </c>
      <c r="AG300" s="26">
        <f>IF(B300="","",WORKDAY(B300,10))</f>
        <v/>
      </c>
      <c r="AH300" s="26" t="n"/>
    </row>
    <row r="301">
      <c r="A301" s="22" t="n"/>
      <c r="B301" s="22" t="n"/>
      <c r="C301" s="26" t="n"/>
      <c r="D301" s="27" t="n"/>
      <c r="E301" s="22" t="n"/>
      <c r="F301" s="26" t="n"/>
      <c r="G301" s="22" t="n"/>
      <c r="H301" s="26">
        <f>IF(G301="","",IFERROR(VLOOKUP(G301,板块观察!A:Z,19,FALSE),""))</f>
        <v/>
      </c>
      <c r="I301" s="26">
        <f>IF(G301="","",IFERROR(VLOOKUP(G301,板块观察!A:Z,20,FALSE),""))</f>
        <v/>
      </c>
      <c r="J301" s="22" t="n"/>
      <c r="K301" s="22" t="n"/>
      <c r="L301" s="22" t="n"/>
      <c r="M301" s="22" t="n"/>
      <c r="N301" s="22" t="n"/>
      <c r="O301" s="22" t="n"/>
      <c r="P301" s="22" t="n"/>
      <c r="Q301" s="28" t="n"/>
      <c r="R301" s="22" t="n"/>
      <c r="S301" s="29" t="n"/>
      <c r="T301" s="29" t="n"/>
      <c r="U301" s="29" t="n"/>
      <c r="V301" s="22" t="n"/>
      <c r="W301" s="22" t="n"/>
      <c r="X301" s="22" t="n"/>
      <c r="Y301" s="22" t="n"/>
      <c r="Z301" s="22" t="n"/>
      <c r="AA301" s="22" t="n"/>
      <c r="AB301" s="22" t="n"/>
      <c r="AC301" s="29" t="n"/>
      <c r="AD301" s="30">
        <f>IF(A301="","",(COUNTA(A301:G301)+COUNTA(J301:AC301))/27)</f>
        <v/>
      </c>
      <c r="AE301" s="26">
        <f>IF(B301="","",WORKDAY(B301,3))</f>
        <v/>
      </c>
      <c r="AF301" s="26">
        <f>IF(B301="","",WORKDAY(B301,5))</f>
        <v/>
      </c>
      <c r="AG301" s="26">
        <f>IF(B301="","",WORKDAY(B301,10))</f>
        <v/>
      </c>
      <c r="AH301" s="26" t="n"/>
    </row>
    <row r="302">
      <c r="A302" s="22" t="n"/>
      <c r="B302" s="22" t="n"/>
      <c r="C302" s="26" t="n"/>
      <c r="D302" s="27" t="n"/>
      <c r="E302" s="22" t="n"/>
      <c r="F302" s="26" t="n"/>
      <c r="G302" s="22" t="n"/>
      <c r="H302" s="26">
        <f>IF(G302="","",IFERROR(VLOOKUP(G302,板块观察!A:Z,19,FALSE),""))</f>
        <v/>
      </c>
      <c r="I302" s="26">
        <f>IF(G302="","",IFERROR(VLOOKUP(G302,板块观察!A:Z,20,FALSE),""))</f>
        <v/>
      </c>
      <c r="J302" s="22" t="n"/>
      <c r="K302" s="22" t="n"/>
      <c r="L302" s="22" t="n"/>
      <c r="M302" s="22" t="n"/>
      <c r="N302" s="22" t="n"/>
      <c r="O302" s="22" t="n"/>
      <c r="P302" s="22" t="n"/>
      <c r="Q302" s="28" t="n"/>
      <c r="R302" s="22" t="n"/>
      <c r="S302" s="29" t="n"/>
      <c r="T302" s="29" t="n"/>
      <c r="U302" s="29" t="n"/>
      <c r="V302" s="22" t="n"/>
      <c r="W302" s="22" t="n"/>
      <c r="X302" s="22" t="n"/>
      <c r="Y302" s="22" t="n"/>
      <c r="Z302" s="22" t="n"/>
      <c r="AA302" s="22" t="n"/>
      <c r="AB302" s="22" t="n"/>
      <c r="AC302" s="29" t="n"/>
      <c r="AD302" s="30">
        <f>IF(A302="","",(COUNTA(A302:G302)+COUNTA(J302:AC302))/27)</f>
        <v/>
      </c>
      <c r="AE302" s="26">
        <f>IF(B302="","",WORKDAY(B302,3))</f>
        <v/>
      </c>
      <c r="AF302" s="26">
        <f>IF(B302="","",WORKDAY(B302,5))</f>
        <v/>
      </c>
      <c r="AG302" s="26">
        <f>IF(B302="","",WORKDAY(B302,10))</f>
        <v/>
      </c>
      <c r="AH302" s="26" t="n"/>
    </row>
    <row r="303">
      <c r="A303" s="22" t="n"/>
      <c r="B303" s="22" t="n"/>
      <c r="C303" s="26" t="n"/>
      <c r="D303" s="27" t="n"/>
      <c r="E303" s="22" t="n"/>
      <c r="F303" s="26" t="n"/>
      <c r="G303" s="22" t="n"/>
      <c r="H303" s="26">
        <f>IF(G303="","",IFERROR(VLOOKUP(G303,板块观察!A:Z,19,FALSE),""))</f>
        <v/>
      </c>
      <c r="I303" s="26">
        <f>IF(G303="","",IFERROR(VLOOKUP(G303,板块观察!A:Z,20,FALSE),""))</f>
        <v/>
      </c>
      <c r="J303" s="22" t="n"/>
      <c r="K303" s="22" t="n"/>
      <c r="L303" s="22" t="n"/>
      <c r="M303" s="22" t="n"/>
      <c r="N303" s="22" t="n"/>
      <c r="O303" s="22" t="n"/>
      <c r="P303" s="22" t="n"/>
      <c r="Q303" s="28" t="n"/>
      <c r="R303" s="22" t="n"/>
      <c r="S303" s="29" t="n"/>
      <c r="T303" s="29" t="n"/>
      <c r="U303" s="29" t="n"/>
      <c r="V303" s="22" t="n"/>
      <c r="W303" s="22" t="n"/>
      <c r="X303" s="22" t="n"/>
      <c r="Y303" s="22" t="n"/>
      <c r="Z303" s="22" t="n"/>
      <c r="AA303" s="22" t="n"/>
      <c r="AB303" s="22" t="n"/>
      <c r="AC303" s="29" t="n"/>
      <c r="AD303" s="30">
        <f>IF(A303="","",(COUNTA(A303:G303)+COUNTA(J303:AC303))/27)</f>
        <v/>
      </c>
      <c r="AE303" s="26">
        <f>IF(B303="","",WORKDAY(B303,3))</f>
        <v/>
      </c>
      <c r="AF303" s="26">
        <f>IF(B303="","",WORKDAY(B303,5))</f>
        <v/>
      </c>
      <c r="AG303" s="26">
        <f>IF(B303="","",WORKDAY(B303,10))</f>
        <v/>
      </c>
      <c r="AH303" s="26" t="n"/>
    </row>
    <row r="304">
      <c r="A304" s="22" t="n"/>
      <c r="B304" s="22" t="n"/>
      <c r="C304" s="26" t="n"/>
      <c r="D304" s="27" t="n"/>
      <c r="E304" s="22" t="n"/>
      <c r="F304" s="26" t="n"/>
      <c r="G304" s="22" t="n"/>
      <c r="H304" s="26">
        <f>IF(G304="","",IFERROR(VLOOKUP(G304,板块观察!A:Z,19,FALSE),""))</f>
        <v/>
      </c>
      <c r="I304" s="26">
        <f>IF(G304="","",IFERROR(VLOOKUP(G304,板块观察!A:Z,20,FALSE),""))</f>
        <v/>
      </c>
      <c r="J304" s="22" t="n"/>
      <c r="K304" s="22" t="n"/>
      <c r="L304" s="22" t="n"/>
      <c r="M304" s="22" t="n"/>
      <c r="N304" s="22" t="n"/>
      <c r="O304" s="22" t="n"/>
      <c r="P304" s="22" t="n"/>
      <c r="Q304" s="28" t="n"/>
      <c r="R304" s="22" t="n"/>
      <c r="S304" s="29" t="n"/>
      <c r="T304" s="29" t="n"/>
      <c r="U304" s="29" t="n"/>
      <c r="V304" s="22" t="n"/>
      <c r="W304" s="22" t="n"/>
      <c r="X304" s="22" t="n"/>
      <c r="Y304" s="22" t="n"/>
      <c r="Z304" s="22" t="n"/>
      <c r="AA304" s="22" t="n"/>
      <c r="AB304" s="22" t="n"/>
      <c r="AC304" s="29" t="n"/>
      <c r="AD304" s="30">
        <f>IF(A304="","",(COUNTA(A304:G304)+COUNTA(J304:AC304))/27)</f>
        <v/>
      </c>
      <c r="AE304" s="26">
        <f>IF(B304="","",WORKDAY(B304,3))</f>
        <v/>
      </c>
      <c r="AF304" s="26">
        <f>IF(B304="","",WORKDAY(B304,5))</f>
        <v/>
      </c>
      <c r="AG304" s="26">
        <f>IF(B304="","",WORKDAY(B304,10))</f>
        <v/>
      </c>
      <c r="AH304" s="26" t="n"/>
    </row>
    <row r="305">
      <c r="A305" s="22" t="n"/>
      <c r="B305" s="22" t="n"/>
      <c r="C305" s="26" t="n"/>
      <c r="D305" s="27" t="n"/>
      <c r="E305" s="22" t="n"/>
      <c r="F305" s="26" t="n"/>
      <c r="G305" s="22" t="n"/>
      <c r="H305" s="26">
        <f>IF(G305="","",IFERROR(VLOOKUP(G305,板块观察!A:Z,19,FALSE),""))</f>
        <v/>
      </c>
      <c r="I305" s="26">
        <f>IF(G305="","",IFERROR(VLOOKUP(G305,板块观察!A:Z,20,FALSE),""))</f>
        <v/>
      </c>
      <c r="J305" s="22" t="n"/>
      <c r="K305" s="22" t="n"/>
      <c r="L305" s="22" t="n"/>
      <c r="M305" s="22" t="n"/>
      <c r="N305" s="22" t="n"/>
      <c r="O305" s="22" t="n"/>
      <c r="P305" s="22" t="n"/>
      <c r="Q305" s="28" t="n"/>
      <c r="R305" s="22" t="n"/>
      <c r="S305" s="29" t="n"/>
      <c r="T305" s="29" t="n"/>
      <c r="U305" s="29" t="n"/>
      <c r="V305" s="22" t="n"/>
      <c r="W305" s="22" t="n"/>
      <c r="X305" s="22" t="n"/>
      <c r="Y305" s="22" t="n"/>
      <c r="Z305" s="22" t="n"/>
      <c r="AA305" s="22" t="n"/>
      <c r="AB305" s="22" t="n"/>
      <c r="AC305" s="29" t="n"/>
      <c r="AD305" s="30">
        <f>IF(A305="","",(COUNTA(A305:G305)+COUNTA(J305:AC305))/27)</f>
        <v/>
      </c>
      <c r="AE305" s="26">
        <f>IF(B305="","",WORKDAY(B305,3))</f>
        <v/>
      </c>
      <c r="AF305" s="26">
        <f>IF(B305="","",WORKDAY(B305,5))</f>
        <v/>
      </c>
      <c r="AG305" s="26">
        <f>IF(B305="","",WORKDAY(B305,10))</f>
        <v/>
      </c>
      <c r="AH305" s="26" t="n"/>
    </row>
    <row r="306">
      <c r="A306" s="22" t="n"/>
      <c r="B306" s="22" t="n"/>
      <c r="C306" s="26" t="n"/>
      <c r="D306" s="27" t="n"/>
      <c r="E306" s="22" t="n"/>
      <c r="F306" s="26" t="n"/>
      <c r="G306" s="22" t="n"/>
      <c r="H306" s="26">
        <f>IF(G306="","",IFERROR(VLOOKUP(G306,板块观察!A:Z,19,FALSE),""))</f>
        <v/>
      </c>
      <c r="I306" s="26">
        <f>IF(G306="","",IFERROR(VLOOKUP(G306,板块观察!A:Z,20,FALSE),""))</f>
        <v/>
      </c>
      <c r="J306" s="22" t="n"/>
      <c r="K306" s="22" t="n"/>
      <c r="L306" s="22" t="n"/>
      <c r="M306" s="22" t="n"/>
      <c r="N306" s="22" t="n"/>
      <c r="O306" s="22" t="n"/>
      <c r="P306" s="22" t="n"/>
      <c r="Q306" s="28" t="n"/>
      <c r="R306" s="22" t="n"/>
      <c r="S306" s="29" t="n"/>
      <c r="T306" s="29" t="n"/>
      <c r="U306" s="29" t="n"/>
      <c r="V306" s="22" t="n"/>
      <c r="W306" s="22" t="n"/>
      <c r="X306" s="22" t="n"/>
      <c r="Y306" s="22" t="n"/>
      <c r="Z306" s="22" t="n"/>
      <c r="AA306" s="22" t="n"/>
      <c r="AB306" s="22" t="n"/>
      <c r="AC306" s="29" t="n"/>
      <c r="AD306" s="30">
        <f>IF(A306="","",(COUNTA(A306:G306)+COUNTA(J306:AC306))/27)</f>
        <v/>
      </c>
      <c r="AE306" s="26">
        <f>IF(B306="","",WORKDAY(B306,3))</f>
        <v/>
      </c>
      <c r="AF306" s="26">
        <f>IF(B306="","",WORKDAY(B306,5))</f>
        <v/>
      </c>
      <c r="AG306" s="26">
        <f>IF(B306="","",WORKDAY(B306,10))</f>
        <v/>
      </c>
      <c r="AH306" s="26" t="n"/>
    </row>
    <row r="307">
      <c r="A307" s="22" t="n"/>
      <c r="B307" s="22" t="n"/>
      <c r="C307" s="26" t="n"/>
      <c r="D307" s="27" t="n"/>
      <c r="E307" s="22" t="n"/>
      <c r="F307" s="26" t="n"/>
      <c r="G307" s="22" t="n"/>
      <c r="H307" s="26">
        <f>IF(G307="","",IFERROR(VLOOKUP(G307,板块观察!A:Z,19,FALSE),""))</f>
        <v/>
      </c>
      <c r="I307" s="26">
        <f>IF(G307="","",IFERROR(VLOOKUP(G307,板块观察!A:Z,20,FALSE),""))</f>
        <v/>
      </c>
      <c r="J307" s="22" t="n"/>
      <c r="K307" s="22" t="n"/>
      <c r="L307" s="22" t="n"/>
      <c r="M307" s="22" t="n"/>
      <c r="N307" s="22" t="n"/>
      <c r="O307" s="22" t="n"/>
      <c r="P307" s="22" t="n"/>
      <c r="Q307" s="28" t="n"/>
      <c r="R307" s="22" t="n"/>
      <c r="S307" s="29" t="n"/>
      <c r="T307" s="29" t="n"/>
      <c r="U307" s="29" t="n"/>
      <c r="V307" s="22" t="n"/>
      <c r="W307" s="22" t="n"/>
      <c r="X307" s="22" t="n"/>
      <c r="Y307" s="22" t="n"/>
      <c r="Z307" s="22" t="n"/>
      <c r="AA307" s="22" t="n"/>
      <c r="AB307" s="22" t="n"/>
      <c r="AC307" s="29" t="n"/>
      <c r="AD307" s="30">
        <f>IF(A307="","",(COUNTA(A307:G307)+COUNTA(J307:AC307))/27)</f>
        <v/>
      </c>
      <c r="AE307" s="26">
        <f>IF(B307="","",WORKDAY(B307,3))</f>
        <v/>
      </c>
      <c r="AF307" s="26">
        <f>IF(B307="","",WORKDAY(B307,5))</f>
        <v/>
      </c>
      <c r="AG307" s="26">
        <f>IF(B307="","",WORKDAY(B307,10))</f>
        <v/>
      </c>
      <c r="AH307" s="26" t="n"/>
    </row>
    <row r="308">
      <c r="A308" s="22" t="n"/>
      <c r="B308" s="22" t="n"/>
      <c r="C308" s="26" t="n"/>
      <c r="D308" s="27" t="n"/>
      <c r="E308" s="22" t="n"/>
      <c r="F308" s="26" t="n"/>
      <c r="G308" s="22" t="n"/>
      <c r="H308" s="26">
        <f>IF(G308="","",IFERROR(VLOOKUP(G308,板块观察!A:Z,19,FALSE),""))</f>
        <v/>
      </c>
      <c r="I308" s="26">
        <f>IF(G308="","",IFERROR(VLOOKUP(G308,板块观察!A:Z,20,FALSE),""))</f>
        <v/>
      </c>
      <c r="J308" s="22" t="n"/>
      <c r="K308" s="22" t="n"/>
      <c r="L308" s="22" t="n"/>
      <c r="M308" s="22" t="n"/>
      <c r="N308" s="22" t="n"/>
      <c r="O308" s="22" t="n"/>
      <c r="P308" s="22" t="n"/>
      <c r="Q308" s="28" t="n"/>
      <c r="R308" s="22" t="n"/>
      <c r="S308" s="29" t="n"/>
      <c r="T308" s="29" t="n"/>
      <c r="U308" s="29" t="n"/>
      <c r="V308" s="22" t="n"/>
      <c r="W308" s="22" t="n"/>
      <c r="X308" s="22" t="n"/>
      <c r="Y308" s="22" t="n"/>
      <c r="Z308" s="22" t="n"/>
      <c r="AA308" s="22" t="n"/>
      <c r="AB308" s="22" t="n"/>
      <c r="AC308" s="29" t="n"/>
      <c r="AD308" s="30">
        <f>IF(A308="","",(COUNTA(A308:G308)+COUNTA(J308:AC308))/27)</f>
        <v/>
      </c>
      <c r="AE308" s="26">
        <f>IF(B308="","",WORKDAY(B308,3))</f>
        <v/>
      </c>
      <c r="AF308" s="26">
        <f>IF(B308="","",WORKDAY(B308,5))</f>
        <v/>
      </c>
      <c r="AG308" s="26">
        <f>IF(B308="","",WORKDAY(B308,10))</f>
        <v/>
      </c>
      <c r="AH308" s="26" t="n"/>
    </row>
    <row r="309">
      <c r="A309" s="22" t="n"/>
      <c r="B309" s="22" t="n"/>
      <c r="C309" s="26" t="n"/>
      <c r="D309" s="27" t="n"/>
      <c r="E309" s="22" t="n"/>
      <c r="F309" s="26" t="n"/>
      <c r="G309" s="22" t="n"/>
      <c r="H309" s="26">
        <f>IF(G309="","",IFERROR(VLOOKUP(G309,板块观察!A:Z,19,FALSE),""))</f>
        <v/>
      </c>
      <c r="I309" s="26">
        <f>IF(G309="","",IFERROR(VLOOKUP(G309,板块观察!A:Z,20,FALSE),""))</f>
        <v/>
      </c>
      <c r="J309" s="22" t="n"/>
      <c r="K309" s="22" t="n"/>
      <c r="L309" s="22" t="n"/>
      <c r="M309" s="22" t="n"/>
      <c r="N309" s="22" t="n"/>
      <c r="O309" s="22" t="n"/>
      <c r="P309" s="22" t="n"/>
      <c r="Q309" s="28" t="n"/>
      <c r="R309" s="22" t="n"/>
      <c r="S309" s="29" t="n"/>
      <c r="T309" s="29" t="n"/>
      <c r="U309" s="29" t="n"/>
      <c r="V309" s="22" t="n"/>
      <c r="W309" s="22" t="n"/>
      <c r="X309" s="22" t="n"/>
      <c r="Y309" s="22" t="n"/>
      <c r="Z309" s="22" t="n"/>
      <c r="AA309" s="22" t="n"/>
      <c r="AB309" s="22" t="n"/>
      <c r="AC309" s="29" t="n"/>
      <c r="AD309" s="30">
        <f>IF(A309="","",(COUNTA(A309:G309)+COUNTA(J309:AC309))/27)</f>
        <v/>
      </c>
      <c r="AE309" s="26">
        <f>IF(B309="","",WORKDAY(B309,3))</f>
        <v/>
      </c>
      <c r="AF309" s="26">
        <f>IF(B309="","",WORKDAY(B309,5))</f>
        <v/>
      </c>
      <c r="AG309" s="26">
        <f>IF(B309="","",WORKDAY(B309,10))</f>
        <v/>
      </c>
      <c r="AH309" s="26" t="n"/>
    </row>
    <row r="310">
      <c r="A310" s="22" t="n"/>
      <c r="B310" s="22" t="n"/>
      <c r="C310" s="26" t="n"/>
      <c r="D310" s="27" t="n"/>
      <c r="E310" s="22" t="n"/>
      <c r="F310" s="26" t="n"/>
      <c r="G310" s="22" t="n"/>
      <c r="H310" s="26">
        <f>IF(G310="","",IFERROR(VLOOKUP(G310,板块观察!A:Z,19,FALSE),""))</f>
        <v/>
      </c>
      <c r="I310" s="26">
        <f>IF(G310="","",IFERROR(VLOOKUP(G310,板块观察!A:Z,20,FALSE),""))</f>
        <v/>
      </c>
      <c r="J310" s="22" t="n"/>
      <c r="K310" s="22" t="n"/>
      <c r="L310" s="22" t="n"/>
      <c r="M310" s="22" t="n"/>
      <c r="N310" s="22" t="n"/>
      <c r="O310" s="22" t="n"/>
      <c r="P310" s="22" t="n"/>
      <c r="Q310" s="28" t="n"/>
      <c r="R310" s="22" t="n"/>
      <c r="S310" s="29" t="n"/>
      <c r="T310" s="29" t="n"/>
      <c r="U310" s="29" t="n"/>
      <c r="V310" s="22" t="n"/>
      <c r="W310" s="22" t="n"/>
      <c r="X310" s="22" t="n"/>
      <c r="Y310" s="22" t="n"/>
      <c r="Z310" s="22" t="n"/>
      <c r="AA310" s="22" t="n"/>
      <c r="AB310" s="22" t="n"/>
      <c r="AC310" s="29" t="n"/>
      <c r="AD310" s="30">
        <f>IF(A310="","",(COUNTA(A310:G310)+COUNTA(J310:AC310))/27)</f>
        <v/>
      </c>
      <c r="AE310" s="26">
        <f>IF(B310="","",WORKDAY(B310,3))</f>
        <v/>
      </c>
      <c r="AF310" s="26">
        <f>IF(B310="","",WORKDAY(B310,5))</f>
        <v/>
      </c>
      <c r="AG310" s="26">
        <f>IF(B310="","",WORKDAY(B310,10))</f>
        <v/>
      </c>
      <c r="AH310" s="26" t="n"/>
    </row>
    <row r="311">
      <c r="A311" s="22" t="n"/>
      <c r="B311" s="22" t="n"/>
      <c r="C311" s="26" t="n"/>
      <c r="D311" s="27" t="n"/>
      <c r="E311" s="22" t="n"/>
      <c r="F311" s="26" t="n"/>
      <c r="G311" s="22" t="n"/>
      <c r="H311" s="26">
        <f>IF(G311="","",IFERROR(VLOOKUP(G311,板块观察!A:Z,19,FALSE),""))</f>
        <v/>
      </c>
      <c r="I311" s="26">
        <f>IF(G311="","",IFERROR(VLOOKUP(G311,板块观察!A:Z,20,FALSE),""))</f>
        <v/>
      </c>
      <c r="J311" s="22" t="n"/>
      <c r="K311" s="22" t="n"/>
      <c r="L311" s="22" t="n"/>
      <c r="M311" s="22" t="n"/>
      <c r="N311" s="22" t="n"/>
      <c r="O311" s="22" t="n"/>
      <c r="P311" s="22" t="n"/>
      <c r="Q311" s="28" t="n"/>
      <c r="R311" s="22" t="n"/>
      <c r="S311" s="29" t="n"/>
      <c r="T311" s="29" t="n"/>
      <c r="U311" s="29" t="n"/>
      <c r="V311" s="22" t="n"/>
      <c r="W311" s="22" t="n"/>
      <c r="X311" s="22" t="n"/>
      <c r="Y311" s="22" t="n"/>
      <c r="Z311" s="22" t="n"/>
      <c r="AA311" s="22" t="n"/>
      <c r="AB311" s="22" t="n"/>
      <c r="AC311" s="29" t="n"/>
      <c r="AD311" s="30">
        <f>IF(A311="","",(COUNTA(A311:G311)+COUNTA(J311:AC311))/27)</f>
        <v/>
      </c>
      <c r="AE311" s="26">
        <f>IF(B311="","",WORKDAY(B311,3))</f>
        <v/>
      </c>
      <c r="AF311" s="26">
        <f>IF(B311="","",WORKDAY(B311,5))</f>
        <v/>
      </c>
      <c r="AG311" s="26">
        <f>IF(B311="","",WORKDAY(B311,10))</f>
        <v/>
      </c>
      <c r="AH311" s="26" t="n"/>
    </row>
    <row r="312">
      <c r="A312" s="22" t="n"/>
      <c r="B312" s="22" t="n"/>
      <c r="C312" s="26" t="n"/>
      <c r="D312" s="27" t="n"/>
      <c r="E312" s="22" t="n"/>
      <c r="F312" s="26" t="n"/>
      <c r="G312" s="22" t="n"/>
      <c r="H312" s="26">
        <f>IF(G312="","",IFERROR(VLOOKUP(G312,板块观察!A:Z,19,FALSE),""))</f>
        <v/>
      </c>
      <c r="I312" s="26">
        <f>IF(G312="","",IFERROR(VLOOKUP(G312,板块观察!A:Z,20,FALSE),""))</f>
        <v/>
      </c>
      <c r="J312" s="22" t="n"/>
      <c r="K312" s="22" t="n"/>
      <c r="L312" s="22" t="n"/>
      <c r="M312" s="22" t="n"/>
      <c r="N312" s="22" t="n"/>
      <c r="O312" s="22" t="n"/>
      <c r="P312" s="22" t="n"/>
      <c r="Q312" s="28" t="n"/>
      <c r="R312" s="22" t="n"/>
      <c r="S312" s="29" t="n"/>
      <c r="T312" s="29" t="n"/>
      <c r="U312" s="29" t="n"/>
      <c r="V312" s="22" t="n"/>
      <c r="W312" s="22" t="n"/>
      <c r="X312" s="22" t="n"/>
      <c r="Y312" s="22" t="n"/>
      <c r="Z312" s="22" t="n"/>
      <c r="AA312" s="22" t="n"/>
      <c r="AB312" s="22" t="n"/>
      <c r="AC312" s="29" t="n"/>
      <c r="AD312" s="30">
        <f>IF(A312="","",(COUNTA(A312:G312)+COUNTA(J312:AC312))/27)</f>
        <v/>
      </c>
      <c r="AE312" s="26">
        <f>IF(B312="","",WORKDAY(B312,3))</f>
        <v/>
      </c>
      <c r="AF312" s="26">
        <f>IF(B312="","",WORKDAY(B312,5))</f>
        <v/>
      </c>
      <c r="AG312" s="26">
        <f>IF(B312="","",WORKDAY(B312,10))</f>
        <v/>
      </c>
      <c r="AH312" s="26" t="n"/>
    </row>
    <row r="313">
      <c r="A313" s="22" t="n"/>
      <c r="B313" s="22" t="n"/>
      <c r="C313" s="26" t="n"/>
      <c r="D313" s="27" t="n"/>
      <c r="E313" s="22" t="n"/>
      <c r="F313" s="26" t="n"/>
      <c r="G313" s="22" t="n"/>
      <c r="H313" s="26">
        <f>IF(G313="","",IFERROR(VLOOKUP(G313,板块观察!A:Z,19,FALSE),""))</f>
        <v/>
      </c>
      <c r="I313" s="26">
        <f>IF(G313="","",IFERROR(VLOOKUP(G313,板块观察!A:Z,20,FALSE),""))</f>
        <v/>
      </c>
      <c r="J313" s="22" t="n"/>
      <c r="K313" s="22" t="n"/>
      <c r="L313" s="22" t="n"/>
      <c r="M313" s="22" t="n"/>
      <c r="N313" s="22" t="n"/>
      <c r="O313" s="22" t="n"/>
      <c r="P313" s="22" t="n"/>
      <c r="Q313" s="28" t="n"/>
      <c r="R313" s="22" t="n"/>
      <c r="S313" s="29" t="n"/>
      <c r="T313" s="29" t="n"/>
      <c r="U313" s="29" t="n"/>
      <c r="V313" s="22" t="n"/>
      <c r="W313" s="22" t="n"/>
      <c r="X313" s="22" t="n"/>
      <c r="Y313" s="22" t="n"/>
      <c r="Z313" s="22" t="n"/>
      <c r="AA313" s="22" t="n"/>
      <c r="AB313" s="22" t="n"/>
      <c r="AC313" s="29" t="n"/>
      <c r="AD313" s="30">
        <f>IF(A313="","",(COUNTA(A313:G313)+COUNTA(J313:AC313))/27)</f>
        <v/>
      </c>
      <c r="AE313" s="26">
        <f>IF(B313="","",WORKDAY(B313,3))</f>
        <v/>
      </c>
      <c r="AF313" s="26">
        <f>IF(B313="","",WORKDAY(B313,5))</f>
        <v/>
      </c>
      <c r="AG313" s="26">
        <f>IF(B313="","",WORKDAY(B313,10))</f>
        <v/>
      </c>
      <c r="AH313" s="26" t="n"/>
    </row>
    <row r="314">
      <c r="A314" s="22" t="n"/>
      <c r="B314" s="22" t="n"/>
      <c r="C314" s="26" t="n"/>
      <c r="D314" s="27" t="n"/>
      <c r="E314" s="22" t="n"/>
      <c r="F314" s="26" t="n"/>
      <c r="G314" s="22" t="n"/>
      <c r="H314" s="26">
        <f>IF(G314="","",IFERROR(VLOOKUP(G314,板块观察!A:Z,19,FALSE),""))</f>
        <v/>
      </c>
      <c r="I314" s="26">
        <f>IF(G314="","",IFERROR(VLOOKUP(G314,板块观察!A:Z,20,FALSE),""))</f>
        <v/>
      </c>
      <c r="J314" s="22" t="n"/>
      <c r="K314" s="22" t="n"/>
      <c r="L314" s="22" t="n"/>
      <c r="M314" s="22" t="n"/>
      <c r="N314" s="22" t="n"/>
      <c r="O314" s="22" t="n"/>
      <c r="P314" s="22" t="n"/>
      <c r="Q314" s="28" t="n"/>
      <c r="R314" s="22" t="n"/>
      <c r="S314" s="29" t="n"/>
      <c r="T314" s="29" t="n"/>
      <c r="U314" s="29" t="n"/>
      <c r="V314" s="22" t="n"/>
      <c r="W314" s="22" t="n"/>
      <c r="X314" s="22" t="n"/>
      <c r="Y314" s="22" t="n"/>
      <c r="Z314" s="22" t="n"/>
      <c r="AA314" s="22" t="n"/>
      <c r="AB314" s="22" t="n"/>
      <c r="AC314" s="29" t="n"/>
      <c r="AD314" s="30">
        <f>IF(A314="","",(COUNTA(A314:G314)+COUNTA(J314:AC314))/27)</f>
        <v/>
      </c>
      <c r="AE314" s="26">
        <f>IF(B314="","",WORKDAY(B314,3))</f>
        <v/>
      </c>
      <c r="AF314" s="26">
        <f>IF(B314="","",WORKDAY(B314,5))</f>
        <v/>
      </c>
      <c r="AG314" s="26">
        <f>IF(B314="","",WORKDAY(B314,10))</f>
        <v/>
      </c>
      <c r="AH314" s="26" t="n"/>
    </row>
    <row r="315">
      <c r="A315" s="22" t="n"/>
      <c r="B315" s="22" t="n"/>
      <c r="C315" s="26" t="n"/>
      <c r="D315" s="27" t="n"/>
      <c r="E315" s="22" t="n"/>
      <c r="F315" s="26" t="n"/>
      <c r="G315" s="22" t="n"/>
      <c r="H315" s="26">
        <f>IF(G315="","",IFERROR(VLOOKUP(G315,板块观察!A:Z,19,FALSE),""))</f>
        <v/>
      </c>
      <c r="I315" s="26">
        <f>IF(G315="","",IFERROR(VLOOKUP(G315,板块观察!A:Z,20,FALSE),""))</f>
        <v/>
      </c>
      <c r="J315" s="22" t="n"/>
      <c r="K315" s="22" t="n"/>
      <c r="L315" s="22" t="n"/>
      <c r="M315" s="22" t="n"/>
      <c r="N315" s="22" t="n"/>
      <c r="O315" s="22" t="n"/>
      <c r="P315" s="22" t="n"/>
      <c r="Q315" s="28" t="n"/>
      <c r="R315" s="22" t="n"/>
      <c r="S315" s="29" t="n"/>
      <c r="T315" s="29" t="n"/>
      <c r="U315" s="29" t="n"/>
      <c r="V315" s="22" t="n"/>
      <c r="W315" s="22" t="n"/>
      <c r="X315" s="22" t="n"/>
      <c r="Y315" s="22" t="n"/>
      <c r="Z315" s="22" t="n"/>
      <c r="AA315" s="22" t="n"/>
      <c r="AB315" s="22" t="n"/>
      <c r="AC315" s="29" t="n"/>
      <c r="AD315" s="30">
        <f>IF(A315="","",(COUNTA(A315:G315)+COUNTA(J315:AC315))/27)</f>
        <v/>
      </c>
      <c r="AE315" s="26">
        <f>IF(B315="","",WORKDAY(B315,3))</f>
        <v/>
      </c>
      <c r="AF315" s="26">
        <f>IF(B315="","",WORKDAY(B315,5))</f>
        <v/>
      </c>
      <c r="AG315" s="26">
        <f>IF(B315="","",WORKDAY(B315,10))</f>
        <v/>
      </c>
      <c r="AH315" s="26" t="n"/>
    </row>
    <row r="316">
      <c r="A316" s="22" t="n"/>
      <c r="B316" s="22" t="n"/>
      <c r="C316" s="26" t="n"/>
      <c r="D316" s="27" t="n"/>
      <c r="E316" s="22" t="n"/>
      <c r="F316" s="26" t="n"/>
      <c r="G316" s="22" t="n"/>
      <c r="H316" s="26">
        <f>IF(G316="","",IFERROR(VLOOKUP(G316,板块观察!A:Z,19,FALSE),""))</f>
        <v/>
      </c>
      <c r="I316" s="26">
        <f>IF(G316="","",IFERROR(VLOOKUP(G316,板块观察!A:Z,20,FALSE),""))</f>
        <v/>
      </c>
      <c r="J316" s="22" t="n"/>
      <c r="K316" s="22" t="n"/>
      <c r="L316" s="22" t="n"/>
      <c r="M316" s="22" t="n"/>
      <c r="N316" s="22" t="n"/>
      <c r="O316" s="22" t="n"/>
      <c r="P316" s="22" t="n"/>
      <c r="Q316" s="28" t="n"/>
      <c r="R316" s="22" t="n"/>
      <c r="S316" s="29" t="n"/>
      <c r="T316" s="29" t="n"/>
      <c r="U316" s="29" t="n"/>
      <c r="V316" s="22" t="n"/>
      <c r="W316" s="22" t="n"/>
      <c r="X316" s="22" t="n"/>
      <c r="Y316" s="22" t="n"/>
      <c r="Z316" s="22" t="n"/>
      <c r="AA316" s="22" t="n"/>
      <c r="AB316" s="22" t="n"/>
      <c r="AC316" s="29" t="n"/>
      <c r="AD316" s="30">
        <f>IF(A316="","",(COUNTA(A316:G316)+COUNTA(J316:AC316))/27)</f>
        <v/>
      </c>
      <c r="AE316" s="26">
        <f>IF(B316="","",WORKDAY(B316,3))</f>
        <v/>
      </c>
      <c r="AF316" s="26">
        <f>IF(B316="","",WORKDAY(B316,5))</f>
        <v/>
      </c>
      <c r="AG316" s="26">
        <f>IF(B316="","",WORKDAY(B316,10))</f>
        <v/>
      </c>
      <c r="AH316" s="26" t="n"/>
    </row>
    <row r="317">
      <c r="A317" s="22" t="n"/>
      <c r="B317" s="22" t="n"/>
      <c r="C317" s="26" t="n"/>
      <c r="D317" s="27" t="n"/>
      <c r="E317" s="22" t="n"/>
      <c r="F317" s="26" t="n"/>
      <c r="G317" s="22" t="n"/>
      <c r="H317" s="26">
        <f>IF(G317="","",IFERROR(VLOOKUP(G317,板块观察!A:Z,19,FALSE),""))</f>
        <v/>
      </c>
      <c r="I317" s="26">
        <f>IF(G317="","",IFERROR(VLOOKUP(G317,板块观察!A:Z,20,FALSE),""))</f>
        <v/>
      </c>
      <c r="J317" s="22" t="n"/>
      <c r="K317" s="22" t="n"/>
      <c r="L317" s="22" t="n"/>
      <c r="M317" s="22" t="n"/>
      <c r="N317" s="22" t="n"/>
      <c r="O317" s="22" t="n"/>
      <c r="P317" s="22" t="n"/>
      <c r="Q317" s="28" t="n"/>
      <c r="R317" s="22" t="n"/>
      <c r="S317" s="29" t="n"/>
      <c r="T317" s="29" t="n"/>
      <c r="U317" s="29" t="n"/>
      <c r="V317" s="22" t="n"/>
      <c r="W317" s="22" t="n"/>
      <c r="X317" s="22" t="n"/>
      <c r="Y317" s="22" t="n"/>
      <c r="Z317" s="22" t="n"/>
      <c r="AA317" s="22" t="n"/>
      <c r="AB317" s="22" t="n"/>
      <c r="AC317" s="29" t="n"/>
      <c r="AD317" s="30">
        <f>IF(A317="","",(COUNTA(A317:G317)+COUNTA(J317:AC317))/27)</f>
        <v/>
      </c>
      <c r="AE317" s="26">
        <f>IF(B317="","",WORKDAY(B317,3))</f>
        <v/>
      </c>
      <c r="AF317" s="26">
        <f>IF(B317="","",WORKDAY(B317,5))</f>
        <v/>
      </c>
      <c r="AG317" s="26">
        <f>IF(B317="","",WORKDAY(B317,10))</f>
        <v/>
      </c>
      <c r="AH317" s="26" t="n"/>
    </row>
    <row r="318">
      <c r="A318" s="22" t="n"/>
      <c r="B318" s="22" t="n"/>
      <c r="C318" s="26" t="n"/>
      <c r="D318" s="27" t="n"/>
      <c r="E318" s="22" t="n"/>
      <c r="F318" s="26" t="n"/>
      <c r="G318" s="22" t="n"/>
      <c r="H318" s="26">
        <f>IF(G318="","",IFERROR(VLOOKUP(G318,板块观察!A:Z,19,FALSE),""))</f>
        <v/>
      </c>
      <c r="I318" s="26">
        <f>IF(G318="","",IFERROR(VLOOKUP(G318,板块观察!A:Z,20,FALSE),""))</f>
        <v/>
      </c>
      <c r="J318" s="22" t="n"/>
      <c r="K318" s="22" t="n"/>
      <c r="L318" s="22" t="n"/>
      <c r="M318" s="22" t="n"/>
      <c r="N318" s="22" t="n"/>
      <c r="O318" s="22" t="n"/>
      <c r="P318" s="22" t="n"/>
      <c r="Q318" s="28" t="n"/>
      <c r="R318" s="22" t="n"/>
      <c r="S318" s="29" t="n"/>
      <c r="T318" s="29" t="n"/>
      <c r="U318" s="29" t="n"/>
      <c r="V318" s="22" t="n"/>
      <c r="W318" s="22" t="n"/>
      <c r="X318" s="22" t="n"/>
      <c r="Y318" s="22" t="n"/>
      <c r="Z318" s="22" t="n"/>
      <c r="AA318" s="22" t="n"/>
      <c r="AB318" s="22" t="n"/>
      <c r="AC318" s="29" t="n"/>
      <c r="AD318" s="30">
        <f>IF(A318="","",(COUNTA(A318:G318)+COUNTA(J318:AC318))/27)</f>
        <v/>
      </c>
      <c r="AE318" s="26">
        <f>IF(B318="","",WORKDAY(B318,3))</f>
        <v/>
      </c>
      <c r="AF318" s="26">
        <f>IF(B318="","",WORKDAY(B318,5))</f>
        <v/>
      </c>
      <c r="AG318" s="26">
        <f>IF(B318="","",WORKDAY(B318,10))</f>
        <v/>
      </c>
      <c r="AH318" s="26" t="n"/>
    </row>
    <row r="319">
      <c r="A319" s="22" t="n"/>
      <c r="B319" s="22" t="n"/>
      <c r="C319" s="26" t="n"/>
      <c r="D319" s="27" t="n"/>
      <c r="E319" s="22" t="n"/>
      <c r="F319" s="26" t="n"/>
      <c r="G319" s="22" t="n"/>
      <c r="H319" s="26">
        <f>IF(G319="","",IFERROR(VLOOKUP(G319,板块观察!A:Z,19,FALSE),""))</f>
        <v/>
      </c>
      <c r="I319" s="26">
        <f>IF(G319="","",IFERROR(VLOOKUP(G319,板块观察!A:Z,20,FALSE),""))</f>
        <v/>
      </c>
      <c r="J319" s="22" t="n"/>
      <c r="K319" s="22" t="n"/>
      <c r="L319" s="22" t="n"/>
      <c r="M319" s="22" t="n"/>
      <c r="N319" s="22" t="n"/>
      <c r="O319" s="22" t="n"/>
      <c r="P319" s="22" t="n"/>
      <c r="Q319" s="28" t="n"/>
      <c r="R319" s="22" t="n"/>
      <c r="S319" s="29" t="n"/>
      <c r="T319" s="29" t="n"/>
      <c r="U319" s="29" t="n"/>
      <c r="V319" s="22" t="n"/>
      <c r="W319" s="22" t="n"/>
      <c r="X319" s="22" t="n"/>
      <c r="Y319" s="22" t="n"/>
      <c r="Z319" s="22" t="n"/>
      <c r="AA319" s="22" t="n"/>
      <c r="AB319" s="22" t="n"/>
      <c r="AC319" s="29" t="n"/>
      <c r="AD319" s="30">
        <f>IF(A319="","",(COUNTA(A319:G319)+COUNTA(J319:AC319))/27)</f>
        <v/>
      </c>
      <c r="AE319" s="26">
        <f>IF(B319="","",WORKDAY(B319,3))</f>
        <v/>
      </c>
      <c r="AF319" s="26">
        <f>IF(B319="","",WORKDAY(B319,5))</f>
        <v/>
      </c>
      <c r="AG319" s="26">
        <f>IF(B319="","",WORKDAY(B319,10))</f>
        <v/>
      </c>
      <c r="AH319" s="26" t="n"/>
    </row>
    <row r="320">
      <c r="A320" s="22" t="n"/>
      <c r="B320" s="22" t="n"/>
      <c r="C320" s="26" t="n"/>
      <c r="D320" s="27" t="n"/>
      <c r="E320" s="22" t="n"/>
      <c r="F320" s="26" t="n"/>
      <c r="G320" s="22" t="n"/>
      <c r="H320" s="26">
        <f>IF(G320="","",IFERROR(VLOOKUP(G320,板块观察!A:Z,19,FALSE),""))</f>
        <v/>
      </c>
      <c r="I320" s="26">
        <f>IF(G320="","",IFERROR(VLOOKUP(G320,板块观察!A:Z,20,FALSE),""))</f>
        <v/>
      </c>
      <c r="J320" s="22" t="n"/>
      <c r="K320" s="22" t="n"/>
      <c r="L320" s="22" t="n"/>
      <c r="M320" s="22" t="n"/>
      <c r="N320" s="22" t="n"/>
      <c r="O320" s="22" t="n"/>
      <c r="P320" s="22" t="n"/>
      <c r="Q320" s="28" t="n"/>
      <c r="R320" s="22" t="n"/>
      <c r="S320" s="29" t="n"/>
      <c r="T320" s="29" t="n"/>
      <c r="U320" s="29" t="n"/>
      <c r="V320" s="22" t="n"/>
      <c r="W320" s="22" t="n"/>
      <c r="X320" s="22" t="n"/>
      <c r="Y320" s="22" t="n"/>
      <c r="Z320" s="22" t="n"/>
      <c r="AA320" s="22" t="n"/>
      <c r="AB320" s="22" t="n"/>
      <c r="AC320" s="29" t="n"/>
      <c r="AD320" s="30">
        <f>IF(A320="","",(COUNTA(A320:G320)+COUNTA(J320:AC320))/27)</f>
        <v/>
      </c>
      <c r="AE320" s="26">
        <f>IF(B320="","",WORKDAY(B320,3))</f>
        <v/>
      </c>
      <c r="AF320" s="26">
        <f>IF(B320="","",WORKDAY(B320,5))</f>
        <v/>
      </c>
      <c r="AG320" s="26">
        <f>IF(B320="","",WORKDAY(B320,10))</f>
        <v/>
      </c>
      <c r="AH320" s="26" t="n"/>
    </row>
    <row r="321">
      <c r="A321" s="22" t="n"/>
      <c r="B321" s="22" t="n"/>
      <c r="C321" s="26" t="n"/>
      <c r="D321" s="27" t="n"/>
      <c r="E321" s="22" t="n"/>
      <c r="F321" s="26" t="n"/>
      <c r="G321" s="22" t="n"/>
      <c r="H321" s="26">
        <f>IF(G321="","",IFERROR(VLOOKUP(G321,板块观察!A:Z,19,FALSE),""))</f>
        <v/>
      </c>
      <c r="I321" s="26">
        <f>IF(G321="","",IFERROR(VLOOKUP(G321,板块观察!A:Z,20,FALSE),""))</f>
        <v/>
      </c>
      <c r="J321" s="22" t="n"/>
      <c r="K321" s="22" t="n"/>
      <c r="L321" s="22" t="n"/>
      <c r="M321" s="22" t="n"/>
      <c r="N321" s="22" t="n"/>
      <c r="O321" s="22" t="n"/>
      <c r="P321" s="22" t="n"/>
      <c r="Q321" s="28" t="n"/>
      <c r="R321" s="22" t="n"/>
      <c r="S321" s="29" t="n"/>
      <c r="T321" s="29" t="n"/>
      <c r="U321" s="29" t="n"/>
      <c r="V321" s="22" t="n"/>
      <c r="W321" s="22" t="n"/>
      <c r="X321" s="22" t="n"/>
      <c r="Y321" s="22" t="n"/>
      <c r="Z321" s="22" t="n"/>
      <c r="AA321" s="22" t="n"/>
      <c r="AB321" s="22" t="n"/>
      <c r="AC321" s="29" t="n"/>
      <c r="AD321" s="30">
        <f>IF(A321="","",(COUNTA(A321:G321)+COUNTA(J321:AC321))/27)</f>
        <v/>
      </c>
      <c r="AE321" s="26">
        <f>IF(B321="","",WORKDAY(B321,3))</f>
        <v/>
      </c>
      <c r="AF321" s="26">
        <f>IF(B321="","",WORKDAY(B321,5))</f>
        <v/>
      </c>
      <c r="AG321" s="26">
        <f>IF(B321="","",WORKDAY(B321,10))</f>
        <v/>
      </c>
      <c r="AH321" s="26" t="n"/>
    </row>
    <row r="322">
      <c r="A322" s="22" t="n"/>
      <c r="B322" s="22" t="n"/>
      <c r="C322" s="26" t="n"/>
      <c r="D322" s="27" t="n"/>
      <c r="E322" s="22" t="n"/>
      <c r="F322" s="26" t="n"/>
      <c r="G322" s="22" t="n"/>
      <c r="H322" s="26">
        <f>IF(G322="","",IFERROR(VLOOKUP(G322,板块观察!A:Z,19,FALSE),""))</f>
        <v/>
      </c>
      <c r="I322" s="26">
        <f>IF(G322="","",IFERROR(VLOOKUP(G322,板块观察!A:Z,20,FALSE),""))</f>
        <v/>
      </c>
      <c r="J322" s="22" t="n"/>
      <c r="K322" s="22" t="n"/>
      <c r="L322" s="22" t="n"/>
      <c r="M322" s="22" t="n"/>
      <c r="N322" s="22" t="n"/>
      <c r="O322" s="22" t="n"/>
      <c r="P322" s="22" t="n"/>
      <c r="Q322" s="28" t="n"/>
      <c r="R322" s="22" t="n"/>
      <c r="S322" s="29" t="n"/>
      <c r="T322" s="29" t="n"/>
      <c r="U322" s="29" t="n"/>
      <c r="V322" s="22" t="n"/>
      <c r="W322" s="22" t="n"/>
      <c r="X322" s="22" t="n"/>
      <c r="Y322" s="22" t="n"/>
      <c r="Z322" s="22" t="n"/>
      <c r="AA322" s="22" t="n"/>
      <c r="AB322" s="22" t="n"/>
      <c r="AC322" s="29" t="n"/>
      <c r="AD322" s="30">
        <f>IF(A322="","",(COUNTA(A322:G322)+COUNTA(J322:AC322))/27)</f>
        <v/>
      </c>
      <c r="AE322" s="26">
        <f>IF(B322="","",WORKDAY(B322,3))</f>
        <v/>
      </c>
      <c r="AF322" s="26">
        <f>IF(B322="","",WORKDAY(B322,5))</f>
        <v/>
      </c>
      <c r="AG322" s="26">
        <f>IF(B322="","",WORKDAY(B322,10))</f>
        <v/>
      </c>
      <c r="AH322" s="26" t="n"/>
    </row>
    <row r="323">
      <c r="A323" s="22" t="n"/>
      <c r="B323" s="22" t="n"/>
      <c r="C323" s="26" t="n"/>
      <c r="D323" s="27" t="n"/>
      <c r="E323" s="22" t="n"/>
      <c r="F323" s="26" t="n"/>
      <c r="G323" s="22" t="n"/>
      <c r="H323" s="26">
        <f>IF(G323="","",IFERROR(VLOOKUP(G323,板块观察!A:Z,19,FALSE),""))</f>
        <v/>
      </c>
      <c r="I323" s="26">
        <f>IF(G323="","",IFERROR(VLOOKUP(G323,板块观察!A:Z,20,FALSE),""))</f>
        <v/>
      </c>
      <c r="J323" s="22" t="n"/>
      <c r="K323" s="22" t="n"/>
      <c r="L323" s="22" t="n"/>
      <c r="M323" s="22" t="n"/>
      <c r="N323" s="22" t="n"/>
      <c r="O323" s="22" t="n"/>
      <c r="P323" s="22" t="n"/>
      <c r="Q323" s="28" t="n"/>
      <c r="R323" s="22" t="n"/>
      <c r="S323" s="29" t="n"/>
      <c r="T323" s="29" t="n"/>
      <c r="U323" s="29" t="n"/>
      <c r="V323" s="22" t="n"/>
      <c r="W323" s="22" t="n"/>
      <c r="X323" s="22" t="n"/>
      <c r="Y323" s="22" t="n"/>
      <c r="Z323" s="22" t="n"/>
      <c r="AA323" s="22" t="n"/>
      <c r="AB323" s="22" t="n"/>
      <c r="AC323" s="29" t="n"/>
      <c r="AD323" s="30">
        <f>IF(A323="","",(COUNTA(A323:G323)+COUNTA(J323:AC323))/27)</f>
        <v/>
      </c>
      <c r="AE323" s="26">
        <f>IF(B323="","",WORKDAY(B323,3))</f>
        <v/>
      </c>
      <c r="AF323" s="26">
        <f>IF(B323="","",WORKDAY(B323,5))</f>
        <v/>
      </c>
      <c r="AG323" s="26">
        <f>IF(B323="","",WORKDAY(B323,10))</f>
        <v/>
      </c>
      <c r="AH323" s="26" t="n"/>
    </row>
    <row r="324">
      <c r="A324" s="22" t="n"/>
      <c r="B324" s="22" t="n"/>
      <c r="C324" s="26" t="n"/>
      <c r="D324" s="27" t="n"/>
      <c r="E324" s="22" t="n"/>
      <c r="F324" s="26" t="n"/>
      <c r="G324" s="22" t="n"/>
      <c r="H324" s="26">
        <f>IF(G324="","",IFERROR(VLOOKUP(G324,板块观察!A:Z,19,FALSE),""))</f>
        <v/>
      </c>
      <c r="I324" s="26">
        <f>IF(G324="","",IFERROR(VLOOKUP(G324,板块观察!A:Z,20,FALSE),""))</f>
        <v/>
      </c>
      <c r="J324" s="22" t="n"/>
      <c r="K324" s="22" t="n"/>
      <c r="L324" s="22" t="n"/>
      <c r="M324" s="22" t="n"/>
      <c r="N324" s="22" t="n"/>
      <c r="O324" s="22" t="n"/>
      <c r="P324" s="22" t="n"/>
      <c r="Q324" s="28" t="n"/>
      <c r="R324" s="22" t="n"/>
      <c r="S324" s="29" t="n"/>
      <c r="T324" s="29" t="n"/>
      <c r="U324" s="29" t="n"/>
      <c r="V324" s="22" t="n"/>
      <c r="W324" s="22" t="n"/>
      <c r="X324" s="22" t="n"/>
      <c r="Y324" s="22" t="n"/>
      <c r="Z324" s="22" t="n"/>
      <c r="AA324" s="22" t="n"/>
      <c r="AB324" s="22" t="n"/>
      <c r="AC324" s="29" t="n"/>
      <c r="AD324" s="30">
        <f>IF(A324="","",(COUNTA(A324:G324)+COUNTA(J324:AC324))/27)</f>
        <v/>
      </c>
      <c r="AE324" s="26">
        <f>IF(B324="","",WORKDAY(B324,3))</f>
        <v/>
      </c>
      <c r="AF324" s="26">
        <f>IF(B324="","",WORKDAY(B324,5))</f>
        <v/>
      </c>
      <c r="AG324" s="26">
        <f>IF(B324="","",WORKDAY(B324,10))</f>
        <v/>
      </c>
      <c r="AH324" s="26" t="n"/>
    </row>
    <row r="325">
      <c r="A325" s="22" t="n"/>
      <c r="B325" s="22" t="n"/>
      <c r="C325" s="26" t="n"/>
      <c r="D325" s="27" t="n"/>
      <c r="E325" s="22" t="n"/>
      <c r="F325" s="26" t="n"/>
      <c r="G325" s="22" t="n"/>
      <c r="H325" s="26">
        <f>IF(G325="","",IFERROR(VLOOKUP(G325,板块观察!A:Z,19,FALSE),""))</f>
        <v/>
      </c>
      <c r="I325" s="26">
        <f>IF(G325="","",IFERROR(VLOOKUP(G325,板块观察!A:Z,20,FALSE),""))</f>
        <v/>
      </c>
      <c r="J325" s="22" t="n"/>
      <c r="K325" s="22" t="n"/>
      <c r="L325" s="22" t="n"/>
      <c r="M325" s="22" t="n"/>
      <c r="N325" s="22" t="n"/>
      <c r="O325" s="22" t="n"/>
      <c r="P325" s="22" t="n"/>
      <c r="Q325" s="28" t="n"/>
      <c r="R325" s="22" t="n"/>
      <c r="S325" s="29" t="n"/>
      <c r="T325" s="29" t="n"/>
      <c r="U325" s="29" t="n"/>
      <c r="V325" s="22" t="n"/>
      <c r="W325" s="22" t="n"/>
      <c r="X325" s="22" t="n"/>
      <c r="Y325" s="22" t="n"/>
      <c r="Z325" s="22" t="n"/>
      <c r="AA325" s="22" t="n"/>
      <c r="AB325" s="22" t="n"/>
      <c r="AC325" s="29" t="n"/>
      <c r="AD325" s="30">
        <f>IF(A325="","",(COUNTA(A325:G325)+COUNTA(J325:AC325))/27)</f>
        <v/>
      </c>
      <c r="AE325" s="26">
        <f>IF(B325="","",WORKDAY(B325,3))</f>
        <v/>
      </c>
      <c r="AF325" s="26">
        <f>IF(B325="","",WORKDAY(B325,5))</f>
        <v/>
      </c>
      <c r="AG325" s="26">
        <f>IF(B325="","",WORKDAY(B325,10))</f>
        <v/>
      </c>
      <c r="AH325" s="26" t="n"/>
    </row>
    <row r="326">
      <c r="A326" s="22" t="n"/>
      <c r="B326" s="22" t="n"/>
      <c r="C326" s="26" t="n"/>
      <c r="D326" s="27" t="n"/>
      <c r="E326" s="22" t="n"/>
      <c r="F326" s="26" t="n"/>
      <c r="G326" s="22" t="n"/>
      <c r="H326" s="26">
        <f>IF(G326="","",IFERROR(VLOOKUP(G326,板块观察!A:Z,19,FALSE),""))</f>
        <v/>
      </c>
      <c r="I326" s="26">
        <f>IF(G326="","",IFERROR(VLOOKUP(G326,板块观察!A:Z,20,FALSE),""))</f>
        <v/>
      </c>
      <c r="J326" s="22" t="n"/>
      <c r="K326" s="22" t="n"/>
      <c r="L326" s="22" t="n"/>
      <c r="M326" s="22" t="n"/>
      <c r="N326" s="22" t="n"/>
      <c r="O326" s="22" t="n"/>
      <c r="P326" s="22" t="n"/>
      <c r="Q326" s="28" t="n"/>
      <c r="R326" s="22" t="n"/>
      <c r="S326" s="29" t="n"/>
      <c r="T326" s="29" t="n"/>
      <c r="U326" s="29" t="n"/>
      <c r="V326" s="22" t="n"/>
      <c r="W326" s="22" t="n"/>
      <c r="X326" s="22" t="n"/>
      <c r="Y326" s="22" t="n"/>
      <c r="Z326" s="22" t="n"/>
      <c r="AA326" s="22" t="n"/>
      <c r="AB326" s="22" t="n"/>
      <c r="AC326" s="29" t="n"/>
      <c r="AD326" s="30">
        <f>IF(A326="","",(COUNTA(A326:G326)+COUNTA(J326:AC326))/27)</f>
        <v/>
      </c>
      <c r="AE326" s="26">
        <f>IF(B326="","",WORKDAY(B326,3))</f>
        <v/>
      </c>
      <c r="AF326" s="26">
        <f>IF(B326="","",WORKDAY(B326,5))</f>
        <v/>
      </c>
      <c r="AG326" s="26">
        <f>IF(B326="","",WORKDAY(B326,10))</f>
        <v/>
      </c>
      <c r="AH326" s="26" t="n"/>
    </row>
    <row r="327">
      <c r="A327" s="22" t="n"/>
      <c r="B327" s="22" t="n"/>
      <c r="C327" s="26" t="n"/>
      <c r="D327" s="27" t="n"/>
      <c r="E327" s="22" t="n"/>
      <c r="F327" s="26" t="n"/>
      <c r="G327" s="22" t="n"/>
      <c r="H327" s="26">
        <f>IF(G327="","",IFERROR(VLOOKUP(G327,板块观察!A:Z,19,FALSE),""))</f>
        <v/>
      </c>
      <c r="I327" s="26">
        <f>IF(G327="","",IFERROR(VLOOKUP(G327,板块观察!A:Z,20,FALSE),""))</f>
        <v/>
      </c>
      <c r="J327" s="22" t="n"/>
      <c r="K327" s="22" t="n"/>
      <c r="L327" s="22" t="n"/>
      <c r="M327" s="22" t="n"/>
      <c r="N327" s="22" t="n"/>
      <c r="O327" s="22" t="n"/>
      <c r="P327" s="22" t="n"/>
      <c r="Q327" s="28" t="n"/>
      <c r="R327" s="22" t="n"/>
      <c r="S327" s="29" t="n"/>
      <c r="T327" s="29" t="n"/>
      <c r="U327" s="29" t="n"/>
      <c r="V327" s="22" t="n"/>
      <c r="W327" s="22" t="n"/>
      <c r="X327" s="22" t="n"/>
      <c r="Y327" s="22" t="n"/>
      <c r="Z327" s="22" t="n"/>
      <c r="AA327" s="22" t="n"/>
      <c r="AB327" s="22" t="n"/>
      <c r="AC327" s="29" t="n"/>
      <c r="AD327" s="30">
        <f>IF(A327="","",(COUNTA(A327:G327)+COUNTA(J327:AC327))/27)</f>
        <v/>
      </c>
      <c r="AE327" s="26">
        <f>IF(B327="","",WORKDAY(B327,3))</f>
        <v/>
      </c>
      <c r="AF327" s="26">
        <f>IF(B327="","",WORKDAY(B327,5))</f>
        <v/>
      </c>
      <c r="AG327" s="26">
        <f>IF(B327="","",WORKDAY(B327,10))</f>
        <v/>
      </c>
      <c r="AH327" s="26" t="n"/>
    </row>
    <row r="328">
      <c r="A328" s="22" t="n"/>
      <c r="B328" s="22" t="n"/>
      <c r="C328" s="26" t="n"/>
      <c r="D328" s="27" t="n"/>
      <c r="E328" s="22" t="n"/>
      <c r="F328" s="26" t="n"/>
      <c r="G328" s="22" t="n"/>
      <c r="H328" s="26">
        <f>IF(G328="","",IFERROR(VLOOKUP(G328,板块观察!A:Z,19,FALSE),""))</f>
        <v/>
      </c>
      <c r="I328" s="26">
        <f>IF(G328="","",IFERROR(VLOOKUP(G328,板块观察!A:Z,20,FALSE),""))</f>
        <v/>
      </c>
      <c r="J328" s="22" t="n"/>
      <c r="K328" s="22" t="n"/>
      <c r="L328" s="22" t="n"/>
      <c r="M328" s="22" t="n"/>
      <c r="N328" s="22" t="n"/>
      <c r="O328" s="22" t="n"/>
      <c r="P328" s="22" t="n"/>
      <c r="Q328" s="28" t="n"/>
      <c r="R328" s="22" t="n"/>
      <c r="S328" s="29" t="n"/>
      <c r="T328" s="29" t="n"/>
      <c r="U328" s="29" t="n"/>
      <c r="V328" s="22" t="n"/>
      <c r="W328" s="22" t="n"/>
      <c r="X328" s="22" t="n"/>
      <c r="Y328" s="22" t="n"/>
      <c r="Z328" s="22" t="n"/>
      <c r="AA328" s="22" t="n"/>
      <c r="AB328" s="22" t="n"/>
      <c r="AC328" s="29" t="n"/>
      <c r="AD328" s="30">
        <f>IF(A328="","",(COUNTA(A328:G328)+COUNTA(J328:AC328))/27)</f>
        <v/>
      </c>
      <c r="AE328" s="26">
        <f>IF(B328="","",WORKDAY(B328,3))</f>
        <v/>
      </c>
      <c r="AF328" s="26">
        <f>IF(B328="","",WORKDAY(B328,5))</f>
        <v/>
      </c>
      <c r="AG328" s="26">
        <f>IF(B328="","",WORKDAY(B328,10))</f>
        <v/>
      </c>
      <c r="AH328" s="26" t="n"/>
    </row>
    <row r="329">
      <c r="A329" s="22" t="n"/>
      <c r="B329" s="22" t="n"/>
      <c r="C329" s="26" t="n"/>
      <c r="D329" s="27" t="n"/>
      <c r="E329" s="22" t="n"/>
      <c r="F329" s="26" t="n"/>
      <c r="G329" s="22" t="n"/>
      <c r="H329" s="26">
        <f>IF(G329="","",IFERROR(VLOOKUP(G329,板块观察!A:Z,19,FALSE),""))</f>
        <v/>
      </c>
      <c r="I329" s="26">
        <f>IF(G329="","",IFERROR(VLOOKUP(G329,板块观察!A:Z,20,FALSE),""))</f>
        <v/>
      </c>
      <c r="J329" s="22" t="n"/>
      <c r="K329" s="22" t="n"/>
      <c r="L329" s="22" t="n"/>
      <c r="M329" s="22" t="n"/>
      <c r="N329" s="22" t="n"/>
      <c r="O329" s="22" t="n"/>
      <c r="P329" s="22" t="n"/>
      <c r="Q329" s="28" t="n"/>
      <c r="R329" s="22" t="n"/>
      <c r="S329" s="29" t="n"/>
      <c r="T329" s="29" t="n"/>
      <c r="U329" s="29" t="n"/>
      <c r="V329" s="22" t="n"/>
      <c r="W329" s="22" t="n"/>
      <c r="X329" s="22" t="n"/>
      <c r="Y329" s="22" t="n"/>
      <c r="Z329" s="22" t="n"/>
      <c r="AA329" s="22" t="n"/>
      <c r="AB329" s="22" t="n"/>
      <c r="AC329" s="29" t="n"/>
      <c r="AD329" s="30">
        <f>IF(A329="","",(COUNTA(A329:G329)+COUNTA(J329:AC329))/27)</f>
        <v/>
      </c>
      <c r="AE329" s="26">
        <f>IF(B329="","",WORKDAY(B329,3))</f>
        <v/>
      </c>
      <c r="AF329" s="26">
        <f>IF(B329="","",WORKDAY(B329,5))</f>
        <v/>
      </c>
      <c r="AG329" s="26">
        <f>IF(B329="","",WORKDAY(B329,10))</f>
        <v/>
      </c>
      <c r="AH329" s="26" t="n"/>
    </row>
    <row r="330">
      <c r="A330" s="22" t="n"/>
      <c r="B330" s="22" t="n"/>
      <c r="C330" s="26" t="n"/>
      <c r="D330" s="27" t="n"/>
      <c r="E330" s="22" t="n"/>
      <c r="F330" s="26" t="n"/>
      <c r="G330" s="22" t="n"/>
      <c r="H330" s="26">
        <f>IF(G330="","",IFERROR(VLOOKUP(G330,板块观察!A:Z,19,FALSE),""))</f>
        <v/>
      </c>
      <c r="I330" s="26">
        <f>IF(G330="","",IFERROR(VLOOKUP(G330,板块观察!A:Z,20,FALSE),""))</f>
        <v/>
      </c>
      <c r="J330" s="22" t="n"/>
      <c r="K330" s="22" t="n"/>
      <c r="L330" s="22" t="n"/>
      <c r="M330" s="22" t="n"/>
      <c r="N330" s="22" t="n"/>
      <c r="O330" s="22" t="n"/>
      <c r="P330" s="22" t="n"/>
      <c r="Q330" s="28" t="n"/>
      <c r="R330" s="22" t="n"/>
      <c r="S330" s="29" t="n"/>
      <c r="T330" s="29" t="n"/>
      <c r="U330" s="29" t="n"/>
      <c r="V330" s="22" t="n"/>
      <c r="W330" s="22" t="n"/>
      <c r="X330" s="22" t="n"/>
      <c r="Y330" s="22" t="n"/>
      <c r="Z330" s="22" t="n"/>
      <c r="AA330" s="22" t="n"/>
      <c r="AB330" s="22" t="n"/>
      <c r="AC330" s="29" t="n"/>
      <c r="AD330" s="30">
        <f>IF(A330="","",(COUNTA(A330:G330)+COUNTA(J330:AC330))/27)</f>
        <v/>
      </c>
      <c r="AE330" s="26">
        <f>IF(B330="","",WORKDAY(B330,3))</f>
        <v/>
      </c>
      <c r="AF330" s="26">
        <f>IF(B330="","",WORKDAY(B330,5))</f>
        <v/>
      </c>
      <c r="AG330" s="26">
        <f>IF(B330="","",WORKDAY(B330,10))</f>
        <v/>
      </c>
      <c r="AH330" s="26" t="n"/>
    </row>
    <row r="331">
      <c r="A331" s="22" t="n"/>
      <c r="B331" s="22" t="n"/>
      <c r="C331" s="26" t="n"/>
      <c r="D331" s="27" t="n"/>
      <c r="E331" s="22" t="n"/>
      <c r="F331" s="26" t="n"/>
      <c r="G331" s="22" t="n"/>
      <c r="H331" s="26">
        <f>IF(G331="","",IFERROR(VLOOKUP(G331,板块观察!A:Z,19,FALSE),""))</f>
        <v/>
      </c>
      <c r="I331" s="26">
        <f>IF(G331="","",IFERROR(VLOOKUP(G331,板块观察!A:Z,20,FALSE),""))</f>
        <v/>
      </c>
      <c r="J331" s="22" t="n"/>
      <c r="K331" s="22" t="n"/>
      <c r="L331" s="22" t="n"/>
      <c r="M331" s="22" t="n"/>
      <c r="N331" s="22" t="n"/>
      <c r="O331" s="22" t="n"/>
      <c r="P331" s="22" t="n"/>
      <c r="Q331" s="28" t="n"/>
      <c r="R331" s="22" t="n"/>
      <c r="S331" s="29" t="n"/>
      <c r="T331" s="29" t="n"/>
      <c r="U331" s="29" t="n"/>
      <c r="V331" s="22" t="n"/>
      <c r="W331" s="22" t="n"/>
      <c r="X331" s="22" t="n"/>
      <c r="Y331" s="22" t="n"/>
      <c r="Z331" s="22" t="n"/>
      <c r="AA331" s="22" t="n"/>
      <c r="AB331" s="22" t="n"/>
      <c r="AC331" s="29" t="n"/>
      <c r="AD331" s="30">
        <f>IF(A331="","",(COUNTA(A331:G331)+COUNTA(J331:AC331))/27)</f>
        <v/>
      </c>
      <c r="AE331" s="26">
        <f>IF(B331="","",WORKDAY(B331,3))</f>
        <v/>
      </c>
      <c r="AF331" s="26">
        <f>IF(B331="","",WORKDAY(B331,5))</f>
        <v/>
      </c>
      <c r="AG331" s="26">
        <f>IF(B331="","",WORKDAY(B331,10))</f>
        <v/>
      </c>
      <c r="AH331" s="26" t="n"/>
    </row>
    <row r="332">
      <c r="A332" s="22" t="n"/>
      <c r="B332" s="22" t="n"/>
      <c r="C332" s="26" t="n"/>
      <c r="D332" s="27" t="n"/>
      <c r="E332" s="22" t="n"/>
      <c r="F332" s="26" t="n"/>
      <c r="G332" s="22" t="n"/>
      <c r="H332" s="26">
        <f>IF(G332="","",IFERROR(VLOOKUP(G332,板块观察!A:Z,19,FALSE),""))</f>
        <v/>
      </c>
      <c r="I332" s="26">
        <f>IF(G332="","",IFERROR(VLOOKUP(G332,板块观察!A:Z,20,FALSE),""))</f>
        <v/>
      </c>
      <c r="J332" s="22" t="n"/>
      <c r="K332" s="22" t="n"/>
      <c r="L332" s="22" t="n"/>
      <c r="M332" s="22" t="n"/>
      <c r="N332" s="22" t="n"/>
      <c r="O332" s="22" t="n"/>
      <c r="P332" s="22" t="n"/>
      <c r="Q332" s="28" t="n"/>
      <c r="R332" s="22" t="n"/>
      <c r="S332" s="29" t="n"/>
      <c r="T332" s="29" t="n"/>
      <c r="U332" s="29" t="n"/>
      <c r="V332" s="22" t="n"/>
      <c r="W332" s="22" t="n"/>
      <c r="X332" s="22" t="n"/>
      <c r="Y332" s="22" t="n"/>
      <c r="Z332" s="22" t="n"/>
      <c r="AA332" s="22" t="n"/>
      <c r="AB332" s="22" t="n"/>
      <c r="AC332" s="29" t="n"/>
      <c r="AD332" s="30">
        <f>IF(A332="","",(COUNTA(A332:G332)+COUNTA(J332:AC332))/27)</f>
        <v/>
      </c>
      <c r="AE332" s="26">
        <f>IF(B332="","",WORKDAY(B332,3))</f>
        <v/>
      </c>
      <c r="AF332" s="26">
        <f>IF(B332="","",WORKDAY(B332,5))</f>
        <v/>
      </c>
      <c r="AG332" s="26">
        <f>IF(B332="","",WORKDAY(B332,10))</f>
        <v/>
      </c>
      <c r="AH332" s="26" t="n"/>
    </row>
    <row r="333">
      <c r="A333" s="22" t="n"/>
      <c r="B333" s="22" t="n"/>
      <c r="C333" s="26" t="n"/>
      <c r="D333" s="27" t="n"/>
      <c r="E333" s="22" t="n"/>
      <c r="F333" s="26" t="n"/>
      <c r="G333" s="22" t="n"/>
      <c r="H333" s="26">
        <f>IF(G333="","",IFERROR(VLOOKUP(G333,板块观察!A:Z,19,FALSE),""))</f>
        <v/>
      </c>
      <c r="I333" s="26">
        <f>IF(G333="","",IFERROR(VLOOKUP(G333,板块观察!A:Z,20,FALSE),""))</f>
        <v/>
      </c>
      <c r="J333" s="22" t="n"/>
      <c r="K333" s="22" t="n"/>
      <c r="L333" s="22" t="n"/>
      <c r="M333" s="22" t="n"/>
      <c r="N333" s="22" t="n"/>
      <c r="O333" s="22" t="n"/>
      <c r="P333" s="22" t="n"/>
      <c r="Q333" s="28" t="n"/>
      <c r="R333" s="22" t="n"/>
      <c r="S333" s="29" t="n"/>
      <c r="T333" s="29" t="n"/>
      <c r="U333" s="29" t="n"/>
      <c r="V333" s="22" t="n"/>
      <c r="W333" s="22" t="n"/>
      <c r="X333" s="22" t="n"/>
      <c r="Y333" s="22" t="n"/>
      <c r="Z333" s="22" t="n"/>
      <c r="AA333" s="22" t="n"/>
      <c r="AB333" s="22" t="n"/>
      <c r="AC333" s="29" t="n"/>
      <c r="AD333" s="30">
        <f>IF(A333="","",(COUNTA(A333:G333)+COUNTA(J333:AC333))/27)</f>
        <v/>
      </c>
      <c r="AE333" s="26">
        <f>IF(B333="","",WORKDAY(B333,3))</f>
        <v/>
      </c>
      <c r="AF333" s="26">
        <f>IF(B333="","",WORKDAY(B333,5))</f>
        <v/>
      </c>
      <c r="AG333" s="26">
        <f>IF(B333="","",WORKDAY(B333,10))</f>
        <v/>
      </c>
      <c r="AH333" s="26" t="n"/>
    </row>
    <row r="334">
      <c r="A334" s="22" t="n"/>
      <c r="B334" s="22" t="n"/>
      <c r="C334" s="26" t="n"/>
      <c r="D334" s="27" t="n"/>
      <c r="E334" s="22" t="n"/>
      <c r="F334" s="26" t="n"/>
      <c r="G334" s="22" t="n"/>
      <c r="H334" s="26">
        <f>IF(G334="","",IFERROR(VLOOKUP(G334,板块观察!A:Z,19,FALSE),""))</f>
        <v/>
      </c>
      <c r="I334" s="26">
        <f>IF(G334="","",IFERROR(VLOOKUP(G334,板块观察!A:Z,20,FALSE),""))</f>
        <v/>
      </c>
      <c r="J334" s="22" t="n"/>
      <c r="K334" s="22" t="n"/>
      <c r="L334" s="22" t="n"/>
      <c r="M334" s="22" t="n"/>
      <c r="N334" s="22" t="n"/>
      <c r="O334" s="22" t="n"/>
      <c r="P334" s="22" t="n"/>
      <c r="Q334" s="28" t="n"/>
      <c r="R334" s="22" t="n"/>
      <c r="S334" s="29" t="n"/>
      <c r="T334" s="29" t="n"/>
      <c r="U334" s="29" t="n"/>
      <c r="V334" s="22" t="n"/>
      <c r="W334" s="22" t="n"/>
      <c r="X334" s="22" t="n"/>
      <c r="Y334" s="22" t="n"/>
      <c r="Z334" s="22" t="n"/>
      <c r="AA334" s="22" t="n"/>
      <c r="AB334" s="22" t="n"/>
      <c r="AC334" s="29" t="n"/>
      <c r="AD334" s="30">
        <f>IF(A334="","",(COUNTA(A334:G334)+COUNTA(J334:AC334))/27)</f>
        <v/>
      </c>
      <c r="AE334" s="26">
        <f>IF(B334="","",WORKDAY(B334,3))</f>
        <v/>
      </c>
      <c r="AF334" s="26">
        <f>IF(B334="","",WORKDAY(B334,5))</f>
        <v/>
      </c>
      <c r="AG334" s="26">
        <f>IF(B334="","",WORKDAY(B334,10))</f>
        <v/>
      </c>
      <c r="AH334" s="26" t="n"/>
    </row>
    <row r="335">
      <c r="A335" s="22" t="n"/>
      <c r="B335" s="22" t="n"/>
      <c r="C335" s="26" t="n"/>
      <c r="D335" s="27" t="n"/>
      <c r="E335" s="22" t="n"/>
      <c r="F335" s="26" t="n"/>
      <c r="G335" s="22" t="n"/>
      <c r="H335" s="26">
        <f>IF(G335="","",IFERROR(VLOOKUP(G335,板块观察!A:Z,19,FALSE),""))</f>
        <v/>
      </c>
      <c r="I335" s="26">
        <f>IF(G335="","",IFERROR(VLOOKUP(G335,板块观察!A:Z,20,FALSE),""))</f>
        <v/>
      </c>
      <c r="J335" s="22" t="n"/>
      <c r="K335" s="22" t="n"/>
      <c r="L335" s="22" t="n"/>
      <c r="M335" s="22" t="n"/>
      <c r="N335" s="22" t="n"/>
      <c r="O335" s="22" t="n"/>
      <c r="P335" s="22" t="n"/>
      <c r="Q335" s="28" t="n"/>
      <c r="R335" s="22" t="n"/>
      <c r="S335" s="29" t="n"/>
      <c r="T335" s="29" t="n"/>
      <c r="U335" s="29" t="n"/>
      <c r="V335" s="22" t="n"/>
      <c r="W335" s="22" t="n"/>
      <c r="X335" s="22" t="n"/>
      <c r="Y335" s="22" t="n"/>
      <c r="Z335" s="22" t="n"/>
      <c r="AA335" s="22" t="n"/>
      <c r="AB335" s="22" t="n"/>
      <c r="AC335" s="29" t="n"/>
      <c r="AD335" s="30">
        <f>IF(A335="","",(COUNTA(A335:G335)+COUNTA(J335:AC335))/27)</f>
        <v/>
      </c>
      <c r="AE335" s="26">
        <f>IF(B335="","",WORKDAY(B335,3))</f>
        <v/>
      </c>
      <c r="AF335" s="26">
        <f>IF(B335="","",WORKDAY(B335,5))</f>
        <v/>
      </c>
      <c r="AG335" s="26">
        <f>IF(B335="","",WORKDAY(B335,10))</f>
        <v/>
      </c>
      <c r="AH335" s="26" t="n"/>
    </row>
    <row r="336">
      <c r="A336" s="22" t="n"/>
      <c r="B336" s="22" t="n"/>
      <c r="C336" s="26" t="n"/>
      <c r="D336" s="27" t="n"/>
      <c r="E336" s="22" t="n"/>
      <c r="F336" s="26" t="n"/>
      <c r="G336" s="22" t="n"/>
      <c r="H336" s="26">
        <f>IF(G336="","",IFERROR(VLOOKUP(G336,板块观察!A:Z,19,FALSE),""))</f>
        <v/>
      </c>
      <c r="I336" s="26">
        <f>IF(G336="","",IFERROR(VLOOKUP(G336,板块观察!A:Z,20,FALSE),""))</f>
        <v/>
      </c>
      <c r="J336" s="22" t="n"/>
      <c r="K336" s="22" t="n"/>
      <c r="L336" s="22" t="n"/>
      <c r="M336" s="22" t="n"/>
      <c r="N336" s="22" t="n"/>
      <c r="O336" s="22" t="n"/>
      <c r="P336" s="22" t="n"/>
      <c r="Q336" s="28" t="n"/>
      <c r="R336" s="22" t="n"/>
      <c r="S336" s="29" t="n"/>
      <c r="T336" s="29" t="n"/>
      <c r="U336" s="29" t="n"/>
      <c r="V336" s="22" t="n"/>
      <c r="W336" s="22" t="n"/>
      <c r="X336" s="22" t="n"/>
      <c r="Y336" s="22" t="n"/>
      <c r="Z336" s="22" t="n"/>
      <c r="AA336" s="22" t="n"/>
      <c r="AB336" s="22" t="n"/>
      <c r="AC336" s="29" t="n"/>
      <c r="AD336" s="30">
        <f>IF(A336="","",(COUNTA(A336:G336)+COUNTA(J336:AC336))/27)</f>
        <v/>
      </c>
      <c r="AE336" s="26">
        <f>IF(B336="","",WORKDAY(B336,3))</f>
        <v/>
      </c>
      <c r="AF336" s="26">
        <f>IF(B336="","",WORKDAY(B336,5))</f>
        <v/>
      </c>
      <c r="AG336" s="26">
        <f>IF(B336="","",WORKDAY(B336,10))</f>
        <v/>
      </c>
      <c r="AH336" s="26" t="n"/>
    </row>
    <row r="337">
      <c r="A337" s="22" t="n"/>
      <c r="B337" s="22" t="n"/>
      <c r="C337" s="26" t="n"/>
      <c r="D337" s="27" t="n"/>
      <c r="E337" s="22" t="n"/>
      <c r="F337" s="26" t="n"/>
      <c r="G337" s="22" t="n"/>
      <c r="H337" s="26">
        <f>IF(G337="","",IFERROR(VLOOKUP(G337,板块观察!A:Z,19,FALSE),""))</f>
        <v/>
      </c>
      <c r="I337" s="26">
        <f>IF(G337="","",IFERROR(VLOOKUP(G337,板块观察!A:Z,20,FALSE),""))</f>
        <v/>
      </c>
      <c r="J337" s="22" t="n"/>
      <c r="K337" s="22" t="n"/>
      <c r="L337" s="22" t="n"/>
      <c r="M337" s="22" t="n"/>
      <c r="N337" s="22" t="n"/>
      <c r="O337" s="22" t="n"/>
      <c r="P337" s="22" t="n"/>
      <c r="Q337" s="28" t="n"/>
      <c r="R337" s="22" t="n"/>
      <c r="S337" s="29" t="n"/>
      <c r="T337" s="29" t="n"/>
      <c r="U337" s="29" t="n"/>
      <c r="V337" s="22" t="n"/>
      <c r="W337" s="22" t="n"/>
      <c r="X337" s="22" t="n"/>
      <c r="Y337" s="22" t="n"/>
      <c r="Z337" s="22" t="n"/>
      <c r="AA337" s="22" t="n"/>
      <c r="AB337" s="22" t="n"/>
      <c r="AC337" s="29" t="n"/>
      <c r="AD337" s="30">
        <f>IF(A337="","",(COUNTA(A337:G337)+COUNTA(J337:AC337))/27)</f>
        <v/>
      </c>
      <c r="AE337" s="26">
        <f>IF(B337="","",WORKDAY(B337,3))</f>
        <v/>
      </c>
      <c r="AF337" s="26">
        <f>IF(B337="","",WORKDAY(B337,5))</f>
        <v/>
      </c>
      <c r="AG337" s="26">
        <f>IF(B337="","",WORKDAY(B337,10))</f>
        <v/>
      </c>
      <c r="AH337" s="26" t="n"/>
    </row>
    <row r="338">
      <c r="A338" s="22" t="n"/>
      <c r="B338" s="22" t="n"/>
      <c r="C338" s="26" t="n"/>
      <c r="D338" s="27" t="n"/>
      <c r="E338" s="22" t="n"/>
      <c r="F338" s="26" t="n"/>
      <c r="G338" s="22" t="n"/>
      <c r="H338" s="26">
        <f>IF(G338="","",IFERROR(VLOOKUP(G338,板块观察!A:Z,19,FALSE),""))</f>
        <v/>
      </c>
      <c r="I338" s="26">
        <f>IF(G338="","",IFERROR(VLOOKUP(G338,板块观察!A:Z,20,FALSE),""))</f>
        <v/>
      </c>
      <c r="J338" s="22" t="n"/>
      <c r="K338" s="22" t="n"/>
      <c r="L338" s="22" t="n"/>
      <c r="M338" s="22" t="n"/>
      <c r="N338" s="22" t="n"/>
      <c r="O338" s="22" t="n"/>
      <c r="P338" s="22" t="n"/>
      <c r="Q338" s="28" t="n"/>
      <c r="R338" s="22" t="n"/>
      <c r="S338" s="29" t="n"/>
      <c r="T338" s="29" t="n"/>
      <c r="U338" s="29" t="n"/>
      <c r="V338" s="22" t="n"/>
      <c r="W338" s="22" t="n"/>
      <c r="X338" s="22" t="n"/>
      <c r="Y338" s="22" t="n"/>
      <c r="Z338" s="22" t="n"/>
      <c r="AA338" s="22" t="n"/>
      <c r="AB338" s="22" t="n"/>
      <c r="AC338" s="29" t="n"/>
      <c r="AD338" s="30">
        <f>IF(A338="","",(COUNTA(A338:G338)+COUNTA(J338:AC338))/27)</f>
        <v/>
      </c>
      <c r="AE338" s="26">
        <f>IF(B338="","",WORKDAY(B338,3))</f>
        <v/>
      </c>
      <c r="AF338" s="26">
        <f>IF(B338="","",WORKDAY(B338,5))</f>
        <v/>
      </c>
      <c r="AG338" s="26">
        <f>IF(B338="","",WORKDAY(B338,10))</f>
        <v/>
      </c>
      <c r="AH338" s="26" t="n"/>
    </row>
    <row r="339">
      <c r="A339" s="22" t="n"/>
      <c r="B339" s="22" t="n"/>
      <c r="C339" s="26" t="n"/>
      <c r="D339" s="27" t="n"/>
      <c r="E339" s="22" t="n"/>
      <c r="F339" s="26" t="n"/>
      <c r="G339" s="22" t="n"/>
      <c r="H339" s="26">
        <f>IF(G339="","",IFERROR(VLOOKUP(G339,板块观察!A:Z,19,FALSE),""))</f>
        <v/>
      </c>
      <c r="I339" s="26">
        <f>IF(G339="","",IFERROR(VLOOKUP(G339,板块观察!A:Z,20,FALSE),""))</f>
        <v/>
      </c>
      <c r="J339" s="22" t="n"/>
      <c r="K339" s="22" t="n"/>
      <c r="L339" s="22" t="n"/>
      <c r="M339" s="22" t="n"/>
      <c r="N339" s="22" t="n"/>
      <c r="O339" s="22" t="n"/>
      <c r="P339" s="22" t="n"/>
      <c r="Q339" s="28" t="n"/>
      <c r="R339" s="22" t="n"/>
      <c r="S339" s="29" t="n"/>
      <c r="T339" s="29" t="n"/>
      <c r="U339" s="29" t="n"/>
      <c r="V339" s="22" t="n"/>
      <c r="W339" s="22" t="n"/>
      <c r="X339" s="22" t="n"/>
      <c r="Y339" s="22" t="n"/>
      <c r="Z339" s="22" t="n"/>
      <c r="AA339" s="22" t="n"/>
      <c r="AB339" s="22" t="n"/>
      <c r="AC339" s="29" t="n"/>
      <c r="AD339" s="30">
        <f>IF(A339="","",(COUNTA(A339:G339)+COUNTA(J339:AC339))/27)</f>
        <v/>
      </c>
      <c r="AE339" s="26">
        <f>IF(B339="","",WORKDAY(B339,3))</f>
        <v/>
      </c>
      <c r="AF339" s="26">
        <f>IF(B339="","",WORKDAY(B339,5))</f>
        <v/>
      </c>
      <c r="AG339" s="26">
        <f>IF(B339="","",WORKDAY(B339,10))</f>
        <v/>
      </c>
      <c r="AH339" s="26" t="n"/>
    </row>
    <row r="340">
      <c r="A340" s="22" t="n"/>
      <c r="B340" s="22" t="n"/>
      <c r="C340" s="26" t="n"/>
      <c r="D340" s="27" t="n"/>
      <c r="E340" s="22" t="n"/>
      <c r="F340" s="26" t="n"/>
      <c r="G340" s="22" t="n"/>
      <c r="H340" s="26">
        <f>IF(G340="","",IFERROR(VLOOKUP(G340,板块观察!A:Z,19,FALSE),""))</f>
        <v/>
      </c>
      <c r="I340" s="26">
        <f>IF(G340="","",IFERROR(VLOOKUP(G340,板块观察!A:Z,20,FALSE),""))</f>
        <v/>
      </c>
      <c r="J340" s="22" t="n"/>
      <c r="K340" s="22" t="n"/>
      <c r="L340" s="22" t="n"/>
      <c r="M340" s="22" t="n"/>
      <c r="N340" s="22" t="n"/>
      <c r="O340" s="22" t="n"/>
      <c r="P340" s="22" t="n"/>
      <c r="Q340" s="28" t="n"/>
      <c r="R340" s="22" t="n"/>
      <c r="S340" s="29" t="n"/>
      <c r="T340" s="29" t="n"/>
      <c r="U340" s="29" t="n"/>
      <c r="V340" s="22" t="n"/>
      <c r="W340" s="22" t="n"/>
      <c r="X340" s="22" t="n"/>
      <c r="Y340" s="22" t="n"/>
      <c r="Z340" s="22" t="n"/>
      <c r="AA340" s="22" t="n"/>
      <c r="AB340" s="22" t="n"/>
      <c r="AC340" s="29" t="n"/>
      <c r="AD340" s="30">
        <f>IF(A340="","",(COUNTA(A340:G340)+COUNTA(J340:AC340))/27)</f>
        <v/>
      </c>
      <c r="AE340" s="26">
        <f>IF(B340="","",WORKDAY(B340,3))</f>
        <v/>
      </c>
      <c r="AF340" s="26">
        <f>IF(B340="","",WORKDAY(B340,5))</f>
        <v/>
      </c>
      <c r="AG340" s="26">
        <f>IF(B340="","",WORKDAY(B340,10))</f>
        <v/>
      </c>
      <c r="AH340" s="26" t="n"/>
    </row>
    <row r="341">
      <c r="A341" s="22" t="n"/>
      <c r="B341" s="22" t="n"/>
      <c r="C341" s="26" t="n"/>
      <c r="D341" s="27" t="n"/>
      <c r="E341" s="22" t="n"/>
      <c r="F341" s="26" t="n"/>
      <c r="G341" s="22" t="n"/>
      <c r="H341" s="26">
        <f>IF(G341="","",IFERROR(VLOOKUP(G341,板块观察!A:Z,19,FALSE),""))</f>
        <v/>
      </c>
      <c r="I341" s="26">
        <f>IF(G341="","",IFERROR(VLOOKUP(G341,板块观察!A:Z,20,FALSE),""))</f>
        <v/>
      </c>
      <c r="J341" s="22" t="n"/>
      <c r="K341" s="22" t="n"/>
      <c r="L341" s="22" t="n"/>
      <c r="M341" s="22" t="n"/>
      <c r="N341" s="22" t="n"/>
      <c r="O341" s="22" t="n"/>
      <c r="P341" s="22" t="n"/>
      <c r="Q341" s="28" t="n"/>
      <c r="R341" s="22" t="n"/>
      <c r="S341" s="29" t="n"/>
      <c r="T341" s="29" t="n"/>
      <c r="U341" s="29" t="n"/>
      <c r="V341" s="22" t="n"/>
      <c r="W341" s="22" t="n"/>
      <c r="X341" s="22" t="n"/>
      <c r="Y341" s="22" t="n"/>
      <c r="Z341" s="22" t="n"/>
      <c r="AA341" s="22" t="n"/>
      <c r="AB341" s="22" t="n"/>
      <c r="AC341" s="29" t="n"/>
      <c r="AD341" s="30">
        <f>IF(A341="","",(COUNTA(A341:G341)+COUNTA(J341:AC341))/27)</f>
        <v/>
      </c>
      <c r="AE341" s="26">
        <f>IF(B341="","",WORKDAY(B341,3))</f>
        <v/>
      </c>
      <c r="AF341" s="26">
        <f>IF(B341="","",WORKDAY(B341,5))</f>
        <v/>
      </c>
      <c r="AG341" s="26">
        <f>IF(B341="","",WORKDAY(B341,10))</f>
        <v/>
      </c>
      <c r="AH341" s="26" t="n"/>
    </row>
    <row r="342">
      <c r="A342" s="22" t="n"/>
      <c r="B342" s="22" t="n"/>
      <c r="C342" s="26" t="n"/>
      <c r="D342" s="27" t="n"/>
      <c r="E342" s="22" t="n"/>
      <c r="F342" s="26" t="n"/>
      <c r="G342" s="22" t="n"/>
      <c r="H342" s="26">
        <f>IF(G342="","",IFERROR(VLOOKUP(G342,板块观察!A:Z,19,FALSE),""))</f>
        <v/>
      </c>
      <c r="I342" s="26">
        <f>IF(G342="","",IFERROR(VLOOKUP(G342,板块观察!A:Z,20,FALSE),""))</f>
        <v/>
      </c>
      <c r="J342" s="22" t="n"/>
      <c r="K342" s="22" t="n"/>
      <c r="L342" s="22" t="n"/>
      <c r="M342" s="22" t="n"/>
      <c r="N342" s="22" t="n"/>
      <c r="O342" s="22" t="n"/>
      <c r="P342" s="22" t="n"/>
      <c r="Q342" s="28" t="n"/>
      <c r="R342" s="22" t="n"/>
      <c r="S342" s="29" t="n"/>
      <c r="T342" s="29" t="n"/>
      <c r="U342" s="29" t="n"/>
      <c r="V342" s="22" t="n"/>
      <c r="W342" s="22" t="n"/>
      <c r="X342" s="22" t="n"/>
      <c r="Y342" s="22" t="n"/>
      <c r="Z342" s="22" t="n"/>
      <c r="AA342" s="22" t="n"/>
      <c r="AB342" s="22" t="n"/>
      <c r="AC342" s="29" t="n"/>
      <c r="AD342" s="30">
        <f>IF(A342="","",(COUNTA(A342:G342)+COUNTA(J342:AC342))/27)</f>
        <v/>
      </c>
      <c r="AE342" s="26">
        <f>IF(B342="","",WORKDAY(B342,3))</f>
        <v/>
      </c>
      <c r="AF342" s="26">
        <f>IF(B342="","",WORKDAY(B342,5))</f>
        <v/>
      </c>
      <c r="AG342" s="26">
        <f>IF(B342="","",WORKDAY(B342,10))</f>
        <v/>
      </c>
      <c r="AH342" s="26" t="n"/>
    </row>
    <row r="343">
      <c r="A343" s="22" t="n"/>
      <c r="B343" s="22" t="n"/>
      <c r="C343" s="26" t="n"/>
      <c r="D343" s="27" t="n"/>
      <c r="E343" s="22" t="n"/>
      <c r="F343" s="26" t="n"/>
      <c r="G343" s="22" t="n"/>
      <c r="H343" s="26">
        <f>IF(G343="","",IFERROR(VLOOKUP(G343,板块观察!A:Z,19,FALSE),""))</f>
        <v/>
      </c>
      <c r="I343" s="26">
        <f>IF(G343="","",IFERROR(VLOOKUP(G343,板块观察!A:Z,20,FALSE),""))</f>
        <v/>
      </c>
      <c r="J343" s="22" t="n"/>
      <c r="K343" s="22" t="n"/>
      <c r="L343" s="22" t="n"/>
      <c r="M343" s="22" t="n"/>
      <c r="N343" s="22" t="n"/>
      <c r="O343" s="22" t="n"/>
      <c r="P343" s="22" t="n"/>
      <c r="Q343" s="28" t="n"/>
      <c r="R343" s="22" t="n"/>
      <c r="S343" s="29" t="n"/>
      <c r="T343" s="29" t="n"/>
      <c r="U343" s="29" t="n"/>
      <c r="V343" s="22" t="n"/>
      <c r="W343" s="22" t="n"/>
      <c r="X343" s="22" t="n"/>
      <c r="Y343" s="22" t="n"/>
      <c r="Z343" s="22" t="n"/>
      <c r="AA343" s="22" t="n"/>
      <c r="AB343" s="22" t="n"/>
      <c r="AC343" s="29" t="n"/>
      <c r="AD343" s="30">
        <f>IF(A343="","",(COUNTA(A343:G343)+COUNTA(J343:AC343))/27)</f>
        <v/>
      </c>
      <c r="AE343" s="26">
        <f>IF(B343="","",WORKDAY(B343,3))</f>
        <v/>
      </c>
      <c r="AF343" s="26">
        <f>IF(B343="","",WORKDAY(B343,5))</f>
        <v/>
      </c>
      <c r="AG343" s="26">
        <f>IF(B343="","",WORKDAY(B343,10))</f>
        <v/>
      </c>
      <c r="AH343" s="26" t="n"/>
    </row>
    <row r="344">
      <c r="A344" s="22" t="n"/>
      <c r="B344" s="22" t="n"/>
      <c r="C344" s="26" t="n"/>
      <c r="D344" s="27" t="n"/>
      <c r="E344" s="22" t="n"/>
      <c r="F344" s="26" t="n"/>
      <c r="G344" s="22" t="n"/>
      <c r="H344" s="26">
        <f>IF(G344="","",IFERROR(VLOOKUP(G344,板块观察!A:Z,19,FALSE),""))</f>
        <v/>
      </c>
      <c r="I344" s="26">
        <f>IF(G344="","",IFERROR(VLOOKUP(G344,板块观察!A:Z,20,FALSE),""))</f>
        <v/>
      </c>
      <c r="J344" s="22" t="n"/>
      <c r="K344" s="22" t="n"/>
      <c r="L344" s="22" t="n"/>
      <c r="M344" s="22" t="n"/>
      <c r="N344" s="22" t="n"/>
      <c r="O344" s="22" t="n"/>
      <c r="P344" s="22" t="n"/>
      <c r="Q344" s="28" t="n"/>
      <c r="R344" s="22" t="n"/>
      <c r="S344" s="29" t="n"/>
      <c r="T344" s="29" t="n"/>
      <c r="U344" s="29" t="n"/>
      <c r="V344" s="22" t="n"/>
      <c r="W344" s="22" t="n"/>
      <c r="X344" s="22" t="n"/>
      <c r="Y344" s="22" t="n"/>
      <c r="Z344" s="22" t="n"/>
      <c r="AA344" s="22" t="n"/>
      <c r="AB344" s="22" t="n"/>
      <c r="AC344" s="29" t="n"/>
      <c r="AD344" s="30">
        <f>IF(A344="","",(COUNTA(A344:G344)+COUNTA(J344:AC344))/27)</f>
        <v/>
      </c>
      <c r="AE344" s="26">
        <f>IF(B344="","",WORKDAY(B344,3))</f>
        <v/>
      </c>
      <c r="AF344" s="26">
        <f>IF(B344="","",WORKDAY(B344,5))</f>
        <v/>
      </c>
      <c r="AG344" s="26">
        <f>IF(B344="","",WORKDAY(B344,10))</f>
        <v/>
      </c>
      <c r="AH344" s="26" t="n"/>
    </row>
    <row r="345">
      <c r="A345" s="22" t="n"/>
      <c r="B345" s="22" t="n"/>
      <c r="C345" s="26" t="n"/>
      <c r="D345" s="27" t="n"/>
      <c r="E345" s="22" t="n"/>
      <c r="F345" s="26" t="n"/>
      <c r="G345" s="22" t="n"/>
      <c r="H345" s="26">
        <f>IF(G345="","",IFERROR(VLOOKUP(G345,板块观察!A:Z,19,FALSE),""))</f>
        <v/>
      </c>
      <c r="I345" s="26">
        <f>IF(G345="","",IFERROR(VLOOKUP(G345,板块观察!A:Z,20,FALSE),""))</f>
        <v/>
      </c>
      <c r="J345" s="22" t="n"/>
      <c r="K345" s="22" t="n"/>
      <c r="L345" s="22" t="n"/>
      <c r="M345" s="22" t="n"/>
      <c r="N345" s="22" t="n"/>
      <c r="O345" s="22" t="n"/>
      <c r="P345" s="22" t="n"/>
      <c r="Q345" s="28" t="n"/>
      <c r="R345" s="22" t="n"/>
      <c r="S345" s="29" t="n"/>
      <c r="T345" s="29" t="n"/>
      <c r="U345" s="29" t="n"/>
      <c r="V345" s="22" t="n"/>
      <c r="W345" s="22" t="n"/>
      <c r="X345" s="22" t="n"/>
      <c r="Y345" s="22" t="n"/>
      <c r="Z345" s="22" t="n"/>
      <c r="AA345" s="22" t="n"/>
      <c r="AB345" s="22" t="n"/>
      <c r="AC345" s="29" t="n"/>
      <c r="AD345" s="30">
        <f>IF(A345="","",(COUNTA(A345:G345)+COUNTA(J345:AC345))/27)</f>
        <v/>
      </c>
      <c r="AE345" s="26">
        <f>IF(B345="","",WORKDAY(B345,3))</f>
        <v/>
      </c>
      <c r="AF345" s="26">
        <f>IF(B345="","",WORKDAY(B345,5))</f>
        <v/>
      </c>
      <c r="AG345" s="26">
        <f>IF(B345="","",WORKDAY(B345,10))</f>
        <v/>
      </c>
      <c r="AH345" s="26" t="n"/>
    </row>
    <row r="346">
      <c r="A346" s="22" t="n"/>
      <c r="B346" s="22" t="n"/>
      <c r="C346" s="26" t="n"/>
      <c r="D346" s="27" t="n"/>
      <c r="E346" s="22" t="n"/>
      <c r="F346" s="26" t="n"/>
      <c r="G346" s="22" t="n"/>
      <c r="H346" s="26">
        <f>IF(G346="","",IFERROR(VLOOKUP(G346,板块观察!A:Z,19,FALSE),""))</f>
        <v/>
      </c>
      <c r="I346" s="26">
        <f>IF(G346="","",IFERROR(VLOOKUP(G346,板块观察!A:Z,20,FALSE),""))</f>
        <v/>
      </c>
      <c r="J346" s="22" t="n"/>
      <c r="K346" s="22" t="n"/>
      <c r="L346" s="22" t="n"/>
      <c r="M346" s="22" t="n"/>
      <c r="N346" s="22" t="n"/>
      <c r="O346" s="22" t="n"/>
      <c r="P346" s="22" t="n"/>
      <c r="Q346" s="28" t="n"/>
      <c r="R346" s="22" t="n"/>
      <c r="S346" s="29" t="n"/>
      <c r="T346" s="29" t="n"/>
      <c r="U346" s="29" t="n"/>
      <c r="V346" s="22" t="n"/>
      <c r="W346" s="22" t="n"/>
      <c r="X346" s="22" t="n"/>
      <c r="Y346" s="22" t="n"/>
      <c r="Z346" s="22" t="n"/>
      <c r="AA346" s="22" t="n"/>
      <c r="AB346" s="22" t="n"/>
      <c r="AC346" s="29" t="n"/>
      <c r="AD346" s="30">
        <f>IF(A346="","",(COUNTA(A346:G346)+COUNTA(J346:AC346))/27)</f>
        <v/>
      </c>
      <c r="AE346" s="26">
        <f>IF(B346="","",WORKDAY(B346,3))</f>
        <v/>
      </c>
      <c r="AF346" s="26">
        <f>IF(B346="","",WORKDAY(B346,5))</f>
        <v/>
      </c>
      <c r="AG346" s="26">
        <f>IF(B346="","",WORKDAY(B346,10))</f>
        <v/>
      </c>
      <c r="AH346" s="26" t="n"/>
    </row>
    <row r="347">
      <c r="A347" s="22" t="n"/>
      <c r="B347" s="22" t="n"/>
      <c r="C347" s="26" t="n"/>
      <c r="D347" s="27" t="n"/>
      <c r="E347" s="22" t="n"/>
      <c r="F347" s="26" t="n"/>
      <c r="G347" s="22" t="n"/>
      <c r="H347" s="26">
        <f>IF(G347="","",IFERROR(VLOOKUP(G347,板块观察!A:Z,19,FALSE),""))</f>
        <v/>
      </c>
      <c r="I347" s="26">
        <f>IF(G347="","",IFERROR(VLOOKUP(G347,板块观察!A:Z,20,FALSE),""))</f>
        <v/>
      </c>
      <c r="J347" s="22" t="n"/>
      <c r="K347" s="22" t="n"/>
      <c r="L347" s="22" t="n"/>
      <c r="M347" s="22" t="n"/>
      <c r="N347" s="22" t="n"/>
      <c r="O347" s="22" t="n"/>
      <c r="P347" s="22" t="n"/>
      <c r="Q347" s="28" t="n"/>
      <c r="R347" s="22" t="n"/>
      <c r="S347" s="29" t="n"/>
      <c r="T347" s="29" t="n"/>
      <c r="U347" s="29" t="n"/>
      <c r="V347" s="22" t="n"/>
      <c r="W347" s="22" t="n"/>
      <c r="X347" s="22" t="n"/>
      <c r="Y347" s="22" t="n"/>
      <c r="Z347" s="22" t="n"/>
      <c r="AA347" s="22" t="n"/>
      <c r="AB347" s="22" t="n"/>
      <c r="AC347" s="29" t="n"/>
      <c r="AD347" s="30">
        <f>IF(A347="","",(COUNTA(A347:G347)+COUNTA(J347:AC347))/27)</f>
        <v/>
      </c>
      <c r="AE347" s="26">
        <f>IF(B347="","",WORKDAY(B347,3))</f>
        <v/>
      </c>
      <c r="AF347" s="26">
        <f>IF(B347="","",WORKDAY(B347,5))</f>
        <v/>
      </c>
      <c r="AG347" s="26">
        <f>IF(B347="","",WORKDAY(B347,10))</f>
        <v/>
      </c>
      <c r="AH347" s="26" t="n"/>
    </row>
    <row r="348">
      <c r="A348" s="22" t="n"/>
      <c r="B348" s="22" t="n"/>
      <c r="C348" s="26" t="n"/>
      <c r="D348" s="27" t="n"/>
      <c r="E348" s="22" t="n"/>
      <c r="F348" s="26" t="n"/>
      <c r="G348" s="22" t="n"/>
      <c r="H348" s="26">
        <f>IF(G348="","",IFERROR(VLOOKUP(G348,板块观察!A:Z,19,FALSE),""))</f>
        <v/>
      </c>
      <c r="I348" s="26">
        <f>IF(G348="","",IFERROR(VLOOKUP(G348,板块观察!A:Z,20,FALSE),""))</f>
        <v/>
      </c>
      <c r="J348" s="22" t="n"/>
      <c r="K348" s="22" t="n"/>
      <c r="L348" s="22" t="n"/>
      <c r="M348" s="22" t="n"/>
      <c r="N348" s="22" t="n"/>
      <c r="O348" s="22" t="n"/>
      <c r="P348" s="22" t="n"/>
      <c r="Q348" s="28" t="n"/>
      <c r="R348" s="22" t="n"/>
      <c r="S348" s="29" t="n"/>
      <c r="T348" s="29" t="n"/>
      <c r="U348" s="29" t="n"/>
      <c r="V348" s="22" t="n"/>
      <c r="W348" s="22" t="n"/>
      <c r="X348" s="22" t="n"/>
      <c r="Y348" s="22" t="n"/>
      <c r="Z348" s="22" t="n"/>
      <c r="AA348" s="22" t="n"/>
      <c r="AB348" s="22" t="n"/>
      <c r="AC348" s="29" t="n"/>
      <c r="AD348" s="30">
        <f>IF(A348="","",(COUNTA(A348:G348)+COUNTA(J348:AC348))/27)</f>
        <v/>
      </c>
      <c r="AE348" s="26">
        <f>IF(B348="","",WORKDAY(B348,3))</f>
        <v/>
      </c>
      <c r="AF348" s="26">
        <f>IF(B348="","",WORKDAY(B348,5))</f>
        <v/>
      </c>
      <c r="AG348" s="26">
        <f>IF(B348="","",WORKDAY(B348,10))</f>
        <v/>
      </c>
      <c r="AH348" s="26" t="n"/>
    </row>
    <row r="349">
      <c r="A349" s="22" t="n"/>
      <c r="B349" s="22" t="n"/>
      <c r="C349" s="26" t="n"/>
      <c r="D349" s="27" t="n"/>
      <c r="E349" s="22" t="n"/>
      <c r="F349" s="26" t="n"/>
      <c r="G349" s="22" t="n"/>
      <c r="H349" s="26">
        <f>IF(G349="","",IFERROR(VLOOKUP(G349,板块观察!A:Z,19,FALSE),""))</f>
        <v/>
      </c>
      <c r="I349" s="26">
        <f>IF(G349="","",IFERROR(VLOOKUP(G349,板块观察!A:Z,20,FALSE),""))</f>
        <v/>
      </c>
      <c r="J349" s="22" t="n"/>
      <c r="K349" s="22" t="n"/>
      <c r="L349" s="22" t="n"/>
      <c r="M349" s="22" t="n"/>
      <c r="N349" s="22" t="n"/>
      <c r="O349" s="22" t="n"/>
      <c r="P349" s="22" t="n"/>
      <c r="Q349" s="28" t="n"/>
      <c r="R349" s="22" t="n"/>
      <c r="S349" s="29" t="n"/>
      <c r="T349" s="29" t="n"/>
      <c r="U349" s="29" t="n"/>
      <c r="V349" s="22" t="n"/>
      <c r="W349" s="22" t="n"/>
      <c r="X349" s="22" t="n"/>
      <c r="Y349" s="22" t="n"/>
      <c r="Z349" s="22" t="n"/>
      <c r="AA349" s="22" t="n"/>
      <c r="AB349" s="22" t="n"/>
      <c r="AC349" s="29" t="n"/>
      <c r="AD349" s="30">
        <f>IF(A349="","",(COUNTA(A349:G349)+COUNTA(J349:AC349))/27)</f>
        <v/>
      </c>
      <c r="AE349" s="26">
        <f>IF(B349="","",WORKDAY(B349,3))</f>
        <v/>
      </c>
      <c r="AF349" s="26">
        <f>IF(B349="","",WORKDAY(B349,5))</f>
        <v/>
      </c>
      <c r="AG349" s="26">
        <f>IF(B349="","",WORKDAY(B349,10))</f>
        <v/>
      </c>
      <c r="AH349" s="26" t="n"/>
    </row>
    <row r="350">
      <c r="A350" s="22" t="n"/>
      <c r="B350" s="22" t="n"/>
      <c r="C350" s="26" t="n"/>
      <c r="D350" s="27" t="n"/>
      <c r="E350" s="22" t="n"/>
      <c r="F350" s="26" t="n"/>
      <c r="G350" s="22" t="n"/>
      <c r="H350" s="26">
        <f>IF(G350="","",IFERROR(VLOOKUP(G350,板块观察!A:Z,19,FALSE),""))</f>
        <v/>
      </c>
      <c r="I350" s="26">
        <f>IF(G350="","",IFERROR(VLOOKUP(G350,板块观察!A:Z,20,FALSE),""))</f>
        <v/>
      </c>
      <c r="J350" s="22" t="n"/>
      <c r="K350" s="22" t="n"/>
      <c r="L350" s="22" t="n"/>
      <c r="M350" s="22" t="n"/>
      <c r="N350" s="22" t="n"/>
      <c r="O350" s="22" t="n"/>
      <c r="P350" s="22" t="n"/>
      <c r="Q350" s="28" t="n"/>
      <c r="R350" s="22" t="n"/>
      <c r="S350" s="29" t="n"/>
      <c r="T350" s="29" t="n"/>
      <c r="U350" s="29" t="n"/>
      <c r="V350" s="22" t="n"/>
      <c r="W350" s="22" t="n"/>
      <c r="X350" s="22" t="n"/>
      <c r="Y350" s="22" t="n"/>
      <c r="Z350" s="22" t="n"/>
      <c r="AA350" s="22" t="n"/>
      <c r="AB350" s="22" t="n"/>
      <c r="AC350" s="29" t="n"/>
      <c r="AD350" s="30">
        <f>IF(A350="","",(COUNTA(A350:G350)+COUNTA(J350:AC350))/27)</f>
        <v/>
      </c>
      <c r="AE350" s="26">
        <f>IF(B350="","",WORKDAY(B350,3))</f>
        <v/>
      </c>
      <c r="AF350" s="26">
        <f>IF(B350="","",WORKDAY(B350,5))</f>
        <v/>
      </c>
      <c r="AG350" s="26">
        <f>IF(B350="","",WORKDAY(B350,10))</f>
        <v/>
      </c>
      <c r="AH350" s="26" t="n"/>
    </row>
    <row r="351">
      <c r="A351" s="22" t="n"/>
      <c r="B351" s="22" t="n"/>
      <c r="C351" s="26" t="n"/>
      <c r="D351" s="27" t="n"/>
      <c r="E351" s="22" t="n"/>
      <c r="F351" s="26" t="n"/>
      <c r="G351" s="22" t="n"/>
      <c r="H351" s="26">
        <f>IF(G351="","",IFERROR(VLOOKUP(G351,板块观察!A:Z,19,FALSE),""))</f>
        <v/>
      </c>
      <c r="I351" s="26">
        <f>IF(G351="","",IFERROR(VLOOKUP(G351,板块观察!A:Z,20,FALSE),""))</f>
        <v/>
      </c>
      <c r="J351" s="22" t="n"/>
      <c r="K351" s="22" t="n"/>
      <c r="L351" s="22" t="n"/>
      <c r="M351" s="22" t="n"/>
      <c r="N351" s="22" t="n"/>
      <c r="O351" s="22" t="n"/>
      <c r="P351" s="22" t="n"/>
      <c r="Q351" s="28" t="n"/>
      <c r="R351" s="22" t="n"/>
      <c r="S351" s="29" t="n"/>
      <c r="T351" s="29" t="n"/>
      <c r="U351" s="29" t="n"/>
      <c r="V351" s="22" t="n"/>
      <c r="W351" s="22" t="n"/>
      <c r="X351" s="22" t="n"/>
      <c r="Y351" s="22" t="n"/>
      <c r="Z351" s="22" t="n"/>
      <c r="AA351" s="22" t="n"/>
      <c r="AB351" s="22" t="n"/>
      <c r="AC351" s="29" t="n"/>
      <c r="AD351" s="30">
        <f>IF(A351="","",(COUNTA(A351:G351)+COUNTA(J351:AC351))/27)</f>
        <v/>
      </c>
      <c r="AE351" s="26">
        <f>IF(B351="","",WORKDAY(B351,3))</f>
        <v/>
      </c>
      <c r="AF351" s="26">
        <f>IF(B351="","",WORKDAY(B351,5))</f>
        <v/>
      </c>
      <c r="AG351" s="26">
        <f>IF(B351="","",WORKDAY(B351,10))</f>
        <v/>
      </c>
      <c r="AH351" s="26" t="n"/>
    </row>
    <row r="352">
      <c r="A352" s="22" t="n"/>
      <c r="B352" s="22" t="n"/>
      <c r="C352" s="26" t="n"/>
      <c r="D352" s="27" t="n"/>
      <c r="E352" s="22" t="n"/>
      <c r="F352" s="26" t="n"/>
      <c r="G352" s="22" t="n"/>
      <c r="H352" s="26">
        <f>IF(G352="","",IFERROR(VLOOKUP(G352,板块观察!A:Z,19,FALSE),""))</f>
        <v/>
      </c>
      <c r="I352" s="26">
        <f>IF(G352="","",IFERROR(VLOOKUP(G352,板块观察!A:Z,20,FALSE),""))</f>
        <v/>
      </c>
      <c r="J352" s="22" t="n"/>
      <c r="K352" s="22" t="n"/>
      <c r="L352" s="22" t="n"/>
      <c r="M352" s="22" t="n"/>
      <c r="N352" s="22" t="n"/>
      <c r="O352" s="22" t="n"/>
      <c r="P352" s="22" t="n"/>
      <c r="Q352" s="28" t="n"/>
      <c r="R352" s="22" t="n"/>
      <c r="S352" s="29" t="n"/>
      <c r="T352" s="29" t="n"/>
      <c r="U352" s="29" t="n"/>
      <c r="V352" s="22" t="n"/>
      <c r="W352" s="22" t="n"/>
      <c r="X352" s="22" t="n"/>
      <c r="Y352" s="22" t="n"/>
      <c r="Z352" s="22" t="n"/>
      <c r="AA352" s="22" t="n"/>
      <c r="AB352" s="22" t="n"/>
      <c r="AC352" s="29" t="n"/>
      <c r="AD352" s="30">
        <f>IF(A352="","",(COUNTA(A352:G352)+COUNTA(J352:AC352))/27)</f>
        <v/>
      </c>
      <c r="AE352" s="26">
        <f>IF(B352="","",WORKDAY(B352,3))</f>
        <v/>
      </c>
      <c r="AF352" s="26">
        <f>IF(B352="","",WORKDAY(B352,5))</f>
        <v/>
      </c>
      <c r="AG352" s="26">
        <f>IF(B352="","",WORKDAY(B352,10))</f>
        <v/>
      </c>
      <c r="AH352" s="26" t="n"/>
    </row>
    <row r="353">
      <c r="A353" s="22" t="n"/>
      <c r="B353" s="22" t="n"/>
      <c r="C353" s="26" t="n"/>
      <c r="D353" s="27" t="n"/>
      <c r="E353" s="22" t="n"/>
      <c r="F353" s="26" t="n"/>
      <c r="G353" s="22" t="n"/>
      <c r="H353" s="26">
        <f>IF(G353="","",IFERROR(VLOOKUP(G353,板块观察!A:Z,19,FALSE),""))</f>
        <v/>
      </c>
      <c r="I353" s="26">
        <f>IF(G353="","",IFERROR(VLOOKUP(G353,板块观察!A:Z,20,FALSE),""))</f>
        <v/>
      </c>
      <c r="J353" s="22" t="n"/>
      <c r="K353" s="22" t="n"/>
      <c r="L353" s="22" t="n"/>
      <c r="M353" s="22" t="n"/>
      <c r="N353" s="22" t="n"/>
      <c r="O353" s="22" t="n"/>
      <c r="P353" s="22" t="n"/>
      <c r="Q353" s="28" t="n"/>
      <c r="R353" s="22" t="n"/>
      <c r="S353" s="29" t="n"/>
      <c r="T353" s="29" t="n"/>
      <c r="U353" s="29" t="n"/>
      <c r="V353" s="22" t="n"/>
      <c r="W353" s="22" t="n"/>
      <c r="X353" s="22" t="n"/>
      <c r="Y353" s="22" t="n"/>
      <c r="Z353" s="22" t="n"/>
      <c r="AA353" s="22" t="n"/>
      <c r="AB353" s="22" t="n"/>
      <c r="AC353" s="29" t="n"/>
      <c r="AD353" s="30">
        <f>IF(A353="","",(COUNTA(A353:G353)+COUNTA(J353:AC353))/27)</f>
        <v/>
      </c>
      <c r="AE353" s="26">
        <f>IF(B353="","",WORKDAY(B353,3))</f>
        <v/>
      </c>
      <c r="AF353" s="26">
        <f>IF(B353="","",WORKDAY(B353,5))</f>
        <v/>
      </c>
      <c r="AG353" s="26">
        <f>IF(B353="","",WORKDAY(B353,10))</f>
        <v/>
      </c>
      <c r="AH353" s="26" t="n"/>
    </row>
    <row r="354">
      <c r="A354" s="22" t="n"/>
      <c r="B354" s="22" t="n"/>
      <c r="C354" s="26" t="n"/>
      <c r="D354" s="27" t="n"/>
      <c r="E354" s="22" t="n"/>
      <c r="F354" s="26" t="n"/>
      <c r="G354" s="22" t="n"/>
      <c r="H354" s="26">
        <f>IF(G354="","",IFERROR(VLOOKUP(G354,板块观察!A:Z,19,FALSE),""))</f>
        <v/>
      </c>
      <c r="I354" s="26">
        <f>IF(G354="","",IFERROR(VLOOKUP(G354,板块观察!A:Z,20,FALSE),""))</f>
        <v/>
      </c>
      <c r="J354" s="22" t="n"/>
      <c r="K354" s="22" t="n"/>
      <c r="L354" s="22" t="n"/>
      <c r="M354" s="22" t="n"/>
      <c r="N354" s="22" t="n"/>
      <c r="O354" s="22" t="n"/>
      <c r="P354" s="22" t="n"/>
      <c r="Q354" s="28" t="n"/>
      <c r="R354" s="22" t="n"/>
      <c r="S354" s="29" t="n"/>
      <c r="T354" s="29" t="n"/>
      <c r="U354" s="29" t="n"/>
      <c r="V354" s="22" t="n"/>
      <c r="W354" s="22" t="n"/>
      <c r="X354" s="22" t="n"/>
      <c r="Y354" s="22" t="n"/>
      <c r="Z354" s="22" t="n"/>
      <c r="AA354" s="22" t="n"/>
      <c r="AB354" s="22" t="n"/>
      <c r="AC354" s="29" t="n"/>
      <c r="AD354" s="30">
        <f>IF(A354="","",(COUNTA(A354:G354)+COUNTA(J354:AC354))/27)</f>
        <v/>
      </c>
      <c r="AE354" s="26">
        <f>IF(B354="","",WORKDAY(B354,3))</f>
        <v/>
      </c>
      <c r="AF354" s="26">
        <f>IF(B354="","",WORKDAY(B354,5))</f>
        <v/>
      </c>
      <c r="AG354" s="26">
        <f>IF(B354="","",WORKDAY(B354,10))</f>
        <v/>
      </c>
      <c r="AH354" s="26" t="n"/>
    </row>
    <row r="355">
      <c r="A355" s="22" t="n"/>
      <c r="B355" s="22" t="n"/>
      <c r="C355" s="26" t="n"/>
      <c r="D355" s="27" t="n"/>
      <c r="E355" s="22" t="n"/>
      <c r="F355" s="26" t="n"/>
      <c r="G355" s="22" t="n"/>
      <c r="H355" s="26">
        <f>IF(G355="","",IFERROR(VLOOKUP(G355,板块观察!A:Z,19,FALSE),""))</f>
        <v/>
      </c>
      <c r="I355" s="26">
        <f>IF(G355="","",IFERROR(VLOOKUP(G355,板块观察!A:Z,20,FALSE),""))</f>
        <v/>
      </c>
      <c r="J355" s="22" t="n"/>
      <c r="K355" s="22" t="n"/>
      <c r="L355" s="22" t="n"/>
      <c r="M355" s="22" t="n"/>
      <c r="N355" s="22" t="n"/>
      <c r="O355" s="22" t="n"/>
      <c r="P355" s="22" t="n"/>
      <c r="Q355" s="28" t="n"/>
      <c r="R355" s="22" t="n"/>
      <c r="S355" s="29" t="n"/>
      <c r="T355" s="29" t="n"/>
      <c r="U355" s="29" t="n"/>
      <c r="V355" s="22" t="n"/>
      <c r="W355" s="22" t="n"/>
      <c r="X355" s="22" t="n"/>
      <c r="Y355" s="22" t="n"/>
      <c r="Z355" s="22" t="n"/>
      <c r="AA355" s="22" t="n"/>
      <c r="AB355" s="22" t="n"/>
      <c r="AC355" s="29" t="n"/>
      <c r="AD355" s="30">
        <f>IF(A355="","",(COUNTA(A355:G355)+COUNTA(J355:AC355))/27)</f>
        <v/>
      </c>
      <c r="AE355" s="26">
        <f>IF(B355="","",WORKDAY(B355,3))</f>
        <v/>
      </c>
      <c r="AF355" s="26">
        <f>IF(B355="","",WORKDAY(B355,5))</f>
        <v/>
      </c>
      <c r="AG355" s="26">
        <f>IF(B355="","",WORKDAY(B355,10))</f>
        <v/>
      </c>
      <c r="AH355" s="26" t="n"/>
    </row>
    <row r="356">
      <c r="A356" s="22" t="n"/>
      <c r="B356" s="22" t="n"/>
      <c r="C356" s="26" t="n"/>
      <c r="D356" s="27" t="n"/>
      <c r="E356" s="22" t="n"/>
      <c r="F356" s="26" t="n"/>
      <c r="G356" s="22" t="n"/>
      <c r="H356" s="26">
        <f>IF(G356="","",IFERROR(VLOOKUP(G356,板块观察!A:Z,19,FALSE),""))</f>
        <v/>
      </c>
      <c r="I356" s="26">
        <f>IF(G356="","",IFERROR(VLOOKUP(G356,板块观察!A:Z,20,FALSE),""))</f>
        <v/>
      </c>
      <c r="J356" s="22" t="n"/>
      <c r="K356" s="22" t="n"/>
      <c r="L356" s="22" t="n"/>
      <c r="M356" s="22" t="n"/>
      <c r="N356" s="22" t="n"/>
      <c r="O356" s="22" t="n"/>
      <c r="P356" s="22" t="n"/>
      <c r="Q356" s="28" t="n"/>
      <c r="R356" s="22" t="n"/>
      <c r="S356" s="29" t="n"/>
      <c r="T356" s="29" t="n"/>
      <c r="U356" s="29" t="n"/>
      <c r="V356" s="22" t="n"/>
      <c r="W356" s="22" t="n"/>
      <c r="X356" s="22" t="n"/>
      <c r="Y356" s="22" t="n"/>
      <c r="Z356" s="22" t="n"/>
      <c r="AA356" s="22" t="n"/>
      <c r="AB356" s="22" t="n"/>
      <c r="AC356" s="29" t="n"/>
      <c r="AD356" s="30">
        <f>IF(A356="","",(COUNTA(A356:G356)+COUNTA(J356:AC356))/27)</f>
        <v/>
      </c>
      <c r="AE356" s="26">
        <f>IF(B356="","",WORKDAY(B356,3))</f>
        <v/>
      </c>
      <c r="AF356" s="26">
        <f>IF(B356="","",WORKDAY(B356,5))</f>
        <v/>
      </c>
      <c r="AG356" s="26">
        <f>IF(B356="","",WORKDAY(B356,10))</f>
        <v/>
      </c>
      <c r="AH356" s="26" t="n"/>
    </row>
    <row r="357">
      <c r="A357" s="22" t="n"/>
      <c r="B357" s="22" t="n"/>
      <c r="C357" s="26" t="n"/>
      <c r="D357" s="27" t="n"/>
      <c r="E357" s="22" t="n"/>
      <c r="F357" s="26" t="n"/>
      <c r="G357" s="22" t="n"/>
      <c r="H357" s="26">
        <f>IF(G357="","",IFERROR(VLOOKUP(G357,板块观察!A:Z,19,FALSE),""))</f>
        <v/>
      </c>
      <c r="I357" s="26">
        <f>IF(G357="","",IFERROR(VLOOKUP(G357,板块观察!A:Z,20,FALSE),""))</f>
        <v/>
      </c>
      <c r="J357" s="22" t="n"/>
      <c r="K357" s="22" t="n"/>
      <c r="L357" s="22" t="n"/>
      <c r="M357" s="22" t="n"/>
      <c r="N357" s="22" t="n"/>
      <c r="O357" s="22" t="n"/>
      <c r="P357" s="22" t="n"/>
      <c r="Q357" s="28" t="n"/>
      <c r="R357" s="22" t="n"/>
      <c r="S357" s="29" t="n"/>
      <c r="T357" s="29" t="n"/>
      <c r="U357" s="29" t="n"/>
      <c r="V357" s="22" t="n"/>
      <c r="W357" s="22" t="n"/>
      <c r="X357" s="22" t="n"/>
      <c r="Y357" s="22" t="n"/>
      <c r="Z357" s="22" t="n"/>
      <c r="AA357" s="22" t="n"/>
      <c r="AB357" s="22" t="n"/>
      <c r="AC357" s="29" t="n"/>
      <c r="AD357" s="30">
        <f>IF(A357="","",(COUNTA(A357:G357)+COUNTA(J357:AC357))/27)</f>
        <v/>
      </c>
      <c r="AE357" s="26">
        <f>IF(B357="","",WORKDAY(B357,3))</f>
        <v/>
      </c>
      <c r="AF357" s="26">
        <f>IF(B357="","",WORKDAY(B357,5))</f>
        <v/>
      </c>
      <c r="AG357" s="26">
        <f>IF(B357="","",WORKDAY(B357,10))</f>
        <v/>
      </c>
      <c r="AH357" s="26" t="n"/>
    </row>
    <row r="358">
      <c r="A358" s="22" t="n"/>
      <c r="B358" s="22" t="n"/>
      <c r="C358" s="26" t="n"/>
      <c r="D358" s="27" t="n"/>
      <c r="E358" s="22" t="n"/>
      <c r="F358" s="26" t="n"/>
      <c r="G358" s="22" t="n"/>
      <c r="H358" s="26">
        <f>IF(G358="","",IFERROR(VLOOKUP(G358,板块观察!A:Z,19,FALSE),""))</f>
        <v/>
      </c>
      <c r="I358" s="26">
        <f>IF(G358="","",IFERROR(VLOOKUP(G358,板块观察!A:Z,20,FALSE),""))</f>
        <v/>
      </c>
      <c r="J358" s="22" t="n"/>
      <c r="K358" s="22" t="n"/>
      <c r="L358" s="22" t="n"/>
      <c r="M358" s="22" t="n"/>
      <c r="N358" s="22" t="n"/>
      <c r="O358" s="22" t="n"/>
      <c r="P358" s="22" t="n"/>
      <c r="Q358" s="28" t="n"/>
      <c r="R358" s="22" t="n"/>
      <c r="S358" s="29" t="n"/>
      <c r="T358" s="29" t="n"/>
      <c r="U358" s="29" t="n"/>
      <c r="V358" s="22" t="n"/>
      <c r="W358" s="22" t="n"/>
      <c r="X358" s="22" t="n"/>
      <c r="Y358" s="22" t="n"/>
      <c r="Z358" s="22" t="n"/>
      <c r="AA358" s="22" t="n"/>
      <c r="AB358" s="22" t="n"/>
      <c r="AC358" s="29" t="n"/>
      <c r="AD358" s="30">
        <f>IF(A358="","",(COUNTA(A358:G358)+COUNTA(J358:AC358))/27)</f>
        <v/>
      </c>
      <c r="AE358" s="26">
        <f>IF(B358="","",WORKDAY(B358,3))</f>
        <v/>
      </c>
      <c r="AF358" s="26">
        <f>IF(B358="","",WORKDAY(B358,5))</f>
        <v/>
      </c>
      <c r="AG358" s="26">
        <f>IF(B358="","",WORKDAY(B358,10))</f>
        <v/>
      </c>
      <c r="AH358" s="26" t="n"/>
    </row>
    <row r="359">
      <c r="A359" s="22" t="n"/>
      <c r="B359" s="22" t="n"/>
      <c r="C359" s="26" t="n"/>
      <c r="D359" s="27" t="n"/>
      <c r="E359" s="22" t="n"/>
      <c r="F359" s="26" t="n"/>
      <c r="G359" s="22" t="n"/>
      <c r="H359" s="26">
        <f>IF(G359="","",IFERROR(VLOOKUP(G359,板块观察!A:Z,19,FALSE),""))</f>
        <v/>
      </c>
      <c r="I359" s="26">
        <f>IF(G359="","",IFERROR(VLOOKUP(G359,板块观察!A:Z,20,FALSE),""))</f>
        <v/>
      </c>
      <c r="J359" s="22" t="n"/>
      <c r="K359" s="22" t="n"/>
      <c r="L359" s="22" t="n"/>
      <c r="M359" s="22" t="n"/>
      <c r="N359" s="22" t="n"/>
      <c r="O359" s="22" t="n"/>
      <c r="P359" s="22" t="n"/>
      <c r="Q359" s="28" t="n"/>
      <c r="R359" s="22" t="n"/>
      <c r="S359" s="29" t="n"/>
      <c r="T359" s="29" t="n"/>
      <c r="U359" s="29" t="n"/>
      <c r="V359" s="22" t="n"/>
      <c r="W359" s="22" t="n"/>
      <c r="X359" s="22" t="n"/>
      <c r="Y359" s="22" t="n"/>
      <c r="Z359" s="22" t="n"/>
      <c r="AA359" s="22" t="n"/>
      <c r="AB359" s="22" t="n"/>
      <c r="AC359" s="29" t="n"/>
      <c r="AD359" s="30">
        <f>IF(A359="","",(COUNTA(A359:G359)+COUNTA(J359:AC359))/27)</f>
        <v/>
      </c>
      <c r="AE359" s="26">
        <f>IF(B359="","",WORKDAY(B359,3))</f>
        <v/>
      </c>
      <c r="AF359" s="26">
        <f>IF(B359="","",WORKDAY(B359,5))</f>
        <v/>
      </c>
      <c r="AG359" s="26">
        <f>IF(B359="","",WORKDAY(B359,10))</f>
        <v/>
      </c>
      <c r="AH359" s="26" t="n"/>
    </row>
    <row r="360">
      <c r="A360" s="22" t="n"/>
      <c r="B360" s="22" t="n"/>
      <c r="C360" s="26" t="n"/>
      <c r="D360" s="27" t="n"/>
      <c r="E360" s="22" t="n"/>
      <c r="F360" s="26" t="n"/>
      <c r="G360" s="22" t="n"/>
      <c r="H360" s="26">
        <f>IF(G360="","",IFERROR(VLOOKUP(G360,板块观察!A:Z,19,FALSE),""))</f>
        <v/>
      </c>
      <c r="I360" s="26">
        <f>IF(G360="","",IFERROR(VLOOKUP(G360,板块观察!A:Z,20,FALSE),""))</f>
        <v/>
      </c>
      <c r="J360" s="22" t="n"/>
      <c r="K360" s="22" t="n"/>
      <c r="L360" s="22" t="n"/>
      <c r="M360" s="22" t="n"/>
      <c r="N360" s="22" t="n"/>
      <c r="O360" s="22" t="n"/>
      <c r="P360" s="22" t="n"/>
      <c r="Q360" s="28" t="n"/>
      <c r="R360" s="22" t="n"/>
      <c r="S360" s="29" t="n"/>
      <c r="T360" s="29" t="n"/>
      <c r="U360" s="29" t="n"/>
      <c r="V360" s="22" t="n"/>
      <c r="W360" s="22" t="n"/>
      <c r="X360" s="22" t="n"/>
      <c r="Y360" s="22" t="n"/>
      <c r="Z360" s="22" t="n"/>
      <c r="AA360" s="22" t="n"/>
      <c r="AB360" s="22" t="n"/>
      <c r="AC360" s="29" t="n"/>
      <c r="AD360" s="30">
        <f>IF(A360="","",(COUNTA(A360:G360)+COUNTA(J360:AC360))/27)</f>
        <v/>
      </c>
      <c r="AE360" s="26">
        <f>IF(B360="","",WORKDAY(B360,3))</f>
        <v/>
      </c>
      <c r="AF360" s="26">
        <f>IF(B360="","",WORKDAY(B360,5))</f>
        <v/>
      </c>
      <c r="AG360" s="26">
        <f>IF(B360="","",WORKDAY(B360,10))</f>
        <v/>
      </c>
      <c r="AH360" s="26" t="n"/>
    </row>
    <row r="361">
      <c r="A361" s="22" t="n"/>
      <c r="B361" s="22" t="n"/>
      <c r="C361" s="26" t="n"/>
      <c r="D361" s="27" t="n"/>
      <c r="E361" s="22" t="n"/>
      <c r="F361" s="26" t="n"/>
      <c r="G361" s="22" t="n"/>
      <c r="H361" s="26">
        <f>IF(G361="","",IFERROR(VLOOKUP(G361,板块观察!A:Z,19,FALSE),""))</f>
        <v/>
      </c>
      <c r="I361" s="26">
        <f>IF(G361="","",IFERROR(VLOOKUP(G361,板块观察!A:Z,20,FALSE),""))</f>
        <v/>
      </c>
      <c r="J361" s="22" t="n"/>
      <c r="K361" s="22" t="n"/>
      <c r="L361" s="22" t="n"/>
      <c r="M361" s="22" t="n"/>
      <c r="N361" s="22" t="n"/>
      <c r="O361" s="22" t="n"/>
      <c r="P361" s="22" t="n"/>
      <c r="Q361" s="28" t="n"/>
      <c r="R361" s="22" t="n"/>
      <c r="S361" s="29" t="n"/>
      <c r="T361" s="29" t="n"/>
      <c r="U361" s="29" t="n"/>
      <c r="V361" s="22" t="n"/>
      <c r="W361" s="22" t="n"/>
      <c r="X361" s="22" t="n"/>
      <c r="Y361" s="22" t="n"/>
      <c r="Z361" s="22" t="n"/>
      <c r="AA361" s="22" t="n"/>
      <c r="AB361" s="22" t="n"/>
      <c r="AC361" s="29" t="n"/>
      <c r="AD361" s="30">
        <f>IF(A361="","",(COUNTA(A361:G361)+COUNTA(J361:AC361))/27)</f>
        <v/>
      </c>
      <c r="AE361" s="26">
        <f>IF(B361="","",WORKDAY(B361,3))</f>
        <v/>
      </c>
      <c r="AF361" s="26">
        <f>IF(B361="","",WORKDAY(B361,5))</f>
        <v/>
      </c>
      <c r="AG361" s="26">
        <f>IF(B361="","",WORKDAY(B361,10))</f>
        <v/>
      </c>
      <c r="AH361" s="26" t="n"/>
    </row>
    <row r="362">
      <c r="A362" s="22" t="n"/>
      <c r="B362" s="22" t="n"/>
      <c r="C362" s="26" t="n"/>
      <c r="D362" s="27" t="n"/>
      <c r="E362" s="22" t="n"/>
      <c r="F362" s="26" t="n"/>
      <c r="G362" s="22" t="n"/>
      <c r="H362" s="26">
        <f>IF(G362="","",IFERROR(VLOOKUP(G362,板块观察!A:Z,19,FALSE),""))</f>
        <v/>
      </c>
      <c r="I362" s="26">
        <f>IF(G362="","",IFERROR(VLOOKUP(G362,板块观察!A:Z,20,FALSE),""))</f>
        <v/>
      </c>
      <c r="J362" s="22" t="n"/>
      <c r="K362" s="22" t="n"/>
      <c r="L362" s="22" t="n"/>
      <c r="M362" s="22" t="n"/>
      <c r="N362" s="22" t="n"/>
      <c r="O362" s="22" t="n"/>
      <c r="P362" s="22" t="n"/>
      <c r="Q362" s="28" t="n"/>
      <c r="R362" s="22" t="n"/>
      <c r="S362" s="29" t="n"/>
      <c r="T362" s="29" t="n"/>
      <c r="U362" s="29" t="n"/>
      <c r="V362" s="22" t="n"/>
      <c r="W362" s="22" t="n"/>
      <c r="X362" s="22" t="n"/>
      <c r="Y362" s="22" t="n"/>
      <c r="Z362" s="22" t="n"/>
      <c r="AA362" s="22" t="n"/>
      <c r="AB362" s="22" t="n"/>
      <c r="AC362" s="29" t="n"/>
      <c r="AD362" s="30">
        <f>IF(A362="","",(COUNTA(A362:G362)+COUNTA(J362:AC362))/27)</f>
        <v/>
      </c>
      <c r="AE362" s="26">
        <f>IF(B362="","",WORKDAY(B362,3))</f>
        <v/>
      </c>
      <c r="AF362" s="26">
        <f>IF(B362="","",WORKDAY(B362,5))</f>
        <v/>
      </c>
      <c r="AG362" s="26">
        <f>IF(B362="","",WORKDAY(B362,10))</f>
        <v/>
      </c>
      <c r="AH362" s="26" t="n"/>
    </row>
    <row r="363">
      <c r="A363" s="22" t="n"/>
      <c r="B363" s="22" t="n"/>
      <c r="C363" s="26" t="n"/>
      <c r="D363" s="27" t="n"/>
      <c r="E363" s="22" t="n"/>
      <c r="F363" s="26" t="n"/>
      <c r="G363" s="22" t="n"/>
      <c r="H363" s="26">
        <f>IF(G363="","",IFERROR(VLOOKUP(G363,板块观察!A:Z,19,FALSE),""))</f>
        <v/>
      </c>
      <c r="I363" s="26">
        <f>IF(G363="","",IFERROR(VLOOKUP(G363,板块观察!A:Z,20,FALSE),""))</f>
        <v/>
      </c>
      <c r="J363" s="22" t="n"/>
      <c r="K363" s="22" t="n"/>
      <c r="L363" s="22" t="n"/>
      <c r="M363" s="22" t="n"/>
      <c r="N363" s="22" t="n"/>
      <c r="O363" s="22" t="n"/>
      <c r="P363" s="22" t="n"/>
      <c r="Q363" s="28" t="n"/>
      <c r="R363" s="22" t="n"/>
      <c r="S363" s="29" t="n"/>
      <c r="T363" s="29" t="n"/>
      <c r="U363" s="29" t="n"/>
      <c r="V363" s="22" t="n"/>
      <c r="W363" s="22" t="n"/>
      <c r="X363" s="22" t="n"/>
      <c r="Y363" s="22" t="n"/>
      <c r="Z363" s="22" t="n"/>
      <c r="AA363" s="22" t="n"/>
      <c r="AB363" s="22" t="n"/>
      <c r="AC363" s="29" t="n"/>
      <c r="AD363" s="30">
        <f>IF(A363="","",(COUNTA(A363:G363)+COUNTA(J363:AC363))/27)</f>
        <v/>
      </c>
      <c r="AE363" s="26">
        <f>IF(B363="","",WORKDAY(B363,3))</f>
        <v/>
      </c>
      <c r="AF363" s="26">
        <f>IF(B363="","",WORKDAY(B363,5))</f>
        <v/>
      </c>
      <c r="AG363" s="26">
        <f>IF(B363="","",WORKDAY(B363,10))</f>
        <v/>
      </c>
      <c r="AH363" s="26" t="n"/>
    </row>
    <row r="364">
      <c r="A364" s="22" t="n"/>
      <c r="B364" s="22" t="n"/>
      <c r="C364" s="26" t="n"/>
      <c r="D364" s="27" t="n"/>
      <c r="E364" s="22" t="n"/>
      <c r="F364" s="26" t="n"/>
      <c r="G364" s="22" t="n"/>
      <c r="H364" s="26">
        <f>IF(G364="","",IFERROR(VLOOKUP(G364,板块观察!A:Z,19,FALSE),""))</f>
        <v/>
      </c>
      <c r="I364" s="26">
        <f>IF(G364="","",IFERROR(VLOOKUP(G364,板块观察!A:Z,20,FALSE),""))</f>
        <v/>
      </c>
      <c r="J364" s="22" t="n"/>
      <c r="K364" s="22" t="n"/>
      <c r="L364" s="22" t="n"/>
      <c r="M364" s="22" t="n"/>
      <c r="N364" s="22" t="n"/>
      <c r="O364" s="22" t="n"/>
      <c r="P364" s="22" t="n"/>
      <c r="Q364" s="28" t="n"/>
      <c r="R364" s="22" t="n"/>
      <c r="S364" s="29" t="n"/>
      <c r="T364" s="29" t="n"/>
      <c r="U364" s="29" t="n"/>
      <c r="V364" s="22" t="n"/>
      <c r="W364" s="22" t="n"/>
      <c r="X364" s="22" t="n"/>
      <c r="Y364" s="22" t="n"/>
      <c r="Z364" s="22" t="n"/>
      <c r="AA364" s="22" t="n"/>
      <c r="AB364" s="22" t="n"/>
      <c r="AC364" s="29" t="n"/>
      <c r="AD364" s="30">
        <f>IF(A364="","",(COUNTA(A364:G364)+COUNTA(J364:AC364))/27)</f>
        <v/>
      </c>
      <c r="AE364" s="26">
        <f>IF(B364="","",WORKDAY(B364,3))</f>
        <v/>
      </c>
      <c r="AF364" s="26">
        <f>IF(B364="","",WORKDAY(B364,5))</f>
        <v/>
      </c>
      <c r="AG364" s="26">
        <f>IF(B364="","",WORKDAY(B364,10))</f>
        <v/>
      </c>
      <c r="AH364" s="26" t="n"/>
    </row>
    <row r="365">
      <c r="A365" s="22" t="n"/>
      <c r="B365" s="22" t="n"/>
      <c r="C365" s="26" t="n"/>
      <c r="D365" s="27" t="n"/>
      <c r="E365" s="22" t="n"/>
      <c r="F365" s="26" t="n"/>
      <c r="G365" s="22" t="n"/>
      <c r="H365" s="26">
        <f>IF(G365="","",IFERROR(VLOOKUP(G365,板块观察!A:Z,19,FALSE),""))</f>
        <v/>
      </c>
      <c r="I365" s="26">
        <f>IF(G365="","",IFERROR(VLOOKUP(G365,板块观察!A:Z,20,FALSE),""))</f>
        <v/>
      </c>
      <c r="J365" s="22" t="n"/>
      <c r="K365" s="22" t="n"/>
      <c r="L365" s="22" t="n"/>
      <c r="M365" s="22" t="n"/>
      <c r="N365" s="22" t="n"/>
      <c r="O365" s="22" t="n"/>
      <c r="P365" s="22" t="n"/>
      <c r="Q365" s="28" t="n"/>
      <c r="R365" s="22" t="n"/>
      <c r="S365" s="29" t="n"/>
      <c r="T365" s="29" t="n"/>
      <c r="U365" s="29" t="n"/>
      <c r="V365" s="22" t="n"/>
      <c r="W365" s="22" t="n"/>
      <c r="X365" s="22" t="n"/>
      <c r="Y365" s="22" t="n"/>
      <c r="Z365" s="22" t="n"/>
      <c r="AA365" s="22" t="n"/>
      <c r="AB365" s="22" t="n"/>
      <c r="AC365" s="29" t="n"/>
      <c r="AD365" s="30">
        <f>IF(A365="","",(COUNTA(A365:G365)+COUNTA(J365:AC365))/27)</f>
        <v/>
      </c>
      <c r="AE365" s="26">
        <f>IF(B365="","",WORKDAY(B365,3))</f>
        <v/>
      </c>
      <c r="AF365" s="26">
        <f>IF(B365="","",WORKDAY(B365,5))</f>
        <v/>
      </c>
      <c r="AG365" s="26">
        <f>IF(B365="","",WORKDAY(B365,10))</f>
        <v/>
      </c>
      <c r="AH365" s="26" t="n"/>
    </row>
    <row r="366">
      <c r="A366" s="22" t="n"/>
      <c r="B366" s="22" t="n"/>
      <c r="C366" s="26" t="n"/>
      <c r="D366" s="27" t="n"/>
      <c r="E366" s="22" t="n"/>
      <c r="F366" s="26" t="n"/>
      <c r="G366" s="22" t="n"/>
      <c r="H366" s="26">
        <f>IF(G366="","",IFERROR(VLOOKUP(G366,板块观察!A:Z,19,FALSE),""))</f>
        <v/>
      </c>
      <c r="I366" s="26">
        <f>IF(G366="","",IFERROR(VLOOKUP(G366,板块观察!A:Z,20,FALSE),""))</f>
        <v/>
      </c>
      <c r="J366" s="22" t="n"/>
      <c r="K366" s="22" t="n"/>
      <c r="L366" s="22" t="n"/>
      <c r="M366" s="22" t="n"/>
      <c r="N366" s="22" t="n"/>
      <c r="O366" s="22" t="n"/>
      <c r="P366" s="22" t="n"/>
      <c r="Q366" s="28" t="n"/>
      <c r="R366" s="22" t="n"/>
      <c r="S366" s="29" t="n"/>
      <c r="T366" s="29" t="n"/>
      <c r="U366" s="29" t="n"/>
      <c r="V366" s="22" t="n"/>
      <c r="W366" s="22" t="n"/>
      <c r="X366" s="22" t="n"/>
      <c r="Y366" s="22" t="n"/>
      <c r="Z366" s="22" t="n"/>
      <c r="AA366" s="22" t="n"/>
      <c r="AB366" s="22" t="n"/>
      <c r="AC366" s="29" t="n"/>
      <c r="AD366" s="30">
        <f>IF(A366="","",(COUNTA(A366:G366)+COUNTA(J366:AC366))/27)</f>
        <v/>
      </c>
      <c r="AE366" s="26">
        <f>IF(B366="","",WORKDAY(B366,3))</f>
        <v/>
      </c>
      <c r="AF366" s="26">
        <f>IF(B366="","",WORKDAY(B366,5))</f>
        <v/>
      </c>
      <c r="AG366" s="26">
        <f>IF(B366="","",WORKDAY(B366,10))</f>
        <v/>
      </c>
      <c r="AH366" s="26" t="n"/>
    </row>
    <row r="367">
      <c r="A367" s="22" t="n"/>
      <c r="B367" s="22" t="n"/>
      <c r="C367" s="26" t="n"/>
      <c r="D367" s="27" t="n"/>
      <c r="E367" s="22" t="n"/>
      <c r="F367" s="26" t="n"/>
      <c r="G367" s="22" t="n"/>
      <c r="H367" s="26">
        <f>IF(G367="","",IFERROR(VLOOKUP(G367,板块观察!A:Z,19,FALSE),""))</f>
        <v/>
      </c>
      <c r="I367" s="26">
        <f>IF(G367="","",IFERROR(VLOOKUP(G367,板块观察!A:Z,20,FALSE),""))</f>
        <v/>
      </c>
      <c r="J367" s="22" t="n"/>
      <c r="K367" s="22" t="n"/>
      <c r="L367" s="22" t="n"/>
      <c r="M367" s="22" t="n"/>
      <c r="N367" s="22" t="n"/>
      <c r="O367" s="22" t="n"/>
      <c r="P367" s="22" t="n"/>
      <c r="Q367" s="28" t="n"/>
      <c r="R367" s="22" t="n"/>
      <c r="S367" s="29" t="n"/>
      <c r="T367" s="29" t="n"/>
      <c r="U367" s="29" t="n"/>
      <c r="V367" s="22" t="n"/>
      <c r="W367" s="22" t="n"/>
      <c r="X367" s="22" t="n"/>
      <c r="Y367" s="22" t="n"/>
      <c r="Z367" s="22" t="n"/>
      <c r="AA367" s="22" t="n"/>
      <c r="AB367" s="22" t="n"/>
      <c r="AC367" s="29" t="n"/>
      <c r="AD367" s="30">
        <f>IF(A367="","",(COUNTA(A367:G367)+COUNTA(J367:AC367))/27)</f>
        <v/>
      </c>
      <c r="AE367" s="26">
        <f>IF(B367="","",WORKDAY(B367,3))</f>
        <v/>
      </c>
      <c r="AF367" s="26">
        <f>IF(B367="","",WORKDAY(B367,5))</f>
        <v/>
      </c>
      <c r="AG367" s="26">
        <f>IF(B367="","",WORKDAY(B367,10))</f>
        <v/>
      </c>
      <c r="AH367" s="26" t="n"/>
    </row>
    <row r="368">
      <c r="A368" s="22" t="n"/>
      <c r="B368" s="22" t="n"/>
      <c r="C368" s="26" t="n"/>
      <c r="D368" s="27" t="n"/>
      <c r="E368" s="22" t="n"/>
      <c r="F368" s="26" t="n"/>
      <c r="G368" s="22" t="n"/>
      <c r="H368" s="26">
        <f>IF(G368="","",IFERROR(VLOOKUP(G368,板块观察!A:Z,19,FALSE),""))</f>
        <v/>
      </c>
      <c r="I368" s="26">
        <f>IF(G368="","",IFERROR(VLOOKUP(G368,板块观察!A:Z,20,FALSE),""))</f>
        <v/>
      </c>
      <c r="J368" s="22" t="n"/>
      <c r="K368" s="22" t="n"/>
      <c r="L368" s="22" t="n"/>
      <c r="M368" s="22" t="n"/>
      <c r="N368" s="22" t="n"/>
      <c r="O368" s="22" t="n"/>
      <c r="P368" s="22" t="n"/>
      <c r="Q368" s="28" t="n"/>
      <c r="R368" s="22" t="n"/>
      <c r="S368" s="29" t="n"/>
      <c r="T368" s="29" t="n"/>
      <c r="U368" s="29" t="n"/>
      <c r="V368" s="22" t="n"/>
      <c r="W368" s="22" t="n"/>
      <c r="X368" s="22" t="n"/>
      <c r="Y368" s="22" t="n"/>
      <c r="Z368" s="22" t="n"/>
      <c r="AA368" s="22" t="n"/>
      <c r="AB368" s="22" t="n"/>
      <c r="AC368" s="29" t="n"/>
      <c r="AD368" s="30">
        <f>IF(A368="","",(COUNTA(A368:G368)+COUNTA(J368:AC368))/27)</f>
        <v/>
      </c>
      <c r="AE368" s="26">
        <f>IF(B368="","",WORKDAY(B368,3))</f>
        <v/>
      </c>
      <c r="AF368" s="26">
        <f>IF(B368="","",WORKDAY(B368,5))</f>
        <v/>
      </c>
      <c r="AG368" s="26">
        <f>IF(B368="","",WORKDAY(B368,10))</f>
        <v/>
      </c>
      <c r="AH368" s="26" t="n"/>
    </row>
    <row r="369">
      <c r="A369" s="22" t="n"/>
      <c r="B369" s="22" t="n"/>
      <c r="C369" s="26" t="n"/>
      <c r="D369" s="27" t="n"/>
      <c r="E369" s="22" t="n"/>
      <c r="F369" s="26" t="n"/>
      <c r="G369" s="22" t="n"/>
      <c r="H369" s="26">
        <f>IF(G369="","",IFERROR(VLOOKUP(G369,板块观察!A:Z,19,FALSE),""))</f>
        <v/>
      </c>
      <c r="I369" s="26">
        <f>IF(G369="","",IFERROR(VLOOKUP(G369,板块观察!A:Z,20,FALSE),""))</f>
        <v/>
      </c>
      <c r="J369" s="22" t="n"/>
      <c r="K369" s="22" t="n"/>
      <c r="L369" s="22" t="n"/>
      <c r="M369" s="22" t="n"/>
      <c r="N369" s="22" t="n"/>
      <c r="O369" s="22" t="n"/>
      <c r="P369" s="22" t="n"/>
      <c r="Q369" s="28" t="n"/>
      <c r="R369" s="22" t="n"/>
      <c r="S369" s="29" t="n"/>
      <c r="T369" s="29" t="n"/>
      <c r="U369" s="29" t="n"/>
      <c r="V369" s="22" t="n"/>
      <c r="W369" s="22" t="n"/>
      <c r="X369" s="22" t="n"/>
      <c r="Y369" s="22" t="n"/>
      <c r="Z369" s="22" t="n"/>
      <c r="AA369" s="22" t="n"/>
      <c r="AB369" s="22" t="n"/>
      <c r="AC369" s="29" t="n"/>
      <c r="AD369" s="30">
        <f>IF(A369="","",(COUNTA(A369:G369)+COUNTA(J369:AC369))/27)</f>
        <v/>
      </c>
      <c r="AE369" s="26">
        <f>IF(B369="","",WORKDAY(B369,3))</f>
        <v/>
      </c>
      <c r="AF369" s="26">
        <f>IF(B369="","",WORKDAY(B369,5))</f>
        <v/>
      </c>
      <c r="AG369" s="26">
        <f>IF(B369="","",WORKDAY(B369,10))</f>
        <v/>
      </c>
      <c r="AH369" s="26" t="n"/>
    </row>
    <row r="370">
      <c r="A370" s="22" t="n"/>
      <c r="B370" s="22" t="n"/>
      <c r="C370" s="26" t="n"/>
      <c r="D370" s="27" t="n"/>
      <c r="E370" s="22" t="n"/>
      <c r="F370" s="26" t="n"/>
      <c r="G370" s="22" t="n"/>
      <c r="H370" s="26">
        <f>IF(G370="","",IFERROR(VLOOKUP(G370,板块观察!A:Z,19,FALSE),""))</f>
        <v/>
      </c>
      <c r="I370" s="26">
        <f>IF(G370="","",IFERROR(VLOOKUP(G370,板块观察!A:Z,20,FALSE),""))</f>
        <v/>
      </c>
      <c r="J370" s="22" t="n"/>
      <c r="K370" s="22" t="n"/>
      <c r="L370" s="22" t="n"/>
      <c r="M370" s="22" t="n"/>
      <c r="N370" s="22" t="n"/>
      <c r="O370" s="22" t="n"/>
      <c r="P370" s="22" t="n"/>
      <c r="Q370" s="28" t="n"/>
      <c r="R370" s="22" t="n"/>
      <c r="S370" s="29" t="n"/>
      <c r="T370" s="29" t="n"/>
      <c r="U370" s="29" t="n"/>
      <c r="V370" s="22" t="n"/>
      <c r="W370" s="22" t="n"/>
      <c r="X370" s="22" t="n"/>
      <c r="Y370" s="22" t="n"/>
      <c r="Z370" s="22" t="n"/>
      <c r="AA370" s="22" t="n"/>
      <c r="AB370" s="22" t="n"/>
      <c r="AC370" s="29" t="n"/>
      <c r="AD370" s="30">
        <f>IF(A370="","",(COUNTA(A370:G370)+COUNTA(J370:AC370))/27)</f>
        <v/>
      </c>
      <c r="AE370" s="26">
        <f>IF(B370="","",WORKDAY(B370,3))</f>
        <v/>
      </c>
      <c r="AF370" s="26">
        <f>IF(B370="","",WORKDAY(B370,5))</f>
        <v/>
      </c>
      <c r="AG370" s="26">
        <f>IF(B370="","",WORKDAY(B370,10))</f>
        <v/>
      </c>
      <c r="AH370" s="26" t="n"/>
    </row>
    <row r="371">
      <c r="A371" s="22" t="n"/>
      <c r="B371" s="22" t="n"/>
      <c r="C371" s="26" t="n"/>
      <c r="D371" s="27" t="n"/>
      <c r="E371" s="22" t="n"/>
      <c r="F371" s="26" t="n"/>
      <c r="G371" s="22" t="n"/>
      <c r="H371" s="26">
        <f>IF(G371="","",IFERROR(VLOOKUP(G371,板块观察!A:Z,19,FALSE),""))</f>
        <v/>
      </c>
      <c r="I371" s="26">
        <f>IF(G371="","",IFERROR(VLOOKUP(G371,板块观察!A:Z,20,FALSE),""))</f>
        <v/>
      </c>
      <c r="J371" s="22" t="n"/>
      <c r="K371" s="22" t="n"/>
      <c r="L371" s="22" t="n"/>
      <c r="M371" s="22" t="n"/>
      <c r="N371" s="22" t="n"/>
      <c r="O371" s="22" t="n"/>
      <c r="P371" s="22" t="n"/>
      <c r="Q371" s="28" t="n"/>
      <c r="R371" s="22" t="n"/>
      <c r="S371" s="29" t="n"/>
      <c r="T371" s="29" t="n"/>
      <c r="U371" s="29" t="n"/>
      <c r="V371" s="22" t="n"/>
      <c r="W371" s="22" t="n"/>
      <c r="X371" s="22" t="n"/>
      <c r="Y371" s="22" t="n"/>
      <c r="Z371" s="22" t="n"/>
      <c r="AA371" s="22" t="n"/>
      <c r="AB371" s="22" t="n"/>
      <c r="AC371" s="29" t="n"/>
      <c r="AD371" s="30">
        <f>IF(A371="","",(COUNTA(A371:G371)+COUNTA(J371:AC371))/27)</f>
        <v/>
      </c>
      <c r="AE371" s="26">
        <f>IF(B371="","",WORKDAY(B371,3))</f>
        <v/>
      </c>
      <c r="AF371" s="26">
        <f>IF(B371="","",WORKDAY(B371,5))</f>
        <v/>
      </c>
      <c r="AG371" s="26">
        <f>IF(B371="","",WORKDAY(B371,10))</f>
        <v/>
      </c>
      <c r="AH371" s="26" t="n"/>
    </row>
    <row r="372">
      <c r="A372" s="22" t="n"/>
      <c r="B372" s="22" t="n"/>
      <c r="C372" s="26" t="n"/>
      <c r="D372" s="27" t="n"/>
      <c r="E372" s="22" t="n"/>
      <c r="F372" s="26" t="n"/>
      <c r="G372" s="22" t="n"/>
      <c r="H372" s="26">
        <f>IF(G372="","",IFERROR(VLOOKUP(G372,板块观察!A:Z,19,FALSE),""))</f>
        <v/>
      </c>
      <c r="I372" s="26">
        <f>IF(G372="","",IFERROR(VLOOKUP(G372,板块观察!A:Z,20,FALSE),""))</f>
        <v/>
      </c>
      <c r="J372" s="22" t="n"/>
      <c r="K372" s="22" t="n"/>
      <c r="L372" s="22" t="n"/>
      <c r="M372" s="22" t="n"/>
      <c r="N372" s="22" t="n"/>
      <c r="O372" s="22" t="n"/>
      <c r="P372" s="22" t="n"/>
      <c r="Q372" s="28" t="n"/>
      <c r="R372" s="22" t="n"/>
      <c r="S372" s="29" t="n"/>
      <c r="T372" s="29" t="n"/>
      <c r="U372" s="29" t="n"/>
      <c r="V372" s="22" t="n"/>
      <c r="W372" s="22" t="n"/>
      <c r="X372" s="22" t="n"/>
      <c r="Y372" s="22" t="n"/>
      <c r="Z372" s="22" t="n"/>
      <c r="AA372" s="22" t="n"/>
      <c r="AB372" s="22" t="n"/>
      <c r="AC372" s="29" t="n"/>
      <c r="AD372" s="30">
        <f>IF(A372="","",(COUNTA(A372:G372)+COUNTA(J372:AC372))/27)</f>
        <v/>
      </c>
      <c r="AE372" s="26">
        <f>IF(B372="","",WORKDAY(B372,3))</f>
        <v/>
      </c>
      <c r="AF372" s="26">
        <f>IF(B372="","",WORKDAY(B372,5))</f>
        <v/>
      </c>
      <c r="AG372" s="26">
        <f>IF(B372="","",WORKDAY(B372,10))</f>
        <v/>
      </c>
      <c r="AH372" s="26" t="n"/>
    </row>
    <row r="373">
      <c r="A373" s="22" t="n"/>
      <c r="B373" s="22" t="n"/>
      <c r="C373" s="26" t="n"/>
      <c r="D373" s="27" t="n"/>
      <c r="E373" s="22" t="n"/>
      <c r="F373" s="26" t="n"/>
      <c r="G373" s="22" t="n"/>
      <c r="H373" s="26">
        <f>IF(G373="","",IFERROR(VLOOKUP(G373,板块观察!A:Z,19,FALSE),""))</f>
        <v/>
      </c>
      <c r="I373" s="26">
        <f>IF(G373="","",IFERROR(VLOOKUP(G373,板块观察!A:Z,20,FALSE),""))</f>
        <v/>
      </c>
      <c r="J373" s="22" t="n"/>
      <c r="K373" s="22" t="n"/>
      <c r="L373" s="22" t="n"/>
      <c r="M373" s="22" t="n"/>
      <c r="N373" s="22" t="n"/>
      <c r="O373" s="22" t="n"/>
      <c r="P373" s="22" t="n"/>
      <c r="Q373" s="28" t="n"/>
      <c r="R373" s="22" t="n"/>
      <c r="S373" s="29" t="n"/>
      <c r="T373" s="29" t="n"/>
      <c r="U373" s="29" t="n"/>
      <c r="V373" s="22" t="n"/>
      <c r="W373" s="22" t="n"/>
      <c r="X373" s="22" t="n"/>
      <c r="Y373" s="22" t="n"/>
      <c r="Z373" s="22" t="n"/>
      <c r="AA373" s="22" t="n"/>
      <c r="AB373" s="22" t="n"/>
      <c r="AC373" s="29" t="n"/>
      <c r="AD373" s="30">
        <f>IF(A373="","",(COUNTA(A373:G373)+COUNTA(J373:AC373))/27)</f>
        <v/>
      </c>
      <c r="AE373" s="26">
        <f>IF(B373="","",WORKDAY(B373,3))</f>
        <v/>
      </c>
      <c r="AF373" s="26">
        <f>IF(B373="","",WORKDAY(B373,5))</f>
        <v/>
      </c>
      <c r="AG373" s="26">
        <f>IF(B373="","",WORKDAY(B373,10))</f>
        <v/>
      </c>
      <c r="AH373" s="26" t="n"/>
    </row>
    <row r="374">
      <c r="A374" s="22" t="n"/>
      <c r="B374" s="22" t="n"/>
      <c r="C374" s="26" t="n"/>
      <c r="D374" s="27" t="n"/>
      <c r="E374" s="22" t="n"/>
      <c r="F374" s="26" t="n"/>
      <c r="G374" s="22" t="n"/>
      <c r="H374" s="26">
        <f>IF(G374="","",IFERROR(VLOOKUP(G374,板块观察!A:Z,19,FALSE),""))</f>
        <v/>
      </c>
      <c r="I374" s="26">
        <f>IF(G374="","",IFERROR(VLOOKUP(G374,板块观察!A:Z,20,FALSE),""))</f>
        <v/>
      </c>
      <c r="J374" s="22" t="n"/>
      <c r="K374" s="22" t="n"/>
      <c r="L374" s="22" t="n"/>
      <c r="M374" s="22" t="n"/>
      <c r="N374" s="22" t="n"/>
      <c r="O374" s="22" t="n"/>
      <c r="P374" s="22" t="n"/>
      <c r="Q374" s="28" t="n"/>
      <c r="R374" s="22" t="n"/>
      <c r="S374" s="29" t="n"/>
      <c r="T374" s="29" t="n"/>
      <c r="U374" s="29" t="n"/>
      <c r="V374" s="22" t="n"/>
      <c r="W374" s="22" t="n"/>
      <c r="X374" s="22" t="n"/>
      <c r="Y374" s="22" t="n"/>
      <c r="Z374" s="22" t="n"/>
      <c r="AA374" s="22" t="n"/>
      <c r="AB374" s="22" t="n"/>
      <c r="AC374" s="29" t="n"/>
      <c r="AD374" s="30">
        <f>IF(A374="","",(COUNTA(A374:G374)+COUNTA(J374:AC374))/27)</f>
        <v/>
      </c>
      <c r="AE374" s="26">
        <f>IF(B374="","",WORKDAY(B374,3))</f>
        <v/>
      </c>
      <c r="AF374" s="26">
        <f>IF(B374="","",WORKDAY(B374,5))</f>
        <v/>
      </c>
      <c r="AG374" s="26">
        <f>IF(B374="","",WORKDAY(B374,10))</f>
        <v/>
      </c>
      <c r="AH374" s="26" t="n"/>
    </row>
    <row r="375">
      <c r="A375" s="22" t="n"/>
      <c r="B375" s="22" t="n"/>
      <c r="C375" s="26" t="n"/>
      <c r="D375" s="27" t="n"/>
      <c r="E375" s="22" t="n"/>
      <c r="F375" s="26" t="n"/>
      <c r="G375" s="22" t="n"/>
      <c r="H375" s="26">
        <f>IF(G375="","",IFERROR(VLOOKUP(G375,板块观察!A:Z,19,FALSE),""))</f>
        <v/>
      </c>
      <c r="I375" s="26">
        <f>IF(G375="","",IFERROR(VLOOKUP(G375,板块观察!A:Z,20,FALSE),""))</f>
        <v/>
      </c>
      <c r="J375" s="22" t="n"/>
      <c r="K375" s="22" t="n"/>
      <c r="L375" s="22" t="n"/>
      <c r="M375" s="22" t="n"/>
      <c r="N375" s="22" t="n"/>
      <c r="O375" s="22" t="n"/>
      <c r="P375" s="22" t="n"/>
      <c r="Q375" s="28" t="n"/>
      <c r="R375" s="22" t="n"/>
      <c r="S375" s="29" t="n"/>
      <c r="T375" s="29" t="n"/>
      <c r="U375" s="29" t="n"/>
      <c r="V375" s="22" t="n"/>
      <c r="W375" s="22" t="n"/>
      <c r="X375" s="22" t="n"/>
      <c r="Y375" s="22" t="n"/>
      <c r="Z375" s="22" t="n"/>
      <c r="AA375" s="22" t="n"/>
      <c r="AB375" s="22" t="n"/>
      <c r="AC375" s="29" t="n"/>
      <c r="AD375" s="30">
        <f>IF(A375="","",(COUNTA(A375:G375)+COUNTA(J375:AC375))/27)</f>
        <v/>
      </c>
      <c r="AE375" s="26">
        <f>IF(B375="","",WORKDAY(B375,3))</f>
        <v/>
      </c>
      <c r="AF375" s="26">
        <f>IF(B375="","",WORKDAY(B375,5))</f>
        <v/>
      </c>
      <c r="AG375" s="26">
        <f>IF(B375="","",WORKDAY(B375,10))</f>
        <v/>
      </c>
      <c r="AH375" s="26" t="n"/>
    </row>
    <row r="376">
      <c r="A376" s="22" t="n"/>
      <c r="B376" s="22" t="n"/>
      <c r="C376" s="26" t="n"/>
      <c r="D376" s="27" t="n"/>
      <c r="E376" s="22" t="n"/>
      <c r="F376" s="26" t="n"/>
      <c r="G376" s="22" t="n"/>
      <c r="H376" s="26">
        <f>IF(G376="","",IFERROR(VLOOKUP(G376,板块观察!A:Z,19,FALSE),""))</f>
        <v/>
      </c>
      <c r="I376" s="26">
        <f>IF(G376="","",IFERROR(VLOOKUP(G376,板块观察!A:Z,20,FALSE),""))</f>
        <v/>
      </c>
      <c r="J376" s="22" t="n"/>
      <c r="K376" s="22" t="n"/>
      <c r="L376" s="22" t="n"/>
      <c r="M376" s="22" t="n"/>
      <c r="N376" s="22" t="n"/>
      <c r="O376" s="22" t="n"/>
      <c r="P376" s="22" t="n"/>
      <c r="Q376" s="28" t="n"/>
      <c r="R376" s="22" t="n"/>
      <c r="S376" s="29" t="n"/>
      <c r="T376" s="29" t="n"/>
      <c r="U376" s="29" t="n"/>
      <c r="V376" s="22" t="n"/>
      <c r="W376" s="22" t="n"/>
      <c r="X376" s="22" t="n"/>
      <c r="Y376" s="22" t="n"/>
      <c r="Z376" s="22" t="n"/>
      <c r="AA376" s="22" t="n"/>
      <c r="AB376" s="22" t="n"/>
      <c r="AC376" s="29" t="n"/>
      <c r="AD376" s="30">
        <f>IF(A376="","",(COUNTA(A376:G376)+COUNTA(J376:AC376))/27)</f>
        <v/>
      </c>
      <c r="AE376" s="26">
        <f>IF(B376="","",WORKDAY(B376,3))</f>
        <v/>
      </c>
      <c r="AF376" s="26">
        <f>IF(B376="","",WORKDAY(B376,5))</f>
        <v/>
      </c>
      <c r="AG376" s="26">
        <f>IF(B376="","",WORKDAY(B376,10))</f>
        <v/>
      </c>
      <c r="AH376" s="26" t="n"/>
    </row>
    <row r="377">
      <c r="A377" s="22" t="n"/>
      <c r="B377" s="22" t="n"/>
      <c r="C377" s="26" t="n"/>
      <c r="D377" s="27" t="n"/>
      <c r="E377" s="22" t="n"/>
      <c r="F377" s="26" t="n"/>
      <c r="G377" s="22" t="n"/>
      <c r="H377" s="26">
        <f>IF(G377="","",IFERROR(VLOOKUP(G377,板块观察!A:Z,19,FALSE),""))</f>
        <v/>
      </c>
      <c r="I377" s="26">
        <f>IF(G377="","",IFERROR(VLOOKUP(G377,板块观察!A:Z,20,FALSE),""))</f>
        <v/>
      </c>
      <c r="J377" s="22" t="n"/>
      <c r="K377" s="22" t="n"/>
      <c r="L377" s="22" t="n"/>
      <c r="M377" s="22" t="n"/>
      <c r="N377" s="22" t="n"/>
      <c r="O377" s="22" t="n"/>
      <c r="P377" s="22" t="n"/>
      <c r="Q377" s="28" t="n"/>
      <c r="R377" s="22" t="n"/>
      <c r="S377" s="29" t="n"/>
      <c r="T377" s="29" t="n"/>
      <c r="U377" s="29" t="n"/>
      <c r="V377" s="22" t="n"/>
      <c r="W377" s="22" t="n"/>
      <c r="X377" s="22" t="n"/>
      <c r="Y377" s="22" t="n"/>
      <c r="Z377" s="22" t="n"/>
      <c r="AA377" s="22" t="n"/>
      <c r="AB377" s="22" t="n"/>
      <c r="AC377" s="29" t="n"/>
      <c r="AD377" s="30">
        <f>IF(A377="","",(COUNTA(A377:G377)+COUNTA(J377:AC377))/27)</f>
        <v/>
      </c>
      <c r="AE377" s="26">
        <f>IF(B377="","",WORKDAY(B377,3))</f>
        <v/>
      </c>
      <c r="AF377" s="26">
        <f>IF(B377="","",WORKDAY(B377,5))</f>
        <v/>
      </c>
      <c r="AG377" s="26">
        <f>IF(B377="","",WORKDAY(B377,10))</f>
        <v/>
      </c>
      <c r="AH377" s="26" t="n"/>
    </row>
    <row r="378">
      <c r="A378" s="22" t="n"/>
      <c r="B378" s="22" t="n"/>
      <c r="C378" s="26" t="n"/>
      <c r="D378" s="27" t="n"/>
      <c r="E378" s="22" t="n"/>
      <c r="F378" s="26" t="n"/>
      <c r="G378" s="22" t="n"/>
      <c r="H378" s="26">
        <f>IF(G378="","",IFERROR(VLOOKUP(G378,板块观察!A:Z,19,FALSE),""))</f>
        <v/>
      </c>
      <c r="I378" s="26">
        <f>IF(G378="","",IFERROR(VLOOKUP(G378,板块观察!A:Z,20,FALSE),""))</f>
        <v/>
      </c>
      <c r="J378" s="22" t="n"/>
      <c r="K378" s="22" t="n"/>
      <c r="L378" s="22" t="n"/>
      <c r="M378" s="22" t="n"/>
      <c r="N378" s="22" t="n"/>
      <c r="O378" s="22" t="n"/>
      <c r="P378" s="22" t="n"/>
      <c r="Q378" s="28" t="n"/>
      <c r="R378" s="22" t="n"/>
      <c r="S378" s="29" t="n"/>
      <c r="T378" s="29" t="n"/>
      <c r="U378" s="29" t="n"/>
      <c r="V378" s="22" t="n"/>
      <c r="W378" s="22" t="n"/>
      <c r="X378" s="22" t="n"/>
      <c r="Y378" s="22" t="n"/>
      <c r="Z378" s="22" t="n"/>
      <c r="AA378" s="22" t="n"/>
      <c r="AB378" s="22" t="n"/>
      <c r="AC378" s="29" t="n"/>
      <c r="AD378" s="30">
        <f>IF(A378="","",(COUNTA(A378:G378)+COUNTA(J378:AC378))/27)</f>
        <v/>
      </c>
      <c r="AE378" s="26">
        <f>IF(B378="","",WORKDAY(B378,3))</f>
        <v/>
      </c>
      <c r="AF378" s="26">
        <f>IF(B378="","",WORKDAY(B378,5))</f>
        <v/>
      </c>
      <c r="AG378" s="26">
        <f>IF(B378="","",WORKDAY(B378,10))</f>
        <v/>
      </c>
      <c r="AH378" s="26" t="n"/>
    </row>
    <row r="379">
      <c r="A379" s="22" t="n"/>
      <c r="B379" s="22" t="n"/>
      <c r="C379" s="26" t="n"/>
      <c r="D379" s="27" t="n"/>
      <c r="E379" s="22" t="n"/>
      <c r="F379" s="26" t="n"/>
      <c r="G379" s="22" t="n"/>
      <c r="H379" s="26">
        <f>IF(G379="","",IFERROR(VLOOKUP(G379,板块观察!A:Z,19,FALSE),""))</f>
        <v/>
      </c>
      <c r="I379" s="26">
        <f>IF(G379="","",IFERROR(VLOOKUP(G379,板块观察!A:Z,20,FALSE),""))</f>
        <v/>
      </c>
      <c r="J379" s="22" t="n"/>
      <c r="K379" s="22" t="n"/>
      <c r="L379" s="22" t="n"/>
      <c r="M379" s="22" t="n"/>
      <c r="N379" s="22" t="n"/>
      <c r="O379" s="22" t="n"/>
      <c r="P379" s="22" t="n"/>
      <c r="Q379" s="28" t="n"/>
      <c r="R379" s="22" t="n"/>
      <c r="S379" s="29" t="n"/>
      <c r="T379" s="29" t="n"/>
      <c r="U379" s="29" t="n"/>
      <c r="V379" s="22" t="n"/>
      <c r="W379" s="22" t="n"/>
      <c r="X379" s="22" t="n"/>
      <c r="Y379" s="22" t="n"/>
      <c r="Z379" s="22" t="n"/>
      <c r="AA379" s="22" t="n"/>
      <c r="AB379" s="22" t="n"/>
      <c r="AC379" s="29" t="n"/>
      <c r="AD379" s="30">
        <f>IF(A379="","",(COUNTA(A379:G379)+COUNTA(J379:AC379))/27)</f>
        <v/>
      </c>
      <c r="AE379" s="26">
        <f>IF(B379="","",WORKDAY(B379,3))</f>
        <v/>
      </c>
      <c r="AF379" s="26">
        <f>IF(B379="","",WORKDAY(B379,5))</f>
        <v/>
      </c>
      <c r="AG379" s="26">
        <f>IF(B379="","",WORKDAY(B379,10))</f>
        <v/>
      </c>
      <c r="AH379" s="26" t="n"/>
    </row>
    <row r="380">
      <c r="A380" s="22" t="n"/>
      <c r="B380" s="22" t="n"/>
      <c r="C380" s="26" t="n"/>
      <c r="D380" s="27" t="n"/>
      <c r="E380" s="22" t="n"/>
      <c r="F380" s="26" t="n"/>
      <c r="G380" s="22" t="n"/>
      <c r="H380" s="26">
        <f>IF(G380="","",IFERROR(VLOOKUP(G380,板块观察!A:Z,19,FALSE),""))</f>
        <v/>
      </c>
      <c r="I380" s="26">
        <f>IF(G380="","",IFERROR(VLOOKUP(G380,板块观察!A:Z,20,FALSE),""))</f>
        <v/>
      </c>
      <c r="J380" s="22" t="n"/>
      <c r="K380" s="22" t="n"/>
      <c r="L380" s="22" t="n"/>
      <c r="M380" s="22" t="n"/>
      <c r="N380" s="22" t="n"/>
      <c r="O380" s="22" t="n"/>
      <c r="P380" s="22" t="n"/>
      <c r="Q380" s="28" t="n"/>
      <c r="R380" s="22" t="n"/>
      <c r="S380" s="29" t="n"/>
      <c r="T380" s="29" t="n"/>
      <c r="U380" s="29" t="n"/>
      <c r="V380" s="22" t="n"/>
      <c r="W380" s="22" t="n"/>
      <c r="X380" s="22" t="n"/>
      <c r="Y380" s="22" t="n"/>
      <c r="Z380" s="22" t="n"/>
      <c r="AA380" s="22" t="n"/>
      <c r="AB380" s="22" t="n"/>
      <c r="AC380" s="29" t="n"/>
      <c r="AD380" s="30">
        <f>IF(A380="","",(COUNTA(A380:G380)+COUNTA(J380:AC380))/27)</f>
        <v/>
      </c>
      <c r="AE380" s="26">
        <f>IF(B380="","",WORKDAY(B380,3))</f>
        <v/>
      </c>
      <c r="AF380" s="26">
        <f>IF(B380="","",WORKDAY(B380,5))</f>
        <v/>
      </c>
      <c r="AG380" s="26">
        <f>IF(B380="","",WORKDAY(B380,10))</f>
        <v/>
      </c>
      <c r="AH380" s="26" t="n"/>
    </row>
    <row r="381">
      <c r="A381" s="22" t="n"/>
      <c r="B381" s="22" t="n"/>
      <c r="C381" s="26" t="n"/>
      <c r="D381" s="27" t="n"/>
      <c r="E381" s="22" t="n"/>
      <c r="F381" s="26" t="n"/>
      <c r="G381" s="22" t="n"/>
      <c r="H381" s="26">
        <f>IF(G381="","",IFERROR(VLOOKUP(G381,板块观察!A:Z,19,FALSE),""))</f>
        <v/>
      </c>
      <c r="I381" s="26">
        <f>IF(G381="","",IFERROR(VLOOKUP(G381,板块观察!A:Z,20,FALSE),""))</f>
        <v/>
      </c>
      <c r="J381" s="22" t="n"/>
      <c r="K381" s="22" t="n"/>
      <c r="L381" s="22" t="n"/>
      <c r="M381" s="22" t="n"/>
      <c r="N381" s="22" t="n"/>
      <c r="O381" s="22" t="n"/>
      <c r="P381" s="22" t="n"/>
      <c r="Q381" s="28" t="n"/>
      <c r="R381" s="22" t="n"/>
      <c r="S381" s="29" t="n"/>
      <c r="T381" s="29" t="n"/>
      <c r="U381" s="29" t="n"/>
      <c r="V381" s="22" t="n"/>
      <c r="W381" s="22" t="n"/>
      <c r="X381" s="22" t="n"/>
      <c r="Y381" s="22" t="n"/>
      <c r="Z381" s="22" t="n"/>
      <c r="AA381" s="22" t="n"/>
      <c r="AB381" s="22" t="n"/>
      <c r="AC381" s="29" t="n"/>
      <c r="AD381" s="30">
        <f>IF(A381="","",(COUNTA(A381:G381)+COUNTA(J381:AC381))/27)</f>
        <v/>
      </c>
      <c r="AE381" s="26">
        <f>IF(B381="","",WORKDAY(B381,3))</f>
        <v/>
      </c>
      <c r="AF381" s="26">
        <f>IF(B381="","",WORKDAY(B381,5))</f>
        <v/>
      </c>
      <c r="AG381" s="26">
        <f>IF(B381="","",WORKDAY(B381,10))</f>
        <v/>
      </c>
      <c r="AH381" s="26" t="n"/>
    </row>
    <row r="382">
      <c r="A382" s="22" t="n"/>
      <c r="B382" s="22" t="n"/>
      <c r="C382" s="26" t="n"/>
      <c r="D382" s="27" t="n"/>
      <c r="E382" s="22" t="n"/>
      <c r="F382" s="26" t="n"/>
      <c r="G382" s="22" t="n"/>
      <c r="H382" s="26">
        <f>IF(G382="","",IFERROR(VLOOKUP(G382,板块观察!A:Z,19,FALSE),""))</f>
        <v/>
      </c>
      <c r="I382" s="26">
        <f>IF(G382="","",IFERROR(VLOOKUP(G382,板块观察!A:Z,20,FALSE),""))</f>
        <v/>
      </c>
      <c r="J382" s="22" t="n"/>
      <c r="K382" s="22" t="n"/>
      <c r="L382" s="22" t="n"/>
      <c r="M382" s="22" t="n"/>
      <c r="N382" s="22" t="n"/>
      <c r="O382" s="22" t="n"/>
      <c r="P382" s="22" t="n"/>
      <c r="Q382" s="28" t="n"/>
      <c r="R382" s="22" t="n"/>
      <c r="S382" s="29" t="n"/>
      <c r="T382" s="29" t="n"/>
      <c r="U382" s="29" t="n"/>
      <c r="V382" s="22" t="n"/>
      <c r="W382" s="22" t="n"/>
      <c r="X382" s="22" t="n"/>
      <c r="Y382" s="22" t="n"/>
      <c r="Z382" s="22" t="n"/>
      <c r="AA382" s="22" t="n"/>
      <c r="AB382" s="22" t="n"/>
      <c r="AC382" s="29" t="n"/>
      <c r="AD382" s="30">
        <f>IF(A382="","",(COUNTA(A382:G382)+COUNTA(J382:AC382))/27)</f>
        <v/>
      </c>
      <c r="AE382" s="26">
        <f>IF(B382="","",WORKDAY(B382,3))</f>
        <v/>
      </c>
      <c r="AF382" s="26">
        <f>IF(B382="","",WORKDAY(B382,5))</f>
        <v/>
      </c>
      <c r="AG382" s="26">
        <f>IF(B382="","",WORKDAY(B382,10))</f>
        <v/>
      </c>
      <c r="AH382" s="26" t="n"/>
    </row>
    <row r="383">
      <c r="A383" s="22" t="n"/>
      <c r="B383" s="22" t="n"/>
      <c r="C383" s="26" t="n"/>
      <c r="D383" s="27" t="n"/>
      <c r="E383" s="22" t="n"/>
      <c r="F383" s="26" t="n"/>
      <c r="G383" s="22" t="n"/>
      <c r="H383" s="26">
        <f>IF(G383="","",IFERROR(VLOOKUP(G383,板块观察!A:Z,19,FALSE),""))</f>
        <v/>
      </c>
      <c r="I383" s="26">
        <f>IF(G383="","",IFERROR(VLOOKUP(G383,板块观察!A:Z,20,FALSE),""))</f>
        <v/>
      </c>
      <c r="J383" s="22" t="n"/>
      <c r="K383" s="22" t="n"/>
      <c r="L383" s="22" t="n"/>
      <c r="M383" s="22" t="n"/>
      <c r="N383" s="22" t="n"/>
      <c r="O383" s="22" t="n"/>
      <c r="P383" s="22" t="n"/>
      <c r="Q383" s="28" t="n"/>
      <c r="R383" s="22" t="n"/>
      <c r="S383" s="29" t="n"/>
      <c r="T383" s="29" t="n"/>
      <c r="U383" s="29" t="n"/>
      <c r="V383" s="22" t="n"/>
      <c r="W383" s="22" t="n"/>
      <c r="X383" s="22" t="n"/>
      <c r="Y383" s="22" t="n"/>
      <c r="Z383" s="22" t="n"/>
      <c r="AA383" s="22" t="n"/>
      <c r="AB383" s="22" t="n"/>
      <c r="AC383" s="29" t="n"/>
      <c r="AD383" s="30">
        <f>IF(A383="","",(COUNTA(A383:G383)+COUNTA(J383:AC383))/27)</f>
        <v/>
      </c>
      <c r="AE383" s="26">
        <f>IF(B383="","",WORKDAY(B383,3))</f>
        <v/>
      </c>
      <c r="AF383" s="26">
        <f>IF(B383="","",WORKDAY(B383,5))</f>
        <v/>
      </c>
      <c r="AG383" s="26">
        <f>IF(B383="","",WORKDAY(B383,10))</f>
        <v/>
      </c>
      <c r="AH383" s="26" t="n"/>
    </row>
    <row r="384">
      <c r="A384" s="22" t="n"/>
      <c r="B384" s="22" t="n"/>
      <c r="C384" s="26" t="n"/>
      <c r="D384" s="27" t="n"/>
      <c r="E384" s="22" t="n"/>
      <c r="F384" s="26" t="n"/>
      <c r="G384" s="22" t="n"/>
      <c r="H384" s="26">
        <f>IF(G384="","",IFERROR(VLOOKUP(G384,板块观察!A:Z,19,FALSE),""))</f>
        <v/>
      </c>
      <c r="I384" s="26">
        <f>IF(G384="","",IFERROR(VLOOKUP(G384,板块观察!A:Z,20,FALSE),""))</f>
        <v/>
      </c>
      <c r="J384" s="22" t="n"/>
      <c r="K384" s="22" t="n"/>
      <c r="L384" s="22" t="n"/>
      <c r="M384" s="22" t="n"/>
      <c r="N384" s="22" t="n"/>
      <c r="O384" s="22" t="n"/>
      <c r="P384" s="22" t="n"/>
      <c r="Q384" s="28" t="n"/>
      <c r="R384" s="22" t="n"/>
      <c r="S384" s="29" t="n"/>
      <c r="T384" s="29" t="n"/>
      <c r="U384" s="29" t="n"/>
      <c r="V384" s="22" t="n"/>
      <c r="W384" s="22" t="n"/>
      <c r="X384" s="22" t="n"/>
      <c r="Y384" s="22" t="n"/>
      <c r="Z384" s="22" t="n"/>
      <c r="AA384" s="22" t="n"/>
      <c r="AB384" s="22" t="n"/>
      <c r="AC384" s="29" t="n"/>
      <c r="AD384" s="30">
        <f>IF(A384="","",(COUNTA(A384:G384)+COUNTA(J384:AC384))/27)</f>
        <v/>
      </c>
      <c r="AE384" s="26">
        <f>IF(B384="","",WORKDAY(B384,3))</f>
        <v/>
      </c>
      <c r="AF384" s="26">
        <f>IF(B384="","",WORKDAY(B384,5))</f>
        <v/>
      </c>
      <c r="AG384" s="26">
        <f>IF(B384="","",WORKDAY(B384,10))</f>
        <v/>
      </c>
      <c r="AH384" s="26" t="n"/>
    </row>
    <row r="385">
      <c r="A385" s="22" t="n"/>
      <c r="B385" s="22" t="n"/>
      <c r="C385" s="26" t="n"/>
      <c r="D385" s="27" t="n"/>
      <c r="E385" s="22" t="n"/>
      <c r="F385" s="26" t="n"/>
      <c r="G385" s="22" t="n"/>
      <c r="H385" s="26">
        <f>IF(G385="","",IFERROR(VLOOKUP(G385,板块观察!A:Z,19,FALSE),""))</f>
        <v/>
      </c>
      <c r="I385" s="26">
        <f>IF(G385="","",IFERROR(VLOOKUP(G385,板块观察!A:Z,20,FALSE),""))</f>
        <v/>
      </c>
      <c r="J385" s="22" t="n"/>
      <c r="K385" s="22" t="n"/>
      <c r="L385" s="22" t="n"/>
      <c r="M385" s="22" t="n"/>
      <c r="N385" s="22" t="n"/>
      <c r="O385" s="22" t="n"/>
      <c r="P385" s="22" t="n"/>
      <c r="Q385" s="28" t="n"/>
      <c r="R385" s="22" t="n"/>
      <c r="S385" s="29" t="n"/>
      <c r="T385" s="29" t="n"/>
      <c r="U385" s="29" t="n"/>
      <c r="V385" s="22" t="n"/>
      <c r="W385" s="22" t="n"/>
      <c r="X385" s="22" t="n"/>
      <c r="Y385" s="22" t="n"/>
      <c r="Z385" s="22" t="n"/>
      <c r="AA385" s="22" t="n"/>
      <c r="AB385" s="22" t="n"/>
      <c r="AC385" s="29" t="n"/>
      <c r="AD385" s="30">
        <f>IF(A385="","",(COUNTA(A385:G385)+COUNTA(J385:AC385))/27)</f>
        <v/>
      </c>
      <c r="AE385" s="26">
        <f>IF(B385="","",WORKDAY(B385,3))</f>
        <v/>
      </c>
      <c r="AF385" s="26">
        <f>IF(B385="","",WORKDAY(B385,5))</f>
        <v/>
      </c>
      <c r="AG385" s="26">
        <f>IF(B385="","",WORKDAY(B385,10))</f>
        <v/>
      </c>
      <c r="AH385" s="26" t="n"/>
    </row>
    <row r="386">
      <c r="A386" s="22" t="n"/>
      <c r="B386" s="22" t="n"/>
      <c r="C386" s="26" t="n"/>
      <c r="D386" s="27" t="n"/>
      <c r="E386" s="22" t="n"/>
      <c r="F386" s="26" t="n"/>
      <c r="G386" s="22" t="n"/>
      <c r="H386" s="26">
        <f>IF(G386="","",IFERROR(VLOOKUP(G386,板块观察!A:Z,19,FALSE),""))</f>
        <v/>
      </c>
      <c r="I386" s="26">
        <f>IF(G386="","",IFERROR(VLOOKUP(G386,板块观察!A:Z,20,FALSE),""))</f>
        <v/>
      </c>
      <c r="J386" s="22" t="n"/>
      <c r="K386" s="22" t="n"/>
      <c r="L386" s="22" t="n"/>
      <c r="M386" s="22" t="n"/>
      <c r="N386" s="22" t="n"/>
      <c r="O386" s="22" t="n"/>
      <c r="P386" s="22" t="n"/>
      <c r="Q386" s="28" t="n"/>
      <c r="R386" s="22" t="n"/>
      <c r="S386" s="29" t="n"/>
      <c r="T386" s="29" t="n"/>
      <c r="U386" s="29" t="n"/>
      <c r="V386" s="22" t="n"/>
      <c r="W386" s="22" t="n"/>
      <c r="X386" s="22" t="n"/>
      <c r="Y386" s="22" t="n"/>
      <c r="Z386" s="22" t="n"/>
      <c r="AA386" s="22" t="n"/>
      <c r="AB386" s="22" t="n"/>
      <c r="AC386" s="29" t="n"/>
      <c r="AD386" s="30">
        <f>IF(A386="","",(COUNTA(A386:G386)+COUNTA(J386:AC386))/27)</f>
        <v/>
      </c>
      <c r="AE386" s="26">
        <f>IF(B386="","",WORKDAY(B386,3))</f>
        <v/>
      </c>
      <c r="AF386" s="26">
        <f>IF(B386="","",WORKDAY(B386,5))</f>
        <v/>
      </c>
      <c r="AG386" s="26">
        <f>IF(B386="","",WORKDAY(B386,10))</f>
        <v/>
      </c>
      <c r="AH386" s="26" t="n"/>
    </row>
    <row r="387">
      <c r="A387" s="22" t="n"/>
      <c r="B387" s="22" t="n"/>
      <c r="C387" s="26" t="n"/>
      <c r="D387" s="27" t="n"/>
      <c r="E387" s="22" t="n"/>
      <c r="F387" s="26" t="n"/>
      <c r="G387" s="22" t="n"/>
      <c r="H387" s="26">
        <f>IF(G387="","",IFERROR(VLOOKUP(G387,板块观察!A:Z,19,FALSE),""))</f>
        <v/>
      </c>
      <c r="I387" s="26">
        <f>IF(G387="","",IFERROR(VLOOKUP(G387,板块观察!A:Z,20,FALSE),""))</f>
        <v/>
      </c>
      <c r="J387" s="22" t="n"/>
      <c r="K387" s="22" t="n"/>
      <c r="L387" s="22" t="n"/>
      <c r="M387" s="22" t="n"/>
      <c r="N387" s="22" t="n"/>
      <c r="O387" s="22" t="n"/>
      <c r="P387" s="22" t="n"/>
      <c r="Q387" s="28" t="n"/>
      <c r="R387" s="22" t="n"/>
      <c r="S387" s="29" t="n"/>
      <c r="T387" s="29" t="n"/>
      <c r="U387" s="29" t="n"/>
      <c r="V387" s="22" t="n"/>
      <c r="W387" s="22" t="n"/>
      <c r="X387" s="22" t="n"/>
      <c r="Y387" s="22" t="n"/>
      <c r="Z387" s="22" t="n"/>
      <c r="AA387" s="22" t="n"/>
      <c r="AB387" s="22" t="n"/>
      <c r="AC387" s="29" t="n"/>
      <c r="AD387" s="30">
        <f>IF(A387="","",(COUNTA(A387:G387)+COUNTA(J387:AC387))/27)</f>
        <v/>
      </c>
      <c r="AE387" s="26">
        <f>IF(B387="","",WORKDAY(B387,3))</f>
        <v/>
      </c>
      <c r="AF387" s="26">
        <f>IF(B387="","",WORKDAY(B387,5))</f>
        <v/>
      </c>
      <c r="AG387" s="26">
        <f>IF(B387="","",WORKDAY(B387,10))</f>
        <v/>
      </c>
      <c r="AH387" s="26" t="n"/>
    </row>
    <row r="388">
      <c r="A388" s="22" t="n"/>
      <c r="B388" s="22" t="n"/>
      <c r="C388" s="26" t="n"/>
      <c r="D388" s="27" t="n"/>
      <c r="E388" s="22" t="n"/>
      <c r="F388" s="26" t="n"/>
      <c r="G388" s="22" t="n"/>
      <c r="H388" s="26">
        <f>IF(G388="","",IFERROR(VLOOKUP(G388,板块观察!A:Z,19,FALSE),""))</f>
        <v/>
      </c>
      <c r="I388" s="26">
        <f>IF(G388="","",IFERROR(VLOOKUP(G388,板块观察!A:Z,20,FALSE),""))</f>
        <v/>
      </c>
      <c r="J388" s="22" t="n"/>
      <c r="K388" s="22" t="n"/>
      <c r="L388" s="22" t="n"/>
      <c r="M388" s="22" t="n"/>
      <c r="N388" s="22" t="n"/>
      <c r="O388" s="22" t="n"/>
      <c r="P388" s="22" t="n"/>
      <c r="Q388" s="28" t="n"/>
      <c r="R388" s="22" t="n"/>
      <c r="S388" s="29" t="n"/>
      <c r="T388" s="29" t="n"/>
      <c r="U388" s="29" t="n"/>
      <c r="V388" s="22" t="n"/>
      <c r="W388" s="22" t="n"/>
      <c r="X388" s="22" t="n"/>
      <c r="Y388" s="22" t="n"/>
      <c r="Z388" s="22" t="n"/>
      <c r="AA388" s="22" t="n"/>
      <c r="AB388" s="22" t="n"/>
      <c r="AC388" s="29" t="n"/>
      <c r="AD388" s="30">
        <f>IF(A388="","",(COUNTA(A388:G388)+COUNTA(J388:AC388))/27)</f>
        <v/>
      </c>
      <c r="AE388" s="26">
        <f>IF(B388="","",WORKDAY(B388,3))</f>
        <v/>
      </c>
      <c r="AF388" s="26">
        <f>IF(B388="","",WORKDAY(B388,5))</f>
        <v/>
      </c>
      <c r="AG388" s="26">
        <f>IF(B388="","",WORKDAY(B388,10))</f>
        <v/>
      </c>
      <c r="AH388" s="26" t="n"/>
    </row>
    <row r="389">
      <c r="A389" s="22" t="n"/>
      <c r="B389" s="22" t="n"/>
      <c r="C389" s="26" t="n"/>
      <c r="D389" s="27" t="n"/>
      <c r="E389" s="22" t="n"/>
      <c r="F389" s="26" t="n"/>
      <c r="G389" s="22" t="n"/>
      <c r="H389" s="26">
        <f>IF(G389="","",IFERROR(VLOOKUP(G389,板块观察!A:Z,19,FALSE),""))</f>
        <v/>
      </c>
      <c r="I389" s="26">
        <f>IF(G389="","",IFERROR(VLOOKUP(G389,板块观察!A:Z,20,FALSE),""))</f>
        <v/>
      </c>
      <c r="J389" s="22" t="n"/>
      <c r="K389" s="22" t="n"/>
      <c r="L389" s="22" t="n"/>
      <c r="M389" s="22" t="n"/>
      <c r="N389" s="22" t="n"/>
      <c r="O389" s="22" t="n"/>
      <c r="P389" s="22" t="n"/>
      <c r="Q389" s="28" t="n"/>
      <c r="R389" s="22" t="n"/>
      <c r="S389" s="29" t="n"/>
      <c r="T389" s="29" t="n"/>
      <c r="U389" s="29" t="n"/>
      <c r="V389" s="22" t="n"/>
      <c r="W389" s="22" t="n"/>
      <c r="X389" s="22" t="n"/>
      <c r="Y389" s="22" t="n"/>
      <c r="Z389" s="22" t="n"/>
      <c r="AA389" s="22" t="n"/>
      <c r="AB389" s="22" t="n"/>
      <c r="AC389" s="29" t="n"/>
      <c r="AD389" s="30">
        <f>IF(A389="","",(COUNTA(A389:G389)+COUNTA(J389:AC389))/27)</f>
        <v/>
      </c>
      <c r="AE389" s="26">
        <f>IF(B389="","",WORKDAY(B389,3))</f>
        <v/>
      </c>
      <c r="AF389" s="26">
        <f>IF(B389="","",WORKDAY(B389,5))</f>
        <v/>
      </c>
      <c r="AG389" s="26">
        <f>IF(B389="","",WORKDAY(B389,10))</f>
        <v/>
      </c>
      <c r="AH389" s="26" t="n"/>
    </row>
    <row r="390">
      <c r="A390" s="22" t="n"/>
      <c r="B390" s="22" t="n"/>
      <c r="C390" s="26" t="n"/>
      <c r="D390" s="27" t="n"/>
      <c r="E390" s="22" t="n"/>
      <c r="F390" s="26" t="n"/>
      <c r="G390" s="22" t="n"/>
      <c r="H390" s="26">
        <f>IF(G390="","",IFERROR(VLOOKUP(G390,板块观察!A:Z,19,FALSE),""))</f>
        <v/>
      </c>
      <c r="I390" s="26">
        <f>IF(G390="","",IFERROR(VLOOKUP(G390,板块观察!A:Z,20,FALSE),""))</f>
        <v/>
      </c>
      <c r="J390" s="22" t="n"/>
      <c r="K390" s="22" t="n"/>
      <c r="L390" s="22" t="n"/>
      <c r="M390" s="22" t="n"/>
      <c r="N390" s="22" t="n"/>
      <c r="O390" s="22" t="n"/>
      <c r="P390" s="22" t="n"/>
      <c r="Q390" s="28" t="n"/>
      <c r="R390" s="22" t="n"/>
      <c r="S390" s="29" t="n"/>
      <c r="T390" s="29" t="n"/>
      <c r="U390" s="29" t="n"/>
      <c r="V390" s="22" t="n"/>
      <c r="W390" s="22" t="n"/>
      <c r="X390" s="22" t="n"/>
      <c r="Y390" s="22" t="n"/>
      <c r="Z390" s="22" t="n"/>
      <c r="AA390" s="22" t="n"/>
      <c r="AB390" s="22" t="n"/>
      <c r="AC390" s="29" t="n"/>
      <c r="AD390" s="30">
        <f>IF(A390="","",(COUNTA(A390:G390)+COUNTA(J390:AC390))/27)</f>
        <v/>
      </c>
      <c r="AE390" s="26">
        <f>IF(B390="","",WORKDAY(B390,3))</f>
        <v/>
      </c>
      <c r="AF390" s="26">
        <f>IF(B390="","",WORKDAY(B390,5))</f>
        <v/>
      </c>
      <c r="AG390" s="26">
        <f>IF(B390="","",WORKDAY(B390,10))</f>
        <v/>
      </c>
      <c r="AH390" s="26" t="n"/>
    </row>
    <row r="391">
      <c r="A391" s="22" t="n"/>
      <c r="B391" s="22" t="n"/>
      <c r="C391" s="26" t="n"/>
      <c r="D391" s="27" t="n"/>
      <c r="E391" s="22" t="n"/>
      <c r="F391" s="26" t="n"/>
      <c r="G391" s="22" t="n"/>
      <c r="H391" s="26">
        <f>IF(G391="","",IFERROR(VLOOKUP(G391,板块观察!A:Z,19,FALSE),""))</f>
        <v/>
      </c>
      <c r="I391" s="26">
        <f>IF(G391="","",IFERROR(VLOOKUP(G391,板块观察!A:Z,20,FALSE),""))</f>
        <v/>
      </c>
      <c r="J391" s="22" t="n"/>
      <c r="K391" s="22" t="n"/>
      <c r="L391" s="22" t="n"/>
      <c r="M391" s="22" t="n"/>
      <c r="N391" s="22" t="n"/>
      <c r="O391" s="22" t="n"/>
      <c r="P391" s="22" t="n"/>
      <c r="Q391" s="28" t="n"/>
      <c r="R391" s="22" t="n"/>
      <c r="S391" s="29" t="n"/>
      <c r="T391" s="29" t="n"/>
      <c r="U391" s="29" t="n"/>
      <c r="V391" s="22" t="n"/>
      <c r="W391" s="22" t="n"/>
      <c r="X391" s="22" t="n"/>
      <c r="Y391" s="22" t="n"/>
      <c r="Z391" s="22" t="n"/>
      <c r="AA391" s="22" t="n"/>
      <c r="AB391" s="22" t="n"/>
      <c r="AC391" s="29" t="n"/>
      <c r="AD391" s="30">
        <f>IF(A391="","",(COUNTA(A391:G391)+COUNTA(J391:AC391))/27)</f>
        <v/>
      </c>
      <c r="AE391" s="26">
        <f>IF(B391="","",WORKDAY(B391,3))</f>
        <v/>
      </c>
      <c r="AF391" s="26">
        <f>IF(B391="","",WORKDAY(B391,5))</f>
        <v/>
      </c>
      <c r="AG391" s="26">
        <f>IF(B391="","",WORKDAY(B391,10))</f>
        <v/>
      </c>
      <c r="AH391" s="26" t="n"/>
    </row>
    <row r="392">
      <c r="A392" s="22" t="n"/>
      <c r="B392" s="22" t="n"/>
      <c r="C392" s="26" t="n"/>
      <c r="D392" s="27" t="n"/>
      <c r="E392" s="22" t="n"/>
      <c r="F392" s="26" t="n"/>
      <c r="G392" s="22" t="n"/>
      <c r="H392" s="26">
        <f>IF(G392="","",IFERROR(VLOOKUP(G392,板块观察!A:Z,19,FALSE),""))</f>
        <v/>
      </c>
      <c r="I392" s="26">
        <f>IF(G392="","",IFERROR(VLOOKUP(G392,板块观察!A:Z,20,FALSE),""))</f>
        <v/>
      </c>
      <c r="J392" s="22" t="n"/>
      <c r="K392" s="22" t="n"/>
      <c r="L392" s="22" t="n"/>
      <c r="M392" s="22" t="n"/>
      <c r="N392" s="22" t="n"/>
      <c r="O392" s="22" t="n"/>
      <c r="P392" s="22" t="n"/>
      <c r="Q392" s="28" t="n"/>
      <c r="R392" s="22" t="n"/>
      <c r="S392" s="29" t="n"/>
      <c r="T392" s="29" t="n"/>
      <c r="U392" s="29" t="n"/>
      <c r="V392" s="22" t="n"/>
      <c r="W392" s="22" t="n"/>
      <c r="X392" s="22" t="n"/>
      <c r="Y392" s="22" t="n"/>
      <c r="Z392" s="22" t="n"/>
      <c r="AA392" s="22" t="n"/>
      <c r="AB392" s="22" t="n"/>
      <c r="AC392" s="29" t="n"/>
      <c r="AD392" s="30">
        <f>IF(A392="","",(COUNTA(A392:G392)+COUNTA(J392:AC392))/27)</f>
        <v/>
      </c>
      <c r="AE392" s="26">
        <f>IF(B392="","",WORKDAY(B392,3))</f>
        <v/>
      </c>
      <c r="AF392" s="26">
        <f>IF(B392="","",WORKDAY(B392,5))</f>
        <v/>
      </c>
      <c r="AG392" s="26">
        <f>IF(B392="","",WORKDAY(B392,10))</f>
        <v/>
      </c>
      <c r="AH392" s="26" t="n"/>
    </row>
    <row r="393">
      <c r="A393" s="22" t="n"/>
      <c r="B393" s="22" t="n"/>
      <c r="C393" s="26" t="n"/>
      <c r="D393" s="27" t="n"/>
      <c r="E393" s="22" t="n"/>
      <c r="F393" s="26" t="n"/>
      <c r="G393" s="22" t="n"/>
      <c r="H393" s="26">
        <f>IF(G393="","",IFERROR(VLOOKUP(G393,板块观察!A:Z,19,FALSE),""))</f>
        <v/>
      </c>
      <c r="I393" s="26">
        <f>IF(G393="","",IFERROR(VLOOKUP(G393,板块观察!A:Z,20,FALSE),""))</f>
        <v/>
      </c>
      <c r="J393" s="22" t="n"/>
      <c r="K393" s="22" t="n"/>
      <c r="L393" s="22" t="n"/>
      <c r="M393" s="22" t="n"/>
      <c r="N393" s="22" t="n"/>
      <c r="O393" s="22" t="n"/>
      <c r="P393" s="22" t="n"/>
      <c r="Q393" s="28" t="n"/>
      <c r="R393" s="22" t="n"/>
      <c r="S393" s="29" t="n"/>
      <c r="T393" s="29" t="n"/>
      <c r="U393" s="29" t="n"/>
      <c r="V393" s="22" t="n"/>
      <c r="W393" s="22" t="n"/>
      <c r="X393" s="22" t="n"/>
      <c r="Y393" s="22" t="n"/>
      <c r="Z393" s="22" t="n"/>
      <c r="AA393" s="22" t="n"/>
      <c r="AB393" s="22" t="n"/>
      <c r="AC393" s="29" t="n"/>
      <c r="AD393" s="30">
        <f>IF(A393="","",(COUNTA(A393:G393)+COUNTA(J393:AC393))/27)</f>
        <v/>
      </c>
      <c r="AE393" s="26">
        <f>IF(B393="","",WORKDAY(B393,3))</f>
        <v/>
      </c>
      <c r="AF393" s="26">
        <f>IF(B393="","",WORKDAY(B393,5))</f>
        <v/>
      </c>
      <c r="AG393" s="26">
        <f>IF(B393="","",WORKDAY(B393,10))</f>
        <v/>
      </c>
      <c r="AH393" s="26" t="n"/>
    </row>
    <row r="394">
      <c r="A394" s="22" t="n"/>
      <c r="B394" s="22" t="n"/>
      <c r="C394" s="26" t="n"/>
      <c r="D394" s="27" t="n"/>
      <c r="E394" s="22" t="n"/>
      <c r="F394" s="26" t="n"/>
      <c r="G394" s="22" t="n"/>
      <c r="H394" s="26">
        <f>IF(G394="","",IFERROR(VLOOKUP(G394,板块观察!A:Z,19,FALSE),""))</f>
        <v/>
      </c>
      <c r="I394" s="26">
        <f>IF(G394="","",IFERROR(VLOOKUP(G394,板块观察!A:Z,20,FALSE),""))</f>
        <v/>
      </c>
      <c r="J394" s="22" t="n"/>
      <c r="K394" s="22" t="n"/>
      <c r="L394" s="22" t="n"/>
      <c r="M394" s="22" t="n"/>
      <c r="N394" s="22" t="n"/>
      <c r="O394" s="22" t="n"/>
      <c r="P394" s="22" t="n"/>
      <c r="Q394" s="28" t="n"/>
      <c r="R394" s="22" t="n"/>
      <c r="S394" s="29" t="n"/>
      <c r="T394" s="29" t="n"/>
      <c r="U394" s="29" t="n"/>
      <c r="V394" s="22" t="n"/>
      <c r="W394" s="22" t="n"/>
      <c r="X394" s="22" t="n"/>
      <c r="Y394" s="22" t="n"/>
      <c r="Z394" s="22" t="n"/>
      <c r="AA394" s="22" t="n"/>
      <c r="AB394" s="22" t="n"/>
      <c r="AC394" s="29" t="n"/>
      <c r="AD394" s="30">
        <f>IF(A394="","",(COUNTA(A394:G394)+COUNTA(J394:AC394))/27)</f>
        <v/>
      </c>
      <c r="AE394" s="26">
        <f>IF(B394="","",WORKDAY(B394,3))</f>
        <v/>
      </c>
      <c r="AF394" s="26">
        <f>IF(B394="","",WORKDAY(B394,5))</f>
        <v/>
      </c>
      <c r="AG394" s="26">
        <f>IF(B394="","",WORKDAY(B394,10))</f>
        <v/>
      </c>
      <c r="AH394" s="26" t="n"/>
    </row>
    <row r="395">
      <c r="A395" s="22" t="n"/>
      <c r="B395" s="22" t="n"/>
      <c r="C395" s="26" t="n"/>
      <c r="D395" s="27" t="n"/>
      <c r="E395" s="22" t="n"/>
      <c r="F395" s="26" t="n"/>
      <c r="G395" s="22" t="n"/>
      <c r="H395" s="26">
        <f>IF(G395="","",IFERROR(VLOOKUP(G395,板块观察!A:Z,19,FALSE),""))</f>
        <v/>
      </c>
      <c r="I395" s="26">
        <f>IF(G395="","",IFERROR(VLOOKUP(G395,板块观察!A:Z,20,FALSE),""))</f>
        <v/>
      </c>
      <c r="J395" s="22" t="n"/>
      <c r="K395" s="22" t="n"/>
      <c r="L395" s="22" t="n"/>
      <c r="M395" s="22" t="n"/>
      <c r="N395" s="22" t="n"/>
      <c r="O395" s="22" t="n"/>
      <c r="P395" s="22" t="n"/>
      <c r="Q395" s="28" t="n"/>
      <c r="R395" s="22" t="n"/>
      <c r="S395" s="29" t="n"/>
      <c r="T395" s="29" t="n"/>
      <c r="U395" s="29" t="n"/>
      <c r="V395" s="22" t="n"/>
      <c r="W395" s="22" t="n"/>
      <c r="X395" s="22" t="n"/>
      <c r="Y395" s="22" t="n"/>
      <c r="Z395" s="22" t="n"/>
      <c r="AA395" s="22" t="n"/>
      <c r="AB395" s="22" t="n"/>
      <c r="AC395" s="29" t="n"/>
      <c r="AD395" s="30">
        <f>IF(A395="","",(COUNTA(A395:G395)+COUNTA(J395:AC395))/27)</f>
        <v/>
      </c>
      <c r="AE395" s="26">
        <f>IF(B395="","",WORKDAY(B395,3))</f>
        <v/>
      </c>
      <c r="AF395" s="26">
        <f>IF(B395="","",WORKDAY(B395,5))</f>
        <v/>
      </c>
      <c r="AG395" s="26">
        <f>IF(B395="","",WORKDAY(B395,10))</f>
        <v/>
      </c>
      <c r="AH395" s="26" t="n"/>
    </row>
    <row r="396">
      <c r="A396" s="22" t="n"/>
      <c r="B396" s="22" t="n"/>
      <c r="C396" s="26" t="n"/>
      <c r="D396" s="27" t="n"/>
      <c r="E396" s="22" t="n"/>
      <c r="F396" s="26" t="n"/>
      <c r="G396" s="22" t="n"/>
      <c r="H396" s="26">
        <f>IF(G396="","",IFERROR(VLOOKUP(G396,板块观察!A:Z,19,FALSE),""))</f>
        <v/>
      </c>
      <c r="I396" s="26">
        <f>IF(G396="","",IFERROR(VLOOKUP(G396,板块观察!A:Z,20,FALSE),""))</f>
        <v/>
      </c>
      <c r="J396" s="22" t="n"/>
      <c r="K396" s="22" t="n"/>
      <c r="L396" s="22" t="n"/>
      <c r="M396" s="22" t="n"/>
      <c r="N396" s="22" t="n"/>
      <c r="O396" s="22" t="n"/>
      <c r="P396" s="22" t="n"/>
      <c r="Q396" s="28" t="n"/>
      <c r="R396" s="22" t="n"/>
      <c r="S396" s="29" t="n"/>
      <c r="T396" s="29" t="n"/>
      <c r="U396" s="29" t="n"/>
      <c r="V396" s="22" t="n"/>
      <c r="W396" s="22" t="n"/>
      <c r="X396" s="22" t="n"/>
      <c r="Y396" s="22" t="n"/>
      <c r="Z396" s="22" t="n"/>
      <c r="AA396" s="22" t="n"/>
      <c r="AB396" s="22" t="n"/>
      <c r="AC396" s="29" t="n"/>
      <c r="AD396" s="30">
        <f>IF(A396="","",(COUNTA(A396:G396)+COUNTA(J396:AC396))/27)</f>
        <v/>
      </c>
      <c r="AE396" s="26">
        <f>IF(B396="","",WORKDAY(B396,3))</f>
        <v/>
      </c>
      <c r="AF396" s="26">
        <f>IF(B396="","",WORKDAY(B396,5))</f>
        <v/>
      </c>
      <c r="AG396" s="26">
        <f>IF(B396="","",WORKDAY(B396,10))</f>
        <v/>
      </c>
      <c r="AH396" s="26" t="n"/>
    </row>
    <row r="397">
      <c r="A397" s="22" t="n"/>
      <c r="B397" s="22" t="n"/>
      <c r="C397" s="26" t="n"/>
      <c r="D397" s="27" t="n"/>
      <c r="E397" s="22" t="n"/>
      <c r="F397" s="26" t="n"/>
      <c r="G397" s="22" t="n"/>
      <c r="H397" s="26">
        <f>IF(G397="","",IFERROR(VLOOKUP(G397,板块观察!A:Z,19,FALSE),""))</f>
        <v/>
      </c>
      <c r="I397" s="26">
        <f>IF(G397="","",IFERROR(VLOOKUP(G397,板块观察!A:Z,20,FALSE),""))</f>
        <v/>
      </c>
      <c r="J397" s="22" t="n"/>
      <c r="K397" s="22" t="n"/>
      <c r="L397" s="22" t="n"/>
      <c r="M397" s="22" t="n"/>
      <c r="N397" s="22" t="n"/>
      <c r="O397" s="22" t="n"/>
      <c r="P397" s="22" t="n"/>
      <c r="Q397" s="28" t="n"/>
      <c r="R397" s="22" t="n"/>
      <c r="S397" s="29" t="n"/>
      <c r="T397" s="29" t="n"/>
      <c r="U397" s="29" t="n"/>
      <c r="V397" s="22" t="n"/>
      <c r="W397" s="22" t="n"/>
      <c r="X397" s="22" t="n"/>
      <c r="Y397" s="22" t="n"/>
      <c r="Z397" s="22" t="n"/>
      <c r="AA397" s="22" t="n"/>
      <c r="AB397" s="22" t="n"/>
      <c r="AC397" s="29" t="n"/>
      <c r="AD397" s="30">
        <f>IF(A397="","",(COUNTA(A397:G397)+COUNTA(J397:AC397))/27)</f>
        <v/>
      </c>
      <c r="AE397" s="26">
        <f>IF(B397="","",WORKDAY(B397,3))</f>
        <v/>
      </c>
      <c r="AF397" s="26">
        <f>IF(B397="","",WORKDAY(B397,5))</f>
        <v/>
      </c>
      <c r="AG397" s="26">
        <f>IF(B397="","",WORKDAY(B397,10))</f>
        <v/>
      </c>
      <c r="AH397" s="26" t="n"/>
    </row>
    <row r="398">
      <c r="A398" s="22" t="n"/>
      <c r="B398" s="22" t="n"/>
      <c r="C398" s="26" t="n"/>
      <c r="D398" s="27" t="n"/>
      <c r="E398" s="22" t="n"/>
      <c r="F398" s="26" t="n"/>
      <c r="G398" s="22" t="n"/>
      <c r="H398" s="26">
        <f>IF(G398="","",IFERROR(VLOOKUP(G398,板块观察!A:Z,19,FALSE),""))</f>
        <v/>
      </c>
      <c r="I398" s="26">
        <f>IF(G398="","",IFERROR(VLOOKUP(G398,板块观察!A:Z,20,FALSE),""))</f>
        <v/>
      </c>
      <c r="J398" s="22" t="n"/>
      <c r="K398" s="22" t="n"/>
      <c r="L398" s="22" t="n"/>
      <c r="M398" s="22" t="n"/>
      <c r="N398" s="22" t="n"/>
      <c r="O398" s="22" t="n"/>
      <c r="P398" s="22" t="n"/>
      <c r="Q398" s="28" t="n"/>
      <c r="R398" s="22" t="n"/>
      <c r="S398" s="29" t="n"/>
      <c r="T398" s="29" t="n"/>
      <c r="U398" s="29" t="n"/>
      <c r="V398" s="22" t="n"/>
      <c r="W398" s="22" t="n"/>
      <c r="X398" s="22" t="n"/>
      <c r="Y398" s="22" t="n"/>
      <c r="Z398" s="22" t="n"/>
      <c r="AA398" s="22" t="n"/>
      <c r="AB398" s="22" t="n"/>
      <c r="AC398" s="29" t="n"/>
      <c r="AD398" s="30">
        <f>IF(A398="","",(COUNTA(A398:G398)+COUNTA(J398:AC398))/27)</f>
        <v/>
      </c>
      <c r="AE398" s="26">
        <f>IF(B398="","",WORKDAY(B398,3))</f>
        <v/>
      </c>
      <c r="AF398" s="26">
        <f>IF(B398="","",WORKDAY(B398,5))</f>
        <v/>
      </c>
      <c r="AG398" s="26">
        <f>IF(B398="","",WORKDAY(B398,10))</f>
        <v/>
      </c>
      <c r="AH398" s="26" t="n"/>
    </row>
    <row r="399">
      <c r="A399" s="22" t="n"/>
      <c r="B399" s="22" t="n"/>
      <c r="C399" s="26" t="n"/>
      <c r="D399" s="27" t="n"/>
      <c r="E399" s="22" t="n"/>
      <c r="F399" s="26" t="n"/>
      <c r="G399" s="22" t="n"/>
      <c r="H399" s="26">
        <f>IF(G399="","",IFERROR(VLOOKUP(G399,板块观察!A:Z,19,FALSE),""))</f>
        <v/>
      </c>
      <c r="I399" s="26">
        <f>IF(G399="","",IFERROR(VLOOKUP(G399,板块观察!A:Z,20,FALSE),""))</f>
        <v/>
      </c>
      <c r="J399" s="22" t="n"/>
      <c r="K399" s="22" t="n"/>
      <c r="L399" s="22" t="n"/>
      <c r="M399" s="22" t="n"/>
      <c r="N399" s="22" t="n"/>
      <c r="O399" s="22" t="n"/>
      <c r="P399" s="22" t="n"/>
      <c r="Q399" s="28" t="n"/>
      <c r="R399" s="22" t="n"/>
      <c r="S399" s="29" t="n"/>
      <c r="T399" s="29" t="n"/>
      <c r="U399" s="29" t="n"/>
      <c r="V399" s="22" t="n"/>
      <c r="W399" s="22" t="n"/>
      <c r="X399" s="22" t="n"/>
      <c r="Y399" s="22" t="n"/>
      <c r="Z399" s="22" t="n"/>
      <c r="AA399" s="22" t="n"/>
      <c r="AB399" s="22" t="n"/>
      <c r="AC399" s="29" t="n"/>
      <c r="AD399" s="30">
        <f>IF(A399="","",(COUNTA(A399:G399)+COUNTA(J399:AC399))/27)</f>
        <v/>
      </c>
      <c r="AE399" s="26">
        <f>IF(B399="","",WORKDAY(B399,3))</f>
        <v/>
      </c>
      <c r="AF399" s="26">
        <f>IF(B399="","",WORKDAY(B399,5))</f>
        <v/>
      </c>
      <c r="AG399" s="26">
        <f>IF(B399="","",WORKDAY(B399,10))</f>
        <v/>
      </c>
      <c r="AH399" s="26" t="n"/>
    </row>
    <row r="400">
      <c r="A400" s="22" t="n"/>
      <c r="B400" s="22" t="n"/>
      <c r="C400" s="26" t="n"/>
      <c r="D400" s="27" t="n"/>
      <c r="E400" s="22" t="n"/>
      <c r="F400" s="26" t="n"/>
      <c r="G400" s="22" t="n"/>
      <c r="H400" s="26">
        <f>IF(G400="","",IFERROR(VLOOKUP(G400,板块观察!A:Z,19,FALSE),""))</f>
        <v/>
      </c>
      <c r="I400" s="26">
        <f>IF(G400="","",IFERROR(VLOOKUP(G400,板块观察!A:Z,20,FALSE),""))</f>
        <v/>
      </c>
      <c r="J400" s="22" t="n"/>
      <c r="K400" s="22" t="n"/>
      <c r="L400" s="22" t="n"/>
      <c r="M400" s="22" t="n"/>
      <c r="N400" s="22" t="n"/>
      <c r="O400" s="22" t="n"/>
      <c r="P400" s="22" t="n"/>
      <c r="Q400" s="28" t="n"/>
      <c r="R400" s="22" t="n"/>
      <c r="S400" s="29" t="n"/>
      <c r="T400" s="29" t="n"/>
      <c r="U400" s="29" t="n"/>
      <c r="V400" s="22" t="n"/>
      <c r="W400" s="22" t="n"/>
      <c r="X400" s="22" t="n"/>
      <c r="Y400" s="22" t="n"/>
      <c r="Z400" s="22" t="n"/>
      <c r="AA400" s="22" t="n"/>
      <c r="AB400" s="22" t="n"/>
      <c r="AC400" s="29" t="n"/>
      <c r="AD400" s="30">
        <f>IF(A400="","",(COUNTA(A400:G400)+COUNTA(J400:AC400))/27)</f>
        <v/>
      </c>
      <c r="AE400" s="26">
        <f>IF(B400="","",WORKDAY(B400,3))</f>
        <v/>
      </c>
      <c r="AF400" s="26">
        <f>IF(B400="","",WORKDAY(B400,5))</f>
        <v/>
      </c>
      <c r="AG400" s="26">
        <f>IF(B400="","",WORKDAY(B400,10))</f>
        <v/>
      </c>
      <c r="AH400" s="26" t="n"/>
    </row>
    <row r="401">
      <c r="A401" s="22" t="n"/>
      <c r="B401" s="22" t="n"/>
      <c r="C401" s="26" t="n"/>
      <c r="D401" s="27" t="n"/>
      <c r="E401" s="22" t="n"/>
      <c r="F401" s="26" t="n"/>
      <c r="G401" s="22" t="n"/>
      <c r="H401" s="26">
        <f>IF(G401="","",IFERROR(VLOOKUP(G401,板块观察!A:Z,19,FALSE),""))</f>
        <v/>
      </c>
      <c r="I401" s="26">
        <f>IF(G401="","",IFERROR(VLOOKUP(G401,板块观察!A:Z,20,FALSE),""))</f>
        <v/>
      </c>
      <c r="J401" s="22" t="n"/>
      <c r="K401" s="22" t="n"/>
      <c r="L401" s="22" t="n"/>
      <c r="M401" s="22" t="n"/>
      <c r="N401" s="22" t="n"/>
      <c r="O401" s="22" t="n"/>
      <c r="P401" s="22" t="n"/>
      <c r="Q401" s="28" t="n"/>
      <c r="R401" s="22" t="n"/>
      <c r="S401" s="29" t="n"/>
      <c r="T401" s="29" t="n"/>
      <c r="U401" s="29" t="n"/>
      <c r="V401" s="22" t="n"/>
      <c r="W401" s="22" t="n"/>
      <c r="X401" s="22" t="n"/>
      <c r="Y401" s="22" t="n"/>
      <c r="Z401" s="22" t="n"/>
      <c r="AA401" s="22" t="n"/>
      <c r="AB401" s="22" t="n"/>
      <c r="AC401" s="29" t="n"/>
      <c r="AD401" s="30">
        <f>IF(A401="","",(COUNTA(A401:G401)+COUNTA(J401:AC401))/27)</f>
        <v/>
      </c>
      <c r="AE401" s="26">
        <f>IF(B401="","",WORKDAY(B401,3))</f>
        <v/>
      </c>
      <c r="AF401" s="26">
        <f>IF(B401="","",WORKDAY(B401,5))</f>
        <v/>
      </c>
      <c r="AG401" s="26">
        <f>IF(B401="","",WORKDAY(B401,10))</f>
        <v/>
      </c>
      <c r="AH401" s="26" t="n"/>
    </row>
    <row r="402">
      <c r="A402" s="22" t="n"/>
      <c r="B402" s="22" t="n"/>
      <c r="C402" s="26" t="n"/>
      <c r="D402" s="27" t="n"/>
      <c r="E402" s="22" t="n"/>
      <c r="F402" s="26" t="n"/>
      <c r="G402" s="22" t="n"/>
      <c r="H402" s="26">
        <f>IF(G402="","",IFERROR(VLOOKUP(G402,板块观察!A:Z,19,FALSE),""))</f>
        <v/>
      </c>
      <c r="I402" s="26">
        <f>IF(G402="","",IFERROR(VLOOKUP(G402,板块观察!A:Z,20,FALSE),""))</f>
        <v/>
      </c>
      <c r="J402" s="22" t="n"/>
      <c r="K402" s="22" t="n"/>
      <c r="L402" s="22" t="n"/>
      <c r="M402" s="22" t="n"/>
      <c r="N402" s="22" t="n"/>
      <c r="O402" s="22" t="n"/>
      <c r="P402" s="22" t="n"/>
      <c r="Q402" s="28" t="n"/>
      <c r="R402" s="22" t="n"/>
      <c r="S402" s="29" t="n"/>
      <c r="T402" s="29" t="n"/>
      <c r="U402" s="29" t="n"/>
      <c r="V402" s="22" t="n"/>
      <c r="W402" s="22" t="n"/>
      <c r="X402" s="22" t="n"/>
      <c r="Y402" s="22" t="n"/>
      <c r="Z402" s="22" t="n"/>
      <c r="AA402" s="22" t="n"/>
      <c r="AB402" s="22" t="n"/>
      <c r="AC402" s="29" t="n"/>
      <c r="AD402" s="30">
        <f>IF(A402="","",(COUNTA(A402:G402)+COUNTA(J402:AC402))/27)</f>
        <v/>
      </c>
      <c r="AE402" s="26">
        <f>IF(B402="","",WORKDAY(B402,3))</f>
        <v/>
      </c>
      <c r="AF402" s="26">
        <f>IF(B402="","",WORKDAY(B402,5))</f>
        <v/>
      </c>
      <c r="AG402" s="26">
        <f>IF(B402="","",WORKDAY(B402,10))</f>
        <v/>
      </c>
      <c r="AH402" s="26" t="n"/>
    </row>
    <row r="403">
      <c r="A403" s="22" t="n"/>
      <c r="B403" s="22" t="n"/>
      <c r="C403" s="26" t="n"/>
      <c r="D403" s="27" t="n"/>
      <c r="E403" s="22" t="n"/>
      <c r="F403" s="26" t="n"/>
      <c r="G403" s="22" t="n"/>
      <c r="H403" s="26">
        <f>IF(G403="","",IFERROR(VLOOKUP(G403,板块观察!A:Z,19,FALSE),""))</f>
        <v/>
      </c>
      <c r="I403" s="26">
        <f>IF(G403="","",IFERROR(VLOOKUP(G403,板块观察!A:Z,20,FALSE),""))</f>
        <v/>
      </c>
      <c r="J403" s="22" t="n"/>
      <c r="K403" s="22" t="n"/>
      <c r="L403" s="22" t="n"/>
      <c r="M403" s="22" t="n"/>
      <c r="N403" s="22" t="n"/>
      <c r="O403" s="22" t="n"/>
      <c r="P403" s="22" t="n"/>
      <c r="Q403" s="28" t="n"/>
      <c r="R403" s="22" t="n"/>
      <c r="S403" s="29" t="n"/>
      <c r="T403" s="29" t="n"/>
      <c r="U403" s="29" t="n"/>
      <c r="V403" s="22" t="n"/>
      <c r="W403" s="22" t="n"/>
      <c r="X403" s="22" t="n"/>
      <c r="Y403" s="22" t="n"/>
      <c r="Z403" s="22" t="n"/>
      <c r="AA403" s="22" t="n"/>
      <c r="AB403" s="22" t="n"/>
      <c r="AC403" s="29" t="n"/>
      <c r="AD403" s="30">
        <f>IF(A403="","",(COUNTA(A403:G403)+COUNTA(J403:AC403))/27)</f>
        <v/>
      </c>
      <c r="AE403" s="26">
        <f>IF(B403="","",WORKDAY(B403,3))</f>
        <v/>
      </c>
      <c r="AF403" s="26">
        <f>IF(B403="","",WORKDAY(B403,5))</f>
        <v/>
      </c>
      <c r="AG403" s="26">
        <f>IF(B403="","",WORKDAY(B403,10))</f>
        <v/>
      </c>
      <c r="AH403" s="26" t="n"/>
    </row>
    <row r="404">
      <c r="A404" s="22" t="n"/>
      <c r="B404" s="22" t="n"/>
      <c r="C404" s="26" t="n"/>
      <c r="D404" s="27" t="n"/>
      <c r="E404" s="22" t="n"/>
      <c r="F404" s="26" t="n"/>
      <c r="G404" s="22" t="n"/>
      <c r="H404" s="26">
        <f>IF(G404="","",IFERROR(VLOOKUP(G404,板块观察!A:Z,19,FALSE),""))</f>
        <v/>
      </c>
      <c r="I404" s="26">
        <f>IF(G404="","",IFERROR(VLOOKUP(G404,板块观察!A:Z,20,FALSE),""))</f>
        <v/>
      </c>
      <c r="J404" s="22" t="n"/>
      <c r="K404" s="22" t="n"/>
      <c r="L404" s="22" t="n"/>
      <c r="M404" s="22" t="n"/>
      <c r="N404" s="22" t="n"/>
      <c r="O404" s="22" t="n"/>
      <c r="P404" s="22" t="n"/>
      <c r="Q404" s="28" t="n"/>
      <c r="R404" s="22" t="n"/>
      <c r="S404" s="29" t="n"/>
      <c r="T404" s="29" t="n"/>
      <c r="U404" s="29" t="n"/>
      <c r="V404" s="22" t="n"/>
      <c r="W404" s="22" t="n"/>
      <c r="X404" s="22" t="n"/>
      <c r="Y404" s="22" t="n"/>
      <c r="Z404" s="22" t="n"/>
      <c r="AA404" s="22" t="n"/>
      <c r="AB404" s="22" t="n"/>
      <c r="AC404" s="29" t="n"/>
      <c r="AD404" s="30">
        <f>IF(A404="","",(COUNTA(A404:G404)+COUNTA(J404:AC404))/27)</f>
        <v/>
      </c>
      <c r="AE404" s="26">
        <f>IF(B404="","",WORKDAY(B404,3))</f>
        <v/>
      </c>
      <c r="AF404" s="26">
        <f>IF(B404="","",WORKDAY(B404,5))</f>
        <v/>
      </c>
      <c r="AG404" s="26">
        <f>IF(B404="","",WORKDAY(B404,10))</f>
        <v/>
      </c>
      <c r="AH404" s="26" t="n"/>
    </row>
    <row r="405">
      <c r="A405" s="22" t="n"/>
      <c r="B405" s="22" t="n"/>
      <c r="C405" s="26" t="n"/>
      <c r="D405" s="27" t="n"/>
      <c r="E405" s="22" t="n"/>
      <c r="F405" s="26" t="n"/>
      <c r="G405" s="22" t="n"/>
      <c r="H405" s="26">
        <f>IF(G405="","",IFERROR(VLOOKUP(G405,板块观察!A:Z,19,FALSE),""))</f>
        <v/>
      </c>
      <c r="I405" s="26">
        <f>IF(G405="","",IFERROR(VLOOKUP(G405,板块观察!A:Z,20,FALSE),""))</f>
        <v/>
      </c>
      <c r="J405" s="22" t="n"/>
      <c r="K405" s="22" t="n"/>
      <c r="L405" s="22" t="n"/>
      <c r="M405" s="22" t="n"/>
      <c r="N405" s="22" t="n"/>
      <c r="O405" s="22" t="n"/>
      <c r="P405" s="22" t="n"/>
      <c r="Q405" s="28" t="n"/>
      <c r="R405" s="22" t="n"/>
      <c r="S405" s="29" t="n"/>
      <c r="T405" s="29" t="n"/>
      <c r="U405" s="29" t="n"/>
      <c r="V405" s="22" t="n"/>
      <c r="W405" s="22" t="n"/>
      <c r="X405" s="22" t="n"/>
      <c r="Y405" s="22" t="n"/>
      <c r="Z405" s="22" t="n"/>
      <c r="AA405" s="22" t="n"/>
      <c r="AB405" s="22" t="n"/>
      <c r="AC405" s="29" t="n"/>
      <c r="AD405" s="30">
        <f>IF(A405="","",(COUNTA(A405:G405)+COUNTA(J405:AC405))/27)</f>
        <v/>
      </c>
      <c r="AE405" s="26">
        <f>IF(B405="","",WORKDAY(B405,3))</f>
        <v/>
      </c>
      <c r="AF405" s="26">
        <f>IF(B405="","",WORKDAY(B405,5))</f>
        <v/>
      </c>
      <c r="AG405" s="26">
        <f>IF(B405="","",WORKDAY(B405,10))</f>
        <v/>
      </c>
      <c r="AH405" s="26" t="n"/>
    </row>
    <row r="406">
      <c r="A406" s="22" t="n"/>
      <c r="B406" s="22" t="n"/>
      <c r="C406" s="26" t="n"/>
      <c r="D406" s="27" t="n"/>
      <c r="E406" s="22" t="n"/>
      <c r="F406" s="26" t="n"/>
      <c r="G406" s="22" t="n"/>
      <c r="H406" s="26">
        <f>IF(G406="","",IFERROR(VLOOKUP(G406,板块观察!A:Z,19,FALSE),""))</f>
        <v/>
      </c>
      <c r="I406" s="26">
        <f>IF(G406="","",IFERROR(VLOOKUP(G406,板块观察!A:Z,20,FALSE),""))</f>
        <v/>
      </c>
      <c r="J406" s="22" t="n"/>
      <c r="K406" s="22" t="n"/>
      <c r="L406" s="22" t="n"/>
      <c r="M406" s="22" t="n"/>
      <c r="N406" s="22" t="n"/>
      <c r="O406" s="22" t="n"/>
      <c r="P406" s="22" t="n"/>
      <c r="Q406" s="28" t="n"/>
      <c r="R406" s="22" t="n"/>
      <c r="S406" s="29" t="n"/>
      <c r="T406" s="29" t="n"/>
      <c r="U406" s="29" t="n"/>
      <c r="V406" s="22" t="n"/>
      <c r="W406" s="22" t="n"/>
      <c r="X406" s="22" t="n"/>
      <c r="Y406" s="22" t="n"/>
      <c r="Z406" s="22" t="n"/>
      <c r="AA406" s="22" t="n"/>
      <c r="AB406" s="22" t="n"/>
      <c r="AC406" s="29" t="n"/>
      <c r="AD406" s="30">
        <f>IF(A406="","",(COUNTA(A406:G406)+COUNTA(J406:AC406))/27)</f>
        <v/>
      </c>
      <c r="AE406" s="26">
        <f>IF(B406="","",WORKDAY(B406,3))</f>
        <v/>
      </c>
      <c r="AF406" s="26">
        <f>IF(B406="","",WORKDAY(B406,5))</f>
        <v/>
      </c>
      <c r="AG406" s="26">
        <f>IF(B406="","",WORKDAY(B406,10))</f>
        <v/>
      </c>
      <c r="AH406" s="26" t="n"/>
    </row>
    <row r="407">
      <c r="A407" s="22" t="n"/>
      <c r="B407" s="22" t="n"/>
      <c r="C407" s="26" t="n"/>
      <c r="D407" s="27" t="n"/>
      <c r="E407" s="22" t="n"/>
      <c r="F407" s="26" t="n"/>
      <c r="G407" s="22" t="n"/>
      <c r="H407" s="26">
        <f>IF(G407="","",IFERROR(VLOOKUP(G407,板块观察!A:Z,19,FALSE),""))</f>
        <v/>
      </c>
      <c r="I407" s="26">
        <f>IF(G407="","",IFERROR(VLOOKUP(G407,板块观察!A:Z,20,FALSE),""))</f>
        <v/>
      </c>
      <c r="J407" s="22" t="n"/>
      <c r="K407" s="22" t="n"/>
      <c r="L407" s="22" t="n"/>
      <c r="M407" s="22" t="n"/>
      <c r="N407" s="22" t="n"/>
      <c r="O407" s="22" t="n"/>
      <c r="P407" s="22" t="n"/>
      <c r="Q407" s="28" t="n"/>
      <c r="R407" s="22" t="n"/>
      <c r="S407" s="29" t="n"/>
      <c r="T407" s="29" t="n"/>
      <c r="U407" s="29" t="n"/>
      <c r="V407" s="22" t="n"/>
      <c r="W407" s="22" t="n"/>
      <c r="X407" s="22" t="n"/>
      <c r="Y407" s="22" t="n"/>
      <c r="Z407" s="22" t="n"/>
      <c r="AA407" s="22" t="n"/>
      <c r="AB407" s="22" t="n"/>
      <c r="AC407" s="29" t="n"/>
      <c r="AD407" s="30">
        <f>IF(A407="","",(COUNTA(A407:G407)+COUNTA(J407:AC407))/27)</f>
        <v/>
      </c>
      <c r="AE407" s="26">
        <f>IF(B407="","",WORKDAY(B407,3))</f>
        <v/>
      </c>
      <c r="AF407" s="26">
        <f>IF(B407="","",WORKDAY(B407,5))</f>
        <v/>
      </c>
      <c r="AG407" s="26">
        <f>IF(B407="","",WORKDAY(B407,10))</f>
        <v/>
      </c>
      <c r="AH407" s="26" t="n"/>
    </row>
    <row r="408">
      <c r="A408" s="22" t="n"/>
      <c r="B408" s="22" t="n"/>
      <c r="C408" s="26" t="n"/>
      <c r="D408" s="27" t="n"/>
      <c r="E408" s="22" t="n"/>
      <c r="F408" s="26" t="n"/>
      <c r="G408" s="22" t="n"/>
      <c r="H408" s="26">
        <f>IF(G408="","",IFERROR(VLOOKUP(G408,板块观察!A:Z,19,FALSE),""))</f>
        <v/>
      </c>
      <c r="I408" s="26">
        <f>IF(G408="","",IFERROR(VLOOKUP(G408,板块观察!A:Z,20,FALSE),""))</f>
        <v/>
      </c>
      <c r="J408" s="22" t="n"/>
      <c r="K408" s="22" t="n"/>
      <c r="L408" s="22" t="n"/>
      <c r="M408" s="22" t="n"/>
      <c r="N408" s="22" t="n"/>
      <c r="O408" s="22" t="n"/>
      <c r="P408" s="22" t="n"/>
      <c r="Q408" s="28" t="n"/>
      <c r="R408" s="22" t="n"/>
      <c r="S408" s="29" t="n"/>
      <c r="T408" s="29" t="n"/>
      <c r="U408" s="29" t="n"/>
      <c r="V408" s="22" t="n"/>
      <c r="W408" s="22" t="n"/>
      <c r="X408" s="22" t="n"/>
      <c r="Y408" s="22" t="n"/>
      <c r="Z408" s="22" t="n"/>
      <c r="AA408" s="22" t="n"/>
      <c r="AB408" s="22" t="n"/>
      <c r="AC408" s="29" t="n"/>
      <c r="AD408" s="30">
        <f>IF(A408="","",(COUNTA(A408:G408)+COUNTA(J408:AC408))/27)</f>
        <v/>
      </c>
      <c r="AE408" s="26">
        <f>IF(B408="","",WORKDAY(B408,3))</f>
        <v/>
      </c>
      <c r="AF408" s="26">
        <f>IF(B408="","",WORKDAY(B408,5))</f>
        <v/>
      </c>
      <c r="AG408" s="26">
        <f>IF(B408="","",WORKDAY(B408,10))</f>
        <v/>
      </c>
      <c r="AH408" s="26" t="n"/>
    </row>
    <row r="409">
      <c r="A409" s="22" t="n"/>
      <c r="B409" s="22" t="n"/>
      <c r="C409" s="26" t="n"/>
      <c r="D409" s="27" t="n"/>
      <c r="E409" s="22" t="n"/>
      <c r="F409" s="26" t="n"/>
      <c r="G409" s="22" t="n"/>
      <c r="H409" s="26">
        <f>IF(G409="","",IFERROR(VLOOKUP(G409,板块观察!A:Z,19,FALSE),""))</f>
        <v/>
      </c>
      <c r="I409" s="26">
        <f>IF(G409="","",IFERROR(VLOOKUP(G409,板块观察!A:Z,20,FALSE),""))</f>
        <v/>
      </c>
      <c r="J409" s="22" t="n"/>
      <c r="K409" s="22" t="n"/>
      <c r="L409" s="22" t="n"/>
      <c r="M409" s="22" t="n"/>
      <c r="N409" s="22" t="n"/>
      <c r="O409" s="22" t="n"/>
      <c r="P409" s="22" t="n"/>
      <c r="Q409" s="28" t="n"/>
      <c r="R409" s="22" t="n"/>
      <c r="S409" s="29" t="n"/>
      <c r="T409" s="29" t="n"/>
      <c r="U409" s="29" t="n"/>
      <c r="V409" s="22" t="n"/>
      <c r="W409" s="22" t="n"/>
      <c r="X409" s="22" t="n"/>
      <c r="Y409" s="22" t="n"/>
      <c r="Z409" s="22" t="n"/>
      <c r="AA409" s="22" t="n"/>
      <c r="AB409" s="22" t="n"/>
      <c r="AC409" s="29" t="n"/>
      <c r="AD409" s="30">
        <f>IF(A409="","",(COUNTA(A409:G409)+COUNTA(J409:AC409))/27)</f>
        <v/>
      </c>
      <c r="AE409" s="26">
        <f>IF(B409="","",WORKDAY(B409,3))</f>
        <v/>
      </c>
      <c r="AF409" s="26">
        <f>IF(B409="","",WORKDAY(B409,5))</f>
        <v/>
      </c>
      <c r="AG409" s="26">
        <f>IF(B409="","",WORKDAY(B409,10))</f>
        <v/>
      </c>
      <c r="AH409" s="26" t="n"/>
    </row>
    <row r="410">
      <c r="A410" s="22" t="n"/>
      <c r="B410" s="22" t="n"/>
      <c r="C410" s="26" t="n"/>
      <c r="D410" s="27" t="n"/>
      <c r="E410" s="22" t="n"/>
      <c r="F410" s="26" t="n"/>
      <c r="G410" s="22" t="n"/>
      <c r="H410" s="26">
        <f>IF(G410="","",IFERROR(VLOOKUP(G410,板块观察!A:Z,19,FALSE),""))</f>
        <v/>
      </c>
      <c r="I410" s="26">
        <f>IF(G410="","",IFERROR(VLOOKUP(G410,板块观察!A:Z,20,FALSE),""))</f>
        <v/>
      </c>
      <c r="J410" s="22" t="n"/>
      <c r="K410" s="22" t="n"/>
      <c r="L410" s="22" t="n"/>
      <c r="M410" s="22" t="n"/>
      <c r="N410" s="22" t="n"/>
      <c r="O410" s="22" t="n"/>
      <c r="P410" s="22" t="n"/>
      <c r="Q410" s="28" t="n"/>
      <c r="R410" s="22" t="n"/>
      <c r="S410" s="29" t="n"/>
      <c r="T410" s="29" t="n"/>
      <c r="U410" s="29" t="n"/>
      <c r="V410" s="22" t="n"/>
      <c r="W410" s="22" t="n"/>
      <c r="X410" s="22" t="n"/>
      <c r="Y410" s="22" t="n"/>
      <c r="Z410" s="22" t="n"/>
      <c r="AA410" s="22" t="n"/>
      <c r="AB410" s="22" t="n"/>
      <c r="AC410" s="29" t="n"/>
      <c r="AD410" s="30">
        <f>IF(A410="","",(COUNTA(A410:G410)+COUNTA(J410:AC410))/27)</f>
        <v/>
      </c>
      <c r="AE410" s="26">
        <f>IF(B410="","",WORKDAY(B410,3))</f>
        <v/>
      </c>
      <c r="AF410" s="26">
        <f>IF(B410="","",WORKDAY(B410,5))</f>
        <v/>
      </c>
      <c r="AG410" s="26">
        <f>IF(B410="","",WORKDAY(B410,10))</f>
        <v/>
      </c>
      <c r="AH410" s="26" t="n"/>
    </row>
    <row r="411">
      <c r="A411" s="22" t="n"/>
      <c r="B411" s="22" t="n"/>
      <c r="C411" s="26" t="n"/>
      <c r="D411" s="27" t="n"/>
      <c r="E411" s="22" t="n"/>
      <c r="F411" s="26" t="n"/>
      <c r="G411" s="22" t="n"/>
      <c r="H411" s="26">
        <f>IF(G411="","",IFERROR(VLOOKUP(G411,板块观察!A:Z,19,FALSE),""))</f>
        <v/>
      </c>
      <c r="I411" s="26">
        <f>IF(G411="","",IFERROR(VLOOKUP(G411,板块观察!A:Z,20,FALSE),""))</f>
        <v/>
      </c>
      <c r="J411" s="22" t="n"/>
      <c r="K411" s="22" t="n"/>
      <c r="L411" s="22" t="n"/>
      <c r="M411" s="22" t="n"/>
      <c r="N411" s="22" t="n"/>
      <c r="O411" s="22" t="n"/>
      <c r="P411" s="22" t="n"/>
      <c r="Q411" s="28" t="n"/>
      <c r="R411" s="22" t="n"/>
      <c r="S411" s="29" t="n"/>
      <c r="T411" s="29" t="n"/>
      <c r="U411" s="29" t="n"/>
      <c r="V411" s="22" t="n"/>
      <c r="W411" s="22" t="n"/>
      <c r="X411" s="22" t="n"/>
      <c r="Y411" s="22" t="n"/>
      <c r="Z411" s="22" t="n"/>
      <c r="AA411" s="22" t="n"/>
      <c r="AB411" s="22" t="n"/>
      <c r="AC411" s="29" t="n"/>
      <c r="AD411" s="30">
        <f>IF(A411="","",(COUNTA(A411:G411)+COUNTA(J411:AC411))/27)</f>
        <v/>
      </c>
      <c r="AE411" s="26">
        <f>IF(B411="","",WORKDAY(B411,3))</f>
        <v/>
      </c>
      <c r="AF411" s="26">
        <f>IF(B411="","",WORKDAY(B411,5))</f>
        <v/>
      </c>
      <c r="AG411" s="26">
        <f>IF(B411="","",WORKDAY(B411,10))</f>
        <v/>
      </c>
      <c r="AH411" s="26" t="n"/>
    </row>
    <row r="412">
      <c r="A412" s="22" t="n"/>
      <c r="B412" s="22" t="n"/>
      <c r="C412" s="26" t="n"/>
      <c r="D412" s="27" t="n"/>
      <c r="E412" s="22" t="n"/>
      <c r="F412" s="26" t="n"/>
      <c r="G412" s="22" t="n"/>
      <c r="H412" s="26">
        <f>IF(G412="","",IFERROR(VLOOKUP(G412,板块观察!A:Z,19,FALSE),""))</f>
        <v/>
      </c>
      <c r="I412" s="26">
        <f>IF(G412="","",IFERROR(VLOOKUP(G412,板块观察!A:Z,20,FALSE),""))</f>
        <v/>
      </c>
      <c r="J412" s="22" t="n"/>
      <c r="K412" s="22" t="n"/>
      <c r="L412" s="22" t="n"/>
      <c r="M412" s="22" t="n"/>
      <c r="N412" s="22" t="n"/>
      <c r="O412" s="22" t="n"/>
      <c r="P412" s="22" t="n"/>
      <c r="Q412" s="28" t="n"/>
      <c r="R412" s="22" t="n"/>
      <c r="S412" s="29" t="n"/>
      <c r="T412" s="29" t="n"/>
      <c r="U412" s="29" t="n"/>
      <c r="V412" s="22" t="n"/>
      <c r="W412" s="22" t="n"/>
      <c r="X412" s="22" t="n"/>
      <c r="Y412" s="22" t="n"/>
      <c r="Z412" s="22" t="n"/>
      <c r="AA412" s="22" t="n"/>
      <c r="AB412" s="22" t="n"/>
      <c r="AC412" s="29" t="n"/>
      <c r="AD412" s="30">
        <f>IF(A412="","",(COUNTA(A412:G412)+COUNTA(J412:AC412))/27)</f>
        <v/>
      </c>
      <c r="AE412" s="26">
        <f>IF(B412="","",WORKDAY(B412,3))</f>
        <v/>
      </c>
      <c r="AF412" s="26">
        <f>IF(B412="","",WORKDAY(B412,5))</f>
        <v/>
      </c>
      <c r="AG412" s="26">
        <f>IF(B412="","",WORKDAY(B412,10))</f>
        <v/>
      </c>
      <c r="AH412" s="26" t="n"/>
    </row>
    <row r="413">
      <c r="A413" s="22" t="n"/>
      <c r="B413" s="22" t="n"/>
      <c r="C413" s="26" t="n"/>
      <c r="D413" s="27" t="n"/>
      <c r="E413" s="22" t="n"/>
      <c r="F413" s="26" t="n"/>
      <c r="G413" s="22" t="n"/>
      <c r="H413" s="26">
        <f>IF(G413="","",IFERROR(VLOOKUP(G413,板块观察!A:Z,19,FALSE),""))</f>
        <v/>
      </c>
      <c r="I413" s="26">
        <f>IF(G413="","",IFERROR(VLOOKUP(G413,板块观察!A:Z,20,FALSE),""))</f>
        <v/>
      </c>
      <c r="J413" s="22" t="n"/>
      <c r="K413" s="22" t="n"/>
      <c r="L413" s="22" t="n"/>
      <c r="M413" s="22" t="n"/>
      <c r="N413" s="22" t="n"/>
      <c r="O413" s="22" t="n"/>
      <c r="P413" s="22" t="n"/>
      <c r="Q413" s="28" t="n"/>
      <c r="R413" s="22" t="n"/>
      <c r="S413" s="29" t="n"/>
      <c r="T413" s="29" t="n"/>
      <c r="U413" s="29" t="n"/>
      <c r="V413" s="22" t="n"/>
      <c r="W413" s="22" t="n"/>
      <c r="X413" s="22" t="n"/>
      <c r="Y413" s="22" t="n"/>
      <c r="Z413" s="22" t="n"/>
      <c r="AA413" s="22" t="n"/>
      <c r="AB413" s="22" t="n"/>
      <c r="AC413" s="29" t="n"/>
      <c r="AD413" s="30">
        <f>IF(A413="","",(COUNTA(A413:G413)+COUNTA(J413:AC413))/27)</f>
        <v/>
      </c>
      <c r="AE413" s="26">
        <f>IF(B413="","",WORKDAY(B413,3))</f>
        <v/>
      </c>
      <c r="AF413" s="26">
        <f>IF(B413="","",WORKDAY(B413,5))</f>
        <v/>
      </c>
      <c r="AG413" s="26">
        <f>IF(B413="","",WORKDAY(B413,10))</f>
        <v/>
      </c>
      <c r="AH413" s="26" t="n"/>
    </row>
    <row r="414">
      <c r="A414" s="22" t="n"/>
      <c r="B414" s="22" t="n"/>
      <c r="C414" s="26" t="n"/>
      <c r="D414" s="27" t="n"/>
      <c r="E414" s="22" t="n"/>
      <c r="F414" s="26" t="n"/>
      <c r="G414" s="22" t="n"/>
      <c r="H414" s="26">
        <f>IF(G414="","",IFERROR(VLOOKUP(G414,板块观察!A:Z,19,FALSE),""))</f>
        <v/>
      </c>
      <c r="I414" s="26">
        <f>IF(G414="","",IFERROR(VLOOKUP(G414,板块观察!A:Z,20,FALSE),""))</f>
        <v/>
      </c>
      <c r="J414" s="22" t="n"/>
      <c r="K414" s="22" t="n"/>
      <c r="L414" s="22" t="n"/>
      <c r="M414" s="22" t="n"/>
      <c r="N414" s="22" t="n"/>
      <c r="O414" s="22" t="n"/>
      <c r="P414" s="22" t="n"/>
      <c r="Q414" s="28" t="n"/>
      <c r="R414" s="22" t="n"/>
      <c r="S414" s="29" t="n"/>
      <c r="T414" s="29" t="n"/>
      <c r="U414" s="29" t="n"/>
      <c r="V414" s="22" t="n"/>
      <c r="W414" s="22" t="n"/>
      <c r="X414" s="22" t="n"/>
      <c r="Y414" s="22" t="n"/>
      <c r="Z414" s="22" t="n"/>
      <c r="AA414" s="22" t="n"/>
      <c r="AB414" s="22" t="n"/>
      <c r="AC414" s="29" t="n"/>
      <c r="AD414" s="30">
        <f>IF(A414="","",(COUNTA(A414:G414)+COUNTA(J414:AC414))/27)</f>
        <v/>
      </c>
      <c r="AE414" s="26">
        <f>IF(B414="","",WORKDAY(B414,3))</f>
        <v/>
      </c>
      <c r="AF414" s="26">
        <f>IF(B414="","",WORKDAY(B414,5))</f>
        <v/>
      </c>
      <c r="AG414" s="26">
        <f>IF(B414="","",WORKDAY(B414,10))</f>
        <v/>
      </c>
      <c r="AH414" s="26" t="n"/>
    </row>
    <row r="415">
      <c r="A415" s="22" t="n"/>
      <c r="B415" s="22" t="n"/>
      <c r="C415" s="26" t="n"/>
      <c r="D415" s="27" t="n"/>
      <c r="E415" s="22" t="n"/>
      <c r="F415" s="26" t="n"/>
      <c r="G415" s="22" t="n"/>
      <c r="H415" s="26">
        <f>IF(G415="","",IFERROR(VLOOKUP(G415,板块观察!A:Z,19,FALSE),""))</f>
        <v/>
      </c>
      <c r="I415" s="26">
        <f>IF(G415="","",IFERROR(VLOOKUP(G415,板块观察!A:Z,20,FALSE),""))</f>
        <v/>
      </c>
      <c r="J415" s="22" t="n"/>
      <c r="K415" s="22" t="n"/>
      <c r="L415" s="22" t="n"/>
      <c r="M415" s="22" t="n"/>
      <c r="N415" s="22" t="n"/>
      <c r="O415" s="22" t="n"/>
      <c r="P415" s="22" t="n"/>
      <c r="Q415" s="28" t="n"/>
      <c r="R415" s="22" t="n"/>
      <c r="S415" s="29" t="n"/>
      <c r="T415" s="29" t="n"/>
      <c r="U415" s="29" t="n"/>
      <c r="V415" s="22" t="n"/>
      <c r="W415" s="22" t="n"/>
      <c r="X415" s="22" t="n"/>
      <c r="Y415" s="22" t="n"/>
      <c r="Z415" s="22" t="n"/>
      <c r="AA415" s="22" t="n"/>
      <c r="AB415" s="22" t="n"/>
      <c r="AC415" s="29" t="n"/>
      <c r="AD415" s="30">
        <f>IF(A415="","",(COUNTA(A415:G415)+COUNTA(J415:AC415))/27)</f>
        <v/>
      </c>
      <c r="AE415" s="26">
        <f>IF(B415="","",WORKDAY(B415,3))</f>
        <v/>
      </c>
      <c r="AF415" s="26">
        <f>IF(B415="","",WORKDAY(B415,5))</f>
        <v/>
      </c>
      <c r="AG415" s="26">
        <f>IF(B415="","",WORKDAY(B415,10))</f>
        <v/>
      </c>
      <c r="AH415" s="26" t="n"/>
    </row>
    <row r="416">
      <c r="A416" s="22" t="n"/>
      <c r="B416" s="22" t="n"/>
      <c r="C416" s="26" t="n"/>
      <c r="D416" s="27" t="n"/>
      <c r="E416" s="22" t="n"/>
      <c r="F416" s="26" t="n"/>
      <c r="G416" s="22" t="n"/>
      <c r="H416" s="26">
        <f>IF(G416="","",IFERROR(VLOOKUP(G416,板块观察!A:Z,19,FALSE),""))</f>
        <v/>
      </c>
      <c r="I416" s="26">
        <f>IF(G416="","",IFERROR(VLOOKUP(G416,板块观察!A:Z,20,FALSE),""))</f>
        <v/>
      </c>
      <c r="J416" s="22" t="n"/>
      <c r="K416" s="22" t="n"/>
      <c r="L416" s="22" t="n"/>
      <c r="M416" s="22" t="n"/>
      <c r="N416" s="22" t="n"/>
      <c r="O416" s="22" t="n"/>
      <c r="P416" s="22" t="n"/>
      <c r="Q416" s="28" t="n"/>
      <c r="R416" s="22" t="n"/>
      <c r="S416" s="29" t="n"/>
      <c r="T416" s="29" t="n"/>
      <c r="U416" s="29" t="n"/>
      <c r="V416" s="22" t="n"/>
      <c r="W416" s="22" t="n"/>
      <c r="X416" s="22" t="n"/>
      <c r="Y416" s="22" t="n"/>
      <c r="Z416" s="22" t="n"/>
      <c r="AA416" s="22" t="n"/>
      <c r="AB416" s="22" t="n"/>
      <c r="AC416" s="29" t="n"/>
      <c r="AD416" s="30">
        <f>IF(A416="","",(COUNTA(A416:G416)+COUNTA(J416:AC416))/27)</f>
        <v/>
      </c>
      <c r="AE416" s="26">
        <f>IF(B416="","",WORKDAY(B416,3))</f>
        <v/>
      </c>
      <c r="AF416" s="26">
        <f>IF(B416="","",WORKDAY(B416,5))</f>
        <v/>
      </c>
      <c r="AG416" s="26">
        <f>IF(B416="","",WORKDAY(B416,10))</f>
        <v/>
      </c>
      <c r="AH416" s="26" t="n"/>
    </row>
    <row r="417">
      <c r="A417" s="22" t="n"/>
      <c r="B417" s="22" t="n"/>
      <c r="C417" s="26" t="n"/>
      <c r="D417" s="27" t="n"/>
      <c r="E417" s="22" t="n"/>
      <c r="F417" s="26" t="n"/>
      <c r="G417" s="22" t="n"/>
      <c r="H417" s="26">
        <f>IF(G417="","",IFERROR(VLOOKUP(G417,板块观察!A:Z,19,FALSE),""))</f>
        <v/>
      </c>
      <c r="I417" s="26">
        <f>IF(G417="","",IFERROR(VLOOKUP(G417,板块观察!A:Z,20,FALSE),""))</f>
        <v/>
      </c>
      <c r="J417" s="22" t="n"/>
      <c r="K417" s="22" t="n"/>
      <c r="L417" s="22" t="n"/>
      <c r="M417" s="22" t="n"/>
      <c r="N417" s="22" t="n"/>
      <c r="O417" s="22" t="n"/>
      <c r="P417" s="22" t="n"/>
      <c r="Q417" s="28" t="n"/>
      <c r="R417" s="22" t="n"/>
      <c r="S417" s="29" t="n"/>
      <c r="T417" s="29" t="n"/>
      <c r="U417" s="29" t="n"/>
      <c r="V417" s="22" t="n"/>
      <c r="W417" s="22" t="n"/>
      <c r="X417" s="22" t="n"/>
      <c r="Y417" s="22" t="n"/>
      <c r="Z417" s="22" t="n"/>
      <c r="AA417" s="22" t="n"/>
      <c r="AB417" s="22" t="n"/>
      <c r="AC417" s="29" t="n"/>
      <c r="AD417" s="30">
        <f>IF(A417="","",(COUNTA(A417:G417)+COUNTA(J417:AC417))/27)</f>
        <v/>
      </c>
      <c r="AE417" s="26">
        <f>IF(B417="","",WORKDAY(B417,3))</f>
        <v/>
      </c>
      <c r="AF417" s="26">
        <f>IF(B417="","",WORKDAY(B417,5))</f>
        <v/>
      </c>
      <c r="AG417" s="26">
        <f>IF(B417="","",WORKDAY(B417,10))</f>
        <v/>
      </c>
      <c r="AH417" s="26" t="n"/>
    </row>
    <row r="418">
      <c r="A418" s="22" t="n"/>
      <c r="B418" s="22" t="n"/>
      <c r="C418" s="26" t="n"/>
      <c r="D418" s="27" t="n"/>
      <c r="E418" s="22" t="n"/>
      <c r="F418" s="26" t="n"/>
      <c r="G418" s="22" t="n"/>
      <c r="H418" s="26">
        <f>IF(G418="","",IFERROR(VLOOKUP(G418,板块观察!A:Z,19,FALSE),""))</f>
        <v/>
      </c>
      <c r="I418" s="26">
        <f>IF(G418="","",IFERROR(VLOOKUP(G418,板块观察!A:Z,20,FALSE),""))</f>
        <v/>
      </c>
      <c r="J418" s="22" t="n"/>
      <c r="K418" s="22" t="n"/>
      <c r="L418" s="22" t="n"/>
      <c r="M418" s="22" t="n"/>
      <c r="N418" s="22" t="n"/>
      <c r="O418" s="22" t="n"/>
      <c r="P418" s="22" t="n"/>
      <c r="Q418" s="28" t="n"/>
      <c r="R418" s="22" t="n"/>
      <c r="S418" s="29" t="n"/>
      <c r="T418" s="29" t="n"/>
      <c r="U418" s="29" t="n"/>
      <c r="V418" s="22" t="n"/>
      <c r="W418" s="22" t="n"/>
      <c r="X418" s="22" t="n"/>
      <c r="Y418" s="22" t="n"/>
      <c r="Z418" s="22" t="n"/>
      <c r="AA418" s="22" t="n"/>
      <c r="AB418" s="22" t="n"/>
      <c r="AC418" s="29" t="n"/>
      <c r="AD418" s="30">
        <f>IF(A418="","",(COUNTA(A418:G418)+COUNTA(J418:AC418))/27)</f>
        <v/>
      </c>
      <c r="AE418" s="26">
        <f>IF(B418="","",WORKDAY(B418,3))</f>
        <v/>
      </c>
      <c r="AF418" s="26">
        <f>IF(B418="","",WORKDAY(B418,5))</f>
        <v/>
      </c>
      <c r="AG418" s="26">
        <f>IF(B418="","",WORKDAY(B418,10))</f>
        <v/>
      </c>
      <c r="AH418" s="26" t="n"/>
    </row>
    <row r="419">
      <c r="A419" s="22" t="n"/>
      <c r="B419" s="22" t="n"/>
      <c r="C419" s="26" t="n"/>
      <c r="D419" s="27" t="n"/>
      <c r="E419" s="22" t="n"/>
      <c r="F419" s="26" t="n"/>
      <c r="G419" s="22" t="n"/>
      <c r="H419" s="26">
        <f>IF(G419="","",IFERROR(VLOOKUP(G419,板块观察!A:Z,19,FALSE),""))</f>
        <v/>
      </c>
      <c r="I419" s="26">
        <f>IF(G419="","",IFERROR(VLOOKUP(G419,板块观察!A:Z,20,FALSE),""))</f>
        <v/>
      </c>
      <c r="J419" s="22" t="n"/>
      <c r="K419" s="22" t="n"/>
      <c r="L419" s="22" t="n"/>
      <c r="M419" s="22" t="n"/>
      <c r="N419" s="22" t="n"/>
      <c r="O419" s="22" t="n"/>
      <c r="P419" s="22" t="n"/>
      <c r="Q419" s="28" t="n"/>
      <c r="R419" s="22" t="n"/>
      <c r="S419" s="29" t="n"/>
      <c r="T419" s="29" t="n"/>
      <c r="U419" s="29" t="n"/>
      <c r="V419" s="22" t="n"/>
      <c r="W419" s="22" t="n"/>
      <c r="X419" s="22" t="n"/>
      <c r="Y419" s="22" t="n"/>
      <c r="Z419" s="22" t="n"/>
      <c r="AA419" s="22" t="n"/>
      <c r="AB419" s="22" t="n"/>
      <c r="AC419" s="29" t="n"/>
      <c r="AD419" s="30">
        <f>IF(A419="","",(COUNTA(A419:G419)+COUNTA(J419:AC419))/27)</f>
        <v/>
      </c>
      <c r="AE419" s="26">
        <f>IF(B419="","",WORKDAY(B419,3))</f>
        <v/>
      </c>
      <c r="AF419" s="26">
        <f>IF(B419="","",WORKDAY(B419,5))</f>
        <v/>
      </c>
      <c r="AG419" s="26">
        <f>IF(B419="","",WORKDAY(B419,10))</f>
        <v/>
      </c>
      <c r="AH419" s="26" t="n"/>
    </row>
    <row r="420">
      <c r="A420" s="22" t="n"/>
      <c r="B420" s="22" t="n"/>
      <c r="C420" s="26" t="n"/>
      <c r="D420" s="27" t="n"/>
      <c r="E420" s="22" t="n"/>
      <c r="F420" s="26" t="n"/>
      <c r="G420" s="22" t="n"/>
      <c r="H420" s="26">
        <f>IF(G420="","",IFERROR(VLOOKUP(G420,板块观察!A:Z,19,FALSE),""))</f>
        <v/>
      </c>
      <c r="I420" s="26">
        <f>IF(G420="","",IFERROR(VLOOKUP(G420,板块观察!A:Z,20,FALSE),""))</f>
        <v/>
      </c>
      <c r="J420" s="22" t="n"/>
      <c r="K420" s="22" t="n"/>
      <c r="L420" s="22" t="n"/>
      <c r="M420" s="22" t="n"/>
      <c r="N420" s="22" t="n"/>
      <c r="O420" s="22" t="n"/>
      <c r="P420" s="22" t="n"/>
      <c r="Q420" s="28" t="n"/>
      <c r="R420" s="22" t="n"/>
      <c r="S420" s="29" t="n"/>
      <c r="T420" s="29" t="n"/>
      <c r="U420" s="29" t="n"/>
      <c r="V420" s="22" t="n"/>
      <c r="W420" s="22" t="n"/>
      <c r="X420" s="22" t="n"/>
      <c r="Y420" s="22" t="n"/>
      <c r="Z420" s="22" t="n"/>
      <c r="AA420" s="22" t="n"/>
      <c r="AB420" s="22" t="n"/>
      <c r="AC420" s="29" t="n"/>
      <c r="AD420" s="30">
        <f>IF(A420="","",(COUNTA(A420:G420)+COUNTA(J420:AC420))/27)</f>
        <v/>
      </c>
      <c r="AE420" s="26">
        <f>IF(B420="","",WORKDAY(B420,3))</f>
        <v/>
      </c>
      <c r="AF420" s="26">
        <f>IF(B420="","",WORKDAY(B420,5))</f>
        <v/>
      </c>
      <c r="AG420" s="26">
        <f>IF(B420="","",WORKDAY(B420,10))</f>
        <v/>
      </c>
      <c r="AH420" s="26" t="n"/>
    </row>
    <row r="421">
      <c r="A421" s="22" t="n"/>
      <c r="B421" s="22" t="n"/>
      <c r="C421" s="26" t="n"/>
      <c r="D421" s="27" t="n"/>
      <c r="E421" s="22" t="n"/>
      <c r="F421" s="26" t="n"/>
      <c r="G421" s="22" t="n"/>
      <c r="H421" s="26">
        <f>IF(G421="","",IFERROR(VLOOKUP(G421,板块观察!A:Z,19,FALSE),""))</f>
        <v/>
      </c>
      <c r="I421" s="26">
        <f>IF(G421="","",IFERROR(VLOOKUP(G421,板块观察!A:Z,20,FALSE),""))</f>
        <v/>
      </c>
      <c r="J421" s="22" t="n"/>
      <c r="K421" s="22" t="n"/>
      <c r="L421" s="22" t="n"/>
      <c r="M421" s="22" t="n"/>
      <c r="N421" s="22" t="n"/>
      <c r="O421" s="22" t="n"/>
      <c r="P421" s="22" t="n"/>
      <c r="Q421" s="28" t="n"/>
      <c r="R421" s="22" t="n"/>
      <c r="S421" s="29" t="n"/>
      <c r="T421" s="29" t="n"/>
      <c r="U421" s="29" t="n"/>
      <c r="V421" s="22" t="n"/>
      <c r="W421" s="22" t="n"/>
      <c r="X421" s="22" t="n"/>
      <c r="Y421" s="22" t="n"/>
      <c r="Z421" s="22" t="n"/>
      <c r="AA421" s="22" t="n"/>
      <c r="AB421" s="22" t="n"/>
      <c r="AC421" s="29" t="n"/>
      <c r="AD421" s="30">
        <f>IF(A421="","",(COUNTA(A421:G421)+COUNTA(J421:AC421))/27)</f>
        <v/>
      </c>
      <c r="AE421" s="26">
        <f>IF(B421="","",WORKDAY(B421,3))</f>
        <v/>
      </c>
      <c r="AF421" s="26">
        <f>IF(B421="","",WORKDAY(B421,5))</f>
        <v/>
      </c>
      <c r="AG421" s="26">
        <f>IF(B421="","",WORKDAY(B421,10))</f>
        <v/>
      </c>
      <c r="AH421" s="26" t="n"/>
    </row>
    <row r="422">
      <c r="A422" s="22" t="n"/>
      <c r="B422" s="22" t="n"/>
      <c r="C422" s="26" t="n"/>
      <c r="D422" s="27" t="n"/>
      <c r="E422" s="22" t="n"/>
      <c r="F422" s="26" t="n"/>
      <c r="G422" s="22" t="n"/>
      <c r="H422" s="26">
        <f>IF(G422="","",IFERROR(VLOOKUP(G422,板块观察!A:Z,19,FALSE),""))</f>
        <v/>
      </c>
      <c r="I422" s="26">
        <f>IF(G422="","",IFERROR(VLOOKUP(G422,板块观察!A:Z,20,FALSE),""))</f>
        <v/>
      </c>
      <c r="J422" s="22" t="n"/>
      <c r="K422" s="22" t="n"/>
      <c r="L422" s="22" t="n"/>
      <c r="M422" s="22" t="n"/>
      <c r="N422" s="22" t="n"/>
      <c r="O422" s="22" t="n"/>
      <c r="P422" s="22" t="n"/>
      <c r="Q422" s="28" t="n"/>
      <c r="R422" s="22" t="n"/>
      <c r="S422" s="29" t="n"/>
      <c r="T422" s="29" t="n"/>
      <c r="U422" s="29" t="n"/>
      <c r="V422" s="22" t="n"/>
      <c r="W422" s="22" t="n"/>
      <c r="X422" s="22" t="n"/>
      <c r="Y422" s="22" t="n"/>
      <c r="Z422" s="22" t="n"/>
      <c r="AA422" s="22" t="n"/>
      <c r="AB422" s="22" t="n"/>
      <c r="AC422" s="29" t="n"/>
      <c r="AD422" s="30">
        <f>IF(A422="","",(COUNTA(A422:G422)+COUNTA(J422:AC422))/27)</f>
        <v/>
      </c>
      <c r="AE422" s="26">
        <f>IF(B422="","",WORKDAY(B422,3))</f>
        <v/>
      </c>
      <c r="AF422" s="26">
        <f>IF(B422="","",WORKDAY(B422,5))</f>
        <v/>
      </c>
      <c r="AG422" s="26">
        <f>IF(B422="","",WORKDAY(B422,10))</f>
        <v/>
      </c>
      <c r="AH422" s="26" t="n"/>
    </row>
    <row r="423">
      <c r="A423" s="22" t="n"/>
      <c r="B423" s="22" t="n"/>
      <c r="C423" s="26" t="n"/>
      <c r="D423" s="27" t="n"/>
      <c r="E423" s="22" t="n"/>
      <c r="F423" s="26" t="n"/>
      <c r="G423" s="22" t="n"/>
      <c r="H423" s="26">
        <f>IF(G423="","",IFERROR(VLOOKUP(G423,板块观察!A:Z,19,FALSE),""))</f>
        <v/>
      </c>
      <c r="I423" s="26">
        <f>IF(G423="","",IFERROR(VLOOKUP(G423,板块观察!A:Z,20,FALSE),""))</f>
        <v/>
      </c>
      <c r="J423" s="22" t="n"/>
      <c r="K423" s="22" t="n"/>
      <c r="L423" s="22" t="n"/>
      <c r="M423" s="22" t="n"/>
      <c r="N423" s="22" t="n"/>
      <c r="O423" s="22" t="n"/>
      <c r="P423" s="22" t="n"/>
      <c r="Q423" s="28" t="n"/>
      <c r="R423" s="22" t="n"/>
      <c r="S423" s="29" t="n"/>
      <c r="T423" s="29" t="n"/>
      <c r="U423" s="29" t="n"/>
      <c r="V423" s="22" t="n"/>
      <c r="W423" s="22" t="n"/>
      <c r="X423" s="22" t="n"/>
      <c r="Y423" s="22" t="n"/>
      <c r="Z423" s="22" t="n"/>
      <c r="AA423" s="22" t="n"/>
      <c r="AB423" s="22" t="n"/>
      <c r="AC423" s="29" t="n"/>
      <c r="AD423" s="30">
        <f>IF(A423="","",(COUNTA(A423:G423)+COUNTA(J423:AC423))/27)</f>
        <v/>
      </c>
      <c r="AE423" s="26">
        <f>IF(B423="","",WORKDAY(B423,3))</f>
        <v/>
      </c>
      <c r="AF423" s="26">
        <f>IF(B423="","",WORKDAY(B423,5))</f>
        <v/>
      </c>
      <c r="AG423" s="26">
        <f>IF(B423="","",WORKDAY(B423,10))</f>
        <v/>
      </c>
      <c r="AH423" s="26" t="n"/>
    </row>
    <row r="424">
      <c r="A424" s="22" t="n"/>
      <c r="B424" s="22" t="n"/>
      <c r="C424" s="26" t="n"/>
      <c r="D424" s="27" t="n"/>
      <c r="E424" s="22" t="n"/>
      <c r="F424" s="26" t="n"/>
      <c r="G424" s="22" t="n"/>
      <c r="H424" s="26">
        <f>IF(G424="","",IFERROR(VLOOKUP(G424,板块观察!A:Z,19,FALSE),""))</f>
        <v/>
      </c>
      <c r="I424" s="26">
        <f>IF(G424="","",IFERROR(VLOOKUP(G424,板块观察!A:Z,20,FALSE),""))</f>
        <v/>
      </c>
      <c r="J424" s="22" t="n"/>
      <c r="K424" s="22" t="n"/>
      <c r="L424" s="22" t="n"/>
      <c r="M424" s="22" t="n"/>
      <c r="N424" s="22" t="n"/>
      <c r="O424" s="22" t="n"/>
      <c r="P424" s="22" t="n"/>
      <c r="Q424" s="28" t="n"/>
      <c r="R424" s="22" t="n"/>
      <c r="S424" s="29" t="n"/>
      <c r="T424" s="29" t="n"/>
      <c r="U424" s="29" t="n"/>
      <c r="V424" s="22" t="n"/>
      <c r="W424" s="22" t="n"/>
      <c r="X424" s="22" t="n"/>
      <c r="Y424" s="22" t="n"/>
      <c r="Z424" s="22" t="n"/>
      <c r="AA424" s="22" t="n"/>
      <c r="AB424" s="22" t="n"/>
      <c r="AC424" s="29" t="n"/>
      <c r="AD424" s="30">
        <f>IF(A424="","",(COUNTA(A424:G424)+COUNTA(J424:AC424))/27)</f>
        <v/>
      </c>
      <c r="AE424" s="26">
        <f>IF(B424="","",WORKDAY(B424,3))</f>
        <v/>
      </c>
      <c r="AF424" s="26">
        <f>IF(B424="","",WORKDAY(B424,5))</f>
        <v/>
      </c>
      <c r="AG424" s="26">
        <f>IF(B424="","",WORKDAY(B424,10))</f>
        <v/>
      </c>
      <c r="AH424" s="26" t="n"/>
    </row>
    <row r="425">
      <c r="A425" s="22" t="n"/>
      <c r="B425" s="22" t="n"/>
      <c r="C425" s="26" t="n"/>
      <c r="D425" s="27" t="n"/>
      <c r="E425" s="22" t="n"/>
      <c r="F425" s="26" t="n"/>
      <c r="G425" s="22" t="n"/>
      <c r="H425" s="26">
        <f>IF(G425="","",IFERROR(VLOOKUP(G425,板块观察!A:Z,19,FALSE),""))</f>
        <v/>
      </c>
      <c r="I425" s="26">
        <f>IF(G425="","",IFERROR(VLOOKUP(G425,板块观察!A:Z,20,FALSE),""))</f>
        <v/>
      </c>
      <c r="J425" s="22" t="n"/>
      <c r="K425" s="22" t="n"/>
      <c r="L425" s="22" t="n"/>
      <c r="M425" s="22" t="n"/>
      <c r="N425" s="22" t="n"/>
      <c r="O425" s="22" t="n"/>
      <c r="P425" s="22" t="n"/>
      <c r="Q425" s="28" t="n"/>
      <c r="R425" s="22" t="n"/>
      <c r="S425" s="29" t="n"/>
      <c r="T425" s="29" t="n"/>
      <c r="U425" s="29" t="n"/>
      <c r="V425" s="22" t="n"/>
      <c r="W425" s="22" t="n"/>
      <c r="X425" s="22" t="n"/>
      <c r="Y425" s="22" t="n"/>
      <c r="Z425" s="22" t="n"/>
      <c r="AA425" s="22" t="n"/>
      <c r="AB425" s="22" t="n"/>
      <c r="AC425" s="29" t="n"/>
      <c r="AD425" s="30">
        <f>IF(A425="","",(COUNTA(A425:G425)+COUNTA(J425:AC425))/27)</f>
        <v/>
      </c>
      <c r="AE425" s="26">
        <f>IF(B425="","",WORKDAY(B425,3))</f>
        <v/>
      </c>
      <c r="AF425" s="26">
        <f>IF(B425="","",WORKDAY(B425,5))</f>
        <v/>
      </c>
      <c r="AG425" s="26">
        <f>IF(B425="","",WORKDAY(B425,10))</f>
        <v/>
      </c>
      <c r="AH425" s="26" t="n"/>
    </row>
    <row r="426">
      <c r="A426" s="22" t="n"/>
      <c r="B426" s="22" t="n"/>
      <c r="C426" s="26" t="n"/>
      <c r="D426" s="27" t="n"/>
      <c r="E426" s="22" t="n"/>
      <c r="F426" s="26" t="n"/>
      <c r="G426" s="22" t="n"/>
      <c r="H426" s="26">
        <f>IF(G426="","",IFERROR(VLOOKUP(G426,板块观察!A:Z,19,FALSE),""))</f>
        <v/>
      </c>
      <c r="I426" s="26">
        <f>IF(G426="","",IFERROR(VLOOKUP(G426,板块观察!A:Z,20,FALSE),""))</f>
        <v/>
      </c>
      <c r="J426" s="22" t="n"/>
      <c r="K426" s="22" t="n"/>
      <c r="L426" s="22" t="n"/>
      <c r="M426" s="22" t="n"/>
      <c r="N426" s="22" t="n"/>
      <c r="O426" s="22" t="n"/>
      <c r="P426" s="22" t="n"/>
      <c r="Q426" s="28" t="n"/>
      <c r="R426" s="22" t="n"/>
      <c r="S426" s="29" t="n"/>
      <c r="T426" s="29" t="n"/>
      <c r="U426" s="29" t="n"/>
      <c r="V426" s="22" t="n"/>
      <c r="W426" s="22" t="n"/>
      <c r="X426" s="22" t="n"/>
      <c r="Y426" s="22" t="n"/>
      <c r="Z426" s="22" t="n"/>
      <c r="AA426" s="22" t="n"/>
      <c r="AB426" s="22" t="n"/>
      <c r="AC426" s="29" t="n"/>
      <c r="AD426" s="30">
        <f>IF(A426="","",(COUNTA(A426:G426)+COUNTA(J426:AC426))/27)</f>
        <v/>
      </c>
      <c r="AE426" s="26">
        <f>IF(B426="","",WORKDAY(B426,3))</f>
        <v/>
      </c>
      <c r="AF426" s="26">
        <f>IF(B426="","",WORKDAY(B426,5))</f>
        <v/>
      </c>
      <c r="AG426" s="26">
        <f>IF(B426="","",WORKDAY(B426,10))</f>
        <v/>
      </c>
      <c r="AH426" s="26" t="n"/>
    </row>
    <row r="427">
      <c r="A427" s="22" t="n"/>
      <c r="B427" s="22" t="n"/>
      <c r="C427" s="26" t="n"/>
      <c r="D427" s="27" t="n"/>
      <c r="E427" s="22" t="n"/>
      <c r="F427" s="26" t="n"/>
      <c r="G427" s="22" t="n"/>
      <c r="H427" s="26">
        <f>IF(G427="","",IFERROR(VLOOKUP(G427,板块观察!A:Z,19,FALSE),""))</f>
        <v/>
      </c>
      <c r="I427" s="26">
        <f>IF(G427="","",IFERROR(VLOOKUP(G427,板块观察!A:Z,20,FALSE),""))</f>
        <v/>
      </c>
      <c r="J427" s="22" t="n"/>
      <c r="K427" s="22" t="n"/>
      <c r="L427" s="22" t="n"/>
      <c r="M427" s="22" t="n"/>
      <c r="N427" s="22" t="n"/>
      <c r="O427" s="22" t="n"/>
      <c r="P427" s="22" t="n"/>
      <c r="Q427" s="28" t="n"/>
      <c r="R427" s="22" t="n"/>
      <c r="S427" s="29" t="n"/>
      <c r="T427" s="29" t="n"/>
      <c r="U427" s="29" t="n"/>
      <c r="V427" s="22" t="n"/>
      <c r="W427" s="22" t="n"/>
      <c r="X427" s="22" t="n"/>
      <c r="Y427" s="22" t="n"/>
      <c r="Z427" s="22" t="n"/>
      <c r="AA427" s="22" t="n"/>
      <c r="AB427" s="22" t="n"/>
      <c r="AC427" s="29" t="n"/>
      <c r="AD427" s="30">
        <f>IF(A427="","",(COUNTA(A427:G427)+COUNTA(J427:AC427))/27)</f>
        <v/>
      </c>
      <c r="AE427" s="26">
        <f>IF(B427="","",WORKDAY(B427,3))</f>
        <v/>
      </c>
      <c r="AF427" s="26">
        <f>IF(B427="","",WORKDAY(B427,5))</f>
        <v/>
      </c>
      <c r="AG427" s="26">
        <f>IF(B427="","",WORKDAY(B427,10))</f>
        <v/>
      </c>
      <c r="AH427" s="26" t="n"/>
    </row>
    <row r="428">
      <c r="A428" s="22" t="n"/>
      <c r="B428" s="22" t="n"/>
      <c r="C428" s="26" t="n"/>
      <c r="D428" s="27" t="n"/>
      <c r="E428" s="22" t="n"/>
      <c r="F428" s="26" t="n"/>
      <c r="G428" s="22" t="n"/>
      <c r="H428" s="26">
        <f>IF(G428="","",IFERROR(VLOOKUP(G428,板块观察!A:Z,19,FALSE),""))</f>
        <v/>
      </c>
      <c r="I428" s="26">
        <f>IF(G428="","",IFERROR(VLOOKUP(G428,板块观察!A:Z,20,FALSE),""))</f>
        <v/>
      </c>
      <c r="J428" s="22" t="n"/>
      <c r="K428" s="22" t="n"/>
      <c r="L428" s="22" t="n"/>
      <c r="M428" s="22" t="n"/>
      <c r="N428" s="22" t="n"/>
      <c r="O428" s="22" t="n"/>
      <c r="P428" s="22" t="n"/>
      <c r="Q428" s="28" t="n"/>
      <c r="R428" s="22" t="n"/>
      <c r="S428" s="29" t="n"/>
      <c r="T428" s="29" t="n"/>
      <c r="U428" s="29" t="n"/>
      <c r="V428" s="22" t="n"/>
      <c r="W428" s="22" t="n"/>
      <c r="X428" s="22" t="n"/>
      <c r="Y428" s="22" t="n"/>
      <c r="Z428" s="22" t="n"/>
      <c r="AA428" s="22" t="n"/>
      <c r="AB428" s="22" t="n"/>
      <c r="AC428" s="29" t="n"/>
      <c r="AD428" s="30">
        <f>IF(A428="","",(COUNTA(A428:G428)+COUNTA(J428:AC428))/27)</f>
        <v/>
      </c>
      <c r="AE428" s="26">
        <f>IF(B428="","",WORKDAY(B428,3))</f>
        <v/>
      </c>
      <c r="AF428" s="26">
        <f>IF(B428="","",WORKDAY(B428,5))</f>
        <v/>
      </c>
      <c r="AG428" s="26">
        <f>IF(B428="","",WORKDAY(B428,10))</f>
        <v/>
      </c>
      <c r="AH428" s="26" t="n"/>
    </row>
    <row r="429">
      <c r="A429" s="22" t="n"/>
      <c r="B429" s="22" t="n"/>
      <c r="C429" s="26" t="n"/>
      <c r="D429" s="27" t="n"/>
      <c r="E429" s="22" t="n"/>
      <c r="F429" s="26" t="n"/>
      <c r="G429" s="22" t="n"/>
      <c r="H429" s="26">
        <f>IF(G429="","",IFERROR(VLOOKUP(G429,板块观察!A:Z,19,FALSE),""))</f>
        <v/>
      </c>
      <c r="I429" s="26">
        <f>IF(G429="","",IFERROR(VLOOKUP(G429,板块观察!A:Z,20,FALSE),""))</f>
        <v/>
      </c>
      <c r="J429" s="22" t="n"/>
      <c r="K429" s="22" t="n"/>
      <c r="L429" s="22" t="n"/>
      <c r="M429" s="22" t="n"/>
      <c r="N429" s="22" t="n"/>
      <c r="O429" s="22" t="n"/>
      <c r="P429" s="22" t="n"/>
      <c r="Q429" s="28" t="n"/>
      <c r="R429" s="22" t="n"/>
      <c r="S429" s="29" t="n"/>
      <c r="T429" s="29" t="n"/>
      <c r="U429" s="29" t="n"/>
      <c r="V429" s="22" t="n"/>
      <c r="W429" s="22" t="n"/>
      <c r="X429" s="22" t="n"/>
      <c r="Y429" s="22" t="n"/>
      <c r="Z429" s="22" t="n"/>
      <c r="AA429" s="22" t="n"/>
      <c r="AB429" s="22" t="n"/>
      <c r="AC429" s="29" t="n"/>
      <c r="AD429" s="30">
        <f>IF(A429="","",(COUNTA(A429:G429)+COUNTA(J429:AC429))/27)</f>
        <v/>
      </c>
      <c r="AE429" s="26">
        <f>IF(B429="","",WORKDAY(B429,3))</f>
        <v/>
      </c>
      <c r="AF429" s="26">
        <f>IF(B429="","",WORKDAY(B429,5))</f>
        <v/>
      </c>
      <c r="AG429" s="26">
        <f>IF(B429="","",WORKDAY(B429,10))</f>
        <v/>
      </c>
      <c r="AH429" s="26" t="n"/>
    </row>
    <row r="430">
      <c r="A430" s="22" t="n"/>
      <c r="B430" s="22" t="n"/>
      <c r="C430" s="26" t="n"/>
      <c r="D430" s="27" t="n"/>
      <c r="E430" s="22" t="n"/>
      <c r="F430" s="26" t="n"/>
      <c r="G430" s="22" t="n"/>
      <c r="H430" s="26">
        <f>IF(G430="","",IFERROR(VLOOKUP(G430,板块观察!A:Z,19,FALSE),""))</f>
        <v/>
      </c>
      <c r="I430" s="26">
        <f>IF(G430="","",IFERROR(VLOOKUP(G430,板块观察!A:Z,20,FALSE),""))</f>
        <v/>
      </c>
      <c r="J430" s="22" t="n"/>
      <c r="K430" s="22" t="n"/>
      <c r="L430" s="22" t="n"/>
      <c r="M430" s="22" t="n"/>
      <c r="N430" s="22" t="n"/>
      <c r="O430" s="22" t="n"/>
      <c r="P430" s="22" t="n"/>
      <c r="Q430" s="28" t="n"/>
      <c r="R430" s="22" t="n"/>
      <c r="S430" s="29" t="n"/>
      <c r="T430" s="29" t="n"/>
      <c r="U430" s="29" t="n"/>
      <c r="V430" s="22" t="n"/>
      <c r="W430" s="22" t="n"/>
      <c r="X430" s="22" t="n"/>
      <c r="Y430" s="22" t="n"/>
      <c r="Z430" s="22" t="n"/>
      <c r="AA430" s="22" t="n"/>
      <c r="AB430" s="22" t="n"/>
      <c r="AC430" s="29" t="n"/>
      <c r="AD430" s="30">
        <f>IF(A430="","",(COUNTA(A430:G430)+COUNTA(J430:AC430))/27)</f>
        <v/>
      </c>
      <c r="AE430" s="26">
        <f>IF(B430="","",WORKDAY(B430,3))</f>
        <v/>
      </c>
      <c r="AF430" s="26">
        <f>IF(B430="","",WORKDAY(B430,5))</f>
        <v/>
      </c>
      <c r="AG430" s="26">
        <f>IF(B430="","",WORKDAY(B430,10))</f>
        <v/>
      </c>
      <c r="AH430" s="26" t="n"/>
    </row>
    <row r="431">
      <c r="A431" s="22" t="n"/>
      <c r="B431" s="22" t="n"/>
      <c r="C431" s="26" t="n"/>
      <c r="D431" s="27" t="n"/>
      <c r="E431" s="22" t="n"/>
      <c r="F431" s="26" t="n"/>
      <c r="G431" s="22" t="n"/>
      <c r="H431" s="26">
        <f>IF(G431="","",IFERROR(VLOOKUP(G431,板块观察!A:Z,19,FALSE),""))</f>
        <v/>
      </c>
      <c r="I431" s="26">
        <f>IF(G431="","",IFERROR(VLOOKUP(G431,板块观察!A:Z,20,FALSE),""))</f>
        <v/>
      </c>
      <c r="J431" s="22" t="n"/>
      <c r="K431" s="22" t="n"/>
      <c r="L431" s="22" t="n"/>
      <c r="M431" s="22" t="n"/>
      <c r="N431" s="22" t="n"/>
      <c r="O431" s="22" t="n"/>
      <c r="P431" s="22" t="n"/>
      <c r="Q431" s="28" t="n"/>
      <c r="R431" s="22" t="n"/>
      <c r="S431" s="29" t="n"/>
      <c r="T431" s="29" t="n"/>
      <c r="U431" s="29" t="n"/>
      <c r="V431" s="22" t="n"/>
      <c r="W431" s="22" t="n"/>
      <c r="X431" s="22" t="n"/>
      <c r="Y431" s="22" t="n"/>
      <c r="Z431" s="22" t="n"/>
      <c r="AA431" s="22" t="n"/>
      <c r="AB431" s="22" t="n"/>
      <c r="AC431" s="29" t="n"/>
      <c r="AD431" s="30">
        <f>IF(A431="","",(COUNTA(A431:G431)+COUNTA(J431:AC431))/27)</f>
        <v/>
      </c>
      <c r="AE431" s="26">
        <f>IF(B431="","",WORKDAY(B431,3))</f>
        <v/>
      </c>
      <c r="AF431" s="26">
        <f>IF(B431="","",WORKDAY(B431,5))</f>
        <v/>
      </c>
      <c r="AG431" s="26">
        <f>IF(B431="","",WORKDAY(B431,10))</f>
        <v/>
      </c>
      <c r="AH431" s="26" t="n"/>
    </row>
    <row r="432">
      <c r="A432" s="22" t="n"/>
      <c r="B432" s="22" t="n"/>
      <c r="C432" s="26" t="n"/>
      <c r="D432" s="27" t="n"/>
      <c r="E432" s="22" t="n"/>
      <c r="F432" s="26" t="n"/>
      <c r="G432" s="22" t="n"/>
      <c r="H432" s="26">
        <f>IF(G432="","",IFERROR(VLOOKUP(G432,板块观察!A:Z,19,FALSE),""))</f>
        <v/>
      </c>
      <c r="I432" s="26">
        <f>IF(G432="","",IFERROR(VLOOKUP(G432,板块观察!A:Z,20,FALSE),""))</f>
        <v/>
      </c>
      <c r="J432" s="22" t="n"/>
      <c r="K432" s="22" t="n"/>
      <c r="L432" s="22" t="n"/>
      <c r="M432" s="22" t="n"/>
      <c r="N432" s="22" t="n"/>
      <c r="O432" s="22" t="n"/>
      <c r="P432" s="22" t="n"/>
      <c r="Q432" s="28" t="n"/>
      <c r="R432" s="22" t="n"/>
      <c r="S432" s="29" t="n"/>
      <c r="T432" s="29" t="n"/>
      <c r="U432" s="29" t="n"/>
      <c r="V432" s="22" t="n"/>
      <c r="W432" s="22" t="n"/>
      <c r="X432" s="22" t="n"/>
      <c r="Y432" s="22" t="n"/>
      <c r="Z432" s="22" t="n"/>
      <c r="AA432" s="22" t="n"/>
      <c r="AB432" s="22" t="n"/>
      <c r="AC432" s="29" t="n"/>
      <c r="AD432" s="30">
        <f>IF(A432="","",(COUNTA(A432:G432)+COUNTA(J432:AC432))/27)</f>
        <v/>
      </c>
      <c r="AE432" s="26">
        <f>IF(B432="","",WORKDAY(B432,3))</f>
        <v/>
      </c>
      <c r="AF432" s="26">
        <f>IF(B432="","",WORKDAY(B432,5))</f>
        <v/>
      </c>
      <c r="AG432" s="26">
        <f>IF(B432="","",WORKDAY(B432,10))</f>
        <v/>
      </c>
      <c r="AH432" s="26" t="n"/>
    </row>
    <row r="433">
      <c r="A433" s="22" t="n"/>
      <c r="B433" s="22" t="n"/>
      <c r="C433" s="26" t="n"/>
      <c r="D433" s="27" t="n"/>
      <c r="E433" s="22" t="n"/>
      <c r="F433" s="26" t="n"/>
      <c r="G433" s="22" t="n"/>
      <c r="H433" s="26">
        <f>IF(G433="","",IFERROR(VLOOKUP(G433,板块观察!A:Z,19,FALSE),""))</f>
        <v/>
      </c>
      <c r="I433" s="26">
        <f>IF(G433="","",IFERROR(VLOOKUP(G433,板块观察!A:Z,20,FALSE),""))</f>
        <v/>
      </c>
      <c r="J433" s="22" t="n"/>
      <c r="K433" s="22" t="n"/>
      <c r="L433" s="22" t="n"/>
      <c r="M433" s="22" t="n"/>
      <c r="N433" s="22" t="n"/>
      <c r="O433" s="22" t="n"/>
      <c r="P433" s="22" t="n"/>
      <c r="Q433" s="28" t="n"/>
      <c r="R433" s="22" t="n"/>
      <c r="S433" s="29" t="n"/>
      <c r="T433" s="29" t="n"/>
      <c r="U433" s="29" t="n"/>
      <c r="V433" s="22" t="n"/>
      <c r="W433" s="22" t="n"/>
      <c r="X433" s="22" t="n"/>
      <c r="Y433" s="22" t="n"/>
      <c r="Z433" s="22" t="n"/>
      <c r="AA433" s="22" t="n"/>
      <c r="AB433" s="22" t="n"/>
      <c r="AC433" s="29" t="n"/>
      <c r="AD433" s="30">
        <f>IF(A433="","",(COUNTA(A433:G433)+COUNTA(J433:AC433))/27)</f>
        <v/>
      </c>
      <c r="AE433" s="26">
        <f>IF(B433="","",WORKDAY(B433,3))</f>
        <v/>
      </c>
      <c r="AF433" s="26">
        <f>IF(B433="","",WORKDAY(B433,5))</f>
        <v/>
      </c>
      <c r="AG433" s="26">
        <f>IF(B433="","",WORKDAY(B433,10))</f>
        <v/>
      </c>
      <c r="AH433" s="26" t="n"/>
    </row>
    <row r="434">
      <c r="A434" s="22" t="n"/>
      <c r="B434" s="22" t="n"/>
      <c r="C434" s="26" t="n"/>
      <c r="D434" s="27" t="n"/>
      <c r="E434" s="22" t="n"/>
      <c r="F434" s="26" t="n"/>
      <c r="G434" s="22" t="n"/>
      <c r="H434" s="26">
        <f>IF(G434="","",IFERROR(VLOOKUP(G434,板块观察!A:Z,19,FALSE),""))</f>
        <v/>
      </c>
      <c r="I434" s="26">
        <f>IF(G434="","",IFERROR(VLOOKUP(G434,板块观察!A:Z,20,FALSE),""))</f>
        <v/>
      </c>
      <c r="J434" s="22" t="n"/>
      <c r="K434" s="22" t="n"/>
      <c r="L434" s="22" t="n"/>
      <c r="M434" s="22" t="n"/>
      <c r="N434" s="22" t="n"/>
      <c r="O434" s="22" t="n"/>
      <c r="P434" s="22" t="n"/>
      <c r="Q434" s="28" t="n"/>
      <c r="R434" s="22" t="n"/>
      <c r="S434" s="29" t="n"/>
      <c r="T434" s="29" t="n"/>
      <c r="U434" s="29" t="n"/>
      <c r="V434" s="22" t="n"/>
      <c r="W434" s="22" t="n"/>
      <c r="X434" s="22" t="n"/>
      <c r="Y434" s="22" t="n"/>
      <c r="Z434" s="22" t="n"/>
      <c r="AA434" s="22" t="n"/>
      <c r="AB434" s="22" t="n"/>
      <c r="AC434" s="29" t="n"/>
      <c r="AD434" s="30">
        <f>IF(A434="","",(COUNTA(A434:G434)+COUNTA(J434:AC434))/27)</f>
        <v/>
      </c>
      <c r="AE434" s="26">
        <f>IF(B434="","",WORKDAY(B434,3))</f>
        <v/>
      </c>
      <c r="AF434" s="26">
        <f>IF(B434="","",WORKDAY(B434,5))</f>
        <v/>
      </c>
      <c r="AG434" s="26">
        <f>IF(B434="","",WORKDAY(B434,10))</f>
        <v/>
      </c>
      <c r="AH434" s="26" t="n"/>
    </row>
    <row r="435">
      <c r="A435" s="22" t="n"/>
      <c r="B435" s="22" t="n"/>
      <c r="C435" s="26" t="n"/>
      <c r="D435" s="27" t="n"/>
      <c r="E435" s="22" t="n"/>
      <c r="F435" s="26" t="n"/>
      <c r="G435" s="22" t="n"/>
      <c r="H435" s="26">
        <f>IF(G435="","",IFERROR(VLOOKUP(G435,板块观察!A:Z,19,FALSE),""))</f>
        <v/>
      </c>
      <c r="I435" s="26">
        <f>IF(G435="","",IFERROR(VLOOKUP(G435,板块观察!A:Z,20,FALSE),""))</f>
        <v/>
      </c>
      <c r="J435" s="22" t="n"/>
      <c r="K435" s="22" t="n"/>
      <c r="L435" s="22" t="n"/>
      <c r="M435" s="22" t="n"/>
      <c r="N435" s="22" t="n"/>
      <c r="O435" s="22" t="n"/>
      <c r="P435" s="22" t="n"/>
      <c r="Q435" s="28" t="n"/>
      <c r="R435" s="22" t="n"/>
      <c r="S435" s="29" t="n"/>
      <c r="T435" s="29" t="n"/>
      <c r="U435" s="29" t="n"/>
      <c r="V435" s="22" t="n"/>
      <c r="W435" s="22" t="n"/>
      <c r="X435" s="22" t="n"/>
      <c r="Y435" s="22" t="n"/>
      <c r="Z435" s="22" t="n"/>
      <c r="AA435" s="22" t="n"/>
      <c r="AB435" s="22" t="n"/>
      <c r="AC435" s="29" t="n"/>
      <c r="AD435" s="30">
        <f>IF(A435="","",(COUNTA(A435:G435)+COUNTA(J435:AC435))/27)</f>
        <v/>
      </c>
      <c r="AE435" s="26">
        <f>IF(B435="","",WORKDAY(B435,3))</f>
        <v/>
      </c>
      <c r="AF435" s="26">
        <f>IF(B435="","",WORKDAY(B435,5))</f>
        <v/>
      </c>
      <c r="AG435" s="26">
        <f>IF(B435="","",WORKDAY(B435,10))</f>
        <v/>
      </c>
      <c r="AH435" s="26" t="n"/>
    </row>
    <row r="436">
      <c r="A436" s="22" t="n"/>
      <c r="B436" s="22" t="n"/>
      <c r="C436" s="26" t="n"/>
      <c r="D436" s="27" t="n"/>
      <c r="E436" s="22" t="n"/>
      <c r="F436" s="26" t="n"/>
      <c r="G436" s="22" t="n"/>
      <c r="H436" s="26">
        <f>IF(G436="","",IFERROR(VLOOKUP(G436,板块观察!A:Z,19,FALSE),""))</f>
        <v/>
      </c>
      <c r="I436" s="26">
        <f>IF(G436="","",IFERROR(VLOOKUP(G436,板块观察!A:Z,20,FALSE),""))</f>
        <v/>
      </c>
      <c r="J436" s="22" t="n"/>
      <c r="K436" s="22" t="n"/>
      <c r="L436" s="22" t="n"/>
      <c r="M436" s="22" t="n"/>
      <c r="N436" s="22" t="n"/>
      <c r="O436" s="22" t="n"/>
      <c r="P436" s="22" t="n"/>
      <c r="Q436" s="28" t="n"/>
      <c r="R436" s="22" t="n"/>
      <c r="S436" s="29" t="n"/>
      <c r="T436" s="29" t="n"/>
      <c r="U436" s="29" t="n"/>
      <c r="V436" s="22" t="n"/>
      <c r="W436" s="22" t="n"/>
      <c r="X436" s="22" t="n"/>
      <c r="Y436" s="22" t="n"/>
      <c r="Z436" s="22" t="n"/>
      <c r="AA436" s="22" t="n"/>
      <c r="AB436" s="22" t="n"/>
      <c r="AC436" s="29" t="n"/>
      <c r="AD436" s="30">
        <f>IF(A436="","",(COUNTA(A436:G436)+COUNTA(J436:AC436))/27)</f>
        <v/>
      </c>
      <c r="AE436" s="26">
        <f>IF(B436="","",WORKDAY(B436,3))</f>
        <v/>
      </c>
      <c r="AF436" s="26">
        <f>IF(B436="","",WORKDAY(B436,5))</f>
        <v/>
      </c>
      <c r="AG436" s="26">
        <f>IF(B436="","",WORKDAY(B436,10))</f>
        <v/>
      </c>
      <c r="AH436" s="26" t="n"/>
    </row>
    <row r="437">
      <c r="A437" s="22" t="n"/>
      <c r="B437" s="22" t="n"/>
      <c r="C437" s="26" t="n"/>
      <c r="D437" s="27" t="n"/>
      <c r="E437" s="22" t="n"/>
      <c r="F437" s="26" t="n"/>
      <c r="G437" s="22" t="n"/>
      <c r="H437" s="26">
        <f>IF(G437="","",IFERROR(VLOOKUP(G437,板块观察!A:Z,19,FALSE),""))</f>
        <v/>
      </c>
      <c r="I437" s="26">
        <f>IF(G437="","",IFERROR(VLOOKUP(G437,板块观察!A:Z,20,FALSE),""))</f>
        <v/>
      </c>
      <c r="J437" s="22" t="n"/>
      <c r="K437" s="22" t="n"/>
      <c r="L437" s="22" t="n"/>
      <c r="M437" s="22" t="n"/>
      <c r="N437" s="22" t="n"/>
      <c r="O437" s="22" t="n"/>
      <c r="P437" s="22" t="n"/>
      <c r="Q437" s="28" t="n"/>
      <c r="R437" s="22" t="n"/>
      <c r="S437" s="29" t="n"/>
      <c r="T437" s="29" t="n"/>
      <c r="U437" s="29" t="n"/>
      <c r="V437" s="22" t="n"/>
      <c r="W437" s="22" t="n"/>
      <c r="X437" s="22" t="n"/>
      <c r="Y437" s="22" t="n"/>
      <c r="Z437" s="22" t="n"/>
      <c r="AA437" s="22" t="n"/>
      <c r="AB437" s="22" t="n"/>
      <c r="AC437" s="29" t="n"/>
      <c r="AD437" s="30">
        <f>IF(A437="","",(COUNTA(A437:G437)+COUNTA(J437:AC437))/27)</f>
        <v/>
      </c>
      <c r="AE437" s="26">
        <f>IF(B437="","",WORKDAY(B437,3))</f>
        <v/>
      </c>
      <c r="AF437" s="26">
        <f>IF(B437="","",WORKDAY(B437,5))</f>
        <v/>
      </c>
      <c r="AG437" s="26">
        <f>IF(B437="","",WORKDAY(B437,10))</f>
        <v/>
      </c>
      <c r="AH437" s="26" t="n"/>
    </row>
    <row r="438">
      <c r="A438" s="22" t="n"/>
      <c r="B438" s="22" t="n"/>
      <c r="C438" s="26" t="n"/>
      <c r="D438" s="27" t="n"/>
      <c r="E438" s="22" t="n"/>
      <c r="F438" s="26" t="n"/>
      <c r="G438" s="22" t="n"/>
      <c r="H438" s="26">
        <f>IF(G438="","",IFERROR(VLOOKUP(G438,板块观察!A:Z,19,FALSE),""))</f>
        <v/>
      </c>
      <c r="I438" s="26">
        <f>IF(G438="","",IFERROR(VLOOKUP(G438,板块观察!A:Z,20,FALSE),""))</f>
        <v/>
      </c>
      <c r="J438" s="22" t="n"/>
      <c r="K438" s="22" t="n"/>
      <c r="L438" s="22" t="n"/>
      <c r="M438" s="22" t="n"/>
      <c r="N438" s="22" t="n"/>
      <c r="O438" s="22" t="n"/>
      <c r="P438" s="22" t="n"/>
      <c r="Q438" s="28" t="n"/>
      <c r="R438" s="22" t="n"/>
      <c r="S438" s="29" t="n"/>
      <c r="T438" s="29" t="n"/>
      <c r="U438" s="29" t="n"/>
      <c r="V438" s="22" t="n"/>
      <c r="W438" s="22" t="n"/>
      <c r="X438" s="22" t="n"/>
      <c r="Y438" s="22" t="n"/>
      <c r="Z438" s="22" t="n"/>
      <c r="AA438" s="22" t="n"/>
      <c r="AB438" s="22" t="n"/>
      <c r="AC438" s="29" t="n"/>
      <c r="AD438" s="30">
        <f>IF(A438="","",(COUNTA(A438:G438)+COUNTA(J438:AC438))/27)</f>
        <v/>
      </c>
      <c r="AE438" s="26">
        <f>IF(B438="","",WORKDAY(B438,3))</f>
        <v/>
      </c>
      <c r="AF438" s="26">
        <f>IF(B438="","",WORKDAY(B438,5))</f>
        <v/>
      </c>
      <c r="AG438" s="26">
        <f>IF(B438="","",WORKDAY(B438,10))</f>
        <v/>
      </c>
      <c r="AH438" s="26" t="n"/>
    </row>
    <row r="439">
      <c r="A439" s="22" t="n"/>
      <c r="B439" s="22" t="n"/>
      <c r="C439" s="26" t="n"/>
      <c r="D439" s="27" t="n"/>
      <c r="E439" s="22" t="n"/>
      <c r="F439" s="26" t="n"/>
      <c r="G439" s="22" t="n"/>
      <c r="H439" s="26">
        <f>IF(G439="","",IFERROR(VLOOKUP(G439,板块观察!A:Z,19,FALSE),""))</f>
        <v/>
      </c>
      <c r="I439" s="26">
        <f>IF(G439="","",IFERROR(VLOOKUP(G439,板块观察!A:Z,20,FALSE),""))</f>
        <v/>
      </c>
      <c r="J439" s="22" t="n"/>
      <c r="K439" s="22" t="n"/>
      <c r="L439" s="22" t="n"/>
      <c r="M439" s="22" t="n"/>
      <c r="N439" s="22" t="n"/>
      <c r="O439" s="22" t="n"/>
      <c r="P439" s="22" t="n"/>
      <c r="Q439" s="28" t="n"/>
      <c r="R439" s="22" t="n"/>
      <c r="S439" s="29" t="n"/>
      <c r="T439" s="29" t="n"/>
      <c r="U439" s="29" t="n"/>
      <c r="V439" s="22" t="n"/>
      <c r="W439" s="22" t="n"/>
      <c r="X439" s="22" t="n"/>
      <c r="Y439" s="22" t="n"/>
      <c r="Z439" s="22" t="n"/>
      <c r="AA439" s="22" t="n"/>
      <c r="AB439" s="22" t="n"/>
      <c r="AC439" s="29" t="n"/>
      <c r="AD439" s="30">
        <f>IF(A439="","",(COUNTA(A439:G439)+COUNTA(J439:AC439))/27)</f>
        <v/>
      </c>
      <c r="AE439" s="26">
        <f>IF(B439="","",WORKDAY(B439,3))</f>
        <v/>
      </c>
      <c r="AF439" s="26">
        <f>IF(B439="","",WORKDAY(B439,5))</f>
        <v/>
      </c>
      <c r="AG439" s="26">
        <f>IF(B439="","",WORKDAY(B439,10))</f>
        <v/>
      </c>
      <c r="AH439" s="26" t="n"/>
    </row>
    <row r="440">
      <c r="A440" s="22" t="n"/>
      <c r="B440" s="22" t="n"/>
      <c r="C440" s="26" t="n"/>
      <c r="D440" s="27" t="n"/>
      <c r="E440" s="22" t="n"/>
      <c r="F440" s="26" t="n"/>
      <c r="G440" s="22" t="n"/>
      <c r="H440" s="26">
        <f>IF(G440="","",IFERROR(VLOOKUP(G440,板块观察!A:Z,19,FALSE),""))</f>
        <v/>
      </c>
      <c r="I440" s="26">
        <f>IF(G440="","",IFERROR(VLOOKUP(G440,板块观察!A:Z,20,FALSE),""))</f>
        <v/>
      </c>
      <c r="J440" s="22" t="n"/>
      <c r="K440" s="22" t="n"/>
      <c r="L440" s="22" t="n"/>
      <c r="M440" s="22" t="n"/>
      <c r="N440" s="22" t="n"/>
      <c r="O440" s="22" t="n"/>
      <c r="P440" s="22" t="n"/>
      <c r="Q440" s="28" t="n"/>
      <c r="R440" s="22" t="n"/>
      <c r="S440" s="29" t="n"/>
      <c r="T440" s="29" t="n"/>
      <c r="U440" s="29" t="n"/>
      <c r="V440" s="22" t="n"/>
      <c r="W440" s="22" t="n"/>
      <c r="X440" s="22" t="n"/>
      <c r="Y440" s="22" t="n"/>
      <c r="Z440" s="22" t="n"/>
      <c r="AA440" s="22" t="n"/>
      <c r="AB440" s="22" t="n"/>
      <c r="AC440" s="29" t="n"/>
      <c r="AD440" s="30">
        <f>IF(A440="","",(COUNTA(A440:G440)+COUNTA(J440:AC440))/27)</f>
        <v/>
      </c>
      <c r="AE440" s="26">
        <f>IF(B440="","",WORKDAY(B440,3))</f>
        <v/>
      </c>
      <c r="AF440" s="26">
        <f>IF(B440="","",WORKDAY(B440,5))</f>
        <v/>
      </c>
      <c r="AG440" s="26">
        <f>IF(B440="","",WORKDAY(B440,10))</f>
        <v/>
      </c>
      <c r="AH440" s="26" t="n"/>
    </row>
    <row r="441">
      <c r="A441" s="22" t="n"/>
      <c r="B441" s="22" t="n"/>
      <c r="C441" s="26" t="n"/>
      <c r="D441" s="27" t="n"/>
      <c r="E441" s="22" t="n"/>
      <c r="F441" s="26" t="n"/>
      <c r="G441" s="22" t="n"/>
      <c r="H441" s="26">
        <f>IF(G441="","",IFERROR(VLOOKUP(G441,板块观察!A:Z,19,FALSE),""))</f>
        <v/>
      </c>
      <c r="I441" s="26">
        <f>IF(G441="","",IFERROR(VLOOKUP(G441,板块观察!A:Z,20,FALSE),""))</f>
        <v/>
      </c>
      <c r="J441" s="22" t="n"/>
      <c r="K441" s="22" t="n"/>
      <c r="L441" s="22" t="n"/>
      <c r="M441" s="22" t="n"/>
      <c r="N441" s="22" t="n"/>
      <c r="O441" s="22" t="n"/>
      <c r="P441" s="22" t="n"/>
      <c r="Q441" s="28" t="n"/>
      <c r="R441" s="22" t="n"/>
      <c r="S441" s="29" t="n"/>
      <c r="T441" s="29" t="n"/>
      <c r="U441" s="29" t="n"/>
      <c r="V441" s="22" t="n"/>
      <c r="W441" s="22" t="n"/>
      <c r="X441" s="22" t="n"/>
      <c r="Y441" s="22" t="n"/>
      <c r="Z441" s="22" t="n"/>
      <c r="AA441" s="22" t="n"/>
      <c r="AB441" s="22" t="n"/>
      <c r="AC441" s="29" t="n"/>
      <c r="AD441" s="30">
        <f>IF(A441="","",(COUNTA(A441:G441)+COUNTA(J441:AC441))/27)</f>
        <v/>
      </c>
      <c r="AE441" s="26">
        <f>IF(B441="","",WORKDAY(B441,3))</f>
        <v/>
      </c>
      <c r="AF441" s="26">
        <f>IF(B441="","",WORKDAY(B441,5))</f>
        <v/>
      </c>
      <c r="AG441" s="26">
        <f>IF(B441="","",WORKDAY(B441,10))</f>
        <v/>
      </c>
      <c r="AH441" s="26" t="n"/>
    </row>
    <row r="442">
      <c r="A442" s="22" t="n"/>
      <c r="B442" s="22" t="n"/>
      <c r="C442" s="26" t="n"/>
      <c r="D442" s="27" t="n"/>
      <c r="E442" s="22" t="n"/>
      <c r="F442" s="26" t="n"/>
      <c r="G442" s="22" t="n"/>
      <c r="H442" s="26">
        <f>IF(G442="","",IFERROR(VLOOKUP(G442,板块观察!A:Z,19,FALSE),""))</f>
        <v/>
      </c>
      <c r="I442" s="26">
        <f>IF(G442="","",IFERROR(VLOOKUP(G442,板块观察!A:Z,20,FALSE),""))</f>
        <v/>
      </c>
      <c r="J442" s="22" t="n"/>
      <c r="K442" s="22" t="n"/>
      <c r="L442" s="22" t="n"/>
      <c r="M442" s="22" t="n"/>
      <c r="N442" s="22" t="n"/>
      <c r="O442" s="22" t="n"/>
      <c r="P442" s="22" t="n"/>
      <c r="Q442" s="28" t="n"/>
      <c r="R442" s="22" t="n"/>
      <c r="S442" s="29" t="n"/>
      <c r="T442" s="29" t="n"/>
      <c r="U442" s="29" t="n"/>
      <c r="V442" s="22" t="n"/>
      <c r="W442" s="22" t="n"/>
      <c r="X442" s="22" t="n"/>
      <c r="Y442" s="22" t="n"/>
      <c r="Z442" s="22" t="n"/>
      <c r="AA442" s="22" t="n"/>
      <c r="AB442" s="22" t="n"/>
      <c r="AC442" s="29" t="n"/>
      <c r="AD442" s="30">
        <f>IF(A442="","",(COUNTA(A442:G442)+COUNTA(J442:AC442))/27)</f>
        <v/>
      </c>
      <c r="AE442" s="26">
        <f>IF(B442="","",WORKDAY(B442,3))</f>
        <v/>
      </c>
      <c r="AF442" s="26">
        <f>IF(B442="","",WORKDAY(B442,5))</f>
        <v/>
      </c>
      <c r="AG442" s="26">
        <f>IF(B442="","",WORKDAY(B442,10))</f>
        <v/>
      </c>
      <c r="AH442" s="26" t="n"/>
    </row>
    <row r="443">
      <c r="A443" s="22" t="n"/>
      <c r="B443" s="22" t="n"/>
      <c r="C443" s="26" t="n"/>
      <c r="D443" s="27" t="n"/>
      <c r="E443" s="22" t="n"/>
      <c r="F443" s="26" t="n"/>
      <c r="G443" s="22" t="n"/>
      <c r="H443" s="26">
        <f>IF(G443="","",IFERROR(VLOOKUP(G443,板块观察!A:Z,19,FALSE),""))</f>
        <v/>
      </c>
      <c r="I443" s="26">
        <f>IF(G443="","",IFERROR(VLOOKUP(G443,板块观察!A:Z,20,FALSE),""))</f>
        <v/>
      </c>
      <c r="J443" s="22" t="n"/>
      <c r="K443" s="22" t="n"/>
      <c r="L443" s="22" t="n"/>
      <c r="M443" s="22" t="n"/>
      <c r="N443" s="22" t="n"/>
      <c r="O443" s="22" t="n"/>
      <c r="P443" s="22" t="n"/>
      <c r="Q443" s="28" t="n"/>
      <c r="R443" s="22" t="n"/>
      <c r="S443" s="29" t="n"/>
      <c r="T443" s="29" t="n"/>
      <c r="U443" s="29" t="n"/>
      <c r="V443" s="22" t="n"/>
      <c r="W443" s="22" t="n"/>
      <c r="X443" s="22" t="n"/>
      <c r="Y443" s="22" t="n"/>
      <c r="Z443" s="22" t="n"/>
      <c r="AA443" s="22" t="n"/>
      <c r="AB443" s="22" t="n"/>
      <c r="AC443" s="29" t="n"/>
      <c r="AD443" s="30">
        <f>IF(A443="","",(COUNTA(A443:G443)+COUNTA(J443:AC443))/27)</f>
        <v/>
      </c>
      <c r="AE443" s="26">
        <f>IF(B443="","",WORKDAY(B443,3))</f>
        <v/>
      </c>
      <c r="AF443" s="26">
        <f>IF(B443="","",WORKDAY(B443,5))</f>
        <v/>
      </c>
      <c r="AG443" s="26">
        <f>IF(B443="","",WORKDAY(B443,10))</f>
        <v/>
      </c>
      <c r="AH443" s="26" t="n"/>
    </row>
    <row r="444">
      <c r="A444" s="22" t="n"/>
      <c r="B444" s="22" t="n"/>
      <c r="C444" s="26" t="n"/>
      <c r="D444" s="27" t="n"/>
      <c r="E444" s="22" t="n"/>
      <c r="F444" s="26" t="n"/>
      <c r="G444" s="22" t="n"/>
      <c r="H444" s="26">
        <f>IF(G444="","",IFERROR(VLOOKUP(G444,板块观察!A:Z,19,FALSE),""))</f>
        <v/>
      </c>
      <c r="I444" s="26">
        <f>IF(G444="","",IFERROR(VLOOKUP(G444,板块观察!A:Z,20,FALSE),""))</f>
        <v/>
      </c>
      <c r="J444" s="22" t="n"/>
      <c r="K444" s="22" t="n"/>
      <c r="L444" s="22" t="n"/>
      <c r="M444" s="22" t="n"/>
      <c r="N444" s="22" t="n"/>
      <c r="O444" s="22" t="n"/>
      <c r="P444" s="22" t="n"/>
      <c r="Q444" s="28" t="n"/>
      <c r="R444" s="22" t="n"/>
      <c r="S444" s="29" t="n"/>
      <c r="T444" s="29" t="n"/>
      <c r="U444" s="29" t="n"/>
      <c r="V444" s="22" t="n"/>
      <c r="W444" s="22" t="n"/>
      <c r="X444" s="22" t="n"/>
      <c r="Y444" s="22" t="n"/>
      <c r="Z444" s="22" t="n"/>
      <c r="AA444" s="22" t="n"/>
      <c r="AB444" s="22" t="n"/>
      <c r="AC444" s="29" t="n"/>
      <c r="AD444" s="30">
        <f>IF(A444="","",(COUNTA(A444:G444)+COUNTA(J444:AC444))/27)</f>
        <v/>
      </c>
      <c r="AE444" s="26">
        <f>IF(B444="","",WORKDAY(B444,3))</f>
        <v/>
      </c>
      <c r="AF444" s="26">
        <f>IF(B444="","",WORKDAY(B444,5))</f>
        <v/>
      </c>
      <c r="AG444" s="26">
        <f>IF(B444="","",WORKDAY(B444,10))</f>
        <v/>
      </c>
      <c r="AH444" s="26" t="n"/>
    </row>
    <row r="445">
      <c r="A445" s="22" t="n"/>
      <c r="B445" s="22" t="n"/>
      <c r="C445" s="26" t="n"/>
      <c r="D445" s="27" t="n"/>
      <c r="E445" s="22" t="n"/>
      <c r="F445" s="26" t="n"/>
      <c r="G445" s="22" t="n"/>
      <c r="H445" s="26">
        <f>IF(G445="","",IFERROR(VLOOKUP(G445,板块观察!A:Z,19,FALSE),""))</f>
        <v/>
      </c>
      <c r="I445" s="26">
        <f>IF(G445="","",IFERROR(VLOOKUP(G445,板块观察!A:Z,20,FALSE),""))</f>
        <v/>
      </c>
      <c r="J445" s="22" t="n"/>
      <c r="K445" s="22" t="n"/>
      <c r="L445" s="22" t="n"/>
      <c r="M445" s="22" t="n"/>
      <c r="N445" s="22" t="n"/>
      <c r="O445" s="22" t="n"/>
      <c r="P445" s="22" t="n"/>
      <c r="Q445" s="28" t="n"/>
      <c r="R445" s="22" t="n"/>
      <c r="S445" s="29" t="n"/>
      <c r="T445" s="29" t="n"/>
      <c r="U445" s="29" t="n"/>
      <c r="V445" s="22" t="n"/>
      <c r="W445" s="22" t="n"/>
      <c r="X445" s="22" t="n"/>
      <c r="Y445" s="22" t="n"/>
      <c r="Z445" s="22" t="n"/>
      <c r="AA445" s="22" t="n"/>
      <c r="AB445" s="22" t="n"/>
      <c r="AC445" s="29" t="n"/>
      <c r="AD445" s="30">
        <f>IF(A445="","",(COUNTA(A445:G445)+COUNTA(J445:AC445))/27)</f>
        <v/>
      </c>
      <c r="AE445" s="26">
        <f>IF(B445="","",WORKDAY(B445,3))</f>
        <v/>
      </c>
      <c r="AF445" s="26">
        <f>IF(B445="","",WORKDAY(B445,5))</f>
        <v/>
      </c>
      <c r="AG445" s="26">
        <f>IF(B445="","",WORKDAY(B445,10))</f>
        <v/>
      </c>
      <c r="AH445" s="26" t="n"/>
    </row>
    <row r="446">
      <c r="A446" s="22" t="n"/>
      <c r="B446" s="22" t="n"/>
      <c r="C446" s="26" t="n"/>
      <c r="D446" s="27" t="n"/>
      <c r="E446" s="22" t="n"/>
      <c r="F446" s="26" t="n"/>
      <c r="G446" s="22" t="n"/>
      <c r="H446" s="26">
        <f>IF(G446="","",IFERROR(VLOOKUP(G446,板块观察!A:Z,19,FALSE),""))</f>
        <v/>
      </c>
      <c r="I446" s="26">
        <f>IF(G446="","",IFERROR(VLOOKUP(G446,板块观察!A:Z,20,FALSE),""))</f>
        <v/>
      </c>
      <c r="J446" s="22" t="n"/>
      <c r="K446" s="22" t="n"/>
      <c r="L446" s="22" t="n"/>
      <c r="M446" s="22" t="n"/>
      <c r="N446" s="22" t="n"/>
      <c r="O446" s="22" t="n"/>
      <c r="P446" s="22" t="n"/>
      <c r="Q446" s="28" t="n"/>
      <c r="R446" s="22" t="n"/>
      <c r="S446" s="29" t="n"/>
      <c r="T446" s="29" t="n"/>
      <c r="U446" s="29" t="n"/>
      <c r="V446" s="22" t="n"/>
      <c r="W446" s="22" t="n"/>
      <c r="X446" s="22" t="n"/>
      <c r="Y446" s="22" t="n"/>
      <c r="Z446" s="22" t="n"/>
      <c r="AA446" s="22" t="n"/>
      <c r="AB446" s="22" t="n"/>
      <c r="AC446" s="29" t="n"/>
      <c r="AD446" s="30">
        <f>IF(A446="","",(COUNTA(A446:G446)+COUNTA(J446:AC446))/27)</f>
        <v/>
      </c>
      <c r="AE446" s="26">
        <f>IF(B446="","",WORKDAY(B446,3))</f>
        <v/>
      </c>
      <c r="AF446" s="26">
        <f>IF(B446="","",WORKDAY(B446,5))</f>
        <v/>
      </c>
      <c r="AG446" s="26">
        <f>IF(B446="","",WORKDAY(B446,10))</f>
        <v/>
      </c>
      <c r="AH446" s="26" t="n"/>
    </row>
    <row r="447">
      <c r="A447" s="22" t="n"/>
      <c r="B447" s="22" t="n"/>
      <c r="C447" s="26" t="n"/>
      <c r="D447" s="27" t="n"/>
      <c r="E447" s="22" t="n"/>
      <c r="F447" s="26" t="n"/>
      <c r="G447" s="22" t="n"/>
      <c r="H447" s="26">
        <f>IF(G447="","",IFERROR(VLOOKUP(G447,板块观察!A:Z,19,FALSE),""))</f>
        <v/>
      </c>
      <c r="I447" s="26">
        <f>IF(G447="","",IFERROR(VLOOKUP(G447,板块观察!A:Z,20,FALSE),""))</f>
        <v/>
      </c>
      <c r="J447" s="22" t="n"/>
      <c r="K447" s="22" t="n"/>
      <c r="L447" s="22" t="n"/>
      <c r="M447" s="22" t="n"/>
      <c r="N447" s="22" t="n"/>
      <c r="O447" s="22" t="n"/>
      <c r="P447" s="22" t="n"/>
      <c r="Q447" s="28" t="n"/>
      <c r="R447" s="22" t="n"/>
      <c r="S447" s="29" t="n"/>
      <c r="T447" s="29" t="n"/>
      <c r="U447" s="29" t="n"/>
      <c r="V447" s="22" t="n"/>
      <c r="W447" s="22" t="n"/>
      <c r="X447" s="22" t="n"/>
      <c r="Y447" s="22" t="n"/>
      <c r="Z447" s="22" t="n"/>
      <c r="AA447" s="22" t="n"/>
      <c r="AB447" s="22" t="n"/>
      <c r="AC447" s="29" t="n"/>
      <c r="AD447" s="30">
        <f>IF(A447="","",(COUNTA(A447:G447)+COUNTA(J447:AC447))/27)</f>
        <v/>
      </c>
      <c r="AE447" s="26">
        <f>IF(B447="","",WORKDAY(B447,3))</f>
        <v/>
      </c>
      <c r="AF447" s="26">
        <f>IF(B447="","",WORKDAY(B447,5))</f>
        <v/>
      </c>
      <c r="AG447" s="26">
        <f>IF(B447="","",WORKDAY(B447,10))</f>
        <v/>
      </c>
      <c r="AH447" s="26" t="n"/>
    </row>
    <row r="448">
      <c r="A448" s="22" t="n"/>
      <c r="B448" s="22" t="n"/>
      <c r="C448" s="26" t="n"/>
      <c r="D448" s="27" t="n"/>
      <c r="E448" s="22" t="n"/>
      <c r="F448" s="26" t="n"/>
      <c r="G448" s="22" t="n"/>
      <c r="H448" s="26">
        <f>IF(G448="","",IFERROR(VLOOKUP(G448,板块观察!A:Z,19,FALSE),""))</f>
        <v/>
      </c>
      <c r="I448" s="26">
        <f>IF(G448="","",IFERROR(VLOOKUP(G448,板块观察!A:Z,20,FALSE),""))</f>
        <v/>
      </c>
      <c r="J448" s="22" t="n"/>
      <c r="K448" s="22" t="n"/>
      <c r="L448" s="22" t="n"/>
      <c r="M448" s="22" t="n"/>
      <c r="N448" s="22" t="n"/>
      <c r="O448" s="22" t="n"/>
      <c r="P448" s="22" t="n"/>
      <c r="Q448" s="28" t="n"/>
      <c r="R448" s="22" t="n"/>
      <c r="S448" s="29" t="n"/>
      <c r="T448" s="29" t="n"/>
      <c r="U448" s="29" t="n"/>
      <c r="V448" s="22" t="n"/>
      <c r="W448" s="22" t="n"/>
      <c r="X448" s="22" t="n"/>
      <c r="Y448" s="22" t="n"/>
      <c r="Z448" s="22" t="n"/>
      <c r="AA448" s="22" t="n"/>
      <c r="AB448" s="22" t="n"/>
      <c r="AC448" s="29" t="n"/>
      <c r="AD448" s="30">
        <f>IF(A448="","",(COUNTA(A448:G448)+COUNTA(J448:AC448))/27)</f>
        <v/>
      </c>
      <c r="AE448" s="26">
        <f>IF(B448="","",WORKDAY(B448,3))</f>
        <v/>
      </c>
      <c r="AF448" s="26">
        <f>IF(B448="","",WORKDAY(B448,5))</f>
        <v/>
      </c>
      <c r="AG448" s="26">
        <f>IF(B448="","",WORKDAY(B448,10))</f>
        <v/>
      </c>
      <c r="AH448" s="26" t="n"/>
    </row>
    <row r="449">
      <c r="A449" s="22" t="n"/>
      <c r="B449" s="22" t="n"/>
      <c r="C449" s="26" t="n"/>
      <c r="D449" s="27" t="n"/>
      <c r="E449" s="22" t="n"/>
      <c r="F449" s="26" t="n"/>
      <c r="G449" s="22" t="n"/>
      <c r="H449" s="26">
        <f>IF(G449="","",IFERROR(VLOOKUP(G449,板块观察!A:Z,19,FALSE),""))</f>
        <v/>
      </c>
      <c r="I449" s="26">
        <f>IF(G449="","",IFERROR(VLOOKUP(G449,板块观察!A:Z,20,FALSE),""))</f>
        <v/>
      </c>
      <c r="J449" s="22" t="n"/>
      <c r="K449" s="22" t="n"/>
      <c r="L449" s="22" t="n"/>
      <c r="M449" s="22" t="n"/>
      <c r="N449" s="22" t="n"/>
      <c r="O449" s="22" t="n"/>
      <c r="P449" s="22" t="n"/>
      <c r="Q449" s="28" t="n"/>
      <c r="R449" s="22" t="n"/>
      <c r="S449" s="29" t="n"/>
      <c r="T449" s="29" t="n"/>
      <c r="U449" s="29" t="n"/>
      <c r="V449" s="22" t="n"/>
      <c r="W449" s="22" t="n"/>
      <c r="X449" s="22" t="n"/>
      <c r="Y449" s="22" t="n"/>
      <c r="Z449" s="22" t="n"/>
      <c r="AA449" s="22" t="n"/>
      <c r="AB449" s="22" t="n"/>
      <c r="AC449" s="29" t="n"/>
      <c r="AD449" s="30">
        <f>IF(A449="","",(COUNTA(A449:G449)+COUNTA(J449:AC449))/27)</f>
        <v/>
      </c>
      <c r="AE449" s="26">
        <f>IF(B449="","",WORKDAY(B449,3))</f>
        <v/>
      </c>
      <c r="AF449" s="26">
        <f>IF(B449="","",WORKDAY(B449,5))</f>
        <v/>
      </c>
      <c r="AG449" s="26">
        <f>IF(B449="","",WORKDAY(B449,10))</f>
        <v/>
      </c>
      <c r="AH449" s="26" t="n"/>
    </row>
    <row r="450">
      <c r="A450" s="22" t="n"/>
      <c r="B450" s="22" t="n"/>
      <c r="C450" s="26" t="n"/>
      <c r="D450" s="27" t="n"/>
      <c r="E450" s="22" t="n"/>
      <c r="F450" s="26" t="n"/>
      <c r="G450" s="22" t="n"/>
      <c r="H450" s="26">
        <f>IF(G450="","",IFERROR(VLOOKUP(G450,板块观察!A:Z,19,FALSE),""))</f>
        <v/>
      </c>
      <c r="I450" s="26">
        <f>IF(G450="","",IFERROR(VLOOKUP(G450,板块观察!A:Z,20,FALSE),""))</f>
        <v/>
      </c>
      <c r="J450" s="22" t="n"/>
      <c r="K450" s="22" t="n"/>
      <c r="L450" s="22" t="n"/>
      <c r="M450" s="22" t="n"/>
      <c r="N450" s="22" t="n"/>
      <c r="O450" s="22" t="n"/>
      <c r="P450" s="22" t="n"/>
      <c r="Q450" s="28" t="n"/>
      <c r="R450" s="22" t="n"/>
      <c r="S450" s="29" t="n"/>
      <c r="T450" s="29" t="n"/>
      <c r="U450" s="29" t="n"/>
      <c r="V450" s="22" t="n"/>
      <c r="W450" s="22" t="n"/>
      <c r="X450" s="22" t="n"/>
      <c r="Y450" s="22" t="n"/>
      <c r="Z450" s="22" t="n"/>
      <c r="AA450" s="22" t="n"/>
      <c r="AB450" s="22" t="n"/>
      <c r="AC450" s="29" t="n"/>
      <c r="AD450" s="30">
        <f>IF(A450="","",(COUNTA(A450:G450)+COUNTA(J450:AC450))/27)</f>
        <v/>
      </c>
      <c r="AE450" s="26">
        <f>IF(B450="","",WORKDAY(B450,3))</f>
        <v/>
      </c>
      <c r="AF450" s="26">
        <f>IF(B450="","",WORKDAY(B450,5))</f>
        <v/>
      </c>
      <c r="AG450" s="26">
        <f>IF(B450="","",WORKDAY(B450,10))</f>
        <v/>
      </c>
      <c r="AH450" s="26" t="n"/>
    </row>
    <row r="451">
      <c r="A451" s="22" t="n"/>
      <c r="B451" s="22" t="n"/>
      <c r="C451" s="26" t="n"/>
      <c r="D451" s="27" t="n"/>
      <c r="E451" s="22" t="n"/>
      <c r="F451" s="26" t="n"/>
      <c r="G451" s="22" t="n"/>
      <c r="H451" s="26">
        <f>IF(G451="","",IFERROR(VLOOKUP(G451,板块观察!A:Z,19,FALSE),""))</f>
        <v/>
      </c>
      <c r="I451" s="26">
        <f>IF(G451="","",IFERROR(VLOOKUP(G451,板块观察!A:Z,20,FALSE),""))</f>
        <v/>
      </c>
      <c r="J451" s="22" t="n"/>
      <c r="K451" s="22" t="n"/>
      <c r="L451" s="22" t="n"/>
      <c r="M451" s="22" t="n"/>
      <c r="N451" s="22" t="n"/>
      <c r="O451" s="22" t="n"/>
      <c r="P451" s="22" t="n"/>
      <c r="Q451" s="28" t="n"/>
      <c r="R451" s="22" t="n"/>
      <c r="S451" s="29" t="n"/>
      <c r="T451" s="29" t="n"/>
      <c r="U451" s="29" t="n"/>
      <c r="V451" s="22" t="n"/>
      <c r="W451" s="22" t="n"/>
      <c r="X451" s="22" t="n"/>
      <c r="Y451" s="22" t="n"/>
      <c r="Z451" s="22" t="n"/>
      <c r="AA451" s="22" t="n"/>
      <c r="AB451" s="22" t="n"/>
      <c r="AC451" s="29" t="n"/>
      <c r="AD451" s="30">
        <f>IF(A451="","",(COUNTA(A451:G451)+COUNTA(J451:AC451))/27)</f>
        <v/>
      </c>
      <c r="AE451" s="26">
        <f>IF(B451="","",WORKDAY(B451,3))</f>
        <v/>
      </c>
      <c r="AF451" s="26">
        <f>IF(B451="","",WORKDAY(B451,5))</f>
        <v/>
      </c>
      <c r="AG451" s="26">
        <f>IF(B451="","",WORKDAY(B451,10))</f>
        <v/>
      </c>
      <c r="AH451" s="26" t="n"/>
    </row>
    <row r="452">
      <c r="A452" s="22" t="n"/>
      <c r="B452" s="22" t="n"/>
      <c r="C452" s="26" t="n"/>
      <c r="D452" s="27" t="n"/>
      <c r="E452" s="22" t="n"/>
      <c r="F452" s="26" t="n"/>
      <c r="G452" s="22" t="n"/>
      <c r="H452" s="26">
        <f>IF(G452="","",IFERROR(VLOOKUP(G452,板块观察!A:Z,19,FALSE),""))</f>
        <v/>
      </c>
      <c r="I452" s="26">
        <f>IF(G452="","",IFERROR(VLOOKUP(G452,板块观察!A:Z,20,FALSE),""))</f>
        <v/>
      </c>
      <c r="J452" s="22" t="n"/>
      <c r="K452" s="22" t="n"/>
      <c r="L452" s="22" t="n"/>
      <c r="M452" s="22" t="n"/>
      <c r="N452" s="22" t="n"/>
      <c r="O452" s="22" t="n"/>
      <c r="P452" s="22" t="n"/>
      <c r="Q452" s="28" t="n"/>
      <c r="R452" s="22" t="n"/>
      <c r="S452" s="29" t="n"/>
      <c r="T452" s="29" t="n"/>
      <c r="U452" s="29" t="n"/>
      <c r="V452" s="22" t="n"/>
      <c r="W452" s="22" t="n"/>
      <c r="X452" s="22" t="n"/>
      <c r="Y452" s="22" t="n"/>
      <c r="Z452" s="22" t="n"/>
      <c r="AA452" s="22" t="n"/>
      <c r="AB452" s="22" t="n"/>
      <c r="AC452" s="29" t="n"/>
      <c r="AD452" s="30">
        <f>IF(A452="","",(COUNTA(A452:G452)+COUNTA(J452:AC452))/27)</f>
        <v/>
      </c>
      <c r="AE452" s="26">
        <f>IF(B452="","",WORKDAY(B452,3))</f>
        <v/>
      </c>
      <c r="AF452" s="26">
        <f>IF(B452="","",WORKDAY(B452,5))</f>
        <v/>
      </c>
      <c r="AG452" s="26">
        <f>IF(B452="","",WORKDAY(B452,10))</f>
        <v/>
      </c>
      <c r="AH452" s="26" t="n"/>
    </row>
    <row r="453">
      <c r="A453" s="22" t="n"/>
      <c r="B453" s="22" t="n"/>
      <c r="C453" s="26" t="n"/>
      <c r="D453" s="27" t="n"/>
      <c r="E453" s="22" t="n"/>
      <c r="F453" s="26" t="n"/>
      <c r="G453" s="22" t="n"/>
      <c r="H453" s="26">
        <f>IF(G453="","",IFERROR(VLOOKUP(G453,板块观察!A:Z,19,FALSE),""))</f>
        <v/>
      </c>
      <c r="I453" s="26">
        <f>IF(G453="","",IFERROR(VLOOKUP(G453,板块观察!A:Z,20,FALSE),""))</f>
        <v/>
      </c>
      <c r="J453" s="22" t="n"/>
      <c r="K453" s="22" t="n"/>
      <c r="L453" s="22" t="n"/>
      <c r="M453" s="22" t="n"/>
      <c r="N453" s="22" t="n"/>
      <c r="O453" s="22" t="n"/>
      <c r="P453" s="22" t="n"/>
      <c r="Q453" s="28" t="n"/>
      <c r="R453" s="22" t="n"/>
      <c r="S453" s="29" t="n"/>
      <c r="T453" s="29" t="n"/>
      <c r="U453" s="29" t="n"/>
      <c r="V453" s="22" t="n"/>
      <c r="W453" s="22" t="n"/>
      <c r="X453" s="22" t="n"/>
      <c r="Y453" s="22" t="n"/>
      <c r="Z453" s="22" t="n"/>
      <c r="AA453" s="22" t="n"/>
      <c r="AB453" s="22" t="n"/>
      <c r="AC453" s="29" t="n"/>
      <c r="AD453" s="30">
        <f>IF(A453="","",(COUNTA(A453:G453)+COUNTA(J453:AC453))/27)</f>
        <v/>
      </c>
      <c r="AE453" s="26">
        <f>IF(B453="","",WORKDAY(B453,3))</f>
        <v/>
      </c>
      <c r="AF453" s="26">
        <f>IF(B453="","",WORKDAY(B453,5))</f>
        <v/>
      </c>
      <c r="AG453" s="26">
        <f>IF(B453="","",WORKDAY(B453,10))</f>
        <v/>
      </c>
      <c r="AH453" s="26" t="n"/>
    </row>
    <row r="454">
      <c r="A454" s="22" t="n"/>
      <c r="B454" s="22" t="n"/>
      <c r="C454" s="26" t="n"/>
      <c r="D454" s="27" t="n"/>
      <c r="E454" s="22" t="n"/>
      <c r="F454" s="26" t="n"/>
      <c r="G454" s="22" t="n"/>
      <c r="H454" s="26">
        <f>IF(G454="","",IFERROR(VLOOKUP(G454,板块观察!A:Z,19,FALSE),""))</f>
        <v/>
      </c>
      <c r="I454" s="26">
        <f>IF(G454="","",IFERROR(VLOOKUP(G454,板块观察!A:Z,20,FALSE),""))</f>
        <v/>
      </c>
      <c r="J454" s="22" t="n"/>
      <c r="K454" s="22" t="n"/>
      <c r="L454" s="22" t="n"/>
      <c r="M454" s="22" t="n"/>
      <c r="N454" s="22" t="n"/>
      <c r="O454" s="22" t="n"/>
      <c r="P454" s="22" t="n"/>
      <c r="Q454" s="28" t="n"/>
      <c r="R454" s="22" t="n"/>
      <c r="S454" s="29" t="n"/>
      <c r="T454" s="29" t="n"/>
      <c r="U454" s="29" t="n"/>
      <c r="V454" s="22" t="n"/>
      <c r="W454" s="22" t="n"/>
      <c r="X454" s="22" t="n"/>
      <c r="Y454" s="22" t="n"/>
      <c r="Z454" s="22" t="n"/>
      <c r="AA454" s="22" t="n"/>
      <c r="AB454" s="22" t="n"/>
      <c r="AC454" s="29" t="n"/>
      <c r="AD454" s="30">
        <f>IF(A454="","",(COUNTA(A454:G454)+COUNTA(J454:AC454))/27)</f>
        <v/>
      </c>
      <c r="AE454" s="26">
        <f>IF(B454="","",WORKDAY(B454,3))</f>
        <v/>
      </c>
      <c r="AF454" s="26">
        <f>IF(B454="","",WORKDAY(B454,5))</f>
        <v/>
      </c>
      <c r="AG454" s="26">
        <f>IF(B454="","",WORKDAY(B454,10))</f>
        <v/>
      </c>
      <c r="AH454" s="26" t="n"/>
    </row>
    <row r="455">
      <c r="A455" s="22" t="n"/>
      <c r="B455" s="22" t="n"/>
      <c r="C455" s="26" t="n"/>
      <c r="D455" s="27" t="n"/>
      <c r="E455" s="22" t="n"/>
      <c r="F455" s="26" t="n"/>
      <c r="G455" s="22" t="n"/>
      <c r="H455" s="26">
        <f>IF(G455="","",IFERROR(VLOOKUP(G455,板块观察!A:Z,19,FALSE),""))</f>
        <v/>
      </c>
      <c r="I455" s="26">
        <f>IF(G455="","",IFERROR(VLOOKUP(G455,板块观察!A:Z,20,FALSE),""))</f>
        <v/>
      </c>
      <c r="J455" s="22" t="n"/>
      <c r="K455" s="22" t="n"/>
      <c r="L455" s="22" t="n"/>
      <c r="M455" s="22" t="n"/>
      <c r="N455" s="22" t="n"/>
      <c r="O455" s="22" t="n"/>
      <c r="P455" s="22" t="n"/>
      <c r="Q455" s="28" t="n"/>
      <c r="R455" s="22" t="n"/>
      <c r="S455" s="29" t="n"/>
      <c r="T455" s="29" t="n"/>
      <c r="U455" s="29" t="n"/>
      <c r="V455" s="22" t="n"/>
      <c r="W455" s="22" t="n"/>
      <c r="X455" s="22" t="n"/>
      <c r="Y455" s="22" t="n"/>
      <c r="Z455" s="22" t="n"/>
      <c r="AA455" s="22" t="n"/>
      <c r="AB455" s="22" t="n"/>
      <c r="AC455" s="29" t="n"/>
      <c r="AD455" s="30">
        <f>IF(A455="","",(COUNTA(A455:G455)+COUNTA(J455:AC455))/27)</f>
        <v/>
      </c>
      <c r="AE455" s="26">
        <f>IF(B455="","",WORKDAY(B455,3))</f>
        <v/>
      </c>
      <c r="AF455" s="26">
        <f>IF(B455="","",WORKDAY(B455,5))</f>
        <v/>
      </c>
      <c r="AG455" s="26">
        <f>IF(B455="","",WORKDAY(B455,10))</f>
        <v/>
      </c>
      <c r="AH455" s="26" t="n"/>
    </row>
    <row r="456">
      <c r="A456" s="22" t="n"/>
      <c r="B456" s="22" t="n"/>
      <c r="C456" s="26" t="n"/>
      <c r="D456" s="27" t="n"/>
      <c r="E456" s="22" t="n"/>
      <c r="F456" s="26" t="n"/>
      <c r="G456" s="22" t="n"/>
      <c r="H456" s="26">
        <f>IF(G456="","",IFERROR(VLOOKUP(G456,板块观察!A:Z,19,FALSE),""))</f>
        <v/>
      </c>
      <c r="I456" s="26">
        <f>IF(G456="","",IFERROR(VLOOKUP(G456,板块观察!A:Z,20,FALSE),""))</f>
        <v/>
      </c>
      <c r="J456" s="22" t="n"/>
      <c r="K456" s="22" t="n"/>
      <c r="L456" s="22" t="n"/>
      <c r="M456" s="22" t="n"/>
      <c r="N456" s="22" t="n"/>
      <c r="O456" s="22" t="n"/>
      <c r="P456" s="22" t="n"/>
      <c r="Q456" s="28" t="n"/>
      <c r="R456" s="22" t="n"/>
      <c r="S456" s="29" t="n"/>
      <c r="T456" s="29" t="n"/>
      <c r="U456" s="29" t="n"/>
      <c r="V456" s="22" t="n"/>
      <c r="W456" s="22" t="n"/>
      <c r="X456" s="22" t="n"/>
      <c r="Y456" s="22" t="n"/>
      <c r="Z456" s="22" t="n"/>
      <c r="AA456" s="22" t="n"/>
      <c r="AB456" s="22" t="n"/>
      <c r="AC456" s="29" t="n"/>
      <c r="AD456" s="30">
        <f>IF(A456="","",(COUNTA(A456:G456)+COUNTA(J456:AC456))/27)</f>
        <v/>
      </c>
      <c r="AE456" s="26">
        <f>IF(B456="","",WORKDAY(B456,3))</f>
        <v/>
      </c>
      <c r="AF456" s="26">
        <f>IF(B456="","",WORKDAY(B456,5))</f>
        <v/>
      </c>
      <c r="AG456" s="26">
        <f>IF(B456="","",WORKDAY(B456,10))</f>
        <v/>
      </c>
      <c r="AH456" s="26" t="n"/>
    </row>
    <row r="457">
      <c r="A457" s="22" t="n"/>
      <c r="B457" s="22" t="n"/>
      <c r="C457" s="26" t="n"/>
      <c r="D457" s="27" t="n"/>
      <c r="E457" s="22" t="n"/>
      <c r="F457" s="26" t="n"/>
      <c r="G457" s="22" t="n"/>
      <c r="H457" s="26">
        <f>IF(G457="","",IFERROR(VLOOKUP(G457,板块观察!A:Z,19,FALSE),""))</f>
        <v/>
      </c>
      <c r="I457" s="26">
        <f>IF(G457="","",IFERROR(VLOOKUP(G457,板块观察!A:Z,20,FALSE),""))</f>
        <v/>
      </c>
      <c r="J457" s="22" t="n"/>
      <c r="K457" s="22" t="n"/>
      <c r="L457" s="22" t="n"/>
      <c r="M457" s="22" t="n"/>
      <c r="N457" s="22" t="n"/>
      <c r="O457" s="22" t="n"/>
      <c r="P457" s="22" t="n"/>
      <c r="Q457" s="28" t="n"/>
      <c r="R457" s="22" t="n"/>
      <c r="S457" s="29" t="n"/>
      <c r="T457" s="29" t="n"/>
      <c r="U457" s="29" t="n"/>
      <c r="V457" s="22" t="n"/>
      <c r="W457" s="22" t="n"/>
      <c r="X457" s="22" t="n"/>
      <c r="Y457" s="22" t="n"/>
      <c r="Z457" s="22" t="n"/>
      <c r="AA457" s="22" t="n"/>
      <c r="AB457" s="22" t="n"/>
      <c r="AC457" s="29" t="n"/>
      <c r="AD457" s="30">
        <f>IF(A457="","",(COUNTA(A457:G457)+COUNTA(J457:AC457))/27)</f>
        <v/>
      </c>
      <c r="AE457" s="26">
        <f>IF(B457="","",WORKDAY(B457,3))</f>
        <v/>
      </c>
      <c r="AF457" s="26">
        <f>IF(B457="","",WORKDAY(B457,5))</f>
        <v/>
      </c>
      <c r="AG457" s="26">
        <f>IF(B457="","",WORKDAY(B457,10))</f>
        <v/>
      </c>
      <c r="AH457" s="26" t="n"/>
    </row>
    <row r="458">
      <c r="A458" s="22" t="n"/>
      <c r="B458" s="22" t="n"/>
      <c r="C458" s="26" t="n"/>
      <c r="D458" s="27" t="n"/>
      <c r="E458" s="22" t="n"/>
      <c r="F458" s="26" t="n"/>
      <c r="G458" s="22" t="n"/>
      <c r="H458" s="26">
        <f>IF(G458="","",IFERROR(VLOOKUP(G458,板块观察!A:Z,19,FALSE),""))</f>
        <v/>
      </c>
      <c r="I458" s="26">
        <f>IF(G458="","",IFERROR(VLOOKUP(G458,板块观察!A:Z,20,FALSE),""))</f>
        <v/>
      </c>
      <c r="J458" s="22" t="n"/>
      <c r="K458" s="22" t="n"/>
      <c r="L458" s="22" t="n"/>
      <c r="M458" s="22" t="n"/>
      <c r="N458" s="22" t="n"/>
      <c r="O458" s="22" t="n"/>
      <c r="P458" s="22" t="n"/>
      <c r="Q458" s="28" t="n"/>
      <c r="R458" s="22" t="n"/>
      <c r="S458" s="29" t="n"/>
      <c r="T458" s="29" t="n"/>
      <c r="U458" s="29" t="n"/>
      <c r="V458" s="22" t="n"/>
      <c r="W458" s="22" t="n"/>
      <c r="X458" s="22" t="n"/>
      <c r="Y458" s="22" t="n"/>
      <c r="Z458" s="22" t="n"/>
      <c r="AA458" s="22" t="n"/>
      <c r="AB458" s="22" t="n"/>
      <c r="AC458" s="29" t="n"/>
      <c r="AD458" s="30">
        <f>IF(A458="","",(COUNTA(A458:G458)+COUNTA(J458:AC458))/27)</f>
        <v/>
      </c>
      <c r="AE458" s="26">
        <f>IF(B458="","",WORKDAY(B458,3))</f>
        <v/>
      </c>
      <c r="AF458" s="26">
        <f>IF(B458="","",WORKDAY(B458,5))</f>
        <v/>
      </c>
      <c r="AG458" s="26">
        <f>IF(B458="","",WORKDAY(B458,10))</f>
        <v/>
      </c>
      <c r="AH458" s="26" t="n"/>
    </row>
    <row r="459">
      <c r="A459" s="22" t="n"/>
      <c r="B459" s="22" t="n"/>
      <c r="C459" s="26" t="n"/>
      <c r="D459" s="27" t="n"/>
      <c r="E459" s="22" t="n"/>
      <c r="F459" s="26" t="n"/>
      <c r="G459" s="22" t="n"/>
      <c r="H459" s="26">
        <f>IF(G459="","",IFERROR(VLOOKUP(G459,板块观察!A:Z,19,FALSE),""))</f>
        <v/>
      </c>
      <c r="I459" s="26">
        <f>IF(G459="","",IFERROR(VLOOKUP(G459,板块观察!A:Z,20,FALSE),""))</f>
        <v/>
      </c>
      <c r="J459" s="22" t="n"/>
      <c r="K459" s="22" t="n"/>
      <c r="L459" s="22" t="n"/>
      <c r="M459" s="22" t="n"/>
      <c r="N459" s="22" t="n"/>
      <c r="O459" s="22" t="n"/>
      <c r="P459" s="22" t="n"/>
      <c r="Q459" s="28" t="n"/>
      <c r="R459" s="22" t="n"/>
      <c r="S459" s="29" t="n"/>
      <c r="T459" s="29" t="n"/>
      <c r="U459" s="29" t="n"/>
      <c r="V459" s="22" t="n"/>
      <c r="W459" s="22" t="n"/>
      <c r="X459" s="22" t="n"/>
      <c r="Y459" s="22" t="n"/>
      <c r="Z459" s="22" t="n"/>
      <c r="AA459" s="22" t="n"/>
      <c r="AB459" s="22" t="n"/>
      <c r="AC459" s="29" t="n"/>
      <c r="AD459" s="30">
        <f>IF(A459="","",(COUNTA(A459:G459)+COUNTA(J459:AC459))/27)</f>
        <v/>
      </c>
      <c r="AE459" s="26">
        <f>IF(B459="","",WORKDAY(B459,3))</f>
        <v/>
      </c>
      <c r="AF459" s="26">
        <f>IF(B459="","",WORKDAY(B459,5))</f>
        <v/>
      </c>
      <c r="AG459" s="26">
        <f>IF(B459="","",WORKDAY(B459,10))</f>
        <v/>
      </c>
      <c r="AH459" s="26" t="n"/>
    </row>
    <row r="460">
      <c r="A460" s="22" t="n"/>
      <c r="B460" s="22" t="n"/>
      <c r="C460" s="26" t="n"/>
      <c r="D460" s="27" t="n"/>
      <c r="E460" s="22" t="n"/>
      <c r="F460" s="26" t="n"/>
      <c r="G460" s="22" t="n"/>
      <c r="H460" s="26">
        <f>IF(G460="","",IFERROR(VLOOKUP(G460,板块观察!A:Z,19,FALSE),""))</f>
        <v/>
      </c>
      <c r="I460" s="26">
        <f>IF(G460="","",IFERROR(VLOOKUP(G460,板块观察!A:Z,20,FALSE),""))</f>
        <v/>
      </c>
      <c r="J460" s="22" t="n"/>
      <c r="K460" s="22" t="n"/>
      <c r="L460" s="22" t="n"/>
      <c r="M460" s="22" t="n"/>
      <c r="N460" s="22" t="n"/>
      <c r="O460" s="22" t="n"/>
      <c r="P460" s="22" t="n"/>
      <c r="Q460" s="28" t="n"/>
      <c r="R460" s="22" t="n"/>
      <c r="S460" s="29" t="n"/>
      <c r="T460" s="29" t="n"/>
      <c r="U460" s="29" t="n"/>
      <c r="V460" s="22" t="n"/>
      <c r="W460" s="22" t="n"/>
      <c r="X460" s="22" t="n"/>
      <c r="Y460" s="22" t="n"/>
      <c r="Z460" s="22" t="n"/>
      <c r="AA460" s="22" t="n"/>
      <c r="AB460" s="22" t="n"/>
      <c r="AC460" s="29" t="n"/>
      <c r="AD460" s="30">
        <f>IF(A460="","",(COUNTA(A460:G460)+COUNTA(J460:AC460))/27)</f>
        <v/>
      </c>
      <c r="AE460" s="26">
        <f>IF(B460="","",WORKDAY(B460,3))</f>
        <v/>
      </c>
      <c r="AF460" s="26">
        <f>IF(B460="","",WORKDAY(B460,5))</f>
        <v/>
      </c>
      <c r="AG460" s="26">
        <f>IF(B460="","",WORKDAY(B460,10))</f>
        <v/>
      </c>
      <c r="AH460" s="26" t="n"/>
    </row>
    <row r="461">
      <c r="A461" s="22" t="n"/>
      <c r="B461" s="22" t="n"/>
      <c r="C461" s="26" t="n"/>
      <c r="D461" s="27" t="n"/>
      <c r="E461" s="22" t="n"/>
      <c r="F461" s="26" t="n"/>
      <c r="G461" s="22" t="n"/>
      <c r="H461" s="26">
        <f>IF(G461="","",IFERROR(VLOOKUP(G461,板块观察!A:Z,19,FALSE),""))</f>
        <v/>
      </c>
      <c r="I461" s="26">
        <f>IF(G461="","",IFERROR(VLOOKUP(G461,板块观察!A:Z,20,FALSE),""))</f>
        <v/>
      </c>
      <c r="J461" s="22" t="n"/>
      <c r="K461" s="22" t="n"/>
      <c r="L461" s="22" t="n"/>
      <c r="M461" s="22" t="n"/>
      <c r="N461" s="22" t="n"/>
      <c r="O461" s="22" t="n"/>
      <c r="P461" s="22" t="n"/>
      <c r="Q461" s="28" t="n"/>
      <c r="R461" s="22" t="n"/>
      <c r="S461" s="29" t="n"/>
      <c r="T461" s="29" t="n"/>
      <c r="U461" s="29" t="n"/>
      <c r="V461" s="22" t="n"/>
      <c r="W461" s="22" t="n"/>
      <c r="X461" s="22" t="n"/>
      <c r="Y461" s="22" t="n"/>
      <c r="Z461" s="22" t="n"/>
      <c r="AA461" s="22" t="n"/>
      <c r="AB461" s="22" t="n"/>
      <c r="AC461" s="29" t="n"/>
      <c r="AD461" s="30">
        <f>IF(A461="","",(COUNTA(A461:G461)+COUNTA(J461:AC461))/27)</f>
        <v/>
      </c>
      <c r="AE461" s="26">
        <f>IF(B461="","",WORKDAY(B461,3))</f>
        <v/>
      </c>
      <c r="AF461" s="26">
        <f>IF(B461="","",WORKDAY(B461,5))</f>
        <v/>
      </c>
      <c r="AG461" s="26">
        <f>IF(B461="","",WORKDAY(B461,10))</f>
        <v/>
      </c>
      <c r="AH461" s="26" t="n"/>
    </row>
    <row r="462">
      <c r="A462" s="22" t="n"/>
      <c r="B462" s="22" t="n"/>
      <c r="C462" s="26" t="n"/>
      <c r="D462" s="27" t="n"/>
      <c r="E462" s="22" t="n"/>
      <c r="F462" s="26" t="n"/>
      <c r="G462" s="22" t="n"/>
      <c r="H462" s="26">
        <f>IF(G462="","",IFERROR(VLOOKUP(G462,板块观察!A:Z,19,FALSE),""))</f>
        <v/>
      </c>
      <c r="I462" s="26">
        <f>IF(G462="","",IFERROR(VLOOKUP(G462,板块观察!A:Z,20,FALSE),""))</f>
        <v/>
      </c>
      <c r="J462" s="22" t="n"/>
      <c r="K462" s="22" t="n"/>
      <c r="L462" s="22" t="n"/>
      <c r="M462" s="22" t="n"/>
      <c r="N462" s="22" t="n"/>
      <c r="O462" s="22" t="n"/>
      <c r="P462" s="22" t="n"/>
      <c r="Q462" s="28" t="n"/>
      <c r="R462" s="22" t="n"/>
      <c r="S462" s="29" t="n"/>
      <c r="T462" s="29" t="n"/>
      <c r="U462" s="29" t="n"/>
      <c r="V462" s="22" t="n"/>
      <c r="W462" s="22" t="n"/>
      <c r="X462" s="22" t="n"/>
      <c r="Y462" s="22" t="n"/>
      <c r="Z462" s="22" t="n"/>
      <c r="AA462" s="22" t="n"/>
      <c r="AB462" s="22" t="n"/>
      <c r="AC462" s="29" t="n"/>
      <c r="AD462" s="30">
        <f>IF(A462="","",(COUNTA(A462:G462)+COUNTA(J462:AC462))/27)</f>
        <v/>
      </c>
      <c r="AE462" s="26">
        <f>IF(B462="","",WORKDAY(B462,3))</f>
        <v/>
      </c>
      <c r="AF462" s="26">
        <f>IF(B462="","",WORKDAY(B462,5))</f>
        <v/>
      </c>
      <c r="AG462" s="26">
        <f>IF(B462="","",WORKDAY(B462,10))</f>
        <v/>
      </c>
      <c r="AH462" s="26" t="n"/>
    </row>
    <row r="463">
      <c r="A463" s="22" t="n"/>
      <c r="B463" s="22" t="n"/>
      <c r="C463" s="26" t="n"/>
      <c r="D463" s="27" t="n"/>
      <c r="E463" s="22" t="n"/>
      <c r="F463" s="26" t="n"/>
      <c r="G463" s="22" t="n"/>
      <c r="H463" s="26">
        <f>IF(G463="","",IFERROR(VLOOKUP(G463,板块观察!A:Z,19,FALSE),""))</f>
        <v/>
      </c>
      <c r="I463" s="26">
        <f>IF(G463="","",IFERROR(VLOOKUP(G463,板块观察!A:Z,20,FALSE),""))</f>
        <v/>
      </c>
      <c r="J463" s="22" t="n"/>
      <c r="K463" s="22" t="n"/>
      <c r="L463" s="22" t="n"/>
      <c r="M463" s="22" t="n"/>
      <c r="N463" s="22" t="n"/>
      <c r="O463" s="22" t="n"/>
      <c r="P463" s="22" t="n"/>
      <c r="Q463" s="28" t="n"/>
      <c r="R463" s="22" t="n"/>
      <c r="S463" s="29" t="n"/>
      <c r="T463" s="29" t="n"/>
      <c r="U463" s="29" t="n"/>
      <c r="V463" s="22" t="n"/>
      <c r="W463" s="22" t="n"/>
      <c r="X463" s="22" t="n"/>
      <c r="Y463" s="22" t="n"/>
      <c r="Z463" s="22" t="n"/>
      <c r="AA463" s="22" t="n"/>
      <c r="AB463" s="22" t="n"/>
      <c r="AC463" s="29" t="n"/>
      <c r="AD463" s="30">
        <f>IF(A463="","",(COUNTA(A463:G463)+COUNTA(J463:AC463))/27)</f>
        <v/>
      </c>
      <c r="AE463" s="26">
        <f>IF(B463="","",WORKDAY(B463,3))</f>
        <v/>
      </c>
      <c r="AF463" s="26">
        <f>IF(B463="","",WORKDAY(B463,5))</f>
        <v/>
      </c>
      <c r="AG463" s="26">
        <f>IF(B463="","",WORKDAY(B463,10))</f>
        <v/>
      </c>
      <c r="AH463" s="26" t="n"/>
    </row>
    <row r="464">
      <c r="A464" s="22" t="n"/>
      <c r="B464" s="22" t="n"/>
      <c r="C464" s="26" t="n"/>
      <c r="D464" s="27" t="n"/>
      <c r="E464" s="22" t="n"/>
      <c r="F464" s="26" t="n"/>
      <c r="G464" s="22" t="n"/>
      <c r="H464" s="26">
        <f>IF(G464="","",IFERROR(VLOOKUP(G464,板块观察!A:Z,19,FALSE),""))</f>
        <v/>
      </c>
      <c r="I464" s="26">
        <f>IF(G464="","",IFERROR(VLOOKUP(G464,板块观察!A:Z,20,FALSE),""))</f>
        <v/>
      </c>
      <c r="J464" s="22" t="n"/>
      <c r="K464" s="22" t="n"/>
      <c r="L464" s="22" t="n"/>
      <c r="M464" s="22" t="n"/>
      <c r="N464" s="22" t="n"/>
      <c r="O464" s="22" t="n"/>
      <c r="P464" s="22" t="n"/>
      <c r="Q464" s="28" t="n"/>
      <c r="R464" s="22" t="n"/>
      <c r="S464" s="29" t="n"/>
      <c r="T464" s="29" t="n"/>
      <c r="U464" s="29" t="n"/>
      <c r="V464" s="22" t="n"/>
      <c r="W464" s="22" t="n"/>
      <c r="X464" s="22" t="n"/>
      <c r="Y464" s="22" t="n"/>
      <c r="Z464" s="22" t="n"/>
      <c r="AA464" s="22" t="n"/>
      <c r="AB464" s="22" t="n"/>
      <c r="AC464" s="29" t="n"/>
      <c r="AD464" s="30">
        <f>IF(A464="","",(COUNTA(A464:G464)+COUNTA(J464:AC464))/27)</f>
        <v/>
      </c>
      <c r="AE464" s="26">
        <f>IF(B464="","",WORKDAY(B464,3))</f>
        <v/>
      </c>
      <c r="AF464" s="26">
        <f>IF(B464="","",WORKDAY(B464,5))</f>
        <v/>
      </c>
      <c r="AG464" s="26">
        <f>IF(B464="","",WORKDAY(B464,10))</f>
        <v/>
      </c>
      <c r="AH464" s="26" t="n"/>
    </row>
    <row r="465">
      <c r="A465" s="22" t="n"/>
      <c r="B465" s="22" t="n"/>
      <c r="C465" s="26" t="n"/>
      <c r="D465" s="27" t="n"/>
      <c r="E465" s="22" t="n"/>
      <c r="F465" s="26" t="n"/>
      <c r="G465" s="22" t="n"/>
      <c r="H465" s="26">
        <f>IF(G465="","",IFERROR(VLOOKUP(G465,板块观察!A:Z,19,FALSE),""))</f>
        <v/>
      </c>
      <c r="I465" s="26">
        <f>IF(G465="","",IFERROR(VLOOKUP(G465,板块观察!A:Z,20,FALSE),""))</f>
        <v/>
      </c>
      <c r="J465" s="22" t="n"/>
      <c r="K465" s="22" t="n"/>
      <c r="L465" s="22" t="n"/>
      <c r="M465" s="22" t="n"/>
      <c r="N465" s="22" t="n"/>
      <c r="O465" s="22" t="n"/>
      <c r="P465" s="22" t="n"/>
      <c r="Q465" s="28" t="n"/>
      <c r="R465" s="22" t="n"/>
      <c r="S465" s="29" t="n"/>
      <c r="T465" s="29" t="n"/>
      <c r="U465" s="29" t="n"/>
      <c r="V465" s="22" t="n"/>
      <c r="W465" s="22" t="n"/>
      <c r="X465" s="22" t="n"/>
      <c r="Y465" s="22" t="n"/>
      <c r="Z465" s="22" t="n"/>
      <c r="AA465" s="22" t="n"/>
      <c r="AB465" s="22" t="n"/>
      <c r="AC465" s="29" t="n"/>
      <c r="AD465" s="30">
        <f>IF(A465="","",(COUNTA(A465:G465)+COUNTA(J465:AC465))/27)</f>
        <v/>
      </c>
      <c r="AE465" s="26">
        <f>IF(B465="","",WORKDAY(B465,3))</f>
        <v/>
      </c>
      <c r="AF465" s="26">
        <f>IF(B465="","",WORKDAY(B465,5))</f>
        <v/>
      </c>
      <c r="AG465" s="26">
        <f>IF(B465="","",WORKDAY(B465,10))</f>
        <v/>
      </c>
      <c r="AH465" s="26" t="n"/>
    </row>
    <row r="466">
      <c r="A466" s="22" t="n"/>
      <c r="B466" s="22" t="n"/>
      <c r="C466" s="26" t="n"/>
      <c r="D466" s="27" t="n"/>
      <c r="E466" s="22" t="n"/>
      <c r="F466" s="26" t="n"/>
      <c r="G466" s="22" t="n"/>
      <c r="H466" s="26">
        <f>IF(G466="","",IFERROR(VLOOKUP(G466,板块观察!A:Z,19,FALSE),""))</f>
        <v/>
      </c>
      <c r="I466" s="26">
        <f>IF(G466="","",IFERROR(VLOOKUP(G466,板块观察!A:Z,20,FALSE),""))</f>
        <v/>
      </c>
      <c r="J466" s="22" t="n"/>
      <c r="K466" s="22" t="n"/>
      <c r="L466" s="22" t="n"/>
      <c r="M466" s="22" t="n"/>
      <c r="N466" s="22" t="n"/>
      <c r="O466" s="22" t="n"/>
      <c r="P466" s="22" t="n"/>
      <c r="Q466" s="28" t="n"/>
      <c r="R466" s="22" t="n"/>
      <c r="S466" s="29" t="n"/>
      <c r="T466" s="29" t="n"/>
      <c r="U466" s="29" t="n"/>
      <c r="V466" s="22" t="n"/>
      <c r="W466" s="22" t="n"/>
      <c r="X466" s="22" t="n"/>
      <c r="Y466" s="22" t="n"/>
      <c r="Z466" s="22" t="n"/>
      <c r="AA466" s="22" t="n"/>
      <c r="AB466" s="22" t="n"/>
      <c r="AC466" s="29" t="n"/>
      <c r="AD466" s="30">
        <f>IF(A466="","",(COUNTA(A466:G466)+COUNTA(J466:AC466))/27)</f>
        <v/>
      </c>
      <c r="AE466" s="26">
        <f>IF(B466="","",WORKDAY(B466,3))</f>
        <v/>
      </c>
      <c r="AF466" s="26">
        <f>IF(B466="","",WORKDAY(B466,5))</f>
        <v/>
      </c>
      <c r="AG466" s="26">
        <f>IF(B466="","",WORKDAY(B466,10))</f>
        <v/>
      </c>
      <c r="AH466" s="26" t="n"/>
    </row>
    <row r="467">
      <c r="A467" s="22" t="n"/>
      <c r="B467" s="22" t="n"/>
      <c r="C467" s="26" t="n"/>
      <c r="D467" s="27" t="n"/>
      <c r="E467" s="22" t="n"/>
      <c r="F467" s="26" t="n"/>
      <c r="G467" s="22" t="n"/>
      <c r="H467" s="26">
        <f>IF(G467="","",IFERROR(VLOOKUP(G467,板块观察!A:Z,19,FALSE),""))</f>
        <v/>
      </c>
      <c r="I467" s="26">
        <f>IF(G467="","",IFERROR(VLOOKUP(G467,板块观察!A:Z,20,FALSE),""))</f>
        <v/>
      </c>
      <c r="J467" s="22" t="n"/>
      <c r="K467" s="22" t="n"/>
      <c r="L467" s="22" t="n"/>
      <c r="M467" s="22" t="n"/>
      <c r="N467" s="22" t="n"/>
      <c r="O467" s="22" t="n"/>
      <c r="P467" s="22" t="n"/>
      <c r="Q467" s="28" t="n"/>
      <c r="R467" s="22" t="n"/>
      <c r="S467" s="29" t="n"/>
      <c r="T467" s="29" t="n"/>
      <c r="U467" s="29" t="n"/>
      <c r="V467" s="22" t="n"/>
      <c r="W467" s="22" t="n"/>
      <c r="X467" s="22" t="n"/>
      <c r="Y467" s="22" t="n"/>
      <c r="Z467" s="22" t="n"/>
      <c r="AA467" s="22" t="n"/>
      <c r="AB467" s="22" t="n"/>
      <c r="AC467" s="29" t="n"/>
      <c r="AD467" s="30">
        <f>IF(A467="","",(COUNTA(A467:G467)+COUNTA(J467:AC467))/27)</f>
        <v/>
      </c>
      <c r="AE467" s="26">
        <f>IF(B467="","",WORKDAY(B467,3))</f>
        <v/>
      </c>
      <c r="AF467" s="26">
        <f>IF(B467="","",WORKDAY(B467,5))</f>
        <v/>
      </c>
      <c r="AG467" s="26">
        <f>IF(B467="","",WORKDAY(B467,10))</f>
        <v/>
      </c>
      <c r="AH467" s="26" t="n"/>
    </row>
    <row r="468">
      <c r="A468" s="22" t="n"/>
      <c r="B468" s="22" t="n"/>
      <c r="C468" s="26" t="n"/>
      <c r="D468" s="27" t="n"/>
      <c r="E468" s="22" t="n"/>
      <c r="F468" s="26" t="n"/>
      <c r="G468" s="22" t="n"/>
      <c r="H468" s="26">
        <f>IF(G468="","",IFERROR(VLOOKUP(G468,板块观察!A:Z,19,FALSE),""))</f>
        <v/>
      </c>
      <c r="I468" s="26">
        <f>IF(G468="","",IFERROR(VLOOKUP(G468,板块观察!A:Z,20,FALSE),""))</f>
        <v/>
      </c>
      <c r="J468" s="22" t="n"/>
      <c r="K468" s="22" t="n"/>
      <c r="L468" s="22" t="n"/>
      <c r="M468" s="22" t="n"/>
      <c r="N468" s="22" t="n"/>
      <c r="O468" s="22" t="n"/>
      <c r="P468" s="22" t="n"/>
      <c r="Q468" s="28" t="n"/>
      <c r="R468" s="22" t="n"/>
      <c r="S468" s="29" t="n"/>
      <c r="T468" s="29" t="n"/>
      <c r="U468" s="29" t="n"/>
      <c r="V468" s="22" t="n"/>
      <c r="W468" s="22" t="n"/>
      <c r="X468" s="22" t="n"/>
      <c r="Y468" s="22" t="n"/>
      <c r="Z468" s="22" t="n"/>
      <c r="AA468" s="22" t="n"/>
      <c r="AB468" s="22" t="n"/>
      <c r="AC468" s="29" t="n"/>
      <c r="AD468" s="30">
        <f>IF(A468="","",(COUNTA(A468:G468)+COUNTA(J468:AC468))/27)</f>
        <v/>
      </c>
      <c r="AE468" s="26">
        <f>IF(B468="","",WORKDAY(B468,3))</f>
        <v/>
      </c>
      <c r="AF468" s="26">
        <f>IF(B468="","",WORKDAY(B468,5))</f>
        <v/>
      </c>
      <c r="AG468" s="26">
        <f>IF(B468="","",WORKDAY(B468,10))</f>
        <v/>
      </c>
      <c r="AH468" s="26" t="n"/>
    </row>
    <row r="469">
      <c r="A469" s="22" t="n"/>
      <c r="B469" s="22" t="n"/>
      <c r="C469" s="26" t="n"/>
      <c r="D469" s="27" t="n"/>
      <c r="E469" s="22" t="n"/>
      <c r="F469" s="26" t="n"/>
      <c r="G469" s="22" t="n"/>
      <c r="H469" s="26">
        <f>IF(G469="","",IFERROR(VLOOKUP(G469,板块观察!A:Z,19,FALSE),""))</f>
        <v/>
      </c>
      <c r="I469" s="26">
        <f>IF(G469="","",IFERROR(VLOOKUP(G469,板块观察!A:Z,20,FALSE),""))</f>
        <v/>
      </c>
      <c r="J469" s="22" t="n"/>
      <c r="K469" s="22" t="n"/>
      <c r="L469" s="22" t="n"/>
      <c r="M469" s="22" t="n"/>
      <c r="N469" s="22" t="n"/>
      <c r="O469" s="22" t="n"/>
      <c r="P469" s="22" t="n"/>
      <c r="Q469" s="28" t="n"/>
      <c r="R469" s="22" t="n"/>
      <c r="S469" s="29" t="n"/>
      <c r="T469" s="29" t="n"/>
      <c r="U469" s="29" t="n"/>
      <c r="V469" s="22" t="n"/>
      <c r="W469" s="22" t="n"/>
      <c r="X469" s="22" t="n"/>
      <c r="Y469" s="22" t="n"/>
      <c r="Z469" s="22" t="n"/>
      <c r="AA469" s="22" t="n"/>
      <c r="AB469" s="22" t="n"/>
      <c r="AC469" s="29" t="n"/>
      <c r="AD469" s="30">
        <f>IF(A469="","",(COUNTA(A469:G469)+COUNTA(J469:AC469))/27)</f>
        <v/>
      </c>
      <c r="AE469" s="26">
        <f>IF(B469="","",WORKDAY(B469,3))</f>
        <v/>
      </c>
      <c r="AF469" s="26">
        <f>IF(B469="","",WORKDAY(B469,5))</f>
        <v/>
      </c>
      <c r="AG469" s="26">
        <f>IF(B469="","",WORKDAY(B469,10))</f>
        <v/>
      </c>
      <c r="AH469" s="26" t="n"/>
    </row>
    <row r="470">
      <c r="A470" s="22" t="n"/>
      <c r="B470" s="22" t="n"/>
      <c r="C470" s="26" t="n"/>
      <c r="D470" s="27" t="n"/>
      <c r="E470" s="22" t="n"/>
      <c r="F470" s="26" t="n"/>
      <c r="G470" s="22" t="n"/>
      <c r="H470" s="26">
        <f>IF(G470="","",IFERROR(VLOOKUP(G470,板块观察!A:Z,19,FALSE),""))</f>
        <v/>
      </c>
      <c r="I470" s="26">
        <f>IF(G470="","",IFERROR(VLOOKUP(G470,板块观察!A:Z,20,FALSE),""))</f>
        <v/>
      </c>
      <c r="J470" s="22" t="n"/>
      <c r="K470" s="22" t="n"/>
      <c r="L470" s="22" t="n"/>
      <c r="M470" s="22" t="n"/>
      <c r="N470" s="22" t="n"/>
      <c r="O470" s="22" t="n"/>
      <c r="P470" s="22" t="n"/>
      <c r="Q470" s="28" t="n"/>
      <c r="R470" s="22" t="n"/>
      <c r="S470" s="29" t="n"/>
      <c r="T470" s="29" t="n"/>
      <c r="U470" s="29" t="n"/>
      <c r="V470" s="22" t="n"/>
      <c r="W470" s="22" t="n"/>
      <c r="X470" s="22" t="n"/>
      <c r="Y470" s="22" t="n"/>
      <c r="Z470" s="22" t="n"/>
      <c r="AA470" s="22" t="n"/>
      <c r="AB470" s="22" t="n"/>
      <c r="AC470" s="29" t="n"/>
      <c r="AD470" s="30">
        <f>IF(A470="","",(COUNTA(A470:G470)+COUNTA(J470:AC470))/27)</f>
        <v/>
      </c>
      <c r="AE470" s="26">
        <f>IF(B470="","",WORKDAY(B470,3))</f>
        <v/>
      </c>
      <c r="AF470" s="26">
        <f>IF(B470="","",WORKDAY(B470,5))</f>
        <v/>
      </c>
      <c r="AG470" s="26">
        <f>IF(B470="","",WORKDAY(B470,10))</f>
        <v/>
      </c>
      <c r="AH470" s="26" t="n"/>
    </row>
    <row r="471">
      <c r="A471" s="22" t="n"/>
      <c r="B471" s="22" t="n"/>
      <c r="C471" s="26" t="n"/>
      <c r="D471" s="27" t="n"/>
      <c r="E471" s="22" t="n"/>
      <c r="F471" s="26" t="n"/>
      <c r="G471" s="22" t="n"/>
      <c r="H471" s="26">
        <f>IF(G471="","",IFERROR(VLOOKUP(G471,板块观察!A:Z,19,FALSE),""))</f>
        <v/>
      </c>
      <c r="I471" s="26">
        <f>IF(G471="","",IFERROR(VLOOKUP(G471,板块观察!A:Z,20,FALSE),""))</f>
        <v/>
      </c>
      <c r="J471" s="22" t="n"/>
      <c r="K471" s="22" t="n"/>
      <c r="L471" s="22" t="n"/>
      <c r="M471" s="22" t="n"/>
      <c r="N471" s="22" t="n"/>
      <c r="O471" s="22" t="n"/>
      <c r="P471" s="22" t="n"/>
      <c r="Q471" s="28" t="n"/>
      <c r="R471" s="22" t="n"/>
      <c r="S471" s="29" t="n"/>
      <c r="T471" s="29" t="n"/>
      <c r="U471" s="29" t="n"/>
      <c r="V471" s="22" t="n"/>
      <c r="W471" s="22" t="n"/>
      <c r="X471" s="22" t="n"/>
      <c r="Y471" s="22" t="n"/>
      <c r="Z471" s="22" t="n"/>
      <c r="AA471" s="22" t="n"/>
      <c r="AB471" s="22" t="n"/>
      <c r="AC471" s="29" t="n"/>
      <c r="AD471" s="30">
        <f>IF(A471="","",(COUNTA(A471:G471)+COUNTA(J471:AC471))/27)</f>
        <v/>
      </c>
      <c r="AE471" s="26">
        <f>IF(B471="","",WORKDAY(B471,3))</f>
        <v/>
      </c>
      <c r="AF471" s="26">
        <f>IF(B471="","",WORKDAY(B471,5))</f>
        <v/>
      </c>
      <c r="AG471" s="26">
        <f>IF(B471="","",WORKDAY(B471,10))</f>
        <v/>
      </c>
      <c r="AH471" s="26" t="n"/>
    </row>
    <row r="472">
      <c r="A472" s="22" t="n"/>
      <c r="B472" s="22" t="n"/>
      <c r="C472" s="26" t="n"/>
      <c r="D472" s="27" t="n"/>
      <c r="E472" s="22" t="n"/>
      <c r="F472" s="26" t="n"/>
      <c r="G472" s="22" t="n"/>
      <c r="H472" s="26">
        <f>IF(G472="","",IFERROR(VLOOKUP(G472,板块观察!A:Z,19,FALSE),""))</f>
        <v/>
      </c>
      <c r="I472" s="26">
        <f>IF(G472="","",IFERROR(VLOOKUP(G472,板块观察!A:Z,20,FALSE),""))</f>
        <v/>
      </c>
      <c r="J472" s="22" t="n"/>
      <c r="K472" s="22" t="n"/>
      <c r="L472" s="22" t="n"/>
      <c r="M472" s="22" t="n"/>
      <c r="N472" s="22" t="n"/>
      <c r="O472" s="22" t="n"/>
      <c r="P472" s="22" t="n"/>
      <c r="Q472" s="28" t="n"/>
      <c r="R472" s="22" t="n"/>
      <c r="S472" s="29" t="n"/>
      <c r="T472" s="29" t="n"/>
      <c r="U472" s="29" t="n"/>
      <c r="V472" s="22" t="n"/>
      <c r="W472" s="22" t="n"/>
      <c r="X472" s="22" t="n"/>
      <c r="Y472" s="22" t="n"/>
      <c r="Z472" s="22" t="n"/>
      <c r="AA472" s="22" t="n"/>
      <c r="AB472" s="22" t="n"/>
      <c r="AC472" s="29" t="n"/>
      <c r="AD472" s="30">
        <f>IF(A472="","",(COUNTA(A472:G472)+COUNTA(J472:AC472))/27)</f>
        <v/>
      </c>
      <c r="AE472" s="26">
        <f>IF(B472="","",WORKDAY(B472,3))</f>
        <v/>
      </c>
      <c r="AF472" s="26">
        <f>IF(B472="","",WORKDAY(B472,5))</f>
        <v/>
      </c>
      <c r="AG472" s="26">
        <f>IF(B472="","",WORKDAY(B472,10))</f>
        <v/>
      </c>
      <c r="AH472" s="26" t="n"/>
    </row>
    <row r="473">
      <c r="A473" s="22" t="n"/>
      <c r="B473" s="22" t="n"/>
      <c r="C473" s="26" t="n"/>
      <c r="D473" s="27" t="n"/>
      <c r="E473" s="22" t="n"/>
      <c r="F473" s="26" t="n"/>
      <c r="G473" s="22" t="n"/>
      <c r="H473" s="26">
        <f>IF(G473="","",IFERROR(VLOOKUP(G473,板块观察!A:Z,19,FALSE),""))</f>
        <v/>
      </c>
      <c r="I473" s="26">
        <f>IF(G473="","",IFERROR(VLOOKUP(G473,板块观察!A:Z,20,FALSE),""))</f>
        <v/>
      </c>
      <c r="J473" s="22" t="n"/>
      <c r="K473" s="22" t="n"/>
      <c r="L473" s="22" t="n"/>
      <c r="M473" s="22" t="n"/>
      <c r="N473" s="22" t="n"/>
      <c r="O473" s="22" t="n"/>
      <c r="P473" s="22" t="n"/>
      <c r="Q473" s="28" t="n"/>
      <c r="R473" s="22" t="n"/>
      <c r="S473" s="29" t="n"/>
      <c r="T473" s="29" t="n"/>
      <c r="U473" s="29" t="n"/>
      <c r="V473" s="22" t="n"/>
      <c r="W473" s="22" t="n"/>
      <c r="X473" s="22" t="n"/>
      <c r="Y473" s="22" t="n"/>
      <c r="Z473" s="22" t="n"/>
      <c r="AA473" s="22" t="n"/>
      <c r="AB473" s="22" t="n"/>
      <c r="AC473" s="29" t="n"/>
      <c r="AD473" s="30">
        <f>IF(A473="","",(COUNTA(A473:G473)+COUNTA(J473:AC473))/27)</f>
        <v/>
      </c>
      <c r="AE473" s="26">
        <f>IF(B473="","",WORKDAY(B473,3))</f>
        <v/>
      </c>
      <c r="AF473" s="26">
        <f>IF(B473="","",WORKDAY(B473,5))</f>
        <v/>
      </c>
      <c r="AG473" s="26">
        <f>IF(B473="","",WORKDAY(B473,10))</f>
        <v/>
      </c>
      <c r="AH473" s="26" t="n"/>
    </row>
    <row r="474">
      <c r="A474" s="22" t="n"/>
      <c r="B474" s="22" t="n"/>
      <c r="C474" s="26" t="n"/>
      <c r="D474" s="27" t="n"/>
      <c r="E474" s="22" t="n"/>
      <c r="F474" s="26" t="n"/>
      <c r="G474" s="22" t="n"/>
      <c r="H474" s="26">
        <f>IF(G474="","",IFERROR(VLOOKUP(G474,板块观察!A:Z,19,FALSE),""))</f>
        <v/>
      </c>
      <c r="I474" s="26">
        <f>IF(G474="","",IFERROR(VLOOKUP(G474,板块观察!A:Z,20,FALSE),""))</f>
        <v/>
      </c>
      <c r="J474" s="22" t="n"/>
      <c r="K474" s="22" t="n"/>
      <c r="L474" s="22" t="n"/>
      <c r="M474" s="22" t="n"/>
      <c r="N474" s="22" t="n"/>
      <c r="O474" s="22" t="n"/>
      <c r="P474" s="22" t="n"/>
      <c r="Q474" s="28" t="n"/>
      <c r="R474" s="22" t="n"/>
      <c r="S474" s="29" t="n"/>
      <c r="T474" s="29" t="n"/>
      <c r="U474" s="29" t="n"/>
      <c r="V474" s="22" t="n"/>
      <c r="W474" s="22" t="n"/>
      <c r="X474" s="22" t="n"/>
      <c r="Y474" s="22" t="n"/>
      <c r="Z474" s="22" t="n"/>
      <c r="AA474" s="22" t="n"/>
      <c r="AB474" s="22" t="n"/>
      <c r="AC474" s="29" t="n"/>
      <c r="AD474" s="30">
        <f>IF(A474="","",(COUNTA(A474:G474)+COUNTA(J474:AC474))/27)</f>
        <v/>
      </c>
      <c r="AE474" s="26">
        <f>IF(B474="","",WORKDAY(B474,3))</f>
        <v/>
      </c>
      <c r="AF474" s="26">
        <f>IF(B474="","",WORKDAY(B474,5))</f>
        <v/>
      </c>
      <c r="AG474" s="26">
        <f>IF(B474="","",WORKDAY(B474,10))</f>
        <v/>
      </c>
      <c r="AH474" s="26" t="n"/>
    </row>
    <row r="475">
      <c r="A475" s="22" t="n"/>
      <c r="B475" s="22" t="n"/>
      <c r="C475" s="26" t="n"/>
      <c r="D475" s="27" t="n"/>
      <c r="E475" s="22" t="n"/>
      <c r="F475" s="26" t="n"/>
      <c r="G475" s="22" t="n"/>
      <c r="H475" s="26">
        <f>IF(G475="","",IFERROR(VLOOKUP(G475,板块观察!A:Z,19,FALSE),""))</f>
        <v/>
      </c>
      <c r="I475" s="26">
        <f>IF(G475="","",IFERROR(VLOOKUP(G475,板块观察!A:Z,20,FALSE),""))</f>
        <v/>
      </c>
      <c r="J475" s="22" t="n"/>
      <c r="K475" s="22" t="n"/>
      <c r="L475" s="22" t="n"/>
      <c r="M475" s="22" t="n"/>
      <c r="N475" s="22" t="n"/>
      <c r="O475" s="22" t="n"/>
      <c r="P475" s="22" t="n"/>
      <c r="Q475" s="28" t="n"/>
      <c r="R475" s="22" t="n"/>
      <c r="S475" s="29" t="n"/>
      <c r="T475" s="29" t="n"/>
      <c r="U475" s="29" t="n"/>
      <c r="V475" s="22" t="n"/>
      <c r="W475" s="22" t="n"/>
      <c r="X475" s="22" t="n"/>
      <c r="Y475" s="22" t="n"/>
      <c r="Z475" s="22" t="n"/>
      <c r="AA475" s="22" t="n"/>
      <c r="AB475" s="22" t="n"/>
      <c r="AC475" s="29" t="n"/>
      <c r="AD475" s="30">
        <f>IF(A475="","",(COUNTA(A475:G475)+COUNTA(J475:AC475))/27)</f>
        <v/>
      </c>
      <c r="AE475" s="26">
        <f>IF(B475="","",WORKDAY(B475,3))</f>
        <v/>
      </c>
      <c r="AF475" s="26">
        <f>IF(B475="","",WORKDAY(B475,5))</f>
        <v/>
      </c>
      <c r="AG475" s="26">
        <f>IF(B475="","",WORKDAY(B475,10))</f>
        <v/>
      </c>
      <c r="AH475" s="26" t="n"/>
    </row>
    <row r="476">
      <c r="A476" s="22" t="n"/>
      <c r="B476" s="22" t="n"/>
      <c r="C476" s="26" t="n"/>
      <c r="D476" s="27" t="n"/>
      <c r="E476" s="22" t="n"/>
      <c r="F476" s="26" t="n"/>
      <c r="G476" s="22" t="n"/>
      <c r="H476" s="26">
        <f>IF(G476="","",IFERROR(VLOOKUP(G476,板块观察!A:Z,19,FALSE),""))</f>
        <v/>
      </c>
      <c r="I476" s="26">
        <f>IF(G476="","",IFERROR(VLOOKUP(G476,板块观察!A:Z,20,FALSE),""))</f>
        <v/>
      </c>
      <c r="J476" s="22" t="n"/>
      <c r="K476" s="22" t="n"/>
      <c r="L476" s="22" t="n"/>
      <c r="M476" s="22" t="n"/>
      <c r="N476" s="22" t="n"/>
      <c r="O476" s="22" t="n"/>
      <c r="P476" s="22" t="n"/>
      <c r="Q476" s="28" t="n"/>
      <c r="R476" s="22" t="n"/>
      <c r="S476" s="29" t="n"/>
      <c r="T476" s="29" t="n"/>
      <c r="U476" s="29" t="n"/>
      <c r="V476" s="22" t="n"/>
      <c r="W476" s="22" t="n"/>
      <c r="X476" s="22" t="n"/>
      <c r="Y476" s="22" t="n"/>
      <c r="Z476" s="22" t="n"/>
      <c r="AA476" s="22" t="n"/>
      <c r="AB476" s="22" t="n"/>
      <c r="AC476" s="29" t="n"/>
      <c r="AD476" s="30">
        <f>IF(A476="","",(COUNTA(A476:G476)+COUNTA(J476:AC476))/27)</f>
        <v/>
      </c>
      <c r="AE476" s="26">
        <f>IF(B476="","",WORKDAY(B476,3))</f>
        <v/>
      </c>
      <c r="AF476" s="26">
        <f>IF(B476="","",WORKDAY(B476,5))</f>
        <v/>
      </c>
      <c r="AG476" s="26">
        <f>IF(B476="","",WORKDAY(B476,10))</f>
        <v/>
      </c>
      <c r="AH476" s="26" t="n"/>
    </row>
    <row r="477">
      <c r="A477" s="22" t="n"/>
      <c r="B477" s="22" t="n"/>
      <c r="C477" s="26" t="n"/>
      <c r="D477" s="27" t="n"/>
      <c r="E477" s="22" t="n"/>
      <c r="F477" s="26" t="n"/>
      <c r="G477" s="22" t="n"/>
      <c r="H477" s="26">
        <f>IF(G477="","",IFERROR(VLOOKUP(G477,板块观察!A:Z,19,FALSE),""))</f>
        <v/>
      </c>
      <c r="I477" s="26">
        <f>IF(G477="","",IFERROR(VLOOKUP(G477,板块观察!A:Z,20,FALSE),""))</f>
        <v/>
      </c>
      <c r="J477" s="22" t="n"/>
      <c r="K477" s="22" t="n"/>
      <c r="L477" s="22" t="n"/>
      <c r="M477" s="22" t="n"/>
      <c r="N477" s="22" t="n"/>
      <c r="O477" s="22" t="n"/>
      <c r="P477" s="22" t="n"/>
      <c r="Q477" s="28" t="n"/>
      <c r="R477" s="22" t="n"/>
      <c r="S477" s="29" t="n"/>
      <c r="T477" s="29" t="n"/>
      <c r="U477" s="29" t="n"/>
      <c r="V477" s="22" t="n"/>
      <c r="W477" s="22" t="n"/>
      <c r="X477" s="22" t="n"/>
      <c r="Y477" s="22" t="n"/>
      <c r="Z477" s="22" t="n"/>
      <c r="AA477" s="22" t="n"/>
      <c r="AB477" s="22" t="n"/>
      <c r="AC477" s="29" t="n"/>
      <c r="AD477" s="30">
        <f>IF(A477="","",(COUNTA(A477:G477)+COUNTA(J477:AC477))/27)</f>
        <v/>
      </c>
      <c r="AE477" s="26">
        <f>IF(B477="","",WORKDAY(B477,3))</f>
        <v/>
      </c>
      <c r="AF477" s="26">
        <f>IF(B477="","",WORKDAY(B477,5))</f>
        <v/>
      </c>
      <c r="AG477" s="26">
        <f>IF(B477="","",WORKDAY(B477,10))</f>
        <v/>
      </c>
      <c r="AH477" s="26" t="n"/>
    </row>
    <row r="478">
      <c r="A478" s="22" t="n"/>
      <c r="B478" s="22" t="n"/>
      <c r="C478" s="26" t="n"/>
      <c r="D478" s="27" t="n"/>
      <c r="E478" s="22" t="n"/>
      <c r="F478" s="26" t="n"/>
      <c r="G478" s="22" t="n"/>
      <c r="H478" s="26">
        <f>IF(G478="","",IFERROR(VLOOKUP(G478,板块观察!A:Z,19,FALSE),""))</f>
        <v/>
      </c>
      <c r="I478" s="26">
        <f>IF(G478="","",IFERROR(VLOOKUP(G478,板块观察!A:Z,20,FALSE),""))</f>
        <v/>
      </c>
      <c r="J478" s="22" t="n"/>
      <c r="K478" s="22" t="n"/>
      <c r="L478" s="22" t="n"/>
      <c r="M478" s="22" t="n"/>
      <c r="N478" s="22" t="n"/>
      <c r="O478" s="22" t="n"/>
      <c r="P478" s="22" t="n"/>
      <c r="Q478" s="28" t="n"/>
      <c r="R478" s="22" t="n"/>
      <c r="S478" s="29" t="n"/>
      <c r="T478" s="29" t="n"/>
      <c r="U478" s="29" t="n"/>
      <c r="V478" s="22" t="n"/>
      <c r="W478" s="22" t="n"/>
      <c r="X478" s="22" t="n"/>
      <c r="Y478" s="22" t="n"/>
      <c r="Z478" s="22" t="n"/>
      <c r="AA478" s="22" t="n"/>
      <c r="AB478" s="22" t="n"/>
      <c r="AC478" s="29" t="n"/>
      <c r="AD478" s="30">
        <f>IF(A478="","",(COUNTA(A478:G478)+COUNTA(J478:AC478))/27)</f>
        <v/>
      </c>
      <c r="AE478" s="26">
        <f>IF(B478="","",WORKDAY(B478,3))</f>
        <v/>
      </c>
      <c r="AF478" s="26">
        <f>IF(B478="","",WORKDAY(B478,5))</f>
        <v/>
      </c>
      <c r="AG478" s="26">
        <f>IF(B478="","",WORKDAY(B478,10))</f>
        <v/>
      </c>
      <c r="AH478" s="26" t="n"/>
    </row>
    <row r="479">
      <c r="A479" s="22" t="n"/>
      <c r="B479" s="22" t="n"/>
      <c r="C479" s="26" t="n"/>
      <c r="D479" s="27" t="n"/>
      <c r="E479" s="22" t="n"/>
      <c r="F479" s="26" t="n"/>
      <c r="G479" s="22" t="n"/>
      <c r="H479" s="26">
        <f>IF(G479="","",IFERROR(VLOOKUP(G479,板块观察!A:Z,19,FALSE),""))</f>
        <v/>
      </c>
      <c r="I479" s="26">
        <f>IF(G479="","",IFERROR(VLOOKUP(G479,板块观察!A:Z,20,FALSE),""))</f>
        <v/>
      </c>
      <c r="J479" s="22" t="n"/>
      <c r="K479" s="22" t="n"/>
      <c r="L479" s="22" t="n"/>
      <c r="M479" s="22" t="n"/>
      <c r="N479" s="22" t="n"/>
      <c r="O479" s="22" t="n"/>
      <c r="P479" s="22" t="n"/>
      <c r="Q479" s="28" t="n"/>
      <c r="R479" s="22" t="n"/>
      <c r="S479" s="29" t="n"/>
      <c r="T479" s="29" t="n"/>
      <c r="U479" s="29" t="n"/>
      <c r="V479" s="22" t="n"/>
      <c r="W479" s="22" t="n"/>
      <c r="X479" s="22" t="n"/>
      <c r="Y479" s="22" t="n"/>
      <c r="Z479" s="22" t="n"/>
      <c r="AA479" s="22" t="n"/>
      <c r="AB479" s="22" t="n"/>
      <c r="AC479" s="29" t="n"/>
      <c r="AD479" s="30">
        <f>IF(A479="","",(COUNTA(A479:G479)+COUNTA(J479:AC479))/27)</f>
        <v/>
      </c>
      <c r="AE479" s="26">
        <f>IF(B479="","",WORKDAY(B479,3))</f>
        <v/>
      </c>
      <c r="AF479" s="26">
        <f>IF(B479="","",WORKDAY(B479,5))</f>
        <v/>
      </c>
      <c r="AG479" s="26">
        <f>IF(B479="","",WORKDAY(B479,10))</f>
        <v/>
      </c>
      <c r="AH479" s="26" t="n"/>
    </row>
    <row r="480">
      <c r="A480" s="22" t="n"/>
      <c r="B480" s="22" t="n"/>
      <c r="C480" s="26" t="n"/>
      <c r="D480" s="27" t="n"/>
      <c r="E480" s="22" t="n"/>
      <c r="F480" s="26" t="n"/>
      <c r="G480" s="22" t="n"/>
      <c r="H480" s="26">
        <f>IF(G480="","",IFERROR(VLOOKUP(G480,板块观察!A:Z,19,FALSE),""))</f>
        <v/>
      </c>
      <c r="I480" s="26">
        <f>IF(G480="","",IFERROR(VLOOKUP(G480,板块观察!A:Z,20,FALSE),""))</f>
        <v/>
      </c>
      <c r="J480" s="22" t="n"/>
      <c r="K480" s="22" t="n"/>
      <c r="L480" s="22" t="n"/>
      <c r="M480" s="22" t="n"/>
      <c r="N480" s="22" t="n"/>
      <c r="O480" s="22" t="n"/>
      <c r="P480" s="22" t="n"/>
      <c r="Q480" s="28" t="n"/>
      <c r="R480" s="22" t="n"/>
      <c r="S480" s="29" t="n"/>
      <c r="T480" s="29" t="n"/>
      <c r="U480" s="29" t="n"/>
      <c r="V480" s="22" t="n"/>
      <c r="W480" s="22" t="n"/>
      <c r="X480" s="22" t="n"/>
      <c r="Y480" s="22" t="n"/>
      <c r="Z480" s="22" t="n"/>
      <c r="AA480" s="22" t="n"/>
      <c r="AB480" s="22" t="n"/>
      <c r="AC480" s="29" t="n"/>
      <c r="AD480" s="30">
        <f>IF(A480="","",(COUNTA(A480:G480)+COUNTA(J480:AC480))/27)</f>
        <v/>
      </c>
      <c r="AE480" s="26">
        <f>IF(B480="","",WORKDAY(B480,3))</f>
        <v/>
      </c>
      <c r="AF480" s="26">
        <f>IF(B480="","",WORKDAY(B480,5))</f>
        <v/>
      </c>
      <c r="AG480" s="26">
        <f>IF(B480="","",WORKDAY(B480,10))</f>
        <v/>
      </c>
      <c r="AH480" s="26" t="n"/>
    </row>
    <row r="481">
      <c r="A481" s="22" t="n"/>
      <c r="B481" s="22" t="n"/>
      <c r="C481" s="26" t="n"/>
      <c r="D481" s="27" t="n"/>
      <c r="E481" s="22" t="n"/>
      <c r="F481" s="26" t="n"/>
      <c r="G481" s="22" t="n"/>
      <c r="H481" s="26">
        <f>IF(G481="","",IFERROR(VLOOKUP(G481,板块观察!A:Z,19,FALSE),""))</f>
        <v/>
      </c>
      <c r="I481" s="26">
        <f>IF(G481="","",IFERROR(VLOOKUP(G481,板块观察!A:Z,20,FALSE),""))</f>
        <v/>
      </c>
      <c r="J481" s="22" t="n"/>
      <c r="K481" s="22" t="n"/>
      <c r="L481" s="22" t="n"/>
      <c r="M481" s="22" t="n"/>
      <c r="N481" s="22" t="n"/>
      <c r="O481" s="22" t="n"/>
      <c r="P481" s="22" t="n"/>
      <c r="Q481" s="28" t="n"/>
      <c r="R481" s="22" t="n"/>
      <c r="S481" s="29" t="n"/>
      <c r="T481" s="29" t="n"/>
      <c r="U481" s="29" t="n"/>
      <c r="V481" s="22" t="n"/>
      <c r="W481" s="22" t="n"/>
      <c r="X481" s="22" t="n"/>
      <c r="Y481" s="22" t="n"/>
      <c r="Z481" s="22" t="n"/>
      <c r="AA481" s="22" t="n"/>
      <c r="AB481" s="22" t="n"/>
      <c r="AC481" s="29" t="n"/>
      <c r="AD481" s="30">
        <f>IF(A481="","",(COUNTA(A481:G481)+COUNTA(J481:AC481))/27)</f>
        <v/>
      </c>
      <c r="AE481" s="26">
        <f>IF(B481="","",WORKDAY(B481,3))</f>
        <v/>
      </c>
      <c r="AF481" s="26">
        <f>IF(B481="","",WORKDAY(B481,5))</f>
        <v/>
      </c>
      <c r="AG481" s="26">
        <f>IF(B481="","",WORKDAY(B481,10))</f>
        <v/>
      </c>
      <c r="AH481" s="26" t="n"/>
    </row>
    <row r="482">
      <c r="A482" s="22" t="n"/>
      <c r="B482" s="22" t="n"/>
      <c r="C482" s="26" t="n"/>
      <c r="D482" s="27" t="n"/>
      <c r="E482" s="22" t="n"/>
      <c r="F482" s="26" t="n"/>
      <c r="G482" s="22" t="n"/>
      <c r="H482" s="26">
        <f>IF(G482="","",IFERROR(VLOOKUP(G482,板块观察!A:Z,19,FALSE),""))</f>
        <v/>
      </c>
      <c r="I482" s="26">
        <f>IF(G482="","",IFERROR(VLOOKUP(G482,板块观察!A:Z,20,FALSE),""))</f>
        <v/>
      </c>
      <c r="J482" s="22" t="n"/>
      <c r="K482" s="22" t="n"/>
      <c r="L482" s="22" t="n"/>
      <c r="M482" s="22" t="n"/>
      <c r="N482" s="22" t="n"/>
      <c r="O482" s="22" t="n"/>
      <c r="P482" s="22" t="n"/>
      <c r="Q482" s="28" t="n"/>
      <c r="R482" s="22" t="n"/>
      <c r="S482" s="29" t="n"/>
      <c r="T482" s="29" t="n"/>
      <c r="U482" s="29" t="n"/>
      <c r="V482" s="22" t="n"/>
      <c r="W482" s="22" t="n"/>
      <c r="X482" s="22" t="n"/>
      <c r="Y482" s="22" t="n"/>
      <c r="Z482" s="22" t="n"/>
      <c r="AA482" s="22" t="n"/>
      <c r="AB482" s="22" t="n"/>
      <c r="AC482" s="29" t="n"/>
      <c r="AD482" s="30">
        <f>IF(A482="","",(COUNTA(A482:G482)+COUNTA(J482:AC482))/27)</f>
        <v/>
      </c>
      <c r="AE482" s="26">
        <f>IF(B482="","",WORKDAY(B482,3))</f>
        <v/>
      </c>
      <c r="AF482" s="26">
        <f>IF(B482="","",WORKDAY(B482,5))</f>
        <v/>
      </c>
      <c r="AG482" s="26">
        <f>IF(B482="","",WORKDAY(B482,10))</f>
        <v/>
      </c>
      <c r="AH482" s="26" t="n"/>
    </row>
    <row r="483">
      <c r="A483" s="22" t="n"/>
      <c r="B483" s="22" t="n"/>
      <c r="C483" s="26" t="n"/>
      <c r="D483" s="27" t="n"/>
      <c r="E483" s="22" t="n"/>
      <c r="F483" s="26" t="n"/>
      <c r="G483" s="22" t="n"/>
      <c r="H483" s="26">
        <f>IF(G483="","",IFERROR(VLOOKUP(G483,板块观察!A:Z,19,FALSE),""))</f>
        <v/>
      </c>
      <c r="I483" s="26">
        <f>IF(G483="","",IFERROR(VLOOKUP(G483,板块观察!A:Z,20,FALSE),""))</f>
        <v/>
      </c>
      <c r="J483" s="22" t="n"/>
      <c r="K483" s="22" t="n"/>
      <c r="L483" s="22" t="n"/>
      <c r="M483" s="22" t="n"/>
      <c r="N483" s="22" t="n"/>
      <c r="O483" s="22" t="n"/>
      <c r="P483" s="22" t="n"/>
      <c r="Q483" s="28" t="n"/>
      <c r="R483" s="22" t="n"/>
      <c r="S483" s="29" t="n"/>
      <c r="T483" s="29" t="n"/>
      <c r="U483" s="29" t="n"/>
      <c r="V483" s="22" t="n"/>
      <c r="W483" s="22" t="n"/>
      <c r="X483" s="22" t="n"/>
      <c r="Y483" s="22" t="n"/>
      <c r="Z483" s="22" t="n"/>
      <c r="AA483" s="22" t="n"/>
      <c r="AB483" s="22" t="n"/>
      <c r="AC483" s="29" t="n"/>
      <c r="AD483" s="30">
        <f>IF(A483="","",(COUNTA(A483:G483)+COUNTA(J483:AC483))/27)</f>
        <v/>
      </c>
      <c r="AE483" s="26">
        <f>IF(B483="","",WORKDAY(B483,3))</f>
        <v/>
      </c>
      <c r="AF483" s="26">
        <f>IF(B483="","",WORKDAY(B483,5))</f>
        <v/>
      </c>
      <c r="AG483" s="26">
        <f>IF(B483="","",WORKDAY(B483,10))</f>
        <v/>
      </c>
      <c r="AH483" s="26" t="n"/>
    </row>
    <row r="484">
      <c r="A484" s="22" t="n"/>
      <c r="B484" s="22" t="n"/>
      <c r="C484" s="26" t="n"/>
      <c r="D484" s="27" t="n"/>
      <c r="E484" s="22" t="n"/>
      <c r="F484" s="26" t="n"/>
      <c r="G484" s="22" t="n"/>
      <c r="H484" s="26">
        <f>IF(G484="","",IFERROR(VLOOKUP(G484,板块观察!A:Z,19,FALSE),""))</f>
        <v/>
      </c>
      <c r="I484" s="26">
        <f>IF(G484="","",IFERROR(VLOOKUP(G484,板块观察!A:Z,20,FALSE),""))</f>
        <v/>
      </c>
      <c r="J484" s="22" t="n"/>
      <c r="K484" s="22" t="n"/>
      <c r="L484" s="22" t="n"/>
      <c r="M484" s="22" t="n"/>
      <c r="N484" s="22" t="n"/>
      <c r="O484" s="22" t="n"/>
      <c r="P484" s="22" t="n"/>
      <c r="Q484" s="28" t="n"/>
      <c r="R484" s="22" t="n"/>
      <c r="S484" s="29" t="n"/>
      <c r="T484" s="29" t="n"/>
      <c r="U484" s="29" t="n"/>
      <c r="V484" s="22" t="n"/>
      <c r="W484" s="22" t="n"/>
      <c r="X484" s="22" t="n"/>
      <c r="Y484" s="22" t="n"/>
      <c r="Z484" s="22" t="n"/>
      <c r="AA484" s="22" t="n"/>
      <c r="AB484" s="22" t="n"/>
      <c r="AC484" s="29" t="n"/>
      <c r="AD484" s="30">
        <f>IF(A484="","",(COUNTA(A484:G484)+COUNTA(J484:AC484))/27)</f>
        <v/>
      </c>
      <c r="AE484" s="26">
        <f>IF(B484="","",WORKDAY(B484,3))</f>
        <v/>
      </c>
      <c r="AF484" s="26">
        <f>IF(B484="","",WORKDAY(B484,5))</f>
        <v/>
      </c>
      <c r="AG484" s="26">
        <f>IF(B484="","",WORKDAY(B484,10))</f>
        <v/>
      </c>
      <c r="AH484" s="26" t="n"/>
    </row>
    <row r="485">
      <c r="A485" s="22" t="n"/>
      <c r="B485" s="22" t="n"/>
      <c r="C485" s="26" t="n"/>
      <c r="D485" s="27" t="n"/>
      <c r="E485" s="22" t="n"/>
      <c r="F485" s="26" t="n"/>
      <c r="G485" s="22" t="n"/>
      <c r="H485" s="26">
        <f>IF(G485="","",IFERROR(VLOOKUP(G485,板块观察!A:Z,19,FALSE),""))</f>
        <v/>
      </c>
      <c r="I485" s="26">
        <f>IF(G485="","",IFERROR(VLOOKUP(G485,板块观察!A:Z,20,FALSE),""))</f>
        <v/>
      </c>
      <c r="J485" s="22" t="n"/>
      <c r="K485" s="22" t="n"/>
      <c r="L485" s="22" t="n"/>
      <c r="M485" s="22" t="n"/>
      <c r="N485" s="22" t="n"/>
      <c r="O485" s="22" t="n"/>
      <c r="P485" s="22" t="n"/>
      <c r="Q485" s="28" t="n"/>
      <c r="R485" s="22" t="n"/>
      <c r="S485" s="29" t="n"/>
      <c r="T485" s="29" t="n"/>
      <c r="U485" s="29" t="n"/>
      <c r="V485" s="22" t="n"/>
      <c r="W485" s="22" t="n"/>
      <c r="X485" s="22" t="n"/>
      <c r="Y485" s="22" t="n"/>
      <c r="Z485" s="22" t="n"/>
      <c r="AA485" s="22" t="n"/>
      <c r="AB485" s="22" t="n"/>
      <c r="AC485" s="29" t="n"/>
      <c r="AD485" s="30">
        <f>IF(A485="","",(COUNTA(A485:G485)+COUNTA(J485:AC485))/27)</f>
        <v/>
      </c>
      <c r="AE485" s="26">
        <f>IF(B485="","",WORKDAY(B485,3))</f>
        <v/>
      </c>
      <c r="AF485" s="26">
        <f>IF(B485="","",WORKDAY(B485,5))</f>
        <v/>
      </c>
      <c r="AG485" s="26">
        <f>IF(B485="","",WORKDAY(B485,10))</f>
        <v/>
      </c>
      <c r="AH485" s="26" t="n"/>
    </row>
    <row r="486">
      <c r="A486" s="22" t="n"/>
      <c r="B486" s="22" t="n"/>
      <c r="C486" s="26" t="n"/>
      <c r="D486" s="27" t="n"/>
      <c r="E486" s="22" t="n"/>
      <c r="F486" s="26" t="n"/>
      <c r="G486" s="22" t="n"/>
      <c r="H486" s="26">
        <f>IF(G486="","",IFERROR(VLOOKUP(G486,板块观察!A:Z,19,FALSE),""))</f>
        <v/>
      </c>
      <c r="I486" s="26">
        <f>IF(G486="","",IFERROR(VLOOKUP(G486,板块观察!A:Z,20,FALSE),""))</f>
        <v/>
      </c>
      <c r="J486" s="22" t="n"/>
      <c r="K486" s="22" t="n"/>
      <c r="L486" s="22" t="n"/>
      <c r="M486" s="22" t="n"/>
      <c r="N486" s="22" t="n"/>
      <c r="O486" s="22" t="n"/>
      <c r="P486" s="22" t="n"/>
      <c r="Q486" s="28" t="n"/>
      <c r="R486" s="22" t="n"/>
      <c r="S486" s="29" t="n"/>
      <c r="T486" s="29" t="n"/>
      <c r="U486" s="29" t="n"/>
      <c r="V486" s="22" t="n"/>
      <c r="W486" s="22" t="n"/>
      <c r="X486" s="22" t="n"/>
      <c r="Y486" s="22" t="n"/>
      <c r="Z486" s="22" t="n"/>
      <c r="AA486" s="22" t="n"/>
      <c r="AB486" s="22" t="n"/>
      <c r="AC486" s="29" t="n"/>
      <c r="AD486" s="30">
        <f>IF(A486="","",(COUNTA(A486:G486)+COUNTA(J486:AC486))/27)</f>
        <v/>
      </c>
      <c r="AE486" s="26">
        <f>IF(B486="","",WORKDAY(B486,3))</f>
        <v/>
      </c>
      <c r="AF486" s="26">
        <f>IF(B486="","",WORKDAY(B486,5))</f>
        <v/>
      </c>
      <c r="AG486" s="26">
        <f>IF(B486="","",WORKDAY(B486,10))</f>
        <v/>
      </c>
      <c r="AH486" s="26" t="n"/>
    </row>
    <row r="487">
      <c r="A487" s="22" t="n"/>
      <c r="B487" s="22" t="n"/>
      <c r="C487" s="26" t="n"/>
      <c r="D487" s="27" t="n"/>
      <c r="E487" s="22" t="n"/>
      <c r="F487" s="26" t="n"/>
      <c r="G487" s="22" t="n"/>
      <c r="H487" s="26">
        <f>IF(G487="","",IFERROR(VLOOKUP(G487,板块观察!A:Z,19,FALSE),""))</f>
        <v/>
      </c>
      <c r="I487" s="26">
        <f>IF(G487="","",IFERROR(VLOOKUP(G487,板块观察!A:Z,20,FALSE),""))</f>
        <v/>
      </c>
      <c r="J487" s="22" t="n"/>
      <c r="K487" s="22" t="n"/>
      <c r="L487" s="22" t="n"/>
      <c r="M487" s="22" t="n"/>
      <c r="N487" s="22" t="n"/>
      <c r="O487" s="22" t="n"/>
      <c r="P487" s="22" t="n"/>
      <c r="Q487" s="28" t="n"/>
      <c r="R487" s="22" t="n"/>
      <c r="S487" s="29" t="n"/>
      <c r="T487" s="29" t="n"/>
      <c r="U487" s="29" t="n"/>
      <c r="V487" s="22" t="n"/>
      <c r="W487" s="22" t="n"/>
      <c r="X487" s="22" t="n"/>
      <c r="Y487" s="22" t="n"/>
      <c r="Z487" s="22" t="n"/>
      <c r="AA487" s="22" t="n"/>
      <c r="AB487" s="22" t="n"/>
      <c r="AC487" s="29" t="n"/>
      <c r="AD487" s="30">
        <f>IF(A487="","",(COUNTA(A487:G487)+COUNTA(J487:AC487))/27)</f>
        <v/>
      </c>
      <c r="AE487" s="26">
        <f>IF(B487="","",WORKDAY(B487,3))</f>
        <v/>
      </c>
      <c r="AF487" s="26">
        <f>IF(B487="","",WORKDAY(B487,5))</f>
        <v/>
      </c>
      <c r="AG487" s="26">
        <f>IF(B487="","",WORKDAY(B487,10))</f>
        <v/>
      </c>
      <c r="AH487" s="26" t="n"/>
    </row>
    <row r="488">
      <c r="A488" s="22" t="n"/>
      <c r="B488" s="22" t="n"/>
      <c r="C488" s="26" t="n"/>
      <c r="D488" s="27" t="n"/>
      <c r="E488" s="22" t="n"/>
      <c r="F488" s="26" t="n"/>
      <c r="G488" s="22" t="n"/>
      <c r="H488" s="26">
        <f>IF(G488="","",IFERROR(VLOOKUP(G488,板块观察!A:Z,19,FALSE),""))</f>
        <v/>
      </c>
      <c r="I488" s="26">
        <f>IF(G488="","",IFERROR(VLOOKUP(G488,板块观察!A:Z,20,FALSE),""))</f>
        <v/>
      </c>
      <c r="J488" s="22" t="n"/>
      <c r="K488" s="22" t="n"/>
      <c r="L488" s="22" t="n"/>
      <c r="M488" s="22" t="n"/>
      <c r="N488" s="22" t="n"/>
      <c r="O488" s="22" t="n"/>
      <c r="P488" s="22" t="n"/>
      <c r="Q488" s="28" t="n"/>
      <c r="R488" s="22" t="n"/>
      <c r="S488" s="29" t="n"/>
      <c r="T488" s="29" t="n"/>
      <c r="U488" s="29" t="n"/>
      <c r="V488" s="22" t="n"/>
      <c r="W488" s="22" t="n"/>
      <c r="X488" s="22" t="n"/>
      <c r="Y488" s="22" t="n"/>
      <c r="Z488" s="22" t="n"/>
      <c r="AA488" s="22" t="n"/>
      <c r="AB488" s="22" t="n"/>
      <c r="AC488" s="29" t="n"/>
      <c r="AD488" s="30">
        <f>IF(A488="","",(COUNTA(A488:G488)+COUNTA(J488:AC488))/27)</f>
        <v/>
      </c>
      <c r="AE488" s="26">
        <f>IF(B488="","",WORKDAY(B488,3))</f>
        <v/>
      </c>
      <c r="AF488" s="26">
        <f>IF(B488="","",WORKDAY(B488,5))</f>
        <v/>
      </c>
      <c r="AG488" s="26">
        <f>IF(B488="","",WORKDAY(B488,10))</f>
        <v/>
      </c>
      <c r="AH488" s="26" t="n"/>
    </row>
    <row r="489">
      <c r="A489" s="22" t="n"/>
      <c r="B489" s="22" t="n"/>
      <c r="C489" s="26" t="n"/>
      <c r="D489" s="27" t="n"/>
      <c r="E489" s="22" t="n"/>
      <c r="F489" s="26" t="n"/>
      <c r="G489" s="22" t="n"/>
      <c r="H489" s="26">
        <f>IF(G489="","",IFERROR(VLOOKUP(G489,板块观察!A:Z,19,FALSE),""))</f>
        <v/>
      </c>
      <c r="I489" s="26">
        <f>IF(G489="","",IFERROR(VLOOKUP(G489,板块观察!A:Z,20,FALSE),""))</f>
        <v/>
      </c>
      <c r="J489" s="22" t="n"/>
      <c r="K489" s="22" t="n"/>
      <c r="L489" s="22" t="n"/>
      <c r="M489" s="22" t="n"/>
      <c r="N489" s="22" t="n"/>
      <c r="O489" s="22" t="n"/>
      <c r="P489" s="22" t="n"/>
      <c r="Q489" s="28" t="n"/>
      <c r="R489" s="22" t="n"/>
      <c r="S489" s="29" t="n"/>
      <c r="T489" s="29" t="n"/>
      <c r="U489" s="29" t="n"/>
      <c r="V489" s="22" t="n"/>
      <c r="W489" s="22" t="n"/>
      <c r="X489" s="22" t="n"/>
      <c r="Y489" s="22" t="n"/>
      <c r="Z489" s="22" t="n"/>
      <c r="AA489" s="22" t="n"/>
      <c r="AB489" s="22" t="n"/>
      <c r="AC489" s="29" t="n"/>
      <c r="AD489" s="30">
        <f>IF(A489="","",(COUNTA(A489:G489)+COUNTA(J489:AC489))/27)</f>
        <v/>
      </c>
      <c r="AE489" s="26">
        <f>IF(B489="","",WORKDAY(B489,3))</f>
        <v/>
      </c>
      <c r="AF489" s="26">
        <f>IF(B489="","",WORKDAY(B489,5))</f>
        <v/>
      </c>
      <c r="AG489" s="26">
        <f>IF(B489="","",WORKDAY(B489,10))</f>
        <v/>
      </c>
      <c r="AH489" s="26" t="n"/>
    </row>
    <row r="490">
      <c r="A490" s="22" t="n"/>
      <c r="B490" s="22" t="n"/>
      <c r="C490" s="26" t="n"/>
      <c r="D490" s="27" t="n"/>
      <c r="E490" s="22" t="n"/>
      <c r="F490" s="26" t="n"/>
      <c r="G490" s="22" t="n"/>
      <c r="H490" s="26">
        <f>IF(G490="","",IFERROR(VLOOKUP(G490,板块观察!A:Z,19,FALSE),""))</f>
        <v/>
      </c>
      <c r="I490" s="26">
        <f>IF(G490="","",IFERROR(VLOOKUP(G490,板块观察!A:Z,20,FALSE),""))</f>
        <v/>
      </c>
      <c r="J490" s="22" t="n"/>
      <c r="K490" s="22" t="n"/>
      <c r="L490" s="22" t="n"/>
      <c r="M490" s="22" t="n"/>
      <c r="N490" s="22" t="n"/>
      <c r="O490" s="22" t="n"/>
      <c r="P490" s="22" t="n"/>
      <c r="Q490" s="28" t="n"/>
      <c r="R490" s="22" t="n"/>
      <c r="S490" s="29" t="n"/>
      <c r="T490" s="29" t="n"/>
      <c r="U490" s="29" t="n"/>
      <c r="V490" s="22" t="n"/>
      <c r="W490" s="22" t="n"/>
      <c r="X490" s="22" t="n"/>
      <c r="Y490" s="22" t="n"/>
      <c r="Z490" s="22" t="n"/>
      <c r="AA490" s="22" t="n"/>
      <c r="AB490" s="22" t="n"/>
      <c r="AC490" s="29" t="n"/>
      <c r="AD490" s="30">
        <f>IF(A490="","",(COUNTA(A490:G490)+COUNTA(J490:AC490))/27)</f>
        <v/>
      </c>
      <c r="AE490" s="26">
        <f>IF(B490="","",WORKDAY(B490,3))</f>
        <v/>
      </c>
      <c r="AF490" s="26">
        <f>IF(B490="","",WORKDAY(B490,5))</f>
        <v/>
      </c>
      <c r="AG490" s="26">
        <f>IF(B490="","",WORKDAY(B490,10))</f>
        <v/>
      </c>
      <c r="AH490" s="26" t="n"/>
    </row>
    <row r="491">
      <c r="A491" s="22" t="n"/>
      <c r="B491" s="22" t="n"/>
      <c r="C491" s="26" t="n"/>
      <c r="D491" s="27" t="n"/>
      <c r="E491" s="22" t="n"/>
      <c r="F491" s="26" t="n"/>
      <c r="G491" s="22" t="n"/>
      <c r="H491" s="26">
        <f>IF(G491="","",IFERROR(VLOOKUP(G491,板块观察!A:Z,19,FALSE),""))</f>
        <v/>
      </c>
      <c r="I491" s="26">
        <f>IF(G491="","",IFERROR(VLOOKUP(G491,板块观察!A:Z,20,FALSE),""))</f>
        <v/>
      </c>
      <c r="J491" s="22" t="n"/>
      <c r="K491" s="22" t="n"/>
      <c r="L491" s="22" t="n"/>
      <c r="M491" s="22" t="n"/>
      <c r="N491" s="22" t="n"/>
      <c r="O491" s="22" t="n"/>
      <c r="P491" s="22" t="n"/>
      <c r="Q491" s="28" t="n"/>
      <c r="R491" s="22" t="n"/>
      <c r="S491" s="29" t="n"/>
      <c r="T491" s="29" t="n"/>
      <c r="U491" s="29" t="n"/>
      <c r="V491" s="22" t="n"/>
      <c r="W491" s="22" t="n"/>
      <c r="X491" s="22" t="n"/>
      <c r="Y491" s="22" t="n"/>
      <c r="Z491" s="22" t="n"/>
      <c r="AA491" s="22" t="n"/>
      <c r="AB491" s="22" t="n"/>
      <c r="AC491" s="29" t="n"/>
      <c r="AD491" s="30">
        <f>IF(A491="","",(COUNTA(A491:G491)+COUNTA(J491:AC491))/27)</f>
        <v/>
      </c>
      <c r="AE491" s="26">
        <f>IF(B491="","",WORKDAY(B491,3))</f>
        <v/>
      </c>
      <c r="AF491" s="26">
        <f>IF(B491="","",WORKDAY(B491,5))</f>
        <v/>
      </c>
      <c r="AG491" s="26">
        <f>IF(B491="","",WORKDAY(B491,10))</f>
        <v/>
      </c>
      <c r="AH491" s="26" t="n"/>
    </row>
    <row r="492">
      <c r="A492" s="22" t="n"/>
      <c r="B492" s="22" t="n"/>
      <c r="C492" s="26" t="n"/>
      <c r="D492" s="27" t="n"/>
      <c r="E492" s="22" t="n"/>
      <c r="F492" s="26" t="n"/>
      <c r="G492" s="22" t="n"/>
      <c r="H492" s="26">
        <f>IF(G492="","",IFERROR(VLOOKUP(G492,板块观察!A:Z,19,FALSE),""))</f>
        <v/>
      </c>
      <c r="I492" s="26">
        <f>IF(G492="","",IFERROR(VLOOKUP(G492,板块观察!A:Z,20,FALSE),""))</f>
        <v/>
      </c>
      <c r="J492" s="22" t="n"/>
      <c r="K492" s="22" t="n"/>
      <c r="L492" s="22" t="n"/>
      <c r="M492" s="22" t="n"/>
      <c r="N492" s="22" t="n"/>
      <c r="O492" s="22" t="n"/>
      <c r="P492" s="22" t="n"/>
      <c r="Q492" s="28" t="n"/>
      <c r="R492" s="22" t="n"/>
      <c r="S492" s="29" t="n"/>
      <c r="T492" s="29" t="n"/>
      <c r="U492" s="29" t="n"/>
      <c r="V492" s="22" t="n"/>
      <c r="W492" s="22" t="n"/>
      <c r="X492" s="22" t="n"/>
      <c r="Y492" s="22" t="n"/>
      <c r="Z492" s="22" t="n"/>
      <c r="AA492" s="22" t="n"/>
      <c r="AB492" s="22" t="n"/>
      <c r="AC492" s="29" t="n"/>
      <c r="AD492" s="30">
        <f>IF(A492="","",(COUNTA(A492:G492)+COUNTA(J492:AC492))/27)</f>
        <v/>
      </c>
      <c r="AE492" s="26">
        <f>IF(B492="","",WORKDAY(B492,3))</f>
        <v/>
      </c>
      <c r="AF492" s="26">
        <f>IF(B492="","",WORKDAY(B492,5))</f>
        <v/>
      </c>
      <c r="AG492" s="26">
        <f>IF(B492="","",WORKDAY(B492,10))</f>
        <v/>
      </c>
      <c r="AH492" s="26" t="n"/>
    </row>
    <row r="493">
      <c r="A493" s="22" t="n"/>
      <c r="B493" s="22" t="n"/>
      <c r="C493" s="26" t="n"/>
      <c r="D493" s="27" t="n"/>
      <c r="E493" s="22" t="n"/>
      <c r="F493" s="26" t="n"/>
      <c r="G493" s="22" t="n"/>
      <c r="H493" s="26">
        <f>IF(G493="","",IFERROR(VLOOKUP(G493,板块观察!A:Z,19,FALSE),""))</f>
        <v/>
      </c>
      <c r="I493" s="26">
        <f>IF(G493="","",IFERROR(VLOOKUP(G493,板块观察!A:Z,20,FALSE),""))</f>
        <v/>
      </c>
      <c r="J493" s="22" t="n"/>
      <c r="K493" s="22" t="n"/>
      <c r="L493" s="22" t="n"/>
      <c r="M493" s="22" t="n"/>
      <c r="N493" s="22" t="n"/>
      <c r="O493" s="22" t="n"/>
      <c r="P493" s="22" t="n"/>
      <c r="Q493" s="28" t="n"/>
      <c r="R493" s="22" t="n"/>
      <c r="S493" s="29" t="n"/>
      <c r="T493" s="29" t="n"/>
      <c r="U493" s="29" t="n"/>
      <c r="V493" s="22" t="n"/>
      <c r="W493" s="22" t="n"/>
      <c r="X493" s="22" t="n"/>
      <c r="Y493" s="22" t="n"/>
      <c r="Z493" s="22" t="n"/>
      <c r="AA493" s="22" t="n"/>
      <c r="AB493" s="22" t="n"/>
      <c r="AC493" s="29" t="n"/>
      <c r="AD493" s="30">
        <f>IF(A493="","",(COUNTA(A493:G493)+COUNTA(J493:AC493))/27)</f>
        <v/>
      </c>
      <c r="AE493" s="26">
        <f>IF(B493="","",WORKDAY(B493,3))</f>
        <v/>
      </c>
      <c r="AF493" s="26">
        <f>IF(B493="","",WORKDAY(B493,5))</f>
        <v/>
      </c>
      <c r="AG493" s="26">
        <f>IF(B493="","",WORKDAY(B493,10))</f>
        <v/>
      </c>
      <c r="AH493" s="26" t="n"/>
    </row>
    <row r="494">
      <c r="A494" s="22" t="n"/>
      <c r="B494" s="22" t="n"/>
      <c r="C494" s="26" t="n"/>
      <c r="D494" s="27" t="n"/>
      <c r="E494" s="22" t="n"/>
      <c r="F494" s="26" t="n"/>
      <c r="G494" s="22" t="n"/>
      <c r="H494" s="26">
        <f>IF(G494="","",IFERROR(VLOOKUP(G494,板块观察!A:Z,19,FALSE),""))</f>
        <v/>
      </c>
      <c r="I494" s="26">
        <f>IF(G494="","",IFERROR(VLOOKUP(G494,板块观察!A:Z,20,FALSE),""))</f>
        <v/>
      </c>
      <c r="J494" s="22" t="n"/>
      <c r="K494" s="22" t="n"/>
      <c r="L494" s="22" t="n"/>
      <c r="M494" s="22" t="n"/>
      <c r="N494" s="22" t="n"/>
      <c r="O494" s="22" t="n"/>
      <c r="P494" s="22" t="n"/>
      <c r="Q494" s="28" t="n"/>
      <c r="R494" s="22" t="n"/>
      <c r="S494" s="29" t="n"/>
      <c r="T494" s="29" t="n"/>
      <c r="U494" s="29" t="n"/>
      <c r="V494" s="22" t="n"/>
      <c r="W494" s="22" t="n"/>
      <c r="X494" s="22" t="n"/>
      <c r="Y494" s="22" t="n"/>
      <c r="Z494" s="22" t="n"/>
      <c r="AA494" s="22" t="n"/>
      <c r="AB494" s="22" t="n"/>
      <c r="AC494" s="29" t="n"/>
      <c r="AD494" s="30">
        <f>IF(A494="","",(COUNTA(A494:G494)+COUNTA(J494:AC494))/27)</f>
        <v/>
      </c>
      <c r="AE494" s="26">
        <f>IF(B494="","",WORKDAY(B494,3))</f>
        <v/>
      </c>
      <c r="AF494" s="26">
        <f>IF(B494="","",WORKDAY(B494,5))</f>
        <v/>
      </c>
      <c r="AG494" s="26">
        <f>IF(B494="","",WORKDAY(B494,10))</f>
        <v/>
      </c>
      <c r="AH494" s="26" t="n"/>
    </row>
    <row r="495">
      <c r="A495" s="22" t="n"/>
      <c r="B495" s="22" t="n"/>
      <c r="C495" s="26" t="n"/>
      <c r="D495" s="27" t="n"/>
      <c r="E495" s="22" t="n"/>
      <c r="F495" s="26" t="n"/>
      <c r="G495" s="22" t="n"/>
      <c r="H495" s="26">
        <f>IF(G495="","",IFERROR(VLOOKUP(G495,板块观察!A:Z,19,FALSE),""))</f>
        <v/>
      </c>
      <c r="I495" s="26">
        <f>IF(G495="","",IFERROR(VLOOKUP(G495,板块观察!A:Z,20,FALSE),""))</f>
        <v/>
      </c>
      <c r="J495" s="22" t="n"/>
      <c r="K495" s="22" t="n"/>
      <c r="L495" s="22" t="n"/>
      <c r="M495" s="22" t="n"/>
      <c r="N495" s="22" t="n"/>
      <c r="O495" s="22" t="n"/>
      <c r="P495" s="22" t="n"/>
      <c r="Q495" s="28" t="n"/>
      <c r="R495" s="22" t="n"/>
      <c r="S495" s="29" t="n"/>
      <c r="T495" s="29" t="n"/>
      <c r="U495" s="29" t="n"/>
      <c r="V495" s="22" t="n"/>
      <c r="W495" s="22" t="n"/>
      <c r="X495" s="22" t="n"/>
      <c r="Y495" s="22" t="n"/>
      <c r="Z495" s="22" t="n"/>
      <c r="AA495" s="22" t="n"/>
      <c r="AB495" s="22" t="n"/>
      <c r="AC495" s="29" t="n"/>
      <c r="AD495" s="30">
        <f>IF(A495="","",(COUNTA(A495:G495)+COUNTA(J495:AC495))/27)</f>
        <v/>
      </c>
      <c r="AE495" s="26">
        <f>IF(B495="","",WORKDAY(B495,3))</f>
        <v/>
      </c>
      <c r="AF495" s="26">
        <f>IF(B495="","",WORKDAY(B495,5))</f>
        <v/>
      </c>
      <c r="AG495" s="26">
        <f>IF(B495="","",WORKDAY(B495,10))</f>
        <v/>
      </c>
      <c r="AH495" s="26" t="n"/>
    </row>
    <row r="496">
      <c r="A496" s="22" t="n"/>
      <c r="B496" s="22" t="n"/>
      <c r="C496" s="26" t="n"/>
      <c r="D496" s="27" t="n"/>
      <c r="E496" s="22" t="n"/>
      <c r="F496" s="26" t="n"/>
      <c r="G496" s="22" t="n"/>
      <c r="H496" s="26">
        <f>IF(G496="","",IFERROR(VLOOKUP(G496,板块观察!A:Z,19,FALSE),""))</f>
        <v/>
      </c>
      <c r="I496" s="26">
        <f>IF(G496="","",IFERROR(VLOOKUP(G496,板块观察!A:Z,20,FALSE),""))</f>
        <v/>
      </c>
      <c r="J496" s="22" t="n"/>
      <c r="K496" s="22" t="n"/>
      <c r="L496" s="22" t="n"/>
      <c r="M496" s="22" t="n"/>
      <c r="N496" s="22" t="n"/>
      <c r="O496" s="22" t="n"/>
      <c r="P496" s="22" t="n"/>
      <c r="Q496" s="28" t="n"/>
      <c r="R496" s="22" t="n"/>
      <c r="S496" s="29" t="n"/>
      <c r="T496" s="29" t="n"/>
      <c r="U496" s="29" t="n"/>
      <c r="V496" s="22" t="n"/>
      <c r="W496" s="22" t="n"/>
      <c r="X496" s="22" t="n"/>
      <c r="Y496" s="22" t="n"/>
      <c r="Z496" s="22" t="n"/>
      <c r="AA496" s="22" t="n"/>
      <c r="AB496" s="22" t="n"/>
      <c r="AC496" s="29" t="n"/>
      <c r="AD496" s="30">
        <f>IF(A496="","",(COUNTA(A496:G496)+COUNTA(J496:AC496))/27)</f>
        <v/>
      </c>
      <c r="AE496" s="26">
        <f>IF(B496="","",WORKDAY(B496,3))</f>
        <v/>
      </c>
      <c r="AF496" s="26">
        <f>IF(B496="","",WORKDAY(B496,5))</f>
        <v/>
      </c>
      <c r="AG496" s="26">
        <f>IF(B496="","",WORKDAY(B496,10))</f>
        <v/>
      </c>
      <c r="AH496" s="26" t="n"/>
    </row>
    <row r="497">
      <c r="A497" s="22" t="n"/>
      <c r="B497" s="22" t="n"/>
      <c r="C497" s="26" t="n"/>
      <c r="D497" s="27" t="n"/>
      <c r="E497" s="22" t="n"/>
      <c r="F497" s="26" t="n"/>
      <c r="G497" s="22" t="n"/>
      <c r="H497" s="26">
        <f>IF(G497="","",IFERROR(VLOOKUP(G497,板块观察!A:Z,19,FALSE),""))</f>
        <v/>
      </c>
      <c r="I497" s="26">
        <f>IF(G497="","",IFERROR(VLOOKUP(G497,板块观察!A:Z,20,FALSE),""))</f>
        <v/>
      </c>
      <c r="J497" s="22" t="n"/>
      <c r="K497" s="22" t="n"/>
      <c r="L497" s="22" t="n"/>
      <c r="M497" s="22" t="n"/>
      <c r="N497" s="22" t="n"/>
      <c r="O497" s="22" t="n"/>
      <c r="P497" s="22" t="n"/>
      <c r="Q497" s="28" t="n"/>
      <c r="R497" s="22" t="n"/>
      <c r="S497" s="29" t="n"/>
      <c r="T497" s="29" t="n"/>
      <c r="U497" s="29" t="n"/>
      <c r="V497" s="22" t="n"/>
      <c r="W497" s="22" t="n"/>
      <c r="X497" s="22" t="n"/>
      <c r="Y497" s="22" t="n"/>
      <c r="Z497" s="22" t="n"/>
      <c r="AA497" s="22" t="n"/>
      <c r="AB497" s="22" t="n"/>
      <c r="AC497" s="29" t="n"/>
      <c r="AD497" s="30">
        <f>IF(A497="","",(COUNTA(A497:G497)+COUNTA(J497:AC497))/27)</f>
        <v/>
      </c>
      <c r="AE497" s="26">
        <f>IF(B497="","",WORKDAY(B497,3))</f>
        <v/>
      </c>
      <c r="AF497" s="26">
        <f>IF(B497="","",WORKDAY(B497,5))</f>
        <v/>
      </c>
      <c r="AG497" s="26">
        <f>IF(B497="","",WORKDAY(B497,10))</f>
        <v/>
      </c>
      <c r="AH497" s="26" t="n"/>
    </row>
    <row r="498">
      <c r="A498" s="22" t="n"/>
      <c r="B498" s="22" t="n"/>
      <c r="C498" s="26" t="n"/>
      <c r="D498" s="27" t="n"/>
      <c r="E498" s="22" t="n"/>
      <c r="F498" s="26" t="n"/>
      <c r="G498" s="22" t="n"/>
      <c r="H498" s="26">
        <f>IF(G498="","",IFERROR(VLOOKUP(G498,板块观察!A:Z,19,FALSE),""))</f>
        <v/>
      </c>
      <c r="I498" s="26">
        <f>IF(G498="","",IFERROR(VLOOKUP(G498,板块观察!A:Z,20,FALSE),""))</f>
        <v/>
      </c>
      <c r="J498" s="22" t="n"/>
      <c r="K498" s="22" t="n"/>
      <c r="L498" s="22" t="n"/>
      <c r="M498" s="22" t="n"/>
      <c r="N498" s="22" t="n"/>
      <c r="O498" s="22" t="n"/>
      <c r="P498" s="22" t="n"/>
      <c r="Q498" s="28" t="n"/>
      <c r="R498" s="22" t="n"/>
      <c r="S498" s="29" t="n"/>
      <c r="T498" s="29" t="n"/>
      <c r="U498" s="29" t="n"/>
      <c r="V498" s="22" t="n"/>
      <c r="W498" s="22" t="n"/>
      <c r="X498" s="22" t="n"/>
      <c r="Y498" s="22" t="n"/>
      <c r="Z498" s="22" t="n"/>
      <c r="AA498" s="22" t="n"/>
      <c r="AB498" s="22" t="n"/>
      <c r="AC498" s="29" t="n"/>
      <c r="AD498" s="30">
        <f>IF(A498="","",(COUNTA(A498:G498)+COUNTA(J498:AC498))/27)</f>
        <v/>
      </c>
      <c r="AE498" s="26">
        <f>IF(B498="","",WORKDAY(B498,3))</f>
        <v/>
      </c>
      <c r="AF498" s="26">
        <f>IF(B498="","",WORKDAY(B498,5))</f>
        <v/>
      </c>
      <c r="AG498" s="26">
        <f>IF(B498="","",WORKDAY(B498,10))</f>
        <v/>
      </c>
      <c r="AH498" s="26" t="n"/>
    </row>
    <row r="499">
      <c r="A499" s="22" t="n"/>
      <c r="B499" s="22" t="n"/>
      <c r="C499" s="26" t="n"/>
      <c r="D499" s="27" t="n"/>
      <c r="E499" s="22" t="n"/>
      <c r="F499" s="26" t="n"/>
      <c r="G499" s="22" t="n"/>
      <c r="H499" s="26">
        <f>IF(G499="","",IFERROR(VLOOKUP(G499,板块观察!A:Z,19,FALSE),""))</f>
        <v/>
      </c>
      <c r="I499" s="26">
        <f>IF(G499="","",IFERROR(VLOOKUP(G499,板块观察!A:Z,20,FALSE),""))</f>
        <v/>
      </c>
      <c r="J499" s="22" t="n"/>
      <c r="K499" s="22" t="n"/>
      <c r="L499" s="22" t="n"/>
      <c r="M499" s="22" t="n"/>
      <c r="N499" s="22" t="n"/>
      <c r="O499" s="22" t="n"/>
      <c r="P499" s="22" t="n"/>
      <c r="Q499" s="28" t="n"/>
      <c r="R499" s="22" t="n"/>
      <c r="S499" s="29" t="n"/>
      <c r="T499" s="29" t="n"/>
      <c r="U499" s="29" t="n"/>
      <c r="V499" s="22" t="n"/>
      <c r="W499" s="22" t="n"/>
      <c r="X499" s="22" t="n"/>
      <c r="Y499" s="22" t="n"/>
      <c r="Z499" s="22" t="n"/>
      <c r="AA499" s="22" t="n"/>
      <c r="AB499" s="22" t="n"/>
      <c r="AC499" s="29" t="n"/>
      <c r="AD499" s="30">
        <f>IF(A499="","",(COUNTA(A499:G499)+COUNTA(J499:AC499))/27)</f>
        <v/>
      </c>
      <c r="AE499" s="26">
        <f>IF(B499="","",WORKDAY(B499,3))</f>
        <v/>
      </c>
      <c r="AF499" s="26">
        <f>IF(B499="","",WORKDAY(B499,5))</f>
        <v/>
      </c>
      <c r="AG499" s="26">
        <f>IF(B499="","",WORKDAY(B499,10))</f>
        <v/>
      </c>
      <c r="AH499" s="26" t="n"/>
    </row>
    <row r="500">
      <c r="A500" s="22" t="n"/>
      <c r="B500" s="22" t="n"/>
      <c r="C500" s="26" t="n"/>
      <c r="D500" s="27" t="n"/>
      <c r="E500" s="22" t="n"/>
      <c r="F500" s="26" t="n"/>
      <c r="G500" s="22" t="n"/>
      <c r="H500" s="26">
        <f>IF(G500="","",IFERROR(VLOOKUP(G500,板块观察!A:Z,19,FALSE),""))</f>
        <v/>
      </c>
      <c r="I500" s="26">
        <f>IF(G500="","",IFERROR(VLOOKUP(G500,板块观察!A:Z,20,FALSE),""))</f>
        <v/>
      </c>
      <c r="J500" s="22" t="n"/>
      <c r="K500" s="22" t="n"/>
      <c r="L500" s="22" t="n"/>
      <c r="M500" s="22" t="n"/>
      <c r="N500" s="22" t="n"/>
      <c r="O500" s="22" t="n"/>
      <c r="P500" s="22" t="n"/>
      <c r="Q500" s="28" t="n"/>
      <c r="R500" s="22" t="n"/>
      <c r="S500" s="29" t="n"/>
      <c r="T500" s="29" t="n"/>
      <c r="U500" s="29" t="n"/>
      <c r="V500" s="22" t="n"/>
      <c r="W500" s="22" t="n"/>
      <c r="X500" s="22" t="n"/>
      <c r="Y500" s="22" t="n"/>
      <c r="Z500" s="22" t="n"/>
      <c r="AA500" s="22" t="n"/>
      <c r="AB500" s="22" t="n"/>
      <c r="AC500" s="29" t="n"/>
      <c r="AD500" s="30">
        <f>IF(A500="","",(COUNTA(A500:G500)+COUNTA(J500:AC500))/27)</f>
        <v/>
      </c>
      <c r="AE500" s="26">
        <f>IF(B500="","",WORKDAY(B500,3))</f>
        <v/>
      </c>
      <c r="AF500" s="26">
        <f>IF(B500="","",WORKDAY(B500,5))</f>
        <v/>
      </c>
      <c r="AG500" s="26">
        <f>IF(B500="","",WORKDAY(B500,10))</f>
        <v/>
      </c>
      <c r="AH500" s="26" t="n"/>
    </row>
    <row r="501">
      <c r="A501" s="22" t="n"/>
      <c r="B501" s="22" t="n"/>
      <c r="C501" s="26" t="n"/>
      <c r="D501" s="27" t="n"/>
      <c r="E501" s="22" t="n"/>
      <c r="F501" s="26" t="n"/>
      <c r="G501" s="22" t="n"/>
      <c r="H501" s="26">
        <f>IF(G501="","",IFERROR(VLOOKUP(G501,板块观察!A:Z,19,FALSE),""))</f>
        <v/>
      </c>
      <c r="I501" s="26">
        <f>IF(G501="","",IFERROR(VLOOKUP(G501,板块观察!A:Z,20,FALSE),""))</f>
        <v/>
      </c>
      <c r="J501" s="22" t="n"/>
      <c r="K501" s="22" t="n"/>
      <c r="L501" s="22" t="n"/>
      <c r="M501" s="22" t="n"/>
      <c r="N501" s="22" t="n"/>
      <c r="O501" s="22" t="n"/>
      <c r="P501" s="22" t="n"/>
      <c r="Q501" s="28" t="n"/>
      <c r="R501" s="22" t="n"/>
      <c r="S501" s="29" t="n"/>
      <c r="T501" s="29" t="n"/>
      <c r="U501" s="29" t="n"/>
      <c r="V501" s="22" t="n"/>
      <c r="W501" s="22" t="n"/>
      <c r="X501" s="22" t="n"/>
      <c r="Y501" s="22" t="n"/>
      <c r="Z501" s="22" t="n"/>
      <c r="AA501" s="22" t="n"/>
      <c r="AB501" s="22" t="n"/>
      <c r="AC501" s="29" t="n"/>
      <c r="AD501" s="30">
        <f>IF(A501="","",(COUNTA(A501:G501)+COUNTA(J501:AC501))/27)</f>
        <v/>
      </c>
      <c r="AE501" s="26">
        <f>IF(B501="","",WORKDAY(B501,3))</f>
        <v/>
      </c>
      <c r="AF501" s="26">
        <f>IF(B501="","",WORKDAY(B501,5))</f>
        <v/>
      </c>
      <c r="AG501" s="26">
        <f>IF(B501="","",WORKDAY(B501,10))</f>
        <v/>
      </c>
      <c r="AH501" s="26" t="n"/>
    </row>
  </sheetData>
  <autoFilter ref="A1:AH1"/>
  <conditionalFormatting sqref="AC2:AC501">
    <cfRule type="expression" priority="1" dxfId="4">
      <formula>LEFT($AC2,1)="绿"</formula>
    </cfRule>
    <cfRule type="expression" priority="2" dxfId="5">
      <formula>LEFT($AC2,1)="黄"</formula>
    </cfRule>
    <cfRule type="expression" priority="3" dxfId="6">
      <formula>LEFT($AC2,1)="红"</formula>
    </cfRule>
    <cfRule type="expression" priority="4" dxfId="7">
      <formula>LEFT($AC2,1)="灰"</formula>
    </cfRule>
  </conditionalFormatting>
  <conditionalFormatting sqref="AD2:AD501">
    <cfRule type="cellIs" priority="5" operator="lessThan" dxfId="6">
      <formula>0.85</formula>
    </cfRule>
    <cfRule type="cellIs" priority="6" operator="between" dxfId="5">
      <formula>0.85</formula>
      <formula>0.99</formula>
    </cfRule>
    <cfRule type="cellIs" priority="7" operator="greaterThanOrEqual" dxfId="4">
      <formula>1</formula>
    </cfRule>
  </conditionalFormatting>
  <dataValidations count="13">
    <dataValidation sqref="C2:C501" showDropDown="0" showInputMessage="0" showErrorMessage="0" allowBlank="1" type="list">
      <formula1>=选项!$B$1:$F$1</formula1>
    </dataValidation>
    <dataValidation sqref="J2:J501" showDropDown="0" showInputMessage="0" showErrorMessage="0" allowBlank="1" type="list">
      <formula1>=选项!$B$6:$G$6</formula1>
    </dataValidation>
    <dataValidation sqref="K2:K501" showDropDown="0" showInputMessage="0" showErrorMessage="0" allowBlank="1" type="list">
      <formula1>=选项!$B$7:$E$7</formula1>
    </dataValidation>
    <dataValidation sqref="L2:L501" showDropDown="0" showInputMessage="0" showErrorMessage="0" allowBlank="1" type="list">
      <formula1>=选项!$B$20:$H$20</formula1>
    </dataValidation>
    <dataValidation sqref="M2:M501" showDropDown="0" showInputMessage="0" showErrorMessage="0" allowBlank="1" type="list">
      <formula1>=选项!$B$21:$L$21</formula1>
    </dataValidation>
    <dataValidation sqref="N2:N501" showDropDown="0" showInputMessage="0" showErrorMessage="0" allowBlank="1" type="list">
      <formula1>=选项!$B$22:$I$22</formula1>
    </dataValidation>
    <dataValidation sqref="O2:O501" showDropDown="0" showInputMessage="0" showErrorMessage="0" allowBlank="1" type="list">
      <formula1>=选项!$B$23:$H$23</formula1>
    </dataValidation>
    <dataValidation sqref="R2:R501" showDropDown="0" showInputMessage="0" showErrorMessage="0" allowBlank="1" type="list">
      <formula1>=选项!$B$8:$J$8</formula1>
    </dataValidation>
    <dataValidation sqref="S2:S501" showDropDown="0" showInputMessage="0" showErrorMessage="0" allowBlank="1" type="list">
      <formula1>=选项!$B$9:$D$9</formula1>
    </dataValidation>
    <dataValidation sqref="T2:T501" showDropDown="0" showInputMessage="0" showErrorMessage="0" allowBlank="1" type="list">
      <formula1>=选项!$B$10:$I$10</formula1>
    </dataValidation>
    <dataValidation sqref="U2:U501" showDropDown="0" showInputMessage="0" showErrorMessage="0" allowBlank="1" type="list">
      <formula1>=选项!$B$11:$H$11</formula1>
    </dataValidation>
    <dataValidation sqref="AB2:AB501" showDropDown="0" showInputMessage="0" showErrorMessage="0" allowBlank="1" type="list">
      <formula1>=选项!$B$12:$H$12</formula1>
    </dataValidation>
    <dataValidation sqref="AC2:AC501" showDropDown="0" showInputMessage="0" showErrorMessage="0" allowBlank="1" type="list">
      <formula1>=选项!$B$13:$E$13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9D18E"/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30" customWidth="1" min="14" max="14"/>
    <col width="30" customWidth="1" min="15" max="15"/>
    <col width="12" customWidth="1" min="16" max="16"/>
  </cols>
  <sheetData>
    <row r="1">
      <c r="A1" s="23" t="inlineStr">
        <is>
          <t>验证ID</t>
        </is>
      </c>
      <c r="B1" s="23" t="inlineStr">
        <is>
          <t>来源记录ID</t>
        </is>
      </c>
      <c r="C1" s="24" t="inlineStr">
        <is>
          <t>股票</t>
        </is>
      </c>
      <c r="D1" s="24" t="inlineStr">
        <is>
          <t>原复盘日期</t>
        </is>
      </c>
      <c r="E1" s="24" t="inlineStr">
        <is>
          <t>原个股结构</t>
        </is>
      </c>
      <c r="F1" s="23" t="inlineStr">
        <is>
          <t>验证节点</t>
        </is>
      </c>
      <c r="G1" s="23" t="inlineStr">
        <is>
          <t>验证日期</t>
        </is>
      </c>
      <c r="H1" s="23" t="inlineStr">
        <is>
          <t>验证价格</t>
        </is>
      </c>
      <c r="I1" s="23" t="inlineStr">
        <is>
          <t>实际走势归类</t>
        </is>
      </c>
      <c r="J1" s="23" t="inlineStr">
        <is>
          <t>是否触发失效</t>
        </is>
      </c>
      <c r="K1" s="23" t="inlineStr">
        <is>
          <t>判断结果</t>
        </is>
      </c>
      <c r="L1" s="23" t="inlineStr">
        <is>
          <t>环境解释是否正确</t>
        </is>
      </c>
      <c r="M1" s="23" t="inlineStr">
        <is>
          <t>错误归因</t>
        </is>
      </c>
      <c r="N1" s="23" t="inlineStr">
        <is>
          <t>修正建议</t>
        </is>
      </c>
      <c r="O1" s="23" t="inlineStr">
        <is>
          <t>修正后的解释</t>
        </is>
      </c>
      <c r="P1" s="24" t="inlineStr">
        <is>
          <t>到期状态</t>
        </is>
      </c>
    </row>
    <row r="2">
      <c r="A2" s="22" t="n"/>
      <c r="B2" s="22" t="n"/>
      <c r="C2" s="26" t="n"/>
      <c r="D2" s="26" t="n"/>
      <c r="E2" s="26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6">
        <f>IF(G2="","",IF(TODAY()&gt;=G2,"到期","未到期"))</f>
        <v/>
      </c>
    </row>
    <row r="3">
      <c r="A3" s="22" t="n"/>
      <c r="B3" s="22" t="n"/>
      <c r="C3" s="26" t="n"/>
      <c r="D3" s="26" t="n"/>
      <c r="E3" s="26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6">
        <f>IF(G3="","",IF(TODAY()&gt;=G3,"到期","未到期"))</f>
        <v/>
      </c>
    </row>
    <row r="4">
      <c r="A4" s="22" t="n"/>
      <c r="B4" s="22" t="n"/>
      <c r="C4" s="26" t="n"/>
      <c r="D4" s="26" t="n"/>
      <c r="E4" s="26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6">
        <f>IF(G4="","",IF(TODAY()&gt;=G4,"到期","未到期"))</f>
        <v/>
      </c>
    </row>
    <row r="5">
      <c r="A5" s="22" t="n"/>
      <c r="B5" s="22" t="n"/>
      <c r="C5" s="26" t="n"/>
      <c r="D5" s="26" t="n"/>
      <c r="E5" s="26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6">
        <f>IF(G5="","",IF(TODAY()&gt;=G5,"到期","未到期"))</f>
        <v/>
      </c>
    </row>
    <row r="6">
      <c r="A6" s="22" t="n"/>
      <c r="B6" s="22" t="n"/>
      <c r="C6" s="26" t="n"/>
      <c r="D6" s="26" t="n"/>
      <c r="E6" s="26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6">
        <f>IF(G6="","",IF(TODAY()&gt;=G6,"到期","未到期"))</f>
        <v/>
      </c>
    </row>
    <row r="7">
      <c r="A7" s="22" t="n"/>
      <c r="B7" s="22" t="n"/>
      <c r="C7" s="26" t="n"/>
      <c r="D7" s="26" t="n"/>
      <c r="E7" s="26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6">
        <f>IF(G7="","",IF(TODAY()&gt;=G7,"到期","未到期"))</f>
        <v/>
      </c>
    </row>
    <row r="8">
      <c r="A8" s="22" t="n"/>
      <c r="B8" s="22" t="n"/>
      <c r="C8" s="26" t="n"/>
      <c r="D8" s="26" t="n"/>
      <c r="E8" s="26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6">
        <f>IF(G8="","",IF(TODAY()&gt;=G8,"到期","未到期"))</f>
        <v/>
      </c>
    </row>
    <row r="9">
      <c r="A9" s="22" t="n"/>
      <c r="B9" s="22" t="n"/>
      <c r="C9" s="26" t="n"/>
      <c r="D9" s="26" t="n"/>
      <c r="E9" s="26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6">
        <f>IF(G9="","",IF(TODAY()&gt;=G9,"到期","未到期"))</f>
        <v/>
      </c>
    </row>
    <row r="10">
      <c r="A10" s="22" t="n"/>
      <c r="B10" s="22" t="n"/>
      <c r="C10" s="26" t="n"/>
      <c r="D10" s="26" t="n"/>
      <c r="E10" s="26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6">
        <f>IF(G10="","",IF(TODAY()&gt;=G10,"到期","未到期"))</f>
        <v/>
      </c>
    </row>
    <row r="11">
      <c r="A11" s="22" t="n"/>
      <c r="B11" s="22" t="n"/>
      <c r="C11" s="26" t="n"/>
      <c r="D11" s="26" t="n"/>
      <c r="E11" s="26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6">
        <f>IF(G11="","",IF(TODAY()&gt;=G11,"到期","未到期"))</f>
        <v/>
      </c>
    </row>
    <row r="12">
      <c r="A12" s="22" t="n"/>
      <c r="B12" s="22" t="n"/>
      <c r="C12" s="26" t="n"/>
      <c r="D12" s="26" t="n"/>
      <c r="E12" s="26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6">
        <f>IF(G12="","",IF(TODAY()&gt;=G12,"到期","未到期"))</f>
        <v/>
      </c>
    </row>
    <row r="13">
      <c r="A13" s="22" t="n"/>
      <c r="B13" s="22" t="n"/>
      <c r="C13" s="26" t="n"/>
      <c r="D13" s="26" t="n"/>
      <c r="E13" s="26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6">
        <f>IF(G13="","",IF(TODAY()&gt;=G13,"到期","未到期"))</f>
        <v/>
      </c>
    </row>
    <row r="14">
      <c r="A14" s="22" t="n"/>
      <c r="B14" s="22" t="n"/>
      <c r="C14" s="26" t="n"/>
      <c r="D14" s="26" t="n"/>
      <c r="E14" s="26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6">
        <f>IF(G14="","",IF(TODAY()&gt;=G14,"到期","未到期"))</f>
        <v/>
      </c>
    </row>
    <row r="15">
      <c r="A15" s="22" t="n"/>
      <c r="B15" s="22" t="n"/>
      <c r="C15" s="26" t="n"/>
      <c r="D15" s="26" t="n"/>
      <c r="E15" s="26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6">
        <f>IF(G15="","",IF(TODAY()&gt;=G15,"到期","未到期"))</f>
        <v/>
      </c>
    </row>
    <row r="16">
      <c r="A16" s="22" t="n"/>
      <c r="B16" s="22" t="n"/>
      <c r="C16" s="26" t="n"/>
      <c r="D16" s="26" t="n"/>
      <c r="E16" s="26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6">
        <f>IF(G16="","",IF(TODAY()&gt;=G16,"到期","未到期"))</f>
        <v/>
      </c>
    </row>
    <row r="17">
      <c r="A17" s="22" t="n"/>
      <c r="B17" s="22" t="n"/>
      <c r="C17" s="26" t="n"/>
      <c r="D17" s="26" t="n"/>
      <c r="E17" s="26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6">
        <f>IF(G17="","",IF(TODAY()&gt;=G17,"到期","未到期"))</f>
        <v/>
      </c>
    </row>
    <row r="18">
      <c r="A18" s="22" t="n"/>
      <c r="B18" s="22" t="n"/>
      <c r="C18" s="26" t="n"/>
      <c r="D18" s="26" t="n"/>
      <c r="E18" s="26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6">
        <f>IF(G18="","",IF(TODAY()&gt;=G18,"到期","未到期"))</f>
        <v/>
      </c>
    </row>
    <row r="19">
      <c r="A19" s="22" t="n"/>
      <c r="B19" s="22" t="n"/>
      <c r="C19" s="26" t="n"/>
      <c r="D19" s="26" t="n"/>
      <c r="E19" s="26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6">
        <f>IF(G19="","",IF(TODAY()&gt;=G19,"到期","未到期"))</f>
        <v/>
      </c>
    </row>
    <row r="20">
      <c r="A20" s="22" t="n"/>
      <c r="B20" s="22" t="n"/>
      <c r="C20" s="26" t="n"/>
      <c r="D20" s="26" t="n"/>
      <c r="E20" s="26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6">
        <f>IF(G20="","",IF(TODAY()&gt;=G20,"到期","未到期"))</f>
        <v/>
      </c>
    </row>
    <row r="21">
      <c r="A21" s="22" t="n"/>
      <c r="B21" s="22" t="n"/>
      <c r="C21" s="26" t="n"/>
      <c r="D21" s="26" t="n"/>
      <c r="E21" s="26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6">
        <f>IF(G21="","",IF(TODAY()&gt;=G21,"到期","未到期"))</f>
        <v/>
      </c>
    </row>
    <row r="22">
      <c r="A22" s="22" t="n"/>
      <c r="B22" s="22" t="n"/>
      <c r="C22" s="26" t="n"/>
      <c r="D22" s="26" t="n"/>
      <c r="E22" s="26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6">
        <f>IF(G22="","",IF(TODAY()&gt;=G22,"到期","未到期"))</f>
        <v/>
      </c>
    </row>
    <row r="23">
      <c r="A23" s="22" t="n"/>
      <c r="B23" s="22" t="n"/>
      <c r="C23" s="26" t="n"/>
      <c r="D23" s="26" t="n"/>
      <c r="E23" s="26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6">
        <f>IF(G23="","",IF(TODAY()&gt;=G23,"到期","未到期"))</f>
        <v/>
      </c>
    </row>
    <row r="24">
      <c r="A24" s="22" t="n"/>
      <c r="B24" s="22" t="n"/>
      <c r="C24" s="26" t="n"/>
      <c r="D24" s="26" t="n"/>
      <c r="E24" s="26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6">
        <f>IF(G24="","",IF(TODAY()&gt;=G24,"到期","未到期"))</f>
        <v/>
      </c>
    </row>
    <row r="25">
      <c r="A25" s="22" t="n"/>
      <c r="B25" s="22" t="n"/>
      <c r="C25" s="26" t="n"/>
      <c r="D25" s="26" t="n"/>
      <c r="E25" s="26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6">
        <f>IF(G25="","",IF(TODAY()&gt;=G25,"到期","未到期"))</f>
        <v/>
      </c>
    </row>
    <row r="26">
      <c r="A26" s="22" t="n"/>
      <c r="B26" s="22" t="n"/>
      <c r="C26" s="26" t="n"/>
      <c r="D26" s="26" t="n"/>
      <c r="E26" s="26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6">
        <f>IF(G26="","",IF(TODAY()&gt;=G26,"到期","未到期"))</f>
        <v/>
      </c>
    </row>
    <row r="27">
      <c r="A27" s="22" t="n"/>
      <c r="B27" s="22" t="n"/>
      <c r="C27" s="26" t="n"/>
      <c r="D27" s="26" t="n"/>
      <c r="E27" s="26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6">
        <f>IF(G27="","",IF(TODAY()&gt;=G27,"到期","未到期"))</f>
        <v/>
      </c>
    </row>
    <row r="28">
      <c r="A28" s="22" t="n"/>
      <c r="B28" s="22" t="n"/>
      <c r="C28" s="26" t="n"/>
      <c r="D28" s="26" t="n"/>
      <c r="E28" s="26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6">
        <f>IF(G28="","",IF(TODAY()&gt;=G28,"到期","未到期"))</f>
        <v/>
      </c>
    </row>
    <row r="29">
      <c r="A29" s="22" t="n"/>
      <c r="B29" s="22" t="n"/>
      <c r="C29" s="26" t="n"/>
      <c r="D29" s="26" t="n"/>
      <c r="E29" s="26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6">
        <f>IF(G29="","",IF(TODAY()&gt;=G29,"到期","未到期"))</f>
        <v/>
      </c>
    </row>
    <row r="30">
      <c r="A30" s="22" t="n"/>
      <c r="B30" s="22" t="n"/>
      <c r="C30" s="26" t="n"/>
      <c r="D30" s="26" t="n"/>
      <c r="E30" s="26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6">
        <f>IF(G30="","",IF(TODAY()&gt;=G30,"到期","未到期"))</f>
        <v/>
      </c>
    </row>
    <row r="31">
      <c r="A31" s="22" t="n"/>
      <c r="B31" s="22" t="n"/>
      <c r="C31" s="26" t="n"/>
      <c r="D31" s="26" t="n"/>
      <c r="E31" s="26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6">
        <f>IF(G31="","",IF(TODAY()&gt;=G31,"到期","未到期"))</f>
        <v/>
      </c>
    </row>
    <row r="32">
      <c r="A32" s="22" t="n"/>
      <c r="B32" s="22" t="n"/>
      <c r="C32" s="26" t="n"/>
      <c r="D32" s="26" t="n"/>
      <c r="E32" s="26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6">
        <f>IF(G32="","",IF(TODAY()&gt;=G32,"到期","未到期"))</f>
        <v/>
      </c>
    </row>
    <row r="33">
      <c r="A33" s="22" t="n"/>
      <c r="B33" s="22" t="n"/>
      <c r="C33" s="26" t="n"/>
      <c r="D33" s="26" t="n"/>
      <c r="E33" s="26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6">
        <f>IF(G33="","",IF(TODAY()&gt;=G33,"到期","未到期"))</f>
        <v/>
      </c>
    </row>
    <row r="34">
      <c r="A34" s="22" t="n"/>
      <c r="B34" s="22" t="n"/>
      <c r="C34" s="26" t="n"/>
      <c r="D34" s="26" t="n"/>
      <c r="E34" s="26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6">
        <f>IF(G34="","",IF(TODAY()&gt;=G34,"到期","未到期"))</f>
        <v/>
      </c>
    </row>
    <row r="35">
      <c r="A35" s="22" t="n"/>
      <c r="B35" s="22" t="n"/>
      <c r="C35" s="26" t="n"/>
      <c r="D35" s="26" t="n"/>
      <c r="E35" s="26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6">
        <f>IF(G35="","",IF(TODAY()&gt;=G35,"到期","未到期"))</f>
        <v/>
      </c>
    </row>
    <row r="36">
      <c r="A36" s="22" t="n"/>
      <c r="B36" s="22" t="n"/>
      <c r="C36" s="26" t="n"/>
      <c r="D36" s="26" t="n"/>
      <c r="E36" s="26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6">
        <f>IF(G36="","",IF(TODAY()&gt;=G36,"到期","未到期"))</f>
        <v/>
      </c>
    </row>
    <row r="37">
      <c r="A37" s="22" t="n"/>
      <c r="B37" s="22" t="n"/>
      <c r="C37" s="26" t="n"/>
      <c r="D37" s="26" t="n"/>
      <c r="E37" s="26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6">
        <f>IF(G37="","",IF(TODAY()&gt;=G37,"到期","未到期"))</f>
        <v/>
      </c>
    </row>
    <row r="38">
      <c r="A38" s="22" t="n"/>
      <c r="B38" s="22" t="n"/>
      <c r="C38" s="26" t="n"/>
      <c r="D38" s="26" t="n"/>
      <c r="E38" s="26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6">
        <f>IF(G38="","",IF(TODAY()&gt;=G38,"到期","未到期"))</f>
        <v/>
      </c>
    </row>
    <row r="39">
      <c r="A39" s="22" t="n"/>
      <c r="B39" s="22" t="n"/>
      <c r="C39" s="26" t="n"/>
      <c r="D39" s="26" t="n"/>
      <c r="E39" s="26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6">
        <f>IF(G39="","",IF(TODAY()&gt;=G39,"到期","未到期"))</f>
        <v/>
      </c>
    </row>
    <row r="40">
      <c r="A40" s="22" t="n"/>
      <c r="B40" s="22" t="n"/>
      <c r="C40" s="26" t="n"/>
      <c r="D40" s="26" t="n"/>
      <c r="E40" s="26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6">
        <f>IF(G40="","",IF(TODAY()&gt;=G40,"到期","未到期"))</f>
        <v/>
      </c>
    </row>
    <row r="41">
      <c r="A41" s="22" t="n"/>
      <c r="B41" s="22" t="n"/>
      <c r="C41" s="26" t="n"/>
      <c r="D41" s="26" t="n"/>
      <c r="E41" s="26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6">
        <f>IF(G41="","",IF(TODAY()&gt;=G41,"到期","未到期"))</f>
        <v/>
      </c>
    </row>
    <row r="42">
      <c r="A42" s="22" t="n"/>
      <c r="B42" s="22" t="n"/>
      <c r="C42" s="26" t="n"/>
      <c r="D42" s="26" t="n"/>
      <c r="E42" s="26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6">
        <f>IF(G42="","",IF(TODAY()&gt;=G42,"到期","未到期"))</f>
        <v/>
      </c>
    </row>
    <row r="43">
      <c r="A43" s="22" t="n"/>
      <c r="B43" s="22" t="n"/>
      <c r="C43" s="26" t="n"/>
      <c r="D43" s="26" t="n"/>
      <c r="E43" s="26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6">
        <f>IF(G43="","",IF(TODAY()&gt;=G43,"到期","未到期"))</f>
        <v/>
      </c>
    </row>
    <row r="44">
      <c r="A44" s="22" t="n"/>
      <c r="B44" s="22" t="n"/>
      <c r="C44" s="26" t="n"/>
      <c r="D44" s="26" t="n"/>
      <c r="E44" s="26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6">
        <f>IF(G44="","",IF(TODAY()&gt;=G44,"到期","未到期"))</f>
        <v/>
      </c>
    </row>
    <row r="45">
      <c r="A45" s="22" t="n"/>
      <c r="B45" s="22" t="n"/>
      <c r="C45" s="26" t="n"/>
      <c r="D45" s="26" t="n"/>
      <c r="E45" s="26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6">
        <f>IF(G45="","",IF(TODAY()&gt;=G45,"到期","未到期"))</f>
        <v/>
      </c>
    </row>
    <row r="46">
      <c r="A46" s="22" t="n"/>
      <c r="B46" s="22" t="n"/>
      <c r="C46" s="26" t="n"/>
      <c r="D46" s="26" t="n"/>
      <c r="E46" s="26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6">
        <f>IF(G46="","",IF(TODAY()&gt;=G46,"到期","未到期"))</f>
        <v/>
      </c>
    </row>
    <row r="47">
      <c r="A47" s="22" t="n"/>
      <c r="B47" s="22" t="n"/>
      <c r="C47" s="26" t="n"/>
      <c r="D47" s="26" t="n"/>
      <c r="E47" s="26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6">
        <f>IF(G47="","",IF(TODAY()&gt;=G47,"到期","未到期"))</f>
        <v/>
      </c>
    </row>
    <row r="48">
      <c r="A48" s="22" t="n"/>
      <c r="B48" s="22" t="n"/>
      <c r="C48" s="26" t="n"/>
      <c r="D48" s="26" t="n"/>
      <c r="E48" s="26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6">
        <f>IF(G48="","",IF(TODAY()&gt;=G48,"到期","未到期"))</f>
        <v/>
      </c>
    </row>
    <row r="49">
      <c r="A49" s="22" t="n"/>
      <c r="B49" s="22" t="n"/>
      <c r="C49" s="26" t="n"/>
      <c r="D49" s="26" t="n"/>
      <c r="E49" s="26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6">
        <f>IF(G49="","",IF(TODAY()&gt;=G49,"到期","未到期"))</f>
        <v/>
      </c>
    </row>
    <row r="50">
      <c r="A50" s="22" t="n"/>
      <c r="B50" s="22" t="n"/>
      <c r="C50" s="26" t="n"/>
      <c r="D50" s="26" t="n"/>
      <c r="E50" s="26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6">
        <f>IF(G50="","",IF(TODAY()&gt;=G50,"到期","未到期"))</f>
        <v/>
      </c>
    </row>
    <row r="51">
      <c r="A51" s="22" t="n"/>
      <c r="B51" s="22" t="n"/>
      <c r="C51" s="26" t="n"/>
      <c r="D51" s="26" t="n"/>
      <c r="E51" s="26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6">
        <f>IF(G51="","",IF(TODAY()&gt;=G51,"到期","未到期"))</f>
        <v/>
      </c>
    </row>
    <row r="52">
      <c r="A52" s="22" t="n"/>
      <c r="B52" s="22" t="n"/>
      <c r="C52" s="26" t="n"/>
      <c r="D52" s="26" t="n"/>
      <c r="E52" s="26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6">
        <f>IF(G52="","",IF(TODAY()&gt;=G52,"到期","未到期"))</f>
        <v/>
      </c>
    </row>
    <row r="53">
      <c r="A53" s="22" t="n"/>
      <c r="B53" s="22" t="n"/>
      <c r="C53" s="26" t="n"/>
      <c r="D53" s="26" t="n"/>
      <c r="E53" s="26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6">
        <f>IF(G53="","",IF(TODAY()&gt;=G53,"到期","未到期"))</f>
        <v/>
      </c>
    </row>
    <row r="54">
      <c r="A54" s="22" t="n"/>
      <c r="B54" s="22" t="n"/>
      <c r="C54" s="26" t="n"/>
      <c r="D54" s="26" t="n"/>
      <c r="E54" s="26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6">
        <f>IF(G54="","",IF(TODAY()&gt;=G54,"到期","未到期"))</f>
        <v/>
      </c>
    </row>
    <row r="55">
      <c r="A55" s="22" t="n"/>
      <c r="B55" s="22" t="n"/>
      <c r="C55" s="26" t="n"/>
      <c r="D55" s="26" t="n"/>
      <c r="E55" s="26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6">
        <f>IF(G55="","",IF(TODAY()&gt;=G55,"到期","未到期"))</f>
        <v/>
      </c>
    </row>
    <row r="56">
      <c r="A56" s="22" t="n"/>
      <c r="B56" s="22" t="n"/>
      <c r="C56" s="26" t="n"/>
      <c r="D56" s="26" t="n"/>
      <c r="E56" s="26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6">
        <f>IF(G56="","",IF(TODAY()&gt;=G56,"到期","未到期"))</f>
        <v/>
      </c>
    </row>
    <row r="57">
      <c r="A57" s="22" t="n"/>
      <c r="B57" s="22" t="n"/>
      <c r="C57" s="26" t="n"/>
      <c r="D57" s="26" t="n"/>
      <c r="E57" s="26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6">
        <f>IF(G57="","",IF(TODAY()&gt;=G57,"到期","未到期"))</f>
        <v/>
      </c>
    </row>
    <row r="58">
      <c r="A58" s="22" t="n"/>
      <c r="B58" s="22" t="n"/>
      <c r="C58" s="26" t="n"/>
      <c r="D58" s="26" t="n"/>
      <c r="E58" s="26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6">
        <f>IF(G58="","",IF(TODAY()&gt;=G58,"到期","未到期"))</f>
        <v/>
      </c>
    </row>
    <row r="59">
      <c r="A59" s="22" t="n"/>
      <c r="B59" s="22" t="n"/>
      <c r="C59" s="26" t="n"/>
      <c r="D59" s="26" t="n"/>
      <c r="E59" s="26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6">
        <f>IF(G59="","",IF(TODAY()&gt;=G59,"到期","未到期"))</f>
        <v/>
      </c>
    </row>
    <row r="60">
      <c r="A60" s="22" t="n"/>
      <c r="B60" s="22" t="n"/>
      <c r="C60" s="26" t="n"/>
      <c r="D60" s="26" t="n"/>
      <c r="E60" s="26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6">
        <f>IF(G60="","",IF(TODAY()&gt;=G60,"到期","未到期"))</f>
        <v/>
      </c>
    </row>
    <row r="61">
      <c r="A61" s="22" t="n"/>
      <c r="B61" s="22" t="n"/>
      <c r="C61" s="26" t="n"/>
      <c r="D61" s="26" t="n"/>
      <c r="E61" s="26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6">
        <f>IF(G61="","",IF(TODAY()&gt;=G61,"到期","未到期"))</f>
        <v/>
      </c>
    </row>
    <row r="62">
      <c r="A62" s="22" t="n"/>
      <c r="B62" s="22" t="n"/>
      <c r="C62" s="26" t="n"/>
      <c r="D62" s="26" t="n"/>
      <c r="E62" s="26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6">
        <f>IF(G62="","",IF(TODAY()&gt;=G62,"到期","未到期"))</f>
        <v/>
      </c>
    </row>
    <row r="63">
      <c r="A63" s="22" t="n"/>
      <c r="B63" s="22" t="n"/>
      <c r="C63" s="26" t="n"/>
      <c r="D63" s="26" t="n"/>
      <c r="E63" s="26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6">
        <f>IF(G63="","",IF(TODAY()&gt;=G63,"到期","未到期"))</f>
        <v/>
      </c>
    </row>
    <row r="64">
      <c r="A64" s="22" t="n"/>
      <c r="B64" s="22" t="n"/>
      <c r="C64" s="26" t="n"/>
      <c r="D64" s="26" t="n"/>
      <c r="E64" s="26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6">
        <f>IF(G64="","",IF(TODAY()&gt;=G64,"到期","未到期"))</f>
        <v/>
      </c>
    </row>
    <row r="65">
      <c r="A65" s="22" t="n"/>
      <c r="B65" s="22" t="n"/>
      <c r="C65" s="26" t="n"/>
      <c r="D65" s="26" t="n"/>
      <c r="E65" s="26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6">
        <f>IF(G65="","",IF(TODAY()&gt;=G65,"到期","未到期"))</f>
        <v/>
      </c>
    </row>
    <row r="66">
      <c r="A66" s="22" t="n"/>
      <c r="B66" s="22" t="n"/>
      <c r="C66" s="26" t="n"/>
      <c r="D66" s="26" t="n"/>
      <c r="E66" s="26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6">
        <f>IF(G66="","",IF(TODAY()&gt;=G66,"到期","未到期"))</f>
        <v/>
      </c>
    </row>
    <row r="67">
      <c r="A67" s="22" t="n"/>
      <c r="B67" s="22" t="n"/>
      <c r="C67" s="26" t="n"/>
      <c r="D67" s="26" t="n"/>
      <c r="E67" s="26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6">
        <f>IF(G67="","",IF(TODAY()&gt;=G67,"到期","未到期"))</f>
        <v/>
      </c>
    </row>
    <row r="68">
      <c r="A68" s="22" t="n"/>
      <c r="B68" s="22" t="n"/>
      <c r="C68" s="26" t="n"/>
      <c r="D68" s="26" t="n"/>
      <c r="E68" s="26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6">
        <f>IF(G68="","",IF(TODAY()&gt;=G68,"到期","未到期"))</f>
        <v/>
      </c>
    </row>
    <row r="69">
      <c r="A69" s="22" t="n"/>
      <c r="B69" s="22" t="n"/>
      <c r="C69" s="26" t="n"/>
      <c r="D69" s="26" t="n"/>
      <c r="E69" s="26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6">
        <f>IF(G69="","",IF(TODAY()&gt;=G69,"到期","未到期"))</f>
        <v/>
      </c>
    </row>
    <row r="70">
      <c r="A70" s="22" t="n"/>
      <c r="B70" s="22" t="n"/>
      <c r="C70" s="26" t="n"/>
      <c r="D70" s="26" t="n"/>
      <c r="E70" s="26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6">
        <f>IF(G70="","",IF(TODAY()&gt;=G70,"到期","未到期"))</f>
        <v/>
      </c>
    </row>
    <row r="71">
      <c r="A71" s="22" t="n"/>
      <c r="B71" s="22" t="n"/>
      <c r="C71" s="26" t="n"/>
      <c r="D71" s="26" t="n"/>
      <c r="E71" s="26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6">
        <f>IF(G71="","",IF(TODAY()&gt;=G71,"到期","未到期"))</f>
        <v/>
      </c>
    </row>
    <row r="72">
      <c r="A72" s="22" t="n"/>
      <c r="B72" s="22" t="n"/>
      <c r="C72" s="26" t="n"/>
      <c r="D72" s="26" t="n"/>
      <c r="E72" s="26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6">
        <f>IF(G72="","",IF(TODAY()&gt;=G72,"到期","未到期"))</f>
        <v/>
      </c>
    </row>
    <row r="73">
      <c r="A73" s="22" t="n"/>
      <c r="B73" s="22" t="n"/>
      <c r="C73" s="26" t="n"/>
      <c r="D73" s="26" t="n"/>
      <c r="E73" s="26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6">
        <f>IF(G73="","",IF(TODAY()&gt;=G73,"到期","未到期"))</f>
        <v/>
      </c>
    </row>
    <row r="74">
      <c r="A74" s="22" t="n"/>
      <c r="B74" s="22" t="n"/>
      <c r="C74" s="26" t="n"/>
      <c r="D74" s="26" t="n"/>
      <c r="E74" s="26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6">
        <f>IF(G74="","",IF(TODAY()&gt;=G74,"到期","未到期"))</f>
        <v/>
      </c>
    </row>
    <row r="75">
      <c r="A75" s="22" t="n"/>
      <c r="B75" s="22" t="n"/>
      <c r="C75" s="26" t="n"/>
      <c r="D75" s="26" t="n"/>
      <c r="E75" s="26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6">
        <f>IF(G75="","",IF(TODAY()&gt;=G75,"到期","未到期"))</f>
        <v/>
      </c>
    </row>
    <row r="76">
      <c r="A76" s="22" t="n"/>
      <c r="B76" s="22" t="n"/>
      <c r="C76" s="26" t="n"/>
      <c r="D76" s="26" t="n"/>
      <c r="E76" s="26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6">
        <f>IF(G76="","",IF(TODAY()&gt;=G76,"到期","未到期"))</f>
        <v/>
      </c>
    </row>
    <row r="77">
      <c r="A77" s="22" t="n"/>
      <c r="B77" s="22" t="n"/>
      <c r="C77" s="26" t="n"/>
      <c r="D77" s="26" t="n"/>
      <c r="E77" s="26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6">
        <f>IF(G77="","",IF(TODAY()&gt;=G77,"到期","未到期"))</f>
        <v/>
      </c>
    </row>
    <row r="78">
      <c r="A78" s="22" t="n"/>
      <c r="B78" s="22" t="n"/>
      <c r="C78" s="26" t="n"/>
      <c r="D78" s="26" t="n"/>
      <c r="E78" s="26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6">
        <f>IF(G78="","",IF(TODAY()&gt;=G78,"到期","未到期"))</f>
        <v/>
      </c>
    </row>
    <row r="79">
      <c r="A79" s="22" t="n"/>
      <c r="B79" s="22" t="n"/>
      <c r="C79" s="26" t="n"/>
      <c r="D79" s="26" t="n"/>
      <c r="E79" s="26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6">
        <f>IF(G79="","",IF(TODAY()&gt;=G79,"到期","未到期"))</f>
        <v/>
      </c>
    </row>
    <row r="80">
      <c r="A80" s="22" t="n"/>
      <c r="B80" s="22" t="n"/>
      <c r="C80" s="26" t="n"/>
      <c r="D80" s="26" t="n"/>
      <c r="E80" s="26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6">
        <f>IF(G80="","",IF(TODAY()&gt;=G80,"到期","未到期"))</f>
        <v/>
      </c>
    </row>
    <row r="81">
      <c r="A81" s="22" t="n"/>
      <c r="B81" s="22" t="n"/>
      <c r="C81" s="26" t="n"/>
      <c r="D81" s="26" t="n"/>
      <c r="E81" s="26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6">
        <f>IF(G81="","",IF(TODAY()&gt;=G81,"到期","未到期"))</f>
        <v/>
      </c>
    </row>
    <row r="82">
      <c r="A82" s="22" t="n"/>
      <c r="B82" s="22" t="n"/>
      <c r="C82" s="26" t="n"/>
      <c r="D82" s="26" t="n"/>
      <c r="E82" s="26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6">
        <f>IF(G82="","",IF(TODAY()&gt;=G82,"到期","未到期"))</f>
        <v/>
      </c>
    </row>
    <row r="83">
      <c r="A83" s="22" t="n"/>
      <c r="B83" s="22" t="n"/>
      <c r="C83" s="26" t="n"/>
      <c r="D83" s="26" t="n"/>
      <c r="E83" s="26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6">
        <f>IF(G83="","",IF(TODAY()&gt;=G83,"到期","未到期"))</f>
        <v/>
      </c>
    </row>
    <row r="84">
      <c r="A84" s="22" t="n"/>
      <c r="B84" s="22" t="n"/>
      <c r="C84" s="26" t="n"/>
      <c r="D84" s="26" t="n"/>
      <c r="E84" s="26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6">
        <f>IF(G84="","",IF(TODAY()&gt;=G84,"到期","未到期"))</f>
        <v/>
      </c>
    </row>
    <row r="85">
      <c r="A85" s="22" t="n"/>
      <c r="B85" s="22" t="n"/>
      <c r="C85" s="26" t="n"/>
      <c r="D85" s="26" t="n"/>
      <c r="E85" s="26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6">
        <f>IF(G85="","",IF(TODAY()&gt;=G85,"到期","未到期"))</f>
        <v/>
      </c>
    </row>
    <row r="86">
      <c r="A86" s="22" t="n"/>
      <c r="B86" s="22" t="n"/>
      <c r="C86" s="26" t="n"/>
      <c r="D86" s="26" t="n"/>
      <c r="E86" s="26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6">
        <f>IF(G86="","",IF(TODAY()&gt;=G86,"到期","未到期"))</f>
        <v/>
      </c>
    </row>
    <row r="87">
      <c r="A87" s="22" t="n"/>
      <c r="B87" s="22" t="n"/>
      <c r="C87" s="26" t="n"/>
      <c r="D87" s="26" t="n"/>
      <c r="E87" s="26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6">
        <f>IF(G87="","",IF(TODAY()&gt;=G87,"到期","未到期"))</f>
        <v/>
      </c>
    </row>
    <row r="88">
      <c r="A88" s="22" t="n"/>
      <c r="B88" s="22" t="n"/>
      <c r="C88" s="26" t="n"/>
      <c r="D88" s="26" t="n"/>
      <c r="E88" s="26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6">
        <f>IF(G88="","",IF(TODAY()&gt;=G88,"到期","未到期"))</f>
        <v/>
      </c>
    </row>
    <row r="89">
      <c r="A89" s="22" t="n"/>
      <c r="B89" s="22" t="n"/>
      <c r="C89" s="26" t="n"/>
      <c r="D89" s="26" t="n"/>
      <c r="E89" s="26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6">
        <f>IF(G89="","",IF(TODAY()&gt;=G89,"到期","未到期"))</f>
        <v/>
      </c>
    </row>
    <row r="90">
      <c r="A90" s="22" t="n"/>
      <c r="B90" s="22" t="n"/>
      <c r="C90" s="26" t="n"/>
      <c r="D90" s="26" t="n"/>
      <c r="E90" s="26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6">
        <f>IF(G90="","",IF(TODAY()&gt;=G90,"到期","未到期"))</f>
        <v/>
      </c>
    </row>
    <row r="91">
      <c r="A91" s="22" t="n"/>
      <c r="B91" s="22" t="n"/>
      <c r="C91" s="26" t="n"/>
      <c r="D91" s="26" t="n"/>
      <c r="E91" s="26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6">
        <f>IF(G91="","",IF(TODAY()&gt;=G91,"到期","未到期"))</f>
        <v/>
      </c>
    </row>
    <row r="92">
      <c r="A92" s="22" t="n"/>
      <c r="B92" s="22" t="n"/>
      <c r="C92" s="26" t="n"/>
      <c r="D92" s="26" t="n"/>
      <c r="E92" s="26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6">
        <f>IF(G92="","",IF(TODAY()&gt;=G92,"到期","未到期"))</f>
        <v/>
      </c>
    </row>
    <row r="93">
      <c r="A93" s="22" t="n"/>
      <c r="B93" s="22" t="n"/>
      <c r="C93" s="26" t="n"/>
      <c r="D93" s="26" t="n"/>
      <c r="E93" s="26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6">
        <f>IF(G93="","",IF(TODAY()&gt;=G93,"到期","未到期"))</f>
        <v/>
      </c>
    </row>
    <row r="94">
      <c r="A94" s="22" t="n"/>
      <c r="B94" s="22" t="n"/>
      <c r="C94" s="26" t="n"/>
      <c r="D94" s="26" t="n"/>
      <c r="E94" s="26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6">
        <f>IF(G94="","",IF(TODAY()&gt;=G94,"到期","未到期"))</f>
        <v/>
      </c>
    </row>
    <row r="95">
      <c r="A95" s="22" t="n"/>
      <c r="B95" s="22" t="n"/>
      <c r="C95" s="26" t="n"/>
      <c r="D95" s="26" t="n"/>
      <c r="E95" s="26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6">
        <f>IF(G95="","",IF(TODAY()&gt;=G95,"到期","未到期"))</f>
        <v/>
      </c>
    </row>
    <row r="96">
      <c r="A96" s="22" t="n"/>
      <c r="B96" s="22" t="n"/>
      <c r="C96" s="26" t="n"/>
      <c r="D96" s="26" t="n"/>
      <c r="E96" s="26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6">
        <f>IF(G96="","",IF(TODAY()&gt;=G96,"到期","未到期"))</f>
        <v/>
      </c>
    </row>
    <row r="97">
      <c r="A97" s="22" t="n"/>
      <c r="B97" s="22" t="n"/>
      <c r="C97" s="26" t="n"/>
      <c r="D97" s="26" t="n"/>
      <c r="E97" s="26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6">
        <f>IF(G97="","",IF(TODAY()&gt;=G97,"到期","未到期"))</f>
        <v/>
      </c>
    </row>
    <row r="98">
      <c r="A98" s="22" t="n"/>
      <c r="B98" s="22" t="n"/>
      <c r="C98" s="26" t="n"/>
      <c r="D98" s="26" t="n"/>
      <c r="E98" s="26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6">
        <f>IF(G98="","",IF(TODAY()&gt;=G98,"到期","未到期"))</f>
        <v/>
      </c>
    </row>
    <row r="99">
      <c r="A99" s="22" t="n"/>
      <c r="B99" s="22" t="n"/>
      <c r="C99" s="26" t="n"/>
      <c r="D99" s="26" t="n"/>
      <c r="E99" s="26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6">
        <f>IF(G99="","",IF(TODAY()&gt;=G99,"到期","未到期"))</f>
        <v/>
      </c>
    </row>
    <row r="100">
      <c r="A100" s="22" t="n"/>
      <c r="B100" s="22" t="n"/>
      <c r="C100" s="26" t="n"/>
      <c r="D100" s="26" t="n"/>
      <c r="E100" s="26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6">
        <f>IF(G100="","",IF(TODAY()&gt;=G100,"到期","未到期"))</f>
        <v/>
      </c>
    </row>
    <row r="101">
      <c r="A101" s="22" t="n"/>
      <c r="B101" s="22" t="n"/>
      <c r="C101" s="26" t="n"/>
      <c r="D101" s="26" t="n"/>
      <c r="E101" s="26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6">
        <f>IF(G101="","",IF(TODAY()&gt;=G101,"到期","未到期"))</f>
        <v/>
      </c>
    </row>
    <row r="102">
      <c r="A102" s="22" t="n"/>
      <c r="B102" s="22" t="n"/>
      <c r="C102" s="26" t="n"/>
      <c r="D102" s="26" t="n"/>
      <c r="E102" s="26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6">
        <f>IF(G102="","",IF(TODAY()&gt;=G102,"到期","未到期"))</f>
        <v/>
      </c>
    </row>
    <row r="103">
      <c r="A103" s="22" t="n"/>
      <c r="B103" s="22" t="n"/>
      <c r="C103" s="26" t="n"/>
      <c r="D103" s="26" t="n"/>
      <c r="E103" s="26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6">
        <f>IF(G103="","",IF(TODAY()&gt;=G103,"到期","未到期"))</f>
        <v/>
      </c>
    </row>
    <row r="104">
      <c r="A104" s="22" t="n"/>
      <c r="B104" s="22" t="n"/>
      <c r="C104" s="26" t="n"/>
      <c r="D104" s="26" t="n"/>
      <c r="E104" s="26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6">
        <f>IF(G104="","",IF(TODAY()&gt;=G104,"到期","未到期"))</f>
        <v/>
      </c>
    </row>
    <row r="105">
      <c r="A105" s="22" t="n"/>
      <c r="B105" s="22" t="n"/>
      <c r="C105" s="26" t="n"/>
      <c r="D105" s="26" t="n"/>
      <c r="E105" s="26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6">
        <f>IF(G105="","",IF(TODAY()&gt;=G105,"到期","未到期"))</f>
        <v/>
      </c>
    </row>
    <row r="106">
      <c r="A106" s="22" t="n"/>
      <c r="B106" s="22" t="n"/>
      <c r="C106" s="26" t="n"/>
      <c r="D106" s="26" t="n"/>
      <c r="E106" s="26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6">
        <f>IF(G106="","",IF(TODAY()&gt;=G106,"到期","未到期"))</f>
        <v/>
      </c>
    </row>
    <row r="107">
      <c r="A107" s="22" t="n"/>
      <c r="B107" s="22" t="n"/>
      <c r="C107" s="26" t="n"/>
      <c r="D107" s="26" t="n"/>
      <c r="E107" s="26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6">
        <f>IF(G107="","",IF(TODAY()&gt;=G107,"到期","未到期"))</f>
        <v/>
      </c>
    </row>
    <row r="108">
      <c r="A108" s="22" t="n"/>
      <c r="B108" s="22" t="n"/>
      <c r="C108" s="26" t="n"/>
      <c r="D108" s="26" t="n"/>
      <c r="E108" s="26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6">
        <f>IF(G108="","",IF(TODAY()&gt;=G108,"到期","未到期"))</f>
        <v/>
      </c>
    </row>
    <row r="109">
      <c r="A109" s="22" t="n"/>
      <c r="B109" s="22" t="n"/>
      <c r="C109" s="26" t="n"/>
      <c r="D109" s="26" t="n"/>
      <c r="E109" s="26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6">
        <f>IF(G109="","",IF(TODAY()&gt;=G109,"到期","未到期"))</f>
        <v/>
      </c>
    </row>
    <row r="110">
      <c r="A110" s="22" t="n"/>
      <c r="B110" s="22" t="n"/>
      <c r="C110" s="26" t="n"/>
      <c r="D110" s="26" t="n"/>
      <c r="E110" s="26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6">
        <f>IF(G110="","",IF(TODAY()&gt;=G110,"到期","未到期"))</f>
        <v/>
      </c>
    </row>
    <row r="111">
      <c r="A111" s="22" t="n"/>
      <c r="B111" s="22" t="n"/>
      <c r="C111" s="26" t="n"/>
      <c r="D111" s="26" t="n"/>
      <c r="E111" s="26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6">
        <f>IF(G111="","",IF(TODAY()&gt;=G111,"到期","未到期"))</f>
        <v/>
      </c>
    </row>
    <row r="112">
      <c r="A112" s="22" t="n"/>
      <c r="B112" s="22" t="n"/>
      <c r="C112" s="26" t="n"/>
      <c r="D112" s="26" t="n"/>
      <c r="E112" s="26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6">
        <f>IF(G112="","",IF(TODAY()&gt;=G112,"到期","未到期"))</f>
        <v/>
      </c>
    </row>
    <row r="113">
      <c r="A113" s="22" t="n"/>
      <c r="B113" s="22" t="n"/>
      <c r="C113" s="26" t="n"/>
      <c r="D113" s="26" t="n"/>
      <c r="E113" s="26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6">
        <f>IF(G113="","",IF(TODAY()&gt;=G113,"到期","未到期"))</f>
        <v/>
      </c>
    </row>
    <row r="114">
      <c r="A114" s="22" t="n"/>
      <c r="B114" s="22" t="n"/>
      <c r="C114" s="26" t="n"/>
      <c r="D114" s="26" t="n"/>
      <c r="E114" s="26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6">
        <f>IF(G114="","",IF(TODAY()&gt;=G114,"到期","未到期"))</f>
        <v/>
      </c>
    </row>
    <row r="115">
      <c r="A115" s="22" t="n"/>
      <c r="B115" s="22" t="n"/>
      <c r="C115" s="26" t="n"/>
      <c r="D115" s="26" t="n"/>
      <c r="E115" s="26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6">
        <f>IF(G115="","",IF(TODAY()&gt;=G115,"到期","未到期"))</f>
        <v/>
      </c>
    </row>
    <row r="116">
      <c r="A116" s="22" t="n"/>
      <c r="B116" s="22" t="n"/>
      <c r="C116" s="26" t="n"/>
      <c r="D116" s="26" t="n"/>
      <c r="E116" s="26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6">
        <f>IF(G116="","",IF(TODAY()&gt;=G116,"到期","未到期"))</f>
        <v/>
      </c>
    </row>
    <row r="117">
      <c r="A117" s="22" t="n"/>
      <c r="B117" s="22" t="n"/>
      <c r="C117" s="26" t="n"/>
      <c r="D117" s="26" t="n"/>
      <c r="E117" s="26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6">
        <f>IF(G117="","",IF(TODAY()&gt;=G117,"到期","未到期"))</f>
        <v/>
      </c>
    </row>
    <row r="118">
      <c r="A118" s="22" t="n"/>
      <c r="B118" s="22" t="n"/>
      <c r="C118" s="26" t="n"/>
      <c r="D118" s="26" t="n"/>
      <c r="E118" s="26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6">
        <f>IF(G118="","",IF(TODAY()&gt;=G118,"到期","未到期"))</f>
        <v/>
      </c>
    </row>
    <row r="119">
      <c r="A119" s="22" t="n"/>
      <c r="B119" s="22" t="n"/>
      <c r="C119" s="26" t="n"/>
      <c r="D119" s="26" t="n"/>
      <c r="E119" s="26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6">
        <f>IF(G119="","",IF(TODAY()&gt;=G119,"到期","未到期"))</f>
        <v/>
      </c>
    </row>
    <row r="120">
      <c r="A120" s="22" t="n"/>
      <c r="B120" s="22" t="n"/>
      <c r="C120" s="26" t="n"/>
      <c r="D120" s="26" t="n"/>
      <c r="E120" s="26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6">
        <f>IF(G120="","",IF(TODAY()&gt;=G120,"到期","未到期"))</f>
        <v/>
      </c>
    </row>
    <row r="121">
      <c r="A121" s="22" t="n"/>
      <c r="B121" s="22" t="n"/>
      <c r="C121" s="26" t="n"/>
      <c r="D121" s="26" t="n"/>
      <c r="E121" s="26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6">
        <f>IF(G121="","",IF(TODAY()&gt;=G121,"到期","未到期"))</f>
        <v/>
      </c>
    </row>
    <row r="122">
      <c r="A122" s="22" t="n"/>
      <c r="B122" s="22" t="n"/>
      <c r="C122" s="26" t="n"/>
      <c r="D122" s="26" t="n"/>
      <c r="E122" s="26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6">
        <f>IF(G122="","",IF(TODAY()&gt;=G122,"到期","未到期"))</f>
        <v/>
      </c>
    </row>
    <row r="123">
      <c r="A123" s="22" t="n"/>
      <c r="B123" s="22" t="n"/>
      <c r="C123" s="26" t="n"/>
      <c r="D123" s="26" t="n"/>
      <c r="E123" s="26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6">
        <f>IF(G123="","",IF(TODAY()&gt;=G123,"到期","未到期"))</f>
        <v/>
      </c>
    </row>
    <row r="124">
      <c r="A124" s="22" t="n"/>
      <c r="B124" s="22" t="n"/>
      <c r="C124" s="26" t="n"/>
      <c r="D124" s="26" t="n"/>
      <c r="E124" s="26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6">
        <f>IF(G124="","",IF(TODAY()&gt;=G124,"到期","未到期"))</f>
        <v/>
      </c>
    </row>
    <row r="125">
      <c r="A125" s="22" t="n"/>
      <c r="B125" s="22" t="n"/>
      <c r="C125" s="26" t="n"/>
      <c r="D125" s="26" t="n"/>
      <c r="E125" s="26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6">
        <f>IF(G125="","",IF(TODAY()&gt;=G125,"到期","未到期"))</f>
        <v/>
      </c>
    </row>
    <row r="126">
      <c r="A126" s="22" t="n"/>
      <c r="B126" s="22" t="n"/>
      <c r="C126" s="26" t="n"/>
      <c r="D126" s="26" t="n"/>
      <c r="E126" s="26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6">
        <f>IF(G126="","",IF(TODAY()&gt;=G126,"到期","未到期"))</f>
        <v/>
      </c>
    </row>
    <row r="127">
      <c r="A127" s="22" t="n"/>
      <c r="B127" s="22" t="n"/>
      <c r="C127" s="26" t="n"/>
      <c r="D127" s="26" t="n"/>
      <c r="E127" s="26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6">
        <f>IF(G127="","",IF(TODAY()&gt;=G127,"到期","未到期"))</f>
        <v/>
      </c>
    </row>
    <row r="128">
      <c r="A128" s="22" t="n"/>
      <c r="B128" s="22" t="n"/>
      <c r="C128" s="26" t="n"/>
      <c r="D128" s="26" t="n"/>
      <c r="E128" s="26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6">
        <f>IF(G128="","",IF(TODAY()&gt;=G128,"到期","未到期"))</f>
        <v/>
      </c>
    </row>
    <row r="129">
      <c r="A129" s="22" t="n"/>
      <c r="B129" s="22" t="n"/>
      <c r="C129" s="26" t="n"/>
      <c r="D129" s="26" t="n"/>
      <c r="E129" s="26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6">
        <f>IF(G129="","",IF(TODAY()&gt;=G129,"到期","未到期"))</f>
        <v/>
      </c>
    </row>
    <row r="130">
      <c r="A130" s="22" t="n"/>
      <c r="B130" s="22" t="n"/>
      <c r="C130" s="26" t="n"/>
      <c r="D130" s="26" t="n"/>
      <c r="E130" s="26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6">
        <f>IF(G130="","",IF(TODAY()&gt;=G130,"到期","未到期"))</f>
        <v/>
      </c>
    </row>
    <row r="131">
      <c r="A131" s="22" t="n"/>
      <c r="B131" s="22" t="n"/>
      <c r="C131" s="26" t="n"/>
      <c r="D131" s="26" t="n"/>
      <c r="E131" s="26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6">
        <f>IF(G131="","",IF(TODAY()&gt;=G131,"到期","未到期"))</f>
        <v/>
      </c>
    </row>
    <row r="132">
      <c r="A132" s="22" t="n"/>
      <c r="B132" s="22" t="n"/>
      <c r="C132" s="26" t="n"/>
      <c r="D132" s="26" t="n"/>
      <c r="E132" s="26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6">
        <f>IF(G132="","",IF(TODAY()&gt;=G132,"到期","未到期"))</f>
        <v/>
      </c>
    </row>
    <row r="133">
      <c r="A133" s="22" t="n"/>
      <c r="B133" s="22" t="n"/>
      <c r="C133" s="26" t="n"/>
      <c r="D133" s="26" t="n"/>
      <c r="E133" s="26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6">
        <f>IF(G133="","",IF(TODAY()&gt;=G133,"到期","未到期"))</f>
        <v/>
      </c>
    </row>
    <row r="134">
      <c r="A134" s="22" t="n"/>
      <c r="B134" s="22" t="n"/>
      <c r="C134" s="26" t="n"/>
      <c r="D134" s="26" t="n"/>
      <c r="E134" s="26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6">
        <f>IF(G134="","",IF(TODAY()&gt;=G134,"到期","未到期"))</f>
        <v/>
      </c>
    </row>
    <row r="135">
      <c r="A135" s="22" t="n"/>
      <c r="B135" s="22" t="n"/>
      <c r="C135" s="26" t="n"/>
      <c r="D135" s="26" t="n"/>
      <c r="E135" s="26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6">
        <f>IF(G135="","",IF(TODAY()&gt;=G135,"到期","未到期"))</f>
        <v/>
      </c>
    </row>
    <row r="136">
      <c r="A136" s="22" t="n"/>
      <c r="B136" s="22" t="n"/>
      <c r="C136" s="26" t="n"/>
      <c r="D136" s="26" t="n"/>
      <c r="E136" s="26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6">
        <f>IF(G136="","",IF(TODAY()&gt;=G136,"到期","未到期"))</f>
        <v/>
      </c>
    </row>
    <row r="137">
      <c r="A137" s="22" t="n"/>
      <c r="B137" s="22" t="n"/>
      <c r="C137" s="26" t="n"/>
      <c r="D137" s="26" t="n"/>
      <c r="E137" s="26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6">
        <f>IF(G137="","",IF(TODAY()&gt;=G137,"到期","未到期"))</f>
        <v/>
      </c>
    </row>
    <row r="138">
      <c r="A138" s="22" t="n"/>
      <c r="B138" s="22" t="n"/>
      <c r="C138" s="26" t="n"/>
      <c r="D138" s="26" t="n"/>
      <c r="E138" s="26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6">
        <f>IF(G138="","",IF(TODAY()&gt;=G138,"到期","未到期"))</f>
        <v/>
      </c>
    </row>
    <row r="139">
      <c r="A139" s="22" t="n"/>
      <c r="B139" s="22" t="n"/>
      <c r="C139" s="26" t="n"/>
      <c r="D139" s="26" t="n"/>
      <c r="E139" s="26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6">
        <f>IF(G139="","",IF(TODAY()&gt;=G139,"到期","未到期"))</f>
        <v/>
      </c>
    </row>
    <row r="140">
      <c r="A140" s="22" t="n"/>
      <c r="B140" s="22" t="n"/>
      <c r="C140" s="26" t="n"/>
      <c r="D140" s="26" t="n"/>
      <c r="E140" s="26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6">
        <f>IF(G140="","",IF(TODAY()&gt;=G140,"到期","未到期"))</f>
        <v/>
      </c>
    </row>
    <row r="141">
      <c r="A141" s="22" t="n"/>
      <c r="B141" s="22" t="n"/>
      <c r="C141" s="26" t="n"/>
      <c r="D141" s="26" t="n"/>
      <c r="E141" s="26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6">
        <f>IF(G141="","",IF(TODAY()&gt;=G141,"到期","未到期"))</f>
        <v/>
      </c>
    </row>
    <row r="142">
      <c r="A142" s="22" t="n"/>
      <c r="B142" s="22" t="n"/>
      <c r="C142" s="26" t="n"/>
      <c r="D142" s="26" t="n"/>
      <c r="E142" s="26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6">
        <f>IF(G142="","",IF(TODAY()&gt;=G142,"到期","未到期"))</f>
        <v/>
      </c>
    </row>
    <row r="143">
      <c r="A143" s="22" t="n"/>
      <c r="B143" s="22" t="n"/>
      <c r="C143" s="26" t="n"/>
      <c r="D143" s="26" t="n"/>
      <c r="E143" s="26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6">
        <f>IF(G143="","",IF(TODAY()&gt;=G143,"到期","未到期"))</f>
        <v/>
      </c>
    </row>
    <row r="144">
      <c r="A144" s="22" t="n"/>
      <c r="B144" s="22" t="n"/>
      <c r="C144" s="26" t="n"/>
      <c r="D144" s="26" t="n"/>
      <c r="E144" s="26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6">
        <f>IF(G144="","",IF(TODAY()&gt;=G144,"到期","未到期"))</f>
        <v/>
      </c>
    </row>
    <row r="145">
      <c r="A145" s="22" t="n"/>
      <c r="B145" s="22" t="n"/>
      <c r="C145" s="26" t="n"/>
      <c r="D145" s="26" t="n"/>
      <c r="E145" s="26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6">
        <f>IF(G145="","",IF(TODAY()&gt;=G145,"到期","未到期"))</f>
        <v/>
      </c>
    </row>
    <row r="146">
      <c r="A146" s="22" t="n"/>
      <c r="B146" s="22" t="n"/>
      <c r="C146" s="26" t="n"/>
      <c r="D146" s="26" t="n"/>
      <c r="E146" s="26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6">
        <f>IF(G146="","",IF(TODAY()&gt;=G146,"到期","未到期"))</f>
        <v/>
      </c>
    </row>
    <row r="147">
      <c r="A147" s="22" t="n"/>
      <c r="B147" s="22" t="n"/>
      <c r="C147" s="26" t="n"/>
      <c r="D147" s="26" t="n"/>
      <c r="E147" s="26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6">
        <f>IF(G147="","",IF(TODAY()&gt;=G147,"到期","未到期"))</f>
        <v/>
      </c>
    </row>
    <row r="148">
      <c r="A148" s="22" t="n"/>
      <c r="B148" s="22" t="n"/>
      <c r="C148" s="26" t="n"/>
      <c r="D148" s="26" t="n"/>
      <c r="E148" s="26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6">
        <f>IF(G148="","",IF(TODAY()&gt;=G148,"到期","未到期"))</f>
        <v/>
      </c>
    </row>
    <row r="149">
      <c r="A149" s="22" t="n"/>
      <c r="B149" s="22" t="n"/>
      <c r="C149" s="26" t="n"/>
      <c r="D149" s="26" t="n"/>
      <c r="E149" s="26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6">
        <f>IF(G149="","",IF(TODAY()&gt;=G149,"到期","未到期"))</f>
        <v/>
      </c>
    </row>
    <row r="150">
      <c r="A150" s="22" t="n"/>
      <c r="B150" s="22" t="n"/>
      <c r="C150" s="26" t="n"/>
      <c r="D150" s="26" t="n"/>
      <c r="E150" s="26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6">
        <f>IF(G150="","",IF(TODAY()&gt;=G150,"到期","未到期"))</f>
        <v/>
      </c>
    </row>
    <row r="151">
      <c r="A151" s="22" t="n"/>
      <c r="B151" s="22" t="n"/>
      <c r="C151" s="26" t="n"/>
      <c r="D151" s="26" t="n"/>
      <c r="E151" s="26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6">
        <f>IF(G151="","",IF(TODAY()&gt;=G151,"到期","未到期"))</f>
        <v/>
      </c>
    </row>
    <row r="152">
      <c r="A152" s="22" t="n"/>
      <c r="B152" s="22" t="n"/>
      <c r="C152" s="26" t="n"/>
      <c r="D152" s="26" t="n"/>
      <c r="E152" s="26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6">
        <f>IF(G152="","",IF(TODAY()&gt;=G152,"到期","未到期"))</f>
        <v/>
      </c>
    </row>
    <row r="153">
      <c r="A153" s="22" t="n"/>
      <c r="B153" s="22" t="n"/>
      <c r="C153" s="26" t="n"/>
      <c r="D153" s="26" t="n"/>
      <c r="E153" s="26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6">
        <f>IF(G153="","",IF(TODAY()&gt;=G153,"到期","未到期"))</f>
        <v/>
      </c>
    </row>
    <row r="154">
      <c r="A154" s="22" t="n"/>
      <c r="B154" s="22" t="n"/>
      <c r="C154" s="26" t="n"/>
      <c r="D154" s="26" t="n"/>
      <c r="E154" s="26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6">
        <f>IF(G154="","",IF(TODAY()&gt;=G154,"到期","未到期"))</f>
        <v/>
      </c>
    </row>
    <row r="155">
      <c r="A155" s="22" t="n"/>
      <c r="B155" s="22" t="n"/>
      <c r="C155" s="26" t="n"/>
      <c r="D155" s="26" t="n"/>
      <c r="E155" s="26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6">
        <f>IF(G155="","",IF(TODAY()&gt;=G155,"到期","未到期"))</f>
        <v/>
      </c>
    </row>
    <row r="156">
      <c r="A156" s="22" t="n"/>
      <c r="B156" s="22" t="n"/>
      <c r="C156" s="26" t="n"/>
      <c r="D156" s="26" t="n"/>
      <c r="E156" s="26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6">
        <f>IF(G156="","",IF(TODAY()&gt;=G156,"到期","未到期"))</f>
        <v/>
      </c>
    </row>
    <row r="157">
      <c r="A157" s="22" t="n"/>
      <c r="B157" s="22" t="n"/>
      <c r="C157" s="26" t="n"/>
      <c r="D157" s="26" t="n"/>
      <c r="E157" s="26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6">
        <f>IF(G157="","",IF(TODAY()&gt;=G157,"到期","未到期"))</f>
        <v/>
      </c>
    </row>
    <row r="158">
      <c r="A158" s="22" t="n"/>
      <c r="B158" s="22" t="n"/>
      <c r="C158" s="26" t="n"/>
      <c r="D158" s="26" t="n"/>
      <c r="E158" s="26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6">
        <f>IF(G158="","",IF(TODAY()&gt;=G158,"到期","未到期"))</f>
        <v/>
      </c>
    </row>
    <row r="159">
      <c r="A159" s="22" t="n"/>
      <c r="B159" s="22" t="n"/>
      <c r="C159" s="26" t="n"/>
      <c r="D159" s="26" t="n"/>
      <c r="E159" s="26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6">
        <f>IF(G159="","",IF(TODAY()&gt;=G159,"到期","未到期"))</f>
        <v/>
      </c>
    </row>
    <row r="160">
      <c r="A160" s="22" t="n"/>
      <c r="B160" s="22" t="n"/>
      <c r="C160" s="26" t="n"/>
      <c r="D160" s="26" t="n"/>
      <c r="E160" s="26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6">
        <f>IF(G160="","",IF(TODAY()&gt;=G160,"到期","未到期"))</f>
        <v/>
      </c>
    </row>
    <row r="161">
      <c r="A161" s="22" t="n"/>
      <c r="B161" s="22" t="n"/>
      <c r="C161" s="26" t="n"/>
      <c r="D161" s="26" t="n"/>
      <c r="E161" s="26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6">
        <f>IF(G161="","",IF(TODAY()&gt;=G161,"到期","未到期"))</f>
        <v/>
      </c>
    </row>
    <row r="162">
      <c r="A162" s="22" t="n"/>
      <c r="B162" s="22" t="n"/>
      <c r="C162" s="26" t="n"/>
      <c r="D162" s="26" t="n"/>
      <c r="E162" s="26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6">
        <f>IF(G162="","",IF(TODAY()&gt;=G162,"到期","未到期"))</f>
        <v/>
      </c>
    </row>
    <row r="163">
      <c r="A163" s="22" t="n"/>
      <c r="B163" s="22" t="n"/>
      <c r="C163" s="26" t="n"/>
      <c r="D163" s="26" t="n"/>
      <c r="E163" s="26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6">
        <f>IF(G163="","",IF(TODAY()&gt;=G163,"到期","未到期"))</f>
        <v/>
      </c>
    </row>
    <row r="164">
      <c r="A164" s="22" t="n"/>
      <c r="B164" s="22" t="n"/>
      <c r="C164" s="26" t="n"/>
      <c r="D164" s="26" t="n"/>
      <c r="E164" s="26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6">
        <f>IF(G164="","",IF(TODAY()&gt;=G164,"到期","未到期"))</f>
        <v/>
      </c>
    </row>
    <row r="165">
      <c r="A165" s="22" t="n"/>
      <c r="B165" s="22" t="n"/>
      <c r="C165" s="26" t="n"/>
      <c r="D165" s="26" t="n"/>
      <c r="E165" s="26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6">
        <f>IF(G165="","",IF(TODAY()&gt;=G165,"到期","未到期"))</f>
        <v/>
      </c>
    </row>
    <row r="166">
      <c r="A166" s="22" t="n"/>
      <c r="B166" s="22" t="n"/>
      <c r="C166" s="26" t="n"/>
      <c r="D166" s="26" t="n"/>
      <c r="E166" s="26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6">
        <f>IF(G166="","",IF(TODAY()&gt;=G166,"到期","未到期"))</f>
        <v/>
      </c>
    </row>
    <row r="167">
      <c r="A167" s="22" t="n"/>
      <c r="B167" s="22" t="n"/>
      <c r="C167" s="26" t="n"/>
      <c r="D167" s="26" t="n"/>
      <c r="E167" s="26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6">
        <f>IF(G167="","",IF(TODAY()&gt;=G167,"到期","未到期"))</f>
        <v/>
      </c>
    </row>
    <row r="168">
      <c r="A168" s="22" t="n"/>
      <c r="B168" s="22" t="n"/>
      <c r="C168" s="26" t="n"/>
      <c r="D168" s="26" t="n"/>
      <c r="E168" s="26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6">
        <f>IF(G168="","",IF(TODAY()&gt;=G168,"到期","未到期"))</f>
        <v/>
      </c>
    </row>
    <row r="169">
      <c r="A169" s="22" t="n"/>
      <c r="B169" s="22" t="n"/>
      <c r="C169" s="26" t="n"/>
      <c r="D169" s="26" t="n"/>
      <c r="E169" s="26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6">
        <f>IF(G169="","",IF(TODAY()&gt;=G169,"到期","未到期"))</f>
        <v/>
      </c>
    </row>
    <row r="170">
      <c r="A170" s="22" t="n"/>
      <c r="B170" s="22" t="n"/>
      <c r="C170" s="26" t="n"/>
      <c r="D170" s="26" t="n"/>
      <c r="E170" s="26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6">
        <f>IF(G170="","",IF(TODAY()&gt;=G170,"到期","未到期"))</f>
        <v/>
      </c>
    </row>
    <row r="171">
      <c r="A171" s="22" t="n"/>
      <c r="B171" s="22" t="n"/>
      <c r="C171" s="26" t="n"/>
      <c r="D171" s="26" t="n"/>
      <c r="E171" s="26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6">
        <f>IF(G171="","",IF(TODAY()&gt;=G171,"到期","未到期"))</f>
        <v/>
      </c>
    </row>
    <row r="172">
      <c r="A172" s="22" t="n"/>
      <c r="B172" s="22" t="n"/>
      <c r="C172" s="26" t="n"/>
      <c r="D172" s="26" t="n"/>
      <c r="E172" s="26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6">
        <f>IF(G172="","",IF(TODAY()&gt;=G172,"到期","未到期"))</f>
        <v/>
      </c>
    </row>
    <row r="173">
      <c r="A173" s="22" t="n"/>
      <c r="B173" s="22" t="n"/>
      <c r="C173" s="26" t="n"/>
      <c r="D173" s="26" t="n"/>
      <c r="E173" s="26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6">
        <f>IF(G173="","",IF(TODAY()&gt;=G173,"到期","未到期"))</f>
        <v/>
      </c>
    </row>
    <row r="174">
      <c r="A174" s="22" t="n"/>
      <c r="B174" s="22" t="n"/>
      <c r="C174" s="26" t="n"/>
      <c r="D174" s="26" t="n"/>
      <c r="E174" s="26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6">
        <f>IF(G174="","",IF(TODAY()&gt;=G174,"到期","未到期"))</f>
        <v/>
      </c>
    </row>
    <row r="175">
      <c r="A175" s="22" t="n"/>
      <c r="B175" s="22" t="n"/>
      <c r="C175" s="26" t="n"/>
      <c r="D175" s="26" t="n"/>
      <c r="E175" s="26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6">
        <f>IF(G175="","",IF(TODAY()&gt;=G175,"到期","未到期"))</f>
        <v/>
      </c>
    </row>
    <row r="176">
      <c r="A176" s="22" t="n"/>
      <c r="B176" s="22" t="n"/>
      <c r="C176" s="26" t="n"/>
      <c r="D176" s="26" t="n"/>
      <c r="E176" s="26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6">
        <f>IF(G176="","",IF(TODAY()&gt;=G176,"到期","未到期"))</f>
        <v/>
      </c>
    </row>
    <row r="177">
      <c r="A177" s="22" t="n"/>
      <c r="B177" s="22" t="n"/>
      <c r="C177" s="26" t="n"/>
      <c r="D177" s="26" t="n"/>
      <c r="E177" s="26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6">
        <f>IF(G177="","",IF(TODAY()&gt;=G177,"到期","未到期"))</f>
        <v/>
      </c>
    </row>
    <row r="178">
      <c r="A178" s="22" t="n"/>
      <c r="B178" s="22" t="n"/>
      <c r="C178" s="26" t="n"/>
      <c r="D178" s="26" t="n"/>
      <c r="E178" s="26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6">
        <f>IF(G178="","",IF(TODAY()&gt;=G178,"到期","未到期"))</f>
        <v/>
      </c>
    </row>
    <row r="179">
      <c r="A179" s="22" t="n"/>
      <c r="B179" s="22" t="n"/>
      <c r="C179" s="26" t="n"/>
      <c r="D179" s="26" t="n"/>
      <c r="E179" s="26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6">
        <f>IF(G179="","",IF(TODAY()&gt;=G179,"到期","未到期"))</f>
        <v/>
      </c>
    </row>
    <row r="180">
      <c r="A180" s="22" t="n"/>
      <c r="B180" s="22" t="n"/>
      <c r="C180" s="26" t="n"/>
      <c r="D180" s="26" t="n"/>
      <c r="E180" s="26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6">
        <f>IF(G180="","",IF(TODAY()&gt;=G180,"到期","未到期"))</f>
        <v/>
      </c>
    </row>
    <row r="181">
      <c r="A181" s="22" t="n"/>
      <c r="B181" s="22" t="n"/>
      <c r="C181" s="26" t="n"/>
      <c r="D181" s="26" t="n"/>
      <c r="E181" s="26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6">
        <f>IF(G181="","",IF(TODAY()&gt;=G181,"到期","未到期"))</f>
        <v/>
      </c>
    </row>
    <row r="182">
      <c r="A182" s="22" t="n"/>
      <c r="B182" s="22" t="n"/>
      <c r="C182" s="26" t="n"/>
      <c r="D182" s="26" t="n"/>
      <c r="E182" s="26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6">
        <f>IF(G182="","",IF(TODAY()&gt;=G182,"到期","未到期"))</f>
        <v/>
      </c>
    </row>
    <row r="183">
      <c r="A183" s="22" t="n"/>
      <c r="B183" s="22" t="n"/>
      <c r="C183" s="26" t="n"/>
      <c r="D183" s="26" t="n"/>
      <c r="E183" s="26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6">
        <f>IF(G183="","",IF(TODAY()&gt;=G183,"到期","未到期"))</f>
        <v/>
      </c>
    </row>
    <row r="184">
      <c r="A184" s="22" t="n"/>
      <c r="B184" s="22" t="n"/>
      <c r="C184" s="26" t="n"/>
      <c r="D184" s="26" t="n"/>
      <c r="E184" s="26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6">
        <f>IF(G184="","",IF(TODAY()&gt;=G184,"到期","未到期"))</f>
        <v/>
      </c>
    </row>
    <row r="185">
      <c r="A185" s="22" t="n"/>
      <c r="B185" s="22" t="n"/>
      <c r="C185" s="26" t="n"/>
      <c r="D185" s="26" t="n"/>
      <c r="E185" s="26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6">
        <f>IF(G185="","",IF(TODAY()&gt;=G185,"到期","未到期"))</f>
        <v/>
      </c>
    </row>
    <row r="186">
      <c r="A186" s="22" t="n"/>
      <c r="B186" s="22" t="n"/>
      <c r="C186" s="26" t="n"/>
      <c r="D186" s="26" t="n"/>
      <c r="E186" s="26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6">
        <f>IF(G186="","",IF(TODAY()&gt;=G186,"到期","未到期"))</f>
        <v/>
      </c>
    </row>
    <row r="187">
      <c r="A187" s="22" t="n"/>
      <c r="B187" s="22" t="n"/>
      <c r="C187" s="26" t="n"/>
      <c r="D187" s="26" t="n"/>
      <c r="E187" s="26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6">
        <f>IF(G187="","",IF(TODAY()&gt;=G187,"到期","未到期"))</f>
        <v/>
      </c>
    </row>
    <row r="188">
      <c r="A188" s="22" t="n"/>
      <c r="B188" s="22" t="n"/>
      <c r="C188" s="26" t="n"/>
      <c r="D188" s="26" t="n"/>
      <c r="E188" s="26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6">
        <f>IF(G188="","",IF(TODAY()&gt;=G188,"到期","未到期"))</f>
        <v/>
      </c>
    </row>
    <row r="189">
      <c r="A189" s="22" t="n"/>
      <c r="B189" s="22" t="n"/>
      <c r="C189" s="26" t="n"/>
      <c r="D189" s="26" t="n"/>
      <c r="E189" s="26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6">
        <f>IF(G189="","",IF(TODAY()&gt;=G189,"到期","未到期"))</f>
        <v/>
      </c>
    </row>
    <row r="190">
      <c r="A190" s="22" t="n"/>
      <c r="B190" s="22" t="n"/>
      <c r="C190" s="26" t="n"/>
      <c r="D190" s="26" t="n"/>
      <c r="E190" s="26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6">
        <f>IF(G190="","",IF(TODAY()&gt;=G190,"到期","未到期"))</f>
        <v/>
      </c>
    </row>
    <row r="191">
      <c r="A191" s="22" t="n"/>
      <c r="B191" s="22" t="n"/>
      <c r="C191" s="26" t="n"/>
      <c r="D191" s="26" t="n"/>
      <c r="E191" s="26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6">
        <f>IF(G191="","",IF(TODAY()&gt;=G191,"到期","未到期"))</f>
        <v/>
      </c>
    </row>
    <row r="192">
      <c r="A192" s="22" t="n"/>
      <c r="B192" s="22" t="n"/>
      <c r="C192" s="26" t="n"/>
      <c r="D192" s="26" t="n"/>
      <c r="E192" s="26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6">
        <f>IF(G192="","",IF(TODAY()&gt;=G192,"到期","未到期"))</f>
        <v/>
      </c>
    </row>
    <row r="193">
      <c r="A193" s="22" t="n"/>
      <c r="B193" s="22" t="n"/>
      <c r="C193" s="26" t="n"/>
      <c r="D193" s="26" t="n"/>
      <c r="E193" s="26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6">
        <f>IF(G193="","",IF(TODAY()&gt;=G193,"到期","未到期"))</f>
        <v/>
      </c>
    </row>
    <row r="194">
      <c r="A194" s="22" t="n"/>
      <c r="B194" s="22" t="n"/>
      <c r="C194" s="26" t="n"/>
      <c r="D194" s="26" t="n"/>
      <c r="E194" s="26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6">
        <f>IF(G194="","",IF(TODAY()&gt;=G194,"到期","未到期"))</f>
        <v/>
      </c>
    </row>
    <row r="195">
      <c r="A195" s="22" t="n"/>
      <c r="B195" s="22" t="n"/>
      <c r="C195" s="26" t="n"/>
      <c r="D195" s="26" t="n"/>
      <c r="E195" s="26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6">
        <f>IF(G195="","",IF(TODAY()&gt;=G195,"到期","未到期"))</f>
        <v/>
      </c>
    </row>
    <row r="196">
      <c r="A196" s="22" t="n"/>
      <c r="B196" s="22" t="n"/>
      <c r="C196" s="26" t="n"/>
      <c r="D196" s="26" t="n"/>
      <c r="E196" s="26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6">
        <f>IF(G196="","",IF(TODAY()&gt;=G196,"到期","未到期"))</f>
        <v/>
      </c>
    </row>
    <row r="197">
      <c r="A197" s="22" t="n"/>
      <c r="B197" s="22" t="n"/>
      <c r="C197" s="26" t="n"/>
      <c r="D197" s="26" t="n"/>
      <c r="E197" s="26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6">
        <f>IF(G197="","",IF(TODAY()&gt;=G197,"到期","未到期"))</f>
        <v/>
      </c>
    </row>
    <row r="198">
      <c r="A198" s="22" t="n"/>
      <c r="B198" s="22" t="n"/>
      <c r="C198" s="26" t="n"/>
      <c r="D198" s="26" t="n"/>
      <c r="E198" s="26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6">
        <f>IF(G198="","",IF(TODAY()&gt;=G198,"到期","未到期"))</f>
        <v/>
      </c>
    </row>
    <row r="199">
      <c r="A199" s="22" t="n"/>
      <c r="B199" s="22" t="n"/>
      <c r="C199" s="26" t="n"/>
      <c r="D199" s="26" t="n"/>
      <c r="E199" s="26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6">
        <f>IF(G199="","",IF(TODAY()&gt;=G199,"到期","未到期"))</f>
        <v/>
      </c>
    </row>
    <row r="200">
      <c r="A200" s="22" t="n"/>
      <c r="B200" s="22" t="n"/>
      <c r="C200" s="26" t="n"/>
      <c r="D200" s="26" t="n"/>
      <c r="E200" s="26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6">
        <f>IF(G200="","",IF(TODAY()&gt;=G200,"到期","未到期"))</f>
        <v/>
      </c>
    </row>
    <row r="201">
      <c r="A201" s="22" t="n"/>
      <c r="B201" s="22" t="n"/>
      <c r="C201" s="26" t="n"/>
      <c r="D201" s="26" t="n"/>
      <c r="E201" s="26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6">
        <f>IF(G201="","",IF(TODAY()&gt;=G201,"到期","未到期"))</f>
        <v/>
      </c>
    </row>
    <row r="202">
      <c r="A202" s="22" t="n"/>
      <c r="B202" s="22" t="n"/>
      <c r="C202" s="26" t="n"/>
      <c r="D202" s="26" t="n"/>
      <c r="E202" s="26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6">
        <f>IF(G202="","",IF(TODAY()&gt;=G202,"到期","未到期"))</f>
        <v/>
      </c>
    </row>
    <row r="203">
      <c r="A203" s="22" t="n"/>
      <c r="B203" s="22" t="n"/>
      <c r="C203" s="26" t="n"/>
      <c r="D203" s="26" t="n"/>
      <c r="E203" s="26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6">
        <f>IF(G203="","",IF(TODAY()&gt;=G203,"到期","未到期"))</f>
        <v/>
      </c>
    </row>
    <row r="204">
      <c r="A204" s="22" t="n"/>
      <c r="B204" s="22" t="n"/>
      <c r="C204" s="26" t="n"/>
      <c r="D204" s="26" t="n"/>
      <c r="E204" s="26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6">
        <f>IF(G204="","",IF(TODAY()&gt;=G204,"到期","未到期"))</f>
        <v/>
      </c>
    </row>
    <row r="205">
      <c r="A205" s="22" t="n"/>
      <c r="B205" s="22" t="n"/>
      <c r="C205" s="26" t="n"/>
      <c r="D205" s="26" t="n"/>
      <c r="E205" s="26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6">
        <f>IF(G205="","",IF(TODAY()&gt;=G205,"到期","未到期"))</f>
        <v/>
      </c>
    </row>
    <row r="206">
      <c r="A206" s="22" t="n"/>
      <c r="B206" s="22" t="n"/>
      <c r="C206" s="26" t="n"/>
      <c r="D206" s="26" t="n"/>
      <c r="E206" s="26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6">
        <f>IF(G206="","",IF(TODAY()&gt;=G206,"到期","未到期"))</f>
        <v/>
      </c>
    </row>
    <row r="207">
      <c r="A207" s="22" t="n"/>
      <c r="B207" s="22" t="n"/>
      <c r="C207" s="26" t="n"/>
      <c r="D207" s="26" t="n"/>
      <c r="E207" s="26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6">
        <f>IF(G207="","",IF(TODAY()&gt;=G207,"到期","未到期"))</f>
        <v/>
      </c>
    </row>
    <row r="208">
      <c r="A208" s="22" t="n"/>
      <c r="B208" s="22" t="n"/>
      <c r="C208" s="26" t="n"/>
      <c r="D208" s="26" t="n"/>
      <c r="E208" s="26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6">
        <f>IF(G208="","",IF(TODAY()&gt;=G208,"到期","未到期"))</f>
        <v/>
      </c>
    </row>
    <row r="209">
      <c r="A209" s="22" t="n"/>
      <c r="B209" s="22" t="n"/>
      <c r="C209" s="26" t="n"/>
      <c r="D209" s="26" t="n"/>
      <c r="E209" s="26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6">
        <f>IF(G209="","",IF(TODAY()&gt;=G209,"到期","未到期"))</f>
        <v/>
      </c>
    </row>
    <row r="210">
      <c r="A210" s="22" t="n"/>
      <c r="B210" s="22" t="n"/>
      <c r="C210" s="26" t="n"/>
      <c r="D210" s="26" t="n"/>
      <c r="E210" s="26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6">
        <f>IF(G210="","",IF(TODAY()&gt;=G210,"到期","未到期"))</f>
        <v/>
      </c>
    </row>
    <row r="211">
      <c r="A211" s="22" t="n"/>
      <c r="B211" s="22" t="n"/>
      <c r="C211" s="26" t="n"/>
      <c r="D211" s="26" t="n"/>
      <c r="E211" s="26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6">
        <f>IF(G211="","",IF(TODAY()&gt;=G211,"到期","未到期"))</f>
        <v/>
      </c>
    </row>
    <row r="212">
      <c r="A212" s="22" t="n"/>
      <c r="B212" s="22" t="n"/>
      <c r="C212" s="26" t="n"/>
      <c r="D212" s="26" t="n"/>
      <c r="E212" s="26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6">
        <f>IF(G212="","",IF(TODAY()&gt;=G212,"到期","未到期"))</f>
        <v/>
      </c>
    </row>
    <row r="213">
      <c r="A213" s="22" t="n"/>
      <c r="B213" s="22" t="n"/>
      <c r="C213" s="26" t="n"/>
      <c r="D213" s="26" t="n"/>
      <c r="E213" s="26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6">
        <f>IF(G213="","",IF(TODAY()&gt;=G213,"到期","未到期"))</f>
        <v/>
      </c>
    </row>
    <row r="214">
      <c r="A214" s="22" t="n"/>
      <c r="B214" s="22" t="n"/>
      <c r="C214" s="26" t="n"/>
      <c r="D214" s="26" t="n"/>
      <c r="E214" s="26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6">
        <f>IF(G214="","",IF(TODAY()&gt;=G214,"到期","未到期"))</f>
        <v/>
      </c>
    </row>
    <row r="215">
      <c r="A215" s="22" t="n"/>
      <c r="B215" s="22" t="n"/>
      <c r="C215" s="26" t="n"/>
      <c r="D215" s="26" t="n"/>
      <c r="E215" s="26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6">
        <f>IF(G215="","",IF(TODAY()&gt;=G215,"到期","未到期"))</f>
        <v/>
      </c>
    </row>
    <row r="216">
      <c r="A216" s="22" t="n"/>
      <c r="B216" s="22" t="n"/>
      <c r="C216" s="26" t="n"/>
      <c r="D216" s="26" t="n"/>
      <c r="E216" s="26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6">
        <f>IF(G216="","",IF(TODAY()&gt;=G216,"到期","未到期"))</f>
        <v/>
      </c>
    </row>
    <row r="217">
      <c r="A217" s="22" t="n"/>
      <c r="B217" s="22" t="n"/>
      <c r="C217" s="26" t="n"/>
      <c r="D217" s="26" t="n"/>
      <c r="E217" s="26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6">
        <f>IF(G217="","",IF(TODAY()&gt;=G217,"到期","未到期"))</f>
        <v/>
      </c>
    </row>
    <row r="218">
      <c r="A218" s="22" t="n"/>
      <c r="B218" s="22" t="n"/>
      <c r="C218" s="26" t="n"/>
      <c r="D218" s="26" t="n"/>
      <c r="E218" s="26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6">
        <f>IF(G218="","",IF(TODAY()&gt;=G218,"到期","未到期"))</f>
        <v/>
      </c>
    </row>
    <row r="219">
      <c r="A219" s="22" t="n"/>
      <c r="B219" s="22" t="n"/>
      <c r="C219" s="26" t="n"/>
      <c r="D219" s="26" t="n"/>
      <c r="E219" s="26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6">
        <f>IF(G219="","",IF(TODAY()&gt;=G219,"到期","未到期"))</f>
        <v/>
      </c>
    </row>
    <row r="220">
      <c r="A220" s="22" t="n"/>
      <c r="B220" s="22" t="n"/>
      <c r="C220" s="26" t="n"/>
      <c r="D220" s="26" t="n"/>
      <c r="E220" s="26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6">
        <f>IF(G220="","",IF(TODAY()&gt;=G220,"到期","未到期"))</f>
        <v/>
      </c>
    </row>
    <row r="221">
      <c r="A221" s="22" t="n"/>
      <c r="B221" s="22" t="n"/>
      <c r="C221" s="26" t="n"/>
      <c r="D221" s="26" t="n"/>
      <c r="E221" s="26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6">
        <f>IF(G221="","",IF(TODAY()&gt;=G221,"到期","未到期"))</f>
        <v/>
      </c>
    </row>
    <row r="222">
      <c r="A222" s="22" t="n"/>
      <c r="B222" s="22" t="n"/>
      <c r="C222" s="26" t="n"/>
      <c r="D222" s="26" t="n"/>
      <c r="E222" s="26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6">
        <f>IF(G222="","",IF(TODAY()&gt;=G222,"到期","未到期"))</f>
        <v/>
      </c>
    </row>
    <row r="223">
      <c r="A223" s="22" t="n"/>
      <c r="B223" s="22" t="n"/>
      <c r="C223" s="26" t="n"/>
      <c r="D223" s="26" t="n"/>
      <c r="E223" s="26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6">
        <f>IF(G223="","",IF(TODAY()&gt;=G223,"到期","未到期"))</f>
        <v/>
      </c>
    </row>
    <row r="224">
      <c r="A224" s="22" t="n"/>
      <c r="B224" s="22" t="n"/>
      <c r="C224" s="26" t="n"/>
      <c r="D224" s="26" t="n"/>
      <c r="E224" s="26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6">
        <f>IF(G224="","",IF(TODAY()&gt;=G224,"到期","未到期"))</f>
        <v/>
      </c>
    </row>
    <row r="225">
      <c r="A225" s="22" t="n"/>
      <c r="B225" s="22" t="n"/>
      <c r="C225" s="26" t="n"/>
      <c r="D225" s="26" t="n"/>
      <c r="E225" s="26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6">
        <f>IF(G225="","",IF(TODAY()&gt;=G225,"到期","未到期"))</f>
        <v/>
      </c>
    </row>
    <row r="226">
      <c r="A226" s="22" t="n"/>
      <c r="B226" s="22" t="n"/>
      <c r="C226" s="26" t="n"/>
      <c r="D226" s="26" t="n"/>
      <c r="E226" s="26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6">
        <f>IF(G226="","",IF(TODAY()&gt;=G226,"到期","未到期"))</f>
        <v/>
      </c>
    </row>
    <row r="227">
      <c r="A227" s="22" t="n"/>
      <c r="B227" s="22" t="n"/>
      <c r="C227" s="26" t="n"/>
      <c r="D227" s="26" t="n"/>
      <c r="E227" s="26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6">
        <f>IF(G227="","",IF(TODAY()&gt;=G227,"到期","未到期"))</f>
        <v/>
      </c>
    </row>
    <row r="228">
      <c r="A228" s="22" t="n"/>
      <c r="B228" s="22" t="n"/>
      <c r="C228" s="26" t="n"/>
      <c r="D228" s="26" t="n"/>
      <c r="E228" s="26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6">
        <f>IF(G228="","",IF(TODAY()&gt;=G228,"到期","未到期"))</f>
        <v/>
      </c>
    </row>
    <row r="229">
      <c r="A229" s="22" t="n"/>
      <c r="B229" s="22" t="n"/>
      <c r="C229" s="26" t="n"/>
      <c r="D229" s="26" t="n"/>
      <c r="E229" s="26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6">
        <f>IF(G229="","",IF(TODAY()&gt;=G229,"到期","未到期"))</f>
        <v/>
      </c>
    </row>
    <row r="230">
      <c r="A230" s="22" t="n"/>
      <c r="B230" s="22" t="n"/>
      <c r="C230" s="26" t="n"/>
      <c r="D230" s="26" t="n"/>
      <c r="E230" s="26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6">
        <f>IF(G230="","",IF(TODAY()&gt;=G230,"到期","未到期"))</f>
        <v/>
      </c>
    </row>
    <row r="231">
      <c r="A231" s="22" t="n"/>
      <c r="B231" s="22" t="n"/>
      <c r="C231" s="26" t="n"/>
      <c r="D231" s="26" t="n"/>
      <c r="E231" s="26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6">
        <f>IF(G231="","",IF(TODAY()&gt;=G231,"到期","未到期"))</f>
        <v/>
      </c>
    </row>
    <row r="232">
      <c r="A232" s="22" t="n"/>
      <c r="B232" s="22" t="n"/>
      <c r="C232" s="26" t="n"/>
      <c r="D232" s="26" t="n"/>
      <c r="E232" s="26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6">
        <f>IF(G232="","",IF(TODAY()&gt;=G232,"到期","未到期"))</f>
        <v/>
      </c>
    </row>
    <row r="233">
      <c r="A233" s="22" t="n"/>
      <c r="B233" s="22" t="n"/>
      <c r="C233" s="26" t="n"/>
      <c r="D233" s="26" t="n"/>
      <c r="E233" s="26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6">
        <f>IF(G233="","",IF(TODAY()&gt;=G233,"到期","未到期"))</f>
        <v/>
      </c>
    </row>
    <row r="234">
      <c r="A234" s="22" t="n"/>
      <c r="B234" s="22" t="n"/>
      <c r="C234" s="26" t="n"/>
      <c r="D234" s="26" t="n"/>
      <c r="E234" s="26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6">
        <f>IF(G234="","",IF(TODAY()&gt;=G234,"到期","未到期"))</f>
        <v/>
      </c>
    </row>
    <row r="235">
      <c r="A235" s="22" t="n"/>
      <c r="B235" s="22" t="n"/>
      <c r="C235" s="26" t="n"/>
      <c r="D235" s="26" t="n"/>
      <c r="E235" s="26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6">
        <f>IF(G235="","",IF(TODAY()&gt;=G235,"到期","未到期"))</f>
        <v/>
      </c>
    </row>
    <row r="236">
      <c r="A236" s="22" t="n"/>
      <c r="B236" s="22" t="n"/>
      <c r="C236" s="26" t="n"/>
      <c r="D236" s="26" t="n"/>
      <c r="E236" s="26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6">
        <f>IF(G236="","",IF(TODAY()&gt;=G236,"到期","未到期"))</f>
        <v/>
      </c>
    </row>
    <row r="237">
      <c r="A237" s="22" t="n"/>
      <c r="B237" s="22" t="n"/>
      <c r="C237" s="26" t="n"/>
      <c r="D237" s="26" t="n"/>
      <c r="E237" s="26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6">
        <f>IF(G237="","",IF(TODAY()&gt;=G237,"到期","未到期"))</f>
        <v/>
      </c>
    </row>
    <row r="238">
      <c r="A238" s="22" t="n"/>
      <c r="B238" s="22" t="n"/>
      <c r="C238" s="26" t="n"/>
      <c r="D238" s="26" t="n"/>
      <c r="E238" s="26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6">
        <f>IF(G238="","",IF(TODAY()&gt;=G238,"到期","未到期"))</f>
        <v/>
      </c>
    </row>
    <row r="239">
      <c r="A239" s="22" t="n"/>
      <c r="B239" s="22" t="n"/>
      <c r="C239" s="26" t="n"/>
      <c r="D239" s="26" t="n"/>
      <c r="E239" s="26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6">
        <f>IF(G239="","",IF(TODAY()&gt;=G239,"到期","未到期"))</f>
        <v/>
      </c>
    </row>
    <row r="240">
      <c r="A240" s="22" t="n"/>
      <c r="B240" s="22" t="n"/>
      <c r="C240" s="26" t="n"/>
      <c r="D240" s="26" t="n"/>
      <c r="E240" s="26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6">
        <f>IF(G240="","",IF(TODAY()&gt;=G240,"到期","未到期"))</f>
        <v/>
      </c>
    </row>
    <row r="241">
      <c r="A241" s="22" t="n"/>
      <c r="B241" s="22" t="n"/>
      <c r="C241" s="26" t="n"/>
      <c r="D241" s="26" t="n"/>
      <c r="E241" s="26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6">
        <f>IF(G241="","",IF(TODAY()&gt;=G241,"到期","未到期"))</f>
        <v/>
      </c>
    </row>
    <row r="242">
      <c r="A242" s="22" t="n"/>
      <c r="B242" s="22" t="n"/>
      <c r="C242" s="26" t="n"/>
      <c r="D242" s="26" t="n"/>
      <c r="E242" s="26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6">
        <f>IF(G242="","",IF(TODAY()&gt;=G242,"到期","未到期"))</f>
        <v/>
      </c>
    </row>
    <row r="243">
      <c r="A243" s="22" t="n"/>
      <c r="B243" s="22" t="n"/>
      <c r="C243" s="26" t="n"/>
      <c r="D243" s="26" t="n"/>
      <c r="E243" s="26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6">
        <f>IF(G243="","",IF(TODAY()&gt;=G243,"到期","未到期"))</f>
        <v/>
      </c>
    </row>
    <row r="244">
      <c r="A244" s="22" t="n"/>
      <c r="B244" s="22" t="n"/>
      <c r="C244" s="26" t="n"/>
      <c r="D244" s="26" t="n"/>
      <c r="E244" s="26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6">
        <f>IF(G244="","",IF(TODAY()&gt;=G244,"到期","未到期"))</f>
        <v/>
      </c>
    </row>
    <row r="245">
      <c r="A245" s="22" t="n"/>
      <c r="B245" s="22" t="n"/>
      <c r="C245" s="26" t="n"/>
      <c r="D245" s="26" t="n"/>
      <c r="E245" s="26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6">
        <f>IF(G245="","",IF(TODAY()&gt;=G245,"到期","未到期"))</f>
        <v/>
      </c>
    </row>
    <row r="246">
      <c r="A246" s="22" t="n"/>
      <c r="B246" s="22" t="n"/>
      <c r="C246" s="26" t="n"/>
      <c r="D246" s="26" t="n"/>
      <c r="E246" s="26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6">
        <f>IF(G246="","",IF(TODAY()&gt;=G246,"到期","未到期"))</f>
        <v/>
      </c>
    </row>
    <row r="247">
      <c r="A247" s="22" t="n"/>
      <c r="B247" s="22" t="n"/>
      <c r="C247" s="26" t="n"/>
      <c r="D247" s="26" t="n"/>
      <c r="E247" s="26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6">
        <f>IF(G247="","",IF(TODAY()&gt;=G247,"到期","未到期"))</f>
        <v/>
      </c>
    </row>
    <row r="248">
      <c r="A248" s="22" t="n"/>
      <c r="B248" s="22" t="n"/>
      <c r="C248" s="26" t="n"/>
      <c r="D248" s="26" t="n"/>
      <c r="E248" s="26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6">
        <f>IF(G248="","",IF(TODAY()&gt;=G248,"到期","未到期"))</f>
        <v/>
      </c>
    </row>
    <row r="249">
      <c r="A249" s="22" t="n"/>
      <c r="B249" s="22" t="n"/>
      <c r="C249" s="26" t="n"/>
      <c r="D249" s="26" t="n"/>
      <c r="E249" s="26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6">
        <f>IF(G249="","",IF(TODAY()&gt;=G249,"到期","未到期"))</f>
        <v/>
      </c>
    </row>
    <row r="250">
      <c r="A250" s="22" t="n"/>
      <c r="B250" s="22" t="n"/>
      <c r="C250" s="26" t="n"/>
      <c r="D250" s="26" t="n"/>
      <c r="E250" s="26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6">
        <f>IF(G250="","",IF(TODAY()&gt;=G250,"到期","未到期"))</f>
        <v/>
      </c>
    </row>
    <row r="251">
      <c r="A251" s="22" t="n"/>
      <c r="B251" s="22" t="n"/>
      <c r="C251" s="26" t="n"/>
      <c r="D251" s="26" t="n"/>
      <c r="E251" s="26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6">
        <f>IF(G251="","",IF(TODAY()&gt;=G251,"到期","未到期"))</f>
        <v/>
      </c>
    </row>
    <row r="252">
      <c r="A252" s="22" t="n"/>
      <c r="B252" s="22" t="n"/>
      <c r="C252" s="26" t="n"/>
      <c r="D252" s="26" t="n"/>
      <c r="E252" s="26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6">
        <f>IF(G252="","",IF(TODAY()&gt;=G252,"到期","未到期"))</f>
        <v/>
      </c>
    </row>
    <row r="253">
      <c r="A253" s="22" t="n"/>
      <c r="B253" s="22" t="n"/>
      <c r="C253" s="26" t="n"/>
      <c r="D253" s="26" t="n"/>
      <c r="E253" s="26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6">
        <f>IF(G253="","",IF(TODAY()&gt;=G253,"到期","未到期"))</f>
        <v/>
      </c>
    </row>
    <row r="254">
      <c r="A254" s="22" t="n"/>
      <c r="B254" s="22" t="n"/>
      <c r="C254" s="26" t="n"/>
      <c r="D254" s="26" t="n"/>
      <c r="E254" s="26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6">
        <f>IF(G254="","",IF(TODAY()&gt;=G254,"到期","未到期"))</f>
        <v/>
      </c>
    </row>
    <row r="255">
      <c r="A255" s="22" t="n"/>
      <c r="B255" s="22" t="n"/>
      <c r="C255" s="26" t="n"/>
      <c r="D255" s="26" t="n"/>
      <c r="E255" s="26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6">
        <f>IF(G255="","",IF(TODAY()&gt;=G255,"到期","未到期"))</f>
        <v/>
      </c>
    </row>
    <row r="256">
      <c r="A256" s="22" t="n"/>
      <c r="B256" s="22" t="n"/>
      <c r="C256" s="26" t="n"/>
      <c r="D256" s="26" t="n"/>
      <c r="E256" s="26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6">
        <f>IF(G256="","",IF(TODAY()&gt;=G256,"到期","未到期"))</f>
        <v/>
      </c>
    </row>
    <row r="257">
      <c r="A257" s="22" t="n"/>
      <c r="B257" s="22" t="n"/>
      <c r="C257" s="26" t="n"/>
      <c r="D257" s="26" t="n"/>
      <c r="E257" s="26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6">
        <f>IF(G257="","",IF(TODAY()&gt;=G257,"到期","未到期"))</f>
        <v/>
      </c>
    </row>
    <row r="258">
      <c r="A258" s="22" t="n"/>
      <c r="B258" s="22" t="n"/>
      <c r="C258" s="26" t="n"/>
      <c r="D258" s="26" t="n"/>
      <c r="E258" s="26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6">
        <f>IF(G258="","",IF(TODAY()&gt;=G258,"到期","未到期"))</f>
        <v/>
      </c>
    </row>
    <row r="259">
      <c r="A259" s="22" t="n"/>
      <c r="B259" s="22" t="n"/>
      <c r="C259" s="26" t="n"/>
      <c r="D259" s="26" t="n"/>
      <c r="E259" s="26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6">
        <f>IF(G259="","",IF(TODAY()&gt;=G259,"到期","未到期"))</f>
        <v/>
      </c>
    </row>
    <row r="260">
      <c r="A260" s="22" t="n"/>
      <c r="B260" s="22" t="n"/>
      <c r="C260" s="26" t="n"/>
      <c r="D260" s="26" t="n"/>
      <c r="E260" s="26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6">
        <f>IF(G260="","",IF(TODAY()&gt;=G260,"到期","未到期"))</f>
        <v/>
      </c>
    </row>
    <row r="261">
      <c r="A261" s="22" t="n"/>
      <c r="B261" s="22" t="n"/>
      <c r="C261" s="26" t="n"/>
      <c r="D261" s="26" t="n"/>
      <c r="E261" s="26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6">
        <f>IF(G261="","",IF(TODAY()&gt;=G261,"到期","未到期"))</f>
        <v/>
      </c>
    </row>
    <row r="262">
      <c r="A262" s="22" t="n"/>
      <c r="B262" s="22" t="n"/>
      <c r="C262" s="26" t="n"/>
      <c r="D262" s="26" t="n"/>
      <c r="E262" s="26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6">
        <f>IF(G262="","",IF(TODAY()&gt;=G262,"到期","未到期"))</f>
        <v/>
      </c>
    </row>
    <row r="263">
      <c r="A263" s="22" t="n"/>
      <c r="B263" s="22" t="n"/>
      <c r="C263" s="26" t="n"/>
      <c r="D263" s="26" t="n"/>
      <c r="E263" s="26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6">
        <f>IF(G263="","",IF(TODAY()&gt;=G263,"到期","未到期"))</f>
        <v/>
      </c>
    </row>
    <row r="264">
      <c r="A264" s="22" t="n"/>
      <c r="B264" s="22" t="n"/>
      <c r="C264" s="26" t="n"/>
      <c r="D264" s="26" t="n"/>
      <c r="E264" s="26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6">
        <f>IF(G264="","",IF(TODAY()&gt;=G264,"到期","未到期"))</f>
        <v/>
      </c>
    </row>
    <row r="265">
      <c r="A265" s="22" t="n"/>
      <c r="B265" s="22" t="n"/>
      <c r="C265" s="26" t="n"/>
      <c r="D265" s="26" t="n"/>
      <c r="E265" s="26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6">
        <f>IF(G265="","",IF(TODAY()&gt;=G265,"到期","未到期"))</f>
        <v/>
      </c>
    </row>
    <row r="266">
      <c r="A266" s="22" t="n"/>
      <c r="B266" s="22" t="n"/>
      <c r="C266" s="26" t="n"/>
      <c r="D266" s="26" t="n"/>
      <c r="E266" s="26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6">
        <f>IF(G266="","",IF(TODAY()&gt;=G266,"到期","未到期"))</f>
        <v/>
      </c>
    </row>
    <row r="267">
      <c r="A267" s="22" t="n"/>
      <c r="B267" s="22" t="n"/>
      <c r="C267" s="26" t="n"/>
      <c r="D267" s="26" t="n"/>
      <c r="E267" s="26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6">
        <f>IF(G267="","",IF(TODAY()&gt;=G267,"到期","未到期"))</f>
        <v/>
      </c>
    </row>
    <row r="268">
      <c r="A268" s="22" t="n"/>
      <c r="B268" s="22" t="n"/>
      <c r="C268" s="26" t="n"/>
      <c r="D268" s="26" t="n"/>
      <c r="E268" s="26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6">
        <f>IF(G268="","",IF(TODAY()&gt;=G268,"到期","未到期"))</f>
        <v/>
      </c>
    </row>
    <row r="269">
      <c r="A269" s="22" t="n"/>
      <c r="B269" s="22" t="n"/>
      <c r="C269" s="26" t="n"/>
      <c r="D269" s="26" t="n"/>
      <c r="E269" s="26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6">
        <f>IF(G269="","",IF(TODAY()&gt;=G269,"到期","未到期"))</f>
        <v/>
      </c>
    </row>
    <row r="270">
      <c r="A270" s="22" t="n"/>
      <c r="B270" s="22" t="n"/>
      <c r="C270" s="26" t="n"/>
      <c r="D270" s="26" t="n"/>
      <c r="E270" s="26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6">
        <f>IF(G270="","",IF(TODAY()&gt;=G270,"到期","未到期"))</f>
        <v/>
      </c>
    </row>
    <row r="271">
      <c r="A271" s="22" t="n"/>
      <c r="B271" s="22" t="n"/>
      <c r="C271" s="26" t="n"/>
      <c r="D271" s="26" t="n"/>
      <c r="E271" s="26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6">
        <f>IF(G271="","",IF(TODAY()&gt;=G271,"到期","未到期"))</f>
        <v/>
      </c>
    </row>
    <row r="272">
      <c r="A272" s="22" t="n"/>
      <c r="B272" s="22" t="n"/>
      <c r="C272" s="26" t="n"/>
      <c r="D272" s="26" t="n"/>
      <c r="E272" s="26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6">
        <f>IF(G272="","",IF(TODAY()&gt;=G272,"到期","未到期"))</f>
        <v/>
      </c>
    </row>
    <row r="273">
      <c r="A273" s="22" t="n"/>
      <c r="B273" s="22" t="n"/>
      <c r="C273" s="26" t="n"/>
      <c r="D273" s="26" t="n"/>
      <c r="E273" s="26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6">
        <f>IF(G273="","",IF(TODAY()&gt;=G273,"到期","未到期"))</f>
        <v/>
      </c>
    </row>
    <row r="274">
      <c r="A274" s="22" t="n"/>
      <c r="B274" s="22" t="n"/>
      <c r="C274" s="26" t="n"/>
      <c r="D274" s="26" t="n"/>
      <c r="E274" s="26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6">
        <f>IF(G274="","",IF(TODAY()&gt;=G274,"到期","未到期"))</f>
        <v/>
      </c>
    </row>
    <row r="275">
      <c r="A275" s="22" t="n"/>
      <c r="B275" s="22" t="n"/>
      <c r="C275" s="26" t="n"/>
      <c r="D275" s="26" t="n"/>
      <c r="E275" s="26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6">
        <f>IF(G275="","",IF(TODAY()&gt;=G275,"到期","未到期"))</f>
        <v/>
      </c>
    </row>
    <row r="276">
      <c r="A276" s="22" t="n"/>
      <c r="B276" s="22" t="n"/>
      <c r="C276" s="26" t="n"/>
      <c r="D276" s="26" t="n"/>
      <c r="E276" s="26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6">
        <f>IF(G276="","",IF(TODAY()&gt;=G276,"到期","未到期"))</f>
        <v/>
      </c>
    </row>
    <row r="277">
      <c r="A277" s="22" t="n"/>
      <c r="B277" s="22" t="n"/>
      <c r="C277" s="26" t="n"/>
      <c r="D277" s="26" t="n"/>
      <c r="E277" s="26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6">
        <f>IF(G277="","",IF(TODAY()&gt;=G277,"到期","未到期"))</f>
        <v/>
      </c>
    </row>
    <row r="278">
      <c r="A278" s="22" t="n"/>
      <c r="B278" s="22" t="n"/>
      <c r="C278" s="26" t="n"/>
      <c r="D278" s="26" t="n"/>
      <c r="E278" s="26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6">
        <f>IF(G278="","",IF(TODAY()&gt;=G278,"到期","未到期"))</f>
        <v/>
      </c>
    </row>
    <row r="279">
      <c r="A279" s="22" t="n"/>
      <c r="B279" s="22" t="n"/>
      <c r="C279" s="26" t="n"/>
      <c r="D279" s="26" t="n"/>
      <c r="E279" s="26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6">
        <f>IF(G279="","",IF(TODAY()&gt;=G279,"到期","未到期"))</f>
        <v/>
      </c>
    </row>
    <row r="280">
      <c r="A280" s="22" t="n"/>
      <c r="B280" s="22" t="n"/>
      <c r="C280" s="26" t="n"/>
      <c r="D280" s="26" t="n"/>
      <c r="E280" s="26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6">
        <f>IF(G280="","",IF(TODAY()&gt;=G280,"到期","未到期"))</f>
        <v/>
      </c>
    </row>
    <row r="281">
      <c r="A281" s="22" t="n"/>
      <c r="B281" s="22" t="n"/>
      <c r="C281" s="26" t="n"/>
      <c r="D281" s="26" t="n"/>
      <c r="E281" s="26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6">
        <f>IF(G281="","",IF(TODAY()&gt;=G281,"到期","未到期"))</f>
        <v/>
      </c>
    </row>
    <row r="282">
      <c r="A282" s="22" t="n"/>
      <c r="B282" s="22" t="n"/>
      <c r="C282" s="26" t="n"/>
      <c r="D282" s="26" t="n"/>
      <c r="E282" s="26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6">
        <f>IF(G282="","",IF(TODAY()&gt;=G282,"到期","未到期"))</f>
        <v/>
      </c>
    </row>
    <row r="283">
      <c r="A283" s="22" t="n"/>
      <c r="B283" s="22" t="n"/>
      <c r="C283" s="26" t="n"/>
      <c r="D283" s="26" t="n"/>
      <c r="E283" s="26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6">
        <f>IF(G283="","",IF(TODAY()&gt;=G283,"到期","未到期"))</f>
        <v/>
      </c>
    </row>
    <row r="284">
      <c r="A284" s="22" t="n"/>
      <c r="B284" s="22" t="n"/>
      <c r="C284" s="26" t="n"/>
      <c r="D284" s="26" t="n"/>
      <c r="E284" s="26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6">
        <f>IF(G284="","",IF(TODAY()&gt;=G284,"到期","未到期"))</f>
        <v/>
      </c>
    </row>
    <row r="285">
      <c r="A285" s="22" t="n"/>
      <c r="B285" s="22" t="n"/>
      <c r="C285" s="26" t="n"/>
      <c r="D285" s="26" t="n"/>
      <c r="E285" s="26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6">
        <f>IF(G285="","",IF(TODAY()&gt;=G285,"到期","未到期"))</f>
        <v/>
      </c>
    </row>
    <row r="286">
      <c r="A286" s="22" t="n"/>
      <c r="B286" s="22" t="n"/>
      <c r="C286" s="26" t="n"/>
      <c r="D286" s="26" t="n"/>
      <c r="E286" s="26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6">
        <f>IF(G286="","",IF(TODAY()&gt;=G286,"到期","未到期"))</f>
        <v/>
      </c>
    </row>
    <row r="287">
      <c r="A287" s="22" t="n"/>
      <c r="B287" s="22" t="n"/>
      <c r="C287" s="26" t="n"/>
      <c r="D287" s="26" t="n"/>
      <c r="E287" s="26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6">
        <f>IF(G287="","",IF(TODAY()&gt;=G287,"到期","未到期"))</f>
        <v/>
      </c>
    </row>
    <row r="288">
      <c r="A288" s="22" t="n"/>
      <c r="B288" s="22" t="n"/>
      <c r="C288" s="26" t="n"/>
      <c r="D288" s="26" t="n"/>
      <c r="E288" s="26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6">
        <f>IF(G288="","",IF(TODAY()&gt;=G288,"到期","未到期"))</f>
        <v/>
      </c>
    </row>
    <row r="289">
      <c r="A289" s="22" t="n"/>
      <c r="B289" s="22" t="n"/>
      <c r="C289" s="26" t="n"/>
      <c r="D289" s="26" t="n"/>
      <c r="E289" s="26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6">
        <f>IF(G289="","",IF(TODAY()&gt;=G289,"到期","未到期"))</f>
        <v/>
      </c>
    </row>
    <row r="290">
      <c r="A290" s="22" t="n"/>
      <c r="B290" s="22" t="n"/>
      <c r="C290" s="26" t="n"/>
      <c r="D290" s="26" t="n"/>
      <c r="E290" s="26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6">
        <f>IF(G290="","",IF(TODAY()&gt;=G290,"到期","未到期"))</f>
        <v/>
      </c>
    </row>
    <row r="291">
      <c r="A291" s="22" t="n"/>
      <c r="B291" s="22" t="n"/>
      <c r="C291" s="26" t="n"/>
      <c r="D291" s="26" t="n"/>
      <c r="E291" s="26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6">
        <f>IF(G291="","",IF(TODAY()&gt;=G291,"到期","未到期"))</f>
        <v/>
      </c>
    </row>
    <row r="292">
      <c r="A292" s="22" t="n"/>
      <c r="B292" s="22" t="n"/>
      <c r="C292" s="26" t="n"/>
      <c r="D292" s="26" t="n"/>
      <c r="E292" s="26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6">
        <f>IF(G292="","",IF(TODAY()&gt;=G292,"到期","未到期"))</f>
        <v/>
      </c>
    </row>
    <row r="293">
      <c r="A293" s="22" t="n"/>
      <c r="B293" s="22" t="n"/>
      <c r="C293" s="26" t="n"/>
      <c r="D293" s="26" t="n"/>
      <c r="E293" s="26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6">
        <f>IF(G293="","",IF(TODAY()&gt;=G293,"到期","未到期"))</f>
        <v/>
      </c>
    </row>
    <row r="294">
      <c r="A294" s="22" t="n"/>
      <c r="B294" s="22" t="n"/>
      <c r="C294" s="26" t="n"/>
      <c r="D294" s="26" t="n"/>
      <c r="E294" s="26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6">
        <f>IF(G294="","",IF(TODAY()&gt;=G294,"到期","未到期"))</f>
        <v/>
      </c>
    </row>
    <row r="295">
      <c r="A295" s="22" t="n"/>
      <c r="B295" s="22" t="n"/>
      <c r="C295" s="26" t="n"/>
      <c r="D295" s="26" t="n"/>
      <c r="E295" s="26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6">
        <f>IF(G295="","",IF(TODAY()&gt;=G295,"到期","未到期"))</f>
        <v/>
      </c>
    </row>
    <row r="296">
      <c r="A296" s="22" t="n"/>
      <c r="B296" s="22" t="n"/>
      <c r="C296" s="26" t="n"/>
      <c r="D296" s="26" t="n"/>
      <c r="E296" s="26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6">
        <f>IF(G296="","",IF(TODAY()&gt;=G296,"到期","未到期"))</f>
        <v/>
      </c>
    </row>
    <row r="297">
      <c r="A297" s="22" t="n"/>
      <c r="B297" s="22" t="n"/>
      <c r="C297" s="26" t="n"/>
      <c r="D297" s="26" t="n"/>
      <c r="E297" s="26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6">
        <f>IF(G297="","",IF(TODAY()&gt;=G297,"到期","未到期"))</f>
        <v/>
      </c>
    </row>
    <row r="298">
      <c r="A298" s="22" t="n"/>
      <c r="B298" s="22" t="n"/>
      <c r="C298" s="26" t="n"/>
      <c r="D298" s="26" t="n"/>
      <c r="E298" s="26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6">
        <f>IF(G298="","",IF(TODAY()&gt;=G298,"到期","未到期"))</f>
        <v/>
      </c>
    </row>
    <row r="299">
      <c r="A299" s="22" t="n"/>
      <c r="B299" s="22" t="n"/>
      <c r="C299" s="26" t="n"/>
      <c r="D299" s="26" t="n"/>
      <c r="E299" s="26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6">
        <f>IF(G299="","",IF(TODAY()&gt;=G299,"到期","未到期"))</f>
        <v/>
      </c>
    </row>
    <row r="300">
      <c r="A300" s="22" t="n"/>
      <c r="B300" s="22" t="n"/>
      <c r="C300" s="26" t="n"/>
      <c r="D300" s="26" t="n"/>
      <c r="E300" s="26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6">
        <f>IF(G300="","",IF(TODAY()&gt;=G300,"到期","未到期"))</f>
        <v/>
      </c>
    </row>
    <row r="301">
      <c r="A301" s="22" t="n"/>
      <c r="B301" s="22" t="n"/>
      <c r="C301" s="26" t="n"/>
      <c r="D301" s="26" t="n"/>
      <c r="E301" s="26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6">
        <f>IF(G301="","",IF(TODAY()&gt;=G301,"到期","未到期"))</f>
        <v/>
      </c>
    </row>
    <row r="302">
      <c r="A302" s="22" t="n"/>
      <c r="B302" s="22" t="n"/>
      <c r="C302" s="26" t="n"/>
      <c r="D302" s="26" t="n"/>
      <c r="E302" s="26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6">
        <f>IF(G302="","",IF(TODAY()&gt;=G302,"到期","未到期"))</f>
        <v/>
      </c>
    </row>
    <row r="303">
      <c r="A303" s="22" t="n"/>
      <c r="B303" s="22" t="n"/>
      <c r="C303" s="26" t="n"/>
      <c r="D303" s="26" t="n"/>
      <c r="E303" s="26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6">
        <f>IF(G303="","",IF(TODAY()&gt;=G303,"到期","未到期"))</f>
        <v/>
      </c>
    </row>
    <row r="304">
      <c r="A304" s="22" t="n"/>
      <c r="B304" s="22" t="n"/>
      <c r="C304" s="26" t="n"/>
      <c r="D304" s="26" t="n"/>
      <c r="E304" s="26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6">
        <f>IF(G304="","",IF(TODAY()&gt;=G304,"到期","未到期"))</f>
        <v/>
      </c>
    </row>
    <row r="305">
      <c r="A305" s="22" t="n"/>
      <c r="B305" s="22" t="n"/>
      <c r="C305" s="26" t="n"/>
      <c r="D305" s="26" t="n"/>
      <c r="E305" s="26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6">
        <f>IF(G305="","",IF(TODAY()&gt;=G305,"到期","未到期"))</f>
        <v/>
      </c>
    </row>
    <row r="306">
      <c r="A306" s="22" t="n"/>
      <c r="B306" s="22" t="n"/>
      <c r="C306" s="26" t="n"/>
      <c r="D306" s="26" t="n"/>
      <c r="E306" s="26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6">
        <f>IF(G306="","",IF(TODAY()&gt;=G306,"到期","未到期"))</f>
        <v/>
      </c>
    </row>
    <row r="307">
      <c r="A307" s="22" t="n"/>
      <c r="B307" s="22" t="n"/>
      <c r="C307" s="26" t="n"/>
      <c r="D307" s="26" t="n"/>
      <c r="E307" s="26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6">
        <f>IF(G307="","",IF(TODAY()&gt;=G307,"到期","未到期"))</f>
        <v/>
      </c>
    </row>
    <row r="308">
      <c r="A308" s="22" t="n"/>
      <c r="B308" s="22" t="n"/>
      <c r="C308" s="26" t="n"/>
      <c r="D308" s="26" t="n"/>
      <c r="E308" s="26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6">
        <f>IF(G308="","",IF(TODAY()&gt;=G308,"到期","未到期"))</f>
        <v/>
      </c>
    </row>
    <row r="309">
      <c r="A309" s="22" t="n"/>
      <c r="B309" s="22" t="n"/>
      <c r="C309" s="26" t="n"/>
      <c r="D309" s="26" t="n"/>
      <c r="E309" s="26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6">
        <f>IF(G309="","",IF(TODAY()&gt;=G309,"到期","未到期"))</f>
        <v/>
      </c>
    </row>
    <row r="310">
      <c r="A310" s="22" t="n"/>
      <c r="B310" s="22" t="n"/>
      <c r="C310" s="26" t="n"/>
      <c r="D310" s="26" t="n"/>
      <c r="E310" s="26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6">
        <f>IF(G310="","",IF(TODAY()&gt;=G310,"到期","未到期"))</f>
        <v/>
      </c>
    </row>
    <row r="311">
      <c r="A311" s="22" t="n"/>
      <c r="B311" s="22" t="n"/>
      <c r="C311" s="26" t="n"/>
      <c r="D311" s="26" t="n"/>
      <c r="E311" s="26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6">
        <f>IF(G311="","",IF(TODAY()&gt;=G311,"到期","未到期"))</f>
        <v/>
      </c>
    </row>
    <row r="312">
      <c r="A312" s="22" t="n"/>
      <c r="B312" s="22" t="n"/>
      <c r="C312" s="26" t="n"/>
      <c r="D312" s="26" t="n"/>
      <c r="E312" s="26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6">
        <f>IF(G312="","",IF(TODAY()&gt;=G312,"到期","未到期"))</f>
        <v/>
      </c>
    </row>
    <row r="313">
      <c r="A313" s="22" t="n"/>
      <c r="B313" s="22" t="n"/>
      <c r="C313" s="26" t="n"/>
      <c r="D313" s="26" t="n"/>
      <c r="E313" s="26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6">
        <f>IF(G313="","",IF(TODAY()&gt;=G313,"到期","未到期"))</f>
        <v/>
      </c>
    </row>
    <row r="314">
      <c r="A314" s="22" t="n"/>
      <c r="B314" s="22" t="n"/>
      <c r="C314" s="26" t="n"/>
      <c r="D314" s="26" t="n"/>
      <c r="E314" s="26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6">
        <f>IF(G314="","",IF(TODAY()&gt;=G314,"到期","未到期"))</f>
        <v/>
      </c>
    </row>
    <row r="315">
      <c r="A315" s="22" t="n"/>
      <c r="B315" s="22" t="n"/>
      <c r="C315" s="26" t="n"/>
      <c r="D315" s="26" t="n"/>
      <c r="E315" s="26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6">
        <f>IF(G315="","",IF(TODAY()&gt;=G315,"到期","未到期"))</f>
        <v/>
      </c>
    </row>
    <row r="316">
      <c r="A316" s="22" t="n"/>
      <c r="B316" s="22" t="n"/>
      <c r="C316" s="26" t="n"/>
      <c r="D316" s="26" t="n"/>
      <c r="E316" s="26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6">
        <f>IF(G316="","",IF(TODAY()&gt;=G316,"到期","未到期"))</f>
        <v/>
      </c>
    </row>
    <row r="317">
      <c r="A317" s="22" t="n"/>
      <c r="B317" s="22" t="n"/>
      <c r="C317" s="26" t="n"/>
      <c r="D317" s="26" t="n"/>
      <c r="E317" s="26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6">
        <f>IF(G317="","",IF(TODAY()&gt;=G317,"到期","未到期"))</f>
        <v/>
      </c>
    </row>
    <row r="318">
      <c r="A318" s="22" t="n"/>
      <c r="B318" s="22" t="n"/>
      <c r="C318" s="26" t="n"/>
      <c r="D318" s="26" t="n"/>
      <c r="E318" s="26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6">
        <f>IF(G318="","",IF(TODAY()&gt;=G318,"到期","未到期"))</f>
        <v/>
      </c>
    </row>
    <row r="319">
      <c r="A319" s="22" t="n"/>
      <c r="B319" s="22" t="n"/>
      <c r="C319" s="26" t="n"/>
      <c r="D319" s="26" t="n"/>
      <c r="E319" s="26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6">
        <f>IF(G319="","",IF(TODAY()&gt;=G319,"到期","未到期"))</f>
        <v/>
      </c>
    </row>
    <row r="320">
      <c r="A320" s="22" t="n"/>
      <c r="B320" s="22" t="n"/>
      <c r="C320" s="26" t="n"/>
      <c r="D320" s="26" t="n"/>
      <c r="E320" s="26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6">
        <f>IF(G320="","",IF(TODAY()&gt;=G320,"到期","未到期"))</f>
        <v/>
      </c>
    </row>
    <row r="321">
      <c r="A321" s="22" t="n"/>
      <c r="B321" s="22" t="n"/>
      <c r="C321" s="26" t="n"/>
      <c r="D321" s="26" t="n"/>
      <c r="E321" s="26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6">
        <f>IF(G321="","",IF(TODAY()&gt;=G321,"到期","未到期"))</f>
        <v/>
      </c>
    </row>
    <row r="322">
      <c r="A322" s="22" t="n"/>
      <c r="B322" s="22" t="n"/>
      <c r="C322" s="26" t="n"/>
      <c r="D322" s="26" t="n"/>
      <c r="E322" s="26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6">
        <f>IF(G322="","",IF(TODAY()&gt;=G322,"到期","未到期"))</f>
        <v/>
      </c>
    </row>
    <row r="323">
      <c r="A323" s="22" t="n"/>
      <c r="B323" s="22" t="n"/>
      <c r="C323" s="26" t="n"/>
      <c r="D323" s="26" t="n"/>
      <c r="E323" s="26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6">
        <f>IF(G323="","",IF(TODAY()&gt;=G323,"到期","未到期"))</f>
        <v/>
      </c>
    </row>
    <row r="324">
      <c r="A324" s="22" t="n"/>
      <c r="B324" s="22" t="n"/>
      <c r="C324" s="26" t="n"/>
      <c r="D324" s="26" t="n"/>
      <c r="E324" s="26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6">
        <f>IF(G324="","",IF(TODAY()&gt;=G324,"到期","未到期"))</f>
        <v/>
      </c>
    </row>
    <row r="325">
      <c r="A325" s="22" t="n"/>
      <c r="B325" s="22" t="n"/>
      <c r="C325" s="26" t="n"/>
      <c r="D325" s="26" t="n"/>
      <c r="E325" s="26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6">
        <f>IF(G325="","",IF(TODAY()&gt;=G325,"到期","未到期"))</f>
        <v/>
      </c>
    </row>
    <row r="326">
      <c r="A326" s="22" t="n"/>
      <c r="B326" s="22" t="n"/>
      <c r="C326" s="26" t="n"/>
      <c r="D326" s="26" t="n"/>
      <c r="E326" s="26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6">
        <f>IF(G326="","",IF(TODAY()&gt;=G326,"到期","未到期"))</f>
        <v/>
      </c>
    </row>
    <row r="327">
      <c r="A327" s="22" t="n"/>
      <c r="B327" s="22" t="n"/>
      <c r="C327" s="26" t="n"/>
      <c r="D327" s="26" t="n"/>
      <c r="E327" s="26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6">
        <f>IF(G327="","",IF(TODAY()&gt;=G327,"到期","未到期"))</f>
        <v/>
      </c>
    </row>
    <row r="328">
      <c r="A328" s="22" t="n"/>
      <c r="B328" s="22" t="n"/>
      <c r="C328" s="26" t="n"/>
      <c r="D328" s="26" t="n"/>
      <c r="E328" s="26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6">
        <f>IF(G328="","",IF(TODAY()&gt;=G328,"到期","未到期"))</f>
        <v/>
      </c>
    </row>
    <row r="329">
      <c r="A329" s="22" t="n"/>
      <c r="B329" s="22" t="n"/>
      <c r="C329" s="26" t="n"/>
      <c r="D329" s="26" t="n"/>
      <c r="E329" s="26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6">
        <f>IF(G329="","",IF(TODAY()&gt;=G329,"到期","未到期"))</f>
        <v/>
      </c>
    </row>
    <row r="330">
      <c r="A330" s="22" t="n"/>
      <c r="B330" s="22" t="n"/>
      <c r="C330" s="26" t="n"/>
      <c r="D330" s="26" t="n"/>
      <c r="E330" s="26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6">
        <f>IF(G330="","",IF(TODAY()&gt;=G330,"到期","未到期"))</f>
        <v/>
      </c>
    </row>
    <row r="331">
      <c r="A331" s="22" t="n"/>
      <c r="B331" s="22" t="n"/>
      <c r="C331" s="26" t="n"/>
      <c r="D331" s="26" t="n"/>
      <c r="E331" s="26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6">
        <f>IF(G331="","",IF(TODAY()&gt;=G331,"到期","未到期"))</f>
        <v/>
      </c>
    </row>
    <row r="332">
      <c r="A332" s="22" t="n"/>
      <c r="B332" s="22" t="n"/>
      <c r="C332" s="26" t="n"/>
      <c r="D332" s="26" t="n"/>
      <c r="E332" s="26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6">
        <f>IF(G332="","",IF(TODAY()&gt;=G332,"到期","未到期"))</f>
        <v/>
      </c>
    </row>
    <row r="333">
      <c r="A333" s="22" t="n"/>
      <c r="B333" s="22" t="n"/>
      <c r="C333" s="26" t="n"/>
      <c r="D333" s="26" t="n"/>
      <c r="E333" s="26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6">
        <f>IF(G333="","",IF(TODAY()&gt;=G333,"到期","未到期"))</f>
        <v/>
      </c>
    </row>
    <row r="334">
      <c r="A334" s="22" t="n"/>
      <c r="B334" s="22" t="n"/>
      <c r="C334" s="26" t="n"/>
      <c r="D334" s="26" t="n"/>
      <c r="E334" s="26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6">
        <f>IF(G334="","",IF(TODAY()&gt;=G334,"到期","未到期"))</f>
        <v/>
      </c>
    </row>
    <row r="335">
      <c r="A335" s="22" t="n"/>
      <c r="B335" s="22" t="n"/>
      <c r="C335" s="26" t="n"/>
      <c r="D335" s="26" t="n"/>
      <c r="E335" s="26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6">
        <f>IF(G335="","",IF(TODAY()&gt;=G335,"到期","未到期"))</f>
        <v/>
      </c>
    </row>
    <row r="336">
      <c r="A336" s="22" t="n"/>
      <c r="B336" s="22" t="n"/>
      <c r="C336" s="26" t="n"/>
      <c r="D336" s="26" t="n"/>
      <c r="E336" s="26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6">
        <f>IF(G336="","",IF(TODAY()&gt;=G336,"到期","未到期"))</f>
        <v/>
      </c>
    </row>
    <row r="337">
      <c r="A337" s="22" t="n"/>
      <c r="B337" s="22" t="n"/>
      <c r="C337" s="26" t="n"/>
      <c r="D337" s="26" t="n"/>
      <c r="E337" s="26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6">
        <f>IF(G337="","",IF(TODAY()&gt;=G337,"到期","未到期"))</f>
        <v/>
      </c>
    </row>
    <row r="338">
      <c r="A338" s="22" t="n"/>
      <c r="B338" s="22" t="n"/>
      <c r="C338" s="26" t="n"/>
      <c r="D338" s="26" t="n"/>
      <c r="E338" s="26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6">
        <f>IF(G338="","",IF(TODAY()&gt;=G338,"到期","未到期"))</f>
        <v/>
      </c>
    </row>
    <row r="339">
      <c r="A339" s="22" t="n"/>
      <c r="B339" s="22" t="n"/>
      <c r="C339" s="26" t="n"/>
      <c r="D339" s="26" t="n"/>
      <c r="E339" s="26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6">
        <f>IF(G339="","",IF(TODAY()&gt;=G339,"到期","未到期"))</f>
        <v/>
      </c>
    </row>
    <row r="340">
      <c r="A340" s="22" t="n"/>
      <c r="B340" s="22" t="n"/>
      <c r="C340" s="26" t="n"/>
      <c r="D340" s="26" t="n"/>
      <c r="E340" s="26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6">
        <f>IF(G340="","",IF(TODAY()&gt;=G340,"到期","未到期"))</f>
        <v/>
      </c>
    </row>
    <row r="341">
      <c r="A341" s="22" t="n"/>
      <c r="B341" s="22" t="n"/>
      <c r="C341" s="26" t="n"/>
      <c r="D341" s="26" t="n"/>
      <c r="E341" s="26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6">
        <f>IF(G341="","",IF(TODAY()&gt;=G341,"到期","未到期"))</f>
        <v/>
      </c>
    </row>
    <row r="342">
      <c r="A342" s="22" t="n"/>
      <c r="B342" s="22" t="n"/>
      <c r="C342" s="26" t="n"/>
      <c r="D342" s="26" t="n"/>
      <c r="E342" s="26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6">
        <f>IF(G342="","",IF(TODAY()&gt;=G342,"到期","未到期"))</f>
        <v/>
      </c>
    </row>
    <row r="343">
      <c r="A343" s="22" t="n"/>
      <c r="B343" s="22" t="n"/>
      <c r="C343" s="26" t="n"/>
      <c r="D343" s="26" t="n"/>
      <c r="E343" s="26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6">
        <f>IF(G343="","",IF(TODAY()&gt;=G343,"到期","未到期"))</f>
        <v/>
      </c>
    </row>
    <row r="344">
      <c r="A344" s="22" t="n"/>
      <c r="B344" s="22" t="n"/>
      <c r="C344" s="26" t="n"/>
      <c r="D344" s="26" t="n"/>
      <c r="E344" s="26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6">
        <f>IF(G344="","",IF(TODAY()&gt;=G344,"到期","未到期"))</f>
        <v/>
      </c>
    </row>
    <row r="345">
      <c r="A345" s="22" t="n"/>
      <c r="B345" s="22" t="n"/>
      <c r="C345" s="26" t="n"/>
      <c r="D345" s="26" t="n"/>
      <c r="E345" s="26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6">
        <f>IF(G345="","",IF(TODAY()&gt;=G345,"到期","未到期"))</f>
        <v/>
      </c>
    </row>
    <row r="346">
      <c r="A346" s="22" t="n"/>
      <c r="B346" s="22" t="n"/>
      <c r="C346" s="26" t="n"/>
      <c r="D346" s="26" t="n"/>
      <c r="E346" s="26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6">
        <f>IF(G346="","",IF(TODAY()&gt;=G346,"到期","未到期"))</f>
        <v/>
      </c>
    </row>
    <row r="347">
      <c r="A347" s="22" t="n"/>
      <c r="B347" s="22" t="n"/>
      <c r="C347" s="26" t="n"/>
      <c r="D347" s="26" t="n"/>
      <c r="E347" s="26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6">
        <f>IF(G347="","",IF(TODAY()&gt;=G347,"到期","未到期"))</f>
        <v/>
      </c>
    </row>
    <row r="348">
      <c r="A348" s="22" t="n"/>
      <c r="B348" s="22" t="n"/>
      <c r="C348" s="26" t="n"/>
      <c r="D348" s="26" t="n"/>
      <c r="E348" s="26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6">
        <f>IF(G348="","",IF(TODAY()&gt;=G348,"到期","未到期"))</f>
        <v/>
      </c>
    </row>
    <row r="349">
      <c r="A349" s="22" t="n"/>
      <c r="B349" s="22" t="n"/>
      <c r="C349" s="26" t="n"/>
      <c r="D349" s="26" t="n"/>
      <c r="E349" s="26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6">
        <f>IF(G349="","",IF(TODAY()&gt;=G349,"到期","未到期"))</f>
        <v/>
      </c>
    </row>
    <row r="350">
      <c r="A350" s="22" t="n"/>
      <c r="B350" s="22" t="n"/>
      <c r="C350" s="26" t="n"/>
      <c r="D350" s="26" t="n"/>
      <c r="E350" s="26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6">
        <f>IF(G350="","",IF(TODAY()&gt;=G350,"到期","未到期"))</f>
        <v/>
      </c>
    </row>
    <row r="351">
      <c r="A351" s="22" t="n"/>
      <c r="B351" s="22" t="n"/>
      <c r="C351" s="26" t="n"/>
      <c r="D351" s="26" t="n"/>
      <c r="E351" s="26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6">
        <f>IF(G351="","",IF(TODAY()&gt;=G351,"到期","未到期"))</f>
        <v/>
      </c>
    </row>
    <row r="352">
      <c r="A352" s="22" t="n"/>
      <c r="B352" s="22" t="n"/>
      <c r="C352" s="26" t="n"/>
      <c r="D352" s="26" t="n"/>
      <c r="E352" s="26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6">
        <f>IF(G352="","",IF(TODAY()&gt;=G352,"到期","未到期"))</f>
        <v/>
      </c>
    </row>
    <row r="353">
      <c r="A353" s="22" t="n"/>
      <c r="B353" s="22" t="n"/>
      <c r="C353" s="26" t="n"/>
      <c r="D353" s="26" t="n"/>
      <c r="E353" s="26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6">
        <f>IF(G353="","",IF(TODAY()&gt;=G353,"到期","未到期"))</f>
        <v/>
      </c>
    </row>
    <row r="354">
      <c r="A354" s="22" t="n"/>
      <c r="B354" s="22" t="n"/>
      <c r="C354" s="26" t="n"/>
      <c r="D354" s="26" t="n"/>
      <c r="E354" s="26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6">
        <f>IF(G354="","",IF(TODAY()&gt;=G354,"到期","未到期"))</f>
        <v/>
      </c>
    </row>
    <row r="355">
      <c r="A355" s="22" t="n"/>
      <c r="B355" s="22" t="n"/>
      <c r="C355" s="26" t="n"/>
      <c r="D355" s="26" t="n"/>
      <c r="E355" s="26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6">
        <f>IF(G355="","",IF(TODAY()&gt;=G355,"到期","未到期"))</f>
        <v/>
      </c>
    </row>
    <row r="356">
      <c r="A356" s="22" t="n"/>
      <c r="B356" s="22" t="n"/>
      <c r="C356" s="26" t="n"/>
      <c r="D356" s="26" t="n"/>
      <c r="E356" s="26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6">
        <f>IF(G356="","",IF(TODAY()&gt;=G356,"到期","未到期"))</f>
        <v/>
      </c>
    </row>
    <row r="357">
      <c r="A357" s="22" t="n"/>
      <c r="B357" s="22" t="n"/>
      <c r="C357" s="26" t="n"/>
      <c r="D357" s="26" t="n"/>
      <c r="E357" s="26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6">
        <f>IF(G357="","",IF(TODAY()&gt;=G357,"到期","未到期"))</f>
        <v/>
      </c>
    </row>
    <row r="358">
      <c r="A358" s="22" t="n"/>
      <c r="B358" s="22" t="n"/>
      <c r="C358" s="26" t="n"/>
      <c r="D358" s="26" t="n"/>
      <c r="E358" s="26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6">
        <f>IF(G358="","",IF(TODAY()&gt;=G358,"到期","未到期"))</f>
        <v/>
      </c>
    </row>
    <row r="359">
      <c r="A359" s="22" t="n"/>
      <c r="B359" s="22" t="n"/>
      <c r="C359" s="26" t="n"/>
      <c r="D359" s="26" t="n"/>
      <c r="E359" s="26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6">
        <f>IF(G359="","",IF(TODAY()&gt;=G359,"到期","未到期"))</f>
        <v/>
      </c>
    </row>
    <row r="360">
      <c r="A360" s="22" t="n"/>
      <c r="B360" s="22" t="n"/>
      <c r="C360" s="26" t="n"/>
      <c r="D360" s="26" t="n"/>
      <c r="E360" s="26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6">
        <f>IF(G360="","",IF(TODAY()&gt;=G360,"到期","未到期"))</f>
        <v/>
      </c>
    </row>
    <row r="361">
      <c r="A361" s="22" t="n"/>
      <c r="B361" s="22" t="n"/>
      <c r="C361" s="26" t="n"/>
      <c r="D361" s="26" t="n"/>
      <c r="E361" s="26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6">
        <f>IF(G361="","",IF(TODAY()&gt;=G361,"到期","未到期"))</f>
        <v/>
      </c>
    </row>
    <row r="362">
      <c r="A362" s="22" t="n"/>
      <c r="B362" s="22" t="n"/>
      <c r="C362" s="26" t="n"/>
      <c r="D362" s="26" t="n"/>
      <c r="E362" s="26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6">
        <f>IF(G362="","",IF(TODAY()&gt;=G362,"到期","未到期"))</f>
        <v/>
      </c>
    </row>
    <row r="363">
      <c r="A363" s="22" t="n"/>
      <c r="B363" s="22" t="n"/>
      <c r="C363" s="26" t="n"/>
      <c r="D363" s="26" t="n"/>
      <c r="E363" s="26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6">
        <f>IF(G363="","",IF(TODAY()&gt;=G363,"到期","未到期"))</f>
        <v/>
      </c>
    </row>
    <row r="364">
      <c r="A364" s="22" t="n"/>
      <c r="B364" s="22" t="n"/>
      <c r="C364" s="26" t="n"/>
      <c r="D364" s="26" t="n"/>
      <c r="E364" s="26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6">
        <f>IF(G364="","",IF(TODAY()&gt;=G364,"到期","未到期"))</f>
        <v/>
      </c>
    </row>
    <row r="365">
      <c r="A365" s="22" t="n"/>
      <c r="B365" s="22" t="n"/>
      <c r="C365" s="26" t="n"/>
      <c r="D365" s="26" t="n"/>
      <c r="E365" s="26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6">
        <f>IF(G365="","",IF(TODAY()&gt;=G365,"到期","未到期"))</f>
        <v/>
      </c>
    </row>
    <row r="366">
      <c r="A366" s="22" t="n"/>
      <c r="B366" s="22" t="n"/>
      <c r="C366" s="26" t="n"/>
      <c r="D366" s="26" t="n"/>
      <c r="E366" s="26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6">
        <f>IF(G366="","",IF(TODAY()&gt;=G366,"到期","未到期"))</f>
        <v/>
      </c>
    </row>
    <row r="367">
      <c r="A367" s="22" t="n"/>
      <c r="B367" s="22" t="n"/>
      <c r="C367" s="26" t="n"/>
      <c r="D367" s="26" t="n"/>
      <c r="E367" s="26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6">
        <f>IF(G367="","",IF(TODAY()&gt;=G367,"到期","未到期"))</f>
        <v/>
      </c>
    </row>
    <row r="368">
      <c r="A368" s="22" t="n"/>
      <c r="B368" s="22" t="n"/>
      <c r="C368" s="26" t="n"/>
      <c r="D368" s="26" t="n"/>
      <c r="E368" s="26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6">
        <f>IF(G368="","",IF(TODAY()&gt;=G368,"到期","未到期"))</f>
        <v/>
      </c>
    </row>
    <row r="369">
      <c r="A369" s="22" t="n"/>
      <c r="B369" s="22" t="n"/>
      <c r="C369" s="26" t="n"/>
      <c r="D369" s="26" t="n"/>
      <c r="E369" s="26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6">
        <f>IF(G369="","",IF(TODAY()&gt;=G369,"到期","未到期"))</f>
        <v/>
      </c>
    </row>
    <row r="370">
      <c r="A370" s="22" t="n"/>
      <c r="B370" s="22" t="n"/>
      <c r="C370" s="26" t="n"/>
      <c r="D370" s="26" t="n"/>
      <c r="E370" s="26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6">
        <f>IF(G370="","",IF(TODAY()&gt;=G370,"到期","未到期"))</f>
        <v/>
      </c>
    </row>
    <row r="371">
      <c r="A371" s="22" t="n"/>
      <c r="B371" s="22" t="n"/>
      <c r="C371" s="26" t="n"/>
      <c r="D371" s="26" t="n"/>
      <c r="E371" s="26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6">
        <f>IF(G371="","",IF(TODAY()&gt;=G371,"到期","未到期"))</f>
        <v/>
      </c>
    </row>
    <row r="372">
      <c r="A372" s="22" t="n"/>
      <c r="B372" s="22" t="n"/>
      <c r="C372" s="26" t="n"/>
      <c r="D372" s="26" t="n"/>
      <c r="E372" s="26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6">
        <f>IF(G372="","",IF(TODAY()&gt;=G372,"到期","未到期"))</f>
        <v/>
      </c>
    </row>
    <row r="373">
      <c r="A373" s="22" t="n"/>
      <c r="B373" s="22" t="n"/>
      <c r="C373" s="26" t="n"/>
      <c r="D373" s="26" t="n"/>
      <c r="E373" s="26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6">
        <f>IF(G373="","",IF(TODAY()&gt;=G373,"到期","未到期"))</f>
        <v/>
      </c>
    </row>
    <row r="374">
      <c r="A374" s="22" t="n"/>
      <c r="B374" s="22" t="n"/>
      <c r="C374" s="26" t="n"/>
      <c r="D374" s="26" t="n"/>
      <c r="E374" s="26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6">
        <f>IF(G374="","",IF(TODAY()&gt;=G374,"到期","未到期"))</f>
        <v/>
      </c>
    </row>
    <row r="375">
      <c r="A375" s="22" t="n"/>
      <c r="B375" s="22" t="n"/>
      <c r="C375" s="26" t="n"/>
      <c r="D375" s="26" t="n"/>
      <c r="E375" s="26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6">
        <f>IF(G375="","",IF(TODAY()&gt;=G375,"到期","未到期"))</f>
        <v/>
      </c>
    </row>
    <row r="376">
      <c r="A376" s="22" t="n"/>
      <c r="B376" s="22" t="n"/>
      <c r="C376" s="26" t="n"/>
      <c r="D376" s="26" t="n"/>
      <c r="E376" s="26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6">
        <f>IF(G376="","",IF(TODAY()&gt;=G376,"到期","未到期"))</f>
        <v/>
      </c>
    </row>
    <row r="377">
      <c r="A377" s="22" t="n"/>
      <c r="B377" s="22" t="n"/>
      <c r="C377" s="26" t="n"/>
      <c r="D377" s="26" t="n"/>
      <c r="E377" s="26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6">
        <f>IF(G377="","",IF(TODAY()&gt;=G377,"到期","未到期"))</f>
        <v/>
      </c>
    </row>
    <row r="378">
      <c r="A378" s="22" t="n"/>
      <c r="B378" s="22" t="n"/>
      <c r="C378" s="26" t="n"/>
      <c r="D378" s="26" t="n"/>
      <c r="E378" s="26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6">
        <f>IF(G378="","",IF(TODAY()&gt;=G378,"到期","未到期"))</f>
        <v/>
      </c>
    </row>
    <row r="379">
      <c r="A379" s="22" t="n"/>
      <c r="B379" s="22" t="n"/>
      <c r="C379" s="26" t="n"/>
      <c r="D379" s="26" t="n"/>
      <c r="E379" s="26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6">
        <f>IF(G379="","",IF(TODAY()&gt;=G379,"到期","未到期"))</f>
        <v/>
      </c>
    </row>
    <row r="380">
      <c r="A380" s="22" t="n"/>
      <c r="B380" s="22" t="n"/>
      <c r="C380" s="26" t="n"/>
      <c r="D380" s="26" t="n"/>
      <c r="E380" s="26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6">
        <f>IF(G380="","",IF(TODAY()&gt;=G380,"到期","未到期"))</f>
        <v/>
      </c>
    </row>
    <row r="381">
      <c r="A381" s="22" t="n"/>
      <c r="B381" s="22" t="n"/>
      <c r="C381" s="26" t="n"/>
      <c r="D381" s="26" t="n"/>
      <c r="E381" s="26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6">
        <f>IF(G381="","",IF(TODAY()&gt;=G381,"到期","未到期"))</f>
        <v/>
      </c>
    </row>
    <row r="382">
      <c r="A382" s="22" t="n"/>
      <c r="B382" s="22" t="n"/>
      <c r="C382" s="26" t="n"/>
      <c r="D382" s="26" t="n"/>
      <c r="E382" s="26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6">
        <f>IF(G382="","",IF(TODAY()&gt;=G382,"到期","未到期"))</f>
        <v/>
      </c>
    </row>
    <row r="383">
      <c r="A383" s="22" t="n"/>
      <c r="B383" s="22" t="n"/>
      <c r="C383" s="26" t="n"/>
      <c r="D383" s="26" t="n"/>
      <c r="E383" s="26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6">
        <f>IF(G383="","",IF(TODAY()&gt;=G383,"到期","未到期"))</f>
        <v/>
      </c>
    </row>
    <row r="384">
      <c r="A384" s="22" t="n"/>
      <c r="B384" s="22" t="n"/>
      <c r="C384" s="26" t="n"/>
      <c r="D384" s="26" t="n"/>
      <c r="E384" s="26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6">
        <f>IF(G384="","",IF(TODAY()&gt;=G384,"到期","未到期"))</f>
        <v/>
      </c>
    </row>
    <row r="385">
      <c r="A385" s="22" t="n"/>
      <c r="B385" s="22" t="n"/>
      <c r="C385" s="26" t="n"/>
      <c r="D385" s="26" t="n"/>
      <c r="E385" s="26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6">
        <f>IF(G385="","",IF(TODAY()&gt;=G385,"到期","未到期"))</f>
        <v/>
      </c>
    </row>
    <row r="386">
      <c r="A386" s="22" t="n"/>
      <c r="B386" s="22" t="n"/>
      <c r="C386" s="26" t="n"/>
      <c r="D386" s="26" t="n"/>
      <c r="E386" s="26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6">
        <f>IF(G386="","",IF(TODAY()&gt;=G386,"到期","未到期"))</f>
        <v/>
      </c>
    </row>
    <row r="387">
      <c r="A387" s="22" t="n"/>
      <c r="B387" s="22" t="n"/>
      <c r="C387" s="26" t="n"/>
      <c r="D387" s="26" t="n"/>
      <c r="E387" s="26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6">
        <f>IF(G387="","",IF(TODAY()&gt;=G387,"到期","未到期"))</f>
        <v/>
      </c>
    </row>
    <row r="388">
      <c r="A388" s="22" t="n"/>
      <c r="B388" s="22" t="n"/>
      <c r="C388" s="26" t="n"/>
      <c r="D388" s="26" t="n"/>
      <c r="E388" s="26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6">
        <f>IF(G388="","",IF(TODAY()&gt;=G388,"到期","未到期"))</f>
        <v/>
      </c>
    </row>
    <row r="389">
      <c r="A389" s="22" t="n"/>
      <c r="B389" s="22" t="n"/>
      <c r="C389" s="26" t="n"/>
      <c r="D389" s="26" t="n"/>
      <c r="E389" s="26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6">
        <f>IF(G389="","",IF(TODAY()&gt;=G389,"到期","未到期"))</f>
        <v/>
      </c>
    </row>
    <row r="390">
      <c r="A390" s="22" t="n"/>
      <c r="B390" s="22" t="n"/>
      <c r="C390" s="26" t="n"/>
      <c r="D390" s="26" t="n"/>
      <c r="E390" s="26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6">
        <f>IF(G390="","",IF(TODAY()&gt;=G390,"到期","未到期"))</f>
        <v/>
      </c>
    </row>
    <row r="391">
      <c r="A391" s="22" t="n"/>
      <c r="B391" s="22" t="n"/>
      <c r="C391" s="26" t="n"/>
      <c r="D391" s="26" t="n"/>
      <c r="E391" s="26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6">
        <f>IF(G391="","",IF(TODAY()&gt;=G391,"到期","未到期"))</f>
        <v/>
      </c>
    </row>
    <row r="392">
      <c r="A392" s="22" t="n"/>
      <c r="B392" s="22" t="n"/>
      <c r="C392" s="26" t="n"/>
      <c r="D392" s="26" t="n"/>
      <c r="E392" s="26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6">
        <f>IF(G392="","",IF(TODAY()&gt;=G392,"到期","未到期"))</f>
        <v/>
      </c>
    </row>
    <row r="393">
      <c r="A393" s="22" t="n"/>
      <c r="B393" s="22" t="n"/>
      <c r="C393" s="26" t="n"/>
      <c r="D393" s="26" t="n"/>
      <c r="E393" s="26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6">
        <f>IF(G393="","",IF(TODAY()&gt;=G393,"到期","未到期"))</f>
        <v/>
      </c>
    </row>
    <row r="394">
      <c r="A394" s="22" t="n"/>
      <c r="B394" s="22" t="n"/>
      <c r="C394" s="26" t="n"/>
      <c r="D394" s="26" t="n"/>
      <c r="E394" s="26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6">
        <f>IF(G394="","",IF(TODAY()&gt;=G394,"到期","未到期"))</f>
        <v/>
      </c>
    </row>
    <row r="395">
      <c r="A395" s="22" t="n"/>
      <c r="B395" s="22" t="n"/>
      <c r="C395" s="26" t="n"/>
      <c r="D395" s="26" t="n"/>
      <c r="E395" s="26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6">
        <f>IF(G395="","",IF(TODAY()&gt;=G395,"到期","未到期"))</f>
        <v/>
      </c>
    </row>
    <row r="396">
      <c r="A396" s="22" t="n"/>
      <c r="B396" s="22" t="n"/>
      <c r="C396" s="26" t="n"/>
      <c r="D396" s="26" t="n"/>
      <c r="E396" s="26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6">
        <f>IF(G396="","",IF(TODAY()&gt;=G396,"到期","未到期"))</f>
        <v/>
      </c>
    </row>
    <row r="397">
      <c r="A397" s="22" t="n"/>
      <c r="B397" s="22" t="n"/>
      <c r="C397" s="26" t="n"/>
      <c r="D397" s="26" t="n"/>
      <c r="E397" s="26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6">
        <f>IF(G397="","",IF(TODAY()&gt;=G397,"到期","未到期"))</f>
        <v/>
      </c>
    </row>
    <row r="398">
      <c r="A398" s="22" t="n"/>
      <c r="B398" s="22" t="n"/>
      <c r="C398" s="26" t="n"/>
      <c r="D398" s="26" t="n"/>
      <c r="E398" s="26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6">
        <f>IF(G398="","",IF(TODAY()&gt;=G398,"到期","未到期"))</f>
        <v/>
      </c>
    </row>
    <row r="399">
      <c r="A399" s="22" t="n"/>
      <c r="B399" s="22" t="n"/>
      <c r="C399" s="26" t="n"/>
      <c r="D399" s="26" t="n"/>
      <c r="E399" s="26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6">
        <f>IF(G399="","",IF(TODAY()&gt;=G399,"到期","未到期"))</f>
        <v/>
      </c>
    </row>
    <row r="400">
      <c r="A400" s="22" t="n"/>
      <c r="B400" s="22" t="n"/>
      <c r="C400" s="26" t="n"/>
      <c r="D400" s="26" t="n"/>
      <c r="E400" s="26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6">
        <f>IF(G400="","",IF(TODAY()&gt;=G400,"到期","未到期"))</f>
        <v/>
      </c>
    </row>
    <row r="401">
      <c r="A401" s="22" t="n"/>
      <c r="B401" s="22" t="n"/>
      <c r="C401" s="26" t="n"/>
      <c r="D401" s="26" t="n"/>
      <c r="E401" s="26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6">
        <f>IF(G401="","",IF(TODAY()&gt;=G401,"到期","未到期"))</f>
        <v/>
      </c>
    </row>
    <row r="402">
      <c r="A402" s="22" t="n"/>
      <c r="B402" s="22" t="n"/>
      <c r="C402" s="26" t="n"/>
      <c r="D402" s="26" t="n"/>
      <c r="E402" s="26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6">
        <f>IF(G402="","",IF(TODAY()&gt;=G402,"到期","未到期"))</f>
        <v/>
      </c>
    </row>
    <row r="403">
      <c r="A403" s="22" t="n"/>
      <c r="B403" s="22" t="n"/>
      <c r="C403" s="26" t="n"/>
      <c r="D403" s="26" t="n"/>
      <c r="E403" s="26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6">
        <f>IF(G403="","",IF(TODAY()&gt;=G403,"到期","未到期"))</f>
        <v/>
      </c>
    </row>
    <row r="404">
      <c r="A404" s="22" t="n"/>
      <c r="B404" s="22" t="n"/>
      <c r="C404" s="26" t="n"/>
      <c r="D404" s="26" t="n"/>
      <c r="E404" s="26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6">
        <f>IF(G404="","",IF(TODAY()&gt;=G404,"到期","未到期"))</f>
        <v/>
      </c>
    </row>
    <row r="405">
      <c r="A405" s="22" t="n"/>
      <c r="B405" s="22" t="n"/>
      <c r="C405" s="26" t="n"/>
      <c r="D405" s="26" t="n"/>
      <c r="E405" s="26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6">
        <f>IF(G405="","",IF(TODAY()&gt;=G405,"到期","未到期"))</f>
        <v/>
      </c>
    </row>
    <row r="406">
      <c r="A406" s="22" t="n"/>
      <c r="B406" s="22" t="n"/>
      <c r="C406" s="26" t="n"/>
      <c r="D406" s="26" t="n"/>
      <c r="E406" s="26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6">
        <f>IF(G406="","",IF(TODAY()&gt;=G406,"到期","未到期"))</f>
        <v/>
      </c>
    </row>
    <row r="407">
      <c r="A407" s="22" t="n"/>
      <c r="B407" s="22" t="n"/>
      <c r="C407" s="26" t="n"/>
      <c r="D407" s="26" t="n"/>
      <c r="E407" s="26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6">
        <f>IF(G407="","",IF(TODAY()&gt;=G407,"到期","未到期"))</f>
        <v/>
      </c>
    </row>
    <row r="408">
      <c r="A408" s="22" t="n"/>
      <c r="B408" s="22" t="n"/>
      <c r="C408" s="26" t="n"/>
      <c r="D408" s="26" t="n"/>
      <c r="E408" s="26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6">
        <f>IF(G408="","",IF(TODAY()&gt;=G408,"到期","未到期"))</f>
        <v/>
      </c>
    </row>
    <row r="409">
      <c r="A409" s="22" t="n"/>
      <c r="B409" s="22" t="n"/>
      <c r="C409" s="26" t="n"/>
      <c r="D409" s="26" t="n"/>
      <c r="E409" s="26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6">
        <f>IF(G409="","",IF(TODAY()&gt;=G409,"到期","未到期"))</f>
        <v/>
      </c>
    </row>
    <row r="410">
      <c r="A410" s="22" t="n"/>
      <c r="B410" s="22" t="n"/>
      <c r="C410" s="26" t="n"/>
      <c r="D410" s="26" t="n"/>
      <c r="E410" s="26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6">
        <f>IF(G410="","",IF(TODAY()&gt;=G410,"到期","未到期"))</f>
        <v/>
      </c>
    </row>
    <row r="411">
      <c r="A411" s="22" t="n"/>
      <c r="B411" s="22" t="n"/>
      <c r="C411" s="26" t="n"/>
      <c r="D411" s="26" t="n"/>
      <c r="E411" s="26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6">
        <f>IF(G411="","",IF(TODAY()&gt;=G411,"到期","未到期"))</f>
        <v/>
      </c>
    </row>
    <row r="412">
      <c r="A412" s="22" t="n"/>
      <c r="B412" s="22" t="n"/>
      <c r="C412" s="26" t="n"/>
      <c r="D412" s="26" t="n"/>
      <c r="E412" s="26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6">
        <f>IF(G412="","",IF(TODAY()&gt;=G412,"到期","未到期"))</f>
        <v/>
      </c>
    </row>
    <row r="413">
      <c r="A413" s="22" t="n"/>
      <c r="B413" s="22" t="n"/>
      <c r="C413" s="26" t="n"/>
      <c r="D413" s="26" t="n"/>
      <c r="E413" s="26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6">
        <f>IF(G413="","",IF(TODAY()&gt;=G413,"到期","未到期"))</f>
        <v/>
      </c>
    </row>
    <row r="414">
      <c r="A414" s="22" t="n"/>
      <c r="B414" s="22" t="n"/>
      <c r="C414" s="26" t="n"/>
      <c r="D414" s="26" t="n"/>
      <c r="E414" s="26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6">
        <f>IF(G414="","",IF(TODAY()&gt;=G414,"到期","未到期"))</f>
        <v/>
      </c>
    </row>
    <row r="415">
      <c r="A415" s="22" t="n"/>
      <c r="B415" s="22" t="n"/>
      <c r="C415" s="26" t="n"/>
      <c r="D415" s="26" t="n"/>
      <c r="E415" s="26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6">
        <f>IF(G415="","",IF(TODAY()&gt;=G415,"到期","未到期"))</f>
        <v/>
      </c>
    </row>
    <row r="416">
      <c r="A416" s="22" t="n"/>
      <c r="B416" s="22" t="n"/>
      <c r="C416" s="26" t="n"/>
      <c r="D416" s="26" t="n"/>
      <c r="E416" s="26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6">
        <f>IF(G416="","",IF(TODAY()&gt;=G416,"到期","未到期"))</f>
        <v/>
      </c>
    </row>
    <row r="417">
      <c r="A417" s="22" t="n"/>
      <c r="B417" s="22" t="n"/>
      <c r="C417" s="26" t="n"/>
      <c r="D417" s="26" t="n"/>
      <c r="E417" s="26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6">
        <f>IF(G417="","",IF(TODAY()&gt;=G417,"到期","未到期"))</f>
        <v/>
      </c>
    </row>
    <row r="418">
      <c r="A418" s="22" t="n"/>
      <c r="B418" s="22" t="n"/>
      <c r="C418" s="26" t="n"/>
      <c r="D418" s="26" t="n"/>
      <c r="E418" s="26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6">
        <f>IF(G418="","",IF(TODAY()&gt;=G418,"到期","未到期"))</f>
        <v/>
      </c>
    </row>
    <row r="419">
      <c r="A419" s="22" t="n"/>
      <c r="B419" s="22" t="n"/>
      <c r="C419" s="26" t="n"/>
      <c r="D419" s="26" t="n"/>
      <c r="E419" s="26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6">
        <f>IF(G419="","",IF(TODAY()&gt;=G419,"到期","未到期"))</f>
        <v/>
      </c>
    </row>
    <row r="420">
      <c r="A420" s="22" t="n"/>
      <c r="B420" s="22" t="n"/>
      <c r="C420" s="26" t="n"/>
      <c r="D420" s="26" t="n"/>
      <c r="E420" s="26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6">
        <f>IF(G420="","",IF(TODAY()&gt;=G420,"到期","未到期"))</f>
        <v/>
      </c>
    </row>
    <row r="421">
      <c r="A421" s="22" t="n"/>
      <c r="B421" s="22" t="n"/>
      <c r="C421" s="26" t="n"/>
      <c r="D421" s="26" t="n"/>
      <c r="E421" s="26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6">
        <f>IF(G421="","",IF(TODAY()&gt;=G421,"到期","未到期"))</f>
        <v/>
      </c>
    </row>
    <row r="422">
      <c r="A422" s="22" t="n"/>
      <c r="B422" s="22" t="n"/>
      <c r="C422" s="26" t="n"/>
      <c r="D422" s="26" t="n"/>
      <c r="E422" s="26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6">
        <f>IF(G422="","",IF(TODAY()&gt;=G422,"到期","未到期"))</f>
        <v/>
      </c>
    </row>
    <row r="423">
      <c r="A423" s="22" t="n"/>
      <c r="B423" s="22" t="n"/>
      <c r="C423" s="26" t="n"/>
      <c r="D423" s="26" t="n"/>
      <c r="E423" s="26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6">
        <f>IF(G423="","",IF(TODAY()&gt;=G423,"到期","未到期"))</f>
        <v/>
      </c>
    </row>
    <row r="424">
      <c r="A424" s="22" t="n"/>
      <c r="B424" s="22" t="n"/>
      <c r="C424" s="26" t="n"/>
      <c r="D424" s="26" t="n"/>
      <c r="E424" s="26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6">
        <f>IF(G424="","",IF(TODAY()&gt;=G424,"到期","未到期"))</f>
        <v/>
      </c>
    </row>
    <row r="425">
      <c r="A425" s="22" t="n"/>
      <c r="B425" s="22" t="n"/>
      <c r="C425" s="26" t="n"/>
      <c r="D425" s="26" t="n"/>
      <c r="E425" s="26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6">
        <f>IF(G425="","",IF(TODAY()&gt;=G425,"到期","未到期"))</f>
        <v/>
      </c>
    </row>
    <row r="426">
      <c r="A426" s="22" t="n"/>
      <c r="B426" s="22" t="n"/>
      <c r="C426" s="26" t="n"/>
      <c r="D426" s="26" t="n"/>
      <c r="E426" s="26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6">
        <f>IF(G426="","",IF(TODAY()&gt;=G426,"到期","未到期"))</f>
        <v/>
      </c>
    </row>
    <row r="427">
      <c r="A427" s="22" t="n"/>
      <c r="B427" s="22" t="n"/>
      <c r="C427" s="26" t="n"/>
      <c r="D427" s="26" t="n"/>
      <c r="E427" s="26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6">
        <f>IF(G427="","",IF(TODAY()&gt;=G427,"到期","未到期"))</f>
        <v/>
      </c>
    </row>
    <row r="428">
      <c r="A428" s="22" t="n"/>
      <c r="B428" s="22" t="n"/>
      <c r="C428" s="26" t="n"/>
      <c r="D428" s="26" t="n"/>
      <c r="E428" s="26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6">
        <f>IF(G428="","",IF(TODAY()&gt;=G428,"到期","未到期"))</f>
        <v/>
      </c>
    </row>
    <row r="429">
      <c r="A429" s="22" t="n"/>
      <c r="B429" s="22" t="n"/>
      <c r="C429" s="26" t="n"/>
      <c r="D429" s="26" t="n"/>
      <c r="E429" s="26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6">
        <f>IF(G429="","",IF(TODAY()&gt;=G429,"到期","未到期"))</f>
        <v/>
      </c>
    </row>
    <row r="430">
      <c r="A430" s="22" t="n"/>
      <c r="B430" s="22" t="n"/>
      <c r="C430" s="26" t="n"/>
      <c r="D430" s="26" t="n"/>
      <c r="E430" s="26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6">
        <f>IF(G430="","",IF(TODAY()&gt;=G430,"到期","未到期"))</f>
        <v/>
      </c>
    </row>
    <row r="431">
      <c r="A431" s="22" t="n"/>
      <c r="B431" s="22" t="n"/>
      <c r="C431" s="26" t="n"/>
      <c r="D431" s="26" t="n"/>
      <c r="E431" s="26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6">
        <f>IF(G431="","",IF(TODAY()&gt;=G431,"到期","未到期"))</f>
        <v/>
      </c>
    </row>
    <row r="432">
      <c r="A432" s="22" t="n"/>
      <c r="B432" s="22" t="n"/>
      <c r="C432" s="26" t="n"/>
      <c r="D432" s="26" t="n"/>
      <c r="E432" s="26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6">
        <f>IF(G432="","",IF(TODAY()&gt;=G432,"到期","未到期"))</f>
        <v/>
      </c>
    </row>
    <row r="433">
      <c r="A433" s="22" t="n"/>
      <c r="B433" s="22" t="n"/>
      <c r="C433" s="26" t="n"/>
      <c r="D433" s="26" t="n"/>
      <c r="E433" s="26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6">
        <f>IF(G433="","",IF(TODAY()&gt;=G433,"到期","未到期"))</f>
        <v/>
      </c>
    </row>
    <row r="434">
      <c r="A434" s="22" t="n"/>
      <c r="B434" s="22" t="n"/>
      <c r="C434" s="26" t="n"/>
      <c r="D434" s="26" t="n"/>
      <c r="E434" s="26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6">
        <f>IF(G434="","",IF(TODAY()&gt;=G434,"到期","未到期"))</f>
        <v/>
      </c>
    </row>
    <row r="435">
      <c r="A435" s="22" t="n"/>
      <c r="B435" s="22" t="n"/>
      <c r="C435" s="26" t="n"/>
      <c r="D435" s="26" t="n"/>
      <c r="E435" s="26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6">
        <f>IF(G435="","",IF(TODAY()&gt;=G435,"到期","未到期"))</f>
        <v/>
      </c>
    </row>
    <row r="436">
      <c r="A436" s="22" t="n"/>
      <c r="B436" s="22" t="n"/>
      <c r="C436" s="26" t="n"/>
      <c r="D436" s="26" t="n"/>
      <c r="E436" s="26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6">
        <f>IF(G436="","",IF(TODAY()&gt;=G436,"到期","未到期"))</f>
        <v/>
      </c>
    </row>
    <row r="437">
      <c r="A437" s="22" t="n"/>
      <c r="B437" s="22" t="n"/>
      <c r="C437" s="26" t="n"/>
      <c r="D437" s="26" t="n"/>
      <c r="E437" s="26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6">
        <f>IF(G437="","",IF(TODAY()&gt;=G437,"到期","未到期"))</f>
        <v/>
      </c>
    </row>
    <row r="438">
      <c r="A438" s="22" t="n"/>
      <c r="B438" s="22" t="n"/>
      <c r="C438" s="26" t="n"/>
      <c r="D438" s="26" t="n"/>
      <c r="E438" s="26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6">
        <f>IF(G438="","",IF(TODAY()&gt;=G438,"到期","未到期"))</f>
        <v/>
      </c>
    </row>
    <row r="439">
      <c r="A439" s="22" t="n"/>
      <c r="B439" s="22" t="n"/>
      <c r="C439" s="26" t="n"/>
      <c r="D439" s="26" t="n"/>
      <c r="E439" s="26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6">
        <f>IF(G439="","",IF(TODAY()&gt;=G439,"到期","未到期"))</f>
        <v/>
      </c>
    </row>
    <row r="440">
      <c r="A440" s="22" t="n"/>
      <c r="B440" s="22" t="n"/>
      <c r="C440" s="26" t="n"/>
      <c r="D440" s="26" t="n"/>
      <c r="E440" s="26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6">
        <f>IF(G440="","",IF(TODAY()&gt;=G440,"到期","未到期"))</f>
        <v/>
      </c>
    </row>
    <row r="441">
      <c r="A441" s="22" t="n"/>
      <c r="B441" s="22" t="n"/>
      <c r="C441" s="26" t="n"/>
      <c r="D441" s="26" t="n"/>
      <c r="E441" s="26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6">
        <f>IF(G441="","",IF(TODAY()&gt;=G441,"到期","未到期"))</f>
        <v/>
      </c>
    </row>
    <row r="442">
      <c r="A442" s="22" t="n"/>
      <c r="B442" s="22" t="n"/>
      <c r="C442" s="26" t="n"/>
      <c r="D442" s="26" t="n"/>
      <c r="E442" s="26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6">
        <f>IF(G442="","",IF(TODAY()&gt;=G442,"到期","未到期"))</f>
        <v/>
      </c>
    </row>
    <row r="443">
      <c r="A443" s="22" t="n"/>
      <c r="B443" s="22" t="n"/>
      <c r="C443" s="26" t="n"/>
      <c r="D443" s="26" t="n"/>
      <c r="E443" s="26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6">
        <f>IF(G443="","",IF(TODAY()&gt;=G443,"到期","未到期"))</f>
        <v/>
      </c>
    </row>
    <row r="444">
      <c r="A444" s="22" t="n"/>
      <c r="B444" s="22" t="n"/>
      <c r="C444" s="26" t="n"/>
      <c r="D444" s="26" t="n"/>
      <c r="E444" s="26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6">
        <f>IF(G444="","",IF(TODAY()&gt;=G444,"到期","未到期"))</f>
        <v/>
      </c>
    </row>
    <row r="445">
      <c r="A445" s="22" t="n"/>
      <c r="B445" s="22" t="n"/>
      <c r="C445" s="26" t="n"/>
      <c r="D445" s="26" t="n"/>
      <c r="E445" s="26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6">
        <f>IF(G445="","",IF(TODAY()&gt;=G445,"到期","未到期"))</f>
        <v/>
      </c>
    </row>
    <row r="446">
      <c r="A446" s="22" t="n"/>
      <c r="B446" s="22" t="n"/>
      <c r="C446" s="26" t="n"/>
      <c r="D446" s="26" t="n"/>
      <c r="E446" s="26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6">
        <f>IF(G446="","",IF(TODAY()&gt;=G446,"到期","未到期"))</f>
        <v/>
      </c>
    </row>
    <row r="447">
      <c r="A447" s="22" t="n"/>
      <c r="B447" s="22" t="n"/>
      <c r="C447" s="26" t="n"/>
      <c r="D447" s="26" t="n"/>
      <c r="E447" s="26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6">
        <f>IF(G447="","",IF(TODAY()&gt;=G447,"到期","未到期"))</f>
        <v/>
      </c>
    </row>
    <row r="448">
      <c r="A448" s="22" t="n"/>
      <c r="B448" s="22" t="n"/>
      <c r="C448" s="26" t="n"/>
      <c r="D448" s="26" t="n"/>
      <c r="E448" s="26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6">
        <f>IF(G448="","",IF(TODAY()&gt;=G448,"到期","未到期"))</f>
        <v/>
      </c>
    </row>
    <row r="449">
      <c r="A449" s="22" t="n"/>
      <c r="B449" s="22" t="n"/>
      <c r="C449" s="26" t="n"/>
      <c r="D449" s="26" t="n"/>
      <c r="E449" s="26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6">
        <f>IF(G449="","",IF(TODAY()&gt;=G449,"到期","未到期"))</f>
        <v/>
      </c>
    </row>
    <row r="450">
      <c r="A450" s="22" t="n"/>
      <c r="B450" s="22" t="n"/>
      <c r="C450" s="26" t="n"/>
      <c r="D450" s="26" t="n"/>
      <c r="E450" s="26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6">
        <f>IF(G450="","",IF(TODAY()&gt;=G450,"到期","未到期"))</f>
        <v/>
      </c>
    </row>
    <row r="451">
      <c r="A451" s="22" t="n"/>
      <c r="B451" s="22" t="n"/>
      <c r="C451" s="26" t="n"/>
      <c r="D451" s="26" t="n"/>
      <c r="E451" s="26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6">
        <f>IF(G451="","",IF(TODAY()&gt;=G451,"到期","未到期"))</f>
        <v/>
      </c>
    </row>
    <row r="452">
      <c r="A452" s="22" t="n"/>
      <c r="B452" s="22" t="n"/>
      <c r="C452" s="26" t="n"/>
      <c r="D452" s="26" t="n"/>
      <c r="E452" s="26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6">
        <f>IF(G452="","",IF(TODAY()&gt;=G452,"到期","未到期"))</f>
        <v/>
      </c>
    </row>
    <row r="453">
      <c r="A453" s="22" t="n"/>
      <c r="B453" s="22" t="n"/>
      <c r="C453" s="26" t="n"/>
      <c r="D453" s="26" t="n"/>
      <c r="E453" s="26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6">
        <f>IF(G453="","",IF(TODAY()&gt;=G453,"到期","未到期"))</f>
        <v/>
      </c>
    </row>
    <row r="454">
      <c r="A454" s="22" t="n"/>
      <c r="B454" s="22" t="n"/>
      <c r="C454" s="26" t="n"/>
      <c r="D454" s="26" t="n"/>
      <c r="E454" s="26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6">
        <f>IF(G454="","",IF(TODAY()&gt;=G454,"到期","未到期"))</f>
        <v/>
      </c>
    </row>
    <row r="455">
      <c r="A455" s="22" t="n"/>
      <c r="B455" s="22" t="n"/>
      <c r="C455" s="26" t="n"/>
      <c r="D455" s="26" t="n"/>
      <c r="E455" s="26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6">
        <f>IF(G455="","",IF(TODAY()&gt;=G455,"到期","未到期"))</f>
        <v/>
      </c>
    </row>
    <row r="456">
      <c r="A456" s="22" t="n"/>
      <c r="B456" s="22" t="n"/>
      <c r="C456" s="26" t="n"/>
      <c r="D456" s="26" t="n"/>
      <c r="E456" s="26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6">
        <f>IF(G456="","",IF(TODAY()&gt;=G456,"到期","未到期"))</f>
        <v/>
      </c>
    </row>
    <row r="457">
      <c r="A457" s="22" t="n"/>
      <c r="B457" s="22" t="n"/>
      <c r="C457" s="26" t="n"/>
      <c r="D457" s="26" t="n"/>
      <c r="E457" s="26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6">
        <f>IF(G457="","",IF(TODAY()&gt;=G457,"到期","未到期"))</f>
        <v/>
      </c>
    </row>
    <row r="458">
      <c r="A458" s="22" t="n"/>
      <c r="B458" s="22" t="n"/>
      <c r="C458" s="26" t="n"/>
      <c r="D458" s="26" t="n"/>
      <c r="E458" s="26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6">
        <f>IF(G458="","",IF(TODAY()&gt;=G458,"到期","未到期"))</f>
        <v/>
      </c>
    </row>
    <row r="459">
      <c r="A459" s="22" t="n"/>
      <c r="B459" s="22" t="n"/>
      <c r="C459" s="26" t="n"/>
      <c r="D459" s="26" t="n"/>
      <c r="E459" s="26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6">
        <f>IF(G459="","",IF(TODAY()&gt;=G459,"到期","未到期"))</f>
        <v/>
      </c>
    </row>
    <row r="460">
      <c r="A460" s="22" t="n"/>
      <c r="B460" s="22" t="n"/>
      <c r="C460" s="26" t="n"/>
      <c r="D460" s="26" t="n"/>
      <c r="E460" s="26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6">
        <f>IF(G460="","",IF(TODAY()&gt;=G460,"到期","未到期"))</f>
        <v/>
      </c>
    </row>
    <row r="461">
      <c r="A461" s="22" t="n"/>
      <c r="B461" s="22" t="n"/>
      <c r="C461" s="26" t="n"/>
      <c r="D461" s="26" t="n"/>
      <c r="E461" s="26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6">
        <f>IF(G461="","",IF(TODAY()&gt;=G461,"到期","未到期"))</f>
        <v/>
      </c>
    </row>
    <row r="462">
      <c r="A462" s="22" t="n"/>
      <c r="B462" s="22" t="n"/>
      <c r="C462" s="26" t="n"/>
      <c r="D462" s="26" t="n"/>
      <c r="E462" s="26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6">
        <f>IF(G462="","",IF(TODAY()&gt;=G462,"到期","未到期"))</f>
        <v/>
      </c>
    </row>
    <row r="463">
      <c r="A463" s="22" t="n"/>
      <c r="B463" s="22" t="n"/>
      <c r="C463" s="26" t="n"/>
      <c r="D463" s="26" t="n"/>
      <c r="E463" s="26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6">
        <f>IF(G463="","",IF(TODAY()&gt;=G463,"到期","未到期"))</f>
        <v/>
      </c>
    </row>
    <row r="464">
      <c r="A464" s="22" t="n"/>
      <c r="B464" s="22" t="n"/>
      <c r="C464" s="26" t="n"/>
      <c r="D464" s="26" t="n"/>
      <c r="E464" s="26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6">
        <f>IF(G464="","",IF(TODAY()&gt;=G464,"到期","未到期"))</f>
        <v/>
      </c>
    </row>
    <row r="465">
      <c r="A465" s="22" t="n"/>
      <c r="B465" s="22" t="n"/>
      <c r="C465" s="26" t="n"/>
      <c r="D465" s="26" t="n"/>
      <c r="E465" s="26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6">
        <f>IF(G465="","",IF(TODAY()&gt;=G465,"到期","未到期"))</f>
        <v/>
      </c>
    </row>
    <row r="466">
      <c r="A466" s="22" t="n"/>
      <c r="B466" s="22" t="n"/>
      <c r="C466" s="26" t="n"/>
      <c r="D466" s="26" t="n"/>
      <c r="E466" s="26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6">
        <f>IF(G466="","",IF(TODAY()&gt;=G466,"到期","未到期"))</f>
        <v/>
      </c>
    </row>
    <row r="467">
      <c r="A467" s="22" t="n"/>
      <c r="B467" s="22" t="n"/>
      <c r="C467" s="26" t="n"/>
      <c r="D467" s="26" t="n"/>
      <c r="E467" s="26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6">
        <f>IF(G467="","",IF(TODAY()&gt;=G467,"到期","未到期"))</f>
        <v/>
      </c>
    </row>
    <row r="468">
      <c r="A468" s="22" t="n"/>
      <c r="B468" s="22" t="n"/>
      <c r="C468" s="26" t="n"/>
      <c r="D468" s="26" t="n"/>
      <c r="E468" s="26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6">
        <f>IF(G468="","",IF(TODAY()&gt;=G468,"到期","未到期"))</f>
        <v/>
      </c>
    </row>
    <row r="469">
      <c r="A469" s="22" t="n"/>
      <c r="B469" s="22" t="n"/>
      <c r="C469" s="26" t="n"/>
      <c r="D469" s="26" t="n"/>
      <c r="E469" s="26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6">
        <f>IF(G469="","",IF(TODAY()&gt;=G469,"到期","未到期"))</f>
        <v/>
      </c>
    </row>
    <row r="470">
      <c r="A470" s="22" t="n"/>
      <c r="B470" s="22" t="n"/>
      <c r="C470" s="26" t="n"/>
      <c r="D470" s="26" t="n"/>
      <c r="E470" s="26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6">
        <f>IF(G470="","",IF(TODAY()&gt;=G470,"到期","未到期"))</f>
        <v/>
      </c>
    </row>
    <row r="471">
      <c r="A471" s="22" t="n"/>
      <c r="B471" s="22" t="n"/>
      <c r="C471" s="26" t="n"/>
      <c r="D471" s="26" t="n"/>
      <c r="E471" s="26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6">
        <f>IF(G471="","",IF(TODAY()&gt;=G471,"到期","未到期"))</f>
        <v/>
      </c>
    </row>
    <row r="472">
      <c r="A472" s="22" t="n"/>
      <c r="B472" s="22" t="n"/>
      <c r="C472" s="26" t="n"/>
      <c r="D472" s="26" t="n"/>
      <c r="E472" s="26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6">
        <f>IF(G472="","",IF(TODAY()&gt;=G472,"到期","未到期"))</f>
        <v/>
      </c>
    </row>
    <row r="473">
      <c r="A473" s="22" t="n"/>
      <c r="B473" s="22" t="n"/>
      <c r="C473" s="26" t="n"/>
      <c r="D473" s="26" t="n"/>
      <c r="E473" s="26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6">
        <f>IF(G473="","",IF(TODAY()&gt;=G473,"到期","未到期"))</f>
        <v/>
      </c>
    </row>
    <row r="474">
      <c r="A474" s="22" t="n"/>
      <c r="B474" s="22" t="n"/>
      <c r="C474" s="26" t="n"/>
      <c r="D474" s="26" t="n"/>
      <c r="E474" s="26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6">
        <f>IF(G474="","",IF(TODAY()&gt;=G474,"到期","未到期"))</f>
        <v/>
      </c>
    </row>
    <row r="475">
      <c r="A475" s="22" t="n"/>
      <c r="B475" s="22" t="n"/>
      <c r="C475" s="26" t="n"/>
      <c r="D475" s="26" t="n"/>
      <c r="E475" s="26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6">
        <f>IF(G475="","",IF(TODAY()&gt;=G475,"到期","未到期"))</f>
        <v/>
      </c>
    </row>
    <row r="476">
      <c r="A476" s="22" t="n"/>
      <c r="B476" s="22" t="n"/>
      <c r="C476" s="26" t="n"/>
      <c r="D476" s="26" t="n"/>
      <c r="E476" s="26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6">
        <f>IF(G476="","",IF(TODAY()&gt;=G476,"到期","未到期"))</f>
        <v/>
      </c>
    </row>
    <row r="477">
      <c r="A477" s="22" t="n"/>
      <c r="B477" s="22" t="n"/>
      <c r="C477" s="26" t="n"/>
      <c r="D477" s="26" t="n"/>
      <c r="E477" s="26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6">
        <f>IF(G477="","",IF(TODAY()&gt;=G477,"到期","未到期"))</f>
        <v/>
      </c>
    </row>
    <row r="478">
      <c r="A478" s="22" t="n"/>
      <c r="B478" s="22" t="n"/>
      <c r="C478" s="26" t="n"/>
      <c r="D478" s="26" t="n"/>
      <c r="E478" s="26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6">
        <f>IF(G478="","",IF(TODAY()&gt;=G478,"到期","未到期"))</f>
        <v/>
      </c>
    </row>
    <row r="479">
      <c r="A479" s="22" t="n"/>
      <c r="B479" s="22" t="n"/>
      <c r="C479" s="26" t="n"/>
      <c r="D479" s="26" t="n"/>
      <c r="E479" s="26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6">
        <f>IF(G479="","",IF(TODAY()&gt;=G479,"到期","未到期"))</f>
        <v/>
      </c>
    </row>
    <row r="480">
      <c r="A480" s="22" t="n"/>
      <c r="B480" s="22" t="n"/>
      <c r="C480" s="26" t="n"/>
      <c r="D480" s="26" t="n"/>
      <c r="E480" s="26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6">
        <f>IF(G480="","",IF(TODAY()&gt;=G480,"到期","未到期"))</f>
        <v/>
      </c>
    </row>
    <row r="481">
      <c r="A481" s="22" t="n"/>
      <c r="B481" s="22" t="n"/>
      <c r="C481" s="26" t="n"/>
      <c r="D481" s="26" t="n"/>
      <c r="E481" s="26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6">
        <f>IF(G481="","",IF(TODAY()&gt;=G481,"到期","未到期"))</f>
        <v/>
      </c>
    </row>
    <row r="482">
      <c r="A482" s="22" t="n"/>
      <c r="B482" s="22" t="n"/>
      <c r="C482" s="26" t="n"/>
      <c r="D482" s="26" t="n"/>
      <c r="E482" s="26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6">
        <f>IF(G482="","",IF(TODAY()&gt;=G482,"到期","未到期"))</f>
        <v/>
      </c>
    </row>
    <row r="483">
      <c r="A483" s="22" t="n"/>
      <c r="B483" s="22" t="n"/>
      <c r="C483" s="26" t="n"/>
      <c r="D483" s="26" t="n"/>
      <c r="E483" s="26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6">
        <f>IF(G483="","",IF(TODAY()&gt;=G483,"到期","未到期"))</f>
        <v/>
      </c>
    </row>
    <row r="484">
      <c r="A484" s="22" t="n"/>
      <c r="B484" s="22" t="n"/>
      <c r="C484" s="26" t="n"/>
      <c r="D484" s="26" t="n"/>
      <c r="E484" s="26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6">
        <f>IF(G484="","",IF(TODAY()&gt;=G484,"到期","未到期"))</f>
        <v/>
      </c>
    </row>
    <row r="485">
      <c r="A485" s="22" t="n"/>
      <c r="B485" s="22" t="n"/>
      <c r="C485" s="26" t="n"/>
      <c r="D485" s="26" t="n"/>
      <c r="E485" s="26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6">
        <f>IF(G485="","",IF(TODAY()&gt;=G485,"到期","未到期"))</f>
        <v/>
      </c>
    </row>
    <row r="486">
      <c r="A486" s="22" t="n"/>
      <c r="B486" s="22" t="n"/>
      <c r="C486" s="26" t="n"/>
      <c r="D486" s="26" t="n"/>
      <c r="E486" s="26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6">
        <f>IF(G486="","",IF(TODAY()&gt;=G486,"到期","未到期"))</f>
        <v/>
      </c>
    </row>
    <row r="487">
      <c r="A487" s="22" t="n"/>
      <c r="B487" s="22" t="n"/>
      <c r="C487" s="26" t="n"/>
      <c r="D487" s="26" t="n"/>
      <c r="E487" s="26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6">
        <f>IF(G487="","",IF(TODAY()&gt;=G487,"到期","未到期"))</f>
        <v/>
      </c>
    </row>
    <row r="488">
      <c r="A488" s="22" t="n"/>
      <c r="B488" s="22" t="n"/>
      <c r="C488" s="26" t="n"/>
      <c r="D488" s="26" t="n"/>
      <c r="E488" s="26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6">
        <f>IF(G488="","",IF(TODAY()&gt;=G488,"到期","未到期"))</f>
        <v/>
      </c>
    </row>
    <row r="489">
      <c r="A489" s="22" t="n"/>
      <c r="B489" s="22" t="n"/>
      <c r="C489" s="26" t="n"/>
      <c r="D489" s="26" t="n"/>
      <c r="E489" s="26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6">
        <f>IF(G489="","",IF(TODAY()&gt;=G489,"到期","未到期"))</f>
        <v/>
      </c>
    </row>
    <row r="490">
      <c r="A490" s="22" t="n"/>
      <c r="B490" s="22" t="n"/>
      <c r="C490" s="26" t="n"/>
      <c r="D490" s="26" t="n"/>
      <c r="E490" s="26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6">
        <f>IF(G490="","",IF(TODAY()&gt;=G490,"到期","未到期"))</f>
        <v/>
      </c>
    </row>
    <row r="491">
      <c r="A491" s="22" t="n"/>
      <c r="B491" s="22" t="n"/>
      <c r="C491" s="26" t="n"/>
      <c r="D491" s="26" t="n"/>
      <c r="E491" s="26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6">
        <f>IF(G491="","",IF(TODAY()&gt;=G491,"到期","未到期"))</f>
        <v/>
      </c>
    </row>
    <row r="492">
      <c r="A492" s="22" t="n"/>
      <c r="B492" s="22" t="n"/>
      <c r="C492" s="26" t="n"/>
      <c r="D492" s="26" t="n"/>
      <c r="E492" s="26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6">
        <f>IF(G492="","",IF(TODAY()&gt;=G492,"到期","未到期"))</f>
        <v/>
      </c>
    </row>
    <row r="493">
      <c r="A493" s="22" t="n"/>
      <c r="B493" s="22" t="n"/>
      <c r="C493" s="26" t="n"/>
      <c r="D493" s="26" t="n"/>
      <c r="E493" s="26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6">
        <f>IF(G493="","",IF(TODAY()&gt;=G493,"到期","未到期"))</f>
        <v/>
      </c>
    </row>
    <row r="494">
      <c r="A494" s="22" t="n"/>
      <c r="B494" s="22" t="n"/>
      <c r="C494" s="26" t="n"/>
      <c r="D494" s="26" t="n"/>
      <c r="E494" s="26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6">
        <f>IF(G494="","",IF(TODAY()&gt;=G494,"到期","未到期"))</f>
        <v/>
      </c>
    </row>
    <row r="495">
      <c r="A495" s="22" t="n"/>
      <c r="B495" s="22" t="n"/>
      <c r="C495" s="26" t="n"/>
      <c r="D495" s="26" t="n"/>
      <c r="E495" s="26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6">
        <f>IF(G495="","",IF(TODAY()&gt;=G495,"到期","未到期"))</f>
        <v/>
      </c>
    </row>
    <row r="496">
      <c r="A496" s="22" t="n"/>
      <c r="B496" s="22" t="n"/>
      <c r="C496" s="26" t="n"/>
      <c r="D496" s="26" t="n"/>
      <c r="E496" s="26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6">
        <f>IF(G496="","",IF(TODAY()&gt;=G496,"到期","未到期"))</f>
        <v/>
      </c>
    </row>
    <row r="497">
      <c r="A497" s="22" t="n"/>
      <c r="B497" s="22" t="n"/>
      <c r="C497" s="26" t="n"/>
      <c r="D497" s="26" t="n"/>
      <c r="E497" s="26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6">
        <f>IF(G497="","",IF(TODAY()&gt;=G497,"到期","未到期"))</f>
        <v/>
      </c>
    </row>
    <row r="498">
      <c r="A498" s="22" t="n"/>
      <c r="B498" s="22" t="n"/>
      <c r="C498" s="26" t="n"/>
      <c r="D498" s="26" t="n"/>
      <c r="E498" s="26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6">
        <f>IF(G498="","",IF(TODAY()&gt;=G498,"到期","未到期"))</f>
        <v/>
      </c>
    </row>
    <row r="499">
      <c r="A499" s="22" t="n"/>
      <c r="B499" s="22" t="n"/>
      <c r="C499" s="26" t="n"/>
      <c r="D499" s="26" t="n"/>
      <c r="E499" s="26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6">
        <f>IF(G499="","",IF(TODAY()&gt;=G499,"到期","未到期"))</f>
        <v/>
      </c>
    </row>
    <row r="500">
      <c r="A500" s="22" t="n"/>
      <c r="B500" s="22" t="n"/>
      <c r="C500" s="26" t="n"/>
      <c r="D500" s="26" t="n"/>
      <c r="E500" s="26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6">
        <f>IF(G500="","",IF(TODAY()&gt;=G500,"到期","未到期"))</f>
        <v/>
      </c>
    </row>
    <row r="501">
      <c r="A501" s="22" t="n"/>
      <c r="B501" s="22" t="n"/>
      <c r="C501" s="26" t="n"/>
      <c r="D501" s="26" t="n"/>
      <c r="E501" s="26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6">
        <f>IF(G501="","",IF(TODAY()&gt;=G501,"到期","未到期"))</f>
        <v/>
      </c>
    </row>
  </sheetData>
  <autoFilter ref="A1:P1"/>
  <conditionalFormatting sqref="K2:K501">
    <cfRule type="expression" priority="1" dxfId="4">
      <formula>$K2="正确"</formula>
    </cfRule>
    <cfRule type="expression" priority="2" dxfId="5">
      <formula>$K2="部分正确"</formula>
    </cfRule>
    <cfRule type="expression" priority="3" dxfId="6">
      <formula>$K2="错误"</formula>
    </cfRule>
  </conditionalFormatting>
  <dataValidations count="6">
    <dataValidation sqref="E2:E501" showDropDown="0" showInputMessage="0" showErrorMessage="0" allowBlank="1" type="list">
      <formula1>=选项!$B$8:$J$8</formula1>
    </dataValidation>
    <dataValidation sqref="F2:F501" showDropDown="0" showInputMessage="0" showErrorMessage="0" allowBlank="1" type="list">
      <formula1>=选项!$B$14:$D$14</formula1>
    </dataValidation>
    <dataValidation sqref="I2:I501" showDropDown="0" showInputMessage="0" showErrorMessage="0" allowBlank="1" type="list">
      <formula1>=选项!$B$15:$E$15</formula1>
    </dataValidation>
    <dataValidation sqref="K2:K501" showDropDown="0" showInputMessage="0" showErrorMessage="0" allowBlank="1" type="list">
      <formula1>=选项!$B$16:$E$16</formula1>
    </dataValidation>
    <dataValidation sqref="L2:L501" showDropDown="0" showInputMessage="0" showErrorMessage="0" allowBlank="1" type="list">
      <formula1>=选项!$B$24:$E$24</formula1>
    </dataValidation>
    <dataValidation sqref="M2:M501" showDropDown="0" showInputMessage="0" showErrorMessage="0" allowBlank="1" type="list">
      <formula1>=选项!$B$17:$J$17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01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2"/>
    <col width="14" customWidth="1" min="3" max="3"/>
    <col width="12" customWidth="1" min="4" max="4"/>
    <col width="28" customWidth="1" min="5" max="5"/>
    <col width="12" customWidth="1" min="6" max="15"/>
    <col width="28" customWidth="1" min="16" max="16"/>
    <col width="24" customWidth="1" min="17" max="17"/>
  </cols>
  <sheetData>
    <row r="1" ht="17" customHeight="1">
      <c r="A1" s="2" t="inlineStr">
        <is>
          <t>交易ID</t>
        </is>
      </c>
      <c r="B1" s="2" t="inlineStr">
        <is>
          <t>来源记录ID</t>
        </is>
      </c>
      <c r="C1" s="2" t="inlineStr">
        <is>
          <t>股票</t>
        </is>
      </c>
      <c r="D1" s="2" t="inlineStr">
        <is>
          <t>买入日期</t>
        </is>
      </c>
      <c r="E1" s="2" t="inlineStr">
        <is>
          <t>买入理由</t>
        </is>
      </c>
      <c r="F1" s="2" t="inlineStr">
        <is>
          <t>买入价</t>
        </is>
      </c>
      <c r="G1" s="2" t="inlineStr">
        <is>
          <t>止损价</t>
        </is>
      </c>
      <c r="H1" s="2" t="inlineStr">
        <is>
          <t>目标价</t>
        </is>
      </c>
      <c r="I1" s="2" t="inlineStr">
        <is>
          <t>仓位类型</t>
        </is>
      </c>
      <c r="J1" s="2" t="inlineStr">
        <is>
          <t>卖出日期</t>
        </is>
      </c>
      <c r="K1" s="2" t="inlineStr">
        <is>
          <t>卖出价</t>
        </is>
      </c>
      <c r="L1" s="2" t="inlineStr">
        <is>
          <t>收益率</t>
        </is>
      </c>
      <c r="M1" s="2" t="inlineStr">
        <is>
          <t>止损距离</t>
        </is>
      </c>
      <c r="N1" s="2" t="inlineStr">
        <is>
          <t>风险收益比</t>
        </is>
      </c>
      <c r="O1" s="2" t="inlineStr">
        <is>
          <t>结果</t>
        </is>
      </c>
      <c r="P1" s="2" t="inlineStr">
        <is>
          <t>主要问题</t>
        </is>
      </c>
      <c r="Q1" s="2" t="inlineStr">
        <is>
          <t>备注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11">
        <f>IF(OR(F2="",K2=""),"",(K2-F2)/F2)</f>
        <v/>
      </c>
      <c r="M2" s="11">
        <f>IF(OR(F2="",G2=""),"",(G2-F2)/F2)</f>
        <v/>
      </c>
      <c r="N2" s="8">
        <f>IF(OR(F2="",G2="",H2=""),"",(H2-F2)/(F2-G2))</f>
        <v/>
      </c>
      <c r="O2" s="3" t="n"/>
      <c r="P2" s="3" t="n"/>
      <c r="Q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11">
        <f>IF(OR(F3="",K3=""),"",(K3-F3)/F3)</f>
        <v/>
      </c>
      <c r="M3" s="11">
        <f>IF(OR(F3="",G3=""),"",(G3-F3)/F3)</f>
        <v/>
      </c>
      <c r="N3" s="8">
        <f>IF(OR(F3="",G3="",H3=""),"",(H3-F3)/(F3-G3))</f>
        <v/>
      </c>
      <c r="O3" s="3" t="n"/>
      <c r="P3" s="3" t="n"/>
      <c r="Q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11">
        <f>IF(OR(F4="",K4=""),"",(K4-F4)/F4)</f>
        <v/>
      </c>
      <c r="M4" s="11">
        <f>IF(OR(F4="",G4=""),"",(G4-F4)/F4)</f>
        <v/>
      </c>
      <c r="N4" s="8">
        <f>IF(OR(F4="",G4="",H4=""),"",(H4-F4)/(F4-G4))</f>
        <v/>
      </c>
      <c r="O4" s="3" t="n"/>
      <c r="P4" s="3" t="n"/>
      <c r="Q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11">
        <f>IF(OR(F5="",K5=""),"",(K5-F5)/F5)</f>
        <v/>
      </c>
      <c r="M5" s="11">
        <f>IF(OR(F5="",G5=""),"",(G5-F5)/F5)</f>
        <v/>
      </c>
      <c r="N5" s="8">
        <f>IF(OR(F5="",G5="",H5=""),"",(H5-F5)/(F5-G5))</f>
        <v/>
      </c>
      <c r="O5" s="3" t="n"/>
      <c r="P5" s="3" t="n"/>
      <c r="Q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11">
        <f>IF(OR(F6="",K6=""),"",(K6-F6)/F6)</f>
        <v/>
      </c>
      <c r="M6" s="11">
        <f>IF(OR(F6="",G6=""),"",(G6-F6)/F6)</f>
        <v/>
      </c>
      <c r="N6" s="8">
        <f>IF(OR(F6="",G6="",H6=""),"",(H6-F6)/(F6-G6))</f>
        <v/>
      </c>
      <c r="O6" s="3" t="n"/>
      <c r="P6" s="3" t="n"/>
      <c r="Q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11">
        <f>IF(OR(F7="",K7=""),"",(K7-F7)/F7)</f>
        <v/>
      </c>
      <c r="M7" s="11">
        <f>IF(OR(F7="",G7=""),"",(G7-F7)/F7)</f>
        <v/>
      </c>
      <c r="N7" s="8">
        <f>IF(OR(F7="",G7="",H7=""),"",(H7-F7)/(F7-G7))</f>
        <v/>
      </c>
      <c r="O7" s="3" t="n"/>
      <c r="P7" s="3" t="n"/>
      <c r="Q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11">
        <f>IF(OR(F8="",K8=""),"",(K8-F8)/F8)</f>
        <v/>
      </c>
      <c r="M8" s="11">
        <f>IF(OR(F8="",G8=""),"",(G8-F8)/F8)</f>
        <v/>
      </c>
      <c r="N8" s="8">
        <f>IF(OR(F8="",G8="",H8=""),"",(H8-F8)/(F8-G8))</f>
        <v/>
      </c>
      <c r="O8" s="3" t="n"/>
      <c r="P8" s="3" t="n"/>
      <c r="Q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11">
        <f>IF(OR(F9="",K9=""),"",(K9-F9)/F9)</f>
        <v/>
      </c>
      <c r="M9" s="11">
        <f>IF(OR(F9="",G9=""),"",(G9-F9)/F9)</f>
        <v/>
      </c>
      <c r="N9" s="8">
        <f>IF(OR(F9="",G9="",H9=""),"",(H9-F9)/(F9-G9))</f>
        <v/>
      </c>
      <c r="O9" s="3" t="n"/>
      <c r="P9" s="3" t="n"/>
      <c r="Q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11">
        <f>IF(OR(F10="",K10=""),"",(K10-F10)/F10)</f>
        <v/>
      </c>
      <c r="M10" s="11">
        <f>IF(OR(F10="",G10=""),"",(G10-F10)/F10)</f>
        <v/>
      </c>
      <c r="N10" s="8">
        <f>IF(OR(F10="",G10="",H10=""),"",(H10-F10)/(F10-G10))</f>
        <v/>
      </c>
      <c r="O10" s="3" t="n"/>
      <c r="P10" s="3" t="n"/>
      <c r="Q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11">
        <f>IF(OR(F11="",K11=""),"",(K11-F11)/F11)</f>
        <v/>
      </c>
      <c r="M11" s="11">
        <f>IF(OR(F11="",G11=""),"",(G11-F11)/F11)</f>
        <v/>
      </c>
      <c r="N11" s="8">
        <f>IF(OR(F11="",G11="",H11=""),"",(H11-F11)/(F11-G11))</f>
        <v/>
      </c>
      <c r="O11" s="3" t="n"/>
      <c r="P11" s="3" t="n"/>
      <c r="Q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11">
        <f>IF(OR(F12="",K12=""),"",(K12-F12)/F12)</f>
        <v/>
      </c>
      <c r="M12" s="11">
        <f>IF(OR(F12="",G12=""),"",(G12-F12)/F12)</f>
        <v/>
      </c>
      <c r="N12" s="8">
        <f>IF(OR(F12="",G12="",H12=""),"",(H12-F12)/(F12-G12))</f>
        <v/>
      </c>
      <c r="O12" s="3" t="n"/>
      <c r="P12" s="3" t="n"/>
      <c r="Q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11">
        <f>IF(OR(F13="",K13=""),"",(K13-F13)/F13)</f>
        <v/>
      </c>
      <c r="M13" s="11">
        <f>IF(OR(F13="",G13=""),"",(G13-F13)/F13)</f>
        <v/>
      </c>
      <c r="N13" s="8">
        <f>IF(OR(F13="",G13="",H13=""),"",(H13-F13)/(F13-G13))</f>
        <v/>
      </c>
      <c r="O13" s="3" t="n"/>
      <c r="P13" s="3" t="n"/>
      <c r="Q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11">
        <f>IF(OR(F14="",K14=""),"",(K14-F14)/F14)</f>
        <v/>
      </c>
      <c r="M14" s="11">
        <f>IF(OR(F14="",G14=""),"",(G14-F14)/F14)</f>
        <v/>
      </c>
      <c r="N14" s="8">
        <f>IF(OR(F14="",G14="",H14=""),"",(H14-F14)/(F14-G14))</f>
        <v/>
      </c>
      <c r="O14" s="3" t="n"/>
      <c r="P14" s="3" t="n"/>
      <c r="Q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11">
        <f>IF(OR(F15="",K15=""),"",(K15-F15)/F15)</f>
        <v/>
      </c>
      <c r="M15" s="11">
        <f>IF(OR(F15="",G15=""),"",(G15-F15)/F15)</f>
        <v/>
      </c>
      <c r="N15" s="8">
        <f>IF(OR(F15="",G15="",H15=""),"",(H15-F15)/(F15-G15))</f>
        <v/>
      </c>
      <c r="O15" s="3" t="n"/>
      <c r="P15" s="3" t="n"/>
      <c r="Q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11">
        <f>IF(OR(F16="",K16=""),"",(K16-F16)/F16)</f>
        <v/>
      </c>
      <c r="M16" s="11">
        <f>IF(OR(F16="",G16=""),"",(G16-F16)/F16)</f>
        <v/>
      </c>
      <c r="N16" s="8">
        <f>IF(OR(F16="",G16="",H16=""),"",(H16-F16)/(F16-G16))</f>
        <v/>
      </c>
      <c r="O16" s="3" t="n"/>
      <c r="P16" s="3" t="n"/>
      <c r="Q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11">
        <f>IF(OR(F17="",K17=""),"",(K17-F17)/F17)</f>
        <v/>
      </c>
      <c r="M17" s="11">
        <f>IF(OR(F17="",G17=""),"",(G17-F17)/F17)</f>
        <v/>
      </c>
      <c r="N17" s="8">
        <f>IF(OR(F17="",G17="",H17=""),"",(H17-F17)/(F17-G17))</f>
        <v/>
      </c>
      <c r="O17" s="3" t="n"/>
      <c r="P17" s="3" t="n"/>
      <c r="Q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11">
        <f>IF(OR(F18="",K18=""),"",(K18-F18)/F18)</f>
        <v/>
      </c>
      <c r="M18" s="11">
        <f>IF(OR(F18="",G18=""),"",(G18-F18)/F18)</f>
        <v/>
      </c>
      <c r="N18" s="8">
        <f>IF(OR(F18="",G18="",H18=""),"",(H18-F18)/(F18-G18))</f>
        <v/>
      </c>
      <c r="O18" s="3" t="n"/>
      <c r="P18" s="3" t="n"/>
      <c r="Q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11">
        <f>IF(OR(F19="",K19=""),"",(K19-F19)/F19)</f>
        <v/>
      </c>
      <c r="M19" s="11">
        <f>IF(OR(F19="",G19=""),"",(G19-F19)/F19)</f>
        <v/>
      </c>
      <c r="N19" s="8">
        <f>IF(OR(F19="",G19="",H19=""),"",(H19-F19)/(F19-G19))</f>
        <v/>
      </c>
      <c r="O19" s="3" t="n"/>
      <c r="P19" s="3" t="n"/>
      <c r="Q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11">
        <f>IF(OR(F20="",K20=""),"",(K20-F20)/F20)</f>
        <v/>
      </c>
      <c r="M20" s="11">
        <f>IF(OR(F20="",G20=""),"",(G20-F20)/F20)</f>
        <v/>
      </c>
      <c r="N20" s="8">
        <f>IF(OR(F20="",G20="",H20=""),"",(H20-F20)/(F20-G20))</f>
        <v/>
      </c>
      <c r="O20" s="3" t="n"/>
      <c r="P20" s="3" t="n"/>
      <c r="Q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11">
        <f>IF(OR(F21="",K21=""),"",(K21-F21)/F21)</f>
        <v/>
      </c>
      <c r="M21" s="11">
        <f>IF(OR(F21="",G21=""),"",(G21-F21)/F21)</f>
        <v/>
      </c>
      <c r="N21" s="8">
        <f>IF(OR(F21="",G21="",H21=""),"",(H21-F21)/(F21-G21))</f>
        <v/>
      </c>
      <c r="O21" s="3" t="n"/>
      <c r="P21" s="3" t="n"/>
      <c r="Q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11">
        <f>IF(OR(F22="",K22=""),"",(K22-F22)/F22)</f>
        <v/>
      </c>
      <c r="M22" s="11">
        <f>IF(OR(F22="",G22=""),"",(G22-F22)/F22)</f>
        <v/>
      </c>
      <c r="N22" s="8">
        <f>IF(OR(F22="",G22="",H22=""),"",(H22-F22)/(F22-G22))</f>
        <v/>
      </c>
      <c r="O22" s="3" t="n"/>
      <c r="P22" s="3" t="n"/>
      <c r="Q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11">
        <f>IF(OR(F23="",K23=""),"",(K23-F23)/F23)</f>
        <v/>
      </c>
      <c r="M23" s="11">
        <f>IF(OR(F23="",G23=""),"",(G23-F23)/F23)</f>
        <v/>
      </c>
      <c r="N23" s="8">
        <f>IF(OR(F23="",G23="",H23=""),"",(H23-F23)/(F23-G23))</f>
        <v/>
      </c>
      <c r="O23" s="3" t="n"/>
      <c r="P23" s="3" t="n"/>
      <c r="Q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11">
        <f>IF(OR(F24="",K24=""),"",(K24-F24)/F24)</f>
        <v/>
      </c>
      <c r="M24" s="11">
        <f>IF(OR(F24="",G24=""),"",(G24-F24)/F24)</f>
        <v/>
      </c>
      <c r="N24" s="8">
        <f>IF(OR(F24="",G24="",H24=""),"",(H24-F24)/(F24-G24))</f>
        <v/>
      </c>
      <c r="O24" s="3" t="n"/>
      <c r="P24" s="3" t="n"/>
      <c r="Q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11">
        <f>IF(OR(F25="",K25=""),"",(K25-F25)/F25)</f>
        <v/>
      </c>
      <c r="M25" s="11">
        <f>IF(OR(F25="",G25=""),"",(G25-F25)/F25)</f>
        <v/>
      </c>
      <c r="N25" s="8">
        <f>IF(OR(F25="",G25="",H25=""),"",(H25-F25)/(F25-G25))</f>
        <v/>
      </c>
      <c r="O25" s="3" t="n"/>
      <c r="P25" s="3" t="n"/>
      <c r="Q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11">
        <f>IF(OR(F26="",K26=""),"",(K26-F26)/F26)</f>
        <v/>
      </c>
      <c r="M26" s="11">
        <f>IF(OR(F26="",G26=""),"",(G26-F26)/F26)</f>
        <v/>
      </c>
      <c r="N26" s="8">
        <f>IF(OR(F26="",G26="",H26=""),"",(H26-F26)/(F26-G26))</f>
        <v/>
      </c>
      <c r="O26" s="3" t="n"/>
      <c r="P26" s="3" t="n"/>
      <c r="Q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11">
        <f>IF(OR(F27="",K27=""),"",(K27-F27)/F27)</f>
        <v/>
      </c>
      <c r="M27" s="11">
        <f>IF(OR(F27="",G27=""),"",(G27-F27)/F27)</f>
        <v/>
      </c>
      <c r="N27" s="8">
        <f>IF(OR(F27="",G27="",H27=""),"",(H27-F27)/(F27-G27))</f>
        <v/>
      </c>
      <c r="O27" s="3" t="n"/>
      <c r="P27" s="3" t="n"/>
      <c r="Q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11">
        <f>IF(OR(F28="",K28=""),"",(K28-F28)/F28)</f>
        <v/>
      </c>
      <c r="M28" s="11">
        <f>IF(OR(F28="",G28=""),"",(G28-F28)/F28)</f>
        <v/>
      </c>
      <c r="N28" s="8">
        <f>IF(OR(F28="",G28="",H28=""),"",(H28-F28)/(F28-G28))</f>
        <v/>
      </c>
      <c r="O28" s="3" t="n"/>
      <c r="P28" s="3" t="n"/>
      <c r="Q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11">
        <f>IF(OR(F29="",K29=""),"",(K29-F29)/F29)</f>
        <v/>
      </c>
      <c r="M29" s="11">
        <f>IF(OR(F29="",G29=""),"",(G29-F29)/F29)</f>
        <v/>
      </c>
      <c r="N29" s="8">
        <f>IF(OR(F29="",G29="",H29=""),"",(H29-F29)/(F29-G29))</f>
        <v/>
      </c>
      <c r="O29" s="3" t="n"/>
      <c r="P29" s="3" t="n"/>
      <c r="Q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11">
        <f>IF(OR(F30="",K30=""),"",(K30-F30)/F30)</f>
        <v/>
      </c>
      <c r="M30" s="11">
        <f>IF(OR(F30="",G30=""),"",(G30-F30)/F30)</f>
        <v/>
      </c>
      <c r="N30" s="8">
        <f>IF(OR(F30="",G30="",H30=""),"",(H30-F30)/(F30-G30))</f>
        <v/>
      </c>
      <c r="O30" s="3" t="n"/>
      <c r="P30" s="3" t="n"/>
      <c r="Q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11">
        <f>IF(OR(F31="",K31=""),"",(K31-F31)/F31)</f>
        <v/>
      </c>
      <c r="M31" s="11">
        <f>IF(OR(F31="",G31=""),"",(G31-F31)/F31)</f>
        <v/>
      </c>
      <c r="N31" s="8">
        <f>IF(OR(F31="",G31="",H31=""),"",(H31-F31)/(F31-G31))</f>
        <v/>
      </c>
      <c r="O31" s="3" t="n"/>
      <c r="P31" s="3" t="n"/>
      <c r="Q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11">
        <f>IF(OR(F32="",K32=""),"",(K32-F32)/F32)</f>
        <v/>
      </c>
      <c r="M32" s="11">
        <f>IF(OR(F32="",G32=""),"",(G32-F32)/F32)</f>
        <v/>
      </c>
      <c r="N32" s="8">
        <f>IF(OR(F32="",G32="",H32=""),"",(H32-F32)/(F32-G32))</f>
        <v/>
      </c>
      <c r="O32" s="3" t="n"/>
      <c r="P32" s="3" t="n"/>
      <c r="Q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11">
        <f>IF(OR(F33="",K33=""),"",(K33-F33)/F33)</f>
        <v/>
      </c>
      <c r="M33" s="11">
        <f>IF(OR(F33="",G33=""),"",(G33-F33)/F33)</f>
        <v/>
      </c>
      <c r="N33" s="8">
        <f>IF(OR(F33="",G33="",H33=""),"",(H33-F33)/(F33-G33))</f>
        <v/>
      </c>
      <c r="O33" s="3" t="n"/>
      <c r="P33" s="3" t="n"/>
      <c r="Q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11">
        <f>IF(OR(F34="",K34=""),"",(K34-F34)/F34)</f>
        <v/>
      </c>
      <c r="M34" s="11">
        <f>IF(OR(F34="",G34=""),"",(G34-F34)/F34)</f>
        <v/>
      </c>
      <c r="N34" s="8">
        <f>IF(OR(F34="",G34="",H34=""),"",(H34-F34)/(F34-G34))</f>
        <v/>
      </c>
      <c r="O34" s="3" t="n"/>
      <c r="P34" s="3" t="n"/>
      <c r="Q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11">
        <f>IF(OR(F35="",K35=""),"",(K35-F35)/F35)</f>
        <v/>
      </c>
      <c r="M35" s="11">
        <f>IF(OR(F35="",G35=""),"",(G35-F35)/F35)</f>
        <v/>
      </c>
      <c r="N35" s="8">
        <f>IF(OR(F35="",G35="",H35=""),"",(H35-F35)/(F35-G35))</f>
        <v/>
      </c>
      <c r="O35" s="3" t="n"/>
      <c r="P35" s="3" t="n"/>
      <c r="Q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11">
        <f>IF(OR(F36="",K36=""),"",(K36-F36)/F36)</f>
        <v/>
      </c>
      <c r="M36" s="11">
        <f>IF(OR(F36="",G36=""),"",(G36-F36)/F36)</f>
        <v/>
      </c>
      <c r="N36" s="8">
        <f>IF(OR(F36="",G36="",H36=""),"",(H36-F36)/(F36-G36))</f>
        <v/>
      </c>
      <c r="O36" s="3" t="n"/>
      <c r="P36" s="3" t="n"/>
      <c r="Q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11">
        <f>IF(OR(F37="",K37=""),"",(K37-F37)/F37)</f>
        <v/>
      </c>
      <c r="M37" s="11">
        <f>IF(OR(F37="",G37=""),"",(G37-F37)/F37)</f>
        <v/>
      </c>
      <c r="N37" s="8">
        <f>IF(OR(F37="",G37="",H37=""),"",(H37-F37)/(F37-G37))</f>
        <v/>
      </c>
      <c r="O37" s="3" t="n"/>
      <c r="P37" s="3" t="n"/>
      <c r="Q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11">
        <f>IF(OR(F38="",K38=""),"",(K38-F38)/F38)</f>
        <v/>
      </c>
      <c r="M38" s="11">
        <f>IF(OR(F38="",G38=""),"",(G38-F38)/F38)</f>
        <v/>
      </c>
      <c r="N38" s="8">
        <f>IF(OR(F38="",G38="",H38=""),"",(H38-F38)/(F38-G38))</f>
        <v/>
      </c>
      <c r="O38" s="3" t="n"/>
      <c r="P38" s="3" t="n"/>
      <c r="Q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11">
        <f>IF(OR(F39="",K39=""),"",(K39-F39)/F39)</f>
        <v/>
      </c>
      <c r="M39" s="11">
        <f>IF(OR(F39="",G39=""),"",(G39-F39)/F39)</f>
        <v/>
      </c>
      <c r="N39" s="8">
        <f>IF(OR(F39="",G39="",H39=""),"",(H39-F39)/(F39-G39))</f>
        <v/>
      </c>
      <c r="O39" s="3" t="n"/>
      <c r="P39" s="3" t="n"/>
      <c r="Q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11">
        <f>IF(OR(F40="",K40=""),"",(K40-F40)/F40)</f>
        <v/>
      </c>
      <c r="M40" s="11">
        <f>IF(OR(F40="",G40=""),"",(G40-F40)/F40)</f>
        <v/>
      </c>
      <c r="N40" s="8">
        <f>IF(OR(F40="",G40="",H40=""),"",(H40-F40)/(F40-G40))</f>
        <v/>
      </c>
      <c r="O40" s="3" t="n"/>
      <c r="P40" s="3" t="n"/>
      <c r="Q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11">
        <f>IF(OR(F41="",K41=""),"",(K41-F41)/F41)</f>
        <v/>
      </c>
      <c r="M41" s="11">
        <f>IF(OR(F41="",G41=""),"",(G41-F41)/F41)</f>
        <v/>
      </c>
      <c r="N41" s="8">
        <f>IF(OR(F41="",G41="",H41=""),"",(H41-F41)/(F41-G41))</f>
        <v/>
      </c>
      <c r="O41" s="3" t="n"/>
      <c r="P41" s="3" t="n"/>
      <c r="Q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11">
        <f>IF(OR(F42="",K42=""),"",(K42-F42)/F42)</f>
        <v/>
      </c>
      <c r="M42" s="11">
        <f>IF(OR(F42="",G42=""),"",(G42-F42)/F42)</f>
        <v/>
      </c>
      <c r="N42" s="8">
        <f>IF(OR(F42="",G42="",H42=""),"",(H42-F42)/(F42-G42))</f>
        <v/>
      </c>
      <c r="O42" s="3" t="n"/>
      <c r="P42" s="3" t="n"/>
      <c r="Q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11">
        <f>IF(OR(F43="",K43=""),"",(K43-F43)/F43)</f>
        <v/>
      </c>
      <c r="M43" s="11">
        <f>IF(OR(F43="",G43=""),"",(G43-F43)/F43)</f>
        <v/>
      </c>
      <c r="N43" s="8">
        <f>IF(OR(F43="",G43="",H43=""),"",(H43-F43)/(F43-G43))</f>
        <v/>
      </c>
      <c r="O43" s="3" t="n"/>
      <c r="P43" s="3" t="n"/>
      <c r="Q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11">
        <f>IF(OR(F44="",K44=""),"",(K44-F44)/F44)</f>
        <v/>
      </c>
      <c r="M44" s="11">
        <f>IF(OR(F44="",G44=""),"",(G44-F44)/F44)</f>
        <v/>
      </c>
      <c r="N44" s="8">
        <f>IF(OR(F44="",G44="",H44=""),"",(H44-F44)/(F44-G44))</f>
        <v/>
      </c>
      <c r="O44" s="3" t="n"/>
      <c r="P44" s="3" t="n"/>
      <c r="Q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11">
        <f>IF(OR(F45="",K45=""),"",(K45-F45)/F45)</f>
        <v/>
      </c>
      <c r="M45" s="11">
        <f>IF(OR(F45="",G45=""),"",(G45-F45)/F45)</f>
        <v/>
      </c>
      <c r="N45" s="8">
        <f>IF(OR(F45="",G45="",H45=""),"",(H45-F45)/(F45-G45))</f>
        <v/>
      </c>
      <c r="O45" s="3" t="n"/>
      <c r="P45" s="3" t="n"/>
      <c r="Q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11">
        <f>IF(OR(F46="",K46=""),"",(K46-F46)/F46)</f>
        <v/>
      </c>
      <c r="M46" s="11">
        <f>IF(OR(F46="",G46=""),"",(G46-F46)/F46)</f>
        <v/>
      </c>
      <c r="N46" s="8">
        <f>IF(OR(F46="",G46="",H46=""),"",(H46-F46)/(F46-G46))</f>
        <v/>
      </c>
      <c r="O46" s="3" t="n"/>
      <c r="P46" s="3" t="n"/>
      <c r="Q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11">
        <f>IF(OR(F47="",K47=""),"",(K47-F47)/F47)</f>
        <v/>
      </c>
      <c r="M47" s="11">
        <f>IF(OR(F47="",G47=""),"",(G47-F47)/F47)</f>
        <v/>
      </c>
      <c r="N47" s="8">
        <f>IF(OR(F47="",G47="",H47=""),"",(H47-F47)/(F47-G47))</f>
        <v/>
      </c>
      <c r="O47" s="3" t="n"/>
      <c r="P47" s="3" t="n"/>
      <c r="Q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11">
        <f>IF(OR(F48="",K48=""),"",(K48-F48)/F48)</f>
        <v/>
      </c>
      <c r="M48" s="11">
        <f>IF(OR(F48="",G48=""),"",(G48-F48)/F48)</f>
        <v/>
      </c>
      <c r="N48" s="8">
        <f>IF(OR(F48="",G48="",H48=""),"",(H48-F48)/(F48-G48))</f>
        <v/>
      </c>
      <c r="O48" s="3" t="n"/>
      <c r="P48" s="3" t="n"/>
      <c r="Q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11">
        <f>IF(OR(F49="",K49=""),"",(K49-F49)/F49)</f>
        <v/>
      </c>
      <c r="M49" s="11">
        <f>IF(OR(F49="",G49=""),"",(G49-F49)/F49)</f>
        <v/>
      </c>
      <c r="N49" s="8">
        <f>IF(OR(F49="",G49="",H49=""),"",(H49-F49)/(F49-G49))</f>
        <v/>
      </c>
      <c r="O49" s="3" t="n"/>
      <c r="P49" s="3" t="n"/>
      <c r="Q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11">
        <f>IF(OR(F50="",K50=""),"",(K50-F50)/F50)</f>
        <v/>
      </c>
      <c r="M50" s="11">
        <f>IF(OR(F50="",G50=""),"",(G50-F50)/F50)</f>
        <v/>
      </c>
      <c r="N50" s="8">
        <f>IF(OR(F50="",G50="",H50=""),"",(H50-F50)/(F50-G50))</f>
        <v/>
      </c>
      <c r="O50" s="3" t="n"/>
      <c r="P50" s="3" t="n"/>
      <c r="Q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11">
        <f>IF(OR(F51="",K51=""),"",(K51-F51)/F51)</f>
        <v/>
      </c>
      <c r="M51" s="11">
        <f>IF(OR(F51="",G51=""),"",(G51-F51)/F51)</f>
        <v/>
      </c>
      <c r="N51" s="8">
        <f>IF(OR(F51="",G51="",H51=""),"",(H51-F51)/(F51-G51))</f>
        <v/>
      </c>
      <c r="O51" s="3" t="n"/>
      <c r="P51" s="3" t="n"/>
      <c r="Q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11">
        <f>IF(OR(F52="",K52=""),"",(K52-F52)/F52)</f>
        <v/>
      </c>
      <c r="M52" s="11">
        <f>IF(OR(F52="",G52=""),"",(G52-F52)/F52)</f>
        <v/>
      </c>
      <c r="N52" s="8">
        <f>IF(OR(F52="",G52="",H52=""),"",(H52-F52)/(F52-G52))</f>
        <v/>
      </c>
      <c r="O52" s="3" t="n"/>
      <c r="P52" s="3" t="n"/>
      <c r="Q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11">
        <f>IF(OR(F53="",K53=""),"",(K53-F53)/F53)</f>
        <v/>
      </c>
      <c r="M53" s="11">
        <f>IF(OR(F53="",G53=""),"",(G53-F53)/F53)</f>
        <v/>
      </c>
      <c r="N53" s="8">
        <f>IF(OR(F53="",G53="",H53=""),"",(H53-F53)/(F53-G53))</f>
        <v/>
      </c>
      <c r="O53" s="3" t="n"/>
      <c r="P53" s="3" t="n"/>
      <c r="Q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11">
        <f>IF(OR(F54="",K54=""),"",(K54-F54)/F54)</f>
        <v/>
      </c>
      <c r="M54" s="11">
        <f>IF(OR(F54="",G54=""),"",(G54-F54)/F54)</f>
        <v/>
      </c>
      <c r="N54" s="8">
        <f>IF(OR(F54="",G54="",H54=""),"",(H54-F54)/(F54-G54))</f>
        <v/>
      </c>
      <c r="O54" s="3" t="n"/>
      <c r="P54" s="3" t="n"/>
      <c r="Q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11">
        <f>IF(OR(F55="",K55=""),"",(K55-F55)/F55)</f>
        <v/>
      </c>
      <c r="M55" s="11">
        <f>IF(OR(F55="",G55=""),"",(G55-F55)/F55)</f>
        <v/>
      </c>
      <c r="N55" s="8">
        <f>IF(OR(F55="",G55="",H55=""),"",(H55-F55)/(F55-G55))</f>
        <v/>
      </c>
      <c r="O55" s="3" t="n"/>
      <c r="P55" s="3" t="n"/>
      <c r="Q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11">
        <f>IF(OR(F56="",K56=""),"",(K56-F56)/F56)</f>
        <v/>
      </c>
      <c r="M56" s="11">
        <f>IF(OR(F56="",G56=""),"",(G56-F56)/F56)</f>
        <v/>
      </c>
      <c r="N56" s="8">
        <f>IF(OR(F56="",G56="",H56=""),"",(H56-F56)/(F56-G56))</f>
        <v/>
      </c>
      <c r="O56" s="3" t="n"/>
      <c r="P56" s="3" t="n"/>
      <c r="Q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11">
        <f>IF(OR(F57="",K57=""),"",(K57-F57)/F57)</f>
        <v/>
      </c>
      <c r="M57" s="11">
        <f>IF(OR(F57="",G57=""),"",(G57-F57)/F57)</f>
        <v/>
      </c>
      <c r="N57" s="8">
        <f>IF(OR(F57="",G57="",H57=""),"",(H57-F57)/(F57-G57))</f>
        <v/>
      </c>
      <c r="O57" s="3" t="n"/>
      <c r="P57" s="3" t="n"/>
      <c r="Q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11">
        <f>IF(OR(F58="",K58=""),"",(K58-F58)/F58)</f>
        <v/>
      </c>
      <c r="M58" s="11">
        <f>IF(OR(F58="",G58=""),"",(G58-F58)/F58)</f>
        <v/>
      </c>
      <c r="N58" s="8">
        <f>IF(OR(F58="",G58="",H58=""),"",(H58-F58)/(F58-G58))</f>
        <v/>
      </c>
      <c r="O58" s="3" t="n"/>
      <c r="P58" s="3" t="n"/>
      <c r="Q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11">
        <f>IF(OR(F59="",K59=""),"",(K59-F59)/F59)</f>
        <v/>
      </c>
      <c r="M59" s="11">
        <f>IF(OR(F59="",G59=""),"",(G59-F59)/F59)</f>
        <v/>
      </c>
      <c r="N59" s="8">
        <f>IF(OR(F59="",G59="",H59=""),"",(H59-F59)/(F59-G59))</f>
        <v/>
      </c>
      <c r="O59" s="3" t="n"/>
      <c r="P59" s="3" t="n"/>
      <c r="Q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11">
        <f>IF(OR(F60="",K60=""),"",(K60-F60)/F60)</f>
        <v/>
      </c>
      <c r="M60" s="11">
        <f>IF(OR(F60="",G60=""),"",(G60-F60)/F60)</f>
        <v/>
      </c>
      <c r="N60" s="8">
        <f>IF(OR(F60="",G60="",H60=""),"",(H60-F60)/(F60-G60))</f>
        <v/>
      </c>
      <c r="O60" s="3" t="n"/>
      <c r="P60" s="3" t="n"/>
      <c r="Q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11">
        <f>IF(OR(F61="",K61=""),"",(K61-F61)/F61)</f>
        <v/>
      </c>
      <c r="M61" s="11">
        <f>IF(OR(F61="",G61=""),"",(G61-F61)/F61)</f>
        <v/>
      </c>
      <c r="N61" s="8">
        <f>IF(OR(F61="",G61="",H61=""),"",(H61-F61)/(F61-G61))</f>
        <v/>
      </c>
      <c r="O61" s="3" t="n"/>
      <c r="P61" s="3" t="n"/>
      <c r="Q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11">
        <f>IF(OR(F62="",K62=""),"",(K62-F62)/F62)</f>
        <v/>
      </c>
      <c r="M62" s="11">
        <f>IF(OR(F62="",G62=""),"",(G62-F62)/F62)</f>
        <v/>
      </c>
      <c r="N62" s="8">
        <f>IF(OR(F62="",G62="",H62=""),"",(H62-F62)/(F62-G62))</f>
        <v/>
      </c>
      <c r="O62" s="3" t="n"/>
      <c r="P62" s="3" t="n"/>
      <c r="Q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11">
        <f>IF(OR(F63="",K63=""),"",(K63-F63)/F63)</f>
        <v/>
      </c>
      <c r="M63" s="11">
        <f>IF(OR(F63="",G63=""),"",(G63-F63)/F63)</f>
        <v/>
      </c>
      <c r="N63" s="8">
        <f>IF(OR(F63="",G63="",H63=""),"",(H63-F63)/(F63-G63))</f>
        <v/>
      </c>
      <c r="O63" s="3" t="n"/>
      <c r="P63" s="3" t="n"/>
      <c r="Q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11">
        <f>IF(OR(F64="",K64=""),"",(K64-F64)/F64)</f>
        <v/>
      </c>
      <c r="M64" s="11">
        <f>IF(OR(F64="",G64=""),"",(G64-F64)/F64)</f>
        <v/>
      </c>
      <c r="N64" s="8">
        <f>IF(OR(F64="",G64="",H64=""),"",(H64-F64)/(F64-G64))</f>
        <v/>
      </c>
      <c r="O64" s="3" t="n"/>
      <c r="P64" s="3" t="n"/>
      <c r="Q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11">
        <f>IF(OR(F65="",K65=""),"",(K65-F65)/F65)</f>
        <v/>
      </c>
      <c r="M65" s="11">
        <f>IF(OR(F65="",G65=""),"",(G65-F65)/F65)</f>
        <v/>
      </c>
      <c r="N65" s="8">
        <f>IF(OR(F65="",G65="",H65=""),"",(H65-F65)/(F65-G65))</f>
        <v/>
      </c>
      <c r="O65" s="3" t="n"/>
      <c r="P65" s="3" t="n"/>
      <c r="Q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11">
        <f>IF(OR(F66="",K66=""),"",(K66-F66)/F66)</f>
        <v/>
      </c>
      <c r="M66" s="11">
        <f>IF(OR(F66="",G66=""),"",(G66-F66)/F66)</f>
        <v/>
      </c>
      <c r="N66" s="8">
        <f>IF(OR(F66="",G66="",H66=""),"",(H66-F66)/(F66-G66))</f>
        <v/>
      </c>
      <c r="O66" s="3" t="n"/>
      <c r="P66" s="3" t="n"/>
      <c r="Q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11">
        <f>IF(OR(F67="",K67=""),"",(K67-F67)/F67)</f>
        <v/>
      </c>
      <c r="M67" s="11">
        <f>IF(OR(F67="",G67=""),"",(G67-F67)/F67)</f>
        <v/>
      </c>
      <c r="N67" s="8">
        <f>IF(OR(F67="",G67="",H67=""),"",(H67-F67)/(F67-G67))</f>
        <v/>
      </c>
      <c r="O67" s="3" t="n"/>
      <c r="P67" s="3" t="n"/>
      <c r="Q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11">
        <f>IF(OR(F68="",K68=""),"",(K68-F68)/F68)</f>
        <v/>
      </c>
      <c r="M68" s="11">
        <f>IF(OR(F68="",G68=""),"",(G68-F68)/F68)</f>
        <v/>
      </c>
      <c r="N68" s="8">
        <f>IF(OR(F68="",G68="",H68=""),"",(H68-F68)/(F68-G68))</f>
        <v/>
      </c>
      <c r="O68" s="3" t="n"/>
      <c r="P68" s="3" t="n"/>
      <c r="Q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11">
        <f>IF(OR(F69="",K69=""),"",(K69-F69)/F69)</f>
        <v/>
      </c>
      <c r="M69" s="11">
        <f>IF(OR(F69="",G69=""),"",(G69-F69)/F69)</f>
        <v/>
      </c>
      <c r="N69" s="8">
        <f>IF(OR(F69="",G69="",H69=""),"",(H69-F69)/(F69-G69))</f>
        <v/>
      </c>
      <c r="O69" s="3" t="n"/>
      <c r="P69" s="3" t="n"/>
      <c r="Q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11">
        <f>IF(OR(F70="",K70=""),"",(K70-F70)/F70)</f>
        <v/>
      </c>
      <c r="M70" s="11">
        <f>IF(OR(F70="",G70=""),"",(G70-F70)/F70)</f>
        <v/>
      </c>
      <c r="N70" s="8">
        <f>IF(OR(F70="",G70="",H70=""),"",(H70-F70)/(F70-G70))</f>
        <v/>
      </c>
      <c r="O70" s="3" t="n"/>
      <c r="P70" s="3" t="n"/>
      <c r="Q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11">
        <f>IF(OR(F71="",K71=""),"",(K71-F71)/F71)</f>
        <v/>
      </c>
      <c r="M71" s="11">
        <f>IF(OR(F71="",G71=""),"",(G71-F71)/F71)</f>
        <v/>
      </c>
      <c r="N71" s="8">
        <f>IF(OR(F71="",G71="",H71=""),"",(H71-F71)/(F71-G71))</f>
        <v/>
      </c>
      <c r="O71" s="3" t="n"/>
      <c r="P71" s="3" t="n"/>
      <c r="Q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11">
        <f>IF(OR(F72="",K72=""),"",(K72-F72)/F72)</f>
        <v/>
      </c>
      <c r="M72" s="11">
        <f>IF(OR(F72="",G72=""),"",(G72-F72)/F72)</f>
        <v/>
      </c>
      <c r="N72" s="8">
        <f>IF(OR(F72="",G72="",H72=""),"",(H72-F72)/(F72-G72))</f>
        <v/>
      </c>
      <c r="O72" s="3" t="n"/>
      <c r="P72" s="3" t="n"/>
      <c r="Q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11">
        <f>IF(OR(F73="",K73=""),"",(K73-F73)/F73)</f>
        <v/>
      </c>
      <c r="M73" s="11">
        <f>IF(OR(F73="",G73=""),"",(G73-F73)/F73)</f>
        <v/>
      </c>
      <c r="N73" s="8">
        <f>IF(OR(F73="",G73="",H73=""),"",(H73-F73)/(F73-G73))</f>
        <v/>
      </c>
      <c r="O73" s="3" t="n"/>
      <c r="P73" s="3" t="n"/>
      <c r="Q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11">
        <f>IF(OR(F74="",K74=""),"",(K74-F74)/F74)</f>
        <v/>
      </c>
      <c r="M74" s="11">
        <f>IF(OR(F74="",G74=""),"",(G74-F74)/F74)</f>
        <v/>
      </c>
      <c r="N74" s="8">
        <f>IF(OR(F74="",G74="",H74=""),"",(H74-F74)/(F74-G74))</f>
        <v/>
      </c>
      <c r="O74" s="3" t="n"/>
      <c r="P74" s="3" t="n"/>
      <c r="Q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11">
        <f>IF(OR(F75="",K75=""),"",(K75-F75)/F75)</f>
        <v/>
      </c>
      <c r="M75" s="11">
        <f>IF(OR(F75="",G75=""),"",(G75-F75)/F75)</f>
        <v/>
      </c>
      <c r="N75" s="8">
        <f>IF(OR(F75="",G75="",H75=""),"",(H75-F75)/(F75-G75))</f>
        <v/>
      </c>
      <c r="O75" s="3" t="n"/>
      <c r="P75" s="3" t="n"/>
      <c r="Q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11">
        <f>IF(OR(F76="",K76=""),"",(K76-F76)/F76)</f>
        <v/>
      </c>
      <c r="M76" s="11">
        <f>IF(OR(F76="",G76=""),"",(G76-F76)/F76)</f>
        <v/>
      </c>
      <c r="N76" s="8">
        <f>IF(OR(F76="",G76="",H76=""),"",(H76-F76)/(F76-G76))</f>
        <v/>
      </c>
      <c r="O76" s="3" t="n"/>
      <c r="P76" s="3" t="n"/>
      <c r="Q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11">
        <f>IF(OR(F77="",K77=""),"",(K77-F77)/F77)</f>
        <v/>
      </c>
      <c r="M77" s="11">
        <f>IF(OR(F77="",G77=""),"",(G77-F77)/F77)</f>
        <v/>
      </c>
      <c r="N77" s="8">
        <f>IF(OR(F77="",G77="",H77=""),"",(H77-F77)/(F77-G77))</f>
        <v/>
      </c>
      <c r="O77" s="3" t="n"/>
      <c r="P77" s="3" t="n"/>
      <c r="Q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11">
        <f>IF(OR(F78="",K78=""),"",(K78-F78)/F78)</f>
        <v/>
      </c>
      <c r="M78" s="11">
        <f>IF(OR(F78="",G78=""),"",(G78-F78)/F78)</f>
        <v/>
      </c>
      <c r="N78" s="8">
        <f>IF(OR(F78="",G78="",H78=""),"",(H78-F78)/(F78-G78))</f>
        <v/>
      </c>
      <c r="O78" s="3" t="n"/>
      <c r="P78" s="3" t="n"/>
      <c r="Q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11">
        <f>IF(OR(F79="",K79=""),"",(K79-F79)/F79)</f>
        <v/>
      </c>
      <c r="M79" s="11">
        <f>IF(OR(F79="",G79=""),"",(G79-F79)/F79)</f>
        <v/>
      </c>
      <c r="N79" s="8">
        <f>IF(OR(F79="",G79="",H79=""),"",(H79-F79)/(F79-G79))</f>
        <v/>
      </c>
      <c r="O79" s="3" t="n"/>
      <c r="P79" s="3" t="n"/>
      <c r="Q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11">
        <f>IF(OR(F80="",K80=""),"",(K80-F80)/F80)</f>
        <v/>
      </c>
      <c r="M80" s="11">
        <f>IF(OR(F80="",G80=""),"",(G80-F80)/F80)</f>
        <v/>
      </c>
      <c r="N80" s="8">
        <f>IF(OR(F80="",G80="",H80=""),"",(H80-F80)/(F80-G80))</f>
        <v/>
      </c>
      <c r="O80" s="3" t="n"/>
      <c r="P80" s="3" t="n"/>
      <c r="Q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11">
        <f>IF(OR(F81="",K81=""),"",(K81-F81)/F81)</f>
        <v/>
      </c>
      <c r="M81" s="11">
        <f>IF(OR(F81="",G81=""),"",(G81-F81)/F81)</f>
        <v/>
      </c>
      <c r="N81" s="8">
        <f>IF(OR(F81="",G81="",H81=""),"",(H81-F81)/(F81-G81))</f>
        <v/>
      </c>
      <c r="O81" s="3" t="n"/>
      <c r="P81" s="3" t="n"/>
      <c r="Q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11">
        <f>IF(OR(F82="",K82=""),"",(K82-F82)/F82)</f>
        <v/>
      </c>
      <c r="M82" s="11">
        <f>IF(OR(F82="",G82=""),"",(G82-F82)/F82)</f>
        <v/>
      </c>
      <c r="N82" s="8">
        <f>IF(OR(F82="",G82="",H82=""),"",(H82-F82)/(F82-G82))</f>
        <v/>
      </c>
      <c r="O82" s="3" t="n"/>
      <c r="P82" s="3" t="n"/>
      <c r="Q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11">
        <f>IF(OR(F83="",K83=""),"",(K83-F83)/F83)</f>
        <v/>
      </c>
      <c r="M83" s="11">
        <f>IF(OR(F83="",G83=""),"",(G83-F83)/F83)</f>
        <v/>
      </c>
      <c r="N83" s="8">
        <f>IF(OR(F83="",G83="",H83=""),"",(H83-F83)/(F83-G83))</f>
        <v/>
      </c>
      <c r="O83" s="3" t="n"/>
      <c r="P83" s="3" t="n"/>
      <c r="Q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11">
        <f>IF(OR(F84="",K84=""),"",(K84-F84)/F84)</f>
        <v/>
      </c>
      <c r="M84" s="11">
        <f>IF(OR(F84="",G84=""),"",(G84-F84)/F84)</f>
        <v/>
      </c>
      <c r="N84" s="8">
        <f>IF(OR(F84="",G84="",H84=""),"",(H84-F84)/(F84-G84))</f>
        <v/>
      </c>
      <c r="O84" s="3" t="n"/>
      <c r="P84" s="3" t="n"/>
      <c r="Q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11">
        <f>IF(OR(F85="",K85=""),"",(K85-F85)/F85)</f>
        <v/>
      </c>
      <c r="M85" s="11">
        <f>IF(OR(F85="",G85=""),"",(G85-F85)/F85)</f>
        <v/>
      </c>
      <c r="N85" s="8">
        <f>IF(OR(F85="",G85="",H85=""),"",(H85-F85)/(F85-G85))</f>
        <v/>
      </c>
      <c r="O85" s="3" t="n"/>
      <c r="P85" s="3" t="n"/>
      <c r="Q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11">
        <f>IF(OR(F86="",K86=""),"",(K86-F86)/F86)</f>
        <v/>
      </c>
      <c r="M86" s="11">
        <f>IF(OR(F86="",G86=""),"",(G86-F86)/F86)</f>
        <v/>
      </c>
      <c r="N86" s="8">
        <f>IF(OR(F86="",G86="",H86=""),"",(H86-F86)/(F86-G86))</f>
        <v/>
      </c>
      <c r="O86" s="3" t="n"/>
      <c r="P86" s="3" t="n"/>
      <c r="Q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11">
        <f>IF(OR(F87="",K87=""),"",(K87-F87)/F87)</f>
        <v/>
      </c>
      <c r="M87" s="11">
        <f>IF(OR(F87="",G87=""),"",(G87-F87)/F87)</f>
        <v/>
      </c>
      <c r="N87" s="8">
        <f>IF(OR(F87="",G87="",H87=""),"",(H87-F87)/(F87-G87))</f>
        <v/>
      </c>
      <c r="O87" s="3" t="n"/>
      <c r="P87" s="3" t="n"/>
      <c r="Q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11">
        <f>IF(OR(F88="",K88=""),"",(K88-F88)/F88)</f>
        <v/>
      </c>
      <c r="M88" s="11">
        <f>IF(OR(F88="",G88=""),"",(G88-F88)/F88)</f>
        <v/>
      </c>
      <c r="N88" s="8">
        <f>IF(OR(F88="",G88="",H88=""),"",(H88-F88)/(F88-G88))</f>
        <v/>
      </c>
      <c r="O88" s="3" t="n"/>
      <c r="P88" s="3" t="n"/>
      <c r="Q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11">
        <f>IF(OR(F89="",K89=""),"",(K89-F89)/F89)</f>
        <v/>
      </c>
      <c r="M89" s="11">
        <f>IF(OR(F89="",G89=""),"",(G89-F89)/F89)</f>
        <v/>
      </c>
      <c r="N89" s="8">
        <f>IF(OR(F89="",G89="",H89=""),"",(H89-F89)/(F89-G89))</f>
        <v/>
      </c>
      <c r="O89" s="3" t="n"/>
      <c r="P89" s="3" t="n"/>
      <c r="Q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11">
        <f>IF(OR(F90="",K90=""),"",(K90-F90)/F90)</f>
        <v/>
      </c>
      <c r="M90" s="11">
        <f>IF(OR(F90="",G90=""),"",(G90-F90)/F90)</f>
        <v/>
      </c>
      <c r="N90" s="8">
        <f>IF(OR(F90="",G90="",H90=""),"",(H90-F90)/(F90-G90))</f>
        <v/>
      </c>
      <c r="O90" s="3" t="n"/>
      <c r="P90" s="3" t="n"/>
      <c r="Q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11">
        <f>IF(OR(F91="",K91=""),"",(K91-F91)/F91)</f>
        <v/>
      </c>
      <c r="M91" s="11">
        <f>IF(OR(F91="",G91=""),"",(G91-F91)/F91)</f>
        <v/>
      </c>
      <c r="N91" s="8">
        <f>IF(OR(F91="",G91="",H91=""),"",(H91-F91)/(F91-G91))</f>
        <v/>
      </c>
      <c r="O91" s="3" t="n"/>
      <c r="P91" s="3" t="n"/>
      <c r="Q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11">
        <f>IF(OR(F92="",K92=""),"",(K92-F92)/F92)</f>
        <v/>
      </c>
      <c r="M92" s="11">
        <f>IF(OR(F92="",G92=""),"",(G92-F92)/F92)</f>
        <v/>
      </c>
      <c r="N92" s="8">
        <f>IF(OR(F92="",G92="",H92=""),"",(H92-F92)/(F92-G92))</f>
        <v/>
      </c>
      <c r="O92" s="3" t="n"/>
      <c r="P92" s="3" t="n"/>
      <c r="Q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11">
        <f>IF(OR(F93="",K93=""),"",(K93-F93)/F93)</f>
        <v/>
      </c>
      <c r="M93" s="11">
        <f>IF(OR(F93="",G93=""),"",(G93-F93)/F93)</f>
        <v/>
      </c>
      <c r="N93" s="8">
        <f>IF(OR(F93="",G93="",H93=""),"",(H93-F93)/(F93-G93))</f>
        <v/>
      </c>
      <c r="O93" s="3" t="n"/>
      <c r="P93" s="3" t="n"/>
      <c r="Q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11">
        <f>IF(OR(F94="",K94=""),"",(K94-F94)/F94)</f>
        <v/>
      </c>
      <c r="M94" s="11">
        <f>IF(OR(F94="",G94=""),"",(G94-F94)/F94)</f>
        <v/>
      </c>
      <c r="N94" s="8">
        <f>IF(OR(F94="",G94="",H94=""),"",(H94-F94)/(F94-G94))</f>
        <v/>
      </c>
      <c r="O94" s="3" t="n"/>
      <c r="P94" s="3" t="n"/>
      <c r="Q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11">
        <f>IF(OR(F95="",K95=""),"",(K95-F95)/F95)</f>
        <v/>
      </c>
      <c r="M95" s="11">
        <f>IF(OR(F95="",G95=""),"",(G95-F95)/F95)</f>
        <v/>
      </c>
      <c r="N95" s="8">
        <f>IF(OR(F95="",G95="",H95=""),"",(H95-F95)/(F95-G95))</f>
        <v/>
      </c>
      <c r="O95" s="3" t="n"/>
      <c r="P95" s="3" t="n"/>
      <c r="Q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11">
        <f>IF(OR(F96="",K96=""),"",(K96-F96)/F96)</f>
        <v/>
      </c>
      <c r="M96" s="11">
        <f>IF(OR(F96="",G96=""),"",(G96-F96)/F96)</f>
        <v/>
      </c>
      <c r="N96" s="8">
        <f>IF(OR(F96="",G96="",H96=""),"",(H96-F96)/(F96-G96))</f>
        <v/>
      </c>
      <c r="O96" s="3" t="n"/>
      <c r="P96" s="3" t="n"/>
      <c r="Q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11">
        <f>IF(OR(F97="",K97=""),"",(K97-F97)/F97)</f>
        <v/>
      </c>
      <c r="M97" s="11">
        <f>IF(OR(F97="",G97=""),"",(G97-F97)/F97)</f>
        <v/>
      </c>
      <c r="N97" s="8">
        <f>IF(OR(F97="",G97="",H97=""),"",(H97-F97)/(F97-G97))</f>
        <v/>
      </c>
      <c r="O97" s="3" t="n"/>
      <c r="P97" s="3" t="n"/>
      <c r="Q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11">
        <f>IF(OR(F98="",K98=""),"",(K98-F98)/F98)</f>
        <v/>
      </c>
      <c r="M98" s="11">
        <f>IF(OR(F98="",G98=""),"",(G98-F98)/F98)</f>
        <v/>
      </c>
      <c r="N98" s="8">
        <f>IF(OR(F98="",G98="",H98=""),"",(H98-F98)/(F98-G98))</f>
        <v/>
      </c>
      <c r="O98" s="3" t="n"/>
      <c r="P98" s="3" t="n"/>
      <c r="Q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11">
        <f>IF(OR(F99="",K99=""),"",(K99-F99)/F99)</f>
        <v/>
      </c>
      <c r="M99" s="11">
        <f>IF(OR(F99="",G99=""),"",(G99-F99)/F99)</f>
        <v/>
      </c>
      <c r="N99" s="8">
        <f>IF(OR(F99="",G99="",H99=""),"",(H99-F99)/(F99-G99))</f>
        <v/>
      </c>
      <c r="O99" s="3" t="n"/>
      <c r="P99" s="3" t="n"/>
      <c r="Q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11">
        <f>IF(OR(F100="",K100=""),"",(K100-F100)/F100)</f>
        <v/>
      </c>
      <c r="M100" s="11">
        <f>IF(OR(F100="",G100=""),"",(G100-F100)/F100)</f>
        <v/>
      </c>
      <c r="N100" s="8">
        <f>IF(OR(F100="",G100="",H100=""),"",(H100-F100)/(F100-G100))</f>
        <v/>
      </c>
      <c r="O100" s="3" t="n"/>
      <c r="P100" s="3" t="n"/>
      <c r="Q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11">
        <f>IF(OR(F101="",K101=""),"",(K101-F101)/F101)</f>
        <v/>
      </c>
      <c r="M101" s="11">
        <f>IF(OR(F101="",G101=""),"",(G101-F101)/F101)</f>
        <v/>
      </c>
      <c r="N101" s="8">
        <f>IF(OR(F101="",G101="",H101=""),"",(H101-F101)/(F101-G101))</f>
        <v/>
      </c>
      <c r="O101" s="3" t="n"/>
      <c r="P101" s="3" t="n"/>
      <c r="Q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11">
        <f>IF(OR(F102="",K102=""),"",(K102-F102)/F102)</f>
        <v/>
      </c>
      <c r="M102" s="11">
        <f>IF(OR(F102="",G102=""),"",(G102-F102)/F102)</f>
        <v/>
      </c>
      <c r="N102" s="8">
        <f>IF(OR(F102="",G102="",H102=""),"",(H102-F102)/(F102-G102))</f>
        <v/>
      </c>
      <c r="O102" s="3" t="n"/>
      <c r="P102" s="3" t="n"/>
      <c r="Q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11">
        <f>IF(OR(F103="",K103=""),"",(K103-F103)/F103)</f>
        <v/>
      </c>
      <c r="M103" s="11">
        <f>IF(OR(F103="",G103=""),"",(G103-F103)/F103)</f>
        <v/>
      </c>
      <c r="N103" s="8">
        <f>IF(OR(F103="",G103="",H103=""),"",(H103-F103)/(F103-G103))</f>
        <v/>
      </c>
      <c r="O103" s="3" t="n"/>
      <c r="P103" s="3" t="n"/>
      <c r="Q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11">
        <f>IF(OR(F104="",K104=""),"",(K104-F104)/F104)</f>
        <v/>
      </c>
      <c r="M104" s="11">
        <f>IF(OR(F104="",G104=""),"",(G104-F104)/F104)</f>
        <v/>
      </c>
      <c r="N104" s="8">
        <f>IF(OR(F104="",G104="",H104=""),"",(H104-F104)/(F104-G104))</f>
        <v/>
      </c>
      <c r="O104" s="3" t="n"/>
      <c r="P104" s="3" t="n"/>
      <c r="Q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11">
        <f>IF(OR(F105="",K105=""),"",(K105-F105)/F105)</f>
        <v/>
      </c>
      <c r="M105" s="11">
        <f>IF(OR(F105="",G105=""),"",(G105-F105)/F105)</f>
        <v/>
      </c>
      <c r="N105" s="8">
        <f>IF(OR(F105="",G105="",H105=""),"",(H105-F105)/(F105-G105))</f>
        <v/>
      </c>
      <c r="O105" s="3" t="n"/>
      <c r="P105" s="3" t="n"/>
      <c r="Q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11">
        <f>IF(OR(F106="",K106=""),"",(K106-F106)/F106)</f>
        <v/>
      </c>
      <c r="M106" s="11">
        <f>IF(OR(F106="",G106=""),"",(G106-F106)/F106)</f>
        <v/>
      </c>
      <c r="N106" s="8">
        <f>IF(OR(F106="",G106="",H106=""),"",(H106-F106)/(F106-G106))</f>
        <v/>
      </c>
      <c r="O106" s="3" t="n"/>
      <c r="P106" s="3" t="n"/>
      <c r="Q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11">
        <f>IF(OR(F107="",K107=""),"",(K107-F107)/F107)</f>
        <v/>
      </c>
      <c r="M107" s="11">
        <f>IF(OR(F107="",G107=""),"",(G107-F107)/F107)</f>
        <v/>
      </c>
      <c r="N107" s="8">
        <f>IF(OR(F107="",G107="",H107=""),"",(H107-F107)/(F107-G107))</f>
        <v/>
      </c>
      <c r="O107" s="3" t="n"/>
      <c r="P107" s="3" t="n"/>
      <c r="Q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11">
        <f>IF(OR(F108="",K108=""),"",(K108-F108)/F108)</f>
        <v/>
      </c>
      <c r="M108" s="11">
        <f>IF(OR(F108="",G108=""),"",(G108-F108)/F108)</f>
        <v/>
      </c>
      <c r="N108" s="8">
        <f>IF(OR(F108="",G108="",H108=""),"",(H108-F108)/(F108-G108))</f>
        <v/>
      </c>
      <c r="O108" s="3" t="n"/>
      <c r="P108" s="3" t="n"/>
      <c r="Q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11">
        <f>IF(OR(F109="",K109=""),"",(K109-F109)/F109)</f>
        <v/>
      </c>
      <c r="M109" s="11">
        <f>IF(OR(F109="",G109=""),"",(G109-F109)/F109)</f>
        <v/>
      </c>
      <c r="N109" s="8">
        <f>IF(OR(F109="",G109="",H109=""),"",(H109-F109)/(F109-G109))</f>
        <v/>
      </c>
      <c r="O109" s="3" t="n"/>
      <c r="P109" s="3" t="n"/>
      <c r="Q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11">
        <f>IF(OR(F110="",K110=""),"",(K110-F110)/F110)</f>
        <v/>
      </c>
      <c r="M110" s="11">
        <f>IF(OR(F110="",G110=""),"",(G110-F110)/F110)</f>
        <v/>
      </c>
      <c r="N110" s="8">
        <f>IF(OR(F110="",G110="",H110=""),"",(H110-F110)/(F110-G110))</f>
        <v/>
      </c>
      <c r="O110" s="3" t="n"/>
      <c r="P110" s="3" t="n"/>
      <c r="Q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11">
        <f>IF(OR(F111="",K111=""),"",(K111-F111)/F111)</f>
        <v/>
      </c>
      <c r="M111" s="11">
        <f>IF(OR(F111="",G111=""),"",(G111-F111)/F111)</f>
        <v/>
      </c>
      <c r="N111" s="8">
        <f>IF(OR(F111="",G111="",H111=""),"",(H111-F111)/(F111-G111))</f>
        <v/>
      </c>
      <c r="O111" s="3" t="n"/>
      <c r="P111" s="3" t="n"/>
      <c r="Q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11">
        <f>IF(OR(F112="",K112=""),"",(K112-F112)/F112)</f>
        <v/>
      </c>
      <c r="M112" s="11">
        <f>IF(OR(F112="",G112=""),"",(G112-F112)/F112)</f>
        <v/>
      </c>
      <c r="N112" s="8">
        <f>IF(OR(F112="",G112="",H112=""),"",(H112-F112)/(F112-G112))</f>
        <v/>
      </c>
      <c r="O112" s="3" t="n"/>
      <c r="P112" s="3" t="n"/>
      <c r="Q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11">
        <f>IF(OR(F113="",K113=""),"",(K113-F113)/F113)</f>
        <v/>
      </c>
      <c r="M113" s="11">
        <f>IF(OR(F113="",G113=""),"",(G113-F113)/F113)</f>
        <v/>
      </c>
      <c r="N113" s="8">
        <f>IF(OR(F113="",G113="",H113=""),"",(H113-F113)/(F113-G113))</f>
        <v/>
      </c>
      <c r="O113" s="3" t="n"/>
      <c r="P113" s="3" t="n"/>
      <c r="Q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11">
        <f>IF(OR(F114="",K114=""),"",(K114-F114)/F114)</f>
        <v/>
      </c>
      <c r="M114" s="11">
        <f>IF(OR(F114="",G114=""),"",(G114-F114)/F114)</f>
        <v/>
      </c>
      <c r="N114" s="8">
        <f>IF(OR(F114="",G114="",H114=""),"",(H114-F114)/(F114-G114))</f>
        <v/>
      </c>
      <c r="O114" s="3" t="n"/>
      <c r="P114" s="3" t="n"/>
      <c r="Q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11">
        <f>IF(OR(F115="",K115=""),"",(K115-F115)/F115)</f>
        <v/>
      </c>
      <c r="M115" s="11">
        <f>IF(OR(F115="",G115=""),"",(G115-F115)/F115)</f>
        <v/>
      </c>
      <c r="N115" s="8">
        <f>IF(OR(F115="",G115="",H115=""),"",(H115-F115)/(F115-G115))</f>
        <v/>
      </c>
      <c r="O115" s="3" t="n"/>
      <c r="P115" s="3" t="n"/>
      <c r="Q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11">
        <f>IF(OR(F116="",K116=""),"",(K116-F116)/F116)</f>
        <v/>
      </c>
      <c r="M116" s="11">
        <f>IF(OR(F116="",G116=""),"",(G116-F116)/F116)</f>
        <v/>
      </c>
      <c r="N116" s="8">
        <f>IF(OR(F116="",G116="",H116=""),"",(H116-F116)/(F116-G116))</f>
        <v/>
      </c>
      <c r="O116" s="3" t="n"/>
      <c r="P116" s="3" t="n"/>
      <c r="Q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11">
        <f>IF(OR(F117="",K117=""),"",(K117-F117)/F117)</f>
        <v/>
      </c>
      <c r="M117" s="11">
        <f>IF(OR(F117="",G117=""),"",(G117-F117)/F117)</f>
        <v/>
      </c>
      <c r="N117" s="8">
        <f>IF(OR(F117="",G117="",H117=""),"",(H117-F117)/(F117-G117))</f>
        <v/>
      </c>
      <c r="O117" s="3" t="n"/>
      <c r="P117" s="3" t="n"/>
      <c r="Q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11">
        <f>IF(OR(F118="",K118=""),"",(K118-F118)/F118)</f>
        <v/>
      </c>
      <c r="M118" s="11">
        <f>IF(OR(F118="",G118=""),"",(G118-F118)/F118)</f>
        <v/>
      </c>
      <c r="N118" s="8">
        <f>IF(OR(F118="",G118="",H118=""),"",(H118-F118)/(F118-G118))</f>
        <v/>
      </c>
      <c r="O118" s="3" t="n"/>
      <c r="P118" s="3" t="n"/>
      <c r="Q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11">
        <f>IF(OR(F119="",K119=""),"",(K119-F119)/F119)</f>
        <v/>
      </c>
      <c r="M119" s="11">
        <f>IF(OR(F119="",G119=""),"",(G119-F119)/F119)</f>
        <v/>
      </c>
      <c r="N119" s="8">
        <f>IF(OR(F119="",G119="",H119=""),"",(H119-F119)/(F119-G119))</f>
        <v/>
      </c>
      <c r="O119" s="3" t="n"/>
      <c r="P119" s="3" t="n"/>
      <c r="Q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11">
        <f>IF(OR(F120="",K120=""),"",(K120-F120)/F120)</f>
        <v/>
      </c>
      <c r="M120" s="11">
        <f>IF(OR(F120="",G120=""),"",(G120-F120)/F120)</f>
        <v/>
      </c>
      <c r="N120" s="8">
        <f>IF(OR(F120="",G120="",H120=""),"",(H120-F120)/(F120-G120))</f>
        <v/>
      </c>
      <c r="O120" s="3" t="n"/>
      <c r="P120" s="3" t="n"/>
      <c r="Q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11">
        <f>IF(OR(F121="",K121=""),"",(K121-F121)/F121)</f>
        <v/>
      </c>
      <c r="M121" s="11">
        <f>IF(OR(F121="",G121=""),"",(G121-F121)/F121)</f>
        <v/>
      </c>
      <c r="N121" s="8">
        <f>IF(OR(F121="",G121="",H121=""),"",(H121-F121)/(F121-G121))</f>
        <v/>
      </c>
      <c r="O121" s="3" t="n"/>
      <c r="P121" s="3" t="n"/>
      <c r="Q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11">
        <f>IF(OR(F122="",K122=""),"",(K122-F122)/F122)</f>
        <v/>
      </c>
      <c r="M122" s="11">
        <f>IF(OR(F122="",G122=""),"",(G122-F122)/F122)</f>
        <v/>
      </c>
      <c r="N122" s="8">
        <f>IF(OR(F122="",G122="",H122=""),"",(H122-F122)/(F122-G122))</f>
        <v/>
      </c>
      <c r="O122" s="3" t="n"/>
      <c r="P122" s="3" t="n"/>
      <c r="Q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11">
        <f>IF(OR(F123="",K123=""),"",(K123-F123)/F123)</f>
        <v/>
      </c>
      <c r="M123" s="11">
        <f>IF(OR(F123="",G123=""),"",(G123-F123)/F123)</f>
        <v/>
      </c>
      <c r="N123" s="8">
        <f>IF(OR(F123="",G123="",H123=""),"",(H123-F123)/(F123-G123))</f>
        <v/>
      </c>
      <c r="O123" s="3" t="n"/>
      <c r="P123" s="3" t="n"/>
      <c r="Q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11">
        <f>IF(OR(F124="",K124=""),"",(K124-F124)/F124)</f>
        <v/>
      </c>
      <c r="M124" s="11">
        <f>IF(OR(F124="",G124=""),"",(G124-F124)/F124)</f>
        <v/>
      </c>
      <c r="N124" s="8">
        <f>IF(OR(F124="",G124="",H124=""),"",(H124-F124)/(F124-G124))</f>
        <v/>
      </c>
      <c r="O124" s="3" t="n"/>
      <c r="P124" s="3" t="n"/>
      <c r="Q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11">
        <f>IF(OR(F125="",K125=""),"",(K125-F125)/F125)</f>
        <v/>
      </c>
      <c r="M125" s="11">
        <f>IF(OR(F125="",G125=""),"",(G125-F125)/F125)</f>
        <v/>
      </c>
      <c r="N125" s="8">
        <f>IF(OR(F125="",G125="",H125=""),"",(H125-F125)/(F125-G125))</f>
        <v/>
      </c>
      <c r="O125" s="3" t="n"/>
      <c r="P125" s="3" t="n"/>
      <c r="Q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11">
        <f>IF(OR(F126="",K126=""),"",(K126-F126)/F126)</f>
        <v/>
      </c>
      <c r="M126" s="11">
        <f>IF(OR(F126="",G126=""),"",(G126-F126)/F126)</f>
        <v/>
      </c>
      <c r="N126" s="8">
        <f>IF(OR(F126="",G126="",H126=""),"",(H126-F126)/(F126-G126))</f>
        <v/>
      </c>
      <c r="O126" s="3" t="n"/>
      <c r="P126" s="3" t="n"/>
      <c r="Q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11">
        <f>IF(OR(F127="",K127=""),"",(K127-F127)/F127)</f>
        <v/>
      </c>
      <c r="M127" s="11">
        <f>IF(OR(F127="",G127=""),"",(G127-F127)/F127)</f>
        <v/>
      </c>
      <c r="N127" s="8">
        <f>IF(OR(F127="",G127="",H127=""),"",(H127-F127)/(F127-G127))</f>
        <v/>
      </c>
      <c r="O127" s="3" t="n"/>
      <c r="P127" s="3" t="n"/>
      <c r="Q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11">
        <f>IF(OR(F128="",K128=""),"",(K128-F128)/F128)</f>
        <v/>
      </c>
      <c r="M128" s="11">
        <f>IF(OR(F128="",G128=""),"",(G128-F128)/F128)</f>
        <v/>
      </c>
      <c r="N128" s="8">
        <f>IF(OR(F128="",G128="",H128=""),"",(H128-F128)/(F128-G128))</f>
        <v/>
      </c>
      <c r="O128" s="3" t="n"/>
      <c r="P128" s="3" t="n"/>
      <c r="Q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11">
        <f>IF(OR(F129="",K129=""),"",(K129-F129)/F129)</f>
        <v/>
      </c>
      <c r="M129" s="11">
        <f>IF(OR(F129="",G129=""),"",(G129-F129)/F129)</f>
        <v/>
      </c>
      <c r="N129" s="8">
        <f>IF(OR(F129="",G129="",H129=""),"",(H129-F129)/(F129-G129))</f>
        <v/>
      </c>
      <c r="O129" s="3" t="n"/>
      <c r="P129" s="3" t="n"/>
      <c r="Q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11">
        <f>IF(OR(F130="",K130=""),"",(K130-F130)/F130)</f>
        <v/>
      </c>
      <c r="M130" s="11">
        <f>IF(OR(F130="",G130=""),"",(G130-F130)/F130)</f>
        <v/>
      </c>
      <c r="N130" s="8">
        <f>IF(OR(F130="",G130="",H130=""),"",(H130-F130)/(F130-G130))</f>
        <v/>
      </c>
      <c r="O130" s="3" t="n"/>
      <c r="P130" s="3" t="n"/>
      <c r="Q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11">
        <f>IF(OR(F131="",K131=""),"",(K131-F131)/F131)</f>
        <v/>
      </c>
      <c r="M131" s="11">
        <f>IF(OR(F131="",G131=""),"",(G131-F131)/F131)</f>
        <v/>
      </c>
      <c r="N131" s="8">
        <f>IF(OR(F131="",G131="",H131=""),"",(H131-F131)/(F131-G131))</f>
        <v/>
      </c>
      <c r="O131" s="3" t="n"/>
      <c r="P131" s="3" t="n"/>
      <c r="Q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11">
        <f>IF(OR(F132="",K132=""),"",(K132-F132)/F132)</f>
        <v/>
      </c>
      <c r="M132" s="11">
        <f>IF(OR(F132="",G132=""),"",(G132-F132)/F132)</f>
        <v/>
      </c>
      <c r="N132" s="8">
        <f>IF(OR(F132="",G132="",H132=""),"",(H132-F132)/(F132-G132))</f>
        <v/>
      </c>
      <c r="O132" s="3" t="n"/>
      <c r="P132" s="3" t="n"/>
      <c r="Q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11">
        <f>IF(OR(F133="",K133=""),"",(K133-F133)/F133)</f>
        <v/>
      </c>
      <c r="M133" s="11">
        <f>IF(OR(F133="",G133=""),"",(G133-F133)/F133)</f>
        <v/>
      </c>
      <c r="N133" s="8">
        <f>IF(OR(F133="",G133="",H133=""),"",(H133-F133)/(F133-G133))</f>
        <v/>
      </c>
      <c r="O133" s="3" t="n"/>
      <c r="P133" s="3" t="n"/>
      <c r="Q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11">
        <f>IF(OR(F134="",K134=""),"",(K134-F134)/F134)</f>
        <v/>
      </c>
      <c r="M134" s="11">
        <f>IF(OR(F134="",G134=""),"",(G134-F134)/F134)</f>
        <v/>
      </c>
      <c r="N134" s="8">
        <f>IF(OR(F134="",G134="",H134=""),"",(H134-F134)/(F134-G134))</f>
        <v/>
      </c>
      <c r="O134" s="3" t="n"/>
      <c r="P134" s="3" t="n"/>
      <c r="Q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11">
        <f>IF(OR(F135="",K135=""),"",(K135-F135)/F135)</f>
        <v/>
      </c>
      <c r="M135" s="11">
        <f>IF(OR(F135="",G135=""),"",(G135-F135)/F135)</f>
        <v/>
      </c>
      <c r="N135" s="8">
        <f>IF(OR(F135="",G135="",H135=""),"",(H135-F135)/(F135-G135))</f>
        <v/>
      </c>
      <c r="O135" s="3" t="n"/>
      <c r="P135" s="3" t="n"/>
      <c r="Q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11">
        <f>IF(OR(F136="",K136=""),"",(K136-F136)/F136)</f>
        <v/>
      </c>
      <c r="M136" s="11">
        <f>IF(OR(F136="",G136=""),"",(G136-F136)/F136)</f>
        <v/>
      </c>
      <c r="N136" s="8">
        <f>IF(OR(F136="",G136="",H136=""),"",(H136-F136)/(F136-G136))</f>
        <v/>
      </c>
      <c r="O136" s="3" t="n"/>
      <c r="P136" s="3" t="n"/>
      <c r="Q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11">
        <f>IF(OR(F137="",K137=""),"",(K137-F137)/F137)</f>
        <v/>
      </c>
      <c r="M137" s="11">
        <f>IF(OR(F137="",G137=""),"",(G137-F137)/F137)</f>
        <v/>
      </c>
      <c r="N137" s="8">
        <f>IF(OR(F137="",G137="",H137=""),"",(H137-F137)/(F137-G137))</f>
        <v/>
      </c>
      <c r="O137" s="3" t="n"/>
      <c r="P137" s="3" t="n"/>
      <c r="Q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11">
        <f>IF(OR(F138="",K138=""),"",(K138-F138)/F138)</f>
        <v/>
      </c>
      <c r="M138" s="11">
        <f>IF(OR(F138="",G138=""),"",(G138-F138)/F138)</f>
        <v/>
      </c>
      <c r="N138" s="8">
        <f>IF(OR(F138="",G138="",H138=""),"",(H138-F138)/(F138-G138))</f>
        <v/>
      </c>
      <c r="O138" s="3" t="n"/>
      <c r="P138" s="3" t="n"/>
      <c r="Q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11">
        <f>IF(OR(F139="",K139=""),"",(K139-F139)/F139)</f>
        <v/>
      </c>
      <c r="M139" s="11">
        <f>IF(OR(F139="",G139=""),"",(G139-F139)/F139)</f>
        <v/>
      </c>
      <c r="N139" s="8">
        <f>IF(OR(F139="",G139="",H139=""),"",(H139-F139)/(F139-G139))</f>
        <v/>
      </c>
      <c r="O139" s="3" t="n"/>
      <c r="P139" s="3" t="n"/>
      <c r="Q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11">
        <f>IF(OR(F140="",K140=""),"",(K140-F140)/F140)</f>
        <v/>
      </c>
      <c r="M140" s="11">
        <f>IF(OR(F140="",G140=""),"",(G140-F140)/F140)</f>
        <v/>
      </c>
      <c r="N140" s="8">
        <f>IF(OR(F140="",G140="",H140=""),"",(H140-F140)/(F140-G140))</f>
        <v/>
      </c>
      <c r="O140" s="3" t="n"/>
      <c r="P140" s="3" t="n"/>
      <c r="Q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11">
        <f>IF(OR(F141="",K141=""),"",(K141-F141)/F141)</f>
        <v/>
      </c>
      <c r="M141" s="11">
        <f>IF(OR(F141="",G141=""),"",(G141-F141)/F141)</f>
        <v/>
      </c>
      <c r="N141" s="8">
        <f>IF(OR(F141="",G141="",H141=""),"",(H141-F141)/(F141-G141))</f>
        <v/>
      </c>
      <c r="O141" s="3" t="n"/>
      <c r="P141" s="3" t="n"/>
      <c r="Q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11">
        <f>IF(OR(F142="",K142=""),"",(K142-F142)/F142)</f>
        <v/>
      </c>
      <c r="M142" s="11">
        <f>IF(OR(F142="",G142=""),"",(G142-F142)/F142)</f>
        <v/>
      </c>
      <c r="N142" s="8">
        <f>IF(OR(F142="",G142="",H142=""),"",(H142-F142)/(F142-G142))</f>
        <v/>
      </c>
      <c r="O142" s="3" t="n"/>
      <c r="P142" s="3" t="n"/>
      <c r="Q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11">
        <f>IF(OR(F143="",K143=""),"",(K143-F143)/F143)</f>
        <v/>
      </c>
      <c r="M143" s="11">
        <f>IF(OR(F143="",G143=""),"",(G143-F143)/F143)</f>
        <v/>
      </c>
      <c r="N143" s="8">
        <f>IF(OR(F143="",G143="",H143=""),"",(H143-F143)/(F143-G143))</f>
        <v/>
      </c>
      <c r="O143" s="3" t="n"/>
      <c r="P143" s="3" t="n"/>
      <c r="Q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11">
        <f>IF(OR(F144="",K144=""),"",(K144-F144)/F144)</f>
        <v/>
      </c>
      <c r="M144" s="11">
        <f>IF(OR(F144="",G144=""),"",(G144-F144)/F144)</f>
        <v/>
      </c>
      <c r="N144" s="8">
        <f>IF(OR(F144="",G144="",H144=""),"",(H144-F144)/(F144-G144))</f>
        <v/>
      </c>
      <c r="O144" s="3" t="n"/>
      <c r="P144" s="3" t="n"/>
      <c r="Q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11">
        <f>IF(OR(F145="",K145=""),"",(K145-F145)/F145)</f>
        <v/>
      </c>
      <c r="M145" s="11">
        <f>IF(OR(F145="",G145=""),"",(G145-F145)/F145)</f>
        <v/>
      </c>
      <c r="N145" s="8">
        <f>IF(OR(F145="",G145="",H145=""),"",(H145-F145)/(F145-G145))</f>
        <v/>
      </c>
      <c r="O145" s="3" t="n"/>
      <c r="P145" s="3" t="n"/>
      <c r="Q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11">
        <f>IF(OR(F146="",K146=""),"",(K146-F146)/F146)</f>
        <v/>
      </c>
      <c r="M146" s="11">
        <f>IF(OR(F146="",G146=""),"",(G146-F146)/F146)</f>
        <v/>
      </c>
      <c r="N146" s="8">
        <f>IF(OR(F146="",G146="",H146=""),"",(H146-F146)/(F146-G146))</f>
        <v/>
      </c>
      <c r="O146" s="3" t="n"/>
      <c r="P146" s="3" t="n"/>
      <c r="Q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11">
        <f>IF(OR(F147="",K147=""),"",(K147-F147)/F147)</f>
        <v/>
      </c>
      <c r="M147" s="11">
        <f>IF(OR(F147="",G147=""),"",(G147-F147)/F147)</f>
        <v/>
      </c>
      <c r="N147" s="8">
        <f>IF(OR(F147="",G147="",H147=""),"",(H147-F147)/(F147-G147))</f>
        <v/>
      </c>
      <c r="O147" s="3" t="n"/>
      <c r="P147" s="3" t="n"/>
      <c r="Q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11">
        <f>IF(OR(F148="",K148=""),"",(K148-F148)/F148)</f>
        <v/>
      </c>
      <c r="M148" s="11">
        <f>IF(OR(F148="",G148=""),"",(G148-F148)/F148)</f>
        <v/>
      </c>
      <c r="N148" s="8">
        <f>IF(OR(F148="",G148="",H148=""),"",(H148-F148)/(F148-G148))</f>
        <v/>
      </c>
      <c r="O148" s="3" t="n"/>
      <c r="P148" s="3" t="n"/>
      <c r="Q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11">
        <f>IF(OR(F149="",K149=""),"",(K149-F149)/F149)</f>
        <v/>
      </c>
      <c r="M149" s="11">
        <f>IF(OR(F149="",G149=""),"",(G149-F149)/F149)</f>
        <v/>
      </c>
      <c r="N149" s="8">
        <f>IF(OR(F149="",G149="",H149=""),"",(H149-F149)/(F149-G149))</f>
        <v/>
      </c>
      <c r="O149" s="3" t="n"/>
      <c r="P149" s="3" t="n"/>
      <c r="Q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11">
        <f>IF(OR(F150="",K150=""),"",(K150-F150)/F150)</f>
        <v/>
      </c>
      <c r="M150" s="11">
        <f>IF(OR(F150="",G150=""),"",(G150-F150)/F150)</f>
        <v/>
      </c>
      <c r="N150" s="8">
        <f>IF(OR(F150="",G150="",H150=""),"",(H150-F150)/(F150-G150))</f>
        <v/>
      </c>
      <c r="O150" s="3" t="n"/>
      <c r="P150" s="3" t="n"/>
      <c r="Q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11">
        <f>IF(OR(F151="",K151=""),"",(K151-F151)/F151)</f>
        <v/>
      </c>
      <c r="M151" s="11">
        <f>IF(OR(F151="",G151=""),"",(G151-F151)/F151)</f>
        <v/>
      </c>
      <c r="N151" s="8">
        <f>IF(OR(F151="",G151="",H151=""),"",(H151-F151)/(F151-G151))</f>
        <v/>
      </c>
      <c r="O151" s="3" t="n"/>
      <c r="P151" s="3" t="n"/>
      <c r="Q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11">
        <f>IF(OR(F152="",K152=""),"",(K152-F152)/F152)</f>
        <v/>
      </c>
      <c r="M152" s="11">
        <f>IF(OR(F152="",G152=""),"",(G152-F152)/F152)</f>
        <v/>
      </c>
      <c r="N152" s="8">
        <f>IF(OR(F152="",G152="",H152=""),"",(H152-F152)/(F152-G152))</f>
        <v/>
      </c>
      <c r="O152" s="3" t="n"/>
      <c r="P152" s="3" t="n"/>
      <c r="Q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11">
        <f>IF(OR(F153="",K153=""),"",(K153-F153)/F153)</f>
        <v/>
      </c>
      <c r="M153" s="11">
        <f>IF(OR(F153="",G153=""),"",(G153-F153)/F153)</f>
        <v/>
      </c>
      <c r="N153" s="8">
        <f>IF(OR(F153="",G153="",H153=""),"",(H153-F153)/(F153-G153))</f>
        <v/>
      </c>
      <c r="O153" s="3" t="n"/>
      <c r="P153" s="3" t="n"/>
      <c r="Q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11">
        <f>IF(OR(F154="",K154=""),"",(K154-F154)/F154)</f>
        <v/>
      </c>
      <c r="M154" s="11">
        <f>IF(OR(F154="",G154=""),"",(G154-F154)/F154)</f>
        <v/>
      </c>
      <c r="N154" s="8">
        <f>IF(OR(F154="",G154="",H154=""),"",(H154-F154)/(F154-G154))</f>
        <v/>
      </c>
      <c r="O154" s="3" t="n"/>
      <c r="P154" s="3" t="n"/>
      <c r="Q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11">
        <f>IF(OR(F155="",K155=""),"",(K155-F155)/F155)</f>
        <v/>
      </c>
      <c r="M155" s="11">
        <f>IF(OR(F155="",G155=""),"",(G155-F155)/F155)</f>
        <v/>
      </c>
      <c r="N155" s="8">
        <f>IF(OR(F155="",G155="",H155=""),"",(H155-F155)/(F155-G155))</f>
        <v/>
      </c>
      <c r="O155" s="3" t="n"/>
      <c r="P155" s="3" t="n"/>
      <c r="Q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11">
        <f>IF(OR(F156="",K156=""),"",(K156-F156)/F156)</f>
        <v/>
      </c>
      <c r="M156" s="11">
        <f>IF(OR(F156="",G156=""),"",(G156-F156)/F156)</f>
        <v/>
      </c>
      <c r="N156" s="8">
        <f>IF(OR(F156="",G156="",H156=""),"",(H156-F156)/(F156-G156))</f>
        <v/>
      </c>
      <c r="O156" s="3" t="n"/>
      <c r="P156" s="3" t="n"/>
      <c r="Q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11">
        <f>IF(OR(F157="",K157=""),"",(K157-F157)/F157)</f>
        <v/>
      </c>
      <c r="M157" s="11">
        <f>IF(OR(F157="",G157=""),"",(G157-F157)/F157)</f>
        <v/>
      </c>
      <c r="N157" s="8">
        <f>IF(OR(F157="",G157="",H157=""),"",(H157-F157)/(F157-G157))</f>
        <v/>
      </c>
      <c r="O157" s="3" t="n"/>
      <c r="P157" s="3" t="n"/>
      <c r="Q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11">
        <f>IF(OR(F158="",K158=""),"",(K158-F158)/F158)</f>
        <v/>
      </c>
      <c r="M158" s="11">
        <f>IF(OR(F158="",G158=""),"",(G158-F158)/F158)</f>
        <v/>
      </c>
      <c r="N158" s="8">
        <f>IF(OR(F158="",G158="",H158=""),"",(H158-F158)/(F158-G158))</f>
        <v/>
      </c>
      <c r="O158" s="3" t="n"/>
      <c r="P158" s="3" t="n"/>
      <c r="Q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11">
        <f>IF(OR(F159="",K159=""),"",(K159-F159)/F159)</f>
        <v/>
      </c>
      <c r="M159" s="11">
        <f>IF(OR(F159="",G159=""),"",(G159-F159)/F159)</f>
        <v/>
      </c>
      <c r="N159" s="8">
        <f>IF(OR(F159="",G159="",H159=""),"",(H159-F159)/(F159-G159))</f>
        <v/>
      </c>
      <c r="O159" s="3" t="n"/>
      <c r="P159" s="3" t="n"/>
      <c r="Q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11">
        <f>IF(OR(F160="",K160=""),"",(K160-F160)/F160)</f>
        <v/>
      </c>
      <c r="M160" s="11">
        <f>IF(OR(F160="",G160=""),"",(G160-F160)/F160)</f>
        <v/>
      </c>
      <c r="N160" s="8">
        <f>IF(OR(F160="",G160="",H160=""),"",(H160-F160)/(F160-G160))</f>
        <v/>
      </c>
      <c r="O160" s="3" t="n"/>
      <c r="P160" s="3" t="n"/>
      <c r="Q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11">
        <f>IF(OR(F161="",K161=""),"",(K161-F161)/F161)</f>
        <v/>
      </c>
      <c r="M161" s="11">
        <f>IF(OR(F161="",G161=""),"",(G161-F161)/F161)</f>
        <v/>
      </c>
      <c r="N161" s="8">
        <f>IF(OR(F161="",G161="",H161=""),"",(H161-F161)/(F161-G161))</f>
        <v/>
      </c>
      <c r="O161" s="3" t="n"/>
      <c r="P161" s="3" t="n"/>
      <c r="Q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11">
        <f>IF(OR(F162="",K162=""),"",(K162-F162)/F162)</f>
        <v/>
      </c>
      <c r="M162" s="11">
        <f>IF(OR(F162="",G162=""),"",(G162-F162)/F162)</f>
        <v/>
      </c>
      <c r="N162" s="8">
        <f>IF(OR(F162="",G162="",H162=""),"",(H162-F162)/(F162-G162))</f>
        <v/>
      </c>
      <c r="O162" s="3" t="n"/>
      <c r="P162" s="3" t="n"/>
      <c r="Q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11">
        <f>IF(OR(F163="",K163=""),"",(K163-F163)/F163)</f>
        <v/>
      </c>
      <c r="M163" s="11">
        <f>IF(OR(F163="",G163=""),"",(G163-F163)/F163)</f>
        <v/>
      </c>
      <c r="N163" s="8">
        <f>IF(OR(F163="",G163="",H163=""),"",(H163-F163)/(F163-G163))</f>
        <v/>
      </c>
      <c r="O163" s="3" t="n"/>
      <c r="P163" s="3" t="n"/>
      <c r="Q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11">
        <f>IF(OR(F164="",K164=""),"",(K164-F164)/F164)</f>
        <v/>
      </c>
      <c r="M164" s="11">
        <f>IF(OR(F164="",G164=""),"",(G164-F164)/F164)</f>
        <v/>
      </c>
      <c r="N164" s="8">
        <f>IF(OR(F164="",G164="",H164=""),"",(H164-F164)/(F164-G164))</f>
        <v/>
      </c>
      <c r="O164" s="3" t="n"/>
      <c r="P164" s="3" t="n"/>
      <c r="Q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11">
        <f>IF(OR(F165="",K165=""),"",(K165-F165)/F165)</f>
        <v/>
      </c>
      <c r="M165" s="11">
        <f>IF(OR(F165="",G165=""),"",(G165-F165)/F165)</f>
        <v/>
      </c>
      <c r="N165" s="8">
        <f>IF(OR(F165="",G165="",H165=""),"",(H165-F165)/(F165-G165))</f>
        <v/>
      </c>
      <c r="O165" s="3" t="n"/>
      <c r="P165" s="3" t="n"/>
      <c r="Q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11">
        <f>IF(OR(F166="",K166=""),"",(K166-F166)/F166)</f>
        <v/>
      </c>
      <c r="M166" s="11">
        <f>IF(OR(F166="",G166=""),"",(G166-F166)/F166)</f>
        <v/>
      </c>
      <c r="N166" s="8">
        <f>IF(OR(F166="",G166="",H166=""),"",(H166-F166)/(F166-G166))</f>
        <v/>
      </c>
      <c r="O166" s="3" t="n"/>
      <c r="P166" s="3" t="n"/>
      <c r="Q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11">
        <f>IF(OR(F167="",K167=""),"",(K167-F167)/F167)</f>
        <v/>
      </c>
      <c r="M167" s="11">
        <f>IF(OR(F167="",G167=""),"",(G167-F167)/F167)</f>
        <v/>
      </c>
      <c r="N167" s="8">
        <f>IF(OR(F167="",G167="",H167=""),"",(H167-F167)/(F167-G167))</f>
        <v/>
      </c>
      <c r="O167" s="3" t="n"/>
      <c r="P167" s="3" t="n"/>
      <c r="Q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11">
        <f>IF(OR(F168="",K168=""),"",(K168-F168)/F168)</f>
        <v/>
      </c>
      <c r="M168" s="11">
        <f>IF(OR(F168="",G168=""),"",(G168-F168)/F168)</f>
        <v/>
      </c>
      <c r="N168" s="8">
        <f>IF(OR(F168="",G168="",H168=""),"",(H168-F168)/(F168-G168))</f>
        <v/>
      </c>
      <c r="O168" s="3" t="n"/>
      <c r="P168" s="3" t="n"/>
      <c r="Q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11">
        <f>IF(OR(F169="",K169=""),"",(K169-F169)/F169)</f>
        <v/>
      </c>
      <c r="M169" s="11">
        <f>IF(OR(F169="",G169=""),"",(G169-F169)/F169)</f>
        <v/>
      </c>
      <c r="N169" s="8">
        <f>IF(OR(F169="",G169="",H169=""),"",(H169-F169)/(F169-G169))</f>
        <v/>
      </c>
      <c r="O169" s="3" t="n"/>
      <c r="P169" s="3" t="n"/>
      <c r="Q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11">
        <f>IF(OR(F170="",K170=""),"",(K170-F170)/F170)</f>
        <v/>
      </c>
      <c r="M170" s="11">
        <f>IF(OR(F170="",G170=""),"",(G170-F170)/F170)</f>
        <v/>
      </c>
      <c r="N170" s="8">
        <f>IF(OR(F170="",G170="",H170=""),"",(H170-F170)/(F170-G170))</f>
        <v/>
      </c>
      <c r="O170" s="3" t="n"/>
      <c r="P170" s="3" t="n"/>
      <c r="Q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11">
        <f>IF(OR(F171="",K171=""),"",(K171-F171)/F171)</f>
        <v/>
      </c>
      <c r="M171" s="11">
        <f>IF(OR(F171="",G171=""),"",(G171-F171)/F171)</f>
        <v/>
      </c>
      <c r="N171" s="8">
        <f>IF(OR(F171="",G171="",H171=""),"",(H171-F171)/(F171-G171))</f>
        <v/>
      </c>
      <c r="O171" s="3" t="n"/>
      <c r="P171" s="3" t="n"/>
      <c r="Q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11">
        <f>IF(OR(F172="",K172=""),"",(K172-F172)/F172)</f>
        <v/>
      </c>
      <c r="M172" s="11">
        <f>IF(OR(F172="",G172=""),"",(G172-F172)/F172)</f>
        <v/>
      </c>
      <c r="N172" s="8">
        <f>IF(OR(F172="",G172="",H172=""),"",(H172-F172)/(F172-G172))</f>
        <v/>
      </c>
      <c r="O172" s="3" t="n"/>
      <c r="P172" s="3" t="n"/>
      <c r="Q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11">
        <f>IF(OR(F173="",K173=""),"",(K173-F173)/F173)</f>
        <v/>
      </c>
      <c r="M173" s="11">
        <f>IF(OR(F173="",G173=""),"",(G173-F173)/F173)</f>
        <v/>
      </c>
      <c r="N173" s="8">
        <f>IF(OR(F173="",G173="",H173=""),"",(H173-F173)/(F173-G173))</f>
        <v/>
      </c>
      <c r="O173" s="3" t="n"/>
      <c r="P173" s="3" t="n"/>
      <c r="Q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11">
        <f>IF(OR(F174="",K174=""),"",(K174-F174)/F174)</f>
        <v/>
      </c>
      <c r="M174" s="11">
        <f>IF(OR(F174="",G174=""),"",(G174-F174)/F174)</f>
        <v/>
      </c>
      <c r="N174" s="8">
        <f>IF(OR(F174="",G174="",H174=""),"",(H174-F174)/(F174-G174))</f>
        <v/>
      </c>
      <c r="O174" s="3" t="n"/>
      <c r="P174" s="3" t="n"/>
      <c r="Q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11">
        <f>IF(OR(F175="",K175=""),"",(K175-F175)/F175)</f>
        <v/>
      </c>
      <c r="M175" s="11">
        <f>IF(OR(F175="",G175=""),"",(G175-F175)/F175)</f>
        <v/>
      </c>
      <c r="N175" s="8">
        <f>IF(OR(F175="",G175="",H175=""),"",(H175-F175)/(F175-G175))</f>
        <v/>
      </c>
      <c r="O175" s="3" t="n"/>
      <c r="P175" s="3" t="n"/>
      <c r="Q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11">
        <f>IF(OR(F176="",K176=""),"",(K176-F176)/F176)</f>
        <v/>
      </c>
      <c r="M176" s="11">
        <f>IF(OR(F176="",G176=""),"",(G176-F176)/F176)</f>
        <v/>
      </c>
      <c r="N176" s="8">
        <f>IF(OR(F176="",G176="",H176=""),"",(H176-F176)/(F176-G176))</f>
        <v/>
      </c>
      <c r="O176" s="3" t="n"/>
      <c r="P176" s="3" t="n"/>
      <c r="Q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11">
        <f>IF(OR(F177="",K177=""),"",(K177-F177)/F177)</f>
        <v/>
      </c>
      <c r="M177" s="11">
        <f>IF(OR(F177="",G177=""),"",(G177-F177)/F177)</f>
        <v/>
      </c>
      <c r="N177" s="8">
        <f>IF(OR(F177="",G177="",H177=""),"",(H177-F177)/(F177-G177))</f>
        <v/>
      </c>
      <c r="O177" s="3" t="n"/>
      <c r="P177" s="3" t="n"/>
      <c r="Q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11">
        <f>IF(OR(F178="",K178=""),"",(K178-F178)/F178)</f>
        <v/>
      </c>
      <c r="M178" s="11">
        <f>IF(OR(F178="",G178=""),"",(G178-F178)/F178)</f>
        <v/>
      </c>
      <c r="N178" s="8">
        <f>IF(OR(F178="",G178="",H178=""),"",(H178-F178)/(F178-G178))</f>
        <v/>
      </c>
      <c r="O178" s="3" t="n"/>
      <c r="P178" s="3" t="n"/>
      <c r="Q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11">
        <f>IF(OR(F179="",K179=""),"",(K179-F179)/F179)</f>
        <v/>
      </c>
      <c r="M179" s="11">
        <f>IF(OR(F179="",G179=""),"",(G179-F179)/F179)</f>
        <v/>
      </c>
      <c r="N179" s="8">
        <f>IF(OR(F179="",G179="",H179=""),"",(H179-F179)/(F179-G179))</f>
        <v/>
      </c>
      <c r="O179" s="3" t="n"/>
      <c r="P179" s="3" t="n"/>
      <c r="Q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11">
        <f>IF(OR(F180="",K180=""),"",(K180-F180)/F180)</f>
        <v/>
      </c>
      <c r="M180" s="11">
        <f>IF(OR(F180="",G180=""),"",(G180-F180)/F180)</f>
        <v/>
      </c>
      <c r="N180" s="8">
        <f>IF(OR(F180="",G180="",H180=""),"",(H180-F180)/(F180-G180))</f>
        <v/>
      </c>
      <c r="O180" s="3" t="n"/>
      <c r="P180" s="3" t="n"/>
      <c r="Q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11">
        <f>IF(OR(F181="",K181=""),"",(K181-F181)/F181)</f>
        <v/>
      </c>
      <c r="M181" s="11">
        <f>IF(OR(F181="",G181=""),"",(G181-F181)/F181)</f>
        <v/>
      </c>
      <c r="N181" s="8">
        <f>IF(OR(F181="",G181="",H181=""),"",(H181-F181)/(F181-G181))</f>
        <v/>
      </c>
      <c r="O181" s="3" t="n"/>
      <c r="P181" s="3" t="n"/>
      <c r="Q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11">
        <f>IF(OR(F182="",K182=""),"",(K182-F182)/F182)</f>
        <v/>
      </c>
      <c r="M182" s="11">
        <f>IF(OR(F182="",G182=""),"",(G182-F182)/F182)</f>
        <v/>
      </c>
      <c r="N182" s="8">
        <f>IF(OR(F182="",G182="",H182=""),"",(H182-F182)/(F182-G182))</f>
        <v/>
      </c>
      <c r="O182" s="3" t="n"/>
      <c r="P182" s="3" t="n"/>
      <c r="Q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11">
        <f>IF(OR(F183="",K183=""),"",(K183-F183)/F183)</f>
        <v/>
      </c>
      <c r="M183" s="11">
        <f>IF(OR(F183="",G183=""),"",(G183-F183)/F183)</f>
        <v/>
      </c>
      <c r="N183" s="8">
        <f>IF(OR(F183="",G183="",H183=""),"",(H183-F183)/(F183-G183))</f>
        <v/>
      </c>
      <c r="O183" s="3" t="n"/>
      <c r="P183" s="3" t="n"/>
      <c r="Q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11">
        <f>IF(OR(F184="",K184=""),"",(K184-F184)/F184)</f>
        <v/>
      </c>
      <c r="M184" s="11">
        <f>IF(OR(F184="",G184=""),"",(G184-F184)/F184)</f>
        <v/>
      </c>
      <c r="N184" s="8">
        <f>IF(OR(F184="",G184="",H184=""),"",(H184-F184)/(F184-G184))</f>
        <v/>
      </c>
      <c r="O184" s="3" t="n"/>
      <c r="P184" s="3" t="n"/>
      <c r="Q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11">
        <f>IF(OR(F185="",K185=""),"",(K185-F185)/F185)</f>
        <v/>
      </c>
      <c r="M185" s="11">
        <f>IF(OR(F185="",G185=""),"",(G185-F185)/F185)</f>
        <v/>
      </c>
      <c r="N185" s="8">
        <f>IF(OR(F185="",G185="",H185=""),"",(H185-F185)/(F185-G185))</f>
        <v/>
      </c>
      <c r="O185" s="3" t="n"/>
      <c r="P185" s="3" t="n"/>
      <c r="Q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11">
        <f>IF(OR(F186="",K186=""),"",(K186-F186)/F186)</f>
        <v/>
      </c>
      <c r="M186" s="11">
        <f>IF(OR(F186="",G186=""),"",(G186-F186)/F186)</f>
        <v/>
      </c>
      <c r="N186" s="8">
        <f>IF(OR(F186="",G186="",H186=""),"",(H186-F186)/(F186-G186))</f>
        <v/>
      </c>
      <c r="O186" s="3" t="n"/>
      <c r="P186" s="3" t="n"/>
      <c r="Q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11">
        <f>IF(OR(F187="",K187=""),"",(K187-F187)/F187)</f>
        <v/>
      </c>
      <c r="M187" s="11">
        <f>IF(OR(F187="",G187=""),"",(G187-F187)/F187)</f>
        <v/>
      </c>
      <c r="N187" s="8">
        <f>IF(OR(F187="",G187="",H187=""),"",(H187-F187)/(F187-G187))</f>
        <v/>
      </c>
      <c r="O187" s="3" t="n"/>
      <c r="P187" s="3" t="n"/>
      <c r="Q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11">
        <f>IF(OR(F188="",K188=""),"",(K188-F188)/F188)</f>
        <v/>
      </c>
      <c r="M188" s="11">
        <f>IF(OR(F188="",G188=""),"",(G188-F188)/F188)</f>
        <v/>
      </c>
      <c r="N188" s="8">
        <f>IF(OR(F188="",G188="",H188=""),"",(H188-F188)/(F188-G188))</f>
        <v/>
      </c>
      <c r="O188" s="3" t="n"/>
      <c r="P188" s="3" t="n"/>
      <c r="Q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11">
        <f>IF(OR(F189="",K189=""),"",(K189-F189)/F189)</f>
        <v/>
      </c>
      <c r="M189" s="11">
        <f>IF(OR(F189="",G189=""),"",(G189-F189)/F189)</f>
        <v/>
      </c>
      <c r="N189" s="8">
        <f>IF(OR(F189="",G189="",H189=""),"",(H189-F189)/(F189-G189))</f>
        <v/>
      </c>
      <c r="O189" s="3" t="n"/>
      <c r="P189" s="3" t="n"/>
      <c r="Q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11">
        <f>IF(OR(F190="",K190=""),"",(K190-F190)/F190)</f>
        <v/>
      </c>
      <c r="M190" s="11">
        <f>IF(OR(F190="",G190=""),"",(G190-F190)/F190)</f>
        <v/>
      </c>
      <c r="N190" s="8">
        <f>IF(OR(F190="",G190="",H190=""),"",(H190-F190)/(F190-G190))</f>
        <v/>
      </c>
      <c r="O190" s="3" t="n"/>
      <c r="P190" s="3" t="n"/>
      <c r="Q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11">
        <f>IF(OR(F191="",K191=""),"",(K191-F191)/F191)</f>
        <v/>
      </c>
      <c r="M191" s="11">
        <f>IF(OR(F191="",G191=""),"",(G191-F191)/F191)</f>
        <v/>
      </c>
      <c r="N191" s="8">
        <f>IF(OR(F191="",G191="",H191=""),"",(H191-F191)/(F191-G191))</f>
        <v/>
      </c>
      <c r="O191" s="3" t="n"/>
      <c r="P191" s="3" t="n"/>
      <c r="Q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11">
        <f>IF(OR(F192="",K192=""),"",(K192-F192)/F192)</f>
        <v/>
      </c>
      <c r="M192" s="11">
        <f>IF(OR(F192="",G192=""),"",(G192-F192)/F192)</f>
        <v/>
      </c>
      <c r="N192" s="8">
        <f>IF(OR(F192="",G192="",H192=""),"",(H192-F192)/(F192-G192))</f>
        <v/>
      </c>
      <c r="O192" s="3" t="n"/>
      <c r="P192" s="3" t="n"/>
      <c r="Q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11">
        <f>IF(OR(F193="",K193=""),"",(K193-F193)/F193)</f>
        <v/>
      </c>
      <c r="M193" s="11">
        <f>IF(OR(F193="",G193=""),"",(G193-F193)/F193)</f>
        <v/>
      </c>
      <c r="N193" s="8">
        <f>IF(OR(F193="",G193="",H193=""),"",(H193-F193)/(F193-G193))</f>
        <v/>
      </c>
      <c r="O193" s="3" t="n"/>
      <c r="P193" s="3" t="n"/>
      <c r="Q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11">
        <f>IF(OR(F194="",K194=""),"",(K194-F194)/F194)</f>
        <v/>
      </c>
      <c r="M194" s="11">
        <f>IF(OR(F194="",G194=""),"",(G194-F194)/F194)</f>
        <v/>
      </c>
      <c r="N194" s="8">
        <f>IF(OR(F194="",G194="",H194=""),"",(H194-F194)/(F194-G194))</f>
        <v/>
      </c>
      <c r="O194" s="3" t="n"/>
      <c r="P194" s="3" t="n"/>
      <c r="Q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11">
        <f>IF(OR(F195="",K195=""),"",(K195-F195)/F195)</f>
        <v/>
      </c>
      <c r="M195" s="11">
        <f>IF(OR(F195="",G195=""),"",(G195-F195)/F195)</f>
        <v/>
      </c>
      <c r="N195" s="8">
        <f>IF(OR(F195="",G195="",H195=""),"",(H195-F195)/(F195-G195))</f>
        <v/>
      </c>
      <c r="O195" s="3" t="n"/>
      <c r="P195" s="3" t="n"/>
      <c r="Q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11">
        <f>IF(OR(F196="",K196=""),"",(K196-F196)/F196)</f>
        <v/>
      </c>
      <c r="M196" s="11">
        <f>IF(OR(F196="",G196=""),"",(G196-F196)/F196)</f>
        <v/>
      </c>
      <c r="N196" s="8">
        <f>IF(OR(F196="",G196="",H196=""),"",(H196-F196)/(F196-G196))</f>
        <v/>
      </c>
      <c r="O196" s="3" t="n"/>
      <c r="P196" s="3" t="n"/>
      <c r="Q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11">
        <f>IF(OR(F197="",K197=""),"",(K197-F197)/F197)</f>
        <v/>
      </c>
      <c r="M197" s="11">
        <f>IF(OR(F197="",G197=""),"",(G197-F197)/F197)</f>
        <v/>
      </c>
      <c r="N197" s="8">
        <f>IF(OR(F197="",G197="",H197=""),"",(H197-F197)/(F197-G197))</f>
        <v/>
      </c>
      <c r="O197" s="3" t="n"/>
      <c r="P197" s="3" t="n"/>
      <c r="Q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11">
        <f>IF(OR(F198="",K198=""),"",(K198-F198)/F198)</f>
        <v/>
      </c>
      <c r="M198" s="11">
        <f>IF(OR(F198="",G198=""),"",(G198-F198)/F198)</f>
        <v/>
      </c>
      <c r="N198" s="8">
        <f>IF(OR(F198="",G198="",H198=""),"",(H198-F198)/(F198-G198))</f>
        <v/>
      </c>
      <c r="O198" s="3" t="n"/>
      <c r="P198" s="3" t="n"/>
      <c r="Q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11">
        <f>IF(OR(F199="",K199=""),"",(K199-F199)/F199)</f>
        <v/>
      </c>
      <c r="M199" s="11">
        <f>IF(OR(F199="",G199=""),"",(G199-F199)/F199)</f>
        <v/>
      </c>
      <c r="N199" s="8">
        <f>IF(OR(F199="",G199="",H199=""),"",(H199-F199)/(F199-G199))</f>
        <v/>
      </c>
      <c r="O199" s="3" t="n"/>
      <c r="P199" s="3" t="n"/>
      <c r="Q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11">
        <f>IF(OR(F200="",K200=""),"",(K200-F200)/F200)</f>
        <v/>
      </c>
      <c r="M200" s="11">
        <f>IF(OR(F200="",G200=""),"",(G200-F200)/F200)</f>
        <v/>
      </c>
      <c r="N200" s="8">
        <f>IF(OR(F200="",G200="",H200=""),"",(H200-F200)/(F200-G200))</f>
        <v/>
      </c>
      <c r="O200" s="3" t="n"/>
      <c r="P200" s="3" t="n"/>
      <c r="Q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11">
        <f>IF(OR(F201="",K201=""),"",(K201-F201)/F201)</f>
        <v/>
      </c>
      <c r="M201" s="11">
        <f>IF(OR(F201="",G201=""),"",(G201-F201)/F201)</f>
        <v/>
      </c>
      <c r="N201" s="8">
        <f>IF(OR(F201="",G201="",H201=""),"",(H201-F201)/(F201-G201))</f>
        <v/>
      </c>
      <c r="O201" s="3" t="n"/>
      <c r="P201" s="3" t="n"/>
      <c r="Q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11">
        <f>IF(OR(F202="",K202=""),"",(K202-F202)/F202)</f>
        <v/>
      </c>
      <c r="M202" s="11">
        <f>IF(OR(F202="",G202=""),"",(G202-F202)/F202)</f>
        <v/>
      </c>
      <c r="N202" s="8">
        <f>IF(OR(F202="",G202="",H202=""),"",(H202-F202)/(F202-G202))</f>
        <v/>
      </c>
      <c r="O202" s="3" t="n"/>
      <c r="P202" s="3" t="n"/>
      <c r="Q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11">
        <f>IF(OR(F203="",K203=""),"",(K203-F203)/F203)</f>
        <v/>
      </c>
      <c r="M203" s="11">
        <f>IF(OR(F203="",G203=""),"",(G203-F203)/F203)</f>
        <v/>
      </c>
      <c r="N203" s="8">
        <f>IF(OR(F203="",G203="",H203=""),"",(H203-F203)/(F203-G203))</f>
        <v/>
      </c>
      <c r="O203" s="3" t="n"/>
      <c r="P203" s="3" t="n"/>
      <c r="Q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11">
        <f>IF(OR(F204="",K204=""),"",(K204-F204)/F204)</f>
        <v/>
      </c>
      <c r="M204" s="11">
        <f>IF(OR(F204="",G204=""),"",(G204-F204)/F204)</f>
        <v/>
      </c>
      <c r="N204" s="8">
        <f>IF(OR(F204="",G204="",H204=""),"",(H204-F204)/(F204-G204))</f>
        <v/>
      </c>
      <c r="O204" s="3" t="n"/>
      <c r="P204" s="3" t="n"/>
      <c r="Q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11">
        <f>IF(OR(F205="",K205=""),"",(K205-F205)/F205)</f>
        <v/>
      </c>
      <c r="M205" s="11">
        <f>IF(OR(F205="",G205=""),"",(G205-F205)/F205)</f>
        <v/>
      </c>
      <c r="N205" s="8">
        <f>IF(OR(F205="",G205="",H205=""),"",(H205-F205)/(F205-G205))</f>
        <v/>
      </c>
      <c r="O205" s="3" t="n"/>
      <c r="P205" s="3" t="n"/>
      <c r="Q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11">
        <f>IF(OR(F206="",K206=""),"",(K206-F206)/F206)</f>
        <v/>
      </c>
      <c r="M206" s="11">
        <f>IF(OR(F206="",G206=""),"",(G206-F206)/F206)</f>
        <v/>
      </c>
      <c r="N206" s="8">
        <f>IF(OR(F206="",G206="",H206=""),"",(H206-F206)/(F206-G206))</f>
        <v/>
      </c>
      <c r="O206" s="3" t="n"/>
      <c r="P206" s="3" t="n"/>
      <c r="Q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11">
        <f>IF(OR(F207="",K207=""),"",(K207-F207)/F207)</f>
        <v/>
      </c>
      <c r="M207" s="11">
        <f>IF(OR(F207="",G207=""),"",(G207-F207)/F207)</f>
        <v/>
      </c>
      <c r="N207" s="8">
        <f>IF(OR(F207="",G207="",H207=""),"",(H207-F207)/(F207-G207))</f>
        <v/>
      </c>
      <c r="O207" s="3" t="n"/>
      <c r="P207" s="3" t="n"/>
      <c r="Q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11">
        <f>IF(OR(F208="",K208=""),"",(K208-F208)/F208)</f>
        <v/>
      </c>
      <c r="M208" s="11">
        <f>IF(OR(F208="",G208=""),"",(G208-F208)/F208)</f>
        <v/>
      </c>
      <c r="N208" s="8">
        <f>IF(OR(F208="",G208="",H208=""),"",(H208-F208)/(F208-G208))</f>
        <v/>
      </c>
      <c r="O208" s="3" t="n"/>
      <c r="P208" s="3" t="n"/>
      <c r="Q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11">
        <f>IF(OR(F209="",K209=""),"",(K209-F209)/F209)</f>
        <v/>
      </c>
      <c r="M209" s="11">
        <f>IF(OR(F209="",G209=""),"",(G209-F209)/F209)</f>
        <v/>
      </c>
      <c r="N209" s="8">
        <f>IF(OR(F209="",G209="",H209=""),"",(H209-F209)/(F209-G209))</f>
        <v/>
      </c>
      <c r="O209" s="3" t="n"/>
      <c r="P209" s="3" t="n"/>
      <c r="Q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11">
        <f>IF(OR(F210="",K210=""),"",(K210-F210)/F210)</f>
        <v/>
      </c>
      <c r="M210" s="11">
        <f>IF(OR(F210="",G210=""),"",(G210-F210)/F210)</f>
        <v/>
      </c>
      <c r="N210" s="8">
        <f>IF(OR(F210="",G210="",H210=""),"",(H210-F210)/(F210-G210))</f>
        <v/>
      </c>
      <c r="O210" s="3" t="n"/>
      <c r="P210" s="3" t="n"/>
      <c r="Q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11">
        <f>IF(OR(F211="",K211=""),"",(K211-F211)/F211)</f>
        <v/>
      </c>
      <c r="M211" s="11">
        <f>IF(OR(F211="",G211=""),"",(G211-F211)/F211)</f>
        <v/>
      </c>
      <c r="N211" s="8">
        <f>IF(OR(F211="",G211="",H211=""),"",(H211-F211)/(F211-G211))</f>
        <v/>
      </c>
      <c r="O211" s="3" t="n"/>
      <c r="P211" s="3" t="n"/>
      <c r="Q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11">
        <f>IF(OR(F212="",K212=""),"",(K212-F212)/F212)</f>
        <v/>
      </c>
      <c r="M212" s="11">
        <f>IF(OR(F212="",G212=""),"",(G212-F212)/F212)</f>
        <v/>
      </c>
      <c r="N212" s="8">
        <f>IF(OR(F212="",G212="",H212=""),"",(H212-F212)/(F212-G212))</f>
        <v/>
      </c>
      <c r="O212" s="3" t="n"/>
      <c r="P212" s="3" t="n"/>
      <c r="Q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11">
        <f>IF(OR(F213="",K213=""),"",(K213-F213)/F213)</f>
        <v/>
      </c>
      <c r="M213" s="11">
        <f>IF(OR(F213="",G213=""),"",(G213-F213)/F213)</f>
        <v/>
      </c>
      <c r="N213" s="8">
        <f>IF(OR(F213="",G213="",H213=""),"",(H213-F213)/(F213-G213))</f>
        <v/>
      </c>
      <c r="O213" s="3" t="n"/>
      <c r="P213" s="3" t="n"/>
      <c r="Q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11">
        <f>IF(OR(F214="",K214=""),"",(K214-F214)/F214)</f>
        <v/>
      </c>
      <c r="M214" s="11">
        <f>IF(OR(F214="",G214=""),"",(G214-F214)/F214)</f>
        <v/>
      </c>
      <c r="N214" s="8">
        <f>IF(OR(F214="",G214="",H214=""),"",(H214-F214)/(F214-G214))</f>
        <v/>
      </c>
      <c r="O214" s="3" t="n"/>
      <c r="P214" s="3" t="n"/>
      <c r="Q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11">
        <f>IF(OR(F215="",K215=""),"",(K215-F215)/F215)</f>
        <v/>
      </c>
      <c r="M215" s="11">
        <f>IF(OR(F215="",G215=""),"",(G215-F215)/F215)</f>
        <v/>
      </c>
      <c r="N215" s="8">
        <f>IF(OR(F215="",G215="",H215=""),"",(H215-F215)/(F215-G215))</f>
        <v/>
      </c>
      <c r="O215" s="3" t="n"/>
      <c r="P215" s="3" t="n"/>
      <c r="Q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11">
        <f>IF(OR(F216="",K216=""),"",(K216-F216)/F216)</f>
        <v/>
      </c>
      <c r="M216" s="11">
        <f>IF(OR(F216="",G216=""),"",(G216-F216)/F216)</f>
        <v/>
      </c>
      <c r="N216" s="8">
        <f>IF(OR(F216="",G216="",H216=""),"",(H216-F216)/(F216-G216))</f>
        <v/>
      </c>
      <c r="O216" s="3" t="n"/>
      <c r="P216" s="3" t="n"/>
      <c r="Q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11">
        <f>IF(OR(F217="",K217=""),"",(K217-F217)/F217)</f>
        <v/>
      </c>
      <c r="M217" s="11">
        <f>IF(OR(F217="",G217=""),"",(G217-F217)/F217)</f>
        <v/>
      </c>
      <c r="N217" s="8">
        <f>IF(OR(F217="",G217="",H217=""),"",(H217-F217)/(F217-G217))</f>
        <v/>
      </c>
      <c r="O217" s="3" t="n"/>
      <c r="P217" s="3" t="n"/>
      <c r="Q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11">
        <f>IF(OR(F218="",K218=""),"",(K218-F218)/F218)</f>
        <v/>
      </c>
      <c r="M218" s="11">
        <f>IF(OR(F218="",G218=""),"",(G218-F218)/F218)</f>
        <v/>
      </c>
      <c r="N218" s="8">
        <f>IF(OR(F218="",G218="",H218=""),"",(H218-F218)/(F218-G218))</f>
        <v/>
      </c>
      <c r="O218" s="3" t="n"/>
      <c r="P218" s="3" t="n"/>
      <c r="Q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11">
        <f>IF(OR(F219="",K219=""),"",(K219-F219)/F219)</f>
        <v/>
      </c>
      <c r="M219" s="11">
        <f>IF(OR(F219="",G219=""),"",(G219-F219)/F219)</f>
        <v/>
      </c>
      <c r="N219" s="8">
        <f>IF(OR(F219="",G219="",H219=""),"",(H219-F219)/(F219-G219))</f>
        <v/>
      </c>
      <c r="O219" s="3" t="n"/>
      <c r="P219" s="3" t="n"/>
      <c r="Q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11">
        <f>IF(OR(F220="",K220=""),"",(K220-F220)/F220)</f>
        <v/>
      </c>
      <c r="M220" s="11">
        <f>IF(OR(F220="",G220=""),"",(G220-F220)/F220)</f>
        <v/>
      </c>
      <c r="N220" s="8">
        <f>IF(OR(F220="",G220="",H220=""),"",(H220-F220)/(F220-G220))</f>
        <v/>
      </c>
      <c r="O220" s="3" t="n"/>
      <c r="P220" s="3" t="n"/>
      <c r="Q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11">
        <f>IF(OR(F221="",K221=""),"",(K221-F221)/F221)</f>
        <v/>
      </c>
      <c r="M221" s="11">
        <f>IF(OR(F221="",G221=""),"",(G221-F221)/F221)</f>
        <v/>
      </c>
      <c r="N221" s="8">
        <f>IF(OR(F221="",G221="",H221=""),"",(H221-F221)/(F221-G221))</f>
        <v/>
      </c>
      <c r="O221" s="3" t="n"/>
      <c r="P221" s="3" t="n"/>
      <c r="Q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11">
        <f>IF(OR(F222="",K222=""),"",(K222-F222)/F222)</f>
        <v/>
      </c>
      <c r="M222" s="11">
        <f>IF(OR(F222="",G222=""),"",(G222-F222)/F222)</f>
        <v/>
      </c>
      <c r="N222" s="8">
        <f>IF(OR(F222="",G222="",H222=""),"",(H222-F222)/(F222-G222))</f>
        <v/>
      </c>
      <c r="O222" s="3" t="n"/>
      <c r="P222" s="3" t="n"/>
      <c r="Q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11">
        <f>IF(OR(F223="",K223=""),"",(K223-F223)/F223)</f>
        <v/>
      </c>
      <c r="M223" s="11">
        <f>IF(OR(F223="",G223=""),"",(G223-F223)/F223)</f>
        <v/>
      </c>
      <c r="N223" s="8">
        <f>IF(OR(F223="",G223="",H223=""),"",(H223-F223)/(F223-G223))</f>
        <v/>
      </c>
      <c r="O223" s="3" t="n"/>
      <c r="P223" s="3" t="n"/>
      <c r="Q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11">
        <f>IF(OR(F224="",K224=""),"",(K224-F224)/F224)</f>
        <v/>
      </c>
      <c r="M224" s="11">
        <f>IF(OR(F224="",G224=""),"",(G224-F224)/F224)</f>
        <v/>
      </c>
      <c r="N224" s="8">
        <f>IF(OR(F224="",G224="",H224=""),"",(H224-F224)/(F224-G224))</f>
        <v/>
      </c>
      <c r="O224" s="3" t="n"/>
      <c r="P224" s="3" t="n"/>
      <c r="Q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11">
        <f>IF(OR(F225="",K225=""),"",(K225-F225)/F225)</f>
        <v/>
      </c>
      <c r="M225" s="11">
        <f>IF(OR(F225="",G225=""),"",(G225-F225)/F225)</f>
        <v/>
      </c>
      <c r="N225" s="8">
        <f>IF(OR(F225="",G225="",H225=""),"",(H225-F225)/(F225-G225))</f>
        <v/>
      </c>
      <c r="O225" s="3" t="n"/>
      <c r="P225" s="3" t="n"/>
      <c r="Q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11">
        <f>IF(OR(F226="",K226=""),"",(K226-F226)/F226)</f>
        <v/>
      </c>
      <c r="M226" s="11">
        <f>IF(OR(F226="",G226=""),"",(G226-F226)/F226)</f>
        <v/>
      </c>
      <c r="N226" s="8">
        <f>IF(OR(F226="",G226="",H226=""),"",(H226-F226)/(F226-G226))</f>
        <v/>
      </c>
      <c r="O226" s="3" t="n"/>
      <c r="P226" s="3" t="n"/>
      <c r="Q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11">
        <f>IF(OR(F227="",K227=""),"",(K227-F227)/F227)</f>
        <v/>
      </c>
      <c r="M227" s="11">
        <f>IF(OR(F227="",G227=""),"",(G227-F227)/F227)</f>
        <v/>
      </c>
      <c r="N227" s="8">
        <f>IF(OR(F227="",G227="",H227=""),"",(H227-F227)/(F227-G227))</f>
        <v/>
      </c>
      <c r="O227" s="3" t="n"/>
      <c r="P227" s="3" t="n"/>
      <c r="Q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11">
        <f>IF(OR(F228="",K228=""),"",(K228-F228)/F228)</f>
        <v/>
      </c>
      <c r="M228" s="11">
        <f>IF(OR(F228="",G228=""),"",(G228-F228)/F228)</f>
        <v/>
      </c>
      <c r="N228" s="8">
        <f>IF(OR(F228="",G228="",H228=""),"",(H228-F228)/(F228-G228))</f>
        <v/>
      </c>
      <c r="O228" s="3" t="n"/>
      <c r="P228" s="3" t="n"/>
      <c r="Q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11">
        <f>IF(OR(F229="",K229=""),"",(K229-F229)/F229)</f>
        <v/>
      </c>
      <c r="M229" s="11">
        <f>IF(OR(F229="",G229=""),"",(G229-F229)/F229)</f>
        <v/>
      </c>
      <c r="N229" s="8">
        <f>IF(OR(F229="",G229="",H229=""),"",(H229-F229)/(F229-G229))</f>
        <v/>
      </c>
      <c r="O229" s="3" t="n"/>
      <c r="P229" s="3" t="n"/>
      <c r="Q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11">
        <f>IF(OR(F230="",K230=""),"",(K230-F230)/F230)</f>
        <v/>
      </c>
      <c r="M230" s="11">
        <f>IF(OR(F230="",G230=""),"",(G230-F230)/F230)</f>
        <v/>
      </c>
      <c r="N230" s="8">
        <f>IF(OR(F230="",G230="",H230=""),"",(H230-F230)/(F230-G230))</f>
        <v/>
      </c>
      <c r="O230" s="3" t="n"/>
      <c r="P230" s="3" t="n"/>
      <c r="Q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11">
        <f>IF(OR(F231="",K231=""),"",(K231-F231)/F231)</f>
        <v/>
      </c>
      <c r="M231" s="11">
        <f>IF(OR(F231="",G231=""),"",(G231-F231)/F231)</f>
        <v/>
      </c>
      <c r="N231" s="8">
        <f>IF(OR(F231="",G231="",H231=""),"",(H231-F231)/(F231-G231))</f>
        <v/>
      </c>
      <c r="O231" s="3" t="n"/>
      <c r="P231" s="3" t="n"/>
      <c r="Q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11">
        <f>IF(OR(F232="",K232=""),"",(K232-F232)/F232)</f>
        <v/>
      </c>
      <c r="M232" s="11">
        <f>IF(OR(F232="",G232=""),"",(G232-F232)/F232)</f>
        <v/>
      </c>
      <c r="N232" s="8">
        <f>IF(OR(F232="",G232="",H232=""),"",(H232-F232)/(F232-G232))</f>
        <v/>
      </c>
      <c r="O232" s="3" t="n"/>
      <c r="P232" s="3" t="n"/>
      <c r="Q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11">
        <f>IF(OR(F233="",K233=""),"",(K233-F233)/F233)</f>
        <v/>
      </c>
      <c r="M233" s="11">
        <f>IF(OR(F233="",G233=""),"",(G233-F233)/F233)</f>
        <v/>
      </c>
      <c r="N233" s="8">
        <f>IF(OR(F233="",G233="",H233=""),"",(H233-F233)/(F233-G233))</f>
        <v/>
      </c>
      <c r="O233" s="3" t="n"/>
      <c r="P233" s="3" t="n"/>
      <c r="Q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11">
        <f>IF(OR(F234="",K234=""),"",(K234-F234)/F234)</f>
        <v/>
      </c>
      <c r="M234" s="11">
        <f>IF(OR(F234="",G234=""),"",(G234-F234)/F234)</f>
        <v/>
      </c>
      <c r="N234" s="8">
        <f>IF(OR(F234="",G234="",H234=""),"",(H234-F234)/(F234-G234))</f>
        <v/>
      </c>
      <c r="O234" s="3" t="n"/>
      <c r="P234" s="3" t="n"/>
      <c r="Q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11">
        <f>IF(OR(F235="",K235=""),"",(K235-F235)/F235)</f>
        <v/>
      </c>
      <c r="M235" s="11">
        <f>IF(OR(F235="",G235=""),"",(G235-F235)/F235)</f>
        <v/>
      </c>
      <c r="N235" s="8">
        <f>IF(OR(F235="",G235="",H235=""),"",(H235-F235)/(F235-G235))</f>
        <v/>
      </c>
      <c r="O235" s="3" t="n"/>
      <c r="P235" s="3" t="n"/>
      <c r="Q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11">
        <f>IF(OR(F236="",K236=""),"",(K236-F236)/F236)</f>
        <v/>
      </c>
      <c r="M236" s="11">
        <f>IF(OR(F236="",G236=""),"",(G236-F236)/F236)</f>
        <v/>
      </c>
      <c r="N236" s="8">
        <f>IF(OR(F236="",G236="",H236=""),"",(H236-F236)/(F236-G236))</f>
        <v/>
      </c>
      <c r="O236" s="3" t="n"/>
      <c r="P236" s="3" t="n"/>
      <c r="Q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11">
        <f>IF(OR(F237="",K237=""),"",(K237-F237)/F237)</f>
        <v/>
      </c>
      <c r="M237" s="11">
        <f>IF(OR(F237="",G237=""),"",(G237-F237)/F237)</f>
        <v/>
      </c>
      <c r="N237" s="8">
        <f>IF(OR(F237="",G237="",H237=""),"",(H237-F237)/(F237-G237))</f>
        <v/>
      </c>
      <c r="O237" s="3" t="n"/>
      <c r="P237" s="3" t="n"/>
      <c r="Q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11">
        <f>IF(OR(F238="",K238=""),"",(K238-F238)/F238)</f>
        <v/>
      </c>
      <c r="M238" s="11">
        <f>IF(OR(F238="",G238=""),"",(G238-F238)/F238)</f>
        <v/>
      </c>
      <c r="N238" s="8">
        <f>IF(OR(F238="",G238="",H238=""),"",(H238-F238)/(F238-G238))</f>
        <v/>
      </c>
      <c r="O238" s="3" t="n"/>
      <c r="P238" s="3" t="n"/>
      <c r="Q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11">
        <f>IF(OR(F239="",K239=""),"",(K239-F239)/F239)</f>
        <v/>
      </c>
      <c r="M239" s="11">
        <f>IF(OR(F239="",G239=""),"",(G239-F239)/F239)</f>
        <v/>
      </c>
      <c r="N239" s="8">
        <f>IF(OR(F239="",G239="",H239=""),"",(H239-F239)/(F239-G239))</f>
        <v/>
      </c>
      <c r="O239" s="3" t="n"/>
      <c r="P239" s="3" t="n"/>
      <c r="Q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11">
        <f>IF(OR(F240="",K240=""),"",(K240-F240)/F240)</f>
        <v/>
      </c>
      <c r="M240" s="11">
        <f>IF(OR(F240="",G240=""),"",(G240-F240)/F240)</f>
        <v/>
      </c>
      <c r="N240" s="8">
        <f>IF(OR(F240="",G240="",H240=""),"",(H240-F240)/(F240-G240))</f>
        <v/>
      </c>
      <c r="O240" s="3" t="n"/>
      <c r="P240" s="3" t="n"/>
      <c r="Q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11">
        <f>IF(OR(F241="",K241=""),"",(K241-F241)/F241)</f>
        <v/>
      </c>
      <c r="M241" s="11">
        <f>IF(OR(F241="",G241=""),"",(G241-F241)/F241)</f>
        <v/>
      </c>
      <c r="N241" s="8">
        <f>IF(OR(F241="",G241="",H241=""),"",(H241-F241)/(F241-G241))</f>
        <v/>
      </c>
      <c r="O241" s="3" t="n"/>
      <c r="P241" s="3" t="n"/>
      <c r="Q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11">
        <f>IF(OR(F242="",K242=""),"",(K242-F242)/F242)</f>
        <v/>
      </c>
      <c r="M242" s="11">
        <f>IF(OR(F242="",G242=""),"",(G242-F242)/F242)</f>
        <v/>
      </c>
      <c r="N242" s="8">
        <f>IF(OR(F242="",G242="",H242=""),"",(H242-F242)/(F242-G242))</f>
        <v/>
      </c>
      <c r="O242" s="3" t="n"/>
      <c r="P242" s="3" t="n"/>
      <c r="Q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11">
        <f>IF(OR(F243="",K243=""),"",(K243-F243)/F243)</f>
        <v/>
      </c>
      <c r="M243" s="11">
        <f>IF(OR(F243="",G243=""),"",(G243-F243)/F243)</f>
        <v/>
      </c>
      <c r="N243" s="8">
        <f>IF(OR(F243="",G243="",H243=""),"",(H243-F243)/(F243-G243))</f>
        <v/>
      </c>
      <c r="O243" s="3" t="n"/>
      <c r="P243" s="3" t="n"/>
      <c r="Q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11">
        <f>IF(OR(F244="",K244=""),"",(K244-F244)/F244)</f>
        <v/>
      </c>
      <c r="M244" s="11">
        <f>IF(OR(F244="",G244=""),"",(G244-F244)/F244)</f>
        <v/>
      </c>
      <c r="N244" s="8">
        <f>IF(OR(F244="",G244="",H244=""),"",(H244-F244)/(F244-G244))</f>
        <v/>
      </c>
      <c r="O244" s="3" t="n"/>
      <c r="P244" s="3" t="n"/>
      <c r="Q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11">
        <f>IF(OR(F245="",K245=""),"",(K245-F245)/F245)</f>
        <v/>
      </c>
      <c r="M245" s="11">
        <f>IF(OR(F245="",G245=""),"",(G245-F245)/F245)</f>
        <v/>
      </c>
      <c r="N245" s="8">
        <f>IF(OR(F245="",G245="",H245=""),"",(H245-F245)/(F245-G245))</f>
        <v/>
      </c>
      <c r="O245" s="3" t="n"/>
      <c r="P245" s="3" t="n"/>
      <c r="Q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11">
        <f>IF(OR(F246="",K246=""),"",(K246-F246)/F246)</f>
        <v/>
      </c>
      <c r="M246" s="11">
        <f>IF(OR(F246="",G246=""),"",(G246-F246)/F246)</f>
        <v/>
      </c>
      <c r="N246" s="8">
        <f>IF(OR(F246="",G246="",H246=""),"",(H246-F246)/(F246-G246))</f>
        <v/>
      </c>
      <c r="O246" s="3" t="n"/>
      <c r="P246" s="3" t="n"/>
      <c r="Q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11">
        <f>IF(OR(F247="",K247=""),"",(K247-F247)/F247)</f>
        <v/>
      </c>
      <c r="M247" s="11">
        <f>IF(OR(F247="",G247=""),"",(G247-F247)/F247)</f>
        <v/>
      </c>
      <c r="N247" s="8">
        <f>IF(OR(F247="",G247="",H247=""),"",(H247-F247)/(F247-G247))</f>
        <v/>
      </c>
      <c r="O247" s="3" t="n"/>
      <c r="P247" s="3" t="n"/>
      <c r="Q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11">
        <f>IF(OR(F248="",K248=""),"",(K248-F248)/F248)</f>
        <v/>
      </c>
      <c r="M248" s="11">
        <f>IF(OR(F248="",G248=""),"",(G248-F248)/F248)</f>
        <v/>
      </c>
      <c r="N248" s="8">
        <f>IF(OR(F248="",G248="",H248=""),"",(H248-F248)/(F248-G248))</f>
        <v/>
      </c>
      <c r="O248" s="3" t="n"/>
      <c r="P248" s="3" t="n"/>
      <c r="Q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11">
        <f>IF(OR(F249="",K249=""),"",(K249-F249)/F249)</f>
        <v/>
      </c>
      <c r="M249" s="11">
        <f>IF(OR(F249="",G249=""),"",(G249-F249)/F249)</f>
        <v/>
      </c>
      <c r="N249" s="8">
        <f>IF(OR(F249="",G249="",H249=""),"",(H249-F249)/(F249-G249))</f>
        <v/>
      </c>
      <c r="O249" s="3" t="n"/>
      <c r="P249" s="3" t="n"/>
      <c r="Q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11">
        <f>IF(OR(F250="",K250=""),"",(K250-F250)/F250)</f>
        <v/>
      </c>
      <c r="M250" s="11">
        <f>IF(OR(F250="",G250=""),"",(G250-F250)/F250)</f>
        <v/>
      </c>
      <c r="N250" s="8">
        <f>IF(OR(F250="",G250="",H250=""),"",(H250-F250)/(F250-G250))</f>
        <v/>
      </c>
      <c r="O250" s="3" t="n"/>
      <c r="P250" s="3" t="n"/>
      <c r="Q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11">
        <f>IF(OR(F251="",K251=""),"",(K251-F251)/F251)</f>
        <v/>
      </c>
      <c r="M251" s="11">
        <f>IF(OR(F251="",G251=""),"",(G251-F251)/F251)</f>
        <v/>
      </c>
      <c r="N251" s="8">
        <f>IF(OR(F251="",G251="",H251=""),"",(H251-F251)/(F251-G251))</f>
        <v/>
      </c>
      <c r="O251" s="3" t="n"/>
      <c r="P251" s="3" t="n"/>
      <c r="Q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11">
        <f>IF(OR(F252="",K252=""),"",(K252-F252)/F252)</f>
        <v/>
      </c>
      <c r="M252" s="11">
        <f>IF(OR(F252="",G252=""),"",(G252-F252)/F252)</f>
        <v/>
      </c>
      <c r="N252" s="8">
        <f>IF(OR(F252="",G252="",H252=""),"",(H252-F252)/(F252-G252))</f>
        <v/>
      </c>
      <c r="O252" s="3" t="n"/>
      <c r="P252" s="3" t="n"/>
      <c r="Q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11">
        <f>IF(OR(F253="",K253=""),"",(K253-F253)/F253)</f>
        <v/>
      </c>
      <c r="M253" s="11">
        <f>IF(OR(F253="",G253=""),"",(G253-F253)/F253)</f>
        <v/>
      </c>
      <c r="N253" s="8">
        <f>IF(OR(F253="",G253="",H253=""),"",(H253-F253)/(F253-G253))</f>
        <v/>
      </c>
      <c r="O253" s="3" t="n"/>
      <c r="P253" s="3" t="n"/>
      <c r="Q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11">
        <f>IF(OR(F254="",K254=""),"",(K254-F254)/F254)</f>
        <v/>
      </c>
      <c r="M254" s="11">
        <f>IF(OR(F254="",G254=""),"",(G254-F254)/F254)</f>
        <v/>
      </c>
      <c r="N254" s="8">
        <f>IF(OR(F254="",G254="",H254=""),"",(H254-F254)/(F254-G254))</f>
        <v/>
      </c>
      <c r="O254" s="3" t="n"/>
      <c r="P254" s="3" t="n"/>
      <c r="Q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11">
        <f>IF(OR(F255="",K255=""),"",(K255-F255)/F255)</f>
        <v/>
      </c>
      <c r="M255" s="11">
        <f>IF(OR(F255="",G255=""),"",(G255-F255)/F255)</f>
        <v/>
      </c>
      <c r="N255" s="8">
        <f>IF(OR(F255="",G255="",H255=""),"",(H255-F255)/(F255-G255))</f>
        <v/>
      </c>
      <c r="O255" s="3" t="n"/>
      <c r="P255" s="3" t="n"/>
      <c r="Q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11">
        <f>IF(OR(F256="",K256=""),"",(K256-F256)/F256)</f>
        <v/>
      </c>
      <c r="M256" s="11">
        <f>IF(OR(F256="",G256=""),"",(G256-F256)/F256)</f>
        <v/>
      </c>
      <c r="N256" s="8">
        <f>IF(OR(F256="",G256="",H256=""),"",(H256-F256)/(F256-G256))</f>
        <v/>
      </c>
      <c r="O256" s="3" t="n"/>
      <c r="P256" s="3" t="n"/>
      <c r="Q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11">
        <f>IF(OR(F257="",K257=""),"",(K257-F257)/F257)</f>
        <v/>
      </c>
      <c r="M257" s="11">
        <f>IF(OR(F257="",G257=""),"",(G257-F257)/F257)</f>
        <v/>
      </c>
      <c r="N257" s="8">
        <f>IF(OR(F257="",G257="",H257=""),"",(H257-F257)/(F257-G257))</f>
        <v/>
      </c>
      <c r="O257" s="3" t="n"/>
      <c r="P257" s="3" t="n"/>
      <c r="Q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11">
        <f>IF(OR(F258="",K258=""),"",(K258-F258)/F258)</f>
        <v/>
      </c>
      <c r="M258" s="11">
        <f>IF(OR(F258="",G258=""),"",(G258-F258)/F258)</f>
        <v/>
      </c>
      <c r="N258" s="8">
        <f>IF(OR(F258="",G258="",H258=""),"",(H258-F258)/(F258-G258))</f>
        <v/>
      </c>
      <c r="O258" s="3" t="n"/>
      <c r="P258" s="3" t="n"/>
      <c r="Q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11">
        <f>IF(OR(F259="",K259=""),"",(K259-F259)/F259)</f>
        <v/>
      </c>
      <c r="M259" s="11">
        <f>IF(OR(F259="",G259=""),"",(G259-F259)/F259)</f>
        <v/>
      </c>
      <c r="N259" s="8">
        <f>IF(OR(F259="",G259="",H259=""),"",(H259-F259)/(F259-G259))</f>
        <v/>
      </c>
      <c r="O259" s="3" t="n"/>
      <c r="P259" s="3" t="n"/>
      <c r="Q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11">
        <f>IF(OR(F260="",K260=""),"",(K260-F260)/F260)</f>
        <v/>
      </c>
      <c r="M260" s="11">
        <f>IF(OR(F260="",G260=""),"",(G260-F260)/F260)</f>
        <v/>
      </c>
      <c r="N260" s="8">
        <f>IF(OR(F260="",G260="",H260=""),"",(H260-F260)/(F260-G260))</f>
        <v/>
      </c>
      <c r="O260" s="3" t="n"/>
      <c r="P260" s="3" t="n"/>
      <c r="Q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11">
        <f>IF(OR(F261="",K261=""),"",(K261-F261)/F261)</f>
        <v/>
      </c>
      <c r="M261" s="11">
        <f>IF(OR(F261="",G261=""),"",(G261-F261)/F261)</f>
        <v/>
      </c>
      <c r="N261" s="8">
        <f>IF(OR(F261="",G261="",H261=""),"",(H261-F261)/(F261-G261))</f>
        <v/>
      </c>
      <c r="O261" s="3" t="n"/>
      <c r="P261" s="3" t="n"/>
      <c r="Q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11">
        <f>IF(OR(F262="",K262=""),"",(K262-F262)/F262)</f>
        <v/>
      </c>
      <c r="M262" s="11">
        <f>IF(OR(F262="",G262=""),"",(G262-F262)/F262)</f>
        <v/>
      </c>
      <c r="N262" s="8">
        <f>IF(OR(F262="",G262="",H262=""),"",(H262-F262)/(F262-G262))</f>
        <v/>
      </c>
      <c r="O262" s="3" t="n"/>
      <c r="P262" s="3" t="n"/>
      <c r="Q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11">
        <f>IF(OR(F263="",K263=""),"",(K263-F263)/F263)</f>
        <v/>
      </c>
      <c r="M263" s="11">
        <f>IF(OR(F263="",G263=""),"",(G263-F263)/F263)</f>
        <v/>
      </c>
      <c r="N263" s="8">
        <f>IF(OR(F263="",G263="",H263=""),"",(H263-F263)/(F263-G263))</f>
        <v/>
      </c>
      <c r="O263" s="3" t="n"/>
      <c r="P263" s="3" t="n"/>
      <c r="Q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11">
        <f>IF(OR(F264="",K264=""),"",(K264-F264)/F264)</f>
        <v/>
      </c>
      <c r="M264" s="11">
        <f>IF(OR(F264="",G264=""),"",(G264-F264)/F264)</f>
        <v/>
      </c>
      <c r="N264" s="8">
        <f>IF(OR(F264="",G264="",H264=""),"",(H264-F264)/(F264-G264))</f>
        <v/>
      </c>
      <c r="O264" s="3" t="n"/>
      <c r="P264" s="3" t="n"/>
      <c r="Q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11">
        <f>IF(OR(F265="",K265=""),"",(K265-F265)/F265)</f>
        <v/>
      </c>
      <c r="M265" s="11">
        <f>IF(OR(F265="",G265=""),"",(G265-F265)/F265)</f>
        <v/>
      </c>
      <c r="N265" s="8">
        <f>IF(OR(F265="",G265="",H265=""),"",(H265-F265)/(F265-G265))</f>
        <v/>
      </c>
      <c r="O265" s="3" t="n"/>
      <c r="P265" s="3" t="n"/>
      <c r="Q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11">
        <f>IF(OR(F266="",K266=""),"",(K266-F266)/F266)</f>
        <v/>
      </c>
      <c r="M266" s="11">
        <f>IF(OR(F266="",G266=""),"",(G266-F266)/F266)</f>
        <v/>
      </c>
      <c r="N266" s="8">
        <f>IF(OR(F266="",G266="",H266=""),"",(H266-F266)/(F266-G266))</f>
        <v/>
      </c>
      <c r="O266" s="3" t="n"/>
      <c r="P266" s="3" t="n"/>
      <c r="Q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11">
        <f>IF(OR(F267="",K267=""),"",(K267-F267)/F267)</f>
        <v/>
      </c>
      <c r="M267" s="11">
        <f>IF(OR(F267="",G267=""),"",(G267-F267)/F267)</f>
        <v/>
      </c>
      <c r="N267" s="8">
        <f>IF(OR(F267="",G267="",H267=""),"",(H267-F267)/(F267-G267))</f>
        <v/>
      </c>
      <c r="O267" s="3" t="n"/>
      <c r="P267" s="3" t="n"/>
      <c r="Q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11">
        <f>IF(OR(F268="",K268=""),"",(K268-F268)/F268)</f>
        <v/>
      </c>
      <c r="M268" s="11">
        <f>IF(OR(F268="",G268=""),"",(G268-F268)/F268)</f>
        <v/>
      </c>
      <c r="N268" s="8">
        <f>IF(OR(F268="",G268="",H268=""),"",(H268-F268)/(F268-G268))</f>
        <v/>
      </c>
      <c r="O268" s="3" t="n"/>
      <c r="P268" s="3" t="n"/>
      <c r="Q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11">
        <f>IF(OR(F269="",K269=""),"",(K269-F269)/F269)</f>
        <v/>
      </c>
      <c r="M269" s="11">
        <f>IF(OR(F269="",G269=""),"",(G269-F269)/F269)</f>
        <v/>
      </c>
      <c r="N269" s="8">
        <f>IF(OR(F269="",G269="",H269=""),"",(H269-F269)/(F269-G269))</f>
        <v/>
      </c>
      <c r="O269" s="3" t="n"/>
      <c r="P269" s="3" t="n"/>
      <c r="Q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11">
        <f>IF(OR(F270="",K270=""),"",(K270-F270)/F270)</f>
        <v/>
      </c>
      <c r="M270" s="11">
        <f>IF(OR(F270="",G270=""),"",(G270-F270)/F270)</f>
        <v/>
      </c>
      <c r="N270" s="8">
        <f>IF(OR(F270="",G270="",H270=""),"",(H270-F270)/(F270-G270))</f>
        <v/>
      </c>
      <c r="O270" s="3" t="n"/>
      <c r="P270" s="3" t="n"/>
      <c r="Q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11">
        <f>IF(OR(F271="",K271=""),"",(K271-F271)/F271)</f>
        <v/>
      </c>
      <c r="M271" s="11">
        <f>IF(OR(F271="",G271=""),"",(G271-F271)/F271)</f>
        <v/>
      </c>
      <c r="N271" s="8">
        <f>IF(OR(F271="",G271="",H271=""),"",(H271-F271)/(F271-G271))</f>
        <v/>
      </c>
      <c r="O271" s="3" t="n"/>
      <c r="P271" s="3" t="n"/>
      <c r="Q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11">
        <f>IF(OR(F272="",K272=""),"",(K272-F272)/F272)</f>
        <v/>
      </c>
      <c r="M272" s="11">
        <f>IF(OR(F272="",G272=""),"",(G272-F272)/F272)</f>
        <v/>
      </c>
      <c r="N272" s="8">
        <f>IF(OR(F272="",G272="",H272=""),"",(H272-F272)/(F272-G272))</f>
        <v/>
      </c>
      <c r="O272" s="3" t="n"/>
      <c r="P272" s="3" t="n"/>
      <c r="Q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11">
        <f>IF(OR(F273="",K273=""),"",(K273-F273)/F273)</f>
        <v/>
      </c>
      <c r="M273" s="11">
        <f>IF(OR(F273="",G273=""),"",(G273-F273)/F273)</f>
        <v/>
      </c>
      <c r="N273" s="8">
        <f>IF(OR(F273="",G273="",H273=""),"",(H273-F273)/(F273-G273))</f>
        <v/>
      </c>
      <c r="O273" s="3" t="n"/>
      <c r="P273" s="3" t="n"/>
      <c r="Q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11">
        <f>IF(OR(F274="",K274=""),"",(K274-F274)/F274)</f>
        <v/>
      </c>
      <c r="M274" s="11">
        <f>IF(OR(F274="",G274=""),"",(G274-F274)/F274)</f>
        <v/>
      </c>
      <c r="N274" s="8">
        <f>IF(OR(F274="",G274="",H274=""),"",(H274-F274)/(F274-G274))</f>
        <v/>
      </c>
      <c r="O274" s="3" t="n"/>
      <c r="P274" s="3" t="n"/>
      <c r="Q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11">
        <f>IF(OR(F275="",K275=""),"",(K275-F275)/F275)</f>
        <v/>
      </c>
      <c r="M275" s="11">
        <f>IF(OR(F275="",G275=""),"",(G275-F275)/F275)</f>
        <v/>
      </c>
      <c r="N275" s="8">
        <f>IF(OR(F275="",G275="",H275=""),"",(H275-F275)/(F275-G275))</f>
        <v/>
      </c>
      <c r="O275" s="3" t="n"/>
      <c r="P275" s="3" t="n"/>
      <c r="Q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11">
        <f>IF(OR(F276="",K276=""),"",(K276-F276)/F276)</f>
        <v/>
      </c>
      <c r="M276" s="11">
        <f>IF(OR(F276="",G276=""),"",(G276-F276)/F276)</f>
        <v/>
      </c>
      <c r="N276" s="8">
        <f>IF(OR(F276="",G276="",H276=""),"",(H276-F276)/(F276-G276))</f>
        <v/>
      </c>
      <c r="O276" s="3" t="n"/>
      <c r="P276" s="3" t="n"/>
      <c r="Q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11">
        <f>IF(OR(F277="",K277=""),"",(K277-F277)/F277)</f>
        <v/>
      </c>
      <c r="M277" s="11">
        <f>IF(OR(F277="",G277=""),"",(G277-F277)/F277)</f>
        <v/>
      </c>
      <c r="N277" s="8">
        <f>IF(OR(F277="",G277="",H277=""),"",(H277-F277)/(F277-G277))</f>
        <v/>
      </c>
      <c r="O277" s="3" t="n"/>
      <c r="P277" s="3" t="n"/>
      <c r="Q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11">
        <f>IF(OR(F278="",K278=""),"",(K278-F278)/F278)</f>
        <v/>
      </c>
      <c r="M278" s="11">
        <f>IF(OR(F278="",G278=""),"",(G278-F278)/F278)</f>
        <v/>
      </c>
      <c r="N278" s="8">
        <f>IF(OR(F278="",G278="",H278=""),"",(H278-F278)/(F278-G278))</f>
        <v/>
      </c>
      <c r="O278" s="3" t="n"/>
      <c r="P278" s="3" t="n"/>
      <c r="Q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11">
        <f>IF(OR(F279="",K279=""),"",(K279-F279)/F279)</f>
        <v/>
      </c>
      <c r="M279" s="11">
        <f>IF(OR(F279="",G279=""),"",(G279-F279)/F279)</f>
        <v/>
      </c>
      <c r="N279" s="8">
        <f>IF(OR(F279="",G279="",H279=""),"",(H279-F279)/(F279-G279))</f>
        <v/>
      </c>
      <c r="O279" s="3" t="n"/>
      <c r="P279" s="3" t="n"/>
      <c r="Q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11">
        <f>IF(OR(F280="",K280=""),"",(K280-F280)/F280)</f>
        <v/>
      </c>
      <c r="M280" s="11">
        <f>IF(OR(F280="",G280=""),"",(G280-F280)/F280)</f>
        <v/>
      </c>
      <c r="N280" s="8">
        <f>IF(OR(F280="",G280="",H280=""),"",(H280-F280)/(F280-G280))</f>
        <v/>
      </c>
      <c r="O280" s="3" t="n"/>
      <c r="P280" s="3" t="n"/>
      <c r="Q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11">
        <f>IF(OR(F281="",K281=""),"",(K281-F281)/F281)</f>
        <v/>
      </c>
      <c r="M281" s="11">
        <f>IF(OR(F281="",G281=""),"",(G281-F281)/F281)</f>
        <v/>
      </c>
      <c r="N281" s="8">
        <f>IF(OR(F281="",G281="",H281=""),"",(H281-F281)/(F281-G281))</f>
        <v/>
      </c>
      <c r="O281" s="3" t="n"/>
      <c r="P281" s="3" t="n"/>
      <c r="Q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11">
        <f>IF(OR(F282="",K282=""),"",(K282-F282)/F282)</f>
        <v/>
      </c>
      <c r="M282" s="11">
        <f>IF(OR(F282="",G282=""),"",(G282-F282)/F282)</f>
        <v/>
      </c>
      <c r="N282" s="8">
        <f>IF(OR(F282="",G282="",H282=""),"",(H282-F282)/(F282-G282))</f>
        <v/>
      </c>
      <c r="O282" s="3" t="n"/>
      <c r="P282" s="3" t="n"/>
      <c r="Q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11">
        <f>IF(OR(F283="",K283=""),"",(K283-F283)/F283)</f>
        <v/>
      </c>
      <c r="M283" s="11">
        <f>IF(OR(F283="",G283=""),"",(G283-F283)/F283)</f>
        <v/>
      </c>
      <c r="N283" s="8">
        <f>IF(OR(F283="",G283="",H283=""),"",(H283-F283)/(F283-G283))</f>
        <v/>
      </c>
      <c r="O283" s="3" t="n"/>
      <c r="P283" s="3" t="n"/>
      <c r="Q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11">
        <f>IF(OR(F284="",K284=""),"",(K284-F284)/F284)</f>
        <v/>
      </c>
      <c r="M284" s="11">
        <f>IF(OR(F284="",G284=""),"",(G284-F284)/F284)</f>
        <v/>
      </c>
      <c r="N284" s="8">
        <f>IF(OR(F284="",G284="",H284=""),"",(H284-F284)/(F284-G284))</f>
        <v/>
      </c>
      <c r="O284" s="3" t="n"/>
      <c r="P284" s="3" t="n"/>
      <c r="Q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11">
        <f>IF(OR(F285="",K285=""),"",(K285-F285)/F285)</f>
        <v/>
      </c>
      <c r="M285" s="11">
        <f>IF(OR(F285="",G285=""),"",(G285-F285)/F285)</f>
        <v/>
      </c>
      <c r="N285" s="8">
        <f>IF(OR(F285="",G285="",H285=""),"",(H285-F285)/(F285-G285))</f>
        <v/>
      </c>
      <c r="O285" s="3" t="n"/>
      <c r="P285" s="3" t="n"/>
      <c r="Q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11">
        <f>IF(OR(F286="",K286=""),"",(K286-F286)/F286)</f>
        <v/>
      </c>
      <c r="M286" s="11">
        <f>IF(OR(F286="",G286=""),"",(G286-F286)/F286)</f>
        <v/>
      </c>
      <c r="N286" s="8">
        <f>IF(OR(F286="",G286="",H286=""),"",(H286-F286)/(F286-G286))</f>
        <v/>
      </c>
      <c r="O286" s="3" t="n"/>
      <c r="P286" s="3" t="n"/>
      <c r="Q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11">
        <f>IF(OR(F287="",K287=""),"",(K287-F287)/F287)</f>
        <v/>
      </c>
      <c r="M287" s="11">
        <f>IF(OR(F287="",G287=""),"",(G287-F287)/F287)</f>
        <v/>
      </c>
      <c r="N287" s="8">
        <f>IF(OR(F287="",G287="",H287=""),"",(H287-F287)/(F287-G287))</f>
        <v/>
      </c>
      <c r="O287" s="3" t="n"/>
      <c r="P287" s="3" t="n"/>
      <c r="Q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11">
        <f>IF(OR(F288="",K288=""),"",(K288-F288)/F288)</f>
        <v/>
      </c>
      <c r="M288" s="11">
        <f>IF(OR(F288="",G288=""),"",(G288-F288)/F288)</f>
        <v/>
      </c>
      <c r="N288" s="8">
        <f>IF(OR(F288="",G288="",H288=""),"",(H288-F288)/(F288-G288))</f>
        <v/>
      </c>
      <c r="O288" s="3" t="n"/>
      <c r="P288" s="3" t="n"/>
      <c r="Q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11">
        <f>IF(OR(F289="",K289=""),"",(K289-F289)/F289)</f>
        <v/>
      </c>
      <c r="M289" s="11">
        <f>IF(OR(F289="",G289=""),"",(G289-F289)/F289)</f>
        <v/>
      </c>
      <c r="N289" s="8">
        <f>IF(OR(F289="",G289="",H289=""),"",(H289-F289)/(F289-G289))</f>
        <v/>
      </c>
      <c r="O289" s="3" t="n"/>
      <c r="P289" s="3" t="n"/>
      <c r="Q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11">
        <f>IF(OR(F290="",K290=""),"",(K290-F290)/F290)</f>
        <v/>
      </c>
      <c r="M290" s="11">
        <f>IF(OR(F290="",G290=""),"",(G290-F290)/F290)</f>
        <v/>
      </c>
      <c r="N290" s="8">
        <f>IF(OR(F290="",G290="",H290=""),"",(H290-F290)/(F290-G290))</f>
        <v/>
      </c>
      <c r="O290" s="3" t="n"/>
      <c r="P290" s="3" t="n"/>
      <c r="Q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11">
        <f>IF(OR(F291="",K291=""),"",(K291-F291)/F291)</f>
        <v/>
      </c>
      <c r="M291" s="11">
        <f>IF(OR(F291="",G291=""),"",(G291-F291)/F291)</f>
        <v/>
      </c>
      <c r="N291" s="8">
        <f>IF(OR(F291="",G291="",H291=""),"",(H291-F291)/(F291-G291))</f>
        <v/>
      </c>
      <c r="O291" s="3" t="n"/>
      <c r="P291" s="3" t="n"/>
      <c r="Q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11">
        <f>IF(OR(F292="",K292=""),"",(K292-F292)/F292)</f>
        <v/>
      </c>
      <c r="M292" s="11">
        <f>IF(OR(F292="",G292=""),"",(G292-F292)/F292)</f>
        <v/>
      </c>
      <c r="N292" s="8">
        <f>IF(OR(F292="",G292="",H292=""),"",(H292-F292)/(F292-G292))</f>
        <v/>
      </c>
      <c r="O292" s="3" t="n"/>
      <c r="P292" s="3" t="n"/>
      <c r="Q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11">
        <f>IF(OR(F293="",K293=""),"",(K293-F293)/F293)</f>
        <v/>
      </c>
      <c r="M293" s="11">
        <f>IF(OR(F293="",G293=""),"",(G293-F293)/F293)</f>
        <v/>
      </c>
      <c r="N293" s="8">
        <f>IF(OR(F293="",G293="",H293=""),"",(H293-F293)/(F293-G293))</f>
        <v/>
      </c>
      <c r="O293" s="3" t="n"/>
      <c r="P293" s="3" t="n"/>
      <c r="Q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11">
        <f>IF(OR(F294="",K294=""),"",(K294-F294)/F294)</f>
        <v/>
      </c>
      <c r="M294" s="11">
        <f>IF(OR(F294="",G294=""),"",(G294-F294)/F294)</f>
        <v/>
      </c>
      <c r="N294" s="8">
        <f>IF(OR(F294="",G294="",H294=""),"",(H294-F294)/(F294-G294))</f>
        <v/>
      </c>
      <c r="O294" s="3" t="n"/>
      <c r="P294" s="3" t="n"/>
      <c r="Q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11">
        <f>IF(OR(F295="",K295=""),"",(K295-F295)/F295)</f>
        <v/>
      </c>
      <c r="M295" s="11">
        <f>IF(OR(F295="",G295=""),"",(G295-F295)/F295)</f>
        <v/>
      </c>
      <c r="N295" s="8">
        <f>IF(OR(F295="",G295="",H295=""),"",(H295-F295)/(F295-G295))</f>
        <v/>
      </c>
      <c r="O295" s="3" t="n"/>
      <c r="P295" s="3" t="n"/>
      <c r="Q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11">
        <f>IF(OR(F296="",K296=""),"",(K296-F296)/F296)</f>
        <v/>
      </c>
      <c r="M296" s="11">
        <f>IF(OR(F296="",G296=""),"",(G296-F296)/F296)</f>
        <v/>
      </c>
      <c r="N296" s="8">
        <f>IF(OR(F296="",G296="",H296=""),"",(H296-F296)/(F296-G296))</f>
        <v/>
      </c>
      <c r="O296" s="3" t="n"/>
      <c r="P296" s="3" t="n"/>
      <c r="Q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11">
        <f>IF(OR(F297="",K297=""),"",(K297-F297)/F297)</f>
        <v/>
      </c>
      <c r="M297" s="11">
        <f>IF(OR(F297="",G297=""),"",(G297-F297)/F297)</f>
        <v/>
      </c>
      <c r="N297" s="8">
        <f>IF(OR(F297="",G297="",H297=""),"",(H297-F297)/(F297-G297))</f>
        <v/>
      </c>
      <c r="O297" s="3" t="n"/>
      <c r="P297" s="3" t="n"/>
      <c r="Q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11">
        <f>IF(OR(F298="",K298=""),"",(K298-F298)/F298)</f>
        <v/>
      </c>
      <c r="M298" s="11">
        <f>IF(OR(F298="",G298=""),"",(G298-F298)/F298)</f>
        <v/>
      </c>
      <c r="N298" s="8">
        <f>IF(OR(F298="",G298="",H298=""),"",(H298-F298)/(F298-G298))</f>
        <v/>
      </c>
      <c r="O298" s="3" t="n"/>
      <c r="P298" s="3" t="n"/>
      <c r="Q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11">
        <f>IF(OR(F299="",K299=""),"",(K299-F299)/F299)</f>
        <v/>
      </c>
      <c r="M299" s="11">
        <f>IF(OR(F299="",G299=""),"",(G299-F299)/F299)</f>
        <v/>
      </c>
      <c r="N299" s="8">
        <f>IF(OR(F299="",G299="",H299=""),"",(H299-F299)/(F299-G299))</f>
        <v/>
      </c>
      <c r="O299" s="3" t="n"/>
      <c r="P299" s="3" t="n"/>
      <c r="Q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11">
        <f>IF(OR(F300="",K300=""),"",(K300-F300)/F300)</f>
        <v/>
      </c>
      <c r="M300" s="11">
        <f>IF(OR(F300="",G300=""),"",(G300-F300)/F300)</f>
        <v/>
      </c>
      <c r="N300" s="8">
        <f>IF(OR(F300="",G300="",H300=""),"",(H300-F300)/(F300-G300))</f>
        <v/>
      </c>
      <c r="O300" s="3" t="n"/>
      <c r="P300" s="3" t="n"/>
      <c r="Q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11">
        <f>IF(OR(F301="",K301=""),"",(K301-F301)/F301)</f>
        <v/>
      </c>
      <c r="M301" s="11">
        <f>IF(OR(F301="",G301=""),"",(G301-F301)/F301)</f>
        <v/>
      </c>
      <c r="N301" s="8">
        <f>IF(OR(F301="",G301="",H301=""),"",(H301-F301)/(F301-G301))</f>
        <v/>
      </c>
      <c r="O301" s="3" t="n"/>
      <c r="P301" s="3" t="n"/>
      <c r="Q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11">
        <f>IF(OR(F302="",K302=""),"",(K302-F302)/F302)</f>
        <v/>
      </c>
      <c r="M302" s="11">
        <f>IF(OR(F302="",G302=""),"",(G302-F302)/F302)</f>
        <v/>
      </c>
      <c r="N302" s="8">
        <f>IF(OR(F302="",G302="",H302=""),"",(H302-F302)/(F302-G302))</f>
        <v/>
      </c>
      <c r="O302" s="3" t="n"/>
      <c r="P302" s="3" t="n"/>
      <c r="Q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11">
        <f>IF(OR(F303="",K303=""),"",(K303-F303)/F303)</f>
        <v/>
      </c>
      <c r="M303" s="11">
        <f>IF(OR(F303="",G303=""),"",(G303-F303)/F303)</f>
        <v/>
      </c>
      <c r="N303" s="8">
        <f>IF(OR(F303="",G303="",H303=""),"",(H303-F303)/(F303-G303))</f>
        <v/>
      </c>
      <c r="O303" s="3" t="n"/>
      <c r="P303" s="3" t="n"/>
      <c r="Q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11">
        <f>IF(OR(F304="",K304=""),"",(K304-F304)/F304)</f>
        <v/>
      </c>
      <c r="M304" s="11">
        <f>IF(OR(F304="",G304=""),"",(G304-F304)/F304)</f>
        <v/>
      </c>
      <c r="N304" s="8">
        <f>IF(OR(F304="",G304="",H304=""),"",(H304-F304)/(F304-G304))</f>
        <v/>
      </c>
      <c r="O304" s="3" t="n"/>
      <c r="P304" s="3" t="n"/>
      <c r="Q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11">
        <f>IF(OR(F305="",K305=""),"",(K305-F305)/F305)</f>
        <v/>
      </c>
      <c r="M305" s="11">
        <f>IF(OR(F305="",G305=""),"",(G305-F305)/F305)</f>
        <v/>
      </c>
      <c r="N305" s="8">
        <f>IF(OR(F305="",G305="",H305=""),"",(H305-F305)/(F305-G305))</f>
        <v/>
      </c>
      <c r="O305" s="3" t="n"/>
      <c r="P305" s="3" t="n"/>
      <c r="Q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11">
        <f>IF(OR(F306="",K306=""),"",(K306-F306)/F306)</f>
        <v/>
      </c>
      <c r="M306" s="11">
        <f>IF(OR(F306="",G306=""),"",(G306-F306)/F306)</f>
        <v/>
      </c>
      <c r="N306" s="8">
        <f>IF(OR(F306="",G306="",H306=""),"",(H306-F306)/(F306-G306))</f>
        <v/>
      </c>
      <c r="O306" s="3" t="n"/>
      <c r="P306" s="3" t="n"/>
      <c r="Q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11">
        <f>IF(OR(F307="",K307=""),"",(K307-F307)/F307)</f>
        <v/>
      </c>
      <c r="M307" s="11">
        <f>IF(OR(F307="",G307=""),"",(G307-F307)/F307)</f>
        <v/>
      </c>
      <c r="N307" s="8">
        <f>IF(OR(F307="",G307="",H307=""),"",(H307-F307)/(F307-G307))</f>
        <v/>
      </c>
      <c r="O307" s="3" t="n"/>
      <c r="P307" s="3" t="n"/>
      <c r="Q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11">
        <f>IF(OR(F308="",K308=""),"",(K308-F308)/F308)</f>
        <v/>
      </c>
      <c r="M308" s="11">
        <f>IF(OR(F308="",G308=""),"",(G308-F308)/F308)</f>
        <v/>
      </c>
      <c r="N308" s="8">
        <f>IF(OR(F308="",G308="",H308=""),"",(H308-F308)/(F308-G308))</f>
        <v/>
      </c>
      <c r="O308" s="3" t="n"/>
      <c r="P308" s="3" t="n"/>
      <c r="Q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11">
        <f>IF(OR(F309="",K309=""),"",(K309-F309)/F309)</f>
        <v/>
      </c>
      <c r="M309" s="11">
        <f>IF(OR(F309="",G309=""),"",(G309-F309)/F309)</f>
        <v/>
      </c>
      <c r="N309" s="8">
        <f>IF(OR(F309="",G309="",H309=""),"",(H309-F309)/(F309-G309))</f>
        <v/>
      </c>
      <c r="O309" s="3" t="n"/>
      <c r="P309" s="3" t="n"/>
      <c r="Q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11">
        <f>IF(OR(F310="",K310=""),"",(K310-F310)/F310)</f>
        <v/>
      </c>
      <c r="M310" s="11">
        <f>IF(OR(F310="",G310=""),"",(G310-F310)/F310)</f>
        <v/>
      </c>
      <c r="N310" s="8">
        <f>IF(OR(F310="",G310="",H310=""),"",(H310-F310)/(F310-G310))</f>
        <v/>
      </c>
      <c r="O310" s="3" t="n"/>
      <c r="P310" s="3" t="n"/>
      <c r="Q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11">
        <f>IF(OR(F311="",K311=""),"",(K311-F311)/F311)</f>
        <v/>
      </c>
      <c r="M311" s="11">
        <f>IF(OR(F311="",G311=""),"",(G311-F311)/F311)</f>
        <v/>
      </c>
      <c r="N311" s="8">
        <f>IF(OR(F311="",G311="",H311=""),"",(H311-F311)/(F311-G311))</f>
        <v/>
      </c>
      <c r="O311" s="3" t="n"/>
      <c r="P311" s="3" t="n"/>
      <c r="Q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11">
        <f>IF(OR(F312="",K312=""),"",(K312-F312)/F312)</f>
        <v/>
      </c>
      <c r="M312" s="11">
        <f>IF(OR(F312="",G312=""),"",(G312-F312)/F312)</f>
        <v/>
      </c>
      <c r="N312" s="8">
        <f>IF(OR(F312="",G312="",H312=""),"",(H312-F312)/(F312-G312))</f>
        <v/>
      </c>
      <c r="O312" s="3" t="n"/>
      <c r="P312" s="3" t="n"/>
      <c r="Q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11">
        <f>IF(OR(F313="",K313=""),"",(K313-F313)/F313)</f>
        <v/>
      </c>
      <c r="M313" s="11">
        <f>IF(OR(F313="",G313=""),"",(G313-F313)/F313)</f>
        <v/>
      </c>
      <c r="N313" s="8">
        <f>IF(OR(F313="",G313="",H313=""),"",(H313-F313)/(F313-G313))</f>
        <v/>
      </c>
      <c r="O313" s="3" t="n"/>
      <c r="P313" s="3" t="n"/>
      <c r="Q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11">
        <f>IF(OR(F314="",K314=""),"",(K314-F314)/F314)</f>
        <v/>
      </c>
      <c r="M314" s="11">
        <f>IF(OR(F314="",G314=""),"",(G314-F314)/F314)</f>
        <v/>
      </c>
      <c r="N314" s="8">
        <f>IF(OR(F314="",G314="",H314=""),"",(H314-F314)/(F314-G314))</f>
        <v/>
      </c>
      <c r="O314" s="3" t="n"/>
      <c r="P314" s="3" t="n"/>
      <c r="Q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11">
        <f>IF(OR(F315="",K315=""),"",(K315-F315)/F315)</f>
        <v/>
      </c>
      <c r="M315" s="11">
        <f>IF(OR(F315="",G315=""),"",(G315-F315)/F315)</f>
        <v/>
      </c>
      <c r="N315" s="8">
        <f>IF(OR(F315="",G315="",H315=""),"",(H315-F315)/(F315-G315))</f>
        <v/>
      </c>
      <c r="O315" s="3" t="n"/>
      <c r="P315" s="3" t="n"/>
      <c r="Q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11">
        <f>IF(OR(F316="",K316=""),"",(K316-F316)/F316)</f>
        <v/>
      </c>
      <c r="M316" s="11">
        <f>IF(OR(F316="",G316=""),"",(G316-F316)/F316)</f>
        <v/>
      </c>
      <c r="N316" s="8">
        <f>IF(OR(F316="",G316="",H316=""),"",(H316-F316)/(F316-G316))</f>
        <v/>
      </c>
      <c r="O316" s="3" t="n"/>
      <c r="P316" s="3" t="n"/>
      <c r="Q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11">
        <f>IF(OR(F317="",K317=""),"",(K317-F317)/F317)</f>
        <v/>
      </c>
      <c r="M317" s="11">
        <f>IF(OR(F317="",G317=""),"",(G317-F317)/F317)</f>
        <v/>
      </c>
      <c r="N317" s="8">
        <f>IF(OR(F317="",G317="",H317=""),"",(H317-F317)/(F317-G317))</f>
        <v/>
      </c>
      <c r="O317" s="3" t="n"/>
      <c r="P317" s="3" t="n"/>
      <c r="Q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11">
        <f>IF(OR(F318="",K318=""),"",(K318-F318)/F318)</f>
        <v/>
      </c>
      <c r="M318" s="11">
        <f>IF(OR(F318="",G318=""),"",(G318-F318)/F318)</f>
        <v/>
      </c>
      <c r="N318" s="8">
        <f>IF(OR(F318="",G318="",H318=""),"",(H318-F318)/(F318-G318))</f>
        <v/>
      </c>
      <c r="O318" s="3" t="n"/>
      <c r="P318" s="3" t="n"/>
      <c r="Q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11">
        <f>IF(OR(F319="",K319=""),"",(K319-F319)/F319)</f>
        <v/>
      </c>
      <c r="M319" s="11">
        <f>IF(OR(F319="",G319=""),"",(G319-F319)/F319)</f>
        <v/>
      </c>
      <c r="N319" s="8">
        <f>IF(OR(F319="",G319="",H319=""),"",(H319-F319)/(F319-G319))</f>
        <v/>
      </c>
      <c r="O319" s="3" t="n"/>
      <c r="P319" s="3" t="n"/>
      <c r="Q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11">
        <f>IF(OR(F320="",K320=""),"",(K320-F320)/F320)</f>
        <v/>
      </c>
      <c r="M320" s="11">
        <f>IF(OR(F320="",G320=""),"",(G320-F320)/F320)</f>
        <v/>
      </c>
      <c r="N320" s="8">
        <f>IF(OR(F320="",G320="",H320=""),"",(H320-F320)/(F320-G320))</f>
        <v/>
      </c>
      <c r="O320" s="3" t="n"/>
      <c r="P320" s="3" t="n"/>
      <c r="Q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11">
        <f>IF(OR(F321="",K321=""),"",(K321-F321)/F321)</f>
        <v/>
      </c>
      <c r="M321" s="11">
        <f>IF(OR(F321="",G321=""),"",(G321-F321)/F321)</f>
        <v/>
      </c>
      <c r="N321" s="8">
        <f>IF(OR(F321="",G321="",H321=""),"",(H321-F321)/(F321-G321))</f>
        <v/>
      </c>
      <c r="O321" s="3" t="n"/>
      <c r="P321" s="3" t="n"/>
      <c r="Q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11">
        <f>IF(OR(F322="",K322=""),"",(K322-F322)/F322)</f>
        <v/>
      </c>
      <c r="M322" s="11">
        <f>IF(OR(F322="",G322=""),"",(G322-F322)/F322)</f>
        <v/>
      </c>
      <c r="N322" s="8">
        <f>IF(OR(F322="",G322="",H322=""),"",(H322-F322)/(F322-G322))</f>
        <v/>
      </c>
      <c r="O322" s="3" t="n"/>
      <c r="P322" s="3" t="n"/>
      <c r="Q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11">
        <f>IF(OR(F323="",K323=""),"",(K323-F323)/F323)</f>
        <v/>
      </c>
      <c r="M323" s="11">
        <f>IF(OR(F323="",G323=""),"",(G323-F323)/F323)</f>
        <v/>
      </c>
      <c r="N323" s="8">
        <f>IF(OR(F323="",G323="",H323=""),"",(H323-F323)/(F323-G323))</f>
        <v/>
      </c>
      <c r="O323" s="3" t="n"/>
      <c r="P323" s="3" t="n"/>
      <c r="Q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11">
        <f>IF(OR(F324="",K324=""),"",(K324-F324)/F324)</f>
        <v/>
      </c>
      <c r="M324" s="11">
        <f>IF(OR(F324="",G324=""),"",(G324-F324)/F324)</f>
        <v/>
      </c>
      <c r="N324" s="8">
        <f>IF(OR(F324="",G324="",H324=""),"",(H324-F324)/(F324-G324))</f>
        <v/>
      </c>
      <c r="O324" s="3" t="n"/>
      <c r="P324" s="3" t="n"/>
      <c r="Q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11">
        <f>IF(OR(F325="",K325=""),"",(K325-F325)/F325)</f>
        <v/>
      </c>
      <c r="M325" s="11">
        <f>IF(OR(F325="",G325=""),"",(G325-F325)/F325)</f>
        <v/>
      </c>
      <c r="N325" s="8">
        <f>IF(OR(F325="",G325="",H325=""),"",(H325-F325)/(F325-G325))</f>
        <v/>
      </c>
      <c r="O325" s="3" t="n"/>
      <c r="P325" s="3" t="n"/>
      <c r="Q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11">
        <f>IF(OR(F326="",K326=""),"",(K326-F326)/F326)</f>
        <v/>
      </c>
      <c r="M326" s="11">
        <f>IF(OR(F326="",G326=""),"",(G326-F326)/F326)</f>
        <v/>
      </c>
      <c r="N326" s="8">
        <f>IF(OR(F326="",G326="",H326=""),"",(H326-F326)/(F326-G326))</f>
        <v/>
      </c>
      <c r="O326" s="3" t="n"/>
      <c r="P326" s="3" t="n"/>
      <c r="Q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11">
        <f>IF(OR(F327="",K327=""),"",(K327-F327)/F327)</f>
        <v/>
      </c>
      <c r="M327" s="11">
        <f>IF(OR(F327="",G327=""),"",(G327-F327)/F327)</f>
        <v/>
      </c>
      <c r="N327" s="8">
        <f>IF(OR(F327="",G327="",H327=""),"",(H327-F327)/(F327-G327))</f>
        <v/>
      </c>
      <c r="O327" s="3" t="n"/>
      <c r="P327" s="3" t="n"/>
      <c r="Q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11">
        <f>IF(OR(F328="",K328=""),"",(K328-F328)/F328)</f>
        <v/>
      </c>
      <c r="M328" s="11">
        <f>IF(OR(F328="",G328=""),"",(G328-F328)/F328)</f>
        <v/>
      </c>
      <c r="N328" s="8">
        <f>IF(OR(F328="",G328="",H328=""),"",(H328-F328)/(F328-G328))</f>
        <v/>
      </c>
      <c r="O328" s="3" t="n"/>
      <c r="P328" s="3" t="n"/>
      <c r="Q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11">
        <f>IF(OR(F329="",K329=""),"",(K329-F329)/F329)</f>
        <v/>
      </c>
      <c r="M329" s="11">
        <f>IF(OR(F329="",G329=""),"",(G329-F329)/F329)</f>
        <v/>
      </c>
      <c r="N329" s="8">
        <f>IF(OR(F329="",G329="",H329=""),"",(H329-F329)/(F329-G329))</f>
        <v/>
      </c>
      <c r="O329" s="3" t="n"/>
      <c r="P329" s="3" t="n"/>
      <c r="Q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11">
        <f>IF(OR(F330="",K330=""),"",(K330-F330)/F330)</f>
        <v/>
      </c>
      <c r="M330" s="11">
        <f>IF(OR(F330="",G330=""),"",(G330-F330)/F330)</f>
        <v/>
      </c>
      <c r="N330" s="8">
        <f>IF(OR(F330="",G330="",H330=""),"",(H330-F330)/(F330-G330))</f>
        <v/>
      </c>
      <c r="O330" s="3" t="n"/>
      <c r="P330" s="3" t="n"/>
      <c r="Q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11">
        <f>IF(OR(F331="",K331=""),"",(K331-F331)/F331)</f>
        <v/>
      </c>
      <c r="M331" s="11">
        <f>IF(OR(F331="",G331=""),"",(G331-F331)/F331)</f>
        <v/>
      </c>
      <c r="N331" s="8">
        <f>IF(OR(F331="",G331="",H331=""),"",(H331-F331)/(F331-G331))</f>
        <v/>
      </c>
      <c r="O331" s="3" t="n"/>
      <c r="P331" s="3" t="n"/>
      <c r="Q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11">
        <f>IF(OR(F332="",K332=""),"",(K332-F332)/F332)</f>
        <v/>
      </c>
      <c r="M332" s="11">
        <f>IF(OR(F332="",G332=""),"",(G332-F332)/F332)</f>
        <v/>
      </c>
      <c r="N332" s="8">
        <f>IF(OR(F332="",G332="",H332=""),"",(H332-F332)/(F332-G332))</f>
        <v/>
      </c>
      <c r="O332" s="3" t="n"/>
      <c r="P332" s="3" t="n"/>
      <c r="Q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11">
        <f>IF(OR(F333="",K333=""),"",(K333-F333)/F333)</f>
        <v/>
      </c>
      <c r="M333" s="11">
        <f>IF(OR(F333="",G333=""),"",(G333-F333)/F333)</f>
        <v/>
      </c>
      <c r="N333" s="8">
        <f>IF(OR(F333="",G333="",H333=""),"",(H333-F333)/(F333-G333))</f>
        <v/>
      </c>
      <c r="O333" s="3" t="n"/>
      <c r="P333" s="3" t="n"/>
      <c r="Q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11">
        <f>IF(OR(F334="",K334=""),"",(K334-F334)/F334)</f>
        <v/>
      </c>
      <c r="M334" s="11">
        <f>IF(OR(F334="",G334=""),"",(G334-F334)/F334)</f>
        <v/>
      </c>
      <c r="N334" s="8">
        <f>IF(OR(F334="",G334="",H334=""),"",(H334-F334)/(F334-G334))</f>
        <v/>
      </c>
      <c r="O334" s="3" t="n"/>
      <c r="P334" s="3" t="n"/>
      <c r="Q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11">
        <f>IF(OR(F335="",K335=""),"",(K335-F335)/F335)</f>
        <v/>
      </c>
      <c r="M335" s="11">
        <f>IF(OR(F335="",G335=""),"",(G335-F335)/F335)</f>
        <v/>
      </c>
      <c r="N335" s="8">
        <f>IF(OR(F335="",G335="",H335=""),"",(H335-F335)/(F335-G335))</f>
        <v/>
      </c>
      <c r="O335" s="3" t="n"/>
      <c r="P335" s="3" t="n"/>
      <c r="Q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11">
        <f>IF(OR(F336="",K336=""),"",(K336-F336)/F336)</f>
        <v/>
      </c>
      <c r="M336" s="11">
        <f>IF(OR(F336="",G336=""),"",(G336-F336)/F336)</f>
        <v/>
      </c>
      <c r="N336" s="8">
        <f>IF(OR(F336="",G336="",H336=""),"",(H336-F336)/(F336-G336))</f>
        <v/>
      </c>
      <c r="O336" s="3" t="n"/>
      <c r="P336" s="3" t="n"/>
      <c r="Q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11">
        <f>IF(OR(F337="",K337=""),"",(K337-F337)/F337)</f>
        <v/>
      </c>
      <c r="M337" s="11">
        <f>IF(OR(F337="",G337=""),"",(G337-F337)/F337)</f>
        <v/>
      </c>
      <c r="N337" s="8">
        <f>IF(OR(F337="",G337="",H337=""),"",(H337-F337)/(F337-G337))</f>
        <v/>
      </c>
      <c r="O337" s="3" t="n"/>
      <c r="P337" s="3" t="n"/>
      <c r="Q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11">
        <f>IF(OR(F338="",K338=""),"",(K338-F338)/F338)</f>
        <v/>
      </c>
      <c r="M338" s="11">
        <f>IF(OR(F338="",G338=""),"",(G338-F338)/F338)</f>
        <v/>
      </c>
      <c r="N338" s="8">
        <f>IF(OR(F338="",G338="",H338=""),"",(H338-F338)/(F338-G338))</f>
        <v/>
      </c>
      <c r="O338" s="3" t="n"/>
      <c r="P338" s="3" t="n"/>
      <c r="Q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11">
        <f>IF(OR(F339="",K339=""),"",(K339-F339)/F339)</f>
        <v/>
      </c>
      <c r="M339" s="11">
        <f>IF(OR(F339="",G339=""),"",(G339-F339)/F339)</f>
        <v/>
      </c>
      <c r="N339" s="8">
        <f>IF(OR(F339="",G339="",H339=""),"",(H339-F339)/(F339-G339))</f>
        <v/>
      </c>
      <c r="O339" s="3" t="n"/>
      <c r="P339" s="3" t="n"/>
      <c r="Q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11">
        <f>IF(OR(F340="",K340=""),"",(K340-F340)/F340)</f>
        <v/>
      </c>
      <c r="M340" s="11">
        <f>IF(OR(F340="",G340=""),"",(G340-F340)/F340)</f>
        <v/>
      </c>
      <c r="N340" s="8">
        <f>IF(OR(F340="",G340="",H340=""),"",(H340-F340)/(F340-G340))</f>
        <v/>
      </c>
      <c r="O340" s="3" t="n"/>
      <c r="P340" s="3" t="n"/>
      <c r="Q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11">
        <f>IF(OR(F341="",K341=""),"",(K341-F341)/F341)</f>
        <v/>
      </c>
      <c r="M341" s="11">
        <f>IF(OR(F341="",G341=""),"",(G341-F341)/F341)</f>
        <v/>
      </c>
      <c r="N341" s="8">
        <f>IF(OR(F341="",G341="",H341=""),"",(H341-F341)/(F341-G341))</f>
        <v/>
      </c>
      <c r="O341" s="3" t="n"/>
      <c r="P341" s="3" t="n"/>
      <c r="Q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11">
        <f>IF(OR(F342="",K342=""),"",(K342-F342)/F342)</f>
        <v/>
      </c>
      <c r="M342" s="11">
        <f>IF(OR(F342="",G342=""),"",(G342-F342)/F342)</f>
        <v/>
      </c>
      <c r="N342" s="8">
        <f>IF(OR(F342="",G342="",H342=""),"",(H342-F342)/(F342-G342))</f>
        <v/>
      </c>
      <c r="O342" s="3" t="n"/>
      <c r="P342" s="3" t="n"/>
      <c r="Q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11">
        <f>IF(OR(F343="",K343=""),"",(K343-F343)/F343)</f>
        <v/>
      </c>
      <c r="M343" s="11">
        <f>IF(OR(F343="",G343=""),"",(G343-F343)/F343)</f>
        <v/>
      </c>
      <c r="N343" s="8">
        <f>IF(OR(F343="",G343="",H343=""),"",(H343-F343)/(F343-G343))</f>
        <v/>
      </c>
      <c r="O343" s="3" t="n"/>
      <c r="P343" s="3" t="n"/>
      <c r="Q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11">
        <f>IF(OR(F344="",K344=""),"",(K344-F344)/F344)</f>
        <v/>
      </c>
      <c r="M344" s="11">
        <f>IF(OR(F344="",G344=""),"",(G344-F344)/F344)</f>
        <v/>
      </c>
      <c r="N344" s="8">
        <f>IF(OR(F344="",G344="",H344=""),"",(H344-F344)/(F344-G344))</f>
        <v/>
      </c>
      <c r="O344" s="3" t="n"/>
      <c r="P344" s="3" t="n"/>
      <c r="Q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11">
        <f>IF(OR(F345="",K345=""),"",(K345-F345)/F345)</f>
        <v/>
      </c>
      <c r="M345" s="11">
        <f>IF(OR(F345="",G345=""),"",(G345-F345)/F345)</f>
        <v/>
      </c>
      <c r="N345" s="8">
        <f>IF(OR(F345="",G345="",H345=""),"",(H345-F345)/(F345-G345))</f>
        <v/>
      </c>
      <c r="O345" s="3" t="n"/>
      <c r="P345" s="3" t="n"/>
      <c r="Q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11">
        <f>IF(OR(F346="",K346=""),"",(K346-F346)/F346)</f>
        <v/>
      </c>
      <c r="M346" s="11">
        <f>IF(OR(F346="",G346=""),"",(G346-F346)/F346)</f>
        <v/>
      </c>
      <c r="N346" s="8">
        <f>IF(OR(F346="",G346="",H346=""),"",(H346-F346)/(F346-G346))</f>
        <v/>
      </c>
      <c r="O346" s="3" t="n"/>
      <c r="P346" s="3" t="n"/>
      <c r="Q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11">
        <f>IF(OR(F347="",K347=""),"",(K347-F347)/F347)</f>
        <v/>
      </c>
      <c r="M347" s="11">
        <f>IF(OR(F347="",G347=""),"",(G347-F347)/F347)</f>
        <v/>
      </c>
      <c r="N347" s="8">
        <f>IF(OR(F347="",G347="",H347=""),"",(H347-F347)/(F347-G347))</f>
        <v/>
      </c>
      <c r="O347" s="3" t="n"/>
      <c r="P347" s="3" t="n"/>
      <c r="Q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11">
        <f>IF(OR(F348="",K348=""),"",(K348-F348)/F348)</f>
        <v/>
      </c>
      <c r="M348" s="11">
        <f>IF(OR(F348="",G348=""),"",(G348-F348)/F348)</f>
        <v/>
      </c>
      <c r="N348" s="8">
        <f>IF(OR(F348="",G348="",H348=""),"",(H348-F348)/(F348-G348))</f>
        <v/>
      </c>
      <c r="O348" s="3" t="n"/>
      <c r="P348" s="3" t="n"/>
      <c r="Q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11">
        <f>IF(OR(F349="",K349=""),"",(K349-F349)/F349)</f>
        <v/>
      </c>
      <c r="M349" s="11">
        <f>IF(OR(F349="",G349=""),"",(G349-F349)/F349)</f>
        <v/>
      </c>
      <c r="N349" s="8">
        <f>IF(OR(F349="",G349="",H349=""),"",(H349-F349)/(F349-G349))</f>
        <v/>
      </c>
      <c r="O349" s="3" t="n"/>
      <c r="P349" s="3" t="n"/>
      <c r="Q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11">
        <f>IF(OR(F350="",K350=""),"",(K350-F350)/F350)</f>
        <v/>
      </c>
      <c r="M350" s="11">
        <f>IF(OR(F350="",G350=""),"",(G350-F350)/F350)</f>
        <v/>
      </c>
      <c r="N350" s="8">
        <f>IF(OR(F350="",G350="",H350=""),"",(H350-F350)/(F350-G350))</f>
        <v/>
      </c>
      <c r="O350" s="3" t="n"/>
      <c r="P350" s="3" t="n"/>
      <c r="Q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11">
        <f>IF(OR(F351="",K351=""),"",(K351-F351)/F351)</f>
        <v/>
      </c>
      <c r="M351" s="11">
        <f>IF(OR(F351="",G351=""),"",(G351-F351)/F351)</f>
        <v/>
      </c>
      <c r="N351" s="8">
        <f>IF(OR(F351="",G351="",H351=""),"",(H351-F351)/(F351-G351))</f>
        <v/>
      </c>
      <c r="O351" s="3" t="n"/>
      <c r="P351" s="3" t="n"/>
      <c r="Q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11">
        <f>IF(OR(F352="",K352=""),"",(K352-F352)/F352)</f>
        <v/>
      </c>
      <c r="M352" s="11">
        <f>IF(OR(F352="",G352=""),"",(G352-F352)/F352)</f>
        <v/>
      </c>
      <c r="N352" s="8">
        <f>IF(OR(F352="",G352="",H352=""),"",(H352-F352)/(F352-G352))</f>
        <v/>
      </c>
      <c r="O352" s="3" t="n"/>
      <c r="P352" s="3" t="n"/>
      <c r="Q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11">
        <f>IF(OR(F353="",K353=""),"",(K353-F353)/F353)</f>
        <v/>
      </c>
      <c r="M353" s="11">
        <f>IF(OR(F353="",G353=""),"",(G353-F353)/F353)</f>
        <v/>
      </c>
      <c r="N353" s="8">
        <f>IF(OR(F353="",G353="",H353=""),"",(H353-F353)/(F353-G353))</f>
        <v/>
      </c>
      <c r="O353" s="3" t="n"/>
      <c r="P353" s="3" t="n"/>
      <c r="Q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11">
        <f>IF(OR(F354="",K354=""),"",(K354-F354)/F354)</f>
        <v/>
      </c>
      <c r="M354" s="11">
        <f>IF(OR(F354="",G354=""),"",(G354-F354)/F354)</f>
        <v/>
      </c>
      <c r="N354" s="8">
        <f>IF(OR(F354="",G354="",H354=""),"",(H354-F354)/(F354-G354))</f>
        <v/>
      </c>
      <c r="O354" s="3" t="n"/>
      <c r="P354" s="3" t="n"/>
      <c r="Q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11">
        <f>IF(OR(F355="",K355=""),"",(K355-F355)/F355)</f>
        <v/>
      </c>
      <c r="M355" s="11">
        <f>IF(OR(F355="",G355=""),"",(G355-F355)/F355)</f>
        <v/>
      </c>
      <c r="N355" s="8">
        <f>IF(OR(F355="",G355="",H355=""),"",(H355-F355)/(F355-G355))</f>
        <v/>
      </c>
      <c r="O355" s="3" t="n"/>
      <c r="P355" s="3" t="n"/>
      <c r="Q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11">
        <f>IF(OR(F356="",K356=""),"",(K356-F356)/F356)</f>
        <v/>
      </c>
      <c r="M356" s="11">
        <f>IF(OR(F356="",G356=""),"",(G356-F356)/F356)</f>
        <v/>
      </c>
      <c r="N356" s="8">
        <f>IF(OR(F356="",G356="",H356=""),"",(H356-F356)/(F356-G356))</f>
        <v/>
      </c>
      <c r="O356" s="3" t="n"/>
      <c r="P356" s="3" t="n"/>
      <c r="Q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11">
        <f>IF(OR(F357="",K357=""),"",(K357-F357)/F357)</f>
        <v/>
      </c>
      <c r="M357" s="11">
        <f>IF(OR(F357="",G357=""),"",(G357-F357)/F357)</f>
        <v/>
      </c>
      <c r="N357" s="8">
        <f>IF(OR(F357="",G357="",H357=""),"",(H357-F357)/(F357-G357))</f>
        <v/>
      </c>
      <c r="O357" s="3" t="n"/>
      <c r="P357" s="3" t="n"/>
      <c r="Q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11">
        <f>IF(OR(F358="",K358=""),"",(K358-F358)/F358)</f>
        <v/>
      </c>
      <c r="M358" s="11">
        <f>IF(OR(F358="",G358=""),"",(G358-F358)/F358)</f>
        <v/>
      </c>
      <c r="N358" s="8">
        <f>IF(OR(F358="",G358="",H358=""),"",(H358-F358)/(F358-G358))</f>
        <v/>
      </c>
      <c r="O358" s="3" t="n"/>
      <c r="P358" s="3" t="n"/>
      <c r="Q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11">
        <f>IF(OR(F359="",K359=""),"",(K359-F359)/F359)</f>
        <v/>
      </c>
      <c r="M359" s="11">
        <f>IF(OR(F359="",G359=""),"",(G359-F359)/F359)</f>
        <v/>
      </c>
      <c r="N359" s="8">
        <f>IF(OR(F359="",G359="",H359=""),"",(H359-F359)/(F359-G359))</f>
        <v/>
      </c>
      <c r="O359" s="3" t="n"/>
      <c r="P359" s="3" t="n"/>
      <c r="Q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11">
        <f>IF(OR(F360="",K360=""),"",(K360-F360)/F360)</f>
        <v/>
      </c>
      <c r="M360" s="11">
        <f>IF(OR(F360="",G360=""),"",(G360-F360)/F360)</f>
        <v/>
      </c>
      <c r="N360" s="8">
        <f>IF(OR(F360="",G360="",H360=""),"",(H360-F360)/(F360-G360))</f>
        <v/>
      </c>
      <c r="O360" s="3" t="n"/>
      <c r="P360" s="3" t="n"/>
      <c r="Q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11">
        <f>IF(OR(F361="",K361=""),"",(K361-F361)/F361)</f>
        <v/>
      </c>
      <c r="M361" s="11">
        <f>IF(OR(F361="",G361=""),"",(G361-F361)/F361)</f>
        <v/>
      </c>
      <c r="N361" s="8">
        <f>IF(OR(F361="",G361="",H361=""),"",(H361-F361)/(F361-G361))</f>
        <v/>
      </c>
      <c r="O361" s="3" t="n"/>
      <c r="P361" s="3" t="n"/>
      <c r="Q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11">
        <f>IF(OR(F362="",K362=""),"",(K362-F362)/F362)</f>
        <v/>
      </c>
      <c r="M362" s="11">
        <f>IF(OR(F362="",G362=""),"",(G362-F362)/F362)</f>
        <v/>
      </c>
      <c r="N362" s="8">
        <f>IF(OR(F362="",G362="",H362=""),"",(H362-F362)/(F362-G362))</f>
        <v/>
      </c>
      <c r="O362" s="3" t="n"/>
      <c r="P362" s="3" t="n"/>
      <c r="Q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11">
        <f>IF(OR(F363="",K363=""),"",(K363-F363)/F363)</f>
        <v/>
      </c>
      <c r="M363" s="11">
        <f>IF(OR(F363="",G363=""),"",(G363-F363)/F363)</f>
        <v/>
      </c>
      <c r="N363" s="8">
        <f>IF(OR(F363="",G363="",H363=""),"",(H363-F363)/(F363-G363))</f>
        <v/>
      </c>
      <c r="O363" s="3" t="n"/>
      <c r="P363" s="3" t="n"/>
      <c r="Q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11">
        <f>IF(OR(F364="",K364=""),"",(K364-F364)/F364)</f>
        <v/>
      </c>
      <c r="M364" s="11">
        <f>IF(OR(F364="",G364=""),"",(G364-F364)/F364)</f>
        <v/>
      </c>
      <c r="N364" s="8">
        <f>IF(OR(F364="",G364="",H364=""),"",(H364-F364)/(F364-G364))</f>
        <v/>
      </c>
      <c r="O364" s="3" t="n"/>
      <c r="P364" s="3" t="n"/>
      <c r="Q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11">
        <f>IF(OR(F365="",K365=""),"",(K365-F365)/F365)</f>
        <v/>
      </c>
      <c r="M365" s="11">
        <f>IF(OR(F365="",G365=""),"",(G365-F365)/F365)</f>
        <v/>
      </c>
      <c r="N365" s="8">
        <f>IF(OR(F365="",G365="",H365=""),"",(H365-F365)/(F365-G365))</f>
        <v/>
      </c>
      <c r="O365" s="3" t="n"/>
      <c r="P365" s="3" t="n"/>
      <c r="Q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11">
        <f>IF(OR(F366="",K366=""),"",(K366-F366)/F366)</f>
        <v/>
      </c>
      <c r="M366" s="11">
        <f>IF(OR(F366="",G366=""),"",(G366-F366)/F366)</f>
        <v/>
      </c>
      <c r="N366" s="8">
        <f>IF(OR(F366="",G366="",H366=""),"",(H366-F366)/(F366-G366))</f>
        <v/>
      </c>
      <c r="O366" s="3" t="n"/>
      <c r="P366" s="3" t="n"/>
      <c r="Q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11">
        <f>IF(OR(F367="",K367=""),"",(K367-F367)/F367)</f>
        <v/>
      </c>
      <c r="M367" s="11">
        <f>IF(OR(F367="",G367=""),"",(G367-F367)/F367)</f>
        <v/>
      </c>
      <c r="N367" s="8">
        <f>IF(OR(F367="",G367="",H367=""),"",(H367-F367)/(F367-G367))</f>
        <v/>
      </c>
      <c r="O367" s="3" t="n"/>
      <c r="P367" s="3" t="n"/>
      <c r="Q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11">
        <f>IF(OR(F368="",K368=""),"",(K368-F368)/F368)</f>
        <v/>
      </c>
      <c r="M368" s="11">
        <f>IF(OR(F368="",G368=""),"",(G368-F368)/F368)</f>
        <v/>
      </c>
      <c r="N368" s="8">
        <f>IF(OR(F368="",G368="",H368=""),"",(H368-F368)/(F368-G368))</f>
        <v/>
      </c>
      <c r="O368" s="3" t="n"/>
      <c r="P368" s="3" t="n"/>
      <c r="Q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11">
        <f>IF(OR(F369="",K369=""),"",(K369-F369)/F369)</f>
        <v/>
      </c>
      <c r="M369" s="11">
        <f>IF(OR(F369="",G369=""),"",(G369-F369)/F369)</f>
        <v/>
      </c>
      <c r="N369" s="8">
        <f>IF(OR(F369="",G369="",H369=""),"",(H369-F369)/(F369-G369))</f>
        <v/>
      </c>
      <c r="O369" s="3" t="n"/>
      <c r="P369" s="3" t="n"/>
      <c r="Q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11">
        <f>IF(OR(F370="",K370=""),"",(K370-F370)/F370)</f>
        <v/>
      </c>
      <c r="M370" s="11">
        <f>IF(OR(F370="",G370=""),"",(G370-F370)/F370)</f>
        <v/>
      </c>
      <c r="N370" s="8">
        <f>IF(OR(F370="",G370="",H370=""),"",(H370-F370)/(F370-G370))</f>
        <v/>
      </c>
      <c r="O370" s="3" t="n"/>
      <c r="P370" s="3" t="n"/>
      <c r="Q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11">
        <f>IF(OR(F371="",K371=""),"",(K371-F371)/F371)</f>
        <v/>
      </c>
      <c r="M371" s="11">
        <f>IF(OR(F371="",G371=""),"",(G371-F371)/F371)</f>
        <v/>
      </c>
      <c r="N371" s="8">
        <f>IF(OR(F371="",G371="",H371=""),"",(H371-F371)/(F371-G371))</f>
        <v/>
      </c>
      <c r="O371" s="3" t="n"/>
      <c r="P371" s="3" t="n"/>
      <c r="Q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11">
        <f>IF(OR(F372="",K372=""),"",(K372-F372)/F372)</f>
        <v/>
      </c>
      <c r="M372" s="11">
        <f>IF(OR(F372="",G372=""),"",(G372-F372)/F372)</f>
        <v/>
      </c>
      <c r="N372" s="8">
        <f>IF(OR(F372="",G372="",H372=""),"",(H372-F372)/(F372-G372))</f>
        <v/>
      </c>
      <c r="O372" s="3" t="n"/>
      <c r="P372" s="3" t="n"/>
      <c r="Q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11">
        <f>IF(OR(F373="",K373=""),"",(K373-F373)/F373)</f>
        <v/>
      </c>
      <c r="M373" s="11">
        <f>IF(OR(F373="",G373=""),"",(G373-F373)/F373)</f>
        <v/>
      </c>
      <c r="N373" s="8">
        <f>IF(OR(F373="",G373="",H373=""),"",(H373-F373)/(F373-G373))</f>
        <v/>
      </c>
      <c r="O373" s="3" t="n"/>
      <c r="P373" s="3" t="n"/>
      <c r="Q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11">
        <f>IF(OR(F374="",K374=""),"",(K374-F374)/F374)</f>
        <v/>
      </c>
      <c r="M374" s="11">
        <f>IF(OR(F374="",G374=""),"",(G374-F374)/F374)</f>
        <v/>
      </c>
      <c r="N374" s="8">
        <f>IF(OR(F374="",G374="",H374=""),"",(H374-F374)/(F374-G374))</f>
        <v/>
      </c>
      <c r="O374" s="3" t="n"/>
      <c r="P374" s="3" t="n"/>
      <c r="Q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11">
        <f>IF(OR(F375="",K375=""),"",(K375-F375)/F375)</f>
        <v/>
      </c>
      <c r="M375" s="11">
        <f>IF(OR(F375="",G375=""),"",(G375-F375)/F375)</f>
        <v/>
      </c>
      <c r="N375" s="8">
        <f>IF(OR(F375="",G375="",H375=""),"",(H375-F375)/(F375-G375))</f>
        <v/>
      </c>
      <c r="O375" s="3" t="n"/>
      <c r="P375" s="3" t="n"/>
      <c r="Q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11">
        <f>IF(OR(F376="",K376=""),"",(K376-F376)/F376)</f>
        <v/>
      </c>
      <c r="M376" s="11">
        <f>IF(OR(F376="",G376=""),"",(G376-F376)/F376)</f>
        <v/>
      </c>
      <c r="N376" s="8">
        <f>IF(OR(F376="",G376="",H376=""),"",(H376-F376)/(F376-G376))</f>
        <v/>
      </c>
      <c r="O376" s="3" t="n"/>
      <c r="P376" s="3" t="n"/>
      <c r="Q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11">
        <f>IF(OR(F377="",K377=""),"",(K377-F377)/F377)</f>
        <v/>
      </c>
      <c r="M377" s="11">
        <f>IF(OR(F377="",G377=""),"",(G377-F377)/F377)</f>
        <v/>
      </c>
      <c r="N377" s="8">
        <f>IF(OR(F377="",G377="",H377=""),"",(H377-F377)/(F377-G377))</f>
        <v/>
      </c>
      <c r="O377" s="3" t="n"/>
      <c r="P377" s="3" t="n"/>
      <c r="Q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11">
        <f>IF(OR(F378="",K378=""),"",(K378-F378)/F378)</f>
        <v/>
      </c>
      <c r="M378" s="11">
        <f>IF(OR(F378="",G378=""),"",(G378-F378)/F378)</f>
        <v/>
      </c>
      <c r="N378" s="8">
        <f>IF(OR(F378="",G378="",H378=""),"",(H378-F378)/(F378-G378))</f>
        <v/>
      </c>
      <c r="O378" s="3" t="n"/>
      <c r="P378" s="3" t="n"/>
      <c r="Q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11">
        <f>IF(OR(F379="",K379=""),"",(K379-F379)/F379)</f>
        <v/>
      </c>
      <c r="M379" s="11">
        <f>IF(OR(F379="",G379=""),"",(G379-F379)/F379)</f>
        <v/>
      </c>
      <c r="N379" s="8">
        <f>IF(OR(F379="",G379="",H379=""),"",(H379-F379)/(F379-G379))</f>
        <v/>
      </c>
      <c r="O379" s="3" t="n"/>
      <c r="P379" s="3" t="n"/>
      <c r="Q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11">
        <f>IF(OR(F380="",K380=""),"",(K380-F380)/F380)</f>
        <v/>
      </c>
      <c r="M380" s="11">
        <f>IF(OR(F380="",G380=""),"",(G380-F380)/F380)</f>
        <v/>
      </c>
      <c r="N380" s="8">
        <f>IF(OR(F380="",G380="",H380=""),"",(H380-F380)/(F380-G380))</f>
        <v/>
      </c>
      <c r="O380" s="3" t="n"/>
      <c r="P380" s="3" t="n"/>
      <c r="Q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11">
        <f>IF(OR(F381="",K381=""),"",(K381-F381)/F381)</f>
        <v/>
      </c>
      <c r="M381" s="11">
        <f>IF(OR(F381="",G381=""),"",(G381-F381)/F381)</f>
        <v/>
      </c>
      <c r="N381" s="8">
        <f>IF(OR(F381="",G381="",H381=""),"",(H381-F381)/(F381-G381))</f>
        <v/>
      </c>
      <c r="O381" s="3" t="n"/>
      <c r="P381" s="3" t="n"/>
      <c r="Q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11">
        <f>IF(OR(F382="",K382=""),"",(K382-F382)/F382)</f>
        <v/>
      </c>
      <c r="M382" s="11">
        <f>IF(OR(F382="",G382=""),"",(G382-F382)/F382)</f>
        <v/>
      </c>
      <c r="N382" s="8">
        <f>IF(OR(F382="",G382="",H382=""),"",(H382-F382)/(F382-G382))</f>
        <v/>
      </c>
      <c r="O382" s="3" t="n"/>
      <c r="P382" s="3" t="n"/>
      <c r="Q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11">
        <f>IF(OR(F383="",K383=""),"",(K383-F383)/F383)</f>
        <v/>
      </c>
      <c r="M383" s="11">
        <f>IF(OR(F383="",G383=""),"",(G383-F383)/F383)</f>
        <v/>
      </c>
      <c r="N383" s="8">
        <f>IF(OR(F383="",G383="",H383=""),"",(H383-F383)/(F383-G383))</f>
        <v/>
      </c>
      <c r="O383" s="3" t="n"/>
      <c r="P383" s="3" t="n"/>
      <c r="Q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11">
        <f>IF(OR(F384="",K384=""),"",(K384-F384)/F384)</f>
        <v/>
      </c>
      <c r="M384" s="11">
        <f>IF(OR(F384="",G384=""),"",(G384-F384)/F384)</f>
        <v/>
      </c>
      <c r="N384" s="8">
        <f>IF(OR(F384="",G384="",H384=""),"",(H384-F384)/(F384-G384))</f>
        <v/>
      </c>
      <c r="O384" s="3" t="n"/>
      <c r="P384" s="3" t="n"/>
      <c r="Q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11">
        <f>IF(OR(F385="",K385=""),"",(K385-F385)/F385)</f>
        <v/>
      </c>
      <c r="M385" s="11">
        <f>IF(OR(F385="",G385=""),"",(G385-F385)/F385)</f>
        <v/>
      </c>
      <c r="N385" s="8">
        <f>IF(OR(F385="",G385="",H385=""),"",(H385-F385)/(F385-G385))</f>
        <v/>
      </c>
      <c r="O385" s="3" t="n"/>
      <c r="P385" s="3" t="n"/>
      <c r="Q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11">
        <f>IF(OR(F386="",K386=""),"",(K386-F386)/F386)</f>
        <v/>
      </c>
      <c r="M386" s="11">
        <f>IF(OR(F386="",G386=""),"",(G386-F386)/F386)</f>
        <v/>
      </c>
      <c r="N386" s="8">
        <f>IF(OR(F386="",G386="",H386=""),"",(H386-F386)/(F386-G386))</f>
        <v/>
      </c>
      <c r="O386" s="3" t="n"/>
      <c r="P386" s="3" t="n"/>
      <c r="Q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11">
        <f>IF(OR(F387="",K387=""),"",(K387-F387)/F387)</f>
        <v/>
      </c>
      <c r="M387" s="11">
        <f>IF(OR(F387="",G387=""),"",(G387-F387)/F387)</f>
        <v/>
      </c>
      <c r="N387" s="8">
        <f>IF(OR(F387="",G387="",H387=""),"",(H387-F387)/(F387-G387))</f>
        <v/>
      </c>
      <c r="O387" s="3" t="n"/>
      <c r="P387" s="3" t="n"/>
      <c r="Q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11">
        <f>IF(OR(F388="",K388=""),"",(K388-F388)/F388)</f>
        <v/>
      </c>
      <c r="M388" s="11">
        <f>IF(OR(F388="",G388=""),"",(G388-F388)/F388)</f>
        <v/>
      </c>
      <c r="N388" s="8">
        <f>IF(OR(F388="",G388="",H388=""),"",(H388-F388)/(F388-G388))</f>
        <v/>
      </c>
      <c r="O388" s="3" t="n"/>
      <c r="P388" s="3" t="n"/>
      <c r="Q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11">
        <f>IF(OR(F389="",K389=""),"",(K389-F389)/F389)</f>
        <v/>
      </c>
      <c r="M389" s="11">
        <f>IF(OR(F389="",G389=""),"",(G389-F389)/F389)</f>
        <v/>
      </c>
      <c r="N389" s="8">
        <f>IF(OR(F389="",G389="",H389=""),"",(H389-F389)/(F389-G389))</f>
        <v/>
      </c>
      <c r="O389" s="3" t="n"/>
      <c r="P389" s="3" t="n"/>
      <c r="Q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11">
        <f>IF(OR(F390="",K390=""),"",(K390-F390)/F390)</f>
        <v/>
      </c>
      <c r="M390" s="11">
        <f>IF(OR(F390="",G390=""),"",(G390-F390)/F390)</f>
        <v/>
      </c>
      <c r="N390" s="8">
        <f>IF(OR(F390="",G390="",H390=""),"",(H390-F390)/(F390-G390))</f>
        <v/>
      </c>
      <c r="O390" s="3" t="n"/>
      <c r="P390" s="3" t="n"/>
      <c r="Q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11">
        <f>IF(OR(F391="",K391=""),"",(K391-F391)/F391)</f>
        <v/>
      </c>
      <c r="M391" s="11">
        <f>IF(OR(F391="",G391=""),"",(G391-F391)/F391)</f>
        <v/>
      </c>
      <c r="N391" s="8">
        <f>IF(OR(F391="",G391="",H391=""),"",(H391-F391)/(F391-G391))</f>
        <v/>
      </c>
      <c r="O391" s="3" t="n"/>
      <c r="P391" s="3" t="n"/>
      <c r="Q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11">
        <f>IF(OR(F392="",K392=""),"",(K392-F392)/F392)</f>
        <v/>
      </c>
      <c r="M392" s="11">
        <f>IF(OR(F392="",G392=""),"",(G392-F392)/F392)</f>
        <v/>
      </c>
      <c r="N392" s="8">
        <f>IF(OR(F392="",G392="",H392=""),"",(H392-F392)/(F392-G392))</f>
        <v/>
      </c>
      <c r="O392" s="3" t="n"/>
      <c r="P392" s="3" t="n"/>
      <c r="Q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11">
        <f>IF(OR(F393="",K393=""),"",(K393-F393)/F393)</f>
        <v/>
      </c>
      <c r="M393" s="11">
        <f>IF(OR(F393="",G393=""),"",(G393-F393)/F393)</f>
        <v/>
      </c>
      <c r="N393" s="8">
        <f>IF(OR(F393="",G393="",H393=""),"",(H393-F393)/(F393-G393))</f>
        <v/>
      </c>
      <c r="O393" s="3" t="n"/>
      <c r="P393" s="3" t="n"/>
      <c r="Q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11">
        <f>IF(OR(F394="",K394=""),"",(K394-F394)/F394)</f>
        <v/>
      </c>
      <c r="M394" s="11">
        <f>IF(OR(F394="",G394=""),"",(G394-F394)/F394)</f>
        <v/>
      </c>
      <c r="N394" s="8">
        <f>IF(OR(F394="",G394="",H394=""),"",(H394-F394)/(F394-G394))</f>
        <v/>
      </c>
      <c r="O394" s="3" t="n"/>
      <c r="P394" s="3" t="n"/>
      <c r="Q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11">
        <f>IF(OR(F395="",K395=""),"",(K395-F395)/F395)</f>
        <v/>
      </c>
      <c r="M395" s="11">
        <f>IF(OR(F395="",G395=""),"",(G395-F395)/F395)</f>
        <v/>
      </c>
      <c r="N395" s="8">
        <f>IF(OR(F395="",G395="",H395=""),"",(H395-F395)/(F395-G395))</f>
        <v/>
      </c>
      <c r="O395" s="3" t="n"/>
      <c r="P395" s="3" t="n"/>
      <c r="Q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11">
        <f>IF(OR(F396="",K396=""),"",(K396-F396)/F396)</f>
        <v/>
      </c>
      <c r="M396" s="11">
        <f>IF(OR(F396="",G396=""),"",(G396-F396)/F396)</f>
        <v/>
      </c>
      <c r="N396" s="8">
        <f>IF(OR(F396="",G396="",H396=""),"",(H396-F396)/(F396-G396))</f>
        <v/>
      </c>
      <c r="O396" s="3" t="n"/>
      <c r="P396" s="3" t="n"/>
      <c r="Q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11">
        <f>IF(OR(F397="",K397=""),"",(K397-F397)/F397)</f>
        <v/>
      </c>
      <c r="M397" s="11">
        <f>IF(OR(F397="",G397=""),"",(G397-F397)/F397)</f>
        <v/>
      </c>
      <c r="N397" s="8">
        <f>IF(OR(F397="",G397="",H397=""),"",(H397-F397)/(F397-G397))</f>
        <v/>
      </c>
      <c r="O397" s="3" t="n"/>
      <c r="P397" s="3" t="n"/>
      <c r="Q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11">
        <f>IF(OR(F398="",K398=""),"",(K398-F398)/F398)</f>
        <v/>
      </c>
      <c r="M398" s="11">
        <f>IF(OR(F398="",G398=""),"",(G398-F398)/F398)</f>
        <v/>
      </c>
      <c r="N398" s="8">
        <f>IF(OR(F398="",G398="",H398=""),"",(H398-F398)/(F398-G398))</f>
        <v/>
      </c>
      <c r="O398" s="3" t="n"/>
      <c r="P398" s="3" t="n"/>
      <c r="Q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11">
        <f>IF(OR(F399="",K399=""),"",(K399-F399)/F399)</f>
        <v/>
      </c>
      <c r="M399" s="11">
        <f>IF(OR(F399="",G399=""),"",(G399-F399)/F399)</f>
        <v/>
      </c>
      <c r="N399" s="8">
        <f>IF(OR(F399="",G399="",H399=""),"",(H399-F399)/(F399-G399))</f>
        <v/>
      </c>
      <c r="O399" s="3" t="n"/>
      <c r="P399" s="3" t="n"/>
      <c r="Q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11">
        <f>IF(OR(F400="",K400=""),"",(K400-F400)/F400)</f>
        <v/>
      </c>
      <c r="M400" s="11">
        <f>IF(OR(F400="",G400=""),"",(G400-F400)/F400)</f>
        <v/>
      </c>
      <c r="N400" s="8">
        <f>IF(OR(F400="",G400="",H400=""),"",(H400-F400)/(F400-G400))</f>
        <v/>
      </c>
      <c r="O400" s="3" t="n"/>
      <c r="P400" s="3" t="n"/>
      <c r="Q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11">
        <f>IF(OR(F401="",K401=""),"",(K401-F401)/F401)</f>
        <v/>
      </c>
      <c r="M401" s="11">
        <f>IF(OR(F401="",G401=""),"",(G401-F401)/F401)</f>
        <v/>
      </c>
      <c r="N401" s="8">
        <f>IF(OR(F401="",G401="",H401=""),"",(H401-F401)/(F401-G401))</f>
        <v/>
      </c>
      <c r="O401" s="3" t="n"/>
      <c r="P401" s="3" t="n"/>
      <c r="Q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11">
        <f>IF(OR(F402="",K402=""),"",(K402-F402)/F402)</f>
        <v/>
      </c>
      <c r="M402" s="11">
        <f>IF(OR(F402="",G402=""),"",(G402-F402)/F402)</f>
        <v/>
      </c>
      <c r="N402" s="8">
        <f>IF(OR(F402="",G402="",H402=""),"",(H402-F402)/(F402-G402))</f>
        <v/>
      </c>
      <c r="O402" s="3" t="n"/>
      <c r="P402" s="3" t="n"/>
      <c r="Q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11">
        <f>IF(OR(F403="",K403=""),"",(K403-F403)/F403)</f>
        <v/>
      </c>
      <c r="M403" s="11">
        <f>IF(OR(F403="",G403=""),"",(G403-F403)/F403)</f>
        <v/>
      </c>
      <c r="N403" s="8">
        <f>IF(OR(F403="",G403="",H403=""),"",(H403-F403)/(F403-G403))</f>
        <v/>
      </c>
      <c r="O403" s="3" t="n"/>
      <c r="P403" s="3" t="n"/>
      <c r="Q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11">
        <f>IF(OR(F404="",K404=""),"",(K404-F404)/F404)</f>
        <v/>
      </c>
      <c r="M404" s="11">
        <f>IF(OR(F404="",G404=""),"",(G404-F404)/F404)</f>
        <v/>
      </c>
      <c r="N404" s="8">
        <f>IF(OR(F404="",G404="",H404=""),"",(H404-F404)/(F404-G404))</f>
        <v/>
      </c>
      <c r="O404" s="3" t="n"/>
      <c r="P404" s="3" t="n"/>
      <c r="Q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11">
        <f>IF(OR(F405="",K405=""),"",(K405-F405)/F405)</f>
        <v/>
      </c>
      <c r="M405" s="11">
        <f>IF(OR(F405="",G405=""),"",(G405-F405)/F405)</f>
        <v/>
      </c>
      <c r="N405" s="8">
        <f>IF(OR(F405="",G405="",H405=""),"",(H405-F405)/(F405-G405))</f>
        <v/>
      </c>
      <c r="O405" s="3" t="n"/>
      <c r="P405" s="3" t="n"/>
      <c r="Q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11">
        <f>IF(OR(F406="",K406=""),"",(K406-F406)/F406)</f>
        <v/>
      </c>
      <c r="M406" s="11">
        <f>IF(OR(F406="",G406=""),"",(G406-F406)/F406)</f>
        <v/>
      </c>
      <c r="N406" s="8">
        <f>IF(OR(F406="",G406="",H406=""),"",(H406-F406)/(F406-G406))</f>
        <v/>
      </c>
      <c r="O406" s="3" t="n"/>
      <c r="P406" s="3" t="n"/>
      <c r="Q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11">
        <f>IF(OR(F407="",K407=""),"",(K407-F407)/F407)</f>
        <v/>
      </c>
      <c r="M407" s="11">
        <f>IF(OR(F407="",G407=""),"",(G407-F407)/F407)</f>
        <v/>
      </c>
      <c r="N407" s="8">
        <f>IF(OR(F407="",G407="",H407=""),"",(H407-F407)/(F407-G407))</f>
        <v/>
      </c>
      <c r="O407" s="3" t="n"/>
      <c r="P407" s="3" t="n"/>
      <c r="Q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11">
        <f>IF(OR(F408="",K408=""),"",(K408-F408)/F408)</f>
        <v/>
      </c>
      <c r="M408" s="11">
        <f>IF(OR(F408="",G408=""),"",(G408-F408)/F408)</f>
        <v/>
      </c>
      <c r="N408" s="8">
        <f>IF(OR(F408="",G408="",H408=""),"",(H408-F408)/(F408-G408))</f>
        <v/>
      </c>
      <c r="O408" s="3" t="n"/>
      <c r="P408" s="3" t="n"/>
      <c r="Q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11">
        <f>IF(OR(F409="",K409=""),"",(K409-F409)/F409)</f>
        <v/>
      </c>
      <c r="M409" s="11">
        <f>IF(OR(F409="",G409=""),"",(G409-F409)/F409)</f>
        <v/>
      </c>
      <c r="N409" s="8">
        <f>IF(OR(F409="",G409="",H409=""),"",(H409-F409)/(F409-G409))</f>
        <v/>
      </c>
      <c r="O409" s="3" t="n"/>
      <c r="P409" s="3" t="n"/>
      <c r="Q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11">
        <f>IF(OR(F410="",K410=""),"",(K410-F410)/F410)</f>
        <v/>
      </c>
      <c r="M410" s="11">
        <f>IF(OR(F410="",G410=""),"",(G410-F410)/F410)</f>
        <v/>
      </c>
      <c r="N410" s="8">
        <f>IF(OR(F410="",G410="",H410=""),"",(H410-F410)/(F410-G410))</f>
        <v/>
      </c>
      <c r="O410" s="3" t="n"/>
      <c r="P410" s="3" t="n"/>
      <c r="Q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11">
        <f>IF(OR(F411="",K411=""),"",(K411-F411)/F411)</f>
        <v/>
      </c>
      <c r="M411" s="11">
        <f>IF(OR(F411="",G411=""),"",(G411-F411)/F411)</f>
        <v/>
      </c>
      <c r="N411" s="8">
        <f>IF(OR(F411="",G411="",H411=""),"",(H411-F411)/(F411-G411))</f>
        <v/>
      </c>
      <c r="O411" s="3" t="n"/>
      <c r="P411" s="3" t="n"/>
      <c r="Q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11">
        <f>IF(OR(F412="",K412=""),"",(K412-F412)/F412)</f>
        <v/>
      </c>
      <c r="M412" s="11">
        <f>IF(OR(F412="",G412=""),"",(G412-F412)/F412)</f>
        <v/>
      </c>
      <c r="N412" s="8">
        <f>IF(OR(F412="",G412="",H412=""),"",(H412-F412)/(F412-G412))</f>
        <v/>
      </c>
      <c r="O412" s="3" t="n"/>
      <c r="P412" s="3" t="n"/>
      <c r="Q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11">
        <f>IF(OR(F413="",K413=""),"",(K413-F413)/F413)</f>
        <v/>
      </c>
      <c r="M413" s="11">
        <f>IF(OR(F413="",G413=""),"",(G413-F413)/F413)</f>
        <v/>
      </c>
      <c r="N413" s="8">
        <f>IF(OR(F413="",G413="",H413=""),"",(H413-F413)/(F413-G413))</f>
        <v/>
      </c>
      <c r="O413" s="3" t="n"/>
      <c r="P413" s="3" t="n"/>
      <c r="Q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11">
        <f>IF(OR(F414="",K414=""),"",(K414-F414)/F414)</f>
        <v/>
      </c>
      <c r="M414" s="11">
        <f>IF(OR(F414="",G414=""),"",(G414-F414)/F414)</f>
        <v/>
      </c>
      <c r="N414" s="8">
        <f>IF(OR(F414="",G414="",H414=""),"",(H414-F414)/(F414-G414))</f>
        <v/>
      </c>
      <c r="O414" s="3" t="n"/>
      <c r="P414" s="3" t="n"/>
      <c r="Q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11">
        <f>IF(OR(F415="",K415=""),"",(K415-F415)/F415)</f>
        <v/>
      </c>
      <c r="M415" s="11">
        <f>IF(OR(F415="",G415=""),"",(G415-F415)/F415)</f>
        <v/>
      </c>
      <c r="N415" s="8">
        <f>IF(OR(F415="",G415="",H415=""),"",(H415-F415)/(F415-G415))</f>
        <v/>
      </c>
      <c r="O415" s="3" t="n"/>
      <c r="P415" s="3" t="n"/>
      <c r="Q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11">
        <f>IF(OR(F416="",K416=""),"",(K416-F416)/F416)</f>
        <v/>
      </c>
      <c r="M416" s="11">
        <f>IF(OR(F416="",G416=""),"",(G416-F416)/F416)</f>
        <v/>
      </c>
      <c r="N416" s="8">
        <f>IF(OR(F416="",G416="",H416=""),"",(H416-F416)/(F416-G416))</f>
        <v/>
      </c>
      <c r="O416" s="3" t="n"/>
      <c r="P416" s="3" t="n"/>
      <c r="Q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11">
        <f>IF(OR(F417="",K417=""),"",(K417-F417)/F417)</f>
        <v/>
      </c>
      <c r="M417" s="11">
        <f>IF(OR(F417="",G417=""),"",(G417-F417)/F417)</f>
        <v/>
      </c>
      <c r="N417" s="8">
        <f>IF(OR(F417="",G417="",H417=""),"",(H417-F417)/(F417-G417))</f>
        <v/>
      </c>
      <c r="O417" s="3" t="n"/>
      <c r="P417" s="3" t="n"/>
      <c r="Q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11">
        <f>IF(OR(F418="",K418=""),"",(K418-F418)/F418)</f>
        <v/>
      </c>
      <c r="M418" s="11">
        <f>IF(OR(F418="",G418=""),"",(G418-F418)/F418)</f>
        <v/>
      </c>
      <c r="N418" s="8">
        <f>IF(OR(F418="",G418="",H418=""),"",(H418-F418)/(F418-G418))</f>
        <v/>
      </c>
      <c r="O418" s="3" t="n"/>
      <c r="P418" s="3" t="n"/>
      <c r="Q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11">
        <f>IF(OR(F419="",K419=""),"",(K419-F419)/F419)</f>
        <v/>
      </c>
      <c r="M419" s="11">
        <f>IF(OR(F419="",G419=""),"",(G419-F419)/F419)</f>
        <v/>
      </c>
      <c r="N419" s="8">
        <f>IF(OR(F419="",G419="",H419=""),"",(H419-F419)/(F419-G419))</f>
        <v/>
      </c>
      <c r="O419" s="3" t="n"/>
      <c r="P419" s="3" t="n"/>
      <c r="Q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11">
        <f>IF(OR(F420="",K420=""),"",(K420-F420)/F420)</f>
        <v/>
      </c>
      <c r="M420" s="11">
        <f>IF(OR(F420="",G420=""),"",(G420-F420)/F420)</f>
        <v/>
      </c>
      <c r="N420" s="8">
        <f>IF(OR(F420="",G420="",H420=""),"",(H420-F420)/(F420-G420))</f>
        <v/>
      </c>
      <c r="O420" s="3" t="n"/>
      <c r="P420" s="3" t="n"/>
      <c r="Q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11">
        <f>IF(OR(F421="",K421=""),"",(K421-F421)/F421)</f>
        <v/>
      </c>
      <c r="M421" s="11">
        <f>IF(OR(F421="",G421=""),"",(G421-F421)/F421)</f>
        <v/>
      </c>
      <c r="N421" s="8">
        <f>IF(OR(F421="",G421="",H421=""),"",(H421-F421)/(F421-G421))</f>
        <v/>
      </c>
      <c r="O421" s="3" t="n"/>
      <c r="P421" s="3" t="n"/>
      <c r="Q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11">
        <f>IF(OR(F422="",K422=""),"",(K422-F422)/F422)</f>
        <v/>
      </c>
      <c r="M422" s="11">
        <f>IF(OR(F422="",G422=""),"",(G422-F422)/F422)</f>
        <v/>
      </c>
      <c r="N422" s="8">
        <f>IF(OR(F422="",G422="",H422=""),"",(H422-F422)/(F422-G422))</f>
        <v/>
      </c>
      <c r="O422" s="3" t="n"/>
      <c r="P422" s="3" t="n"/>
      <c r="Q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11">
        <f>IF(OR(F423="",K423=""),"",(K423-F423)/F423)</f>
        <v/>
      </c>
      <c r="M423" s="11">
        <f>IF(OR(F423="",G423=""),"",(G423-F423)/F423)</f>
        <v/>
      </c>
      <c r="N423" s="8">
        <f>IF(OR(F423="",G423="",H423=""),"",(H423-F423)/(F423-G423))</f>
        <v/>
      </c>
      <c r="O423" s="3" t="n"/>
      <c r="P423" s="3" t="n"/>
      <c r="Q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11">
        <f>IF(OR(F424="",K424=""),"",(K424-F424)/F424)</f>
        <v/>
      </c>
      <c r="M424" s="11">
        <f>IF(OR(F424="",G424=""),"",(G424-F424)/F424)</f>
        <v/>
      </c>
      <c r="N424" s="8">
        <f>IF(OR(F424="",G424="",H424=""),"",(H424-F424)/(F424-G424))</f>
        <v/>
      </c>
      <c r="O424" s="3" t="n"/>
      <c r="P424" s="3" t="n"/>
      <c r="Q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11">
        <f>IF(OR(F425="",K425=""),"",(K425-F425)/F425)</f>
        <v/>
      </c>
      <c r="M425" s="11">
        <f>IF(OR(F425="",G425=""),"",(G425-F425)/F425)</f>
        <v/>
      </c>
      <c r="N425" s="8">
        <f>IF(OR(F425="",G425="",H425=""),"",(H425-F425)/(F425-G425))</f>
        <v/>
      </c>
      <c r="O425" s="3" t="n"/>
      <c r="P425" s="3" t="n"/>
      <c r="Q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11">
        <f>IF(OR(F426="",K426=""),"",(K426-F426)/F426)</f>
        <v/>
      </c>
      <c r="M426" s="11">
        <f>IF(OR(F426="",G426=""),"",(G426-F426)/F426)</f>
        <v/>
      </c>
      <c r="N426" s="8">
        <f>IF(OR(F426="",G426="",H426=""),"",(H426-F426)/(F426-G426))</f>
        <v/>
      </c>
      <c r="O426" s="3" t="n"/>
      <c r="P426" s="3" t="n"/>
      <c r="Q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11">
        <f>IF(OR(F427="",K427=""),"",(K427-F427)/F427)</f>
        <v/>
      </c>
      <c r="M427" s="11">
        <f>IF(OR(F427="",G427=""),"",(G427-F427)/F427)</f>
        <v/>
      </c>
      <c r="N427" s="8">
        <f>IF(OR(F427="",G427="",H427=""),"",(H427-F427)/(F427-G427))</f>
        <v/>
      </c>
      <c r="O427" s="3" t="n"/>
      <c r="P427" s="3" t="n"/>
      <c r="Q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11">
        <f>IF(OR(F428="",K428=""),"",(K428-F428)/F428)</f>
        <v/>
      </c>
      <c r="M428" s="11">
        <f>IF(OR(F428="",G428=""),"",(G428-F428)/F428)</f>
        <v/>
      </c>
      <c r="N428" s="8">
        <f>IF(OR(F428="",G428="",H428=""),"",(H428-F428)/(F428-G428))</f>
        <v/>
      </c>
      <c r="O428" s="3" t="n"/>
      <c r="P428" s="3" t="n"/>
      <c r="Q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11">
        <f>IF(OR(F429="",K429=""),"",(K429-F429)/F429)</f>
        <v/>
      </c>
      <c r="M429" s="11">
        <f>IF(OR(F429="",G429=""),"",(G429-F429)/F429)</f>
        <v/>
      </c>
      <c r="N429" s="8">
        <f>IF(OR(F429="",G429="",H429=""),"",(H429-F429)/(F429-G429))</f>
        <v/>
      </c>
      <c r="O429" s="3" t="n"/>
      <c r="P429" s="3" t="n"/>
      <c r="Q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11">
        <f>IF(OR(F430="",K430=""),"",(K430-F430)/F430)</f>
        <v/>
      </c>
      <c r="M430" s="11">
        <f>IF(OR(F430="",G430=""),"",(G430-F430)/F430)</f>
        <v/>
      </c>
      <c r="N430" s="8">
        <f>IF(OR(F430="",G430="",H430=""),"",(H430-F430)/(F430-G430))</f>
        <v/>
      </c>
      <c r="O430" s="3" t="n"/>
      <c r="P430" s="3" t="n"/>
      <c r="Q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11">
        <f>IF(OR(F431="",K431=""),"",(K431-F431)/F431)</f>
        <v/>
      </c>
      <c r="M431" s="11">
        <f>IF(OR(F431="",G431=""),"",(G431-F431)/F431)</f>
        <v/>
      </c>
      <c r="N431" s="8">
        <f>IF(OR(F431="",G431="",H431=""),"",(H431-F431)/(F431-G431))</f>
        <v/>
      </c>
      <c r="O431" s="3" t="n"/>
      <c r="P431" s="3" t="n"/>
      <c r="Q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11">
        <f>IF(OR(F432="",K432=""),"",(K432-F432)/F432)</f>
        <v/>
      </c>
      <c r="M432" s="11">
        <f>IF(OR(F432="",G432=""),"",(G432-F432)/F432)</f>
        <v/>
      </c>
      <c r="N432" s="8">
        <f>IF(OR(F432="",G432="",H432=""),"",(H432-F432)/(F432-G432))</f>
        <v/>
      </c>
      <c r="O432" s="3" t="n"/>
      <c r="P432" s="3" t="n"/>
      <c r="Q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11">
        <f>IF(OR(F433="",K433=""),"",(K433-F433)/F433)</f>
        <v/>
      </c>
      <c r="M433" s="11">
        <f>IF(OR(F433="",G433=""),"",(G433-F433)/F433)</f>
        <v/>
      </c>
      <c r="N433" s="8">
        <f>IF(OR(F433="",G433="",H433=""),"",(H433-F433)/(F433-G433))</f>
        <v/>
      </c>
      <c r="O433" s="3" t="n"/>
      <c r="P433" s="3" t="n"/>
      <c r="Q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11">
        <f>IF(OR(F434="",K434=""),"",(K434-F434)/F434)</f>
        <v/>
      </c>
      <c r="M434" s="11">
        <f>IF(OR(F434="",G434=""),"",(G434-F434)/F434)</f>
        <v/>
      </c>
      <c r="N434" s="8">
        <f>IF(OR(F434="",G434="",H434=""),"",(H434-F434)/(F434-G434))</f>
        <v/>
      </c>
      <c r="O434" s="3" t="n"/>
      <c r="P434" s="3" t="n"/>
      <c r="Q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11">
        <f>IF(OR(F435="",K435=""),"",(K435-F435)/F435)</f>
        <v/>
      </c>
      <c r="M435" s="11">
        <f>IF(OR(F435="",G435=""),"",(G435-F435)/F435)</f>
        <v/>
      </c>
      <c r="N435" s="8">
        <f>IF(OR(F435="",G435="",H435=""),"",(H435-F435)/(F435-G435))</f>
        <v/>
      </c>
      <c r="O435" s="3" t="n"/>
      <c r="P435" s="3" t="n"/>
      <c r="Q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11">
        <f>IF(OR(F436="",K436=""),"",(K436-F436)/F436)</f>
        <v/>
      </c>
      <c r="M436" s="11">
        <f>IF(OR(F436="",G436=""),"",(G436-F436)/F436)</f>
        <v/>
      </c>
      <c r="N436" s="8">
        <f>IF(OR(F436="",G436="",H436=""),"",(H436-F436)/(F436-G436))</f>
        <v/>
      </c>
      <c r="O436" s="3" t="n"/>
      <c r="P436" s="3" t="n"/>
      <c r="Q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11">
        <f>IF(OR(F437="",K437=""),"",(K437-F437)/F437)</f>
        <v/>
      </c>
      <c r="M437" s="11">
        <f>IF(OR(F437="",G437=""),"",(G437-F437)/F437)</f>
        <v/>
      </c>
      <c r="N437" s="8">
        <f>IF(OR(F437="",G437="",H437=""),"",(H437-F437)/(F437-G437))</f>
        <v/>
      </c>
      <c r="O437" s="3" t="n"/>
      <c r="P437" s="3" t="n"/>
      <c r="Q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11">
        <f>IF(OR(F438="",K438=""),"",(K438-F438)/F438)</f>
        <v/>
      </c>
      <c r="M438" s="11">
        <f>IF(OR(F438="",G438=""),"",(G438-F438)/F438)</f>
        <v/>
      </c>
      <c r="N438" s="8">
        <f>IF(OR(F438="",G438="",H438=""),"",(H438-F438)/(F438-G438))</f>
        <v/>
      </c>
      <c r="O438" s="3" t="n"/>
      <c r="P438" s="3" t="n"/>
      <c r="Q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11">
        <f>IF(OR(F439="",K439=""),"",(K439-F439)/F439)</f>
        <v/>
      </c>
      <c r="M439" s="11">
        <f>IF(OR(F439="",G439=""),"",(G439-F439)/F439)</f>
        <v/>
      </c>
      <c r="N439" s="8">
        <f>IF(OR(F439="",G439="",H439=""),"",(H439-F439)/(F439-G439))</f>
        <v/>
      </c>
      <c r="O439" s="3" t="n"/>
      <c r="P439" s="3" t="n"/>
      <c r="Q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11">
        <f>IF(OR(F440="",K440=""),"",(K440-F440)/F440)</f>
        <v/>
      </c>
      <c r="M440" s="11">
        <f>IF(OR(F440="",G440=""),"",(G440-F440)/F440)</f>
        <v/>
      </c>
      <c r="N440" s="8">
        <f>IF(OR(F440="",G440="",H440=""),"",(H440-F440)/(F440-G440))</f>
        <v/>
      </c>
      <c r="O440" s="3" t="n"/>
      <c r="P440" s="3" t="n"/>
      <c r="Q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11">
        <f>IF(OR(F441="",K441=""),"",(K441-F441)/F441)</f>
        <v/>
      </c>
      <c r="M441" s="11">
        <f>IF(OR(F441="",G441=""),"",(G441-F441)/F441)</f>
        <v/>
      </c>
      <c r="N441" s="8">
        <f>IF(OR(F441="",G441="",H441=""),"",(H441-F441)/(F441-G441))</f>
        <v/>
      </c>
      <c r="O441" s="3" t="n"/>
      <c r="P441" s="3" t="n"/>
      <c r="Q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11">
        <f>IF(OR(F442="",K442=""),"",(K442-F442)/F442)</f>
        <v/>
      </c>
      <c r="M442" s="11">
        <f>IF(OR(F442="",G442=""),"",(G442-F442)/F442)</f>
        <v/>
      </c>
      <c r="N442" s="8">
        <f>IF(OR(F442="",G442="",H442=""),"",(H442-F442)/(F442-G442))</f>
        <v/>
      </c>
      <c r="O442" s="3" t="n"/>
      <c r="P442" s="3" t="n"/>
      <c r="Q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11">
        <f>IF(OR(F443="",K443=""),"",(K443-F443)/F443)</f>
        <v/>
      </c>
      <c r="M443" s="11">
        <f>IF(OR(F443="",G443=""),"",(G443-F443)/F443)</f>
        <v/>
      </c>
      <c r="N443" s="8">
        <f>IF(OR(F443="",G443="",H443=""),"",(H443-F443)/(F443-G443))</f>
        <v/>
      </c>
      <c r="O443" s="3" t="n"/>
      <c r="P443" s="3" t="n"/>
      <c r="Q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11">
        <f>IF(OR(F444="",K444=""),"",(K444-F444)/F444)</f>
        <v/>
      </c>
      <c r="M444" s="11">
        <f>IF(OR(F444="",G444=""),"",(G444-F444)/F444)</f>
        <v/>
      </c>
      <c r="N444" s="8">
        <f>IF(OR(F444="",G444="",H444=""),"",(H444-F444)/(F444-G444))</f>
        <v/>
      </c>
      <c r="O444" s="3" t="n"/>
      <c r="P444" s="3" t="n"/>
      <c r="Q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11">
        <f>IF(OR(F445="",K445=""),"",(K445-F445)/F445)</f>
        <v/>
      </c>
      <c r="M445" s="11">
        <f>IF(OR(F445="",G445=""),"",(G445-F445)/F445)</f>
        <v/>
      </c>
      <c r="N445" s="8">
        <f>IF(OR(F445="",G445="",H445=""),"",(H445-F445)/(F445-G445))</f>
        <v/>
      </c>
      <c r="O445" s="3" t="n"/>
      <c r="P445" s="3" t="n"/>
      <c r="Q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11">
        <f>IF(OR(F446="",K446=""),"",(K446-F446)/F446)</f>
        <v/>
      </c>
      <c r="M446" s="11">
        <f>IF(OR(F446="",G446=""),"",(G446-F446)/F446)</f>
        <v/>
      </c>
      <c r="N446" s="8">
        <f>IF(OR(F446="",G446="",H446=""),"",(H446-F446)/(F446-G446))</f>
        <v/>
      </c>
      <c r="O446" s="3" t="n"/>
      <c r="P446" s="3" t="n"/>
      <c r="Q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11">
        <f>IF(OR(F447="",K447=""),"",(K447-F447)/F447)</f>
        <v/>
      </c>
      <c r="M447" s="11">
        <f>IF(OR(F447="",G447=""),"",(G447-F447)/F447)</f>
        <v/>
      </c>
      <c r="N447" s="8">
        <f>IF(OR(F447="",G447="",H447=""),"",(H447-F447)/(F447-G447))</f>
        <v/>
      </c>
      <c r="O447" s="3" t="n"/>
      <c r="P447" s="3" t="n"/>
      <c r="Q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11">
        <f>IF(OR(F448="",K448=""),"",(K448-F448)/F448)</f>
        <v/>
      </c>
      <c r="M448" s="11">
        <f>IF(OR(F448="",G448=""),"",(G448-F448)/F448)</f>
        <v/>
      </c>
      <c r="N448" s="8">
        <f>IF(OR(F448="",G448="",H448=""),"",(H448-F448)/(F448-G448))</f>
        <v/>
      </c>
      <c r="O448" s="3" t="n"/>
      <c r="P448" s="3" t="n"/>
      <c r="Q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11">
        <f>IF(OR(F449="",K449=""),"",(K449-F449)/F449)</f>
        <v/>
      </c>
      <c r="M449" s="11">
        <f>IF(OR(F449="",G449=""),"",(G449-F449)/F449)</f>
        <v/>
      </c>
      <c r="N449" s="8">
        <f>IF(OR(F449="",G449="",H449=""),"",(H449-F449)/(F449-G449))</f>
        <v/>
      </c>
      <c r="O449" s="3" t="n"/>
      <c r="P449" s="3" t="n"/>
      <c r="Q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11">
        <f>IF(OR(F450="",K450=""),"",(K450-F450)/F450)</f>
        <v/>
      </c>
      <c r="M450" s="11">
        <f>IF(OR(F450="",G450=""),"",(G450-F450)/F450)</f>
        <v/>
      </c>
      <c r="N450" s="8">
        <f>IF(OR(F450="",G450="",H450=""),"",(H450-F450)/(F450-G450))</f>
        <v/>
      </c>
      <c r="O450" s="3" t="n"/>
      <c r="P450" s="3" t="n"/>
      <c r="Q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11">
        <f>IF(OR(F451="",K451=""),"",(K451-F451)/F451)</f>
        <v/>
      </c>
      <c r="M451" s="11">
        <f>IF(OR(F451="",G451=""),"",(G451-F451)/F451)</f>
        <v/>
      </c>
      <c r="N451" s="8">
        <f>IF(OR(F451="",G451="",H451=""),"",(H451-F451)/(F451-G451))</f>
        <v/>
      </c>
      <c r="O451" s="3" t="n"/>
      <c r="P451" s="3" t="n"/>
      <c r="Q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11">
        <f>IF(OR(F452="",K452=""),"",(K452-F452)/F452)</f>
        <v/>
      </c>
      <c r="M452" s="11">
        <f>IF(OR(F452="",G452=""),"",(G452-F452)/F452)</f>
        <v/>
      </c>
      <c r="N452" s="8">
        <f>IF(OR(F452="",G452="",H452=""),"",(H452-F452)/(F452-G452))</f>
        <v/>
      </c>
      <c r="O452" s="3" t="n"/>
      <c r="P452" s="3" t="n"/>
      <c r="Q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11">
        <f>IF(OR(F453="",K453=""),"",(K453-F453)/F453)</f>
        <v/>
      </c>
      <c r="M453" s="11">
        <f>IF(OR(F453="",G453=""),"",(G453-F453)/F453)</f>
        <v/>
      </c>
      <c r="N453" s="8">
        <f>IF(OR(F453="",G453="",H453=""),"",(H453-F453)/(F453-G453))</f>
        <v/>
      </c>
      <c r="O453" s="3" t="n"/>
      <c r="P453" s="3" t="n"/>
      <c r="Q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11">
        <f>IF(OR(F454="",K454=""),"",(K454-F454)/F454)</f>
        <v/>
      </c>
      <c r="M454" s="11">
        <f>IF(OR(F454="",G454=""),"",(G454-F454)/F454)</f>
        <v/>
      </c>
      <c r="N454" s="8">
        <f>IF(OR(F454="",G454="",H454=""),"",(H454-F454)/(F454-G454))</f>
        <v/>
      </c>
      <c r="O454" s="3" t="n"/>
      <c r="P454" s="3" t="n"/>
      <c r="Q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11">
        <f>IF(OR(F455="",K455=""),"",(K455-F455)/F455)</f>
        <v/>
      </c>
      <c r="M455" s="11">
        <f>IF(OR(F455="",G455=""),"",(G455-F455)/F455)</f>
        <v/>
      </c>
      <c r="N455" s="8">
        <f>IF(OR(F455="",G455="",H455=""),"",(H455-F455)/(F455-G455))</f>
        <v/>
      </c>
      <c r="O455" s="3" t="n"/>
      <c r="P455" s="3" t="n"/>
      <c r="Q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11">
        <f>IF(OR(F456="",K456=""),"",(K456-F456)/F456)</f>
        <v/>
      </c>
      <c r="M456" s="11">
        <f>IF(OR(F456="",G456=""),"",(G456-F456)/F456)</f>
        <v/>
      </c>
      <c r="N456" s="8">
        <f>IF(OR(F456="",G456="",H456=""),"",(H456-F456)/(F456-G456))</f>
        <v/>
      </c>
      <c r="O456" s="3" t="n"/>
      <c r="P456" s="3" t="n"/>
      <c r="Q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11">
        <f>IF(OR(F457="",K457=""),"",(K457-F457)/F457)</f>
        <v/>
      </c>
      <c r="M457" s="11">
        <f>IF(OR(F457="",G457=""),"",(G457-F457)/F457)</f>
        <v/>
      </c>
      <c r="N457" s="8">
        <f>IF(OR(F457="",G457="",H457=""),"",(H457-F457)/(F457-G457))</f>
        <v/>
      </c>
      <c r="O457" s="3" t="n"/>
      <c r="P457" s="3" t="n"/>
      <c r="Q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11">
        <f>IF(OR(F458="",K458=""),"",(K458-F458)/F458)</f>
        <v/>
      </c>
      <c r="M458" s="11">
        <f>IF(OR(F458="",G458=""),"",(G458-F458)/F458)</f>
        <v/>
      </c>
      <c r="N458" s="8">
        <f>IF(OR(F458="",G458="",H458=""),"",(H458-F458)/(F458-G458))</f>
        <v/>
      </c>
      <c r="O458" s="3" t="n"/>
      <c r="P458" s="3" t="n"/>
      <c r="Q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11">
        <f>IF(OR(F459="",K459=""),"",(K459-F459)/F459)</f>
        <v/>
      </c>
      <c r="M459" s="11">
        <f>IF(OR(F459="",G459=""),"",(G459-F459)/F459)</f>
        <v/>
      </c>
      <c r="N459" s="8">
        <f>IF(OR(F459="",G459="",H459=""),"",(H459-F459)/(F459-G459))</f>
        <v/>
      </c>
      <c r="O459" s="3" t="n"/>
      <c r="P459" s="3" t="n"/>
      <c r="Q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11">
        <f>IF(OR(F460="",K460=""),"",(K460-F460)/F460)</f>
        <v/>
      </c>
      <c r="M460" s="11">
        <f>IF(OR(F460="",G460=""),"",(G460-F460)/F460)</f>
        <v/>
      </c>
      <c r="N460" s="8">
        <f>IF(OR(F460="",G460="",H460=""),"",(H460-F460)/(F460-G460))</f>
        <v/>
      </c>
      <c r="O460" s="3" t="n"/>
      <c r="P460" s="3" t="n"/>
      <c r="Q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11">
        <f>IF(OR(F461="",K461=""),"",(K461-F461)/F461)</f>
        <v/>
      </c>
      <c r="M461" s="11">
        <f>IF(OR(F461="",G461=""),"",(G461-F461)/F461)</f>
        <v/>
      </c>
      <c r="N461" s="8">
        <f>IF(OR(F461="",G461="",H461=""),"",(H461-F461)/(F461-G461))</f>
        <v/>
      </c>
      <c r="O461" s="3" t="n"/>
      <c r="P461" s="3" t="n"/>
      <c r="Q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11">
        <f>IF(OR(F462="",K462=""),"",(K462-F462)/F462)</f>
        <v/>
      </c>
      <c r="M462" s="11">
        <f>IF(OR(F462="",G462=""),"",(G462-F462)/F462)</f>
        <v/>
      </c>
      <c r="N462" s="8">
        <f>IF(OR(F462="",G462="",H462=""),"",(H462-F462)/(F462-G462))</f>
        <v/>
      </c>
      <c r="O462" s="3" t="n"/>
      <c r="P462" s="3" t="n"/>
      <c r="Q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11">
        <f>IF(OR(F463="",K463=""),"",(K463-F463)/F463)</f>
        <v/>
      </c>
      <c r="M463" s="11">
        <f>IF(OR(F463="",G463=""),"",(G463-F463)/F463)</f>
        <v/>
      </c>
      <c r="N463" s="8">
        <f>IF(OR(F463="",G463="",H463=""),"",(H463-F463)/(F463-G463))</f>
        <v/>
      </c>
      <c r="O463" s="3" t="n"/>
      <c r="P463" s="3" t="n"/>
      <c r="Q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11">
        <f>IF(OR(F464="",K464=""),"",(K464-F464)/F464)</f>
        <v/>
      </c>
      <c r="M464" s="11">
        <f>IF(OR(F464="",G464=""),"",(G464-F464)/F464)</f>
        <v/>
      </c>
      <c r="N464" s="8">
        <f>IF(OR(F464="",G464="",H464=""),"",(H464-F464)/(F464-G464))</f>
        <v/>
      </c>
      <c r="O464" s="3" t="n"/>
      <c r="P464" s="3" t="n"/>
      <c r="Q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11">
        <f>IF(OR(F465="",K465=""),"",(K465-F465)/F465)</f>
        <v/>
      </c>
      <c r="M465" s="11">
        <f>IF(OR(F465="",G465=""),"",(G465-F465)/F465)</f>
        <v/>
      </c>
      <c r="N465" s="8">
        <f>IF(OR(F465="",G465="",H465=""),"",(H465-F465)/(F465-G465))</f>
        <v/>
      </c>
      <c r="O465" s="3" t="n"/>
      <c r="P465" s="3" t="n"/>
      <c r="Q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11">
        <f>IF(OR(F466="",K466=""),"",(K466-F466)/F466)</f>
        <v/>
      </c>
      <c r="M466" s="11">
        <f>IF(OR(F466="",G466=""),"",(G466-F466)/F466)</f>
        <v/>
      </c>
      <c r="N466" s="8">
        <f>IF(OR(F466="",G466="",H466=""),"",(H466-F466)/(F466-G466))</f>
        <v/>
      </c>
      <c r="O466" s="3" t="n"/>
      <c r="P466" s="3" t="n"/>
      <c r="Q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11">
        <f>IF(OR(F467="",K467=""),"",(K467-F467)/F467)</f>
        <v/>
      </c>
      <c r="M467" s="11">
        <f>IF(OR(F467="",G467=""),"",(G467-F467)/F467)</f>
        <v/>
      </c>
      <c r="N467" s="8">
        <f>IF(OR(F467="",G467="",H467=""),"",(H467-F467)/(F467-G467))</f>
        <v/>
      </c>
      <c r="O467" s="3" t="n"/>
      <c r="P467" s="3" t="n"/>
      <c r="Q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11">
        <f>IF(OR(F468="",K468=""),"",(K468-F468)/F468)</f>
        <v/>
      </c>
      <c r="M468" s="11">
        <f>IF(OR(F468="",G468=""),"",(G468-F468)/F468)</f>
        <v/>
      </c>
      <c r="N468" s="8">
        <f>IF(OR(F468="",G468="",H468=""),"",(H468-F468)/(F468-G468))</f>
        <v/>
      </c>
      <c r="O468" s="3" t="n"/>
      <c r="P468" s="3" t="n"/>
      <c r="Q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11">
        <f>IF(OR(F469="",K469=""),"",(K469-F469)/F469)</f>
        <v/>
      </c>
      <c r="M469" s="11">
        <f>IF(OR(F469="",G469=""),"",(G469-F469)/F469)</f>
        <v/>
      </c>
      <c r="N469" s="8">
        <f>IF(OR(F469="",G469="",H469=""),"",(H469-F469)/(F469-G469))</f>
        <v/>
      </c>
      <c r="O469" s="3" t="n"/>
      <c r="P469" s="3" t="n"/>
      <c r="Q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11">
        <f>IF(OR(F470="",K470=""),"",(K470-F470)/F470)</f>
        <v/>
      </c>
      <c r="M470" s="11">
        <f>IF(OR(F470="",G470=""),"",(G470-F470)/F470)</f>
        <v/>
      </c>
      <c r="N470" s="8">
        <f>IF(OR(F470="",G470="",H470=""),"",(H470-F470)/(F470-G470))</f>
        <v/>
      </c>
      <c r="O470" s="3" t="n"/>
      <c r="P470" s="3" t="n"/>
      <c r="Q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11">
        <f>IF(OR(F471="",K471=""),"",(K471-F471)/F471)</f>
        <v/>
      </c>
      <c r="M471" s="11">
        <f>IF(OR(F471="",G471=""),"",(G471-F471)/F471)</f>
        <v/>
      </c>
      <c r="N471" s="8">
        <f>IF(OR(F471="",G471="",H471=""),"",(H471-F471)/(F471-G471))</f>
        <v/>
      </c>
      <c r="O471" s="3" t="n"/>
      <c r="P471" s="3" t="n"/>
      <c r="Q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11">
        <f>IF(OR(F472="",K472=""),"",(K472-F472)/F472)</f>
        <v/>
      </c>
      <c r="M472" s="11">
        <f>IF(OR(F472="",G472=""),"",(G472-F472)/F472)</f>
        <v/>
      </c>
      <c r="N472" s="8">
        <f>IF(OR(F472="",G472="",H472=""),"",(H472-F472)/(F472-G472))</f>
        <v/>
      </c>
      <c r="O472" s="3" t="n"/>
      <c r="P472" s="3" t="n"/>
      <c r="Q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11">
        <f>IF(OR(F473="",K473=""),"",(K473-F473)/F473)</f>
        <v/>
      </c>
      <c r="M473" s="11">
        <f>IF(OR(F473="",G473=""),"",(G473-F473)/F473)</f>
        <v/>
      </c>
      <c r="N473" s="8">
        <f>IF(OR(F473="",G473="",H473=""),"",(H473-F473)/(F473-G473))</f>
        <v/>
      </c>
      <c r="O473" s="3" t="n"/>
      <c r="P473" s="3" t="n"/>
      <c r="Q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11">
        <f>IF(OR(F474="",K474=""),"",(K474-F474)/F474)</f>
        <v/>
      </c>
      <c r="M474" s="11">
        <f>IF(OR(F474="",G474=""),"",(G474-F474)/F474)</f>
        <v/>
      </c>
      <c r="N474" s="8">
        <f>IF(OR(F474="",G474="",H474=""),"",(H474-F474)/(F474-G474))</f>
        <v/>
      </c>
      <c r="O474" s="3" t="n"/>
      <c r="P474" s="3" t="n"/>
      <c r="Q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11">
        <f>IF(OR(F475="",K475=""),"",(K475-F475)/F475)</f>
        <v/>
      </c>
      <c r="M475" s="11">
        <f>IF(OR(F475="",G475=""),"",(G475-F475)/F475)</f>
        <v/>
      </c>
      <c r="N475" s="8">
        <f>IF(OR(F475="",G475="",H475=""),"",(H475-F475)/(F475-G475))</f>
        <v/>
      </c>
      <c r="O475" s="3" t="n"/>
      <c r="P475" s="3" t="n"/>
      <c r="Q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11">
        <f>IF(OR(F476="",K476=""),"",(K476-F476)/F476)</f>
        <v/>
      </c>
      <c r="M476" s="11">
        <f>IF(OR(F476="",G476=""),"",(G476-F476)/F476)</f>
        <v/>
      </c>
      <c r="N476" s="8">
        <f>IF(OR(F476="",G476="",H476=""),"",(H476-F476)/(F476-G476))</f>
        <v/>
      </c>
      <c r="O476" s="3" t="n"/>
      <c r="P476" s="3" t="n"/>
      <c r="Q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11">
        <f>IF(OR(F477="",K477=""),"",(K477-F477)/F477)</f>
        <v/>
      </c>
      <c r="M477" s="11">
        <f>IF(OR(F477="",G477=""),"",(G477-F477)/F477)</f>
        <v/>
      </c>
      <c r="N477" s="8">
        <f>IF(OR(F477="",G477="",H477=""),"",(H477-F477)/(F477-G477))</f>
        <v/>
      </c>
      <c r="O477" s="3" t="n"/>
      <c r="P477" s="3" t="n"/>
      <c r="Q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11">
        <f>IF(OR(F478="",K478=""),"",(K478-F478)/F478)</f>
        <v/>
      </c>
      <c r="M478" s="11">
        <f>IF(OR(F478="",G478=""),"",(G478-F478)/F478)</f>
        <v/>
      </c>
      <c r="N478" s="8">
        <f>IF(OR(F478="",G478="",H478=""),"",(H478-F478)/(F478-G478))</f>
        <v/>
      </c>
      <c r="O478" s="3" t="n"/>
      <c r="P478" s="3" t="n"/>
      <c r="Q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11">
        <f>IF(OR(F479="",K479=""),"",(K479-F479)/F479)</f>
        <v/>
      </c>
      <c r="M479" s="11">
        <f>IF(OR(F479="",G479=""),"",(G479-F479)/F479)</f>
        <v/>
      </c>
      <c r="N479" s="8">
        <f>IF(OR(F479="",G479="",H479=""),"",(H479-F479)/(F479-G479))</f>
        <v/>
      </c>
      <c r="O479" s="3" t="n"/>
      <c r="P479" s="3" t="n"/>
      <c r="Q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11">
        <f>IF(OR(F480="",K480=""),"",(K480-F480)/F480)</f>
        <v/>
      </c>
      <c r="M480" s="11">
        <f>IF(OR(F480="",G480=""),"",(G480-F480)/F480)</f>
        <v/>
      </c>
      <c r="N480" s="8">
        <f>IF(OR(F480="",G480="",H480=""),"",(H480-F480)/(F480-G480))</f>
        <v/>
      </c>
      <c r="O480" s="3" t="n"/>
      <c r="P480" s="3" t="n"/>
      <c r="Q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11">
        <f>IF(OR(F481="",K481=""),"",(K481-F481)/F481)</f>
        <v/>
      </c>
      <c r="M481" s="11">
        <f>IF(OR(F481="",G481=""),"",(G481-F481)/F481)</f>
        <v/>
      </c>
      <c r="N481" s="8">
        <f>IF(OR(F481="",G481="",H481=""),"",(H481-F481)/(F481-G481))</f>
        <v/>
      </c>
      <c r="O481" s="3" t="n"/>
      <c r="P481" s="3" t="n"/>
      <c r="Q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11">
        <f>IF(OR(F482="",K482=""),"",(K482-F482)/F482)</f>
        <v/>
      </c>
      <c r="M482" s="11">
        <f>IF(OR(F482="",G482=""),"",(G482-F482)/F482)</f>
        <v/>
      </c>
      <c r="N482" s="8">
        <f>IF(OR(F482="",G482="",H482=""),"",(H482-F482)/(F482-G482))</f>
        <v/>
      </c>
      <c r="O482" s="3" t="n"/>
      <c r="P482" s="3" t="n"/>
      <c r="Q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11">
        <f>IF(OR(F483="",K483=""),"",(K483-F483)/F483)</f>
        <v/>
      </c>
      <c r="M483" s="11">
        <f>IF(OR(F483="",G483=""),"",(G483-F483)/F483)</f>
        <v/>
      </c>
      <c r="N483" s="8">
        <f>IF(OR(F483="",G483="",H483=""),"",(H483-F483)/(F483-G483))</f>
        <v/>
      </c>
      <c r="O483" s="3" t="n"/>
      <c r="P483" s="3" t="n"/>
      <c r="Q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11">
        <f>IF(OR(F484="",K484=""),"",(K484-F484)/F484)</f>
        <v/>
      </c>
      <c r="M484" s="11">
        <f>IF(OR(F484="",G484=""),"",(G484-F484)/F484)</f>
        <v/>
      </c>
      <c r="N484" s="8">
        <f>IF(OR(F484="",G484="",H484=""),"",(H484-F484)/(F484-G484))</f>
        <v/>
      </c>
      <c r="O484" s="3" t="n"/>
      <c r="P484" s="3" t="n"/>
      <c r="Q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11">
        <f>IF(OR(F485="",K485=""),"",(K485-F485)/F485)</f>
        <v/>
      </c>
      <c r="M485" s="11">
        <f>IF(OR(F485="",G485=""),"",(G485-F485)/F485)</f>
        <v/>
      </c>
      <c r="N485" s="8">
        <f>IF(OR(F485="",G485="",H485=""),"",(H485-F485)/(F485-G485))</f>
        <v/>
      </c>
      <c r="O485" s="3" t="n"/>
      <c r="P485" s="3" t="n"/>
      <c r="Q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11">
        <f>IF(OR(F486="",K486=""),"",(K486-F486)/F486)</f>
        <v/>
      </c>
      <c r="M486" s="11">
        <f>IF(OR(F486="",G486=""),"",(G486-F486)/F486)</f>
        <v/>
      </c>
      <c r="N486" s="8">
        <f>IF(OR(F486="",G486="",H486=""),"",(H486-F486)/(F486-G486))</f>
        <v/>
      </c>
      <c r="O486" s="3" t="n"/>
      <c r="P486" s="3" t="n"/>
      <c r="Q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11">
        <f>IF(OR(F487="",K487=""),"",(K487-F487)/F487)</f>
        <v/>
      </c>
      <c r="M487" s="11">
        <f>IF(OR(F487="",G487=""),"",(G487-F487)/F487)</f>
        <v/>
      </c>
      <c r="N487" s="8">
        <f>IF(OR(F487="",G487="",H487=""),"",(H487-F487)/(F487-G487))</f>
        <v/>
      </c>
      <c r="O487" s="3" t="n"/>
      <c r="P487" s="3" t="n"/>
      <c r="Q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11">
        <f>IF(OR(F488="",K488=""),"",(K488-F488)/F488)</f>
        <v/>
      </c>
      <c r="M488" s="11">
        <f>IF(OR(F488="",G488=""),"",(G488-F488)/F488)</f>
        <v/>
      </c>
      <c r="N488" s="8">
        <f>IF(OR(F488="",G488="",H488=""),"",(H488-F488)/(F488-G488))</f>
        <v/>
      </c>
      <c r="O488" s="3" t="n"/>
      <c r="P488" s="3" t="n"/>
      <c r="Q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11">
        <f>IF(OR(F489="",K489=""),"",(K489-F489)/F489)</f>
        <v/>
      </c>
      <c r="M489" s="11">
        <f>IF(OR(F489="",G489=""),"",(G489-F489)/F489)</f>
        <v/>
      </c>
      <c r="N489" s="8">
        <f>IF(OR(F489="",G489="",H489=""),"",(H489-F489)/(F489-G489))</f>
        <v/>
      </c>
      <c r="O489" s="3" t="n"/>
      <c r="P489" s="3" t="n"/>
      <c r="Q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11">
        <f>IF(OR(F490="",K490=""),"",(K490-F490)/F490)</f>
        <v/>
      </c>
      <c r="M490" s="11">
        <f>IF(OR(F490="",G490=""),"",(G490-F490)/F490)</f>
        <v/>
      </c>
      <c r="N490" s="8">
        <f>IF(OR(F490="",G490="",H490=""),"",(H490-F490)/(F490-G490))</f>
        <v/>
      </c>
      <c r="O490" s="3" t="n"/>
      <c r="P490" s="3" t="n"/>
      <c r="Q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11">
        <f>IF(OR(F491="",K491=""),"",(K491-F491)/F491)</f>
        <v/>
      </c>
      <c r="M491" s="11">
        <f>IF(OR(F491="",G491=""),"",(G491-F491)/F491)</f>
        <v/>
      </c>
      <c r="N491" s="8">
        <f>IF(OR(F491="",G491="",H491=""),"",(H491-F491)/(F491-G491))</f>
        <v/>
      </c>
      <c r="O491" s="3" t="n"/>
      <c r="P491" s="3" t="n"/>
      <c r="Q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11">
        <f>IF(OR(F492="",K492=""),"",(K492-F492)/F492)</f>
        <v/>
      </c>
      <c r="M492" s="11">
        <f>IF(OR(F492="",G492=""),"",(G492-F492)/F492)</f>
        <v/>
      </c>
      <c r="N492" s="8">
        <f>IF(OR(F492="",G492="",H492=""),"",(H492-F492)/(F492-G492))</f>
        <v/>
      </c>
      <c r="O492" s="3" t="n"/>
      <c r="P492" s="3" t="n"/>
      <c r="Q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11">
        <f>IF(OR(F493="",K493=""),"",(K493-F493)/F493)</f>
        <v/>
      </c>
      <c r="M493" s="11">
        <f>IF(OR(F493="",G493=""),"",(G493-F493)/F493)</f>
        <v/>
      </c>
      <c r="N493" s="8">
        <f>IF(OR(F493="",G493="",H493=""),"",(H493-F493)/(F493-G493))</f>
        <v/>
      </c>
      <c r="O493" s="3" t="n"/>
      <c r="P493" s="3" t="n"/>
      <c r="Q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11">
        <f>IF(OR(F494="",K494=""),"",(K494-F494)/F494)</f>
        <v/>
      </c>
      <c r="M494" s="11">
        <f>IF(OR(F494="",G494=""),"",(G494-F494)/F494)</f>
        <v/>
      </c>
      <c r="N494" s="8">
        <f>IF(OR(F494="",G494="",H494=""),"",(H494-F494)/(F494-G494))</f>
        <v/>
      </c>
      <c r="O494" s="3" t="n"/>
      <c r="P494" s="3" t="n"/>
      <c r="Q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11">
        <f>IF(OR(F495="",K495=""),"",(K495-F495)/F495)</f>
        <v/>
      </c>
      <c r="M495" s="11">
        <f>IF(OR(F495="",G495=""),"",(G495-F495)/F495)</f>
        <v/>
      </c>
      <c r="N495" s="8">
        <f>IF(OR(F495="",G495="",H495=""),"",(H495-F495)/(F495-G495))</f>
        <v/>
      </c>
      <c r="O495" s="3" t="n"/>
      <c r="P495" s="3" t="n"/>
      <c r="Q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11">
        <f>IF(OR(F496="",K496=""),"",(K496-F496)/F496)</f>
        <v/>
      </c>
      <c r="M496" s="11">
        <f>IF(OR(F496="",G496=""),"",(G496-F496)/F496)</f>
        <v/>
      </c>
      <c r="N496" s="8">
        <f>IF(OR(F496="",G496="",H496=""),"",(H496-F496)/(F496-G496))</f>
        <v/>
      </c>
      <c r="O496" s="3" t="n"/>
      <c r="P496" s="3" t="n"/>
      <c r="Q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11">
        <f>IF(OR(F497="",K497=""),"",(K497-F497)/F497)</f>
        <v/>
      </c>
      <c r="M497" s="11">
        <f>IF(OR(F497="",G497=""),"",(G497-F497)/F497)</f>
        <v/>
      </c>
      <c r="N497" s="8">
        <f>IF(OR(F497="",G497="",H497=""),"",(H497-F497)/(F497-G497))</f>
        <v/>
      </c>
      <c r="O497" s="3" t="n"/>
      <c r="P497" s="3" t="n"/>
      <c r="Q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11">
        <f>IF(OR(F498="",K498=""),"",(K498-F498)/F498)</f>
        <v/>
      </c>
      <c r="M498" s="11">
        <f>IF(OR(F498="",G498=""),"",(G498-F498)/F498)</f>
        <v/>
      </c>
      <c r="N498" s="8">
        <f>IF(OR(F498="",G498="",H498=""),"",(H498-F498)/(F498-G498))</f>
        <v/>
      </c>
      <c r="O498" s="3" t="n"/>
      <c r="P498" s="3" t="n"/>
      <c r="Q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11">
        <f>IF(OR(F499="",K499=""),"",(K499-F499)/F499)</f>
        <v/>
      </c>
      <c r="M499" s="11">
        <f>IF(OR(F499="",G499=""),"",(G499-F499)/F499)</f>
        <v/>
      </c>
      <c r="N499" s="8">
        <f>IF(OR(F499="",G499="",H499=""),"",(H499-F499)/(F499-G499))</f>
        <v/>
      </c>
      <c r="O499" s="3" t="n"/>
      <c r="P499" s="3" t="n"/>
      <c r="Q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11">
        <f>IF(OR(F500="",K500=""),"",(K500-F500)/F500)</f>
        <v/>
      </c>
      <c r="M500" s="11">
        <f>IF(OR(F500="",G500=""),"",(G500-F500)/F500)</f>
        <v/>
      </c>
      <c r="N500" s="8">
        <f>IF(OR(F500="",G500="",H500=""),"",(H500-F500)/(F500-G500))</f>
        <v/>
      </c>
      <c r="O500" s="3" t="n"/>
      <c r="P500" s="3" t="n"/>
      <c r="Q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11">
        <f>IF(OR(F501="",K501=""),"",(K501-F501)/F501)</f>
        <v/>
      </c>
      <c r="M501" s="11">
        <f>IF(OR(F501="",G501=""),"",(G501-F501)/F501)</f>
        <v/>
      </c>
      <c r="N501" s="8">
        <f>IF(OR(F501="",G501="",H501=""),"",(H501-F501)/(F501-G501))</f>
        <v/>
      </c>
      <c r="O501" s="3" t="n"/>
      <c r="P501" s="3" t="n"/>
      <c r="Q501" s="3" t="n"/>
    </row>
  </sheetData>
  <autoFilter ref="A1:Q501"/>
  <conditionalFormatting sqref="L2:L501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O2:O501">
    <cfRule type="expression" priority="3" dxfId="0">
      <formula>$O2="成功"</formula>
    </cfRule>
    <cfRule type="expression" priority="4" dxfId="2">
      <formula>$O2="失败"</formula>
    </cfRule>
  </conditionalFormatting>
  <dataValidations count="3">
    <dataValidation sqref="I2:I501" showDropDown="0" showInputMessage="0" showErrorMessage="0" allowBlank="1" type="list">
      <formula1>选项!$B$18:$E$18</formula1>
    </dataValidation>
    <dataValidation sqref="O2:O501" showDropDown="0" showInputMessage="0" showErrorMessage="0" allowBlank="1" type="list">
      <formula1>选项!$B$19:$E$19</formula1>
    </dataValidation>
    <dataValidation sqref="P2:P501" showDropDown="0" showInputMessage="0" showErrorMessage="0" allowBlank="1" type="list">
      <formula1>选项!$B$17:$J$17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ColWidth="9" defaultRowHeight="16.8"/>
  <cols>
    <col width="12" customWidth="1" min="1" max="5"/>
  </cols>
  <sheetData>
    <row r="1" ht="17" customHeight="1">
      <c r="A1" s="2" t="inlineStr">
        <is>
          <t>指标</t>
        </is>
      </c>
      <c r="B1" s="2" t="inlineStr">
        <is>
          <t>当前统计</t>
        </is>
      </c>
      <c r="C1" s="3" t="n"/>
      <c r="D1" s="3" t="n"/>
      <c r="E1" s="3" t="n"/>
    </row>
    <row r="2" ht="34" customHeight="1">
      <c r="A2" s="3" t="inlineStr">
        <is>
          <t>板块观察记录数</t>
        </is>
      </c>
      <c r="B2" s="3">
        <f>COUNTA(板块观察!A2:A501)</f>
        <v/>
      </c>
      <c r="C2" s="3" t="n"/>
      <c r="D2" s="3" t="n"/>
      <c r="E2" s="3" t="n"/>
    </row>
    <row r="3" ht="17" customHeight="1">
      <c r="A3" s="3" t="inlineStr">
        <is>
          <t>平均板块分</t>
        </is>
      </c>
      <c r="B3" s="11">
        <f>IFERROR(AVERAGEIF(板块观察!N2:S501,"&gt;0"),"")</f>
        <v/>
      </c>
      <c r="C3" s="3" t="n"/>
      <c r="D3" s="3" t="n"/>
      <c r="E3" s="3" t="n"/>
    </row>
    <row r="4" ht="34" customHeight="1">
      <c r="A4" s="3" t="inlineStr">
        <is>
          <t>强板块数量(&gt;=7分)</t>
        </is>
      </c>
      <c r="B4" s="3">
        <f>COUNTIF(板块观察!N2:S501,"&gt;=7")</f>
        <v/>
      </c>
      <c r="C4" s="3" t="n"/>
      <c r="D4" s="3" t="n"/>
      <c r="E4" s="3" t="n"/>
    </row>
    <row r="5" ht="17" customHeight="1">
      <c r="A5" s="3" t="inlineStr">
        <is>
          <t>复盘记录数</t>
        </is>
      </c>
      <c r="B5" s="3">
        <f>COUNTA(每日复盘!A2:A501)</f>
        <v/>
      </c>
      <c r="C5" s="3" t="n"/>
      <c r="D5" s="3" t="n"/>
      <c r="E5" s="3" t="n"/>
    </row>
    <row r="6" ht="34" customHeight="1">
      <c r="A6" s="3" t="inlineStr">
        <is>
          <t>平均复盘完整度</t>
        </is>
      </c>
      <c r="B6" s="11">
        <f>IFERROR(AVERAGEIF(每日复盘!AD2:Z501,"&gt;0"),"")</f>
        <v/>
      </c>
      <c r="C6" s="3" t="n"/>
      <c r="D6" s="3" t="n"/>
      <c r="E6" s="3" t="n"/>
    </row>
    <row r="7" ht="17" customHeight="1">
      <c r="A7" s="3" t="inlineStr">
        <is>
          <t>验证记录数</t>
        </is>
      </c>
      <c r="B7" s="3">
        <f>COUNTA(事后验证!A2:A501)</f>
        <v/>
      </c>
      <c r="C7" s="3" t="n"/>
      <c r="D7" s="3" t="n"/>
      <c r="E7" s="3" t="n"/>
    </row>
    <row r="8" ht="17" customHeight="1">
      <c r="A8" s="3" t="inlineStr">
        <is>
          <t>判断正确</t>
        </is>
      </c>
      <c r="B8" s="3">
        <f>COUNTIF(事后验证!K2:K501,"正确")</f>
        <v/>
      </c>
      <c r="C8" s="3" t="n"/>
      <c r="D8" s="3" t="n"/>
      <c r="E8" s="3" t="n"/>
    </row>
    <row r="9" ht="17" customHeight="1">
      <c r="A9" s="3" t="inlineStr">
        <is>
          <t>部分正确</t>
        </is>
      </c>
      <c r="B9" s="3">
        <f>COUNTIF(事后验证!K2:K501,"部分正确")</f>
        <v/>
      </c>
      <c r="C9" s="3" t="n"/>
      <c r="D9" s="3" t="n"/>
      <c r="E9" s="3" t="n"/>
    </row>
    <row r="10" ht="17" customHeight="1">
      <c r="A10" s="3" t="inlineStr">
        <is>
          <t>判断错误</t>
        </is>
      </c>
      <c r="B10" s="3">
        <f>COUNTIF(事后验证!K2:K501,"错误")</f>
        <v/>
      </c>
      <c r="C10" s="3" t="n"/>
      <c r="D10" s="3" t="n"/>
      <c r="E10" s="3" t="n"/>
    </row>
    <row r="11" ht="34" customHeight="1">
      <c r="A11" s="3" t="inlineStr">
        <is>
          <t>模拟交易笔数</t>
        </is>
      </c>
      <c r="B11" s="3">
        <f>COUNTA(模拟交易!A2:A501)</f>
        <v/>
      </c>
      <c r="C11" s="3" t="n"/>
      <c r="D11" s="3" t="n"/>
      <c r="E11" s="3" t="n"/>
    </row>
    <row r="12" ht="17" customHeight="1">
      <c r="A12" s="3" t="inlineStr">
        <is>
          <t>已平仓成功</t>
        </is>
      </c>
      <c r="B12" s="3">
        <f>COUNTIF(模拟交易!O2:O501,"成功")</f>
        <v/>
      </c>
      <c r="C12" s="3" t="n"/>
      <c r="D12" s="3" t="n"/>
      <c r="E12" s="3" t="n"/>
    </row>
    <row r="13" ht="17" customHeight="1">
      <c r="A13" s="3" t="inlineStr">
        <is>
          <t>已平仓失败</t>
        </is>
      </c>
      <c r="B13" s="3">
        <f>COUNTIF(模拟交易!O2:O501,"失败")</f>
        <v/>
      </c>
      <c r="C13" s="3" t="n"/>
      <c r="D13" s="3" t="n"/>
      <c r="E13" s="3" t="n"/>
    </row>
    <row r="14" ht="17" customHeight="1">
      <c r="A14" s="3" t="inlineStr">
        <is>
          <t>模拟胜率</t>
        </is>
      </c>
      <c r="B14" s="11">
        <f>IFERROR(B12/(B12+B13),"")</f>
        <v/>
      </c>
      <c r="C14" s="3" t="n"/>
      <c r="D14" s="3" t="n"/>
      <c r="E14" s="3" t="n"/>
    </row>
    <row r="15" ht="17" customHeight="1">
      <c r="A15" s="5" t="inlineStr">
        <is>
          <t>平均收益率</t>
        </is>
      </c>
      <c r="B15" s="6">
        <f>IFERROR(AVERAGEIF(模拟交易!L2:L501,"&lt;&gt;"),"")</f>
        <v/>
      </c>
      <c r="C15" s="3" t="n"/>
      <c r="D15" s="3" t="n"/>
      <c r="E15" s="3" t="n"/>
    </row>
    <row r="16" ht="17" customHeight="1">
      <c r="A16" s="3" t="inlineStr">
        <is>
          <t>最大亏损</t>
        </is>
      </c>
      <c r="B16" s="11">
        <f>IFERROR(MIN(模拟交易!L2:L501),"")</f>
        <v/>
      </c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 ht="17" customHeight="1">
      <c r="A18" s="3" t="inlineStr">
        <is>
          <t>错误类型</t>
        </is>
      </c>
      <c r="B18" s="3" t="inlineStr">
        <is>
          <t>次数</t>
        </is>
      </c>
      <c r="C18" s="3" t="n"/>
      <c r="D18" s="3" t="n"/>
      <c r="E18" s="3" t="n"/>
    </row>
    <row r="19" ht="17" customHeight="1">
      <c r="A19" s="3" t="inlineStr">
        <is>
          <t>假突破误判</t>
        </is>
      </c>
      <c r="B19" s="3">
        <f>COUNTIF(事后验证!M2:L501,"假突破误判")+COUNTIF(模拟交易!P2:P501,"假突破误判")</f>
        <v/>
      </c>
      <c r="C19" s="3" t="n"/>
      <c r="D19" s="3" t="n"/>
      <c r="E19" s="3" t="n"/>
    </row>
    <row r="20" ht="34" customHeight="1">
      <c r="A20" s="3" t="inlineStr">
        <is>
          <t>低位突破确认不足</t>
        </is>
      </c>
      <c r="B20" s="3">
        <f>COUNTIF(事后验证!M2:L501,"低位突破确认不足")+COUNTIF(模拟交易!P2:P501,"低位突破确认不足")</f>
        <v/>
      </c>
      <c r="C20" s="3" t="n"/>
      <c r="D20" s="3" t="n"/>
      <c r="E20" s="3" t="n"/>
    </row>
    <row r="21" ht="17" customHeight="1">
      <c r="A21" s="3" t="inlineStr">
        <is>
          <t>支撑误判</t>
        </is>
      </c>
      <c r="B21" s="3">
        <f>COUNTIF(事后验证!M2:L501,"支撑误判")+COUNTIF(模拟交易!P2:P501,"支撑误判")</f>
        <v/>
      </c>
      <c r="C21" s="3" t="n"/>
      <c r="D21" s="3" t="n"/>
      <c r="E21" s="3" t="n"/>
    </row>
    <row r="22" ht="17" customHeight="1">
      <c r="A22" s="3" t="inlineStr">
        <is>
          <t>买入过早</t>
        </is>
      </c>
      <c r="B22" s="3">
        <f>COUNTIF(事后验证!M2:L501,"买入过早")+COUNTIF(模拟交易!P2:P501,"买入过早")</f>
        <v/>
      </c>
      <c r="C22" s="3" t="n"/>
      <c r="D22" s="3" t="n"/>
      <c r="E22" s="3" t="n"/>
    </row>
    <row r="23" ht="34" customHeight="1">
      <c r="A23" s="3" t="inlineStr">
        <is>
          <t>放量滞涨后退出慢</t>
        </is>
      </c>
      <c r="B23" s="3">
        <f>COUNTIF(事后验证!M2:L501,"放量滞涨后退出慢")+COUNTIF(模拟交易!P2:P501,"放量滞涨后退出慢")</f>
        <v/>
      </c>
      <c r="C23" s="3" t="n"/>
      <c r="D23" s="3" t="n"/>
      <c r="E23" s="3" t="n"/>
    </row>
    <row r="24" ht="34" customHeight="1">
      <c r="A24" s="3" t="inlineStr">
        <is>
          <t>板块强弱误判</t>
        </is>
      </c>
      <c r="B24" s="3">
        <f>COUNTIF(事后验证!M2:L501,"板块强弱误判")+COUNTIF(模拟交易!P2:P501,"板块强弱误判")</f>
        <v/>
      </c>
      <c r="C24" s="3" t="n"/>
      <c r="D24" s="3" t="n"/>
      <c r="E24" s="3" t="n"/>
    </row>
    <row r="25" ht="34" customHeight="1">
      <c r="A25" s="3" t="inlineStr">
        <is>
          <t>成交量理解错误</t>
        </is>
      </c>
      <c r="B25" s="3">
        <f>COUNTIF(事后验证!M2:L501,"成交量理解错误")+COUNTIF(模拟交易!P2:P501,"成交量理解错误")</f>
        <v/>
      </c>
      <c r="C25" s="3" t="n"/>
      <c r="D25" s="3" t="n"/>
      <c r="E25" s="3" t="n"/>
    </row>
    <row r="26" ht="17" customHeight="1">
      <c r="A26" s="3" t="inlineStr">
        <is>
          <t>减仓偏早</t>
        </is>
      </c>
      <c r="B26" s="3">
        <f>COUNTIF(事后验证!M2:L501,"减仓偏早")+COUNTIF(模拟交易!P2:P501,"减仓偏早")</f>
        <v/>
      </c>
      <c r="C26" s="3" t="n"/>
      <c r="D26" s="3" t="n"/>
      <c r="E26" s="3" t="n"/>
    </row>
    <row r="27">
      <c r="A27" s="3" t="n"/>
      <c r="B27" s="3" t="n"/>
      <c r="C27" s="3" t="n"/>
      <c r="D27" s="3" t="n"/>
      <c r="E27" s="3" t="n"/>
    </row>
    <row r="28" ht="34" customHeight="1">
      <c r="A28" s="7" t="inlineStr">
        <is>
          <t>板块阶段统计</t>
        </is>
      </c>
      <c r="B28" s="3" t="n"/>
      <c r="C28" s="3" t="n"/>
      <c r="D28" s="3" t="n"/>
      <c r="E28" s="3" t="n"/>
    </row>
    <row r="29" ht="17" customHeight="1">
      <c r="A29" s="5" t="inlineStr">
        <is>
          <t>板块阶段</t>
        </is>
      </c>
      <c r="B29" s="5" t="inlineStr">
        <is>
          <t>样本数</t>
        </is>
      </c>
      <c r="C29" s="5" t="inlineStr">
        <is>
          <t>平均板块分</t>
        </is>
      </c>
      <c r="D29" s="3" t="n"/>
      <c r="E29" s="3" t="n"/>
    </row>
    <row r="30" ht="17" customHeight="1">
      <c r="A30" s="3" t="inlineStr">
        <is>
          <t>新启动</t>
        </is>
      </c>
      <c r="B30" s="3">
        <f>COUNTIF(板块观察!O2:T501,"新启动")</f>
        <v/>
      </c>
      <c r="C30" s="3">
        <f>IFERROR(AVERAGEIF(板块观察!O2:T501,"新启动",板块观察!N2:S501),"")</f>
        <v/>
      </c>
      <c r="D30" s="3" t="n"/>
      <c r="E30" s="3" t="n"/>
    </row>
    <row r="31" ht="17" customHeight="1">
      <c r="A31" s="3" t="inlineStr">
        <is>
          <t>主升初期</t>
        </is>
      </c>
      <c r="B31" s="3">
        <f>COUNTIF(板块观察!O2:T501,"主升初期")</f>
        <v/>
      </c>
      <c r="C31" s="3">
        <f>IFERROR(AVERAGEIF(板块观察!O2:T501,"主升初期",板块观察!N2:S501),"")</f>
        <v/>
      </c>
      <c r="D31" s="3" t="n"/>
      <c r="E31" s="3" t="n"/>
    </row>
    <row r="32" ht="17" customHeight="1">
      <c r="A32" s="3" t="inlineStr">
        <is>
          <t>主升中段</t>
        </is>
      </c>
      <c r="B32" s="3">
        <f>COUNTIF(板块观察!O2:T501,"主升中段")</f>
        <v/>
      </c>
      <c r="C32" s="3">
        <f>IFERROR(AVERAGEIF(板块观察!O2:T501,"主升中段",板块观察!N2:S501),"")</f>
        <v/>
      </c>
      <c r="D32" s="3" t="n"/>
      <c r="E32" s="3" t="n"/>
    </row>
    <row r="33" ht="17" customHeight="1">
      <c r="A33" s="3" t="inlineStr">
        <is>
          <t>高潮加速</t>
        </is>
      </c>
      <c r="B33" s="3">
        <f>COUNTIF(板块观察!O2:T501,"高潮加速")</f>
        <v/>
      </c>
      <c r="C33" s="3">
        <f>IFERROR(AVERAGEIF(板块观察!O2:T501,"高潮加速",板块观察!N2:S501),"")</f>
        <v/>
      </c>
      <c r="D33" s="3" t="n"/>
      <c r="E33" s="3" t="n"/>
    </row>
    <row r="34" ht="17" customHeight="1">
      <c r="A34" s="3" t="inlineStr">
        <is>
          <t>高位震荡</t>
        </is>
      </c>
      <c r="B34" s="3">
        <f>COUNTIF(板块观察!O2:T501,"高位震荡")</f>
        <v/>
      </c>
      <c r="C34" s="3">
        <f>IFERROR(AVERAGEIF(板块观察!O2:T501,"高位震荡",板块观察!N2:S501),"")</f>
        <v/>
      </c>
      <c r="D34" s="3" t="n"/>
      <c r="E34" s="3" t="n"/>
    </row>
    <row r="35" ht="17" customHeight="1">
      <c r="A35" s="3" t="inlineStr">
        <is>
          <t>退潮</t>
        </is>
      </c>
      <c r="B35" s="3">
        <f>COUNTIF(板块观察!O2:T501,"退潮")</f>
        <v/>
      </c>
      <c r="C35" s="3">
        <f>IFERROR(AVERAGEIF(板块观察!O2:T501,"退潮",板块观察!N2:S501),"")</f>
        <v/>
      </c>
      <c r="D35" s="3" t="n"/>
      <c r="E35" s="3" t="n"/>
    </row>
    <row r="36" ht="17" customHeight="1">
      <c r="A36" s="3" t="inlineStr">
        <is>
          <t>待观察</t>
        </is>
      </c>
      <c r="B36" s="3">
        <f>COUNTIF(板块观察!O2:T501,"待观察")</f>
        <v/>
      </c>
      <c r="C36" s="3">
        <f>IFERROR(AVERAGEIF(板块观察!O2:T501,"待观察",板块观察!N2:S501),"")</f>
        <v/>
      </c>
      <c r="D36" s="3" t="n"/>
      <c r="E36" s="3" t="n"/>
    </row>
    <row r="37">
      <c r="A37" s="3" t="n"/>
      <c r="B37" s="3" t="n"/>
      <c r="C37" s="3" t="n"/>
      <c r="D37" s="3" t="n"/>
      <c r="E37" s="3" t="n"/>
    </row>
    <row r="38" ht="34" customHeight="1">
      <c r="A38" s="7" t="inlineStr">
        <is>
          <t>个股类型统计</t>
        </is>
      </c>
      <c r="B38" s="3" t="n"/>
      <c r="C38" s="3" t="n"/>
      <c r="D38" s="3" t="n"/>
      <c r="E38" s="3" t="n"/>
    </row>
    <row r="39" ht="17" customHeight="1">
      <c r="A39" s="5" t="inlineStr">
        <is>
          <t>个股类型</t>
        </is>
      </c>
      <c r="B39" s="5" t="inlineStr">
        <is>
          <t>复盘样本</t>
        </is>
      </c>
      <c r="C39" s="5" t="inlineStr">
        <is>
          <t>强于板块</t>
        </is>
      </c>
      <c r="D39" s="5" t="inlineStr">
        <is>
          <t>同步板块</t>
        </is>
      </c>
      <c r="E39" s="5" t="inlineStr">
        <is>
          <t>弱于板块</t>
        </is>
      </c>
    </row>
    <row r="40" ht="17" customHeight="1">
      <c r="A40" s="3" t="inlineStr">
        <is>
          <t>领涨股</t>
        </is>
      </c>
      <c r="B40" s="3">
        <f>COUNTIF(每日复盘!J2:J501,"领涨股")</f>
        <v/>
      </c>
      <c r="C40" s="3">
        <f>COUNTIFS(每日复盘!J2:J501,"领涨股",每日复盘!K2:K501,"强于板块")</f>
        <v/>
      </c>
      <c r="D40" s="3">
        <f>COUNTIFS(每日复盘!J2:J501,"领涨股",每日复盘!K2:K501,"同步板块")</f>
        <v/>
      </c>
      <c r="E40" s="3">
        <f>COUNTIFS(每日复盘!J2:J501,"领涨股",每日复盘!K2:K501,"弱于板块")</f>
        <v/>
      </c>
    </row>
    <row r="41" ht="17" customHeight="1">
      <c r="A41" s="3" t="inlineStr">
        <is>
          <t>健康回调股</t>
        </is>
      </c>
      <c r="B41" s="3">
        <f>COUNTIF(每日复盘!J2:J501,"健康回调股")</f>
        <v/>
      </c>
      <c r="C41" s="3">
        <f>COUNTIFS(每日复盘!J2:J501,"健康回调股",每日复盘!K2:K501,"强于板块")</f>
        <v/>
      </c>
      <c r="D41" s="3">
        <f>COUNTIFS(每日复盘!J2:J501,"健康回调股",每日复盘!K2:K501,"同步板块")</f>
        <v/>
      </c>
      <c r="E41" s="3">
        <f>COUNTIFS(每日复盘!J2:J501,"健康回调股",每日复盘!K2:K501,"弱于板块")</f>
        <v/>
      </c>
    </row>
    <row r="42" ht="17" customHeight="1">
      <c r="A42" s="3" t="inlineStr">
        <is>
          <t>补涨股</t>
        </is>
      </c>
      <c r="B42" s="3">
        <f>COUNTIF(每日复盘!J2:J501,"补涨股")</f>
        <v/>
      </c>
      <c r="C42" s="3">
        <f>COUNTIFS(每日复盘!J2:J501,"补涨股",每日复盘!K2:K501,"强于板块")</f>
        <v/>
      </c>
      <c r="D42" s="3">
        <f>COUNTIFS(每日复盘!J2:J501,"补涨股",每日复盘!K2:K501,"同步板块")</f>
        <v/>
      </c>
      <c r="E42" s="3">
        <f>COUNTIFS(每日复盘!J2:J501,"补涨股",每日复盘!K2:K501,"弱于板块")</f>
        <v/>
      </c>
    </row>
    <row r="43" ht="17" customHeight="1">
      <c r="A43" s="3" t="inlineStr">
        <is>
          <t>跟风股</t>
        </is>
      </c>
      <c r="B43" s="3">
        <f>COUNTIF(每日复盘!J2:J501,"跟风股")</f>
        <v/>
      </c>
      <c r="C43" s="3">
        <f>COUNTIFS(每日复盘!J2:J501,"跟风股",每日复盘!K2:K501,"强于板块")</f>
        <v/>
      </c>
      <c r="D43" s="3">
        <f>COUNTIFS(每日复盘!J2:J501,"跟风股",每日复盘!K2:K501,"同步板块")</f>
        <v/>
      </c>
      <c r="E43" s="3">
        <f>COUNTIFS(每日复盘!J2:J501,"跟风股",每日复盘!K2:K501,"弱于板块")</f>
        <v/>
      </c>
    </row>
    <row r="44" ht="17" customHeight="1">
      <c r="A44" s="3" t="inlineStr">
        <is>
          <t>弱反弹股</t>
        </is>
      </c>
      <c r="B44" s="3">
        <f>COUNTIF(每日复盘!J2:J501,"弱反弹股")</f>
        <v/>
      </c>
      <c r="C44" s="3">
        <f>COUNTIFS(每日复盘!J2:J501,"弱反弹股",每日复盘!K2:K501,"强于板块")</f>
        <v/>
      </c>
      <c r="D44" s="3">
        <f>COUNTIFS(每日复盘!J2:J501,"弱反弹股",每日复盘!K2:K501,"同步板块")</f>
        <v/>
      </c>
      <c r="E44" s="3">
        <f>COUNTIFS(每日复盘!J2:J501,"弱反弹股",每日复盘!K2:K501,"弱于板块")</f>
        <v/>
      </c>
    </row>
    <row r="45" ht="17" customHeight="1">
      <c r="A45" s="3" t="inlineStr">
        <is>
          <t>未分类</t>
        </is>
      </c>
      <c r="B45" s="3">
        <f>COUNTIF(每日复盘!J2:J501,"未分类")</f>
        <v/>
      </c>
      <c r="C45" s="3">
        <f>COUNTIFS(每日复盘!J2:J501,"未分类",每日复盘!K2:K501,"强于板块")</f>
        <v/>
      </c>
      <c r="D45" s="3">
        <f>COUNTIFS(每日复盘!J2:J501,"未分类",每日复盘!K2:K501,"同步板块")</f>
        <v/>
      </c>
      <c r="E45" s="3">
        <f>COUNTIFS(每日复盘!J2:J501,"未分类",每日复盘!K2:K501,"弱于板块")</f>
        <v/>
      </c>
    </row>
    <row r="46">
      <c r="A46" s="3" t="n"/>
      <c r="B46" s="3" t="n"/>
      <c r="C46" s="3" t="n"/>
      <c r="D46" s="3" t="n"/>
      <c r="E46" s="3" t="n"/>
    </row>
    <row r="47" ht="17" customHeight="1">
      <c r="A47" s="7" t="inlineStr">
        <is>
          <t>结构统计</t>
        </is>
      </c>
      <c r="B47" s="3" t="n"/>
      <c r="C47" s="3" t="n"/>
      <c r="D47" s="3" t="n"/>
      <c r="E47" s="3" t="n"/>
    </row>
    <row r="48" ht="17" customHeight="1">
      <c r="A48" s="5" t="inlineStr">
        <is>
          <t>个股结构</t>
        </is>
      </c>
      <c r="B48" s="5" t="inlineStr">
        <is>
          <t>复盘样本</t>
        </is>
      </c>
      <c r="C48" s="5" t="inlineStr">
        <is>
          <t>正确</t>
        </is>
      </c>
      <c r="D48" s="5" t="inlineStr">
        <is>
          <t>部分正确</t>
        </is>
      </c>
      <c r="E48" s="5" t="inlineStr">
        <is>
          <t>错误</t>
        </is>
      </c>
    </row>
    <row r="49" ht="17" customHeight="1">
      <c r="A49" s="3" t="inlineStr">
        <is>
          <t>上升趋势</t>
        </is>
      </c>
      <c r="B49" s="3">
        <f>COUNTIF(每日复盘!R2:N501,"上升趋势")</f>
        <v/>
      </c>
      <c r="C49" s="3">
        <f>COUNTIFS(事后验证!E2:E501,"上升趋势",事后验证!K2:K501,"正确")</f>
        <v/>
      </c>
      <c r="D49" s="3">
        <f>COUNTIFS(事后验证!E2:E501,"上升趋势",事后验证!K2:K501,"部分正确")</f>
        <v/>
      </c>
      <c r="E49" s="3">
        <f>COUNTIFS(事后验证!E2:E501,"上升趋势",事后验证!K2:K501,"错误")</f>
        <v/>
      </c>
    </row>
    <row r="50" ht="17" customHeight="1">
      <c r="A50" s="3" t="inlineStr">
        <is>
          <t>震荡</t>
        </is>
      </c>
      <c r="B50" s="3">
        <f>COUNTIF(每日复盘!R2:N501,"震荡")</f>
        <v/>
      </c>
      <c r="C50" s="3">
        <f>COUNTIFS(事后验证!E2:E501,"震荡",事后验证!K2:K501,"正确")</f>
        <v/>
      </c>
      <c r="D50" s="3">
        <f>COUNTIFS(事后验证!E2:E501,"震荡",事后验证!K2:K501,"部分正确")</f>
        <v/>
      </c>
      <c r="E50" s="3">
        <f>COUNTIFS(事后验证!E2:E501,"震荡",事后验证!K2:K501,"错误")</f>
        <v/>
      </c>
    </row>
    <row r="51" ht="17" customHeight="1">
      <c r="A51" s="3" t="inlineStr">
        <is>
          <t>下降逆转</t>
        </is>
      </c>
      <c r="B51" s="3">
        <f>COUNTIF(每日复盘!R2:N501,"下降逆转")</f>
        <v/>
      </c>
      <c r="C51" s="3">
        <f>COUNTIFS(事后验证!E2:E501,"下降逆转",事后验证!K2:K501,"正确")</f>
        <v/>
      </c>
      <c r="D51" s="3">
        <f>COUNTIFS(事后验证!E2:E501,"下降逆转",事后验证!K2:K501,"部分正确")</f>
        <v/>
      </c>
      <c r="E51" s="3">
        <f>COUNTIFS(事后验证!E2:E501,"下降逆转",事后验证!K2:K501,"错误")</f>
        <v/>
      </c>
    </row>
    <row r="52" ht="34" customHeight="1">
      <c r="A52" s="3" t="inlineStr">
        <is>
          <t>箱体突破初期</t>
        </is>
      </c>
      <c r="B52" s="3">
        <f>COUNTIF(每日复盘!R2:N501,"箱体突破初期")</f>
        <v/>
      </c>
      <c r="C52" s="3">
        <f>COUNTIFS(事后验证!E2:E501,"箱体突破初期",事后验证!K2:K501,"正确")</f>
        <v/>
      </c>
      <c r="D52" s="3">
        <f>COUNTIFS(事后验证!E2:E501,"箱体突破初期",事后验证!K2:K501,"部分正确")</f>
        <v/>
      </c>
      <c r="E52" s="3">
        <f>COUNTIFS(事后验证!E2:E501,"箱体突破初期",事后验证!K2:K501,"错误")</f>
        <v/>
      </c>
    </row>
    <row r="53" ht="17" customHeight="1">
      <c r="A53" s="3" t="inlineStr">
        <is>
          <t>突破后回踩</t>
        </is>
      </c>
      <c r="B53" s="3">
        <f>COUNTIF(每日复盘!R2:N501,"突破后回踩")</f>
        <v/>
      </c>
      <c r="C53" s="3">
        <f>COUNTIFS(事后验证!E2:E501,"突破后回踩",事后验证!K2:K501,"正确")</f>
        <v/>
      </c>
      <c r="D53" s="3">
        <f>COUNTIFS(事后验证!E2:E501,"突破后回踩",事后验证!K2:K501,"部分正确")</f>
        <v/>
      </c>
      <c r="E53" s="3">
        <f>COUNTIFS(事后验证!E2:E501,"突破后回踩",事后验证!K2:K501,"错误")</f>
        <v/>
      </c>
    </row>
    <row r="54" ht="17" customHeight="1">
      <c r="A54" s="3" t="inlineStr">
        <is>
          <t>下降趋势</t>
        </is>
      </c>
      <c r="B54" s="3">
        <f>COUNTIF(每日复盘!R2:N501,"下降趋势")</f>
        <v/>
      </c>
      <c r="C54" s="3">
        <f>COUNTIFS(事后验证!E2:E501,"下降趋势",事后验证!K2:K501,"正确")</f>
        <v/>
      </c>
      <c r="D54" s="3">
        <f>COUNTIFS(事后验证!E2:E501,"下降趋势",事后验证!K2:K501,"部分正确")</f>
        <v/>
      </c>
      <c r="E54" s="3">
        <f>COUNTIFS(事后验证!E2:E501,"下降趋势",事后验证!K2:K501,"错误")</f>
        <v/>
      </c>
    </row>
    <row r="55" ht="17" customHeight="1">
      <c r="A55" s="3" t="inlineStr">
        <is>
          <t>假突破</t>
        </is>
      </c>
      <c r="B55" s="3">
        <f>COUNTIF(每日复盘!R2:N501,"假突破")</f>
        <v/>
      </c>
      <c r="C55" s="3">
        <f>COUNTIFS(事后验证!E2:E501,"假突破",事后验证!K2:K501,"正确")</f>
        <v/>
      </c>
      <c r="D55" s="3">
        <f>COUNTIFS(事后验证!E2:E501,"假突破",事后验证!K2:K501,"部分正确")</f>
        <v/>
      </c>
      <c r="E55" s="3">
        <f>COUNTIFS(事后验证!E2:E501,"假突破",事后验证!K2:K501,"错误")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1" t="inlineStr">
        <is>
          <t>大盘状态</t>
        </is>
      </c>
      <c r="B1" t="inlineStr">
        <is>
          <t>上升</t>
        </is>
      </c>
      <c r="C1" t="inlineStr">
        <is>
          <t>震荡偏强</t>
        </is>
      </c>
      <c r="D1" t="inlineStr">
        <is>
          <t>震荡</t>
        </is>
      </c>
      <c r="E1" t="inlineStr">
        <is>
          <t>震荡偏弱</t>
        </is>
      </c>
      <c r="F1" t="inlineStr">
        <is>
          <t>下降</t>
        </is>
      </c>
    </row>
    <row r="2">
      <c r="A2" s="1" t="inlineStr">
        <is>
          <t>市场量能</t>
        </is>
      </c>
      <c r="B2" t="inlineStr">
        <is>
          <t>放量</t>
        </is>
      </c>
      <c r="C2" t="inlineStr">
        <is>
          <t>平量</t>
        </is>
      </c>
      <c r="D2" t="inlineStr">
        <is>
          <t>缩量</t>
        </is>
      </c>
      <c r="E2" t="inlineStr">
        <is>
          <t>不明确</t>
        </is>
      </c>
    </row>
    <row r="3">
      <c r="A3" s="1" t="inlineStr">
        <is>
          <t>板块类型</t>
        </is>
      </c>
      <c r="B3" t="inlineStr">
        <is>
          <t>行业</t>
        </is>
      </c>
      <c r="C3" t="inlineStr">
        <is>
          <t>概念</t>
        </is>
      </c>
    </row>
    <row r="4">
      <c r="A4" s="1" t="inlineStr">
        <is>
          <t>板块阶段</t>
        </is>
      </c>
      <c r="B4" t="inlineStr">
        <is>
          <t>新启动</t>
        </is>
      </c>
      <c r="C4" t="inlineStr">
        <is>
          <t>首日爆发</t>
        </is>
      </c>
      <c r="D4" t="inlineStr">
        <is>
          <t>待二次确认</t>
        </is>
      </c>
      <c r="E4" t="inlineStr">
        <is>
          <t>主升初期</t>
        </is>
      </c>
      <c r="F4" t="inlineStr">
        <is>
          <t>主升中段</t>
        </is>
      </c>
      <c r="G4" t="inlineStr">
        <is>
          <t>高潮加速</t>
        </is>
      </c>
      <c r="H4" t="inlineStr">
        <is>
          <t>高位震荡</t>
        </is>
      </c>
      <c r="I4" t="inlineStr">
        <is>
          <t>退潮</t>
        </is>
      </c>
      <c r="J4" t="inlineStr">
        <is>
          <t>待观察</t>
        </is>
      </c>
    </row>
    <row r="5">
      <c r="A5" s="1" t="inlineStr">
        <is>
          <t>板块状态</t>
        </is>
      </c>
      <c r="B5" t="inlineStr">
        <is>
          <t>强</t>
        </is>
      </c>
      <c r="C5" t="inlineStr">
        <is>
          <t>一般</t>
        </is>
      </c>
      <c r="D5" t="inlineStr">
        <is>
          <t>弱</t>
        </is>
      </c>
    </row>
    <row r="6">
      <c r="A6" s="1" t="inlineStr">
        <is>
          <t>个股类型</t>
        </is>
      </c>
      <c r="B6" t="inlineStr">
        <is>
          <t>领涨股</t>
        </is>
      </c>
      <c r="C6" t="inlineStr">
        <is>
          <t>健康回调股</t>
        </is>
      </c>
      <c r="D6" t="inlineStr">
        <is>
          <t>补涨股</t>
        </is>
      </c>
      <c r="E6" t="inlineStr">
        <is>
          <t>跟风股</t>
        </is>
      </c>
      <c r="F6" t="inlineStr">
        <is>
          <t>弱反弹股</t>
        </is>
      </c>
      <c r="G6" t="inlineStr">
        <is>
          <t>未分类</t>
        </is>
      </c>
    </row>
    <row r="7">
      <c r="A7" s="1" t="inlineStr">
        <is>
          <t>相对强弱</t>
        </is>
      </c>
      <c r="B7" t="inlineStr">
        <is>
          <t>强于板块</t>
        </is>
      </c>
      <c r="C7" t="inlineStr">
        <is>
          <t>同步板块</t>
        </is>
      </c>
      <c r="D7" t="inlineStr">
        <is>
          <t>弱于板块</t>
        </is>
      </c>
      <c r="E7" t="inlineStr">
        <is>
          <t>不明确</t>
        </is>
      </c>
    </row>
    <row r="8">
      <c r="A8" s="1" t="inlineStr">
        <is>
          <t>个股结构</t>
        </is>
      </c>
      <c r="B8" t="inlineStr">
        <is>
          <t>上升趋势</t>
        </is>
      </c>
      <c r="C8" t="inlineStr">
        <is>
          <t>下降趋势</t>
        </is>
      </c>
      <c r="D8" t="inlineStr">
        <is>
          <t>震荡</t>
        </is>
      </c>
      <c r="E8" t="inlineStr">
        <is>
          <t>下降逆转</t>
        </is>
      </c>
      <c r="F8" t="inlineStr">
        <is>
          <t>箱体突破初期</t>
        </is>
      </c>
      <c r="G8" t="inlineStr">
        <is>
          <t>突破后回踩</t>
        </is>
      </c>
      <c r="H8" t="inlineStr">
        <is>
          <t>假突破</t>
        </is>
      </c>
      <c r="I8" t="inlineStr">
        <is>
          <t>高位整理</t>
        </is>
      </c>
      <c r="J8" t="inlineStr">
        <is>
          <t>未分类</t>
        </is>
      </c>
    </row>
    <row r="9">
      <c r="A9" s="1" t="inlineStr">
        <is>
          <t>均线</t>
        </is>
      </c>
      <c r="B9" t="inlineStr">
        <is>
          <t>5日&gt;20日</t>
        </is>
      </c>
      <c r="C9" t="inlineStr">
        <is>
          <t>5日接近20日</t>
        </is>
      </c>
      <c r="D9" t="inlineStr">
        <is>
          <t>5日&lt;20日</t>
        </is>
      </c>
    </row>
    <row r="10">
      <c r="A10" s="1" t="inlineStr">
        <is>
          <t>MACD</t>
        </is>
      </c>
      <c r="B10" t="inlineStr">
        <is>
          <t>金叉向上</t>
        </is>
      </c>
      <c r="C10" t="inlineStr">
        <is>
          <t>金叉初现</t>
        </is>
      </c>
      <c r="D10" t="inlineStr">
        <is>
          <t>红柱扩大</t>
        </is>
      </c>
      <c r="E10" t="inlineStr">
        <is>
          <t>红柱缩短</t>
        </is>
      </c>
      <c r="F10" t="inlineStr">
        <is>
          <t>绿柱缩短</t>
        </is>
      </c>
      <c r="G10" t="inlineStr">
        <is>
          <t>绿柱扩大</t>
        </is>
      </c>
      <c r="H10" t="inlineStr">
        <is>
          <t>死叉</t>
        </is>
      </c>
      <c r="I10" t="inlineStr">
        <is>
          <t>不明确</t>
        </is>
      </c>
    </row>
    <row r="11">
      <c r="A11" s="1" t="inlineStr">
        <is>
          <t>成交量</t>
        </is>
      </c>
      <c r="B11" t="inlineStr">
        <is>
          <t>放量上涨</t>
        </is>
      </c>
      <c r="C11" t="inlineStr">
        <is>
          <t>缩量上涨</t>
        </is>
      </c>
      <c r="D11" t="inlineStr">
        <is>
          <t>放量下跌</t>
        </is>
      </c>
      <c r="E11" t="inlineStr">
        <is>
          <t>缩量回调</t>
        </is>
      </c>
      <c r="F11" t="inlineStr">
        <is>
          <t>放量滞涨</t>
        </is>
      </c>
      <c r="G11" t="inlineStr">
        <is>
          <t>平量</t>
        </is>
      </c>
      <c r="H11" t="inlineStr">
        <is>
          <t>不明确</t>
        </is>
      </c>
    </row>
    <row r="12">
      <c r="A12" s="1" t="inlineStr">
        <is>
          <t>模拟动作</t>
        </is>
      </c>
      <c r="B12" t="inlineStr">
        <is>
          <t>仅观察</t>
        </is>
      </c>
      <c r="C12" t="inlineStr">
        <is>
          <t>试错买入</t>
        </is>
      </c>
      <c r="D12" t="inlineStr">
        <is>
          <t>等回踩</t>
        </is>
      </c>
      <c r="E12" t="inlineStr">
        <is>
          <t>加仓</t>
        </is>
      </c>
      <c r="F12" t="inlineStr">
        <is>
          <t>减仓</t>
        </is>
      </c>
      <c r="G12" t="inlineStr">
        <is>
          <t>退出</t>
        </is>
      </c>
      <c r="H12" t="inlineStr">
        <is>
          <t>持有模拟</t>
        </is>
      </c>
    </row>
    <row r="13">
      <c r="A13" s="1" t="inlineStr">
        <is>
          <t>状态色</t>
        </is>
      </c>
      <c r="B13" t="inlineStr">
        <is>
          <t>绿-确认</t>
        </is>
      </c>
      <c r="C13" t="inlineStr">
        <is>
          <t>黄-待确认</t>
        </is>
      </c>
      <c r="D13" t="inlineStr">
        <is>
          <t>红-失效</t>
        </is>
      </c>
      <c r="E13" t="inlineStr">
        <is>
          <t>灰-观察</t>
        </is>
      </c>
    </row>
    <row r="14">
      <c r="A14" s="1" t="inlineStr">
        <is>
          <t>验证节点</t>
        </is>
      </c>
      <c r="B14" t="inlineStr">
        <is>
          <t>3日</t>
        </is>
      </c>
      <c r="C14" t="inlineStr">
        <is>
          <t>5日</t>
        </is>
      </c>
      <c r="D14" t="inlineStr">
        <is>
          <t>10日</t>
        </is>
      </c>
    </row>
    <row r="15">
      <c r="A15" s="1" t="inlineStr">
        <is>
          <t>实际走势归类</t>
        </is>
      </c>
      <c r="B15" t="inlineStr">
        <is>
          <t>强走势</t>
        </is>
      </c>
      <c r="C15" t="inlineStr">
        <is>
          <t>中性走势</t>
        </is>
      </c>
      <c r="D15" t="inlineStr">
        <is>
          <t>弱走势</t>
        </is>
      </c>
      <c r="E15" t="inlineStr">
        <is>
          <t>未触发</t>
        </is>
      </c>
    </row>
    <row r="16">
      <c r="A16" s="1" t="inlineStr">
        <is>
          <t>判断结果</t>
        </is>
      </c>
      <c r="B16" t="inlineStr">
        <is>
          <t>正确</t>
        </is>
      </c>
      <c r="C16" t="inlineStr">
        <is>
          <t>部分正确</t>
        </is>
      </c>
      <c r="D16" t="inlineStr">
        <is>
          <t>错误</t>
        </is>
      </c>
      <c r="E16" t="inlineStr">
        <is>
          <t>待验证</t>
        </is>
      </c>
    </row>
    <row r="17">
      <c r="A17" s="1" t="inlineStr">
        <is>
          <t>错误归因</t>
        </is>
      </c>
      <c r="B17" t="inlineStr">
        <is>
          <t>无</t>
        </is>
      </c>
      <c r="C17" t="inlineStr">
        <is>
          <t>假突破误判</t>
        </is>
      </c>
      <c r="D17" t="inlineStr">
        <is>
          <t>低位突破确认不足</t>
        </is>
      </c>
      <c r="E17" t="inlineStr">
        <is>
          <t>支撑误判</t>
        </is>
      </c>
      <c r="F17" t="inlineStr">
        <is>
          <t>买入过早</t>
        </is>
      </c>
      <c r="G17" t="inlineStr">
        <is>
          <t>放量滞涨后退出慢</t>
        </is>
      </c>
      <c r="H17" t="inlineStr">
        <is>
          <t>板块强弱误判</t>
        </is>
      </c>
      <c r="I17" t="inlineStr">
        <is>
          <t>成交量理解错误</t>
        </is>
      </c>
      <c r="J17" t="inlineStr">
        <is>
          <t>减仓偏早</t>
        </is>
      </c>
    </row>
    <row r="18">
      <c r="A18" s="1" t="inlineStr">
        <is>
          <t>仓位类型</t>
        </is>
      </c>
      <c r="B18" t="inlineStr">
        <is>
          <t>观察仓</t>
        </is>
      </c>
      <c r="C18" t="inlineStr">
        <is>
          <t>试错仓</t>
        </is>
      </c>
      <c r="D18" t="inlineStr">
        <is>
          <t>确认仓</t>
        </is>
      </c>
      <c r="E18" t="inlineStr">
        <is>
          <t>加仓</t>
        </is>
      </c>
    </row>
    <row r="19">
      <c r="A19" s="1" t="inlineStr">
        <is>
          <t>交易结果</t>
        </is>
      </c>
      <c r="B19" t="inlineStr">
        <is>
          <t>成功</t>
        </is>
      </c>
      <c r="C19" t="inlineStr">
        <is>
          <t>部分成功</t>
        </is>
      </c>
      <c r="D19" t="inlineStr">
        <is>
          <t>失败</t>
        </is>
      </c>
      <c r="E19" t="inlineStr">
        <is>
          <t>持有中</t>
        </is>
      </c>
    </row>
    <row r="20">
      <c r="A20" s="31" t="inlineStr">
        <is>
          <t>外部环境判断</t>
        </is>
      </c>
      <c r="B20" t="inlineStr">
        <is>
          <t>大盘强+板块强</t>
        </is>
      </c>
      <c r="C20" t="inlineStr">
        <is>
          <t>大盘强+板块弱</t>
        </is>
      </c>
      <c r="D20" t="inlineStr">
        <is>
          <t>大盘弱+板块强</t>
        </is>
      </c>
      <c r="E20" t="inlineStr">
        <is>
          <t>大盘弱+板块弱</t>
        </is>
      </c>
      <c r="F20" t="inlineStr">
        <is>
          <t>大盘震荡+板块强</t>
        </is>
      </c>
      <c r="G20" t="inlineStr">
        <is>
          <t>大盘震荡+板块弱</t>
        </is>
      </c>
      <c r="H20" t="inlineStr">
        <is>
          <t>不明确</t>
        </is>
      </c>
    </row>
    <row r="21">
      <c r="A21" s="31" t="inlineStr">
        <is>
          <t>个股价格信号</t>
        </is>
      </c>
      <c r="B21" t="inlineStr">
        <is>
          <t>突破压力</t>
        </is>
      </c>
      <c r="C21" t="inlineStr">
        <is>
          <t>回踩支撑</t>
        </is>
      </c>
      <c r="D21" t="inlineStr">
        <is>
          <t>跌破支撑</t>
        </is>
      </c>
      <c r="E21" t="inlineStr">
        <is>
          <t>跌破趋势</t>
        </is>
      </c>
      <c r="F21" t="inlineStr">
        <is>
          <t>放量上涨</t>
        </is>
      </c>
      <c r="G21" t="inlineStr">
        <is>
          <t>缩量回调</t>
        </is>
      </c>
      <c r="H21" t="inlineStr">
        <is>
          <t>放量滞涨</t>
        </is>
      </c>
      <c r="I21" t="inlineStr">
        <is>
          <t>下降逆转</t>
        </is>
      </c>
      <c r="J21" t="inlineStr">
        <is>
          <t>假突破待确认</t>
        </is>
      </c>
      <c r="K21" t="inlineStr">
        <is>
          <t>高位震荡</t>
        </is>
      </c>
      <c r="L21" t="inlineStr">
        <is>
          <t>不明确</t>
        </is>
      </c>
    </row>
    <row r="22">
      <c r="A22" s="31" t="inlineStr">
        <is>
          <t>信号解释</t>
        </is>
      </c>
      <c r="B22" t="inlineStr">
        <is>
          <t>共振强化</t>
        </is>
      </c>
      <c r="C22" t="inlineStr">
        <is>
          <t>被大盘拖累</t>
        </is>
      </c>
      <c r="D22" t="inlineStr">
        <is>
          <t>板块带动上涨</t>
        </is>
      </c>
      <c r="E22" t="inlineStr">
        <is>
          <t>独立走强</t>
        </is>
      </c>
      <c r="F22" t="inlineStr">
        <is>
          <t>个股自身转弱</t>
        </is>
      </c>
      <c r="G22" t="inlineStr">
        <is>
          <t>相对抗跌</t>
        </is>
      </c>
      <c r="H22" t="inlineStr">
        <is>
          <t>信号不足</t>
        </is>
      </c>
      <c r="I22" t="inlineStr">
        <is>
          <t>放弃观察</t>
        </is>
      </c>
    </row>
    <row r="23">
      <c r="A23" s="31" t="inlineStr">
        <is>
          <t>今日核心判断</t>
        </is>
      </c>
      <c r="B23" t="inlineStr">
        <is>
          <t>真强</t>
        </is>
      </c>
      <c r="C23" t="inlineStr">
        <is>
          <t>偏强待确认</t>
        </is>
      </c>
      <c r="D23" t="inlineStr">
        <is>
          <t>中性观察</t>
        </is>
      </c>
      <c r="E23" t="inlineStr">
        <is>
          <t>被动下跌</t>
        </is>
      </c>
      <c r="F23" t="inlineStr">
        <is>
          <t>个股转弱</t>
        </is>
      </c>
      <c r="G23" t="inlineStr">
        <is>
          <t>放弃观察</t>
        </is>
      </c>
      <c r="H23" t="inlineStr">
        <is>
          <t>不明确</t>
        </is>
      </c>
    </row>
    <row r="24">
      <c r="A24" s="31" t="inlineStr">
        <is>
          <t>环境解释结果</t>
        </is>
      </c>
      <c r="B24" t="inlineStr">
        <is>
          <t>正确</t>
        </is>
      </c>
      <c r="C24" t="inlineStr">
        <is>
          <t>部分正确</t>
        </is>
      </c>
      <c r="D24" t="inlineStr">
        <is>
          <t>错误</t>
        </is>
      </c>
      <c r="E24" t="inlineStr">
        <is>
          <t>待验证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2026-07-01T15:38:00Z</dcterms:created>
  <dcterms:modified xsi:type="dcterms:W3CDTF">2026-07-03T02:33:53Z</dcterms:modified>
  <cp:lastModifiedBy>吕晶晶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2052-12.1.25205.25205</vt:lpwstr>
  </property>
  <property name="CalculationRule" fmtid="{D5CDD505-2E9C-101B-9397-08002B2CF9AE}" pid="3">
    <vt:i4>0</vt:i4>
  </property>
  <property name="ICV" fmtid="{D5CDD505-2E9C-101B-9397-08002B2CF9AE}" pid="4">
    <vt:lpwstr>AA848945DAEFE9108700476A3A13953D_42</vt:lpwstr>
  </property>
</Properties>
</file>