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0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<sst xmlns="http://schemas.openxmlformats.org/spreadsheetml/2006/main" count="613" uniqueCount="417">
  <si>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</si>
  <si>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</si>
  <si>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</si>
  <si>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</si>
  <si>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</si>
  <si>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</si>
  <si>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</si>
  <si>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</si>
  <si>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</si>
  <si>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</si>
  <si>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</si>
  <si>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</si>
  <si>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</si>
  <si>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</si>
  <si>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</si>
  <si>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</si>
  <si>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</si>
  <si>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</si>
  <si>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</si>
  <si>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</si>
  <si>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</si>
  <si>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</si>
  <si>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</si>
  <si>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</si>
  <si>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</si>
  <si>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</si>
  <si>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</si>
  <si>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</si>
  <si>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</si>
  <si>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</si>
  <si>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</si>
  <si>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</si>
  <si>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</si>
  <si>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</si>
  <si>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</si>
  <si>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</si>
  <si>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</si>
  <si>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</si>
  <si>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</si>
  <si>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</si>
  <si>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</si>
  <si>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</si>
  <si>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</si>
  <si>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</si>
  <si>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</si>
  <si>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</si>
  <si>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</si>
  <si>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</si>
  <si>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</si>
  <si>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</si>
  <si>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</si>
  <si>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</si>
  <si>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</si>
  <si>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先进封装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</si>
  <si>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</si>
  <si>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</si>
  <si>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</si>
  <si>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</si>
  <si>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</si>
  <si>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</si>
  <si>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</si>
  <si>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</si>
  <si>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</si>
  <si>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</si>
  <si>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</si>
  <si>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</si>
  <si>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</si>
  <si>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</si>
  <si>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</si>
  <si>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</si>
  <si>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</si>
  <si>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</si>
  <si>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</si>
  <si>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</si>
  <si>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</si>
  <si>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</si>
  <si>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</si>
  <si>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</si>
  <si>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</si>
  <si>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</si>
  <si>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</si>
  <si>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</si>
  <si>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</si>
  <si>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</si>
  <si>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</si>
  <si>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</si>
  <si>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</si>
  <si>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</si>
  <si>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</si>
  <si>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</si>
  <si>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</si>
  <si>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</si>
  <si>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</si>
  <si>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</si>
  <si>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</si>
  <si>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</si>
  <si>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</si>
  <si>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</si>
  <si>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</si>
  <si>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</si>
  <si>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</si>
  <si>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</si>
  <si>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</si>
  <si>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</si>
  <si>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弱于板块</t>
  </si>
  <si>
    <t>90～92</t>
  </si>
  <si>
    <t>最近有7天基本在这个位置都会反弹</t>
  </si>
  <si>
    <t>缩量回调</t>
  </si>
  <si>
    <t xml:space="preserve"> 今天先进封装板块大跌-5.17%，长电科技跌停，超过板块的跌幅，但是量也没有特别大，没有很多出逃的资金</t>
  </si>
  <si>
    <t>高位分歧</t>
  </si>
  <si>
    <t>目前长电在一个箱体内部震荡，上不去，下不来，很尴尬，还需要等待分歧结束，才可以确认是向上还是向下，也就是多空双方其实立场并不鲜明，获利的多，然后亏的也不算多，可以持有，但是总的来说越往下空方就会越来越多</t>
  </si>
  <si>
    <t>是箱体震荡，还是开始下跌，目前还看不出来，需要再观察，跌停是情绪，还是真的出逃，判断几个主要来源是压力位支撑位，相对板块的强度，还有每天的振幅</t>
  </si>
  <si>
    <t>即使跌停，依然在箱体下沿，没破均线，MACD也是贴着0线，并没有很差，但是波动确实大</t>
  </si>
  <si>
    <t>是否会向下冲过箱体下沿，还是一个假突破随后开始第三波，或者继续向下跌</t>
  </si>
  <si>
    <t>板块弱个股抗跌</t>
  </si>
  <si>
    <t>昨天涨停，早盘拉高4个点后，回落，有几次冲高，整体体成交量还在高位，个股强于板块，波动没有很大，抗跌，整体回调不多大概15%，上面压力位可能位140~142左右，之前在这段区间加起来有15天</t>
  </si>
  <si>
    <t>无法判断</t>
  </si>
  <si>
    <t>是健康回调，是开始下降，如果开始下降昨天与今天的局势还可以，</t>
  </si>
  <si>
    <t>今日的冲高可能是昨天情绪的释放</t>
  </si>
  <si>
    <t>这只股票有情绪，但是好像情绪没那么重，因为相对波动少一点，整体处于板块的头部位置</t>
  </si>
  <si>
    <t>如果是健康回调，应该可以冲破140，整体板块是否可以上升，它属于板块中的相对稳定的股票属于绩优股，关键其半年报是否可以让其冲破60亿，否则可能要继续下行</t>
  </si>
  <si>
    <t>我看不出来什么主要就是箱体会不会下降，从价格层面来看，相对稳定，从局势来说并不能看出来什么，摸不清这只股票什么套路，冲长期来看，可能开始回落了</t>
  </si>
  <si>
    <t>80～82</t>
  </si>
  <si>
    <t>之前80左右是一个压力位，有好几日交易量比较大的时期在那边，所以积累了一些人，再加上80整数位</t>
  </si>
  <si>
    <t>跌破关键位</t>
  </si>
  <si>
    <t>跌破了关键位置，情绪比较低落，早盘就触发了跌停，最近跌幅总是超过板块，后续随着板块拉伸有拉伸到之前的支撑位，后续最最终还是跌停，前面是情绪跌停后面就是真正的跌停，情绪到了冰点，大量的资金会出逃，越来越多的人会被套， 压力位会进一步下移，均线也破了，之前强于板块，现在弱于板块，但是总的跌幅跟板块持平</t>
  </si>
  <si>
    <t>健康回调</t>
  </si>
  <si>
    <t>整个板块最近出现了明显的回调，下滑了20个点，连续跌停，跌破均线，跌破之前设定的压力位（我设定的）情绪的冰点，会加重，</t>
  </si>
  <si>
    <t>板块可能是回调，但是长电的，连续跌停，加之价格形态不好，也有可能转入下跌趋势，看是否能跌破80，如果跌破了80，那说明之前的支撑位也不存在了，</t>
  </si>
  <si>
    <t>整体只下跌了20%，虽然是跌停，但是它本来就是一个情绪比较重的股票，波动每天都很大</t>
  </si>
  <si>
    <t>是不是破了80之后突破前低，这是价格分析层面</t>
  </si>
  <si>
    <t>板块可能有很大的回调，也可能是市场风格开始切换，半导体，AI依然是很好的行业，只是要先洗一下估值</t>
  </si>
  <si>
    <t>跌破后收回</t>
  </si>
  <si>
    <t>大盘大跌，板块大跌，低点到达78后反弹最后到达85，全天振幅极大13块，情绪是很重的，均线已经跌破，成交量略有提升</t>
  </si>
  <si>
    <t>与大盘板块走出了完全不同的趋势，大盘板块跌幅极大，盘中跌破了80，说明80左右有支撑，触发了非常大的买盘，高点是90，一天当中同时触碰了箱体的下沿与上沿
可能的分析，在80附近有很多的买盘，看到拉伸后开始抄底，而没有下跌回去，应该是卖方不多了</t>
  </si>
  <si>
    <t>如果是进入下跌通道，应该还会继续冲击箱体下沿，如果反弹就会冲击箱体上沿被站稳板块跌幅剧烈，反弹的都又跌回去了，可能长电之前的跌幅大，反弹多觉得是机会</t>
  </si>
  <si>
    <t>中</t>
  </si>
  <si>
    <t>基于情绪的推演</t>
  </si>
  <si>
    <t>如果震荡，则空方暂时没了，支撑位80附近会变得更扎实
如果继续被冲击，甚至跌破说明空方还没有结束</t>
  </si>
  <si>
    <t>前低</t>
  </si>
  <si>
    <t>80~82</t>
  </si>
  <si>
    <t>跌破</t>
  </si>
  <si>
    <t>大盘小跌，板块大跌，一路走低，最后跌停，跌穿之前箱体下沿，成交量小幅降低，情绪几乎到了冰点，4天有3天跌停</t>
  </si>
  <si>
    <t>退潮转弱</t>
  </si>
  <si>
    <t>昨天的拉升，可能只是多方的一次努力，今天多方基本不努力了，从情绪层面，空方力量非常强大，越下坠，上方就有抛盘，获利也会出逃，下跌会持续，整个板块也是持续在跌，这种V走势的概率相对低的，处在跌幅逐步扩大的过程</t>
  </si>
  <si>
    <t>下跌的幅度还好，跟板块基本持平30%左右，没有跌破前低，可能只是回调，只是回调的很快，之前涨的也多</t>
  </si>
  <si>
    <t>基于趋势基于价格从价格分析的，所有的价格指标都是差的</t>
  </si>
  <si>
    <t>是否会V型反转，冲破箱体上沿80～82</t>
  </si>
  <si>
    <t>低位反弹</t>
  </si>
  <si>
    <t>跟随着板块走出了一个超级大V，整个板块，从底部直接拉涨停，能量非常大，个股跟谁板块</t>
  </si>
  <si>
    <t>震荡整理</t>
  </si>
  <si>
    <t>板块也跌了很久，应该开始震荡整理</t>
  </si>
  <si>
    <t>动能很大，一天振幅20%</t>
  </si>
  <si>
    <t>跟谁着板块，个股的情况不明朗</t>
  </si>
  <si>
    <t>个股是否会走出自己独立的趋势，板块的回调是否结束</t>
  </si>
  <si>
    <t>机构可能抄底，然后慢慢又出货跑掉，早盘继续涨，然后尾盘跑掉，吸引散户接盘</t>
  </si>
  <si>
    <t>震荡</t>
  </si>
  <si>
    <t>箱体的上沿是之前的箱体的下沿，现在成了压力位</t>
  </si>
  <si>
    <t>今天的走势强于板块，强的不是太多，早盘跟着板块冲击箱体上沿，后回落，交易量5日均线即将下穿50日均线</t>
  </si>
  <si>
    <t>如果不是大盘已经跌破了70，同时跌破了50日均线，不是很好的势头，看多的是散户卖出的是机构，交易量不低但是价格没怎么往上走，说明是有人在出货，机构在有序撤退</t>
  </si>
  <si>
    <t>强于板块，冲击箱体上沿，可能调整结束开始反冲</t>
  </si>
  <si>
    <t>震荡时期不太好判断，多空继续博弈，空方略微占优</t>
  </si>
  <si>
    <t>后续是冲击箱体上沿，还是跌破箱体下沿</t>
  </si>
  <si>
    <t>震荡偏弱</t>
  </si>
  <si>
    <t>今天走势弱于板块，板块早层冲高，个股没跟，跌破了MA50，缩了不少量，</t>
  </si>
  <si>
    <t>板块走弱，个股走势弱于板块，空方明显更强，全天没有组织什么有效攻势，个股接近箱体下沿</t>
  </si>
  <si>
    <t>可能是回调，资金在吸筹</t>
  </si>
  <si>
    <t>情绪面，技术分析层面，都不太好</t>
  </si>
  <si>
    <t>后续是继续冲击前期低点，还是在箱体震荡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</si>
  <si>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</si>
  <si>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</si>
  <si>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</si>
  <si>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</si>
  <si>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</si>
  <si>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</si>
  <si>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</si>
  <si>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</si>
  <si>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</si>
  <si>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</si>
  <si>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</si>
  <si>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</si>
  <si>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</si>
  <si>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</si>
  <si>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</si>
  <si>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</si>
  <si>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</si>
  <si>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</si>
  <si>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</si>
  <si>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</si>
  <si>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</si>
  <si>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</si>
  <si>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</si>
  <si>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</si>
  <si>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</si>
  <si>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</si>
  <si>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</si>
  <si>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</si>
  <si>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</si>
  <si>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</si>
  <si>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</si>
  <si>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</si>
  <si>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</si>
  <si>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</si>
  <si>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</si>
  <si>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</si>
  <si>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</si>
  <si>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</si>
  <si>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</si>
  <si>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</si>
  <si>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</si>
  <si>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</si>
  <si>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</si>
  <si>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</si>
  <si>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</si>
  <si>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</si>
  <si>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</si>
  <si>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</si>
  <si>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</si>
  <si>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</si>
  <si>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</si>
  <si>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</si>
  <si>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</si>
  <si>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</si>
  <si>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</si>
  <si>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</si>
  <si>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</si>
  <si>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</si>
  <si>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</si>
  <si>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</si>
  <si>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</si>
  <si>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</si>
  <si>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</si>
  <si>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</si>
  <si>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</si>
  <si>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</si>
  <si>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</si>
  <si>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</si>
  <si>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</si>
  <si>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</si>
  <si>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</si>
  <si>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</si>
  <si>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</si>
  <si>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</si>
  <si>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</si>
  <si>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</si>
  <si>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</si>
  <si>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</si>
  <si>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</si>
  <si>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</si>
  <si>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</si>
  <si>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</si>
  <si>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</si>
  <si>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</si>
  <si>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</si>
  <si>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</si>
  <si>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</si>
  <si>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</si>
  <si>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</si>
  <si>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</si>
  <si>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</si>
  <si>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</si>
  <si>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</si>
  <si>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</si>
  <si>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</si>
  <si>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</si>
  <si>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</si>
  <si>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</si>
  <si>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</si>
  <si>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</si>
  <si>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</si>
  <si>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</si>
  <si>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</si>
  <si>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</si>
  <si>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</si>
  <si>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</si>
  <si>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</si>
  <si>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</si>
  <si>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</si>
  <si>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</si>
  <si>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</si>
  <si>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</si>
  <si>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</si>
  <si>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</si>
  <si>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</si>
  <si>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</si>
  <si>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</si>
  <si>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</si>
  <si>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</si>
  <si>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</si>
  <si>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</si>
  <si>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</si>
  <si>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</si>
  <si>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</si>
  <si>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</si>
  <si>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</si>
  <si>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</si>
  <si>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</si>
  <si>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</si>
  <si>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</si>
  <si>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</si>
  <si>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</si>
  <si>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</si>
  <si>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</si>
  <si>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</si>
  <si>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</si>
  <si>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</si>
  <si>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</si>
  <si>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</si>
  <si>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</si>
  <si>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</si>
  <si>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</si>
  <si>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</si>
  <si>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</si>
  <si>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</si>
  <si>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</si>
  <si>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</si>
  <si>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</si>
  <si>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</si>
  <si>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</si>
  <si>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</si>
  <si>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</si>
  <si>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</si>
  <si>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</si>
  <si>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</si>
  <si>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</si>
  <si>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</si>
  <si>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</si>
  <si>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</si>
  <si>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</si>
  <si>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</si>
  <si>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</si>
  <si>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</si>
  <si>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</si>
  <si>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</si>
  <si>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</si>
  <si>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</si>
  <si>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</si>
  <si>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</si>
  <si>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</si>
  <si>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</si>
  <si>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</si>
  <si>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</si>
  <si>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</si>
  <si>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</si>
  <si>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</si>
  <si>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</si>
  <si>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</si>
  <si>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</si>
  <si>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</si>
  <si>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</si>
  <si>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</si>
  <si>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</si>
  <si>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</si>
  <si>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</si>
  <si>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</si>
  <si>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</si>
  <si>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</si>
  <si>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</si>
  <si>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</si>
  <si>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</si>
  <si>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</si>
  <si>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</si>
  <si>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</si>
  <si>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</si>
  <si>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</si>
  <si>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</si>
  <si>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</si>
  <si>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</si>
  <si>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</si>
  <si>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</si>
  <si>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</si>
  <si>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</si>
  <si>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</si>
  <si>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</si>
  <si>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</si>
  <si>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</si>
  <si>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</si>
  <si>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</si>
  <si>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</si>
  <si>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</si>
  <si>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</si>
  <si>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</si>
  <si>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</si>
  <si>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</si>
  <si>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</si>
  <si>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首日异动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</si>
  <si>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</si>
  <si>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</si>
  <si>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</si>
  <si>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</si>
  <si>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</si>
  <si>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</si>
  <si>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</si>
  <si>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主升延续</t>
  </si>
  <si>
    <t>自定义</t>
  </si>
  <si>
    <t>跌回平台</t>
  </si>
  <si>
    <t>不适用</t>
  </si>
  <si>
    <t>仍不确定</t>
  </si>
  <si>
    <t>理由链断裂</t>
  </si>
  <si>
    <t>把补涨当核心</t>
  </si>
  <si>
    <t>5日线</t>
  </si>
  <si>
    <t>跌破支撑</t>
  </si>
  <si>
    <t>漏掉反证</t>
  </si>
  <si>
    <t>忽略板块环境</t>
  </si>
  <si>
    <t>10日线</t>
  </si>
  <si>
    <t>修复转强</t>
  </si>
  <si>
    <t>过度确定</t>
  </si>
  <si>
    <t>忽略量价反证</t>
  </si>
  <si>
    <t>20日线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</si>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</sst>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14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0" fillId="4" borderId="1" xfId="0" applyFont="1" applyFill="1" applyBorder="1" applyAlignment="1">
      <alignment vertical="top" wrapText="1"/>
    </xf>
    <xf numFmtId="0" fontId="0" fillId="10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30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1"/>
    </row>
    <row r="29" spans="1:1">
      <c r="A29" s="31"/>
    </row>
    <row r="30" spans="1:1">
      <c r="A30" s="31"/>
    </row>
    <row r="31" spans="1:1">
      <c r="A31" s="31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P1" workbookViewId="0">
      <pane ySplit="1" topLeftCell="A10" activePane="bottomLeft" state="frozen"/>
      <selection/>
      <selection pane="bottomLeft" activeCell="T14" sqref="T14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19" t="s">
        <v>74</v>
      </c>
      <c r="O3" s="19" t="s">
        <v>75</v>
      </c>
      <c r="P3" s="19" t="s">
        <v>76</v>
      </c>
      <c r="Q3" s="19" t="s">
        <v>77</v>
      </c>
      <c r="R3" s="19" t="s">
        <v>78</v>
      </c>
      <c r="S3" s="19" t="s">
        <v>79</v>
      </c>
      <c r="T3" s="19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19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68" spans="1:31">
      <c r="A5" s="8" t="str">
        <f t="shared" si="0"/>
        <v>20260714-004</v>
      </c>
      <c r="B5" s="22">
        <v>46217</v>
      </c>
      <c r="C5" s="19" t="s">
        <v>52</v>
      </c>
      <c r="D5" s="19" t="s">
        <v>53</v>
      </c>
      <c r="E5" s="19" t="s">
        <v>54</v>
      </c>
      <c r="F5" s="19" t="s">
        <v>71</v>
      </c>
      <c r="G5" s="19" t="s">
        <v>72</v>
      </c>
      <c r="H5" s="19" t="s">
        <v>57</v>
      </c>
      <c r="I5" s="19" t="s">
        <v>58</v>
      </c>
      <c r="J5" s="19"/>
      <c r="K5" s="19" t="s">
        <v>60</v>
      </c>
      <c r="L5" s="19" t="s">
        <v>61</v>
      </c>
      <c r="M5" s="19" t="s">
        <v>89</v>
      </c>
      <c r="N5" s="19" t="s">
        <v>90</v>
      </c>
      <c r="O5" s="19" t="s">
        <v>64</v>
      </c>
      <c r="P5" s="19" t="s">
        <v>91</v>
      </c>
      <c r="Q5" s="19" t="s">
        <v>92</v>
      </c>
      <c r="R5" s="19" t="s">
        <v>67</v>
      </c>
      <c r="S5" s="19" t="s">
        <v>93</v>
      </c>
      <c r="T5" s="19" t="s">
        <v>94</v>
      </c>
      <c r="U5" s="20"/>
      <c r="V5" s="20" t="s">
        <v>95</v>
      </c>
      <c r="W5" s="23">
        <f t="shared" si="1"/>
        <v>46220</v>
      </c>
      <c r="X5" s="23">
        <f t="shared" si="2"/>
        <v>46222</v>
      </c>
      <c r="Y5" s="23">
        <f t="shared" si="3"/>
        <v>46227</v>
      </c>
      <c r="Z5" s="24">
        <f t="shared" si="4"/>
        <v>0.947368421052632</v>
      </c>
      <c r="AA5" s="14"/>
      <c r="AB5" s="14"/>
      <c r="AC5" s="14"/>
      <c r="AD5" s="14"/>
      <c r="AE5" s="8" t="str">
        <f t="shared" si="5"/>
        <v>无效</v>
      </c>
    </row>
    <row r="6" ht="51" spans="1:31">
      <c r="A6" s="8" t="str">
        <f t="shared" si="0"/>
        <v>20260714-005</v>
      </c>
      <c r="B6" s="22">
        <v>46217</v>
      </c>
      <c r="C6" s="19" t="s">
        <v>96</v>
      </c>
      <c r="D6" s="19" t="s">
        <v>97</v>
      </c>
      <c r="E6" s="19" t="s">
        <v>54</v>
      </c>
      <c r="F6" s="19" t="s">
        <v>55</v>
      </c>
      <c r="G6" s="19" t="s">
        <v>72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61</v>
      </c>
      <c r="M6" s="19" t="s">
        <v>102</v>
      </c>
      <c r="N6" s="19" t="s">
        <v>103</v>
      </c>
      <c r="O6" s="19"/>
      <c r="P6" s="19"/>
      <c r="Q6" s="19"/>
      <c r="R6" s="19"/>
      <c r="S6" s="19"/>
      <c r="T6" s="19"/>
      <c r="U6" s="20"/>
      <c r="V6" s="20"/>
      <c r="W6" s="23">
        <f t="shared" si="1"/>
        <v>46220</v>
      </c>
      <c r="X6" s="23">
        <f t="shared" si="2"/>
        <v>46222</v>
      </c>
      <c r="Y6" s="23">
        <f t="shared" si="3"/>
        <v>46227</v>
      </c>
      <c r="Z6" s="24">
        <f t="shared" si="4"/>
        <v>0.684210526315789</v>
      </c>
      <c r="AA6" s="14"/>
      <c r="AB6" s="14"/>
      <c r="AC6" s="14"/>
      <c r="AD6" s="14"/>
      <c r="AE6" s="8" t="str">
        <f t="shared" si="5"/>
        <v>无效</v>
      </c>
    </row>
    <row r="7" ht="101" spans="1:31">
      <c r="A7" s="8" t="str">
        <f t="shared" si="0"/>
        <v>20260715-006</v>
      </c>
      <c r="B7" s="22">
        <v>46218</v>
      </c>
      <c r="C7" s="19" t="s">
        <v>52</v>
      </c>
      <c r="D7" s="19" t="s">
        <v>53</v>
      </c>
      <c r="E7" s="19" t="s">
        <v>70</v>
      </c>
      <c r="F7" s="19" t="s">
        <v>71</v>
      </c>
      <c r="G7" s="19" t="s">
        <v>104</v>
      </c>
      <c r="H7" s="19" t="s">
        <v>98</v>
      </c>
      <c r="I7" s="19" t="s">
        <v>105</v>
      </c>
      <c r="J7" s="19" t="s">
        <v>106</v>
      </c>
      <c r="K7" s="19" t="s">
        <v>60</v>
      </c>
      <c r="L7" s="19" t="s">
        <v>61</v>
      </c>
      <c r="M7" s="19" t="s">
        <v>107</v>
      </c>
      <c r="N7" s="19" t="s">
        <v>108</v>
      </c>
      <c r="O7" s="19" t="s">
        <v>109</v>
      </c>
      <c r="P7" s="19" t="s">
        <v>110</v>
      </c>
      <c r="Q7" s="19" t="s">
        <v>111</v>
      </c>
      <c r="R7" s="19" t="s">
        <v>67</v>
      </c>
      <c r="S7" s="19" t="s">
        <v>112</v>
      </c>
      <c r="T7" s="19" t="s">
        <v>113</v>
      </c>
      <c r="U7" s="20"/>
      <c r="V7" s="20"/>
      <c r="W7" s="23">
        <f t="shared" si="1"/>
        <v>46221</v>
      </c>
      <c r="X7" s="23">
        <f t="shared" si="2"/>
        <v>46223</v>
      </c>
      <c r="Y7" s="23">
        <f t="shared" si="3"/>
        <v>46228</v>
      </c>
      <c r="Z7" s="24">
        <f t="shared" si="4"/>
        <v>1</v>
      </c>
      <c r="AA7" s="14"/>
      <c r="AB7" s="14"/>
      <c r="AC7" s="14"/>
      <c r="AD7" s="14"/>
      <c r="AE7" s="8" t="str">
        <f t="shared" si="5"/>
        <v>无效</v>
      </c>
    </row>
    <row r="8" ht="84" spans="1:31">
      <c r="A8" s="8" t="str">
        <f t="shared" si="0"/>
        <v>20260715-007</v>
      </c>
      <c r="B8" s="22">
        <v>46218</v>
      </c>
      <c r="C8" s="19" t="s">
        <v>96</v>
      </c>
      <c r="D8" s="19" t="s">
        <v>97</v>
      </c>
      <c r="E8" s="19" t="s">
        <v>70</v>
      </c>
      <c r="F8" s="19" t="s">
        <v>71</v>
      </c>
      <c r="G8" s="19" t="s">
        <v>72</v>
      </c>
      <c r="H8" s="19" t="s">
        <v>98</v>
      </c>
      <c r="I8" s="19" t="s">
        <v>99</v>
      </c>
      <c r="J8" s="19" t="s">
        <v>100</v>
      </c>
      <c r="K8" s="19" t="s">
        <v>101</v>
      </c>
      <c r="L8" s="19" t="s">
        <v>61</v>
      </c>
      <c r="M8" s="19" t="s">
        <v>114</v>
      </c>
      <c r="N8" s="25" t="s">
        <v>115</v>
      </c>
      <c r="O8" s="19" t="s">
        <v>116</v>
      </c>
      <c r="P8" s="25" t="s">
        <v>117</v>
      </c>
      <c r="Q8" s="25" t="s">
        <v>118</v>
      </c>
      <c r="R8" s="19" t="s">
        <v>67</v>
      </c>
      <c r="S8" s="25" t="s">
        <v>119</v>
      </c>
      <c r="T8" s="25" t="s">
        <v>120</v>
      </c>
      <c r="U8" s="20"/>
      <c r="V8" s="26" t="s">
        <v>121</v>
      </c>
      <c r="W8" s="23">
        <f t="shared" si="1"/>
        <v>46221</v>
      </c>
      <c r="X8" s="23">
        <f t="shared" si="2"/>
        <v>46223</v>
      </c>
      <c r="Y8" s="23">
        <f t="shared" si="3"/>
        <v>46228</v>
      </c>
      <c r="Z8" s="24">
        <f t="shared" si="4"/>
        <v>1</v>
      </c>
      <c r="AA8" s="14"/>
      <c r="AB8" s="14"/>
      <c r="AC8" s="14"/>
      <c r="AD8" s="14"/>
      <c r="AE8" s="8" t="str">
        <f t="shared" si="5"/>
        <v>无效</v>
      </c>
    </row>
    <row r="9" ht="135" spans="1:31">
      <c r="A9" s="8" t="str">
        <f t="shared" si="0"/>
        <v>20260716-008</v>
      </c>
      <c r="B9" s="22">
        <v>46219</v>
      </c>
      <c r="C9" s="19" t="s">
        <v>52</v>
      </c>
      <c r="D9" s="19" t="s">
        <v>53</v>
      </c>
      <c r="E9" s="19" t="s">
        <v>70</v>
      </c>
      <c r="F9" s="19" t="s">
        <v>71</v>
      </c>
      <c r="G9" s="19" t="s">
        <v>104</v>
      </c>
      <c r="H9" s="19" t="s">
        <v>98</v>
      </c>
      <c r="I9" s="19" t="s">
        <v>122</v>
      </c>
      <c r="J9" s="19" t="s">
        <v>123</v>
      </c>
      <c r="K9" s="19" t="s">
        <v>60</v>
      </c>
      <c r="L9" s="19" t="s">
        <v>61</v>
      </c>
      <c r="M9" s="19" t="s">
        <v>124</v>
      </c>
      <c r="N9" s="19" t="s">
        <v>125</v>
      </c>
      <c r="O9" s="19" t="s">
        <v>126</v>
      </c>
      <c r="P9" s="19" t="s">
        <v>127</v>
      </c>
      <c r="Q9" s="19" t="s">
        <v>128</v>
      </c>
      <c r="R9" s="19" t="s">
        <v>67</v>
      </c>
      <c r="S9" s="19" t="s">
        <v>129</v>
      </c>
      <c r="T9" s="19" t="s">
        <v>130</v>
      </c>
      <c r="U9" s="20"/>
      <c r="V9" s="20" t="s">
        <v>131</v>
      </c>
      <c r="W9" s="23">
        <f t="shared" si="1"/>
        <v>46222</v>
      </c>
      <c r="X9" s="23">
        <f t="shared" si="2"/>
        <v>46224</v>
      </c>
      <c r="Y9" s="23">
        <f t="shared" si="3"/>
        <v>46229</v>
      </c>
      <c r="Z9" s="24">
        <f t="shared" si="4"/>
        <v>1</v>
      </c>
      <c r="AA9" s="14"/>
      <c r="AB9" s="14"/>
      <c r="AC9" s="14"/>
      <c r="AD9" s="14"/>
      <c r="AE9" s="8" t="str">
        <f t="shared" si="5"/>
        <v>无效</v>
      </c>
    </row>
    <row r="10" ht="118" spans="1:31">
      <c r="A10" s="8" t="str">
        <f t="shared" si="0"/>
        <v>20260717-009</v>
      </c>
      <c r="B10" s="22">
        <v>46220</v>
      </c>
      <c r="C10" s="19" t="s">
        <v>52</v>
      </c>
      <c r="D10" s="19" t="s">
        <v>53</v>
      </c>
      <c r="E10" s="19" t="s">
        <v>70</v>
      </c>
      <c r="F10" s="19" t="s">
        <v>71</v>
      </c>
      <c r="G10" s="19" t="s">
        <v>72</v>
      </c>
      <c r="H10" s="19" t="s">
        <v>98</v>
      </c>
      <c r="I10" s="19" t="s">
        <v>122</v>
      </c>
      <c r="J10" s="19" t="s">
        <v>123</v>
      </c>
      <c r="K10" s="19" t="s">
        <v>132</v>
      </c>
      <c r="L10" s="19" t="s">
        <v>61</v>
      </c>
      <c r="M10" s="19" t="s">
        <v>89</v>
      </c>
      <c r="N10" s="19" t="s">
        <v>133</v>
      </c>
      <c r="O10" s="19" t="s">
        <v>116</v>
      </c>
      <c r="P10" s="19" t="s">
        <v>134</v>
      </c>
      <c r="Q10" s="19" t="s">
        <v>135</v>
      </c>
      <c r="R10" s="19" t="s">
        <v>136</v>
      </c>
      <c r="S10" s="19" t="s">
        <v>137</v>
      </c>
      <c r="T10" s="19" t="s">
        <v>138</v>
      </c>
      <c r="U10" s="20"/>
      <c r="V10" s="20"/>
      <c r="W10" s="23">
        <f t="shared" si="1"/>
        <v>46223</v>
      </c>
      <c r="X10" s="23">
        <f t="shared" si="2"/>
        <v>46225</v>
      </c>
      <c r="Y10" s="23">
        <f t="shared" si="3"/>
        <v>46230</v>
      </c>
      <c r="Z10" s="24">
        <f t="shared" si="4"/>
        <v>1</v>
      </c>
      <c r="AA10" s="14"/>
      <c r="AB10" s="14"/>
      <c r="AC10" s="14"/>
      <c r="AD10" s="14"/>
      <c r="AE10" s="8" t="str">
        <f t="shared" si="5"/>
        <v>无效</v>
      </c>
    </row>
    <row r="11" ht="101" spans="1:31">
      <c r="A11" s="8" t="str">
        <f t="shared" si="0"/>
        <v>20260718-010</v>
      </c>
      <c r="B11" s="22">
        <v>46221</v>
      </c>
      <c r="C11" s="19" t="s">
        <v>52</v>
      </c>
      <c r="D11" s="19" t="s">
        <v>53</v>
      </c>
      <c r="E11" s="19" t="s">
        <v>70</v>
      </c>
      <c r="F11" s="19" t="s">
        <v>71</v>
      </c>
      <c r="G11" s="19" t="s">
        <v>104</v>
      </c>
      <c r="H11" s="19" t="s">
        <v>139</v>
      </c>
      <c r="I11" s="19" t="s">
        <v>140</v>
      </c>
      <c r="J11" s="19"/>
      <c r="K11" s="19" t="s">
        <v>141</v>
      </c>
      <c r="L11" s="19" t="s">
        <v>61</v>
      </c>
      <c r="M11" s="19" t="s">
        <v>124</v>
      </c>
      <c r="N11" s="19" t="s">
        <v>142</v>
      </c>
      <c r="O11" s="19" t="s">
        <v>143</v>
      </c>
      <c r="P11" s="19" t="s">
        <v>144</v>
      </c>
      <c r="Q11" s="19" t="s">
        <v>145</v>
      </c>
      <c r="R11" s="19" t="s">
        <v>78</v>
      </c>
      <c r="S11" s="19" t="s">
        <v>146</v>
      </c>
      <c r="T11" s="19" t="s">
        <v>147</v>
      </c>
      <c r="U11" s="20"/>
      <c r="V11" s="20"/>
      <c r="W11" s="23">
        <f t="shared" si="1"/>
        <v>46224</v>
      </c>
      <c r="X11" s="23">
        <f t="shared" si="2"/>
        <v>46226</v>
      </c>
      <c r="Y11" s="23">
        <f t="shared" si="3"/>
        <v>46231</v>
      </c>
      <c r="Z11" s="24">
        <f t="shared" si="4"/>
        <v>0.947368421052632</v>
      </c>
      <c r="AA11" s="14"/>
      <c r="AB11" s="14"/>
      <c r="AC11" s="14"/>
      <c r="AD11" s="14"/>
      <c r="AE11" s="8" t="str">
        <f t="shared" si="5"/>
        <v>无效</v>
      </c>
    </row>
    <row r="12" ht="51" spans="1:31">
      <c r="A12" s="8" t="str">
        <f t="shared" si="0"/>
        <v>20260720-011</v>
      </c>
      <c r="B12" s="27">
        <v>46223</v>
      </c>
      <c r="C12" s="19" t="s">
        <v>52</v>
      </c>
      <c r="D12" s="19" t="s">
        <v>53</v>
      </c>
      <c r="E12" s="7" t="s">
        <v>54</v>
      </c>
      <c r="F12" s="7" t="s">
        <v>81</v>
      </c>
      <c r="G12" s="7" t="s">
        <v>56</v>
      </c>
      <c r="H12" s="7" t="s">
        <v>98</v>
      </c>
      <c r="I12" s="19" t="s">
        <v>140</v>
      </c>
      <c r="J12" s="19"/>
      <c r="K12" s="7" t="s">
        <v>82</v>
      </c>
      <c r="L12" s="7" t="s">
        <v>61</v>
      </c>
      <c r="M12" s="7" t="s">
        <v>148</v>
      </c>
      <c r="N12" s="19" t="s">
        <v>149</v>
      </c>
      <c r="O12" s="7" t="s">
        <v>150</v>
      </c>
      <c r="P12" s="19" t="s">
        <v>151</v>
      </c>
      <c r="Q12" s="19" t="s">
        <v>152</v>
      </c>
      <c r="R12" s="7" t="s">
        <v>67</v>
      </c>
      <c r="S12" s="19" t="s">
        <v>153</v>
      </c>
      <c r="T12" s="19" t="s">
        <v>154</v>
      </c>
      <c r="U12" s="20"/>
      <c r="V12" s="20" t="s">
        <v>155</v>
      </c>
      <c r="W12" s="28">
        <f t="shared" si="1"/>
        <v>46226</v>
      </c>
      <c r="X12" s="28">
        <f t="shared" si="2"/>
        <v>46228</v>
      </c>
      <c r="Y12" s="28">
        <f t="shared" si="3"/>
        <v>46233</v>
      </c>
      <c r="Z12" s="29">
        <f t="shared" si="4"/>
        <v>0.947368421052632</v>
      </c>
      <c r="AA12" s="17"/>
      <c r="AB12" s="17"/>
      <c r="AC12" s="17"/>
      <c r="AD12" s="17"/>
      <c r="AE12" s="8" t="str">
        <f t="shared" si="5"/>
        <v>无效</v>
      </c>
    </row>
    <row r="13" ht="68" spans="1:31">
      <c r="A13" s="8" t="str">
        <f t="shared" si="0"/>
        <v>20260721-012</v>
      </c>
      <c r="B13" s="27">
        <v>46224</v>
      </c>
      <c r="C13" s="19" t="s">
        <v>52</v>
      </c>
      <c r="D13" s="19" t="s">
        <v>52</v>
      </c>
      <c r="E13" s="7" t="s">
        <v>156</v>
      </c>
      <c r="F13" s="7" t="s">
        <v>156</v>
      </c>
      <c r="G13" s="7" t="s">
        <v>72</v>
      </c>
      <c r="H13" s="7" t="s">
        <v>57</v>
      </c>
      <c r="I13" s="19" t="s">
        <v>105</v>
      </c>
      <c r="J13" s="19" t="s">
        <v>157</v>
      </c>
      <c r="K13" s="7" t="s">
        <v>81</v>
      </c>
      <c r="L13" s="7" t="s">
        <v>61</v>
      </c>
      <c r="M13" s="7" t="s">
        <v>73</v>
      </c>
      <c r="N13" s="19" t="s">
        <v>158</v>
      </c>
      <c r="O13" s="7" t="s">
        <v>143</v>
      </c>
      <c r="P13" s="19" t="s">
        <v>159</v>
      </c>
      <c r="Q13" s="19" t="s">
        <v>160</v>
      </c>
      <c r="R13" s="7" t="s">
        <v>67</v>
      </c>
      <c r="S13" s="19" t="s">
        <v>161</v>
      </c>
      <c r="T13" s="19" t="s">
        <v>162</v>
      </c>
      <c r="U13" s="20"/>
      <c r="V13" s="20"/>
      <c r="W13" s="28">
        <f t="shared" si="1"/>
        <v>46227</v>
      </c>
      <c r="X13" s="28">
        <f t="shared" si="2"/>
        <v>46229</v>
      </c>
      <c r="Y13" s="28">
        <f t="shared" si="3"/>
        <v>46234</v>
      </c>
      <c r="Z13" s="29">
        <f t="shared" si="4"/>
        <v>1</v>
      </c>
      <c r="AA13" s="17"/>
      <c r="AB13" s="17"/>
      <c r="AC13" s="17"/>
      <c r="AD13" s="17"/>
      <c r="AE13" s="8" t="str">
        <f t="shared" si="5"/>
        <v>无效</v>
      </c>
    </row>
    <row r="14" ht="51" spans="1:31">
      <c r="A14" s="8" t="str">
        <f t="shared" si="0"/>
        <v>20260722-013</v>
      </c>
      <c r="B14" s="27">
        <v>46225</v>
      </c>
      <c r="C14" s="19" t="s">
        <v>52</v>
      </c>
      <c r="D14" s="19" t="s">
        <v>52</v>
      </c>
      <c r="E14" s="7" t="s">
        <v>163</v>
      </c>
      <c r="F14" s="7" t="s">
        <v>156</v>
      </c>
      <c r="G14" s="7" t="s">
        <v>104</v>
      </c>
      <c r="H14" s="7" t="s">
        <v>98</v>
      </c>
      <c r="I14" s="19" t="s">
        <v>140</v>
      </c>
      <c r="J14" s="19"/>
      <c r="K14" s="7" t="s">
        <v>60</v>
      </c>
      <c r="L14" s="7" t="s">
        <v>61</v>
      </c>
      <c r="M14" s="7" t="s">
        <v>107</v>
      </c>
      <c r="N14" s="19" t="s">
        <v>164</v>
      </c>
      <c r="O14" s="7" t="s">
        <v>143</v>
      </c>
      <c r="P14" s="19" t="s">
        <v>165</v>
      </c>
      <c r="Q14" s="19" t="s">
        <v>166</v>
      </c>
      <c r="R14" s="7" t="s">
        <v>136</v>
      </c>
      <c r="S14" s="19" t="s">
        <v>167</v>
      </c>
      <c r="T14" s="19" t="s">
        <v>168</v>
      </c>
      <c r="U14" s="20"/>
      <c r="V14" s="20"/>
      <c r="W14" s="28">
        <f t="shared" si="1"/>
        <v>46228</v>
      </c>
      <c r="X14" s="28">
        <f t="shared" si="2"/>
        <v>46230</v>
      </c>
      <c r="Y14" s="28">
        <f t="shared" si="3"/>
        <v>46235</v>
      </c>
      <c r="Z14" s="29">
        <f t="shared" si="4"/>
        <v>0.947368421052632</v>
      </c>
      <c r="AA14" s="17"/>
      <c r="AB14" s="17"/>
      <c r="AC14" s="17"/>
      <c r="AD14" s="17"/>
      <c r="AE14" s="8" t="str">
        <f t="shared" si="5"/>
        <v>无效</v>
      </c>
    </row>
    <row r="15" ht="17" spans="1:31">
      <c r="A15" s="8" t="str">
        <f t="shared" si="0"/>
        <v/>
      </c>
      <c r="B15" s="27"/>
      <c r="C15" s="7"/>
      <c r="D15" s="7"/>
      <c r="E15" s="7"/>
      <c r="F15" s="7"/>
      <c r="G15" s="7"/>
      <c r="H15" s="7"/>
      <c r="I15" s="7"/>
      <c r="J15" s="19"/>
      <c r="K15" s="7"/>
      <c r="L15" s="7"/>
      <c r="M15" s="7"/>
      <c r="N15" s="19"/>
      <c r="O15" s="7"/>
      <c r="P15" s="19"/>
      <c r="Q15" s="19"/>
      <c r="R15" s="7"/>
      <c r="S15" s="19"/>
      <c r="T15" s="19"/>
      <c r="U15" s="20"/>
      <c r="V15" s="20"/>
      <c r="W15" s="28" t="str">
        <f t="shared" si="1"/>
        <v/>
      </c>
      <c r="X15" s="28" t="str">
        <f t="shared" si="2"/>
        <v/>
      </c>
      <c r="Y15" s="28" t="str">
        <f t="shared" si="3"/>
        <v/>
      </c>
      <c r="Z15" s="29" t="str">
        <f t="shared" si="4"/>
        <v/>
      </c>
      <c r="AA15" s="17"/>
      <c r="AB15" s="17"/>
      <c r="AC15" s="17"/>
      <c r="AD15" s="17"/>
      <c r="AE15" s="8" t="str">
        <f t="shared" si="5"/>
        <v/>
      </c>
    </row>
    <row r="16" ht="17" spans="1:31">
      <c r="A16" s="8" t="str">
        <f t="shared" si="0"/>
        <v/>
      </c>
      <c r="B16" s="27"/>
      <c r="C16" s="7"/>
      <c r="D16" s="7"/>
      <c r="E16" s="7"/>
      <c r="F16" s="7"/>
      <c r="G16" s="7"/>
      <c r="H16" s="7"/>
      <c r="I16" s="7"/>
      <c r="J16" s="19"/>
      <c r="K16" s="7"/>
      <c r="L16" s="7"/>
      <c r="M16" s="7"/>
      <c r="N16" s="19"/>
      <c r="O16" s="7"/>
      <c r="P16" s="19"/>
      <c r="Q16" s="19"/>
      <c r="R16" s="7"/>
      <c r="S16" s="19"/>
      <c r="T16" s="19"/>
      <c r="U16" s="20"/>
      <c r="V16" s="20"/>
      <c r="W16" s="28" t="str">
        <f t="shared" si="1"/>
        <v/>
      </c>
      <c r="X16" s="28" t="str">
        <f t="shared" si="2"/>
        <v/>
      </c>
      <c r="Y16" s="28" t="str">
        <f t="shared" si="3"/>
        <v/>
      </c>
      <c r="Z16" s="29" t="str">
        <f t="shared" si="4"/>
        <v/>
      </c>
      <c r="AA16" s="17"/>
      <c r="AB16" s="17"/>
      <c r="AC16" s="17"/>
      <c r="AD16" s="17"/>
      <c r="AE16" s="8" t="str">
        <f t="shared" si="5"/>
        <v/>
      </c>
    </row>
    <row r="17" ht="17" spans="1:31">
      <c r="A17" s="8" t="str">
        <f t="shared" si="0"/>
        <v/>
      </c>
      <c r="B17" s="27"/>
      <c r="C17" s="7"/>
      <c r="D17" s="7"/>
      <c r="E17" s="7"/>
      <c r="F17" s="7"/>
      <c r="G17" s="7"/>
      <c r="H17" s="7"/>
      <c r="I17" s="7"/>
      <c r="J17" s="19"/>
      <c r="K17" s="7"/>
      <c r="L17" s="7"/>
      <c r="M17" s="7"/>
      <c r="N17" s="19"/>
      <c r="O17" s="7"/>
      <c r="P17" s="19"/>
      <c r="Q17" s="19"/>
      <c r="R17" s="7"/>
      <c r="S17" s="19"/>
      <c r="T17" s="19"/>
      <c r="U17" s="20"/>
      <c r="V17" s="20"/>
      <c r="W17" s="28" t="str">
        <f t="shared" si="1"/>
        <v/>
      </c>
      <c r="X17" s="28" t="str">
        <f t="shared" si="2"/>
        <v/>
      </c>
      <c r="Y17" s="28" t="str">
        <f t="shared" si="3"/>
        <v/>
      </c>
      <c r="Z17" s="29" t="str">
        <f t="shared" si="4"/>
        <v/>
      </c>
      <c r="AA17" s="17"/>
      <c r="AB17" s="17"/>
      <c r="AC17" s="17"/>
      <c r="AD17" s="17"/>
      <c r="AE17" s="8" t="str">
        <f t="shared" si="5"/>
        <v/>
      </c>
    </row>
    <row r="18" ht="17" spans="1:31">
      <c r="A18" s="8" t="str">
        <f t="shared" si="0"/>
        <v/>
      </c>
      <c r="B18" s="27"/>
      <c r="C18" s="7"/>
      <c r="D18" s="7"/>
      <c r="E18" s="7"/>
      <c r="F18" s="7"/>
      <c r="G18" s="7"/>
      <c r="H18" s="7"/>
      <c r="I18" s="7"/>
      <c r="J18" s="19"/>
      <c r="K18" s="7"/>
      <c r="L18" s="7"/>
      <c r="M18" s="7"/>
      <c r="N18" s="19"/>
      <c r="O18" s="7"/>
      <c r="P18" s="19"/>
      <c r="Q18" s="19"/>
      <c r="R18" s="7"/>
      <c r="S18" s="19"/>
      <c r="T18" s="19"/>
      <c r="U18" s="20"/>
      <c r="V18" s="20"/>
      <c r="W18" s="28" t="str">
        <f t="shared" si="1"/>
        <v/>
      </c>
      <c r="X18" s="28" t="str">
        <f t="shared" si="2"/>
        <v/>
      </c>
      <c r="Y18" s="28" t="str">
        <f t="shared" si="3"/>
        <v/>
      </c>
      <c r="Z18" s="29" t="str">
        <f t="shared" si="4"/>
        <v/>
      </c>
      <c r="AA18" s="17"/>
      <c r="AB18" s="17"/>
      <c r="AC18" s="17"/>
      <c r="AD18" s="17"/>
      <c r="AE18" s="8" t="str">
        <f t="shared" si="5"/>
        <v/>
      </c>
    </row>
    <row r="19" ht="17" spans="1:31">
      <c r="A19" s="8" t="str">
        <f t="shared" si="0"/>
        <v/>
      </c>
      <c r="B19" s="27"/>
      <c r="C19" s="7"/>
      <c r="D19" s="7"/>
      <c r="E19" s="7"/>
      <c r="F19" s="7"/>
      <c r="G19" s="7"/>
      <c r="H19" s="7"/>
      <c r="I19" s="7"/>
      <c r="J19" s="19"/>
      <c r="K19" s="7"/>
      <c r="L19" s="7"/>
      <c r="M19" s="7"/>
      <c r="N19" s="19"/>
      <c r="O19" s="7"/>
      <c r="P19" s="19"/>
      <c r="Q19" s="19"/>
      <c r="R19" s="7"/>
      <c r="S19" s="19"/>
      <c r="T19" s="19"/>
      <c r="U19" s="20"/>
      <c r="V19" s="20"/>
      <c r="W19" s="28" t="str">
        <f t="shared" si="1"/>
        <v/>
      </c>
      <c r="X19" s="28" t="str">
        <f t="shared" si="2"/>
        <v/>
      </c>
      <c r="Y19" s="28" t="str">
        <f t="shared" si="3"/>
        <v/>
      </c>
      <c r="Z19" s="29" t="str">
        <f t="shared" si="4"/>
        <v/>
      </c>
      <c r="AA19" s="17"/>
      <c r="AB19" s="17"/>
      <c r="AC19" s="17"/>
      <c r="AD19" s="17"/>
      <c r="AE19" s="8" t="str">
        <f t="shared" si="5"/>
        <v/>
      </c>
    </row>
    <row r="20" ht="17" spans="1:31">
      <c r="A20" s="8" t="str">
        <f t="shared" si="0"/>
        <v/>
      </c>
      <c r="B20" s="27"/>
      <c r="C20" s="7"/>
      <c r="D20" s="7"/>
      <c r="E20" s="7"/>
      <c r="F20" s="7"/>
      <c r="G20" s="7"/>
      <c r="H20" s="7"/>
      <c r="I20" s="7"/>
      <c r="J20" s="19"/>
      <c r="K20" s="7"/>
      <c r="L20" s="7"/>
      <c r="M20" s="7"/>
      <c r="N20" s="19"/>
      <c r="O20" s="7"/>
      <c r="P20" s="19"/>
      <c r="Q20" s="19"/>
      <c r="R20" s="7"/>
      <c r="S20" s="19"/>
      <c r="T20" s="19"/>
      <c r="U20" s="20"/>
      <c r="V20" s="20"/>
      <c r="W20" s="28" t="str">
        <f t="shared" si="1"/>
        <v/>
      </c>
      <c r="X20" s="28" t="str">
        <f t="shared" si="2"/>
        <v/>
      </c>
      <c r="Y20" s="28" t="str">
        <f t="shared" si="3"/>
        <v/>
      </c>
      <c r="Z20" s="29" t="str">
        <f t="shared" si="4"/>
        <v/>
      </c>
      <c r="AA20" s="17"/>
      <c r="AB20" s="17"/>
      <c r="AC20" s="17"/>
      <c r="AD20" s="17"/>
      <c r="AE20" s="8" t="str">
        <f t="shared" si="5"/>
        <v/>
      </c>
    </row>
    <row r="21" ht="17" spans="1:31">
      <c r="A21" s="8" t="str">
        <f t="shared" si="0"/>
        <v/>
      </c>
      <c r="B21" s="27"/>
      <c r="C21" s="7"/>
      <c r="D21" s="7"/>
      <c r="E21" s="7"/>
      <c r="F21" s="7"/>
      <c r="G21" s="7"/>
      <c r="H21" s="7"/>
      <c r="I21" s="7"/>
      <c r="J21" s="19"/>
      <c r="K21" s="7"/>
      <c r="L21" s="7"/>
      <c r="M21" s="7"/>
      <c r="N21" s="19"/>
      <c r="O21" s="7"/>
      <c r="P21" s="19"/>
      <c r="Q21" s="19"/>
      <c r="R21" s="7"/>
      <c r="S21" s="19"/>
      <c r="T21" s="19"/>
      <c r="U21" s="20"/>
      <c r="V21" s="20"/>
      <c r="W21" s="28" t="str">
        <f t="shared" si="1"/>
        <v/>
      </c>
      <c r="X21" s="28" t="str">
        <f t="shared" si="2"/>
        <v/>
      </c>
      <c r="Y21" s="28" t="str">
        <f t="shared" si="3"/>
        <v/>
      </c>
      <c r="Z21" s="29" t="str">
        <f t="shared" si="4"/>
        <v/>
      </c>
      <c r="AA21" s="17"/>
      <c r="AB21" s="17"/>
      <c r="AC21" s="17"/>
      <c r="AD21" s="17"/>
      <c r="AE21" s="8" t="str">
        <f t="shared" si="5"/>
        <v/>
      </c>
    </row>
    <row r="22" ht="17" spans="1:31">
      <c r="A22" s="8" t="str">
        <f t="shared" si="0"/>
        <v/>
      </c>
      <c r="B22" s="27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8" t="str">
        <f t="shared" si="1"/>
        <v/>
      </c>
      <c r="X22" s="28" t="str">
        <f t="shared" si="2"/>
        <v/>
      </c>
      <c r="Y22" s="28" t="str">
        <f t="shared" si="3"/>
        <v/>
      </c>
      <c r="Z22" s="29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ht="17" spans="1:31">
      <c r="A23" s="8" t="str">
        <f t="shared" si="0"/>
        <v/>
      </c>
      <c r="B23" s="27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8" t="str">
        <f t="shared" si="1"/>
        <v/>
      </c>
      <c r="X23" s="28" t="str">
        <f t="shared" si="2"/>
        <v/>
      </c>
      <c r="Y23" s="28" t="str">
        <f t="shared" si="3"/>
        <v/>
      </c>
      <c r="Z23" s="29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ht="17" spans="1:31">
      <c r="A24" s="8" t="str">
        <f t="shared" si="0"/>
        <v/>
      </c>
      <c r="B24" s="27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8" t="str">
        <f t="shared" si="1"/>
        <v/>
      </c>
      <c r="X24" s="28" t="str">
        <f t="shared" si="2"/>
        <v/>
      </c>
      <c r="Y24" s="28" t="str">
        <f t="shared" si="3"/>
        <v/>
      </c>
      <c r="Z24" s="29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7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8" t="str">
        <f t="shared" si="1"/>
        <v/>
      </c>
      <c r="X25" s="28" t="str">
        <f t="shared" si="2"/>
        <v/>
      </c>
      <c r="Y25" s="28" t="str">
        <f t="shared" si="3"/>
        <v/>
      </c>
      <c r="Z25" s="29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7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8" t="str">
        <f t="shared" si="1"/>
        <v/>
      </c>
      <c r="X26" s="28" t="str">
        <f t="shared" si="2"/>
        <v/>
      </c>
      <c r="Y26" s="28" t="str">
        <f t="shared" si="3"/>
        <v/>
      </c>
      <c r="Z26" s="29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7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8" t="str">
        <f t="shared" si="1"/>
        <v/>
      </c>
      <c r="X27" s="28" t="str">
        <f t="shared" si="2"/>
        <v/>
      </c>
      <c r="Y27" s="28" t="str">
        <f t="shared" si="3"/>
        <v/>
      </c>
      <c r="Z27" s="29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7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8" t="str">
        <f t="shared" si="1"/>
        <v/>
      </c>
      <c r="X28" s="28" t="str">
        <f t="shared" si="2"/>
        <v/>
      </c>
      <c r="Y28" s="28" t="str">
        <f t="shared" si="3"/>
        <v/>
      </c>
      <c r="Z28" s="29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7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8" t="str">
        <f t="shared" si="1"/>
        <v/>
      </c>
      <c r="X29" s="28" t="str">
        <f t="shared" si="2"/>
        <v/>
      </c>
      <c r="Y29" s="28" t="str">
        <f t="shared" si="3"/>
        <v/>
      </c>
      <c r="Z29" s="29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7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8" t="str">
        <f t="shared" si="1"/>
        <v/>
      </c>
      <c r="X30" s="28" t="str">
        <f t="shared" si="2"/>
        <v/>
      </c>
      <c r="Y30" s="28" t="str">
        <f t="shared" si="3"/>
        <v/>
      </c>
      <c r="Z30" s="29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7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8" t="str">
        <f t="shared" si="1"/>
        <v/>
      </c>
      <c r="X31" s="28" t="str">
        <f t="shared" si="2"/>
        <v/>
      </c>
      <c r="Y31" s="28" t="str">
        <f t="shared" si="3"/>
        <v/>
      </c>
      <c r="Z31" s="29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7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8" t="str">
        <f t="shared" si="1"/>
        <v/>
      </c>
      <c r="X32" s="28" t="str">
        <f t="shared" si="2"/>
        <v/>
      </c>
      <c r="Y32" s="28" t="str">
        <f t="shared" si="3"/>
        <v/>
      </c>
      <c r="Z32" s="29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7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8" t="str">
        <f t="shared" si="1"/>
        <v/>
      </c>
      <c r="X33" s="28" t="str">
        <f t="shared" si="2"/>
        <v/>
      </c>
      <c r="Y33" s="28" t="str">
        <f t="shared" si="3"/>
        <v/>
      </c>
      <c r="Z33" s="29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7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8" t="str">
        <f t="shared" si="1"/>
        <v/>
      </c>
      <c r="X34" s="28" t="str">
        <f t="shared" si="2"/>
        <v/>
      </c>
      <c r="Y34" s="28" t="str">
        <f t="shared" si="3"/>
        <v/>
      </c>
      <c r="Z34" s="29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7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8" t="str">
        <f t="shared" si="1"/>
        <v/>
      </c>
      <c r="X35" s="28" t="str">
        <f t="shared" si="2"/>
        <v/>
      </c>
      <c r="Y35" s="28" t="str">
        <f t="shared" si="3"/>
        <v/>
      </c>
      <c r="Z35" s="29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7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8" t="str">
        <f t="shared" si="1"/>
        <v/>
      </c>
      <c r="X36" s="28" t="str">
        <f t="shared" si="2"/>
        <v/>
      </c>
      <c r="Y36" s="28" t="str">
        <f t="shared" si="3"/>
        <v/>
      </c>
      <c r="Z36" s="29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7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8" t="str">
        <f t="shared" si="1"/>
        <v/>
      </c>
      <c r="X37" s="28" t="str">
        <f t="shared" si="2"/>
        <v/>
      </c>
      <c r="Y37" s="28" t="str">
        <f t="shared" si="3"/>
        <v/>
      </c>
      <c r="Z37" s="29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7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8" t="str">
        <f t="shared" si="1"/>
        <v/>
      </c>
      <c r="X38" s="28" t="str">
        <f t="shared" si="2"/>
        <v/>
      </c>
      <c r="Y38" s="28" t="str">
        <f t="shared" si="3"/>
        <v/>
      </c>
      <c r="Z38" s="29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7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8" t="str">
        <f t="shared" si="1"/>
        <v/>
      </c>
      <c r="X39" s="28" t="str">
        <f t="shared" si="2"/>
        <v/>
      </c>
      <c r="Y39" s="28" t="str">
        <f t="shared" si="3"/>
        <v/>
      </c>
      <c r="Z39" s="29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7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8" t="str">
        <f t="shared" si="1"/>
        <v/>
      </c>
      <c r="X40" s="28" t="str">
        <f t="shared" si="2"/>
        <v/>
      </c>
      <c r="Y40" s="28" t="str">
        <f t="shared" si="3"/>
        <v/>
      </c>
      <c r="Z40" s="29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7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8" t="str">
        <f t="shared" si="1"/>
        <v/>
      </c>
      <c r="X41" s="28" t="str">
        <f t="shared" si="2"/>
        <v/>
      </c>
      <c r="Y41" s="28" t="str">
        <f t="shared" si="3"/>
        <v/>
      </c>
      <c r="Z41" s="29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7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8" t="str">
        <f t="shared" si="1"/>
        <v/>
      </c>
      <c r="X42" s="28" t="str">
        <f t="shared" si="2"/>
        <v/>
      </c>
      <c r="Y42" s="28" t="str">
        <f t="shared" si="3"/>
        <v/>
      </c>
      <c r="Z42" s="29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7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8" t="str">
        <f t="shared" si="1"/>
        <v/>
      </c>
      <c r="X43" s="28" t="str">
        <f t="shared" si="2"/>
        <v/>
      </c>
      <c r="Y43" s="28" t="str">
        <f t="shared" si="3"/>
        <v/>
      </c>
      <c r="Z43" s="29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7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8" t="str">
        <f t="shared" si="1"/>
        <v/>
      </c>
      <c r="X44" s="28" t="str">
        <f t="shared" si="2"/>
        <v/>
      </c>
      <c r="Y44" s="28" t="str">
        <f t="shared" si="3"/>
        <v/>
      </c>
      <c r="Z44" s="29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7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8" t="str">
        <f t="shared" si="1"/>
        <v/>
      </c>
      <c r="X45" s="28" t="str">
        <f t="shared" si="2"/>
        <v/>
      </c>
      <c r="Y45" s="28" t="str">
        <f t="shared" si="3"/>
        <v/>
      </c>
      <c r="Z45" s="29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7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8" t="str">
        <f t="shared" si="1"/>
        <v/>
      </c>
      <c r="X46" s="28" t="str">
        <f t="shared" si="2"/>
        <v/>
      </c>
      <c r="Y46" s="28" t="str">
        <f t="shared" si="3"/>
        <v/>
      </c>
      <c r="Z46" s="29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7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8" t="str">
        <f t="shared" si="1"/>
        <v/>
      </c>
      <c r="X47" s="28" t="str">
        <f t="shared" si="2"/>
        <v/>
      </c>
      <c r="Y47" s="28" t="str">
        <f t="shared" si="3"/>
        <v/>
      </c>
      <c r="Z47" s="29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7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8" t="str">
        <f t="shared" si="1"/>
        <v/>
      </c>
      <c r="X48" s="28" t="str">
        <f t="shared" si="2"/>
        <v/>
      </c>
      <c r="Y48" s="28" t="str">
        <f t="shared" si="3"/>
        <v/>
      </c>
      <c r="Z48" s="29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7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8" t="str">
        <f t="shared" si="1"/>
        <v/>
      </c>
      <c r="X49" s="28" t="str">
        <f t="shared" si="2"/>
        <v/>
      </c>
      <c r="Y49" s="28" t="str">
        <f t="shared" si="3"/>
        <v/>
      </c>
      <c r="Z49" s="29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7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8" t="str">
        <f t="shared" si="1"/>
        <v/>
      </c>
      <c r="X50" s="28" t="str">
        <f t="shared" si="2"/>
        <v/>
      </c>
      <c r="Y50" s="28" t="str">
        <f t="shared" si="3"/>
        <v/>
      </c>
      <c r="Z50" s="29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7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8" t="str">
        <f t="shared" si="1"/>
        <v/>
      </c>
      <c r="X51" s="28" t="str">
        <f t="shared" si="2"/>
        <v/>
      </c>
      <c r="Y51" s="28" t="str">
        <f t="shared" si="3"/>
        <v/>
      </c>
      <c r="Z51" s="29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7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8" t="str">
        <f t="shared" si="1"/>
        <v/>
      </c>
      <c r="X52" s="28" t="str">
        <f t="shared" si="2"/>
        <v/>
      </c>
      <c r="Y52" s="28" t="str">
        <f t="shared" si="3"/>
        <v/>
      </c>
      <c r="Z52" s="29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7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8" t="str">
        <f t="shared" si="1"/>
        <v/>
      </c>
      <c r="X53" s="28" t="str">
        <f t="shared" si="2"/>
        <v/>
      </c>
      <c r="Y53" s="28" t="str">
        <f t="shared" si="3"/>
        <v/>
      </c>
      <c r="Z53" s="29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7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8" t="str">
        <f t="shared" si="1"/>
        <v/>
      </c>
      <c r="X54" s="28" t="str">
        <f t="shared" si="2"/>
        <v/>
      </c>
      <c r="Y54" s="28" t="str">
        <f t="shared" si="3"/>
        <v/>
      </c>
      <c r="Z54" s="29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7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8" t="str">
        <f t="shared" si="1"/>
        <v/>
      </c>
      <c r="X55" s="28" t="str">
        <f t="shared" si="2"/>
        <v/>
      </c>
      <c r="Y55" s="28" t="str">
        <f t="shared" si="3"/>
        <v/>
      </c>
      <c r="Z55" s="29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7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8" t="str">
        <f t="shared" si="1"/>
        <v/>
      </c>
      <c r="X56" s="28" t="str">
        <f t="shared" si="2"/>
        <v/>
      </c>
      <c r="Y56" s="28" t="str">
        <f t="shared" si="3"/>
        <v/>
      </c>
      <c r="Z56" s="29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7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8" t="str">
        <f t="shared" si="1"/>
        <v/>
      </c>
      <c r="X57" s="28" t="str">
        <f t="shared" si="2"/>
        <v/>
      </c>
      <c r="Y57" s="28" t="str">
        <f t="shared" si="3"/>
        <v/>
      </c>
      <c r="Z57" s="29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7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8" t="str">
        <f t="shared" si="1"/>
        <v/>
      </c>
      <c r="X58" s="28" t="str">
        <f t="shared" si="2"/>
        <v/>
      </c>
      <c r="Y58" s="28" t="str">
        <f t="shared" si="3"/>
        <v/>
      </c>
      <c r="Z58" s="29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7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8" t="str">
        <f t="shared" si="1"/>
        <v/>
      </c>
      <c r="X59" s="28" t="str">
        <f t="shared" si="2"/>
        <v/>
      </c>
      <c r="Y59" s="28" t="str">
        <f t="shared" si="3"/>
        <v/>
      </c>
      <c r="Z59" s="29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7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8" t="str">
        <f t="shared" si="1"/>
        <v/>
      </c>
      <c r="X60" s="28" t="str">
        <f t="shared" si="2"/>
        <v/>
      </c>
      <c r="Y60" s="28" t="str">
        <f t="shared" si="3"/>
        <v/>
      </c>
      <c r="Z60" s="29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7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8" t="str">
        <f t="shared" si="1"/>
        <v/>
      </c>
      <c r="X61" s="28" t="str">
        <f t="shared" si="2"/>
        <v/>
      </c>
      <c r="Y61" s="28" t="str">
        <f t="shared" si="3"/>
        <v/>
      </c>
      <c r="Z61" s="29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7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8" t="str">
        <f t="shared" si="1"/>
        <v/>
      </c>
      <c r="X62" s="28" t="str">
        <f t="shared" si="2"/>
        <v/>
      </c>
      <c r="Y62" s="28" t="str">
        <f t="shared" si="3"/>
        <v/>
      </c>
      <c r="Z62" s="29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7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8" t="str">
        <f t="shared" si="1"/>
        <v/>
      </c>
      <c r="X63" s="28" t="str">
        <f t="shared" si="2"/>
        <v/>
      </c>
      <c r="Y63" s="28" t="str">
        <f t="shared" si="3"/>
        <v/>
      </c>
      <c r="Z63" s="29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7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8" t="str">
        <f t="shared" si="1"/>
        <v/>
      </c>
      <c r="X64" s="28" t="str">
        <f t="shared" si="2"/>
        <v/>
      </c>
      <c r="Y64" s="28" t="str">
        <f t="shared" si="3"/>
        <v/>
      </c>
      <c r="Z64" s="29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7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8" t="str">
        <f t="shared" si="1"/>
        <v/>
      </c>
      <c r="X65" s="28" t="str">
        <f t="shared" si="2"/>
        <v/>
      </c>
      <c r="Y65" s="28" t="str">
        <f t="shared" si="3"/>
        <v/>
      </c>
      <c r="Z65" s="29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7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8" t="str">
        <f t="shared" ref="W66:W129" si="7">IF(B66="","",B66+3)</f>
        <v/>
      </c>
      <c r="X66" s="28" t="str">
        <f t="shared" ref="X66:X129" si="8">IF(B66="","",B66+5)</f>
        <v/>
      </c>
      <c r="Y66" s="28" t="str">
        <f t="shared" ref="Y66:Y129" si="9">IF(B66="","",B66+10)</f>
        <v/>
      </c>
      <c r="Z66" s="29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7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8" t="str">
        <f t="shared" si="7"/>
        <v/>
      </c>
      <c r="X67" s="28" t="str">
        <f t="shared" si="8"/>
        <v/>
      </c>
      <c r="Y67" s="28" t="str">
        <f t="shared" si="9"/>
        <v/>
      </c>
      <c r="Z67" s="29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7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8" t="str">
        <f t="shared" si="7"/>
        <v/>
      </c>
      <c r="X68" s="28" t="str">
        <f t="shared" si="8"/>
        <v/>
      </c>
      <c r="Y68" s="28" t="str">
        <f t="shared" si="9"/>
        <v/>
      </c>
      <c r="Z68" s="29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7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8" t="str">
        <f t="shared" si="7"/>
        <v/>
      </c>
      <c r="X69" s="28" t="str">
        <f t="shared" si="8"/>
        <v/>
      </c>
      <c r="Y69" s="28" t="str">
        <f t="shared" si="9"/>
        <v/>
      </c>
      <c r="Z69" s="29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7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8" t="str">
        <f t="shared" si="7"/>
        <v/>
      </c>
      <c r="X70" s="28" t="str">
        <f t="shared" si="8"/>
        <v/>
      </c>
      <c r="Y70" s="28" t="str">
        <f t="shared" si="9"/>
        <v/>
      </c>
      <c r="Z70" s="29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7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8" t="str">
        <f t="shared" si="7"/>
        <v/>
      </c>
      <c r="X71" s="28" t="str">
        <f t="shared" si="8"/>
        <v/>
      </c>
      <c r="Y71" s="28" t="str">
        <f t="shared" si="9"/>
        <v/>
      </c>
      <c r="Z71" s="29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7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8" t="str">
        <f t="shared" si="7"/>
        <v/>
      </c>
      <c r="X72" s="28" t="str">
        <f t="shared" si="8"/>
        <v/>
      </c>
      <c r="Y72" s="28" t="str">
        <f t="shared" si="9"/>
        <v/>
      </c>
      <c r="Z72" s="29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7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8" t="str">
        <f t="shared" si="7"/>
        <v/>
      </c>
      <c r="X73" s="28" t="str">
        <f t="shared" si="8"/>
        <v/>
      </c>
      <c r="Y73" s="28" t="str">
        <f t="shared" si="9"/>
        <v/>
      </c>
      <c r="Z73" s="29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7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8" t="str">
        <f t="shared" si="7"/>
        <v/>
      </c>
      <c r="X74" s="28" t="str">
        <f t="shared" si="8"/>
        <v/>
      </c>
      <c r="Y74" s="28" t="str">
        <f t="shared" si="9"/>
        <v/>
      </c>
      <c r="Z74" s="29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7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8" t="str">
        <f t="shared" si="7"/>
        <v/>
      </c>
      <c r="X75" s="28" t="str">
        <f t="shared" si="8"/>
        <v/>
      </c>
      <c r="Y75" s="28" t="str">
        <f t="shared" si="9"/>
        <v/>
      </c>
      <c r="Z75" s="29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7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8" t="str">
        <f t="shared" si="7"/>
        <v/>
      </c>
      <c r="X76" s="28" t="str">
        <f t="shared" si="8"/>
        <v/>
      </c>
      <c r="Y76" s="28" t="str">
        <f t="shared" si="9"/>
        <v/>
      </c>
      <c r="Z76" s="29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7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8" t="str">
        <f t="shared" si="7"/>
        <v/>
      </c>
      <c r="X77" s="28" t="str">
        <f t="shared" si="8"/>
        <v/>
      </c>
      <c r="Y77" s="28" t="str">
        <f t="shared" si="9"/>
        <v/>
      </c>
      <c r="Z77" s="29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7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8" t="str">
        <f t="shared" si="7"/>
        <v/>
      </c>
      <c r="X78" s="28" t="str">
        <f t="shared" si="8"/>
        <v/>
      </c>
      <c r="Y78" s="28" t="str">
        <f t="shared" si="9"/>
        <v/>
      </c>
      <c r="Z78" s="29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7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8" t="str">
        <f t="shared" si="7"/>
        <v/>
      </c>
      <c r="X79" s="28" t="str">
        <f t="shared" si="8"/>
        <v/>
      </c>
      <c r="Y79" s="28" t="str">
        <f t="shared" si="9"/>
        <v/>
      </c>
      <c r="Z79" s="29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7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8" t="str">
        <f t="shared" si="7"/>
        <v/>
      </c>
      <c r="X80" s="28" t="str">
        <f t="shared" si="8"/>
        <v/>
      </c>
      <c r="Y80" s="28" t="str">
        <f t="shared" si="9"/>
        <v/>
      </c>
      <c r="Z80" s="29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7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8" t="str">
        <f t="shared" si="7"/>
        <v/>
      </c>
      <c r="X81" s="28" t="str">
        <f t="shared" si="8"/>
        <v/>
      </c>
      <c r="Y81" s="28" t="str">
        <f t="shared" si="9"/>
        <v/>
      </c>
      <c r="Z81" s="29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7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8" t="str">
        <f t="shared" si="7"/>
        <v/>
      </c>
      <c r="X82" s="28" t="str">
        <f t="shared" si="8"/>
        <v/>
      </c>
      <c r="Y82" s="28" t="str">
        <f t="shared" si="9"/>
        <v/>
      </c>
      <c r="Z82" s="29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7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8" t="str">
        <f t="shared" si="7"/>
        <v/>
      </c>
      <c r="X83" s="28" t="str">
        <f t="shared" si="8"/>
        <v/>
      </c>
      <c r="Y83" s="28" t="str">
        <f t="shared" si="9"/>
        <v/>
      </c>
      <c r="Z83" s="29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7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8" t="str">
        <f t="shared" si="7"/>
        <v/>
      </c>
      <c r="X84" s="28" t="str">
        <f t="shared" si="8"/>
        <v/>
      </c>
      <c r="Y84" s="28" t="str">
        <f t="shared" si="9"/>
        <v/>
      </c>
      <c r="Z84" s="29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7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8" t="str">
        <f t="shared" si="7"/>
        <v/>
      </c>
      <c r="X85" s="28" t="str">
        <f t="shared" si="8"/>
        <v/>
      </c>
      <c r="Y85" s="28" t="str">
        <f t="shared" si="9"/>
        <v/>
      </c>
      <c r="Z85" s="29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7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8" t="str">
        <f t="shared" si="7"/>
        <v/>
      </c>
      <c r="X86" s="28" t="str">
        <f t="shared" si="8"/>
        <v/>
      </c>
      <c r="Y86" s="28" t="str">
        <f t="shared" si="9"/>
        <v/>
      </c>
      <c r="Z86" s="29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7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8" t="str">
        <f t="shared" si="7"/>
        <v/>
      </c>
      <c r="X87" s="28" t="str">
        <f t="shared" si="8"/>
        <v/>
      </c>
      <c r="Y87" s="28" t="str">
        <f t="shared" si="9"/>
        <v/>
      </c>
      <c r="Z87" s="29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7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8" t="str">
        <f t="shared" si="7"/>
        <v/>
      </c>
      <c r="X88" s="28" t="str">
        <f t="shared" si="8"/>
        <v/>
      </c>
      <c r="Y88" s="28" t="str">
        <f t="shared" si="9"/>
        <v/>
      </c>
      <c r="Z88" s="29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7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8" t="str">
        <f t="shared" si="7"/>
        <v/>
      </c>
      <c r="X89" s="28" t="str">
        <f t="shared" si="8"/>
        <v/>
      </c>
      <c r="Y89" s="28" t="str">
        <f t="shared" si="9"/>
        <v/>
      </c>
      <c r="Z89" s="29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7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8" t="str">
        <f t="shared" si="7"/>
        <v/>
      </c>
      <c r="X90" s="28" t="str">
        <f t="shared" si="8"/>
        <v/>
      </c>
      <c r="Y90" s="28" t="str">
        <f t="shared" si="9"/>
        <v/>
      </c>
      <c r="Z90" s="29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7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8" t="str">
        <f t="shared" si="7"/>
        <v/>
      </c>
      <c r="X91" s="28" t="str">
        <f t="shared" si="8"/>
        <v/>
      </c>
      <c r="Y91" s="28" t="str">
        <f t="shared" si="9"/>
        <v/>
      </c>
      <c r="Z91" s="29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7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8" t="str">
        <f t="shared" si="7"/>
        <v/>
      </c>
      <c r="X92" s="28" t="str">
        <f t="shared" si="8"/>
        <v/>
      </c>
      <c r="Y92" s="28" t="str">
        <f t="shared" si="9"/>
        <v/>
      </c>
      <c r="Z92" s="29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7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8" t="str">
        <f t="shared" si="7"/>
        <v/>
      </c>
      <c r="X93" s="28" t="str">
        <f t="shared" si="8"/>
        <v/>
      </c>
      <c r="Y93" s="28" t="str">
        <f t="shared" si="9"/>
        <v/>
      </c>
      <c r="Z93" s="29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7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8" t="str">
        <f t="shared" si="7"/>
        <v/>
      </c>
      <c r="X94" s="28" t="str">
        <f t="shared" si="8"/>
        <v/>
      </c>
      <c r="Y94" s="28" t="str">
        <f t="shared" si="9"/>
        <v/>
      </c>
      <c r="Z94" s="29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7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8" t="str">
        <f t="shared" si="7"/>
        <v/>
      </c>
      <c r="X95" s="28" t="str">
        <f t="shared" si="8"/>
        <v/>
      </c>
      <c r="Y95" s="28" t="str">
        <f t="shared" si="9"/>
        <v/>
      </c>
      <c r="Z95" s="29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7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8" t="str">
        <f t="shared" si="7"/>
        <v/>
      </c>
      <c r="X96" s="28" t="str">
        <f t="shared" si="8"/>
        <v/>
      </c>
      <c r="Y96" s="28" t="str">
        <f t="shared" si="9"/>
        <v/>
      </c>
      <c r="Z96" s="29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7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8" t="str">
        <f t="shared" si="7"/>
        <v/>
      </c>
      <c r="X97" s="28" t="str">
        <f t="shared" si="8"/>
        <v/>
      </c>
      <c r="Y97" s="28" t="str">
        <f t="shared" si="9"/>
        <v/>
      </c>
      <c r="Z97" s="29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7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8" t="str">
        <f t="shared" si="7"/>
        <v/>
      </c>
      <c r="X98" s="28" t="str">
        <f t="shared" si="8"/>
        <v/>
      </c>
      <c r="Y98" s="28" t="str">
        <f t="shared" si="9"/>
        <v/>
      </c>
      <c r="Z98" s="29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7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8" t="str">
        <f t="shared" si="7"/>
        <v/>
      </c>
      <c r="X99" s="28" t="str">
        <f t="shared" si="8"/>
        <v/>
      </c>
      <c r="Y99" s="28" t="str">
        <f t="shared" si="9"/>
        <v/>
      </c>
      <c r="Z99" s="29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7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8" t="str">
        <f t="shared" si="7"/>
        <v/>
      </c>
      <c r="X100" s="28" t="str">
        <f t="shared" si="8"/>
        <v/>
      </c>
      <c r="Y100" s="28" t="str">
        <f t="shared" si="9"/>
        <v/>
      </c>
      <c r="Z100" s="29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7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8" t="str">
        <f t="shared" si="7"/>
        <v/>
      </c>
      <c r="X101" s="28" t="str">
        <f t="shared" si="8"/>
        <v/>
      </c>
      <c r="Y101" s="28" t="str">
        <f t="shared" si="9"/>
        <v/>
      </c>
      <c r="Z101" s="29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7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8" t="str">
        <f t="shared" si="7"/>
        <v/>
      </c>
      <c r="X102" s="28" t="str">
        <f t="shared" si="8"/>
        <v/>
      </c>
      <c r="Y102" s="28" t="str">
        <f t="shared" si="9"/>
        <v/>
      </c>
      <c r="Z102" s="29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7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8" t="str">
        <f t="shared" si="7"/>
        <v/>
      </c>
      <c r="X103" s="28" t="str">
        <f t="shared" si="8"/>
        <v/>
      </c>
      <c r="Y103" s="28" t="str">
        <f t="shared" si="9"/>
        <v/>
      </c>
      <c r="Z103" s="29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7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8" t="str">
        <f t="shared" si="7"/>
        <v/>
      </c>
      <c r="X104" s="28" t="str">
        <f t="shared" si="8"/>
        <v/>
      </c>
      <c r="Y104" s="28" t="str">
        <f t="shared" si="9"/>
        <v/>
      </c>
      <c r="Z104" s="29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7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8" t="str">
        <f t="shared" si="7"/>
        <v/>
      </c>
      <c r="X105" s="28" t="str">
        <f t="shared" si="8"/>
        <v/>
      </c>
      <c r="Y105" s="28" t="str">
        <f t="shared" si="9"/>
        <v/>
      </c>
      <c r="Z105" s="29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7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8" t="str">
        <f t="shared" si="7"/>
        <v/>
      </c>
      <c r="X106" s="28" t="str">
        <f t="shared" si="8"/>
        <v/>
      </c>
      <c r="Y106" s="28" t="str">
        <f t="shared" si="9"/>
        <v/>
      </c>
      <c r="Z106" s="29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7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8" t="str">
        <f t="shared" si="7"/>
        <v/>
      </c>
      <c r="X107" s="28" t="str">
        <f t="shared" si="8"/>
        <v/>
      </c>
      <c r="Y107" s="28" t="str">
        <f t="shared" si="9"/>
        <v/>
      </c>
      <c r="Z107" s="29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7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8" t="str">
        <f t="shared" si="7"/>
        <v/>
      </c>
      <c r="X108" s="28" t="str">
        <f t="shared" si="8"/>
        <v/>
      </c>
      <c r="Y108" s="28" t="str">
        <f t="shared" si="9"/>
        <v/>
      </c>
      <c r="Z108" s="29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7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8" t="str">
        <f t="shared" si="7"/>
        <v/>
      </c>
      <c r="X109" s="28" t="str">
        <f t="shared" si="8"/>
        <v/>
      </c>
      <c r="Y109" s="28" t="str">
        <f t="shared" si="9"/>
        <v/>
      </c>
      <c r="Z109" s="29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7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8" t="str">
        <f t="shared" si="7"/>
        <v/>
      </c>
      <c r="X110" s="28" t="str">
        <f t="shared" si="8"/>
        <v/>
      </c>
      <c r="Y110" s="28" t="str">
        <f t="shared" si="9"/>
        <v/>
      </c>
      <c r="Z110" s="29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7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8" t="str">
        <f t="shared" si="7"/>
        <v/>
      </c>
      <c r="X111" s="28" t="str">
        <f t="shared" si="8"/>
        <v/>
      </c>
      <c r="Y111" s="28" t="str">
        <f t="shared" si="9"/>
        <v/>
      </c>
      <c r="Z111" s="29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7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8" t="str">
        <f t="shared" si="7"/>
        <v/>
      </c>
      <c r="X112" s="28" t="str">
        <f t="shared" si="8"/>
        <v/>
      </c>
      <c r="Y112" s="28" t="str">
        <f t="shared" si="9"/>
        <v/>
      </c>
      <c r="Z112" s="29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7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8" t="str">
        <f t="shared" si="7"/>
        <v/>
      </c>
      <c r="X113" s="28" t="str">
        <f t="shared" si="8"/>
        <v/>
      </c>
      <c r="Y113" s="28" t="str">
        <f t="shared" si="9"/>
        <v/>
      </c>
      <c r="Z113" s="29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7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8" t="str">
        <f t="shared" si="7"/>
        <v/>
      </c>
      <c r="X114" s="28" t="str">
        <f t="shared" si="8"/>
        <v/>
      </c>
      <c r="Y114" s="28" t="str">
        <f t="shared" si="9"/>
        <v/>
      </c>
      <c r="Z114" s="29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7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8" t="str">
        <f t="shared" si="7"/>
        <v/>
      </c>
      <c r="X115" s="28" t="str">
        <f t="shared" si="8"/>
        <v/>
      </c>
      <c r="Y115" s="28" t="str">
        <f t="shared" si="9"/>
        <v/>
      </c>
      <c r="Z115" s="29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7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8" t="str">
        <f t="shared" si="7"/>
        <v/>
      </c>
      <c r="X116" s="28" t="str">
        <f t="shared" si="8"/>
        <v/>
      </c>
      <c r="Y116" s="28" t="str">
        <f t="shared" si="9"/>
        <v/>
      </c>
      <c r="Z116" s="29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7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8" t="str">
        <f t="shared" si="7"/>
        <v/>
      </c>
      <c r="X117" s="28" t="str">
        <f t="shared" si="8"/>
        <v/>
      </c>
      <c r="Y117" s="28" t="str">
        <f t="shared" si="9"/>
        <v/>
      </c>
      <c r="Z117" s="29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7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8" t="str">
        <f t="shared" si="7"/>
        <v/>
      </c>
      <c r="X118" s="28" t="str">
        <f t="shared" si="8"/>
        <v/>
      </c>
      <c r="Y118" s="28" t="str">
        <f t="shared" si="9"/>
        <v/>
      </c>
      <c r="Z118" s="29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7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8" t="str">
        <f t="shared" si="7"/>
        <v/>
      </c>
      <c r="X119" s="28" t="str">
        <f t="shared" si="8"/>
        <v/>
      </c>
      <c r="Y119" s="28" t="str">
        <f t="shared" si="9"/>
        <v/>
      </c>
      <c r="Z119" s="29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7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8" t="str">
        <f t="shared" si="7"/>
        <v/>
      </c>
      <c r="X120" s="28" t="str">
        <f t="shared" si="8"/>
        <v/>
      </c>
      <c r="Y120" s="28" t="str">
        <f t="shared" si="9"/>
        <v/>
      </c>
      <c r="Z120" s="29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7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8" t="str">
        <f t="shared" si="7"/>
        <v/>
      </c>
      <c r="X121" s="28" t="str">
        <f t="shared" si="8"/>
        <v/>
      </c>
      <c r="Y121" s="28" t="str">
        <f t="shared" si="9"/>
        <v/>
      </c>
      <c r="Z121" s="29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7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8" t="str">
        <f t="shared" si="7"/>
        <v/>
      </c>
      <c r="X122" s="28" t="str">
        <f t="shared" si="8"/>
        <v/>
      </c>
      <c r="Y122" s="28" t="str">
        <f t="shared" si="9"/>
        <v/>
      </c>
      <c r="Z122" s="29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7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8" t="str">
        <f t="shared" si="7"/>
        <v/>
      </c>
      <c r="X123" s="28" t="str">
        <f t="shared" si="8"/>
        <v/>
      </c>
      <c r="Y123" s="28" t="str">
        <f t="shared" si="9"/>
        <v/>
      </c>
      <c r="Z123" s="29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7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8" t="str">
        <f t="shared" si="7"/>
        <v/>
      </c>
      <c r="X124" s="28" t="str">
        <f t="shared" si="8"/>
        <v/>
      </c>
      <c r="Y124" s="28" t="str">
        <f t="shared" si="9"/>
        <v/>
      </c>
      <c r="Z124" s="29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7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8" t="str">
        <f t="shared" si="7"/>
        <v/>
      </c>
      <c r="X125" s="28" t="str">
        <f t="shared" si="8"/>
        <v/>
      </c>
      <c r="Y125" s="28" t="str">
        <f t="shared" si="9"/>
        <v/>
      </c>
      <c r="Z125" s="29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7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8" t="str">
        <f t="shared" si="7"/>
        <v/>
      </c>
      <c r="X126" s="28" t="str">
        <f t="shared" si="8"/>
        <v/>
      </c>
      <c r="Y126" s="28" t="str">
        <f t="shared" si="9"/>
        <v/>
      </c>
      <c r="Z126" s="29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7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8" t="str">
        <f t="shared" si="7"/>
        <v/>
      </c>
      <c r="X127" s="28" t="str">
        <f t="shared" si="8"/>
        <v/>
      </c>
      <c r="Y127" s="28" t="str">
        <f t="shared" si="9"/>
        <v/>
      </c>
      <c r="Z127" s="29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7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8" t="str">
        <f t="shared" si="7"/>
        <v/>
      </c>
      <c r="X128" s="28" t="str">
        <f t="shared" si="8"/>
        <v/>
      </c>
      <c r="Y128" s="28" t="str">
        <f t="shared" si="9"/>
        <v/>
      </c>
      <c r="Z128" s="29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7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8" t="str">
        <f t="shared" si="7"/>
        <v/>
      </c>
      <c r="X129" s="28" t="str">
        <f t="shared" si="8"/>
        <v/>
      </c>
      <c r="Y129" s="28" t="str">
        <f t="shared" si="9"/>
        <v/>
      </c>
      <c r="Z129" s="29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7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8" t="str">
        <f t="shared" ref="W130:W193" si="13">IF(B130="","",B130+3)</f>
        <v/>
      </c>
      <c r="X130" s="28" t="str">
        <f t="shared" ref="X130:X193" si="14">IF(B130="","",B130+5)</f>
        <v/>
      </c>
      <c r="Y130" s="28" t="str">
        <f t="shared" ref="Y130:Y193" si="15">IF(B130="","",B130+10)</f>
        <v/>
      </c>
      <c r="Z130" s="29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7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8" t="str">
        <f t="shared" si="13"/>
        <v/>
      </c>
      <c r="X131" s="28" t="str">
        <f t="shared" si="14"/>
        <v/>
      </c>
      <c r="Y131" s="28" t="str">
        <f t="shared" si="15"/>
        <v/>
      </c>
      <c r="Z131" s="29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7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8" t="str">
        <f t="shared" si="13"/>
        <v/>
      </c>
      <c r="X132" s="28" t="str">
        <f t="shared" si="14"/>
        <v/>
      </c>
      <c r="Y132" s="28" t="str">
        <f t="shared" si="15"/>
        <v/>
      </c>
      <c r="Z132" s="29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7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8" t="str">
        <f t="shared" si="13"/>
        <v/>
      </c>
      <c r="X133" s="28" t="str">
        <f t="shared" si="14"/>
        <v/>
      </c>
      <c r="Y133" s="28" t="str">
        <f t="shared" si="15"/>
        <v/>
      </c>
      <c r="Z133" s="29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7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8" t="str">
        <f t="shared" si="13"/>
        <v/>
      </c>
      <c r="X134" s="28" t="str">
        <f t="shared" si="14"/>
        <v/>
      </c>
      <c r="Y134" s="28" t="str">
        <f t="shared" si="15"/>
        <v/>
      </c>
      <c r="Z134" s="29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7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8" t="str">
        <f t="shared" si="13"/>
        <v/>
      </c>
      <c r="X135" s="28" t="str">
        <f t="shared" si="14"/>
        <v/>
      </c>
      <c r="Y135" s="28" t="str">
        <f t="shared" si="15"/>
        <v/>
      </c>
      <c r="Z135" s="29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7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8" t="str">
        <f t="shared" si="13"/>
        <v/>
      </c>
      <c r="X136" s="28" t="str">
        <f t="shared" si="14"/>
        <v/>
      </c>
      <c r="Y136" s="28" t="str">
        <f t="shared" si="15"/>
        <v/>
      </c>
      <c r="Z136" s="29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7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8" t="str">
        <f t="shared" si="13"/>
        <v/>
      </c>
      <c r="X137" s="28" t="str">
        <f t="shared" si="14"/>
        <v/>
      </c>
      <c r="Y137" s="28" t="str">
        <f t="shared" si="15"/>
        <v/>
      </c>
      <c r="Z137" s="29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7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8" t="str">
        <f t="shared" si="13"/>
        <v/>
      </c>
      <c r="X138" s="28" t="str">
        <f t="shared" si="14"/>
        <v/>
      </c>
      <c r="Y138" s="28" t="str">
        <f t="shared" si="15"/>
        <v/>
      </c>
      <c r="Z138" s="29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7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8" t="str">
        <f t="shared" si="13"/>
        <v/>
      </c>
      <c r="X139" s="28" t="str">
        <f t="shared" si="14"/>
        <v/>
      </c>
      <c r="Y139" s="28" t="str">
        <f t="shared" si="15"/>
        <v/>
      </c>
      <c r="Z139" s="29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7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8" t="str">
        <f t="shared" si="13"/>
        <v/>
      </c>
      <c r="X140" s="28" t="str">
        <f t="shared" si="14"/>
        <v/>
      </c>
      <c r="Y140" s="28" t="str">
        <f t="shared" si="15"/>
        <v/>
      </c>
      <c r="Z140" s="29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7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8" t="str">
        <f t="shared" si="13"/>
        <v/>
      </c>
      <c r="X141" s="28" t="str">
        <f t="shared" si="14"/>
        <v/>
      </c>
      <c r="Y141" s="28" t="str">
        <f t="shared" si="15"/>
        <v/>
      </c>
      <c r="Z141" s="29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7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8" t="str">
        <f t="shared" si="13"/>
        <v/>
      </c>
      <c r="X142" s="28" t="str">
        <f t="shared" si="14"/>
        <v/>
      </c>
      <c r="Y142" s="28" t="str">
        <f t="shared" si="15"/>
        <v/>
      </c>
      <c r="Z142" s="29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7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8" t="str">
        <f t="shared" si="13"/>
        <v/>
      </c>
      <c r="X143" s="28" t="str">
        <f t="shared" si="14"/>
        <v/>
      </c>
      <c r="Y143" s="28" t="str">
        <f t="shared" si="15"/>
        <v/>
      </c>
      <c r="Z143" s="29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7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8" t="str">
        <f t="shared" si="13"/>
        <v/>
      </c>
      <c r="X144" s="28" t="str">
        <f t="shared" si="14"/>
        <v/>
      </c>
      <c r="Y144" s="28" t="str">
        <f t="shared" si="15"/>
        <v/>
      </c>
      <c r="Z144" s="29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7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8" t="str">
        <f t="shared" si="13"/>
        <v/>
      </c>
      <c r="X145" s="28" t="str">
        <f t="shared" si="14"/>
        <v/>
      </c>
      <c r="Y145" s="28" t="str">
        <f t="shared" si="15"/>
        <v/>
      </c>
      <c r="Z145" s="29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7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8" t="str">
        <f t="shared" si="13"/>
        <v/>
      </c>
      <c r="X146" s="28" t="str">
        <f t="shared" si="14"/>
        <v/>
      </c>
      <c r="Y146" s="28" t="str">
        <f t="shared" si="15"/>
        <v/>
      </c>
      <c r="Z146" s="29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7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8" t="str">
        <f t="shared" si="13"/>
        <v/>
      </c>
      <c r="X147" s="28" t="str">
        <f t="shared" si="14"/>
        <v/>
      </c>
      <c r="Y147" s="28" t="str">
        <f t="shared" si="15"/>
        <v/>
      </c>
      <c r="Z147" s="29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7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8" t="str">
        <f t="shared" si="13"/>
        <v/>
      </c>
      <c r="X148" s="28" t="str">
        <f t="shared" si="14"/>
        <v/>
      </c>
      <c r="Y148" s="28" t="str">
        <f t="shared" si="15"/>
        <v/>
      </c>
      <c r="Z148" s="29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7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8" t="str">
        <f t="shared" si="13"/>
        <v/>
      </c>
      <c r="X149" s="28" t="str">
        <f t="shared" si="14"/>
        <v/>
      </c>
      <c r="Y149" s="28" t="str">
        <f t="shared" si="15"/>
        <v/>
      </c>
      <c r="Z149" s="29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7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8" t="str">
        <f t="shared" si="13"/>
        <v/>
      </c>
      <c r="X150" s="28" t="str">
        <f t="shared" si="14"/>
        <v/>
      </c>
      <c r="Y150" s="28" t="str">
        <f t="shared" si="15"/>
        <v/>
      </c>
      <c r="Z150" s="29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7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8" t="str">
        <f t="shared" si="13"/>
        <v/>
      </c>
      <c r="X151" s="28" t="str">
        <f t="shared" si="14"/>
        <v/>
      </c>
      <c r="Y151" s="28" t="str">
        <f t="shared" si="15"/>
        <v/>
      </c>
      <c r="Z151" s="29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7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8" t="str">
        <f t="shared" si="13"/>
        <v/>
      </c>
      <c r="X152" s="28" t="str">
        <f t="shared" si="14"/>
        <v/>
      </c>
      <c r="Y152" s="28" t="str">
        <f t="shared" si="15"/>
        <v/>
      </c>
      <c r="Z152" s="29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7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8" t="str">
        <f t="shared" si="13"/>
        <v/>
      </c>
      <c r="X153" s="28" t="str">
        <f t="shared" si="14"/>
        <v/>
      </c>
      <c r="Y153" s="28" t="str">
        <f t="shared" si="15"/>
        <v/>
      </c>
      <c r="Z153" s="29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7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8" t="str">
        <f t="shared" si="13"/>
        <v/>
      </c>
      <c r="X154" s="28" t="str">
        <f t="shared" si="14"/>
        <v/>
      </c>
      <c r="Y154" s="28" t="str">
        <f t="shared" si="15"/>
        <v/>
      </c>
      <c r="Z154" s="29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7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8" t="str">
        <f t="shared" si="13"/>
        <v/>
      </c>
      <c r="X155" s="28" t="str">
        <f t="shared" si="14"/>
        <v/>
      </c>
      <c r="Y155" s="28" t="str">
        <f t="shared" si="15"/>
        <v/>
      </c>
      <c r="Z155" s="29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7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8" t="str">
        <f t="shared" si="13"/>
        <v/>
      </c>
      <c r="X156" s="28" t="str">
        <f t="shared" si="14"/>
        <v/>
      </c>
      <c r="Y156" s="28" t="str">
        <f t="shared" si="15"/>
        <v/>
      </c>
      <c r="Z156" s="29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7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8" t="str">
        <f t="shared" si="13"/>
        <v/>
      </c>
      <c r="X157" s="28" t="str">
        <f t="shared" si="14"/>
        <v/>
      </c>
      <c r="Y157" s="28" t="str">
        <f t="shared" si="15"/>
        <v/>
      </c>
      <c r="Z157" s="29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7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8" t="str">
        <f t="shared" si="13"/>
        <v/>
      </c>
      <c r="X158" s="28" t="str">
        <f t="shared" si="14"/>
        <v/>
      </c>
      <c r="Y158" s="28" t="str">
        <f t="shared" si="15"/>
        <v/>
      </c>
      <c r="Z158" s="29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7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8" t="str">
        <f t="shared" si="13"/>
        <v/>
      </c>
      <c r="X159" s="28" t="str">
        <f t="shared" si="14"/>
        <v/>
      </c>
      <c r="Y159" s="28" t="str">
        <f t="shared" si="15"/>
        <v/>
      </c>
      <c r="Z159" s="29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7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8" t="str">
        <f t="shared" si="13"/>
        <v/>
      </c>
      <c r="X160" s="28" t="str">
        <f t="shared" si="14"/>
        <v/>
      </c>
      <c r="Y160" s="28" t="str">
        <f t="shared" si="15"/>
        <v/>
      </c>
      <c r="Z160" s="29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7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8" t="str">
        <f t="shared" si="13"/>
        <v/>
      </c>
      <c r="X161" s="28" t="str">
        <f t="shared" si="14"/>
        <v/>
      </c>
      <c r="Y161" s="28" t="str">
        <f t="shared" si="15"/>
        <v/>
      </c>
      <c r="Z161" s="29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7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8" t="str">
        <f t="shared" si="13"/>
        <v/>
      </c>
      <c r="X162" s="28" t="str">
        <f t="shared" si="14"/>
        <v/>
      </c>
      <c r="Y162" s="28" t="str">
        <f t="shared" si="15"/>
        <v/>
      </c>
      <c r="Z162" s="29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7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8" t="str">
        <f t="shared" si="13"/>
        <v/>
      </c>
      <c r="X163" s="28" t="str">
        <f t="shared" si="14"/>
        <v/>
      </c>
      <c r="Y163" s="28" t="str">
        <f t="shared" si="15"/>
        <v/>
      </c>
      <c r="Z163" s="29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7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8" t="str">
        <f t="shared" si="13"/>
        <v/>
      </c>
      <c r="X164" s="28" t="str">
        <f t="shared" si="14"/>
        <v/>
      </c>
      <c r="Y164" s="28" t="str">
        <f t="shared" si="15"/>
        <v/>
      </c>
      <c r="Z164" s="29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7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8" t="str">
        <f t="shared" si="13"/>
        <v/>
      </c>
      <c r="X165" s="28" t="str">
        <f t="shared" si="14"/>
        <v/>
      </c>
      <c r="Y165" s="28" t="str">
        <f t="shared" si="15"/>
        <v/>
      </c>
      <c r="Z165" s="29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7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8" t="str">
        <f t="shared" si="13"/>
        <v/>
      </c>
      <c r="X166" s="28" t="str">
        <f t="shared" si="14"/>
        <v/>
      </c>
      <c r="Y166" s="28" t="str">
        <f t="shared" si="15"/>
        <v/>
      </c>
      <c r="Z166" s="29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7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8" t="str">
        <f t="shared" si="13"/>
        <v/>
      </c>
      <c r="X167" s="28" t="str">
        <f t="shared" si="14"/>
        <v/>
      </c>
      <c r="Y167" s="28" t="str">
        <f t="shared" si="15"/>
        <v/>
      </c>
      <c r="Z167" s="29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7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8" t="str">
        <f t="shared" si="13"/>
        <v/>
      </c>
      <c r="X168" s="28" t="str">
        <f t="shared" si="14"/>
        <v/>
      </c>
      <c r="Y168" s="28" t="str">
        <f t="shared" si="15"/>
        <v/>
      </c>
      <c r="Z168" s="29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7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8" t="str">
        <f t="shared" si="13"/>
        <v/>
      </c>
      <c r="X169" s="28" t="str">
        <f t="shared" si="14"/>
        <v/>
      </c>
      <c r="Y169" s="28" t="str">
        <f t="shared" si="15"/>
        <v/>
      </c>
      <c r="Z169" s="29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7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8" t="str">
        <f t="shared" si="13"/>
        <v/>
      </c>
      <c r="X170" s="28" t="str">
        <f t="shared" si="14"/>
        <v/>
      </c>
      <c r="Y170" s="28" t="str">
        <f t="shared" si="15"/>
        <v/>
      </c>
      <c r="Z170" s="29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7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8" t="str">
        <f t="shared" si="13"/>
        <v/>
      </c>
      <c r="X171" s="28" t="str">
        <f t="shared" si="14"/>
        <v/>
      </c>
      <c r="Y171" s="28" t="str">
        <f t="shared" si="15"/>
        <v/>
      </c>
      <c r="Z171" s="29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7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8" t="str">
        <f t="shared" si="13"/>
        <v/>
      </c>
      <c r="X172" s="28" t="str">
        <f t="shared" si="14"/>
        <v/>
      </c>
      <c r="Y172" s="28" t="str">
        <f t="shared" si="15"/>
        <v/>
      </c>
      <c r="Z172" s="29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7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8" t="str">
        <f t="shared" si="13"/>
        <v/>
      </c>
      <c r="X173" s="28" t="str">
        <f t="shared" si="14"/>
        <v/>
      </c>
      <c r="Y173" s="28" t="str">
        <f t="shared" si="15"/>
        <v/>
      </c>
      <c r="Z173" s="29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7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8" t="str">
        <f t="shared" si="13"/>
        <v/>
      </c>
      <c r="X174" s="28" t="str">
        <f t="shared" si="14"/>
        <v/>
      </c>
      <c r="Y174" s="28" t="str">
        <f t="shared" si="15"/>
        <v/>
      </c>
      <c r="Z174" s="29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7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8" t="str">
        <f t="shared" si="13"/>
        <v/>
      </c>
      <c r="X175" s="28" t="str">
        <f t="shared" si="14"/>
        <v/>
      </c>
      <c r="Y175" s="28" t="str">
        <f t="shared" si="15"/>
        <v/>
      </c>
      <c r="Z175" s="29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7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8" t="str">
        <f t="shared" si="13"/>
        <v/>
      </c>
      <c r="X176" s="28" t="str">
        <f t="shared" si="14"/>
        <v/>
      </c>
      <c r="Y176" s="28" t="str">
        <f t="shared" si="15"/>
        <v/>
      </c>
      <c r="Z176" s="29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7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8" t="str">
        <f t="shared" si="13"/>
        <v/>
      </c>
      <c r="X177" s="28" t="str">
        <f t="shared" si="14"/>
        <v/>
      </c>
      <c r="Y177" s="28" t="str">
        <f t="shared" si="15"/>
        <v/>
      </c>
      <c r="Z177" s="29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7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8" t="str">
        <f t="shared" si="13"/>
        <v/>
      </c>
      <c r="X178" s="28" t="str">
        <f t="shared" si="14"/>
        <v/>
      </c>
      <c r="Y178" s="28" t="str">
        <f t="shared" si="15"/>
        <v/>
      </c>
      <c r="Z178" s="29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7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8" t="str">
        <f t="shared" si="13"/>
        <v/>
      </c>
      <c r="X179" s="28" t="str">
        <f t="shared" si="14"/>
        <v/>
      </c>
      <c r="Y179" s="28" t="str">
        <f t="shared" si="15"/>
        <v/>
      </c>
      <c r="Z179" s="29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7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8" t="str">
        <f t="shared" si="13"/>
        <v/>
      </c>
      <c r="X180" s="28" t="str">
        <f t="shared" si="14"/>
        <v/>
      </c>
      <c r="Y180" s="28" t="str">
        <f t="shared" si="15"/>
        <v/>
      </c>
      <c r="Z180" s="29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7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8" t="str">
        <f t="shared" si="13"/>
        <v/>
      </c>
      <c r="X181" s="28" t="str">
        <f t="shared" si="14"/>
        <v/>
      </c>
      <c r="Y181" s="28" t="str">
        <f t="shared" si="15"/>
        <v/>
      </c>
      <c r="Z181" s="29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7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8" t="str">
        <f t="shared" si="13"/>
        <v/>
      </c>
      <c r="X182" s="28" t="str">
        <f t="shared" si="14"/>
        <v/>
      </c>
      <c r="Y182" s="28" t="str">
        <f t="shared" si="15"/>
        <v/>
      </c>
      <c r="Z182" s="29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7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8" t="str">
        <f t="shared" si="13"/>
        <v/>
      </c>
      <c r="X183" s="28" t="str">
        <f t="shared" si="14"/>
        <v/>
      </c>
      <c r="Y183" s="28" t="str">
        <f t="shared" si="15"/>
        <v/>
      </c>
      <c r="Z183" s="29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7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8" t="str">
        <f t="shared" si="13"/>
        <v/>
      </c>
      <c r="X184" s="28" t="str">
        <f t="shared" si="14"/>
        <v/>
      </c>
      <c r="Y184" s="28" t="str">
        <f t="shared" si="15"/>
        <v/>
      </c>
      <c r="Z184" s="29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7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8" t="str">
        <f t="shared" si="13"/>
        <v/>
      </c>
      <c r="X185" s="28" t="str">
        <f t="shared" si="14"/>
        <v/>
      </c>
      <c r="Y185" s="28" t="str">
        <f t="shared" si="15"/>
        <v/>
      </c>
      <c r="Z185" s="29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7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8" t="str">
        <f t="shared" si="13"/>
        <v/>
      </c>
      <c r="X186" s="28" t="str">
        <f t="shared" si="14"/>
        <v/>
      </c>
      <c r="Y186" s="28" t="str">
        <f t="shared" si="15"/>
        <v/>
      </c>
      <c r="Z186" s="29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7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8" t="str">
        <f t="shared" si="13"/>
        <v/>
      </c>
      <c r="X187" s="28" t="str">
        <f t="shared" si="14"/>
        <v/>
      </c>
      <c r="Y187" s="28" t="str">
        <f t="shared" si="15"/>
        <v/>
      </c>
      <c r="Z187" s="29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7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8" t="str">
        <f t="shared" si="13"/>
        <v/>
      </c>
      <c r="X188" s="28" t="str">
        <f t="shared" si="14"/>
        <v/>
      </c>
      <c r="Y188" s="28" t="str">
        <f t="shared" si="15"/>
        <v/>
      </c>
      <c r="Z188" s="29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7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8" t="str">
        <f t="shared" si="13"/>
        <v/>
      </c>
      <c r="X189" s="28" t="str">
        <f t="shared" si="14"/>
        <v/>
      </c>
      <c r="Y189" s="28" t="str">
        <f t="shared" si="15"/>
        <v/>
      </c>
      <c r="Z189" s="29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7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8" t="str">
        <f t="shared" si="13"/>
        <v/>
      </c>
      <c r="X190" s="28" t="str">
        <f t="shared" si="14"/>
        <v/>
      </c>
      <c r="Y190" s="28" t="str">
        <f t="shared" si="15"/>
        <v/>
      </c>
      <c r="Z190" s="29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7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8" t="str">
        <f t="shared" si="13"/>
        <v/>
      </c>
      <c r="X191" s="28" t="str">
        <f t="shared" si="14"/>
        <v/>
      </c>
      <c r="Y191" s="28" t="str">
        <f t="shared" si="15"/>
        <v/>
      </c>
      <c r="Z191" s="29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7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8" t="str">
        <f t="shared" si="13"/>
        <v/>
      </c>
      <c r="X192" s="28" t="str">
        <f t="shared" si="14"/>
        <v/>
      </c>
      <c r="Y192" s="28" t="str">
        <f t="shared" si="15"/>
        <v/>
      </c>
      <c r="Z192" s="29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7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8" t="str">
        <f t="shared" si="13"/>
        <v/>
      </c>
      <c r="X193" s="28" t="str">
        <f t="shared" si="14"/>
        <v/>
      </c>
      <c r="Y193" s="28" t="str">
        <f t="shared" si="15"/>
        <v/>
      </c>
      <c r="Z193" s="29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7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8" t="str">
        <f t="shared" ref="W194:W257" si="19">IF(B194="","",B194+3)</f>
        <v/>
      </c>
      <c r="X194" s="28" t="str">
        <f t="shared" ref="X194:X257" si="20">IF(B194="","",B194+5)</f>
        <v/>
      </c>
      <c r="Y194" s="28" t="str">
        <f t="shared" ref="Y194:Y257" si="21">IF(B194="","",B194+10)</f>
        <v/>
      </c>
      <c r="Z194" s="29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7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8" t="str">
        <f t="shared" si="19"/>
        <v/>
      </c>
      <c r="X195" s="28" t="str">
        <f t="shared" si="20"/>
        <v/>
      </c>
      <c r="Y195" s="28" t="str">
        <f t="shared" si="21"/>
        <v/>
      </c>
      <c r="Z195" s="29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7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8" t="str">
        <f t="shared" si="19"/>
        <v/>
      </c>
      <c r="X196" s="28" t="str">
        <f t="shared" si="20"/>
        <v/>
      </c>
      <c r="Y196" s="28" t="str">
        <f t="shared" si="21"/>
        <v/>
      </c>
      <c r="Z196" s="29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7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8" t="str">
        <f t="shared" si="19"/>
        <v/>
      </c>
      <c r="X197" s="28" t="str">
        <f t="shared" si="20"/>
        <v/>
      </c>
      <c r="Y197" s="28" t="str">
        <f t="shared" si="21"/>
        <v/>
      </c>
      <c r="Z197" s="29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7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8" t="str">
        <f t="shared" si="19"/>
        <v/>
      </c>
      <c r="X198" s="28" t="str">
        <f t="shared" si="20"/>
        <v/>
      </c>
      <c r="Y198" s="28" t="str">
        <f t="shared" si="21"/>
        <v/>
      </c>
      <c r="Z198" s="29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7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8" t="str">
        <f t="shared" si="19"/>
        <v/>
      </c>
      <c r="X199" s="28" t="str">
        <f t="shared" si="20"/>
        <v/>
      </c>
      <c r="Y199" s="28" t="str">
        <f t="shared" si="21"/>
        <v/>
      </c>
      <c r="Z199" s="29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7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8" t="str">
        <f t="shared" si="19"/>
        <v/>
      </c>
      <c r="X200" s="28" t="str">
        <f t="shared" si="20"/>
        <v/>
      </c>
      <c r="Y200" s="28" t="str">
        <f t="shared" si="21"/>
        <v/>
      </c>
      <c r="Z200" s="29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7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8" t="str">
        <f t="shared" si="19"/>
        <v/>
      </c>
      <c r="X201" s="28" t="str">
        <f t="shared" si="20"/>
        <v/>
      </c>
      <c r="Y201" s="28" t="str">
        <f t="shared" si="21"/>
        <v/>
      </c>
      <c r="Z201" s="29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7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8" t="str">
        <f t="shared" si="19"/>
        <v/>
      </c>
      <c r="X202" s="28" t="str">
        <f t="shared" si="20"/>
        <v/>
      </c>
      <c r="Y202" s="28" t="str">
        <f t="shared" si="21"/>
        <v/>
      </c>
      <c r="Z202" s="29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7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8" t="str">
        <f t="shared" si="19"/>
        <v/>
      </c>
      <c r="X203" s="28" t="str">
        <f t="shared" si="20"/>
        <v/>
      </c>
      <c r="Y203" s="28" t="str">
        <f t="shared" si="21"/>
        <v/>
      </c>
      <c r="Z203" s="29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7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8" t="str">
        <f t="shared" si="19"/>
        <v/>
      </c>
      <c r="X204" s="28" t="str">
        <f t="shared" si="20"/>
        <v/>
      </c>
      <c r="Y204" s="28" t="str">
        <f t="shared" si="21"/>
        <v/>
      </c>
      <c r="Z204" s="29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7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8" t="str">
        <f t="shared" si="19"/>
        <v/>
      </c>
      <c r="X205" s="28" t="str">
        <f t="shared" si="20"/>
        <v/>
      </c>
      <c r="Y205" s="28" t="str">
        <f t="shared" si="21"/>
        <v/>
      </c>
      <c r="Z205" s="29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7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8" t="str">
        <f t="shared" si="19"/>
        <v/>
      </c>
      <c r="X206" s="28" t="str">
        <f t="shared" si="20"/>
        <v/>
      </c>
      <c r="Y206" s="28" t="str">
        <f t="shared" si="21"/>
        <v/>
      </c>
      <c r="Z206" s="29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7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8" t="str">
        <f t="shared" si="19"/>
        <v/>
      </c>
      <c r="X207" s="28" t="str">
        <f t="shared" si="20"/>
        <v/>
      </c>
      <c r="Y207" s="28" t="str">
        <f t="shared" si="21"/>
        <v/>
      </c>
      <c r="Z207" s="29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7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8" t="str">
        <f t="shared" si="19"/>
        <v/>
      </c>
      <c r="X208" s="28" t="str">
        <f t="shared" si="20"/>
        <v/>
      </c>
      <c r="Y208" s="28" t="str">
        <f t="shared" si="21"/>
        <v/>
      </c>
      <c r="Z208" s="29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7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8" t="str">
        <f t="shared" si="19"/>
        <v/>
      </c>
      <c r="X209" s="28" t="str">
        <f t="shared" si="20"/>
        <v/>
      </c>
      <c r="Y209" s="28" t="str">
        <f t="shared" si="21"/>
        <v/>
      </c>
      <c r="Z209" s="29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7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8" t="str">
        <f t="shared" si="19"/>
        <v/>
      </c>
      <c r="X210" s="28" t="str">
        <f t="shared" si="20"/>
        <v/>
      </c>
      <c r="Y210" s="28" t="str">
        <f t="shared" si="21"/>
        <v/>
      </c>
      <c r="Z210" s="29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7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8" t="str">
        <f t="shared" si="19"/>
        <v/>
      </c>
      <c r="X211" s="28" t="str">
        <f t="shared" si="20"/>
        <v/>
      </c>
      <c r="Y211" s="28" t="str">
        <f t="shared" si="21"/>
        <v/>
      </c>
      <c r="Z211" s="29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7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8" t="str">
        <f t="shared" si="19"/>
        <v/>
      </c>
      <c r="X212" s="28" t="str">
        <f t="shared" si="20"/>
        <v/>
      </c>
      <c r="Y212" s="28" t="str">
        <f t="shared" si="21"/>
        <v/>
      </c>
      <c r="Z212" s="29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7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8" t="str">
        <f t="shared" si="19"/>
        <v/>
      </c>
      <c r="X213" s="28" t="str">
        <f t="shared" si="20"/>
        <v/>
      </c>
      <c r="Y213" s="28" t="str">
        <f t="shared" si="21"/>
        <v/>
      </c>
      <c r="Z213" s="29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7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8" t="str">
        <f t="shared" si="19"/>
        <v/>
      </c>
      <c r="X214" s="28" t="str">
        <f t="shared" si="20"/>
        <v/>
      </c>
      <c r="Y214" s="28" t="str">
        <f t="shared" si="21"/>
        <v/>
      </c>
      <c r="Z214" s="29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7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8" t="str">
        <f t="shared" si="19"/>
        <v/>
      </c>
      <c r="X215" s="28" t="str">
        <f t="shared" si="20"/>
        <v/>
      </c>
      <c r="Y215" s="28" t="str">
        <f t="shared" si="21"/>
        <v/>
      </c>
      <c r="Z215" s="29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7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8" t="str">
        <f t="shared" si="19"/>
        <v/>
      </c>
      <c r="X216" s="28" t="str">
        <f t="shared" si="20"/>
        <v/>
      </c>
      <c r="Y216" s="28" t="str">
        <f t="shared" si="21"/>
        <v/>
      </c>
      <c r="Z216" s="29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7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8" t="str">
        <f t="shared" si="19"/>
        <v/>
      </c>
      <c r="X217" s="28" t="str">
        <f t="shared" si="20"/>
        <v/>
      </c>
      <c r="Y217" s="28" t="str">
        <f t="shared" si="21"/>
        <v/>
      </c>
      <c r="Z217" s="29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7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8" t="str">
        <f t="shared" si="19"/>
        <v/>
      </c>
      <c r="X218" s="28" t="str">
        <f t="shared" si="20"/>
        <v/>
      </c>
      <c r="Y218" s="28" t="str">
        <f t="shared" si="21"/>
        <v/>
      </c>
      <c r="Z218" s="29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7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8" t="str">
        <f t="shared" si="19"/>
        <v/>
      </c>
      <c r="X219" s="28" t="str">
        <f t="shared" si="20"/>
        <v/>
      </c>
      <c r="Y219" s="28" t="str">
        <f t="shared" si="21"/>
        <v/>
      </c>
      <c r="Z219" s="29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7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8" t="str">
        <f t="shared" si="19"/>
        <v/>
      </c>
      <c r="X220" s="28" t="str">
        <f t="shared" si="20"/>
        <v/>
      </c>
      <c r="Y220" s="28" t="str">
        <f t="shared" si="21"/>
        <v/>
      </c>
      <c r="Z220" s="29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7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8" t="str">
        <f t="shared" si="19"/>
        <v/>
      </c>
      <c r="X221" s="28" t="str">
        <f t="shared" si="20"/>
        <v/>
      </c>
      <c r="Y221" s="28" t="str">
        <f t="shared" si="21"/>
        <v/>
      </c>
      <c r="Z221" s="29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7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8" t="str">
        <f t="shared" si="19"/>
        <v/>
      </c>
      <c r="X222" s="28" t="str">
        <f t="shared" si="20"/>
        <v/>
      </c>
      <c r="Y222" s="28" t="str">
        <f t="shared" si="21"/>
        <v/>
      </c>
      <c r="Z222" s="29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7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8" t="str">
        <f t="shared" si="19"/>
        <v/>
      </c>
      <c r="X223" s="28" t="str">
        <f t="shared" si="20"/>
        <v/>
      </c>
      <c r="Y223" s="28" t="str">
        <f t="shared" si="21"/>
        <v/>
      </c>
      <c r="Z223" s="29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7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8" t="str">
        <f t="shared" si="19"/>
        <v/>
      </c>
      <c r="X224" s="28" t="str">
        <f t="shared" si="20"/>
        <v/>
      </c>
      <c r="Y224" s="28" t="str">
        <f t="shared" si="21"/>
        <v/>
      </c>
      <c r="Z224" s="29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7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8" t="str">
        <f t="shared" si="19"/>
        <v/>
      </c>
      <c r="X225" s="28" t="str">
        <f t="shared" si="20"/>
        <v/>
      </c>
      <c r="Y225" s="28" t="str">
        <f t="shared" si="21"/>
        <v/>
      </c>
      <c r="Z225" s="29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7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8" t="str">
        <f t="shared" si="19"/>
        <v/>
      </c>
      <c r="X226" s="28" t="str">
        <f t="shared" si="20"/>
        <v/>
      </c>
      <c r="Y226" s="28" t="str">
        <f t="shared" si="21"/>
        <v/>
      </c>
      <c r="Z226" s="29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7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8" t="str">
        <f t="shared" si="19"/>
        <v/>
      </c>
      <c r="X227" s="28" t="str">
        <f t="shared" si="20"/>
        <v/>
      </c>
      <c r="Y227" s="28" t="str">
        <f t="shared" si="21"/>
        <v/>
      </c>
      <c r="Z227" s="29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7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8" t="str">
        <f t="shared" si="19"/>
        <v/>
      </c>
      <c r="X228" s="28" t="str">
        <f t="shared" si="20"/>
        <v/>
      </c>
      <c r="Y228" s="28" t="str">
        <f t="shared" si="21"/>
        <v/>
      </c>
      <c r="Z228" s="29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7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8" t="str">
        <f t="shared" si="19"/>
        <v/>
      </c>
      <c r="X229" s="28" t="str">
        <f t="shared" si="20"/>
        <v/>
      </c>
      <c r="Y229" s="28" t="str">
        <f t="shared" si="21"/>
        <v/>
      </c>
      <c r="Z229" s="29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7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8" t="str">
        <f t="shared" si="19"/>
        <v/>
      </c>
      <c r="X230" s="28" t="str">
        <f t="shared" si="20"/>
        <v/>
      </c>
      <c r="Y230" s="28" t="str">
        <f t="shared" si="21"/>
        <v/>
      </c>
      <c r="Z230" s="29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7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8" t="str">
        <f t="shared" si="19"/>
        <v/>
      </c>
      <c r="X231" s="28" t="str">
        <f t="shared" si="20"/>
        <v/>
      </c>
      <c r="Y231" s="28" t="str">
        <f t="shared" si="21"/>
        <v/>
      </c>
      <c r="Z231" s="29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7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8" t="str">
        <f t="shared" si="19"/>
        <v/>
      </c>
      <c r="X232" s="28" t="str">
        <f t="shared" si="20"/>
        <v/>
      </c>
      <c r="Y232" s="28" t="str">
        <f t="shared" si="21"/>
        <v/>
      </c>
      <c r="Z232" s="29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7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8" t="str">
        <f t="shared" si="19"/>
        <v/>
      </c>
      <c r="X233" s="28" t="str">
        <f t="shared" si="20"/>
        <v/>
      </c>
      <c r="Y233" s="28" t="str">
        <f t="shared" si="21"/>
        <v/>
      </c>
      <c r="Z233" s="29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7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8" t="str">
        <f t="shared" si="19"/>
        <v/>
      </c>
      <c r="X234" s="28" t="str">
        <f t="shared" si="20"/>
        <v/>
      </c>
      <c r="Y234" s="28" t="str">
        <f t="shared" si="21"/>
        <v/>
      </c>
      <c r="Z234" s="29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7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8" t="str">
        <f t="shared" si="19"/>
        <v/>
      </c>
      <c r="X235" s="28" t="str">
        <f t="shared" si="20"/>
        <v/>
      </c>
      <c r="Y235" s="28" t="str">
        <f t="shared" si="21"/>
        <v/>
      </c>
      <c r="Z235" s="29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7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8" t="str">
        <f t="shared" si="19"/>
        <v/>
      </c>
      <c r="X236" s="28" t="str">
        <f t="shared" si="20"/>
        <v/>
      </c>
      <c r="Y236" s="28" t="str">
        <f t="shared" si="21"/>
        <v/>
      </c>
      <c r="Z236" s="29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7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8" t="str">
        <f t="shared" si="19"/>
        <v/>
      </c>
      <c r="X237" s="28" t="str">
        <f t="shared" si="20"/>
        <v/>
      </c>
      <c r="Y237" s="28" t="str">
        <f t="shared" si="21"/>
        <v/>
      </c>
      <c r="Z237" s="29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7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8" t="str">
        <f t="shared" si="19"/>
        <v/>
      </c>
      <c r="X238" s="28" t="str">
        <f t="shared" si="20"/>
        <v/>
      </c>
      <c r="Y238" s="28" t="str">
        <f t="shared" si="21"/>
        <v/>
      </c>
      <c r="Z238" s="29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7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8" t="str">
        <f t="shared" si="19"/>
        <v/>
      </c>
      <c r="X239" s="28" t="str">
        <f t="shared" si="20"/>
        <v/>
      </c>
      <c r="Y239" s="28" t="str">
        <f t="shared" si="21"/>
        <v/>
      </c>
      <c r="Z239" s="29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7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8" t="str">
        <f t="shared" si="19"/>
        <v/>
      </c>
      <c r="X240" s="28" t="str">
        <f t="shared" si="20"/>
        <v/>
      </c>
      <c r="Y240" s="28" t="str">
        <f t="shared" si="21"/>
        <v/>
      </c>
      <c r="Z240" s="29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7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8" t="str">
        <f t="shared" si="19"/>
        <v/>
      </c>
      <c r="X241" s="28" t="str">
        <f t="shared" si="20"/>
        <v/>
      </c>
      <c r="Y241" s="28" t="str">
        <f t="shared" si="21"/>
        <v/>
      </c>
      <c r="Z241" s="29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7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8" t="str">
        <f t="shared" si="19"/>
        <v/>
      </c>
      <c r="X242" s="28" t="str">
        <f t="shared" si="20"/>
        <v/>
      </c>
      <c r="Y242" s="28" t="str">
        <f t="shared" si="21"/>
        <v/>
      </c>
      <c r="Z242" s="29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7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8" t="str">
        <f t="shared" si="19"/>
        <v/>
      </c>
      <c r="X243" s="28" t="str">
        <f t="shared" si="20"/>
        <v/>
      </c>
      <c r="Y243" s="28" t="str">
        <f t="shared" si="21"/>
        <v/>
      </c>
      <c r="Z243" s="29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7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8" t="str">
        <f t="shared" si="19"/>
        <v/>
      </c>
      <c r="X244" s="28" t="str">
        <f t="shared" si="20"/>
        <v/>
      </c>
      <c r="Y244" s="28" t="str">
        <f t="shared" si="21"/>
        <v/>
      </c>
      <c r="Z244" s="29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7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8" t="str">
        <f t="shared" si="19"/>
        <v/>
      </c>
      <c r="X245" s="28" t="str">
        <f t="shared" si="20"/>
        <v/>
      </c>
      <c r="Y245" s="28" t="str">
        <f t="shared" si="21"/>
        <v/>
      </c>
      <c r="Z245" s="29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7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8" t="str">
        <f t="shared" si="19"/>
        <v/>
      </c>
      <c r="X246" s="28" t="str">
        <f t="shared" si="20"/>
        <v/>
      </c>
      <c r="Y246" s="28" t="str">
        <f t="shared" si="21"/>
        <v/>
      </c>
      <c r="Z246" s="29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7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8" t="str">
        <f t="shared" si="19"/>
        <v/>
      </c>
      <c r="X247" s="28" t="str">
        <f t="shared" si="20"/>
        <v/>
      </c>
      <c r="Y247" s="28" t="str">
        <f t="shared" si="21"/>
        <v/>
      </c>
      <c r="Z247" s="29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7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8" t="str">
        <f t="shared" si="19"/>
        <v/>
      </c>
      <c r="X248" s="28" t="str">
        <f t="shared" si="20"/>
        <v/>
      </c>
      <c r="Y248" s="28" t="str">
        <f t="shared" si="21"/>
        <v/>
      </c>
      <c r="Z248" s="29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7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8" t="str">
        <f t="shared" si="19"/>
        <v/>
      </c>
      <c r="X249" s="28" t="str">
        <f t="shared" si="20"/>
        <v/>
      </c>
      <c r="Y249" s="28" t="str">
        <f t="shared" si="21"/>
        <v/>
      </c>
      <c r="Z249" s="29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7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8" t="str">
        <f t="shared" si="19"/>
        <v/>
      </c>
      <c r="X250" s="28" t="str">
        <f t="shared" si="20"/>
        <v/>
      </c>
      <c r="Y250" s="28" t="str">
        <f t="shared" si="21"/>
        <v/>
      </c>
      <c r="Z250" s="29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7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8" t="str">
        <f t="shared" si="19"/>
        <v/>
      </c>
      <c r="X251" s="28" t="str">
        <f t="shared" si="20"/>
        <v/>
      </c>
      <c r="Y251" s="28" t="str">
        <f t="shared" si="21"/>
        <v/>
      </c>
      <c r="Z251" s="29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7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8" t="str">
        <f t="shared" si="19"/>
        <v/>
      </c>
      <c r="X252" s="28" t="str">
        <f t="shared" si="20"/>
        <v/>
      </c>
      <c r="Y252" s="28" t="str">
        <f t="shared" si="21"/>
        <v/>
      </c>
      <c r="Z252" s="29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7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8" t="str">
        <f t="shared" si="19"/>
        <v/>
      </c>
      <c r="X253" s="28" t="str">
        <f t="shared" si="20"/>
        <v/>
      </c>
      <c r="Y253" s="28" t="str">
        <f t="shared" si="21"/>
        <v/>
      </c>
      <c r="Z253" s="29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7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8" t="str">
        <f t="shared" si="19"/>
        <v/>
      </c>
      <c r="X254" s="28" t="str">
        <f t="shared" si="20"/>
        <v/>
      </c>
      <c r="Y254" s="28" t="str">
        <f t="shared" si="21"/>
        <v/>
      </c>
      <c r="Z254" s="29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7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8" t="str">
        <f t="shared" si="19"/>
        <v/>
      </c>
      <c r="X255" s="28" t="str">
        <f t="shared" si="20"/>
        <v/>
      </c>
      <c r="Y255" s="28" t="str">
        <f t="shared" si="21"/>
        <v/>
      </c>
      <c r="Z255" s="29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7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8" t="str">
        <f t="shared" si="19"/>
        <v/>
      </c>
      <c r="X256" s="28" t="str">
        <f t="shared" si="20"/>
        <v/>
      </c>
      <c r="Y256" s="28" t="str">
        <f t="shared" si="21"/>
        <v/>
      </c>
      <c r="Z256" s="29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7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8" t="str">
        <f t="shared" si="19"/>
        <v/>
      </c>
      <c r="X257" s="28" t="str">
        <f t="shared" si="20"/>
        <v/>
      </c>
      <c r="Y257" s="28" t="str">
        <f t="shared" si="21"/>
        <v/>
      </c>
      <c r="Z257" s="29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7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8" t="str">
        <f t="shared" ref="W258:W321" si="25">IF(B258="","",B258+3)</f>
        <v/>
      </c>
      <c r="X258" s="28" t="str">
        <f t="shared" ref="X258:X321" si="26">IF(B258="","",B258+5)</f>
        <v/>
      </c>
      <c r="Y258" s="28" t="str">
        <f t="shared" ref="Y258:Y321" si="27">IF(B258="","",B258+10)</f>
        <v/>
      </c>
      <c r="Z258" s="29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7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8" t="str">
        <f t="shared" si="25"/>
        <v/>
      </c>
      <c r="X259" s="28" t="str">
        <f t="shared" si="26"/>
        <v/>
      </c>
      <c r="Y259" s="28" t="str">
        <f t="shared" si="27"/>
        <v/>
      </c>
      <c r="Z259" s="29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7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8" t="str">
        <f t="shared" si="25"/>
        <v/>
      </c>
      <c r="X260" s="28" t="str">
        <f t="shared" si="26"/>
        <v/>
      </c>
      <c r="Y260" s="28" t="str">
        <f t="shared" si="27"/>
        <v/>
      </c>
      <c r="Z260" s="29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7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8" t="str">
        <f t="shared" si="25"/>
        <v/>
      </c>
      <c r="X261" s="28" t="str">
        <f t="shared" si="26"/>
        <v/>
      </c>
      <c r="Y261" s="28" t="str">
        <f t="shared" si="27"/>
        <v/>
      </c>
      <c r="Z261" s="29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7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8" t="str">
        <f t="shared" si="25"/>
        <v/>
      </c>
      <c r="X262" s="28" t="str">
        <f t="shared" si="26"/>
        <v/>
      </c>
      <c r="Y262" s="28" t="str">
        <f t="shared" si="27"/>
        <v/>
      </c>
      <c r="Z262" s="29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7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8" t="str">
        <f t="shared" si="25"/>
        <v/>
      </c>
      <c r="X263" s="28" t="str">
        <f t="shared" si="26"/>
        <v/>
      </c>
      <c r="Y263" s="28" t="str">
        <f t="shared" si="27"/>
        <v/>
      </c>
      <c r="Z263" s="29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7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8" t="str">
        <f t="shared" si="25"/>
        <v/>
      </c>
      <c r="X264" s="28" t="str">
        <f t="shared" si="26"/>
        <v/>
      </c>
      <c r="Y264" s="28" t="str">
        <f t="shared" si="27"/>
        <v/>
      </c>
      <c r="Z264" s="29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7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8" t="str">
        <f t="shared" si="25"/>
        <v/>
      </c>
      <c r="X265" s="28" t="str">
        <f t="shared" si="26"/>
        <v/>
      </c>
      <c r="Y265" s="28" t="str">
        <f t="shared" si="27"/>
        <v/>
      </c>
      <c r="Z265" s="29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7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8" t="str">
        <f t="shared" si="25"/>
        <v/>
      </c>
      <c r="X266" s="28" t="str">
        <f t="shared" si="26"/>
        <v/>
      </c>
      <c r="Y266" s="28" t="str">
        <f t="shared" si="27"/>
        <v/>
      </c>
      <c r="Z266" s="29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7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8" t="str">
        <f t="shared" si="25"/>
        <v/>
      </c>
      <c r="X267" s="28" t="str">
        <f t="shared" si="26"/>
        <v/>
      </c>
      <c r="Y267" s="28" t="str">
        <f t="shared" si="27"/>
        <v/>
      </c>
      <c r="Z267" s="29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7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8" t="str">
        <f t="shared" si="25"/>
        <v/>
      </c>
      <c r="X268" s="28" t="str">
        <f t="shared" si="26"/>
        <v/>
      </c>
      <c r="Y268" s="28" t="str">
        <f t="shared" si="27"/>
        <v/>
      </c>
      <c r="Z268" s="29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7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8" t="str">
        <f t="shared" si="25"/>
        <v/>
      </c>
      <c r="X269" s="28" t="str">
        <f t="shared" si="26"/>
        <v/>
      </c>
      <c r="Y269" s="28" t="str">
        <f t="shared" si="27"/>
        <v/>
      </c>
      <c r="Z269" s="29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7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8" t="str">
        <f t="shared" si="25"/>
        <v/>
      </c>
      <c r="X270" s="28" t="str">
        <f t="shared" si="26"/>
        <v/>
      </c>
      <c r="Y270" s="28" t="str">
        <f t="shared" si="27"/>
        <v/>
      </c>
      <c r="Z270" s="29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7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8" t="str">
        <f t="shared" si="25"/>
        <v/>
      </c>
      <c r="X271" s="28" t="str">
        <f t="shared" si="26"/>
        <v/>
      </c>
      <c r="Y271" s="28" t="str">
        <f t="shared" si="27"/>
        <v/>
      </c>
      <c r="Z271" s="29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7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8" t="str">
        <f t="shared" si="25"/>
        <v/>
      </c>
      <c r="X272" s="28" t="str">
        <f t="shared" si="26"/>
        <v/>
      </c>
      <c r="Y272" s="28" t="str">
        <f t="shared" si="27"/>
        <v/>
      </c>
      <c r="Z272" s="29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7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8" t="str">
        <f t="shared" si="25"/>
        <v/>
      </c>
      <c r="X273" s="28" t="str">
        <f t="shared" si="26"/>
        <v/>
      </c>
      <c r="Y273" s="28" t="str">
        <f t="shared" si="27"/>
        <v/>
      </c>
      <c r="Z273" s="29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7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8" t="str">
        <f t="shared" si="25"/>
        <v/>
      </c>
      <c r="X274" s="28" t="str">
        <f t="shared" si="26"/>
        <v/>
      </c>
      <c r="Y274" s="28" t="str">
        <f t="shared" si="27"/>
        <v/>
      </c>
      <c r="Z274" s="29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7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8" t="str">
        <f t="shared" si="25"/>
        <v/>
      </c>
      <c r="X275" s="28" t="str">
        <f t="shared" si="26"/>
        <v/>
      </c>
      <c r="Y275" s="28" t="str">
        <f t="shared" si="27"/>
        <v/>
      </c>
      <c r="Z275" s="29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7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8" t="str">
        <f t="shared" si="25"/>
        <v/>
      </c>
      <c r="X276" s="28" t="str">
        <f t="shared" si="26"/>
        <v/>
      </c>
      <c r="Y276" s="28" t="str">
        <f t="shared" si="27"/>
        <v/>
      </c>
      <c r="Z276" s="29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7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8" t="str">
        <f t="shared" si="25"/>
        <v/>
      </c>
      <c r="X277" s="28" t="str">
        <f t="shared" si="26"/>
        <v/>
      </c>
      <c r="Y277" s="28" t="str">
        <f t="shared" si="27"/>
        <v/>
      </c>
      <c r="Z277" s="29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7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8" t="str">
        <f t="shared" si="25"/>
        <v/>
      </c>
      <c r="X278" s="28" t="str">
        <f t="shared" si="26"/>
        <v/>
      </c>
      <c r="Y278" s="28" t="str">
        <f t="shared" si="27"/>
        <v/>
      </c>
      <c r="Z278" s="29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7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8" t="str">
        <f t="shared" si="25"/>
        <v/>
      </c>
      <c r="X279" s="28" t="str">
        <f t="shared" si="26"/>
        <v/>
      </c>
      <c r="Y279" s="28" t="str">
        <f t="shared" si="27"/>
        <v/>
      </c>
      <c r="Z279" s="29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7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8" t="str">
        <f t="shared" si="25"/>
        <v/>
      </c>
      <c r="X280" s="28" t="str">
        <f t="shared" si="26"/>
        <v/>
      </c>
      <c r="Y280" s="28" t="str">
        <f t="shared" si="27"/>
        <v/>
      </c>
      <c r="Z280" s="29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7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8" t="str">
        <f t="shared" si="25"/>
        <v/>
      </c>
      <c r="X281" s="28" t="str">
        <f t="shared" si="26"/>
        <v/>
      </c>
      <c r="Y281" s="28" t="str">
        <f t="shared" si="27"/>
        <v/>
      </c>
      <c r="Z281" s="29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7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8" t="str">
        <f t="shared" si="25"/>
        <v/>
      </c>
      <c r="X282" s="28" t="str">
        <f t="shared" si="26"/>
        <v/>
      </c>
      <c r="Y282" s="28" t="str">
        <f t="shared" si="27"/>
        <v/>
      </c>
      <c r="Z282" s="29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7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8" t="str">
        <f t="shared" si="25"/>
        <v/>
      </c>
      <c r="X283" s="28" t="str">
        <f t="shared" si="26"/>
        <v/>
      </c>
      <c r="Y283" s="28" t="str">
        <f t="shared" si="27"/>
        <v/>
      </c>
      <c r="Z283" s="29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7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8" t="str">
        <f t="shared" si="25"/>
        <v/>
      </c>
      <c r="X284" s="28" t="str">
        <f t="shared" si="26"/>
        <v/>
      </c>
      <c r="Y284" s="28" t="str">
        <f t="shared" si="27"/>
        <v/>
      </c>
      <c r="Z284" s="29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7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8" t="str">
        <f t="shared" si="25"/>
        <v/>
      </c>
      <c r="X285" s="28" t="str">
        <f t="shared" si="26"/>
        <v/>
      </c>
      <c r="Y285" s="28" t="str">
        <f t="shared" si="27"/>
        <v/>
      </c>
      <c r="Z285" s="29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7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8" t="str">
        <f t="shared" si="25"/>
        <v/>
      </c>
      <c r="X286" s="28" t="str">
        <f t="shared" si="26"/>
        <v/>
      </c>
      <c r="Y286" s="28" t="str">
        <f t="shared" si="27"/>
        <v/>
      </c>
      <c r="Z286" s="29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7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8" t="str">
        <f t="shared" si="25"/>
        <v/>
      </c>
      <c r="X287" s="28" t="str">
        <f t="shared" si="26"/>
        <v/>
      </c>
      <c r="Y287" s="28" t="str">
        <f t="shared" si="27"/>
        <v/>
      </c>
      <c r="Z287" s="29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7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8" t="str">
        <f t="shared" si="25"/>
        <v/>
      </c>
      <c r="X288" s="28" t="str">
        <f t="shared" si="26"/>
        <v/>
      </c>
      <c r="Y288" s="28" t="str">
        <f t="shared" si="27"/>
        <v/>
      </c>
      <c r="Z288" s="29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7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8" t="str">
        <f t="shared" si="25"/>
        <v/>
      </c>
      <c r="X289" s="28" t="str">
        <f t="shared" si="26"/>
        <v/>
      </c>
      <c r="Y289" s="28" t="str">
        <f t="shared" si="27"/>
        <v/>
      </c>
      <c r="Z289" s="29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7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8" t="str">
        <f t="shared" si="25"/>
        <v/>
      </c>
      <c r="X290" s="28" t="str">
        <f t="shared" si="26"/>
        <v/>
      </c>
      <c r="Y290" s="28" t="str">
        <f t="shared" si="27"/>
        <v/>
      </c>
      <c r="Z290" s="29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7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8" t="str">
        <f t="shared" si="25"/>
        <v/>
      </c>
      <c r="X291" s="28" t="str">
        <f t="shared" si="26"/>
        <v/>
      </c>
      <c r="Y291" s="28" t="str">
        <f t="shared" si="27"/>
        <v/>
      </c>
      <c r="Z291" s="29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7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8" t="str">
        <f t="shared" si="25"/>
        <v/>
      </c>
      <c r="X292" s="28" t="str">
        <f t="shared" si="26"/>
        <v/>
      </c>
      <c r="Y292" s="28" t="str">
        <f t="shared" si="27"/>
        <v/>
      </c>
      <c r="Z292" s="29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7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8" t="str">
        <f t="shared" si="25"/>
        <v/>
      </c>
      <c r="X293" s="28" t="str">
        <f t="shared" si="26"/>
        <v/>
      </c>
      <c r="Y293" s="28" t="str">
        <f t="shared" si="27"/>
        <v/>
      </c>
      <c r="Z293" s="29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7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8" t="str">
        <f t="shared" si="25"/>
        <v/>
      </c>
      <c r="X294" s="28" t="str">
        <f t="shared" si="26"/>
        <v/>
      </c>
      <c r="Y294" s="28" t="str">
        <f t="shared" si="27"/>
        <v/>
      </c>
      <c r="Z294" s="29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7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8" t="str">
        <f t="shared" si="25"/>
        <v/>
      </c>
      <c r="X295" s="28" t="str">
        <f t="shared" si="26"/>
        <v/>
      </c>
      <c r="Y295" s="28" t="str">
        <f t="shared" si="27"/>
        <v/>
      </c>
      <c r="Z295" s="29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7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8" t="str">
        <f t="shared" si="25"/>
        <v/>
      </c>
      <c r="X296" s="28" t="str">
        <f t="shared" si="26"/>
        <v/>
      </c>
      <c r="Y296" s="28" t="str">
        <f t="shared" si="27"/>
        <v/>
      </c>
      <c r="Z296" s="29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7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8" t="str">
        <f t="shared" si="25"/>
        <v/>
      </c>
      <c r="X297" s="28" t="str">
        <f t="shared" si="26"/>
        <v/>
      </c>
      <c r="Y297" s="28" t="str">
        <f t="shared" si="27"/>
        <v/>
      </c>
      <c r="Z297" s="29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7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8" t="str">
        <f t="shared" si="25"/>
        <v/>
      </c>
      <c r="X298" s="28" t="str">
        <f t="shared" si="26"/>
        <v/>
      </c>
      <c r="Y298" s="28" t="str">
        <f t="shared" si="27"/>
        <v/>
      </c>
      <c r="Z298" s="29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7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8" t="str">
        <f t="shared" si="25"/>
        <v/>
      </c>
      <c r="X299" s="28" t="str">
        <f t="shared" si="26"/>
        <v/>
      </c>
      <c r="Y299" s="28" t="str">
        <f t="shared" si="27"/>
        <v/>
      </c>
      <c r="Z299" s="29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7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8" t="str">
        <f t="shared" si="25"/>
        <v/>
      </c>
      <c r="X300" s="28" t="str">
        <f t="shared" si="26"/>
        <v/>
      </c>
      <c r="Y300" s="28" t="str">
        <f t="shared" si="27"/>
        <v/>
      </c>
      <c r="Z300" s="29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7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8" t="str">
        <f t="shared" si="25"/>
        <v/>
      </c>
      <c r="X301" s="28" t="str">
        <f t="shared" si="26"/>
        <v/>
      </c>
      <c r="Y301" s="28" t="str">
        <f t="shared" si="27"/>
        <v/>
      </c>
      <c r="Z301" s="29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7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8" t="str">
        <f t="shared" si="25"/>
        <v/>
      </c>
      <c r="X302" s="28" t="str">
        <f t="shared" si="26"/>
        <v/>
      </c>
      <c r="Y302" s="28" t="str">
        <f t="shared" si="27"/>
        <v/>
      </c>
      <c r="Z302" s="29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7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8" t="str">
        <f t="shared" si="25"/>
        <v/>
      </c>
      <c r="X303" s="28" t="str">
        <f t="shared" si="26"/>
        <v/>
      </c>
      <c r="Y303" s="28" t="str">
        <f t="shared" si="27"/>
        <v/>
      </c>
      <c r="Z303" s="29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7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8" t="str">
        <f t="shared" si="25"/>
        <v/>
      </c>
      <c r="X304" s="28" t="str">
        <f t="shared" si="26"/>
        <v/>
      </c>
      <c r="Y304" s="28" t="str">
        <f t="shared" si="27"/>
        <v/>
      </c>
      <c r="Z304" s="29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7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8" t="str">
        <f t="shared" si="25"/>
        <v/>
      </c>
      <c r="X305" s="28" t="str">
        <f t="shared" si="26"/>
        <v/>
      </c>
      <c r="Y305" s="28" t="str">
        <f t="shared" si="27"/>
        <v/>
      </c>
      <c r="Z305" s="29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7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8" t="str">
        <f t="shared" si="25"/>
        <v/>
      </c>
      <c r="X306" s="28" t="str">
        <f t="shared" si="26"/>
        <v/>
      </c>
      <c r="Y306" s="28" t="str">
        <f t="shared" si="27"/>
        <v/>
      </c>
      <c r="Z306" s="29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7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8" t="str">
        <f t="shared" si="25"/>
        <v/>
      </c>
      <c r="X307" s="28" t="str">
        <f t="shared" si="26"/>
        <v/>
      </c>
      <c r="Y307" s="28" t="str">
        <f t="shared" si="27"/>
        <v/>
      </c>
      <c r="Z307" s="29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7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8" t="str">
        <f t="shared" si="25"/>
        <v/>
      </c>
      <c r="X308" s="28" t="str">
        <f t="shared" si="26"/>
        <v/>
      </c>
      <c r="Y308" s="28" t="str">
        <f t="shared" si="27"/>
        <v/>
      </c>
      <c r="Z308" s="29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7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8" t="str">
        <f t="shared" si="25"/>
        <v/>
      </c>
      <c r="X309" s="28" t="str">
        <f t="shared" si="26"/>
        <v/>
      </c>
      <c r="Y309" s="28" t="str">
        <f t="shared" si="27"/>
        <v/>
      </c>
      <c r="Z309" s="29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7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8" t="str">
        <f t="shared" si="25"/>
        <v/>
      </c>
      <c r="X310" s="28" t="str">
        <f t="shared" si="26"/>
        <v/>
      </c>
      <c r="Y310" s="28" t="str">
        <f t="shared" si="27"/>
        <v/>
      </c>
      <c r="Z310" s="29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7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8" t="str">
        <f t="shared" si="25"/>
        <v/>
      </c>
      <c r="X311" s="28" t="str">
        <f t="shared" si="26"/>
        <v/>
      </c>
      <c r="Y311" s="28" t="str">
        <f t="shared" si="27"/>
        <v/>
      </c>
      <c r="Z311" s="29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7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8" t="str">
        <f t="shared" si="25"/>
        <v/>
      </c>
      <c r="X312" s="28" t="str">
        <f t="shared" si="26"/>
        <v/>
      </c>
      <c r="Y312" s="28" t="str">
        <f t="shared" si="27"/>
        <v/>
      </c>
      <c r="Z312" s="29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7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8" t="str">
        <f t="shared" si="25"/>
        <v/>
      </c>
      <c r="X313" s="28" t="str">
        <f t="shared" si="26"/>
        <v/>
      </c>
      <c r="Y313" s="28" t="str">
        <f t="shared" si="27"/>
        <v/>
      </c>
      <c r="Z313" s="29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7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8" t="str">
        <f t="shared" si="25"/>
        <v/>
      </c>
      <c r="X314" s="28" t="str">
        <f t="shared" si="26"/>
        <v/>
      </c>
      <c r="Y314" s="28" t="str">
        <f t="shared" si="27"/>
        <v/>
      </c>
      <c r="Z314" s="29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7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8" t="str">
        <f t="shared" si="25"/>
        <v/>
      </c>
      <c r="X315" s="28" t="str">
        <f t="shared" si="26"/>
        <v/>
      </c>
      <c r="Y315" s="28" t="str">
        <f t="shared" si="27"/>
        <v/>
      </c>
      <c r="Z315" s="29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7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8" t="str">
        <f t="shared" si="25"/>
        <v/>
      </c>
      <c r="X316" s="28" t="str">
        <f t="shared" si="26"/>
        <v/>
      </c>
      <c r="Y316" s="28" t="str">
        <f t="shared" si="27"/>
        <v/>
      </c>
      <c r="Z316" s="29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7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8" t="str">
        <f t="shared" si="25"/>
        <v/>
      </c>
      <c r="X317" s="28" t="str">
        <f t="shared" si="26"/>
        <v/>
      </c>
      <c r="Y317" s="28" t="str">
        <f t="shared" si="27"/>
        <v/>
      </c>
      <c r="Z317" s="29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7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8" t="str">
        <f t="shared" si="25"/>
        <v/>
      </c>
      <c r="X318" s="28" t="str">
        <f t="shared" si="26"/>
        <v/>
      </c>
      <c r="Y318" s="28" t="str">
        <f t="shared" si="27"/>
        <v/>
      </c>
      <c r="Z318" s="29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7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8" t="str">
        <f t="shared" si="25"/>
        <v/>
      </c>
      <c r="X319" s="28" t="str">
        <f t="shared" si="26"/>
        <v/>
      </c>
      <c r="Y319" s="28" t="str">
        <f t="shared" si="27"/>
        <v/>
      </c>
      <c r="Z319" s="29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7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8" t="str">
        <f t="shared" si="25"/>
        <v/>
      </c>
      <c r="X320" s="28" t="str">
        <f t="shared" si="26"/>
        <v/>
      </c>
      <c r="Y320" s="28" t="str">
        <f t="shared" si="27"/>
        <v/>
      </c>
      <c r="Z320" s="29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7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8" t="str">
        <f t="shared" si="25"/>
        <v/>
      </c>
      <c r="X321" s="28" t="str">
        <f t="shared" si="26"/>
        <v/>
      </c>
      <c r="Y321" s="28" t="str">
        <f t="shared" si="27"/>
        <v/>
      </c>
      <c r="Z321" s="29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7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8" t="str">
        <f t="shared" ref="W322:W385" si="31">IF(B322="","",B322+3)</f>
        <v/>
      </c>
      <c r="X322" s="28" t="str">
        <f t="shared" ref="X322:X385" si="32">IF(B322="","",B322+5)</f>
        <v/>
      </c>
      <c r="Y322" s="28" t="str">
        <f t="shared" ref="Y322:Y385" si="33">IF(B322="","",B322+10)</f>
        <v/>
      </c>
      <c r="Z322" s="29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7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8" t="str">
        <f t="shared" si="31"/>
        <v/>
      </c>
      <c r="X323" s="28" t="str">
        <f t="shared" si="32"/>
        <v/>
      </c>
      <c r="Y323" s="28" t="str">
        <f t="shared" si="33"/>
        <v/>
      </c>
      <c r="Z323" s="29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7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8" t="str">
        <f t="shared" si="31"/>
        <v/>
      </c>
      <c r="X324" s="28" t="str">
        <f t="shared" si="32"/>
        <v/>
      </c>
      <c r="Y324" s="28" t="str">
        <f t="shared" si="33"/>
        <v/>
      </c>
      <c r="Z324" s="29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7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8" t="str">
        <f t="shared" si="31"/>
        <v/>
      </c>
      <c r="X325" s="28" t="str">
        <f t="shared" si="32"/>
        <v/>
      </c>
      <c r="Y325" s="28" t="str">
        <f t="shared" si="33"/>
        <v/>
      </c>
      <c r="Z325" s="29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7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8" t="str">
        <f t="shared" si="31"/>
        <v/>
      </c>
      <c r="X326" s="28" t="str">
        <f t="shared" si="32"/>
        <v/>
      </c>
      <c r="Y326" s="28" t="str">
        <f t="shared" si="33"/>
        <v/>
      </c>
      <c r="Z326" s="29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7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8" t="str">
        <f t="shared" si="31"/>
        <v/>
      </c>
      <c r="X327" s="28" t="str">
        <f t="shared" si="32"/>
        <v/>
      </c>
      <c r="Y327" s="28" t="str">
        <f t="shared" si="33"/>
        <v/>
      </c>
      <c r="Z327" s="29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7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8" t="str">
        <f t="shared" si="31"/>
        <v/>
      </c>
      <c r="X328" s="28" t="str">
        <f t="shared" si="32"/>
        <v/>
      </c>
      <c r="Y328" s="28" t="str">
        <f t="shared" si="33"/>
        <v/>
      </c>
      <c r="Z328" s="29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7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8" t="str">
        <f t="shared" si="31"/>
        <v/>
      </c>
      <c r="X329" s="28" t="str">
        <f t="shared" si="32"/>
        <v/>
      </c>
      <c r="Y329" s="28" t="str">
        <f t="shared" si="33"/>
        <v/>
      </c>
      <c r="Z329" s="29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7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8" t="str">
        <f t="shared" si="31"/>
        <v/>
      </c>
      <c r="X330" s="28" t="str">
        <f t="shared" si="32"/>
        <v/>
      </c>
      <c r="Y330" s="28" t="str">
        <f t="shared" si="33"/>
        <v/>
      </c>
      <c r="Z330" s="29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7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8" t="str">
        <f t="shared" si="31"/>
        <v/>
      </c>
      <c r="X331" s="28" t="str">
        <f t="shared" si="32"/>
        <v/>
      </c>
      <c r="Y331" s="28" t="str">
        <f t="shared" si="33"/>
        <v/>
      </c>
      <c r="Z331" s="29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7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8" t="str">
        <f t="shared" si="31"/>
        <v/>
      </c>
      <c r="X332" s="28" t="str">
        <f t="shared" si="32"/>
        <v/>
      </c>
      <c r="Y332" s="28" t="str">
        <f t="shared" si="33"/>
        <v/>
      </c>
      <c r="Z332" s="29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7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8" t="str">
        <f t="shared" si="31"/>
        <v/>
      </c>
      <c r="X333" s="28" t="str">
        <f t="shared" si="32"/>
        <v/>
      </c>
      <c r="Y333" s="28" t="str">
        <f t="shared" si="33"/>
        <v/>
      </c>
      <c r="Z333" s="29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7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8" t="str">
        <f t="shared" si="31"/>
        <v/>
      </c>
      <c r="X334" s="28" t="str">
        <f t="shared" si="32"/>
        <v/>
      </c>
      <c r="Y334" s="28" t="str">
        <f t="shared" si="33"/>
        <v/>
      </c>
      <c r="Z334" s="29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7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8" t="str">
        <f t="shared" si="31"/>
        <v/>
      </c>
      <c r="X335" s="28" t="str">
        <f t="shared" si="32"/>
        <v/>
      </c>
      <c r="Y335" s="28" t="str">
        <f t="shared" si="33"/>
        <v/>
      </c>
      <c r="Z335" s="29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7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8" t="str">
        <f t="shared" si="31"/>
        <v/>
      </c>
      <c r="X336" s="28" t="str">
        <f t="shared" si="32"/>
        <v/>
      </c>
      <c r="Y336" s="28" t="str">
        <f t="shared" si="33"/>
        <v/>
      </c>
      <c r="Z336" s="29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7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8" t="str">
        <f t="shared" si="31"/>
        <v/>
      </c>
      <c r="X337" s="28" t="str">
        <f t="shared" si="32"/>
        <v/>
      </c>
      <c r="Y337" s="28" t="str">
        <f t="shared" si="33"/>
        <v/>
      </c>
      <c r="Z337" s="29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7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8" t="str">
        <f t="shared" si="31"/>
        <v/>
      </c>
      <c r="X338" s="28" t="str">
        <f t="shared" si="32"/>
        <v/>
      </c>
      <c r="Y338" s="28" t="str">
        <f t="shared" si="33"/>
        <v/>
      </c>
      <c r="Z338" s="29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7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8" t="str">
        <f t="shared" si="31"/>
        <v/>
      </c>
      <c r="X339" s="28" t="str">
        <f t="shared" si="32"/>
        <v/>
      </c>
      <c r="Y339" s="28" t="str">
        <f t="shared" si="33"/>
        <v/>
      </c>
      <c r="Z339" s="29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7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8" t="str">
        <f t="shared" si="31"/>
        <v/>
      </c>
      <c r="X340" s="28" t="str">
        <f t="shared" si="32"/>
        <v/>
      </c>
      <c r="Y340" s="28" t="str">
        <f t="shared" si="33"/>
        <v/>
      </c>
      <c r="Z340" s="29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7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8" t="str">
        <f t="shared" si="31"/>
        <v/>
      </c>
      <c r="X341" s="28" t="str">
        <f t="shared" si="32"/>
        <v/>
      </c>
      <c r="Y341" s="28" t="str">
        <f t="shared" si="33"/>
        <v/>
      </c>
      <c r="Z341" s="29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7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8" t="str">
        <f t="shared" si="31"/>
        <v/>
      </c>
      <c r="X342" s="28" t="str">
        <f t="shared" si="32"/>
        <v/>
      </c>
      <c r="Y342" s="28" t="str">
        <f t="shared" si="33"/>
        <v/>
      </c>
      <c r="Z342" s="29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7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8" t="str">
        <f t="shared" si="31"/>
        <v/>
      </c>
      <c r="X343" s="28" t="str">
        <f t="shared" si="32"/>
        <v/>
      </c>
      <c r="Y343" s="28" t="str">
        <f t="shared" si="33"/>
        <v/>
      </c>
      <c r="Z343" s="29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7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8" t="str">
        <f t="shared" si="31"/>
        <v/>
      </c>
      <c r="X344" s="28" t="str">
        <f t="shared" si="32"/>
        <v/>
      </c>
      <c r="Y344" s="28" t="str">
        <f t="shared" si="33"/>
        <v/>
      </c>
      <c r="Z344" s="29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7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8" t="str">
        <f t="shared" si="31"/>
        <v/>
      </c>
      <c r="X345" s="28" t="str">
        <f t="shared" si="32"/>
        <v/>
      </c>
      <c r="Y345" s="28" t="str">
        <f t="shared" si="33"/>
        <v/>
      </c>
      <c r="Z345" s="29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7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8" t="str">
        <f t="shared" si="31"/>
        <v/>
      </c>
      <c r="X346" s="28" t="str">
        <f t="shared" si="32"/>
        <v/>
      </c>
      <c r="Y346" s="28" t="str">
        <f t="shared" si="33"/>
        <v/>
      </c>
      <c r="Z346" s="29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7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8" t="str">
        <f t="shared" si="31"/>
        <v/>
      </c>
      <c r="X347" s="28" t="str">
        <f t="shared" si="32"/>
        <v/>
      </c>
      <c r="Y347" s="28" t="str">
        <f t="shared" si="33"/>
        <v/>
      </c>
      <c r="Z347" s="29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7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8" t="str">
        <f t="shared" si="31"/>
        <v/>
      </c>
      <c r="X348" s="28" t="str">
        <f t="shared" si="32"/>
        <v/>
      </c>
      <c r="Y348" s="28" t="str">
        <f t="shared" si="33"/>
        <v/>
      </c>
      <c r="Z348" s="29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7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8" t="str">
        <f t="shared" si="31"/>
        <v/>
      </c>
      <c r="X349" s="28" t="str">
        <f t="shared" si="32"/>
        <v/>
      </c>
      <c r="Y349" s="28" t="str">
        <f t="shared" si="33"/>
        <v/>
      </c>
      <c r="Z349" s="29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7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8" t="str">
        <f t="shared" si="31"/>
        <v/>
      </c>
      <c r="X350" s="28" t="str">
        <f t="shared" si="32"/>
        <v/>
      </c>
      <c r="Y350" s="28" t="str">
        <f t="shared" si="33"/>
        <v/>
      </c>
      <c r="Z350" s="29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7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8" t="str">
        <f t="shared" si="31"/>
        <v/>
      </c>
      <c r="X351" s="28" t="str">
        <f t="shared" si="32"/>
        <v/>
      </c>
      <c r="Y351" s="28" t="str">
        <f t="shared" si="33"/>
        <v/>
      </c>
      <c r="Z351" s="29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7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8" t="str">
        <f t="shared" si="31"/>
        <v/>
      </c>
      <c r="X352" s="28" t="str">
        <f t="shared" si="32"/>
        <v/>
      </c>
      <c r="Y352" s="28" t="str">
        <f t="shared" si="33"/>
        <v/>
      </c>
      <c r="Z352" s="29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7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8" t="str">
        <f t="shared" si="31"/>
        <v/>
      </c>
      <c r="X353" s="28" t="str">
        <f t="shared" si="32"/>
        <v/>
      </c>
      <c r="Y353" s="28" t="str">
        <f t="shared" si="33"/>
        <v/>
      </c>
      <c r="Z353" s="29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7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8" t="str">
        <f t="shared" si="31"/>
        <v/>
      </c>
      <c r="X354" s="28" t="str">
        <f t="shared" si="32"/>
        <v/>
      </c>
      <c r="Y354" s="28" t="str">
        <f t="shared" si="33"/>
        <v/>
      </c>
      <c r="Z354" s="29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7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8" t="str">
        <f t="shared" si="31"/>
        <v/>
      </c>
      <c r="X355" s="28" t="str">
        <f t="shared" si="32"/>
        <v/>
      </c>
      <c r="Y355" s="28" t="str">
        <f t="shared" si="33"/>
        <v/>
      </c>
      <c r="Z355" s="29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7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8" t="str">
        <f t="shared" si="31"/>
        <v/>
      </c>
      <c r="X356" s="28" t="str">
        <f t="shared" si="32"/>
        <v/>
      </c>
      <c r="Y356" s="28" t="str">
        <f t="shared" si="33"/>
        <v/>
      </c>
      <c r="Z356" s="29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7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8" t="str">
        <f t="shared" si="31"/>
        <v/>
      </c>
      <c r="X357" s="28" t="str">
        <f t="shared" si="32"/>
        <v/>
      </c>
      <c r="Y357" s="28" t="str">
        <f t="shared" si="33"/>
        <v/>
      </c>
      <c r="Z357" s="29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7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8" t="str">
        <f t="shared" si="31"/>
        <v/>
      </c>
      <c r="X358" s="28" t="str">
        <f t="shared" si="32"/>
        <v/>
      </c>
      <c r="Y358" s="28" t="str">
        <f t="shared" si="33"/>
        <v/>
      </c>
      <c r="Z358" s="29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7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8" t="str">
        <f t="shared" si="31"/>
        <v/>
      </c>
      <c r="X359" s="28" t="str">
        <f t="shared" si="32"/>
        <v/>
      </c>
      <c r="Y359" s="28" t="str">
        <f t="shared" si="33"/>
        <v/>
      </c>
      <c r="Z359" s="29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7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8" t="str">
        <f t="shared" si="31"/>
        <v/>
      </c>
      <c r="X360" s="28" t="str">
        <f t="shared" si="32"/>
        <v/>
      </c>
      <c r="Y360" s="28" t="str">
        <f t="shared" si="33"/>
        <v/>
      </c>
      <c r="Z360" s="29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7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8" t="str">
        <f t="shared" si="31"/>
        <v/>
      </c>
      <c r="X361" s="28" t="str">
        <f t="shared" si="32"/>
        <v/>
      </c>
      <c r="Y361" s="28" t="str">
        <f t="shared" si="33"/>
        <v/>
      </c>
      <c r="Z361" s="29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7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8" t="str">
        <f t="shared" si="31"/>
        <v/>
      </c>
      <c r="X362" s="28" t="str">
        <f t="shared" si="32"/>
        <v/>
      </c>
      <c r="Y362" s="28" t="str">
        <f t="shared" si="33"/>
        <v/>
      </c>
      <c r="Z362" s="29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7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8" t="str">
        <f t="shared" si="31"/>
        <v/>
      </c>
      <c r="X363" s="28" t="str">
        <f t="shared" si="32"/>
        <v/>
      </c>
      <c r="Y363" s="28" t="str">
        <f t="shared" si="33"/>
        <v/>
      </c>
      <c r="Z363" s="29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7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8" t="str">
        <f t="shared" si="31"/>
        <v/>
      </c>
      <c r="X364" s="28" t="str">
        <f t="shared" si="32"/>
        <v/>
      </c>
      <c r="Y364" s="28" t="str">
        <f t="shared" si="33"/>
        <v/>
      </c>
      <c r="Z364" s="29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7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8" t="str">
        <f t="shared" si="31"/>
        <v/>
      </c>
      <c r="X365" s="28" t="str">
        <f t="shared" si="32"/>
        <v/>
      </c>
      <c r="Y365" s="28" t="str">
        <f t="shared" si="33"/>
        <v/>
      </c>
      <c r="Z365" s="29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7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8" t="str">
        <f t="shared" si="31"/>
        <v/>
      </c>
      <c r="X366" s="28" t="str">
        <f t="shared" si="32"/>
        <v/>
      </c>
      <c r="Y366" s="28" t="str">
        <f t="shared" si="33"/>
        <v/>
      </c>
      <c r="Z366" s="29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7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8" t="str">
        <f t="shared" si="31"/>
        <v/>
      </c>
      <c r="X367" s="28" t="str">
        <f t="shared" si="32"/>
        <v/>
      </c>
      <c r="Y367" s="28" t="str">
        <f t="shared" si="33"/>
        <v/>
      </c>
      <c r="Z367" s="29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7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8" t="str">
        <f t="shared" si="31"/>
        <v/>
      </c>
      <c r="X368" s="28" t="str">
        <f t="shared" si="32"/>
        <v/>
      </c>
      <c r="Y368" s="28" t="str">
        <f t="shared" si="33"/>
        <v/>
      </c>
      <c r="Z368" s="29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7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8" t="str">
        <f t="shared" si="31"/>
        <v/>
      </c>
      <c r="X369" s="28" t="str">
        <f t="shared" si="32"/>
        <v/>
      </c>
      <c r="Y369" s="28" t="str">
        <f t="shared" si="33"/>
        <v/>
      </c>
      <c r="Z369" s="29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7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8" t="str">
        <f t="shared" si="31"/>
        <v/>
      </c>
      <c r="X370" s="28" t="str">
        <f t="shared" si="32"/>
        <v/>
      </c>
      <c r="Y370" s="28" t="str">
        <f t="shared" si="33"/>
        <v/>
      </c>
      <c r="Z370" s="29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7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8" t="str">
        <f t="shared" si="31"/>
        <v/>
      </c>
      <c r="X371" s="28" t="str">
        <f t="shared" si="32"/>
        <v/>
      </c>
      <c r="Y371" s="28" t="str">
        <f t="shared" si="33"/>
        <v/>
      </c>
      <c r="Z371" s="29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7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8" t="str">
        <f t="shared" si="31"/>
        <v/>
      </c>
      <c r="X372" s="28" t="str">
        <f t="shared" si="32"/>
        <v/>
      </c>
      <c r="Y372" s="28" t="str">
        <f t="shared" si="33"/>
        <v/>
      </c>
      <c r="Z372" s="29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7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8" t="str">
        <f t="shared" si="31"/>
        <v/>
      </c>
      <c r="X373" s="28" t="str">
        <f t="shared" si="32"/>
        <v/>
      </c>
      <c r="Y373" s="28" t="str">
        <f t="shared" si="33"/>
        <v/>
      </c>
      <c r="Z373" s="29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7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8" t="str">
        <f t="shared" si="31"/>
        <v/>
      </c>
      <c r="X374" s="28" t="str">
        <f t="shared" si="32"/>
        <v/>
      </c>
      <c r="Y374" s="28" t="str">
        <f t="shared" si="33"/>
        <v/>
      </c>
      <c r="Z374" s="29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7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8" t="str">
        <f t="shared" si="31"/>
        <v/>
      </c>
      <c r="X375" s="28" t="str">
        <f t="shared" si="32"/>
        <v/>
      </c>
      <c r="Y375" s="28" t="str">
        <f t="shared" si="33"/>
        <v/>
      </c>
      <c r="Z375" s="29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7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8" t="str">
        <f t="shared" si="31"/>
        <v/>
      </c>
      <c r="X376" s="28" t="str">
        <f t="shared" si="32"/>
        <v/>
      </c>
      <c r="Y376" s="28" t="str">
        <f t="shared" si="33"/>
        <v/>
      </c>
      <c r="Z376" s="29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7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8" t="str">
        <f t="shared" si="31"/>
        <v/>
      </c>
      <c r="X377" s="28" t="str">
        <f t="shared" si="32"/>
        <v/>
      </c>
      <c r="Y377" s="28" t="str">
        <f t="shared" si="33"/>
        <v/>
      </c>
      <c r="Z377" s="29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7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8" t="str">
        <f t="shared" si="31"/>
        <v/>
      </c>
      <c r="X378" s="28" t="str">
        <f t="shared" si="32"/>
        <v/>
      </c>
      <c r="Y378" s="28" t="str">
        <f t="shared" si="33"/>
        <v/>
      </c>
      <c r="Z378" s="29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7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8" t="str">
        <f t="shared" si="31"/>
        <v/>
      </c>
      <c r="X379" s="28" t="str">
        <f t="shared" si="32"/>
        <v/>
      </c>
      <c r="Y379" s="28" t="str">
        <f t="shared" si="33"/>
        <v/>
      </c>
      <c r="Z379" s="29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7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8" t="str">
        <f t="shared" si="31"/>
        <v/>
      </c>
      <c r="X380" s="28" t="str">
        <f t="shared" si="32"/>
        <v/>
      </c>
      <c r="Y380" s="28" t="str">
        <f t="shared" si="33"/>
        <v/>
      </c>
      <c r="Z380" s="29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7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8" t="str">
        <f t="shared" si="31"/>
        <v/>
      </c>
      <c r="X381" s="28" t="str">
        <f t="shared" si="32"/>
        <v/>
      </c>
      <c r="Y381" s="28" t="str">
        <f t="shared" si="33"/>
        <v/>
      </c>
      <c r="Z381" s="29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7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8" t="str">
        <f t="shared" si="31"/>
        <v/>
      </c>
      <c r="X382" s="28" t="str">
        <f t="shared" si="32"/>
        <v/>
      </c>
      <c r="Y382" s="28" t="str">
        <f t="shared" si="33"/>
        <v/>
      </c>
      <c r="Z382" s="29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7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8" t="str">
        <f t="shared" si="31"/>
        <v/>
      </c>
      <c r="X383" s="28" t="str">
        <f t="shared" si="32"/>
        <v/>
      </c>
      <c r="Y383" s="28" t="str">
        <f t="shared" si="33"/>
        <v/>
      </c>
      <c r="Z383" s="29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7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8" t="str">
        <f t="shared" si="31"/>
        <v/>
      </c>
      <c r="X384" s="28" t="str">
        <f t="shared" si="32"/>
        <v/>
      </c>
      <c r="Y384" s="28" t="str">
        <f t="shared" si="33"/>
        <v/>
      </c>
      <c r="Z384" s="29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7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8" t="str">
        <f t="shared" si="31"/>
        <v/>
      </c>
      <c r="X385" s="28" t="str">
        <f t="shared" si="32"/>
        <v/>
      </c>
      <c r="Y385" s="28" t="str">
        <f t="shared" si="33"/>
        <v/>
      </c>
      <c r="Z385" s="29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7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8" t="str">
        <f t="shared" ref="W386:W449" si="37">IF(B386="","",B386+3)</f>
        <v/>
      </c>
      <c r="X386" s="28" t="str">
        <f t="shared" ref="X386:X449" si="38">IF(B386="","",B386+5)</f>
        <v/>
      </c>
      <c r="Y386" s="28" t="str">
        <f t="shared" ref="Y386:Y449" si="39">IF(B386="","",B386+10)</f>
        <v/>
      </c>
      <c r="Z386" s="29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7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8" t="str">
        <f t="shared" si="37"/>
        <v/>
      </c>
      <c r="X387" s="28" t="str">
        <f t="shared" si="38"/>
        <v/>
      </c>
      <c r="Y387" s="28" t="str">
        <f t="shared" si="39"/>
        <v/>
      </c>
      <c r="Z387" s="29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7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8" t="str">
        <f t="shared" si="37"/>
        <v/>
      </c>
      <c r="X388" s="28" t="str">
        <f t="shared" si="38"/>
        <v/>
      </c>
      <c r="Y388" s="28" t="str">
        <f t="shared" si="39"/>
        <v/>
      </c>
      <c r="Z388" s="29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7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8" t="str">
        <f t="shared" si="37"/>
        <v/>
      </c>
      <c r="X389" s="28" t="str">
        <f t="shared" si="38"/>
        <v/>
      </c>
      <c r="Y389" s="28" t="str">
        <f t="shared" si="39"/>
        <v/>
      </c>
      <c r="Z389" s="29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7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8" t="str">
        <f t="shared" si="37"/>
        <v/>
      </c>
      <c r="X390" s="28" t="str">
        <f t="shared" si="38"/>
        <v/>
      </c>
      <c r="Y390" s="28" t="str">
        <f t="shared" si="39"/>
        <v/>
      </c>
      <c r="Z390" s="29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7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8" t="str">
        <f t="shared" si="37"/>
        <v/>
      </c>
      <c r="X391" s="28" t="str">
        <f t="shared" si="38"/>
        <v/>
      </c>
      <c r="Y391" s="28" t="str">
        <f t="shared" si="39"/>
        <v/>
      </c>
      <c r="Z391" s="29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7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8" t="str">
        <f t="shared" si="37"/>
        <v/>
      </c>
      <c r="X392" s="28" t="str">
        <f t="shared" si="38"/>
        <v/>
      </c>
      <c r="Y392" s="28" t="str">
        <f t="shared" si="39"/>
        <v/>
      </c>
      <c r="Z392" s="29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7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8" t="str">
        <f t="shared" si="37"/>
        <v/>
      </c>
      <c r="X393" s="28" t="str">
        <f t="shared" si="38"/>
        <v/>
      </c>
      <c r="Y393" s="28" t="str">
        <f t="shared" si="39"/>
        <v/>
      </c>
      <c r="Z393" s="29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7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8" t="str">
        <f t="shared" si="37"/>
        <v/>
      </c>
      <c r="X394" s="28" t="str">
        <f t="shared" si="38"/>
        <v/>
      </c>
      <c r="Y394" s="28" t="str">
        <f t="shared" si="39"/>
        <v/>
      </c>
      <c r="Z394" s="29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7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8" t="str">
        <f t="shared" si="37"/>
        <v/>
      </c>
      <c r="X395" s="28" t="str">
        <f t="shared" si="38"/>
        <v/>
      </c>
      <c r="Y395" s="28" t="str">
        <f t="shared" si="39"/>
        <v/>
      </c>
      <c r="Z395" s="29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7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8" t="str">
        <f t="shared" si="37"/>
        <v/>
      </c>
      <c r="X396" s="28" t="str">
        <f t="shared" si="38"/>
        <v/>
      </c>
      <c r="Y396" s="28" t="str">
        <f t="shared" si="39"/>
        <v/>
      </c>
      <c r="Z396" s="29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7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8" t="str">
        <f t="shared" si="37"/>
        <v/>
      </c>
      <c r="X397" s="28" t="str">
        <f t="shared" si="38"/>
        <v/>
      </c>
      <c r="Y397" s="28" t="str">
        <f t="shared" si="39"/>
        <v/>
      </c>
      <c r="Z397" s="29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7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8" t="str">
        <f t="shared" si="37"/>
        <v/>
      </c>
      <c r="X398" s="28" t="str">
        <f t="shared" si="38"/>
        <v/>
      </c>
      <c r="Y398" s="28" t="str">
        <f t="shared" si="39"/>
        <v/>
      </c>
      <c r="Z398" s="29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7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8" t="str">
        <f t="shared" si="37"/>
        <v/>
      </c>
      <c r="X399" s="28" t="str">
        <f t="shared" si="38"/>
        <v/>
      </c>
      <c r="Y399" s="28" t="str">
        <f t="shared" si="39"/>
        <v/>
      </c>
      <c r="Z399" s="29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7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8" t="str">
        <f t="shared" si="37"/>
        <v/>
      </c>
      <c r="X400" s="28" t="str">
        <f t="shared" si="38"/>
        <v/>
      </c>
      <c r="Y400" s="28" t="str">
        <f t="shared" si="39"/>
        <v/>
      </c>
      <c r="Z400" s="29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7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8" t="str">
        <f t="shared" si="37"/>
        <v/>
      </c>
      <c r="X401" s="28" t="str">
        <f t="shared" si="38"/>
        <v/>
      </c>
      <c r="Y401" s="28" t="str">
        <f t="shared" si="39"/>
        <v/>
      </c>
      <c r="Z401" s="29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7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8" t="str">
        <f t="shared" si="37"/>
        <v/>
      </c>
      <c r="X402" s="28" t="str">
        <f t="shared" si="38"/>
        <v/>
      </c>
      <c r="Y402" s="28" t="str">
        <f t="shared" si="39"/>
        <v/>
      </c>
      <c r="Z402" s="29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7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8" t="str">
        <f t="shared" si="37"/>
        <v/>
      </c>
      <c r="X403" s="28" t="str">
        <f t="shared" si="38"/>
        <v/>
      </c>
      <c r="Y403" s="28" t="str">
        <f t="shared" si="39"/>
        <v/>
      </c>
      <c r="Z403" s="29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7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8" t="str">
        <f t="shared" si="37"/>
        <v/>
      </c>
      <c r="X404" s="28" t="str">
        <f t="shared" si="38"/>
        <v/>
      </c>
      <c r="Y404" s="28" t="str">
        <f t="shared" si="39"/>
        <v/>
      </c>
      <c r="Z404" s="29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7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8" t="str">
        <f t="shared" si="37"/>
        <v/>
      </c>
      <c r="X405" s="28" t="str">
        <f t="shared" si="38"/>
        <v/>
      </c>
      <c r="Y405" s="28" t="str">
        <f t="shared" si="39"/>
        <v/>
      </c>
      <c r="Z405" s="29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7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8" t="str">
        <f t="shared" si="37"/>
        <v/>
      </c>
      <c r="X406" s="28" t="str">
        <f t="shared" si="38"/>
        <v/>
      </c>
      <c r="Y406" s="28" t="str">
        <f t="shared" si="39"/>
        <v/>
      </c>
      <c r="Z406" s="29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7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8" t="str">
        <f t="shared" si="37"/>
        <v/>
      </c>
      <c r="X407" s="28" t="str">
        <f t="shared" si="38"/>
        <v/>
      </c>
      <c r="Y407" s="28" t="str">
        <f t="shared" si="39"/>
        <v/>
      </c>
      <c r="Z407" s="29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7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8" t="str">
        <f t="shared" si="37"/>
        <v/>
      </c>
      <c r="X408" s="28" t="str">
        <f t="shared" si="38"/>
        <v/>
      </c>
      <c r="Y408" s="28" t="str">
        <f t="shared" si="39"/>
        <v/>
      </c>
      <c r="Z408" s="29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7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8" t="str">
        <f t="shared" si="37"/>
        <v/>
      </c>
      <c r="X409" s="28" t="str">
        <f t="shared" si="38"/>
        <v/>
      </c>
      <c r="Y409" s="28" t="str">
        <f t="shared" si="39"/>
        <v/>
      </c>
      <c r="Z409" s="29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7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8" t="str">
        <f t="shared" si="37"/>
        <v/>
      </c>
      <c r="X410" s="28" t="str">
        <f t="shared" si="38"/>
        <v/>
      </c>
      <c r="Y410" s="28" t="str">
        <f t="shared" si="39"/>
        <v/>
      </c>
      <c r="Z410" s="29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7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8" t="str">
        <f t="shared" si="37"/>
        <v/>
      </c>
      <c r="X411" s="28" t="str">
        <f t="shared" si="38"/>
        <v/>
      </c>
      <c r="Y411" s="28" t="str">
        <f t="shared" si="39"/>
        <v/>
      </c>
      <c r="Z411" s="29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7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8" t="str">
        <f t="shared" si="37"/>
        <v/>
      </c>
      <c r="X412" s="28" t="str">
        <f t="shared" si="38"/>
        <v/>
      </c>
      <c r="Y412" s="28" t="str">
        <f t="shared" si="39"/>
        <v/>
      </c>
      <c r="Z412" s="29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7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8" t="str">
        <f t="shared" si="37"/>
        <v/>
      </c>
      <c r="X413" s="28" t="str">
        <f t="shared" si="38"/>
        <v/>
      </c>
      <c r="Y413" s="28" t="str">
        <f t="shared" si="39"/>
        <v/>
      </c>
      <c r="Z413" s="29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7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8" t="str">
        <f t="shared" si="37"/>
        <v/>
      </c>
      <c r="X414" s="28" t="str">
        <f t="shared" si="38"/>
        <v/>
      </c>
      <c r="Y414" s="28" t="str">
        <f t="shared" si="39"/>
        <v/>
      </c>
      <c r="Z414" s="29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7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8" t="str">
        <f t="shared" si="37"/>
        <v/>
      </c>
      <c r="X415" s="28" t="str">
        <f t="shared" si="38"/>
        <v/>
      </c>
      <c r="Y415" s="28" t="str">
        <f t="shared" si="39"/>
        <v/>
      </c>
      <c r="Z415" s="29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7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8" t="str">
        <f t="shared" si="37"/>
        <v/>
      </c>
      <c r="X416" s="28" t="str">
        <f t="shared" si="38"/>
        <v/>
      </c>
      <c r="Y416" s="28" t="str">
        <f t="shared" si="39"/>
        <v/>
      </c>
      <c r="Z416" s="29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7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8" t="str">
        <f t="shared" si="37"/>
        <v/>
      </c>
      <c r="X417" s="28" t="str">
        <f t="shared" si="38"/>
        <v/>
      </c>
      <c r="Y417" s="28" t="str">
        <f t="shared" si="39"/>
        <v/>
      </c>
      <c r="Z417" s="29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7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8" t="str">
        <f t="shared" si="37"/>
        <v/>
      </c>
      <c r="X418" s="28" t="str">
        <f t="shared" si="38"/>
        <v/>
      </c>
      <c r="Y418" s="28" t="str">
        <f t="shared" si="39"/>
        <v/>
      </c>
      <c r="Z418" s="29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7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8" t="str">
        <f t="shared" si="37"/>
        <v/>
      </c>
      <c r="X419" s="28" t="str">
        <f t="shared" si="38"/>
        <v/>
      </c>
      <c r="Y419" s="28" t="str">
        <f t="shared" si="39"/>
        <v/>
      </c>
      <c r="Z419" s="29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7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8" t="str">
        <f t="shared" si="37"/>
        <v/>
      </c>
      <c r="X420" s="28" t="str">
        <f t="shared" si="38"/>
        <v/>
      </c>
      <c r="Y420" s="28" t="str">
        <f t="shared" si="39"/>
        <v/>
      </c>
      <c r="Z420" s="29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7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8" t="str">
        <f t="shared" si="37"/>
        <v/>
      </c>
      <c r="X421" s="28" t="str">
        <f t="shared" si="38"/>
        <v/>
      </c>
      <c r="Y421" s="28" t="str">
        <f t="shared" si="39"/>
        <v/>
      </c>
      <c r="Z421" s="29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7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8" t="str">
        <f t="shared" si="37"/>
        <v/>
      </c>
      <c r="X422" s="28" t="str">
        <f t="shared" si="38"/>
        <v/>
      </c>
      <c r="Y422" s="28" t="str">
        <f t="shared" si="39"/>
        <v/>
      </c>
      <c r="Z422" s="29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7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8" t="str">
        <f t="shared" si="37"/>
        <v/>
      </c>
      <c r="X423" s="28" t="str">
        <f t="shared" si="38"/>
        <v/>
      </c>
      <c r="Y423" s="28" t="str">
        <f t="shared" si="39"/>
        <v/>
      </c>
      <c r="Z423" s="29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7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8" t="str">
        <f t="shared" si="37"/>
        <v/>
      </c>
      <c r="X424" s="28" t="str">
        <f t="shared" si="38"/>
        <v/>
      </c>
      <c r="Y424" s="28" t="str">
        <f t="shared" si="39"/>
        <v/>
      </c>
      <c r="Z424" s="29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7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8" t="str">
        <f t="shared" si="37"/>
        <v/>
      </c>
      <c r="X425" s="28" t="str">
        <f t="shared" si="38"/>
        <v/>
      </c>
      <c r="Y425" s="28" t="str">
        <f t="shared" si="39"/>
        <v/>
      </c>
      <c r="Z425" s="29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7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8" t="str">
        <f t="shared" si="37"/>
        <v/>
      </c>
      <c r="X426" s="28" t="str">
        <f t="shared" si="38"/>
        <v/>
      </c>
      <c r="Y426" s="28" t="str">
        <f t="shared" si="39"/>
        <v/>
      </c>
      <c r="Z426" s="29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7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8" t="str">
        <f t="shared" si="37"/>
        <v/>
      </c>
      <c r="X427" s="28" t="str">
        <f t="shared" si="38"/>
        <v/>
      </c>
      <c r="Y427" s="28" t="str">
        <f t="shared" si="39"/>
        <v/>
      </c>
      <c r="Z427" s="29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7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8" t="str">
        <f t="shared" si="37"/>
        <v/>
      </c>
      <c r="X428" s="28" t="str">
        <f t="shared" si="38"/>
        <v/>
      </c>
      <c r="Y428" s="28" t="str">
        <f t="shared" si="39"/>
        <v/>
      </c>
      <c r="Z428" s="29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7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8" t="str">
        <f t="shared" si="37"/>
        <v/>
      </c>
      <c r="X429" s="28" t="str">
        <f t="shared" si="38"/>
        <v/>
      </c>
      <c r="Y429" s="28" t="str">
        <f t="shared" si="39"/>
        <v/>
      </c>
      <c r="Z429" s="29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7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8" t="str">
        <f t="shared" si="37"/>
        <v/>
      </c>
      <c r="X430" s="28" t="str">
        <f t="shared" si="38"/>
        <v/>
      </c>
      <c r="Y430" s="28" t="str">
        <f t="shared" si="39"/>
        <v/>
      </c>
      <c r="Z430" s="29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7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8" t="str">
        <f t="shared" si="37"/>
        <v/>
      </c>
      <c r="X431" s="28" t="str">
        <f t="shared" si="38"/>
        <v/>
      </c>
      <c r="Y431" s="28" t="str">
        <f t="shared" si="39"/>
        <v/>
      </c>
      <c r="Z431" s="29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7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8" t="str">
        <f t="shared" si="37"/>
        <v/>
      </c>
      <c r="X432" s="28" t="str">
        <f t="shared" si="38"/>
        <v/>
      </c>
      <c r="Y432" s="28" t="str">
        <f t="shared" si="39"/>
        <v/>
      </c>
      <c r="Z432" s="29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7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8" t="str">
        <f t="shared" si="37"/>
        <v/>
      </c>
      <c r="X433" s="28" t="str">
        <f t="shared" si="38"/>
        <v/>
      </c>
      <c r="Y433" s="28" t="str">
        <f t="shared" si="39"/>
        <v/>
      </c>
      <c r="Z433" s="29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7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8" t="str">
        <f t="shared" si="37"/>
        <v/>
      </c>
      <c r="X434" s="28" t="str">
        <f t="shared" si="38"/>
        <v/>
      </c>
      <c r="Y434" s="28" t="str">
        <f t="shared" si="39"/>
        <v/>
      </c>
      <c r="Z434" s="29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7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8" t="str">
        <f t="shared" si="37"/>
        <v/>
      </c>
      <c r="X435" s="28" t="str">
        <f t="shared" si="38"/>
        <v/>
      </c>
      <c r="Y435" s="28" t="str">
        <f t="shared" si="39"/>
        <v/>
      </c>
      <c r="Z435" s="29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7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8" t="str">
        <f t="shared" si="37"/>
        <v/>
      </c>
      <c r="X436" s="28" t="str">
        <f t="shared" si="38"/>
        <v/>
      </c>
      <c r="Y436" s="28" t="str">
        <f t="shared" si="39"/>
        <v/>
      </c>
      <c r="Z436" s="29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7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8" t="str">
        <f t="shared" si="37"/>
        <v/>
      </c>
      <c r="X437" s="28" t="str">
        <f t="shared" si="38"/>
        <v/>
      </c>
      <c r="Y437" s="28" t="str">
        <f t="shared" si="39"/>
        <v/>
      </c>
      <c r="Z437" s="29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7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8" t="str">
        <f t="shared" si="37"/>
        <v/>
      </c>
      <c r="X438" s="28" t="str">
        <f t="shared" si="38"/>
        <v/>
      </c>
      <c r="Y438" s="28" t="str">
        <f t="shared" si="39"/>
        <v/>
      </c>
      <c r="Z438" s="29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7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8" t="str">
        <f t="shared" si="37"/>
        <v/>
      </c>
      <c r="X439" s="28" t="str">
        <f t="shared" si="38"/>
        <v/>
      </c>
      <c r="Y439" s="28" t="str">
        <f t="shared" si="39"/>
        <v/>
      </c>
      <c r="Z439" s="29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7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8" t="str">
        <f t="shared" si="37"/>
        <v/>
      </c>
      <c r="X440" s="28" t="str">
        <f t="shared" si="38"/>
        <v/>
      </c>
      <c r="Y440" s="28" t="str">
        <f t="shared" si="39"/>
        <v/>
      </c>
      <c r="Z440" s="29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7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8" t="str">
        <f t="shared" si="37"/>
        <v/>
      </c>
      <c r="X441" s="28" t="str">
        <f t="shared" si="38"/>
        <v/>
      </c>
      <c r="Y441" s="28" t="str">
        <f t="shared" si="39"/>
        <v/>
      </c>
      <c r="Z441" s="29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7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8" t="str">
        <f t="shared" si="37"/>
        <v/>
      </c>
      <c r="X442" s="28" t="str">
        <f t="shared" si="38"/>
        <v/>
      </c>
      <c r="Y442" s="28" t="str">
        <f t="shared" si="39"/>
        <v/>
      </c>
      <c r="Z442" s="29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7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8" t="str">
        <f t="shared" si="37"/>
        <v/>
      </c>
      <c r="X443" s="28" t="str">
        <f t="shared" si="38"/>
        <v/>
      </c>
      <c r="Y443" s="28" t="str">
        <f t="shared" si="39"/>
        <v/>
      </c>
      <c r="Z443" s="29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7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8" t="str">
        <f t="shared" si="37"/>
        <v/>
      </c>
      <c r="X444" s="28" t="str">
        <f t="shared" si="38"/>
        <v/>
      </c>
      <c r="Y444" s="28" t="str">
        <f t="shared" si="39"/>
        <v/>
      </c>
      <c r="Z444" s="29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7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8" t="str">
        <f t="shared" si="37"/>
        <v/>
      </c>
      <c r="X445" s="28" t="str">
        <f t="shared" si="38"/>
        <v/>
      </c>
      <c r="Y445" s="28" t="str">
        <f t="shared" si="39"/>
        <v/>
      </c>
      <c r="Z445" s="29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7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8" t="str">
        <f t="shared" si="37"/>
        <v/>
      </c>
      <c r="X446" s="28" t="str">
        <f t="shared" si="38"/>
        <v/>
      </c>
      <c r="Y446" s="28" t="str">
        <f t="shared" si="39"/>
        <v/>
      </c>
      <c r="Z446" s="29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7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8" t="str">
        <f t="shared" si="37"/>
        <v/>
      </c>
      <c r="X447" s="28" t="str">
        <f t="shared" si="38"/>
        <v/>
      </c>
      <c r="Y447" s="28" t="str">
        <f t="shared" si="39"/>
        <v/>
      </c>
      <c r="Z447" s="29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7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8" t="str">
        <f t="shared" si="37"/>
        <v/>
      </c>
      <c r="X448" s="28" t="str">
        <f t="shared" si="38"/>
        <v/>
      </c>
      <c r="Y448" s="28" t="str">
        <f t="shared" si="39"/>
        <v/>
      </c>
      <c r="Z448" s="29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7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8" t="str">
        <f t="shared" si="37"/>
        <v/>
      </c>
      <c r="X449" s="28" t="str">
        <f t="shared" si="38"/>
        <v/>
      </c>
      <c r="Y449" s="28" t="str">
        <f t="shared" si="39"/>
        <v/>
      </c>
      <c r="Z449" s="29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7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8" t="str">
        <f t="shared" ref="W450:W500" si="43">IF(B450="","",B450+3)</f>
        <v/>
      </c>
      <c r="X450" s="28" t="str">
        <f t="shared" ref="X450:X500" si="44">IF(B450="","",B450+5)</f>
        <v/>
      </c>
      <c r="Y450" s="28" t="str">
        <f t="shared" ref="Y450:Y500" si="45">IF(B450="","",B450+10)</f>
        <v/>
      </c>
      <c r="Z450" s="29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7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8" t="str">
        <f t="shared" si="43"/>
        <v/>
      </c>
      <c r="X451" s="28" t="str">
        <f t="shared" si="44"/>
        <v/>
      </c>
      <c r="Y451" s="28" t="str">
        <f t="shared" si="45"/>
        <v/>
      </c>
      <c r="Z451" s="29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7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8" t="str">
        <f t="shared" si="43"/>
        <v/>
      </c>
      <c r="X452" s="28" t="str">
        <f t="shared" si="44"/>
        <v/>
      </c>
      <c r="Y452" s="28" t="str">
        <f t="shared" si="45"/>
        <v/>
      </c>
      <c r="Z452" s="29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7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8" t="str">
        <f t="shared" si="43"/>
        <v/>
      </c>
      <c r="X453" s="28" t="str">
        <f t="shared" si="44"/>
        <v/>
      </c>
      <c r="Y453" s="28" t="str">
        <f t="shared" si="45"/>
        <v/>
      </c>
      <c r="Z453" s="29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7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8" t="str">
        <f t="shared" si="43"/>
        <v/>
      </c>
      <c r="X454" s="28" t="str">
        <f t="shared" si="44"/>
        <v/>
      </c>
      <c r="Y454" s="28" t="str">
        <f t="shared" si="45"/>
        <v/>
      </c>
      <c r="Z454" s="29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7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8" t="str">
        <f t="shared" si="43"/>
        <v/>
      </c>
      <c r="X455" s="28" t="str">
        <f t="shared" si="44"/>
        <v/>
      </c>
      <c r="Y455" s="28" t="str">
        <f t="shared" si="45"/>
        <v/>
      </c>
      <c r="Z455" s="29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7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8" t="str">
        <f t="shared" si="43"/>
        <v/>
      </c>
      <c r="X456" s="28" t="str">
        <f t="shared" si="44"/>
        <v/>
      </c>
      <c r="Y456" s="28" t="str">
        <f t="shared" si="45"/>
        <v/>
      </c>
      <c r="Z456" s="29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7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8" t="str">
        <f t="shared" si="43"/>
        <v/>
      </c>
      <c r="X457" s="28" t="str">
        <f t="shared" si="44"/>
        <v/>
      </c>
      <c r="Y457" s="28" t="str">
        <f t="shared" si="45"/>
        <v/>
      </c>
      <c r="Z457" s="29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7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8" t="str">
        <f t="shared" si="43"/>
        <v/>
      </c>
      <c r="X458" s="28" t="str">
        <f t="shared" si="44"/>
        <v/>
      </c>
      <c r="Y458" s="28" t="str">
        <f t="shared" si="45"/>
        <v/>
      </c>
      <c r="Z458" s="29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7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8" t="str">
        <f t="shared" si="43"/>
        <v/>
      </c>
      <c r="X459" s="28" t="str">
        <f t="shared" si="44"/>
        <v/>
      </c>
      <c r="Y459" s="28" t="str">
        <f t="shared" si="45"/>
        <v/>
      </c>
      <c r="Z459" s="29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7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8" t="str">
        <f t="shared" si="43"/>
        <v/>
      </c>
      <c r="X460" s="28" t="str">
        <f t="shared" si="44"/>
        <v/>
      </c>
      <c r="Y460" s="28" t="str">
        <f t="shared" si="45"/>
        <v/>
      </c>
      <c r="Z460" s="29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7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8" t="str">
        <f t="shared" si="43"/>
        <v/>
      </c>
      <c r="X461" s="28" t="str">
        <f t="shared" si="44"/>
        <v/>
      </c>
      <c r="Y461" s="28" t="str">
        <f t="shared" si="45"/>
        <v/>
      </c>
      <c r="Z461" s="29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7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8" t="str">
        <f t="shared" si="43"/>
        <v/>
      </c>
      <c r="X462" s="28" t="str">
        <f t="shared" si="44"/>
        <v/>
      </c>
      <c r="Y462" s="28" t="str">
        <f t="shared" si="45"/>
        <v/>
      </c>
      <c r="Z462" s="29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7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8" t="str">
        <f t="shared" si="43"/>
        <v/>
      </c>
      <c r="X463" s="28" t="str">
        <f t="shared" si="44"/>
        <v/>
      </c>
      <c r="Y463" s="28" t="str">
        <f t="shared" si="45"/>
        <v/>
      </c>
      <c r="Z463" s="29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7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8" t="str">
        <f t="shared" si="43"/>
        <v/>
      </c>
      <c r="X464" s="28" t="str">
        <f t="shared" si="44"/>
        <v/>
      </c>
      <c r="Y464" s="28" t="str">
        <f t="shared" si="45"/>
        <v/>
      </c>
      <c r="Z464" s="29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7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8" t="str">
        <f t="shared" si="43"/>
        <v/>
      </c>
      <c r="X465" s="28" t="str">
        <f t="shared" si="44"/>
        <v/>
      </c>
      <c r="Y465" s="28" t="str">
        <f t="shared" si="45"/>
        <v/>
      </c>
      <c r="Z465" s="29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7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8" t="str">
        <f t="shared" si="43"/>
        <v/>
      </c>
      <c r="X466" s="28" t="str">
        <f t="shared" si="44"/>
        <v/>
      </c>
      <c r="Y466" s="28" t="str">
        <f t="shared" si="45"/>
        <v/>
      </c>
      <c r="Z466" s="29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7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8" t="str">
        <f t="shared" si="43"/>
        <v/>
      </c>
      <c r="X467" s="28" t="str">
        <f t="shared" si="44"/>
        <v/>
      </c>
      <c r="Y467" s="28" t="str">
        <f t="shared" si="45"/>
        <v/>
      </c>
      <c r="Z467" s="29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7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8" t="str">
        <f t="shared" si="43"/>
        <v/>
      </c>
      <c r="X468" s="28" t="str">
        <f t="shared" si="44"/>
        <v/>
      </c>
      <c r="Y468" s="28" t="str">
        <f t="shared" si="45"/>
        <v/>
      </c>
      <c r="Z468" s="29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7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8" t="str">
        <f t="shared" si="43"/>
        <v/>
      </c>
      <c r="X469" s="28" t="str">
        <f t="shared" si="44"/>
        <v/>
      </c>
      <c r="Y469" s="28" t="str">
        <f t="shared" si="45"/>
        <v/>
      </c>
      <c r="Z469" s="29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7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8" t="str">
        <f t="shared" si="43"/>
        <v/>
      </c>
      <c r="X470" s="28" t="str">
        <f t="shared" si="44"/>
        <v/>
      </c>
      <c r="Y470" s="28" t="str">
        <f t="shared" si="45"/>
        <v/>
      </c>
      <c r="Z470" s="29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7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8" t="str">
        <f t="shared" si="43"/>
        <v/>
      </c>
      <c r="X471" s="28" t="str">
        <f t="shared" si="44"/>
        <v/>
      </c>
      <c r="Y471" s="28" t="str">
        <f t="shared" si="45"/>
        <v/>
      </c>
      <c r="Z471" s="29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7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8" t="str">
        <f t="shared" si="43"/>
        <v/>
      </c>
      <c r="X472" s="28" t="str">
        <f t="shared" si="44"/>
        <v/>
      </c>
      <c r="Y472" s="28" t="str">
        <f t="shared" si="45"/>
        <v/>
      </c>
      <c r="Z472" s="29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7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8" t="str">
        <f t="shared" si="43"/>
        <v/>
      </c>
      <c r="X473" s="28" t="str">
        <f t="shared" si="44"/>
        <v/>
      </c>
      <c r="Y473" s="28" t="str">
        <f t="shared" si="45"/>
        <v/>
      </c>
      <c r="Z473" s="29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7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8" t="str">
        <f t="shared" si="43"/>
        <v/>
      </c>
      <c r="X474" s="28" t="str">
        <f t="shared" si="44"/>
        <v/>
      </c>
      <c r="Y474" s="28" t="str">
        <f t="shared" si="45"/>
        <v/>
      </c>
      <c r="Z474" s="29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7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8" t="str">
        <f t="shared" si="43"/>
        <v/>
      </c>
      <c r="X475" s="28" t="str">
        <f t="shared" si="44"/>
        <v/>
      </c>
      <c r="Y475" s="28" t="str">
        <f t="shared" si="45"/>
        <v/>
      </c>
      <c r="Z475" s="29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7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8" t="str">
        <f t="shared" si="43"/>
        <v/>
      </c>
      <c r="X476" s="28" t="str">
        <f t="shared" si="44"/>
        <v/>
      </c>
      <c r="Y476" s="28" t="str">
        <f t="shared" si="45"/>
        <v/>
      </c>
      <c r="Z476" s="29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7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8" t="str">
        <f t="shared" si="43"/>
        <v/>
      </c>
      <c r="X477" s="28" t="str">
        <f t="shared" si="44"/>
        <v/>
      </c>
      <c r="Y477" s="28" t="str">
        <f t="shared" si="45"/>
        <v/>
      </c>
      <c r="Z477" s="29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7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8" t="str">
        <f t="shared" si="43"/>
        <v/>
      </c>
      <c r="X478" s="28" t="str">
        <f t="shared" si="44"/>
        <v/>
      </c>
      <c r="Y478" s="28" t="str">
        <f t="shared" si="45"/>
        <v/>
      </c>
      <c r="Z478" s="29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7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8" t="str">
        <f t="shared" si="43"/>
        <v/>
      </c>
      <c r="X479" s="28" t="str">
        <f t="shared" si="44"/>
        <v/>
      </c>
      <c r="Y479" s="28" t="str">
        <f t="shared" si="45"/>
        <v/>
      </c>
      <c r="Z479" s="29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7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8" t="str">
        <f t="shared" si="43"/>
        <v/>
      </c>
      <c r="X480" s="28" t="str">
        <f t="shared" si="44"/>
        <v/>
      </c>
      <c r="Y480" s="28" t="str">
        <f t="shared" si="45"/>
        <v/>
      </c>
      <c r="Z480" s="29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7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8" t="str">
        <f t="shared" si="43"/>
        <v/>
      </c>
      <c r="X481" s="28" t="str">
        <f t="shared" si="44"/>
        <v/>
      </c>
      <c r="Y481" s="28" t="str">
        <f t="shared" si="45"/>
        <v/>
      </c>
      <c r="Z481" s="29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7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8" t="str">
        <f t="shared" si="43"/>
        <v/>
      </c>
      <c r="X482" s="28" t="str">
        <f t="shared" si="44"/>
        <v/>
      </c>
      <c r="Y482" s="28" t="str">
        <f t="shared" si="45"/>
        <v/>
      </c>
      <c r="Z482" s="29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7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8" t="str">
        <f t="shared" si="43"/>
        <v/>
      </c>
      <c r="X483" s="28" t="str">
        <f t="shared" si="44"/>
        <v/>
      </c>
      <c r="Y483" s="28" t="str">
        <f t="shared" si="45"/>
        <v/>
      </c>
      <c r="Z483" s="29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7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8" t="str">
        <f t="shared" si="43"/>
        <v/>
      </c>
      <c r="X484" s="28" t="str">
        <f t="shared" si="44"/>
        <v/>
      </c>
      <c r="Y484" s="28" t="str">
        <f t="shared" si="45"/>
        <v/>
      </c>
      <c r="Z484" s="29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7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8" t="str">
        <f t="shared" si="43"/>
        <v/>
      </c>
      <c r="X485" s="28" t="str">
        <f t="shared" si="44"/>
        <v/>
      </c>
      <c r="Y485" s="28" t="str">
        <f t="shared" si="45"/>
        <v/>
      </c>
      <c r="Z485" s="29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7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8" t="str">
        <f t="shared" si="43"/>
        <v/>
      </c>
      <c r="X486" s="28" t="str">
        <f t="shared" si="44"/>
        <v/>
      </c>
      <c r="Y486" s="28" t="str">
        <f t="shared" si="45"/>
        <v/>
      </c>
      <c r="Z486" s="29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7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8" t="str">
        <f t="shared" si="43"/>
        <v/>
      </c>
      <c r="X487" s="28" t="str">
        <f t="shared" si="44"/>
        <v/>
      </c>
      <c r="Y487" s="28" t="str">
        <f t="shared" si="45"/>
        <v/>
      </c>
      <c r="Z487" s="29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7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8" t="str">
        <f t="shared" si="43"/>
        <v/>
      </c>
      <c r="X488" s="28" t="str">
        <f t="shared" si="44"/>
        <v/>
      </c>
      <c r="Y488" s="28" t="str">
        <f t="shared" si="45"/>
        <v/>
      </c>
      <c r="Z488" s="29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7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8" t="str">
        <f t="shared" si="43"/>
        <v/>
      </c>
      <c r="X489" s="28" t="str">
        <f t="shared" si="44"/>
        <v/>
      </c>
      <c r="Y489" s="28" t="str">
        <f t="shared" si="45"/>
        <v/>
      </c>
      <c r="Z489" s="29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7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8" t="str">
        <f t="shared" si="43"/>
        <v/>
      </c>
      <c r="X490" s="28" t="str">
        <f t="shared" si="44"/>
        <v/>
      </c>
      <c r="Y490" s="28" t="str">
        <f t="shared" si="45"/>
        <v/>
      </c>
      <c r="Z490" s="29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7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8" t="str">
        <f t="shared" si="43"/>
        <v/>
      </c>
      <c r="X491" s="28" t="str">
        <f t="shared" si="44"/>
        <v/>
      </c>
      <c r="Y491" s="28" t="str">
        <f t="shared" si="45"/>
        <v/>
      </c>
      <c r="Z491" s="29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7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8" t="str">
        <f t="shared" si="43"/>
        <v/>
      </c>
      <c r="X492" s="28" t="str">
        <f t="shared" si="44"/>
        <v/>
      </c>
      <c r="Y492" s="28" t="str">
        <f t="shared" si="45"/>
        <v/>
      </c>
      <c r="Z492" s="29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7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8" t="str">
        <f t="shared" si="43"/>
        <v/>
      </c>
      <c r="X493" s="28" t="str">
        <f t="shared" si="44"/>
        <v/>
      </c>
      <c r="Y493" s="28" t="str">
        <f t="shared" si="45"/>
        <v/>
      </c>
      <c r="Z493" s="29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7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8" t="str">
        <f t="shared" si="43"/>
        <v/>
      </c>
      <c r="X494" s="28" t="str">
        <f t="shared" si="44"/>
        <v/>
      </c>
      <c r="Y494" s="28" t="str">
        <f t="shared" si="45"/>
        <v/>
      </c>
      <c r="Z494" s="29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7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8" t="str">
        <f t="shared" si="43"/>
        <v/>
      </c>
      <c r="X495" s="28" t="str">
        <f t="shared" si="44"/>
        <v/>
      </c>
      <c r="Y495" s="28" t="str">
        <f t="shared" si="45"/>
        <v/>
      </c>
      <c r="Z495" s="29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7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8" t="str">
        <f t="shared" si="43"/>
        <v/>
      </c>
      <c r="X496" s="28" t="str">
        <f t="shared" si="44"/>
        <v/>
      </c>
      <c r="Y496" s="28" t="str">
        <f t="shared" si="45"/>
        <v/>
      </c>
      <c r="Z496" s="29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7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8" t="str">
        <f t="shared" si="43"/>
        <v/>
      </c>
      <c r="X497" s="28" t="str">
        <f t="shared" si="44"/>
        <v/>
      </c>
      <c r="Y497" s="28" t="str">
        <f t="shared" si="45"/>
        <v/>
      </c>
      <c r="Z497" s="29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7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8" t="str">
        <f t="shared" si="43"/>
        <v/>
      </c>
      <c r="X498" s="28" t="str">
        <f t="shared" si="44"/>
        <v/>
      </c>
      <c r="Y498" s="28" t="str">
        <f t="shared" si="45"/>
        <v/>
      </c>
      <c r="Z498" s="29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7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8" t="str">
        <f t="shared" si="43"/>
        <v/>
      </c>
      <c r="X499" s="28" t="str">
        <f t="shared" si="44"/>
        <v/>
      </c>
      <c r="Y499" s="28" t="str">
        <f t="shared" si="45"/>
        <v/>
      </c>
      <c r="Z499" s="29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7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8" t="str">
        <f t="shared" si="43"/>
        <v/>
      </c>
      <c r="X500" s="28" t="str">
        <f t="shared" si="44"/>
        <v/>
      </c>
      <c r="Y500" s="28" t="str">
        <f t="shared" si="45"/>
        <v/>
      </c>
      <c r="Z500" s="29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E2:E500">
      <formula1>选项!$A$2:$A$7</formula1>
    </dataValidation>
    <dataValidation type="list" allowBlank="1" sqref="F2:F500">
      <formula1>选项!$B$2:$B$7</formula1>
    </dataValidation>
    <dataValidation type="list" allowBlank="1" sqref="G2:G500">
      <formula1>选项!$C$2:$C$5</formula1>
    </dataValidation>
    <dataValidation type="list" allowBlank="1" sqref="H2:H500">
      <formula1>选项!$D$2:$D$15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169</v>
      </c>
      <c r="C1" s="1" t="s">
        <v>170</v>
      </c>
      <c r="D1" s="1" t="s">
        <v>171</v>
      </c>
      <c r="E1" s="1" t="s">
        <v>172</v>
      </c>
    </row>
    <row r="2" ht="78" customHeight="1" spans="1:5">
      <c r="A2" s="19" t="s">
        <v>173</v>
      </c>
      <c r="B2" s="20" t="s">
        <v>174</v>
      </c>
      <c r="C2" s="2" t="s">
        <v>175</v>
      </c>
      <c r="D2" s="20" t="s">
        <v>176</v>
      </c>
      <c r="E2" s="20" t="s">
        <v>177</v>
      </c>
    </row>
    <row r="3" ht="78" customHeight="1" spans="1:5">
      <c r="A3" s="19" t="s">
        <v>139</v>
      </c>
      <c r="B3" s="20" t="s">
        <v>178</v>
      </c>
      <c r="C3" s="2" t="s">
        <v>179</v>
      </c>
      <c r="D3" s="20" t="s">
        <v>180</v>
      </c>
      <c r="E3" s="20" t="s">
        <v>181</v>
      </c>
    </row>
    <row r="4" ht="78" customHeight="1" spans="1:5">
      <c r="A4" s="19" t="s">
        <v>57</v>
      </c>
      <c r="B4" s="20" t="s">
        <v>182</v>
      </c>
      <c r="C4" s="2" t="s">
        <v>183</v>
      </c>
      <c r="D4" s="20" t="s">
        <v>184</v>
      </c>
      <c r="E4" s="20" t="s">
        <v>185</v>
      </c>
    </row>
    <row r="5" ht="78" customHeight="1" spans="1:5">
      <c r="A5" s="19" t="s">
        <v>98</v>
      </c>
      <c r="B5" s="20" t="s">
        <v>186</v>
      </c>
      <c r="C5" s="2" t="s">
        <v>187</v>
      </c>
      <c r="D5" s="20" t="s">
        <v>188</v>
      </c>
      <c r="E5" s="20" t="s">
        <v>189</v>
      </c>
    </row>
    <row r="6" ht="78" customHeight="1" spans="1:5">
      <c r="A6" s="19" t="s">
        <v>190</v>
      </c>
      <c r="B6" s="20" t="s">
        <v>191</v>
      </c>
      <c r="C6" s="2" t="s">
        <v>192</v>
      </c>
      <c r="D6" s="20" t="s">
        <v>193</v>
      </c>
      <c r="E6" s="20" t="s">
        <v>194</v>
      </c>
    </row>
    <row r="7" ht="78" customHeight="1" spans="1:5">
      <c r="A7" s="19" t="s">
        <v>195</v>
      </c>
      <c r="B7" s="20" t="s">
        <v>196</v>
      </c>
      <c r="C7" s="2" t="s">
        <v>197</v>
      </c>
      <c r="D7" s="20" t="s">
        <v>198</v>
      </c>
      <c r="E7" s="20" t="s">
        <v>199</v>
      </c>
    </row>
    <row r="8" ht="78" customHeight="1" spans="1:5">
      <c r="A8" s="19" t="s">
        <v>200</v>
      </c>
      <c r="B8" s="20" t="s">
        <v>201</v>
      </c>
      <c r="C8" s="2" t="s">
        <v>202</v>
      </c>
      <c r="D8" s="20" t="s">
        <v>203</v>
      </c>
      <c r="E8" s="20" t="s">
        <v>204</v>
      </c>
    </row>
    <row r="9" ht="78" customHeight="1" spans="1:5">
      <c r="A9" s="19" t="s">
        <v>205</v>
      </c>
      <c r="B9" s="20" t="s">
        <v>206</v>
      </c>
      <c r="C9" s="2" t="s">
        <v>207</v>
      </c>
      <c r="D9" s="20" t="s">
        <v>208</v>
      </c>
      <c r="E9" s="20" t="s">
        <v>209</v>
      </c>
    </row>
    <row r="10" ht="78" customHeight="1" spans="1:5">
      <c r="A10" s="19" t="s">
        <v>210</v>
      </c>
      <c r="B10" s="20" t="s">
        <v>211</v>
      </c>
      <c r="C10" s="2" t="s">
        <v>212</v>
      </c>
      <c r="D10" s="20" t="s">
        <v>213</v>
      </c>
      <c r="E10" s="20" t="s">
        <v>214</v>
      </c>
    </row>
    <row r="11" ht="78" customHeight="1" spans="1:5">
      <c r="A11" s="19" t="s">
        <v>215</v>
      </c>
      <c r="B11" s="20" t="s">
        <v>216</v>
      </c>
      <c r="C11" s="2" t="s">
        <v>217</v>
      </c>
      <c r="D11" s="20" t="s">
        <v>218</v>
      </c>
      <c r="E11" s="20" t="s">
        <v>219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220</v>
      </c>
      <c r="B1" s="1" t="s">
        <v>221</v>
      </c>
      <c r="C1" s="1" t="s">
        <v>222</v>
      </c>
      <c r="D1" s="1" t="s">
        <v>223</v>
      </c>
      <c r="E1" s="1" t="s">
        <v>224</v>
      </c>
      <c r="F1" s="1" t="s">
        <v>225</v>
      </c>
      <c r="G1" s="1" t="s">
        <v>226</v>
      </c>
    </row>
    <row r="2" ht="90" customHeight="1" spans="1:7">
      <c r="A2" s="19" t="s">
        <v>102</v>
      </c>
      <c r="B2" s="20" t="s">
        <v>227</v>
      </c>
      <c r="C2" s="2" t="s">
        <v>228</v>
      </c>
      <c r="D2" s="20" t="s">
        <v>229</v>
      </c>
      <c r="E2" s="20" t="s">
        <v>230</v>
      </c>
      <c r="F2" s="20" t="s">
        <v>231</v>
      </c>
      <c r="G2" s="2" t="s">
        <v>232</v>
      </c>
    </row>
    <row r="3" ht="90" customHeight="1" spans="1:7">
      <c r="A3" s="19" t="s">
        <v>107</v>
      </c>
      <c r="B3" s="20" t="s">
        <v>233</v>
      </c>
      <c r="C3" s="2" t="s">
        <v>234</v>
      </c>
      <c r="D3" s="20" t="s">
        <v>235</v>
      </c>
      <c r="E3" s="20" t="s">
        <v>236</v>
      </c>
      <c r="F3" s="20" t="s">
        <v>237</v>
      </c>
      <c r="G3" s="2" t="s">
        <v>238</v>
      </c>
    </row>
    <row r="4" ht="90" customHeight="1" spans="1:7">
      <c r="A4" s="19" t="s">
        <v>73</v>
      </c>
      <c r="B4" s="20" t="s">
        <v>239</v>
      </c>
      <c r="C4" s="2" t="s">
        <v>240</v>
      </c>
      <c r="D4" s="20" t="s">
        <v>241</v>
      </c>
      <c r="E4" s="20" t="s">
        <v>242</v>
      </c>
      <c r="F4" s="20" t="s">
        <v>243</v>
      </c>
      <c r="G4" s="2" t="s">
        <v>244</v>
      </c>
    </row>
    <row r="5" ht="90" customHeight="1" spans="1:7">
      <c r="A5" s="19" t="s">
        <v>245</v>
      </c>
      <c r="B5" s="20" t="s">
        <v>246</v>
      </c>
      <c r="C5" s="2" t="s">
        <v>247</v>
      </c>
      <c r="D5" s="20" t="s">
        <v>248</v>
      </c>
      <c r="E5" s="20" t="s">
        <v>249</v>
      </c>
      <c r="F5" s="20" t="s">
        <v>250</v>
      </c>
      <c r="G5" s="2" t="s">
        <v>251</v>
      </c>
    </row>
    <row r="6" ht="90" customHeight="1" spans="1:7">
      <c r="A6" s="19" t="s">
        <v>124</v>
      </c>
      <c r="B6" s="20" t="s">
        <v>252</v>
      </c>
      <c r="C6" s="2" t="s">
        <v>253</v>
      </c>
      <c r="D6" s="20" t="s">
        <v>254</v>
      </c>
      <c r="E6" s="20" t="s">
        <v>255</v>
      </c>
      <c r="F6" s="20" t="s">
        <v>256</v>
      </c>
      <c r="G6" s="2" t="s">
        <v>257</v>
      </c>
    </row>
    <row r="7" ht="90" customHeight="1" spans="1:7">
      <c r="A7" s="19" t="s">
        <v>89</v>
      </c>
      <c r="B7" s="20" t="s">
        <v>258</v>
      </c>
      <c r="C7" s="2" t="s">
        <v>259</v>
      </c>
      <c r="D7" s="20" t="s">
        <v>260</v>
      </c>
      <c r="E7" s="20" t="s">
        <v>261</v>
      </c>
      <c r="F7" s="20" t="s">
        <v>262</v>
      </c>
      <c r="G7" s="2" t="s">
        <v>263</v>
      </c>
    </row>
    <row r="8" ht="90" customHeight="1" spans="1:7">
      <c r="A8" s="19" t="s">
        <v>264</v>
      </c>
      <c r="B8" s="20" t="s">
        <v>265</v>
      </c>
      <c r="C8" s="2" t="s">
        <v>266</v>
      </c>
      <c r="D8" s="20" t="s">
        <v>267</v>
      </c>
      <c r="E8" s="20" t="s">
        <v>268</v>
      </c>
      <c r="F8" s="20" t="s">
        <v>269</v>
      </c>
      <c r="G8" s="2" t="s">
        <v>270</v>
      </c>
    </row>
    <row r="9" ht="90" customHeight="1" spans="1:7">
      <c r="A9" s="19" t="s">
        <v>114</v>
      </c>
      <c r="B9" s="20" t="s">
        <v>271</v>
      </c>
      <c r="C9" s="2" t="s">
        <v>272</v>
      </c>
      <c r="D9" s="20" t="s">
        <v>273</v>
      </c>
      <c r="E9" s="20" t="s">
        <v>274</v>
      </c>
      <c r="F9" s="20" t="s">
        <v>275</v>
      </c>
      <c r="G9" s="2" t="s">
        <v>276</v>
      </c>
    </row>
    <row r="10" ht="90" customHeight="1" spans="1:7">
      <c r="A10" s="19" t="s">
        <v>277</v>
      </c>
      <c r="B10" s="20" t="s">
        <v>278</v>
      </c>
      <c r="C10" s="2" t="s">
        <v>279</v>
      </c>
      <c r="D10" s="20" t="s">
        <v>280</v>
      </c>
      <c r="E10" s="20" t="s">
        <v>281</v>
      </c>
      <c r="F10" s="20" t="s">
        <v>282</v>
      </c>
      <c r="G10" s="2" t="s">
        <v>283</v>
      </c>
    </row>
    <row r="11" ht="90" customHeight="1" spans="1:7">
      <c r="A11" s="19" t="s">
        <v>148</v>
      </c>
      <c r="B11" s="20" t="s">
        <v>284</v>
      </c>
      <c r="C11" s="2" t="s">
        <v>285</v>
      </c>
      <c r="D11" s="20" t="s">
        <v>286</v>
      </c>
      <c r="E11" s="20" t="s">
        <v>287</v>
      </c>
      <c r="F11" s="20" t="s">
        <v>288</v>
      </c>
      <c r="G11" s="2" t="s">
        <v>289</v>
      </c>
    </row>
    <row r="12" ht="90" customHeight="1" spans="1:7">
      <c r="A12" s="19" t="s">
        <v>290</v>
      </c>
      <c r="B12" s="20" t="s">
        <v>291</v>
      </c>
      <c r="C12" s="2" t="s">
        <v>292</v>
      </c>
      <c r="D12" s="20" t="s">
        <v>293</v>
      </c>
      <c r="E12" s="20" t="s">
        <v>294</v>
      </c>
      <c r="F12" s="20" t="s">
        <v>295</v>
      </c>
      <c r="G12" s="2" t="s">
        <v>296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297</v>
      </c>
      <c r="B1" s="11" t="s">
        <v>298</v>
      </c>
      <c r="C1" s="11" t="s">
        <v>299</v>
      </c>
      <c r="D1" s="11" t="s">
        <v>23</v>
      </c>
      <c r="E1" s="11" t="s">
        <v>300</v>
      </c>
      <c r="F1" s="11" t="s">
        <v>301</v>
      </c>
      <c r="G1" s="11" t="s">
        <v>302</v>
      </c>
      <c r="H1" s="11" t="s">
        <v>303</v>
      </c>
      <c r="I1" s="11" t="s">
        <v>304</v>
      </c>
      <c r="J1" s="11" t="s">
        <v>305</v>
      </c>
      <c r="K1" s="11" t="s">
        <v>306</v>
      </c>
      <c r="L1" s="11" t="s">
        <v>307</v>
      </c>
      <c r="M1" s="11" t="s">
        <v>308</v>
      </c>
      <c r="N1" s="11" t="s">
        <v>309</v>
      </c>
      <c r="O1" s="11" t="s">
        <v>310</v>
      </c>
      <c r="P1" s="11" t="s">
        <v>311</v>
      </c>
      <c r="Q1" s="11" t="s">
        <v>312</v>
      </c>
      <c r="R1" s="11" t="s">
        <v>313</v>
      </c>
      <c r="S1" s="11" t="s">
        <v>314</v>
      </c>
      <c r="T1" s="11" t="s">
        <v>315</v>
      </c>
      <c r="U1" s="11" t="s">
        <v>316</v>
      </c>
      <c r="V1" s="12" t="s">
        <v>317</v>
      </c>
      <c r="W1" s="11" t="s">
        <v>318</v>
      </c>
      <c r="X1" s="11" t="s">
        <v>319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320</v>
      </c>
      <c r="B1" s="4"/>
      <c r="C1" s="5"/>
    </row>
    <row r="2" ht="17" spans="1:3">
      <c r="A2" s="6" t="s">
        <v>321</v>
      </c>
      <c r="B2" s="6" t="s">
        <v>322</v>
      </c>
      <c r="C2" s="6" t="s">
        <v>323</v>
      </c>
    </row>
    <row r="3" ht="36" customHeight="1" spans="1:3">
      <c r="A3" s="7" t="s">
        <v>324</v>
      </c>
      <c r="B3" s="8">
        <f>COUNTA(每日观察!B2:B500)</f>
        <v>13</v>
      </c>
      <c r="C3" s="9" t="s">
        <v>325</v>
      </c>
    </row>
    <row r="4" ht="36" customHeight="1" spans="1:3">
      <c r="A4" s="7" t="s">
        <v>326</v>
      </c>
      <c r="B4" s="8">
        <f>COUNTIF(每日观察!Z2:Z500,1)</f>
        <v>6</v>
      </c>
      <c r="C4" s="9" t="s">
        <v>327</v>
      </c>
    </row>
    <row r="5" ht="36" customHeight="1" spans="1:3">
      <c r="A5" s="7" t="s">
        <v>328</v>
      </c>
      <c r="B5" s="10">
        <f>IFERROR(B4/B3,"")</f>
        <v>0.461538461538462</v>
      </c>
      <c r="C5" s="9" t="s">
        <v>329</v>
      </c>
    </row>
    <row r="6" ht="36" customHeight="1" spans="1:3">
      <c r="A6" s="7" t="s">
        <v>330</v>
      </c>
      <c r="B6" s="8">
        <f>COUNTIF(每日观察!AE2:AE500,"有效")</f>
        <v>0</v>
      </c>
      <c r="C6" s="9" t="s">
        <v>331</v>
      </c>
    </row>
    <row r="7" ht="36" customHeight="1" spans="1:3">
      <c r="A7" s="7" t="s">
        <v>332</v>
      </c>
      <c r="B7" s="10">
        <f>IFERROR(B6/B3,"")</f>
        <v>0</v>
      </c>
      <c r="C7" s="9" t="s">
        <v>333</v>
      </c>
    </row>
    <row r="8" ht="36" customHeight="1" spans="1:3">
      <c r="A8" s="7" t="s">
        <v>334</v>
      </c>
      <c r="B8" s="8">
        <f>COUNTIF(每日观察!AA2:AA500,"不合格")</f>
        <v>0</v>
      </c>
      <c r="C8" s="9" t="s">
        <v>335</v>
      </c>
    </row>
    <row r="9" ht="36" customHeight="1" spans="1:3">
      <c r="A9" s="7" t="s">
        <v>336</v>
      </c>
      <c r="B9" s="8">
        <f>COUNTIF(每日观察!AB2:AB500,"不合格")</f>
        <v>0</v>
      </c>
      <c r="C9" s="9" t="s">
        <v>337</v>
      </c>
    </row>
    <row r="10" ht="36" customHeight="1" spans="1:3">
      <c r="A10" s="7" t="s">
        <v>338</v>
      </c>
      <c r="B10" s="8">
        <f>COUNTIF(每日观察!AC2:AC500,"不合格")</f>
        <v>0</v>
      </c>
      <c r="C10" s="9" t="s">
        <v>339</v>
      </c>
    </row>
    <row r="11" ht="36" customHeight="1" spans="1:3">
      <c r="A11" s="7" t="s">
        <v>340</v>
      </c>
      <c r="B11" s="8">
        <f>COUNTIF(每日观察!AD2:AD500,"不合格")</f>
        <v>0</v>
      </c>
      <c r="C11" s="9" t="s">
        <v>341</v>
      </c>
    </row>
    <row r="12" ht="36" customHeight="1" spans="1:3">
      <c r="A12" s="7" t="s">
        <v>342</v>
      </c>
      <c r="B12" s="8">
        <f>COUNTIF(每日观察!H2:H500,"无清晰位置")</f>
        <v>0</v>
      </c>
      <c r="C12" s="9" t="s">
        <v>343</v>
      </c>
    </row>
    <row r="13" ht="36" customHeight="1" spans="1:3">
      <c r="A13" s="7" t="s">
        <v>344</v>
      </c>
      <c r="B13" s="8">
        <f>COUNTIF(每日观察!L2:L500,"不清晰")</f>
        <v>0</v>
      </c>
      <c r="C13" s="9" t="s">
        <v>345</v>
      </c>
    </row>
    <row r="14" ht="36" customHeight="1" spans="1:3">
      <c r="A14" s="7" t="s">
        <v>346</v>
      </c>
      <c r="B14" s="8">
        <f>COUNTIF(每日观察!R2:R500,"高")</f>
        <v>2</v>
      </c>
      <c r="C14" s="9" t="s">
        <v>347</v>
      </c>
    </row>
    <row r="15" ht="36" customHeight="1" spans="1:3">
      <c r="A15" s="7" t="s">
        <v>348</v>
      </c>
      <c r="B15" s="8">
        <f>COUNTA(事后验证!B2:B500)</f>
        <v>0</v>
      </c>
      <c r="C15" s="9" t="s">
        <v>349</v>
      </c>
    </row>
    <row r="16" ht="36" customHeight="1" spans="1:3">
      <c r="A16" s="7" t="s">
        <v>350</v>
      </c>
      <c r="B16" s="8">
        <f>COUNTIF(事后验证!R2:R500,"关键位置找错")</f>
        <v>0</v>
      </c>
      <c r="C16" s="9" t="s">
        <v>351</v>
      </c>
    </row>
    <row r="17" ht="36" customHeight="1" spans="1:3">
      <c r="A17" s="7" t="s">
        <v>352</v>
      </c>
      <c r="B17" s="8">
        <f>COUNTIF(事后验证!R2:R500,"理由链断裂")</f>
        <v>0</v>
      </c>
      <c r="C17" s="9" t="s">
        <v>353</v>
      </c>
    </row>
    <row r="18" ht="36" customHeight="1" spans="1:3">
      <c r="A18" s="7" t="s">
        <v>354</v>
      </c>
      <c r="B18" s="8">
        <f>COUNTIF(事后验证!R2:R500,"漏掉反证")</f>
        <v>0</v>
      </c>
      <c r="C18" s="9" t="s">
        <v>355</v>
      </c>
    </row>
    <row r="19" ht="36" customHeight="1" spans="1:3">
      <c r="A19" s="7" t="s">
        <v>356</v>
      </c>
      <c r="B19" s="8">
        <f>COUNTIF(事后验证!R2:R500,"过度确定")</f>
        <v>0</v>
      </c>
      <c r="C19" s="9" t="s">
        <v>357</v>
      </c>
    </row>
    <row r="20" ht="36" customHeight="1" spans="1:3">
      <c r="A20" s="7" t="s">
        <v>358</v>
      </c>
      <c r="B20" s="8">
        <f>COUNTIF(事后验证!R2:R500,"概率失败")</f>
        <v>0</v>
      </c>
      <c r="C20" s="9" t="s">
        <v>359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360</v>
      </c>
      <c r="I1" s="1" t="s">
        <v>361</v>
      </c>
      <c r="J1" s="1" t="s">
        <v>306</v>
      </c>
      <c r="K1" s="1" t="s">
        <v>309</v>
      </c>
      <c r="L1" s="1" t="s">
        <v>362</v>
      </c>
      <c r="M1" s="1" t="s">
        <v>311</v>
      </c>
      <c r="N1" s="1" t="s">
        <v>312</v>
      </c>
      <c r="O1" s="1" t="s">
        <v>313</v>
      </c>
      <c r="P1" s="1" t="s">
        <v>314</v>
      </c>
      <c r="Q1" s="1" t="s">
        <v>17</v>
      </c>
      <c r="R1" s="1" t="s">
        <v>51</v>
      </c>
    </row>
    <row r="2" ht="34" spans="1:18">
      <c r="A2" s="2" t="s">
        <v>54</v>
      </c>
      <c r="B2" s="2" t="s">
        <v>363</v>
      </c>
      <c r="C2" s="2" t="s">
        <v>72</v>
      </c>
      <c r="D2" s="2" t="s">
        <v>173</v>
      </c>
      <c r="E2" s="2" t="s">
        <v>364</v>
      </c>
      <c r="F2" s="2" t="s">
        <v>61</v>
      </c>
      <c r="G2" s="2" t="s">
        <v>102</v>
      </c>
      <c r="H2" s="2" t="s">
        <v>365</v>
      </c>
      <c r="I2" s="2" t="s">
        <v>67</v>
      </c>
      <c r="J2" s="2" t="s">
        <v>366</v>
      </c>
      <c r="K2" s="2" t="s">
        <v>367</v>
      </c>
      <c r="L2" s="2" t="s">
        <v>368</v>
      </c>
      <c r="M2" s="2" t="s">
        <v>369</v>
      </c>
      <c r="N2" s="2" t="s">
        <v>370</v>
      </c>
      <c r="O2" s="2" t="s">
        <v>371</v>
      </c>
      <c r="P2" s="2" t="s">
        <v>372</v>
      </c>
      <c r="Q2" s="2" t="s">
        <v>373</v>
      </c>
      <c r="R2" s="2" t="s">
        <v>368</v>
      </c>
    </row>
    <row r="3" ht="17" spans="1:18">
      <c r="A3" s="2" t="s">
        <v>374</v>
      </c>
      <c r="B3" s="2" t="s">
        <v>55</v>
      </c>
      <c r="C3" s="2" t="s">
        <v>56</v>
      </c>
      <c r="D3" s="2" t="s">
        <v>139</v>
      </c>
      <c r="E3" s="2" t="s">
        <v>375</v>
      </c>
      <c r="F3" s="2" t="s">
        <v>376</v>
      </c>
      <c r="G3" s="2" t="s">
        <v>107</v>
      </c>
      <c r="H3" s="2" t="s">
        <v>75</v>
      </c>
      <c r="I3" s="2" t="s">
        <v>136</v>
      </c>
      <c r="J3" s="2" t="s">
        <v>377</v>
      </c>
      <c r="K3" s="2" t="s">
        <v>378</v>
      </c>
      <c r="L3" s="2" t="s">
        <v>376</v>
      </c>
      <c r="M3" s="2" t="s">
        <v>379</v>
      </c>
      <c r="N3" s="2" t="s">
        <v>380</v>
      </c>
      <c r="O3" s="2" t="s">
        <v>381</v>
      </c>
      <c r="P3" s="2" t="s">
        <v>382</v>
      </c>
      <c r="Q3" s="2" t="s">
        <v>383</v>
      </c>
      <c r="R3" s="2" t="s">
        <v>384</v>
      </c>
    </row>
    <row r="4" ht="17" spans="1:18">
      <c r="A4" s="2" t="s">
        <v>156</v>
      </c>
      <c r="B4" s="2" t="s">
        <v>385</v>
      </c>
      <c r="C4" s="2" t="s">
        <v>104</v>
      </c>
      <c r="D4" s="2" t="s">
        <v>57</v>
      </c>
      <c r="E4" s="2" t="s">
        <v>141</v>
      </c>
      <c r="F4" s="2" t="s">
        <v>386</v>
      </c>
      <c r="G4" s="2" t="s">
        <v>73</v>
      </c>
      <c r="H4" s="2" t="s">
        <v>387</v>
      </c>
      <c r="I4" s="2" t="s">
        <v>78</v>
      </c>
      <c r="J4" s="2" t="s">
        <v>388</v>
      </c>
      <c r="K4" s="2" t="s">
        <v>73</v>
      </c>
      <c r="L4" s="2" t="s">
        <v>384</v>
      </c>
      <c r="M4" s="2" t="s">
        <v>389</v>
      </c>
      <c r="N4" s="2" t="s">
        <v>390</v>
      </c>
      <c r="O4" s="2" t="s">
        <v>391</v>
      </c>
      <c r="P4" s="2" t="s">
        <v>392</v>
      </c>
    </row>
    <row r="5" ht="17" spans="1:18">
      <c r="A5" s="2" t="s">
        <v>163</v>
      </c>
      <c r="B5" s="2" t="s">
        <v>156</v>
      </c>
      <c r="C5" s="2" t="s">
        <v>81</v>
      </c>
      <c r="D5" s="2" t="s">
        <v>98</v>
      </c>
      <c r="E5" s="2" t="s">
        <v>60</v>
      </c>
      <c r="G5" s="2" t="s">
        <v>245</v>
      </c>
      <c r="H5" s="2" t="s">
        <v>393</v>
      </c>
      <c r="J5" s="2" t="s">
        <v>394</v>
      </c>
      <c r="K5" s="2" t="s">
        <v>395</v>
      </c>
      <c r="L5" s="2" t="s">
        <v>116</v>
      </c>
      <c r="M5" s="2" t="s">
        <v>396</v>
      </c>
      <c r="N5" s="2" t="s">
        <v>397</v>
      </c>
      <c r="O5" s="2" t="s">
        <v>398</v>
      </c>
      <c r="P5" s="2" t="s">
        <v>399</v>
      </c>
    </row>
    <row r="6" ht="17" spans="1:18">
      <c r="A6" s="2" t="s">
        <v>70</v>
      </c>
      <c r="B6" s="2" t="s">
        <v>71</v>
      </c>
      <c r="D6" s="2" t="s">
        <v>400</v>
      </c>
      <c r="E6" s="2" t="s">
        <v>101</v>
      </c>
      <c r="G6" s="2" t="s">
        <v>124</v>
      </c>
      <c r="H6" s="2" t="s">
        <v>109</v>
      </c>
      <c r="K6" s="2" t="s">
        <v>401</v>
      </c>
      <c r="O6" s="2" t="s">
        <v>402</v>
      </c>
      <c r="P6" s="2" t="s">
        <v>403</v>
      </c>
    </row>
    <row r="7" ht="17" spans="1:18">
      <c r="A7" s="2" t="s">
        <v>81</v>
      </c>
      <c r="B7" s="2" t="s">
        <v>81</v>
      </c>
      <c r="D7" s="2" t="s">
        <v>404</v>
      </c>
      <c r="E7" s="2" t="s">
        <v>82</v>
      </c>
      <c r="G7" s="2" t="s">
        <v>89</v>
      </c>
      <c r="H7" s="2" t="s">
        <v>126</v>
      </c>
      <c r="K7" s="2" t="s">
        <v>405</v>
      </c>
      <c r="O7" s="2" t="s">
        <v>406</v>
      </c>
      <c r="P7" s="2" t="s">
        <v>407</v>
      </c>
    </row>
    <row r="8" ht="34" spans="1:18">
      <c r="D8" s="2" t="s">
        <v>408</v>
      </c>
      <c r="E8" s="2" t="s">
        <v>132</v>
      </c>
      <c r="G8" s="2" t="s">
        <v>264</v>
      </c>
      <c r="H8" s="2" t="s">
        <v>143</v>
      </c>
      <c r="K8" s="2" t="s">
        <v>409</v>
      </c>
      <c r="O8" s="2" t="s">
        <v>410</v>
      </c>
      <c r="P8" s="2" t="s">
        <v>411</v>
      </c>
    </row>
    <row r="9" ht="34" spans="1:18">
      <c r="D9" s="2" t="s">
        <v>195</v>
      </c>
      <c r="E9" s="2" t="s">
        <v>396</v>
      </c>
      <c r="G9" s="2" t="s">
        <v>114</v>
      </c>
      <c r="H9" s="2" t="s">
        <v>64</v>
      </c>
      <c r="K9" s="2" t="s">
        <v>116</v>
      </c>
      <c r="O9" s="2" t="s">
        <v>412</v>
      </c>
      <c r="P9" s="2" t="s">
        <v>413</v>
      </c>
    </row>
    <row r="10" ht="17" spans="1:18">
      <c r="D10" s="2" t="s">
        <v>200</v>
      </c>
      <c r="E10" s="2" t="s">
        <v>81</v>
      </c>
      <c r="G10" s="2" t="s">
        <v>277</v>
      </c>
      <c r="H10" s="2" t="s">
        <v>414</v>
      </c>
      <c r="P10" s="2" t="s">
        <v>415</v>
      </c>
    </row>
    <row r="11" ht="17" spans="1:18">
      <c r="D11" s="2" t="s">
        <v>416</v>
      </c>
      <c r="G11" s="2" t="s">
        <v>148</v>
      </c>
      <c r="H11" s="2" t="s">
        <v>150</v>
      </c>
    </row>
    <row r="12" ht="17" spans="1:18">
      <c r="D12" s="2" t="s">
        <v>205</v>
      </c>
      <c r="G12" s="2" t="s">
        <v>290</v>
      </c>
      <c r="H12" s="2" t="s">
        <v>116</v>
      </c>
    </row>
    <row r="13" ht="17" spans="1:18">
      <c r="D13" s="2" t="s">
        <v>210</v>
      </c>
      <c r="G13" s="2" t="s">
        <v>62</v>
      </c>
    </row>
    <row r="14" ht="17" spans="1:18">
      <c r="D14" s="2" t="s">
        <v>215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2026-07-11T06:30:00Z</dcterms:created>
  <dcterms:modified xsi:type="dcterms:W3CDTF">2026-07-24T20:25:10Z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